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ableau_de_Bord" sheetId="1" state="visible" r:id="rId1"/>
    <sheet name="Listes" sheetId="2" state="visible" r:id="rId2"/>
    <sheet name="Ventes_Factures" sheetId="3" state="visible" r:id="rId3"/>
    <sheet name="Ventes_Encaissements" sheetId="4" state="visible" r:id="rId4"/>
    <sheet name="Banque_Releve_TEST" sheetId="5" state="visible" r:id="rId5"/>
    <sheet name="Ventes_Detail" sheetId="6" state="visible" r:id="rId6"/>
    <sheet name="Synthèse" sheetId="7" state="visible" r:id="rId7"/>
    <sheet name="Qualité" sheetId="8" state="visible" r:id="rId8"/>
  </sheets>
  <definedNames>
    <definedName name="_xlnm._FilterDatabase" localSheetId="1" hidden="1">'Listes'!$A$2:$H$2</definedName>
    <definedName name="_xlnm._FilterDatabase" localSheetId="2" hidden="1">'Ventes_Factures'!$A$5:$P$5</definedName>
    <definedName name="_xlnm._FilterDatabase" localSheetId="3" hidden="1">'Ventes_Encaissements'!$A$5:$J$5</definedName>
    <definedName name="_xlnm._FilterDatabase" localSheetId="4" hidden="1">'Banque_Releve_TEST'!$A$5:$N$5</definedName>
    <definedName name="_xlnm._FilterDatabase" localSheetId="5" hidden="1">'Ventes_Detail'!$A$5:$F$5</definedName>
    <definedName name="_xlnm._FilterDatabase" localSheetId="6" hidden="1">'Synthèse'!$A$5:$F$5</definedName>
    <definedName name="_xlnm._FilterDatabase" localSheetId="7" hidden="1">'Qualité'!$A$4:$D$4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DD/MM/YYYY"/>
  </numFmts>
  <fonts count="11">
    <font>
      <name val="Calibri"/>
      <family val="2"/>
      <color theme="1"/>
      <sz val="11"/>
      <scheme val="minor"/>
    </font>
    <font>
      <name val="Calibri"/>
      <b val="1"/>
      <color rgb="FF1F4E79"/>
      <sz val="13"/>
    </font>
    <font>
      <name val="Calibri"/>
      <b val="1"/>
      <color rgb="FF1F4E79"/>
      <sz val="11"/>
    </font>
    <font>
      <name val="Calibri"/>
      <b val="1"/>
      <color rgb="FFFFFFFF"/>
      <sz val="11"/>
    </font>
    <font>
      <name val="Calibri"/>
      <b val="1"/>
      <color rgb="FF1F4E79"/>
      <sz val="16"/>
    </font>
    <font>
      <name val="Calibri"/>
      <color rgb="FF1F4E79"/>
      <sz val="11"/>
    </font>
    <font>
      <name val="Calibri"/>
      <i val="1"/>
      <color rgb="FF666666"/>
      <sz val="11"/>
    </font>
    <font>
      <name val="Calibri"/>
      <b val="1"/>
      <color rgb="FF1F4E79"/>
      <sz val="18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20"/>
    </font>
  </fonts>
  <fills count="7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4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14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center" vertical="center" wrapText="1"/>
    </xf>
    <xf numFmtId="14" fontId="0" fillId="5" borderId="1" applyAlignment="1" pivotButton="0" quotePrefix="0" xfId="0">
      <alignment horizontal="center" vertical="center" wrapText="1"/>
    </xf>
    <xf numFmtId="1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2" borderId="1" pivotButton="0" quotePrefix="0" xfId="0"/>
    <xf numFmtId="14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0" fillId="6" borderId="0" applyAlignment="1" pivotButton="0" quotePrefix="0" xfId="0">
      <alignment horizontal="center" vertical="center"/>
    </xf>
    <xf numFmtId="0" fontId="1" fillId="0" borderId="0" pivotButton="0" quotePrefix="0" xfId="0"/>
    <xf numFmtId="0" fontId="7" fillId="0" borderId="0" pivotButton="0" quotePrefix="0" xfId="0"/>
    <xf numFmtId="165" fontId="0" fillId="4" borderId="1" applyAlignment="1" pivotButton="0" quotePrefix="0" xfId="0">
      <alignment horizontal="left" vertical="center" wrapText="1"/>
    </xf>
  </cellXfs>
  <cellStyles count="1">
    <cellStyle name="Normal" xfId="0" builtinId="0"/>
  </cellStyles>
  <dxfs count="11">
    <dxf>
      <fill>
        <patternFill patternType="solid">
          <fgColor rgb="FFF4CCCC"/>
        </patternFill>
      </fill>
    </dxf>
    <dxf>
      <fill>
        <patternFill patternType="solid">
          <fgColor rgb="FFF7F9F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7F9FC"/>
        </patternFill>
      </fill>
    </dxf>
    <dxf>
      <fill>
        <patternFill patternType="solid">
          <fgColor rgb="FFF7F9FC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7F9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fr-FR"/>
              <a:t>Répartition des Encours Financiers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Synthèse!$B$5</f>
              <strCache>
                <ptCount val="1"/>
                <pt idx="0">
                  <v>Montant (€)</v>
                </pt>
              </strCache>
            </strRef>
          </tx>
          <spPr>
            <a:ln>
              <a:prstDash val="solid"/>
            </a:ln>
          </spPr>
          <cat>
            <strRef>
              <f>Synthèse!$A$6:$A$8</f>
              <strCache>
                <ptCount val="3"/>
                <pt idx="0">
                  <v>Montant en retard</v>
                </pt>
                <pt idx="1">
                  <v>Montant à échoir</v>
                </pt>
                <pt idx="2">
                  <v>Montant en litige</v>
                </pt>
              </strCache>
            </strRef>
          </cat>
          <val>
            <numRef>
              <f>Synthèse!$B$6:$B$8</f>
              <numCache>
                <formatCode>#\ ##0.00" €"</formatCode>
                <ptCount val="3"/>
                <pt idx="0">
                  <v>0</v>
                </pt>
                <pt idx="1">
                  <v>1215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fr-FR"/>
              <a:t>Balance Âgée des Retards (€)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Synthèse!$B$11</f>
              <strCache>
                <ptCount val="1"/>
                <pt idx="0">
                  <v>Montant (€)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Synthèse!$A$12:$A$15</f>
              <strCache>
                <ptCount val="4"/>
                <pt idx="0">
                  <v>0-30</v>
                </pt>
                <pt idx="1">
                  <v>31-60</v>
                </pt>
                <pt idx="2">
                  <v>61-90</v>
                </pt>
                <pt idx="3">
                  <v>90+</v>
                </pt>
              </strCache>
            </strRef>
          </cat>
          <val>
            <numRef>
              <f>Synthèse!$B$12:$B$15</f>
              <numCache>
                <formatCode>#\ ##0.00" €"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fr-FR"/>
                  <a:t>Tranches de retard (Jours)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fr-FR"/>
                  <a:t>Montant en d'euros</a:t>
                </a:r>
              </a:p>
            </rich>
          </tx>
          <overlay val="1"/>
        </title>
        <numFmt formatCode="#\ ##0.00&quot; €&quot;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fr-FR"/>
              <a:t>Prévision des Encaissements (12 Prochaines Semaines)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Synthèse!$D$17</f>
              <strCache>
                <ptCount val="1"/>
                <pt idx="0">
                  <v>Montant dû (€)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Synthèse!$A$18:$A$29</f>
              <strCache>
                <ptCount val="12"/>
                <pt idx="0">
                  <v>S1 yyyy</v>
                </pt>
                <pt idx="1">
                  <v>S2 yyyy</v>
                </pt>
                <pt idx="2">
                  <v>S3 yyyy</v>
                </pt>
                <pt idx="3">
                  <v>S4 yyyy</v>
                </pt>
                <pt idx="4">
                  <v>S5 yyyy</v>
                </pt>
                <pt idx="5">
                  <v>S6 yyyy</v>
                </pt>
                <pt idx="6">
                  <v>S7 yyyy</v>
                </pt>
                <pt idx="7">
                  <v>S8 yyyy</v>
                </pt>
                <pt idx="8">
                  <v>S9 yyyy</v>
                </pt>
                <pt idx="9">
                  <v>S10 yyyy</v>
                </pt>
                <pt idx="10">
                  <v>S11 yyyy</v>
                </pt>
                <pt idx="11">
                  <v>S12 yyyy</v>
                </pt>
              </strCache>
            </strRef>
          </cat>
          <val>
            <numRef>
              <f>Synthèse!$D$18:$D$29</f>
              <numCache>
                <formatCode>#\ ##0.00" €"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1215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fr-FR"/>
                  <a:t>Semaine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fr-FR"/>
                  <a:t>Montant prévu (€)</a:t>
                </a:r>
              </a:p>
            </rich>
          </tx>
          <overlay val="1"/>
        </title>
        <numFmt formatCode="#\ ##0.00&quot; €&quot;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166687</colOff>
      <row>26</row>
      <rowOff>23813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71437</colOff>
      <row>26</row>
      <rowOff>11906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</row>
      <rowOff>23812</rowOff>
    </from>
    <ext cx="1080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tabSelected="1" zoomScale="80" zoomScaleNormal="80" workbookViewId="0">
      <selection activeCell="N21" sqref="N21"/>
    </sheetView>
  </sheetViews>
  <sheetFormatPr baseColWidth="10" defaultColWidth="9.140625" defaultRowHeight="15"/>
  <sheetData>
    <row r="1" ht="24.95" customHeight="1" s="24">
      <c r="A1" s="27" t="inlineStr">
        <is>
          <t>TABLEAU DE BORD - ÉCHÉANCIER DES VENTES</t>
        </is>
      </c>
    </row>
    <row r="2" ht="24.95" customHeight="1" s="24"/>
  </sheetData>
  <mergeCells count="1">
    <mergeCell ref="A1:O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2"/>
  <sheetViews>
    <sheetView showGridLines="0" workbookViewId="0">
      <pane ySplit="2" topLeftCell="A3" activePane="bottomLeft" state="frozen"/>
      <selection pane="bottomLeft" activeCell="A1" sqref="A1:H1"/>
    </sheetView>
  </sheetViews>
  <sheetFormatPr baseColWidth="10" defaultColWidth="9.140625" defaultRowHeight="15"/>
  <cols>
    <col width="20" customWidth="1" style="24" min="1" max="8"/>
  </cols>
  <sheetData>
    <row r="1" ht="17.25" customHeight="1" s="24">
      <c r="A1" s="28" t="inlineStr">
        <is>
          <t>Listes &amp; paramètres (modifiez ces listes pour alimenter les menus déroulants)</t>
        </is>
      </c>
    </row>
    <row r="2" ht="30" customHeight="1" s="24">
      <c r="A2" s="22" t="inlineStr">
        <is>
          <t>Paramètre</t>
        </is>
      </c>
      <c r="B2" s="22" t="inlineStr">
        <is>
          <t>Valeur</t>
        </is>
      </c>
      <c r="D2" s="22" t="inlineStr">
        <is>
          <t>Clients</t>
        </is>
      </c>
      <c r="E2" s="22" t="inlineStr">
        <is>
          <t>Banques</t>
        </is>
      </c>
      <c r="F2" s="22" t="inlineStr">
        <is>
          <t>Moyens de paiement</t>
        </is>
      </c>
      <c r="G2" s="22" t="inlineStr">
        <is>
          <t>Oui/Non</t>
        </is>
      </c>
      <c r="H2" s="22" t="inlineStr">
        <is>
          <t>Type (B2B/B2C)</t>
        </is>
      </c>
    </row>
    <row r="3" ht="30" customHeight="1" s="24">
      <c r="A3" s="3" t="inlineStr">
        <is>
          <t>Date de référence (modifiable)</t>
        </is>
      </c>
      <c r="B3" s="4" t="n">
        <v>46021</v>
      </c>
      <c r="D3" s="3" t="inlineStr">
        <is>
          <t>Client A (Exemple)</t>
        </is>
      </c>
      <c r="E3" s="3" t="inlineStr">
        <is>
          <t>BNP Paribas</t>
        </is>
      </c>
      <c r="F3" s="3" t="inlineStr">
        <is>
          <t>Virement</t>
        </is>
      </c>
      <c r="G3" s="3" t="inlineStr">
        <is>
          <t>Oui</t>
        </is>
      </c>
      <c r="H3" s="3" t="inlineStr">
        <is>
          <t>B2C</t>
        </is>
      </c>
    </row>
    <row r="4">
      <c r="D4" s="3" t="inlineStr">
        <is>
          <t>Client B (Exemple)</t>
        </is>
      </c>
      <c r="E4" s="3" t="inlineStr">
        <is>
          <t>Société Générale</t>
        </is>
      </c>
      <c r="F4" s="3" t="inlineStr">
        <is>
          <t>CB</t>
        </is>
      </c>
      <c r="G4" s="3" t="inlineStr">
        <is>
          <t>Non</t>
        </is>
      </c>
      <c r="H4" s="3" t="inlineStr">
        <is>
          <t>B2B</t>
        </is>
      </c>
    </row>
    <row r="5" ht="30" customHeight="1" s="24">
      <c r="A5" s="1" t="inlineStr">
        <is>
          <t>Note</t>
        </is>
      </c>
      <c r="B5" s="5" t="inlineStr">
        <is>
          <t>Astuce : vous pouvez changer la Date de référence pour simuler une autre date (tests de retards).</t>
        </is>
      </c>
      <c r="D5" s="3" t="n"/>
      <c r="E5" s="3" t="n"/>
      <c r="F5" s="3" t="inlineStr">
        <is>
          <t>Chèque</t>
        </is>
      </c>
      <c r="G5" s="3" t="n"/>
      <c r="H5" s="3" t="n"/>
    </row>
    <row r="6">
      <c r="D6" s="3" t="n"/>
      <c r="E6" s="3" t="n"/>
      <c r="F6" s="3" t="inlineStr">
        <is>
          <t>Prélèvement</t>
        </is>
      </c>
      <c r="G6" s="3" t="n"/>
      <c r="H6" s="3" t="n"/>
    </row>
    <row r="7">
      <c r="D7" s="3" t="n"/>
      <c r="E7" s="3" t="n"/>
      <c r="F7" s="3" t="n"/>
      <c r="G7" s="3" t="n"/>
      <c r="H7" s="3" t="n"/>
    </row>
    <row r="8">
      <c r="D8" s="3" t="n"/>
      <c r="E8" s="3" t="n"/>
      <c r="F8" s="3" t="n"/>
      <c r="G8" s="3" t="n"/>
      <c r="H8" s="3" t="n"/>
    </row>
    <row r="9">
      <c r="D9" s="3" t="n"/>
      <c r="E9" s="3" t="n"/>
      <c r="F9" s="3" t="n"/>
      <c r="G9" s="3" t="n"/>
      <c r="H9" s="3" t="n"/>
    </row>
    <row r="10">
      <c r="D10" s="3" t="n"/>
      <c r="E10" s="3" t="n"/>
      <c r="F10" s="3" t="n"/>
      <c r="G10" s="3" t="n"/>
      <c r="H10" s="3" t="n"/>
    </row>
    <row r="11">
      <c r="D11" s="3" t="n"/>
      <c r="E11" s="3" t="n"/>
      <c r="F11" s="3" t="n"/>
      <c r="G11" s="3" t="n"/>
      <c r="H11" s="3" t="n"/>
    </row>
    <row r="12">
      <c r="D12" s="3" t="n"/>
      <c r="E12" s="3" t="n"/>
      <c r="F12" s="3" t="n"/>
      <c r="G12" s="3" t="n"/>
      <c r="H12" s="3" t="n"/>
    </row>
    <row r="13">
      <c r="D13" s="3" t="n"/>
      <c r="E13" s="3" t="n"/>
      <c r="F13" s="3" t="n"/>
      <c r="G13" s="3" t="n"/>
      <c r="H13" s="3" t="n"/>
    </row>
    <row r="14">
      <c r="D14" s="3" t="n"/>
      <c r="E14" s="3" t="n"/>
      <c r="F14" s="3" t="n"/>
      <c r="G14" s="3" t="n"/>
      <c r="H14" s="3" t="n"/>
    </row>
    <row r="15">
      <c r="D15" s="3" t="n"/>
      <c r="E15" s="3" t="n"/>
      <c r="F15" s="3" t="n"/>
      <c r="G15" s="3" t="n"/>
      <c r="H15" s="3" t="n"/>
    </row>
    <row r="16">
      <c r="D16" s="3" t="n"/>
      <c r="E16" s="3" t="n"/>
      <c r="F16" s="3" t="n"/>
      <c r="G16" s="3" t="n"/>
      <c r="H16" s="3" t="n"/>
    </row>
    <row r="17">
      <c r="D17" s="3" t="n"/>
      <c r="E17" s="3" t="n"/>
      <c r="F17" s="3" t="n"/>
      <c r="G17" s="3" t="n"/>
      <c r="H17" s="3" t="n"/>
    </row>
    <row r="18">
      <c r="D18" s="3" t="n"/>
      <c r="E18" s="3" t="n"/>
      <c r="F18" s="3" t="n"/>
      <c r="G18" s="3" t="n"/>
      <c r="H18" s="3" t="n"/>
    </row>
    <row r="19">
      <c r="D19" s="3" t="n"/>
      <c r="E19" s="3" t="n"/>
      <c r="F19" s="3" t="n"/>
      <c r="G19" s="3" t="n"/>
      <c r="H19" s="3" t="n"/>
    </row>
    <row r="20">
      <c r="D20" s="3" t="n"/>
      <c r="E20" s="3" t="n"/>
      <c r="F20" s="3" t="n"/>
      <c r="G20" s="3" t="n"/>
      <c r="H20" s="3" t="n"/>
    </row>
    <row r="21">
      <c r="D21" s="3" t="n"/>
      <c r="E21" s="3" t="n"/>
      <c r="F21" s="3" t="n"/>
      <c r="G21" s="3" t="n"/>
      <c r="H21" s="3" t="n"/>
    </row>
    <row r="22">
      <c r="D22" s="3" t="n"/>
      <c r="E22" s="3" t="n"/>
      <c r="F22" s="3" t="n"/>
      <c r="G22" s="3" t="n"/>
      <c r="H22" s="3" t="n"/>
    </row>
    <row r="23">
      <c r="D23" s="3" t="n"/>
      <c r="E23" s="3" t="n"/>
      <c r="F23" s="3" t="n"/>
      <c r="G23" s="3" t="n"/>
      <c r="H23" s="3" t="n"/>
    </row>
    <row r="24">
      <c r="D24" s="3" t="n"/>
      <c r="E24" s="3" t="n"/>
      <c r="F24" s="3" t="n"/>
      <c r="G24" s="3" t="n"/>
      <c r="H24" s="3" t="n"/>
    </row>
    <row r="25">
      <c r="D25" s="3" t="n"/>
      <c r="E25" s="3" t="n"/>
      <c r="F25" s="3" t="n"/>
      <c r="G25" s="3" t="n"/>
      <c r="H25" s="3" t="n"/>
    </row>
    <row r="26">
      <c r="D26" s="3" t="n"/>
      <c r="E26" s="3" t="n"/>
      <c r="F26" s="3" t="n"/>
      <c r="G26" s="3" t="n"/>
      <c r="H26" s="3" t="n"/>
    </row>
    <row r="27">
      <c r="D27" s="3" t="n"/>
      <c r="E27" s="3" t="n"/>
      <c r="F27" s="3" t="n"/>
      <c r="G27" s="3" t="n"/>
      <c r="H27" s="3" t="n"/>
    </row>
    <row r="28">
      <c r="D28" s="3" t="n"/>
      <c r="E28" s="3" t="n"/>
      <c r="F28" s="3" t="n"/>
      <c r="G28" s="3" t="n"/>
      <c r="H28" s="3" t="n"/>
    </row>
    <row r="29">
      <c r="D29" s="3" t="n"/>
      <c r="E29" s="3" t="n"/>
      <c r="F29" s="3" t="n"/>
      <c r="G29" s="3" t="n"/>
      <c r="H29" s="3" t="n"/>
    </row>
    <row r="30">
      <c r="D30" s="3" t="n"/>
      <c r="E30" s="3" t="n"/>
      <c r="F30" s="3" t="n"/>
      <c r="G30" s="3" t="n"/>
      <c r="H30" s="3" t="n"/>
    </row>
    <row r="31">
      <c r="D31" s="3" t="n"/>
      <c r="E31" s="3" t="n"/>
      <c r="F31" s="3" t="n"/>
      <c r="G31" s="3" t="n"/>
      <c r="H31" s="3" t="n"/>
    </row>
    <row r="32">
      <c r="D32" s="3" t="n"/>
      <c r="E32" s="3" t="n"/>
      <c r="F32" s="3" t="n"/>
      <c r="G32" s="3" t="n"/>
      <c r="H32" s="3" t="n"/>
    </row>
    <row r="33">
      <c r="D33" s="3" t="n"/>
      <c r="E33" s="3" t="n"/>
      <c r="F33" s="3" t="n"/>
      <c r="G33" s="3" t="n"/>
      <c r="H33" s="3" t="n"/>
    </row>
    <row r="34">
      <c r="D34" s="3" t="n"/>
      <c r="E34" s="3" t="n"/>
      <c r="F34" s="3" t="n"/>
      <c r="G34" s="3" t="n"/>
      <c r="H34" s="3" t="n"/>
    </row>
    <row r="35">
      <c r="D35" s="3" t="n"/>
      <c r="E35" s="3" t="n"/>
      <c r="F35" s="3" t="n"/>
      <c r="G35" s="3" t="n"/>
      <c r="H35" s="3" t="n"/>
    </row>
    <row r="36">
      <c r="D36" s="3" t="n"/>
      <c r="E36" s="3" t="n"/>
      <c r="F36" s="3" t="n"/>
      <c r="G36" s="3" t="n"/>
      <c r="H36" s="3" t="n"/>
    </row>
    <row r="37">
      <c r="D37" s="3" t="n"/>
      <c r="E37" s="3" t="n"/>
      <c r="F37" s="3" t="n"/>
      <c r="G37" s="3" t="n"/>
      <c r="H37" s="3" t="n"/>
    </row>
    <row r="38">
      <c r="D38" s="3" t="n"/>
      <c r="E38" s="3" t="n"/>
      <c r="F38" s="3" t="n"/>
      <c r="G38" s="3" t="n"/>
      <c r="H38" s="3" t="n"/>
    </row>
    <row r="39">
      <c r="D39" s="3" t="n"/>
      <c r="E39" s="3" t="n"/>
      <c r="F39" s="3" t="n"/>
      <c r="G39" s="3" t="n"/>
      <c r="H39" s="3" t="n"/>
    </row>
    <row r="40">
      <c r="D40" s="3" t="n"/>
      <c r="E40" s="3" t="n"/>
      <c r="F40" s="3" t="n"/>
      <c r="G40" s="3" t="n"/>
      <c r="H40" s="3" t="n"/>
    </row>
    <row r="41">
      <c r="D41" s="3" t="n"/>
      <c r="E41" s="3" t="n"/>
      <c r="F41" s="3" t="n"/>
      <c r="G41" s="3" t="n"/>
      <c r="H41" s="3" t="n"/>
    </row>
    <row r="42">
      <c r="D42" s="3" t="n"/>
      <c r="E42" s="3" t="n"/>
      <c r="F42" s="3" t="n"/>
      <c r="G42" s="3" t="n"/>
      <c r="H42" s="3" t="n"/>
    </row>
    <row r="43">
      <c r="D43" s="3" t="n"/>
      <c r="E43" s="3" t="n"/>
      <c r="F43" s="3" t="n"/>
      <c r="G43" s="3" t="n"/>
      <c r="H43" s="3" t="n"/>
    </row>
    <row r="44">
      <c r="D44" s="3" t="n"/>
      <c r="E44" s="3" t="n"/>
      <c r="F44" s="3" t="n"/>
      <c r="G44" s="3" t="n"/>
      <c r="H44" s="3" t="n"/>
    </row>
    <row r="45">
      <c r="D45" s="3" t="n"/>
      <c r="E45" s="3" t="n"/>
      <c r="F45" s="3" t="n"/>
      <c r="G45" s="3" t="n"/>
      <c r="H45" s="3" t="n"/>
    </row>
    <row r="46">
      <c r="D46" s="3" t="n"/>
      <c r="E46" s="3" t="n"/>
      <c r="F46" s="3" t="n"/>
      <c r="G46" s="3" t="n"/>
      <c r="H46" s="3" t="n"/>
    </row>
    <row r="47">
      <c r="D47" s="3" t="n"/>
      <c r="E47" s="3" t="n"/>
      <c r="F47" s="3" t="n"/>
      <c r="G47" s="3" t="n"/>
      <c r="H47" s="3" t="n"/>
    </row>
    <row r="48">
      <c r="D48" s="3" t="n"/>
      <c r="E48" s="3" t="n"/>
      <c r="F48" s="3" t="n"/>
      <c r="G48" s="3" t="n"/>
      <c r="H48" s="3" t="n"/>
    </row>
    <row r="49">
      <c r="D49" s="3" t="n"/>
      <c r="E49" s="3" t="n"/>
      <c r="F49" s="3" t="n"/>
      <c r="G49" s="3" t="n"/>
      <c r="H49" s="3" t="n"/>
    </row>
    <row r="50">
      <c r="D50" s="3" t="n"/>
      <c r="E50" s="3" t="n"/>
      <c r="F50" s="3" t="n"/>
      <c r="G50" s="3" t="n"/>
      <c r="H50" s="3" t="n"/>
    </row>
    <row r="51">
      <c r="D51" s="3" t="n"/>
      <c r="E51" s="3" t="n"/>
      <c r="F51" s="3" t="n"/>
      <c r="G51" s="3" t="n"/>
      <c r="H51" s="3" t="n"/>
    </row>
    <row r="52">
      <c r="D52" s="3" t="n"/>
      <c r="E52" s="3" t="n"/>
      <c r="F52" s="3" t="n"/>
      <c r="G52" s="3" t="n"/>
      <c r="H52" s="3" t="n"/>
    </row>
    <row r="53">
      <c r="D53" s="3" t="n"/>
      <c r="E53" s="3" t="n"/>
      <c r="F53" s="3" t="n"/>
      <c r="G53" s="3" t="n"/>
      <c r="H53" s="3" t="n"/>
    </row>
    <row r="54">
      <c r="D54" s="3" t="n"/>
      <c r="E54" s="3" t="n"/>
      <c r="F54" s="3" t="n"/>
      <c r="G54" s="3" t="n"/>
      <c r="H54" s="3" t="n"/>
    </row>
    <row r="55">
      <c r="D55" s="3" t="n"/>
      <c r="E55" s="3" t="n"/>
      <c r="F55" s="3" t="n"/>
      <c r="G55" s="3" t="n"/>
      <c r="H55" s="3" t="n"/>
    </row>
    <row r="56">
      <c r="D56" s="3" t="n"/>
      <c r="E56" s="3" t="n"/>
      <c r="F56" s="3" t="n"/>
      <c r="G56" s="3" t="n"/>
      <c r="H56" s="3" t="n"/>
    </row>
    <row r="57">
      <c r="D57" s="3" t="n"/>
      <c r="E57" s="3" t="n"/>
      <c r="F57" s="3" t="n"/>
      <c r="G57" s="3" t="n"/>
      <c r="H57" s="3" t="n"/>
    </row>
    <row r="58">
      <c r="D58" s="3" t="n"/>
      <c r="E58" s="3" t="n"/>
      <c r="F58" s="3" t="n"/>
      <c r="G58" s="3" t="n"/>
      <c r="H58" s="3" t="n"/>
    </row>
    <row r="59">
      <c r="D59" s="3" t="n"/>
      <c r="E59" s="3" t="n"/>
      <c r="F59" s="3" t="n"/>
      <c r="G59" s="3" t="n"/>
      <c r="H59" s="3" t="n"/>
    </row>
    <row r="60">
      <c r="D60" s="3" t="n"/>
      <c r="E60" s="3" t="n"/>
      <c r="F60" s="3" t="n"/>
      <c r="G60" s="3" t="n"/>
      <c r="H60" s="3" t="n"/>
    </row>
    <row r="61">
      <c r="D61" s="3" t="n"/>
      <c r="E61" s="3" t="n"/>
      <c r="F61" s="3" t="n"/>
      <c r="G61" s="3" t="n"/>
      <c r="H61" s="3" t="n"/>
    </row>
    <row r="62">
      <c r="D62" s="3" t="n"/>
      <c r="E62" s="3" t="n"/>
      <c r="F62" s="3" t="n"/>
      <c r="G62" s="3" t="n"/>
      <c r="H62" s="3" t="n"/>
    </row>
    <row r="63">
      <c r="D63" s="3" t="n"/>
      <c r="E63" s="3" t="n"/>
      <c r="F63" s="3" t="n"/>
      <c r="G63" s="3" t="n"/>
      <c r="H63" s="3" t="n"/>
    </row>
    <row r="64">
      <c r="D64" s="3" t="n"/>
      <c r="E64" s="3" t="n"/>
      <c r="F64" s="3" t="n"/>
      <c r="G64" s="3" t="n"/>
      <c r="H64" s="3" t="n"/>
    </row>
    <row r="65">
      <c r="D65" s="3" t="n"/>
      <c r="E65" s="3" t="n"/>
      <c r="F65" s="3" t="n"/>
      <c r="G65" s="3" t="n"/>
      <c r="H65" s="3" t="n"/>
    </row>
    <row r="66">
      <c r="D66" s="3" t="n"/>
      <c r="E66" s="3" t="n"/>
      <c r="F66" s="3" t="n"/>
      <c r="G66" s="3" t="n"/>
      <c r="H66" s="3" t="n"/>
    </row>
    <row r="67">
      <c r="D67" s="3" t="n"/>
      <c r="E67" s="3" t="n"/>
      <c r="F67" s="3" t="n"/>
      <c r="G67" s="3" t="n"/>
      <c r="H67" s="3" t="n"/>
    </row>
    <row r="68">
      <c r="D68" s="3" t="n"/>
      <c r="E68" s="3" t="n"/>
      <c r="F68" s="3" t="n"/>
      <c r="G68" s="3" t="n"/>
      <c r="H68" s="3" t="n"/>
    </row>
    <row r="69">
      <c r="D69" s="3" t="n"/>
      <c r="E69" s="3" t="n"/>
      <c r="F69" s="3" t="n"/>
      <c r="G69" s="3" t="n"/>
      <c r="H69" s="3" t="n"/>
    </row>
    <row r="70">
      <c r="D70" s="3" t="n"/>
      <c r="E70" s="3" t="n"/>
      <c r="F70" s="3" t="n"/>
      <c r="G70" s="3" t="n"/>
      <c r="H70" s="3" t="n"/>
    </row>
    <row r="71">
      <c r="D71" s="3" t="n"/>
      <c r="E71" s="3" t="n"/>
      <c r="F71" s="3" t="n"/>
      <c r="G71" s="3" t="n"/>
      <c r="H71" s="3" t="n"/>
    </row>
    <row r="72">
      <c r="D72" s="3" t="n"/>
      <c r="E72" s="3" t="n"/>
      <c r="F72" s="3" t="n"/>
      <c r="G72" s="3" t="n"/>
      <c r="H72" s="3" t="n"/>
    </row>
    <row r="73">
      <c r="D73" s="3" t="n"/>
      <c r="E73" s="3" t="n"/>
      <c r="F73" s="3" t="n"/>
      <c r="G73" s="3" t="n"/>
      <c r="H73" s="3" t="n"/>
    </row>
    <row r="74">
      <c r="D74" s="3" t="n"/>
      <c r="E74" s="3" t="n"/>
      <c r="F74" s="3" t="n"/>
      <c r="G74" s="3" t="n"/>
      <c r="H74" s="3" t="n"/>
    </row>
    <row r="75">
      <c r="D75" s="3" t="n"/>
      <c r="E75" s="3" t="n"/>
      <c r="F75" s="3" t="n"/>
      <c r="G75" s="3" t="n"/>
      <c r="H75" s="3" t="n"/>
    </row>
    <row r="76">
      <c r="D76" s="3" t="n"/>
      <c r="E76" s="3" t="n"/>
      <c r="F76" s="3" t="n"/>
      <c r="G76" s="3" t="n"/>
      <c r="H76" s="3" t="n"/>
    </row>
    <row r="77">
      <c r="D77" s="3" t="n"/>
      <c r="E77" s="3" t="n"/>
      <c r="F77" s="3" t="n"/>
      <c r="G77" s="3" t="n"/>
      <c r="H77" s="3" t="n"/>
    </row>
    <row r="78">
      <c r="D78" s="3" t="n"/>
      <c r="E78" s="3" t="n"/>
      <c r="F78" s="3" t="n"/>
      <c r="G78" s="3" t="n"/>
      <c r="H78" s="3" t="n"/>
    </row>
    <row r="79">
      <c r="D79" s="3" t="n"/>
      <c r="E79" s="3" t="n"/>
      <c r="F79" s="3" t="n"/>
      <c r="G79" s="3" t="n"/>
      <c r="H79" s="3" t="n"/>
    </row>
    <row r="80">
      <c r="D80" s="3" t="n"/>
      <c r="E80" s="3" t="n"/>
      <c r="F80" s="3" t="n"/>
      <c r="G80" s="3" t="n"/>
      <c r="H80" s="3" t="n"/>
    </row>
    <row r="81">
      <c r="D81" s="3" t="n"/>
      <c r="E81" s="3" t="n"/>
      <c r="F81" s="3" t="n"/>
      <c r="G81" s="3" t="n"/>
      <c r="H81" s="3" t="n"/>
    </row>
    <row r="82">
      <c r="D82" s="3" t="n"/>
      <c r="E82" s="3" t="n"/>
      <c r="F82" s="3" t="n"/>
      <c r="G82" s="3" t="n"/>
      <c r="H82" s="3" t="n"/>
    </row>
    <row r="83">
      <c r="D83" s="3" t="n"/>
      <c r="E83" s="3" t="n"/>
      <c r="F83" s="3" t="n"/>
      <c r="G83" s="3" t="n"/>
      <c r="H83" s="3" t="n"/>
    </row>
    <row r="84">
      <c r="D84" s="3" t="n"/>
      <c r="E84" s="3" t="n"/>
      <c r="F84" s="3" t="n"/>
      <c r="G84" s="3" t="n"/>
      <c r="H84" s="3" t="n"/>
    </row>
    <row r="85">
      <c r="D85" s="3" t="n"/>
      <c r="E85" s="3" t="n"/>
      <c r="F85" s="3" t="n"/>
      <c r="G85" s="3" t="n"/>
      <c r="H85" s="3" t="n"/>
    </row>
    <row r="86">
      <c r="D86" s="3" t="n"/>
      <c r="E86" s="3" t="n"/>
      <c r="F86" s="3" t="n"/>
      <c r="G86" s="3" t="n"/>
      <c r="H86" s="3" t="n"/>
    </row>
    <row r="87">
      <c r="D87" s="3" t="n"/>
      <c r="E87" s="3" t="n"/>
      <c r="F87" s="3" t="n"/>
      <c r="G87" s="3" t="n"/>
      <c r="H87" s="3" t="n"/>
    </row>
    <row r="88">
      <c r="D88" s="3" t="n"/>
      <c r="E88" s="3" t="n"/>
      <c r="F88" s="3" t="n"/>
      <c r="G88" s="3" t="n"/>
      <c r="H88" s="3" t="n"/>
    </row>
    <row r="89">
      <c r="D89" s="3" t="n"/>
      <c r="E89" s="3" t="n"/>
      <c r="F89" s="3" t="n"/>
      <c r="G89" s="3" t="n"/>
      <c r="H89" s="3" t="n"/>
    </row>
    <row r="90">
      <c r="D90" s="3" t="n"/>
      <c r="E90" s="3" t="n"/>
      <c r="F90" s="3" t="n"/>
      <c r="G90" s="3" t="n"/>
      <c r="H90" s="3" t="n"/>
    </row>
    <row r="91">
      <c r="D91" s="3" t="n"/>
      <c r="E91" s="3" t="n"/>
      <c r="F91" s="3" t="n"/>
      <c r="G91" s="3" t="n"/>
      <c r="H91" s="3" t="n"/>
    </row>
    <row r="92">
      <c r="D92" s="3" t="n"/>
      <c r="E92" s="3" t="n"/>
      <c r="F92" s="3" t="n"/>
      <c r="G92" s="3" t="n"/>
      <c r="H92" s="3" t="n"/>
    </row>
    <row r="93">
      <c r="D93" s="3" t="n"/>
      <c r="E93" s="3" t="n"/>
      <c r="F93" s="3" t="n"/>
      <c r="G93" s="3" t="n"/>
      <c r="H93" s="3" t="n"/>
    </row>
    <row r="94">
      <c r="D94" s="3" t="n"/>
      <c r="E94" s="3" t="n"/>
      <c r="F94" s="3" t="n"/>
      <c r="G94" s="3" t="n"/>
      <c r="H94" s="3" t="n"/>
    </row>
    <row r="95">
      <c r="D95" s="3" t="n"/>
      <c r="E95" s="3" t="n"/>
      <c r="F95" s="3" t="n"/>
      <c r="G95" s="3" t="n"/>
      <c r="H95" s="3" t="n"/>
    </row>
    <row r="96">
      <c r="D96" s="3" t="n"/>
      <c r="E96" s="3" t="n"/>
      <c r="F96" s="3" t="n"/>
      <c r="G96" s="3" t="n"/>
      <c r="H96" s="3" t="n"/>
    </row>
    <row r="97">
      <c r="D97" s="3" t="n"/>
      <c r="E97" s="3" t="n"/>
      <c r="F97" s="3" t="n"/>
      <c r="G97" s="3" t="n"/>
      <c r="H97" s="3" t="n"/>
    </row>
    <row r="98">
      <c r="D98" s="3" t="n"/>
      <c r="E98" s="3" t="n"/>
      <c r="F98" s="3" t="n"/>
      <c r="G98" s="3" t="n"/>
      <c r="H98" s="3" t="n"/>
    </row>
    <row r="99">
      <c r="D99" s="3" t="n"/>
      <c r="E99" s="3" t="n"/>
      <c r="F99" s="3" t="n"/>
      <c r="G99" s="3" t="n"/>
      <c r="H99" s="3" t="n"/>
    </row>
    <row r="100">
      <c r="D100" s="3" t="n"/>
      <c r="E100" s="3" t="n"/>
      <c r="F100" s="3" t="n"/>
      <c r="G100" s="3" t="n"/>
      <c r="H100" s="3" t="n"/>
    </row>
    <row r="101">
      <c r="D101" s="3" t="n"/>
      <c r="E101" s="3" t="n"/>
      <c r="F101" s="3" t="n"/>
      <c r="G101" s="3" t="n"/>
      <c r="H101" s="3" t="n"/>
    </row>
    <row r="102">
      <c r="D102" s="3" t="n"/>
      <c r="E102" s="3" t="n"/>
      <c r="F102" s="3" t="n"/>
      <c r="G102" s="3" t="n"/>
      <c r="H102" s="3" t="n"/>
    </row>
    <row r="103">
      <c r="D103" s="3" t="n"/>
      <c r="E103" s="3" t="n"/>
      <c r="F103" s="3" t="n"/>
      <c r="G103" s="3" t="n"/>
      <c r="H103" s="3" t="n"/>
    </row>
    <row r="104">
      <c r="D104" s="3" t="n"/>
      <c r="E104" s="3" t="n"/>
      <c r="F104" s="3" t="n"/>
      <c r="G104" s="3" t="n"/>
      <c r="H104" s="3" t="n"/>
    </row>
    <row r="105">
      <c r="D105" s="3" t="n"/>
      <c r="E105" s="3" t="n"/>
      <c r="F105" s="3" t="n"/>
      <c r="G105" s="3" t="n"/>
      <c r="H105" s="3" t="n"/>
    </row>
    <row r="106">
      <c r="D106" s="3" t="n"/>
      <c r="E106" s="3" t="n"/>
      <c r="F106" s="3" t="n"/>
      <c r="G106" s="3" t="n"/>
      <c r="H106" s="3" t="n"/>
    </row>
    <row r="107">
      <c r="D107" s="3" t="n"/>
      <c r="E107" s="3" t="n"/>
      <c r="F107" s="3" t="n"/>
      <c r="G107" s="3" t="n"/>
      <c r="H107" s="3" t="n"/>
    </row>
    <row r="108">
      <c r="D108" s="3" t="n"/>
      <c r="E108" s="3" t="n"/>
      <c r="F108" s="3" t="n"/>
      <c r="G108" s="3" t="n"/>
      <c r="H108" s="3" t="n"/>
    </row>
    <row r="109">
      <c r="D109" s="3" t="n"/>
      <c r="E109" s="3" t="n"/>
      <c r="F109" s="3" t="n"/>
      <c r="G109" s="3" t="n"/>
      <c r="H109" s="3" t="n"/>
    </row>
    <row r="110">
      <c r="D110" s="3" t="n"/>
      <c r="E110" s="3" t="n"/>
      <c r="F110" s="3" t="n"/>
      <c r="G110" s="3" t="n"/>
      <c r="H110" s="3" t="n"/>
    </row>
    <row r="111">
      <c r="D111" s="3" t="n"/>
      <c r="E111" s="3" t="n"/>
      <c r="F111" s="3" t="n"/>
      <c r="G111" s="3" t="n"/>
      <c r="H111" s="3" t="n"/>
    </row>
    <row r="112">
      <c r="D112" s="3" t="n"/>
      <c r="E112" s="3" t="n"/>
      <c r="F112" s="3" t="n"/>
      <c r="G112" s="3" t="n"/>
      <c r="H112" s="3" t="n"/>
    </row>
    <row r="113">
      <c r="D113" s="3" t="n"/>
      <c r="E113" s="3" t="n"/>
      <c r="F113" s="3" t="n"/>
      <c r="G113" s="3" t="n"/>
      <c r="H113" s="3" t="n"/>
    </row>
    <row r="114">
      <c r="D114" s="3" t="n"/>
      <c r="E114" s="3" t="n"/>
      <c r="F114" s="3" t="n"/>
      <c r="G114" s="3" t="n"/>
      <c r="H114" s="3" t="n"/>
    </row>
    <row r="115">
      <c r="D115" s="3" t="n"/>
      <c r="E115" s="3" t="n"/>
      <c r="F115" s="3" t="n"/>
      <c r="G115" s="3" t="n"/>
      <c r="H115" s="3" t="n"/>
    </row>
    <row r="116">
      <c r="D116" s="3" t="n"/>
      <c r="E116" s="3" t="n"/>
      <c r="F116" s="3" t="n"/>
      <c r="G116" s="3" t="n"/>
      <c r="H116" s="3" t="n"/>
    </row>
    <row r="117">
      <c r="D117" s="3" t="n"/>
      <c r="E117" s="3" t="n"/>
      <c r="F117" s="3" t="n"/>
      <c r="G117" s="3" t="n"/>
      <c r="H117" s="3" t="n"/>
    </row>
    <row r="118">
      <c r="D118" s="3" t="n"/>
      <c r="E118" s="3" t="n"/>
      <c r="F118" s="3" t="n"/>
      <c r="G118" s="3" t="n"/>
      <c r="H118" s="3" t="n"/>
    </row>
    <row r="119">
      <c r="D119" s="3" t="n"/>
      <c r="E119" s="3" t="n"/>
      <c r="F119" s="3" t="n"/>
      <c r="G119" s="3" t="n"/>
      <c r="H119" s="3" t="n"/>
    </row>
    <row r="120">
      <c r="D120" s="3" t="n"/>
      <c r="E120" s="3" t="n"/>
      <c r="F120" s="3" t="n"/>
      <c r="G120" s="3" t="n"/>
      <c r="H120" s="3" t="n"/>
    </row>
    <row r="121">
      <c r="D121" s="3" t="n"/>
      <c r="E121" s="3" t="n"/>
      <c r="F121" s="3" t="n"/>
      <c r="G121" s="3" t="n"/>
      <c r="H121" s="3" t="n"/>
    </row>
    <row r="122">
      <c r="D122" s="3" t="n"/>
      <c r="E122" s="3" t="n"/>
      <c r="F122" s="3" t="n"/>
      <c r="G122" s="3" t="n"/>
      <c r="H122" s="3" t="n"/>
    </row>
    <row r="123">
      <c r="D123" s="3" t="n"/>
      <c r="E123" s="3" t="n"/>
      <c r="F123" s="3" t="n"/>
      <c r="G123" s="3" t="n"/>
      <c r="H123" s="3" t="n"/>
    </row>
    <row r="124">
      <c r="D124" s="3" t="n"/>
      <c r="E124" s="3" t="n"/>
      <c r="F124" s="3" t="n"/>
      <c r="G124" s="3" t="n"/>
      <c r="H124" s="3" t="n"/>
    </row>
    <row r="125">
      <c r="D125" s="3" t="n"/>
      <c r="E125" s="3" t="n"/>
      <c r="F125" s="3" t="n"/>
      <c r="G125" s="3" t="n"/>
      <c r="H125" s="3" t="n"/>
    </row>
    <row r="126">
      <c r="D126" s="3" t="n"/>
      <c r="E126" s="3" t="n"/>
      <c r="F126" s="3" t="n"/>
      <c r="G126" s="3" t="n"/>
      <c r="H126" s="3" t="n"/>
    </row>
    <row r="127">
      <c r="D127" s="3" t="n"/>
      <c r="E127" s="3" t="n"/>
      <c r="F127" s="3" t="n"/>
      <c r="G127" s="3" t="n"/>
      <c r="H127" s="3" t="n"/>
    </row>
    <row r="128">
      <c r="D128" s="3" t="n"/>
      <c r="E128" s="3" t="n"/>
      <c r="F128" s="3" t="n"/>
      <c r="G128" s="3" t="n"/>
      <c r="H128" s="3" t="n"/>
    </row>
    <row r="129">
      <c r="D129" s="3" t="n"/>
      <c r="E129" s="3" t="n"/>
      <c r="F129" s="3" t="n"/>
      <c r="G129" s="3" t="n"/>
      <c r="H129" s="3" t="n"/>
    </row>
    <row r="130">
      <c r="D130" s="3" t="n"/>
      <c r="E130" s="3" t="n"/>
      <c r="F130" s="3" t="n"/>
      <c r="G130" s="3" t="n"/>
      <c r="H130" s="3" t="n"/>
    </row>
    <row r="131">
      <c r="D131" s="3" t="n"/>
      <c r="E131" s="3" t="n"/>
      <c r="F131" s="3" t="n"/>
      <c r="G131" s="3" t="n"/>
      <c r="H131" s="3" t="n"/>
    </row>
    <row r="132">
      <c r="D132" s="3" t="n"/>
      <c r="E132" s="3" t="n"/>
      <c r="F132" s="3" t="n"/>
      <c r="G132" s="3" t="n"/>
      <c r="H132" s="3" t="n"/>
    </row>
    <row r="133">
      <c r="D133" s="3" t="n"/>
      <c r="E133" s="3" t="n"/>
      <c r="F133" s="3" t="n"/>
      <c r="G133" s="3" t="n"/>
      <c r="H133" s="3" t="n"/>
    </row>
    <row r="134">
      <c r="D134" s="3" t="n"/>
      <c r="E134" s="3" t="n"/>
      <c r="F134" s="3" t="n"/>
      <c r="G134" s="3" t="n"/>
      <c r="H134" s="3" t="n"/>
    </row>
    <row r="135">
      <c r="D135" s="3" t="n"/>
      <c r="E135" s="3" t="n"/>
      <c r="F135" s="3" t="n"/>
      <c r="G135" s="3" t="n"/>
      <c r="H135" s="3" t="n"/>
    </row>
    <row r="136">
      <c r="D136" s="3" t="n"/>
      <c r="E136" s="3" t="n"/>
      <c r="F136" s="3" t="n"/>
      <c r="G136" s="3" t="n"/>
      <c r="H136" s="3" t="n"/>
    </row>
    <row r="137">
      <c r="D137" s="3" t="n"/>
      <c r="E137" s="3" t="n"/>
      <c r="F137" s="3" t="n"/>
      <c r="G137" s="3" t="n"/>
      <c r="H137" s="3" t="n"/>
    </row>
    <row r="138">
      <c r="D138" s="3" t="n"/>
      <c r="E138" s="3" t="n"/>
      <c r="F138" s="3" t="n"/>
      <c r="G138" s="3" t="n"/>
      <c r="H138" s="3" t="n"/>
    </row>
    <row r="139">
      <c r="D139" s="3" t="n"/>
      <c r="E139" s="3" t="n"/>
      <c r="F139" s="3" t="n"/>
      <c r="G139" s="3" t="n"/>
      <c r="H139" s="3" t="n"/>
    </row>
    <row r="140">
      <c r="D140" s="3" t="n"/>
      <c r="E140" s="3" t="n"/>
      <c r="F140" s="3" t="n"/>
      <c r="G140" s="3" t="n"/>
      <c r="H140" s="3" t="n"/>
    </row>
    <row r="141">
      <c r="D141" s="3" t="n"/>
      <c r="E141" s="3" t="n"/>
      <c r="F141" s="3" t="n"/>
      <c r="G141" s="3" t="n"/>
      <c r="H141" s="3" t="n"/>
    </row>
    <row r="142">
      <c r="D142" s="3" t="n"/>
      <c r="E142" s="3" t="n"/>
      <c r="F142" s="3" t="n"/>
      <c r="G142" s="3" t="n"/>
      <c r="H142" s="3" t="n"/>
    </row>
    <row r="143">
      <c r="D143" s="3" t="n"/>
      <c r="E143" s="3" t="n"/>
      <c r="F143" s="3" t="n"/>
      <c r="G143" s="3" t="n"/>
      <c r="H143" s="3" t="n"/>
    </row>
    <row r="144">
      <c r="D144" s="3" t="n"/>
      <c r="E144" s="3" t="n"/>
      <c r="F144" s="3" t="n"/>
      <c r="G144" s="3" t="n"/>
      <c r="H144" s="3" t="n"/>
    </row>
    <row r="145">
      <c r="D145" s="3" t="n"/>
      <c r="E145" s="3" t="n"/>
      <c r="F145" s="3" t="n"/>
      <c r="G145" s="3" t="n"/>
      <c r="H145" s="3" t="n"/>
    </row>
    <row r="146">
      <c r="D146" s="3" t="n"/>
      <c r="E146" s="3" t="n"/>
      <c r="F146" s="3" t="n"/>
      <c r="G146" s="3" t="n"/>
      <c r="H146" s="3" t="n"/>
    </row>
    <row r="147">
      <c r="D147" s="3" t="n"/>
      <c r="E147" s="3" t="n"/>
      <c r="F147" s="3" t="n"/>
      <c r="G147" s="3" t="n"/>
      <c r="H147" s="3" t="n"/>
    </row>
    <row r="148">
      <c r="D148" s="3" t="n"/>
      <c r="E148" s="3" t="n"/>
      <c r="F148" s="3" t="n"/>
      <c r="G148" s="3" t="n"/>
      <c r="H148" s="3" t="n"/>
    </row>
    <row r="149">
      <c r="D149" s="3" t="n"/>
      <c r="E149" s="3" t="n"/>
      <c r="F149" s="3" t="n"/>
      <c r="G149" s="3" t="n"/>
      <c r="H149" s="3" t="n"/>
    </row>
    <row r="150">
      <c r="D150" s="3" t="n"/>
      <c r="E150" s="3" t="n"/>
      <c r="F150" s="3" t="n"/>
      <c r="G150" s="3" t="n"/>
      <c r="H150" s="3" t="n"/>
    </row>
    <row r="151">
      <c r="D151" s="3" t="n"/>
      <c r="E151" s="3" t="n"/>
      <c r="F151" s="3" t="n"/>
      <c r="G151" s="3" t="n"/>
      <c r="H151" s="3" t="n"/>
    </row>
    <row r="152">
      <c r="D152" s="3" t="n"/>
      <c r="E152" s="3" t="n"/>
      <c r="F152" s="3" t="n"/>
      <c r="G152" s="3" t="n"/>
      <c r="H152" s="3" t="n"/>
    </row>
    <row r="153">
      <c r="D153" s="3" t="n"/>
      <c r="E153" s="3" t="n"/>
      <c r="F153" s="3" t="n"/>
      <c r="G153" s="3" t="n"/>
      <c r="H153" s="3" t="n"/>
    </row>
    <row r="154">
      <c r="D154" s="3" t="n"/>
      <c r="E154" s="3" t="n"/>
      <c r="F154" s="3" t="n"/>
      <c r="G154" s="3" t="n"/>
      <c r="H154" s="3" t="n"/>
    </row>
    <row r="155">
      <c r="D155" s="3" t="n"/>
      <c r="E155" s="3" t="n"/>
      <c r="F155" s="3" t="n"/>
      <c r="G155" s="3" t="n"/>
      <c r="H155" s="3" t="n"/>
    </row>
    <row r="156">
      <c r="D156" s="3" t="n"/>
      <c r="E156" s="3" t="n"/>
      <c r="F156" s="3" t="n"/>
      <c r="G156" s="3" t="n"/>
      <c r="H156" s="3" t="n"/>
    </row>
    <row r="157">
      <c r="D157" s="3" t="n"/>
      <c r="E157" s="3" t="n"/>
      <c r="F157" s="3" t="n"/>
      <c r="G157" s="3" t="n"/>
      <c r="H157" s="3" t="n"/>
    </row>
    <row r="158">
      <c r="D158" s="3" t="n"/>
      <c r="E158" s="3" t="n"/>
      <c r="F158" s="3" t="n"/>
      <c r="G158" s="3" t="n"/>
      <c r="H158" s="3" t="n"/>
    </row>
    <row r="159">
      <c r="D159" s="3" t="n"/>
      <c r="E159" s="3" t="n"/>
      <c r="F159" s="3" t="n"/>
      <c r="G159" s="3" t="n"/>
      <c r="H159" s="3" t="n"/>
    </row>
    <row r="160">
      <c r="D160" s="3" t="n"/>
      <c r="E160" s="3" t="n"/>
      <c r="F160" s="3" t="n"/>
      <c r="G160" s="3" t="n"/>
      <c r="H160" s="3" t="n"/>
    </row>
    <row r="161">
      <c r="D161" s="3" t="n"/>
      <c r="E161" s="3" t="n"/>
      <c r="F161" s="3" t="n"/>
      <c r="G161" s="3" t="n"/>
      <c r="H161" s="3" t="n"/>
    </row>
    <row r="162">
      <c r="D162" s="3" t="n"/>
      <c r="E162" s="3" t="n"/>
      <c r="F162" s="3" t="n"/>
      <c r="G162" s="3" t="n"/>
      <c r="H162" s="3" t="n"/>
    </row>
    <row r="163">
      <c r="D163" s="3" t="n"/>
      <c r="E163" s="3" t="n"/>
      <c r="F163" s="3" t="n"/>
      <c r="G163" s="3" t="n"/>
      <c r="H163" s="3" t="n"/>
    </row>
    <row r="164">
      <c r="D164" s="3" t="n"/>
      <c r="E164" s="3" t="n"/>
      <c r="F164" s="3" t="n"/>
      <c r="G164" s="3" t="n"/>
      <c r="H164" s="3" t="n"/>
    </row>
    <row r="165">
      <c r="D165" s="3" t="n"/>
      <c r="E165" s="3" t="n"/>
      <c r="F165" s="3" t="n"/>
      <c r="G165" s="3" t="n"/>
      <c r="H165" s="3" t="n"/>
    </row>
    <row r="166">
      <c r="D166" s="3" t="n"/>
      <c r="E166" s="3" t="n"/>
      <c r="F166" s="3" t="n"/>
      <c r="G166" s="3" t="n"/>
      <c r="H166" s="3" t="n"/>
    </row>
    <row r="167">
      <c r="D167" s="3" t="n"/>
      <c r="E167" s="3" t="n"/>
      <c r="F167" s="3" t="n"/>
      <c r="G167" s="3" t="n"/>
      <c r="H167" s="3" t="n"/>
    </row>
    <row r="168">
      <c r="D168" s="3" t="n"/>
      <c r="E168" s="3" t="n"/>
      <c r="F168" s="3" t="n"/>
      <c r="G168" s="3" t="n"/>
      <c r="H168" s="3" t="n"/>
    </row>
    <row r="169">
      <c r="D169" s="3" t="n"/>
      <c r="E169" s="3" t="n"/>
      <c r="F169" s="3" t="n"/>
      <c r="G169" s="3" t="n"/>
      <c r="H169" s="3" t="n"/>
    </row>
    <row r="170">
      <c r="D170" s="3" t="n"/>
      <c r="E170" s="3" t="n"/>
      <c r="F170" s="3" t="n"/>
      <c r="G170" s="3" t="n"/>
      <c r="H170" s="3" t="n"/>
    </row>
    <row r="171">
      <c r="D171" s="3" t="n"/>
      <c r="E171" s="3" t="n"/>
      <c r="F171" s="3" t="n"/>
      <c r="G171" s="3" t="n"/>
      <c r="H171" s="3" t="n"/>
    </row>
    <row r="172">
      <c r="D172" s="3" t="n"/>
      <c r="E172" s="3" t="n"/>
      <c r="F172" s="3" t="n"/>
      <c r="G172" s="3" t="n"/>
      <c r="H172" s="3" t="n"/>
    </row>
    <row r="173">
      <c r="D173" s="3" t="n"/>
      <c r="E173" s="3" t="n"/>
      <c r="F173" s="3" t="n"/>
      <c r="G173" s="3" t="n"/>
      <c r="H173" s="3" t="n"/>
    </row>
    <row r="174">
      <c r="D174" s="3" t="n"/>
      <c r="E174" s="3" t="n"/>
      <c r="F174" s="3" t="n"/>
      <c r="G174" s="3" t="n"/>
      <c r="H174" s="3" t="n"/>
    </row>
    <row r="175">
      <c r="D175" s="3" t="n"/>
      <c r="E175" s="3" t="n"/>
      <c r="F175" s="3" t="n"/>
      <c r="G175" s="3" t="n"/>
      <c r="H175" s="3" t="n"/>
    </row>
    <row r="176">
      <c r="D176" s="3" t="n"/>
      <c r="E176" s="3" t="n"/>
      <c r="F176" s="3" t="n"/>
      <c r="G176" s="3" t="n"/>
      <c r="H176" s="3" t="n"/>
    </row>
    <row r="177">
      <c r="D177" s="3" t="n"/>
      <c r="E177" s="3" t="n"/>
      <c r="F177" s="3" t="n"/>
      <c r="G177" s="3" t="n"/>
      <c r="H177" s="3" t="n"/>
    </row>
    <row r="178">
      <c r="D178" s="3" t="n"/>
      <c r="E178" s="3" t="n"/>
      <c r="F178" s="3" t="n"/>
      <c r="G178" s="3" t="n"/>
      <c r="H178" s="3" t="n"/>
    </row>
    <row r="179">
      <c r="D179" s="3" t="n"/>
      <c r="E179" s="3" t="n"/>
      <c r="F179" s="3" t="n"/>
      <c r="G179" s="3" t="n"/>
      <c r="H179" s="3" t="n"/>
    </row>
    <row r="180">
      <c r="D180" s="3" t="n"/>
      <c r="E180" s="3" t="n"/>
      <c r="F180" s="3" t="n"/>
      <c r="G180" s="3" t="n"/>
      <c r="H180" s="3" t="n"/>
    </row>
    <row r="181">
      <c r="D181" s="3" t="n"/>
      <c r="E181" s="3" t="n"/>
      <c r="F181" s="3" t="n"/>
      <c r="G181" s="3" t="n"/>
      <c r="H181" s="3" t="n"/>
    </row>
    <row r="182">
      <c r="D182" s="3" t="n"/>
      <c r="E182" s="3" t="n"/>
      <c r="F182" s="3" t="n"/>
      <c r="G182" s="3" t="n"/>
      <c r="H182" s="3" t="n"/>
    </row>
    <row r="183">
      <c r="D183" s="3" t="n"/>
      <c r="E183" s="3" t="n"/>
      <c r="F183" s="3" t="n"/>
      <c r="G183" s="3" t="n"/>
      <c r="H183" s="3" t="n"/>
    </row>
    <row r="184">
      <c r="D184" s="3" t="n"/>
      <c r="E184" s="3" t="n"/>
      <c r="F184" s="3" t="n"/>
      <c r="G184" s="3" t="n"/>
      <c r="H184" s="3" t="n"/>
    </row>
    <row r="185">
      <c r="D185" s="3" t="n"/>
      <c r="E185" s="3" t="n"/>
      <c r="F185" s="3" t="n"/>
      <c r="G185" s="3" t="n"/>
      <c r="H185" s="3" t="n"/>
    </row>
    <row r="186">
      <c r="D186" s="3" t="n"/>
      <c r="E186" s="3" t="n"/>
      <c r="F186" s="3" t="n"/>
      <c r="G186" s="3" t="n"/>
      <c r="H186" s="3" t="n"/>
    </row>
    <row r="187">
      <c r="D187" s="3" t="n"/>
      <c r="E187" s="3" t="n"/>
      <c r="F187" s="3" t="n"/>
      <c r="G187" s="3" t="n"/>
      <c r="H187" s="3" t="n"/>
    </row>
    <row r="188">
      <c r="D188" s="3" t="n"/>
      <c r="E188" s="3" t="n"/>
      <c r="F188" s="3" t="n"/>
      <c r="G188" s="3" t="n"/>
      <c r="H188" s="3" t="n"/>
    </row>
    <row r="189">
      <c r="D189" s="3" t="n"/>
      <c r="E189" s="3" t="n"/>
      <c r="F189" s="3" t="n"/>
      <c r="G189" s="3" t="n"/>
      <c r="H189" s="3" t="n"/>
    </row>
    <row r="190">
      <c r="D190" s="3" t="n"/>
      <c r="E190" s="3" t="n"/>
      <c r="F190" s="3" t="n"/>
      <c r="G190" s="3" t="n"/>
      <c r="H190" s="3" t="n"/>
    </row>
    <row r="191">
      <c r="D191" s="3" t="n"/>
      <c r="E191" s="3" t="n"/>
      <c r="F191" s="3" t="n"/>
      <c r="G191" s="3" t="n"/>
      <c r="H191" s="3" t="n"/>
    </row>
    <row r="192">
      <c r="D192" s="3" t="n"/>
      <c r="E192" s="3" t="n"/>
      <c r="F192" s="3" t="n"/>
      <c r="G192" s="3" t="n"/>
      <c r="H192" s="3" t="n"/>
    </row>
    <row r="193">
      <c r="D193" s="3" t="n"/>
      <c r="E193" s="3" t="n"/>
      <c r="F193" s="3" t="n"/>
      <c r="G193" s="3" t="n"/>
      <c r="H193" s="3" t="n"/>
    </row>
    <row r="194">
      <c r="D194" s="3" t="n"/>
      <c r="E194" s="3" t="n"/>
      <c r="F194" s="3" t="n"/>
      <c r="G194" s="3" t="n"/>
      <c r="H194" s="3" t="n"/>
    </row>
    <row r="195">
      <c r="D195" s="3" t="n"/>
      <c r="E195" s="3" t="n"/>
      <c r="F195" s="3" t="n"/>
      <c r="G195" s="3" t="n"/>
      <c r="H195" s="3" t="n"/>
    </row>
    <row r="196">
      <c r="D196" s="3" t="n"/>
      <c r="E196" s="3" t="n"/>
      <c r="F196" s="3" t="n"/>
      <c r="G196" s="3" t="n"/>
      <c r="H196" s="3" t="n"/>
    </row>
    <row r="197">
      <c r="D197" s="3" t="n"/>
      <c r="E197" s="3" t="n"/>
      <c r="F197" s="3" t="n"/>
      <c r="G197" s="3" t="n"/>
      <c r="H197" s="3" t="n"/>
    </row>
    <row r="198">
      <c r="D198" s="3" t="n"/>
      <c r="E198" s="3" t="n"/>
      <c r="F198" s="3" t="n"/>
      <c r="G198" s="3" t="n"/>
      <c r="H198" s="3" t="n"/>
    </row>
    <row r="199">
      <c r="D199" s="3" t="n"/>
      <c r="E199" s="3" t="n"/>
      <c r="F199" s="3" t="n"/>
      <c r="G199" s="3" t="n"/>
      <c r="H199" s="3" t="n"/>
    </row>
    <row r="200">
      <c r="D200" s="3" t="n"/>
      <c r="E200" s="3" t="n"/>
      <c r="F200" s="3" t="n"/>
      <c r="G200" s="3" t="n"/>
      <c r="H200" s="3" t="n"/>
    </row>
    <row r="201">
      <c r="D201" s="3" t="n"/>
      <c r="E201" s="3" t="n"/>
      <c r="F201" s="3" t="n"/>
      <c r="G201" s="3" t="n"/>
      <c r="H201" s="3" t="n"/>
    </row>
    <row r="202">
      <c r="D202" s="3" t="n"/>
      <c r="E202" s="3" t="n"/>
      <c r="F202" s="3" t="n"/>
      <c r="G202" s="3" t="n"/>
      <c r="H202" s="3" t="n"/>
    </row>
  </sheetData>
  <autoFilter ref="A2:H2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06"/>
  <sheetViews>
    <sheetView showGridLines="0" workbookViewId="0">
      <pane ySplit="5" topLeftCell="A6" activePane="bottomLeft" state="frozen"/>
      <selection pane="bottomLeft" activeCell="A1" sqref="A1:P1"/>
    </sheetView>
  </sheetViews>
  <sheetFormatPr baseColWidth="10" defaultColWidth="9.140625" defaultRowHeight="15"/>
  <cols>
    <col width="15" customWidth="1" style="24" min="1" max="1"/>
    <col width="25" customWidth="1" style="24" min="2" max="2"/>
    <col width="12" customWidth="1" style="24" min="3" max="3"/>
    <col width="35" customWidth="1" style="24" min="4" max="4"/>
    <col width="15" customWidth="1" style="24" min="5" max="13"/>
    <col width="18" customWidth="1" style="24" min="14" max="14"/>
    <col width="15" customWidth="1" style="24" min="15" max="16"/>
  </cols>
  <sheetData>
    <row r="1" ht="21" customHeight="1" s="24">
      <c r="A1" s="23" t="inlineStr">
        <is>
          <t>Échéancier de vente — Factures</t>
        </is>
      </c>
    </row>
    <row r="2">
      <c r="A2" s="26" t="inlineStr">
        <is>
          <t>Saisie (bleu) : N° facture, Client, Type, Référence, Session, Dates, Montant, Litige.</t>
        </is>
      </c>
    </row>
    <row r="3">
      <c r="A3" s="26" t="inlineStr">
        <is>
          <t>Calculé (gris) : encaissé, reste, statut, retard, aging.</t>
        </is>
      </c>
    </row>
    <row r="4">
      <c r="A4" s="25" t="inlineStr">
        <is>
          <t>Astuce : triez/filtrez via l'entête (ligne 5).</t>
        </is>
      </c>
    </row>
    <row r="5" ht="30" customHeight="1" s="24">
      <c r="A5" s="22" t="inlineStr">
        <is>
          <t>N° Facture</t>
        </is>
      </c>
      <c r="B5" s="22" t="inlineStr">
        <is>
          <t>Client</t>
        </is>
      </c>
      <c r="C5" s="22" t="inlineStr">
        <is>
          <t>Type</t>
        </is>
      </c>
      <c r="D5" s="22" t="inlineStr">
        <is>
          <t>Référence / Libellé</t>
        </is>
      </c>
      <c r="E5" s="22" t="inlineStr">
        <is>
          <t>Session (résumé)</t>
        </is>
      </c>
      <c r="F5" s="22" t="inlineStr">
        <is>
          <t>Date Facture</t>
        </is>
      </c>
      <c r="G5" s="22" t="inlineStr">
        <is>
          <t>Date d'échéance</t>
        </is>
      </c>
      <c r="H5" s="22" t="inlineStr">
        <is>
          <t>Montant TTC (€)</t>
        </is>
      </c>
      <c r="I5" s="22" t="inlineStr">
        <is>
          <t>Encaissé total (€)</t>
        </is>
      </c>
      <c r="J5" s="22" t="inlineStr">
        <is>
          <t>Reste à encaisser (€)</t>
        </is>
      </c>
      <c r="K5" s="22" t="inlineStr">
        <is>
          <t>Date dernier règlement</t>
        </is>
      </c>
      <c r="L5" s="22" t="inlineStr">
        <is>
          <t>Nb stagiaires</t>
        </is>
      </c>
      <c r="M5" s="22" t="inlineStr">
        <is>
          <t>Litige</t>
        </is>
      </c>
      <c r="N5" s="22" t="inlineStr">
        <is>
          <t>Statut</t>
        </is>
      </c>
      <c r="O5" s="22" t="inlineStr">
        <is>
          <t>Jours de retard</t>
        </is>
      </c>
      <c r="P5" s="22" t="inlineStr">
        <is>
          <t>Aging</t>
        </is>
      </c>
    </row>
    <row r="6">
      <c r="A6" s="6" t="inlineStr">
        <is>
          <t>TAU_2025-362</t>
        </is>
      </c>
      <c r="B6" s="6" t="n">
        <v>3919</v>
      </c>
      <c r="C6" s="6" t="inlineStr">
        <is>
          <t>CPF</t>
        </is>
      </c>
      <c r="D6" s="6" t="inlineStr">
        <is>
          <t>Factur M. Puche (TEST)</t>
        </is>
      </c>
      <c r="E6" s="6" t="inlineStr">
        <is>
          <t>CFBS</t>
        </is>
      </c>
      <c r="F6" s="7" t="n">
        <v>46021</v>
      </c>
      <c r="G6" s="7" t="n">
        <v>46052</v>
      </c>
      <c r="H6" s="8" t="n">
        <v>1215</v>
      </c>
      <c r="I6" s="9">
        <f>IF($A6="","",SUMIFS(Ventes_Encaissements!$D$6:$D$3005,Ventes_Encaissements!$B$6:$B$3005,$A6))</f>
        <v/>
      </c>
      <c r="J6" s="9">
        <f>IF($A6="","",$H6-$I6)</f>
        <v/>
      </c>
      <c r="K6" s="10">
        <f>IF($A6="","",IF($I6=0,"",_xludf.AGGREGATE(14,6,Ventes_Encaissements!$C$6:$C$3005/(Ventes_Encaissements!$B$6:$B$3005=$A6),1)))</f>
        <v/>
      </c>
      <c r="L6" s="11" t="n">
        <v>1</v>
      </c>
      <c r="M6" s="12" t="n"/>
      <c r="N6" s="12">
        <f>IF($A6="","",IF($G6="","",IF($M6="Oui","Litige",IF($J6&lt;=0,"Payé",IF($I6&gt;0,"Partiel",IF(Listes!$B$3&gt;$G6,"En retard","À échoir"))))))</f>
        <v/>
      </c>
      <c r="O6" s="11">
        <f>IF($A6="","",IF(OR($G6="", $J6&lt;=0),0,MAX(0,Listes!$B$3-$G6)))</f>
        <v/>
      </c>
      <c r="P6" s="12">
        <f>IF($A6="","",IF($J6&lt;=0,"Payé",IF($M6="Oui","Litige",IF($O6=0,"À échoir",IF($O6&lt;=30,"0-30",IF($O6&lt;=60,"31-60",IF($O6&lt;=90,"61-90","90+")))))))</f>
        <v/>
      </c>
    </row>
    <row r="7">
      <c r="A7" s="6" t="inlineStr">
        <is>
          <t>TAU_2026-413</t>
        </is>
      </c>
      <c r="B7" s="6" t="inlineStr">
        <is>
          <t>PAUL RICARD</t>
        </is>
      </c>
      <c r="C7" s="6" t="inlineStr">
        <is>
          <t>B2B</t>
        </is>
      </c>
      <c r="D7" s="6" t="n"/>
      <c r="E7" s="6" t="inlineStr">
        <is>
          <t>15/01/2026 au 16/01/2026</t>
        </is>
      </c>
      <c r="F7" s="7" t="inlineStr">
        <is>
          <t>49-01-2026</t>
        </is>
      </c>
      <c r="G7" s="7" t="inlineStr"/>
      <c r="H7" s="8" t="n">
        <v>465</v>
      </c>
      <c r="I7" s="9">
        <f>IF($A7="","",SUMIFS(Ventes_Encaissements!$D$6:$D$3005,Ventes_Encaissements!$B$6:$B$3005,$A7))</f>
        <v/>
      </c>
      <c r="J7" s="9">
        <f>IF($A7="","",$H7-$I7)</f>
        <v/>
      </c>
      <c r="K7" s="10">
        <f>IF($A7="","",IF($I7=0,"",_xludf.AGGREGATE(14,6,Ventes_Encaissements!$C$6:$C$3005/(Ventes_Encaissements!$B$6:$B$3005=$A7),1)))</f>
        <v/>
      </c>
      <c r="L7" s="11">
        <f>IF($A7="","",COUNTIFS(Ventes_Detail!$B$6:$B$3005,$A7))</f>
        <v/>
      </c>
      <c r="M7" s="12" t="n"/>
      <c r="N7" s="12">
        <f>IF($A7="","",IF($G7="","",IF($M7="Oui","Litige",IF($J7&lt;=0,"Payé",IF($I7&gt;0,"Partiel",IF(Listes!$B$3&gt;$G7,"En retard","À échoir"))))))</f>
        <v/>
      </c>
      <c r="O7" s="11">
        <f>IF($A7="","",IF(OR($G7="", $J7&lt;=0),0,MAX(0,Listes!$B$3-$G7)))</f>
        <v/>
      </c>
      <c r="P7" s="12">
        <f>IF($A7="","",IF($J7&lt;=0,"Payé",IF($M7="Oui","Litige",IF($O7=0,"À échoir",IF($O7&lt;=30,"0-30",IF($O7&lt;=60,"31-60",IF($O7&lt;=90,"61-90","90+")))))))</f>
        <v/>
      </c>
    </row>
    <row r="8">
      <c r="A8" s="6" t="inlineStr">
        <is>
          <t>TAU_2026-487</t>
        </is>
      </c>
      <c r="B8" s="6" t="inlineStr"/>
      <c r="C8" s="6" t="inlineStr">
        <is>
          <t>B2B</t>
        </is>
      </c>
      <c r="D8" s="6" t="n"/>
      <c r="E8" s="6" t="inlineStr">
        <is>
          <t>03/02/2026 au 03/02/2026</t>
        </is>
      </c>
      <c r="F8" s="7" t="inlineStr">
        <is>
          <t>04-02-2026</t>
        </is>
      </c>
      <c r="G8" s="7" t="inlineStr"/>
      <c r="H8" s="8" t="n"/>
      <c r="I8" s="9">
        <f>IF($A8="","",SUMIFS(Ventes_Encaissements!$D$6:$D$3005,Ventes_Encaissements!$B$6:$B$3005,$A8))</f>
        <v/>
      </c>
      <c r="J8" s="9">
        <f>IF($A8="","",$H8-$I8)</f>
        <v/>
      </c>
      <c r="K8" s="10">
        <f>IF($A8="","",IF($I8=0,"",_xludf.AGGREGATE(14,6,Ventes_Encaissements!$C$6:$C$3005/(Ventes_Encaissements!$B$6:$B$3005=$A8),1)))</f>
        <v/>
      </c>
      <c r="L8" s="11">
        <f>IF($A8="","",COUNTIFS(Ventes_Detail!$B$6:$B$3005,$A8))</f>
        <v/>
      </c>
      <c r="M8" s="12" t="n"/>
      <c r="N8" s="12">
        <f>IF($A8="","",IF($G8="","",IF($M8="Oui","Litige",IF($J8&lt;=0,"Payé",IF($I8&gt;0,"Partiel",IF(Listes!$B$3&gt;$G8,"En retard","À échoir"))))))</f>
        <v/>
      </c>
      <c r="O8" s="11">
        <f>IF($A8="","",IF(OR($G8="", $J8&lt;=0),0,MAX(0,Listes!$B$3-$G8)))</f>
        <v/>
      </c>
      <c r="P8" s="12">
        <f>IF($A8="","",IF($J8&lt;=0,"Payé",IF($M8="Oui","Litige",IF($O8=0,"À échoir",IF($O8&lt;=30,"0-30",IF($O8&lt;=60,"31-60",IF($O8&lt;=90,"61-90","90+")))))))</f>
        <v/>
      </c>
    </row>
    <row r="9">
      <c r="A9" s="6" t="inlineStr">
        <is>
          <t>TAU_2026-487</t>
        </is>
      </c>
      <c r="B9" s="6" t="inlineStr"/>
      <c r="C9" s="6" t="inlineStr">
        <is>
          <t>B2B</t>
        </is>
      </c>
      <c r="D9" s="6" t="n"/>
      <c r="E9" s="6" t="inlineStr">
        <is>
          <t>03/02/2026 au 03/02/2026</t>
        </is>
      </c>
      <c r="F9" s="7" t="inlineStr">
        <is>
          <t>04-02-2026</t>
        </is>
      </c>
      <c r="G9" s="7" t="inlineStr"/>
      <c r="H9" s="8" t="n"/>
      <c r="I9" s="9">
        <f>IF($A9="","",SUMIFS(Ventes_Encaissements!$D$6:$D$3005,Ventes_Encaissements!$B$6:$B$3005,$A9))</f>
        <v/>
      </c>
      <c r="J9" s="9">
        <f>IF($A9="","",$H9-$I9)</f>
        <v/>
      </c>
      <c r="K9" s="10">
        <f>IF($A9="","",IF($I9=0,"",_xludf.AGGREGATE(14,6,Ventes_Encaissements!$C$6:$C$3005/(Ventes_Encaissements!$B$6:$B$3005=$A9),1)))</f>
        <v/>
      </c>
      <c r="L9" s="11">
        <f>IF($A9="","",COUNTIFS(Ventes_Detail!$B$6:$B$3005,$A9))</f>
        <v/>
      </c>
      <c r="M9" s="12" t="n"/>
      <c r="N9" s="12">
        <f>IF($A9="","",IF($G9="","",IF($M9="Oui","Litige",IF($J9&lt;=0,"Payé",IF($I9&gt;0,"Partiel",IF(Listes!$B$3&gt;$G9,"En retard","À échoir"))))))</f>
        <v/>
      </c>
      <c r="O9" s="11">
        <f>IF($A9="","",IF(OR($G9="", $J9&lt;=0),0,MAX(0,Listes!$B$3-$G9)))</f>
        <v/>
      </c>
      <c r="P9" s="12">
        <f>IF($A9="","",IF($J9&lt;=0,"Payé",IF($M9="Oui","Litige",IF($O9=0,"À échoir",IF($O9&lt;=30,"0-30",IF($O9&lt;=60,"31-60",IF($O9&lt;=90,"61-90","90+")))))))</f>
        <v/>
      </c>
    </row>
    <row r="10">
      <c r="A10" s="6" t="inlineStr">
        <is>
          <t>TAU_2026-487</t>
        </is>
      </c>
      <c r="B10" s="6" t="inlineStr"/>
      <c r="C10" s="6" t="inlineStr">
        <is>
          <t>B2B</t>
        </is>
      </c>
      <c r="D10" s="6" t="n"/>
      <c r="E10" s="6" t="inlineStr">
        <is>
          <t>03/02/2026 au 03/02/2026</t>
        </is>
      </c>
      <c r="F10" s="7" t="inlineStr">
        <is>
          <t>04-02-2026</t>
        </is>
      </c>
      <c r="G10" s="7" t="inlineStr"/>
      <c r="H10" s="8" t="n">
        <v>260</v>
      </c>
      <c r="I10" s="9">
        <f>IF($A10="","",SUMIFS(Ventes_Encaissements!$D$6:$D$3005,Ventes_Encaissements!$B$6:$B$3005,$A10))</f>
        <v/>
      </c>
      <c r="J10" s="9">
        <f>IF($A10="","",$H10-$I10)</f>
        <v/>
      </c>
      <c r="K10" s="10">
        <f>IF($A10="","",IF($I10=0,"",_xludf.AGGREGATE(14,6,Ventes_Encaissements!$C$6:$C$3005/(Ventes_Encaissements!$B$6:$B$3005=$A10),1)))</f>
        <v/>
      </c>
      <c r="L10" s="11">
        <f>IF($A10="","",COUNTIFS(Ventes_Detail!$B$6:$B$3005,$A10))</f>
        <v/>
      </c>
      <c r="M10" s="12" t="n"/>
      <c r="N10" s="12">
        <f>IF($A10="","",IF($G10="","",IF($M10="Oui","Litige",IF($J10&lt;=0,"Payé",IF($I10&gt;0,"Partiel",IF(Listes!$B$3&gt;$G10,"En retard","À échoir"))))))</f>
        <v/>
      </c>
      <c r="O10" s="11">
        <f>IF($A10="","",IF(OR($G10="", $J10&lt;=0),0,MAX(0,Listes!$B$3-$G10)))</f>
        <v/>
      </c>
      <c r="P10" s="12">
        <f>IF($A10="","",IF($J10&lt;=0,"Payé",IF($M10="Oui","Litige",IF($O10=0,"À échoir",IF($O10&lt;=30,"0-30",IF($O10&lt;=60,"31-60",IF($O10&lt;=90,"61-90","90+")))))))</f>
        <v/>
      </c>
    </row>
    <row r="11">
      <c r="A11" s="6" t="inlineStr">
        <is>
          <t>TAU_2026-559</t>
        </is>
      </c>
      <c r="B11" s="6" t="inlineStr"/>
      <c r="C11" s="6" t="inlineStr">
        <is>
          <t>B2B</t>
        </is>
      </c>
      <c r="D11" s="6" t="n"/>
      <c r="E11" s="6" t="inlineStr">
        <is>
          <t>25/02/2026 au 25/02/2026</t>
        </is>
      </c>
      <c r="F11" s="7" t="inlineStr">
        <is>
          <t>25/02/2026</t>
        </is>
      </c>
      <c r="G11" s="7" t="inlineStr"/>
      <c r="H11" s="8" t="n">
        <v>450</v>
      </c>
      <c r="I11" s="9">
        <f>IF($A11="","",SUMIFS(Ventes_Encaissements!$D$6:$D$3005,Ventes_Encaissements!$B$6:$B$3005,$A11))</f>
        <v/>
      </c>
      <c r="J11" s="9">
        <f>IF($A11="","",$H11-$I11)</f>
        <v/>
      </c>
      <c r="K11" s="10">
        <f>IF($A11="","",IF($I11=0,"",_xludf.AGGREGATE(14,6,Ventes_Encaissements!$C$6:$C$3005/(Ventes_Encaissements!$B$6:$B$3005=$A11),1)))</f>
        <v/>
      </c>
      <c r="L11" s="11">
        <f>IF($A11="","",COUNTIFS(Ventes_Detail!$B$6:$B$3005,$A11))</f>
        <v/>
      </c>
      <c r="M11" s="12" t="n"/>
      <c r="N11" s="12">
        <f>IF($A11="","",IF($G11="","",IF($M11="Oui","Litige",IF($J11&lt;=0,"Payé",IF($I11&gt;0,"Partiel",IF(Listes!$B$3&gt;$G11,"En retard","À échoir"))))))</f>
        <v/>
      </c>
      <c r="O11" s="11">
        <f>IF($A11="","",IF(OR($G11="", $J11&lt;=0),0,MAX(0,Listes!$B$3-$G11)))</f>
        <v/>
      </c>
      <c r="P11" s="12">
        <f>IF($A11="","",IF($J11&lt;=0,"Payé",IF($M11="Oui","Litige",IF($O11=0,"À échoir",IF($O11&lt;=30,"0-30",IF($O11&lt;=60,"31-60",IF($O11&lt;=90,"61-90","90+")))))))</f>
        <v/>
      </c>
    </row>
    <row r="12">
      <c r="A12" s="6" t="inlineStr">
        <is>
          <t>TAU_2026-559</t>
        </is>
      </c>
      <c r="B12" s="6" t="inlineStr"/>
      <c r="C12" s="6" t="inlineStr">
        <is>
          <t>B2B</t>
        </is>
      </c>
      <c r="D12" s="6" t="n"/>
      <c r="E12" s="6" t="inlineStr">
        <is>
          <t>25/02/2026 au 25/02/2026</t>
        </is>
      </c>
      <c r="F12" s="7" t="inlineStr">
        <is>
          <t>25-02-2026</t>
        </is>
      </c>
      <c r="G12" s="7" t="inlineStr">
        <is>
          <t>25-02-2026</t>
        </is>
      </c>
      <c r="H12" s="8" t="n">
        <v>450</v>
      </c>
      <c r="I12" s="9">
        <f>IF($A12="","",SUMIFS(Ventes_Encaissements!$D$6:$D$3005,Ventes_Encaissements!$B$6:$B$3005,$A12))</f>
        <v/>
      </c>
      <c r="J12" s="9">
        <f>IF($A12="","",$H12-$I12)</f>
        <v/>
      </c>
      <c r="K12" s="10">
        <f>IF($A12="","",IF($I12=0,"",_xludf.AGGREGATE(14,6,Ventes_Encaissements!$C$6:$C$3005/(Ventes_Encaissements!$B$6:$B$3005=$A12),1)))</f>
        <v/>
      </c>
      <c r="L12" s="11">
        <f>IF($A12="","",COUNTIFS(Ventes_Detail!$B$6:$B$3005,$A12))</f>
        <v/>
      </c>
      <c r="M12" s="12" t="n"/>
      <c r="N12" s="12">
        <f>IF($A12="","",IF($G12="","",IF($M12="Oui","Litige",IF($J12&lt;=0,"Payé",IF($I12&gt;0,"Partiel",IF(Listes!$B$3&gt;$G12,"En retard","À échoir"))))))</f>
        <v/>
      </c>
      <c r="O12" s="11">
        <f>IF($A12="","",IF(OR($G12="", $J12&lt;=0),0,MAX(0,Listes!$B$3-$G12)))</f>
        <v/>
      </c>
      <c r="P12" s="12">
        <f>IF($A12="","",IF($J12&lt;=0,"Payé",IF($M12="Oui","Litige",IF($O12=0,"À échoir",IF($O12&lt;=30,"0-30",IF($O12&lt;=60,"31-60",IF($O12&lt;=90,"61-90","90+")))))))</f>
        <v/>
      </c>
    </row>
    <row r="13">
      <c r="A13" s="6" t="inlineStr">
        <is>
          <t>TAU_2026-409</t>
        </is>
      </c>
      <c r="B13" s="6" t="inlineStr">
        <is>
          <t>PORQUEROLLES MARINE SERVICES</t>
        </is>
      </c>
      <c r="C13" s="6" t="inlineStr">
        <is>
          <t>B2B</t>
        </is>
      </c>
      <c r="D13" s="6" t="n"/>
      <c r="E13" s="6" t="inlineStr">
        <is>
          <t>15/01/2026 au 16/01/2026</t>
        </is>
      </c>
      <c r="F13" s="30" t="n">
        <v>46041</v>
      </c>
      <c r="G13" s="30" t="n">
        <v>46041</v>
      </c>
      <c r="H13" s="8" t="n">
        <v>465</v>
      </c>
      <c r="I13" s="9">
        <f>IF($A13="","",SUMIFS(Ventes_Encaissements!$D$6:$D$3005,Ventes_Encaissements!$B$6:$B$3005,$A13))</f>
        <v/>
      </c>
      <c r="J13" s="9">
        <f>IF($A13="","",$H13-$I13)</f>
        <v/>
      </c>
      <c r="K13" s="10">
        <f>IF($A13="","",IF($I13=0,"",_xludf.AGGREGATE(14,6,Ventes_Encaissements!$C$6:$C$3005/(Ventes_Encaissements!$B$6:$B$3005=$A13),1)))</f>
        <v/>
      </c>
      <c r="L13" s="11">
        <f>IF($A13="","",COUNTIFS(Ventes_Detail!$B$6:$B$3005,$A13))</f>
        <v/>
      </c>
      <c r="M13" s="12" t="n"/>
      <c r="N13" s="12">
        <f>IF($A13="","",IF($G13="","",IF($M13="Oui","Litige",IF($J13&lt;=0,"Payé",IF($I13&gt;0,"Partiel",IF(Listes!$B$3&gt;$G13,"En retard","À échoir"))))))</f>
        <v/>
      </c>
      <c r="O13" s="11">
        <f>IF($A13="","",IF(OR($G13="", $J13&lt;=0),0,MAX(0,Listes!$B$3-$G13)))</f>
        <v/>
      </c>
      <c r="P13" s="12">
        <f>IF($A13="","",IF($J13&lt;=0,"Payé",IF($M13="Oui","Litige",IF($O13=0,"À échoir",IF($O13&lt;=30,"0-30",IF($O13&lt;=60,"31-60",IF($O13&lt;=90,"61-90","90+")))))))</f>
        <v/>
      </c>
    </row>
    <row r="14">
      <c r="A14" s="6" t="inlineStr">
        <is>
          <t>TAU_2026-397</t>
        </is>
      </c>
      <c r="B14" s="6" t="inlineStr">
        <is>
          <t>Syndicat Professionnel des Pilotes de Marseille et du Golfe de Fos</t>
        </is>
      </c>
      <c r="C14" s="6" t="inlineStr">
        <is>
          <t>B2B</t>
        </is>
      </c>
      <c r="D14" s="6" t="n"/>
      <c r="E14" s="6" t="inlineStr"/>
      <c r="F14" s="30" t="n">
        <v>46034</v>
      </c>
      <c r="G14" s="30" t="n">
        <v>46064</v>
      </c>
      <c r="H14" s="8" t="n">
        <v>5.6</v>
      </c>
      <c r="I14" s="9">
        <f>IF($A14="","",SUMIFS(Ventes_Encaissements!$D$6:$D$3005,Ventes_Encaissements!$B$6:$B$3005,$A14))</f>
        <v/>
      </c>
      <c r="J14" s="9">
        <f>IF($A14="","",$H14-$I14)</f>
        <v/>
      </c>
      <c r="K14" s="10">
        <f>IF($A14="","",IF($I14=0,"",_xludf.AGGREGATE(14,6,Ventes_Encaissements!$C$6:$C$3005/(Ventes_Encaissements!$B$6:$B$3005=$A14),1)))</f>
        <v/>
      </c>
      <c r="L14" s="11">
        <f>IF($A14="","",COUNTIFS(Ventes_Detail!$B$6:$B$3005,$A14))</f>
        <v/>
      </c>
      <c r="M14" s="12" t="n"/>
      <c r="N14" s="12">
        <f>IF($A14="","",IF($G14="","",IF($M14="Oui","Litige",IF($J14&lt;=0,"Payé",IF($I14&gt;0,"Partiel",IF(Listes!$B$3&gt;$G14,"En retard","À échoir"))))))</f>
        <v/>
      </c>
      <c r="O14" s="11">
        <f>IF($A14="","",IF(OR($G14="", $J14&lt;=0),0,MAX(0,Listes!$B$3-$G14)))</f>
        <v/>
      </c>
      <c r="P14" s="12">
        <f>IF($A14="","",IF($J14&lt;=0,"Payé",IF($M14="Oui","Litige",IF($O14=0,"À échoir",IF($O14&lt;=30,"0-30",IF($O14&lt;=60,"31-60",IF($O14&lt;=90,"61-90","90+")))))))</f>
        <v/>
      </c>
    </row>
    <row r="15">
      <c r="A15" s="6" t="inlineStr">
        <is>
          <t>TAU_2026-395</t>
        </is>
      </c>
      <c r="B15" s="6" t="inlineStr"/>
      <c r="C15" s="6" t="inlineStr">
        <is>
          <t>B2B</t>
        </is>
      </c>
      <c r="D15" s="6" t="n"/>
      <c r="E15" s="6" t="inlineStr">
        <is>
          <t>09/01/2026 au 09/01/2026</t>
        </is>
      </c>
      <c r="F15" s="30" t="n">
        <v>46034</v>
      </c>
      <c r="G15" s="30" t="n">
        <v>46034</v>
      </c>
      <c r="H15" s="8" t="n">
        <v>260</v>
      </c>
      <c r="I15" s="9">
        <f>IF($A15="","",SUMIFS(Ventes_Encaissements!$D$6:$D$3005,Ventes_Encaissements!$B$6:$B$3005,$A15))</f>
        <v/>
      </c>
      <c r="J15" s="9">
        <f>IF($A15="","",$H15-$I15)</f>
        <v/>
      </c>
      <c r="K15" s="10">
        <f>IF($A15="","",IF($I15=0,"",_xludf.AGGREGATE(14,6,Ventes_Encaissements!$C$6:$C$3005/(Ventes_Encaissements!$B$6:$B$3005=$A15),1)))</f>
        <v/>
      </c>
      <c r="L15" s="11">
        <f>IF($A15="","",COUNTIFS(Ventes_Detail!$B$6:$B$3005,$A15))</f>
        <v/>
      </c>
      <c r="M15" s="12" t="n"/>
      <c r="N15" s="12">
        <f>IF($A15="","",IF($G15="","",IF($M15="Oui","Litige",IF($J15&lt;=0,"Payé",IF($I15&gt;0,"Partiel",IF(Listes!$B$3&gt;$G15,"En retard","À échoir"))))))</f>
        <v/>
      </c>
      <c r="O15" s="11">
        <f>IF($A15="","",IF(OR($G15="", $J15&lt;=0),0,MAX(0,Listes!$B$3-$G15)))</f>
        <v/>
      </c>
      <c r="P15" s="12">
        <f>IF($A15="","",IF($J15&lt;=0,"Payé",IF($M15="Oui","Litige",IF($O15=0,"À échoir",IF($O15&lt;=30,"0-30",IF($O15&lt;=60,"31-60",IF($O15&lt;=90,"61-90","90+")))))))</f>
        <v/>
      </c>
    </row>
    <row r="16">
      <c r="A16" s="6" t="inlineStr">
        <is>
          <t>TAU_2026-391</t>
        </is>
      </c>
      <c r="B16" s="6" t="inlineStr">
        <is>
          <t>POLE TAUROENTUM</t>
        </is>
      </c>
      <c r="C16" s="6" t="inlineStr">
        <is>
          <t>B2B</t>
        </is>
      </c>
      <c r="D16" s="6" t="n"/>
      <c r="E16" s="6" t="inlineStr">
        <is>
          <t>09/01/2026 au 09/01/2026</t>
        </is>
      </c>
      <c r="F16" s="30" t="n">
        <v>46034</v>
      </c>
      <c r="G16" s="30" t="n">
        <v>46034</v>
      </c>
      <c r="H16" s="8" t="n">
        <v>520</v>
      </c>
      <c r="I16" s="9">
        <f>IF($A16="","",SUMIFS(Ventes_Encaissements!$D$6:$D$3005,Ventes_Encaissements!$B$6:$B$3005,$A16))</f>
        <v/>
      </c>
      <c r="J16" s="9">
        <f>IF($A16="","",$H16-$I16)</f>
        <v/>
      </c>
      <c r="K16" s="10">
        <f>IF($A16="","",IF($I16=0,"",_xludf.AGGREGATE(14,6,Ventes_Encaissements!$C$6:$C$3005/(Ventes_Encaissements!$B$6:$B$3005=$A16),1)))</f>
        <v/>
      </c>
      <c r="L16" s="11">
        <f>IF($A16="","",COUNTIFS(Ventes_Detail!$B$6:$B$3005,$A16))</f>
        <v/>
      </c>
      <c r="M16" s="12" t="n"/>
      <c r="N16" s="12">
        <f>IF($A16="","",IF($G16="","",IF($M16="Oui","Litige",IF($J16&lt;=0,"Payé",IF($I16&gt;0,"Partiel",IF(Listes!$B$3&gt;$G16,"En retard","À échoir"))))))</f>
        <v/>
      </c>
      <c r="O16" s="11">
        <f>IF($A16="","",IF(OR($G16="", $J16&lt;=0),0,MAX(0,Listes!$B$3-$G16)))</f>
        <v/>
      </c>
      <c r="P16" s="12">
        <f>IF($A16="","",IF($J16&lt;=0,"Payé",IF($M16="Oui","Litige",IF($O16=0,"À échoir",IF($O16&lt;=30,"0-30",IF($O16&lt;=60,"31-60",IF($O16&lt;=90,"61-90","90+")))))))</f>
        <v/>
      </c>
    </row>
    <row r="17">
      <c r="A17" s="6" t="inlineStr">
        <is>
          <t>TAU_2025-343</t>
        </is>
      </c>
      <c r="B17" s="6" t="inlineStr">
        <is>
          <t>POLE TAUROENTUM</t>
        </is>
      </c>
      <c r="C17" s="6" t="inlineStr">
        <is>
          <t>B2B</t>
        </is>
      </c>
      <c r="D17" s="6" t="n"/>
      <c r="E17" s="6" t="inlineStr">
        <is>
          <t>27/10/2025 au 19/12/2025</t>
        </is>
      </c>
      <c r="F17" s="30" t="n">
        <v>46014</v>
      </c>
      <c r="G17" s="30" t="n">
        <v>46014</v>
      </c>
      <c r="H17" s="8" t="n">
        <v>3.05</v>
      </c>
      <c r="I17" s="9">
        <f>IF($A17="","",SUMIFS(Ventes_Encaissements!$D$6:$D$3005,Ventes_Encaissements!$B$6:$B$3005,$A17))</f>
        <v/>
      </c>
      <c r="J17" s="9">
        <f>IF($A17="","",$H17-$I17)</f>
        <v/>
      </c>
      <c r="K17" s="10">
        <f>IF($A17="","",IF($I17=0,"",_xludf.AGGREGATE(14,6,Ventes_Encaissements!$C$6:$C$3005/(Ventes_Encaissements!$B$6:$B$3005=$A17),1)))</f>
        <v/>
      </c>
      <c r="L17" s="11">
        <f>IF($A17="","",COUNTIFS(Ventes_Detail!$B$6:$B$3005,$A17))</f>
        <v/>
      </c>
      <c r="M17" s="12" t="n"/>
      <c r="N17" s="12">
        <f>IF($A17="","",IF($G17="","",IF($M17="Oui","Litige",IF($J17&lt;=0,"Payé",IF($I17&gt;0,"Partiel",IF(Listes!$B$3&gt;$G17,"En retard","À échoir"))))))</f>
        <v/>
      </c>
      <c r="O17" s="11">
        <f>IF($A17="","",IF(OR($G17="", $J17&lt;=0),0,MAX(0,Listes!$B$3-$G17)))</f>
        <v/>
      </c>
      <c r="P17" s="12">
        <f>IF($A17="","",IF($J17&lt;=0,"Payé",IF($M17="Oui","Litige",IF($O17=0,"À échoir",IF($O17&lt;=30,"0-30",IF($O17&lt;=60,"31-60",IF($O17&lt;=90,"61-90","90+")))))))</f>
        <v/>
      </c>
    </row>
    <row r="18">
      <c r="A18" s="6" t="inlineStr">
        <is>
          <t>TAU_2025-339</t>
        </is>
      </c>
      <c r="B18" s="6" t="inlineStr">
        <is>
          <t>CPF</t>
        </is>
      </c>
      <c r="C18" s="6" t="inlineStr">
        <is>
          <t>CPF</t>
        </is>
      </c>
      <c r="D18" s="6" t="n"/>
      <c r="E18" s="6" t="inlineStr">
        <is>
          <t>27/10/2025 au 19/12/2025</t>
        </is>
      </c>
      <c r="F18" s="30" t="n">
        <v>46013</v>
      </c>
      <c r="G18" s="30" t="n">
        <v>46013</v>
      </c>
      <c r="H18" s="8" t="n">
        <v>3.05</v>
      </c>
      <c r="I18" s="9">
        <f>IF($A18="","",SUMIFS(Ventes_Encaissements!$D$6:$D$3005,Ventes_Encaissements!$B$6:$B$3005,$A18))</f>
        <v/>
      </c>
      <c r="J18" s="9">
        <f>IF($A18="","",$H18-$I18)</f>
        <v/>
      </c>
      <c r="K18" s="10">
        <f>IF($A18="","",IF($I18=0,"",_xludf.AGGREGATE(14,6,Ventes_Encaissements!$C$6:$C$3005/(Ventes_Encaissements!$B$6:$B$3005=$A18),1)))</f>
        <v/>
      </c>
      <c r="L18" s="11">
        <f>IF($A18="","",COUNTIFS(Ventes_Detail!$B$6:$B$3005,$A18))</f>
        <v/>
      </c>
      <c r="M18" s="12" t="n"/>
      <c r="N18" s="12">
        <f>IF($A18="","",IF($G18="","",IF($M18="Oui","Litige",IF($J18&lt;=0,"Payé",IF($I18&gt;0,"Partiel",IF(Listes!$B$3&gt;$G18,"En retard","À échoir"))))))</f>
        <v/>
      </c>
      <c r="O18" s="11">
        <f>IF($A18="","",IF(OR($G18="", $J18&lt;=0),0,MAX(0,Listes!$B$3-$G18)))</f>
        <v/>
      </c>
      <c r="P18" s="12">
        <f>IF($A18="","",IF($J18&lt;=0,"Payé",IF($M18="Oui","Litige",IF($O18=0,"À échoir",IF($O18&lt;=30,"0-30",IF($O18&lt;=60,"31-60",IF($O18&lt;=90,"61-90","90+")))))))</f>
        <v/>
      </c>
    </row>
    <row r="19">
      <c r="A19" s="6" t="inlineStr">
        <is>
          <t>TAU_2025-337</t>
        </is>
      </c>
      <c r="B19" s="6" t="inlineStr">
        <is>
          <t>CPF</t>
        </is>
      </c>
      <c r="C19" s="6" t="inlineStr">
        <is>
          <t>CPF</t>
        </is>
      </c>
      <c r="D19" s="6" t="n"/>
      <c r="E19" s="6" t="inlineStr">
        <is>
          <t>27/10/2025 au 19/12/2025</t>
        </is>
      </c>
      <c r="F19" s="30" t="n">
        <v>46013</v>
      </c>
      <c r="G19" s="30" t="n">
        <v>46013</v>
      </c>
      <c r="H19" s="8" t="n">
        <v>3.05</v>
      </c>
      <c r="I19" s="9">
        <f>IF($A19="","",SUMIFS(Ventes_Encaissements!$D$6:$D$3005,Ventes_Encaissements!$B$6:$B$3005,$A19))</f>
        <v/>
      </c>
      <c r="J19" s="9">
        <f>IF($A19="","",$H19-$I19)</f>
        <v/>
      </c>
      <c r="K19" s="10">
        <f>IF($A19="","",IF($I19=0,"",_xludf.AGGREGATE(14,6,Ventes_Encaissements!$C$6:$C$3005/(Ventes_Encaissements!$B$6:$B$3005=$A19),1)))</f>
        <v/>
      </c>
      <c r="L19" s="11">
        <f>IF($A19="","",COUNTIFS(Ventes_Detail!$B$6:$B$3005,$A19))</f>
        <v/>
      </c>
      <c r="M19" s="12" t="n"/>
      <c r="N19" s="12">
        <f>IF($A19="","",IF($G19="","",IF($M19="Oui","Litige",IF($J19&lt;=0,"Payé",IF($I19&gt;0,"Partiel",IF(Listes!$B$3&gt;$G19,"En retard","À échoir"))))))</f>
        <v/>
      </c>
      <c r="O19" s="11">
        <f>IF($A19="","",IF(OR($G19="", $J19&lt;=0),0,MAX(0,Listes!$B$3-$G19)))</f>
        <v/>
      </c>
      <c r="P19" s="12">
        <f>IF($A19="","",IF($J19&lt;=0,"Payé",IF($M19="Oui","Litige",IF($O19=0,"À échoir",IF($O19&lt;=30,"0-30",IF($O19&lt;=60,"31-60",IF($O19&lt;=90,"61-90","90+")))))))</f>
        <v/>
      </c>
    </row>
    <row r="20">
      <c r="A20" s="6" t="inlineStr">
        <is>
          <t>TAU_2025-335</t>
        </is>
      </c>
      <c r="B20" s="6" t="inlineStr">
        <is>
          <t>CPF</t>
        </is>
      </c>
      <c r="C20" s="6" t="inlineStr">
        <is>
          <t>CPF</t>
        </is>
      </c>
      <c r="D20" s="6" t="n"/>
      <c r="E20" s="6" t="inlineStr">
        <is>
          <t>18/12/2025 au 19/12/2025</t>
        </is>
      </c>
      <c r="F20" s="30" t="n">
        <v>46013</v>
      </c>
      <c r="G20" s="30" t="n">
        <v>46013</v>
      </c>
      <c r="H20" s="8" t="n">
        <v>465</v>
      </c>
      <c r="I20" s="9">
        <f>IF($A20="","",SUMIFS(Ventes_Encaissements!$D$6:$D$3005,Ventes_Encaissements!$B$6:$B$3005,$A20))</f>
        <v/>
      </c>
      <c r="J20" s="9">
        <f>IF($A20="","",$H20-$I20)</f>
        <v/>
      </c>
      <c r="K20" s="10">
        <f>IF($A20="","",IF($I20=0,"",_xludf.AGGREGATE(14,6,Ventes_Encaissements!$C$6:$C$3005/(Ventes_Encaissements!$B$6:$B$3005=$A20),1)))</f>
        <v/>
      </c>
      <c r="L20" s="11">
        <f>IF($A20="","",COUNTIFS(Ventes_Detail!$B$6:$B$3005,$A20))</f>
        <v/>
      </c>
      <c r="M20" s="12" t="n"/>
      <c r="N20" s="12">
        <f>IF($A20="","",IF($G20="","",IF($M20="Oui","Litige",IF($J20&lt;=0,"Payé",IF($I20&gt;0,"Partiel",IF(Listes!$B$3&gt;$G20,"En retard","À échoir"))))))</f>
        <v/>
      </c>
      <c r="O20" s="11">
        <f>IF($A20="","",IF(OR($G20="", $J20&lt;=0),0,MAX(0,Listes!$B$3-$G20)))</f>
        <v/>
      </c>
      <c r="P20" s="12">
        <f>IF($A20="","",IF($J20&lt;=0,"Payé",IF($M20="Oui","Litige",IF($O20=0,"À échoir",IF($O20&lt;=30,"0-30",IF($O20&lt;=60,"31-60",IF($O20&lt;=90,"61-90","90+")))))))</f>
        <v/>
      </c>
    </row>
    <row r="21">
      <c r="A21" s="6" t="inlineStr">
        <is>
          <t>TAU_2025-333</t>
        </is>
      </c>
      <c r="B21" s="6" t="inlineStr">
        <is>
          <t>POLE TAUROENTUM</t>
        </is>
      </c>
      <c r="C21" s="6" t="inlineStr">
        <is>
          <t>B2B</t>
        </is>
      </c>
      <c r="D21" s="6" t="n"/>
      <c r="E21" s="6" t="inlineStr">
        <is>
          <t>18/12/2025 au 19/12/2025</t>
        </is>
      </c>
      <c r="F21" s="30" t="n">
        <v>46013</v>
      </c>
      <c r="G21" s="30" t="n">
        <v>46013</v>
      </c>
      <c r="H21" s="8" t="n">
        <v>465</v>
      </c>
      <c r="I21" s="9">
        <f>IF($A21="","",SUMIFS(Ventes_Encaissements!$D$6:$D$3005,Ventes_Encaissements!$B$6:$B$3005,$A21))</f>
        <v/>
      </c>
      <c r="J21" s="9">
        <f>IF($A21="","",$H21-$I21)</f>
        <v/>
      </c>
      <c r="K21" s="10">
        <f>IF($A21="","",IF($I21=0,"",_xludf.AGGREGATE(14,6,Ventes_Encaissements!$C$6:$C$3005/(Ventes_Encaissements!$B$6:$B$3005=$A21),1)))</f>
        <v/>
      </c>
      <c r="L21" s="11">
        <f>IF($A21="","",COUNTIFS(Ventes_Detail!$B$6:$B$3005,$A21))</f>
        <v/>
      </c>
      <c r="M21" s="12" t="n"/>
      <c r="N21" s="12">
        <f>IF($A21="","",IF($G21="","",IF($M21="Oui","Litige",IF($J21&lt;=0,"Payé",IF($I21&gt;0,"Partiel",IF(Listes!$B$3&gt;$G21,"En retard","À échoir"))))))</f>
        <v/>
      </c>
      <c r="O21" s="11">
        <f>IF($A21="","",IF(OR($G21="", $J21&lt;=0),0,MAX(0,Listes!$B$3-$G21)))</f>
        <v/>
      </c>
      <c r="P21" s="12">
        <f>IF($A21="","",IF($J21&lt;=0,"Payé",IF($M21="Oui","Litige",IF($O21=0,"À échoir",IF($O21&lt;=30,"0-30",IF($O21&lt;=60,"31-60",IF($O21&lt;=90,"61-90","90+")))))))</f>
        <v/>
      </c>
    </row>
    <row r="22">
      <c r="A22" s="6" t="inlineStr">
        <is>
          <t>TAU_2025-328</t>
        </is>
      </c>
      <c r="B22" s="6" t="inlineStr">
        <is>
          <t>CPF</t>
        </is>
      </c>
      <c r="C22" s="6" t="inlineStr">
        <is>
          <t>CPF</t>
        </is>
      </c>
      <c r="D22" s="6" t="n"/>
      <c r="E22" s="6" t="inlineStr">
        <is>
          <t>27/10/2025 au 19/12/2025</t>
        </is>
      </c>
      <c r="F22" s="30" t="n">
        <v>46013</v>
      </c>
      <c r="G22" s="30" t="n">
        <v>46013</v>
      </c>
      <c r="H22" s="8" t="n">
        <v>3.05</v>
      </c>
      <c r="I22" s="9">
        <f>IF($A22="","",SUMIFS(Ventes_Encaissements!$D$6:$D$3005,Ventes_Encaissements!$B$6:$B$3005,$A22))</f>
        <v/>
      </c>
      <c r="J22" s="9">
        <f>IF($A22="","",$H22-$I22)</f>
        <v/>
      </c>
      <c r="K22" s="10">
        <f>IF($A22="","",IF($I22=0,"",_xludf.AGGREGATE(14,6,Ventes_Encaissements!$C$6:$C$3005/(Ventes_Encaissements!$B$6:$B$3005=$A22),1)))</f>
        <v/>
      </c>
      <c r="L22" s="11">
        <f>IF($A22="","",COUNTIFS(Ventes_Detail!$B$6:$B$3005,$A22))</f>
        <v/>
      </c>
      <c r="M22" s="12" t="n"/>
      <c r="N22" s="12">
        <f>IF($A22="","",IF($G22="","",IF($M22="Oui","Litige",IF($J22&lt;=0,"Payé",IF($I22&gt;0,"Partiel",IF(Listes!$B$3&gt;$G22,"En retard","À échoir"))))))</f>
        <v/>
      </c>
      <c r="O22" s="11">
        <f>IF($A22="","",IF(OR($G22="", $J22&lt;=0),0,MAX(0,Listes!$B$3-$G22)))</f>
        <v/>
      </c>
      <c r="P22" s="12">
        <f>IF($A22="","",IF($J22&lt;=0,"Payé",IF($M22="Oui","Litige",IF($O22=0,"À échoir",IF($O22&lt;=30,"0-30",IF($O22&lt;=60,"31-60",IF($O22&lt;=90,"61-90","90+")))))))</f>
        <v/>
      </c>
    </row>
    <row r="23">
      <c r="A23" s="6" t="inlineStr">
        <is>
          <t>TAU_2025-325</t>
        </is>
      </c>
      <c r="B23" s="6" t="inlineStr">
        <is>
          <t>CPF</t>
        </is>
      </c>
      <c r="C23" s="6" t="inlineStr">
        <is>
          <t>CPF</t>
        </is>
      </c>
      <c r="D23" s="6" t="n"/>
      <c r="E23" s="6" t="inlineStr">
        <is>
          <t>18/12/2025 au 19/12/2025</t>
        </is>
      </c>
      <c r="F23" s="30" t="n">
        <v>46013</v>
      </c>
      <c r="G23" s="30" t="n">
        <v>46013</v>
      </c>
      <c r="H23" s="8" t="n">
        <v>465</v>
      </c>
      <c r="I23" s="9">
        <f>IF($A23="","",SUMIFS(Ventes_Encaissements!$D$6:$D$3005,Ventes_Encaissements!$B$6:$B$3005,$A23))</f>
        <v/>
      </c>
      <c r="J23" s="9">
        <f>IF($A23="","",$H23-$I23)</f>
        <v/>
      </c>
      <c r="K23" s="10">
        <f>IF($A23="","",IF($I23=0,"",_xludf.AGGREGATE(14,6,Ventes_Encaissements!$C$6:$C$3005/(Ventes_Encaissements!$B$6:$B$3005=$A23),1)))</f>
        <v/>
      </c>
      <c r="L23" s="11">
        <f>IF($A23="","",COUNTIFS(Ventes_Detail!$B$6:$B$3005,$A23))</f>
        <v/>
      </c>
      <c r="M23" s="12" t="n"/>
      <c r="N23" s="12">
        <f>IF($A23="","",IF($G23="","",IF($M23="Oui","Litige",IF($J23&lt;=0,"Payé",IF($I23&gt;0,"Partiel",IF(Listes!$B$3&gt;$G23,"En retard","À échoir"))))))</f>
        <v/>
      </c>
      <c r="O23" s="11">
        <f>IF($A23="","",IF(OR($G23="", $J23&lt;=0),0,MAX(0,Listes!$B$3-$G23)))</f>
        <v/>
      </c>
      <c r="P23" s="12">
        <f>IF($A23="","",IF($J23&lt;=0,"Payé",IF($M23="Oui","Litige",IF($O23=0,"À échoir",IF($O23&lt;=30,"0-30",IF($O23&lt;=60,"31-60",IF($O23&lt;=90,"61-90","90+")))))))</f>
        <v/>
      </c>
    </row>
    <row r="24">
      <c r="A24" s="6" t="inlineStr">
        <is>
          <t>TAU_2025-321</t>
        </is>
      </c>
      <c r="B24" s="6" t="inlineStr">
        <is>
          <t>CPF</t>
        </is>
      </c>
      <c r="C24" s="6" t="inlineStr">
        <is>
          <t>CPF</t>
        </is>
      </c>
      <c r="D24" s="6" t="n"/>
      <c r="E24" s="6" t="inlineStr">
        <is>
          <t>18/12/2025 au 19/12/2025</t>
        </is>
      </c>
      <c r="F24" s="30" t="n">
        <v>46013</v>
      </c>
      <c r="G24" s="30" t="n">
        <v>46013</v>
      </c>
      <c r="H24" s="8" t="n">
        <v>465</v>
      </c>
      <c r="I24" s="9">
        <f>IF($A24="","",SUMIFS(Ventes_Encaissements!$D$6:$D$3005,Ventes_Encaissements!$B$6:$B$3005,$A24))</f>
        <v/>
      </c>
      <c r="J24" s="9">
        <f>IF($A24="","",$H24-$I24)</f>
        <v/>
      </c>
      <c r="K24" s="10">
        <f>IF($A24="","",IF($I24=0,"",_xludf.AGGREGATE(14,6,Ventes_Encaissements!$C$6:$C$3005/(Ventes_Encaissements!$B$6:$B$3005=$A24),1)))</f>
        <v/>
      </c>
      <c r="L24" s="11">
        <f>IF($A24="","",COUNTIFS(Ventes_Detail!$B$6:$B$3005,$A24))</f>
        <v/>
      </c>
      <c r="M24" s="12" t="n"/>
      <c r="N24" s="12">
        <f>IF($A24="","",IF($G24="","",IF($M24="Oui","Litige",IF($J24&lt;=0,"Payé",IF($I24&gt;0,"Partiel",IF(Listes!$B$3&gt;$G24,"En retard","À échoir"))))))</f>
        <v/>
      </c>
      <c r="O24" s="11">
        <f>IF($A24="","",IF(OR($G24="", $J24&lt;=0),0,MAX(0,Listes!$B$3-$G24)))</f>
        <v/>
      </c>
      <c r="P24" s="12">
        <f>IF($A24="","",IF($J24&lt;=0,"Payé",IF($M24="Oui","Litige",IF($O24=0,"À échoir",IF($O24&lt;=30,"0-30",IF($O24&lt;=60,"31-60",IF($O24&lt;=90,"61-90","90+")))))))</f>
        <v/>
      </c>
    </row>
    <row r="25">
      <c r="A25" s="6" t="inlineStr">
        <is>
          <t>TAU_2025-320</t>
        </is>
      </c>
      <c r="B25" s="6" t="inlineStr">
        <is>
          <t>CPF</t>
        </is>
      </c>
      <c r="C25" s="6" t="inlineStr">
        <is>
          <t>CPF</t>
        </is>
      </c>
      <c r="D25" s="6" t="n"/>
      <c r="E25" s="6" t="inlineStr">
        <is>
          <t>18/12/2025 au 19/12/2025</t>
        </is>
      </c>
      <c r="F25" s="30" t="n">
        <v>46013</v>
      </c>
      <c r="G25" s="30" t="n">
        <v>46013</v>
      </c>
      <c r="H25" s="8" t="n">
        <v>465</v>
      </c>
      <c r="I25" s="9">
        <f>IF($A25="","",SUMIFS(Ventes_Encaissements!$D$6:$D$3005,Ventes_Encaissements!$B$6:$B$3005,$A25))</f>
        <v/>
      </c>
      <c r="J25" s="9">
        <f>IF($A25="","",$H25-$I25)</f>
        <v/>
      </c>
      <c r="K25" s="10">
        <f>IF($A25="","",IF($I25=0,"",_xludf.AGGREGATE(14,6,Ventes_Encaissements!$C$6:$C$3005/(Ventes_Encaissements!$B$6:$B$3005=$A25),1)))</f>
        <v/>
      </c>
      <c r="L25" s="11">
        <f>IF($A25="","",COUNTIFS(Ventes_Detail!$B$6:$B$3005,$A25))</f>
        <v/>
      </c>
      <c r="M25" s="12" t="n"/>
      <c r="N25" s="12">
        <f>IF($A25="","",IF($G25="","",IF($M25="Oui","Litige",IF($J25&lt;=0,"Payé",IF($I25&gt;0,"Partiel",IF(Listes!$B$3&gt;$G25,"En retard","À échoir"))))))</f>
        <v/>
      </c>
      <c r="O25" s="11">
        <f>IF($A25="","",IF(OR($G25="", $J25&lt;=0),0,MAX(0,Listes!$B$3-$G25)))</f>
        <v/>
      </c>
      <c r="P25" s="12">
        <f>IF($A25="","",IF($J25&lt;=0,"Payé",IF($M25="Oui","Litige",IF($O25=0,"À échoir",IF($O25&lt;=30,"0-30",IF($O25&lt;=60,"31-60",IF($O25&lt;=90,"61-90","90+")))))))</f>
        <v/>
      </c>
    </row>
    <row r="26">
      <c r="A26" s="6" t="inlineStr">
        <is>
          <t>TAU_2025-318</t>
        </is>
      </c>
      <c r="B26" s="6" t="inlineStr">
        <is>
          <t>POLE TAUROENTUM</t>
        </is>
      </c>
      <c r="C26" s="6" t="inlineStr">
        <is>
          <t>B2B</t>
        </is>
      </c>
      <c r="D26" s="6" t="n"/>
      <c r="E26" s="6" t="inlineStr">
        <is>
          <t>11/12/2025 au 11/12/2025</t>
        </is>
      </c>
      <c r="F26" s="30" t="n">
        <v>46010</v>
      </c>
      <c r="G26" s="30" t="n">
        <v>46010</v>
      </c>
      <c r="H26" s="8" t="n">
        <v>260</v>
      </c>
      <c r="I26" s="9">
        <f>IF($A26="","",SUMIFS(Ventes_Encaissements!$D$6:$D$3005,Ventes_Encaissements!$B$6:$B$3005,$A26))</f>
        <v/>
      </c>
      <c r="J26" s="9">
        <f>IF($A26="","",$H26-$I26)</f>
        <v/>
      </c>
      <c r="K26" s="10">
        <f>IF($A26="","",IF($I26=0,"",_xludf.AGGREGATE(14,6,Ventes_Encaissements!$C$6:$C$3005/(Ventes_Encaissements!$B$6:$B$3005=$A26),1)))</f>
        <v/>
      </c>
      <c r="L26" s="11">
        <f>IF($A26="","",COUNTIFS(Ventes_Detail!$B$6:$B$3005,$A26))</f>
        <v/>
      </c>
      <c r="M26" s="12" t="n"/>
      <c r="N26" s="12">
        <f>IF($A26="","",IF($G26="","",IF($M26="Oui","Litige",IF($J26&lt;=0,"Payé",IF($I26&gt;0,"Partiel",IF(Listes!$B$3&gt;$G26,"En retard","À échoir"))))))</f>
        <v/>
      </c>
      <c r="O26" s="11">
        <f>IF($A26="","",IF(OR($G26="", $J26&lt;=0),0,MAX(0,Listes!$B$3-$G26)))</f>
        <v/>
      </c>
      <c r="P26" s="12">
        <f>IF($A26="","",IF($J26&lt;=0,"Payé",IF($M26="Oui","Litige",IF($O26=0,"À échoir",IF($O26&lt;=30,"0-30",IF($O26&lt;=60,"31-60",IF($O26&lt;=90,"61-90","90+")))))))</f>
        <v/>
      </c>
    </row>
    <row r="27">
      <c r="A27" s="6" t="inlineStr">
        <is>
          <t>TAU_2025-306</t>
        </is>
      </c>
      <c r="B27" s="6" t="inlineStr">
        <is>
          <t>POLE TAUROENTUM</t>
        </is>
      </c>
      <c r="C27" s="6" t="inlineStr">
        <is>
          <t>B2B</t>
        </is>
      </c>
      <c r="D27" s="6" t="n"/>
      <c r="E27" s="6" t="inlineStr">
        <is>
          <t>11/12/2025 au 11/12/2025</t>
        </is>
      </c>
      <c r="F27" s="30" t="n">
        <v>46010</v>
      </c>
      <c r="G27" s="30" t="n">
        <v>46040</v>
      </c>
      <c r="H27" s="8" t="n">
        <v>260</v>
      </c>
      <c r="I27" s="9">
        <f>IF($A27="","",SUMIFS(Ventes_Encaissements!$D$6:$D$3005,Ventes_Encaissements!$B$6:$B$3005,$A27))</f>
        <v/>
      </c>
      <c r="J27" s="9">
        <f>IF($A27="","",$H27-$I27)</f>
        <v/>
      </c>
      <c r="K27" s="10">
        <f>IF($A27="","",IF($I27=0,"",_xludf.AGGREGATE(14,6,Ventes_Encaissements!$C$6:$C$3005/(Ventes_Encaissements!$B$6:$B$3005=$A27),1)))</f>
        <v/>
      </c>
      <c r="L27" s="11">
        <f>IF($A27="","",COUNTIFS(Ventes_Detail!$B$6:$B$3005,$A27))</f>
        <v/>
      </c>
      <c r="M27" s="12" t="n"/>
      <c r="N27" s="12">
        <f>IF($A27="","",IF($G27="","",IF($M27="Oui","Litige",IF($J27&lt;=0,"Payé",IF($I27&gt;0,"Partiel",IF(Listes!$B$3&gt;$G27,"En retard","À échoir"))))))</f>
        <v/>
      </c>
      <c r="O27" s="11">
        <f>IF($A27="","",IF(OR($G27="", $J27&lt;=0),0,MAX(0,Listes!$B$3-$G27)))</f>
        <v/>
      </c>
      <c r="P27" s="12">
        <f>IF($A27="","",IF($J27&lt;=0,"Payé",IF($M27="Oui","Litige",IF($O27=0,"À échoir",IF($O27&lt;=30,"0-30",IF($O27&lt;=60,"31-60",IF($O27&lt;=90,"61-90","90+")))))))</f>
        <v/>
      </c>
    </row>
    <row r="28">
      <c r="A28" s="6" t="inlineStr">
        <is>
          <t>TAU_2025-315</t>
        </is>
      </c>
      <c r="B28" s="6" t="inlineStr"/>
      <c r="C28" s="6" t="inlineStr">
        <is>
          <t>B2B</t>
        </is>
      </c>
      <c r="D28" s="6" t="n"/>
      <c r="E28" s="6" t="inlineStr">
        <is>
          <t>16/12/2025 au 16/12/2025</t>
        </is>
      </c>
      <c r="F28" s="30" t="n">
        <v>46009</v>
      </c>
      <c r="G28" s="30" t="n">
        <v>46039</v>
      </c>
      <c r="H28" s="8" t="n">
        <v>2.4</v>
      </c>
      <c r="I28" s="9">
        <f>IF($A28="","",SUMIFS(Ventes_Encaissements!$D$6:$D$3005,Ventes_Encaissements!$B$6:$B$3005,$A28))</f>
        <v/>
      </c>
      <c r="J28" s="9">
        <f>IF($A28="","",$H28-$I28)</f>
        <v/>
      </c>
      <c r="K28" s="10">
        <f>IF($A28="","",IF($I28=0,"",_xludf.AGGREGATE(14,6,Ventes_Encaissements!$C$6:$C$3005/(Ventes_Encaissements!$B$6:$B$3005=$A28),1)))</f>
        <v/>
      </c>
      <c r="L28" s="11">
        <f>IF($A28="","",COUNTIFS(Ventes_Detail!$B$6:$B$3005,$A28))</f>
        <v/>
      </c>
      <c r="M28" s="12" t="n"/>
      <c r="N28" s="12">
        <f>IF($A28="","",IF($G28="","",IF($M28="Oui","Litige",IF($J28&lt;=0,"Payé",IF($I28&gt;0,"Partiel",IF(Listes!$B$3&gt;$G28,"En retard","À échoir"))))))</f>
        <v/>
      </c>
      <c r="O28" s="11">
        <f>IF($A28="","",IF(OR($G28="", $J28&lt;=0),0,MAX(0,Listes!$B$3-$G28)))</f>
        <v/>
      </c>
      <c r="P28" s="12">
        <f>IF($A28="","",IF($J28&lt;=0,"Payé",IF($M28="Oui","Litige",IF($O28=0,"À échoir",IF($O28&lt;=30,"0-30",IF($O28&lt;=60,"31-60",IF($O28&lt;=90,"61-90","90+")))))))</f>
        <v/>
      </c>
    </row>
    <row r="29">
      <c r="A29" s="6" t="inlineStr">
        <is>
          <t>TAU_2025-67</t>
        </is>
      </c>
      <c r="B29" s="6" t="inlineStr">
        <is>
          <t>ACPM</t>
        </is>
      </c>
      <c r="C29" s="6" t="inlineStr">
        <is>
          <t>B2B</t>
        </is>
      </c>
      <c r="D29" s="6" t="n"/>
      <c r="E29" s="6" t="inlineStr"/>
      <c r="F29" s="30" t="n">
        <v>45943</v>
      </c>
      <c r="G29" s="30" t="n">
        <v>45943</v>
      </c>
      <c r="H29" s="8" t="n">
        <v>1.5</v>
      </c>
      <c r="I29" s="9">
        <f>IF($A29="","",SUMIFS(Ventes_Encaissements!$D$6:$D$3005,Ventes_Encaissements!$B$6:$B$3005,$A29))</f>
        <v/>
      </c>
      <c r="J29" s="9">
        <f>IF($A29="","",$H29-$I29)</f>
        <v/>
      </c>
      <c r="K29" s="10">
        <f>IF($A29="","",IF($I29=0,"",_xludf.AGGREGATE(14,6,Ventes_Encaissements!$C$6:$C$3005/(Ventes_Encaissements!$B$6:$B$3005=$A29),1)))</f>
        <v/>
      </c>
      <c r="L29" s="11">
        <f>IF($A29="","",COUNTIFS(Ventes_Detail!$B$6:$B$3005,$A29))</f>
        <v/>
      </c>
      <c r="M29" s="12" t="n"/>
      <c r="N29" s="12">
        <f>IF($A29="","",IF($G29="","",IF($M29="Oui","Litige",IF($J29&lt;=0,"Payé",IF($I29&gt;0,"Partiel",IF(Listes!$B$3&gt;$G29,"En retard","À échoir"))))))</f>
        <v/>
      </c>
      <c r="O29" s="11">
        <f>IF($A29="","",IF(OR($G29="", $J29&lt;=0),0,MAX(0,Listes!$B$3-$G29)))</f>
        <v/>
      </c>
      <c r="P29" s="12">
        <f>IF($A29="","",IF($J29&lt;=0,"Payé",IF($M29="Oui","Litige",IF($O29=0,"À échoir",IF($O29&lt;=30,"0-30",IF($O29&lt;=60,"31-60",IF($O29&lt;=90,"61-90","90+")))))))</f>
        <v/>
      </c>
    </row>
    <row r="30">
      <c r="A30" s="6" t="inlineStr">
        <is>
          <t>TAU_2025-41</t>
        </is>
      </c>
      <c r="B30" s="6" t="inlineStr"/>
      <c r="C30" s="6" t="inlineStr">
        <is>
          <t>B2B</t>
        </is>
      </c>
      <c r="D30" s="6" t="n"/>
      <c r="E30" s="6" t="inlineStr">
        <is>
          <t>19/09/2025 au 19/09/2025</t>
        </is>
      </c>
      <c r="F30" s="30" t="n">
        <v>45922</v>
      </c>
      <c r="G30" s="30" t="n">
        <v>45922</v>
      </c>
      <c r="H30" s="8" t="n">
        <v>260</v>
      </c>
      <c r="I30" s="9">
        <f>IF($A30="","",SUMIFS(Ventes_Encaissements!$D$6:$D$3005,Ventes_Encaissements!$B$6:$B$3005,$A30))</f>
        <v/>
      </c>
      <c r="J30" s="9">
        <f>IF($A30="","",$H30-$I30)</f>
        <v/>
      </c>
      <c r="K30" s="10">
        <f>IF($A30="","",IF($I30=0,"",_xludf.AGGREGATE(14,6,Ventes_Encaissements!$C$6:$C$3005/(Ventes_Encaissements!$B$6:$B$3005=$A30),1)))</f>
        <v/>
      </c>
      <c r="L30" s="11">
        <f>IF($A30="","",COUNTIFS(Ventes_Detail!$B$6:$B$3005,$A30))</f>
        <v/>
      </c>
      <c r="M30" s="12" t="n"/>
      <c r="N30" s="12">
        <f>IF($A30="","",IF($G30="","",IF($M30="Oui","Litige",IF($J30&lt;=0,"Payé",IF($I30&gt;0,"Partiel",IF(Listes!$B$3&gt;$G30,"En retard","À échoir"))))))</f>
        <v/>
      </c>
      <c r="O30" s="11">
        <f>IF($A30="","",IF(OR($G30="", $J30&lt;=0),0,MAX(0,Listes!$B$3-$G30)))</f>
        <v/>
      </c>
      <c r="P30" s="12">
        <f>IF($A30="","",IF($J30&lt;=0,"Payé",IF($M30="Oui","Litige",IF($O30=0,"À échoir",IF($O30&lt;=30,"0-30",IF($O30&lt;=60,"31-60",IF($O30&lt;=90,"61-90","90+")))))))</f>
        <v/>
      </c>
    </row>
    <row r="31">
      <c r="A31" s="6" t="inlineStr">
        <is>
          <t>TAU_2026-25</t>
        </is>
      </c>
      <c r="B31" s="6" t="inlineStr"/>
      <c r="C31" s="6" t="inlineStr">
        <is>
          <t>B2B</t>
        </is>
      </c>
      <c r="D31" s="6" t="n"/>
      <c r="E31" s="6" t="inlineStr">
        <is>
          <t>11/09/2025 au 12/09/2025</t>
        </is>
      </c>
      <c r="F31" s="30" t="n">
        <v>45915</v>
      </c>
      <c r="G31" s="30" t="n">
        <v>45915</v>
      </c>
      <c r="H31" s="8" t="n">
        <v>150</v>
      </c>
      <c r="I31" s="9">
        <f>IF($A31="","",SUMIFS(Ventes_Encaissements!$D$6:$D$3005,Ventes_Encaissements!$B$6:$B$3005,$A31))</f>
        <v/>
      </c>
      <c r="J31" s="9">
        <f>IF($A31="","",$H31-$I31)</f>
        <v/>
      </c>
      <c r="K31" s="10">
        <f>IF($A31="","",IF($I31=0,"",_xludf.AGGREGATE(14,6,Ventes_Encaissements!$C$6:$C$3005/(Ventes_Encaissements!$B$6:$B$3005=$A31),1)))</f>
        <v/>
      </c>
      <c r="L31" s="11">
        <f>IF($A31="","",COUNTIFS(Ventes_Detail!$B$6:$B$3005,$A31))</f>
        <v/>
      </c>
      <c r="M31" s="12" t="n"/>
      <c r="N31" s="12">
        <f>IF($A31="","",IF($G31="","",IF($M31="Oui","Litige",IF($J31&lt;=0,"Payé",IF($I31&gt;0,"Partiel",IF(Listes!$B$3&gt;$G31,"En retard","À échoir"))))))</f>
        <v/>
      </c>
      <c r="O31" s="11">
        <f>IF($A31="","",IF(OR($G31="", $J31&lt;=0),0,MAX(0,Listes!$B$3-$G31)))</f>
        <v/>
      </c>
      <c r="P31" s="12">
        <f>IF($A31="","",IF($J31&lt;=0,"Payé",IF($M31="Oui","Litige",IF($O31=0,"À échoir",IF($O31&lt;=30,"0-30",IF($O31&lt;=60,"31-60",IF($O31&lt;=90,"61-90","90+")))))))</f>
        <v/>
      </c>
    </row>
    <row r="32">
      <c r="A32" s="6" t="inlineStr">
        <is>
          <t>TAU_2025-19</t>
        </is>
      </c>
      <c r="B32" s="6" t="inlineStr"/>
      <c r="C32" s="6" t="inlineStr">
        <is>
          <t>B2B</t>
        </is>
      </c>
      <c r="D32" s="6" t="n"/>
      <c r="E32" s="6" t="inlineStr"/>
      <c r="F32" s="30" t="n">
        <v>45912</v>
      </c>
      <c r="G32" s="30" t="n">
        <v>45912</v>
      </c>
      <c r="H32" s="8" t="n">
        <v>150</v>
      </c>
      <c r="I32" s="9">
        <f>IF($A32="","",SUMIFS(Ventes_Encaissements!$D$6:$D$3005,Ventes_Encaissements!$B$6:$B$3005,$A32))</f>
        <v/>
      </c>
      <c r="J32" s="9">
        <f>IF($A32="","",$H32-$I32)</f>
        <v/>
      </c>
      <c r="K32" s="10">
        <f>IF($A32="","",IF($I32=0,"",_xludf.AGGREGATE(14,6,Ventes_Encaissements!$C$6:$C$3005/(Ventes_Encaissements!$B$6:$B$3005=$A32),1)))</f>
        <v/>
      </c>
      <c r="L32" s="11">
        <f>IF($A32="","",COUNTIFS(Ventes_Detail!$B$6:$B$3005,$A32))</f>
        <v/>
      </c>
      <c r="M32" s="12" t="n"/>
      <c r="N32" s="12">
        <f>IF($A32="","",IF($G32="","",IF($M32="Oui","Litige",IF($J32&lt;=0,"Payé",IF($I32&gt;0,"Partiel",IF(Listes!$B$3&gt;$G32,"En retard","À échoir"))))))</f>
        <v/>
      </c>
      <c r="O32" s="11">
        <f>IF($A32="","",IF(OR($G32="", $J32&lt;=0),0,MAX(0,Listes!$B$3-$G32)))</f>
        <v/>
      </c>
      <c r="P32" s="12">
        <f>IF($A32="","",IF($J32&lt;=0,"Payé",IF($M32="Oui","Litige",IF($O32=0,"À échoir",IF($O32&lt;=30,"0-30",IF($O32&lt;=60,"31-60",IF($O32&lt;=90,"61-90","90+")))))))</f>
        <v/>
      </c>
    </row>
    <row r="33">
      <c r="A33" s="6" t="inlineStr">
        <is>
          <t>TAU_2025-14</t>
        </is>
      </c>
      <c r="B33" s="6" t="inlineStr">
        <is>
          <t>Syndicat Professionnel des Pilotes de Marseille et du Golfe de Fos</t>
        </is>
      </c>
      <c r="C33" s="6" t="inlineStr">
        <is>
          <t>B2B</t>
        </is>
      </c>
      <c r="D33" s="6" t="n"/>
      <c r="E33" s="6" t="inlineStr">
        <is>
          <t>08/09/2025 au 09/09/1202</t>
        </is>
      </c>
      <c r="F33" s="30" t="n">
        <v>45911</v>
      </c>
      <c r="G33" s="30" t="n">
        <v>45911</v>
      </c>
      <c r="H33" s="8" t="n">
        <v>450</v>
      </c>
      <c r="I33" s="9">
        <f>IF($A33="","",SUMIFS(Ventes_Encaissements!$D$6:$D$3005,Ventes_Encaissements!$B$6:$B$3005,$A33))</f>
        <v/>
      </c>
      <c r="J33" s="9">
        <f>IF($A33="","",$H33-$I33)</f>
        <v/>
      </c>
      <c r="K33" s="10">
        <f>IF($A33="","",IF($I33=0,"",_xludf.AGGREGATE(14,6,Ventes_Encaissements!$C$6:$C$3005/(Ventes_Encaissements!$B$6:$B$3005=$A33),1)))</f>
        <v/>
      </c>
      <c r="L33" s="11">
        <f>IF($A33="","",COUNTIFS(Ventes_Detail!$B$6:$B$3005,$A33))</f>
        <v/>
      </c>
      <c r="M33" s="12" t="n"/>
      <c r="N33" s="12">
        <f>IF($A33="","",IF($G33="","",IF($M33="Oui","Litige",IF($J33&lt;=0,"Payé",IF($I33&gt;0,"Partiel",IF(Listes!$B$3&gt;$G33,"En retard","À échoir"))))))</f>
        <v/>
      </c>
      <c r="O33" s="11">
        <f>IF($A33="","",IF(OR($G33="", $J33&lt;=0),0,MAX(0,Listes!$B$3-$G33)))</f>
        <v/>
      </c>
      <c r="P33" s="12">
        <f>IF($A33="","",IF($J33&lt;=0,"Payé",IF($M33="Oui","Litige",IF($O33=0,"À échoir",IF($O33&lt;=30,"0-30",IF($O33&lt;=60,"31-60",IF($O33&lt;=90,"61-90","90+")))))))</f>
        <v/>
      </c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9">
        <f>IF($A34="","",SUMIFS(Ventes_Encaissements!$D$6:$D$3005,Ventes_Encaissements!$B$6:$B$3005,$A34))</f>
        <v/>
      </c>
      <c r="J34" s="9">
        <f>IF($A34="","",$H34-$I34)</f>
        <v/>
      </c>
      <c r="K34" s="10">
        <f>IF($A34="","",IF($I34=0,"",_xludf.AGGREGATE(14,6,Ventes_Encaissements!$C$6:$C$3005/(Ventes_Encaissements!$B$6:$B$3005=$A34),1)))</f>
        <v/>
      </c>
      <c r="L34" s="11">
        <f>IF($A34="","",COUNTIFS(Ventes_Detail!$B$6:$B$3005,$A34))</f>
        <v/>
      </c>
      <c r="M34" s="12" t="n"/>
      <c r="N34" s="12">
        <f>IF($A34="","",IF($G34="","",IF($M34="Oui","Litige",IF($J34&lt;=0,"Payé",IF($I34&gt;0,"Partiel",IF(Listes!$B$3&gt;$G34,"En retard","À échoir"))))))</f>
        <v/>
      </c>
      <c r="O34" s="11">
        <f>IF($A34="","",IF(OR($G34="", $J34&lt;=0),0,MAX(0,Listes!$B$3-$G34)))</f>
        <v/>
      </c>
      <c r="P34" s="12">
        <f>IF($A34="","",IF($J34&lt;=0,"Payé",IF($M34="Oui","Litige",IF($O34=0,"À échoir",IF($O34&lt;=30,"0-30",IF($O34&lt;=60,"31-60",IF($O34&lt;=90,"61-90","90+")))))))</f>
        <v/>
      </c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9">
        <f>IF($A35="","",SUMIFS(Ventes_Encaissements!$D$6:$D$3005,Ventes_Encaissements!$B$6:$B$3005,$A35))</f>
        <v/>
      </c>
      <c r="J35" s="9">
        <f>IF($A35="","",$H35-$I35)</f>
        <v/>
      </c>
      <c r="K35" s="10">
        <f>IF($A35="","",IF($I35=0,"",_xludf.AGGREGATE(14,6,Ventes_Encaissements!$C$6:$C$3005/(Ventes_Encaissements!$B$6:$B$3005=$A35),1)))</f>
        <v/>
      </c>
      <c r="L35" s="11">
        <f>IF($A35="","",COUNTIFS(Ventes_Detail!$B$6:$B$3005,$A35))</f>
        <v/>
      </c>
      <c r="M35" s="12" t="n"/>
      <c r="N35" s="12">
        <f>IF($A35="","",IF($G35="","",IF($M35="Oui","Litige",IF($J35&lt;=0,"Payé",IF($I35&gt;0,"Partiel",IF(Listes!$B$3&gt;$G35,"En retard","À échoir"))))))</f>
        <v/>
      </c>
      <c r="O35" s="11">
        <f>IF($A35="","",IF(OR($G35="", $J35&lt;=0),0,MAX(0,Listes!$B$3-$G35)))</f>
        <v/>
      </c>
      <c r="P35" s="12">
        <f>IF($A35="","",IF($J35&lt;=0,"Payé",IF($M35="Oui","Litige",IF($O35=0,"À échoir",IF($O35&lt;=30,"0-30",IF($O35&lt;=60,"31-60",IF($O35&lt;=90,"61-90","90+")))))))</f>
        <v/>
      </c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9">
        <f>IF($A36="","",SUMIFS(Ventes_Encaissements!$D$6:$D$3005,Ventes_Encaissements!$B$6:$B$3005,$A36))</f>
        <v/>
      </c>
      <c r="J36" s="9">
        <f>IF($A36="","",$H36-$I36)</f>
        <v/>
      </c>
      <c r="K36" s="10">
        <f>IF($A36="","",IF($I36=0,"",_xludf.AGGREGATE(14,6,Ventes_Encaissements!$C$6:$C$3005/(Ventes_Encaissements!$B$6:$B$3005=$A36),1)))</f>
        <v/>
      </c>
      <c r="L36" s="11">
        <f>IF($A36="","",COUNTIFS(Ventes_Detail!$B$6:$B$3005,$A36))</f>
        <v/>
      </c>
      <c r="M36" s="12" t="n"/>
      <c r="N36" s="12">
        <f>IF($A36="","",IF($G36="","",IF($M36="Oui","Litige",IF($J36&lt;=0,"Payé",IF($I36&gt;0,"Partiel",IF(Listes!$B$3&gt;$G36,"En retard","À échoir"))))))</f>
        <v/>
      </c>
      <c r="O36" s="11">
        <f>IF($A36="","",IF(OR($G36="", $J36&lt;=0),0,MAX(0,Listes!$B$3-$G36)))</f>
        <v/>
      </c>
      <c r="P36" s="12">
        <f>IF($A36="","",IF($J36&lt;=0,"Payé",IF($M36="Oui","Litige",IF($O36=0,"À échoir",IF($O36&lt;=30,"0-30",IF($O36&lt;=60,"31-60",IF($O36&lt;=90,"61-90","90+")))))))</f>
        <v/>
      </c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9">
        <f>IF($A37="","",SUMIFS(Ventes_Encaissements!$D$6:$D$3005,Ventes_Encaissements!$B$6:$B$3005,$A37))</f>
        <v/>
      </c>
      <c r="J37" s="9">
        <f>IF($A37="","",$H37-$I37)</f>
        <v/>
      </c>
      <c r="K37" s="10">
        <f>IF($A37="","",IF($I37=0,"",_xludf.AGGREGATE(14,6,Ventes_Encaissements!$C$6:$C$3005/(Ventes_Encaissements!$B$6:$B$3005=$A37),1)))</f>
        <v/>
      </c>
      <c r="L37" s="11">
        <f>IF($A37="","",COUNTIFS(Ventes_Detail!$B$6:$B$3005,$A37))</f>
        <v/>
      </c>
      <c r="M37" s="12" t="n"/>
      <c r="N37" s="12">
        <f>IF($A37="","",IF($G37="","",IF($M37="Oui","Litige",IF($J37&lt;=0,"Payé",IF($I37&gt;0,"Partiel",IF(Listes!$B$3&gt;$G37,"En retard","À échoir"))))))</f>
        <v/>
      </c>
      <c r="O37" s="11">
        <f>IF($A37="","",IF(OR($G37="", $J37&lt;=0),0,MAX(0,Listes!$B$3-$G37)))</f>
        <v/>
      </c>
      <c r="P37" s="12">
        <f>IF($A37="","",IF($J37&lt;=0,"Payé",IF($M37="Oui","Litige",IF($O37=0,"À échoir",IF($O37&lt;=30,"0-30",IF($O37&lt;=60,"31-60",IF($O37&lt;=90,"61-90","90+")))))))</f>
        <v/>
      </c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9">
        <f>IF($A38="","",SUMIFS(Ventes_Encaissements!$D$6:$D$3005,Ventes_Encaissements!$B$6:$B$3005,$A38))</f>
        <v/>
      </c>
      <c r="J38" s="9">
        <f>IF($A38="","",$H38-$I38)</f>
        <v/>
      </c>
      <c r="K38" s="10">
        <f>IF($A38="","",IF($I38=0,"",_xludf.AGGREGATE(14,6,Ventes_Encaissements!$C$6:$C$3005/(Ventes_Encaissements!$B$6:$B$3005=$A38),1)))</f>
        <v/>
      </c>
      <c r="L38" s="11">
        <f>IF($A38="","",COUNTIFS(Ventes_Detail!$B$6:$B$3005,$A38))</f>
        <v/>
      </c>
      <c r="M38" s="12" t="n"/>
      <c r="N38" s="12">
        <f>IF($A38="","",IF($G38="","",IF($M38="Oui","Litige",IF($J38&lt;=0,"Payé",IF($I38&gt;0,"Partiel",IF(Listes!$B$3&gt;$G38,"En retard","À échoir"))))))</f>
        <v/>
      </c>
      <c r="O38" s="11">
        <f>IF($A38="","",IF(OR($G38="", $J38&lt;=0),0,MAX(0,Listes!$B$3-$G38)))</f>
        <v/>
      </c>
      <c r="P38" s="12">
        <f>IF($A38="","",IF($J38&lt;=0,"Payé",IF($M38="Oui","Litige",IF($O38=0,"À échoir",IF($O38&lt;=30,"0-30",IF($O38&lt;=60,"31-60",IF($O38&lt;=90,"61-90","90+")))))))</f>
        <v/>
      </c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9">
        <f>IF($A39="","",SUMIFS(Ventes_Encaissements!$D$6:$D$3005,Ventes_Encaissements!$B$6:$B$3005,$A39))</f>
        <v/>
      </c>
      <c r="J39" s="9">
        <f>IF($A39="","",$H39-$I39)</f>
        <v/>
      </c>
      <c r="K39" s="10">
        <f>IF($A39="","",IF($I39=0,"",_xludf.AGGREGATE(14,6,Ventes_Encaissements!$C$6:$C$3005/(Ventes_Encaissements!$B$6:$B$3005=$A39),1)))</f>
        <v/>
      </c>
      <c r="L39" s="11">
        <f>IF($A39="","",COUNTIFS(Ventes_Detail!$B$6:$B$3005,$A39))</f>
        <v/>
      </c>
      <c r="M39" s="12" t="n"/>
      <c r="N39" s="12">
        <f>IF($A39="","",IF($G39="","",IF($M39="Oui","Litige",IF($J39&lt;=0,"Payé",IF($I39&gt;0,"Partiel",IF(Listes!$B$3&gt;$G39,"En retard","À échoir"))))))</f>
        <v/>
      </c>
      <c r="O39" s="11">
        <f>IF($A39="","",IF(OR($G39="", $J39&lt;=0),0,MAX(0,Listes!$B$3-$G39)))</f>
        <v/>
      </c>
      <c r="P39" s="12">
        <f>IF($A39="","",IF($J39&lt;=0,"Payé",IF($M39="Oui","Litige",IF($O39=0,"À échoir",IF($O39&lt;=30,"0-30",IF($O39&lt;=60,"31-60",IF($O39&lt;=90,"61-90","90+")))))))</f>
        <v/>
      </c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9">
        <f>IF($A40="","",SUMIFS(Ventes_Encaissements!$D$6:$D$3005,Ventes_Encaissements!$B$6:$B$3005,$A40))</f>
        <v/>
      </c>
      <c r="J40" s="9">
        <f>IF($A40="","",$H40-$I40)</f>
        <v/>
      </c>
      <c r="K40" s="10">
        <f>IF($A40="","",IF($I40=0,"",_xludf.AGGREGATE(14,6,Ventes_Encaissements!$C$6:$C$3005/(Ventes_Encaissements!$B$6:$B$3005=$A40),1)))</f>
        <v/>
      </c>
      <c r="L40" s="11">
        <f>IF($A40="","",COUNTIFS(Ventes_Detail!$B$6:$B$3005,$A40))</f>
        <v/>
      </c>
      <c r="M40" s="12" t="n"/>
      <c r="N40" s="12">
        <f>IF($A40="","",IF($G40="","",IF($M40="Oui","Litige",IF($J40&lt;=0,"Payé",IF($I40&gt;0,"Partiel",IF(Listes!$B$3&gt;$G40,"En retard","À échoir"))))))</f>
        <v/>
      </c>
      <c r="O40" s="11">
        <f>IF($A40="","",IF(OR($G40="", $J40&lt;=0),0,MAX(0,Listes!$B$3-$G40)))</f>
        <v/>
      </c>
      <c r="P40" s="12">
        <f>IF($A40="","",IF($J40&lt;=0,"Payé",IF($M40="Oui","Litige",IF($O40=0,"À échoir",IF($O40&lt;=30,"0-30",IF($O40&lt;=60,"31-60",IF($O40&lt;=90,"61-90","90+")))))))</f>
        <v/>
      </c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9">
        <f>IF($A41="","",SUMIFS(Ventes_Encaissements!$D$6:$D$3005,Ventes_Encaissements!$B$6:$B$3005,$A41))</f>
        <v/>
      </c>
      <c r="J41" s="9">
        <f>IF($A41="","",$H41-$I41)</f>
        <v/>
      </c>
      <c r="K41" s="10">
        <f>IF($A41="","",IF($I41=0,"",_xludf.AGGREGATE(14,6,Ventes_Encaissements!$C$6:$C$3005/(Ventes_Encaissements!$B$6:$B$3005=$A41),1)))</f>
        <v/>
      </c>
      <c r="L41" s="11">
        <f>IF($A41="","",COUNTIFS(Ventes_Detail!$B$6:$B$3005,$A41))</f>
        <v/>
      </c>
      <c r="M41" s="12" t="n"/>
      <c r="N41" s="12">
        <f>IF($A41="","",IF($G41="","",IF($M41="Oui","Litige",IF($J41&lt;=0,"Payé",IF($I41&gt;0,"Partiel",IF(Listes!$B$3&gt;$G41,"En retard","À échoir"))))))</f>
        <v/>
      </c>
      <c r="O41" s="11">
        <f>IF($A41="","",IF(OR($G41="", $J41&lt;=0),0,MAX(0,Listes!$B$3-$G41)))</f>
        <v/>
      </c>
      <c r="P41" s="12">
        <f>IF($A41="","",IF($J41&lt;=0,"Payé",IF($M41="Oui","Litige",IF($O41=0,"À échoir",IF($O41&lt;=30,"0-30",IF($O41&lt;=60,"31-60",IF($O41&lt;=90,"61-90","90+")))))))</f>
        <v/>
      </c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9">
        <f>IF($A42="","",SUMIFS(Ventes_Encaissements!$D$6:$D$3005,Ventes_Encaissements!$B$6:$B$3005,$A42))</f>
        <v/>
      </c>
      <c r="J42" s="9">
        <f>IF($A42="","",$H42-$I42)</f>
        <v/>
      </c>
      <c r="K42" s="10">
        <f>IF($A42="","",IF($I42=0,"",_xludf.AGGREGATE(14,6,Ventes_Encaissements!$C$6:$C$3005/(Ventes_Encaissements!$B$6:$B$3005=$A42),1)))</f>
        <v/>
      </c>
      <c r="L42" s="11">
        <f>IF($A42="","",COUNTIFS(Ventes_Detail!$B$6:$B$3005,$A42))</f>
        <v/>
      </c>
      <c r="M42" s="12" t="n"/>
      <c r="N42" s="12">
        <f>IF($A42="","",IF($G42="","",IF($M42="Oui","Litige",IF($J42&lt;=0,"Payé",IF($I42&gt;0,"Partiel",IF(Listes!$B$3&gt;$G42,"En retard","À échoir"))))))</f>
        <v/>
      </c>
      <c r="O42" s="11">
        <f>IF($A42="","",IF(OR($G42="", $J42&lt;=0),0,MAX(0,Listes!$B$3-$G42)))</f>
        <v/>
      </c>
      <c r="P42" s="12">
        <f>IF($A42="","",IF($J42&lt;=0,"Payé",IF($M42="Oui","Litige",IF($O42=0,"À échoir",IF($O42&lt;=30,"0-30",IF($O42&lt;=60,"31-60",IF($O42&lt;=90,"61-90","90+")))))))</f>
        <v/>
      </c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9">
        <f>IF($A43="","",SUMIFS(Ventes_Encaissements!$D$6:$D$3005,Ventes_Encaissements!$B$6:$B$3005,$A43))</f>
        <v/>
      </c>
      <c r="J43" s="9">
        <f>IF($A43="","",$H43-$I43)</f>
        <v/>
      </c>
      <c r="K43" s="10">
        <f>IF($A43="","",IF($I43=0,"",_xludf.AGGREGATE(14,6,Ventes_Encaissements!$C$6:$C$3005/(Ventes_Encaissements!$B$6:$B$3005=$A43),1)))</f>
        <v/>
      </c>
      <c r="L43" s="11">
        <f>IF($A43="","",COUNTIFS(Ventes_Detail!$B$6:$B$3005,$A43))</f>
        <v/>
      </c>
      <c r="M43" s="12" t="n"/>
      <c r="N43" s="12">
        <f>IF($A43="","",IF($G43="","",IF($M43="Oui","Litige",IF($J43&lt;=0,"Payé",IF($I43&gt;0,"Partiel",IF(Listes!$B$3&gt;$G43,"En retard","À échoir"))))))</f>
        <v/>
      </c>
      <c r="O43" s="11">
        <f>IF($A43="","",IF(OR($G43="", $J43&lt;=0),0,MAX(0,Listes!$B$3-$G43)))</f>
        <v/>
      </c>
      <c r="P43" s="12">
        <f>IF($A43="","",IF($J43&lt;=0,"Payé",IF($M43="Oui","Litige",IF($O43=0,"À échoir",IF($O43&lt;=30,"0-30",IF($O43&lt;=60,"31-60",IF($O43&lt;=90,"61-90","90+")))))))</f>
        <v/>
      </c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9">
        <f>IF($A44="","",SUMIFS(Ventes_Encaissements!$D$6:$D$3005,Ventes_Encaissements!$B$6:$B$3005,$A44))</f>
        <v/>
      </c>
      <c r="J44" s="9">
        <f>IF($A44="","",$H44-$I44)</f>
        <v/>
      </c>
      <c r="K44" s="10">
        <f>IF($A44="","",IF($I44=0,"",_xludf.AGGREGATE(14,6,Ventes_Encaissements!$C$6:$C$3005/(Ventes_Encaissements!$B$6:$B$3005=$A44),1)))</f>
        <v/>
      </c>
      <c r="L44" s="11">
        <f>IF($A44="","",COUNTIFS(Ventes_Detail!$B$6:$B$3005,$A44))</f>
        <v/>
      </c>
      <c r="M44" s="12" t="n"/>
      <c r="N44" s="12">
        <f>IF($A44="","",IF($G44="","",IF($M44="Oui","Litige",IF($J44&lt;=0,"Payé",IF($I44&gt;0,"Partiel",IF(Listes!$B$3&gt;$G44,"En retard","À échoir"))))))</f>
        <v/>
      </c>
      <c r="O44" s="11">
        <f>IF($A44="","",IF(OR($G44="", $J44&lt;=0),0,MAX(0,Listes!$B$3-$G44)))</f>
        <v/>
      </c>
      <c r="P44" s="12">
        <f>IF($A44="","",IF($J44&lt;=0,"Payé",IF($M44="Oui","Litige",IF($O44=0,"À échoir",IF($O44&lt;=30,"0-30",IF($O44&lt;=60,"31-60",IF($O44&lt;=90,"61-90","90+")))))))</f>
        <v/>
      </c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9">
        <f>IF($A45="","",SUMIFS(Ventes_Encaissements!$D$6:$D$3005,Ventes_Encaissements!$B$6:$B$3005,$A45))</f>
        <v/>
      </c>
      <c r="J45" s="9">
        <f>IF($A45="","",$H45-$I45)</f>
        <v/>
      </c>
      <c r="K45" s="10">
        <f>IF($A45="","",IF($I45=0,"",_xludf.AGGREGATE(14,6,Ventes_Encaissements!$C$6:$C$3005/(Ventes_Encaissements!$B$6:$B$3005=$A45),1)))</f>
        <v/>
      </c>
      <c r="L45" s="11">
        <f>IF($A45="","",COUNTIFS(Ventes_Detail!$B$6:$B$3005,$A45))</f>
        <v/>
      </c>
      <c r="M45" s="12" t="n"/>
      <c r="N45" s="12">
        <f>IF($A45="","",IF($G45="","",IF($M45="Oui","Litige",IF($J45&lt;=0,"Payé",IF($I45&gt;0,"Partiel",IF(Listes!$B$3&gt;$G45,"En retard","À échoir"))))))</f>
        <v/>
      </c>
      <c r="O45" s="11">
        <f>IF($A45="","",IF(OR($G45="", $J45&lt;=0),0,MAX(0,Listes!$B$3-$G45)))</f>
        <v/>
      </c>
      <c r="P45" s="12">
        <f>IF($A45="","",IF($J45&lt;=0,"Payé",IF($M45="Oui","Litige",IF($O45=0,"À échoir",IF($O45&lt;=30,"0-30",IF($O45&lt;=60,"31-60",IF($O45&lt;=90,"61-90","90+")))))))</f>
        <v/>
      </c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9">
        <f>IF($A46="","",SUMIFS(Ventes_Encaissements!$D$6:$D$3005,Ventes_Encaissements!$B$6:$B$3005,$A46))</f>
        <v/>
      </c>
      <c r="J46" s="9">
        <f>IF($A46="","",$H46-$I46)</f>
        <v/>
      </c>
      <c r="K46" s="10">
        <f>IF($A46="","",IF($I46=0,"",_xludf.AGGREGATE(14,6,Ventes_Encaissements!$C$6:$C$3005/(Ventes_Encaissements!$B$6:$B$3005=$A46),1)))</f>
        <v/>
      </c>
      <c r="L46" s="11">
        <f>IF($A46="","",COUNTIFS(Ventes_Detail!$B$6:$B$3005,$A46))</f>
        <v/>
      </c>
      <c r="M46" s="12" t="n"/>
      <c r="N46" s="12">
        <f>IF($A46="","",IF($G46="","",IF($M46="Oui","Litige",IF($J46&lt;=0,"Payé",IF($I46&gt;0,"Partiel",IF(Listes!$B$3&gt;$G46,"En retard","À échoir"))))))</f>
        <v/>
      </c>
      <c r="O46" s="11">
        <f>IF($A46="","",IF(OR($G46="", $J46&lt;=0),0,MAX(0,Listes!$B$3-$G46)))</f>
        <v/>
      </c>
      <c r="P46" s="12">
        <f>IF($A46="","",IF($J46&lt;=0,"Payé",IF($M46="Oui","Litige",IF($O46=0,"À échoir",IF($O46&lt;=30,"0-30",IF($O46&lt;=60,"31-60",IF($O46&lt;=90,"61-90","90+")))))))</f>
        <v/>
      </c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9">
        <f>IF($A47="","",SUMIFS(Ventes_Encaissements!$D$6:$D$3005,Ventes_Encaissements!$B$6:$B$3005,$A47))</f>
        <v/>
      </c>
      <c r="J47" s="9">
        <f>IF($A47="","",$H47-$I47)</f>
        <v/>
      </c>
      <c r="K47" s="10">
        <f>IF($A47="","",IF($I47=0,"",_xludf.AGGREGATE(14,6,Ventes_Encaissements!$C$6:$C$3005/(Ventes_Encaissements!$B$6:$B$3005=$A47),1)))</f>
        <v/>
      </c>
      <c r="L47" s="11">
        <f>IF($A47="","",COUNTIFS(Ventes_Detail!$B$6:$B$3005,$A47))</f>
        <v/>
      </c>
      <c r="M47" s="12" t="n"/>
      <c r="N47" s="12">
        <f>IF($A47="","",IF($G47="","",IF($M47="Oui","Litige",IF($J47&lt;=0,"Payé",IF($I47&gt;0,"Partiel",IF(Listes!$B$3&gt;$G47,"En retard","À échoir"))))))</f>
        <v/>
      </c>
      <c r="O47" s="11">
        <f>IF($A47="","",IF(OR($G47="", $J47&lt;=0),0,MAX(0,Listes!$B$3-$G47)))</f>
        <v/>
      </c>
      <c r="P47" s="12">
        <f>IF($A47="","",IF($J47&lt;=0,"Payé",IF($M47="Oui","Litige",IF($O47=0,"À échoir",IF($O47&lt;=30,"0-30",IF($O47&lt;=60,"31-60",IF($O47&lt;=90,"61-90","90+")))))))</f>
        <v/>
      </c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9">
        <f>IF($A48="","",SUMIFS(Ventes_Encaissements!$D$6:$D$3005,Ventes_Encaissements!$B$6:$B$3005,$A48))</f>
        <v/>
      </c>
      <c r="J48" s="9">
        <f>IF($A48="","",$H48-$I48)</f>
        <v/>
      </c>
      <c r="K48" s="10">
        <f>IF($A48="","",IF($I48=0,"",_xludf.AGGREGATE(14,6,Ventes_Encaissements!$C$6:$C$3005/(Ventes_Encaissements!$B$6:$B$3005=$A48),1)))</f>
        <v/>
      </c>
      <c r="L48" s="11">
        <f>IF($A48="","",COUNTIFS(Ventes_Detail!$B$6:$B$3005,$A48))</f>
        <v/>
      </c>
      <c r="M48" s="12" t="n"/>
      <c r="N48" s="12">
        <f>IF($A48="","",IF($G48="","",IF($M48="Oui","Litige",IF($J48&lt;=0,"Payé",IF($I48&gt;0,"Partiel",IF(Listes!$B$3&gt;$G48,"En retard","À échoir"))))))</f>
        <v/>
      </c>
      <c r="O48" s="11">
        <f>IF($A48="","",IF(OR($G48="", $J48&lt;=0),0,MAX(0,Listes!$B$3-$G48)))</f>
        <v/>
      </c>
      <c r="P48" s="12">
        <f>IF($A48="","",IF($J48&lt;=0,"Payé",IF($M48="Oui","Litige",IF($O48=0,"À échoir",IF($O48&lt;=30,"0-30",IF($O48&lt;=60,"31-60",IF($O48&lt;=90,"61-90","90+")))))))</f>
        <v/>
      </c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9">
        <f>IF($A49="","",SUMIFS(Ventes_Encaissements!$D$6:$D$3005,Ventes_Encaissements!$B$6:$B$3005,$A49))</f>
        <v/>
      </c>
      <c r="J49" s="9">
        <f>IF($A49="","",$H49-$I49)</f>
        <v/>
      </c>
      <c r="K49" s="10">
        <f>IF($A49="","",IF($I49=0,"",_xludf.AGGREGATE(14,6,Ventes_Encaissements!$C$6:$C$3005/(Ventes_Encaissements!$B$6:$B$3005=$A49),1)))</f>
        <v/>
      </c>
      <c r="L49" s="11">
        <f>IF($A49="","",COUNTIFS(Ventes_Detail!$B$6:$B$3005,$A49))</f>
        <v/>
      </c>
      <c r="M49" s="12" t="n"/>
      <c r="N49" s="12">
        <f>IF($A49="","",IF($G49="","",IF($M49="Oui","Litige",IF($J49&lt;=0,"Payé",IF($I49&gt;0,"Partiel",IF(Listes!$B$3&gt;$G49,"En retard","À échoir"))))))</f>
        <v/>
      </c>
      <c r="O49" s="11">
        <f>IF($A49="","",IF(OR($G49="", $J49&lt;=0),0,MAX(0,Listes!$B$3-$G49)))</f>
        <v/>
      </c>
      <c r="P49" s="12">
        <f>IF($A49="","",IF($J49&lt;=0,"Payé",IF($M49="Oui","Litige",IF($O49=0,"À échoir",IF($O49&lt;=30,"0-30",IF($O49&lt;=60,"31-60",IF($O49&lt;=90,"61-90","90+")))))))</f>
        <v/>
      </c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9">
        <f>IF($A50="","",SUMIFS(Ventes_Encaissements!$D$6:$D$3005,Ventes_Encaissements!$B$6:$B$3005,$A50))</f>
        <v/>
      </c>
      <c r="J50" s="9">
        <f>IF($A50="","",$H50-$I50)</f>
        <v/>
      </c>
      <c r="K50" s="10">
        <f>IF($A50="","",IF($I50=0,"",_xludf.AGGREGATE(14,6,Ventes_Encaissements!$C$6:$C$3005/(Ventes_Encaissements!$B$6:$B$3005=$A50),1)))</f>
        <v/>
      </c>
      <c r="L50" s="11">
        <f>IF($A50="","",COUNTIFS(Ventes_Detail!$B$6:$B$3005,$A50))</f>
        <v/>
      </c>
      <c r="M50" s="12" t="n"/>
      <c r="N50" s="12">
        <f>IF($A50="","",IF($G50="","",IF($M50="Oui","Litige",IF($J50&lt;=0,"Payé",IF($I50&gt;0,"Partiel",IF(Listes!$B$3&gt;$G50,"En retard","À échoir"))))))</f>
        <v/>
      </c>
      <c r="O50" s="11">
        <f>IF($A50="","",IF(OR($G50="", $J50&lt;=0),0,MAX(0,Listes!$B$3-$G50)))</f>
        <v/>
      </c>
      <c r="P50" s="12">
        <f>IF($A50="","",IF($J50&lt;=0,"Payé",IF($M50="Oui","Litige",IF($O50=0,"À échoir",IF($O50&lt;=30,"0-30",IF($O50&lt;=60,"31-60",IF($O50&lt;=90,"61-90","90+")))))))</f>
        <v/>
      </c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9">
        <f>IF($A51="","",SUMIFS(Ventes_Encaissements!$D$6:$D$3005,Ventes_Encaissements!$B$6:$B$3005,$A51))</f>
        <v/>
      </c>
      <c r="J51" s="9">
        <f>IF($A51="","",$H51-$I51)</f>
        <v/>
      </c>
      <c r="K51" s="10">
        <f>IF($A51="","",IF($I51=0,"",_xludf.AGGREGATE(14,6,Ventes_Encaissements!$C$6:$C$3005/(Ventes_Encaissements!$B$6:$B$3005=$A51),1)))</f>
        <v/>
      </c>
      <c r="L51" s="11">
        <f>IF($A51="","",COUNTIFS(Ventes_Detail!$B$6:$B$3005,$A51))</f>
        <v/>
      </c>
      <c r="M51" s="12" t="n"/>
      <c r="N51" s="12">
        <f>IF($A51="","",IF($G51="","",IF($M51="Oui","Litige",IF($J51&lt;=0,"Payé",IF($I51&gt;0,"Partiel",IF(Listes!$B$3&gt;$G51,"En retard","À échoir"))))))</f>
        <v/>
      </c>
      <c r="O51" s="11">
        <f>IF($A51="","",IF(OR($G51="", $J51&lt;=0),0,MAX(0,Listes!$B$3-$G51)))</f>
        <v/>
      </c>
      <c r="P51" s="12">
        <f>IF($A51="","",IF($J51&lt;=0,"Payé",IF($M51="Oui","Litige",IF($O51=0,"À échoir",IF($O51&lt;=30,"0-30",IF($O51&lt;=60,"31-60",IF($O51&lt;=90,"61-90","90+")))))))</f>
        <v/>
      </c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9">
        <f>IF($A52="","",SUMIFS(Ventes_Encaissements!$D$6:$D$3005,Ventes_Encaissements!$B$6:$B$3005,$A52))</f>
        <v/>
      </c>
      <c r="J52" s="9">
        <f>IF($A52="","",$H52-$I52)</f>
        <v/>
      </c>
      <c r="K52" s="10">
        <f>IF($A52="","",IF($I52=0,"",_xludf.AGGREGATE(14,6,Ventes_Encaissements!$C$6:$C$3005/(Ventes_Encaissements!$B$6:$B$3005=$A52),1)))</f>
        <v/>
      </c>
      <c r="L52" s="11">
        <f>IF($A52="","",COUNTIFS(Ventes_Detail!$B$6:$B$3005,$A52))</f>
        <v/>
      </c>
      <c r="M52" s="12" t="n"/>
      <c r="N52" s="12">
        <f>IF($A52="","",IF($G52="","",IF($M52="Oui","Litige",IF($J52&lt;=0,"Payé",IF($I52&gt;0,"Partiel",IF(Listes!$B$3&gt;$G52,"En retard","À échoir"))))))</f>
        <v/>
      </c>
      <c r="O52" s="11">
        <f>IF($A52="","",IF(OR($G52="", $J52&lt;=0),0,MAX(0,Listes!$B$3-$G52)))</f>
        <v/>
      </c>
      <c r="P52" s="12">
        <f>IF($A52="","",IF($J52&lt;=0,"Payé",IF($M52="Oui","Litige",IF($O52=0,"À échoir",IF($O52&lt;=30,"0-30",IF($O52&lt;=60,"31-60",IF($O52&lt;=90,"61-90","90+")))))))</f>
        <v/>
      </c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9">
        <f>IF($A53="","",SUMIFS(Ventes_Encaissements!$D$6:$D$3005,Ventes_Encaissements!$B$6:$B$3005,$A53))</f>
        <v/>
      </c>
      <c r="J53" s="9">
        <f>IF($A53="","",$H53-$I53)</f>
        <v/>
      </c>
      <c r="K53" s="10">
        <f>IF($A53="","",IF($I53=0,"",_xludf.AGGREGATE(14,6,Ventes_Encaissements!$C$6:$C$3005/(Ventes_Encaissements!$B$6:$B$3005=$A53),1)))</f>
        <v/>
      </c>
      <c r="L53" s="11">
        <f>IF($A53="","",COUNTIFS(Ventes_Detail!$B$6:$B$3005,$A53))</f>
        <v/>
      </c>
      <c r="M53" s="12" t="n"/>
      <c r="N53" s="12">
        <f>IF($A53="","",IF($G53="","",IF($M53="Oui","Litige",IF($J53&lt;=0,"Payé",IF($I53&gt;0,"Partiel",IF(Listes!$B$3&gt;$G53,"En retard","À échoir"))))))</f>
        <v/>
      </c>
      <c r="O53" s="11">
        <f>IF($A53="","",IF(OR($G53="", $J53&lt;=0),0,MAX(0,Listes!$B$3-$G53)))</f>
        <v/>
      </c>
      <c r="P53" s="12">
        <f>IF($A53="","",IF($J53&lt;=0,"Payé",IF($M53="Oui","Litige",IF($O53=0,"À échoir",IF($O53&lt;=30,"0-30",IF($O53&lt;=60,"31-60",IF($O53&lt;=90,"61-90","90+")))))))</f>
        <v/>
      </c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9">
        <f>IF($A54="","",SUMIFS(Ventes_Encaissements!$D$6:$D$3005,Ventes_Encaissements!$B$6:$B$3005,$A54))</f>
        <v/>
      </c>
      <c r="J54" s="9">
        <f>IF($A54="","",$H54-$I54)</f>
        <v/>
      </c>
      <c r="K54" s="10">
        <f>IF($A54="","",IF($I54=0,"",_xludf.AGGREGATE(14,6,Ventes_Encaissements!$C$6:$C$3005/(Ventes_Encaissements!$B$6:$B$3005=$A54),1)))</f>
        <v/>
      </c>
      <c r="L54" s="11">
        <f>IF($A54="","",COUNTIFS(Ventes_Detail!$B$6:$B$3005,$A54))</f>
        <v/>
      </c>
      <c r="M54" s="12" t="n"/>
      <c r="N54" s="12">
        <f>IF($A54="","",IF($G54="","",IF($M54="Oui","Litige",IF($J54&lt;=0,"Payé",IF($I54&gt;0,"Partiel",IF(Listes!$B$3&gt;$G54,"En retard","À échoir"))))))</f>
        <v/>
      </c>
      <c r="O54" s="11">
        <f>IF($A54="","",IF(OR($G54="", $J54&lt;=0),0,MAX(0,Listes!$B$3-$G54)))</f>
        <v/>
      </c>
      <c r="P54" s="12">
        <f>IF($A54="","",IF($J54&lt;=0,"Payé",IF($M54="Oui","Litige",IF($O54=0,"À échoir",IF($O54&lt;=30,"0-30",IF($O54&lt;=60,"31-60",IF($O54&lt;=90,"61-90","90+")))))))</f>
        <v/>
      </c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9">
        <f>IF($A55="","",SUMIFS(Ventes_Encaissements!$D$6:$D$3005,Ventes_Encaissements!$B$6:$B$3005,$A55))</f>
        <v/>
      </c>
      <c r="J55" s="9">
        <f>IF($A55="","",$H55-$I55)</f>
        <v/>
      </c>
      <c r="K55" s="10">
        <f>IF($A55="","",IF($I55=0,"",_xludf.AGGREGATE(14,6,Ventes_Encaissements!$C$6:$C$3005/(Ventes_Encaissements!$B$6:$B$3005=$A55),1)))</f>
        <v/>
      </c>
      <c r="L55" s="11">
        <f>IF($A55="","",COUNTIFS(Ventes_Detail!$B$6:$B$3005,$A55))</f>
        <v/>
      </c>
      <c r="M55" s="12" t="n"/>
      <c r="N55" s="12">
        <f>IF($A55="","",IF($G55="","",IF($M55="Oui","Litige",IF($J55&lt;=0,"Payé",IF($I55&gt;0,"Partiel",IF(Listes!$B$3&gt;$G55,"En retard","À échoir"))))))</f>
        <v/>
      </c>
      <c r="O55" s="11">
        <f>IF($A55="","",IF(OR($G55="", $J55&lt;=0),0,MAX(0,Listes!$B$3-$G55)))</f>
        <v/>
      </c>
      <c r="P55" s="12">
        <f>IF($A55="","",IF($J55&lt;=0,"Payé",IF($M55="Oui","Litige",IF($O55=0,"À échoir",IF($O55&lt;=30,"0-30",IF($O55&lt;=60,"31-60",IF($O55&lt;=90,"61-90","90+")))))))</f>
        <v/>
      </c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9">
        <f>IF($A56="","",SUMIFS(Ventes_Encaissements!$D$6:$D$3005,Ventes_Encaissements!$B$6:$B$3005,$A56))</f>
        <v/>
      </c>
      <c r="J56" s="9">
        <f>IF($A56="","",$H56-$I56)</f>
        <v/>
      </c>
      <c r="K56" s="10">
        <f>IF($A56="","",IF($I56=0,"",_xludf.AGGREGATE(14,6,Ventes_Encaissements!$C$6:$C$3005/(Ventes_Encaissements!$B$6:$B$3005=$A56),1)))</f>
        <v/>
      </c>
      <c r="L56" s="11">
        <f>IF($A56="","",COUNTIFS(Ventes_Detail!$B$6:$B$3005,$A56))</f>
        <v/>
      </c>
      <c r="M56" s="12" t="n"/>
      <c r="N56" s="12">
        <f>IF($A56="","",IF($G56="","",IF($M56="Oui","Litige",IF($J56&lt;=0,"Payé",IF($I56&gt;0,"Partiel",IF(Listes!$B$3&gt;$G56,"En retard","À échoir"))))))</f>
        <v/>
      </c>
      <c r="O56" s="11">
        <f>IF($A56="","",IF(OR($G56="", $J56&lt;=0),0,MAX(0,Listes!$B$3-$G56)))</f>
        <v/>
      </c>
      <c r="P56" s="12">
        <f>IF($A56="","",IF($J56&lt;=0,"Payé",IF($M56="Oui","Litige",IF($O56=0,"À échoir",IF($O56&lt;=30,"0-30",IF($O56&lt;=60,"31-60",IF($O56&lt;=90,"61-90","90+")))))))</f>
        <v/>
      </c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9">
        <f>IF($A57="","",SUMIFS(Ventes_Encaissements!$D$6:$D$3005,Ventes_Encaissements!$B$6:$B$3005,$A57))</f>
        <v/>
      </c>
      <c r="J57" s="9">
        <f>IF($A57="","",$H57-$I57)</f>
        <v/>
      </c>
      <c r="K57" s="10">
        <f>IF($A57="","",IF($I57=0,"",_xludf.AGGREGATE(14,6,Ventes_Encaissements!$C$6:$C$3005/(Ventes_Encaissements!$B$6:$B$3005=$A57),1)))</f>
        <v/>
      </c>
      <c r="L57" s="11">
        <f>IF($A57="","",COUNTIFS(Ventes_Detail!$B$6:$B$3005,$A57))</f>
        <v/>
      </c>
      <c r="M57" s="12" t="n"/>
      <c r="N57" s="12">
        <f>IF($A57="","",IF($G57="","",IF($M57="Oui","Litige",IF($J57&lt;=0,"Payé",IF($I57&gt;0,"Partiel",IF(Listes!$B$3&gt;$G57,"En retard","À échoir"))))))</f>
        <v/>
      </c>
      <c r="O57" s="11">
        <f>IF($A57="","",IF(OR($G57="", $J57&lt;=0),0,MAX(0,Listes!$B$3-$G57)))</f>
        <v/>
      </c>
      <c r="P57" s="12">
        <f>IF($A57="","",IF($J57&lt;=0,"Payé",IF($M57="Oui","Litige",IF($O57=0,"À échoir",IF($O57&lt;=30,"0-30",IF($O57&lt;=60,"31-60",IF($O57&lt;=90,"61-90","90+")))))))</f>
        <v/>
      </c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9">
        <f>IF($A58="","",SUMIFS(Ventes_Encaissements!$D$6:$D$3005,Ventes_Encaissements!$B$6:$B$3005,$A58))</f>
        <v/>
      </c>
      <c r="J58" s="9">
        <f>IF($A58="","",$H58-$I58)</f>
        <v/>
      </c>
      <c r="K58" s="10">
        <f>IF($A58="","",IF($I58=0,"",_xludf.AGGREGATE(14,6,Ventes_Encaissements!$C$6:$C$3005/(Ventes_Encaissements!$B$6:$B$3005=$A58),1)))</f>
        <v/>
      </c>
      <c r="L58" s="11">
        <f>IF($A58="","",COUNTIFS(Ventes_Detail!$B$6:$B$3005,$A58))</f>
        <v/>
      </c>
      <c r="M58" s="12" t="n"/>
      <c r="N58" s="12">
        <f>IF($A58="","",IF($G58="","",IF($M58="Oui","Litige",IF($J58&lt;=0,"Payé",IF($I58&gt;0,"Partiel",IF(Listes!$B$3&gt;$G58,"En retard","À échoir"))))))</f>
        <v/>
      </c>
      <c r="O58" s="11">
        <f>IF($A58="","",IF(OR($G58="", $J58&lt;=0),0,MAX(0,Listes!$B$3-$G58)))</f>
        <v/>
      </c>
      <c r="P58" s="12">
        <f>IF($A58="","",IF($J58&lt;=0,"Payé",IF($M58="Oui","Litige",IF($O58=0,"À échoir",IF($O58&lt;=30,"0-30",IF($O58&lt;=60,"31-60",IF($O58&lt;=90,"61-90","90+")))))))</f>
        <v/>
      </c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9">
        <f>IF($A59="","",SUMIFS(Ventes_Encaissements!$D$6:$D$3005,Ventes_Encaissements!$B$6:$B$3005,$A59))</f>
        <v/>
      </c>
      <c r="J59" s="9">
        <f>IF($A59="","",$H59-$I59)</f>
        <v/>
      </c>
      <c r="K59" s="10">
        <f>IF($A59="","",IF($I59=0,"",_xludf.AGGREGATE(14,6,Ventes_Encaissements!$C$6:$C$3005/(Ventes_Encaissements!$B$6:$B$3005=$A59),1)))</f>
        <v/>
      </c>
      <c r="L59" s="11">
        <f>IF($A59="","",COUNTIFS(Ventes_Detail!$B$6:$B$3005,$A59))</f>
        <v/>
      </c>
      <c r="M59" s="12" t="n"/>
      <c r="N59" s="12">
        <f>IF($A59="","",IF($G59="","",IF($M59="Oui","Litige",IF($J59&lt;=0,"Payé",IF($I59&gt;0,"Partiel",IF(Listes!$B$3&gt;$G59,"En retard","À échoir"))))))</f>
        <v/>
      </c>
      <c r="O59" s="11">
        <f>IF($A59="","",IF(OR($G59="", $J59&lt;=0),0,MAX(0,Listes!$B$3-$G59)))</f>
        <v/>
      </c>
      <c r="P59" s="12">
        <f>IF($A59="","",IF($J59&lt;=0,"Payé",IF($M59="Oui","Litige",IF($O59=0,"À échoir",IF($O59&lt;=30,"0-30",IF($O59&lt;=60,"31-60",IF($O59&lt;=90,"61-90","90+")))))))</f>
        <v/>
      </c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9">
        <f>IF($A60="","",SUMIFS(Ventes_Encaissements!$D$6:$D$3005,Ventes_Encaissements!$B$6:$B$3005,$A60))</f>
        <v/>
      </c>
      <c r="J60" s="9">
        <f>IF($A60="","",$H60-$I60)</f>
        <v/>
      </c>
      <c r="K60" s="10">
        <f>IF($A60="","",IF($I60=0,"",_xludf.AGGREGATE(14,6,Ventes_Encaissements!$C$6:$C$3005/(Ventes_Encaissements!$B$6:$B$3005=$A60),1)))</f>
        <v/>
      </c>
      <c r="L60" s="11">
        <f>IF($A60="","",COUNTIFS(Ventes_Detail!$B$6:$B$3005,$A60))</f>
        <v/>
      </c>
      <c r="M60" s="12" t="n"/>
      <c r="N60" s="12">
        <f>IF($A60="","",IF($G60="","",IF($M60="Oui","Litige",IF($J60&lt;=0,"Payé",IF($I60&gt;0,"Partiel",IF(Listes!$B$3&gt;$G60,"En retard","À échoir"))))))</f>
        <v/>
      </c>
      <c r="O60" s="11">
        <f>IF($A60="","",IF(OR($G60="", $J60&lt;=0),0,MAX(0,Listes!$B$3-$G60)))</f>
        <v/>
      </c>
      <c r="P60" s="12">
        <f>IF($A60="","",IF($J60&lt;=0,"Payé",IF($M60="Oui","Litige",IF($O60=0,"À échoir",IF($O60&lt;=30,"0-30",IF($O60&lt;=60,"31-60",IF($O60&lt;=90,"61-90","90+")))))))</f>
        <v/>
      </c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9">
        <f>IF($A61="","",SUMIFS(Ventes_Encaissements!$D$6:$D$3005,Ventes_Encaissements!$B$6:$B$3005,$A61))</f>
        <v/>
      </c>
      <c r="J61" s="9">
        <f>IF($A61="","",$H61-$I61)</f>
        <v/>
      </c>
      <c r="K61" s="10">
        <f>IF($A61="","",IF($I61=0,"",_xludf.AGGREGATE(14,6,Ventes_Encaissements!$C$6:$C$3005/(Ventes_Encaissements!$B$6:$B$3005=$A61),1)))</f>
        <v/>
      </c>
      <c r="L61" s="11">
        <f>IF($A61="","",COUNTIFS(Ventes_Detail!$B$6:$B$3005,$A61))</f>
        <v/>
      </c>
      <c r="M61" s="12" t="n"/>
      <c r="N61" s="12">
        <f>IF($A61="","",IF($G61="","",IF($M61="Oui","Litige",IF($J61&lt;=0,"Payé",IF($I61&gt;0,"Partiel",IF(Listes!$B$3&gt;$G61,"En retard","À échoir"))))))</f>
        <v/>
      </c>
      <c r="O61" s="11">
        <f>IF($A61="","",IF(OR($G61="", $J61&lt;=0),0,MAX(0,Listes!$B$3-$G61)))</f>
        <v/>
      </c>
      <c r="P61" s="12">
        <f>IF($A61="","",IF($J61&lt;=0,"Payé",IF($M61="Oui","Litige",IF($O61=0,"À échoir",IF($O61&lt;=30,"0-30",IF($O61&lt;=60,"31-60",IF($O61&lt;=90,"61-90","90+")))))))</f>
        <v/>
      </c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9">
        <f>IF($A62="","",SUMIFS(Ventes_Encaissements!$D$6:$D$3005,Ventes_Encaissements!$B$6:$B$3005,$A62))</f>
        <v/>
      </c>
      <c r="J62" s="9">
        <f>IF($A62="","",$H62-$I62)</f>
        <v/>
      </c>
      <c r="K62" s="10">
        <f>IF($A62="","",IF($I62=0,"",_xludf.AGGREGATE(14,6,Ventes_Encaissements!$C$6:$C$3005/(Ventes_Encaissements!$B$6:$B$3005=$A62),1)))</f>
        <v/>
      </c>
      <c r="L62" s="11">
        <f>IF($A62="","",COUNTIFS(Ventes_Detail!$B$6:$B$3005,$A62))</f>
        <v/>
      </c>
      <c r="M62" s="12" t="n"/>
      <c r="N62" s="12">
        <f>IF($A62="","",IF($G62="","",IF($M62="Oui","Litige",IF($J62&lt;=0,"Payé",IF($I62&gt;0,"Partiel",IF(Listes!$B$3&gt;$G62,"En retard","À échoir"))))))</f>
        <v/>
      </c>
      <c r="O62" s="11">
        <f>IF($A62="","",IF(OR($G62="", $J62&lt;=0),0,MAX(0,Listes!$B$3-$G62)))</f>
        <v/>
      </c>
      <c r="P62" s="12">
        <f>IF($A62="","",IF($J62&lt;=0,"Payé",IF($M62="Oui","Litige",IF($O62=0,"À échoir",IF($O62&lt;=30,"0-30",IF($O62&lt;=60,"31-60",IF($O62&lt;=90,"61-90","90+")))))))</f>
        <v/>
      </c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9">
        <f>IF($A63="","",SUMIFS(Ventes_Encaissements!$D$6:$D$3005,Ventes_Encaissements!$B$6:$B$3005,$A63))</f>
        <v/>
      </c>
      <c r="J63" s="9">
        <f>IF($A63="","",$H63-$I63)</f>
        <v/>
      </c>
      <c r="K63" s="10">
        <f>IF($A63="","",IF($I63=0,"",_xludf.AGGREGATE(14,6,Ventes_Encaissements!$C$6:$C$3005/(Ventes_Encaissements!$B$6:$B$3005=$A63),1)))</f>
        <v/>
      </c>
      <c r="L63" s="11">
        <f>IF($A63="","",COUNTIFS(Ventes_Detail!$B$6:$B$3005,$A63))</f>
        <v/>
      </c>
      <c r="M63" s="12" t="n"/>
      <c r="N63" s="12">
        <f>IF($A63="","",IF($G63="","",IF($M63="Oui","Litige",IF($J63&lt;=0,"Payé",IF($I63&gt;0,"Partiel",IF(Listes!$B$3&gt;$G63,"En retard","À échoir"))))))</f>
        <v/>
      </c>
      <c r="O63" s="11">
        <f>IF($A63="","",IF(OR($G63="", $J63&lt;=0),0,MAX(0,Listes!$B$3-$G63)))</f>
        <v/>
      </c>
      <c r="P63" s="12">
        <f>IF($A63="","",IF($J63&lt;=0,"Payé",IF($M63="Oui","Litige",IF($O63=0,"À échoir",IF($O63&lt;=30,"0-30",IF($O63&lt;=60,"31-60",IF($O63&lt;=90,"61-90","90+")))))))</f>
        <v/>
      </c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9">
        <f>IF($A64="","",SUMIFS(Ventes_Encaissements!$D$6:$D$3005,Ventes_Encaissements!$B$6:$B$3005,$A64))</f>
        <v/>
      </c>
      <c r="J64" s="9">
        <f>IF($A64="","",$H64-$I64)</f>
        <v/>
      </c>
      <c r="K64" s="10">
        <f>IF($A64="","",IF($I64=0,"",_xludf.AGGREGATE(14,6,Ventes_Encaissements!$C$6:$C$3005/(Ventes_Encaissements!$B$6:$B$3005=$A64),1)))</f>
        <v/>
      </c>
      <c r="L64" s="11">
        <f>IF($A64="","",COUNTIFS(Ventes_Detail!$B$6:$B$3005,$A64))</f>
        <v/>
      </c>
      <c r="M64" s="12" t="n"/>
      <c r="N64" s="12">
        <f>IF($A64="","",IF($G64="","",IF($M64="Oui","Litige",IF($J64&lt;=0,"Payé",IF($I64&gt;0,"Partiel",IF(Listes!$B$3&gt;$G64,"En retard","À échoir"))))))</f>
        <v/>
      </c>
      <c r="O64" s="11">
        <f>IF($A64="","",IF(OR($G64="", $J64&lt;=0),0,MAX(0,Listes!$B$3-$G64)))</f>
        <v/>
      </c>
      <c r="P64" s="12">
        <f>IF($A64="","",IF($J64&lt;=0,"Payé",IF($M64="Oui","Litige",IF($O64=0,"À échoir",IF($O64&lt;=30,"0-30",IF($O64&lt;=60,"31-60",IF($O64&lt;=90,"61-90","90+")))))))</f>
        <v/>
      </c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9">
        <f>IF($A65="","",SUMIFS(Ventes_Encaissements!$D$6:$D$3005,Ventes_Encaissements!$B$6:$B$3005,$A65))</f>
        <v/>
      </c>
      <c r="J65" s="9">
        <f>IF($A65="","",$H65-$I65)</f>
        <v/>
      </c>
      <c r="K65" s="10">
        <f>IF($A65="","",IF($I65=0,"",_xludf.AGGREGATE(14,6,Ventes_Encaissements!$C$6:$C$3005/(Ventes_Encaissements!$B$6:$B$3005=$A65),1)))</f>
        <v/>
      </c>
      <c r="L65" s="11">
        <f>IF($A65="","",COUNTIFS(Ventes_Detail!$B$6:$B$3005,$A65))</f>
        <v/>
      </c>
      <c r="M65" s="12" t="n"/>
      <c r="N65" s="12">
        <f>IF($A65="","",IF($G65="","",IF($M65="Oui","Litige",IF($J65&lt;=0,"Payé",IF($I65&gt;0,"Partiel",IF(Listes!$B$3&gt;$G65,"En retard","À échoir"))))))</f>
        <v/>
      </c>
      <c r="O65" s="11">
        <f>IF($A65="","",IF(OR($G65="", $J65&lt;=0),0,MAX(0,Listes!$B$3-$G65)))</f>
        <v/>
      </c>
      <c r="P65" s="12">
        <f>IF($A65="","",IF($J65&lt;=0,"Payé",IF($M65="Oui","Litige",IF($O65=0,"À échoir",IF($O65&lt;=30,"0-30",IF($O65&lt;=60,"31-60",IF($O65&lt;=90,"61-90","90+")))))))</f>
        <v/>
      </c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9">
        <f>IF($A66="","",SUMIFS(Ventes_Encaissements!$D$6:$D$3005,Ventes_Encaissements!$B$6:$B$3005,$A66))</f>
        <v/>
      </c>
      <c r="J66" s="9">
        <f>IF($A66="","",$H66-$I66)</f>
        <v/>
      </c>
      <c r="K66" s="10">
        <f>IF($A66="","",IF($I66=0,"",_xludf.AGGREGATE(14,6,Ventes_Encaissements!$C$6:$C$3005/(Ventes_Encaissements!$B$6:$B$3005=$A66),1)))</f>
        <v/>
      </c>
      <c r="L66" s="11">
        <f>IF($A66="","",COUNTIFS(Ventes_Detail!$B$6:$B$3005,$A66))</f>
        <v/>
      </c>
      <c r="M66" s="12" t="n"/>
      <c r="N66" s="12">
        <f>IF($A66="","",IF($G66="","",IF($M66="Oui","Litige",IF($J66&lt;=0,"Payé",IF($I66&gt;0,"Partiel",IF(Listes!$B$3&gt;$G66,"En retard","À échoir"))))))</f>
        <v/>
      </c>
      <c r="O66" s="11">
        <f>IF($A66="","",IF(OR($G66="", $J66&lt;=0),0,MAX(0,Listes!$B$3-$G66)))</f>
        <v/>
      </c>
      <c r="P66" s="12">
        <f>IF($A66="","",IF($J66&lt;=0,"Payé",IF($M66="Oui","Litige",IF($O66=0,"À échoir",IF($O66&lt;=30,"0-30",IF($O66&lt;=60,"31-60",IF($O66&lt;=90,"61-90","90+")))))))</f>
        <v/>
      </c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9">
        <f>IF($A67="","",SUMIFS(Ventes_Encaissements!$D$6:$D$3005,Ventes_Encaissements!$B$6:$B$3005,$A67))</f>
        <v/>
      </c>
      <c r="J67" s="9">
        <f>IF($A67="","",$H67-$I67)</f>
        <v/>
      </c>
      <c r="K67" s="10">
        <f>IF($A67="","",IF($I67=0,"",_xludf.AGGREGATE(14,6,Ventes_Encaissements!$C$6:$C$3005/(Ventes_Encaissements!$B$6:$B$3005=$A67),1)))</f>
        <v/>
      </c>
      <c r="L67" s="11">
        <f>IF($A67="","",COUNTIFS(Ventes_Detail!$B$6:$B$3005,$A67))</f>
        <v/>
      </c>
      <c r="M67" s="12" t="n"/>
      <c r="N67" s="12">
        <f>IF($A67="","",IF($G67="","",IF($M67="Oui","Litige",IF($J67&lt;=0,"Payé",IF($I67&gt;0,"Partiel",IF(Listes!$B$3&gt;$G67,"En retard","À échoir"))))))</f>
        <v/>
      </c>
      <c r="O67" s="11">
        <f>IF($A67="","",IF(OR($G67="", $J67&lt;=0),0,MAX(0,Listes!$B$3-$G67)))</f>
        <v/>
      </c>
      <c r="P67" s="12">
        <f>IF($A67="","",IF($J67&lt;=0,"Payé",IF($M67="Oui","Litige",IF($O67=0,"À échoir",IF($O67&lt;=30,"0-30",IF($O67&lt;=60,"31-60",IF($O67&lt;=90,"61-90","90+")))))))</f>
        <v/>
      </c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9">
        <f>IF($A68="","",SUMIFS(Ventes_Encaissements!$D$6:$D$3005,Ventes_Encaissements!$B$6:$B$3005,$A68))</f>
        <v/>
      </c>
      <c r="J68" s="9">
        <f>IF($A68="","",$H68-$I68)</f>
        <v/>
      </c>
      <c r="K68" s="10">
        <f>IF($A68="","",IF($I68=0,"",_xludf.AGGREGATE(14,6,Ventes_Encaissements!$C$6:$C$3005/(Ventes_Encaissements!$B$6:$B$3005=$A68),1)))</f>
        <v/>
      </c>
      <c r="L68" s="11">
        <f>IF($A68="","",COUNTIFS(Ventes_Detail!$B$6:$B$3005,$A68))</f>
        <v/>
      </c>
      <c r="M68" s="12" t="n"/>
      <c r="N68" s="12">
        <f>IF($A68="","",IF($G68="","",IF($M68="Oui","Litige",IF($J68&lt;=0,"Payé",IF($I68&gt;0,"Partiel",IF(Listes!$B$3&gt;$G68,"En retard","À échoir"))))))</f>
        <v/>
      </c>
      <c r="O68" s="11">
        <f>IF($A68="","",IF(OR($G68="", $J68&lt;=0),0,MAX(0,Listes!$B$3-$G68)))</f>
        <v/>
      </c>
      <c r="P68" s="12">
        <f>IF($A68="","",IF($J68&lt;=0,"Payé",IF($M68="Oui","Litige",IF($O68=0,"À échoir",IF($O68&lt;=30,"0-30",IF($O68&lt;=60,"31-60",IF($O68&lt;=90,"61-90","90+")))))))</f>
        <v/>
      </c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9">
        <f>IF($A69="","",SUMIFS(Ventes_Encaissements!$D$6:$D$3005,Ventes_Encaissements!$B$6:$B$3005,$A69))</f>
        <v/>
      </c>
      <c r="J69" s="9">
        <f>IF($A69="","",$H69-$I69)</f>
        <v/>
      </c>
      <c r="K69" s="10">
        <f>IF($A69="","",IF($I69=0,"",_xludf.AGGREGATE(14,6,Ventes_Encaissements!$C$6:$C$3005/(Ventes_Encaissements!$B$6:$B$3005=$A69),1)))</f>
        <v/>
      </c>
      <c r="L69" s="11">
        <f>IF($A69="","",COUNTIFS(Ventes_Detail!$B$6:$B$3005,$A69))</f>
        <v/>
      </c>
      <c r="M69" s="12" t="n"/>
      <c r="N69" s="12">
        <f>IF($A69="","",IF($G69="","",IF($M69="Oui","Litige",IF($J69&lt;=0,"Payé",IF($I69&gt;0,"Partiel",IF(Listes!$B$3&gt;$G69,"En retard","À échoir"))))))</f>
        <v/>
      </c>
      <c r="O69" s="11">
        <f>IF($A69="","",IF(OR($G69="", $J69&lt;=0),0,MAX(0,Listes!$B$3-$G69)))</f>
        <v/>
      </c>
      <c r="P69" s="12">
        <f>IF($A69="","",IF($J69&lt;=0,"Payé",IF($M69="Oui","Litige",IF($O69=0,"À échoir",IF($O69&lt;=30,"0-30",IF($O69&lt;=60,"31-60",IF($O69&lt;=90,"61-90","90+")))))))</f>
        <v/>
      </c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9">
        <f>IF($A70="","",SUMIFS(Ventes_Encaissements!$D$6:$D$3005,Ventes_Encaissements!$B$6:$B$3005,$A70))</f>
        <v/>
      </c>
      <c r="J70" s="9">
        <f>IF($A70="","",$H70-$I70)</f>
        <v/>
      </c>
      <c r="K70" s="10">
        <f>IF($A70="","",IF($I70=0,"",_xludf.AGGREGATE(14,6,Ventes_Encaissements!$C$6:$C$3005/(Ventes_Encaissements!$B$6:$B$3005=$A70),1)))</f>
        <v/>
      </c>
      <c r="L70" s="11">
        <f>IF($A70="","",COUNTIFS(Ventes_Detail!$B$6:$B$3005,$A70))</f>
        <v/>
      </c>
      <c r="M70" s="12" t="n"/>
      <c r="N70" s="12">
        <f>IF($A70="","",IF($G70="","",IF($M70="Oui","Litige",IF($J70&lt;=0,"Payé",IF($I70&gt;0,"Partiel",IF(Listes!$B$3&gt;$G70,"En retard","À échoir"))))))</f>
        <v/>
      </c>
      <c r="O70" s="11">
        <f>IF($A70="","",IF(OR($G70="", $J70&lt;=0),0,MAX(0,Listes!$B$3-$G70)))</f>
        <v/>
      </c>
      <c r="P70" s="12">
        <f>IF($A70="","",IF($J70&lt;=0,"Payé",IF($M70="Oui","Litige",IF($O70=0,"À échoir",IF($O70&lt;=30,"0-30",IF($O70&lt;=60,"31-60",IF($O70&lt;=90,"61-90","90+")))))))</f>
        <v/>
      </c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9">
        <f>IF($A71="","",SUMIFS(Ventes_Encaissements!$D$6:$D$3005,Ventes_Encaissements!$B$6:$B$3005,$A71))</f>
        <v/>
      </c>
      <c r="J71" s="9">
        <f>IF($A71="","",$H71-$I71)</f>
        <v/>
      </c>
      <c r="K71" s="10">
        <f>IF($A71="","",IF($I71=0,"",_xludf.AGGREGATE(14,6,Ventes_Encaissements!$C$6:$C$3005/(Ventes_Encaissements!$B$6:$B$3005=$A71),1)))</f>
        <v/>
      </c>
      <c r="L71" s="11">
        <f>IF($A71="","",COUNTIFS(Ventes_Detail!$B$6:$B$3005,$A71))</f>
        <v/>
      </c>
      <c r="M71" s="12" t="n"/>
      <c r="N71" s="12">
        <f>IF($A71="","",IF($G71="","",IF($M71="Oui","Litige",IF($J71&lt;=0,"Payé",IF($I71&gt;0,"Partiel",IF(Listes!$B$3&gt;$G71,"En retard","À échoir"))))))</f>
        <v/>
      </c>
      <c r="O71" s="11">
        <f>IF($A71="","",IF(OR($G71="", $J71&lt;=0),0,MAX(0,Listes!$B$3-$G71)))</f>
        <v/>
      </c>
      <c r="P71" s="12">
        <f>IF($A71="","",IF($J71&lt;=0,"Payé",IF($M71="Oui","Litige",IF($O71=0,"À échoir",IF($O71&lt;=30,"0-30",IF($O71&lt;=60,"31-60",IF($O71&lt;=90,"61-90","90+")))))))</f>
        <v/>
      </c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9">
        <f>IF($A72="","",SUMIFS(Ventes_Encaissements!$D$6:$D$3005,Ventes_Encaissements!$B$6:$B$3005,$A72))</f>
        <v/>
      </c>
      <c r="J72" s="9">
        <f>IF($A72="","",$H72-$I72)</f>
        <v/>
      </c>
      <c r="K72" s="10">
        <f>IF($A72="","",IF($I72=0,"",_xludf.AGGREGATE(14,6,Ventes_Encaissements!$C$6:$C$3005/(Ventes_Encaissements!$B$6:$B$3005=$A72),1)))</f>
        <v/>
      </c>
      <c r="L72" s="11">
        <f>IF($A72="","",COUNTIFS(Ventes_Detail!$B$6:$B$3005,$A72))</f>
        <v/>
      </c>
      <c r="M72" s="12" t="n"/>
      <c r="N72" s="12">
        <f>IF($A72="","",IF($G72="","",IF($M72="Oui","Litige",IF($J72&lt;=0,"Payé",IF($I72&gt;0,"Partiel",IF(Listes!$B$3&gt;$G72,"En retard","À échoir"))))))</f>
        <v/>
      </c>
      <c r="O72" s="11">
        <f>IF($A72="","",IF(OR($G72="", $J72&lt;=0),0,MAX(0,Listes!$B$3-$G72)))</f>
        <v/>
      </c>
      <c r="P72" s="12">
        <f>IF($A72="","",IF($J72&lt;=0,"Payé",IF($M72="Oui","Litige",IF($O72=0,"À échoir",IF($O72&lt;=30,"0-30",IF($O72&lt;=60,"31-60",IF($O72&lt;=90,"61-90","90+")))))))</f>
        <v/>
      </c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9">
        <f>IF($A73="","",SUMIFS(Ventes_Encaissements!$D$6:$D$3005,Ventes_Encaissements!$B$6:$B$3005,$A73))</f>
        <v/>
      </c>
      <c r="J73" s="9">
        <f>IF($A73="","",$H73-$I73)</f>
        <v/>
      </c>
      <c r="K73" s="10">
        <f>IF($A73="","",IF($I73=0,"",_xludf.AGGREGATE(14,6,Ventes_Encaissements!$C$6:$C$3005/(Ventes_Encaissements!$B$6:$B$3005=$A73),1)))</f>
        <v/>
      </c>
      <c r="L73" s="11">
        <f>IF($A73="","",COUNTIFS(Ventes_Detail!$B$6:$B$3005,$A73))</f>
        <v/>
      </c>
      <c r="M73" s="12" t="n"/>
      <c r="N73" s="12">
        <f>IF($A73="","",IF($G73="","",IF($M73="Oui","Litige",IF($J73&lt;=0,"Payé",IF($I73&gt;0,"Partiel",IF(Listes!$B$3&gt;$G73,"En retard","À échoir"))))))</f>
        <v/>
      </c>
      <c r="O73" s="11">
        <f>IF($A73="","",IF(OR($G73="", $J73&lt;=0),0,MAX(0,Listes!$B$3-$G73)))</f>
        <v/>
      </c>
      <c r="P73" s="12">
        <f>IF($A73="","",IF($J73&lt;=0,"Payé",IF($M73="Oui","Litige",IF($O73=0,"À échoir",IF($O73&lt;=30,"0-30",IF($O73&lt;=60,"31-60",IF($O73&lt;=90,"61-90","90+")))))))</f>
        <v/>
      </c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9">
        <f>IF($A74="","",SUMIFS(Ventes_Encaissements!$D$6:$D$3005,Ventes_Encaissements!$B$6:$B$3005,$A74))</f>
        <v/>
      </c>
      <c r="J74" s="9">
        <f>IF($A74="","",$H74-$I74)</f>
        <v/>
      </c>
      <c r="K74" s="10">
        <f>IF($A74="","",IF($I74=0,"",_xludf.AGGREGATE(14,6,Ventes_Encaissements!$C$6:$C$3005/(Ventes_Encaissements!$B$6:$B$3005=$A74),1)))</f>
        <v/>
      </c>
      <c r="L74" s="11">
        <f>IF($A74="","",COUNTIFS(Ventes_Detail!$B$6:$B$3005,$A74))</f>
        <v/>
      </c>
      <c r="M74" s="12" t="n"/>
      <c r="N74" s="12">
        <f>IF($A74="","",IF($G74="","",IF($M74="Oui","Litige",IF($J74&lt;=0,"Payé",IF($I74&gt;0,"Partiel",IF(Listes!$B$3&gt;$G74,"En retard","À échoir"))))))</f>
        <v/>
      </c>
      <c r="O74" s="11">
        <f>IF($A74="","",IF(OR($G74="", $J74&lt;=0),0,MAX(0,Listes!$B$3-$G74)))</f>
        <v/>
      </c>
      <c r="P74" s="12">
        <f>IF($A74="","",IF($J74&lt;=0,"Payé",IF($M74="Oui","Litige",IF($O74=0,"À échoir",IF($O74&lt;=30,"0-30",IF($O74&lt;=60,"31-60",IF($O74&lt;=90,"61-90","90+")))))))</f>
        <v/>
      </c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9">
        <f>IF($A75="","",SUMIFS(Ventes_Encaissements!$D$6:$D$3005,Ventes_Encaissements!$B$6:$B$3005,$A75))</f>
        <v/>
      </c>
      <c r="J75" s="9">
        <f>IF($A75="","",$H75-$I75)</f>
        <v/>
      </c>
      <c r="K75" s="10">
        <f>IF($A75="","",IF($I75=0,"",_xludf.AGGREGATE(14,6,Ventes_Encaissements!$C$6:$C$3005/(Ventes_Encaissements!$B$6:$B$3005=$A75),1)))</f>
        <v/>
      </c>
      <c r="L75" s="11">
        <f>IF($A75="","",COUNTIFS(Ventes_Detail!$B$6:$B$3005,$A75))</f>
        <v/>
      </c>
      <c r="M75" s="12" t="n"/>
      <c r="N75" s="12">
        <f>IF($A75="","",IF($G75="","",IF($M75="Oui","Litige",IF($J75&lt;=0,"Payé",IF($I75&gt;0,"Partiel",IF(Listes!$B$3&gt;$G75,"En retard","À échoir"))))))</f>
        <v/>
      </c>
      <c r="O75" s="11">
        <f>IF($A75="","",IF(OR($G75="", $J75&lt;=0),0,MAX(0,Listes!$B$3-$G75)))</f>
        <v/>
      </c>
      <c r="P75" s="12">
        <f>IF($A75="","",IF($J75&lt;=0,"Payé",IF($M75="Oui","Litige",IF($O75=0,"À échoir",IF($O75&lt;=30,"0-30",IF($O75&lt;=60,"31-60",IF($O75&lt;=90,"61-90","90+")))))))</f>
        <v/>
      </c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9">
        <f>IF($A76="","",SUMIFS(Ventes_Encaissements!$D$6:$D$3005,Ventes_Encaissements!$B$6:$B$3005,$A76))</f>
        <v/>
      </c>
      <c r="J76" s="9">
        <f>IF($A76="","",$H76-$I76)</f>
        <v/>
      </c>
      <c r="K76" s="10">
        <f>IF($A76="","",IF($I76=0,"",_xludf.AGGREGATE(14,6,Ventes_Encaissements!$C$6:$C$3005/(Ventes_Encaissements!$B$6:$B$3005=$A76),1)))</f>
        <v/>
      </c>
      <c r="L76" s="11">
        <f>IF($A76="","",COUNTIFS(Ventes_Detail!$B$6:$B$3005,$A76))</f>
        <v/>
      </c>
      <c r="M76" s="12" t="n"/>
      <c r="N76" s="12">
        <f>IF($A76="","",IF($G76="","",IF($M76="Oui","Litige",IF($J76&lt;=0,"Payé",IF($I76&gt;0,"Partiel",IF(Listes!$B$3&gt;$G76,"En retard","À échoir"))))))</f>
        <v/>
      </c>
      <c r="O76" s="11">
        <f>IF($A76="","",IF(OR($G76="", $J76&lt;=0),0,MAX(0,Listes!$B$3-$G76)))</f>
        <v/>
      </c>
      <c r="P76" s="12">
        <f>IF($A76="","",IF($J76&lt;=0,"Payé",IF($M76="Oui","Litige",IF($O76=0,"À échoir",IF($O76&lt;=30,"0-30",IF($O76&lt;=60,"31-60",IF($O76&lt;=90,"61-90","90+")))))))</f>
        <v/>
      </c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9">
        <f>IF($A77="","",SUMIFS(Ventes_Encaissements!$D$6:$D$3005,Ventes_Encaissements!$B$6:$B$3005,$A77))</f>
        <v/>
      </c>
      <c r="J77" s="9">
        <f>IF($A77="","",$H77-$I77)</f>
        <v/>
      </c>
      <c r="K77" s="10">
        <f>IF($A77="","",IF($I77=0,"",_xludf.AGGREGATE(14,6,Ventes_Encaissements!$C$6:$C$3005/(Ventes_Encaissements!$B$6:$B$3005=$A77),1)))</f>
        <v/>
      </c>
      <c r="L77" s="11">
        <f>IF($A77="","",COUNTIFS(Ventes_Detail!$B$6:$B$3005,$A77))</f>
        <v/>
      </c>
      <c r="M77" s="12" t="n"/>
      <c r="N77" s="12">
        <f>IF($A77="","",IF($G77="","",IF($M77="Oui","Litige",IF($J77&lt;=0,"Payé",IF($I77&gt;0,"Partiel",IF(Listes!$B$3&gt;$G77,"En retard","À échoir"))))))</f>
        <v/>
      </c>
      <c r="O77" s="11">
        <f>IF($A77="","",IF(OR($G77="", $J77&lt;=0),0,MAX(0,Listes!$B$3-$G77)))</f>
        <v/>
      </c>
      <c r="P77" s="12">
        <f>IF($A77="","",IF($J77&lt;=0,"Payé",IF($M77="Oui","Litige",IF($O77=0,"À échoir",IF($O77&lt;=30,"0-30",IF($O77&lt;=60,"31-60",IF($O77&lt;=90,"61-90","90+")))))))</f>
        <v/>
      </c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9">
        <f>IF($A78="","",SUMIFS(Ventes_Encaissements!$D$6:$D$3005,Ventes_Encaissements!$B$6:$B$3005,$A78))</f>
        <v/>
      </c>
      <c r="J78" s="9">
        <f>IF($A78="","",$H78-$I78)</f>
        <v/>
      </c>
      <c r="K78" s="10">
        <f>IF($A78="","",IF($I78=0,"",_xludf.AGGREGATE(14,6,Ventes_Encaissements!$C$6:$C$3005/(Ventes_Encaissements!$B$6:$B$3005=$A78),1)))</f>
        <v/>
      </c>
      <c r="L78" s="11">
        <f>IF($A78="","",COUNTIFS(Ventes_Detail!$B$6:$B$3005,$A78))</f>
        <v/>
      </c>
      <c r="M78" s="12" t="n"/>
      <c r="N78" s="12">
        <f>IF($A78="","",IF($G78="","",IF($M78="Oui","Litige",IF($J78&lt;=0,"Payé",IF($I78&gt;0,"Partiel",IF(Listes!$B$3&gt;$G78,"En retard","À échoir"))))))</f>
        <v/>
      </c>
      <c r="O78" s="11">
        <f>IF($A78="","",IF(OR($G78="", $J78&lt;=0),0,MAX(0,Listes!$B$3-$G78)))</f>
        <v/>
      </c>
      <c r="P78" s="12">
        <f>IF($A78="","",IF($J78&lt;=0,"Payé",IF($M78="Oui","Litige",IF($O78=0,"À échoir",IF($O78&lt;=30,"0-30",IF($O78&lt;=60,"31-60",IF($O78&lt;=90,"61-90","90+")))))))</f>
        <v/>
      </c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9">
        <f>IF($A79="","",SUMIFS(Ventes_Encaissements!$D$6:$D$3005,Ventes_Encaissements!$B$6:$B$3005,$A79))</f>
        <v/>
      </c>
      <c r="J79" s="9">
        <f>IF($A79="","",$H79-$I79)</f>
        <v/>
      </c>
      <c r="K79" s="10">
        <f>IF($A79="","",IF($I79=0,"",_xludf.AGGREGATE(14,6,Ventes_Encaissements!$C$6:$C$3005/(Ventes_Encaissements!$B$6:$B$3005=$A79),1)))</f>
        <v/>
      </c>
      <c r="L79" s="11">
        <f>IF($A79="","",COUNTIFS(Ventes_Detail!$B$6:$B$3005,$A79))</f>
        <v/>
      </c>
      <c r="M79" s="12" t="n"/>
      <c r="N79" s="12">
        <f>IF($A79="","",IF($G79="","",IF($M79="Oui","Litige",IF($J79&lt;=0,"Payé",IF($I79&gt;0,"Partiel",IF(Listes!$B$3&gt;$G79,"En retard","À échoir"))))))</f>
        <v/>
      </c>
      <c r="O79" s="11">
        <f>IF($A79="","",IF(OR($G79="", $J79&lt;=0),0,MAX(0,Listes!$B$3-$G79)))</f>
        <v/>
      </c>
      <c r="P79" s="12">
        <f>IF($A79="","",IF($J79&lt;=0,"Payé",IF($M79="Oui","Litige",IF($O79=0,"À échoir",IF($O79&lt;=30,"0-30",IF($O79&lt;=60,"31-60",IF($O79&lt;=90,"61-90","90+")))))))</f>
        <v/>
      </c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9">
        <f>IF($A80="","",SUMIFS(Ventes_Encaissements!$D$6:$D$3005,Ventes_Encaissements!$B$6:$B$3005,$A80))</f>
        <v/>
      </c>
      <c r="J80" s="9">
        <f>IF($A80="","",$H80-$I80)</f>
        <v/>
      </c>
      <c r="K80" s="10">
        <f>IF($A80="","",IF($I80=0,"",_xludf.AGGREGATE(14,6,Ventes_Encaissements!$C$6:$C$3005/(Ventes_Encaissements!$B$6:$B$3005=$A80),1)))</f>
        <v/>
      </c>
      <c r="L80" s="11">
        <f>IF($A80="","",COUNTIFS(Ventes_Detail!$B$6:$B$3005,$A80))</f>
        <v/>
      </c>
      <c r="M80" s="12" t="n"/>
      <c r="N80" s="12">
        <f>IF($A80="","",IF($G80="","",IF($M80="Oui","Litige",IF($J80&lt;=0,"Payé",IF($I80&gt;0,"Partiel",IF(Listes!$B$3&gt;$G80,"En retard","À échoir"))))))</f>
        <v/>
      </c>
      <c r="O80" s="11">
        <f>IF($A80="","",IF(OR($G80="", $J80&lt;=0),0,MAX(0,Listes!$B$3-$G80)))</f>
        <v/>
      </c>
      <c r="P80" s="12">
        <f>IF($A80="","",IF($J80&lt;=0,"Payé",IF($M80="Oui","Litige",IF($O80=0,"À échoir",IF($O80&lt;=30,"0-30",IF($O80&lt;=60,"31-60",IF($O80&lt;=90,"61-90","90+")))))))</f>
        <v/>
      </c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9">
        <f>IF($A81="","",SUMIFS(Ventes_Encaissements!$D$6:$D$3005,Ventes_Encaissements!$B$6:$B$3005,$A81))</f>
        <v/>
      </c>
      <c r="J81" s="9">
        <f>IF($A81="","",$H81-$I81)</f>
        <v/>
      </c>
      <c r="K81" s="10">
        <f>IF($A81="","",IF($I81=0,"",_xludf.AGGREGATE(14,6,Ventes_Encaissements!$C$6:$C$3005/(Ventes_Encaissements!$B$6:$B$3005=$A81),1)))</f>
        <v/>
      </c>
      <c r="L81" s="11">
        <f>IF($A81="","",COUNTIFS(Ventes_Detail!$B$6:$B$3005,$A81))</f>
        <v/>
      </c>
      <c r="M81" s="12" t="n"/>
      <c r="N81" s="12">
        <f>IF($A81="","",IF($G81="","",IF($M81="Oui","Litige",IF($J81&lt;=0,"Payé",IF($I81&gt;0,"Partiel",IF(Listes!$B$3&gt;$G81,"En retard","À échoir"))))))</f>
        <v/>
      </c>
      <c r="O81" s="11">
        <f>IF($A81="","",IF(OR($G81="", $J81&lt;=0),0,MAX(0,Listes!$B$3-$G81)))</f>
        <v/>
      </c>
      <c r="P81" s="12">
        <f>IF($A81="","",IF($J81&lt;=0,"Payé",IF($M81="Oui","Litige",IF($O81=0,"À échoir",IF($O81&lt;=30,"0-30",IF($O81&lt;=60,"31-60",IF($O81&lt;=90,"61-90","90+")))))))</f>
        <v/>
      </c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9">
        <f>IF($A82="","",SUMIFS(Ventes_Encaissements!$D$6:$D$3005,Ventes_Encaissements!$B$6:$B$3005,$A82))</f>
        <v/>
      </c>
      <c r="J82" s="9">
        <f>IF($A82="","",$H82-$I82)</f>
        <v/>
      </c>
      <c r="K82" s="10">
        <f>IF($A82="","",IF($I82=0,"",_xludf.AGGREGATE(14,6,Ventes_Encaissements!$C$6:$C$3005/(Ventes_Encaissements!$B$6:$B$3005=$A82),1)))</f>
        <v/>
      </c>
      <c r="L82" s="11">
        <f>IF($A82="","",COUNTIFS(Ventes_Detail!$B$6:$B$3005,$A82))</f>
        <v/>
      </c>
      <c r="M82" s="12" t="n"/>
      <c r="N82" s="12">
        <f>IF($A82="","",IF($G82="","",IF($M82="Oui","Litige",IF($J82&lt;=0,"Payé",IF($I82&gt;0,"Partiel",IF(Listes!$B$3&gt;$G82,"En retard","À échoir"))))))</f>
        <v/>
      </c>
      <c r="O82" s="11">
        <f>IF($A82="","",IF(OR($G82="", $J82&lt;=0),0,MAX(0,Listes!$B$3-$G82)))</f>
        <v/>
      </c>
      <c r="P82" s="12">
        <f>IF($A82="","",IF($J82&lt;=0,"Payé",IF($M82="Oui","Litige",IF($O82=0,"À échoir",IF($O82&lt;=30,"0-30",IF($O82&lt;=60,"31-60",IF($O82&lt;=90,"61-90","90+")))))))</f>
        <v/>
      </c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9">
        <f>IF($A83="","",SUMIFS(Ventes_Encaissements!$D$6:$D$3005,Ventes_Encaissements!$B$6:$B$3005,$A83))</f>
        <v/>
      </c>
      <c r="J83" s="9">
        <f>IF($A83="","",$H83-$I83)</f>
        <v/>
      </c>
      <c r="K83" s="10">
        <f>IF($A83="","",IF($I83=0,"",_xludf.AGGREGATE(14,6,Ventes_Encaissements!$C$6:$C$3005/(Ventes_Encaissements!$B$6:$B$3005=$A83),1)))</f>
        <v/>
      </c>
      <c r="L83" s="11">
        <f>IF($A83="","",COUNTIFS(Ventes_Detail!$B$6:$B$3005,$A83))</f>
        <v/>
      </c>
      <c r="M83" s="12" t="n"/>
      <c r="N83" s="12">
        <f>IF($A83="","",IF($G83="","",IF($M83="Oui","Litige",IF($J83&lt;=0,"Payé",IF($I83&gt;0,"Partiel",IF(Listes!$B$3&gt;$G83,"En retard","À échoir"))))))</f>
        <v/>
      </c>
      <c r="O83" s="11">
        <f>IF($A83="","",IF(OR($G83="", $J83&lt;=0),0,MAX(0,Listes!$B$3-$G83)))</f>
        <v/>
      </c>
      <c r="P83" s="12">
        <f>IF($A83="","",IF($J83&lt;=0,"Payé",IF($M83="Oui","Litige",IF($O83=0,"À échoir",IF($O83&lt;=30,"0-30",IF($O83&lt;=60,"31-60",IF($O83&lt;=90,"61-90","90+")))))))</f>
        <v/>
      </c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9">
        <f>IF($A84="","",SUMIFS(Ventes_Encaissements!$D$6:$D$3005,Ventes_Encaissements!$B$6:$B$3005,$A84))</f>
        <v/>
      </c>
      <c r="J84" s="9">
        <f>IF($A84="","",$H84-$I84)</f>
        <v/>
      </c>
      <c r="K84" s="10">
        <f>IF($A84="","",IF($I84=0,"",_xludf.AGGREGATE(14,6,Ventes_Encaissements!$C$6:$C$3005/(Ventes_Encaissements!$B$6:$B$3005=$A84),1)))</f>
        <v/>
      </c>
      <c r="L84" s="11">
        <f>IF($A84="","",COUNTIFS(Ventes_Detail!$B$6:$B$3005,$A84))</f>
        <v/>
      </c>
      <c r="M84" s="12" t="n"/>
      <c r="N84" s="12">
        <f>IF($A84="","",IF($G84="","",IF($M84="Oui","Litige",IF($J84&lt;=0,"Payé",IF($I84&gt;0,"Partiel",IF(Listes!$B$3&gt;$G84,"En retard","À échoir"))))))</f>
        <v/>
      </c>
      <c r="O84" s="11">
        <f>IF($A84="","",IF(OR($G84="", $J84&lt;=0),0,MAX(0,Listes!$B$3-$G84)))</f>
        <v/>
      </c>
      <c r="P84" s="12">
        <f>IF($A84="","",IF($J84&lt;=0,"Payé",IF($M84="Oui","Litige",IF($O84=0,"À échoir",IF($O84&lt;=30,"0-30",IF($O84&lt;=60,"31-60",IF($O84&lt;=90,"61-90","90+")))))))</f>
        <v/>
      </c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9">
        <f>IF($A85="","",SUMIFS(Ventes_Encaissements!$D$6:$D$3005,Ventes_Encaissements!$B$6:$B$3005,$A85))</f>
        <v/>
      </c>
      <c r="J85" s="9">
        <f>IF($A85="","",$H85-$I85)</f>
        <v/>
      </c>
      <c r="K85" s="10">
        <f>IF($A85="","",IF($I85=0,"",_xludf.AGGREGATE(14,6,Ventes_Encaissements!$C$6:$C$3005/(Ventes_Encaissements!$B$6:$B$3005=$A85),1)))</f>
        <v/>
      </c>
      <c r="L85" s="11">
        <f>IF($A85="","",COUNTIFS(Ventes_Detail!$B$6:$B$3005,$A85))</f>
        <v/>
      </c>
      <c r="M85" s="12" t="n"/>
      <c r="N85" s="12">
        <f>IF($A85="","",IF($G85="","",IF($M85="Oui","Litige",IF($J85&lt;=0,"Payé",IF($I85&gt;0,"Partiel",IF(Listes!$B$3&gt;$G85,"En retard","À échoir"))))))</f>
        <v/>
      </c>
      <c r="O85" s="11">
        <f>IF($A85="","",IF(OR($G85="", $J85&lt;=0),0,MAX(0,Listes!$B$3-$G85)))</f>
        <v/>
      </c>
      <c r="P85" s="12">
        <f>IF($A85="","",IF($J85&lt;=0,"Payé",IF($M85="Oui","Litige",IF($O85=0,"À échoir",IF($O85&lt;=30,"0-30",IF($O85&lt;=60,"31-60",IF($O85&lt;=90,"61-90","90+")))))))</f>
        <v/>
      </c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9">
        <f>IF($A86="","",SUMIFS(Ventes_Encaissements!$D$6:$D$3005,Ventes_Encaissements!$B$6:$B$3005,$A86))</f>
        <v/>
      </c>
      <c r="J86" s="9">
        <f>IF($A86="","",$H86-$I86)</f>
        <v/>
      </c>
      <c r="K86" s="10">
        <f>IF($A86="","",IF($I86=0,"",_xludf.AGGREGATE(14,6,Ventes_Encaissements!$C$6:$C$3005/(Ventes_Encaissements!$B$6:$B$3005=$A86),1)))</f>
        <v/>
      </c>
      <c r="L86" s="11">
        <f>IF($A86="","",COUNTIFS(Ventes_Detail!$B$6:$B$3005,$A86))</f>
        <v/>
      </c>
      <c r="M86" s="12" t="n"/>
      <c r="N86" s="12">
        <f>IF($A86="","",IF($G86="","",IF($M86="Oui","Litige",IF($J86&lt;=0,"Payé",IF($I86&gt;0,"Partiel",IF(Listes!$B$3&gt;$G86,"En retard","À échoir"))))))</f>
        <v/>
      </c>
      <c r="O86" s="11">
        <f>IF($A86="","",IF(OR($G86="", $J86&lt;=0),0,MAX(0,Listes!$B$3-$G86)))</f>
        <v/>
      </c>
      <c r="P86" s="12">
        <f>IF($A86="","",IF($J86&lt;=0,"Payé",IF($M86="Oui","Litige",IF($O86=0,"À échoir",IF($O86&lt;=30,"0-30",IF($O86&lt;=60,"31-60",IF($O86&lt;=90,"61-90","90+")))))))</f>
        <v/>
      </c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9">
        <f>IF($A87="","",SUMIFS(Ventes_Encaissements!$D$6:$D$3005,Ventes_Encaissements!$B$6:$B$3005,$A87))</f>
        <v/>
      </c>
      <c r="J87" s="9">
        <f>IF($A87="","",$H87-$I87)</f>
        <v/>
      </c>
      <c r="K87" s="10">
        <f>IF($A87="","",IF($I87=0,"",_xludf.AGGREGATE(14,6,Ventes_Encaissements!$C$6:$C$3005/(Ventes_Encaissements!$B$6:$B$3005=$A87),1)))</f>
        <v/>
      </c>
      <c r="L87" s="11">
        <f>IF($A87="","",COUNTIFS(Ventes_Detail!$B$6:$B$3005,$A87))</f>
        <v/>
      </c>
      <c r="M87" s="12" t="n"/>
      <c r="N87" s="12">
        <f>IF($A87="","",IF($G87="","",IF($M87="Oui","Litige",IF($J87&lt;=0,"Payé",IF($I87&gt;0,"Partiel",IF(Listes!$B$3&gt;$G87,"En retard","À échoir"))))))</f>
        <v/>
      </c>
      <c r="O87" s="11">
        <f>IF($A87="","",IF(OR($G87="", $J87&lt;=0),0,MAX(0,Listes!$B$3-$G87)))</f>
        <v/>
      </c>
      <c r="P87" s="12">
        <f>IF($A87="","",IF($J87&lt;=0,"Payé",IF($M87="Oui","Litige",IF($O87=0,"À échoir",IF($O87&lt;=30,"0-30",IF($O87&lt;=60,"31-60",IF($O87&lt;=90,"61-90","90+")))))))</f>
        <v/>
      </c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9">
        <f>IF($A88="","",SUMIFS(Ventes_Encaissements!$D$6:$D$3005,Ventes_Encaissements!$B$6:$B$3005,$A88))</f>
        <v/>
      </c>
      <c r="J88" s="9">
        <f>IF($A88="","",$H88-$I88)</f>
        <v/>
      </c>
      <c r="K88" s="10">
        <f>IF($A88="","",IF($I88=0,"",_xludf.AGGREGATE(14,6,Ventes_Encaissements!$C$6:$C$3005/(Ventes_Encaissements!$B$6:$B$3005=$A88),1)))</f>
        <v/>
      </c>
      <c r="L88" s="11">
        <f>IF($A88="","",COUNTIFS(Ventes_Detail!$B$6:$B$3005,$A88))</f>
        <v/>
      </c>
      <c r="M88" s="12" t="n"/>
      <c r="N88" s="12">
        <f>IF($A88="","",IF($G88="","",IF($M88="Oui","Litige",IF($J88&lt;=0,"Payé",IF($I88&gt;0,"Partiel",IF(Listes!$B$3&gt;$G88,"En retard","À échoir"))))))</f>
        <v/>
      </c>
      <c r="O88" s="11">
        <f>IF($A88="","",IF(OR($G88="", $J88&lt;=0),0,MAX(0,Listes!$B$3-$G88)))</f>
        <v/>
      </c>
      <c r="P88" s="12">
        <f>IF($A88="","",IF($J88&lt;=0,"Payé",IF($M88="Oui","Litige",IF($O88=0,"À échoir",IF($O88&lt;=30,"0-30",IF($O88&lt;=60,"31-60",IF($O88&lt;=90,"61-90","90+")))))))</f>
        <v/>
      </c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9">
        <f>IF($A89="","",SUMIFS(Ventes_Encaissements!$D$6:$D$3005,Ventes_Encaissements!$B$6:$B$3005,$A89))</f>
        <v/>
      </c>
      <c r="J89" s="9">
        <f>IF($A89="","",$H89-$I89)</f>
        <v/>
      </c>
      <c r="K89" s="10">
        <f>IF($A89="","",IF($I89=0,"",_xludf.AGGREGATE(14,6,Ventes_Encaissements!$C$6:$C$3005/(Ventes_Encaissements!$B$6:$B$3005=$A89),1)))</f>
        <v/>
      </c>
      <c r="L89" s="11">
        <f>IF($A89="","",COUNTIFS(Ventes_Detail!$B$6:$B$3005,$A89))</f>
        <v/>
      </c>
      <c r="M89" s="12" t="n"/>
      <c r="N89" s="12">
        <f>IF($A89="","",IF($G89="","",IF($M89="Oui","Litige",IF($J89&lt;=0,"Payé",IF($I89&gt;0,"Partiel",IF(Listes!$B$3&gt;$G89,"En retard","À échoir"))))))</f>
        <v/>
      </c>
      <c r="O89" s="11">
        <f>IF($A89="","",IF(OR($G89="", $J89&lt;=0),0,MAX(0,Listes!$B$3-$G89)))</f>
        <v/>
      </c>
      <c r="P89" s="12">
        <f>IF($A89="","",IF($J89&lt;=0,"Payé",IF($M89="Oui","Litige",IF($O89=0,"À échoir",IF($O89&lt;=30,"0-30",IF($O89&lt;=60,"31-60",IF($O89&lt;=90,"61-90","90+")))))))</f>
        <v/>
      </c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9">
        <f>IF($A90="","",SUMIFS(Ventes_Encaissements!$D$6:$D$3005,Ventes_Encaissements!$B$6:$B$3005,$A90))</f>
        <v/>
      </c>
      <c r="J90" s="9">
        <f>IF($A90="","",$H90-$I90)</f>
        <v/>
      </c>
      <c r="K90" s="10">
        <f>IF($A90="","",IF($I90=0,"",_xludf.AGGREGATE(14,6,Ventes_Encaissements!$C$6:$C$3005/(Ventes_Encaissements!$B$6:$B$3005=$A90),1)))</f>
        <v/>
      </c>
      <c r="L90" s="11">
        <f>IF($A90="","",COUNTIFS(Ventes_Detail!$B$6:$B$3005,$A90))</f>
        <v/>
      </c>
      <c r="M90" s="12" t="n"/>
      <c r="N90" s="12">
        <f>IF($A90="","",IF($G90="","",IF($M90="Oui","Litige",IF($J90&lt;=0,"Payé",IF($I90&gt;0,"Partiel",IF(Listes!$B$3&gt;$G90,"En retard","À échoir"))))))</f>
        <v/>
      </c>
      <c r="O90" s="11">
        <f>IF($A90="","",IF(OR($G90="", $J90&lt;=0),0,MAX(0,Listes!$B$3-$G90)))</f>
        <v/>
      </c>
      <c r="P90" s="12">
        <f>IF($A90="","",IF($J90&lt;=0,"Payé",IF($M90="Oui","Litige",IF($O90=0,"À échoir",IF($O90&lt;=30,"0-30",IF($O90&lt;=60,"31-60",IF($O90&lt;=90,"61-90","90+")))))))</f>
        <v/>
      </c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9">
        <f>IF($A91="","",SUMIFS(Ventes_Encaissements!$D$6:$D$3005,Ventes_Encaissements!$B$6:$B$3005,$A91))</f>
        <v/>
      </c>
      <c r="J91" s="9">
        <f>IF($A91="","",$H91-$I91)</f>
        <v/>
      </c>
      <c r="K91" s="10">
        <f>IF($A91="","",IF($I91=0,"",_xludf.AGGREGATE(14,6,Ventes_Encaissements!$C$6:$C$3005/(Ventes_Encaissements!$B$6:$B$3005=$A91),1)))</f>
        <v/>
      </c>
      <c r="L91" s="11">
        <f>IF($A91="","",COUNTIFS(Ventes_Detail!$B$6:$B$3005,$A91))</f>
        <v/>
      </c>
      <c r="M91" s="12" t="n"/>
      <c r="N91" s="12">
        <f>IF($A91="","",IF($G91="","",IF($M91="Oui","Litige",IF($J91&lt;=0,"Payé",IF($I91&gt;0,"Partiel",IF(Listes!$B$3&gt;$G91,"En retard","À échoir"))))))</f>
        <v/>
      </c>
      <c r="O91" s="11">
        <f>IF($A91="","",IF(OR($G91="", $J91&lt;=0),0,MAX(0,Listes!$B$3-$G91)))</f>
        <v/>
      </c>
      <c r="P91" s="12">
        <f>IF($A91="","",IF($J91&lt;=0,"Payé",IF($M91="Oui","Litige",IF($O91=0,"À échoir",IF($O91&lt;=30,"0-30",IF($O91&lt;=60,"31-60",IF($O91&lt;=90,"61-90","90+")))))))</f>
        <v/>
      </c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9">
        <f>IF($A92="","",SUMIFS(Ventes_Encaissements!$D$6:$D$3005,Ventes_Encaissements!$B$6:$B$3005,$A92))</f>
        <v/>
      </c>
      <c r="J92" s="9">
        <f>IF($A92="","",$H92-$I92)</f>
        <v/>
      </c>
      <c r="K92" s="10">
        <f>IF($A92="","",IF($I92=0,"",_xludf.AGGREGATE(14,6,Ventes_Encaissements!$C$6:$C$3005/(Ventes_Encaissements!$B$6:$B$3005=$A92),1)))</f>
        <v/>
      </c>
      <c r="L92" s="11">
        <f>IF($A92="","",COUNTIFS(Ventes_Detail!$B$6:$B$3005,$A92))</f>
        <v/>
      </c>
      <c r="M92" s="12" t="n"/>
      <c r="N92" s="12">
        <f>IF($A92="","",IF($G92="","",IF($M92="Oui","Litige",IF($J92&lt;=0,"Payé",IF($I92&gt;0,"Partiel",IF(Listes!$B$3&gt;$G92,"En retard","À échoir"))))))</f>
        <v/>
      </c>
      <c r="O92" s="11">
        <f>IF($A92="","",IF(OR($G92="", $J92&lt;=0),0,MAX(0,Listes!$B$3-$G92)))</f>
        <v/>
      </c>
      <c r="P92" s="12">
        <f>IF($A92="","",IF($J92&lt;=0,"Payé",IF($M92="Oui","Litige",IF($O92=0,"À échoir",IF($O92&lt;=30,"0-30",IF($O92&lt;=60,"31-60",IF($O92&lt;=90,"61-90","90+")))))))</f>
        <v/>
      </c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9">
        <f>IF($A93="","",SUMIFS(Ventes_Encaissements!$D$6:$D$3005,Ventes_Encaissements!$B$6:$B$3005,$A93))</f>
        <v/>
      </c>
      <c r="J93" s="9">
        <f>IF($A93="","",$H93-$I93)</f>
        <v/>
      </c>
      <c r="K93" s="10">
        <f>IF($A93="","",IF($I93=0,"",_xludf.AGGREGATE(14,6,Ventes_Encaissements!$C$6:$C$3005/(Ventes_Encaissements!$B$6:$B$3005=$A93),1)))</f>
        <v/>
      </c>
      <c r="L93" s="11">
        <f>IF($A93="","",COUNTIFS(Ventes_Detail!$B$6:$B$3005,$A93))</f>
        <v/>
      </c>
      <c r="M93" s="12" t="n"/>
      <c r="N93" s="12">
        <f>IF($A93="","",IF($G93="","",IF($M93="Oui","Litige",IF($J93&lt;=0,"Payé",IF($I93&gt;0,"Partiel",IF(Listes!$B$3&gt;$G93,"En retard","À échoir"))))))</f>
        <v/>
      </c>
      <c r="O93" s="11">
        <f>IF($A93="","",IF(OR($G93="", $J93&lt;=0),0,MAX(0,Listes!$B$3-$G93)))</f>
        <v/>
      </c>
      <c r="P93" s="12">
        <f>IF($A93="","",IF($J93&lt;=0,"Payé",IF($M93="Oui","Litige",IF($O93=0,"À échoir",IF($O93&lt;=30,"0-30",IF($O93&lt;=60,"31-60",IF($O93&lt;=90,"61-90","90+")))))))</f>
        <v/>
      </c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9">
        <f>IF($A94="","",SUMIFS(Ventes_Encaissements!$D$6:$D$3005,Ventes_Encaissements!$B$6:$B$3005,$A94))</f>
        <v/>
      </c>
      <c r="J94" s="9">
        <f>IF($A94="","",$H94-$I94)</f>
        <v/>
      </c>
      <c r="K94" s="10">
        <f>IF($A94="","",IF($I94=0,"",_xludf.AGGREGATE(14,6,Ventes_Encaissements!$C$6:$C$3005/(Ventes_Encaissements!$B$6:$B$3005=$A94),1)))</f>
        <v/>
      </c>
      <c r="L94" s="11">
        <f>IF($A94="","",COUNTIFS(Ventes_Detail!$B$6:$B$3005,$A94))</f>
        <v/>
      </c>
      <c r="M94" s="12" t="n"/>
      <c r="N94" s="12">
        <f>IF($A94="","",IF($G94="","",IF($M94="Oui","Litige",IF($J94&lt;=0,"Payé",IF($I94&gt;0,"Partiel",IF(Listes!$B$3&gt;$G94,"En retard","À échoir"))))))</f>
        <v/>
      </c>
      <c r="O94" s="11">
        <f>IF($A94="","",IF(OR($G94="", $J94&lt;=0),0,MAX(0,Listes!$B$3-$G94)))</f>
        <v/>
      </c>
      <c r="P94" s="12">
        <f>IF($A94="","",IF($J94&lt;=0,"Payé",IF($M94="Oui","Litige",IF($O94=0,"À échoir",IF($O94&lt;=30,"0-30",IF($O94&lt;=60,"31-60",IF($O94&lt;=90,"61-90","90+")))))))</f>
        <v/>
      </c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9">
        <f>IF($A95="","",SUMIFS(Ventes_Encaissements!$D$6:$D$3005,Ventes_Encaissements!$B$6:$B$3005,$A95))</f>
        <v/>
      </c>
      <c r="J95" s="9">
        <f>IF($A95="","",$H95-$I95)</f>
        <v/>
      </c>
      <c r="K95" s="10">
        <f>IF($A95="","",IF($I95=0,"",_xludf.AGGREGATE(14,6,Ventes_Encaissements!$C$6:$C$3005/(Ventes_Encaissements!$B$6:$B$3005=$A95),1)))</f>
        <v/>
      </c>
      <c r="L95" s="11">
        <f>IF($A95="","",COUNTIFS(Ventes_Detail!$B$6:$B$3005,$A95))</f>
        <v/>
      </c>
      <c r="M95" s="12" t="n"/>
      <c r="N95" s="12">
        <f>IF($A95="","",IF($G95="","",IF($M95="Oui","Litige",IF($J95&lt;=0,"Payé",IF($I95&gt;0,"Partiel",IF(Listes!$B$3&gt;$G95,"En retard","À échoir"))))))</f>
        <v/>
      </c>
      <c r="O95" s="11">
        <f>IF($A95="","",IF(OR($G95="", $J95&lt;=0),0,MAX(0,Listes!$B$3-$G95)))</f>
        <v/>
      </c>
      <c r="P95" s="12">
        <f>IF($A95="","",IF($J95&lt;=0,"Payé",IF($M95="Oui","Litige",IF($O95=0,"À échoir",IF($O95&lt;=30,"0-30",IF($O95&lt;=60,"31-60",IF($O95&lt;=90,"61-90","90+")))))))</f>
        <v/>
      </c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9">
        <f>IF($A96="","",SUMIFS(Ventes_Encaissements!$D$6:$D$3005,Ventes_Encaissements!$B$6:$B$3005,$A96))</f>
        <v/>
      </c>
      <c r="J96" s="9">
        <f>IF($A96="","",$H96-$I96)</f>
        <v/>
      </c>
      <c r="K96" s="10">
        <f>IF($A96="","",IF($I96=0,"",_xludf.AGGREGATE(14,6,Ventes_Encaissements!$C$6:$C$3005/(Ventes_Encaissements!$B$6:$B$3005=$A96),1)))</f>
        <v/>
      </c>
      <c r="L96" s="11">
        <f>IF($A96="","",COUNTIFS(Ventes_Detail!$B$6:$B$3005,$A96))</f>
        <v/>
      </c>
      <c r="M96" s="12" t="n"/>
      <c r="N96" s="12">
        <f>IF($A96="","",IF($G96="","",IF($M96="Oui","Litige",IF($J96&lt;=0,"Payé",IF($I96&gt;0,"Partiel",IF(Listes!$B$3&gt;$G96,"En retard","À échoir"))))))</f>
        <v/>
      </c>
      <c r="O96" s="11">
        <f>IF($A96="","",IF(OR($G96="", $J96&lt;=0),0,MAX(0,Listes!$B$3-$G96)))</f>
        <v/>
      </c>
      <c r="P96" s="12">
        <f>IF($A96="","",IF($J96&lt;=0,"Payé",IF($M96="Oui","Litige",IF($O96=0,"À échoir",IF($O96&lt;=30,"0-30",IF($O96&lt;=60,"31-60",IF($O96&lt;=90,"61-90","90+")))))))</f>
        <v/>
      </c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9">
        <f>IF($A97="","",SUMIFS(Ventes_Encaissements!$D$6:$D$3005,Ventes_Encaissements!$B$6:$B$3005,$A97))</f>
        <v/>
      </c>
      <c r="J97" s="9">
        <f>IF($A97="","",$H97-$I97)</f>
        <v/>
      </c>
      <c r="K97" s="10">
        <f>IF($A97="","",IF($I97=0,"",_xludf.AGGREGATE(14,6,Ventes_Encaissements!$C$6:$C$3005/(Ventes_Encaissements!$B$6:$B$3005=$A97),1)))</f>
        <v/>
      </c>
      <c r="L97" s="11">
        <f>IF($A97="","",COUNTIFS(Ventes_Detail!$B$6:$B$3005,$A97))</f>
        <v/>
      </c>
      <c r="M97" s="12" t="n"/>
      <c r="N97" s="12">
        <f>IF($A97="","",IF($G97="","",IF($M97="Oui","Litige",IF($J97&lt;=0,"Payé",IF($I97&gt;0,"Partiel",IF(Listes!$B$3&gt;$G97,"En retard","À échoir"))))))</f>
        <v/>
      </c>
      <c r="O97" s="11">
        <f>IF($A97="","",IF(OR($G97="", $J97&lt;=0),0,MAX(0,Listes!$B$3-$G97)))</f>
        <v/>
      </c>
      <c r="P97" s="12">
        <f>IF($A97="","",IF($J97&lt;=0,"Payé",IF($M97="Oui","Litige",IF($O97=0,"À échoir",IF($O97&lt;=30,"0-30",IF($O97&lt;=60,"31-60",IF($O97&lt;=90,"61-90","90+")))))))</f>
        <v/>
      </c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9">
        <f>IF($A98="","",SUMIFS(Ventes_Encaissements!$D$6:$D$3005,Ventes_Encaissements!$B$6:$B$3005,$A98))</f>
        <v/>
      </c>
      <c r="J98" s="9">
        <f>IF($A98="","",$H98-$I98)</f>
        <v/>
      </c>
      <c r="K98" s="10">
        <f>IF($A98="","",IF($I98=0,"",_xludf.AGGREGATE(14,6,Ventes_Encaissements!$C$6:$C$3005/(Ventes_Encaissements!$B$6:$B$3005=$A98),1)))</f>
        <v/>
      </c>
      <c r="L98" s="11">
        <f>IF($A98="","",COUNTIFS(Ventes_Detail!$B$6:$B$3005,$A98))</f>
        <v/>
      </c>
      <c r="M98" s="12" t="n"/>
      <c r="N98" s="12">
        <f>IF($A98="","",IF($G98="","",IF($M98="Oui","Litige",IF($J98&lt;=0,"Payé",IF($I98&gt;0,"Partiel",IF(Listes!$B$3&gt;$G98,"En retard","À échoir"))))))</f>
        <v/>
      </c>
      <c r="O98" s="11">
        <f>IF($A98="","",IF(OR($G98="", $J98&lt;=0),0,MAX(0,Listes!$B$3-$G98)))</f>
        <v/>
      </c>
      <c r="P98" s="12">
        <f>IF($A98="","",IF($J98&lt;=0,"Payé",IF($M98="Oui","Litige",IF($O98=0,"À échoir",IF($O98&lt;=30,"0-30",IF($O98&lt;=60,"31-60",IF($O98&lt;=90,"61-90","90+")))))))</f>
        <v/>
      </c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9">
        <f>IF($A99="","",SUMIFS(Ventes_Encaissements!$D$6:$D$3005,Ventes_Encaissements!$B$6:$B$3005,$A99))</f>
        <v/>
      </c>
      <c r="J99" s="9">
        <f>IF($A99="","",$H99-$I99)</f>
        <v/>
      </c>
      <c r="K99" s="10">
        <f>IF($A99="","",IF($I99=0,"",_xludf.AGGREGATE(14,6,Ventes_Encaissements!$C$6:$C$3005/(Ventes_Encaissements!$B$6:$B$3005=$A99),1)))</f>
        <v/>
      </c>
      <c r="L99" s="11">
        <f>IF($A99="","",COUNTIFS(Ventes_Detail!$B$6:$B$3005,$A99))</f>
        <v/>
      </c>
      <c r="M99" s="12" t="n"/>
      <c r="N99" s="12">
        <f>IF($A99="","",IF($G99="","",IF($M99="Oui","Litige",IF($J99&lt;=0,"Payé",IF($I99&gt;0,"Partiel",IF(Listes!$B$3&gt;$G99,"En retard","À échoir"))))))</f>
        <v/>
      </c>
      <c r="O99" s="11">
        <f>IF($A99="","",IF(OR($G99="", $J99&lt;=0),0,MAX(0,Listes!$B$3-$G99)))</f>
        <v/>
      </c>
      <c r="P99" s="12">
        <f>IF($A99="","",IF($J99&lt;=0,"Payé",IF($M99="Oui","Litige",IF($O99=0,"À échoir",IF($O99&lt;=30,"0-30",IF($O99&lt;=60,"31-60",IF($O99&lt;=90,"61-90","90+")))))))</f>
        <v/>
      </c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9">
        <f>IF($A100="","",SUMIFS(Ventes_Encaissements!$D$6:$D$3005,Ventes_Encaissements!$B$6:$B$3005,$A100))</f>
        <v/>
      </c>
      <c r="J100" s="9">
        <f>IF($A100="","",$H100-$I100)</f>
        <v/>
      </c>
      <c r="K100" s="10">
        <f>IF($A100="","",IF($I100=0,"",_xludf.AGGREGATE(14,6,Ventes_Encaissements!$C$6:$C$3005/(Ventes_Encaissements!$B$6:$B$3005=$A100),1)))</f>
        <v/>
      </c>
      <c r="L100" s="11">
        <f>IF($A100="","",COUNTIFS(Ventes_Detail!$B$6:$B$3005,$A100))</f>
        <v/>
      </c>
      <c r="M100" s="12" t="n"/>
      <c r="N100" s="12">
        <f>IF($A100="","",IF($G100="","",IF($M100="Oui","Litige",IF($J100&lt;=0,"Payé",IF($I100&gt;0,"Partiel",IF(Listes!$B$3&gt;$G100,"En retard","À échoir"))))))</f>
        <v/>
      </c>
      <c r="O100" s="11">
        <f>IF($A100="","",IF(OR($G100="", $J100&lt;=0),0,MAX(0,Listes!$B$3-$G100)))</f>
        <v/>
      </c>
      <c r="P100" s="12">
        <f>IF($A100="","",IF($J100&lt;=0,"Payé",IF($M100="Oui","Litige",IF($O100=0,"À échoir",IF($O100&lt;=30,"0-30",IF($O100&lt;=60,"31-60",IF($O100&lt;=90,"61-90","90+")))))))</f>
        <v/>
      </c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9">
        <f>IF($A101="","",SUMIFS(Ventes_Encaissements!$D$6:$D$3005,Ventes_Encaissements!$B$6:$B$3005,$A101))</f>
        <v/>
      </c>
      <c r="J101" s="9">
        <f>IF($A101="","",$H101-$I101)</f>
        <v/>
      </c>
      <c r="K101" s="10">
        <f>IF($A101="","",IF($I101=0,"",_xludf.AGGREGATE(14,6,Ventes_Encaissements!$C$6:$C$3005/(Ventes_Encaissements!$B$6:$B$3005=$A101),1)))</f>
        <v/>
      </c>
      <c r="L101" s="11">
        <f>IF($A101="","",COUNTIFS(Ventes_Detail!$B$6:$B$3005,$A101))</f>
        <v/>
      </c>
      <c r="M101" s="12" t="n"/>
      <c r="N101" s="12">
        <f>IF($A101="","",IF($G101="","",IF($M101="Oui","Litige",IF($J101&lt;=0,"Payé",IF($I101&gt;0,"Partiel",IF(Listes!$B$3&gt;$G101,"En retard","À échoir"))))))</f>
        <v/>
      </c>
      <c r="O101" s="11">
        <f>IF($A101="","",IF(OR($G101="", $J101&lt;=0),0,MAX(0,Listes!$B$3-$G101)))</f>
        <v/>
      </c>
      <c r="P101" s="12">
        <f>IF($A101="","",IF($J101&lt;=0,"Payé",IF($M101="Oui","Litige",IF($O101=0,"À échoir",IF($O101&lt;=30,"0-30",IF($O101&lt;=60,"31-60",IF($O101&lt;=90,"61-90","90+")))))))</f>
        <v/>
      </c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9">
        <f>IF($A102="","",SUMIFS(Ventes_Encaissements!$D$6:$D$3005,Ventes_Encaissements!$B$6:$B$3005,$A102))</f>
        <v/>
      </c>
      <c r="J102" s="9">
        <f>IF($A102="","",$H102-$I102)</f>
        <v/>
      </c>
      <c r="K102" s="10">
        <f>IF($A102="","",IF($I102=0,"",_xludf.AGGREGATE(14,6,Ventes_Encaissements!$C$6:$C$3005/(Ventes_Encaissements!$B$6:$B$3005=$A102),1)))</f>
        <v/>
      </c>
      <c r="L102" s="11">
        <f>IF($A102="","",COUNTIFS(Ventes_Detail!$B$6:$B$3005,$A102))</f>
        <v/>
      </c>
      <c r="M102" s="12" t="n"/>
      <c r="N102" s="12">
        <f>IF($A102="","",IF($G102="","",IF($M102="Oui","Litige",IF($J102&lt;=0,"Payé",IF($I102&gt;0,"Partiel",IF(Listes!$B$3&gt;$G102,"En retard","À échoir"))))))</f>
        <v/>
      </c>
      <c r="O102" s="11">
        <f>IF($A102="","",IF(OR($G102="", $J102&lt;=0),0,MAX(0,Listes!$B$3-$G102)))</f>
        <v/>
      </c>
      <c r="P102" s="12">
        <f>IF($A102="","",IF($J102&lt;=0,"Payé",IF($M102="Oui","Litige",IF($O102=0,"À échoir",IF($O102&lt;=30,"0-30",IF($O102&lt;=60,"31-60",IF($O102&lt;=90,"61-90","90+")))))))</f>
        <v/>
      </c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9">
        <f>IF($A103="","",SUMIFS(Ventes_Encaissements!$D$6:$D$3005,Ventes_Encaissements!$B$6:$B$3005,$A103))</f>
        <v/>
      </c>
      <c r="J103" s="9">
        <f>IF($A103="","",$H103-$I103)</f>
        <v/>
      </c>
      <c r="K103" s="10">
        <f>IF($A103="","",IF($I103=0,"",_xludf.AGGREGATE(14,6,Ventes_Encaissements!$C$6:$C$3005/(Ventes_Encaissements!$B$6:$B$3005=$A103),1)))</f>
        <v/>
      </c>
      <c r="L103" s="11">
        <f>IF($A103="","",COUNTIFS(Ventes_Detail!$B$6:$B$3005,$A103))</f>
        <v/>
      </c>
      <c r="M103" s="12" t="n"/>
      <c r="N103" s="12">
        <f>IF($A103="","",IF($G103="","",IF($M103="Oui","Litige",IF($J103&lt;=0,"Payé",IF($I103&gt;0,"Partiel",IF(Listes!$B$3&gt;$G103,"En retard","À échoir"))))))</f>
        <v/>
      </c>
      <c r="O103" s="11">
        <f>IF($A103="","",IF(OR($G103="", $J103&lt;=0),0,MAX(0,Listes!$B$3-$G103)))</f>
        <v/>
      </c>
      <c r="P103" s="12">
        <f>IF($A103="","",IF($J103&lt;=0,"Payé",IF($M103="Oui","Litige",IF($O103=0,"À échoir",IF($O103&lt;=30,"0-30",IF($O103&lt;=60,"31-60",IF($O103&lt;=90,"61-90","90+")))))))</f>
        <v/>
      </c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9">
        <f>IF($A104="","",SUMIFS(Ventes_Encaissements!$D$6:$D$3005,Ventes_Encaissements!$B$6:$B$3005,$A104))</f>
        <v/>
      </c>
      <c r="J104" s="9">
        <f>IF($A104="","",$H104-$I104)</f>
        <v/>
      </c>
      <c r="K104" s="10">
        <f>IF($A104="","",IF($I104=0,"",_xludf.AGGREGATE(14,6,Ventes_Encaissements!$C$6:$C$3005/(Ventes_Encaissements!$B$6:$B$3005=$A104),1)))</f>
        <v/>
      </c>
      <c r="L104" s="11">
        <f>IF($A104="","",COUNTIFS(Ventes_Detail!$B$6:$B$3005,$A104))</f>
        <v/>
      </c>
      <c r="M104" s="12" t="n"/>
      <c r="N104" s="12">
        <f>IF($A104="","",IF($G104="","",IF($M104="Oui","Litige",IF($J104&lt;=0,"Payé",IF($I104&gt;0,"Partiel",IF(Listes!$B$3&gt;$G104,"En retard","À échoir"))))))</f>
        <v/>
      </c>
      <c r="O104" s="11">
        <f>IF($A104="","",IF(OR($G104="", $J104&lt;=0),0,MAX(0,Listes!$B$3-$G104)))</f>
        <v/>
      </c>
      <c r="P104" s="12">
        <f>IF($A104="","",IF($J104&lt;=0,"Payé",IF($M104="Oui","Litige",IF($O104=0,"À échoir",IF($O104&lt;=30,"0-30",IF($O104&lt;=60,"31-60",IF($O104&lt;=90,"61-90","90+")))))))</f>
        <v/>
      </c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9">
        <f>IF($A105="","",SUMIFS(Ventes_Encaissements!$D$6:$D$3005,Ventes_Encaissements!$B$6:$B$3005,$A105))</f>
        <v/>
      </c>
      <c r="J105" s="9">
        <f>IF($A105="","",$H105-$I105)</f>
        <v/>
      </c>
      <c r="K105" s="10">
        <f>IF($A105="","",IF($I105=0,"",_xludf.AGGREGATE(14,6,Ventes_Encaissements!$C$6:$C$3005/(Ventes_Encaissements!$B$6:$B$3005=$A105),1)))</f>
        <v/>
      </c>
      <c r="L105" s="11">
        <f>IF($A105="","",COUNTIFS(Ventes_Detail!$B$6:$B$3005,$A105))</f>
        <v/>
      </c>
      <c r="M105" s="12" t="n"/>
      <c r="N105" s="12">
        <f>IF($A105="","",IF($G105="","",IF($M105="Oui","Litige",IF($J105&lt;=0,"Payé",IF($I105&gt;0,"Partiel",IF(Listes!$B$3&gt;$G105,"En retard","À échoir"))))))</f>
        <v/>
      </c>
      <c r="O105" s="11">
        <f>IF($A105="","",IF(OR($G105="", $J105&lt;=0),0,MAX(0,Listes!$B$3-$G105)))</f>
        <v/>
      </c>
      <c r="P105" s="12">
        <f>IF($A105="","",IF($J105&lt;=0,"Payé",IF($M105="Oui","Litige",IF($O105=0,"À échoir",IF($O105&lt;=30,"0-30",IF($O105&lt;=60,"31-60",IF($O105&lt;=90,"61-90","90+")))))))</f>
        <v/>
      </c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9">
        <f>IF($A106="","",SUMIFS(Ventes_Encaissements!$D$6:$D$3005,Ventes_Encaissements!$B$6:$B$3005,$A106))</f>
        <v/>
      </c>
      <c r="J106" s="9">
        <f>IF($A106="","",$H106-$I106)</f>
        <v/>
      </c>
      <c r="K106" s="10">
        <f>IF($A106="","",IF($I106=0,"",_xludf.AGGREGATE(14,6,Ventes_Encaissements!$C$6:$C$3005/(Ventes_Encaissements!$B$6:$B$3005=$A106),1)))</f>
        <v/>
      </c>
      <c r="L106" s="11">
        <f>IF($A106="","",COUNTIFS(Ventes_Detail!$B$6:$B$3005,$A106))</f>
        <v/>
      </c>
      <c r="M106" s="12" t="n"/>
      <c r="N106" s="12">
        <f>IF($A106="","",IF($G106="","",IF($M106="Oui","Litige",IF($J106&lt;=0,"Payé",IF($I106&gt;0,"Partiel",IF(Listes!$B$3&gt;$G106,"En retard","À échoir"))))))</f>
        <v/>
      </c>
      <c r="O106" s="11">
        <f>IF($A106="","",IF(OR($G106="", $J106&lt;=0),0,MAX(0,Listes!$B$3-$G106)))</f>
        <v/>
      </c>
      <c r="P106" s="12">
        <f>IF($A106="","",IF($J106&lt;=0,"Payé",IF($M106="Oui","Litige",IF($O106=0,"À échoir",IF($O106&lt;=30,"0-30",IF($O106&lt;=60,"31-60",IF($O106&lt;=90,"61-90","90+")))))))</f>
        <v/>
      </c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9">
        <f>IF($A107="","",SUMIFS(Ventes_Encaissements!$D$6:$D$3005,Ventes_Encaissements!$B$6:$B$3005,$A107))</f>
        <v/>
      </c>
      <c r="J107" s="9">
        <f>IF($A107="","",$H107-$I107)</f>
        <v/>
      </c>
      <c r="K107" s="10">
        <f>IF($A107="","",IF($I107=0,"",_xludf.AGGREGATE(14,6,Ventes_Encaissements!$C$6:$C$3005/(Ventes_Encaissements!$B$6:$B$3005=$A107),1)))</f>
        <v/>
      </c>
      <c r="L107" s="11">
        <f>IF($A107="","",COUNTIFS(Ventes_Detail!$B$6:$B$3005,$A107))</f>
        <v/>
      </c>
      <c r="M107" s="12" t="n"/>
      <c r="N107" s="12">
        <f>IF($A107="","",IF($G107="","",IF($M107="Oui","Litige",IF($J107&lt;=0,"Payé",IF($I107&gt;0,"Partiel",IF(Listes!$B$3&gt;$G107,"En retard","À échoir"))))))</f>
        <v/>
      </c>
      <c r="O107" s="11">
        <f>IF($A107="","",IF(OR($G107="", $J107&lt;=0),0,MAX(0,Listes!$B$3-$G107)))</f>
        <v/>
      </c>
      <c r="P107" s="12">
        <f>IF($A107="","",IF($J107&lt;=0,"Payé",IF($M107="Oui","Litige",IF($O107=0,"À échoir",IF($O107&lt;=30,"0-30",IF($O107&lt;=60,"31-60",IF($O107&lt;=90,"61-90","90+")))))))</f>
        <v/>
      </c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9">
        <f>IF($A108="","",SUMIFS(Ventes_Encaissements!$D$6:$D$3005,Ventes_Encaissements!$B$6:$B$3005,$A108))</f>
        <v/>
      </c>
      <c r="J108" s="9">
        <f>IF($A108="","",$H108-$I108)</f>
        <v/>
      </c>
      <c r="K108" s="10">
        <f>IF($A108="","",IF($I108=0,"",_xludf.AGGREGATE(14,6,Ventes_Encaissements!$C$6:$C$3005/(Ventes_Encaissements!$B$6:$B$3005=$A108),1)))</f>
        <v/>
      </c>
      <c r="L108" s="11">
        <f>IF($A108="","",COUNTIFS(Ventes_Detail!$B$6:$B$3005,$A108))</f>
        <v/>
      </c>
      <c r="M108" s="12" t="n"/>
      <c r="N108" s="12">
        <f>IF($A108="","",IF($G108="","",IF($M108="Oui","Litige",IF($J108&lt;=0,"Payé",IF($I108&gt;0,"Partiel",IF(Listes!$B$3&gt;$G108,"En retard","À échoir"))))))</f>
        <v/>
      </c>
      <c r="O108" s="11">
        <f>IF($A108="","",IF(OR($G108="", $J108&lt;=0),0,MAX(0,Listes!$B$3-$G108)))</f>
        <v/>
      </c>
      <c r="P108" s="12">
        <f>IF($A108="","",IF($J108&lt;=0,"Payé",IF($M108="Oui","Litige",IF($O108=0,"À échoir",IF($O108&lt;=30,"0-30",IF($O108&lt;=60,"31-60",IF($O108&lt;=90,"61-90","90+")))))))</f>
        <v/>
      </c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9">
        <f>IF($A109="","",SUMIFS(Ventes_Encaissements!$D$6:$D$3005,Ventes_Encaissements!$B$6:$B$3005,$A109))</f>
        <v/>
      </c>
      <c r="J109" s="9">
        <f>IF($A109="","",$H109-$I109)</f>
        <v/>
      </c>
      <c r="K109" s="10">
        <f>IF($A109="","",IF($I109=0,"",_xludf.AGGREGATE(14,6,Ventes_Encaissements!$C$6:$C$3005/(Ventes_Encaissements!$B$6:$B$3005=$A109),1)))</f>
        <v/>
      </c>
      <c r="L109" s="11">
        <f>IF($A109="","",COUNTIFS(Ventes_Detail!$B$6:$B$3005,$A109))</f>
        <v/>
      </c>
      <c r="M109" s="12" t="n"/>
      <c r="N109" s="12">
        <f>IF($A109="","",IF($G109="","",IF($M109="Oui","Litige",IF($J109&lt;=0,"Payé",IF($I109&gt;0,"Partiel",IF(Listes!$B$3&gt;$G109,"En retard","À échoir"))))))</f>
        <v/>
      </c>
      <c r="O109" s="11">
        <f>IF($A109="","",IF(OR($G109="", $J109&lt;=0),0,MAX(0,Listes!$B$3-$G109)))</f>
        <v/>
      </c>
      <c r="P109" s="12">
        <f>IF($A109="","",IF($J109&lt;=0,"Payé",IF($M109="Oui","Litige",IF($O109=0,"À échoir",IF($O109&lt;=30,"0-30",IF($O109&lt;=60,"31-60",IF($O109&lt;=90,"61-90","90+")))))))</f>
        <v/>
      </c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9">
        <f>IF($A110="","",SUMIFS(Ventes_Encaissements!$D$6:$D$3005,Ventes_Encaissements!$B$6:$B$3005,$A110))</f>
        <v/>
      </c>
      <c r="J110" s="9">
        <f>IF($A110="","",$H110-$I110)</f>
        <v/>
      </c>
      <c r="K110" s="10">
        <f>IF($A110="","",IF($I110=0,"",_xludf.AGGREGATE(14,6,Ventes_Encaissements!$C$6:$C$3005/(Ventes_Encaissements!$B$6:$B$3005=$A110),1)))</f>
        <v/>
      </c>
      <c r="L110" s="11">
        <f>IF($A110="","",COUNTIFS(Ventes_Detail!$B$6:$B$3005,$A110))</f>
        <v/>
      </c>
      <c r="M110" s="12" t="n"/>
      <c r="N110" s="12">
        <f>IF($A110="","",IF($G110="","",IF($M110="Oui","Litige",IF($J110&lt;=0,"Payé",IF($I110&gt;0,"Partiel",IF(Listes!$B$3&gt;$G110,"En retard","À échoir"))))))</f>
        <v/>
      </c>
      <c r="O110" s="11">
        <f>IF($A110="","",IF(OR($G110="", $J110&lt;=0),0,MAX(0,Listes!$B$3-$G110)))</f>
        <v/>
      </c>
      <c r="P110" s="12">
        <f>IF($A110="","",IF($J110&lt;=0,"Payé",IF($M110="Oui","Litige",IF($O110=0,"À échoir",IF($O110&lt;=30,"0-30",IF($O110&lt;=60,"31-60",IF($O110&lt;=90,"61-90","90+")))))))</f>
        <v/>
      </c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9">
        <f>IF($A111="","",SUMIFS(Ventes_Encaissements!$D$6:$D$3005,Ventes_Encaissements!$B$6:$B$3005,$A111))</f>
        <v/>
      </c>
      <c r="J111" s="9">
        <f>IF($A111="","",$H111-$I111)</f>
        <v/>
      </c>
      <c r="K111" s="10">
        <f>IF($A111="","",IF($I111=0,"",_xludf.AGGREGATE(14,6,Ventes_Encaissements!$C$6:$C$3005/(Ventes_Encaissements!$B$6:$B$3005=$A111),1)))</f>
        <v/>
      </c>
      <c r="L111" s="11">
        <f>IF($A111="","",COUNTIFS(Ventes_Detail!$B$6:$B$3005,$A111))</f>
        <v/>
      </c>
      <c r="M111" s="12" t="n"/>
      <c r="N111" s="12">
        <f>IF($A111="","",IF($G111="","",IF($M111="Oui","Litige",IF($J111&lt;=0,"Payé",IF($I111&gt;0,"Partiel",IF(Listes!$B$3&gt;$G111,"En retard","À échoir"))))))</f>
        <v/>
      </c>
      <c r="O111" s="11">
        <f>IF($A111="","",IF(OR($G111="", $J111&lt;=0),0,MAX(0,Listes!$B$3-$G111)))</f>
        <v/>
      </c>
      <c r="P111" s="12">
        <f>IF($A111="","",IF($J111&lt;=0,"Payé",IF($M111="Oui","Litige",IF($O111=0,"À échoir",IF($O111&lt;=30,"0-30",IF($O111&lt;=60,"31-60",IF($O111&lt;=90,"61-90","90+")))))))</f>
        <v/>
      </c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9">
        <f>IF($A112="","",SUMIFS(Ventes_Encaissements!$D$6:$D$3005,Ventes_Encaissements!$B$6:$B$3005,$A112))</f>
        <v/>
      </c>
      <c r="J112" s="9">
        <f>IF($A112="","",$H112-$I112)</f>
        <v/>
      </c>
      <c r="K112" s="10">
        <f>IF($A112="","",IF($I112=0,"",_xludf.AGGREGATE(14,6,Ventes_Encaissements!$C$6:$C$3005/(Ventes_Encaissements!$B$6:$B$3005=$A112),1)))</f>
        <v/>
      </c>
      <c r="L112" s="11">
        <f>IF($A112="","",COUNTIFS(Ventes_Detail!$B$6:$B$3005,$A112))</f>
        <v/>
      </c>
      <c r="M112" s="12" t="n"/>
      <c r="N112" s="12">
        <f>IF($A112="","",IF($G112="","",IF($M112="Oui","Litige",IF($J112&lt;=0,"Payé",IF($I112&gt;0,"Partiel",IF(Listes!$B$3&gt;$G112,"En retard","À échoir"))))))</f>
        <v/>
      </c>
      <c r="O112" s="11">
        <f>IF($A112="","",IF(OR($G112="", $J112&lt;=0),0,MAX(0,Listes!$B$3-$G112)))</f>
        <v/>
      </c>
      <c r="P112" s="12">
        <f>IF($A112="","",IF($J112&lt;=0,"Payé",IF($M112="Oui","Litige",IF($O112=0,"À échoir",IF($O112&lt;=30,"0-30",IF($O112&lt;=60,"31-60",IF($O112&lt;=90,"61-90","90+")))))))</f>
        <v/>
      </c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9">
        <f>IF($A113="","",SUMIFS(Ventes_Encaissements!$D$6:$D$3005,Ventes_Encaissements!$B$6:$B$3005,$A113))</f>
        <v/>
      </c>
      <c r="J113" s="9">
        <f>IF($A113="","",$H113-$I113)</f>
        <v/>
      </c>
      <c r="K113" s="10">
        <f>IF($A113="","",IF($I113=0,"",_xludf.AGGREGATE(14,6,Ventes_Encaissements!$C$6:$C$3005/(Ventes_Encaissements!$B$6:$B$3005=$A113),1)))</f>
        <v/>
      </c>
      <c r="L113" s="11">
        <f>IF($A113="","",COUNTIFS(Ventes_Detail!$B$6:$B$3005,$A113))</f>
        <v/>
      </c>
      <c r="M113" s="12" t="n"/>
      <c r="N113" s="12">
        <f>IF($A113="","",IF($G113="","",IF($M113="Oui","Litige",IF($J113&lt;=0,"Payé",IF($I113&gt;0,"Partiel",IF(Listes!$B$3&gt;$G113,"En retard","À échoir"))))))</f>
        <v/>
      </c>
      <c r="O113" s="11">
        <f>IF($A113="","",IF(OR($G113="", $J113&lt;=0),0,MAX(0,Listes!$B$3-$G113)))</f>
        <v/>
      </c>
      <c r="P113" s="12">
        <f>IF($A113="","",IF($J113&lt;=0,"Payé",IF($M113="Oui","Litige",IF($O113=0,"À échoir",IF($O113&lt;=30,"0-30",IF($O113&lt;=60,"31-60",IF($O113&lt;=90,"61-90","90+")))))))</f>
        <v/>
      </c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9">
        <f>IF($A114="","",SUMIFS(Ventes_Encaissements!$D$6:$D$3005,Ventes_Encaissements!$B$6:$B$3005,$A114))</f>
        <v/>
      </c>
      <c r="J114" s="9">
        <f>IF($A114="","",$H114-$I114)</f>
        <v/>
      </c>
      <c r="K114" s="10">
        <f>IF($A114="","",IF($I114=0,"",_xludf.AGGREGATE(14,6,Ventes_Encaissements!$C$6:$C$3005/(Ventes_Encaissements!$B$6:$B$3005=$A114),1)))</f>
        <v/>
      </c>
      <c r="L114" s="11">
        <f>IF($A114="","",COUNTIFS(Ventes_Detail!$B$6:$B$3005,$A114))</f>
        <v/>
      </c>
      <c r="M114" s="12" t="n"/>
      <c r="N114" s="12">
        <f>IF($A114="","",IF($G114="","",IF($M114="Oui","Litige",IF($J114&lt;=0,"Payé",IF($I114&gt;0,"Partiel",IF(Listes!$B$3&gt;$G114,"En retard","À échoir"))))))</f>
        <v/>
      </c>
      <c r="O114" s="11">
        <f>IF($A114="","",IF(OR($G114="", $J114&lt;=0),0,MAX(0,Listes!$B$3-$G114)))</f>
        <v/>
      </c>
      <c r="P114" s="12">
        <f>IF($A114="","",IF($J114&lt;=0,"Payé",IF($M114="Oui","Litige",IF($O114=0,"À échoir",IF($O114&lt;=30,"0-30",IF($O114&lt;=60,"31-60",IF($O114&lt;=90,"61-90","90+")))))))</f>
        <v/>
      </c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9">
        <f>IF($A115="","",SUMIFS(Ventes_Encaissements!$D$6:$D$3005,Ventes_Encaissements!$B$6:$B$3005,$A115))</f>
        <v/>
      </c>
      <c r="J115" s="9">
        <f>IF($A115="","",$H115-$I115)</f>
        <v/>
      </c>
      <c r="K115" s="10">
        <f>IF($A115="","",IF($I115=0,"",_xludf.AGGREGATE(14,6,Ventes_Encaissements!$C$6:$C$3005/(Ventes_Encaissements!$B$6:$B$3005=$A115),1)))</f>
        <v/>
      </c>
      <c r="L115" s="11">
        <f>IF($A115="","",COUNTIFS(Ventes_Detail!$B$6:$B$3005,$A115))</f>
        <v/>
      </c>
      <c r="M115" s="12" t="n"/>
      <c r="N115" s="12">
        <f>IF($A115="","",IF($G115="","",IF($M115="Oui","Litige",IF($J115&lt;=0,"Payé",IF($I115&gt;0,"Partiel",IF(Listes!$B$3&gt;$G115,"En retard","À échoir"))))))</f>
        <v/>
      </c>
      <c r="O115" s="11">
        <f>IF($A115="","",IF(OR($G115="", $J115&lt;=0),0,MAX(0,Listes!$B$3-$G115)))</f>
        <v/>
      </c>
      <c r="P115" s="12">
        <f>IF($A115="","",IF($J115&lt;=0,"Payé",IF($M115="Oui","Litige",IF($O115=0,"À échoir",IF($O115&lt;=30,"0-30",IF($O115&lt;=60,"31-60",IF($O115&lt;=90,"61-90","90+")))))))</f>
        <v/>
      </c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9">
        <f>IF($A116="","",SUMIFS(Ventes_Encaissements!$D$6:$D$3005,Ventes_Encaissements!$B$6:$B$3005,$A116))</f>
        <v/>
      </c>
      <c r="J116" s="9">
        <f>IF($A116="","",$H116-$I116)</f>
        <v/>
      </c>
      <c r="K116" s="10">
        <f>IF($A116="","",IF($I116=0,"",_xludf.AGGREGATE(14,6,Ventes_Encaissements!$C$6:$C$3005/(Ventes_Encaissements!$B$6:$B$3005=$A116),1)))</f>
        <v/>
      </c>
      <c r="L116" s="11">
        <f>IF($A116="","",COUNTIFS(Ventes_Detail!$B$6:$B$3005,$A116))</f>
        <v/>
      </c>
      <c r="M116" s="12" t="n"/>
      <c r="N116" s="12">
        <f>IF($A116="","",IF($G116="","",IF($M116="Oui","Litige",IF($J116&lt;=0,"Payé",IF($I116&gt;0,"Partiel",IF(Listes!$B$3&gt;$G116,"En retard","À échoir"))))))</f>
        <v/>
      </c>
      <c r="O116" s="11">
        <f>IF($A116="","",IF(OR($G116="", $J116&lt;=0),0,MAX(0,Listes!$B$3-$G116)))</f>
        <v/>
      </c>
      <c r="P116" s="12">
        <f>IF($A116="","",IF($J116&lt;=0,"Payé",IF($M116="Oui","Litige",IF($O116=0,"À échoir",IF($O116&lt;=30,"0-30",IF($O116&lt;=60,"31-60",IF($O116&lt;=90,"61-90","90+")))))))</f>
        <v/>
      </c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9">
        <f>IF($A117="","",SUMIFS(Ventes_Encaissements!$D$6:$D$3005,Ventes_Encaissements!$B$6:$B$3005,$A117))</f>
        <v/>
      </c>
      <c r="J117" s="9">
        <f>IF($A117="","",$H117-$I117)</f>
        <v/>
      </c>
      <c r="K117" s="10">
        <f>IF($A117="","",IF($I117=0,"",_xludf.AGGREGATE(14,6,Ventes_Encaissements!$C$6:$C$3005/(Ventes_Encaissements!$B$6:$B$3005=$A117),1)))</f>
        <v/>
      </c>
      <c r="L117" s="11">
        <f>IF($A117="","",COUNTIFS(Ventes_Detail!$B$6:$B$3005,$A117))</f>
        <v/>
      </c>
      <c r="M117" s="12" t="n"/>
      <c r="N117" s="12">
        <f>IF($A117="","",IF($G117="","",IF($M117="Oui","Litige",IF($J117&lt;=0,"Payé",IF($I117&gt;0,"Partiel",IF(Listes!$B$3&gt;$G117,"En retard","À échoir"))))))</f>
        <v/>
      </c>
      <c r="O117" s="11">
        <f>IF($A117="","",IF(OR($G117="", $J117&lt;=0),0,MAX(0,Listes!$B$3-$G117)))</f>
        <v/>
      </c>
      <c r="P117" s="12">
        <f>IF($A117="","",IF($J117&lt;=0,"Payé",IF($M117="Oui","Litige",IF($O117=0,"À échoir",IF($O117&lt;=30,"0-30",IF($O117&lt;=60,"31-60",IF($O117&lt;=90,"61-90","90+")))))))</f>
        <v/>
      </c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9">
        <f>IF($A118="","",SUMIFS(Ventes_Encaissements!$D$6:$D$3005,Ventes_Encaissements!$B$6:$B$3005,$A118))</f>
        <v/>
      </c>
      <c r="J118" s="9">
        <f>IF($A118="","",$H118-$I118)</f>
        <v/>
      </c>
      <c r="K118" s="10">
        <f>IF($A118="","",IF($I118=0,"",_xludf.AGGREGATE(14,6,Ventes_Encaissements!$C$6:$C$3005/(Ventes_Encaissements!$B$6:$B$3005=$A118),1)))</f>
        <v/>
      </c>
      <c r="L118" s="11">
        <f>IF($A118="","",COUNTIFS(Ventes_Detail!$B$6:$B$3005,$A118))</f>
        <v/>
      </c>
      <c r="M118" s="12" t="n"/>
      <c r="N118" s="12">
        <f>IF($A118="","",IF($G118="","",IF($M118="Oui","Litige",IF($J118&lt;=0,"Payé",IF($I118&gt;0,"Partiel",IF(Listes!$B$3&gt;$G118,"En retard","À échoir"))))))</f>
        <v/>
      </c>
      <c r="O118" s="11">
        <f>IF($A118="","",IF(OR($G118="", $J118&lt;=0),0,MAX(0,Listes!$B$3-$G118)))</f>
        <v/>
      </c>
      <c r="P118" s="12">
        <f>IF($A118="","",IF($J118&lt;=0,"Payé",IF($M118="Oui","Litige",IF($O118=0,"À échoir",IF($O118&lt;=30,"0-30",IF($O118&lt;=60,"31-60",IF($O118&lt;=90,"61-90","90+")))))))</f>
        <v/>
      </c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9">
        <f>IF($A119="","",SUMIFS(Ventes_Encaissements!$D$6:$D$3005,Ventes_Encaissements!$B$6:$B$3005,$A119))</f>
        <v/>
      </c>
      <c r="J119" s="9">
        <f>IF($A119="","",$H119-$I119)</f>
        <v/>
      </c>
      <c r="K119" s="10">
        <f>IF($A119="","",IF($I119=0,"",_xludf.AGGREGATE(14,6,Ventes_Encaissements!$C$6:$C$3005/(Ventes_Encaissements!$B$6:$B$3005=$A119),1)))</f>
        <v/>
      </c>
      <c r="L119" s="11">
        <f>IF($A119="","",COUNTIFS(Ventes_Detail!$B$6:$B$3005,$A119))</f>
        <v/>
      </c>
      <c r="M119" s="12" t="n"/>
      <c r="N119" s="12">
        <f>IF($A119="","",IF($G119="","",IF($M119="Oui","Litige",IF($J119&lt;=0,"Payé",IF($I119&gt;0,"Partiel",IF(Listes!$B$3&gt;$G119,"En retard","À échoir"))))))</f>
        <v/>
      </c>
      <c r="O119" s="11">
        <f>IF($A119="","",IF(OR($G119="", $J119&lt;=0),0,MAX(0,Listes!$B$3-$G119)))</f>
        <v/>
      </c>
      <c r="P119" s="12">
        <f>IF($A119="","",IF($J119&lt;=0,"Payé",IF($M119="Oui","Litige",IF($O119=0,"À échoir",IF($O119&lt;=30,"0-30",IF($O119&lt;=60,"31-60",IF($O119&lt;=90,"61-90","90+")))))))</f>
        <v/>
      </c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9">
        <f>IF($A120="","",SUMIFS(Ventes_Encaissements!$D$6:$D$3005,Ventes_Encaissements!$B$6:$B$3005,$A120))</f>
        <v/>
      </c>
      <c r="J120" s="9">
        <f>IF($A120="","",$H120-$I120)</f>
        <v/>
      </c>
      <c r="K120" s="10">
        <f>IF($A120="","",IF($I120=0,"",_xludf.AGGREGATE(14,6,Ventes_Encaissements!$C$6:$C$3005/(Ventes_Encaissements!$B$6:$B$3005=$A120),1)))</f>
        <v/>
      </c>
      <c r="L120" s="11">
        <f>IF($A120="","",COUNTIFS(Ventes_Detail!$B$6:$B$3005,$A120))</f>
        <v/>
      </c>
      <c r="M120" s="12" t="n"/>
      <c r="N120" s="12">
        <f>IF($A120="","",IF($G120="","",IF($M120="Oui","Litige",IF($J120&lt;=0,"Payé",IF($I120&gt;0,"Partiel",IF(Listes!$B$3&gt;$G120,"En retard","À échoir"))))))</f>
        <v/>
      </c>
      <c r="O120" s="11">
        <f>IF($A120="","",IF(OR($G120="", $J120&lt;=0),0,MAX(0,Listes!$B$3-$G120)))</f>
        <v/>
      </c>
      <c r="P120" s="12">
        <f>IF($A120="","",IF($J120&lt;=0,"Payé",IF($M120="Oui","Litige",IF($O120=0,"À échoir",IF($O120&lt;=30,"0-30",IF($O120&lt;=60,"31-60",IF($O120&lt;=90,"61-90","90+")))))))</f>
        <v/>
      </c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9">
        <f>IF($A121="","",SUMIFS(Ventes_Encaissements!$D$6:$D$3005,Ventes_Encaissements!$B$6:$B$3005,$A121))</f>
        <v/>
      </c>
      <c r="J121" s="9">
        <f>IF($A121="","",$H121-$I121)</f>
        <v/>
      </c>
      <c r="K121" s="10">
        <f>IF($A121="","",IF($I121=0,"",_xludf.AGGREGATE(14,6,Ventes_Encaissements!$C$6:$C$3005/(Ventes_Encaissements!$B$6:$B$3005=$A121),1)))</f>
        <v/>
      </c>
      <c r="L121" s="11">
        <f>IF($A121="","",COUNTIFS(Ventes_Detail!$B$6:$B$3005,$A121))</f>
        <v/>
      </c>
      <c r="M121" s="12" t="n"/>
      <c r="N121" s="12">
        <f>IF($A121="","",IF($G121="","",IF($M121="Oui","Litige",IF($J121&lt;=0,"Payé",IF($I121&gt;0,"Partiel",IF(Listes!$B$3&gt;$G121,"En retard","À échoir"))))))</f>
        <v/>
      </c>
      <c r="O121" s="11">
        <f>IF($A121="","",IF(OR($G121="", $J121&lt;=0),0,MAX(0,Listes!$B$3-$G121)))</f>
        <v/>
      </c>
      <c r="P121" s="12">
        <f>IF($A121="","",IF($J121&lt;=0,"Payé",IF($M121="Oui","Litige",IF($O121=0,"À échoir",IF($O121&lt;=30,"0-30",IF($O121&lt;=60,"31-60",IF($O121&lt;=90,"61-90","90+")))))))</f>
        <v/>
      </c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9">
        <f>IF($A122="","",SUMIFS(Ventes_Encaissements!$D$6:$D$3005,Ventes_Encaissements!$B$6:$B$3005,$A122))</f>
        <v/>
      </c>
      <c r="J122" s="9">
        <f>IF($A122="","",$H122-$I122)</f>
        <v/>
      </c>
      <c r="K122" s="10">
        <f>IF($A122="","",IF($I122=0,"",_xludf.AGGREGATE(14,6,Ventes_Encaissements!$C$6:$C$3005/(Ventes_Encaissements!$B$6:$B$3005=$A122),1)))</f>
        <v/>
      </c>
      <c r="L122" s="11">
        <f>IF($A122="","",COUNTIFS(Ventes_Detail!$B$6:$B$3005,$A122))</f>
        <v/>
      </c>
      <c r="M122" s="12" t="n"/>
      <c r="N122" s="12">
        <f>IF($A122="","",IF($G122="","",IF($M122="Oui","Litige",IF($J122&lt;=0,"Payé",IF($I122&gt;0,"Partiel",IF(Listes!$B$3&gt;$G122,"En retard","À échoir"))))))</f>
        <v/>
      </c>
      <c r="O122" s="11">
        <f>IF($A122="","",IF(OR($G122="", $J122&lt;=0),0,MAX(0,Listes!$B$3-$G122)))</f>
        <v/>
      </c>
      <c r="P122" s="12">
        <f>IF($A122="","",IF($J122&lt;=0,"Payé",IF($M122="Oui","Litige",IF($O122=0,"À échoir",IF($O122&lt;=30,"0-30",IF($O122&lt;=60,"31-60",IF($O122&lt;=90,"61-90","90+")))))))</f>
        <v/>
      </c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9">
        <f>IF($A123="","",SUMIFS(Ventes_Encaissements!$D$6:$D$3005,Ventes_Encaissements!$B$6:$B$3005,$A123))</f>
        <v/>
      </c>
      <c r="J123" s="9">
        <f>IF($A123="","",$H123-$I123)</f>
        <v/>
      </c>
      <c r="K123" s="10">
        <f>IF($A123="","",IF($I123=0,"",_xludf.AGGREGATE(14,6,Ventes_Encaissements!$C$6:$C$3005/(Ventes_Encaissements!$B$6:$B$3005=$A123),1)))</f>
        <v/>
      </c>
      <c r="L123" s="11">
        <f>IF($A123="","",COUNTIFS(Ventes_Detail!$B$6:$B$3005,$A123))</f>
        <v/>
      </c>
      <c r="M123" s="12" t="n"/>
      <c r="N123" s="12">
        <f>IF($A123="","",IF($G123="","",IF($M123="Oui","Litige",IF($J123&lt;=0,"Payé",IF($I123&gt;0,"Partiel",IF(Listes!$B$3&gt;$G123,"En retard","À échoir"))))))</f>
        <v/>
      </c>
      <c r="O123" s="11">
        <f>IF($A123="","",IF(OR($G123="", $J123&lt;=0),0,MAX(0,Listes!$B$3-$G123)))</f>
        <v/>
      </c>
      <c r="P123" s="12">
        <f>IF($A123="","",IF($J123&lt;=0,"Payé",IF($M123="Oui","Litige",IF($O123=0,"À échoir",IF($O123&lt;=30,"0-30",IF($O123&lt;=60,"31-60",IF($O123&lt;=90,"61-90","90+")))))))</f>
        <v/>
      </c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9">
        <f>IF($A124="","",SUMIFS(Ventes_Encaissements!$D$6:$D$3005,Ventes_Encaissements!$B$6:$B$3005,$A124))</f>
        <v/>
      </c>
      <c r="J124" s="9">
        <f>IF($A124="","",$H124-$I124)</f>
        <v/>
      </c>
      <c r="K124" s="10">
        <f>IF($A124="","",IF($I124=0,"",_xludf.AGGREGATE(14,6,Ventes_Encaissements!$C$6:$C$3005/(Ventes_Encaissements!$B$6:$B$3005=$A124),1)))</f>
        <v/>
      </c>
      <c r="L124" s="11">
        <f>IF($A124="","",COUNTIFS(Ventes_Detail!$B$6:$B$3005,$A124))</f>
        <v/>
      </c>
      <c r="M124" s="12" t="n"/>
      <c r="N124" s="12">
        <f>IF($A124="","",IF($G124="","",IF($M124="Oui","Litige",IF($J124&lt;=0,"Payé",IF($I124&gt;0,"Partiel",IF(Listes!$B$3&gt;$G124,"En retard","À échoir"))))))</f>
        <v/>
      </c>
      <c r="O124" s="11">
        <f>IF($A124="","",IF(OR($G124="", $J124&lt;=0),0,MAX(0,Listes!$B$3-$G124)))</f>
        <v/>
      </c>
      <c r="P124" s="12">
        <f>IF($A124="","",IF($J124&lt;=0,"Payé",IF($M124="Oui","Litige",IF($O124=0,"À échoir",IF($O124&lt;=30,"0-30",IF($O124&lt;=60,"31-60",IF($O124&lt;=90,"61-90","90+")))))))</f>
        <v/>
      </c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9">
        <f>IF($A125="","",SUMIFS(Ventes_Encaissements!$D$6:$D$3005,Ventes_Encaissements!$B$6:$B$3005,$A125))</f>
        <v/>
      </c>
      <c r="J125" s="9">
        <f>IF($A125="","",$H125-$I125)</f>
        <v/>
      </c>
      <c r="K125" s="10">
        <f>IF($A125="","",IF($I125=0,"",_xludf.AGGREGATE(14,6,Ventes_Encaissements!$C$6:$C$3005/(Ventes_Encaissements!$B$6:$B$3005=$A125),1)))</f>
        <v/>
      </c>
      <c r="L125" s="11">
        <f>IF($A125="","",COUNTIFS(Ventes_Detail!$B$6:$B$3005,$A125))</f>
        <v/>
      </c>
      <c r="M125" s="12" t="n"/>
      <c r="N125" s="12">
        <f>IF($A125="","",IF($G125="","",IF($M125="Oui","Litige",IF($J125&lt;=0,"Payé",IF($I125&gt;0,"Partiel",IF(Listes!$B$3&gt;$G125,"En retard","À échoir"))))))</f>
        <v/>
      </c>
      <c r="O125" s="11">
        <f>IF($A125="","",IF(OR($G125="", $J125&lt;=0),0,MAX(0,Listes!$B$3-$G125)))</f>
        <v/>
      </c>
      <c r="P125" s="12">
        <f>IF($A125="","",IF($J125&lt;=0,"Payé",IF($M125="Oui","Litige",IF($O125=0,"À échoir",IF($O125&lt;=30,"0-30",IF($O125&lt;=60,"31-60",IF($O125&lt;=90,"61-90","90+")))))))</f>
        <v/>
      </c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9">
        <f>IF($A126="","",SUMIFS(Ventes_Encaissements!$D$6:$D$3005,Ventes_Encaissements!$B$6:$B$3005,$A126))</f>
        <v/>
      </c>
      <c r="J126" s="9">
        <f>IF($A126="","",$H126-$I126)</f>
        <v/>
      </c>
      <c r="K126" s="10">
        <f>IF($A126="","",IF($I126=0,"",_xludf.AGGREGATE(14,6,Ventes_Encaissements!$C$6:$C$3005/(Ventes_Encaissements!$B$6:$B$3005=$A126),1)))</f>
        <v/>
      </c>
      <c r="L126" s="11">
        <f>IF($A126="","",COUNTIFS(Ventes_Detail!$B$6:$B$3005,$A126))</f>
        <v/>
      </c>
      <c r="M126" s="12" t="n"/>
      <c r="N126" s="12">
        <f>IF($A126="","",IF($G126="","",IF($M126="Oui","Litige",IF($J126&lt;=0,"Payé",IF($I126&gt;0,"Partiel",IF(Listes!$B$3&gt;$G126,"En retard","À échoir"))))))</f>
        <v/>
      </c>
      <c r="O126" s="11">
        <f>IF($A126="","",IF(OR($G126="", $J126&lt;=0),0,MAX(0,Listes!$B$3-$G126)))</f>
        <v/>
      </c>
      <c r="P126" s="12">
        <f>IF($A126="","",IF($J126&lt;=0,"Payé",IF($M126="Oui","Litige",IF($O126=0,"À échoir",IF($O126&lt;=30,"0-30",IF($O126&lt;=60,"31-60",IF($O126&lt;=90,"61-90","90+")))))))</f>
        <v/>
      </c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9">
        <f>IF($A127="","",SUMIFS(Ventes_Encaissements!$D$6:$D$3005,Ventes_Encaissements!$B$6:$B$3005,$A127))</f>
        <v/>
      </c>
      <c r="J127" s="9">
        <f>IF($A127="","",$H127-$I127)</f>
        <v/>
      </c>
      <c r="K127" s="10">
        <f>IF($A127="","",IF($I127=0,"",_xludf.AGGREGATE(14,6,Ventes_Encaissements!$C$6:$C$3005/(Ventes_Encaissements!$B$6:$B$3005=$A127),1)))</f>
        <v/>
      </c>
      <c r="L127" s="11">
        <f>IF($A127="","",COUNTIFS(Ventes_Detail!$B$6:$B$3005,$A127))</f>
        <v/>
      </c>
      <c r="M127" s="12" t="n"/>
      <c r="N127" s="12">
        <f>IF($A127="","",IF($G127="","",IF($M127="Oui","Litige",IF($J127&lt;=0,"Payé",IF($I127&gt;0,"Partiel",IF(Listes!$B$3&gt;$G127,"En retard","À échoir"))))))</f>
        <v/>
      </c>
      <c r="O127" s="11">
        <f>IF($A127="","",IF(OR($G127="", $J127&lt;=0),0,MAX(0,Listes!$B$3-$G127)))</f>
        <v/>
      </c>
      <c r="P127" s="12">
        <f>IF($A127="","",IF($J127&lt;=0,"Payé",IF($M127="Oui","Litige",IF($O127=0,"À échoir",IF($O127&lt;=30,"0-30",IF($O127&lt;=60,"31-60",IF($O127&lt;=90,"61-90","90+")))))))</f>
        <v/>
      </c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9">
        <f>IF($A128="","",SUMIFS(Ventes_Encaissements!$D$6:$D$3005,Ventes_Encaissements!$B$6:$B$3005,$A128))</f>
        <v/>
      </c>
      <c r="J128" s="9">
        <f>IF($A128="","",$H128-$I128)</f>
        <v/>
      </c>
      <c r="K128" s="10">
        <f>IF($A128="","",IF($I128=0,"",_xludf.AGGREGATE(14,6,Ventes_Encaissements!$C$6:$C$3005/(Ventes_Encaissements!$B$6:$B$3005=$A128),1)))</f>
        <v/>
      </c>
      <c r="L128" s="11">
        <f>IF($A128="","",COUNTIFS(Ventes_Detail!$B$6:$B$3005,$A128))</f>
        <v/>
      </c>
      <c r="M128" s="12" t="n"/>
      <c r="N128" s="12">
        <f>IF($A128="","",IF($G128="","",IF($M128="Oui","Litige",IF($J128&lt;=0,"Payé",IF($I128&gt;0,"Partiel",IF(Listes!$B$3&gt;$G128,"En retard","À échoir"))))))</f>
        <v/>
      </c>
      <c r="O128" s="11">
        <f>IF($A128="","",IF(OR($G128="", $J128&lt;=0),0,MAX(0,Listes!$B$3-$G128)))</f>
        <v/>
      </c>
      <c r="P128" s="12">
        <f>IF($A128="","",IF($J128&lt;=0,"Payé",IF($M128="Oui","Litige",IF($O128=0,"À échoir",IF($O128&lt;=30,"0-30",IF($O128&lt;=60,"31-60",IF($O128&lt;=90,"61-90","90+")))))))</f>
        <v/>
      </c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9">
        <f>IF($A129="","",SUMIFS(Ventes_Encaissements!$D$6:$D$3005,Ventes_Encaissements!$B$6:$B$3005,$A129))</f>
        <v/>
      </c>
      <c r="J129" s="9">
        <f>IF($A129="","",$H129-$I129)</f>
        <v/>
      </c>
      <c r="K129" s="10">
        <f>IF($A129="","",IF($I129=0,"",_xludf.AGGREGATE(14,6,Ventes_Encaissements!$C$6:$C$3005/(Ventes_Encaissements!$B$6:$B$3005=$A129),1)))</f>
        <v/>
      </c>
      <c r="L129" s="11">
        <f>IF($A129="","",COUNTIFS(Ventes_Detail!$B$6:$B$3005,$A129))</f>
        <v/>
      </c>
      <c r="M129" s="12" t="n"/>
      <c r="N129" s="12">
        <f>IF($A129="","",IF($G129="","",IF($M129="Oui","Litige",IF($J129&lt;=0,"Payé",IF($I129&gt;0,"Partiel",IF(Listes!$B$3&gt;$G129,"En retard","À échoir"))))))</f>
        <v/>
      </c>
      <c r="O129" s="11">
        <f>IF($A129="","",IF(OR($G129="", $J129&lt;=0),0,MAX(0,Listes!$B$3-$G129)))</f>
        <v/>
      </c>
      <c r="P129" s="12">
        <f>IF($A129="","",IF($J129&lt;=0,"Payé",IF($M129="Oui","Litige",IF($O129=0,"À échoir",IF($O129&lt;=30,"0-30",IF($O129&lt;=60,"31-60",IF($O129&lt;=90,"61-90","90+")))))))</f>
        <v/>
      </c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9">
        <f>IF($A130="","",SUMIFS(Ventes_Encaissements!$D$6:$D$3005,Ventes_Encaissements!$B$6:$B$3005,$A130))</f>
        <v/>
      </c>
      <c r="J130" s="9">
        <f>IF($A130="","",$H130-$I130)</f>
        <v/>
      </c>
      <c r="K130" s="10">
        <f>IF($A130="","",IF($I130=0,"",_xludf.AGGREGATE(14,6,Ventes_Encaissements!$C$6:$C$3005/(Ventes_Encaissements!$B$6:$B$3005=$A130),1)))</f>
        <v/>
      </c>
      <c r="L130" s="11">
        <f>IF($A130="","",COUNTIFS(Ventes_Detail!$B$6:$B$3005,$A130))</f>
        <v/>
      </c>
      <c r="M130" s="12" t="n"/>
      <c r="N130" s="12">
        <f>IF($A130="","",IF($G130="","",IF($M130="Oui","Litige",IF($J130&lt;=0,"Payé",IF($I130&gt;0,"Partiel",IF(Listes!$B$3&gt;$G130,"En retard","À échoir"))))))</f>
        <v/>
      </c>
      <c r="O130" s="11">
        <f>IF($A130="","",IF(OR($G130="", $J130&lt;=0),0,MAX(0,Listes!$B$3-$G130)))</f>
        <v/>
      </c>
      <c r="P130" s="12">
        <f>IF($A130="","",IF($J130&lt;=0,"Payé",IF($M130="Oui","Litige",IF($O130=0,"À échoir",IF($O130&lt;=30,"0-30",IF($O130&lt;=60,"31-60",IF($O130&lt;=90,"61-90","90+")))))))</f>
        <v/>
      </c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9">
        <f>IF($A131="","",SUMIFS(Ventes_Encaissements!$D$6:$D$3005,Ventes_Encaissements!$B$6:$B$3005,$A131))</f>
        <v/>
      </c>
      <c r="J131" s="9">
        <f>IF($A131="","",$H131-$I131)</f>
        <v/>
      </c>
      <c r="K131" s="10">
        <f>IF($A131="","",IF($I131=0,"",_xludf.AGGREGATE(14,6,Ventes_Encaissements!$C$6:$C$3005/(Ventes_Encaissements!$B$6:$B$3005=$A131),1)))</f>
        <v/>
      </c>
      <c r="L131" s="11">
        <f>IF($A131="","",COUNTIFS(Ventes_Detail!$B$6:$B$3005,$A131))</f>
        <v/>
      </c>
      <c r="M131" s="12" t="n"/>
      <c r="N131" s="12">
        <f>IF($A131="","",IF($G131="","",IF($M131="Oui","Litige",IF($J131&lt;=0,"Payé",IF($I131&gt;0,"Partiel",IF(Listes!$B$3&gt;$G131,"En retard","À échoir"))))))</f>
        <v/>
      </c>
      <c r="O131" s="11">
        <f>IF($A131="","",IF(OR($G131="", $J131&lt;=0),0,MAX(0,Listes!$B$3-$G131)))</f>
        <v/>
      </c>
      <c r="P131" s="12">
        <f>IF($A131="","",IF($J131&lt;=0,"Payé",IF($M131="Oui","Litige",IF($O131=0,"À échoir",IF($O131&lt;=30,"0-30",IF($O131&lt;=60,"31-60",IF($O131&lt;=90,"61-90","90+")))))))</f>
        <v/>
      </c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9">
        <f>IF($A132="","",SUMIFS(Ventes_Encaissements!$D$6:$D$3005,Ventes_Encaissements!$B$6:$B$3005,$A132))</f>
        <v/>
      </c>
      <c r="J132" s="9">
        <f>IF($A132="","",$H132-$I132)</f>
        <v/>
      </c>
      <c r="K132" s="10">
        <f>IF($A132="","",IF($I132=0,"",_xludf.AGGREGATE(14,6,Ventes_Encaissements!$C$6:$C$3005/(Ventes_Encaissements!$B$6:$B$3005=$A132),1)))</f>
        <v/>
      </c>
      <c r="L132" s="11">
        <f>IF($A132="","",COUNTIFS(Ventes_Detail!$B$6:$B$3005,$A132))</f>
        <v/>
      </c>
      <c r="M132" s="12" t="n"/>
      <c r="N132" s="12">
        <f>IF($A132="","",IF($G132="","",IF($M132="Oui","Litige",IF($J132&lt;=0,"Payé",IF($I132&gt;0,"Partiel",IF(Listes!$B$3&gt;$G132,"En retard","À échoir"))))))</f>
        <v/>
      </c>
      <c r="O132" s="11">
        <f>IF($A132="","",IF(OR($G132="", $J132&lt;=0),0,MAX(0,Listes!$B$3-$G132)))</f>
        <v/>
      </c>
      <c r="P132" s="12">
        <f>IF($A132="","",IF($J132&lt;=0,"Payé",IF($M132="Oui","Litige",IF($O132=0,"À échoir",IF($O132&lt;=30,"0-30",IF($O132&lt;=60,"31-60",IF($O132&lt;=90,"61-90","90+")))))))</f>
        <v/>
      </c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9">
        <f>IF($A133="","",SUMIFS(Ventes_Encaissements!$D$6:$D$3005,Ventes_Encaissements!$B$6:$B$3005,$A133))</f>
        <v/>
      </c>
      <c r="J133" s="9">
        <f>IF($A133="","",$H133-$I133)</f>
        <v/>
      </c>
      <c r="K133" s="10">
        <f>IF($A133="","",IF($I133=0,"",_xludf.AGGREGATE(14,6,Ventes_Encaissements!$C$6:$C$3005/(Ventes_Encaissements!$B$6:$B$3005=$A133),1)))</f>
        <v/>
      </c>
      <c r="L133" s="11">
        <f>IF($A133="","",COUNTIFS(Ventes_Detail!$B$6:$B$3005,$A133))</f>
        <v/>
      </c>
      <c r="M133" s="12" t="n"/>
      <c r="N133" s="12">
        <f>IF($A133="","",IF($G133="","",IF($M133="Oui","Litige",IF($J133&lt;=0,"Payé",IF($I133&gt;0,"Partiel",IF(Listes!$B$3&gt;$G133,"En retard","À échoir"))))))</f>
        <v/>
      </c>
      <c r="O133" s="11">
        <f>IF($A133="","",IF(OR($G133="", $J133&lt;=0),0,MAX(0,Listes!$B$3-$G133)))</f>
        <v/>
      </c>
      <c r="P133" s="12">
        <f>IF($A133="","",IF($J133&lt;=0,"Payé",IF($M133="Oui","Litige",IF($O133=0,"À échoir",IF($O133&lt;=30,"0-30",IF($O133&lt;=60,"31-60",IF($O133&lt;=90,"61-90","90+")))))))</f>
        <v/>
      </c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9">
        <f>IF($A134="","",SUMIFS(Ventes_Encaissements!$D$6:$D$3005,Ventes_Encaissements!$B$6:$B$3005,$A134))</f>
        <v/>
      </c>
      <c r="J134" s="9">
        <f>IF($A134="","",$H134-$I134)</f>
        <v/>
      </c>
      <c r="K134" s="10">
        <f>IF($A134="","",IF($I134=0,"",_xludf.AGGREGATE(14,6,Ventes_Encaissements!$C$6:$C$3005/(Ventes_Encaissements!$B$6:$B$3005=$A134),1)))</f>
        <v/>
      </c>
      <c r="L134" s="11">
        <f>IF($A134="","",COUNTIFS(Ventes_Detail!$B$6:$B$3005,$A134))</f>
        <v/>
      </c>
      <c r="M134" s="12" t="n"/>
      <c r="N134" s="12">
        <f>IF($A134="","",IF($G134="","",IF($M134="Oui","Litige",IF($J134&lt;=0,"Payé",IF($I134&gt;0,"Partiel",IF(Listes!$B$3&gt;$G134,"En retard","À échoir"))))))</f>
        <v/>
      </c>
      <c r="O134" s="11">
        <f>IF($A134="","",IF(OR($G134="", $J134&lt;=0),0,MAX(0,Listes!$B$3-$G134)))</f>
        <v/>
      </c>
      <c r="P134" s="12">
        <f>IF($A134="","",IF($J134&lt;=0,"Payé",IF($M134="Oui","Litige",IF($O134=0,"À échoir",IF($O134&lt;=30,"0-30",IF($O134&lt;=60,"31-60",IF($O134&lt;=90,"61-90","90+")))))))</f>
        <v/>
      </c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9">
        <f>IF($A135="","",SUMIFS(Ventes_Encaissements!$D$6:$D$3005,Ventes_Encaissements!$B$6:$B$3005,$A135))</f>
        <v/>
      </c>
      <c r="J135" s="9">
        <f>IF($A135="","",$H135-$I135)</f>
        <v/>
      </c>
      <c r="K135" s="10">
        <f>IF($A135="","",IF($I135=0,"",_xludf.AGGREGATE(14,6,Ventes_Encaissements!$C$6:$C$3005/(Ventes_Encaissements!$B$6:$B$3005=$A135),1)))</f>
        <v/>
      </c>
      <c r="L135" s="11">
        <f>IF($A135="","",COUNTIFS(Ventes_Detail!$B$6:$B$3005,$A135))</f>
        <v/>
      </c>
      <c r="M135" s="12" t="n"/>
      <c r="N135" s="12">
        <f>IF($A135="","",IF($G135="","",IF($M135="Oui","Litige",IF($J135&lt;=0,"Payé",IF($I135&gt;0,"Partiel",IF(Listes!$B$3&gt;$G135,"En retard","À échoir"))))))</f>
        <v/>
      </c>
      <c r="O135" s="11">
        <f>IF($A135="","",IF(OR($G135="", $J135&lt;=0),0,MAX(0,Listes!$B$3-$G135)))</f>
        <v/>
      </c>
      <c r="P135" s="12">
        <f>IF($A135="","",IF($J135&lt;=0,"Payé",IF($M135="Oui","Litige",IF($O135=0,"À échoir",IF($O135&lt;=30,"0-30",IF($O135&lt;=60,"31-60",IF($O135&lt;=90,"61-90","90+")))))))</f>
        <v/>
      </c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9">
        <f>IF($A136="","",SUMIFS(Ventes_Encaissements!$D$6:$D$3005,Ventes_Encaissements!$B$6:$B$3005,$A136))</f>
        <v/>
      </c>
      <c r="J136" s="9">
        <f>IF($A136="","",$H136-$I136)</f>
        <v/>
      </c>
      <c r="K136" s="10">
        <f>IF($A136="","",IF($I136=0,"",_xludf.AGGREGATE(14,6,Ventes_Encaissements!$C$6:$C$3005/(Ventes_Encaissements!$B$6:$B$3005=$A136),1)))</f>
        <v/>
      </c>
      <c r="L136" s="11">
        <f>IF($A136="","",COUNTIFS(Ventes_Detail!$B$6:$B$3005,$A136))</f>
        <v/>
      </c>
      <c r="M136" s="12" t="n"/>
      <c r="N136" s="12">
        <f>IF($A136="","",IF($G136="","",IF($M136="Oui","Litige",IF($J136&lt;=0,"Payé",IF($I136&gt;0,"Partiel",IF(Listes!$B$3&gt;$G136,"En retard","À échoir"))))))</f>
        <v/>
      </c>
      <c r="O136" s="11">
        <f>IF($A136="","",IF(OR($G136="", $J136&lt;=0),0,MAX(0,Listes!$B$3-$G136)))</f>
        <v/>
      </c>
      <c r="P136" s="12">
        <f>IF($A136="","",IF($J136&lt;=0,"Payé",IF($M136="Oui","Litige",IF($O136=0,"À échoir",IF($O136&lt;=30,"0-30",IF($O136&lt;=60,"31-60",IF($O136&lt;=90,"61-90","90+")))))))</f>
        <v/>
      </c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9">
        <f>IF($A137="","",SUMIFS(Ventes_Encaissements!$D$6:$D$3005,Ventes_Encaissements!$B$6:$B$3005,$A137))</f>
        <v/>
      </c>
      <c r="J137" s="9">
        <f>IF($A137="","",$H137-$I137)</f>
        <v/>
      </c>
      <c r="K137" s="10">
        <f>IF($A137="","",IF($I137=0,"",_xludf.AGGREGATE(14,6,Ventes_Encaissements!$C$6:$C$3005/(Ventes_Encaissements!$B$6:$B$3005=$A137),1)))</f>
        <v/>
      </c>
      <c r="L137" s="11">
        <f>IF($A137="","",COUNTIFS(Ventes_Detail!$B$6:$B$3005,$A137))</f>
        <v/>
      </c>
      <c r="M137" s="12" t="n"/>
      <c r="N137" s="12">
        <f>IF($A137="","",IF($G137="","",IF($M137="Oui","Litige",IF($J137&lt;=0,"Payé",IF($I137&gt;0,"Partiel",IF(Listes!$B$3&gt;$G137,"En retard","À échoir"))))))</f>
        <v/>
      </c>
      <c r="O137" s="11">
        <f>IF($A137="","",IF(OR($G137="", $J137&lt;=0),0,MAX(0,Listes!$B$3-$G137)))</f>
        <v/>
      </c>
      <c r="P137" s="12">
        <f>IF($A137="","",IF($J137&lt;=0,"Payé",IF($M137="Oui","Litige",IF($O137=0,"À échoir",IF($O137&lt;=30,"0-30",IF($O137&lt;=60,"31-60",IF($O137&lt;=90,"61-90","90+")))))))</f>
        <v/>
      </c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9">
        <f>IF($A138="","",SUMIFS(Ventes_Encaissements!$D$6:$D$3005,Ventes_Encaissements!$B$6:$B$3005,$A138))</f>
        <v/>
      </c>
      <c r="J138" s="9">
        <f>IF($A138="","",$H138-$I138)</f>
        <v/>
      </c>
      <c r="K138" s="10">
        <f>IF($A138="","",IF($I138=0,"",_xludf.AGGREGATE(14,6,Ventes_Encaissements!$C$6:$C$3005/(Ventes_Encaissements!$B$6:$B$3005=$A138),1)))</f>
        <v/>
      </c>
      <c r="L138" s="11">
        <f>IF($A138="","",COUNTIFS(Ventes_Detail!$B$6:$B$3005,$A138))</f>
        <v/>
      </c>
      <c r="M138" s="12" t="n"/>
      <c r="N138" s="12">
        <f>IF($A138="","",IF($G138="","",IF($M138="Oui","Litige",IF($J138&lt;=0,"Payé",IF($I138&gt;0,"Partiel",IF(Listes!$B$3&gt;$G138,"En retard","À échoir"))))))</f>
        <v/>
      </c>
      <c r="O138" s="11">
        <f>IF($A138="","",IF(OR($G138="", $J138&lt;=0),0,MAX(0,Listes!$B$3-$G138)))</f>
        <v/>
      </c>
      <c r="P138" s="12">
        <f>IF($A138="","",IF($J138&lt;=0,"Payé",IF($M138="Oui","Litige",IF($O138=0,"À échoir",IF($O138&lt;=30,"0-30",IF($O138&lt;=60,"31-60",IF($O138&lt;=90,"61-90","90+")))))))</f>
        <v/>
      </c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9">
        <f>IF($A139="","",SUMIFS(Ventes_Encaissements!$D$6:$D$3005,Ventes_Encaissements!$B$6:$B$3005,$A139))</f>
        <v/>
      </c>
      <c r="J139" s="9">
        <f>IF($A139="","",$H139-$I139)</f>
        <v/>
      </c>
      <c r="K139" s="10">
        <f>IF($A139="","",IF($I139=0,"",_xludf.AGGREGATE(14,6,Ventes_Encaissements!$C$6:$C$3005/(Ventes_Encaissements!$B$6:$B$3005=$A139),1)))</f>
        <v/>
      </c>
      <c r="L139" s="11">
        <f>IF($A139="","",COUNTIFS(Ventes_Detail!$B$6:$B$3005,$A139))</f>
        <v/>
      </c>
      <c r="M139" s="12" t="n"/>
      <c r="N139" s="12">
        <f>IF($A139="","",IF($G139="","",IF($M139="Oui","Litige",IF($J139&lt;=0,"Payé",IF($I139&gt;0,"Partiel",IF(Listes!$B$3&gt;$G139,"En retard","À échoir"))))))</f>
        <v/>
      </c>
      <c r="O139" s="11">
        <f>IF($A139="","",IF(OR($G139="", $J139&lt;=0),0,MAX(0,Listes!$B$3-$G139)))</f>
        <v/>
      </c>
      <c r="P139" s="12">
        <f>IF($A139="","",IF($J139&lt;=0,"Payé",IF($M139="Oui","Litige",IF($O139=0,"À échoir",IF($O139&lt;=30,"0-30",IF($O139&lt;=60,"31-60",IF($O139&lt;=90,"61-90","90+")))))))</f>
        <v/>
      </c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9">
        <f>IF($A140="","",SUMIFS(Ventes_Encaissements!$D$6:$D$3005,Ventes_Encaissements!$B$6:$B$3005,$A140))</f>
        <v/>
      </c>
      <c r="J140" s="9">
        <f>IF($A140="","",$H140-$I140)</f>
        <v/>
      </c>
      <c r="K140" s="10">
        <f>IF($A140="","",IF($I140=0,"",_xludf.AGGREGATE(14,6,Ventes_Encaissements!$C$6:$C$3005/(Ventes_Encaissements!$B$6:$B$3005=$A140),1)))</f>
        <v/>
      </c>
      <c r="L140" s="11">
        <f>IF($A140="","",COUNTIFS(Ventes_Detail!$B$6:$B$3005,$A140))</f>
        <v/>
      </c>
      <c r="M140" s="12" t="n"/>
      <c r="N140" s="12">
        <f>IF($A140="","",IF($G140="","",IF($M140="Oui","Litige",IF($J140&lt;=0,"Payé",IF($I140&gt;0,"Partiel",IF(Listes!$B$3&gt;$G140,"En retard","À échoir"))))))</f>
        <v/>
      </c>
      <c r="O140" s="11">
        <f>IF($A140="","",IF(OR($G140="", $J140&lt;=0),0,MAX(0,Listes!$B$3-$G140)))</f>
        <v/>
      </c>
      <c r="P140" s="12">
        <f>IF($A140="","",IF($J140&lt;=0,"Payé",IF($M140="Oui","Litige",IF($O140=0,"À échoir",IF($O140&lt;=30,"0-30",IF($O140&lt;=60,"31-60",IF($O140&lt;=90,"61-90","90+")))))))</f>
        <v/>
      </c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9">
        <f>IF($A141="","",SUMIFS(Ventes_Encaissements!$D$6:$D$3005,Ventes_Encaissements!$B$6:$B$3005,$A141))</f>
        <v/>
      </c>
      <c r="J141" s="9">
        <f>IF($A141="","",$H141-$I141)</f>
        <v/>
      </c>
      <c r="K141" s="10">
        <f>IF($A141="","",IF($I141=0,"",_xludf.AGGREGATE(14,6,Ventes_Encaissements!$C$6:$C$3005/(Ventes_Encaissements!$B$6:$B$3005=$A141),1)))</f>
        <v/>
      </c>
      <c r="L141" s="11">
        <f>IF($A141="","",COUNTIFS(Ventes_Detail!$B$6:$B$3005,$A141))</f>
        <v/>
      </c>
      <c r="M141" s="12" t="n"/>
      <c r="N141" s="12">
        <f>IF($A141="","",IF($G141="","",IF($M141="Oui","Litige",IF($J141&lt;=0,"Payé",IF($I141&gt;0,"Partiel",IF(Listes!$B$3&gt;$G141,"En retard","À échoir"))))))</f>
        <v/>
      </c>
      <c r="O141" s="11">
        <f>IF($A141="","",IF(OR($G141="", $J141&lt;=0),0,MAX(0,Listes!$B$3-$G141)))</f>
        <v/>
      </c>
      <c r="P141" s="12">
        <f>IF($A141="","",IF($J141&lt;=0,"Payé",IF($M141="Oui","Litige",IF($O141=0,"À échoir",IF($O141&lt;=30,"0-30",IF($O141&lt;=60,"31-60",IF($O141&lt;=90,"61-90","90+")))))))</f>
        <v/>
      </c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9">
        <f>IF($A142="","",SUMIFS(Ventes_Encaissements!$D$6:$D$3005,Ventes_Encaissements!$B$6:$B$3005,$A142))</f>
        <v/>
      </c>
      <c r="J142" s="9">
        <f>IF($A142="","",$H142-$I142)</f>
        <v/>
      </c>
      <c r="K142" s="10">
        <f>IF($A142="","",IF($I142=0,"",_xludf.AGGREGATE(14,6,Ventes_Encaissements!$C$6:$C$3005/(Ventes_Encaissements!$B$6:$B$3005=$A142),1)))</f>
        <v/>
      </c>
      <c r="L142" s="11">
        <f>IF($A142="","",COUNTIFS(Ventes_Detail!$B$6:$B$3005,$A142))</f>
        <v/>
      </c>
      <c r="M142" s="12" t="n"/>
      <c r="N142" s="12">
        <f>IF($A142="","",IF($G142="","",IF($M142="Oui","Litige",IF($J142&lt;=0,"Payé",IF($I142&gt;0,"Partiel",IF(Listes!$B$3&gt;$G142,"En retard","À échoir"))))))</f>
        <v/>
      </c>
      <c r="O142" s="11">
        <f>IF($A142="","",IF(OR($G142="", $J142&lt;=0),0,MAX(0,Listes!$B$3-$G142)))</f>
        <v/>
      </c>
      <c r="P142" s="12">
        <f>IF($A142="","",IF($J142&lt;=0,"Payé",IF($M142="Oui","Litige",IF($O142=0,"À échoir",IF($O142&lt;=30,"0-30",IF($O142&lt;=60,"31-60",IF($O142&lt;=90,"61-90","90+")))))))</f>
        <v/>
      </c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9">
        <f>IF($A143="","",SUMIFS(Ventes_Encaissements!$D$6:$D$3005,Ventes_Encaissements!$B$6:$B$3005,$A143))</f>
        <v/>
      </c>
      <c r="J143" s="9">
        <f>IF($A143="","",$H143-$I143)</f>
        <v/>
      </c>
      <c r="K143" s="10">
        <f>IF($A143="","",IF($I143=0,"",_xludf.AGGREGATE(14,6,Ventes_Encaissements!$C$6:$C$3005/(Ventes_Encaissements!$B$6:$B$3005=$A143),1)))</f>
        <v/>
      </c>
      <c r="L143" s="11">
        <f>IF($A143="","",COUNTIFS(Ventes_Detail!$B$6:$B$3005,$A143))</f>
        <v/>
      </c>
      <c r="M143" s="12" t="n"/>
      <c r="N143" s="12">
        <f>IF($A143="","",IF($G143="","",IF($M143="Oui","Litige",IF($J143&lt;=0,"Payé",IF($I143&gt;0,"Partiel",IF(Listes!$B$3&gt;$G143,"En retard","À échoir"))))))</f>
        <v/>
      </c>
      <c r="O143" s="11">
        <f>IF($A143="","",IF(OR($G143="", $J143&lt;=0),0,MAX(0,Listes!$B$3-$G143)))</f>
        <v/>
      </c>
      <c r="P143" s="12">
        <f>IF($A143="","",IF($J143&lt;=0,"Payé",IF($M143="Oui","Litige",IF($O143=0,"À échoir",IF($O143&lt;=30,"0-30",IF($O143&lt;=60,"31-60",IF($O143&lt;=90,"61-90","90+")))))))</f>
        <v/>
      </c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9">
        <f>IF($A144="","",SUMIFS(Ventes_Encaissements!$D$6:$D$3005,Ventes_Encaissements!$B$6:$B$3005,$A144))</f>
        <v/>
      </c>
      <c r="J144" s="9">
        <f>IF($A144="","",$H144-$I144)</f>
        <v/>
      </c>
      <c r="K144" s="10">
        <f>IF($A144="","",IF($I144=0,"",_xludf.AGGREGATE(14,6,Ventes_Encaissements!$C$6:$C$3005/(Ventes_Encaissements!$B$6:$B$3005=$A144),1)))</f>
        <v/>
      </c>
      <c r="L144" s="11">
        <f>IF($A144="","",COUNTIFS(Ventes_Detail!$B$6:$B$3005,$A144))</f>
        <v/>
      </c>
      <c r="M144" s="12" t="n"/>
      <c r="N144" s="12">
        <f>IF($A144="","",IF($G144="","",IF($M144="Oui","Litige",IF($J144&lt;=0,"Payé",IF($I144&gt;0,"Partiel",IF(Listes!$B$3&gt;$G144,"En retard","À échoir"))))))</f>
        <v/>
      </c>
      <c r="O144" s="11">
        <f>IF($A144="","",IF(OR($G144="", $J144&lt;=0),0,MAX(0,Listes!$B$3-$G144)))</f>
        <v/>
      </c>
      <c r="P144" s="12">
        <f>IF($A144="","",IF($J144&lt;=0,"Payé",IF($M144="Oui","Litige",IF($O144=0,"À échoir",IF($O144&lt;=30,"0-30",IF($O144&lt;=60,"31-60",IF($O144&lt;=90,"61-90","90+")))))))</f>
        <v/>
      </c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9">
        <f>IF($A145="","",SUMIFS(Ventes_Encaissements!$D$6:$D$3005,Ventes_Encaissements!$B$6:$B$3005,$A145))</f>
        <v/>
      </c>
      <c r="J145" s="9">
        <f>IF($A145="","",$H145-$I145)</f>
        <v/>
      </c>
      <c r="K145" s="10">
        <f>IF($A145="","",IF($I145=0,"",_xludf.AGGREGATE(14,6,Ventes_Encaissements!$C$6:$C$3005/(Ventes_Encaissements!$B$6:$B$3005=$A145),1)))</f>
        <v/>
      </c>
      <c r="L145" s="11">
        <f>IF($A145="","",COUNTIFS(Ventes_Detail!$B$6:$B$3005,$A145))</f>
        <v/>
      </c>
      <c r="M145" s="12" t="n"/>
      <c r="N145" s="12">
        <f>IF($A145="","",IF($G145="","",IF($M145="Oui","Litige",IF($J145&lt;=0,"Payé",IF($I145&gt;0,"Partiel",IF(Listes!$B$3&gt;$G145,"En retard","À échoir"))))))</f>
        <v/>
      </c>
      <c r="O145" s="11">
        <f>IF($A145="","",IF(OR($G145="", $J145&lt;=0),0,MAX(0,Listes!$B$3-$G145)))</f>
        <v/>
      </c>
      <c r="P145" s="12">
        <f>IF($A145="","",IF($J145&lt;=0,"Payé",IF($M145="Oui","Litige",IF($O145=0,"À échoir",IF($O145&lt;=30,"0-30",IF($O145&lt;=60,"31-60",IF($O145&lt;=90,"61-90","90+")))))))</f>
        <v/>
      </c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9">
        <f>IF($A146="","",SUMIFS(Ventes_Encaissements!$D$6:$D$3005,Ventes_Encaissements!$B$6:$B$3005,$A146))</f>
        <v/>
      </c>
      <c r="J146" s="9">
        <f>IF($A146="","",$H146-$I146)</f>
        <v/>
      </c>
      <c r="K146" s="10">
        <f>IF($A146="","",IF($I146=0,"",_xludf.AGGREGATE(14,6,Ventes_Encaissements!$C$6:$C$3005/(Ventes_Encaissements!$B$6:$B$3005=$A146),1)))</f>
        <v/>
      </c>
      <c r="L146" s="11">
        <f>IF($A146="","",COUNTIFS(Ventes_Detail!$B$6:$B$3005,$A146))</f>
        <v/>
      </c>
      <c r="M146" s="12" t="n"/>
      <c r="N146" s="12">
        <f>IF($A146="","",IF($G146="","",IF($M146="Oui","Litige",IF($J146&lt;=0,"Payé",IF($I146&gt;0,"Partiel",IF(Listes!$B$3&gt;$G146,"En retard","À échoir"))))))</f>
        <v/>
      </c>
      <c r="O146" s="11">
        <f>IF($A146="","",IF(OR($G146="", $J146&lt;=0),0,MAX(0,Listes!$B$3-$G146)))</f>
        <v/>
      </c>
      <c r="P146" s="12">
        <f>IF($A146="","",IF($J146&lt;=0,"Payé",IF($M146="Oui","Litige",IF($O146=0,"À échoir",IF($O146&lt;=30,"0-30",IF($O146&lt;=60,"31-60",IF($O146&lt;=90,"61-90","90+")))))))</f>
        <v/>
      </c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9">
        <f>IF($A147="","",SUMIFS(Ventes_Encaissements!$D$6:$D$3005,Ventes_Encaissements!$B$6:$B$3005,$A147))</f>
        <v/>
      </c>
      <c r="J147" s="9">
        <f>IF($A147="","",$H147-$I147)</f>
        <v/>
      </c>
      <c r="K147" s="10">
        <f>IF($A147="","",IF($I147=0,"",_xludf.AGGREGATE(14,6,Ventes_Encaissements!$C$6:$C$3005/(Ventes_Encaissements!$B$6:$B$3005=$A147),1)))</f>
        <v/>
      </c>
      <c r="L147" s="11">
        <f>IF($A147="","",COUNTIFS(Ventes_Detail!$B$6:$B$3005,$A147))</f>
        <v/>
      </c>
      <c r="M147" s="12" t="n"/>
      <c r="N147" s="12">
        <f>IF($A147="","",IF($G147="","",IF($M147="Oui","Litige",IF($J147&lt;=0,"Payé",IF($I147&gt;0,"Partiel",IF(Listes!$B$3&gt;$G147,"En retard","À échoir"))))))</f>
        <v/>
      </c>
      <c r="O147" s="11">
        <f>IF($A147="","",IF(OR($G147="", $J147&lt;=0),0,MAX(0,Listes!$B$3-$G147)))</f>
        <v/>
      </c>
      <c r="P147" s="12">
        <f>IF($A147="","",IF($J147&lt;=0,"Payé",IF($M147="Oui","Litige",IF($O147=0,"À échoir",IF($O147&lt;=30,"0-30",IF($O147&lt;=60,"31-60",IF($O147&lt;=90,"61-90","90+")))))))</f>
        <v/>
      </c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9">
        <f>IF($A148="","",SUMIFS(Ventes_Encaissements!$D$6:$D$3005,Ventes_Encaissements!$B$6:$B$3005,$A148))</f>
        <v/>
      </c>
      <c r="J148" s="9">
        <f>IF($A148="","",$H148-$I148)</f>
        <v/>
      </c>
      <c r="K148" s="10">
        <f>IF($A148="","",IF($I148=0,"",_xludf.AGGREGATE(14,6,Ventes_Encaissements!$C$6:$C$3005/(Ventes_Encaissements!$B$6:$B$3005=$A148),1)))</f>
        <v/>
      </c>
      <c r="L148" s="11">
        <f>IF($A148="","",COUNTIFS(Ventes_Detail!$B$6:$B$3005,$A148))</f>
        <v/>
      </c>
      <c r="M148" s="12" t="n"/>
      <c r="N148" s="12">
        <f>IF($A148="","",IF($G148="","",IF($M148="Oui","Litige",IF($J148&lt;=0,"Payé",IF($I148&gt;0,"Partiel",IF(Listes!$B$3&gt;$G148,"En retard","À échoir"))))))</f>
        <v/>
      </c>
      <c r="O148" s="11">
        <f>IF($A148="","",IF(OR($G148="", $J148&lt;=0),0,MAX(0,Listes!$B$3-$G148)))</f>
        <v/>
      </c>
      <c r="P148" s="12">
        <f>IF($A148="","",IF($J148&lt;=0,"Payé",IF($M148="Oui","Litige",IF($O148=0,"À échoir",IF($O148&lt;=30,"0-30",IF($O148&lt;=60,"31-60",IF($O148&lt;=90,"61-90","90+")))))))</f>
        <v/>
      </c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9">
        <f>IF($A149="","",SUMIFS(Ventes_Encaissements!$D$6:$D$3005,Ventes_Encaissements!$B$6:$B$3005,$A149))</f>
        <v/>
      </c>
      <c r="J149" s="9">
        <f>IF($A149="","",$H149-$I149)</f>
        <v/>
      </c>
      <c r="K149" s="10">
        <f>IF($A149="","",IF($I149=0,"",_xludf.AGGREGATE(14,6,Ventes_Encaissements!$C$6:$C$3005/(Ventes_Encaissements!$B$6:$B$3005=$A149),1)))</f>
        <v/>
      </c>
      <c r="L149" s="11">
        <f>IF($A149="","",COUNTIFS(Ventes_Detail!$B$6:$B$3005,$A149))</f>
        <v/>
      </c>
      <c r="M149" s="12" t="n"/>
      <c r="N149" s="12">
        <f>IF($A149="","",IF($G149="","",IF($M149="Oui","Litige",IF($J149&lt;=0,"Payé",IF($I149&gt;0,"Partiel",IF(Listes!$B$3&gt;$G149,"En retard","À échoir"))))))</f>
        <v/>
      </c>
      <c r="O149" s="11">
        <f>IF($A149="","",IF(OR($G149="", $J149&lt;=0),0,MAX(0,Listes!$B$3-$G149)))</f>
        <v/>
      </c>
      <c r="P149" s="12">
        <f>IF($A149="","",IF($J149&lt;=0,"Payé",IF($M149="Oui","Litige",IF($O149=0,"À échoir",IF($O149&lt;=30,"0-30",IF($O149&lt;=60,"31-60",IF($O149&lt;=90,"61-90","90+")))))))</f>
        <v/>
      </c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9">
        <f>IF($A150="","",SUMIFS(Ventes_Encaissements!$D$6:$D$3005,Ventes_Encaissements!$B$6:$B$3005,$A150))</f>
        <v/>
      </c>
      <c r="J150" s="9">
        <f>IF($A150="","",$H150-$I150)</f>
        <v/>
      </c>
      <c r="K150" s="10">
        <f>IF($A150="","",IF($I150=0,"",_xludf.AGGREGATE(14,6,Ventes_Encaissements!$C$6:$C$3005/(Ventes_Encaissements!$B$6:$B$3005=$A150),1)))</f>
        <v/>
      </c>
      <c r="L150" s="11">
        <f>IF($A150="","",COUNTIFS(Ventes_Detail!$B$6:$B$3005,$A150))</f>
        <v/>
      </c>
      <c r="M150" s="12" t="n"/>
      <c r="N150" s="12">
        <f>IF($A150="","",IF($G150="","",IF($M150="Oui","Litige",IF($J150&lt;=0,"Payé",IF($I150&gt;0,"Partiel",IF(Listes!$B$3&gt;$G150,"En retard","À échoir"))))))</f>
        <v/>
      </c>
      <c r="O150" s="11">
        <f>IF($A150="","",IF(OR($G150="", $J150&lt;=0),0,MAX(0,Listes!$B$3-$G150)))</f>
        <v/>
      </c>
      <c r="P150" s="12">
        <f>IF($A150="","",IF($J150&lt;=0,"Payé",IF($M150="Oui","Litige",IF($O150=0,"À échoir",IF($O150&lt;=30,"0-30",IF($O150&lt;=60,"31-60",IF($O150&lt;=90,"61-90","90+")))))))</f>
        <v/>
      </c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9">
        <f>IF($A151="","",SUMIFS(Ventes_Encaissements!$D$6:$D$3005,Ventes_Encaissements!$B$6:$B$3005,$A151))</f>
        <v/>
      </c>
      <c r="J151" s="9">
        <f>IF($A151="","",$H151-$I151)</f>
        <v/>
      </c>
      <c r="K151" s="10">
        <f>IF($A151="","",IF($I151=0,"",_xludf.AGGREGATE(14,6,Ventes_Encaissements!$C$6:$C$3005/(Ventes_Encaissements!$B$6:$B$3005=$A151),1)))</f>
        <v/>
      </c>
      <c r="L151" s="11">
        <f>IF($A151="","",COUNTIFS(Ventes_Detail!$B$6:$B$3005,$A151))</f>
        <v/>
      </c>
      <c r="M151" s="12" t="n"/>
      <c r="N151" s="12">
        <f>IF($A151="","",IF($G151="","",IF($M151="Oui","Litige",IF($J151&lt;=0,"Payé",IF($I151&gt;0,"Partiel",IF(Listes!$B$3&gt;$G151,"En retard","À échoir"))))))</f>
        <v/>
      </c>
      <c r="O151" s="11">
        <f>IF($A151="","",IF(OR($G151="", $J151&lt;=0),0,MAX(0,Listes!$B$3-$G151)))</f>
        <v/>
      </c>
      <c r="P151" s="12">
        <f>IF($A151="","",IF($J151&lt;=0,"Payé",IF($M151="Oui","Litige",IF($O151=0,"À échoir",IF($O151&lt;=30,"0-30",IF($O151&lt;=60,"31-60",IF($O151&lt;=90,"61-90","90+")))))))</f>
        <v/>
      </c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9">
        <f>IF($A152="","",SUMIFS(Ventes_Encaissements!$D$6:$D$3005,Ventes_Encaissements!$B$6:$B$3005,$A152))</f>
        <v/>
      </c>
      <c r="J152" s="9">
        <f>IF($A152="","",$H152-$I152)</f>
        <v/>
      </c>
      <c r="K152" s="10">
        <f>IF($A152="","",IF($I152=0,"",_xludf.AGGREGATE(14,6,Ventes_Encaissements!$C$6:$C$3005/(Ventes_Encaissements!$B$6:$B$3005=$A152),1)))</f>
        <v/>
      </c>
      <c r="L152" s="11">
        <f>IF($A152="","",COUNTIFS(Ventes_Detail!$B$6:$B$3005,$A152))</f>
        <v/>
      </c>
      <c r="M152" s="12" t="n"/>
      <c r="N152" s="12">
        <f>IF($A152="","",IF($G152="","",IF($M152="Oui","Litige",IF($J152&lt;=0,"Payé",IF($I152&gt;0,"Partiel",IF(Listes!$B$3&gt;$G152,"En retard","À échoir"))))))</f>
        <v/>
      </c>
      <c r="O152" s="11">
        <f>IF($A152="","",IF(OR($G152="", $J152&lt;=0),0,MAX(0,Listes!$B$3-$G152)))</f>
        <v/>
      </c>
      <c r="P152" s="12">
        <f>IF($A152="","",IF($J152&lt;=0,"Payé",IF($M152="Oui","Litige",IF($O152=0,"À échoir",IF($O152&lt;=30,"0-30",IF($O152&lt;=60,"31-60",IF($O152&lt;=90,"61-90","90+")))))))</f>
        <v/>
      </c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9">
        <f>IF($A153="","",SUMIFS(Ventes_Encaissements!$D$6:$D$3005,Ventes_Encaissements!$B$6:$B$3005,$A153))</f>
        <v/>
      </c>
      <c r="J153" s="9">
        <f>IF($A153="","",$H153-$I153)</f>
        <v/>
      </c>
      <c r="K153" s="10">
        <f>IF($A153="","",IF($I153=0,"",_xludf.AGGREGATE(14,6,Ventes_Encaissements!$C$6:$C$3005/(Ventes_Encaissements!$B$6:$B$3005=$A153),1)))</f>
        <v/>
      </c>
      <c r="L153" s="11">
        <f>IF($A153="","",COUNTIFS(Ventes_Detail!$B$6:$B$3005,$A153))</f>
        <v/>
      </c>
      <c r="M153" s="12" t="n"/>
      <c r="N153" s="12">
        <f>IF($A153="","",IF($G153="","",IF($M153="Oui","Litige",IF($J153&lt;=0,"Payé",IF($I153&gt;0,"Partiel",IF(Listes!$B$3&gt;$G153,"En retard","À échoir"))))))</f>
        <v/>
      </c>
      <c r="O153" s="11">
        <f>IF($A153="","",IF(OR($G153="", $J153&lt;=0),0,MAX(0,Listes!$B$3-$G153)))</f>
        <v/>
      </c>
      <c r="P153" s="12">
        <f>IF($A153="","",IF($J153&lt;=0,"Payé",IF($M153="Oui","Litige",IF($O153=0,"À échoir",IF($O153&lt;=30,"0-30",IF($O153&lt;=60,"31-60",IF($O153&lt;=90,"61-90","90+")))))))</f>
        <v/>
      </c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9">
        <f>IF($A154="","",SUMIFS(Ventes_Encaissements!$D$6:$D$3005,Ventes_Encaissements!$B$6:$B$3005,$A154))</f>
        <v/>
      </c>
      <c r="J154" s="9">
        <f>IF($A154="","",$H154-$I154)</f>
        <v/>
      </c>
      <c r="K154" s="10">
        <f>IF($A154="","",IF($I154=0,"",_xludf.AGGREGATE(14,6,Ventes_Encaissements!$C$6:$C$3005/(Ventes_Encaissements!$B$6:$B$3005=$A154),1)))</f>
        <v/>
      </c>
      <c r="L154" s="11">
        <f>IF($A154="","",COUNTIFS(Ventes_Detail!$B$6:$B$3005,$A154))</f>
        <v/>
      </c>
      <c r="M154" s="12" t="n"/>
      <c r="N154" s="12">
        <f>IF($A154="","",IF($G154="","",IF($M154="Oui","Litige",IF($J154&lt;=0,"Payé",IF($I154&gt;0,"Partiel",IF(Listes!$B$3&gt;$G154,"En retard","À échoir"))))))</f>
        <v/>
      </c>
      <c r="O154" s="11">
        <f>IF($A154="","",IF(OR($G154="", $J154&lt;=0),0,MAX(0,Listes!$B$3-$G154)))</f>
        <v/>
      </c>
      <c r="P154" s="12">
        <f>IF($A154="","",IF($J154&lt;=0,"Payé",IF($M154="Oui","Litige",IF($O154=0,"À échoir",IF($O154&lt;=30,"0-30",IF($O154&lt;=60,"31-60",IF($O154&lt;=90,"61-90","90+")))))))</f>
        <v/>
      </c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9">
        <f>IF($A155="","",SUMIFS(Ventes_Encaissements!$D$6:$D$3005,Ventes_Encaissements!$B$6:$B$3005,$A155))</f>
        <v/>
      </c>
      <c r="J155" s="9">
        <f>IF($A155="","",$H155-$I155)</f>
        <v/>
      </c>
      <c r="K155" s="10">
        <f>IF($A155="","",IF($I155=0,"",_xludf.AGGREGATE(14,6,Ventes_Encaissements!$C$6:$C$3005/(Ventes_Encaissements!$B$6:$B$3005=$A155),1)))</f>
        <v/>
      </c>
      <c r="L155" s="11">
        <f>IF($A155="","",COUNTIFS(Ventes_Detail!$B$6:$B$3005,$A155))</f>
        <v/>
      </c>
      <c r="M155" s="12" t="n"/>
      <c r="N155" s="12">
        <f>IF($A155="","",IF($G155="","",IF($M155="Oui","Litige",IF($J155&lt;=0,"Payé",IF($I155&gt;0,"Partiel",IF(Listes!$B$3&gt;$G155,"En retard","À échoir"))))))</f>
        <v/>
      </c>
      <c r="O155" s="11">
        <f>IF($A155="","",IF(OR($G155="", $J155&lt;=0),0,MAX(0,Listes!$B$3-$G155)))</f>
        <v/>
      </c>
      <c r="P155" s="12">
        <f>IF($A155="","",IF($J155&lt;=0,"Payé",IF($M155="Oui","Litige",IF($O155=0,"À échoir",IF($O155&lt;=30,"0-30",IF($O155&lt;=60,"31-60",IF($O155&lt;=90,"61-90","90+")))))))</f>
        <v/>
      </c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9">
        <f>IF($A156="","",SUMIFS(Ventes_Encaissements!$D$6:$D$3005,Ventes_Encaissements!$B$6:$B$3005,$A156))</f>
        <v/>
      </c>
      <c r="J156" s="9">
        <f>IF($A156="","",$H156-$I156)</f>
        <v/>
      </c>
      <c r="K156" s="10">
        <f>IF($A156="","",IF($I156=0,"",_xludf.AGGREGATE(14,6,Ventes_Encaissements!$C$6:$C$3005/(Ventes_Encaissements!$B$6:$B$3005=$A156),1)))</f>
        <v/>
      </c>
      <c r="L156" s="11">
        <f>IF($A156="","",COUNTIFS(Ventes_Detail!$B$6:$B$3005,$A156))</f>
        <v/>
      </c>
      <c r="M156" s="12" t="n"/>
      <c r="N156" s="12">
        <f>IF($A156="","",IF($G156="","",IF($M156="Oui","Litige",IF($J156&lt;=0,"Payé",IF($I156&gt;0,"Partiel",IF(Listes!$B$3&gt;$G156,"En retard","À échoir"))))))</f>
        <v/>
      </c>
      <c r="O156" s="11">
        <f>IF($A156="","",IF(OR($G156="", $J156&lt;=0),0,MAX(0,Listes!$B$3-$G156)))</f>
        <v/>
      </c>
      <c r="P156" s="12">
        <f>IF($A156="","",IF($J156&lt;=0,"Payé",IF($M156="Oui","Litige",IF($O156=0,"À échoir",IF($O156&lt;=30,"0-30",IF($O156&lt;=60,"31-60",IF($O156&lt;=90,"61-90","90+")))))))</f>
        <v/>
      </c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9">
        <f>IF($A157="","",SUMIFS(Ventes_Encaissements!$D$6:$D$3005,Ventes_Encaissements!$B$6:$B$3005,$A157))</f>
        <v/>
      </c>
      <c r="J157" s="9">
        <f>IF($A157="","",$H157-$I157)</f>
        <v/>
      </c>
      <c r="K157" s="10">
        <f>IF($A157="","",IF($I157=0,"",_xludf.AGGREGATE(14,6,Ventes_Encaissements!$C$6:$C$3005/(Ventes_Encaissements!$B$6:$B$3005=$A157),1)))</f>
        <v/>
      </c>
      <c r="L157" s="11">
        <f>IF($A157="","",COUNTIFS(Ventes_Detail!$B$6:$B$3005,$A157))</f>
        <v/>
      </c>
      <c r="M157" s="12" t="n"/>
      <c r="N157" s="12">
        <f>IF($A157="","",IF($G157="","",IF($M157="Oui","Litige",IF($J157&lt;=0,"Payé",IF($I157&gt;0,"Partiel",IF(Listes!$B$3&gt;$G157,"En retard","À échoir"))))))</f>
        <v/>
      </c>
      <c r="O157" s="11">
        <f>IF($A157="","",IF(OR($G157="", $J157&lt;=0),0,MAX(0,Listes!$B$3-$G157)))</f>
        <v/>
      </c>
      <c r="P157" s="12">
        <f>IF($A157="","",IF($J157&lt;=0,"Payé",IF($M157="Oui","Litige",IF($O157=0,"À échoir",IF($O157&lt;=30,"0-30",IF($O157&lt;=60,"31-60",IF($O157&lt;=90,"61-90","90+")))))))</f>
        <v/>
      </c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9">
        <f>IF($A158="","",SUMIFS(Ventes_Encaissements!$D$6:$D$3005,Ventes_Encaissements!$B$6:$B$3005,$A158))</f>
        <v/>
      </c>
      <c r="J158" s="9">
        <f>IF($A158="","",$H158-$I158)</f>
        <v/>
      </c>
      <c r="K158" s="10">
        <f>IF($A158="","",IF($I158=0,"",_xludf.AGGREGATE(14,6,Ventes_Encaissements!$C$6:$C$3005/(Ventes_Encaissements!$B$6:$B$3005=$A158),1)))</f>
        <v/>
      </c>
      <c r="L158" s="11">
        <f>IF($A158="","",COUNTIFS(Ventes_Detail!$B$6:$B$3005,$A158))</f>
        <v/>
      </c>
      <c r="M158" s="12" t="n"/>
      <c r="N158" s="12">
        <f>IF($A158="","",IF($G158="","",IF($M158="Oui","Litige",IF($J158&lt;=0,"Payé",IF($I158&gt;0,"Partiel",IF(Listes!$B$3&gt;$G158,"En retard","À échoir"))))))</f>
        <v/>
      </c>
      <c r="O158" s="11">
        <f>IF($A158="","",IF(OR($G158="", $J158&lt;=0),0,MAX(0,Listes!$B$3-$G158)))</f>
        <v/>
      </c>
      <c r="P158" s="12">
        <f>IF($A158="","",IF($J158&lt;=0,"Payé",IF($M158="Oui","Litige",IF($O158=0,"À échoir",IF($O158&lt;=30,"0-30",IF($O158&lt;=60,"31-60",IF($O158&lt;=90,"61-90","90+")))))))</f>
        <v/>
      </c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9">
        <f>IF($A159="","",SUMIFS(Ventes_Encaissements!$D$6:$D$3005,Ventes_Encaissements!$B$6:$B$3005,$A159))</f>
        <v/>
      </c>
      <c r="J159" s="9">
        <f>IF($A159="","",$H159-$I159)</f>
        <v/>
      </c>
      <c r="K159" s="10">
        <f>IF($A159="","",IF($I159=0,"",_xludf.AGGREGATE(14,6,Ventes_Encaissements!$C$6:$C$3005/(Ventes_Encaissements!$B$6:$B$3005=$A159),1)))</f>
        <v/>
      </c>
      <c r="L159" s="11">
        <f>IF($A159="","",COUNTIFS(Ventes_Detail!$B$6:$B$3005,$A159))</f>
        <v/>
      </c>
      <c r="M159" s="12" t="n"/>
      <c r="N159" s="12">
        <f>IF($A159="","",IF($G159="","",IF($M159="Oui","Litige",IF($J159&lt;=0,"Payé",IF($I159&gt;0,"Partiel",IF(Listes!$B$3&gt;$G159,"En retard","À échoir"))))))</f>
        <v/>
      </c>
      <c r="O159" s="11">
        <f>IF($A159="","",IF(OR($G159="", $J159&lt;=0),0,MAX(0,Listes!$B$3-$G159)))</f>
        <v/>
      </c>
      <c r="P159" s="12">
        <f>IF($A159="","",IF($J159&lt;=0,"Payé",IF($M159="Oui","Litige",IF($O159=0,"À échoir",IF($O159&lt;=30,"0-30",IF($O159&lt;=60,"31-60",IF($O159&lt;=90,"61-90","90+")))))))</f>
        <v/>
      </c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9">
        <f>IF($A160="","",SUMIFS(Ventes_Encaissements!$D$6:$D$3005,Ventes_Encaissements!$B$6:$B$3005,$A160))</f>
        <v/>
      </c>
      <c r="J160" s="9">
        <f>IF($A160="","",$H160-$I160)</f>
        <v/>
      </c>
      <c r="K160" s="10">
        <f>IF($A160="","",IF($I160=0,"",_xludf.AGGREGATE(14,6,Ventes_Encaissements!$C$6:$C$3005/(Ventes_Encaissements!$B$6:$B$3005=$A160),1)))</f>
        <v/>
      </c>
      <c r="L160" s="11">
        <f>IF($A160="","",COUNTIFS(Ventes_Detail!$B$6:$B$3005,$A160))</f>
        <v/>
      </c>
      <c r="M160" s="12" t="n"/>
      <c r="N160" s="12">
        <f>IF($A160="","",IF($G160="","",IF($M160="Oui","Litige",IF($J160&lt;=0,"Payé",IF($I160&gt;0,"Partiel",IF(Listes!$B$3&gt;$G160,"En retard","À échoir"))))))</f>
        <v/>
      </c>
      <c r="O160" s="11">
        <f>IF($A160="","",IF(OR($G160="", $J160&lt;=0),0,MAX(0,Listes!$B$3-$G160)))</f>
        <v/>
      </c>
      <c r="P160" s="12">
        <f>IF($A160="","",IF($J160&lt;=0,"Payé",IF($M160="Oui","Litige",IF($O160=0,"À échoir",IF($O160&lt;=30,"0-30",IF($O160&lt;=60,"31-60",IF($O160&lt;=90,"61-90","90+")))))))</f>
        <v/>
      </c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9">
        <f>IF($A161="","",SUMIFS(Ventes_Encaissements!$D$6:$D$3005,Ventes_Encaissements!$B$6:$B$3005,$A161))</f>
        <v/>
      </c>
      <c r="J161" s="9">
        <f>IF($A161="","",$H161-$I161)</f>
        <v/>
      </c>
      <c r="K161" s="10">
        <f>IF($A161="","",IF($I161=0,"",_xludf.AGGREGATE(14,6,Ventes_Encaissements!$C$6:$C$3005/(Ventes_Encaissements!$B$6:$B$3005=$A161),1)))</f>
        <v/>
      </c>
      <c r="L161" s="11">
        <f>IF($A161="","",COUNTIFS(Ventes_Detail!$B$6:$B$3005,$A161))</f>
        <v/>
      </c>
      <c r="M161" s="12" t="n"/>
      <c r="N161" s="12">
        <f>IF($A161="","",IF($G161="","",IF($M161="Oui","Litige",IF($J161&lt;=0,"Payé",IF($I161&gt;0,"Partiel",IF(Listes!$B$3&gt;$G161,"En retard","À échoir"))))))</f>
        <v/>
      </c>
      <c r="O161" s="11">
        <f>IF($A161="","",IF(OR($G161="", $J161&lt;=0),0,MAX(0,Listes!$B$3-$G161)))</f>
        <v/>
      </c>
      <c r="P161" s="12">
        <f>IF($A161="","",IF($J161&lt;=0,"Payé",IF($M161="Oui","Litige",IF($O161=0,"À échoir",IF($O161&lt;=30,"0-30",IF($O161&lt;=60,"31-60",IF($O161&lt;=90,"61-90","90+")))))))</f>
        <v/>
      </c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9">
        <f>IF($A162="","",SUMIFS(Ventes_Encaissements!$D$6:$D$3005,Ventes_Encaissements!$B$6:$B$3005,$A162))</f>
        <v/>
      </c>
      <c r="J162" s="9">
        <f>IF($A162="","",$H162-$I162)</f>
        <v/>
      </c>
      <c r="K162" s="10">
        <f>IF($A162="","",IF($I162=0,"",_xludf.AGGREGATE(14,6,Ventes_Encaissements!$C$6:$C$3005/(Ventes_Encaissements!$B$6:$B$3005=$A162),1)))</f>
        <v/>
      </c>
      <c r="L162" s="11">
        <f>IF($A162="","",COUNTIFS(Ventes_Detail!$B$6:$B$3005,$A162))</f>
        <v/>
      </c>
      <c r="M162" s="12" t="n"/>
      <c r="N162" s="12">
        <f>IF($A162="","",IF($G162="","",IF($M162="Oui","Litige",IF($J162&lt;=0,"Payé",IF($I162&gt;0,"Partiel",IF(Listes!$B$3&gt;$G162,"En retard","À échoir"))))))</f>
        <v/>
      </c>
      <c r="O162" s="11">
        <f>IF($A162="","",IF(OR($G162="", $J162&lt;=0),0,MAX(0,Listes!$B$3-$G162)))</f>
        <v/>
      </c>
      <c r="P162" s="12">
        <f>IF($A162="","",IF($J162&lt;=0,"Payé",IF($M162="Oui","Litige",IF($O162=0,"À échoir",IF($O162&lt;=30,"0-30",IF($O162&lt;=60,"31-60",IF($O162&lt;=90,"61-90","90+")))))))</f>
        <v/>
      </c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9">
        <f>IF($A163="","",SUMIFS(Ventes_Encaissements!$D$6:$D$3005,Ventes_Encaissements!$B$6:$B$3005,$A163))</f>
        <v/>
      </c>
      <c r="J163" s="9">
        <f>IF($A163="","",$H163-$I163)</f>
        <v/>
      </c>
      <c r="K163" s="10">
        <f>IF($A163="","",IF($I163=0,"",_xludf.AGGREGATE(14,6,Ventes_Encaissements!$C$6:$C$3005/(Ventes_Encaissements!$B$6:$B$3005=$A163),1)))</f>
        <v/>
      </c>
      <c r="L163" s="11">
        <f>IF($A163="","",COUNTIFS(Ventes_Detail!$B$6:$B$3005,$A163))</f>
        <v/>
      </c>
      <c r="M163" s="12" t="n"/>
      <c r="N163" s="12">
        <f>IF($A163="","",IF($G163="","",IF($M163="Oui","Litige",IF($J163&lt;=0,"Payé",IF($I163&gt;0,"Partiel",IF(Listes!$B$3&gt;$G163,"En retard","À échoir"))))))</f>
        <v/>
      </c>
      <c r="O163" s="11">
        <f>IF($A163="","",IF(OR($G163="", $J163&lt;=0),0,MAX(0,Listes!$B$3-$G163)))</f>
        <v/>
      </c>
      <c r="P163" s="12">
        <f>IF($A163="","",IF($J163&lt;=0,"Payé",IF($M163="Oui","Litige",IF($O163=0,"À échoir",IF($O163&lt;=30,"0-30",IF($O163&lt;=60,"31-60",IF($O163&lt;=90,"61-90","90+")))))))</f>
        <v/>
      </c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9">
        <f>IF($A164="","",SUMIFS(Ventes_Encaissements!$D$6:$D$3005,Ventes_Encaissements!$B$6:$B$3005,$A164))</f>
        <v/>
      </c>
      <c r="J164" s="9">
        <f>IF($A164="","",$H164-$I164)</f>
        <v/>
      </c>
      <c r="K164" s="10">
        <f>IF($A164="","",IF($I164=0,"",_xludf.AGGREGATE(14,6,Ventes_Encaissements!$C$6:$C$3005/(Ventes_Encaissements!$B$6:$B$3005=$A164),1)))</f>
        <v/>
      </c>
      <c r="L164" s="11">
        <f>IF($A164="","",COUNTIFS(Ventes_Detail!$B$6:$B$3005,$A164))</f>
        <v/>
      </c>
      <c r="M164" s="12" t="n"/>
      <c r="N164" s="12">
        <f>IF($A164="","",IF($G164="","",IF($M164="Oui","Litige",IF($J164&lt;=0,"Payé",IF($I164&gt;0,"Partiel",IF(Listes!$B$3&gt;$G164,"En retard","À échoir"))))))</f>
        <v/>
      </c>
      <c r="O164" s="11">
        <f>IF($A164="","",IF(OR($G164="", $J164&lt;=0),0,MAX(0,Listes!$B$3-$G164)))</f>
        <v/>
      </c>
      <c r="P164" s="12">
        <f>IF($A164="","",IF($J164&lt;=0,"Payé",IF($M164="Oui","Litige",IF($O164=0,"À échoir",IF($O164&lt;=30,"0-30",IF($O164&lt;=60,"31-60",IF($O164&lt;=90,"61-90","90+")))))))</f>
        <v/>
      </c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9">
        <f>IF($A165="","",SUMIFS(Ventes_Encaissements!$D$6:$D$3005,Ventes_Encaissements!$B$6:$B$3005,$A165))</f>
        <v/>
      </c>
      <c r="J165" s="9">
        <f>IF($A165="","",$H165-$I165)</f>
        <v/>
      </c>
      <c r="K165" s="10">
        <f>IF($A165="","",IF($I165=0,"",_xludf.AGGREGATE(14,6,Ventes_Encaissements!$C$6:$C$3005/(Ventes_Encaissements!$B$6:$B$3005=$A165),1)))</f>
        <v/>
      </c>
      <c r="L165" s="11">
        <f>IF($A165="","",COUNTIFS(Ventes_Detail!$B$6:$B$3005,$A165))</f>
        <v/>
      </c>
      <c r="M165" s="12" t="n"/>
      <c r="N165" s="12">
        <f>IF($A165="","",IF($G165="","",IF($M165="Oui","Litige",IF($J165&lt;=0,"Payé",IF($I165&gt;0,"Partiel",IF(Listes!$B$3&gt;$G165,"En retard","À échoir"))))))</f>
        <v/>
      </c>
      <c r="O165" s="11">
        <f>IF($A165="","",IF(OR($G165="", $J165&lt;=0),0,MAX(0,Listes!$B$3-$G165)))</f>
        <v/>
      </c>
      <c r="P165" s="12">
        <f>IF($A165="","",IF($J165&lt;=0,"Payé",IF($M165="Oui","Litige",IF($O165=0,"À échoir",IF($O165&lt;=30,"0-30",IF($O165&lt;=60,"31-60",IF($O165&lt;=90,"61-90","90+")))))))</f>
        <v/>
      </c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9">
        <f>IF($A166="","",SUMIFS(Ventes_Encaissements!$D$6:$D$3005,Ventes_Encaissements!$B$6:$B$3005,$A166))</f>
        <v/>
      </c>
      <c r="J166" s="9">
        <f>IF($A166="","",$H166-$I166)</f>
        <v/>
      </c>
      <c r="K166" s="10">
        <f>IF($A166="","",IF($I166=0,"",_xludf.AGGREGATE(14,6,Ventes_Encaissements!$C$6:$C$3005/(Ventes_Encaissements!$B$6:$B$3005=$A166),1)))</f>
        <v/>
      </c>
      <c r="L166" s="11">
        <f>IF($A166="","",COUNTIFS(Ventes_Detail!$B$6:$B$3005,$A166))</f>
        <v/>
      </c>
      <c r="M166" s="12" t="n"/>
      <c r="N166" s="12">
        <f>IF($A166="","",IF($G166="","",IF($M166="Oui","Litige",IF($J166&lt;=0,"Payé",IF($I166&gt;0,"Partiel",IF(Listes!$B$3&gt;$G166,"En retard","À échoir"))))))</f>
        <v/>
      </c>
      <c r="O166" s="11">
        <f>IF($A166="","",IF(OR($G166="", $J166&lt;=0),0,MAX(0,Listes!$B$3-$G166)))</f>
        <v/>
      </c>
      <c r="P166" s="12">
        <f>IF($A166="","",IF($J166&lt;=0,"Payé",IF($M166="Oui","Litige",IF($O166=0,"À échoir",IF($O166&lt;=30,"0-30",IF($O166&lt;=60,"31-60",IF($O166&lt;=90,"61-90","90+")))))))</f>
        <v/>
      </c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9">
        <f>IF($A167="","",SUMIFS(Ventes_Encaissements!$D$6:$D$3005,Ventes_Encaissements!$B$6:$B$3005,$A167))</f>
        <v/>
      </c>
      <c r="J167" s="9">
        <f>IF($A167="","",$H167-$I167)</f>
        <v/>
      </c>
      <c r="K167" s="10">
        <f>IF($A167="","",IF($I167=0,"",_xludf.AGGREGATE(14,6,Ventes_Encaissements!$C$6:$C$3005/(Ventes_Encaissements!$B$6:$B$3005=$A167),1)))</f>
        <v/>
      </c>
      <c r="L167" s="11">
        <f>IF($A167="","",COUNTIFS(Ventes_Detail!$B$6:$B$3005,$A167))</f>
        <v/>
      </c>
      <c r="M167" s="12" t="n"/>
      <c r="N167" s="12">
        <f>IF($A167="","",IF($G167="","",IF($M167="Oui","Litige",IF($J167&lt;=0,"Payé",IF($I167&gt;0,"Partiel",IF(Listes!$B$3&gt;$G167,"En retard","À échoir"))))))</f>
        <v/>
      </c>
      <c r="O167" s="11">
        <f>IF($A167="","",IF(OR($G167="", $J167&lt;=0),0,MAX(0,Listes!$B$3-$G167)))</f>
        <v/>
      </c>
      <c r="P167" s="12">
        <f>IF($A167="","",IF($J167&lt;=0,"Payé",IF($M167="Oui","Litige",IF($O167=0,"À échoir",IF($O167&lt;=30,"0-30",IF($O167&lt;=60,"31-60",IF($O167&lt;=90,"61-90","90+")))))))</f>
        <v/>
      </c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9">
        <f>IF($A168="","",SUMIFS(Ventes_Encaissements!$D$6:$D$3005,Ventes_Encaissements!$B$6:$B$3005,$A168))</f>
        <v/>
      </c>
      <c r="J168" s="9">
        <f>IF($A168="","",$H168-$I168)</f>
        <v/>
      </c>
      <c r="K168" s="10">
        <f>IF($A168="","",IF($I168=0,"",_xludf.AGGREGATE(14,6,Ventes_Encaissements!$C$6:$C$3005/(Ventes_Encaissements!$B$6:$B$3005=$A168),1)))</f>
        <v/>
      </c>
      <c r="L168" s="11">
        <f>IF($A168="","",COUNTIFS(Ventes_Detail!$B$6:$B$3005,$A168))</f>
        <v/>
      </c>
      <c r="M168" s="12" t="n"/>
      <c r="N168" s="12">
        <f>IF($A168="","",IF($G168="","",IF($M168="Oui","Litige",IF($J168&lt;=0,"Payé",IF($I168&gt;0,"Partiel",IF(Listes!$B$3&gt;$G168,"En retard","À échoir"))))))</f>
        <v/>
      </c>
      <c r="O168" s="11">
        <f>IF($A168="","",IF(OR($G168="", $J168&lt;=0),0,MAX(0,Listes!$B$3-$G168)))</f>
        <v/>
      </c>
      <c r="P168" s="12">
        <f>IF($A168="","",IF($J168&lt;=0,"Payé",IF($M168="Oui","Litige",IF($O168=0,"À échoir",IF($O168&lt;=30,"0-30",IF($O168&lt;=60,"31-60",IF($O168&lt;=90,"61-90","90+")))))))</f>
        <v/>
      </c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9">
        <f>IF($A169="","",SUMIFS(Ventes_Encaissements!$D$6:$D$3005,Ventes_Encaissements!$B$6:$B$3005,$A169))</f>
        <v/>
      </c>
      <c r="J169" s="9">
        <f>IF($A169="","",$H169-$I169)</f>
        <v/>
      </c>
      <c r="K169" s="10">
        <f>IF($A169="","",IF($I169=0,"",_xludf.AGGREGATE(14,6,Ventes_Encaissements!$C$6:$C$3005/(Ventes_Encaissements!$B$6:$B$3005=$A169),1)))</f>
        <v/>
      </c>
      <c r="L169" s="11">
        <f>IF($A169="","",COUNTIFS(Ventes_Detail!$B$6:$B$3005,$A169))</f>
        <v/>
      </c>
      <c r="M169" s="12" t="n"/>
      <c r="N169" s="12">
        <f>IF($A169="","",IF($G169="","",IF($M169="Oui","Litige",IF($J169&lt;=0,"Payé",IF($I169&gt;0,"Partiel",IF(Listes!$B$3&gt;$G169,"En retard","À échoir"))))))</f>
        <v/>
      </c>
      <c r="O169" s="11">
        <f>IF($A169="","",IF(OR($G169="", $J169&lt;=0),0,MAX(0,Listes!$B$3-$G169)))</f>
        <v/>
      </c>
      <c r="P169" s="12">
        <f>IF($A169="","",IF($J169&lt;=0,"Payé",IF($M169="Oui","Litige",IF($O169=0,"À échoir",IF($O169&lt;=30,"0-30",IF($O169&lt;=60,"31-60",IF($O169&lt;=90,"61-90","90+")))))))</f>
        <v/>
      </c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9">
        <f>IF($A170="","",SUMIFS(Ventes_Encaissements!$D$6:$D$3005,Ventes_Encaissements!$B$6:$B$3005,$A170))</f>
        <v/>
      </c>
      <c r="J170" s="9">
        <f>IF($A170="","",$H170-$I170)</f>
        <v/>
      </c>
      <c r="K170" s="10">
        <f>IF($A170="","",IF($I170=0,"",_xludf.AGGREGATE(14,6,Ventes_Encaissements!$C$6:$C$3005/(Ventes_Encaissements!$B$6:$B$3005=$A170),1)))</f>
        <v/>
      </c>
      <c r="L170" s="11">
        <f>IF($A170="","",COUNTIFS(Ventes_Detail!$B$6:$B$3005,$A170))</f>
        <v/>
      </c>
      <c r="M170" s="12" t="n"/>
      <c r="N170" s="12">
        <f>IF($A170="","",IF($G170="","",IF($M170="Oui","Litige",IF($J170&lt;=0,"Payé",IF($I170&gt;0,"Partiel",IF(Listes!$B$3&gt;$G170,"En retard","À échoir"))))))</f>
        <v/>
      </c>
      <c r="O170" s="11">
        <f>IF($A170="","",IF(OR($G170="", $J170&lt;=0),0,MAX(0,Listes!$B$3-$G170)))</f>
        <v/>
      </c>
      <c r="P170" s="12">
        <f>IF($A170="","",IF($J170&lt;=0,"Payé",IF($M170="Oui","Litige",IF($O170=0,"À échoir",IF($O170&lt;=30,"0-30",IF($O170&lt;=60,"31-60",IF($O170&lt;=90,"61-90","90+")))))))</f>
        <v/>
      </c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9">
        <f>IF($A171="","",SUMIFS(Ventes_Encaissements!$D$6:$D$3005,Ventes_Encaissements!$B$6:$B$3005,$A171))</f>
        <v/>
      </c>
      <c r="J171" s="9">
        <f>IF($A171="","",$H171-$I171)</f>
        <v/>
      </c>
      <c r="K171" s="10">
        <f>IF($A171="","",IF($I171=0,"",_xludf.AGGREGATE(14,6,Ventes_Encaissements!$C$6:$C$3005/(Ventes_Encaissements!$B$6:$B$3005=$A171),1)))</f>
        <v/>
      </c>
      <c r="L171" s="11">
        <f>IF($A171="","",COUNTIFS(Ventes_Detail!$B$6:$B$3005,$A171))</f>
        <v/>
      </c>
      <c r="M171" s="12" t="n"/>
      <c r="N171" s="12">
        <f>IF($A171="","",IF($G171="","",IF($M171="Oui","Litige",IF($J171&lt;=0,"Payé",IF($I171&gt;0,"Partiel",IF(Listes!$B$3&gt;$G171,"En retard","À échoir"))))))</f>
        <v/>
      </c>
      <c r="O171" s="11">
        <f>IF($A171="","",IF(OR($G171="", $J171&lt;=0),0,MAX(0,Listes!$B$3-$G171)))</f>
        <v/>
      </c>
      <c r="P171" s="12">
        <f>IF($A171="","",IF($J171&lt;=0,"Payé",IF($M171="Oui","Litige",IF($O171=0,"À échoir",IF($O171&lt;=30,"0-30",IF($O171&lt;=60,"31-60",IF($O171&lt;=90,"61-90","90+")))))))</f>
        <v/>
      </c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9">
        <f>IF($A172="","",SUMIFS(Ventes_Encaissements!$D$6:$D$3005,Ventes_Encaissements!$B$6:$B$3005,$A172))</f>
        <v/>
      </c>
      <c r="J172" s="9">
        <f>IF($A172="","",$H172-$I172)</f>
        <v/>
      </c>
      <c r="K172" s="10">
        <f>IF($A172="","",IF($I172=0,"",_xludf.AGGREGATE(14,6,Ventes_Encaissements!$C$6:$C$3005/(Ventes_Encaissements!$B$6:$B$3005=$A172),1)))</f>
        <v/>
      </c>
      <c r="L172" s="11">
        <f>IF($A172="","",COUNTIFS(Ventes_Detail!$B$6:$B$3005,$A172))</f>
        <v/>
      </c>
      <c r="M172" s="12" t="n"/>
      <c r="N172" s="12">
        <f>IF($A172="","",IF($G172="","",IF($M172="Oui","Litige",IF($J172&lt;=0,"Payé",IF($I172&gt;0,"Partiel",IF(Listes!$B$3&gt;$G172,"En retard","À échoir"))))))</f>
        <v/>
      </c>
      <c r="O172" s="11">
        <f>IF($A172="","",IF(OR($G172="", $J172&lt;=0),0,MAX(0,Listes!$B$3-$G172)))</f>
        <v/>
      </c>
      <c r="P172" s="12">
        <f>IF($A172="","",IF($J172&lt;=0,"Payé",IF($M172="Oui","Litige",IF($O172=0,"À échoir",IF($O172&lt;=30,"0-30",IF($O172&lt;=60,"31-60",IF($O172&lt;=90,"61-90","90+")))))))</f>
        <v/>
      </c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9">
        <f>IF($A173="","",SUMIFS(Ventes_Encaissements!$D$6:$D$3005,Ventes_Encaissements!$B$6:$B$3005,$A173))</f>
        <v/>
      </c>
      <c r="J173" s="9">
        <f>IF($A173="","",$H173-$I173)</f>
        <v/>
      </c>
      <c r="K173" s="10">
        <f>IF($A173="","",IF($I173=0,"",_xludf.AGGREGATE(14,6,Ventes_Encaissements!$C$6:$C$3005/(Ventes_Encaissements!$B$6:$B$3005=$A173),1)))</f>
        <v/>
      </c>
      <c r="L173" s="11">
        <f>IF($A173="","",COUNTIFS(Ventes_Detail!$B$6:$B$3005,$A173))</f>
        <v/>
      </c>
      <c r="M173" s="12" t="n"/>
      <c r="N173" s="12">
        <f>IF($A173="","",IF($G173="","",IF($M173="Oui","Litige",IF($J173&lt;=0,"Payé",IF($I173&gt;0,"Partiel",IF(Listes!$B$3&gt;$G173,"En retard","À échoir"))))))</f>
        <v/>
      </c>
      <c r="O173" s="11">
        <f>IF($A173="","",IF(OR($G173="", $J173&lt;=0),0,MAX(0,Listes!$B$3-$G173)))</f>
        <v/>
      </c>
      <c r="P173" s="12">
        <f>IF($A173="","",IF($J173&lt;=0,"Payé",IF($M173="Oui","Litige",IF($O173=0,"À échoir",IF($O173&lt;=30,"0-30",IF($O173&lt;=60,"31-60",IF($O173&lt;=90,"61-90","90+")))))))</f>
        <v/>
      </c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9">
        <f>IF($A174="","",SUMIFS(Ventes_Encaissements!$D$6:$D$3005,Ventes_Encaissements!$B$6:$B$3005,$A174))</f>
        <v/>
      </c>
      <c r="J174" s="9">
        <f>IF($A174="","",$H174-$I174)</f>
        <v/>
      </c>
      <c r="K174" s="10">
        <f>IF($A174="","",IF($I174=0,"",_xludf.AGGREGATE(14,6,Ventes_Encaissements!$C$6:$C$3005/(Ventes_Encaissements!$B$6:$B$3005=$A174),1)))</f>
        <v/>
      </c>
      <c r="L174" s="11">
        <f>IF($A174="","",COUNTIFS(Ventes_Detail!$B$6:$B$3005,$A174))</f>
        <v/>
      </c>
      <c r="M174" s="12" t="n"/>
      <c r="N174" s="12">
        <f>IF($A174="","",IF($G174="","",IF($M174="Oui","Litige",IF($J174&lt;=0,"Payé",IF($I174&gt;0,"Partiel",IF(Listes!$B$3&gt;$G174,"En retard","À échoir"))))))</f>
        <v/>
      </c>
      <c r="O174" s="11">
        <f>IF($A174="","",IF(OR($G174="", $J174&lt;=0),0,MAX(0,Listes!$B$3-$G174)))</f>
        <v/>
      </c>
      <c r="P174" s="12">
        <f>IF($A174="","",IF($J174&lt;=0,"Payé",IF($M174="Oui","Litige",IF($O174=0,"À échoir",IF($O174&lt;=30,"0-30",IF($O174&lt;=60,"31-60",IF($O174&lt;=90,"61-90","90+")))))))</f>
        <v/>
      </c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9">
        <f>IF($A175="","",SUMIFS(Ventes_Encaissements!$D$6:$D$3005,Ventes_Encaissements!$B$6:$B$3005,$A175))</f>
        <v/>
      </c>
      <c r="J175" s="9">
        <f>IF($A175="","",$H175-$I175)</f>
        <v/>
      </c>
      <c r="K175" s="10">
        <f>IF($A175="","",IF($I175=0,"",_xludf.AGGREGATE(14,6,Ventes_Encaissements!$C$6:$C$3005/(Ventes_Encaissements!$B$6:$B$3005=$A175),1)))</f>
        <v/>
      </c>
      <c r="L175" s="11">
        <f>IF($A175="","",COUNTIFS(Ventes_Detail!$B$6:$B$3005,$A175))</f>
        <v/>
      </c>
      <c r="M175" s="12" t="n"/>
      <c r="N175" s="12">
        <f>IF($A175="","",IF($G175="","",IF($M175="Oui","Litige",IF($J175&lt;=0,"Payé",IF($I175&gt;0,"Partiel",IF(Listes!$B$3&gt;$G175,"En retard","À échoir"))))))</f>
        <v/>
      </c>
      <c r="O175" s="11">
        <f>IF($A175="","",IF(OR($G175="", $J175&lt;=0),0,MAX(0,Listes!$B$3-$G175)))</f>
        <v/>
      </c>
      <c r="P175" s="12">
        <f>IF($A175="","",IF($J175&lt;=0,"Payé",IF($M175="Oui","Litige",IF($O175=0,"À échoir",IF($O175&lt;=30,"0-30",IF($O175&lt;=60,"31-60",IF($O175&lt;=90,"61-90","90+")))))))</f>
        <v/>
      </c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9">
        <f>IF($A176="","",SUMIFS(Ventes_Encaissements!$D$6:$D$3005,Ventes_Encaissements!$B$6:$B$3005,$A176))</f>
        <v/>
      </c>
      <c r="J176" s="9">
        <f>IF($A176="","",$H176-$I176)</f>
        <v/>
      </c>
      <c r="K176" s="10">
        <f>IF($A176="","",IF($I176=0,"",_xludf.AGGREGATE(14,6,Ventes_Encaissements!$C$6:$C$3005/(Ventes_Encaissements!$B$6:$B$3005=$A176),1)))</f>
        <v/>
      </c>
      <c r="L176" s="11">
        <f>IF($A176="","",COUNTIFS(Ventes_Detail!$B$6:$B$3005,$A176))</f>
        <v/>
      </c>
      <c r="M176" s="12" t="n"/>
      <c r="N176" s="12">
        <f>IF($A176="","",IF($G176="","",IF($M176="Oui","Litige",IF($J176&lt;=0,"Payé",IF($I176&gt;0,"Partiel",IF(Listes!$B$3&gt;$G176,"En retard","À échoir"))))))</f>
        <v/>
      </c>
      <c r="O176" s="11">
        <f>IF($A176="","",IF(OR($G176="", $J176&lt;=0),0,MAX(0,Listes!$B$3-$G176)))</f>
        <v/>
      </c>
      <c r="P176" s="12">
        <f>IF($A176="","",IF($J176&lt;=0,"Payé",IF($M176="Oui","Litige",IF($O176=0,"À échoir",IF($O176&lt;=30,"0-30",IF($O176&lt;=60,"31-60",IF($O176&lt;=90,"61-90","90+")))))))</f>
        <v/>
      </c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9">
        <f>IF($A177="","",SUMIFS(Ventes_Encaissements!$D$6:$D$3005,Ventes_Encaissements!$B$6:$B$3005,$A177))</f>
        <v/>
      </c>
      <c r="J177" s="9">
        <f>IF($A177="","",$H177-$I177)</f>
        <v/>
      </c>
      <c r="K177" s="10">
        <f>IF($A177="","",IF($I177=0,"",_xludf.AGGREGATE(14,6,Ventes_Encaissements!$C$6:$C$3005/(Ventes_Encaissements!$B$6:$B$3005=$A177),1)))</f>
        <v/>
      </c>
      <c r="L177" s="11">
        <f>IF($A177="","",COUNTIFS(Ventes_Detail!$B$6:$B$3005,$A177))</f>
        <v/>
      </c>
      <c r="M177" s="12" t="n"/>
      <c r="N177" s="12">
        <f>IF($A177="","",IF($G177="","",IF($M177="Oui","Litige",IF($J177&lt;=0,"Payé",IF($I177&gt;0,"Partiel",IF(Listes!$B$3&gt;$G177,"En retard","À échoir"))))))</f>
        <v/>
      </c>
      <c r="O177" s="11">
        <f>IF($A177="","",IF(OR($G177="", $J177&lt;=0),0,MAX(0,Listes!$B$3-$G177)))</f>
        <v/>
      </c>
      <c r="P177" s="12">
        <f>IF($A177="","",IF($J177&lt;=0,"Payé",IF($M177="Oui","Litige",IF($O177=0,"À échoir",IF($O177&lt;=30,"0-30",IF($O177&lt;=60,"31-60",IF($O177&lt;=90,"61-90","90+")))))))</f>
        <v/>
      </c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9">
        <f>IF($A178="","",SUMIFS(Ventes_Encaissements!$D$6:$D$3005,Ventes_Encaissements!$B$6:$B$3005,$A178))</f>
        <v/>
      </c>
      <c r="J178" s="9">
        <f>IF($A178="","",$H178-$I178)</f>
        <v/>
      </c>
      <c r="K178" s="10">
        <f>IF($A178="","",IF($I178=0,"",_xludf.AGGREGATE(14,6,Ventes_Encaissements!$C$6:$C$3005/(Ventes_Encaissements!$B$6:$B$3005=$A178),1)))</f>
        <v/>
      </c>
      <c r="L178" s="11">
        <f>IF($A178="","",COUNTIFS(Ventes_Detail!$B$6:$B$3005,$A178))</f>
        <v/>
      </c>
      <c r="M178" s="12" t="n"/>
      <c r="N178" s="12">
        <f>IF($A178="","",IF($G178="","",IF($M178="Oui","Litige",IF($J178&lt;=0,"Payé",IF($I178&gt;0,"Partiel",IF(Listes!$B$3&gt;$G178,"En retard","À échoir"))))))</f>
        <v/>
      </c>
      <c r="O178" s="11">
        <f>IF($A178="","",IF(OR($G178="", $J178&lt;=0),0,MAX(0,Listes!$B$3-$G178)))</f>
        <v/>
      </c>
      <c r="P178" s="12">
        <f>IF($A178="","",IF($J178&lt;=0,"Payé",IF($M178="Oui","Litige",IF($O178=0,"À échoir",IF($O178&lt;=30,"0-30",IF($O178&lt;=60,"31-60",IF($O178&lt;=90,"61-90","90+")))))))</f>
        <v/>
      </c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9">
        <f>IF($A179="","",SUMIFS(Ventes_Encaissements!$D$6:$D$3005,Ventes_Encaissements!$B$6:$B$3005,$A179))</f>
        <v/>
      </c>
      <c r="J179" s="9">
        <f>IF($A179="","",$H179-$I179)</f>
        <v/>
      </c>
      <c r="K179" s="10">
        <f>IF($A179="","",IF($I179=0,"",_xludf.AGGREGATE(14,6,Ventes_Encaissements!$C$6:$C$3005/(Ventes_Encaissements!$B$6:$B$3005=$A179),1)))</f>
        <v/>
      </c>
      <c r="L179" s="11">
        <f>IF($A179="","",COUNTIFS(Ventes_Detail!$B$6:$B$3005,$A179))</f>
        <v/>
      </c>
      <c r="M179" s="12" t="n"/>
      <c r="N179" s="12">
        <f>IF($A179="","",IF($G179="","",IF($M179="Oui","Litige",IF($J179&lt;=0,"Payé",IF($I179&gt;0,"Partiel",IF(Listes!$B$3&gt;$G179,"En retard","À échoir"))))))</f>
        <v/>
      </c>
      <c r="O179" s="11">
        <f>IF($A179="","",IF(OR($G179="", $J179&lt;=0),0,MAX(0,Listes!$B$3-$G179)))</f>
        <v/>
      </c>
      <c r="P179" s="12">
        <f>IF($A179="","",IF($J179&lt;=0,"Payé",IF($M179="Oui","Litige",IF($O179=0,"À échoir",IF($O179&lt;=30,"0-30",IF($O179&lt;=60,"31-60",IF($O179&lt;=90,"61-90","90+")))))))</f>
        <v/>
      </c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9">
        <f>IF($A180="","",SUMIFS(Ventes_Encaissements!$D$6:$D$3005,Ventes_Encaissements!$B$6:$B$3005,$A180))</f>
        <v/>
      </c>
      <c r="J180" s="9">
        <f>IF($A180="","",$H180-$I180)</f>
        <v/>
      </c>
      <c r="K180" s="10">
        <f>IF($A180="","",IF($I180=0,"",_xludf.AGGREGATE(14,6,Ventes_Encaissements!$C$6:$C$3005/(Ventes_Encaissements!$B$6:$B$3005=$A180),1)))</f>
        <v/>
      </c>
      <c r="L180" s="11">
        <f>IF($A180="","",COUNTIFS(Ventes_Detail!$B$6:$B$3005,$A180))</f>
        <v/>
      </c>
      <c r="M180" s="12" t="n"/>
      <c r="N180" s="12">
        <f>IF($A180="","",IF($G180="","",IF($M180="Oui","Litige",IF($J180&lt;=0,"Payé",IF($I180&gt;0,"Partiel",IF(Listes!$B$3&gt;$G180,"En retard","À échoir"))))))</f>
        <v/>
      </c>
      <c r="O180" s="11">
        <f>IF($A180="","",IF(OR($G180="", $J180&lt;=0),0,MAX(0,Listes!$B$3-$G180)))</f>
        <v/>
      </c>
      <c r="P180" s="12">
        <f>IF($A180="","",IF($J180&lt;=0,"Payé",IF($M180="Oui","Litige",IF($O180=0,"À échoir",IF($O180&lt;=30,"0-30",IF($O180&lt;=60,"31-60",IF($O180&lt;=90,"61-90","90+")))))))</f>
        <v/>
      </c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9">
        <f>IF($A181="","",SUMIFS(Ventes_Encaissements!$D$6:$D$3005,Ventes_Encaissements!$B$6:$B$3005,$A181))</f>
        <v/>
      </c>
      <c r="J181" s="9">
        <f>IF($A181="","",$H181-$I181)</f>
        <v/>
      </c>
      <c r="K181" s="10">
        <f>IF($A181="","",IF($I181=0,"",_xludf.AGGREGATE(14,6,Ventes_Encaissements!$C$6:$C$3005/(Ventes_Encaissements!$B$6:$B$3005=$A181),1)))</f>
        <v/>
      </c>
      <c r="L181" s="11">
        <f>IF($A181="","",COUNTIFS(Ventes_Detail!$B$6:$B$3005,$A181))</f>
        <v/>
      </c>
      <c r="M181" s="12" t="n"/>
      <c r="N181" s="12">
        <f>IF($A181="","",IF($G181="","",IF($M181="Oui","Litige",IF($J181&lt;=0,"Payé",IF($I181&gt;0,"Partiel",IF(Listes!$B$3&gt;$G181,"En retard","À échoir"))))))</f>
        <v/>
      </c>
      <c r="O181" s="11">
        <f>IF($A181="","",IF(OR($G181="", $J181&lt;=0),0,MAX(0,Listes!$B$3-$G181)))</f>
        <v/>
      </c>
      <c r="P181" s="12">
        <f>IF($A181="","",IF($J181&lt;=0,"Payé",IF($M181="Oui","Litige",IF($O181=0,"À échoir",IF($O181&lt;=30,"0-30",IF($O181&lt;=60,"31-60",IF($O181&lt;=90,"61-90","90+")))))))</f>
        <v/>
      </c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9">
        <f>IF($A182="","",SUMIFS(Ventes_Encaissements!$D$6:$D$3005,Ventes_Encaissements!$B$6:$B$3005,$A182))</f>
        <v/>
      </c>
      <c r="J182" s="9">
        <f>IF($A182="","",$H182-$I182)</f>
        <v/>
      </c>
      <c r="K182" s="10">
        <f>IF($A182="","",IF($I182=0,"",_xludf.AGGREGATE(14,6,Ventes_Encaissements!$C$6:$C$3005/(Ventes_Encaissements!$B$6:$B$3005=$A182),1)))</f>
        <v/>
      </c>
      <c r="L182" s="11">
        <f>IF($A182="","",COUNTIFS(Ventes_Detail!$B$6:$B$3005,$A182))</f>
        <v/>
      </c>
      <c r="M182" s="12" t="n"/>
      <c r="N182" s="12">
        <f>IF($A182="","",IF($G182="","",IF($M182="Oui","Litige",IF($J182&lt;=0,"Payé",IF($I182&gt;0,"Partiel",IF(Listes!$B$3&gt;$G182,"En retard","À échoir"))))))</f>
        <v/>
      </c>
      <c r="O182" s="11">
        <f>IF($A182="","",IF(OR($G182="", $J182&lt;=0),0,MAX(0,Listes!$B$3-$G182)))</f>
        <v/>
      </c>
      <c r="P182" s="12">
        <f>IF($A182="","",IF($J182&lt;=0,"Payé",IF($M182="Oui","Litige",IF($O182=0,"À échoir",IF($O182&lt;=30,"0-30",IF($O182&lt;=60,"31-60",IF($O182&lt;=90,"61-90","90+")))))))</f>
        <v/>
      </c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9">
        <f>IF($A183="","",SUMIFS(Ventes_Encaissements!$D$6:$D$3005,Ventes_Encaissements!$B$6:$B$3005,$A183))</f>
        <v/>
      </c>
      <c r="J183" s="9">
        <f>IF($A183="","",$H183-$I183)</f>
        <v/>
      </c>
      <c r="K183" s="10">
        <f>IF($A183="","",IF($I183=0,"",_xludf.AGGREGATE(14,6,Ventes_Encaissements!$C$6:$C$3005/(Ventes_Encaissements!$B$6:$B$3005=$A183),1)))</f>
        <v/>
      </c>
      <c r="L183" s="11">
        <f>IF($A183="","",COUNTIFS(Ventes_Detail!$B$6:$B$3005,$A183))</f>
        <v/>
      </c>
      <c r="M183" s="12" t="n"/>
      <c r="N183" s="12">
        <f>IF($A183="","",IF($G183="","",IF($M183="Oui","Litige",IF($J183&lt;=0,"Payé",IF($I183&gt;0,"Partiel",IF(Listes!$B$3&gt;$G183,"En retard","À échoir"))))))</f>
        <v/>
      </c>
      <c r="O183" s="11">
        <f>IF($A183="","",IF(OR($G183="", $J183&lt;=0),0,MAX(0,Listes!$B$3-$G183)))</f>
        <v/>
      </c>
      <c r="P183" s="12">
        <f>IF($A183="","",IF($J183&lt;=0,"Payé",IF($M183="Oui","Litige",IF($O183=0,"À échoir",IF($O183&lt;=30,"0-30",IF($O183&lt;=60,"31-60",IF($O183&lt;=90,"61-90","90+")))))))</f>
        <v/>
      </c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9">
        <f>IF($A184="","",SUMIFS(Ventes_Encaissements!$D$6:$D$3005,Ventes_Encaissements!$B$6:$B$3005,$A184))</f>
        <v/>
      </c>
      <c r="J184" s="9">
        <f>IF($A184="","",$H184-$I184)</f>
        <v/>
      </c>
      <c r="K184" s="10">
        <f>IF($A184="","",IF($I184=0,"",_xludf.AGGREGATE(14,6,Ventes_Encaissements!$C$6:$C$3005/(Ventes_Encaissements!$B$6:$B$3005=$A184),1)))</f>
        <v/>
      </c>
      <c r="L184" s="11">
        <f>IF($A184="","",COUNTIFS(Ventes_Detail!$B$6:$B$3005,$A184))</f>
        <v/>
      </c>
      <c r="M184" s="12" t="n"/>
      <c r="N184" s="12">
        <f>IF($A184="","",IF($G184="","",IF($M184="Oui","Litige",IF($J184&lt;=0,"Payé",IF($I184&gt;0,"Partiel",IF(Listes!$B$3&gt;$G184,"En retard","À échoir"))))))</f>
        <v/>
      </c>
      <c r="O184" s="11">
        <f>IF($A184="","",IF(OR($G184="", $J184&lt;=0),0,MAX(0,Listes!$B$3-$G184)))</f>
        <v/>
      </c>
      <c r="P184" s="12">
        <f>IF($A184="","",IF($J184&lt;=0,"Payé",IF($M184="Oui","Litige",IF($O184=0,"À échoir",IF($O184&lt;=30,"0-30",IF($O184&lt;=60,"31-60",IF($O184&lt;=90,"61-90","90+")))))))</f>
        <v/>
      </c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9">
        <f>IF($A185="","",SUMIFS(Ventes_Encaissements!$D$6:$D$3005,Ventes_Encaissements!$B$6:$B$3005,$A185))</f>
        <v/>
      </c>
      <c r="J185" s="9">
        <f>IF($A185="","",$H185-$I185)</f>
        <v/>
      </c>
      <c r="K185" s="10">
        <f>IF($A185="","",IF($I185=0,"",_xludf.AGGREGATE(14,6,Ventes_Encaissements!$C$6:$C$3005/(Ventes_Encaissements!$B$6:$B$3005=$A185),1)))</f>
        <v/>
      </c>
      <c r="L185" s="11">
        <f>IF($A185="","",COUNTIFS(Ventes_Detail!$B$6:$B$3005,$A185))</f>
        <v/>
      </c>
      <c r="M185" s="12" t="n"/>
      <c r="N185" s="12">
        <f>IF($A185="","",IF($G185="","",IF($M185="Oui","Litige",IF($J185&lt;=0,"Payé",IF($I185&gt;0,"Partiel",IF(Listes!$B$3&gt;$G185,"En retard","À échoir"))))))</f>
        <v/>
      </c>
      <c r="O185" s="11">
        <f>IF($A185="","",IF(OR($G185="", $J185&lt;=0),0,MAX(0,Listes!$B$3-$G185)))</f>
        <v/>
      </c>
      <c r="P185" s="12">
        <f>IF($A185="","",IF($J185&lt;=0,"Payé",IF($M185="Oui","Litige",IF($O185=0,"À échoir",IF($O185&lt;=30,"0-30",IF($O185&lt;=60,"31-60",IF($O185&lt;=90,"61-90","90+")))))))</f>
        <v/>
      </c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9">
        <f>IF($A186="","",SUMIFS(Ventes_Encaissements!$D$6:$D$3005,Ventes_Encaissements!$B$6:$B$3005,$A186))</f>
        <v/>
      </c>
      <c r="J186" s="9">
        <f>IF($A186="","",$H186-$I186)</f>
        <v/>
      </c>
      <c r="K186" s="10">
        <f>IF($A186="","",IF($I186=0,"",_xludf.AGGREGATE(14,6,Ventes_Encaissements!$C$6:$C$3005/(Ventes_Encaissements!$B$6:$B$3005=$A186),1)))</f>
        <v/>
      </c>
      <c r="L186" s="11">
        <f>IF($A186="","",COUNTIFS(Ventes_Detail!$B$6:$B$3005,$A186))</f>
        <v/>
      </c>
      <c r="M186" s="12" t="n"/>
      <c r="N186" s="12">
        <f>IF($A186="","",IF($G186="","",IF($M186="Oui","Litige",IF($J186&lt;=0,"Payé",IF($I186&gt;0,"Partiel",IF(Listes!$B$3&gt;$G186,"En retard","À échoir"))))))</f>
        <v/>
      </c>
      <c r="O186" s="11">
        <f>IF($A186="","",IF(OR($G186="", $J186&lt;=0),0,MAX(0,Listes!$B$3-$G186)))</f>
        <v/>
      </c>
      <c r="P186" s="12">
        <f>IF($A186="","",IF($J186&lt;=0,"Payé",IF($M186="Oui","Litige",IF($O186=0,"À échoir",IF($O186&lt;=30,"0-30",IF($O186&lt;=60,"31-60",IF($O186&lt;=90,"61-90","90+")))))))</f>
        <v/>
      </c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9">
        <f>IF($A187="","",SUMIFS(Ventes_Encaissements!$D$6:$D$3005,Ventes_Encaissements!$B$6:$B$3005,$A187))</f>
        <v/>
      </c>
      <c r="J187" s="9">
        <f>IF($A187="","",$H187-$I187)</f>
        <v/>
      </c>
      <c r="K187" s="10">
        <f>IF($A187="","",IF($I187=0,"",_xludf.AGGREGATE(14,6,Ventes_Encaissements!$C$6:$C$3005/(Ventes_Encaissements!$B$6:$B$3005=$A187),1)))</f>
        <v/>
      </c>
      <c r="L187" s="11">
        <f>IF($A187="","",COUNTIFS(Ventes_Detail!$B$6:$B$3005,$A187))</f>
        <v/>
      </c>
      <c r="M187" s="12" t="n"/>
      <c r="N187" s="12">
        <f>IF($A187="","",IF($G187="","",IF($M187="Oui","Litige",IF($J187&lt;=0,"Payé",IF($I187&gt;0,"Partiel",IF(Listes!$B$3&gt;$G187,"En retard","À échoir"))))))</f>
        <v/>
      </c>
      <c r="O187" s="11">
        <f>IF($A187="","",IF(OR($G187="", $J187&lt;=0),0,MAX(0,Listes!$B$3-$G187)))</f>
        <v/>
      </c>
      <c r="P187" s="12">
        <f>IF($A187="","",IF($J187&lt;=0,"Payé",IF($M187="Oui","Litige",IF($O187=0,"À échoir",IF($O187&lt;=30,"0-30",IF($O187&lt;=60,"31-60",IF($O187&lt;=90,"61-90","90+")))))))</f>
        <v/>
      </c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9">
        <f>IF($A188="","",SUMIFS(Ventes_Encaissements!$D$6:$D$3005,Ventes_Encaissements!$B$6:$B$3005,$A188))</f>
        <v/>
      </c>
      <c r="J188" s="9">
        <f>IF($A188="","",$H188-$I188)</f>
        <v/>
      </c>
      <c r="K188" s="10">
        <f>IF($A188="","",IF($I188=0,"",_xludf.AGGREGATE(14,6,Ventes_Encaissements!$C$6:$C$3005/(Ventes_Encaissements!$B$6:$B$3005=$A188),1)))</f>
        <v/>
      </c>
      <c r="L188" s="11">
        <f>IF($A188="","",COUNTIFS(Ventes_Detail!$B$6:$B$3005,$A188))</f>
        <v/>
      </c>
      <c r="M188" s="12" t="n"/>
      <c r="N188" s="12">
        <f>IF($A188="","",IF($G188="","",IF($M188="Oui","Litige",IF($J188&lt;=0,"Payé",IF($I188&gt;0,"Partiel",IF(Listes!$B$3&gt;$G188,"En retard","À échoir"))))))</f>
        <v/>
      </c>
      <c r="O188" s="11">
        <f>IF($A188="","",IF(OR($G188="", $J188&lt;=0),0,MAX(0,Listes!$B$3-$G188)))</f>
        <v/>
      </c>
      <c r="P188" s="12">
        <f>IF($A188="","",IF($J188&lt;=0,"Payé",IF($M188="Oui","Litige",IF($O188=0,"À échoir",IF($O188&lt;=30,"0-30",IF($O188&lt;=60,"31-60",IF($O188&lt;=90,"61-90","90+")))))))</f>
        <v/>
      </c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9">
        <f>IF($A189="","",SUMIFS(Ventes_Encaissements!$D$6:$D$3005,Ventes_Encaissements!$B$6:$B$3005,$A189))</f>
        <v/>
      </c>
      <c r="J189" s="9">
        <f>IF($A189="","",$H189-$I189)</f>
        <v/>
      </c>
      <c r="K189" s="10">
        <f>IF($A189="","",IF($I189=0,"",_xludf.AGGREGATE(14,6,Ventes_Encaissements!$C$6:$C$3005/(Ventes_Encaissements!$B$6:$B$3005=$A189),1)))</f>
        <v/>
      </c>
      <c r="L189" s="11">
        <f>IF($A189="","",COUNTIFS(Ventes_Detail!$B$6:$B$3005,$A189))</f>
        <v/>
      </c>
      <c r="M189" s="12" t="n"/>
      <c r="N189" s="12">
        <f>IF($A189="","",IF($G189="","",IF($M189="Oui","Litige",IF($J189&lt;=0,"Payé",IF($I189&gt;0,"Partiel",IF(Listes!$B$3&gt;$G189,"En retard","À échoir"))))))</f>
        <v/>
      </c>
      <c r="O189" s="11">
        <f>IF($A189="","",IF(OR($G189="", $J189&lt;=0),0,MAX(0,Listes!$B$3-$G189)))</f>
        <v/>
      </c>
      <c r="P189" s="12">
        <f>IF($A189="","",IF($J189&lt;=0,"Payé",IF($M189="Oui","Litige",IF($O189=0,"À échoir",IF($O189&lt;=30,"0-30",IF($O189&lt;=60,"31-60",IF($O189&lt;=90,"61-90","90+")))))))</f>
        <v/>
      </c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9">
        <f>IF($A190="","",SUMIFS(Ventes_Encaissements!$D$6:$D$3005,Ventes_Encaissements!$B$6:$B$3005,$A190))</f>
        <v/>
      </c>
      <c r="J190" s="9">
        <f>IF($A190="","",$H190-$I190)</f>
        <v/>
      </c>
      <c r="K190" s="10">
        <f>IF($A190="","",IF($I190=0,"",_xludf.AGGREGATE(14,6,Ventes_Encaissements!$C$6:$C$3005/(Ventes_Encaissements!$B$6:$B$3005=$A190),1)))</f>
        <v/>
      </c>
      <c r="L190" s="11">
        <f>IF($A190="","",COUNTIFS(Ventes_Detail!$B$6:$B$3005,$A190))</f>
        <v/>
      </c>
      <c r="M190" s="12" t="n"/>
      <c r="N190" s="12">
        <f>IF($A190="","",IF($G190="","",IF($M190="Oui","Litige",IF($J190&lt;=0,"Payé",IF($I190&gt;0,"Partiel",IF(Listes!$B$3&gt;$G190,"En retard","À échoir"))))))</f>
        <v/>
      </c>
      <c r="O190" s="11">
        <f>IF($A190="","",IF(OR($G190="", $J190&lt;=0),0,MAX(0,Listes!$B$3-$G190)))</f>
        <v/>
      </c>
      <c r="P190" s="12">
        <f>IF($A190="","",IF($J190&lt;=0,"Payé",IF($M190="Oui","Litige",IF($O190=0,"À échoir",IF($O190&lt;=30,"0-30",IF($O190&lt;=60,"31-60",IF($O190&lt;=90,"61-90","90+")))))))</f>
        <v/>
      </c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9">
        <f>IF($A191="","",SUMIFS(Ventes_Encaissements!$D$6:$D$3005,Ventes_Encaissements!$B$6:$B$3005,$A191))</f>
        <v/>
      </c>
      <c r="J191" s="9">
        <f>IF($A191="","",$H191-$I191)</f>
        <v/>
      </c>
      <c r="K191" s="10">
        <f>IF($A191="","",IF($I191=0,"",_xludf.AGGREGATE(14,6,Ventes_Encaissements!$C$6:$C$3005/(Ventes_Encaissements!$B$6:$B$3005=$A191),1)))</f>
        <v/>
      </c>
      <c r="L191" s="11">
        <f>IF($A191="","",COUNTIFS(Ventes_Detail!$B$6:$B$3005,$A191))</f>
        <v/>
      </c>
      <c r="M191" s="12" t="n"/>
      <c r="N191" s="12">
        <f>IF($A191="","",IF($G191="","",IF($M191="Oui","Litige",IF($J191&lt;=0,"Payé",IF($I191&gt;0,"Partiel",IF(Listes!$B$3&gt;$G191,"En retard","À échoir"))))))</f>
        <v/>
      </c>
      <c r="O191" s="11">
        <f>IF($A191="","",IF(OR($G191="", $J191&lt;=0),0,MAX(0,Listes!$B$3-$G191)))</f>
        <v/>
      </c>
      <c r="P191" s="12">
        <f>IF($A191="","",IF($J191&lt;=0,"Payé",IF($M191="Oui","Litige",IF($O191=0,"À échoir",IF($O191&lt;=30,"0-30",IF($O191&lt;=60,"31-60",IF($O191&lt;=90,"61-90","90+")))))))</f>
        <v/>
      </c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9">
        <f>IF($A192="","",SUMIFS(Ventes_Encaissements!$D$6:$D$3005,Ventes_Encaissements!$B$6:$B$3005,$A192))</f>
        <v/>
      </c>
      <c r="J192" s="9">
        <f>IF($A192="","",$H192-$I192)</f>
        <v/>
      </c>
      <c r="K192" s="10">
        <f>IF($A192="","",IF($I192=0,"",_xludf.AGGREGATE(14,6,Ventes_Encaissements!$C$6:$C$3005/(Ventes_Encaissements!$B$6:$B$3005=$A192),1)))</f>
        <v/>
      </c>
      <c r="L192" s="11">
        <f>IF($A192="","",COUNTIFS(Ventes_Detail!$B$6:$B$3005,$A192))</f>
        <v/>
      </c>
      <c r="M192" s="12" t="n"/>
      <c r="N192" s="12">
        <f>IF($A192="","",IF($G192="","",IF($M192="Oui","Litige",IF($J192&lt;=0,"Payé",IF($I192&gt;0,"Partiel",IF(Listes!$B$3&gt;$G192,"En retard","À échoir"))))))</f>
        <v/>
      </c>
      <c r="O192" s="11">
        <f>IF($A192="","",IF(OR($G192="", $J192&lt;=0),0,MAX(0,Listes!$B$3-$G192)))</f>
        <v/>
      </c>
      <c r="P192" s="12">
        <f>IF($A192="","",IF($J192&lt;=0,"Payé",IF($M192="Oui","Litige",IF($O192=0,"À échoir",IF($O192&lt;=30,"0-30",IF($O192&lt;=60,"31-60",IF($O192&lt;=90,"61-90","90+")))))))</f>
        <v/>
      </c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9">
        <f>IF($A193="","",SUMIFS(Ventes_Encaissements!$D$6:$D$3005,Ventes_Encaissements!$B$6:$B$3005,$A193))</f>
        <v/>
      </c>
      <c r="J193" s="9">
        <f>IF($A193="","",$H193-$I193)</f>
        <v/>
      </c>
      <c r="K193" s="10">
        <f>IF($A193="","",IF($I193=0,"",_xludf.AGGREGATE(14,6,Ventes_Encaissements!$C$6:$C$3005/(Ventes_Encaissements!$B$6:$B$3005=$A193),1)))</f>
        <v/>
      </c>
      <c r="L193" s="11">
        <f>IF($A193="","",COUNTIFS(Ventes_Detail!$B$6:$B$3005,$A193))</f>
        <v/>
      </c>
      <c r="M193" s="12" t="n"/>
      <c r="N193" s="12">
        <f>IF($A193="","",IF($G193="","",IF($M193="Oui","Litige",IF($J193&lt;=0,"Payé",IF($I193&gt;0,"Partiel",IF(Listes!$B$3&gt;$G193,"En retard","À échoir"))))))</f>
        <v/>
      </c>
      <c r="O193" s="11">
        <f>IF($A193="","",IF(OR($G193="", $J193&lt;=0),0,MAX(0,Listes!$B$3-$G193)))</f>
        <v/>
      </c>
      <c r="P193" s="12">
        <f>IF($A193="","",IF($J193&lt;=0,"Payé",IF($M193="Oui","Litige",IF($O193=0,"À échoir",IF($O193&lt;=30,"0-30",IF($O193&lt;=60,"31-60",IF($O193&lt;=90,"61-90","90+")))))))</f>
        <v/>
      </c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9">
        <f>IF($A194="","",SUMIFS(Ventes_Encaissements!$D$6:$D$3005,Ventes_Encaissements!$B$6:$B$3005,$A194))</f>
        <v/>
      </c>
      <c r="J194" s="9">
        <f>IF($A194="","",$H194-$I194)</f>
        <v/>
      </c>
      <c r="K194" s="10">
        <f>IF($A194="","",IF($I194=0,"",_xludf.AGGREGATE(14,6,Ventes_Encaissements!$C$6:$C$3005/(Ventes_Encaissements!$B$6:$B$3005=$A194),1)))</f>
        <v/>
      </c>
      <c r="L194" s="11">
        <f>IF($A194="","",COUNTIFS(Ventes_Detail!$B$6:$B$3005,$A194))</f>
        <v/>
      </c>
      <c r="M194" s="12" t="n"/>
      <c r="N194" s="12">
        <f>IF($A194="","",IF($G194="","",IF($M194="Oui","Litige",IF($J194&lt;=0,"Payé",IF($I194&gt;0,"Partiel",IF(Listes!$B$3&gt;$G194,"En retard","À échoir"))))))</f>
        <v/>
      </c>
      <c r="O194" s="11">
        <f>IF($A194="","",IF(OR($G194="", $J194&lt;=0),0,MAX(0,Listes!$B$3-$G194)))</f>
        <v/>
      </c>
      <c r="P194" s="12">
        <f>IF($A194="","",IF($J194&lt;=0,"Payé",IF($M194="Oui","Litige",IF($O194=0,"À échoir",IF($O194&lt;=30,"0-30",IF($O194&lt;=60,"31-60",IF($O194&lt;=90,"61-90","90+")))))))</f>
        <v/>
      </c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9">
        <f>IF($A195="","",SUMIFS(Ventes_Encaissements!$D$6:$D$3005,Ventes_Encaissements!$B$6:$B$3005,$A195))</f>
        <v/>
      </c>
      <c r="J195" s="9">
        <f>IF($A195="","",$H195-$I195)</f>
        <v/>
      </c>
      <c r="K195" s="10">
        <f>IF($A195="","",IF($I195=0,"",_xludf.AGGREGATE(14,6,Ventes_Encaissements!$C$6:$C$3005/(Ventes_Encaissements!$B$6:$B$3005=$A195),1)))</f>
        <v/>
      </c>
      <c r="L195" s="11">
        <f>IF($A195="","",COUNTIFS(Ventes_Detail!$B$6:$B$3005,$A195))</f>
        <v/>
      </c>
      <c r="M195" s="12" t="n"/>
      <c r="N195" s="12">
        <f>IF($A195="","",IF($G195="","",IF($M195="Oui","Litige",IF($J195&lt;=0,"Payé",IF($I195&gt;0,"Partiel",IF(Listes!$B$3&gt;$G195,"En retard","À échoir"))))))</f>
        <v/>
      </c>
      <c r="O195" s="11">
        <f>IF($A195="","",IF(OR($G195="", $J195&lt;=0),0,MAX(0,Listes!$B$3-$G195)))</f>
        <v/>
      </c>
      <c r="P195" s="12">
        <f>IF($A195="","",IF($J195&lt;=0,"Payé",IF($M195="Oui","Litige",IF($O195=0,"À échoir",IF($O195&lt;=30,"0-30",IF($O195&lt;=60,"31-60",IF($O195&lt;=90,"61-90","90+")))))))</f>
        <v/>
      </c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9">
        <f>IF($A196="","",SUMIFS(Ventes_Encaissements!$D$6:$D$3005,Ventes_Encaissements!$B$6:$B$3005,$A196))</f>
        <v/>
      </c>
      <c r="J196" s="9">
        <f>IF($A196="","",$H196-$I196)</f>
        <v/>
      </c>
      <c r="K196" s="10">
        <f>IF($A196="","",IF($I196=0,"",_xludf.AGGREGATE(14,6,Ventes_Encaissements!$C$6:$C$3005/(Ventes_Encaissements!$B$6:$B$3005=$A196),1)))</f>
        <v/>
      </c>
      <c r="L196" s="11">
        <f>IF($A196="","",COUNTIFS(Ventes_Detail!$B$6:$B$3005,$A196))</f>
        <v/>
      </c>
      <c r="M196" s="12" t="n"/>
      <c r="N196" s="12">
        <f>IF($A196="","",IF($G196="","",IF($M196="Oui","Litige",IF($J196&lt;=0,"Payé",IF($I196&gt;0,"Partiel",IF(Listes!$B$3&gt;$G196,"En retard","À échoir"))))))</f>
        <v/>
      </c>
      <c r="O196" s="11">
        <f>IF($A196="","",IF(OR($G196="", $J196&lt;=0),0,MAX(0,Listes!$B$3-$G196)))</f>
        <v/>
      </c>
      <c r="P196" s="12">
        <f>IF($A196="","",IF($J196&lt;=0,"Payé",IF($M196="Oui","Litige",IF($O196=0,"À échoir",IF($O196&lt;=30,"0-30",IF($O196&lt;=60,"31-60",IF($O196&lt;=90,"61-90","90+")))))))</f>
        <v/>
      </c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9">
        <f>IF($A197="","",SUMIFS(Ventes_Encaissements!$D$6:$D$3005,Ventes_Encaissements!$B$6:$B$3005,$A197))</f>
        <v/>
      </c>
      <c r="J197" s="9">
        <f>IF($A197="","",$H197-$I197)</f>
        <v/>
      </c>
      <c r="K197" s="10">
        <f>IF($A197="","",IF($I197=0,"",_xludf.AGGREGATE(14,6,Ventes_Encaissements!$C$6:$C$3005/(Ventes_Encaissements!$B$6:$B$3005=$A197),1)))</f>
        <v/>
      </c>
      <c r="L197" s="11">
        <f>IF($A197="","",COUNTIFS(Ventes_Detail!$B$6:$B$3005,$A197))</f>
        <v/>
      </c>
      <c r="M197" s="12" t="n"/>
      <c r="N197" s="12">
        <f>IF($A197="","",IF($G197="","",IF($M197="Oui","Litige",IF($J197&lt;=0,"Payé",IF($I197&gt;0,"Partiel",IF(Listes!$B$3&gt;$G197,"En retard","À échoir"))))))</f>
        <v/>
      </c>
      <c r="O197" s="11">
        <f>IF($A197="","",IF(OR($G197="", $J197&lt;=0),0,MAX(0,Listes!$B$3-$G197)))</f>
        <v/>
      </c>
      <c r="P197" s="12">
        <f>IF($A197="","",IF($J197&lt;=0,"Payé",IF($M197="Oui","Litige",IF($O197=0,"À échoir",IF($O197&lt;=30,"0-30",IF($O197&lt;=60,"31-60",IF($O197&lt;=90,"61-90","90+")))))))</f>
        <v/>
      </c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9">
        <f>IF($A198="","",SUMIFS(Ventes_Encaissements!$D$6:$D$3005,Ventes_Encaissements!$B$6:$B$3005,$A198))</f>
        <v/>
      </c>
      <c r="J198" s="9">
        <f>IF($A198="","",$H198-$I198)</f>
        <v/>
      </c>
      <c r="K198" s="10">
        <f>IF($A198="","",IF($I198=0,"",_xludf.AGGREGATE(14,6,Ventes_Encaissements!$C$6:$C$3005/(Ventes_Encaissements!$B$6:$B$3005=$A198),1)))</f>
        <v/>
      </c>
      <c r="L198" s="11">
        <f>IF($A198="","",COUNTIFS(Ventes_Detail!$B$6:$B$3005,$A198))</f>
        <v/>
      </c>
      <c r="M198" s="12" t="n"/>
      <c r="N198" s="12">
        <f>IF($A198="","",IF($G198="","",IF($M198="Oui","Litige",IF($J198&lt;=0,"Payé",IF($I198&gt;0,"Partiel",IF(Listes!$B$3&gt;$G198,"En retard","À échoir"))))))</f>
        <v/>
      </c>
      <c r="O198" s="11">
        <f>IF($A198="","",IF(OR($G198="", $J198&lt;=0),0,MAX(0,Listes!$B$3-$G198)))</f>
        <v/>
      </c>
      <c r="P198" s="12">
        <f>IF($A198="","",IF($J198&lt;=0,"Payé",IF($M198="Oui","Litige",IF($O198=0,"À échoir",IF($O198&lt;=30,"0-30",IF($O198&lt;=60,"31-60",IF($O198&lt;=90,"61-90","90+")))))))</f>
        <v/>
      </c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9">
        <f>IF($A199="","",SUMIFS(Ventes_Encaissements!$D$6:$D$3005,Ventes_Encaissements!$B$6:$B$3005,$A199))</f>
        <v/>
      </c>
      <c r="J199" s="9">
        <f>IF($A199="","",$H199-$I199)</f>
        <v/>
      </c>
      <c r="K199" s="10">
        <f>IF($A199="","",IF($I199=0,"",_xludf.AGGREGATE(14,6,Ventes_Encaissements!$C$6:$C$3005/(Ventes_Encaissements!$B$6:$B$3005=$A199),1)))</f>
        <v/>
      </c>
      <c r="L199" s="11">
        <f>IF($A199="","",COUNTIFS(Ventes_Detail!$B$6:$B$3005,$A199))</f>
        <v/>
      </c>
      <c r="M199" s="12" t="n"/>
      <c r="N199" s="12">
        <f>IF($A199="","",IF($G199="","",IF($M199="Oui","Litige",IF($J199&lt;=0,"Payé",IF($I199&gt;0,"Partiel",IF(Listes!$B$3&gt;$G199,"En retard","À échoir"))))))</f>
        <v/>
      </c>
      <c r="O199" s="11">
        <f>IF($A199="","",IF(OR($G199="", $J199&lt;=0),0,MAX(0,Listes!$B$3-$G199)))</f>
        <v/>
      </c>
      <c r="P199" s="12">
        <f>IF($A199="","",IF($J199&lt;=0,"Payé",IF($M199="Oui","Litige",IF($O199=0,"À échoir",IF($O199&lt;=30,"0-30",IF($O199&lt;=60,"31-60",IF($O199&lt;=90,"61-90","90+")))))))</f>
        <v/>
      </c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9">
        <f>IF($A200="","",SUMIFS(Ventes_Encaissements!$D$6:$D$3005,Ventes_Encaissements!$B$6:$B$3005,$A200))</f>
        <v/>
      </c>
      <c r="J200" s="9">
        <f>IF($A200="","",$H200-$I200)</f>
        <v/>
      </c>
      <c r="K200" s="10">
        <f>IF($A200="","",IF($I200=0,"",_xludf.AGGREGATE(14,6,Ventes_Encaissements!$C$6:$C$3005/(Ventes_Encaissements!$B$6:$B$3005=$A200),1)))</f>
        <v/>
      </c>
      <c r="L200" s="11">
        <f>IF($A200="","",COUNTIFS(Ventes_Detail!$B$6:$B$3005,$A200))</f>
        <v/>
      </c>
      <c r="M200" s="12" t="n"/>
      <c r="N200" s="12">
        <f>IF($A200="","",IF($G200="","",IF($M200="Oui","Litige",IF($J200&lt;=0,"Payé",IF($I200&gt;0,"Partiel",IF(Listes!$B$3&gt;$G200,"En retard","À échoir"))))))</f>
        <v/>
      </c>
      <c r="O200" s="11">
        <f>IF($A200="","",IF(OR($G200="", $J200&lt;=0),0,MAX(0,Listes!$B$3-$G200)))</f>
        <v/>
      </c>
      <c r="P200" s="12">
        <f>IF($A200="","",IF($J200&lt;=0,"Payé",IF($M200="Oui","Litige",IF($O200=0,"À échoir",IF($O200&lt;=30,"0-30",IF($O200&lt;=60,"31-60",IF($O200&lt;=90,"61-90","90+")))))))</f>
        <v/>
      </c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9">
        <f>IF($A201="","",SUMIFS(Ventes_Encaissements!$D$6:$D$3005,Ventes_Encaissements!$B$6:$B$3005,$A201))</f>
        <v/>
      </c>
      <c r="J201" s="9">
        <f>IF($A201="","",$H201-$I201)</f>
        <v/>
      </c>
      <c r="K201" s="10">
        <f>IF($A201="","",IF($I201=0,"",_xludf.AGGREGATE(14,6,Ventes_Encaissements!$C$6:$C$3005/(Ventes_Encaissements!$B$6:$B$3005=$A201),1)))</f>
        <v/>
      </c>
      <c r="L201" s="11">
        <f>IF($A201="","",COUNTIFS(Ventes_Detail!$B$6:$B$3005,$A201))</f>
        <v/>
      </c>
      <c r="M201" s="12" t="n"/>
      <c r="N201" s="12">
        <f>IF($A201="","",IF($G201="","",IF($M201="Oui","Litige",IF($J201&lt;=0,"Payé",IF($I201&gt;0,"Partiel",IF(Listes!$B$3&gt;$G201,"En retard","À échoir"))))))</f>
        <v/>
      </c>
      <c r="O201" s="11">
        <f>IF($A201="","",IF(OR($G201="", $J201&lt;=0),0,MAX(0,Listes!$B$3-$G201)))</f>
        <v/>
      </c>
      <c r="P201" s="12">
        <f>IF($A201="","",IF($J201&lt;=0,"Payé",IF($M201="Oui","Litige",IF($O201=0,"À échoir",IF($O201&lt;=30,"0-30",IF($O201&lt;=60,"31-60",IF($O201&lt;=90,"61-90","90+")))))))</f>
        <v/>
      </c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9">
        <f>IF($A202="","",SUMIFS(Ventes_Encaissements!$D$6:$D$3005,Ventes_Encaissements!$B$6:$B$3005,$A202))</f>
        <v/>
      </c>
      <c r="J202" s="9">
        <f>IF($A202="","",$H202-$I202)</f>
        <v/>
      </c>
      <c r="K202" s="10">
        <f>IF($A202="","",IF($I202=0,"",_xludf.AGGREGATE(14,6,Ventes_Encaissements!$C$6:$C$3005/(Ventes_Encaissements!$B$6:$B$3005=$A202),1)))</f>
        <v/>
      </c>
      <c r="L202" s="11">
        <f>IF($A202="","",COUNTIFS(Ventes_Detail!$B$6:$B$3005,$A202))</f>
        <v/>
      </c>
      <c r="M202" s="12" t="n"/>
      <c r="N202" s="12">
        <f>IF($A202="","",IF($G202="","",IF($M202="Oui","Litige",IF($J202&lt;=0,"Payé",IF($I202&gt;0,"Partiel",IF(Listes!$B$3&gt;$G202,"En retard","À échoir"))))))</f>
        <v/>
      </c>
      <c r="O202" s="11">
        <f>IF($A202="","",IF(OR($G202="", $J202&lt;=0),0,MAX(0,Listes!$B$3-$G202)))</f>
        <v/>
      </c>
      <c r="P202" s="12">
        <f>IF($A202="","",IF($J202&lt;=0,"Payé",IF($M202="Oui","Litige",IF($O202=0,"À échoir",IF($O202&lt;=30,"0-30",IF($O202&lt;=60,"31-60",IF($O202&lt;=90,"61-90","90+")))))))</f>
        <v/>
      </c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9">
        <f>IF($A203="","",SUMIFS(Ventes_Encaissements!$D$6:$D$3005,Ventes_Encaissements!$B$6:$B$3005,$A203))</f>
        <v/>
      </c>
      <c r="J203" s="9">
        <f>IF($A203="","",$H203-$I203)</f>
        <v/>
      </c>
      <c r="K203" s="10">
        <f>IF($A203="","",IF($I203=0,"",_xludf.AGGREGATE(14,6,Ventes_Encaissements!$C$6:$C$3005/(Ventes_Encaissements!$B$6:$B$3005=$A203),1)))</f>
        <v/>
      </c>
      <c r="L203" s="11">
        <f>IF($A203="","",COUNTIFS(Ventes_Detail!$B$6:$B$3005,$A203))</f>
        <v/>
      </c>
      <c r="M203" s="12" t="n"/>
      <c r="N203" s="12">
        <f>IF($A203="","",IF($G203="","",IF($M203="Oui","Litige",IF($J203&lt;=0,"Payé",IF($I203&gt;0,"Partiel",IF(Listes!$B$3&gt;$G203,"En retard","À échoir"))))))</f>
        <v/>
      </c>
      <c r="O203" s="11">
        <f>IF($A203="","",IF(OR($G203="", $J203&lt;=0),0,MAX(0,Listes!$B$3-$G203)))</f>
        <v/>
      </c>
      <c r="P203" s="12">
        <f>IF($A203="","",IF($J203&lt;=0,"Payé",IF($M203="Oui","Litige",IF($O203=0,"À échoir",IF($O203&lt;=30,"0-30",IF($O203&lt;=60,"31-60",IF($O203&lt;=90,"61-90","90+")))))))</f>
        <v/>
      </c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9">
        <f>IF($A204="","",SUMIFS(Ventes_Encaissements!$D$6:$D$3005,Ventes_Encaissements!$B$6:$B$3005,$A204))</f>
        <v/>
      </c>
      <c r="J204" s="9">
        <f>IF($A204="","",$H204-$I204)</f>
        <v/>
      </c>
      <c r="K204" s="10">
        <f>IF($A204="","",IF($I204=0,"",_xludf.AGGREGATE(14,6,Ventes_Encaissements!$C$6:$C$3005/(Ventes_Encaissements!$B$6:$B$3005=$A204),1)))</f>
        <v/>
      </c>
      <c r="L204" s="11">
        <f>IF($A204="","",COUNTIFS(Ventes_Detail!$B$6:$B$3005,$A204))</f>
        <v/>
      </c>
      <c r="M204" s="12" t="n"/>
      <c r="N204" s="12">
        <f>IF($A204="","",IF($G204="","",IF($M204="Oui","Litige",IF($J204&lt;=0,"Payé",IF($I204&gt;0,"Partiel",IF(Listes!$B$3&gt;$G204,"En retard","À échoir"))))))</f>
        <v/>
      </c>
      <c r="O204" s="11">
        <f>IF($A204="","",IF(OR($G204="", $J204&lt;=0),0,MAX(0,Listes!$B$3-$G204)))</f>
        <v/>
      </c>
      <c r="P204" s="12">
        <f>IF($A204="","",IF($J204&lt;=0,"Payé",IF($M204="Oui","Litige",IF($O204=0,"À échoir",IF($O204&lt;=30,"0-30",IF($O204&lt;=60,"31-60",IF($O204&lt;=90,"61-90","90+")))))))</f>
        <v/>
      </c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9">
        <f>IF($A205="","",SUMIFS(Ventes_Encaissements!$D$6:$D$3005,Ventes_Encaissements!$B$6:$B$3005,$A205))</f>
        <v/>
      </c>
      <c r="J205" s="9">
        <f>IF($A205="","",$H205-$I205)</f>
        <v/>
      </c>
      <c r="K205" s="10">
        <f>IF($A205="","",IF($I205=0,"",_xludf.AGGREGATE(14,6,Ventes_Encaissements!$C$6:$C$3005/(Ventes_Encaissements!$B$6:$B$3005=$A205),1)))</f>
        <v/>
      </c>
      <c r="L205" s="11">
        <f>IF($A205="","",COUNTIFS(Ventes_Detail!$B$6:$B$3005,$A205))</f>
        <v/>
      </c>
      <c r="M205" s="12" t="n"/>
      <c r="N205" s="12">
        <f>IF($A205="","",IF($G205="","",IF($M205="Oui","Litige",IF($J205&lt;=0,"Payé",IF($I205&gt;0,"Partiel",IF(Listes!$B$3&gt;$G205,"En retard","À échoir"))))))</f>
        <v/>
      </c>
      <c r="O205" s="11">
        <f>IF($A205="","",IF(OR($G205="", $J205&lt;=0),0,MAX(0,Listes!$B$3-$G205)))</f>
        <v/>
      </c>
      <c r="P205" s="12">
        <f>IF($A205="","",IF($J205&lt;=0,"Payé",IF($M205="Oui","Litige",IF($O205=0,"À échoir",IF($O205&lt;=30,"0-30",IF($O205&lt;=60,"31-60",IF($O205&lt;=90,"61-90","90+")))))))</f>
        <v/>
      </c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9">
        <f>IF($A206="","",SUMIFS(Ventes_Encaissements!$D$6:$D$3005,Ventes_Encaissements!$B$6:$B$3005,$A206))</f>
        <v/>
      </c>
      <c r="J206" s="9">
        <f>IF($A206="","",$H206-$I206)</f>
        <v/>
      </c>
      <c r="K206" s="10">
        <f>IF($A206="","",IF($I206=0,"",_xludf.AGGREGATE(14,6,Ventes_Encaissements!$C$6:$C$3005/(Ventes_Encaissements!$B$6:$B$3005=$A206),1)))</f>
        <v/>
      </c>
      <c r="L206" s="11">
        <f>IF($A206="","",COUNTIFS(Ventes_Detail!$B$6:$B$3005,$A206))</f>
        <v/>
      </c>
      <c r="M206" s="12" t="n"/>
      <c r="N206" s="12">
        <f>IF($A206="","",IF($G206="","",IF($M206="Oui","Litige",IF($J206&lt;=0,"Payé",IF($I206&gt;0,"Partiel",IF(Listes!$B$3&gt;$G206,"En retard","À échoir"))))))</f>
        <v/>
      </c>
      <c r="O206" s="11">
        <f>IF($A206="","",IF(OR($G206="", $J206&lt;=0),0,MAX(0,Listes!$B$3-$G206)))</f>
        <v/>
      </c>
      <c r="P206" s="12">
        <f>IF($A206="","",IF($J206&lt;=0,"Payé",IF($M206="Oui","Litige",IF($O206=0,"À échoir",IF($O206&lt;=30,"0-30",IF($O206&lt;=60,"31-60",IF($O206&lt;=90,"61-90","90+")))))))</f>
        <v/>
      </c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9">
        <f>IF($A207="","",SUMIFS(Ventes_Encaissements!$D$6:$D$3005,Ventes_Encaissements!$B$6:$B$3005,$A207))</f>
        <v/>
      </c>
      <c r="J207" s="9">
        <f>IF($A207="","",$H207-$I207)</f>
        <v/>
      </c>
      <c r="K207" s="10">
        <f>IF($A207="","",IF($I207=0,"",_xludf.AGGREGATE(14,6,Ventes_Encaissements!$C$6:$C$3005/(Ventes_Encaissements!$B$6:$B$3005=$A207),1)))</f>
        <v/>
      </c>
      <c r="L207" s="11">
        <f>IF($A207="","",COUNTIFS(Ventes_Detail!$B$6:$B$3005,$A207))</f>
        <v/>
      </c>
      <c r="M207" s="12" t="n"/>
      <c r="N207" s="12">
        <f>IF($A207="","",IF($G207="","",IF($M207="Oui","Litige",IF($J207&lt;=0,"Payé",IF($I207&gt;0,"Partiel",IF(Listes!$B$3&gt;$G207,"En retard","À échoir"))))))</f>
        <v/>
      </c>
      <c r="O207" s="11">
        <f>IF($A207="","",IF(OR($G207="", $J207&lt;=0),0,MAX(0,Listes!$B$3-$G207)))</f>
        <v/>
      </c>
      <c r="P207" s="12">
        <f>IF($A207="","",IF($J207&lt;=0,"Payé",IF($M207="Oui","Litige",IF($O207=0,"À échoir",IF($O207&lt;=30,"0-30",IF($O207&lt;=60,"31-60",IF($O207&lt;=90,"61-90","90+")))))))</f>
        <v/>
      </c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9">
        <f>IF($A208="","",SUMIFS(Ventes_Encaissements!$D$6:$D$3005,Ventes_Encaissements!$B$6:$B$3005,$A208))</f>
        <v/>
      </c>
      <c r="J208" s="9">
        <f>IF($A208="","",$H208-$I208)</f>
        <v/>
      </c>
      <c r="K208" s="10">
        <f>IF($A208="","",IF($I208=0,"",_xludf.AGGREGATE(14,6,Ventes_Encaissements!$C$6:$C$3005/(Ventes_Encaissements!$B$6:$B$3005=$A208),1)))</f>
        <v/>
      </c>
      <c r="L208" s="11">
        <f>IF($A208="","",COUNTIFS(Ventes_Detail!$B$6:$B$3005,$A208))</f>
        <v/>
      </c>
      <c r="M208" s="12" t="n"/>
      <c r="N208" s="12">
        <f>IF($A208="","",IF($G208="","",IF($M208="Oui","Litige",IF($J208&lt;=0,"Payé",IF($I208&gt;0,"Partiel",IF(Listes!$B$3&gt;$G208,"En retard","À échoir"))))))</f>
        <v/>
      </c>
      <c r="O208" s="11">
        <f>IF($A208="","",IF(OR($G208="", $J208&lt;=0),0,MAX(0,Listes!$B$3-$G208)))</f>
        <v/>
      </c>
      <c r="P208" s="12">
        <f>IF($A208="","",IF($J208&lt;=0,"Payé",IF($M208="Oui","Litige",IF($O208=0,"À échoir",IF($O208&lt;=30,"0-30",IF($O208&lt;=60,"31-60",IF($O208&lt;=90,"61-90","90+")))))))</f>
        <v/>
      </c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9">
        <f>IF($A209="","",SUMIFS(Ventes_Encaissements!$D$6:$D$3005,Ventes_Encaissements!$B$6:$B$3005,$A209))</f>
        <v/>
      </c>
      <c r="J209" s="9">
        <f>IF($A209="","",$H209-$I209)</f>
        <v/>
      </c>
      <c r="K209" s="10">
        <f>IF($A209="","",IF($I209=0,"",_xludf.AGGREGATE(14,6,Ventes_Encaissements!$C$6:$C$3005/(Ventes_Encaissements!$B$6:$B$3005=$A209),1)))</f>
        <v/>
      </c>
      <c r="L209" s="11">
        <f>IF($A209="","",COUNTIFS(Ventes_Detail!$B$6:$B$3005,$A209))</f>
        <v/>
      </c>
      <c r="M209" s="12" t="n"/>
      <c r="N209" s="12">
        <f>IF($A209="","",IF($G209="","",IF($M209="Oui","Litige",IF($J209&lt;=0,"Payé",IF($I209&gt;0,"Partiel",IF(Listes!$B$3&gt;$G209,"En retard","À échoir"))))))</f>
        <v/>
      </c>
      <c r="O209" s="11">
        <f>IF($A209="","",IF(OR($G209="", $J209&lt;=0),0,MAX(0,Listes!$B$3-$G209)))</f>
        <v/>
      </c>
      <c r="P209" s="12">
        <f>IF($A209="","",IF($J209&lt;=0,"Payé",IF($M209="Oui","Litige",IF($O209=0,"À échoir",IF($O209&lt;=30,"0-30",IF($O209&lt;=60,"31-60",IF($O209&lt;=90,"61-90","90+")))))))</f>
        <v/>
      </c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9">
        <f>IF($A210="","",SUMIFS(Ventes_Encaissements!$D$6:$D$3005,Ventes_Encaissements!$B$6:$B$3005,$A210))</f>
        <v/>
      </c>
      <c r="J210" s="9">
        <f>IF($A210="","",$H210-$I210)</f>
        <v/>
      </c>
      <c r="K210" s="10">
        <f>IF($A210="","",IF($I210=0,"",_xludf.AGGREGATE(14,6,Ventes_Encaissements!$C$6:$C$3005/(Ventes_Encaissements!$B$6:$B$3005=$A210),1)))</f>
        <v/>
      </c>
      <c r="L210" s="11">
        <f>IF($A210="","",COUNTIFS(Ventes_Detail!$B$6:$B$3005,$A210))</f>
        <v/>
      </c>
      <c r="M210" s="12" t="n"/>
      <c r="N210" s="12">
        <f>IF($A210="","",IF($G210="","",IF($M210="Oui","Litige",IF($J210&lt;=0,"Payé",IF($I210&gt;0,"Partiel",IF(Listes!$B$3&gt;$G210,"En retard","À échoir"))))))</f>
        <v/>
      </c>
      <c r="O210" s="11">
        <f>IF($A210="","",IF(OR($G210="", $J210&lt;=0),0,MAX(0,Listes!$B$3-$G210)))</f>
        <v/>
      </c>
      <c r="P210" s="12">
        <f>IF($A210="","",IF($J210&lt;=0,"Payé",IF($M210="Oui","Litige",IF($O210=0,"À échoir",IF($O210&lt;=30,"0-30",IF($O210&lt;=60,"31-60",IF($O210&lt;=90,"61-90","90+")))))))</f>
        <v/>
      </c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9">
        <f>IF($A211="","",SUMIFS(Ventes_Encaissements!$D$6:$D$3005,Ventes_Encaissements!$B$6:$B$3005,$A211))</f>
        <v/>
      </c>
      <c r="J211" s="9">
        <f>IF($A211="","",$H211-$I211)</f>
        <v/>
      </c>
      <c r="K211" s="10">
        <f>IF($A211="","",IF($I211=0,"",_xludf.AGGREGATE(14,6,Ventes_Encaissements!$C$6:$C$3005/(Ventes_Encaissements!$B$6:$B$3005=$A211),1)))</f>
        <v/>
      </c>
      <c r="L211" s="11">
        <f>IF($A211="","",COUNTIFS(Ventes_Detail!$B$6:$B$3005,$A211))</f>
        <v/>
      </c>
      <c r="M211" s="12" t="n"/>
      <c r="N211" s="12">
        <f>IF($A211="","",IF($G211="","",IF($M211="Oui","Litige",IF($J211&lt;=0,"Payé",IF($I211&gt;0,"Partiel",IF(Listes!$B$3&gt;$G211,"En retard","À échoir"))))))</f>
        <v/>
      </c>
      <c r="O211" s="11">
        <f>IF($A211="","",IF(OR($G211="", $J211&lt;=0),0,MAX(0,Listes!$B$3-$G211)))</f>
        <v/>
      </c>
      <c r="P211" s="12">
        <f>IF($A211="","",IF($J211&lt;=0,"Payé",IF($M211="Oui","Litige",IF($O211=0,"À échoir",IF($O211&lt;=30,"0-30",IF($O211&lt;=60,"31-60",IF($O211&lt;=90,"61-90","90+")))))))</f>
        <v/>
      </c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9">
        <f>IF($A212="","",SUMIFS(Ventes_Encaissements!$D$6:$D$3005,Ventes_Encaissements!$B$6:$B$3005,$A212))</f>
        <v/>
      </c>
      <c r="J212" s="9">
        <f>IF($A212="","",$H212-$I212)</f>
        <v/>
      </c>
      <c r="K212" s="10">
        <f>IF($A212="","",IF($I212=0,"",_xludf.AGGREGATE(14,6,Ventes_Encaissements!$C$6:$C$3005/(Ventes_Encaissements!$B$6:$B$3005=$A212),1)))</f>
        <v/>
      </c>
      <c r="L212" s="11">
        <f>IF($A212="","",COUNTIFS(Ventes_Detail!$B$6:$B$3005,$A212))</f>
        <v/>
      </c>
      <c r="M212" s="12" t="n"/>
      <c r="N212" s="12">
        <f>IF($A212="","",IF($G212="","",IF($M212="Oui","Litige",IF($J212&lt;=0,"Payé",IF($I212&gt;0,"Partiel",IF(Listes!$B$3&gt;$G212,"En retard","À échoir"))))))</f>
        <v/>
      </c>
      <c r="O212" s="11">
        <f>IF($A212="","",IF(OR($G212="", $J212&lt;=0),0,MAX(0,Listes!$B$3-$G212)))</f>
        <v/>
      </c>
      <c r="P212" s="12">
        <f>IF($A212="","",IF($J212&lt;=0,"Payé",IF($M212="Oui","Litige",IF($O212=0,"À échoir",IF($O212&lt;=30,"0-30",IF($O212&lt;=60,"31-60",IF($O212&lt;=90,"61-90","90+")))))))</f>
        <v/>
      </c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9">
        <f>IF($A213="","",SUMIFS(Ventes_Encaissements!$D$6:$D$3005,Ventes_Encaissements!$B$6:$B$3005,$A213))</f>
        <v/>
      </c>
      <c r="J213" s="9">
        <f>IF($A213="","",$H213-$I213)</f>
        <v/>
      </c>
      <c r="K213" s="10">
        <f>IF($A213="","",IF($I213=0,"",_xludf.AGGREGATE(14,6,Ventes_Encaissements!$C$6:$C$3005/(Ventes_Encaissements!$B$6:$B$3005=$A213),1)))</f>
        <v/>
      </c>
      <c r="L213" s="11">
        <f>IF($A213="","",COUNTIFS(Ventes_Detail!$B$6:$B$3005,$A213))</f>
        <v/>
      </c>
      <c r="M213" s="12" t="n"/>
      <c r="N213" s="12">
        <f>IF($A213="","",IF($G213="","",IF($M213="Oui","Litige",IF($J213&lt;=0,"Payé",IF($I213&gt;0,"Partiel",IF(Listes!$B$3&gt;$G213,"En retard","À échoir"))))))</f>
        <v/>
      </c>
      <c r="O213" s="11">
        <f>IF($A213="","",IF(OR($G213="", $J213&lt;=0),0,MAX(0,Listes!$B$3-$G213)))</f>
        <v/>
      </c>
      <c r="P213" s="12">
        <f>IF($A213="","",IF($J213&lt;=0,"Payé",IF($M213="Oui","Litige",IF($O213=0,"À échoir",IF($O213&lt;=30,"0-30",IF($O213&lt;=60,"31-60",IF($O213&lt;=90,"61-90","90+")))))))</f>
        <v/>
      </c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9">
        <f>IF($A214="","",SUMIFS(Ventes_Encaissements!$D$6:$D$3005,Ventes_Encaissements!$B$6:$B$3005,$A214))</f>
        <v/>
      </c>
      <c r="J214" s="9">
        <f>IF($A214="","",$H214-$I214)</f>
        <v/>
      </c>
      <c r="K214" s="10">
        <f>IF($A214="","",IF($I214=0,"",_xludf.AGGREGATE(14,6,Ventes_Encaissements!$C$6:$C$3005/(Ventes_Encaissements!$B$6:$B$3005=$A214),1)))</f>
        <v/>
      </c>
      <c r="L214" s="11">
        <f>IF($A214="","",COUNTIFS(Ventes_Detail!$B$6:$B$3005,$A214))</f>
        <v/>
      </c>
      <c r="M214" s="12" t="n"/>
      <c r="N214" s="12">
        <f>IF($A214="","",IF($G214="","",IF($M214="Oui","Litige",IF($J214&lt;=0,"Payé",IF($I214&gt;0,"Partiel",IF(Listes!$B$3&gt;$G214,"En retard","À échoir"))))))</f>
        <v/>
      </c>
      <c r="O214" s="11">
        <f>IF($A214="","",IF(OR($G214="", $J214&lt;=0),0,MAX(0,Listes!$B$3-$G214)))</f>
        <v/>
      </c>
      <c r="P214" s="12">
        <f>IF($A214="","",IF($J214&lt;=0,"Payé",IF($M214="Oui","Litige",IF($O214=0,"À échoir",IF($O214&lt;=30,"0-30",IF($O214&lt;=60,"31-60",IF($O214&lt;=90,"61-90","90+")))))))</f>
        <v/>
      </c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9">
        <f>IF($A215="","",SUMIFS(Ventes_Encaissements!$D$6:$D$3005,Ventes_Encaissements!$B$6:$B$3005,$A215))</f>
        <v/>
      </c>
      <c r="J215" s="9">
        <f>IF($A215="","",$H215-$I215)</f>
        <v/>
      </c>
      <c r="K215" s="10">
        <f>IF($A215="","",IF($I215=0,"",_xludf.AGGREGATE(14,6,Ventes_Encaissements!$C$6:$C$3005/(Ventes_Encaissements!$B$6:$B$3005=$A215),1)))</f>
        <v/>
      </c>
      <c r="L215" s="11">
        <f>IF($A215="","",COUNTIFS(Ventes_Detail!$B$6:$B$3005,$A215))</f>
        <v/>
      </c>
      <c r="M215" s="12" t="n"/>
      <c r="N215" s="12">
        <f>IF($A215="","",IF($G215="","",IF($M215="Oui","Litige",IF($J215&lt;=0,"Payé",IF($I215&gt;0,"Partiel",IF(Listes!$B$3&gt;$G215,"En retard","À échoir"))))))</f>
        <v/>
      </c>
      <c r="O215" s="11">
        <f>IF($A215="","",IF(OR($G215="", $J215&lt;=0),0,MAX(0,Listes!$B$3-$G215)))</f>
        <v/>
      </c>
      <c r="P215" s="12">
        <f>IF($A215="","",IF($J215&lt;=0,"Payé",IF($M215="Oui","Litige",IF($O215=0,"À échoir",IF($O215&lt;=30,"0-30",IF($O215&lt;=60,"31-60",IF($O215&lt;=90,"61-90","90+")))))))</f>
        <v/>
      </c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9">
        <f>IF($A216="","",SUMIFS(Ventes_Encaissements!$D$6:$D$3005,Ventes_Encaissements!$B$6:$B$3005,$A216))</f>
        <v/>
      </c>
      <c r="J216" s="9">
        <f>IF($A216="","",$H216-$I216)</f>
        <v/>
      </c>
      <c r="K216" s="10">
        <f>IF($A216="","",IF($I216=0,"",_xludf.AGGREGATE(14,6,Ventes_Encaissements!$C$6:$C$3005/(Ventes_Encaissements!$B$6:$B$3005=$A216),1)))</f>
        <v/>
      </c>
      <c r="L216" s="11">
        <f>IF($A216="","",COUNTIFS(Ventes_Detail!$B$6:$B$3005,$A216))</f>
        <v/>
      </c>
      <c r="M216" s="12" t="n"/>
      <c r="N216" s="12">
        <f>IF($A216="","",IF($G216="","",IF($M216="Oui","Litige",IF($J216&lt;=0,"Payé",IF($I216&gt;0,"Partiel",IF(Listes!$B$3&gt;$G216,"En retard","À échoir"))))))</f>
        <v/>
      </c>
      <c r="O216" s="11">
        <f>IF($A216="","",IF(OR($G216="", $J216&lt;=0),0,MAX(0,Listes!$B$3-$G216)))</f>
        <v/>
      </c>
      <c r="P216" s="12">
        <f>IF($A216="","",IF($J216&lt;=0,"Payé",IF($M216="Oui","Litige",IF($O216=0,"À échoir",IF($O216&lt;=30,"0-30",IF($O216&lt;=60,"31-60",IF($O216&lt;=90,"61-90","90+")))))))</f>
        <v/>
      </c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9">
        <f>IF($A217="","",SUMIFS(Ventes_Encaissements!$D$6:$D$3005,Ventes_Encaissements!$B$6:$B$3005,$A217))</f>
        <v/>
      </c>
      <c r="J217" s="9">
        <f>IF($A217="","",$H217-$I217)</f>
        <v/>
      </c>
      <c r="K217" s="10">
        <f>IF($A217="","",IF($I217=0,"",_xludf.AGGREGATE(14,6,Ventes_Encaissements!$C$6:$C$3005/(Ventes_Encaissements!$B$6:$B$3005=$A217),1)))</f>
        <v/>
      </c>
      <c r="L217" s="11">
        <f>IF($A217="","",COUNTIFS(Ventes_Detail!$B$6:$B$3005,$A217))</f>
        <v/>
      </c>
      <c r="M217" s="12" t="n"/>
      <c r="N217" s="12">
        <f>IF($A217="","",IF($G217="","",IF($M217="Oui","Litige",IF($J217&lt;=0,"Payé",IF($I217&gt;0,"Partiel",IF(Listes!$B$3&gt;$G217,"En retard","À échoir"))))))</f>
        <v/>
      </c>
      <c r="O217" s="11">
        <f>IF($A217="","",IF(OR($G217="", $J217&lt;=0),0,MAX(0,Listes!$B$3-$G217)))</f>
        <v/>
      </c>
      <c r="P217" s="12">
        <f>IF($A217="","",IF($J217&lt;=0,"Payé",IF($M217="Oui","Litige",IF($O217=0,"À échoir",IF($O217&lt;=30,"0-30",IF($O217&lt;=60,"31-60",IF($O217&lt;=90,"61-90","90+")))))))</f>
        <v/>
      </c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9">
        <f>IF($A218="","",SUMIFS(Ventes_Encaissements!$D$6:$D$3005,Ventes_Encaissements!$B$6:$B$3005,$A218))</f>
        <v/>
      </c>
      <c r="J218" s="9">
        <f>IF($A218="","",$H218-$I218)</f>
        <v/>
      </c>
      <c r="K218" s="10">
        <f>IF($A218="","",IF($I218=0,"",_xludf.AGGREGATE(14,6,Ventes_Encaissements!$C$6:$C$3005/(Ventes_Encaissements!$B$6:$B$3005=$A218),1)))</f>
        <v/>
      </c>
      <c r="L218" s="11">
        <f>IF($A218="","",COUNTIFS(Ventes_Detail!$B$6:$B$3005,$A218))</f>
        <v/>
      </c>
      <c r="M218" s="12" t="n"/>
      <c r="N218" s="12">
        <f>IF($A218="","",IF($G218="","",IF($M218="Oui","Litige",IF($J218&lt;=0,"Payé",IF($I218&gt;0,"Partiel",IF(Listes!$B$3&gt;$G218,"En retard","À échoir"))))))</f>
        <v/>
      </c>
      <c r="O218" s="11">
        <f>IF($A218="","",IF(OR($G218="", $J218&lt;=0),0,MAX(0,Listes!$B$3-$G218)))</f>
        <v/>
      </c>
      <c r="P218" s="12">
        <f>IF($A218="","",IF($J218&lt;=0,"Payé",IF($M218="Oui","Litige",IF($O218=0,"À échoir",IF($O218&lt;=30,"0-30",IF($O218&lt;=60,"31-60",IF($O218&lt;=90,"61-90","90+")))))))</f>
        <v/>
      </c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9">
        <f>IF($A219="","",SUMIFS(Ventes_Encaissements!$D$6:$D$3005,Ventes_Encaissements!$B$6:$B$3005,$A219))</f>
        <v/>
      </c>
      <c r="J219" s="9">
        <f>IF($A219="","",$H219-$I219)</f>
        <v/>
      </c>
      <c r="K219" s="10">
        <f>IF($A219="","",IF($I219=0,"",_xludf.AGGREGATE(14,6,Ventes_Encaissements!$C$6:$C$3005/(Ventes_Encaissements!$B$6:$B$3005=$A219),1)))</f>
        <v/>
      </c>
      <c r="L219" s="11">
        <f>IF($A219="","",COUNTIFS(Ventes_Detail!$B$6:$B$3005,$A219))</f>
        <v/>
      </c>
      <c r="M219" s="12" t="n"/>
      <c r="N219" s="12">
        <f>IF($A219="","",IF($G219="","",IF($M219="Oui","Litige",IF($J219&lt;=0,"Payé",IF($I219&gt;0,"Partiel",IF(Listes!$B$3&gt;$G219,"En retard","À échoir"))))))</f>
        <v/>
      </c>
      <c r="O219" s="11">
        <f>IF($A219="","",IF(OR($G219="", $J219&lt;=0),0,MAX(0,Listes!$B$3-$G219)))</f>
        <v/>
      </c>
      <c r="P219" s="12">
        <f>IF($A219="","",IF($J219&lt;=0,"Payé",IF($M219="Oui","Litige",IF($O219=0,"À échoir",IF($O219&lt;=30,"0-30",IF($O219&lt;=60,"31-60",IF($O219&lt;=90,"61-90","90+")))))))</f>
        <v/>
      </c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9">
        <f>IF($A220="","",SUMIFS(Ventes_Encaissements!$D$6:$D$3005,Ventes_Encaissements!$B$6:$B$3005,$A220))</f>
        <v/>
      </c>
      <c r="J220" s="9">
        <f>IF($A220="","",$H220-$I220)</f>
        <v/>
      </c>
      <c r="K220" s="10">
        <f>IF($A220="","",IF($I220=0,"",_xludf.AGGREGATE(14,6,Ventes_Encaissements!$C$6:$C$3005/(Ventes_Encaissements!$B$6:$B$3005=$A220),1)))</f>
        <v/>
      </c>
      <c r="L220" s="11">
        <f>IF($A220="","",COUNTIFS(Ventes_Detail!$B$6:$B$3005,$A220))</f>
        <v/>
      </c>
      <c r="M220" s="12" t="n"/>
      <c r="N220" s="12">
        <f>IF($A220="","",IF($G220="","",IF($M220="Oui","Litige",IF($J220&lt;=0,"Payé",IF($I220&gt;0,"Partiel",IF(Listes!$B$3&gt;$G220,"En retard","À échoir"))))))</f>
        <v/>
      </c>
      <c r="O220" s="11">
        <f>IF($A220="","",IF(OR($G220="", $J220&lt;=0),0,MAX(0,Listes!$B$3-$G220)))</f>
        <v/>
      </c>
      <c r="P220" s="12">
        <f>IF($A220="","",IF($J220&lt;=0,"Payé",IF($M220="Oui","Litige",IF($O220=0,"À échoir",IF($O220&lt;=30,"0-30",IF($O220&lt;=60,"31-60",IF($O220&lt;=90,"61-90","90+")))))))</f>
        <v/>
      </c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9">
        <f>IF($A221="","",SUMIFS(Ventes_Encaissements!$D$6:$D$3005,Ventes_Encaissements!$B$6:$B$3005,$A221))</f>
        <v/>
      </c>
      <c r="J221" s="9">
        <f>IF($A221="","",$H221-$I221)</f>
        <v/>
      </c>
      <c r="K221" s="10">
        <f>IF($A221="","",IF($I221=0,"",_xludf.AGGREGATE(14,6,Ventes_Encaissements!$C$6:$C$3005/(Ventes_Encaissements!$B$6:$B$3005=$A221),1)))</f>
        <v/>
      </c>
      <c r="L221" s="11">
        <f>IF($A221="","",COUNTIFS(Ventes_Detail!$B$6:$B$3005,$A221))</f>
        <v/>
      </c>
      <c r="M221" s="12" t="n"/>
      <c r="N221" s="12">
        <f>IF($A221="","",IF($G221="","",IF($M221="Oui","Litige",IF($J221&lt;=0,"Payé",IF($I221&gt;0,"Partiel",IF(Listes!$B$3&gt;$G221,"En retard","À échoir"))))))</f>
        <v/>
      </c>
      <c r="O221" s="11">
        <f>IF($A221="","",IF(OR($G221="", $J221&lt;=0),0,MAX(0,Listes!$B$3-$G221)))</f>
        <v/>
      </c>
      <c r="P221" s="12">
        <f>IF($A221="","",IF($J221&lt;=0,"Payé",IF($M221="Oui","Litige",IF($O221=0,"À échoir",IF($O221&lt;=30,"0-30",IF($O221&lt;=60,"31-60",IF($O221&lt;=90,"61-90","90+")))))))</f>
        <v/>
      </c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9">
        <f>IF($A222="","",SUMIFS(Ventes_Encaissements!$D$6:$D$3005,Ventes_Encaissements!$B$6:$B$3005,$A222))</f>
        <v/>
      </c>
      <c r="J222" s="9">
        <f>IF($A222="","",$H222-$I222)</f>
        <v/>
      </c>
      <c r="K222" s="10">
        <f>IF($A222="","",IF($I222=0,"",_xludf.AGGREGATE(14,6,Ventes_Encaissements!$C$6:$C$3005/(Ventes_Encaissements!$B$6:$B$3005=$A222),1)))</f>
        <v/>
      </c>
      <c r="L222" s="11">
        <f>IF($A222="","",COUNTIFS(Ventes_Detail!$B$6:$B$3005,$A222))</f>
        <v/>
      </c>
      <c r="M222" s="12" t="n"/>
      <c r="N222" s="12">
        <f>IF($A222="","",IF($G222="","",IF($M222="Oui","Litige",IF($J222&lt;=0,"Payé",IF($I222&gt;0,"Partiel",IF(Listes!$B$3&gt;$G222,"En retard","À échoir"))))))</f>
        <v/>
      </c>
      <c r="O222" s="11">
        <f>IF($A222="","",IF(OR($G222="", $J222&lt;=0),0,MAX(0,Listes!$B$3-$G222)))</f>
        <v/>
      </c>
      <c r="P222" s="12">
        <f>IF($A222="","",IF($J222&lt;=0,"Payé",IF($M222="Oui","Litige",IF($O222=0,"À échoir",IF($O222&lt;=30,"0-30",IF($O222&lt;=60,"31-60",IF($O222&lt;=90,"61-90","90+")))))))</f>
        <v/>
      </c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9">
        <f>IF($A223="","",SUMIFS(Ventes_Encaissements!$D$6:$D$3005,Ventes_Encaissements!$B$6:$B$3005,$A223))</f>
        <v/>
      </c>
      <c r="J223" s="9">
        <f>IF($A223="","",$H223-$I223)</f>
        <v/>
      </c>
      <c r="K223" s="10">
        <f>IF($A223="","",IF($I223=0,"",_xludf.AGGREGATE(14,6,Ventes_Encaissements!$C$6:$C$3005/(Ventes_Encaissements!$B$6:$B$3005=$A223),1)))</f>
        <v/>
      </c>
      <c r="L223" s="11">
        <f>IF($A223="","",COUNTIFS(Ventes_Detail!$B$6:$B$3005,$A223))</f>
        <v/>
      </c>
      <c r="M223" s="12" t="n"/>
      <c r="N223" s="12">
        <f>IF($A223="","",IF($G223="","",IF($M223="Oui","Litige",IF($J223&lt;=0,"Payé",IF($I223&gt;0,"Partiel",IF(Listes!$B$3&gt;$G223,"En retard","À échoir"))))))</f>
        <v/>
      </c>
      <c r="O223" s="11">
        <f>IF($A223="","",IF(OR($G223="", $J223&lt;=0),0,MAX(0,Listes!$B$3-$G223)))</f>
        <v/>
      </c>
      <c r="P223" s="12">
        <f>IF($A223="","",IF($J223&lt;=0,"Payé",IF($M223="Oui","Litige",IF($O223=0,"À échoir",IF($O223&lt;=30,"0-30",IF($O223&lt;=60,"31-60",IF($O223&lt;=90,"61-90","90+")))))))</f>
        <v/>
      </c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9">
        <f>IF($A224="","",SUMIFS(Ventes_Encaissements!$D$6:$D$3005,Ventes_Encaissements!$B$6:$B$3005,$A224))</f>
        <v/>
      </c>
      <c r="J224" s="9">
        <f>IF($A224="","",$H224-$I224)</f>
        <v/>
      </c>
      <c r="K224" s="10">
        <f>IF($A224="","",IF($I224=0,"",_xludf.AGGREGATE(14,6,Ventes_Encaissements!$C$6:$C$3005/(Ventes_Encaissements!$B$6:$B$3005=$A224),1)))</f>
        <v/>
      </c>
      <c r="L224" s="11">
        <f>IF($A224="","",COUNTIFS(Ventes_Detail!$B$6:$B$3005,$A224))</f>
        <v/>
      </c>
      <c r="M224" s="12" t="n"/>
      <c r="N224" s="12">
        <f>IF($A224="","",IF($G224="","",IF($M224="Oui","Litige",IF($J224&lt;=0,"Payé",IF($I224&gt;0,"Partiel",IF(Listes!$B$3&gt;$G224,"En retard","À échoir"))))))</f>
        <v/>
      </c>
      <c r="O224" s="11">
        <f>IF($A224="","",IF(OR($G224="", $J224&lt;=0),0,MAX(0,Listes!$B$3-$G224)))</f>
        <v/>
      </c>
      <c r="P224" s="12">
        <f>IF($A224="","",IF($J224&lt;=0,"Payé",IF($M224="Oui","Litige",IF($O224=0,"À échoir",IF($O224&lt;=30,"0-30",IF($O224&lt;=60,"31-60",IF($O224&lt;=90,"61-90","90+")))))))</f>
        <v/>
      </c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9">
        <f>IF($A225="","",SUMIFS(Ventes_Encaissements!$D$6:$D$3005,Ventes_Encaissements!$B$6:$B$3005,$A225))</f>
        <v/>
      </c>
      <c r="J225" s="9">
        <f>IF($A225="","",$H225-$I225)</f>
        <v/>
      </c>
      <c r="K225" s="10">
        <f>IF($A225="","",IF($I225=0,"",_xludf.AGGREGATE(14,6,Ventes_Encaissements!$C$6:$C$3005/(Ventes_Encaissements!$B$6:$B$3005=$A225),1)))</f>
        <v/>
      </c>
      <c r="L225" s="11">
        <f>IF($A225="","",COUNTIFS(Ventes_Detail!$B$6:$B$3005,$A225))</f>
        <v/>
      </c>
      <c r="M225" s="12" t="n"/>
      <c r="N225" s="12">
        <f>IF($A225="","",IF($G225="","",IF($M225="Oui","Litige",IF($J225&lt;=0,"Payé",IF($I225&gt;0,"Partiel",IF(Listes!$B$3&gt;$G225,"En retard","À échoir"))))))</f>
        <v/>
      </c>
      <c r="O225" s="11">
        <f>IF($A225="","",IF(OR($G225="", $J225&lt;=0),0,MAX(0,Listes!$B$3-$G225)))</f>
        <v/>
      </c>
      <c r="P225" s="12">
        <f>IF($A225="","",IF($J225&lt;=0,"Payé",IF($M225="Oui","Litige",IF($O225=0,"À échoir",IF($O225&lt;=30,"0-30",IF($O225&lt;=60,"31-60",IF($O225&lt;=90,"61-90","90+")))))))</f>
        <v/>
      </c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9">
        <f>IF($A226="","",SUMIFS(Ventes_Encaissements!$D$6:$D$3005,Ventes_Encaissements!$B$6:$B$3005,$A226))</f>
        <v/>
      </c>
      <c r="J226" s="9">
        <f>IF($A226="","",$H226-$I226)</f>
        <v/>
      </c>
      <c r="K226" s="10">
        <f>IF($A226="","",IF($I226=0,"",_xludf.AGGREGATE(14,6,Ventes_Encaissements!$C$6:$C$3005/(Ventes_Encaissements!$B$6:$B$3005=$A226),1)))</f>
        <v/>
      </c>
      <c r="L226" s="11">
        <f>IF($A226="","",COUNTIFS(Ventes_Detail!$B$6:$B$3005,$A226))</f>
        <v/>
      </c>
      <c r="M226" s="12" t="n"/>
      <c r="N226" s="12">
        <f>IF($A226="","",IF($G226="","",IF($M226="Oui","Litige",IF($J226&lt;=0,"Payé",IF($I226&gt;0,"Partiel",IF(Listes!$B$3&gt;$G226,"En retard","À échoir"))))))</f>
        <v/>
      </c>
      <c r="O226" s="11">
        <f>IF($A226="","",IF(OR($G226="", $J226&lt;=0),0,MAX(0,Listes!$B$3-$G226)))</f>
        <v/>
      </c>
      <c r="P226" s="12">
        <f>IF($A226="","",IF($J226&lt;=0,"Payé",IF($M226="Oui","Litige",IF($O226=0,"À échoir",IF($O226&lt;=30,"0-30",IF($O226&lt;=60,"31-60",IF($O226&lt;=90,"61-90","90+")))))))</f>
        <v/>
      </c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9">
        <f>IF($A227="","",SUMIFS(Ventes_Encaissements!$D$6:$D$3005,Ventes_Encaissements!$B$6:$B$3005,$A227))</f>
        <v/>
      </c>
      <c r="J227" s="9">
        <f>IF($A227="","",$H227-$I227)</f>
        <v/>
      </c>
      <c r="K227" s="10">
        <f>IF($A227="","",IF($I227=0,"",_xludf.AGGREGATE(14,6,Ventes_Encaissements!$C$6:$C$3005/(Ventes_Encaissements!$B$6:$B$3005=$A227),1)))</f>
        <v/>
      </c>
      <c r="L227" s="11">
        <f>IF($A227="","",COUNTIFS(Ventes_Detail!$B$6:$B$3005,$A227))</f>
        <v/>
      </c>
      <c r="M227" s="12" t="n"/>
      <c r="N227" s="12">
        <f>IF($A227="","",IF($G227="","",IF($M227="Oui","Litige",IF($J227&lt;=0,"Payé",IF($I227&gt;0,"Partiel",IF(Listes!$B$3&gt;$G227,"En retard","À échoir"))))))</f>
        <v/>
      </c>
      <c r="O227" s="11">
        <f>IF($A227="","",IF(OR($G227="", $J227&lt;=0),0,MAX(0,Listes!$B$3-$G227)))</f>
        <v/>
      </c>
      <c r="P227" s="12">
        <f>IF($A227="","",IF($J227&lt;=0,"Payé",IF($M227="Oui","Litige",IF($O227=0,"À échoir",IF($O227&lt;=30,"0-30",IF($O227&lt;=60,"31-60",IF($O227&lt;=90,"61-90","90+")))))))</f>
        <v/>
      </c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9">
        <f>IF($A228="","",SUMIFS(Ventes_Encaissements!$D$6:$D$3005,Ventes_Encaissements!$B$6:$B$3005,$A228))</f>
        <v/>
      </c>
      <c r="J228" s="9">
        <f>IF($A228="","",$H228-$I228)</f>
        <v/>
      </c>
      <c r="K228" s="10">
        <f>IF($A228="","",IF($I228=0,"",_xludf.AGGREGATE(14,6,Ventes_Encaissements!$C$6:$C$3005/(Ventes_Encaissements!$B$6:$B$3005=$A228),1)))</f>
        <v/>
      </c>
      <c r="L228" s="11">
        <f>IF($A228="","",COUNTIFS(Ventes_Detail!$B$6:$B$3005,$A228))</f>
        <v/>
      </c>
      <c r="M228" s="12" t="n"/>
      <c r="N228" s="12">
        <f>IF($A228="","",IF($G228="","",IF($M228="Oui","Litige",IF($J228&lt;=0,"Payé",IF($I228&gt;0,"Partiel",IF(Listes!$B$3&gt;$G228,"En retard","À échoir"))))))</f>
        <v/>
      </c>
      <c r="O228" s="11">
        <f>IF($A228="","",IF(OR($G228="", $J228&lt;=0),0,MAX(0,Listes!$B$3-$G228)))</f>
        <v/>
      </c>
      <c r="P228" s="12">
        <f>IF($A228="","",IF($J228&lt;=0,"Payé",IF($M228="Oui","Litige",IF($O228=0,"À échoir",IF($O228&lt;=30,"0-30",IF($O228&lt;=60,"31-60",IF($O228&lt;=90,"61-90","90+")))))))</f>
        <v/>
      </c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9">
        <f>IF($A229="","",SUMIFS(Ventes_Encaissements!$D$6:$D$3005,Ventes_Encaissements!$B$6:$B$3005,$A229))</f>
        <v/>
      </c>
      <c r="J229" s="9">
        <f>IF($A229="","",$H229-$I229)</f>
        <v/>
      </c>
      <c r="K229" s="10">
        <f>IF($A229="","",IF($I229=0,"",_xludf.AGGREGATE(14,6,Ventes_Encaissements!$C$6:$C$3005/(Ventes_Encaissements!$B$6:$B$3005=$A229),1)))</f>
        <v/>
      </c>
      <c r="L229" s="11">
        <f>IF($A229="","",COUNTIFS(Ventes_Detail!$B$6:$B$3005,$A229))</f>
        <v/>
      </c>
      <c r="M229" s="12" t="n"/>
      <c r="N229" s="12">
        <f>IF($A229="","",IF($G229="","",IF($M229="Oui","Litige",IF($J229&lt;=0,"Payé",IF($I229&gt;0,"Partiel",IF(Listes!$B$3&gt;$G229,"En retard","À échoir"))))))</f>
        <v/>
      </c>
      <c r="O229" s="11">
        <f>IF($A229="","",IF(OR($G229="", $J229&lt;=0),0,MAX(0,Listes!$B$3-$G229)))</f>
        <v/>
      </c>
      <c r="P229" s="12">
        <f>IF($A229="","",IF($J229&lt;=0,"Payé",IF($M229="Oui","Litige",IF($O229=0,"À échoir",IF($O229&lt;=30,"0-30",IF($O229&lt;=60,"31-60",IF($O229&lt;=90,"61-90","90+")))))))</f>
        <v/>
      </c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9">
        <f>IF($A230="","",SUMIFS(Ventes_Encaissements!$D$6:$D$3005,Ventes_Encaissements!$B$6:$B$3005,$A230))</f>
        <v/>
      </c>
      <c r="J230" s="9">
        <f>IF($A230="","",$H230-$I230)</f>
        <v/>
      </c>
      <c r="K230" s="10">
        <f>IF($A230="","",IF($I230=0,"",_xludf.AGGREGATE(14,6,Ventes_Encaissements!$C$6:$C$3005/(Ventes_Encaissements!$B$6:$B$3005=$A230),1)))</f>
        <v/>
      </c>
      <c r="L230" s="11">
        <f>IF($A230="","",COUNTIFS(Ventes_Detail!$B$6:$B$3005,$A230))</f>
        <v/>
      </c>
      <c r="M230" s="12" t="n"/>
      <c r="N230" s="12">
        <f>IF($A230="","",IF($G230="","",IF($M230="Oui","Litige",IF($J230&lt;=0,"Payé",IF($I230&gt;0,"Partiel",IF(Listes!$B$3&gt;$G230,"En retard","À échoir"))))))</f>
        <v/>
      </c>
      <c r="O230" s="11">
        <f>IF($A230="","",IF(OR($G230="", $J230&lt;=0),0,MAX(0,Listes!$B$3-$G230)))</f>
        <v/>
      </c>
      <c r="P230" s="12">
        <f>IF($A230="","",IF($J230&lt;=0,"Payé",IF($M230="Oui","Litige",IF($O230=0,"À échoir",IF($O230&lt;=30,"0-30",IF($O230&lt;=60,"31-60",IF($O230&lt;=90,"61-90","90+")))))))</f>
        <v/>
      </c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9">
        <f>IF($A231="","",SUMIFS(Ventes_Encaissements!$D$6:$D$3005,Ventes_Encaissements!$B$6:$B$3005,$A231))</f>
        <v/>
      </c>
      <c r="J231" s="9">
        <f>IF($A231="","",$H231-$I231)</f>
        <v/>
      </c>
      <c r="K231" s="10">
        <f>IF($A231="","",IF($I231=0,"",_xludf.AGGREGATE(14,6,Ventes_Encaissements!$C$6:$C$3005/(Ventes_Encaissements!$B$6:$B$3005=$A231),1)))</f>
        <v/>
      </c>
      <c r="L231" s="11">
        <f>IF($A231="","",COUNTIFS(Ventes_Detail!$B$6:$B$3005,$A231))</f>
        <v/>
      </c>
      <c r="M231" s="12" t="n"/>
      <c r="N231" s="12">
        <f>IF($A231="","",IF($G231="","",IF($M231="Oui","Litige",IF($J231&lt;=0,"Payé",IF($I231&gt;0,"Partiel",IF(Listes!$B$3&gt;$G231,"En retard","À échoir"))))))</f>
        <v/>
      </c>
      <c r="O231" s="11">
        <f>IF($A231="","",IF(OR($G231="", $J231&lt;=0),0,MAX(0,Listes!$B$3-$G231)))</f>
        <v/>
      </c>
      <c r="P231" s="12">
        <f>IF($A231="","",IF($J231&lt;=0,"Payé",IF($M231="Oui","Litige",IF($O231=0,"À échoir",IF($O231&lt;=30,"0-30",IF($O231&lt;=60,"31-60",IF($O231&lt;=90,"61-90","90+")))))))</f>
        <v/>
      </c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9">
        <f>IF($A232="","",SUMIFS(Ventes_Encaissements!$D$6:$D$3005,Ventes_Encaissements!$B$6:$B$3005,$A232))</f>
        <v/>
      </c>
      <c r="J232" s="9">
        <f>IF($A232="","",$H232-$I232)</f>
        <v/>
      </c>
      <c r="K232" s="10">
        <f>IF($A232="","",IF($I232=0,"",_xludf.AGGREGATE(14,6,Ventes_Encaissements!$C$6:$C$3005/(Ventes_Encaissements!$B$6:$B$3005=$A232),1)))</f>
        <v/>
      </c>
      <c r="L232" s="11">
        <f>IF($A232="","",COUNTIFS(Ventes_Detail!$B$6:$B$3005,$A232))</f>
        <v/>
      </c>
      <c r="M232" s="12" t="n"/>
      <c r="N232" s="12">
        <f>IF($A232="","",IF($G232="","",IF($M232="Oui","Litige",IF($J232&lt;=0,"Payé",IF($I232&gt;0,"Partiel",IF(Listes!$B$3&gt;$G232,"En retard","À échoir"))))))</f>
        <v/>
      </c>
      <c r="O232" s="11">
        <f>IF($A232="","",IF(OR($G232="", $J232&lt;=0),0,MAX(0,Listes!$B$3-$G232)))</f>
        <v/>
      </c>
      <c r="P232" s="12">
        <f>IF($A232="","",IF($J232&lt;=0,"Payé",IF($M232="Oui","Litige",IF($O232=0,"À échoir",IF($O232&lt;=30,"0-30",IF($O232&lt;=60,"31-60",IF($O232&lt;=90,"61-90","90+")))))))</f>
        <v/>
      </c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9">
        <f>IF($A233="","",SUMIFS(Ventes_Encaissements!$D$6:$D$3005,Ventes_Encaissements!$B$6:$B$3005,$A233))</f>
        <v/>
      </c>
      <c r="J233" s="9">
        <f>IF($A233="","",$H233-$I233)</f>
        <v/>
      </c>
      <c r="K233" s="10">
        <f>IF($A233="","",IF($I233=0,"",_xludf.AGGREGATE(14,6,Ventes_Encaissements!$C$6:$C$3005/(Ventes_Encaissements!$B$6:$B$3005=$A233),1)))</f>
        <v/>
      </c>
      <c r="L233" s="11">
        <f>IF($A233="","",COUNTIFS(Ventes_Detail!$B$6:$B$3005,$A233))</f>
        <v/>
      </c>
      <c r="M233" s="12" t="n"/>
      <c r="N233" s="12">
        <f>IF($A233="","",IF($G233="","",IF($M233="Oui","Litige",IF($J233&lt;=0,"Payé",IF($I233&gt;0,"Partiel",IF(Listes!$B$3&gt;$G233,"En retard","À échoir"))))))</f>
        <v/>
      </c>
      <c r="O233" s="11">
        <f>IF($A233="","",IF(OR($G233="", $J233&lt;=0),0,MAX(0,Listes!$B$3-$G233)))</f>
        <v/>
      </c>
      <c r="P233" s="12">
        <f>IF($A233="","",IF($J233&lt;=0,"Payé",IF($M233="Oui","Litige",IF($O233=0,"À échoir",IF($O233&lt;=30,"0-30",IF($O233&lt;=60,"31-60",IF($O233&lt;=90,"61-90","90+")))))))</f>
        <v/>
      </c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9">
        <f>IF($A234="","",SUMIFS(Ventes_Encaissements!$D$6:$D$3005,Ventes_Encaissements!$B$6:$B$3005,$A234))</f>
        <v/>
      </c>
      <c r="J234" s="9">
        <f>IF($A234="","",$H234-$I234)</f>
        <v/>
      </c>
      <c r="K234" s="10">
        <f>IF($A234="","",IF($I234=0,"",_xludf.AGGREGATE(14,6,Ventes_Encaissements!$C$6:$C$3005/(Ventes_Encaissements!$B$6:$B$3005=$A234),1)))</f>
        <v/>
      </c>
      <c r="L234" s="11">
        <f>IF($A234="","",COUNTIFS(Ventes_Detail!$B$6:$B$3005,$A234))</f>
        <v/>
      </c>
      <c r="M234" s="12" t="n"/>
      <c r="N234" s="12">
        <f>IF($A234="","",IF($G234="","",IF($M234="Oui","Litige",IF($J234&lt;=0,"Payé",IF($I234&gt;0,"Partiel",IF(Listes!$B$3&gt;$G234,"En retard","À échoir"))))))</f>
        <v/>
      </c>
      <c r="O234" s="11">
        <f>IF($A234="","",IF(OR($G234="", $J234&lt;=0),0,MAX(0,Listes!$B$3-$G234)))</f>
        <v/>
      </c>
      <c r="P234" s="12">
        <f>IF($A234="","",IF($J234&lt;=0,"Payé",IF($M234="Oui","Litige",IF($O234=0,"À échoir",IF($O234&lt;=30,"0-30",IF($O234&lt;=60,"31-60",IF($O234&lt;=90,"61-90","90+")))))))</f>
        <v/>
      </c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9">
        <f>IF($A235="","",SUMIFS(Ventes_Encaissements!$D$6:$D$3005,Ventes_Encaissements!$B$6:$B$3005,$A235))</f>
        <v/>
      </c>
      <c r="J235" s="9">
        <f>IF($A235="","",$H235-$I235)</f>
        <v/>
      </c>
      <c r="K235" s="10">
        <f>IF($A235="","",IF($I235=0,"",_xludf.AGGREGATE(14,6,Ventes_Encaissements!$C$6:$C$3005/(Ventes_Encaissements!$B$6:$B$3005=$A235),1)))</f>
        <v/>
      </c>
      <c r="L235" s="11">
        <f>IF($A235="","",COUNTIFS(Ventes_Detail!$B$6:$B$3005,$A235))</f>
        <v/>
      </c>
      <c r="M235" s="12" t="n"/>
      <c r="N235" s="12">
        <f>IF($A235="","",IF($G235="","",IF($M235="Oui","Litige",IF($J235&lt;=0,"Payé",IF($I235&gt;0,"Partiel",IF(Listes!$B$3&gt;$G235,"En retard","À échoir"))))))</f>
        <v/>
      </c>
      <c r="O235" s="11">
        <f>IF($A235="","",IF(OR($G235="", $J235&lt;=0),0,MAX(0,Listes!$B$3-$G235)))</f>
        <v/>
      </c>
      <c r="P235" s="12">
        <f>IF($A235="","",IF($J235&lt;=0,"Payé",IF($M235="Oui","Litige",IF($O235=0,"À échoir",IF($O235&lt;=30,"0-30",IF($O235&lt;=60,"31-60",IF($O235&lt;=90,"61-90","90+")))))))</f>
        <v/>
      </c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9">
        <f>IF($A236="","",SUMIFS(Ventes_Encaissements!$D$6:$D$3005,Ventes_Encaissements!$B$6:$B$3005,$A236))</f>
        <v/>
      </c>
      <c r="J236" s="9">
        <f>IF($A236="","",$H236-$I236)</f>
        <v/>
      </c>
      <c r="K236" s="10">
        <f>IF($A236="","",IF($I236=0,"",_xludf.AGGREGATE(14,6,Ventes_Encaissements!$C$6:$C$3005/(Ventes_Encaissements!$B$6:$B$3005=$A236),1)))</f>
        <v/>
      </c>
      <c r="L236" s="11">
        <f>IF($A236="","",COUNTIFS(Ventes_Detail!$B$6:$B$3005,$A236))</f>
        <v/>
      </c>
      <c r="M236" s="12" t="n"/>
      <c r="N236" s="12">
        <f>IF($A236="","",IF($G236="","",IF($M236="Oui","Litige",IF($J236&lt;=0,"Payé",IF($I236&gt;0,"Partiel",IF(Listes!$B$3&gt;$G236,"En retard","À échoir"))))))</f>
        <v/>
      </c>
      <c r="O236" s="11">
        <f>IF($A236="","",IF(OR($G236="", $J236&lt;=0),0,MAX(0,Listes!$B$3-$G236)))</f>
        <v/>
      </c>
      <c r="P236" s="12">
        <f>IF($A236="","",IF($J236&lt;=0,"Payé",IF($M236="Oui","Litige",IF($O236=0,"À échoir",IF($O236&lt;=30,"0-30",IF($O236&lt;=60,"31-60",IF($O236&lt;=90,"61-90","90+")))))))</f>
        <v/>
      </c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9">
        <f>IF($A237="","",SUMIFS(Ventes_Encaissements!$D$6:$D$3005,Ventes_Encaissements!$B$6:$B$3005,$A237))</f>
        <v/>
      </c>
      <c r="J237" s="9">
        <f>IF($A237="","",$H237-$I237)</f>
        <v/>
      </c>
      <c r="K237" s="10">
        <f>IF($A237="","",IF($I237=0,"",_xludf.AGGREGATE(14,6,Ventes_Encaissements!$C$6:$C$3005/(Ventes_Encaissements!$B$6:$B$3005=$A237),1)))</f>
        <v/>
      </c>
      <c r="L237" s="11">
        <f>IF($A237="","",COUNTIFS(Ventes_Detail!$B$6:$B$3005,$A237))</f>
        <v/>
      </c>
      <c r="M237" s="12" t="n"/>
      <c r="N237" s="12">
        <f>IF($A237="","",IF($G237="","",IF($M237="Oui","Litige",IF($J237&lt;=0,"Payé",IF($I237&gt;0,"Partiel",IF(Listes!$B$3&gt;$G237,"En retard","À échoir"))))))</f>
        <v/>
      </c>
      <c r="O237" s="11">
        <f>IF($A237="","",IF(OR($G237="", $J237&lt;=0),0,MAX(0,Listes!$B$3-$G237)))</f>
        <v/>
      </c>
      <c r="P237" s="12">
        <f>IF($A237="","",IF($J237&lt;=0,"Payé",IF($M237="Oui","Litige",IF($O237=0,"À échoir",IF($O237&lt;=30,"0-30",IF($O237&lt;=60,"31-60",IF($O237&lt;=90,"61-90","90+")))))))</f>
        <v/>
      </c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9">
        <f>IF($A238="","",SUMIFS(Ventes_Encaissements!$D$6:$D$3005,Ventes_Encaissements!$B$6:$B$3005,$A238))</f>
        <v/>
      </c>
      <c r="J238" s="9">
        <f>IF($A238="","",$H238-$I238)</f>
        <v/>
      </c>
      <c r="K238" s="10">
        <f>IF($A238="","",IF($I238=0,"",_xludf.AGGREGATE(14,6,Ventes_Encaissements!$C$6:$C$3005/(Ventes_Encaissements!$B$6:$B$3005=$A238),1)))</f>
        <v/>
      </c>
      <c r="L238" s="11">
        <f>IF($A238="","",COUNTIFS(Ventes_Detail!$B$6:$B$3005,$A238))</f>
        <v/>
      </c>
      <c r="M238" s="12" t="n"/>
      <c r="N238" s="12">
        <f>IF($A238="","",IF($G238="","",IF($M238="Oui","Litige",IF($J238&lt;=0,"Payé",IF($I238&gt;0,"Partiel",IF(Listes!$B$3&gt;$G238,"En retard","À échoir"))))))</f>
        <v/>
      </c>
      <c r="O238" s="11">
        <f>IF($A238="","",IF(OR($G238="", $J238&lt;=0),0,MAX(0,Listes!$B$3-$G238)))</f>
        <v/>
      </c>
      <c r="P238" s="12">
        <f>IF($A238="","",IF($J238&lt;=0,"Payé",IF($M238="Oui","Litige",IF($O238=0,"À échoir",IF($O238&lt;=30,"0-30",IF($O238&lt;=60,"31-60",IF($O238&lt;=90,"61-90","90+")))))))</f>
        <v/>
      </c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9">
        <f>IF($A239="","",SUMIFS(Ventes_Encaissements!$D$6:$D$3005,Ventes_Encaissements!$B$6:$B$3005,$A239))</f>
        <v/>
      </c>
      <c r="J239" s="9">
        <f>IF($A239="","",$H239-$I239)</f>
        <v/>
      </c>
      <c r="K239" s="10">
        <f>IF($A239="","",IF($I239=0,"",_xludf.AGGREGATE(14,6,Ventes_Encaissements!$C$6:$C$3005/(Ventes_Encaissements!$B$6:$B$3005=$A239),1)))</f>
        <v/>
      </c>
      <c r="L239" s="11">
        <f>IF($A239="","",COUNTIFS(Ventes_Detail!$B$6:$B$3005,$A239))</f>
        <v/>
      </c>
      <c r="M239" s="12" t="n"/>
      <c r="N239" s="12">
        <f>IF($A239="","",IF($G239="","",IF($M239="Oui","Litige",IF($J239&lt;=0,"Payé",IF($I239&gt;0,"Partiel",IF(Listes!$B$3&gt;$G239,"En retard","À échoir"))))))</f>
        <v/>
      </c>
      <c r="O239" s="11">
        <f>IF($A239="","",IF(OR($G239="", $J239&lt;=0),0,MAX(0,Listes!$B$3-$G239)))</f>
        <v/>
      </c>
      <c r="P239" s="12">
        <f>IF($A239="","",IF($J239&lt;=0,"Payé",IF($M239="Oui","Litige",IF($O239=0,"À échoir",IF($O239&lt;=30,"0-30",IF($O239&lt;=60,"31-60",IF($O239&lt;=90,"61-90","90+")))))))</f>
        <v/>
      </c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9">
        <f>IF($A240="","",SUMIFS(Ventes_Encaissements!$D$6:$D$3005,Ventes_Encaissements!$B$6:$B$3005,$A240))</f>
        <v/>
      </c>
      <c r="J240" s="9">
        <f>IF($A240="","",$H240-$I240)</f>
        <v/>
      </c>
      <c r="K240" s="10">
        <f>IF($A240="","",IF($I240=0,"",_xludf.AGGREGATE(14,6,Ventes_Encaissements!$C$6:$C$3005/(Ventes_Encaissements!$B$6:$B$3005=$A240),1)))</f>
        <v/>
      </c>
      <c r="L240" s="11">
        <f>IF($A240="","",COUNTIFS(Ventes_Detail!$B$6:$B$3005,$A240))</f>
        <v/>
      </c>
      <c r="M240" s="12" t="n"/>
      <c r="N240" s="12">
        <f>IF($A240="","",IF($G240="","",IF($M240="Oui","Litige",IF($J240&lt;=0,"Payé",IF($I240&gt;0,"Partiel",IF(Listes!$B$3&gt;$G240,"En retard","À échoir"))))))</f>
        <v/>
      </c>
      <c r="O240" s="11">
        <f>IF($A240="","",IF(OR($G240="", $J240&lt;=0),0,MAX(0,Listes!$B$3-$G240)))</f>
        <v/>
      </c>
      <c r="P240" s="12">
        <f>IF($A240="","",IF($J240&lt;=0,"Payé",IF($M240="Oui","Litige",IF($O240=0,"À échoir",IF($O240&lt;=30,"0-30",IF($O240&lt;=60,"31-60",IF($O240&lt;=90,"61-90","90+")))))))</f>
        <v/>
      </c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9">
        <f>IF($A241="","",SUMIFS(Ventes_Encaissements!$D$6:$D$3005,Ventes_Encaissements!$B$6:$B$3005,$A241))</f>
        <v/>
      </c>
      <c r="J241" s="9">
        <f>IF($A241="","",$H241-$I241)</f>
        <v/>
      </c>
      <c r="K241" s="10">
        <f>IF($A241="","",IF($I241=0,"",_xludf.AGGREGATE(14,6,Ventes_Encaissements!$C$6:$C$3005/(Ventes_Encaissements!$B$6:$B$3005=$A241),1)))</f>
        <v/>
      </c>
      <c r="L241" s="11">
        <f>IF($A241="","",COUNTIFS(Ventes_Detail!$B$6:$B$3005,$A241))</f>
        <v/>
      </c>
      <c r="M241" s="12" t="n"/>
      <c r="N241" s="12">
        <f>IF($A241="","",IF($G241="","",IF($M241="Oui","Litige",IF($J241&lt;=0,"Payé",IF($I241&gt;0,"Partiel",IF(Listes!$B$3&gt;$G241,"En retard","À échoir"))))))</f>
        <v/>
      </c>
      <c r="O241" s="11">
        <f>IF($A241="","",IF(OR($G241="", $J241&lt;=0),0,MAX(0,Listes!$B$3-$G241)))</f>
        <v/>
      </c>
      <c r="P241" s="12">
        <f>IF($A241="","",IF($J241&lt;=0,"Payé",IF($M241="Oui","Litige",IF($O241=0,"À échoir",IF($O241&lt;=30,"0-30",IF($O241&lt;=60,"31-60",IF($O241&lt;=90,"61-90","90+")))))))</f>
        <v/>
      </c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9">
        <f>IF($A242="","",SUMIFS(Ventes_Encaissements!$D$6:$D$3005,Ventes_Encaissements!$B$6:$B$3005,$A242))</f>
        <v/>
      </c>
      <c r="J242" s="9">
        <f>IF($A242="","",$H242-$I242)</f>
        <v/>
      </c>
      <c r="K242" s="10">
        <f>IF($A242="","",IF($I242=0,"",_xludf.AGGREGATE(14,6,Ventes_Encaissements!$C$6:$C$3005/(Ventes_Encaissements!$B$6:$B$3005=$A242),1)))</f>
        <v/>
      </c>
      <c r="L242" s="11">
        <f>IF($A242="","",COUNTIFS(Ventes_Detail!$B$6:$B$3005,$A242))</f>
        <v/>
      </c>
      <c r="M242" s="12" t="n"/>
      <c r="N242" s="12">
        <f>IF($A242="","",IF($G242="","",IF($M242="Oui","Litige",IF($J242&lt;=0,"Payé",IF($I242&gt;0,"Partiel",IF(Listes!$B$3&gt;$G242,"En retard","À échoir"))))))</f>
        <v/>
      </c>
      <c r="O242" s="11">
        <f>IF($A242="","",IF(OR($G242="", $J242&lt;=0),0,MAX(0,Listes!$B$3-$G242)))</f>
        <v/>
      </c>
      <c r="P242" s="12">
        <f>IF($A242="","",IF($J242&lt;=0,"Payé",IF($M242="Oui","Litige",IF($O242=0,"À échoir",IF($O242&lt;=30,"0-30",IF($O242&lt;=60,"31-60",IF($O242&lt;=90,"61-90","90+")))))))</f>
        <v/>
      </c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9">
        <f>IF($A243="","",SUMIFS(Ventes_Encaissements!$D$6:$D$3005,Ventes_Encaissements!$B$6:$B$3005,$A243))</f>
        <v/>
      </c>
      <c r="J243" s="9">
        <f>IF($A243="","",$H243-$I243)</f>
        <v/>
      </c>
      <c r="K243" s="10">
        <f>IF($A243="","",IF($I243=0,"",_xludf.AGGREGATE(14,6,Ventes_Encaissements!$C$6:$C$3005/(Ventes_Encaissements!$B$6:$B$3005=$A243),1)))</f>
        <v/>
      </c>
      <c r="L243" s="11">
        <f>IF($A243="","",COUNTIFS(Ventes_Detail!$B$6:$B$3005,$A243))</f>
        <v/>
      </c>
      <c r="M243" s="12" t="n"/>
      <c r="N243" s="12">
        <f>IF($A243="","",IF($G243="","",IF($M243="Oui","Litige",IF($J243&lt;=0,"Payé",IF($I243&gt;0,"Partiel",IF(Listes!$B$3&gt;$G243,"En retard","À échoir"))))))</f>
        <v/>
      </c>
      <c r="O243" s="11">
        <f>IF($A243="","",IF(OR($G243="", $J243&lt;=0),0,MAX(0,Listes!$B$3-$G243)))</f>
        <v/>
      </c>
      <c r="P243" s="12">
        <f>IF($A243="","",IF($J243&lt;=0,"Payé",IF($M243="Oui","Litige",IF($O243=0,"À échoir",IF($O243&lt;=30,"0-30",IF($O243&lt;=60,"31-60",IF($O243&lt;=90,"61-90","90+")))))))</f>
        <v/>
      </c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9">
        <f>IF($A244="","",SUMIFS(Ventes_Encaissements!$D$6:$D$3005,Ventes_Encaissements!$B$6:$B$3005,$A244))</f>
        <v/>
      </c>
      <c r="J244" s="9">
        <f>IF($A244="","",$H244-$I244)</f>
        <v/>
      </c>
      <c r="K244" s="10">
        <f>IF($A244="","",IF($I244=0,"",_xludf.AGGREGATE(14,6,Ventes_Encaissements!$C$6:$C$3005/(Ventes_Encaissements!$B$6:$B$3005=$A244),1)))</f>
        <v/>
      </c>
      <c r="L244" s="11">
        <f>IF($A244="","",COUNTIFS(Ventes_Detail!$B$6:$B$3005,$A244))</f>
        <v/>
      </c>
      <c r="M244" s="12" t="n"/>
      <c r="N244" s="12">
        <f>IF($A244="","",IF($G244="","",IF($M244="Oui","Litige",IF($J244&lt;=0,"Payé",IF($I244&gt;0,"Partiel",IF(Listes!$B$3&gt;$G244,"En retard","À échoir"))))))</f>
        <v/>
      </c>
      <c r="O244" s="11">
        <f>IF($A244="","",IF(OR($G244="", $J244&lt;=0),0,MAX(0,Listes!$B$3-$G244)))</f>
        <v/>
      </c>
      <c r="P244" s="12">
        <f>IF($A244="","",IF($J244&lt;=0,"Payé",IF($M244="Oui","Litige",IF($O244=0,"À échoir",IF($O244&lt;=30,"0-30",IF($O244&lt;=60,"31-60",IF($O244&lt;=90,"61-90","90+")))))))</f>
        <v/>
      </c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9">
        <f>IF($A245="","",SUMIFS(Ventes_Encaissements!$D$6:$D$3005,Ventes_Encaissements!$B$6:$B$3005,$A245))</f>
        <v/>
      </c>
      <c r="J245" s="9">
        <f>IF($A245="","",$H245-$I245)</f>
        <v/>
      </c>
      <c r="K245" s="10">
        <f>IF($A245="","",IF($I245=0,"",_xludf.AGGREGATE(14,6,Ventes_Encaissements!$C$6:$C$3005/(Ventes_Encaissements!$B$6:$B$3005=$A245),1)))</f>
        <v/>
      </c>
      <c r="L245" s="11">
        <f>IF($A245="","",COUNTIFS(Ventes_Detail!$B$6:$B$3005,$A245))</f>
        <v/>
      </c>
      <c r="M245" s="12" t="n"/>
      <c r="N245" s="12">
        <f>IF($A245="","",IF($G245="","",IF($M245="Oui","Litige",IF($J245&lt;=0,"Payé",IF($I245&gt;0,"Partiel",IF(Listes!$B$3&gt;$G245,"En retard","À échoir"))))))</f>
        <v/>
      </c>
      <c r="O245" s="11">
        <f>IF($A245="","",IF(OR($G245="", $J245&lt;=0),0,MAX(0,Listes!$B$3-$G245)))</f>
        <v/>
      </c>
      <c r="P245" s="12">
        <f>IF($A245="","",IF($J245&lt;=0,"Payé",IF($M245="Oui","Litige",IF($O245=0,"À échoir",IF($O245&lt;=30,"0-30",IF($O245&lt;=60,"31-60",IF($O245&lt;=90,"61-90","90+")))))))</f>
        <v/>
      </c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9">
        <f>IF($A246="","",SUMIFS(Ventes_Encaissements!$D$6:$D$3005,Ventes_Encaissements!$B$6:$B$3005,$A246))</f>
        <v/>
      </c>
      <c r="J246" s="9">
        <f>IF($A246="","",$H246-$I246)</f>
        <v/>
      </c>
      <c r="K246" s="10">
        <f>IF($A246="","",IF($I246=0,"",_xludf.AGGREGATE(14,6,Ventes_Encaissements!$C$6:$C$3005/(Ventes_Encaissements!$B$6:$B$3005=$A246),1)))</f>
        <v/>
      </c>
      <c r="L246" s="11">
        <f>IF($A246="","",COUNTIFS(Ventes_Detail!$B$6:$B$3005,$A246))</f>
        <v/>
      </c>
      <c r="M246" s="12" t="n"/>
      <c r="N246" s="12">
        <f>IF($A246="","",IF($G246="","",IF($M246="Oui","Litige",IF($J246&lt;=0,"Payé",IF($I246&gt;0,"Partiel",IF(Listes!$B$3&gt;$G246,"En retard","À échoir"))))))</f>
        <v/>
      </c>
      <c r="O246" s="11">
        <f>IF($A246="","",IF(OR($G246="", $J246&lt;=0),0,MAX(0,Listes!$B$3-$G246)))</f>
        <v/>
      </c>
      <c r="P246" s="12">
        <f>IF($A246="","",IF($J246&lt;=0,"Payé",IF($M246="Oui","Litige",IF($O246=0,"À échoir",IF($O246&lt;=30,"0-30",IF($O246&lt;=60,"31-60",IF($O246&lt;=90,"61-90","90+")))))))</f>
        <v/>
      </c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9">
        <f>IF($A247="","",SUMIFS(Ventes_Encaissements!$D$6:$D$3005,Ventes_Encaissements!$B$6:$B$3005,$A247))</f>
        <v/>
      </c>
      <c r="J247" s="9">
        <f>IF($A247="","",$H247-$I247)</f>
        <v/>
      </c>
      <c r="K247" s="10">
        <f>IF($A247="","",IF($I247=0,"",_xludf.AGGREGATE(14,6,Ventes_Encaissements!$C$6:$C$3005/(Ventes_Encaissements!$B$6:$B$3005=$A247),1)))</f>
        <v/>
      </c>
      <c r="L247" s="11">
        <f>IF($A247="","",COUNTIFS(Ventes_Detail!$B$6:$B$3005,$A247))</f>
        <v/>
      </c>
      <c r="M247" s="12" t="n"/>
      <c r="N247" s="12">
        <f>IF($A247="","",IF($G247="","",IF($M247="Oui","Litige",IF($J247&lt;=0,"Payé",IF($I247&gt;0,"Partiel",IF(Listes!$B$3&gt;$G247,"En retard","À échoir"))))))</f>
        <v/>
      </c>
      <c r="O247" s="11">
        <f>IF($A247="","",IF(OR($G247="", $J247&lt;=0),0,MAX(0,Listes!$B$3-$G247)))</f>
        <v/>
      </c>
      <c r="P247" s="12">
        <f>IF($A247="","",IF($J247&lt;=0,"Payé",IF($M247="Oui","Litige",IF($O247=0,"À échoir",IF($O247&lt;=30,"0-30",IF($O247&lt;=60,"31-60",IF($O247&lt;=90,"61-90","90+")))))))</f>
        <v/>
      </c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9">
        <f>IF($A248="","",SUMIFS(Ventes_Encaissements!$D$6:$D$3005,Ventes_Encaissements!$B$6:$B$3005,$A248))</f>
        <v/>
      </c>
      <c r="J248" s="9">
        <f>IF($A248="","",$H248-$I248)</f>
        <v/>
      </c>
      <c r="K248" s="10">
        <f>IF($A248="","",IF($I248=0,"",_xludf.AGGREGATE(14,6,Ventes_Encaissements!$C$6:$C$3005/(Ventes_Encaissements!$B$6:$B$3005=$A248),1)))</f>
        <v/>
      </c>
      <c r="L248" s="11">
        <f>IF($A248="","",COUNTIFS(Ventes_Detail!$B$6:$B$3005,$A248))</f>
        <v/>
      </c>
      <c r="M248" s="12" t="n"/>
      <c r="N248" s="12">
        <f>IF($A248="","",IF($G248="","",IF($M248="Oui","Litige",IF($J248&lt;=0,"Payé",IF($I248&gt;0,"Partiel",IF(Listes!$B$3&gt;$G248,"En retard","À échoir"))))))</f>
        <v/>
      </c>
      <c r="O248" s="11">
        <f>IF($A248="","",IF(OR($G248="", $J248&lt;=0),0,MAX(0,Listes!$B$3-$G248)))</f>
        <v/>
      </c>
      <c r="P248" s="12">
        <f>IF($A248="","",IF($J248&lt;=0,"Payé",IF($M248="Oui","Litige",IF($O248=0,"À échoir",IF($O248&lt;=30,"0-30",IF($O248&lt;=60,"31-60",IF($O248&lt;=90,"61-90","90+")))))))</f>
        <v/>
      </c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9">
        <f>IF($A249="","",SUMIFS(Ventes_Encaissements!$D$6:$D$3005,Ventes_Encaissements!$B$6:$B$3005,$A249))</f>
        <v/>
      </c>
      <c r="J249" s="9">
        <f>IF($A249="","",$H249-$I249)</f>
        <v/>
      </c>
      <c r="K249" s="10">
        <f>IF($A249="","",IF($I249=0,"",_xludf.AGGREGATE(14,6,Ventes_Encaissements!$C$6:$C$3005/(Ventes_Encaissements!$B$6:$B$3005=$A249),1)))</f>
        <v/>
      </c>
      <c r="L249" s="11">
        <f>IF($A249="","",COUNTIFS(Ventes_Detail!$B$6:$B$3005,$A249))</f>
        <v/>
      </c>
      <c r="M249" s="12" t="n"/>
      <c r="N249" s="12">
        <f>IF($A249="","",IF($G249="","",IF($M249="Oui","Litige",IF($J249&lt;=0,"Payé",IF($I249&gt;0,"Partiel",IF(Listes!$B$3&gt;$G249,"En retard","À échoir"))))))</f>
        <v/>
      </c>
      <c r="O249" s="11">
        <f>IF($A249="","",IF(OR($G249="", $J249&lt;=0),0,MAX(0,Listes!$B$3-$G249)))</f>
        <v/>
      </c>
      <c r="P249" s="12">
        <f>IF($A249="","",IF($J249&lt;=0,"Payé",IF($M249="Oui","Litige",IF($O249=0,"À échoir",IF($O249&lt;=30,"0-30",IF($O249&lt;=60,"31-60",IF($O249&lt;=90,"61-90","90+")))))))</f>
        <v/>
      </c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9">
        <f>IF($A250="","",SUMIFS(Ventes_Encaissements!$D$6:$D$3005,Ventes_Encaissements!$B$6:$B$3005,$A250))</f>
        <v/>
      </c>
      <c r="J250" s="9">
        <f>IF($A250="","",$H250-$I250)</f>
        <v/>
      </c>
      <c r="K250" s="10">
        <f>IF($A250="","",IF($I250=0,"",_xludf.AGGREGATE(14,6,Ventes_Encaissements!$C$6:$C$3005/(Ventes_Encaissements!$B$6:$B$3005=$A250),1)))</f>
        <v/>
      </c>
      <c r="L250" s="11">
        <f>IF($A250="","",COUNTIFS(Ventes_Detail!$B$6:$B$3005,$A250))</f>
        <v/>
      </c>
      <c r="M250" s="12" t="n"/>
      <c r="N250" s="12">
        <f>IF($A250="","",IF($G250="","",IF($M250="Oui","Litige",IF($J250&lt;=0,"Payé",IF($I250&gt;0,"Partiel",IF(Listes!$B$3&gt;$G250,"En retard","À échoir"))))))</f>
        <v/>
      </c>
      <c r="O250" s="11">
        <f>IF($A250="","",IF(OR($G250="", $J250&lt;=0),0,MAX(0,Listes!$B$3-$G250)))</f>
        <v/>
      </c>
      <c r="P250" s="12">
        <f>IF($A250="","",IF($J250&lt;=0,"Payé",IF($M250="Oui","Litige",IF($O250=0,"À échoir",IF($O250&lt;=30,"0-30",IF($O250&lt;=60,"31-60",IF($O250&lt;=90,"61-90","90+")))))))</f>
        <v/>
      </c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9">
        <f>IF($A251="","",SUMIFS(Ventes_Encaissements!$D$6:$D$3005,Ventes_Encaissements!$B$6:$B$3005,$A251))</f>
        <v/>
      </c>
      <c r="J251" s="9">
        <f>IF($A251="","",$H251-$I251)</f>
        <v/>
      </c>
      <c r="K251" s="10">
        <f>IF($A251="","",IF($I251=0,"",_xludf.AGGREGATE(14,6,Ventes_Encaissements!$C$6:$C$3005/(Ventes_Encaissements!$B$6:$B$3005=$A251),1)))</f>
        <v/>
      </c>
      <c r="L251" s="11">
        <f>IF($A251="","",COUNTIFS(Ventes_Detail!$B$6:$B$3005,$A251))</f>
        <v/>
      </c>
      <c r="M251" s="12" t="n"/>
      <c r="N251" s="12">
        <f>IF($A251="","",IF($G251="","",IF($M251="Oui","Litige",IF($J251&lt;=0,"Payé",IF($I251&gt;0,"Partiel",IF(Listes!$B$3&gt;$G251,"En retard","À échoir"))))))</f>
        <v/>
      </c>
      <c r="O251" s="11">
        <f>IF($A251="","",IF(OR($G251="", $J251&lt;=0),0,MAX(0,Listes!$B$3-$G251)))</f>
        <v/>
      </c>
      <c r="P251" s="12">
        <f>IF($A251="","",IF($J251&lt;=0,"Payé",IF($M251="Oui","Litige",IF($O251=0,"À échoir",IF($O251&lt;=30,"0-30",IF($O251&lt;=60,"31-60",IF($O251&lt;=90,"61-90","90+")))))))</f>
        <v/>
      </c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9">
        <f>IF($A252="","",SUMIFS(Ventes_Encaissements!$D$6:$D$3005,Ventes_Encaissements!$B$6:$B$3005,$A252))</f>
        <v/>
      </c>
      <c r="J252" s="9">
        <f>IF($A252="","",$H252-$I252)</f>
        <v/>
      </c>
      <c r="K252" s="10">
        <f>IF($A252="","",IF($I252=0,"",_xludf.AGGREGATE(14,6,Ventes_Encaissements!$C$6:$C$3005/(Ventes_Encaissements!$B$6:$B$3005=$A252),1)))</f>
        <v/>
      </c>
      <c r="L252" s="11">
        <f>IF($A252="","",COUNTIFS(Ventes_Detail!$B$6:$B$3005,$A252))</f>
        <v/>
      </c>
      <c r="M252" s="12" t="n"/>
      <c r="N252" s="12">
        <f>IF($A252="","",IF($G252="","",IF($M252="Oui","Litige",IF($J252&lt;=0,"Payé",IF($I252&gt;0,"Partiel",IF(Listes!$B$3&gt;$G252,"En retard","À échoir"))))))</f>
        <v/>
      </c>
      <c r="O252" s="11">
        <f>IF($A252="","",IF(OR($G252="", $J252&lt;=0),0,MAX(0,Listes!$B$3-$G252)))</f>
        <v/>
      </c>
      <c r="P252" s="12">
        <f>IF($A252="","",IF($J252&lt;=0,"Payé",IF($M252="Oui","Litige",IF($O252=0,"À échoir",IF($O252&lt;=30,"0-30",IF($O252&lt;=60,"31-60",IF($O252&lt;=90,"61-90","90+")))))))</f>
        <v/>
      </c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9">
        <f>IF($A253="","",SUMIFS(Ventes_Encaissements!$D$6:$D$3005,Ventes_Encaissements!$B$6:$B$3005,$A253))</f>
        <v/>
      </c>
      <c r="J253" s="9">
        <f>IF($A253="","",$H253-$I253)</f>
        <v/>
      </c>
      <c r="K253" s="10">
        <f>IF($A253="","",IF($I253=0,"",_xludf.AGGREGATE(14,6,Ventes_Encaissements!$C$6:$C$3005/(Ventes_Encaissements!$B$6:$B$3005=$A253),1)))</f>
        <v/>
      </c>
      <c r="L253" s="11">
        <f>IF($A253="","",COUNTIFS(Ventes_Detail!$B$6:$B$3005,$A253))</f>
        <v/>
      </c>
      <c r="M253" s="12" t="n"/>
      <c r="N253" s="12">
        <f>IF($A253="","",IF($G253="","",IF($M253="Oui","Litige",IF($J253&lt;=0,"Payé",IF($I253&gt;0,"Partiel",IF(Listes!$B$3&gt;$G253,"En retard","À échoir"))))))</f>
        <v/>
      </c>
      <c r="O253" s="11">
        <f>IF($A253="","",IF(OR($G253="", $J253&lt;=0),0,MAX(0,Listes!$B$3-$G253)))</f>
        <v/>
      </c>
      <c r="P253" s="12">
        <f>IF($A253="","",IF($J253&lt;=0,"Payé",IF($M253="Oui","Litige",IF($O253=0,"À échoir",IF($O253&lt;=30,"0-30",IF($O253&lt;=60,"31-60",IF($O253&lt;=90,"61-90","90+")))))))</f>
        <v/>
      </c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9">
        <f>IF($A254="","",SUMIFS(Ventes_Encaissements!$D$6:$D$3005,Ventes_Encaissements!$B$6:$B$3005,$A254))</f>
        <v/>
      </c>
      <c r="J254" s="9">
        <f>IF($A254="","",$H254-$I254)</f>
        <v/>
      </c>
      <c r="K254" s="10">
        <f>IF($A254="","",IF($I254=0,"",_xludf.AGGREGATE(14,6,Ventes_Encaissements!$C$6:$C$3005/(Ventes_Encaissements!$B$6:$B$3005=$A254),1)))</f>
        <v/>
      </c>
      <c r="L254" s="11">
        <f>IF($A254="","",COUNTIFS(Ventes_Detail!$B$6:$B$3005,$A254))</f>
        <v/>
      </c>
      <c r="M254" s="12" t="n"/>
      <c r="N254" s="12">
        <f>IF($A254="","",IF($G254="","",IF($M254="Oui","Litige",IF($J254&lt;=0,"Payé",IF($I254&gt;0,"Partiel",IF(Listes!$B$3&gt;$G254,"En retard","À échoir"))))))</f>
        <v/>
      </c>
      <c r="O254" s="11">
        <f>IF($A254="","",IF(OR($G254="", $J254&lt;=0),0,MAX(0,Listes!$B$3-$G254)))</f>
        <v/>
      </c>
      <c r="P254" s="12">
        <f>IF($A254="","",IF($J254&lt;=0,"Payé",IF($M254="Oui","Litige",IF($O254=0,"À échoir",IF($O254&lt;=30,"0-30",IF($O254&lt;=60,"31-60",IF($O254&lt;=90,"61-90","90+")))))))</f>
        <v/>
      </c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9">
        <f>IF($A255="","",SUMIFS(Ventes_Encaissements!$D$6:$D$3005,Ventes_Encaissements!$B$6:$B$3005,$A255))</f>
        <v/>
      </c>
      <c r="J255" s="9">
        <f>IF($A255="","",$H255-$I255)</f>
        <v/>
      </c>
      <c r="K255" s="10">
        <f>IF($A255="","",IF($I255=0,"",_xludf.AGGREGATE(14,6,Ventes_Encaissements!$C$6:$C$3005/(Ventes_Encaissements!$B$6:$B$3005=$A255),1)))</f>
        <v/>
      </c>
      <c r="L255" s="11">
        <f>IF($A255="","",COUNTIFS(Ventes_Detail!$B$6:$B$3005,$A255))</f>
        <v/>
      </c>
      <c r="M255" s="12" t="n"/>
      <c r="N255" s="12">
        <f>IF($A255="","",IF($G255="","",IF($M255="Oui","Litige",IF($J255&lt;=0,"Payé",IF($I255&gt;0,"Partiel",IF(Listes!$B$3&gt;$G255,"En retard","À échoir"))))))</f>
        <v/>
      </c>
      <c r="O255" s="11">
        <f>IF($A255="","",IF(OR($G255="", $J255&lt;=0),0,MAX(0,Listes!$B$3-$G255)))</f>
        <v/>
      </c>
      <c r="P255" s="12">
        <f>IF($A255="","",IF($J255&lt;=0,"Payé",IF($M255="Oui","Litige",IF($O255=0,"À échoir",IF($O255&lt;=30,"0-30",IF($O255&lt;=60,"31-60",IF($O255&lt;=90,"61-90","90+")))))))</f>
        <v/>
      </c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9">
        <f>IF($A256="","",SUMIFS(Ventes_Encaissements!$D$6:$D$3005,Ventes_Encaissements!$B$6:$B$3005,$A256))</f>
        <v/>
      </c>
      <c r="J256" s="9">
        <f>IF($A256="","",$H256-$I256)</f>
        <v/>
      </c>
      <c r="K256" s="10">
        <f>IF($A256="","",IF($I256=0,"",_xludf.AGGREGATE(14,6,Ventes_Encaissements!$C$6:$C$3005/(Ventes_Encaissements!$B$6:$B$3005=$A256),1)))</f>
        <v/>
      </c>
      <c r="L256" s="11">
        <f>IF($A256="","",COUNTIFS(Ventes_Detail!$B$6:$B$3005,$A256))</f>
        <v/>
      </c>
      <c r="M256" s="12" t="n"/>
      <c r="N256" s="12">
        <f>IF($A256="","",IF($G256="","",IF($M256="Oui","Litige",IF($J256&lt;=0,"Payé",IF($I256&gt;0,"Partiel",IF(Listes!$B$3&gt;$G256,"En retard","À échoir"))))))</f>
        <v/>
      </c>
      <c r="O256" s="11">
        <f>IF($A256="","",IF(OR($G256="", $J256&lt;=0),0,MAX(0,Listes!$B$3-$G256)))</f>
        <v/>
      </c>
      <c r="P256" s="12">
        <f>IF($A256="","",IF($J256&lt;=0,"Payé",IF($M256="Oui","Litige",IF($O256=0,"À échoir",IF($O256&lt;=30,"0-30",IF($O256&lt;=60,"31-60",IF($O256&lt;=90,"61-90","90+")))))))</f>
        <v/>
      </c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9">
        <f>IF($A257="","",SUMIFS(Ventes_Encaissements!$D$6:$D$3005,Ventes_Encaissements!$B$6:$B$3005,$A257))</f>
        <v/>
      </c>
      <c r="J257" s="9">
        <f>IF($A257="","",$H257-$I257)</f>
        <v/>
      </c>
      <c r="K257" s="10">
        <f>IF($A257="","",IF($I257=0,"",_xludf.AGGREGATE(14,6,Ventes_Encaissements!$C$6:$C$3005/(Ventes_Encaissements!$B$6:$B$3005=$A257),1)))</f>
        <v/>
      </c>
      <c r="L257" s="11">
        <f>IF($A257="","",COUNTIFS(Ventes_Detail!$B$6:$B$3005,$A257))</f>
        <v/>
      </c>
      <c r="M257" s="12" t="n"/>
      <c r="N257" s="12">
        <f>IF($A257="","",IF($G257="","",IF($M257="Oui","Litige",IF($J257&lt;=0,"Payé",IF($I257&gt;0,"Partiel",IF(Listes!$B$3&gt;$G257,"En retard","À échoir"))))))</f>
        <v/>
      </c>
      <c r="O257" s="11">
        <f>IF($A257="","",IF(OR($G257="", $J257&lt;=0),0,MAX(0,Listes!$B$3-$G257)))</f>
        <v/>
      </c>
      <c r="P257" s="12">
        <f>IF($A257="","",IF($J257&lt;=0,"Payé",IF($M257="Oui","Litige",IF($O257=0,"À échoir",IF($O257&lt;=30,"0-30",IF($O257&lt;=60,"31-60",IF($O257&lt;=90,"61-90","90+")))))))</f>
        <v/>
      </c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9">
        <f>IF($A258="","",SUMIFS(Ventes_Encaissements!$D$6:$D$3005,Ventes_Encaissements!$B$6:$B$3005,$A258))</f>
        <v/>
      </c>
      <c r="J258" s="9">
        <f>IF($A258="","",$H258-$I258)</f>
        <v/>
      </c>
      <c r="K258" s="10">
        <f>IF($A258="","",IF($I258=0,"",_xludf.AGGREGATE(14,6,Ventes_Encaissements!$C$6:$C$3005/(Ventes_Encaissements!$B$6:$B$3005=$A258),1)))</f>
        <v/>
      </c>
      <c r="L258" s="11">
        <f>IF($A258="","",COUNTIFS(Ventes_Detail!$B$6:$B$3005,$A258))</f>
        <v/>
      </c>
      <c r="M258" s="12" t="n"/>
      <c r="N258" s="12">
        <f>IF($A258="","",IF($G258="","",IF($M258="Oui","Litige",IF($J258&lt;=0,"Payé",IF($I258&gt;0,"Partiel",IF(Listes!$B$3&gt;$G258,"En retard","À échoir"))))))</f>
        <v/>
      </c>
      <c r="O258" s="11">
        <f>IF($A258="","",IF(OR($G258="", $J258&lt;=0),0,MAX(0,Listes!$B$3-$G258)))</f>
        <v/>
      </c>
      <c r="P258" s="12">
        <f>IF($A258="","",IF($J258&lt;=0,"Payé",IF($M258="Oui","Litige",IF($O258=0,"À échoir",IF($O258&lt;=30,"0-30",IF($O258&lt;=60,"31-60",IF($O258&lt;=90,"61-90","90+")))))))</f>
        <v/>
      </c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9">
        <f>IF($A259="","",SUMIFS(Ventes_Encaissements!$D$6:$D$3005,Ventes_Encaissements!$B$6:$B$3005,$A259))</f>
        <v/>
      </c>
      <c r="J259" s="9">
        <f>IF($A259="","",$H259-$I259)</f>
        <v/>
      </c>
      <c r="K259" s="10">
        <f>IF($A259="","",IF($I259=0,"",_xludf.AGGREGATE(14,6,Ventes_Encaissements!$C$6:$C$3005/(Ventes_Encaissements!$B$6:$B$3005=$A259),1)))</f>
        <v/>
      </c>
      <c r="L259" s="11">
        <f>IF($A259="","",COUNTIFS(Ventes_Detail!$B$6:$B$3005,$A259))</f>
        <v/>
      </c>
      <c r="M259" s="12" t="n"/>
      <c r="N259" s="12">
        <f>IF($A259="","",IF($G259="","",IF($M259="Oui","Litige",IF($J259&lt;=0,"Payé",IF($I259&gt;0,"Partiel",IF(Listes!$B$3&gt;$G259,"En retard","À échoir"))))))</f>
        <v/>
      </c>
      <c r="O259" s="11">
        <f>IF($A259="","",IF(OR($G259="", $J259&lt;=0),0,MAX(0,Listes!$B$3-$G259)))</f>
        <v/>
      </c>
      <c r="P259" s="12">
        <f>IF($A259="","",IF($J259&lt;=0,"Payé",IF($M259="Oui","Litige",IF($O259=0,"À échoir",IF($O259&lt;=30,"0-30",IF($O259&lt;=60,"31-60",IF($O259&lt;=90,"61-90","90+")))))))</f>
        <v/>
      </c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9">
        <f>IF($A260="","",SUMIFS(Ventes_Encaissements!$D$6:$D$3005,Ventes_Encaissements!$B$6:$B$3005,$A260))</f>
        <v/>
      </c>
      <c r="J260" s="9">
        <f>IF($A260="","",$H260-$I260)</f>
        <v/>
      </c>
      <c r="K260" s="10">
        <f>IF($A260="","",IF($I260=0,"",_xludf.AGGREGATE(14,6,Ventes_Encaissements!$C$6:$C$3005/(Ventes_Encaissements!$B$6:$B$3005=$A260),1)))</f>
        <v/>
      </c>
      <c r="L260" s="11">
        <f>IF($A260="","",COUNTIFS(Ventes_Detail!$B$6:$B$3005,$A260))</f>
        <v/>
      </c>
      <c r="M260" s="12" t="n"/>
      <c r="N260" s="12">
        <f>IF($A260="","",IF($G260="","",IF($M260="Oui","Litige",IF($J260&lt;=0,"Payé",IF($I260&gt;0,"Partiel",IF(Listes!$B$3&gt;$G260,"En retard","À échoir"))))))</f>
        <v/>
      </c>
      <c r="O260" s="11">
        <f>IF($A260="","",IF(OR($G260="", $J260&lt;=0),0,MAX(0,Listes!$B$3-$G260)))</f>
        <v/>
      </c>
      <c r="P260" s="12">
        <f>IF($A260="","",IF($J260&lt;=0,"Payé",IF($M260="Oui","Litige",IF($O260=0,"À échoir",IF($O260&lt;=30,"0-30",IF($O260&lt;=60,"31-60",IF($O260&lt;=90,"61-90","90+")))))))</f>
        <v/>
      </c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9">
        <f>IF($A261="","",SUMIFS(Ventes_Encaissements!$D$6:$D$3005,Ventes_Encaissements!$B$6:$B$3005,$A261))</f>
        <v/>
      </c>
      <c r="J261" s="9">
        <f>IF($A261="","",$H261-$I261)</f>
        <v/>
      </c>
      <c r="K261" s="10">
        <f>IF($A261="","",IF($I261=0,"",_xludf.AGGREGATE(14,6,Ventes_Encaissements!$C$6:$C$3005/(Ventes_Encaissements!$B$6:$B$3005=$A261),1)))</f>
        <v/>
      </c>
      <c r="L261" s="11">
        <f>IF($A261="","",COUNTIFS(Ventes_Detail!$B$6:$B$3005,$A261))</f>
        <v/>
      </c>
      <c r="M261" s="12" t="n"/>
      <c r="N261" s="12">
        <f>IF($A261="","",IF($G261="","",IF($M261="Oui","Litige",IF($J261&lt;=0,"Payé",IF($I261&gt;0,"Partiel",IF(Listes!$B$3&gt;$G261,"En retard","À échoir"))))))</f>
        <v/>
      </c>
      <c r="O261" s="11">
        <f>IF($A261="","",IF(OR($G261="", $J261&lt;=0),0,MAX(0,Listes!$B$3-$G261)))</f>
        <v/>
      </c>
      <c r="P261" s="12">
        <f>IF($A261="","",IF($J261&lt;=0,"Payé",IF($M261="Oui","Litige",IF($O261=0,"À échoir",IF($O261&lt;=30,"0-30",IF($O261&lt;=60,"31-60",IF($O261&lt;=90,"61-90","90+")))))))</f>
        <v/>
      </c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9">
        <f>IF($A262="","",SUMIFS(Ventes_Encaissements!$D$6:$D$3005,Ventes_Encaissements!$B$6:$B$3005,$A262))</f>
        <v/>
      </c>
      <c r="J262" s="9">
        <f>IF($A262="","",$H262-$I262)</f>
        <v/>
      </c>
      <c r="K262" s="10">
        <f>IF($A262="","",IF($I262=0,"",_xludf.AGGREGATE(14,6,Ventes_Encaissements!$C$6:$C$3005/(Ventes_Encaissements!$B$6:$B$3005=$A262),1)))</f>
        <v/>
      </c>
      <c r="L262" s="11">
        <f>IF($A262="","",COUNTIFS(Ventes_Detail!$B$6:$B$3005,$A262))</f>
        <v/>
      </c>
      <c r="M262" s="12" t="n"/>
      <c r="N262" s="12">
        <f>IF($A262="","",IF($G262="","",IF($M262="Oui","Litige",IF($J262&lt;=0,"Payé",IF($I262&gt;0,"Partiel",IF(Listes!$B$3&gt;$G262,"En retard","À échoir"))))))</f>
        <v/>
      </c>
      <c r="O262" s="11">
        <f>IF($A262="","",IF(OR($G262="", $J262&lt;=0),0,MAX(0,Listes!$B$3-$G262)))</f>
        <v/>
      </c>
      <c r="P262" s="12">
        <f>IF($A262="","",IF($J262&lt;=0,"Payé",IF($M262="Oui","Litige",IF($O262=0,"À échoir",IF($O262&lt;=30,"0-30",IF($O262&lt;=60,"31-60",IF($O262&lt;=90,"61-90","90+")))))))</f>
        <v/>
      </c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9">
        <f>IF($A263="","",SUMIFS(Ventes_Encaissements!$D$6:$D$3005,Ventes_Encaissements!$B$6:$B$3005,$A263))</f>
        <v/>
      </c>
      <c r="J263" s="9">
        <f>IF($A263="","",$H263-$I263)</f>
        <v/>
      </c>
      <c r="K263" s="10">
        <f>IF($A263="","",IF($I263=0,"",_xludf.AGGREGATE(14,6,Ventes_Encaissements!$C$6:$C$3005/(Ventes_Encaissements!$B$6:$B$3005=$A263),1)))</f>
        <v/>
      </c>
      <c r="L263" s="11">
        <f>IF($A263="","",COUNTIFS(Ventes_Detail!$B$6:$B$3005,$A263))</f>
        <v/>
      </c>
      <c r="M263" s="12" t="n"/>
      <c r="N263" s="12">
        <f>IF($A263="","",IF($G263="","",IF($M263="Oui","Litige",IF($J263&lt;=0,"Payé",IF($I263&gt;0,"Partiel",IF(Listes!$B$3&gt;$G263,"En retard","À échoir"))))))</f>
        <v/>
      </c>
      <c r="O263" s="11">
        <f>IF($A263="","",IF(OR($G263="", $J263&lt;=0),0,MAX(0,Listes!$B$3-$G263)))</f>
        <v/>
      </c>
      <c r="P263" s="12">
        <f>IF($A263="","",IF($J263&lt;=0,"Payé",IF($M263="Oui","Litige",IF($O263=0,"À échoir",IF($O263&lt;=30,"0-30",IF($O263&lt;=60,"31-60",IF($O263&lt;=90,"61-90","90+")))))))</f>
        <v/>
      </c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9">
        <f>IF($A264="","",SUMIFS(Ventes_Encaissements!$D$6:$D$3005,Ventes_Encaissements!$B$6:$B$3005,$A264))</f>
        <v/>
      </c>
      <c r="J264" s="9">
        <f>IF($A264="","",$H264-$I264)</f>
        <v/>
      </c>
      <c r="K264" s="10">
        <f>IF($A264="","",IF($I264=0,"",_xludf.AGGREGATE(14,6,Ventes_Encaissements!$C$6:$C$3005/(Ventes_Encaissements!$B$6:$B$3005=$A264),1)))</f>
        <v/>
      </c>
      <c r="L264" s="11">
        <f>IF($A264="","",COUNTIFS(Ventes_Detail!$B$6:$B$3005,$A264))</f>
        <v/>
      </c>
      <c r="M264" s="12" t="n"/>
      <c r="N264" s="12">
        <f>IF($A264="","",IF($G264="","",IF($M264="Oui","Litige",IF($J264&lt;=0,"Payé",IF($I264&gt;0,"Partiel",IF(Listes!$B$3&gt;$G264,"En retard","À échoir"))))))</f>
        <v/>
      </c>
      <c r="O264" s="11">
        <f>IF($A264="","",IF(OR($G264="", $J264&lt;=0),0,MAX(0,Listes!$B$3-$G264)))</f>
        <v/>
      </c>
      <c r="P264" s="12">
        <f>IF($A264="","",IF($J264&lt;=0,"Payé",IF($M264="Oui","Litige",IF($O264=0,"À échoir",IF($O264&lt;=30,"0-30",IF($O264&lt;=60,"31-60",IF($O264&lt;=90,"61-90","90+")))))))</f>
        <v/>
      </c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9">
        <f>IF($A265="","",SUMIFS(Ventes_Encaissements!$D$6:$D$3005,Ventes_Encaissements!$B$6:$B$3005,$A265))</f>
        <v/>
      </c>
      <c r="J265" s="9">
        <f>IF($A265="","",$H265-$I265)</f>
        <v/>
      </c>
      <c r="K265" s="10">
        <f>IF($A265="","",IF($I265=0,"",_xludf.AGGREGATE(14,6,Ventes_Encaissements!$C$6:$C$3005/(Ventes_Encaissements!$B$6:$B$3005=$A265),1)))</f>
        <v/>
      </c>
      <c r="L265" s="11">
        <f>IF($A265="","",COUNTIFS(Ventes_Detail!$B$6:$B$3005,$A265))</f>
        <v/>
      </c>
      <c r="M265" s="12" t="n"/>
      <c r="N265" s="12">
        <f>IF($A265="","",IF($G265="","",IF($M265="Oui","Litige",IF($J265&lt;=0,"Payé",IF($I265&gt;0,"Partiel",IF(Listes!$B$3&gt;$G265,"En retard","À échoir"))))))</f>
        <v/>
      </c>
      <c r="O265" s="11">
        <f>IF($A265="","",IF(OR($G265="", $J265&lt;=0),0,MAX(0,Listes!$B$3-$G265)))</f>
        <v/>
      </c>
      <c r="P265" s="12">
        <f>IF($A265="","",IF($J265&lt;=0,"Payé",IF($M265="Oui","Litige",IF($O265=0,"À échoir",IF($O265&lt;=30,"0-30",IF($O265&lt;=60,"31-60",IF($O265&lt;=90,"61-90","90+")))))))</f>
        <v/>
      </c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9">
        <f>IF($A266="","",SUMIFS(Ventes_Encaissements!$D$6:$D$3005,Ventes_Encaissements!$B$6:$B$3005,$A266))</f>
        <v/>
      </c>
      <c r="J266" s="9">
        <f>IF($A266="","",$H266-$I266)</f>
        <v/>
      </c>
      <c r="K266" s="10">
        <f>IF($A266="","",IF($I266=0,"",_xludf.AGGREGATE(14,6,Ventes_Encaissements!$C$6:$C$3005/(Ventes_Encaissements!$B$6:$B$3005=$A266),1)))</f>
        <v/>
      </c>
      <c r="L266" s="11">
        <f>IF($A266="","",COUNTIFS(Ventes_Detail!$B$6:$B$3005,$A266))</f>
        <v/>
      </c>
      <c r="M266" s="12" t="n"/>
      <c r="N266" s="12">
        <f>IF($A266="","",IF($G266="","",IF($M266="Oui","Litige",IF($J266&lt;=0,"Payé",IF($I266&gt;0,"Partiel",IF(Listes!$B$3&gt;$G266,"En retard","À échoir"))))))</f>
        <v/>
      </c>
      <c r="O266" s="11">
        <f>IF($A266="","",IF(OR($G266="", $J266&lt;=0),0,MAX(0,Listes!$B$3-$G266)))</f>
        <v/>
      </c>
      <c r="P266" s="12">
        <f>IF($A266="","",IF($J266&lt;=0,"Payé",IF($M266="Oui","Litige",IF($O266=0,"À échoir",IF($O266&lt;=30,"0-30",IF($O266&lt;=60,"31-60",IF($O266&lt;=90,"61-90","90+")))))))</f>
        <v/>
      </c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9">
        <f>IF($A267="","",SUMIFS(Ventes_Encaissements!$D$6:$D$3005,Ventes_Encaissements!$B$6:$B$3005,$A267))</f>
        <v/>
      </c>
      <c r="J267" s="9">
        <f>IF($A267="","",$H267-$I267)</f>
        <v/>
      </c>
      <c r="K267" s="10">
        <f>IF($A267="","",IF($I267=0,"",_xludf.AGGREGATE(14,6,Ventes_Encaissements!$C$6:$C$3005/(Ventes_Encaissements!$B$6:$B$3005=$A267),1)))</f>
        <v/>
      </c>
      <c r="L267" s="11">
        <f>IF($A267="","",COUNTIFS(Ventes_Detail!$B$6:$B$3005,$A267))</f>
        <v/>
      </c>
      <c r="M267" s="12" t="n"/>
      <c r="N267" s="12">
        <f>IF($A267="","",IF($G267="","",IF($M267="Oui","Litige",IF($J267&lt;=0,"Payé",IF($I267&gt;0,"Partiel",IF(Listes!$B$3&gt;$G267,"En retard","À échoir"))))))</f>
        <v/>
      </c>
      <c r="O267" s="11">
        <f>IF($A267="","",IF(OR($G267="", $J267&lt;=0),0,MAX(0,Listes!$B$3-$G267)))</f>
        <v/>
      </c>
      <c r="P267" s="12">
        <f>IF($A267="","",IF($J267&lt;=0,"Payé",IF($M267="Oui","Litige",IF($O267=0,"À échoir",IF($O267&lt;=30,"0-30",IF($O267&lt;=60,"31-60",IF($O267&lt;=90,"61-90","90+")))))))</f>
        <v/>
      </c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9">
        <f>IF($A268="","",SUMIFS(Ventes_Encaissements!$D$6:$D$3005,Ventes_Encaissements!$B$6:$B$3005,$A268))</f>
        <v/>
      </c>
      <c r="J268" s="9">
        <f>IF($A268="","",$H268-$I268)</f>
        <v/>
      </c>
      <c r="K268" s="10">
        <f>IF($A268="","",IF($I268=0,"",_xludf.AGGREGATE(14,6,Ventes_Encaissements!$C$6:$C$3005/(Ventes_Encaissements!$B$6:$B$3005=$A268),1)))</f>
        <v/>
      </c>
      <c r="L268" s="11">
        <f>IF($A268="","",COUNTIFS(Ventes_Detail!$B$6:$B$3005,$A268))</f>
        <v/>
      </c>
      <c r="M268" s="12" t="n"/>
      <c r="N268" s="12">
        <f>IF($A268="","",IF($G268="","",IF($M268="Oui","Litige",IF($J268&lt;=0,"Payé",IF($I268&gt;0,"Partiel",IF(Listes!$B$3&gt;$G268,"En retard","À échoir"))))))</f>
        <v/>
      </c>
      <c r="O268" s="11">
        <f>IF($A268="","",IF(OR($G268="", $J268&lt;=0),0,MAX(0,Listes!$B$3-$G268)))</f>
        <v/>
      </c>
      <c r="P268" s="12">
        <f>IF($A268="","",IF($J268&lt;=0,"Payé",IF($M268="Oui","Litige",IF($O268=0,"À échoir",IF($O268&lt;=30,"0-30",IF($O268&lt;=60,"31-60",IF($O268&lt;=90,"61-90","90+")))))))</f>
        <v/>
      </c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9">
        <f>IF($A269="","",SUMIFS(Ventes_Encaissements!$D$6:$D$3005,Ventes_Encaissements!$B$6:$B$3005,$A269))</f>
        <v/>
      </c>
      <c r="J269" s="9">
        <f>IF($A269="","",$H269-$I269)</f>
        <v/>
      </c>
      <c r="K269" s="10">
        <f>IF($A269="","",IF($I269=0,"",_xludf.AGGREGATE(14,6,Ventes_Encaissements!$C$6:$C$3005/(Ventes_Encaissements!$B$6:$B$3005=$A269),1)))</f>
        <v/>
      </c>
      <c r="L269" s="11">
        <f>IF($A269="","",COUNTIFS(Ventes_Detail!$B$6:$B$3005,$A269))</f>
        <v/>
      </c>
      <c r="M269" s="12" t="n"/>
      <c r="N269" s="12">
        <f>IF($A269="","",IF($G269="","",IF($M269="Oui","Litige",IF($J269&lt;=0,"Payé",IF($I269&gt;0,"Partiel",IF(Listes!$B$3&gt;$G269,"En retard","À échoir"))))))</f>
        <v/>
      </c>
      <c r="O269" s="11">
        <f>IF($A269="","",IF(OR($G269="", $J269&lt;=0),0,MAX(0,Listes!$B$3-$G269)))</f>
        <v/>
      </c>
      <c r="P269" s="12">
        <f>IF($A269="","",IF($J269&lt;=0,"Payé",IF($M269="Oui","Litige",IF($O269=0,"À échoir",IF($O269&lt;=30,"0-30",IF($O269&lt;=60,"31-60",IF($O269&lt;=90,"61-90","90+")))))))</f>
        <v/>
      </c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9">
        <f>IF($A270="","",SUMIFS(Ventes_Encaissements!$D$6:$D$3005,Ventes_Encaissements!$B$6:$B$3005,$A270))</f>
        <v/>
      </c>
      <c r="J270" s="9">
        <f>IF($A270="","",$H270-$I270)</f>
        <v/>
      </c>
      <c r="K270" s="10">
        <f>IF($A270="","",IF($I270=0,"",_xludf.AGGREGATE(14,6,Ventes_Encaissements!$C$6:$C$3005/(Ventes_Encaissements!$B$6:$B$3005=$A270),1)))</f>
        <v/>
      </c>
      <c r="L270" s="11">
        <f>IF($A270="","",COUNTIFS(Ventes_Detail!$B$6:$B$3005,$A270))</f>
        <v/>
      </c>
      <c r="M270" s="12" t="n"/>
      <c r="N270" s="12">
        <f>IF($A270="","",IF($G270="","",IF($M270="Oui","Litige",IF($J270&lt;=0,"Payé",IF($I270&gt;0,"Partiel",IF(Listes!$B$3&gt;$G270,"En retard","À échoir"))))))</f>
        <v/>
      </c>
      <c r="O270" s="11">
        <f>IF($A270="","",IF(OR($G270="", $J270&lt;=0),0,MAX(0,Listes!$B$3-$G270)))</f>
        <v/>
      </c>
      <c r="P270" s="12">
        <f>IF($A270="","",IF($J270&lt;=0,"Payé",IF($M270="Oui","Litige",IF($O270=0,"À échoir",IF($O270&lt;=30,"0-30",IF($O270&lt;=60,"31-60",IF($O270&lt;=90,"61-90","90+")))))))</f>
        <v/>
      </c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9">
        <f>IF($A271="","",SUMIFS(Ventes_Encaissements!$D$6:$D$3005,Ventes_Encaissements!$B$6:$B$3005,$A271))</f>
        <v/>
      </c>
      <c r="J271" s="9">
        <f>IF($A271="","",$H271-$I271)</f>
        <v/>
      </c>
      <c r="K271" s="10">
        <f>IF($A271="","",IF($I271=0,"",_xludf.AGGREGATE(14,6,Ventes_Encaissements!$C$6:$C$3005/(Ventes_Encaissements!$B$6:$B$3005=$A271),1)))</f>
        <v/>
      </c>
      <c r="L271" s="11">
        <f>IF($A271="","",COUNTIFS(Ventes_Detail!$B$6:$B$3005,$A271))</f>
        <v/>
      </c>
      <c r="M271" s="12" t="n"/>
      <c r="N271" s="12">
        <f>IF($A271="","",IF($G271="","",IF($M271="Oui","Litige",IF($J271&lt;=0,"Payé",IF($I271&gt;0,"Partiel",IF(Listes!$B$3&gt;$G271,"En retard","À échoir"))))))</f>
        <v/>
      </c>
      <c r="O271" s="11">
        <f>IF($A271="","",IF(OR($G271="", $J271&lt;=0),0,MAX(0,Listes!$B$3-$G271)))</f>
        <v/>
      </c>
      <c r="P271" s="12">
        <f>IF($A271="","",IF($J271&lt;=0,"Payé",IF($M271="Oui","Litige",IF($O271=0,"À échoir",IF($O271&lt;=30,"0-30",IF($O271&lt;=60,"31-60",IF($O271&lt;=90,"61-90","90+")))))))</f>
        <v/>
      </c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9">
        <f>IF($A272="","",SUMIFS(Ventes_Encaissements!$D$6:$D$3005,Ventes_Encaissements!$B$6:$B$3005,$A272))</f>
        <v/>
      </c>
      <c r="J272" s="9">
        <f>IF($A272="","",$H272-$I272)</f>
        <v/>
      </c>
      <c r="K272" s="10">
        <f>IF($A272="","",IF($I272=0,"",_xludf.AGGREGATE(14,6,Ventes_Encaissements!$C$6:$C$3005/(Ventes_Encaissements!$B$6:$B$3005=$A272),1)))</f>
        <v/>
      </c>
      <c r="L272" s="11">
        <f>IF($A272="","",COUNTIFS(Ventes_Detail!$B$6:$B$3005,$A272))</f>
        <v/>
      </c>
      <c r="M272" s="12" t="n"/>
      <c r="N272" s="12">
        <f>IF($A272="","",IF($G272="","",IF($M272="Oui","Litige",IF($J272&lt;=0,"Payé",IF($I272&gt;0,"Partiel",IF(Listes!$B$3&gt;$G272,"En retard","À échoir"))))))</f>
        <v/>
      </c>
      <c r="O272" s="11">
        <f>IF($A272="","",IF(OR($G272="", $J272&lt;=0),0,MAX(0,Listes!$B$3-$G272)))</f>
        <v/>
      </c>
      <c r="P272" s="12">
        <f>IF($A272="","",IF($J272&lt;=0,"Payé",IF($M272="Oui","Litige",IF($O272=0,"À échoir",IF($O272&lt;=30,"0-30",IF($O272&lt;=60,"31-60",IF($O272&lt;=90,"61-90","90+")))))))</f>
        <v/>
      </c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9">
        <f>IF($A273="","",SUMIFS(Ventes_Encaissements!$D$6:$D$3005,Ventes_Encaissements!$B$6:$B$3005,$A273))</f>
        <v/>
      </c>
      <c r="J273" s="9">
        <f>IF($A273="","",$H273-$I273)</f>
        <v/>
      </c>
      <c r="K273" s="10">
        <f>IF($A273="","",IF($I273=0,"",_xludf.AGGREGATE(14,6,Ventes_Encaissements!$C$6:$C$3005/(Ventes_Encaissements!$B$6:$B$3005=$A273),1)))</f>
        <v/>
      </c>
      <c r="L273" s="11">
        <f>IF($A273="","",COUNTIFS(Ventes_Detail!$B$6:$B$3005,$A273))</f>
        <v/>
      </c>
      <c r="M273" s="12" t="n"/>
      <c r="N273" s="12">
        <f>IF($A273="","",IF($G273="","",IF($M273="Oui","Litige",IF($J273&lt;=0,"Payé",IF($I273&gt;0,"Partiel",IF(Listes!$B$3&gt;$G273,"En retard","À échoir"))))))</f>
        <v/>
      </c>
      <c r="O273" s="11">
        <f>IF($A273="","",IF(OR($G273="", $J273&lt;=0),0,MAX(0,Listes!$B$3-$G273)))</f>
        <v/>
      </c>
      <c r="P273" s="12">
        <f>IF($A273="","",IF($J273&lt;=0,"Payé",IF($M273="Oui","Litige",IF($O273=0,"À échoir",IF($O273&lt;=30,"0-30",IF($O273&lt;=60,"31-60",IF($O273&lt;=90,"61-90","90+")))))))</f>
        <v/>
      </c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9">
        <f>IF($A274="","",SUMIFS(Ventes_Encaissements!$D$6:$D$3005,Ventes_Encaissements!$B$6:$B$3005,$A274))</f>
        <v/>
      </c>
      <c r="J274" s="9">
        <f>IF($A274="","",$H274-$I274)</f>
        <v/>
      </c>
      <c r="K274" s="10">
        <f>IF($A274="","",IF($I274=0,"",_xludf.AGGREGATE(14,6,Ventes_Encaissements!$C$6:$C$3005/(Ventes_Encaissements!$B$6:$B$3005=$A274),1)))</f>
        <v/>
      </c>
      <c r="L274" s="11">
        <f>IF($A274="","",COUNTIFS(Ventes_Detail!$B$6:$B$3005,$A274))</f>
        <v/>
      </c>
      <c r="M274" s="12" t="n"/>
      <c r="N274" s="12">
        <f>IF($A274="","",IF($G274="","",IF($M274="Oui","Litige",IF($J274&lt;=0,"Payé",IF($I274&gt;0,"Partiel",IF(Listes!$B$3&gt;$G274,"En retard","À échoir"))))))</f>
        <v/>
      </c>
      <c r="O274" s="11">
        <f>IF($A274="","",IF(OR($G274="", $J274&lt;=0),0,MAX(0,Listes!$B$3-$G274)))</f>
        <v/>
      </c>
      <c r="P274" s="12">
        <f>IF($A274="","",IF($J274&lt;=0,"Payé",IF($M274="Oui","Litige",IF($O274=0,"À échoir",IF($O274&lt;=30,"0-30",IF($O274&lt;=60,"31-60",IF($O274&lt;=90,"61-90","90+")))))))</f>
        <v/>
      </c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9">
        <f>IF($A275="","",SUMIFS(Ventes_Encaissements!$D$6:$D$3005,Ventes_Encaissements!$B$6:$B$3005,$A275))</f>
        <v/>
      </c>
      <c r="J275" s="9">
        <f>IF($A275="","",$H275-$I275)</f>
        <v/>
      </c>
      <c r="K275" s="10">
        <f>IF($A275="","",IF($I275=0,"",_xludf.AGGREGATE(14,6,Ventes_Encaissements!$C$6:$C$3005/(Ventes_Encaissements!$B$6:$B$3005=$A275),1)))</f>
        <v/>
      </c>
      <c r="L275" s="11">
        <f>IF($A275="","",COUNTIFS(Ventes_Detail!$B$6:$B$3005,$A275))</f>
        <v/>
      </c>
      <c r="M275" s="12" t="n"/>
      <c r="N275" s="12">
        <f>IF($A275="","",IF($G275="","",IF($M275="Oui","Litige",IF($J275&lt;=0,"Payé",IF($I275&gt;0,"Partiel",IF(Listes!$B$3&gt;$G275,"En retard","À échoir"))))))</f>
        <v/>
      </c>
      <c r="O275" s="11">
        <f>IF($A275="","",IF(OR($G275="", $J275&lt;=0),0,MAX(0,Listes!$B$3-$G275)))</f>
        <v/>
      </c>
      <c r="P275" s="12">
        <f>IF($A275="","",IF($J275&lt;=0,"Payé",IF($M275="Oui","Litige",IF($O275=0,"À échoir",IF($O275&lt;=30,"0-30",IF($O275&lt;=60,"31-60",IF($O275&lt;=90,"61-90","90+")))))))</f>
        <v/>
      </c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9">
        <f>IF($A276="","",SUMIFS(Ventes_Encaissements!$D$6:$D$3005,Ventes_Encaissements!$B$6:$B$3005,$A276))</f>
        <v/>
      </c>
      <c r="J276" s="9">
        <f>IF($A276="","",$H276-$I276)</f>
        <v/>
      </c>
      <c r="K276" s="10">
        <f>IF($A276="","",IF($I276=0,"",_xludf.AGGREGATE(14,6,Ventes_Encaissements!$C$6:$C$3005/(Ventes_Encaissements!$B$6:$B$3005=$A276),1)))</f>
        <v/>
      </c>
      <c r="L276" s="11">
        <f>IF($A276="","",COUNTIFS(Ventes_Detail!$B$6:$B$3005,$A276))</f>
        <v/>
      </c>
      <c r="M276" s="12" t="n"/>
      <c r="N276" s="12">
        <f>IF($A276="","",IF($G276="","",IF($M276="Oui","Litige",IF($J276&lt;=0,"Payé",IF($I276&gt;0,"Partiel",IF(Listes!$B$3&gt;$G276,"En retard","À échoir"))))))</f>
        <v/>
      </c>
      <c r="O276" s="11">
        <f>IF($A276="","",IF(OR($G276="", $J276&lt;=0),0,MAX(0,Listes!$B$3-$G276)))</f>
        <v/>
      </c>
      <c r="P276" s="12">
        <f>IF($A276="","",IF($J276&lt;=0,"Payé",IF($M276="Oui","Litige",IF($O276=0,"À échoir",IF($O276&lt;=30,"0-30",IF($O276&lt;=60,"31-60",IF($O276&lt;=90,"61-90","90+")))))))</f>
        <v/>
      </c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9">
        <f>IF($A277="","",SUMIFS(Ventes_Encaissements!$D$6:$D$3005,Ventes_Encaissements!$B$6:$B$3005,$A277))</f>
        <v/>
      </c>
      <c r="J277" s="9">
        <f>IF($A277="","",$H277-$I277)</f>
        <v/>
      </c>
      <c r="K277" s="10">
        <f>IF($A277="","",IF($I277=0,"",_xludf.AGGREGATE(14,6,Ventes_Encaissements!$C$6:$C$3005/(Ventes_Encaissements!$B$6:$B$3005=$A277),1)))</f>
        <v/>
      </c>
      <c r="L277" s="11">
        <f>IF($A277="","",COUNTIFS(Ventes_Detail!$B$6:$B$3005,$A277))</f>
        <v/>
      </c>
      <c r="M277" s="12" t="n"/>
      <c r="N277" s="12">
        <f>IF($A277="","",IF($G277="","",IF($M277="Oui","Litige",IF($J277&lt;=0,"Payé",IF($I277&gt;0,"Partiel",IF(Listes!$B$3&gt;$G277,"En retard","À échoir"))))))</f>
        <v/>
      </c>
      <c r="O277" s="11">
        <f>IF($A277="","",IF(OR($G277="", $J277&lt;=0),0,MAX(0,Listes!$B$3-$G277)))</f>
        <v/>
      </c>
      <c r="P277" s="12">
        <f>IF($A277="","",IF($J277&lt;=0,"Payé",IF($M277="Oui","Litige",IF($O277=0,"À échoir",IF($O277&lt;=30,"0-30",IF($O277&lt;=60,"31-60",IF($O277&lt;=90,"61-90","90+")))))))</f>
        <v/>
      </c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9">
        <f>IF($A278="","",SUMIFS(Ventes_Encaissements!$D$6:$D$3005,Ventes_Encaissements!$B$6:$B$3005,$A278))</f>
        <v/>
      </c>
      <c r="J278" s="9">
        <f>IF($A278="","",$H278-$I278)</f>
        <v/>
      </c>
      <c r="K278" s="10">
        <f>IF($A278="","",IF($I278=0,"",_xludf.AGGREGATE(14,6,Ventes_Encaissements!$C$6:$C$3005/(Ventes_Encaissements!$B$6:$B$3005=$A278),1)))</f>
        <v/>
      </c>
      <c r="L278" s="11">
        <f>IF($A278="","",COUNTIFS(Ventes_Detail!$B$6:$B$3005,$A278))</f>
        <v/>
      </c>
      <c r="M278" s="12" t="n"/>
      <c r="N278" s="12">
        <f>IF($A278="","",IF($G278="","",IF($M278="Oui","Litige",IF($J278&lt;=0,"Payé",IF($I278&gt;0,"Partiel",IF(Listes!$B$3&gt;$G278,"En retard","À échoir"))))))</f>
        <v/>
      </c>
      <c r="O278" s="11">
        <f>IF($A278="","",IF(OR($G278="", $J278&lt;=0),0,MAX(0,Listes!$B$3-$G278)))</f>
        <v/>
      </c>
      <c r="P278" s="12">
        <f>IF($A278="","",IF($J278&lt;=0,"Payé",IF($M278="Oui","Litige",IF($O278=0,"À échoir",IF($O278&lt;=30,"0-30",IF($O278&lt;=60,"31-60",IF($O278&lt;=90,"61-90","90+")))))))</f>
        <v/>
      </c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9">
        <f>IF($A279="","",SUMIFS(Ventes_Encaissements!$D$6:$D$3005,Ventes_Encaissements!$B$6:$B$3005,$A279))</f>
        <v/>
      </c>
      <c r="J279" s="9">
        <f>IF($A279="","",$H279-$I279)</f>
        <v/>
      </c>
      <c r="K279" s="10">
        <f>IF($A279="","",IF($I279=0,"",_xludf.AGGREGATE(14,6,Ventes_Encaissements!$C$6:$C$3005/(Ventes_Encaissements!$B$6:$B$3005=$A279),1)))</f>
        <v/>
      </c>
      <c r="L279" s="11">
        <f>IF($A279="","",COUNTIFS(Ventes_Detail!$B$6:$B$3005,$A279))</f>
        <v/>
      </c>
      <c r="M279" s="12" t="n"/>
      <c r="N279" s="12">
        <f>IF($A279="","",IF($G279="","",IF($M279="Oui","Litige",IF($J279&lt;=0,"Payé",IF($I279&gt;0,"Partiel",IF(Listes!$B$3&gt;$G279,"En retard","À échoir"))))))</f>
        <v/>
      </c>
      <c r="O279" s="11">
        <f>IF($A279="","",IF(OR($G279="", $J279&lt;=0),0,MAX(0,Listes!$B$3-$G279)))</f>
        <v/>
      </c>
      <c r="P279" s="12">
        <f>IF($A279="","",IF($J279&lt;=0,"Payé",IF($M279="Oui","Litige",IF($O279=0,"À échoir",IF($O279&lt;=30,"0-30",IF($O279&lt;=60,"31-60",IF($O279&lt;=90,"61-90","90+")))))))</f>
        <v/>
      </c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9">
        <f>IF($A280="","",SUMIFS(Ventes_Encaissements!$D$6:$D$3005,Ventes_Encaissements!$B$6:$B$3005,$A280))</f>
        <v/>
      </c>
      <c r="J280" s="9">
        <f>IF($A280="","",$H280-$I280)</f>
        <v/>
      </c>
      <c r="K280" s="10">
        <f>IF($A280="","",IF($I280=0,"",_xludf.AGGREGATE(14,6,Ventes_Encaissements!$C$6:$C$3005/(Ventes_Encaissements!$B$6:$B$3005=$A280),1)))</f>
        <v/>
      </c>
      <c r="L280" s="11">
        <f>IF($A280="","",COUNTIFS(Ventes_Detail!$B$6:$B$3005,$A280))</f>
        <v/>
      </c>
      <c r="M280" s="12" t="n"/>
      <c r="N280" s="12">
        <f>IF($A280="","",IF($G280="","",IF($M280="Oui","Litige",IF($J280&lt;=0,"Payé",IF($I280&gt;0,"Partiel",IF(Listes!$B$3&gt;$G280,"En retard","À échoir"))))))</f>
        <v/>
      </c>
      <c r="O280" s="11">
        <f>IF($A280="","",IF(OR($G280="", $J280&lt;=0),0,MAX(0,Listes!$B$3-$G280)))</f>
        <v/>
      </c>
      <c r="P280" s="12">
        <f>IF($A280="","",IF($J280&lt;=0,"Payé",IF($M280="Oui","Litige",IF($O280=0,"À échoir",IF($O280&lt;=30,"0-30",IF($O280&lt;=60,"31-60",IF($O280&lt;=90,"61-90","90+")))))))</f>
        <v/>
      </c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9">
        <f>IF($A281="","",SUMIFS(Ventes_Encaissements!$D$6:$D$3005,Ventes_Encaissements!$B$6:$B$3005,$A281))</f>
        <v/>
      </c>
      <c r="J281" s="9">
        <f>IF($A281="","",$H281-$I281)</f>
        <v/>
      </c>
      <c r="K281" s="10">
        <f>IF($A281="","",IF($I281=0,"",_xludf.AGGREGATE(14,6,Ventes_Encaissements!$C$6:$C$3005/(Ventes_Encaissements!$B$6:$B$3005=$A281),1)))</f>
        <v/>
      </c>
      <c r="L281" s="11">
        <f>IF($A281="","",COUNTIFS(Ventes_Detail!$B$6:$B$3005,$A281))</f>
        <v/>
      </c>
      <c r="M281" s="12" t="n"/>
      <c r="N281" s="12">
        <f>IF($A281="","",IF($G281="","",IF($M281="Oui","Litige",IF($J281&lt;=0,"Payé",IF($I281&gt;0,"Partiel",IF(Listes!$B$3&gt;$G281,"En retard","À échoir"))))))</f>
        <v/>
      </c>
      <c r="O281" s="11">
        <f>IF($A281="","",IF(OR($G281="", $J281&lt;=0),0,MAX(0,Listes!$B$3-$G281)))</f>
        <v/>
      </c>
      <c r="P281" s="12">
        <f>IF($A281="","",IF($J281&lt;=0,"Payé",IF($M281="Oui","Litige",IF($O281=0,"À échoir",IF($O281&lt;=30,"0-30",IF($O281&lt;=60,"31-60",IF($O281&lt;=90,"61-90","90+")))))))</f>
        <v/>
      </c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9">
        <f>IF($A282="","",SUMIFS(Ventes_Encaissements!$D$6:$D$3005,Ventes_Encaissements!$B$6:$B$3005,$A282))</f>
        <v/>
      </c>
      <c r="J282" s="9">
        <f>IF($A282="","",$H282-$I282)</f>
        <v/>
      </c>
      <c r="K282" s="10">
        <f>IF($A282="","",IF($I282=0,"",_xludf.AGGREGATE(14,6,Ventes_Encaissements!$C$6:$C$3005/(Ventes_Encaissements!$B$6:$B$3005=$A282),1)))</f>
        <v/>
      </c>
      <c r="L282" s="11">
        <f>IF($A282="","",COUNTIFS(Ventes_Detail!$B$6:$B$3005,$A282))</f>
        <v/>
      </c>
      <c r="M282" s="12" t="n"/>
      <c r="N282" s="12">
        <f>IF($A282="","",IF($G282="","",IF($M282="Oui","Litige",IF($J282&lt;=0,"Payé",IF($I282&gt;0,"Partiel",IF(Listes!$B$3&gt;$G282,"En retard","À échoir"))))))</f>
        <v/>
      </c>
      <c r="O282" s="11">
        <f>IF($A282="","",IF(OR($G282="", $J282&lt;=0),0,MAX(0,Listes!$B$3-$G282)))</f>
        <v/>
      </c>
      <c r="P282" s="12">
        <f>IF($A282="","",IF($J282&lt;=0,"Payé",IF($M282="Oui","Litige",IF($O282=0,"À échoir",IF($O282&lt;=30,"0-30",IF($O282&lt;=60,"31-60",IF($O282&lt;=90,"61-90","90+")))))))</f>
        <v/>
      </c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9">
        <f>IF($A283="","",SUMIFS(Ventes_Encaissements!$D$6:$D$3005,Ventes_Encaissements!$B$6:$B$3005,$A283))</f>
        <v/>
      </c>
      <c r="J283" s="9">
        <f>IF($A283="","",$H283-$I283)</f>
        <v/>
      </c>
      <c r="K283" s="10">
        <f>IF($A283="","",IF($I283=0,"",_xludf.AGGREGATE(14,6,Ventes_Encaissements!$C$6:$C$3005/(Ventes_Encaissements!$B$6:$B$3005=$A283),1)))</f>
        <v/>
      </c>
      <c r="L283" s="11">
        <f>IF($A283="","",COUNTIFS(Ventes_Detail!$B$6:$B$3005,$A283))</f>
        <v/>
      </c>
      <c r="M283" s="12" t="n"/>
      <c r="N283" s="12">
        <f>IF($A283="","",IF($G283="","",IF($M283="Oui","Litige",IF($J283&lt;=0,"Payé",IF($I283&gt;0,"Partiel",IF(Listes!$B$3&gt;$G283,"En retard","À échoir"))))))</f>
        <v/>
      </c>
      <c r="O283" s="11">
        <f>IF($A283="","",IF(OR($G283="", $J283&lt;=0),0,MAX(0,Listes!$B$3-$G283)))</f>
        <v/>
      </c>
      <c r="P283" s="12">
        <f>IF($A283="","",IF($J283&lt;=0,"Payé",IF($M283="Oui","Litige",IF($O283=0,"À échoir",IF($O283&lt;=30,"0-30",IF($O283&lt;=60,"31-60",IF($O283&lt;=90,"61-90","90+")))))))</f>
        <v/>
      </c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9">
        <f>IF($A284="","",SUMIFS(Ventes_Encaissements!$D$6:$D$3005,Ventes_Encaissements!$B$6:$B$3005,$A284))</f>
        <v/>
      </c>
      <c r="J284" s="9">
        <f>IF($A284="","",$H284-$I284)</f>
        <v/>
      </c>
      <c r="K284" s="10">
        <f>IF($A284="","",IF($I284=0,"",_xludf.AGGREGATE(14,6,Ventes_Encaissements!$C$6:$C$3005/(Ventes_Encaissements!$B$6:$B$3005=$A284),1)))</f>
        <v/>
      </c>
      <c r="L284" s="11">
        <f>IF($A284="","",COUNTIFS(Ventes_Detail!$B$6:$B$3005,$A284))</f>
        <v/>
      </c>
      <c r="M284" s="12" t="n"/>
      <c r="N284" s="12">
        <f>IF($A284="","",IF($G284="","",IF($M284="Oui","Litige",IF($J284&lt;=0,"Payé",IF($I284&gt;0,"Partiel",IF(Listes!$B$3&gt;$G284,"En retard","À échoir"))))))</f>
        <v/>
      </c>
      <c r="O284" s="11">
        <f>IF($A284="","",IF(OR($G284="", $J284&lt;=0),0,MAX(0,Listes!$B$3-$G284)))</f>
        <v/>
      </c>
      <c r="P284" s="12">
        <f>IF($A284="","",IF($J284&lt;=0,"Payé",IF($M284="Oui","Litige",IF($O284=0,"À échoir",IF($O284&lt;=30,"0-30",IF($O284&lt;=60,"31-60",IF($O284&lt;=90,"61-90","90+")))))))</f>
        <v/>
      </c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9">
        <f>IF($A285="","",SUMIFS(Ventes_Encaissements!$D$6:$D$3005,Ventes_Encaissements!$B$6:$B$3005,$A285))</f>
        <v/>
      </c>
      <c r="J285" s="9">
        <f>IF($A285="","",$H285-$I285)</f>
        <v/>
      </c>
      <c r="K285" s="10">
        <f>IF($A285="","",IF($I285=0,"",_xludf.AGGREGATE(14,6,Ventes_Encaissements!$C$6:$C$3005/(Ventes_Encaissements!$B$6:$B$3005=$A285),1)))</f>
        <v/>
      </c>
      <c r="L285" s="11">
        <f>IF($A285="","",COUNTIFS(Ventes_Detail!$B$6:$B$3005,$A285))</f>
        <v/>
      </c>
      <c r="M285" s="12" t="n"/>
      <c r="N285" s="12">
        <f>IF($A285="","",IF($G285="","",IF($M285="Oui","Litige",IF($J285&lt;=0,"Payé",IF($I285&gt;0,"Partiel",IF(Listes!$B$3&gt;$G285,"En retard","À échoir"))))))</f>
        <v/>
      </c>
      <c r="O285" s="11">
        <f>IF($A285="","",IF(OR($G285="", $J285&lt;=0),0,MAX(0,Listes!$B$3-$G285)))</f>
        <v/>
      </c>
      <c r="P285" s="12">
        <f>IF($A285="","",IF($J285&lt;=0,"Payé",IF($M285="Oui","Litige",IF($O285=0,"À échoir",IF($O285&lt;=30,"0-30",IF($O285&lt;=60,"31-60",IF($O285&lt;=90,"61-90","90+")))))))</f>
        <v/>
      </c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9">
        <f>IF($A286="","",SUMIFS(Ventes_Encaissements!$D$6:$D$3005,Ventes_Encaissements!$B$6:$B$3005,$A286))</f>
        <v/>
      </c>
      <c r="J286" s="9">
        <f>IF($A286="","",$H286-$I286)</f>
        <v/>
      </c>
      <c r="K286" s="10">
        <f>IF($A286="","",IF($I286=0,"",_xludf.AGGREGATE(14,6,Ventes_Encaissements!$C$6:$C$3005/(Ventes_Encaissements!$B$6:$B$3005=$A286),1)))</f>
        <v/>
      </c>
      <c r="L286" s="11">
        <f>IF($A286="","",COUNTIFS(Ventes_Detail!$B$6:$B$3005,$A286))</f>
        <v/>
      </c>
      <c r="M286" s="12" t="n"/>
      <c r="N286" s="12">
        <f>IF($A286="","",IF($G286="","",IF($M286="Oui","Litige",IF($J286&lt;=0,"Payé",IF($I286&gt;0,"Partiel",IF(Listes!$B$3&gt;$G286,"En retard","À échoir"))))))</f>
        <v/>
      </c>
      <c r="O286" s="11">
        <f>IF($A286="","",IF(OR($G286="", $J286&lt;=0),0,MAX(0,Listes!$B$3-$G286)))</f>
        <v/>
      </c>
      <c r="P286" s="12">
        <f>IF($A286="","",IF($J286&lt;=0,"Payé",IF($M286="Oui","Litige",IF($O286=0,"À échoir",IF($O286&lt;=30,"0-30",IF($O286&lt;=60,"31-60",IF($O286&lt;=90,"61-90","90+")))))))</f>
        <v/>
      </c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9">
        <f>IF($A287="","",SUMIFS(Ventes_Encaissements!$D$6:$D$3005,Ventes_Encaissements!$B$6:$B$3005,$A287))</f>
        <v/>
      </c>
      <c r="J287" s="9">
        <f>IF($A287="","",$H287-$I287)</f>
        <v/>
      </c>
      <c r="K287" s="10">
        <f>IF($A287="","",IF($I287=0,"",_xludf.AGGREGATE(14,6,Ventes_Encaissements!$C$6:$C$3005/(Ventes_Encaissements!$B$6:$B$3005=$A287),1)))</f>
        <v/>
      </c>
      <c r="L287" s="11">
        <f>IF($A287="","",COUNTIFS(Ventes_Detail!$B$6:$B$3005,$A287))</f>
        <v/>
      </c>
      <c r="M287" s="12" t="n"/>
      <c r="N287" s="12">
        <f>IF($A287="","",IF($G287="","",IF($M287="Oui","Litige",IF($J287&lt;=0,"Payé",IF($I287&gt;0,"Partiel",IF(Listes!$B$3&gt;$G287,"En retard","À échoir"))))))</f>
        <v/>
      </c>
      <c r="O287" s="11">
        <f>IF($A287="","",IF(OR($G287="", $J287&lt;=0),0,MAX(0,Listes!$B$3-$G287)))</f>
        <v/>
      </c>
      <c r="P287" s="12">
        <f>IF($A287="","",IF($J287&lt;=0,"Payé",IF($M287="Oui","Litige",IF($O287=0,"À échoir",IF($O287&lt;=30,"0-30",IF($O287&lt;=60,"31-60",IF($O287&lt;=90,"61-90","90+")))))))</f>
        <v/>
      </c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9">
        <f>IF($A288="","",SUMIFS(Ventes_Encaissements!$D$6:$D$3005,Ventes_Encaissements!$B$6:$B$3005,$A288))</f>
        <v/>
      </c>
      <c r="J288" s="9">
        <f>IF($A288="","",$H288-$I288)</f>
        <v/>
      </c>
      <c r="K288" s="10">
        <f>IF($A288="","",IF($I288=0,"",_xludf.AGGREGATE(14,6,Ventes_Encaissements!$C$6:$C$3005/(Ventes_Encaissements!$B$6:$B$3005=$A288),1)))</f>
        <v/>
      </c>
      <c r="L288" s="11">
        <f>IF($A288="","",COUNTIFS(Ventes_Detail!$B$6:$B$3005,$A288))</f>
        <v/>
      </c>
      <c r="M288" s="12" t="n"/>
      <c r="N288" s="12">
        <f>IF($A288="","",IF($G288="","",IF($M288="Oui","Litige",IF($J288&lt;=0,"Payé",IF($I288&gt;0,"Partiel",IF(Listes!$B$3&gt;$G288,"En retard","À échoir"))))))</f>
        <v/>
      </c>
      <c r="O288" s="11">
        <f>IF($A288="","",IF(OR($G288="", $J288&lt;=0),0,MAX(0,Listes!$B$3-$G288)))</f>
        <v/>
      </c>
      <c r="P288" s="12">
        <f>IF($A288="","",IF($J288&lt;=0,"Payé",IF($M288="Oui","Litige",IF($O288=0,"À échoir",IF($O288&lt;=30,"0-30",IF($O288&lt;=60,"31-60",IF($O288&lt;=90,"61-90","90+")))))))</f>
        <v/>
      </c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9">
        <f>IF($A289="","",SUMIFS(Ventes_Encaissements!$D$6:$D$3005,Ventes_Encaissements!$B$6:$B$3005,$A289))</f>
        <v/>
      </c>
      <c r="J289" s="9">
        <f>IF($A289="","",$H289-$I289)</f>
        <v/>
      </c>
      <c r="K289" s="10">
        <f>IF($A289="","",IF($I289=0,"",_xludf.AGGREGATE(14,6,Ventes_Encaissements!$C$6:$C$3005/(Ventes_Encaissements!$B$6:$B$3005=$A289),1)))</f>
        <v/>
      </c>
      <c r="L289" s="11">
        <f>IF($A289="","",COUNTIFS(Ventes_Detail!$B$6:$B$3005,$A289))</f>
        <v/>
      </c>
      <c r="M289" s="12" t="n"/>
      <c r="N289" s="12">
        <f>IF($A289="","",IF($G289="","",IF($M289="Oui","Litige",IF($J289&lt;=0,"Payé",IF($I289&gt;0,"Partiel",IF(Listes!$B$3&gt;$G289,"En retard","À échoir"))))))</f>
        <v/>
      </c>
      <c r="O289" s="11">
        <f>IF($A289="","",IF(OR($G289="", $J289&lt;=0),0,MAX(0,Listes!$B$3-$G289)))</f>
        <v/>
      </c>
      <c r="P289" s="12">
        <f>IF($A289="","",IF($J289&lt;=0,"Payé",IF($M289="Oui","Litige",IF($O289=0,"À échoir",IF($O289&lt;=30,"0-30",IF($O289&lt;=60,"31-60",IF($O289&lt;=90,"61-90","90+")))))))</f>
        <v/>
      </c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9">
        <f>IF($A290="","",SUMIFS(Ventes_Encaissements!$D$6:$D$3005,Ventes_Encaissements!$B$6:$B$3005,$A290))</f>
        <v/>
      </c>
      <c r="J290" s="9">
        <f>IF($A290="","",$H290-$I290)</f>
        <v/>
      </c>
      <c r="K290" s="10">
        <f>IF($A290="","",IF($I290=0,"",_xludf.AGGREGATE(14,6,Ventes_Encaissements!$C$6:$C$3005/(Ventes_Encaissements!$B$6:$B$3005=$A290),1)))</f>
        <v/>
      </c>
      <c r="L290" s="11">
        <f>IF($A290="","",COUNTIFS(Ventes_Detail!$B$6:$B$3005,$A290))</f>
        <v/>
      </c>
      <c r="M290" s="12" t="n"/>
      <c r="N290" s="12">
        <f>IF($A290="","",IF($G290="","",IF($M290="Oui","Litige",IF($J290&lt;=0,"Payé",IF($I290&gt;0,"Partiel",IF(Listes!$B$3&gt;$G290,"En retard","À échoir"))))))</f>
        <v/>
      </c>
      <c r="O290" s="11">
        <f>IF($A290="","",IF(OR($G290="", $J290&lt;=0),0,MAX(0,Listes!$B$3-$G290)))</f>
        <v/>
      </c>
      <c r="P290" s="12">
        <f>IF($A290="","",IF($J290&lt;=0,"Payé",IF($M290="Oui","Litige",IF($O290=0,"À échoir",IF($O290&lt;=30,"0-30",IF($O290&lt;=60,"31-60",IF($O290&lt;=90,"61-90","90+")))))))</f>
        <v/>
      </c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9">
        <f>IF($A291="","",SUMIFS(Ventes_Encaissements!$D$6:$D$3005,Ventes_Encaissements!$B$6:$B$3005,$A291))</f>
        <v/>
      </c>
      <c r="J291" s="9">
        <f>IF($A291="","",$H291-$I291)</f>
        <v/>
      </c>
      <c r="K291" s="10">
        <f>IF($A291="","",IF($I291=0,"",_xludf.AGGREGATE(14,6,Ventes_Encaissements!$C$6:$C$3005/(Ventes_Encaissements!$B$6:$B$3005=$A291),1)))</f>
        <v/>
      </c>
      <c r="L291" s="11">
        <f>IF($A291="","",COUNTIFS(Ventes_Detail!$B$6:$B$3005,$A291))</f>
        <v/>
      </c>
      <c r="M291" s="12" t="n"/>
      <c r="N291" s="12">
        <f>IF($A291="","",IF($G291="","",IF($M291="Oui","Litige",IF($J291&lt;=0,"Payé",IF($I291&gt;0,"Partiel",IF(Listes!$B$3&gt;$G291,"En retard","À échoir"))))))</f>
        <v/>
      </c>
      <c r="O291" s="11">
        <f>IF($A291="","",IF(OR($G291="", $J291&lt;=0),0,MAX(0,Listes!$B$3-$G291)))</f>
        <v/>
      </c>
      <c r="P291" s="12">
        <f>IF($A291="","",IF($J291&lt;=0,"Payé",IF($M291="Oui","Litige",IF($O291=0,"À échoir",IF($O291&lt;=30,"0-30",IF($O291&lt;=60,"31-60",IF($O291&lt;=90,"61-90","90+")))))))</f>
        <v/>
      </c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9">
        <f>IF($A292="","",SUMIFS(Ventes_Encaissements!$D$6:$D$3005,Ventes_Encaissements!$B$6:$B$3005,$A292))</f>
        <v/>
      </c>
      <c r="J292" s="9">
        <f>IF($A292="","",$H292-$I292)</f>
        <v/>
      </c>
      <c r="K292" s="10">
        <f>IF($A292="","",IF($I292=0,"",_xludf.AGGREGATE(14,6,Ventes_Encaissements!$C$6:$C$3005/(Ventes_Encaissements!$B$6:$B$3005=$A292),1)))</f>
        <v/>
      </c>
      <c r="L292" s="11">
        <f>IF($A292="","",COUNTIFS(Ventes_Detail!$B$6:$B$3005,$A292))</f>
        <v/>
      </c>
      <c r="M292" s="12" t="n"/>
      <c r="N292" s="12">
        <f>IF($A292="","",IF($G292="","",IF($M292="Oui","Litige",IF($J292&lt;=0,"Payé",IF($I292&gt;0,"Partiel",IF(Listes!$B$3&gt;$G292,"En retard","À échoir"))))))</f>
        <v/>
      </c>
      <c r="O292" s="11">
        <f>IF($A292="","",IF(OR($G292="", $J292&lt;=0),0,MAX(0,Listes!$B$3-$G292)))</f>
        <v/>
      </c>
      <c r="P292" s="12">
        <f>IF($A292="","",IF($J292&lt;=0,"Payé",IF($M292="Oui","Litige",IF($O292=0,"À échoir",IF($O292&lt;=30,"0-30",IF($O292&lt;=60,"31-60",IF($O292&lt;=90,"61-90","90+")))))))</f>
        <v/>
      </c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9">
        <f>IF($A293="","",SUMIFS(Ventes_Encaissements!$D$6:$D$3005,Ventes_Encaissements!$B$6:$B$3005,$A293))</f>
        <v/>
      </c>
      <c r="J293" s="9">
        <f>IF($A293="","",$H293-$I293)</f>
        <v/>
      </c>
      <c r="K293" s="10">
        <f>IF($A293="","",IF($I293=0,"",_xludf.AGGREGATE(14,6,Ventes_Encaissements!$C$6:$C$3005/(Ventes_Encaissements!$B$6:$B$3005=$A293),1)))</f>
        <v/>
      </c>
      <c r="L293" s="11">
        <f>IF($A293="","",COUNTIFS(Ventes_Detail!$B$6:$B$3005,$A293))</f>
        <v/>
      </c>
      <c r="M293" s="12" t="n"/>
      <c r="N293" s="12">
        <f>IF($A293="","",IF($G293="","",IF($M293="Oui","Litige",IF($J293&lt;=0,"Payé",IF($I293&gt;0,"Partiel",IF(Listes!$B$3&gt;$G293,"En retard","À échoir"))))))</f>
        <v/>
      </c>
      <c r="O293" s="11">
        <f>IF($A293="","",IF(OR($G293="", $J293&lt;=0),0,MAX(0,Listes!$B$3-$G293)))</f>
        <v/>
      </c>
      <c r="P293" s="12">
        <f>IF($A293="","",IF($J293&lt;=0,"Payé",IF($M293="Oui","Litige",IF($O293=0,"À échoir",IF($O293&lt;=30,"0-30",IF($O293&lt;=60,"31-60",IF($O293&lt;=90,"61-90","90+")))))))</f>
        <v/>
      </c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9">
        <f>IF($A294="","",SUMIFS(Ventes_Encaissements!$D$6:$D$3005,Ventes_Encaissements!$B$6:$B$3005,$A294))</f>
        <v/>
      </c>
      <c r="J294" s="9">
        <f>IF($A294="","",$H294-$I294)</f>
        <v/>
      </c>
      <c r="K294" s="10">
        <f>IF($A294="","",IF($I294=0,"",_xludf.AGGREGATE(14,6,Ventes_Encaissements!$C$6:$C$3005/(Ventes_Encaissements!$B$6:$B$3005=$A294),1)))</f>
        <v/>
      </c>
      <c r="L294" s="11">
        <f>IF($A294="","",COUNTIFS(Ventes_Detail!$B$6:$B$3005,$A294))</f>
        <v/>
      </c>
      <c r="M294" s="12" t="n"/>
      <c r="N294" s="12">
        <f>IF($A294="","",IF($G294="","",IF($M294="Oui","Litige",IF($J294&lt;=0,"Payé",IF($I294&gt;0,"Partiel",IF(Listes!$B$3&gt;$G294,"En retard","À échoir"))))))</f>
        <v/>
      </c>
      <c r="O294" s="11">
        <f>IF($A294="","",IF(OR($G294="", $J294&lt;=0),0,MAX(0,Listes!$B$3-$G294)))</f>
        <v/>
      </c>
      <c r="P294" s="12">
        <f>IF($A294="","",IF($J294&lt;=0,"Payé",IF($M294="Oui","Litige",IF($O294=0,"À échoir",IF($O294&lt;=30,"0-30",IF($O294&lt;=60,"31-60",IF($O294&lt;=90,"61-90","90+")))))))</f>
        <v/>
      </c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9">
        <f>IF($A295="","",SUMIFS(Ventes_Encaissements!$D$6:$D$3005,Ventes_Encaissements!$B$6:$B$3005,$A295))</f>
        <v/>
      </c>
      <c r="J295" s="9">
        <f>IF($A295="","",$H295-$I295)</f>
        <v/>
      </c>
      <c r="K295" s="10">
        <f>IF($A295="","",IF($I295=0,"",_xludf.AGGREGATE(14,6,Ventes_Encaissements!$C$6:$C$3005/(Ventes_Encaissements!$B$6:$B$3005=$A295),1)))</f>
        <v/>
      </c>
      <c r="L295" s="11">
        <f>IF($A295="","",COUNTIFS(Ventes_Detail!$B$6:$B$3005,$A295))</f>
        <v/>
      </c>
      <c r="M295" s="12" t="n"/>
      <c r="N295" s="12">
        <f>IF($A295="","",IF($G295="","",IF($M295="Oui","Litige",IF($J295&lt;=0,"Payé",IF($I295&gt;0,"Partiel",IF(Listes!$B$3&gt;$G295,"En retard","À échoir"))))))</f>
        <v/>
      </c>
      <c r="O295" s="11">
        <f>IF($A295="","",IF(OR($G295="", $J295&lt;=0),0,MAX(0,Listes!$B$3-$G295)))</f>
        <v/>
      </c>
      <c r="P295" s="12">
        <f>IF($A295="","",IF($J295&lt;=0,"Payé",IF($M295="Oui","Litige",IF($O295=0,"À échoir",IF($O295&lt;=30,"0-30",IF($O295&lt;=60,"31-60",IF($O295&lt;=90,"61-90","90+")))))))</f>
        <v/>
      </c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9">
        <f>IF($A296="","",SUMIFS(Ventes_Encaissements!$D$6:$D$3005,Ventes_Encaissements!$B$6:$B$3005,$A296))</f>
        <v/>
      </c>
      <c r="J296" s="9">
        <f>IF($A296="","",$H296-$I296)</f>
        <v/>
      </c>
      <c r="K296" s="10">
        <f>IF($A296="","",IF($I296=0,"",_xludf.AGGREGATE(14,6,Ventes_Encaissements!$C$6:$C$3005/(Ventes_Encaissements!$B$6:$B$3005=$A296),1)))</f>
        <v/>
      </c>
      <c r="L296" s="11">
        <f>IF($A296="","",COUNTIFS(Ventes_Detail!$B$6:$B$3005,$A296))</f>
        <v/>
      </c>
      <c r="M296" s="12" t="n"/>
      <c r="N296" s="12">
        <f>IF($A296="","",IF($G296="","",IF($M296="Oui","Litige",IF($J296&lt;=0,"Payé",IF($I296&gt;0,"Partiel",IF(Listes!$B$3&gt;$G296,"En retard","À échoir"))))))</f>
        <v/>
      </c>
      <c r="O296" s="11">
        <f>IF($A296="","",IF(OR($G296="", $J296&lt;=0),0,MAX(0,Listes!$B$3-$G296)))</f>
        <v/>
      </c>
      <c r="P296" s="12">
        <f>IF($A296="","",IF($J296&lt;=0,"Payé",IF($M296="Oui","Litige",IF($O296=0,"À échoir",IF($O296&lt;=30,"0-30",IF($O296&lt;=60,"31-60",IF($O296&lt;=90,"61-90","90+")))))))</f>
        <v/>
      </c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9">
        <f>IF($A297="","",SUMIFS(Ventes_Encaissements!$D$6:$D$3005,Ventes_Encaissements!$B$6:$B$3005,$A297))</f>
        <v/>
      </c>
      <c r="J297" s="9">
        <f>IF($A297="","",$H297-$I297)</f>
        <v/>
      </c>
      <c r="K297" s="10">
        <f>IF($A297="","",IF($I297=0,"",_xludf.AGGREGATE(14,6,Ventes_Encaissements!$C$6:$C$3005/(Ventes_Encaissements!$B$6:$B$3005=$A297),1)))</f>
        <v/>
      </c>
      <c r="L297" s="11">
        <f>IF($A297="","",COUNTIFS(Ventes_Detail!$B$6:$B$3005,$A297))</f>
        <v/>
      </c>
      <c r="M297" s="12" t="n"/>
      <c r="N297" s="12">
        <f>IF($A297="","",IF($G297="","",IF($M297="Oui","Litige",IF($J297&lt;=0,"Payé",IF($I297&gt;0,"Partiel",IF(Listes!$B$3&gt;$G297,"En retard","À échoir"))))))</f>
        <v/>
      </c>
      <c r="O297" s="11">
        <f>IF($A297="","",IF(OR($G297="", $J297&lt;=0),0,MAX(0,Listes!$B$3-$G297)))</f>
        <v/>
      </c>
      <c r="P297" s="12">
        <f>IF($A297="","",IF($J297&lt;=0,"Payé",IF($M297="Oui","Litige",IF($O297=0,"À échoir",IF($O297&lt;=30,"0-30",IF($O297&lt;=60,"31-60",IF($O297&lt;=90,"61-90","90+")))))))</f>
        <v/>
      </c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9">
        <f>IF($A298="","",SUMIFS(Ventes_Encaissements!$D$6:$D$3005,Ventes_Encaissements!$B$6:$B$3005,$A298))</f>
        <v/>
      </c>
      <c r="J298" s="9">
        <f>IF($A298="","",$H298-$I298)</f>
        <v/>
      </c>
      <c r="K298" s="10">
        <f>IF($A298="","",IF($I298=0,"",_xludf.AGGREGATE(14,6,Ventes_Encaissements!$C$6:$C$3005/(Ventes_Encaissements!$B$6:$B$3005=$A298),1)))</f>
        <v/>
      </c>
      <c r="L298" s="11">
        <f>IF($A298="","",COUNTIFS(Ventes_Detail!$B$6:$B$3005,$A298))</f>
        <v/>
      </c>
      <c r="M298" s="12" t="n"/>
      <c r="N298" s="12">
        <f>IF($A298="","",IF($G298="","",IF($M298="Oui","Litige",IF($J298&lt;=0,"Payé",IF($I298&gt;0,"Partiel",IF(Listes!$B$3&gt;$G298,"En retard","À échoir"))))))</f>
        <v/>
      </c>
      <c r="O298" s="11">
        <f>IF($A298="","",IF(OR($G298="", $J298&lt;=0),0,MAX(0,Listes!$B$3-$G298)))</f>
        <v/>
      </c>
      <c r="P298" s="12">
        <f>IF($A298="","",IF($J298&lt;=0,"Payé",IF($M298="Oui","Litige",IF($O298=0,"À échoir",IF($O298&lt;=30,"0-30",IF($O298&lt;=60,"31-60",IF($O298&lt;=90,"61-90","90+")))))))</f>
        <v/>
      </c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9">
        <f>IF($A299="","",SUMIFS(Ventes_Encaissements!$D$6:$D$3005,Ventes_Encaissements!$B$6:$B$3005,$A299))</f>
        <v/>
      </c>
      <c r="J299" s="9">
        <f>IF($A299="","",$H299-$I299)</f>
        <v/>
      </c>
      <c r="K299" s="10">
        <f>IF($A299="","",IF($I299=0,"",_xludf.AGGREGATE(14,6,Ventes_Encaissements!$C$6:$C$3005/(Ventes_Encaissements!$B$6:$B$3005=$A299),1)))</f>
        <v/>
      </c>
      <c r="L299" s="11">
        <f>IF($A299="","",COUNTIFS(Ventes_Detail!$B$6:$B$3005,$A299))</f>
        <v/>
      </c>
      <c r="M299" s="12" t="n"/>
      <c r="N299" s="12">
        <f>IF($A299="","",IF($G299="","",IF($M299="Oui","Litige",IF($J299&lt;=0,"Payé",IF($I299&gt;0,"Partiel",IF(Listes!$B$3&gt;$G299,"En retard","À échoir"))))))</f>
        <v/>
      </c>
      <c r="O299" s="11">
        <f>IF($A299="","",IF(OR($G299="", $J299&lt;=0),0,MAX(0,Listes!$B$3-$G299)))</f>
        <v/>
      </c>
      <c r="P299" s="12">
        <f>IF($A299="","",IF($J299&lt;=0,"Payé",IF($M299="Oui","Litige",IF($O299=0,"À échoir",IF($O299&lt;=30,"0-30",IF($O299&lt;=60,"31-60",IF($O299&lt;=90,"61-90","90+")))))))</f>
        <v/>
      </c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9">
        <f>IF($A300="","",SUMIFS(Ventes_Encaissements!$D$6:$D$3005,Ventes_Encaissements!$B$6:$B$3005,$A300))</f>
        <v/>
      </c>
      <c r="J300" s="9">
        <f>IF($A300="","",$H300-$I300)</f>
        <v/>
      </c>
      <c r="K300" s="10">
        <f>IF($A300="","",IF($I300=0,"",_xludf.AGGREGATE(14,6,Ventes_Encaissements!$C$6:$C$3005/(Ventes_Encaissements!$B$6:$B$3005=$A300),1)))</f>
        <v/>
      </c>
      <c r="L300" s="11">
        <f>IF($A300="","",COUNTIFS(Ventes_Detail!$B$6:$B$3005,$A300))</f>
        <v/>
      </c>
      <c r="M300" s="12" t="n"/>
      <c r="N300" s="12">
        <f>IF($A300="","",IF($G300="","",IF($M300="Oui","Litige",IF($J300&lt;=0,"Payé",IF($I300&gt;0,"Partiel",IF(Listes!$B$3&gt;$G300,"En retard","À échoir"))))))</f>
        <v/>
      </c>
      <c r="O300" s="11">
        <f>IF($A300="","",IF(OR($G300="", $J300&lt;=0),0,MAX(0,Listes!$B$3-$G300)))</f>
        <v/>
      </c>
      <c r="P300" s="12">
        <f>IF($A300="","",IF($J300&lt;=0,"Payé",IF($M300="Oui","Litige",IF($O300=0,"À échoir",IF($O300&lt;=30,"0-30",IF($O300&lt;=60,"31-60",IF($O300&lt;=90,"61-90","90+")))))))</f>
        <v/>
      </c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9">
        <f>IF($A301="","",SUMIFS(Ventes_Encaissements!$D$6:$D$3005,Ventes_Encaissements!$B$6:$B$3005,$A301))</f>
        <v/>
      </c>
      <c r="J301" s="9">
        <f>IF($A301="","",$H301-$I301)</f>
        <v/>
      </c>
      <c r="K301" s="10">
        <f>IF($A301="","",IF($I301=0,"",_xludf.AGGREGATE(14,6,Ventes_Encaissements!$C$6:$C$3005/(Ventes_Encaissements!$B$6:$B$3005=$A301),1)))</f>
        <v/>
      </c>
      <c r="L301" s="11">
        <f>IF($A301="","",COUNTIFS(Ventes_Detail!$B$6:$B$3005,$A301))</f>
        <v/>
      </c>
      <c r="M301" s="12" t="n"/>
      <c r="N301" s="12">
        <f>IF($A301="","",IF($G301="","",IF($M301="Oui","Litige",IF($J301&lt;=0,"Payé",IF($I301&gt;0,"Partiel",IF(Listes!$B$3&gt;$G301,"En retard","À échoir"))))))</f>
        <v/>
      </c>
      <c r="O301" s="11">
        <f>IF($A301="","",IF(OR($G301="", $J301&lt;=0),0,MAX(0,Listes!$B$3-$G301)))</f>
        <v/>
      </c>
      <c r="P301" s="12">
        <f>IF($A301="","",IF($J301&lt;=0,"Payé",IF($M301="Oui","Litige",IF($O301=0,"À échoir",IF($O301&lt;=30,"0-30",IF($O301&lt;=60,"31-60",IF($O301&lt;=90,"61-90","90+")))))))</f>
        <v/>
      </c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9">
        <f>IF($A302="","",SUMIFS(Ventes_Encaissements!$D$6:$D$3005,Ventes_Encaissements!$B$6:$B$3005,$A302))</f>
        <v/>
      </c>
      <c r="J302" s="9">
        <f>IF($A302="","",$H302-$I302)</f>
        <v/>
      </c>
      <c r="K302" s="10">
        <f>IF($A302="","",IF($I302=0,"",_xludf.AGGREGATE(14,6,Ventes_Encaissements!$C$6:$C$3005/(Ventes_Encaissements!$B$6:$B$3005=$A302),1)))</f>
        <v/>
      </c>
      <c r="L302" s="11">
        <f>IF($A302="","",COUNTIFS(Ventes_Detail!$B$6:$B$3005,$A302))</f>
        <v/>
      </c>
      <c r="M302" s="12" t="n"/>
      <c r="N302" s="12">
        <f>IF($A302="","",IF($G302="","",IF($M302="Oui","Litige",IF($J302&lt;=0,"Payé",IF($I302&gt;0,"Partiel",IF(Listes!$B$3&gt;$G302,"En retard","À échoir"))))))</f>
        <v/>
      </c>
      <c r="O302" s="11">
        <f>IF($A302="","",IF(OR($G302="", $J302&lt;=0),0,MAX(0,Listes!$B$3-$G302)))</f>
        <v/>
      </c>
      <c r="P302" s="12">
        <f>IF($A302="","",IF($J302&lt;=0,"Payé",IF($M302="Oui","Litige",IF($O302=0,"À échoir",IF($O302&lt;=30,"0-30",IF($O302&lt;=60,"31-60",IF($O302&lt;=90,"61-90","90+")))))))</f>
        <v/>
      </c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9">
        <f>IF($A303="","",SUMIFS(Ventes_Encaissements!$D$6:$D$3005,Ventes_Encaissements!$B$6:$B$3005,$A303))</f>
        <v/>
      </c>
      <c r="J303" s="9">
        <f>IF($A303="","",$H303-$I303)</f>
        <v/>
      </c>
      <c r="K303" s="10">
        <f>IF($A303="","",IF($I303=0,"",_xludf.AGGREGATE(14,6,Ventes_Encaissements!$C$6:$C$3005/(Ventes_Encaissements!$B$6:$B$3005=$A303),1)))</f>
        <v/>
      </c>
      <c r="L303" s="11">
        <f>IF($A303="","",COUNTIFS(Ventes_Detail!$B$6:$B$3005,$A303))</f>
        <v/>
      </c>
      <c r="M303" s="12" t="n"/>
      <c r="N303" s="12">
        <f>IF($A303="","",IF($G303="","",IF($M303="Oui","Litige",IF($J303&lt;=0,"Payé",IF($I303&gt;0,"Partiel",IF(Listes!$B$3&gt;$G303,"En retard","À échoir"))))))</f>
        <v/>
      </c>
      <c r="O303" s="11">
        <f>IF($A303="","",IF(OR($G303="", $J303&lt;=0),0,MAX(0,Listes!$B$3-$G303)))</f>
        <v/>
      </c>
      <c r="P303" s="12">
        <f>IF($A303="","",IF($J303&lt;=0,"Payé",IF($M303="Oui","Litige",IF($O303=0,"À échoir",IF($O303&lt;=30,"0-30",IF($O303&lt;=60,"31-60",IF($O303&lt;=90,"61-90","90+")))))))</f>
        <v/>
      </c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9">
        <f>IF($A304="","",SUMIFS(Ventes_Encaissements!$D$6:$D$3005,Ventes_Encaissements!$B$6:$B$3005,$A304))</f>
        <v/>
      </c>
      <c r="J304" s="9">
        <f>IF($A304="","",$H304-$I304)</f>
        <v/>
      </c>
      <c r="K304" s="10">
        <f>IF($A304="","",IF($I304=0,"",_xludf.AGGREGATE(14,6,Ventes_Encaissements!$C$6:$C$3005/(Ventes_Encaissements!$B$6:$B$3005=$A304),1)))</f>
        <v/>
      </c>
      <c r="L304" s="11">
        <f>IF($A304="","",COUNTIFS(Ventes_Detail!$B$6:$B$3005,$A304))</f>
        <v/>
      </c>
      <c r="M304" s="12" t="n"/>
      <c r="N304" s="12">
        <f>IF($A304="","",IF($G304="","",IF($M304="Oui","Litige",IF($J304&lt;=0,"Payé",IF($I304&gt;0,"Partiel",IF(Listes!$B$3&gt;$G304,"En retard","À échoir"))))))</f>
        <v/>
      </c>
      <c r="O304" s="11">
        <f>IF($A304="","",IF(OR($G304="", $J304&lt;=0),0,MAX(0,Listes!$B$3-$G304)))</f>
        <v/>
      </c>
      <c r="P304" s="12">
        <f>IF($A304="","",IF($J304&lt;=0,"Payé",IF($M304="Oui","Litige",IF($O304=0,"À échoir",IF($O304&lt;=30,"0-30",IF($O304&lt;=60,"31-60",IF($O304&lt;=90,"61-90","90+")))))))</f>
        <v/>
      </c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9">
        <f>IF($A305="","",SUMIFS(Ventes_Encaissements!$D$6:$D$3005,Ventes_Encaissements!$B$6:$B$3005,$A305))</f>
        <v/>
      </c>
      <c r="J305" s="9">
        <f>IF($A305="","",$H305-$I305)</f>
        <v/>
      </c>
      <c r="K305" s="10">
        <f>IF($A305="","",IF($I305=0,"",_xludf.AGGREGATE(14,6,Ventes_Encaissements!$C$6:$C$3005/(Ventes_Encaissements!$B$6:$B$3005=$A305),1)))</f>
        <v/>
      </c>
      <c r="L305" s="11">
        <f>IF($A305="","",COUNTIFS(Ventes_Detail!$B$6:$B$3005,$A305))</f>
        <v/>
      </c>
      <c r="M305" s="12" t="n"/>
      <c r="N305" s="12">
        <f>IF($A305="","",IF($G305="","",IF($M305="Oui","Litige",IF($J305&lt;=0,"Payé",IF($I305&gt;0,"Partiel",IF(Listes!$B$3&gt;$G305,"En retard","À échoir"))))))</f>
        <v/>
      </c>
      <c r="O305" s="11">
        <f>IF($A305="","",IF(OR($G305="", $J305&lt;=0),0,MAX(0,Listes!$B$3-$G305)))</f>
        <v/>
      </c>
      <c r="P305" s="12">
        <f>IF($A305="","",IF($J305&lt;=0,"Payé",IF($M305="Oui","Litige",IF($O305=0,"À échoir",IF($O305&lt;=30,"0-30",IF($O305&lt;=60,"31-60",IF($O305&lt;=90,"61-90","90+")))))))</f>
        <v/>
      </c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9">
        <f>IF($A306="","",SUMIFS(Ventes_Encaissements!$D$6:$D$3005,Ventes_Encaissements!$B$6:$B$3005,$A306))</f>
        <v/>
      </c>
      <c r="J306" s="9">
        <f>IF($A306="","",$H306-$I306)</f>
        <v/>
      </c>
      <c r="K306" s="10">
        <f>IF($A306="","",IF($I306=0,"",_xludf.AGGREGATE(14,6,Ventes_Encaissements!$C$6:$C$3005/(Ventes_Encaissements!$B$6:$B$3005=$A306),1)))</f>
        <v/>
      </c>
      <c r="L306" s="11">
        <f>IF($A306="","",COUNTIFS(Ventes_Detail!$B$6:$B$3005,$A306))</f>
        <v/>
      </c>
      <c r="M306" s="12" t="n"/>
      <c r="N306" s="12">
        <f>IF($A306="","",IF($G306="","",IF($M306="Oui","Litige",IF($J306&lt;=0,"Payé",IF($I306&gt;0,"Partiel",IF(Listes!$B$3&gt;$G306,"En retard","À échoir"))))))</f>
        <v/>
      </c>
      <c r="O306" s="11">
        <f>IF($A306="","",IF(OR($G306="", $J306&lt;=0),0,MAX(0,Listes!$B$3-$G306)))</f>
        <v/>
      </c>
      <c r="P306" s="12">
        <f>IF($A306="","",IF($J306&lt;=0,"Payé",IF($M306="Oui","Litige",IF($O306=0,"À échoir",IF($O306&lt;=30,"0-30",IF($O306&lt;=60,"31-60",IF($O306&lt;=90,"61-90","90+")))))))</f>
        <v/>
      </c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9">
        <f>IF($A307="","",SUMIFS(Ventes_Encaissements!$D$6:$D$3005,Ventes_Encaissements!$B$6:$B$3005,$A307))</f>
        <v/>
      </c>
      <c r="J307" s="9">
        <f>IF($A307="","",$H307-$I307)</f>
        <v/>
      </c>
      <c r="K307" s="10">
        <f>IF($A307="","",IF($I307=0,"",_xludf.AGGREGATE(14,6,Ventes_Encaissements!$C$6:$C$3005/(Ventes_Encaissements!$B$6:$B$3005=$A307),1)))</f>
        <v/>
      </c>
      <c r="L307" s="11">
        <f>IF($A307="","",COUNTIFS(Ventes_Detail!$B$6:$B$3005,$A307))</f>
        <v/>
      </c>
      <c r="M307" s="12" t="n"/>
      <c r="N307" s="12">
        <f>IF($A307="","",IF($G307="","",IF($M307="Oui","Litige",IF($J307&lt;=0,"Payé",IF($I307&gt;0,"Partiel",IF(Listes!$B$3&gt;$G307,"En retard","À échoir"))))))</f>
        <v/>
      </c>
      <c r="O307" s="11">
        <f>IF($A307="","",IF(OR($G307="", $J307&lt;=0),0,MAX(0,Listes!$B$3-$G307)))</f>
        <v/>
      </c>
      <c r="P307" s="12">
        <f>IF($A307="","",IF($J307&lt;=0,"Payé",IF($M307="Oui","Litige",IF($O307=0,"À échoir",IF($O307&lt;=30,"0-30",IF($O307&lt;=60,"31-60",IF($O307&lt;=90,"61-90","90+")))))))</f>
        <v/>
      </c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9">
        <f>IF($A308="","",SUMIFS(Ventes_Encaissements!$D$6:$D$3005,Ventes_Encaissements!$B$6:$B$3005,$A308))</f>
        <v/>
      </c>
      <c r="J308" s="9">
        <f>IF($A308="","",$H308-$I308)</f>
        <v/>
      </c>
      <c r="K308" s="10">
        <f>IF($A308="","",IF($I308=0,"",_xludf.AGGREGATE(14,6,Ventes_Encaissements!$C$6:$C$3005/(Ventes_Encaissements!$B$6:$B$3005=$A308),1)))</f>
        <v/>
      </c>
      <c r="L308" s="11">
        <f>IF($A308="","",COUNTIFS(Ventes_Detail!$B$6:$B$3005,$A308))</f>
        <v/>
      </c>
      <c r="M308" s="12" t="n"/>
      <c r="N308" s="12">
        <f>IF($A308="","",IF($G308="","",IF($M308="Oui","Litige",IF($J308&lt;=0,"Payé",IF($I308&gt;0,"Partiel",IF(Listes!$B$3&gt;$G308,"En retard","À échoir"))))))</f>
        <v/>
      </c>
      <c r="O308" s="11">
        <f>IF($A308="","",IF(OR($G308="", $J308&lt;=0),0,MAX(0,Listes!$B$3-$G308)))</f>
        <v/>
      </c>
      <c r="P308" s="12">
        <f>IF($A308="","",IF($J308&lt;=0,"Payé",IF($M308="Oui","Litige",IF($O308=0,"À échoir",IF($O308&lt;=30,"0-30",IF($O308&lt;=60,"31-60",IF($O308&lt;=90,"61-90","90+")))))))</f>
        <v/>
      </c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9">
        <f>IF($A309="","",SUMIFS(Ventes_Encaissements!$D$6:$D$3005,Ventes_Encaissements!$B$6:$B$3005,$A309))</f>
        <v/>
      </c>
      <c r="J309" s="9">
        <f>IF($A309="","",$H309-$I309)</f>
        <v/>
      </c>
      <c r="K309" s="10">
        <f>IF($A309="","",IF($I309=0,"",_xludf.AGGREGATE(14,6,Ventes_Encaissements!$C$6:$C$3005/(Ventes_Encaissements!$B$6:$B$3005=$A309),1)))</f>
        <v/>
      </c>
      <c r="L309" s="11">
        <f>IF($A309="","",COUNTIFS(Ventes_Detail!$B$6:$B$3005,$A309))</f>
        <v/>
      </c>
      <c r="M309" s="12" t="n"/>
      <c r="N309" s="12">
        <f>IF($A309="","",IF($G309="","",IF($M309="Oui","Litige",IF($J309&lt;=0,"Payé",IF($I309&gt;0,"Partiel",IF(Listes!$B$3&gt;$G309,"En retard","À échoir"))))))</f>
        <v/>
      </c>
      <c r="O309" s="11">
        <f>IF($A309="","",IF(OR($G309="", $J309&lt;=0),0,MAX(0,Listes!$B$3-$G309)))</f>
        <v/>
      </c>
      <c r="P309" s="12">
        <f>IF($A309="","",IF($J309&lt;=0,"Payé",IF($M309="Oui","Litige",IF($O309=0,"À échoir",IF($O309&lt;=30,"0-30",IF($O309&lt;=60,"31-60",IF($O309&lt;=90,"61-90","90+")))))))</f>
        <v/>
      </c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9">
        <f>IF($A310="","",SUMIFS(Ventes_Encaissements!$D$6:$D$3005,Ventes_Encaissements!$B$6:$B$3005,$A310))</f>
        <v/>
      </c>
      <c r="J310" s="9">
        <f>IF($A310="","",$H310-$I310)</f>
        <v/>
      </c>
      <c r="K310" s="10">
        <f>IF($A310="","",IF($I310=0,"",_xludf.AGGREGATE(14,6,Ventes_Encaissements!$C$6:$C$3005/(Ventes_Encaissements!$B$6:$B$3005=$A310),1)))</f>
        <v/>
      </c>
      <c r="L310" s="11">
        <f>IF($A310="","",COUNTIFS(Ventes_Detail!$B$6:$B$3005,$A310))</f>
        <v/>
      </c>
      <c r="M310" s="12" t="n"/>
      <c r="N310" s="12">
        <f>IF($A310="","",IF($G310="","",IF($M310="Oui","Litige",IF($J310&lt;=0,"Payé",IF($I310&gt;0,"Partiel",IF(Listes!$B$3&gt;$G310,"En retard","À échoir"))))))</f>
        <v/>
      </c>
      <c r="O310" s="11">
        <f>IF($A310="","",IF(OR($G310="", $J310&lt;=0),0,MAX(0,Listes!$B$3-$G310)))</f>
        <v/>
      </c>
      <c r="P310" s="12">
        <f>IF($A310="","",IF($J310&lt;=0,"Payé",IF($M310="Oui","Litige",IF($O310=0,"À échoir",IF($O310&lt;=30,"0-30",IF($O310&lt;=60,"31-60",IF($O310&lt;=90,"61-90","90+")))))))</f>
        <v/>
      </c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9">
        <f>IF($A311="","",SUMIFS(Ventes_Encaissements!$D$6:$D$3005,Ventes_Encaissements!$B$6:$B$3005,$A311))</f>
        <v/>
      </c>
      <c r="J311" s="9">
        <f>IF($A311="","",$H311-$I311)</f>
        <v/>
      </c>
      <c r="K311" s="10">
        <f>IF($A311="","",IF($I311=0,"",_xludf.AGGREGATE(14,6,Ventes_Encaissements!$C$6:$C$3005/(Ventes_Encaissements!$B$6:$B$3005=$A311),1)))</f>
        <v/>
      </c>
      <c r="L311" s="11">
        <f>IF($A311="","",COUNTIFS(Ventes_Detail!$B$6:$B$3005,$A311))</f>
        <v/>
      </c>
      <c r="M311" s="12" t="n"/>
      <c r="N311" s="12">
        <f>IF($A311="","",IF($G311="","",IF($M311="Oui","Litige",IF($J311&lt;=0,"Payé",IF($I311&gt;0,"Partiel",IF(Listes!$B$3&gt;$G311,"En retard","À échoir"))))))</f>
        <v/>
      </c>
      <c r="O311" s="11">
        <f>IF($A311="","",IF(OR($G311="", $J311&lt;=0),0,MAX(0,Listes!$B$3-$G311)))</f>
        <v/>
      </c>
      <c r="P311" s="12">
        <f>IF($A311="","",IF($J311&lt;=0,"Payé",IF($M311="Oui","Litige",IF($O311=0,"À échoir",IF($O311&lt;=30,"0-30",IF($O311&lt;=60,"31-60",IF($O311&lt;=90,"61-90","90+")))))))</f>
        <v/>
      </c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9">
        <f>IF($A312="","",SUMIFS(Ventes_Encaissements!$D$6:$D$3005,Ventes_Encaissements!$B$6:$B$3005,$A312))</f>
        <v/>
      </c>
      <c r="J312" s="9">
        <f>IF($A312="","",$H312-$I312)</f>
        <v/>
      </c>
      <c r="K312" s="10">
        <f>IF($A312="","",IF($I312=0,"",_xludf.AGGREGATE(14,6,Ventes_Encaissements!$C$6:$C$3005/(Ventes_Encaissements!$B$6:$B$3005=$A312),1)))</f>
        <v/>
      </c>
      <c r="L312" s="11">
        <f>IF($A312="","",COUNTIFS(Ventes_Detail!$B$6:$B$3005,$A312))</f>
        <v/>
      </c>
      <c r="M312" s="12" t="n"/>
      <c r="N312" s="12">
        <f>IF($A312="","",IF($G312="","",IF($M312="Oui","Litige",IF($J312&lt;=0,"Payé",IF($I312&gt;0,"Partiel",IF(Listes!$B$3&gt;$G312,"En retard","À échoir"))))))</f>
        <v/>
      </c>
      <c r="O312" s="11">
        <f>IF($A312="","",IF(OR($G312="", $J312&lt;=0),0,MAX(0,Listes!$B$3-$G312)))</f>
        <v/>
      </c>
      <c r="P312" s="12">
        <f>IF($A312="","",IF($J312&lt;=0,"Payé",IF($M312="Oui","Litige",IF($O312=0,"À échoir",IF($O312&lt;=30,"0-30",IF($O312&lt;=60,"31-60",IF($O312&lt;=90,"61-90","90+")))))))</f>
        <v/>
      </c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9">
        <f>IF($A313="","",SUMIFS(Ventes_Encaissements!$D$6:$D$3005,Ventes_Encaissements!$B$6:$B$3005,$A313))</f>
        <v/>
      </c>
      <c r="J313" s="9">
        <f>IF($A313="","",$H313-$I313)</f>
        <v/>
      </c>
      <c r="K313" s="10">
        <f>IF($A313="","",IF($I313=0,"",_xludf.AGGREGATE(14,6,Ventes_Encaissements!$C$6:$C$3005/(Ventes_Encaissements!$B$6:$B$3005=$A313),1)))</f>
        <v/>
      </c>
      <c r="L313" s="11">
        <f>IF($A313="","",COUNTIFS(Ventes_Detail!$B$6:$B$3005,$A313))</f>
        <v/>
      </c>
      <c r="M313" s="12" t="n"/>
      <c r="N313" s="12">
        <f>IF($A313="","",IF($G313="","",IF($M313="Oui","Litige",IF($J313&lt;=0,"Payé",IF($I313&gt;0,"Partiel",IF(Listes!$B$3&gt;$G313,"En retard","À échoir"))))))</f>
        <v/>
      </c>
      <c r="O313" s="11">
        <f>IF($A313="","",IF(OR($G313="", $J313&lt;=0),0,MAX(0,Listes!$B$3-$G313)))</f>
        <v/>
      </c>
      <c r="P313" s="12">
        <f>IF($A313="","",IF($J313&lt;=0,"Payé",IF($M313="Oui","Litige",IF($O313=0,"À échoir",IF($O313&lt;=30,"0-30",IF($O313&lt;=60,"31-60",IF($O313&lt;=90,"61-90","90+")))))))</f>
        <v/>
      </c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9">
        <f>IF($A314="","",SUMIFS(Ventes_Encaissements!$D$6:$D$3005,Ventes_Encaissements!$B$6:$B$3005,$A314))</f>
        <v/>
      </c>
      <c r="J314" s="9">
        <f>IF($A314="","",$H314-$I314)</f>
        <v/>
      </c>
      <c r="K314" s="10">
        <f>IF($A314="","",IF($I314=0,"",_xludf.AGGREGATE(14,6,Ventes_Encaissements!$C$6:$C$3005/(Ventes_Encaissements!$B$6:$B$3005=$A314),1)))</f>
        <v/>
      </c>
      <c r="L314" s="11">
        <f>IF($A314="","",COUNTIFS(Ventes_Detail!$B$6:$B$3005,$A314))</f>
        <v/>
      </c>
      <c r="M314" s="12" t="n"/>
      <c r="N314" s="12">
        <f>IF($A314="","",IF($G314="","",IF($M314="Oui","Litige",IF($J314&lt;=0,"Payé",IF($I314&gt;0,"Partiel",IF(Listes!$B$3&gt;$G314,"En retard","À échoir"))))))</f>
        <v/>
      </c>
      <c r="O314" s="11">
        <f>IF($A314="","",IF(OR($G314="", $J314&lt;=0),0,MAX(0,Listes!$B$3-$G314)))</f>
        <v/>
      </c>
      <c r="P314" s="12">
        <f>IF($A314="","",IF($J314&lt;=0,"Payé",IF($M314="Oui","Litige",IF($O314=0,"À échoir",IF($O314&lt;=30,"0-30",IF($O314&lt;=60,"31-60",IF($O314&lt;=90,"61-90","90+")))))))</f>
        <v/>
      </c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9">
        <f>IF($A315="","",SUMIFS(Ventes_Encaissements!$D$6:$D$3005,Ventes_Encaissements!$B$6:$B$3005,$A315))</f>
        <v/>
      </c>
      <c r="J315" s="9">
        <f>IF($A315="","",$H315-$I315)</f>
        <v/>
      </c>
      <c r="K315" s="10">
        <f>IF($A315="","",IF($I315=0,"",_xludf.AGGREGATE(14,6,Ventes_Encaissements!$C$6:$C$3005/(Ventes_Encaissements!$B$6:$B$3005=$A315),1)))</f>
        <v/>
      </c>
      <c r="L315" s="11">
        <f>IF($A315="","",COUNTIFS(Ventes_Detail!$B$6:$B$3005,$A315))</f>
        <v/>
      </c>
      <c r="M315" s="12" t="n"/>
      <c r="N315" s="12">
        <f>IF($A315="","",IF($G315="","",IF($M315="Oui","Litige",IF($J315&lt;=0,"Payé",IF($I315&gt;0,"Partiel",IF(Listes!$B$3&gt;$G315,"En retard","À échoir"))))))</f>
        <v/>
      </c>
      <c r="O315" s="11">
        <f>IF($A315="","",IF(OR($G315="", $J315&lt;=0),0,MAX(0,Listes!$B$3-$G315)))</f>
        <v/>
      </c>
      <c r="P315" s="12">
        <f>IF($A315="","",IF($J315&lt;=0,"Payé",IF($M315="Oui","Litige",IF($O315=0,"À échoir",IF($O315&lt;=30,"0-30",IF($O315&lt;=60,"31-60",IF($O315&lt;=90,"61-90","90+")))))))</f>
        <v/>
      </c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9">
        <f>IF($A316="","",SUMIFS(Ventes_Encaissements!$D$6:$D$3005,Ventes_Encaissements!$B$6:$B$3005,$A316))</f>
        <v/>
      </c>
      <c r="J316" s="9">
        <f>IF($A316="","",$H316-$I316)</f>
        <v/>
      </c>
      <c r="K316" s="10">
        <f>IF($A316="","",IF($I316=0,"",_xludf.AGGREGATE(14,6,Ventes_Encaissements!$C$6:$C$3005/(Ventes_Encaissements!$B$6:$B$3005=$A316),1)))</f>
        <v/>
      </c>
      <c r="L316" s="11">
        <f>IF($A316="","",COUNTIFS(Ventes_Detail!$B$6:$B$3005,$A316))</f>
        <v/>
      </c>
      <c r="M316" s="12" t="n"/>
      <c r="N316" s="12">
        <f>IF($A316="","",IF($G316="","",IF($M316="Oui","Litige",IF($J316&lt;=0,"Payé",IF($I316&gt;0,"Partiel",IF(Listes!$B$3&gt;$G316,"En retard","À échoir"))))))</f>
        <v/>
      </c>
      <c r="O316" s="11">
        <f>IF($A316="","",IF(OR($G316="", $J316&lt;=0),0,MAX(0,Listes!$B$3-$G316)))</f>
        <v/>
      </c>
      <c r="P316" s="12">
        <f>IF($A316="","",IF($J316&lt;=0,"Payé",IF($M316="Oui","Litige",IF($O316=0,"À échoir",IF($O316&lt;=30,"0-30",IF($O316&lt;=60,"31-60",IF($O316&lt;=90,"61-90","90+")))))))</f>
        <v/>
      </c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9">
        <f>IF($A317="","",SUMIFS(Ventes_Encaissements!$D$6:$D$3005,Ventes_Encaissements!$B$6:$B$3005,$A317))</f>
        <v/>
      </c>
      <c r="J317" s="9">
        <f>IF($A317="","",$H317-$I317)</f>
        <v/>
      </c>
      <c r="K317" s="10">
        <f>IF($A317="","",IF($I317=0,"",_xludf.AGGREGATE(14,6,Ventes_Encaissements!$C$6:$C$3005/(Ventes_Encaissements!$B$6:$B$3005=$A317),1)))</f>
        <v/>
      </c>
      <c r="L317" s="11">
        <f>IF($A317="","",COUNTIFS(Ventes_Detail!$B$6:$B$3005,$A317))</f>
        <v/>
      </c>
      <c r="M317" s="12" t="n"/>
      <c r="N317" s="12">
        <f>IF($A317="","",IF($G317="","",IF($M317="Oui","Litige",IF($J317&lt;=0,"Payé",IF($I317&gt;0,"Partiel",IF(Listes!$B$3&gt;$G317,"En retard","À échoir"))))))</f>
        <v/>
      </c>
      <c r="O317" s="11">
        <f>IF($A317="","",IF(OR($G317="", $J317&lt;=0),0,MAX(0,Listes!$B$3-$G317)))</f>
        <v/>
      </c>
      <c r="P317" s="12">
        <f>IF($A317="","",IF($J317&lt;=0,"Payé",IF($M317="Oui","Litige",IF($O317=0,"À échoir",IF($O317&lt;=30,"0-30",IF($O317&lt;=60,"31-60",IF($O317&lt;=90,"61-90","90+")))))))</f>
        <v/>
      </c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9">
        <f>IF($A318="","",SUMIFS(Ventes_Encaissements!$D$6:$D$3005,Ventes_Encaissements!$B$6:$B$3005,$A318))</f>
        <v/>
      </c>
      <c r="J318" s="9">
        <f>IF($A318="","",$H318-$I318)</f>
        <v/>
      </c>
      <c r="K318" s="10">
        <f>IF($A318="","",IF($I318=0,"",_xludf.AGGREGATE(14,6,Ventes_Encaissements!$C$6:$C$3005/(Ventes_Encaissements!$B$6:$B$3005=$A318),1)))</f>
        <v/>
      </c>
      <c r="L318" s="11">
        <f>IF($A318="","",COUNTIFS(Ventes_Detail!$B$6:$B$3005,$A318))</f>
        <v/>
      </c>
      <c r="M318" s="12" t="n"/>
      <c r="N318" s="12">
        <f>IF($A318="","",IF($G318="","",IF($M318="Oui","Litige",IF($J318&lt;=0,"Payé",IF($I318&gt;0,"Partiel",IF(Listes!$B$3&gt;$G318,"En retard","À échoir"))))))</f>
        <v/>
      </c>
      <c r="O318" s="11">
        <f>IF($A318="","",IF(OR($G318="", $J318&lt;=0),0,MAX(0,Listes!$B$3-$G318)))</f>
        <v/>
      </c>
      <c r="P318" s="12">
        <f>IF($A318="","",IF($J318&lt;=0,"Payé",IF($M318="Oui","Litige",IF($O318=0,"À échoir",IF($O318&lt;=30,"0-30",IF($O318&lt;=60,"31-60",IF($O318&lt;=90,"61-90","90+")))))))</f>
        <v/>
      </c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9">
        <f>IF($A319="","",SUMIFS(Ventes_Encaissements!$D$6:$D$3005,Ventes_Encaissements!$B$6:$B$3005,$A319))</f>
        <v/>
      </c>
      <c r="J319" s="9">
        <f>IF($A319="","",$H319-$I319)</f>
        <v/>
      </c>
      <c r="K319" s="10">
        <f>IF($A319="","",IF($I319=0,"",_xludf.AGGREGATE(14,6,Ventes_Encaissements!$C$6:$C$3005/(Ventes_Encaissements!$B$6:$B$3005=$A319),1)))</f>
        <v/>
      </c>
      <c r="L319" s="11">
        <f>IF($A319="","",COUNTIFS(Ventes_Detail!$B$6:$B$3005,$A319))</f>
        <v/>
      </c>
      <c r="M319" s="12" t="n"/>
      <c r="N319" s="12">
        <f>IF($A319="","",IF($G319="","",IF($M319="Oui","Litige",IF($J319&lt;=0,"Payé",IF($I319&gt;0,"Partiel",IF(Listes!$B$3&gt;$G319,"En retard","À échoir"))))))</f>
        <v/>
      </c>
      <c r="O319" s="11">
        <f>IF($A319="","",IF(OR($G319="", $J319&lt;=0),0,MAX(0,Listes!$B$3-$G319)))</f>
        <v/>
      </c>
      <c r="P319" s="12">
        <f>IF($A319="","",IF($J319&lt;=0,"Payé",IF($M319="Oui","Litige",IF($O319=0,"À échoir",IF($O319&lt;=30,"0-30",IF($O319&lt;=60,"31-60",IF($O319&lt;=90,"61-90","90+")))))))</f>
        <v/>
      </c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9">
        <f>IF($A320="","",SUMIFS(Ventes_Encaissements!$D$6:$D$3005,Ventes_Encaissements!$B$6:$B$3005,$A320))</f>
        <v/>
      </c>
      <c r="J320" s="9">
        <f>IF($A320="","",$H320-$I320)</f>
        <v/>
      </c>
      <c r="K320" s="10">
        <f>IF($A320="","",IF($I320=0,"",_xludf.AGGREGATE(14,6,Ventes_Encaissements!$C$6:$C$3005/(Ventes_Encaissements!$B$6:$B$3005=$A320),1)))</f>
        <v/>
      </c>
      <c r="L320" s="11">
        <f>IF($A320="","",COUNTIFS(Ventes_Detail!$B$6:$B$3005,$A320))</f>
        <v/>
      </c>
      <c r="M320" s="12" t="n"/>
      <c r="N320" s="12">
        <f>IF($A320="","",IF($G320="","",IF($M320="Oui","Litige",IF($J320&lt;=0,"Payé",IF($I320&gt;0,"Partiel",IF(Listes!$B$3&gt;$G320,"En retard","À échoir"))))))</f>
        <v/>
      </c>
      <c r="O320" s="11">
        <f>IF($A320="","",IF(OR($G320="", $J320&lt;=0),0,MAX(0,Listes!$B$3-$G320)))</f>
        <v/>
      </c>
      <c r="P320" s="12">
        <f>IF($A320="","",IF($J320&lt;=0,"Payé",IF($M320="Oui","Litige",IF($O320=0,"À échoir",IF($O320&lt;=30,"0-30",IF($O320&lt;=60,"31-60",IF($O320&lt;=90,"61-90","90+")))))))</f>
        <v/>
      </c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9">
        <f>IF($A321="","",SUMIFS(Ventes_Encaissements!$D$6:$D$3005,Ventes_Encaissements!$B$6:$B$3005,$A321))</f>
        <v/>
      </c>
      <c r="J321" s="9">
        <f>IF($A321="","",$H321-$I321)</f>
        <v/>
      </c>
      <c r="K321" s="10">
        <f>IF($A321="","",IF($I321=0,"",_xludf.AGGREGATE(14,6,Ventes_Encaissements!$C$6:$C$3005/(Ventes_Encaissements!$B$6:$B$3005=$A321),1)))</f>
        <v/>
      </c>
      <c r="L321" s="11">
        <f>IF($A321="","",COUNTIFS(Ventes_Detail!$B$6:$B$3005,$A321))</f>
        <v/>
      </c>
      <c r="M321" s="12" t="n"/>
      <c r="N321" s="12">
        <f>IF($A321="","",IF($G321="","",IF($M321="Oui","Litige",IF($J321&lt;=0,"Payé",IF($I321&gt;0,"Partiel",IF(Listes!$B$3&gt;$G321,"En retard","À échoir"))))))</f>
        <v/>
      </c>
      <c r="O321" s="11">
        <f>IF($A321="","",IF(OR($G321="", $J321&lt;=0),0,MAX(0,Listes!$B$3-$G321)))</f>
        <v/>
      </c>
      <c r="P321" s="12">
        <f>IF($A321="","",IF($J321&lt;=0,"Payé",IF($M321="Oui","Litige",IF($O321=0,"À échoir",IF($O321&lt;=30,"0-30",IF($O321&lt;=60,"31-60",IF($O321&lt;=90,"61-90","90+")))))))</f>
        <v/>
      </c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9">
        <f>IF($A322="","",SUMIFS(Ventes_Encaissements!$D$6:$D$3005,Ventes_Encaissements!$B$6:$B$3005,$A322))</f>
        <v/>
      </c>
      <c r="J322" s="9">
        <f>IF($A322="","",$H322-$I322)</f>
        <v/>
      </c>
      <c r="K322" s="10">
        <f>IF($A322="","",IF($I322=0,"",_xludf.AGGREGATE(14,6,Ventes_Encaissements!$C$6:$C$3005/(Ventes_Encaissements!$B$6:$B$3005=$A322),1)))</f>
        <v/>
      </c>
      <c r="L322" s="11">
        <f>IF($A322="","",COUNTIFS(Ventes_Detail!$B$6:$B$3005,$A322))</f>
        <v/>
      </c>
      <c r="M322" s="12" t="n"/>
      <c r="N322" s="12">
        <f>IF($A322="","",IF($G322="","",IF($M322="Oui","Litige",IF($J322&lt;=0,"Payé",IF($I322&gt;0,"Partiel",IF(Listes!$B$3&gt;$G322,"En retard","À échoir"))))))</f>
        <v/>
      </c>
      <c r="O322" s="11">
        <f>IF($A322="","",IF(OR($G322="", $J322&lt;=0),0,MAX(0,Listes!$B$3-$G322)))</f>
        <v/>
      </c>
      <c r="P322" s="12">
        <f>IF($A322="","",IF($J322&lt;=0,"Payé",IF($M322="Oui","Litige",IF($O322=0,"À échoir",IF($O322&lt;=30,"0-30",IF($O322&lt;=60,"31-60",IF($O322&lt;=90,"61-90","90+")))))))</f>
        <v/>
      </c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9">
        <f>IF($A323="","",SUMIFS(Ventes_Encaissements!$D$6:$D$3005,Ventes_Encaissements!$B$6:$B$3005,$A323))</f>
        <v/>
      </c>
      <c r="J323" s="9">
        <f>IF($A323="","",$H323-$I323)</f>
        <v/>
      </c>
      <c r="K323" s="10">
        <f>IF($A323="","",IF($I323=0,"",_xludf.AGGREGATE(14,6,Ventes_Encaissements!$C$6:$C$3005/(Ventes_Encaissements!$B$6:$B$3005=$A323),1)))</f>
        <v/>
      </c>
      <c r="L323" s="11">
        <f>IF($A323="","",COUNTIFS(Ventes_Detail!$B$6:$B$3005,$A323))</f>
        <v/>
      </c>
      <c r="M323" s="12" t="n"/>
      <c r="N323" s="12">
        <f>IF($A323="","",IF($G323="","",IF($M323="Oui","Litige",IF($J323&lt;=0,"Payé",IF($I323&gt;0,"Partiel",IF(Listes!$B$3&gt;$G323,"En retard","À échoir"))))))</f>
        <v/>
      </c>
      <c r="O323" s="11">
        <f>IF($A323="","",IF(OR($G323="", $J323&lt;=0),0,MAX(0,Listes!$B$3-$G323)))</f>
        <v/>
      </c>
      <c r="P323" s="12">
        <f>IF($A323="","",IF($J323&lt;=0,"Payé",IF($M323="Oui","Litige",IF($O323=0,"À échoir",IF($O323&lt;=30,"0-30",IF($O323&lt;=60,"31-60",IF($O323&lt;=90,"61-90","90+")))))))</f>
        <v/>
      </c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9">
        <f>IF($A324="","",SUMIFS(Ventes_Encaissements!$D$6:$D$3005,Ventes_Encaissements!$B$6:$B$3005,$A324))</f>
        <v/>
      </c>
      <c r="J324" s="9">
        <f>IF($A324="","",$H324-$I324)</f>
        <v/>
      </c>
      <c r="K324" s="10">
        <f>IF($A324="","",IF($I324=0,"",_xludf.AGGREGATE(14,6,Ventes_Encaissements!$C$6:$C$3005/(Ventes_Encaissements!$B$6:$B$3005=$A324),1)))</f>
        <v/>
      </c>
      <c r="L324" s="11">
        <f>IF($A324="","",COUNTIFS(Ventes_Detail!$B$6:$B$3005,$A324))</f>
        <v/>
      </c>
      <c r="M324" s="12" t="n"/>
      <c r="N324" s="12">
        <f>IF($A324="","",IF($G324="","",IF($M324="Oui","Litige",IF($J324&lt;=0,"Payé",IF($I324&gt;0,"Partiel",IF(Listes!$B$3&gt;$G324,"En retard","À échoir"))))))</f>
        <v/>
      </c>
      <c r="O324" s="11">
        <f>IF($A324="","",IF(OR($G324="", $J324&lt;=0),0,MAX(0,Listes!$B$3-$G324)))</f>
        <v/>
      </c>
      <c r="P324" s="12">
        <f>IF($A324="","",IF($J324&lt;=0,"Payé",IF($M324="Oui","Litige",IF($O324=0,"À échoir",IF($O324&lt;=30,"0-30",IF($O324&lt;=60,"31-60",IF($O324&lt;=90,"61-90","90+")))))))</f>
        <v/>
      </c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9">
        <f>IF($A325="","",SUMIFS(Ventes_Encaissements!$D$6:$D$3005,Ventes_Encaissements!$B$6:$B$3005,$A325))</f>
        <v/>
      </c>
      <c r="J325" s="9">
        <f>IF($A325="","",$H325-$I325)</f>
        <v/>
      </c>
      <c r="K325" s="10">
        <f>IF($A325="","",IF($I325=0,"",_xludf.AGGREGATE(14,6,Ventes_Encaissements!$C$6:$C$3005/(Ventes_Encaissements!$B$6:$B$3005=$A325),1)))</f>
        <v/>
      </c>
      <c r="L325" s="11">
        <f>IF($A325="","",COUNTIFS(Ventes_Detail!$B$6:$B$3005,$A325))</f>
        <v/>
      </c>
      <c r="M325" s="12" t="n"/>
      <c r="N325" s="12">
        <f>IF($A325="","",IF($G325="","",IF($M325="Oui","Litige",IF($J325&lt;=0,"Payé",IF($I325&gt;0,"Partiel",IF(Listes!$B$3&gt;$G325,"En retard","À échoir"))))))</f>
        <v/>
      </c>
      <c r="O325" s="11">
        <f>IF($A325="","",IF(OR($G325="", $J325&lt;=0),0,MAX(0,Listes!$B$3-$G325)))</f>
        <v/>
      </c>
      <c r="P325" s="12">
        <f>IF($A325="","",IF($J325&lt;=0,"Payé",IF($M325="Oui","Litige",IF($O325=0,"À échoir",IF($O325&lt;=30,"0-30",IF($O325&lt;=60,"31-60",IF($O325&lt;=90,"61-90","90+")))))))</f>
        <v/>
      </c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9">
        <f>IF($A326="","",SUMIFS(Ventes_Encaissements!$D$6:$D$3005,Ventes_Encaissements!$B$6:$B$3005,$A326))</f>
        <v/>
      </c>
      <c r="J326" s="9">
        <f>IF($A326="","",$H326-$I326)</f>
        <v/>
      </c>
      <c r="K326" s="10">
        <f>IF($A326="","",IF($I326=0,"",_xludf.AGGREGATE(14,6,Ventes_Encaissements!$C$6:$C$3005/(Ventes_Encaissements!$B$6:$B$3005=$A326),1)))</f>
        <v/>
      </c>
      <c r="L326" s="11">
        <f>IF($A326="","",COUNTIFS(Ventes_Detail!$B$6:$B$3005,$A326))</f>
        <v/>
      </c>
      <c r="M326" s="12" t="n"/>
      <c r="N326" s="12">
        <f>IF($A326="","",IF($G326="","",IF($M326="Oui","Litige",IF($J326&lt;=0,"Payé",IF($I326&gt;0,"Partiel",IF(Listes!$B$3&gt;$G326,"En retard","À échoir"))))))</f>
        <v/>
      </c>
      <c r="O326" s="11">
        <f>IF($A326="","",IF(OR($G326="", $J326&lt;=0),0,MAX(0,Listes!$B$3-$G326)))</f>
        <v/>
      </c>
      <c r="P326" s="12">
        <f>IF($A326="","",IF($J326&lt;=0,"Payé",IF($M326="Oui","Litige",IF($O326=0,"À échoir",IF($O326&lt;=30,"0-30",IF($O326&lt;=60,"31-60",IF($O326&lt;=90,"61-90","90+")))))))</f>
        <v/>
      </c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9">
        <f>IF($A327="","",SUMIFS(Ventes_Encaissements!$D$6:$D$3005,Ventes_Encaissements!$B$6:$B$3005,$A327))</f>
        <v/>
      </c>
      <c r="J327" s="9">
        <f>IF($A327="","",$H327-$I327)</f>
        <v/>
      </c>
      <c r="K327" s="10">
        <f>IF($A327="","",IF($I327=0,"",_xludf.AGGREGATE(14,6,Ventes_Encaissements!$C$6:$C$3005/(Ventes_Encaissements!$B$6:$B$3005=$A327),1)))</f>
        <v/>
      </c>
      <c r="L327" s="11">
        <f>IF($A327="","",COUNTIFS(Ventes_Detail!$B$6:$B$3005,$A327))</f>
        <v/>
      </c>
      <c r="M327" s="12" t="n"/>
      <c r="N327" s="12">
        <f>IF($A327="","",IF($G327="","",IF($M327="Oui","Litige",IF($J327&lt;=0,"Payé",IF($I327&gt;0,"Partiel",IF(Listes!$B$3&gt;$G327,"En retard","À échoir"))))))</f>
        <v/>
      </c>
      <c r="O327" s="11">
        <f>IF($A327="","",IF(OR($G327="", $J327&lt;=0),0,MAX(0,Listes!$B$3-$G327)))</f>
        <v/>
      </c>
      <c r="P327" s="12">
        <f>IF($A327="","",IF($J327&lt;=0,"Payé",IF($M327="Oui","Litige",IF($O327=0,"À échoir",IF($O327&lt;=30,"0-30",IF($O327&lt;=60,"31-60",IF($O327&lt;=90,"61-90","90+")))))))</f>
        <v/>
      </c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9">
        <f>IF($A328="","",SUMIFS(Ventes_Encaissements!$D$6:$D$3005,Ventes_Encaissements!$B$6:$B$3005,$A328))</f>
        <v/>
      </c>
      <c r="J328" s="9">
        <f>IF($A328="","",$H328-$I328)</f>
        <v/>
      </c>
      <c r="K328" s="10">
        <f>IF($A328="","",IF($I328=0,"",_xludf.AGGREGATE(14,6,Ventes_Encaissements!$C$6:$C$3005/(Ventes_Encaissements!$B$6:$B$3005=$A328),1)))</f>
        <v/>
      </c>
      <c r="L328" s="11">
        <f>IF($A328="","",COUNTIFS(Ventes_Detail!$B$6:$B$3005,$A328))</f>
        <v/>
      </c>
      <c r="M328" s="12" t="n"/>
      <c r="N328" s="12">
        <f>IF($A328="","",IF($G328="","",IF($M328="Oui","Litige",IF($J328&lt;=0,"Payé",IF($I328&gt;0,"Partiel",IF(Listes!$B$3&gt;$G328,"En retard","À échoir"))))))</f>
        <v/>
      </c>
      <c r="O328" s="11">
        <f>IF($A328="","",IF(OR($G328="", $J328&lt;=0),0,MAX(0,Listes!$B$3-$G328)))</f>
        <v/>
      </c>
      <c r="P328" s="12">
        <f>IF($A328="","",IF($J328&lt;=0,"Payé",IF($M328="Oui","Litige",IF($O328=0,"À échoir",IF($O328&lt;=30,"0-30",IF($O328&lt;=60,"31-60",IF($O328&lt;=90,"61-90","90+")))))))</f>
        <v/>
      </c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9">
        <f>IF($A329="","",SUMIFS(Ventes_Encaissements!$D$6:$D$3005,Ventes_Encaissements!$B$6:$B$3005,$A329))</f>
        <v/>
      </c>
      <c r="J329" s="9">
        <f>IF($A329="","",$H329-$I329)</f>
        <v/>
      </c>
      <c r="K329" s="10">
        <f>IF($A329="","",IF($I329=0,"",_xludf.AGGREGATE(14,6,Ventes_Encaissements!$C$6:$C$3005/(Ventes_Encaissements!$B$6:$B$3005=$A329),1)))</f>
        <v/>
      </c>
      <c r="L329" s="11">
        <f>IF($A329="","",COUNTIFS(Ventes_Detail!$B$6:$B$3005,$A329))</f>
        <v/>
      </c>
      <c r="M329" s="12" t="n"/>
      <c r="N329" s="12">
        <f>IF($A329="","",IF($G329="","",IF($M329="Oui","Litige",IF($J329&lt;=0,"Payé",IF($I329&gt;0,"Partiel",IF(Listes!$B$3&gt;$G329,"En retard","À échoir"))))))</f>
        <v/>
      </c>
      <c r="O329" s="11">
        <f>IF($A329="","",IF(OR($G329="", $J329&lt;=0),0,MAX(0,Listes!$B$3-$G329)))</f>
        <v/>
      </c>
      <c r="P329" s="12">
        <f>IF($A329="","",IF($J329&lt;=0,"Payé",IF($M329="Oui","Litige",IF($O329=0,"À échoir",IF($O329&lt;=30,"0-30",IF($O329&lt;=60,"31-60",IF($O329&lt;=90,"61-90","90+")))))))</f>
        <v/>
      </c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9">
        <f>IF($A330="","",SUMIFS(Ventes_Encaissements!$D$6:$D$3005,Ventes_Encaissements!$B$6:$B$3005,$A330))</f>
        <v/>
      </c>
      <c r="J330" s="9">
        <f>IF($A330="","",$H330-$I330)</f>
        <v/>
      </c>
      <c r="K330" s="10">
        <f>IF($A330="","",IF($I330=0,"",_xludf.AGGREGATE(14,6,Ventes_Encaissements!$C$6:$C$3005/(Ventes_Encaissements!$B$6:$B$3005=$A330),1)))</f>
        <v/>
      </c>
      <c r="L330" s="11">
        <f>IF($A330="","",COUNTIFS(Ventes_Detail!$B$6:$B$3005,$A330))</f>
        <v/>
      </c>
      <c r="M330" s="12" t="n"/>
      <c r="N330" s="12">
        <f>IF($A330="","",IF($G330="","",IF($M330="Oui","Litige",IF($J330&lt;=0,"Payé",IF($I330&gt;0,"Partiel",IF(Listes!$B$3&gt;$G330,"En retard","À échoir"))))))</f>
        <v/>
      </c>
      <c r="O330" s="11">
        <f>IF($A330="","",IF(OR($G330="", $J330&lt;=0),0,MAX(0,Listes!$B$3-$G330)))</f>
        <v/>
      </c>
      <c r="P330" s="12">
        <f>IF($A330="","",IF($J330&lt;=0,"Payé",IF($M330="Oui","Litige",IF($O330=0,"À échoir",IF($O330&lt;=30,"0-30",IF($O330&lt;=60,"31-60",IF($O330&lt;=90,"61-90","90+")))))))</f>
        <v/>
      </c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9">
        <f>IF($A331="","",SUMIFS(Ventes_Encaissements!$D$6:$D$3005,Ventes_Encaissements!$B$6:$B$3005,$A331))</f>
        <v/>
      </c>
      <c r="J331" s="9">
        <f>IF($A331="","",$H331-$I331)</f>
        <v/>
      </c>
      <c r="K331" s="10">
        <f>IF($A331="","",IF($I331=0,"",_xludf.AGGREGATE(14,6,Ventes_Encaissements!$C$6:$C$3005/(Ventes_Encaissements!$B$6:$B$3005=$A331),1)))</f>
        <v/>
      </c>
      <c r="L331" s="11">
        <f>IF($A331="","",COUNTIFS(Ventes_Detail!$B$6:$B$3005,$A331))</f>
        <v/>
      </c>
      <c r="M331" s="12" t="n"/>
      <c r="N331" s="12">
        <f>IF($A331="","",IF($G331="","",IF($M331="Oui","Litige",IF($J331&lt;=0,"Payé",IF($I331&gt;0,"Partiel",IF(Listes!$B$3&gt;$G331,"En retard","À échoir"))))))</f>
        <v/>
      </c>
      <c r="O331" s="11">
        <f>IF($A331="","",IF(OR($G331="", $J331&lt;=0),0,MAX(0,Listes!$B$3-$G331)))</f>
        <v/>
      </c>
      <c r="P331" s="12">
        <f>IF($A331="","",IF($J331&lt;=0,"Payé",IF($M331="Oui","Litige",IF($O331=0,"À échoir",IF($O331&lt;=30,"0-30",IF($O331&lt;=60,"31-60",IF($O331&lt;=90,"61-90","90+")))))))</f>
        <v/>
      </c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9">
        <f>IF($A332="","",SUMIFS(Ventes_Encaissements!$D$6:$D$3005,Ventes_Encaissements!$B$6:$B$3005,$A332))</f>
        <v/>
      </c>
      <c r="J332" s="9">
        <f>IF($A332="","",$H332-$I332)</f>
        <v/>
      </c>
      <c r="K332" s="10">
        <f>IF($A332="","",IF($I332=0,"",_xludf.AGGREGATE(14,6,Ventes_Encaissements!$C$6:$C$3005/(Ventes_Encaissements!$B$6:$B$3005=$A332),1)))</f>
        <v/>
      </c>
      <c r="L332" s="11">
        <f>IF($A332="","",COUNTIFS(Ventes_Detail!$B$6:$B$3005,$A332))</f>
        <v/>
      </c>
      <c r="M332" s="12" t="n"/>
      <c r="N332" s="12">
        <f>IF($A332="","",IF($G332="","",IF($M332="Oui","Litige",IF($J332&lt;=0,"Payé",IF($I332&gt;0,"Partiel",IF(Listes!$B$3&gt;$G332,"En retard","À échoir"))))))</f>
        <v/>
      </c>
      <c r="O332" s="11">
        <f>IF($A332="","",IF(OR($G332="", $J332&lt;=0),0,MAX(0,Listes!$B$3-$G332)))</f>
        <v/>
      </c>
      <c r="P332" s="12">
        <f>IF($A332="","",IF($J332&lt;=0,"Payé",IF($M332="Oui","Litige",IF($O332=0,"À échoir",IF($O332&lt;=30,"0-30",IF($O332&lt;=60,"31-60",IF($O332&lt;=90,"61-90","90+")))))))</f>
        <v/>
      </c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9">
        <f>IF($A333="","",SUMIFS(Ventes_Encaissements!$D$6:$D$3005,Ventes_Encaissements!$B$6:$B$3005,$A333))</f>
        <v/>
      </c>
      <c r="J333" s="9">
        <f>IF($A333="","",$H333-$I333)</f>
        <v/>
      </c>
      <c r="K333" s="10">
        <f>IF($A333="","",IF($I333=0,"",_xludf.AGGREGATE(14,6,Ventes_Encaissements!$C$6:$C$3005/(Ventes_Encaissements!$B$6:$B$3005=$A333),1)))</f>
        <v/>
      </c>
      <c r="L333" s="11">
        <f>IF($A333="","",COUNTIFS(Ventes_Detail!$B$6:$B$3005,$A333))</f>
        <v/>
      </c>
      <c r="M333" s="12" t="n"/>
      <c r="N333" s="12">
        <f>IF($A333="","",IF($G333="","",IF($M333="Oui","Litige",IF($J333&lt;=0,"Payé",IF($I333&gt;0,"Partiel",IF(Listes!$B$3&gt;$G333,"En retard","À échoir"))))))</f>
        <v/>
      </c>
      <c r="O333" s="11">
        <f>IF($A333="","",IF(OR($G333="", $J333&lt;=0),0,MAX(0,Listes!$B$3-$G333)))</f>
        <v/>
      </c>
      <c r="P333" s="12">
        <f>IF($A333="","",IF($J333&lt;=0,"Payé",IF($M333="Oui","Litige",IF($O333=0,"À échoir",IF($O333&lt;=30,"0-30",IF($O333&lt;=60,"31-60",IF($O333&lt;=90,"61-90","90+")))))))</f>
        <v/>
      </c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9">
        <f>IF($A334="","",SUMIFS(Ventes_Encaissements!$D$6:$D$3005,Ventes_Encaissements!$B$6:$B$3005,$A334))</f>
        <v/>
      </c>
      <c r="J334" s="9">
        <f>IF($A334="","",$H334-$I334)</f>
        <v/>
      </c>
      <c r="K334" s="10">
        <f>IF($A334="","",IF($I334=0,"",_xludf.AGGREGATE(14,6,Ventes_Encaissements!$C$6:$C$3005/(Ventes_Encaissements!$B$6:$B$3005=$A334),1)))</f>
        <v/>
      </c>
      <c r="L334" s="11">
        <f>IF($A334="","",COUNTIFS(Ventes_Detail!$B$6:$B$3005,$A334))</f>
        <v/>
      </c>
      <c r="M334" s="12" t="n"/>
      <c r="N334" s="12">
        <f>IF($A334="","",IF($G334="","",IF($M334="Oui","Litige",IF($J334&lt;=0,"Payé",IF($I334&gt;0,"Partiel",IF(Listes!$B$3&gt;$G334,"En retard","À échoir"))))))</f>
        <v/>
      </c>
      <c r="O334" s="11">
        <f>IF($A334="","",IF(OR($G334="", $J334&lt;=0),0,MAX(0,Listes!$B$3-$G334)))</f>
        <v/>
      </c>
      <c r="P334" s="12">
        <f>IF($A334="","",IF($J334&lt;=0,"Payé",IF($M334="Oui","Litige",IF($O334=0,"À échoir",IF($O334&lt;=30,"0-30",IF($O334&lt;=60,"31-60",IF($O334&lt;=90,"61-90","90+")))))))</f>
        <v/>
      </c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9">
        <f>IF($A335="","",SUMIFS(Ventes_Encaissements!$D$6:$D$3005,Ventes_Encaissements!$B$6:$B$3005,$A335))</f>
        <v/>
      </c>
      <c r="J335" s="9">
        <f>IF($A335="","",$H335-$I335)</f>
        <v/>
      </c>
      <c r="K335" s="10">
        <f>IF($A335="","",IF($I335=0,"",_xludf.AGGREGATE(14,6,Ventes_Encaissements!$C$6:$C$3005/(Ventes_Encaissements!$B$6:$B$3005=$A335),1)))</f>
        <v/>
      </c>
      <c r="L335" s="11">
        <f>IF($A335="","",COUNTIFS(Ventes_Detail!$B$6:$B$3005,$A335))</f>
        <v/>
      </c>
      <c r="M335" s="12" t="n"/>
      <c r="N335" s="12">
        <f>IF($A335="","",IF($G335="","",IF($M335="Oui","Litige",IF($J335&lt;=0,"Payé",IF($I335&gt;0,"Partiel",IF(Listes!$B$3&gt;$G335,"En retard","À échoir"))))))</f>
        <v/>
      </c>
      <c r="O335" s="11">
        <f>IF($A335="","",IF(OR($G335="", $J335&lt;=0),0,MAX(0,Listes!$B$3-$G335)))</f>
        <v/>
      </c>
      <c r="P335" s="12">
        <f>IF($A335="","",IF($J335&lt;=0,"Payé",IF($M335="Oui","Litige",IF($O335=0,"À échoir",IF($O335&lt;=30,"0-30",IF($O335&lt;=60,"31-60",IF($O335&lt;=90,"61-90","90+")))))))</f>
        <v/>
      </c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9">
        <f>IF($A336="","",SUMIFS(Ventes_Encaissements!$D$6:$D$3005,Ventes_Encaissements!$B$6:$B$3005,$A336))</f>
        <v/>
      </c>
      <c r="J336" s="9">
        <f>IF($A336="","",$H336-$I336)</f>
        <v/>
      </c>
      <c r="K336" s="10">
        <f>IF($A336="","",IF($I336=0,"",_xludf.AGGREGATE(14,6,Ventes_Encaissements!$C$6:$C$3005/(Ventes_Encaissements!$B$6:$B$3005=$A336),1)))</f>
        <v/>
      </c>
      <c r="L336" s="11">
        <f>IF($A336="","",COUNTIFS(Ventes_Detail!$B$6:$B$3005,$A336))</f>
        <v/>
      </c>
      <c r="M336" s="12" t="n"/>
      <c r="N336" s="12">
        <f>IF($A336="","",IF($G336="","",IF($M336="Oui","Litige",IF($J336&lt;=0,"Payé",IF($I336&gt;0,"Partiel",IF(Listes!$B$3&gt;$G336,"En retard","À échoir"))))))</f>
        <v/>
      </c>
      <c r="O336" s="11">
        <f>IF($A336="","",IF(OR($G336="", $J336&lt;=0),0,MAX(0,Listes!$B$3-$G336)))</f>
        <v/>
      </c>
      <c r="P336" s="12">
        <f>IF($A336="","",IF($J336&lt;=0,"Payé",IF($M336="Oui","Litige",IF($O336=0,"À échoir",IF($O336&lt;=30,"0-30",IF($O336&lt;=60,"31-60",IF($O336&lt;=90,"61-90","90+")))))))</f>
        <v/>
      </c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9">
        <f>IF($A337="","",SUMIFS(Ventes_Encaissements!$D$6:$D$3005,Ventes_Encaissements!$B$6:$B$3005,$A337))</f>
        <v/>
      </c>
      <c r="J337" s="9">
        <f>IF($A337="","",$H337-$I337)</f>
        <v/>
      </c>
      <c r="K337" s="10">
        <f>IF($A337="","",IF($I337=0,"",_xludf.AGGREGATE(14,6,Ventes_Encaissements!$C$6:$C$3005/(Ventes_Encaissements!$B$6:$B$3005=$A337),1)))</f>
        <v/>
      </c>
      <c r="L337" s="11">
        <f>IF($A337="","",COUNTIFS(Ventes_Detail!$B$6:$B$3005,$A337))</f>
        <v/>
      </c>
      <c r="M337" s="12" t="n"/>
      <c r="N337" s="12">
        <f>IF($A337="","",IF($G337="","",IF($M337="Oui","Litige",IF($J337&lt;=0,"Payé",IF($I337&gt;0,"Partiel",IF(Listes!$B$3&gt;$G337,"En retard","À échoir"))))))</f>
        <v/>
      </c>
      <c r="O337" s="11">
        <f>IF($A337="","",IF(OR($G337="", $J337&lt;=0),0,MAX(0,Listes!$B$3-$G337)))</f>
        <v/>
      </c>
      <c r="P337" s="12">
        <f>IF($A337="","",IF($J337&lt;=0,"Payé",IF($M337="Oui","Litige",IF($O337=0,"À échoir",IF($O337&lt;=30,"0-30",IF($O337&lt;=60,"31-60",IF($O337&lt;=90,"61-90","90+")))))))</f>
        <v/>
      </c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9">
        <f>IF($A338="","",SUMIFS(Ventes_Encaissements!$D$6:$D$3005,Ventes_Encaissements!$B$6:$B$3005,$A338))</f>
        <v/>
      </c>
      <c r="J338" s="9">
        <f>IF($A338="","",$H338-$I338)</f>
        <v/>
      </c>
      <c r="K338" s="10">
        <f>IF($A338="","",IF($I338=0,"",_xludf.AGGREGATE(14,6,Ventes_Encaissements!$C$6:$C$3005/(Ventes_Encaissements!$B$6:$B$3005=$A338),1)))</f>
        <v/>
      </c>
      <c r="L338" s="11">
        <f>IF($A338="","",COUNTIFS(Ventes_Detail!$B$6:$B$3005,$A338))</f>
        <v/>
      </c>
      <c r="M338" s="12" t="n"/>
      <c r="N338" s="12">
        <f>IF($A338="","",IF($G338="","",IF($M338="Oui","Litige",IF($J338&lt;=0,"Payé",IF($I338&gt;0,"Partiel",IF(Listes!$B$3&gt;$G338,"En retard","À échoir"))))))</f>
        <v/>
      </c>
      <c r="O338" s="11">
        <f>IF($A338="","",IF(OR($G338="", $J338&lt;=0),0,MAX(0,Listes!$B$3-$G338)))</f>
        <v/>
      </c>
      <c r="P338" s="12">
        <f>IF($A338="","",IF($J338&lt;=0,"Payé",IF($M338="Oui","Litige",IF($O338=0,"À échoir",IF($O338&lt;=30,"0-30",IF($O338&lt;=60,"31-60",IF($O338&lt;=90,"61-90","90+")))))))</f>
        <v/>
      </c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9">
        <f>IF($A339="","",SUMIFS(Ventes_Encaissements!$D$6:$D$3005,Ventes_Encaissements!$B$6:$B$3005,$A339))</f>
        <v/>
      </c>
      <c r="J339" s="9">
        <f>IF($A339="","",$H339-$I339)</f>
        <v/>
      </c>
      <c r="K339" s="10">
        <f>IF($A339="","",IF($I339=0,"",_xludf.AGGREGATE(14,6,Ventes_Encaissements!$C$6:$C$3005/(Ventes_Encaissements!$B$6:$B$3005=$A339),1)))</f>
        <v/>
      </c>
      <c r="L339" s="11">
        <f>IF($A339="","",COUNTIFS(Ventes_Detail!$B$6:$B$3005,$A339))</f>
        <v/>
      </c>
      <c r="M339" s="12" t="n"/>
      <c r="N339" s="12">
        <f>IF($A339="","",IF($G339="","",IF($M339="Oui","Litige",IF($J339&lt;=0,"Payé",IF($I339&gt;0,"Partiel",IF(Listes!$B$3&gt;$G339,"En retard","À échoir"))))))</f>
        <v/>
      </c>
      <c r="O339" s="11">
        <f>IF($A339="","",IF(OR($G339="", $J339&lt;=0),0,MAX(0,Listes!$B$3-$G339)))</f>
        <v/>
      </c>
      <c r="P339" s="12">
        <f>IF($A339="","",IF($J339&lt;=0,"Payé",IF($M339="Oui","Litige",IF($O339=0,"À échoir",IF($O339&lt;=30,"0-30",IF($O339&lt;=60,"31-60",IF($O339&lt;=90,"61-90","90+")))))))</f>
        <v/>
      </c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9">
        <f>IF($A340="","",SUMIFS(Ventes_Encaissements!$D$6:$D$3005,Ventes_Encaissements!$B$6:$B$3005,$A340))</f>
        <v/>
      </c>
      <c r="J340" s="9">
        <f>IF($A340="","",$H340-$I340)</f>
        <v/>
      </c>
      <c r="K340" s="10">
        <f>IF($A340="","",IF($I340=0,"",_xludf.AGGREGATE(14,6,Ventes_Encaissements!$C$6:$C$3005/(Ventes_Encaissements!$B$6:$B$3005=$A340),1)))</f>
        <v/>
      </c>
      <c r="L340" s="11">
        <f>IF($A340="","",COUNTIFS(Ventes_Detail!$B$6:$B$3005,$A340))</f>
        <v/>
      </c>
      <c r="M340" s="12" t="n"/>
      <c r="N340" s="12">
        <f>IF($A340="","",IF($G340="","",IF($M340="Oui","Litige",IF($J340&lt;=0,"Payé",IF($I340&gt;0,"Partiel",IF(Listes!$B$3&gt;$G340,"En retard","À échoir"))))))</f>
        <v/>
      </c>
      <c r="O340" s="11">
        <f>IF($A340="","",IF(OR($G340="", $J340&lt;=0),0,MAX(0,Listes!$B$3-$G340)))</f>
        <v/>
      </c>
      <c r="P340" s="12">
        <f>IF($A340="","",IF($J340&lt;=0,"Payé",IF($M340="Oui","Litige",IF($O340=0,"À échoir",IF($O340&lt;=30,"0-30",IF($O340&lt;=60,"31-60",IF($O340&lt;=90,"61-90","90+")))))))</f>
        <v/>
      </c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9">
        <f>IF($A341="","",SUMIFS(Ventes_Encaissements!$D$6:$D$3005,Ventes_Encaissements!$B$6:$B$3005,$A341))</f>
        <v/>
      </c>
      <c r="J341" s="9">
        <f>IF($A341="","",$H341-$I341)</f>
        <v/>
      </c>
      <c r="K341" s="10">
        <f>IF($A341="","",IF($I341=0,"",_xludf.AGGREGATE(14,6,Ventes_Encaissements!$C$6:$C$3005/(Ventes_Encaissements!$B$6:$B$3005=$A341),1)))</f>
        <v/>
      </c>
      <c r="L341" s="11">
        <f>IF($A341="","",COUNTIFS(Ventes_Detail!$B$6:$B$3005,$A341))</f>
        <v/>
      </c>
      <c r="M341" s="12" t="n"/>
      <c r="N341" s="12">
        <f>IF($A341="","",IF($G341="","",IF($M341="Oui","Litige",IF($J341&lt;=0,"Payé",IF($I341&gt;0,"Partiel",IF(Listes!$B$3&gt;$G341,"En retard","À échoir"))))))</f>
        <v/>
      </c>
      <c r="O341" s="11">
        <f>IF($A341="","",IF(OR($G341="", $J341&lt;=0),0,MAX(0,Listes!$B$3-$G341)))</f>
        <v/>
      </c>
      <c r="P341" s="12">
        <f>IF($A341="","",IF($J341&lt;=0,"Payé",IF($M341="Oui","Litige",IF($O341=0,"À échoir",IF($O341&lt;=30,"0-30",IF($O341&lt;=60,"31-60",IF($O341&lt;=90,"61-90","90+")))))))</f>
        <v/>
      </c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9">
        <f>IF($A342="","",SUMIFS(Ventes_Encaissements!$D$6:$D$3005,Ventes_Encaissements!$B$6:$B$3005,$A342))</f>
        <v/>
      </c>
      <c r="J342" s="9">
        <f>IF($A342="","",$H342-$I342)</f>
        <v/>
      </c>
      <c r="K342" s="10">
        <f>IF($A342="","",IF($I342=0,"",_xludf.AGGREGATE(14,6,Ventes_Encaissements!$C$6:$C$3005/(Ventes_Encaissements!$B$6:$B$3005=$A342),1)))</f>
        <v/>
      </c>
      <c r="L342" s="11">
        <f>IF($A342="","",COUNTIFS(Ventes_Detail!$B$6:$B$3005,$A342))</f>
        <v/>
      </c>
      <c r="M342" s="12" t="n"/>
      <c r="N342" s="12">
        <f>IF($A342="","",IF($G342="","",IF($M342="Oui","Litige",IF($J342&lt;=0,"Payé",IF($I342&gt;0,"Partiel",IF(Listes!$B$3&gt;$G342,"En retard","À échoir"))))))</f>
        <v/>
      </c>
      <c r="O342" s="11">
        <f>IF($A342="","",IF(OR($G342="", $J342&lt;=0),0,MAX(0,Listes!$B$3-$G342)))</f>
        <v/>
      </c>
      <c r="P342" s="12">
        <f>IF($A342="","",IF($J342&lt;=0,"Payé",IF($M342="Oui","Litige",IF($O342=0,"À échoir",IF($O342&lt;=30,"0-30",IF($O342&lt;=60,"31-60",IF($O342&lt;=90,"61-90","90+")))))))</f>
        <v/>
      </c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9">
        <f>IF($A343="","",SUMIFS(Ventes_Encaissements!$D$6:$D$3005,Ventes_Encaissements!$B$6:$B$3005,$A343))</f>
        <v/>
      </c>
      <c r="J343" s="9">
        <f>IF($A343="","",$H343-$I343)</f>
        <v/>
      </c>
      <c r="K343" s="10">
        <f>IF($A343="","",IF($I343=0,"",_xludf.AGGREGATE(14,6,Ventes_Encaissements!$C$6:$C$3005/(Ventes_Encaissements!$B$6:$B$3005=$A343),1)))</f>
        <v/>
      </c>
      <c r="L343" s="11">
        <f>IF($A343="","",COUNTIFS(Ventes_Detail!$B$6:$B$3005,$A343))</f>
        <v/>
      </c>
      <c r="M343" s="12" t="n"/>
      <c r="N343" s="12">
        <f>IF($A343="","",IF($G343="","",IF($M343="Oui","Litige",IF($J343&lt;=0,"Payé",IF($I343&gt;0,"Partiel",IF(Listes!$B$3&gt;$G343,"En retard","À échoir"))))))</f>
        <v/>
      </c>
      <c r="O343" s="11">
        <f>IF($A343="","",IF(OR($G343="", $J343&lt;=0),0,MAX(0,Listes!$B$3-$G343)))</f>
        <v/>
      </c>
      <c r="P343" s="12">
        <f>IF($A343="","",IF($J343&lt;=0,"Payé",IF($M343="Oui","Litige",IF($O343=0,"À échoir",IF($O343&lt;=30,"0-30",IF($O343&lt;=60,"31-60",IF($O343&lt;=90,"61-90","90+")))))))</f>
        <v/>
      </c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9">
        <f>IF($A344="","",SUMIFS(Ventes_Encaissements!$D$6:$D$3005,Ventes_Encaissements!$B$6:$B$3005,$A344))</f>
        <v/>
      </c>
      <c r="J344" s="9">
        <f>IF($A344="","",$H344-$I344)</f>
        <v/>
      </c>
      <c r="K344" s="10">
        <f>IF($A344="","",IF($I344=0,"",_xludf.AGGREGATE(14,6,Ventes_Encaissements!$C$6:$C$3005/(Ventes_Encaissements!$B$6:$B$3005=$A344),1)))</f>
        <v/>
      </c>
      <c r="L344" s="11">
        <f>IF($A344="","",COUNTIFS(Ventes_Detail!$B$6:$B$3005,$A344))</f>
        <v/>
      </c>
      <c r="M344" s="12" t="n"/>
      <c r="N344" s="12">
        <f>IF($A344="","",IF($G344="","",IF($M344="Oui","Litige",IF($J344&lt;=0,"Payé",IF($I344&gt;0,"Partiel",IF(Listes!$B$3&gt;$G344,"En retard","À échoir"))))))</f>
        <v/>
      </c>
      <c r="O344" s="11">
        <f>IF($A344="","",IF(OR($G344="", $J344&lt;=0),0,MAX(0,Listes!$B$3-$G344)))</f>
        <v/>
      </c>
      <c r="P344" s="12">
        <f>IF($A344="","",IF($J344&lt;=0,"Payé",IF($M344="Oui","Litige",IF($O344=0,"À échoir",IF($O344&lt;=30,"0-30",IF($O344&lt;=60,"31-60",IF($O344&lt;=90,"61-90","90+")))))))</f>
        <v/>
      </c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9">
        <f>IF($A345="","",SUMIFS(Ventes_Encaissements!$D$6:$D$3005,Ventes_Encaissements!$B$6:$B$3005,$A345))</f>
        <v/>
      </c>
      <c r="J345" s="9">
        <f>IF($A345="","",$H345-$I345)</f>
        <v/>
      </c>
      <c r="K345" s="10">
        <f>IF($A345="","",IF($I345=0,"",_xludf.AGGREGATE(14,6,Ventes_Encaissements!$C$6:$C$3005/(Ventes_Encaissements!$B$6:$B$3005=$A345),1)))</f>
        <v/>
      </c>
      <c r="L345" s="11">
        <f>IF($A345="","",COUNTIFS(Ventes_Detail!$B$6:$B$3005,$A345))</f>
        <v/>
      </c>
      <c r="M345" s="12" t="n"/>
      <c r="N345" s="12">
        <f>IF($A345="","",IF($G345="","",IF($M345="Oui","Litige",IF($J345&lt;=0,"Payé",IF($I345&gt;0,"Partiel",IF(Listes!$B$3&gt;$G345,"En retard","À échoir"))))))</f>
        <v/>
      </c>
      <c r="O345" s="11">
        <f>IF($A345="","",IF(OR($G345="", $J345&lt;=0),0,MAX(0,Listes!$B$3-$G345)))</f>
        <v/>
      </c>
      <c r="P345" s="12">
        <f>IF($A345="","",IF($J345&lt;=0,"Payé",IF($M345="Oui","Litige",IF($O345=0,"À échoir",IF($O345&lt;=30,"0-30",IF($O345&lt;=60,"31-60",IF($O345&lt;=90,"61-90","90+")))))))</f>
        <v/>
      </c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9">
        <f>IF($A346="","",SUMIFS(Ventes_Encaissements!$D$6:$D$3005,Ventes_Encaissements!$B$6:$B$3005,$A346))</f>
        <v/>
      </c>
      <c r="J346" s="9">
        <f>IF($A346="","",$H346-$I346)</f>
        <v/>
      </c>
      <c r="K346" s="10">
        <f>IF($A346="","",IF($I346=0,"",_xludf.AGGREGATE(14,6,Ventes_Encaissements!$C$6:$C$3005/(Ventes_Encaissements!$B$6:$B$3005=$A346),1)))</f>
        <v/>
      </c>
      <c r="L346" s="11">
        <f>IF($A346="","",COUNTIFS(Ventes_Detail!$B$6:$B$3005,$A346))</f>
        <v/>
      </c>
      <c r="M346" s="12" t="n"/>
      <c r="N346" s="12">
        <f>IF($A346="","",IF($G346="","",IF($M346="Oui","Litige",IF($J346&lt;=0,"Payé",IF($I346&gt;0,"Partiel",IF(Listes!$B$3&gt;$G346,"En retard","À échoir"))))))</f>
        <v/>
      </c>
      <c r="O346" s="11">
        <f>IF($A346="","",IF(OR($G346="", $J346&lt;=0),0,MAX(0,Listes!$B$3-$G346)))</f>
        <v/>
      </c>
      <c r="P346" s="12">
        <f>IF($A346="","",IF($J346&lt;=0,"Payé",IF($M346="Oui","Litige",IF($O346=0,"À échoir",IF($O346&lt;=30,"0-30",IF($O346&lt;=60,"31-60",IF($O346&lt;=90,"61-90","90+")))))))</f>
        <v/>
      </c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9">
        <f>IF($A347="","",SUMIFS(Ventes_Encaissements!$D$6:$D$3005,Ventes_Encaissements!$B$6:$B$3005,$A347))</f>
        <v/>
      </c>
      <c r="J347" s="9">
        <f>IF($A347="","",$H347-$I347)</f>
        <v/>
      </c>
      <c r="K347" s="10">
        <f>IF($A347="","",IF($I347=0,"",_xludf.AGGREGATE(14,6,Ventes_Encaissements!$C$6:$C$3005/(Ventes_Encaissements!$B$6:$B$3005=$A347),1)))</f>
        <v/>
      </c>
      <c r="L347" s="11">
        <f>IF($A347="","",COUNTIFS(Ventes_Detail!$B$6:$B$3005,$A347))</f>
        <v/>
      </c>
      <c r="M347" s="12" t="n"/>
      <c r="N347" s="12">
        <f>IF($A347="","",IF($G347="","",IF($M347="Oui","Litige",IF($J347&lt;=0,"Payé",IF($I347&gt;0,"Partiel",IF(Listes!$B$3&gt;$G347,"En retard","À échoir"))))))</f>
        <v/>
      </c>
      <c r="O347" s="11">
        <f>IF($A347="","",IF(OR($G347="", $J347&lt;=0),0,MAX(0,Listes!$B$3-$G347)))</f>
        <v/>
      </c>
      <c r="P347" s="12">
        <f>IF($A347="","",IF($J347&lt;=0,"Payé",IF($M347="Oui","Litige",IF($O347=0,"À échoir",IF($O347&lt;=30,"0-30",IF($O347&lt;=60,"31-60",IF($O347&lt;=90,"61-90","90+")))))))</f>
        <v/>
      </c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9">
        <f>IF($A348="","",SUMIFS(Ventes_Encaissements!$D$6:$D$3005,Ventes_Encaissements!$B$6:$B$3005,$A348))</f>
        <v/>
      </c>
      <c r="J348" s="9">
        <f>IF($A348="","",$H348-$I348)</f>
        <v/>
      </c>
      <c r="K348" s="10">
        <f>IF($A348="","",IF($I348=0,"",_xludf.AGGREGATE(14,6,Ventes_Encaissements!$C$6:$C$3005/(Ventes_Encaissements!$B$6:$B$3005=$A348),1)))</f>
        <v/>
      </c>
      <c r="L348" s="11">
        <f>IF($A348="","",COUNTIFS(Ventes_Detail!$B$6:$B$3005,$A348))</f>
        <v/>
      </c>
      <c r="M348" s="12" t="n"/>
      <c r="N348" s="12">
        <f>IF($A348="","",IF($G348="","",IF($M348="Oui","Litige",IF($J348&lt;=0,"Payé",IF($I348&gt;0,"Partiel",IF(Listes!$B$3&gt;$G348,"En retard","À échoir"))))))</f>
        <v/>
      </c>
      <c r="O348" s="11">
        <f>IF($A348="","",IF(OR($G348="", $J348&lt;=0),0,MAX(0,Listes!$B$3-$G348)))</f>
        <v/>
      </c>
      <c r="P348" s="12">
        <f>IF($A348="","",IF($J348&lt;=0,"Payé",IF($M348="Oui","Litige",IF($O348=0,"À échoir",IF($O348&lt;=30,"0-30",IF($O348&lt;=60,"31-60",IF($O348&lt;=90,"61-90","90+")))))))</f>
        <v/>
      </c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9">
        <f>IF($A349="","",SUMIFS(Ventes_Encaissements!$D$6:$D$3005,Ventes_Encaissements!$B$6:$B$3005,$A349))</f>
        <v/>
      </c>
      <c r="J349" s="9">
        <f>IF($A349="","",$H349-$I349)</f>
        <v/>
      </c>
      <c r="K349" s="10">
        <f>IF($A349="","",IF($I349=0,"",_xludf.AGGREGATE(14,6,Ventes_Encaissements!$C$6:$C$3005/(Ventes_Encaissements!$B$6:$B$3005=$A349),1)))</f>
        <v/>
      </c>
      <c r="L349" s="11">
        <f>IF($A349="","",COUNTIFS(Ventes_Detail!$B$6:$B$3005,$A349))</f>
        <v/>
      </c>
      <c r="M349" s="12" t="n"/>
      <c r="N349" s="12">
        <f>IF($A349="","",IF($G349="","",IF($M349="Oui","Litige",IF($J349&lt;=0,"Payé",IF($I349&gt;0,"Partiel",IF(Listes!$B$3&gt;$G349,"En retard","À échoir"))))))</f>
        <v/>
      </c>
      <c r="O349" s="11">
        <f>IF($A349="","",IF(OR($G349="", $J349&lt;=0),0,MAX(0,Listes!$B$3-$G349)))</f>
        <v/>
      </c>
      <c r="P349" s="12">
        <f>IF($A349="","",IF($J349&lt;=0,"Payé",IF($M349="Oui","Litige",IF($O349=0,"À échoir",IF($O349&lt;=30,"0-30",IF($O349&lt;=60,"31-60",IF($O349&lt;=90,"61-90","90+")))))))</f>
        <v/>
      </c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9">
        <f>IF($A350="","",SUMIFS(Ventes_Encaissements!$D$6:$D$3005,Ventes_Encaissements!$B$6:$B$3005,$A350))</f>
        <v/>
      </c>
      <c r="J350" s="9">
        <f>IF($A350="","",$H350-$I350)</f>
        <v/>
      </c>
      <c r="K350" s="10">
        <f>IF($A350="","",IF($I350=0,"",_xludf.AGGREGATE(14,6,Ventes_Encaissements!$C$6:$C$3005/(Ventes_Encaissements!$B$6:$B$3005=$A350),1)))</f>
        <v/>
      </c>
      <c r="L350" s="11">
        <f>IF($A350="","",COUNTIFS(Ventes_Detail!$B$6:$B$3005,$A350))</f>
        <v/>
      </c>
      <c r="M350" s="12" t="n"/>
      <c r="N350" s="12">
        <f>IF($A350="","",IF($G350="","",IF($M350="Oui","Litige",IF($J350&lt;=0,"Payé",IF($I350&gt;0,"Partiel",IF(Listes!$B$3&gt;$G350,"En retard","À échoir"))))))</f>
        <v/>
      </c>
      <c r="O350" s="11">
        <f>IF($A350="","",IF(OR($G350="", $J350&lt;=0),0,MAX(0,Listes!$B$3-$G350)))</f>
        <v/>
      </c>
      <c r="P350" s="12">
        <f>IF($A350="","",IF($J350&lt;=0,"Payé",IF($M350="Oui","Litige",IF($O350=0,"À échoir",IF($O350&lt;=30,"0-30",IF($O350&lt;=60,"31-60",IF($O350&lt;=90,"61-90","90+")))))))</f>
        <v/>
      </c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9">
        <f>IF($A351="","",SUMIFS(Ventes_Encaissements!$D$6:$D$3005,Ventes_Encaissements!$B$6:$B$3005,$A351))</f>
        <v/>
      </c>
      <c r="J351" s="9">
        <f>IF($A351="","",$H351-$I351)</f>
        <v/>
      </c>
      <c r="K351" s="10">
        <f>IF($A351="","",IF($I351=0,"",_xludf.AGGREGATE(14,6,Ventes_Encaissements!$C$6:$C$3005/(Ventes_Encaissements!$B$6:$B$3005=$A351),1)))</f>
        <v/>
      </c>
      <c r="L351" s="11">
        <f>IF($A351="","",COUNTIFS(Ventes_Detail!$B$6:$B$3005,$A351))</f>
        <v/>
      </c>
      <c r="M351" s="12" t="n"/>
      <c r="N351" s="12">
        <f>IF($A351="","",IF($G351="","",IF($M351="Oui","Litige",IF($J351&lt;=0,"Payé",IF($I351&gt;0,"Partiel",IF(Listes!$B$3&gt;$G351,"En retard","À échoir"))))))</f>
        <v/>
      </c>
      <c r="O351" s="11">
        <f>IF($A351="","",IF(OR($G351="", $J351&lt;=0),0,MAX(0,Listes!$B$3-$G351)))</f>
        <v/>
      </c>
      <c r="P351" s="12">
        <f>IF($A351="","",IF($J351&lt;=0,"Payé",IF($M351="Oui","Litige",IF($O351=0,"À échoir",IF($O351&lt;=30,"0-30",IF($O351&lt;=60,"31-60",IF($O351&lt;=90,"61-90","90+")))))))</f>
        <v/>
      </c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9">
        <f>IF($A352="","",SUMIFS(Ventes_Encaissements!$D$6:$D$3005,Ventes_Encaissements!$B$6:$B$3005,$A352))</f>
        <v/>
      </c>
      <c r="J352" s="9">
        <f>IF($A352="","",$H352-$I352)</f>
        <v/>
      </c>
      <c r="K352" s="10">
        <f>IF($A352="","",IF($I352=0,"",_xludf.AGGREGATE(14,6,Ventes_Encaissements!$C$6:$C$3005/(Ventes_Encaissements!$B$6:$B$3005=$A352),1)))</f>
        <v/>
      </c>
      <c r="L352" s="11">
        <f>IF($A352="","",COUNTIFS(Ventes_Detail!$B$6:$B$3005,$A352))</f>
        <v/>
      </c>
      <c r="M352" s="12" t="n"/>
      <c r="N352" s="12">
        <f>IF($A352="","",IF($G352="","",IF($M352="Oui","Litige",IF($J352&lt;=0,"Payé",IF($I352&gt;0,"Partiel",IF(Listes!$B$3&gt;$G352,"En retard","À échoir"))))))</f>
        <v/>
      </c>
      <c r="O352" s="11">
        <f>IF($A352="","",IF(OR($G352="", $J352&lt;=0),0,MAX(0,Listes!$B$3-$G352)))</f>
        <v/>
      </c>
      <c r="P352" s="12">
        <f>IF($A352="","",IF($J352&lt;=0,"Payé",IF($M352="Oui","Litige",IF($O352=0,"À échoir",IF($O352&lt;=30,"0-30",IF($O352&lt;=60,"31-60",IF($O352&lt;=90,"61-90","90+")))))))</f>
        <v/>
      </c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9">
        <f>IF($A353="","",SUMIFS(Ventes_Encaissements!$D$6:$D$3005,Ventes_Encaissements!$B$6:$B$3005,$A353))</f>
        <v/>
      </c>
      <c r="J353" s="9">
        <f>IF($A353="","",$H353-$I353)</f>
        <v/>
      </c>
      <c r="K353" s="10">
        <f>IF($A353="","",IF($I353=0,"",_xludf.AGGREGATE(14,6,Ventes_Encaissements!$C$6:$C$3005/(Ventes_Encaissements!$B$6:$B$3005=$A353),1)))</f>
        <v/>
      </c>
      <c r="L353" s="11">
        <f>IF($A353="","",COUNTIFS(Ventes_Detail!$B$6:$B$3005,$A353))</f>
        <v/>
      </c>
      <c r="M353" s="12" t="n"/>
      <c r="N353" s="12">
        <f>IF($A353="","",IF($G353="","",IF($M353="Oui","Litige",IF($J353&lt;=0,"Payé",IF($I353&gt;0,"Partiel",IF(Listes!$B$3&gt;$G353,"En retard","À échoir"))))))</f>
        <v/>
      </c>
      <c r="O353" s="11">
        <f>IF($A353="","",IF(OR($G353="", $J353&lt;=0),0,MAX(0,Listes!$B$3-$G353)))</f>
        <v/>
      </c>
      <c r="P353" s="12">
        <f>IF($A353="","",IF($J353&lt;=0,"Payé",IF($M353="Oui","Litige",IF($O353=0,"À échoir",IF($O353&lt;=30,"0-30",IF($O353&lt;=60,"31-60",IF($O353&lt;=90,"61-90","90+")))))))</f>
        <v/>
      </c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9">
        <f>IF($A354="","",SUMIFS(Ventes_Encaissements!$D$6:$D$3005,Ventes_Encaissements!$B$6:$B$3005,$A354))</f>
        <v/>
      </c>
      <c r="J354" s="9">
        <f>IF($A354="","",$H354-$I354)</f>
        <v/>
      </c>
      <c r="K354" s="10">
        <f>IF($A354="","",IF($I354=0,"",_xludf.AGGREGATE(14,6,Ventes_Encaissements!$C$6:$C$3005/(Ventes_Encaissements!$B$6:$B$3005=$A354),1)))</f>
        <v/>
      </c>
      <c r="L354" s="11">
        <f>IF($A354="","",COUNTIFS(Ventes_Detail!$B$6:$B$3005,$A354))</f>
        <v/>
      </c>
      <c r="M354" s="12" t="n"/>
      <c r="N354" s="12">
        <f>IF($A354="","",IF($G354="","",IF($M354="Oui","Litige",IF($J354&lt;=0,"Payé",IF($I354&gt;0,"Partiel",IF(Listes!$B$3&gt;$G354,"En retard","À échoir"))))))</f>
        <v/>
      </c>
      <c r="O354" s="11">
        <f>IF($A354="","",IF(OR($G354="", $J354&lt;=0),0,MAX(0,Listes!$B$3-$G354)))</f>
        <v/>
      </c>
      <c r="P354" s="12">
        <f>IF($A354="","",IF($J354&lt;=0,"Payé",IF($M354="Oui","Litige",IF($O354=0,"À échoir",IF($O354&lt;=30,"0-30",IF($O354&lt;=60,"31-60",IF($O354&lt;=90,"61-90","90+")))))))</f>
        <v/>
      </c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9">
        <f>IF($A355="","",SUMIFS(Ventes_Encaissements!$D$6:$D$3005,Ventes_Encaissements!$B$6:$B$3005,$A355))</f>
        <v/>
      </c>
      <c r="J355" s="9">
        <f>IF($A355="","",$H355-$I355)</f>
        <v/>
      </c>
      <c r="K355" s="10">
        <f>IF($A355="","",IF($I355=0,"",_xludf.AGGREGATE(14,6,Ventes_Encaissements!$C$6:$C$3005/(Ventes_Encaissements!$B$6:$B$3005=$A355),1)))</f>
        <v/>
      </c>
      <c r="L355" s="11">
        <f>IF($A355="","",COUNTIFS(Ventes_Detail!$B$6:$B$3005,$A355))</f>
        <v/>
      </c>
      <c r="M355" s="12" t="n"/>
      <c r="N355" s="12">
        <f>IF($A355="","",IF($G355="","",IF($M355="Oui","Litige",IF($J355&lt;=0,"Payé",IF($I355&gt;0,"Partiel",IF(Listes!$B$3&gt;$G355,"En retard","À échoir"))))))</f>
        <v/>
      </c>
      <c r="O355" s="11">
        <f>IF($A355="","",IF(OR($G355="", $J355&lt;=0),0,MAX(0,Listes!$B$3-$G355)))</f>
        <v/>
      </c>
      <c r="P355" s="12">
        <f>IF($A355="","",IF($J355&lt;=0,"Payé",IF($M355="Oui","Litige",IF($O355=0,"À échoir",IF($O355&lt;=30,"0-30",IF($O355&lt;=60,"31-60",IF($O355&lt;=90,"61-90","90+")))))))</f>
        <v/>
      </c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9">
        <f>IF($A356="","",SUMIFS(Ventes_Encaissements!$D$6:$D$3005,Ventes_Encaissements!$B$6:$B$3005,$A356))</f>
        <v/>
      </c>
      <c r="J356" s="9">
        <f>IF($A356="","",$H356-$I356)</f>
        <v/>
      </c>
      <c r="K356" s="10">
        <f>IF($A356="","",IF($I356=0,"",_xludf.AGGREGATE(14,6,Ventes_Encaissements!$C$6:$C$3005/(Ventes_Encaissements!$B$6:$B$3005=$A356),1)))</f>
        <v/>
      </c>
      <c r="L356" s="11">
        <f>IF($A356="","",COUNTIFS(Ventes_Detail!$B$6:$B$3005,$A356))</f>
        <v/>
      </c>
      <c r="M356" s="12" t="n"/>
      <c r="N356" s="12">
        <f>IF($A356="","",IF($G356="","",IF($M356="Oui","Litige",IF($J356&lt;=0,"Payé",IF($I356&gt;0,"Partiel",IF(Listes!$B$3&gt;$G356,"En retard","À échoir"))))))</f>
        <v/>
      </c>
      <c r="O356" s="11">
        <f>IF($A356="","",IF(OR($G356="", $J356&lt;=0),0,MAX(0,Listes!$B$3-$G356)))</f>
        <v/>
      </c>
      <c r="P356" s="12">
        <f>IF($A356="","",IF($J356&lt;=0,"Payé",IF($M356="Oui","Litige",IF($O356=0,"À échoir",IF($O356&lt;=30,"0-30",IF($O356&lt;=60,"31-60",IF($O356&lt;=90,"61-90","90+")))))))</f>
        <v/>
      </c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9">
        <f>IF($A357="","",SUMIFS(Ventes_Encaissements!$D$6:$D$3005,Ventes_Encaissements!$B$6:$B$3005,$A357))</f>
        <v/>
      </c>
      <c r="J357" s="9">
        <f>IF($A357="","",$H357-$I357)</f>
        <v/>
      </c>
      <c r="K357" s="10">
        <f>IF($A357="","",IF($I357=0,"",_xludf.AGGREGATE(14,6,Ventes_Encaissements!$C$6:$C$3005/(Ventes_Encaissements!$B$6:$B$3005=$A357),1)))</f>
        <v/>
      </c>
      <c r="L357" s="11">
        <f>IF($A357="","",COUNTIFS(Ventes_Detail!$B$6:$B$3005,$A357))</f>
        <v/>
      </c>
      <c r="M357" s="12" t="n"/>
      <c r="N357" s="12">
        <f>IF($A357="","",IF($G357="","",IF($M357="Oui","Litige",IF($J357&lt;=0,"Payé",IF($I357&gt;0,"Partiel",IF(Listes!$B$3&gt;$G357,"En retard","À échoir"))))))</f>
        <v/>
      </c>
      <c r="O357" s="11">
        <f>IF($A357="","",IF(OR($G357="", $J357&lt;=0),0,MAX(0,Listes!$B$3-$G357)))</f>
        <v/>
      </c>
      <c r="P357" s="12">
        <f>IF($A357="","",IF($J357&lt;=0,"Payé",IF($M357="Oui","Litige",IF($O357=0,"À échoir",IF($O357&lt;=30,"0-30",IF($O357&lt;=60,"31-60",IF($O357&lt;=90,"61-90","90+")))))))</f>
        <v/>
      </c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9">
        <f>IF($A358="","",SUMIFS(Ventes_Encaissements!$D$6:$D$3005,Ventes_Encaissements!$B$6:$B$3005,$A358))</f>
        <v/>
      </c>
      <c r="J358" s="9">
        <f>IF($A358="","",$H358-$I358)</f>
        <v/>
      </c>
      <c r="K358" s="10">
        <f>IF($A358="","",IF($I358=0,"",_xludf.AGGREGATE(14,6,Ventes_Encaissements!$C$6:$C$3005/(Ventes_Encaissements!$B$6:$B$3005=$A358),1)))</f>
        <v/>
      </c>
      <c r="L358" s="11">
        <f>IF($A358="","",COUNTIFS(Ventes_Detail!$B$6:$B$3005,$A358))</f>
        <v/>
      </c>
      <c r="M358" s="12" t="n"/>
      <c r="N358" s="12">
        <f>IF($A358="","",IF($G358="","",IF($M358="Oui","Litige",IF($J358&lt;=0,"Payé",IF($I358&gt;0,"Partiel",IF(Listes!$B$3&gt;$G358,"En retard","À échoir"))))))</f>
        <v/>
      </c>
      <c r="O358" s="11">
        <f>IF($A358="","",IF(OR($G358="", $J358&lt;=0),0,MAX(0,Listes!$B$3-$G358)))</f>
        <v/>
      </c>
      <c r="P358" s="12">
        <f>IF($A358="","",IF($J358&lt;=0,"Payé",IF($M358="Oui","Litige",IF($O358=0,"À échoir",IF($O358&lt;=30,"0-30",IF($O358&lt;=60,"31-60",IF($O358&lt;=90,"61-90","90+")))))))</f>
        <v/>
      </c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9">
        <f>IF($A359="","",SUMIFS(Ventes_Encaissements!$D$6:$D$3005,Ventes_Encaissements!$B$6:$B$3005,$A359))</f>
        <v/>
      </c>
      <c r="J359" s="9">
        <f>IF($A359="","",$H359-$I359)</f>
        <v/>
      </c>
      <c r="K359" s="10">
        <f>IF($A359="","",IF($I359=0,"",_xludf.AGGREGATE(14,6,Ventes_Encaissements!$C$6:$C$3005/(Ventes_Encaissements!$B$6:$B$3005=$A359),1)))</f>
        <v/>
      </c>
      <c r="L359" s="11">
        <f>IF($A359="","",COUNTIFS(Ventes_Detail!$B$6:$B$3005,$A359))</f>
        <v/>
      </c>
      <c r="M359" s="12" t="n"/>
      <c r="N359" s="12">
        <f>IF($A359="","",IF($G359="","",IF($M359="Oui","Litige",IF($J359&lt;=0,"Payé",IF($I359&gt;0,"Partiel",IF(Listes!$B$3&gt;$G359,"En retard","À échoir"))))))</f>
        <v/>
      </c>
      <c r="O359" s="11">
        <f>IF($A359="","",IF(OR($G359="", $J359&lt;=0),0,MAX(0,Listes!$B$3-$G359)))</f>
        <v/>
      </c>
      <c r="P359" s="12">
        <f>IF($A359="","",IF($J359&lt;=0,"Payé",IF($M359="Oui","Litige",IF($O359=0,"À échoir",IF($O359&lt;=30,"0-30",IF($O359&lt;=60,"31-60",IF($O359&lt;=90,"61-90","90+")))))))</f>
        <v/>
      </c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9">
        <f>IF($A360="","",SUMIFS(Ventes_Encaissements!$D$6:$D$3005,Ventes_Encaissements!$B$6:$B$3005,$A360))</f>
        <v/>
      </c>
      <c r="J360" s="9">
        <f>IF($A360="","",$H360-$I360)</f>
        <v/>
      </c>
      <c r="K360" s="10">
        <f>IF($A360="","",IF($I360=0,"",_xludf.AGGREGATE(14,6,Ventes_Encaissements!$C$6:$C$3005/(Ventes_Encaissements!$B$6:$B$3005=$A360),1)))</f>
        <v/>
      </c>
      <c r="L360" s="11">
        <f>IF($A360="","",COUNTIFS(Ventes_Detail!$B$6:$B$3005,$A360))</f>
        <v/>
      </c>
      <c r="M360" s="12" t="n"/>
      <c r="N360" s="12">
        <f>IF($A360="","",IF($G360="","",IF($M360="Oui","Litige",IF($J360&lt;=0,"Payé",IF($I360&gt;0,"Partiel",IF(Listes!$B$3&gt;$G360,"En retard","À échoir"))))))</f>
        <v/>
      </c>
      <c r="O360" s="11">
        <f>IF($A360="","",IF(OR($G360="", $J360&lt;=0),0,MAX(0,Listes!$B$3-$G360)))</f>
        <v/>
      </c>
      <c r="P360" s="12">
        <f>IF($A360="","",IF($J360&lt;=0,"Payé",IF($M360="Oui","Litige",IF($O360=0,"À échoir",IF($O360&lt;=30,"0-30",IF($O360&lt;=60,"31-60",IF($O360&lt;=90,"61-90","90+")))))))</f>
        <v/>
      </c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9">
        <f>IF($A361="","",SUMIFS(Ventes_Encaissements!$D$6:$D$3005,Ventes_Encaissements!$B$6:$B$3005,$A361))</f>
        <v/>
      </c>
      <c r="J361" s="9">
        <f>IF($A361="","",$H361-$I361)</f>
        <v/>
      </c>
      <c r="K361" s="10">
        <f>IF($A361="","",IF($I361=0,"",_xludf.AGGREGATE(14,6,Ventes_Encaissements!$C$6:$C$3005/(Ventes_Encaissements!$B$6:$B$3005=$A361),1)))</f>
        <v/>
      </c>
      <c r="L361" s="11">
        <f>IF($A361="","",COUNTIFS(Ventes_Detail!$B$6:$B$3005,$A361))</f>
        <v/>
      </c>
      <c r="M361" s="12" t="n"/>
      <c r="N361" s="12">
        <f>IF($A361="","",IF($G361="","",IF($M361="Oui","Litige",IF($J361&lt;=0,"Payé",IF($I361&gt;0,"Partiel",IF(Listes!$B$3&gt;$G361,"En retard","À échoir"))))))</f>
        <v/>
      </c>
      <c r="O361" s="11">
        <f>IF($A361="","",IF(OR($G361="", $J361&lt;=0),0,MAX(0,Listes!$B$3-$G361)))</f>
        <v/>
      </c>
      <c r="P361" s="12">
        <f>IF($A361="","",IF($J361&lt;=0,"Payé",IF($M361="Oui","Litige",IF($O361=0,"À échoir",IF($O361&lt;=30,"0-30",IF($O361&lt;=60,"31-60",IF($O361&lt;=90,"61-90","90+")))))))</f>
        <v/>
      </c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9">
        <f>IF($A362="","",SUMIFS(Ventes_Encaissements!$D$6:$D$3005,Ventes_Encaissements!$B$6:$B$3005,$A362))</f>
        <v/>
      </c>
      <c r="J362" s="9">
        <f>IF($A362="","",$H362-$I362)</f>
        <v/>
      </c>
      <c r="K362" s="10">
        <f>IF($A362="","",IF($I362=0,"",_xludf.AGGREGATE(14,6,Ventes_Encaissements!$C$6:$C$3005/(Ventes_Encaissements!$B$6:$B$3005=$A362),1)))</f>
        <v/>
      </c>
      <c r="L362" s="11">
        <f>IF($A362="","",COUNTIFS(Ventes_Detail!$B$6:$B$3005,$A362))</f>
        <v/>
      </c>
      <c r="M362" s="12" t="n"/>
      <c r="N362" s="12">
        <f>IF($A362="","",IF($G362="","",IF($M362="Oui","Litige",IF($J362&lt;=0,"Payé",IF($I362&gt;0,"Partiel",IF(Listes!$B$3&gt;$G362,"En retard","À échoir"))))))</f>
        <v/>
      </c>
      <c r="O362" s="11">
        <f>IF($A362="","",IF(OR($G362="", $J362&lt;=0),0,MAX(0,Listes!$B$3-$G362)))</f>
        <v/>
      </c>
      <c r="P362" s="12">
        <f>IF($A362="","",IF($J362&lt;=0,"Payé",IF($M362="Oui","Litige",IF($O362=0,"À échoir",IF($O362&lt;=30,"0-30",IF($O362&lt;=60,"31-60",IF($O362&lt;=90,"61-90","90+")))))))</f>
        <v/>
      </c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9">
        <f>IF($A363="","",SUMIFS(Ventes_Encaissements!$D$6:$D$3005,Ventes_Encaissements!$B$6:$B$3005,$A363))</f>
        <v/>
      </c>
      <c r="J363" s="9">
        <f>IF($A363="","",$H363-$I363)</f>
        <v/>
      </c>
      <c r="K363" s="10">
        <f>IF($A363="","",IF($I363=0,"",_xludf.AGGREGATE(14,6,Ventes_Encaissements!$C$6:$C$3005/(Ventes_Encaissements!$B$6:$B$3005=$A363),1)))</f>
        <v/>
      </c>
      <c r="L363" s="11">
        <f>IF($A363="","",COUNTIFS(Ventes_Detail!$B$6:$B$3005,$A363))</f>
        <v/>
      </c>
      <c r="M363" s="12" t="n"/>
      <c r="N363" s="12">
        <f>IF($A363="","",IF($G363="","",IF($M363="Oui","Litige",IF($J363&lt;=0,"Payé",IF($I363&gt;0,"Partiel",IF(Listes!$B$3&gt;$G363,"En retard","À échoir"))))))</f>
        <v/>
      </c>
      <c r="O363" s="11">
        <f>IF($A363="","",IF(OR($G363="", $J363&lt;=0),0,MAX(0,Listes!$B$3-$G363)))</f>
        <v/>
      </c>
      <c r="P363" s="12">
        <f>IF($A363="","",IF($J363&lt;=0,"Payé",IF($M363="Oui","Litige",IF($O363=0,"À échoir",IF($O363&lt;=30,"0-30",IF($O363&lt;=60,"31-60",IF($O363&lt;=90,"61-90","90+")))))))</f>
        <v/>
      </c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9">
        <f>IF($A364="","",SUMIFS(Ventes_Encaissements!$D$6:$D$3005,Ventes_Encaissements!$B$6:$B$3005,$A364))</f>
        <v/>
      </c>
      <c r="J364" s="9">
        <f>IF($A364="","",$H364-$I364)</f>
        <v/>
      </c>
      <c r="K364" s="10">
        <f>IF($A364="","",IF($I364=0,"",_xludf.AGGREGATE(14,6,Ventes_Encaissements!$C$6:$C$3005/(Ventes_Encaissements!$B$6:$B$3005=$A364),1)))</f>
        <v/>
      </c>
      <c r="L364" s="11">
        <f>IF($A364="","",COUNTIFS(Ventes_Detail!$B$6:$B$3005,$A364))</f>
        <v/>
      </c>
      <c r="M364" s="12" t="n"/>
      <c r="N364" s="12">
        <f>IF($A364="","",IF($G364="","",IF($M364="Oui","Litige",IF($J364&lt;=0,"Payé",IF($I364&gt;0,"Partiel",IF(Listes!$B$3&gt;$G364,"En retard","À échoir"))))))</f>
        <v/>
      </c>
      <c r="O364" s="11">
        <f>IF($A364="","",IF(OR($G364="", $J364&lt;=0),0,MAX(0,Listes!$B$3-$G364)))</f>
        <v/>
      </c>
      <c r="P364" s="12">
        <f>IF($A364="","",IF($J364&lt;=0,"Payé",IF($M364="Oui","Litige",IF($O364=0,"À échoir",IF($O364&lt;=30,"0-30",IF($O364&lt;=60,"31-60",IF($O364&lt;=90,"61-90","90+")))))))</f>
        <v/>
      </c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9">
        <f>IF($A365="","",SUMIFS(Ventes_Encaissements!$D$6:$D$3005,Ventes_Encaissements!$B$6:$B$3005,$A365))</f>
        <v/>
      </c>
      <c r="J365" s="9">
        <f>IF($A365="","",$H365-$I365)</f>
        <v/>
      </c>
      <c r="K365" s="10">
        <f>IF($A365="","",IF($I365=0,"",_xludf.AGGREGATE(14,6,Ventes_Encaissements!$C$6:$C$3005/(Ventes_Encaissements!$B$6:$B$3005=$A365),1)))</f>
        <v/>
      </c>
      <c r="L365" s="11">
        <f>IF($A365="","",COUNTIFS(Ventes_Detail!$B$6:$B$3005,$A365))</f>
        <v/>
      </c>
      <c r="M365" s="12" t="n"/>
      <c r="N365" s="12">
        <f>IF($A365="","",IF($G365="","",IF($M365="Oui","Litige",IF($J365&lt;=0,"Payé",IF($I365&gt;0,"Partiel",IF(Listes!$B$3&gt;$G365,"En retard","À échoir"))))))</f>
        <v/>
      </c>
      <c r="O365" s="11">
        <f>IF($A365="","",IF(OR($G365="", $J365&lt;=0),0,MAX(0,Listes!$B$3-$G365)))</f>
        <v/>
      </c>
      <c r="P365" s="12">
        <f>IF($A365="","",IF($J365&lt;=0,"Payé",IF($M365="Oui","Litige",IF($O365=0,"À échoir",IF($O365&lt;=30,"0-30",IF($O365&lt;=60,"31-60",IF($O365&lt;=90,"61-90","90+")))))))</f>
        <v/>
      </c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9">
        <f>IF($A366="","",SUMIFS(Ventes_Encaissements!$D$6:$D$3005,Ventes_Encaissements!$B$6:$B$3005,$A366))</f>
        <v/>
      </c>
      <c r="J366" s="9">
        <f>IF($A366="","",$H366-$I366)</f>
        <v/>
      </c>
      <c r="K366" s="10">
        <f>IF($A366="","",IF($I366=0,"",_xludf.AGGREGATE(14,6,Ventes_Encaissements!$C$6:$C$3005/(Ventes_Encaissements!$B$6:$B$3005=$A366),1)))</f>
        <v/>
      </c>
      <c r="L366" s="11">
        <f>IF($A366="","",COUNTIFS(Ventes_Detail!$B$6:$B$3005,$A366))</f>
        <v/>
      </c>
      <c r="M366" s="12" t="n"/>
      <c r="N366" s="12">
        <f>IF($A366="","",IF($G366="","",IF($M366="Oui","Litige",IF($J366&lt;=0,"Payé",IF($I366&gt;0,"Partiel",IF(Listes!$B$3&gt;$G366,"En retard","À échoir"))))))</f>
        <v/>
      </c>
      <c r="O366" s="11">
        <f>IF($A366="","",IF(OR($G366="", $J366&lt;=0),0,MAX(0,Listes!$B$3-$G366)))</f>
        <v/>
      </c>
      <c r="P366" s="12">
        <f>IF($A366="","",IF($J366&lt;=0,"Payé",IF($M366="Oui","Litige",IF($O366=0,"À échoir",IF($O366&lt;=30,"0-30",IF($O366&lt;=60,"31-60",IF($O366&lt;=90,"61-90","90+")))))))</f>
        <v/>
      </c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9">
        <f>IF($A367="","",SUMIFS(Ventes_Encaissements!$D$6:$D$3005,Ventes_Encaissements!$B$6:$B$3005,$A367))</f>
        <v/>
      </c>
      <c r="J367" s="9">
        <f>IF($A367="","",$H367-$I367)</f>
        <v/>
      </c>
      <c r="K367" s="10">
        <f>IF($A367="","",IF($I367=0,"",_xludf.AGGREGATE(14,6,Ventes_Encaissements!$C$6:$C$3005/(Ventes_Encaissements!$B$6:$B$3005=$A367),1)))</f>
        <v/>
      </c>
      <c r="L367" s="11">
        <f>IF($A367="","",COUNTIFS(Ventes_Detail!$B$6:$B$3005,$A367))</f>
        <v/>
      </c>
      <c r="M367" s="12" t="n"/>
      <c r="N367" s="12">
        <f>IF($A367="","",IF($G367="","",IF($M367="Oui","Litige",IF($J367&lt;=0,"Payé",IF($I367&gt;0,"Partiel",IF(Listes!$B$3&gt;$G367,"En retard","À échoir"))))))</f>
        <v/>
      </c>
      <c r="O367" s="11">
        <f>IF($A367="","",IF(OR($G367="", $J367&lt;=0),0,MAX(0,Listes!$B$3-$G367)))</f>
        <v/>
      </c>
      <c r="P367" s="12">
        <f>IF($A367="","",IF($J367&lt;=0,"Payé",IF($M367="Oui","Litige",IF($O367=0,"À échoir",IF($O367&lt;=30,"0-30",IF($O367&lt;=60,"31-60",IF($O367&lt;=90,"61-90","90+")))))))</f>
        <v/>
      </c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9">
        <f>IF($A368="","",SUMIFS(Ventes_Encaissements!$D$6:$D$3005,Ventes_Encaissements!$B$6:$B$3005,$A368))</f>
        <v/>
      </c>
      <c r="J368" s="9">
        <f>IF($A368="","",$H368-$I368)</f>
        <v/>
      </c>
      <c r="K368" s="10">
        <f>IF($A368="","",IF($I368=0,"",_xludf.AGGREGATE(14,6,Ventes_Encaissements!$C$6:$C$3005/(Ventes_Encaissements!$B$6:$B$3005=$A368),1)))</f>
        <v/>
      </c>
      <c r="L368" s="11">
        <f>IF($A368="","",COUNTIFS(Ventes_Detail!$B$6:$B$3005,$A368))</f>
        <v/>
      </c>
      <c r="M368" s="12" t="n"/>
      <c r="N368" s="12">
        <f>IF($A368="","",IF($G368="","",IF($M368="Oui","Litige",IF($J368&lt;=0,"Payé",IF($I368&gt;0,"Partiel",IF(Listes!$B$3&gt;$G368,"En retard","À échoir"))))))</f>
        <v/>
      </c>
      <c r="O368" s="11">
        <f>IF($A368="","",IF(OR($G368="", $J368&lt;=0),0,MAX(0,Listes!$B$3-$G368)))</f>
        <v/>
      </c>
      <c r="P368" s="12">
        <f>IF($A368="","",IF($J368&lt;=0,"Payé",IF($M368="Oui","Litige",IF($O368=0,"À échoir",IF($O368&lt;=30,"0-30",IF($O368&lt;=60,"31-60",IF($O368&lt;=90,"61-90","90+")))))))</f>
        <v/>
      </c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9">
        <f>IF($A369="","",SUMIFS(Ventes_Encaissements!$D$6:$D$3005,Ventes_Encaissements!$B$6:$B$3005,$A369))</f>
        <v/>
      </c>
      <c r="J369" s="9">
        <f>IF($A369="","",$H369-$I369)</f>
        <v/>
      </c>
      <c r="K369" s="10">
        <f>IF($A369="","",IF($I369=0,"",_xludf.AGGREGATE(14,6,Ventes_Encaissements!$C$6:$C$3005/(Ventes_Encaissements!$B$6:$B$3005=$A369),1)))</f>
        <v/>
      </c>
      <c r="L369" s="11">
        <f>IF($A369="","",COUNTIFS(Ventes_Detail!$B$6:$B$3005,$A369))</f>
        <v/>
      </c>
      <c r="M369" s="12" t="n"/>
      <c r="N369" s="12">
        <f>IF($A369="","",IF($G369="","",IF($M369="Oui","Litige",IF($J369&lt;=0,"Payé",IF($I369&gt;0,"Partiel",IF(Listes!$B$3&gt;$G369,"En retard","À échoir"))))))</f>
        <v/>
      </c>
      <c r="O369" s="11">
        <f>IF($A369="","",IF(OR($G369="", $J369&lt;=0),0,MAX(0,Listes!$B$3-$G369)))</f>
        <v/>
      </c>
      <c r="P369" s="12">
        <f>IF($A369="","",IF($J369&lt;=0,"Payé",IF($M369="Oui","Litige",IF($O369=0,"À échoir",IF($O369&lt;=30,"0-30",IF($O369&lt;=60,"31-60",IF($O369&lt;=90,"61-90","90+")))))))</f>
        <v/>
      </c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9">
        <f>IF($A370="","",SUMIFS(Ventes_Encaissements!$D$6:$D$3005,Ventes_Encaissements!$B$6:$B$3005,$A370))</f>
        <v/>
      </c>
      <c r="J370" s="9">
        <f>IF($A370="","",$H370-$I370)</f>
        <v/>
      </c>
      <c r="K370" s="10">
        <f>IF($A370="","",IF($I370=0,"",_xludf.AGGREGATE(14,6,Ventes_Encaissements!$C$6:$C$3005/(Ventes_Encaissements!$B$6:$B$3005=$A370),1)))</f>
        <v/>
      </c>
      <c r="L370" s="11">
        <f>IF($A370="","",COUNTIFS(Ventes_Detail!$B$6:$B$3005,$A370))</f>
        <v/>
      </c>
      <c r="M370" s="12" t="n"/>
      <c r="N370" s="12">
        <f>IF($A370="","",IF($G370="","",IF($M370="Oui","Litige",IF($J370&lt;=0,"Payé",IF($I370&gt;0,"Partiel",IF(Listes!$B$3&gt;$G370,"En retard","À échoir"))))))</f>
        <v/>
      </c>
      <c r="O370" s="11">
        <f>IF($A370="","",IF(OR($G370="", $J370&lt;=0),0,MAX(0,Listes!$B$3-$G370)))</f>
        <v/>
      </c>
      <c r="P370" s="12">
        <f>IF($A370="","",IF($J370&lt;=0,"Payé",IF($M370="Oui","Litige",IF($O370=0,"À échoir",IF($O370&lt;=30,"0-30",IF($O370&lt;=60,"31-60",IF($O370&lt;=90,"61-90","90+")))))))</f>
        <v/>
      </c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9">
        <f>IF($A371="","",SUMIFS(Ventes_Encaissements!$D$6:$D$3005,Ventes_Encaissements!$B$6:$B$3005,$A371))</f>
        <v/>
      </c>
      <c r="J371" s="9">
        <f>IF($A371="","",$H371-$I371)</f>
        <v/>
      </c>
      <c r="K371" s="10">
        <f>IF($A371="","",IF($I371=0,"",_xludf.AGGREGATE(14,6,Ventes_Encaissements!$C$6:$C$3005/(Ventes_Encaissements!$B$6:$B$3005=$A371),1)))</f>
        <v/>
      </c>
      <c r="L371" s="11">
        <f>IF($A371="","",COUNTIFS(Ventes_Detail!$B$6:$B$3005,$A371))</f>
        <v/>
      </c>
      <c r="M371" s="12" t="n"/>
      <c r="N371" s="12">
        <f>IF($A371="","",IF($G371="","",IF($M371="Oui","Litige",IF($J371&lt;=0,"Payé",IF($I371&gt;0,"Partiel",IF(Listes!$B$3&gt;$G371,"En retard","À échoir"))))))</f>
        <v/>
      </c>
      <c r="O371" s="11">
        <f>IF($A371="","",IF(OR($G371="", $J371&lt;=0),0,MAX(0,Listes!$B$3-$G371)))</f>
        <v/>
      </c>
      <c r="P371" s="12">
        <f>IF($A371="","",IF($J371&lt;=0,"Payé",IF($M371="Oui","Litige",IF($O371=0,"À échoir",IF($O371&lt;=30,"0-30",IF($O371&lt;=60,"31-60",IF($O371&lt;=90,"61-90","90+")))))))</f>
        <v/>
      </c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9">
        <f>IF($A372="","",SUMIFS(Ventes_Encaissements!$D$6:$D$3005,Ventes_Encaissements!$B$6:$B$3005,$A372))</f>
        <v/>
      </c>
      <c r="J372" s="9">
        <f>IF($A372="","",$H372-$I372)</f>
        <v/>
      </c>
      <c r="K372" s="10">
        <f>IF($A372="","",IF($I372=0,"",_xludf.AGGREGATE(14,6,Ventes_Encaissements!$C$6:$C$3005/(Ventes_Encaissements!$B$6:$B$3005=$A372),1)))</f>
        <v/>
      </c>
      <c r="L372" s="11">
        <f>IF($A372="","",COUNTIFS(Ventes_Detail!$B$6:$B$3005,$A372))</f>
        <v/>
      </c>
      <c r="M372" s="12" t="n"/>
      <c r="N372" s="12">
        <f>IF($A372="","",IF($G372="","",IF($M372="Oui","Litige",IF($J372&lt;=0,"Payé",IF($I372&gt;0,"Partiel",IF(Listes!$B$3&gt;$G372,"En retard","À échoir"))))))</f>
        <v/>
      </c>
      <c r="O372" s="11">
        <f>IF($A372="","",IF(OR($G372="", $J372&lt;=0),0,MAX(0,Listes!$B$3-$G372)))</f>
        <v/>
      </c>
      <c r="P372" s="12">
        <f>IF($A372="","",IF($J372&lt;=0,"Payé",IF($M372="Oui","Litige",IF($O372=0,"À échoir",IF($O372&lt;=30,"0-30",IF($O372&lt;=60,"31-60",IF($O372&lt;=90,"61-90","90+")))))))</f>
        <v/>
      </c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9">
        <f>IF($A373="","",SUMIFS(Ventes_Encaissements!$D$6:$D$3005,Ventes_Encaissements!$B$6:$B$3005,$A373))</f>
        <v/>
      </c>
      <c r="J373" s="9">
        <f>IF($A373="","",$H373-$I373)</f>
        <v/>
      </c>
      <c r="K373" s="10">
        <f>IF($A373="","",IF($I373=0,"",_xludf.AGGREGATE(14,6,Ventes_Encaissements!$C$6:$C$3005/(Ventes_Encaissements!$B$6:$B$3005=$A373),1)))</f>
        <v/>
      </c>
      <c r="L373" s="11">
        <f>IF($A373="","",COUNTIFS(Ventes_Detail!$B$6:$B$3005,$A373))</f>
        <v/>
      </c>
      <c r="M373" s="12" t="n"/>
      <c r="N373" s="12">
        <f>IF($A373="","",IF($G373="","",IF($M373="Oui","Litige",IF($J373&lt;=0,"Payé",IF($I373&gt;0,"Partiel",IF(Listes!$B$3&gt;$G373,"En retard","À échoir"))))))</f>
        <v/>
      </c>
      <c r="O373" s="11">
        <f>IF($A373="","",IF(OR($G373="", $J373&lt;=0),0,MAX(0,Listes!$B$3-$G373)))</f>
        <v/>
      </c>
      <c r="P373" s="12">
        <f>IF($A373="","",IF($J373&lt;=0,"Payé",IF($M373="Oui","Litige",IF($O373=0,"À échoir",IF($O373&lt;=30,"0-30",IF($O373&lt;=60,"31-60",IF($O373&lt;=90,"61-90","90+")))))))</f>
        <v/>
      </c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9">
        <f>IF($A374="","",SUMIFS(Ventes_Encaissements!$D$6:$D$3005,Ventes_Encaissements!$B$6:$B$3005,$A374))</f>
        <v/>
      </c>
      <c r="J374" s="9">
        <f>IF($A374="","",$H374-$I374)</f>
        <v/>
      </c>
      <c r="K374" s="10">
        <f>IF($A374="","",IF($I374=0,"",_xludf.AGGREGATE(14,6,Ventes_Encaissements!$C$6:$C$3005/(Ventes_Encaissements!$B$6:$B$3005=$A374),1)))</f>
        <v/>
      </c>
      <c r="L374" s="11">
        <f>IF($A374="","",COUNTIFS(Ventes_Detail!$B$6:$B$3005,$A374))</f>
        <v/>
      </c>
      <c r="M374" s="12" t="n"/>
      <c r="N374" s="12">
        <f>IF($A374="","",IF($G374="","",IF($M374="Oui","Litige",IF($J374&lt;=0,"Payé",IF($I374&gt;0,"Partiel",IF(Listes!$B$3&gt;$G374,"En retard","À échoir"))))))</f>
        <v/>
      </c>
      <c r="O374" s="11">
        <f>IF($A374="","",IF(OR($G374="", $J374&lt;=0),0,MAX(0,Listes!$B$3-$G374)))</f>
        <v/>
      </c>
      <c r="P374" s="12">
        <f>IF($A374="","",IF($J374&lt;=0,"Payé",IF($M374="Oui","Litige",IF($O374=0,"À échoir",IF($O374&lt;=30,"0-30",IF($O374&lt;=60,"31-60",IF($O374&lt;=90,"61-90","90+")))))))</f>
        <v/>
      </c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9">
        <f>IF($A375="","",SUMIFS(Ventes_Encaissements!$D$6:$D$3005,Ventes_Encaissements!$B$6:$B$3005,$A375))</f>
        <v/>
      </c>
      <c r="J375" s="9">
        <f>IF($A375="","",$H375-$I375)</f>
        <v/>
      </c>
      <c r="K375" s="10">
        <f>IF($A375="","",IF($I375=0,"",_xludf.AGGREGATE(14,6,Ventes_Encaissements!$C$6:$C$3005/(Ventes_Encaissements!$B$6:$B$3005=$A375),1)))</f>
        <v/>
      </c>
      <c r="L375" s="11">
        <f>IF($A375="","",COUNTIFS(Ventes_Detail!$B$6:$B$3005,$A375))</f>
        <v/>
      </c>
      <c r="M375" s="12" t="n"/>
      <c r="N375" s="12">
        <f>IF($A375="","",IF($G375="","",IF($M375="Oui","Litige",IF($J375&lt;=0,"Payé",IF($I375&gt;0,"Partiel",IF(Listes!$B$3&gt;$G375,"En retard","À échoir"))))))</f>
        <v/>
      </c>
      <c r="O375" s="11">
        <f>IF($A375="","",IF(OR($G375="", $J375&lt;=0),0,MAX(0,Listes!$B$3-$G375)))</f>
        <v/>
      </c>
      <c r="P375" s="12">
        <f>IF($A375="","",IF($J375&lt;=0,"Payé",IF($M375="Oui","Litige",IF($O375=0,"À échoir",IF($O375&lt;=30,"0-30",IF($O375&lt;=60,"31-60",IF($O375&lt;=90,"61-90","90+")))))))</f>
        <v/>
      </c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9">
        <f>IF($A376="","",SUMIFS(Ventes_Encaissements!$D$6:$D$3005,Ventes_Encaissements!$B$6:$B$3005,$A376))</f>
        <v/>
      </c>
      <c r="J376" s="9">
        <f>IF($A376="","",$H376-$I376)</f>
        <v/>
      </c>
      <c r="K376" s="10">
        <f>IF($A376="","",IF($I376=0,"",_xludf.AGGREGATE(14,6,Ventes_Encaissements!$C$6:$C$3005/(Ventes_Encaissements!$B$6:$B$3005=$A376),1)))</f>
        <v/>
      </c>
      <c r="L376" s="11">
        <f>IF($A376="","",COUNTIFS(Ventes_Detail!$B$6:$B$3005,$A376))</f>
        <v/>
      </c>
      <c r="M376" s="12" t="n"/>
      <c r="N376" s="12">
        <f>IF($A376="","",IF($G376="","",IF($M376="Oui","Litige",IF($J376&lt;=0,"Payé",IF($I376&gt;0,"Partiel",IF(Listes!$B$3&gt;$G376,"En retard","À échoir"))))))</f>
        <v/>
      </c>
      <c r="O376" s="11">
        <f>IF($A376="","",IF(OR($G376="", $J376&lt;=0),0,MAX(0,Listes!$B$3-$G376)))</f>
        <v/>
      </c>
      <c r="P376" s="12">
        <f>IF($A376="","",IF($J376&lt;=0,"Payé",IF($M376="Oui","Litige",IF($O376=0,"À échoir",IF($O376&lt;=30,"0-30",IF($O376&lt;=60,"31-60",IF($O376&lt;=90,"61-90","90+")))))))</f>
        <v/>
      </c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9">
        <f>IF($A377="","",SUMIFS(Ventes_Encaissements!$D$6:$D$3005,Ventes_Encaissements!$B$6:$B$3005,$A377))</f>
        <v/>
      </c>
      <c r="J377" s="9">
        <f>IF($A377="","",$H377-$I377)</f>
        <v/>
      </c>
      <c r="K377" s="10">
        <f>IF($A377="","",IF($I377=0,"",_xludf.AGGREGATE(14,6,Ventes_Encaissements!$C$6:$C$3005/(Ventes_Encaissements!$B$6:$B$3005=$A377),1)))</f>
        <v/>
      </c>
      <c r="L377" s="11">
        <f>IF($A377="","",COUNTIFS(Ventes_Detail!$B$6:$B$3005,$A377))</f>
        <v/>
      </c>
      <c r="M377" s="12" t="n"/>
      <c r="N377" s="12">
        <f>IF($A377="","",IF($G377="","",IF($M377="Oui","Litige",IF($J377&lt;=0,"Payé",IF($I377&gt;0,"Partiel",IF(Listes!$B$3&gt;$G377,"En retard","À échoir"))))))</f>
        <v/>
      </c>
      <c r="O377" s="11">
        <f>IF($A377="","",IF(OR($G377="", $J377&lt;=0),0,MAX(0,Listes!$B$3-$G377)))</f>
        <v/>
      </c>
      <c r="P377" s="12">
        <f>IF($A377="","",IF($J377&lt;=0,"Payé",IF($M377="Oui","Litige",IF($O377=0,"À échoir",IF($O377&lt;=30,"0-30",IF($O377&lt;=60,"31-60",IF($O377&lt;=90,"61-90","90+")))))))</f>
        <v/>
      </c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9">
        <f>IF($A378="","",SUMIFS(Ventes_Encaissements!$D$6:$D$3005,Ventes_Encaissements!$B$6:$B$3005,$A378))</f>
        <v/>
      </c>
      <c r="J378" s="9">
        <f>IF($A378="","",$H378-$I378)</f>
        <v/>
      </c>
      <c r="K378" s="10">
        <f>IF($A378="","",IF($I378=0,"",_xludf.AGGREGATE(14,6,Ventes_Encaissements!$C$6:$C$3005/(Ventes_Encaissements!$B$6:$B$3005=$A378),1)))</f>
        <v/>
      </c>
      <c r="L378" s="11">
        <f>IF($A378="","",COUNTIFS(Ventes_Detail!$B$6:$B$3005,$A378))</f>
        <v/>
      </c>
      <c r="M378" s="12" t="n"/>
      <c r="N378" s="12">
        <f>IF($A378="","",IF($G378="","",IF($M378="Oui","Litige",IF($J378&lt;=0,"Payé",IF($I378&gt;0,"Partiel",IF(Listes!$B$3&gt;$G378,"En retard","À échoir"))))))</f>
        <v/>
      </c>
      <c r="O378" s="11">
        <f>IF($A378="","",IF(OR($G378="", $J378&lt;=0),0,MAX(0,Listes!$B$3-$G378)))</f>
        <v/>
      </c>
      <c r="P378" s="12">
        <f>IF($A378="","",IF($J378&lt;=0,"Payé",IF($M378="Oui","Litige",IF($O378=0,"À échoir",IF($O378&lt;=30,"0-30",IF($O378&lt;=60,"31-60",IF($O378&lt;=90,"61-90","90+")))))))</f>
        <v/>
      </c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9">
        <f>IF($A379="","",SUMIFS(Ventes_Encaissements!$D$6:$D$3005,Ventes_Encaissements!$B$6:$B$3005,$A379))</f>
        <v/>
      </c>
      <c r="J379" s="9">
        <f>IF($A379="","",$H379-$I379)</f>
        <v/>
      </c>
      <c r="K379" s="10">
        <f>IF($A379="","",IF($I379=0,"",_xludf.AGGREGATE(14,6,Ventes_Encaissements!$C$6:$C$3005/(Ventes_Encaissements!$B$6:$B$3005=$A379),1)))</f>
        <v/>
      </c>
      <c r="L379" s="11">
        <f>IF($A379="","",COUNTIFS(Ventes_Detail!$B$6:$B$3005,$A379))</f>
        <v/>
      </c>
      <c r="M379" s="12" t="n"/>
      <c r="N379" s="12">
        <f>IF($A379="","",IF($G379="","",IF($M379="Oui","Litige",IF($J379&lt;=0,"Payé",IF($I379&gt;0,"Partiel",IF(Listes!$B$3&gt;$G379,"En retard","À échoir"))))))</f>
        <v/>
      </c>
      <c r="O379" s="11">
        <f>IF($A379="","",IF(OR($G379="", $J379&lt;=0),0,MAX(0,Listes!$B$3-$G379)))</f>
        <v/>
      </c>
      <c r="P379" s="12">
        <f>IF($A379="","",IF($J379&lt;=0,"Payé",IF($M379="Oui","Litige",IF($O379=0,"À échoir",IF($O379&lt;=30,"0-30",IF($O379&lt;=60,"31-60",IF($O379&lt;=90,"61-90","90+")))))))</f>
        <v/>
      </c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9">
        <f>IF($A380="","",SUMIFS(Ventes_Encaissements!$D$6:$D$3005,Ventes_Encaissements!$B$6:$B$3005,$A380))</f>
        <v/>
      </c>
      <c r="J380" s="9">
        <f>IF($A380="","",$H380-$I380)</f>
        <v/>
      </c>
      <c r="K380" s="10">
        <f>IF($A380="","",IF($I380=0,"",_xludf.AGGREGATE(14,6,Ventes_Encaissements!$C$6:$C$3005/(Ventes_Encaissements!$B$6:$B$3005=$A380),1)))</f>
        <v/>
      </c>
      <c r="L380" s="11">
        <f>IF($A380="","",COUNTIFS(Ventes_Detail!$B$6:$B$3005,$A380))</f>
        <v/>
      </c>
      <c r="M380" s="12" t="n"/>
      <c r="N380" s="12">
        <f>IF($A380="","",IF($G380="","",IF($M380="Oui","Litige",IF($J380&lt;=0,"Payé",IF($I380&gt;0,"Partiel",IF(Listes!$B$3&gt;$G380,"En retard","À échoir"))))))</f>
        <v/>
      </c>
      <c r="O380" s="11">
        <f>IF($A380="","",IF(OR($G380="", $J380&lt;=0),0,MAX(0,Listes!$B$3-$G380)))</f>
        <v/>
      </c>
      <c r="P380" s="12">
        <f>IF($A380="","",IF($J380&lt;=0,"Payé",IF($M380="Oui","Litige",IF($O380=0,"À échoir",IF($O380&lt;=30,"0-30",IF($O380&lt;=60,"31-60",IF($O380&lt;=90,"61-90","90+")))))))</f>
        <v/>
      </c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9">
        <f>IF($A381="","",SUMIFS(Ventes_Encaissements!$D$6:$D$3005,Ventes_Encaissements!$B$6:$B$3005,$A381))</f>
        <v/>
      </c>
      <c r="J381" s="9">
        <f>IF($A381="","",$H381-$I381)</f>
        <v/>
      </c>
      <c r="K381" s="10">
        <f>IF($A381="","",IF($I381=0,"",_xludf.AGGREGATE(14,6,Ventes_Encaissements!$C$6:$C$3005/(Ventes_Encaissements!$B$6:$B$3005=$A381),1)))</f>
        <v/>
      </c>
      <c r="L381" s="11">
        <f>IF($A381="","",COUNTIFS(Ventes_Detail!$B$6:$B$3005,$A381))</f>
        <v/>
      </c>
      <c r="M381" s="12" t="n"/>
      <c r="N381" s="12">
        <f>IF($A381="","",IF($G381="","",IF($M381="Oui","Litige",IF($J381&lt;=0,"Payé",IF($I381&gt;0,"Partiel",IF(Listes!$B$3&gt;$G381,"En retard","À échoir"))))))</f>
        <v/>
      </c>
      <c r="O381" s="11">
        <f>IF($A381="","",IF(OR($G381="", $J381&lt;=0),0,MAX(0,Listes!$B$3-$G381)))</f>
        <v/>
      </c>
      <c r="P381" s="12">
        <f>IF($A381="","",IF($J381&lt;=0,"Payé",IF($M381="Oui","Litige",IF($O381=0,"À échoir",IF($O381&lt;=30,"0-30",IF($O381&lt;=60,"31-60",IF($O381&lt;=90,"61-90","90+")))))))</f>
        <v/>
      </c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9">
        <f>IF($A382="","",SUMIFS(Ventes_Encaissements!$D$6:$D$3005,Ventes_Encaissements!$B$6:$B$3005,$A382))</f>
        <v/>
      </c>
      <c r="J382" s="9">
        <f>IF($A382="","",$H382-$I382)</f>
        <v/>
      </c>
      <c r="K382" s="10">
        <f>IF($A382="","",IF($I382=0,"",_xludf.AGGREGATE(14,6,Ventes_Encaissements!$C$6:$C$3005/(Ventes_Encaissements!$B$6:$B$3005=$A382),1)))</f>
        <v/>
      </c>
      <c r="L382" s="11">
        <f>IF($A382="","",COUNTIFS(Ventes_Detail!$B$6:$B$3005,$A382))</f>
        <v/>
      </c>
      <c r="M382" s="12" t="n"/>
      <c r="N382" s="12">
        <f>IF($A382="","",IF($G382="","",IF($M382="Oui","Litige",IF($J382&lt;=0,"Payé",IF($I382&gt;0,"Partiel",IF(Listes!$B$3&gt;$G382,"En retard","À échoir"))))))</f>
        <v/>
      </c>
      <c r="O382" s="11">
        <f>IF($A382="","",IF(OR($G382="", $J382&lt;=0),0,MAX(0,Listes!$B$3-$G382)))</f>
        <v/>
      </c>
      <c r="P382" s="12">
        <f>IF($A382="","",IF($J382&lt;=0,"Payé",IF($M382="Oui","Litige",IF($O382=0,"À échoir",IF($O382&lt;=30,"0-30",IF($O382&lt;=60,"31-60",IF($O382&lt;=90,"61-90","90+")))))))</f>
        <v/>
      </c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9">
        <f>IF($A383="","",SUMIFS(Ventes_Encaissements!$D$6:$D$3005,Ventes_Encaissements!$B$6:$B$3005,$A383))</f>
        <v/>
      </c>
      <c r="J383" s="9">
        <f>IF($A383="","",$H383-$I383)</f>
        <v/>
      </c>
      <c r="K383" s="10">
        <f>IF($A383="","",IF($I383=0,"",_xludf.AGGREGATE(14,6,Ventes_Encaissements!$C$6:$C$3005/(Ventes_Encaissements!$B$6:$B$3005=$A383),1)))</f>
        <v/>
      </c>
      <c r="L383" s="11">
        <f>IF($A383="","",COUNTIFS(Ventes_Detail!$B$6:$B$3005,$A383))</f>
        <v/>
      </c>
      <c r="M383" s="12" t="n"/>
      <c r="N383" s="12">
        <f>IF($A383="","",IF($G383="","",IF($M383="Oui","Litige",IF($J383&lt;=0,"Payé",IF($I383&gt;0,"Partiel",IF(Listes!$B$3&gt;$G383,"En retard","À échoir"))))))</f>
        <v/>
      </c>
      <c r="O383" s="11">
        <f>IF($A383="","",IF(OR($G383="", $J383&lt;=0),0,MAX(0,Listes!$B$3-$G383)))</f>
        <v/>
      </c>
      <c r="P383" s="12">
        <f>IF($A383="","",IF($J383&lt;=0,"Payé",IF($M383="Oui","Litige",IF($O383=0,"À échoir",IF($O383&lt;=30,"0-30",IF($O383&lt;=60,"31-60",IF($O383&lt;=90,"61-90","90+")))))))</f>
        <v/>
      </c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9">
        <f>IF($A384="","",SUMIFS(Ventes_Encaissements!$D$6:$D$3005,Ventes_Encaissements!$B$6:$B$3005,$A384))</f>
        <v/>
      </c>
      <c r="J384" s="9">
        <f>IF($A384="","",$H384-$I384)</f>
        <v/>
      </c>
      <c r="K384" s="10">
        <f>IF($A384="","",IF($I384=0,"",_xludf.AGGREGATE(14,6,Ventes_Encaissements!$C$6:$C$3005/(Ventes_Encaissements!$B$6:$B$3005=$A384),1)))</f>
        <v/>
      </c>
      <c r="L384" s="11">
        <f>IF($A384="","",COUNTIFS(Ventes_Detail!$B$6:$B$3005,$A384))</f>
        <v/>
      </c>
      <c r="M384" s="12" t="n"/>
      <c r="N384" s="12">
        <f>IF($A384="","",IF($G384="","",IF($M384="Oui","Litige",IF($J384&lt;=0,"Payé",IF($I384&gt;0,"Partiel",IF(Listes!$B$3&gt;$G384,"En retard","À échoir"))))))</f>
        <v/>
      </c>
      <c r="O384" s="11">
        <f>IF($A384="","",IF(OR($G384="", $J384&lt;=0),0,MAX(0,Listes!$B$3-$G384)))</f>
        <v/>
      </c>
      <c r="P384" s="12">
        <f>IF($A384="","",IF($J384&lt;=0,"Payé",IF($M384="Oui","Litige",IF($O384=0,"À échoir",IF($O384&lt;=30,"0-30",IF($O384&lt;=60,"31-60",IF($O384&lt;=90,"61-90","90+")))))))</f>
        <v/>
      </c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9">
        <f>IF($A385="","",SUMIFS(Ventes_Encaissements!$D$6:$D$3005,Ventes_Encaissements!$B$6:$B$3005,$A385))</f>
        <v/>
      </c>
      <c r="J385" s="9">
        <f>IF($A385="","",$H385-$I385)</f>
        <v/>
      </c>
      <c r="K385" s="10">
        <f>IF($A385="","",IF($I385=0,"",_xludf.AGGREGATE(14,6,Ventes_Encaissements!$C$6:$C$3005/(Ventes_Encaissements!$B$6:$B$3005=$A385),1)))</f>
        <v/>
      </c>
      <c r="L385" s="11">
        <f>IF($A385="","",COUNTIFS(Ventes_Detail!$B$6:$B$3005,$A385))</f>
        <v/>
      </c>
      <c r="M385" s="12" t="n"/>
      <c r="N385" s="12">
        <f>IF($A385="","",IF($G385="","",IF($M385="Oui","Litige",IF($J385&lt;=0,"Payé",IF($I385&gt;0,"Partiel",IF(Listes!$B$3&gt;$G385,"En retard","À échoir"))))))</f>
        <v/>
      </c>
      <c r="O385" s="11">
        <f>IF($A385="","",IF(OR($G385="", $J385&lt;=0),0,MAX(0,Listes!$B$3-$G385)))</f>
        <v/>
      </c>
      <c r="P385" s="12">
        <f>IF($A385="","",IF($J385&lt;=0,"Payé",IF($M385="Oui","Litige",IF($O385=0,"À échoir",IF($O385&lt;=30,"0-30",IF($O385&lt;=60,"31-60",IF($O385&lt;=90,"61-90","90+")))))))</f>
        <v/>
      </c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9">
        <f>IF($A386="","",SUMIFS(Ventes_Encaissements!$D$6:$D$3005,Ventes_Encaissements!$B$6:$B$3005,$A386))</f>
        <v/>
      </c>
      <c r="J386" s="9">
        <f>IF($A386="","",$H386-$I386)</f>
        <v/>
      </c>
      <c r="K386" s="10">
        <f>IF($A386="","",IF($I386=0,"",_xludf.AGGREGATE(14,6,Ventes_Encaissements!$C$6:$C$3005/(Ventes_Encaissements!$B$6:$B$3005=$A386),1)))</f>
        <v/>
      </c>
      <c r="L386" s="11">
        <f>IF($A386="","",COUNTIFS(Ventes_Detail!$B$6:$B$3005,$A386))</f>
        <v/>
      </c>
      <c r="M386" s="12" t="n"/>
      <c r="N386" s="12">
        <f>IF($A386="","",IF($G386="","",IF($M386="Oui","Litige",IF($J386&lt;=0,"Payé",IF($I386&gt;0,"Partiel",IF(Listes!$B$3&gt;$G386,"En retard","À échoir"))))))</f>
        <v/>
      </c>
      <c r="O386" s="11">
        <f>IF($A386="","",IF(OR($G386="", $J386&lt;=0),0,MAX(0,Listes!$B$3-$G386)))</f>
        <v/>
      </c>
      <c r="P386" s="12">
        <f>IF($A386="","",IF($J386&lt;=0,"Payé",IF($M386="Oui","Litige",IF($O386=0,"À échoir",IF($O386&lt;=30,"0-30",IF($O386&lt;=60,"31-60",IF($O386&lt;=90,"61-90","90+")))))))</f>
        <v/>
      </c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9">
        <f>IF($A387="","",SUMIFS(Ventes_Encaissements!$D$6:$D$3005,Ventes_Encaissements!$B$6:$B$3005,$A387))</f>
        <v/>
      </c>
      <c r="J387" s="9">
        <f>IF($A387="","",$H387-$I387)</f>
        <v/>
      </c>
      <c r="K387" s="10">
        <f>IF($A387="","",IF($I387=0,"",_xludf.AGGREGATE(14,6,Ventes_Encaissements!$C$6:$C$3005/(Ventes_Encaissements!$B$6:$B$3005=$A387),1)))</f>
        <v/>
      </c>
      <c r="L387" s="11">
        <f>IF($A387="","",COUNTIFS(Ventes_Detail!$B$6:$B$3005,$A387))</f>
        <v/>
      </c>
      <c r="M387" s="12" t="n"/>
      <c r="N387" s="12">
        <f>IF($A387="","",IF($G387="","",IF($M387="Oui","Litige",IF($J387&lt;=0,"Payé",IF($I387&gt;0,"Partiel",IF(Listes!$B$3&gt;$G387,"En retard","À échoir"))))))</f>
        <v/>
      </c>
      <c r="O387" s="11">
        <f>IF($A387="","",IF(OR($G387="", $J387&lt;=0),0,MAX(0,Listes!$B$3-$G387)))</f>
        <v/>
      </c>
      <c r="P387" s="12">
        <f>IF($A387="","",IF($J387&lt;=0,"Payé",IF($M387="Oui","Litige",IF($O387=0,"À échoir",IF($O387&lt;=30,"0-30",IF($O387&lt;=60,"31-60",IF($O387&lt;=90,"61-90","90+")))))))</f>
        <v/>
      </c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9">
        <f>IF($A388="","",SUMIFS(Ventes_Encaissements!$D$6:$D$3005,Ventes_Encaissements!$B$6:$B$3005,$A388))</f>
        <v/>
      </c>
      <c r="J388" s="9">
        <f>IF($A388="","",$H388-$I388)</f>
        <v/>
      </c>
      <c r="K388" s="10">
        <f>IF($A388="","",IF($I388=0,"",_xludf.AGGREGATE(14,6,Ventes_Encaissements!$C$6:$C$3005/(Ventes_Encaissements!$B$6:$B$3005=$A388),1)))</f>
        <v/>
      </c>
      <c r="L388" s="11">
        <f>IF($A388="","",COUNTIFS(Ventes_Detail!$B$6:$B$3005,$A388))</f>
        <v/>
      </c>
      <c r="M388" s="12" t="n"/>
      <c r="N388" s="12">
        <f>IF($A388="","",IF($G388="","",IF($M388="Oui","Litige",IF($J388&lt;=0,"Payé",IF($I388&gt;0,"Partiel",IF(Listes!$B$3&gt;$G388,"En retard","À échoir"))))))</f>
        <v/>
      </c>
      <c r="O388" s="11">
        <f>IF($A388="","",IF(OR($G388="", $J388&lt;=0),0,MAX(0,Listes!$B$3-$G388)))</f>
        <v/>
      </c>
      <c r="P388" s="12">
        <f>IF($A388="","",IF($J388&lt;=0,"Payé",IF($M388="Oui","Litige",IF($O388=0,"À échoir",IF($O388&lt;=30,"0-30",IF($O388&lt;=60,"31-60",IF($O388&lt;=90,"61-90","90+")))))))</f>
        <v/>
      </c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9">
        <f>IF($A389="","",SUMIFS(Ventes_Encaissements!$D$6:$D$3005,Ventes_Encaissements!$B$6:$B$3005,$A389))</f>
        <v/>
      </c>
      <c r="J389" s="9">
        <f>IF($A389="","",$H389-$I389)</f>
        <v/>
      </c>
      <c r="K389" s="10">
        <f>IF($A389="","",IF($I389=0,"",_xludf.AGGREGATE(14,6,Ventes_Encaissements!$C$6:$C$3005/(Ventes_Encaissements!$B$6:$B$3005=$A389),1)))</f>
        <v/>
      </c>
      <c r="L389" s="11">
        <f>IF($A389="","",COUNTIFS(Ventes_Detail!$B$6:$B$3005,$A389))</f>
        <v/>
      </c>
      <c r="M389" s="12" t="n"/>
      <c r="N389" s="12">
        <f>IF($A389="","",IF($G389="","",IF($M389="Oui","Litige",IF($J389&lt;=0,"Payé",IF($I389&gt;0,"Partiel",IF(Listes!$B$3&gt;$G389,"En retard","À échoir"))))))</f>
        <v/>
      </c>
      <c r="O389" s="11">
        <f>IF($A389="","",IF(OR($G389="", $J389&lt;=0),0,MAX(0,Listes!$B$3-$G389)))</f>
        <v/>
      </c>
      <c r="P389" s="12">
        <f>IF($A389="","",IF($J389&lt;=0,"Payé",IF($M389="Oui","Litige",IF($O389=0,"À échoir",IF($O389&lt;=30,"0-30",IF($O389&lt;=60,"31-60",IF($O389&lt;=90,"61-90","90+")))))))</f>
        <v/>
      </c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9">
        <f>IF($A390="","",SUMIFS(Ventes_Encaissements!$D$6:$D$3005,Ventes_Encaissements!$B$6:$B$3005,$A390))</f>
        <v/>
      </c>
      <c r="J390" s="9">
        <f>IF($A390="","",$H390-$I390)</f>
        <v/>
      </c>
      <c r="K390" s="10">
        <f>IF($A390="","",IF($I390=0,"",_xludf.AGGREGATE(14,6,Ventes_Encaissements!$C$6:$C$3005/(Ventes_Encaissements!$B$6:$B$3005=$A390),1)))</f>
        <v/>
      </c>
      <c r="L390" s="11">
        <f>IF($A390="","",COUNTIFS(Ventes_Detail!$B$6:$B$3005,$A390))</f>
        <v/>
      </c>
      <c r="M390" s="12" t="n"/>
      <c r="N390" s="12">
        <f>IF($A390="","",IF($G390="","",IF($M390="Oui","Litige",IF($J390&lt;=0,"Payé",IF($I390&gt;0,"Partiel",IF(Listes!$B$3&gt;$G390,"En retard","À échoir"))))))</f>
        <v/>
      </c>
      <c r="O390" s="11">
        <f>IF($A390="","",IF(OR($G390="", $J390&lt;=0),0,MAX(0,Listes!$B$3-$G390)))</f>
        <v/>
      </c>
      <c r="P390" s="12">
        <f>IF($A390="","",IF($J390&lt;=0,"Payé",IF($M390="Oui","Litige",IF($O390=0,"À échoir",IF($O390&lt;=30,"0-30",IF($O390&lt;=60,"31-60",IF($O390&lt;=90,"61-90","90+")))))))</f>
        <v/>
      </c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9">
        <f>IF($A391="","",SUMIFS(Ventes_Encaissements!$D$6:$D$3005,Ventes_Encaissements!$B$6:$B$3005,$A391))</f>
        <v/>
      </c>
      <c r="J391" s="9">
        <f>IF($A391="","",$H391-$I391)</f>
        <v/>
      </c>
      <c r="K391" s="10">
        <f>IF($A391="","",IF($I391=0,"",_xludf.AGGREGATE(14,6,Ventes_Encaissements!$C$6:$C$3005/(Ventes_Encaissements!$B$6:$B$3005=$A391),1)))</f>
        <v/>
      </c>
      <c r="L391" s="11">
        <f>IF($A391="","",COUNTIFS(Ventes_Detail!$B$6:$B$3005,$A391))</f>
        <v/>
      </c>
      <c r="M391" s="12" t="n"/>
      <c r="N391" s="12">
        <f>IF($A391="","",IF($G391="","",IF($M391="Oui","Litige",IF($J391&lt;=0,"Payé",IF($I391&gt;0,"Partiel",IF(Listes!$B$3&gt;$G391,"En retard","À échoir"))))))</f>
        <v/>
      </c>
      <c r="O391" s="11">
        <f>IF($A391="","",IF(OR($G391="", $J391&lt;=0),0,MAX(0,Listes!$B$3-$G391)))</f>
        <v/>
      </c>
      <c r="P391" s="12">
        <f>IF($A391="","",IF($J391&lt;=0,"Payé",IF($M391="Oui","Litige",IF($O391=0,"À échoir",IF($O391&lt;=30,"0-30",IF($O391&lt;=60,"31-60",IF($O391&lt;=90,"61-90","90+")))))))</f>
        <v/>
      </c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9">
        <f>IF($A392="","",SUMIFS(Ventes_Encaissements!$D$6:$D$3005,Ventes_Encaissements!$B$6:$B$3005,$A392))</f>
        <v/>
      </c>
      <c r="J392" s="9">
        <f>IF($A392="","",$H392-$I392)</f>
        <v/>
      </c>
      <c r="K392" s="10">
        <f>IF($A392="","",IF($I392=0,"",_xludf.AGGREGATE(14,6,Ventes_Encaissements!$C$6:$C$3005/(Ventes_Encaissements!$B$6:$B$3005=$A392),1)))</f>
        <v/>
      </c>
      <c r="L392" s="11">
        <f>IF($A392="","",COUNTIFS(Ventes_Detail!$B$6:$B$3005,$A392))</f>
        <v/>
      </c>
      <c r="M392" s="12" t="n"/>
      <c r="N392" s="12">
        <f>IF($A392="","",IF($G392="","",IF($M392="Oui","Litige",IF($J392&lt;=0,"Payé",IF($I392&gt;0,"Partiel",IF(Listes!$B$3&gt;$G392,"En retard","À échoir"))))))</f>
        <v/>
      </c>
      <c r="O392" s="11">
        <f>IF($A392="","",IF(OR($G392="", $J392&lt;=0),0,MAX(0,Listes!$B$3-$G392)))</f>
        <v/>
      </c>
      <c r="P392" s="12">
        <f>IF($A392="","",IF($J392&lt;=0,"Payé",IF($M392="Oui","Litige",IF($O392=0,"À échoir",IF($O392&lt;=30,"0-30",IF($O392&lt;=60,"31-60",IF($O392&lt;=90,"61-90","90+")))))))</f>
        <v/>
      </c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9">
        <f>IF($A393="","",SUMIFS(Ventes_Encaissements!$D$6:$D$3005,Ventes_Encaissements!$B$6:$B$3005,$A393))</f>
        <v/>
      </c>
      <c r="J393" s="9">
        <f>IF($A393="","",$H393-$I393)</f>
        <v/>
      </c>
      <c r="K393" s="10">
        <f>IF($A393="","",IF($I393=0,"",_xludf.AGGREGATE(14,6,Ventes_Encaissements!$C$6:$C$3005/(Ventes_Encaissements!$B$6:$B$3005=$A393),1)))</f>
        <v/>
      </c>
      <c r="L393" s="11">
        <f>IF($A393="","",COUNTIFS(Ventes_Detail!$B$6:$B$3005,$A393))</f>
        <v/>
      </c>
      <c r="M393" s="12" t="n"/>
      <c r="N393" s="12">
        <f>IF($A393="","",IF($G393="","",IF($M393="Oui","Litige",IF($J393&lt;=0,"Payé",IF($I393&gt;0,"Partiel",IF(Listes!$B$3&gt;$G393,"En retard","À échoir"))))))</f>
        <v/>
      </c>
      <c r="O393" s="11">
        <f>IF($A393="","",IF(OR($G393="", $J393&lt;=0),0,MAX(0,Listes!$B$3-$G393)))</f>
        <v/>
      </c>
      <c r="P393" s="12">
        <f>IF($A393="","",IF($J393&lt;=0,"Payé",IF($M393="Oui","Litige",IF($O393=0,"À échoir",IF($O393&lt;=30,"0-30",IF($O393&lt;=60,"31-60",IF($O393&lt;=90,"61-90","90+")))))))</f>
        <v/>
      </c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9">
        <f>IF($A394="","",SUMIFS(Ventes_Encaissements!$D$6:$D$3005,Ventes_Encaissements!$B$6:$B$3005,$A394))</f>
        <v/>
      </c>
      <c r="J394" s="9">
        <f>IF($A394="","",$H394-$I394)</f>
        <v/>
      </c>
      <c r="K394" s="10">
        <f>IF($A394="","",IF($I394=0,"",_xludf.AGGREGATE(14,6,Ventes_Encaissements!$C$6:$C$3005/(Ventes_Encaissements!$B$6:$B$3005=$A394),1)))</f>
        <v/>
      </c>
      <c r="L394" s="11">
        <f>IF($A394="","",COUNTIFS(Ventes_Detail!$B$6:$B$3005,$A394))</f>
        <v/>
      </c>
      <c r="M394" s="12" t="n"/>
      <c r="N394" s="12">
        <f>IF($A394="","",IF($G394="","",IF($M394="Oui","Litige",IF($J394&lt;=0,"Payé",IF($I394&gt;0,"Partiel",IF(Listes!$B$3&gt;$G394,"En retard","À échoir"))))))</f>
        <v/>
      </c>
      <c r="O394" s="11">
        <f>IF($A394="","",IF(OR($G394="", $J394&lt;=0),0,MAX(0,Listes!$B$3-$G394)))</f>
        <v/>
      </c>
      <c r="P394" s="12">
        <f>IF($A394="","",IF($J394&lt;=0,"Payé",IF($M394="Oui","Litige",IF($O394=0,"À échoir",IF($O394&lt;=30,"0-30",IF($O394&lt;=60,"31-60",IF($O394&lt;=90,"61-90","90+")))))))</f>
        <v/>
      </c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9">
        <f>IF($A395="","",SUMIFS(Ventes_Encaissements!$D$6:$D$3005,Ventes_Encaissements!$B$6:$B$3005,$A395))</f>
        <v/>
      </c>
      <c r="J395" s="9">
        <f>IF($A395="","",$H395-$I395)</f>
        <v/>
      </c>
      <c r="K395" s="10">
        <f>IF($A395="","",IF($I395=0,"",_xludf.AGGREGATE(14,6,Ventes_Encaissements!$C$6:$C$3005/(Ventes_Encaissements!$B$6:$B$3005=$A395),1)))</f>
        <v/>
      </c>
      <c r="L395" s="11">
        <f>IF($A395="","",COUNTIFS(Ventes_Detail!$B$6:$B$3005,$A395))</f>
        <v/>
      </c>
      <c r="M395" s="12" t="n"/>
      <c r="N395" s="12">
        <f>IF($A395="","",IF($G395="","",IF($M395="Oui","Litige",IF($J395&lt;=0,"Payé",IF($I395&gt;0,"Partiel",IF(Listes!$B$3&gt;$G395,"En retard","À échoir"))))))</f>
        <v/>
      </c>
      <c r="O395" s="11">
        <f>IF($A395="","",IF(OR($G395="", $J395&lt;=0),0,MAX(0,Listes!$B$3-$G395)))</f>
        <v/>
      </c>
      <c r="P395" s="12">
        <f>IF($A395="","",IF($J395&lt;=0,"Payé",IF($M395="Oui","Litige",IF($O395=0,"À échoir",IF($O395&lt;=30,"0-30",IF($O395&lt;=60,"31-60",IF($O395&lt;=90,"61-90","90+")))))))</f>
        <v/>
      </c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9">
        <f>IF($A396="","",SUMIFS(Ventes_Encaissements!$D$6:$D$3005,Ventes_Encaissements!$B$6:$B$3005,$A396))</f>
        <v/>
      </c>
      <c r="J396" s="9">
        <f>IF($A396="","",$H396-$I396)</f>
        <v/>
      </c>
      <c r="K396" s="10">
        <f>IF($A396="","",IF($I396=0,"",_xludf.AGGREGATE(14,6,Ventes_Encaissements!$C$6:$C$3005/(Ventes_Encaissements!$B$6:$B$3005=$A396),1)))</f>
        <v/>
      </c>
      <c r="L396" s="11">
        <f>IF($A396="","",COUNTIFS(Ventes_Detail!$B$6:$B$3005,$A396))</f>
        <v/>
      </c>
      <c r="M396" s="12" t="n"/>
      <c r="N396" s="12">
        <f>IF($A396="","",IF($G396="","",IF($M396="Oui","Litige",IF($J396&lt;=0,"Payé",IF($I396&gt;0,"Partiel",IF(Listes!$B$3&gt;$G396,"En retard","À échoir"))))))</f>
        <v/>
      </c>
      <c r="O396" s="11">
        <f>IF($A396="","",IF(OR($G396="", $J396&lt;=0),0,MAX(0,Listes!$B$3-$G396)))</f>
        <v/>
      </c>
      <c r="P396" s="12">
        <f>IF($A396="","",IF($J396&lt;=0,"Payé",IF($M396="Oui","Litige",IF($O396=0,"À échoir",IF($O396&lt;=30,"0-30",IF($O396&lt;=60,"31-60",IF($O396&lt;=90,"61-90","90+")))))))</f>
        <v/>
      </c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9">
        <f>IF($A397="","",SUMIFS(Ventes_Encaissements!$D$6:$D$3005,Ventes_Encaissements!$B$6:$B$3005,$A397))</f>
        <v/>
      </c>
      <c r="J397" s="9">
        <f>IF($A397="","",$H397-$I397)</f>
        <v/>
      </c>
      <c r="K397" s="10">
        <f>IF($A397="","",IF($I397=0,"",_xludf.AGGREGATE(14,6,Ventes_Encaissements!$C$6:$C$3005/(Ventes_Encaissements!$B$6:$B$3005=$A397),1)))</f>
        <v/>
      </c>
      <c r="L397" s="11">
        <f>IF($A397="","",COUNTIFS(Ventes_Detail!$B$6:$B$3005,$A397))</f>
        <v/>
      </c>
      <c r="M397" s="12" t="n"/>
      <c r="N397" s="12">
        <f>IF($A397="","",IF($G397="","",IF($M397="Oui","Litige",IF($J397&lt;=0,"Payé",IF($I397&gt;0,"Partiel",IF(Listes!$B$3&gt;$G397,"En retard","À échoir"))))))</f>
        <v/>
      </c>
      <c r="O397" s="11">
        <f>IF($A397="","",IF(OR($G397="", $J397&lt;=0),0,MAX(0,Listes!$B$3-$G397)))</f>
        <v/>
      </c>
      <c r="P397" s="12">
        <f>IF($A397="","",IF($J397&lt;=0,"Payé",IF($M397="Oui","Litige",IF($O397=0,"À échoir",IF($O397&lt;=30,"0-30",IF($O397&lt;=60,"31-60",IF($O397&lt;=90,"61-90","90+")))))))</f>
        <v/>
      </c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9">
        <f>IF($A398="","",SUMIFS(Ventes_Encaissements!$D$6:$D$3005,Ventes_Encaissements!$B$6:$B$3005,$A398))</f>
        <v/>
      </c>
      <c r="J398" s="9">
        <f>IF($A398="","",$H398-$I398)</f>
        <v/>
      </c>
      <c r="K398" s="10">
        <f>IF($A398="","",IF($I398=0,"",_xludf.AGGREGATE(14,6,Ventes_Encaissements!$C$6:$C$3005/(Ventes_Encaissements!$B$6:$B$3005=$A398),1)))</f>
        <v/>
      </c>
      <c r="L398" s="11">
        <f>IF($A398="","",COUNTIFS(Ventes_Detail!$B$6:$B$3005,$A398))</f>
        <v/>
      </c>
      <c r="M398" s="12" t="n"/>
      <c r="N398" s="12">
        <f>IF($A398="","",IF($G398="","",IF($M398="Oui","Litige",IF($J398&lt;=0,"Payé",IF($I398&gt;0,"Partiel",IF(Listes!$B$3&gt;$G398,"En retard","À échoir"))))))</f>
        <v/>
      </c>
      <c r="O398" s="11">
        <f>IF($A398="","",IF(OR($G398="", $J398&lt;=0),0,MAX(0,Listes!$B$3-$G398)))</f>
        <v/>
      </c>
      <c r="P398" s="12">
        <f>IF($A398="","",IF($J398&lt;=0,"Payé",IF($M398="Oui","Litige",IF($O398=0,"À échoir",IF($O398&lt;=30,"0-30",IF($O398&lt;=60,"31-60",IF($O398&lt;=90,"61-90","90+")))))))</f>
        <v/>
      </c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9">
        <f>IF($A399="","",SUMIFS(Ventes_Encaissements!$D$6:$D$3005,Ventes_Encaissements!$B$6:$B$3005,$A399))</f>
        <v/>
      </c>
      <c r="J399" s="9">
        <f>IF($A399="","",$H399-$I399)</f>
        <v/>
      </c>
      <c r="K399" s="10">
        <f>IF($A399="","",IF($I399=0,"",_xludf.AGGREGATE(14,6,Ventes_Encaissements!$C$6:$C$3005/(Ventes_Encaissements!$B$6:$B$3005=$A399),1)))</f>
        <v/>
      </c>
      <c r="L399" s="11">
        <f>IF($A399="","",COUNTIFS(Ventes_Detail!$B$6:$B$3005,$A399))</f>
        <v/>
      </c>
      <c r="M399" s="12" t="n"/>
      <c r="N399" s="12">
        <f>IF($A399="","",IF($G399="","",IF($M399="Oui","Litige",IF($J399&lt;=0,"Payé",IF($I399&gt;0,"Partiel",IF(Listes!$B$3&gt;$G399,"En retard","À échoir"))))))</f>
        <v/>
      </c>
      <c r="O399" s="11">
        <f>IF($A399="","",IF(OR($G399="", $J399&lt;=0),0,MAX(0,Listes!$B$3-$G399)))</f>
        <v/>
      </c>
      <c r="P399" s="12">
        <f>IF($A399="","",IF($J399&lt;=0,"Payé",IF($M399="Oui","Litige",IF($O399=0,"À échoir",IF($O399&lt;=30,"0-30",IF($O399&lt;=60,"31-60",IF($O399&lt;=90,"61-90","90+")))))))</f>
        <v/>
      </c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9">
        <f>IF($A400="","",SUMIFS(Ventes_Encaissements!$D$6:$D$3005,Ventes_Encaissements!$B$6:$B$3005,$A400))</f>
        <v/>
      </c>
      <c r="J400" s="9">
        <f>IF($A400="","",$H400-$I400)</f>
        <v/>
      </c>
      <c r="K400" s="10">
        <f>IF($A400="","",IF($I400=0,"",_xludf.AGGREGATE(14,6,Ventes_Encaissements!$C$6:$C$3005/(Ventes_Encaissements!$B$6:$B$3005=$A400),1)))</f>
        <v/>
      </c>
      <c r="L400" s="11">
        <f>IF($A400="","",COUNTIFS(Ventes_Detail!$B$6:$B$3005,$A400))</f>
        <v/>
      </c>
      <c r="M400" s="12" t="n"/>
      <c r="N400" s="12">
        <f>IF($A400="","",IF($G400="","",IF($M400="Oui","Litige",IF($J400&lt;=0,"Payé",IF($I400&gt;0,"Partiel",IF(Listes!$B$3&gt;$G400,"En retard","À échoir"))))))</f>
        <v/>
      </c>
      <c r="O400" s="11">
        <f>IF($A400="","",IF(OR($G400="", $J400&lt;=0),0,MAX(0,Listes!$B$3-$G400)))</f>
        <v/>
      </c>
      <c r="P400" s="12">
        <f>IF($A400="","",IF($J400&lt;=0,"Payé",IF($M400="Oui","Litige",IF($O400=0,"À échoir",IF($O400&lt;=30,"0-30",IF($O400&lt;=60,"31-60",IF($O400&lt;=90,"61-90","90+")))))))</f>
        <v/>
      </c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9">
        <f>IF($A401="","",SUMIFS(Ventes_Encaissements!$D$6:$D$3005,Ventes_Encaissements!$B$6:$B$3005,$A401))</f>
        <v/>
      </c>
      <c r="J401" s="9">
        <f>IF($A401="","",$H401-$I401)</f>
        <v/>
      </c>
      <c r="K401" s="10">
        <f>IF($A401="","",IF($I401=0,"",_xludf.AGGREGATE(14,6,Ventes_Encaissements!$C$6:$C$3005/(Ventes_Encaissements!$B$6:$B$3005=$A401),1)))</f>
        <v/>
      </c>
      <c r="L401" s="11">
        <f>IF($A401="","",COUNTIFS(Ventes_Detail!$B$6:$B$3005,$A401))</f>
        <v/>
      </c>
      <c r="M401" s="12" t="n"/>
      <c r="N401" s="12">
        <f>IF($A401="","",IF($G401="","",IF($M401="Oui","Litige",IF($J401&lt;=0,"Payé",IF($I401&gt;0,"Partiel",IF(Listes!$B$3&gt;$G401,"En retard","À échoir"))))))</f>
        <v/>
      </c>
      <c r="O401" s="11">
        <f>IF($A401="","",IF(OR($G401="", $J401&lt;=0),0,MAX(0,Listes!$B$3-$G401)))</f>
        <v/>
      </c>
      <c r="P401" s="12">
        <f>IF($A401="","",IF($J401&lt;=0,"Payé",IF($M401="Oui","Litige",IF($O401=0,"À échoir",IF($O401&lt;=30,"0-30",IF($O401&lt;=60,"31-60",IF($O401&lt;=90,"61-90","90+")))))))</f>
        <v/>
      </c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9">
        <f>IF($A402="","",SUMIFS(Ventes_Encaissements!$D$6:$D$3005,Ventes_Encaissements!$B$6:$B$3005,$A402))</f>
        <v/>
      </c>
      <c r="J402" s="9">
        <f>IF($A402="","",$H402-$I402)</f>
        <v/>
      </c>
      <c r="K402" s="10">
        <f>IF($A402="","",IF($I402=0,"",_xludf.AGGREGATE(14,6,Ventes_Encaissements!$C$6:$C$3005/(Ventes_Encaissements!$B$6:$B$3005=$A402),1)))</f>
        <v/>
      </c>
      <c r="L402" s="11">
        <f>IF($A402="","",COUNTIFS(Ventes_Detail!$B$6:$B$3005,$A402))</f>
        <v/>
      </c>
      <c r="M402" s="12" t="n"/>
      <c r="N402" s="12">
        <f>IF($A402="","",IF($G402="","",IF($M402="Oui","Litige",IF($J402&lt;=0,"Payé",IF($I402&gt;0,"Partiel",IF(Listes!$B$3&gt;$G402,"En retard","À échoir"))))))</f>
        <v/>
      </c>
      <c r="O402" s="11">
        <f>IF($A402="","",IF(OR($G402="", $J402&lt;=0),0,MAX(0,Listes!$B$3-$G402)))</f>
        <v/>
      </c>
      <c r="P402" s="12">
        <f>IF($A402="","",IF($J402&lt;=0,"Payé",IF($M402="Oui","Litige",IF($O402=0,"À échoir",IF($O402&lt;=30,"0-30",IF($O402&lt;=60,"31-60",IF($O402&lt;=90,"61-90","90+")))))))</f>
        <v/>
      </c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9">
        <f>IF($A403="","",SUMIFS(Ventes_Encaissements!$D$6:$D$3005,Ventes_Encaissements!$B$6:$B$3005,$A403))</f>
        <v/>
      </c>
      <c r="J403" s="9">
        <f>IF($A403="","",$H403-$I403)</f>
        <v/>
      </c>
      <c r="K403" s="10">
        <f>IF($A403="","",IF($I403=0,"",_xludf.AGGREGATE(14,6,Ventes_Encaissements!$C$6:$C$3005/(Ventes_Encaissements!$B$6:$B$3005=$A403),1)))</f>
        <v/>
      </c>
      <c r="L403" s="11">
        <f>IF($A403="","",COUNTIFS(Ventes_Detail!$B$6:$B$3005,$A403))</f>
        <v/>
      </c>
      <c r="M403" s="12" t="n"/>
      <c r="N403" s="12">
        <f>IF($A403="","",IF($G403="","",IF($M403="Oui","Litige",IF($J403&lt;=0,"Payé",IF($I403&gt;0,"Partiel",IF(Listes!$B$3&gt;$G403,"En retard","À échoir"))))))</f>
        <v/>
      </c>
      <c r="O403" s="11">
        <f>IF($A403="","",IF(OR($G403="", $J403&lt;=0),0,MAX(0,Listes!$B$3-$G403)))</f>
        <v/>
      </c>
      <c r="P403" s="12">
        <f>IF($A403="","",IF($J403&lt;=0,"Payé",IF($M403="Oui","Litige",IF($O403=0,"À échoir",IF($O403&lt;=30,"0-30",IF($O403&lt;=60,"31-60",IF($O403&lt;=90,"61-90","90+")))))))</f>
        <v/>
      </c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9">
        <f>IF($A404="","",SUMIFS(Ventes_Encaissements!$D$6:$D$3005,Ventes_Encaissements!$B$6:$B$3005,$A404))</f>
        <v/>
      </c>
      <c r="J404" s="9">
        <f>IF($A404="","",$H404-$I404)</f>
        <v/>
      </c>
      <c r="K404" s="10">
        <f>IF($A404="","",IF($I404=0,"",_xludf.AGGREGATE(14,6,Ventes_Encaissements!$C$6:$C$3005/(Ventes_Encaissements!$B$6:$B$3005=$A404),1)))</f>
        <v/>
      </c>
      <c r="L404" s="11">
        <f>IF($A404="","",COUNTIFS(Ventes_Detail!$B$6:$B$3005,$A404))</f>
        <v/>
      </c>
      <c r="M404" s="12" t="n"/>
      <c r="N404" s="12">
        <f>IF($A404="","",IF($G404="","",IF($M404="Oui","Litige",IF($J404&lt;=0,"Payé",IF($I404&gt;0,"Partiel",IF(Listes!$B$3&gt;$G404,"En retard","À échoir"))))))</f>
        <v/>
      </c>
      <c r="O404" s="11">
        <f>IF($A404="","",IF(OR($G404="", $J404&lt;=0),0,MAX(0,Listes!$B$3-$G404)))</f>
        <v/>
      </c>
      <c r="P404" s="12">
        <f>IF($A404="","",IF($J404&lt;=0,"Payé",IF($M404="Oui","Litige",IF($O404=0,"À échoir",IF($O404&lt;=30,"0-30",IF($O404&lt;=60,"31-60",IF($O404&lt;=90,"61-90","90+")))))))</f>
        <v/>
      </c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9">
        <f>IF($A405="","",SUMIFS(Ventes_Encaissements!$D$6:$D$3005,Ventes_Encaissements!$B$6:$B$3005,$A405))</f>
        <v/>
      </c>
      <c r="J405" s="9">
        <f>IF($A405="","",$H405-$I405)</f>
        <v/>
      </c>
      <c r="K405" s="10">
        <f>IF($A405="","",IF($I405=0,"",_xludf.AGGREGATE(14,6,Ventes_Encaissements!$C$6:$C$3005/(Ventes_Encaissements!$B$6:$B$3005=$A405),1)))</f>
        <v/>
      </c>
      <c r="L405" s="11">
        <f>IF($A405="","",COUNTIFS(Ventes_Detail!$B$6:$B$3005,$A405))</f>
        <v/>
      </c>
      <c r="M405" s="12" t="n"/>
      <c r="N405" s="12">
        <f>IF($A405="","",IF($G405="","",IF($M405="Oui","Litige",IF($J405&lt;=0,"Payé",IF($I405&gt;0,"Partiel",IF(Listes!$B$3&gt;$G405,"En retard","À échoir"))))))</f>
        <v/>
      </c>
      <c r="O405" s="11">
        <f>IF($A405="","",IF(OR($G405="", $J405&lt;=0),0,MAX(0,Listes!$B$3-$G405)))</f>
        <v/>
      </c>
      <c r="P405" s="12">
        <f>IF($A405="","",IF($J405&lt;=0,"Payé",IF($M405="Oui","Litige",IF($O405=0,"À échoir",IF($O405&lt;=30,"0-30",IF($O405&lt;=60,"31-60",IF($O405&lt;=90,"61-90","90+")))))))</f>
        <v/>
      </c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9">
        <f>IF($A406="","",SUMIFS(Ventes_Encaissements!$D$6:$D$3005,Ventes_Encaissements!$B$6:$B$3005,$A406))</f>
        <v/>
      </c>
      <c r="J406" s="9">
        <f>IF($A406="","",$H406-$I406)</f>
        <v/>
      </c>
      <c r="K406" s="10">
        <f>IF($A406="","",IF($I406=0,"",_xludf.AGGREGATE(14,6,Ventes_Encaissements!$C$6:$C$3005/(Ventes_Encaissements!$B$6:$B$3005=$A406),1)))</f>
        <v/>
      </c>
      <c r="L406" s="11">
        <f>IF($A406="","",COUNTIFS(Ventes_Detail!$B$6:$B$3005,$A406))</f>
        <v/>
      </c>
      <c r="M406" s="12" t="n"/>
      <c r="N406" s="12">
        <f>IF($A406="","",IF($G406="","",IF($M406="Oui","Litige",IF($J406&lt;=0,"Payé",IF($I406&gt;0,"Partiel",IF(Listes!$B$3&gt;$G406,"En retard","À échoir"))))))</f>
        <v/>
      </c>
      <c r="O406" s="11">
        <f>IF($A406="","",IF(OR($G406="", $J406&lt;=0),0,MAX(0,Listes!$B$3-$G406)))</f>
        <v/>
      </c>
      <c r="P406" s="12">
        <f>IF($A406="","",IF($J406&lt;=0,"Payé",IF($M406="Oui","Litige",IF($O406=0,"À échoir",IF($O406&lt;=30,"0-30",IF($O406&lt;=60,"31-60",IF($O406&lt;=90,"61-90","90+")))))))</f>
        <v/>
      </c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9">
        <f>IF($A407="","",SUMIFS(Ventes_Encaissements!$D$6:$D$3005,Ventes_Encaissements!$B$6:$B$3005,$A407))</f>
        <v/>
      </c>
      <c r="J407" s="9">
        <f>IF($A407="","",$H407-$I407)</f>
        <v/>
      </c>
      <c r="K407" s="10">
        <f>IF($A407="","",IF($I407=0,"",_xludf.AGGREGATE(14,6,Ventes_Encaissements!$C$6:$C$3005/(Ventes_Encaissements!$B$6:$B$3005=$A407),1)))</f>
        <v/>
      </c>
      <c r="L407" s="11">
        <f>IF($A407="","",COUNTIFS(Ventes_Detail!$B$6:$B$3005,$A407))</f>
        <v/>
      </c>
      <c r="M407" s="12" t="n"/>
      <c r="N407" s="12">
        <f>IF($A407="","",IF($G407="","",IF($M407="Oui","Litige",IF($J407&lt;=0,"Payé",IF($I407&gt;0,"Partiel",IF(Listes!$B$3&gt;$G407,"En retard","À échoir"))))))</f>
        <v/>
      </c>
      <c r="O407" s="11">
        <f>IF($A407="","",IF(OR($G407="", $J407&lt;=0),0,MAX(0,Listes!$B$3-$G407)))</f>
        <v/>
      </c>
      <c r="P407" s="12">
        <f>IF($A407="","",IF($J407&lt;=0,"Payé",IF($M407="Oui","Litige",IF($O407=0,"À échoir",IF($O407&lt;=30,"0-30",IF($O407&lt;=60,"31-60",IF($O407&lt;=90,"61-90","90+")))))))</f>
        <v/>
      </c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9">
        <f>IF($A408="","",SUMIFS(Ventes_Encaissements!$D$6:$D$3005,Ventes_Encaissements!$B$6:$B$3005,$A408))</f>
        <v/>
      </c>
      <c r="J408" s="9">
        <f>IF($A408="","",$H408-$I408)</f>
        <v/>
      </c>
      <c r="K408" s="10">
        <f>IF($A408="","",IF($I408=0,"",_xludf.AGGREGATE(14,6,Ventes_Encaissements!$C$6:$C$3005/(Ventes_Encaissements!$B$6:$B$3005=$A408),1)))</f>
        <v/>
      </c>
      <c r="L408" s="11">
        <f>IF($A408="","",COUNTIFS(Ventes_Detail!$B$6:$B$3005,$A408))</f>
        <v/>
      </c>
      <c r="M408" s="12" t="n"/>
      <c r="N408" s="12">
        <f>IF($A408="","",IF($G408="","",IF($M408="Oui","Litige",IF($J408&lt;=0,"Payé",IF($I408&gt;0,"Partiel",IF(Listes!$B$3&gt;$G408,"En retard","À échoir"))))))</f>
        <v/>
      </c>
      <c r="O408" s="11">
        <f>IF($A408="","",IF(OR($G408="", $J408&lt;=0),0,MAX(0,Listes!$B$3-$G408)))</f>
        <v/>
      </c>
      <c r="P408" s="12">
        <f>IF($A408="","",IF($J408&lt;=0,"Payé",IF($M408="Oui","Litige",IF($O408=0,"À échoir",IF($O408&lt;=30,"0-30",IF($O408&lt;=60,"31-60",IF($O408&lt;=90,"61-90","90+")))))))</f>
        <v/>
      </c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9">
        <f>IF($A409="","",SUMIFS(Ventes_Encaissements!$D$6:$D$3005,Ventes_Encaissements!$B$6:$B$3005,$A409))</f>
        <v/>
      </c>
      <c r="J409" s="9">
        <f>IF($A409="","",$H409-$I409)</f>
        <v/>
      </c>
      <c r="K409" s="10">
        <f>IF($A409="","",IF($I409=0,"",_xludf.AGGREGATE(14,6,Ventes_Encaissements!$C$6:$C$3005/(Ventes_Encaissements!$B$6:$B$3005=$A409),1)))</f>
        <v/>
      </c>
      <c r="L409" s="11">
        <f>IF($A409="","",COUNTIFS(Ventes_Detail!$B$6:$B$3005,$A409))</f>
        <v/>
      </c>
      <c r="M409" s="12" t="n"/>
      <c r="N409" s="12">
        <f>IF($A409="","",IF($G409="","",IF($M409="Oui","Litige",IF($J409&lt;=0,"Payé",IF($I409&gt;0,"Partiel",IF(Listes!$B$3&gt;$G409,"En retard","À échoir"))))))</f>
        <v/>
      </c>
      <c r="O409" s="11">
        <f>IF($A409="","",IF(OR($G409="", $J409&lt;=0),0,MAX(0,Listes!$B$3-$G409)))</f>
        <v/>
      </c>
      <c r="P409" s="12">
        <f>IF($A409="","",IF($J409&lt;=0,"Payé",IF($M409="Oui","Litige",IF($O409=0,"À échoir",IF($O409&lt;=30,"0-30",IF($O409&lt;=60,"31-60",IF($O409&lt;=90,"61-90","90+")))))))</f>
        <v/>
      </c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9">
        <f>IF($A410="","",SUMIFS(Ventes_Encaissements!$D$6:$D$3005,Ventes_Encaissements!$B$6:$B$3005,$A410))</f>
        <v/>
      </c>
      <c r="J410" s="9">
        <f>IF($A410="","",$H410-$I410)</f>
        <v/>
      </c>
      <c r="K410" s="10">
        <f>IF($A410="","",IF($I410=0,"",_xludf.AGGREGATE(14,6,Ventes_Encaissements!$C$6:$C$3005/(Ventes_Encaissements!$B$6:$B$3005=$A410),1)))</f>
        <v/>
      </c>
      <c r="L410" s="11">
        <f>IF($A410="","",COUNTIFS(Ventes_Detail!$B$6:$B$3005,$A410))</f>
        <v/>
      </c>
      <c r="M410" s="12" t="n"/>
      <c r="N410" s="12">
        <f>IF($A410="","",IF($G410="","",IF($M410="Oui","Litige",IF($J410&lt;=0,"Payé",IF($I410&gt;0,"Partiel",IF(Listes!$B$3&gt;$G410,"En retard","À échoir"))))))</f>
        <v/>
      </c>
      <c r="O410" s="11">
        <f>IF($A410="","",IF(OR($G410="", $J410&lt;=0),0,MAX(0,Listes!$B$3-$G410)))</f>
        <v/>
      </c>
      <c r="P410" s="12">
        <f>IF($A410="","",IF($J410&lt;=0,"Payé",IF($M410="Oui","Litige",IF($O410=0,"À échoir",IF($O410&lt;=30,"0-30",IF($O410&lt;=60,"31-60",IF($O410&lt;=90,"61-90","90+")))))))</f>
        <v/>
      </c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9">
        <f>IF($A411="","",SUMIFS(Ventes_Encaissements!$D$6:$D$3005,Ventes_Encaissements!$B$6:$B$3005,$A411))</f>
        <v/>
      </c>
      <c r="J411" s="9">
        <f>IF($A411="","",$H411-$I411)</f>
        <v/>
      </c>
      <c r="K411" s="10">
        <f>IF($A411="","",IF($I411=0,"",_xludf.AGGREGATE(14,6,Ventes_Encaissements!$C$6:$C$3005/(Ventes_Encaissements!$B$6:$B$3005=$A411),1)))</f>
        <v/>
      </c>
      <c r="L411" s="11">
        <f>IF($A411="","",COUNTIFS(Ventes_Detail!$B$6:$B$3005,$A411))</f>
        <v/>
      </c>
      <c r="M411" s="12" t="n"/>
      <c r="N411" s="12">
        <f>IF($A411="","",IF($G411="","",IF($M411="Oui","Litige",IF($J411&lt;=0,"Payé",IF($I411&gt;0,"Partiel",IF(Listes!$B$3&gt;$G411,"En retard","À échoir"))))))</f>
        <v/>
      </c>
      <c r="O411" s="11">
        <f>IF($A411="","",IF(OR($G411="", $J411&lt;=0),0,MAX(0,Listes!$B$3-$G411)))</f>
        <v/>
      </c>
      <c r="P411" s="12">
        <f>IF($A411="","",IF($J411&lt;=0,"Payé",IF($M411="Oui","Litige",IF($O411=0,"À échoir",IF($O411&lt;=30,"0-30",IF($O411&lt;=60,"31-60",IF($O411&lt;=90,"61-90","90+")))))))</f>
        <v/>
      </c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9">
        <f>IF($A412="","",SUMIFS(Ventes_Encaissements!$D$6:$D$3005,Ventes_Encaissements!$B$6:$B$3005,$A412))</f>
        <v/>
      </c>
      <c r="J412" s="9">
        <f>IF($A412="","",$H412-$I412)</f>
        <v/>
      </c>
      <c r="K412" s="10">
        <f>IF($A412="","",IF($I412=0,"",_xludf.AGGREGATE(14,6,Ventes_Encaissements!$C$6:$C$3005/(Ventes_Encaissements!$B$6:$B$3005=$A412),1)))</f>
        <v/>
      </c>
      <c r="L412" s="11">
        <f>IF($A412="","",COUNTIFS(Ventes_Detail!$B$6:$B$3005,$A412))</f>
        <v/>
      </c>
      <c r="M412" s="12" t="n"/>
      <c r="N412" s="12">
        <f>IF($A412="","",IF($G412="","",IF($M412="Oui","Litige",IF($J412&lt;=0,"Payé",IF($I412&gt;0,"Partiel",IF(Listes!$B$3&gt;$G412,"En retard","À échoir"))))))</f>
        <v/>
      </c>
      <c r="O412" s="11">
        <f>IF($A412="","",IF(OR($G412="", $J412&lt;=0),0,MAX(0,Listes!$B$3-$G412)))</f>
        <v/>
      </c>
      <c r="P412" s="12">
        <f>IF($A412="","",IF($J412&lt;=0,"Payé",IF($M412="Oui","Litige",IF($O412=0,"À échoir",IF($O412&lt;=30,"0-30",IF($O412&lt;=60,"31-60",IF($O412&lt;=90,"61-90","90+")))))))</f>
        <v/>
      </c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9">
        <f>IF($A413="","",SUMIFS(Ventes_Encaissements!$D$6:$D$3005,Ventes_Encaissements!$B$6:$B$3005,$A413))</f>
        <v/>
      </c>
      <c r="J413" s="9">
        <f>IF($A413="","",$H413-$I413)</f>
        <v/>
      </c>
      <c r="K413" s="10">
        <f>IF($A413="","",IF($I413=0,"",_xludf.AGGREGATE(14,6,Ventes_Encaissements!$C$6:$C$3005/(Ventes_Encaissements!$B$6:$B$3005=$A413),1)))</f>
        <v/>
      </c>
      <c r="L413" s="11">
        <f>IF($A413="","",COUNTIFS(Ventes_Detail!$B$6:$B$3005,$A413))</f>
        <v/>
      </c>
      <c r="M413" s="12" t="n"/>
      <c r="N413" s="12">
        <f>IF($A413="","",IF($G413="","",IF($M413="Oui","Litige",IF($J413&lt;=0,"Payé",IF($I413&gt;0,"Partiel",IF(Listes!$B$3&gt;$G413,"En retard","À échoir"))))))</f>
        <v/>
      </c>
      <c r="O413" s="11">
        <f>IF($A413="","",IF(OR($G413="", $J413&lt;=0),0,MAX(0,Listes!$B$3-$G413)))</f>
        <v/>
      </c>
      <c r="P413" s="12">
        <f>IF($A413="","",IF($J413&lt;=0,"Payé",IF($M413="Oui","Litige",IF($O413=0,"À échoir",IF($O413&lt;=30,"0-30",IF($O413&lt;=60,"31-60",IF($O413&lt;=90,"61-90","90+")))))))</f>
        <v/>
      </c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9">
        <f>IF($A414="","",SUMIFS(Ventes_Encaissements!$D$6:$D$3005,Ventes_Encaissements!$B$6:$B$3005,$A414))</f>
        <v/>
      </c>
      <c r="J414" s="9">
        <f>IF($A414="","",$H414-$I414)</f>
        <v/>
      </c>
      <c r="K414" s="10">
        <f>IF($A414="","",IF($I414=0,"",_xludf.AGGREGATE(14,6,Ventes_Encaissements!$C$6:$C$3005/(Ventes_Encaissements!$B$6:$B$3005=$A414),1)))</f>
        <v/>
      </c>
      <c r="L414" s="11">
        <f>IF($A414="","",COUNTIFS(Ventes_Detail!$B$6:$B$3005,$A414))</f>
        <v/>
      </c>
      <c r="M414" s="12" t="n"/>
      <c r="N414" s="12">
        <f>IF($A414="","",IF($G414="","",IF($M414="Oui","Litige",IF($J414&lt;=0,"Payé",IF($I414&gt;0,"Partiel",IF(Listes!$B$3&gt;$G414,"En retard","À échoir"))))))</f>
        <v/>
      </c>
      <c r="O414" s="11">
        <f>IF($A414="","",IF(OR($G414="", $J414&lt;=0),0,MAX(0,Listes!$B$3-$G414)))</f>
        <v/>
      </c>
      <c r="P414" s="12">
        <f>IF($A414="","",IF($J414&lt;=0,"Payé",IF($M414="Oui","Litige",IF($O414=0,"À échoir",IF($O414&lt;=30,"0-30",IF($O414&lt;=60,"31-60",IF($O414&lt;=90,"61-90","90+")))))))</f>
        <v/>
      </c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9">
        <f>IF($A415="","",SUMIFS(Ventes_Encaissements!$D$6:$D$3005,Ventes_Encaissements!$B$6:$B$3005,$A415))</f>
        <v/>
      </c>
      <c r="J415" s="9">
        <f>IF($A415="","",$H415-$I415)</f>
        <v/>
      </c>
      <c r="K415" s="10">
        <f>IF($A415="","",IF($I415=0,"",_xludf.AGGREGATE(14,6,Ventes_Encaissements!$C$6:$C$3005/(Ventes_Encaissements!$B$6:$B$3005=$A415),1)))</f>
        <v/>
      </c>
      <c r="L415" s="11">
        <f>IF($A415="","",COUNTIFS(Ventes_Detail!$B$6:$B$3005,$A415))</f>
        <v/>
      </c>
      <c r="M415" s="12" t="n"/>
      <c r="N415" s="12">
        <f>IF($A415="","",IF($G415="","",IF($M415="Oui","Litige",IF($J415&lt;=0,"Payé",IF($I415&gt;0,"Partiel",IF(Listes!$B$3&gt;$G415,"En retard","À échoir"))))))</f>
        <v/>
      </c>
      <c r="O415" s="11">
        <f>IF($A415="","",IF(OR($G415="", $J415&lt;=0),0,MAX(0,Listes!$B$3-$G415)))</f>
        <v/>
      </c>
      <c r="P415" s="12">
        <f>IF($A415="","",IF($J415&lt;=0,"Payé",IF($M415="Oui","Litige",IF($O415=0,"À échoir",IF($O415&lt;=30,"0-30",IF($O415&lt;=60,"31-60",IF($O415&lt;=90,"61-90","90+")))))))</f>
        <v/>
      </c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9">
        <f>IF($A416="","",SUMIFS(Ventes_Encaissements!$D$6:$D$3005,Ventes_Encaissements!$B$6:$B$3005,$A416))</f>
        <v/>
      </c>
      <c r="J416" s="9">
        <f>IF($A416="","",$H416-$I416)</f>
        <v/>
      </c>
      <c r="K416" s="10">
        <f>IF($A416="","",IF($I416=0,"",_xludf.AGGREGATE(14,6,Ventes_Encaissements!$C$6:$C$3005/(Ventes_Encaissements!$B$6:$B$3005=$A416),1)))</f>
        <v/>
      </c>
      <c r="L416" s="11">
        <f>IF($A416="","",COUNTIFS(Ventes_Detail!$B$6:$B$3005,$A416))</f>
        <v/>
      </c>
      <c r="M416" s="12" t="n"/>
      <c r="N416" s="12">
        <f>IF($A416="","",IF($G416="","",IF($M416="Oui","Litige",IF($J416&lt;=0,"Payé",IF($I416&gt;0,"Partiel",IF(Listes!$B$3&gt;$G416,"En retard","À échoir"))))))</f>
        <v/>
      </c>
      <c r="O416" s="11">
        <f>IF($A416="","",IF(OR($G416="", $J416&lt;=0),0,MAX(0,Listes!$B$3-$G416)))</f>
        <v/>
      </c>
      <c r="P416" s="12">
        <f>IF($A416="","",IF($J416&lt;=0,"Payé",IF($M416="Oui","Litige",IF($O416=0,"À échoir",IF($O416&lt;=30,"0-30",IF($O416&lt;=60,"31-60",IF($O416&lt;=90,"61-90","90+")))))))</f>
        <v/>
      </c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9">
        <f>IF($A417="","",SUMIFS(Ventes_Encaissements!$D$6:$D$3005,Ventes_Encaissements!$B$6:$B$3005,$A417))</f>
        <v/>
      </c>
      <c r="J417" s="9">
        <f>IF($A417="","",$H417-$I417)</f>
        <v/>
      </c>
      <c r="K417" s="10">
        <f>IF($A417="","",IF($I417=0,"",_xludf.AGGREGATE(14,6,Ventes_Encaissements!$C$6:$C$3005/(Ventes_Encaissements!$B$6:$B$3005=$A417),1)))</f>
        <v/>
      </c>
      <c r="L417" s="11">
        <f>IF($A417="","",COUNTIFS(Ventes_Detail!$B$6:$B$3005,$A417))</f>
        <v/>
      </c>
      <c r="M417" s="12" t="n"/>
      <c r="N417" s="12">
        <f>IF($A417="","",IF($G417="","",IF($M417="Oui","Litige",IF($J417&lt;=0,"Payé",IF($I417&gt;0,"Partiel",IF(Listes!$B$3&gt;$G417,"En retard","À échoir"))))))</f>
        <v/>
      </c>
      <c r="O417" s="11">
        <f>IF($A417="","",IF(OR($G417="", $J417&lt;=0),0,MAX(0,Listes!$B$3-$G417)))</f>
        <v/>
      </c>
      <c r="P417" s="12">
        <f>IF($A417="","",IF($J417&lt;=0,"Payé",IF($M417="Oui","Litige",IF($O417=0,"À échoir",IF($O417&lt;=30,"0-30",IF($O417&lt;=60,"31-60",IF($O417&lt;=90,"61-90","90+")))))))</f>
        <v/>
      </c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9">
        <f>IF($A418="","",SUMIFS(Ventes_Encaissements!$D$6:$D$3005,Ventes_Encaissements!$B$6:$B$3005,$A418))</f>
        <v/>
      </c>
      <c r="J418" s="9">
        <f>IF($A418="","",$H418-$I418)</f>
        <v/>
      </c>
      <c r="K418" s="10">
        <f>IF($A418="","",IF($I418=0,"",_xludf.AGGREGATE(14,6,Ventes_Encaissements!$C$6:$C$3005/(Ventes_Encaissements!$B$6:$B$3005=$A418),1)))</f>
        <v/>
      </c>
      <c r="L418" s="11">
        <f>IF($A418="","",COUNTIFS(Ventes_Detail!$B$6:$B$3005,$A418))</f>
        <v/>
      </c>
      <c r="M418" s="12" t="n"/>
      <c r="N418" s="12">
        <f>IF($A418="","",IF($G418="","",IF($M418="Oui","Litige",IF($J418&lt;=0,"Payé",IF($I418&gt;0,"Partiel",IF(Listes!$B$3&gt;$G418,"En retard","À échoir"))))))</f>
        <v/>
      </c>
      <c r="O418" s="11">
        <f>IF($A418="","",IF(OR($G418="", $J418&lt;=0),0,MAX(0,Listes!$B$3-$G418)))</f>
        <v/>
      </c>
      <c r="P418" s="12">
        <f>IF($A418="","",IF($J418&lt;=0,"Payé",IF($M418="Oui","Litige",IF($O418=0,"À échoir",IF($O418&lt;=30,"0-30",IF($O418&lt;=60,"31-60",IF($O418&lt;=90,"61-90","90+")))))))</f>
        <v/>
      </c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9">
        <f>IF($A419="","",SUMIFS(Ventes_Encaissements!$D$6:$D$3005,Ventes_Encaissements!$B$6:$B$3005,$A419))</f>
        <v/>
      </c>
      <c r="J419" s="9">
        <f>IF($A419="","",$H419-$I419)</f>
        <v/>
      </c>
      <c r="K419" s="10">
        <f>IF($A419="","",IF($I419=0,"",_xludf.AGGREGATE(14,6,Ventes_Encaissements!$C$6:$C$3005/(Ventes_Encaissements!$B$6:$B$3005=$A419),1)))</f>
        <v/>
      </c>
      <c r="L419" s="11">
        <f>IF($A419="","",COUNTIFS(Ventes_Detail!$B$6:$B$3005,$A419))</f>
        <v/>
      </c>
      <c r="M419" s="12" t="n"/>
      <c r="N419" s="12">
        <f>IF($A419="","",IF($G419="","",IF($M419="Oui","Litige",IF($J419&lt;=0,"Payé",IF($I419&gt;0,"Partiel",IF(Listes!$B$3&gt;$G419,"En retard","À échoir"))))))</f>
        <v/>
      </c>
      <c r="O419" s="11">
        <f>IF($A419="","",IF(OR($G419="", $J419&lt;=0),0,MAX(0,Listes!$B$3-$G419)))</f>
        <v/>
      </c>
      <c r="P419" s="12">
        <f>IF($A419="","",IF($J419&lt;=0,"Payé",IF($M419="Oui","Litige",IF($O419=0,"À échoir",IF($O419&lt;=30,"0-30",IF($O419&lt;=60,"31-60",IF($O419&lt;=90,"61-90","90+")))))))</f>
        <v/>
      </c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9">
        <f>IF($A420="","",SUMIFS(Ventes_Encaissements!$D$6:$D$3005,Ventes_Encaissements!$B$6:$B$3005,$A420))</f>
        <v/>
      </c>
      <c r="J420" s="9">
        <f>IF($A420="","",$H420-$I420)</f>
        <v/>
      </c>
      <c r="K420" s="10">
        <f>IF($A420="","",IF($I420=0,"",_xludf.AGGREGATE(14,6,Ventes_Encaissements!$C$6:$C$3005/(Ventes_Encaissements!$B$6:$B$3005=$A420),1)))</f>
        <v/>
      </c>
      <c r="L420" s="11">
        <f>IF($A420="","",COUNTIFS(Ventes_Detail!$B$6:$B$3005,$A420))</f>
        <v/>
      </c>
      <c r="M420" s="12" t="n"/>
      <c r="N420" s="12">
        <f>IF($A420="","",IF($G420="","",IF($M420="Oui","Litige",IF($J420&lt;=0,"Payé",IF($I420&gt;0,"Partiel",IF(Listes!$B$3&gt;$G420,"En retard","À échoir"))))))</f>
        <v/>
      </c>
      <c r="O420" s="11">
        <f>IF($A420="","",IF(OR($G420="", $J420&lt;=0),0,MAX(0,Listes!$B$3-$G420)))</f>
        <v/>
      </c>
      <c r="P420" s="12">
        <f>IF($A420="","",IF($J420&lt;=0,"Payé",IF($M420="Oui","Litige",IF($O420=0,"À échoir",IF($O420&lt;=30,"0-30",IF($O420&lt;=60,"31-60",IF($O420&lt;=90,"61-90","90+")))))))</f>
        <v/>
      </c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9">
        <f>IF($A421="","",SUMIFS(Ventes_Encaissements!$D$6:$D$3005,Ventes_Encaissements!$B$6:$B$3005,$A421))</f>
        <v/>
      </c>
      <c r="J421" s="9">
        <f>IF($A421="","",$H421-$I421)</f>
        <v/>
      </c>
      <c r="K421" s="10">
        <f>IF($A421="","",IF($I421=0,"",_xludf.AGGREGATE(14,6,Ventes_Encaissements!$C$6:$C$3005/(Ventes_Encaissements!$B$6:$B$3005=$A421),1)))</f>
        <v/>
      </c>
      <c r="L421" s="11">
        <f>IF($A421="","",COUNTIFS(Ventes_Detail!$B$6:$B$3005,$A421))</f>
        <v/>
      </c>
      <c r="M421" s="12" t="n"/>
      <c r="N421" s="12">
        <f>IF($A421="","",IF($G421="","",IF($M421="Oui","Litige",IF($J421&lt;=0,"Payé",IF($I421&gt;0,"Partiel",IF(Listes!$B$3&gt;$G421,"En retard","À échoir"))))))</f>
        <v/>
      </c>
      <c r="O421" s="11">
        <f>IF($A421="","",IF(OR($G421="", $J421&lt;=0),0,MAX(0,Listes!$B$3-$G421)))</f>
        <v/>
      </c>
      <c r="P421" s="12">
        <f>IF($A421="","",IF($J421&lt;=0,"Payé",IF($M421="Oui","Litige",IF($O421=0,"À échoir",IF($O421&lt;=30,"0-30",IF($O421&lt;=60,"31-60",IF($O421&lt;=90,"61-90","90+")))))))</f>
        <v/>
      </c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9">
        <f>IF($A422="","",SUMIFS(Ventes_Encaissements!$D$6:$D$3005,Ventes_Encaissements!$B$6:$B$3005,$A422))</f>
        <v/>
      </c>
      <c r="J422" s="9">
        <f>IF($A422="","",$H422-$I422)</f>
        <v/>
      </c>
      <c r="K422" s="10">
        <f>IF($A422="","",IF($I422=0,"",_xludf.AGGREGATE(14,6,Ventes_Encaissements!$C$6:$C$3005/(Ventes_Encaissements!$B$6:$B$3005=$A422),1)))</f>
        <v/>
      </c>
      <c r="L422" s="11">
        <f>IF($A422="","",COUNTIFS(Ventes_Detail!$B$6:$B$3005,$A422))</f>
        <v/>
      </c>
      <c r="M422" s="12" t="n"/>
      <c r="N422" s="12">
        <f>IF($A422="","",IF($G422="","",IF($M422="Oui","Litige",IF($J422&lt;=0,"Payé",IF($I422&gt;0,"Partiel",IF(Listes!$B$3&gt;$G422,"En retard","À échoir"))))))</f>
        <v/>
      </c>
      <c r="O422" s="11">
        <f>IF($A422="","",IF(OR($G422="", $J422&lt;=0),0,MAX(0,Listes!$B$3-$G422)))</f>
        <v/>
      </c>
      <c r="P422" s="12">
        <f>IF($A422="","",IF($J422&lt;=0,"Payé",IF($M422="Oui","Litige",IF($O422=0,"À échoir",IF($O422&lt;=30,"0-30",IF($O422&lt;=60,"31-60",IF($O422&lt;=90,"61-90","90+")))))))</f>
        <v/>
      </c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9">
        <f>IF($A423="","",SUMIFS(Ventes_Encaissements!$D$6:$D$3005,Ventes_Encaissements!$B$6:$B$3005,$A423))</f>
        <v/>
      </c>
      <c r="J423" s="9">
        <f>IF($A423="","",$H423-$I423)</f>
        <v/>
      </c>
      <c r="K423" s="10">
        <f>IF($A423="","",IF($I423=0,"",_xludf.AGGREGATE(14,6,Ventes_Encaissements!$C$6:$C$3005/(Ventes_Encaissements!$B$6:$B$3005=$A423),1)))</f>
        <v/>
      </c>
      <c r="L423" s="11">
        <f>IF($A423="","",COUNTIFS(Ventes_Detail!$B$6:$B$3005,$A423))</f>
        <v/>
      </c>
      <c r="M423" s="12" t="n"/>
      <c r="N423" s="12">
        <f>IF($A423="","",IF($G423="","",IF($M423="Oui","Litige",IF($J423&lt;=0,"Payé",IF($I423&gt;0,"Partiel",IF(Listes!$B$3&gt;$G423,"En retard","À échoir"))))))</f>
        <v/>
      </c>
      <c r="O423" s="11">
        <f>IF($A423="","",IF(OR($G423="", $J423&lt;=0),0,MAX(0,Listes!$B$3-$G423)))</f>
        <v/>
      </c>
      <c r="P423" s="12">
        <f>IF($A423="","",IF($J423&lt;=0,"Payé",IF($M423="Oui","Litige",IF($O423=0,"À échoir",IF($O423&lt;=30,"0-30",IF($O423&lt;=60,"31-60",IF($O423&lt;=90,"61-90","90+")))))))</f>
        <v/>
      </c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9">
        <f>IF($A424="","",SUMIFS(Ventes_Encaissements!$D$6:$D$3005,Ventes_Encaissements!$B$6:$B$3005,$A424))</f>
        <v/>
      </c>
      <c r="J424" s="9">
        <f>IF($A424="","",$H424-$I424)</f>
        <v/>
      </c>
      <c r="K424" s="10">
        <f>IF($A424="","",IF($I424=0,"",_xludf.AGGREGATE(14,6,Ventes_Encaissements!$C$6:$C$3005/(Ventes_Encaissements!$B$6:$B$3005=$A424),1)))</f>
        <v/>
      </c>
      <c r="L424" s="11">
        <f>IF($A424="","",COUNTIFS(Ventes_Detail!$B$6:$B$3005,$A424))</f>
        <v/>
      </c>
      <c r="M424" s="12" t="n"/>
      <c r="N424" s="12">
        <f>IF($A424="","",IF($G424="","",IF($M424="Oui","Litige",IF($J424&lt;=0,"Payé",IF($I424&gt;0,"Partiel",IF(Listes!$B$3&gt;$G424,"En retard","À échoir"))))))</f>
        <v/>
      </c>
      <c r="O424" s="11">
        <f>IF($A424="","",IF(OR($G424="", $J424&lt;=0),0,MAX(0,Listes!$B$3-$G424)))</f>
        <v/>
      </c>
      <c r="P424" s="12">
        <f>IF($A424="","",IF($J424&lt;=0,"Payé",IF($M424="Oui","Litige",IF($O424=0,"À échoir",IF($O424&lt;=30,"0-30",IF($O424&lt;=60,"31-60",IF($O424&lt;=90,"61-90","90+")))))))</f>
        <v/>
      </c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9">
        <f>IF($A425="","",SUMIFS(Ventes_Encaissements!$D$6:$D$3005,Ventes_Encaissements!$B$6:$B$3005,$A425))</f>
        <v/>
      </c>
      <c r="J425" s="9">
        <f>IF($A425="","",$H425-$I425)</f>
        <v/>
      </c>
      <c r="K425" s="10">
        <f>IF($A425="","",IF($I425=0,"",_xludf.AGGREGATE(14,6,Ventes_Encaissements!$C$6:$C$3005/(Ventes_Encaissements!$B$6:$B$3005=$A425),1)))</f>
        <v/>
      </c>
      <c r="L425" s="11">
        <f>IF($A425="","",COUNTIFS(Ventes_Detail!$B$6:$B$3005,$A425))</f>
        <v/>
      </c>
      <c r="M425" s="12" t="n"/>
      <c r="N425" s="12">
        <f>IF($A425="","",IF($G425="","",IF($M425="Oui","Litige",IF($J425&lt;=0,"Payé",IF($I425&gt;0,"Partiel",IF(Listes!$B$3&gt;$G425,"En retard","À échoir"))))))</f>
        <v/>
      </c>
      <c r="O425" s="11">
        <f>IF($A425="","",IF(OR($G425="", $J425&lt;=0),0,MAX(0,Listes!$B$3-$G425)))</f>
        <v/>
      </c>
      <c r="P425" s="12">
        <f>IF($A425="","",IF($J425&lt;=0,"Payé",IF($M425="Oui","Litige",IF($O425=0,"À échoir",IF($O425&lt;=30,"0-30",IF($O425&lt;=60,"31-60",IF($O425&lt;=90,"61-90","90+")))))))</f>
        <v/>
      </c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9">
        <f>IF($A426="","",SUMIFS(Ventes_Encaissements!$D$6:$D$3005,Ventes_Encaissements!$B$6:$B$3005,$A426))</f>
        <v/>
      </c>
      <c r="J426" s="9">
        <f>IF($A426="","",$H426-$I426)</f>
        <v/>
      </c>
      <c r="K426" s="10">
        <f>IF($A426="","",IF($I426=0,"",_xludf.AGGREGATE(14,6,Ventes_Encaissements!$C$6:$C$3005/(Ventes_Encaissements!$B$6:$B$3005=$A426),1)))</f>
        <v/>
      </c>
      <c r="L426" s="11">
        <f>IF($A426="","",COUNTIFS(Ventes_Detail!$B$6:$B$3005,$A426))</f>
        <v/>
      </c>
      <c r="M426" s="12" t="n"/>
      <c r="N426" s="12">
        <f>IF($A426="","",IF($G426="","",IF($M426="Oui","Litige",IF($J426&lt;=0,"Payé",IF($I426&gt;0,"Partiel",IF(Listes!$B$3&gt;$G426,"En retard","À échoir"))))))</f>
        <v/>
      </c>
      <c r="O426" s="11">
        <f>IF($A426="","",IF(OR($G426="", $J426&lt;=0),0,MAX(0,Listes!$B$3-$G426)))</f>
        <v/>
      </c>
      <c r="P426" s="12">
        <f>IF($A426="","",IF($J426&lt;=0,"Payé",IF($M426="Oui","Litige",IF($O426=0,"À échoir",IF($O426&lt;=30,"0-30",IF($O426&lt;=60,"31-60",IF($O426&lt;=90,"61-90","90+")))))))</f>
        <v/>
      </c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9">
        <f>IF($A427="","",SUMIFS(Ventes_Encaissements!$D$6:$D$3005,Ventes_Encaissements!$B$6:$B$3005,$A427))</f>
        <v/>
      </c>
      <c r="J427" s="9">
        <f>IF($A427="","",$H427-$I427)</f>
        <v/>
      </c>
      <c r="K427" s="10">
        <f>IF($A427="","",IF($I427=0,"",_xludf.AGGREGATE(14,6,Ventes_Encaissements!$C$6:$C$3005/(Ventes_Encaissements!$B$6:$B$3005=$A427),1)))</f>
        <v/>
      </c>
      <c r="L427" s="11">
        <f>IF($A427="","",COUNTIFS(Ventes_Detail!$B$6:$B$3005,$A427))</f>
        <v/>
      </c>
      <c r="M427" s="12" t="n"/>
      <c r="N427" s="12">
        <f>IF($A427="","",IF($G427="","",IF($M427="Oui","Litige",IF($J427&lt;=0,"Payé",IF($I427&gt;0,"Partiel",IF(Listes!$B$3&gt;$G427,"En retard","À échoir"))))))</f>
        <v/>
      </c>
      <c r="O427" s="11">
        <f>IF($A427="","",IF(OR($G427="", $J427&lt;=0),0,MAX(0,Listes!$B$3-$G427)))</f>
        <v/>
      </c>
      <c r="P427" s="12">
        <f>IF($A427="","",IF($J427&lt;=0,"Payé",IF($M427="Oui","Litige",IF($O427=0,"À échoir",IF($O427&lt;=30,"0-30",IF($O427&lt;=60,"31-60",IF($O427&lt;=90,"61-90","90+")))))))</f>
        <v/>
      </c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9">
        <f>IF($A428="","",SUMIFS(Ventes_Encaissements!$D$6:$D$3005,Ventes_Encaissements!$B$6:$B$3005,$A428))</f>
        <v/>
      </c>
      <c r="J428" s="9">
        <f>IF($A428="","",$H428-$I428)</f>
        <v/>
      </c>
      <c r="K428" s="10">
        <f>IF($A428="","",IF($I428=0,"",_xludf.AGGREGATE(14,6,Ventes_Encaissements!$C$6:$C$3005/(Ventes_Encaissements!$B$6:$B$3005=$A428),1)))</f>
        <v/>
      </c>
      <c r="L428" s="11">
        <f>IF($A428="","",COUNTIFS(Ventes_Detail!$B$6:$B$3005,$A428))</f>
        <v/>
      </c>
      <c r="M428" s="12" t="n"/>
      <c r="N428" s="12">
        <f>IF($A428="","",IF($G428="","",IF($M428="Oui","Litige",IF($J428&lt;=0,"Payé",IF($I428&gt;0,"Partiel",IF(Listes!$B$3&gt;$G428,"En retard","À échoir"))))))</f>
        <v/>
      </c>
      <c r="O428" s="11">
        <f>IF($A428="","",IF(OR($G428="", $J428&lt;=0),0,MAX(0,Listes!$B$3-$G428)))</f>
        <v/>
      </c>
      <c r="P428" s="12">
        <f>IF($A428="","",IF($J428&lt;=0,"Payé",IF($M428="Oui","Litige",IF($O428=0,"À échoir",IF($O428&lt;=30,"0-30",IF($O428&lt;=60,"31-60",IF($O428&lt;=90,"61-90","90+")))))))</f>
        <v/>
      </c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9">
        <f>IF($A429="","",SUMIFS(Ventes_Encaissements!$D$6:$D$3005,Ventes_Encaissements!$B$6:$B$3005,$A429))</f>
        <v/>
      </c>
      <c r="J429" s="9">
        <f>IF($A429="","",$H429-$I429)</f>
        <v/>
      </c>
      <c r="K429" s="10">
        <f>IF($A429="","",IF($I429=0,"",_xludf.AGGREGATE(14,6,Ventes_Encaissements!$C$6:$C$3005/(Ventes_Encaissements!$B$6:$B$3005=$A429),1)))</f>
        <v/>
      </c>
      <c r="L429" s="11">
        <f>IF($A429="","",COUNTIFS(Ventes_Detail!$B$6:$B$3005,$A429))</f>
        <v/>
      </c>
      <c r="M429" s="12" t="n"/>
      <c r="N429" s="12">
        <f>IF($A429="","",IF($G429="","",IF($M429="Oui","Litige",IF($J429&lt;=0,"Payé",IF($I429&gt;0,"Partiel",IF(Listes!$B$3&gt;$G429,"En retard","À échoir"))))))</f>
        <v/>
      </c>
      <c r="O429" s="11">
        <f>IF($A429="","",IF(OR($G429="", $J429&lt;=0),0,MAX(0,Listes!$B$3-$G429)))</f>
        <v/>
      </c>
      <c r="P429" s="12">
        <f>IF($A429="","",IF($J429&lt;=0,"Payé",IF($M429="Oui","Litige",IF($O429=0,"À échoir",IF($O429&lt;=30,"0-30",IF($O429&lt;=60,"31-60",IF($O429&lt;=90,"61-90","90+")))))))</f>
        <v/>
      </c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9">
        <f>IF($A430="","",SUMIFS(Ventes_Encaissements!$D$6:$D$3005,Ventes_Encaissements!$B$6:$B$3005,$A430))</f>
        <v/>
      </c>
      <c r="J430" s="9">
        <f>IF($A430="","",$H430-$I430)</f>
        <v/>
      </c>
      <c r="K430" s="10">
        <f>IF($A430="","",IF($I430=0,"",_xludf.AGGREGATE(14,6,Ventes_Encaissements!$C$6:$C$3005/(Ventes_Encaissements!$B$6:$B$3005=$A430),1)))</f>
        <v/>
      </c>
      <c r="L430" s="11">
        <f>IF($A430="","",COUNTIFS(Ventes_Detail!$B$6:$B$3005,$A430))</f>
        <v/>
      </c>
      <c r="M430" s="12" t="n"/>
      <c r="N430" s="12">
        <f>IF($A430="","",IF($G430="","",IF($M430="Oui","Litige",IF($J430&lt;=0,"Payé",IF($I430&gt;0,"Partiel",IF(Listes!$B$3&gt;$G430,"En retard","À échoir"))))))</f>
        <v/>
      </c>
      <c r="O430" s="11">
        <f>IF($A430="","",IF(OR($G430="", $J430&lt;=0),0,MAX(0,Listes!$B$3-$G430)))</f>
        <v/>
      </c>
      <c r="P430" s="12">
        <f>IF($A430="","",IF($J430&lt;=0,"Payé",IF($M430="Oui","Litige",IF($O430=0,"À échoir",IF($O430&lt;=30,"0-30",IF($O430&lt;=60,"31-60",IF($O430&lt;=90,"61-90","90+")))))))</f>
        <v/>
      </c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9">
        <f>IF($A431="","",SUMIFS(Ventes_Encaissements!$D$6:$D$3005,Ventes_Encaissements!$B$6:$B$3005,$A431))</f>
        <v/>
      </c>
      <c r="J431" s="9">
        <f>IF($A431="","",$H431-$I431)</f>
        <v/>
      </c>
      <c r="K431" s="10">
        <f>IF($A431="","",IF($I431=0,"",_xludf.AGGREGATE(14,6,Ventes_Encaissements!$C$6:$C$3005/(Ventes_Encaissements!$B$6:$B$3005=$A431),1)))</f>
        <v/>
      </c>
      <c r="L431" s="11">
        <f>IF($A431="","",COUNTIFS(Ventes_Detail!$B$6:$B$3005,$A431))</f>
        <v/>
      </c>
      <c r="M431" s="12" t="n"/>
      <c r="N431" s="12">
        <f>IF($A431="","",IF($G431="","",IF($M431="Oui","Litige",IF($J431&lt;=0,"Payé",IF($I431&gt;0,"Partiel",IF(Listes!$B$3&gt;$G431,"En retard","À échoir"))))))</f>
        <v/>
      </c>
      <c r="O431" s="11">
        <f>IF($A431="","",IF(OR($G431="", $J431&lt;=0),0,MAX(0,Listes!$B$3-$G431)))</f>
        <v/>
      </c>
      <c r="P431" s="12">
        <f>IF($A431="","",IF($J431&lt;=0,"Payé",IF($M431="Oui","Litige",IF($O431=0,"À échoir",IF($O431&lt;=30,"0-30",IF($O431&lt;=60,"31-60",IF($O431&lt;=90,"61-90","90+")))))))</f>
        <v/>
      </c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9">
        <f>IF($A432="","",SUMIFS(Ventes_Encaissements!$D$6:$D$3005,Ventes_Encaissements!$B$6:$B$3005,$A432))</f>
        <v/>
      </c>
      <c r="J432" s="9">
        <f>IF($A432="","",$H432-$I432)</f>
        <v/>
      </c>
      <c r="K432" s="10">
        <f>IF($A432="","",IF($I432=0,"",_xludf.AGGREGATE(14,6,Ventes_Encaissements!$C$6:$C$3005/(Ventes_Encaissements!$B$6:$B$3005=$A432),1)))</f>
        <v/>
      </c>
      <c r="L432" s="11">
        <f>IF($A432="","",COUNTIFS(Ventes_Detail!$B$6:$B$3005,$A432))</f>
        <v/>
      </c>
      <c r="M432" s="12" t="n"/>
      <c r="N432" s="12">
        <f>IF($A432="","",IF($G432="","",IF($M432="Oui","Litige",IF($J432&lt;=0,"Payé",IF($I432&gt;0,"Partiel",IF(Listes!$B$3&gt;$G432,"En retard","À échoir"))))))</f>
        <v/>
      </c>
      <c r="O432" s="11">
        <f>IF($A432="","",IF(OR($G432="", $J432&lt;=0),0,MAX(0,Listes!$B$3-$G432)))</f>
        <v/>
      </c>
      <c r="P432" s="12">
        <f>IF($A432="","",IF($J432&lt;=0,"Payé",IF($M432="Oui","Litige",IF($O432=0,"À échoir",IF($O432&lt;=30,"0-30",IF($O432&lt;=60,"31-60",IF($O432&lt;=90,"61-90","90+")))))))</f>
        <v/>
      </c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9">
        <f>IF($A433="","",SUMIFS(Ventes_Encaissements!$D$6:$D$3005,Ventes_Encaissements!$B$6:$B$3005,$A433))</f>
        <v/>
      </c>
      <c r="J433" s="9">
        <f>IF($A433="","",$H433-$I433)</f>
        <v/>
      </c>
      <c r="K433" s="10">
        <f>IF($A433="","",IF($I433=0,"",_xludf.AGGREGATE(14,6,Ventes_Encaissements!$C$6:$C$3005/(Ventes_Encaissements!$B$6:$B$3005=$A433),1)))</f>
        <v/>
      </c>
      <c r="L433" s="11">
        <f>IF($A433="","",COUNTIFS(Ventes_Detail!$B$6:$B$3005,$A433))</f>
        <v/>
      </c>
      <c r="M433" s="12" t="n"/>
      <c r="N433" s="12">
        <f>IF($A433="","",IF($G433="","",IF($M433="Oui","Litige",IF($J433&lt;=0,"Payé",IF($I433&gt;0,"Partiel",IF(Listes!$B$3&gt;$G433,"En retard","À échoir"))))))</f>
        <v/>
      </c>
      <c r="O433" s="11">
        <f>IF($A433="","",IF(OR($G433="", $J433&lt;=0),0,MAX(0,Listes!$B$3-$G433)))</f>
        <v/>
      </c>
      <c r="P433" s="12">
        <f>IF($A433="","",IF($J433&lt;=0,"Payé",IF($M433="Oui","Litige",IF($O433=0,"À échoir",IF($O433&lt;=30,"0-30",IF($O433&lt;=60,"31-60",IF($O433&lt;=90,"61-90","90+")))))))</f>
        <v/>
      </c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9">
        <f>IF($A434="","",SUMIFS(Ventes_Encaissements!$D$6:$D$3005,Ventes_Encaissements!$B$6:$B$3005,$A434))</f>
        <v/>
      </c>
      <c r="J434" s="9">
        <f>IF($A434="","",$H434-$I434)</f>
        <v/>
      </c>
      <c r="K434" s="10">
        <f>IF($A434="","",IF($I434=0,"",_xludf.AGGREGATE(14,6,Ventes_Encaissements!$C$6:$C$3005/(Ventes_Encaissements!$B$6:$B$3005=$A434),1)))</f>
        <v/>
      </c>
      <c r="L434" s="11">
        <f>IF($A434="","",COUNTIFS(Ventes_Detail!$B$6:$B$3005,$A434))</f>
        <v/>
      </c>
      <c r="M434" s="12" t="n"/>
      <c r="N434" s="12">
        <f>IF($A434="","",IF($G434="","",IF($M434="Oui","Litige",IF($J434&lt;=0,"Payé",IF($I434&gt;0,"Partiel",IF(Listes!$B$3&gt;$G434,"En retard","À échoir"))))))</f>
        <v/>
      </c>
      <c r="O434" s="11">
        <f>IF($A434="","",IF(OR($G434="", $J434&lt;=0),0,MAX(0,Listes!$B$3-$G434)))</f>
        <v/>
      </c>
      <c r="P434" s="12">
        <f>IF($A434="","",IF($J434&lt;=0,"Payé",IF($M434="Oui","Litige",IF($O434=0,"À échoir",IF($O434&lt;=30,"0-30",IF($O434&lt;=60,"31-60",IF($O434&lt;=90,"61-90","90+")))))))</f>
        <v/>
      </c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9">
        <f>IF($A435="","",SUMIFS(Ventes_Encaissements!$D$6:$D$3005,Ventes_Encaissements!$B$6:$B$3005,$A435))</f>
        <v/>
      </c>
      <c r="J435" s="9">
        <f>IF($A435="","",$H435-$I435)</f>
        <v/>
      </c>
      <c r="K435" s="10">
        <f>IF($A435="","",IF($I435=0,"",_xludf.AGGREGATE(14,6,Ventes_Encaissements!$C$6:$C$3005/(Ventes_Encaissements!$B$6:$B$3005=$A435),1)))</f>
        <v/>
      </c>
      <c r="L435" s="11">
        <f>IF($A435="","",COUNTIFS(Ventes_Detail!$B$6:$B$3005,$A435))</f>
        <v/>
      </c>
      <c r="M435" s="12" t="n"/>
      <c r="N435" s="12">
        <f>IF($A435="","",IF($G435="","",IF($M435="Oui","Litige",IF($J435&lt;=0,"Payé",IF($I435&gt;0,"Partiel",IF(Listes!$B$3&gt;$G435,"En retard","À échoir"))))))</f>
        <v/>
      </c>
      <c r="O435" s="11">
        <f>IF($A435="","",IF(OR($G435="", $J435&lt;=0),0,MAX(0,Listes!$B$3-$G435)))</f>
        <v/>
      </c>
      <c r="P435" s="12">
        <f>IF($A435="","",IF($J435&lt;=0,"Payé",IF($M435="Oui","Litige",IF($O435=0,"À échoir",IF($O435&lt;=30,"0-30",IF($O435&lt;=60,"31-60",IF($O435&lt;=90,"61-90","90+")))))))</f>
        <v/>
      </c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9">
        <f>IF($A436="","",SUMIFS(Ventes_Encaissements!$D$6:$D$3005,Ventes_Encaissements!$B$6:$B$3005,$A436))</f>
        <v/>
      </c>
      <c r="J436" s="9">
        <f>IF($A436="","",$H436-$I436)</f>
        <v/>
      </c>
      <c r="K436" s="10">
        <f>IF($A436="","",IF($I436=0,"",_xludf.AGGREGATE(14,6,Ventes_Encaissements!$C$6:$C$3005/(Ventes_Encaissements!$B$6:$B$3005=$A436),1)))</f>
        <v/>
      </c>
      <c r="L436" s="11">
        <f>IF($A436="","",COUNTIFS(Ventes_Detail!$B$6:$B$3005,$A436))</f>
        <v/>
      </c>
      <c r="M436" s="12" t="n"/>
      <c r="N436" s="12">
        <f>IF($A436="","",IF($G436="","",IF($M436="Oui","Litige",IF($J436&lt;=0,"Payé",IF($I436&gt;0,"Partiel",IF(Listes!$B$3&gt;$G436,"En retard","À échoir"))))))</f>
        <v/>
      </c>
      <c r="O436" s="11">
        <f>IF($A436="","",IF(OR($G436="", $J436&lt;=0),0,MAX(0,Listes!$B$3-$G436)))</f>
        <v/>
      </c>
      <c r="P436" s="12">
        <f>IF($A436="","",IF($J436&lt;=0,"Payé",IF($M436="Oui","Litige",IF($O436=0,"À échoir",IF($O436&lt;=30,"0-30",IF($O436&lt;=60,"31-60",IF($O436&lt;=90,"61-90","90+")))))))</f>
        <v/>
      </c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9">
        <f>IF($A437="","",SUMIFS(Ventes_Encaissements!$D$6:$D$3005,Ventes_Encaissements!$B$6:$B$3005,$A437))</f>
        <v/>
      </c>
      <c r="J437" s="9">
        <f>IF($A437="","",$H437-$I437)</f>
        <v/>
      </c>
      <c r="K437" s="10">
        <f>IF($A437="","",IF($I437=0,"",_xludf.AGGREGATE(14,6,Ventes_Encaissements!$C$6:$C$3005/(Ventes_Encaissements!$B$6:$B$3005=$A437),1)))</f>
        <v/>
      </c>
      <c r="L437" s="11">
        <f>IF($A437="","",COUNTIFS(Ventes_Detail!$B$6:$B$3005,$A437))</f>
        <v/>
      </c>
      <c r="M437" s="12" t="n"/>
      <c r="N437" s="12">
        <f>IF($A437="","",IF($G437="","",IF($M437="Oui","Litige",IF($J437&lt;=0,"Payé",IF($I437&gt;0,"Partiel",IF(Listes!$B$3&gt;$G437,"En retard","À échoir"))))))</f>
        <v/>
      </c>
      <c r="O437" s="11">
        <f>IF($A437="","",IF(OR($G437="", $J437&lt;=0),0,MAX(0,Listes!$B$3-$G437)))</f>
        <v/>
      </c>
      <c r="P437" s="12">
        <f>IF($A437="","",IF($J437&lt;=0,"Payé",IF($M437="Oui","Litige",IF($O437=0,"À échoir",IF($O437&lt;=30,"0-30",IF($O437&lt;=60,"31-60",IF($O437&lt;=90,"61-90","90+")))))))</f>
        <v/>
      </c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9">
        <f>IF($A438="","",SUMIFS(Ventes_Encaissements!$D$6:$D$3005,Ventes_Encaissements!$B$6:$B$3005,$A438))</f>
        <v/>
      </c>
      <c r="J438" s="9">
        <f>IF($A438="","",$H438-$I438)</f>
        <v/>
      </c>
      <c r="K438" s="10">
        <f>IF($A438="","",IF($I438=0,"",_xludf.AGGREGATE(14,6,Ventes_Encaissements!$C$6:$C$3005/(Ventes_Encaissements!$B$6:$B$3005=$A438),1)))</f>
        <v/>
      </c>
      <c r="L438" s="11">
        <f>IF($A438="","",COUNTIFS(Ventes_Detail!$B$6:$B$3005,$A438))</f>
        <v/>
      </c>
      <c r="M438" s="12" t="n"/>
      <c r="N438" s="12">
        <f>IF($A438="","",IF($G438="","",IF($M438="Oui","Litige",IF($J438&lt;=0,"Payé",IF($I438&gt;0,"Partiel",IF(Listes!$B$3&gt;$G438,"En retard","À échoir"))))))</f>
        <v/>
      </c>
      <c r="O438" s="11">
        <f>IF($A438="","",IF(OR($G438="", $J438&lt;=0),0,MAX(0,Listes!$B$3-$G438)))</f>
        <v/>
      </c>
      <c r="P438" s="12">
        <f>IF($A438="","",IF($J438&lt;=0,"Payé",IF($M438="Oui","Litige",IF($O438=0,"À échoir",IF($O438&lt;=30,"0-30",IF($O438&lt;=60,"31-60",IF($O438&lt;=90,"61-90","90+")))))))</f>
        <v/>
      </c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9">
        <f>IF($A439="","",SUMIFS(Ventes_Encaissements!$D$6:$D$3005,Ventes_Encaissements!$B$6:$B$3005,$A439))</f>
        <v/>
      </c>
      <c r="J439" s="9">
        <f>IF($A439="","",$H439-$I439)</f>
        <v/>
      </c>
      <c r="K439" s="10">
        <f>IF($A439="","",IF($I439=0,"",_xludf.AGGREGATE(14,6,Ventes_Encaissements!$C$6:$C$3005/(Ventes_Encaissements!$B$6:$B$3005=$A439),1)))</f>
        <v/>
      </c>
      <c r="L439" s="11">
        <f>IF($A439="","",COUNTIFS(Ventes_Detail!$B$6:$B$3005,$A439))</f>
        <v/>
      </c>
      <c r="M439" s="12" t="n"/>
      <c r="N439" s="12">
        <f>IF($A439="","",IF($G439="","",IF($M439="Oui","Litige",IF($J439&lt;=0,"Payé",IF($I439&gt;0,"Partiel",IF(Listes!$B$3&gt;$G439,"En retard","À échoir"))))))</f>
        <v/>
      </c>
      <c r="O439" s="11">
        <f>IF($A439="","",IF(OR($G439="", $J439&lt;=0),0,MAX(0,Listes!$B$3-$G439)))</f>
        <v/>
      </c>
      <c r="P439" s="12">
        <f>IF($A439="","",IF($J439&lt;=0,"Payé",IF($M439="Oui","Litige",IF($O439=0,"À échoir",IF($O439&lt;=30,"0-30",IF($O439&lt;=60,"31-60",IF($O439&lt;=90,"61-90","90+")))))))</f>
        <v/>
      </c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9">
        <f>IF($A440="","",SUMIFS(Ventes_Encaissements!$D$6:$D$3005,Ventes_Encaissements!$B$6:$B$3005,$A440))</f>
        <v/>
      </c>
      <c r="J440" s="9">
        <f>IF($A440="","",$H440-$I440)</f>
        <v/>
      </c>
      <c r="K440" s="10">
        <f>IF($A440="","",IF($I440=0,"",_xludf.AGGREGATE(14,6,Ventes_Encaissements!$C$6:$C$3005/(Ventes_Encaissements!$B$6:$B$3005=$A440),1)))</f>
        <v/>
      </c>
      <c r="L440" s="11">
        <f>IF($A440="","",COUNTIFS(Ventes_Detail!$B$6:$B$3005,$A440))</f>
        <v/>
      </c>
      <c r="M440" s="12" t="n"/>
      <c r="N440" s="12">
        <f>IF($A440="","",IF($G440="","",IF($M440="Oui","Litige",IF($J440&lt;=0,"Payé",IF($I440&gt;0,"Partiel",IF(Listes!$B$3&gt;$G440,"En retard","À échoir"))))))</f>
        <v/>
      </c>
      <c r="O440" s="11">
        <f>IF($A440="","",IF(OR($G440="", $J440&lt;=0),0,MAX(0,Listes!$B$3-$G440)))</f>
        <v/>
      </c>
      <c r="P440" s="12">
        <f>IF($A440="","",IF($J440&lt;=0,"Payé",IF($M440="Oui","Litige",IF($O440=0,"À échoir",IF($O440&lt;=30,"0-30",IF($O440&lt;=60,"31-60",IF($O440&lt;=90,"61-90","90+")))))))</f>
        <v/>
      </c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9">
        <f>IF($A441="","",SUMIFS(Ventes_Encaissements!$D$6:$D$3005,Ventes_Encaissements!$B$6:$B$3005,$A441))</f>
        <v/>
      </c>
      <c r="J441" s="9">
        <f>IF($A441="","",$H441-$I441)</f>
        <v/>
      </c>
      <c r="K441" s="10">
        <f>IF($A441="","",IF($I441=0,"",_xludf.AGGREGATE(14,6,Ventes_Encaissements!$C$6:$C$3005/(Ventes_Encaissements!$B$6:$B$3005=$A441),1)))</f>
        <v/>
      </c>
      <c r="L441" s="11">
        <f>IF($A441="","",COUNTIFS(Ventes_Detail!$B$6:$B$3005,$A441))</f>
        <v/>
      </c>
      <c r="M441" s="12" t="n"/>
      <c r="N441" s="12">
        <f>IF($A441="","",IF($G441="","",IF($M441="Oui","Litige",IF($J441&lt;=0,"Payé",IF($I441&gt;0,"Partiel",IF(Listes!$B$3&gt;$G441,"En retard","À échoir"))))))</f>
        <v/>
      </c>
      <c r="O441" s="11">
        <f>IF($A441="","",IF(OR($G441="", $J441&lt;=0),0,MAX(0,Listes!$B$3-$G441)))</f>
        <v/>
      </c>
      <c r="P441" s="12">
        <f>IF($A441="","",IF($J441&lt;=0,"Payé",IF($M441="Oui","Litige",IF($O441=0,"À échoir",IF($O441&lt;=30,"0-30",IF($O441&lt;=60,"31-60",IF($O441&lt;=90,"61-90","90+")))))))</f>
        <v/>
      </c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9">
        <f>IF($A442="","",SUMIFS(Ventes_Encaissements!$D$6:$D$3005,Ventes_Encaissements!$B$6:$B$3005,$A442))</f>
        <v/>
      </c>
      <c r="J442" s="9">
        <f>IF($A442="","",$H442-$I442)</f>
        <v/>
      </c>
      <c r="K442" s="10">
        <f>IF($A442="","",IF($I442=0,"",_xludf.AGGREGATE(14,6,Ventes_Encaissements!$C$6:$C$3005/(Ventes_Encaissements!$B$6:$B$3005=$A442),1)))</f>
        <v/>
      </c>
      <c r="L442" s="11">
        <f>IF($A442="","",COUNTIFS(Ventes_Detail!$B$6:$B$3005,$A442))</f>
        <v/>
      </c>
      <c r="M442" s="12" t="n"/>
      <c r="N442" s="12">
        <f>IF($A442="","",IF($G442="","",IF($M442="Oui","Litige",IF($J442&lt;=0,"Payé",IF($I442&gt;0,"Partiel",IF(Listes!$B$3&gt;$G442,"En retard","À échoir"))))))</f>
        <v/>
      </c>
      <c r="O442" s="11">
        <f>IF($A442="","",IF(OR($G442="", $J442&lt;=0),0,MAX(0,Listes!$B$3-$G442)))</f>
        <v/>
      </c>
      <c r="P442" s="12">
        <f>IF($A442="","",IF($J442&lt;=0,"Payé",IF($M442="Oui","Litige",IF($O442=0,"À échoir",IF($O442&lt;=30,"0-30",IF($O442&lt;=60,"31-60",IF($O442&lt;=90,"61-90","90+")))))))</f>
        <v/>
      </c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9">
        <f>IF($A443="","",SUMIFS(Ventes_Encaissements!$D$6:$D$3005,Ventes_Encaissements!$B$6:$B$3005,$A443))</f>
        <v/>
      </c>
      <c r="J443" s="9">
        <f>IF($A443="","",$H443-$I443)</f>
        <v/>
      </c>
      <c r="K443" s="10">
        <f>IF($A443="","",IF($I443=0,"",_xludf.AGGREGATE(14,6,Ventes_Encaissements!$C$6:$C$3005/(Ventes_Encaissements!$B$6:$B$3005=$A443),1)))</f>
        <v/>
      </c>
      <c r="L443" s="11">
        <f>IF($A443="","",COUNTIFS(Ventes_Detail!$B$6:$B$3005,$A443))</f>
        <v/>
      </c>
      <c r="M443" s="12" t="n"/>
      <c r="N443" s="12">
        <f>IF($A443="","",IF($G443="","",IF($M443="Oui","Litige",IF($J443&lt;=0,"Payé",IF($I443&gt;0,"Partiel",IF(Listes!$B$3&gt;$G443,"En retard","À échoir"))))))</f>
        <v/>
      </c>
      <c r="O443" s="11">
        <f>IF($A443="","",IF(OR($G443="", $J443&lt;=0),0,MAX(0,Listes!$B$3-$G443)))</f>
        <v/>
      </c>
      <c r="P443" s="12">
        <f>IF($A443="","",IF($J443&lt;=0,"Payé",IF($M443="Oui","Litige",IF($O443=0,"À échoir",IF($O443&lt;=30,"0-30",IF($O443&lt;=60,"31-60",IF($O443&lt;=90,"61-90","90+")))))))</f>
        <v/>
      </c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9">
        <f>IF($A444="","",SUMIFS(Ventes_Encaissements!$D$6:$D$3005,Ventes_Encaissements!$B$6:$B$3005,$A444))</f>
        <v/>
      </c>
      <c r="J444" s="9">
        <f>IF($A444="","",$H444-$I444)</f>
        <v/>
      </c>
      <c r="K444" s="10">
        <f>IF($A444="","",IF($I444=0,"",_xludf.AGGREGATE(14,6,Ventes_Encaissements!$C$6:$C$3005/(Ventes_Encaissements!$B$6:$B$3005=$A444),1)))</f>
        <v/>
      </c>
      <c r="L444" s="11">
        <f>IF($A444="","",COUNTIFS(Ventes_Detail!$B$6:$B$3005,$A444))</f>
        <v/>
      </c>
      <c r="M444" s="12" t="n"/>
      <c r="N444" s="12">
        <f>IF($A444="","",IF($G444="","",IF($M444="Oui","Litige",IF($J444&lt;=0,"Payé",IF($I444&gt;0,"Partiel",IF(Listes!$B$3&gt;$G444,"En retard","À échoir"))))))</f>
        <v/>
      </c>
      <c r="O444" s="11">
        <f>IF($A444="","",IF(OR($G444="", $J444&lt;=0),0,MAX(0,Listes!$B$3-$G444)))</f>
        <v/>
      </c>
      <c r="P444" s="12">
        <f>IF($A444="","",IF($J444&lt;=0,"Payé",IF($M444="Oui","Litige",IF($O444=0,"À échoir",IF($O444&lt;=30,"0-30",IF($O444&lt;=60,"31-60",IF($O444&lt;=90,"61-90","90+")))))))</f>
        <v/>
      </c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9">
        <f>IF($A445="","",SUMIFS(Ventes_Encaissements!$D$6:$D$3005,Ventes_Encaissements!$B$6:$B$3005,$A445))</f>
        <v/>
      </c>
      <c r="J445" s="9">
        <f>IF($A445="","",$H445-$I445)</f>
        <v/>
      </c>
      <c r="K445" s="10">
        <f>IF($A445="","",IF($I445=0,"",_xludf.AGGREGATE(14,6,Ventes_Encaissements!$C$6:$C$3005/(Ventes_Encaissements!$B$6:$B$3005=$A445),1)))</f>
        <v/>
      </c>
      <c r="L445" s="11">
        <f>IF($A445="","",COUNTIFS(Ventes_Detail!$B$6:$B$3005,$A445))</f>
        <v/>
      </c>
      <c r="M445" s="12" t="n"/>
      <c r="N445" s="12">
        <f>IF($A445="","",IF($G445="","",IF($M445="Oui","Litige",IF($J445&lt;=0,"Payé",IF($I445&gt;0,"Partiel",IF(Listes!$B$3&gt;$G445,"En retard","À échoir"))))))</f>
        <v/>
      </c>
      <c r="O445" s="11">
        <f>IF($A445="","",IF(OR($G445="", $J445&lt;=0),0,MAX(0,Listes!$B$3-$G445)))</f>
        <v/>
      </c>
      <c r="P445" s="12">
        <f>IF($A445="","",IF($J445&lt;=0,"Payé",IF($M445="Oui","Litige",IF($O445=0,"À échoir",IF($O445&lt;=30,"0-30",IF($O445&lt;=60,"31-60",IF($O445&lt;=90,"61-90","90+")))))))</f>
        <v/>
      </c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9">
        <f>IF($A446="","",SUMIFS(Ventes_Encaissements!$D$6:$D$3005,Ventes_Encaissements!$B$6:$B$3005,$A446))</f>
        <v/>
      </c>
      <c r="J446" s="9">
        <f>IF($A446="","",$H446-$I446)</f>
        <v/>
      </c>
      <c r="K446" s="10">
        <f>IF($A446="","",IF($I446=0,"",_xludf.AGGREGATE(14,6,Ventes_Encaissements!$C$6:$C$3005/(Ventes_Encaissements!$B$6:$B$3005=$A446),1)))</f>
        <v/>
      </c>
      <c r="L446" s="11">
        <f>IF($A446="","",COUNTIFS(Ventes_Detail!$B$6:$B$3005,$A446))</f>
        <v/>
      </c>
      <c r="M446" s="12" t="n"/>
      <c r="N446" s="12">
        <f>IF($A446="","",IF($G446="","",IF($M446="Oui","Litige",IF($J446&lt;=0,"Payé",IF($I446&gt;0,"Partiel",IF(Listes!$B$3&gt;$G446,"En retard","À échoir"))))))</f>
        <v/>
      </c>
      <c r="O446" s="11">
        <f>IF($A446="","",IF(OR($G446="", $J446&lt;=0),0,MAX(0,Listes!$B$3-$G446)))</f>
        <v/>
      </c>
      <c r="P446" s="12">
        <f>IF($A446="","",IF($J446&lt;=0,"Payé",IF($M446="Oui","Litige",IF($O446=0,"À échoir",IF($O446&lt;=30,"0-30",IF($O446&lt;=60,"31-60",IF($O446&lt;=90,"61-90","90+")))))))</f>
        <v/>
      </c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9">
        <f>IF($A447="","",SUMIFS(Ventes_Encaissements!$D$6:$D$3005,Ventes_Encaissements!$B$6:$B$3005,$A447))</f>
        <v/>
      </c>
      <c r="J447" s="9">
        <f>IF($A447="","",$H447-$I447)</f>
        <v/>
      </c>
      <c r="K447" s="10">
        <f>IF($A447="","",IF($I447=0,"",_xludf.AGGREGATE(14,6,Ventes_Encaissements!$C$6:$C$3005/(Ventes_Encaissements!$B$6:$B$3005=$A447),1)))</f>
        <v/>
      </c>
      <c r="L447" s="11">
        <f>IF($A447="","",COUNTIFS(Ventes_Detail!$B$6:$B$3005,$A447))</f>
        <v/>
      </c>
      <c r="M447" s="12" t="n"/>
      <c r="N447" s="12">
        <f>IF($A447="","",IF($G447="","",IF($M447="Oui","Litige",IF($J447&lt;=0,"Payé",IF($I447&gt;0,"Partiel",IF(Listes!$B$3&gt;$G447,"En retard","À échoir"))))))</f>
        <v/>
      </c>
      <c r="O447" s="11">
        <f>IF($A447="","",IF(OR($G447="", $J447&lt;=0),0,MAX(0,Listes!$B$3-$G447)))</f>
        <v/>
      </c>
      <c r="P447" s="12">
        <f>IF($A447="","",IF($J447&lt;=0,"Payé",IF($M447="Oui","Litige",IF($O447=0,"À échoir",IF($O447&lt;=30,"0-30",IF($O447&lt;=60,"31-60",IF($O447&lt;=90,"61-90","90+")))))))</f>
        <v/>
      </c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9">
        <f>IF($A448="","",SUMIFS(Ventes_Encaissements!$D$6:$D$3005,Ventes_Encaissements!$B$6:$B$3005,$A448))</f>
        <v/>
      </c>
      <c r="J448" s="9">
        <f>IF($A448="","",$H448-$I448)</f>
        <v/>
      </c>
      <c r="K448" s="10">
        <f>IF($A448="","",IF($I448=0,"",_xludf.AGGREGATE(14,6,Ventes_Encaissements!$C$6:$C$3005/(Ventes_Encaissements!$B$6:$B$3005=$A448),1)))</f>
        <v/>
      </c>
      <c r="L448" s="11">
        <f>IF($A448="","",COUNTIFS(Ventes_Detail!$B$6:$B$3005,$A448))</f>
        <v/>
      </c>
      <c r="M448" s="12" t="n"/>
      <c r="N448" s="12">
        <f>IF($A448="","",IF($G448="","",IF($M448="Oui","Litige",IF($J448&lt;=0,"Payé",IF($I448&gt;0,"Partiel",IF(Listes!$B$3&gt;$G448,"En retard","À échoir"))))))</f>
        <v/>
      </c>
      <c r="O448" s="11">
        <f>IF($A448="","",IF(OR($G448="", $J448&lt;=0),0,MAX(0,Listes!$B$3-$G448)))</f>
        <v/>
      </c>
      <c r="P448" s="12">
        <f>IF($A448="","",IF($J448&lt;=0,"Payé",IF($M448="Oui","Litige",IF($O448=0,"À échoir",IF($O448&lt;=30,"0-30",IF($O448&lt;=60,"31-60",IF($O448&lt;=90,"61-90","90+")))))))</f>
        <v/>
      </c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9">
        <f>IF($A449="","",SUMIFS(Ventes_Encaissements!$D$6:$D$3005,Ventes_Encaissements!$B$6:$B$3005,$A449))</f>
        <v/>
      </c>
      <c r="J449" s="9">
        <f>IF($A449="","",$H449-$I449)</f>
        <v/>
      </c>
      <c r="K449" s="10">
        <f>IF($A449="","",IF($I449=0,"",_xludf.AGGREGATE(14,6,Ventes_Encaissements!$C$6:$C$3005/(Ventes_Encaissements!$B$6:$B$3005=$A449),1)))</f>
        <v/>
      </c>
      <c r="L449" s="11">
        <f>IF($A449="","",COUNTIFS(Ventes_Detail!$B$6:$B$3005,$A449))</f>
        <v/>
      </c>
      <c r="M449" s="12" t="n"/>
      <c r="N449" s="12">
        <f>IF($A449="","",IF($G449="","",IF($M449="Oui","Litige",IF($J449&lt;=0,"Payé",IF($I449&gt;0,"Partiel",IF(Listes!$B$3&gt;$G449,"En retard","À échoir"))))))</f>
        <v/>
      </c>
      <c r="O449" s="11">
        <f>IF($A449="","",IF(OR($G449="", $J449&lt;=0),0,MAX(0,Listes!$B$3-$G449)))</f>
        <v/>
      </c>
      <c r="P449" s="12">
        <f>IF($A449="","",IF($J449&lt;=0,"Payé",IF($M449="Oui","Litige",IF($O449=0,"À échoir",IF($O449&lt;=30,"0-30",IF($O449&lt;=60,"31-60",IF($O449&lt;=90,"61-90","90+")))))))</f>
        <v/>
      </c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9">
        <f>IF($A450="","",SUMIFS(Ventes_Encaissements!$D$6:$D$3005,Ventes_Encaissements!$B$6:$B$3005,$A450))</f>
        <v/>
      </c>
      <c r="J450" s="9">
        <f>IF($A450="","",$H450-$I450)</f>
        <v/>
      </c>
      <c r="K450" s="10">
        <f>IF($A450="","",IF($I450=0,"",_xludf.AGGREGATE(14,6,Ventes_Encaissements!$C$6:$C$3005/(Ventes_Encaissements!$B$6:$B$3005=$A450),1)))</f>
        <v/>
      </c>
      <c r="L450" s="11">
        <f>IF($A450="","",COUNTIFS(Ventes_Detail!$B$6:$B$3005,$A450))</f>
        <v/>
      </c>
      <c r="M450" s="12" t="n"/>
      <c r="N450" s="12">
        <f>IF($A450="","",IF($G450="","",IF($M450="Oui","Litige",IF($J450&lt;=0,"Payé",IF($I450&gt;0,"Partiel",IF(Listes!$B$3&gt;$G450,"En retard","À échoir"))))))</f>
        <v/>
      </c>
      <c r="O450" s="11">
        <f>IF($A450="","",IF(OR($G450="", $J450&lt;=0),0,MAX(0,Listes!$B$3-$G450)))</f>
        <v/>
      </c>
      <c r="P450" s="12">
        <f>IF($A450="","",IF($J450&lt;=0,"Payé",IF($M450="Oui","Litige",IF($O450=0,"À échoir",IF($O450&lt;=30,"0-30",IF($O450&lt;=60,"31-60",IF($O450&lt;=90,"61-90","90+")))))))</f>
        <v/>
      </c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9">
        <f>IF($A451="","",SUMIFS(Ventes_Encaissements!$D$6:$D$3005,Ventes_Encaissements!$B$6:$B$3005,$A451))</f>
        <v/>
      </c>
      <c r="J451" s="9">
        <f>IF($A451="","",$H451-$I451)</f>
        <v/>
      </c>
      <c r="K451" s="10">
        <f>IF($A451="","",IF($I451=0,"",_xludf.AGGREGATE(14,6,Ventes_Encaissements!$C$6:$C$3005/(Ventes_Encaissements!$B$6:$B$3005=$A451),1)))</f>
        <v/>
      </c>
      <c r="L451" s="11">
        <f>IF($A451="","",COUNTIFS(Ventes_Detail!$B$6:$B$3005,$A451))</f>
        <v/>
      </c>
      <c r="M451" s="12" t="n"/>
      <c r="N451" s="12">
        <f>IF($A451="","",IF($G451="","",IF($M451="Oui","Litige",IF($J451&lt;=0,"Payé",IF($I451&gt;0,"Partiel",IF(Listes!$B$3&gt;$G451,"En retard","À échoir"))))))</f>
        <v/>
      </c>
      <c r="O451" s="11">
        <f>IF($A451="","",IF(OR($G451="", $J451&lt;=0),0,MAX(0,Listes!$B$3-$G451)))</f>
        <v/>
      </c>
      <c r="P451" s="12">
        <f>IF($A451="","",IF($J451&lt;=0,"Payé",IF($M451="Oui","Litige",IF($O451=0,"À échoir",IF($O451&lt;=30,"0-30",IF($O451&lt;=60,"31-60",IF($O451&lt;=90,"61-90","90+")))))))</f>
        <v/>
      </c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9">
        <f>IF($A452="","",SUMIFS(Ventes_Encaissements!$D$6:$D$3005,Ventes_Encaissements!$B$6:$B$3005,$A452))</f>
        <v/>
      </c>
      <c r="J452" s="9">
        <f>IF($A452="","",$H452-$I452)</f>
        <v/>
      </c>
      <c r="K452" s="10">
        <f>IF($A452="","",IF($I452=0,"",_xludf.AGGREGATE(14,6,Ventes_Encaissements!$C$6:$C$3005/(Ventes_Encaissements!$B$6:$B$3005=$A452),1)))</f>
        <v/>
      </c>
      <c r="L452" s="11">
        <f>IF($A452="","",COUNTIFS(Ventes_Detail!$B$6:$B$3005,$A452))</f>
        <v/>
      </c>
      <c r="M452" s="12" t="n"/>
      <c r="N452" s="12">
        <f>IF($A452="","",IF($G452="","",IF($M452="Oui","Litige",IF($J452&lt;=0,"Payé",IF($I452&gt;0,"Partiel",IF(Listes!$B$3&gt;$G452,"En retard","À échoir"))))))</f>
        <v/>
      </c>
      <c r="O452" s="11">
        <f>IF($A452="","",IF(OR($G452="", $J452&lt;=0),0,MAX(0,Listes!$B$3-$G452)))</f>
        <v/>
      </c>
      <c r="P452" s="12">
        <f>IF($A452="","",IF($J452&lt;=0,"Payé",IF($M452="Oui","Litige",IF($O452=0,"À échoir",IF($O452&lt;=30,"0-30",IF($O452&lt;=60,"31-60",IF($O452&lt;=90,"61-90","90+")))))))</f>
        <v/>
      </c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9">
        <f>IF($A453="","",SUMIFS(Ventes_Encaissements!$D$6:$D$3005,Ventes_Encaissements!$B$6:$B$3005,$A453))</f>
        <v/>
      </c>
      <c r="J453" s="9">
        <f>IF($A453="","",$H453-$I453)</f>
        <v/>
      </c>
      <c r="K453" s="10">
        <f>IF($A453="","",IF($I453=0,"",_xludf.AGGREGATE(14,6,Ventes_Encaissements!$C$6:$C$3005/(Ventes_Encaissements!$B$6:$B$3005=$A453),1)))</f>
        <v/>
      </c>
      <c r="L453" s="11">
        <f>IF($A453="","",COUNTIFS(Ventes_Detail!$B$6:$B$3005,$A453))</f>
        <v/>
      </c>
      <c r="M453" s="12" t="n"/>
      <c r="N453" s="12">
        <f>IF($A453="","",IF($G453="","",IF($M453="Oui","Litige",IF($J453&lt;=0,"Payé",IF($I453&gt;0,"Partiel",IF(Listes!$B$3&gt;$G453,"En retard","À échoir"))))))</f>
        <v/>
      </c>
      <c r="O453" s="11">
        <f>IF($A453="","",IF(OR($G453="", $J453&lt;=0),0,MAX(0,Listes!$B$3-$G453)))</f>
        <v/>
      </c>
      <c r="P453" s="12">
        <f>IF($A453="","",IF($J453&lt;=0,"Payé",IF($M453="Oui","Litige",IF($O453=0,"À échoir",IF($O453&lt;=30,"0-30",IF($O453&lt;=60,"31-60",IF($O453&lt;=90,"61-90","90+")))))))</f>
        <v/>
      </c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9">
        <f>IF($A454="","",SUMIFS(Ventes_Encaissements!$D$6:$D$3005,Ventes_Encaissements!$B$6:$B$3005,$A454))</f>
        <v/>
      </c>
      <c r="J454" s="9">
        <f>IF($A454="","",$H454-$I454)</f>
        <v/>
      </c>
      <c r="K454" s="10">
        <f>IF($A454="","",IF($I454=0,"",_xludf.AGGREGATE(14,6,Ventes_Encaissements!$C$6:$C$3005/(Ventes_Encaissements!$B$6:$B$3005=$A454),1)))</f>
        <v/>
      </c>
      <c r="L454" s="11">
        <f>IF($A454="","",COUNTIFS(Ventes_Detail!$B$6:$B$3005,$A454))</f>
        <v/>
      </c>
      <c r="M454" s="12" t="n"/>
      <c r="N454" s="12">
        <f>IF($A454="","",IF($G454="","",IF($M454="Oui","Litige",IF($J454&lt;=0,"Payé",IF($I454&gt;0,"Partiel",IF(Listes!$B$3&gt;$G454,"En retard","À échoir"))))))</f>
        <v/>
      </c>
      <c r="O454" s="11">
        <f>IF($A454="","",IF(OR($G454="", $J454&lt;=0),0,MAX(0,Listes!$B$3-$G454)))</f>
        <v/>
      </c>
      <c r="P454" s="12">
        <f>IF($A454="","",IF($J454&lt;=0,"Payé",IF($M454="Oui","Litige",IF($O454=0,"À échoir",IF($O454&lt;=30,"0-30",IF($O454&lt;=60,"31-60",IF($O454&lt;=90,"61-90","90+")))))))</f>
        <v/>
      </c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9">
        <f>IF($A455="","",SUMIFS(Ventes_Encaissements!$D$6:$D$3005,Ventes_Encaissements!$B$6:$B$3005,$A455))</f>
        <v/>
      </c>
      <c r="J455" s="9">
        <f>IF($A455="","",$H455-$I455)</f>
        <v/>
      </c>
      <c r="K455" s="10">
        <f>IF($A455="","",IF($I455=0,"",_xludf.AGGREGATE(14,6,Ventes_Encaissements!$C$6:$C$3005/(Ventes_Encaissements!$B$6:$B$3005=$A455),1)))</f>
        <v/>
      </c>
      <c r="L455" s="11">
        <f>IF($A455="","",COUNTIFS(Ventes_Detail!$B$6:$B$3005,$A455))</f>
        <v/>
      </c>
      <c r="M455" s="12" t="n"/>
      <c r="N455" s="12">
        <f>IF($A455="","",IF($G455="","",IF($M455="Oui","Litige",IF($J455&lt;=0,"Payé",IF($I455&gt;0,"Partiel",IF(Listes!$B$3&gt;$G455,"En retard","À échoir"))))))</f>
        <v/>
      </c>
      <c r="O455" s="11">
        <f>IF($A455="","",IF(OR($G455="", $J455&lt;=0),0,MAX(0,Listes!$B$3-$G455)))</f>
        <v/>
      </c>
      <c r="P455" s="12">
        <f>IF($A455="","",IF($J455&lt;=0,"Payé",IF($M455="Oui","Litige",IF($O455=0,"À échoir",IF($O455&lt;=30,"0-30",IF($O455&lt;=60,"31-60",IF($O455&lt;=90,"61-90","90+")))))))</f>
        <v/>
      </c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9">
        <f>IF($A456="","",SUMIFS(Ventes_Encaissements!$D$6:$D$3005,Ventes_Encaissements!$B$6:$B$3005,$A456))</f>
        <v/>
      </c>
      <c r="J456" s="9">
        <f>IF($A456="","",$H456-$I456)</f>
        <v/>
      </c>
      <c r="K456" s="10">
        <f>IF($A456="","",IF($I456=0,"",_xludf.AGGREGATE(14,6,Ventes_Encaissements!$C$6:$C$3005/(Ventes_Encaissements!$B$6:$B$3005=$A456),1)))</f>
        <v/>
      </c>
      <c r="L456" s="11">
        <f>IF($A456="","",COUNTIFS(Ventes_Detail!$B$6:$B$3005,$A456))</f>
        <v/>
      </c>
      <c r="M456" s="12" t="n"/>
      <c r="N456" s="12">
        <f>IF($A456="","",IF($G456="","",IF($M456="Oui","Litige",IF($J456&lt;=0,"Payé",IF($I456&gt;0,"Partiel",IF(Listes!$B$3&gt;$G456,"En retard","À échoir"))))))</f>
        <v/>
      </c>
      <c r="O456" s="11">
        <f>IF($A456="","",IF(OR($G456="", $J456&lt;=0),0,MAX(0,Listes!$B$3-$G456)))</f>
        <v/>
      </c>
      <c r="P456" s="12">
        <f>IF($A456="","",IF($J456&lt;=0,"Payé",IF($M456="Oui","Litige",IF($O456=0,"À échoir",IF($O456&lt;=30,"0-30",IF($O456&lt;=60,"31-60",IF($O456&lt;=90,"61-90","90+")))))))</f>
        <v/>
      </c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9">
        <f>IF($A457="","",SUMIFS(Ventes_Encaissements!$D$6:$D$3005,Ventes_Encaissements!$B$6:$B$3005,$A457))</f>
        <v/>
      </c>
      <c r="J457" s="9">
        <f>IF($A457="","",$H457-$I457)</f>
        <v/>
      </c>
      <c r="K457" s="10">
        <f>IF($A457="","",IF($I457=0,"",_xludf.AGGREGATE(14,6,Ventes_Encaissements!$C$6:$C$3005/(Ventes_Encaissements!$B$6:$B$3005=$A457),1)))</f>
        <v/>
      </c>
      <c r="L457" s="11">
        <f>IF($A457="","",COUNTIFS(Ventes_Detail!$B$6:$B$3005,$A457))</f>
        <v/>
      </c>
      <c r="M457" s="12" t="n"/>
      <c r="N457" s="12">
        <f>IF($A457="","",IF($G457="","",IF($M457="Oui","Litige",IF($J457&lt;=0,"Payé",IF($I457&gt;0,"Partiel",IF(Listes!$B$3&gt;$G457,"En retard","À échoir"))))))</f>
        <v/>
      </c>
      <c r="O457" s="11">
        <f>IF($A457="","",IF(OR($G457="", $J457&lt;=0),0,MAX(0,Listes!$B$3-$G457)))</f>
        <v/>
      </c>
      <c r="P457" s="12">
        <f>IF($A457="","",IF($J457&lt;=0,"Payé",IF($M457="Oui","Litige",IF($O457=0,"À échoir",IF($O457&lt;=30,"0-30",IF($O457&lt;=60,"31-60",IF($O457&lt;=90,"61-90","90+")))))))</f>
        <v/>
      </c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9">
        <f>IF($A458="","",SUMIFS(Ventes_Encaissements!$D$6:$D$3005,Ventes_Encaissements!$B$6:$B$3005,$A458))</f>
        <v/>
      </c>
      <c r="J458" s="9">
        <f>IF($A458="","",$H458-$I458)</f>
        <v/>
      </c>
      <c r="K458" s="10">
        <f>IF($A458="","",IF($I458=0,"",_xludf.AGGREGATE(14,6,Ventes_Encaissements!$C$6:$C$3005/(Ventes_Encaissements!$B$6:$B$3005=$A458),1)))</f>
        <v/>
      </c>
      <c r="L458" s="11">
        <f>IF($A458="","",COUNTIFS(Ventes_Detail!$B$6:$B$3005,$A458))</f>
        <v/>
      </c>
      <c r="M458" s="12" t="n"/>
      <c r="N458" s="12">
        <f>IF($A458="","",IF($G458="","",IF($M458="Oui","Litige",IF($J458&lt;=0,"Payé",IF($I458&gt;0,"Partiel",IF(Listes!$B$3&gt;$G458,"En retard","À échoir"))))))</f>
        <v/>
      </c>
      <c r="O458" s="11">
        <f>IF($A458="","",IF(OR($G458="", $J458&lt;=0),0,MAX(0,Listes!$B$3-$G458)))</f>
        <v/>
      </c>
      <c r="P458" s="12">
        <f>IF($A458="","",IF($J458&lt;=0,"Payé",IF($M458="Oui","Litige",IF($O458=0,"À échoir",IF($O458&lt;=30,"0-30",IF($O458&lt;=60,"31-60",IF($O458&lt;=90,"61-90","90+")))))))</f>
        <v/>
      </c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9">
        <f>IF($A459="","",SUMIFS(Ventes_Encaissements!$D$6:$D$3005,Ventes_Encaissements!$B$6:$B$3005,$A459))</f>
        <v/>
      </c>
      <c r="J459" s="9">
        <f>IF($A459="","",$H459-$I459)</f>
        <v/>
      </c>
      <c r="K459" s="10">
        <f>IF($A459="","",IF($I459=0,"",_xludf.AGGREGATE(14,6,Ventes_Encaissements!$C$6:$C$3005/(Ventes_Encaissements!$B$6:$B$3005=$A459),1)))</f>
        <v/>
      </c>
      <c r="L459" s="11">
        <f>IF($A459="","",COUNTIFS(Ventes_Detail!$B$6:$B$3005,$A459))</f>
        <v/>
      </c>
      <c r="M459" s="12" t="n"/>
      <c r="N459" s="12">
        <f>IF($A459="","",IF($G459="","",IF($M459="Oui","Litige",IF($J459&lt;=0,"Payé",IF($I459&gt;0,"Partiel",IF(Listes!$B$3&gt;$G459,"En retard","À échoir"))))))</f>
        <v/>
      </c>
      <c r="O459" s="11">
        <f>IF($A459="","",IF(OR($G459="", $J459&lt;=0),0,MAX(0,Listes!$B$3-$G459)))</f>
        <v/>
      </c>
      <c r="P459" s="12">
        <f>IF($A459="","",IF($J459&lt;=0,"Payé",IF($M459="Oui","Litige",IF($O459=0,"À échoir",IF($O459&lt;=30,"0-30",IF($O459&lt;=60,"31-60",IF($O459&lt;=90,"61-90","90+")))))))</f>
        <v/>
      </c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9">
        <f>IF($A460="","",SUMIFS(Ventes_Encaissements!$D$6:$D$3005,Ventes_Encaissements!$B$6:$B$3005,$A460))</f>
        <v/>
      </c>
      <c r="J460" s="9">
        <f>IF($A460="","",$H460-$I460)</f>
        <v/>
      </c>
      <c r="K460" s="10">
        <f>IF($A460="","",IF($I460=0,"",_xludf.AGGREGATE(14,6,Ventes_Encaissements!$C$6:$C$3005/(Ventes_Encaissements!$B$6:$B$3005=$A460),1)))</f>
        <v/>
      </c>
      <c r="L460" s="11">
        <f>IF($A460="","",COUNTIFS(Ventes_Detail!$B$6:$B$3005,$A460))</f>
        <v/>
      </c>
      <c r="M460" s="12" t="n"/>
      <c r="N460" s="12">
        <f>IF($A460="","",IF($G460="","",IF($M460="Oui","Litige",IF($J460&lt;=0,"Payé",IF($I460&gt;0,"Partiel",IF(Listes!$B$3&gt;$G460,"En retard","À échoir"))))))</f>
        <v/>
      </c>
      <c r="O460" s="11">
        <f>IF($A460="","",IF(OR($G460="", $J460&lt;=0),0,MAX(0,Listes!$B$3-$G460)))</f>
        <v/>
      </c>
      <c r="P460" s="12">
        <f>IF($A460="","",IF($J460&lt;=0,"Payé",IF($M460="Oui","Litige",IF($O460=0,"À échoir",IF($O460&lt;=30,"0-30",IF($O460&lt;=60,"31-60",IF($O460&lt;=90,"61-90","90+")))))))</f>
        <v/>
      </c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9">
        <f>IF($A461="","",SUMIFS(Ventes_Encaissements!$D$6:$D$3005,Ventes_Encaissements!$B$6:$B$3005,$A461))</f>
        <v/>
      </c>
      <c r="J461" s="9">
        <f>IF($A461="","",$H461-$I461)</f>
        <v/>
      </c>
      <c r="K461" s="10">
        <f>IF($A461="","",IF($I461=0,"",_xludf.AGGREGATE(14,6,Ventes_Encaissements!$C$6:$C$3005/(Ventes_Encaissements!$B$6:$B$3005=$A461),1)))</f>
        <v/>
      </c>
      <c r="L461" s="11">
        <f>IF($A461="","",COUNTIFS(Ventes_Detail!$B$6:$B$3005,$A461))</f>
        <v/>
      </c>
      <c r="M461" s="12" t="n"/>
      <c r="N461" s="12">
        <f>IF($A461="","",IF($G461="","",IF($M461="Oui","Litige",IF($J461&lt;=0,"Payé",IF($I461&gt;0,"Partiel",IF(Listes!$B$3&gt;$G461,"En retard","À échoir"))))))</f>
        <v/>
      </c>
      <c r="O461" s="11">
        <f>IF($A461="","",IF(OR($G461="", $J461&lt;=0),0,MAX(0,Listes!$B$3-$G461)))</f>
        <v/>
      </c>
      <c r="P461" s="12">
        <f>IF($A461="","",IF($J461&lt;=0,"Payé",IF($M461="Oui","Litige",IF($O461=0,"À échoir",IF($O461&lt;=30,"0-30",IF($O461&lt;=60,"31-60",IF($O461&lt;=90,"61-90","90+")))))))</f>
        <v/>
      </c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9">
        <f>IF($A462="","",SUMIFS(Ventes_Encaissements!$D$6:$D$3005,Ventes_Encaissements!$B$6:$B$3005,$A462))</f>
        <v/>
      </c>
      <c r="J462" s="9">
        <f>IF($A462="","",$H462-$I462)</f>
        <v/>
      </c>
      <c r="K462" s="10">
        <f>IF($A462="","",IF($I462=0,"",_xludf.AGGREGATE(14,6,Ventes_Encaissements!$C$6:$C$3005/(Ventes_Encaissements!$B$6:$B$3005=$A462),1)))</f>
        <v/>
      </c>
      <c r="L462" s="11">
        <f>IF($A462="","",COUNTIFS(Ventes_Detail!$B$6:$B$3005,$A462))</f>
        <v/>
      </c>
      <c r="M462" s="12" t="n"/>
      <c r="N462" s="12">
        <f>IF($A462="","",IF($G462="","",IF($M462="Oui","Litige",IF($J462&lt;=0,"Payé",IF($I462&gt;0,"Partiel",IF(Listes!$B$3&gt;$G462,"En retard","À échoir"))))))</f>
        <v/>
      </c>
      <c r="O462" s="11">
        <f>IF($A462="","",IF(OR($G462="", $J462&lt;=0),0,MAX(0,Listes!$B$3-$G462)))</f>
        <v/>
      </c>
      <c r="P462" s="12">
        <f>IF($A462="","",IF($J462&lt;=0,"Payé",IF($M462="Oui","Litige",IF($O462=0,"À échoir",IF($O462&lt;=30,"0-30",IF($O462&lt;=60,"31-60",IF($O462&lt;=90,"61-90","90+")))))))</f>
        <v/>
      </c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9">
        <f>IF($A463="","",SUMIFS(Ventes_Encaissements!$D$6:$D$3005,Ventes_Encaissements!$B$6:$B$3005,$A463))</f>
        <v/>
      </c>
      <c r="J463" s="9">
        <f>IF($A463="","",$H463-$I463)</f>
        <v/>
      </c>
      <c r="K463" s="10">
        <f>IF($A463="","",IF($I463=0,"",_xludf.AGGREGATE(14,6,Ventes_Encaissements!$C$6:$C$3005/(Ventes_Encaissements!$B$6:$B$3005=$A463),1)))</f>
        <v/>
      </c>
      <c r="L463" s="11">
        <f>IF($A463="","",COUNTIFS(Ventes_Detail!$B$6:$B$3005,$A463))</f>
        <v/>
      </c>
      <c r="M463" s="12" t="n"/>
      <c r="N463" s="12">
        <f>IF($A463="","",IF($G463="","",IF($M463="Oui","Litige",IF($J463&lt;=0,"Payé",IF($I463&gt;0,"Partiel",IF(Listes!$B$3&gt;$G463,"En retard","À échoir"))))))</f>
        <v/>
      </c>
      <c r="O463" s="11">
        <f>IF($A463="","",IF(OR($G463="", $J463&lt;=0),0,MAX(0,Listes!$B$3-$G463)))</f>
        <v/>
      </c>
      <c r="P463" s="12">
        <f>IF($A463="","",IF($J463&lt;=0,"Payé",IF($M463="Oui","Litige",IF($O463=0,"À échoir",IF($O463&lt;=30,"0-30",IF($O463&lt;=60,"31-60",IF($O463&lt;=90,"61-90","90+")))))))</f>
        <v/>
      </c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9">
        <f>IF($A464="","",SUMIFS(Ventes_Encaissements!$D$6:$D$3005,Ventes_Encaissements!$B$6:$B$3005,$A464))</f>
        <v/>
      </c>
      <c r="J464" s="9">
        <f>IF($A464="","",$H464-$I464)</f>
        <v/>
      </c>
      <c r="K464" s="10">
        <f>IF($A464="","",IF($I464=0,"",_xludf.AGGREGATE(14,6,Ventes_Encaissements!$C$6:$C$3005/(Ventes_Encaissements!$B$6:$B$3005=$A464),1)))</f>
        <v/>
      </c>
      <c r="L464" s="11">
        <f>IF($A464="","",COUNTIFS(Ventes_Detail!$B$6:$B$3005,$A464))</f>
        <v/>
      </c>
      <c r="M464" s="12" t="n"/>
      <c r="N464" s="12">
        <f>IF($A464="","",IF($G464="","",IF($M464="Oui","Litige",IF($J464&lt;=0,"Payé",IF($I464&gt;0,"Partiel",IF(Listes!$B$3&gt;$G464,"En retard","À échoir"))))))</f>
        <v/>
      </c>
      <c r="O464" s="11">
        <f>IF($A464="","",IF(OR($G464="", $J464&lt;=0),0,MAX(0,Listes!$B$3-$G464)))</f>
        <v/>
      </c>
      <c r="P464" s="12">
        <f>IF($A464="","",IF($J464&lt;=0,"Payé",IF($M464="Oui","Litige",IF($O464=0,"À échoir",IF($O464&lt;=30,"0-30",IF($O464&lt;=60,"31-60",IF($O464&lt;=90,"61-90","90+")))))))</f>
        <v/>
      </c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9">
        <f>IF($A465="","",SUMIFS(Ventes_Encaissements!$D$6:$D$3005,Ventes_Encaissements!$B$6:$B$3005,$A465))</f>
        <v/>
      </c>
      <c r="J465" s="9">
        <f>IF($A465="","",$H465-$I465)</f>
        <v/>
      </c>
      <c r="K465" s="10">
        <f>IF($A465="","",IF($I465=0,"",_xludf.AGGREGATE(14,6,Ventes_Encaissements!$C$6:$C$3005/(Ventes_Encaissements!$B$6:$B$3005=$A465),1)))</f>
        <v/>
      </c>
      <c r="L465" s="11">
        <f>IF($A465="","",COUNTIFS(Ventes_Detail!$B$6:$B$3005,$A465))</f>
        <v/>
      </c>
      <c r="M465" s="12" t="n"/>
      <c r="N465" s="12">
        <f>IF($A465="","",IF($G465="","",IF($M465="Oui","Litige",IF($J465&lt;=0,"Payé",IF($I465&gt;0,"Partiel",IF(Listes!$B$3&gt;$G465,"En retard","À échoir"))))))</f>
        <v/>
      </c>
      <c r="O465" s="11">
        <f>IF($A465="","",IF(OR($G465="", $J465&lt;=0),0,MAX(0,Listes!$B$3-$G465)))</f>
        <v/>
      </c>
      <c r="P465" s="12">
        <f>IF($A465="","",IF($J465&lt;=0,"Payé",IF($M465="Oui","Litige",IF($O465=0,"À échoir",IF($O465&lt;=30,"0-30",IF($O465&lt;=60,"31-60",IF($O465&lt;=90,"61-90","90+")))))))</f>
        <v/>
      </c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9">
        <f>IF($A466="","",SUMIFS(Ventes_Encaissements!$D$6:$D$3005,Ventes_Encaissements!$B$6:$B$3005,$A466))</f>
        <v/>
      </c>
      <c r="J466" s="9">
        <f>IF($A466="","",$H466-$I466)</f>
        <v/>
      </c>
      <c r="K466" s="10">
        <f>IF($A466="","",IF($I466=0,"",_xludf.AGGREGATE(14,6,Ventes_Encaissements!$C$6:$C$3005/(Ventes_Encaissements!$B$6:$B$3005=$A466),1)))</f>
        <v/>
      </c>
      <c r="L466" s="11">
        <f>IF($A466="","",COUNTIFS(Ventes_Detail!$B$6:$B$3005,$A466))</f>
        <v/>
      </c>
      <c r="M466" s="12" t="n"/>
      <c r="N466" s="12">
        <f>IF($A466="","",IF($G466="","",IF($M466="Oui","Litige",IF($J466&lt;=0,"Payé",IF($I466&gt;0,"Partiel",IF(Listes!$B$3&gt;$G466,"En retard","À échoir"))))))</f>
        <v/>
      </c>
      <c r="O466" s="11">
        <f>IF($A466="","",IF(OR($G466="", $J466&lt;=0),0,MAX(0,Listes!$B$3-$G466)))</f>
        <v/>
      </c>
      <c r="P466" s="12">
        <f>IF($A466="","",IF($J466&lt;=0,"Payé",IF($M466="Oui","Litige",IF($O466=0,"À échoir",IF($O466&lt;=30,"0-30",IF($O466&lt;=60,"31-60",IF($O466&lt;=90,"61-90","90+")))))))</f>
        <v/>
      </c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9">
        <f>IF($A467="","",SUMIFS(Ventes_Encaissements!$D$6:$D$3005,Ventes_Encaissements!$B$6:$B$3005,$A467))</f>
        <v/>
      </c>
      <c r="J467" s="9">
        <f>IF($A467="","",$H467-$I467)</f>
        <v/>
      </c>
      <c r="K467" s="10">
        <f>IF($A467="","",IF($I467=0,"",_xludf.AGGREGATE(14,6,Ventes_Encaissements!$C$6:$C$3005/(Ventes_Encaissements!$B$6:$B$3005=$A467),1)))</f>
        <v/>
      </c>
      <c r="L467" s="11">
        <f>IF($A467="","",COUNTIFS(Ventes_Detail!$B$6:$B$3005,$A467))</f>
        <v/>
      </c>
      <c r="M467" s="12" t="n"/>
      <c r="N467" s="12">
        <f>IF($A467="","",IF($G467="","",IF($M467="Oui","Litige",IF($J467&lt;=0,"Payé",IF($I467&gt;0,"Partiel",IF(Listes!$B$3&gt;$G467,"En retard","À échoir"))))))</f>
        <v/>
      </c>
      <c r="O467" s="11">
        <f>IF($A467="","",IF(OR($G467="", $J467&lt;=0),0,MAX(0,Listes!$B$3-$G467)))</f>
        <v/>
      </c>
      <c r="P467" s="12">
        <f>IF($A467="","",IF($J467&lt;=0,"Payé",IF($M467="Oui","Litige",IF($O467=0,"À échoir",IF($O467&lt;=30,"0-30",IF($O467&lt;=60,"31-60",IF($O467&lt;=90,"61-90","90+")))))))</f>
        <v/>
      </c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9">
        <f>IF($A468="","",SUMIFS(Ventes_Encaissements!$D$6:$D$3005,Ventes_Encaissements!$B$6:$B$3005,$A468))</f>
        <v/>
      </c>
      <c r="J468" s="9">
        <f>IF($A468="","",$H468-$I468)</f>
        <v/>
      </c>
      <c r="K468" s="10">
        <f>IF($A468="","",IF($I468=0,"",_xludf.AGGREGATE(14,6,Ventes_Encaissements!$C$6:$C$3005/(Ventes_Encaissements!$B$6:$B$3005=$A468),1)))</f>
        <v/>
      </c>
      <c r="L468" s="11">
        <f>IF($A468="","",COUNTIFS(Ventes_Detail!$B$6:$B$3005,$A468))</f>
        <v/>
      </c>
      <c r="M468" s="12" t="n"/>
      <c r="N468" s="12">
        <f>IF($A468="","",IF($G468="","",IF($M468="Oui","Litige",IF($J468&lt;=0,"Payé",IF($I468&gt;0,"Partiel",IF(Listes!$B$3&gt;$G468,"En retard","À échoir"))))))</f>
        <v/>
      </c>
      <c r="O468" s="11">
        <f>IF($A468="","",IF(OR($G468="", $J468&lt;=0),0,MAX(0,Listes!$B$3-$G468)))</f>
        <v/>
      </c>
      <c r="P468" s="12">
        <f>IF($A468="","",IF($J468&lt;=0,"Payé",IF($M468="Oui","Litige",IF($O468=0,"À échoir",IF($O468&lt;=30,"0-30",IF($O468&lt;=60,"31-60",IF($O468&lt;=90,"61-90","90+")))))))</f>
        <v/>
      </c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9">
        <f>IF($A469="","",SUMIFS(Ventes_Encaissements!$D$6:$D$3005,Ventes_Encaissements!$B$6:$B$3005,$A469))</f>
        <v/>
      </c>
      <c r="J469" s="9">
        <f>IF($A469="","",$H469-$I469)</f>
        <v/>
      </c>
      <c r="K469" s="10">
        <f>IF($A469="","",IF($I469=0,"",_xludf.AGGREGATE(14,6,Ventes_Encaissements!$C$6:$C$3005/(Ventes_Encaissements!$B$6:$B$3005=$A469),1)))</f>
        <v/>
      </c>
      <c r="L469" s="11">
        <f>IF($A469="","",COUNTIFS(Ventes_Detail!$B$6:$B$3005,$A469))</f>
        <v/>
      </c>
      <c r="M469" s="12" t="n"/>
      <c r="N469" s="12">
        <f>IF($A469="","",IF($G469="","",IF($M469="Oui","Litige",IF($J469&lt;=0,"Payé",IF($I469&gt;0,"Partiel",IF(Listes!$B$3&gt;$G469,"En retard","À échoir"))))))</f>
        <v/>
      </c>
      <c r="O469" s="11">
        <f>IF($A469="","",IF(OR($G469="", $J469&lt;=0),0,MAX(0,Listes!$B$3-$G469)))</f>
        <v/>
      </c>
      <c r="P469" s="12">
        <f>IF($A469="","",IF($J469&lt;=0,"Payé",IF($M469="Oui","Litige",IF($O469=0,"À échoir",IF($O469&lt;=30,"0-30",IF($O469&lt;=60,"31-60",IF($O469&lt;=90,"61-90","90+")))))))</f>
        <v/>
      </c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9">
        <f>IF($A470="","",SUMIFS(Ventes_Encaissements!$D$6:$D$3005,Ventes_Encaissements!$B$6:$B$3005,$A470))</f>
        <v/>
      </c>
      <c r="J470" s="9">
        <f>IF($A470="","",$H470-$I470)</f>
        <v/>
      </c>
      <c r="K470" s="10">
        <f>IF($A470="","",IF($I470=0,"",_xludf.AGGREGATE(14,6,Ventes_Encaissements!$C$6:$C$3005/(Ventes_Encaissements!$B$6:$B$3005=$A470),1)))</f>
        <v/>
      </c>
      <c r="L470" s="11">
        <f>IF($A470="","",COUNTIFS(Ventes_Detail!$B$6:$B$3005,$A470))</f>
        <v/>
      </c>
      <c r="M470" s="12" t="n"/>
      <c r="N470" s="12">
        <f>IF($A470="","",IF($G470="","",IF($M470="Oui","Litige",IF($J470&lt;=0,"Payé",IF($I470&gt;0,"Partiel",IF(Listes!$B$3&gt;$G470,"En retard","À échoir"))))))</f>
        <v/>
      </c>
      <c r="O470" s="11">
        <f>IF($A470="","",IF(OR($G470="", $J470&lt;=0),0,MAX(0,Listes!$B$3-$G470)))</f>
        <v/>
      </c>
      <c r="P470" s="12">
        <f>IF($A470="","",IF($J470&lt;=0,"Payé",IF($M470="Oui","Litige",IF($O470=0,"À échoir",IF($O470&lt;=30,"0-30",IF($O470&lt;=60,"31-60",IF($O470&lt;=90,"61-90","90+")))))))</f>
        <v/>
      </c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9">
        <f>IF($A471="","",SUMIFS(Ventes_Encaissements!$D$6:$D$3005,Ventes_Encaissements!$B$6:$B$3005,$A471))</f>
        <v/>
      </c>
      <c r="J471" s="9">
        <f>IF($A471="","",$H471-$I471)</f>
        <v/>
      </c>
      <c r="K471" s="10">
        <f>IF($A471="","",IF($I471=0,"",_xludf.AGGREGATE(14,6,Ventes_Encaissements!$C$6:$C$3005/(Ventes_Encaissements!$B$6:$B$3005=$A471),1)))</f>
        <v/>
      </c>
      <c r="L471" s="11">
        <f>IF($A471="","",COUNTIFS(Ventes_Detail!$B$6:$B$3005,$A471))</f>
        <v/>
      </c>
      <c r="M471" s="12" t="n"/>
      <c r="N471" s="12">
        <f>IF($A471="","",IF($G471="","",IF($M471="Oui","Litige",IF($J471&lt;=0,"Payé",IF($I471&gt;0,"Partiel",IF(Listes!$B$3&gt;$G471,"En retard","À échoir"))))))</f>
        <v/>
      </c>
      <c r="O471" s="11">
        <f>IF($A471="","",IF(OR($G471="", $J471&lt;=0),0,MAX(0,Listes!$B$3-$G471)))</f>
        <v/>
      </c>
      <c r="P471" s="12">
        <f>IF($A471="","",IF($J471&lt;=0,"Payé",IF($M471="Oui","Litige",IF($O471=0,"À échoir",IF($O471&lt;=30,"0-30",IF($O471&lt;=60,"31-60",IF($O471&lt;=90,"61-90","90+")))))))</f>
        <v/>
      </c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9">
        <f>IF($A472="","",SUMIFS(Ventes_Encaissements!$D$6:$D$3005,Ventes_Encaissements!$B$6:$B$3005,$A472))</f>
        <v/>
      </c>
      <c r="J472" s="9">
        <f>IF($A472="","",$H472-$I472)</f>
        <v/>
      </c>
      <c r="K472" s="10">
        <f>IF($A472="","",IF($I472=0,"",_xludf.AGGREGATE(14,6,Ventes_Encaissements!$C$6:$C$3005/(Ventes_Encaissements!$B$6:$B$3005=$A472),1)))</f>
        <v/>
      </c>
      <c r="L472" s="11">
        <f>IF($A472="","",COUNTIFS(Ventes_Detail!$B$6:$B$3005,$A472))</f>
        <v/>
      </c>
      <c r="M472" s="12" t="n"/>
      <c r="N472" s="12">
        <f>IF($A472="","",IF($G472="","",IF($M472="Oui","Litige",IF($J472&lt;=0,"Payé",IF($I472&gt;0,"Partiel",IF(Listes!$B$3&gt;$G472,"En retard","À échoir"))))))</f>
        <v/>
      </c>
      <c r="O472" s="11">
        <f>IF($A472="","",IF(OR($G472="", $J472&lt;=0),0,MAX(0,Listes!$B$3-$G472)))</f>
        <v/>
      </c>
      <c r="P472" s="12">
        <f>IF($A472="","",IF($J472&lt;=0,"Payé",IF($M472="Oui","Litige",IF($O472=0,"À échoir",IF($O472&lt;=30,"0-30",IF($O472&lt;=60,"31-60",IF($O472&lt;=90,"61-90","90+")))))))</f>
        <v/>
      </c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9">
        <f>IF($A473="","",SUMIFS(Ventes_Encaissements!$D$6:$D$3005,Ventes_Encaissements!$B$6:$B$3005,$A473))</f>
        <v/>
      </c>
      <c r="J473" s="9">
        <f>IF($A473="","",$H473-$I473)</f>
        <v/>
      </c>
      <c r="K473" s="10">
        <f>IF($A473="","",IF($I473=0,"",_xludf.AGGREGATE(14,6,Ventes_Encaissements!$C$6:$C$3005/(Ventes_Encaissements!$B$6:$B$3005=$A473),1)))</f>
        <v/>
      </c>
      <c r="L473" s="11">
        <f>IF($A473="","",COUNTIFS(Ventes_Detail!$B$6:$B$3005,$A473))</f>
        <v/>
      </c>
      <c r="M473" s="12" t="n"/>
      <c r="N473" s="12">
        <f>IF($A473="","",IF($G473="","",IF($M473="Oui","Litige",IF($J473&lt;=0,"Payé",IF($I473&gt;0,"Partiel",IF(Listes!$B$3&gt;$G473,"En retard","À échoir"))))))</f>
        <v/>
      </c>
      <c r="O473" s="11">
        <f>IF($A473="","",IF(OR($G473="", $J473&lt;=0),0,MAX(0,Listes!$B$3-$G473)))</f>
        <v/>
      </c>
      <c r="P473" s="12">
        <f>IF($A473="","",IF($J473&lt;=0,"Payé",IF($M473="Oui","Litige",IF($O473=0,"À échoir",IF($O473&lt;=30,"0-30",IF($O473&lt;=60,"31-60",IF($O473&lt;=90,"61-90","90+")))))))</f>
        <v/>
      </c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9">
        <f>IF($A474="","",SUMIFS(Ventes_Encaissements!$D$6:$D$3005,Ventes_Encaissements!$B$6:$B$3005,$A474))</f>
        <v/>
      </c>
      <c r="J474" s="9">
        <f>IF($A474="","",$H474-$I474)</f>
        <v/>
      </c>
      <c r="K474" s="10">
        <f>IF($A474="","",IF($I474=0,"",_xludf.AGGREGATE(14,6,Ventes_Encaissements!$C$6:$C$3005/(Ventes_Encaissements!$B$6:$B$3005=$A474),1)))</f>
        <v/>
      </c>
      <c r="L474" s="11">
        <f>IF($A474="","",COUNTIFS(Ventes_Detail!$B$6:$B$3005,$A474))</f>
        <v/>
      </c>
      <c r="M474" s="12" t="n"/>
      <c r="N474" s="12">
        <f>IF($A474="","",IF($G474="","",IF($M474="Oui","Litige",IF($J474&lt;=0,"Payé",IF($I474&gt;0,"Partiel",IF(Listes!$B$3&gt;$G474,"En retard","À échoir"))))))</f>
        <v/>
      </c>
      <c r="O474" s="11">
        <f>IF($A474="","",IF(OR($G474="", $J474&lt;=0),0,MAX(0,Listes!$B$3-$G474)))</f>
        <v/>
      </c>
      <c r="P474" s="12">
        <f>IF($A474="","",IF($J474&lt;=0,"Payé",IF($M474="Oui","Litige",IF($O474=0,"À échoir",IF($O474&lt;=30,"0-30",IF($O474&lt;=60,"31-60",IF($O474&lt;=90,"61-90","90+")))))))</f>
        <v/>
      </c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9">
        <f>IF($A475="","",SUMIFS(Ventes_Encaissements!$D$6:$D$3005,Ventes_Encaissements!$B$6:$B$3005,$A475))</f>
        <v/>
      </c>
      <c r="J475" s="9">
        <f>IF($A475="","",$H475-$I475)</f>
        <v/>
      </c>
      <c r="K475" s="10">
        <f>IF($A475="","",IF($I475=0,"",_xludf.AGGREGATE(14,6,Ventes_Encaissements!$C$6:$C$3005/(Ventes_Encaissements!$B$6:$B$3005=$A475),1)))</f>
        <v/>
      </c>
      <c r="L475" s="11">
        <f>IF($A475="","",COUNTIFS(Ventes_Detail!$B$6:$B$3005,$A475))</f>
        <v/>
      </c>
      <c r="M475" s="12" t="n"/>
      <c r="N475" s="12">
        <f>IF($A475="","",IF($G475="","",IF($M475="Oui","Litige",IF($J475&lt;=0,"Payé",IF($I475&gt;0,"Partiel",IF(Listes!$B$3&gt;$G475,"En retard","À échoir"))))))</f>
        <v/>
      </c>
      <c r="O475" s="11">
        <f>IF($A475="","",IF(OR($G475="", $J475&lt;=0),0,MAX(0,Listes!$B$3-$G475)))</f>
        <v/>
      </c>
      <c r="P475" s="12">
        <f>IF($A475="","",IF($J475&lt;=0,"Payé",IF($M475="Oui","Litige",IF($O475=0,"À échoir",IF($O475&lt;=30,"0-30",IF($O475&lt;=60,"31-60",IF($O475&lt;=90,"61-90","90+")))))))</f>
        <v/>
      </c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9">
        <f>IF($A476="","",SUMIFS(Ventes_Encaissements!$D$6:$D$3005,Ventes_Encaissements!$B$6:$B$3005,$A476))</f>
        <v/>
      </c>
      <c r="J476" s="9">
        <f>IF($A476="","",$H476-$I476)</f>
        <v/>
      </c>
      <c r="K476" s="10">
        <f>IF($A476="","",IF($I476=0,"",_xludf.AGGREGATE(14,6,Ventes_Encaissements!$C$6:$C$3005/(Ventes_Encaissements!$B$6:$B$3005=$A476),1)))</f>
        <v/>
      </c>
      <c r="L476" s="11">
        <f>IF($A476="","",COUNTIFS(Ventes_Detail!$B$6:$B$3005,$A476))</f>
        <v/>
      </c>
      <c r="M476" s="12" t="n"/>
      <c r="N476" s="12">
        <f>IF($A476="","",IF($G476="","",IF($M476="Oui","Litige",IF($J476&lt;=0,"Payé",IF($I476&gt;0,"Partiel",IF(Listes!$B$3&gt;$G476,"En retard","À échoir"))))))</f>
        <v/>
      </c>
      <c r="O476" s="11">
        <f>IF($A476="","",IF(OR($G476="", $J476&lt;=0),0,MAX(0,Listes!$B$3-$G476)))</f>
        <v/>
      </c>
      <c r="P476" s="12">
        <f>IF($A476="","",IF($J476&lt;=0,"Payé",IF($M476="Oui","Litige",IF($O476=0,"À échoir",IF($O476&lt;=30,"0-30",IF($O476&lt;=60,"31-60",IF($O476&lt;=90,"61-90","90+")))))))</f>
        <v/>
      </c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9">
        <f>IF($A477="","",SUMIFS(Ventes_Encaissements!$D$6:$D$3005,Ventes_Encaissements!$B$6:$B$3005,$A477))</f>
        <v/>
      </c>
      <c r="J477" s="9">
        <f>IF($A477="","",$H477-$I477)</f>
        <v/>
      </c>
      <c r="K477" s="10">
        <f>IF($A477="","",IF($I477=0,"",_xludf.AGGREGATE(14,6,Ventes_Encaissements!$C$6:$C$3005/(Ventes_Encaissements!$B$6:$B$3005=$A477),1)))</f>
        <v/>
      </c>
      <c r="L477" s="11">
        <f>IF($A477="","",COUNTIFS(Ventes_Detail!$B$6:$B$3005,$A477))</f>
        <v/>
      </c>
      <c r="M477" s="12" t="n"/>
      <c r="N477" s="12">
        <f>IF($A477="","",IF($G477="","",IF($M477="Oui","Litige",IF($J477&lt;=0,"Payé",IF($I477&gt;0,"Partiel",IF(Listes!$B$3&gt;$G477,"En retard","À échoir"))))))</f>
        <v/>
      </c>
      <c r="O477" s="11">
        <f>IF($A477="","",IF(OR($G477="", $J477&lt;=0),0,MAX(0,Listes!$B$3-$G477)))</f>
        <v/>
      </c>
      <c r="P477" s="12">
        <f>IF($A477="","",IF($J477&lt;=0,"Payé",IF($M477="Oui","Litige",IF($O477=0,"À échoir",IF($O477&lt;=30,"0-30",IF($O477&lt;=60,"31-60",IF($O477&lt;=90,"61-90","90+")))))))</f>
        <v/>
      </c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9">
        <f>IF($A478="","",SUMIFS(Ventes_Encaissements!$D$6:$D$3005,Ventes_Encaissements!$B$6:$B$3005,$A478))</f>
        <v/>
      </c>
      <c r="J478" s="9">
        <f>IF($A478="","",$H478-$I478)</f>
        <v/>
      </c>
      <c r="K478" s="10">
        <f>IF($A478="","",IF($I478=0,"",_xludf.AGGREGATE(14,6,Ventes_Encaissements!$C$6:$C$3005/(Ventes_Encaissements!$B$6:$B$3005=$A478),1)))</f>
        <v/>
      </c>
      <c r="L478" s="11">
        <f>IF($A478="","",COUNTIFS(Ventes_Detail!$B$6:$B$3005,$A478))</f>
        <v/>
      </c>
      <c r="M478" s="12" t="n"/>
      <c r="N478" s="12">
        <f>IF($A478="","",IF($G478="","",IF($M478="Oui","Litige",IF($J478&lt;=0,"Payé",IF($I478&gt;0,"Partiel",IF(Listes!$B$3&gt;$G478,"En retard","À échoir"))))))</f>
        <v/>
      </c>
      <c r="O478" s="11">
        <f>IF($A478="","",IF(OR($G478="", $J478&lt;=0),0,MAX(0,Listes!$B$3-$G478)))</f>
        <v/>
      </c>
      <c r="P478" s="12">
        <f>IF($A478="","",IF($J478&lt;=0,"Payé",IF($M478="Oui","Litige",IF($O478=0,"À échoir",IF($O478&lt;=30,"0-30",IF($O478&lt;=60,"31-60",IF($O478&lt;=90,"61-90","90+")))))))</f>
        <v/>
      </c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9">
        <f>IF($A479="","",SUMIFS(Ventes_Encaissements!$D$6:$D$3005,Ventes_Encaissements!$B$6:$B$3005,$A479))</f>
        <v/>
      </c>
      <c r="J479" s="9">
        <f>IF($A479="","",$H479-$I479)</f>
        <v/>
      </c>
      <c r="K479" s="10">
        <f>IF($A479="","",IF($I479=0,"",_xludf.AGGREGATE(14,6,Ventes_Encaissements!$C$6:$C$3005/(Ventes_Encaissements!$B$6:$B$3005=$A479),1)))</f>
        <v/>
      </c>
      <c r="L479" s="11">
        <f>IF($A479="","",COUNTIFS(Ventes_Detail!$B$6:$B$3005,$A479))</f>
        <v/>
      </c>
      <c r="M479" s="12" t="n"/>
      <c r="N479" s="12">
        <f>IF($A479="","",IF($G479="","",IF($M479="Oui","Litige",IF($J479&lt;=0,"Payé",IF($I479&gt;0,"Partiel",IF(Listes!$B$3&gt;$G479,"En retard","À échoir"))))))</f>
        <v/>
      </c>
      <c r="O479" s="11">
        <f>IF($A479="","",IF(OR($G479="", $J479&lt;=0),0,MAX(0,Listes!$B$3-$G479)))</f>
        <v/>
      </c>
      <c r="P479" s="12">
        <f>IF($A479="","",IF($J479&lt;=0,"Payé",IF($M479="Oui","Litige",IF($O479=0,"À échoir",IF($O479&lt;=30,"0-30",IF($O479&lt;=60,"31-60",IF($O479&lt;=90,"61-90","90+")))))))</f>
        <v/>
      </c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9">
        <f>IF($A480="","",SUMIFS(Ventes_Encaissements!$D$6:$D$3005,Ventes_Encaissements!$B$6:$B$3005,$A480))</f>
        <v/>
      </c>
      <c r="J480" s="9">
        <f>IF($A480="","",$H480-$I480)</f>
        <v/>
      </c>
      <c r="K480" s="10">
        <f>IF($A480="","",IF($I480=0,"",_xludf.AGGREGATE(14,6,Ventes_Encaissements!$C$6:$C$3005/(Ventes_Encaissements!$B$6:$B$3005=$A480),1)))</f>
        <v/>
      </c>
      <c r="L480" s="11">
        <f>IF($A480="","",COUNTIFS(Ventes_Detail!$B$6:$B$3005,$A480))</f>
        <v/>
      </c>
      <c r="M480" s="12" t="n"/>
      <c r="N480" s="12">
        <f>IF($A480="","",IF($G480="","",IF($M480="Oui","Litige",IF($J480&lt;=0,"Payé",IF($I480&gt;0,"Partiel",IF(Listes!$B$3&gt;$G480,"En retard","À échoir"))))))</f>
        <v/>
      </c>
      <c r="O480" s="11">
        <f>IF($A480="","",IF(OR($G480="", $J480&lt;=0),0,MAX(0,Listes!$B$3-$G480)))</f>
        <v/>
      </c>
      <c r="P480" s="12">
        <f>IF($A480="","",IF($J480&lt;=0,"Payé",IF($M480="Oui","Litige",IF($O480=0,"À échoir",IF($O480&lt;=30,"0-30",IF($O480&lt;=60,"31-60",IF($O480&lt;=90,"61-90","90+")))))))</f>
        <v/>
      </c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9">
        <f>IF($A481="","",SUMIFS(Ventes_Encaissements!$D$6:$D$3005,Ventes_Encaissements!$B$6:$B$3005,$A481))</f>
        <v/>
      </c>
      <c r="J481" s="9">
        <f>IF($A481="","",$H481-$I481)</f>
        <v/>
      </c>
      <c r="K481" s="10">
        <f>IF($A481="","",IF($I481=0,"",_xludf.AGGREGATE(14,6,Ventes_Encaissements!$C$6:$C$3005/(Ventes_Encaissements!$B$6:$B$3005=$A481),1)))</f>
        <v/>
      </c>
      <c r="L481" s="11">
        <f>IF($A481="","",COUNTIFS(Ventes_Detail!$B$6:$B$3005,$A481))</f>
        <v/>
      </c>
      <c r="M481" s="12" t="n"/>
      <c r="N481" s="12">
        <f>IF($A481="","",IF($G481="","",IF($M481="Oui","Litige",IF($J481&lt;=0,"Payé",IF($I481&gt;0,"Partiel",IF(Listes!$B$3&gt;$G481,"En retard","À échoir"))))))</f>
        <v/>
      </c>
      <c r="O481" s="11">
        <f>IF($A481="","",IF(OR($G481="", $J481&lt;=0),0,MAX(0,Listes!$B$3-$G481)))</f>
        <v/>
      </c>
      <c r="P481" s="12">
        <f>IF($A481="","",IF($J481&lt;=0,"Payé",IF($M481="Oui","Litige",IF($O481=0,"À échoir",IF($O481&lt;=30,"0-30",IF($O481&lt;=60,"31-60",IF($O481&lt;=90,"61-90","90+")))))))</f>
        <v/>
      </c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9">
        <f>IF($A482="","",SUMIFS(Ventes_Encaissements!$D$6:$D$3005,Ventes_Encaissements!$B$6:$B$3005,$A482))</f>
        <v/>
      </c>
      <c r="J482" s="9">
        <f>IF($A482="","",$H482-$I482)</f>
        <v/>
      </c>
      <c r="K482" s="10">
        <f>IF($A482="","",IF($I482=0,"",_xludf.AGGREGATE(14,6,Ventes_Encaissements!$C$6:$C$3005/(Ventes_Encaissements!$B$6:$B$3005=$A482),1)))</f>
        <v/>
      </c>
      <c r="L482" s="11">
        <f>IF($A482="","",COUNTIFS(Ventes_Detail!$B$6:$B$3005,$A482))</f>
        <v/>
      </c>
      <c r="M482" s="12" t="n"/>
      <c r="N482" s="12">
        <f>IF($A482="","",IF($G482="","",IF($M482="Oui","Litige",IF($J482&lt;=0,"Payé",IF($I482&gt;0,"Partiel",IF(Listes!$B$3&gt;$G482,"En retard","À échoir"))))))</f>
        <v/>
      </c>
      <c r="O482" s="11">
        <f>IF($A482="","",IF(OR($G482="", $J482&lt;=0),0,MAX(0,Listes!$B$3-$G482)))</f>
        <v/>
      </c>
      <c r="P482" s="12">
        <f>IF($A482="","",IF($J482&lt;=0,"Payé",IF($M482="Oui","Litige",IF($O482=0,"À échoir",IF($O482&lt;=30,"0-30",IF($O482&lt;=60,"31-60",IF($O482&lt;=90,"61-90","90+")))))))</f>
        <v/>
      </c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9">
        <f>IF($A483="","",SUMIFS(Ventes_Encaissements!$D$6:$D$3005,Ventes_Encaissements!$B$6:$B$3005,$A483))</f>
        <v/>
      </c>
      <c r="J483" s="9">
        <f>IF($A483="","",$H483-$I483)</f>
        <v/>
      </c>
      <c r="K483" s="10">
        <f>IF($A483="","",IF($I483=0,"",_xludf.AGGREGATE(14,6,Ventes_Encaissements!$C$6:$C$3005/(Ventes_Encaissements!$B$6:$B$3005=$A483),1)))</f>
        <v/>
      </c>
      <c r="L483" s="11">
        <f>IF($A483="","",COUNTIFS(Ventes_Detail!$B$6:$B$3005,$A483))</f>
        <v/>
      </c>
      <c r="M483" s="12" t="n"/>
      <c r="N483" s="12">
        <f>IF($A483="","",IF($G483="","",IF($M483="Oui","Litige",IF($J483&lt;=0,"Payé",IF($I483&gt;0,"Partiel",IF(Listes!$B$3&gt;$G483,"En retard","À échoir"))))))</f>
        <v/>
      </c>
      <c r="O483" s="11">
        <f>IF($A483="","",IF(OR($G483="", $J483&lt;=0),0,MAX(0,Listes!$B$3-$G483)))</f>
        <v/>
      </c>
      <c r="P483" s="12">
        <f>IF($A483="","",IF($J483&lt;=0,"Payé",IF($M483="Oui","Litige",IF($O483=0,"À échoir",IF($O483&lt;=30,"0-30",IF($O483&lt;=60,"31-60",IF($O483&lt;=90,"61-90","90+")))))))</f>
        <v/>
      </c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9">
        <f>IF($A484="","",SUMIFS(Ventes_Encaissements!$D$6:$D$3005,Ventes_Encaissements!$B$6:$B$3005,$A484))</f>
        <v/>
      </c>
      <c r="J484" s="9">
        <f>IF($A484="","",$H484-$I484)</f>
        <v/>
      </c>
      <c r="K484" s="10">
        <f>IF($A484="","",IF($I484=0,"",_xludf.AGGREGATE(14,6,Ventes_Encaissements!$C$6:$C$3005/(Ventes_Encaissements!$B$6:$B$3005=$A484),1)))</f>
        <v/>
      </c>
      <c r="L484" s="11">
        <f>IF($A484="","",COUNTIFS(Ventes_Detail!$B$6:$B$3005,$A484))</f>
        <v/>
      </c>
      <c r="M484" s="12" t="n"/>
      <c r="N484" s="12">
        <f>IF($A484="","",IF($G484="","",IF($M484="Oui","Litige",IF($J484&lt;=0,"Payé",IF($I484&gt;0,"Partiel",IF(Listes!$B$3&gt;$G484,"En retard","À échoir"))))))</f>
        <v/>
      </c>
      <c r="O484" s="11">
        <f>IF($A484="","",IF(OR($G484="", $J484&lt;=0),0,MAX(0,Listes!$B$3-$G484)))</f>
        <v/>
      </c>
      <c r="P484" s="12">
        <f>IF($A484="","",IF($J484&lt;=0,"Payé",IF($M484="Oui","Litige",IF($O484=0,"À échoir",IF($O484&lt;=30,"0-30",IF($O484&lt;=60,"31-60",IF($O484&lt;=90,"61-90","90+")))))))</f>
        <v/>
      </c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9">
        <f>IF($A485="","",SUMIFS(Ventes_Encaissements!$D$6:$D$3005,Ventes_Encaissements!$B$6:$B$3005,$A485))</f>
        <v/>
      </c>
      <c r="J485" s="9">
        <f>IF($A485="","",$H485-$I485)</f>
        <v/>
      </c>
      <c r="K485" s="10">
        <f>IF($A485="","",IF($I485=0,"",_xludf.AGGREGATE(14,6,Ventes_Encaissements!$C$6:$C$3005/(Ventes_Encaissements!$B$6:$B$3005=$A485),1)))</f>
        <v/>
      </c>
      <c r="L485" s="11">
        <f>IF($A485="","",COUNTIFS(Ventes_Detail!$B$6:$B$3005,$A485))</f>
        <v/>
      </c>
      <c r="M485" s="12" t="n"/>
      <c r="N485" s="12">
        <f>IF($A485="","",IF($G485="","",IF($M485="Oui","Litige",IF($J485&lt;=0,"Payé",IF($I485&gt;0,"Partiel",IF(Listes!$B$3&gt;$G485,"En retard","À échoir"))))))</f>
        <v/>
      </c>
      <c r="O485" s="11">
        <f>IF($A485="","",IF(OR($G485="", $J485&lt;=0),0,MAX(0,Listes!$B$3-$G485)))</f>
        <v/>
      </c>
      <c r="P485" s="12">
        <f>IF($A485="","",IF($J485&lt;=0,"Payé",IF($M485="Oui","Litige",IF($O485=0,"À échoir",IF($O485&lt;=30,"0-30",IF($O485&lt;=60,"31-60",IF($O485&lt;=90,"61-90","90+")))))))</f>
        <v/>
      </c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9">
        <f>IF($A486="","",SUMIFS(Ventes_Encaissements!$D$6:$D$3005,Ventes_Encaissements!$B$6:$B$3005,$A486))</f>
        <v/>
      </c>
      <c r="J486" s="9">
        <f>IF($A486="","",$H486-$I486)</f>
        <v/>
      </c>
      <c r="K486" s="10">
        <f>IF($A486="","",IF($I486=0,"",_xludf.AGGREGATE(14,6,Ventes_Encaissements!$C$6:$C$3005/(Ventes_Encaissements!$B$6:$B$3005=$A486),1)))</f>
        <v/>
      </c>
      <c r="L486" s="11">
        <f>IF($A486="","",COUNTIFS(Ventes_Detail!$B$6:$B$3005,$A486))</f>
        <v/>
      </c>
      <c r="M486" s="12" t="n"/>
      <c r="N486" s="12">
        <f>IF($A486="","",IF($G486="","",IF($M486="Oui","Litige",IF($J486&lt;=0,"Payé",IF($I486&gt;0,"Partiel",IF(Listes!$B$3&gt;$G486,"En retard","À échoir"))))))</f>
        <v/>
      </c>
      <c r="O486" s="11">
        <f>IF($A486="","",IF(OR($G486="", $J486&lt;=0),0,MAX(0,Listes!$B$3-$G486)))</f>
        <v/>
      </c>
      <c r="P486" s="12">
        <f>IF($A486="","",IF($J486&lt;=0,"Payé",IF($M486="Oui","Litige",IF($O486=0,"À échoir",IF($O486&lt;=30,"0-30",IF($O486&lt;=60,"31-60",IF($O486&lt;=90,"61-90","90+")))))))</f>
        <v/>
      </c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9">
        <f>IF($A487="","",SUMIFS(Ventes_Encaissements!$D$6:$D$3005,Ventes_Encaissements!$B$6:$B$3005,$A487))</f>
        <v/>
      </c>
      <c r="J487" s="9">
        <f>IF($A487="","",$H487-$I487)</f>
        <v/>
      </c>
      <c r="K487" s="10">
        <f>IF($A487="","",IF($I487=0,"",_xludf.AGGREGATE(14,6,Ventes_Encaissements!$C$6:$C$3005/(Ventes_Encaissements!$B$6:$B$3005=$A487),1)))</f>
        <v/>
      </c>
      <c r="L487" s="11">
        <f>IF($A487="","",COUNTIFS(Ventes_Detail!$B$6:$B$3005,$A487))</f>
        <v/>
      </c>
      <c r="M487" s="12" t="n"/>
      <c r="N487" s="12">
        <f>IF($A487="","",IF($G487="","",IF($M487="Oui","Litige",IF($J487&lt;=0,"Payé",IF($I487&gt;0,"Partiel",IF(Listes!$B$3&gt;$G487,"En retard","À échoir"))))))</f>
        <v/>
      </c>
      <c r="O487" s="11">
        <f>IF($A487="","",IF(OR($G487="", $J487&lt;=0),0,MAX(0,Listes!$B$3-$G487)))</f>
        <v/>
      </c>
      <c r="P487" s="12">
        <f>IF($A487="","",IF($J487&lt;=0,"Payé",IF($M487="Oui","Litige",IF($O487=0,"À échoir",IF($O487&lt;=30,"0-30",IF($O487&lt;=60,"31-60",IF($O487&lt;=90,"61-90","90+")))))))</f>
        <v/>
      </c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9">
        <f>IF($A488="","",SUMIFS(Ventes_Encaissements!$D$6:$D$3005,Ventes_Encaissements!$B$6:$B$3005,$A488))</f>
        <v/>
      </c>
      <c r="J488" s="9">
        <f>IF($A488="","",$H488-$I488)</f>
        <v/>
      </c>
      <c r="K488" s="10">
        <f>IF($A488="","",IF($I488=0,"",_xludf.AGGREGATE(14,6,Ventes_Encaissements!$C$6:$C$3005/(Ventes_Encaissements!$B$6:$B$3005=$A488),1)))</f>
        <v/>
      </c>
      <c r="L488" s="11">
        <f>IF($A488="","",COUNTIFS(Ventes_Detail!$B$6:$B$3005,$A488))</f>
        <v/>
      </c>
      <c r="M488" s="12" t="n"/>
      <c r="N488" s="12">
        <f>IF($A488="","",IF($G488="","",IF($M488="Oui","Litige",IF($J488&lt;=0,"Payé",IF($I488&gt;0,"Partiel",IF(Listes!$B$3&gt;$G488,"En retard","À échoir"))))))</f>
        <v/>
      </c>
      <c r="O488" s="11">
        <f>IF($A488="","",IF(OR($G488="", $J488&lt;=0),0,MAX(0,Listes!$B$3-$G488)))</f>
        <v/>
      </c>
      <c r="P488" s="12">
        <f>IF($A488="","",IF($J488&lt;=0,"Payé",IF($M488="Oui","Litige",IF($O488=0,"À échoir",IF($O488&lt;=30,"0-30",IF($O488&lt;=60,"31-60",IF($O488&lt;=90,"61-90","90+")))))))</f>
        <v/>
      </c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9">
        <f>IF($A489="","",SUMIFS(Ventes_Encaissements!$D$6:$D$3005,Ventes_Encaissements!$B$6:$B$3005,$A489))</f>
        <v/>
      </c>
      <c r="J489" s="9">
        <f>IF($A489="","",$H489-$I489)</f>
        <v/>
      </c>
      <c r="K489" s="10">
        <f>IF($A489="","",IF($I489=0,"",_xludf.AGGREGATE(14,6,Ventes_Encaissements!$C$6:$C$3005/(Ventes_Encaissements!$B$6:$B$3005=$A489),1)))</f>
        <v/>
      </c>
      <c r="L489" s="11">
        <f>IF($A489="","",COUNTIFS(Ventes_Detail!$B$6:$B$3005,$A489))</f>
        <v/>
      </c>
      <c r="M489" s="12" t="n"/>
      <c r="N489" s="12">
        <f>IF($A489="","",IF($G489="","",IF($M489="Oui","Litige",IF($J489&lt;=0,"Payé",IF($I489&gt;0,"Partiel",IF(Listes!$B$3&gt;$G489,"En retard","À échoir"))))))</f>
        <v/>
      </c>
      <c r="O489" s="11">
        <f>IF($A489="","",IF(OR($G489="", $J489&lt;=0),0,MAX(0,Listes!$B$3-$G489)))</f>
        <v/>
      </c>
      <c r="P489" s="12">
        <f>IF($A489="","",IF($J489&lt;=0,"Payé",IF($M489="Oui","Litige",IF($O489=0,"À échoir",IF($O489&lt;=30,"0-30",IF($O489&lt;=60,"31-60",IF($O489&lt;=90,"61-90","90+")))))))</f>
        <v/>
      </c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9">
        <f>IF($A490="","",SUMIFS(Ventes_Encaissements!$D$6:$D$3005,Ventes_Encaissements!$B$6:$B$3005,$A490))</f>
        <v/>
      </c>
      <c r="J490" s="9">
        <f>IF($A490="","",$H490-$I490)</f>
        <v/>
      </c>
      <c r="K490" s="10">
        <f>IF($A490="","",IF($I490=0,"",_xludf.AGGREGATE(14,6,Ventes_Encaissements!$C$6:$C$3005/(Ventes_Encaissements!$B$6:$B$3005=$A490),1)))</f>
        <v/>
      </c>
      <c r="L490" s="11">
        <f>IF($A490="","",COUNTIFS(Ventes_Detail!$B$6:$B$3005,$A490))</f>
        <v/>
      </c>
      <c r="M490" s="12" t="n"/>
      <c r="N490" s="12">
        <f>IF($A490="","",IF($G490="","",IF($M490="Oui","Litige",IF($J490&lt;=0,"Payé",IF($I490&gt;0,"Partiel",IF(Listes!$B$3&gt;$G490,"En retard","À échoir"))))))</f>
        <v/>
      </c>
      <c r="O490" s="11">
        <f>IF($A490="","",IF(OR($G490="", $J490&lt;=0),0,MAX(0,Listes!$B$3-$G490)))</f>
        <v/>
      </c>
      <c r="P490" s="12">
        <f>IF($A490="","",IF($J490&lt;=0,"Payé",IF($M490="Oui","Litige",IF($O490=0,"À échoir",IF($O490&lt;=30,"0-30",IF($O490&lt;=60,"31-60",IF($O490&lt;=90,"61-90","90+")))))))</f>
        <v/>
      </c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9">
        <f>IF($A491="","",SUMIFS(Ventes_Encaissements!$D$6:$D$3005,Ventes_Encaissements!$B$6:$B$3005,$A491))</f>
        <v/>
      </c>
      <c r="J491" s="9">
        <f>IF($A491="","",$H491-$I491)</f>
        <v/>
      </c>
      <c r="K491" s="10">
        <f>IF($A491="","",IF($I491=0,"",_xludf.AGGREGATE(14,6,Ventes_Encaissements!$C$6:$C$3005/(Ventes_Encaissements!$B$6:$B$3005=$A491),1)))</f>
        <v/>
      </c>
      <c r="L491" s="11">
        <f>IF($A491="","",COUNTIFS(Ventes_Detail!$B$6:$B$3005,$A491))</f>
        <v/>
      </c>
      <c r="M491" s="12" t="n"/>
      <c r="N491" s="12">
        <f>IF($A491="","",IF($G491="","",IF($M491="Oui","Litige",IF($J491&lt;=0,"Payé",IF($I491&gt;0,"Partiel",IF(Listes!$B$3&gt;$G491,"En retard","À échoir"))))))</f>
        <v/>
      </c>
      <c r="O491" s="11">
        <f>IF($A491="","",IF(OR($G491="", $J491&lt;=0),0,MAX(0,Listes!$B$3-$G491)))</f>
        <v/>
      </c>
      <c r="P491" s="12">
        <f>IF($A491="","",IF($J491&lt;=0,"Payé",IF($M491="Oui","Litige",IF($O491=0,"À échoir",IF($O491&lt;=30,"0-30",IF($O491&lt;=60,"31-60",IF($O491&lt;=90,"61-90","90+")))))))</f>
        <v/>
      </c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9">
        <f>IF($A492="","",SUMIFS(Ventes_Encaissements!$D$6:$D$3005,Ventes_Encaissements!$B$6:$B$3005,$A492))</f>
        <v/>
      </c>
      <c r="J492" s="9">
        <f>IF($A492="","",$H492-$I492)</f>
        <v/>
      </c>
      <c r="K492" s="10">
        <f>IF($A492="","",IF($I492=0,"",_xludf.AGGREGATE(14,6,Ventes_Encaissements!$C$6:$C$3005/(Ventes_Encaissements!$B$6:$B$3005=$A492),1)))</f>
        <v/>
      </c>
      <c r="L492" s="11">
        <f>IF($A492="","",COUNTIFS(Ventes_Detail!$B$6:$B$3005,$A492))</f>
        <v/>
      </c>
      <c r="M492" s="12" t="n"/>
      <c r="N492" s="12">
        <f>IF($A492="","",IF($G492="","",IF($M492="Oui","Litige",IF($J492&lt;=0,"Payé",IF($I492&gt;0,"Partiel",IF(Listes!$B$3&gt;$G492,"En retard","À échoir"))))))</f>
        <v/>
      </c>
      <c r="O492" s="11">
        <f>IF($A492="","",IF(OR($G492="", $J492&lt;=0),0,MAX(0,Listes!$B$3-$G492)))</f>
        <v/>
      </c>
      <c r="P492" s="12">
        <f>IF($A492="","",IF($J492&lt;=0,"Payé",IF($M492="Oui","Litige",IF($O492=0,"À échoir",IF($O492&lt;=30,"0-30",IF($O492&lt;=60,"31-60",IF($O492&lt;=90,"61-90","90+")))))))</f>
        <v/>
      </c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9">
        <f>IF($A493="","",SUMIFS(Ventes_Encaissements!$D$6:$D$3005,Ventes_Encaissements!$B$6:$B$3005,$A493))</f>
        <v/>
      </c>
      <c r="J493" s="9">
        <f>IF($A493="","",$H493-$I493)</f>
        <v/>
      </c>
      <c r="K493" s="10">
        <f>IF($A493="","",IF($I493=0,"",_xludf.AGGREGATE(14,6,Ventes_Encaissements!$C$6:$C$3005/(Ventes_Encaissements!$B$6:$B$3005=$A493),1)))</f>
        <v/>
      </c>
      <c r="L493" s="11">
        <f>IF($A493="","",COUNTIFS(Ventes_Detail!$B$6:$B$3005,$A493))</f>
        <v/>
      </c>
      <c r="M493" s="12" t="n"/>
      <c r="N493" s="12">
        <f>IF($A493="","",IF($G493="","",IF($M493="Oui","Litige",IF($J493&lt;=0,"Payé",IF($I493&gt;0,"Partiel",IF(Listes!$B$3&gt;$G493,"En retard","À échoir"))))))</f>
        <v/>
      </c>
      <c r="O493" s="11">
        <f>IF($A493="","",IF(OR($G493="", $J493&lt;=0),0,MAX(0,Listes!$B$3-$G493)))</f>
        <v/>
      </c>
      <c r="P493" s="12">
        <f>IF($A493="","",IF($J493&lt;=0,"Payé",IF($M493="Oui","Litige",IF($O493=0,"À échoir",IF($O493&lt;=30,"0-30",IF($O493&lt;=60,"31-60",IF($O493&lt;=90,"61-90","90+")))))))</f>
        <v/>
      </c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9">
        <f>IF($A494="","",SUMIFS(Ventes_Encaissements!$D$6:$D$3005,Ventes_Encaissements!$B$6:$B$3005,$A494))</f>
        <v/>
      </c>
      <c r="J494" s="9">
        <f>IF($A494="","",$H494-$I494)</f>
        <v/>
      </c>
      <c r="K494" s="10">
        <f>IF($A494="","",IF($I494=0,"",_xludf.AGGREGATE(14,6,Ventes_Encaissements!$C$6:$C$3005/(Ventes_Encaissements!$B$6:$B$3005=$A494),1)))</f>
        <v/>
      </c>
      <c r="L494" s="11">
        <f>IF($A494="","",COUNTIFS(Ventes_Detail!$B$6:$B$3005,$A494))</f>
        <v/>
      </c>
      <c r="M494" s="12" t="n"/>
      <c r="N494" s="12">
        <f>IF($A494="","",IF($G494="","",IF($M494="Oui","Litige",IF($J494&lt;=0,"Payé",IF($I494&gt;0,"Partiel",IF(Listes!$B$3&gt;$G494,"En retard","À échoir"))))))</f>
        <v/>
      </c>
      <c r="O494" s="11">
        <f>IF($A494="","",IF(OR($G494="", $J494&lt;=0),0,MAX(0,Listes!$B$3-$G494)))</f>
        <v/>
      </c>
      <c r="P494" s="12">
        <f>IF($A494="","",IF($J494&lt;=0,"Payé",IF($M494="Oui","Litige",IF($O494=0,"À échoir",IF($O494&lt;=30,"0-30",IF($O494&lt;=60,"31-60",IF($O494&lt;=90,"61-90","90+")))))))</f>
        <v/>
      </c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9">
        <f>IF($A495="","",SUMIFS(Ventes_Encaissements!$D$6:$D$3005,Ventes_Encaissements!$B$6:$B$3005,$A495))</f>
        <v/>
      </c>
      <c r="J495" s="9">
        <f>IF($A495="","",$H495-$I495)</f>
        <v/>
      </c>
      <c r="K495" s="10">
        <f>IF($A495="","",IF($I495=0,"",_xludf.AGGREGATE(14,6,Ventes_Encaissements!$C$6:$C$3005/(Ventes_Encaissements!$B$6:$B$3005=$A495),1)))</f>
        <v/>
      </c>
      <c r="L495" s="11">
        <f>IF($A495="","",COUNTIFS(Ventes_Detail!$B$6:$B$3005,$A495))</f>
        <v/>
      </c>
      <c r="M495" s="12" t="n"/>
      <c r="N495" s="12">
        <f>IF($A495="","",IF($G495="","",IF($M495="Oui","Litige",IF($J495&lt;=0,"Payé",IF($I495&gt;0,"Partiel",IF(Listes!$B$3&gt;$G495,"En retard","À échoir"))))))</f>
        <v/>
      </c>
      <c r="O495" s="11">
        <f>IF($A495="","",IF(OR($G495="", $J495&lt;=0),0,MAX(0,Listes!$B$3-$G495)))</f>
        <v/>
      </c>
      <c r="P495" s="12">
        <f>IF($A495="","",IF($J495&lt;=0,"Payé",IF($M495="Oui","Litige",IF($O495=0,"À échoir",IF($O495&lt;=30,"0-30",IF($O495&lt;=60,"31-60",IF($O495&lt;=90,"61-90","90+")))))))</f>
        <v/>
      </c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9">
        <f>IF($A496="","",SUMIFS(Ventes_Encaissements!$D$6:$D$3005,Ventes_Encaissements!$B$6:$B$3005,$A496))</f>
        <v/>
      </c>
      <c r="J496" s="9">
        <f>IF($A496="","",$H496-$I496)</f>
        <v/>
      </c>
      <c r="K496" s="10">
        <f>IF($A496="","",IF($I496=0,"",_xludf.AGGREGATE(14,6,Ventes_Encaissements!$C$6:$C$3005/(Ventes_Encaissements!$B$6:$B$3005=$A496),1)))</f>
        <v/>
      </c>
      <c r="L496" s="11">
        <f>IF($A496="","",COUNTIFS(Ventes_Detail!$B$6:$B$3005,$A496))</f>
        <v/>
      </c>
      <c r="M496" s="12" t="n"/>
      <c r="N496" s="12">
        <f>IF($A496="","",IF($G496="","",IF($M496="Oui","Litige",IF($J496&lt;=0,"Payé",IF($I496&gt;0,"Partiel",IF(Listes!$B$3&gt;$G496,"En retard","À échoir"))))))</f>
        <v/>
      </c>
      <c r="O496" s="11">
        <f>IF($A496="","",IF(OR($G496="", $J496&lt;=0),0,MAX(0,Listes!$B$3-$G496)))</f>
        <v/>
      </c>
      <c r="P496" s="12">
        <f>IF($A496="","",IF($J496&lt;=0,"Payé",IF($M496="Oui","Litige",IF($O496=0,"À échoir",IF($O496&lt;=30,"0-30",IF($O496&lt;=60,"31-60",IF($O496&lt;=90,"61-90","90+")))))))</f>
        <v/>
      </c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9">
        <f>IF($A497="","",SUMIFS(Ventes_Encaissements!$D$6:$D$3005,Ventes_Encaissements!$B$6:$B$3005,$A497))</f>
        <v/>
      </c>
      <c r="J497" s="9">
        <f>IF($A497="","",$H497-$I497)</f>
        <v/>
      </c>
      <c r="K497" s="10">
        <f>IF($A497="","",IF($I497=0,"",_xludf.AGGREGATE(14,6,Ventes_Encaissements!$C$6:$C$3005/(Ventes_Encaissements!$B$6:$B$3005=$A497),1)))</f>
        <v/>
      </c>
      <c r="L497" s="11">
        <f>IF($A497="","",COUNTIFS(Ventes_Detail!$B$6:$B$3005,$A497))</f>
        <v/>
      </c>
      <c r="M497" s="12" t="n"/>
      <c r="N497" s="12">
        <f>IF($A497="","",IF($G497="","",IF($M497="Oui","Litige",IF($J497&lt;=0,"Payé",IF($I497&gt;0,"Partiel",IF(Listes!$B$3&gt;$G497,"En retard","À échoir"))))))</f>
        <v/>
      </c>
      <c r="O497" s="11">
        <f>IF($A497="","",IF(OR($G497="", $J497&lt;=0),0,MAX(0,Listes!$B$3-$G497)))</f>
        <v/>
      </c>
      <c r="P497" s="12">
        <f>IF($A497="","",IF($J497&lt;=0,"Payé",IF($M497="Oui","Litige",IF($O497=0,"À échoir",IF($O497&lt;=30,"0-30",IF($O497&lt;=60,"31-60",IF($O497&lt;=90,"61-90","90+")))))))</f>
        <v/>
      </c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9">
        <f>IF($A498="","",SUMIFS(Ventes_Encaissements!$D$6:$D$3005,Ventes_Encaissements!$B$6:$B$3005,$A498))</f>
        <v/>
      </c>
      <c r="J498" s="9">
        <f>IF($A498="","",$H498-$I498)</f>
        <v/>
      </c>
      <c r="K498" s="10">
        <f>IF($A498="","",IF($I498=0,"",_xludf.AGGREGATE(14,6,Ventes_Encaissements!$C$6:$C$3005/(Ventes_Encaissements!$B$6:$B$3005=$A498),1)))</f>
        <v/>
      </c>
      <c r="L498" s="11">
        <f>IF($A498="","",COUNTIFS(Ventes_Detail!$B$6:$B$3005,$A498))</f>
        <v/>
      </c>
      <c r="M498" s="12" t="n"/>
      <c r="N498" s="12">
        <f>IF($A498="","",IF($G498="","",IF($M498="Oui","Litige",IF($J498&lt;=0,"Payé",IF($I498&gt;0,"Partiel",IF(Listes!$B$3&gt;$G498,"En retard","À échoir"))))))</f>
        <v/>
      </c>
      <c r="O498" s="11">
        <f>IF($A498="","",IF(OR($G498="", $J498&lt;=0),0,MAX(0,Listes!$B$3-$G498)))</f>
        <v/>
      </c>
      <c r="P498" s="12">
        <f>IF($A498="","",IF($J498&lt;=0,"Payé",IF($M498="Oui","Litige",IF($O498=0,"À échoir",IF($O498&lt;=30,"0-30",IF($O498&lt;=60,"31-60",IF($O498&lt;=90,"61-90","90+")))))))</f>
        <v/>
      </c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9">
        <f>IF($A499="","",SUMIFS(Ventes_Encaissements!$D$6:$D$3005,Ventes_Encaissements!$B$6:$B$3005,$A499))</f>
        <v/>
      </c>
      <c r="J499" s="9">
        <f>IF($A499="","",$H499-$I499)</f>
        <v/>
      </c>
      <c r="K499" s="10">
        <f>IF($A499="","",IF($I499=0,"",_xludf.AGGREGATE(14,6,Ventes_Encaissements!$C$6:$C$3005/(Ventes_Encaissements!$B$6:$B$3005=$A499),1)))</f>
        <v/>
      </c>
      <c r="L499" s="11">
        <f>IF($A499="","",COUNTIFS(Ventes_Detail!$B$6:$B$3005,$A499))</f>
        <v/>
      </c>
      <c r="M499" s="12" t="n"/>
      <c r="N499" s="12">
        <f>IF($A499="","",IF($G499="","",IF($M499="Oui","Litige",IF($J499&lt;=0,"Payé",IF($I499&gt;0,"Partiel",IF(Listes!$B$3&gt;$G499,"En retard","À échoir"))))))</f>
        <v/>
      </c>
      <c r="O499" s="11">
        <f>IF($A499="","",IF(OR($G499="", $J499&lt;=0),0,MAX(0,Listes!$B$3-$G499)))</f>
        <v/>
      </c>
      <c r="P499" s="12">
        <f>IF($A499="","",IF($J499&lt;=0,"Payé",IF($M499="Oui","Litige",IF($O499=0,"À échoir",IF($O499&lt;=30,"0-30",IF($O499&lt;=60,"31-60",IF($O499&lt;=90,"61-90","90+")))))))</f>
        <v/>
      </c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9">
        <f>IF($A500="","",SUMIFS(Ventes_Encaissements!$D$6:$D$3005,Ventes_Encaissements!$B$6:$B$3005,$A500))</f>
        <v/>
      </c>
      <c r="J500" s="9">
        <f>IF($A500="","",$H500-$I500)</f>
        <v/>
      </c>
      <c r="K500" s="10">
        <f>IF($A500="","",IF($I500=0,"",_xludf.AGGREGATE(14,6,Ventes_Encaissements!$C$6:$C$3005/(Ventes_Encaissements!$B$6:$B$3005=$A500),1)))</f>
        <v/>
      </c>
      <c r="L500" s="11">
        <f>IF($A500="","",COUNTIFS(Ventes_Detail!$B$6:$B$3005,$A500))</f>
        <v/>
      </c>
      <c r="M500" s="12" t="n"/>
      <c r="N500" s="12">
        <f>IF($A500="","",IF($G500="","",IF($M500="Oui","Litige",IF($J500&lt;=0,"Payé",IF($I500&gt;0,"Partiel",IF(Listes!$B$3&gt;$G500,"En retard","À échoir"))))))</f>
        <v/>
      </c>
      <c r="O500" s="11">
        <f>IF($A500="","",IF(OR($G500="", $J500&lt;=0),0,MAX(0,Listes!$B$3-$G500)))</f>
        <v/>
      </c>
      <c r="P500" s="12">
        <f>IF($A500="","",IF($J500&lt;=0,"Payé",IF($M500="Oui","Litige",IF($O500=0,"À échoir",IF($O500&lt;=30,"0-30",IF($O500&lt;=60,"31-60",IF($O500&lt;=90,"61-90","90+")))))))</f>
        <v/>
      </c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9">
        <f>IF($A501="","",SUMIFS(Ventes_Encaissements!$D$6:$D$3005,Ventes_Encaissements!$B$6:$B$3005,$A501))</f>
        <v/>
      </c>
      <c r="J501" s="9">
        <f>IF($A501="","",$H501-$I501)</f>
        <v/>
      </c>
      <c r="K501" s="10">
        <f>IF($A501="","",IF($I501=0,"",_xludf.AGGREGATE(14,6,Ventes_Encaissements!$C$6:$C$3005/(Ventes_Encaissements!$B$6:$B$3005=$A501),1)))</f>
        <v/>
      </c>
      <c r="L501" s="11">
        <f>IF($A501="","",COUNTIFS(Ventes_Detail!$B$6:$B$3005,$A501))</f>
        <v/>
      </c>
      <c r="M501" s="12" t="n"/>
      <c r="N501" s="12">
        <f>IF($A501="","",IF($G501="","",IF($M501="Oui","Litige",IF($J501&lt;=0,"Payé",IF($I501&gt;0,"Partiel",IF(Listes!$B$3&gt;$G501,"En retard","À échoir"))))))</f>
        <v/>
      </c>
      <c r="O501" s="11">
        <f>IF($A501="","",IF(OR($G501="", $J501&lt;=0),0,MAX(0,Listes!$B$3-$G501)))</f>
        <v/>
      </c>
      <c r="P501" s="12">
        <f>IF($A501="","",IF($J501&lt;=0,"Payé",IF($M501="Oui","Litige",IF($O501=0,"À échoir",IF($O501&lt;=30,"0-30",IF($O501&lt;=60,"31-60",IF($O501&lt;=90,"61-90","90+")))))))</f>
        <v/>
      </c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9">
        <f>IF($A502="","",SUMIFS(Ventes_Encaissements!$D$6:$D$3005,Ventes_Encaissements!$B$6:$B$3005,$A502))</f>
        <v/>
      </c>
      <c r="J502" s="9">
        <f>IF($A502="","",$H502-$I502)</f>
        <v/>
      </c>
      <c r="K502" s="10">
        <f>IF($A502="","",IF($I502=0,"",_xludf.AGGREGATE(14,6,Ventes_Encaissements!$C$6:$C$3005/(Ventes_Encaissements!$B$6:$B$3005=$A502),1)))</f>
        <v/>
      </c>
      <c r="L502" s="11">
        <f>IF($A502="","",COUNTIFS(Ventes_Detail!$B$6:$B$3005,$A502))</f>
        <v/>
      </c>
      <c r="M502" s="12" t="n"/>
      <c r="N502" s="12">
        <f>IF($A502="","",IF($G502="","",IF($M502="Oui","Litige",IF($J502&lt;=0,"Payé",IF($I502&gt;0,"Partiel",IF(Listes!$B$3&gt;$G502,"En retard","À échoir"))))))</f>
        <v/>
      </c>
      <c r="O502" s="11">
        <f>IF($A502="","",IF(OR($G502="", $J502&lt;=0),0,MAX(0,Listes!$B$3-$G502)))</f>
        <v/>
      </c>
      <c r="P502" s="12">
        <f>IF($A502="","",IF($J502&lt;=0,"Payé",IF($M502="Oui","Litige",IF($O502=0,"À échoir",IF($O502&lt;=30,"0-30",IF($O502&lt;=60,"31-60",IF($O502&lt;=90,"61-90","90+")))))))</f>
        <v/>
      </c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9">
        <f>IF($A503="","",SUMIFS(Ventes_Encaissements!$D$6:$D$3005,Ventes_Encaissements!$B$6:$B$3005,$A503))</f>
        <v/>
      </c>
      <c r="J503" s="9">
        <f>IF($A503="","",$H503-$I503)</f>
        <v/>
      </c>
      <c r="K503" s="10">
        <f>IF($A503="","",IF($I503=0,"",_xludf.AGGREGATE(14,6,Ventes_Encaissements!$C$6:$C$3005/(Ventes_Encaissements!$B$6:$B$3005=$A503),1)))</f>
        <v/>
      </c>
      <c r="L503" s="11">
        <f>IF($A503="","",COUNTIFS(Ventes_Detail!$B$6:$B$3005,$A503))</f>
        <v/>
      </c>
      <c r="M503" s="12" t="n"/>
      <c r="N503" s="12">
        <f>IF($A503="","",IF($G503="","",IF($M503="Oui","Litige",IF($J503&lt;=0,"Payé",IF($I503&gt;0,"Partiel",IF(Listes!$B$3&gt;$G503,"En retard","À échoir"))))))</f>
        <v/>
      </c>
      <c r="O503" s="11">
        <f>IF($A503="","",IF(OR($G503="", $J503&lt;=0),0,MAX(0,Listes!$B$3-$G503)))</f>
        <v/>
      </c>
      <c r="P503" s="12">
        <f>IF($A503="","",IF($J503&lt;=0,"Payé",IF($M503="Oui","Litige",IF($O503=0,"À échoir",IF($O503&lt;=30,"0-30",IF($O503&lt;=60,"31-60",IF($O503&lt;=90,"61-90","90+")))))))</f>
        <v/>
      </c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9">
        <f>IF($A504="","",SUMIFS(Ventes_Encaissements!$D$6:$D$3005,Ventes_Encaissements!$B$6:$B$3005,$A504))</f>
        <v/>
      </c>
      <c r="J504" s="9">
        <f>IF($A504="","",$H504-$I504)</f>
        <v/>
      </c>
      <c r="K504" s="10">
        <f>IF($A504="","",IF($I504=0,"",_xludf.AGGREGATE(14,6,Ventes_Encaissements!$C$6:$C$3005/(Ventes_Encaissements!$B$6:$B$3005=$A504),1)))</f>
        <v/>
      </c>
      <c r="L504" s="11">
        <f>IF($A504="","",COUNTIFS(Ventes_Detail!$B$6:$B$3005,$A504))</f>
        <v/>
      </c>
      <c r="M504" s="12" t="n"/>
      <c r="N504" s="12">
        <f>IF($A504="","",IF($G504="","",IF($M504="Oui","Litige",IF($J504&lt;=0,"Payé",IF($I504&gt;0,"Partiel",IF(Listes!$B$3&gt;$G504,"En retard","À échoir"))))))</f>
        <v/>
      </c>
      <c r="O504" s="11">
        <f>IF($A504="","",IF(OR($G504="", $J504&lt;=0),0,MAX(0,Listes!$B$3-$G504)))</f>
        <v/>
      </c>
      <c r="P504" s="12">
        <f>IF($A504="","",IF($J504&lt;=0,"Payé",IF($M504="Oui","Litige",IF($O504=0,"À échoir",IF($O504&lt;=30,"0-30",IF($O504&lt;=60,"31-60",IF($O504&lt;=90,"61-90","90+")))))))</f>
        <v/>
      </c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9">
        <f>IF($A505="","",SUMIFS(Ventes_Encaissements!$D$6:$D$3005,Ventes_Encaissements!$B$6:$B$3005,$A505))</f>
        <v/>
      </c>
      <c r="J505" s="9">
        <f>IF($A505="","",$H505-$I505)</f>
        <v/>
      </c>
      <c r="K505" s="10">
        <f>IF($A505="","",IF($I505=0,"",_xludf.AGGREGATE(14,6,Ventes_Encaissements!$C$6:$C$3005/(Ventes_Encaissements!$B$6:$B$3005=$A505),1)))</f>
        <v/>
      </c>
      <c r="L505" s="11">
        <f>IF($A505="","",COUNTIFS(Ventes_Detail!$B$6:$B$3005,$A505))</f>
        <v/>
      </c>
      <c r="M505" s="12" t="n"/>
      <c r="N505" s="12">
        <f>IF($A505="","",IF($G505="","",IF($M505="Oui","Litige",IF($J505&lt;=0,"Payé",IF($I505&gt;0,"Partiel",IF(Listes!$B$3&gt;$G505,"En retard","À échoir"))))))</f>
        <v/>
      </c>
      <c r="O505" s="11">
        <f>IF($A505="","",IF(OR($G505="", $J505&lt;=0),0,MAX(0,Listes!$B$3-$G505)))</f>
        <v/>
      </c>
      <c r="P505" s="12">
        <f>IF($A505="","",IF($J505&lt;=0,"Payé",IF($M505="Oui","Litige",IF($O505=0,"À échoir",IF($O505&lt;=30,"0-30",IF($O505&lt;=60,"31-60",IF($O505&lt;=90,"61-90","90+")))))))</f>
        <v/>
      </c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9">
        <f>IF($A506="","",SUMIFS(Ventes_Encaissements!$D$6:$D$3005,Ventes_Encaissements!$B$6:$B$3005,$A506))</f>
        <v/>
      </c>
      <c r="J506" s="9">
        <f>IF($A506="","",$H506-$I506)</f>
        <v/>
      </c>
      <c r="K506" s="10">
        <f>IF($A506="","",IF($I506=0,"",_xludf.AGGREGATE(14,6,Ventes_Encaissements!$C$6:$C$3005/(Ventes_Encaissements!$B$6:$B$3005=$A506),1)))</f>
        <v/>
      </c>
      <c r="L506" s="11">
        <f>IF($A506="","",COUNTIFS(Ventes_Detail!$B$6:$B$3005,$A506))</f>
        <v/>
      </c>
      <c r="M506" s="12" t="n"/>
      <c r="N506" s="12">
        <f>IF($A506="","",IF($G506="","",IF($M506="Oui","Litige",IF($J506&lt;=0,"Payé",IF($I506&gt;0,"Partiel",IF(Listes!$B$3&gt;$G506,"En retard","À échoir"))))))</f>
        <v/>
      </c>
      <c r="O506" s="11">
        <f>IF($A506="","",IF(OR($G506="", $J506&lt;=0),0,MAX(0,Listes!$B$3-$G506)))</f>
        <v/>
      </c>
      <c r="P506" s="12">
        <f>IF($A506="","",IF($J506&lt;=0,"Payé",IF($M506="Oui","Litige",IF($O506=0,"À échoir",IF($O506&lt;=30,"0-30",IF($O506&lt;=60,"31-60",IF($O506&lt;=90,"61-90","90+")))))))</f>
        <v/>
      </c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9">
        <f>IF($A507="","",SUMIFS(Ventes_Encaissements!$D$6:$D$3005,Ventes_Encaissements!$B$6:$B$3005,$A507))</f>
        <v/>
      </c>
      <c r="J507" s="9">
        <f>IF($A507="","",$H507-$I507)</f>
        <v/>
      </c>
      <c r="K507" s="10">
        <f>IF($A507="","",IF($I507=0,"",_xludf.AGGREGATE(14,6,Ventes_Encaissements!$C$6:$C$3005/(Ventes_Encaissements!$B$6:$B$3005=$A507),1)))</f>
        <v/>
      </c>
      <c r="L507" s="11">
        <f>IF($A507="","",COUNTIFS(Ventes_Detail!$B$6:$B$3005,$A507))</f>
        <v/>
      </c>
      <c r="M507" s="12" t="n"/>
      <c r="N507" s="12">
        <f>IF($A507="","",IF($G507="","",IF($M507="Oui","Litige",IF($J507&lt;=0,"Payé",IF($I507&gt;0,"Partiel",IF(Listes!$B$3&gt;$G507,"En retard","À échoir"))))))</f>
        <v/>
      </c>
      <c r="O507" s="11">
        <f>IF($A507="","",IF(OR($G507="", $J507&lt;=0),0,MAX(0,Listes!$B$3-$G507)))</f>
        <v/>
      </c>
      <c r="P507" s="12">
        <f>IF($A507="","",IF($J507&lt;=0,"Payé",IF($M507="Oui","Litige",IF($O507=0,"À échoir",IF($O507&lt;=30,"0-30",IF($O507&lt;=60,"31-60",IF($O507&lt;=90,"61-90","90+")))))))</f>
        <v/>
      </c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9">
        <f>IF($A508="","",SUMIFS(Ventes_Encaissements!$D$6:$D$3005,Ventes_Encaissements!$B$6:$B$3005,$A508))</f>
        <v/>
      </c>
      <c r="J508" s="9">
        <f>IF($A508="","",$H508-$I508)</f>
        <v/>
      </c>
      <c r="K508" s="10">
        <f>IF($A508="","",IF($I508=0,"",_xludf.AGGREGATE(14,6,Ventes_Encaissements!$C$6:$C$3005/(Ventes_Encaissements!$B$6:$B$3005=$A508),1)))</f>
        <v/>
      </c>
      <c r="L508" s="11">
        <f>IF($A508="","",COUNTIFS(Ventes_Detail!$B$6:$B$3005,$A508))</f>
        <v/>
      </c>
      <c r="M508" s="12" t="n"/>
      <c r="N508" s="12">
        <f>IF($A508="","",IF($G508="","",IF($M508="Oui","Litige",IF($J508&lt;=0,"Payé",IF($I508&gt;0,"Partiel",IF(Listes!$B$3&gt;$G508,"En retard","À échoir"))))))</f>
        <v/>
      </c>
      <c r="O508" s="11">
        <f>IF($A508="","",IF(OR($G508="", $J508&lt;=0),0,MAX(0,Listes!$B$3-$G508)))</f>
        <v/>
      </c>
      <c r="P508" s="12">
        <f>IF($A508="","",IF($J508&lt;=0,"Payé",IF($M508="Oui","Litige",IF($O508=0,"À échoir",IF($O508&lt;=30,"0-30",IF($O508&lt;=60,"31-60",IF($O508&lt;=90,"61-90","90+")))))))</f>
        <v/>
      </c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9">
        <f>IF($A509="","",SUMIFS(Ventes_Encaissements!$D$6:$D$3005,Ventes_Encaissements!$B$6:$B$3005,$A509))</f>
        <v/>
      </c>
      <c r="J509" s="9">
        <f>IF($A509="","",$H509-$I509)</f>
        <v/>
      </c>
      <c r="K509" s="10">
        <f>IF($A509="","",IF($I509=0,"",_xludf.AGGREGATE(14,6,Ventes_Encaissements!$C$6:$C$3005/(Ventes_Encaissements!$B$6:$B$3005=$A509),1)))</f>
        <v/>
      </c>
      <c r="L509" s="11">
        <f>IF($A509="","",COUNTIFS(Ventes_Detail!$B$6:$B$3005,$A509))</f>
        <v/>
      </c>
      <c r="M509" s="12" t="n"/>
      <c r="N509" s="12">
        <f>IF($A509="","",IF($G509="","",IF($M509="Oui","Litige",IF($J509&lt;=0,"Payé",IF($I509&gt;0,"Partiel",IF(Listes!$B$3&gt;$G509,"En retard","À échoir"))))))</f>
        <v/>
      </c>
      <c r="O509" s="11">
        <f>IF($A509="","",IF(OR($G509="", $J509&lt;=0),0,MAX(0,Listes!$B$3-$G509)))</f>
        <v/>
      </c>
      <c r="P509" s="12">
        <f>IF($A509="","",IF($J509&lt;=0,"Payé",IF($M509="Oui","Litige",IF($O509=0,"À échoir",IF($O509&lt;=30,"0-30",IF($O509&lt;=60,"31-60",IF($O509&lt;=90,"61-90","90+")))))))</f>
        <v/>
      </c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9">
        <f>IF($A510="","",SUMIFS(Ventes_Encaissements!$D$6:$D$3005,Ventes_Encaissements!$B$6:$B$3005,$A510))</f>
        <v/>
      </c>
      <c r="J510" s="9">
        <f>IF($A510="","",$H510-$I510)</f>
        <v/>
      </c>
      <c r="K510" s="10">
        <f>IF($A510="","",IF($I510=0,"",_xludf.AGGREGATE(14,6,Ventes_Encaissements!$C$6:$C$3005/(Ventes_Encaissements!$B$6:$B$3005=$A510),1)))</f>
        <v/>
      </c>
      <c r="L510" s="11">
        <f>IF($A510="","",COUNTIFS(Ventes_Detail!$B$6:$B$3005,$A510))</f>
        <v/>
      </c>
      <c r="M510" s="12" t="n"/>
      <c r="N510" s="12">
        <f>IF($A510="","",IF($G510="","",IF($M510="Oui","Litige",IF($J510&lt;=0,"Payé",IF($I510&gt;0,"Partiel",IF(Listes!$B$3&gt;$G510,"En retard","À échoir"))))))</f>
        <v/>
      </c>
      <c r="O510" s="11">
        <f>IF($A510="","",IF(OR($G510="", $J510&lt;=0),0,MAX(0,Listes!$B$3-$G510)))</f>
        <v/>
      </c>
      <c r="P510" s="12">
        <f>IF($A510="","",IF($J510&lt;=0,"Payé",IF($M510="Oui","Litige",IF($O510=0,"À échoir",IF($O510&lt;=30,"0-30",IF($O510&lt;=60,"31-60",IF($O510&lt;=90,"61-90","90+")))))))</f>
        <v/>
      </c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9">
        <f>IF($A511="","",SUMIFS(Ventes_Encaissements!$D$6:$D$3005,Ventes_Encaissements!$B$6:$B$3005,$A511))</f>
        <v/>
      </c>
      <c r="J511" s="9">
        <f>IF($A511="","",$H511-$I511)</f>
        <v/>
      </c>
      <c r="K511" s="10">
        <f>IF($A511="","",IF($I511=0,"",_xludf.AGGREGATE(14,6,Ventes_Encaissements!$C$6:$C$3005/(Ventes_Encaissements!$B$6:$B$3005=$A511),1)))</f>
        <v/>
      </c>
      <c r="L511" s="11">
        <f>IF($A511="","",COUNTIFS(Ventes_Detail!$B$6:$B$3005,$A511))</f>
        <v/>
      </c>
      <c r="M511" s="12" t="n"/>
      <c r="N511" s="12">
        <f>IF($A511="","",IF($G511="","",IF($M511="Oui","Litige",IF($J511&lt;=0,"Payé",IF($I511&gt;0,"Partiel",IF(Listes!$B$3&gt;$G511,"En retard","À échoir"))))))</f>
        <v/>
      </c>
      <c r="O511" s="11">
        <f>IF($A511="","",IF(OR($G511="", $J511&lt;=0),0,MAX(0,Listes!$B$3-$G511)))</f>
        <v/>
      </c>
      <c r="P511" s="12">
        <f>IF($A511="","",IF($J511&lt;=0,"Payé",IF($M511="Oui","Litige",IF($O511=0,"À échoir",IF($O511&lt;=30,"0-30",IF($O511&lt;=60,"31-60",IF($O511&lt;=90,"61-90","90+")))))))</f>
        <v/>
      </c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9">
        <f>IF($A512="","",SUMIFS(Ventes_Encaissements!$D$6:$D$3005,Ventes_Encaissements!$B$6:$B$3005,$A512))</f>
        <v/>
      </c>
      <c r="J512" s="9">
        <f>IF($A512="","",$H512-$I512)</f>
        <v/>
      </c>
      <c r="K512" s="10">
        <f>IF($A512="","",IF($I512=0,"",_xludf.AGGREGATE(14,6,Ventes_Encaissements!$C$6:$C$3005/(Ventes_Encaissements!$B$6:$B$3005=$A512),1)))</f>
        <v/>
      </c>
      <c r="L512" s="11">
        <f>IF($A512="","",COUNTIFS(Ventes_Detail!$B$6:$B$3005,$A512))</f>
        <v/>
      </c>
      <c r="M512" s="12" t="n"/>
      <c r="N512" s="12">
        <f>IF($A512="","",IF($G512="","",IF($M512="Oui","Litige",IF($J512&lt;=0,"Payé",IF($I512&gt;0,"Partiel",IF(Listes!$B$3&gt;$G512,"En retard","À échoir"))))))</f>
        <v/>
      </c>
      <c r="O512" s="11">
        <f>IF($A512="","",IF(OR($G512="", $J512&lt;=0),0,MAX(0,Listes!$B$3-$G512)))</f>
        <v/>
      </c>
      <c r="P512" s="12">
        <f>IF($A512="","",IF($J512&lt;=0,"Payé",IF($M512="Oui","Litige",IF($O512=0,"À échoir",IF($O512&lt;=30,"0-30",IF($O512&lt;=60,"31-60",IF($O512&lt;=90,"61-90","90+")))))))</f>
        <v/>
      </c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9">
        <f>IF($A513="","",SUMIFS(Ventes_Encaissements!$D$6:$D$3005,Ventes_Encaissements!$B$6:$B$3005,$A513))</f>
        <v/>
      </c>
      <c r="J513" s="9">
        <f>IF($A513="","",$H513-$I513)</f>
        <v/>
      </c>
      <c r="K513" s="10">
        <f>IF($A513="","",IF($I513=0,"",_xludf.AGGREGATE(14,6,Ventes_Encaissements!$C$6:$C$3005/(Ventes_Encaissements!$B$6:$B$3005=$A513),1)))</f>
        <v/>
      </c>
      <c r="L513" s="11">
        <f>IF($A513="","",COUNTIFS(Ventes_Detail!$B$6:$B$3005,$A513))</f>
        <v/>
      </c>
      <c r="M513" s="12" t="n"/>
      <c r="N513" s="12">
        <f>IF($A513="","",IF($G513="","",IF($M513="Oui","Litige",IF($J513&lt;=0,"Payé",IF($I513&gt;0,"Partiel",IF(Listes!$B$3&gt;$G513,"En retard","À échoir"))))))</f>
        <v/>
      </c>
      <c r="O513" s="11">
        <f>IF($A513="","",IF(OR($G513="", $J513&lt;=0),0,MAX(0,Listes!$B$3-$G513)))</f>
        <v/>
      </c>
      <c r="P513" s="12">
        <f>IF($A513="","",IF($J513&lt;=0,"Payé",IF($M513="Oui","Litige",IF($O513=0,"À échoir",IF($O513&lt;=30,"0-30",IF($O513&lt;=60,"31-60",IF($O513&lt;=90,"61-90","90+")))))))</f>
        <v/>
      </c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9">
        <f>IF($A514="","",SUMIFS(Ventes_Encaissements!$D$6:$D$3005,Ventes_Encaissements!$B$6:$B$3005,$A514))</f>
        <v/>
      </c>
      <c r="J514" s="9">
        <f>IF($A514="","",$H514-$I514)</f>
        <v/>
      </c>
      <c r="K514" s="10">
        <f>IF($A514="","",IF($I514=0,"",_xludf.AGGREGATE(14,6,Ventes_Encaissements!$C$6:$C$3005/(Ventes_Encaissements!$B$6:$B$3005=$A514),1)))</f>
        <v/>
      </c>
      <c r="L514" s="11">
        <f>IF($A514="","",COUNTIFS(Ventes_Detail!$B$6:$B$3005,$A514))</f>
        <v/>
      </c>
      <c r="M514" s="12" t="n"/>
      <c r="N514" s="12">
        <f>IF($A514="","",IF($G514="","",IF($M514="Oui","Litige",IF($J514&lt;=0,"Payé",IF($I514&gt;0,"Partiel",IF(Listes!$B$3&gt;$G514,"En retard","À échoir"))))))</f>
        <v/>
      </c>
      <c r="O514" s="11">
        <f>IF($A514="","",IF(OR($G514="", $J514&lt;=0),0,MAX(0,Listes!$B$3-$G514)))</f>
        <v/>
      </c>
      <c r="P514" s="12">
        <f>IF($A514="","",IF($J514&lt;=0,"Payé",IF($M514="Oui","Litige",IF($O514=0,"À échoir",IF($O514&lt;=30,"0-30",IF($O514&lt;=60,"31-60",IF($O514&lt;=90,"61-90","90+")))))))</f>
        <v/>
      </c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9">
        <f>IF($A515="","",SUMIFS(Ventes_Encaissements!$D$6:$D$3005,Ventes_Encaissements!$B$6:$B$3005,$A515))</f>
        <v/>
      </c>
      <c r="J515" s="9">
        <f>IF($A515="","",$H515-$I515)</f>
        <v/>
      </c>
      <c r="K515" s="10">
        <f>IF($A515="","",IF($I515=0,"",_xludf.AGGREGATE(14,6,Ventes_Encaissements!$C$6:$C$3005/(Ventes_Encaissements!$B$6:$B$3005=$A515),1)))</f>
        <v/>
      </c>
      <c r="L515" s="11">
        <f>IF($A515="","",COUNTIFS(Ventes_Detail!$B$6:$B$3005,$A515))</f>
        <v/>
      </c>
      <c r="M515" s="12" t="n"/>
      <c r="N515" s="12">
        <f>IF($A515="","",IF($G515="","",IF($M515="Oui","Litige",IF($J515&lt;=0,"Payé",IF($I515&gt;0,"Partiel",IF(Listes!$B$3&gt;$G515,"En retard","À échoir"))))))</f>
        <v/>
      </c>
      <c r="O515" s="11">
        <f>IF($A515="","",IF(OR($G515="", $J515&lt;=0),0,MAX(0,Listes!$B$3-$G515)))</f>
        <v/>
      </c>
      <c r="P515" s="12">
        <f>IF($A515="","",IF($J515&lt;=0,"Payé",IF($M515="Oui","Litige",IF($O515=0,"À échoir",IF($O515&lt;=30,"0-30",IF($O515&lt;=60,"31-60",IF($O515&lt;=90,"61-90","90+")))))))</f>
        <v/>
      </c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9">
        <f>IF($A516="","",SUMIFS(Ventes_Encaissements!$D$6:$D$3005,Ventes_Encaissements!$B$6:$B$3005,$A516))</f>
        <v/>
      </c>
      <c r="J516" s="9">
        <f>IF($A516="","",$H516-$I516)</f>
        <v/>
      </c>
      <c r="K516" s="10">
        <f>IF($A516="","",IF($I516=0,"",_xludf.AGGREGATE(14,6,Ventes_Encaissements!$C$6:$C$3005/(Ventes_Encaissements!$B$6:$B$3005=$A516),1)))</f>
        <v/>
      </c>
      <c r="L516" s="11">
        <f>IF($A516="","",COUNTIFS(Ventes_Detail!$B$6:$B$3005,$A516))</f>
        <v/>
      </c>
      <c r="M516" s="12" t="n"/>
      <c r="N516" s="12">
        <f>IF($A516="","",IF($G516="","",IF($M516="Oui","Litige",IF($J516&lt;=0,"Payé",IF($I516&gt;0,"Partiel",IF(Listes!$B$3&gt;$G516,"En retard","À échoir"))))))</f>
        <v/>
      </c>
      <c r="O516" s="11">
        <f>IF($A516="","",IF(OR($G516="", $J516&lt;=0),0,MAX(0,Listes!$B$3-$G516)))</f>
        <v/>
      </c>
      <c r="P516" s="12">
        <f>IF($A516="","",IF($J516&lt;=0,"Payé",IF($M516="Oui","Litige",IF($O516=0,"À échoir",IF($O516&lt;=30,"0-30",IF($O516&lt;=60,"31-60",IF($O516&lt;=90,"61-90","90+")))))))</f>
        <v/>
      </c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9">
        <f>IF($A517="","",SUMIFS(Ventes_Encaissements!$D$6:$D$3005,Ventes_Encaissements!$B$6:$B$3005,$A517))</f>
        <v/>
      </c>
      <c r="J517" s="9">
        <f>IF($A517="","",$H517-$I517)</f>
        <v/>
      </c>
      <c r="K517" s="10">
        <f>IF($A517="","",IF($I517=0,"",_xludf.AGGREGATE(14,6,Ventes_Encaissements!$C$6:$C$3005/(Ventes_Encaissements!$B$6:$B$3005=$A517),1)))</f>
        <v/>
      </c>
      <c r="L517" s="11">
        <f>IF($A517="","",COUNTIFS(Ventes_Detail!$B$6:$B$3005,$A517))</f>
        <v/>
      </c>
      <c r="M517" s="12" t="n"/>
      <c r="N517" s="12">
        <f>IF($A517="","",IF($G517="","",IF($M517="Oui","Litige",IF($J517&lt;=0,"Payé",IF($I517&gt;0,"Partiel",IF(Listes!$B$3&gt;$G517,"En retard","À échoir"))))))</f>
        <v/>
      </c>
      <c r="O517" s="11">
        <f>IF($A517="","",IF(OR($G517="", $J517&lt;=0),0,MAX(0,Listes!$B$3-$G517)))</f>
        <v/>
      </c>
      <c r="P517" s="12">
        <f>IF($A517="","",IF($J517&lt;=0,"Payé",IF($M517="Oui","Litige",IF($O517=0,"À échoir",IF($O517&lt;=30,"0-30",IF($O517&lt;=60,"31-60",IF($O517&lt;=90,"61-90","90+")))))))</f>
        <v/>
      </c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9">
        <f>IF($A518="","",SUMIFS(Ventes_Encaissements!$D$6:$D$3005,Ventes_Encaissements!$B$6:$B$3005,$A518))</f>
        <v/>
      </c>
      <c r="J518" s="9">
        <f>IF($A518="","",$H518-$I518)</f>
        <v/>
      </c>
      <c r="K518" s="10">
        <f>IF($A518="","",IF($I518=0,"",_xludf.AGGREGATE(14,6,Ventes_Encaissements!$C$6:$C$3005/(Ventes_Encaissements!$B$6:$B$3005=$A518),1)))</f>
        <v/>
      </c>
      <c r="L518" s="11">
        <f>IF($A518="","",COUNTIFS(Ventes_Detail!$B$6:$B$3005,$A518))</f>
        <v/>
      </c>
      <c r="M518" s="12" t="n"/>
      <c r="N518" s="12">
        <f>IF($A518="","",IF($G518="","",IF($M518="Oui","Litige",IF($J518&lt;=0,"Payé",IF($I518&gt;0,"Partiel",IF(Listes!$B$3&gt;$G518,"En retard","À échoir"))))))</f>
        <v/>
      </c>
      <c r="O518" s="11">
        <f>IF($A518="","",IF(OR($G518="", $J518&lt;=0),0,MAX(0,Listes!$B$3-$G518)))</f>
        <v/>
      </c>
      <c r="P518" s="12">
        <f>IF($A518="","",IF($J518&lt;=0,"Payé",IF($M518="Oui","Litige",IF($O518=0,"À échoir",IF($O518&lt;=30,"0-30",IF($O518&lt;=60,"31-60",IF($O518&lt;=90,"61-90","90+")))))))</f>
        <v/>
      </c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9">
        <f>IF($A519="","",SUMIFS(Ventes_Encaissements!$D$6:$D$3005,Ventes_Encaissements!$B$6:$B$3005,$A519))</f>
        <v/>
      </c>
      <c r="J519" s="9">
        <f>IF($A519="","",$H519-$I519)</f>
        <v/>
      </c>
      <c r="K519" s="10">
        <f>IF($A519="","",IF($I519=0,"",_xludf.AGGREGATE(14,6,Ventes_Encaissements!$C$6:$C$3005/(Ventes_Encaissements!$B$6:$B$3005=$A519),1)))</f>
        <v/>
      </c>
      <c r="L519" s="11">
        <f>IF($A519="","",COUNTIFS(Ventes_Detail!$B$6:$B$3005,$A519))</f>
        <v/>
      </c>
      <c r="M519" s="12" t="n"/>
      <c r="N519" s="12">
        <f>IF($A519="","",IF($G519="","",IF($M519="Oui","Litige",IF($J519&lt;=0,"Payé",IF($I519&gt;0,"Partiel",IF(Listes!$B$3&gt;$G519,"En retard","À échoir"))))))</f>
        <v/>
      </c>
      <c r="O519" s="11">
        <f>IF($A519="","",IF(OR($G519="", $J519&lt;=0),0,MAX(0,Listes!$B$3-$G519)))</f>
        <v/>
      </c>
      <c r="P519" s="12">
        <f>IF($A519="","",IF($J519&lt;=0,"Payé",IF($M519="Oui","Litige",IF($O519=0,"À échoir",IF($O519&lt;=30,"0-30",IF($O519&lt;=60,"31-60",IF($O519&lt;=90,"61-90","90+")))))))</f>
        <v/>
      </c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9">
        <f>IF($A520="","",SUMIFS(Ventes_Encaissements!$D$6:$D$3005,Ventes_Encaissements!$B$6:$B$3005,$A520))</f>
        <v/>
      </c>
      <c r="J520" s="9">
        <f>IF($A520="","",$H520-$I520)</f>
        <v/>
      </c>
      <c r="K520" s="10">
        <f>IF($A520="","",IF($I520=0,"",_xludf.AGGREGATE(14,6,Ventes_Encaissements!$C$6:$C$3005/(Ventes_Encaissements!$B$6:$B$3005=$A520),1)))</f>
        <v/>
      </c>
      <c r="L520" s="11">
        <f>IF($A520="","",COUNTIFS(Ventes_Detail!$B$6:$B$3005,$A520))</f>
        <v/>
      </c>
      <c r="M520" s="12" t="n"/>
      <c r="N520" s="12">
        <f>IF($A520="","",IF($G520="","",IF($M520="Oui","Litige",IF($J520&lt;=0,"Payé",IF($I520&gt;0,"Partiel",IF(Listes!$B$3&gt;$G520,"En retard","À échoir"))))))</f>
        <v/>
      </c>
      <c r="O520" s="11">
        <f>IF($A520="","",IF(OR($G520="", $J520&lt;=0),0,MAX(0,Listes!$B$3-$G520)))</f>
        <v/>
      </c>
      <c r="P520" s="12">
        <f>IF($A520="","",IF($J520&lt;=0,"Payé",IF($M520="Oui","Litige",IF($O520=0,"À échoir",IF($O520&lt;=30,"0-30",IF($O520&lt;=60,"31-60",IF($O520&lt;=90,"61-90","90+")))))))</f>
        <v/>
      </c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9">
        <f>IF($A521="","",SUMIFS(Ventes_Encaissements!$D$6:$D$3005,Ventes_Encaissements!$B$6:$B$3005,$A521))</f>
        <v/>
      </c>
      <c r="J521" s="9">
        <f>IF($A521="","",$H521-$I521)</f>
        <v/>
      </c>
      <c r="K521" s="10">
        <f>IF($A521="","",IF($I521=0,"",_xludf.AGGREGATE(14,6,Ventes_Encaissements!$C$6:$C$3005/(Ventes_Encaissements!$B$6:$B$3005=$A521),1)))</f>
        <v/>
      </c>
      <c r="L521" s="11">
        <f>IF($A521="","",COUNTIFS(Ventes_Detail!$B$6:$B$3005,$A521))</f>
        <v/>
      </c>
      <c r="M521" s="12" t="n"/>
      <c r="N521" s="12">
        <f>IF($A521="","",IF($G521="","",IF($M521="Oui","Litige",IF($J521&lt;=0,"Payé",IF($I521&gt;0,"Partiel",IF(Listes!$B$3&gt;$G521,"En retard","À échoir"))))))</f>
        <v/>
      </c>
      <c r="O521" s="11">
        <f>IF($A521="","",IF(OR($G521="", $J521&lt;=0),0,MAX(0,Listes!$B$3-$G521)))</f>
        <v/>
      </c>
      <c r="P521" s="12">
        <f>IF($A521="","",IF($J521&lt;=0,"Payé",IF($M521="Oui","Litige",IF($O521=0,"À échoir",IF($O521&lt;=30,"0-30",IF($O521&lt;=60,"31-60",IF($O521&lt;=90,"61-90","90+")))))))</f>
        <v/>
      </c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9">
        <f>IF($A522="","",SUMIFS(Ventes_Encaissements!$D$6:$D$3005,Ventes_Encaissements!$B$6:$B$3005,$A522))</f>
        <v/>
      </c>
      <c r="J522" s="9">
        <f>IF($A522="","",$H522-$I522)</f>
        <v/>
      </c>
      <c r="K522" s="10">
        <f>IF($A522="","",IF($I522=0,"",_xludf.AGGREGATE(14,6,Ventes_Encaissements!$C$6:$C$3005/(Ventes_Encaissements!$B$6:$B$3005=$A522),1)))</f>
        <v/>
      </c>
      <c r="L522" s="11">
        <f>IF($A522="","",COUNTIFS(Ventes_Detail!$B$6:$B$3005,$A522))</f>
        <v/>
      </c>
      <c r="M522" s="12" t="n"/>
      <c r="N522" s="12">
        <f>IF($A522="","",IF($G522="","",IF($M522="Oui","Litige",IF($J522&lt;=0,"Payé",IF($I522&gt;0,"Partiel",IF(Listes!$B$3&gt;$G522,"En retard","À échoir"))))))</f>
        <v/>
      </c>
      <c r="O522" s="11">
        <f>IF($A522="","",IF(OR($G522="", $J522&lt;=0),0,MAX(0,Listes!$B$3-$G522)))</f>
        <v/>
      </c>
      <c r="P522" s="12">
        <f>IF($A522="","",IF($J522&lt;=0,"Payé",IF($M522="Oui","Litige",IF($O522=0,"À échoir",IF($O522&lt;=30,"0-30",IF($O522&lt;=60,"31-60",IF($O522&lt;=90,"61-90","90+")))))))</f>
        <v/>
      </c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9">
        <f>IF($A523="","",SUMIFS(Ventes_Encaissements!$D$6:$D$3005,Ventes_Encaissements!$B$6:$B$3005,$A523))</f>
        <v/>
      </c>
      <c r="J523" s="9">
        <f>IF($A523="","",$H523-$I523)</f>
        <v/>
      </c>
      <c r="K523" s="10">
        <f>IF($A523="","",IF($I523=0,"",_xludf.AGGREGATE(14,6,Ventes_Encaissements!$C$6:$C$3005/(Ventes_Encaissements!$B$6:$B$3005=$A523),1)))</f>
        <v/>
      </c>
      <c r="L523" s="11">
        <f>IF($A523="","",COUNTIFS(Ventes_Detail!$B$6:$B$3005,$A523))</f>
        <v/>
      </c>
      <c r="M523" s="12" t="n"/>
      <c r="N523" s="12">
        <f>IF($A523="","",IF($G523="","",IF($M523="Oui","Litige",IF($J523&lt;=0,"Payé",IF($I523&gt;0,"Partiel",IF(Listes!$B$3&gt;$G523,"En retard","À échoir"))))))</f>
        <v/>
      </c>
      <c r="O523" s="11">
        <f>IF($A523="","",IF(OR($G523="", $J523&lt;=0),0,MAX(0,Listes!$B$3-$G523)))</f>
        <v/>
      </c>
      <c r="P523" s="12">
        <f>IF($A523="","",IF($J523&lt;=0,"Payé",IF($M523="Oui","Litige",IF($O523=0,"À échoir",IF($O523&lt;=30,"0-30",IF($O523&lt;=60,"31-60",IF($O523&lt;=90,"61-90","90+")))))))</f>
        <v/>
      </c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9">
        <f>IF($A524="","",SUMIFS(Ventes_Encaissements!$D$6:$D$3005,Ventes_Encaissements!$B$6:$B$3005,$A524))</f>
        <v/>
      </c>
      <c r="J524" s="9">
        <f>IF($A524="","",$H524-$I524)</f>
        <v/>
      </c>
      <c r="K524" s="10">
        <f>IF($A524="","",IF($I524=0,"",_xludf.AGGREGATE(14,6,Ventes_Encaissements!$C$6:$C$3005/(Ventes_Encaissements!$B$6:$B$3005=$A524),1)))</f>
        <v/>
      </c>
      <c r="L524" s="11">
        <f>IF($A524="","",COUNTIFS(Ventes_Detail!$B$6:$B$3005,$A524))</f>
        <v/>
      </c>
      <c r="M524" s="12" t="n"/>
      <c r="N524" s="12">
        <f>IF($A524="","",IF($G524="","",IF($M524="Oui","Litige",IF($J524&lt;=0,"Payé",IF($I524&gt;0,"Partiel",IF(Listes!$B$3&gt;$G524,"En retard","À échoir"))))))</f>
        <v/>
      </c>
      <c r="O524" s="11">
        <f>IF($A524="","",IF(OR($G524="", $J524&lt;=0),0,MAX(0,Listes!$B$3-$G524)))</f>
        <v/>
      </c>
      <c r="P524" s="12">
        <f>IF($A524="","",IF($J524&lt;=0,"Payé",IF($M524="Oui","Litige",IF($O524=0,"À échoir",IF($O524&lt;=30,"0-30",IF($O524&lt;=60,"31-60",IF($O524&lt;=90,"61-90","90+")))))))</f>
        <v/>
      </c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9">
        <f>IF($A525="","",SUMIFS(Ventes_Encaissements!$D$6:$D$3005,Ventes_Encaissements!$B$6:$B$3005,$A525))</f>
        <v/>
      </c>
      <c r="J525" s="9">
        <f>IF($A525="","",$H525-$I525)</f>
        <v/>
      </c>
      <c r="K525" s="10">
        <f>IF($A525="","",IF($I525=0,"",_xludf.AGGREGATE(14,6,Ventes_Encaissements!$C$6:$C$3005/(Ventes_Encaissements!$B$6:$B$3005=$A525),1)))</f>
        <v/>
      </c>
      <c r="L525" s="11">
        <f>IF($A525="","",COUNTIFS(Ventes_Detail!$B$6:$B$3005,$A525))</f>
        <v/>
      </c>
      <c r="M525" s="12" t="n"/>
      <c r="N525" s="12">
        <f>IF($A525="","",IF($G525="","",IF($M525="Oui","Litige",IF($J525&lt;=0,"Payé",IF($I525&gt;0,"Partiel",IF(Listes!$B$3&gt;$G525,"En retard","À échoir"))))))</f>
        <v/>
      </c>
      <c r="O525" s="11">
        <f>IF($A525="","",IF(OR($G525="", $J525&lt;=0),0,MAX(0,Listes!$B$3-$G525)))</f>
        <v/>
      </c>
      <c r="P525" s="12">
        <f>IF($A525="","",IF($J525&lt;=0,"Payé",IF($M525="Oui","Litige",IF($O525=0,"À échoir",IF($O525&lt;=30,"0-30",IF($O525&lt;=60,"31-60",IF($O525&lt;=90,"61-90","90+")))))))</f>
        <v/>
      </c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9">
        <f>IF($A526="","",SUMIFS(Ventes_Encaissements!$D$6:$D$3005,Ventes_Encaissements!$B$6:$B$3005,$A526))</f>
        <v/>
      </c>
      <c r="J526" s="9">
        <f>IF($A526="","",$H526-$I526)</f>
        <v/>
      </c>
      <c r="K526" s="10">
        <f>IF($A526="","",IF($I526=0,"",_xludf.AGGREGATE(14,6,Ventes_Encaissements!$C$6:$C$3005/(Ventes_Encaissements!$B$6:$B$3005=$A526),1)))</f>
        <v/>
      </c>
      <c r="L526" s="11">
        <f>IF($A526="","",COUNTIFS(Ventes_Detail!$B$6:$B$3005,$A526))</f>
        <v/>
      </c>
      <c r="M526" s="12" t="n"/>
      <c r="N526" s="12">
        <f>IF($A526="","",IF($G526="","",IF($M526="Oui","Litige",IF($J526&lt;=0,"Payé",IF($I526&gt;0,"Partiel",IF(Listes!$B$3&gt;$G526,"En retard","À échoir"))))))</f>
        <v/>
      </c>
      <c r="O526" s="11">
        <f>IF($A526="","",IF(OR($G526="", $J526&lt;=0),0,MAX(0,Listes!$B$3-$G526)))</f>
        <v/>
      </c>
      <c r="P526" s="12">
        <f>IF($A526="","",IF($J526&lt;=0,"Payé",IF($M526="Oui","Litige",IF($O526=0,"À échoir",IF($O526&lt;=30,"0-30",IF($O526&lt;=60,"31-60",IF($O526&lt;=90,"61-90","90+")))))))</f>
        <v/>
      </c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9">
        <f>IF($A527="","",SUMIFS(Ventes_Encaissements!$D$6:$D$3005,Ventes_Encaissements!$B$6:$B$3005,$A527))</f>
        <v/>
      </c>
      <c r="J527" s="9">
        <f>IF($A527="","",$H527-$I527)</f>
        <v/>
      </c>
      <c r="K527" s="10">
        <f>IF($A527="","",IF($I527=0,"",_xludf.AGGREGATE(14,6,Ventes_Encaissements!$C$6:$C$3005/(Ventes_Encaissements!$B$6:$B$3005=$A527),1)))</f>
        <v/>
      </c>
      <c r="L527" s="11">
        <f>IF($A527="","",COUNTIFS(Ventes_Detail!$B$6:$B$3005,$A527))</f>
        <v/>
      </c>
      <c r="M527" s="12" t="n"/>
      <c r="N527" s="12">
        <f>IF($A527="","",IF($G527="","",IF($M527="Oui","Litige",IF($J527&lt;=0,"Payé",IF($I527&gt;0,"Partiel",IF(Listes!$B$3&gt;$G527,"En retard","À échoir"))))))</f>
        <v/>
      </c>
      <c r="O527" s="11">
        <f>IF($A527="","",IF(OR($G527="", $J527&lt;=0),0,MAX(0,Listes!$B$3-$G527)))</f>
        <v/>
      </c>
      <c r="P527" s="12">
        <f>IF($A527="","",IF($J527&lt;=0,"Payé",IF($M527="Oui","Litige",IF($O527=0,"À échoir",IF($O527&lt;=30,"0-30",IF($O527&lt;=60,"31-60",IF($O527&lt;=90,"61-90","90+")))))))</f>
        <v/>
      </c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9">
        <f>IF($A528="","",SUMIFS(Ventes_Encaissements!$D$6:$D$3005,Ventes_Encaissements!$B$6:$B$3005,$A528))</f>
        <v/>
      </c>
      <c r="J528" s="9">
        <f>IF($A528="","",$H528-$I528)</f>
        <v/>
      </c>
      <c r="K528" s="10">
        <f>IF($A528="","",IF($I528=0,"",_xludf.AGGREGATE(14,6,Ventes_Encaissements!$C$6:$C$3005/(Ventes_Encaissements!$B$6:$B$3005=$A528),1)))</f>
        <v/>
      </c>
      <c r="L528" s="11">
        <f>IF($A528="","",COUNTIFS(Ventes_Detail!$B$6:$B$3005,$A528))</f>
        <v/>
      </c>
      <c r="M528" s="12" t="n"/>
      <c r="N528" s="12">
        <f>IF($A528="","",IF($G528="","",IF($M528="Oui","Litige",IF($J528&lt;=0,"Payé",IF($I528&gt;0,"Partiel",IF(Listes!$B$3&gt;$G528,"En retard","À échoir"))))))</f>
        <v/>
      </c>
      <c r="O528" s="11">
        <f>IF($A528="","",IF(OR($G528="", $J528&lt;=0),0,MAX(0,Listes!$B$3-$G528)))</f>
        <v/>
      </c>
      <c r="P528" s="12">
        <f>IF($A528="","",IF($J528&lt;=0,"Payé",IF($M528="Oui","Litige",IF($O528=0,"À échoir",IF($O528&lt;=30,"0-30",IF($O528&lt;=60,"31-60",IF($O528&lt;=90,"61-90","90+")))))))</f>
        <v/>
      </c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9">
        <f>IF($A529="","",SUMIFS(Ventes_Encaissements!$D$6:$D$3005,Ventes_Encaissements!$B$6:$B$3005,$A529))</f>
        <v/>
      </c>
      <c r="J529" s="9">
        <f>IF($A529="","",$H529-$I529)</f>
        <v/>
      </c>
      <c r="K529" s="10">
        <f>IF($A529="","",IF($I529=0,"",_xludf.AGGREGATE(14,6,Ventes_Encaissements!$C$6:$C$3005/(Ventes_Encaissements!$B$6:$B$3005=$A529),1)))</f>
        <v/>
      </c>
      <c r="L529" s="11">
        <f>IF($A529="","",COUNTIFS(Ventes_Detail!$B$6:$B$3005,$A529))</f>
        <v/>
      </c>
      <c r="M529" s="12" t="n"/>
      <c r="N529" s="12">
        <f>IF($A529="","",IF($G529="","",IF($M529="Oui","Litige",IF($J529&lt;=0,"Payé",IF($I529&gt;0,"Partiel",IF(Listes!$B$3&gt;$G529,"En retard","À échoir"))))))</f>
        <v/>
      </c>
      <c r="O529" s="11">
        <f>IF($A529="","",IF(OR($G529="", $J529&lt;=0),0,MAX(0,Listes!$B$3-$G529)))</f>
        <v/>
      </c>
      <c r="P529" s="12">
        <f>IF($A529="","",IF($J529&lt;=0,"Payé",IF($M529="Oui","Litige",IF($O529=0,"À échoir",IF($O529&lt;=30,"0-30",IF($O529&lt;=60,"31-60",IF($O529&lt;=90,"61-90","90+")))))))</f>
        <v/>
      </c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9">
        <f>IF($A530="","",SUMIFS(Ventes_Encaissements!$D$6:$D$3005,Ventes_Encaissements!$B$6:$B$3005,$A530))</f>
        <v/>
      </c>
      <c r="J530" s="9">
        <f>IF($A530="","",$H530-$I530)</f>
        <v/>
      </c>
      <c r="K530" s="10">
        <f>IF($A530="","",IF($I530=0,"",_xludf.AGGREGATE(14,6,Ventes_Encaissements!$C$6:$C$3005/(Ventes_Encaissements!$B$6:$B$3005=$A530),1)))</f>
        <v/>
      </c>
      <c r="L530" s="11">
        <f>IF($A530="","",COUNTIFS(Ventes_Detail!$B$6:$B$3005,$A530))</f>
        <v/>
      </c>
      <c r="M530" s="12" t="n"/>
      <c r="N530" s="12">
        <f>IF($A530="","",IF($G530="","",IF($M530="Oui","Litige",IF($J530&lt;=0,"Payé",IF($I530&gt;0,"Partiel",IF(Listes!$B$3&gt;$G530,"En retard","À échoir"))))))</f>
        <v/>
      </c>
      <c r="O530" s="11">
        <f>IF($A530="","",IF(OR($G530="", $J530&lt;=0),0,MAX(0,Listes!$B$3-$G530)))</f>
        <v/>
      </c>
      <c r="P530" s="12">
        <f>IF($A530="","",IF($J530&lt;=0,"Payé",IF($M530="Oui","Litige",IF($O530=0,"À échoir",IF($O530&lt;=30,"0-30",IF($O530&lt;=60,"31-60",IF($O530&lt;=90,"61-90","90+")))))))</f>
        <v/>
      </c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9">
        <f>IF($A531="","",SUMIFS(Ventes_Encaissements!$D$6:$D$3005,Ventes_Encaissements!$B$6:$B$3005,$A531))</f>
        <v/>
      </c>
      <c r="J531" s="9">
        <f>IF($A531="","",$H531-$I531)</f>
        <v/>
      </c>
      <c r="K531" s="10">
        <f>IF($A531="","",IF($I531=0,"",_xludf.AGGREGATE(14,6,Ventes_Encaissements!$C$6:$C$3005/(Ventes_Encaissements!$B$6:$B$3005=$A531),1)))</f>
        <v/>
      </c>
      <c r="L531" s="11">
        <f>IF($A531="","",COUNTIFS(Ventes_Detail!$B$6:$B$3005,$A531))</f>
        <v/>
      </c>
      <c r="M531" s="12" t="n"/>
      <c r="N531" s="12">
        <f>IF($A531="","",IF($G531="","",IF($M531="Oui","Litige",IF($J531&lt;=0,"Payé",IF($I531&gt;0,"Partiel",IF(Listes!$B$3&gt;$G531,"En retard","À échoir"))))))</f>
        <v/>
      </c>
      <c r="O531" s="11">
        <f>IF($A531="","",IF(OR($G531="", $J531&lt;=0),0,MAX(0,Listes!$B$3-$G531)))</f>
        <v/>
      </c>
      <c r="P531" s="12">
        <f>IF($A531="","",IF($J531&lt;=0,"Payé",IF($M531="Oui","Litige",IF($O531=0,"À échoir",IF($O531&lt;=30,"0-30",IF($O531&lt;=60,"31-60",IF($O531&lt;=90,"61-90","90+")))))))</f>
        <v/>
      </c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9">
        <f>IF($A532="","",SUMIFS(Ventes_Encaissements!$D$6:$D$3005,Ventes_Encaissements!$B$6:$B$3005,$A532))</f>
        <v/>
      </c>
      <c r="J532" s="9">
        <f>IF($A532="","",$H532-$I532)</f>
        <v/>
      </c>
      <c r="K532" s="10">
        <f>IF($A532="","",IF($I532=0,"",_xludf.AGGREGATE(14,6,Ventes_Encaissements!$C$6:$C$3005/(Ventes_Encaissements!$B$6:$B$3005=$A532),1)))</f>
        <v/>
      </c>
      <c r="L532" s="11">
        <f>IF($A532="","",COUNTIFS(Ventes_Detail!$B$6:$B$3005,$A532))</f>
        <v/>
      </c>
      <c r="M532" s="12" t="n"/>
      <c r="N532" s="12">
        <f>IF($A532="","",IF($G532="","",IF($M532="Oui","Litige",IF($J532&lt;=0,"Payé",IF($I532&gt;0,"Partiel",IF(Listes!$B$3&gt;$G532,"En retard","À échoir"))))))</f>
        <v/>
      </c>
      <c r="O532" s="11">
        <f>IF($A532="","",IF(OR($G532="", $J532&lt;=0),0,MAX(0,Listes!$B$3-$G532)))</f>
        <v/>
      </c>
      <c r="P532" s="12">
        <f>IF($A532="","",IF($J532&lt;=0,"Payé",IF($M532="Oui","Litige",IF($O532=0,"À échoir",IF($O532&lt;=30,"0-30",IF($O532&lt;=60,"31-60",IF($O532&lt;=90,"61-90","90+")))))))</f>
        <v/>
      </c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9">
        <f>IF($A533="","",SUMIFS(Ventes_Encaissements!$D$6:$D$3005,Ventes_Encaissements!$B$6:$B$3005,$A533))</f>
        <v/>
      </c>
      <c r="J533" s="9">
        <f>IF($A533="","",$H533-$I533)</f>
        <v/>
      </c>
      <c r="K533" s="10">
        <f>IF($A533="","",IF($I533=0,"",_xludf.AGGREGATE(14,6,Ventes_Encaissements!$C$6:$C$3005/(Ventes_Encaissements!$B$6:$B$3005=$A533),1)))</f>
        <v/>
      </c>
      <c r="L533" s="11">
        <f>IF($A533="","",COUNTIFS(Ventes_Detail!$B$6:$B$3005,$A533))</f>
        <v/>
      </c>
      <c r="M533" s="12" t="n"/>
      <c r="N533" s="12">
        <f>IF($A533="","",IF($G533="","",IF($M533="Oui","Litige",IF($J533&lt;=0,"Payé",IF($I533&gt;0,"Partiel",IF(Listes!$B$3&gt;$G533,"En retard","À échoir"))))))</f>
        <v/>
      </c>
      <c r="O533" s="11">
        <f>IF($A533="","",IF(OR($G533="", $J533&lt;=0),0,MAX(0,Listes!$B$3-$G533)))</f>
        <v/>
      </c>
      <c r="P533" s="12">
        <f>IF($A533="","",IF($J533&lt;=0,"Payé",IF($M533="Oui","Litige",IF($O533=0,"À échoir",IF($O533&lt;=30,"0-30",IF($O533&lt;=60,"31-60",IF($O533&lt;=90,"61-90","90+")))))))</f>
        <v/>
      </c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9">
        <f>IF($A534="","",SUMIFS(Ventes_Encaissements!$D$6:$D$3005,Ventes_Encaissements!$B$6:$B$3005,$A534))</f>
        <v/>
      </c>
      <c r="J534" s="9">
        <f>IF($A534="","",$H534-$I534)</f>
        <v/>
      </c>
      <c r="K534" s="10">
        <f>IF($A534="","",IF($I534=0,"",_xludf.AGGREGATE(14,6,Ventes_Encaissements!$C$6:$C$3005/(Ventes_Encaissements!$B$6:$B$3005=$A534),1)))</f>
        <v/>
      </c>
      <c r="L534" s="11">
        <f>IF($A534="","",COUNTIFS(Ventes_Detail!$B$6:$B$3005,$A534))</f>
        <v/>
      </c>
      <c r="M534" s="12" t="n"/>
      <c r="N534" s="12">
        <f>IF($A534="","",IF($G534="","",IF($M534="Oui","Litige",IF($J534&lt;=0,"Payé",IF($I534&gt;0,"Partiel",IF(Listes!$B$3&gt;$G534,"En retard","À échoir"))))))</f>
        <v/>
      </c>
      <c r="O534" s="11">
        <f>IF($A534="","",IF(OR($G534="", $J534&lt;=0),0,MAX(0,Listes!$B$3-$G534)))</f>
        <v/>
      </c>
      <c r="P534" s="12">
        <f>IF($A534="","",IF($J534&lt;=0,"Payé",IF($M534="Oui","Litige",IF($O534=0,"À échoir",IF($O534&lt;=30,"0-30",IF($O534&lt;=60,"31-60",IF($O534&lt;=90,"61-90","90+")))))))</f>
        <v/>
      </c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9">
        <f>IF($A535="","",SUMIFS(Ventes_Encaissements!$D$6:$D$3005,Ventes_Encaissements!$B$6:$B$3005,$A535))</f>
        <v/>
      </c>
      <c r="J535" s="9">
        <f>IF($A535="","",$H535-$I535)</f>
        <v/>
      </c>
      <c r="K535" s="10">
        <f>IF($A535="","",IF($I535=0,"",_xludf.AGGREGATE(14,6,Ventes_Encaissements!$C$6:$C$3005/(Ventes_Encaissements!$B$6:$B$3005=$A535),1)))</f>
        <v/>
      </c>
      <c r="L535" s="11">
        <f>IF($A535="","",COUNTIFS(Ventes_Detail!$B$6:$B$3005,$A535))</f>
        <v/>
      </c>
      <c r="M535" s="12" t="n"/>
      <c r="N535" s="12">
        <f>IF($A535="","",IF($G535="","",IF($M535="Oui","Litige",IF($J535&lt;=0,"Payé",IF($I535&gt;0,"Partiel",IF(Listes!$B$3&gt;$G535,"En retard","À échoir"))))))</f>
        <v/>
      </c>
      <c r="O535" s="11">
        <f>IF($A535="","",IF(OR($G535="", $J535&lt;=0),0,MAX(0,Listes!$B$3-$G535)))</f>
        <v/>
      </c>
      <c r="P535" s="12">
        <f>IF($A535="","",IF($J535&lt;=0,"Payé",IF($M535="Oui","Litige",IF($O535=0,"À échoir",IF($O535&lt;=30,"0-30",IF($O535&lt;=60,"31-60",IF($O535&lt;=90,"61-90","90+")))))))</f>
        <v/>
      </c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9">
        <f>IF($A536="","",SUMIFS(Ventes_Encaissements!$D$6:$D$3005,Ventes_Encaissements!$B$6:$B$3005,$A536))</f>
        <v/>
      </c>
      <c r="J536" s="9">
        <f>IF($A536="","",$H536-$I536)</f>
        <v/>
      </c>
      <c r="K536" s="10">
        <f>IF($A536="","",IF($I536=0,"",_xludf.AGGREGATE(14,6,Ventes_Encaissements!$C$6:$C$3005/(Ventes_Encaissements!$B$6:$B$3005=$A536),1)))</f>
        <v/>
      </c>
      <c r="L536" s="11">
        <f>IF($A536="","",COUNTIFS(Ventes_Detail!$B$6:$B$3005,$A536))</f>
        <v/>
      </c>
      <c r="M536" s="12" t="n"/>
      <c r="N536" s="12">
        <f>IF($A536="","",IF($G536="","",IF($M536="Oui","Litige",IF($J536&lt;=0,"Payé",IF($I536&gt;0,"Partiel",IF(Listes!$B$3&gt;$G536,"En retard","À échoir"))))))</f>
        <v/>
      </c>
      <c r="O536" s="11">
        <f>IF($A536="","",IF(OR($G536="", $J536&lt;=0),0,MAX(0,Listes!$B$3-$G536)))</f>
        <v/>
      </c>
      <c r="P536" s="12">
        <f>IF($A536="","",IF($J536&lt;=0,"Payé",IF($M536="Oui","Litige",IF($O536=0,"À échoir",IF($O536&lt;=30,"0-30",IF($O536&lt;=60,"31-60",IF($O536&lt;=90,"61-90","90+")))))))</f>
        <v/>
      </c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9">
        <f>IF($A537="","",SUMIFS(Ventes_Encaissements!$D$6:$D$3005,Ventes_Encaissements!$B$6:$B$3005,$A537))</f>
        <v/>
      </c>
      <c r="J537" s="9">
        <f>IF($A537="","",$H537-$I537)</f>
        <v/>
      </c>
      <c r="K537" s="10">
        <f>IF($A537="","",IF($I537=0,"",_xludf.AGGREGATE(14,6,Ventes_Encaissements!$C$6:$C$3005/(Ventes_Encaissements!$B$6:$B$3005=$A537),1)))</f>
        <v/>
      </c>
      <c r="L537" s="11">
        <f>IF($A537="","",COUNTIFS(Ventes_Detail!$B$6:$B$3005,$A537))</f>
        <v/>
      </c>
      <c r="M537" s="12" t="n"/>
      <c r="N537" s="12">
        <f>IF($A537="","",IF($G537="","",IF($M537="Oui","Litige",IF($J537&lt;=0,"Payé",IF($I537&gt;0,"Partiel",IF(Listes!$B$3&gt;$G537,"En retard","À échoir"))))))</f>
        <v/>
      </c>
      <c r="O537" s="11">
        <f>IF($A537="","",IF(OR($G537="", $J537&lt;=0),0,MAX(0,Listes!$B$3-$G537)))</f>
        <v/>
      </c>
      <c r="P537" s="12">
        <f>IF($A537="","",IF($J537&lt;=0,"Payé",IF($M537="Oui","Litige",IF($O537=0,"À échoir",IF($O537&lt;=30,"0-30",IF($O537&lt;=60,"31-60",IF($O537&lt;=90,"61-90","90+")))))))</f>
        <v/>
      </c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9">
        <f>IF($A538="","",SUMIFS(Ventes_Encaissements!$D$6:$D$3005,Ventes_Encaissements!$B$6:$B$3005,$A538))</f>
        <v/>
      </c>
      <c r="J538" s="9">
        <f>IF($A538="","",$H538-$I538)</f>
        <v/>
      </c>
      <c r="K538" s="10">
        <f>IF($A538="","",IF($I538=0,"",_xludf.AGGREGATE(14,6,Ventes_Encaissements!$C$6:$C$3005/(Ventes_Encaissements!$B$6:$B$3005=$A538),1)))</f>
        <v/>
      </c>
      <c r="L538" s="11">
        <f>IF($A538="","",COUNTIFS(Ventes_Detail!$B$6:$B$3005,$A538))</f>
        <v/>
      </c>
      <c r="M538" s="12" t="n"/>
      <c r="N538" s="12">
        <f>IF($A538="","",IF($G538="","",IF($M538="Oui","Litige",IF($J538&lt;=0,"Payé",IF($I538&gt;0,"Partiel",IF(Listes!$B$3&gt;$G538,"En retard","À échoir"))))))</f>
        <v/>
      </c>
      <c r="O538" s="11">
        <f>IF($A538="","",IF(OR($G538="", $J538&lt;=0),0,MAX(0,Listes!$B$3-$G538)))</f>
        <v/>
      </c>
      <c r="P538" s="12">
        <f>IF($A538="","",IF($J538&lt;=0,"Payé",IF($M538="Oui","Litige",IF($O538=0,"À échoir",IF($O538&lt;=30,"0-30",IF($O538&lt;=60,"31-60",IF($O538&lt;=90,"61-90","90+")))))))</f>
        <v/>
      </c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9">
        <f>IF($A539="","",SUMIFS(Ventes_Encaissements!$D$6:$D$3005,Ventes_Encaissements!$B$6:$B$3005,$A539))</f>
        <v/>
      </c>
      <c r="J539" s="9">
        <f>IF($A539="","",$H539-$I539)</f>
        <v/>
      </c>
      <c r="K539" s="10">
        <f>IF($A539="","",IF($I539=0,"",_xludf.AGGREGATE(14,6,Ventes_Encaissements!$C$6:$C$3005/(Ventes_Encaissements!$B$6:$B$3005=$A539),1)))</f>
        <v/>
      </c>
      <c r="L539" s="11">
        <f>IF($A539="","",COUNTIFS(Ventes_Detail!$B$6:$B$3005,$A539))</f>
        <v/>
      </c>
      <c r="M539" s="12" t="n"/>
      <c r="N539" s="12">
        <f>IF($A539="","",IF($G539="","",IF($M539="Oui","Litige",IF($J539&lt;=0,"Payé",IF($I539&gt;0,"Partiel",IF(Listes!$B$3&gt;$G539,"En retard","À échoir"))))))</f>
        <v/>
      </c>
      <c r="O539" s="11">
        <f>IF($A539="","",IF(OR($G539="", $J539&lt;=0),0,MAX(0,Listes!$B$3-$G539)))</f>
        <v/>
      </c>
      <c r="P539" s="12">
        <f>IF($A539="","",IF($J539&lt;=0,"Payé",IF($M539="Oui","Litige",IF($O539=0,"À échoir",IF($O539&lt;=30,"0-30",IF($O539&lt;=60,"31-60",IF($O539&lt;=90,"61-90","90+")))))))</f>
        <v/>
      </c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9">
        <f>IF($A540="","",SUMIFS(Ventes_Encaissements!$D$6:$D$3005,Ventes_Encaissements!$B$6:$B$3005,$A540))</f>
        <v/>
      </c>
      <c r="J540" s="9">
        <f>IF($A540="","",$H540-$I540)</f>
        <v/>
      </c>
      <c r="K540" s="10">
        <f>IF($A540="","",IF($I540=0,"",_xludf.AGGREGATE(14,6,Ventes_Encaissements!$C$6:$C$3005/(Ventes_Encaissements!$B$6:$B$3005=$A540),1)))</f>
        <v/>
      </c>
      <c r="L540" s="11">
        <f>IF($A540="","",COUNTIFS(Ventes_Detail!$B$6:$B$3005,$A540))</f>
        <v/>
      </c>
      <c r="M540" s="12" t="n"/>
      <c r="N540" s="12">
        <f>IF($A540="","",IF($G540="","",IF($M540="Oui","Litige",IF($J540&lt;=0,"Payé",IF($I540&gt;0,"Partiel",IF(Listes!$B$3&gt;$G540,"En retard","À échoir"))))))</f>
        <v/>
      </c>
      <c r="O540" s="11">
        <f>IF($A540="","",IF(OR($G540="", $J540&lt;=0),0,MAX(0,Listes!$B$3-$G540)))</f>
        <v/>
      </c>
      <c r="P540" s="12">
        <f>IF($A540="","",IF($J540&lt;=0,"Payé",IF($M540="Oui","Litige",IF($O540=0,"À échoir",IF($O540&lt;=30,"0-30",IF($O540&lt;=60,"31-60",IF($O540&lt;=90,"61-90","90+")))))))</f>
        <v/>
      </c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9">
        <f>IF($A541="","",SUMIFS(Ventes_Encaissements!$D$6:$D$3005,Ventes_Encaissements!$B$6:$B$3005,$A541))</f>
        <v/>
      </c>
      <c r="J541" s="9">
        <f>IF($A541="","",$H541-$I541)</f>
        <v/>
      </c>
      <c r="K541" s="10">
        <f>IF($A541="","",IF($I541=0,"",_xludf.AGGREGATE(14,6,Ventes_Encaissements!$C$6:$C$3005/(Ventes_Encaissements!$B$6:$B$3005=$A541),1)))</f>
        <v/>
      </c>
      <c r="L541" s="11">
        <f>IF($A541="","",COUNTIFS(Ventes_Detail!$B$6:$B$3005,$A541))</f>
        <v/>
      </c>
      <c r="M541" s="12" t="n"/>
      <c r="N541" s="12">
        <f>IF($A541="","",IF($G541="","",IF($M541="Oui","Litige",IF($J541&lt;=0,"Payé",IF($I541&gt;0,"Partiel",IF(Listes!$B$3&gt;$G541,"En retard","À échoir"))))))</f>
        <v/>
      </c>
      <c r="O541" s="11">
        <f>IF($A541="","",IF(OR($G541="", $J541&lt;=0),0,MAX(0,Listes!$B$3-$G541)))</f>
        <v/>
      </c>
      <c r="P541" s="12">
        <f>IF($A541="","",IF($J541&lt;=0,"Payé",IF($M541="Oui","Litige",IF($O541=0,"À échoir",IF($O541&lt;=30,"0-30",IF($O541&lt;=60,"31-60",IF($O541&lt;=90,"61-90","90+")))))))</f>
        <v/>
      </c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9">
        <f>IF($A542="","",SUMIFS(Ventes_Encaissements!$D$6:$D$3005,Ventes_Encaissements!$B$6:$B$3005,$A542))</f>
        <v/>
      </c>
      <c r="J542" s="9">
        <f>IF($A542="","",$H542-$I542)</f>
        <v/>
      </c>
      <c r="K542" s="10">
        <f>IF($A542="","",IF($I542=0,"",_xludf.AGGREGATE(14,6,Ventes_Encaissements!$C$6:$C$3005/(Ventes_Encaissements!$B$6:$B$3005=$A542),1)))</f>
        <v/>
      </c>
      <c r="L542" s="11">
        <f>IF($A542="","",COUNTIFS(Ventes_Detail!$B$6:$B$3005,$A542))</f>
        <v/>
      </c>
      <c r="M542" s="12" t="n"/>
      <c r="N542" s="12">
        <f>IF($A542="","",IF($G542="","",IF($M542="Oui","Litige",IF($J542&lt;=0,"Payé",IF($I542&gt;0,"Partiel",IF(Listes!$B$3&gt;$G542,"En retard","À échoir"))))))</f>
        <v/>
      </c>
      <c r="O542" s="11">
        <f>IF($A542="","",IF(OR($G542="", $J542&lt;=0),0,MAX(0,Listes!$B$3-$G542)))</f>
        <v/>
      </c>
      <c r="P542" s="12">
        <f>IF($A542="","",IF($J542&lt;=0,"Payé",IF($M542="Oui","Litige",IF($O542=0,"À échoir",IF($O542&lt;=30,"0-30",IF($O542&lt;=60,"31-60",IF($O542&lt;=90,"61-90","90+")))))))</f>
        <v/>
      </c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9">
        <f>IF($A543="","",SUMIFS(Ventes_Encaissements!$D$6:$D$3005,Ventes_Encaissements!$B$6:$B$3005,$A543))</f>
        <v/>
      </c>
      <c r="J543" s="9">
        <f>IF($A543="","",$H543-$I543)</f>
        <v/>
      </c>
      <c r="K543" s="10">
        <f>IF($A543="","",IF($I543=0,"",_xludf.AGGREGATE(14,6,Ventes_Encaissements!$C$6:$C$3005/(Ventes_Encaissements!$B$6:$B$3005=$A543),1)))</f>
        <v/>
      </c>
      <c r="L543" s="11">
        <f>IF($A543="","",COUNTIFS(Ventes_Detail!$B$6:$B$3005,$A543))</f>
        <v/>
      </c>
      <c r="M543" s="12" t="n"/>
      <c r="N543" s="12">
        <f>IF($A543="","",IF($G543="","",IF($M543="Oui","Litige",IF($J543&lt;=0,"Payé",IF($I543&gt;0,"Partiel",IF(Listes!$B$3&gt;$G543,"En retard","À échoir"))))))</f>
        <v/>
      </c>
      <c r="O543" s="11">
        <f>IF($A543="","",IF(OR($G543="", $J543&lt;=0),0,MAX(0,Listes!$B$3-$G543)))</f>
        <v/>
      </c>
      <c r="P543" s="12">
        <f>IF($A543="","",IF($J543&lt;=0,"Payé",IF($M543="Oui","Litige",IF($O543=0,"À échoir",IF($O543&lt;=30,"0-30",IF($O543&lt;=60,"31-60",IF($O543&lt;=90,"61-90","90+")))))))</f>
        <v/>
      </c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9">
        <f>IF($A544="","",SUMIFS(Ventes_Encaissements!$D$6:$D$3005,Ventes_Encaissements!$B$6:$B$3005,$A544))</f>
        <v/>
      </c>
      <c r="J544" s="9">
        <f>IF($A544="","",$H544-$I544)</f>
        <v/>
      </c>
      <c r="K544" s="10">
        <f>IF($A544="","",IF($I544=0,"",_xludf.AGGREGATE(14,6,Ventes_Encaissements!$C$6:$C$3005/(Ventes_Encaissements!$B$6:$B$3005=$A544),1)))</f>
        <v/>
      </c>
      <c r="L544" s="11">
        <f>IF($A544="","",COUNTIFS(Ventes_Detail!$B$6:$B$3005,$A544))</f>
        <v/>
      </c>
      <c r="M544" s="12" t="n"/>
      <c r="N544" s="12">
        <f>IF($A544="","",IF($G544="","",IF($M544="Oui","Litige",IF($J544&lt;=0,"Payé",IF($I544&gt;0,"Partiel",IF(Listes!$B$3&gt;$G544,"En retard","À échoir"))))))</f>
        <v/>
      </c>
      <c r="O544" s="11">
        <f>IF($A544="","",IF(OR($G544="", $J544&lt;=0),0,MAX(0,Listes!$B$3-$G544)))</f>
        <v/>
      </c>
      <c r="P544" s="12">
        <f>IF($A544="","",IF($J544&lt;=0,"Payé",IF($M544="Oui","Litige",IF($O544=0,"À échoir",IF($O544&lt;=30,"0-30",IF($O544&lt;=60,"31-60",IF($O544&lt;=90,"61-90","90+")))))))</f>
        <v/>
      </c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9">
        <f>IF($A545="","",SUMIFS(Ventes_Encaissements!$D$6:$D$3005,Ventes_Encaissements!$B$6:$B$3005,$A545))</f>
        <v/>
      </c>
      <c r="J545" s="9">
        <f>IF($A545="","",$H545-$I545)</f>
        <v/>
      </c>
      <c r="K545" s="10">
        <f>IF($A545="","",IF($I545=0,"",_xludf.AGGREGATE(14,6,Ventes_Encaissements!$C$6:$C$3005/(Ventes_Encaissements!$B$6:$B$3005=$A545),1)))</f>
        <v/>
      </c>
      <c r="L545" s="11">
        <f>IF($A545="","",COUNTIFS(Ventes_Detail!$B$6:$B$3005,$A545))</f>
        <v/>
      </c>
      <c r="M545" s="12" t="n"/>
      <c r="N545" s="12">
        <f>IF($A545="","",IF($G545="","",IF($M545="Oui","Litige",IF($J545&lt;=0,"Payé",IF($I545&gt;0,"Partiel",IF(Listes!$B$3&gt;$G545,"En retard","À échoir"))))))</f>
        <v/>
      </c>
      <c r="O545" s="11">
        <f>IF($A545="","",IF(OR($G545="", $J545&lt;=0),0,MAX(0,Listes!$B$3-$G545)))</f>
        <v/>
      </c>
      <c r="P545" s="12">
        <f>IF($A545="","",IF($J545&lt;=0,"Payé",IF($M545="Oui","Litige",IF($O545=0,"À échoir",IF($O545&lt;=30,"0-30",IF($O545&lt;=60,"31-60",IF($O545&lt;=90,"61-90","90+")))))))</f>
        <v/>
      </c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9">
        <f>IF($A546="","",SUMIFS(Ventes_Encaissements!$D$6:$D$3005,Ventes_Encaissements!$B$6:$B$3005,$A546))</f>
        <v/>
      </c>
      <c r="J546" s="9">
        <f>IF($A546="","",$H546-$I546)</f>
        <v/>
      </c>
      <c r="K546" s="10">
        <f>IF($A546="","",IF($I546=0,"",_xludf.AGGREGATE(14,6,Ventes_Encaissements!$C$6:$C$3005/(Ventes_Encaissements!$B$6:$B$3005=$A546),1)))</f>
        <v/>
      </c>
      <c r="L546" s="11">
        <f>IF($A546="","",COUNTIFS(Ventes_Detail!$B$6:$B$3005,$A546))</f>
        <v/>
      </c>
      <c r="M546" s="12" t="n"/>
      <c r="N546" s="12">
        <f>IF($A546="","",IF($G546="","",IF($M546="Oui","Litige",IF($J546&lt;=0,"Payé",IF($I546&gt;0,"Partiel",IF(Listes!$B$3&gt;$G546,"En retard","À échoir"))))))</f>
        <v/>
      </c>
      <c r="O546" s="11">
        <f>IF($A546="","",IF(OR($G546="", $J546&lt;=0),0,MAX(0,Listes!$B$3-$G546)))</f>
        <v/>
      </c>
      <c r="P546" s="12">
        <f>IF($A546="","",IF($J546&lt;=0,"Payé",IF($M546="Oui","Litige",IF($O546=0,"À échoir",IF($O546&lt;=30,"0-30",IF($O546&lt;=60,"31-60",IF($O546&lt;=90,"61-90","90+")))))))</f>
        <v/>
      </c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9">
        <f>IF($A547="","",SUMIFS(Ventes_Encaissements!$D$6:$D$3005,Ventes_Encaissements!$B$6:$B$3005,$A547))</f>
        <v/>
      </c>
      <c r="J547" s="9">
        <f>IF($A547="","",$H547-$I547)</f>
        <v/>
      </c>
      <c r="K547" s="10">
        <f>IF($A547="","",IF($I547=0,"",_xludf.AGGREGATE(14,6,Ventes_Encaissements!$C$6:$C$3005/(Ventes_Encaissements!$B$6:$B$3005=$A547),1)))</f>
        <v/>
      </c>
      <c r="L547" s="11">
        <f>IF($A547="","",COUNTIFS(Ventes_Detail!$B$6:$B$3005,$A547))</f>
        <v/>
      </c>
      <c r="M547" s="12" t="n"/>
      <c r="N547" s="12">
        <f>IF($A547="","",IF($G547="","",IF($M547="Oui","Litige",IF($J547&lt;=0,"Payé",IF($I547&gt;0,"Partiel",IF(Listes!$B$3&gt;$G547,"En retard","À échoir"))))))</f>
        <v/>
      </c>
      <c r="O547" s="11">
        <f>IF($A547="","",IF(OR($G547="", $J547&lt;=0),0,MAX(0,Listes!$B$3-$G547)))</f>
        <v/>
      </c>
      <c r="P547" s="12">
        <f>IF($A547="","",IF($J547&lt;=0,"Payé",IF($M547="Oui","Litige",IF($O547=0,"À échoir",IF($O547&lt;=30,"0-30",IF($O547&lt;=60,"31-60",IF($O547&lt;=90,"61-90","90+")))))))</f>
        <v/>
      </c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9">
        <f>IF($A548="","",SUMIFS(Ventes_Encaissements!$D$6:$D$3005,Ventes_Encaissements!$B$6:$B$3005,$A548))</f>
        <v/>
      </c>
      <c r="J548" s="9">
        <f>IF($A548="","",$H548-$I548)</f>
        <v/>
      </c>
      <c r="K548" s="10">
        <f>IF($A548="","",IF($I548=0,"",_xludf.AGGREGATE(14,6,Ventes_Encaissements!$C$6:$C$3005/(Ventes_Encaissements!$B$6:$B$3005=$A548),1)))</f>
        <v/>
      </c>
      <c r="L548" s="11">
        <f>IF($A548="","",COUNTIFS(Ventes_Detail!$B$6:$B$3005,$A548))</f>
        <v/>
      </c>
      <c r="M548" s="12" t="n"/>
      <c r="N548" s="12">
        <f>IF($A548="","",IF($G548="","",IF($M548="Oui","Litige",IF($J548&lt;=0,"Payé",IF($I548&gt;0,"Partiel",IF(Listes!$B$3&gt;$G548,"En retard","À échoir"))))))</f>
        <v/>
      </c>
      <c r="O548" s="11">
        <f>IF($A548="","",IF(OR($G548="", $J548&lt;=0),0,MAX(0,Listes!$B$3-$G548)))</f>
        <v/>
      </c>
      <c r="P548" s="12">
        <f>IF($A548="","",IF($J548&lt;=0,"Payé",IF($M548="Oui","Litige",IF($O548=0,"À échoir",IF($O548&lt;=30,"0-30",IF($O548&lt;=60,"31-60",IF($O548&lt;=90,"61-90","90+")))))))</f>
        <v/>
      </c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9">
        <f>IF($A549="","",SUMIFS(Ventes_Encaissements!$D$6:$D$3005,Ventes_Encaissements!$B$6:$B$3005,$A549))</f>
        <v/>
      </c>
      <c r="J549" s="9">
        <f>IF($A549="","",$H549-$I549)</f>
        <v/>
      </c>
      <c r="K549" s="10">
        <f>IF($A549="","",IF($I549=0,"",_xludf.AGGREGATE(14,6,Ventes_Encaissements!$C$6:$C$3005/(Ventes_Encaissements!$B$6:$B$3005=$A549),1)))</f>
        <v/>
      </c>
      <c r="L549" s="11">
        <f>IF($A549="","",COUNTIFS(Ventes_Detail!$B$6:$B$3005,$A549))</f>
        <v/>
      </c>
      <c r="M549" s="12" t="n"/>
      <c r="N549" s="12">
        <f>IF($A549="","",IF($G549="","",IF($M549="Oui","Litige",IF($J549&lt;=0,"Payé",IF($I549&gt;0,"Partiel",IF(Listes!$B$3&gt;$G549,"En retard","À échoir"))))))</f>
        <v/>
      </c>
      <c r="O549" s="11">
        <f>IF($A549="","",IF(OR($G549="", $J549&lt;=0),0,MAX(0,Listes!$B$3-$G549)))</f>
        <v/>
      </c>
      <c r="P549" s="12">
        <f>IF($A549="","",IF($J549&lt;=0,"Payé",IF($M549="Oui","Litige",IF($O549=0,"À échoir",IF($O549&lt;=30,"0-30",IF($O549&lt;=60,"31-60",IF($O549&lt;=90,"61-90","90+")))))))</f>
        <v/>
      </c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9">
        <f>IF($A550="","",SUMIFS(Ventes_Encaissements!$D$6:$D$3005,Ventes_Encaissements!$B$6:$B$3005,$A550))</f>
        <v/>
      </c>
      <c r="J550" s="9">
        <f>IF($A550="","",$H550-$I550)</f>
        <v/>
      </c>
      <c r="K550" s="10">
        <f>IF($A550="","",IF($I550=0,"",_xludf.AGGREGATE(14,6,Ventes_Encaissements!$C$6:$C$3005/(Ventes_Encaissements!$B$6:$B$3005=$A550),1)))</f>
        <v/>
      </c>
      <c r="L550" s="11">
        <f>IF($A550="","",COUNTIFS(Ventes_Detail!$B$6:$B$3005,$A550))</f>
        <v/>
      </c>
      <c r="M550" s="12" t="n"/>
      <c r="N550" s="12">
        <f>IF($A550="","",IF($G550="","",IF($M550="Oui","Litige",IF($J550&lt;=0,"Payé",IF($I550&gt;0,"Partiel",IF(Listes!$B$3&gt;$G550,"En retard","À échoir"))))))</f>
        <v/>
      </c>
      <c r="O550" s="11">
        <f>IF($A550="","",IF(OR($G550="", $J550&lt;=0),0,MAX(0,Listes!$B$3-$G550)))</f>
        <v/>
      </c>
      <c r="P550" s="12">
        <f>IF($A550="","",IF($J550&lt;=0,"Payé",IF($M550="Oui","Litige",IF($O550=0,"À échoir",IF($O550&lt;=30,"0-30",IF($O550&lt;=60,"31-60",IF($O550&lt;=90,"61-90","90+")))))))</f>
        <v/>
      </c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9">
        <f>IF($A551="","",SUMIFS(Ventes_Encaissements!$D$6:$D$3005,Ventes_Encaissements!$B$6:$B$3005,$A551))</f>
        <v/>
      </c>
      <c r="J551" s="9">
        <f>IF($A551="","",$H551-$I551)</f>
        <v/>
      </c>
      <c r="K551" s="10">
        <f>IF($A551="","",IF($I551=0,"",_xludf.AGGREGATE(14,6,Ventes_Encaissements!$C$6:$C$3005/(Ventes_Encaissements!$B$6:$B$3005=$A551),1)))</f>
        <v/>
      </c>
      <c r="L551" s="11">
        <f>IF($A551="","",COUNTIFS(Ventes_Detail!$B$6:$B$3005,$A551))</f>
        <v/>
      </c>
      <c r="M551" s="12" t="n"/>
      <c r="N551" s="12">
        <f>IF($A551="","",IF($G551="","",IF($M551="Oui","Litige",IF($J551&lt;=0,"Payé",IF($I551&gt;0,"Partiel",IF(Listes!$B$3&gt;$G551,"En retard","À échoir"))))))</f>
        <v/>
      </c>
      <c r="O551" s="11">
        <f>IF($A551="","",IF(OR($G551="", $J551&lt;=0),0,MAX(0,Listes!$B$3-$G551)))</f>
        <v/>
      </c>
      <c r="P551" s="12">
        <f>IF($A551="","",IF($J551&lt;=0,"Payé",IF($M551="Oui","Litige",IF($O551=0,"À échoir",IF($O551&lt;=30,"0-30",IF($O551&lt;=60,"31-60",IF($O551&lt;=90,"61-90","90+")))))))</f>
        <v/>
      </c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9">
        <f>IF($A552="","",SUMIFS(Ventes_Encaissements!$D$6:$D$3005,Ventes_Encaissements!$B$6:$B$3005,$A552))</f>
        <v/>
      </c>
      <c r="J552" s="9">
        <f>IF($A552="","",$H552-$I552)</f>
        <v/>
      </c>
      <c r="K552" s="10">
        <f>IF($A552="","",IF($I552=0,"",_xludf.AGGREGATE(14,6,Ventes_Encaissements!$C$6:$C$3005/(Ventes_Encaissements!$B$6:$B$3005=$A552),1)))</f>
        <v/>
      </c>
      <c r="L552" s="11">
        <f>IF($A552="","",COUNTIFS(Ventes_Detail!$B$6:$B$3005,$A552))</f>
        <v/>
      </c>
      <c r="M552" s="12" t="n"/>
      <c r="N552" s="12">
        <f>IF($A552="","",IF($G552="","",IF($M552="Oui","Litige",IF($J552&lt;=0,"Payé",IF($I552&gt;0,"Partiel",IF(Listes!$B$3&gt;$G552,"En retard","À échoir"))))))</f>
        <v/>
      </c>
      <c r="O552" s="11">
        <f>IF($A552="","",IF(OR($G552="", $J552&lt;=0),0,MAX(0,Listes!$B$3-$G552)))</f>
        <v/>
      </c>
      <c r="P552" s="12">
        <f>IF($A552="","",IF($J552&lt;=0,"Payé",IF($M552="Oui","Litige",IF($O552=0,"À échoir",IF($O552&lt;=30,"0-30",IF($O552&lt;=60,"31-60",IF($O552&lt;=90,"61-90","90+")))))))</f>
        <v/>
      </c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9">
        <f>IF($A553="","",SUMIFS(Ventes_Encaissements!$D$6:$D$3005,Ventes_Encaissements!$B$6:$B$3005,$A553))</f>
        <v/>
      </c>
      <c r="J553" s="9">
        <f>IF($A553="","",$H553-$I553)</f>
        <v/>
      </c>
      <c r="K553" s="10">
        <f>IF($A553="","",IF($I553=0,"",_xludf.AGGREGATE(14,6,Ventes_Encaissements!$C$6:$C$3005/(Ventes_Encaissements!$B$6:$B$3005=$A553),1)))</f>
        <v/>
      </c>
      <c r="L553" s="11">
        <f>IF($A553="","",COUNTIFS(Ventes_Detail!$B$6:$B$3005,$A553))</f>
        <v/>
      </c>
      <c r="M553" s="12" t="n"/>
      <c r="N553" s="12">
        <f>IF($A553="","",IF($G553="","",IF($M553="Oui","Litige",IF($J553&lt;=0,"Payé",IF($I553&gt;0,"Partiel",IF(Listes!$B$3&gt;$G553,"En retard","À échoir"))))))</f>
        <v/>
      </c>
      <c r="O553" s="11">
        <f>IF($A553="","",IF(OR($G553="", $J553&lt;=0),0,MAX(0,Listes!$B$3-$G553)))</f>
        <v/>
      </c>
      <c r="P553" s="12">
        <f>IF($A553="","",IF($J553&lt;=0,"Payé",IF($M553="Oui","Litige",IF($O553=0,"À échoir",IF($O553&lt;=30,"0-30",IF($O553&lt;=60,"31-60",IF($O553&lt;=90,"61-90","90+")))))))</f>
        <v/>
      </c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9">
        <f>IF($A554="","",SUMIFS(Ventes_Encaissements!$D$6:$D$3005,Ventes_Encaissements!$B$6:$B$3005,$A554))</f>
        <v/>
      </c>
      <c r="J554" s="9">
        <f>IF($A554="","",$H554-$I554)</f>
        <v/>
      </c>
      <c r="K554" s="10">
        <f>IF($A554="","",IF($I554=0,"",_xludf.AGGREGATE(14,6,Ventes_Encaissements!$C$6:$C$3005/(Ventes_Encaissements!$B$6:$B$3005=$A554),1)))</f>
        <v/>
      </c>
      <c r="L554" s="11">
        <f>IF($A554="","",COUNTIFS(Ventes_Detail!$B$6:$B$3005,$A554))</f>
        <v/>
      </c>
      <c r="M554" s="12" t="n"/>
      <c r="N554" s="12">
        <f>IF($A554="","",IF($G554="","",IF($M554="Oui","Litige",IF($J554&lt;=0,"Payé",IF($I554&gt;0,"Partiel",IF(Listes!$B$3&gt;$G554,"En retard","À échoir"))))))</f>
        <v/>
      </c>
      <c r="O554" s="11">
        <f>IF($A554="","",IF(OR($G554="", $J554&lt;=0),0,MAX(0,Listes!$B$3-$G554)))</f>
        <v/>
      </c>
      <c r="P554" s="12">
        <f>IF($A554="","",IF($J554&lt;=0,"Payé",IF($M554="Oui","Litige",IF($O554=0,"À échoir",IF($O554&lt;=30,"0-30",IF($O554&lt;=60,"31-60",IF($O554&lt;=90,"61-90","90+")))))))</f>
        <v/>
      </c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9">
        <f>IF($A555="","",SUMIFS(Ventes_Encaissements!$D$6:$D$3005,Ventes_Encaissements!$B$6:$B$3005,$A555))</f>
        <v/>
      </c>
      <c r="J555" s="9">
        <f>IF($A555="","",$H555-$I555)</f>
        <v/>
      </c>
      <c r="K555" s="10">
        <f>IF($A555="","",IF($I555=0,"",_xludf.AGGREGATE(14,6,Ventes_Encaissements!$C$6:$C$3005/(Ventes_Encaissements!$B$6:$B$3005=$A555),1)))</f>
        <v/>
      </c>
      <c r="L555" s="11">
        <f>IF($A555="","",COUNTIFS(Ventes_Detail!$B$6:$B$3005,$A555))</f>
        <v/>
      </c>
      <c r="M555" s="12" t="n"/>
      <c r="N555" s="12">
        <f>IF($A555="","",IF($G555="","",IF($M555="Oui","Litige",IF($J555&lt;=0,"Payé",IF($I555&gt;0,"Partiel",IF(Listes!$B$3&gt;$G555,"En retard","À échoir"))))))</f>
        <v/>
      </c>
      <c r="O555" s="11">
        <f>IF($A555="","",IF(OR($G555="", $J555&lt;=0),0,MAX(0,Listes!$B$3-$G555)))</f>
        <v/>
      </c>
      <c r="P555" s="12">
        <f>IF($A555="","",IF($J555&lt;=0,"Payé",IF($M555="Oui","Litige",IF($O555=0,"À échoir",IF($O555&lt;=30,"0-30",IF($O555&lt;=60,"31-60",IF($O555&lt;=90,"61-90","90+")))))))</f>
        <v/>
      </c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9">
        <f>IF($A556="","",SUMIFS(Ventes_Encaissements!$D$6:$D$3005,Ventes_Encaissements!$B$6:$B$3005,$A556))</f>
        <v/>
      </c>
      <c r="J556" s="9">
        <f>IF($A556="","",$H556-$I556)</f>
        <v/>
      </c>
      <c r="K556" s="10">
        <f>IF($A556="","",IF($I556=0,"",_xludf.AGGREGATE(14,6,Ventes_Encaissements!$C$6:$C$3005/(Ventes_Encaissements!$B$6:$B$3005=$A556),1)))</f>
        <v/>
      </c>
      <c r="L556" s="11">
        <f>IF($A556="","",COUNTIFS(Ventes_Detail!$B$6:$B$3005,$A556))</f>
        <v/>
      </c>
      <c r="M556" s="12" t="n"/>
      <c r="N556" s="12">
        <f>IF($A556="","",IF($G556="","",IF($M556="Oui","Litige",IF($J556&lt;=0,"Payé",IF($I556&gt;0,"Partiel",IF(Listes!$B$3&gt;$G556,"En retard","À échoir"))))))</f>
        <v/>
      </c>
      <c r="O556" s="11">
        <f>IF($A556="","",IF(OR($G556="", $J556&lt;=0),0,MAX(0,Listes!$B$3-$G556)))</f>
        <v/>
      </c>
      <c r="P556" s="12">
        <f>IF($A556="","",IF($J556&lt;=0,"Payé",IF($M556="Oui","Litige",IF($O556=0,"À échoir",IF($O556&lt;=30,"0-30",IF($O556&lt;=60,"31-60",IF($O556&lt;=90,"61-90","90+")))))))</f>
        <v/>
      </c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9">
        <f>IF($A557="","",SUMIFS(Ventes_Encaissements!$D$6:$D$3005,Ventes_Encaissements!$B$6:$B$3005,$A557))</f>
        <v/>
      </c>
      <c r="J557" s="9">
        <f>IF($A557="","",$H557-$I557)</f>
        <v/>
      </c>
      <c r="K557" s="10">
        <f>IF($A557="","",IF($I557=0,"",_xludf.AGGREGATE(14,6,Ventes_Encaissements!$C$6:$C$3005/(Ventes_Encaissements!$B$6:$B$3005=$A557),1)))</f>
        <v/>
      </c>
      <c r="L557" s="11">
        <f>IF($A557="","",COUNTIFS(Ventes_Detail!$B$6:$B$3005,$A557))</f>
        <v/>
      </c>
      <c r="M557" s="12" t="n"/>
      <c r="N557" s="12">
        <f>IF($A557="","",IF($G557="","",IF($M557="Oui","Litige",IF($J557&lt;=0,"Payé",IF($I557&gt;0,"Partiel",IF(Listes!$B$3&gt;$G557,"En retard","À échoir"))))))</f>
        <v/>
      </c>
      <c r="O557" s="11">
        <f>IF($A557="","",IF(OR($G557="", $J557&lt;=0),0,MAX(0,Listes!$B$3-$G557)))</f>
        <v/>
      </c>
      <c r="P557" s="12">
        <f>IF($A557="","",IF($J557&lt;=0,"Payé",IF($M557="Oui","Litige",IF($O557=0,"À échoir",IF($O557&lt;=30,"0-30",IF($O557&lt;=60,"31-60",IF($O557&lt;=90,"61-90","90+")))))))</f>
        <v/>
      </c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9">
        <f>IF($A558="","",SUMIFS(Ventes_Encaissements!$D$6:$D$3005,Ventes_Encaissements!$B$6:$B$3005,$A558))</f>
        <v/>
      </c>
      <c r="J558" s="9">
        <f>IF($A558="","",$H558-$I558)</f>
        <v/>
      </c>
      <c r="K558" s="10">
        <f>IF($A558="","",IF($I558=0,"",_xludf.AGGREGATE(14,6,Ventes_Encaissements!$C$6:$C$3005/(Ventes_Encaissements!$B$6:$B$3005=$A558),1)))</f>
        <v/>
      </c>
      <c r="L558" s="11">
        <f>IF($A558="","",COUNTIFS(Ventes_Detail!$B$6:$B$3005,$A558))</f>
        <v/>
      </c>
      <c r="M558" s="12" t="n"/>
      <c r="N558" s="12">
        <f>IF($A558="","",IF($G558="","",IF($M558="Oui","Litige",IF($J558&lt;=0,"Payé",IF($I558&gt;0,"Partiel",IF(Listes!$B$3&gt;$G558,"En retard","À échoir"))))))</f>
        <v/>
      </c>
      <c r="O558" s="11">
        <f>IF($A558="","",IF(OR($G558="", $J558&lt;=0),0,MAX(0,Listes!$B$3-$G558)))</f>
        <v/>
      </c>
      <c r="P558" s="12">
        <f>IF($A558="","",IF($J558&lt;=0,"Payé",IF($M558="Oui","Litige",IF($O558=0,"À échoir",IF($O558&lt;=30,"0-30",IF($O558&lt;=60,"31-60",IF($O558&lt;=90,"61-90","90+")))))))</f>
        <v/>
      </c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9">
        <f>IF($A559="","",SUMIFS(Ventes_Encaissements!$D$6:$D$3005,Ventes_Encaissements!$B$6:$B$3005,$A559))</f>
        <v/>
      </c>
      <c r="J559" s="9">
        <f>IF($A559="","",$H559-$I559)</f>
        <v/>
      </c>
      <c r="K559" s="10">
        <f>IF($A559="","",IF($I559=0,"",_xludf.AGGREGATE(14,6,Ventes_Encaissements!$C$6:$C$3005/(Ventes_Encaissements!$B$6:$B$3005=$A559),1)))</f>
        <v/>
      </c>
      <c r="L559" s="11">
        <f>IF($A559="","",COUNTIFS(Ventes_Detail!$B$6:$B$3005,$A559))</f>
        <v/>
      </c>
      <c r="M559" s="12" t="n"/>
      <c r="N559" s="12">
        <f>IF($A559="","",IF($G559="","",IF($M559="Oui","Litige",IF($J559&lt;=0,"Payé",IF($I559&gt;0,"Partiel",IF(Listes!$B$3&gt;$G559,"En retard","À échoir"))))))</f>
        <v/>
      </c>
      <c r="O559" s="11">
        <f>IF($A559="","",IF(OR($G559="", $J559&lt;=0),0,MAX(0,Listes!$B$3-$G559)))</f>
        <v/>
      </c>
      <c r="P559" s="12">
        <f>IF($A559="","",IF($J559&lt;=0,"Payé",IF($M559="Oui","Litige",IF($O559=0,"À échoir",IF($O559&lt;=30,"0-30",IF($O559&lt;=60,"31-60",IF($O559&lt;=90,"61-90","90+")))))))</f>
        <v/>
      </c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9">
        <f>IF($A560="","",SUMIFS(Ventes_Encaissements!$D$6:$D$3005,Ventes_Encaissements!$B$6:$B$3005,$A560))</f>
        <v/>
      </c>
      <c r="J560" s="9">
        <f>IF($A560="","",$H560-$I560)</f>
        <v/>
      </c>
      <c r="K560" s="10">
        <f>IF($A560="","",IF($I560=0,"",_xludf.AGGREGATE(14,6,Ventes_Encaissements!$C$6:$C$3005/(Ventes_Encaissements!$B$6:$B$3005=$A560),1)))</f>
        <v/>
      </c>
      <c r="L560" s="11">
        <f>IF($A560="","",COUNTIFS(Ventes_Detail!$B$6:$B$3005,$A560))</f>
        <v/>
      </c>
      <c r="M560" s="12" t="n"/>
      <c r="N560" s="12">
        <f>IF($A560="","",IF($G560="","",IF($M560="Oui","Litige",IF($J560&lt;=0,"Payé",IF($I560&gt;0,"Partiel",IF(Listes!$B$3&gt;$G560,"En retard","À échoir"))))))</f>
        <v/>
      </c>
      <c r="O560" s="11">
        <f>IF($A560="","",IF(OR($G560="", $J560&lt;=0),0,MAX(0,Listes!$B$3-$G560)))</f>
        <v/>
      </c>
      <c r="P560" s="12">
        <f>IF($A560="","",IF($J560&lt;=0,"Payé",IF($M560="Oui","Litige",IF($O560=0,"À échoir",IF($O560&lt;=30,"0-30",IF($O560&lt;=60,"31-60",IF($O560&lt;=90,"61-90","90+")))))))</f>
        <v/>
      </c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9">
        <f>IF($A561="","",SUMIFS(Ventes_Encaissements!$D$6:$D$3005,Ventes_Encaissements!$B$6:$B$3005,$A561))</f>
        <v/>
      </c>
      <c r="J561" s="9">
        <f>IF($A561="","",$H561-$I561)</f>
        <v/>
      </c>
      <c r="K561" s="10">
        <f>IF($A561="","",IF($I561=0,"",_xludf.AGGREGATE(14,6,Ventes_Encaissements!$C$6:$C$3005/(Ventes_Encaissements!$B$6:$B$3005=$A561),1)))</f>
        <v/>
      </c>
      <c r="L561" s="11">
        <f>IF($A561="","",COUNTIFS(Ventes_Detail!$B$6:$B$3005,$A561))</f>
        <v/>
      </c>
      <c r="M561" s="12" t="n"/>
      <c r="N561" s="12">
        <f>IF($A561="","",IF($G561="","",IF($M561="Oui","Litige",IF($J561&lt;=0,"Payé",IF($I561&gt;0,"Partiel",IF(Listes!$B$3&gt;$G561,"En retard","À échoir"))))))</f>
        <v/>
      </c>
      <c r="O561" s="11">
        <f>IF($A561="","",IF(OR($G561="", $J561&lt;=0),0,MAX(0,Listes!$B$3-$G561)))</f>
        <v/>
      </c>
      <c r="P561" s="12">
        <f>IF($A561="","",IF($J561&lt;=0,"Payé",IF($M561="Oui","Litige",IF($O561=0,"À échoir",IF($O561&lt;=30,"0-30",IF($O561&lt;=60,"31-60",IF($O561&lt;=90,"61-90","90+")))))))</f>
        <v/>
      </c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9">
        <f>IF($A562="","",SUMIFS(Ventes_Encaissements!$D$6:$D$3005,Ventes_Encaissements!$B$6:$B$3005,$A562))</f>
        <v/>
      </c>
      <c r="J562" s="9">
        <f>IF($A562="","",$H562-$I562)</f>
        <v/>
      </c>
      <c r="K562" s="10">
        <f>IF($A562="","",IF($I562=0,"",_xludf.AGGREGATE(14,6,Ventes_Encaissements!$C$6:$C$3005/(Ventes_Encaissements!$B$6:$B$3005=$A562),1)))</f>
        <v/>
      </c>
      <c r="L562" s="11">
        <f>IF($A562="","",COUNTIFS(Ventes_Detail!$B$6:$B$3005,$A562))</f>
        <v/>
      </c>
      <c r="M562" s="12" t="n"/>
      <c r="N562" s="12">
        <f>IF($A562="","",IF($G562="","",IF($M562="Oui","Litige",IF($J562&lt;=0,"Payé",IF($I562&gt;0,"Partiel",IF(Listes!$B$3&gt;$G562,"En retard","À échoir"))))))</f>
        <v/>
      </c>
      <c r="O562" s="11">
        <f>IF($A562="","",IF(OR($G562="", $J562&lt;=0),0,MAX(0,Listes!$B$3-$G562)))</f>
        <v/>
      </c>
      <c r="P562" s="12">
        <f>IF($A562="","",IF($J562&lt;=0,"Payé",IF($M562="Oui","Litige",IF($O562=0,"À échoir",IF($O562&lt;=30,"0-30",IF($O562&lt;=60,"31-60",IF($O562&lt;=90,"61-90","90+")))))))</f>
        <v/>
      </c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9">
        <f>IF($A563="","",SUMIFS(Ventes_Encaissements!$D$6:$D$3005,Ventes_Encaissements!$B$6:$B$3005,$A563))</f>
        <v/>
      </c>
      <c r="J563" s="9">
        <f>IF($A563="","",$H563-$I563)</f>
        <v/>
      </c>
      <c r="K563" s="10">
        <f>IF($A563="","",IF($I563=0,"",_xludf.AGGREGATE(14,6,Ventes_Encaissements!$C$6:$C$3005/(Ventes_Encaissements!$B$6:$B$3005=$A563),1)))</f>
        <v/>
      </c>
      <c r="L563" s="11">
        <f>IF($A563="","",COUNTIFS(Ventes_Detail!$B$6:$B$3005,$A563))</f>
        <v/>
      </c>
      <c r="M563" s="12" t="n"/>
      <c r="N563" s="12">
        <f>IF($A563="","",IF($G563="","",IF($M563="Oui","Litige",IF($J563&lt;=0,"Payé",IF($I563&gt;0,"Partiel",IF(Listes!$B$3&gt;$G563,"En retard","À échoir"))))))</f>
        <v/>
      </c>
      <c r="O563" s="11">
        <f>IF($A563="","",IF(OR($G563="", $J563&lt;=0),0,MAX(0,Listes!$B$3-$G563)))</f>
        <v/>
      </c>
      <c r="P563" s="12">
        <f>IF($A563="","",IF($J563&lt;=0,"Payé",IF($M563="Oui","Litige",IF($O563=0,"À échoir",IF($O563&lt;=30,"0-30",IF($O563&lt;=60,"31-60",IF($O563&lt;=90,"61-90","90+")))))))</f>
        <v/>
      </c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9">
        <f>IF($A564="","",SUMIFS(Ventes_Encaissements!$D$6:$D$3005,Ventes_Encaissements!$B$6:$B$3005,$A564))</f>
        <v/>
      </c>
      <c r="J564" s="9">
        <f>IF($A564="","",$H564-$I564)</f>
        <v/>
      </c>
      <c r="K564" s="10">
        <f>IF($A564="","",IF($I564=0,"",_xludf.AGGREGATE(14,6,Ventes_Encaissements!$C$6:$C$3005/(Ventes_Encaissements!$B$6:$B$3005=$A564),1)))</f>
        <v/>
      </c>
      <c r="L564" s="11">
        <f>IF($A564="","",COUNTIFS(Ventes_Detail!$B$6:$B$3005,$A564))</f>
        <v/>
      </c>
      <c r="M564" s="12" t="n"/>
      <c r="N564" s="12">
        <f>IF($A564="","",IF($G564="","",IF($M564="Oui","Litige",IF($J564&lt;=0,"Payé",IF($I564&gt;0,"Partiel",IF(Listes!$B$3&gt;$G564,"En retard","À échoir"))))))</f>
        <v/>
      </c>
      <c r="O564" s="11">
        <f>IF($A564="","",IF(OR($G564="", $J564&lt;=0),0,MAX(0,Listes!$B$3-$G564)))</f>
        <v/>
      </c>
      <c r="P564" s="12">
        <f>IF($A564="","",IF($J564&lt;=0,"Payé",IF($M564="Oui","Litige",IF($O564=0,"À échoir",IF($O564&lt;=30,"0-30",IF($O564&lt;=60,"31-60",IF($O564&lt;=90,"61-90","90+")))))))</f>
        <v/>
      </c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9">
        <f>IF($A565="","",SUMIFS(Ventes_Encaissements!$D$6:$D$3005,Ventes_Encaissements!$B$6:$B$3005,$A565))</f>
        <v/>
      </c>
      <c r="J565" s="9">
        <f>IF($A565="","",$H565-$I565)</f>
        <v/>
      </c>
      <c r="K565" s="10">
        <f>IF($A565="","",IF($I565=0,"",_xludf.AGGREGATE(14,6,Ventes_Encaissements!$C$6:$C$3005/(Ventes_Encaissements!$B$6:$B$3005=$A565),1)))</f>
        <v/>
      </c>
      <c r="L565" s="11">
        <f>IF($A565="","",COUNTIFS(Ventes_Detail!$B$6:$B$3005,$A565))</f>
        <v/>
      </c>
      <c r="M565" s="12" t="n"/>
      <c r="N565" s="12">
        <f>IF($A565="","",IF($G565="","",IF($M565="Oui","Litige",IF($J565&lt;=0,"Payé",IF($I565&gt;0,"Partiel",IF(Listes!$B$3&gt;$G565,"En retard","À échoir"))))))</f>
        <v/>
      </c>
      <c r="O565" s="11">
        <f>IF($A565="","",IF(OR($G565="", $J565&lt;=0),0,MAX(0,Listes!$B$3-$G565)))</f>
        <v/>
      </c>
      <c r="P565" s="12">
        <f>IF($A565="","",IF($J565&lt;=0,"Payé",IF($M565="Oui","Litige",IF($O565=0,"À échoir",IF($O565&lt;=30,"0-30",IF($O565&lt;=60,"31-60",IF($O565&lt;=90,"61-90","90+")))))))</f>
        <v/>
      </c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9">
        <f>IF($A566="","",SUMIFS(Ventes_Encaissements!$D$6:$D$3005,Ventes_Encaissements!$B$6:$B$3005,$A566))</f>
        <v/>
      </c>
      <c r="J566" s="9">
        <f>IF($A566="","",$H566-$I566)</f>
        <v/>
      </c>
      <c r="K566" s="10">
        <f>IF($A566="","",IF($I566=0,"",_xludf.AGGREGATE(14,6,Ventes_Encaissements!$C$6:$C$3005/(Ventes_Encaissements!$B$6:$B$3005=$A566),1)))</f>
        <v/>
      </c>
      <c r="L566" s="11">
        <f>IF($A566="","",COUNTIFS(Ventes_Detail!$B$6:$B$3005,$A566))</f>
        <v/>
      </c>
      <c r="M566" s="12" t="n"/>
      <c r="N566" s="12">
        <f>IF($A566="","",IF($G566="","",IF($M566="Oui","Litige",IF($J566&lt;=0,"Payé",IF($I566&gt;0,"Partiel",IF(Listes!$B$3&gt;$G566,"En retard","À échoir"))))))</f>
        <v/>
      </c>
      <c r="O566" s="11">
        <f>IF($A566="","",IF(OR($G566="", $J566&lt;=0),0,MAX(0,Listes!$B$3-$G566)))</f>
        <v/>
      </c>
      <c r="P566" s="12">
        <f>IF($A566="","",IF($J566&lt;=0,"Payé",IF($M566="Oui","Litige",IF($O566=0,"À échoir",IF($O566&lt;=30,"0-30",IF($O566&lt;=60,"31-60",IF($O566&lt;=90,"61-90","90+")))))))</f>
        <v/>
      </c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9">
        <f>IF($A567="","",SUMIFS(Ventes_Encaissements!$D$6:$D$3005,Ventes_Encaissements!$B$6:$B$3005,$A567))</f>
        <v/>
      </c>
      <c r="J567" s="9">
        <f>IF($A567="","",$H567-$I567)</f>
        <v/>
      </c>
      <c r="K567" s="10">
        <f>IF($A567="","",IF($I567=0,"",_xludf.AGGREGATE(14,6,Ventes_Encaissements!$C$6:$C$3005/(Ventes_Encaissements!$B$6:$B$3005=$A567),1)))</f>
        <v/>
      </c>
      <c r="L567" s="11">
        <f>IF($A567="","",COUNTIFS(Ventes_Detail!$B$6:$B$3005,$A567))</f>
        <v/>
      </c>
      <c r="M567" s="12" t="n"/>
      <c r="N567" s="12">
        <f>IF($A567="","",IF($G567="","",IF($M567="Oui","Litige",IF($J567&lt;=0,"Payé",IF($I567&gt;0,"Partiel",IF(Listes!$B$3&gt;$G567,"En retard","À échoir"))))))</f>
        <v/>
      </c>
      <c r="O567" s="11">
        <f>IF($A567="","",IF(OR($G567="", $J567&lt;=0),0,MAX(0,Listes!$B$3-$G567)))</f>
        <v/>
      </c>
      <c r="P567" s="12">
        <f>IF($A567="","",IF($J567&lt;=0,"Payé",IF($M567="Oui","Litige",IF($O567=0,"À échoir",IF($O567&lt;=30,"0-30",IF($O567&lt;=60,"31-60",IF($O567&lt;=90,"61-90","90+")))))))</f>
        <v/>
      </c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9">
        <f>IF($A568="","",SUMIFS(Ventes_Encaissements!$D$6:$D$3005,Ventes_Encaissements!$B$6:$B$3005,$A568))</f>
        <v/>
      </c>
      <c r="J568" s="9">
        <f>IF($A568="","",$H568-$I568)</f>
        <v/>
      </c>
      <c r="K568" s="10">
        <f>IF($A568="","",IF($I568=0,"",_xludf.AGGREGATE(14,6,Ventes_Encaissements!$C$6:$C$3005/(Ventes_Encaissements!$B$6:$B$3005=$A568),1)))</f>
        <v/>
      </c>
      <c r="L568" s="11">
        <f>IF($A568="","",COUNTIFS(Ventes_Detail!$B$6:$B$3005,$A568))</f>
        <v/>
      </c>
      <c r="M568" s="12" t="n"/>
      <c r="N568" s="12">
        <f>IF($A568="","",IF($G568="","",IF($M568="Oui","Litige",IF($J568&lt;=0,"Payé",IF($I568&gt;0,"Partiel",IF(Listes!$B$3&gt;$G568,"En retard","À échoir"))))))</f>
        <v/>
      </c>
      <c r="O568" s="11">
        <f>IF($A568="","",IF(OR($G568="", $J568&lt;=0),0,MAX(0,Listes!$B$3-$G568)))</f>
        <v/>
      </c>
      <c r="P568" s="12">
        <f>IF($A568="","",IF($J568&lt;=0,"Payé",IF($M568="Oui","Litige",IF($O568=0,"À échoir",IF($O568&lt;=30,"0-30",IF($O568&lt;=60,"31-60",IF($O568&lt;=90,"61-90","90+")))))))</f>
        <v/>
      </c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9">
        <f>IF($A569="","",SUMIFS(Ventes_Encaissements!$D$6:$D$3005,Ventes_Encaissements!$B$6:$B$3005,$A569))</f>
        <v/>
      </c>
      <c r="J569" s="9">
        <f>IF($A569="","",$H569-$I569)</f>
        <v/>
      </c>
      <c r="K569" s="10">
        <f>IF($A569="","",IF($I569=0,"",_xludf.AGGREGATE(14,6,Ventes_Encaissements!$C$6:$C$3005/(Ventes_Encaissements!$B$6:$B$3005=$A569),1)))</f>
        <v/>
      </c>
      <c r="L569" s="11">
        <f>IF($A569="","",COUNTIFS(Ventes_Detail!$B$6:$B$3005,$A569))</f>
        <v/>
      </c>
      <c r="M569" s="12" t="n"/>
      <c r="N569" s="12">
        <f>IF($A569="","",IF($G569="","",IF($M569="Oui","Litige",IF($J569&lt;=0,"Payé",IF($I569&gt;0,"Partiel",IF(Listes!$B$3&gt;$G569,"En retard","À échoir"))))))</f>
        <v/>
      </c>
      <c r="O569" s="11">
        <f>IF($A569="","",IF(OR($G569="", $J569&lt;=0),0,MAX(0,Listes!$B$3-$G569)))</f>
        <v/>
      </c>
      <c r="P569" s="12">
        <f>IF($A569="","",IF($J569&lt;=0,"Payé",IF($M569="Oui","Litige",IF($O569=0,"À échoir",IF($O569&lt;=30,"0-30",IF($O569&lt;=60,"31-60",IF($O569&lt;=90,"61-90","90+")))))))</f>
        <v/>
      </c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9">
        <f>IF($A570="","",SUMIFS(Ventes_Encaissements!$D$6:$D$3005,Ventes_Encaissements!$B$6:$B$3005,$A570))</f>
        <v/>
      </c>
      <c r="J570" s="9">
        <f>IF($A570="","",$H570-$I570)</f>
        <v/>
      </c>
      <c r="K570" s="10">
        <f>IF($A570="","",IF($I570=0,"",_xludf.AGGREGATE(14,6,Ventes_Encaissements!$C$6:$C$3005/(Ventes_Encaissements!$B$6:$B$3005=$A570),1)))</f>
        <v/>
      </c>
      <c r="L570" s="11">
        <f>IF($A570="","",COUNTIFS(Ventes_Detail!$B$6:$B$3005,$A570))</f>
        <v/>
      </c>
      <c r="M570" s="12" t="n"/>
      <c r="N570" s="12">
        <f>IF($A570="","",IF($G570="","",IF($M570="Oui","Litige",IF($J570&lt;=0,"Payé",IF($I570&gt;0,"Partiel",IF(Listes!$B$3&gt;$G570,"En retard","À échoir"))))))</f>
        <v/>
      </c>
      <c r="O570" s="11">
        <f>IF($A570="","",IF(OR($G570="", $J570&lt;=0),0,MAX(0,Listes!$B$3-$G570)))</f>
        <v/>
      </c>
      <c r="P570" s="12">
        <f>IF($A570="","",IF($J570&lt;=0,"Payé",IF($M570="Oui","Litige",IF($O570=0,"À échoir",IF($O570&lt;=30,"0-30",IF($O570&lt;=60,"31-60",IF($O570&lt;=90,"61-90","90+")))))))</f>
        <v/>
      </c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9">
        <f>IF($A571="","",SUMIFS(Ventes_Encaissements!$D$6:$D$3005,Ventes_Encaissements!$B$6:$B$3005,$A571))</f>
        <v/>
      </c>
      <c r="J571" s="9">
        <f>IF($A571="","",$H571-$I571)</f>
        <v/>
      </c>
      <c r="K571" s="10">
        <f>IF($A571="","",IF($I571=0,"",_xludf.AGGREGATE(14,6,Ventes_Encaissements!$C$6:$C$3005/(Ventes_Encaissements!$B$6:$B$3005=$A571),1)))</f>
        <v/>
      </c>
      <c r="L571" s="11">
        <f>IF($A571="","",COUNTIFS(Ventes_Detail!$B$6:$B$3005,$A571))</f>
        <v/>
      </c>
      <c r="M571" s="12" t="n"/>
      <c r="N571" s="12">
        <f>IF($A571="","",IF($G571="","",IF($M571="Oui","Litige",IF($J571&lt;=0,"Payé",IF($I571&gt;0,"Partiel",IF(Listes!$B$3&gt;$G571,"En retard","À échoir"))))))</f>
        <v/>
      </c>
      <c r="O571" s="11">
        <f>IF($A571="","",IF(OR($G571="", $J571&lt;=0),0,MAX(0,Listes!$B$3-$G571)))</f>
        <v/>
      </c>
      <c r="P571" s="12">
        <f>IF($A571="","",IF($J571&lt;=0,"Payé",IF($M571="Oui","Litige",IF($O571=0,"À échoir",IF($O571&lt;=30,"0-30",IF($O571&lt;=60,"31-60",IF($O571&lt;=90,"61-90","90+")))))))</f>
        <v/>
      </c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9">
        <f>IF($A572="","",SUMIFS(Ventes_Encaissements!$D$6:$D$3005,Ventes_Encaissements!$B$6:$B$3005,$A572))</f>
        <v/>
      </c>
      <c r="J572" s="9">
        <f>IF($A572="","",$H572-$I572)</f>
        <v/>
      </c>
      <c r="K572" s="10">
        <f>IF($A572="","",IF($I572=0,"",_xludf.AGGREGATE(14,6,Ventes_Encaissements!$C$6:$C$3005/(Ventes_Encaissements!$B$6:$B$3005=$A572),1)))</f>
        <v/>
      </c>
      <c r="L572" s="11">
        <f>IF($A572="","",COUNTIFS(Ventes_Detail!$B$6:$B$3005,$A572))</f>
        <v/>
      </c>
      <c r="M572" s="12" t="n"/>
      <c r="N572" s="12">
        <f>IF($A572="","",IF($G572="","",IF($M572="Oui","Litige",IF($J572&lt;=0,"Payé",IF($I572&gt;0,"Partiel",IF(Listes!$B$3&gt;$G572,"En retard","À échoir"))))))</f>
        <v/>
      </c>
      <c r="O572" s="11">
        <f>IF($A572="","",IF(OR($G572="", $J572&lt;=0),0,MAX(0,Listes!$B$3-$G572)))</f>
        <v/>
      </c>
      <c r="P572" s="12">
        <f>IF($A572="","",IF($J572&lt;=0,"Payé",IF($M572="Oui","Litige",IF($O572=0,"À échoir",IF($O572&lt;=30,"0-30",IF($O572&lt;=60,"31-60",IF($O572&lt;=90,"61-90","90+")))))))</f>
        <v/>
      </c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9">
        <f>IF($A573="","",SUMIFS(Ventes_Encaissements!$D$6:$D$3005,Ventes_Encaissements!$B$6:$B$3005,$A573))</f>
        <v/>
      </c>
      <c r="J573" s="9">
        <f>IF($A573="","",$H573-$I573)</f>
        <v/>
      </c>
      <c r="K573" s="10">
        <f>IF($A573="","",IF($I573=0,"",_xludf.AGGREGATE(14,6,Ventes_Encaissements!$C$6:$C$3005/(Ventes_Encaissements!$B$6:$B$3005=$A573),1)))</f>
        <v/>
      </c>
      <c r="L573" s="11">
        <f>IF($A573="","",COUNTIFS(Ventes_Detail!$B$6:$B$3005,$A573))</f>
        <v/>
      </c>
      <c r="M573" s="12" t="n"/>
      <c r="N573" s="12">
        <f>IF($A573="","",IF($G573="","",IF($M573="Oui","Litige",IF($J573&lt;=0,"Payé",IF($I573&gt;0,"Partiel",IF(Listes!$B$3&gt;$G573,"En retard","À échoir"))))))</f>
        <v/>
      </c>
      <c r="O573" s="11">
        <f>IF($A573="","",IF(OR($G573="", $J573&lt;=0),0,MAX(0,Listes!$B$3-$G573)))</f>
        <v/>
      </c>
      <c r="P573" s="12">
        <f>IF($A573="","",IF($J573&lt;=0,"Payé",IF($M573="Oui","Litige",IF($O573=0,"À échoir",IF($O573&lt;=30,"0-30",IF($O573&lt;=60,"31-60",IF($O573&lt;=90,"61-90","90+")))))))</f>
        <v/>
      </c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9">
        <f>IF($A574="","",SUMIFS(Ventes_Encaissements!$D$6:$D$3005,Ventes_Encaissements!$B$6:$B$3005,$A574))</f>
        <v/>
      </c>
      <c r="J574" s="9">
        <f>IF($A574="","",$H574-$I574)</f>
        <v/>
      </c>
      <c r="K574" s="10">
        <f>IF($A574="","",IF($I574=0,"",_xludf.AGGREGATE(14,6,Ventes_Encaissements!$C$6:$C$3005/(Ventes_Encaissements!$B$6:$B$3005=$A574),1)))</f>
        <v/>
      </c>
      <c r="L574" s="11">
        <f>IF($A574="","",COUNTIFS(Ventes_Detail!$B$6:$B$3005,$A574))</f>
        <v/>
      </c>
      <c r="M574" s="12" t="n"/>
      <c r="N574" s="12">
        <f>IF($A574="","",IF($G574="","",IF($M574="Oui","Litige",IF($J574&lt;=0,"Payé",IF($I574&gt;0,"Partiel",IF(Listes!$B$3&gt;$G574,"En retard","À échoir"))))))</f>
        <v/>
      </c>
      <c r="O574" s="11">
        <f>IF($A574="","",IF(OR($G574="", $J574&lt;=0),0,MAX(0,Listes!$B$3-$G574)))</f>
        <v/>
      </c>
      <c r="P574" s="12">
        <f>IF($A574="","",IF($J574&lt;=0,"Payé",IF($M574="Oui","Litige",IF($O574=0,"À échoir",IF($O574&lt;=30,"0-30",IF($O574&lt;=60,"31-60",IF($O574&lt;=90,"61-90","90+")))))))</f>
        <v/>
      </c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9">
        <f>IF($A575="","",SUMIFS(Ventes_Encaissements!$D$6:$D$3005,Ventes_Encaissements!$B$6:$B$3005,$A575))</f>
        <v/>
      </c>
      <c r="J575" s="9">
        <f>IF($A575="","",$H575-$I575)</f>
        <v/>
      </c>
      <c r="K575" s="10">
        <f>IF($A575="","",IF($I575=0,"",_xludf.AGGREGATE(14,6,Ventes_Encaissements!$C$6:$C$3005/(Ventes_Encaissements!$B$6:$B$3005=$A575),1)))</f>
        <v/>
      </c>
      <c r="L575" s="11">
        <f>IF($A575="","",COUNTIFS(Ventes_Detail!$B$6:$B$3005,$A575))</f>
        <v/>
      </c>
      <c r="M575" s="12" t="n"/>
      <c r="N575" s="12">
        <f>IF($A575="","",IF($G575="","",IF($M575="Oui","Litige",IF($J575&lt;=0,"Payé",IF($I575&gt;0,"Partiel",IF(Listes!$B$3&gt;$G575,"En retard","À échoir"))))))</f>
        <v/>
      </c>
      <c r="O575" s="11">
        <f>IF($A575="","",IF(OR($G575="", $J575&lt;=0),0,MAX(0,Listes!$B$3-$G575)))</f>
        <v/>
      </c>
      <c r="P575" s="12">
        <f>IF($A575="","",IF($J575&lt;=0,"Payé",IF($M575="Oui","Litige",IF($O575=0,"À échoir",IF($O575&lt;=30,"0-30",IF($O575&lt;=60,"31-60",IF($O575&lt;=90,"61-90","90+")))))))</f>
        <v/>
      </c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9">
        <f>IF($A576="","",SUMIFS(Ventes_Encaissements!$D$6:$D$3005,Ventes_Encaissements!$B$6:$B$3005,$A576))</f>
        <v/>
      </c>
      <c r="J576" s="9">
        <f>IF($A576="","",$H576-$I576)</f>
        <v/>
      </c>
      <c r="K576" s="10">
        <f>IF($A576="","",IF($I576=0,"",_xludf.AGGREGATE(14,6,Ventes_Encaissements!$C$6:$C$3005/(Ventes_Encaissements!$B$6:$B$3005=$A576),1)))</f>
        <v/>
      </c>
      <c r="L576" s="11">
        <f>IF($A576="","",COUNTIFS(Ventes_Detail!$B$6:$B$3005,$A576))</f>
        <v/>
      </c>
      <c r="M576" s="12" t="n"/>
      <c r="N576" s="12">
        <f>IF($A576="","",IF($G576="","",IF($M576="Oui","Litige",IF($J576&lt;=0,"Payé",IF($I576&gt;0,"Partiel",IF(Listes!$B$3&gt;$G576,"En retard","À échoir"))))))</f>
        <v/>
      </c>
      <c r="O576" s="11">
        <f>IF($A576="","",IF(OR($G576="", $J576&lt;=0),0,MAX(0,Listes!$B$3-$G576)))</f>
        <v/>
      </c>
      <c r="P576" s="12">
        <f>IF($A576="","",IF($J576&lt;=0,"Payé",IF($M576="Oui","Litige",IF($O576=0,"À échoir",IF($O576&lt;=30,"0-30",IF($O576&lt;=60,"31-60",IF($O576&lt;=90,"61-90","90+")))))))</f>
        <v/>
      </c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9">
        <f>IF($A577="","",SUMIFS(Ventes_Encaissements!$D$6:$D$3005,Ventes_Encaissements!$B$6:$B$3005,$A577))</f>
        <v/>
      </c>
      <c r="J577" s="9">
        <f>IF($A577="","",$H577-$I577)</f>
        <v/>
      </c>
      <c r="K577" s="10">
        <f>IF($A577="","",IF($I577=0,"",_xludf.AGGREGATE(14,6,Ventes_Encaissements!$C$6:$C$3005/(Ventes_Encaissements!$B$6:$B$3005=$A577),1)))</f>
        <v/>
      </c>
      <c r="L577" s="11">
        <f>IF($A577="","",COUNTIFS(Ventes_Detail!$B$6:$B$3005,$A577))</f>
        <v/>
      </c>
      <c r="M577" s="12" t="n"/>
      <c r="N577" s="12">
        <f>IF($A577="","",IF($G577="","",IF($M577="Oui","Litige",IF($J577&lt;=0,"Payé",IF($I577&gt;0,"Partiel",IF(Listes!$B$3&gt;$G577,"En retard","À échoir"))))))</f>
        <v/>
      </c>
      <c r="O577" s="11">
        <f>IF($A577="","",IF(OR($G577="", $J577&lt;=0),0,MAX(0,Listes!$B$3-$G577)))</f>
        <v/>
      </c>
      <c r="P577" s="12">
        <f>IF($A577="","",IF($J577&lt;=0,"Payé",IF($M577="Oui","Litige",IF($O577=0,"À échoir",IF($O577&lt;=30,"0-30",IF($O577&lt;=60,"31-60",IF($O577&lt;=90,"61-90","90+")))))))</f>
        <v/>
      </c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9">
        <f>IF($A578="","",SUMIFS(Ventes_Encaissements!$D$6:$D$3005,Ventes_Encaissements!$B$6:$B$3005,$A578))</f>
        <v/>
      </c>
      <c r="J578" s="9">
        <f>IF($A578="","",$H578-$I578)</f>
        <v/>
      </c>
      <c r="K578" s="10">
        <f>IF($A578="","",IF($I578=0,"",_xludf.AGGREGATE(14,6,Ventes_Encaissements!$C$6:$C$3005/(Ventes_Encaissements!$B$6:$B$3005=$A578),1)))</f>
        <v/>
      </c>
      <c r="L578" s="11">
        <f>IF($A578="","",COUNTIFS(Ventes_Detail!$B$6:$B$3005,$A578))</f>
        <v/>
      </c>
      <c r="M578" s="12" t="n"/>
      <c r="N578" s="12">
        <f>IF($A578="","",IF($G578="","",IF($M578="Oui","Litige",IF($J578&lt;=0,"Payé",IF($I578&gt;0,"Partiel",IF(Listes!$B$3&gt;$G578,"En retard","À échoir"))))))</f>
        <v/>
      </c>
      <c r="O578" s="11">
        <f>IF($A578="","",IF(OR($G578="", $J578&lt;=0),0,MAX(0,Listes!$B$3-$G578)))</f>
        <v/>
      </c>
      <c r="P578" s="12">
        <f>IF($A578="","",IF($J578&lt;=0,"Payé",IF($M578="Oui","Litige",IF($O578=0,"À échoir",IF($O578&lt;=30,"0-30",IF($O578&lt;=60,"31-60",IF($O578&lt;=90,"61-90","90+")))))))</f>
        <v/>
      </c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9">
        <f>IF($A579="","",SUMIFS(Ventes_Encaissements!$D$6:$D$3005,Ventes_Encaissements!$B$6:$B$3005,$A579))</f>
        <v/>
      </c>
      <c r="J579" s="9">
        <f>IF($A579="","",$H579-$I579)</f>
        <v/>
      </c>
      <c r="K579" s="10">
        <f>IF($A579="","",IF($I579=0,"",_xludf.AGGREGATE(14,6,Ventes_Encaissements!$C$6:$C$3005/(Ventes_Encaissements!$B$6:$B$3005=$A579),1)))</f>
        <v/>
      </c>
      <c r="L579" s="11">
        <f>IF($A579="","",COUNTIFS(Ventes_Detail!$B$6:$B$3005,$A579))</f>
        <v/>
      </c>
      <c r="M579" s="12" t="n"/>
      <c r="N579" s="12">
        <f>IF($A579="","",IF($G579="","",IF($M579="Oui","Litige",IF($J579&lt;=0,"Payé",IF($I579&gt;0,"Partiel",IF(Listes!$B$3&gt;$G579,"En retard","À échoir"))))))</f>
        <v/>
      </c>
      <c r="O579" s="11">
        <f>IF($A579="","",IF(OR($G579="", $J579&lt;=0),0,MAX(0,Listes!$B$3-$G579)))</f>
        <v/>
      </c>
      <c r="P579" s="12">
        <f>IF($A579="","",IF($J579&lt;=0,"Payé",IF($M579="Oui","Litige",IF($O579=0,"À échoir",IF($O579&lt;=30,"0-30",IF($O579&lt;=60,"31-60",IF($O579&lt;=90,"61-90","90+")))))))</f>
        <v/>
      </c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9">
        <f>IF($A580="","",SUMIFS(Ventes_Encaissements!$D$6:$D$3005,Ventes_Encaissements!$B$6:$B$3005,$A580))</f>
        <v/>
      </c>
      <c r="J580" s="9">
        <f>IF($A580="","",$H580-$I580)</f>
        <v/>
      </c>
      <c r="K580" s="10">
        <f>IF($A580="","",IF($I580=0,"",_xludf.AGGREGATE(14,6,Ventes_Encaissements!$C$6:$C$3005/(Ventes_Encaissements!$B$6:$B$3005=$A580),1)))</f>
        <v/>
      </c>
      <c r="L580" s="11">
        <f>IF($A580="","",COUNTIFS(Ventes_Detail!$B$6:$B$3005,$A580))</f>
        <v/>
      </c>
      <c r="M580" s="12" t="n"/>
      <c r="N580" s="12">
        <f>IF($A580="","",IF($G580="","",IF($M580="Oui","Litige",IF($J580&lt;=0,"Payé",IF($I580&gt;0,"Partiel",IF(Listes!$B$3&gt;$G580,"En retard","À échoir"))))))</f>
        <v/>
      </c>
      <c r="O580" s="11">
        <f>IF($A580="","",IF(OR($G580="", $J580&lt;=0),0,MAX(0,Listes!$B$3-$G580)))</f>
        <v/>
      </c>
      <c r="P580" s="12">
        <f>IF($A580="","",IF($J580&lt;=0,"Payé",IF($M580="Oui","Litige",IF($O580=0,"À échoir",IF($O580&lt;=30,"0-30",IF($O580&lt;=60,"31-60",IF($O580&lt;=90,"61-90","90+")))))))</f>
        <v/>
      </c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9">
        <f>IF($A581="","",SUMIFS(Ventes_Encaissements!$D$6:$D$3005,Ventes_Encaissements!$B$6:$B$3005,$A581))</f>
        <v/>
      </c>
      <c r="J581" s="9">
        <f>IF($A581="","",$H581-$I581)</f>
        <v/>
      </c>
      <c r="K581" s="10">
        <f>IF($A581="","",IF($I581=0,"",_xludf.AGGREGATE(14,6,Ventes_Encaissements!$C$6:$C$3005/(Ventes_Encaissements!$B$6:$B$3005=$A581),1)))</f>
        <v/>
      </c>
      <c r="L581" s="11">
        <f>IF($A581="","",COUNTIFS(Ventes_Detail!$B$6:$B$3005,$A581))</f>
        <v/>
      </c>
      <c r="M581" s="12" t="n"/>
      <c r="N581" s="12">
        <f>IF($A581="","",IF($G581="","",IF($M581="Oui","Litige",IF($J581&lt;=0,"Payé",IF($I581&gt;0,"Partiel",IF(Listes!$B$3&gt;$G581,"En retard","À échoir"))))))</f>
        <v/>
      </c>
      <c r="O581" s="11">
        <f>IF($A581="","",IF(OR($G581="", $J581&lt;=0),0,MAX(0,Listes!$B$3-$G581)))</f>
        <v/>
      </c>
      <c r="P581" s="12">
        <f>IF($A581="","",IF($J581&lt;=0,"Payé",IF($M581="Oui","Litige",IF($O581=0,"À échoir",IF($O581&lt;=30,"0-30",IF($O581&lt;=60,"31-60",IF($O581&lt;=90,"61-90","90+")))))))</f>
        <v/>
      </c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9">
        <f>IF($A582="","",SUMIFS(Ventes_Encaissements!$D$6:$D$3005,Ventes_Encaissements!$B$6:$B$3005,$A582))</f>
        <v/>
      </c>
      <c r="J582" s="9">
        <f>IF($A582="","",$H582-$I582)</f>
        <v/>
      </c>
      <c r="K582" s="10">
        <f>IF($A582="","",IF($I582=0,"",_xludf.AGGREGATE(14,6,Ventes_Encaissements!$C$6:$C$3005/(Ventes_Encaissements!$B$6:$B$3005=$A582),1)))</f>
        <v/>
      </c>
      <c r="L582" s="11">
        <f>IF($A582="","",COUNTIFS(Ventes_Detail!$B$6:$B$3005,$A582))</f>
        <v/>
      </c>
      <c r="M582" s="12" t="n"/>
      <c r="N582" s="12">
        <f>IF($A582="","",IF($G582="","",IF($M582="Oui","Litige",IF($J582&lt;=0,"Payé",IF($I582&gt;0,"Partiel",IF(Listes!$B$3&gt;$G582,"En retard","À échoir"))))))</f>
        <v/>
      </c>
      <c r="O582" s="11">
        <f>IF($A582="","",IF(OR($G582="", $J582&lt;=0),0,MAX(0,Listes!$B$3-$G582)))</f>
        <v/>
      </c>
      <c r="P582" s="12">
        <f>IF($A582="","",IF($J582&lt;=0,"Payé",IF($M582="Oui","Litige",IF($O582=0,"À échoir",IF($O582&lt;=30,"0-30",IF($O582&lt;=60,"31-60",IF($O582&lt;=90,"61-90","90+")))))))</f>
        <v/>
      </c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9">
        <f>IF($A583="","",SUMIFS(Ventes_Encaissements!$D$6:$D$3005,Ventes_Encaissements!$B$6:$B$3005,$A583))</f>
        <v/>
      </c>
      <c r="J583" s="9">
        <f>IF($A583="","",$H583-$I583)</f>
        <v/>
      </c>
      <c r="K583" s="10">
        <f>IF($A583="","",IF($I583=0,"",_xludf.AGGREGATE(14,6,Ventes_Encaissements!$C$6:$C$3005/(Ventes_Encaissements!$B$6:$B$3005=$A583),1)))</f>
        <v/>
      </c>
      <c r="L583" s="11">
        <f>IF($A583="","",COUNTIFS(Ventes_Detail!$B$6:$B$3005,$A583))</f>
        <v/>
      </c>
      <c r="M583" s="12" t="n"/>
      <c r="N583" s="12">
        <f>IF($A583="","",IF($G583="","",IF($M583="Oui","Litige",IF($J583&lt;=0,"Payé",IF($I583&gt;0,"Partiel",IF(Listes!$B$3&gt;$G583,"En retard","À échoir"))))))</f>
        <v/>
      </c>
      <c r="O583" s="11">
        <f>IF($A583="","",IF(OR($G583="", $J583&lt;=0),0,MAX(0,Listes!$B$3-$G583)))</f>
        <v/>
      </c>
      <c r="P583" s="12">
        <f>IF($A583="","",IF($J583&lt;=0,"Payé",IF($M583="Oui","Litige",IF($O583=0,"À échoir",IF($O583&lt;=30,"0-30",IF($O583&lt;=60,"31-60",IF($O583&lt;=90,"61-90","90+")))))))</f>
        <v/>
      </c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9">
        <f>IF($A584="","",SUMIFS(Ventes_Encaissements!$D$6:$D$3005,Ventes_Encaissements!$B$6:$B$3005,$A584))</f>
        <v/>
      </c>
      <c r="J584" s="9">
        <f>IF($A584="","",$H584-$I584)</f>
        <v/>
      </c>
      <c r="K584" s="10">
        <f>IF($A584="","",IF($I584=0,"",_xludf.AGGREGATE(14,6,Ventes_Encaissements!$C$6:$C$3005/(Ventes_Encaissements!$B$6:$B$3005=$A584),1)))</f>
        <v/>
      </c>
      <c r="L584" s="11">
        <f>IF($A584="","",COUNTIFS(Ventes_Detail!$B$6:$B$3005,$A584))</f>
        <v/>
      </c>
      <c r="M584" s="12" t="n"/>
      <c r="N584" s="12">
        <f>IF($A584="","",IF($G584="","",IF($M584="Oui","Litige",IF($J584&lt;=0,"Payé",IF($I584&gt;0,"Partiel",IF(Listes!$B$3&gt;$G584,"En retard","À échoir"))))))</f>
        <v/>
      </c>
      <c r="O584" s="11">
        <f>IF($A584="","",IF(OR($G584="", $J584&lt;=0),0,MAX(0,Listes!$B$3-$G584)))</f>
        <v/>
      </c>
      <c r="P584" s="12">
        <f>IF($A584="","",IF($J584&lt;=0,"Payé",IF($M584="Oui","Litige",IF($O584=0,"À échoir",IF($O584&lt;=30,"0-30",IF($O584&lt;=60,"31-60",IF($O584&lt;=90,"61-90","90+")))))))</f>
        <v/>
      </c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9">
        <f>IF($A585="","",SUMIFS(Ventes_Encaissements!$D$6:$D$3005,Ventes_Encaissements!$B$6:$B$3005,$A585))</f>
        <v/>
      </c>
      <c r="J585" s="9">
        <f>IF($A585="","",$H585-$I585)</f>
        <v/>
      </c>
      <c r="K585" s="10">
        <f>IF($A585="","",IF($I585=0,"",_xludf.AGGREGATE(14,6,Ventes_Encaissements!$C$6:$C$3005/(Ventes_Encaissements!$B$6:$B$3005=$A585),1)))</f>
        <v/>
      </c>
      <c r="L585" s="11">
        <f>IF($A585="","",COUNTIFS(Ventes_Detail!$B$6:$B$3005,$A585))</f>
        <v/>
      </c>
      <c r="M585" s="12" t="n"/>
      <c r="N585" s="12">
        <f>IF($A585="","",IF($G585="","",IF($M585="Oui","Litige",IF($J585&lt;=0,"Payé",IF($I585&gt;0,"Partiel",IF(Listes!$B$3&gt;$G585,"En retard","À échoir"))))))</f>
        <v/>
      </c>
      <c r="O585" s="11">
        <f>IF($A585="","",IF(OR($G585="", $J585&lt;=0),0,MAX(0,Listes!$B$3-$G585)))</f>
        <v/>
      </c>
      <c r="P585" s="12">
        <f>IF($A585="","",IF($J585&lt;=0,"Payé",IF($M585="Oui","Litige",IF($O585=0,"À échoir",IF($O585&lt;=30,"0-30",IF($O585&lt;=60,"31-60",IF($O585&lt;=90,"61-90","90+")))))))</f>
        <v/>
      </c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9">
        <f>IF($A586="","",SUMIFS(Ventes_Encaissements!$D$6:$D$3005,Ventes_Encaissements!$B$6:$B$3005,$A586))</f>
        <v/>
      </c>
      <c r="J586" s="9">
        <f>IF($A586="","",$H586-$I586)</f>
        <v/>
      </c>
      <c r="K586" s="10">
        <f>IF($A586="","",IF($I586=0,"",_xludf.AGGREGATE(14,6,Ventes_Encaissements!$C$6:$C$3005/(Ventes_Encaissements!$B$6:$B$3005=$A586),1)))</f>
        <v/>
      </c>
      <c r="L586" s="11">
        <f>IF($A586="","",COUNTIFS(Ventes_Detail!$B$6:$B$3005,$A586))</f>
        <v/>
      </c>
      <c r="M586" s="12" t="n"/>
      <c r="N586" s="12">
        <f>IF($A586="","",IF($G586="","",IF($M586="Oui","Litige",IF($J586&lt;=0,"Payé",IF($I586&gt;0,"Partiel",IF(Listes!$B$3&gt;$G586,"En retard","À échoir"))))))</f>
        <v/>
      </c>
      <c r="O586" s="11">
        <f>IF($A586="","",IF(OR($G586="", $J586&lt;=0),0,MAX(0,Listes!$B$3-$G586)))</f>
        <v/>
      </c>
      <c r="P586" s="12">
        <f>IF($A586="","",IF($J586&lt;=0,"Payé",IF($M586="Oui","Litige",IF($O586=0,"À échoir",IF($O586&lt;=30,"0-30",IF($O586&lt;=60,"31-60",IF($O586&lt;=90,"61-90","90+")))))))</f>
        <v/>
      </c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9">
        <f>IF($A587="","",SUMIFS(Ventes_Encaissements!$D$6:$D$3005,Ventes_Encaissements!$B$6:$B$3005,$A587))</f>
        <v/>
      </c>
      <c r="J587" s="9">
        <f>IF($A587="","",$H587-$I587)</f>
        <v/>
      </c>
      <c r="K587" s="10">
        <f>IF($A587="","",IF($I587=0,"",_xludf.AGGREGATE(14,6,Ventes_Encaissements!$C$6:$C$3005/(Ventes_Encaissements!$B$6:$B$3005=$A587),1)))</f>
        <v/>
      </c>
      <c r="L587" s="11">
        <f>IF($A587="","",COUNTIFS(Ventes_Detail!$B$6:$B$3005,$A587))</f>
        <v/>
      </c>
      <c r="M587" s="12" t="n"/>
      <c r="N587" s="12">
        <f>IF($A587="","",IF($G587="","",IF($M587="Oui","Litige",IF($J587&lt;=0,"Payé",IF($I587&gt;0,"Partiel",IF(Listes!$B$3&gt;$G587,"En retard","À échoir"))))))</f>
        <v/>
      </c>
      <c r="O587" s="11">
        <f>IF($A587="","",IF(OR($G587="", $J587&lt;=0),0,MAX(0,Listes!$B$3-$G587)))</f>
        <v/>
      </c>
      <c r="P587" s="12">
        <f>IF($A587="","",IF($J587&lt;=0,"Payé",IF($M587="Oui","Litige",IF($O587=0,"À échoir",IF($O587&lt;=30,"0-30",IF($O587&lt;=60,"31-60",IF($O587&lt;=90,"61-90","90+")))))))</f>
        <v/>
      </c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9">
        <f>IF($A588="","",SUMIFS(Ventes_Encaissements!$D$6:$D$3005,Ventes_Encaissements!$B$6:$B$3005,$A588))</f>
        <v/>
      </c>
      <c r="J588" s="9">
        <f>IF($A588="","",$H588-$I588)</f>
        <v/>
      </c>
      <c r="K588" s="10">
        <f>IF($A588="","",IF($I588=0,"",_xludf.AGGREGATE(14,6,Ventes_Encaissements!$C$6:$C$3005/(Ventes_Encaissements!$B$6:$B$3005=$A588),1)))</f>
        <v/>
      </c>
      <c r="L588" s="11">
        <f>IF($A588="","",COUNTIFS(Ventes_Detail!$B$6:$B$3005,$A588))</f>
        <v/>
      </c>
      <c r="M588" s="12" t="n"/>
      <c r="N588" s="12">
        <f>IF($A588="","",IF($G588="","",IF($M588="Oui","Litige",IF($J588&lt;=0,"Payé",IF($I588&gt;0,"Partiel",IF(Listes!$B$3&gt;$G588,"En retard","À échoir"))))))</f>
        <v/>
      </c>
      <c r="O588" s="11">
        <f>IF($A588="","",IF(OR($G588="", $J588&lt;=0),0,MAX(0,Listes!$B$3-$G588)))</f>
        <v/>
      </c>
      <c r="P588" s="12">
        <f>IF($A588="","",IF($J588&lt;=0,"Payé",IF($M588="Oui","Litige",IF($O588=0,"À échoir",IF($O588&lt;=30,"0-30",IF($O588&lt;=60,"31-60",IF($O588&lt;=90,"61-90","90+")))))))</f>
        <v/>
      </c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9">
        <f>IF($A589="","",SUMIFS(Ventes_Encaissements!$D$6:$D$3005,Ventes_Encaissements!$B$6:$B$3005,$A589))</f>
        <v/>
      </c>
      <c r="J589" s="9">
        <f>IF($A589="","",$H589-$I589)</f>
        <v/>
      </c>
      <c r="K589" s="10">
        <f>IF($A589="","",IF($I589=0,"",_xludf.AGGREGATE(14,6,Ventes_Encaissements!$C$6:$C$3005/(Ventes_Encaissements!$B$6:$B$3005=$A589),1)))</f>
        <v/>
      </c>
      <c r="L589" s="11">
        <f>IF($A589="","",COUNTIFS(Ventes_Detail!$B$6:$B$3005,$A589))</f>
        <v/>
      </c>
      <c r="M589" s="12" t="n"/>
      <c r="N589" s="12">
        <f>IF($A589="","",IF($G589="","",IF($M589="Oui","Litige",IF($J589&lt;=0,"Payé",IF($I589&gt;0,"Partiel",IF(Listes!$B$3&gt;$G589,"En retard","À échoir"))))))</f>
        <v/>
      </c>
      <c r="O589" s="11">
        <f>IF($A589="","",IF(OR($G589="", $J589&lt;=0),0,MAX(0,Listes!$B$3-$G589)))</f>
        <v/>
      </c>
      <c r="P589" s="12">
        <f>IF($A589="","",IF($J589&lt;=0,"Payé",IF($M589="Oui","Litige",IF($O589=0,"À échoir",IF($O589&lt;=30,"0-30",IF($O589&lt;=60,"31-60",IF($O589&lt;=90,"61-90","90+")))))))</f>
        <v/>
      </c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9">
        <f>IF($A590="","",SUMIFS(Ventes_Encaissements!$D$6:$D$3005,Ventes_Encaissements!$B$6:$B$3005,$A590))</f>
        <v/>
      </c>
      <c r="J590" s="9">
        <f>IF($A590="","",$H590-$I590)</f>
        <v/>
      </c>
      <c r="K590" s="10">
        <f>IF($A590="","",IF($I590=0,"",_xludf.AGGREGATE(14,6,Ventes_Encaissements!$C$6:$C$3005/(Ventes_Encaissements!$B$6:$B$3005=$A590),1)))</f>
        <v/>
      </c>
      <c r="L590" s="11">
        <f>IF($A590="","",COUNTIFS(Ventes_Detail!$B$6:$B$3005,$A590))</f>
        <v/>
      </c>
      <c r="M590" s="12" t="n"/>
      <c r="N590" s="12">
        <f>IF($A590="","",IF($G590="","",IF($M590="Oui","Litige",IF($J590&lt;=0,"Payé",IF($I590&gt;0,"Partiel",IF(Listes!$B$3&gt;$G590,"En retard","À échoir"))))))</f>
        <v/>
      </c>
      <c r="O590" s="11">
        <f>IF($A590="","",IF(OR($G590="", $J590&lt;=0),0,MAX(0,Listes!$B$3-$G590)))</f>
        <v/>
      </c>
      <c r="P590" s="12">
        <f>IF($A590="","",IF($J590&lt;=0,"Payé",IF($M590="Oui","Litige",IF($O590=0,"À échoir",IF($O590&lt;=30,"0-30",IF($O590&lt;=60,"31-60",IF($O590&lt;=90,"61-90","90+")))))))</f>
        <v/>
      </c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9">
        <f>IF($A591="","",SUMIFS(Ventes_Encaissements!$D$6:$D$3005,Ventes_Encaissements!$B$6:$B$3005,$A591))</f>
        <v/>
      </c>
      <c r="J591" s="9">
        <f>IF($A591="","",$H591-$I591)</f>
        <v/>
      </c>
      <c r="K591" s="10">
        <f>IF($A591="","",IF($I591=0,"",_xludf.AGGREGATE(14,6,Ventes_Encaissements!$C$6:$C$3005/(Ventes_Encaissements!$B$6:$B$3005=$A591),1)))</f>
        <v/>
      </c>
      <c r="L591" s="11">
        <f>IF($A591="","",COUNTIFS(Ventes_Detail!$B$6:$B$3005,$A591))</f>
        <v/>
      </c>
      <c r="M591" s="12" t="n"/>
      <c r="N591" s="12">
        <f>IF($A591="","",IF($G591="","",IF($M591="Oui","Litige",IF($J591&lt;=0,"Payé",IF($I591&gt;0,"Partiel",IF(Listes!$B$3&gt;$G591,"En retard","À échoir"))))))</f>
        <v/>
      </c>
      <c r="O591" s="11">
        <f>IF($A591="","",IF(OR($G591="", $J591&lt;=0),0,MAX(0,Listes!$B$3-$G591)))</f>
        <v/>
      </c>
      <c r="P591" s="12">
        <f>IF($A591="","",IF($J591&lt;=0,"Payé",IF($M591="Oui","Litige",IF($O591=0,"À échoir",IF($O591&lt;=30,"0-30",IF($O591&lt;=60,"31-60",IF($O591&lt;=90,"61-90","90+")))))))</f>
        <v/>
      </c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9">
        <f>IF($A592="","",SUMIFS(Ventes_Encaissements!$D$6:$D$3005,Ventes_Encaissements!$B$6:$B$3005,$A592))</f>
        <v/>
      </c>
      <c r="J592" s="9">
        <f>IF($A592="","",$H592-$I592)</f>
        <v/>
      </c>
      <c r="K592" s="10">
        <f>IF($A592="","",IF($I592=0,"",_xludf.AGGREGATE(14,6,Ventes_Encaissements!$C$6:$C$3005/(Ventes_Encaissements!$B$6:$B$3005=$A592),1)))</f>
        <v/>
      </c>
      <c r="L592" s="11">
        <f>IF($A592="","",COUNTIFS(Ventes_Detail!$B$6:$B$3005,$A592))</f>
        <v/>
      </c>
      <c r="M592" s="12" t="n"/>
      <c r="N592" s="12">
        <f>IF($A592="","",IF($G592="","",IF($M592="Oui","Litige",IF($J592&lt;=0,"Payé",IF($I592&gt;0,"Partiel",IF(Listes!$B$3&gt;$G592,"En retard","À échoir"))))))</f>
        <v/>
      </c>
      <c r="O592" s="11">
        <f>IF($A592="","",IF(OR($G592="", $J592&lt;=0),0,MAX(0,Listes!$B$3-$G592)))</f>
        <v/>
      </c>
      <c r="P592" s="12">
        <f>IF($A592="","",IF($J592&lt;=0,"Payé",IF($M592="Oui","Litige",IF($O592=0,"À échoir",IF($O592&lt;=30,"0-30",IF($O592&lt;=60,"31-60",IF($O592&lt;=90,"61-90","90+")))))))</f>
        <v/>
      </c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9">
        <f>IF($A593="","",SUMIFS(Ventes_Encaissements!$D$6:$D$3005,Ventes_Encaissements!$B$6:$B$3005,$A593))</f>
        <v/>
      </c>
      <c r="J593" s="9">
        <f>IF($A593="","",$H593-$I593)</f>
        <v/>
      </c>
      <c r="K593" s="10">
        <f>IF($A593="","",IF($I593=0,"",_xludf.AGGREGATE(14,6,Ventes_Encaissements!$C$6:$C$3005/(Ventes_Encaissements!$B$6:$B$3005=$A593),1)))</f>
        <v/>
      </c>
      <c r="L593" s="11">
        <f>IF($A593="","",COUNTIFS(Ventes_Detail!$B$6:$B$3005,$A593))</f>
        <v/>
      </c>
      <c r="M593" s="12" t="n"/>
      <c r="N593" s="12">
        <f>IF($A593="","",IF($G593="","",IF($M593="Oui","Litige",IF($J593&lt;=0,"Payé",IF($I593&gt;0,"Partiel",IF(Listes!$B$3&gt;$G593,"En retard","À échoir"))))))</f>
        <v/>
      </c>
      <c r="O593" s="11">
        <f>IF($A593="","",IF(OR($G593="", $J593&lt;=0),0,MAX(0,Listes!$B$3-$G593)))</f>
        <v/>
      </c>
      <c r="P593" s="12">
        <f>IF($A593="","",IF($J593&lt;=0,"Payé",IF($M593="Oui","Litige",IF($O593=0,"À échoir",IF($O593&lt;=30,"0-30",IF($O593&lt;=60,"31-60",IF($O593&lt;=90,"61-90","90+")))))))</f>
        <v/>
      </c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9">
        <f>IF($A594="","",SUMIFS(Ventes_Encaissements!$D$6:$D$3005,Ventes_Encaissements!$B$6:$B$3005,$A594))</f>
        <v/>
      </c>
      <c r="J594" s="9">
        <f>IF($A594="","",$H594-$I594)</f>
        <v/>
      </c>
      <c r="K594" s="10">
        <f>IF($A594="","",IF($I594=0,"",_xludf.AGGREGATE(14,6,Ventes_Encaissements!$C$6:$C$3005/(Ventes_Encaissements!$B$6:$B$3005=$A594),1)))</f>
        <v/>
      </c>
      <c r="L594" s="11">
        <f>IF($A594="","",COUNTIFS(Ventes_Detail!$B$6:$B$3005,$A594))</f>
        <v/>
      </c>
      <c r="M594" s="12" t="n"/>
      <c r="N594" s="12">
        <f>IF($A594="","",IF($G594="","",IF($M594="Oui","Litige",IF($J594&lt;=0,"Payé",IF($I594&gt;0,"Partiel",IF(Listes!$B$3&gt;$G594,"En retard","À échoir"))))))</f>
        <v/>
      </c>
      <c r="O594" s="11">
        <f>IF($A594="","",IF(OR($G594="", $J594&lt;=0),0,MAX(0,Listes!$B$3-$G594)))</f>
        <v/>
      </c>
      <c r="P594" s="12">
        <f>IF($A594="","",IF($J594&lt;=0,"Payé",IF($M594="Oui","Litige",IF($O594=0,"À échoir",IF($O594&lt;=30,"0-30",IF($O594&lt;=60,"31-60",IF($O594&lt;=90,"61-90","90+")))))))</f>
        <v/>
      </c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9">
        <f>IF($A595="","",SUMIFS(Ventes_Encaissements!$D$6:$D$3005,Ventes_Encaissements!$B$6:$B$3005,$A595))</f>
        <v/>
      </c>
      <c r="J595" s="9">
        <f>IF($A595="","",$H595-$I595)</f>
        <v/>
      </c>
      <c r="K595" s="10">
        <f>IF($A595="","",IF($I595=0,"",_xludf.AGGREGATE(14,6,Ventes_Encaissements!$C$6:$C$3005/(Ventes_Encaissements!$B$6:$B$3005=$A595),1)))</f>
        <v/>
      </c>
      <c r="L595" s="11">
        <f>IF($A595="","",COUNTIFS(Ventes_Detail!$B$6:$B$3005,$A595))</f>
        <v/>
      </c>
      <c r="M595" s="12" t="n"/>
      <c r="N595" s="12">
        <f>IF($A595="","",IF($G595="","",IF($M595="Oui","Litige",IF($J595&lt;=0,"Payé",IF($I595&gt;0,"Partiel",IF(Listes!$B$3&gt;$G595,"En retard","À échoir"))))))</f>
        <v/>
      </c>
      <c r="O595" s="11">
        <f>IF($A595="","",IF(OR($G595="", $J595&lt;=0),0,MAX(0,Listes!$B$3-$G595)))</f>
        <v/>
      </c>
      <c r="P595" s="12">
        <f>IF($A595="","",IF($J595&lt;=0,"Payé",IF($M595="Oui","Litige",IF($O595=0,"À échoir",IF($O595&lt;=30,"0-30",IF($O595&lt;=60,"31-60",IF($O595&lt;=90,"61-90","90+")))))))</f>
        <v/>
      </c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9">
        <f>IF($A596="","",SUMIFS(Ventes_Encaissements!$D$6:$D$3005,Ventes_Encaissements!$B$6:$B$3005,$A596))</f>
        <v/>
      </c>
      <c r="J596" s="9">
        <f>IF($A596="","",$H596-$I596)</f>
        <v/>
      </c>
      <c r="K596" s="10">
        <f>IF($A596="","",IF($I596=0,"",_xludf.AGGREGATE(14,6,Ventes_Encaissements!$C$6:$C$3005/(Ventes_Encaissements!$B$6:$B$3005=$A596),1)))</f>
        <v/>
      </c>
      <c r="L596" s="11">
        <f>IF($A596="","",COUNTIFS(Ventes_Detail!$B$6:$B$3005,$A596))</f>
        <v/>
      </c>
      <c r="M596" s="12" t="n"/>
      <c r="N596" s="12">
        <f>IF($A596="","",IF($G596="","",IF($M596="Oui","Litige",IF($J596&lt;=0,"Payé",IF($I596&gt;0,"Partiel",IF(Listes!$B$3&gt;$G596,"En retard","À échoir"))))))</f>
        <v/>
      </c>
      <c r="O596" s="11">
        <f>IF($A596="","",IF(OR($G596="", $J596&lt;=0),0,MAX(0,Listes!$B$3-$G596)))</f>
        <v/>
      </c>
      <c r="P596" s="12">
        <f>IF($A596="","",IF($J596&lt;=0,"Payé",IF($M596="Oui","Litige",IF($O596=0,"À échoir",IF($O596&lt;=30,"0-30",IF($O596&lt;=60,"31-60",IF($O596&lt;=90,"61-90","90+")))))))</f>
        <v/>
      </c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9">
        <f>IF($A597="","",SUMIFS(Ventes_Encaissements!$D$6:$D$3005,Ventes_Encaissements!$B$6:$B$3005,$A597))</f>
        <v/>
      </c>
      <c r="J597" s="9">
        <f>IF($A597="","",$H597-$I597)</f>
        <v/>
      </c>
      <c r="K597" s="10">
        <f>IF($A597="","",IF($I597=0,"",_xludf.AGGREGATE(14,6,Ventes_Encaissements!$C$6:$C$3005/(Ventes_Encaissements!$B$6:$B$3005=$A597),1)))</f>
        <v/>
      </c>
      <c r="L597" s="11">
        <f>IF($A597="","",COUNTIFS(Ventes_Detail!$B$6:$B$3005,$A597))</f>
        <v/>
      </c>
      <c r="M597" s="12" t="n"/>
      <c r="N597" s="12">
        <f>IF($A597="","",IF($G597="","",IF($M597="Oui","Litige",IF($J597&lt;=0,"Payé",IF($I597&gt;0,"Partiel",IF(Listes!$B$3&gt;$G597,"En retard","À échoir"))))))</f>
        <v/>
      </c>
      <c r="O597" s="11">
        <f>IF($A597="","",IF(OR($G597="", $J597&lt;=0),0,MAX(0,Listes!$B$3-$G597)))</f>
        <v/>
      </c>
      <c r="P597" s="12">
        <f>IF($A597="","",IF($J597&lt;=0,"Payé",IF($M597="Oui","Litige",IF($O597=0,"À échoir",IF($O597&lt;=30,"0-30",IF($O597&lt;=60,"31-60",IF($O597&lt;=90,"61-90","90+")))))))</f>
        <v/>
      </c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9">
        <f>IF($A598="","",SUMIFS(Ventes_Encaissements!$D$6:$D$3005,Ventes_Encaissements!$B$6:$B$3005,$A598))</f>
        <v/>
      </c>
      <c r="J598" s="9">
        <f>IF($A598="","",$H598-$I598)</f>
        <v/>
      </c>
      <c r="K598" s="10">
        <f>IF($A598="","",IF($I598=0,"",_xludf.AGGREGATE(14,6,Ventes_Encaissements!$C$6:$C$3005/(Ventes_Encaissements!$B$6:$B$3005=$A598),1)))</f>
        <v/>
      </c>
      <c r="L598" s="11">
        <f>IF($A598="","",COUNTIFS(Ventes_Detail!$B$6:$B$3005,$A598))</f>
        <v/>
      </c>
      <c r="M598" s="12" t="n"/>
      <c r="N598" s="12">
        <f>IF($A598="","",IF($G598="","",IF($M598="Oui","Litige",IF($J598&lt;=0,"Payé",IF($I598&gt;0,"Partiel",IF(Listes!$B$3&gt;$G598,"En retard","À échoir"))))))</f>
        <v/>
      </c>
      <c r="O598" s="11">
        <f>IF($A598="","",IF(OR($G598="", $J598&lt;=0),0,MAX(0,Listes!$B$3-$G598)))</f>
        <v/>
      </c>
      <c r="P598" s="12">
        <f>IF($A598="","",IF($J598&lt;=0,"Payé",IF($M598="Oui","Litige",IF($O598=0,"À échoir",IF($O598&lt;=30,"0-30",IF($O598&lt;=60,"31-60",IF($O598&lt;=90,"61-90","90+")))))))</f>
        <v/>
      </c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9">
        <f>IF($A599="","",SUMIFS(Ventes_Encaissements!$D$6:$D$3005,Ventes_Encaissements!$B$6:$B$3005,$A599))</f>
        <v/>
      </c>
      <c r="J599" s="9">
        <f>IF($A599="","",$H599-$I599)</f>
        <v/>
      </c>
      <c r="K599" s="10">
        <f>IF($A599="","",IF($I599=0,"",_xludf.AGGREGATE(14,6,Ventes_Encaissements!$C$6:$C$3005/(Ventes_Encaissements!$B$6:$B$3005=$A599),1)))</f>
        <v/>
      </c>
      <c r="L599" s="11">
        <f>IF($A599="","",COUNTIFS(Ventes_Detail!$B$6:$B$3005,$A599))</f>
        <v/>
      </c>
      <c r="M599" s="12" t="n"/>
      <c r="N599" s="12">
        <f>IF($A599="","",IF($G599="","",IF($M599="Oui","Litige",IF($J599&lt;=0,"Payé",IF($I599&gt;0,"Partiel",IF(Listes!$B$3&gt;$G599,"En retard","À échoir"))))))</f>
        <v/>
      </c>
      <c r="O599" s="11">
        <f>IF($A599="","",IF(OR($G599="", $J599&lt;=0),0,MAX(0,Listes!$B$3-$G599)))</f>
        <v/>
      </c>
      <c r="P599" s="12">
        <f>IF($A599="","",IF($J599&lt;=0,"Payé",IF($M599="Oui","Litige",IF($O599=0,"À échoir",IF($O599&lt;=30,"0-30",IF($O599&lt;=60,"31-60",IF($O599&lt;=90,"61-90","90+")))))))</f>
        <v/>
      </c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9">
        <f>IF($A600="","",SUMIFS(Ventes_Encaissements!$D$6:$D$3005,Ventes_Encaissements!$B$6:$B$3005,$A600))</f>
        <v/>
      </c>
      <c r="J600" s="9">
        <f>IF($A600="","",$H600-$I600)</f>
        <v/>
      </c>
      <c r="K600" s="10">
        <f>IF($A600="","",IF($I600=0,"",_xludf.AGGREGATE(14,6,Ventes_Encaissements!$C$6:$C$3005/(Ventes_Encaissements!$B$6:$B$3005=$A600),1)))</f>
        <v/>
      </c>
      <c r="L600" s="11">
        <f>IF($A600="","",COUNTIFS(Ventes_Detail!$B$6:$B$3005,$A600))</f>
        <v/>
      </c>
      <c r="M600" s="12" t="n"/>
      <c r="N600" s="12">
        <f>IF($A600="","",IF($G600="","",IF($M600="Oui","Litige",IF($J600&lt;=0,"Payé",IF($I600&gt;0,"Partiel",IF(Listes!$B$3&gt;$G600,"En retard","À échoir"))))))</f>
        <v/>
      </c>
      <c r="O600" s="11">
        <f>IF($A600="","",IF(OR($G600="", $J600&lt;=0),0,MAX(0,Listes!$B$3-$G600)))</f>
        <v/>
      </c>
      <c r="P600" s="12">
        <f>IF($A600="","",IF($J600&lt;=0,"Payé",IF($M600="Oui","Litige",IF($O600=0,"À échoir",IF($O600&lt;=30,"0-30",IF($O600&lt;=60,"31-60",IF($O600&lt;=90,"61-90","90+")))))))</f>
        <v/>
      </c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9">
        <f>IF($A601="","",SUMIFS(Ventes_Encaissements!$D$6:$D$3005,Ventes_Encaissements!$B$6:$B$3005,$A601))</f>
        <v/>
      </c>
      <c r="J601" s="9">
        <f>IF($A601="","",$H601-$I601)</f>
        <v/>
      </c>
      <c r="K601" s="10">
        <f>IF($A601="","",IF($I601=0,"",_xludf.AGGREGATE(14,6,Ventes_Encaissements!$C$6:$C$3005/(Ventes_Encaissements!$B$6:$B$3005=$A601),1)))</f>
        <v/>
      </c>
      <c r="L601" s="11">
        <f>IF($A601="","",COUNTIFS(Ventes_Detail!$B$6:$B$3005,$A601))</f>
        <v/>
      </c>
      <c r="M601" s="12" t="n"/>
      <c r="N601" s="12">
        <f>IF($A601="","",IF($G601="","",IF($M601="Oui","Litige",IF($J601&lt;=0,"Payé",IF($I601&gt;0,"Partiel",IF(Listes!$B$3&gt;$G601,"En retard","À échoir"))))))</f>
        <v/>
      </c>
      <c r="O601" s="11">
        <f>IF($A601="","",IF(OR($G601="", $J601&lt;=0),0,MAX(0,Listes!$B$3-$G601)))</f>
        <v/>
      </c>
      <c r="P601" s="12">
        <f>IF($A601="","",IF($J601&lt;=0,"Payé",IF($M601="Oui","Litige",IF($O601=0,"À échoir",IF($O601&lt;=30,"0-30",IF($O601&lt;=60,"31-60",IF($O601&lt;=90,"61-90","90+")))))))</f>
        <v/>
      </c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9">
        <f>IF($A602="","",SUMIFS(Ventes_Encaissements!$D$6:$D$3005,Ventes_Encaissements!$B$6:$B$3005,$A602))</f>
        <v/>
      </c>
      <c r="J602" s="9">
        <f>IF($A602="","",$H602-$I602)</f>
        <v/>
      </c>
      <c r="K602" s="10">
        <f>IF($A602="","",IF($I602=0,"",_xludf.AGGREGATE(14,6,Ventes_Encaissements!$C$6:$C$3005/(Ventes_Encaissements!$B$6:$B$3005=$A602),1)))</f>
        <v/>
      </c>
      <c r="L602" s="11">
        <f>IF($A602="","",COUNTIFS(Ventes_Detail!$B$6:$B$3005,$A602))</f>
        <v/>
      </c>
      <c r="M602" s="12" t="n"/>
      <c r="N602" s="12">
        <f>IF($A602="","",IF($G602="","",IF($M602="Oui","Litige",IF($J602&lt;=0,"Payé",IF($I602&gt;0,"Partiel",IF(Listes!$B$3&gt;$G602,"En retard","À échoir"))))))</f>
        <v/>
      </c>
      <c r="O602" s="11">
        <f>IF($A602="","",IF(OR($G602="", $J602&lt;=0),0,MAX(0,Listes!$B$3-$G602)))</f>
        <v/>
      </c>
      <c r="P602" s="12">
        <f>IF($A602="","",IF($J602&lt;=0,"Payé",IF($M602="Oui","Litige",IF($O602=0,"À échoir",IF($O602&lt;=30,"0-30",IF($O602&lt;=60,"31-60",IF($O602&lt;=90,"61-90","90+")))))))</f>
        <v/>
      </c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9">
        <f>IF($A603="","",SUMIFS(Ventes_Encaissements!$D$6:$D$3005,Ventes_Encaissements!$B$6:$B$3005,$A603))</f>
        <v/>
      </c>
      <c r="J603" s="9">
        <f>IF($A603="","",$H603-$I603)</f>
        <v/>
      </c>
      <c r="K603" s="10">
        <f>IF($A603="","",IF($I603=0,"",_xludf.AGGREGATE(14,6,Ventes_Encaissements!$C$6:$C$3005/(Ventes_Encaissements!$B$6:$B$3005=$A603),1)))</f>
        <v/>
      </c>
      <c r="L603" s="11">
        <f>IF($A603="","",COUNTIFS(Ventes_Detail!$B$6:$B$3005,$A603))</f>
        <v/>
      </c>
      <c r="M603" s="12" t="n"/>
      <c r="N603" s="12">
        <f>IF($A603="","",IF($G603="","",IF($M603="Oui","Litige",IF($J603&lt;=0,"Payé",IF($I603&gt;0,"Partiel",IF(Listes!$B$3&gt;$G603,"En retard","À échoir"))))))</f>
        <v/>
      </c>
      <c r="O603" s="11">
        <f>IF($A603="","",IF(OR($G603="", $J603&lt;=0),0,MAX(0,Listes!$B$3-$G603)))</f>
        <v/>
      </c>
      <c r="P603" s="12">
        <f>IF($A603="","",IF($J603&lt;=0,"Payé",IF($M603="Oui","Litige",IF($O603=0,"À échoir",IF($O603&lt;=30,"0-30",IF($O603&lt;=60,"31-60",IF($O603&lt;=90,"61-90","90+")))))))</f>
        <v/>
      </c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9">
        <f>IF($A604="","",SUMIFS(Ventes_Encaissements!$D$6:$D$3005,Ventes_Encaissements!$B$6:$B$3005,$A604))</f>
        <v/>
      </c>
      <c r="J604" s="9">
        <f>IF($A604="","",$H604-$I604)</f>
        <v/>
      </c>
      <c r="K604" s="10">
        <f>IF($A604="","",IF($I604=0,"",_xludf.AGGREGATE(14,6,Ventes_Encaissements!$C$6:$C$3005/(Ventes_Encaissements!$B$6:$B$3005=$A604),1)))</f>
        <v/>
      </c>
      <c r="L604" s="11">
        <f>IF($A604="","",COUNTIFS(Ventes_Detail!$B$6:$B$3005,$A604))</f>
        <v/>
      </c>
      <c r="M604" s="12" t="n"/>
      <c r="N604" s="12">
        <f>IF($A604="","",IF($G604="","",IF($M604="Oui","Litige",IF($J604&lt;=0,"Payé",IF($I604&gt;0,"Partiel",IF(Listes!$B$3&gt;$G604,"En retard","À échoir"))))))</f>
        <v/>
      </c>
      <c r="O604" s="11">
        <f>IF($A604="","",IF(OR($G604="", $J604&lt;=0),0,MAX(0,Listes!$B$3-$G604)))</f>
        <v/>
      </c>
      <c r="P604" s="12">
        <f>IF($A604="","",IF($J604&lt;=0,"Payé",IF($M604="Oui","Litige",IF($O604=0,"À échoir",IF($O604&lt;=30,"0-30",IF($O604&lt;=60,"31-60",IF($O604&lt;=90,"61-90","90+")))))))</f>
        <v/>
      </c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9">
        <f>IF($A605="","",SUMIFS(Ventes_Encaissements!$D$6:$D$3005,Ventes_Encaissements!$B$6:$B$3005,$A605))</f>
        <v/>
      </c>
      <c r="J605" s="9">
        <f>IF($A605="","",$H605-$I605)</f>
        <v/>
      </c>
      <c r="K605" s="10">
        <f>IF($A605="","",IF($I605=0,"",_xludf.AGGREGATE(14,6,Ventes_Encaissements!$C$6:$C$3005/(Ventes_Encaissements!$B$6:$B$3005=$A605),1)))</f>
        <v/>
      </c>
      <c r="L605" s="11">
        <f>IF($A605="","",COUNTIFS(Ventes_Detail!$B$6:$B$3005,$A605))</f>
        <v/>
      </c>
      <c r="M605" s="12" t="n"/>
      <c r="N605" s="12">
        <f>IF($A605="","",IF($G605="","",IF($M605="Oui","Litige",IF($J605&lt;=0,"Payé",IF($I605&gt;0,"Partiel",IF(Listes!$B$3&gt;$G605,"En retard","À échoir"))))))</f>
        <v/>
      </c>
      <c r="O605" s="11">
        <f>IF($A605="","",IF(OR($G605="", $J605&lt;=0),0,MAX(0,Listes!$B$3-$G605)))</f>
        <v/>
      </c>
      <c r="P605" s="12">
        <f>IF($A605="","",IF($J605&lt;=0,"Payé",IF($M605="Oui","Litige",IF($O605=0,"À échoir",IF($O605&lt;=30,"0-30",IF($O605&lt;=60,"31-60",IF($O605&lt;=90,"61-90","90+")))))))</f>
        <v/>
      </c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9">
        <f>IF($A606="","",SUMIFS(Ventes_Encaissements!$D$6:$D$3005,Ventes_Encaissements!$B$6:$B$3005,$A606))</f>
        <v/>
      </c>
      <c r="J606" s="9">
        <f>IF($A606="","",$H606-$I606)</f>
        <v/>
      </c>
      <c r="K606" s="10">
        <f>IF($A606="","",IF($I606=0,"",_xludf.AGGREGATE(14,6,Ventes_Encaissements!$C$6:$C$3005/(Ventes_Encaissements!$B$6:$B$3005=$A606),1)))</f>
        <v/>
      </c>
      <c r="L606" s="11">
        <f>IF($A606="","",COUNTIFS(Ventes_Detail!$B$6:$B$3005,$A606))</f>
        <v/>
      </c>
      <c r="M606" s="12" t="n"/>
      <c r="N606" s="12">
        <f>IF($A606="","",IF($G606="","",IF($M606="Oui","Litige",IF($J606&lt;=0,"Payé",IF($I606&gt;0,"Partiel",IF(Listes!$B$3&gt;$G606,"En retard","À échoir"))))))</f>
        <v/>
      </c>
      <c r="O606" s="11">
        <f>IF($A606="","",IF(OR($G606="", $J606&lt;=0),0,MAX(0,Listes!$B$3-$G606)))</f>
        <v/>
      </c>
      <c r="P606" s="12">
        <f>IF($A606="","",IF($J606&lt;=0,"Payé",IF($M606="Oui","Litige",IF($O606=0,"À échoir",IF($O606&lt;=30,"0-30",IF($O606&lt;=60,"31-60",IF($O606&lt;=90,"61-90","90+")))))))</f>
        <v/>
      </c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9">
        <f>IF($A607="","",SUMIFS(Ventes_Encaissements!$D$6:$D$3005,Ventes_Encaissements!$B$6:$B$3005,$A607))</f>
        <v/>
      </c>
      <c r="J607" s="9">
        <f>IF($A607="","",$H607-$I607)</f>
        <v/>
      </c>
      <c r="K607" s="10">
        <f>IF($A607="","",IF($I607=0,"",_xludf.AGGREGATE(14,6,Ventes_Encaissements!$C$6:$C$3005/(Ventes_Encaissements!$B$6:$B$3005=$A607),1)))</f>
        <v/>
      </c>
      <c r="L607" s="11">
        <f>IF($A607="","",COUNTIFS(Ventes_Detail!$B$6:$B$3005,$A607))</f>
        <v/>
      </c>
      <c r="M607" s="12" t="n"/>
      <c r="N607" s="12">
        <f>IF($A607="","",IF($G607="","",IF($M607="Oui","Litige",IF($J607&lt;=0,"Payé",IF($I607&gt;0,"Partiel",IF(Listes!$B$3&gt;$G607,"En retard","À échoir"))))))</f>
        <v/>
      </c>
      <c r="O607" s="11">
        <f>IF($A607="","",IF(OR($G607="", $J607&lt;=0),0,MAX(0,Listes!$B$3-$G607)))</f>
        <v/>
      </c>
      <c r="P607" s="12">
        <f>IF($A607="","",IF($J607&lt;=0,"Payé",IF($M607="Oui","Litige",IF($O607=0,"À échoir",IF($O607&lt;=30,"0-30",IF($O607&lt;=60,"31-60",IF($O607&lt;=90,"61-90","90+")))))))</f>
        <v/>
      </c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9">
        <f>IF($A608="","",SUMIFS(Ventes_Encaissements!$D$6:$D$3005,Ventes_Encaissements!$B$6:$B$3005,$A608))</f>
        <v/>
      </c>
      <c r="J608" s="9">
        <f>IF($A608="","",$H608-$I608)</f>
        <v/>
      </c>
      <c r="K608" s="10">
        <f>IF($A608="","",IF($I608=0,"",_xludf.AGGREGATE(14,6,Ventes_Encaissements!$C$6:$C$3005/(Ventes_Encaissements!$B$6:$B$3005=$A608),1)))</f>
        <v/>
      </c>
      <c r="L608" s="11">
        <f>IF($A608="","",COUNTIFS(Ventes_Detail!$B$6:$B$3005,$A608))</f>
        <v/>
      </c>
      <c r="M608" s="12" t="n"/>
      <c r="N608" s="12">
        <f>IF($A608="","",IF($G608="","",IF($M608="Oui","Litige",IF($J608&lt;=0,"Payé",IF($I608&gt;0,"Partiel",IF(Listes!$B$3&gt;$G608,"En retard","À échoir"))))))</f>
        <v/>
      </c>
      <c r="O608" s="11">
        <f>IF($A608="","",IF(OR($G608="", $J608&lt;=0),0,MAX(0,Listes!$B$3-$G608)))</f>
        <v/>
      </c>
      <c r="P608" s="12">
        <f>IF($A608="","",IF($J608&lt;=0,"Payé",IF($M608="Oui","Litige",IF($O608=0,"À échoir",IF($O608&lt;=30,"0-30",IF($O608&lt;=60,"31-60",IF($O608&lt;=90,"61-90","90+")))))))</f>
        <v/>
      </c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9">
        <f>IF($A609="","",SUMIFS(Ventes_Encaissements!$D$6:$D$3005,Ventes_Encaissements!$B$6:$B$3005,$A609))</f>
        <v/>
      </c>
      <c r="J609" s="9">
        <f>IF($A609="","",$H609-$I609)</f>
        <v/>
      </c>
      <c r="K609" s="10">
        <f>IF($A609="","",IF($I609=0,"",_xludf.AGGREGATE(14,6,Ventes_Encaissements!$C$6:$C$3005/(Ventes_Encaissements!$B$6:$B$3005=$A609),1)))</f>
        <v/>
      </c>
      <c r="L609" s="11">
        <f>IF($A609="","",COUNTIFS(Ventes_Detail!$B$6:$B$3005,$A609))</f>
        <v/>
      </c>
      <c r="M609" s="12" t="n"/>
      <c r="N609" s="12">
        <f>IF($A609="","",IF($G609="","",IF($M609="Oui","Litige",IF($J609&lt;=0,"Payé",IF($I609&gt;0,"Partiel",IF(Listes!$B$3&gt;$G609,"En retard","À échoir"))))))</f>
        <v/>
      </c>
      <c r="O609" s="11">
        <f>IF($A609="","",IF(OR($G609="", $J609&lt;=0),0,MAX(0,Listes!$B$3-$G609)))</f>
        <v/>
      </c>
      <c r="P609" s="12">
        <f>IF($A609="","",IF($J609&lt;=0,"Payé",IF($M609="Oui","Litige",IF($O609=0,"À échoir",IF($O609&lt;=30,"0-30",IF($O609&lt;=60,"31-60",IF($O609&lt;=90,"61-90","90+")))))))</f>
        <v/>
      </c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9">
        <f>IF($A610="","",SUMIFS(Ventes_Encaissements!$D$6:$D$3005,Ventes_Encaissements!$B$6:$B$3005,$A610))</f>
        <v/>
      </c>
      <c r="J610" s="9">
        <f>IF($A610="","",$H610-$I610)</f>
        <v/>
      </c>
      <c r="K610" s="10">
        <f>IF($A610="","",IF($I610=0,"",_xludf.AGGREGATE(14,6,Ventes_Encaissements!$C$6:$C$3005/(Ventes_Encaissements!$B$6:$B$3005=$A610),1)))</f>
        <v/>
      </c>
      <c r="L610" s="11">
        <f>IF($A610="","",COUNTIFS(Ventes_Detail!$B$6:$B$3005,$A610))</f>
        <v/>
      </c>
      <c r="M610" s="12" t="n"/>
      <c r="N610" s="12">
        <f>IF($A610="","",IF($G610="","",IF($M610="Oui","Litige",IF($J610&lt;=0,"Payé",IF($I610&gt;0,"Partiel",IF(Listes!$B$3&gt;$G610,"En retard","À échoir"))))))</f>
        <v/>
      </c>
      <c r="O610" s="11">
        <f>IF($A610="","",IF(OR($G610="", $J610&lt;=0),0,MAX(0,Listes!$B$3-$G610)))</f>
        <v/>
      </c>
      <c r="P610" s="12">
        <f>IF($A610="","",IF($J610&lt;=0,"Payé",IF($M610="Oui","Litige",IF($O610=0,"À échoir",IF($O610&lt;=30,"0-30",IF($O610&lt;=60,"31-60",IF($O610&lt;=90,"61-90","90+")))))))</f>
        <v/>
      </c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9">
        <f>IF($A611="","",SUMIFS(Ventes_Encaissements!$D$6:$D$3005,Ventes_Encaissements!$B$6:$B$3005,$A611))</f>
        <v/>
      </c>
      <c r="J611" s="9">
        <f>IF($A611="","",$H611-$I611)</f>
        <v/>
      </c>
      <c r="K611" s="10">
        <f>IF($A611="","",IF($I611=0,"",_xludf.AGGREGATE(14,6,Ventes_Encaissements!$C$6:$C$3005/(Ventes_Encaissements!$B$6:$B$3005=$A611),1)))</f>
        <v/>
      </c>
      <c r="L611" s="11">
        <f>IF($A611="","",COUNTIFS(Ventes_Detail!$B$6:$B$3005,$A611))</f>
        <v/>
      </c>
      <c r="M611" s="12" t="n"/>
      <c r="N611" s="12">
        <f>IF($A611="","",IF($G611="","",IF($M611="Oui","Litige",IF($J611&lt;=0,"Payé",IF($I611&gt;0,"Partiel",IF(Listes!$B$3&gt;$G611,"En retard","À échoir"))))))</f>
        <v/>
      </c>
      <c r="O611" s="11">
        <f>IF($A611="","",IF(OR($G611="", $J611&lt;=0),0,MAX(0,Listes!$B$3-$G611)))</f>
        <v/>
      </c>
      <c r="P611" s="12">
        <f>IF($A611="","",IF($J611&lt;=0,"Payé",IF($M611="Oui","Litige",IF($O611=0,"À échoir",IF($O611&lt;=30,"0-30",IF($O611&lt;=60,"31-60",IF($O611&lt;=90,"61-90","90+")))))))</f>
        <v/>
      </c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9">
        <f>IF($A612="","",SUMIFS(Ventes_Encaissements!$D$6:$D$3005,Ventes_Encaissements!$B$6:$B$3005,$A612))</f>
        <v/>
      </c>
      <c r="J612" s="9">
        <f>IF($A612="","",$H612-$I612)</f>
        <v/>
      </c>
      <c r="K612" s="10">
        <f>IF($A612="","",IF($I612=0,"",_xludf.AGGREGATE(14,6,Ventes_Encaissements!$C$6:$C$3005/(Ventes_Encaissements!$B$6:$B$3005=$A612),1)))</f>
        <v/>
      </c>
      <c r="L612" s="11">
        <f>IF($A612="","",COUNTIFS(Ventes_Detail!$B$6:$B$3005,$A612))</f>
        <v/>
      </c>
      <c r="M612" s="12" t="n"/>
      <c r="N612" s="12">
        <f>IF($A612="","",IF($G612="","",IF($M612="Oui","Litige",IF($J612&lt;=0,"Payé",IF($I612&gt;0,"Partiel",IF(Listes!$B$3&gt;$G612,"En retard","À échoir"))))))</f>
        <v/>
      </c>
      <c r="O612" s="11">
        <f>IF($A612="","",IF(OR($G612="", $J612&lt;=0),0,MAX(0,Listes!$B$3-$G612)))</f>
        <v/>
      </c>
      <c r="P612" s="12">
        <f>IF($A612="","",IF($J612&lt;=0,"Payé",IF($M612="Oui","Litige",IF($O612=0,"À échoir",IF($O612&lt;=30,"0-30",IF($O612&lt;=60,"31-60",IF($O612&lt;=90,"61-90","90+")))))))</f>
        <v/>
      </c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9">
        <f>IF($A613="","",SUMIFS(Ventes_Encaissements!$D$6:$D$3005,Ventes_Encaissements!$B$6:$B$3005,$A613))</f>
        <v/>
      </c>
      <c r="J613" s="9">
        <f>IF($A613="","",$H613-$I613)</f>
        <v/>
      </c>
      <c r="K613" s="10">
        <f>IF($A613="","",IF($I613=0,"",_xludf.AGGREGATE(14,6,Ventes_Encaissements!$C$6:$C$3005/(Ventes_Encaissements!$B$6:$B$3005=$A613),1)))</f>
        <v/>
      </c>
      <c r="L613" s="11">
        <f>IF($A613="","",COUNTIFS(Ventes_Detail!$B$6:$B$3005,$A613))</f>
        <v/>
      </c>
      <c r="M613" s="12" t="n"/>
      <c r="N613" s="12">
        <f>IF($A613="","",IF($G613="","",IF($M613="Oui","Litige",IF($J613&lt;=0,"Payé",IF($I613&gt;0,"Partiel",IF(Listes!$B$3&gt;$G613,"En retard","À échoir"))))))</f>
        <v/>
      </c>
      <c r="O613" s="11">
        <f>IF($A613="","",IF(OR($G613="", $J613&lt;=0),0,MAX(0,Listes!$B$3-$G613)))</f>
        <v/>
      </c>
      <c r="P613" s="12">
        <f>IF($A613="","",IF($J613&lt;=0,"Payé",IF($M613="Oui","Litige",IF($O613=0,"À échoir",IF($O613&lt;=30,"0-30",IF($O613&lt;=60,"31-60",IF($O613&lt;=90,"61-90","90+")))))))</f>
        <v/>
      </c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9">
        <f>IF($A614="","",SUMIFS(Ventes_Encaissements!$D$6:$D$3005,Ventes_Encaissements!$B$6:$B$3005,$A614))</f>
        <v/>
      </c>
      <c r="J614" s="9">
        <f>IF($A614="","",$H614-$I614)</f>
        <v/>
      </c>
      <c r="K614" s="10">
        <f>IF($A614="","",IF($I614=0,"",_xludf.AGGREGATE(14,6,Ventes_Encaissements!$C$6:$C$3005/(Ventes_Encaissements!$B$6:$B$3005=$A614),1)))</f>
        <v/>
      </c>
      <c r="L614" s="11">
        <f>IF($A614="","",COUNTIFS(Ventes_Detail!$B$6:$B$3005,$A614))</f>
        <v/>
      </c>
      <c r="M614" s="12" t="n"/>
      <c r="N614" s="12">
        <f>IF($A614="","",IF($G614="","",IF($M614="Oui","Litige",IF($J614&lt;=0,"Payé",IF($I614&gt;0,"Partiel",IF(Listes!$B$3&gt;$G614,"En retard","À échoir"))))))</f>
        <v/>
      </c>
      <c r="O614" s="11">
        <f>IF($A614="","",IF(OR($G614="", $J614&lt;=0),0,MAX(0,Listes!$B$3-$G614)))</f>
        <v/>
      </c>
      <c r="P614" s="12">
        <f>IF($A614="","",IF($J614&lt;=0,"Payé",IF($M614="Oui","Litige",IF($O614=0,"À échoir",IF($O614&lt;=30,"0-30",IF($O614&lt;=60,"31-60",IF($O614&lt;=90,"61-90","90+")))))))</f>
        <v/>
      </c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9">
        <f>IF($A615="","",SUMIFS(Ventes_Encaissements!$D$6:$D$3005,Ventes_Encaissements!$B$6:$B$3005,$A615))</f>
        <v/>
      </c>
      <c r="J615" s="9">
        <f>IF($A615="","",$H615-$I615)</f>
        <v/>
      </c>
      <c r="K615" s="10">
        <f>IF($A615="","",IF($I615=0,"",_xludf.AGGREGATE(14,6,Ventes_Encaissements!$C$6:$C$3005/(Ventes_Encaissements!$B$6:$B$3005=$A615),1)))</f>
        <v/>
      </c>
      <c r="L615" s="11">
        <f>IF($A615="","",COUNTIFS(Ventes_Detail!$B$6:$B$3005,$A615))</f>
        <v/>
      </c>
      <c r="M615" s="12" t="n"/>
      <c r="N615" s="12">
        <f>IF($A615="","",IF($G615="","",IF($M615="Oui","Litige",IF($J615&lt;=0,"Payé",IF($I615&gt;0,"Partiel",IF(Listes!$B$3&gt;$G615,"En retard","À échoir"))))))</f>
        <v/>
      </c>
      <c r="O615" s="11">
        <f>IF($A615="","",IF(OR($G615="", $J615&lt;=0),0,MAX(0,Listes!$B$3-$G615)))</f>
        <v/>
      </c>
      <c r="P615" s="12">
        <f>IF($A615="","",IF($J615&lt;=0,"Payé",IF($M615="Oui","Litige",IF($O615=0,"À échoir",IF($O615&lt;=30,"0-30",IF($O615&lt;=60,"31-60",IF($O615&lt;=90,"61-90","90+")))))))</f>
        <v/>
      </c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9">
        <f>IF($A616="","",SUMIFS(Ventes_Encaissements!$D$6:$D$3005,Ventes_Encaissements!$B$6:$B$3005,$A616))</f>
        <v/>
      </c>
      <c r="J616" s="9">
        <f>IF($A616="","",$H616-$I616)</f>
        <v/>
      </c>
      <c r="K616" s="10">
        <f>IF($A616="","",IF($I616=0,"",_xludf.AGGREGATE(14,6,Ventes_Encaissements!$C$6:$C$3005/(Ventes_Encaissements!$B$6:$B$3005=$A616),1)))</f>
        <v/>
      </c>
      <c r="L616" s="11">
        <f>IF($A616="","",COUNTIFS(Ventes_Detail!$B$6:$B$3005,$A616))</f>
        <v/>
      </c>
      <c r="M616" s="12" t="n"/>
      <c r="N616" s="12">
        <f>IF($A616="","",IF($G616="","",IF($M616="Oui","Litige",IF($J616&lt;=0,"Payé",IF($I616&gt;0,"Partiel",IF(Listes!$B$3&gt;$G616,"En retard","À échoir"))))))</f>
        <v/>
      </c>
      <c r="O616" s="11">
        <f>IF($A616="","",IF(OR($G616="", $J616&lt;=0),0,MAX(0,Listes!$B$3-$G616)))</f>
        <v/>
      </c>
      <c r="P616" s="12">
        <f>IF($A616="","",IF($J616&lt;=0,"Payé",IF($M616="Oui","Litige",IF($O616=0,"À échoir",IF($O616&lt;=30,"0-30",IF($O616&lt;=60,"31-60",IF($O616&lt;=90,"61-90","90+")))))))</f>
        <v/>
      </c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9">
        <f>IF($A617="","",SUMIFS(Ventes_Encaissements!$D$6:$D$3005,Ventes_Encaissements!$B$6:$B$3005,$A617))</f>
        <v/>
      </c>
      <c r="J617" s="9">
        <f>IF($A617="","",$H617-$I617)</f>
        <v/>
      </c>
      <c r="K617" s="10">
        <f>IF($A617="","",IF($I617=0,"",_xludf.AGGREGATE(14,6,Ventes_Encaissements!$C$6:$C$3005/(Ventes_Encaissements!$B$6:$B$3005=$A617),1)))</f>
        <v/>
      </c>
      <c r="L617" s="11">
        <f>IF($A617="","",COUNTIFS(Ventes_Detail!$B$6:$B$3005,$A617))</f>
        <v/>
      </c>
      <c r="M617" s="12" t="n"/>
      <c r="N617" s="12">
        <f>IF($A617="","",IF($G617="","",IF($M617="Oui","Litige",IF($J617&lt;=0,"Payé",IF($I617&gt;0,"Partiel",IF(Listes!$B$3&gt;$G617,"En retard","À échoir"))))))</f>
        <v/>
      </c>
      <c r="O617" s="11">
        <f>IF($A617="","",IF(OR($G617="", $J617&lt;=0),0,MAX(0,Listes!$B$3-$G617)))</f>
        <v/>
      </c>
      <c r="P617" s="12">
        <f>IF($A617="","",IF($J617&lt;=0,"Payé",IF($M617="Oui","Litige",IF($O617=0,"À échoir",IF($O617&lt;=30,"0-30",IF($O617&lt;=60,"31-60",IF($O617&lt;=90,"61-90","90+")))))))</f>
        <v/>
      </c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9">
        <f>IF($A618="","",SUMIFS(Ventes_Encaissements!$D$6:$D$3005,Ventes_Encaissements!$B$6:$B$3005,$A618))</f>
        <v/>
      </c>
      <c r="J618" s="9">
        <f>IF($A618="","",$H618-$I618)</f>
        <v/>
      </c>
      <c r="K618" s="10">
        <f>IF($A618="","",IF($I618=0,"",_xludf.AGGREGATE(14,6,Ventes_Encaissements!$C$6:$C$3005/(Ventes_Encaissements!$B$6:$B$3005=$A618),1)))</f>
        <v/>
      </c>
      <c r="L618" s="11">
        <f>IF($A618="","",COUNTIFS(Ventes_Detail!$B$6:$B$3005,$A618))</f>
        <v/>
      </c>
      <c r="M618" s="12" t="n"/>
      <c r="N618" s="12">
        <f>IF($A618="","",IF($G618="","",IF($M618="Oui","Litige",IF($J618&lt;=0,"Payé",IF($I618&gt;0,"Partiel",IF(Listes!$B$3&gt;$G618,"En retard","À échoir"))))))</f>
        <v/>
      </c>
      <c r="O618" s="11">
        <f>IF($A618="","",IF(OR($G618="", $J618&lt;=0),0,MAX(0,Listes!$B$3-$G618)))</f>
        <v/>
      </c>
      <c r="P618" s="12">
        <f>IF($A618="","",IF($J618&lt;=0,"Payé",IF($M618="Oui","Litige",IF($O618=0,"À échoir",IF($O618&lt;=30,"0-30",IF($O618&lt;=60,"31-60",IF($O618&lt;=90,"61-90","90+")))))))</f>
        <v/>
      </c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9">
        <f>IF($A619="","",SUMIFS(Ventes_Encaissements!$D$6:$D$3005,Ventes_Encaissements!$B$6:$B$3005,$A619))</f>
        <v/>
      </c>
      <c r="J619" s="9">
        <f>IF($A619="","",$H619-$I619)</f>
        <v/>
      </c>
      <c r="K619" s="10">
        <f>IF($A619="","",IF($I619=0,"",_xludf.AGGREGATE(14,6,Ventes_Encaissements!$C$6:$C$3005/(Ventes_Encaissements!$B$6:$B$3005=$A619),1)))</f>
        <v/>
      </c>
      <c r="L619" s="11">
        <f>IF($A619="","",COUNTIFS(Ventes_Detail!$B$6:$B$3005,$A619))</f>
        <v/>
      </c>
      <c r="M619" s="12" t="n"/>
      <c r="N619" s="12">
        <f>IF($A619="","",IF($G619="","",IF($M619="Oui","Litige",IF($J619&lt;=0,"Payé",IF($I619&gt;0,"Partiel",IF(Listes!$B$3&gt;$G619,"En retard","À échoir"))))))</f>
        <v/>
      </c>
      <c r="O619" s="11">
        <f>IF($A619="","",IF(OR($G619="", $J619&lt;=0),0,MAX(0,Listes!$B$3-$G619)))</f>
        <v/>
      </c>
      <c r="P619" s="12">
        <f>IF($A619="","",IF($J619&lt;=0,"Payé",IF($M619="Oui","Litige",IF($O619=0,"À échoir",IF($O619&lt;=30,"0-30",IF($O619&lt;=60,"31-60",IF($O619&lt;=90,"61-90","90+")))))))</f>
        <v/>
      </c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9">
        <f>IF($A620="","",SUMIFS(Ventes_Encaissements!$D$6:$D$3005,Ventes_Encaissements!$B$6:$B$3005,$A620))</f>
        <v/>
      </c>
      <c r="J620" s="9">
        <f>IF($A620="","",$H620-$I620)</f>
        <v/>
      </c>
      <c r="K620" s="10">
        <f>IF($A620="","",IF($I620=0,"",_xludf.AGGREGATE(14,6,Ventes_Encaissements!$C$6:$C$3005/(Ventes_Encaissements!$B$6:$B$3005=$A620),1)))</f>
        <v/>
      </c>
      <c r="L620" s="11">
        <f>IF($A620="","",COUNTIFS(Ventes_Detail!$B$6:$B$3005,$A620))</f>
        <v/>
      </c>
      <c r="M620" s="12" t="n"/>
      <c r="N620" s="12">
        <f>IF($A620="","",IF($G620="","",IF($M620="Oui","Litige",IF($J620&lt;=0,"Payé",IF($I620&gt;0,"Partiel",IF(Listes!$B$3&gt;$G620,"En retard","À échoir"))))))</f>
        <v/>
      </c>
      <c r="O620" s="11">
        <f>IF($A620="","",IF(OR($G620="", $J620&lt;=0),0,MAX(0,Listes!$B$3-$G620)))</f>
        <v/>
      </c>
      <c r="P620" s="12">
        <f>IF($A620="","",IF($J620&lt;=0,"Payé",IF($M620="Oui","Litige",IF($O620=0,"À échoir",IF($O620&lt;=30,"0-30",IF($O620&lt;=60,"31-60",IF($O620&lt;=90,"61-90","90+")))))))</f>
        <v/>
      </c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9">
        <f>IF($A621="","",SUMIFS(Ventes_Encaissements!$D$6:$D$3005,Ventes_Encaissements!$B$6:$B$3005,$A621))</f>
        <v/>
      </c>
      <c r="J621" s="9">
        <f>IF($A621="","",$H621-$I621)</f>
        <v/>
      </c>
      <c r="K621" s="10">
        <f>IF($A621="","",IF($I621=0,"",_xludf.AGGREGATE(14,6,Ventes_Encaissements!$C$6:$C$3005/(Ventes_Encaissements!$B$6:$B$3005=$A621),1)))</f>
        <v/>
      </c>
      <c r="L621" s="11">
        <f>IF($A621="","",COUNTIFS(Ventes_Detail!$B$6:$B$3005,$A621))</f>
        <v/>
      </c>
      <c r="M621" s="12" t="n"/>
      <c r="N621" s="12">
        <f>IF($A621="","",IF($G621="","",IF($M621="Oui","Litige",IF($J621&lt;=0,"Payé",IF($I621&gt;0,"Partiel",IF(Listes!$B$3&gt;$G621,"En retard","À échoir"))))))</f>
        <v/>
      </c>
      <c r="O621" s="11">
        <f>IF($A621="","",IF(OR($G621="", $J621&lt;=0),0,MAX(0,Listes!$B$3-$G621)))</f>
        <v/>
      </c>
      <c r="P621" s="12">
        <f>IF($A621="","",IF($J621&lt;=0,"Payé",IF($M621="Oui","Litige",IF($O621=0,"À échoir",IF($O621&lt;=30,"0-30",IF($O621&lt;=60,"31-60",IF($O621&lt;=90,"61-90","90+")))))))</f>
        <v/>
      </c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9">
        <f>IF($A622="","",SUMIFS(Ventes_Encaissements!$D$6:$D$3005,Ventes_Encaissements!$B$6:$B$3005,$A622))</f>
        <v/>
      </c>
      <c r="J622" s="9">
        <f>IF($A622="","",$H622-$I622)</f>
        <v/>
      </c>
      <c r="K622" s="10">
        <f>IF($A622="","",IF($I622=0,"",_xludf.AGGREGATE(14,6,Ventes_Encaissements!$C$6:$C$3005/(Ventes_Encaissements!$B$6:$B$3005=$A622),1)))</f>
        <v/>
      </c>
      <c r="L622" s="11">
        <f>IF($A622="","",COUNTIFS(Ventes_Detail!$B$6:$B$3005,$A622))</f>
        <v/>
      </c>
      <c r="M622" s="12" t="n"/>
      <c r="N622" s="12">
        <f>IF($A622="","",IF($G622="","",IF($M622="Oui","Litige",IF($J622&lt;=0,"Payé",IF($I622&gt;0,"Partiel",IF(Listes!$B$3&gt;$G622,"En retard","À échoir"))))))</f>
        <v/>
      </c>
      <c r="O622" s="11">
        <f>IF($A622="","",IF(OR($G622="", $J622&lt;=0),0,MAX(0,Listes!$B$3-$G622)))</f>
        <v/>
      </c>
      <c r="P622" s="12">
        <f>IF($A622="","",IF($J622&lt;=0,"Payé",IF($M622="Oui","Litige",IF($O622=0,"À échoir",IF($O622&lt;=30,"0-30",IF($O622&lt;=60,"31-60",IF($O622&lt;=90,"61-90","90+")))))))</f>
        <v/>
      </c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9">
        <f>IF($A623="","",SUMIFS(Ventes_Encaissements!$D$6:$D$3005,Ventes_Encaissements!$B$6:$B$3005,$A623))</f>
        <v/>
      </c>
      <c r="J623" s="9">
        <f>IF($A623="","",$H623-$I623)</f>
        <v/>
      </c>
      <c r="K623" s="10">
        <f>IF($A623="","",IF($I623=0,"",_xludf.AGGREGATE(14,6,Ventes_Encaissements!$C$6:$C$3005/(Ventes_Encaissements!$B$6:$B$3005=$A623),1)))</f>
        <v/>
      </c>
      <c r="L623" s="11">
        <f>IF($A623="","",COUNTIFS(Ventes_Detail!$B$6:$B$3005,$A623))</f>
        <v/>
      </c>
      <c r="M623" s="12" t="n"/>
      <c r="N623" s="12">
        <f>IF($A623="","",IF($G623="","",IF($M623="Oui","Litige",IF($J623&lt;=0,"Payé",IF($I623&gt;0,"Partiel",IF(Listes!$B$3&gt;$G623,"En retard","À échoir"))))))</f>
        <v/>
      </c>
      <c r="O623" s="11">
        <f>IF($A623="","",IF(OR($G623="", $J623&lt;=0),0,MAX(0,Listes!$B$3-$G623)))</f>
        <v/>
      </c>
      <c r="P623" s="12">
        <f>IF($A623="","",IF($J623&lt;=0,"Payé",IF($M623="Oui","Litige",IF($O623=0,"À échoir",IF($O623&lt;=30,"0-30",IF($O623&lt;=60,"31-60",IF($O623&lt;=90,"61-90","90+")))))))</f>
        <v/>
      </c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9">
        <f>IF($A624="","",SUMIFS(Ventes_Encaissements!$D$6:$D$3005,Ventes_Encaissements!$B$6:$B$3005,$A624))</f>
        <v/>
      </c>
      <c r="J624" s="9">
        <f>IF($A624="","",$H624-$I624)</f>
        <v/>
      </c>
      <c r="K624" s="10">
        <f>IF($A624="","",IF($I624=0,"",_xludf.AGGREGATE(14,6,Ventes_Encaissements!$C$6:$C$3005/(Ventes_Encaissements!$B$6:$B$3005=$A624),1)))</f>
        <v/>
      </c>
      <c r="L624" s="11">
        <f>IF($A624="","",COUNTIFS(Ventes_Detail!$B$6:$B$3005,$A624))</f>
        <v/>
      </c>
      <c r="M624" s="12" t="n"/>
      <c r="N624" s="12">
        <f>IF($A624="","",IF($G624="","",IF($M624="Oui","Litige",IF($J624&lt;=0,"Payé",IF($I624&gt;0,"Partiel",IF(Listes!$B$3&gt;$G624,"En retard","À échoir"))))))</f>
        <v/>
      </c>
      <c r="O624" s="11">
        <f>IF($A624="","",IF(OR($G624="", $J624&lt;=0),0,MAX(0,Listes!$B$3-$G624)))</f>
        <v/>
      </c>
      <c r="P624" s="12">
        <f>IF($A624="","",IF($J624&lt;=0,"Payé",IF($M624="Oui","Litige",IF($O624=0,"À échoir",IF($O624&lt;=30,"0-30",IF($O624&lt;=60,"31-60",IF($O624&lt;=90,"61-90","90+")))))))</f>
        <v/>
      </c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9">
        <f>IF($A625="","",SUMIFS(Ventes_Encaissements!$D$6:$D$3005,Ventes_Encaissements!$B$6:$B$3005,$A625))</f>
        <v/>
      </c>
      <c r="J625" s="9">
        <f>IF($A625="","",$H625-$I625)</f>
        <v/>
      </c>
      <c r="K625" s="10">
        <f>IF($A625="","",IF($I625=0,"",_xludf.AGGREGATE(14,6,Ventes_Encaissements!$C$6:$C$3005/(Ventes_Encaissements!$B$6:$B$3005=$A625),1)))</f>
        <v/>
      </c>
      <c r="L625" s="11">
        <f>IF($A625="","",COUNTIFS(Ventes_Detail!$B$6:$B$3005,$A625))</f>
        <v/>
      </c>
      <c r="M625" s="12" t="n"/>
      <c r="N625" s="12">
        <f>IF($A625="","",IF($G625="","",IF($M625="Oui","Litige",IF($J625&lt;=0,"Payé",IF($I625&gt;0,"Partiel",IF(Listes!$B$3&gt;$G625,"En retard","À échoir"))))))</f>
        <v/>
      </c>
      <c r="O625" s="11">
        <f>IF($A625="","",IF(OR($G625="", $J625&lt;=0),0,MAX(0,Listes!$B$3-$G625)))</f>
        <v/>
      </c>
      <c r="P625" s="12">
        <f>IF($A625="","",IF($J625&lt;=0,"Payé",IF($M625="Oui","Litige",IF($O625=0,"À échoir",IF($O625&lt;=30,"0-30",IF($O625&lt;=60,"31-60",IF($O625&lt;=90,"61-90","90+")))))))</f>
        <v/>
      </c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9">
        <f>IF($A626="","",SUMIFS(Ventes_Encaissements!$D$6:$D$3005,Ventes_Encaissements!$B$6:$B$3005,$A626))</f>
        <v/>
      </c>
      <c r="J626" s="9">
        <f>IF($A626="","",$H626-$I626)</f>
        <v/>
      </c>
      <c r="K626" s="10">
        <f>IF($A626="","",IF($I626=0,"",_xludf.AGGREGATE(14,6,Ventes_Encaissements!$C$6:$C$3005/(Ventes_Encaissements!$B$6:$B$3005=$A626),1)))</f>
        <v/>
      </c>
      <c r="L626" s="11">
        <f>IF($A626="","",COUNTIFS(Ventes_Detail!$B$6:$B$3005,$A626))</f>
        <v/>
      </c>
      <c r="M626" s="12" t="n"/>
      <c r="N626" s="12">
        <f>IF($A626="","",IF($G626="","",IF($M626="Oui","Litige",IF($J626&lt;=0,"Payé",IF($I626&gt;0,"Partiel",IF(Listes!$B$3&gt;$G626,"En retard","À échoir"))))))</f>
        <v/>
      </c>
      <c r="O626" s="11">
        <f>IF($A626="","",IF(OR($G626="", $J626&lt;=0),0,MAX(0,Listes!$B$3-$G626)))</f>
        <v/>
      </c>
      <c r="P626" s="12">
        <f>IF($A626="","",IF($J626&lt;=0,"Payé",IF($M626="Oui","Litige",IF($O626=0,"À échoir",IF($O626&lt;=30,"0-30",IF($O626&lt;=60,"31-60",IF($O626&lt;=90,"61-90","90+")))))))</f>
        <v/>
      </c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9">
        <f>IF($A627="","",SUMIFS(Ventes_Encaissements!$D$6:$D$3005,Ventes_Encaissements!$B$6:$B$3005,$A627))</f>
        <v/>
      </c>
      <c r="J627" s="9">
        <f>IF($A627="","",$H627-$I627)</f>
        <v/>
      </c>
      <c r="K627" s="10">
        <f>IF($A627="","",IF($I627=0,"",_xludf.AGGREGATE(14,6,Ventes_Encaissements!$C$6:$C$3005/(Ventes_Encaissements!$B$6:$B$3005=$A627),1)))</f>
        <v/>
      </c>
      <c r="L627" s="11">
        <f>IF($A627="","",COUNTIFS(Ventes_Detail!$B$6:$B$3005,$A627))</f>
        <v/>
      </c>
      <c r="M627" s="12" t="n"/>
      <c r="N627" s="12">
        <f>IF($A627="","",IF($G627="","",IF($M627="Oui","Litige",IF($J627&lt;=0,"Payé",IF($I627&gt;0,"Partiel",IF(Listes!$B$3&gt;$G627,"En retard","À échoir"))))))</f>
        <v/>
      </c>
      <c r="O627" s="11">
        <f>IF($A627="","",IF(OR($G627="", $J627&lt;=0),0,MAX(0,Listes!$B$3-$G627)))</f>
        <v/>
      </c>
      <c r="P627" s="12">
        <f>IF($A627="","",IF($J627&lt;=0,"Payé",IF($M627="Oui","Litige",IF($O627=0,"À échoir",IF($O627&lt;=30,"0-30",IF($O627&lt;=60,"31-60",IF($O627&lt;=90,"61-90","90+")))))))</f>
        <v/>
      </c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9">
        <f>IF($A628="","",SUMIFS(Ventes_Encaissements!$D$6:$D$3005,Ventes_Encaissements!$B$6:$B$3005,$A628))</f>
        <v/>
      </c>
      <c r="J628" s="9">
        <f>IF($A628="","",$H628-$I628)</f>
        <v/>
      </c>
      <c r="K628" s="10">
        <f>IF($A628="","",IF($I628=0,"",_xludf.AGGREGATE(14,6,Ventes_Encaissements!$C$6:$C$3005/(Ventes_Encaissements!$B$6:$B$3005=$A628),1)))</f>
        <v/>
      </c>
      <c r="L628" s="11">
        <f>IF($A628="","",COUNTIFS(Ventes_Detail!$B$6:$B$3005,$A628))</f>
        <v/>
      </c>
      <c r="M628" s="12" t="n"/>
      <c r="N628" s="12">
        <f>IF($A628="","",IF($G628="","",IF($M628="Oui","Litige",IF($J628&lt;=0,"Payé",IF($I628&gt;0,"Partiel",IF(Listes!$B$3&gt;$G628,"En retard","À échoir"))))))</f>
        <v/>
      </c>
      <c r="O628" s="11">
        <f>IF($A628="","",IF(OR($G628="", $J628&lt;=0),0,MAX(0,Listes!$B$3-$G628)))</f>
        <v/>
      </c>
      <c r="P628" s="12">
        <f>IF($A628="","",IF($J628&lt;=0,"Payé",IF($M628="Oui","Litige",IF($O628=0,"À échoir",IF($O628&lt;=30,"0-30",IF($O628&lt;=60,"31-60",IF($O628&lt;=90,"61-90","90+")))))))</f>
        <v/>
      </c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9">
        <f>IF($A629="","",SUMIFS(Ventes_Encaissements!$D$6:$D$3005,Ventes_Encaissements!$B$6:$B$3005,$A629))</f>
        <v/>
      </c>
      <c r="J629" s="9">
        <f>IF($A629="","",$H629-$I629)</f>
        <v/>
      </c>
      <c r="K629" s="10">
        <f>IF($A629="","",IF($I629=0,"",_xludf.AGGREGATE(14,6,Ventes_Encaissements!$C$6:$C$3005/(Ventes_Encaissements!$B$6:$B$3005=$A629),1)))</f>
        <v/>
      </c>
      <c r="L629" s="11">
        <f>IF($A629="","",COUNTIFS(Ventes_Detail!$B$6:$B$3005,$A629))</f>
        <v/>
      </c>
      <c r="M629" s="12" t="n"/>
      <c r="N629" s="12">
        <f>IF($A629="","",IF($G629="","",IF($M629="Oui","Litige",IF($J629&lt;=0,"Payé",IF($I629&gt;0,"Partiel",IF(Listes!$B$3&gt;$G629,"En retard","À échoir"))))))</f>
        <v/>
      </c>
      <c r="O629" s="11">
        <f>IF($A629="","",IF(OR($G629="", $J629&lt;=0),0,MAX(0,Listes!$B$3-$G629)))</f>
        <v/>
      </c>
      <c r="P629" s="12">
        <f>IF($A629="","",IF($J629&lt;=0,"Payé",IF($M629="Oui","Litige",IF($O629=0,"À échoir",IF($O629&lt;=30,"0-30",IF($O629&lt;=60,"31-60",IF($O629&lt;=90,"61-90","90+")))))))</f>
        <v/>
      </c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9">
        <f>IF($A630="","",SUMIFS(Ventes_Encaissements!$D$6:$D$3005,Ventes_Encaissements!$B$6:$B$3005,$A630))</f>
        <v/>
      </c>
      <c r="J630" s="9">
        <f>IF($A630="","",$H630-$I630)</f>
        <v/>
      </c>
      <c r="K630" s="10">
        <f>IF($A630="","",IF($I630=0,"",_xludf.AGGREGATE(14,6,Ventes_Encaissements!$C$6:$C$3005/(Ventes_Encaissements!$B$6:$B$3005=$A630),1)))</f>
        <v/>
      </c>
      <c r="L630" s="11">
        <f>IF($A630="","",COUNTIFS(Ventes_Detail!$B$6:$B$3005,$A630))</f>
        <v/>
      </c>
      <c r="M630" s="12" t="n"/>
      <c r="N630" s="12">
        <f>IF($A630="","",IF($G630="","",IF($M630="Oui","Litige",IF($J630&lt;=0,"Payé",IF($I630&gt;0,"Partiel",IF(Listes!$B$3&gt;$G630,"En retard","À échoir"))))))</f>
        <v/>
      </c>
      <c r="O630" s="11">
        <f>IF($A630="","",IF(OR($G630="", $J630&lt;=0),0,MAX(0,Listes!$B$3-$G630)))</f>
        <v/>
      </c>
      <c r="P630" s="12">
        <f>IF($A630="","",IF($J630&lt;=0,"Payé",IF($M630="Oui","Litige",IF($O630=0,"À échoir",IF($O630&lt;=30,"0-30",IF($O630&lt;=60,"31-60",IF($O630&lt;=90,"61-90","90+")))))))</f>
        <v/>
      </c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9">
        <f>IF($A631="","",SUMIFS(Ventes_Encaissements!$D$6:$D$3005,Ventes_Encaissements!$B$6:$B$3005,$A631))</f>
        <v/>
      </c>
      <c r="J631" s="9">
        <f>IF($A631="","",$H631-$I631)</f>
        <v/>
      </c>
      <c r="K631" s="10">
        <f>IF($A631="","",IF($I631=0,"",_xludf.AGGREGATE(14,6,Ventes_Encaissements!$C$6:$C$3005/(Ventes_Encaissements!$B$6:$B$3005=$A631),1)))</f>
        <v/>
      </c>
      <c r="L631" s="11">
        <f>IF($A631="","",COUNTIFS(Ventes_Detail!$B$6:$B$3005,$A631))</f>
        <v/>
      </c>
      <c r="M631" s="12" t="n"/>
      <c r="N631" s="12">
        <f>IF($A631="","",IF($G631="","",IF($M631="Oui","Litige",IF($J631&lt;=0,"Payé",IF($I631&gt;0,"Partiel",IF(Listes!$B$3&gt;$G631,"En retard","À échoir"))))))</f>
        <v/>
      </c>
      <c r="O631" s="11">
        <f>IF($A631="","",IF(OR($G631="", $J631&lt;=0),0,MAX(0,Listes!$B$3-$G631)))</f>
        <v/>
      </c>
      <c r="P631" s="12">
        <f>IF($A631="","",IF($J631&lt;=0,"Payé",IF($M631="Oui","Litige",IF($O631=0,"À échoir",IF($O631&lt;=30,"0-30",IF($O631&lt;=60,"31-60",IF($O631&lt;=90,"61-90","90+")))))))</f>
        <v/>
      </c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9">
        <f>IF($A632="","",SUMIFS(Ventes_Encaissements!$D$6:$D$3005,Ventes_Encaissements!$B$6:$B$3005,$A632))</f>
        <v/>
      </c>
      <c r="J632" s="9">
        <f>IF($A632="","",$H632-$I632)</f>
        <v/>
      </c>
      <c r="K632" s="10">
        <f>IF($A632="","",IF($I632=0,"",_xludf.AGGREGATE(14,6,Ventes_Encaissements!$C$6:$C$3005/(Ventes_Encaissements!$B$6:$B$3005=$A632),1)))</f>
        <v/>
      </c>
      <c r="L632" s="11">
        <f>IF($A632="","",COUNTIFS(Ventes_Detail!$B$6:$B$3005,$A632))</f>
        <v/>
      </c>
      <c r="M632" s="12" t="n"/>
      <c r="N632" s="12">
        <f>IF($A632="","",IF($G632="","",IF($M632="Oui","Litige",IF($J632&lt;=0,"Payé",IF($I632&gt;0,"Partiel",IF(Listes!$B$3&gt;$G632,"En retard","À échoir"))))))</f>
        <v/>
      </c>
      <c r="O632" s="11">
        <f>IF($A632="","",IF(OR($G632="", $J632&lt;=0),0,MAX(0,Listes!$B$3-$G632)))</f>
        <v/>
      </c>
      <c r="P632" s="12">
        <f>IF($A632="","",IF($J632&lt;=0,"Payé",IF($M632="Oui","Litige",IF($O632=0,"À échoir",IF($O632&lt;=30,"0-30",IF($O632&lt;=60,"31-60",IF($O632&lt;=90,"61-90","90+")))))))</f>
        <v/>
      </c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9">
        <f>IF($A633="","",SUMIFS(Ventes_Encaissements!$D$6:$D$3005,Ventes_Encaissements!$B$6:$B$3005,$A633))</f>
        <v/>
      </c>
      <c r="J633" s="9">
        <f>IF($A633="","",$H633-$I633)</f>
        <v/>
      </c>
      <c r="K633" s="10">
        <f>IF($A633="","",IF($I633=0,"",_xludf.AGGREGATE(14,6,Ventes_Encaissements!$C$6:$C$3005/(Ventes_Encaissements!$B$6:$B$3005=$A633),1)))</f>
        <v/>
      </c>
      <c r="L633" s="11">
        <f>IF($A633="","",COUNTIFS(Ventes_Detail!$B$6:$B$3005,$A633))</f>
        <v/>
      </c>
      <c r="M633" s="12" t="n"/>
      <c r="N633" s="12">
        <f>IF($A633="","",IF($G633="","",IF($M633="Oui","Litige",IF($J633&lt;=0,"Payé",IF($I633&gt;0,"Partiel",IF(Listes!$B$3&gt;$G633,"En retard","À échoir"))))))</f>
        <v/>
      </c>
      <c r="O633" s="11">
        <f>IF($A633="","",IF(OR($G633="", $J633&lt;=0),0,MAX(0,Listes!$B$3-$G633)))</f>
        <v/>
      </c>
      <c r="P633" s="12">
        <f>IF($A633="","",IF($J633&lt;=0,"Payé",IF($M633="Oui","Litige",IF($O633=0,"À échoir",IF($O633&lt;=30,"0-30",IF($O633&lt;=60,"31-60",IF($O633&lt;=90,"61-90","90+")))))))</f>
        <v/>
      </c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9">
        <f>IF($A634="","",SUMIFS(Ventes_Encaissements!$D$6:$D$3005,Ventes_Encaissements!$B$6:$B$3005,$A634))</f>
        <v/>
      </c>
      <c r="J634" s="9">
        <f>IF($A634="","",$H634-$I634)</f>
        <v/>
      </c>
      <c r="K634" s="10">
        <f>IF($A634="","",IF($I634=0,"",_xludf.AGGREGATE(14,6,Ventes_Encaissements!$C$6:$C$3005/(Ventes_Encaissements!$B$6:$B$3005=$A634),1)))</f>
        <v/>
      </c>
      <c r="L634" s="11">
        <f>IF($A634="","",COUNTIFS(Ventes_Detail!$B$6:$B$3005,$A634))</f>
        <v/>
      </c>
      <c r="M634" s="12" t="n"/>
      <c r="N634" s="12">
        <f>IF($A634="","",IF($G634="","",IF($M634="Oui","Litige",IF($J634&lt;=0,"Payé",IF($I634&gt;0,"Partiel",IF(Listes!$B$3&gt;$G634,"En retard","À échoir"))))))</f>
        <v/>
      </c>
      <c r="O634" s="11">
        <f>IF($A634="","",IF(OR($G634="", $J634&lt;=0),0,MAX(0,Listes!$B$3-$G634)))</f>
        <v/>
      </c>
      <c r="P634" s="12">
        <f>IF($A634="","",IF($J634&lt;=0,"Payé",IF($M634="Oui","Litige",IF($O634=0,"À échoir",IF($O634&lt;=30,"0-30",IF($O634&lt;=60,"31-60",IF($O634&lt;=90,"61-90","90+")))))))</f>
        <v/>
      </c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9">
        <f>IF($A635="","",SUMIFS(Ventes_Encaissements!$D$6:$D$3005,Ventes_Encaissements!$B$6:$B$3005,$A635))</f>
        <v/>
      </c>
      <c r="J635" s="9">
        <f>IF($A635="","",$H635-$I635)</f>
        <v/>
      </c>
      <c r="K635" s="10">
        <f>IF($A635="","",IF($I635=0,"",_xludf.AGGREGATE(14,6,Ventes_Encaissements!$C$6:$C$3005/(Ventes_Encaissements!$B$6:$B$3005=$A635),1)))</f>
        <v/>
      </c>
      <c r="L635" s="11">
        <f>IF($A635="","",COUNTIFS(Ventes_Detail!$B$6:$B$3005,$A635))</f>
        <v/>
      </c>
      <c r="M635" s="12" t="n"/>
      <c r="N635" s="12">
        <f>IF($A635="","",IF($G635="","",IF($M635="Oui","Litige",IF($J635&lt;=0,"Payé",IF($I635&gt;0,"Partiel",IF(Listes!$B$3&gt;$G635,"En retard","À échoir"))))))</f>
        <v/>
      </c>
      <c r="O635" s="11">
        <f>IF($A635="","",IF(OR($G635="", $J635&lt;=0),0,MAX(0,Listes!$B$3-$G635)))</f>
        <v/>
      </c>
      <c r="P635" s="12">
        <f>IF($A635="","",IF($J635&lt;=0,"Payé",IF($M635="Oui","Litige",IF($O635=0,"À échoir",IF($O635&lt;=30,"0-30",IF($O635&lt;=60,"31-60",IF($O635&lt;=90,"61-90","90+")))))))</f>
        <v/>
      </c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9">
        <f>IF($A636="","",SUMIFS(Ventes_Encaissements!$D$6:$D$3005,Ventes_Encaissements!$B$6:$B$3005,$A636))</f>
        <v/>
      </c>
      <c r="J636" s="9">
        <f>IF($A636="","",$H636-$I636)</f>
        <v/>
      </c>
      <c r="K636" s="10">
        <f>IF($A636="","",IF($I636=0,"",_xludf.AGGREGATE(14,6,Ventes_Encaissements!$C$6:$C$3005/(Ventes_Encaissements!$B$6:$B$3005=$A636),1)))</f>
        <v/>
      </c>
      <c r="L636" s="11">
        <f>IF($A636="","",COUNTIFS(Ventes_Detail!$B$6:$B$3005,$A636))</f>
        <v/>
      </c>
      <c r="M636" s="12" t="n"/>
      <c r="N636" s="12">
        <f>IF($A636="","",IF($G636="","",IF($M636="Oui","Litige",IF($J636&lt;=0,"Payé",IF($I636&gt;0,"Partiel",IF(Listes!$B$3&gt;$G636,"En retard","À échoir"))))))</f>
        <v/>
      </c>
      <c r="O636" s="11">
        <f>IF($A636="","",IF(OR($G636="", $J636&lt;=0),0,MAX(0,Listes!$B$3-$G636)))</f>
        <v/>
      </c>
      <c r="P636" s="12">
        <f>IF($A636="","",IF($J636&lt;=0,"Payé",IF($M636="Oui","Litige",IF($O636=0,"À échoir",IF($O636&lt;=30,"0-30",IF($O636&lt;=60,"31-60",IF($O636&lt;=90,"61-90","90+")))))))</f>
        <v/>
      </c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9">
        <f>IF($A637="","",SUMIFS(Ventes_Encaissements!$D$6:$D$3005,Ventes_Encaissements!$B$6:$B$3005,$A637))</f>
        <v/>
      </c>
      <c r="J637" s="9">
        <f>IF($A637="","",$H637-$I637)</f>
        <v/>
      </c>
      <c r="K637" s="10">
        <f>IF($A637="","",IF($I637=0,"",_xludf.AGGREGATE(14,6,Ventes_Encaissements!$C$6:$C$3005/(Ventes_Encaissements!$B$6:$B$3005=$A637),1)))</f>
        <v/>
      </c>
      <c r="L637" s="11">
        <f>IF($A637="","",COUNTIFS(Ventes_Detail!$B$6:$B$3005,$A637))</f>
        <v/>
      </c>
      <c r="M637" s="12" t="n"/>
      <c r="N637" s="12">
        <f>IF($A637="","",IF($G637="","",IF($M637="Oui","Litige",IF($J637&lt;=0,"Payé",IF($I637&gt;0,"Partiel",IF(Listes!$B$3&gt;$G637,"En retard","À échoir"))))))</f>
        <v/>
      </c>
      <c r="O637" s="11">
        <f>IF($A637="","",IF(OR($G637="", $J637&lt;=0),0,MAX(0,Listes!$B$3-$G637)))</f>
        <v/>
      </c>
      <c r="P637" s="12">
        <f>IF($A637="","",IF($J637&lt;=0,"Payé",IF($M637="Oui","Litige",IF($O637=0,"À échoir",IF($O637&lt;=30,"0-30",IF($O637&lt;=60,"31-60",IF($O637&lt;=90,"61-90","90+")))))))</f>
        <v/>
      </c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9">
        <f>IF($A638="","",SUMIFS(Ventes_Encaissements!$D$6:$D$3005,Ventes_Encaissements!$B$6:$B$3005,$A638))</f>
        <v/>
      </c>
      <c r="J638" s="9">
        <f>IF($A638="","",$H638-$I638)</f>
        <v/>
      </c>
      <c r="K638" s="10">
        <f>IF($A638="","",IF($I638=0,"",_xludf.AGGREGATE(14,6,Ventes_Encaissements!$C$6:$C$3005/(Ventes_Encaissements!$B$6:$B$3005=$A638),1)))</f>
        <v/>
      </c>
      <c r="L638" s="11">
        <f>IF($A638="","",COUNTIFS(Ventes_Detail!$B$6:$B$3005,$A638))</f>
        <v/>
      </c>
      <c r="M638" s="12" t="n"/>
      <c r="N638" s="12">
        <f>IF($A638="","",IF($G638="","",IF($M638="Oui","Litige",IF($J638&lt;=0,"Payé",IF($I638&gt;0,"Partiel",IF(Listes!$B$3&gt;$G638,"En retard","À échoir"))))))</f>
        <v/>
      </c>
      <c r="O638" s="11">
        <f>IF($A638="","",IF(OR($G638="", $J638&lt;=0),0,MAX(0,Listes!$B$3-$G638)))</f>
        <v/>
      </c>
      <c r="P638" s="12">
        <f>IF($A638="","",IF($J638&lt;=0,"Payé",IF($M638="Oui","Litige",IF($O638=0,"À échoir",IF($O638&lt;=30,"0-30",IF($O638&lt;=60,"31-60",IF($O638&lt;=90,"61-90","90+")))))))</f>
        <v/>
      </c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9">
        <f>IF($A639="","",SUMIFS(Ventes_Encaissements!$D$6:$D$3005,Ventes_Encaissements!$B$6:$B$3005,$A639))</f>
        <v/>
      </c>
      <c r="J639" s="9">
        <f>IF($A639="","",$H639-$I639)</f>
        <v/>
      </c>
      <c r="K639" s="10">
        <f>IF($A639="","",IF($I639=0,"",_xludf.AGGREGATE(14,6,Ventes_Encaissements!$C$6:$C$3005/(Ventes_Encaissements!$B$6:$B$3005=$A639),1)))</f>
        <v/>
      </c>
      <c r="L639" s="11">
        <f>IF($A639="","",COUNTIFS(Ventes_Detail!$B$6:$B$3005,$A639))</f>
        <v/>
      </c>
      <c r="M639" s="12" t="n"/>
      <c r="N639" s="12">
        <f>IF($A639="","",IF($G639="","",IF($M639="Oui","Litige",IF($J639&lt;=0,"Payé",IF($I639&gt;0,"Partiel",IF(Listes!$B$3&gt;$G639,"En retard","À échoir"))))))</f>
        <v/>
      </c>
      <c r="O639" s="11">
        <f>IF($A639="","",IF(OR($G639="", $J639&lt;=0),0,MAX(0,Listes!$B$3-$G639)))</f>
        <v/>
      </c>
      <c r="P639" s="12">
        <f>IF($A639="","",IF($J639&lt;=0,"Payé",IF($M639="Oui","Litige",IF($O639=0,"À échoir",IF($O639&lt;=30,"0-30",IF($O639&lt;=60,"31-60",IF($O639&lt;=90,"61-90","90+")))))))</f>
        <v/>
      </c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9">
        <f>IF($A640="","",SUMIFS(Ventes_Encaissements!$D$6:$D$3005,Ventes_Encaissements!$B$6:$B$3005,$A640))</f>
        <v/>
      </c>
      <c r="J640" s="9">
        <f>IF($A640="","",$H640-$I640)</f>
        <v/>
      </c>
      <c r="K640" s="10">
        <f>IF($A640="","",IF($I640=0,"",_xludf.AGGREGATE(14,6,Ventes_Encaissements!$C$6:$C$3005/(Ventes_Encaissements!$B$6:$B$3005=$A640),1)))</f>
        <v/>
      </c>
      <c r="L640" s="11">
        <f>IF($A640="","",COUNTIFS(Ventes_Detail!$B$6:$B$3005,$A640))</f>
        <v/>
      </c>
      <c r="M640" s="12" t="n"/>
      <c r="N640" s="12">
        <f>IF($A640="","",IF($G640="","",IF($M640="Oui","Litige",IF($J640&lt;=0,"Payé",IF($I640&gt;0,"Partiel",IF(Listes!$B$3&gt;$G640,"En retard","À échoir"))))))</f>
        <v/>
      </c>
      <c r="O640" s="11">
        <f>IF($A640="","",IF(OR($G640="", $J640&lt;=0),0,MAX(0,Listes!$B$3-$G640)))</f>
        <v/>
      </c>
      <c r="P640" s="12">
        <f>IF($A640="","",IF($J640&lt;=0,"Payé",IF($M640="Oui","Litige",IF($O640=0,"À échoir",IF($O640&lt;=30,"0-30",IF($O640&lt;=60,"31-60",IF($O640&lt;=90,"61-90","90+")))))))</f>
        <v/>
      </c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9">
        <f>IF($A641="","",SUMIFS(Ventes_Encaissements!$D$6:$D$3005,Ventes_Encaissements!$B$6:$B$3005,$A641))</f>
        <v/>
      </c>
      <c r="J641" s="9">
        <f>IF($A641="","",$H641-$I641)</f>
        <v/>
      </c>
      <c r="K641" s="10">
        <f>IF($A641="","",IF($I641=0,"",_xludf.AGGREGATE(14,6,Ventes_Encaissements!$C$6:$C$3005/(Ventes_Encaissements!$B$6:$B$3005=$A641),1)))</f>
        <v/>
      </c>
      <c r="L641" s="11">
        <f>IF($A641="","",COUNTIFS(Ventes_Detail!$B$6:$B$3005,$A641))</f>
        <v/>
      </c>
      <c r="M641" s="12" t="n"/>
      <c r="N641" s="12">
        <f>IF($A641="","",IF($G641="","",IF($M641="Oui","Litige",IF($J641&lt;=0,"Payé",IF($I641&gt;0,"Partiel",IF(Listes!$B$3&gt;$G641,"En retard","À échoir"))))))</f>
        <v/>
      </c>
      <c r="O641" s="11">
        <f>IF($A641="","",IF(OR($G641="", $J641&lt;=0),0,MAX(0,Listes!$B$3-$G641)))</f>
        <v/>
      </c>
      <c r="P641" s="12">
        <f>IF($A641="","",IF($J641&lt;=0,"Payé",IF($M641="Oui","Litige",IF($O641=0,"À échoir",IF($O641&lt;=30,"0-30",IF($O641&lt;=60,"31-60",IF($O641&lt;=90,"61-90","90+")))))))</f>
        <v/>
      </c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9">
        <f>IF($A642="","",SUMIFS(Ventes_Encaissements!$D$6:$D$3005,Ventes_Encaissements!$B$6:$B$3005,$A642))</f>
        <v/>
      </c>
      <c r="J642" s="9">
        <f>IF($A642="","",$H642-$I642)</f>
        <v/>
      </c>
      <c r="K642" s="10">
        <f>IF($A642="","",IF($I642=0,"",_xludf.AGGREGATE(14,6,Ventes_Encaissements!$C$6:$C$3005/(Ventes_Encaissements!$B$6:$B$3005=$A642),1)))</f>
        <v/>
      </c>
      <c r="L642" s="11">
        <f>IF($A642="","",COUNTIFS(Ventes_Detail!$B$6:$B$3005,$A642))</f>
        <v/>
      </c>
      <c r="M642" s="12" t="n"/>
      <c r="N642" s="12">
        <f>IF($A642="","",IF($G642="","",IF($M642="Oui","Litige",IF($J642&lt;=0,"Payé",IF($I642&gt;0,"Partiel",IF(Listes!$B$3&gt;$G642,"En retard","À échoir"))))))</f>
        <v/>
      </c>
      <c r="O642" s="11">
        <f>IF($A642="","",IF(OR($G642="", $J642&lt;=0),0,MAX(0,Listes!$B$3-$G642)))</f>
        <v/>
      </c>
      <c r="P642" s="12">
        <f>IF($A642="","",IF($J642&lt;=0,"Payé",IF($M642="Oui","Litige",IF($O642=0,"À échoir",IF($O642&lt;=30,"0-30",IF($O642&lt;=60,"31-60",IF($O642&lt;=90,"61-90","90+")))))))</f>
        <v/>
      </c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9">
        <f>IF($A643="","",SUMIFS(Ventes_Encaissements!$D$6:$D$3005,Ventes_Encaissements!$B$6:$B$3005,$A643))</f>
        <v/>
      </c>
      <c r="J643" s="9">
        <f>IF($A643="","",$H643-$I643)</f>
        <v/>
      </c>
      <c r="K643" s="10">
        <f>IF($A643="","",IF($I643=0,"",_xludf.AGGREGATE(14,6,Ventes_Encaissements!$C$6:$C$3005/(Ventes_Encaissements!$B$6:$B$3005=$A643),1)))</f>
        <v/>
      </c>
      <c r="L643" s="11">
        <f>IF($A643="","",COUNTIFS(Ventes_Detail!$B$6:$B$3005,$A643))</f>
        <v/>
      </c>
      <c r="M643" s="12" t="n"/>
      <c r="N643" s="12">
        <f>IF($A643="","",IF($G643="","",IF($M643="Oui","Litige",IF($J643&lt;=0,"Payé",IF($I643&gt;0,"Partiel",IF(Listes!$B$3&gt;$G643,"En retard","À échoir"))))))</f>
        <v/>
      </c>
      <c r="O643" s="11">
        <f>IF($A643="","",IF(OR($G643="", $J643&lt;=0),0,MAX(0,Listes!$B$3-$G643)))</f>
        <v/>
      </c>
      <c r="P643" s="12">
        <f>IF($A643="","",IF($J643&lt;=0,"Payé",IF($M643="Oui","Litige",IF($O643=0,"À échoir",IF($O643&lt;=30,"0-30",IF($O643&lt;=60,"31-60",IF($O643&lt;=90,"61-90","90+")))))))</f>
        <v/>
      </c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9">
        <f>IF($A644="","",SUMIFS(Ventes_Encaissements!$D$6:$D$3005,Ventes_Encaissements!$B$6:$B$3005,$A644))</f>
        <v/>
      </c>
      <c r="J644" s="9">
        <f>IF($A644="","",$H644-$I644)</f>
        <v/>
      </c>
      <c r="K644" s="10">
        <f>IF($A644="","",IF($I644=0,"",_xludf.AGGREGATE(14,6,Ventes_Encaissements!$C$6:$C$3005/(Ventes_Encaissements!$B$6:$B$3005=$A644),1)))</f>
        <v/>
      </c>
      <c r="L644" s="11">
        <f>IF($A644="","",COUNTIFS(Ventes_Detail!$B$6:$B$3005,$A644))</f>
        <v/>
      </c>
      <c r="M644" s="12" t="n"/>
      <c r="N644" s="12">
        <f>IF($A644="","",IF($G644="","",IF($M644="Oui","Litige",IF($J644&lt;=0,"Payé",IF($I644&gt;0,"Partiel",IF(Listes!$B$3&gt;$G644,"En retard","À échoir"))))))</f>
        <v/>
      </c>
      <c r="O644" s="11">
        <f>IF($A644="","",IF(OR($G644="", $J644&lt;=0),0,MAX(0,Listes!$B$3-$G644)))</f>
        <v/>
      </c>
      <c r="P644" s="12">
        <f>IF($A644="","",IF($J644&lt;=0,"Payé",IF($M644="Oui","Litige",IF($O644=0,"À échoir",IF($O644&lt;=30,"0-30",IF($O644&lt;=60,"31-60",IF($O644&lt;=90,"61-90","90+")))))))</f>
        <v/>
      </c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9">
        <f>IF($A645="","",SUMIFS(Ventes_Encaissements!$D$6:$D$3005,Ventes_Encaissements!$B$6:$B$3005,$A645))</f>
        <v/>
      </c>
      <c r="J645" s="9">
        <f>IF($A645="","",$H645-$I645)</f>
        <v/>
      </c>
      <c r="K645" s="10">
        <f>IF($A645="","",IF($I645=0,"",_xludf.AGGREGATE(14,6,Ventes_Encaissements!$C$6:$C$3005/(Ventes_Encaissements!$B$6:$B$3005=$A645),1)))</f>
        <v/>
      </c>
      <c r="L645" s="11">
        <f>IF($A645="","",COUNTIFS(Ventes_Detail!$B$6:$B$3005,$A645))</f>
        <v/>
      </c>
      <c r="M645" s="12" t="n"/>
      <c r="N645" s="12">
        <f>IF($A645="","",IF($G645="","",IF($M645="Oui","Litige",IF($J645&lt;=0,"Payé",IF($I645&gt;0,"Partiel",IF(Listes!$B$3&gt;$G645,"En retard","À échoir"))))))</f>
        <v/>
      </c>
      <c r="O645" s="11">
        <f>IF($A645="","",IF(OR($G645="", $J645&lt;=0),0,MAX(0,Listes!$B$3-$G645)))</f>
        <v/>
      </c>
      <c r="P645" s="12">
        <f>IF($A645="","",IF($J645&lt;=0,"Payé",IF($M645="Oui","Litige",IF($O645=0,"À échoir",IF($O645&lt;=30,"0-30",IF($O645&lt;=60,"31-60",IF($O645&lt;=90,"61-90","90+")))))))</f>
        <v/>
      </c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9">
        <f>IF($A646="","",SUMIFS(Ventes_Encaissements!$D$6:$D$3005,Ventes_Encaissements!$B$6:$B$3005,$A646))</f>
        <v/>
      </c>
      <c r="J646" s="9">
        <f>IF($A646="","",$H646-$I646)</f>
        <v/>
      </c>
      <c r="K646" s="10">
        <f>IF($A646="","",IF($I646=0,"",_xludf.AGGREGATE(14,6,Ventes_Encaissements!$C$6:$C$3005/(Ventes_Encaissements!$B$6:$B$3005=$A646),1)))</f>
        <v/>
      </c>
      <c r="L646" s="11">
        <f>IF($A646="","",COUNTIFS(Ventes_Detail!$B$6:$B$3005,$A646))</f>
        <v/>
      </c>
      <c r="M646" s="12" t="n"/>
      <c r="N646" s="12">
        <f>IF($A646="","",IF($G646="","",IF($M646="Oui","Litige",IF($J646&lt;=0,"Payé",IF($I646&gt;0,"Partiel",IF(Listes!$B$3&gt;$G646,"En retard","À échoir"))))))</f>
        <v/>
      </c>
      <c r="O646" s="11">
        <f>IF($A646="","",IF(OR($G646="", $J646&lt;=0),0,MAX(0,Listes!$B$3-$G646)))</f>
        <v/>
      </c>
      <c r="P646" s="12">
        <f>IF($A646="","",IF($J646&lt;=0,"Payé",IF($M646="Oui","Litige",IF($O646=0,"À échoir",IF($O646&lt;=30,"0-30",IF($O646&lt;=60,"31-60",IF($O646&lt;=90,"61-90","90+")))))))</f>
        <v/>
      </c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9">
        <f>IF($A647="","",SUMIFS(Ventes_Encaissements!$D$6:$D$3005,Ventes_Encaissements!$B$6:$B$3005,$A647))</f>
        <v/>
      </c>
      <c r="J647" s="9">
        <f>IF($A647="","",$H647-$I647)</f>
        <v/>
      </c>
      <c r="K647" s="10">
        <f>IF($A647="","",IF($I647=0,"",_xludf.AGGREGATE(14,6,Ventes_Encaissements!$C$6:$C$3005/(Ventes_Encaissements!$B$6:$B$3005=$A647),1)))</f>
        <v/>
      </c>
      <c r="L647" s="11">
        <f>IF($A647="","",COUNTIFS(Ventes_Detail!$B$6:$B$3005,$A647))</f>
        <v/>
      </c>
      <c r="M647" s="12" t="n"/>
      <c r="N647" s="12">
        <f>IF($A647="","",IF($G647="","",IF($M647="Oui","Litige",IF($J647&lt;=0,"Payé",IF($I647&gt;0,"Partiel",IF(Listes!$B$3&gt;$G647,"En retard","À échoir"))))))</f>
        <v/>
      </c>
      <c r="O647" s="11">
        <f>IF($A647="","",IF(OR($G647="", $J647&lt;=0),0,MAX(0,Listes!$B$3-$G647)))</f>
        <v/>
      </c>
      <c r="P647" s="12">
        <f>IF($A647="","",IF($J647&lt;=0,"Payé",IF($M647="Oui","Litige",IF($O647=0,"À échoir",IF($O647&lt;=30,"0-30",IF($O647&lt;=60,"31-60",IF($O647&lt;=90,"61-90","90+")))))))</f>
        <v/>
      </c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9">
        <f>IF($A648="","",SUMIFS(Ventes_Encaissements!$D$6:$D$3005,Ventes_Encaissements!$B$6:$B$3005,$A648))</f>
        <v/>
      </c>
      <c r="J648" s="9">
        <f>IF($A648="","",$H648-$I648)</f>
        <v/>
      </c>
      <c r="K648" s="10">
        <f>IF($A648="","",IF($I648=0,"",_xludf.AGGREGATE(14,6,Ventes_Encaissements!$C$6:$C$3005/(Ventes_Encaissements!$B$6:$B$3005=$A648),1)))</f>
        <v/>
      </c>
      <c r="L648" s="11">
        <f>IF($A648="","",COUNTIFS(Ventes_Detail!$B$6:$B$3005,$A648))</f>
        <v/>
      </c>
      <c r="M648" s="12" t="n"/>
      <c r="N648" s="12">
        <f>IF($A648="","",IF($G648="","",IF($M648="Oui","Litige",IF($J648&lt;=0,"Payé",IF($I648&gt;0,"Partiel",IF(Listes!$B$3&gt;$G648,"En retard","À échoir"))))))</f>
        <v/>
      </c>
      <c r="O648" s="11">
        <f>IF($A648="","",IF(OR($G648="", $J648&lt;=0),0,MAX(0,Listes!$B$3-$G648)))</f>
        <v/>
      </c>
      <c r="P648" s="12">
        <f>IF($A648="","",IF($J648&lt;=0,"Payé",IF($M648="Oui","Litige",IF($O648=0,"À échoir",IF($O648&lt;=30,"0-30",IF($O648&lt;=60,"31-60",IF($O648&lt;=90,"61-90","90+")))))))</f>
        <v/>
      </c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9">
        <f>IF($A649="","",SUMIFS(Ventes_Encaissements!$D$6:$D$3005,Ventes_Encaissements!$B$6:$B$3005,$A649))</f>
        <v/>
      </c>
      <c r="J649" s="9">
        <f>IF($A649="","",$H649-$I649)</f>
        <v/>
      </c>
      <c r="K649" s="10">
        <f>IF($A649="","",IF($I649=0,"",_xludf.AGGREGATE(14,6,Ventes_Encaissements!$C$6:$C$3005/(Ventes_Encaissements!$B$6:$B$3005=$A649),1)))</f>
        <v/>
      </c>
      <c r="L649" s="11">
        <f>IF($A649="","",COUNTIFS(Ventes_Detail!$B$6:$B$3005,$A649))</f>
        <v/>
      </c>
      <c r="M649" s="12" t="n"/>
      <c r="N649" s="12">
        <f>IF($A649="","",IF($G649="","",IF($M649="Oui","Litige",IF($J649&lt;=0,"Payé",IF($I649&gt;0,"Partiel",IF(Listes!$B$3&gt;$G649,"En retard","À échoir"))))))</f>
        <v/>
      </c>
      <c r="O649" s="11">
        <f>IF($A649="","",IF(OR($G649="", $J649&lt;=0),0,MAX(0,Listes!$B$3-$G649)))</f>
        <v/>
      </c>
      <c r="P649" s="12">
        <f>IF($A649="","",IF($J649&lt;=0,"Payé",IF($M649="Oui","Litige",IF($O649=0,"À échoir",IF($O649&lt;=30,"0-30",IF($O649&lt;=60,"31-60",IF($O649&lt;=90,"61-90","90+")))))))</f>
        <v/>
      </c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9">
        <f>IF($A650="","",SUMIFS(Ventes_Encaissements!$D$6:$D$3005,Ventes_Encaissements!$B$6:$B$3005,$A650))</f>
        <v/>
      </c>
      <c r="J650" s="9">
        <f>IF($A650="","",$H650-$I650)</f>
        <v/>
      </c>
      <c r="K650" s="10">
        <f>IF($A650="","",IF($I650=0,"",_xludf.AGGREGATE(14,6,Ventes_Encaissements!$C$6:$C$3005/(Ventes_Encaissements!$B$6:$B$3005=$A650),1)))</f>
        <v/>
      </c>
      <c r="L650" s="11">
        <f>IF($A650="","",COUNTIFS(Ventes_Detail!$B$6:$B$3005,$A650))</f>
        <v/>
      </c>
      <c r="M650" s="12" t="n"/>
      <c r="N650" s="12">
        <f>IF($A650="","",IF($G650="","",IF($M650="Oui","Litige",IF($J650&lt;=0,"Payé",IF($I650&gt;0,"Partiel",IF(Listes!$B$3&gt;$G650,"En retard","À échoir"))))))</f>
        <v/>
      </c>
      <c r="O650" s="11">
        <f>IF($A650="","",IF(OR($G650="", $J650&lt;=0),0,MAX(0,Listes!$B$3-$G650)))</f>
        <v/>
      </c>
      <c r="P650" s="12">
        <f>IF($A650="","",IF($J650&lt;=0,"Payé",IF($M650="Oui","Litige",IF($O650=0,"À échoir",IF($O650&lt;=30,"0-30",IF($O650&lt;=60,"31-60",IF($O650&lt;=90,"61-90","90+")))))))</f>
        <v/>
      </c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9">
        <f>IF($A651="","",SUMIFS(Ventes_Encaissements!$D$6:$D$3005,Ventes_Encaissements!$B$6:$B$3005,$A651))</f>
        <v/>
      </c>
      <c r="J651" s="9">
        <f>IF($A651="","",$H651-$I651)</f>
        <v/>
      </c>
      <c r="K651" s="10">
        <f>IF($A651="","",IF($I651=0,"",_xludf.AGGREGATE(14,6,Ventes_Encaissements!$C$6:$C$3005/(Ventes_Encaissements!$B$6:$B$3005=$A651),1)))</f>
        <v/>
      </c>
      <c r="L651" s="11">
        <f>IF($A651="","",COUNTIFS(Ventes_Detail!$B$6:$B$3005,$A651))</f>
        <v/>
      </c>
      <c r="M651" s="12" t="n"/>
      <c r="N651" s="12">
        <f>IF($A651="","",IF($G651="","",IF($M651="Oui","Litige",IF($J651&lt;=0,"Payé",IF($I651&gt;0,"Partiel",IF(Listes!$B$3&gt;$G651,"En retard","À échoir"))))))</f>
        <v/>
      </c>
      <c r="O651" s="11">
        <f>IF($A651="","",IF(OR($G651="", $J651&lt;=0),0,MAX(0,Listes!$B$3-$G651)))</f>
        <v/>
      </c>
      <c r="P651" s="12">
        <f>IF($A651="","",IF($J651&lt;=0,"Payé",IF($M651="Oui","Litige",IF($O651=0,"À échoir",IF($O651&lt;=30,"0-30",IF($O651&lt;=60,"31-60",IF($O651&lt;=90,"61-90","90+")))))))</f>
        <v/>
      </c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9">
        <f>IF($A652="","",SUMIFS(Ventes_Encaissements!$D$6:$D$3005,Ventes_Encaissements!$B$6:$B$3005,$A652))</f>
        <v/>
      </c>
      <c r="J652" s="9">
        <f>IF($A652="","",$H652-$I652)</f>
        <v/>
      </c>
      <c r="K652" s="10">
        <f>IF($A652="","",IF($I652=0,"",_xludf.AGGREGATE(14,6,Ventes_Encaissements!$C$6:$C$3005/(Ventes_Encaissements!$B$6:$B$3005=$A652),1)))</f>
        <v/>
      </c>
      <c r="L652" s="11">
        <f>IF($A652="","",COUNTIFS(Ventes_Detail!$B$6:$B$3005,$A652))</f>
        <v/>
      </c>
      <c r="M652" s="12" t="n"/>
      <c r="N652" s="12">
        <f>IF($A652="","",IF($G652="","",IF($M652="Oui","Litige",IF($J652&lt;=0,"Payé",IF($I652&gt;0,"Partiel",IF(Listes!$B$3&gt;$G652,"En retard","À échoir"))))))</f>
        <v/>
      </c>
      <c r="O652" s="11">
        <f>IF($A652="","",IF(OR($G652="", $J652&lt;=0),0,MAX(0,Listes!$B$3-$G652)))</f>
        <v/>
      </c>
      <c r="P652" s="12">
        <f>IF($A652="","",IF($J652&lt;=0,"Payé",IF($M652="Oui","Litige",IF($O652=0,"À échoir",IF($O652&lt;=30,"0-30",IF($O652&lt;=60,"31-60",IF($O652&lt;=90,"61-90","90+")))))))</f>
        <v/>
      </c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9">
        <f>IF($A653="","",SUMIFS(Ventes_Encaissements!$D$6:$D$3005,Ventes_Encaissements!$B$6:$B$3005,$A653))</f>
        <v/>
      </c>
      <c r="J653" s="9">
        <f>IF($A653="","",$H653-$I653)</f>
        <v/>
      </c>
      <c r="K653" s="10">
        <f>IF($A653="","",IF($I653=0,"",_xludf.AGGREGATE(14,6,Ventes_Encaissements!$C$6:$C$3005/(Ventes_Encaissements!$B$6:$B$3005=$A653),1)))</f>
        <v/>
      </c>
      <c r="L653" s="11">
        <f>IF($A653="","",COUNTIFS(Ventes_Detail!$B$6:$B$3005,$A653))</f>
        <v/>
      </c>
      <c r="M653" s="12" t="n"/>
      <c r="N653" s="12">
        <f>IF($A653="","",IF($G653="","",IF($M653="Oui","Litige",IF($J653&lt;=0,"Payé",IF($I653&gt;0,"Partiel",IF(Listes!$B$3&gt;$G653,"En retard","À échoir"))))))</f>
        <v/>
      </c>
      <c r="O653" s="11">
        <f>IF($A653="","",IF(OR($G653="", $J653&lt;=0),0,MAX(0,Listes!$B$3-$G653)))</f>
        <v/>
      </c>
      <c r="P653" s="12">
        <f>IF($A653="","",IF($J653&lt;=0,"Payé",IF($M653="Oui","Litige",IF($O653=0,"À échoir",IF($O653&lt;=30,"0-30",IF($O653&lt;=60,"31-60",IF($O653&lt;=90,"61-90","90+")))))))</f>
        <v/>
      </c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9">
        <f>IF($A654="","",SUMIFS(Ventes_Encaissements!$D$6:$D$3005,Ventes_Encaissements!$B$6:$B$3005,$A654))</f>
        <v/>
      </c>
      <c r="J654" s="9">
        <f>IF($A654="","",$H654-$I654)</f>
        <v/>
      </c>
      <c r="K654" s="10">
        <f>IF($A654="","",IF($I654=0,"",_xludf.AGGREGATE(14,6,Ventes_Encaissements!$C$6:$C$3005/(Ventes_Encaissements!$B$6:$B$3005=$A654),1)))</f>
        <v/>
      </c>
      <c r="L654" s="11">
        <f>IF($A654="","",COUNTIFS(Ventes_Detail!$B$6:$B$3005,$A654))</f>
        <v/>
      </c>
      <c r="M654" s="12" t="n"/>
      <c r="N654" s="12">
        <f>IF($A654="","",IF($G654="","",IF($M654="Oui","Litige",IF($J654&lt;=0,"Payé",IF($I654&gt;0,"Partiel",IF(Listes!$B$3&gt;$G654,"En retard","À échoir"))))))</f>
        <v/>
      </c>
      <c r="O654" s="11">
        <f>IF($A654="","",IF(OR($G654="", $J654&lt;=0),0,MAX(0,Listes!$B$3-$G654)))</f>
        <v/>
      </c>
      <c r="P654" s="12">
        <f>IF($A654="","",IF($J654&lt;=0,"Payé",IF($M654="Oui","Litige",IF($O654=0,"À échoir",IF($O654&lt;=30,"0-30",IF($O654&lt;=60,"31-60",IF($O654&lt;=90,"61-90","90+")))))))</f>
        <v/>
      </c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9">
        <f>IF($A655="","",SUMIFS(Ventes_Encaissements!$D$6:$D$3005,Ventes_Encaissements!$B$6:$B$3005,$A655))</f>
        <v/>
      </c>
      <c r="J655" s="9">
        <f>IF($A655="","",$H655-$I655)</f>
        <v/>
      </c>
      <c r="K655" s="10">
        <f>IF($A655="","",IF($I655=0,"",_xludf.AGGREGATE(14,6,Ventes_Encaissements!$C$6:$C$3005/(Ventes_Encaissements!$B$6:$B$3005=$A655),1)))</f>
        <v/>
      </c>
      <c r="L655" s="11">
        <f>IF($A655="","",COUNTIFS(Ventes_Detail!$B$6:$B$3005,$A655))</f>
        <v/>
      </c>
      <c r="M655" s="12" t="n"/>
      <c r="N655" s="12">
        <f>IF($A655="","",IF($G655="","",IF($M655="Oui","Litige",IF($J655&lt;=0,"Payé",IF($I655&gt;0,"Partiel",IF(Listes!$B$3&gt;$G655,"En retard","À échoir"))))))</f>
        <v/>
      </c>
      <c r="O655" s="11">
        <f>IF($A655="","",IF(OR($G655="", $J655&lt;=0),0,MAX(0,Listes!$B$3-$G655)))</f>
        <v/>
      </c>
      <c r="P655" s="12">
        <f>IF($A655="","",IF($J655&lt;=0,"Payé",IF($M655="Oui","Litige",IF($O655=0,"À échoir",IF($O655&lt;=30,"0-30",IF($O655&lt;=60,"31-60",IF($O655&lt;=90,"61-90","90+")))))))</f>
        <v/>
      </c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9">
        <f>IF($A656="","",SUMIFS(Ventes_Encaissements!$D$6:$D$3005,Ventes_Encaissements!$B$6:$B$3005,$A656))</f>
        <v/>
      </c>
      <c r="J656" s="9">
        <f>IF($A656="","",$H656-$I656)</f>
        <v/>
      </c>
      <c r="K656" s="10">
        <f>IF($A656="","",IF($I656=0,"",_xludf.AGGREGATE(14,6,Ventes_Encaissements!$C$6:$C$3005/(Ventes_Encaissements!$B$6:$B$3005=$A656),1)))</f>
        <v/>
      </c>
      <c r="L656" s="11">
        <f>IF($A656="","",COUNTIFS(Ventes_Detail!$B$6:$B$3005,$A656))</f>
        <v/>
      </c>
      <c r="M656" s="12" t="n"/>
      <c r="N656" s="12">
        <f>IF($A656="","",IF($G656="","",IF($M656="Oui","Litige",IF($J656&lt;=0,"Payé",IF($I656&gt;0,"Partiel",IF(Listes!$B$3&gt;$G656,"En retard","À échoir"))))))</f>
        <v/>
      </c>
      <c r="O656" s="11">
        <f>IF($A656="","",IF(OR($G656="", $J656&lt;=0),0,MAX(0,Listes!$B$3-$G656)))</f>
        <v/>
      </c>
      <c r="P656" s="12">
        <f>IF($A656="","",IF($J656&lt;=0,"Payé",IF($M656="Oui","Litige",IF($O656=0,"À échoir",IF($O656&lt;=30,"0-30",IF($O656&lt;=60,"31-60",IF($O656&lt;=90,"61-90","90+")))))))</f>
        <v/>
      </c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9">
        <f>IF($A657="","",SUMIFS(Ventes_Encaissements!$D$6:$D$3005,Ventes_Encaissements!$B$6:$B$3005,$A657))</f>
        <v/>
      </c>
      <c r="J657" s="9">
        <f>IF($A657="","",$H657-$I657)</f>
        <v/>
      </c>
      <c r="K657" s="10">
        <f>IF($A657="","",IF($I657=0,"",_xludf.AGGREGATE(14,6,Ventes_Encaissements!$C$6:$C$3005/(Ventes_Encaissements!$B$6:$B$3005=$A657),1)))</f>
        <v/>
      </c>
      <c r="L657" s="11">
        <f>IF($A657="","",COUNTIFS(Ventes_Detail!$B$6:$B$3005,$A657))</f>
        <v/>
      </c>
      <c r="M657" s="12" t="n"/>
      <c r="N657" s="12">
        <f>IF($A657="","",IF($G657="","",IF($M657="Oui","Litige",IF($J657&lt;=0,"Payé",IF($I657&gt;0,"Partiel",IF(Listes!$B$3&gt;$G657,"En retard","À échoir"))))))</f>
        <v/>
      </c>
      <c r="O657" s="11">
        <f>IF($A657="","",IF(OR($G657="", $J657&lt;=0),0,MAX(0,Listes!$B$3-$G657)))</f>
        <v/>
      </c>
      <c r="P657" s="12">
        <f>IF($A657="","",IF($J657&lt;=0,"Payé",IF($M657="Oui","Litige",IF($O657=0,"À échoir",IF($O657&lt;=30,"0-30",IF($O657&lt;=60,"31-60",IF($O657&lt;=90,"61-90","90+")))))))</f>
        <v/>
      </c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9">
        <f>IF($A658="","",SUMIFS(Ventes_Encaissements!$D$6:$D$3005,Ventes_Encaissements!$B$6:$B$3005,$A658))</f>
        <v/>
      </c>
      <c r="J658" s="9">
        <f>IF($A658="","",$H658-$I658)</f>
        <v/>
      </c>
      <c r="K658" s="10">
        <f>IF($A658="","",IF($I658=0,"",_xludf.AGGREGATE(14,6,Ventes_Encaissements!$C$6:$C$3005/(Ventes_Encaissements!$B$6:$B$3005=$A658),1)))</f>
        <v/>
      </c>
      <c r="L658" s="11">
        <f>IF($A658="","",COUNTIFS(Ventes_Detail!$B$6:$B$3005,$A658))</f>
        <v/>
      </c>
      <c r="M658" s="12" t="n"/>
      <c r="N658" s="12">
        <f>IF($A658="","",IF($G658="","",IF($M658="Oui","Litige",IF($J658&lt;=0,"Payé",IF($I658&gt;0,"Partiel",IF(Listes!$B$3&gt;$G658,"En retard","À échoir"))))))</f>
        <v/>
      </c>
      <c r="O658" s="11">
        <f>IF($A658="","",IF(OR($G658="", $J658&lt;=0),0,MAX(0,Listes!$B$3-$G658)))</f>
        <v/>
      </c>
      <c r="P658" s="12">
        <f>IF($A658="","",IF($J658&lt;=0,"Payé",IF($M658="Oui","Litige",IF($O658=0,"À échoir",IF($O658&lt;=30,"0-30",IF($O658&lt;=60,"31-60",IF($O658&lt;=90,"61-90","90+")))))))</f>
        <v/>
      </c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9">
        <f>IF($A659="","",SUMIFS(Ventes_Encaissements!$D$6:$D$3005,Ventes_Encaissements!$B$6:$B$3005,$A659))</f>
        <v/>
      </c>
      <c r="J659" s="9">
        <f>IF($A659="","",$H659-$I659)</f>
        <v/>
      </c>
      <c r="K659" s="10">
        <f>IF($A659="","",IF($I659=0,"",_xludf.AGGREGATE(14,6,Ventes_Encaissements!$C$6:$C$3005/(Ventes_Encaissements!$B$6:$B$3005=$A659),1)))</f>
        <v/>
      </c>
      <c r="L659" s="11">
        <f>IF($A659="","",COUNTIFS(Ventes_Detail!$B$6:$B$3005,$A659))</f>
        <v/>
      </c>
      <c r="M659" s="12" t="n"/>
      <c r="N659" s="12">
        <f>IF($A659="","",IF($G659="","",IF($M659="Oui","Litige",IF($J659&lt;=0,"Payé",IF($I659&gt;0,"Partiel",IF(Listes!$B$3&gt;$G659,"En retard","À échoir"))))))</f>
        <v/>
      </c>
      <c r="O659" s="11">
        <f>IF($A659="","",IF(OR($G659="", $J659&lt;=0),0,MAX(0,Listes!$B$3-$G659)))</f>
        <v/>
      </c>
      <c r="P659" s="12">
        <f>IF($A659="","",IF($J659&lt;=0,"Payé",IF($M659="Oui","Litige",IF($O659=0,"À échoir",IF($O659&lt;=30,"0-30",IF($O659&lt;=60,"31-60",IF($O659&lt;=90,"61-90","90+")))))))</f>
        <v/>
      </c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9">
        <f>IF($A660="","",SUMIFS(Ventes_Encaissements!$D$6:$D$3005,Ventes_Encaissements!$B$6:$B$3005,$A660))</f>
        <v/>
      </c>
      <c r="J660" s="9">
        <f>IF($A660="","",$H660-$I660)</f>
        <v/>
      </c>
      <c r="K660" s="10">
        <f>IF($A660="","",IF($I660=0,"",_xludf.AGGREGATE(14,6,Ventes_Encaissements!$C$6:$C$3005/(Ventes_Encaissements!$B$6:$B$3005=$A660),1)))</f>
        <v/>
      </c>
      <c r="L660" s="11">
        <f>IF($A660="","",COUNTIFS(Ventes_Detail!$B$6:$B$3005,$A660))</f>
        <v/>
      </c>
      <c r="M660" s="12" t="n"/>
      <c r="N660" s="12">
        <f>IF($A660="","",IF($G660="","",IF($M660="Oui","Litige",IF($J660&lt;=0,"Payé",IF($I660&gt;0,"Partiel",IF(Listes!$B$3&gt;$G660,"En retard","À échoir"))))))</f>
        <v/>
      </c>
      <c r="O660" s="11">
        <f>IF($A660="","",IF(OR($G660="", $J660&lt;=0),0,MAX(0,Listes!$B$3-$G660)))</f>
        <v/>
      </c>
      <c r="P660" s="12">
        <f>IF($A660="","",IF($J660&lt;=0,"Payé",IF($M660="Oui","Litige",IF($O660=0,"À échoir",IF($O660&lt;=30,"0-30",IF($O660&lt;=60,"31-60",IF($O660&lt;=90,"61-90","90+")))))))</f>
        <v/>
      </c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9">
        <f>IF($A661="","",SUMIFS(Ventes_Encaissements!$D$6:$D$3005,Ventes_Encaissements!$B$6:$B$3005,$A661))</f>
        <v/>
      </c>
      <c r="J661" s="9">
        <f>IF($A661="","",$H661-$I661)</f>
        <v/>
      </c>
      <c r="K661" s="10">
        <f>IF($A661="","",IF($I661=0,"",_xludf.AGGREGATE(14,6,Ventes_Encaissements!$C$6:$C$3005/(Ventes_Encaissements!$B$6:$B$3005=$A661),1)))</f>
        <v/>
      </c>
      <c r="L661" s="11">
        <f>IF($A661="","",COUNTIFS(Ventes_Detail!$B$6:$B$3005,$A661))</f>
        <v/>
      </c>
      <c r="M661" s="12" t="n"/>
      <c r="N661" s="12">
        <f>IF($A661="","",IF($G661="","",IF($M661="Oui","Litige",IF($J661&lt;=0,"Payé",IF($I661&gt;0,"Partiel",IF(Listes!$B$3&gt;$G661,"En retard","À échoir"))))))</f>
        <v/>
      </c>
      <c r="O661" s="11">
        <f>IF($A661="","",IF(OR($G661="", $J661&lt;=0),0,MAX(0,Listes!$B$3-$G661)))</f>
        <v/>
      </c>
      <c r="P661" s="12">
        <f>IF($A661="","",IF($J661&lt;=0,"Payé",IF($M661="Oui","Litige",IF($O661=0,"À échoir",IF($O661&lt;=30,"0-30",IF($O661&lt;=60,"31-60",IF($O661&lt;=90,"61-90","90+")))))))</f>
        <v/>
      </c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9">
        <f>IF($A662="","",SUMIFS(Ventes_Encaissements!$D$6:$D$3005,Ventes_Encaissements!$B$6:$B$3005,$A662))</f>
        <v/>
      </c>
      <c r="J662" s="9">
        <f>IF($A662="","",$H662-$I662)</f>
        <v/>
      </c>
      <c r="K662" s="10">
        <f>IF($A662="","",IF($I662=0,"",_xludf.AGGREGATE(14,6,Ventes_Encaissements!$C$6:$C$3005/(Ventes_Encaissements!$B$6:$B$3005=$A662),1)))</f>
        <v/>
      </c>
      <c r="L662" s="11">
        <f>IF($A662="","",COUNTIFS(Ventes_Detail!$B$6:$B$3005,$A662))</f>
        <v/>
      </c>
      <c r="M662" s="12" t="n"/>
      <c r="N662" s="12">
        <f>IF($A662="","",IF($G662="","",IF($M662="Oui","Litige",IF($J662&lt;=0,"Payé",IF($I662&gt;0,"Partiel",IF(Listes!$B$3&gt;$G662,"En retard","À échoir"))))))</f>
        <v/>
      </c>
      <c r="O662" s="11">
        <f>IF($A662="","",IF(OR($G662="", $J662&lt;=0),0,MAX(0,Listes!$B$3-$G662)))</f>
        <v/>
      </c>
      <c r="P662" s="12">
        <f>IF($A662="","",IF($J662&lt;=0,"Payé",IF($M662="Oui","Litige",IF($O662=0,"À échoir",IF($O662&lt;=30,"0-30",IF($O662&lt;=60,"31-60",IF($O662&lt;=90,"61-90","90+")))))))</f>
        <v/>
      </c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9">
        <f>IF($A663="","",SUMIFS(Ventes_Encaissements!$D$6:$D$3005,Ventes_Encaissements!$B$6:$B$3005,$A663))</f>
        <v/>
      </c>
      <c r="J663" s="9">
        <f>IF($A663="","",$H663-$I663)</f>
        <v/>
      </c>
      <c r="K663" s="10">
        <f>IF($A663="","",IF($I663=0,"",_xludf.AGGREGATE(14,6,Ventes_Encaissements!$C$6:$C$3005/(Ventes_Encaissements!$B$6:$B$3005=$A663),1)))</f>
        <v/>
      </c>
      <c r="L663" s="11">
        <f>IF($A663="","",COUNTIFS(Ventes_Detail!$B$6:$B$3005,$A663))</f>
        <v/>
      </c>
      <c r="M663" s="12" t="n"/>
      <c r="N663" s="12">
        <f>IF($A663="","",IF($G663="","",IF($M663="Oui","Litige",IF($J663&lt;=0,"Payé",IF($I663&gt;0,"Partiel",IF(Listes!$B$3&gt;$G663,"En retard","À échoir"))))))</f>
        <v/>
      </c>
      <c r="O663" s="11">
        <f>IF($A663="","",IF(OR($G663="", $J663&lt;=0),0,MAX(0,Listes!$B$3-$G663)))</f>
        <v/>
      </c>
      <c r="P663" s="12">
        <f>IF($A663="","",IF($J663&lt;=0,"Payé",IF($M663="Oui","Litige",IF($O663=0,"À échoir",IF($O663&lt;=30,"0-30",IF($O663&lt;=60,"31-60",IF($O663&lt;=90,"61-90","90+")))))))</f>
        <v/>
      </c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9">
        <f>IF($A664="","",SUMIFS(Ventes_Encaissements!$D$6:$D$3005,Ventes_Encaissements!$B$6:$B$3005,$A664))</f>
        <v/>
      </c>
      <c r="J664" s="9">
        <f>IF($A664="","",$H664-$I664)</f>
        <v/>
      </c>
      <c r="K664" s="10">
        <f>IF($A664="","",IF($I664=0,"",_xludf.AGGREGATE(14,6,Ventes_Encaissements!$C$6:$C$3005/(Ventes_Encaissements!$B$6:$B$3005=$A664),1)))</f>
        <v/>
      </c>
      <c r="L664" s="11">
        <f>IF($A664="","",COUNTIFS(Ventes_Detail!$B$6:$B$3005,$A664))</f>
        <v/>
      </c>
      <c r="M664" s="12" t="n"/>
      <c r="N664" s="12">
        <f>IF($A664="","",IF($G664="","",IF($M664="Oui","Litige",IF($J664&lt;=0,"Payé",IF($I664&gt;0,"Partiel",IF(Listes!$B$3&gt;$G664,"En retard","À échoir"))))))</f>
        <v/>
      </c>
      <c r="O664" s="11">
        <f>IF($A664="","",IF(OR($G664="", $J664&lt;=0),0,MAX(0,Listes!$B$3-$G664)))</f>
        <v/>
      </c>
      <c r="P664" s="12">
        <f>IF($A664="","",IF($J664&lt;=0,"Payé",IF($M664="Oui","Litige",IF($O664=0,"À échoir",IF($O664&lt;=30,"0-30",IF($O664&lt;=60,"31-60",IF($O664&lt;=90,"61-90","90+")))))))</f>
        <v/>
      </c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9">
        <f>IF($A665="","",SUMIFS(Ventes_Encaissements!$D$6:$D$3005,Ventes_Encaissements!$B$6:$B$3005,$A665))</f>
        <v/>
      </c>
      <c r="J665" s="9">
        <f>IF($A665="","",$H665-$I665)</f>
        <v/>
      </c>
      <c r="K665" s="10">
        <f>IF($A665="","",IF($I665=0,"",_xludf.AGGREGATE(14,6,Ventes_Encaissements!$C$6:$C$3005/(Ventes_Encaissements!$B$6:$B$3005=$A665),1)))</f>
        <v/>
      </c>
      <c r="L665" s="11">
        <f>IF($A665="","",COUNTIFS(Ventes_Detail!$B$6:$B$3005,$A665))</f>
        <v/>
      </c>
      <c r="M665" s="12" t="n"/>
      <c r="N665" s="12">
        <f>IF($A665="","",IF($G665="","",IF($M665="Oui","Litige",IF($J665&lt;=0,"Payé",IF($I665&gt;0,"Partiel",IF(Listes!$B$3&gt;$G665,"En retard","À échoir"))))))</f>
        <v/>
      </c>
      <c r="O665" s="11">
        <f>IF($A665="","",IF(OR($G665="", $J665&lt;=0),0,MAX(0,Listes!$B$3-$G665)))</f>
        <v/>
      </c>
      <c r="P665" s="12">
        <f>IF($A665="","",IF($J665&lt;=0,"Payé",IF($M665="Oui","Litige",IF($O665=0,"À échoir",IF($O665&lt;=30,"0-30",IF($O665&lt;=60,"31-60",IF($O665&lt;=90,"61-90","90+")))))))</f>
        <v/>
      </c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9">
        <f>IF($A666="","",SUMIFS(Ventes_Encaissements!$D$6:$D$3005,Ventes_Encaissements!$B$6:$B$3005,$A666))</f>
        <v/>
      </c>
      <c r="J666" s="9">
        <f>IF($A666="","",$H666-$I666)</f>
        <v/>
      </c>
      <c r="K666" s="10">
        <f>IF($A666="","",IF($I666=0,"",_xludf.AGGREGATE(14,6,Ventes_Encaissements!$C$6:$C$3005/(Ventes_Encaissements!$B$6:$B$3005=$A666),1)))</f>
        <v/>
      </c>
      <c r="L666" s="11">
        <f>IF($A666="","",COUNTIFS(Ventes_Detail!$B$6:$B$3005,$A666))</f>
        <v/>
      </c>
      <c r="M666" s="12" t="n"/>
      <c r="N666" s="12">
        <f>IF($A666="","",IF($G666="","",IF($M666="Oui","Litige",IF($J666&lt;=0,"Payé",IF($I666&gt;0,"Partiel",IF(Listes!$B$3&gt;$G666,"En retard","À échoir"))))))</f>
        <v/>
      </c>
      <c r="O666" s="11">
        <f>IF($A666="","",IF(OR($G666="", $J666&lt;=0),0,MAX(0,Listes!$B$3-$G666)))</f>
        <v/>
      </c>
      <c r="P666" s="12">
        <f>IF($A666="","",IF($J666&lt;=0,"Payé",IF($M666="Oui","Litige",IF($O666=0,"À échoir",IF($O666&lt;=30,"0-30",IF($O666&lt;=60,"31-60",IF($O666&lt;=90,"61-90","90+")))))))</f>
        <v/>
      </c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9">
        <f>IF($A667="","",SUMIFS(Ventes_Encaissements!$D$6:$D$3005,Ventes_Encaissements!$B$6:$B$3005,$A667))</f>
        <v/>
      </c>
      <c r="J667" s="9">
        <f>IF($A667="","",$H667-$I667)</f>
        <v/>
      </c>
      <c r="K667" s="10">
        <f>IF($A667="","",IF($I667=0,"",_xludf.AGGREGATE(14,6,Ventes_Encaissements!$C$6:$C$3005/(Ventes_Encaissements!$B$6:$B$3005=$A667),1)))</f>
        <v/>
      </c>
      <c r="L667" s="11">
        <f>IF($A667="","",COUNTIFS(Ventes_Detail!$B$6:$B$3005,$A667))</f>
        <v/>
      </c>
      <c r="M667" s="12" t="n"/>
      <c r="N667" s="12">
        <f>IF($A667="","",IF($G667="","",IF($M667="Oui","Litige",IF($J667&lt;=0,"Payé",IF($I667&gt;0,"Partiel",IF(Listes!$B$3&gt;$G667,"En retard","À échoir"))))))</f>
        <v/>
      </c>
      <c r="O667" s="11">
        <f>IF($A667="","",IF(OR($G667="", $J667&lt;=0),0,MAX(0,Listes!$B$3-$G667)))</f>
        <v/>
      </c>
      <c r="P667" s="12">
        <f>IF($A667="","",IF($J667&lt;=0,"Payé",IF($M667="Oui","Litige",IF($O667=0,"À échoir",IF($O667&lt;=30,"0-30",IF($O667&lt;=60,"31-60",IF($O667&lt;=90,"61-90","90+")))))))</f>
        <v/>
      </c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9">
        <f>IF($A668="","",SUMIFS(Ventes_Encaissements!$D$6:$D$3005,Ventes_Encaissements!$B$6:$B$3005,$A668))</f>
        <v/>
      </c>
      <c r="J668" s="9">
        <f>IF($A668="","",$H668-$I668)</f>
        <v/>
      </c>
      <c r="K668" s="10">
        <f>IF($A668="","",IF($I668=0,"",_xludf.AGGREGATE(14,6,Ventes_Encaissements!$C$6:$C$3005/(Ventes_Encaissements!$B$6:$B$3005=$A668),1)))</f>
        <v/>
      </c>
      <c r="L668" s="11">
        <f>IF($A668="","",COUNTIFS(Ventes_Detail!$B$6:$B$3005,$A668))</f>
        <v/>
      </c>
      <c r="M668" s="12" t="n"/>
      <c r="N668" s="12">
        <f>IF($A668="","",IF($G668="","",IF($M668="Oui","Litige",IF($J668&lt;=0,"Payé",IF($I668&gt;0,"Partiel",IF(Listes!$B$3&gt;$G668,"En retard","À échoir"))))))</f>
        <v/>
      </c>
      <c r="O668" s="11">
        <f>IF($A668="","",IF(OR($G668="", $J668&lt;=0),0,MAX(0,Listes!$B$3-$G668)))</f>
        <v/>
      </c>
      <c r="P668" s="12">
        <f>IF($A668="","",IF($J668&lt;=0,"Payé",IF($M668="Oui","Litige",IF($O668=0,"À échoir",IF($O668&lt;=30,"0-30",IF($O668&lt;=60,"31-60",IF($O668&lt;=90,"61-90","90+")))))))</f>
        <v/>
      </c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9">
        <f>IF($A669="","",SUMIFS(Ventes_Encaissements!$D$6:$D$3005,Ventes_Encaissements!$B$6:$B$3005,$A669))</f>
        <v/>
      </c>
      <c r="J669" s="9">
        <f>IF($A669="","",$H669-$I669)</f>
        <v/>
      </c>
      <c r="K669" s="10">
        <f>IF($A669="","",IF($I669=0,"",_xludf.AGGREGATE(14,6,Ventes_Encaissements!$C$6:$C$3005/(Ventes_Encaissements!$B$6:$B$3005=$A669),1)))</f>
        <v/>
      </c>
      <c r="L669" s="11">
        <f>IF($A669="","",COUNTIFS(Ventes_Detail!$B$6:$B$3005,$A669))</f>
        <v/>
      </c>
      <c r="M669" s="12" t="n"/>
      <c r="N669" s="12">
        <f>IF($A669="","",IF($G669="","",IF($M669="Oui","Litige",IF($J669&lt;=0,"Payé",IF($I669&gt;0,"Partiel",IF(Listes!$B$3&gt;$G669,"En retard","À échoir"))))))</f>
        <v/>
      </c>
      <c r="O669" s="11">
        <f>IF($A669="","",IF(OR($G669="", $J669&lt;=0),0,MAX(0,Listes!$B$3-$G669)))</f>
        <v/>
      </c>
      <c r="P669" s="12">
        <f>IF($A669="","",IF($J669&lt;=0,"Payé",IF($M669="Oui","Litige",IF($O669=0,"À échoir",IF($O669&lt;=30,"0-30",IF($O669&lt;=60,"31-60",IF($O669&lt;=90,"61-90","90+")))))))</f>
        <v/>
      </c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9">
        <f>IF($A670="","",SUMIFS(Ventes_Encaissements!$D$6:$D$3005,Ventes_Encaissements!$B$6:$B$3005,$A670))</f>
        <v/>
      </c>
      <c r="J670" s="9">
        <f>IF($A670="","",$H670-$I670)</f>
        <v/>
      </c>
      <c r="K670" s="10">
        <f>IF($A670="","",IF($I670=0,"",_xludf.AGGREGATE(14,6,Ventes_Encaissements!$C$6:$C$3005/(Ventes_Encaissements!$B$6:$B$3005=$A670),1)))</f>
        <v/>
      </c>
      <c r="L670" s="11">
        <f>IF($A670="","",COUNTIFS(Ventes_Detail!$B$6:$B$3005,$A670))</f>
        <v/>
      </c>
      <c r="M670" s="12" t="n"/>
      <c r="N670" s="12">
        <f>IF($A670="","",IF($G670="","",IF($M670="Oui","Litige",IF($J670&lt;=0,"Payé",IF($I670&gt;0,"Partiel",IF(Listes!$B$3&gt;$G670,"En retard","À échoir"))))))</f>
        <v/>
      </c>
      <c r="O670" s="11">
        <f>IF($A670="","",IF(OR($G670="", $J670&lt;=0),0,MAX(0,Listes!$B$3-$G670)))</f>
        <v/>
      </c>
      <c r="P670" s="12">
        <f>IF($A670="","",IF($J670&lt;=0,"Payé",IF($M670="Oui","Litige",IF($O670=0,"À échoir",IF($O670&lt;=30,"0-30",IF($O670&lt;=60,"31-60",IF($O670&lt;=90,"61-90","90+")))))))</f>
        <v/>
      </c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9">
        <f>IF($A671="","",SUMIFS(Ventes_Encaissements!$D$6:$D$3005,Ventes_Encaissements!$B$6:$B$3005,$A671))</f>
        <v/>
      </c>
      <c r="J671" s="9">
        <f>IF($A671="","",$H671-$I671)</f>
        <v/>
      </c>
      <c r="K671" s="10">
        <f>IF($A671="","",IF($I671=0,"",_xludf.AGGREGATE(14,6,Ventes_Encaissements!$C$6:$C$3005/(Ventes_Encaissements!$B$6:$B$3005=$A671),1)))</f>
        <v/>
      </c>
      <c r="L671" s="11">
        <f>IF($A671="","",COUNTIFS(Ventes_Detail!$B$6:$B$3005,$A671))</f>
        <v/>
      </c>
      <c r="M671" s="12" t="n"/>
      <c r="N671" s="12">
        <f>IF($A671="","",IF($G671="","",IF($M671="Oui","Litige",IF($J671&lt;=0,"Payé",IF($I671&gt;0,"Partiel",IF(Listes!$B$3&gt;$G671,"En retard","À échoir"))))))</f>
        <v/>
      </c>
      <c r="O671" s="11">
        <f>IF($A671="","",IF(OR($G671="", $J671&lt;=0),0,MAX(0,Listes!$B$3-$G671)))</f>
        <v/>
      </c>
      <c r="P671" s="12">
        <f>IF($A671="","",IF($J671&lt;=0,"Payé",IF($M671="Oui","Litige",IF($O671=0,"À échoir",IF($O671&lt;=30,"0-30",IF($O671&lt;=60,"31-60",IF($O671&lt;=90,"61-90","90+")))))))</f>
        <v/>
      </c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9">
        <f>IF($A672="","",SUMIFS(Ventes_Encaissements!$D$6:$D$3005,Ventes_Encaissements!$B$6:$B$3005,$A672))</f>
        <v/>
      </c>
      <c r="J672" s="9">
        <f>IF($A672="","",$H672-$I672)</f>
        <v/>
      </c>
      <c r="K672" s="10">
        <f>IF($A672="","",IF($I672=0,"",_xludf.AGGREGATE(14,6,Ventes_Encaissements!$C$6:$C$3005/(Ventes_Encaissements!$B$6:$B$3005=$A672),1)))</f>
        <v/>
      </c>
      <c r="L672" s="11">
        <f>IF($A672="","",COUNTIFS(Ventes_Detail!$B$6:$B$3005,$A672))</f>
        <v/>
      </c>
      <c r="M672" s="12" t="n"/>
      <c r="N672" s="12">
        <f>IF($A672="","",IF($G672="","",IF($M672="Oui","Litige",IF($J672&lt;=0,"Payé",IF($I672&gt;0,"Partiel",IF(Listes!$B$3&gt;$G672,"En retard","À échoir"))))))</f>
        <v/>
      </c>
      <c r="O672" s="11">
        <f>IF($A672="","",IF(OR($G672="", $J672&lt;=0),0,MAX(0,Listes!$B$3-$G672)))</f>
        <v/>
      </c>
      <c r="P672" s="12">
        <f>IF($A672="","",IF($J672&lt;=0,"Payé",IF($M672="Oui","Litige",IF($O672=0,"À échoir",IF($O672&lt;=30,"0-30",IF($O672&lt;=60,"31-60",IF($O672&lt;=90,"61-90","90+")))))))</f>
        <v/>
      </c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9">
        <f>IF($A673="","",SUMIFS(Ventes_Encaissements!$D$6:$D$3005,Ventes_Encaissements!$B$6:$B$3005,$A673))</f>
        <v/>
      </c>
      <c r="J673" s="9">
        <f>IF($A673="","",$H673-$I673)</f>
        <v/>
      </c>
      <c r="K673" s="10">
        <f>IF($A673="","",IF($I673=0,"",_xludf.AGGREGATE(14,6,Ventes_Encaissements!$C$6:$C$3005/(Ventes_Encaissements!$B$6:$B$3005=$A673),1)))</f>
        <v/>
      </c>
      <c r="L673" s="11">
        <f>IF($A673="","",COUNTIFS(Ventes_Detail!$B$6:$B$3005,$A673))</f>
        <v/>
      </c>
      <c r="M673" s="12" t="n"/>
      <c r="N673" s="12">
        <f>IF($A673="","",IF($G673="","",IF($M673="Oui","Litige",IF($J673&lt;=0,"Payé",IF($I673&gt;0,"Partiel",IF(Listes!$B$3&gt;$G673,"En retard","À échoir"))))))</f>
        <v/>
      </c>
      <c r="O673" s="11">
        <f>IF($A673="","",IF(OR($G673="", $J673&lt;=0),0,MAX(0,Listes!$B$3-$G673)))</f>
        <v/>
      </c>
      <c r="P673" s="12">
        <f>IF($A673="","",IF($J673&lt;=0,"Payé",IF($M673="Oui","Litige",IF($O673=0,"À échoir",IF($O673&lt;=30,"0-30",IF($O673&lt;=60,"31-60",IF($O673&lt;=90,"61-90","90+")))))))</f>
        <v/>
      </c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9">
        <f>IF($A674="","",SUMIFS(Ventes_Encaissements!$D$6:$D$3005,Ventes_Encaissements!$B$6:$B$3005,$A674))</f>
        <v/>
      </c>
      <c r="J674" s="9">
        <f>IF($A674="","",$H674-$I674)</f>
        <v/>
      </c>
      <c r="K674" s="10">
        <f>IF($A674="","",IF($I674=0,"",_xludf.AGGREGATE(14,6,Ventes_Encaissements!$C$6:$C$3005/(Ventes_Encaissements!$B$6:$B$3005=$A674),1)))</f>
        <v/>
      </c>
      <c r="L674" s="11">
        <f>IF($A674="","",COUNTIFS(Ventes_Detail!$B$6:$B$3005,$A674))</f>
        <v/>
      </c>
      <c r="M674" s="12" t="n"/>
      <c r="N674" s="12">
        <f>IF($A674="","",IF($G674="","",IF($M674="Oui","Litige",IF($J674&lt;=0,"Payé",IF($I674&gt;0,"Partiel",IF(Listes!$B$3&gt;$G674,"En retard","À échoir"))))))</f>
        <v/>
      </c>
      <c r="O674" s="11">
        <f>IF($A674="","",IF(OR($G674="", $J674&lt;=0),0,MAX(0,Listes!$B$3-$G674)))</f>
        <v/>
      </c>
      <c r="P674" s="12">
        <f>IF($A674="","",IF($J674&lt;=0,"Payé",IF($M674="Oui","Litige",IF($O674=0,"À échoir",IF($O674&lt;=30,"0-30",IF($O674&lt;=60,"31-60",IF($O674&lt;=90,"61-90","90+")))))))</f>
        <v/>
      </c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9">
        <f>IF($A675="","",SUMIFS(Ventes_Encaissements!$D$6:$D$3005,Ventes_Encaissements!$B$6:$B$3005,$A675))</f>
        <v/>
      </c>
      <c r="J675" s="9">
        <f>IF($A675="","",$H675-$I675)</f>
        <v/>
      </c>
      <c r="K675" s="10">
        <f>IF($A675="","",IF($I675=0,"",_xludf.AGGREGATE(14,6,Ventes_Encaissements!$C$6:$C$3005/(Ventes_Encaissements!$B$6:$B$3005=$A675),1)))</f>
        <v/>
      </c>
      <c r="L675" s="11">
        <f>IF($A675="","",COUNTIFS(Ventes_Detail!$B$6:$B$3005,$A675))</f>
        <v/>
      </c>
      <c r="M675" s="12" t="n"/>
      <c r="N675" s="12">
        <f>IF($A675="","",IF($G675="","",IF($M675="Oui","Litige",IF($J675&lt;=0,"Payé",IF($I675&gt;0,"Partiel",IF(Listes!$B$3&gt;$G675,"En retard","À échoir"))))))</f>
        <v/>
      </c>
      <c r="O675" s="11">
        <f>IF($A675="","",IF(OR($G675="", $J675&lt;=0),0,MAX(0,Listes!$B$3-$G675)))</f>
        <v/>
      </c>
      <c r="P675" s="12">
        <f>IF($A675="","",IF($J675&lt;=0,"Payé",IF($M675="Oui","Litige",IF($O675=0,"À échoir",IF($O675&lt;=30,"0-30",IF($O675&lt;=60,"31-60",IF($O675&lt;=90,"61-90","90+")))))))</f>
        <v/>
      </c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9">
        <f>IF($A676="","",SUMIFS(Ventes_Encaissements!$D$6:$D$3005,Ventes_Encaissements!$B$6:$B$3005,$A676))</f>
        <v/>
      </c>
      <c r="J676" s="9">
        <f>IF($A676="","",$H676-$I676)</f>
        <v/>
      </c>
      <c r="K676" s="10">
        <f>IF($A676="","",IF($I676=0,"",_xludf.AGGREGATE(14,6,Ventes_Encaissements!$C$6:$C$3005/(Ventes_Encaissements!$B$6:$B$3005=$A676),1)))</f>
        <v/>
      </c>
      <c r="L676" s="11">
        <f>IF($A676="","",COUNTIFS(Ventes_Detail!$B$6:$B$3005,$A676))</f>
        <v/>
      </c>
      <c r="M676" s="12" t="n"/>
      <c r="N676" s="12">
        <f>IF($A676="","",IF($G676="","",IF($M676="Oui","Litige",IF($J676&lt;=0,"Payé",IF($I676&gt;0,"Partiel",IF(Listes!$B$3&gt;$G676,"En retard","À échoir"))))))</f>
        <v/>
      </c>
      <c r="O676" s="11">
        <f>IF($A676="","",IF(OR($G676="", $J676&lt;=0),0,MAX(0,Listes!$B$3-$G676)))</f>
        <v/>
      </c>
      <c r="P676" s="12">
        <f>IF($A676="","",IF($J676&lt;=0,"Payé",IF($M676="Oui","Litige",IF($O676=0,"À échoir",IF($O676&lt;=30,"0-30",IF($O676&lt;=60,"31-60",IF($O676&lt;=90,"61-90","90+")))))))</f>
        <v/>
      </c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9">
        <f>IF($A677="","",SUMIFS(Ventes_Encaissements!$D$6:$D$3005,Ventes_Encaissements!$B$6:$B$3005,$A677))</f>
        <v/>
      </c>
      <c r="J677" s="9">
        <f>IF($A677="","",$H677-$I677)</f>
        <v/>
      </c>
      <c r="K677" s="10">
        <f>IF($A677="","",IF($I677=0,"",_xludf.AGGREGATE(14,6,Ventes_Encaissements!$C$6:$C$3005/(Ventes_Encaissements!$B$6:$B$3005=$A677),1)))</f>
        <v/>
      </c>
      <c r="L677" s="11">
        <f>IF($A677="","",COUNTIFS(Ventes_Detail!$B$6:$B$3005,$A677))</f>
        <v/>
      </c>
      <c r="M677" s="12" t="n"/>
      <c r="N677" s="12">
        <f>IF($A677="","",IF($G677="","",IF($M677="Oui","Litige",IF($J677&lt;=0,"Payé",IF($I677&gt;0,"Partiel",IF(Listes!$B$3&gt;$G677,"En retard","À échoir"))))))</f>
        <v/>
      </c>
      <c r="O677" s="11">
        <f>IF($A677="","",IF(OR($G677="", $J677&lt;=0),0,MAX(0,Listes!$B$3-$G677)))</f>
        <v/>
      </c>
      <c r="P677" s="12">
        <f>IF($A677="","",IF($J677&lt;=0,"Payé",IF($M677="Oui","Litige",IF($O677=0,"À échoir",IF($O677&lt;=30,"0-30",IF($O677&lt;=60,"31-60",IF($O677&lt;=90,"61-90","90+")))))))</f>
        <v/>
      </c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9">
        <f>IF($A678="","",SUMIFS(Ventes_Encaissements!$D$6:$D$3005,Ventes_Encaissements!$B$6:$B$3005,$A678))</f>
        <v/>
      </c>
      <c r="J678" s="9">
        <f>IF($A678="","",$H678-$I678)</f>
        <v/>
      </c>
      <c r="K678" s="10">
        <f>IF($A678="","",IF($I678=0,"",_xludf.AGGREGATE(14,6,Ventes_Encaissements!$C$6:$C$3005/(Ventes_Encaissements!$B$6:$B$3005=$A678),1)))</f>
        <v/>
      </c>
      <c r="L678" s="11">
        <f>IF($A678="","",COUNTIFS(Ventes_Detail!$B$6:$B$3005,$A678))</f>
        <v/>
      </c>
      <c r="M678" s="12" t="n"/>
      <c r="N678" s="12">
        <f>IF($A678="","",IF($G678="","",IF($M678="Oui","Litige",IF($J678&lt;=0,"Payé",IF($I678&gt;0,"Partiel",IF(Listes!$B$3&gt;$G678,"En retard","À échoir"))))))</f>
        <v/>
      </c>
      <c r="O678" s="11">
        <f>IF($A678="","",IF(OR($G678="", $J678&lt;=0),0,MAX(0,Listes!$B$3-$G678)))</f>
        <v/>
      </c>
      <c r="P678" s="12">
        <f>IF($A678="","",IF($J678&lt;=0,"Payé",IF($M678="Oui","Litige",IF($O678=0,"À échoir",IF($O678&lt;=30,"0-30",IF($O678&lt;=60,"31-60",IF($O678&lt;=90,"61-90","90+")))))))</f>
        <v/>
      </c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9">
        <f>IF($A679="","",SUMIFS(Ventes_Encaissements!$D$6:$D$3005,Ventes_Encaissements!$B$6:$B$3005,$A679))</f>
        <v/>
      </c>
      <c r="J679" s="9">
        <f>IF($A679="","",$H679-$I679)</f>
        <v/>
      </c>
      <c r="K679" s="10">
        <f>IF($A679="","",IF($I679=0,"",_xludf.AGGREGATE(14,6,Ventes_Encaissements!$C$6:$C$3005/(Ventes_Encaissements!$B$6:$B$3005=$A679),1)))</f>
        <v/>
      </c>
      <c r="L679" s="11">
        <f>IF($A679="","",COUNTIFS(Ventes_Detail!$B$6:$B$3005,$A679))</f>
        <v/>
      </c>
      <c r="M679" s="12" t="n"/>
      <c r="N679" s="12">
        <f>IF($A679="","",IF($G679="","",IF($M679="Oui","Litige",IF($J679&lt;=0,"Payé",IF($I679&gt;0,"Partiel",IF(Listes!$B$3&gt;$G679,"En retard","À échoir"))))))</f>
        <v/>
      </c>
      <c r="O679" s="11">
        <f>IF($A679="","",IF(OR($G679="", $J679&lt;=0),0,MAX(0,Listes!$B$3-$G679)))</f>
        <v/>
      </c>
      <c r="P679" s="12">
        <f>IF($A679="","",IF($J679&lt;=0,"Payé",IF($M679="Oui","Litige",IF($O679=0,"À échoir",IF($O679&lt;=30,"0-30",IF($O679&lt;=60,"31-60",IF($O679&lt;=90,"61-90","90+")))))))</f>
        <v/>
      </c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9">
        <f>IF($A680="","",SUMIFS(Ventes_Encaissements!$D$6:$D$3005,Ventes_Encaissements!$B$6:$B$3005,$A680))</f>
        <v/>
      </c>
      <c r="J680" s="9">
        <f>IF($A680="","",$H680-$I680)</f>
        <v/>
      </c>
      <c r="K680" s="10">
        <f>IF($A680="","",IF($I680=0,"",_xludf.AGGREGATE(14,6,Ventes_Encaissements!$C$6:$C$3005/(Ventes_Encaissements!$B$6:$B$3005=$A680),1)))</f>
        <v/>
      </c>
      <c r="L680" s="11">
        <f>IF($A680="","",COUNTIFS(Ventes_Detail!$B$6:$B$3005,$A680))</f>
        <v/>
      </c>
      <c r="M680" s="12" t="n"/>
      <c r="N680" s="12">
        <f>IF($A680="","",IF($G680="","",IF($M680="Oui","Litige",IF($J680&lt;=0,"Payé",IF($I680&gt;0,"Partiel",IF(Listes!$B$3&gt;$G680,"En retard","À échoir"))))))</f>
        <v/>
      </c>
      <c r="O680" s="11">
        <f>IF($A680="","",IF(OR($G680="", $J680&lt;=0),0,MAX(0,Listes!$B$3-$G680)))</f>
        <v/>
      </c>
      <c r="P680" s="12">
        <f>IF($A680="","",IF($J680&lt;=0,"Payé",IF($M680="Oui","Litige",IF($O680=0,"À échoir",IF($O680&lt;=30,"0-30",IF($O680&lt;=60,"31-60",IF($O680&lt;=90,"61-90","90+")))))))</f>
        <v/>
      </c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9">
        <f>IF($A681="","",SUMIFS(Ventes_Encaissements!$D$6:$D$3005,Ventes_Encaissements!$B$6:$B$3005,$A681))</f>
        <v/>
      </c>
      <c r="J681" s="9">
        <f>IF($A681="","",$H681-$I681)</f>
        <v/>
      </c>
      <c r="K681" s="10">
        <f>IF($A681="","",IF($I681=0,"",_xludf.AGGREGATE(14,6,Ventes_Encaissements!$C$6:$C$3005/(Ventes_Encaissements!$B$6:$B$3005=$A681),1)))</f>
        <v/>
      </c>
      <c r="L681" s="11">
        <f>IF($A681="","",COUNTIFS(Ventes_Detail!$B$6:$B$3005,$A681))</f>
        <v/>
      </c>
      <c r="M681" s="12" t="n"/>
      <c r="N681" s="12">
        <f>IF($A681="","",IF($G681="","",IF($M681="Oui","Litige",IF($J681&lt;=0,"Payé",IF($I681&gt;0,"Partiel",IF(Listes!$B$3&gt;$G681,"En retard","À échoir"))))))</f>
        <v/>
      </c>
      <c r="O681" s="11">
        <f>IF($A681="","",IF(OR($G681="", $J681&lt;=0),0,MAX(0,Listes!$B$3-$G681)))</f>
        <v/>
      </c>
      <c r="P681" s="12">
        <f>IF($A681="","",IF($J681&lt;=0,"Payé",IF($M681="Oui","Litige",IF($O681=0,"À échoir",IF($O681&lt;=30,"0-30",IF($O681&lt;=60,"31-60",IF($O681&lt;=90,"61-90","90+")))))))</f>
        <v/>
      </c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9">
        <f>IF($A682="","",SUMIFS(Ventes_Encaissements!$D$6:$D$3005,Ventes_Encaissements!$B$6:$B$3005,$A682))</f>
        <v/>
      </c>
      <c r="J682" s="9">
        <f>IF($A682="","",$H682-$I682)</f>
        <v/>
      </c>
      <c r="K682" s="10">
        <f>IF($A682="","",IF($I682=0,"",_xludf.AGGREGATE(14,6,Ventes_Encaissements!$C$6:$C$3005/(Ventes_Encaissements!$B$6:$B$3005=$A682),1)))</f>
        <v/>
      </c>
      <c r="L682" s="11">
        <f>IF($A682="","",COUNTIFS(Ventes_Detail!$B$6:$B$3005,$A682))</f>
        <v/>
      </c>
      <c r="M682" s="12" t="n"/>
      <c r="N682" s="12">
        <f>IF($A682="","",IF($G682="","",IF($M682="Oui","Litige",IF($J682&lt;=0,"Payé",IF($I682&gt;0,"Partiel",IF(Listes!$B$3&gt;$G682,"En retard","À échoir"))))))</f>
        <v/>
      </c>
      <c r="O682" s="11">
        <f>IF($A682="","",IF(OR($G682="", $J682&lt;=0),0,MAX(0,Listes!$B$3-$G682)))</f>
        <v/>
      </c>
      <c r="P682" s="12">
        <f>IF($A682="","",IF($J682&lt;=0,"Payé",IF($M682="Oui","Litige",IF($O682=0,"À échoir",IF($O682&lt;=30,"0-30",IF($O682&lt;=60,"31-60",IF($O682&lt;=90,"61-90","90+")))))))</f>
        <v/>
      </c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9">
        <f>IF($A683="","",SUMIFS(Ventes_Encaissements!$D$6:$D$3005,Ventes_Encaissements!$B$6:$B$3005,$A683))</f>
        <v/>
      </c>
      <c r="J683" s="9">
        <f>IF($A683="","",$H683-$I683)</f>
        <v/>
      </c>
      <c r="K683" s="10">
        <f>IF($A683="","",IF($I683=0,"",_xludf.AGGREGATE(14,6,Ventes_Encaissements!$C$6:$C$3005/(Ventes_Encaissements!$B$6:$B$3005=$A683),1)))</f>
        <v/>
      </c>
      <c r="L683" s="11">
        <f>IF($A683="","",COUNTIFS(Ventes_Detail!$B$6:$B$3005,$A683))</f>
        <v/>
      </c>
      <c r="M683" s="12" t="n"/>
      <c r="N683" s="12">
        <f>IF($A683="","",IF($G683="","",IF($M683="Oui","Litige",IF($J683&lt;=0,"Payé",IF($I683&gt;0,"Partiel",IF(Listes!$B$3&gt;$G683,"En retard","À échoir"))))))</f>
        <v/>
      </c>
      <c r="O683" s="11">
        <f>IF($A683="","",IF(OR($G683="", $J683&lt;=0),0,MAX(0,Listes!$B$3-$G683)))</f>
        <v/>
      </c>
      <c r="P683" s="12">
        <f>IF($A683="","",IF($J683&lt;=0,"Payé",IF($M683="Oui","Litige",IF($O683=0,"À échoir",IF($O683&lt;=30,"0-30",IF($O683&lt;=60,"31-60",IF($O683&lt;=90,"61-90","90+")))))))</f>
        <v/>
      </c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9">
        <f>IF($A684="","",SUMIFS(Ventes_Encaissements!$D$6:$D$3005,Ventes_Encaissements!$B$6:$B$3005,$A684))</f>
        <v/>
      </c>
      <c r="J684" s="9">
        <f>IF($A684="","",$H684-$I684)</f>
        <v/>
      </c>
      <c r="K684" s="10">
        <f>IF($A684="","",IF($I684=0,"",_xludf.AGGREGATE(14,6,Ventes_Encaissements!$C$6:$C$3005/(Ventes_Encaissements!$B$6:$B$3005=$A684),1)))</f>
        <v/>
      </c>
      <c r="L684" s="11">
        <f>IF($A684="","",COUNTIFS(Ventes_Detail!$B$6:$B$3005,$A684))</f>
        <v/>
      </c>
      <c r="M684" s="12" t="n"/>
      <c r="N684" s="12">
        <f>IF($A684="","",IF($G684="","",IF($M684="Oui","Litige",IF($J684&lt;=0,"Payé",IF($I684&gt;0,"Partiel",IF(Listes!$B$3&gt;$G684,"En retard","À échoir"))))))</f>
        <v/>
      </c>
      <c r="O684" s="11">
        <f>IF($A684="","",IF(OR($G684="", $J684&lt;=0),0,MAX(0,Listes!$B$3-$G684)))</f>
        <v/>
      </c>
      <c r="P684" s="12">
        <f>IF($A684="","",IF($J684&lt;=0,"Payé",IF($M684="Oui","Litige",IF($O684=0,"À échoir",IF($O684&lt;=30,"0-30",IF($O684&lt;=60,"31-60",IF($O684&lt;=90,"61-90","90+")))))))</f>
        <v/>
      </c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9">
        <f>IF($A685="","",SUMIFS(Ventes_Encaissements!$D$6:$D$3005,Ventes_Encaissements!$B$6:$B$3005,$A685))</f>
        <v/>
      </c>
      <c r="J685" s="9">
        <f>IF($A685="","",$H685-$I685)</f>
        <v/>
      </c>
      <c r="K685" s="10">
        <f>IF($A685="","",IF($I685=0,"",_xludf.AGGREGATE(14,6,Ventes_Encaissements!$C$6:$C$3005/(Ventes_Encaissements!$B$6:$B$3005=$A685),1)))</f>
        <v/>
      </c>
      <c r="L685" s="11">
        <f>IF($A685="","",COUNTIFS(Ventes_Detail!$B$6:$B$3005,$A685))</f>
        <v/>
      </c>
      <c r="M685" s="12" t="n"/>
      <c r="N685" s="12">
        <f>IF($A685="","",IF($G685="","",IF($M685="Oui","Litige",IF($J685&lt;=0,"Payé",IF($I685&gt;0,"Partiel",IF(Listes!$B$3&gt;$G685,"En retard","À échoir"))))))</f>
        <v/>
      </c>
      <c r="O685" s="11">
        <f>IF($A685="","",IF(OR($G685="", $J685&lt;=0),0,MAX(0,Listes!$B$3-$G685)))</f>
        <v/>
      </c>
      <c r="P685" s="12">
        <f>IF($A685="","",IF($J685&lt;=0,"Payé",IF($M685="Oui","Litige",IF($O685=0,"À échoir",IF($O685&lt;=30,"0-30",IF($O685&lt;=60,"31-60",IF($O685&lt;=90,"61-90","90+")))))))</f>
        <v/>
      </c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9">
        <f>IF($A686="","",SUMIFS(Ventes_Encaissements!$D$6:$D$3005,Ventes_Encaissements!$B$6:$B$3005,$A686))</f>
        <v/>
      </c>
      <c r="J686" s="9">
        <f>IF($A686="","",$H686-$I686)</f>
        <v/>
      </c>
      <c r="K686" s="10">
        <f>IF($A686="","",IF($I686=0,"",_xludf.AGGREGATE(14,6,Ventes_Encaissements!$C$6:$C$3005/(Ventes_Encaissements!$B$6:$B$3005=$A686),1)))</f>
        <v/>
      </c>
      <c r="L686" s="11">
        <f>IF($A686="","",COUNTIFS(Ventes_Detail!$B$6:$B$3005,$A686))</f>
        <v/>
      </c>
      <c r="M686" s="12" t="n"/>
      <c r="N686" s="12">
        <f>IF($A686="","",IF($G686="","",IF($M686="Oui","Litige",IF($J686&lt;=0,"Payé",IF($I686&gt;0,"Partiel",IF(Listes!$B$3&gt;$G686,"En retard","À échoir"))))))</f>
        <v/>
      </c>
      <c r="O686" s="11">
        <f>IF($A686="","",IF(OR($G686="", $J686&lt;=0),0,MAX(0,Listes!$B$3-$G686)))</f>
        <v/>
      </c>
      <c r="P686" s="12">
        <f>IF($A686="","",IF($J686&lt;=0,"Payé",IF($M686="Oui","Litige",IF($O686=0,"À échoir",IF($O686&lt;=30,"0-30",IF($O686&lt;=60,"31-60",IF($O686&lt;=90,"61-90","90+")))))))</f>
        <v/>
      </c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9">
        <f>IF($A687="","",SUMIFS(Ventes_Encaissements!$D$6:$D$3005,Ventes_Encaissements!$B$6:$B$3005,$A687))</f>
        <v/>
      </c>
      <c r="J687" s="9">
        <f>IF($A687="","",$H687-$I687)</f>
        <v/>
      </c>
      <c r="K687" s="10">
        <f>IF($A687="","",IF($I687=0,"",_xludf.AGGREGATE(14,6,Ventes_Encaissements!$C$6:$C$3005/(Ventes_Encaissements!$B$6:$B$3005=$A687),1)))</f>
        <v/>
      </c>
      <c r="L687" s="11">
        <f>IF($A687="","",COUNTIFS(Ventes_Detail!$B$6:$B$3005,$A687))</f>
        <v/>
      </c>
      <c r="M687" s="12" t="n"/>
      <c r="N687" s="12">
        <f>IF($A687="","",IF($G687="","",IF($M687="Oui","Litige",IF($J687&lt;=0,"Payé",IF($I687&gt;0,"Partiel",IF(Listes!$B$3&gt;$G687,"En retard","À échoir"))))))</f>
        <v/>
      </c>
      <c r="O687" s="11">
        <f>IF($A687="","",IF(OR($G687="", $J687&lt;=0),0,MAX(0,Listes!$B$3-$G687)))</f>
        <v/>
      </c>
      <c r="P687" s="12">
        <f>IF($A687="","",IF($J687&lt;=0,"Payé",IF($M687="Oui","Litige",IF($O687=0,"À échoir",IF($O687&lt;=30,"0-30",IF($O687&lt;=60,"31-60",IF($O687&lt;=90,"61-90","90+")))))))</f>
        <v/>
      </c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9">
        <f>IF($A688="","",SUMIFS(Ventes_Encaissements!$D$6:$D$3005,Ventes_Encaissements!$B$6:$B$3005,$A688))</f>
        <v/>
      </c>
      <c r="J688" s="9">
        <f>IF($A688="","",$H688-$I688)</f>
        <v/>
      </c>
      <c r="K688" s="10">
        <f>IF($A688="","",IF($I688=0,"",_xludf.AGGREGATE(14,6,Ventes_Encaissements!$C$6:$C$3005/(Ventes_Encaissements!$B$6:$B$3005=$A688),1)))</f>
        <v/>
      </c>
      <c r="L688" s="11">
        <f>IF($A688="","",COUNTIFS(Ventes_Detail!$B$6:$B$3005,$A688))</f>
        <v/>
      </c>
      <c r="M688" s="12" t="n"/>
      <c r="N688" s="12">
        <f>IF($A688="","",IF($G688="","",IF($M688="Oui","Litige",IF($J688&lt;=0,"Payé",IF($I688&gt;0,"Partiel",IF(Listes!$B$3&gt;$G688,"En retard","À échoir"))))))</f>
        <v/>
      </c>
      <c r="O688" s="11">
        <f>IF($A688="","",IF(OR($G688="", $J688&lt;=0),0,MAX(0,Listes!$B$3-$G688)))</f>
        <v/>
      </c>
      <c r="P688" s="12">
        <f>IF($A688="","",IF($J688&lt;=0,"Payé",IF($M688="Oui","Litige",IF($O688=0,"À échoir",IF($O688&lt;=30,"0-30",IF($O688&lt;=60,"31-60",IF($O688&lt;=90,"61-90","90+")))))))</f>
        <v/>
      </c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9">
        <f>IF($A689="","",SUMIFS(Ventes_Encaissements!$D$6:$D$3005,Ventes_Encaissements!$B$6:$B$3005,$A689))</f>
        <v/>
      </c>
      <c r="J689" s="9">
        <f>IF($A689="","",$H689-$I689)</f>
        <v/>
      </c>
      <c r="K689" s="10">
        <f>IF($A689="","",IF($I689=0,"",_xludf.AGGREGATE(14,6,Ventes_Encaissements!$C$6:$C$3005/(Ventes_Encaissements!$B$6:$B$3005=$A689),1)))</f>
        <v/>
      </c>
      <c r="L689" s="11">
        <f>IF($A689="","",COUNTIFS(Ventes_Detail!$B$6:$B$3005,$A689))</f>
        <v/>
      </c>
      <c r="M689" s="12" t="n"/>
      <c r="N689" s="12">
        <f>IF($A689="","",IF($G689="","",IF($M689="Oui","Litige",IF($J689&lt;=0,"Payé",IF($I689&gt;0,"Partiel",IF(Listes!$B$3&gt;$G689,"En retard","À échoir"))))))</f>
        <v/>
      </c>
      <c r="O689" s="11">
        <f>IF($A689="","",IF(OR($G689="", $J689&lt;=0),0,MAX(0,Listes!$B$3-$G689)))</f>
        <v/>
      </c>
      <c r="P689" s="12">
        <f>IF($A689="","",IF($J689&lt;=0,"Payé",IF($M689="Oui","Litige",IF($O689=0,"À échoir",IF($O689&lt;=30,"0-30",IF($O689&lt;=60,"31-60",IF($O689&lt;=90,"61-90","90+")))))))</f>
        <v/>
      </c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9">
        <f>IF($A690="","",SUMIFS(Ventes_Encaissements!$D$6:$D$3005,Ventes_Encaissements!$B$6:$B$3005,$A690))</f>
        <v/>
      </c>
      <c r="J690" s="9">
        <f>IF($A690="","",$H690-$I690)</f>
        <v/>
      </c>
      <c r="K690" s="10">
        <f>IF($A690="","",IF($I690=0,"",_xludf.AGGREGATE(14,6,Ventes_Encaissements!$C$6:$C$3005/(Ventes_Encaissements!$B$6:$B$3005=$A690),1)))</f>
        <v/>
      </c>
      <c r="L690" s="11">
        <f>IF($A690="","",COUNTIFS(Ventes_Detail!$B$6:$B$3005,$A690))</f>
        <v/>
      </c>
      <c r="M690" s="12" t="n"/>
      <c r="N690" s="12">
        <f>IF($A690="","",IF($G690="","",IF($M690="Oui","Litige",IF($J690&lt;=0,"Payé",IF($I690&gt;0,"Partiel",IF(Listes!$B$3&gt;$G690,"En retard","À échoir"))))))</f>
        <v/>
      </c>
      <c r="O690" s="11">
        <f>IF($A690="","",IF(OR($G690="", $J690&lt;=0),0,MAX(0,Listes!$B$3-$G690)))</f>
        <v/>
      </c>
      <c r="P690" s="12">
        <f>IF($A690="","",IF($J690&lt;=0,"Payé",IF($M690="Oui","Litige",IF($O690=0,"À échoir",IF($O690&lt;=30,"0-30",IF($O690&lt;=60,"31-60",IF($O690&lt;=90,"61-90","90+")))))))</f>
        <v/>
      </c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9">
        <f>IF($A691="","",SUMIFS(Ventes_Encaissements!$D$6:$D$3005,Ventes_Encaissements!$B$6:$B$3005,$A691))</f>
        <v/>
      </c>
      <c r="J691" s="9">
        <f>IF($A691="","",$H691-$I691)</f>
        <v/>
      </c>
      <c r="K691" s="10">
        <f>IF($A691="","",IF($I691=0,"",_xludf.AGGREGATE(14,6,Ventes_Encaissements!$C$6:$C$3005/(Ventes_Encaissements!$B$6:$B$3005=$A691),1)))</f>
        <v/>
      </c>
      <c r="L691" s="11">
        <f>IF($A691="","",COUNTIFS(Ventes_Detail!$B$6:$B$3005,$A691))</f>
        <v/>
      </c>
      <c r="M691" s="12" t="n"/>
      <c r="N691" s="12">
        <f>IF($A691="","",IF($G691="","",IF($M691="Oui","Litige",IF($J691&lt;=0,"Payé",IF($I691&gt;0,"Partiel",IF(Listes!$B$3&gt;$G691,"En retard","À échoir"))))))</f>
        <v/>
      </c>
      <c r="O691" s="11">
        <f>IF($A691="","",IF(OR($G691="", $J691&lt;=0),0,MAX(0,Listes!$B$3-$G691)))</f>
        <v/>
      </c>
      <c r="P691" s="12">
        <f>IF($A691="","",IF($J691&lt;=0,"Payé",IF($M691="Oui","Litige",IF($O691=0,"À échoir",IF($O691&lt;=30,"0-30",IF($O691&lt;=60,"31-60",IF($O691&lt;=90,"61-90","90+")))))))</f>
        <v/>
      </c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9">
        <f>IF($A692="","",SUMIFS(Ventes_Encaissements!$D$6:$D$3005,Ventes_Encaissements!$B$6:$B$3005,$A692))</f>
        <v/>
      </c>
      <c r="J692" s="9">
        <f>IF($A692="","",$H692-$I692)</f>
        <v/>
      </c>
      <c r="K692" s="10">
        <f>IF($A692="","",IF($I692=0,"",_xludf.AGGREGATE(14,6,Ventes_Encaissements!$C$6:$C$3005/(Ventes_Encaissements!$B$6:$B$3005=$A692),1)))</f>
        <v/>
      </c>
      <c r="L692" s="11">
        <f>IF($A692="","",COUNTIFS(Ventes_Detail!$B$6:$B$3005,$A692))</f>
        <v/>
      </c>
      <c r="M692" s="12" t="n"/>
      <c r="N692" s="12">
        <f>IF($A692="","",IF($G692="","",IF($M692="Oui","Litige",IF($J692&lt;=0,"Payé",IF($I692&gt;0,"Partiel",IF(Listes!$B$3&gt;$G692,"En retard","À échoir"))))))</f>
        <v/>
      </c>
      <c r="O692" s="11">
        <f>IF($A692="","",IF(OR($G692="", $J692&lt;=0),0,MAX(0,Listes!$B$3-$G692)))</f>
        <v/>
      </c>
      <c r="P692" s="12">
        <f>IF($A692="","",IF($J692&lt;=0,"Payé",IF($M692="Oui","Litige",IF($O692=0,"À échoir",IF($O692&lt;=30,"0-30",IF($O692&lt;=60,"31-60",IF($O692&lt;=90,"61-90","90+")))))))</f>
        <v/>
      </c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9">
        <f>IF($A693="","",SUMIFS(Ventes_Encaissements!$D$6:$D$3005,Ventes_Encaissements!$B$6:$B$3005,$A693))</f>
        <v/>
      </c>
      <c r="J693" s="9">
        <f>IF($A693="","",$H693-$I693)</f>
        <v/>
      </c>
      <c r="K693" s="10">
        <f>IF($A693="","",IF($I693=0,"",_xludf.AGGREGATE(14,6,Ventes_Encaissements!$C$6:$C$3005/(Ventes_Encaissements!$B$6:$B$3005=$A693),1)))</f>
        <v/>
      </c>
      <c r="L693" s="11">
        <f>IF($A693="","",COUNTIFS(Ventes_Detail!$B$6:$B$3005,$A693))</f>
        <v/>
      </c>
      <c r="M693" s="12" t="n"/>
      <c r="N693" s="12">
        <f>IF($A693="","",IF($G693="","",IF($M693="Oui","Litige",IF($J693&lt;=0,"Payé",IF($I693&gt;0,"Partiel",IF(Listes!$B$3&gt;$G693,"En retard","À échoir"))))))</f>
        <v/>
      </c>
      <c r="O693" s="11">
        <f>IF($A693="","",IF(OR($G693="", $J693&lt;=0),0,MAX(0,Listes!$B$3-$G693)))</f>
        <v/>
      </c>
      <c r="P693" s="12">
        <f>IF($A693="","",IF($J693&lt;=0,"Payé",IF($M693="Oui","Litige",IF($O693=0,"À échoir",IF($O693&lt;=30,"0-30",IF($O693&lt;=60,"31-60",IF($O693&lt;=90,"61-90","90+")))))))</f>
        <v/>
      </c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9">
        <f>IF($A694="","",SUMIFS(Ventes_Encaissements!$D$6:$D$3005,Ventes_Encaissements!$B$6:$B$3005,$A694))</f>
        <v/>
      </c>
      <c r="J694" s="9">
        <f>IF($A694="","",$H694-$I694)</f>
        <v/>
      </c>
      <c r="K694" s="10">
        <f>IF($A694="","",IF($I694=0,"",_xludf.AGGREGATE(14,6,Ventes_Encaissements!$C$6:$C$3005/(Ventes_Encaissements!$B$6:$B$3005=$A694),1)))</f>
        <v/>
      </c>
      <c r="L694" s="11">
        <f>IF($A694="","",COUNTIFS(Ventes_Detail!$B$6:$B$3005,$A694))</f>
        <v/>
      </c>
      <c r="M694" s="12" t="n"/>
      <c r="N694" s="12">
        <f>IF($A694="","",IF($G694="","",IF($M694="Oui","Litige",IF($J694&lt;=0,"Payé",IF($I694&gt;0,"Partiel",IF(Listes!$B$3&gt;$G694,"En retard","À échoir"))))))</f>
        <v/>
      </c>
      <c r="O694" s="11">
        <f>IF($A694="","",IF(OR($G694="", $J694&lt;=0),0,MAX(0,Listes!$B$3-$G694)))</f>
        <v/>
      </c>
      <c r="P694" s="12">
        <f>IF($A694="","",IF($J694&lt;=0,"Payé",IF($M694="Oui","Litige",IF($O694=0,"À échoir",IF($O694&lt;=30,"0-30",IF($O694&lt;=60,"31-60",IF($O694&lt;=90,"61-90","90+")))))))</f>
        <v/>
      </c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9">
        <f>IF($A695="","",SUMIFS(Ventes_Encaissements!$D$6:$D$3005,Ventes_Encaissements!$B$6:$B$3005,$A695))</f>
        <v/>
      </c>
      <c r="J695" s="9">
        <f>IF($A695="","",$H695-$I695)</f>
        <v/>
      </c>
      <c r="K695" s="10">
        <f>IF($A695="","",IF($I695=0,"",_xludf.AGGREGATE(14,6,Ventes_Encaissements!$C$6:$C$3005/(Ventes_Encaissements!$B$6:$B$3005=$A695),1)))</f>
        <v/>
      </c>
      <c r="L695" s="11">
        <f>IF($A695="","",COUNTIFS(Ventes_Detail!$B$6:$B$3005,$A695))</f>
        <v/>
      </c>
      <c r="M695" s="12" t="n"/>
      <c r="N695" s="12">
        <f>IF($A695="","",IF($G695="","",IF($M695="Oui","Litige",IF($J695&lt;=0,"Payé",IF($I695&gt;0,"Partiel",IF(Listes!$B$3&gt;$G695,"En retard","À échoir"))))))</f>
        <v/>
      </c>
      <c r="O695" s="11">
        <f>IF($A695="","",IF(OR($G695="", $J695&lt;=0),0,MAX(0,Listes!$B$3-$G695)))</f>
        <v/>
      </c>
      <c r="P695" s="12">
        <f>IF($A695="","",IF($J695&lt;=0,"Payé",IF($M695="Oui","Litige",IF($O695=0,"À échoir",IF($O695&lt;=30,"0-30",IF($O695&lt;=60,"31-60",IF($O695&lt;=90,"61-90","90+")))))))</f>
        <v/>
      </c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9">
        <f>IF($A696="","",SUMIFS(Ventes_Encaissements!$D$6:$D$3005,Ventes_Encaissements!$B$6:$B$3005,$A696))</f>
        <v/>
      </c>
      <c r="J696" s="9">
        <f>IF($A696="","",$H696-$I696)</f>
        <v/>
      </c>
      <c r="K696" s="10">
        <f>IF($A696="","",IF($I696=0,"",_xludf.AGGREGATE(14,6,Ventes_Encaissements!$C$6:$C$3005/(Ventes_Encaissements!$B$6:$B$3005=$A696),1)))</f>
        <v/>
      </c>
      <c r="L696" s="11">
        <f>IF($A696="","",COUNTIFS(Ventes_Detail!$B$6:$B$3005,$A696))</f>
        <v/>
      </c>
      <c r="M696" s="12" t="n"/>
      <c r="N696" s="12">
        <f>IF($A696="","",IF($G696="","",IF($M696="Oui","Litige",IF($J696&lt;=0,"Payé",IF($I696&gt;0,"Partiel",IF(Listes!$B$3&gt;$G696,"En retard","À échoir"))))))</f>
        <v/>
      </c>
      <c r="O696" s="11">
        <f>IF($A696="","",IF(OR($G696="", $J696&lt;=0),0,MAX(0,Listes!$B$3-$G696)))</f>
        <v/>
      </c>
      <c r="P696" s="12">
        <f>IF($A696="","",IF($J696&lt;=0,"Payé",IF($M696="Oui","Litige",IF($O696=0,"À échoir",IF($O696&lt;=30,"0-30",IF($O696&lt;=60,"31-60",IF($O696&lt;=90,"61-90","90+")))))))</f>
        <v/>
      </c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9">
        <f>IF($A697="","",SUMIFS(Ventes_Encaissements!$D$6:$D$3005,Ventes_Encaissements!$B$6:$B$3005,$A697))</f>
        <v/>
      </c>
      <c r="J697" s="9">
        <f>IF($A697="","",$H697-$I697)</f>
        <v/>
      </c>
      <c r="K697" s="10">
        <f>IF($A697="","",IF($I697=0,"",_xludf.AGGREGATE(14,6,Ventes_Encaissements!$C$6:$C$3005/(Ventes_Encaissements!$B$6:$B$3005=$A697),1)))</f>
        <v/>
      </c>
      <c r="L697" s="11">
        <f>IF($A697="","",COUNTIFS(Ventes_Detail!$B$6:$B$3005,$A697))</f>
        <v/>
      </c>
      <c r="M697" s="12" t="n"/>
      <c r="N697" s="12">
        <f>IF($A697="","",IF($G697="","",IF($M697="Oui","Litige",IF($J697&lt;=0,"Payé",IF($I697&gt;0,"Partiel",IF(Listes!$B$3&gt;$G697,"En retard","À échoir"))))))</f>
        <v/>
      </c>
      <c r="O697" s="11">
        <f>IF($A697="","",IF(OR($G697="", $J697&lt;=0),0,MAX(0,Listes!$B$3-$G697)))</f>
        <v/>
      </c>
      <c r="P697" s="12">
        <f>IF($A697="","",IF($J697&lt;=0,"Payé",IF($M697="Oui","Litige",IF($O697=0,"À échoir",IF($O697&lt;=30,"0-30",IF($O697&lt;=60,"31-60",IF($O697&lt;=90,"61-90","90+")))))))</f>
        <v/>
      </c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9">
        <f>IF($A698="","",SUMIFS(Ventes_Encaissements!$D$6:$D$3005,Ventes_Encaissements!$B$6:$B$3005,$A698))</f>
        <v/>
      </c>
      <c r="J698" s="9">
        <f>IF($A698="","",$H698-$I698)</f>
        <v/>
      </c>
      <c r="K698" s="10">
        <f>IF($A698="","",IF($I698=0,"",_xludf.AGGREGATE(14,6,Ventes_Encaissements!$C$6:$C$3005/(Ventes_Encaissements!$B$6:$B$3005=$A698),1)))</f>
        <v/>
      </c>
      <c r="L698" s="11">
        <f>IF($A698="","",COUNTIFS(Ventes_Detail!$B$6:$B$3005,$A698))</f>
        <v/>
      </c>
      <c r="M698" s="12" t="n"/>
      <c r="N698" s="12">
        <f>IF($A698="","",IF($G698="","",IF($M698="Oui","Litige",IF($J698&lt;=0,"Payé",IF($I698&gt;0,"Partiel",IF(Listes!$B$3&gt;$G698,"En retard","À échoir"))))))</f>
        <v/>
      </c>
      <c r="O698" s="11">
        <f>IF($A698="","",IF(OR($G698="", $J698&lt;=0),0,MAX(0,Listes!$B$3-$G698)))</f>
        <v/>
      </c>
      <c r="P698" s="12">
        <f>IF($A698="","",IF($J698&lt;=0,"Payé",IF($M698="Oui","Litige",IF($O698=0,"À échoir",IF($O698&lt;=30,"0-30",IF($O698&lt;=60,"31-60",IF($O698&lt;=90,"61-90","90+")))))))</f>
        <v/>
      </c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9">
        <f>IF($A699="","",SUMIFS(Ventes_Encaissements!$D$6:$D$3005,Ventes_Encaissements!$B$6:$B$3005,$A699))</f>
        <v/>
      </c>
      <c r="J699" s="9">
        <f>IF($A699="","",$H699-$I699)</f>
        <v/>
      </c>
      <c r="K699" s="10">
        <f>IF($A699="","",IF($I699=0,"",_xludf.AGGREGATE(14,6,Ventes_Encaissements!$C$6:$C$3005/(Ventes_Encaissements!$B$6:$B$3005=$A699),1)))</f>
        <v/>
      </c>
      <c r="L699" s="11">
        <f>IF($A699="","",COUNTIFS(Ventes_Detail!$B$6:$B$3005,$A699))</f>
        <v/>
      </c>
      <c r="M699" s="12" t="n"/>
      <c r="N699" s="12">
        <f>IF($A699="","",IF($G699="","",IF($M699="Oui","Litige",IF($J699&lt;=0,"Payé",IF($I699&gt;0,"Partiel",IF(Listes!$B$3&gt;$G699,"En retard","À échoir"))))))</f>
        <v/>
      </c>
      <c r="O699" s="11">
        <f>IF($A699="","",IF(OR($G699="", $J699&lt;=0),0,MAX(0,Listes!$B$3-$G699)))</f>
        <v/>
      </c>
      <c r="P699" s="12">
        <f>IF($A699="","",IF($J699&lt;=0,"Payé",IF($M699="Oui","Litige",IF($O699=0,"À échoir",IF($O699&lt;=30,"0-30",IF($O699&lt;=60,"31-60",IF($O699&lt;=90,"61-90","90+")))))))</f>
        <v/>
      </c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9">
        <f>IF($A700="","",SUMIFS(Ventes_Encaissements!$D$6:$D$3005,Ventes_Encaissements!$B$6:$B$3005,$A700))</f>
        <v/>
      </c>
      <c r="J700" s="9">
        <f>IF($A700="","",$H700-$I700)</f>
        <v/>
      </c>
      <c r="K700" s="10">
        <f>IF($A700="","",IF($I700=0,"",_xludf.AGGREGATE(14,6,Ventes_Encaissements!$C$6:$C$3005/(Ventes_Encaissements!$B$6:$B$3005=$A700),1)))</f>
        <v/>
      </c>
      <c r="L700" s="11">
        <f>IF($A700="","",COUNTIFS(Ventes_Detail!$B$6:$B$3005,$A700))</f>
        <v/>
      </c>
      <c r="M700" s="12" t="n"/>
      <c r="N700" s="12">
        <f>IF($A700="","",IF($G700="","",IF($M700="Oui","Litige",IF($J700&lt;=0,"Payé",IF($I700&gt;0,"Partiel",IF(Listes!$B$3&gt;$G700,"En retard","À échoir"))))))</f>
        <v/>
      </c>
      <c r="O700" s="11">
        <f>IF($A700="","",IF(OR($G700="", $J700&lt;=0),0,MAX(0,Listes!$B$3-$G700)))</f>
        <v/>
      </c>
      <c r="P700" s="12">
        <f>IF($A700="","",IF($J700&lt;=0,"Payé",IF($M700="Oui","Litige",IF($O700=0,"À échoir",IF($O700&lt;=30,"0-30",IF($O700&lt;=60,"31-60",IF($O700&lt;=90,"61-90","90+")))))))</f>
        <v/>
      </c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9">
        <f>IF($A701="","",SUMIFS(Ventes_Encaissements!$D$6:$D$3005,Ventes_Encaissements!$B$6:$B$3005,$A701))</f>
        <v/>
      </c>
      <c r="J701" s="9">
        <f>IF($A701="","",$H701-$I701)</f>
        <v/>
      </c>
      <c r="K701" s="10">
        <f>IF($A701="","",IF($I701=0,"",_xludf.AGGREGATE(14,6,Ventes_Encaissements!$C$6:$C$3005/(Ventes_Encaissements!$B$6:$B$3005=$A701),1)))</f>
        <v/>
      </c>
      <c r="L701" s="11">
        <f>IF($A701="","",COUNTIFS(Ventes_Detail!$B$6:$B$3005,$A701))</f>
        <v/>
      </c>
      <c r="M701" s="12" t="n"/>
      <c r="N701" s="12">
        <f>IF($A701="","",IF($G701="","",IF($M701="Oui","Litige",IF($J701&lt;=0,"Payé",IF($I701&gt;0,"Partiel",IF(Listes!$B$3&gt;$G701,"En retard","À échoir"))))))</f>
        <v/>
      </c>
      <c r="O701" s="11">
        <f>IF($A701="","",IF(OR($G701="", $J701&lt;=0),0,MAX(0,Listes!$B$3-$G701)))</f>
        <v/>
      </c>
      <c r="P701" s="12">
        <f>IF($A701="","",IF($J701&lt;=0,"Payé",IF($M701="Oui","Litige",IF($O701=0,"À échoir",IF($O701&lt;=30,"0-30",IF($O701&lt;=60,"31-60",IF($O701&lt;=90,"61-90","90+")))))))</f>
        <v/>
      </c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9">
        <f>IF($A702="","",SUMIFS(Ventes_Encaissements!$D$6:$D$3005,Ventes_Encaissements!$B$6:$B$3005,$A702))</f>
        <v/>
      </c>
      <c r="J702" s="9">
        <f>IF($A702="","",$H702-$I702)</f>
        <v/>
      </c>
      <c r="K702" s="10">
        <f>IF($A702="","",IF($I702=0,"",_xludf.AGGREGATE(14,6,Ventes_Encaissements!$C$6:$C$3005/(Ventes_Encaissements!$B$6:$B$3005=$A702),1)))</f>
        <v/>
      </c>
      <c r="L702" s="11">
        <f>IF($A702="","",COUNTIFS(Ventes_Detail!$B$6:$B$3005,$A702))</f>
        <v/>
      </c>
      <c r="M702" s="12" t="n"/>
      <c r="N702" s="12">
        <f>IF($A702="","",IF($G702="","",IF($M702="Oui","Litige",IF($J702&lt;=0,"Payé",IF($I702&gt;0,"Partiel",IF(Listes!$B$3&gt;$G702,"En retard","À échoir"))))))</f>
        <v/>
      </c>
      <c r="O702" s="11">
        <f>IF($A702="","",IF(OR($G702="", $J702&lt;=0),0,MAX(0,Listes!$B$3-$G702)))</f>
        <v/>
      </c>
      <c r="P702" s="12">
        <f>IF($A702="","",IF($J702&lt;=0,"Payé",IF($M702="Oui","Litige",IF($O702=0,"À échoir",IF($O702&lt;=30,"0-30",IF($O702&lt;=60,"31-60",IF($O702&lt;=90,"61-90","90+")))))))</f>
        <v/>
      </c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9">
        <f>IF($A703="","",SUMIFS(Ventes_Encaissements!$D$6:$D$3005,Ventes_Encaissements!$B$6:$B$3005,$A703))</f>
        <v/>
      </c>
      <c r="J703" s="9">
        <f>IF($A703="","",$H703-$I703)</f>
        <v/>
      </c>
      <c r="K703" s="10">
        <f>IF($A703="","",IF($I703=0,"",_xludf.AGGREGATE(14,6,Ventes_Encaissements!$C$6:$C$3005/(Ventes_Encaissements!$B$6:$B$3005=$A703),1)))</f>
        <v/>
      </c>
      <c r="L703" s="11">
        <f>IF($A703="","",COUNTIFS(Ventes_Detail!$B$6:$B$3005,$A703))</f>
        <v/>
      </c>
      <c r="M703" s="12" t="n"/>
      <c r="N703" s="12">
        <f>IF($A703="","",IF($G703="","",IF($M703="Oui","Litige",IF($J703&lt;=0,"Payé",IF($I703&gt;0,"Partiel",IF(Listes!$B$3&gt;$G703,"En retard","À échoir"))))))</f>
        <v/>
      </c>
      <c r="O703" s="11">
        <f>IF($A703="","",IF(OR($G703="", $J703&lt;=0),0,MAX(0,Listes!$B$3-$G703)))</f>
        <v/>
      </c>
      <c r="P703" s="12">
        <f>IF($A703="","",IF($J703&lt;=0,"Payé",IF($M703="Oui","Litige",IF($O703=0,"À échoir",IF($O703&lt;=30,"0-30",IF($O703&lt;=60,"31-60",IF($O703&lt;=90,"61-90","90+")))))))</f>
        <v/>
      </c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9">
        <f>IF($A704="","",SUMIFS(Ventes_Encaissements!$D$6:$D$3005,Ventes_Encaissements!$B$6:$B$3005,$A704))</f>
        <v/>
      </c>
      <c r="J704" s="9">
        <f>IF($A704="","",$H704-$I704)</f>
        <v/>
      </c>
      <c r="K704" s="10">
        <f>IF($A704="","",IF($I704=0,"",_xludf.AGGREGATE(14,6,Ventes_Encaissements!$C$6:$C$3005/(Ventes_Encaissements!$B$6:$B$3005=$A704),1)))</f>
        <v/>
      </c>
      <c r="L704" s="11">
        <f>IF($A704="","",COUNTIFS(Ventes_Detail!$B$6:$B$3005,$A704))</f>
        <v/>
      </c>
      <c r="M704" s="12" t="n"/>
      <c r="N704" s="12">
        <f>IF($A704="","",IF($G704="","",IF($M704="Oui","Litige",IF($J704&lt;=0,"Payé",IF($I704&gt;0,"Partiel",IF(Listes!$B$3&gt;$G704,"En retard","À échoir"))))))</f>
        <v/>
      </c>
      <c r="O704" s="11">
        <f>IF($A704="","",IF(OR($G704="", $J704&lt;=0),0,MAX(0,Listes!$B$3-$G704)))</f>
        <v/>
      </c>
      <c r="P704" s="12">
        <f>IF($A704="","",IF($J704&lt;=0,"Payé",IF($M704="Oui","Litige",IF($O704=0,"À échoir",IF($O704&lt;=30,"0-30",IF($O704&lt;=60,"31-60",IF($O704&lt;=90,"61-90","90+")))))))</f>
        <v/>
      </c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9">
        <f>IF($A705="","",SUMIFS(Ventes_Encaissements!$D$6:$D$3005,Ventes_Encaissements!$B$6:$B$3005,$A705))</f>
        <v/>
      </c>
      <c r="J705" s="9">
        <f>IF($A705="","",$H705-$I705)</f>
        <v/>
      </c>
      <c r="K705" s="10">
        <f>IF($A705="","",IF($I705=0,"",_xludf.AGGREGATE(14,6,Ventes_Encaissements!$C$6:$C$3005/(Ventes_Encaissements!$B$6:$B$3005=$A705),1)))</f>
        <v/>
      </c>
      <c r="L705" s="11">
        <f>IF($A705="","",COUNTIFS(Ventes_Detail!$B$6:$B$3005,$A705))</f>
        <v/>
      </c>
      <c r="M705" s="12" t="n"/>
      <c r="N705" s="12">
        <f>IF($A705="","",IF($G705="","",IF($M705="Oui","Litige",IF($J705&lt;=0,"Payé",IF($I705&gt;0,"Partiel",IF(Listes!$B$3&gt;$G705,"En retard","À échoir"))))))</f>
        <v/>
      </c>
      <c r="O705" s="11">
        <f>IF($A705="","",IF(OR($G705="", $J705&lt;=0),0,MAX(0,Listes!$B$3-$G705)))</f>
        <v/>
      </c>
      <c r="P705" s="12">
        <f>IF($A705="","",IF($J705&lt;=0,"Payé",IF($M705="Oui","Litige",IF($O705=0,"À échoir",IF($O705&lt;=30,"0-30",IF($O705&lt;=60,"31-60",IF($O705&lt;=90,"61-90","90+")))))))</f>
        <v/>
      </c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9">
        <f>IF($A706="","",SUMIFS(Ventes_Encaissements!$D$6:$D$3005,Ventes_Encaissements!$B$6:$B$3005,$A706))</f>
        <v/>
      </c>
      <c r="J706" s="9">
        <f>IF($A706="","",$H706-$I706)</f>
        <v/>
      </c>
      <c r="K706" s="10">
        <f>IF($A706="","",IF($I706=0,"",_xludf.AGGREGATE(14,6,Ventes_Encaissements!$C$6:$C$3005/(Ventes_Encaissements!$B$6:$B$3005=$A706),1)))</f>
        <v/>
      </c>
      <c r="L706" s="11">
        <f>IF($A706="","",COUNTIFS(Ventes_Detail!$B$6:$B$3005,$A706))</f>
        <v/>
      </c>
      <c r="M706" s="12" t="n"/>
      <c r="N706" s="12">
        <f>IF($A706="","",IF($G706="","",IF($M706="Oui","Litige",IF($J706&lt;=0,"Payé",IF($I706&gt;0,"Partiel",IF(Listes!$B$3&gt;$G706,"En retard","À échoir"))))))</f>
        <v/>
      </c>
      <c r="O706" s="11">
        <f>IF($A706="","",IF(OR($G706="", $J706&lt;=0),0,MAX(0,Listes!$B$3-$G706)))</f>
        <v/>
      </c>
      <c r="P706" s="12">
        <f>IF($A706="","",IF($J706&lt;=0,"Payé",IF($M706="Oui","Litige",IF($O706=0,"À échoir",IF($O706&lt;=30,"0-30",IF($O706&lt;=60,"31-60",IF($O706&lt;=90,"61-90","90+")))))))</f>
        <v/>
      </c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9">
        <f>IF($A707="","",SUMIFS(Ventes_Encaissements!$D$6:$D$3005,Ventes_Encaissements!$B$6:$B$3005,$A707))</f>
        <v/>
      </c>
      <c r="J707" s="9">
        <f>IF($A707="","",$H707-$I707)</f>
        <v/>
      </c>
      <c r="K707" s="10">
        <f>IF($A707="","",IF($I707=0,"",_xludf.AGGREGATE(14,6,Ventes_Encaissements!$C$6:$C$3005/(Ventes_Encaissements!$B$6:$B$3005=$A707),1)))</f>
        <v/>
      </c>
      <c r="L707" s="11">
        <f>IF($A707="","",COUNTIFS(Ventes_Detail!$B$6:$B$3005,$A707))</f>
        <v/>
      </c>
      <c r="M707" s="12" t="n"/>
      <c r="N707" s="12">
        <f>IF($A707="","",IF($G707="","",IF($M707="Oui","Litige",IF($J707&lt;=0,"Payé",IF($I707&gt;0,"Partiel",IF(Listes!$B$3&gt;$G707,"En retard","À échoir"))))))</f>
        <v/>
      </c>
      <c r="O707" s="11">
        <f>IF($A707="","",IF(OR($G707="", $J707&lt;=0),0,MAX(0,Listes!$B$3-$G707)))</f>
        <v/>
      </c>
      <c r="P707" s="12">
        <f>IF($A707="","",IF($J707&lt;=0,"Payé",IF($M707="Oui","Litige",IF($O707=0,"À échoir",IF($O707&lt;=30,"0-30",IF($O707&lt;=60,"31-60",IF($O707&lt;=90,"61-90","90+")))))))</f>
        <v/>
      </c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9">
        <f>IF($A708="","",SUMIFS(Ventes_Encaissements!$D$6:$D$3005,Ventes_Encaissements!$B$6:$B$3005,$A708))</f>
        <v/>
      </c>
      <c r="J708" s="9">
        <f>IF($A708="","",$H708-$I708)</f>
        <v/>
      </c>
      <c r="K708" s="10">
        <f>IF($A708="","",IF($I708=0,"",_xludf.AGGREGATE(14,6,Ventes_Encaissements!$C$6:$C$3005/(Ventes_Encaissements!$B$6:$B$3005=$A708),1)))</f>
        <v/>
      </c>
      <c r="L708" s="11">
        <f>IF($A708="","",COUNTIFS(Ventes_Detail!$B$6:$B$3005,$A708))</f>
        <v/>
      </c>
      <c r="M708" s="12" t="n"/>
      <c r="N708" s="12">
        <f>IF($A708="","",IF($G708="","",IF($M708="Oui","Litige",IF($J708&lt;=0,"Payé",IF($I708&gt;0,"Partiel",IF(Listes!$B$3&gt;$G708,"En retard","À échoir"))))))</f>
        <v/>
      </c>
      <c r="O708" s="11">
        <f>IF($A708="","",IF(OR($G708="", $J708&lt;=0),0,MAX(0,Listes!$B$3-$G708)))</f>
        <v/>
      </c>
      <c r="P708" s="12">
        <f>IF($A708="","",IF($J708&lt;=0,"Payé",IF($M708="Oui","Litige",IF($O708=0,"À échoir",IF($O708&lt;=30,"0-30",IF($O708&lt;=60,"31-60",IF($O708&lt;=90,"61-90","90+")))))))</f>
        <v/>
      </c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9">
        <f>IF($A709="","",SUMIFS(Ventes_Encaissements!$D$6:$D$3005,Ventes_Encaissements!$B$6:$B$3005,$A709))</f>
        <v/>
      </c>
      <c r="J709" s="9">
        <f>IF($A709="","",$H709-$I709)</f>
        <v/>
      </c>
      <c r="K709" s="10">
        <f>IF($A709="","",IF($I709=0,"",_xludf.AGGREGATE(14,6,Ventes_Encaissements!$C$6:$C$3005/(Ventes_Encaissements!$B$6:$B$3005=$A709),1)))</f>
        <v/>
      </c>
      <c r="L709" s="11">
        <f>IF($A709="","",COUNTIFS(Ventes_Detail!$B$6:$B$3005,$A709))</f>
        <v/>
      </c>
      <c r="M709" s="12" t="n"/>
      <c r="N709" s="12">
        <f>IF($A709="","",IF($G709="","",IF($M709="Oui","Litige",IF($J709&lt;=0,"Payé",IF($I709&gt;0,"Partiel",IF(Listes!$B$3&gt;$G709,"En retard","À échoir"))))))</f>
        <v/>
      </c>
      <c r="O709" s="11">
        <f>IF($A709="","",IF(OR($G709="", $J709&lt;=0),0,MAX(0,Listes!$B$3-$G709)))</f>
        <v/>
      </c>
      <c r="P709" s="12">
        <f>IF($A709="","",IF($J709&lt;=0,"Payé",IF($M709="Oui","Litige",IF($O709=0,"À échoir",IF($O709&lt;=30,"0-30",IF($O709&lt;=60,"31-60",IF($O709&lt;=90,"61-90","90+")))))))</f>
        <v/>
      </c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9">
        <f>IF($A710="","",SUMIFS(Ventes_Encaissements!$D$6:$D$3005,Ventes_Encaissements!$B$6:$B$3005,$A710))</f>
        <v/>
      </c>
      <c r="J710" s="9">
        <f>IF($A710="","",$H710-$I710)</f>
        <v/>
      </c>
      <c r="K710" s="10">
        <f>IF($A710="","",IF($I710=0,"",_xludf.AGGREGATE(14,6,Ventes_Encaissements!$C$6:$C$3005/(Ventes_Encaissements!$B$6:$B$3005=$A710),1)))</f>
        <v/>
      </c>
      <c r="L710" s="11">
        <f>IF($A710="","",COUNTIFS(Ventes_Detail!$B$6:$B$3005,$A710))</f>
        <v/>
      </c>
      <c r="M710" s="12" t="n"/>
      <c r="N710" s="12">
        <f>IF($A710="","",IF($G710="","",IF($M710="Oui","Litige",IF($J710&lt;=0,"Payé",IF($I710&gt;0,"Partiel",IF(Listes!$B$3&gt;$G710,"En retard","À échoir"))))))</f>
        <v/>
      </c>
      <c r="O710" s="11">
        <f>IF($A710="","",IF(OR($G710="", $J710&lt;=0),0,MAX(0,Listes!$B$3-$G710)))</f>
        <v/>
      </c>
      <c r="P710" s="12">
        <f>IF($A710="","",IF($J710&lt;=0,"Payé",IF($M710="Oui","Litige",IF($O710=0,"À échoir",IF($O710&lt;=30,"0-30",IF($O710&lt;=60,"31-60",IF($O710&lt;=90,"61-90","90+")))))))</f>
        <v/>
      </c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9">
        <f>IF($A711="","",SUMIFS(Ventes_Encaissements!$D$6:$D$3005,Ventes_Encaissements!$B$6:$B$3005,$A711))</f>
        <v/>
      </c>
      <c r="J711" s="9">
        <f>IF($A711="","",$H711-$I711)</f>
        <v/>
      </c>
      <c r="K711" s="10">
        <f>IF($A711="","",IF($I711=0,"",_xludf.AGGREGATE(14,6,Ventes_Encaissements!$C$6:$C$3005/(Ventes_Encaissements!$B$6:$B$3005=$A711),1)))</f>
        <v/>
      </c>
      <c r="L711" s="11">
        <f>IF($A711="","",COUNTIFS(Ventes_Detail!$B$6:$B$3005,$A711))</f>
        <v/>
      </c>
      <c r="M711" s="12" t="n"/>
      <c r="N711" s="12">
        <f>IF($A711="","",IF($G711="","",IF($M711="Oui","Litige",IF($J711&lt;=0,"Payé",IF($I711&gt;0,"Partiel",IF(Listes!$B$3&gt;$G711,"En retard","À échoir"))))))</f>
        <v/>
      </c>
      <c r="O711" s="11">
        <f>IF($A711="","",IF(OR($G711="", $J711&lt;=0),0,MAX(0,Listes!$B$3-$G711)))</f>
        <v/>
      </c>
      <c r="P711" s="12">
        <f>IF($A711="","",IF($J711&lt;=0,"Payé",IF($M711="Oui","Litige",IF($O711=0,"À échoir",IF($O711&lt;=30,"0-30",IF($O711&lt;=60,"31-60",IF($O711&lt;=90,"61-90","90+")))))))</f>
        <v/>
      </c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9">
        <f>IF($A712="","",SUMIFS(Ventes_Encaissements!$D$6:$D$3005,Ventes_Encaissements!$B$6:$B$3005,$A712))</f>
        <v/>
      </c>
      <c r="J712" s="9">
        <f>IF($A712="","",$H712-$I712)</f>
        <v/>
      </c>
      <c r="K712" s="10">
        <f>IF($A712="","",IF($I712=0,"",_xludf.AGGREGATE(14,6,Ventes_Encaissements!$C$6:$C$3005/(Ventes_Encaissements!$B$6:$B$3005=$A712),1)))</f>
        <v/>
      </c>
      <c r="L712" s="11">
        <f>IF($A712="","",COUNTIFS(Ventes_Detail!$B$6:$B$3005,$A712))</f>
        <v/>
      </c>
      <c r="M712" s="12" t="n"/>
      <c r="N712" s="12">
        <f>IF($A712="","",IF($G712="","",IF($M712="Oui","Litige",IF($J712&lt;=0,"Payé",IF($I712&gt;0,"Partiel",IF(Listes!$B$3&gt;$G712,"En retard","À échoir"))))))</f>
        <v/>
      </c>
      <c r="O712" s="11">
        <f>IF($A712="","",IF(OR($G712="", $J712&lt;=0),0,MAX(0,Listes!$B$3-$G712)))</f>
        <v/>
      </c>
      <c r="P712" s="12">
        <f>IF($A712="","",IF($J712&lt;=0,"Payé",IF($M712="Oui","Litige",IF($O712=0,"À échoir",IF($O712&lt;=30,"0-30",IF($O712&lt;=60,"31-60",IF($O712&lt;=90,"61-90","90+")))))))</f>
        <v/>
      </c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9">
        <f>IF($A713="","",SUMIFS(Ventes_Encaissements!$D$6:$D$3005,Ventes_Encaissements!$B$6:$B$3005,$A713))</f>
        <v/>
      </c>
      <c r="J713" s="9">
        <f>IF($A713="","",$H713-$I713)</f>
        <v/>
      </c>
      <c r="K713" s="10">
        <f>IF($A713="","",IF($I713=0,"",_xludf.AGGREGATE(14,6,Ventes_Encaissements!$C$6:$C$3005/(Ventes_Encaissements!$B$6:$B$3005=$A713),1)))</f>
        <v/>
      </c>
      <c r="L713" s="11">
        <f>IF($A713="","",COUNTIFS(Ventes_Detail!$B$6:$B$3005,$A713))</f>
        <v/>
      </c>
      <c r="M713" s="12" t="n"/>
      <c r="N713" s="12">
        <f>IF($A713="","",IF($G713="","",IF($M713="Oui","Litige",IF($J713&lt;=0,"Payé",IF($I713&gt;0,"Partiel",IF(Listes!$B$3&gt;$G713,"En retard","À échoir"))))))</f>
        <v/>
      </c>
      <c r="O713" s="11">
        <f>IF($A713="","",IF(OR($G713="", $J713&lt;=0),0,MAX(0,Listes!$B$3-$G713)))</f>
        <v/>
      </c>
      <c r="P713" s="12">
        <f>IF($A713="","",IF($J713&lt;=0,"Payé",IF($M713="Oui","Litige",IF($O713=0,"À échoir",IF($O713&lt;=30,"0-30",IF($O713&lt;=60,"31-60",IF($O713&lt;=90,"61-90","90+")))))))</f>
        <v/>
      </c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9">
        <f>IF($A714="","",SUMIFS(Ventes_Encaissements!$D$6:$D$3005,Ventes_Encaissements!$B$6:$B$3005,$A714))</f>
        <v/>
      </c>
      <c r="J714" s="9">
        <f>IF($A714="","",$H714-$I714)</f>
        <v/>
      </c>
      <c r="K714" s="10">
        <f>IF($A714="","",IF($I714=0,"",_xludf.AGGREGATE(14,6,Ventes_Encaissements!$C$6:$C$3005/(Ventes_Encaissements!$B$6:$B$3005=$A714),1)))</f>
        <v/>
      </c>
      <c r="L714" s="11">
        <f>IF($A714="","",COUNTIFS(Ventes_Detail!$B$6:$B$3005,$A714))</f>
        <v/>
      </c>
      <c r="M714" s="12" t="n"/>
      <c r="N714" s="12">
        <f>IF($A714="","",IF($G714="","",IF($M714="Oui","Litige",IF($J714&lt;=0,"Payé",IF($I714&gt;0,"Partiel",IF(Listes!$B$3&gt;$G714,"En retard","À échoir"))))))</f>
        <v/>
      </c>
      <c r="O714" s="11">
        <f>IF($A714="","",IF(OR($G714="", $J714&lt;=0),0,MAX(0,Listes!$B$3-$G714)))</f>
        <v/>
      </c>
      <c r="P714" s="12">
        <f>IF($A714="","",IF($J714&lt;=0,"Payé",IF($M714="Oui","Litige",IF($O714=0,"À échoir",IF($O714&lt;=30,"0-30",IF($O714&lt;=60,"31-60",IF($O714&lt;=90,"61-90","90+")))))))</f>
        <v/>
      </c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9">
        <f>IF($A715="","",SUMIFS(Ventes_Encaissements!$D$6:$D$3005,Ventes_Encaissements!$B$6:$B$3005,$A715))</f>
        <v/>
      </c>
      <c r="J715" s="9">
        <f>IF($A715="","",$H715-$I715)</f>
        <v/>
      </c>
      <c r="K715" s="10">
        <f>IF($A715="","",IF($I715=0,"",_xludf.AGGREGATE(14,6,Ventes_Encaissements!$C$6:$C$3005/(Ventes_Encaissements!$B$6:$B$3005=$A715),1)))</f>
        <v/>
      </c>
      <c r="L715" s="11">
        <f>IF($A715="","",COUNTIFS(Ventes_Detail!$B$6:$B$3005,$A715))</f>
        <v/>
      </c>
      <c r="M715" s="12" t="n"/>
      <c r="N715" s="12">
        <f>IF($A715="","",IF($G715="","",IF($M715="Oui","Litige",IF($J715&lt;=0,"Payé",IF($I715&gt;0,"Partiel",IF(Listes!$B$3&gt;$G715,"En retard","À échoir"))))))</f>
        <v/>
      </c>
      <c r="O715" s="11">
        <f>IF($A715="","",IF(OR($G715="", $J715&lt;=0),0,MAX(0,Listes!$B$3-$G715)))</f>
        <v/>
      </c>
      <c r="P715" s="12">
        <f>IF($A715="","",IF($J715&lt;=0,"Payé",IF($M715="Oui","Litige",IF($O715=0,"À échoir",IF($O715&lt;=30,"0-30",IF($O715&lt;=60,"31-60",IF($O715&lt;=90,"61-90","90+")))))))</f>
        <v/>
      </c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9">
        <f>IF($A716="","",SUMIFS(Ventes_Encaissements!$D$6:$D$3005,Ventes_Encaissements!$B$6:$B$3005,$A716))</f>
        <v/>
      </c>
      <c r="J716" s="9">
        <f>IF($A716="","",$H716-$I716)</f>
        <v/>
      </c>
      <c r="K716" s="10">
        <f>IF($A716="","",IF($I716=0,"",_xludf.AGGREGATE(14,6,Ventes_Encaissements!$C$6:$C$3005/(Ventes_Encaissements!$B$6:$B$3005=$A716),1)))</f>
        <v/>
      </c>
      <c r="L716" s="11">
        <f>IF($A716="","",COUNTIFS(Ventes_Detail!$B$6:$B$3005,$A716))</f>
        <v/>
      </c>
      <c r="M716" s="12" t="n"/>
      <c r="N716" s="12">
        <f>IF($A716="","",IF($G716="","",IF($M716="Oui","Litige",IF($J716&lt;=0,"Payé",IF($I716&gt;0,"Partiel",IF(Listes!$B$3&gt;$G716,"En retard","À échoir"))))))</f>
        <v/>
      </c>
      <c r="O716" s="11">
        <f>IF($A716="","",IF(OR($G716="", $J716&lt;=0),0,MAX(0,Listes!$B$3-$G716)))</f>
        <v/>
      </c>
      <c r="P716" s="12">
        <f>IF($A716="","",IF($J716&lt;=0,"Payé",IF($M716="Oui","Litige",IF($O716=0,"À échoir",IF($O716&lt;=30,"0-30",IF($O716&lt;=60,"31-60",IF($O716&lt;=90,"61-90","90+")))))))</f>
        <v/>
      </c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9">
        <f>IF($A717="","",SUMIFS(Ventes_Encaissements!$D$6:$D$3005,Ventes_Encaissements!$B$6:$B$3005,$A717))</f>
        <v/>
      </c>
      <c r="J717" s="9">
        <f>IF($A717="","",$H717-$I717)</f>
        <v/>
      </c>
      <c r="K717" s="10">
        <f>IF($A717="","",IF($I717=0,"",_xludf.AGGREGATE(14,6,Ventes_Encaissements!$C$6:$C$3005/(Ventes_Encaissements!$B$6:$B$3005=$A717),1)))</f>
        <v/>
      </c>
      <c r="L717" s="11">
        <f>IF($A717="","",COUNTIFS(Ventes_Detail!$B$6:$B$3005,$A717))</f>
        <v/>
      </c>
      <c r="M717" s="12" t="n"/>
      <c r="N717" s="12">
        <f>IF($A717="","",IF($G717="","",IF($M717="Oui","Litige",IF($J717&lt;=0,"Payé",IF($I717&gt;0,"Partiel",IF(Listes!$B$3&gt;$G717,"En retard","À échoir"))))))</f>
        <v/>
      </c>
      <c r="O717" s="11">
        <f>IF($A717="","",IF(OR($G717="", $J717&lt;=0),0,MAX(0,Listes!$B$3-$G717)))</f>
        <v/>
      </c>
      <c r="P717" s="12">
        <f>IF($A717="","",IF($J717&lt;=0,"Payé",IF($M717="Oui","Litige",IF($O717=0,"À échoir",IF($O717&lt;=30,"0-30",IF($O717&lt;=60,"31-60",IF($O717&lt;=90,"61-90","90+")))))))</f>
        <v/>
      </c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9">
        <f>IF($A718="","",SUMIFS(Ventes_Encaissements!$D$6:$D$3005,Ventes_Encaissements!$B$6:$B$3005,$A718))</f>
        <v/>
      </c>
      <c r="J718" s="9">
        <f>IF($A718="","",$H718-$I718)</f>
        <v/>
      </c>
      <c r="K718" s="10">
        <f>IF($A718="","",IF($I718=0,"",_xludf.AGGREGATE(14,6,Ventes_Encaissements!$C$6:$C$3005/(Ventes_Encaissements!$B$6:$B$3005=$A718),1)))</f>
        <v/>
      </c>
      <c r="L718" s="11">
        <f>IF($A718="","",COUNTIFS(Ventes_Detail!$B$6:$B$3005,$A718))</f>
        <v/>
      </c>
      <c r="M718" s="12" t="n"/>
      <c r="N718" s="12">
        <f>IF($A718="","",IF($G718="","",IF($M718="Oui","Litige",IF($J718&lt;=0,"Payé",IF($I718&gt;0,"Partiel",IF(Listes!$B$3&gt;$G718,"En retard","À échoir"))))))</f>
        <v/>
      </c>
      <c r="O718" s="11">
        <f>IF($A718="","",IF(OR($G718="", $J718&lt;=0),0,MAX(0,Listes!$B$3-$G718)))</f>
        <v/>
      </c>
      <c r="P718" s="12">
        <f>IF($A718="","",IF($J718&lt;=0,"Payé",IF($M718="Oui","Litige",IF($O718=0,"À échoir",IF($O718&lt;=30,"0-30",IF($O718&lt;=60,"31-60",IF($O718&lt;=90,"61-90","90+")))))))</f>
        <v/>
      </c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9">
        <f>IF($A719="","",SUMIFS(Ventes_Encaissements!$D$6:$D$3005,Ventes_Encaissements!$B$6:$B$3005,$A719))</f>
        <v/>
      </c>
      <c r="J719" s="9">
        <f>IF($A719="","",$H719-$I719)</f>
        <v/>
      </c>
      <c r="K719" s="10">
        <f>IF($A719="","",IF($I719=0,"",_xludf.AGGREGATE(14,6,Ventes_Encaissements!$C$6:$C$3005/(Ventes_Encaissements!$B$6:$B$3005=$A719),1)))</f>
        <v/>
      </c>
      <c r="L719" s="11">
        <f>IF($A719="","",COUNTIFS(Ventes_Detail!$B$6:$B$3005,$A719))</f>
        <v/>
      </c>
      <c r="M719" s="12" t="n"/>
      <c r="N719" s="12">
        <f>IF($A719="","",IF($G719="","",IF($M719="Oui","Litige",IF($J719&lt;=0,"Payé",IF($I719&gt;0,"Partiel",IF(Listes!$B$3&gt;$G719,"En retard","À échoir"))))))</f>
        <v/>
      </c>
      <c r="O719" s="11">
        <f>IF($A719="","",IF(OR($G719="", $J719&lt;=0),0,MAX(0,Listes!$B$3-$G719)))</f>
        <v/>
      </c>
      <c r="P719" s="12">
        <f>IF($A719="","",IF($J719&lt;=0,"Payé",IF($M719="Oui","Litige",IF($O719=0,"À échoir",IF($O719&lt;=30,"0-30",IF($O719&lt;=60,"31-60",IF($O719&lt;=90,"61-90","90+")))))))</f>
        <v/>
      </c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9">
        <f>IF($A720="","",SUMIFS(Ventes_Encaissements!$D$6:$D$3005,Ventes_Encaissements!$B$6:$B$3005,$A720))</f>
        <v/>
      </c>
      <c r="J720" s="9">
        <f>IF($A720="","",$H720-$I720)</f>
        <v/>
      </c>
      <c r="K720" s="10">
        <f>IF($A720="","",IF($I720=0,"",_xludf.AGGREGATE(14,6,Ventes_Encaissements!$C$6:$C$3005/(Ventes_Encaissements!$B$6:$B$3005=$A720),1)))</f>
        <v/>
      </c>
      <c r="L720" s="11">
        <f>IF($A720="","",COUNTIFS(Ventes_Detail!$B$6:$B$3005,$A720))</f>
        <v/>
      </c>
      <c r="M720" s="12" t="n"/>
      <c r="N720" s="12">
        <f>IF($A720="","",IF($G720="","",IF($M720="Oui","Litige",IF($J720&lt;=0,"Payé",IF($I720&gt;0,"Partiel",IF(Listes!$B$3&gt;$G720,"En retard","À échoir"))))))</f>
        <v/>
      </c>
      <c r="O720" s="11">
        <f>IF($A720="","",IF(OR($G720="", $J720&lt;=0),0,MAX(0,Listes!$B$3-$G720)))</f>
        <v/>
      </c>
      <c r="P720" s="12">
        <f>IF($A720="","",IF($J720&lt;=0,"Payé",IF($M720="Oui","Litige",IF($O720=0,"À échoir",IF($O720&lt;=30,"0-30",IF($O720&lt;=60,"31-60",IF($O720&lt;=90,"61-90","90+")))))))</f>
        <v/>
      </c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9">
        <f>IF($A721="","",SUMIFS(Ventes_Encaissements!$D$6:$D$3005,Ventes_Encaissements!$B$6:$B$3005,$A721))</f>
        <v/>
      </c>
      <c r="J721" s="9">
        <f>IF($A721="","",$H721-$I721)</f>
        <v/>
      </c>
      <c r="K721" s="10">
        <f>IF($A721="","",IF($I721=0,"",_xludf.AGGREGATE(14,6,Ventes_Encaissements!$C$6:$C$3005/(Ventes_Encaissements!$B$6:$B$3005=$A721),1)))</f>
        <v/>
      </c>
      <c r="L721" s="11">
        <f>IF($A721="","",COUNTIFS(Ventes_Detail!$B$6:$B$3005,$A721))</f>
        <v/>
      </c>
      <c r="M721" s="12" t="n"/>
      <c r="N721" s="12">
        <f>IF($A721="","",IF($G721="","",IF($M721="Oui","Litige",IF($J721&lt;=0,"Payé",IF($I721&gt;0,"Partiel",IF(Listes!$B$3&gt;$G721,"En retard","À échoir"))))))</f>
        <v/>
      </c>
      <c r="O721" s="11">
        <f>IF($A721="","",IF(OR($G721="", $J721&lt;=0),0,MAX(0,Listes!$B$3-$G721)))</f>
        <v/>
      </c>
      <c r="P721" s="12">
        <f>IF($A721="","",IF($J721&lt;=0,"Payé",IF($M721="Oui","Litige",IF($O721=0,"À échoir",IF($O721&lt;=30,"0-30",IF($O721&lt;=60,"31-60",IF($O721&lt;=90,"61-90","90+")))))))</f>
        <v/>
      </c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9">
        <f>IF($A722="","",SUMIFS(Ventes_Encaissements!$D$6:$D$3005,Ventes_Encaissements!$B$6:$B$3005,$A722))</f>
        <v/>
      </c>
      <c r="J722" s="9">
        <f>IF($A722="","",$H722-$I722)</f>
        <v/>
      </c>
      <c r="K722" s="10">
        <f>IF($A722="","",IF($I722=0,"",_xludf.AGGREGATE(14,6,Ventes_Encaissements!$C$6:$C$3005/(Ventes_Encaissements!$B$6:$B$3005=$A722),1)))</f>
        <v/>
      </c>
      <c r="L722" s="11">
        <f>IF($A722="","",COUNTIFS(Ventes_Detail!$B$6:$B$3005,$A722))</f>
        <v/>
      </c>
      <c r="M722" s="12" t="n"/>
      <c r="N722" s="12">
        <f>IF($A722="","",IF($G722="","",IF($M722="Oui","Litige",IF($J722&lt;=0,"Payé",IF($I722&gt;0,"Partiel",IF(Listes!$B$3&gt;$G722,"En retard","À échoir"))))))</f>
        <v/>
      </c>
      <c r="O722" s="11">
        <f>IF($A722="","",IF(OR($G722="", $J722&lt;=0),0,MAX(0,Listes!$B$3-$G722)))</f>
        <v/>
      </c>
      <c r="P722" s="12">
        <f>IF($A722="","",IF($J722&lt;=0,"Payé",IF($M722="Oui","Litige",IF($O722=0,"À échoir",IF($O722&lt;=30,"0-30",IF($O722&lt;=60,"31-60",IF($O722&lt;=90,"61-90","90+")))))))</f>
        <v/>
      </c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9">
        <f>IF($A723="","",SUMIFS(Ventes_Encaissements!$D$6:$D$3005,Ventes_Encaissements!$B$6:$B$3005,$A723))</f>
        <v/>
      </c>
      <c r="J723" s="9">
        <f>IF($A723="","",$H723-$I723)</f>
        <v/>
      </c>
      <c r="K723" s="10">
        <f>IF($A723="","",IF($I723=0,"",_xludf.AGGREGATE(14,6,Ventes_Encaissements!$C$6:$C$3005/(Ventes_Encaissements!$B$6:$B$3005=$A723),1)))</f>
        <v/>
      </c>
      <c r="L723" s="11">
        <f>IF($A723="","",COUNTIFS(Ventes_Detail!$B$6:$B$3005,$A723))</f>
        <v/>
      </c>
      <c r="M723" s="12" t="n"/>
      <c r="N723" s="12">
        <f>IF($A723="","",IF($G723="","",IF($M723="Oui","Litige",IF($J723&lt;=0,"Payé",IF($I723&gt;0,"Partiel",IF(Listes!$B$3&gt;$G723,"En retard","À échoir"))))))</f>
        <v/>
      </c>
      <c r="O723" s="11">
        <f>IF($A723="","",IF(OR($G723="", $J723&lt;=0),0,MAX(0,Listes!$B$3-$G723)))</f>
        <v/>
      </c>
      <c r="P723" s="12">
        <f>IF($A723="","",IF($J723&lt;=0,"Payé",IF($M723="Oui","Litige",IF($O723=0,"À échoir",IF($O723&lt;=30,"0-30",IF($O723&lt;=60,"31-60",IF($O723&lt;=90,"61-90","90+")))))))</f>
        <v/>
      </c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9">
        <f>IF($A724="","",SUMIFS(Ventes_Encaissements!$D$6:$D$3005,Ventes_Encaissements!$B$6:$B$3005,$A724))</f>
        <v/>
      </c>
      <c r="J724" s="9">
        <f>IF($A724="","",$H724-$I724)</f>
        <v/>
      </c>
      <c r="K724" s="10">
        <f>IF($A724="","",IF($I724=0,"",_xludf.AGGREGATE(14,6,Ventes_Encaissements!$C$6:$C$3005/(Ventes_Encaissements!$B$6:$B$3005=$A724),1)))</f>
        <v/>
      </c>
      <c r="L724" s="11">
        <f>IF($A724="","",COUNTIFS(Ventes_Detail!$B$6:$B$3005,$A724))</f>
        <v/>
      </c>
      <c r="M724" s="12" t="n"/>
      <c r="N724" s="12">
        <f>IF($A724="","",IF($G724="","",IF($M724="Oui","Litige",IF($J724&lt;=0,"Payé",IF($I724&gt;0,"Partiel",IF(Listes!$B$3&gt;$G724,"En retard","À échoir"))))))</f>
        <v/>
      </c>
      <c r="O724" s="11">
        <f>IF($A724="","",IF(OR($G724="", $J724&lt;=0),0,MAX(0,Listes!$B$3-$G724)))</f>
        <v/>
      </c>
      <c r="P724" s="12">
        <f>IF($A724="","",IF($J724&lt;=0,"Payé",IF($M724="Oui","Litige",IF($O724=0,"À échoir",IF($O724&lt;=30,"0-30",IF($O724&lt;=60,"31-60",IF($O724&lt;=90,"61-90","90+")))))))</f>
        <v/>
      </c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9">
        <f>IF($A725="","",SUMIFS(Ventes_Encaissements!$D$6:$D$3005,Ventes_Encaissements!$B$6:$B$3005,$A725))</f>
        <v/>
      </c>
      <c r="J725" s="9">
        <f>IF($A725="","",$H725-$I725)</f>
        <v/>
      </c>
      <c r="K725" s="10">
        <f>IF($A725="","",IF($I725=0,"",_xludf.AGGREGATE(14,6,Ventes_Encaissements!$C$6:$C$3005/(Ventes_Encaissements!$B$6:$B$3005=$A725),1)))</f>
        <v/>
      </c>
      <c r="L725" s="11">
        <f>IF($A725="","",COUNTIFS(Ventes_Detail!$B$6:$B$3005,$A725))</f>
        <v/>
      </c>
      <c r="M725" s="12" t="n"/>
      <c r="N725" s="12">
        <f>IF($A725="","",IF($G725="","",IF($M725="Oui","Litige",IF($J725&lt;=0,"Payé",IF($I725&gt;0,"Partiel",IF(Listes!$B$3&gt;$G725,"En retard","À échoir"))))))</f>
        <v/>
      </c>
      <c r="O725" s="11">
        <f>IF($A725="","",IF(OR($G725="", $J725&lt;=0),0,MAX(0,Listes!$B$3-$G725)))</f>
        <v/>
      </c>
      <c r="P725" s="12">
        <f>IF($A725="","",IF($J725&lt;=0,"Payé",IF($M725="Oui","Litige",IF($O725=0,"À échoir",IF($O725&lt;=30,"0-30",IF($O725&lt;=60,"31-60",IF($O725&lt;=90,"61-90","90+")))))))</f>
        <v/>
      </c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9">
        <f>IF($A726="","",SUMIFS(Ventes_Encaissements!$D$6:$D$3005,Ventes_Encaissements!$B$6:$B$3005,$A726))</f>
        <v/>
      </c>
      <c r="J726" s="9">
        <f>IF($A726="","",$H726-$I726)</f>
        <v/>
      </c>
      <c r="K726" s="10">
        <f>IF($A726="","",IF($I726=0,"",_xludf.AGGREGATE(14,6,Ventes_Encaissements!$C$6:$C$3005/(Ventes_Encaissements!$B$6:$B$3005=$A726),1)))</f>
        <v/>
      </c>
      <c r="L726" s="11">
        <f>IF($A726="","",COUNTIFS(Ventes_Detail!$B$6:$B$3005,$A726))</f>
        <v/>
      </c>
      <c r="M726" s="12" t="n"/>
      <c r="N726" s="12">
        <f>IF($A726="","",IF($G726="","",IF($M726="Oui","Litige",IF($J726&lt;=0,"Payé",IF($I726&gt;0,"Partiel",IF(Listes!$B$3&gt;$G726,"En retard","À échoir"))))))</f>
        <v/>
      </c>
      <c r="O726" s="11">
        <f>IF($A726="","",IF(OR($G726="", $J726&lt;=0),0,MAX(0,Listes!$B$3-$G726)))</f>
        <v/>
      </c>
      <c r="P726" s="12">
        <f>IF($A726="","",IF($J726&lt;=0,"Payé",IF($M726="Oui","Litige",IF($O726=0,"À échoir",IF($O726&lt;=30,"0-30",IF($O726&lt;=60,"31-60",IF($O726&lt;=90,"61-90","90+")))))))</f>
        <v/>
      </c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9">
        <f>IF($A727="","",SUMIFS(Ventes_Encaissements!$D$6:$D$3005,Ventes_Encaissements!$B$6:$B$3005,$A727))</f>
        <v/>
      </c>
      <c r="J727" s="9">
        <f>IF($A727="","",$H727-$I727)</f>
        <v/>
      </c>
      <c r="K727" s="10">
        <f>IF($A727="","",IF($I727=0,"",_xludf.AGGREGATE(14,6,Ventes_Encaissements!$C$6:$C$3005/(Ventes_Encaissements!$B$6:$B$3005=$A727),1)))</f>
        <v/>
      </c>
      <c r="L727" s="11">
        <f>IF($A727="","",COUNTIFS(Ventes_Detail!$B$6:$B$3005,$A727))</f>
        <v/>
      </c>
      <c r="M727" s="12" t="n"/>
      <c r="N727" s="12">
        <f>IF($A727="","",IF($G727="","",IF($M727="Oui","Litige",IF($J727&lt;=0,"Payé",IF($I727&gt;0,"Partiel",IF(Listes!$B$3&gt;$G727,"En retard","À échoir"))))))</f>
        <v/>
      </c>
      <c r="O727" s="11">
        <f>IF($A727="","",IF(OR($G727="", $J727&lt;=0),0,MAX(0,Listes!$B$3-$G727)))</f>
        <v/>
      </c>
      <c r="P727" s="12">
        <f>IF($A727="","",IF($J727&lt;=0,"Payé",IF($M727="Oui","Litige",IF($O727=0,"À échoir",IF($O727&lt;=30,"0-30",IF($O727&lt;=60,"31-60",IF($O727&lt;=90,"61-90","90+")))))))</f>
        <v/>
      </c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9">
        <f>IF($A728="","",SUMIFS(Ventes_Encaissements!$D$6:$D$3005,Ventes_Encaissements!$B$6:$B$3005,$A728))</f>
        <v/>
      </c>
      <c r="J728" s="9">
        <f>IF($A728="","",$H728-$I728)</f>
        <v/>
      </c>
      <c r="K728" s="10">
        <f>IF($A728="","",IF($I728=0,"",_xludf.AGGREGATE(14,6,Ventes_Encaissements!$C$6:$C$3005/(Ventes_Encaissements!$B$6:$B$3005=$A728),1)))</f>
        <v/>
      </c>
      <c r="L728" s="11">
        <f>IF($A728="","",COUNTIFS(Ventes_Detail!$B$6:$B$3005,$A728))</f>
        <v/>
      </c>
      <c r="M728" s="12" t="n"/>
      <c r="N728" s="12">
        <f>IF($A728="","",IF($G728="","",IF($M728="Oui","Litige",IF($J728&lt;=0,"Payé",IF($I728&gt;0,"Partiel",IF(Listes!$B$3&gt;$G728,"En retard","À échoir"))))))</f>
        <v/>
      </c>
      <c r="O728" s="11">
        <f>IF($A728="","",IF(OR($G728="", $J728&lt;=0),0,MAX(0,Listes!$B$3-$G728)))</f>
        <v/>
      </c>
      <c r="P728" s="12">
        <f>IF($A728="","",IF($J728&lt;=0,"Payé",IF($M728="Oui","Litige",IF($O728=0,"À échoir",IF($O728&lt;=30,"0-30",IF($O728&lt;=60,"31-60",IF($O728&lt;=90,"61-90","90+")))))))</f>
        <v/>
      </c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9">
        <f>IF($A729="","",SUMIFS(Ventes_Encaissements!$D$6:$D$3005,Ventes_Encaissements!$B$6:$B$3005,$A729))</f>
        <v/>
      </c>
      <c r="J729" s="9">
        <f>IF($A729="","",$H729-$I729)</f>
        <v/>
      </c>
      <c r="K729" s="10">
        <f>IF($A729="","",IF($I729=0,"",_xludf.AGGREGATE(14,6,Ventes_Encaissements!$C$6:$C$3005/(Ventes_Encaissements!$B$6:$B$3005=$A729),1)))</f>
        <v/>
      </c>
      <c r="L729" s="11">
        <f>IF($A729="","",COUNTIFS(Ventes_Detail!$B$6:$B$3005,$A729))</f>
        <v/>
      </c>
      <c r="M729" s="12" t="n"/>
      <c r="N729" s="12">
        <f>IF($A729="","",IF($G729="","",IF($M729="Oui","Litige",IF($J729&lt;=0,"Payé",IF($I729&gt;0,"Partiel",IF(Listes!$B$3&gt;$G729,"En retard","À échoir"))))))</f>
        <v/>
      </c>
      <c r="O729" s="11">
        <f>IF($A729="","",IF(OR($G729="", $J729&lt;=0),0,MAX(0,Listes!$B$3-$G729)))</f>
        <v/>
      </c>
      <c r="P729" s="12">
        <f>IF($A729="","",IF($J729&lt;=0,"Payé",IF($M729="Oui","Litige",IF($O729=0,"À échoir",IF($O729&lt;=30,"0-30",IF($O729&lt;=60,"31-60",IF($O729&lt;=90,"61-90","90+")))))))</f>
        <v/>
      </c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9">
        <f>IF($A730="","",SUMIFS(Ventes_Encaissements!$D$6:$D$3005,Ventes_Encaissements!$B$6:$B$3005,$A730))</f>
        <v/>
      </c>
      <c r="J730" s="9">
        <f>IF($A730="","",$H730-$I730)</f>
        <v/>
      </c>
      <c r="K730" s="10">
        <f>IF($A730="","",IF($I730=0,"",_xludf.AGGREGATE(14,6,Ventes_Encaissements!$C$6:$C$3005/(Ventes_Encaissements!$B$6:$B$3005=$A730),1)))</f>
        <v/>
      </c>
      <c r="L730" s="11">
        <f>IF($A730="","",COUNTIFS(Ventes_Detail!$B$6:$B$3005,$A730))</f>
        <v/>
      </c>
      <c r="M730" s="12" t="n"/>
      <c r="N730" s="12">
        <f>IF($A730="","",IF($G730="","",IF($M730="Oui","Litige",IF($J730&lt;=0,"Payé",IF($I730&gt;0,"Partiel",IF(Listes!$B$3&gt;$G730,"En retard","À échoir"))))))</f>
        <v/>
      </c>
      <c r="O730" s="11">
        <f>IF($A730="","",IF(OR($G730="", $J730&lt;=0),0,MAX(0,Listes!$B$3-$G730)))</f>
        <v/>
      </c>
      <c r="P730" s="12">
        <f>IF($A730="","",IF($J730&lt;=0,"Payé",IF($M730="Oui","Litige",IF($O730=0,"À échoir",IF($O730&lt;=30,"0-30",IF($O730&lt;=60,"31-60",IF($O730&lt;=90,"61-90","90+")))))))</f>
        <v/>
      </c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9">
        <f>IF($A731="","",SUMIFS(Ventes_Encaissements!$D$6:$D$3005,Ventes_Encaissements!$B$6:$B$3005,$A731))</f>
        <v/>
      </c>
      <c r="J731" s="9">
        <f>IF($A731="","",$H731-$I731)</f>
        <v/>
      </c>
      <c r="K731" s="10">
        <f>IF($A731="","",IF($I731=0,"",_xludf.AGGREGATE(14,6,Ventes_Encaissements!$C$6:$C$3005/(Ventes_Encaissements!$B$6:$B$3005=$A731),1)))</f>
        <v/>
      </c>
      <c r="L731" s="11">
        <f>IF($A731="","",COUNTIFS(Ventes_Detail!$B$6:$B$3005,$A731))</f>
        <v/>
      </c>
      <c r="M731" s="12" t="n"/>
      <c r="N731" s="12">
        <f>IF($A731="","",IF($G731="","",IF($M731="Oui","Litige",IF($J731&lt;=0,"Payé",IF($I731&gt;0,"Partiel",IF(Listes!$B$3&gt;$G731,"En retard","À échoir"))))))</f>
        <v/>
      </c>
      <c r="O731" s="11">
        <f>IF($A731="","",IF(OR($G731="", $J731&lt;=0),0,MAX(0,Listes!$B$3-$G731)))</f>
        <v/>
      </c>
      <c r="P731" s="12">
        <f>IF($A731="","",IF($J731&lt;=0,"Payé",IF($M731="Oui","Litige",IF($O731=0,"À échoir",IF($O731&lt;=30,"0-30",IF($O731&lt;=60,"31-60",IF($O731&lt;=90,"61-90","90+")))))))</f>
        <v/>
      </c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9">
        <f>IF($A732="","",SUMIFS(Ventes_Encaissements!$D$6:$D$3005,Ventes_Encaissements!$B$6:$B$3005,$A732))</f>
        <v/>
      </c>
      <c r="J732" s="9">
        <f>IF($A732="","",$H732-$I732)</f>
        <v/>
      </c>
      <c r="K732" s="10">
        <f>IF($A732="","",IF($I732=0,"",_xludf.AGGREGATE(14,6,Ventes_Encaissements!$C$6:$C$3005/(Ventes_Encaissements!$B$6:$B$3005=$A732),1)))</f>
        <v/>
      </c>
      <c r="L732" s="11">
        <f>IF($A732="","",COUNTIFS(Ventes_Detail!$B$6:$B$3005,$A732))</f>
        <v/>
      </c>
      <c r="M732" s="12" t="n"/>
      <c r="N732" s="12">
        <f>IF($A732="","",IF($G732="","",IF($M732="Oui","Litige",IF($J732&lt;=0,"Payé",IF($I732&gt;0,"Partiel",IF(Listes!$B$3&gt;$G732,"En retard","À échoir"))))))</f>
        <v/>
      </c>
      <c r="O732" s="11">
        <f>IF($A732="","",IF(OR($G732="", $J732&lt;=0),0,MAX(0,Listes!$B$3-$G732)))</f>
        <v/>
      </c>
      <c r="P732" s="12">
        <f>IF($A732="","",IF($J732&lt;=0,"Payé",IF($M732="Oui","Litige",IF($O732=0,"À échoir",IF($O732&lt;=30,"0-30",IF($O732&lt;=60,"31-60",IF($O732&lt;=90,"61-90","90+")))))))</f>
        <v/>
      </c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9">
        <f>IF($A733="","",SUMIFS(Ventes_Encaissements!$D$6:$D$3005,Ventes_Encaissements!$B$6:$B$3005,$A733))</f>
        <v/>
      </c>
      <c r="J733" s="9">
        <f>IF($A733="","",$H733-$I733)</f>
        <v/>
      </c>
      <c r="K733" s="10">
        <f>IF($A733="","",IF($I733=0,"",_xludf.AGGREGATE(14,6,Ventes_Encaissements!$C$6:$C$3005/(Ventes_Encaissements!$B$6:$B$3005=$A733),1)))</f>
        <v/>
      </c>
      <c r="L733" s="11">
        <f>IF($A733="","",COUNTIFS(Ventes_Detail!$B$6:$B$3005,$A733))</f>
        <v/>
      </c>
      <c r="M733" s="12" t="n"/>
      <c r="N733" s="12">
        <f>IF($A733="","",IF($G733="","",IF($M733="Oui","Litige",IF($J733&lt;=0,"Payé",IF($I733&gt;0,"Partiel",IF(Listes!$B$3&gt;$G733,"En retard","À échoir"))))))</f>
        <v/>
      </c>
      <c r="O733" s="11">
        <f>IF($A733="","",IF(OR($G733="", $J733&lt;=0),0,MAX(0,Listes!$B$3-$G733)))</f>
        <v/>
      </c>
      <c r="P733" s="12">
        <f>IF($A733="","",IF($J733&lt;=0,"Payé",IF($M733="Oui","Litige",IF($O733=0,"À échoir",IF($O733&lt;=30,"0-30",IF($O733&lt;=60,"31-60",IF($O733&lt;=90,"61-90","90+")))))))</f>
        <v/>
      </c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9">
        <f>IF($A734="","",SUMIFS(Ventes_Encaissements!$D$6:$D$3005,Ventes_Encaissements!$B$6:$B$3005,$A734))</f>
        <v/>
      </c>
      <c r="J734" s="9">
        <f>IF($A734="","",$H734-$I734)</f>
        <v/>
      </c>
      <c r="K734" s="10">
        <f>IF($A734="","",IF($I734=0,"",_xludf.AGGREGATE(14,6,Ventes_Encaissements!$C$6:$C$3005/(Ventes_Encaissements!$B$6:$B$3005=$A734),1)))</f>
        <v/>
      </c>
      <c r="L734" s="11">
        <f>IF($A734="","",COUNTIFS(Ventes_Detail!$B$6:$B$3005,$A734))</f>
        <v/>
      </c>
      <c r="M734" s="12" t="n"/>
      <c r="N734" s="12">
        <f>IF($A734="","",IF($G734="","",IF($M734="Oui","Litige",IF($J734&lt;=0,"Payé",IF($I734&gt;0,"Partiel",IF(Listes!$B$3&gt;$G734,"En retard","À échoir"))))))</f>
        <v/>
      </c>
      <c r="O734" s="11">
        <f>IF($A734="","",IF(OR($G734="", $J734&lt;=0),0,MAX(0,Listes!$B$3-$G734)))</f>
        <v/>
      </c>
      <c r="P734" s="12">
        <f>IF($A734="","",IF($J734&lt;=0,"Payé",IF($M734="Oui","Litige",IF($O734=0,"À échoir",IF($O734&lt;=30,"0-30",IF($O734&lt;=60,"31-60",IF($O734&lt;=90,"61-90","90+")))))))</f>
        <v/>
      </c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9">
        <f>IF($A735="","",SUMIFS(Ventes_Encaissements!$D$6:$D$3005,Ventes_Encaissements!$B$6:$B$3005,$A735))</f>
        <v/>
      </c>
      <c r="J735" s="9">
        <f>IF($A735="","",$H735-$I735)</f>
        <v/>
      </c>
      <c r="K735" s="10">
        <f>IF($A735="","",IF($I735=0,"",_xludf.AGGREGATE(14,6,Ventes_Encaissements!$C$6:$C$3005/(Ventes_Encaissements!$B$6:$B$3005=$A735),1)))</f>
        <v/>
      </c>
      <c r="L735" s="11">
        <f>IF($A735="","",COUNTIFS(Ventes_Detail!$B$6:$B$3005,$A735))</f>
        <v/>
      </c>
      <c r="M735" s="12" t="n"/>
      <c r="N735" s="12">
        <f>IF($A735="","",IF($G735="","",IF($M735="Oui","Litige",IF($J735&lt;=0,"Payé",IF($I735&gt;0,"Partiel",IF(Listes!$B$3&gt;$G735,"En retard","À échoir"))))))</f>
        <v/>
      </c>
      <c r="O735" s="11">
        <f>IF($A735="","",IF(OR($G735="", $J735&lt;=0),0,MAX(0,Listes!$B$3-$G735)))</f>
        <v/>
      </c>
      <c r="P735" s="12">
        <f>IF($A735="","",IF($J735&lt;=0,"Payé",IF($M735="Oui","Litige",IF($O735=0,"À échoir",IF($O735&lt;=30,"0-30",IF($O735&lt;=60,"31-60",IF($O735&lt;=90,"61-90","90+")))))))</f>
        <v/>
      </c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9">
        <f>IF($A736="","",SUMIFS(Ventes_Encaissements!$D$6:$D$3005,Ventes_Encaissements!$B$6:$B$3005,$A736))</f>
        <v/>
      </c>
      <c r="J736" s="9">
        <f>IF($A736="","",$H736-$I736)</f>
        <v/>
      </c>
      <c r="K736" s="10">
        <f>IF($A736="","",IF($I736=0,"",_xludf.AGGREGATE(14,6,Ventes_Encaissements!$C$6:$C$3005/(Ventes_Encaissements!$B$6:$B$3005=$A736),1)))</f>
        <v/>
      </c>
      <c r="L736" s="11">
        <f>IF($A736="","",COUNTIFS(Ventes_Detail!$B$6:$B$3005,$A736))</f>
        <v/>
      </c>
      <c r="M736" s="12" t="n"/>
      <c r="N736" s="12">
        <f>IF($A736="","",IF($G736="","",IF($M736="Oui","Litige",IF($J736&lt;=0,"Payé",IF($I736&gt;0,"Partiel",IF(Listes!$B$3&gt;$G736,"En retard","À échoir"))))))</f>
        <v/>
      </c>
      <c r="O736" s="11">
        <f>IF($A736="","",IF(OR($G736="", $J736&lt;=0),0,MAX(0,Listes!$B$3-$G736)))</f>
        <v/>
      </c>
      <c r="P736" s="12">
        <f>IF($A736="","",IF($J736&lt;=0,"Payé",IF($M736="Oui","Litige",IF($O736=0,"À échoir",IF($O736&lt;=30,"0-30",IF($O736&lt;=60,"31-60",IF($O736&lt;=90,"61-90","90+")))))))</f>
        <v/>
      </c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9">
        <f>IF($A737="","",SUMIFS(Ventes_Encaissements!$D$6:$D$3005,Ventes_Encaissements!$B$6:$B$3005,$A737))</f>
        <v/>
      </c>
      <c r="J737" s="9">
        <f>IF($A737="","",$H737-$I737)</f>
        <v/>
      </c>
      <c r="K737" s="10">
        <f>IF($A737="","",IF($I737=0,"",_xludf.AGGREGATE(14,6,Ventes_Encaissements!$C$6:$C$3005/(Ventes_Encaissements!$B$6:$B$3005=$A737),1)))</f>
        <v/>
      </c>
      <c r="L737" s="11">
        <f>IF($A737="","",COUNTIFS(Ventes_Detail!$B$6:$B$3005,$A737))</f>
        <v/>
      </c>
      <c r="M737" s="12" t="n"/>
      <c r="N737" s="12">
        <f>IF($A737="","",IF($G737="","",IF($M737="Oui","Litige",IF($J737&lt;=0,"Payé",IF($I737&gt;0,"Partiel",IF(Listes!$B$3&gt;$G737,"En retard","À échoir"))))))</f>
        <v/>
      </c>
      <c r="O737" s="11">
        <f>IF($A737="","",IF(OR($G737="", $J737&lt;=0),0,MAX(0,Listes!$B$3-$G737)))</f>
        <v/>
      </c>
      <c r="P737" s="12">
        <f>IF($A737="","",IF($J737&lt;=0,"Payé",IF($M737="Oui","Litige",IF($O737=0,"À échoir",IF($O737&lt;=30,"0-30",IF($O737&lt;=60,"31-60",IF($O737&lt;=90,"61-90","90+")))))))</f>
        <v/>
      </c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9">
        <f>IF($A738="","",SUMIFS(Ventes_Encaissements!$D$6:$D$3005,Ventes_Encaissements!$B$6:$B$3005,$A738))</f>
        <v/>
      </c>
      <c r="J738" s="9">
        <f>IF($A738="","",$H738-$I738)</f>
        <v/>
      </c>
      <c r="K738" s="10">
        <f>IF($A738="","",IF($I738=0,"",_xludf.AGGREGATE(14,6,Ventes_Encaissements!$C$6:$C$3005/(Ventes_Encaissements!$B$6:$B$3005=$A738),1)))</f>
        <v/>
      </c>
      <c r="L738" s="11">
        <f>IF($A738="","",COUNTIFS(Ventes_Detail!$B$6:$B$3005,$A738))</f>
        <v/>
      </c>
      <c r="M738" s="12" t="n"/>
      <c r="N738" s="12">
        <f>IF($A738="","",IF($G738="","",IF($M738="Oui","Litige",IF($J738&lt;=0,"Payé",IF($I738&gt;0,"Partiel",IF(Listes!$B$3&gt;$G738,"En retard","À échoir"))))))</f>
        <v/>
      </c>
      <c r="O738" s="11">
        <f>IF($A738="","",IF(OR($G738="", $J738&lt;=0),0,MAX(0,Listes!$B$3-$G738)))</f>
        <v/>
      </c>
      <c r="P738" s="12">
        <f>IF($A738="","",IF($J738&lt;=0,"Payé",IF($M738="Oui","Litige",IF($O738=0,"À échoir",IF($O738&lt;=30,"0-30",IF($O738&lt;=60,"31-60",IF($O738&lt;=90,"61-90","90+")))))))</f>
        <v/>
      </c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9">
        <f>IF($A739="","",SUMIFS(Ventes_Encaissements!$D$6:$D$3005,Ventes_Encaissements!$B$6:$B$3005,$A739))</f>
        <v/>
      </c>
      <c r="J739" s="9">
        <f>IF($A739="","",$H739-$I739)</f>
        <v/>
      </c>
      <c r="K739" s="10">
        <f>IF($A739="","",IF($I739=0,"",_xludf.AGGREGATE(14,6,Ventes_Encaissements!$C$6:$C$3005/(Ventes_Encaissements!$B$6:$B$3005=$A739),1)))</f>
        <v/>
      </c>
      <c r="L739" s="11">
        <f>IF($A739="","",COUNTIFS(Ventes_Detail!$B$6:$B$3005,$A739))</f>
        <v/>
      </c>
      <c r="M739" s="12" t="n"/>
      <c r="N739" s="12">
        <f>IF($A739="","",IF($G739="","",IF($M739="Oui","Litige",IF($J739&lt;=0,"Payé",IF($I739&gt;0,"Partiel",IF(Listes!$B$3&gt;$G739,"En retard","À échoir"))))))</f>
        <v/>
      </c>
      <c r="O739" s="11">
        <f>IF($A739="","",IF(OR($G739="", $J739&lt;=0),0,MAX(0,Listes!$B$3-$G739)))</f>
        <v/>
      </c>
      <c r="P739" s="12">
        <f>IF($A739="","",IF($J739&lt;=0,"Payé",IF($M739="Oui","Litige",IF($O739=0,"À échoir",IF($O739&lt;=30,"0-30",IF($O739&lt;=60,"31-60",IF($O739&lt;=90,"61-90","90+")))))))</f>
        <v/>
      </c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9">
        <f>IF($A740="","",SUMIFS(Ventes_Encaissements!$D$6:$D$3005,Ventes_Encaissements!$B$6:$B$3005,$A740))</f>
        <v/>
      </c>
      <c r="J740" s="9">
        <f>IF($A740="","",$H740-$I740)</f>
        <v/>
      </c>
      <c r="K740" s="10">
        <f>IF($A740="","",IF($I740=0,"",_xludf.AGGREGATE(14,6,Ventes_Encaissements!$C$6:$C$3005/(Ventes_Encaissements!$B$6:$B$3005=$A740),1)))</f>
        <v/>
      </c>
      <c r="L740" s="11">
        <f>IF($A740="","",COUNTIFS(Ventes_Detail!$B$6:$B$3005,$A740))</f>
        <v/>
      </c>
      <c r="M740" s="12" t="n"/>
      <c r="N740" s="12">
        <f>IF($A740="","",IF($G740="","",IF($M740="Oui","Litige",IF($J740&lt;=0,"Payé",IF($I740&gt;0,"Partiel",IF(Listes!$B$3&gt;$G740,"En retard","À échoir"))))))</f>
        <v/>
      </c>
      <c r="O740" s="11">
        <f>IF($A740="","",IF(OR($G740="", $J740&lt;=0),0,MAX(0,Listes!$B$3-$G740)))</f>
        <v/>
      </c>
      <c r="P740" s="12">
        <f>IF($A740="","",IF($J740&lt;=0,"Payé",IF($M740="Oui","Litige",IF($O740=0,"À échoir",IF($O740&lt;=30,"0-30",IF($O740&lt;=60,"31-60",IF($O740&lt;=90,"61-90","90+")))))))</f>
        <v/>
      </c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9">
        <f>IF($A741="","",SUMIFS(Ventes_Encaissements!$D$6:$D$3005,Ventes_Encaissements!$B$6:$B$3005,$A741))</f>
        <v/>
      </c>
      <c r="J741" s="9">
        <f>IF($A741="","",$H741-$I741)</f>
        <v/>
      </c>
      <c r="K741" s="10">
        <f>IF($A741="","",IF($I741=0,"",_xludf.AGGREGATE(14,6,Ventes_Encaissements!$C$6:$C$3005/(Ventes_Encaissements!$B$6:$B$3005=$A741),1)))</f>
        <v/>
      </c>
      <c r="L741" s="11">
        <f>IF($A741="","",COUNTIFS(Ventes_Detail!$B$6:$B$3005,$A741))</f>
        <v/>
      </c>
      <c r="M741" s="12" t="n"/>
      <c r="N741" s="12">
        <f>IF($A741="","",IF($G741="","",IF($M741="Oui","Litige",IF($J741&lt;=0,"Payé",IF($I741&gt;0,"Partiel",IF(Listes!$B$3&gt;$G741,"En retard","À échoir"))))))</f>
        <v/>
      </c>
      <c r="O741" s="11">
        <f>IF($A741="","",IF(OR($G741="", $J741&lt;=0),0,MAX(0,Listes!$B$3-$G741)))</f>
        <v/>
      </c>
      <c r="P741" s="12">
        <f>IF($A741="","",IF($J741&lt;=0,"Payé",IF($M741="Oui","Litige",IF($O741=0,"À échoir",IF($O741&lt;=30,"0-30",IF($O741&lt;=60,"31-60",IF($O741&lt;=90,"61-90","90+")))))))</f>
        <v/>
      </c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9">
        <f>IF($A742="","",SUMIFS(Ventes_Encaissements!$D$6:$D$3005,Ventes_Encaissements!$B$6:$B$3005,$A742))</f>
        <v/>
      </c>
      <c r="J742" s="9">
        <f>IF($A742="","",$H742-$I742)</f>
        <v/>
      </c>
      <c r="K742" s="10">
        <f>IF($A742="","",IF($I742=0,"",_xludf.AGGREGATE(14,6,Ventes_Encaissements!$C$6:$C$3005/(Ventes_Encaissements!$B$6:$B$3005=$A742),1)))</f>
        <v/>
      </c>
      <c r="L742" s="11">
        <f>IF($A742="","",COUNTIFS(Ventes_Detail!$B$6:$B$3005,$A742))</f>
        <v/>
      </c>
      <c r="M742" s="12" t="n"/>
      <c r="N742" s="12">
        <f>IF($A742="","",IF($G742="","",IF($M742="Oui","Litige",IF($J742&lt;=0,"Payé",IF($I742&gt;0,"Partiel",IF(Listes!$B$3&gt;$G742,"En retard","À échoir"))))))</f>
        <v/>
      </c>
      <c r="O742" s="11">
        <f>IF($A742="","",IF(OR($G742="", $J742&lt;=0),0,MAX(0,Listes!$B$3-$G742)))</f>
        <v/>
      </c>
      <c r="P742" s="12">
        <f>IF($A742="","",IF($J742&lt;=0,"Payé",IF($M742="Oui","Litige",IF($O742=0,"À échoir",IF($O742&lt;=30,"0-30",IF($O742&lt;=60,"31-60",IF($O742&lt;=90,"61-90","90+")))))))</f>
        <v/>
      </c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9">
        <f>IF($A743="","",SUMIFS(Ventes_Encaissements!$D$6:$D$3005,Ventes_Encaissements!$B$6:$B$3005,$A743))</f>
        <v/>
      </c>
      <c r="J743" s="9">
        <f>IF($A743="","",$H743-$I743)</f>
        <v/>
      </c>
      <c r="K743" s="10">
        <f>IF($A743="","",IF($I743=0,"",_xludf.AGGREGATE(14,6,Ventes_Encaissements!$C$6:$C$3005/(Ventes_Encaissements!$B$6:$B$3005=$A743),1)))</f>
        <v/>
      </c>
      <c r="L743" s="11">
        <f>IF($A743="","",COUNTIFS(Ventes_Detail!$B$6:$B$3005,$A743))</f>
        <v/>
      </c>
      <c r="M743" s="12" t="n"/>
      <c r="N743" s="12">
        <f>IF($A743="","",IF($G743="","",IF($M743="Oui","Litige",IF($J743&lt;=0,"Payé",IF($I743&gt;0,"Partiel",IF(Listes!$B$3&gt;$G743,"En retard","À échoir"))))))</f>
        <v/>
      </c>
      <c r="O743" s="11">
        <f>IF($A743="","",IF(OR($G743="", $J743&lt;=0),0,MAX(0,Listes!$B$3-$G743)))</f>
        <v/>
      </c>
      <c r="P743" s="12">
        <f>IF($A743="","",IF($J743&lt;=0,"Payé",IF($M743="Oui","Litige",IF($O743=0,"À échoir",IF($O743&lt;=30,"0-30",IF($O743&lt;=60,"31-60",IF($O743&lt;=90,"61-90","90+")))))))</f>
        <v/>
      </c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9">
        <f>IF($A744="","",SUMIFS(Ventes_Encaissements!$D$6:$D$3005,Ventes_Encaissements!$B$6:$B$3005,$A744))</f>
        <v/>
      </c>
      <c r="J744" s="9">
        <f>IF($A744="","",$H744-$I744)</f>
        <v/>
      </c>
      <c r="K744" s="10">
        <f>IF($A744="","",IF($I744=0,"",_xludf.AGGREGATE(14,6,Ventes_Encaissements!$C$6:$C$3005/(Ventes_Encaissements!$B$6:$B$3005=$A744),1)))</f>
        <v/>
      </c>
      <c r="L744" s="11">
        <f>IF($A744="","",COUNTIFS(Ventes_Detail!$B$6:$B$3005,$A744))</f>
        <v/>
      </c>
      <c r="M744" s="12" t="n"/>
      <c r="N744" s="12">
        <f>IF($A744="","",IF($G744="","",IF($M744="Oui","Litige",IF($J744&lt;=0,"Payé",IF($I744&gt;0,"Partiel",IF(Listes!$B$3&gt;$G744,"En retard","À échoir"))))))</f>
        <v/>
      </c>
      <c r="O744" s="11">
        <f>IF($A744="","",IF(OR($G744="", $J744&lt;=0),0,MAX(0,Listes!$B$3-$G744)))</f>
        <v/>
      </c>
      <c r="P744" s="12">
        <f>IF($A744="","",IF($J744&lt;=0,"Payé",IF($M744="Oui","Litige",IF($O744=0,"À échoir",IF($O744&lt;=30,"0-30",IF($O744&lt;=60,"31-60",IF($O744&lt;=90,"61-90","90+")))))))</f>
        <v/>
      </c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9">
        <f>IF($A745="","",SUMIFS(Ventes_Encaissements!$D$6:$D$3005,Ventes_Encaissements!$B$6:$B$3005,$A745))</f>
        <v/>
      </c>
      <c r="J745" s="9">
        <f>IF($A745="","",$H745-$I745)</f>
        <v/>
      </c>
      <c r="K745" s="10">
        <f>IF($A745="","",IF($I745=0,"",_xludf.AGGREGATE(14,6,Ventes_Encaissements!$C$6:$C$3005/(Ventes_Encaissements!$B$6:$B$3005=$A745),1)))</f>
        <v/>
      </c>
      <c r="L745" s="11">
        <f>IF($A745="","",COUNTIFS(Ventes_Detail!$B$6:$B$3005,$A745))</f>
        <v/>
      </c>
      <c r="M745" s="12" t="n"/>
      <c r="N745" s="12">
        <f>IF($A745="","",IF($G745="","",IF($M745="Oui","Litige",IF($J745&lt;=0,"Payé",IF($I745&gt;0,"Partiel",IF(Listes!$B$3&gt;$G745,"En retard","À échoir"))))))</f>
        <v/>
      </c>
      <c r="O745" s="11">
        <f>IF($A745="","",IF(OR($G745="", $J745&lt;=0),0,MAX(0,Listes!$B$3-$G745)))</f>
        <v/>
      </c>
      <c r="P745" s="12">
        <f>IF($A745="","",IF($J745&lt;=0,"Payé",IF($M745="Oui","Litige",IF($O745=0,"À échoir",IF($O745&lt;=30,"0-30",IF($O745&lt;=60,"31-60",IF($O745&lt;=90,"61-90","90+")))))))</f>
        <v/>
      </c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9">
        <f>IF($A746="","",SUMIFS(Ventes_Encaissements!$D$6:$D$3005,Ventes_Encaissements!$B$6:$B$3005,$A746))</f>
        <v/>
      </c>
      <c r="J746" s="9">
        <f>IF($A746="","",$H746-$I746)</f>
        <v/>
      </c>
      <c r="K746" s="10">
        <f>IF($A746="","",IF($I746=0,"",_xludf.AGGREGATE(14,6,Ventes_Encaissements!$C$6:$C$3005/(Ventes_Encaissements!$B$6:$B$3005=$A746),1)))</f>
        <v/>
      </c>
      <c r="L746" s="11">
        <f>IF($A746="","",COUNTIFS(Ventes_Detail!$B$6:$B$3005,$A746))</f>
        <v/>
      </c>
      <c r="M746" s="12" t="n"/>
      <c r="N746" s="12">
        <f>IF($A746="","",IF($G746="","",IF($M746="Oui","Litige",IF($J746&lt;=0,"Payé",IF($I746&gt;0,"Partiel",IF(Listes!$B$3&gt;$G746,"En retard","À échoir"))))))</f>
        <v/>
      </c>
      <c r="O746" s="11">
        <f>IF($A746="","",IF(OR($G746="", $J746&lt;=0),0,MAX(0,Listes!$B$3-$G746)))</f>
        <v/>
      </c>
      <c r="P746" s="12">
        <f>IF($A746="","",IF($J746&lt;=0,"Payé",IF($M746="Oui","Litige",IF($O746=0,"À échoir",IF($O746&lt;=30,"0-30",IF($O746&lt;=60,"31-60",IF($O746&lt;=90,"61-90","90+")))))))</f>
        <v/>
      </c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9">
        <f>IF($A747="","",SUMIFS(Ventes_Encaissements!$D$6:$D$3005,Ventes_Encaissements!$B$6:$B$3005,$A747))</f>
        <v/>
      </c>
      <c r="J747" s="9">
        <f>IF($A747="","",$H747-$I747)</f>
        <v/>
      </c>
      <c r="K747" s="10">
        <f>IF($A747="","",IF($I747=0,"",_xludf.AGGREGATE(14,6,Ventes_Encaissements!$C$6:$C$3005/(Ventes_Encaissements!$B$6:$B$3005=$A747),1)))</f>
        <v/>
      </c>
      <c r="L747" s="11">
        <f>IF($A747="","",COUNTIFS(Ventes_Detail!$B$6:$B$3005,$A747))</f>
        <v/>
      </c>
      <c r="M747" s="12" t="n"/>
      <c r="N747" s="12">
        <f>IF($A747="","",IF($G747="","",IF($M747="Oui","Litige",IF($J747&lt;=0,"Payé",IF($I747&gt;0,"Partiel",IF(Listes!$B$3&gt;$G747,"En retard","À échoir"))))))</f>
        <v/>
      </c>
      <c r="O747" s="11">
        <f>IF($A747="","",IF(OR($G747="", $J747&lt;=0),0,MAX(0,Listes!$B$3-$G747)))</f>
        <v/>
      </c>
      <c r="P747" s="12">
        <f>IF($A747="","",IF($J747&lt;=0,"Payé",IF($M747="Oui","Litige",IF($O747=0,"À échoir",IF($O747&lt;=30,"0-30",IF($O747&lt;=60,"31-60",IF($O747&lt;=90,"61-90","90+")))))))</f>
        <v/>
      </c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9">
        <f>IF($A748="","",SUMIFS(Ventes_Encaissements!$D$6:$D$3005,Ventes_Encaissements!$B$6:$B$3005,$A748))</f>
        <v/>
      </c>
      <c r="J748" s="9">
        <f>IF($A748="","",$H748-$I748)</f>
        <v/>
      </c>
      <c r="K748" s="10">
        <f>IF($A748="","",IF($I748=0,"",_xludf.AGGREGATE(14,6,Ventes_Encaissements!$C$6:$C$3005/(Ventes_Encaissements!$B$6:$B$3005=$A748),1)))</f>
        <v/>
      </c>
      <c r="L748" s="11">
        <f>IF($A748="","",COUNTIFS(Ventes_Detail!$B$6:$B$3005,$A748))</f>
        <v/>
      </c>
      <c r="M748" s="12" t="n"/>
      <c r="N748" s="12">
        <f>IF($A748="","",IF($G748="","",IF($M748="Oui","Litige",IF($J748&lt;=0,"Payé",IF($I748&gt;0,"Partiel",IF(Listes!$B$3&gt;$G748,"En retard","À échoir"))))))</f>
        <v/>
      </c>
      <c r="O748" s="11">
        <f>IF($A748="","",IF(OR($G748="", $J748&lt;=0),0,MAX(0,Listes!$B$3-$G748)))</f>
        <v/>
      </c>
      <c r="P748" s="12">
        <f>IF($A748="","",IF($J748&lt;=0,"Payé",IF($M748="Oui","Litige",IF($O748=0,"À échoir",IF($O748&lt;=30,"0-30",IF($O748&lt;=60,"31-60",IF($O748&lt;=90,"61-90","90+")))))))</f>
        <v/>
      </c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9">
        <f>IF($A749="","",SUMIFS(Ventes_Encaissements!$D$6:$D$3005,Ventes_Encaissements!$B$6:$B$3005,$A749))</f>
        <v/>
      </c>
      <c r="J749" s="9">
        <f>IF($A749="","",$H749-$I749)</f>
        <v/>
      </c>
      <c r="K749" s="10">
        <f>IF($A749="","",IF($I749=0,"",_xludf.AGGREGATE(14,6,Ventes_Encaissements!$C$6:$C$3005/(Ventes_Encaissements!$B$6:$B$3005=$A749),1)))</f>
        <v/>
      </c>
      <c r="L749" s="11">
        <f>IF($A749="","",COUNTIFS(Ventes_Detail!$B$6:$B$3005,$A749))</f>
        <v/>
      </c>
      <c r="M749" s="12" t="n"/>
      <c r="N749" s="12">
        <f>IF($A749="","",IF($G749="","",IF($M749="Oui","Litige",IF($J749&lt;=0,"Payé",IF($I749&gt;0,"Partiel",IF(Listes!$B$3&gt;$G749,"En retard","À échoir"))))))</f>
        <v/>
      </c>
      <c r="O749" s="11">
        <f>IF($A749="","",IF(OR($G749="", $J749&lt;=0),0,MAX(0,Listes!$B$3-$G749)))</f>
        <v/>
      </c>
      <c r="P749" s="12">
        <f>IF($A749="","",IF($J749&lt;=0,"Payé",IF($M749="Oui","Litige",IF($O749=0,"À échoir",IF($O749&lt;=30,"0-30",IF($O749&lt;=60,"31-60",IF($O749&lt;=90,"61-90","90+")))))))</f>
        <v/>
      </c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9">
        <f>IF($A750="","",SUMIFS(Ventes_Encaissements!$D$6:$D$3005,Ventes_Encaissements!$B$6:$B$3005,$A750))</f>
        <v/>
      </c>
      <c r="J750" s="9">
        <f>IF($A750="","",$H750-$I750)</f>
        <v/>
      </c>
      <c r="K750" s="10">
        <f>IF($A750="","",IF($I750=0,"",_xludf.AGGREGATE(14,6,Ventes_Encaissements!$C$6:$C$3005/(Ventes_Encaissements!$B$6:$B$3005=$A750),1)))</f>
        <v/>
      </c>
      <c r="L750" s="11">
        <f>IF($A750="","",COUNTIFS(Ventes_Detail!$B$6:$B$3005,$A750))</f>
        <v/>
      </c>
      <c r="M750" s="12" t="n"/>
      <c r="N750" s="12">
        <f>IF($A750="","",IF($G750="","",IF($M750="Oui","Litige",IF($J750&lt;=0,"Payé",IF($I750&gt;0,"Partiel",IF(Listes!$B$3&gt;$G750,"En retard","À échoir"))))))</f>
        <v/>
      </c>
      <c r="O750" s="11">
        <f>IF($A750="","",IF(OR($G750="", $J750&lt;=0),0,MAX(0,Listes!$B$3-$G750)))</f>
        <v/>
      </c>
      <c r="P750" s="12">
        <f>IF($A750="","",IF($J750&lt;=0,"Payé",IF($M750="Oui","Litige",IF($O750=0,"À échoir",IF($O750&lt;=30,"0-30",IF($O750&lt;=60,"31-60",IF($O750&lt;=90,"61-90","90+")))))))</f>
        <v/>
      </c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9">
        <f>IF($A751="","",SUMIFS(Ventes_Encaissements!$D$6:$D$3005,Ventes_Encaissements!$B$6:$B$3005,$A751))</f>
        <v/>
      </c>
      <c r="J751" s="9">
        <f>IF($A751="","",$H751-$I751)</f>
        <v/>
      </c>
      <c r="K751" s="10">
        <f>IF($A751="","",IF($I751=0,"",_xludf.AGGREGATE(14,6,Ventes_Encaissements!$C$6:$C$3005/(Ventes_Encaissements!$B$6:$B$3005=$A751),1)))</f>
        <v/>
      </c>
      <c r="L751" s="11">
        <f>IF($A751="","",COUNTIFS(Ventes_Detail!$B$6:$B$3005,$A751))</f>
        <v/>
      </c>
      <c r="M751" s="12" t="n"/>
      <c r="N751" s="12">
        <f>IF($A751="","",IF($G751="","",IF($M751="Oui","Litige",IF($J751&lt;=0,"Payé",IF($I751&gt;0,"Partiel",IF(Listes!$B$3&gt;$G751,"En retard","À échoir"))))))</f>
        <v/>
      </c>
      <c r="O751" s="11">
        <f>IF($A751="","",IF(OR($G751="", $J751&lt;=0),0,MAX(0,Listes!$B$3-$G751)))</f>
        <v/>
      </c>
      <c r="P751" s="12">
        <f>IF($A751="","",IF($J751&lt;=0,"Payé",IF($M751="Oui","Litige",IF($O751=0,"À échoir",IF($O751&lt;=30,"0-30",IF($O751&lt;=60,"31-60",IF($O751&lt;=90,"61-90","90+")))))))</f>
        <v/>
      </c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9">
        <f>IF($A752="","",SUMIFS(Ventes_Encaissements!$D$6:$D$3005,Ventes_Encaissements!$B$6:$B$3005,$A752))</f>
        <v/>
      </c>
      <c r="J752" s="9">
        <f>IF($A752="","",$H752-$I752)</f>
        <v/>
      </c>
      <c r="K752" s="10">
        <f>IF($A752="","",IF($I752=0,"",_xludf.AGGREGATE(14,6,Ventes_Encaissements!$C$6:$C$3005/(Ventes_Encaissements!$B$6:$B$3005=$A752),1)))</f>
        <v/>
      </c>
      <c r="L752" s="11">
        <f>IF($A752="","",COUNTIFS(Ventes_Detail!$B$6:$B$3005,$A752))</f>
        <v/>
      </c>
      <c r="M752" s="12" t="n"/>
      <c r="N752" s="12">
        <f>IF($A752="","",IF($G752="","",IF($M752="Oui","Litige",IF($J752&lt;=0,"Payé",IF($I752&gt;0,"Partiel",IF(Listes!$B$3&gt;$G752,"En retard","À échoir"))))))</f>
        <v/>
      </c>
      <c r="O752" s="11">
        <f>IF($A752="","",IF(OR($G752="", $J752&lt;=0),0,MAX(0,Listes!$B$3-$G752)))</f>
        <v/>
      </c>
      <c r="P752" s="12">
        <f>IF($A752="","",IF($J752&lt;=0,"Payé",IF($M752="Oui","Litige",IF($O752=0,"À échoir",IF($O752&lt;=30,"0-30",IF($O752&lt;=60,"31-60",IF($O752&lt;=90,"61-90","90+")))))))</f>
        <v/>
      </c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9">
        <f>IF($A753="","",SUMIFS(Ventes_Encaissements!$D$6:$D$3005,Ventes_Encaissements!$B$6:$B$3005,$A753))</f>
        <v/>
      </c>
      <c r="J753" s="9">
        <f>IF($A753="","",$H753-$I753)</f>
        <v/>
      </c>
      <c r="K753" s="10">
        <f>IF($A753="","",IF($I753=0,"",_xludf.AGGREGATE(14,6,Ventes_Encaissements!$C$6:$C$3005/(Ventes_Encaissements!$B$6:$B$3005=$A753),1)))</f>
        <v/>
      </c>
      <c r="L753" s="11">
        <f>IF($A753="","",COUNTIFS(Ventes_Detail!$B$6:$B$3005,$A753))</f>
        <v/>
      </c>
      <c r="M753" s="12" t="n"/>
      <c r="N753" s="12">
        <f>IF($A753="","",IF($G753="","",IF($M753="Oui","Litige",IF($J753&lt;=0,"Payé",IF($I753&gt;0,"Partiel",IF(Listes!$B$3&gt;$G753,"En retard","À échoir"))))))</f>
        <v/>
      </c>
      <c r="O753" s="11">
        <f>IF($A753="","",IF(OR($G753="", $J753&lt;=0),0,MAX(0,Listes!$B$3-$G753)))</f>
        <v/>
      </c>
      <c r="P753" s="12">
        <f>IF($A753="","",IF($J753&lt;=0,"Payé",IF($M753="Oui","Litige",IF($O753=0,"À échoir",IF($O753&lt;=30,"0-30",IF($O753&lt;=60,"31-60",IF($O753&lt;=90,"61-90","90+")))))))</f>
        <v/>
      </c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9">
        <f>IF($A754="","",SUMIFS(Ventes_Encaissements!$D$6:$D$3005,Ventes_Encaissements!$B$6:$B$3005,$A754))</f>
        <v/>
      </c>
      <c r="J754" s="9">
        <f>IF($A754="","",$H754-$I754)</f>
        <v/>
      </c>
      <c r="K754" s="10">
        <f>IF($A754="","",IF($I754=0,"",_xludf.AGGREGATE(14,6,Ventes_Encaissements!$C$6:$C$3005/(Ventes_Encaissements!$B$6:$B$3005=$A754),1)))</f>
        <v/>
      </c>
      <c r="L754" s="11">
        <f>IF($A754="","",COUNTIFS(Ventes_Detail!$B$6:$B$3005,$A754))</f>
        <v/>
      </c>
      <c r="M754" s="12" t="n"/>
      <c r="N754" s="12">
        <f>IF($A754="","",IF($G754="","",IF($M754="Oui","Litige",IF($J754&lt;=0,"Payé",IF($I754&gt;0,"Partiel",IF(Listes!$B$3&gt;$G754,"En retard","À échoir"))))))</f>
        <v/>
      </c>
      <c r="O754" s="11">
        <f>IF($A754="","",IF(OR($G754="", $J754&lt;=0),0,MAX(0,Listes!$B$3-$G754)))</f>
        <v/>
      </c>
      <c r="P754" s="12">
        <f>IF($A754="","",IF($J754&lt;=0,"Payé",IF($M754="Oui","Litige",IF($O754=0,"À échoir",IF($O754&lt;=30,"0-30",IF($O754&lt;=60,"31-60",IF($O754&lt;=90,"61-90","90+")))))))</f>
        <v/>
      </c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9">
        <f>IF($A755="","",SUMIFS(Ventes_Encaissements!$D$6:$D$3005,Ventes_Encaissements!$B$6:$B$3005,$A755))</f>
        <v/>
      </c>
      <c r="J755" s="9">
        <f>IF($A755="","",$H755-$I755)</f>
        <v/>
      </c>
      <c r="K755" s="10">
        <f>IF($A755="","",IF($I755=0,"",_xludf.AGGREGATE(14,6,Ventes_Encaissements!$C$6:$C$3005/(Ventes_Encaissements!$B$6:$B$3005=$A755),1)))</f>
        <v/>
      </c>
      <c r="L755" s="11">
        <f>IF($A755="","",COUNTIFS(Ventes_Detail!$B$6:$B$3005,$A755))</f>
        <v/>
      </c>
      <c r="M755" s="12" t="n"/>
      <c r="N755" s="12">
        <f>IF($A755="","",IF($G755="","",IF($M755="Oui","Litige",IF($J755&lt;=0,"Payé",IF($I755&gt;0,"Partiel",IF(Listes!$B$3&gt;$G755,"En retard","À échoir"))))))</f>
        <v/>
      </c>
      <c r="O755" s="11">
        <f>IF($A755="","",IF(OR($G755="", $J755&lt;=0),0,MAX(0,Listes!$B$3-$G755)))</f>
        <v/>
      </c>
      <c r="P755" s="12">
        <f>IF($A755="","",IF($J755&lt;=0,"Payé",IF($M755="Oui","Litige",IF($O755=0,"À échoir",IF($O755&lt;=30,"0-30",IF($O755&lt;=60,"31-60",IF($O755&lt;=90,"61-90","90+")))))))</f>
        <v/>
      </c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9">
        <f>IF($A756="","",SUMIFS(Ventes_Encaissements!$D$6:$D$3005,Ventes_Encaissements!$B$6:$B$3005,$A756))</f>
        <v/>
      </c>
      <c r="J756" s="9">
        <f>IF($A756="","",$H756-$I756)</f>
        <v/>
      </c>
      <c r="K756" s="10">
        <f>IF($A756="","",IF($I756=0,"",_xludf.AGGREGATE(14,6,Ventes_Encaissements!$C$6:$C$3005/(Ventes_Encaissements!$B$6:$B$3005=$A756),1)))</f>
        <v/>
      </c>
      <c r="L756" s="11">
        <f>IF($A756="","",COUNTIFS(Ventes_Detail!$B$6:$B$3005,$A756))</f>
        <v/>
      </c>
      <c r="M756" s="12" t="n"/>
      <c r="N756" s="12">
        <f>IF($A756="","",IF($G756="","",IF($M756="Oui","Litige",IF($J756&lt;=0,"Payé",IF($I756&gt;0,"Partiel",IF(Listes!$B$3&gt;$G756,"En retard","À échoir"))))))</f>
        <v/>
      </c>
      <c r="O756" s="11">
        <f>IF($A756="","",IF(OR($G756="", $J756&lt;=0),0,MAX(0,Listes!$B$3-$G756)))</f>
        <v/>
      </c>
      <c r="P756" s="12">
        <f>IF($A756="","",IF($J756&lt;=0,"Payé",IF($M756="Oui","Litige",IF($O756=0,"À échoir",IF($O756&lt;=30,"0-30",IF($O756&lt;=60,"31-60",IF($O756&lt;=90,"61-90","90+")))))))</f>
        <v/>
      </c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9">
        <f>IF($A757="","",SUMIFS(Ventes_Encaissements!$D$6:$D$3005,Ventes_Encaissements!$B$6:$B$3005,$A757))</f>
        <v/>
      </c>
      <c r="J757" s="9">
        <f>IF($A757="","",$H757-$I757)</f>
        <v/>
      </c>
      <c r="K757" s="10">
        <f>IF($A757="","",IF($I757=0,"",_xludf.AGGREGATE(14,6,Ventes_Encaissements!$C$6:$C$3005/(Ventes_Encaissements!$B$6:$B$3005=$A757),1)))</f>
        <v/>
      </c>
      <c r="L757" s="11">
        <f>IF($A757="","",COUNTIFS(Ventes_Detail!$B$6:$B$3005,$A757))</f>
        <v/>
      </c>
      <c r="M757" s="12" t="n"/>
      <c r="N757" s="12">
        <f>IF($A757="","",IF($G757="","",IF($M757="Oui","Litige",IF($J757&lt;=0,"Payé",IF($I757&gt;0,"Partiel",IF(Listes!$B$3&gt;$G757,"En retard","À échoir"))))))</f>
        <v/>
      </c>
      <c r="O757" s="11">
        <f>IF($A757="","",IF(OR($G757="", $J757&lt;=0),0,MAX(0,Listes!$B$3-$G757)))</f>
        <v/>
      </c>
      <c r="P757" s="12">
        <f>IF($A757="","",IF($J757&lt;=0,"Payé",IF($M757="Oui","Litige",IF($O757=0,"À échoir",IF($O757&lt;=30,"0-30",IF($O757&lt;=60,"31-60",IF($O757&lt;=90,"61-90","90+")))))))</f>
        <v/>
      </c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9">
        <f>IF($A758="","",SUMIFS(Ventes_Encaissements!$D$6:$D$3005,Ventes_Encaissements!$B$6:$B$3005,$A758))</f>
        <v/>
      </c>
      <c r="J758" s="9">
        <f>IF($A758="","",$H758-$I758)</f>
        <v/>
      </c>
      <c r="K758" s="10">
        <f>IF($A758="","",IF($I758=0,"",_xludf.AGGREGATE(14,6,Ventes_Encaissements!$C$6:$C$3005/(Ventes_Encaissements!$B$6:$B$3005=$A758),1)))</f>
        <v/>
      </c>
      <c r="L758" s="11">
        <f>IF($A758="","",COUNTIFS(Ventes_Detail!$B$6:$B$3005,$A758))</f>
        <v/>
      </c>
      <c r="M758" s="12" t="n"/>
      <c r="N758" s="12">
        <f>IF($A758="","",IF($G758="","",IF($M758="Oui","Litige",IF($J758&lt;=0,"Payé",IF($I758&gt;0,"Partiel",IF(Listes!$B$3&gt;$G758,"En retard","À échoir"))))))</f>
        <v/>
      </c>
      <c r="O758" s="11">
        <f>IF($A758="","",IF(OR($G758="", $J758&lt;=0),0,MAX(0,Listes!$B$3-$G758)))</f>
        <v/>
      </c>
      <c r="P758" s="12">
        <f>IF($A758="","",IF($J758&lt;=0,"Payé",IF($M758="Oui","Litige",IF($O758=0,"À échoir",IF($O758&lt;=30,"0-30",IF($O758&lt;=60,"31-60",IF($O758&lt;=90,"61-90","90+")))))))</f>
        <v/>
      </c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9">
        <f>IF($A759="","",SUMIFS(Ventes_Encaissements!$D$6:$D$3005,Ventes_Encaissements!$B$6:$B$3005,$A759))</f>
        <v/>
      </c>
      <c r="J759" s="9">
        <f>IF($A759="","",$H759-$I759)</f>
        <v/>
      </c>
      <c r="K759" s="10">
        <f>IF($A759="","",IF($I759=0,"",_xludf.AGGREGATE(14,6,Ventes_Encaissements!$C$6:$C$3005/(Ventes_Encaissements!$B$6:$B$3005=$A759),1)))</f>
        <v/>
      </c>
      <c r="L759" s="11">
        <f>IF($A759="","",COUNTIFS(Ventes_Detail!$B$6:$B$3005,$A759))</f>
        <v/>
      </c>
      <c r="M759" s="12" t="n"/>
      <c r="N759" s="12">
        <f>IF($A759="","",IF($G759="","",IF($M759="Oui","Litige",IF($J759&lt;=0,"Payé",IF($I759&gt;0,"Partiel",IF(Listes!$B$3&gt;$G759,"En retard","À échoir"))))))</f>
        <v/>
      </c>
      <c r="O759" s="11">
        <f>IF($A759="","",IF(OR($G759="", $J759&lt;=0),0,MAX(0,Listes!$B$3-$G759)))</f>
        <v/>
      </c>
      <c r="P759" s="12">
        <f>IF($A759="","",IF($J759&lt;=0,"Payé",IF($M759="Oui","Litige",IF($O759=0,"À échoir",IF($O759&lt;=30,"0-30",IF($O759&lt;=60,"31-60",IF($O759&lt;=90,"61-90","90+")))))))</f>
        <v/>
      </c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9">
        <f>IF($A760="","",SUMIFS(Ventes_Encaissements!$D$6:$D$3005,Ventes_Encaissements!$B$6:$B$3005,$A760))</f>
        <v/>
      </c>
      <c r="J760" s="9">
        <f>IF($A760="","",$H760-$I760)</f>
        <v/>
      </c>
      <c r="K760" s="10">
        <f>IF($A760="","",IF($I760=0,"",_xludf.AGGREGATE(14,6,Ventes_Encaissements!$C$6:$C$3005/(Ventes_Encaissements!$B$6:$B$3005=$A760),1)))</f>
        <v/>
      </c>
      <c r="L760" s="11">
        <f>IF($A760="","",COUNTIFS(Ventes_Detail!$B$6:$B$3005,$A760))</f>
        <v/>
      </c>
      <c r="M760" s="12" t="n"/>
      <c r="N760" s="12">
        <f>IF($A760="","",IF($G760="","",IF($M760="Oui","Litige",IF($J760&lt;=0,"Payé",IF($I760&gt;0,"Partiel",IF(Listes!$B$3&gt;$G760,"En retard","À échoir"))))))</f>
        <v/>
      </c>
      <c r="O760" s="11">
        <f>IF($A760="","",IF(OR($G760="", $J760&lt;=0),0,MAX(0,Listes!$B$3-$G760)))</f>
        <v/>
      </c>
      <c r="P760" s="12">
        <f>IF($A760="","",IF($J760&lt;=0,"Payé",IF($M760="Oui","Litige",IF($O760=0,"À échoir",IF($O760&lt;=30,"0-30",IF($O760&lt;=60,"31-60",IF($O760&lt;=90,"61-90","90+")))))))</f>
        <v/>
      </c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9">
        <f>IF($A761="","",SUMIFS(Ventes_Encaissements!$D$6:$D$3005,Ventes_Encaissements!$B$6:$B$3005,$A761))</f>
        <v/>
      </c>
      <c r="J761" s="9">
        <f>IF($A761="","",$H761-$I761)</f>
        <v/>
      </c>
      <c r="K761" s="10">
        <f>IF($A761="","",IF($I761=0,"",_xludf.AGGREGATE(14,6,Ventes_Encaissements!$C$6:$C$3005/(Ventes_Encaissements!$B$6:$B$3005=$A761),1)))</f>
        <v/>
      </c>
      <c r="L761" s="11">
        <f>IF($A761="","",COUNTIFS(Ventes_Detail!$B$6:$B$3005,$A761))</f>
        <v/>
      </c>
      <c r="M761" s="12" t="n"/>
      <c r="N761" s="12">
        <f>IF($A761="","",IF($G761="","",IF($M761="Oui","Litige",IF($J761&lt;=0,"Payé",IF($I761&gt;0,"Partiel",IF(Listes!$B$3&gt;$G761,"En retard","À échoir"))))))</f>
        <v/>
      </c>
      <c r="O761" s="11">
        <f>IF($A761="","",IF(OR($G761="", $J761&lt;=0),0,MAX(0,Listes!$B$3-$G761)))</f>
        <v/>
      </c>
      <c r="P761" s="12">
        <f>IF($A761="","",IF($J761&lt;=0,"Payé",IF($M761="Oui","Litige",IF($O761=0,"À échoir",IF($O761&lt;=30,"0-30",IF($O761&lt;=60,"31-60",IF($O761&lt;=90,"61-90","90+")))))))</f>
        <v/>
      </c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9">
        <f>IF($A762="","",SUMIFS(Ventes_Encaissements!$D$6:$D$3005,Ventes_Encaissements!$B$6:$B$3005,$A762))</f>
        <v/>
      </c>
      <c r="J762" s="9">
        <f>IF($A762="","",$H762-$I762)</f>
        <v/>
      </c>
      <c r="K762" s="10">
        <f>IF($A762="","",IF($I762=0,"",_xludf.AGGREGATE(14,6,Ventes_Encaissements!$C$6:$C$3005/(Ventes_Encaissements!$B$6:$B$3005=$A762),1)))</f>
        <v/>
      </c>
      <c r="L762" s="11">
        <f>IF($A762="","",COUNTIFS(Ventes_Detail!$B$6:$B$3005,$A762))</f>
        <v/>
      </c>
      <c r="M762" s="12" t="n"/>
      <c r="N762" s="12">
        <f>IF($A762="","",IF($G762="","",IF($M762="Oui","Litige",IF($J762&lt;=0,"Payé",IF($I762&gt;0,"Partiel",IF(Listes!$B$3&gt;$G762,"En retard","À échoir"))))))</f>
        <v/>
      </c>
      <c r="O762" s="11">
        <f>IF($A762="","",IF(OR($G762="", $J762&lt;=0),0,MAX(0,Listes!$B$3-$G762)))</f>
        <v/>
      </c>
      <c r="P762" s="12">
        <f>IF($A762="","",IF($J762&lt;=0,"Payé",IF($M762="Oui","Litige",IF($O762=0,"À échoir",IF($O762&lt;=30,"0-30",IF($O762&lt;=60,"31-60",IF($O762&lt;=90,"61-90","90+")))))))</f>
        <v/>
      </c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9">
        <f>IF($A763="","",SUMIFS(Ventes_Encaissements!$D$6:$D$3005,Ventes_Encaissements!$B$6:$B$3005,$A763))</f>
        <v/>
      </c>
      <c r="J763" s="9">
        <f>IF($A763="","",$H763-$I763)</f>
        <v/>
      </c>
      <c r="K763" s="10">
        <f>IF($A763="","",IF($I763=0,"",_xludf.AGGREGATE(14,6,Ventes_Encaissements!$C$6:$C$3005/(Ventes_Encaissements!$B$6:$B$3005=$A763),1)))</f>
        <v/>
      </c>
      <c r="L763" s="11">
        <f>IF($A763="","",COUNTIFS(Ventes_Detail!$B$6:$B$3005,$A763))</f>
        <v/>
      </c>
      <c r="M763" s="12" t="n"/>
      <c r="N763" s="12">
        <f>IF($A763="","",IF($G763="","",IF($M763="Oui","Litige",IF($J763&lt;=0,"Payé",IF($I763&gt;0,"Partiel",IF(Listes!$B$3&gt;$G763,"En retard","À échoir"))))))</f>
        <v/>
      </c>
      <c r="O763" s="11">
        <f>IF($A763="","",IF(OR($G763="", $J763&lt;=0),0,MAX(0,Listes!$B$3-$G763)))</f>
        <v/>
      </c>
      <c r="P763" s="12">
        <f>IF($A763="","",IF($J763&lt;=0,"Payé",IF($M763="Oui","Litige",IF($O763=0,"À échoir",IF($O763&lt;=30,"0-30",IF($O763&lt;=60,"31-60",IF($O763&lt;=90,"61-90","90+")))))))</f>
        <v/>
      </c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9">
        <f>IF($A764="","",SUMIFS(Ventes_Encaissements!$D$6:$D$3005,Ventes_Encaissements!$B$6:$B$3005,$A764))</f>
        <v/>
      </c>
      <c r="J764" s="9">
        <f>IF($A764="","",$H764-$I764)</f>
        <v/>
      </c>
      <c r="K764" s="10">
        <f>IF($A764="","",IF($I764=0,"",_xludf.AGGREGATE(14,6,Ventes_Encaissements!$C$6:$C$3005/(Ventes_Encaissements!$B$6:$B$3005=$A764),1)))</f>
        <v/>
      </c>
      <c r="L764" s="11">
        <f>IF($A764="","",COUNTIFS(Ventes_Detail!$B$6:$B$3005,$A764))</f>
        <v/>
      </c>
      <c r="M764" s="12" t="n"/>
      <c r="N764" s="12">
        <f>IF($A764="","",IF($G764="","",IF($M764="Oui","Litige",IF($J764&lt;=0,"Payé",IF($I764&gt;0,"Partiel",IF(Listes!$B$3&gt;$G764,"En retard","À échoir"))))))</f>
        <v/>
      </c>
      <c r="O764" s="11">
        <f>IF($A764="","",IF(OR($G764="", $J764&lt;=0),0,MAX(0,Listes!$B$3-$G764)))</f>
        <v/>
      </c>
      <c r="P764" s="12">
        <f>IF($A764="","",IF($J764&lt;=0,"Payé",IF($M764="Oui","Litige",IF($O764=0,"À échoir",IF($O764&lt;=30,"0-30",IF($O764&lt;=60,"31-60",IF($O764&lt;=90,"61-90","90+")))))))</f>
        <v/>
      </c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9">
        <f>IF($A765="","",SUMIFS(Ventes_Encaissements!$D$6:$D$3005,Ventes_Encaissements!$B$6:$B$3005,$A765))</f>
        <v/>
      </c>
      <c r="J765" s="9">
        <f>IF($A765="","",$H765-$I765)</f>
        <v/>
      </c>
      <c r="K765" s="10">
        <f>IF($A765="","",IF($I765=0,"",_xludf.AGGREGATE(14,6,Ventes_Encaissements!$C$6:$C$3005/(Ventes_Encaissements!$B$6:$B$3005=$A765),1)))</f>
        <v/>
      </c>
      <c r="L765" s="11">
        <f>IF($A765="","",COUNTIFS(Ventes_Detail!$B$6:$B$3005,$A765))</f>
        <v/>
      </c>
      <c r="M765" s="12" t="n"/>
      <c r="N765" s="12">
        <f>IF($A765="","",IF($G765="","",IF($M765="Oui","Litige",IF($J765&lt;=0,"Payé",IF($I765&gt;0,"Partiel",IF(Listes!$B$3&gt;$G765,"En retard","À échoir"))))))</f>
        <v/>
      </c>
      <c r="O765" s="11">
        <f>IF($A765="","",IF(OR($G765="", $J765&lt;=0),0,MAX(0,Listes!$B$3-$G765)))</f>
        <v/>
      </c>
      <c r="P765" s="12">
        <f>IF($A765="","",IF($J765&lt;=0,"Payé",IF($M765="Oui","Litige",IF($O765=0,"À échoir",IF($O765&lt;=30,"0-30",IF($O765&lt;=60,"31-60",IF($O765&lt;=90,"61-90","90+")))))))</f>
        <v/>
      </c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9">
        <f>IF($A766="","",SUMIFS(Ventes_Encaissements!$D$6:$D$3005,Ventes_Encaissements!$B$6:$B$3005,$A766))</f>
        <v/>
      </c>
      <c r="J766" s="9">
        <f>IF($A766="","",$H766-$I766)</f>
        <v/>
      </c>
      <c r="K766" s="10">
        <f>IF($A766="","",IF($I766=0,"",_xludf.AGGREGATE(14,6,Ventes_Encaissements!$C$6:$C$3005/(Ventes_Encaissements!$B$6:$B$3005=$A766),1)))</f>
        <v/>
      </c>
      <c r="L766" s="11">
        <f>IF($A766="","",COUNTIFS(Ventes_Detail!$B$6:$B$3005,$A766))</f>
        <v/>
      </c>
      <c r="M766" s="12" t="n"/>
      <c r="N766" s="12">
        <f>IF($A766="","",IF($G766="","",IF($M766="Oui","Litige",IF($J766&lt;=0,"Payé",IF($I766&gt;0,"Partiel",IF(Listes!$B$3&gt;$G766,"En retard","À échoir"))))))</f>
        <v/>
      </c>
      <c r="O766" s="11">
        <f>IF($A766="","",IF(OR($G766="", $J766&lt;=0),0,MAX(0,Listes!$B$3-$G766)))</f>
        <v/>
      </c>
      <c r="P766" s="12">
        <f>IF($A766="","",IF($J766&lt;=0,"Payé",IF($M766="Oui","Litige",IF($O766=0,"À échoir",IF($O766&lt;=30,"0-30",IF($O766&lt;=60,"31-60",IF($O766&lt;=90,"61-90","90+")))))))</f>
        <v/>
      </c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9">
        <f>IF($A767="","",SUMIFS(Ventes_Encaissements!$D$6:$D$3005,Ventes_Encaissements!$B$6:$B$3005,$A767))</f>
        <v/>
      </c>
      <c r="J767" s="9">
        <f>IF($A767="","",$H767-$I767)</f>
        <v/>
      </c>
      <c r="K767" s="10">
        <f>IF($A767="","",IF($I767=0,"",_xludf.AGGREGATE(14,6,Ventes_Encaissements!$C$6:$C$3005/(Ventes_Encaissements!$B$6:$B$3005=$A767),1)))</f>
        <v/>
      </c>
      <c r="L767" s="11">
        <f>IF($A767="","",COUNTIFS(Ventes_Detail!$B$6:$B$3005,$A767))</f>
        <v/>
      </c>
      <c r="M767" s="12" t="n"/>
      <c r="N767" s="12">
        <f>IF($A767="","",IF($G767="","",IF($M767="Oui","Litige",IF($J767&lt;=0,"Payé",IF($I767&gt;0,"Partiel",IF(Listes!$B$3&gt;$G767,"En retard","À échoir"))))))</f>
        <v/>
      </c>
      <c r="O767" s="11">
        <f>IF($A767="","",IF(OR($G767="", $J767&lt;=0),0,MAX(0,Listes!$B$3-$G767)))</f>
        <v/>
      </c>
      <c r="P767" s="12">
        <f>IF($A767="","",IF($J767&lt;=0,"Payé",IF($M767="Oui","Litige",IF($O767=0,"À échoir",IF($O767&lt;=30,"0-30",IF($O767&lt;=60,"31-60",IF($O767&lt;=90,"61-90","90+")))))))</f>
        <v/>
      </c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9">
        <f>IF($A768="","",SUMIFS(Ventes_Encaissements!$D$6:$D$3005,Ventes_Encaissements!$B$6:$B$3005,$A768))</f>
        <v/>
      </c>
      <c r="J768" s="9">
        <f>IF($A768="","",$H768-$I768)</f>
        <v/>
      </c>
      <c r="K768" s="10">
        <f>IF($A768="","",IF($I768=0,"",_xludf.AGGREGATE(14,6,Ventes_Encaissements!$C$6:$C$3005/(Ventes_Encaissements!$B$6:$B$3005=$A768),1)))</f>
        <v/>
      </c>
      <c r="L768" s="11">
        <f>IF($A768="","",COUNTIFS(Ventes_Detail!$B$6:$B$3005,$A768))</f>
        <v/>
      </c>
      <c r="M768" s="12" t="n"/>
      <c r="N768" s="12">
        <f>IF($A768="","",IF($G768="","",IF($M768="Oui","Litige",IF($J768&lt;=0,"Payé",IF($I768&gt;0,"Partiel",IF(Listes!$B$3&gt;$G768,"En retard","À échoir"))))))</f>
        <v/>
      </c>
      <c r="O768" s="11">
        <f>IF($A768="","",IF(OR($G768="", $J768&lt;=0),0,MAX(0,Listes!$B$3-$G768)))</f>
        <v/>
      </c>
      <c r="P768" s="12">
        <f>IF($A768="","",IF($J768&lt;=0,"Payé",IF($M768="Oui","Litige",IF($O768=0,"À échoir",IF($O768&lt;=30,"0-30",IF($O768&lt;=60,"31-60",IF($O768&lt;=90,"61-90","90+")))))))</f>
        <v/>
      </c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9">
        <f>IF($A769="","",SUMIFS(Ventes_Encaissements!$D$6:$D$3005,Ventes_Encaissements!$B$6:$B$3005,$A769))</f>
        <v/>
      </c>
      <c r="J769" s="9">
        <f>IF($A769="","",$H769-$I769)</f>
        <v/>
      </c>
      <c r="K769" s="10">
        <f>IF($A769="","",IF($I769=0,"",_xludf.AGGREGATE(14,6,Ventes_Encaissements!$C$6:$C$3005/(Ventes_Encaissements!$B$6:$B$3005=$A769),1)))</f>
        <v/>
      </c>
      <c r="L769" s="11">
        <f>IF($A769="","",COUNTIFS(Ventes_Detail!$B$6:$B$3005,$A769))</f>
        <v/>
      </c>
      <c r="M769" s="12" t="n"/>
      <c r="N769" s="12">
        <f>IF($A769="","",IF($G769="","",IF($M769="Oui","Litige",IF($J769&lt;=0,"Payé",IF($I769&gt;0,"Partiel",IF(Listes!$B$3&gt;$G769,"En retard","À échoir"))))))</f>
        <v/>
      </c>
      <c r="O769" s="11">
        <f>IF($A769="","",IF(OR($G769="", $J769&lt;=0),0,MAX(0,Listes!$B$3-$G769)))</f>
        <v/>
      </c>
      <c r="P769" s="12">
        <f>IF($A769="","",IF($J769&lt;=0,"Payé",IF($M769="Oui","Litige",IF($O769=0,"À échoir",IF($O769&lt;=30,"0-30",IF($O769&lt;=60,"31-60",IF($O769&lt;=90,"61-90","90+")))))))</f>
        <v/>
      </c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9">
        <f>IF($A770="","",SUMIFS(Ventes_Encaissements!$D$6:$D$3005,Ventes_Encaissements!$B$6:$B$3005,$A770))</f>
        <v/>
      </c>
      <c r="J770" s="9">
        <f>IF($A770="","",$H770-$I770)</f>
        <v/>
      </c>
      <c r="K770" s="10">
        <f>IF($A770="","",IF($I770=0,"",_xludf.AGGREGATE(14,6,Ventes_Encaissements!$C$6:$C$3005/(Ventes_Encaissements!$B$6:$B$3005=$A770),1)))</f>
        <v/>
      </c>
      <c r="L770" s="11">
        <f>IF($A770="","",COUNTIFS(Ventes_Detail!$B$6:$B$3005,$A770))</f>
        <v/>
      </c>
      <c r="M770" s="12" t="n"/>
      <c r="N770" s="12">
        <f>IF($A770="","",IF($G770="","",IF($M770="Oui","Litige",IF($J770&lt;=0,"Payé",IF($I770&gt;0,"Partiel",IF(Listes!$B$3&gt;$G770,"En retard","À échoir"))))))</f>
        <v/>
      </c>
      <c r="O770" s="11">
        <f>IF($A770="","",IF(OR($G770="", $J770&lt;=0),0,MAX(0,Listes!$B$3-$G770)))</f>
        <v/>
      </c>
      <c r="P770" s="12">
        <f>IF($A770="","",IF($J770&lt;=0,"Payé",IF($M770="Oui","Litige",IF($O770=0,"À échoir",IF($O770&lt;=30,"0-30",IF($O770&lt;=60,"31-60",IF($O770&lt;=90,"61-90","90+")))))))</f>
        <v/>
      </c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9">
        <f>IF($A771="","",SUMIFS(Ventes_Encaissements!$D$6:$D$3005,Ventes_Encaissements!$B$6:$B$3005,$A771))</f>
        <v/>
      </c>
      <c r="J771" s="9">
        <f>IF($A771="","",$H771-$I771)</f>
        <v/>
      </c>
      <c r="K771" s="10">
        <f>IF($A771="","",IF($I771=0,"",_xludf.AGGREGATE(14,6,Ventes_Encaissements!$C$6:$C$3005/(Ventes_Encaissements!$B$6:$B$3005=$A771),1)))</f>
        <v/>
      </c>
      <c r="L771" s="11">
        <f>IF($A771="","",COUNTIFS(Ventes_Detail!$B$6:$B$3005,$A771))</f>
        <v/>
      </c>
      <c r="M771" s="12" t="n"/>
      <c r="N771" s="12">
        <f>IF($A771="","",IF($G771="","",IF($M771="Oui","Litige",IF($J771&lt;=0,"Payé",IF($I771&gt;0,"Partiel",IF(Listes!$B$3&gt;$G771,"En retard","À échoir"))))))</f>
        <v/>
      </c>
      <c r="O771" s="11">
        <f>IF($A771="","",IF(OR($G771="", $J771&lt;=0),0,MAX(0,Listes!$B$3-$G771)))</f>
        <v/>
      </c>
      <c r="P771" s="12">
        <f>IF($A771="","",IF($J771&lt;=0,"Payé",IF($M771="Oui","Litige",IF($O771=0,"À échoir",IF($O771&lt;=30,"0-30",IF($O771&lt;=60,"31-60",IF($O771&lt;=90,"61-90","90+")))))))</f>
        <v/>
      </c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9">
        <f>IF($A772="","",SUMIFS(Ventes_Encaissements!$D$6:$D$3005,Ventes_Encaissements!$B$6:$B$3005,$A772))</f>
        <v/>
      </c>
      <c r="J772" s="9">
        <f>IF($A772="","",$H772-$I772)</f>
        <v/>
      </c>
      <c r="K772" s="10">
        <f>IF($A772="","",IF($I772=0,"",_xludf.AGGREGATE(14,6,Ventes_Encaissements!$C$6:$C$3005/(Ventes_Encaissements!$B$6:$B$3005=$A772),1)))</f>
        <v/>
      </c>
      <c r="L772" s="11">
        <f>IF($A772="","",COUNTIFS(Ventes_Detail!$B$6:$B$3005,$A772))</f>
        <v/>
      </c>
      <c r="M772" s="12" t="n"/>
      <c r="N772" s="12">
        <f>IF($A772="","",IF($G772="","",IF($M772="Oui","Litige",IF($J772&lt;=0,"Payé",IF($I772&gt;0,"Partiel",IF(Listes!$B$3&gt;$G772,"En retard","À échoir"))))))</f>
        <v/>
      </c>
      <c r="O772" s="11">
        <f>IF($A772="","",IF(OR($G772="", $J772&lt;=0),0,MAX(0,Listes!$B$3-$G772)))</f>
        <v/>
      </c>
      <c r="P772" s="12">
        <f>IF($A772="","",IF($J772&lt;=0,"Payé",IF($M772="Oui","Litige",IF($O772=0,"À échoir",IF($O772&lt;=30,"0-30",IF($O772&lt;=60,"31-60",IF($O772&lt;=90,"61-90","90+")))))))</f>
        <v/>
      </c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9">
        <f>IF($A773="","",SUMIFS(Ventes_Encaissements!$D$6:$D$3005,Ventes_Encaissements!$B$6:$B$3005,$A773))</f>
        <v/>
      </c>
      <c r="J773" s="9">
        <f>IF($A773="","",$H773-$I773)</f>
        <v/>
      </c>
      <c r="K773" s="10">
        <f>IF($A773="","",IF($I773=0,"",_xludf.AGGREGATE(14,6,Ventes_Encaissements!$C$6:$C$3005/(Ventes_Encaissements!$B$6:$B$3005=$A773),1)))</f>
        <v/>
      </c>
      <c r="L773" s="11">
        <f>IF($A773="","",COUNTIFS(Ventes_Detail!$B$6:$B$3005,$A773))</f>
        <v/>
      </c>
      <c r="M773" s="12" t="n"/>
      <c r="N773" s="12">
        <f>IF($A773="","",IF($G773="","",IF($M773="Oui","Litige",IF($J773&lt;=0,"Payé",IF($I773&gt;0,"Partiel",IF(Listes!$B$3&gt;$G773,"En retard","À échoir"))))))</f>
        <v/>
      </c>
      <c r="O773" s="11">
        <f>IF($A773="","",IF(OR($G773="", $J773&lt;=0),0,MAX(0,Listes!$B$3-$G773)))</f>
        <v/>
      </c>
      <c r="P773" s="12">
        <f>IF($A773="","",IF($J773&lt;=0,"Payé",IF($M773="Oui","Litige",IF($O773=0,"À échoir",IF($O773&lt;=30,"0-30",IF($O773&lt;=60,"31-60",IF($O773&lt;=90,"61-90","90+")))))))</f>
        <v/>
      </c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9">
        <f>IF($A774="","",SUMIFS(Ventes_Encaissements!$D$6:$D$3005,Ventes_Encaissements!$B$6:$B$3005,$A774))</f>
        <v/>
      </c>
      <c r="J774" s="9">
        <f>IF($A774="","",$H774-$I774)</f>
        <v/>
      </c>
      <c r="K774" s="10">
        <f>IF($A774="","",IF($I774=0,"",_xludf.AGGREGATE(14,6,Ventes_Encaissements!$C$6:$C$3005/(Ventes_Encaissements!$B$6:$B$3005=$A774),1)))</f>
        <v/>
      </c>
      <c r="L774" s="11">
        <f>IF($A774="","",COUNTIFS(Ventes_Detail!$B$6:$B$3005,$A774))</f>
        <v/>
      </c>
      <c r="M774" s="12" t="n"/>
      <c r="N774" s="12">
        <f>IF($A774="","",IF($G774="","",IF($M774="Oui","Litige",IF($J774&lt;=0,"Payé",IF($I774&gt;0,"Partiel",IF(Listes!$B$3&gt;$G774,"En retard","À échoir"))))))</f>
        <v/>
      </c>
      <c r="O774" s="11">
        <f>IF($A774="","",IF(OR($G774="", $J774&lt;=0),0,MAX(0,Listes!$B$3-$G774)))</f>
        <v/>
      </c>
      <c r="P774" s="12">
        <f>IF($A774="","",IF($J774&lt;=0,"Payé",IF($M774="Oui","Litige",IF($O774=0,"À échoir",IF($O774&lt;=30,"0-30",IF($O774&lt;=60,"31-60",IF($O774&lt;=90,"61-90","90+")))))))</f>
        <v/>
      </c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9">
        <f>IF($A775="","",SUMIFS(Ventes_Encaissements!$D$6:$D$3005,Ventes_Encaissements!$B$6:$B$3005,$A775))</f>
        <v/>
      </c>
      <c r="J775" s="9">
        <f>IF($A775="","",$H775-$I775)</f>
        <v/>
      </c>
      <c r="K775" s="10">
        <f>IF($A775="","",IF($I775=0,"",_xludf.AGGREGATE(14,6,Ventes_Encaissements!$C$6:$C$3005/(Ventes_Encaissements!$B$6:$B$3005=$A775),1)))</f>
        <v/>
      </c>
      <c r="L775" s="11">
        <f>IF($A775="","",COUNTIFS(Ventes_Detail!$B$6:$B$3005,$A775))</f>
        <v/>
      </c>
      <c r="M775" s="12" t="n"/>
      <c r="N775" s="12">
        <f>IF($A775="","",IF($G775="","",IF($M775="Oui","Litige",IF($J775&lt;=0,"Payé",IF($I775&gt;0,"Partiel",IF(Listes!$B$3&gt;$G775,"En retard","À échoir"))))))</f>
        <v/>
      </c>
      <c r="O775" s="11">
        <f>IF($A775="","",IF(OR($G775="", $J775&lt;=0),0,MAX(0,Listes!$B$3-$G775)))</f>
        <v/>
      </c>
      <c r="P775" s="12">
        <f>IF($A775="","",IF($J775&lt;=0,"Payé",IF($M775="Oui","Litige",IF($O775=0,"À échoir",IF($O775&lt;=30,"0-30",IF($O775&lt;=60,"31-60",IF($O775&lt;=90,"61-90","90+")))))))</f>
        <v/>
      </c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9">
        <f>IF($A776="","",SUMIFS(Ventes_Encaissements!$D$6:$D$3005,Ventes_Encaissements!$B$6:$B$3005,$A776))</f>
        <v/>
      </c>
      <c r="J776" s="9">
        <f>IF($A776="","",$H776-$I776)</f>
        <v/>
      </c>
      <c r="K776" s="10">
        <f>IF($A776="","",IF($I776=0,"",_xludf.AGGREGATE(14,6,Ventes_Encaissements!$C$6:$C$3005/(Ventes_Encaissements!$B$6:$B$3005=$A776),1)))</f>
        <v/>
      </c>
      <c r="L776" s="11">
        <f>IF($A776="","",COUNTIFS(Ventes_Detail!$B$6:$B$3005,$A776))</f>
        <v/>
      </c>
      <c r="M776" s="12" t="n"/>
      <c r="N776" s="12">
        <f>IF($A776="","",IF($G776="","",IF($M776="Oui","Litige",IF($J776&lt;=0,"Payé",IF($I776&gt;0,"Partiel",IF(Listes!$B$3&gt;$G776,"En retard","À échoir"))))))</f>
        <v/>
      </c>
      <c r="O776" s="11">
        <f>IF($A776="","",IF(OR($G776="", $J776&lt;=0),0,MAX(0,Listes!$B$3-$G776)))</f>
        <v/>
      </c>
      <c r="P776" s="12">
        <f>IF($A776="","",IF($J776&lt;=0,"Payé",IF($M776="Oui","Litige",IF($O776=0,"À échoir",IF($O776&lt;=30,"0-30",IF($O776&lt;=60,"31-60",IF($O776&lt;=90,"61-90","90+")))))))</f>
        <v/>
      </c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9">
        <f>IF($A777="","",SUMIFS(Ventes_Encaissements!$D$6:$D$3005,Ventes_Encaissements!$B$6:$B$3005,$A777))</f>
        <v/>
      </c>
      <c r="J777" s="9">
        <f>IF($A777="","",$H777-$I777)</f>
        <v/>
      </c>
      <c r="K777" s="10">
        <f>IF($A777="","",IF($I777=0,"",_xludf.AGGREGATE(14,6,Ventes_Encaissements!$C$6:$C$3005/(Ventes_Encaissements!$B$6:$B$3005=$A777),1)))</f>
        <v/>
      </c>
      <c r="L777" s="11">
        <f>IF($A777="","",COUNTIFS(Ventes_Detail!$B$6:$B$3005,$A777))</f>
        <v/>
      </c>
      <c r="M777" s="12" t="n"/>
      <c r="N777" s="12">
        <f>IF($A777="","",IF($G777="","",IF($M777="Oui","Litige",IF($J777&lt;=0,"Payé",IF($I777&gt;0,"Partiel",IF(Listes!$B$3&gt;$G777,"En retard","À échoir"))))))</f>
        <v/>
      </c>
      <c r="O777" s="11">
        <f>IF($A777="","",IF(OR($G777="", $J777&lt;=0),0,MAX(0,Listes!$B$3-$G777)))</f>
        <v/>
      </c>
      <c r="P777" s="12">
        <f>IF($A777="","",IF($J777&lt;=0,"Payé",IF($M777="Oui","Litige",IF($O777=0,"À échoir",IF($O777&lt;=30,"0-30",IF($O777&lt;=60,"31-60",IF($O777&lt;=90,"61-90","90+")))))))</f>
        <v/>
      </c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9">
        <f>IF($A778="","",SUMIFS(Ventes_Encaissements!$D$6:$D$3005,Ventes_Encaissements!$B$6:$B$3005,$A778))</f>
        <v/>
      </c>
      <c r="J778" s="9">
        <f>IF($A778="","",$H778-$I778)</f>
        <v/>
      </c>
      <c r="K778" s="10">
        <f>IF($A778="","",IF($I778=0,"",_xludf.AGGREGATE(14,6,Ventes_Encaissements!$C$6:$C$3005/(Ventes_Encaissements!$B$6:$B$3005=$A778),1)))</f>
        <v/>
      </c>
      <c r="L778" s="11">
        <f>IF($A778="","",COUNTIFS(Ventes_Detail!$B$6:$B$3005,$A778))</f>
        <v/>
      </c>
      <c r="M778" s="12" t="n"/>
      <c r="N778" s="12">
        <f>IF($A778="","",IF($G778="","",IF($M778="Oui","Litige",IF($J778&lt;=0,"Payé",IF($I778&gt;0,"Partiel",IF(Listes!$B$3&gt;$G778,"En retard","À échoir"))))))</f>
        <v/>
      </c>
      <c r="O778" s="11">
        <f>IF($A778="","",IF(OR($G778="", $J778&lt;=0),0,MAX(0,Listes!$B$3-$G778)))</f>
        <v/>
      </c>
      <c r="P778" s="12">
        <f>IF($A778="","",IF($J778&lt;=0,"Payé",IF($M778="Oui","Litige",IF($O778=0,"À échoir",IF($O778&lt;=30,"0-30",IF($O778&lt;=60,"31-60",IF($O778&lt;=90,"61-90","90+")))))))</f>
        <v/>
      </c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9">
        <f>IF($A779="","",SUMIFS(Ventes_Encaissements!$D$6:$D$3005,Ventes_Encaissements!$B$6:$B$3005,$A779))</f>
        <v/>
      </c>
      <c r="J779" s="9">
        <f>IF($A779="","",$H779-$I779)</f>
        <v/>
      </c>
      <c r="K779" s="10">
        <f>IF($A779="","",IF($I779=0,"",_xludf.AGGREGATE(14,6,Ventes_Encaissements!$C$6:$C$3005/(Ventes_Encaissements!$B$6:$B$3005=$A779),1)))</f>
        <v/>
      </c>
      <c r="L779" s="11">
        <f>IF($A779="","",COUNTIFS(Ventes_Detail!$B$6:$B$3005,$A779))</f>
        <v/>
      </c>
      <c r="M779" s="12" t="n"/>
      <c r="N779" s="12">
        <f>IF($A779="","",IF($G779="","",IF($M779="Oui","Litige",IF($J779&lt;=0,"Payé",IF($I779&gt;0,"Partiel",IF(Listes!$B$3&gt;$G779,"En retard","À échoir"))))))</f>
        <v/>
      </c>
      <c r="O779" s="11">
        <f>IF($A779="","",IF(OR($G779="", $J779&lt;=0),0,MAX(0,Listes!$B$3-$G779)))</f>
        <v/>
      </c>
      <c r="P779" s="12">
        <f>IF($A779="","",IF($J779&lt;=0,"Payé",IF($M779="Oui","Litige",IF($O779=0,"À échoir",IF($O779&lt;=30,"0-30",IF($O779&lt;=60,"31-60",IF($O779&lt;=90,"61-90","90+")))))))</f>
        <v/>
      </c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9">
        <f>IF($A780="","",SUMIFS(Ventes_Encaissements!$D$6:$D$3005,Ventes_Encaissements!$B$6:$B$3005,$A780))</f>
        <v/>
      </c>
      <c r="J780" s="9">
        <f>IF($A780="","",$H780-$I780)</f>
        <v/>
      </c>
      <c r="K780" s="10">
        <f>IF($A780="","",IF($I780=0,"",_xludf.AGGREGATE(14,6,Ventes_Encaissements!$C$6:$C$3005/(Ventes_Encaissements!$B$6:$B$3005=$A780),1)))</f>
        <v/>
      </c>
      <c r="L780" s="11">
        <f>IF($A780="","",COUNTIFS(Ventes_Detail!$B$6:$B$3005,$A780))</f>
        <v/>
      </c>
      <c r="M780" s="12" t="n"/>
      <c r="N780" s="12">
        <f>IF($A780="","",IF($G780="","",IF($M780="Oui","Litige",IF($J780&lt;=0,"Payé",IF($I780&gt;0,"Partiel",IF(Listes!$B$3&gt;$G780,"En retard","À échoir"))))))</f>
        <v/>
      </c>
      <c r="O780" s="11">
        <f>IF($A780="","",IF(OR($G780="", $J780&lt;=0),0,MAX(0,Listes!$B$3-$G780)))</f>
        <v/>
      </c>
      <c r="P780" s="12">
        <f>IF($A780="","",IF($J780&lt;=0,"Payé",IF($M780="Oui","Litige",IF($O780=0,"À échoir",IF($O780&lt;=30,"0-30",IF($O780&lt;=60,"31-60",IF($O780&lt;=90,"61-90","90+")))))))</f>
        <v/>
      </c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9">
        <f>IF($A781="","",SUMIFS(Ventes_Encaissements!$D$6:$D$3005,Ventes_Encaissements!$B$6:$B$3005,$A781))</f>
        <v/>
      </c>
      <c r="J781" s="9">
        <f>IF($A781="","",$H781-$I781)</f>
        <v/>
      </c>
      <c r="K781" s="10">
        <f>IF($A781="","",IF($I781=0,"",_xludf.AGGREGATE(14,6,Ventes_Encaissements!$C$6:$C$3005/(Ventes_Encaissements!$B$6:$B$3005=$A781),1)))</f>
        <v/>
      </c>
      <c r="L781" s="11">
        <f>IF($A781="","",COUNTIFS(Ventes_Detail!$B$6:$B$3005,$A781))</f>
        <v/>
      </c>
      <c r="M781" s="12" t="n"/>
      <c r="N781" s="12">
        <f>IF($A781="","",IF($G781="","",IF($M781="Oui","Litige",IF($J781&lt;=0,"Payé",IF($I781&gt;0,"Partiel",IF(Listes!$B$3&gt;$G781,"En retard","À échoir"))))))</f>
        <v/>
      </c>
      <c r="O781" s="11">
        <f>IF($A781="","",IF(OR($G781="", $J781&lt;=0),0,MAX(0,Listes!$B$3-$G781)))</f>
        <v/>
      </c>
      <c r="P781" s="12">
        <f>IF($A781="","",IF($J781&lt;=0,"Payé",IF($M781="Oui","Litige",IF($O781=0,"À échoir",IF($O781&lt;=30,"0-30",IF($O781&lt;=60,"31-60",IF($O781&lt;=90,"61-90","90+")))))))</f>
        <v/>
      </c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9">
        <f>IF($A782="","",SUMIFS(Ventes_Encaissements!$D$6:$D$3005,Ventes_Encaissements!$B$6:$B$3005,$A782))</f>
        <v/>
      </c>
      <c r="J782" s="9">
        <f>IF($A782="","",$H782-$I782)</f>
        <v/>
      </c>
      <c r="K782" s="10">
        <f>IF($A782="","",IF($I782=0,"",_xludf.AGGREGATE(14,6,Ventes_Encaissements!$C$6:$C$3005/(Ventes_Encaissements!$B$6:$B$3005=$A782),1)))</f>
        <v/>
      </c>
      <c r="L782" s="11">
        <f>IF($A782="","",COUNTIFS(Ventes_Detail!$B$6:$B$3005,$A782))</f>
        <v/>
      </c>
      <c r="M782" s="12" t="n"/>
      <c r="N782" s="12">
        <f>IF($A782="","",IF($G782="","",IF($M782="Oui","Litige",IF($J782&lt;=0,"Payé",IF($I782&gt;0,"Partiel",IF(Listes!$B$3&gt;$G782,"En retard","À échoir"))))))</f>
        <v/>
      </c>
      <c r="O782" s="11">
        <f>IF($A782="","",IF(OR($G782="", $J782&lt;=0),0,MAX(0,Listes!$B$3-$G782)))</f>
        <v/>
      </c>
      <c r="P782" s="12">
        <f>IF($A782="","",IF($J782&lt;=0,"Payé",IF($M782="Oui","Litige",IF($O782=0,"À échoir",IF($O782&lt;=30,"0-30",IF($O782&lt;=60,"31-60",IF($O782&lt;=90,"61-90","90+")))))))</f>
        <v/>
      </c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9">
        <f>IF($A783="","",SUMIFS(Ventes_Encaissements!$D$6:$D$3005,Ventes_Encaissements!$B$6:$B$3005,$A783))</f>
        <v/>
      </c>
      <c r="J783" s="9">
        <f>IF($A783="","",$H783-$I783)</f>
        <v/>
      </c>
      <c r="K783" s="10">
        <f>IF($A783="","",IF($I783=0,"",_xludf.AGGREGATE(14,6,Ventes_Encaissements!$C$6:$C$3005/(Ventes_Encaissements!$B$6:$B$3005=$A783),1)))</f>
        <v/>
      </c>
      <c r="L783" s="11">
        <f>IF($A783="","",COUNTIFS(Ventes_Detail!$B$6:$B$3005,$A783))</f>
        <v/>
      </c>
      <c r="M783" s="12" t="n"/>
      <c r="N783" s="12">
        <f>IF($A783="","",IF($G783="","",IF($M783="Oui","Litige",IF($J783&lt;=0,"Payé",IF($I783&gt;0,"Partiel",IF(Listes!$B$3&gt;$G783,"En retard","À échoir"))))))</f>
        <v/>
      </c>
      <c r="O783" s="11">
        <f>IF($A783="","",IF(OR($G783="", $J783&lt;=0),0,MAX(0,Listes!$B$3-$G783)))</f>
        <v/>
      </c>
      <c r="P783" s="12">
        <f>IF($A783="","",IF($J783&lt;=0,"Payé",IF($M783="Oui","Litige",IF($O783=0,"À échoir",IF($O783&lt;=30,"0-30",IF($O783&lt;=60,"31-60",IF($O783&lt;=90,"61-90","90+")))))))</f>
        <v/>
      </c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9">
        <f>IF($A784="","",SUMIFS(Ventes_Encaissements!$D$6:$D$3005,Ventes_Encaissements!$B$6:$B$3005,$A784))</f>
        <v/>
      </c>
      <c r="J784" s="9">
        <f>IF($A784="","",$H784-$I784)</f>
        <v/>
      </c>
      <c r="K784" s="10">
        <f>IF($A784="","",IF($I784=0,"",_xludf.AGGREGATE(14,6,Ventes_Encaissements!$C$6:$C$3005/(Ventes_Encaissements!$B$6:$B$3005=$A784),1)))</f>
        <v/>
      </c>
      <c r="L784" s="11">
        <f>IF($A784="","",COUNTIFS(Ventes_Detail!$B$6:$B$3005,$A784))</f>
        <v/>
      </c>
      <c r="M784" s="12" t="n"/>
      <c r="N784" s="12">
        <f>IF($A784="","",IF($G784="","",IF($M784="Oui","Litige",IF($J784&lt;=0,"Payé",IF($I784&gt;0,"Partiel",IF(Listes!$B$3&gt;$G784,"En retard","À échoir"))))))</f>
        <v/>
      </c>
      <c r="O784" s="11">
        <f>IF($A784="","",IF(OR($G784="", $J784&lt;=0),0,MAX(0,Listes!$B$3-$G784)))</f>
        <v/>
      </c>
      <c r="P784" s="12">
        <f>IF($A784="","",IF($J784&lt;=0,"Payé",IF($M784="Oui","Litige",IF($O784=0,"À échoir",IF($O784&lt;=30,"0-30",IF($O784&lt;=60,"31-60",IF($O784&lt;=90,"61-90","90+")))))))</f>
        <v/>
      </c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9">
        <f>IF($A785="","",SUMIFS(Ventes_Encaissements!$D$6:$D$3005,Ventes_Encaissements!$B$6:$B$3005,$A785))</f>
        <v/>
      </c>
      <c r="J785" s="9">
        <f>IF($A785="","",$H785-$I785)</f>
        <v/>
      </c>
      <c r="K785" s="10">
        <f>IF($A785="","",IF($I785=0,"",_xludf.AGGREGATE(14,6,Ventes_Encaissements!$C$6:$C$3005/(Ventes_Encaissements!$B$6:$B$3005=$A785),1)))</f>
        <v/>
      </c>
      <c r="L785" s="11">
        <f>IF($A785="","",COUNTIFS(Ventes_Detail!$B$6:$B$3005,$A785))</f>
        <v/>
      </c>
      <c r="M785" s="12" t="n"/>
      <c r="N785" s="12">
        <f>IF($A785="","",IF($G785="","",IF($M785="Oui","Litige",IF($J785&lt;=0,"Payé",IF($I785&gt;0,"Partiel",IF(Listes!$B$3&gt;$G785,"En retard","À échoir"))))))</f>
        <v/>
      </c>
      <c r="O785" s="11">
        <f>IF($A785="","",IF(OR($G785="", $J785&lt;=0),0,MAX(0,Listes!$B$3-$G785)))</f>
        <v/>
      </c>
      <c r="P785" s="12">
        <f>IF($A785="","",IF($J785&lt;=0,"Payé",IF($M785="Oui","Litige",IF($O785=0,"À échoir",IF($O785&lt;=30,"0-30",IF($O785&lt;=60,"31-60",IF($O785&lt;=90,"61-90","90+")))))))</f>
        <v/>
      </c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9">
        <f>IF($A786="","",SUMIFS(Ventes_Encaissements!$D$6:$D$3005,Ventes_Encaissements!$B$6:$B$3005,$A786))</f>
        <v/>
      </c>
      <c r="J786" s="9">
        <f>IF($A786="","",$H786-$I786)</f>
        <v/>
      </c>
      <c r="K786" s="10">
        <f>IF($A786="","",IF($I786=0,"",_xludf.AGGREGATE(14,6,Ventes_Encaissements!$C$6:$C$3005/(Ventes_Encaissements!$B$6:$B$3005=$A786),1)))</f>
        <v/>
      </c>
      <c r="L786" s="11">
        <f>IF($A786="","",COUNTIFS(Ventes_Detail!$B$6:$B$3005,$A786))</f>
        <v/>
      </c>
      <c r="M786" s="12" t="n"/>
      <c r="N786" s="12">
        <f>IF($A786="","",IF($G786="","",IF($M786="Oui","Litige",IF($J786&lt;=0,"Payé",IF($I786&gt;0,"Partiel",IF(Listes!$B$3&gt;$G786,"En retard","À échoir"))))))</f>
        <v/>
      </c>
      <c r="O786" s="11">
        <f>IF($A786="","",IF(OR($G786="", $J786&lt;=0),0,MAX(0,Listes!$B$3-$G786)))</f>
        <v/>
      </c>
      <c r="P786" s="12">
        <f>IF($A786="","",IF($J786&lt;=0,"Payé",IF($M786="Oui","Litige",IF($O786=0,"À échoir",IF($O786&lt;=30,"0-30",IF($O786&lt;=60,"31-60",IF($O786&lt;=90,"61-90","90+")))))))</f>
        <v/>
      </c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9">
        <f>IF($A787="","",SUMIFS(Ventes_Encaissements!$D$6:$D$3005,Ventes_Encaissements!$B$6:$B$3005,$A787))</f>
        <v/>
      </c>
      <c r="J787" s="9">
        <f>IF($A787="","",$H787-$I787)</f>
        <v/>
      </c>
      <c r="K787" s="10">
        <f>IF($A787="","",IF($I787=0,"",_xludf.AGGREGATE(14,6,Ventes_Encaissements!$C$6:$C$3005/(Ventes_Encaissements!$B$6:$B$3005=$A787),1)))</f>
        <v/>
      </c>
      <c r="L787" s="11">
        <f>IF($A787="","",COUNTIFS(Ventes_Detail!$B$6:$B$3005,$A787))</f>
        <v/>
      </c>
      <c r="M787" s="12" t="n"/>
      <c r="N787" s="12">
        <f>IF($A787="","",IF($G787="","",IF($M787="Oui","Litige",IF($J787&lt;=0,"Payé",IF($I787&gt;0,"Partiel",IF(Listes!$B$3&gt;$G787,"En retard","À échoir"))))))</f>
        <v/>
      </c>
      <c r="O787" s="11">
        <f>IF($A787="","",IF(OR($G787="", $J787&lt;=0),0,MAX(0,Listes!$B$3-$G787)))</f>
        <v/>
      </c>
      <c r="P787" s="12">
        <f>IF($A787="","",IF($J787&lt;=0,"Payé",IF($M787="Oui","Litige",IF($O787=0,"À échoir",IF($O787&lt;=30,"0-30",IF($O787&lt;=60,"31-60",IF($O787&lt;=90,"61-90","90+")))))))</f>
        <v/>
      </c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9">
        <f>IF($A788="","",SUMIFS(Ventes_Encaissements!$D$6:$D$3005,Ventes_Encaissements!$B$6:$B$3005,$A788))</f>
        <v/>
      </c>
      <c r="J788" s="9">
        <f>IF($A788="","",$H788-$I788)</f>
        <v/>
      </c>
      <c r="K788" s="10">
        <f>IF($A788="","",IF($I788=0,"",_xludf.AGGREGATE(14,6,Ventes_Encaissements!$C$6:$C$3005/(Ventes_Encaissements!$B$6:$B$3005=$A788),1)))</f>
        <v/>
      </c>
      <c r="L788" s="11">
        <f>IF($A788="","",COUNTIFS(Ventes_Detail!$B$6:$B$3005,$A788))</f>
        <v/>
      </c>
      <c r="M788" s="12" t="n"/>
      <c r="N788" s="12">
        <f>IF($A788="","",IF($G788="","",IF($M788="Oui","Litige",IF($J788&lt;=0,"Payé",IF($I788&gt;0,"Partiel",IF(Listes!$B$3&gt;$G788,"En retard","À échoir"))))))</f>
        <v/>
      </c>
      <c r="O788" s="11">
        <f>IF($A788="","",IF(OR($G788="", $J788&lt;=0),0,MAX(0,Listes!$B$3-$G788)))</f>
        <v/>
      </c>
      <c r="P788" s="12">
        <f>IF($A788="","",IF($J788&lt;=0,"Payé",IF($M788="Oui","Litige",IF($O788=0,"À échoir",IF($O788&lt;=30,"0-30",IF($O788&lt;=60,"31-60",IF($O788&lt;=90,"61-90","90+")))))))</f>
        <v/>
      </c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9">
        <f>IF($A789="","",SUMIFS(Ventes_Encaissements!$D$6:$D$3005,Ventes_Encaissements!$B$6:$B$3005,$A789))</f>
        <v/>
      </c>
      <c r="J789" s="9">
        <f>IF($A789="","",$H789-$I789)</f>
        <v/>
      </c>
      <c r="K789" s="10">
        <f>IF($A789="","",IF($I789=0,"",_xludf.AGGREGATE(14,6,Ventes_Encaissements!$C$6:$C$3005/(Ventes_Encaissements!$B$6:$B$3005=$A789),1)))</f>
        <v/>
      </c>
      <c r="L789" s="11">
        <f>IF($A789="","",COUNTIFS(Ventes_Detail!$B$6:$B$3005,$A789))</f>
        <v/>
      </c>
      <c r="M789" s="12" t="n"/>
      <c r="N789" s="12">
        <f>IF($A789="","",IF($G789="","",IF($M789="Oui","Litige",IF($J789&lt;=0,"Payé",IF($I789&gt;0,"Partiel",IF(Listes!$B$3&gt;$G789,"En retard","À échoir"))))))</f>
        <v/>
      </c>
      <c r="O789" s="11">
        <f>IF($A789="","",IF(OR($G789="", $J789&lt;=0),0,MAX(0,Listes!$B$3-$G789)))</f>
        <v/>
      </c>
      <c r="P789" s="12">
        <f>IF($A789="","",IF($J789&lt;=0,"Payé",IF($M789="Oui","Litige",IF($O789=0,"À échoir",IF($O789&lt;=30,"0-30",IF($O789&lt;=60,"31-60",IF($O789&lt;=90,"61-90","90+")))))))</f>
        <v/>
      </c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9">
        <f>IF($A790="","",SUMIFS(Ventes_Encaissements!$D$6:$D$3005,Ventes_Encaissements!$B$6:$B$3005,$A790))</f>
        <v/>
      </c>
      <c r="J790" s="9">
        <f>IF($A790="","",$H790-$I790)</f>
        <v/>
      </c>
      <c r="K790" s="10">
        <f>IF($A790="","",IF($I790=0,"",_xludf.AGGREGATE(14,6,Ventes_Encaissements!$C$6:$C$3005/(Ventes_Encaissements!$B$6:$B$3005=$A790),1)))</f>
        <v/>
      </c>
      <c r="L790" s="11">
        <f>IF($A790="","",COUNTIFS(Ventes_Detail!$B$6:$B$3005,$A790))</f>
        <v/>
      </c>
      <c r="M790" s="12" t="n"/>
      <c r="N790" s="12">
        <f>IF($A790="","",IF($G790="","",IF($M790="Oui","Litige",IF($J790&lt;=0,"Payé",IF($I790&gt;0,"Partiel",IF(Listes!$B$3&gt;$G790,"En retard","À échoir"))))))</f>
        <v/>
      </c>
      <c r="O790" s="11">
        <f>IF($A790="","",IF(OR($G790="", $J790&lt;=0),0,MAX(0,Listes!$B$3-$G790)))</f>
        <v/>
      </c>
      <c r="P790" s="12">
        <f>IF($A790="","",IF($J790&lt;=0,"Payé",IF($M790="Oui","Litige",IF($O790=0,"À échoir",IF($O790&lt;=30,"0-30",IF($O790&lt;=60,"31-60",IF($O790&lt;=90,"61-90","90+")))))))</f>
        <v/>
      </c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9">
        <f>IF($A791="","",SUMIFS(Ventes_Encaissements!$D$6:$D$3005,Ventes_Encaissements!$B$6:$B$3005,$A791))</f>
        <v/>
      </c>
      <c r="J791" s="9">
        <f>IF($A791="","",$H791-$I791)</f>
        <v/>
      </c>
      <c r="K791" s="10">
        <f>IF($A791="","",IF($I791=0,"",_xludf.AGGREGATE(14,6,Ventes_Encaissements!$C$6:$C$3005/(Ventes_Encaissements!$B$6:$B$3005=$A791),1)))</f>
        <v/>
      </c>
      <c r="L791" s="11">
        <f>IF($A791="","",COUNTIFS(Ventes_Detail!$B$6:$B$3005,$A791))</f>
        <v/>
      </c>
      <c r="M791" s="12" t="n"/>
      <c r="N791" s="12">
        <f>IF($A791="","",IF($G791="","",IF($M791="Oui","Litige",IF($J791&lt;=0,"Payé",IF($I791&gt;0,"Partiel",IF(Listes!$B$3&gt;$G791,"En retard","À échoir"))))))</f>
        <v/>
      </c>
      <c r="O791" s="11">
        <f>IF($A791="","",IF(OR($G791="", $J791&lt;=0),0,MAX(0,Listes!$B$3-$G791)))</f>
        <v/>
      </c>
      <c r="P791" s="12">
        <f>IF($A791="","",IF($J791&lt;=0,"Payé",IF($M791="Oui","Litige",IF($O791=0,"À échoir",IF($O791&lt;=30,"0-30",IF($O791&lt;=60,"31-60",IF($O791&lt;=90,"61-90","90+")))))))</f>
        <v/>
      </c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9">
        <f>IF($A792="","",SUMIFS(Ventes_Encaissements!$D$6:$D$3005,Ventes_Encaissements!$B$6:$B$3005,$A792))</f>
        <v/>
      </c>
      <c r="J792" s="9">
        <f>IF($A792="","",$H792-$I792)</f>
        <v/>
      </c>
      <c r="K792" s="10">
        <f>IF($A792="","",IF($I792=0,"",_xludf.AGGREGATE(14,6,Ventes_Encaissements!$C$6:$C$3005/(Ventes_Encaissements!$B$6:$B$3005=$A792),1)))</f>
        <v/>
      </c>
      <c r="L792" s="11">
        <f>IF($A792="","",COUNTIFS(Ventes_Detail!$B$6:$B$3005,$A792))</f>
        <v/>
      </c>
      <c r="M792" s="12" t="n"/>
      <c r="N792" s="12">
        <f>IF($A792="","",IF($G792="","",IF($M792="Oui","Litige",IF($J792&lt;=0,"Payé",IF($I792&gt;0,"Partiel",IF(Listes!$B$3&gt;$G792,"En retard","À échoir"))))))</f>
        <v/>
      </c>
      <c r="O792" s="11">
        <f>IF($A792="","",IF(OR($G792="", $J792&lt;=0),0,MAX(0,Listes!$B$3-$G792)))</f>
        <v/>
      </c>
      <c r="P792" s="12">
        <f>IF($A792="","",IF($J792&lt;=0,"Payé",IF($M792="Oui","Litige",IF($O792=0,"À échoir",IF($O792&lt;=30,"0-30",IF($O792&lt;=60,"31-60",IF($O792&lt;=90,"61-90","90+")))))))</f>
        <v/>
      </c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9">
        <f>IF($A793="","",SUMIFS(Ventes_Encaissements!$D$6:$D$3005,Ventes_Encaissements!$B$6:$B$3005,$A793))</f>
        <v/>
      </c>
      <c r="J793" s="9">
        <f>IF($A793="","",$H793-$I793)</f>
        <v/>
      </c>
      <c r="K793" s="10">
        <f>IF($A793="","",IF($I793=0,"",_xludf.AGGREGATE(14,6,Ventes_Encaissements!$C$6:$C$3005/(Ventes_Encaissements!$B$6:$B$3005=$A793),1)))</f>
        <v/>
      </c>
      <c r="L793" s="11">
        <f>IF($A793="","",COUNTIFS(Ventes_Detail!$B$6:$B$3005,$A793))</f>
        <v/>
      </c>
      <c r="M793" s="12" t="n"/>
      <c r="N793" s="12">
        <f>IF($A793="","",IF($G793="","",IF($M793="Oui","Litige",IF($J793&lt;=0,"Payé",IF($I793&gt;0,"Partiel",IF(Listes!$B$3&gt;$G793,"En retard","À échoir"))))))</f>
        <v/>
      </c>
      <c r="O793" s="11">
        <f>IF($A793="","",IF(OR($G793="", $J793&lt;=0),0,MAX(0,Listes!$B$3-$G793)))</f>
        <v/>
      </c>
      <c r="P793" s="12">
        <f>IF($A793="","",IF($J793&lt;=0,"Payé",IF($M793="Oui","Litige",IF($O793=0,"À échoir",IF($O793&lt;=30,"0-30",IF($O793&lt;=60,"31-60",IF($O793&lt;=90,"61-90","90+")))))))</f>
        <v/>
      </c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9">
        <f>IF($A794="","",SUMIFS(Ventes_Encaissements!$D$6:$D$3005,Ventes_Encaissements!$B$6:$B$3005,$A794))</f>
        <v/>
      </c>
      <c r="J794" s="9">
        <f>IF($A794="","",$H794-$I794)</f>
        <v/>
      </c>
      <c r="K794" s="10">
        <f>IF($A794="","",IF($I794=0,"",_xludf.AGGREGATE(14,6,Ventes_Encaissements!$C$6:$C$3005/(Ventes_Encaissements!$B$6:$B$3005=$A794),1)))</f>
        <v/>
      </c>
      <c r="L794" s="11">
        <f>IF($A794="","",COUNTIFS(Ventes_Detail!$B$6:$B$3005,$A794))</f>
        <v/>
      </c>
      <c r="M794" s="12" t="n"/>
      <c r="N794" s="12">
        <f>IF($A794="","",IF($G794="","",IF($M794="Oui","Litige",IF($J794&lt;=0,"Payé",IF($I794&gt;0,"Partiel",IF(Listes!$B$3&gt;$G794,"En retard","À échoir"))))))</f>
        <v/>
      </c>
      <c r="O794" s="11">
        <f>IF($A794="","",IF(OR($G794="", $J794&lt;=0),0,MAX(0,Listes!$B$3-$G794)))</f>
        <v/>
      </c>
      <c r="P794" s="12">
        <f>IF($A794="","",IF($J794&lt;=0,"Payé",IF($M794="Oui","Litige",IF($O794=0,"À échoir",IF($O794&lt;=30,"0-30",IF($O794&lt;=60,"31-60",IF($O794&lt;=90,"61-90","90+")))))))</f>
        <v/>
      </c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9">
        <f>IF($A795="","",SUMIFS(Ventes_Encaissements!$D$6:$D$3005,Ventes_Encaissements!$B$6:$B$3005,$A795))</f>
        <v/>
      </c>
      <c r="J795" s="9">
        <f>IF($A795="","",$H795-$I795)</f>
        <v/>
      </c>
      <c r="K795" s="10">
        <f>IF($A795="","",IF($I795=0,"",_xludf.AGGREGATE(14,6,Ventes_Encaissements!$C$6:$C$3005/(Ventes_Encaissements!$B$6:$B$3005=$A795),1)))</f>
        <v/>
      </c>
      <c r="L795" s="11">
        <f>IF($A795="","",COUNTIFS(Ventes_Detail!$B$6:$B$3005,$A795))</f>
        <v/>
      </c>
      <c r="M795" s="12" t="n"/>
      <c r="N795" s="12">
        <f>IF($A795="","",IF($G795="","",IF($M795="Oui","Litige",IF($J795&lt;=0,"Payé",IF($I795&gt;0,"Partiel",IF(Listes!$B$3&gt;$G795,"En retard","À échoir"))))))</f>
        <v/>
      </c>
      <c r="O795" s="11">
        <f>IF($A795="","",IF(OR($G795="", $J795&lt;=0),0,MAX(0,Listes!$B$3-$G795)))</f>
        <v/>
      </c>
      <c r="P795" s="12">
        <f>IF($A795="","",IF($J795&lt;=0,"Payé",IF($M795="Oui","Litige",IF($O795=0,"À échoir",IF($O795&lt;=30,"0-30",IF($O795&lt;=60,"31-60",IF($O795&lt;=90,"61-90","90+")))))))</f>
        <v/>
      </c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9">
        <f>IF($A796="","",SUMIFS(Ventes_Encaissements!$D$6:$D$3005,Ventes_Encaissements!$B$6:$B$3005,$A796))</f>
        <v/>
      </c>
      <c r="J796" s="9">
        <f>IF($A796="","",$H796-$I796)</f>
        <v/>
      </c>
      <c r="K796" s="10">
        <f>IF($A796="","",IF($I796=0,"",_xludf.AGGREGATE(14,6,Ventes_Encaissements!$C$6:$C$3005/(Ventes_Encaissements!$B$6:$B$3005=$A796),1)))</f>
        <v/>
      </c>
      <c r="L796" s="11">
        <f>IF($A796="","",COUNTIFS(Ventes_Detail!$B$6:$B$3005,$A796))</f>
        <v/>
      </c>
      <c r="M796" s="12" t="n"/>
      <c r="N796" s="12">
        <f>IF($A796="","",IF($G796="","",IF($M796="Oui","Litige",IF($J796&lt;=0,"Payé",IF($I796&gt;0,"Partiel",IF(Listes!$B$3&gt;$G796,"En retard","À échoir"))))))</f>
        <v/>
      </c>
      <c r="O796" s="11">
        <f>IF($A796="","",IF(OR($G796="", $J796&lt;=0),0,MAX(0,Listes!$B$3-$G796)))</f>
        <v/>
      </c>
      <c r="P796" s="12">
        <f>IF($A796="","",IF($J796&lt;=0,"Payé",IF($M796="Oui","Litige",IF($O796=0,"À échoir",IF($O796&lt;=30,"0-30",IF($O796&lt;=60,"31-60",IF($O796&lt;=90,"61-90","90+")))))))</f>
        <v/>
      </c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9">
        <f>IF($A797="","",SUMIFS(Ventes_Encaissements!$D$6:$D$3005,Ventes_Encaissements!$B$6:$B$3005,$A797))</f>
        <v/>
      </c>
      <c r="J797" s="9">
        <f>IF($A797="","",$H797-$I797)</f>
        <v/>
      </c>
      <c r="K797" s="10">
        <f>IF($A797="","",IF($I797=0,"",_xludf.AGGREGATE(14,6,Ventes_Encaissements!$C$6:$C$3005/(Ventes_Encaissements!$B$6:$B$3005=$A797),1)))</f>
        <v/>
      </c>
      <c r="L797" s="11">
        <f>IF($A797="","",COUNTIFS(Ventes_Detail!$B$6:$B$3005,$A797))</f>
        <v/>
      </c>
      <c r="M797" s="12" t="n"/>
      <c r="N797" s="12">
        <f>IF($A797="","",IF($G797="","",IF($M797="Oui","Litige",IF($J797&lt;=0,"Payé",IF($I797&gt;0,"Partiel",IF(Listes!$B$3&gt;$G797,"En retard","À échoir"))))))</f>
        <v/>
      </c>
      <c r="O797" s="11">
        <f>IF($A797="","",IF(OR($G797="", $J797&lt;=0),0,MAX(0,Listes!$B$3-$G797)))</f>
        <v/>
      </c>
      <c r="P797" s="12">
        <f>IF($A797="","",IF($J797&lt;=0,"Payé",IF($M797="Oui","Litige",IF($O797=0,"À échoir",IF($O797&lt;=30,"0-30",IF($O797&lt;=60,"31-60",IF($O797&lt;=90,"61-90","90+")))))))</f>
        <v/>
      </c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9">
        <f>IF($A798="","",SUMIFS(Ventes_Encaissements!$D$6:$D$3005,Ventes_Encaissements!$B$6:$B$3005,$A798))</f>
        <v/>
      </c>
      <c r="J798" s="9">
        <f>IF($A798="","",$H798-$I798)</f>
        <v/>
      </c>
      <c r="K798" s="10">
        <f>IF($A798="","",IF($I798=0,"",_xludf.AGGREGATE(14,6,Ventes_Encaissements!$C$6:$C$3005/(Ventes_Encaissements!$B$6:$B$3005=$A798),1)))</f>
        <v/>
      </c>
      <c r="L798" s="11">
        <f>IF($A798="","",COUNTIFS(Ventes_Detail!$B$6:$B$3005,$A798))</f>
        <v/>
      </c>
      <c r="M798" s="12" t="n"/>
      <c r="N798" s="12">
        <f>IF($A798="","",IF($G798="","",IF($M798="Oui","Litige",IF($J798&lt;=0,"Payé",IF($I798&gt;0,"Partiel",IF(Listes!$B$3&gt;$G798,"En retard","À échoir"))))))</f>
        <v/>
      </c>
      <c r="O798" s="11">
        <f>IF($A798="","",IF(OR($G798="", $J798&lt;=0),0,MAX(0,Listes!$B$3-$G798)))</f>
        <v/>
      </c>
      <c r="P798" s="12">
        <f>IF($A798="","",IF($J798&lt;=0,"Payé",IF($M798="Oui","Litige",IF($O798=0,"À échoir",IF($O798&lt;=30,"0-30",IF($O798&lt;=60,"31-60",IF($O798&lt;=90,"61-90","90+")))))))</f>
        <v/>
      </c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9">
        <f>IF($A799="","",SUMIFS(Ventes_Encaissements!$D$6:$D$3005,Ventes_Encaissements!$B$6:$B$3005,$A799))</f>
        <v/>
      </c>
      <c r="J799" s="9">
        <f>IF($A799="","",$H799-$I799)</f>
        <v/>
      </c>
      <c r="K799" s="10">
        <f>IF($A799="","",IF($I799=0,"",_xludf.AGGREGATE(14,6,Ventes_Encaissements!$C$6:$C$3005/(Ventes_Encaissements!$B$6:$B$3005=$A799),1)))</f>
        <v/>
      </c>
      <c r="L799" s="11">
        <f>IF($A799="","",COUNTIFS(Ventes_Detail!$B$6:$B$3005,$A799))</f>
        <v/>
      </c>
      <c r="M799" s="12" t="n"/>
      <c r="N799" s="12">
        <f>IF($A799="","",IF($G799="","",IF($M799="Oui","Litige",IF($J799&lt;=0,"Payé",IF($I799&gt;0,"Partiel",IF(Listes!$B$3&gt;$G799,"En retard","À échoir"))))))</f>
        <v/>
      </c>
      <c r="O799" s="11">
        <f>IF($A799="","",IF(OR($G799="", $J799&lt;=0),0,MAX(0,Listes!$B$3-$G799)))</f>
        <v/>
      </c>
      <c r="P799" s="12">
        <f>IF($A799="","",IF($J799&lt;=0,"Payé",IF($M799="Oui","Litige",IF($O799=0,"À échoir",IF($O799&lt;=30,"0-30",IF($O799&lt;=60,"31-60",IF($O799&lt;=90,"61-90","90+")))))))</f>
        <v/>
      </c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9">
        <f>IF($A800="","",SUMIFS(Ventes_Encaissements!$D$6:$D$3005,Ventes_Encaissements!$B$6:$B$3005,$A800))</f>
        <v/>
      </c>
      <c r="J800" s="9">
        <f>IF($A800="","",$H800-$I800)</f>
        <v/>
      </c>
      <c r="K800" s="10">
        <f>IF($A800="","",IF($I800=0,"",_xludf.AGGREGATE(14,6,Ventes_Encaissements!$C$6:$C$3005/(Ventes_Encaissements!$B$6:$B$3005=$A800),1)))</f>
        <v/>
      </c>
      <c r="L800" s="11">
        <f>IF($A800="","",COUNTIFS(Ventes_Detail!$B$6:$B$3005,$A800))</f>
        <v/>
      </c>
      <c r="M800" s="12" t="n"/>
      <c r="N800" s="12">
        <f>IF($A800="","",IF($G800="","",IF($M800="Oui","Litige",IF($J800&lt;=0,"Payé",IF($I800&gt;0,"Partiel",IF(Listes!$B$3&gt;$G800,"En retard","À échoir"))))))</f>
        <v/>
      </c>
      <c r="O800" s="11">
        <f>IF($A800="","",IF(OR($G800="", $J800&lt;=0),0,MAX(0,Listes!$B$3-$G800)))</f>
        <v/>
      </c>
      <c r="P800" s="12">
        <f>IF($A800="","",IF($J800&lt;=0,"Payé",IF($M800="Oui","Litige",IF($O800=0,"À échoir",IF($O800&lt;=30,"0-30",IF($O800&lt;=60,"31-60",IF($O800&lt;=90,"61-90","90+")))))))</f>
        <v/>
      </c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9">
        <f>IF($A801="","",SUMIFS(Ventes_Encaissements!$D$6:$D$3005,Ventes_Encaissements!$B$6:$B$3005,$A801))</f>
        <v/>
      </c>
      <c r="J801" s="9">
        <f>IF($A801="","",$H801-$I801)</f>
        <v/>
      </c>
      <c r="K801" s="10">
        <f>IF($A801="","",IF($I801=0,"",_xludf.AGGREGATE(14,6,Ventes_Encaissements!$C$6:$C$3005/(Ventes_Encaissements!$B$6:$B$3005=$A801),1)))</f>
        <v/>
      </c>
      <c r="L801" s="11">
        <f>IF($A801="","",COUNTIFS(Ventes_Detail!$B$6:$B$3005,$A801))</f>
        <v/>
      </c>
      <c r="M801" s="12" t="n"/>
      <c r="N801" s="12">
        <f>IF($A801="","",IF($G801="","",IF($M801="Oui","Litige",IF($J801&lt;=0,"Payé",IF($I801&gt;0,"Partiel",IF(Listes!$B$3&gt;$G801,"En retard","À échoir"))))))</f>
        <v/>
      </c>
      <c r="O801" s="11">
        <f>IF($A801="","",IF(OR($G801="", $J801&lt;=0),0,MAX(0,Listes!$B$3-$G801)))</f>
        <v/>
      </c>
      <c r="P801" s="12">
        <f>IF($A801="","",IF($J801&lt;=0,"Payé",IF($M801="Oui","Litige",IF($O801=0,"À échoir",IF($O801&lt;=30,"0-30",IF($O801&lt;=60,"31-60",IF($O801&lt;=90,"61-90","90+")))))))</f>
        <v/>
      </c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9">
        <f>IF($A802="","",SUMIFS(Ventes_Encaissements!$D$6:$D$3005,Ventes_Encaissements!$B$6:$B$3005,$A802))</f>
        <v/>
      </c>
      <c r="J802" s="9">
        <f>IF($A802="","",$H802-$I802)</f>
        <v/>
      </c>
      <c r="K802" s="10">
        <f>IF($A802="","",IF($I802=0,"",_xludf.AGGREGATE(14,6,Ventes_Encaissements!$C$6:$C$3005/(Ventes_Encaissements!$B$6:$B$3005=$A802),1)))</f>
        <v/>
      </c>
      <c r="L802" s="11">
        <f>IF($A802="","",COUNTIFS(Ventes_Detail!$B$6:$B$3005,$A802))</f>
        <v/>
      </c>
      <c r="M802" s="12" t="n"/>
      <c r="N802" s="12">
        <f>IF($A802="","",IF($G802="","",IF($M802="Oui","Litige",IF($J802&lt;=0,"Payé",IF($I802&gt;0,"Partiel",IF(Listes!$B$3&gt;$G802,"En retard","À échoir"))))))</f>
        <v/>
      </c>
      <c r="O802" s="11">
        <f>IF($A802="","",IF(OR($G802="", $J802&lt;=0),0,MAX(0,Listes!$B$3-$G802)))</f>
        <v/>
      </c>
      <c r="P802" s="12">
        <f>IF($A802="","",IF($J802&lt;=0,"Payé",IF($M802="Oui","Litige",IF($O802=0,"À échoir",IF($O802&lt;=30,"0-30",IF($O802&lt;=60,"31-60",IF($O802&lt;=90,"61-90","90+")))))))</f>
        <v/>
      </c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9">
        <f>IF($A803="","",SUMIFS(Ventes_Encaissements!$D$6:$D$3005,Ventes_Encaissements!$B$6:$B$3005,$A803))</f>
        <v/>
      </c>
      <c r="J803" s="9">
        <f>IF($A803="","",$H803-$I803)</f>
        <v/>
      </c>
      <c r="K803" s="10">
        <f>IF($A803="","",IF($I803=0,"",_xludf.AGGREGATE(14,6,Ventes_Encaissements!$C$6:$C$3005/(Ventes_Encaissements!$B$6:$B$3005=$A803),1)))</f>
        <v/>
      </c>
      <c r="L803" s="11">
        <f>IF($A803="","",COUNTIFS(Ventes_Detail!$B$6:$B$3005,$A803))</f>
        <v/>
      </c>
      <c r="M803" s="12" t="n"/>
      <c r="N803" s="12">
        <f>IF($A803="","",IF($G803="","",IF($M803="Oui","Litige",IF($J803&lt;=0,"Payé",IF($I803&gt;0,"Partiel",IF(Listes!$B$3&gt;$G803,"En retard","À échoir"))))))</f>
        <v/>
      </c>
      <c r="O803" s="11">
        <f>IF($A803="","",IF(OR($G803="", $J803&lt;=0),0,MAX(0,Listes!$B$3-$G803)))</f>
        <v/>
      </c>
      <c r="P803" s="12">
        <f>IF($A803="","",IF($J803&lt;=0,"Payé",IF($M803="Oui","Litige",IF($O803=0,"À échoir",IF($O803&lt;=30,"0-30",IF($O803&lt;=60,"31-60",IF($O803&lt;=90,"61-90","90+")))))))</f>
        <v/>
      </c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9">
        <f>IF($A804="","",SUMIFS(Ventes_Encaissements!$D$6:$D$3005,Ventes_Encaissements!$B$6:$B$3005,$A804))</f>
        <v/>
      </c>
      <c r="J804" s="9">
        <f>IF($A804="","",$H804-$I804)</f>
        <v/>
      </c>
      <c r="K804" s="10">
        <f>IF($A804="","",IF($I804=0,"",_xludf.AGGREGATE(14,6,Ventes_Encaissements!$C$6:$C$3005/(Ventes_Encaissements!$B$6:$B$3005=$A804),1)))</f>
        <v/>
      </c>
      <c r="L804" s="11">
        <f>IF($A804="","",COUNTIFS(Ventes_Detail!$B$6:$B$3005,$A804))</f>
        <v/>
      </c>
      <c r="M804" s="12" t="n"/>
      <c r="N804" s="12">
        <f>IF($A804="","",IF($G804="","",IF($M804="Oui","Litige",IF($J804&lt;=0,"Payé",IF($I804&gt;0,"Partiel",IF(Listes!$B$3&gt;$G804,"En retard","À échoir"))))))</f>
        <v/>
      </c>
      <c r="O804" s="11">
        <f>IF($A804="","",IF(OR($G804="", $J804&lt;=0),0,MAX(0,Listes!$B$3-$G804)))</f>
        <v/>
      </c>
      <c r="P804" s="12">
        <f>IF($A804="","",IF($J804&lt;=0,"Payé",IF($M804="Oui","Litige",IF($O804=0,"À échoir",IF($O804&lt;=30,"0-30",IF($O804&lt;=60,"31-60",IF($O804&lt;=90,"61-90","90+")))))))</f>
        <v/>
      </c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9">
        <f>IF($A805="","",SUMIFS(Ventes_Encaissements!$D$6:$D$3005,Ventes_Encaissements!$B$6:$B$3005,$A805))</f>
        <v/>
      </c>
      <c r="J805" s="9">
        <f>IF($A805="","",$H805-$I805)</f>
        <v/>
      </c>
      <c r="K805" s="10">
        <f>IF($A805="","",IF($I805=0,"",_xludf.AGGREGATE(14,6,Ventes_Encaissements!$C$6:$C$3005/(Ventes_Encaissements!$B$6:$B$3005=$A805),1)))</f>
        <v/>
      </c>
      <c r="L805" s="11">
        <f>IF($A805="","",COUNTIFS(Ventes_Detail!$B$6:$B$3005,$A805))</f>
        <v/>
      </c>
      <c r="M805" s="12" t="n"/>
      <c r="N805" s="12">
        <f>IF($A805="","",IF($G805="","",IF($M805="Oui","Litige",IF($J805&lt;=0,"Payé",IF($I805&gt;0,"Partiel",IF(Listes!$B$3&gt;$G805,"En retard","À échoir"))))))</f>
        <v/>
      </c>
      <c r="O805" s="11">
        <f>IF($A805="","",IF(OR($G805="", $J805&lt;=0),0,MAX(0,Listes!$B$3-$G805)))</f>
        <v/>
      </c>
      <c r="P805" s="12">
        <f>IF($A805="","",IF($J805&lt;=0,"Payé",IF($M805="Oui","Litige",IF($O805=0,"À échoir",IF($O805&lt;=30,"0-30",IF($O805&lt;=60,"31-60",IF($O805&lt;=90,"61-90","90+")))))))</f>
        <v/>
      </c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9">
        <f>IF($A806="","",SUMIFS(Ventes_Encaissements!$D$6:$D$3005,Ventes_Encaissements!$B$6:$B$3005,$A806))</f>
        <v/>
      </c>
      <c r="J806" s="9">
        <f>IF($A806="","",$H806-$I806)</f>
        <v/>
      </c>
      <c r="K806" s="10">
        <f>IF($A806="","",IF($I806=0,"",_xludf.AGGREGATE(14,6,Ventes_Encaissements!$C$6:$C$3005/(Ventes_Encaissements!$B$6:$B$3005=$A806),1)))</f>
        <v/>
      </c>
      <c r="L806" s="11">
        <f>IF($A806="","",COUNTIFS(Ventes_Detail!$B$6:$B$3005,$A806))</f>
        <v/>
      </c>
      <c r="M806" s="12" t="n"/>
      <c r="N806" s="12">
        <f>IF($A806="","",IF($G806="","",IF($M806="Oui","Litige",IF($J806&lt;=0,"Payé",IF($I806&gt;0,"Partiel",IF(Listes!$B$3&gt;$G806,"En retard","À échoir"))))))</f>
        <v/>
      </c>
      <c r="O806" s="11">
        <f>IF($A806="","",IF(OR($G806="", $J806&lt;=0),0,MAX(0,Listes!$B$3-$G806)))</f>
        <v/>
      </c>
      <c r="P806" s="12">
        <f>IF($A806="","",IF($J806&lt;=0,"Payé",IF($M806="Oui","Litige",IF($O806=0,"À échoir",IF($O806&lt;=30,"0-30",IF($O806&lt;=60,"31-60",IF($O806&lt;=90,"61-90","90+")))))))</f>
        <v/>
      </c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9">
        <f>IF($A807="","",SUMIFS(Ventes_Encaissements!$D$6:$D$3005,Ventes_Encaissements!$B$6:$B$3005,$A807))</f>
        <v/>
      </c>
      <c r="J807" s="9">
        <f>IF($A807="","",$H807-$I807)</f>
        <v/>
      </c>
      <c r="K807" s="10">
        <f>IF($A807="","",IF($I807=0,"",_xludf.AGGREGATE(14,6,Ventes_Encaissements!$C$6:$C$3005/(Ventes_Encaissements!$B$6:$B$3005=$A807),1)))</f>
        <v/>
      </c>
      <c r="L807" s="11">
        <f>IF($A807="","",COUNTIFS(Ventes_Detail!$B$6:$B$3005,$A807))</f>
        <v/>
      </c>
      <c r="M807" s="12" t="n"/>
      <c r="N807" s="12">
        <f>IF($A807="","",IF($G807="","",IF($M807="Oui","Litige",IF($J807&lt;=0,"Payé",IF($I807&gt;0,"Partiel",IF(Listes!$B$3&gt;$G807,"En retard","À échoir"))))))</f>
        <v/>
      </c>
      <c r="O807" s="11">
        <f>IF($A807="","",IF(OR($G807="", $J807&lt;=0),0,MAX(0,Listes!$B$3-$G807)))</f>
        <v/>
      </c>
      <c r="P807" s="12">
        <f>IF($A807="","",IF($J807&lt;=0,"Payé",IF($M807="Oui","Litige",IF($O807=0,"À échoir",IF($O807&lt;=30,"0-30",IF($O807&lt;=60,"31-60",IF($O807&lt;=90,"61-90","90+")))))))</f>
        <v/>
      </c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9">
        <f>IF($A808="","",SUMIFS(Ventes_Encaissements!$D$6:$D$3005,Ventes_Encaissements!$B$6:$B$3005,$A808))</f>
        <v/>
      </c>
      <c r="J808" s="9">
        <f>IF($A808="","",$H808-$I808)</f>
        <v/>
      </c>
      <c r="K808" s="10">
        <f>IF($A808="","",IF($I808=0,"",_xludf.AGGREGATE(14,6,Ventes_Encaissements!$C$6:$C$3005/(Ventes_Encaissements!$B$6:$B$3005=$A808),1)))</f>
        <v/>
      </c>
      <c r="L808" s="11">
        <f>IF($A808="","",COUNTIFS(Ventes_Detail!$B$6:$B$3005,$A808))</f>
        <v/>
      </c>
      <c r="M808" s="12" t="n"/>
      <c r="N808" s="12">
        <f>IF($A808="","",IF($G808="","",IF($M808="Oui","Litige",IF($J808&lt;=0,"Payé",IF($I808&gt;0,"Partiel",IF(Listes!$B$3&gt;$G808,"En retard","À échoir"))))))</f>
        <v/>
      </c>
      <c r="O808" s="11">
        <f>IF($A808="","",IF(OR($G808="", $J808&lt;=0),0,MAX(0,Listes!$B$3-$G808)))</f>
        <v/>
      </c>
      <c r="P808" s="12">
        <f>IF($A808="","",IF($J808&lt;=0,"Payé",IF($M808="Oui","Litige",IF($O808=0,"À échoir",IF($O808&lt;=30,"0-30",IF($O808&lt;=60,"31-60",IF($O808&lt;=90,"61-90","90+")))))))</f>
        <v/>
      </c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9">
        <f>IF($A809="","",SUMIFS(Ventes_Encaissements!$D$6:$D$3005,Ventes_Encaissements!$B$6:$B$3005,$A809))</f>
        <v/>
      </c>
      <c r="J809" s="9">
        <f>IF($A809="","",$H809-$I809)</f>
        <v/>
      </c>
      <c r="K809" s="10">
        <f>IF($A809="","",IF($I809=0,"",_xludf.AGGREGATE(14,6,Ventes_Encaissements!$C$6:$C$3005/(Ventes_Encaissements!$B$6:$B$3005=$A809),1)))</f>
        <v/>
      </c>
      <c r="L809" s="11">
        <f>IF($A809="","",COUNTIFS(Ventes_Detail!$B$6:$B$3005,$A809))</f>
        <v/>
      </c>
      <c r="M809" s="12" t="n"/>
      <c r="N809" s="12">
        <f>IF($A809="","",IF($G809="","",IF($M809="Oui","Litige",IF($J809&lt;=0,"Payé",IF($I809&gt;0,"Partiel",IF(Listes!$B$3&gt;$G809,"En retard","À échoir"))))))</f>
        <v/>
      </c>
      <c r="O809" s="11">
        <f>IF($A809="","",IF(OR($G809="", $J809&lt;=0),0,MAX(0,Listes!$B$3-$G809)))</f>
        <v/>
      </c>
      <c r="P809" s="12">
        <f>IF($A809="","",IF($J809&lt;=0,"Payé",IF($M809="Oui","Litige",IF($O809=0,"À échoir",IF($O809&lt;=30,"0-30",IF($O809&lt;=60,"31-60",IF($O809&lt;=90,"61-90","90+")))))))</f>
        <v/>
      </c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9">
        <f>IF($A810="","",SUMIFS(Ventes_Encaissements!$D$6:$D$3005,Ventes_Encaissements!$B$6:$B$3005,$A810))</f>
        <v/>
      </c>
      <c r="J810" s="9">
        <f>IF($A810="","",$H810-$I810)</f>
        <v/>
      </c>
      <c r="K810" s="10">
        <f>IF($A810="","",IF($I810=0,"",_xludf.AGGREGATE(14,6,Ventes_Encaissements!$C$6:$C$3005/(Ventes_Encaissements!$B$6:$B$3005=$A810),1)))</f>
        <v/>
      </c>
      <c r="L810" s="11">
        <f>IF($A810="","",COUNTIFS(Ventes_Detail!$B$6:$B$3005,$A810))</f>
        <v/>
      </c>
      <c r="M810" s="12" t="n"/>
      <c r="N810" s="12">
        <f>IF($A810="","",IF($G810="","",IF($M810="Oui","Litige",IF($J810&lt;=0,"Payé",IF($I810&gt;0,"Partiel",IF(Listes!$B$3&gt;$G810,"En retard","À échoir"))))))</f>
        <v/>
      </c>
      <c r="O810" s="11">
        <f>IF($A810="","",IF(OR($G810="", $J810&lt;=0),0,MAX(0,Listes!$B$3-$G810)))</f>
        <v/>
      </c>
      <c r="P810" s="12">
        <f>IF($A810="","",IF($J810&lt;=0,"Payé",IF($M810="Oui","Litige",IF($O810=0,"À échoir",IF($O810&lt;=30,"0-30",IF($O810&lt;=60,"31-60",IF($O810&lt;=90,"61-90","90+")))))))</f>
        <v/>
      </c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9">
        <f>IF($A811="","",SUMIFS(Ventes_Encaissements!$D$6:$D$3005,Ventes_Encaissements!$B$6:$B$3005,$A811))</f>
        <v/>
      </c>
      <c r="J811" s="9">
        <f>IF($A811="","",$H811-$I811)</f>
        <v/>
      </c>
      <c r="K811" s="10">
        <f>IF($A811="","",IF($I811=0,"",_xludf.AGGREGATE(14,6,Ventes_Encaissements!$C$6:$C$3005/(Ventes_Encaissements!$B$6:$B$3005=$A811),1)))</f>
        <v/>
      </c>
      <c r="L811" s="11">
        <f>IF($A811="","",COUNTIFS(Ventes_Detail!$B$6:$B$3005,$A811))</f>
        <v/>
      </c>
      <c r="M811" s="12" t="n"/>
      <c r="N811" s="12">
        <f>IF($A811="","",IF($G811="","",IF($M811="Oui","Litige",IF($J811&lt;=0,"Payé",IF($I811&gt;0,"Partiel",IF(Listes!$B$3&gt;$G811,"En retard","À échoir"))))))</f>
        <v/>
      </c>
      <c r="O811" s="11">
        <f>IF($A811="","",IF(OR($G811="", $J811&lt;=0),0,MAX(0,Listes!$B$3-$G811)))</f>
        <v/>
      </c>
      <c r="P811" s="12">
        <f>IF($A811="","",IF($J811&lt;=0,"Payé",IF($M811="Oui","Litige",IF($O811=0,"À échoir",IF($O811&lt;=30,"0-30",IF($O811&lt;=60,"31-60",IF($O811&lt;=90,"61-90","90+")))))))</f>
        <v/>
      </c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9">
        <f>IF($A812="","",SUMIFS(Ventes_Encaissements!$D$6:$D$3005,Ventes_Encaissements!$B$6:$B$3005,$A812))</f>
        <v/>
      </c>
      <c r="J812" s="9">
        <f>IF($A812="","",$H812-$I812)</f>
        <v/>
      </c>
      <c r="K812" s="10">
        <f>IF($A812="","",IF($I812=0,"",_xludf.AGGREGATE(14,6,Ventes_Encaissements!$C$6:$C$3005/(Ventes_Encaissements!$B$6:$B$3005=$A812),1)))</f>
        <v/>
      </c>
      <c r="L812" s="11">
        <f>IF($A812="","",COUNTIFS(Ventes_Detail!$B$6:$B$3005,$A812))</f>
        <v/>
      </c>
      <c r="M812" s="12" t="n"/>
      <c r="N812" s="12">
        <f>IF($A812="","",IF($G812="","",IF($M812="Oui","Litige",IF($J812&lt;=0,"Payé",IF($I812&gt;0,"Partiel",IF(Listes!$B$3&gt;$G812,"En retard","À échoir"))))))</f>
        <v/>
      </c>
      <c r="O812" s="11">
        <f>IF($A812="","",IF(OR($G812="", $J812&lt;=0),0,MAX(0,Listes!$B$3-$G812)))</f>
        <v/>
      </c>
      <c r="P812" s="12">
        <f>IF($A812="","",IF($J812&lt;=0,"Payé",IF($M812="Oui","Litige",IF($O812=0,"À échoir",IF($O812&lt;=30,"0-30",IF($O812&lt;=60,"31-60",IF($O812&lt;=90,"61-90","90+")))))))</f>
        <v/>
      </c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9">
        <f>IF($A813="","",SUMIFS(Ventes_Encaissements!$D$6:$D$3005,Ventes_Encaissements!$B$6:$B$3005,$A813))</f>
        <v/>
      </c>
      <c r="J813" s="9">
        <f>IF($A813="","",$H813-$I813)</f>
        <v/>
      </c>
      <c r="K813" s="10">
        <f>IF($A813="","",IF($I813=0,"",_xludf.AGGREGATE(14,6,Ventes_Encaissements!$C$6:$C$3005/(Ventes_Encaissements!$B$6:$B$3005=$A813),1)))</f>
        <v/>
      </c>
      <c r="L813" s="11">
        <f>IF($A813="","",COUNTIFS(Ventes_Detail!$B$6:$B$3005,$A813))</f>
        <v/>
      </c>
      <c r="M813" s="12" t="n"/>
      <c r="N813" s="12">
        <f>IF($A813="","",IF($G813="","",IF($M813="Oui","Litige",IF($J813&lt;=0,"Payé",IF($I813&gt;0,"Partiel",IF(Listes!$B$3&gt;$G813,"En retard","À échoir"))))))</f>
        <v/>
      </c>
      <c r="O813" s="11">
        <f>IF($A813="","",IF(OR($G813="", $J813&lt;=0),0,MAX(0,Listes!$B$3-$G813)))</f>
        <v/>
      </c>
      <c r="P813" s="12">
        <f>IF($A813="","",IF($J813&lt;=0,"Payé",IF($M813="Oui","Litige",IF($O813=0,"À échoir",IF($O813&lt;=30,"0-30",IF($O813&lt;=60,"31-60",IF($O813&lt;=90,"61-90","90+")))))))</f>
        <v/>
      </c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9">
        <f>IF($A814="","",SUMIFS(Ventes_Encaissements!$D$6:$D$3005,Ventes_Encaissements!$B$6:$B$3005,$A814))</f>
        <v/>
      </c>
      <c r="J814" s="9">
        <f>IF($A814="","",$H814-$I814)</f>
        <v/>
      </c>
      <c r="K814" s="10">
        <f>IF($A814="","",IF($I814=0,"",_xludf.AGGREGATE(14,6,Ventes_Encaissements!$C$6:$C$3005/(Ventes_Encaissements!$B$6:$B$3005=$A814),1)))</f>
        <v/>
      </c>
      <c r="L814" s="11">
        <f>IF($A814="","",COUNTIFS(Ventes_Detail!$B$6:$B$3005,$A814))</f>
        <v/>
      </c>
      <c r="M814" s="12" t="n"/>
      <c r="N814" s="12">
        <f>IF($A814="","",IF($G814="","",IF($M814="Oui","Litige",IF($J814&lt;=0,"Payé",IF($I814&gt;0,"Partiel",IF(Listes!$B$3&gt;$G814,"En retard","À échoir"))))))</f>
        <v/>
      </c>
      <c r="O814" s="11">
        <f>IF($A814="","",IF(OR($G814="", $J814&lt;=0),0,MAX(0,Listes!$B$3-$G814)))</f>
        <v/>
      </c>
      <c r="P814" s="12">
        <f>IF($A814="","",IF($J814&lt;=0,"Payé",IF($M814="Oui","Litige",IF($O814=0,"À échoir",IF($O814&lt;=30,"0-30",IF($O814&lt;=60,"31-60",IF($O814&lt;=90,"61-90","90+")))))))</f>
        <v/>
      </c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9">
        <f>IF($A815="","",SUMIFS(Ventes_Encaissements!$D$6:$D$3005,Ventes_Encaissements!$B$6:$B$3005,$A815))</f>
        <v/>
      </c>
      <c r="J815" s="9">
        <f>IF($A815="","",$H815-$I815)</f>
        <v/>
      </c>
      <c r="K815" s="10">
        <f>IF($A815="","",IF($I815=0,"",_xludf.AGGREGATE(14,6,Ventes_Encaissements!$C$6:$C$3005/(Ventes_Encaissements!$B$6:$B$3005=$A815),1)))</f>
        <v/>
      </c>
      <c r="L815" s="11">
        <f>IF($A815="","",COUNTIFS(Ventes_Detail!$B$6:$B$3005,$A815))</f>
        <v/>
      </c>
      <c r="M815" s="12" t="n"/>
      <c r="N815" s="12">
        <f>IF($A815="","",IF($G815="","",IF($M815="Oui","Litige",IF($J815&lt;=0,"Payé",IF($I815&gt;0,"Partiel",IF(Listes!$B$3&gt;$G815,"En retard","À échoir"))))))</f>
        <v/>
      </c>
      <c r="O815" s="11">
        <f>IF($A815="","",IF(OR($G815="", $J815&lt;=0),0,MAX(0,Listes!$B$3-$G815)))</f>
        <v/>
      </c>
      <c r="P815" s="12">
        <f>IF($A815="","",IF($J815&lt;=0,"Payé",IF($M815="Oui","Litige",IF($O815=0,"À échoir",IF($O815&lt;=30,"0-30",IF($O815&lt;=60,"31-60",IF($O815&lt;=90,"61-90","90+")))))))</f>
        <v/>
      </c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9">
        <f>IF($A816="","",SUMIFS(Ventes_Encaissements!$D$6:$D$3005,Ventes_Encaissements!$B$6:$B$3005,$A816))</f>
        <v/>
      </c>
      <c r="J816" s="9">
        <f>IF($A816="","",$H816-$I816)</f>
        <v/>
      </c>
      <c r="K816" s="10">
        <f>IF($A816="","",IF($I816=0,"",_xludf.AGGREGATE(14,6,Ventes_Encaissements!$C$6:$C$3005/(Ventes_Encaissements!$B$6:$B$3005=$A816),1)))</f>
        <v/>
      </c>
      <c r="L816" s="11">
        <f>IF($A816="","",COUNTIFS(Ventes_Detail!$B$6:$B$3005,$A816))</f>
        <v/>
      </c>
      <c r="M816" s="12" t="n"/>
      <c r="N816" s="12">
        <f>IF($A816="","",IF($G816="","",IF($M816="Oui","Litige",IF($J816&lt;=0,"Payé",IF($I816&gt;0,"Partiel",IF(Listes!$B$3&gt;$G816,"En retard","À échoir"))))))</f>
        <v/>
      </c>
      <c r="O816" s="11">
        <f>IF($A816="","",IF(OR($G816="", $J816&lt;=0),0,MAX(0,Listes!$B$3-$G816)))</f>
        <v/>
      </c>
      <c r="P816" s="12">
        <f>IF($A816="","",IF($J816&lt;=0,"Payé",IF($M816="Oui","Litige",IF($O816=0,"À échoir",IF($O816&lt;=30,"0-30",IF($O816&lt;=60,"31-60",IF($O816&lt;=90,"61-90","90+")))))))</f>
        <v/>
      </c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9">
        <f>IF($A817="","",SUMIFS(Ventes_Encaissements!$D$6:$D$3005,Ventes_Encaissements!$B$6:$B$3005,$A817))</f>
        <v/>
      </c>
      <c r="J817" s="9">
        <f>IF($A817="","",$H817-$I817)</f>
        <v/>
      </c>
      <c r="K817" s="10">
        <f>IF($A817="","",IF($I817=0,"",_xludf.AGGREGATE(14,6,Ventes_Encaissements!$C$6:$C$3005/(Ventes_Encaissements!$B$6:$B$3005=$A817),1)))</f>
        <v/>
      </c>
      <c r="L817" s="11">
        <f>IF($A817="","",COUNTIFS(Ventes_Detail!$B$6:$B$3005,$A817))</f>
        <v/>
      </c>
      <c r="M817" s="12" t="n"/>
      <c r="N817" s="12">
        <f>IF($A817="","",IF($G817="","",IF($M817="Oui","Litige",IF($J817&lt;=0,"Payé",IF($I817&gt;0,"Partiel",IF(Listes!$B$3&gt;$G817,"En retard","À échoir"))))))</f>
        <v/>
      </c>
      <c r="O817" s="11">
        <f>IF($A817="","",IF(OR($G817="", $J817&lt;=0),0,MAX(0,Listes!$B$3-$G817)))</f>
        <v/>
      </c>
      <c r="P817" s="12">
        <f>IF($A817="","",IF($J817&lt;=0,"Payé",IF($M817="Oui","Litige",IF($O817=0,"À échoir",IF($O817&lt;=30,"0-30",IF($O817&lt;=60,"31-60",IF($O817&lt;=90,"61-90","90+")))))))</f>
        <v/>
      </c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9">
        <f>IF($A818="","",SUMIFS(Ventes_Encaissements!$D$6:$D$3005,Ventes_Encaissements!$B$6:$B$3005,$A818))</f>
        <v/>
      </c>
      <c r="J818" s="9">
        <f>IF($A818="","",$H818-$I818)</f>
        <v/>
      </c>
      <c r="K818" s="10">
        <f>IF($A818="","",IF($I818=0,"",_xludf.AGGREGATE(14,6,Ventes_Encaissements!$C$6:$C$3005/(Ventes_Encaissements!$B$6:$B$3005=$A818),1)))</f>
        <v/>
      </c>
      <c r="L818" s="11">
        <f>IF($A818="","",COUNTIFS(Ventes_Detail!$B$6:$B$3005,$A818))</f>
        <v/>
      </c>
      <c r="M818" s="12" t="n"/>
      <c r="N818" s="12">
        <f>IF($A818="","",IF($G818="","",IF($M818="Oui","Litige",IF($J818&lt;=0,"Payé",IF($I818&gt;0,"Partiel",IF(Listes!$B$3&gt;$G818,"En retard","À échoir"))))))</f>
        <v/>
      </c>
      <c r="O818" s="11">
        <f>IF($A818="","",IF(OR($G818="", $J818&lt;=0),0,MAX(0,Listes!$B$3-$G818)))</f>
        <v/>
      </c>
      <c r="P818" s="12">
        <f>IF($A818="","",IF($J818&lt;=0,"Payé",IF($M818="Oui","Litige",IF($O818=0,"À échoir",IF($O818&lt;=30,"0-30",IF($O818&lt;=60,"31-60",IF($O818&lt;=90,"61-90","90+")))))))</f>
        <v/>
      </c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9">
        <f>IF($A819="","",SUMIFS(Ventes_Encaissements!$D$6:$D$3005,Ventes_Encaissements!$B$6:$B$3005,$A819))</f>
        <v/>
      </c>
      <c r="J819" s="9">
        <f>IF($A819="","",$H819-$I819)</f>
        <v/>
      </c>
      <c r="K819" s="10">
        <f>IF($A819="","",IF($I819=0,"",_xludf.AGGREGATE(14,6,Ventes_Encaissements!$C$6:$C$3005/(Ventes_Encaissements!$B$6:$B$3005=$A819),1)))</f>
        <v/>
      </c>
      <c r="L819" s="11">
        <f>IF($A819="","",COUNTIFS(Ventes_Detail!$B$6:$B$3005,$A819))</f>
        <v/>
      </c>
      <c r="M819" s="12" t="n"/>
      <c r="N819" s="12">
        <f>IF($A819="","",IF($G819="","",IF($M819="Oui","Litige",IF($J819&lt;=0,"Payé",IF($I819&gt;0,"Partiel",IF(Listes!$B$3&gt;$G819,"En retard","À échoir"))))))</f>
        <v/>
      </c>
      <c r="O819" s="11">
        <f>IF($A819="","",IF(OR($G819="", $J819&lt;=0),0,MAX(0,Listes!$B$3-$G819)))</f>
        <v/>
      </c>
      <c r="P819" s="12">
        <f>IF($A819="","",IF($J819&lt;=0,"Payé",IF($M819="Oui","Litige",IF($O819=0,"À échoir",IF($O819&lt;=30,"0-30",IF($O819&lt;=60,"31-60",IF($O819&lt;=90,"61-90","90+")))))))</f>
        <v/>
      </c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9">
        <f>IF($A820="","",SUMIFS(Ventes_Encaissements!$D$6:$D$3005,Ventes_Encaissements!$B$6:$B$3005,$A820))</f>
        <v/>
      </c>
      <c r="J820" s="9">
        <f>IF($A820="","",$H820-$I820)</f>
        <v/>
      </c>
      <c r="K820" s="10">
        <f>IF($A820="","",IF($I820=0,"",_xludf.AGGREGATE(14,6,Ventes_Encaissements!$C$6:$C$3005/(Ventes_Encaissements!$B$6:$B$3005=$A820),1)))</f>
        <v/>
      </c>
      <c r="L820" s="11">
        <f>IF($A820="","",COUNTIFS(Ventes_Detail!$B$6:$B$3005,$A820))</f>
        <v/>
      </c>
      <c r="M820" s="12" t="n"/>
      <c r="N820" s="12">
        <f>IF($A820="","",IF($G820="","",IF($M820="Oui","Litige",IF($J820&lt;=0,"Payé",IF($I820&gt;0,"Partiel",IF(Listes!$B$3&gt;$G820,"En retard","À échoir"))))))</f>
        <v/>
      </c>
      <c r="O820" s="11">
        <f>IF($A820="","",IF(OR($G820="", $J820&lt;=0),0,MAX(0,Listes!$B$3-$G820)))</f>
        <v/>
      </c>
      <c r="P820" s="12">
        <f>IF($A820="","",IF($J820&lt;=0,"Payé",IF($M820="Oui","Litige",IF($O820=0,"À échoir",IF($O820&lt;=30,"0-30",IF($O820&lt;=60,"31-60",IF($O820&lt;=90,"61-90","90+")))))))</f>
        <v/>
      </c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9">
        <f>IF($A821="","",SUMIFS(Ventes_Encaissements!$D$6:$D$3005,Ventes_Encaissements!$B$6:$B$3005,$A821))</f>
        <v/>
      </c>
      <c r="J821" s="9">
        <f>IF($A821="","",$H821-$I821)</f>
        <v/>
      </c>
      <c r="K821" s="10">
        <f>IF($A821="","",IF($I821=0,"",_xludf.AGGREGATE(14,6,Ventes_Encaissements!$C$6:$C$3005/(Ventes_Encaissements!$B$6:$B$3005=$A821),1)))</f>
        <v/>
      </c>
      <c r="L821" s="11">
        <f>IF($A821="","",COUNTIFS(Ventes_Detail!$B$6:$B$3005,$A821))</f>
        <v/>
      </c>
      <c r="M821" s="12" t="n"/>
      <c r="N821" s="12">
        <f>IF($A821="","",IF($G821="","",IF($M821="Oui","Litige",IF($J821&lt;=0,"Payé",IF($I821&gt;0,"Partiel",IF(Listes!$B$3&gt;$G821,"En retard","À échoir"))))))</f>
        <v/>
      </c>
      <c r="O821" s="11">
        <f>IF($A821="","",IF(OR($G821="", $J821&lt;=0),0,MAX(0,Listes!$B$3-$G821)))</f>
        <v/>
      </c>
      <c r="P821" s="12">
        <f>IF($A821="","",IF($J821&lt;=0,"Payé",IF($M821="Oui","Litige",IF($O821=0,"À échoir",IF($O821&lt;=30,"0-30",IF($O821&lt;=60,"31-60",IF($O821&lt;=90,"61-90","90+")))))))</f>
        <v/>
      </c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9">
        <f>IF($A822="","",SUMIFS(Ventes_Encaissements!$D$6:$D$3005,Ventes_Encaissements!$B$6:$B$3005,$A822))</f>
        <v/>
      </c>
      <c r="J822" s="9">
        <f>IF($A822="","",$H822-$I822)</f>
        <v/>
      </c>
      <c r="K822" s="10">
        <f>IF($A822="","",IF($I822=0,"",_xludf.AGGREGATE(14,6,Ventes_Encaissements!$C$6:$C$3005/(Ventes_Encaissements!$B$6:$B$3005=$A822),1)))</f>
        <v/>
      </c>
      <c r="L822" s="11">
        <f>IF($A822="","",COUNTIFS(Ventes_Detail!$B$6:$B$3005,$A822))</f>
        <v/>
      </c>
      <c r="M822" s="12" t="n"/>
      <c r="N822" s="12">
        <f>IF($A822="","",IF($G822="","",IF($M822="Oui","Litige",IF($J822&lt;=0,"Payé",IF($I822&gt;0,"Partiel",IF(Listes!$B$3&gt;$G822,"En retard","À échoir"))))))</f>
        <v/>
      </c>
      <c r="O822" s="11">
        <f>IF($A822="","",IF(OR($G822="", $J822&lt;=0),0,MAX(0,Listes!$B$3-$G822)))</f>
        <v/>
      </c>
      <c r="P822" s="12">
        <f>IF($A822="","",IF($J822&lt;=0,"Payé",IF($M822="Oui","Litige",IF($O822=0,"À échoir",IF($O822&lt;=30,"0-30",IF($O822&lt;=60,"31-60",IF($O822&lt;=90,"61-90","90+")))))))</f>
        <v/>
      </c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9">
        <f>IF($A823="","",SUMIFS(Ventes_Encaissements!$D$6:$D$3005,Ventes_Encaissements!$B$6:$B$3005,$A823))</f>
        <v/>
      </c>
      <c r="J823" s="9">
        <f>IF($A823="","",$H823-$I823)</f>
        <v/>
      </c>
      <c r="K823" s="10">
        <f>IF($A823="","",IF($I823=0,"",_xludf.AGGREGATE(14,6,Ventes_Encaissements!$C$6:$C$3005/(Ventes_Encaissements!$B$6:$B$3005=$A823),1)))</f>
        <v/>
      </c>
      <c r="L823" s="11">
        <f>IF($A823="","",COUNTIFS(Ventes_Detail!$B$6:$B$3005,$A823))</f>
        <v/>
      </c>
      <c r="M823" s="12" t="n"/>
      <c r="N823" s="12">
        <f>IF($A823="","",IF($G823="","",IF($M823="Oui","Litige",IF($J823&lt;=0,"Payé",IF($I823&gt;0,"Partiel",IF(Listes!$B$3&gt;$G823,"En retard","À échoir"))))))</f>
        <v/>
      </c>
      <c r="O823" s="11">
        <f>IF($A823="","",IF(OR($G823="", $J823&lt;=0),0,MAX(0,Listes!$B$3-$G823)))</f>
        <v/>
      </c>
      <c r="P823" s="12">
        <f>IF($A823="","",IF($J823&lt;=0,"Payé",IF($M823="Oui","Litige",IF($O823=0,"À échoir",IF($O823&lt;=30,"0-30",IF($O823&lt;=60,"31-60",IF($O823&lt;=90,"61-90","90+")))))))</f>
        <v/>
      </c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9">
        <f>IF($A824="","",SUMIFS(Ventes_Encaissements!$D$6:$D$3005,Ventes_Encaissements!$B$6:$B$3005,$A824))</f>
        <v/>
      </c>
      <c r="J824" s="9">
        <f>IF($A824="","",$H824-$I824)</f>
        <v/>
      </c>
      <c r="K824" s="10">
        <f>IF($A824="","",IF($I824=0,"",_xludf.AGGREGATE(14,6,Ventes_Encaissements!$C$6:$C$3005/(Ventes_Encaissements!$B$6:$B$3005=$A824),1)))</f>
        <v/>
      </c>
      <c r="L824" s="11">
        <f>IF($A824="","",COUNTIFS(Ventes_Detail!$B$6:$B$3005,$A824))</f>
        <v/>
      </c>
      <c r="M824" s="12" t="n"/>
      <c r="N824" s="12">
        <f>IF($A824="","",IF($G824="","",IF($M824="Oui","Litige",IF($J824&lt;=0,"Payé",IF($I824&gt;0,"Partiel",IF(Listes!$B$3&gt;$G824,"En retard","À échoir"))))))</f>
        <v/>
      </c>
      <c r="O824" s="11">
        <f>IF($A824="","",IF(OR($G824="", $J824&lt;=0),0,MAX(0,Listes!$B$3-$G824)))</f>
        <v/>
      </c>
      <c r="P824" s="12">
        <f>IF($A824="","",IF($J824&lt;=0,"Payé",IF($M824="Oui","Litige",IF($O824=0,"À échoir",IF($O824&lt;=30,"0-30",IF($O824&lt;=60,"31-60",IF($O824&lt;=90,"61-90","90+")))))))</f>
        <v/>
      </c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9">
        <f>IF($A825="","",SUMIFS(Ventes_Encaissements!$D$6:$D$3005,Ventes_Encaissements!$B$6:$B$3005,$A825))</f>
        <v/>
      </c>
      <c r="J825" s="9">
        <f>IF($A825="","",$H825-$I825)</f>
        <v/>
      </c>
      <c r="K825" s="10">
        <f>IF($A825="","",IF($I825=0,"",_xludf.AGGREGATE(14,6,Ventes_Encaissements!$C$6:$C$3005/(Ventes_Encaissements!$B$6:$B$3005=$A825),1)))</f>
        <v/>
      </c>
      <c r="L825" s="11">
        <f>IF($A825="","",COUNTIFS(Ventes_Detail!$B$6:$B$3005,$A825))</f>
        <v/>
      </c>
      <c r="M825" s="12" t="n"/>
      <c r="N825" s="12">
        <f>IF($A825="","",IF($G825="","",IF($M825="Oui","Litige",IF($J825&lt;=0,"Payé",IF($I825&gt;0,"Partiel",IF(Listes!$B$3&gt;$G825,"En retard","À échoir"))))))</f>
        <v/>
      </c>
      <c r="O825" s="11">
        <f>IF($A825="","",IF(OR($G825="", $J825&lt;=0),0,MAX(0,Listes!$B$3-$G825)))</f>
        <v/>
      </c>
      <c r="P825" s="12">
        <f>IF($A825="","",IF($J825&lt;=0,"Payé",IF($M825="Oui","Litige",IF($O825=0,"À échoir",IF($O825&lt;=30,"0-30",IF($O825&lt;=60,"31-60",IF($O825&lt;=90,"61-90","90+")))))))</f>
        <v/>
      </c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9">
        <f>IF($A826="","",SUMIFS(Ventes_Encaissements!$D$6:$D$3005,Ventes_Encaissements!$B$6:$B$3005,$A826))</f>
        <v/>
      </c>
      <c r="J826" s="9">
        <f>IF($A826="","",$H826-$I826)</f>
        <v/>
      </c>
      <c r="K826" s="10">
        <f>IF($A826="","",IF($I826=0,"",_xludf.AGGREGATE(14,6,Ventes_Encaissements!$C$6:$C$3005/(Ventes_Encaissements!$B$6:$B$3005=$A826),1)))</f>
        <v/>
      </c>
      <c r="L826" s="11">
        <f>IF($A826="","",COUNTIFS(Ventes_Detail!$B$6:$B$3005,$A826))</f>
        <v/>
      </c>
      <c r="M826" s="12" t="n"/>
      <c r="N826" s="12">
        <f>IF($A826="","",IF($G826="","",IF($M826="Oui","Litige",IF($J826&lt;=0,"Payé",IF($I826&gt;0,"Partiel",IF(Listes!$B$3&gt;$G826,"En retard","À échoir"))))))</f>
        <v/>
      </c>
      <c r="O826" s="11">
        <f>IF($A826="","",IF(OR($G826="", $J826&lt;=0),0,MAX(0,Listes!$B$3-$G826)))</f>
        <v/>
      </c>
      <c r="P826" s="12">
        <f>IF($A826="","",IF($J826&lt;=0,"Payé",IF($M826="Oui","Litige",IF($O826=0,"À échoir",IF($O826&lt;=30,"0-30",IF($O826&lt;=60,"31-60",IF($O826&lt;=90,"61-90","90+")))))))</f>
        <v/>
      </c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9">
        <f>IF($A827="","",SUMIFS(Ventes_Encaissements!$D$6:$D$3005,Ventes_Encaissements!$B$6:$B$3005,$A827))</f>
        <v/>
      </c>
      <c r="J827" s="9">
        <f>IF($A827="","",$H827-$I827)</f>
        <v/>
      </c>
      <c r="K827" s="10">
        <f>IF($A827="","",IF($I827=0,"",_xludf.AGGREGATE(14,6,Ventes_Encaissements!$C$6:$C$3005/(Ventes_Encaissements!$B$6:$B$3005=$A827),1)))</f>
        <v/>
      </c>
      <c r="L827" s="11">
        <f>IF($A827="","",COUNTIFS(Ventes_Detail!$B$6:$B$3005,$A827))</f>
        <v/>
      </c>
      <c r="M827" s="12" t="n"/>
      <c r="N827" s="12">
        <f>IF($A827="","",IF($G827="","",IF($M827="Oui","Litige",IF($J827&lt;=0,"Payé",IF($I827&gt;0,"Partiel",IF(Listes!$B$3&gt;$G827,"En retard","À échoir"))))))</f>
        <v/>
      </c>
      <c r="O827" s="11">
        <f>IF($A827="","",IF(OR($G827="", $J827&lt;=0),0,MAX(0,Listes!$B$3-$G827)))</f>
        <v/>
      </c>
      <c r="P827" s="12">
        <f>IF($A827="","",IF($J827&lt;=0,"Payé",IF($M827="Oui","Litige",IF($O827=0,"À échoir",IF($O827&lt;=30,"0-30",IF($O827&lt;=60,"31-60",IF($O827&lt;=90,"61-90","90+")))))))</f>
        <v/>
      </c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9">
        <f>IF($A828="","",SUMIFS(Ventes_Encaissements!$D$6:$D$3005,Ventes_Encaissements!$B$6:$B$3005,$A828))</f>
        <v/>
      </c>
      <c r="J828" s="9">
        <f>IF($A828="","",$H828-$I828)</f>
        <v/>
      </c>
      <c r="K828" s="10">
        <f>IF($A828="","",IF($I828=0,"",_xludf.AGGREGATE(14,6,Ventes_Encaissements!$C$6:$C$3005/(Ventes_Encaissements!$B$6:$B$3005=$A828),1)))</f>
        <v/>
      </c>
      <c r="L828" s="11">
        <f>IF($A828="","",COUNTIFS(Ventes_Detail!$B$6:$B$3005,$A828))</f>
        <v/>
      </c>
      <c r="M828" s="12" t="n"/>
      <c r="N828" s="12">
        <f>IF($A828="","",IF($G828="","",IF($M828="Oui","Litige",IF($J828&lt;=0,"Payé",IF($I828&gt;0,"Partiel",IF(Listes!$B$3&gt;$G828,"En retard","À échoir"))))))</f>
        <v/>
      </c>
      <c r="O828" s="11">
        <f>IF($A828="","",IF(OR($G828="", $J828&lt;=0),0,MAX(0,Listes!$B$3-$G828)))</f>
        <v/>
      </c>
      <c r="P828" s="12">
        <f>IF($A828="","",IF($J828&lt;=0,"Payé",IF($M828="Oui","Litige",IF($O828=0,"À échoir",IF($O828&lt;=30,"0-30",IF($O828&lt;=60,"31-60",IF($O828&lt;=90,"61-90","90+")))))))</f>
        <v/>
      </c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9">
        <f>IF($A829="","",SUMIFS(Ventes_Encaissements!$D$6:$D$3005,Ventes_Encaissements!$B$6:$B$3005,$A829))</f>
        <v/>
      </c>
      <c r="J829" s="9">
        <f>IF($A829="","",$H829-$I829)</f>
        <v/>
      </c>
      <c r="K829" s="10">
        <f>IF($A829="","",IF($I829=0,"",_xludf.AGGREGATE(14,6,Ventes_Encaissements!$C$6:$C$3005/(Ventes_Encaissements!$B$6:$B$3005=$A829),1)))</f>
        <v/>
      </c>
      <c r="L829" s="11">
        <f>IF($A829="","",COUNTIFS(Ventes_Detail!$B$6:$B$3005,$A829))</f>
        <v/>
      </c>
      <c r="M829" s="12" t="n"/>
      <c r="N829" s="12">
        <f>IF($A829="","",IF($G829="","",IF($M829="Oui","Litige",IF($J829&lt;=0,"Payé",IF($I829&gt;0,"Partiel",IF(Listes!$B$3&gt;$G829,"En retard","À échoir"))))))</f>
        <v/>
      </c>
      <c r="O829" s="11">
        <f>IF($A829="","",IF(OR($G829="", $J829&lt;=0),0,MAX(0,Listes!$B$3-$G829)))</f>
        <v/>
      </c>
      <c r="P829" s="12">
        <f>IF($A829="","",IF($J829&lt;=0,"Payé",IF($M829="Oui","Litige",IF($O829=0,"À échoir",IF($O829&lt;=30,"0-30",IF($O829&lt;=60,"31-60",IF($O829&lt;=90,"61-90","90+")))))))</f>
        <v/>
      </c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9">
        <f>IF($A830="","",SUMIFS(Ventes_Encaissements!$D$6:$D$3005,Ventes_Encaissements!$B$6:$B$3005,$A830))</f>
        <v/>
      </c>
      <c r="J830" s="9">
        <f>IF($A830="","",$H830-$I830)</f>
        <v/>
      </c>
      <c r="K830" s="10">
        <f>IF($A830="","",IF($I830=0,"",_xludf.AGGREGATE(14,6,Ventes_Encaissements!$C$6:$C$3005/(Ventes_Encaissements!$B$6:$B$3005=$A830),1)))</f>
        <v/>
      </c>
      <c r="L830" s="11">
        <f>IF($A830="","",COUNTIFS(Ventes_Detail!$B$6:$B$3005,$A830))</f>
        <v/>
      </c>
      <c r="M830" s="12" t="n"/>
      <c r="N830" s="12">
        <f>IF($A830="","",IF($G830="","",IF($M830="Oui","Litige",IF($J830&lt;=0,"Payé",IF($I830&gt;0,"Partiel",IF(Listes!$B$3&gt;$G830,"En retard","À échoir"))))))</f>
        <v/>
      </c>
      <c r="O830" s="11">
        <f>IF($A830="","",IF(OR($G830="", $J830&lt;=0),0,MAX(0,Listes!$B$3-$G830)))</f>
        <v/>
      </c>
      <c r="P830" s="12">
        <f>IF($A830="","",IF($J830&lt;=0,"Payé",IF($M830="Oui","Litige",IF($O830=0,"À échoir",IF($O830&lt;=30,"0-30",IF($O830&lt;=60,"31-60",IF($O830&lt;=90,"61-90","90+")))))))</f>
        <v/>
      </c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9">
        <f>IF($A831="","",SUMIFS(Ventes_Encaissements!$D$6:$D$3005,Ventes_Encaissements!$B$6:$B$3005,$A831))</f>
        <v/>
      </c>
      <c r="J831" s="9">
        <f>IF($A831="","",$H831-$I831)</f>
        <v/>
      </c>
      <c r="K831" s="10">
        <f>IF($A831="","",IF($I831=0,"",_xludf.AGGREGATE(14,6,Ventes_Encaissements!$C$6:$C$3005/(Ventes_Encaissements!$B$6:$B$3005=$A831),1)))</f>
        <v/>
      </c>
      <c r="L831" s="11">
        <f>IF($A831="","",COUNTIFS(Ventes_Detail!$B$6:$B$3005,$A831))</f>
        <v/>
      </c>
      <c r="M831" s="12" t="n"/>
      <c r="N831" s="12">
        <f>IF($A831="","",IF($G831="","",IF($M831="Oui","Litige",IF($J831&lt;=0,"Payé",IF($I831&gt;0,"Partiel",IF(Listes!$B$3&gt;$G831,"En retard","À échoir"))))))</f>
        <v/>
      </c>
      <c r="O831" s="11">
        <f>IF($A831="","",IF(OR($G831="", $J831&lt;=0),0,MAX(0,Listes!$B$3-$G831)))</f>
        <v/>
      </c>
      <c r="P831" s="12">
        <f>IF($A831="","",IF($J831&lt;=0,"Payé",IF($M831="Oui","Litige",IF($O831=0,"À échoir",IF($O831&lt;=30,"0-30",IF($O831&lt;=60,"31-60",IF($O831&lt;=90,"61-90","90+")))))))</f>
        <v/>
      </c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9">
        <f>IF($A832="","",SUMIFS(Ventes_Encaissements!$D$6:$D$3005,Ventes_Encaissements!$B$6:$B$3005,$A832))</f>
        <v/>
      </c>
      <c r="J832" s="9">
        <f>IF($A832="","",$H832-$I832)</f>
        <v/>
      </c>
      <c r="K832" s="10">
        <f>IF($A832="","",IF($I832=0,"",_xludf.AGGREGATE(14,6,Ventes_Encaissements!$C$6:$C$3005/(Ventes_Encaissements!$B$6:$B$3005=$A832),1)))</f>
        <v/>
      </c>
      <c r="L832" s="11">
        <f>IF($A832="","",COUNTIFS(Ventes_Detail!$B$6:$B$3005,$A832))</f>
        <v/>
      </c>
      <c r="M832" s="12" t="n"/>
      <c r="N832" s="12">
        <f>IF($A832="","",IF($G832="","",IF($M832="Oui","Litige",IF($J832&lt;=0,"Payé",IF($I832&gt;0,"Partiel",IF(Listes!$B$3&gt;$G832,"En retard","À échoir"))))))</f>
        <v/>
      </c>
      <c r="O832" s="11">
        <f>IF($A832="","",IF(OR($G832="", $J832&lt;=0),0,MAX(0,Listes!$B$3-$G832)))</f>
        <v/>
      </c>
      <c r="P832" s="12">
        <f>IF($A832="","",IF($J832&lt;=0,"Payé",IF($M832="Oui","Litige",IF($O832=0,"À échoir",IF($O832&lt;=30,"0-30",IF($O832&lt;=60,"31-60",IF($O832&lt;=90,"61-90","90+")))))))</f>
        <v/>
      </c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9">
        <f>IF($A833="","",SUMIFS(Ventes_Encaissements!$D$6:$D$3005,Ventes_Encaissements!$B$6:$B$3005,$A833))</f>
        <v/>
      </c>
      <c r="J833" s="9">
        <f>IF($A833="","",$H833-$I833)</f>
        <v/>
      </c>
      <c r="K833" s="10">
        <f>IF($A833="","",IF($I833=0,"",_xludf.AGGREGATE(14,6,Ventes_Encaissements!$C$6:$C$3005/(Ventes_Encaissements!$B$6:$B$3005=$A833),1)))</f>
        <v/>
      </c>
      <c r="L833" s="11">
        <f>IF($A833="","",COUNTIFS(Ventes_Detail!$B$6:$B$3005,$A833))</f>
        <v/>
      </c>
      <c r="M833" s="12" t="n"/>
      <c r="N833" s="12">
        <f>IF($A833="","",IF($G833="","",IF($M833="Oui","Litige",IF($J833&lt;=0,"Payé",IF($I833&gt;0,"Partiel",IF(Listes!$B$3&gt;$G833,"En retard","À échoir"))))))</f>
        <v/>
      </c>
      <c r="O833" s="11">
        <f>IF($A833="","",IF(OR($G833="", $J833&lt;=0),0,MAX(0,Listes!$B$3-$G833)))</f>
        <v/>
      </c>
      <c r="P833" s="12">
        <f>IF($A833="","",IF($J833&lt;=0,"Payé",IF($M833="Oui","Litige",IF($O833=0,"À échoir",IF($O833&lt;=30,"0-30",IF($O833&lt;=60,"31-60",IF($O833&lt;=90,"61-90","90+")))))))</f>
        <v/>
      </c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9">
        <f>IF($A834="","",SUMIFS(Ventes_Encaissements!$D$6:$D$3005,Ventes_Encaissements!$B$6:$B$3005,$A834))</f>
        <v/>
      </c>
      <c r="J834" s="9">
        <f>IF($A834="","",$H834-$I834)</f>
        <v/>
      </c>
      <c r="K834" s="10">
        <f>IF($A834="","",IF($I834=0,"",_xludf.AGGREGATE(14,6,Ventes_Encaissements!$C$6:$C$3005/(Ventes_Encaissements!$B$6:$B$3005=$A834),1)))</f>
        <v/>
      </c>
      <c r="L834" s="11">
        <f>IF($A834="","",COUNTIFS(Ventes_Detail!$B$6:$B$3005,$A834))</f>
        <v/>
      </c>
      <c r="M834" s="12" t="n"/>
      <c r="N834" s="12">
        <f>IF($A834="","",IF($G834="","",IF($M834="Oui","Litige",IF($J834&lt;=0,"Payé",IF($I834&gt;0,"Partiel",IF(Listes!$B$3&gt;$G834,"En retard","À échoir"))))))</f>
        <v/>
      </c>
      <c r="O834" s="11">
        <f>IF($A834="","",IF(OR($G834="", $J834&lt;=0),0,MAX(0,Listes!$B$3-$G834)))</f>
        <v/>
      </c>
      <c r="P834" s="12">
        <f>IF($A834="","",IF($J834&lt;=0,"Payé",IF($M834="Oui","Litige",IF($O834=0,"À échoir",IF($O834&lt;=30,"0-30",IF($O834&lt;=60,"31-60",IF($O834&lt;=90,"61-90","90+")))))))</f>
        <v/>
      </c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9">
        <f>IF($A835="","",SUMIFS(Ventes_Encaissements!$D$6:$D$3005,Ventes_Encaissements!$B$6:$B$3005,$A835))</f>
        <v/>
      </c>
      <c r="J835" s="9">
        <f>IF($A835="","",$H835-$I835)</f>
        <v/>
      </c>
      <c r="K835" s="10">
        <f>IF($A835="","",IF($I835=0,"",_xludf.AGGREGATE(14,6,Ventes_Encaissements!$C$6:$C$3005/(Ventes_Encaissements!$B$6:$B$3005=$A835),1)))</f>
        <v/>
      </c>
      <c r="L835" s="11">
        <f>IF($A835="","",COUNTIFS(Ventes_Detail!$B$6:$B$3005,$A835))</f>
        <v/>
      </c>
      <c r="M835" s="12" t="n"/>
      <c r="N835" s="12">
        <f>IF($A835="","",IF($G835="","",IF($M835="Oui","Litige",IF($J835&lt;=0,"Payé",IF($I835&gt;0,"Partiel",IF(Listes!$B$3&gt;$G835,"En retard","À échoir"))))))</f>
        <v/>
      </c>
      <c r="O835" s="11">
        <f>IF($A835="","",IF(OR($G835="", $J835&lt;=0),0,MAX(0,Listes!$B$3-$G835)))</f>
        <v/>
      </c>
      <c r="P835" s="12">
        <f>IF($A835="","",IF($J835&lt;=0,"Payé",IF($M835="Oui","Litige",IF($O835=0,"À échoir",IF($O835&lt;=30,"0-30",IF($O835&lt;=60,"31-60",IF($O835&lt;=90,"61-90","90+")))))))</f>
        <v/>
      </c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9">
        <f>IF($A836="","",SUMIFS(Ventes_Encaissements!$D$6:$D$3005,Ventes_Encaissements!$B$6:$B$3005,$A836))</f>
        <v/>
      </c>
      <c r="J836" s="9">
        <f>IF($A836="","",$H836-$I836)</f>
        <v/>
      </c>
      <c r="K836" s="10">
        <f>IF($A836="","",IF($I836=0,"",_xludf.AGGREGATE(14,6,Ventes_Encaissements!$C$6:$C$3005/(Ventes_Encaissements!$B$6:$B$3005=$A836),1)))</f>
        <v/>
      </c>
      <c r="L836" s="11">
        <f>IF($A836="","",COUNTIFS(Ventes_Detail!$B$6:$B$3005,$A836))</f>
        <v/>
      </c>
      <c r="M836" s="12" t="n"/>
      <c r="N836" s="12">
        <f>IF($A836="","",IF($G836="","",IF($M836="Oui","Litige",IF($J836&lt;=0,"Payé",IF($I836&gt;0,"Partiel",IF(Listes!$B$3&gt;$G836,"En retard","À échoir"))))))</f>
        <v/>
      </c>
      <c r="O836" s="11">
        <f>IF($A836="","",IF(OR($G836="", $J836&lt;=0),0,MAX(0,Listes!$B$3-$G836)))</f>
        <v/>
      </c>
      <c r="P836" s="12">
        <f>IF($A836="","",IF($J836&lt;=0,"Payé",IF($M836="Oui","Litige",IF($O836=0,"À échoir",IF($O836&lt;=30,"0-30",IF($O836&lt;=60,"31-60",IF($O836&lt;=90,"61-90","90+")))))))</f>
        <v/>
      </c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9">
        <f>IF($A837="","",SUMIFS(Ventes_Encaissements!$D$6:$D$3005,Ventes_Encaissements!$B$6:$B$3005,$A837))</f>
        <v/>
      </c>
      <c r="J837" s="9">
        <f>IF($A837="","",$H837-$I837)</f>
        <v/>
      </c>
      <c r="K837" s="10">
        <f>IF($A837="","",IF($I837=0,"",_xludf.AGGREGATE(14,6,Ventes_Encaissements!$C$6:$C$3005/(Ventes_Encaissements!$B$6:$B$3005=$A837),1)))</f>
        <v/>
      </c>
      <c r="L837" s="11">
        <f>IF($A837="","",COUNTIFS(Ventes_Detail!$B$6:$B$3005,$A837))</f>
        <v/>
      </c>
      <c r="M837" s="12" t="n"/>
      <c r="N837" s="12">
        <f>IF($A837="","",IF($G837="","",IF($M837="Oui","Litige",IF($J837&lt;=0,"Payé",IF($I837&gt;0,"Partiel",IF(Listes!$B$3&gt;$G837,"En retard","À échoir"))))))</f>
        <v/>
      </c>
      <c r="O837" s="11">
        <f>IF($A837="","",IF(OR($G837="", $J837&lt;=0),0,MAX(0,Listes!$B$3-$G837)))</f>
        <v/>
      </c>
      <c r="P837" s="12">
        <f>IF($A837="","",IF($J837&lt;=0,"Payé",IF($M837="Oui","Litige",IF($O837=0,"À échoir",IF($O837&lt;=30,"0-30",IF($O837&lt;=60,"31-60",IF($O837&lt;=90,"61-90","90+")))))))</f>
        <v/>
      </c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9">
        <f>IF($A838="","",SUMIFS(Ventes_Encaissements!$D$6:$D$3005,Ventes_Encaissements!$B$6:$B$3005,$A838))</f>
        <v/>
      </c>
      <c r="J838" s="9">
        <f>IF($A838="","",$H838-$I838)</f>
        <v/>
      </c>
      <c r="K838" s="10">
        <f>IF($A838="","",IF($I838=0,"",_xludf.AGGREGATE(14,6,Ventes_Encaissements!$C$6:$C$3005/(Ventes_Encaissements!$B$6:$B$3005=$A838),1)))</f>
        <v/>
      </c>
      <c r="L838" s="11">
        <f>IF($A838="","",COUNTIFS(Ventes_Detail!$B$6:$B$3005,$A838))</f>
        <v/>
      </c>
      <c r="M838" s="12" t="n"/>
      <c r="N838" s="12">
        <f>IF($A838="","",IF($G838="","",IF($M838="Oui","Litige",IF($J838&lt;=0,"Payé",IF($I838&gt;0,"Partiel",IF(Listes!$B$3&gt;$G838,"En retard","À échoir"))))))</f>
        <v/>
      </c>
      <c r="O838" s="11">
        <f>IF($A838="","",IF(OR($G838="", $J838&lt;=0),0,MAX(0,Listes!$B$3-$G838)))</f>
        <v/>
      </c>
      <c r="P838" s="12">
        <f>IF($A838="","",IF($J838&lt;=0,"Payé",IF($M838="Oui","Litige",IF($O838=0,"À échoir",IF($O838&lt;=30,"0-30",IF($O838&lt;=60,"31-60",IF($O838&lt;=90,"61-90","90+")))))))</f>
        <v/>
      </c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9">
        <f>IF($A839="","",SUMIFS(Ventes_Encaissements!$D$6:$D$3005,Ventes_Encaissements!$B$6:$B$3005,$A839))</f>
        <v/>
      </c>
      <c r="J839" s="9">
        <f>IF($A839="","",$H839-$I839)</f>
        <v/>
      </c>
      <c r="K839" s="10">
        <f>IF($A839="","",IF($I839=0,"",_xludf.AGGREGATE(14,6,Ventes_Encaissements!$C$6:$C$3005/(Ventes_Encaissements!$B$6:$B$3005=$A839),1)))</f>
        <v/>
      </c>
      <c r="L839" s="11">
        <f>IF($A839="","",COUNTIFS(Ventes_Detail!$B$6:$B$3005,$A839))</f>
        <v/>
      </c>
      <c r="M839" s="12" t="n"/>
      <c r="N839" s="12">
        <f>IF($A839="","",IF($G839="","",IF($M839="Oui","Litige",IF($J839&lt;=0,"Payé",IF($I839&gt;0,"Partiel",IF(Listes!$B$3&gt;$G839,"En retard","À échoir"))))))</f>
        <v/>
      </c>
      <c r="O839" s="11">
        <f>IF($A839="","",IF(OR($G839="", $J839&lt;=0),0,MAX(0,Listes!$B$3-$G839)))</f>
        <v/>
      </c>
      <c r="P839" s="12">
        <f>IF($A839="","",IF($J839&lt;=0,"Payé",IF($M839="Oui","Litige",IF($O839=0,"À échoir",IF($O839&lt;=30,"0-30",IF($O839&lt;=60,"31-60",IF($O839&lt;=90,"61-90","90+")))))))</f>
        <v/>
      </c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9">
        <f>IF($A840="","",SUMIFS(Ventes_Encaissements!$D$6:$D$3005,Ventes_Encaissements!$B$6:$B$3005,$A840))</f>
        <v/>
      </c>
      <c r="J840" s="9">
        <f>IF($A840="","",$H840-$I840)</f>
        <v/>
      </c>
      <c r="K840" s="10">
        <f>IF($A840="","",IF($I840=0,"",_xludf.AGGREGATE(14,6,Ventes_Encaissements!$C$6:$C$3005/(Ventes_Encaissements!$B$6:$B$3005=$A840),1)))</f>
        <v/>
      </c>
      <c r="L840" s="11">
        <f>IF($A840="","",COUNTIFS(Ventes_Detail!$B$6:$B$3005,$A840))</f>
        <v/>
      </c>
      <c r="M840" s="12" t="n"/>
      <c r="N840" s="12">
        <f>IF($A840="","",IF($G840="","",IF($M840="Oui","Litige",IF($J840&lt;=0,"Payé",IF($I840&gt;0,"Partiel",IF(Listes!$B$3&gt;$G840,"En retard","À échoir"))))))</f>
        <v/>
      </c>
      <c r="O840" s="11">
        <f>IF($A840="","",IF(OR($G840="", $J840&lt;=0),0,MAX(0,Listes!$B$3-$G840)))</f>
        <v/>
      </c>
      <c r="P840" s="12">
        <f>IF($A840="","",IF($J840&lt;=0,"Payé",IF($M840="Oui","Litige",IF($O840=0,"À échoir",IF($O840&lt;=30,"0-30",IF($O840&lt;=60,"31-60",IF($O840&lt;=90,"61-90","90+")))))))</f>
        <v/>
      </c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9">
        <f>IF($A841="","",SUMIFS(Ventes_Encaissements!$D$6:$D$3005,Ventes_Encaissements!$B$6:$B$3005,$A841))</f>
        <v/>
      </c>
      <c r="J841" s="9">
        <f>IF($A841="","",$H841-$I841)</f>
        <v/>
      </c>
      <c r="K841" s="10">
        <f>IF($A841="","",IF($I841=0,"",_xludf.AGGREGATE(14,6,Ventes_Encaissements!$C$6:$C$3005/(Ventes_Encaissements!$B$6:$B$3005=$A841),1)))</f>
        <v/>
      </c>
      <c r="L841" s="11">
        <f>IF($A841="","",COUNTIFS(Ventes_Detail!$B$6:$B$3005,$A841))</f>
        <v/>
      </c>
      <c r="M841" s="12" t="n"/>
      <c r="N841" s="12">
        <f>IF($A841="","",IF($G841="","",IF($M841="Oui","Litige",IF($J841&lt;=0,"Payé",IF($I841&gt;0,"Partiel",IF(Listes!$B$3&gt;$G841,"En retard","À échoir"))))))</f>
        <v/>
      </c>
      <c r="O841" s="11">
        <f>IF($A841="","",IF(OR($G841="", $J841&lt;=0),0,MAX(0,Listes!$B$3-$G841)))</f>
        <v/>
      </c>
      <c r="P841" s="12">
        <f>IF($A841="","",IF($J841&lt;=0,"Payé",IF($M841="Oui","Litige",IF($O841=0,"À échoir",IF($O841&lt;=30,"0-30",IF($O841&lt;=60,"31-60",IF($O841&lt;=90,"61-90","90+")))))))</f>
        <v/>
      </c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9">
        <f>IF($A842="","",SUMIFS(Ventes_Encaissements!$D$6:$D$3005,Ventes_Encaissements!$B$6:$B$3005,$A842))</f>
        <v/>
      </c>
      <c r="J842" s="9">
        <f>IF($A842="","",$H842-$I842)</f>
        <v/>
      </c>
      <c r="K842" s="10">
        <f>IF($A842="","",IF($I842=0,"",_xludf.AGGREGATE(14,6,Ventes_Encaissements!$C$6:$C$3005/(Ventes_Encaissements!$B$6:$B$3005=$A842),1)))</f>
        <v/>
      </c>
      <c r="L842" s="11">
        <f>IF($A842="","",COUNTIFS(Ventes_Detail!$B$6:$B$3005,$A842))</f>
        <v/>
      </c>
      <c r="M842" s="12" t="n"/>
      <c r="N842" s="12">
        <f>IF($A842="","",IF($G842="","",IF($M842="Oui","Litige",IF($J842&lt;=0,"Payé",IF($I842&gt;0,"Partiel",IF(Listes!$B$3&gt;$G842,"En retard","À échoir"))))))</f>
        <v/>
      </c>
      <c r="O842" s="11">
        <f>IF($A842="","",IF(OR($G842="", $J842&lt;=0),0,MAX(0,Listes!$B$3-$G842)))</f>
        <v/>
      </c>
      <c r="P842" s="12">
        <f>IF($A842="","",IF($J842&lt;=0,"Payé",IF($M842="Oui","Litige",IF($O842=0,"À échoir",IF($O842&lt;=30,"0-30",IF($O842&lt;=60,"31-60",IF($O842&lt;=90,"61-90","90+")))))))</f>
        <v/>
      </c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9">
        <f>IF($A843="","",SUMIFS(Ventes_Encaissements!$D$6:$D$3005,Ventes_Encaissements!$B$6:$B$3005,$A843))</f>
        <v/>
      </c>
      <c r="J843" s="9">
        <f>IF($A843="","",$H843-$I843)</f>
        <v/>
      </c>
      <c r="K843" s="10">
        <f>IF($A843="","",IF($I843=0,"",_xludf.AGGREGATE(14,6,Ventes_Encaissements!$C$6:$C$3005/(Ventes_Encaissements!$B$6:$B$3005=$A843),1)))</f>
        <v/>
      </c>
      <c r="L843" s="11">
        <f>IF($A843="","",COUNTIFS(Ventes_Detail!$B$6:$B$3005,$A843))</f>
        <v/>
      </c>
      <c r="M843" s="12" t="n"/>
      <c r="N843" s="12">
        <f>IF($A843="","",IF($G843="","",IF($M843="Oui","Litige",IF($J843&lt;=0,"Payé",IF($I843&gt;0,"Partiel",IF(Listes!$B$3&gt;$G843,"En retard","À échoir"))))))</f>
        <v/>
      </c>
      <c r="O843" s="11">
        <f>IF($A843="","",IF(OR($G843="", $J843&lt;=0),0,MAX(0,Listes!$B$3-$G843)))</f>
        <v/>
      </c>
      <c r="P843" s="12">
        <f>IF($A843="","",IF($J843&lt;=0,"Payé",IF($M843="Oui","Litige",IF($O843=0,"À échoir",IF($O843&lt;=30,"0-30",IF($O843&lt;=60,"31-60",IF($O843&lt;=90,"61-90","90+")))))))</f>
        <v/>
      </c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9">
        <f>IF($A844="","",SUMIFS(Ventes_Encaissements!$D$6:$D$3005,Ventes_Encaissements!$B$6:$B$3005,$A844))</f>
        <v/>
      </c>
      <c r="J844" s="9">
        <f>IF($A844="","",$H844-$I844)</f>
        <v/>
      </c>
      <c r="K844" s="10">
        <f>IF($A844="","",IF($I844=0,"",_xludf.AGGREGATE(14,6,Ventes_Encaissements!$C$6:$C$3005/(Ventes_Encaissements!$B$6:$B$3005=$A844),1)))</f>
        <v/>
      </c>
      <c r="L844" s="11">
        <f>IF($A844="","",COUNTIFS(Ventes_Detail!$B$6:$B$3005,$A844))</f>
        <v/>
      </c>
      <c r="M844" s="12" t="n"/>
      <c r="N844" s="12">
        <f>IF($A844="","",IF($G844="","",IF($M844="Oui","Litige",IF($J844&lt;=0,"Payé",IF($I844&gt;0,"Partiel",IF(Listes!$B$3&gt;$G844,"En retard","À échoir"))))))</f>
        <v/>
      </c>
      <c r="O844" s="11">
        <f>IF($A844="","",IF(OR($G844="", $J844&lt;=0),0,MAX(0,Listes!$B$3-$G844)))</f>
        <v/>
      </c>
      <c r="P844" s="12">
        <f>IF($A844="","",IF($J844&lt;=0,"Payé",IF($M844="Oui","Litige",IF($O844=0,"À échoir",IF($O844&lt;=30,"0-30",IF($O844&lt;=60,"31-60",IF($O844&lt;=90,"61-90","90+")))))))</f>
        <v/>
      </c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9">
        <f>IF($A845="","",SUMIFS(Ventes_Encaissements!$D$6:$D$3005,Ventes_Encaissements!$B$6:$B$3005,$A845))</f>
        <v/>
      </c>
      <c r="J845" s="9">
        <f>IF($A845="","",$H845-$I845)</f>
        <v/>
      </c>
      <c r="K845" s="10">
        <f>IF($A845="","",IF($I845=0,"",_xludf.AGGREGATE(14,6,Ventes_Encaissements!$C$6:$C$3005/(Ventes_Encaissements!$B$6:$B$3005=$A845),1)))</f>
        <v/>
      </c>
      <c r="L845" s="11">
        <f>IF($A845="","",COUNTIFS(Ventes_Detail!$B$6:$B$3005,$A845))</f>
        <v/>
      </c>
      <c r="M845" s="12" t="n"/>
      <c r="N845" s="12">
        <f>IF($A845="","",IF($G845="","",IF($M845="Oui","Litige",IF($J845&lt;=0,"Payé",IF($I845&gt;0,"Partiel",IF(Listes!$B$3&gt;$G845,"En retard","À échoir"))))))</f>
        <v/>
      </c>
      <c r="O845" s="11">
        <f>IF($A845="","",IF(OR($G845="", $J845&lt;=0),0,MAX(0,Listes!$B$3-$G845)))</f>
        <v/>
      </c>
      <c r="P845" s="12">
        <f>IF($A845="","",IF($J845&lt;=0,"Payé",IF($M845="Oui","Litige",IF($O845=0,"À échoir",IF($O845&lt;=30,"0-30",IF($O845&lt;=60,"31-60",IF($O845&lt;=90,"61-90","90+")))))))</f>
        <v/>
      </c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9">
        <f>IF($A846="","",SUMIFS(Ventes_Encaissements!$D$6:$D$3005,Ventes_Encaissements!$B$6:$B$3005,$A846))</f>
        <v/>
      </c>
      <c r="J846" s="9">
        <f>IF($A846="","",$H846-$I846)</f>
        <v/>
      </c>
      <c r="K846" s="10">
        <f>IF($A846="","",IF($I846=0,"",_xludf.AGGREGATE(14,6,Ventes_Encaissements!$C$6:$C$3005/(Ventes_Encaissements!$B$6:$B$3005=$A846),1)))</f>
        <v/>
      </c>
      <c r="L846" s="11">
        <f>IF($A846="","",COUNTIFS(Ventes_Detail!$B$6:$B$3005,$A846))</f>
        <v/>
      </c>
      <c r="M846" s="12" t="n"/>
      <c r="N846" s="12">
        <f>IF($A846="","",IF($G846="","",IF($M846="Oui","Litige",IF($J846&lt;=0,"Payé",IF($I846&gt;0,"Partiel",IF(Listes!$B$3&gt;$G846,"En retard","À échoir"))))))</f>
        <v/>
      </c>
      <c r="O846" s="11">
        <f>IF($A846="","",IF(OR($G846="", $J846&lt;=0),0,MAX(0,Listes!$B$3-$G846)))</f>
        <v/>
      </c>
      <c r="P846" s="12">
        <f>IF($A846="","",IF($J846&lt;=0,"Payé",IF($M846="Oui","Litige",IF($O846=0,"À échoir",IF($O846&lt;=30,"0-30",IF($O846&lt;=60,"31-60",IF($O846&lt;=90,"61-90","90+")))))))</f>
        <v/>
      </c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9">
        <f>IF($A847="","",SUMIFS(Ventes_Encaissements!$D$6:$D$3005,Ventes_Encaissements!$B$6:$B$3005,$A847))</f>
        <v/>
      </c>
      <c r="J847" s="9">
        <f>IF($A847="","",$H847-$I847)</f>
        <v/>
      </c>
      <c r="K847" s="10">
        <f>IF($A847="","",IF($I847=0,"",_xludf.AGGREGATE(14,6,Ventes_Encaissements!$C$6:$C$3005/(Ventes_Encaissements!$B$6:$B$3005=$A847),1)))</f>
        <v/>
      </c>
      <c r="L847" s="11">
        <f>IF($A847="","",COUNTIFS(Ventes_Detail!$B$6:$B$3005,$A847))</f>
        <v/>
      </c>
      <c r="M847" s="12" t="n"/>
      <c r="N847" s="12">
        <f>IF($A847="","",IF($G847="","",IF($M847="Oui","Litige",IF($J847&lt;=0,"Payé",IF($I847&gt;0,"Partiel",IF(Listes!$B$3&gt;$G847,"En retard","À échoir"))))))</f>
        <v/>
      </c>
      <c r="O847" s="11">
        <f>IF($A847="","",IF(OR($G847="", $J847&lt;=0),0,MAX(0,Listes!$B$3-$G847)))</f>
        <v/>
      </c>
      <c r="P847" s="12">
        <f>IF($A847="","",IF($J847&lt;=0,"Payé",IF($M847="Oui","Litige",IF($O847=0,"À échoir",IF($O847&lt;=30,"0-30",IF($O847&lt;=60,"31-60",IF($O847&lt;=90,"61-90","90+")))))))</f>
        <v/>
      </c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9">
        <f>IF($A848="","",SUMIFS(Ventes_Encaissements!$D$6:$D$3005,Ventes_Encaissements!$B$6:$B$3005,$A848))</f>
        <v/>
      </c>
      <c r="J848" s="9">
        <f>IF($A848="","",$H848-$I848)</f>
        <v/>
      </c>
      <c r="K848" s="10">
        <f>IF($A848="","",IF($I848=0,"",_xludf.AGGREGATE(14,6,Ventes_Encaissements!$C$6:$C$3005/(Ventes_Encaissements!$B$6:$B$3005=$A848),1)))</f>
        <v/>
      </c>
      <c r="L848" s="11">
        <f>IF($A848="","",COUNTIFS(Ventes_Detail!$B$6:$B$3005,$A848))</f>
        <v/>
      </c>
      <c r="M848" s="12" t="n"/>
      <c r="N848" s="12">
        <f>IF($A848="","",IF($G848="","",IF($M848="Oui","Litige",IF($J848&lt;=0,"Payé",IF($I848&gt;0,"Partiel",IF(Listes!$B$3&gt;$G848,"En retard","À échoir"))))))</f>
        <v/>
      </c>
      <c r="O848" s="11">
        <f>IF($A848="","",IF(OR($G848="", $J848&lt;=0),0,MAX(0,Listes!$B$3-$G848)))</f>
        <v/>
      </c>
      <c r="P848" s="12">
        <f>IF($A848="","",IF($J848&lt;=0,"Payé",IF($M848="Oui","Litige",IF($O848=0,"À échoir",IF($O848&lt;=30,"0-30",IF($O848&lt;=60,"31-60",IF($O848&lt;=90,"61-90","90+")))))))</f>
        <v/>
      </c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9">
        <f>IF($A849="","",SUMIFS(Ventes_Encaissements!$D$6:$D$3005,Ventes_Encaissements!$B$6:$B$3005,$A849))</f>
        <v/>
      </c>
      <c r="J849" s="9">
        <f>IF($A849="","",$H849-$I849)</f>
        <v/>
      </c>
      <c r="K849" s="10">
        <f>IF($A849="","",IF($I849=0,"",_xludf.AGGREGATE(14,6,Ventes_Encaissements!$C$6:$C$3005/(Ventes_Encaissements!$B$6:$B$3005=$A849),1)))</f>
        <v/>
      </c>
      <c r="L849" s="11">
        <f>IF($A849="","",COUNTIFS(Ventes_Detail!$B$6:$B$3005,$A849))</f>
        <v/>
      </c>
      <c r="M849" s="12" t="n"/>
      <c r="N849" s="12">
        <f>IF($A849="","",IF($G849="","",IF($M849="Oui","Litige",IF($J849&lt;=0,"Payé",IF($I849&gt;0,"Partiel",IF(Listes!$B$3&gt;$G849,"En retard","À échoir"))))))</f>
        <v/>
      </c>
      <c r="O849" s="11">
        <f>IF($A849="","",IF(OR($G849="", $J849&lt;=0),0,MAX(0,Listes!$B$3-$G849)))</f>
        <v/>
      </c>
      <c r="P849" s="12">
        <f>IF($A849="","",IF($J849&lt;=0,"Payé",IF($M849="Oui","Litige",IF($O849=0,"À échoir",IF($O849&lt;=30,"0-30",IF($O849&lt;=60,"31-60",IF($O849&lt;=90,"61-90","90+")))))))</f>
        <v/>
      </c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9">
        <f>IF($A850="","",SUMIFS(Ventes_Encaissements!$D$6:$D$3005,Ventes_Encaissements!$B$6:$B$3005,$A850))</f>
        <v/>
      </c>
      <c r="J850" s="9">
        <f>IF($A850="","",$H850-$I850)</f>
        <v/>
      </c>
      <c r="K850" s="10">
        <f>IF($A850="","",IF($I850=0,"",_xludf.AGGREGATE(14,6,Ventes_Encaissements!$C$6:$C$3005/(Ventes_Encaissements!$B$6:$B$3005=$A850),1)))</f>
        <v/>
      </c>
      <c r="L850" s="11">
        <f>IF($A850="","",COUNTIFS(Ventes_Detail!$B$6:$B$3005,$A850))</f>
        <v/>
      </c>
      <c r="M850" s="12" t="n"/>
      <c r="N850" s="12">
        <f>IF($A850="","",IF($G850="","",IF($M850="Oui","Litige",IF($J850&lt;=0,"Payé",IF($I850&gt;0,"Partiel",IF(Listes!$B$3&gt;$G850,"En retard","À échoir"))))))</f>
        <v/>
      </c>
      <c r="O850" s="11">
        <f>IF($A850="","",IF(OR($G850="", $J850&lt;=0),0,MAX(0,Listes!$B$3-$G850)))</f>
        <v/>
      </c>
      <c r="P850" s="12">
        <f>IF($A850="","",IF($J850&lt;=0,"Payé",IF($M850="Oui","Litige",IF($O850=0,"À échoir",IF($O850&lt;=30,"0-30",IF($O850&lt;=60,"31-60",IF($O850&lt;=90,"61-90","90+")))))))</f>
        <v/>
      </c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9">
        <f>IF($A851="","",SUMIFS(Ventes_Encaissements!$D$6:$D$3005,Ventes_Encaissements!$B$6:$B$3005,$A851))</f>
        <v/>
      </c>
      <c r="J851" s="9">
        <f>IF($A851="","",$H851-$I851)</f>
        <v/>
      </c>
      <c r="K851" s="10">
        <f>IF($A851="","",IF($I851=0,"",_xludf.AGGREGATE(14,6,Ventes_Encaissements!$C$6:$C$3005/(Ventes_Encaissements!$B$6:$B$3005=$A851),1)))</f>
        <v/>
      </c>
      <c r="L851" s="11">
        <f>IF($A851="","",COUNTIFS(Ventes_Detail!$B$6:$B$3005,$A851))</f>
        <v/>
      </c>
      <c r="M851" s="12" t="n"/>
      <c r="N851" s="12">
        <f>IF($A851="","",IF($G851="","",IF($M851="Oui","Litige",IF($J851&lt;=0,"Payé",IF($I851&gt;0,"Partiel",IF(Listes!$B$3&gt;$G851,"En retard","À échoir"))))))</f>
        <v/>
      </c>
      <c r="O851" s="11">
        <f>IF($A851="","",IF(OR($G851="", $J851&lt;=0),0,MAX(0,Listes!$B$3-$G851)))</f>
        <v/>
      </c>
      <c r="P851" s="12">
        <f>IF($A851="","",IF($J851&lt;=0,"Payé",IF($M851="Oui","Litige",IF($O851=0,"À échoir",IF($O851&lt;=30,"0-30",IF($O851&lt;=60,"31-60",IF($O851&lt;=90,"61-90","90+")))))))</f>
        <v/>
      </c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9">
        <f>IF($A852="","",SUMIFS(Ventes_Encaissements!$D$6:$D$3005,Ventes_Encaissements!$B$6:$B$3005,$A852))</f>
        <v/>
      </c>
      <c r="J852" s="9">
        <f>IF($A852="","",$H852-$I852)</f>
        <v/>
      </c>
      <c r="K852" s="10">
        <f>IF($A852="","",IF($I852=0,"",_xludf.AGGREGATE(14,6,Ventes_Encaissements!$C$6:$C$3005/(Ventes_Encaissements!$B$6:$B$3005=$A852),1)))</f>
        <v/>
      </c>
      <c r="L852" s="11">
        <f>IF($A852="","",COUNTIFS(Ventes_Detail!$B$6:$B$3005,$A852))</f>
        <v/>
      </c>
      <c r="M852" s="12" t="n"/>
      <c r="N852" s="12">
        <f>IF($A852="","",IF($G852="","",IF($M852="Oui","Litige",IF($J852&lt;=0,"Payé",IF($I852&gt;0,"Partiel",IF(Listes!$B$3&gt;$G852,"En retard","À échoir"))))))</f>
        <v/>
      </c>
      <c r="O852" s="11">
        <f>IF($A852="","",IF(OR($G852="", $J852&lt;=0),0,MAX(0,Listes!$B$3-$G852)))</f>
        <v/>
      </c>
      <c r="P852" s="12">
        <f>IF($A852="","",IF($J852&lt;=0,"Payé",IF($M852="Oui","Litige",IF($O852=0,"À échoir",IF($O852&lt;=30,"0-30",IF($O852&lt;=60,"31-60",IF($O852&lt;=90,"61-90","90+")))))))</f>
        <v/>
      </c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9">
        <f>IF($A853="","",SUMIFS(Ventes_Encaissements!$D$6:$D$3005,Ventes_Encaissements!$B$6:$B$3005,$A853))</f>
        <v/>
      </c>
      <c r="J853" s="9">
        <f>IF($A853="","",$H853-$I853)</f>
        <v/>
      </c>
      <c r="K853" s="10">
        <f>IF($A853="","",IF($I853=0,"",_xludf.AGGREGATE(14,6,Ventes_Encaissements!$C$6:$C$3005/(Ventes_Encaissements!$B$6:$B$3005=$A853),1)))</f>
        <v/>
      </c>
      <c r="L853" s="11">
        <f>IF($A853="","",COUNTIFS(Ventes_Detail!$B$6:$B$3005,$A853))</f>
        <v/>
      </c>
      <c r="M853" s="12" t="n"/>
      <c r="N853" s="12">
        <f>IF($A853="","",IF($G853="","",IF($M853="Oui","Litige",IF($J853&lt;=0,"Payé",IF($I853&gt;0,"Partiel",IF(Listes!$B$3&gt;$G853,"En retard","À échoir"))))))</f>
        <v/>
      </c>
      <c r="O853" s="11">
        <f>IF($A853="","",IF(OR($G853="", $J853&lt;=0),0,MAX(0,Listes!$B$3-$G853)))</f>
        <v/>
      </c>
      <c r="P853" s="12">
        <f>IF($A853="","",IF($J853&lt;=0,"Payé",IF($M853="Oui","Litige",IF($O853=0,"À échoir",IF($O853&lt;=30,"0-30",IF($O853&lt;=60,"31-60",IF($O853&lt;=90,"61-90","90+")))))))</f>
        <v/>
      </c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9">
        <f>IF($A854="","",SUMIFS(Ventes_Encaissements!$D$6:$D$3005,Ventes_Encaissements!$B$6:$B$3005,$A854))</f>
        <v/>
      </c>
      <c r="J854" s="9">
        <f>IF($A854="","",$H854-$I854)</f>
        <v/>
      </c>
      <c r="K854" s="10">
        <f>IF($A854="","",IF($I854=0,"",_xludf.AGGREGATE(14,6,Ventes_Encaissements!$C$6:$C$3005/(Ventes_Encaissements!$B$6:$B$3005=$A854),1)))</f>
        <v/>
      </c>
      <c r="L854" s="11">
        <f>IF($A854="","",COUNTIFS(Ventes_Detail!$B$6:$B$3005,$A854))</f>
        <v/>
      </c>
      <c r="M854" s="12" t="n"/>
      <c r="N854" s="12">
        <f>IF($A854="","",IF($G854="","",IF($M854="Oui","Litige",IF($J854&lt;=0,"Payé",IF($I854&gt;0,"Partiel",IF(Listes!$B$3&gt;$G854,"En retard","À échoir"))))))</f>
        <v/>
      </c>
      <c r="O854" s="11">
        <f>IF($A854="","",IF(OR($G854="", $J854&lt;=0),0,MAX(0,Listes!$B$3-$G854)))</f>
        <v/>
      </c>
      <c r="P854" s="12">
        <f>IF($A854="","",IF($J854&lt;=0,"Payé",IF($M854="Oui","Litige",IF($O854=0,"À échoir",IF($O854&lt;=30,"0-30",IF($O854&lt;=60,"31-60",IF($O854&lt;=90,"61-90","90+")))))))</f>
        <v/>
      </c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9">
        <f>IF($A855="","",SUMIFS(Ventes_Encaissements!$D$6:$D$3005,Ventes_Encaissements!$B$6:$B$3005,$A855))</f>
        <v/>
      </c>
      <c r="J855" s="9">
        <f>IF($A855="","",$H855-$I855)</f>
        <v/>
      </c>
      <c r="K855" s="10">
        <f>IF($A855="","",IF($I855=0,"",_xludf.AGGREGATE(14,6,Ventes_Encaissements!$C$6:$C$3005/(Ventes_Encaissements!$B$6:$B$3005=$A855),1)))</f>
        <v/>
      </c>
      <c r="L855" s="11">
        <f>IF($A855="","",COUNTIFS(Ventes_Detail!$B$6:$B$3005,$A855))</f>
        <v/>
      </c>
      <c r="M855" s="12" t="n"/>
      <c r="N855" s="12">
        <f>IF($A855="","",IF($G855="","",IF($M855="Oui","Litige",IF($J855&lt;=0,"Payé",IF($I855&gt;0,"Partiel",IF(Listes!$B$3&gt;$G855,"En retard","À échoir"))))))</f>
        <v/>
      </c>
      <c r="O855" s="11">
        <f>IF($A855="","",IF(OR($G855="", $J855&lt;=0),0,MAX(0,Listes!$B$3-$G855)))</f>
        <v/>
      </c>
      <c r="P855" s="12">
        <f>IF($A855="","",IF($J855&lt;=0,"Payé",IF($M855="Oui","Litige",IF($O855=0,"À échoir",IF($O855&lt;=30,"0-30",IF($O855&lt;=60,"31-60",IF($O855&lt;=90,"61-90","90+")))))))</f>
        <v/>
      </c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9">
        <f>IF($A856="","",SUMIFS(Ventes_Encaissements!$D$6:$D$3005,Ventes_Encaissements!$B$6:$B$3005,$A856))</f>
        <v/>
      </c>
      <c r="J856" s="9">
        <f>IF($A856="","",$H856-$I856)</f>
        <v/>
      </c>
      <c r="K856" s="10">
        <f>IF($A856="","",IF($I856=0,"",_xludf.AGGREGATE(14,6,Ventes_Encaissements!$C$6:$C$3005/(Ventes_Encaissements!$B$6:$B$3005=$A856),1)))</f>
        <v/>
      </c>
      <c r="L856" s="11">
        <f>IF($A856="","",COUNTIFS(Ventes_Detail!$B$6:$B$3005,$A856))</f>
        <v/>
      </c>
      <c r="M856" s="12" t="n"/>
      <c r="N856" s="12">
        <f>IF($A856="","",IF($G856="","",IF($M856="Oui","Litige",IF($J856&lt;=0,"Payé",IF($I856&gt;0,"Partiel",IF(Listes!$B$3&gt;$G856,"En retard","À échoir"))))))</f>
        <v/>
      </c>
      <c r="O856" s="11">
        <f>IF($A856="","",IF(OR($G856="", $J856&lt;=0),0,MAX(0,Listes!$B$3-$G856)))</f>
        <v/>
      </c>
      <c r="P856" s="12">
        <f>IF($A856="","",IF($J856&lt;=0,"Payé",IF($M856="Oui","Litige",IF($O856=0,"À échoir",IF($O856&lt;=30,"0-30",IF($O856&lt;=60,"31-60",IF($O856&lt;=90,"61-90","90+")))))))</f>
        <v/>
      </c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9">
        <f>IF($A857="","",SUMIFS(Ventes_Encaissements!$D$6:$D$3005,Ventes_Encaissements!$B$6:$B$3005,$A857))</f>
        <v/>
      </c>
      <c r="J857" s="9">
        <f>IF($A857="","",$H857-$I857)</f>
        <v/>
      </c>
      <c r="K857" s="10">
        <f>IF($A857="","",IF($I857=0,"",_xludf.AGGREGATE(14,6,Ventes_Encaissements!$C$6:$C$3005/(Ventes_Encaissements!$B$6:$B$3005=$A857),1)))</f>
        <v/>
      </c>
      <c r="L857" s="11">
        <f>IF($A857="","",COUNTIFS(Ventes_Detail!$B$6:$B$3005,$A857))</f>
        <v/>
      </c>
      <c r="M857" s="12" t="n"/>
      <c r="N857" s="12">
        <f>IF($A857="","",IF($G857="","",IF($M857="Oui","Litige",IF($J857&lt;=0,"Payé",IF($I857&gt;0,"Partiel",IF(Listes!$B$3&gt;$G857,"En retard","À échoir"))))))</f>
        <v/>
      </c>
      <c r="O857" s="11">
        <f>IF($A857="","",IF(OR($G857="", $J857&lt;=0),0,MAX(0,Listes!$B$3-$G857)))</f>
        <v/>
      </c>
      <c r="P857" s="12">
        <f>IF($A857="","",IF($J857&lt;=0,"Payé",IF($M857="Oui","Litige",IF($O857=0,"À échoir",IF($O857&lt;=30,"0-30",IF($O857&lt;=60,"31-60",IF($O857&lt;=90,"61-90","90+")))))))</f>
        <v/>
      </c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9">
        <f>IF($A858="","",SUMIFS(Ventes_Encaissements!$D$6:$D$3005,Ventes_Encaissements!$B$6:$B$3005,$A858))</f>
        <v/>
      </c>
      <c r="J858" s="9">
        <f>IF($A858="","",$H858-$I858)</f>
        <v/>
      </c>
      <c r="K858" s="10">
        <f>IF($A858="","",IF($I858=0,"",_xludf.AGGREGATE(14,6,Ventes_Encaissements!$C$6:$C$3005/(Ventes_Encaissements!$B$6:$B$3005=$A858),1)))</f>
        <v/>
      </c>
      <c r="L858" s="11">
        <f>IF($A858="","",COUNTIFS(Ventes_Detail!$B$6:$B$3005,$A858))</f>
        <v/>
      </c>
      <c r="M858" s="12" t="n"/>
      <c r="N858" s="12">
        <f>IF($A858="","",IF($G858="","",IF($M858="Oui","Litige",IF($J858&lt;=0,"Payé",IF($I858&gt;0,"Partiel",IF(Listes!$B$3&gt;$G858,"En retard","À échoir"))))))</f>
        <v/>
      </c>
      <c r="O858" s="11">
        <f>IF($A858="","",IF(OR($G858="", $J858&lt;=0),0,MAX(0,Listes!$B$3-$G858)))</f>
        <v/>
      </c>
      <c r="P858" s="12">
        <f>IF($A858="","",IF($J858&lt;=0,"Payé",IF($M858="Oui","Litige",IF($O858=0,"À échoir",IF($O858&lt;=30,"0-30",IF($O858&lt;=60,"31-60",IF($O858&lt;=90,"61-90","90+")))))))</f>
        <v/>
      </c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9">
        <f>IF($A859="","",SUMIFS(Ventes_Encaissements!$D$6:$D$3005,Ventes_Encaissements!$B$6:$B$3005,$A859))</f>
        <v/>
      </c>
      <c r="J859" s="9">
        <f>IF($A859="","",$H859-$I859)</f>
        <v/>
      </c>
      <c r="K859" s="10">
        <f>IF($A859="","",IF($I859=0,"",_xludf.AGGREGATE(14,6,Ventes_Encaissements!$C$6:$C$3005/(Ventes_Encaissements!$B$6:$B$3005=$A859),1)))</f>
        <v/>
      </c>
      <c r="L859" s="11">
        <f>IF($A859="","",COUNTIFS(Ventes_Detail!$B$6:$B$3005,$A859))</f>
        <v/>
      </c>
      <c r="M859" s="12" t="n"/>
      <c r="N859" s="12">
        <f>IF($A859="","",IF($G859="","",IF($M859="Oui","Litige",IF($J859&lt;=0,"Payé",IF($I859&gt;0,"Partiel",IF(Listes!$B$3&gt;$G859,"En retard","À échoir"))))))</f>
        <v/>
      </c>
      <c r="O859" s="11">
        <f>IF($A859="","",IF(OR($G859="", $J859&lt;=0),0,MAX(0,Listes!$B$3-$G859)))</f>
        <v/>
      </c>
      <c r="P859" s="12">
        <f>IF($A859="","",IF($J859&lt;=0,"Payé",IF($M859="Oui","Litige",IF($O859=0,"À échoir",IF($O859&lt;=30,"0-30",IF($O859&lt;=60,"31-60",IF($O859&lt;=90,"61-90","90+")))))))</f>
        <v/>
      </c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9">
        <f>IF($A860="","",SUMIFS(Ventes_Encaissements!$D$6:$D$3005,Ventes_Encaissements!$B$6:$B$3005,$A860))</f>
        <v/>
      </c>
      <c r="J860" s="9">
        <f>IF($A860="","",$H860-$I860)</f>
        <v/>
      </c>
      <c r="K860" s="10">
        <f>IF($A860="","",IF($I860=0,"",_xludf.AGGREGATE(14,6,Ventes_Encaissements!$C$6:$C$3005/(Ventes_Encaissements!$B$6:$B$3005=$A860),1)))</f>
        <v/>
      </c>
      <c r="L860" s="11">
        <f>IF($A860="","",COUNTIFS(Ventes_Detail!$B$6:$B$3005,$A860))</f>
        <v/>
      </c>
      <c r="M860" s="12" t="n"/>
      <c r="N860" s="12">
        <f>IF($A860="","",IF($G860="","",IF($M860="Oui","Litige",IF($J860&lt;=0,"Payé",IF($I860&gt;0,"Partiel",IF(Listes!$B$3&gt;$G860,"En retard","À échoir"))))))</f>
        <v/>
      </c>
      <c r="O860" s="11">
        <f>IF($A860="","",IF(OR($G860="", $J860&lt;=0),0,MAX(0,Listes!$B$3-$G860)))</f>
        <v/>
      </c>
      <c r="P860" s="12">
        <f>IF($A860="","",IF($J860&lt;=0,"Payé",IF($M860="Oui","Litige",IF($O860=0,"À échoir",IF($O860&lt;=30,"0-30",IF($O860&lt;=60,"31-60",IF($O860&lt;=90,"61-90","90+")))))))</f>
        <v/>
      </c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9">
        <f>IF($A861="","",SUMIFS(Ventes_Encaissements!$D$6:$D$3005,Ventes_Encaissements!$B$6:$B$3005,$A861))</f>
        <v/>
      </c>
      <c r="J861" s="9">
        <f>IF($A861="","",$H861-$I861)</f>
        <v/>
      </c>
      <c r="K861" s="10">
        <f>IF($A861="","",IF($I861=0,"",_xludf.AGGREGATE(14,6,Ventes_Encaissements!$C$6:$C$3005/(Ventes_Encaissements!$B$6:$B$3005=$A861),1)))</f>
        <v/>
      </c>
      <c r="L861" s="11">
        <f>IF($A861="","",COUNTIFS(Ventes_Detail!$B$6:$B$3005,$A861))</f>
        <v/>
      </c>
      <c r="M861" s="12" t="n"/>
      <c r="N861" s="12">
        <f>IF($A861="","",IF($G861="","",IF($M861="Oui","Litige",IF($J861&lt;=0,"Payé",IF($I861&gt;0,"Partiel",IF(Listes!$B$3&gt;$G861,"En retard","À échoir"))))))</f>
        <v/>
      </c>
      <c r="O861" s="11">
        <f>IF($A861="","",IF(OR($G861="", $J861&lt;=0),0,MAX(0,Listes!$B$3-$G861)))</f>
        <v/>
      </c>
      <c r="P861" s="12">
        <f>IF($A861="","",IF($J861&lt;=0,"Payé",IF($M861="Oui","Litige",IF($O861=0,"À échoir",IF($O861&lt;=30,"0-30",IF($O861&lt;=60,"31-60",IF($O861&lt;=90,"61-90","90+")))))))</f>
        <v/>
      </c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9">
        <f>IF($A862="","",SUMIFS(Ventes_Encaissements!$D$6:$D$3005,Ventes_Encaissements!$B$6:$B$3005,$A862))</f>
        <v/>
      </c>
      <c r="J862" s="9">
        <f>IF($A862="","",$H862-$I862)</f>
        <v/>
      </c>
      <c r="K862" s="10">
        <f>IF($A862="","",IF($I862=0,"",_xludf.AGGREGATE(14,6,Ventes_Encaissements!$C$6:$C$3005/(Ventes_Encaissements!$B$6:$B$3005=$A862),1)))</f>
        <v/>
      </c>
      <c r="L862" s="11">
        <f>IF($A862="","",COUNTIFS(Ventes_Detail!$B$6:$B$3005,$A862))</f>
        <v/>
      </c>
      <c r="M862" s="12" t="n"/>
      <c r="N862" s="12">
        <f>IF($A862="","",IF($G862="","",IF($M862="Oui","Litige",IF($J862&lt;=0,"Payé",IF($I862&gt;0,"Partiel",IF(Listes!$B$3&gt;$G862,"En retard","À échoir"))))))</f>
        <v/>
      </c>
      <c r="O862" s="11">
        <f>IF($A862="","",IF(OR($G862="", $J862&lt;=0),0,MAX(0,Listes!$B$3-$G862)))</f>
        <v/>
      </c>
      <c r="P862" s="12">
        <f>IF($A862="","",IF($J862&lt;=0,"Payé",IF($M862="Oui","Litige",IF($O862=0,"À échoir",IF($O862&lt;=30,"0-30",IF($O862&lt;=60,"31-60",IF($O862&lt;=90,"61-90","90+")))))))</f>
        <v/>
      </c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9">
        <f>IF($A863="","",SUMIFS(Ventes_Encaissements!$D$6:$D$3005,Ventes_Encaissements!$B$6:$B$3005,$A863))</f>
        <v/>
      </c>
      <c r="J863" s="9">
        <f>IF($A863="","",$H863-$I863)</f>
        <v/>
      </c>
      <c r="K863" s="10">
        <f>IF($A863="","",IF($I863=0,"",_xludf.AGGREGATE(14,6,Ventes_Encaissements!$C$6:$C$3005/(Ventes_Encaissements!$B$6:$B$3005=$A863),1)))</f>
        <v/>
      </c>
      <c r="L863" s="11">
        <f>IF($A863="","",COUNTIFS(Ventes_Detail!$B$6:$B$3005,$A863))</f>
        <v/>
      </c>
      <c r="M863" s="12" t="n"/>
      <c r="N863" s="12">
        <f>IF($A863="","",IF($G863="","",IF($M863="Oui","Litige",IF($J863&lt;=0,"Payé",IF($I863&gt;0,"Partiel",IF(Listes!$B$3&gt;$G863,"En retard","À échoir"))))))</f>
        <v/>
      </c>
      <c r="O863" s="11">
        <f>IF($A863="","",IF(OR($G863="", $J863&lt;=0),0,MAX(0,Listes!$B$3-$G863)))</f>
        <v/>
      </c>
      <c r="P863" s="12">
        <f>IF($A863="","",IF($J863&lt;=0,"Payé",IF($M863="Oui","Litige",IF($O863=0,"À échoir",IF($O863&lt;=30,"0-30",IF($O863&lt;=60,"31-60",IF($O863&lt;=90,"61-90","90+")))))))</f>
        <v/>
      </c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9">
        <f>IF($A864="","",SUMIFS(Ventes_Encaissements!$D$6:$D$3005,Ventes_Encaissements!$B$6:$B$3005,$A864))</f>
        <v/>
      </c>
      <c r="J864" s="9">
        <f>IF($A864="","",$H864-$I864)</f>
        <v/>
      </c>
      <c r="K864" s="10">
        <f>IF($A864="","",IF($I864=0,"",_xludf.AGGREGATE(14,6,Ventes_Encaissements!$C$6:$C$3005/(Ventes_Encaissements!$B$6:$B$3005=$A864),1)))</f>
        <v/>
      </c>
      <c r="L864" s="11">
        <f>IF($A864="","",COUNTIFS(Ventes_Detail!$B$6:$B$3005,$A864))</f>
        <v/>
      </c>
      <c r="M864" s="12" t="n"/>
      <c r="N864" s="12">
        <f>IF($A864="","",IF($G864="","",IF($M864="Oui","Litige",IF($J864&lt;=0,"Payé",IF($I864&gt;0,"Partiel",IF(Listes!$B$3&gt;$G864,"En retard","À échoir"))))))</f>
        <v/>
      </c>
      <c r="O864" s="11">
        <f>IF($A864="","",IF(OR($G864="", $J864&lt;=0),0,MAX(0,Listes!$B$3-$G864)))</f>
        <v/>
      </c>
      <c r="P864" s="12">
        <f>IF($A864="","",IF($J864&lt;=0,"Payé",IF($M864="Oui","Litige",IF($O864=0,"À échoir",IF($O864&lt;=30,"0-30",IF($O864&lt;=60,"31-60",IF($O864&lt;=90,"61-90","90+")))))))</f>
        <v/>
      </c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9">
        <f>IF($A865="","",SUMIFS(Ventes_Encaissements!$D$6:$D$3005,Ventes_Encaissements!$B$6:$B$3005,$A865))</f>
        <v/>
      </c>
      <c r="J865" s="9">
        <f>IF($A865="","",$H865-$I865)</f>
        <v/>
      </c>
      <c r="K865" s="10">
        <f>IF($A865="","",IF($I865=0,"",_xludf.AGGREGATE(14,6,Ventes_Encaissements!$C$6:$C$3005/(Ventes_Encaissements!$B$6:$B$3005=$A865),1)))</f>
        <v/>
      </c>
      <c r="L865" s="11">
        <f>IF($A865="","",COUNTIFS(Ventes_Detail!$B$6:$B$3005,$A865))</f>
        <v/>
      </c>
      <c r="M865" s="12" t="n"/>
      <c r="N865" s="12">
        <f>IF($A865="","",IF($G865="","",IF($M865="Oui","Litige",IF($J865&lt;=0,"Payé",IF($I865&gt;0,"Partiel",IF(Listes!$B$3&gt;$G865,"En retard","À échoir"))))))</f>
        <v/>
      </c>
      <c r="O865" s="11">
        <f>IF($A865="","",IF(OR($G865="", $J865&lt;=0),0,MAX(0,Listes!$B$3-$G865)))</f>
        <v/>
      </c>
      <c r="P865" s="12">
        <f>IF($A865="","",IF($J865&lt;=0,"Payé",IF($M865="Oui","Litige",IF($O865=0,"À échoir",IF($O865&lt;=30,"0-30",IF($O865&lt;=60,"31-60",IF($O865&lt;=90,"61-90","90+")))))))</f>
        <v/>
      </c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9">
        <f>IF($A866="","",SUMIFS(Ventes_Encaissements!$D$6:$D$3005,Ventes_Encaissements!$B$6:$B$3005,$A866))</f>
        <v/>
      </c>
      <c r="J866" s="9">
        <f>IF($A866="","",$H866-$I866)</f>
        <v/>
      </c>
      <c r="K866" s="10">
        <f>IF($A866="","",IF($I866=0,"",_xludf.AGGREGATE(14,6,Ventes_Encaissements!$C$6:$C$3005/(Ventes_Encaissements!$B$6:$B$3005=$A866),1)))</f>
        <v/>
      </c>
      <c r="L866" s="11">
        <f>IF($A866="","",COUNTIFS(Ventes_Detail!$B$6:$B$3005,$A866))</f>
        <v/>
      </c>
      <c r="M866" s="12" t="n"/>
      <c r="N866" s="12">
        <f>IF($A866="","",IF($G866="","",IF($M866="Oui","Litige",IF($J866&lt;=0,"Payé",IF($I866&gt;0,"Partiel",IF(Listes!$B$3&gt;$G866,"En retard","À échoir"))))))</f>
        <v/>
      </c>
      <c r="O866" s="11">
        <f>IF($A866="","",IF(OR($G866="", $J866&lt;=0),0,MAX(0,Listes!$B$3-$G866)))</f>
        <v/>
      </c>
      <c r="P866" s="12">
        <f>IF($A866="","",IF($J866&lt;=0,"Payé",IF($M866="Oui","Litige",IF($O866=0,"À échoir",IF($O866&lt;=30,"0-30",IF($O866&lt;=60,"31-60",IF($O866&lt;=90,"61-90","90+")))))))</f>
        <v/>
      </c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9">
        <f>IF($A867="","",SUMIFS(Ventes_Encaissements!$D$6:$D$3005,Ventes_Encaissements!$B$6:$B$3005,$A867))</f>
        <v/>
      </c>
      <c r="J867" s="9">
        <f>IF($A867="","",$H867-$I867)</f>
        <v/>
      </c>
      <c r="K867" s="10">
        <f>IF($A867="","",IF($I867=0,"",_xludf.AGGREGATE(14,6,Ventes_Encaissements!$C$6:$C$3005/(Ventes_Encaissements!$B$6:$B$3005=$A867),1)))</f>
        <v/>
      </c>
      <c r="L867" s="11">
        <f>IF($A867="","",COUNTIFS(Ventes_Detail!$B$6:$B$3005,$A867))</f>
        <v/>
      </c>
      <c r="M867" s="12" t="n"/>
      <c r="N867" s="12">
        <f>IF($A867="","",IF($G867="","",IF($M867="Oui","Litige",IF($J867&lt;=0,"Payé",IF($I867&gt;0,"Partiel",IF(Listes!$B$3&gt;$G867,"En retard","À échoir"))))))</f>
        <v/>
      </c>
      <c r="O867" s="11">
        <f>IF($A867="","",IF(OR($G867="", $J867&lt;=0),0,MAX(0,Listes!$B$3-$G867)))</f>
        <v/>
      </c>
      <c r="P867" s="12">
        <f>IF($A867="","",IF($J867&lt;=0,"Payé",IF($M867="Oui","Litige",IF($O867=0,"À échoir",IF($O867&lt;=30,"0-30",IF($O867&lt;=60,"31-60",IF($O867&lt;=90,"61-90","90+")))))))</f>
        <v/>
      </c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9">
        <f>IF($A868="","",SUMIFS(Ventes_Encaissements!$D$6:$D$3005,Ventes_Encaissements!$B$6:$B$3005,$A868))</f>
        <v/>
      </c>
      <c r="J868" s="9">
        <f>IF($A868="","",$H868-$I868)</f>
        <v/>
      </c>
      <c r="K868" s="10">
        <f>IF($A868="","",IF($I868=0,"",_xludf.AGGREGATE(14,6,Ventes_Encaissements!$C$6:$C$3005/(Ventes_Encaissements!$B$6:$B$3005=$A868),1)))</f>
        <v/>
      </c>
      <c r="L868" s="11">
        <f>IF($A868="","",COUNTIFS(Ventes_Detail!$B$6:$B$3005,$A868))</f>
        <v/>
      </c>
      <c r="M868" s="12" t="n"/>
      <c r="N868" s="12">
        <f>IF($A868="","",IF($G868="","",IF($M868="Oui","Litige",IF($J868&lt;=0,"Payé",IF($I868&gt;0,"Partiel",IF(Listes!$B$3&gt;$G868,"En retard","À échoir"))))))</f>
        <v/>
      </c>
      <c r="O868" s="11">
        <f>IF($A868="","",IF(OR($G868="", $J868&lt;=0),0,MAX(0,Listes!$B$3-$G868)))</f>
        <v/>
      </c>
      <c r="P868" s="12">
        <f>IF($A868="","",IF($J868&lt;=0,"Payé",IF($M868="Oui","Litige",IF($O868=0,"À échoir",IF($O868&lt;=30,"0-30",IF($O868&lt;=60,"31-60",IF($O868&lt;=90,"61-90","90+")))))))</f>
        <v/>
      </c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9">
        <f>IF($A869="","",SUMIFS(Ventes_Encaissements!$D$6:$D$3005,Ventes_Encaissements!$B$6:$B$3005,$A869))</f>
        <v/>
      </c>
      <c r="J869" s="9">
        <f>IF($A869="","",$H869-$I869)</f>
        <v/>
      </c>
      <c r="K869" s="10">
        <f>IF($A869="","",IF($I869=0,"",_xludf.AGGREGATE(14,6,Ventes_Encaissements!$C$6:$C$3005/(Ventes_Encaissements!$B$6:$B$3005=$A869),1)))</f>
        <v/>
      </c>
      <c r="L869" s="11">
        <f>IF($A869="","",COUNTIFS(Ventes_Detail!$B$6:$B$3005,$A869))</f>
        <v/>
      </c>
      <c r="M869" s="12" t="n"/>
      <c r="N869" s="12">
        <f>IF($A869="","",IF($G869="","",IF($M869="Oui","Litige",IF($J869&lt;=0,"Payé",IF($I869&gt;0,"Partiel",IF(Listes!$B$3&gt;$G869,"En retard","À échoir"))))))</f>
        <v/>
      </c>
      <c r="O869" s="11">
        <f>IF($A869="","",IF(OR($G869="", $J869&lt;=0),0,MAX(0,Listes!$B$3-$G869)))</f>
        <v/>
      </c>
      <c r="P869" s="12">
        <f>IF($A869="","",IF($J869&lt;=0,"Payé",IF($M869="Oui","Litige",IF($O869=0,"À échoir",IF($O869&lt;=30,"0-30",IF($O869&lt;=60,"31-60",IF($O869&lt;=90,"61-90","90+")))))))</f>
        <v/>
      </c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9">
        <f>IF($A870="","",SUMIFS(Ventes_Encaissements!$D$6:$D$3005,Ventes_Encaissements!$B$6:$B$3005,$A870))</f>
        <v/>
      </c>
      <c r="J870" s="9">
        <f>IF($A870="","",$H870-$I870)</f>
        <v/>
      </c>
      <c r="K870" s="10">
        <f>IF($A870="","",IF($I870=0,"",_xludf.AGGREGATE(14,6,Ventes_Encaissements!$C$6:$C$3005/(Ventes_Encaissements!$B$6:$B$3005=$A870),1)))</f>
        <v/>
      </c>
      <c r="L870" s="11">
        <f>IF($A870="","",COUNTIFS(Ventes_Detail!$B$6:$B$3005,$A870))</f>
        <v/>
      </c>
      <c r="M870" s="12" t="n"/>
      <c r="N870" s="12">
        <f>IF($A870="","",IF($G870="","",IF($M870="Oui","Litige",IF($J870&lt;=0,"Payé",IF($I870&gt;0,"Partiel",IF(Listes!$B$3&gt;$G870,"En retard","À échoir"))))))</f>
        <v/>
      </c>
      <c r="O870" s="11">
        <f>IF($A870="","",IF(OR($G870="", $J870&lt;=0),0,MAX(0,Listes!$B$3-$G870)))</f>
        <v/>
      </c>
      <c r="P870" s="12">
        <f>IF($A870="","",IF($J870&lt;=0,"Payé",IF($M870="Oui","Litige",IF($O870=0,"À échoir",IF($O870&lt;=30,"0-30",IF($O870&lt;=60,"31-60",IF($O870&lt;=90,"61-90","90+")))))))</f>
        <v/>
      </c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9">
        <f>IF($A871="","",SUMIFS(Ventes_Encaissements!$D$6:$D$3005,Ventes_Encaissements!$B$6:$B$3005,$A871))</f>
        <v/>
      </c>
      <c r="J871" s="9">
        <f>IF($A871="","",$H871-$I871)</f>
        <v/>
      </c>
      <c r="K871" s="10">
        <f>IF($A871="","",IF($I871=0,"",_xludf.AGGREGATE(14,6,Ventes_Encaissements!$C$6:$C$3005/(Ventes_Encaissements!$B$6:$B$3005=$A871),1)))</f>
        <v/>
      </c>
      <c r="L871" s="11">
        <f>IF($A871="","",COUNTIFS(Ventes_Detail!$B$6:$B$3005,$A871))</f>
        <v/>
      </c>
      <c r="M871" s="12" t="n"/>
      <c r="N871" s="12">
        <f>IF($A871="","",IF($G871="","",IF($M871="Oui","Litige",IF($J871&lt;=0,"Payé",IF($I871&gt;0,"Partiel",IF(Listes!$B$3&gt;$G871,"En retard","À échoir"))))))</f>
        <v/>
      </c>
      <c r="O871" s="11">
        <f>IF($A871="","",IF(OR($G871="", $J871&lt;=0),0,MAX(0,Listes!$B$3-$G871)))</f>
        <v/>
      </c>
      <c r="P871" s="12">
        <f>IF($A871="","",IF($J871&lt;=0,"Payé",IF($M871="Oui","Litige",IF($O871=0,"À échoir",IF($O871&lt;=30,"0-30",IF($O871&lt;=60,"31-60",IF($O871&lt;=90,"61-90","90+")))))))</f>
        <v/>
      </c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9">
        <f>IF($A872="","",SUMIFS(Ventes_Encaissements!$D$6:$D$3005,Ventes_Encaissements!$B$6:$B$3005,$A872))</f>
        <v/>
      </c>
      <c r="J872" s="9">
        <f>IF($A872="","",$H872-$I872)</f>
        <v/>
      </c>
      <c r="K872" s="10">
        <f>IF($A872="","",IF($I872=0,"",_xludf.AGGREGATE(14,6,Ventes_Encaissements!$C$6:$C$3005/(Ventes_Encaissements!$B$6:$B$3005=$A872),1)))</f>
        <v/>
      </c>
      <c r="L872" s="11">
        <f>IF($A872="","",COUNTIFS(Ventes_Detail!$B$6:$B$3005,$A872))</f>
        <v/>
      </c>
      <c r="M872" s="12" t="n"/>
      <c r="N872" s="12">
        <f>IF($A872="","",IF($G872="","",IF($M872="Oui","Litige",IF($J872&lt;=0,"Payé",IF($I872&gt;0,"Partiel",IF(Listes!$B$3&gt;$G872,"En retard","À échoir"))))))</f>
        <v/>
      </c>
      <c r="O872" s="11">
        <f>IF($A872="","",IF(OR($G872="", $J872&lt;=0),0,MAX(0,Listes!$B$3-$G872)))</f>
        <v/>
      </c>
      <c r="P872" s="12">
        <f>IF($A872="","",IF($J872&lt;=0,"Payé",IF($M872="Oui","Litige",IF($O872=0,"À échoir",IF($O872&lt;=30,"0-30",IF($O872&lt;=60,"31-60",IF($O872&lt;=90,"61-90","90+")))))))</f>
        <v/>
      </c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9">
        <f>IF($A873="","",SUMIFS(Ventes_Encaissements!$D$6:$D$3005,Ventes_Encaissements!$B$6:$B$3005,$A873))</f>
        <v/>
      </c>
      <c r="J873" s="9">
        <f>IF($A873="","",$H873-$I873)</f>
        <v/>
      </c>
      <c r="K873" s="10">
        <f>IF($A873="","",IF($I873=0,"",_xludf.AGGREGATE(14,6,Ventes_Encaissements!$C$6:$C$3005/(Ventes_Encaissements!$B$6:$B$3005=$A873),1)))</f>
        <v/>
      </c>
      <c r="L873" s="11">
        <f>IF($A873="","",COUNTIFS(Ventes_Detail!$B$6:$B$3005,$A873))</f>
        <v/>
      </c>
      <c r="M873" s="12" t="n"/>
      <c r="N873" s="12">
        <f>IF($A873="","",IF($G873="","",IF($M873="Oui","Litige",IF($J873&lt;=0,"Payé",IF($I873&gt;0,"Partiel",IF(Listes!$B$3&gt;$G873,"En retard","À échoir"))))))</f>
        <v/>
      </c>
      <c r="O873" s="11">
        <f>IF($A873="","",IF(OR($G873="", $J873&lt;=0),0,MAX(0,Listes!$B$3-$G873)))</f>
        <v/>
      </c>
      <c r="P873" s="12">
        <f>IF($A873="","",IF($J873&lt;=0,"Payé",IF($M873="Oui","Litige",IF($O873=0,"À échoir",IF($O873&lt;=30,"0-30",IF($O873&lt;=60,"31-60",IF($O873&lt;=90,"61-90","90+")))))))</f>
        <v/>
      </c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9">
        <f>IF($A874="","",SUMIFS(Ventes_Encaissements!$D$6:$D$3005,Ventes_Encaissements!$B$6:$B$3005,$A874))</f>
        <v/>
      </c>
      <c r="J874" s="9">
        <f>IF($A874="","",$H874-$I874)</f>
        <v/>
      </c>
      <c r="K874" s="10">
        <f>IF($A874="","",IF($I874=0,"",_xludf.AGGREGATE(14,6,Ventes_Encaissements!$C$6:$C$3005/(Ventes_Encaissements!$B$6:$B$3005=$A874),1)))</f>
        <v/>
      </c>
      <c r="L874" s="11">
        <f>IF($A874="","",COUNTIFS(Ventes_Detail!$B$6:$B$3005,$A874))</f>
        <v/>
      </c>
      <c r="M874" s="12" t="n"/>
      <c r="N874" s="12">
        <f>IF($A874="","",IF($G874="","",IF($M874="Oui","Litige",IF($J874&lt;=0,"Payé",IF($I874&gt;0,"Partiel",IF(Listes!$B$3&gt;$G874,"En retard","À échoir"))))))</f>
        <v/>
      </c>
      <c r="O874" s="11">
        <f>IF($A874="","",IF(OR($G874="", $J874&lt;=0),0,MAX(0,Listes!$B$3-$G874)))</f>
        <v/>
      </c>
      <c r="P874" s="12">
        <f>IF($A874="","",IF($J874&lt;=0,"Payé",IF($M874="Oui","Litige",IF($O874=0,"À échoir",IF($O874&lt;=30,"0-30",IF($O874&lt;=60,"31-60",IF($O874&lt;=90,"61-90","90+")))))))</f>
        <v/>
      </c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9">
        <f>IF($A875="","",SUMIFS(Ventes_Encaissements!$D$6:$D$3005,Ventes_Encaissements!$B$6:$B$3005,$A875))</f>
        <v/>
      </c>
      <c r="J875" s="9">
        <f>IF($A875="","",$H875-$I875)</f>
        <v/>
      </c>
      <c r="K875" s="10">
        <f>IF($A875="","",IF($I875=0,"",_xludf.AGGREGATE(14,6,Ventes_Encaissements!$C$6:$C$3005/(Ventes_Encaissements!$B$6:$B$3005=$A875),1)))</f>
        <v/>
      </c>
      <c r="L875" s="11">
        <f>IF($A875="","",COUNTIFS(Ventes_Detail!$B$6:$B$3005,$A875))</f>
        <v/>
      </c>
      <c r="M875" s="12" t="n"/>
      <c r="N875" s="12">
        <f>IF($A875="","",IF($G875="","",IF($M875="Oui","Litige",IF($J875&lt;=0,"Payé",IF($I875&gt;0,"Partiel",IF(Listes!$B$3&gt;$G875,"En retard","À échoir"))))))</f>
        <v/>
      </c>
      <c r="O875" s="11">
        <f>IF($A875="","",IF(OR($G875="", $J875&lt;=0),0,MAX(0,Listes!$B$3-$G875)))</f>
        <v/>
      </c>
      <c r="P875" s="12">
        <f>IF($A875="","",IF($J875&lt;=0,"Payé",IF($M875="Oui","Litige",IF($O875=0,"À échoir",IF($O875&lt;=30,"0-30",IF($O875&lt;=60,"31-60",IF($O875&lt;=90,"61-90","90+")))))))</f>
        <v/>
      </c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9">
        <f>IF($A876="","",SUMIFS(Ventes_Encaissements!$D$6:$D$3005,Ventes_Encaissements!$B$6:$B$3005,$A876))</f>
        <v/>
      </c>
      <c r="J876" s="9">
        <f>IF($A876="","",$H876-$I876)</f>
        <v/>
      </c>
      <c r="K876" s="10">
        <f>IF($A876="","",IF($I876=0,"",_xludf.AGGREGATE(14,6,Ventes_Encaissements!$C$6:$C$3005/(Ventes_Encaissements!$B$6:$B$3005=$A876),1)))</f>
        <v/>
      </c>
      <c r="L876" s="11">
        <f>IF($A876="","",COUNTIFS(Ventes_Detail!$B$6:$B$3005,$A876))</f>
        <v/>
      </c>
      <c r="M876" s="12" t="n"/>
      <c r="N876" s="12">
        <f>IF($A876="","",IF($G876="","",IF($M876="Oui","Litige",IF($J876&lt;=0,"Payé",IF($I876&gt;0,"Partiel",IF(Listes!$B$3&gt;$G876,"En retard","À échoir"))))))</f>
        <v/>
      </c>
      <c r="O876" s="11">
        <f>IF($A876="","",IF(OR($G876="", $J876&lt;=0),0,MAX(0,Listes!$B$3-$G876)))</f>
        <v/>
      </c>
      <c r="P876" s="12">
        <f>IF($A876="","",IF($J876&lt;=0,"Payé",IF($M876="Oui","Litige",IF($O876=0,"À échoir",IF($O876&lt;=30,"0-30",IF($O876&lt;=60,"31-60",IF($O876&lt;=90,"61-90","90+")))))))</f>
        <v/>
      </c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9">
        <f>IF($A877="","",SUMIFS(Ventes_Encaissements!$D$6:$D$3005,Ventes_Encaissements!$B$6:$B$3005,$A877))</f>
        <v/>
      </c>
      <c r="J877" s="9">
        <f>IF($A877="","",$H877-$I877)</f>
        <v/>
      </c>
      <c r="K877" s="10">
        <f>IF($A877="","",IF($I877=0,"",_xludf.AGGREGATE(14,6,Ventes_Encaissements!$C$6:$C$3005/(Ventes_Encaissements!$B$6:$B$3005=$A877),1)))</f>
        <v/>
      </c>
      <c r="L877" s="11">
        <f>IF($A877="","",COUNTIFS(Ventes_Detail!$B$6:$B$3005,$A877))</f>
        <v/>
      </c>
      <c r="M877" s="12" t="n"/>
      <c r="N877" s="12">
        <f>IF($A877="","",IF($G877="","",IF($M877="Oui","Litige",IF($J877&lt;=0,"Payé",IF($I877&gt;0,"Partiel",IF(Listes!$B$3&gt;$G877,"En retard","À échoir"))))))</f>
        <v/>
      </c>
      <c r="O877" s="11">
        <f>IF($A877="","",IF(OR($G877="", $J877&lt;=0),0,MAX(0,Listes!$B$3-$G877)))</f>
        <v/>
      </c>
      <c r="P877" s="12">
        <f>IF($A877="","",IF($J877&lt;=0,"Payé",IF($M877="Oui","Litige",IF($O877=0,"À échoir",IF($O877&lt;=30,"0-30",IF($O877&lt;=60,"31-60",IF($O877&lt;=90,"61-90","90+")))))))</f>
        <v/>
      </c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9">
        <f>IF($A878="","",SUMIFS(Ventes_Encaissements!$D$6:$D$3005,Ventes_Encaissements!$B$6:$B$3005,$A878))</f>
        <v/>
      </c>
      <c r="J878" s="9">
        <f>IF($A878="","",$H878-$I878)</f>
        <v/>
      </c>
      <c r="K878" s="10">
        <f>IF($A878="","",IF($I878=0,"",_xludf.AGGREGATE(14,6,Ventes_Encaissements!$C$6:$C$3005/(Ventes_Encaissements!$B$6:$B$3005=$A878),1)))</f>
        <v/>
      </c>
      <c r="L878" s="11">
        <f>IF($A878="","",COUNTIFS(Ventes_Detail!$B$6:$B$3005,$A878))</f>
        <v/>
      </c>
      <c r="M878" s="12" t="n"/>
      <c r="N878" s="12">
        <f>IF($A878="","",IF($G878="","",IF($M878="Oui","Litige",IF($J878&lt;=0,"Payé",IF($I878&gt;0,"Partiel",IF(Listes!$B$3&gt;$G878,"En retard","À échoir"))))))</f>
        <v/>
      </c>
      <c r="O878" s="11">
        <f>IF($A878="","",IF(OR($G878="", $J878&lt;=0),0,MAX(0,Listes!$B$3-$G878)))</f>
        <v/>
      </c>
      <c r="P878" s="12">
        <f>IF($A878="","",IF($J878&lt;=0,"Payé",IF($M878="Oui","Litige",IF($O878=0,"À échoir",IF($O878&lt;=30,"0-30",IF($O878&lt;=60,"31-60",IF($O878&lt;=90,"61-90","90+")))))))</f>
        <v/>
      </c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9">
        <f>IF($A879="","",SUMIFS(Ventes_Encaissements!$D$6:$D$3005,Ventes_Encaissements!$B$6:$B$3005,$A879))</f>
        <v/>
      </c>
      <c r="J879" s="9">
        <f>IF($A879="","",$H879-$I879)</f>
        <v/>
      </c>
      <c r="K879" s="10">
        <f>IF($A879="","",IF($I879=0,"",_xludf.AGGREGATE(14,6,Ventes_Encaissements!$C$6:$C$3005/(Ventes_Encaissements!$B$6:$B$3005=$A879),1)))</f>
        <v/>
      </c>
      <c r="L879" s="11">
        <f>IF($A879="","",COUNTIFS(Ventes_Detail!$B$6:$B$3005,$A879))</f>
        <v/>
      </c>
      <c r="M879" s="12" t="n"/>
      <c r="N879" s="12">
        <f>IF($A879="","",IF($G879="","",IF($M879="Oui","Litige",IF($J879&lt;=0,"Payé",IF($I879&gt;0,"Partiel",IF(Listes!$B$3&gt;$G879,"En retard","À échoir"))))))</f>
        <v/>
      </c>
      <c r="O879" s="11">
        <f>IF($A879="","",IF(OR($G879="", $J879&lt;=0),0,MAX(0,Listes!$B$3-$G879)))</f>
        <v/>
      </c>
      <c r="P879" s="12">
        <f>IF($A879="","",IF($J879&lt;=0,"Payé",IF($M879="Oui","Litige",IF($O879=0,"À échoir",IF($O879&lt;=30,"0-30",IF($O879&lt;=60,"31-60",IF($O879&lt;=90,"61-90","90+")))))))</f>
        <v/>
      </c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9">
        <f>IF($A880="","",SUMIFS(Ventes_Encaissements!$D$6:$D$3005,Ventes_Encaissements!$B$6:$B$3005,$A880))</f>
        <v/>
      </c>
      <c r="J880" s="9">
        <f>IF($A880="","",$H880-$I880)</f>
        <v/>
      </c>
      <c r="K880" s="10">
        <f>IF($A880="","",IF($I880=0,"",_xludf.AGGREGATE(14,6,Ventes_Encaissements!$C$6:$C$3005/(Ventes_Encaissements!$B$6:$B$3005=$A880),1)))</f>
        <v/>
      </c>
      <c r="L880" s="11">
        <f>IF($A880="","",COUNTIFS(Ventes_Detail!$B$6:$B$3005,$A880))</f>
        <v/>
      </c>
      <c r="M880" s="12" t="n"/>
      <c r="N880" s="12">
        <f>IF($A880="","",IF($G880="","",IF($M880="Oui","Litige",IF($J880&lt;=0,"Payé",IF($I880&gt;0,"Partiel",IF(Listes!$B$3&gt;$G880,"En retard","À échoir"))))))</f>
        <v/>
      </c>
      <c r="O880" s="11">
        <f>IF($A880="","",IF(OR($G880="", $J880&lt;=0),0,MAX(0,Listes!$B$3-$G880)))</f>
        <v/>
      </c>
      <c r="P880" s="12">
        <f>IF($A880="","",IF($J880&lt;=0,"Payé",IF($M880="Oui","Litige",IF($O880=0,"À échoir",IF($O880&lt;=30,"0-30",IF($O880&lt;=60,"31-60",IF($O880&lt;=90,"61-90","90+")))))))</f>
        <v/>
      </c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9">
        <f>IF($A881="","",SUMIFS(Ventes_Encaissements!$D$6:$D$3005,Ventes_Encaissements!$B$6:$B$3005,$A881))</f>
        <v/>
      </c>
      <c r="J881" s="9">
        <f>IF($A881="","",$H881-$I881)</f>
        <v/>
      </c>
      <c r="K881" s="10">
        <f>IF($A881="","",IF($I881=0,"",_xludf.AGGREGATE(14,6,Ventes_Encaissements!$C$6:$C$3005/(Ventes_Encaissements!$B$6:$B$3005=$A881),1)))</f>
        <v/>
      </c>
      <c r="L881" s="11">
        <f>IF($A881="","",COUNTIFS(Ventes_Detail!$B$6:$B$3005,$A881))</f>
        <v/>
      </c>
      <c r="M881" s="12" t="n"/>
      <c r="N881" s="12">
        <f>IF($A881="","",IF($G881="","",IF($M881="Oui","Litige",IF($J881&lt;=0,"Payé",IF($I881&gt;0,"Partiel",IF(Listes!$B$3&gt;$G881,"En retard","À échoir"))))))</f>
        <v/>
      </c>
      <c r="O881" s="11">
        <f>IF($A881="","",IF(OR($G881="", $J881&lt;=0),0,MAX(0,Listes!$B$3-$G881)))</f>
        <v/>
      </c>
      <c r="P881" s="12">
        <f>IF($A881="","",IF($J881&lt;=0,"Payé",IF($M881="Oui","Litige",IF($O881=0,"À échoir",IF($O881&lt;=30,"0-30",IF($O881&lt;=60,"31-60",IF($O881&lt;=90,"61-90","90+")))))))</f>
        <v/>
      </c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9">
        <f>IF($A882="","",SUMIFS(Ventes_Encaissements!$D$6:$D$3005,Ventes_Encaissements!$B$6:$B$3005,$A882))</f>
        <v/>
      </c>
      <c r="J882" s="9">
        <f>IF($A882="","",$H882-$I882)</f>
        <v/>
      </c>
      <c r="K882" s="10">
        <f>IF($A882="","",IF($I882=0,"",_xludf.AGGREGATE(14,6,Ventes_Encaissements!$C$6:$C$3005/(Ventes_Encaissements!$B$6:$B$3005=$A882),1)))</f>
        <v/>
      </c>
      <c r="L882" s="11">
        <f>IF($A882="","",COUNTIFS(Ventes_Detail!$B$6:$B$3005,$A882))</f>
        <v/>
      </c>
      <c r="M882" s="12" t="n"/>
      <c r="N882" s="12">
        <f>IF($A882="","",IF($G882="","",IF($M882="Oui","Litige",IF($J882&lt;=0,"Payé",IF($I882&gt;0,"Partiel",IF(Listes!$B$3&gt;$G882,"En retard","À échoir"))))))</f>
        <v/>
      </c>
      <c r="O882" s="11">
        <f>IF($A882="","",IF(OR($G882="", $J882&lt;=0),0,MAX(0,Listes!$B$3-$G882)))</f>
        <v/>
      </c>
      <c r="P882" s="12">
        <f>IF($A882="","",IF($J882&lt;=0,"Payé",IF($M882="Oui","Litige",IF($O882=0,"À échoir",IF($O882&lt;=30,"0-30",IF($O882&lt;=60,"31-60",IF($O882&lt;=90,"61-90","90+")))))))</f>
        <v/>
      </c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9">
        <f>IF($A883="","",SUMIFS(Ventes_Encaissements!$D$6:$D$3005,Ventes_Encaissements!$B$6:$B$3005,$A883))</f>
        <v/>
      </c>
      <c r="J883" s="9">
        <f>IF($A883="","",$H883-$I883)</f>
        <v/>
      </c>
      <c r="K883" s="10">
        <f>IF($A883="","",IF($I883=0,"",_xludf.AGGREGATE(14,6,Ventes_Encaissements!$C$6:$C$3005/(Ventes_Encaissements!$B$6:$B$3005=$A883),1)))</f>
        <v/>
      </c>
      <c r="L883" s="11">
        <f>IF($A883="","",COUNTIFS(Ventes_Detail!$B$6:$B$3005,$A883))</f>
        <v/>
      </c>
      <c r="M883" s="12" t="n"/>
      <c r="N883" s="12">
        <f>IF($A883="","",IF($G883="","",IF($M883="Oui","Litige",IF($J883&lt;=0,"Payé",IF($I883&gt;0,"Partiel",IF(Listes!$B$3&gt;$G883,"En retard","À échoir"))))))</f>
        <v/>
      </c>
      <c r="O883" s="11">
        <f>IF($A883="","",IF(OR($G883="", $J883&lt;=0),0,MAX(0,Listes!$B$3-$G883)))</f>
        <v/>
      </c>
      <c r="P883" s="12">
        <f>IF($A883="","",IF($J883&lt;=0,"Payé",IF($M883="Oui","Litige",IF($O883=0,"À échoir",IF($O883&lt;=30,"0-30",IF($O883&lt;=60,"31-60",IF($O883&lt;=90,"61-90","90+")))))))</f>
        <v/>
      </c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9">
        <f>IF($A884="","",SUMIFS(Ventes_Encaissements!$D$6:$D$3005,Ventes_Encaissements!$B$6:$B$3005,$A884))</f>
        <v/>
      </c>
      <c r="J884" s="9">
        <f>IF($A884="","",$H884-$I884)</f>
        <v/>
      </c>
      <c r="K884" s="10">
        <f>IF($A884="","",IF($I884=0,"",_xludf.AGGREGATE(14,6,Ventes_Encaissements!$C$6:$C$3005/(Ventes_Encaissements!$B$6:$B$3005=$A884),1)))</f>
        <v/>
      </c>
      <c r="L884" s="11">
        <f>IF($A884="","",COUNTIFS(Ventes_Detail!$B$6:$B$3005,$A884))</f>
        <v/>
      </c>
      <c r="M884" s="12" t="n"/>
      <c r="N884" s="12">
        <f>IF($A884="","",IF($G884="","",IF($M884="Oui","Litige",IF($J884&lt;=0,"Payé",IF($I884&gt;0,"Partiel",IF(Listes!$B$3&gt;$G884,"En retard","À échoir"))))))</f>
        <v/>
      </c>
      <c r="O884" s="11">
        <f>IF($A884="","",IF(OR($G884="", $J884&lt;=0),0,MAX(0,Listes!$B$3-$G884)))</f>
        <v/>
      </c>
      <c r="P884" s="12">
        <f>IF($A884="","",IF($J884&lt;=0,"Payé",IF($M884="Oui","Litige",IF($O884=0,"À échoir",IF($O884&lt;=30,"0-30",IF($O884&lt;=60,"31-60",IF($O884&lt;=90,"61-90","90+")))))))</f>
        <v/>
      </c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9">
        <f>IF($A885="","",SUMIFS(Ventes_Encaissements!$D$6:$D$3005,Ventes_Encaissements!$B$6:$B$3005,$A885))</f>
        <v/>
      </c>
      <c r="J885" s="9">
        <f>IF($A885="","",$H885-$I885)</f>
        <v/>
      </c>
      <c r="K885" s="10">
        <f>IF($A885="","",IF($I885=0,"",_xludf.AGGREGATE(14,6,Ventes_Encaissements!$C$6:$C$3005/(Ventes_Encaissements!$B$6:$B$3005=$A885),1)))</f>
        <v/>
      </c>
      <c r="L885" s="11">
        <f>IF($A885="","",COUNTIFS(Ventes_Detail!$B$6:$B$3005,$A885))</f>
        <v/>
      </c>
      <c r="M885" s="12" t="n"/>
      <c r="N885" s="12">
        <f>IF($A885="","",IF($G885="","",IF($M885="Oui","Litige",IF($J885&lt;=0,"Payé",IF($I885&gt;0,"Partiel",IF(Listes!$B$3&gt;$G885,"En retard","À échoir"))))))</f>
        <v/>
      </c>
      <c r="O885" s="11">
        <f>IF($A885="","",IF(OR($G885="", $J885&lt;=0),0,MAX(0,Listes!$B$3-$G885)))</f>
        <v/>
      </c>
      <c r="P885" s="12">
        <f>IF($A885="","",IF($J885&lt;=0,"Payé",IF($M885="Oui","Litige",IF($O885=0,"À échoir",IF($O885&lt;=30,"0-30",IF($O885&lt;=60,"31-60",IF($O885&lt;=90,"61-90","90+")))))))</f>
        <v/>
      </c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9">
        <f>IF($A886="","",SUMIFS(Ventes_Encaissements!$D$6:$D$3005,Ventes_Encaissements!$B$6:$B$3005,$A886))</f>
        <v/>
      </c>
      <c r="J886" s="9">
        <f>IF($A886="","",$H886-$I886)</f>
        <v/>
      </c>
      <c r="K886" s="10">
        <f>IF($A886="","",IF($I886=0,"",_xludf.AGGREGATE(14,6,Ventes_Encaissements!$C$6:$C$3005/(Ventes_Encaissements!$B$6:$B$3005=$A886),1)))</f>
        <v/>
      </c>
      <c r="L886" s="11">
        <f>IF($A886="","",COUNTIFS(Ventes_Detail!$B$6:$B$3005,$A886))</f>
        <v/>
      </c>
      <c r="M886" s="12" t="n"/>
      <c r="N886" s="12">
        <f>IF($A886="","",IF($G886="","",IF($M886="Oui","Litige",IF($J886&lt;=0,"Payé",IF($I886&gt;0,"Partiel",IF(Listes!$B$3&gt;$G886,"En retard","À échoir"))))))</f>
        <v/>
      </c>
      <c r="O886" s="11">
        <f>IF($A886="","",IF(OR($G886="", $J886&lt;=0),0,MAX(0,Listes!$B$3-$G886)))</f>
        <v/>
      </c>
      <c r="P886" s="12">
        <f>IF($A886="","",IF($J886&lt;=0,"Payé",IF($M886="Oui","Litige",IF($O886=0,"À échoir",IF($O886&lt;=30,"0-30",IF($O886&lt;=60,"31-60",IF($O886&lt;=90,"61-90","90+")))))))</f>
        <v/>
      </c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9">
        <f>IF($A887="","",SUMIFS(Ventes_Encaissements!$D$6:$D$3005,Ventes_Encaissements!$B$6:$B$3005,$A887))</f>
        <v/>
      </c>
      <c r="J887" s="9">
        <f>IF($A887="","",$H887-$I887)</f>
        <v/>
      </c>
      <c r="K887" s="10">
        <f>IF($A887="","",IF($I887=0,"",_xludf.AGGREGATE(14,6,Ventes_Encaissements!$C$6:$C$3005/(Ventes_Encaissements!$B$6:$B$3005=$A887),1)))</f>
        <v/>
      </c>
      <c r="L887" s="11">
        <f>IF($A887="","",COUNTIFS(Ventes_Detail!$B$6:$B$3005,$A887))</f>
        <v/>
      </c>
      <c r="M887" s="12" t="n"/>
      <c r="N887" s="12">
        <f>IF($A887="","",IF($G887="","",IF($M887="Oui","Litige",IF($J887&lt;=0,"Payé",IF($I887&gt;0,"Partiel",IF(Listes!$B$3&gt;$G887,"En retard","À échoir"))))))</f>
        <v/>
      </c>
      <c r="O887" s="11">
        <f>IF($A887="","",IF(OR($G887="", $J887&lt;=0),0,MAX(0,Listes!$B$3-$G887)))</f>
        <v/>
      </c>
      <c r="P887" s="12">
        <f>IF($A887="","",IF($J887&lt;=0,"Payé",IF($M887="Oui","Litige",IF($O887=0,"À échoir",IF($O887&lt;=30,"0-30",IF($O887&lt;=60,"31-60",IF($O887&lt;=90,"61-90","90+")))))))</f>
        <v/>
      </c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9">
        <f>IF($A888="","",SUMIFS(Ventes_Encaissements!$D$6:$D$3005,Ventes_Encaissements!$B$6:$B$3005,$A888))</f>
        <v/>
      </c>
      <c r="J888" s="9">
        <f>IF($A888="","",$H888-$I888)</f>
        <v/>
      </c>
      <c r="K888" s="10">
        <f>IF($A888="","",IF($I888=0,"",_xludf.AGGREGATE(14,6,Ventes_Encaissements!$C$6:$C$3005/(Ventes_Encaissements!$B$6:$B$3005=$A888),1)))</f>
        <v/>
      </c>
      <c r="L888" s="11">
        <f>IF($A888="","",COUNTIFS(Ventes_Detail!$B$6:$B$3005,$A888))</f>
        <v/>
      </c>
      <c r="M888" s="12" t="n"/>
      <c r="N888" s="12">
        <f>IF($A888="","",IF($G888="","",IF($M888="Oui","Litige",IF($J888&lt;=0,"Payé",IF($I888&gt;0,"Partiel",IF(Listes!$B$3&gt;$G888,"En retard","À échoir"))))))</f>
        <v/>
      </c>
      <c r="O888" s="11">
        <f>IF($A888="","",IF(OR($G888="", $J888&lt;=0),0,MAX(0,Listes!$B$3-$G888)))</f>
        <v/>
      </c>
      <c r="P888" s="12">
        <f>IF($A888="","",IF($J888&lt;=0,"Payé",IF($M888="Oui","Litige",IF($O888=0,"À échoir",IF($O888&lt;=30,"0-30",IF($O888&lt;=60,"31-60",IF($O888&lt;=90,"61-90","90+")))))))</f>
        <v/>
      </c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9">
        <f>IF($A889="","",SUMIFS(Ventes_Encaissements!$D$6:$D$3005,Ventes_Encaissements!$B$6:$B$3005,$A889))</f>
        <v/>
      </c>
      <c r="J889" s="9">
        <f>IF($A889="","",$H889-$I889)</f>
        <v/>
      </c>
      <c r="K889" s="10">
        <f>IF($A889="","",IF($I889=0,"",_xludf.AGGREGATE(14,6,Ventes_Encaissements!$C$6:$C$3005/(Ventes_Encaissements!$B$6:$B$3005=$A889),1)))</f>
        <v/>
      </c>
      <c r="L889" s="11">
        <f>IF($A889="","",COUNTIFS(Ventes_Detail!$B$6:$B$3005,$A889))</f>
        <v/>
      </c>
      <c r="M889" s="12" t="n"/>
      <c r="N889" s="12">
        <f>IF($A889="","",IF($G889="","",IF($M889="Oui","Litige",IF($J889&lt;=0,"Payé",IF($I889&gt;0,"Partiel",IF(Listes!$B$3&gt;$G889,"En retard","À échoir"))))))</f>
        <v/>
      </c>
      <c r="O889" s="11">
        <f>IF($A889="","",IF(OR($G889="", $J889&lt;=0),0,MAX(0,Listes!$B$3-$G889)))</f>
        <v/>
      </c>
      <c r="P889" s="12">
        <f>IF($A889="","",IF($J889&lt;=0,"Payé",IF($M889="Oui","Litige",IF($O889=0,"À échoir",IF($O889&lt;=30,"0-30",IF($O889&lt;=60,"31-60",IF($O889&lt;=90,"61-90","90+")))))))</f>
        <v/>
      </c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9">
        <f>IF($A890="","",SUMIFS(Ventes_Encaissements!$D$6:$D$3005,Ventes_Encaissements!$B$6:$B$3005,$A890))</f>
        <v/>
      </c>
      <c r="J890" s="9">
        <f>IF($A890="","",$H890-$I890)</f>
        <v/>
      </c>
      <c r="K890" s="10">
        <f>IF($A890="","",IF($I890=0,"",_xludf.AGGREGATE(14,6,Ventes_Encaissements!$C$6:$C$3005/(Ventes_Encaissements!$B$6:$B$3005=$A890),1)))</f>
        <v/>
      </c>
      <c r="L890" s="11">
        <f>IF($A890="","",COUNTIFS(Ventes_Detail!$B$6:$B$3005,$A890))</f>
        <v/>
      </c>
      <c r="M890" s="12" t="n"/>
      <c r="N890" s="12">
        <f>IF($A890="","",IF($G890="","",IF($M890="Oui","Litige",IF($J890&lt;=0,"Payé",IF($I890&gt;0,"Partiel",IF(Listes!$B$3&gt;$G890,"En retard","À échoir"))))))</f>
        <v/>
      </c>
      <c r="O890" s="11">
        <f>IF($A890="","",IF(OR($G890="", $J890&lt;=0),0,MAX(0,Listes!$B$3-$G890)))</f>
        <v/>
      </c>
      <c r="P890" s="12">
        <f>IF($A890="","",IF($J890&lt;=0,"Payé",IF($M890="Oui","Litige",IF($O890=0,"À échoir",IF($O890&lt;=30,"0-30",IF($O890&lt;=60,"31-60",IF($O890&lt;=90,"61-90","90+")))))))</f>
        <v/>
      </c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9">
        <f>IF($A891="","",SUMIFS(Ventes_Encaissements!$D$6:$D$3005,Ventes_Encaissements!$B$6:$B$3005,$A891))</f>
        <v/>
      </c>
      <c r="J891" s="9">
        <f>IF($A891="","",$H891-$I891)</f>
        <v/>
      </c>
      <c r="K891" s="10">
        <f>IF($A891="","",IF($I891=0,"",_xludf.AGGREGATE(14,6,Ventes_Encaissements!$C$6:$C$3005/(Ventes_Encaissements!$B$6:$B$3005=$A891),1)))</f>
        <v/>
      </c>
      <c r="L891" s="11">
        <f>IF($A891="","",COUNTIFS(Ventes_Detail!$B$6:$B$3005,$A891))</f>
        <v/>
      </c>
      <c r="M891" s="12" t="n"/>
      <c r="N891" s="12">
        <f>IF($A891="","",IF($G891="","",IF($M891="Oui","Litige",IF($J891&lt;=0,"Payé",IF($I891&gt;0,"Partiel",IF(Listes!$B$3&gt;$G891,"En retard","À échoir"))))))</f>
        <v/>
      </c>
      <c r="O891" s="11">
        <f>IF($A891="","",IF(OR($G891="", $J891&lt;=0),0,MAX(0,Listes!$B$3-$G891)))</f>
        <v/>
      </c>
      <c r="P891" s="12">
        <f>IF($A891="","",IF($J891&lt;=0,"Payé",IF($M891="Oui","Litige",IF($O891=0,"À échoir",IF($O891&lt;=30,"0-30",IF($O891&lt;=60,"31-60",IF($O891&lt;=90,"61-90","90+")))))))</f>
        <v/>
      </c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9">
        <f>IF($A892="","",SUMIFS(Ventes_Encaissements!$D$6:$D$3005,Ventes_Encaissements!$B$6:$B$3005,$A892))</f>
        <v/>
      </c>
      <c r="J892" s="9">
        <f>IF($A892="","",$H892-$I892)</f>
        <v/>
      </c>
      <c r="K892" s="10">
        <f>IF($A892="","",IF($I892=0,"",_xludf.AGGREGATE(14,6,Ventes_Encaissements!$C$6:$C$3005/(Ventes_Encaissements!$B$6:$B$3005=$A892),1)))</f>
        <v/>
      </c>
      <c r="L892" s="11">
        <f>IF($A892="","",COUNTIFS(Ventes_Detail!$B$6:$B$3005,$A892))</f>
        <v/>
      </c>
      <c r="M892" s="12" t="n"/>
      <c r="N892" s="12">
        <f>IF($A892="","",IF($G892="","",IF($M892="Oui","Litige",IF($J892&lt;=0,"Payé",IF($I892&gt;0,"Partiel",IF(Listes!$B$3&gt;$G892,"En retard","À échoir"))))))</f>
        <v/>
      </c>
      <c r="O892" s="11">
        <f>IF($A892="","",IF(OR($G892="", $J892&lt;=0),0,MAX(0,Listes!$B$3-$G892)))</f>
        <v/>
      </c>
      <c r="P892" s="12">
        <f>IF($A892="","",IF($J892&lt;=0,"Payé",IF($M892="Oui","Litige",IF($O892=0,"À échoir",IF($O892&lt;=30,"0-30",IF($O892&lt;=60,"31-60",IF($O892&lt;=90,"61-90","90+")))))))</f>
        <v/>
      </c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9">
        <f>IF($A893="","",SUMIFS(Ventes_Encaissements!$D$6:$D$3005,Ventes_Encaissements!$B$6:$B$3005,$A893))</f>
        <v/>
      </c>
      <c r="J893" s="9">
        <f>IF($A893="","",$H893-$I893)</f>
        <v/>
      </c>
      <c r="K893" s="10">
        <f>IF($A893="","",IF($I893=0,"",_xludf.AGGREGATE(14,6,Ventes_Encaissements!$C$6:$C$3005/(Ventes_Encaissements!$B$6:$B$3005=$A893),1)))</f>
        <v/>
      </c>
      <c r="L893" s="11">
        <f>IF($A893="","",COUNTIFS(Ventes_Detail!$B$6:$B$3005,$A893))</f>
        <v/>
      </c>
      <c r="M893" s="12" t="n"/>
      <c r="N893" s="12">
        <f>IF($A893="","",IF($G893="","",IF($M893="Oui","Litige",IF($J893&lt;=0,"Payé",IF($I893&gt;0,"Partiel",IF(Listes!$B$3&gt;$G893,"En retard","À échoir"))))))</f>
        <v/>
      </c>
      <c r="O893" s="11">
        <f>IF($A893="","",IF(OR($G893="", $J893&lt;=0),0,MAX(0,Listes!$B$3-$G893)))</f>
        <v/>
      </c>
      <c r="P893" s="12">
        <f>IF($A893="","",IF($J893&lt;=0,"Payé",IF($M893="Oui","Litige",IF($O893=0,"À échoir",IF($O893&lt;=30,"0-30",IF($O893&lt;=60,"31-60",IF($O893&lt;=90,"61-90","90+")))))))</f>
        <v/>
      </c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9">
        <f>IF($A894="","",SUMIFS(Ventes_Encaissements!$D$6:$D$3005,Ventes_Encaissements!$B$6:$B$3005,$A894))</f>
        <v/>
      </c>
      <c r="J894" s="9">
        <f>IF($A894="","",$H894-$I894)</f>
        <v/>
      </c>
      <c r="K894" s="10">
        <f>IF($A894="","",IF($I894=0,"",_xludf.AGGREGATE(14,6,Ventes_Encaissements!$C$6:$C$3005/(Ventes_Encaissements!$B$6:$B$3005=$A894),1)))</f>
        <v/>
      </c>
      <c r="L894" s="11">
        <f>IF($A894="","",COUNTIFS(Ventes_Detail!$B$6:$B$3005,$A894))</f>
        <v/>
      </c>
      <c r="M894" s="12" t="n"/>
      <c r="N894" s="12">
        <f>IF($A894="","",IF($G894="","",IF($M894="Oui","Litige",IF($J894&lt;=0,"Payé",IF($I894&gt;0,"Partiel",IF(Listes!$B$3&gt;$G894,"En retard","À échoir"))))))</f>
        <v/>
      </c>
      <c r="O894" s="11">
        <f>IF($A894="","",IF(OR($G894="", $J894&lt;=0),0,MAX(0,Listes!$B$3-$G894)))</f>
        <v/>
      </c>
      <c r="P894" s="12">
        <f>IF($A894="","",IF($J894&lt;=0,"Payé",IF($M894="Oui","Litige",IF($O894=0,"À échoir",IF($O894&lt;=30,"0-30",IF($O894&lt;=60,"31-60",IF($O894&lt;=90,"61-90","90+")))))))</f>
        <v/>
      </c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9">
        <f>IF($A895="","",SUMIFS(Ventes_Encaissements!$D$6:$D$3005,Ventes_Encaissements!$B$6:$B$3005,$A895))</f>
        <v/>
      </c>
      <c r="J895" s="9">
        <f>IF($A895="","",$H895-$I895)</f>
        <v/>
      </c>
      <c r="K895" s="10">
        <f>IF($A895="","",IF($I895=0,"",_xludf.AGGREGATE(14,6,Ventes_Encaissements!$C$6:$C$3005/(Ventes_Encaissements!$B$6:$B$3005=$A895),1)))</f>
        <v/>
      </c>
      <c r="L895" s="11">
        <f>IF($A895="","",COUNTIFS(Ventes_Detail!$B$6:$B$3005,$A895))</f>
        <v/>
      </c>
      <c r="M895" s="12" t="n"/>
      <c r="N895" s="12">
        <f>IF($A895="","",IF($G895="","",IF($M895="Oui","Litige",IF($J895&lt;=0,"Payé",IF($I895&gt;0,"Partiel",IF(Listes!$B$3&gt;$G895,"En retard","À échoir"))))))</f>
        <v/>
      </c>
      <c r="O895" s="11">
        <f>IF($A895="","",IF(OR($G895="", $J895&lt;=0),0,MAX(0,Listes!$B$3-$G895)))</f>
        <v/>
      </c>
      <c r="P895" s="12">
        <f>IF($A895="","",IF($J895&lt;=0,"Payé",IF($M895="Oui","Litige",IF($O895=0,"À échoir",IF($O895&lt;=30,"0-30",IF($O895&lt;=60,"31-60",IF($O895&lt;=90,"61-90","90+")))))))</f>
        <v/>
      </c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9">
        <f>IF($A896="","",SUMIFS(Ventes_Encaissements!$D$6:$D$3005,Ventes_Encaissements!$B$6:$B$3005,$A896))</f>
        <v/>
      </c>
      <c r="J896" s="9">
        <f>IF($A896="","",$H896-$I896)</f>
        <v/>
      </c>
      <c r="K896" s="10">
        <f>IF($A896="","",IF($I896=0,"",_xludf.AGGREGATE(14,6,Ventes_Encaissements!$C$6:$C$3005/(Ventes_Encaissements!$B$6:$B$3005=$A896),1)))</f>
        <v/>
      </c>
      <c r="L896" s="11">
        <f>IF($A896="","",COUNTIFS(Ventes_Detail!$B$6:$B$3005,$A896))</f>
        <v/>
      </c>
      <c r="M896" s="12" t="n"/>
      <c r="N896" s="12">
        <f>IF($A896="","",IF($G896="","",IF($M896="Oui","Litige",IF($J896&lt;=0,"Payé",IF($I896&gt;0,"Partiel",IF(Listes!$B$3&gt;$G896,"En retard","À échoir"))))))</f>
        <v/>
      </c>
      <c r="O896" s="11">
        <f>IF($A896="","",IF(OR($G896="", $J896&lt;=0),0,MAX(0,Listes!$B$3-$G896)))</f>
        <v/>
      </c>
      <c r="P896" s="12">
        <f>IF($A896="","",IF($J896&lt;=0,"Payé",IF($M896="Oui","Litige",IF($O896=0,"À échoir",IF($O896&lt;=30,"0-30",IF($O896&lt;=60,"31-60",IF($O896&lt;=90,"61-90","90+")))))))</f>
        <v/>
      </c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9">
        <f>IF($A897="","",SUMIFS(Ventes_Encaissements!$D$6:$D$3005,Ventes_Encaissements!$B$6:$B$3005,$A897))</f>
        <v/>
      </c>
      <c r="J897" s="9">
        <f>IF($A897="","",$H897-$I897)</f>
        <v/>
      </c>
      <c r="K897" s="10">
        <f>IF($A897="","",IF($I897=0,"",_xludf.AGGREGATE(14,6,Ventes_Encaissements!$C$6:$C$3005/(Ventes_Encaissements!$B$6:$B$3005=$A897),1)))</f>
        <v/>
      </c>
      <c r="L897" s="11">
        <f>IF($A897="","",COUNTIFS(Ventes_Detail!$B$6:$B$3005,$A897))</f>
        <v/>
      </c>
      <c r="M897" s="12" t="n"/>
      <c r="N897" s="12">
        <f>IF($A897="","",IF($G897="","",IF($M897="Oui","Litige",IF($J897&lt;=0,"Payé",IF($I897&gt;0,"Partiel",IF(Listes!$B$3&gt;$G897,"En retard","À échoir"))))))</f>
        <v/>
      </c>
      <c r="O897" s="11">
        <f>IF($A897="","",IF(OR($G897="", $J897&lt;=0),0,MAX(0,Listes!$B$3-$G897)))</f>
        <v/>
      </c>
      <c r="P897" s="12">
        <f>IF($A897="","",IF($J897&lt;=0,"Payé",IF($M897="Oui","Litige",IF($O897=0,"À échoir",IF($O897&lt;=30,"0-30",IF($O897&lt;=60,"31-60",IF($O897&lt;=90,"61-90","90+")))))))</f>
        <v/>
      </c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9">
        <f>IF($A898="","",SUMIFS(Ventes_Encaissements!$D$6:$D$3005,Ventes_Encaissements!$B$6:$B$3005,$A898))</f>
        <v/>
      </c>
      <c r="J898" s="9">
        <f>IF($A898="","",$H898-$I898)</f>
        <v/>
      </c>
      <c r="K898" s="10">
        <f>IF($A898="","",IF($I898=0,"",_xludf.AGGREGATE(14,6,Ventes_Encaissements!$C$6:$C$3005/(Ventes_Encaissements!$B$6:$B$3005=$A898),1)))</f>
        <v/>
      </c>
      <c r="L898" s="11">
        <f>IF($A898="","",COUNTIFS(Ventes_Detail!$B$6:$B$3005,$A898))</f>
        <v/>
      </c>
      <c r="M898" s="12" t="n"/>
      <c r="N898" s="12">
        <f>IF($A898="","",IF($G898="","",IF($M898="Oui","Litige",IF($J898&lt;=0,"Payé",IF($I898&gt;0,"Partiel",IF(Listes!$B$3&gt;$G898,"En retard","À échoir"))))))</f>
        <v/>
      </c>
      <c r="O898" s="11">
        <f>IF($A898="","",IF(OR($G898="", $J898&lt;=0),0,MAX(0,Listes!$B$3-$G898)))</f>
        <v/>
      </c>
      <c r="P898" s="12">
        <f>IF($A898="","",IF($J898&lt;=0,"Payé",IF($M898="Oui","Litige",IF($O898=0,"À échoir",IF($O898&lt;=30,"0-30",IF($O898&lt;=60,"31-60",IF($O898&lt;=90,"61-90","90+")))))))</f>
        <v/>
      </c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9">
        <f>IF($A899="","",SUMIFS(Ventes_Encaissements!$D$6:$D$3005,Ventes_Encaissements!$B$6:$B$3005,$A899))</f>
        <v/>
      </c>
      <c r="J899" s="9">
        <f>IF($A899="","",$H899-$I899)</f>
        <v/>
      </c>
      <c r="K899" s="10">
        <f>IF($A899="","",IF($I899=0,"",_xludf.AGGREGATE(14,6,Ventes_Encaissements!$C$6:$C$3005/(Ventes_Encaissements!$B$6:$B$3005=$A899),1)))</f>
        <v/>
      </c>
      <c r="L899" s="11">
        <f>IF($A899="","",COUNTIFS(Ventes_Detail!$B$6:$B$3005,$A899))</f>
        <v/>
      </c>
      <c r="M899" s="12" t="n"/>
      <c r="N899" s="12">
        <f>IF($A899="","",IF($G899="","",IF($M899="Oui","Litige",IF($J899&lt;=0,"Payé",IF($I899&gt;0,"Partiel",IF(Listes!$B$3&gt;$G899,"En retard","À échoir"))))))</f>
        <v/>
      </c>
      <c r="O899" s="11">
        <f>IF($A899="","",IF(OR($G899="", $J899&lt;=0),0,MAX(0,Listes!$B$3-$G899)))</f>
        <v/>
      </c>
      <c r="P899" s="12">
        <f>IF($A899="","",IF($J899&lt;=0,"Payé",IF($M899="Oui","Litige",IF($O899=0,"À échoir",IF($O899&lt;=30,"0-30",IF($O899&lt;=60,"31-60",IF($O899&lt;=90,"61-90","90+")))))))</f>
        <v/>
      </c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9">
        <f>IF($A900="","",SUMIFS(Ventes_Encaissements!$D$6:$D$3005,Ventes_Encaissements!$B$6:$B$3005,$A900))</f>
        <v/>
      </c>
      <c r="J900" s="9">
        <f>IF($A900="","",$H900-$I900)</f>
        <v/>
      </c>
      <c r="K900" s="10">
        <f>IF($A900="","",IF($I900=0,"",_xludf.AGGREGATE(14,6,Ventes_Encaissements!$C$6:$C$3005/(Ventes_Encaissements!$B$6:$B$3005=$A900),1)))</f>
        <v/>
      </c>
      <c r="L900" s="11">
        <f>IF($A900="","",COUNTIFS(Ventes_Detail!$B$6:$B$3005,$A900))</f>
        <v/>
      </c>
      <c r="M900" s="12" t="n"/>
      <c r="N900" s="12">
        <f>IF($A900="","",IF($G900="","",IF($M900="Oui","Litige",IF($J900&lt;=0,"Payé",IF($I900&gt;0,"Partiel",IF(Listes!$B$3&gt;$G900,"En retard","À échoir"))))))</f>
        <v/>
      </c>
      <c r="O900" s="11">
        <f>IF($A900="","",IF(OR($G900="", $J900&lt;=0),0,MAX(0,Listes!$B$3-$G900)))</f>
        <v/>
      </c>
      <c r="P900" s="12">
        <f>IF($A900="","",IF($J900&lt;=0,"Payé",IF($M900="Oui","Litige",IF($O900=0,"À échoir",IF($O900&lt;=30,"0-30",IF($O900&lt;=60,"31-60",IF($O900&lt;=90,"61-90","90+")))))))</f>
        <v/>
      </c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9">
        <f>IF($A901="","",SUMIFS(Ventes_Encaissements!$D$6:$D$3005,Ventes_Encaissements!$B$6:$B$3005,$A901))</f>
        <v/>
      </c>
      <c r="J901" s="9">
        <f>IF($A901="","",$H901-$I901)</f>
        <v/>
      </c>
      <c r="K901" s="10">
        <f>IF($A901="","",IF($I901=0,"",_xludf.AGGREGATE(14,6,Ventes_Encaissements!$C$6:$C$3005/(Ventes_Encaissements!$B$6:$B$3005=$A901),1)))</f>
        <v/>
      </c>
      <c r="L901" s="11">
        <f>IF($A901="","",COUNTIFS(Ventes_Detail!$B$6:$B$3005,$A901))</f>
        <v/>
      </c>
      <c r="M901" s="12" t="n"/>
      <c r="N901" s="12">
        <f>IF($A901="","",IF($G901="","",IF($M901="Oui","Litige",IF($J901&lt;=0,"Payé",IF($I901&gt;0,"Partiel",IF(Listes!$B$3&gt;$G901,"En retard","À échoir"))))))</f>
        <v/>
      </c>
      <c r="O901" s="11">
        <f>IF($A901="","",IF(OR($G901="", $J901&lt;=0),0,MAX(0,Listes!$B$3-$G901)))</f>
        <v/>
      </c>
      <c r="P901" s="12">
        <f>IF($A901="","",IF($J901&lt;=0,"Payé",IF($M901="Oui","Litige",IF($O901=0,"À échoir",IF($O901&lt;=30,"0-30",IF($O901&lt;=60,"31-60",IF($O901&lt;=90,"61-90","90+")))))))</f>
        <v/>
      </c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9">
        <f>IF($A902="","",SUMIFS(Ventes_Encaissements!$D$6:$D$3005,Ventes_Encaissements!$B$6:$B$3005,$A902))</f>
        <v/>
      </c>
      <c r="J902" s="9">
        <f>IF($A902="","",$H902-$I902)</f>
        <v/>
      </c>
      <c r="K902" s="10">
        <f>IF($A902="","",IF($I902=0,"",_xludf.AGGREGATE(14,6,Ventes_Encaissements!$C$6:$C$3005/(Ventes_Encaissements!$B$6:$B$3005=$A902),1)))</f>
        <v/>
      </c>
      <c r="L902" s="11">
        <f>IF($A902="","",COUNTIFS(Ventes_Detail!$B$6:$B$3005,$A902))</f>
        <v/>
      </c>
      <c r="M902" s="12" t="n"/>
      <c r="N902" s="12">
        <f>IF($A902="","",IF($G902="","",IF($M902="Oui","Litige",IF($J902&lt;=0,"Payé",IF($I902&gt;0,"Partiel",IF(Listes!$B$3&gt;$G902,"En retard","À échoir"))))))</f>
        <v/>
      </c>
      <c r="O902" s="11">
        <f>IF($A902="","",IF(OR($G902="", $J902&lt;=0),0,MAX(0,Listes!$B$3-$G902)))</f>
        <v/>
      </c>
      <c r="P902" s="12">
        <f>IF($A902="","",IF($J902&lt;=0,"Payé",IF($M902="Oui","Litige",IF($O902=0,"À échoir",IF($O902&lt;=30,"0-30",IF($O902&lt;=60,"31-60",IF($O902&lt;=90,"61-90","90+")))))))</f>
        <v/>
      </c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9">
        <f>IF($A903="","",SUMIFS(Ventes_Encaissements!$D$6:$D$3005,Ventes_Encaissements!$B$6:$B$3005,$A903))</f>
        <v/>
      </c>
      <c r="J903" s="9">
        <f>IF($A903="","",$H903-$I903)</f>
        <v/>
      </c>
      <c r="K903" s="10">
        <f>IF($A903="","",IF($I903=0,"",_xludf.AGGREGATE(14,6,Ventes_Encaissements!$C$6:$C$3005/(Ventes_Encaissements!$B$6:$B$3005=$A903),1)))</f>
        <v/>
      </c>
      <c r="L903" s="11">
        <f>IF($A903="","",COUNTIFS(Ventes_Detail!$B$6:$B$3005,$A903))</f>
        <v/>
      </c>
      <c r="M903" s="12" t="n"/>
      <c r="N903" s="12">
        <f>IF($A903="","",IF($G903="","",IF($M903="Oui","Litige",IF($J903&lt;=0,"Payé",IF($I903&gt;0,"Partiel",IF(Listes!$B$3&gt;$G903,"En retard","À échoir"))))))</f>
        <v/>
      </c>
      <c r="O903" s="11">
        <f>IF($A903="","",IF(OR($G903="", $J903&lt;=0),0,MAX(0,Listes!$B$3-$G903)))</f>
        <v/>
      </c>
      <c r="P903" s="12">
        <f>IF($A903="","",IF($J903&lt;=0,"Payé",IF($M903="Oui","Litige",IF($O903=0,"À échoir",IF($O903&lt;=30,"0-30",IF($O903&lt;=60,"31-60",IF($O903&lt;=90,"61-90","90+")))))))</f>
        <v/>
      </c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9">
        <f>IF($A904="","",SUMIFS(Ventes_Encaissements!$D$6:$D$3005,Ventes_Encaissements!$B$6:$B$3005,$A904))</f>
        <v/>
      </c>
      <c r="J904" s="9">
        <f>IF($A904="","",$H904-$I904)</f>
        <v/>
      </c>
      <c r="K904" s="10">
        <f>IF($A904="","",IF($I904=0,"",_xludf.AGGREGATE(14,6,Ventes_Encaissements!$C$6:$C$3005/(Ventes_Encaissements!$B$6:$B$3005=$A904),1)))</f>
        <v/>
      </c>
      <c r="L904" s="11">
        <f>IF($A904="","",COUNTIFS(Ventes_Detail!$B$6:$B$3005,$A904))</f>
        <v/>
      </c>
      <c r="M904" s="12" t="n"/>
      <c r="N904" s="12">
        <f>IF($A904="","",IF($G904="","",IF($M904="Oui","Litige",IF($J904&lt;=0,"Payé",IF($I904&gt;0,"Partiel",IF(Listes!$B$3&gt;$G904,"En retard","À échoir"))))))</f>
        <v/>
      </c>
      <c r="O904" s="11">
        <f>IF($A904="","",IF(OR($G904="", $J904&lt;=0),0,MAX(0,Listes!$B$3-$G904)))</f>
        <v/>
      </c>
      <c r="P904" s="12">
        <f>IF($A904="","",IF($J904&lt;=0,"Payé",IF($M904="Oui","Litige",IF($O904=0,"À échoir",IF($O904&lt;=30,"0-30",IF($O904&lt;=60,"31-60",IF($O904&lt;=90,"61-90","90+")))))))</f>
        <v/>
      </c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9">
        <f>IF($A905="","",SUMIFS(Ventes_Encaissements!$D$6:$D$3005,Ventes_Encaissements!$B$6:$B$3005,$A905))</f>
        <v/>
      </c>
      <c r="J905" s="9">
        <f>IF($A905="","",$H905-$I905)</f>
        <v/>
      </c>
      <c r="K905" s="10">
        <f>IF($A905="","",IF($I905=0,"",_xludf.AGGREGATE(14,6,Ventes_Encaissements!$C$6:$C$3005/(Ventes_Encaissements!$B$6:$B$3005=$A905),1)))</f>
        <v/>
      </c>
      <c r="L905" s="11">
        <f>IF($A905="","",COUNTIFS(Ventes_Detail!$B$6:$B$3005,$A905))</f>
        <v/>
      </c>
      <c r="M905" s="12" t="n"/>
      <c r="N905" s="12">
        <f>IF($A905="","",IF($G905="","",IF($M905="Oui","Litige",IF($J905&lt;=0,"Payé",IF($I905&gt;0,"Partiel",IF(Listes!$B$3&gt;$G905,"En retard","À échoir"))))))</f>
        <v/>
      </c>
      <c r="O905" s="11">
        <f>IF($A905="","",IF(OR($G905="", $J905&lt;=0),0,MAX(0,Listes!$B$3-$G905)))</f>
        <v/>
      </c>
      <c r="P905" s="12">
        <f>IF($A905="","",IF($J905&lt;=0,"Payé",IF($M905="Oui","Litige",IF($O905=0,"À échoir",IF($O905&lt;=30,"0-30",IF($O905&lt;=60,"31-60",IF($O905&lt;=90,"61-90","90+")))))))</f>
        <v/>
      </c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9">
        <f>IF($A906="","",SUMIFS(Ventes_Encaissements!$D$6:$D$3005,Ventes_Encaissements!$B$6:$B$3005,$A906))</f>
        <v/>
      </c>
      <c r="J906" s="9">
        <f>IF($A906="","",$H906-$I906)</f>
        <v/>
      </c>
      <c r="K906" s="10">
        <f>IF($A906="","",IF($I906=0,"",_xludf.AGGREGATE(14,6,Ventes_Encaissements!$C$6:$C$3005/(Ventes_Encaissements!$B$6:$B$3005=$A906),1)))</f>
        <v/>
      </c>
      <c r="L906" s="11">
        <f>IF($A906="","",COUNTIFS(Ventes_Detail!$B$6:$B$3005,$A906))</f>
        <v/>
      </c>
      <c r="M906" s="12" t="n"/>
      <c r="N906" s="12">
        <f>IF($A906="","",IF($G906="","",IF($M906="Oui","Litige",IF($J906&lt;=0,"Payé",IF($I906&gt;0,"Partiel",IF(Listes!$B$3&gt;$G906,"En retard","À échoir"))))))</f>
        <v/>
      </c>
      <c r="O906" s="11">
        <f>IF($A906="","",IF(OR($G906="", $J906&lt;=0),0,MAX(0,Listes!$B$3-$G906)))</f>
        <v/>
      </c>
      <c r="P906" s="12">
        <f>IF($A906="","",IF($J906&lt;=0,"Payé",IF($M906="Oui","Litige",IF($O906=0,"À échoir",IF($O906&lt;=30,"0-30",IF($O906&lt;=60,"31-60",IF($O906&lt;=90,"61-90","90+")))))))</f>
        <v/>
      </c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9">
        <f>IF($A907="","",SUMIFS(Ventes_Encaissements!$D$6:$D$3005,Ventes_Encaissements!$B$6:$B$3005,$A907))</f>
        <v/>
      </c>
      <c r="J907" s="9">
        <f>IF($A907="","",$H907-$I907)</f>
        <v/>
      </c>
      <c r="K907" s="10">
        <f>IF($A907="","",IF($I907=0,"",_xludf.AGGREGATE(14,6,Ventes_Encaissements!$C$6:$C$3005/(Ventes_Encaissements!$B$6:$B$3005=$A907),1)))</f>
        <v/>
      </c>
      <c r="L907" s="11">
        <f>IF($A907="","",COUNTIFS(Ventes_Detail!$B$6:$B$3005,$A907))</f>
        <v/>
      </c>
      <c r="M907" s="12" t="n"/>
      <c r="N907" s="12">
        <f>IF($A907="","",IF($G907="","",IF($M907="Oui","Litige",IF($J907&lt;=0,"Payé",IF($I907&gt;0,"Partiel",IF(Listes!$B$3&gt;$G907,"En retard","À échoir"))))))</f>
        <v/>
      </c>
      <c r="O907" s="11">
        <f>IF($A907="","",IF(OR($G907="", $J907&lt;=0),0,MAX(0,Listes!$B$3-$G907)))</f>
        <v/>
      </c>
      <c r="P907" s="12">
        <f>IF($A907="","",IF($J907&lt;=0,"Payé",IF($M907="Oui","Litige",IF($O907=0,"À échoir",IF($O907&lt;=30,"0-30",IF($O907&lt;=60,"31-60",IF($O907&lt;=90,"61-90","90+")))))))</f>
        <v/>
      </c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9">
        <f>IF($A908="","",SUMIFS(Ventes_Encaissements!$D$6:$D$3005,Ventes_Encaissements!$B$6:$B$3005,$A908))</f>
        <v/>
      </c>
      <c r="J908" s="9">
        <f>IF($A908="","",$H908-$I908)</f>
        <v/>
      </c>
      <c r="K908" s="10">
        <f>IF($A908="","",IF($I908=0,"",_xludf.AGGREGATE(14,6,Ventes_Encaissements!$C$6:$C$3005/(Ventes_Encaissements!$B$6:$B$3005=$A908),1)))</f>
        <v/>
      </c>
      <c r="L908" s="11">
        <f>IF($A908="","",COUNTIFS(Ventes_Detail!$B$6:$B$3005,$A908))</f>
        <v/>
      </c>
      <c r="M908" s="12" t="n"/>
      <c r="N908" s="12">
        <f>IF($A908="","",IF($G908="","",IF($M908="Oui","Litige",IF($J908&lt;=0,"Payé",IF($I908&gt;0,"Partiel",IF(Listes!$B$3&gt;$G908,"En retard","À échoir"))))))</f>
        <v/>
      </c>
      <c r="O908" s="11">
        <f>IF($A908="","",IF(OR($G908="", $J908&lt;=0),0,MAX(0,Listes!$B$3-$G908)))</f>
        <v/>
      </c>
      <c r="P908" s="12">
        <f>IF($A908="","",IF($J908&lt;=0,"Payé",IF($M908="Oui","Litige",IF($O908=0,"À échoir",IF($O908&lt;=30,"0-30",IF($O908&lt;=60,"31-60",IF($O908&lt;=90,"61-90","90+")))))))</f>
        <v/>
      </c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9">
        <f>IF($A909="","",SUMIFS(Ventes_Encaissements!$D$6:$D$3005,Ventes_Encaissements!$B$6:$B$3005,$A909))</f>
        <v/>
      </c>
      <c r="J909" s="9">
        <f>IF($A909="","",$H909-$I909)</f>
        <v/>
      </c>
      <c r="K909" s="10">
        <f>IF($A909="","",IF($I909=0,"",_xludf.AGGREGATE(14,6,Ventes_Encaissements!$C$6:$C$3005/(Ventes_Encaissements!$B$6:$B$3005=$A909),1)))</f>
        <v/>
      </c>
      <c r="L909" s="11">
        <f>IF($A909="","",COUNTIFS(Ventes_Detail!$B$6:$B$3005,$A909))</f>
        <v/>
      </c>
      <c r="M909" s="12" t="n"/>
      <c r="N909" s="12">
        <f>IF($A909="","",IF($G909="","",IF($M909="Oui","Litige",IF($J909&lt;=0,"Payé",IF($I909&gt;0,"Partiel",IF(Listes!$B$3&gt;$G909,"En retard","À échoir"))))))</f>
        <v/>
      </c>
      <c r="O909" s="11">
        <f>IF($A909="","",IF(OR($G909="", $J909&lt;=0),0,MAX(0,Listes!$B$3-$G909)))</f>
        <v/>
      </c>
      <c r="P909" s="12">
        <f>IF($A909="","",IF($J909&lt;=0,"Payé",IF($M909="Oui","Litige",IF($O909=0,"À échoir",IF($O909&lt;=30,"0-30",IF($O909&lt;=60,"31-60",IF($O909&lt;=90,"61-90","90+")))))))</f>
        <v/>
      </c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9">
        <f>IF($A910="","",SUMIFS(Ventes_Encaissements!$D$6:$D$3005,Ventes_Encaissements!$B$6:$B$3005,$A910))</f>
        <v/>
      </c>
      <c r="J910" s="9">
        <f>IF($A910="","",$H910-$I910)</f>
        <v/>
      </c>
      <c r="K910" s="10">
        <f>IF($A910="","",IF($I910=0,"",_xludf.AGGREGATE(14,6,Ventes_Encaissements!$C$6:$C$3005/(Ventes_Encaissements!$B$6:$B$3005=$A910),1)))</f>
        <v/>
      </c>
      <c r="L910" s="11">
        <f>IF($A910="","",COUNTIFS(Ventes_Detail!$B$6:$B$3005,$A910))</f>
        <v/>
      </c>
      <c r="M910" s="12" t="n"/>
      <c r="N910" s="12">
        <f>IF($A910="","",IF($G910="","",IF($M910="Oui","Litige",IF($J910&lt;=0,"Payé",IF($I910&gt;0,"Partiel",IF(Listes!$B$3&gt;$G910,"En retard","À échoir"))))))</f>
        <v/>
      </c>
      <c r="O910" s="11">
        <f>IF($A910="","",IF(OR($G910="", $J910&lt;=0),0,MAX(0,Listes!$B$3-$G910)))</f>
        <v/>
      </c>
      <c r="P910" s="12">
        <f>IF($A910="","",IF($J910&lt;=0,"Payé",IF($M910="Oui","Litige",IF($O910=0,"À échoir",IF($O910&lt;=30,"0-30",IF($O910&lt;=60,"31-60",IF($O910&lt;=90,"61-90","90+")))))))</f>
        <v/>
      </c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9">
        <f>IF($A911="","",SUMIFS(Ventes_Encaissements!$D$6:$D$3005,Ventes_Encaissements!$B$6:$B$3005,$A911))</f>
        <v/>
      </c>
      <c r="J911" s="9">
        <f>IF($A911="","",$H911-$I911)</f>
        <v/>
      </c>
      <c r="K911" s="10">
        <f>IF($A911="","",IF($I911=0,"",_xludf.AGGREGATE(14,6,Ventes_Encaissements!$C$6:$C$3005/(Ventes_Encaissements!$B$6:$B$3005=$A911),1)))</f>
        <v/>
      </c>
      <c r="L911" s="11">
        <f>IF($A911="","",COUNTIFS(Ventes_Detail!$B$6:$B$3005,$A911))</f>
        <v/>
      </c>
      <c r="M911" s="12" t="n"/>
      <c r="N911" s="12">
        <f>IF($A911="","",IF($G911="","",IF($M911="Oui","Litige",IF($J911&lt;=0,"Payé",IF($I911&gt;0,"Partiel",IF(Listes!$B$3&gt;$G911,"En retard","À échoir"))))))</f>
        <v/>
      </c>
      <c r="O911" s="11">
        <f>IF($A911="","",IF(OR($G911="", $J911&lt;=0),0,MAX(0,Listes!$B$3-$G911)))</f>
        <v/>
      </c>
      <c r="P911" s="12">
        <f>IF($A911="","",IF($J911&lt;=0,"Payé",IF($M911="Oui","Litige",IF($O911=0,"À échoir",IF($O911&lt;=30,"0-30",IF($O911&lt;=60,"31-60",IF($O911&lt;=90,"61-90","90+")))))))</f>
        <v/>
      </c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9">
        <f>IF($A912="","",SUMIFS(Ventes_Encaissements!$D$6:$D$3005,Ventes_Encaissements!$B$6:$B$3005,$A912))</f>
        <v/>
      </c>
      <c r="J912" s="9">
        <f>IF($A912="","",$H912-$I912)</f>
        <v/>
      </c>
      <c r="K912" s="10">
        <f>IF($A912="","",IF($I912=0,"",_xludf.AGGREGATE(14,6,Ventes_Encaissements!$C$6:$C$3005/(Ventes_Encaissements!$B$6:$B$3005=$A912),1)))</f>
        <v/>
      </c>
      <c r="L912" s="11">
        <f>IF($A912="","",COUNTIFS(Ventes_Detail!$B$6:$B$3005,$A912))</f>
        <v/>
      </c>
      <c r="M912" s="12" t="n"/>
      <c r="N912" s="12">
        <f>IF($A912="","",IF($G912="","",IF($M912="Oui","Litige",IF($J912&lt;=0,"Payé",IF($I912&gt;0,"Partiel",IF(Listes!$B$3&gt;$G912,"En retard","À échoir"))))))</f>
        <v/>
      </c>
      <c r="O912" s="11">
        <f>IF($A912="","",IF(OR($G912="", $J912&lt;=0),0,MAX(0,Listes!$B$3-$G912)))</f>
        <v/>
      </c>
      <c r="P912" s="12">
        <f>IF($A912="","",IF($J912&lt;=0,"Payé",IF($M912="Oui","Litige",IF($O912=0,"À échoir",IF($O912&lt;=30,"0-30",IF($O912&lt;=60,"31-60",IF($O912&lt;=90,"61-90","90+")))))))</f>
        <v/>
      </c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9">
        <f>IF($A913="","",SUMIFS(Ventes_Encaissements!$D$6:$D$3005,Ventes_Encaissements!$B$6:$B$3005,$A913))</f>
        <v/>
      </c>
      <c r="J913" s="9">
        <f>IF($A913="","",$H913-$I913)</f>
        <v/>
      </c>
      <c r="K913" s="10">
        <f>IF($A913="","",IF($I913=0,"",_xludf.AGGREGATE(14,6,Ventes_Encaissements!$C$6:$C$3005/(Ventes_Encaissements!$B$6:$B$3005=$A913),1)))</f>
        <v/>
      </c>
      <c r="L913" s="11">
        <f>IF($A913="","",COUNTIFS(Ventes_Detail!$B$6:$B$3005,$A913))</f>
        <v/>
      </c>
      <c r="M913" s="12" t="n"/>
      <c r="N913" s="12">
        <f>IF($A913="","",IF($G913="","",IF($M913="Oui","Litige",IF($J913&lt;=0,"Payé",IF($I913&gt;0,"Partiel",IF(Listes!$B$3&gt;$G913,"En retard","À échoir"))))))</f>
        <v/>
      </c>
      <c r="O913" s="11">
        <f>IF($A913="","",IF(OR($G913="", $J913&lt;=0),0,MAX(0,Listes!$B$3-$G913)))</f>
        <v/>
      </c>
      <c r="P913" s="12">
        <f>IF($A913="","",IF($J913&lt;=0,"Payé",IF($M913="Oui","Litige",IF($O913=0,"À échoir",IF($O913&lt;=30,"0-30",IF($O913&lt;=60,"31-60",IF($O913&lt;=90,"61-90","90+")))))))</f>
        <v/>
      </c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9">
        <f>IF($A914="","",SUMIFS(Ventes_Encaissements!$D$6:$D$3005,Ventes_Encaissements!$B$6:$B$3005,$A914))</f>
        <v/>
      </c>
      <c r="J914" s="9">
        <f>IF($A914="","",$H914-$I914)</f>
        <v/>
      </c>
      <c r="K914" s="10">
        <f>IF($A914="","",IF($I914=0,"",_xludf.AGGREGATE(14,6,Ventes_Encaissements!$C$6:$C$3005/(Ventes_Encaissements!$B$6:$B$3005=$A914),1)))</f>
        <v/>
      </c>
      <c r="L914" s="11">
        <f>IF($A914="","",COUNTIFS(Ventes_Detail!$B$6:$B$3005,$A914))</f>
        <v/>
      </c>
      <c r="M914" s="12" t="n"/>
      <c r="N914" s="12">
        <f>IF($A914="","",IF($G914="","",IF($M914="Oui","Litige",IF($J914&lt;=0,"Payé",IF($I914&gt;0,"Partiel",IF(Listes!$B$3&gt;$G914,"En retard","À échoir"))))))</f>
        <v/>
      </c>
      <c r="O914" s="11">
        <f>IF($A914="","",IF(OR($G914="", $J914&lt;=0),0,MAX(0,Listes!$B$3-$G914)))</f>
        <v/>
      </c>
      <c r="P914" s="12">
        <f>IF($A914="","",IF($J914&lt;=0,"Payé",IF($M914="Oui","Litige",IF($O914=0,"À échoir",IF($O914&lt;=30,"0-30",IF($O914&lt;=60,"31-60",IF($O914&lt;=90,"61-90","90+")))))))</f>
        <v/>
      </c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9">
        <f>IF($A915="","",SUMIFS(Ventes_Encaissements!$D$6:$D$3005,Ventes_Encaissements!$B$6:$B$3005,$A915))</f>
        <v/>
      </c>
      <c r="J915" s="9">
        <f>IF($A915="","",$H915-$I915)</f>
        <v/>
      </c>
      <c r="K915" s="10">
        <f>IF($A915="","",IF($I915=0,"",_xludf.AGGREGATE(14,6,Ventes_Encaissements!$C$6:$C$3005/(Ventes_Encaissements!$B$6:$B$3005=$A915),1)))</f>
        <v/>
      </c>
      <c r="L915" s="11">
        <f>IF($A915="","",COUNTIFS(Ventes_Detail!$B$6:$B$3005,$A915))</f>
        <v/>
      </c>
      <c r="M915" s="12" t="n"/>
      <c r="N915" s="12">
        <f>IF($A915="","",IF($G915="","",IF($M915="Oui","Litige",IF($J915&lt;=0,"Payé",IF($I915&gt;0,"Partiel",IF(Listes!$B$3&gt;$G915,"En retard","À échoir"))))))</f>
        <v/>
      </c>
      <c r="O915" s="11">
        <f>IF($A915="","",IF(OR($G915="", $J915&lt;=0),0,MAX(0,Listes!$B$3-$G915)))</f>
        <v/>
      </c>
      <c r="P915" s="12">
        <f>IF($A915="","",IF($J915&lt;=0,"Payé",IF($M915="Oui","Litige",IF($O915=0,"À échoir",IF($O915&lt;=30,"0-30",IF($O915&lt;=60,"31-60",IF($O915&lt;=90,"61-90","90+")))))))</f>
        <v/>
      </c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9">
        <f>IF($A916="","",SUMIFS(Ventes_Encaissements!$D$6:$D$3005,Ventes_Encaissements!$B$6:$B$3005,$A916))</f>
        <v/>
      </c>
      <c r="J916" s="9">
        <f>IF($A916="","",$H916-$I916)</f>
        <v/>
      </c>
      <c r="K916" s="10">
        <f>IF($A916="","",IF($I916=0,"",_xludf.AGGREGATE(14,6,Ventes_Encaissements!$C$6:$C$3005/(Ventes_Encaissements!$B$6:$B$3005=$A916),1)))</f>
        <v/>
      </c>
      <c r="L916" s="11">
        <f>IF($A916="","",COUNTIFS(Ventes_Detail!$B$6:$B$3005,$A916))</f>
        <v/>
      </c>
      <c r="M916" s="12" t="n"/>
      <c r="N916" s="12">
        <f>IF($A916="","",IF($G916="","",IF($M916="Oui","Litige",IF($J916&lt;=0,"Payé",IF($I916&gt;0,"Partiel",IF(Listes!$B$3&gt;$G916,"En retard","À échoir"))))))</f>
        <v/>
      </c>
      <c r="O916" s="11">
        <f>IF($A916="","",IF(OR($G916="", $J916&lt;=0),0,MAX(0,Listes!$B$3-$G916)))</f>
        <v/>
      </c>
      <c r="P916" s="12">
        <f>IF($A916="","",IF($J916&lt;=0,"Payé",IF($M916="Oui","Litige",IF($O916=0,"À échoir",IF($O916&lt;=30,"0-30",IF($O916&lt;=60,"31-60",IF($O916&lt;=90,"61-90","90+")))))))</f>
        <v/>
      </c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9">
        <f>IF($A917="","",SUMIFS(Ventes_Encaissements!$D$6:$D$3005,Ventes_Encaissements!$B$6:$B$3005,$A917))</f>
        <v/>
      </c>
      <c r="J917" s="9">
        <f>IF($A917="","",$H917-$I917)</f>
        <v/>
      </c>
      <c r="K917" s="10">
        <f>IF($A917="","",IF($I917=0,"",_xludf.AGGREGATE(14,6,Ventes_Encaissements!$C$6:$C$3005/(Ventes_Encaissements!$B$6:$B$3005=$A917),1)))</f>
        <v/>
      </c>
      <c r="L917" s="11">
        <f>IF($A917="","",COUNTIFS(Ventes_Detail!$B$6:$B$3005,$A917))</f>
        <v/>
      </c>
      <c r="M917" s="12" t="n"/>
      <c r="N917" s="12">
        <f>IF($A917="","",IF($G917="","",IF($M917="Oui","Litige",IF($J917&lt;=0,"Payé",IF($I917&gt;0,"Partiel",IF(Listes!$B$3&gt;$G917,"En retard","À échoir"))))))</f>
        <v/>
      </c>
      <c r="O917" s="11">
        <f>IF($A917="","",IF(OR($G917="", $J917&lt;=0),0,MAX(0,Listes!$B$3-$G917)))</f>
        <v/>
      </c>
      <c r="P917" s="12">
        <f>IF($A917="","",IF($J917&lt;=0,"Payé",IF($M917="Oui","Litige",IF($O917=0,"À échoir",IF($O917&lt;=30,"0-30",IF($O917&lt;=60,"31-60",IF($O917&lt;=90,"61-90","90+")))))))</f>
        <v/>
      </c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9">
        <f>IF($A918="","",SUMIFS(Ventes_Encaissements!$D$6:$D$3005,Ventes_Encaissements!$B$6:$B$3005,$A918))</f>
        <v/>
      </c>
      <c r="J918" s="9">
        <f>IF($A918="","",$H918-$I918)</f>
        <v/>
      </c>
      <c r="K918" s="10">
        <f>IF($A918="","",IF($I918=0,"",_xludf.AGGREGATE(14,6,Ventes_Encaissements!$C$6:$C$3005/(Ventes_Encaissements!$B$6:$B$3005=$A918),1)))</f>
        <v/>
      </c>
      <c r="L918" s="11">
        <f>IF($A918="","",COUNTIFS(Ventes_Detail!$B$6:$B$3005,$A918))</f>
        <v/>
      </c>
      <c r="M918" s="12" t="n"/>
      <c r="N918" s="12">
        <f>IF($A918="","",IF($G918="","",IF($M918="Oui","Litige",IF($J918&lt;=0,"Payé",IF($I918&gt;0,"Partiel",IF(Listes!$B$3&gt;$G918,"En retard","À échoir"))))))</f>
        <v/>
      </c>
      <c r="O918" s="11">
        <f>IF($A918="","",IF(OR($G918="", $J918&lt;=0),0,MAX(0,Listes!$B$3-$G918)))</f>
        <v/>
      </c>
      <c r="P918" s="12">
        <f>IF($A918="","",IF($J918&lt;=0,"Payé",IF($M918="Oui","Litige",IF($O918=0,"À échoir",IF($O918&lt;=30,"0-30",IF($O918&lt;=60,"31-60",IF($O918&lt;=90,"61-90","90+")))))))</f>
        <v/>
      </c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9">
        <f>IF($A919="","",SUMIFS(Ventes_Encaissements!$D$6:$D$3005,Ventes_Encaissements!$B$6:$B$3005,$A919))</f>
        <v/>
      </c>
      <c r="J919" s="9">
        <f>IF($A919="","",$H919-$I919)</f>
        <v/>
      </c>
      <c r="K919" s="10">
        <f>IF($A919="","",IF($I919=0,"",_xludf.AGGREGATE(14,6,Ventes_Encaissements!$C$6:$C$3005/(Ventes_Encaissements!$B$6:$B$3005=$A919),1)))</f>
        <v/>
      </c>
      <c r="L919" s="11">
        <f>IF($A919="","",COUNTIFS(Ventes_Detail!$B$6:$B$3005,$A919))</f>
        <v/>
      </c>
      <c r="M919" s="12" t="n"/>
      <c r="N919" s="12">
        <f>IF($A919="","",IF($G919="","",IF($M919="Oui","Litige",IF($J919&lt;=0,"Payé",IF($I919&gt;0,"Partiel",IF(Listes!$B$3&gt;$G919,"En retard","À échoir"))))))</f>
        <v/>
      </c>
      <c r="O919" s="11">
        <f>IF($A919="","",IF(OR($G919="", $J919&lt;=0),0,MAX(0,Listes!$B$3-$G919)))</f>
        <v/>
      </c>
      <c r="P919" s="12">
        <f>IF($A919="","",IF($J919&lt;=0,"Payé",IF($M919="Oui","Litige",IF($O919=0,"À échoir",IF($O919&lt;=30,"0-30",IF($O919&lt;=60,"31-60",IF($O919&lt;=90,"61-90","90+")))))))</f>
        <v/>
      </c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9">
        <f>IF($A920="","",SUMIFS(Ventes_Encaissements!$D$6:$D$3005,Ventes_Encaissements!$B$6:$B$3005,$A920))</f>
        <v/>
      </c>
      <c r="J920" s="9">
        <f>IF($A920="","",$H920-$I920)</f>
        <v/>
      </c>
      <c r="K920" s="10">
        <f>IF($A920="","",IF($I920=0,"",_xludf.AGGREGATE(14,6,Ventes_Encaissements!$C$6:$C$3005/(Ventes_Encaissements!$B$6:$B$3005=$A920),1)))</f>
        <v/>
      </c>
      <c r="L920" s="11">
        <f>IF($A920="","",COUNTIFS(Ventes_Detail!$B$6:$B$3005,$A920))</f>
        <v/>
      </c>
      <c r="M920" s="12" t="n"/>
      <c r="N920" s="12">
        <f>IF($A920="","",IF($G920="","",IF($M920="Oui","Litige",IF($J920&lt;=0,"Payé",IF($I920&gt;0,"Partiel",IF(Listes!$B$3&gt;$G920,"En retard","À échoir"))))))</f>
        <v/>
      </c>
      <c r="O920" s="11">
        <f>IF($A920="","",IF(OR($G920="", $J920&lt;=0),0,MAX(0,Listes!$B$3-$G920)))</f>
        <v/>
      </c>
      <c r="P920" s="12">
        <f>IF($A920="","",IF($J920&lt;=0,"Payé",IF($M920="Oui","Litige",IF($O920=0,"À échoir",IF($O920&lt;=30,"0-30",IF($O920&lt;=60,"31-60",IF($O920&lt;=90,"61-90","90+")))))))</f>
        <v/>
      </c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9">
        <f>IF($A921="","",SUMIFS(Ventes_Encaissements!$D$6:$D$3005,Ventes_Encaissements!$B$6:$B$3005,$A921))</f>
        <v/>
      </c>
      <c r="J921" s="9">
        <f>IF($A921="","",$H921-$I921)</f>
        <v/>
      </c>
      <c r="K921" s="10">
        <f>IF($A921="","",IF($I921=0,"",_xludf.AGGREGATE(14,6,Ventes_Encaissements!$C$6:$C$3005/(Ventes_Encaissements!$B$6:$B$3005=$A921),1)))</f>
        <v/>
      </c>
      <c r="L921" s="11">
        <f>IF($A921="","",COUNTIFS(Ventes_Detail!$B$6:$B$3005,$A921))</f>
        <v/>
      </c>
      <c r="M921" s="12" t="n"/>
      <c r="N921" s="12">
        <f>IF($A921="","",IF($G921="","",IF($M921="Oui","Litige",IF($J921&lt;=0,"Payé",IF($I921&gt;0,"Partiel",IF(Listes!$B$3&gt;$G921,"En retard","À échoir"))))))</f>
        <v/>
      </c>
      <c r="O921" s="11">
        <f>IF($A921="","",IF(OR($G921="", $J921&lt;=0),0,MAX(0,Listes!$B$3-$G921)))</f>
        <v/>
      </c>
      <c r="P921" s="12">
        <f>IF($A921="","",IF($J921&lt;=0,"Payé",IF($M921="Oui","Litige",IF($O921=0,"À échoir",IF($O921&lt;=30,"0-30",IF($O921&lt;=60,"31-60",IF($O921&lt;=90,"61-90","90+")))))))</f>
        <v/>
      </c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9">
        <f>IF($A922="","",SUMIFS(Ventes_Encaissements!$D$6:$D$3005,Ventes_Encaissements!$B$6:$B$3005,$A922))</f>
        <v/>
      </c>
      <c r="J922" s="9">
        <f>IF($A922="","",$H922-$I922)</f>
        <v/>
      </c>
      <c r="K922" s="10">
        <f>IF($A922="","",IF($I922=0,"",_xludf.AGGREGATE(14,6,Ventes_Encaissements!$C$6:$C$3005/(Ventes_Encaissements!$B$6:$B$3005=$A922),1)))</f>
        <v/>
      </c>
      <c r="L922" s="11">
        <f>IF($A922="","",COUNTIFS(Ventes_Detail!$B$6:$B$3005,$A922))</f>
        <v/>
      </c>
      <c r="M922" s="12" t="n"/>
      <c r="N922" s="12">
        <f>IF($A922="","",IF($G922="","",IF($M922="Oui","Litige",IF($J922&lt;=0,"Payé",IF($I922&gt;0,"Partiel",IF(Listes!$B$3&gt;$G922,"En retard","À échoir"))))))</f>
        <v/>
      </c>
      <c r="O922" s="11">
        <f>IF($A922="","",IF(OR($G922="", $J922&lt;=0),0,MAX(0,Listes!$B$3-$G922)))</f>
        <v/>
      </c>
      <c r="P922" s="12">
        <f>IF($A922="","",IF($J922&lt;=0,"Payé",IF($M922="Oui","Litige",IF($O922=0,"À échoir",IF($O922&lt;=30,"0-30",IF($O922&lt;=60,"31-60",IF($O922&lt;=90,"61-90","90+")))))))</f>
        <v/>
      </c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9">
        <f>IF($A923="","",SUMIFS(Ventes_Encaissements!$D$6:$D$3005,Ventes_Encaissements!$B$6:$B$3005,$A923))</f>
        <v/>
      </c>
      <c r="J923" s="9">
        <f>IF($A923="","",$H923-$I923)</f>
        <v/>
      </c>
      <c r="K923" s="10">
        <f>IF($A923="","",IF($I923=0,"",_xludf.AGGREGATE(14,6,Ventes_Encaissements!$C$6:$C$3005/(Ventes_Encaissements!$B$6:$B$3005=$A923),1)))</f>
        <v/>
      </c>
      <c r="L923" s="11">
        <f>IF($A923="","",COUNTIFS(Ventes_Detail!$B$6:$B$3005,$A923))</f>
        <v/>
      </c>
      <c r="M923" s="12" t="n"/>
      <c r="N923" s="12">
        <f>IF($A923="","",IF($G923="","",IF($M923="Oui","Litige",IF($J923&lt;=0,"Payé",IF($I923&gt;0,"Partiel",IF(Listes!$B$3&gt;$G923,"En retard","À échoir"))))))</f>
        <v/>
      </c>
      <c r="O923" s="11">
        <f>IF($A923="","",IF(OR($G923="", $J923&lt;=0),0,MAX(0,Listes!$B$3-$G923)))</f>
        <v/>
      </c>
      <c r="P923" s="12">
        <f>IF($A923="","",IF($J923&lt;=0,"Payé",IF($M923="Oui","Litige",IF($O923=0,"À échoir",IF($O923&lt;=30,"0-30",IF($O923&lt;=60,"31-60",IF($O923&lt;=90,"61-90","90+")))))))</f>
        <v/>
      </c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9">
        <f>IF($A924="","",SUMIFS(Ventes_Encaissements!$D$6:$D$3005,Ventes_Encaissements!$B$6:$B$3005,$A924))</f>
        <v/>
      </c>
      <c r="J924" s="9">
        <f>IF($A924="","",$H924-$I924)</f>
        <v/>
      </c>
      <c r="K924" s="10">
        <f>IF($A924="","",IF($I924=0,"",_xludf.AGGREGATE(14,6,Ventes_Encaissements!$C$6:$C$3005/(Ventes_Encaissements!$B$6:$B$3005=$A924),1)))</f>
        <v/>
      </c>
      <c r="L924" s="11">
        <f>IF($A924="","",COUNTIFS(Ventes_Detail!$B$6:$B$3005,$A924))</f>
        <v/>
      </c>
      <c r="M924" s="12" t="n"/>
      <c r="N924" s="12">
        <f>IF($A924="","",IF($G924="","",IF($M924="Oui","Litige",IF($J924&lt;=0,"Payé",IF($I924&gt;0,"Partiel",IF(Listes!$B$3&gt;$G924,"En retard","À échoir"))))))</f>
        <v/>
      </c>
      <c r="O924" s="11">
        <f>IF($A924="","",IF(OR($G924="", $J924&lt;=0),0,MAX(0,Listes!$B$3-$G924)))</f>
        <v/>
      </c>
      <c r="P924" s="12">
        <f>IF($A924="","",IF($J924&lt;=0,"Payé",IF($M924="Oui","Litige",IF($O924=0,"À échoir",IF($O924&lt;=30,"0-30",IF($O924&lt;=60,"31-60",IF($O924&lt;=90,"61-90","90+")))))))</f>
        <v/>
      </c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9">
        <f>IF($A925="","",SUMIFS(Ventes_Encaissements!$D$6:$D$3005,Ventes_Encaissements!$B$6:$B$3005,$A925))</f>
        <v/>
      </c>
      <c r="J925" s="9">
        <f>IF($A925="","",$H925-$I925)</f>
        <v/>
      </c>
      <c r="K925" s="10">
        <f>IF($A925="","",IF($I925=0,"",_xludf.AGGREGATE(14,6,Ventes_Encaissements!$C$6:$C$3005/(Ventes_Encaissements!$B$6:$B$3005=$A925),1)))</f>
        <v/>
      </c>
      <c r="L925" s="11">
        <f>IF($A925="","",COUNTIFS(Ventes_Detail!$B$6:$B$3005,$A925))</f>
        <v/>
      </c>
      <c r="M925" s="12" t="n"/>
      <c r="N925" s="12">
        <f>IF($A925="","",IF($G925="","",IF($M925="Oui","Litige",IF($J925&lt;=0,"Payé",IF($I925&gt;0,"Partiel",IF(Listes!$B$3&gt;$G925,"En retard","À échoir"))))))</f>
        <v/>
      </c>
      <c r="O925" s="11">
        <f>IF($A925="","",IF(OR($G925="", $J925&lt;=0),0,MAX(0,Listes!$B$3-$G925)))</f>
        <v/>
      </c>
      <c r="P925" s="12">
        <f>IF($A925="","",IF($J925&lt;=0,"Payé",IF($M925="Oui","Litige",IF($O925=0,"À échoir",IF($O925&lt;=30,"0-30",IF($O925&lt;=60,"31-60",IF($O925&lt;=90,"61-90","90+")))))))</f>
        <v/>
      </c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9">
        <f>IF($A926="","",SUMIFS(Ventes_Encaissements!$D$6:$D$3005,Ventes_Encaissements!$B$6:$B$3005,$A926))</f>
        <v/>
      </c>
      <c r="J926" s="9">
        <f>IF($A926="","",$H926-$I926)</f>
        <v/>
      </c>
      <c r="K926" s="10">
        <f>IF($A926="","",IF($I926=0,"",_xludf.AGGREGATE(14,6,Ventes_Encaissements!$C$6:$C$3005/(Ventes_Encaissements!$B$6:$B$3005=$A926),1)))</f>
        <v/>
      </c>
      <c r="L926" s="11">
        <f>IF($A926="","",COUNTIFS(Ventes_Detail!$B$6:$B$3005,$A926))</f>
        <v/>
      </c>
      <c r="M926" s="12" t="n"/>
      <c r="N926" s="12">
        <f>IF($A926="","",IF($G926="","",IF($M926="Oui","Litige",IF($J926&lt;=0,"Payé",IF($I926&gt;0,"Partiel",IF(Listes!$B$3&gt;$G926,"En retard","À échoir"))))))</f>
        <v/>
      </c>
      <c r="O926" s="11">
        <f>IF($A926="","",IF(OR($G926="", $J926&lt;=0),0,MAX(0,Listes!$B$3-$G926)))</f>
        <v/>
      </c>
      <c r="P926" s="12">
        <f>IF($A926="","",IF($J926&lt;=0,"Payé",IF($M926="Oui","Litige",IF($O926=0,"À échoir",IF($O926&lt;=30,"0-30",IF($O926&lt;=60,"31-60",IF($O926&lt;=90,"61-90","90+")))))))</f>
        <v/>
      </c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9">
        <f>IF($A927="","",SUMIFS(Ventes_Encaissements!$D$6:$D$3005,Ventes_Encaissements!$B$6:$B$3005,$A927))</f>
        <v/>
      </c>
      <c r="J927" s="9">
        <f>IF($A927="","",$H927-$I927)</f>
        <v/>
      </c>
      <c r="K927" s="10">
        <f>IF($A927="","",IF($I927=0,"",_xludf.AGGREGATE(14,6,Ventes_Encaissements!$C$6:$C$3005/(Ventes_Encaissements!$B$6:$B$3005=$A927),1)))</f>
        <v/>
      </c>
      <c r="L927" s="11">
        <f>IF($A927="","",COUNTIFS(Ventes_Detail!$B$6:$B$3005,$A927))</f>
        <v/>
      </c>
      <c r="M927" s="12" t="n"/>
      <c r="N927" s="12">
        <f>IF($A927="","",IF($G927="","",IF($M927="Oui","Litige",IF($J927&lt;=0,"Payé",IF($I927&gt;0,"Partiel",IF(Listes!$B$3&gt;$G927,"En retard","À échoir"))))))</f>
        <v/>
      </c>
      <c r="O927" s="11">
        <f>IF($A927="","",IF(OR($G927="", $J927&lt;=0),0,MAX(0,Listes!$B$3-$G927)))</f>
        <v/>
      </c>
      <c r="P927" s="12">
        <f>IF($A927="","",IF($J927&lt;=0,"Payé",IF($M927="Oui","Litige",IF($O927=0,"À échoir",IF($O927&lt;=30,"0-30",IF($O927&lt;=60,"31-60",IF($O927&lt;=90,"61-90","90+")))))))</f>
        <v/>
      </c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9">
        <f>IF($A928="","",SUMIFS(Ventes_Encaissements!$D$6:$D$3005,Ventes_Encaissements!$B$6:$B$3005,$A928))</f>
        <v/>
      </c>
      <c r="J928" s="9">
        <f>IF($A928="","",$H928-$I928)</f>
        <v/>
      </c>
      <c r="K928" s="10">
        <f>IF($A928="","",IF($I928=0,"",_xludf.AGGREGATE(14,6,Ventes_Encaissements!$C$6:$C$3005/(Ventes_Encaissements!$B$6:$B$3005=$A928),1)))</f>
        <v/>
      </c>
      <c r="L928" s="11">
        <f>IF($A928="","",COUNTIFS(Ventes_Detail!$B$6:$B$3005,$A928))</f>
        <v/>
      </c>
      <c r="M928" s="12" t="n"/>
      <c r="N928" s="12">
        <f>IF($A928="","",IF($G928="","",IF($M928="Oui","Litige",IF($J928&lt;=0,"Payé",IF($I928&gt;0,"Partiel",IF(Listes!$B$3&gt;$G928,"En retard","À échoir"))))))</f>
        <v/>
      </c>
      <c r="O928" s="11">
        <f>IF($A928="","",IF(OR($G928="", $J928&lt;=0),0,MAX(0,Listes!$B$3-$G928)))</f>
        <v/>
      </c>
      <c r="P928" s="12">
        <f>IF($A928="","",IF($J928&lt;=0,"Payé",IF($M928="Oui","Litige",IF($O928=0,"À échoir",IF($O928&lt;=30,"0-30",IF($O928&lt;=60,"31-60",IF($O928&lt;=90,"61-90","90+")))))))</f>
        <v/>
      </c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9">
        <f>IF($A929="","",SUMIFS(Ventes_Encaissements!$D$6:$D$3005,Ventes_Encaissements!$B$6:$B$3005,$A929))</f>
        <v/>
      </c>
      <c r="J929" s="9">
        <f>IF($A929="","",$H929-$I929)</f>
        <v/>
      </c>
      <c r="K929" s="10">
        <f>IF($A929="","",IF($I929=0,"",_xludf.AGGREGATE(14,6,Ventes_Encaissements!$C$6:$C$3005/(Ventes_Encaissements!$B$6:$B$3005=$A929),1)))</f>
        <v/>
      </c>
      <c r="L929" s="11">
        <f>IF($A929="","",COUNTIFS(Ventes_Detail!$B$6:$B$3005,$A929))</f>
        <v/>
      </c>
      <c r="M929" s="12" t="n"/>
      <c r="N929" s="12">
        <f>IF($A929="","",IF($G929="","",IF($M929="Oui","Litige",IF($J929&lt;=0,"Payé",IF($I929&gt;0,"Partiel",IF(Listes!$B$3&gt;$G929,"En retard","À échoir"))))))</f>
        <v/>
      </c>
      <c r="O929" s="11">
        <f>IF($A929="","",IF(OR($G929="", $J929&lt;=0),0,MAX(0,Listes!$B$3-$G929)))</f>
        <v/>
      </c>
      <c r="P929" s="12">
        <f>IF($A929="","",IF($J929&lt;=0,"Payé",IF($M929="Oui","Litige",IF($O929=0,"À échoir",IF($O929&lt;=30,"0-30",IF($O929&lt;=60,"31-60",IF($O929&lt;=90,"61-90","90+")))))))</f>
        <v/>
      </c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9">
        <f>IF($A930="","",SUMIFS(Ventes_Encaissements!$D$6:$D$3005,Ventes_Encaissements!$B$6:$B$3005,$A930))</f>
        <v/>
      </c>
      <c r="J930" s="9">
        <f>IF($A930="","",$H930-$I930)</f>
        <v/>
      </c>
      <c r="K930" s="10">
        <f>IF($A930="","",IF($I930=0,"",_xludf.AGGREGATE(14,6,Ventes_Encaissements!$C$6:$C$3005/(Ventes_Encaissements!$B$6:$B$3005=$A930),1)))</f>
        <v/>
      </c>
      <c r="L930" s="11">
        <f>IF($A930="","",COUNTIFS(Ventes_Detail!$B$6:$B$3005,$A930))</f>
        <v/>
      </c>
      <c r="M930" s="12" t="n"/>
      <c r="N930" s="12">
        <f>IF($A930="","",IF($G930="","",IF($M930="Oui","Litige",IF($J930&lt;=0,"Payé",IF($I930&gt;0,"Partiel",IF(Listes!$B$3&gt;$G930,"En retard","À échoir"))))))</f>
        <v/>
      </c>
      <c r="O930" s="11">
        <f>IF($A930="","",IF(OR($G930="", $J930&lt;=0),0,MAX(0,Listes!$B$3-$G930)))</f>
        <v/>
      </c>
      <c r="P930" s="12">
        <f>IF($A930="","",IF($J930&lt;=0,"Payé",IF($M930="Oui","Litige",IF($O930=0,"À échoir",IF($O930&lt;=30,"0-30",IF($O930&lt;=60,"31-60",IF($O930&lt;=90,"61-90","90+")))))))</f>
        <v/>
      </c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9">
        <f>IF($A931="","",SUMIFS(Ventes_Encaissements!$D$6:$D$3005,Ventes_Encaissements!$B$6:$B$3005,$A931))</f>
        <v/>
      </c>
      <c r="J931" s="9">
        <f>IF($A931="","",$H931-$I931)</f>
        <v/>
      </c>
      <c r="K931" s="10">
        <f>IF($A931="","",IF($I931=0,"",_xludf.AGGREGATE(14,6,Ventes_Encaissements!$C$6:$C$3005/(Ventes_Encaissements!$B$6:$B$3005=$A931),1)))</f>
        <v/>
      </c>
      <c r="L931" s="11">
        <f>IF($A931="","",COUNTIFS(Ventes_Detail!$B$6:$B$3005,$A931))</f>
        <v/>
      </c>
      <c r="M931" s="12" t="n"/>
      <c r="N931" s="12">
        <f>IF($A931="","",IF($G931="","",IF($M931="Oui","Litige",IF($J931&lt;=0,"Payé",IF($I931&gt;0,"Partiel",IF(Listes!$B$3&gt;$G931,"En retard","À échoir"))))))</f>
        <v/>
      </c>
      <c r="O931" s="11">
        <f>IF($A931="","",IF(OR($G931="", $J931&lt;=0),0,MAX(0,Listes!$B$3-$G931)))</f>
        <v/>
      </c>
      <c r="P931" s="12">
        <f>IF($A931="","",IF($J931&lt;=0,"Payé",IF($M931="Oui","Litige",IF($O931=0,"À échoir",IF($O931&lt;=30,"0-30",IF($O931&lt;=60,"31-60",IF($O931&lt;=90,"61-90","90+")))))))</f>
        <v/>
      </c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9">
        <f>IF($A932="","",SUMIFS(Ventes_Encaissements!$D$6:$D$3005,Ventes_Encaissements!$B$6:$B$3005,$A932))</f>
        <v/>
      </c>
      <c r="J932" s="9">
        <f>IF($A932="","",$H932-$I932)</f>
        <v/>
      </c>
      <c r="K932" s="10">
        <f>IF($A932="","",IF($I932=0,"",_xludf.AGGREGATE(14,6,Ventes_Encaissements!$C$6:$C$3005/(Ventes_Encaissements!$B$6:$B$3005=$A932),1)))</f>
        <v/>
      </c>
      <c r="L932" s="11">
        <f>IF($A932="","",COUNTIFS(Ventes_Detail!$B$6:$B$3005,$A932))</f>
        <v/>
      </c>
      <c r="M932" s="12" t="n"/>
      <c r="N932" s="12">
        <f>IF($A932="","",IF($G932="","",IF($M932="Oui","Litige",IF($J932&lt;=0,"Payé",IF($I932&gt;0,"Partiel",IF(Listes!$B$3&gt;$G932,"En retard","À échoir"))))))</f>
        <v/>
      </c>
      <c r="O932" s="11">
        <f>IF($A932="","",IF(OR($G932="", $J932&lt;=0),0,MAX(0,Listes!$B$3-$G932)))</f>
        <v/>
      </c>
      <c r="P932" s="12">
        <f>IF($A932="","",IF($J932&lt;=0,"Payé",IF($M932="Oui","Litige",IF($O932=0,"À échoir",IF($O932&lt;=30,"0-30",IF($O932&lt;=60,"31-60",IF($O932&lt;=90,"61-90","90+")))))))</f>
        <v/>
      </c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9">
        <f>IF($A933="","",SUMIFS(Ventes_Encaissements!$D$6:$D$3005,Ventes_Encaissements!$B$6:$B$3005,$A933))</f>
        <v/>
      </c>
      <c r="J933" s="9">
        <f>IF($A933="","",$H933-$I933)</f>
        <v/>
      </c>
      <c r="K933" s="10">
        <f>IF($A933="","",IF($I933=0,"",_xludf.AGGREGATE(14,6,Ventes_Encaissements!$C$6:$C$3005/(Ventes_Encaissements!$B$6:$B$3005=$A933),1)))</f>
        <v/>
      </c>
      <c r="L933" s="11">
        <f>IF($A933="","",COUNTIFS(Ventes_Detail!$B$6:$B$3005,$A933))</f>
        <v/>
      </c>
      <c r="M933" s="12" t="n"/>
      <c r="N933" s="12">
        <f>IF($A933="","",IF($G933="","",IF($M933="Oui","Litige",IF($J933&lt;=0,"Payé",IF($I933&gt;0,"Partiel",IF(Listes!$B$3&gt;$G933,"En retard","À échoir"))))))</f>
        <v/>
      </c>
      <c r="O933" s="11">
        <f>IF($A933="","",IF(OR($G933="", $J933&lt;=0),0,MAX(0,Listes!$B$3-$G933)))</f>
        <v/>
      </c>
      <c r="P933" s="12">
        <f>IF($A933="","",IF($J933&lt;=0,"Payé",IF($M933="Oui","Litige",IF($O933=0,"À échoir",IF($O933&lt;=30,"0-30",IF($O933&lt;=60,"31-60",IF($O933&lt;=90,"61-90","90+")))))))</f>
        <v/>
      </c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9">
        <f>IF($A934="","",SUMIFS(Ventes_Encaissements!$D$6:$D$3005,Ventes_Encaissements!$B$6:$B$3005,$A934))</f>
        <v/>
      </c>
      <c r="J934" s="9">
        <f>IF($A934="","",$H934-$I934)</f>
        <v/>
      </c>
      <c r="K934" s="10">
        <f>IF($A934="","",IF($I934=0,"",_xludf.AGGREGATE(14,6,Ventes_Encaissements!$C$6:$C$3005/(Ventes_Encaissements!$B$6:$B$3005=$A934),1)))</f>
        <v/>
      </c>
      <c r="L934" s="11">
        <f>IF($A934="","",COUNTIFS(Ventes_Detail!$B$6:$B$3005,$A934))</f>
        <v/>
      </c>
      <c r="M934" s="12" t="n"/>
      <c r="N934" s="12">
        <f>IF($A934="","",IF($G934="","",IF($M934="Oui","Litige",IF($J934&lt;=0,"Payé",IF($I934&gt;0,"Partiel",IF(Listes!$B$3&gt;$G934,"En retard","À échoir"))))))</f>
        <v/>
      </c>
      <c r="O934" s="11">
        <f>IF($A934="","",IF(OR($G934="", $J934&lt;=0),0,MAX(0,Listes!$B$3-$G934)))</f>
        <v/>
      </c>
      <c r="P934" s="12">
        <f>IF($A934="","",IF($J934&lt;=0,"Payé",IF($M934="Oui","Litige",IF($O934=0,"À échoir",IF($O934&lt;=30,"0-30",IF($O934&lt;=60,"31-60",IF($O934&lt;=90,"61-90","90+")))))))</f>
        <v/>
      </c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9">
        <f>IF($A935="","",SUMIFS(Ventes_Encaissements!$D$6:$D$3005,Ventes_Encaissements!$B$6:$B$3005,$A935))</f>
        <v/>
      </c>
      <c r="J935" s="9">
        <f>IF($A935="","",$H935-$I935)</f>
        <v/>
      </c>
      <c r="K935" s="10">
        <f>IF($A935="","",IF($I935=0,"",_xludf.AGGREGATE(14,6,Ventes_Encaissements!$C$6:$C$3005/(Ventes_Encaissements!$B$6:$B$3005=$A935),1)))</f>
        <v/>
      </c>
      <c r="L935" s="11">
        <f>IF($A935="","",COUNTIFS(Ventes_Detail!$B$6:$B$3005,$A935))</f>
        <v/>
      </c>
      <c r="M935" s="12" t="n"/>
      <c r="N935" s="12">
        <f>IF($A935="","",IF($G935="","",IF($M935="Oui","Litige",IF($J935&lt;=0,"Payé",IF($I935&gt;0,"Partiel",IF(Listes!$B$3&gt;$G935,"En retard","À échoir"))))))</f>
        <v/>
      </c>
      <c r="O935" s="11">
        <f>IF($A935="","",IF(OR($G935="", $J935&lt;=0),0,MAX(0,Listes!$B$3-$G935)))</f>
        <v/>
      </c>
      <c r="P935" s="12">
        <f>IF($A935="","",IF($J935&lt;=0,"Payé",IF($M935="Oui","Litige",IF($O935=0,"À échoir",IF($O935&lt;=30,"0-30",IF($O935&lt;=60,"31-60",IF($O935&lt;=90,"61-90","90+")))))))</f>
        <v/>
      </c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9">
        <f>IF($A936="","",SUMIFS(Ventes_Encaissements!$D$6:$D$3005,Ventes_Encaissements!$B$6:$B$3005,$A936))</f>
        <v/>
      </c>
      <c r="J936" s="9">
        <f>IF($A936="","",$H936-$I936)</f>
        <v/>
      </c>
      <c r="K936" s="10">
        <f>IF($A936="","",IF($I936=0,"",_xludf.AGGREGATE(14,6,Ventes_Encaissements!$C$6:$C$3005/(Ventes_Encaissements!$B$6:$B$3005=$A936),1)))</f>
        <v/>
      </c>
      <c r="L936" s="11">
        <f>IF($A936="","",COUNTIFS(Ventes_Detail!$B$6:$B$3005,$A936))</f>
        <v/>
      </c>
      <c r="M936" s="12" t="n"/>
      <c r="N936" s="12">
        <f>IF($A936="","",IF($G936="","",IF($M936="Oui","Litige",IF($J936&lt;=0,"Payé",IF($I936&gt;0,"Partiel",IF(Listes!$B$3&gt;$G936,"En retard","À échoir"))))))</f>
        <v/>
      </c>
      <c r="O936" s="11">
        <f>IF($A936="","",IF(OR($G936="", $J936&lt;=0),0,MAX(0,Listes!$B$3-$G936)))</f>
        <v/>
      </c>
      <c r="P936" s="12">
        <f>IF($A936="","",IF($J936&lt;=0,"Payé",IF($M936="Oui","Litige",IF($O936=0,"À échoir",IF($O936&lt;=30,"0-30",IF($O936&lt;=60,"31-60",IF($O936&lt;=90,"61-90","90+")))))))</f>
        <v/>
      </c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9">
        <f>IF($A937="","",SUMIFS(Ventes_Encaissements!$D$6:$D$3005,Ventes_Encaissements!$B$6:$B$3005,$A937))</f>
        <v/>
      </c>
      <c r="J937" s="9">
        <f>IF($A937="","",$H937-$I937)</f>
        <v/>
      </c>
      <c r="K937" s="10">
        <f>IF($A937="","",IF($I937=0,"",_xludf.AGGREGATE(14,6,Ventes_Encaissements!$C$6:$C$3005/(Ventes_Encaissements!$B$6:$B$3005=$A937),1)))</f>
        <v/>
      </c>
      <c r="L937" s="11">
        <f>IF($A937="","",COUNTIFS(Ventes_Detail!$B$6:$B$3005,$A937))</f>
        <v/>
      </c>
      <c r="M937" s="12" t="n"/>
      <c r="N937" s="12">
        <f>IF($A937="","",IF($G937="","",IF($M937="Oui","Litige",IF($J937&lt;=0,"Payé",IF($I937&gt;0,"Partiel",IF(Listes!$B$3&gt;$G937,"En retard","À échoir"))))))</f>
        <v/>
      </c>
      <c r="O937" s="11">
        <f>IF($A937="","",IF(OR($G937="", $J937&lt;=0),0,MAX(0,Listes!$B$3-$G937)))</f>
        <v/>
      </c>
      <c r="P937" s="12">
        <f>IF($A937="","",IF($J937&lt;=0,"Payé",IF($M937="Oui","Litige",IF($O937=0,"À échoir",IF($O937&lt;=30,"0-30",IF($O937&lt;=60,"31-60",IF($O937&lt;=90,"61-90","90+")))))))</f>
        <v/>
      </c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9">
        <f>IF($A938="","",SUMIFS(Ventes_Encaissements!$D$6:$D$3005,Ventes_Encaissements!$B$6:$B$3005,$A938))</f>
        <v/>
      </c>
      <c r="J938" s="9">
        <f>IF($A938="","",$H938-$I938)</f>
        <v/>
      </c>
      <c r="K938" s="10">
        <f>IF($A938="","",IF($I938=0,"",_xludf.AGGREGATE(14,6,Ventes_Encaissements!$C$6:$C$3005/(Ventes_Encaissements!$B$6:$B$3005=$A938),1)))</f>
        <v/>
      </c>
      <c r="L938" s="11">
        <f>IF($A938="","",COUNTIFS(Ventes_Detail!$B$6:$B$3005,$A938))</f>
        <v/>
      </c>
      <c r="M938" s="12" t="n"/>
      <c r="N938" s="12">
        <f>IF($A938="","",IF($G938="","",IF($M938="Oui","Litige",IF($J938&lt;=0,"Payé",IF($I938&gt;0,"Partiel",IF(Listes!$B$3&gt;$G938,"En retard","À échoir"))))))</f>
        <v/>
      </c>
      <c r="O938" s="11">
        <f>IF($A938="","",IF(OR($G938="", $J938&lt;=0),0,MAX(0,Listes!$B$3-$G938)))</f>
        <v/>
      </c>
      <c r="P938" s="12">
        <f>IF($A938="","",IF($J938&lt;=0,"Payé",IF($M938="Oui","Litige",IF($O938=0,"À échoir",IF($O938&lt;=30,"0-30",IF($O938&lt;=60,"31-60",IF($O938&lt;=90,"61-90","90+")))))))</f>
        <v/>
      </c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9">
        <f>IF($A939="","",SUMIFS(Ventes_Encaissements!$D$6:$D$3005,Ventes_Encaissements!$B$6:$B$3005,$A939))</f>
        <v/>
      </c>
      <c r="J939" s="9">
        <f>IF($A939="","",$H939-$I939)</f>
        <v/>
      </c>
      <c r="K939" s="10">
        <f>IF($A939="","",IF($I939=0,"",_xludf.AGGREGATE(14,6,Ventes_Encaissements!$C$6:$C$3005/(Ventes_Encaissements!$B$6:$B$3005=$A939),1)))</f>
        <v/>
      </c>
      <c r="L939" s="11">
        <f>IF($A939="","",COUNTIFS(Ventes_Detail!$B$6:$B$3005,$A939))</f>
        <v/>
      </c>
      <c r="M939" s="12" t="n"/>
      <c r="N939" s="12">
        <f>IF($A939="","",IF($G939="","",IF($M939="Oui","Litige",IF($J939&lt;=0,"Payé",IF($I939&gt;0,"Partiel",IF(Listes!$B$3&gt;$G939,"En retard","À échoir"))))))</f>
        <v/>
      </c>
      <c r="O939" s="11">
        <f>IF($A939="","",IF(OR($G939="", $J939&lt;=0),0,MAX(0,Listes!$B$3-$G939)))</f>
        <v/>
      </c>
      <c r="P939" s="12">
        <f>IF($A939="","",IF($J939&lt;=0,"Payé",IF($M939="Oui","Litige",IF($O939=0,"À échoir",IF($O939&lt;=30,"0-30",IF($O939&lt;=60,"31-60",IF($O939&lt;=90,"61-90","90+")))))))</f>
        <v/>
      </c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9">
        <f>IF($A940="","",SUMIFS(Ventes_Encaissements!$D$6:$D$3005,Ventes_Encaissements!$B$6:$B$3005,$A940))</f>
        <v/>
      </c>
      <c r="J940" s="9">
        <f>IF($A940="","",$H940-$I940)</f>
        <v/>
      </c>
      <c r="K940" s="10">
        <f>IF($A940="","",IF($I940=0,"",_xludf.AGGREGATE(14,6,Ventes_Encaissements!$C$6:$C$3005/(Ventes_Encaissements!$B$6:$B$3005=$A940),1)))</f>
        <v/>
      </c>
      <c r="L940" s="11">
        <f>IF($A940="","",COUNTIFS(Ventes_Detail!$B$6:$B$3005,$A940))</f>
        <v/>
      </c>
      <c r="M940" s="12" t="n"/>
      <c r="N940" s="12">
        <f>IF($A940="","",IF($G940="","",IF($M940="Oui","Litige",IF($J940&lt;=0,"Payé",IF($I940&gt;0,"Partiel",IF(Listes!$B$3&gt;$G940,"En retard","À échoir"))))))</f>
        <v/>
      </c>
      <c r="O940" s="11">
        <f>IF($A940="","",IF(OR($G940="", $J940&lt;=0),0,MAX(0,Listes!$B$3-$G940)))</f>
        <v/>
      </c>
      <c r="P940" s="12">
        <f>IF($A940="","",IF($J940&lt;=0,"Payé",IF($M940="Oui","Litige",IF($O940=0,"À échoir",IF($O940&lt;=30,"0-30",IF($O940&lt;=60,"31-60",IF($O940&lt;=90,"61-90","90+")))))))</f>
        <v/>
      </c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9">
        <f>IF($A941="","",SUMIFS(Ventes_Encaissements!$D$6:$D$3005,Ventes_Encaissements!$B$6:$B$3005,$A941))</f>
        <v/>
      </c>
      <c r="J941" s="9">
        <f>IF($A941="","",$H941-$I941)</f>
        <v/>
      </c>
      <c r="K941" s="10">
        <f>IF($A941="","",IF($I941=0,"",_xludf.AGGREGATE(14,6,Ventes_Encaissements!$C$6:$C$3005/(Ventes_Encaissements!$B$6:$B$3005=$A941),1)))</f>
        <v/>
      </c>
      <c r="L941" s="11">
        <f>IF($A941="","",COUNTIFS(Ventes_Detail!$B$6:$B$3005,$A941))</f>
        <v/>
      </c>
      <c r="M941" s="12" t="n"/>
      <c r="N941" s="12">
        <f>IF($A941="","",IF($G941="","",IF($M941="Oui","Litige",IF($J941&lt;=0,"Payé",IF($I941&gt;0,"Partiel",IF(Listes!$B$3&gt;$G941,"En retard","À échoir"))))))</f>
        <v/>
      </c>
      <c r="O941" s="11">
        <f>IF($A941="","",IF(OR($G941="", $J941&lt;=0),0,MAX(0,Listes!$B$3-$G941)))</f>
        <v/>
      </c>
      <c r="P941" s="12">
        <f>IF($A941="","",IF($J941&lt;=0,"Payé",IF($M941="Oui","Litige",IF($O941=0,"À échoir",IF($O941&lt;=30,"0-30",IF($O941&lt;=60,"31-60",IF($O941&lt;=90,"61-90","90+")))))))</f>
        <v/>
      </c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9">
        <f>IF($A942="","",SUMIFS(Ventes_Encaissements!$D$6:$D$3005,Ventes_Encaissements!$B$6:$B$3005,$A942))</f>
        <v/>
      </c>
      <c r="J942" s="9">
        <f>IF($A942="","",$H942-$I942)</f>
        <v/>
      </c>
      <c r="K942" s="10">
        <f>IF($A942="","",IF($I942=0,"",_xludf.AGGREGATE(14,6,Ventes_Encaissements!$C$6:$C$3005/(Ventes_Encaissements!$B$6:$B$3005=$A942),1)))</f>
        <v/>
      </c>
      <c r="L942" s="11">
        <f>IF($A942="","",COUNTIFS(Ventes_Detail!$B$6:$B$3005,$A942))</f>
        <v/>
      </c>
      <c r="M942" s="12" t="n"/>
      <c r="N942" s="12">
        <f>IF($A942="","",IF($G942="","",IF($M942="Oui","Litige",IF($J942&lt;=0,"Payé",IF($I942&gt;0,"Partiel",IF(Listes!$B$3&gt;$G942,"En retard","À échoir"))))))</f>
        <v/>
      </c>
      <c r="O942" s="11">
        <f>IF($A942="","",IF(OR($G942="", $J942&lt;=0),0,MAX(0,Listes!$B$3-$G942)))</f>
        <v/>
      </c>
      <c r="P942" s="12">
        <f>IF($A942="","",IF($J942&lt;=0,"Payé",IF($M942="Oui","Litige",IF($O942=0,"À échoir",IF($O942&lt;=30,"0-30",IF($O942&lt;=60,"31-60",IF($O942&lt;=90,"61-90","90+")))))))</f>
        <v/>
      </c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9">
        <f>IF($A943="","",SUMIFS(Ventes_Encaissements!$D$6:$D$3005,Ventes_Encaissements!$B$6:$B$3005,$A943))</f>
        <v/>
      </c>
      <c r="J943" s="9">
        <f>IF($A943="","",$H943-$I943)</f>
        <v/>
      </c>
      <c r="K943" s="10">
        <f>IF($A943="","",IF($I943=0,"",_xludf.AGGREGATE(14,6,Ventes_Encaissements!$C$6:$C$3005/(Ventes_Encaissements!$B$6:$B$3005=$A943),1)))</f>
        <v/>
      </c>
      <c r="L943" s="11">
        <f>IF($A943="","",COUNTIFS(Ventes_Detail!$B$6:$B$3005,$A943))</f>
        <v/>
      </c>
      <c r="M943" s="12" t="n"/>
      <c r="N943" s="12">
        <f>IF($A943="","",IF($G943="","",IF($M943="Oui","Litige",IF($J943&lt;=0,"Payé",IF($I943&gt;0,"Partiel",IF(Listes!$B$3&gt;$G943,"En retard","À échoir"))))))</f>
        <v/>
      </c>
      <c r="O943" s="11">
        <f>IF($A943="","",IF(OR($G943="", $J943&lt;=0),0,MAX(0,Listes!$B$3-$G943)))</f>
        <v/>
      </c>
      <c r="P943" s="12">
        <f>IF($A943="","",IF($J943&lt;=0,"Payé",IF($M943="Oui","Litige",IF($O943=0,"À échoir",IF($O943&lt;=30,"0-30",IF($O943&lt;=60,"31-60",IF($O943&lt;=90,"61-90","90+")))))))</f>
        <v/>
      </c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9">
        <f>IF($A944="","",SUMIFS(Ventes_Encaissements!$D$6:$D$3005,Ventes_Encaissements!$B$6:$B$3005,$A944))</f>
        <v/>
      </c>
      <c r="J944" s="9">
        <f>IF($A944="","",$H944-$I944)</f>
        <v/>
      </c>
      <c r="K944" s="10">
        <f>IF($A944="","",IF($I944=0,"",_xludf.AGGREGATE(14,6,Ventes_Encaissements!$C$6:$C$3005/(Ventes_Encaissements!$B$6:$B$3005=$A944),1)))</f>
        <v/>
      </c>
      <c r="L944" s="11">
        <f>IF($A944="","",COUNTIFS(Ventes_Detail!$B$6:$B$3005,$A944))</f>
        <v/>
      </c>
      <c r="M944" s="12" t="n"/>
      <c r="N944" s="12">
        <f>IF($A944="","",IF($G944="","",IF($M944="Oui","Litige",IF($J944&lt;=0,"Payé",IF($I944&gt;0,"Partiel",IF(Listes!$B$3&gt;$G944,"En retard","À échoir"))))))</f>
        <v/>
      </c>
      <c r="O944" s="11">
        <f>IF($A944="","",IF(OR($G944="", $J944&lt;=0),0,MAX(0,Listes!$B$3-$G944)))</f>
        <v/>
      </c>
      <c r="P944" s="12">
        <f>IF($A944="","",IF($J944&lt;=0,"Payé",IF($M944="Oui","Litige",IF($O944=0,"À échoir",IF($O944&lt;=30,"0-30",IF($O944&lt;=60,"31-60",IF($O944&lt;=90,"61-90","90+")))))))</f>
        <v/>
      </c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9">
        <f>IF($A945="","",SUMIFS(Ventes_Encaissements!$D$6:$D$3005,Ventes_Encaissements!$B$6:$B$3005,$A945))</f>
        <v/>
      </c>
      <c r="J945" s="9">
        <f>IF($A945="","",$H945-$I945)</f>
        <v/>
      </c>
      <c r="K945" s="10">
        <f>IF($A945="","",IF($I945=0,"",_xludf.AGGREGATE(14,6,Ventes_Encaissements!$C$6:$C$3005/(Ventes_Encaissements!$B$6:$B$3005=$A945),1)))</f>
        <v/>
      </c>
      <c r="L945" s="11">
        <f>IF($A945="","",COUNTIFS(Ventes_Detail!$B$6:$B$3005,$A945))</f>
        <v/>
      </c>
      <c r="M945" s="12" t="n"/>
      <c r="N945" s="12">
        <f>IF($A945="","",IF($G945="","",IF($M945="Oui","Litige",IF($J945&lt;=0,"Payé",IF($I945&gt;0,"Partiel",IF(Listes!$B$3&gt;$G945,"En retard","À échoir"))))))</f>
        <v/>
      </c>
      <c r="O945" s="11">
        <f>IF($A945="","",IF(OR($G945="", $J945&lt;=0),0,MAX(0,Listes!$B$3-$G945)))</f>
        <v/>
      </c>
      <c r="P945" s="12">
        <f>IF($A945="","",IF($J945&lt;=0,"Payé",IF($M945="Oui","Litige",IF($O945=0,"À échoir",IF($O945&lt;=30,"0-30",IF($O945&lt;=60,"31-60",IF($O945&lt;=90,"61-90","90+")))))))</f>
        <v/>
      </c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9">
        <f>IF($A946="","",SUMIFS(Ventes_Encaissements!$D$6:$D$3005,Ventes_Encaissements!$B$6:$B$3005,$A946))</f>
        <v/>
      </c>
      <c r="J946" s="9">
        <f>IF($A946="","",$H946-$I946)</f>
        <v/>
      </c>
      <c r="K946" s="10">
        <f>IF($A946="","",IF($I946=0,"",_xludf.AGGREGATE(14,6,Ventes_Encaissements!$C$6:$C$3005/(Ventes_Encaissements!$B$6:$B$3005=$A946),1)))</f>
        <v/>
      </c>
      <c r="L946" s="11">
        <f>IF($A946="","",COUNTIFS(Ventes_Detail!$B$6:$B$3005,$A946))</f>
        <v/>
      </c>
      <c r="M946" s="12" t="n"/>
      <c r="N946" s="12">
        <f>IF($A946="","",IF($G946="","",IF($M946="Oui","Litige",IF($J946&lt;=0,"Payé",IF($I946&gt;0,"Partiel",IF(Listes!$B$3&gt;$G946,"En retard","À échoir"))))))</f>
        <v/>
      </c>
      <c r="O946" s="11">
        <f>IF($A946="","",IF(OR($G946="", $J946&lt;=0),0,MAX(0,Listes!$B$3-$G946)))</f>
        <v/>
      </c>
      <c r="P946" s="12">
        <f>IF($A946="","",IF($J946&lt;=0,"Payé",IF($M946="Oui","Litige",IF($O946=0,"À échoir",IF($O946&lt;=30,"0-30",IF($O946&lt;=60,"31-60",IF($O946&lt;=90,"61-90","90+")))))))</f>
        <v/>
      </c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9">
        <f>IF($A947="","",SUMIFS(Ventes_Encaissements!$D$6:$D$3005,Ventes_Encaissements!$B$6:$B$3005,$A947))</f>
        <v/>
      </c>
      <c r="J947" s="9">
        <f>IF($A947="","",$H947-$I947)</f>
        <v/>
      </c>
      <c r="K947" s="10">
        <f>IF($A947="","",IF($I947=0,"",_xludf.AGGREGATE(14,6,Ventes_Encaissements!$C$6:$C$3005/(Ventes_Encaissements!$B$6:$B$3005=$A947),1)))</f>
        <v/>
      </c>
      <c r="L947" s="11">
        <f>IF($A947="","",COUNTIFS(Ventes_Detail!$B$6:$B$3005,$A947))</f>
        <v/>
      </c>
      <c r="M947" s="12" t="n"/>
      <c r="N947" s="12">
        <f>IF($A947="","",IF($G947="","",IF($M947="Oui","Litige",IF($J947&lt;=0,"Payé",IF($I947&gt;0,"Partiel",IF(Listes!$B$3&gt;$G947,"En retard","À échoir"))))))</f>
        <v/>
      </c>
      <c r="O947" s="11">
        <f>IF($A947="","",IF(OR($G947="", $J947&lt;=0),0,MAX(0,Listes!$B$3-$G947)))</f>
        <v/>
      </c>
      <c r="P947" s="12">
        <f>IF($A947="","",IF($J947&lt;=0,"Payé",IF($M947="Oui","Litige",IF($O947=0,"À échoir",IF($O947&lt;=30,"0-30",IF($O947&lt;=60,"31-60",IF($O947&lt;=90,"61-90","90+")))))))</f>
        <v/>
      </c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9">
        <f>IF($A948="","",SUMIFS(Ventes_Encaissements!$D$6:$D$3005,Ventes_Encaissements!$B$6:$B$3005,$A948))</f>
        <v/>
      </c>
      <c r="J948" s="9">
        <f>IF($A948="","",$H948-$I948)</f>
        <v/>
      </c>
      <c r="K948" s="10">
        <f>IF($A948="","",IF($I948=0,"",_xludf.AGGREGATE(14,6,Ventes_Encaissements!$C$6:$C$3005/(Ventes_Encaissements!$B$6:$B$3005=$A948),1)))</f>
        <v/>
      </c>
      <c r="L948" s="11">
        <f>IF($A948="","",COUNTIFS(Ventes_Detail!$B$6:$B$3005,$A948))</f>
        <v/>
      </c>
      <c r="M948" s="12" t="n"/>
      <c r="N948" s="12">
        <f>IF($A948="","",IF($G948="","",IF($M948="Oui","Litige",IF($J948&lt;=0,"Payé",IF($I948&gt;0,"Partiel",IF(Listes!$B$3&gt;$G948,"En retard","À échoir"))))))</f>
        <v/>
      </c>
      <c r="O948" s="11">
        <f>IF($A948="","",IF(OR($G948="", $J948&lt;=0),0,MAX(0,Listes!$B$3-$G948)))</f>
        <v/>
      </c>
      <c r="P948" s="12">
        <f>IF($A948="","",IF($J948&lt;=0,"Payé",IF($M948="Oui","Litige",IF($O948=0,"À échoir",IF($O948&lt;=30,"0-30",IF($O948&lt;=60,"31-60",IF($O948&lt;=90,"61-90","90+")))))))</f>
        <v/>
      </c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9">
        <f>IF($A949="","",SUMIFS(Ventes_Encaissements!$D$6:$D$3005,Ventes_Encaissements!$B$6:$B$3005,$A949))</f>
        <v/>
      </c>
      <c r="J949" s="9">
        <f>IF($A949="","",$H949-$I949)</f>
        <v/>
      </c>
      <c r="K949" s="10">
        <f>IF($A949="","",IF($I949=0,"",_xludf.AGGREGATE(14,6,Ventes_Encaissements!$C$6:$C$3005/(Ventes_Encaissements!$B$6:$B$3005=$A949),1)))</f>
        <v/>
      </c>
      <c r="L949" s="11">
        <f>IF($A949="","",COUNTIFS(Ventes_Detail!$B$6:$B$3005,$A949))</f>
        <v/>
      </c>
      <c r="M949" s="12" t="n"/>
      <c r="N949" s="12">
        <f>IF($A949="","",IF($G949="","",IF($M949="Oui","Litige",IF($J949&lt;=0,"Payé",IF($I949&gt;0,"Partiel",IF(Listes!$B$3&gt;$G949,"En retard","À échoir"))))))</f>
        <v/>
      </c>
      <c r="O949" s="11">
        <f>IF($A949="","",IF(OR($G949="", $J949&lt;=0),0,MAX(0,Listes!$B$3-$G949)))</f>
        <v/>
      </c>
      <c r="P949" s="12">
        <f>IF($A949="","",IF($J949&lt;=0,"Payé",IF($M949="Oui","Litige",IF($O949=0,"À échoir",IF($O949&lt;=30,"0-30",IF($O949&lt;=60,"31-60",IF($O949&lt;=90,"61-90","90+")))))))</f>
        <v/>
      </c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9">
        <f>IF($A950="","",SUMIFS(Ventes_Encaissements!$D$6:$D$3005,Ventes_Encaissements!$B$6:$B$3005,$A950))</f>
        <v/>
      </c>
      <c r="J950" s="9">
        <f>IF($A950="","",$H950-$I950)</f>
        <v/>
      </c>
      <c r="K950" s="10">
        <f>IF($A950="","",IF($I950=0,"",_xludf.AGGREGATE(14,6,Ventes_Encaissements!$C$6:$C$3005/(Ventes_Encaissements!$B$6:$B$3005=$A950),1)))</f>
        <v/>
      </c>
      <c r="L950" s="11">
        <f>IF($A950="","",COUNTIFS(Ventes_Detail!$B$6:$B$3005,$A950))</f>
        <v/>
      </c>
      <c r="M950" s="12" t="n"/>
      <c r="N950" s="12">
        <f>IF($A950="","",IF($G950="","",IF($M950="Oui","Litige",IF($J950&lt;=0,"Payé",IF($I950&gt;0,"Partiel",IF(Listes!$B$3&gt;$G950,"En retard","À échoir"))))))</f>
        <v/>
      </c>
      <c r="O950" s="11">
        <f>IF($A950="","",IF(OR($G950="", $J950&lt;=0),0,MAX(0,Listes!$B$3-$G950)))</f>
        <v/>
      </c>
      <c r="P950" s="12">
        <f>IF($A950="","",IF($J950&lt;=0,"Payé",IF($M950="Oui","Litige",IF($O950=0,"À échoir",IF($O950&lt;=30,"0-30",IF($O950&lt;=60,"31-60",IF($O950&lt;=90,"61-90","90+")))))))</f>
        <v/>
      </c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9">
        <f>IF($A951="","",SUMIFS(Ventes_Encaissements!$D$6:$D$3005,Ventes_Encaissements!$B$6:$B$3005,$A951))</f>
        <v/>
      </c>
      <c r="J951" s="9">
        <f>IF($A951="","",$H951-$I951)</f>
        <v/>
      </c>
      <c r="K951" s="10">
        <f>IF($A951="","",IF($I951=0,"",_xludf.AGGREGATE(14,6,Ventes_Encaissements!$C$6:$C$3005/(Ventes_Encaissements!$B$6:$B$3005=$A951),1)))</f>
        <v/>
      </c>
      <c r="L951" s="11">
        <f>IF($A951="","",COUNTIFS(Ventes_Detail!$B$6:$B$3005,$A951))</f>
        <v/>
      </c>
      <c r="M951" s="12" t="n"/>
      <c r="N951" s="12">
        <f>IF($A951="","",IF($G951="","",IF($M951="Oui","Litige",IF($J951&lt;=0,"Payé",IF($I951&gt;0,"Partiel",IF(Listes!$B$3&gt;$G951,"En retard","À échoir"))))))</f>
        <v/>
      </c>
      <c r="O951" s="11">
        <f>IF($A951="","",IF(OR($G951="", $J951&lt;=0),0,MAX(0,Listes!$B$3-$G951)))</f>
        <v/>
      </c>
      <c r="P951" s="12">
        <f>IF($A951="","",IF($J951&lt;=0,"Payé",IF($M951="Oui","Litige",IF($O951=0,"À échoir",IF($O951&lt;=30,"0-30",IF($O951&lt;=60,"31-60",IF($O951&lt;=90,"61-90","90+")))))))</f>
        <v/>
      </c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9">
        <f>IF($A952="","",SUMIFS(Ventes_Encaissements!$D$6:$D$3005,Ventes_Encaissements!$B$6:$B$3005,$A952))</f>
        <v/>
      </c>
      <c r="J952" s="9">
        <f>IF($A952="","",$H952-$I952)</f>
        <v/>
      </c>
      <c r="K952" s="10">
        <f>IF($A952="","",IF($I952=0,"",_xludf.AGGREGATE(14,6,Ventes_Encaissements!$C$6:$C$3005/(Ventes_Encaissements!$B$6:$B$3005=$A952),1)))</f>
        <v/>
      </c>
      <c r="L952" s="11">
        <f>IF($A952="","",COUNTIFS(Ventes_Detail!$B$6:$B$3005,$A952))</f>
        <v/>
      </c>
      <c r="M952" s="12" t="n"/>
      <c r="N952" s="12">
        <f>IF($A952="","",IF($G952="","",IF($M952="Oui","Litige",IF($J952&lt;=0,"Payé",IF($I952&gt;0,"Partiel",IF(Listes!$B$3&gt;$G952,"En retard","À échoir"))))))</f>
        <v/>
      </c>
      <c r="O952" s="11">
        <f>IF($A952="","",IF(OR($G952="", $J952&lt;=0),0,MAX(0,Listes!$B$3-$G952)))</f>
        <v/>
      </c>
      <c r="P952" s="12">
        <f>IF($A952="","",IF($J952&lt;=0,"Payé",IF($M952="Oui","Litige",IF($O952=0,"À échoir",IF($O952&lt;=30,"0-30",IF($O952&lt;=60,"31-60",IF($O952&lt;=90,"61-90","90+")))))))</f>
        <v/>
      </c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9">
        <f>IF($A953="","",SUMIFS(Ventes_Encaissements!$D$6:$D$3005,Ventes_Encaissements!$B$6:$B$3005,$A953))</f>
        <v/>
      </c>
      <c r="J953" s="9">
        <f>IF($A953="","",$H953-$I953)</f>
        <v/>
      </c>
      <c r="K953" s="10">
        <f>IF($A953="","",IF($I953=0,"",_xludf.AGGREGATE(14,6,Ventes_Encaissements!$C$6:$C$3005/(Ventes_Encaissements!$B$6:$B$3005=$A953),1)))</f>
        <v/>
      </c>
      <c r="L953" s="11">
        <f>IF($A953="","",COUNTIFS(Ventes_Detail!$B$6:$B$3005,$A953))</f>
        <v/>
      </c>
      <c r="M953" s="12" t="n"/>
      <c r="N953" s="12">
        <f>IF($A953="","",IF($G953="","",IF($M953="Oui","Litige",IF($J953&lt;=0,"Payé",IF($I953&gt;0,"Partiel",IF(Listes!$B$3&gt;$G953,"En retard","À échoir"))))))</f>
        <v/>
      </c>
      <c r="O953" s="11">
        <f>IF($A953="","",IF(OR($G953="", $J953&lt;=0),0,MAX(0,Listes!$B$3-$G953)))</f>
        <v/>
      </c>
      <c r="P953" s="12">
        <f>IF($A953="","",IF($J953&lt;=0,"Payé",IF($M953="Oui","Litige",IF($O953=0,"À échoir",IF($O953&lt;=30,"0-30",IF($O953&lt;=60,"31-60",IF($O953&lt;=90,"61-90","90+")))))))</f>
        <v/>
      </c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9">
        <f>IF($A954="","",SUMIFS(Ventes_Encaissements!$D$6:$D$3005,Ventes_Encaissements!$B$6:$B$3005,$A954))</f>
        <v/>
      </c>
      <c r="J954" s="9">
        <f>IF($A954="","",$H954-$I954)</f>
        <v/>
      </c>
      <c r="K954" s="10">
        <f>IF($A954="","",IF($I954=0,"",_xludf.AGGREGATE(14,6,Ventes_Encaissements!$C$6:$C$3005/(Ventes_Encaissements!$B$6:$B$3005=$A954),1)))</f>
        <v/>
      </c>
      <c r="L954" s="11">
        <f>IF($A954="","",COUNTIFS(Ventes_Detail!$B$6:$B$3005,$A954))</f>
        <v/>
      </c>
      <c r="M954" s="12" t="n"/>
      <c r="N954" s="12">
        <f>IF($A954="","",IF($G954="","",IF($M954="Oui","Litige",IF($J954&lt;=0,"Payé",IF($I954&gt;0,"Partiel",IF(Listes!$B$3&gt;$G954,"En retard","À échoir"))))))</f>
        <v/>
      </c>
      <c r="O954" s="11">
        <f>IF($A954="","",IF(OR($G954="", $J954&lt;=0),0,MAX(0,Listes!$B$3-$G954)))</f>
        <v/>
      </c>
      <c r="P954" s="12">
        <f>IF($A954="","",IF($J954&lt;=0,"Payé",IF($M954="Oui","Litige",IF($O954=0,"À échoir",IF($O954&lt;=30,"0-30",IF($O954&lt;=60,"31-60",IF($O954&lt;=90,"61-90","90+")))))))</f>
        <v/>
      </c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9">
        <f>IF($A955="","",SUMIFS(Ventes_Encaissements!$D$6:$D$3005,Ventes_Encaissements!$B$6:$B$3005,$A955))</f>
        <v/>
      </c>
      <c r="J955" s="9">
        <f>IF($A955="","",$H955-$I955)</f>
        <v/>
      </c>
      <c r="K955" s="10">
        <f>IF($A955="","",IF($I955=0,"",_xludf.AGGREGATE(14,6,Ventes_Encaissements!$C$6:$C$3005/(Ventes_Encaissements!$B$6:$B$3005=$A955),1)))</f>
        <v/>
      </c>
      <c r="L955" s="11">
        <f>IF($A955="","",COUNTIFS(Ventes_Detail!$B$6:$B$3005,$A955))</f>
        <v/>
      </c>
      <c r="M955" s="12" t="n"/>
      <c r="N955" s="12">
        <f>IF($A955="","",IF($G955="","",IF($M955="Oui","Litige",IF($J955&lt;=0,"Payé",IF($I955&gt;0,"Partiel",IF(Listes!$B$3&gt;$G955,"En retard","À échoir"))))))</f>
        <v/>
      </c>
      <c r="O955" s="11">
        <f>IF($A955="","",IF(OR($G955="", $J955&lt;=0),0,MAX(0,Listes!$B$3-$G955)))</f>
        <v/>
      </c>
      <c r="P955" s="12">
        <f>IF($A955="","",IF($J955&lt;=0,"Payé",IF($M955="Oui","Litige",IF($O955=0,"À échoir",IF($O955&lt;=30,"0-30",IF($O955&lt;=60,"31-60",IF($O955&lt;=90,"61-90","90+")))))))</f>
        <v/>
      </c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9">
        <f>IF($A956="","",SUMIFS(Ventes_Encaissements!$D$6:$D$3005,Ventes_Encaissements!$B$6:$B$3005,$A956))</f>
        <v/>
      </c>
      <c r="J956" s="9">
        <f>IF($A956="","",$H956-$I956)</f>
        <v/>
      </c>
      <c r="K956" s="10">
        <f>IF($A956="","",IF($I956=0,"",_xludf.AGGREGATE(14,6,Ventes_Encaissements!$C$6:$C$3005/(Ventes_Encaissements!$B$6:$B$3005=$A956),1)))</f>
        <v/>
      </c>
      <c r="L956" s="11">
        <f>IF($A956="","",COUNTIFS(Ventes_Detail!$B$6:$B$3005,$A956))</f>
        <v/>
      </c>
      <c r="M956" s="12" t="n"/>
      <c r="N956" s="12">
        <f>IF($A956="","",IF($G956="","",IF($M956="Oui","Litige",IF($J956&lt;=0,"Payé",IF($I956&gt;0,"Partiel",IF(Listes!$B$3&gt;$G956,"En retard","À échoir"))))))</f>
        <v/>
      </c>
      <c r="O956" s="11">
        <f>IF($A956="","",IF(OR($G956="", $J956&lt;=0),0,MAX(0,Listes!$B$3-$G956)))</f>
        <v/>
      </c>
      <c r="P956" s="12">
        <f>IF($A956="","",IF($J956&lt;=0,"Payé",IF($M956="Oui","Litige",IF($O956=0,"À échoir",IF($O956&lt;=30,"0-30",IF($O956&lt;=60,"31-60",IF($O956&lt;=90,"61-90","90+")))))))</f>
        <v/>
      </c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9">
        <f>IF($A957="","",SUMIFS(Ventes_Encaissements!$D$6:$D$3005,Ventes_Encaissements!$B$6:$B$3005,$A957))</f>
        <v/>
      </c>
      <c r="J957" s="9">
        <f>IF($A957="","",$H957-$I957)</f>
        <v/>
      </c>
      <c r="K957" s="10">
        <f>IF($A957="","",IF($I957=0,"",_xludf.AGGREGATE(14,6,Ventes_Encaissements!$C$6:$C$3005/(Ventes_Encaissements!$B$6:$B$3005=$A957),1)))</f>
        <v/>
      </c>
      <c r="L957" s="11">
        <f>IF($A957="","",COUNTIFS(Ventes_Detail!$B$6:$B$3005,$A957))</f>
        <v/>
      </c>
      <c r="M957" s="12" t="n"/>
      <c r="N957" s="12">
        <f>IF($A957="","",IF($G957="","",IF($M957="Oui","Litige",IF($J957&lt;=0,"Payé",IF($I957&gt;0,"Partiel",IF(Listes!$B$3&gt;$G957,"En retard","À échoir"))))))</f>
        <v/>
      </c>
      <c r="O957" s="11">
        <f>IF($A957="","",IF(OR($G957="", $J957&lt;=0),0,MAX(0,Listes!$B$3-$G957)))</f>
        <v/>
      </c>
      <c r="P957" s="12">
        <f>IF($A957="","",IF($J957&lt;=0,"Payé",IF($M957="Oui","Litige",IF($O957=0,"À échoir",IF($O957&lt;=30,"0-30",IF($O957&lt;=60,"31-60",IF($O957&lt;=90,"61-90","90+")))))))</f>
        <v/>
      </c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9">
        <f>IF($A958="","",SUMIFS(Ventes_Encaissements!$D$6:$D$3005,Ventes_Encaissements!$B$6:$B$3005,$A958))</f>
        <v/>
      </c>
      <c r="J958" s="9">
        <f>IF($A958="","",$H958-$I958)</f>
        <v/>
      </c>
      <c r="K958" s="10">
        <f>IF($A958="","",IF($I958=0,"",_xludf.AGGREGATE(14,6,Ventes_Encaissements!$C$6:$C$3005/(Ventes_Encaissements!$B$6:$B$3005=$A958),1)))</f>
        <v/>
      </c>
      <c r="L958" s="11">
        <f>IF($A958="","",COUNTIFS(Ventes_Detail!$B$6:$B$3005,$A958))</f>
        <v/>
      </c>
      <c r="M958" s="12" t="n"/>
      <c r="N958" s="12">
        <f>IF($A958="","",IF($G958="","",IF($M958="Oui","Litige",IF($J958&lt;=0,"Payé",IF($I958&gt;0,"Partiel",IF(Listes!$B$3&gt;$G958,"En retard","À échoir"))))))</f>
        <v/>
      </c>
      <c r="O958" s="11">
        <f>IF($A958="","",IF(OR($G958="", $J958&lt;=0),0,MAX(0,Listes!$B$3-$G958)))</f>
        <v/>
      </c>
      <c r="P958" s="12">
        <f>IF($A958="","",IF($J958&lt;=0,"Payé",IF($M958="Oui","Litige",IF($O958=0,"À échoir",IF($O958&lt;=30,"0-30",IF($O958&lt;=60,"31-60",IF($O958&lt;=90,"61-90","90+")))))))</f>
        <v/>
      </c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9">
        <f>IF($A959="","",SUMIFS(Ventes_Encaissements!$D$6:$D$3005,Ventes_Encaissements!$B$6:$B$3005,$A959))</f>
        <v/>
      </c>
      <c r="J959" s="9">
        <f>IF($A959="","",$H959-$I959)</f>
        <v/>
      </c>
      <c r="K959" s="10">
        <f>IF($A959="","",IF($I959=0,"",_xludf.AGGREGATE(14,6,Ventes_Encaissements!$C$6:$C$3005/(Ventes_Encaissements!$B$6:$B$3005=$A959),1)))</f>
        <v/>
      </c>
      <c r="L959" s="11">
        <f>IF($A959="","",COUNTIFS(Ventes_Detail!$B$6:$B$3005,$A959))</f>
        <v/>
      </c>
      <c r="M959" s="12" t="n"/>
      <c r="N959" s="12">
        <f>IF($A959="","",IF($G959="","",IF($M959="Oui","Litige",IF($J959&lt;=0,"Payé",IF($I959&gt;0,"Partiel",IF(Listes!$B$3&gt;$G959,"En retard","À échoir"))))))</f>
        <v/>
      </c>
      <c r="O959" s="11">
        <f>IF($A959="","",IF(OR($G959="", $J959&lt;=0),0,MAX(0,Listes!$B$3-$G959)))</f>
        <v/>
      </c>
      <c r="P959" s="12">
        <f>IF($A959="","",IF($J959&lt;=0,"Payé",IF($M959="Oui","Litige",IF($O959=0,"À échoir",IF($O959&lt;=30,"0-30",IF($O959&lt;=60,"31-60",IF($O959&lt;=90,"61-90","90+")))))))</f>
        <v/>
      </c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9">
        <f>IF($A960="","",SUMIFS(Ventes_Encaissements!$D$6:$D$3005,Ventes_Encaissements!$B$6:$B$3005,$A960))</f>
        <v/>
      </c>
      <c r="J960" s="9">
        <f>IF($A960="","",$H960-$I960)</f>
        <v/>
      </c>
      <c r="K960" s="10">
        <f>IF($A960="","",IF($I960=0,"",_xludf.AGGREGATE(14,6,Ventes_Encaissements!$C$6:$C$3005/(Ventes_Encaissements!$B$6:$B$3005=$A960),1)))</f>
        <v/>
      </c>
      <c r="L960" s="11">
        <f>IF($A960="","",COUNTIFS(Ventes_Detail!$B$6:$B$3005,$A960))</f>
        <v/>
      </c>
      <c r="M960" s="12" t="n"/>
      <c r="N960" s="12">
        <f>IF($A960="","",IF($G960="","",IF($M960="Oui","Litige",IF($J960&lt;=0,"Payé",IF($I960&gt;0,"Partiel",IF(Listes!$B$3&gt;$G960,"En retard","À échoir"))))))</f>
        <v/>
      </c>
      <c r="O960" s="11">
        <f>IF($A960="","",IF(OR($G960="", $J960&lt;=0),0,MAX(0,Listes!$B$3-$G960)))</f>
        <v/>
      </c>
      <c r="P960" s="12">
        <f>IF($A960="","",IF($J960&lt;=0,"Payé",IF($M960="Oui","Litige",IF($O960=0,"À échoir",IF($O960&lt;=30,"0-30",IF($O960&lt;=60,"31-60",IF($O960&lt;=90,"61-90","90+")))))))</f>
        <v/>
      </c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9">
        <f>IF($A961="","",SUMIFS(Ventes_Encaissements!$D$6:$D$3005,Ventes_Encaissements!$B$6:$B$3005,$A961))</f>
        <v/>
      </c>
      <c r="J961" s="9">
        <f>IF($A961="","",$H961-$I961)</f>
        <v/>
      </c>
      <c r="K961" s="10">
        <f>IF($A961="","",IF($I961=0,"",_xludf.AGGREGATE(14,6,Ventes_Encaissements!$C$6:$C$3005/(Ventes_Encaissements!$B$6:$B$3005=$A961),1)))</f>
        <v/>
      </c>
      <c r="L961" s="11">
        <f>IF($A961="","",COUNTIFS(Ventes_Detail!$B$6:$B$3005,$A961))</f>
        <v/>
      </c>
      <c r="M961" s="12" t="n"/>
      <c r="N961" s="12">
        <f>IF($A961="","",IF($G961="","",IF($M961="Oui","Litige",IF($J961&lt;=0,"Payé",IF($I961&gt;0,"Partiel",IF(Listes!$B$3&gt;$G961,"En retard","À échoir"))))))</f>
        <v/>
      </c>
      <c r="O961" s="11">
        <f>IF($A961="","",IF(OR($G961="", $J961&lt;=0),0,MAX(0,Listes!$B$3-$G961)))</f>
        <v/>
      </c>
      <c r="P961" s="12">
        <f>IF($A961="","",IF($J961&lt;=0,"Payé",IF($M961="Oui","Litige",IF($O961=0,"À échoir",IF($O961&lt;=30,"0-30",IF($O961&lt;=60,"31-60",IF($O961&lt;=90,"61-90","90+")))))))</f>
        <v/>
      </c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9">
        <f>IF($A962="","",SUMIFS(Ventes_Encaissements!$D$6:$D$3005,Ventes_Encaissements!$B$6:$B$3005,$A962))</f>
        <v/>
      </c>
      <c r="J962" s="9">
        <f>IF($A962="","",$H962-$I962)</f>
        <v/>
      </c>
      <c r="K962" s="10">
        <f>IF($A962="","",IF($I962=0,"",_xludf.AGGREGATE(14,6,Ventes_Encaissements!$C$6:$C$3005/(Ventes_Encaissements!$B$6:$B$3005=$A962),1)))</f>
        <v/>
      </c>
      <c r="L962" s="11">
        <f>IF($A962="","",COUNTIFS(Ventes_Detail!$B$6:$B$3005,$A962))</f>
        <v/>
      </c>
      <c r="M962" s="12" t="n"/>
      <c r="N962" s="12">
        <f>IF($A962="","",IF($G962="","",IF($M962="Oui","Litige",IF($J962&lt;=0,"Payé",IF($I962&gt;0,"Partiel",IF(Listes!$B$3&gt;$G962,"En retard","À échoir"))))))</f>
        <v/>
      </c>
      <c r="O962" s="11">
        <f>IF($A962="","",IF(OR($G962="", $J962&lt;=0),0,MAX(0,Listes!$B$3-$G962)))</f>
        <v/>
      </c>
      <c r="P962" s="12">
        <f>IF($A962="","",IF($J962&lt;=0,"Payé",IF($M962="Oui","Litige",IF($O962=0,"À échoir",IF($O962&lt;=30,"0-30",IF($O962&lt;=60,"31-60",IF($O962&lt;=90,"61-90","90+")))))))</f>
        <v/>
      </c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9">
        <f>IF($A963="","",SUMIFS(Ventes_Encaissements!$D$6:$D$3005,Ventes_Encaissements!$B$6:$B$3005,$A963))</f>
        <v/>
      </c>
      <c r="J963" s="9">
        <f>IF($A963="","",$H963-$I963)</f>
        <v/>
      </c>
      <c r="K963" s="10">
        <f>IF($A963="","",IF($I963=0,"",_xludf.AGGREGATE(14,6,Ventes_Encaissements!$C$6:$C$3005/(Ventes_Encaissements!$B$6:$B$3005=$A963),1)))</f>
        <v/>
      </c>
      <c r="L963" s="11">
        <f>IF($A963="","",COUNTIFS(Ventes_Detail!$B$6:$B$3005,$A963))</f>
        <v/>
      </c>
      <c r="M963" s="12" t="n"/>
      <c r="N963" s="12">
        <f>IF($A963="","",IF($G963="","",IF($M963="Oui","Litige",IF($J963&lt;=0,"Payé",IF($I963&gt;0,"Partiel",IF(Listes!$B$3&gt;$G963,"En retard","À échoir"))))))</f>
        <v/>
      </c>
      <c r="O963" s="11">
        <f>IF($A963="","",IF(OR($G963="", $J963&lt;=0),0,MAX(0,Listes!$B$3-$G963)))</f>
        <v/>
      </c>
      <c r="P963" s="12">
        <f>IF($A963="","",IF($J963&lt;=0,"Payé",IF($M963="Oui","Litige",IF($O963=0,"À échoir",IF($O963&lt;=30,"0-30",IF($O963&lt;=60,"31-60",IF($O963&lt;=90,"61-90","90+")))))))</f>
        <v/>
      </c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9">
        <f>IF($A964="","",SUMIFS(Ventes_Encaissements!$D$6:$D$3005,Ventes_Encaissements!$B$6:$B$3005,$A964))</f>
        <v/>
      </c>
      <c r="J964" s="9">
        <f>IF($A964="","",$H964-$I964)</f>
        <v/>
      </c>
      <c r="K964" s="10">
        <f>IF($A964="","",IF($I964=0,"",_xludf.AGGREGATE(14,6,Ventes_Encaissements!$C$6:$C$3005/(Ventes_Encaissements!$B$6:$B$3005=$A964),1)))</f>
        <v/>
      </c>
      <c r="L964" s="11">
        <f>IF($A964="","",COUNTIFS(Ventes_Detail!$B$6:$B$3005,$A964))</f>
        <v/>
      </c>
      <c r="M964" s="12" t="n"/>
      <c r="N964" s="12">
        <f>IF($A964="","",IF($G964="","",IF($M964="Oui","Litige",IF($J964&lt;=0,"Payé",IF($I964&gt;0,"Partiel",IF(Listes!$B$3&gt;$G964,"En retard","À échoir"))))))</f>
        <v/>
      </c>
      <c r="O964" s="11">
        <f>IF($A964="","",IF(OR($G964="", $J964&lt;=0),0,MAX(0,Listes!$B$3-$G964)))</f>
        <v/>
      </c>
      <c r="P964" s="12">
        <f>IF($A964="","",IF($J964&lt;=0,"Payé",IF($M964="Oui","Litige",IF($O964=0,"À échoir",IF($O964&lt;=30,"0-30",IF($O964&lt;=60,"31-60",IF($O964&lt;=90,"61-90","90+")))))))</f>
        <v/>
      </c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9">
        <f>IF($A965="","",SUMIFS(Ventes_Encaissements!$D$6:$D$3005,Ventes_Encaissements!$B$6:$B$3005,$A965))</f>
        <v/>
      </c>
      <c r="J965" s="9">
        <f>IF($A965="","",$H965-$I965)</f>
        <v/>
      </c>
      <c r="K965" s="10">
        <f>IF($A965="","",IF($I965=0,"",_xludf.AGGREGATE(14,6,Ventes_Encaissements!$C$6:$C$3005/(Ventes_Encaissements!$B$6:$B$3005=$A965),1)))</f>
        <v/>
      </c>
      <c r="L965" s="11">
        <f>IF($A965="","",COUNTIFS(Ventes_Detail!$B$6:$B$3005,$A965))</f>
        <v/>
      </c>
      <c r="M965" s="12" t="n"/>
      <c r="N965" s="12">
        <f>IF($A965="","",IF($G965="","",IF($M965="Oui","Litige",IF($J965&lt;=0,"Payé",IF($I965&gt;0,"Partiel",IF(Listes!$B$3&gt;$G965,"En retard","À échoir"))))))</f>
        <v/>
      </c>
      <c r="O965" s="11">
        <f>IF($A965="","",IF(OR($G965="", $J965&lt;=0),0,MAX(0,Listes!$B$3-$G965)))</f>
        <v/>
      </c>
      <c r="P965" s="12">
        <f>IF($A965="","",IF($J965&lt;=0,"Payé",IF($M965="Oui","Litige",IF($O965=0,"À échoir",IF($O965&lt;=30,"0-30",IF($O965&lt;=60,"31-60",IF($O965&lt;=90,"61-90","90+")))))))</f>
        <v/>
      </c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9">
        <f>IF($A966="","",SUMIFS(Ventes_Encaissements!$D$6:$D$3005,Ventes_Encaissements!$B$6:$B$3005,$A966))</f>
        <v/>
      </c>
      <c r="J966" s="9">
        <f>IF($A966="","",$H966-$I966)</f>
        <v/>
      </c>
      <c r="K966" s="10">
        <f>IF($A966="","",IF($I966=0,"",_xludf.AGGREGATE(14,6,Ventes_Encaissements!$C$6:$C$3005/(Ventes_Encaissements!$B$6:$B$3005=$A966),1)))</f>
        <v/>
      </c>
      <c r="L966" s="11">
        <f>IF($A966="","",COUNTIFS(Ventes_Detail!$B$6:$B$3005,$A966))</f>
        <v/>
      </c>
      <c r="M966" s="12" t="n"/>
      <c r="N966" s="12">
        <f>IF($A966="","",IF($G966="","",IF($M966="Oui","Litige",IF($J966&lt;=0,"Payé",IF($I966&gt;0,"Partiel",IF(Listes!$B$3&gt;$G966,"En retard","À échoir"))))))</f>
        <v/>
      </c>
      <c r="O966" s="11">
        <f>IF($A966="","",IF(OR($G966="", $J966&lt;=0),0,MAX(0,Listes!$B$3-$G966)))</f>
        <v/>
      </c>
      <c r="P966" s="12">
        <f>IF($A966="","",IF($J966&lt;=0,"Payé",IF($M966="Oui","Litige",IF($O966=0,"À échoir",IF($O966&lt;=30,"0-30",IF($O966&lt;=60,"31-60",IF($O966&lt;=90,"61-90","90+")))))))</f>
        <v/>
      </c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9">
        <f>IF($A967="","",SUMIFS(Ventes_Encaissements!$D$6:$D$3005,Ventes_Encaissements!$B$6:$B$3005,$A967))</f>
        <v/>
      </c>
      <c r="J967" s="9">
        <f>IF($A967="","",$H967-$I967)</f>
        <v/>
      </c>
      <c r="K967" s="10">
        <f>IF($A967="","",IF($I967=0,"",_xludf.AGGREGATE(14,6,Ventes_Encaissements!$C$6:$C$3005/(Ventes_Encaissements!$B$6:$B$3005=$A967),1)))</f>
        <v/>
      </c>
      <c r="L967" s="11">
        <f>IF($A967="","",COUNTIFS(Ventes_Detail!$B$6:$B$3005,$A967))</f>
        <v/>
      </c>
      <c r="M967" s="12" t="n"/>
      <c r="N967" s="12">
        <f>IF($A967="","",IF($G967="","",IF($M967="Oui","Litige",IF($J967&lt;=0,"Payé",IF($I967&gt;0,"Partiel",IF(Listes!$B$3&gt;$G967,"En retard","À échoir"))))))</f>
        <v/>
      </c>
      <c r="O967" s="11">
        <f>IF($A967="","",IF(OR($G967="", $J967&lt;=0),0,MAX(0,Listes!$B$3-$G967)))</f>
        <v/>
      </c>
      <c r="P967" s="12">
        <f>IF($A967="","",IF($J967&lt;=0,"Payé",IF($M967="Oui","Litige",IF($O967=0,"À échoir",IF($O967&lt;=30,"0-30",IF($O967&lt;=60,"31-60",IF($O967&lt;=90,"61-90","90+")))))))</f>
        <v/>
      </c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9">
        <f>IF($A968="","",SUMIFS(Ventes_Encaissements!$D$6:$D$3005,Ventes_Encaissements!$B$6:$B$3005,$A968))</f>
        <v/>
      </c>
      <c r="J968" s="9">
        <f>IF($A968="","",$H968-$I968)</f>
        <v/>
      </c>
      <c r="K968" s="10">
        <f>IF($A968="","",IF($I968=0,"",_xludf.AGGREGATE(14,6,Ventes_Encaissements!$C$6:$C$3005/(Ventes_Encaissements!$B$6:$B$3005=$A968),1)))</f>
        <v/>
      </c>
      <c r="L968" s="11">
        <f>IF($A968="","",COUNTIFS(Ventes_Detail!$B$6:$B$3005,$A968))</f>
        <v/>
      </c>
      <c r="M968" s="12" t="n"/>
      <c r="N968" s="12">
        <f>IF($A968="","",IF($G968="","",IF($M968="Oui","Litige",IF($J968&lt;=0,"Payé",IF($I968&gt;0,"Partiel",IF(Listes!$B$3&gt;$G968,"En retard","À échoir"))))))</f>
        <v/>
      </c>
      <c r="O968" s="11">
        <f>IF($A968="","",IF(OR($G968="", $J968&lt;=0),0,MAX(0,Listes!$B$3-$G968)))</f>
        <v/>
      </c>
      <c r="P968" s="12">
        <f>IF($A968="","",IF($J968&lt;=0,"Payé",IF($M968="Oui","Litige",IF($O968=0,"À échoir",IF($O968&lt;=30,"0-30",IF($O968&lt;=60,"31-60",IF($O968&lt;=90,"61-90","90+")))))))</f>
        <v/>
      </c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9">
        <f>IF($A969="","",SUMIFS(Ventes_Encaissements!$D$6:$D$3005,Ventes_Encaissements!$B$6:$B$3005,$A969))</f>
        <v/>
      </c>
      <c r="J969" s="9">
        <f>IF($A969="","",$H969-$I969)</f>
        <v/>
      </c>
      <c r="K969" s="10">
        <f>IF($A969="","",IF($I969=0,"",_xludf.AGGREGATE(14,6,Ventes_Encaissements!$C$6:$C$3005/(Ventes_Encaissements!$B$6:$B$3005=$A969),1)))</f>
        <v/>
      </c>
      <c r="L969" s="11">
        <f>IF($A969="","",COUNTIFS(Ventes_Detail!$B$6:$B$3005,$A969))</f>
        <v/>
      </c>
      <c r="M969" s="12" t="n"/>
      <c r="N969" s="12">
        <f>IF($A969="","",IF($G969="","",IF($M969="Oui","Litige",IF($J969&lt;=0,"Payé",IF($I969&gt;0,"Partiel",IF(Listes!$B$3&gt;$G969,"En retard","À échoir"))))))</f>
        <v/>
      </c>
      <c r="O969" s="11">
        <f>IF($A969="","",IF(OR($G969="", $J969&lt;=0),0,MAX(0,Listes!$B$3-$G969)))</f>
        <v/>
      </c>
      <c r="P969" s="12">
        <f>IF($A969="","",IF($J969&lt;=0,"Payé",IF($M969="Oui","Litige",IF($O969=0,"À échoir",IF($O969&lt;=30,"0-30",IF($O969&lt;=60,"31-60",IF($O969&lt;=90,"61-90","90+")))))))</f>
        <v/>
      </c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9">
        <f>IF($A970="","",SUMIFS(Ventes_Encaissements!$D$6:$D$3005,Ventes_Encaissements!$B$6:$B$3005,$A970))</f>
        <v/>
      </c>
      <c r="J970" s="9">
        <f>IF($A970="","",$H970-$I970)</f>
        <v/>
      </c>
      <c r="K970" s="10">
        <f>IF($A970="","",IF($I970=0,"",_xludf.AGGREGATE(14,6,Ventes_Encaissements!$C$6:$C$3005/(Ventes_Encaissements!$B$6:$B$3005=$A970),1)))</f>
        <v/>
      </c>
      <c r="L970" s="11">
        <f>IF($A970="","",COUNTIFS(Ventes_Detail!$B$6:$B$3005,$A970))</f>
        <v/>
      </c>
      <c r="M970" s="12" t="n"/>
      <c r="N970" s="12">
        <f>IF($A970="","",IF($G970="","",IF($M970="Oui","Litige",IF($J970&lt;=0,"Payé",IF($I970&gt;0,"Partiel",IF(Listes!$B$3&gt;$G970,"En retard","À échoir"))))))</f>
        <v/>
      </c>
      <c r="O970" s="11">
        <f>IF($A970="","",IF(OR($G970="", $J970&lt;=0),0,MAX(0,Listes!$B$3-$G970)))</f>
        <v/>
      </c>
      <c r="P970" s="12">
        <f>IF($A970="","",IF($J970&lt;=0,"Payé",IF($M970="Oui","Litige",IF($O970=0,"À échoir",IF($O970&lt;=30,"0-30",IF($O970&lt;=60,"31-60",IF($O970&lt;=90,"61-90","90+")))))))</f>
        <v/>
      </c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9">
        <f>IF($A971="","",SUMIFS(Ventes_Encaissements!$D$6:$D$3005,Ventes_Encaissements!$B$6:$B$3005,$A971))</f>
        <v/>
      </c>
      <c r="J971" s="9">
        <f>IF($A971="","",$H971-$I971)</f>
        <v/>
      </c>
      <c r="K971" s="10">
        <f>IF($A971="","",IF($I971=0,"",_xludf.AGGREGATE(14,6,Ventes_Encaissements!$C$6:$C$3005/(Ventes_Encaissements!$B$6:$B$3005=$A971),1)))</f>
        <v/>
      </c>
      <c r="L971" s="11">
        <f>IF($A971="","",COUNTIFS(Ventes_Detail!$B$6:$B$3005,$A971))</f>
        <v/>
      </c>
      <c r="M971" s="12" t="n"/>
      <c r="N971" s="12">
        <f>IF($A971="","",IF($G971="","",IF($M971="Oui","Litige",IF($J971&lt;=0,"Payé",IF($I971&gt;0,"Partiel",IF(Listes!$B$3&gt;$G971,"En retard","À échoir"))))))</f>
        <v/>
      </c>
      <c r="O971" s="11">
        <f>IF($A971="","",IF(OR($G971="", $J971&lt;=0),0,MAX(0,Listes!$B$3-$G971)))</f>
        <v/>
      </c>
      <c r="P971" s="12">
        <f>IF($A971="","",IF($J971&lt;=0,"Payé",IF($M971="Oui","Litige",IF($O971=0,"À échoir",IF($O971&lt;=30,"0-30",IF($O971&lt;=60,"31-60",IF($O971&lt;=90,"61-90","90+")))))))</f>
        <v/>
      </c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9">
        <f>IF($A972="","",SUMIFS(Ventes_Encaissements!$D$6:$D$3005,Ventes_Encaissements!$B$6:$B$3005,$A972))</f>
        <v/>
      </c>
      <c r="J972" s="9">
        <f>IF($A972="","",$H972-$I972)</f>
        <v/>
      </c>
      <c r="K972" s="10">
        <f>IF($A972="","",IF($I972=0,"",_xludf.AGGREGATE(14,6,Ventes_Encaissements!$C$6:$C$3005/(Ventes_Encaissements!$B$6:$B$3005=$A972),1)))</f>
        <v/>
      </c>
      <c r="L972" s="11">
        <f>IF($A972="","",COUNTIFS(Ventes_Detail!$B$6:$B$3005,$A972))</f>
        <v/>
      </c>
      <c r="M972" s="12" t="n"/>
      <c r="N972" s="12">
        <f>IF($A972="","",IF($G972="","",IF($M972="Oui","Litige",IF($J972&lt;=0,"Payé",IF($I972&gt;0,"Partiel",IF(Listes!$B$3&gt;$G972,"En retard","À échoir"))))))</f>
        <v/>
      </c>
      <c r="O972" s="11">
        <f>IF($A972="","",IF(OR($G972="", $J972&lt;=0),0,MAX(0,Listes!$B$3-$G972)))</f>
        <v/>
      </c>
      <c r="P972" s="12">
        <f>IF($A972="","",IF($J972&lt;=0,"Payé",IF($M972="Oui","Litige",IF($O972=0,"À échoir",IF($O972&lt;=30,"0-30",IF($O972&lt;=60,"31-60",IF($O972&lt;=90,"61-90","90+")))))))</f>
        <v/>
      </c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9">
        <f>IF($A973="","",SUMIFS(Ventes_Encaissements!$D$6:$D$3005,Ventes_Encaissements!$B$6:$B$3005,$A973))</f>
        <v/>
      </c>
      <c r="J973" s="9">
        <f>IF($A973="","",$H973-$I973)</f>
        <v/>
      </c>
      <c r="K973" s="10">
        <f>IF($A973="","",IF($I973=0,"",_xludf.AGGREGATE(14,6,Ventes_Encaissements!$C$6:$C$3005/(Ventes_Encaissements!$B$6:$B$3005=$A973),1)))</f>
        <v/>
      </c>
      <c r="L973" s="11">
        <f>IF($A973="","",COUNTIFS(Ventes_Detail!$B$6:$B$3005,$A973))</f>
        <v/>
      </c>
      <c r="M973" s="12" t="n"/>
      <c r="N973" s="12">
        <f>IF($A973="","",IF($G973="","",IF($M973="Oui","Litige",IF($J973&lt;=0,"Payé",IF($I973&gt;0,"Partiel",IF(Listes!$B$3&gt;$G973,"En retard","À échoir"))))))</f>
        <v/>
      </c>
      <c r="O973" s="11">
        <f>IF($A973="","",IF(OR($G973="", $J973&lt;=0),0,MAX(0,Listes!$B$3-$G973)))</f>
        <v/>
      </c>
      <c r="P973" s="12">
        <f>IF($A973="","",IF($J973&lt;=0,"Payé",IF($M973="Oui","Litige",IF($O973=0,"À échoir",IF($O973&lt;=30,"0-30",IF($O973&lt;=60,"31-60",IF($O973&lt;=90,"61-90","90+")))))))</f>
        <v/>
      </c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9">
        <f>IF($A974="","",SUMIFS(Ventes_Encaissements!$D$6:$D$3005,Ventes_Encaissements!$B$6:$B$3005,$A974))</f>
        <v/>
      </c>
      <c r="J974" s="9">
        <f>IF($A974="","",$H974-$I974)</f>
        <v/>
      </c>
      <c r="K974" s="10">
        <f>IF($A974="","",IF($I974=0,"",_xludf.AGGREGATE(14,6,Ventes_Encaissements!$C$6:$C$3005/(Ventes_Encaissements!$B$6:$B$3005=$A974),1)))</f>
        <v/>
      </c>
      <c r="L974" s="11">
        <f>IF($A974="","",COUNTIFS(Ventes_Detail!$B$6:$B$3005,$A974))</f>
        <v/>
      </c>
      <c r="M974" s="12" t="n"/>
      <c r="N974" s="12">
        <f>IF($A974="","",IF($G974="","",IF($M974="Oui","Litige",IF($J974&lt;=0,"Payé",IF($I974&gt;0,"Partiel",IF(Listes!$B$3&gt;$G974,"En retard","À échoir"))))))</f>
        <v/>
      </c>
      <c r="O974" s="11">
        <f>IF($A974="","",IF(OR($G974="", $J974&lt;=0),0,MAX(0,Listes!$B$3-$G974)))</f>
        <v/>
      </c>
      <c r="P974" s="12">
        <f>IF($A974="","",IF($J974&lt;=0,"Payé",IF($M974="Oui","Litige",IF($O974=0,"À échoir",IF($O974&lt;=30,"0-30",IF($O974&lt;=60,"31-60",IF($O974&lt;=90,"61-90","90+")))))))</f>
        <v/>
      </c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9">
        <f>IF($A975="","",SUMIFS(Ventes_Encaissements!$D$6:$D$3005,Ventes_Encaissements!$B$6:$B$3005,$A975))</f>
        <v/>
      </c>
      <c r="J975" s="9">
        <f>IF($A975="","",$H975-$I975)</f>
        <v/>
      </c>
      <c r="K975" s="10">
        <f>IF($A975="","",IF($I975=0,"",_xludf.AGGREGATE(14,6,Ventes_Encaissements!$C$6:$C$3005/(Ventes_Encaissements!$B$6:$B$3005=$A975),1)))</f>
        <v/>
      </c>
      <c r="L975" s="11">
        <f>IF($A975="","",COUNTIFS(Ventes_Detail!$B$6:$B$3005,$A975))</f>
        <v/>
      </c>
      <c r="M975" s="12" t="n"/>
      <c r="N975" s="12">
        <f>IF($A975="","",IF($G975="","",IF($M975="Oui","Litige",IF($J975&lt;=0,"Payé",IF($I975&gt;0,"Partiel",IF(Listes!$B$3&gt;$G975,"En retard","À échoir"))))))</f>
        <v/>
      </c>
      <c r="O975" s="11">
        <f>IF($A975="","",IF(OR($G975="", $J975&lt;=0),0,MAX(0,Listes!$B$3-$G975)))</f>
        <v/>
      </c>
      <c r="P975" s="12">
        <f>IF($A975="","",IF($J975&lt;=0,"Payé",IF($M975="Oui","Litige",IF($O975=0,"À échoir",IF($O975&lt;=30,"0-30",IF($O975&lt;=60,"31-60",IF($O975&lt;=90,"61-90","90+")))))))</f>
        <v/>
      </c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9">
        <f>IF($A976="","",SUMIFS(Ventes_Encaissements!$D$6:$D$3005,Ventes_Encaissements!$B$6:$B$3005,$A976))</f>
        <v/>
      </c>
      <c r="J976" s="9">
        <f>IF($A976="","",$H976-$I976)</f>
        <v/>
      </c>
      <c r="K976" s="10">
        <f>IF($A976="","",IF($I976=0,"",_xludf.AGGREGATE(14,6,Ventes_Encaissements!$C$6:$C$3005/(Ventes_Encaissements!$B$6:$B$3005=$A976),1)))</f>
        <v/>
      </c>
      <c r="L976" s="11">
        <f>IF($A976="","",COUNTIFS(Ventes_Detail!$B$6:$B$3005,$A976))</f>
        <v/>
      </c>
      <c r="M976" s="12" t="n"/>
      <c r="N976" s="12">
        <f>IF($A976="","",IF($G976="","",IF($M976="Oui","Litige",IF($J976&lt;=0,"Payé",IF($I976&gt;0,"Partiel",IF(Listes!$B$3&gt;$G976,"En retard","À échoir"))))))</f>
        <v/>
      </c>
      <c r="O976" s="11">
        <f>IF($A976="","",IF(OR($G976="", $J976&lt;=0),0,MAX(0,Listes!$B$3-$G976)))</f>
        <v/>
      </c>
      <c r="P976" s="12">
        <f>IF($A976="","",IF($J976&lt;=0,"Payé",IF($M976="Oui","Litige",IF($O976=0,"À échoir",IF($O976&lt;=30,"0-30",IF($O976&lt;=60,"31-60",IF($O976&lt;=90,"61-90","90+")))))))</f>
        <v/>
      </c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9">
        <f>IF($A977="","",SUMIFS(Ventes_Encaissements!$D$6:$D$3005,Ventes_Encaissements!$B$6:$B$3005,$A977))</f>
        <v/>
      </c>
      <c r="J977" s="9">
        <f>IF($A977="","",$H977-$I977)</f>
        <v/>
      </c>
      <c r="K977" s="10">
        <f>IF($A977="","",IF($I977=0,"",_xludf.AGGREGATE(14,6,Ventes_Encaissements!$C$6:$C$3005/(Ventes_Encaissements!$B$6:$B$3005=$A977),1)))</f>
        <v/>
      </c>
      <c r="L977" s="11">
        <f>IF($A977="","",COUNTIFS(Ventes_Detail!$B$6:$B$3005,$A977))</f>
        <v/>
      </c>
      <c r="M977" s="12" t="n"/>
      <c r="N977" s="12">
        <f>IF($A977="","",IF($G977="","",IF($M977="Oui","Litige",IF($J977&lt;=0,"Payé",IF($I977&gt;0,"Partiel",IF(Listes!$B$3&gt;$G977,"En retard","À échoir"))))))</f>
        <v/>
      </c>
      <c r="O977" s="11">
        <f>IF($A977="","",IF(OR($G977="", $J977&lt;=0),0,MAX(0,Listes!$B$3-$G977)))</f>
        <v/>
      </c>
      <c r="P977" s="12">
        <f>IF($A977="","",IF($J977&lt;=0,"Payé",IF($M977="Oui","Litige",IF($O977=0,"À échoir",IF($O977&lt;=30,"0-30",IF($O977&lt;=60,"31-60",IF($O977&lt;=90,"61-90","90+")))))))</f>
        <v/>
      </c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9">
        <f>IF($A978="","",SUMIFS(Ventes_Encaissements!$D$6:$D$3005,Ventes_Encaissements!$B$6:$B$3005,$A978))</f>
        <v/>
      </c>
      <c r="J978" s="9">
        <f>IF($A978="","",$H978-$I978)</f>
        <v/>
      </c>
      <c r="K978" s="10">
        <f>IF($A978="","",IF($I978=0,"",_xludf.AGGREGATE(14,6,Ventes_Encaissements!$C$6:$C$3005/(Ventes_Encaissements!$B$6:$B$3005=$A978),1)))</f>
        <v/>
      </c>
      <c r="L978" s="11">
        <f>IF($A978="","",COUNTIFS(Ventes_Detail!$B$6:$B$3005,$A978))</f>
        <v/>
      </c>
      <c r="M978" s="12" t="n"/>
      <c r="N978" s="12">
        <f>IF($A978="","",IF($G978="","",IF($M978="Oui","Litige",IF($J978&lt;=0,"Payé",IF($I978&gt;0,"Partiel",IF(Listes!$B$3&gt;$G978,"En retard","À échoir"))))))</f>
        <v/>
      </c>
      <c r="O978" s="11">
        <f>IF($A978="","",IF(OR($G978="", $J978&lt;=0),0,MAX(0,Listes!$B$3-$G978)))</f>
        <v/>
      </c>
      <c r="P978" s="12">
        <f>IF($A978="","",IF($J978&lt;=0,"Payé",IF($M978="Oui","Litige",IF($O978=0,"À échoir",IF($O978&lt;=30,"0-30",IF($O978&lt;=60,"31-60",IF($O978&lt;=90,"61-90","90+")))))))</f>
        <v/>
      </c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9">
        <f>IF($A979="","",SUMIFS(Ventes_Encaissements!$D$6:$D$3005,Ventes_Encaissements!$B$6:$B$3005,$A979))</f>
        <v/>
      </c>
      <c r="J979" s="9">
        <f>IF($A979="","",$H979-$I979)</f>
        <v/>
      </c>
      <c r="K979" s="10">
        <f>IF($A979="","",IF($I979=0,"",_xludf.AGGREGATE(14,6,Ventes_Encaissements!$C$6:$C$3005/(Ventes_Encaissements!$B$6:$B$3005=$A979),1)))</f>
        <v/>
      </c>
      <c r="L979" s="11">
        <f>IF($A979="","",COUNTIFS(Ventes_Detail!$B$6:$B$3005,$A979))</f>
        <v/>
      </c>
      <c r="M979" s="12" t="n"/>
      <c r="N979" s="12">
        <f>IF($A979="","",IF($G979="","",IF($M979="Oui","Litige",IF($J979&lt;=0,"Payé",IF($I979&gt;0,"Partiel",IF(Listes!$B$3&gt;$G979,"En retard","À échoir"))))))</f>
        <v/>
      </c>
      <c r="O979" s="11">
        <f>IF($A979="","",IF(OR($G979="", $J979&lt;=0),0,MAX(0,Listes!$B$3-$G979)))</f>
        <v/>
      </c>
      <c r="P979" s="12">
        <f>IF($A979="","",IF($J979&lt;=0,"Payé",IF($M979="Oui","Litige",IF($O979=0,"À échoir",IF($O979&lt;=30,"0-30",IF($O979&lt;=60,"31-60",IF($O979&lt;=90,"61-90","90+")))))))</f>
        <v/>
      </c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9">
        <f>IF($A980="","",SUMIFS(Ventes_Encaissements!$D$6:$D$3005,Ventes_Encaissements!$B$6:$B$3005,$A980))</f>
        <v/>
      </c>
      <c r="J980" s="9">
        <f>IF($A980="","",$H980-$I980)</f>
        <v/>
      </c>
      <c r="K980" s="10">
        <f>IF($A980="","",IF($I980=0,"",_xludf.AGGREGATE(14,6,Ventes_Encaissements!$C$6:$C$3005/(Ventes_Encaissements!$B$6:$B$3005=$A980),1)))</f>
        <v/>
      </c>
      <c r="L980" s="11">
        <f>IF($A980="","",COUNTIFS(Ventes_Detail!$B$6:$B$3005,$A980))</f>
        <v/>
      </c>
      <c r="M980" s="12" t="n"/>
      <c r="N980" s="12">
        <f>IF($A980="","",IF($G980="","",IF($M980="Oui","Litige",IF($J980&lt;=0,"Payé",IF($I980&gt;0,"Partiel",IF(Listes!$B$3&gt;$G980,"En retard","À échoir"))))))</f>
        <v/>
      </c>
      <c r="O980" s="11">
        <f>IF($A980="","",IF(OR($G980="", $J980&lt;=0),0,MAX(0,Listes!$B$3-$G980)))</f>
        <v/>
      </c>
      <c r="P980" s="12">
        <f>IF($A980="","",IF($J980&lt;=0,"Payé",IF($M980="Oui","Litige",IF($O980=0,"À échoir",IF($O980&lt;=30,"0-30",IF($O980&lt;=60,"31-60",IF($O980&lt;=90,"61-90","90+")))))))</f>
        <v/>
      </c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9">
        <f>IF($A981="","",SUMIFS(Ventes_Encaissements!$D$6:$D$3005,Ventes_Encaissements!$B$6:$B$3005,$A981))</f>
        <v/>
      </c>
      <c r="J981" s="9">
        <f>IF($A981="","",$H981-$I981)</f>
        <v/>
      </c>
      <c r="K981" s="10">
        <f>IF($A981="","",IF($I981=0,"",_xludf.AGGREGATE(14,6,Ventes_Encaissements!$C$6:$C$3005/(Ventes_Encaissements!$B$6:$B$3005=$A981),1)))</f>
        <v/>
      </c>
      <c r="L981" s="11">
        <f>IF($A981="","",COUNTIFS(Ventes_Detail!$B$6:$B$3005,$A981))</f>
        <v/>
      </c>
      <c r="M981" s="12" t="n"/>
      <c r="N981" s="12">
        <f>IF($A981="","",IF($G981="","",IF($M981="Oui","Litige",IF($J981&lt;=0,"Payé",IF($I981&gt;0,"Partiel",IF(Listes!$B$3&gt;$G981,"En retard","À échoir"))))))</f>
        <v/>
      </c>
      <c r="O981" s="11">
        <f>IF($A981="","",IF(OR($G981="", $J981&lt;=0),0,MAX(0,Listes!$B$3-$G981)))</f>
        <v/>
      </c>
      <c r="P981" s="12">
        <f>IF($A981="","",IF($J981&lt;=0,"Payé",IF($M981="Oui","Litige",IF($O981=0,"À échoir",IF($O981&lt;=30,"0-30",IF($O981&lt;=60,"31-60",IF($O981&lt;=90,"61-90","90+")))))))</f>
        <v/>
      </c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9">
        <f>IF($A982="","",SUMIFS(Ventes_Encaissements!$D$6:$D$3005,Ventes_Encaissements!$B$6:$B$3005,$A982))</f>
        <v/>
      </c>
      <c r="J982" s="9">
        <f>IF($A982="","",$H982-$I982)</f>
        <v/>
      </c>
      <c r="K982" s="10">
        <f>IF($A982="","",IF($I982=0,"",_xludf.AGGREGATE(14,6,Ventes_Encaissements!$C$6:$C$3005/(Ventes_Encaissements!$B$6:$B$3005=$A982),1)))</f>
        <v/>
      </c>
      <c r="L982" s="11">
        <f>IF($A982="","",COUNTIFS(Ventes_Detail!$B$6:$B$3005,$A982))</f>
        <v/>
      </c>
      <c r="M982" s="12" t="n"/>
      <c r="N982" s="12">
        <f>IF($A982="","",IF($G982="","",IF($M982="Oui","Litige",IF($J982&lt;=0,"Payé",IF($I982&gt;0,"Partiel",IF(Listes!$B$3&gt;$G982,"En retard","À échoir"))))))</f>
        <v/>
      </c>
      <c r="O982" s="11">
        <f>IF($A982="","",IF(OR($G982="", $J982&lt;=0),0,MAX(0,Listes!$B$3-$G982)))</f>
        <v/>
      </c>
      <c r="P982" s="12">
        <f>IF($A982="","",IF($J982&lt;=0,"Payé",IF($M982="Oui","Litige",IF($O982=0,"À échoir",IF($O982&lt;=30,"0-30",IF($O982&lt;=60,"31-60",IF($O982&lt;=90,"61-90","90+")))))))</f>
        <v/>
      </c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9">
        <f>IF($A983="","",SUMIFS(Ventes_Encaissements!$D$6:$D$3005,Ventes_Encaissements!$B$6:$B$3005,$A983))</f>
        <v/>
      </c>
      <c r="J983" s="9">
        <f>IF($A983="","",$H983-$I983)</f>
        <v/>
      </c>
      <c r="K983" s="10">
        <f>IF($A983="","",IF($I983=0,"",_xludf.AGGREGATE(14,6,Ventes_Encaissements!$C$6:$C$3005/(Ventes_Encaissements!$B$6:$B$3005=$A983),1)))</f>
        <v/>
      </c>
      <c r="L983" s="11">
        <f>IF($A983="","",COUNTIFS(Ventes_Detail!$B$6:$B$3005,$A983))</f>
        <v/>
      </c>
      <c r="M983" s="12" t="n"/>
      <c r="N983" s="12">
        <f>IF($A983="","",IF($G983="","",IF($M983="Oui","Litige",IF($J983&lt;=0,"Payé",IF($I983&gt;0,"Partiel",IF(Listes!$B$3&gt;$G983,"En retard","À échoir"))))))</f>
        <v/>
      </c>
      <c r="O983" s="11">
        <f>IF($A983="","",IF(OR($G983="", $J983&lt;=0),0,MAX(0,Listes!$B$3-$G983)))</f>
        <v/>
      </c>
      <c r="P983" s="12">
        <f>IF($A983="","",IF($J983&lt;=0,"Payé",IF($M983="Oui","Litige",IF($O983=0,"À échoir",IF($O983&lt;=30,"0-30",IF($O983&lt;=60,"31-60",IF($O983&lt;=90,"61-90","90+")))))))</f>
        <v/>
      </c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9">
        <f>IF($A984="","",SUMIFS(Ventes_Encaissements!$D$6:$D$3005,Ventes_Encaissements!$B$6:$B$3005,$A984))</f>
        <v/>
      </c>
      <c r="J984" s="9">
        <f>IF($A984="","",$H984-$I984)</f>
        <v/>
      </c>
      <c r="K984" s="10">
        <f>IF($A984="","",IF($I984=0,"",_xludf.AGGREGATE(14,6,Ventes_Encaissements!$C$6:$C$3005/(Ventes_Encaissements!$B$6:$B$3005=$A984),1)))</f>
        <v/>
      </c>
      <c r="L984" s="11">
        <f>IF($A984="","",COUNTIFS(Ventes_Detail!$B$6:$B$3005,$A984))</f>
        <v/>
      </c>
      <c r="M984" s="12" t="n"/>
      <c r="N984" s="12">
        <f>IF($A984="","",IF($G984="","",IF($M984="Oui","Litige",IF($J984&lt;=0,"Payé",IF($I984&gt;0,"Partiel",IF(Listes!$B$3&gt;$G984,"En retard","À échoir"))))))</f>
        <v/>
      </c>
      <c r="O984" s="11">
        <f>IF($A984="","",IF(OR($G984="", $J984&lt;=0),0,MAX(0,Listes!$B$3-$G984)))</f>
        <v/>
      </c>
      <c r="P984" s="12">
        <f>IF($A984="","",IF($J984&lt;=0,"Payé",IF($M984="Oui","Litige",IF($O984=0,"À échoir",IF($O984&lt;=30,"0-30",IF($O984&lt;=60,"31-60",IF($O984&lt;=90,"61-90","90+")))))))</f>
        <v/>
      </c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9">
        <f>IF($A985="","",SUMIFS(Ventes_Encaissements!$D$6:$D$3005,Ventes_Encaissements!$B$6:$B$3005,$A985))</f>
        <v/>
      </c>
      <c r="J985" s="9">
        <f>IF($A985="","",$H985-$I985)</f>
        <v/>
      </c>
      <c r="K985" s="10">
        <f>IF($A985="","",IF($I985=0,"",_xludf.AGGREGATE(14,6,Ventes_Encaissements!$C$6:$C$3005/(Ventes_Encaissements!$B$6:$B$3005=$A985),1)))</f>
        <v/>
      </c>
      <c r="L985" s="11">
        <f>IF($A985="","",COUNTIFS(Ventes_Detail!$B$6:$B$3005,$A985))</f>
        <v/>
      </c>
      <c r="M985" s="12" t="n"/>
      <c r="N985" s="12">
        <f>IF($A985="","",IF($G985="","",IF($M985="Oui","Litige",IF($J985&lt;=0,"Payé",IF($I985&gt;0,"Partiel",IF(Listes!$B$3&gt;$G985,"En retard","À échoir"))))))</f>
        <v/>
      </c>
      <c r="O985" s="11">
        <f>IF($A985="","",IF(OR($G985="", $J985&lt;=0),0,MAX(0,Listes!$B$3-$G985)))</f>
        <v/>
      </c>
      <c r="P985" s="12">
        <f>IF($A985="","",IF($J985&lt;=0,"Payé",IF($M985="Oui","Litige",IF($O985=0,"À échoir",IF($O985&lt;=30,"0-30",IF($O985&lt;=60,"31-60",IF($O985&lt;=90,"61-90","90+")))))))</f>
        <v/>
      </c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9">
        <f>IF($A986="","",SUMIFS(Ventes_Encaissements!$D$6:$D$3005,Ventes_Encaissements!$B$6:$B$3005,$A986))</f>
        <v/>
      </c>
      <c r="J986" s="9">
        <f>IF($A986="","",$H986-$I986)</f>
        <v/>
      </c>
      <c r="K986" s="10">
        <f>IF($A986="","",IF($I986=0,"",_xludf.AGGREGATE(14,6,Ventes_Encaissements!$C$6:$C$3005/(Ventes_Encaissements!$B$6:$B$3005=$A986),1)))</f>
        <v/>
      </c>
      <c r="L986" s="11">
        <f>IF($A986="","",COUNTIFS(Ventes_Detail!$B$6:$B$3005,$A986))</f>
        <v/>
      </c>
      <c r="M986" s="12" t="n"/>
      <c r="N986" s="12">
        <f>IF($A986="","",IF($G986="","",IF($M986="Oui","Litige",IF($J986&lt;=0,"Payé",IF($I986&gt;0,"Partiel",IF(Listes!$B$3&gt;$G986,"En retard","À échoir"))))))</f>
        <v/>
      </c>
      <c r="O986" s="11">
        <f>IF($A986="","",IF(OR($G986="", $J986&lt;=0),0,MAX(0,Listes!$B$3-$G986)))</f>
        <v/>
      </c>
      <c r="P986" s="12">
        <f>IF($A986="","",IF($J986&lt;=0,"Payé",IF($M986="Oui","Litige",IF($O986=0,"À échoir",IF($O986&lt;=30,"0-30",IF($O986&lt;=60,"31-60",IF($O986&lt;=90,"61-90","90+")))))))</f>
        <v/>
      </c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9">
        <f>IF($A987="","",SUMIFS(Ventes_Encaissements!$D$6:$D$3005,Ventes_Encaissements!$B$6:$B$3005,$A987))</f>
        <v/>
      </c>
      <c r="J987" s="9">
        <f>IF($A987="","",$H987-$I987)</f>
        <v/>
      </c>
      <c r="K987" s="10">
        <f>IF($A987="","",IF($I987=0,"",_xludf.AGGREGATE(14,6,Ventes_Encaissements!$C$6:$C$3005/(Ventes_Encaissements!$B$6:$B$3005=$A987),1)))</f>
        <v/>
      </c>
      <c r="L987" s="11">
        <f>IF($A987="","",COUNTIFS(Ventes_Detail!$B$6:$B$3005,$A987))</f>
        <v/>
      </c>
      <c r="M987" s="12" t="n"/>
      <c r="N987" s="12">
        <f>IF($A987="","",IF($G987="","",IF($M987="Oui","Litige",IF($J987&lt;=0,"Payé",IF($I987&gt;0,"Partiel",IF(Listes!$B$3&gt;$G987,"En retard","À échoir"))))))</f>
        <v/>
      </c>
      <c r="O987" s="11">
        <f>IF($A987="","",IF(OR($G987="", $J987&lt;=0),0,MAX(0,Listes!$B$3-$G987)))</f>
        <v/>
      </c>
      <c r="P987" s="12">
        <f>IF($A987="","",IF($J987&lt;=0,"Payé",IF($M987="Oui","Litige",IF($O987=0,"À échoir",IF($O987&lt;=30,"0-30",IF($O987&lt;=60,"31-60",IF($O987&lt;=90,"61-90","90+")))))))</f>
        <v/>
      </c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9">
        <f>IF($A988="","",SUMIFS(Ventes_Encaissements!$D$6:$D$3005,Ventes_Encaissements!$B$6:$B$3005,$A988))</f>
        <v/>
      </c>
      <c r="J988" s="9">
        <f>IF($A988="","",$H988-$I988)</f>
        <v/>
      </c>
      <c r="K988" s="10">
        <f>IF($A988="","",IF($I988=0,"",_xludf.AGGREGATE(14,6,Ventes_Encaissements!$C$6:$C$3005/(Ventes_Encaissements!$B$6:$B$3005=$A988),1)))</f>
        <v/>
      </c>
      <c r="L988" s="11">
        <f>IF($A988="","",COUNTIFS(Ventes_Detail!$B$6:$B$3005,$A988))</f>
        <v/>
      </c>
      <c r="M988" s="12" t="n"/>
      <c r="N988" s="12">
        <f>IF($A988="","",IF($G988="","",IF($M988="Oui","Litige",IF($J988&lt;=0,"Payé",IF($I988&gt;0,"Partiel",IF(Listes!$B$3&gt;$G988,"En retard","À échoir"))))))</f>
        <v/>
      </c>
      <c r="O988" s="11">
        <f>IF($A988="","",IF(OR($G988="", $J988&lt;=0),0,MAX(0,Listes!$B$3-$G988)))</f>
        <v/>
      </c>
      <c r="P988" s="12">
        <f>IF($A988="","",IF($J988&lt;=0,"Payé",IF($M988="Oui","Litige",IF($O988=0,"À échoir",IF($O988&lt;=30,"0-30",IF($O988&lt;=60,"31-60",IF($O988&lt;=90,"61-90","90+")))))))</f>
        <v/>
      </c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9">
        <f>IF($A989="","",SUMIFS(Ventes_Encaissements!$D$6:$D$3005,Ventes_Encaissements!$B$6:$B$3005,$A989))</f>
        <v/>
      </c>
      <c r="J989" s="9">
        <f>IF($A989="","",$H989-$I989)</f>
        <v/>
      </c>
      <c r="K989" s="10">
        <f>IF($A989="","",IF($I989=0,"",_xludf.AGGREGATE(14,6,Ventes_Encaissements!$C$6:$C$3005/(Ventes_Encaissements!$B$6:$B$3005=$A989),1)))</f>
        <v/>
      </c>
      <c r="L989" s="11">
        <f>IF($A989="","",COUNTIFS(Ventes_Detail!$B$6:$B$3005,$A989))</f>
        <v/>
      </c>
      <c r="M989" s="12" t="n"/>
      <c r="N989" s="12">
        <f>IF($A989="","",IF($G989="","",IF($M989="Oui","Litige",IF($J989&lt;=0,"Payé",IF($I989&gt;0,"Partiel",IF(Listes!$B$3&gt;$G989,"En retard","À échoir"))))))</f>
        <v/>
      </c>
      <c r="O989" s="11">
        <f>IF($A989="","",IF(OR($G989="", $J989&lt;=0),0,MAX(0,Listes!$B$3-$G989)))</f>
        <v/>
      </c>
      <c r="P989" s="12">
        <f>IF($A989="","",IF($J989&lt;=0,"Payé",IF($M989="Oui","Litige",IF($O989=0,"À échoir",IF($O989&lt;=30,"0-30",IF($O989&lt;=60,"31-60",IF($O989&lt;=90,"61-90","90+")))))))</f>
        <v/>
      </c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9">
        <f>IF($A990="","",SUMIFS(Ventes_Encaissements!$D$6:$D$3005,Ventes_Encaissements!$B$6:$B$3005,$A990))</f>
        <v/>
      </c>
      <c r="J990" s="9">
        <f>IF($A990="","",$H990-$I990)</f>
        <v/>
      </c>
      <c r="K990" s="10">
        <f>IF($A990="","",IF($I990=0,"",_xludf.AGGREGATE(14,6,Ventes_Encaissements!$C$6:$C$3005/(Ventes_Encaissements!$B$6:$B$3005=$A990),1)))</f>
        <v/>
      </c>
      <c r="L990" s="11">
        <f>IF($A990="","",COUNTIFS(Ventes_Detail!$B$6:$B$3005,$A990))</f>
        <v/>
      </c>
      <c r="M990" s="12" t="n"/>
      <c r="N990" s="12">
        <f>IF($A990="","",IF($G990="","",IF($M990="Oui","Litige",IF($J990&lt;=0,"Payé",IF($I990&gt;0,"Partiel",IF(Listes!$B$3&gt;$G990,"En retard","À échoir"))))))</f>
        <v/>
      </c>
      <c r="O990" s="11">
        <f>IF($A990="","",IF(OR($G990="", $J990&lt;=0),0,MAX(0,Listes!$B$3-$G990)))</f>
        <v/>
      </c>
      <c r="P990" s="12">
        <f>IF($A990="","",IF($J990&lt;=0,"Payé",IF($M990="Oui","Litige",IF($O990=0,"À échoir",IF($O990&lt;=30,"0-30",IF($O990&lt;=60,"31-60",IF($O990&lt;=90,"61-90","90+")))))))</f>
        <v/>
      </c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9">
        <f>IF($A991="","",SUMIFS(Ventes_Encaissements!$D$6:$D$3005,Ventes_Encaissements!$B$6:$B$3005,$A991))</f>
        <v/>
      </c>
      <c r="J991" s="9">
        <f>IF($A991="","",$H991-$I991)</f>
        <v/>
      </c>
      <c r="K991" s="10">
        <f>IF($A991="","",IF($I991=0,"",_xludf.AGGREGATE(14,6,Ventes_Encaissements!$C$6:$C$3005/(Ventes_Encaissements!$B$6:$B$3005=$A991),1)))</f>
        <v/>
      </c>
      <c r="L991" s="11">
        <f>IF($A991="","",COUNTIFS(Ventes_Detail!$B$6:$B$3005,$A991))</f>
        <v/>
      </c>
      <c r="M991" s="12" t="n"/>
      <c r="N991" s="12">
        <f>IF($A991="","",IF($G991="","",IF($M991="Oui","Litige",IF($J991&lt;=0,"Payé",IF($I991&gt;0,"Partiel",IF(Listes!$B$3&gt;$G991,"En retard","À échoir"))))))</f>
        <v/>
      </c>
      <c r="O991" s="11">
        <f>IF($A991="","",IF(OR($G991="", $J991&lt;=0),0,MAX(0,Listes!$B$3-$G991)))</f>
        <v/>
      </c>
      <c r="P991" s="12">
        <f>IF($A991="","",IF($J991&lt;=0,"Payé",IF($M991="Oui","Litige",IF($O991=0,"À échoir",IF($O991&lt;=30,"0-30",IF($O991&lt;=60,"31-60",IF($O991&lt;=90,"61-90","90+")))))))</f>
        <v/>
      </c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9">
        <f>IF($A992="","",SUMIFS(Ventes_Encaissements!$D$6:$D$3005,Ventes_Encaissements!$B$6:$B$3005,$A992))</f>
        <v/>
      </c>
      <c r="J992" s="9">
        <f>IF($A992="","",$H992-$I992)</f>
        <v/>
      </c>
      <c r="K992" s="10">
        <f>IF($A992="","",IF($I992=0,"",_xludf.AGGREGATE(14,6,Ventes_Encaissements!$C$6:$C$3005/(Ventes_Encaissements!$B$6:$B$3005=$A992),1)))</f>
        <v/>
      </c>
      <c r="L992" s="11">
        <f>IF($A992="","",COUNTIFS(Ventes_Detail!$B$6:$B$3005,$A992))</f>
        <v/>
      </c>
      <c r="M992" s="12" t="n"/>
      <c r="N992" s="12">
        <f>IF($A992="","",IF($G992="","",IF($M992="Oui","Litige",IF($J992&lt;=0,"Payé",IF($I992&gt;0,"Partiel",IF(Listes!$B$3&gt;$G992,"En retard","À échoir"))))))</f>
        <v/>
      </c>
      <c r="O992" s="11">
        <f>IF($A992="","",IF(OR($G992="", $J992&lt;=0),0,MAX(0,Listes!$B$3-$G992)))</f>
        <v/>
      </c>
      <c r="P992" s="12">
        <f>IF($A992="","",IF($J992&lt;=0,"Payé",IF($M992="Oui","Litige",IF($O992=0,"À échoir",IF($O992&lt;=30,"0-30",IF($O992&lt;=60,"31-60",IF($O992&lt;=90,"61-90","90+")))))))</f>
        <v/>
      </c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9">
        <f>IF($A993="","",SUMIFS(Ventes_Encaissements!$D$6:$D$3005,Ventes_Encaissements!$B$6:$B$3005,$A993))</f>
        <v/>
      </c>
      <c r="J993" s="9">
        <f>IF($A993="","",$H993-$I993)</f>
        <v/>
      </c>
      <c r="K993" s="10">
        <f>IF($A993="","",IF($I993=0,"",_xludf.AGGREGATE(14,6,Ventes_Encaissements!$C$6:$C$3005/(Ventes_Encaissements!$B$6:$B$3005=$A993),1)))</f>
        <v/>
      </c>
      <c r="L993" s="11">
        <f>IF($A993="","",COUNTIFS(Ventes_Detail!$B$6:$B$3005,$A993))</f>
        <v/>
      </c>
      <c r="M993" s="12" t="n"/>
      <c r="N993" s="12">
        <f>IF($A993="","",IF($G993="","",IF($M993="Oui","Litige",IF($J993&lt;=0,"Payé",IF($I993&gt;0,"Partiel",IF(Listes!$B$3&gt;$G993,"En retard","À échoir"))))))</f>
        <v/>
      </c>
      <c r="O993" s="11">
        <f>IF($A993="","",IF(OR($G993="", $J993&lt;=0),0,MAX(0,Listes!$B$3-$G993)))</f>
        <v/>
      </c>
      <c r="P993" s="12">
        <f>IF($A993="","",IF($J993&lt;=0,"Payé",IF($M993="Oui","Litige",IF($O993=0,"À échoir",IF($O993&lt;=30,"0-30",IF($O993&lt;=60,"31-60",IF($O993&lt;=90,"61-90","90+")))))))</f>
        <v/>
      </c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9">
        <f>IF($A994="","",SUMIFS(Ventes_Encaissements!$D$6:$D$3005,Ventes_Encaissements!$B$6:$B$3005,$A994))</f>
        <v/>
      </c>
      <c r="J994" s="9">
        <f>IF($A994="","",$H994-$I994)</f>
        <v/>
      </c>
      <c r="K994" s="10">
        <f>IF($A994="","",IF($I994=0,"",_xludf.AGGREGATE(14,6,Ventes_Encaissements!$C$6:$C$3005/(Ventes_Encaissements!$B$6:$B$3005=$A994),1)))</f>
        <v/>
      </c>
      <c r="L994" s="11">
        <f>IF($A994="","",COUNTIFS(Ventes_Detail!$B$6:$B$3005,$A994))</f>
        <v/>
      </c>
      <c r="M994" s="12" t="n"/>
      <c r="N994" s="12">
        <f>IF($A994="","",IF($G994="","",IF($M994="Oui","Litige",IF($J994&lt;=0,"Payé",IF($I994&gt;0,"Partiel",IF(Listes!$B$3&gt;$G994,"En retard","À échoir"))))))</f>
        <v/>
      </c>
      <c r="O994" s="11">
        <f>IF($A994="","",IF(OR($G994="", $J994&lt;=0),0,MAX(0,Listes!$B$3-$G994)))</f>
        <v/>
      </c>
      <c r="P994" s="12">
        <f>IF($A994="","",IF($J994&lt;=0,"Payé",IF($M994="Oui","Litige",IF($O994=0,"À échoir",IF($O994&lt;=30,"0-30",IF($O994&lt;=60,"31-60",IF($O994&lt;=90,"61-90","90+")))))))</f>
        <v/>
      </c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9">
        <f>IF($A995="","",SUMIFS(Ventes_Encaissements!$D$6:$D$3005,Ventes_Encaissements!$B$6:$B$3005,$A995))</f>
        <v/>
      </c>
      <c r="J995" s="9">
        <f>IF($A995="","",$H995-$I995)</f>
        <v/>
      </c>
      <c r="K995" s="10">
        <f>IF($A995="","",IF($I995=0,"",_xludf.AGGREGATE(14,6,Ventes_Encaissements!$C$6:$C$3005/(Ventes_Encaissements!$B$6:$B$3005=$A995),1)))</f>
        <v/>
      </c>
      <c r="L995" s="11">
        <f>IF($A995="","",COUNTIFS(Ventes_Detail!$B$6:$B$3005,$A995))</f>
        <v/>
      </c>
      <c r="M995" s="12" t="n"/>
      <c r="N995" s="12">
        <f>IF($A995="","",IF($G995="","",IF($M995="Oui","Litige",IF($J995&lt;=0,"Payé",IF($I995&gt;0,"Partiel",IF(Listes!$B$3&gt;$G995,"En retard","À échoir"))))))</f>
        <v/>
      </c>
      <c r="O995" s="11">
        <f>IF($A995="","",IF(OR($G995="", $J995&lt;=0),0,MAX(0,Listes!$B$3-$G995)))</f>
        <v/>
      </c>
      <c r="P995" s="12">
        <f>IF($A995="","",IF($J995&lt;=0,"Payé",IF($M995="Oui","Litige",IF($O995=0,"À échoir",IF($O995&lt;=30,"0-30",IF($O995&lt;=60,"31-60",IF($O995&lt;=90,"61-90","90+")))))))</f>
        <v/>
      </c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9">
        <f>IF($A996="","",SUMIFS(Ventes_Encaissements!$D$6:$D$3005,Ventes_Encaissements!$B$6:$B$3005,$A996))</f>
        <v/>
      </c>
      <c r="J996" s="9">
        <f>IF($A996="","",$H996-$I996)</f>
        <v/>
      </c>
      <c r="K996" s="10">
        <f>IF($A996="","",IF($I996=0,"",_xludf.AGGREGATE(14,6,Ventes_Encaissements!$C$6:$C$3005/(Ventes_Encaissements!$B$6:$B$3005=$A996),1)))</f>
        <v/>
      </c>
      <c r="L996" s="11">
        <f>IF($A996="","",COUNTIFS(Ventes_Detail!$B$6:$B$3005,$A996))</f>
        <v/>
      </c>
      <c r="M996" s="12" t="n"/>
      <c r="N996" s="12">
        <f>IF($A996="","",IF($G996="","",IF($M996="Oui","Litige",IF($J996&lt;=0,"Payé",IF($I996&gt;0,"Partiel",IF(Listes!$B$3&gt;$G996,"En retard","À échoir"))))))</f>
        <v/>
      </c>
      <c r="O996" s="11">
        <f>IF($A996="","",IF(OR($G996="", $J996&lt;=0),0,MAX(0,Listes!$B$3-$G996)))</f>
        <v/>
      </c>
      <c r="P996" s="12">
        <f>IF($A996="","",IF($J996&lt;=0,"Payé",IF($M996="Oui","Litige",IF($O996=0,"À échoir",IF($O996&lt;=30,"0-30",IF($O996&lt;=60,"31-60",IF($O996&lt;=90,"61-90","90+")))))))</f>
        <v/>
      </c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9">
        <f>IF($A997="","",SUMIFS(Ventes_Encaissements!$D$6:$D$3005,Ventes_Encaissements!$B$6:$B$3005,$A997))</f>
        <v/>
      </c>
      <c r="J997" s="9">
        <f>IF($A997="","",$H997-$I997)</f>
        <v/>
      </c>
      <c r="K997" s="10">
        <f>IF($A997="","",IF($I997=0,"",_xludf.AGGREGATE(14,6,Ventes_Encaissements!$C$6:$C$3005/(Ventes_Encaissements!$B$6:$B$3005=$A997),1)))</f>
        <v/>
      </c>
      <c r="L997" s="11">
        <f>IF($A997="","",COUNTIFS(Ventes_Detail!$B$6:$B$3005,$A997))</f>
        <v/>
      </c>
      <c r="M997" s="12" t="n"/>
      <c r="N997" s="12">
        <f>IF($A997="","",IF($G997="","",IF($M997="Oui","Litige",IF($J997&lt;=0,"Payé",IF($I997&gt;0,"Partiel",IF(Listes!$B$3&gt;$G997,"En retard","À échoir"))))))</f>
        <v/>
      </c>
      <c r="O997" s="11">
        <f>IF($A997="","",IF(OR($G997="", $J997&lt;=0),0,MAX(0,Listes!$B$3-$G997)))</f>
        <v/>
      </c>
      <c r="P997" s="12">
        <f>IF($A997="","",IF($J997&lt;=0,"Payé",IF($M997="Oui","Litige",IF($O997=0,"À échoir",IF($O997&lt;=30,"0-30",IF($O997&lt;=60,"31-60",IF($O997&lt;=90,"61-90","90+")))))))</f>
        <v/>
      </c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9">
        <f>IF($A998="","",SUMIFS(Ventes_Encaissements!$D$6:$D$3005,Ventes_Encaissements!$B$6:$B$3005,$A998))</f>
        <v/>
      </c>
      <c r="J998" s="9">
        <f>IF($A998="","",$H998-$I998)</f>
        <v/>
      </c>
      <c r="K998" s="10">
        <f>IF($A998="","",IF($I998=0,"",_xludf.AGGREGATE(14,6,Ventes_Encaissements!$C$6:$C$3005/(Ventes_Encaissements!$B$6:$B$3005=$A998),1)))</f>
        <v/>
      </c>
      <c r="L998" s="11">
        <f>IF($A998="","",COUNTIFS(Ventes_Detail!$B$6:$B$3005,$A998))</f>
        <v/>
      </c>
      <c r="M998" s="12" t="n"/>
      <c r="N998" s="12">
        <f>IF($A998="","",IF($G998="","",IF($M998="Oui","Litige",IF($J998&lt;=0,"Payé",IF($I998&gt;0,"Partiel",IF(Listes!$B$3&gt;$G998,"En retard","À échoir"))))))</f>
        <v/>
      </c>
      <c r="O998" s="11">
        <f>IF($A998="","",IF(OR($G998="", $J998&lt;=0),0,MAX(0,Listes!$B$3-$G998)))</f>
        <v/>
      </c>
      <c r="P998" s="12">
        <f>IF($A998="","",IF($J998&lt;=0,"Payé",IF($M998="Oui","Litige",IF($O998=0,"À échoir",IF($O998&lt;=30,"0-30",IF($O998&lt;=60,"31-60",IF($O998&lt;=90,"61-90","90+")))))))</f>
        <v/>
      </c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9">
        <f>IF($A999="","",SUMIFS(Ventes_Encaissements!$D$6:$D$3005,Ventes_Encaissements!$B$6:$B$3005,$A999))</f>
        <v/>
      </c>
      <c r="J999" s="9">
        <f>IF($A999="","",$H999-$I999)</f>
        <v/>
      </c>
      <c r="K999" s="10">
        <f>IF($A999="","",IF($I999=0,"",_xludf.AGGREGATE(14,6,Ventes_Encaissements!$C$6:$C$3005/(Ventes_Encaissements!$B$6:$B$3005=$A999),1)))</f>
        <v/>
      </c>
      <c r="L999" s="11">
        <f>IF($A999="","",COUNTIFS(Ventes_Detail!$B$6:$B$3005,$A999))</f>
        <v/>
      </c>
      <c r="M999" s="12" t="n"/>
      <c r="N999" s="12">
        <f>IF($A999="","",IF($G999="","",IF($M999="Oui","Litige",IF($J999&lt;=0,"Payé",IF($I999&gt;0,"Partiel",IF(Listes!$B$3&gt;$G999,"En retard","À échoir"))))))</f>
        <v/>
      </c>
      <c r="O999" s="11">
        <f>IF($A999="","",IF(OR($G999="", $J999&lt;=0),0,MAX(0,Listes!$B$3-$G999)))</f>
        <v/>
      </c>
      <c r="P999" s="12">
        <f>IF($A999="","",IF($J999&lt;=0,"Payé",IF($M999="Oui","Litige",IF($O999=0,"À échoir",IF($O999&lt;=30,"0-30",IF($O999&lt;=60,"31-60",IF($O999&lt;=90,"61-90","90+")))))))</f>
        <v/>
      </c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9">
        <f>IF($A1000="","",SUMIFS(Ventes_Encaissements!$D$6:$D$3005,Ventes_Encaissements!$B$6:$B$3005,$A1000))</f>
        <v/>
      </c>
      <c r="J1000" s="9">
        <f>IF($A1000="","",$H1000-$I1000)</f>
        <v/>
      </c>
      <c r="K1000" s="10">
        <f>IF($A1000="","",IF($I1000=0,"",_xludf.AGGREGATE(14,6,Ventes_Encaissements!$C$6:$C$3005/(Ventes_Encaissements!$B$6:$B$3005=$A1000),1)))</f>
        <v/>
      </c>
      <c r="L1000" s="11">
        <f>IF($A1000="","",COUNTIFS(Ventes_Detail!$B$6:$B$3005,$A1000))</f>
        <v/>
      </c>
      <c r="M1000" s="12" t="n"/>
      <c r="N1000" s="12">
        <f>IF($A1000="","",IF($G1000="","",IF($M1000="Oui","Litige",IF($J1000&lt;=0,"Payé",IF($I1000&gt;0,"Partiel",IF(Listes!$B$3&gt;$G1000,"En retard","À échoir"))))))</f>
        <v/>
      </c>
      <c r="O1000" s="11">
        <f>IF($A1000="","",IF(OR($G1000="", $J1000&lt;=0),0,MAX(0,Listes!$B$3-$G1000)))</f>
        <v/>
      </c>
      <c r="P1000" s="12">
        <f>IF($A1000="","",IF($J1000&lt;=0,"Payé",IF($M1000="Oui","Litige",IF($O1000=0,"À échoir",IF($O1000&lt;=30,"0-30",IF($O1000&lt;=60,"31-60",IF($O1000&lt;=90,"61-90","90+")))))))</f>
        <v/>
      </c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9">
        <f>IF($A1001="","",SUMIFS(Ventes_Encaissements!$D$6:$D$3005,Ventes_Encaissements!$B$6:$B$3005,$A1001))</f>
        <v/>
      </c>
      <c r="J1001" s="9">
        <f>IF($A1001="","",$H1001-$I1001)</f>
        <v/>
      </c>
      <c r="K1001" s="10">
        <f>IF($A1001="","",IF($I1001=0,"",_xludf.AGGREGATE(14,6,Ventes_Encaissements!$C$6:$C$3005/(Ventes_Encaissements!$B$6:$B$3005=$A1001),1)))</f>
        <v/>
      </c>
      <c r="L1001" s="11">
        <f>IF($A1001="","",COUNTIFS(Ventes_Detail!$B$6:$B$3005,$A1001))</f>
        <v/>
      </c>
      <c r="M1001" s="12" t="n"/>
      <c r="N1001" s="12">
        <f>IF($A1001="","",IF($G1001="","",IF($M1001="Oui","Litige",IF($J1001&lt;=0,"Payé",IF($I1001&gt;0,"Partiel",IF(Listes!$B$3&gt;$G1001,"En retard","À échoir"))))))</f>
        <v/>
      </c>
      <c r="O1001" s="11">
        <f>IF($A1001="","",IF(OR($G1001="", $J1001&lt;=0),0,MAX(0,Listes!$B$3-$G1001)))</f>
        <v/>
      </c>
      <c r="P1001" s="12">
        <f>IF($A1001="","",IF($J1001&lt;=0,"Payé",IF($M1001="Oui","Litige",IF($O1001=0,"À échoir",IF($O1001&lt;=30,"0-30",IF($O1001&lt;=60,"31-60",IF($O1001&lt;=90,"61-90","90+")))))))</f>
        <v/>
      </c>
    </row>
    <row r="1002">
      <c r="A1002" s="6" t="n"/>
      <c r="B1002" s="6" t="n"/>
      <c r="C1002" s="6" t="n"/>
      <c r="D1002" s="6" t="n"/>
      <c r="E1002" s="6" t="n"/>
      <c r="F1002" s="7" t="n"/>
      <c r="G1002" s="7" t="n"/>
      <c r="H1002" s="8" t="n"/>
      <c r="I1002" s="9">
        <f>IF($A1002="","",SUMIFS(Ventes_Encaissements!$D$6:$D$3005,Ventes_Encaissements!$B$6:$B$3005,$A1002))</f>
        <v/>
      </c>
      <c r="J1002" s="9">
        <f>IF($A1002="","",$H1002-$I1002)</f>
        <v/>
      </c>
      <c r="K1002" s="10">
        <f>IF($A1002="","",IF($I1002=0,"",_xludf.AGGREGATE(14,6,Ventes_Encaissements!$C$6:$C$3005/(Ventes_Encaissements!$B$6:$B$3005=$A1002),1)))</f>
        <v/>
      </c>
      <c r="L1002" s="11">
        <f>IF($A1002="","",COUNTIFS(Ventes_Detail!$B$6:$B$3005,$A1002))</f>
        <v/>
      </c>
      <c r="M1002" s="12" t="n"/>
      <c r="N1002" s="12">
        <f>IF($A1002="","",IF($G1002="","",IF($M1002="Oui","Litige",IF($J1002&lt;=0,"Payé",IF($I1002&gt;0,"Partiel",IF(Listes!$B$3&gt;$G1002,"En retard","À échoir"))))))</f>
        <v/>
      </c>
      <c r="O1002" s="11">
        <f>IF($A1002="","",IF(OR($G1002="", $J1002&lt;=0),0,MAX(0,Listes!$B$3-$G1002)))</f>
        <v/>
      </c>
      <c r="P1002" s="12">
        <f>IF($A1002="","",IF($J1002&lt;=0,"Payé",IF($M1002="Oui","Litige",IF($O1002=0,"À échoir",IF($O1002&lt;=30,"0-30",IF($O1002&lt;=60,"31-60",IF($O1002&lt;=90,"61-90","90+")))))))</f>
        <v/>
      </c>
    </row>
    <row r="1003">
      <c r="A1003" s="6" t="n"/>
      <c r="B1003" s="6" t="n"/>
      <c r="C1003" s="6" t="n"/>
      <c r="D1003" s="6" t="n"/>
      <c r="E1003" s="6" t="n"/>
      <c r="F1003" s="7" t="n"/>
      <c r="G1003" s="7" t="n"/>
      <c r="H1003" s="8" t="n"/>
      <c r="I1003" s="9">
        <f>IF($A1003="","",SUMIFS(Ventes_Encaissements!$D$6:$D$3005,Ventes_Encaissements!$B$6:$B$3005,$A1003))</f>
        <v/>
      </c>
      <c r="J1003" s="9">
        <f>IF($A1003="","",$H1003-$I1003)</f>
        <v/>
      </c>
      <c r="K1003" s="10">
        <f>IF($A1003="","",IF($I1003=0,"",_xludf.AGGREGATE(14,6,Ventes_Encaissements!$C$6:$C$3005/(Ventes_Encaissements!$B$6:$B$3005=$A1003),1)))</f>
        <v/>
      </c>
      <c r="L1003" s="11">
        <f>IF($A1003="","",COUNTIFS(Ventes_Detail!$B$6:$B$3005,$A1003))</f>
        <v/>
      </c>
      <c r="M1003" s="12" t="n"/>
      <c r="N1003" s="12">
        <f>IF($A1003="","",IF($G1003="","",IF($M1003="Oui","Litige",IF($J1003&lt;=0,"Payé",IF($I1003&gt;0,"Partiel",IF(Listes!$B$3&gt;$G1003,"En retard","À échoir"))))))</f>
        <v/>
      </c>
      <c r="O1003" s="11">
        <f>IF($A1003="","",IF(OR($G1003="", $J1003&lt;=0),0,MAX(0,Listes!$B$3-$G1003)))</f>
        <v/>
      </c>
      <c r="P1003" s="12">
        <f>IF($A1003="","",IF($J1003&lt;=0,"Payé",IF($M1003="Oui","Litige",IF($O1003=0,"À échoir",IF($O1003&lt;=30,"0-30",IF($O1003&lt;=60,"31-60",IF($O1003&lt;=90,"61-90","90+")))))))</f>
        <v/>
      </c>
    </row>
    <row r="1004">
      <c r="A1004" s="6" t="n"/>
      <c r="B1004" s="6" t="n"/>
      <c r="C1004" s="6" t="n"/>
      <c r="D1004" s="6" t="n"/>
      <c r="E1004" s="6" t="n"/>
      <c r="F1004" s="7" t="n"/>
      <c r="G1004" s="7" t="n"/>
      <c r="H1004" s="8" t="n"/>
      <c r="I1004" s="9">
        <f>IF($A1004="","",SUMIFS(Ventes_Encaissements!$D$6:$D$3005,Ventes_Encaissements!$B$6:$B$3005,$A1004))</f>
        <v/>
      </c>
      <c r="J1004" s="9">
        <f>IF($A1004="","",$H1004-$I1004)</f>
        <v/>
      </c>
      <c r="K1004" s="10">
        <f>IF($A1004="","",IF($I1004=0,"",_xludf.AGGREGATE(14,6,Ventes_Encaissements!$C$6:$C$3005/(Ventes_Encaissements!$B$6:$B$3005=$A1004),1)))</f>
        <v/>
      </c>
      <c r="L1004" s="11">
        <f>IF($A1004="","",COUNTIFS(Ventes_Detail!$B$6:$B$3005,$A1004))</f>
        <v/>
      </c>
      <c r="M1004" s="12" t="n"/>
      <c r="N1004" s="12">
        <f>IF($A1004="","",IF($G1004="","",IF($M1004="Oui","Litige",IF($J1004&lt;=0,"Payé",IF($I1004&gt;0,"Partiel",IF(Listes!$B$3&gt;$G1004,"En retard","À échoir"))))))</f>
        <v/>
      </c>
      <c r="O1004" s="11">
        <f>IF($A1004="","",IF(OR($G1004="", $J1004&lt;=0),0,MAX(0,Listes!$B$3-$G1004)))</f>
        <v/>
      </c>
      <c r="P1004" s="12">
        <f>IF($A1004="","",IF($J1004&lt;=0,"Payé",IF($M1004="Oui","Litige",IF($O1004=0,"À échoir",IF($O1004&lt;=30,"0-30",IF($O1004&lt;=60,"31-60",IF($O1004&lt;=90,"61-90","90+")))))))</f>
        <v/>
      </c>
    </row>
    <row r="1005">
      <c r="A1005" s="6" t="n"/>
      <c r="B1005" s="6" t="n"/>
      <c r="C1005" s="6" t="n"/>
      <c r="D1005" s="6" t="n"/>
      <c r="E1005" s="6" t="n"/>
      <c r="F1005" s="7" t="n"/>
      <c r="G1005" s="7" t="n"/>
      <c r="H1005" s="8" t="n"/>
      <c r="I1005" s="9">
        <f>IF($A1005="","",SUMIFS(Ventes_Encaissements!$D$6:$D$3005,Ventes_Encaissements!$B$6:$B$3005,$A1005))</f>
        <v/>
      </c>
      <c r="J1005" s="9">
        <f>IF($A1005="","",$H1005-$I1005)</f>
        <v/>
      </c>
      <c r="K1005" s="10">
        <f>IF($A1005="","",IF($I1005=0,"",_xludf.AGGREGATE(14,6,Ventes_Encaissements!$C$6:$C$3005/(Ventes_Encaissements!$B$6:$B$3005=$A1005),1)))</f>
        <v/>
      </c>
      <c r="L1005" s="11">
        <f>IF($A1005="","",COUNTIFS(Ventes_Detail!$B$6:$B$3005,$A1005))</f>
        <v/>
      </c>
      <c r="M1005" s="12" t="n"/>
      <c r="N1005" s="12">
        <f>IF($A1005="","",IF($G1005="","",IF($M1005="Oui","Litige",IF($J1005&lt;=0,"Payé",IF($I1005&gt;0,"Partiel",IF(Listes!$B$3&gt;$G1005,"En retard","À échoir"))))))</f>
        <v/>
      </c>
      <c r="O1005" s="11">
        <f>IF($A1005="","",IF(OR($G1005="", $J1005&lt;=0),0,MAX(0,Listes!$B$3-$G1005)))</f>
        <v/>
      </c>
      <c r="P1005" s="12">
        <f>IF($A1005="","",IF($J1005&lt;=0,"Payé",IF($M1005="Oui","Litige",IF($O1005=0,"À échoir",IF($O1005&lt;=30,"0-30",IF($O1005&lt;=60,"31-60",IF($O1005&lt;=90,"61-90","90+")))))))</f>
        <v/>
      </c>
    </row>
    <row r="1006">
      <c r="A1006" s="6" t="n"/>
      <c r="B1006" s="6" t="n"/>
      <c r="C1006" s="6" t="n"/>
      <c r="D1006" s="6" t="n"/>
      <c r="E1006" s="6" t="n"/>
      <c r="F1006" s="7" t="n"/>
      <c r="G1006" s="7" t="n"/>
      <c r="H1006" s="8" t="n"/>
      <c r="I1006" s="9">
        <f>IF($A1006="","",SUMIFS(Ventes_Encaissements!$D$6:$D$3005,Ventes_Encaissements!$B$6:$B$3005,$A1006))</f>
        <v/>
      </c>
      <c r="J1006" s="9">
        <f>IF($A1006="","",$H1006-$I1006)</f>
        <v/>
      </c>
      <c r="K1006" s="10">
        <f>IF($A1006="","",IF($I1006=0,"",_xludf.AGGREGATE(14,6,Ventes_Encaissements!$C$6:$C$3005/(Ventes_Encaissements!$B$6:$B$3005=$A1006),1)))</f>
        <v/>
      </c>
      <c r="L1006" s="11">
        <f>IF($A1006="","",COUNTIFS(Ventes_Detail!$B$6:$B$3005,$A1006))</f>
        <v/>
      </c>
      <c r="M1006" s="12" t="n"/>
      <c r="N1006" s="12">
        <f>IF($A1006="","",IF($G1006="","",IF($M1006="Oui","Litige",IF($J1006&lt;=0,"Payé",IF($I1006&gt;0,"Partiel",IF(Listes!$B$3&gt;$G1006,"En retard","À échoir"))))))</f>
        <v/>
      </c>
      <c r="O1006" s="11">
        <f>IF($A1006="","",IF(OR($G1006="", $J1006&lt;=0),0,MAX(0,Listes!$B$3-$G1006)))</f>
        <v/>
      </c>
      <c r="P1006" s="12">
        <f>IF($A1006="","",IF($J1006&lt;=0,"Payé",IF($M1006="Oui","Litige",IF($O1006=0,"À échoir",IF($O1006&lt;=30,"0-30",IF($O1006&lt;=60,"31-60",IF($O1006&lt;=90,"61-90","90+")))))))</f>
        <v/>
      </c>
    </row>
    <row r="1007">
      <c r="A1007" s="6" t="n"/>
      <c r="B1007" s="6" t="n"/>
      <c r="C1007" s="6" t="n"/>
      <c r="D1007" s="6" t="n"/>
      <c r="E1007" s="6" t="n"/>
      <c r="F1007" s="7" t="n"/>
      <c r="G1007" s="7" t="n"/>
      <c r="H1007" s="8" t="n"/>
      <c r="I1007" s="9">
        <f>IF($A1007="","",SUMIFS(Ventes_Encaissements!$D$6:$D$3005,Ventes_Encaissements!$B$6:$B$3005,$A1007))</f>
        <v/>
      </c>
      <c r="J1007" s="9">
        <f>IF($A1007="","",$H1007-$I1007)</f>
        <v/>
      </c>
      <c r="K1007" s="10">
        <f>IF($A1007="","",IF($I1007=0,"",_xludf.AGGREGATE(14,6,Ventes_Encaissements!$C$6:$C$3005/(Ventes_Encaissements!$B$6:$B$3005=$A1007),1)))</f>
        <v/>
      </c>
      <c r="L1007" s="11">
        <f>IF($A1007="","",COUNTIFS(Ventes_Detail!$B$6:$B$3005,$A1007))</f>
        <v/>
      </c>
      <c r="M1007" s="12" t="n"/>
      <c r="N1007" s="12">
        <f>IF($A1007="","",IF($G1007="","",IF($M1007="Oui","Litige",IF($J1007&lt;=0,"Payé",IF($I1007&gt;0,"Partiel",IF(Listes!$B$3&gt;$G1007,"En retard","À échoir"))))))</f>
        <v/>
      </c>
      <c r="O1007" s="11">
        <f>IF($A1007="","",IF(OR($G1007="", $J1007&lt;=0),0,MAX(0,Listes!$B$3-$G1007)))</f>
        <v/>
      </c>
      <c r="P1007" s="12">
        <f>IF($A1007="","",IF($J1007&lt;=0,"Payé",IF($M1007="Oui","Litige",IF($O1007=0,"À échoir",IF($O1007&lt;=30,"0-30",IF($O1007&lt;=60,"31-60",IF($O1007&lt;=90,"61-90","90+")))))))</f>
        <v/>
      </c>
    </row>
    <row r="1008">
      <c r="A1008" s="6" t="n"/>
      <c r="B1008" s="6" t="n"/>
      <c r="C1008" s="6" t="n"/>
      <c r="D1008" s="6" t="n"/>
      <c r="E1008" s="6" t="n"/>
      <c r="F1008" s="7" t="n"/>
      <c r="G1008" s="7" t="n"/>
      <c r="H1008" s="8" t="n"/>
      <c r="I1008" s="9">
        <f>IF($A1008="","",SUMIFS(Ventes_Encaissements!$D$6:$D$3005,Ventes_Encaissements!$B$6:$B$3005,$A1008))</f>
        <v/>
      </c>
      <c r="J1008" s="9">
        <f>IF($A1008="","",$H1008-$I1008)</f>
        <v/>
      </c>
      <c r="K1008" s="10">
        <f>IF($A1008="","",IF($I1008=0,"",_xludf.AGGREGATE(14,6,Ventes_Encaissements!$C$6:$C$3005/(Ventes_Encaissements!$B$6:$B$3005=$A1008),1)))</f>
        <v/>
      </c>
      <c r="L1008" s="11">
        <f>IF($A1008="","",COUNTIFS(Ventes_Detail!$B$6:$B$3005,$A1008))</f>
        <v/>
      </c>
      <c r="M1008" s="12" t="n"/>
      <c r="N1008" s="12">
        <f>IF($A1008="","",IF($G1008="","",IF($M1008="Oui","Litige",IF($J1008&lt;=0,"Payé",IF($I1008&gt;0,"Partiel",IF(Listes!$B$3&gt;$G1008,"En retard","À échoir"))))))</f>
        <v/>
      </c>
      <c r="O1008" s="11">
        <f>IF($A1008="","",IF(OR($G1008="", $J1008&lt;=0),0,MAX(0,Listes!$B$3-$G1008)))</f>
        <v/>
      </c>
      <c r="P1008" s="12">
        <f>IF($A1008="","",IF($J1008&lt;=0,"Payé",IF($M1008="Oui","Litige",IF($O1008=0,"À échoir",IF($O1008&lt;=30,"0-30",IF($O1008&lt;=60,"31-60",IF($O1008&lt;=90,"61-90","90+")))))))</f>
        <v/>
      </c>
    </row>
    <row r="1009">
      <c r="A1009" s="6" t="n"/>
      <c r="B1009" s="6" t="n"/>
      <c r="C1009" s="6" t="n"/>
      <c r="D1009" s="6" t="n"/>
      <c r="E1009" s="6" t="n"/>
      <c r="F1009" s="7" t="n"/>
      <c r="G1009" s="7" t="n"/>
      <c r="H1009" s="8" t="n"/>
      <c r="I1009" s="9">
        <f>IF($A1009="","",SUMIFS(Ventes_Encaissements!$D$6:$D$3005,Ventes_Encaissements!$B$6:$B$3005,$A1009))</f>
        <v/>
      </c>
      <c r="J1009" s="9">
        <f>IF($A1009="","",$H1009-$I1009)</f>
        <v/>
      </c>
      <c r="K1009" s="10">
        <f>IF($A1009="","",IF($I1009=0,"",_xludf.AGGREGATE(14,6,Ventes_Encaissements!$C$6:$C$3005/(Ventes_Encaissements!$B$6:$B$3005=$A1009),1)))</f>
        <v/>
      </c>
      <c r="L1009" s="11">
        <f>IF($A1009="","",COUNTIFS(Ventes_Detail!$B$6:$B$3005,$A1009))</f>
        <v/>
      </c>
      <c r="M1009" s="12" t="n"/>
      <c r="N1009" s="12">
        <f>IF($A1009="","",IF($G1009="","",IF($M1009="Oui","Litige",IF($J1009&lt;=0,"Payé",IF($I1009&gt;0,"Partiel",IF(Listes!$B$3&gt;$G1009,"En retard","À échoir"))))))</f>
        <v/>
      </c>
      <c r="O1009" s="11">
        <f>IF($A1009="","",IF(OR($G1009="", $J1009&lt;=0),0,MAX(0,Listes!$B$3-$G1009)))</f>
        <v/>
      </c>
      <c r="P1009" s="12">
        <f>IF($A1009="","",IF($J1009&lt;=0,"Payé",IF($M1009="Oui","Litige",IF($O1009=0,"À échoir",IF($O1009&lt;=30,"0-30",IF($O1009&lt;=60,"31-60",IF($O1009&lt;=90,"61-90","90+")))))))</f>
        <v/>
      </c>
    </row>
    <row r="1010">
      <c r="A1010" s="6" t="n"/>
      <c r="B1010" s="6" t="n"/>
      <c r="C1010" s="6" t="n"/>
      <c r="D1010" s="6" t="n"/>
      <c r="E1010" s="6" t="n"/>
      <c r="F1010" s="7" t="n"/>
      <c r="G1010" s="7" t="n"/>
      <c r="H1010" s="8" t="n"/>
      <c r="I1010" s="9">
        <f>IF($A1010="","",SUMIFS(Ventes_Encaissements!$D$6:$D$3005,Ventes_Encaissements!$B$6:$B$3005,$A1010))</f>
        <v/>
      </c>
      <c r="J1010" s="9">
        <f>IF($A1010="","",$H1010-$I1010)</f>
        <v/>
      </c>
      <c r="K1010" s="10">
        <f>IF($A1010="","",IF($I1010=0,"",_xludf.AGGREGATE(14,6,Ventes_Encaissements!$C$6:$C$3005/(Ventes_Encaissements!$B$6:$B$3005=$A1010),1)))</f>
        <v/>
      </c>
      <c r="L1010" s="11">
        <f>IF($A1010="","",COUNTIFS(Ventes_Detail!$B$6:$B$3005,$A1010))</f>
        <v/>
      </c>
      <c r="M1010" s="12" t="n"/>
      <c r="N1010" s="12">
        <f>IF($A1010="","",IF($G1010="","",IF($M1010="Oui","Litige",IF($J1010&lt;=0,"Payé",IF($I1010&gt;0,"Partiel",IF(Listes!$B$3&gt;$G1010,"En retard","À échoir"))))))</f>
        <v/>
      </c>
      <c r="O1010" s="11">
        <f>IF($A1010="","",IF(OR($G1010="", $J1010&lt;=0),0,MAX(0,Listes!$B$3-$G1010)))</f>
        <v/>
      </c>
      <c r="P1010" s="12">
        <f>IF($A1010="","",IF($J1010&lt;=0,"Payé",IF($M1010="Oui","Litige",IF($O1010=0,"À échoir",IF($O1010&lt;=30,"0-30",IF($O1010&lt;=60,"31-60",IF($O1010&lt;=90,"61-90","90+")))))))</f>
        <v/>
      </c>
    </row>
    <row r="1011">
      <c r="A1011" s="6" t="n"/>
      <c r="B1011" s="6" t="n"/>
      <c r="C1011" s="6" t="n"/>
      <c r="D1011" s="6" t="n"/>
      <c r="E1011" s="6" t="n"/>
      <c r="F1011" s="7" t="n"/>
      <c r="G1011" s="7" t="n"/>
      <c r="H1011" s="8" t="n"/>
      <c r="I1011" s="9">
        <f>IF($A1011="","",SUMIFS(Ventes_Encaissements!$D$6:$D$3005,Ventes_Encaissements!$B$6:$B$3005,$A1011))</f>
        <v/>
      </c>
      <c r="J1011" s="9">
        <f>IF($A1011="","",$H1011-$I1011)</f>
        <v/>
      </c>
      <c r="K1011" s="10">
        <f>IF($A1011="","",IF($I1011=0,"",_xludf.AGGREGATE(14,6,Ventes_Encaissements!$C$6:$C$3005/(Ventes_Encaissements!$B$6:$B$3005=$A1011),1)))</f>
        <v/>
      </c>
      <c r="L1011" s="11">
        <f>IF($A1011="","",COUNTIFS(Ventes_Detail!$B$6:$B$3005,$A1011))</f>
        <v/>
      </c>
      <c r="M1011" s="12" t="n"/>
      <c r="N1011" s="12">
        <f>IF($A1011="","",IF($G1011="","",IF($M1011="Oui","Litige",IF($J1011&lt;=0,"Payé",IF($I1011&gt;0,"Partiel",IF(Listes!$B$3&gt;$G1011,"En retard","À échoir"))))))</f>
        <v/>
      </c>
      <c r="O1011" s="11">
        <f>IF($A1011="","",IF(OR($G1011="", $J1011&lt;=0),0,MAX(0,Listes!$B$3-$G1011)))</f>
        <v/>
      </c>
      <c r="P1011" s="12">
        <f>IF($A1011="","",IF($J1011&lt;=0,"Payé",IF($M1011="Oui","Litige",IF($O1011=0,"À échoir",IF($O1011&lt;=30,"0-30",IF($O1011&lt;=60,"31-60",IF($O1011&lt;=90,"61-90","90+")))))))</f>
        <v/>
      </c>
    </row>
    <row r="1012">
      <c r="A1012" s="6" t="n"/>
      <c r="B1012" s="6" t="n"/>
      <c r="C1012" s="6" t="n"/>
      <c r="D1012" s="6" t="n"/>
      <c r="E1012" s="6" t="n"/>
      <c r="F1012" s="7" t="n"/>
      <c r="G1012" s="7" t="n"/>
      <c r="H1012" s="8" t="n"/>
      <c r="I1012" s="9">
        <f>IF($A1012="","",SUMIFS(Ventes_Encaissements!$D$6:$D$3005,Ventes_Encaissements!$B$6:$B$3005,$A1012))</f>
        <v/>
      </c>
      <c r="J1012" s="9">
        <f>IF($A1012="","",$H1012-$I1012)</f>
        <v/>
      </c>
      <c r="K1012" s="10">
        <f>IF($A1012="","",IF($I1012=0,"",_xludf.AGGREGATE(14,6,Ventes_Encaissements!$C$6:$C$3005/(Ventes_Encaissements!$B$6:$B$3005=$A1012),1)))</f>
        <v/>
      </c>
      <c r="L1012" s="11">
        <f>IF($A1012="","",COUNTIFS(Ventes_Detail!$B$6:$B$3005,$A1012))</f>
        <v/>
      </c>
      <c r="M1012" s="12" t="n"/>
      <c r="N1012" s="12">
        <f>IF($A1012="","",IF($G1012="","",IF($M1012="Oui","Litige",IF($J1012&lt;=0,"Payé",IF($I1012&gt;0,"Partiel",IF(Listes!$B$3&gt;$G1012,"En retard","À échoir"))))))</f>
        <v/>
      </c>
      <c r="O1012" s="11">
        <f>IF($A1012="","",IF(OR($G1012="", $J1012&lt;=0),0,MAX(0,Listes!$B$3-$G1012)))</f>
        <v/>
      </c>
      <c r="P1012" s="12">
        <f>IF($A1012="","",IF($J1012&lt;=0,"Payé",IF($M1012="Oui","Litige",IF($O1012=0,"À échoir",IF($O1012&lt;=30,"0-30",IF($O1012&lt;=60,"31-60",IF($O1012&lt;=90,"61-90","90+")))))))</f>
        <v/>
      </c>
    </row>
    <row r="1013">
      <c r="A1013" s="6" t="n"/>
      <c r="B1013" s="6" t="n"/>
      <c r="C1013" s="6" t="n"/>
      <c r="D1013" s="6" t="n"/>
      <c r="E1013" s="6" t="n"/>
      <c r="F1013" s="7" t="n"/>
      <c r="G1013" s="7" t="n"/>
      <c r="H1013" s="8" t="n"/>
      <c r="I1013" s="9">
        <f>IF($A1013="","",SUMIFS(Ventes_Encaissements!$D$6:$D$3005,Ventes_Encaissements!$B$6:$B$3005,$A1013))</f>
        <v/>
      </c>
      <c r="J1013" s="9">
        <f>IF($A1013="","",$H1013-$I1013)</f>
        <v/>
      </c>
      <c r="K1013" s="10">
        <f>IF($A1013="","",IF($I1013=0,"",_xludf.AGGREGATE(14,6,Ventes_Encaissements!$C$6:$C$3005/(Ventes_Encaissements!$B$6:$B$3005=$A1013),1)))</f>
        <v/>
      </c>
      <c r="L1013" s="11">
        <f>IF($A1013="","",COUNTIFS(Ventes_Detail!$B$6:$B$3005,$A1013))</f>
        <v/>
      </c>
      <c r="M1013" s="12" t="n"/>
      <c r="N1013" s="12">
        <f>IF($A1013="","",IF($G1013="","",IF($M1013="Oui","Litige",IF($J1013&lt;=0,"Payé",IF($I1013&gt;0,"Partiel",IF(Listes!$B$3&gt;$G1013,"En retard","À échoir"))))))</f>
        <v/>
      </c>
      <c r="O1013" s="11">
        <f>IF($A1013="","",IF(OR($G1013="", $J1013&lt;=0),0,MAX(0,Listes!$B$3-$G1013)))</f>
        <v/>
      </c>
      <c r="P1013" s="12">
        <f>IF($A1013="","",IF($J1013&lt;=0,"Payé",IF($M1013="Oui","Litige",IF($O1013=0,"À échoir",IF($O1013&lt;=30,"0-30",IF($O1013&lt;=60,"31-60",IF($O1013&lt;=90,"61-90","90+")))))))</f>
        <v/>
      </c>
    </row>
    <row r="1014">
      <c r="A1014" s="6" t="n"/>
      <c r="B1014" s="6" t="n"/>
      <c r="C1014" s="6" t="n"/>
      <c r="D1014" s="6" t="n"/>
      <c r="E1014" s="6" t="n"/>
      <c r="F1014" s="7" t="n"/>
      <c r="G1014" s="7" t="n"/>
      <c r="H1014" s="8" t="n"/>
      <c r="I1014" s="9">
        <f>IF($A1014="","",SUMIFS(Ventes_Encaissements!$D$6:$D$3005,Ventes_Encaissements!$B$6:$B$3005,$A1014))</f>
        <v/>
      </c>
      <c r="J1014" s="9">
        <f>IF($A1014="","",$H1014-$I1014)</f>
        <v/>
      </c>
      <c r="K1014" s="10">
        <f>IF($A1014="","",IF($I1014=0,"",_xludf.AGGREGATE(14,6,Ventes_Encaissements!$C$6:$C$3005/(Ventes_Encaissements!$B$6:$B$3005=$A1014),1)))</f>
        <v/>
      </c>
      <c r="L1014" s="11">
        <f>IF($A1014="","",COUNTIFS(Ventes_Detail!$B$6:$B$3005,$A1014))</f>
        <v/>
      </c>
      <c r="M1014" s="12" t="n"/>
      <c r="N1014" s="12">
        <f>IF($A1014="","",IF($G1014="","",IF($M1014="Oui","Litige",IF($J1014&lt;=0,"Payé",IF($I1014&gt;0,"Partiel",IF(Listes!$B$3&gt;$G1014,"En retard","À échoir"))))))</f>
        <v/>
      </c>
      <c r="O1014" s="11">
        <f>IF($A1014="","",IF(OR($G1014="", $J1014&lt;=0),0,MAX(0,Listes!$B$3-$G1014)))</f>
        <v/>
      </c>
      <c r="P1014" s="12">
        <f>IF($A1014="","",IF($J1014&lt;=0,"Payé",IF($M1014="Oui","Litige",IF($O1014=0,"À échoir",IF($O1014&lt;=30,"0-30",IF($O1014&lt;=60,"31-60",IF($O1014&lt;=90,"61-90","90+")))))))</f>
        <v/>
      </c>
    </row>
    <row r="1015">
      <c r="A1015" s="6" t="n"/>
      <c r="B1015" s="6" t="n"/>
      <c r="C1015" s="6" t="n"/>
      <c r="D1015" s="6" t="n"/>
      <c r="E1015" s="6" t="n"/>
      <c r="F1015" s="7" t="n"/>
      <c r="G1015" s="7" t="n"/>
      <c r="H1015" s="8" t="n"/>
      <c r="I1015" s="9">
        <f>IF($A1015="","",SUMIFS(Ventes_Encaissements!$D$6:$D$3005,Ventes_Encaissements!$B$6:$B$3005,$A1015))</f>
        <v/>
      </c>
      <c r="J1015" s="9">
        <f>IF($A1015="","",$H1015-$I1015)</f>
        <v/>
      </c>
      <c r="K1015" s="10">
        <f>IF($A1015="","",IF($I1015=0,"",_xludf.AGGREGATE(14,6,Ventes_Encaissements!$C$6:$C$3005/(Ventes_Encaissements!$B$6:$B$3005=$A1015),1)))</f>
        <v/>
      </c>
      <c r="L1015" s="11">
        <f>IF($A1015="","",COUNTIFS(Ventes_Detail!$B$6:$B$3005,$A1015))</f>
        <v/>
      </c>
      <c r="M1015" s="12" t="n"/>
      <c r="N1015" s="12">
        <f>IF($A1015="","",IF($G1015="","",IF($M1015="Oui","Litige",IF($J1015&lt;=0,"Payé",IF($I1015&gt;0,"Partiel",IF(Listes!$B$3&gt;$G1015,"En retard","À échoir"))))))</f>
        <v/>
      </c>
      <c r="O1015" s="11">
        <f>IF($A1015="","",IF(OR($G1015="", $J1015&lt;=0),0,MAX(0,Listes!$B$3-$G1015)))</f>
        <v/>
      </c>
      <c r="P1015" s="12">
        <f>IF($A1015="","",IF($J1015&lt;=0,"Payé",IF($M1015="Oui","Litige",IF($O1015=0,"À échoir",IF($O1015&lt;=30,"0-30",IF($O1015&lt;=60,"31-60",IF($O1015&lt;=90,"61-90","90+")))))))</f>
        <v/>
      </c>
    </row>
    <row r="1016">
      <c r="A1016" s="6" t="n"/>
      <c r="B1016" s="6" t="n"/>
      <c r="C1016" s="6" t="n"/>
      <c r="D1016" s="6" t="n"/>
      <c r="E1016" s="6" t="n"/>
      <c r="F1016" s="7" t="n"/>
      <c r="G1016" s="7" t="n"/>
      <c r="H1016" s="8" t="n"/>
      <c r="I1016" s="9">
        <f>IF($A1016="","",SUMIFS(Ventes_Encaissements!$D$6:$D$3005,Ventes_Encaissements!$B$6:$B$3005,$A1016))</f>
        <v/>
      </c>
      <c r="J1016" s="9">
        <f>IF($A1016="","",$H1016-$I1016)</f>
        <v/>
      </c>
      <c r="K1016" s="10">
        <f>IF($A1016="","",IF($I1016=0,"",_xludf.AGGREGATE(14,6,Ventes_Encaissements!$C$6:$C$3005/(Ventes_Encaissements!$B$6:$B$3005=$A1016),1)))</f>
        <v/>
      </c>
      <c r="L1016" s="11">
        <f>IF($A1016="","",COUNTIFS(Ventes_Detail!$B$6:$B$3005,$A1016))</f>
        <v/>
      </c>
      <c r="M1016" s="12" t="n"/>
      <c r="N1016" s="12">
        <f>IF($A1016="","",IF($G1016="","",IF($M1016="Oui","Litige",IF($J1016&lt;=0,"Payé",IF($I1016&gt;0,"Partiel",IF(Listes!$B$3&gt;$G1016,"En retard","À échoir"))))))</f>
        <v/>
      </c>
      <c r="O1016" s="11">
        <f>IF($A1016="","",IF(OR($G1016="", $J1016&lt;=0),0,MAX(0,Listes!$B$3-$G1016)))</f>
        <v/>
      </c>
      <c r="P1016" s="12">
        <f>IF($A1016="","",IF($J1016&lt;=0,"Payé",IF($M1016="Oui","Litige",IF($O1016=0,"À échoir",IF($O1016&lt;=30,"0-30",IF($O1016&lt;=60,"31-60",IF($O1016&lt;=90,"61-90","90+")))))))</f>
        <v/>
      </c>
    </row>
    <row r="1017">
      <c r="A1017" s="6" t="n"/>
      <c r="B1017" s="6" t="n"/>
      <c r="C1017" s="6" t="n"/>
      <c r="D1017" s="6" t="n"/>
      <c r="E1017" s="6" t="n"/>
      <c r="F1017" s="7" t="n"/>
      <c r="G1017" s="7" t="n"/>
      <c r="H1017" s="8" t="n"/>
      <c r="I1017" s="9">
        <f>IF($A1017="","",SUMIFS(Ventes_Encaissements!$D$6:$D$3005,Ventes_Encaissements!$B$6:$B$3005,$A1017))</f>
        <v/>
      </c>
      <c r="J1017" s="9">
        <f>IF($A1017="","",$H1017-$I1017)</f>
        <v/>
      </c>
      <c r="K1017" s="10">
        <f>IF($A1017="","",IF($I1017=0,"",_xludf.AGGREGATE(14,6,Ventes_Encaissements!$C$6:$C$3005/(Ventes_Encaissements!$B$6:$B$3005=$A1017),1)))</f>
        <v/>
      </c>
      <c r="L1017" s="11">
        <f>IF($A1017="","",COUNTIFS(Ventes_Detail!$B$6:$B$3005,$A1017))</f>
        <v/>
      </c>
      <c r="M1017" s="12" t="n"/>
      <c r="N1017" s="12">
        <f>IF($A1017="","",IF($G1017="","",IF($M1017="Oui","Litige",IF($J1017&lt;=0,"Payé",IF($I1017&gt;0,"Partiel",IF(Listes!$B$3&gt;$G1017,"En retard","À échoir"))))))</f>
        <v/>
      </c>
      <c r="O1017" s="11">
        <f>IF($A1017="","",IF(OR($G1017="", $J1017&lt;=0),0,MAX(0,Listes!$B$3-$G1017)))</f>
        <v/>
      </c>
      <c r="P1017" s="12">
        <f>IF($A1017="","",IF($J1017&lt;=0,"Payé",IF($M1017="Oui","Litige",IF($O1017=0,"À échoir",IF($O1017&lt;=30,"0-30",IF($O1017&lt;=60,"31-60",IF($O1017&lt;=90,"61-90","90+")))))))</f>
        <v/>
      </c>
    </row>
    <row r="1018">
      <c r="A1018" s="6" t="n"/>
      <c r="B1018" s="6" t="n"/>
      <c r="C1018" s="6" t="n"/>
      <c r="D1018" s="6" t="n"/>
      <c r="E1018" s="6" t="n"/>
      <c r="F1018" s="7" t="n"/>
      <c r="G1018" s="7" t="n"/>
      <c r="H1018" s="8" t="n"/>
      <c r="I1018" s="9">
        <f>IF($A1018="","",SUMIFS(Ventes_Encaissements!$D$6:$D$3005,Ventes_Encaissements!$B$6:$B$3005,$A1018))</f>
        <v/>
      </c>
      <c r="J1018" s="9">
        <f>IF($A1018="","",$H1018-$I1018)</f>
        <v/>
      </c>
      <c r="K1018" s="10">
        <f>IF($A1018="","",IF($I1018=0,"",_xludf.AGGREGATE(14,6,Ventes_Encaissements!$C$6:$C$3005/(Ventes_Encaissements!$B$6:$B$3005=$A1018),1)))</f>
        <v/>
      </c>
      <c r="L1018" s="11">
        <f>IF($A1018="","",COUNTIFS(Ventes_Detail!$B$6:$B$3005,$A1018))</f>
        <v/>
      </c>
      <c r="M1018" s="12" t="n"/>
      <c r="N1018" s="12">
        <f>IF($A1018="","",IF($G1018="","",IF($M1018="Oui","Litige",IF($J1018&lt;=0,"Payé",IF($I1018&gt;0,"Partiel",IF(Listes!$B$3&gt;$G1018,"En retard","À échoir"))))))</f>
        <v/>
      </c>
      <c r="O1018" s="11">
        <f>IF($A1018="","",IF(OR($G1018="", $J1018&lt;=0),0,MAX(0,Listes!$B$3-$G1018)))</f>
        <v/>
      </c>
      <c r="P1018" s="12">
        <f>IF($A1018="","",IF($J1018&lt;=0,"Payé",IF($M1018="Oui","Litige",IF($O1018=0,"À échoir",IF($O1018&lt;=30,"0-30",IF($O1018&lt;=60,"31-60",IF($O1018&lt;=90,"61-90","90+")))))))</f>
        <v/>
      </c>
    </row>
    <row r="1019">
      <c r="A1019" s="6" t="n"/>
      <c r="B1019" s="6" t="n"/>
      <c r="C1019" s="6" t="n"/>
      <c r="D1019" s="6" t="n"/>
      <c r="E1019" s="6" t="n"/>
      <c r="F1019" s="7" t="n"/>
      <c r="G1019" s="7" t="n"/>
      <c r="H1019" s="8" t="n"/>
      <c r="I1019" s="9">
        <f>IF($A1019="","",SUMIFS(Ventes_Encaissements!$D$6:$D$3005,Ventes_Encaissements!$B$6:$B$3005,$A1019))</f>
        <v/>
      </c>
      <c r="J1019" s="9">
        <f>IF($A1019="","",$H1019-$I1019)</f>
        <v/>
      </c>
      <c r="K1019" s="10">
        <f>IF($A1019="","",IF($I1019=0,"",_xludf.AGGREGATE(14,6,Ventes_Encaissements!$C$6:$C$3005/(Ventes_Encaissements!$B$6:$B$3005=$A1019),1)))</f>
        <v/>
      </c>
      <c r="L1019" s="11">
        <f>IF($A1019="","",COUNTIFS(Ventes_Detail!$B$6:$B$3005,$A1019))</f>
        <v/>
      </c>
      <c r="M1019" s="12" t="n"/>
      <c r="N1019" s="12">
        <f>IF($A1019="","",IF($G1019="","",IF($M1019="Oui","Litige",IF($J1019&lt;=0,"Payé",IF($I1019&gt;0,"Partiel",IF(Listes!$B$3&gt;$G1019,"En retard","À échoir"))))))</f>
        <v/>
      </c>
      <c r="O1019" s="11">
        <f>IF($A1019="","",IF(OR($G1019="", $J1019&lt;=0),0,MAX(0,Listes!$B$3-$G1019)))</f>
        <v/>
      </c>
      <c r="P1019" s="12">
        <f>IF($A1019="","",IF($J1019&lt;=0,"Payé",IF($M1019="Oui","Litige",IF($O1019=0,"À échoir",IF($O1019&lt;=30,"0-30",IF($O1019&lt;=60,"31-60",IF($O1019&lt;=90,"61-90","90+")))))))</f>
        <v/>
      </c>
    </row>
    <row r="1020">
      <c r="A1020" s="6" t="n"/>
      <c r="B1020" s="6" t="n"/>
      <c r="C1020" s="6" t="n"/>
      <c r="D1020" s="6" t="n"/>
      <c r="E1020" s="6" t="n"/>
      <c r="F1020" s="7" t="n"/>
      <c r="G1020" s="7" t="n"/>
      <c r="H1020" s="8" t="n"/>
      <c r="I1020" s="9">
        <f>IF($A1020="","",SUMIFS(Ventes_Encaissements!$D$6:$D$3005,Ventes_Encaissements!$B$6:$B$3005,$A1020))</f>
        <v/>
      </c>
      <c r="J1020" s="9">
        <f>IF($A1020="","",$H1020-$I1020)</f>
        <v/>
      </c>
      <c r="K1020" s="10">
        <f>IF($A1020="","",IF($I1020=0,"",_xludf.AGGREGATE(14,6,Ventes_Encaissements!$C$6:$C$3005/(Ventes_Encaissements!$B$6:$B$3005=$A1020),1)))</f>
        <v/>
      </c>
      <c r="L1020" s="11">
        <f>IF($A1020="","",COUNTIFS(Ventes_Detail!$B$6:$B$3005,$A1020))</f>
        <v/>
      </c>
      <c r="M1020" s="12" t="n"/>
      <c r="N1020" s="12">
        <f>IF($A1020="","",IF($G1020="","",IF($M1020="Oui","Litige",IF($J1020&lt;=0,"Payé",IF($I1020&gt;0,"Partiel",IF(Listes!$B$3&gt;$G1020,"En retard","À échoir"))))))</f>
        <v/>
      </c>
      <c r="O1020" s="11">
        <f>IF($A1020="","",IF(OR($G1020="", $J1020&lt;=0),0,MAX(0,Listes!$B$3-$G1020)))</f>
        <v/>
      </c>
      <c r="P1020" s="12">
        <f>IF($A1020="","",IF($J1020&lt;=0,"Payé",IF($M1020="Oui","Litige",IF($O1020=0,"À échoir",IF($O1020&lt;=30,"0-30",IF($O1020&lt;=60,"31-60",IF($O1020&lt;=90,"61-90","90+")))))))</f>
        <v/>
      </c>
    </row>
    <row r="1021">
      <c r="A1021" s="6" t="n"/>
      <c r="B1021" s="6" t="n"/>
      <c r="C1021" s="6" t="n"/>
      <c r="D1021" s="6" t="n"/>
      <c r="E1021" s="6" t="n"/>
      <c r="F1021" s="7" t="n"/>
      <c r="G1021" s="7" t="n"/>
      <c r="H1021" s="8" t="n"/>
      <c r="I1021" s="9">
        <f>IF($A1021="","",SUMIFS(Ventes_Encaissements!$D$6:$D$3005,Ventes_Encaissements!$B$6:$B$3005,$A1021))</f>
        <v/>
      </c>
      <c r="J1021" s="9">
        <f>IF($A1021="","",$H1021-$I1021)</f>
        <v/>
      </c>
      <c r="K1021" s="10">
        <f>IF($A1021="","",IF($I1021=0,"",_xludf.AGGREGATE(14,6,Ventes_Encaissements!$C$6:$C$3005/(Ventes_Encaissements!$B$6:$B$3005=$A1021),1)))</f>
        <v/>
      </c>
      <c r="L1021" s="11">
        <f>IF($A1021="","",COUNTIFS(Ventes_Detail!$B$6:$B$3005,$A1021))</f>
        <v/>
      </c>
      <c r="M1021" s="12" t="n"/>
      <c r="N1021" s="12">
        <f>IF($A1021="","",IF($G1021="","",IF($M1021="Oui","Litige",IF($J1021&lt;=0,"Payé",IF($I1021&gt;0,"Partiel",IF(Listes!$B$3&gt;$G1021,"En retard","À échoir"))))))</f>
        <v/>
      </c>
      <c r="O1021" s="11">
        <f>IF($A1021="","",IF(OR($G1021="", $J1021&lt;=0),0,MAX(0,Listes!$B$3-$G1021)))</f>
        <v/>
      </c>
      <c r="P1021" s="12">
        <f>IF($A1021="","",IF($J1021&lt;=0,"Payé",IF($M1021="Oui","Litige",IF($O1021=0,"À échoir",IF($O1021&lt;=30,"0-30",IF($O1021&lt;=60,"31-60",IF($O1021&lt;=90,"61-90","90+")))))))</f>
        <v/>
      </c>
    </row>
    <row r="1022">
      <c r="A1022" s="6" t="n"/>
      <c r="B1022" s="6" t="n"/>
      <c r="C1022" s="6" t="n"/>
      <c r="D1022" s="6" t="n"/>
      <c r="E1022" s="6" t="n"/>
      <c r="F1022" s="7" t="n"/>
      <c r="G1022" s="7" t="n"/>
      <c r="H1022" s="8" t="n"/>
      <c r="I1022" s="9">
        <f>IF($A1022="","",SUMIFS(Ventes_Encaissements!$D$6:$D$3005,Ventes_Encaissements!$B$6:$B$3005,$A1022))</f>
        <v/>
      </c>
      <c r="J1022" s="9">
        <f>IF($A1022="","",$H1022-$I1022)</f>
        <v/>
      </c>
      <c r="K1022" s="10">
        <f>IF($A1022="","",IF($I1022=0,"",_xludf.AGGREGATE(14,6,Ventes_Encaissements!$C$6:$C$3005/(Ventes_Encaissements!$B$6:$B$3005=$A1022),1)))</f>
        <v/>
      </c>
      <c r="L1022" s="11">
        <f>IF($A1022="","",COUNTIFS(Ventes_Detail!$B$6:$B$3005,$A1022))</f>
        <v/>
      </c>
      <c r="M1022" s="12" t="n"/>
      <c r="N1022" s="12">
        <f>IF($A1022="","",IF($G1022="","",IF($M1022="Oui","Litige",IF($J1022&lt;=0,"Payé",IF($I1022&gt;0,"Partiel",IF(Listes!$B$3&gt;$G1022,"En retard","À échoir"))))))</f>
        <v/>
      </c>
      <c r="O1022" s="11">
        <f>IF($A1022="","",IF(OR($G1022="", $J1022&lt;=0),0,MAX(0,Listes!$B$3-$G1022)))</f>
        <v/>
      </c>
      <c r="P1022" s="12">
        <f>IF($A1022="","",IF($J1022&lt;=0,"Payé",IF($M1022="Oui","Litige",IF($O1022=0,"À échoir",IF($O1022&lt;=30,"0-30",IF($O1022&lt;=60,"31-60",IF($O1022&lt;=90,"61-90","90+")))))))</f>
        <v/>
      </c>
    </row>
    <row r="1023">
      <c r="A1023" s="6" t="n"/>
      <c r="B1023" s="6" t="n"/>
      <c r="C1023" s="6" t="n"/>
      <c r="D1023" s="6" t="n"/>
      <c r="E1023" s="6" t="n"/>
      <c r="F1023" s="7" t="n"/>
      <c r="G1023" s="7" t="n"/>
      <c r="H1023" s="8" t="n"/>
      <c r="I1023" s="9">
        <f>IF($A1023="","",SUMIFS(Ventes_Encaissements!$D$6:$D$3005,Ventes_Encaissements!$B$6:$B$3005,$A1023))</f>
        <v/>
      </c>
      <c r="J1023" s="9">
        <f>IF($A1023="","",$H1023-$I1023)</f>
        <v/>
      </c>
      <c r="K1023" s="10">
        <f>IF($A1023="","",IF($I1023=0,"",_xludf.AGGREGATE(14,6,Ventes_Encaissements!$C$6:$C$3005/(Ventes_Encaissements!$B$6:$B$3005=$A1023),1)))</f>
        <v/>
      </c>
      <c r="L1023" s="11">
        <f>IF($A1023="","",COUNTIFS(Ventes_Detail!$B$6:$B$3005,$A1023))</f>
        <v/>
      </c>
      <c r="M1023" s="12" t="n"/>
      <c r="N1023" s="12">
        <f>IF($A1023="","",IF($G1023="","",IF($M1023="Oui","Litige",IF($J1023&lt;=0,"Payé",IF($I1023&gt;0,"Partiel",IF(Listes!$B$3&gt;$G1023,"En retard","À échoir"))))))</f>
        <v/>
      </c>
      <c r="O1023" s="11">
        <f>IF($A1023="","",IF(OR($G1023="", $J1023&lt;=0),0,MAX(0,Listes!$B$3-$G1023)))</f>
        <v/>
      </c>
      <c r="P1023" s="12">
        <f>IF($A1023="","",IF($J1023&lt;=0,"Payé",IF($M1023="Oui","Litige",IF($O1023=0,"À échoir",IF($O1023&lt;=30,"0-30",IF($O1023&lt;=60,"31-60",IF($O1023&lt;=90,"61-90","90+")))))))</f>
        <v/>
      </c>
    </row>
    <row r="1024">
      <c r="A1024" s="6" t="n"/>
      <c r="B1024" s="6" t="n"/>
      <c r="C1024" s="6" t="n"/>
      <c r="D1024" s="6" t="n"/>
      <c r="E1024" s="6" t="n"/>
      <c r="F1024" s="7" t="n"/>
      <c r="G1024" s="7" t="n"/>
      <c r="H1024" s="8" t="n"/>
      <c r="I1024" s="9">
        <f>IF($A1024="","",SUMIFS(Ventes_Encaissements!$D$6:$D$3005,Ventes_Encaissements!$B$6:$B$3005,$A1024))</f>
        <v/>
      </c>
      <c r="J1024" s="9">
        <f>IF($A1024="","",$H1024-$I1024)</f>
        <v/>
      </c>
      <c r="K1024" s="10">
        <f>IF($A1024="","",IF($I1024=0,"",_xludf.AGGREGATE(14,6,Ventes_Encaissements!$C$6:$C$3005/(Ventes_Encaissements!$B$6:$B$3005=$A1024),1)))</f>
        <v/>
      </c>
      <c r="L1024" s="11">
        <f>IF($A1024="","",COUNTIFS(Ventes_Detail!$B$6:$B$3005,$A1024))</f>
        <v/>
      </c>
      <c r="M1024" s="12" t="n"/>
      <c r="N1024" s="12">
        <f>IF($A1024="","",IF($G1024="","",IF($M1024="Oui","Litige",IF($J1024&lt;=0,"Payé",IF($I1024&gt;0,"Partiel",IF(Listes!$B$3&gt;$G1024,"En retard","À échoir"))))))</f>
        <v/>
      </c>
      <c r="O1024" s="11">
        <f>IF($A1024="","",IF(OR($G1024="", $J1024&lt;=0),0,MAX(0,Listes!$B$3-$G1024)))</f>
        <v/>
      </c>
      <c r="P1024" s="12">
        <f>IF($A1024="","",IF($J1024&lt;=0,"Payé",IF($M1024="Oui","Litige",IF($O1024=0,"À échoir",IF($O1024&lt;=30,"0-30",IF($O1024&lt;=60,"31-60",IF($O1024&lt;=90,"61-90","90+")))))))</f>
        <v/>
      </c>
    </row>
    <row r="1025">
      <c r="A1025" s="6" t="n"/>
      <c r="B1025" s="6" t="n"/>
      <c r="C1025" s="6" t="n"/>
      <c r="D1025" s="6" t="n"/>
      <c r="E1025" s="6" t="n"/>
      <c r="F1025" s="7" t="n"/>
      <c r="G1025" s="7" t="n"/>
      <c r="H1025" s="8" t="n"/>
      <c r="I1025" s="9">
        <f>IF($A1025="","",SUMIFS(Ventes_Encaissements!$D$6:$D$3005,Ventes_Encaissements!$B$6:$B$3005,$A1025))</f>
        <v/>
      </c>
      <c r="J1025" s="9">
        <f>IF($A1025="","",$H1025-$I1025)</f>
        <v/>
      </c>
      <c r="K1025" s="10">
        <f>IF($A1025="","",IF($I1025=0,"",_xludf.AGGREGATE(14,6,Ventes_Encaissements!$C$6:$C$3005/(Ventes_Encaissements!$B$6:$B$3005=$A1025),1)))</f>
        <v/>
      </c>
      <c r="L1025" s="11">
        <f>IF($A1025="","",COUNTIFS(Ventes_Detail!$B$6:$B$3005,$A1025))</f>
        <v/>
      </c>
      <c r="M1025" s="12" t="n"/>
      <c r="N1025" s="12">
        <f>IF($A1025="","",IF($G1025="","",IF($M1025="Oui","Litige",IF($J1025&lt;=0,"Payé",IF($I1025&gt;0,"Partiel",IF(Listes!$B$3&gt;$G1025,"En retard","À échoir"))))))</f>
        <v/>
      </c>
      <c r="O1025" s="11">
        <f>IF($A1025="","",IF(OR($G1025="", $J1025&lt;=0),0,MAX(0,Listes!$B$3-$G1025)))</f>
        <v/>
      </c>
      <c r="P1025" s="12">
        <f>IF($A1025="","",IF($J1025&lt;=0,"Payé",IF($M1025="Oui","Litige",IF($O1025=0,"À échoir",IF($O1025&lt;=30,"0-30",IF($O1025&lt;=60,"31-60",IF($O1025&lt;=90,"61-90","90+")))))))</f>
        <v/>
      </c>
    </row>
    <row r="1026">
      <c r="A1026" s="6" t="n"/>
      <c r="B1026" s="6" t="n"/>
      <c r="C1026" s="6" t="n"/>
      <c r="D1026" s="6" t="n"/>
      <c r="E1026" s="6" t="n"/>
      <c r="F1026" s="7" t="n"/>
      <c r="G1026" s="7" t="n"/>
      <c r="H1026" s="8" t="n"/>
      <c r="I1026" s="9">
        <f>IF($A1026="","",SUMIFS(Ventes_Encaissements!$D$6:$D$3005,Ventes_Encaissements!$B$6:$B$3005,$A1026))</f>
        <v/>
      </c>
      <c r="J1026" s="9">
        <f>IF($A1026="","",$H1026-$I1026)</f>
        <v/>
      </c>
      <c r="K1026" s="10">
        <f>IF($A1026="","",IF($I1026=0,"",_xludf.AGGREGATE(14,6,Ventes_Encaissements!$C$6:$C$3005/(Ventes_Encaissements!$B$6:$B$3005=$A1026),1)))</f>
        <v/>
      </c>
      <c r="L1026" s="11">
        <f>IF($A1026="","",COUNTIFS(Ventes_Detail!$B$6:$B$3005,$A1026))</f>
        <v/>
      </c>
      <c r="M1026" s="12" t="n"/>
      <c r="N1026" s="12">
        <f>IF($A1026="","",IF($G1026="","",IF($M1026="Oui","Litige",IF($J1026&lt;=0,"Payé",IF($I1026&gt;0,"Partiel",IF(Listes!$B$3&gt;$G1026,"En retard","À échoir"))))))</f>
        <v/>
      </c>
      <c r="O1026" s="11">
        <f>IF($A1026="","",IF(OR($G1026="", $J1026&lt;=0),0,MAX(0,Listes!$B$3-$G1026)))</f>
        <v/>
      </c>
      <c r="P1026" s="12">
        <f>IF($A1026="","",IF($J1026&lt;=0,"Payé",IF($M1026="Oui","Litige",IF($O1026=0,"À échoir",IF($O1026&lt;=30,"0-30",IF($O1026&lt;=60,"31-60",IF($O1026&lt;=90,"61-90","90+")))))))</f>
        <v/>
      </c>
    </row>
    <row r="1027">
      <c r="A1027" s="6" t="n"/>
      <c r="B1027" s="6" t="n"/>
      <c r="C1027" s="6" t="n"/>
      <c r="D1027" s="6" t="n"/>
      <c r="E1027" s="6" t="n"/>
      <c r="F1027" s="7" t="n"/>
      <c r="G1027" s="7" t="n"/>
      <c r="H1027" s="8" t="n"/>
      <c r="I1027" s="9">
        <f>IF($A1027="","",SUMIFS(Ventes_Encaissements!$D$6:$D$3005,Ventes_Encaissements!$B$6:$B$3005,$A1027))</f>
        <v/>
      </c>
      <c r="J1027" s="9">
        <f>IF($A1027="","",$H1027-$I1027)</f>
        <v/>
      </c>
      <c r="K1027" s="10">
        <f>IF($A1027="","",IF($I1027=0,"",_xludf.AGGREGATE(14,6,Ventes_Encaissements!$C$6:$C$3005/(Ventes_Encaissements!$B$6:$B$3005=$A1027),1)))</f>
        <v/>
      </c>
      <c r="L1027" s="11">
        <f>IF($A1027="","",COUNTIFS(Ventes_Detail!$B$6:$B$3005,$A1027))</f>
        <v/>
      </c>
      <c r="M1027" s="12" t="n"/>
      <c r="N1027" s="12">
        <f>IF($A1027="","",IF($G1027="","",IF($M1027="Oui","Litige",IF($J1027&lt;=0,"Payé",IF($I1027&gt;0,"Partiel",IF(Listes!$B$3&gt;$G1027,"En retard","À échoir"))))))</f>
        <v/>
      </c>
      <c r="O1027" s="11">
        <f>IF($A1027="","",IF(OR($G1027="", $J1027&lt;=0),0,MAX(0,Listes!$B$3-$G1027)))</f>
        <v/>
      </c>
      <c r="P1027" s="12">
        <f>IF($A1027="","",IF($J1027&lt;=0,"Payé",IF($M1027="Oui","Litige",IF($O1027=0,"À échoir",IF($O1027&lt;=30,"0-30",IF($O1027&lt;=60,"31-60",IF($O1027&lt;=90,"61-90","90+")))))))</f>
        <v/>
      </c>
    </row>
    <row r="1028">
      <c r="A1028" s="6" t="n"/>
      <c r="B1028" s="6" t="n"/>
      <c r="C1028" s="6" t="n"/>
      <c r="D1028" s="6" t="n"/>
      <c r="E1028" s="6" t="n"/>
      <c r="F1028" s="7" t="n"/>
      <c r="G1028" s="7" t="n"/>
      <c r="H1028" s="8" t="n"/>
      <c r="I1028" s="9">
        <f>IF($A1028="","",SUMIFS(Ventes_Encaissements!$D$6:$D$3005,Ventes_Encaissements!$B$6:$B$3005,$A1028))</f>
        <v/>
      </c>
      <c r="J1028" s="9">
        <f>IF($A1028="","",$H1028-$I1028)</f>
        <v/>
      </c>
      <c r="K1028" s="10">
        <f>IF($A1028="","",IF($I1028=0,"",_xludf.AGGREGATE(14,6,Ventes_Encaissements!$C$6:$C$3005/(Ventes_Encaissements!$B$6:$B$3005=$A1028),1)))</f>
        <v/>
      </c>
      <c r="L1028" s="11">
        <f>IF($A1028="","",COUNTIFS(Ventes_Detail!$B$6:$B$3005,$A1028))</f>
        <v/>
      </c>
      <c r="M1028" s="12" t="n"/>
      <c r="N1028" s="12">
        <f>IF($A1028="","",IF($G1028="","",IF($M1028="Oui","Litige",IF($J1028&lt;=0,"Payé",IF($I1028&gt;0,"Partiel",IF(Listes!$B$3&gt;$G1028,"En retard","À échoir"))))))</f>
        <v/>
      </c>
      <c r="O1028" s="11">
        <f>IF($A1028="","",IF(OR($G1028="", $J1028&lt;=0),0,MAX(0,Listes!$B$3-$G1028)))</f>
        <v/>
      </c>
      <c r="P1028" s="12">
        <f>IF($A1028="","",IF($J1028&lt;=0,"Payé",IF($M1028="Oui","Litige",IF($O1028=0,"À échoir",IF($O1028&lt;=30,"0-30",IF($O1028&lt;=60,"31-60",IF($O1028&lt;=90,"61-90","90+")))))))</f>
        <v/>
      </c>
    </row>
    <row r="1029">
      <c r="A1029" s="6" t="n"/>
      <c r="B1029" s="6" t="n"/>
      <c r="C1029" s="6" t="n"/>
      <c r="D1029" s="6" t="n"/>
      <c r="E1029" s="6" t="n"/>
      <c r="F1029" s="7" t="n"/>
      <c r="G1029" s="7" t="n"/>
      <c r="H1029" s="8" t="n"/>
      <c r="I1029" s="9">
        <f>IF($A1029="","",SUMIFS(Ventes_Encaissements!$D$6:$D$3005,Ventes_Encaissements!$B$6:$B$3005,$A1029))</f>
        <v/>
      </c>
      <c r="J1029" s="9">
        <f>IF($A1029="","",$H1029-$I1029)</f>
        <v/>
      </c>
      <c r="K1029" s="10">
        <f>IF($A1029="","",IF($I1029=0,"",_xludf.AGGREGATE(14,6,Ventes_Encaissements!$C$6:$C$3005/(Ventes_Encaissements!$B$6:$B$3005=$A1029),1)))</f>
        <v/>
      </c>
      <c r="L1029" s="11">
        <f>IF($A1029="","",COUNTIFS(Ventes_Detail!$B$6:$B$3005,$A1029))</f>
        <v/>
      </c>
      <c r="M1029" s="12" t="n"/>
      <c r="N1029" s="12">
        <f>IF($A1029="","",IF($G1029="","",IF($M1029="Oui","Litige",IF($J1029&lt;=0,"Payé",IF($I1029&gt;0,"Partiel",IF(Listes!$B$3&gt;$G1029,"En retard","À échoir"))))))</f>
        <v/>
      </c>
      <c r="O1029" s="11">
        <f>IF($A1029="","",IF(OR($G1029="", $J1029&lt;=0),0,MAX(0,Listes!$B$3-$G1029)))</f>
        <v/>
      </c>
      <c r="P1029" s="12">
        <f>IF($A1029="","",IF($J1029&lt;=0,"Payé",IF($M1029="Oui","Litige",IF($O1029=0,"À échoir",IF($O1029&lt;=30,"0-30",IF($O1029&lt;=60,"31-60",IF($O1029&lt;=90,"61-90","90+")))))))</f>
        <v/>
      </c>
    </row>
    <row r="1030">
      <c r="A1030" s="6" t="n"/>
      <c r="B1030" s="6" t="n"/>
      <c r="C1030" s="6" t="n"/>
      <c r="D1030" s="6" t="n"/>
      <c r="E1030" s="6" t="n"/>
      <c r="F1030" s="7" t="n"/>
      <c r="G1030" s="7" t="n"/>
      <c r="H1030" s="8" t="n"/>
      <c r="I1030" s="9">
        <f>IF($A1030="","",SUMIFS(Ventes_Encaissements!$D$6:$D$3005,Ventes_Encaissements!$B$6:$B$3005,$A1030))</f>
        <v/>
      </c>
      <c r="J1030" s="9">
        <f>IF($A1030="","",$H1030-$I1030)</f>
        <v/>
      </c>
      <c r="K1030" s="10">
        <f>IF($A1030="","",IF($I1030=0,"",_xludf.AGGREGATE(14,6,Ventes_Encaissements!$C$6:$C$3005/(Ventes_Encaissements!$B$6:$B$3005=$A1030),1)))</f>
        <v/>
      </c>
      <c r="L1030" s="11">
        <f>IF($A1030="","",COUNTIFS(Ventes_Detail!$B$6:$B$3005,$A1030))</f>
        <v/>
      </c>
      <c r="M1030" s="12" t="n"/>
      <c r="N1030" s="12">
        <f>IF($A1030="","",IF($G1030="","",IF($M1030="Oui","Litige",IF($J1030&lt;=0,"Payé",IF($I1030&gt;0,"Partiel",IF(Listes!$B$3&gt;$G1030,"En retard","À échoir"))))))</f>
        <v/>
      </c>
      <c r="O1030" s="11">
        <f>IF($A1030="","",IF(OR($G1030="", $J1030&lt;=0),0,MAX(0,Listes!$B$3-$G1030)))</f>
        <v/>
      </c>
      <c r="P1030" s="12">
        <f>IF($A1030="","",IF($J1030&lt;=0,"Payé",IF($M1030="Oui","Litige",IF($O1030=0,"À échoir",IF($O1030&lt;=30,"0-30",IF($O1030&lt;=60,"31-60",IF($O1030&lt;=90,"61-90","90+")))))))</f>
        <v/>
      </c>
    </row>
    <row r="1031">
      <c r="A1031" s="6" t="n"/>
      <c r="B1031" s="6" t="n"/>
      <c r="C1031" s="6" t="n"/>
      <c r="D1031" s="6" t="n"/>
      <c r="E1031" s="6" t="n"/>
      <c r="F1031" s="7" t="n"/>
      <c r="G1031" s="7" t="n"/>
      <c r="H1031" s="8" t="n"/>
      <c r="I1031" s="9">
        <f>IF($A1031="","",SUMIFS(Ventes_Encaissements!$D$6:$D$3005,Ventes_Encaissements!$B$6:$B$3005,$A1031))</f>
        <v/>
      </c>
      <c r="J1031" s="9">
        <f>IF($A1031="","",$H1031-$I1031)</f>
        <v/>
      </c>
      <c r="K1031" s="10">
        <f>IF($A1031="","",IF($I1031=0,"",_xludf.AGGREGATE(14,6,Ventes_Encaissements!$C$6:$C$3005/(Ventes_Encaissements!$B$6:$B$3005=$A1031),1)))</f>
        <v/>
      </c>
      <c r="L1031" s="11">
        <f>IF($A1031="","",COUNTIFS(Ventes_Detail!$B$6:$B$3005,$A1031))</f>
        <v/>
      </c>
      <c r="M1031" s="12" t="n"/>
      <c r="N1031" s="12">
        <f>IF($A1031="","",IF($G1031="","",IF($M1031="Oui","Litige",IF($J1031&lt;=0,"Payé",IF($I1031&gt;0,"Partiel",IF(Listes!$B$3&gt;$G1031,"En retard","À échoir"))))))</f>
        <v/>
      </c>
      <c r="O1031" s="11">
        <f>IF($A1031="","",IF(OR($G1031="", $J1031&lt;=0),0,MAX(0,Listes!$B$3-$G1031)))</f>
        <v/>
      </c>
      <c r="P1031" s="12">
        <f>IF($A1031="","",IF($J1031&lt;=0,"Payé",IF($M1031="Oui","Litige",IF($O1031=0,"À échoir",IF($O1031&lt;=30,"0-30",IF($O1031&lt;=60,"31-60",IF($O1031&lt;=90,"61-90","90+")))))))</f>
        <v/>
      </c>
    </row>
    <row r="1032">
      <c r="A1032" s="6" t="n"/>
      <c r="B1032" s="6" t="n"/>
      <c r="C1032" s="6" t="n"/>
      <c r="D1032" s="6" t="n"/>
      <c r="E1032" s="6" t="n"/>
      <c r="F1032" s="7" t="n"/>
      <c r="G1032" s="7" t="n"/>
      <c r="H1032" s="8" t="n"/>
      <c r="I1032" s="9">
        <f>IF($A1032="","",SUMIFS(Ventes_Encaissements!$D$6:$D$3005,Ventes_Encaissements!$B$6:$B$3005,$A1032))</f>
        <v/>
      </c>
      <c r="J1032" s="9">
        <f>IF($A1032="","",$H1032-$I1032)</f>
        <v/>
      </c>
      <c r="K1032" s="10">
        <f>IF($A1032="","",IF($I1032=0,"",_xludf.AGGREGATE(14,6,Ventes_Encaissements!$C$6:$C$3005/(Ventes_Encaissements!$B$6:$B$3005=$A1032),1)))</f>
        <v/>
      </c>
      <c r="L1032" s="11">
        <f>IF($A1032="","",COUNTIFS(Ventes_Detail!$B$6:$B$3005,$A1032))</f>
        <v/>
      </c>
      <c r="M1032" s="12" t="n"/>
      <c r="N1032" s="12">
        <f>IF($A1032="","",IF($G1032="","",IF($M1032="Oui","Litige",IF($J1032&lt;=0,"Payé",IF($I1032&gt;0,"Partiel",IF(Listes!$B$3&gt;$G1032,"En retard","À échoir"))))))</f>
        <v/>
      </c>
      <c r="O1032" s="11">
        <f>IF($A1032="","",IF(OR($G1032="", $J1032&lt;=0),0,MAX(0,Listes!$B$3-$G1032)))</f>
        <v/>
      </c>
      <c r="P1032" s="12">
        <f>IF($A1032="","",IF($J1032&lt;=0,"Payé",IF($M1032="Oui","Litige",IF($O1032=0,"À échoir",IF($O1032&lt;=30,"0-30",IF($O1032&lt;=60,"31-60",IF($O1032&lt;=90,"61-90","90+")))))))</f>
        <v/>
      </c>
    </row>
    <row r="1033">
      <c r="A1033" s="6" t="n"/>
      <c r="B1033" s="6" t="n"/>
      <c r="C1033" s="6" t="n"/>
      <c r="D1033" s="6" t="n"/>
      <c r="E1033" s="6" t="n"/>
      <c r="F1033" s="7" t="n"/>
      <c r="G1033" s="7" t="n"/>
      <c r="H1033" s="8" t="n"/>
      <c r="I1033" s="9">
        <f>IF($A1033="","",SUMIFS(Ventes_Encaissements!$D$6:$D$3005,Ventes_Encaissements!$B$6:$B$3005,$A1033))</f>
        <v/>
      </c>
      <c r="J1033" s="9">
        <f>IF($A1033="","",$H1033-$I1033)</f>
        <v/>
      </c>
      <c r="K1033" s="10">
        <f>IF($A1033="","",IF($I1033=0,"",_xludf.AGGREGATE(14,6,Ventes_Encaissements!$C$6:$C$3005/(Ventes_Encaissements!$B$6:$B$3005=$A1033),1)))</f>
        <v/>
      </c>
      <c r="L1033" s="11">
        <f>IF($A1033="","",COUNTIFS(Ventes_Detail!$B$6:$B$3005,$A1033))</f>
        <v/>
      </c>
      <c r="M1033" s="12" t="n"/>
      <c r="N1033" s="12">
        <f>IF($A1033="","",IF($G1033="","",IF($M1033="Oui","Litige",IF($J1033&lt;=0,"Payé",IF($I1033&gt;0,"Partiel",IF(Listes!$B$3&gt;$G1033,"En retard","À échoir"))))))</f>
        <v/>
      </c>
      <c r="O1033" s="11">
        <f>IF($A1033="","",IF(OR($G1033="", $J1033&lt;=0),0,MAX(0,Listes!$B$3-$G1033)))</f>
        <v/>
      </c>
      <c r="P1033" s="12">
        <f>IF($A1033="","",IF($J1033&lt;=0,"Payé",IF($M1033="Oui","Litige",IF($O1033=0,"À échoir",IF($O1033&lt;=30,"0-30",IF($O1033&lt;=60,"31-60",IF($O1033&lt;=90,"61-90","90+")))))))</f>
        <v/>
      </c>
    </row>
    <row r="1034">
      <c r="A1034" s="6" t="n"/>
      <c r="B1034" s="6" t="n"/>
      <c r="C1034" s="6" t="n"/>
      <c r="D1034" s="6" t="n"/>
      <c r="E1034" s="6" t="n"/>
      <c r="F1034" s="7" t="n"/>
      <c r="G1034" s="7" t="n"/>
      <c r="H1034" s="8" t="n"/>
      <c r="I1034" s="9">
        <f>IF($A1034="","",SUMIFS(Ventes_Encaissements!$D$6:$D$3005,Ventes_Encaissements!$B$6:$B$3005,$A1034))</f>
        <v/>
      </c>
      <c r="J1034" s="9">
        <f>IF($A1034="","",$H1034-$I1034)</f>
        <v/>
      </c>
      <c r="K1034" s="10">
        <f>IF($A1034="","",IF($I1034=0,"",_xludf.AGGREGATE(14,6,Ventes_Encaissements!$C$6:$C$3005/(Ventes_Encaissements!$B$6:$B$3005=$A1034),1)))</f>
        <v/>
      </c>
      <c r="L1034" s="11">
        <f>IF($A1034="","",COUNTIFS(Ventes_Detail!$B$6:$B$3005,$A1034))</f>
        <v/>
      </c>
      <c r="M1034" s="12" t="n"/>
      <c r="N1034" s="12">
        <f>IF($A1034="","",IF($G1034="","",IF($M1034="Oui","Litige",IF($J1034&lt;=0,"Payé",IF($I1034&gt;0,"Partiel",IF(Listes!$B$3&gt;$G1034,"En retard","À échoir"))))))</f>
        <v/>
      </c>
      <c r="O1034" s="11">
        <f>IF($A1034="","",IF(OR($G1034="", $J1034&lt;=0),0,MAX(0,Listes!$B$3-$G1034)))</f>
        <v/>
      </c>
      <c r="P1034" s="12">
        <f>IF($A1034="","",IF($J1034&lt;=0,"Payé",IF($M1034="Oui","Litige",IF($O1034=0,"À échoir",IF($O1034&lt;=30,"0-30",IF($O1034&lt;=60,"31-60",IF($O1034&lt;=90,"61-90","90+")))))))</f>
        <v/>
      </c>
    </row>
    <row r="1035">
      <c r="A1035" s="6" t="n"/>
      <c r="B1035" s="6" t="n"/>
      <c r="C1035" s="6" t="n"/>
      <c r="D1035" s="6" t="n"/>
      <c r="E1035" s="6" t="n"/>
      <c r="F1035" s="7" t="n"/>
      <c r="G1035" s="7" t="n"/>
      <c r="H1035" s="8" t="n"/>
      <c r="I1035" s="9">
        <f>IF($A1035="","",SUMIFS(Ventes_Encaissements!$D$6:$D$3005,Ventes_Encaissements!$B$6:$B$3005,$A1035))</f>
        <v/>
      </c>
      <c r="J1035" s="9">
        <f>IF($A1035="","",$H1035-$I1035)</f>
        <v/>
      </c>
      <c r="K1035" s="10">
        <f>IF($A1035="","",IF($I1035=0,"",_xludf.AGGREGATE(14,6,Ventes_Encaissements!$C$6:$C$3005/(Ventes_Encaissements!$B$6:$B$3005=$A1035),1)))</f>
        <v/>
      </c>
      <c r="L1035" s="11">
        <f>IF($A1035="","",COUNTIFS(Ventes_Detail!$B$6:$B$3005,$A1035))</f>
        <v/>
      </c>
      <c r="M1035" s="12" t="n"/>
      <c r="N1035" s="12">
        <f>IF($A1035="","",IF($G1035="","",IF($M1035="Oui","Litige",IF($J1035&lt;=0,"Payé",IF($I1035&gt;0,"Partiel",IF(Listes!$B$3&gt;$G1035,"En retard","À échoir"))))))</f>
        <v/>
      </c>
      <c r="O1035" s="11">
        <f>IF($A1035="","",IF(OR($G1035="", $J1035&lt;=0),0,MAX(0,Listes!$B$3-$G1035)))</f>
        <v/>
      </c>
      <c r="P1035" s="12">
        <f>IF($A1035="","",IF($J1035&lt;=0,"Payé",IF($M1035="Oui","Litige",IF($O1035=0,"À échoir",IF($O1035&lt;=30,"0-30",IF($O1035&lt;=60,"31-60",IF($O1035&lt;=90,"61-90","90+")))))))</f>
        <v/>
      </c>
    </row>
    <row r="1036">
      <c r="A1036" s="6" t="n"/>
      <c r="B1036" s="6" t="n"/>
      <c r="C1036" s="6" t="n"/>
      <c r="D1036" s="6" t="n"/>
      <c r="E1036" s="6" t="n"/>
      <c r="F1036" s="7" t="n"/>
      <c r="G1036" s="7" t="n"/>
      <c r="H1036" s="8" t="n"/>
      <c r="I1036" s="9">
        <f>IF($A1036="","",SUMIFS(Ventes_Encaissements!$D$6:$D$3005,Ventes_Encaissements!$B$6:$B$3005,$A1036))</f>
        <v/>
      </c>
      <c r="J1036" s="9">
        <f>IF($A1036="","",$H1036-$I1036)</f>
        <v/>
      </c>
      <c r="K1036" s="10">
        <f>IF($A1036="","",IF($I1036=0,"",_xludf.AGGREGATE(14,6,Ventes_Encaissements!$C$6:$C$3005/(Ventes_Encaissements!$B$6:$B$3005=$A1036),1)))</f>
        <v/>
      </c>
      <c r="L1036" s="11">
        <f>IF($A1036="","",COUNTIFS(Ventes_Detail!$B$6:$B$3005,$A1036))</f>
        <v/>
      </c>
      <c r="M1036" s="12" t="n"/>
      <c r="N1036" s="12">
        <f>IF($A1036="","",IF($G1036="","",IF($M1036="Oui","Litige",IF($J1036&lt;=0,"Payé",IF($I1036&gt;0,"Partiel",IF(Listes!$B$3&gt;$G1036,"En retard","À échoir"))))))</f>
        <v/>
      </c>
      <c r="O1036" s="11">
        <f>IF($A1036="","",IF(OR($G1036="", $J1036&lt;=0),0,MAX(0,Listes!$B$3-$G1036)))</f>
        <v/>
      </c>
      <c r="P1036" s="12">
        <f>IF($A1036="","",IF($J1036&lt;=0,"Payé",IF($M1036="Oui","Litige",IF($O1036=0,"À échoir",IF($O1036&lt;=30,"0-30",IF($O1036&lt;=60,"31-60",IF($O1036&lt;=90,"61-90","90+")))))))</f>
        <v/>
      </c>
    </row>
    <row r="1037">
      <c r="A1037" s="6" t="n"/>
      <c r="B1037" s="6" t="n"/>
      <c r="C1037" s="6" t="n"/>
      <c r="D1037" s="6" t="n"/>
      <c r="E1037" s="6" t="n"/>
      <c r="F1037" s="7" t="n"/>
      <c r="G1037" s="7" t="n"/>
      <c r="H1037" s="8" t="n"/>
      <c r="I1037" s="9">
        <f>IF($A1037="","",SUMIFS(Ventes_Encaissements!$D$6:$D$3005,Ventes_Encaissements!$B$6:$B$3005,$A1037))</f>
        <v/>
      </c>
      <c r="J1037" s="9">
        <f>IF($A1037="","",$H1037-$I1037)</f>
        <v/>
      </c>
      <c r="K1037" s="10">
        <f>IF($A1037="","",IF($I1037=0,"",_xludf.AGGREGATE(14,6,Ventes_Encaissements!$C$6:$C$3005/(Ventes_Encaissements!$B$6:$B$3005=$A1037),1)))</f>
        <v/>
      </c>
      <c r="L1037" s="11">
        <f>IF($A1037="","",COUNTIFS(Ventes_Detail!$B$6:$B$3005,$A1037))</f>
        <v/>
      </c>
      <c r="M1037" s="12" t="n"/>
      <c r="N1037" s="12">
        <f>IF($A1037="","",IF($G1037="","",IF($M1037="Oui","Litige",IF($J1037&lt;=0,"Payé",IF($I1037&gt;0,"Partiel",IF(Listes!$B$3&gt;$G1037,"En retard","À échoir"))))))</f>
        <v/>
      </c>
      <c r="O1037" s="11">
        <f>IF($A1037="","",IF(OR($G1037="", $J1037&lt;=0),0,MAX(0,Listes!$B$3-$G1037)))</f>
        <v/>
      </c>
      <c r="P1037" s="12">
        <f>IF($A1037="","",IF($J1037&lt;=0,"Payé",IF($M1037="Oui","Litige",IF($O1037=0,"À échoir",IF($O1037&lt;=30,"0-30",IF($O1037&lt;=60,"31-60",IF($O1037&lt;=90,"61-90","90+")))))))</f>
        <v/>
      </c>
    </row>
    <row r="1038">
      <c r="A1038" s="6" t="n"/>
      <c r="B1038" s="6" t="n"/>
      <c r="C1038" s="6" t="n"/>
      <c r="D1038" s="6" t="n"/>
      <c r="E1038" s="6" t="n"/>
      <c r="F1038" s="7" t="n"/>
      <c r="G1038" s="7" t="n"/>
      <c r="H1038" s="8" t="n"/>
      <c r="I1038" s="9">
        <f>IF($A1038="","",SUMIFS(Ventes_Encaissements!$D$6:$D$3005,Ventes_Encaissements!$B$6:$B$3005,$A1038))</f>
        <v/>
      </c>
      <c r="J1038" s="9">
        <f>IF($A1038="","",$H1038-$I1038)</f>
        <v/>
      </c>
      <c r="K1038" s="10">
        <f>IF($A1038="","",IF($I1038=0,"",_xludf.AGGREGATE(14,6,Ventes_Encaissements!$C$6:$C$3005/(Ventes_Encaissements!$B$6:$B$3005=$A1038),1)))</f>
        <v/>
      </c>
      <c r="L1038" s="11">
        <f>IF($A1038="","",COUNTIFS(Ventes_Detail!$B$6:$B$3005,$A1038))</f>
        <v/>
      </c>
      <c r="M1038" s="12" t="n"/>
      <c r="N1038" s="12">
        <f>IF($A1038="","",IF($G1038="","",IF($M1038="Oui","Litige",IF($J1038&lt;=0,"Payé",IF($I1038&gt;0,"Partiel",IF(Listes!$B$3&gt;$G1038,"En retard","À échoir"))))))</f>
        <v/>
      </c>
      <c r="O1038" s="11">
        <f>IF($A1038="","",IF(OR($G1038="", $J1038&lt;=0),0,MAX(0,Listes!$B$3-$G1038)))</f>
        <v/>
      </c>
      <c r="P1038" s="12">
        <f>IF($A1038="","",IF($J1038&lt;=0,"Payé",IF($M1038="Oui","Litige",IF($O1038=0,"À échoir",IF($O1038&lt;=30,"0-30",IF($O1038&lt;=60,"31-60",IF($O1038&lt;=90,"61-90","90+")))))))</f>
        <v/>
      </c>
    </row>
    <row r="1039">
      <c r="A1039" s="6" t="n"/>
      <c r="B1039" s="6" t="n"/>
      <c r="C1039" s="6" t="n"/>
      <c r="D1039" s="6" t="n"/>
      <c r="E1039" s="6" t="n"/>
      <c r="F1039" s="7" t="n"/>
      <c r="G1039" s="7" t="n"/>
      <c r="H1039" s="8" t="n"/>
      <c r="I1039" s="9">
        <f>IF($A1039="","",SUMIFS(Ventes_Encaissements!$D$6:$D$3005,Ventes_Encaissements!$B$6:$B$3005,$A1039))</f>
        <v/>
      </c>
      <c r="J1039" s="9">
        <f>IF($A1039="","",$H1039-$I1039)</f>
        <v/>
      </c>
      <c r="K1039" s="10">
        <f>IF($A1039="","",IF($I1039=0,"",_xludf.AGGREGATE(14,6,Ventes_Encaissements!$C$6:$C$3005/(Ventes_Encaissements!$B$6:$B$3005=$A1039),1)))</f>
        <v/>
      </c>
      <c r="L1039" s="11">
        <f>IF($A1039="","",COUNTIFS(Ventes_Detail!$B$6:$B$3005,$A1039))</f>
        <v/>
      </c>
      <c r="M1039" s="12" t="n"/>
      <c r="N1039" s="12">
        <f>IF($A1039="","",IF($G1039="","",IF($M1039="Oui","Litige",IF($J1039&lt;=0,"Payé",IF($I1039&gt;0,"Partiel",IF(Listes!$B$3&gt;$G1039,"En retard","À échoir"))))))</f>
        <v/>
      </c>
      <c r="O1039" s="11">
        <f>IF($A1039="","",IF(OR($G1039="", $J1039&lt;=0),0,MAX(0,Listes!$B$3-$G1039)))</f>
        <v/>
      </c>
      <c r="P1039" s="12">
        <f>IF($A1039="","",IF($J1039&lt;=0,"Payé",IF($M1039="Oui","Litige",IF($O1039=0,"À échoir",IF($O1039&lt;=30,"0-30",IF($O1039&lt;=60,"31-60",IF($O1039&lt;=90,"61-90","90+")))))))</f>
        <v/>
      </c>
    </row>
    <row r="1040">
      <c r="A1040" s="6" t="n"/>
      <c r="B1040" s="6" t="n"/>
      <c r="C1040" s="6" t="n"/>
      <c r="D1040" s="6" t="n"/>
      <c r="E1040" s="6" t="n"/>
      <c r="F1040" s="7" t="n"/>
      <c r="G1040" s="7" t="n"/>
      <c r="H1040" s="8" t="n"/>
      <c r="I1040" s="9">
        <f>IF($A1040="","",SUMIFS(Ventes_Encaissements!$D$6:$D$3005,Ventes_Encaissements!$B$6:$B$3005,$A1040))</f>
        <v/>
      </c>
      <c r="J1040" s="9">
        <f>IF($A1040="","",$H1040-$I1040)</f>
        <v/>
      </c>
      <c r="K1040" s="10">
        <f>IF($A1040="","",IF($I1040=0,"",_xludf.AGGREGATE(14,6,Ventes_Encaissements!$C$6:$C$3005/(Ventes_Encaissements!$B$6:$B$3005=$A1040),1)))</f>
        <v/>
      </c>
      <c r="L1040" s="11">
        <f>IF($A1040="","",COUNTIFS(Ventes_Detail!$B$6:$B$3005,$A1040))</f>
        <v/>
      </c>
      <c r="M1040" s="12" t="n"/>
      <c r="N1040" s="12">
        <f>IF($A1040="","",IF($G1040="","",IF($M1040="Oui","Litige",IF($J1040&lt;=0,"Payé",IF($I1040&gt;0,"Partiel",IF(Listes!$B$3&gt;$G1040,"En retard","À échoir"))))))</f>
        <v/>
      </c>
      <c r="O1040" s="11">
        <f>IF($A1040="","",IF(OR($G1040="", $J1040&lt;=0),0,MAX(0,Listes!$B$3-$G1040)))</f>
        <v/>
      </c>
      <c r="P1040" s="12">
        <f>IF($A1040="","",IF($J1040&lt;=0,"Payé",IF($M1040="Oui","Litige",IF($O1040=0,"À échoir",IF($O1040&lt;=30,"0-30",IF($O1040&lt;=60,"31-60",IF($O1040&lt;=90,"61-90","90+")))))))</f>
        <v/>
      </c>
    </row>
    <row r="1041">
      <c r="A1041" s="6" t="n"/>
      <c r="B1041" s="6" t="n"/>
      <c r="C1041" s="6" t="n"/>
      <c r="D1041" s="6" t="n"/>
      <c r="E1041" s="6" t="n"/>
      <c r="F1041" s="7" t="n"/>
      <c r="G1041" s="7" t="n"/>
      <c r="H1041" s="8" t="n"/>
      <c r="I1041" s="9">
        <f>IF($A1041="","",SUMIFS(Ventes_Encaissements!$D$6:$D$3005,Ventes_Encaissements!$B$6:$B$3005,$A1041))</f>
        <v/>
      </c>
      <c r="J1041" s="9">
        <f>IF($A1041="","",$H1041-$I1041)</f>
        <v/>
      </c>
      <c r="K1041" s="10">
        <f>IF($A1041="","",IF($I1041=0,"",_xludf.AGGREGATE(14,6,Ventes_Encaissements!$C$6:$C$3005/(Ventes_Encaissements!$B$6:$B$3005=$A1041),1)))</f>
        <v/>
      </c>
      <c r="L1041" s="11">
        <f>IF($A1041="","",COUNTIFS(Ventes_Detail!$B$6:$B$3005,$A1041))</f>
        <v/>
      </c>
      <c r="M1041" s="12" t="n"/>
      <c r="N1041" s="12">
        <f>IF($A1041="","",IF($G1041="","",IF($M1041="Oui","Litige",IF($J1041&lt;=0,"Payé",IF($I1041&gt;0,"Partiel",IF(Listes!$B$3&gt;$G1041,"En retard","À échoir"))))))</f>
        <v/>
      </c>
      <c r="O1041" s="11">
        <f>IF($A1041="","",IF(OR($G1041="", $J1041&lt;=0),0,MAX(0,Listes!$B$3-$G1041)))</f>
        <v/>
      </c>
      <c r="P1041" s="12">
        <f>IF($A1041="","",IF($J1041&lt;=0,"Payé",IF($M1041="Oui","Litige",IF($O1041=0,"À échoir",IF($O1041&lt;=30,"0-30",IF($O1041&lt;=60,"31-60",IF($O1041&lt;=90,"61-90","90+")))))))</f>
        <v/>
      </c>
    </row>
    <row r="1042">
      <c r="A1042" s="6" t="n"/>
      <c r="B1042" s="6" t="n"/>
      <c r="C1042" s="6" t="n"/>
      <c r="D1042" s="6" t="n"/>
      <c r="E1042" s="6" t="n"/>
      <c r="F1042" s="7" t="n"/>
      <c r="G1042" s="7" t="n"/>
      <c r="H1042" s="8" t="n"/>
      <c r="I1042" s="9">
        <f>IF($A1042="","",SUMIFS(Ventes_Encaissements!$D$6:$D$3005,Ventes_Encaissements!$B$6:$B$3005,$A1042))</f>
        <v/>
      </c>
      <c r="J1042" s="9">
        <f>IF($A1042="","",$H1042-$I1042)</f>
        <v/>
      </c>
      <c r="K1042" s="10">
        <f>IF($A1042="","",IF($I1042=0,"",_xludf.AGGREGATE(14,6,Ventes_Encaissements!$C$6:$C$3005/(Ventes_Encaissements!$B$6:$B$3005=$A1042),1)))</f>
        <v/>
      </c>
      <c r="L1042" s="11">
        <f>IF($A1042="","",COUNTIFS(Ventes_Detail!$B$6:$B$3005,$A1042))</f>
        <v/>
      </c>
      <c r="M1042" s="12" t="n"/>
      <c r="N1042" s="12">
        <f>IF($A1042="","",IF($G1042="","",IF($M1042="Oui","Litige",IF($J1042&lt;=0,"Payé",IF($I1042&gt;0,"Partiel",IF(Listes!$B$3&gt;$G1042,"En retard","À échoir"))))))</f>
        <v/>
      </c>
      <c r="O1042" s="11">
        <f>IF($A1042="","",IF(OR($G1042="", $J1042&lt;=0),0,MAX(0,Listes!$B$3-$G1042)))</f>
        <v/>
      </c>
      <c r="P1042" s="12">
        <f>IF($A1042="","",IF($J1042&lt;=0,"Payé",IF($M1042="Oui","Litige",IF($O1042=0,"À échoir",IF($O1042&lt;=30,"0-30",IF($O1042&lt;=60,"31-60",IF($O1042&lt;=90,"61-90","90+")))))))</f>
        <v/>
      </c>
    </row>
    <row r="1043">
      <c r="A1043" s="6" t="n"/>
      <c r="B1043" s="6" t="n"/>
      <c r="C1043" s="6" t="n"/>
      <c r="D1043" s="6" t="n"/>
      <c r="E1043" s="6" t="n"/>
      <c r="F1043" s="7" t="n"/>
      <c r="G1043" s="7" t="n"/>
      <c r="H1043" s="8" t="n"/>
      <c r="I1043" s="9">
        <f>IF($A1043="","",SUMIFS(Ventes_Encaissements!$D$6:$D$3005,Ventes_Encaissements!$B$6:$B$3005,$A1043))</f>
        <v/>
      </c>
      <c r="J1043" s="9">
        <f>IF($A1043="","",$H1043-$I1043)</f>
        <v/>
      </c>
      <c r="K1043" s="10">
        <f>IF($A1043="","",IF($I1043=0,"",_xludf.AGGREGATE(14,6,Ventes_Encaissements!$C$6:$C$3005/(Ventes_Encaissements!$B$6:$B$3005=$A1043),1)))</f>
        <v/>
      </c>
      <c r="L1043" s="11">
        <f>IF($A1043="","",COUNTIFS(Ventes_Detail!$B$6:$B$3005,$A1043))</f>
        <v/>
      </c>
      <c r="M1043" s="12" t="n"/>
      <c r="N1043" s="12">
        <f>IF($A1043="","",IF($G1043="","",IF($M1043="Oui","Litige",IF($J1043&lt;=0,"Payé",IF($I1043&gt;0,"Partiel",IF(Listes!$B$3&gt;$G1043,"En retard","À échoir"))))))</f>
        <v/>
      </c>
      <c r="O1043" s="11">
        <f>IF($A1043="","",IF(OR($G1043="", $J1043&lt;=0),0,MAX(0,Listes!$B$3-$G1043)))</f>
        <v/>
      </c>
      <c r="P1043" s="12">
        <f>IF($A1043="","",IF($J1043&lt;=0,"Payé",IF($M1043="Oui","Litige",IF($O1043=0,"À échoir",IF($O1043&lt;=30,"0-30",IF($O1043&lt;=60,"31-60",IF($O1043&lt;=90,"61-90","90+")))))))</f>
        <v/>
      </c>
    </row>
    <row r="1044">
      <c r="A1044" s="6" t="n"/>
      <c r="B1044" s="6" t="n"/>
      <c r="C1044" s="6" t="n"/>
      <c r="D1044" s="6" t="n"/>
      <c r="E1044" s="6" t="n"/>
      <c r="F1044" s="7" t="n"/>
      <c r="G1044" s="7" t="n"/>
      <c r="H1044" s="8" t="n"/>
      <c r="I1044" s="9">
        <f>IF($A1044="","",SUMIFS(Ventes_Encaissements!$D$6:$D$3005,Ventes_Encaissements!$B$6:$B$3005,$A1044))</f>
        <v/>
      </c>
      <c r="J1044" s="9">
        <f>IF($A1044="","",$H1044-$I1044)</f>
        <v/>
      </c>
      <c r="K1044" s="10">
        <f>IF($A1044="","",IF($I1044=0,"",_xludf.AGGREGATE(14,6,Ventes_Encaissements!$C$6:$C$3005/(Ventes_Encaissements!$B$6:$B$3005=$A1044),1)))</f>
        <v/>
      </c>
      <c r="L1044" s="11">
        <f>IF($A1044="","",COUNTIFS(Ventes_Detail!$B$6:$B$3005,$A1044))</f>
        <v/>
      </c>
      <c r="M1044" s="12" t="n"/>
      <c r="N1044" s="12">
        <f>IF($A1044="","",IF($G1044="","",IF($M1044="Oui","Litige",IF($J1044&lt;=0,"Payé",IF($I1044&gt;0,"Partiel",IF(Listes!$B$3&gt;$G1044,"En retard","À échoir"))))))</f>
        <v/>
      </c>
      <c r="O1044" s="11">
        <f>IF($A1044="","",IF(OR($G1044="", $J1044&lt;=0),0,MAX(0,Listes!$B$3-$G1044)))</f>
        <v/>
      </c>
      <c r="P1044" s="12">
        <f>IF($A1044="","",IF($J1044&lt;=0,"Payé",IF($M1044="Oui","Litige",IF($O1044=0,"À échoir",IF($O1044&lt;=30,"0-30",IF($O1044&lt;=60,"31-60",IF($O1044&lt;=90,"61-90","90+")))))))</f>
        <v/>
      </c>
    </row>
    <row r="1045">
      <c r="A1045" s="6" t="n"/>
      <c r="B1045" s="6" t="n"/>
      <c r="C1045" s="6" t="n"/>
      <c r="D1045" s="6" t="n"/>
      <c r="E1045" s="6" t="n"/>
      <c r="F1045" s="7" t="n"/>
      <c r="G1045" s="7" t="n"/>
      <c r="H1045" s="8" t="n"/>
      <c r="I1045" s="9">
        <f>IF($A1045="","",SUMIFS(Ventes_Encaissements!$D$6:$D$3005,Ventes_Encaissements!$B$6:$B$3005,$A1045))</f>
        <v/>
      </c>
      <c r="J1045" s="9">
        <f>IF($A1045="","",$H1045-$I1045)</f>
        <v/>
      </c>
      <c r="K1045" s="10">
        <f>IF($A1045="","",IF($I1045=0,"",_xludf.AGGREGATE(14,6,Ventes_Encaissements!$C$6:$C$3005/(Ventes_Encaissements!$B$6:$B$3005=$A1045),1)))</f>
        <v/>
      </c>
      <c r="L1045" s="11">
        <f>IF($A1045="","",COUNTIFS(Ventes_Detail!$B$6:$B$3005,$A1045))</f>
        <v/>
      </c>
      <c r="M1045" s="12" t="n"/>
      <c r="N1045" s="12">
        <f>IF($A1045="","",IF($G1045="","",IF($M1045="Oui","Litige",IF($J1045&lt;=0,"Payé",IF($I1045&gt;0,"Partiel",IF(Listes!$B$3&gt;$G1045,"En retard","À échoir"))))))</f>
        <v/>
      </c>
      <c r="O1045" s="11">
        <f>IF($A1045="","",IF(OR($G1045="", $J1045&lt;=0),0,MAX(0,Listes!$B$3-$G1045)))</f>
        <v/>
      </c>
      <c r="P1045" s="12">
        <f>IF($A1045="","",IF($J1045&lt;=0,"Payé",IF($M1045="Oui","Litige",IF($O1045=0,"À échoir",IF($O1045&lt;=30,"0-30",IF($O1045&lt;=60,"31-60",IF($O1045&lt;=90,"61-90","90+")))))))</f>
        <v/>
      </c>
    </row>
    <row r="1046">
      <c r="A1046" s="6" t="n"/>
      <c r="B1046" s="6" t="n"/>
      <c r="C1046" s="6" t="n"/>
      <c r="D1046" s="6" t="n"/>
      <c r="E1046" s="6" t="n"/>
      <c r="F1046" s="7" t="n"/>
      <c r="G1046" s="7" t="n"/>
      <c r="H1046" s="8" t="n"/>
      <c r="I1046" s="9">
        <f>IF($A1046="","",SUMIFS(Ventes_Encaissements!$D$6:$D$3005,Ventes_Encaissements!$B$6:$B$3005,$A1046))</f>
        <v/>
      </c>
      <c r="J1046" s="9">
        <f>IF($A1046="","",$H1046-$I1046)</f>
        <v/>
      </c>
      <c r="K1046" s="10">
        <f>IF($A1046="","",IF($I1046=0,"",_xludf.AGGREGATE(14,6,Ventes_Encaissements!$C$6:$C$3005/(Ventes_Encaissements!$B$6:$B$3005=$A1046),1)))</f>
        <v/>
      </c>
      <c r="L1046" s="11">
        <f>IF($A1046="","",COUNTIFS(Ventes_Detail!$B$6:$B$3005,$A1046))</f>
        <v/>
      </c>
      <c r="M1046" s="12" t="n"/>
      <c r="N1046" s="12">
        <f>IF($A1046="","",IF($G1046="","",IF($M1046="Oui","Litige",IF($J1046&lt;=0,"Payé",IF($I1046&gt;0,"Partiel",IF(Listes!$B$3&gt;$G1046,"En retard","À échoir"))))))</f>
        <v/>
      </c>
      <c r="O1046" s="11">
        <f>IF($A1046="","",IF(OR($G1046="", $J1046&lt;=0),0,MAX(0,Listes!$B$3-$G1046)))</f>
        <v/>
      </c>
      <c r="P1046" s="12">
        <f>IF($A1046="","",IF($J1046&lt;=0,"Payé",IF($M1046="Oui","Litige",IF($O1046=0,"À échoir",IF($O1046&lt;=30,"0-30",IF($O1046&lt;=60,"31-60",IF($O1046&lt;=90,"61-90","90+")))))))</f>
        <v/>
      </c>
    </row>
    <row r="1047">
      <c r="A1047" s="6" t="n"/>
      <c r="B1047" s="6" t="n"/>
      <c r="C1047" s="6" t="n"/>
      <c r="D1047" s="6" t="n"/>
      <c r="E1047" s="6" t="n"/>
      <c r="F1047" s="7" t="n"/>
      <c r="G1047" s="7" t="n"/>
      <c r="H1047" s="8" t="n"/>
      <c r="I1047" s="9">
        <f>IF($A1047="","",SUMIFS(Ventes_Encaissements!$D$6:$D$3005,Ventes_Encaissements!$B$6:$B$3005,$A1047))</f>
        <v/>
      </c>
      <c r="J1047" s="9">
        <f>IF($A1047="","",$H1047-$I1047)</f>
        <v/>
      </c>
      <c r="K1047" s="10">
        <f>IF($A1047="","",IF($I1047=0,"",_xludf.AGGREGATE(14,6,Ventes_Encaissements!$C$6:$C$3005/(Ventes_Encaissements!$B$6:$B$3005=$A1047),1)))</f>
        <v/>
      </c>
      <c r="L1047" s="11">
        <f>IF($A1047="","",COUNTIFS(Ventes_Detail!$B$6:$B$3005,$A1047))</f>
        <v/>
      </c>
      <c r="M1047" s="12" t="n"/>
      <c r="N1047" s="12">
        <f>IF($A1047="","",IF($G1047="","",IF($M1047="Oui","Litige",IF($J1047&lt;=0,"Payé",IF($I1047&gt;0,"Partiel",IF(Listes!$B$3&gt;$G1047,"En retard","À échoir"))))))</f>
        <v/>
      </c>
      <c r="O1047" s="11">
        <f>IF($A1047="","",IF(OR($G1047="", $J1047&lt;=0),0,MAX(0,Listes!$B$3-$G1047)))</f>
        <v/>
      </c>
      <c r="P1047" s="12">
        <f>IF($A1047="","",IF($J1047&lt;=0,"Payé",IF($M1047="Oui","Litige",IF($O1047=0,"À échoir",IF($O1047&lt;=30,"0-30",IF($O1047&lt;=60,"31-60",IF($O1047&lt;=90,"61-90","90+")))))))</f>
        <v/>
      </c>
    </row>
    <row r="1048">
      <c r="A1048" s="6" t="n"/>
      <c r="B1048" s="6" t="n"/>
      <c r="C1048" s="6" t="n"/>
      <c r="D1048" s="6" t="n"/>
      <c r="E1048" s="6" t="n"/>
      <c r="F1048" s="7" t="n"/>
      <c r="G1048" s="7" t="n"/>
      <c r="H1048" s="8" t="n"/>
      <c r="I1048" s="9">
        <f>IF($A1048="","",SUMIFS(Ventes_Encaissements!$D$6:$D$3005,Ventes_Encaissements!$B$6:$B$3005,$A1048))</f>
        <v/>
      </c>
      <c r="J1048" s="9">
        <f>IF($A1048="","",$H1048-$I1048)</f>
        <v/>
      </c>
      <c r="K1048" s="10">
        <f>IF($A1048="","",IF($I1048=0,"",_xludf.AGGREGATE(14,6,Ventes_Encaissements!$C$6:$C$3005/(Ventes_Encaissements!$B$6:$B$3005=$A1048),1)))</f>
        <v/>
      </c>
      <c r="L1048" s="11">
        <f>IF($A1048="","",COUNTIFS(Ventes_Detail!$B$6:$B$3005,$A1048))</f>
        <v/>
      </c>
      <c r="M1048" s="12" t="n"/>
      <c r="N1048" s="12">
        <f>IF($A1048="","",IF($G1048="","",IF($M1048="Oui","Litige",IF($J1048&lt;=0,"Payé",IF($I1048&gt;0,"Partiel",IF(Listes!$B$3&gt;$G1048,"En retard","À échoir"))))))</f>
        <v/>
      </c>
      <c r="O1048" s="11">
        <f>IF($A1048="","",IF(OR($G1048="", $J1048&lt;=0),0,MAX(0,Listes!$B$3-$G1048)))</f>
        <v/>
      </c>
      <c r="P1048" s="12">
        <f>IF($A1048="","",IF($J1048&lt;=0,"Payé",IF($M1048="Oui","Litige",IF($O1048=0,"À échoir",IF($O1048&lt;=30,"0-30",IF($O1048&lt;=60,"31-60",IF($O1048&lt;=90,"61-90","90+")))))))</f>
        <v/>
      </c>
    </row>
    <row r="1049">
      <c r="A1049" s="6" t="n"/>
      <c r="B1049" s="6" t="n"/>
      <c r="C1049" s="6" t="n"/>
      <c r="D1049" s="6" t="n"/>
      <c r="E1049" s="6" t="n"/>
      <c r="F1049" s="7" t="n"/>
      <c r="G1049" s="7" t="n"/>
      <c r="H1049" s="8" t="n"/>
      <c r="I1049" s="9">
        <f>IF($A1049="","",SUMIFS(Ventes_Encaissements!$D$6:$D$3005,Ventes_Encaissements!$B$6:$B$3005,$A1049))</f>
        <v/>
      </c>
      <c r="J1049" s="9">
        <f>IF($A1049="","",$H1049-$I1049)</f>
        <v/>
      </c>
      <c r="K1049" s="10">
        <f>IF($A1049="","",IF($I1049=0,"",_xludf.AGGREGATE(14,6,Ventes_Encaissements!$C$6:$C$3005/(Ventes_Encaissements!$B$6:$B$3005=$A1049),1)))</f>
        <v/>
      </c>
      <c r="L1049" s="11">
        <f>IF($A1049="","",COUNTIFS(Ventes_Detail!$B$6:$B$3005,$A1049))</f>
        <v/>
      </c>
      <c r="M1049" s="12" t="n"/>
      <c r="N1049" s="12">
        <f>IF($A1049="","",IF($G1049="","",IF($M1049="Oui","Litige",IF($J1049&lt;=0,"Payé",IF($I1049&gt;0,"Partiel",IF(Listes!$B$3&gt;$G1049,"En retard","À échoir"))))))</f>
        <v/>
      </c>
      <c r="O1049" s="11">
        <f>IF($A1049="","",IF(OR($G1049="", $J1049&lt;=0),0,MAX(0,Listes!$B$3-$G1049)))</f>
        <v/>
      </c>
      <c r="P1049" s="12">
        <f>IF($A1049="","",IF($J1049&lt;=0,"Payé",IF($M1049="Oui","Litige",IF($O1049=0,"À échoir",IF($O1049&lt;=30,"0-30",IF($O1049&lt;=60,"31-60",IF($O1049&lt;=90,"61-90","90+")))))))</f>
        <v/>
      </c>
    </row>
    <row r="1050">
      <c r="A1050" s="6" t="n"/>
      <c r="B1050" s="6" t="n"/>
      <c r="C1050" s="6" t="n"/>
      <c r="D1050" s="6" t="n"/>
      <c r="E1050" s="6" t="n"/>
      <c r="F1050" s="7" t="n"/>
      <c r="G1050" s="7" t="n"/>
      <c r="H1050" s="8" t="n"/>
      <c r="I1050" s="9">
        <f>IF($A1050="","",SUMIFS(Ventes_Encaissements!$D$6:$D$3005,Ventes_Encaissements!$B$6:$B$3005,$A1050))</f>
        <v/>
      </c>
      <c r="J1050" s="9">
        <f>IF($A1050="","",$H1050-$I1050)</f>
        <v/>
      </c>
      <c r="K1050" s="10">
        <f>IF($A1050="","",IF($I1050=0,"",_xludf.AGGREGATE(14,6,Ventes_Encaissements!$C$6:$C$3005/(Ventes_Encaissements!$B$6:$B$3005=$A1050),1)))</f>
        <v/>
      </c>
      <c r="L1050" s="11">
        <f>IF($A1050="","",COUNTIFS(Ventes_Detail!$B$6:$B$3005,$A1050))</f>
        <v/>
      </c>
      <c r="M1050" s="12" t="n"/>
      <c r="N1050" s="12">
        <f>IF($A1050="","",IF($G1050="","",IF($M1050="Oui","Litige",IF($J1050&lt;=0,"Payé",IF($I1050&gt;0,"Partiel",IF(Listes!$B$3&gt;$G1050,"En retard","À échoir"))))))</f>
        <v/>
      </c>
      <c r="O1050" s="11">
        <f>IF($A1050="","",IF(OR($G1050="", $J1050&lt;=0),0,MAX(0,Listes!$B$3-$G1050)))</f>
        <v/>
      </c>
      <c r="P1050" s="12">
        <f>IF($A1050="","",IF($J1050&lt;=0,"Payé",IF($M1050="Oui","Litige",IF($O1050=0,"À échoir",IF($O1050&lt;=30,"0-30",IF($O1050&lt;=60,"31-60",IF($O1050&lt;=90,"61-90","90+")))))))</f>
        <v/>
      </c>
    </row>
    <row r="1051">
      <c r="A1051" s="6" t="n"/>
      <c r="B1051" s="6" t="n"/>
      <c r="C1051" s="6" t="n"/>
      <c r="D1051" s="6" t="n"/>
      <c r="E1051" s="6" t="n"/>
      <c r="F1051" s="7" t="n"/>
      <c r="G1051" s="7" t="n"/>
      <c r="H1051" s="8" t="n"/>
      <c r="I1051" s="9">
        <f>IF($A1051="","",SUMIFS(Ventes_Encaissements!$D$6:$D$3005,Ventes_Encaissements!$B$6:$B$3005,$A1051))</f>
        <v/>
      </c>
      <c r="J1051" s="9">
        <f>IF($A1051="","",$H1051-$I1051)</f>
        <v/>
      </c>
      <c r="K1051" s="10">
        <f>IF($A1051="","",IF($I1051=0,"",_xludf.AGGREGATE(14,6,Ventes_Encaissements!$C$6:$C$3005/(Ventes_Encaissements!$B$6:$B$3005=$A1051),1)))</f>
        <v/>
      </c>
      <c r="L1051" s="11">
        <f>IF($A1051="","",COUNTIFS(Ventes_Detail!$B$6:$B$3005,$A1051))</f>
        <v/>
      </c>
      <c r="M1051" s="12" t="n"/>
      <c r="N1051" s="12">
        <f>IF($A1051="","",IF($G1051="","",IF($M1051="Oui","Litige",IF($J1051&lt;=0,"Payé",IF($I1051&gt;0,"Partiel",IF(Listes!$B$3&gt;$G1051,"En retard","À échoir"))))))</f>
        <v/>
      </c>
      <c r="O1051" s="11">
        <f>IF($A1051="","",IF(OR($G1051="", $J1051&lt;=0),0,MAX(0,Listes!$B$3-$G1051)))</f>
        <v/>
      </c>
      <c r="P1051" s="12">
        <f>IF($A1051="","",IF($J1051&lt;=0,"Payé",IF($M1051="Oui","Litige",IF($O1051=0,"À échoir",IF($O1051&lt;=30,"0-30",IF($O1051&lt;=60,"31-60",IF($O1051&lt;=90,"61-90","90+")))))))</f>
        <v/>
      </c>
    </row>
    <row r="1052">
      <c r="A1052" s="6" t="n"/>
      <c r="B1052" s="6" t="n"/>
      <c r="C1052" s="6" t="n"/>
      <c r="D1052" s="6" t="n"/>
      <c r="E1052" s="6" t="n"/>
      <c r="F1052" s="7" t="n"/>
      <c r="G1052" s="7" t="n"/>
      <c r="H1052" s="8" t="n"/>
      <c r="I1052" s="9">
        <f>IF($A1052="","",SUMIFS(Ventes_Encaissements!$D$6:$D$3005,Ventes_Encaissements!$B$6:$B$3005,$A1052))</f>
        <v/>
      </c>
      <c r="J1052" s="9">
        <f>IF($A1052="","",$H1052-$I1052)</f>
        <v/>
      </c>
      <c r="K1052" s="10">
        <f>IF($A1052="","",IF($I1052=0,"",_xludf.AGGREGATE(14,6,Ventes_Encaissements!$C$6:$C$3005/(Ventes_Encaissements!$B$6:$B$3005=$A1052),1)))</f>
        <v/>
      </c>
      <c r="L1052" s="11">
        <f>IF($A1052="","",COUNTIFS(Ventes_Detail!$B$6:$B$3005,$A1052))</f>
        <v/>
      </c>
      <c r="M1052" s="12" t="n"/>
      <c r="N1052" s="12">
        <f>IF($A1052="","",IF($G1052="","",IF($M1052="Oui","Litige",IF($J1052&lt;=0,"Payé",IF($I1052&gt;0,"Partiel",IF(Listes!$B$3&gt;$G1052,"En retard","À échoir"))))))</f>
        <v/>
      </c>
      <c r="O1052" s="11">
        <f>IF($A1052="","",IF(OR($G1052="", $J1052&lt;=0),0,MAX(0,Listes!$B$3-$G1052)))</f>
        <v/>
      </c>
      <c r="P1052" s="12">
        <f>IF($A1052="","",IF($J1052&lt;=0,"Payé",IF($M1052="Oui","Litige",IF($O1052=0,"À échoir",IF($O1052&lt;=30,"0-30",IF($O1052&lt;=60,"31-60",IF($O1052&lt;=90,"61-90","90+")))))))</f>
        <v/>
      </c>
    </row>
    <row r="1053">
      <c r="A1053" s="6" t="n"/>
      <c r="B1053" s="6" t="n"/>
      <c r="C1053" s="6" t="n"/>
      <c r="D1053" s="6" t="n"/>
      <c r="E1053" s="6" t="n"/>
      <c r="F1053" s="7" t="n"/>
      <c r="G1053" s="7" t="n"/>
      <c r="H1053" s="8" t="n"/>
      <c r="I1053" s="9">
        <f>IF($A1053="","",SUMIFS(Ventes_Encaissements!$D$6:$D$3005,Ventes_Encaissements!$B$6:$B$3005,$A1053))</f>
        <v/>
      </c>
      <c r="J1053" s="9">
        <f>IF($A1053="","",$H1053-$I1053)</f>
        <v/>
      </c>
      <c r="K1053" s="10">
        <f>IF($A1053="","",IF($I1053=0,"",_xludf.AGGREGATE(14,6,Ventes_Encaissements!$C$6:$C$3005/(Ventes_Encaissements!$B$6:$B$3005=$A1053),1)))</f>
        <v/>
      </c>
      <c r="L1053" s="11">
        <f>IF($A1053="","",COUNTIFS(Ventes_Detail!$B$6:$B$3005,$A1053))</f>
        <v/>
      </c>
      <c r="M1053" s="12" t="n"/>
      <c r="N1053" s="12">
        <f>IF($A1053="","",IF($G1053="","",IF($M1053="Oui","Litige",IF($J1053&lt;=0,"Payé",IF($I1053&gt;0,"Partiel",IF(Listes!$B$3&gt;$G1053,"En retard","À échoir"))))))</f>
        <v/>
      </c>
      <c r="O1053" s="11">
        <f>IF($A1053="","",IF(OR($G1053="", $J1053&lt;=0),0,MAX(0,Listes!$B$3-$G1053)))</f>
        <v/>
      </c>
      <c r="P1053" s="12">
        <f>IF($A1053="","",IF($J1053&lt;=0,"Payé",IF($M1053="Oui","Litige",IF($O1053=0,"À échoir",IF($O1053&lt;=30,"0-30",IF($O1053&lt;=60,"31-60",IF($O1053&lt;=90,"61-90","90+")))))))</f>
        <v/>
      </c>
    </row>
    <row r="1054">
      <c r="A1054" s="6" t="n"/>
      <c r="B1054" s="6" t="n"/>
      <c r="C1054" s="6" t="n"/>
      <c r="D1054" s="6" t="n"/>
      <c r="E1054" s="6" t="n"/>
      <c r="F1054" s="7" t="n"/>
      <c r="G1054" s="7" t="n"/>
      <c r="H1054" s="8" t="n"/>
      <c r="I1054" s="9">
        <f>IF($A1054="","",SUMIFS(Ventes_Encaissements!$D$6:$D$3005,Ventes_Encaissements!$B$6:$B$3005,$A1054))</f>
        <v/>
      </c>
      <c r="J1054" s="9">
        <f>IF($A1054="","",$H1054-$I1054)</f>
        <v/>
      </c>
      <c r="K1054" s="10">
        <f>IF($A1054="","",IF($I1054=0,"",_xludf.AGGREGATE(14,6,Ventes_Encaissements!$C$6:$C$3005/(Ventes_Encaissements!$B$6:$B$3005=$A1054),1)))</f>
        <v/>
      </c>
      <c r="L1054" s="11">
        <f>IF($A1054="","",COUNTIFS(Ventes_Detail!$B$6:$B$3005,$A1054))</f>
        <v/>
      </c>
      <c r="M1054" s="12" t="n"/>
      <c r="N1054" s="12">
        <f>IF($A1054="","",IF($G1054="","",IF($M1054="Oui","Litige",IF($J1054&lt;=0,"Payé",IF($I1054&gt;0,"Partiel",IF(Listes!$B$3&gt;$G1054,"En retard","À échoir"))))))</f>
        <v/>
      </c>
      <c r="O1054" s="11">
        <f>IF($A1054="","",IF(OR($G1054="", $J1054&lt;=0),0,MAX(0,Listes!$B$3-$G1054)))</f>
        <v/>
      </c>
      <c r="P1054" s="12">
        <f>IF($A1054="","",IF($J1054&lt;=0,"Payé",IF($M1054="Oui","Litige",IF($O1054=0,"À échoir",IF($O1054&lt;=30,"0-30",IF($O1054&lt;=60,"31-60",IF($O1054&lt;=90,"61-90","90+")))))))</f>
        <v/>
      </c>
    </row>
    <row r="1055">
      <c r="A1055" s="6" t="n"/>
      <c r="B1055" s="6" t="n"/>
      <c r="C1055" s="6" t="n"/>
      <c r="D1055" s="6" t="n"/>
      <c r="E1055" s="6" t="n"/>
      <c r="F1055" s="7" t="n"/>
      <c r="G1055" s="7" t="n"/>
      <c r="H1055" s="8" t="n"/>
      <c r="I1055" s="9">
        <f>IF($A1055="","",SUMIFS(Ventes_Encaissements!$D$6:$D$3005,Ventes_Encaissements!$B$6:$B$3005,$A1055))</f>
        <v/>
      </c>
      <c r="J1055" s="9">
        <f>IF($A1055="","",$H1055-$I1055)</f>
        <v/>
      </c>
      <c r="K1055" s="10">
        <f>IF($A1055="","",IF($I1055=0,"",_xludf.AGGREGATE(14,6,Ventes_Encaissements!$C$6:$C$3005/(Ventes_Encaissements!$B$6:$B$3005=$A1055),1)))</f>
        <v/>
      </c>
      <c r="L1055" s="11">
        <f>IF($A1055="","",COUNTIFS(Ventes_Detail!$B$6:$B$3005,$A1055))</f>
        <v/>
      </c>
      <c r="M1055" s="12" t="n"/>
      <c r="N1055" s="12">
        <f>IF($A1055="","",IF($G1055="","",IF($M1055="Oui","Litige",IF($J1055&lt;=0,"Payé",IF($I1055&gt;0,"Partiel",IF(Listes!$B$3&gt;$G1055,"En retard","À échoir"))))))</f>
        <v/>
      </c>
      <c r="O1055" s="11">
        <f>IF($A1055="","",IF(OR($G1055="", $J1055&lt;=0),0,MAX(0,Listes!$B$3-$G1055)))</f>
        <v/>
      </c>
      <c r="P1055" s="12">
        <f>IF($A1055="","",IF($J1055&lt;=0,"Payé",IF($M1055="Oui","Litige",IF($O1055=0,"À échoir",IF($O1055&lt;=30,"0-30",IF($O1055&lt;=60,"31-60",IF($O1055&lt;=90,"61-90","90+")))))))</f>
        <v/>
      </c>
    </row>
    <row r="1056">
      <c r="A1056" s="6" t="n"/>
      <c r="B1056" s="6" t="n"/>
      <c r="C1056" s="6" t="n"/>
      <c r="D1056" s="6" t="n"/>
      <c r="E1056" s="6" t="n"/>
      <c r="F1056" s="7" t="n"/>
      <c r="G1056" s="7" t="n"/>
      <c r="H1056" s="8" t="n"/>
      <c r="I1056" s="9">
        <f>IF($A1056="","",SUMIFS(Ventes_Encaissements!$D$6:$D$3005,Ventes_Encaissements!$B$6:$B$3005,$A1056))</f>
        <v/>
      </c>
      <c r="J1056" s="9">
        <f>IF($A1056="","",$H1056-$I1056)</f>
        <v/>
      </c>
      <c r="K1056" s="10">
        <f>IF($A1056="","",IF($I1056=0,"",_xludf.AGGREGATE(14,6,Ventes_Encaissements!$C$6:$C$3005/(Ventes_Encaissements!$B$6:$B$3005=$A1056),1)))</f>
        <v/>
      </c>
      <c r="L1056" s="11">
        <f>IF($A1056="","",COUNTIFS(Ventes_Detail!$B$6:$B$3005,$A1056))</f>
        <v/>
      </c>
      <c r="M1056" s="12" t="n"/>
      <c r="N1056" s="12">
        <f>IF($A1056="","",IF($G1056="","",IF($M1056="Oui","Litige",IF($J1056&lt;=0,"Payé",IF($I1056&gt;0,"Partiel",IF(Listes!$B$3&gt;$G1056,"En retard","À échoir"))))))</f>
        <v/>
      </c>
      <c r="O1056" s="11">
        <f>IF($A1056="","",IF(OR($G1056="", $J1056&lt;=0),0,MAX(0,Listes!$B$3-$G1056)))</f>
        <v/>
      </c>
      <c r="P1056" s="12">
        <f>IF($A1056="","",IF($J1056&lt;=0,"Payé",IF($M1056="Oui","Litige",IF($O1056=0,"À échoir",IF($O1056&lt;=30,"0-30",IF($O1056&lt;=60,"31-60",IF($O1056&lt;=90,"61-90","90+")))))))</f>
        <v/>
      </c>
    </row>
    <row r="1057">
      <c r="A1057" s="6" t="n"/>
      <c r="B1057" s="6" t="n"/>
      <c r="C1057" s="6" t="n"/>
      <c r="D1057" s="6" t="n"/>
      <c r="E1057" s="6" t="n"/>
      <c r="F1057" s="7" t="n"/>
      <c r="G1057" s="7" t="n"/>
      <c r="H1057" s="8" t="n"/>
      <c r="I1057" s="9">
        <f>IF($A1057="","",SUMIFS(Ventes_Encaissements!$D$6:$D$3005,Ventes_Encaissements!$B$6:$B$3005,$A1057))</f>
        <v/>
      </c>
      <c r="J1057" s="9">
        <f>IF($A1057="","",$H1057-$I1057)</f>
        <v/>
      </c>
      <c r="K1057" s="10">
        <f>IF($A1057="","",IF($I1057=0,"",_xludf.AGGREGATE(14,6,Ventes_Encaissements!$C$6:$C$3005/(Ventes_Encaissements!$B$6:$B$3005=$A1057),1)))</f>
        <v/>
      </c>
      <c r="L1057" s="11">
        <f>IF($A1057="","",COUNTIFS(Ventes_Detail!$B$6:$B$3005,$A1057))</f>
        <v/>
      </c>
      <c r="M1057" s="12" t="n"/>
      <c r="N1057" s="12">
        <f>IF($A1057="","",IF($G1057="","",IF($M1057="Oui","Litige",IF($J1057&lt;=0,"Payé",IF($I1057&gt;0,"Partiel",IF(Listes!$B$3&gt;$G1057,"En retard","À échoir"))))))</f>
        <v/>
      </c>
      <c r="O1057" s="11">
        <f>IF($A1057="","",IF(OR($G1057="", $J1057&lt;=0),0,MAX(0,Listes!$B$3-$G1057)))</f>
        <v/>
      </c>
      <c r="P1057" s="12">
        <f>IF($A1057="","",IF($J1057&lt;=0,"Payé",IF($M1057="Oui","Litige",IF($O1057=0,"À échoir",IF($O1057&lt;=30,"0-30",IF($O1057&lt;=60,"31-60",IF($O1057&lt;=90,"61-90","90+")))))))</f>
        <v/>
      </c>
    </row>
    <row r="1058">
      <c r="A1058" s="6" t="n"/>
      <c r="B1058" s="6" t="n"/>
      <c r="C1058" s="6" t="n"/>
      <c r="D1058" s="6" t="n"/>
      <c r="E1058" s="6" t="n"/>
      <c r="F1058" s="7" t="n"/>
      <c r="G1058" s="7" t="n"/>
      <c r="H1058" s="8" t="n"/>
      <c r="I1058" s="9">
        <f>IF($A1058="","",SUMIFS(Ventes_Encaissements!$D$6:$D$3005,Ventes_Encaissements!$B$6:$B$3005,$A1058))</f>
        <v/>
      </c>
      <c r="J1058" s="9">
        <f>IF($A1058="","",$H1058-$I1058)</f>
        <v/>
      </c>
      <c r="K1058" s="10">
        <f>IF($A1058="","",IF($I1058=0,"",_xludf.AGGREGATE(14,6,Ventes_Encaissements!$C$6:$C$3005/(Ventes_Encaissements!$B$6:$B$3005=$A1058),1)))</f>
        <v/>
      </c>
      <c r="L1058" s="11">
        <f>IF($A1058="","",COUNTIFS(Ventes_Detail!$B$6:$B$3005,$A1058))</f>
        <v/>
      </c>
      <c r="M1058" s="12" t="n"/>
      <c r="N1058" s="12">
        <f>IF($A1058="","",IF($G1058="","",IF($M1058="Oui","Litige",IF($J1058&lt;=0,"Payé",IF($I1058&gt;0,"Partiel",IF(Listes!$B$3&gt;$G1058,"En retard","À échoir"))))))</f>
        <v/>
      </c>
      <c r="O1058" s="11">
        <f>IF($A1058="","",IF(OR($G1058="", $J1058&lt;=0),0,MAX(0,Listes!$B$3-$G1058)))</f>
        <v/>
      </c>
      <c r="P1058" s="12">
        <f>IF($A1058="","",IF($J1058&lt;=0,"Payé",IF($M1058="Oui","Litige",IF($O1058=0,"À échoir",IF($O1058&lt;=30,"0-30",IF($O1058&lt;=60,"31-60",IF($O1058&lt;=90,"61-90","90+")))))))</f>
        <v/>
      </c>
    </row>
    <row r="1059">
      <c r="A1059" s="6" t="n"/>
      <c r="B1059" s="6" t="n"/>
      <c r="C1059" s="6" t="n"/>
      <c r="D1059" s="6" t="n"/>
      <c r="E1059" s="6" t="n"/>
      <c r="F1059" s="7" t="n"/>
      <c r="G1059" s="7" t="n"/>
      <c r="H1059" s="8" t="n"/>
      <c r="I1059" s="9">
        <f>IF($A1059="","",SUMIFS(Ventes_Encaissements!$D$6:$D$3005,Ventes_Encaissements!$B$6:$B$3005,$A1059))</f>
        <v/>
      </c>
      <c r="J1059" s="9">
        <f>IF($A1059="","",$H1059-$I1059)</f>
        <v/>
      </c>
      <c r="K1059" s="10">
        <f>IF($A1059="","",IF($I1059=0,"",_xludf.AGGREGATE(14,6,Ventes_Encaissements!$C$6:$C$3005/(Ventes_Encaissements!$B$6:$B$3005=$A1059),1)))</f>
        <v/>
      </c>
      <c r="L1059" s="11">
        <f>IF($A1059="","",COUNTIFS(Ventes_Detail!$B$6:$B$3005,$A1059))</f>
        <v/>
      </c>
      <c r="M1059" s="12" t="n"/>
      <c r="N1059" s="12">
        <f>IF($A1059="","",IF($G1059="","",IF($M1059="Oui","Litige",IF($J1059&lt;=0,"Payé",IF($I1059&gt;0,"Partiel",IF(Listes!$B$3&gt;$G1059,"En retard","À échoir"))))))</f>
        <v/>
      </c>
      <c r="O1059" s="11">
        <f>IF($A1059="","",IF(OR($G1059="", $J1059&lt;=0),0,MAX(0,Listes!$B$3-$G1059)))</f>
        <v/>
      </c>
      <c r="P1059" s="12">
        <f>IF($A1059="","",IF($J1059&lt;=0,"Payé",IF($M1059="Oui","Litige",IF($O1059=0,"À échoir",IF($O1059&lt;=30,"0-30",IF($O1059&lt;=60,"31-60",IF($O1059&lt;=90,"61-90","90+")))))))</f>
        <v/>
      </c>
    </row>
    <row r="1060">
      <c r="A1060" s="6" t="n"/>
      <c r="B1060" s="6" t="n"/>
      <c r="C1060" s="6" t="n"/>
      <c r="D1060" s="6" t="n"/>
      <c r="E1060" s="6" t="n"/>
      <c r="F1060" s="7" t="n"/>
      <c r="G1060" s="7" t="n"/>
      <c r="H1060" s="8" t="n"/>
      <c r="I1060" s="9">
        <f>IF($A1060="","",SUMIFS(Ventes_Encaissements!$D$6:$D$3005,Ventes_Encaissements!$B$6:$B$3005,$A1060))</f>
        <v/>
      </c>
      <c r="J1060" s="9">
        <f>IF($A1060="","",$H1060-$I1060)</f>
        <v/>
      </c>
      <c r="K1060" s="10">
        <f>IF($A1060="","",IF($I1060=0,"",_xludf.AGGREGATE(14,6,Ventes_Encaissements!$C$6:$C$3005/(Ventes_Encaissements!$B$6:$B$3005=$A1060),1)))</f>
        <v/>
      </c>
      <c r="L1060" s="11">
        <f>IF($A1060="","",COUNTIFS(Ventes_Detail!$B$6:$B$3005,$A1060))</f>
        <v/>
      </c>
      <c r="M1060" s="12" t="n"/>
      <c r="N1060" s="12">
        <f>IF($A1060="","",IF($G1060="","",IF($M1060="Oui","Litige",IF($J1060&lt;=0,"Payé",IF($I1060&gt;0,"Partiel",IF(Listes!$B$3&gt;$G1060,"En retard","À échoir"))))))</f>
        <v/>
      </c>
      <c r="O1060" s="11">
        <f>IF($A1060="","",IF(OR($G1060="", $J1060&lt;=0),0,MAX(0,Listes!$B$3-$G1060)))</f>
        <v/>
      </c>
      <c r="P1060" s="12">
        <f>IF($A1060="","",IF($J1060&lt;=0,"Payé",IF($M1060="Oui","Litige",IF($O1060=0,"À échoir",IF($O1060&lt;=30,"0-30",IF($O1060&lt;=60,"31-60",IF($O1060&lt;=90,"61-90","90+")))))))</f>
        <v/>
      </c>
    </row>
    <row r="1061">
      <c r="A1061" s="6" t="n"/>
      <c r="B1061" s="6" t="n"/>
      <c r="C1061" s="6" t="n"/>
      <c r="D1061" s="6" t="n"/>
      <c r="E1061" s="6" t="n"/>
      <c r="F1061" s="7" t="n"/>
      <c r="G1061" s="7" t="n"/>
      <c r="H1061" s="8" t="n"/>
      <c r="I1061" s="9">
        <f>IF($A1061="","",SUMIFS(Ventes_Encaissements!$D$6:$D$3005,Ventes_Encaissements!$B$6:$B$3005,$A1061))</f>
        <v/>
      </c>
      <c r="J1061" s="9">
        <f>IF($A1061="","",$H1061-$I1061)</f>
        <v/>
      </c>
      <c r="K1061" s="10">
        <f>IF($A1061="","",IF($I1061=0,"",_xludf.AGGREGATE(14,6,Ventes_Encaissements!$C$6:$C$3005/(Ventes_Encaissements!$B$6:$B$3005=$A1061),1)))</f>
        <v/>
      </c>
      <c r="L1061" s="11">
        <f>IF($A1061="","",COUNTIFS(Ventes_Detail!$B$6:$B$3005,$A1061))</f>
        <v/>
      </c>
      <c r="M1061" s="12" t="n"/>
      <c r="N1061" s="12">
        <f>IF($A1061="","",IF($G1061="","",IF($M1061="Oui","Litige",IF($J1061&lt;=0,"Payé",IF($I1061&gt;0,"Partiel",IF(Listes!$B$3&gt;$G1061,"En retard","À échoir"))))))</f>
        <v/>
      </c>
      <c r="O1061" s="11">
        <f>IF($A1061="","",IF(OR($G1061="", $J1061&lt;=0),0,MAX(0,Listes!$B$3-$G1061)))</f>
        <v/>
      </c>
      <c r="P1061" s="12">
        <f>IF($A1061="","",IF($J1061&lt;=0,"Payé",IF($M1061="Oui","Litige",IF($O1061=0,"À échoir",IF($O1061&lt;=30,"0-30",IF($O1061&lt;=60,"31-60",IF($O1061&lt;=90,"61-90","90+")))))))</f>
        <v/>
      </c>
    </row>
    <row r="1062">
      <c r="A1062" s="6" t="n"/>
      <c r="B1062" s="6" t="n"/>
      <c r="C1062" s="6" t="n"/>
      <c r="D1062" s="6" t="n"/>
      <c r="E1062" s="6" t="n"/>
      <c r="F1062" s="7" t="n"/>
      <c r="G1062" s="7" t="n"/>
      <c r="H1062" s="8" t="n"/>
      <c r="I1062" s="9">
        <f>IF($A1062="","",SUMIFS(Ventes_Encaissements!$D$6:$D$3005,Ventes_Encaissements!$B$6:$B$3005,$A1062))</f>
        <v/>
      </c>
      <c r="J1062" s="9">
        <f>IF($A1062="","",$H1062-$I1062)</f>
        <v/>
      </c>
      <c r="K1062" s="10">
        <f>IF($A1062="","",IF($I1062=0,"",_xludf.AGGREGATE(14,6,Ventes_Encaissements!$C$6:$C$3005/(Ventes_Encaissements!$B$6:$B$3005=$A1062),1)))</f>
        <v/>
      </c>
      <c r="L1062" s="11">
        <f>IF($A1062="","",COUNTIFS(Ventes_Detail!$B$6:$B$3005,$A1062))</f>
        <v/>
      </c>
      <c r="M1062" s="12" t="n"/>
      <c r="N1062" s="12">
        <f>IF($A1062="","",IF($G1062="","",IF($M1062="Oui","Litige",IF($J1062&lt;=0,"Payé",IF($I1062&gt;0,"Partiel",IF(Listes!$B$3&gt;$G1062,"En retard","À échoir"))))))</f>
        <v/>
      </c>
      <c r="O1062" s="11">
        <f>IF($A1062="","",IF(OR($G1062="", $J1062&lt;=0),0,MAX(0,Listes!$B$3-$G1062)))</f>
        <v/>
      </c>
      <c r="P1062" s="12">
        <f>IF($A1062="","",IF($J1062&lt;=0,"Payé",IF($M1062="Oui","Litige",IF($O1062=0,"À échoir",IF($O1062&lt;=30,"0-30",IF($O1062&lt;=60,"31-60",IF($O1062&lt;=90,"61-90","90+")))))))</f>
        <v/>
      </c>
    </row>
    <row r="1063">
      <c r="A1063" s="6" t="n"/>
      <c r="B1063" s="6" t="n"/>
      <c r="C1063" s="6" t="n"/>
      <c r="D1063" s="6" t="n"/>
      <c r="E1063" s="6" t="n"/>
      <c r="F1063" s="7" t="n"/>
      <c r="G1063" s="7" t="n"/>
      <c r="H1063" s="8" t="n"/>
      <c r="I1063" s="9">
        <f>IF($A1063="","",SUMIFS(Ventes_Encaissements!$D$6:$D$3005,Ventes_Encaissements!$B$6:$B$3005,$A1063))</f>
        <v/>
      </c>
      <c r="J1063" s="9">
        <f>IF($A1063="","",$H1063-$I1063)</f>
        <v/>
      </c>
      <c r="K1063" s="10">
        <f>IF($A1063="","",IF($I1063=0,"",_xludf.AGGREGATE(14,6,Ventes_Encaissements!$C$6:$C$3005/(Ventes_Encaissements!$B$6:$B$3005=$A1063),1)))</f>
        <v/>
      </c>
      <c r="L1063" s="11">
        <f>IF($A1063="","",COUNTIFS(Ventes_Detail!$B$6:$B$3005,$A1063))</f>
        <v/>
      </c>
      <c r="M1063" s="12" t="n"/>
      <c r="N1063" s="12">
        <f>IF($A1063="","",IF($G1063="","",IF($M1063="Oui","Litige",IF($J1063&lt;=0,"Payé",IF($I1063&gt;0,"Partiel",IF(Listes!$B$3&gt;$G1063,"En retard","À échoir"))))))</f>
        <v/>
      </c>
      <c r="O1063" s="11">
        <f>IF($A1063="","",IF(OR($G1063="", $J1063&lt;=0),0,MAX(0,Listes!$B$3-$G1063)))</f>
        <v/>
      </c>
      <c r="P1063" s="12">
        <f>IF($A1063="","",IF($J1063&lt;=0,"Payé",IF($M1063="Oui","Litige",IF($O1063=0,"À échoir",IF($O1063&lt;=30,"0-30",IF($O1063&lt;=60,"31-60",IF($O1063&lt;=90,"61-90","90+")))))))</f>
        <v/>
      </c>
    </row>
    <row r="1064">
      <c r="A1064" s="6" t="n"/>
      <c r="B1064" s="6" t="n"/>
      <c r="C1064" s="6" t="n"/>
      <c r="D1064" s="6" t="n"/>
      <c r="E1064" s="6" t="n"/>
      <c r="F1064" s="7" t="n"/>
      <c r="G1064" s="7" t="n"/>
      <c r="H1064" s="8" t="n"/>
      <c r="I1064" s="9">
        <f>IF($A1064="","",SUMIFS(Ventes_Encaissements!$D$6:$D$3005,Ventes_Encaissements!$B$6:$B$3005,$A1064))</f>
        <v/>
      </c>
      <c r="J1064" s="9">
        <f>IF($A1064="","",$H1064-$I1064)</f>
        <v/>
      </c>
      <c r="K1064" s="10">
        <f>IF($A1064="","",IF($I1064=0,"",_xludf.AGGREGATE(14,6,Ventes_Encaissements!$C$6:$C$3005/(Ventes_Encaissements!$B$6:$B$3005=$A1064),1)))</f>
        <v/>
      </c>
      <c r="L1064" s="11">
        <f>IF($A1064="","",COUNTIFS(Ventes_Detail!$B$6:$B$3005,$A1064))</f>
        <v/>
      </c>
      <c r="M1064" s="12" t="n"/>
      <c r="N1064" s="12">
        <f>IF($A1064="","",IF($G1064="","",IF($M1064="Oui","Litige",IF($J1064&lt;=0,"Payé",IF($I1064&gt;0,"Partiel",IF(Listes!$B$3&gt;$G1064,"En retard","À échoir"))))))</f>
        <v/>
      </c>
      <c r="O1064" s="11">
        <f>IF($A1064="","",IF(OR($G1064="", $J1064&lt;=0),0,MAX(0,Listes!$B$3-$G1064)))</f>
        <v/>
      </c>
      <c r="P1064" s="12">
        <f>IF($A1064="","",IF($J1064&lt;=0,"Payé",IF($M1064="Oui","Litige",IF($O1064=0,"À échoir",IF($O1064&lt;=30,"0-30",IF($O1064&lt;=60,"31-60",IF($O1064&lt;=90,"61-90","90+")))))))</f>
        <v/>
      </c>
    </row>
    <row r="1065">
      <c r="A1065" s="6" t="n"/>
      <c r="B1065" s="6" t="n"/>
      <c r="C1065" s="6" t="n"/>
      <c r="D1065" s="6" t="n"/>
      <c r="E1065" s="6" t="n"/>
      <c r="F1065" s="7" t="n"/>
      <c r="G1065" s="7" t="n"/>
      <c r="H1065" s="8" t="n"/>
      <c r="I1065" s="9">
        <f>IF($A1065="","",SUMIFS(Ventes_Encaissements!$D$6:$D$3005,Ventes_Encaissements!$B$6:$B$3005,$A1065))</f>
        <v/>
      </c>
      <c r="J1065" s="9">
        <f>IF($A1065="","",$H1065-$I1065)</f>
        <v/>
      </c>
      <c r="K1065" s="10">
        <f>IF($A1065="","",IF($I1065=0,"",_xludf.AGGREGATE(14,6,Ventes_Encaissements!$C$6:$C$3005/(Ventes_Encaissements!$B$6:$B$3005=$A1065),1)))</f>
        <v/>
      </c>
      <c r="L1065" s="11">
        <f>IF($A1065="","",COUNTIFS(Ventes_Detail!$B$6:$B$3005,$A1065))</f>
        <v/>
      </c>
      <c r="M1065" s="12" t="n"/>
      <c r="N1065" s="12">
        <f>IF($A1065="","",IF($G1065="","",IF($M1065="Oui","Litige",IF($J1065&lt;=0,"Payé",IF($I1065&gt;0,"Partiel",IF(Listes!$B$3&gt;$G1065,"En retard","À échoir"))))))</f>
        <v/>
      </c>
      <c r="O1065" s="11">
        <f>IF($A1065="","",IF(OR($G1065="", $J1065&lt;=0),0,MAX(0,Listes!$B$3-$G1065)))</f>
        <v/>
      </c>
      <c r="P1065" s="12">
        <f>IF($A1065="","",IF($J1065&lt;=0,"Payé",IF($M1065="Oui","Litige",IF($O1065=0,"À échoir",IF($O1065&lt;=30,"0-30",IF($O1065&lt;=60,"31-60",IF($O1065&lt;=90,"61-90","90+")))))))</f>
        <v/>
      </c>
    </row>
    <row r="1066">
      <c r="A1066" s="6" t="n"/>
      <c r="B1066" s="6" t="n"/>
      <c r="C1066" s="6" t="n"/>
      <c r="D1066" s="6" t="n"/>
      <c r="E1066" s="6" t="n"/>
      <c r="F1066" s="7" t="n"/>
      <c r="G1066" s="7" t="n"/>
      <c r="H1066" s="8" t="n"/>
      <c r="I1066" s="9">
        <f>IF($A1066="","",SUMIFS(Ventes_Encaissements!$D$6:$D$3005,Ventes_Encaissements!$B$6:$B$3005,$A1066))</f>
        <v/>
      </c>
      <c r="J1066" s="9">
        <f>IF($A1066="","",$H1066-$I1066)</f>
        <v/>
      </c>
      <c r="K1066" s="10">
        <f>IF($A1066="","",IF($I1066=0,"",_xludf.AGGREGATE(14,6,Ventes_Encaissements!$C$6:$C$3005/(Ventes_Encaissements!$B$6:$B$3005=$A1066),1)))</f>
        <v/>
      </c>
      <c r="L1066" s="11">
        <f>IF($A1066="","",COUNTIFS(Ventes_Detail!$B$6:$B$3005,$A1066))</f>
        <v/>
      </c>
      <c r="M1066" s="12" t="n"/>
      <c r="N1066" s="12">
        <f>IF($A1066="","",IF($G1066="","",IF($M1066="Oui","Litige",IF($J1066&lt;=0,"Payé",IF($I1066&gt;0,"Partiel",IF(Listes!$B$3&gt;$G1066,"En retard","À échoir"))))))</f>
        <v/>
      </c>
      <c r="O1066" s="11">
        <f>IF($A1066="","",IF(OR($G1066="", $J1066&lt;=0),0,MAX(0,Listes!$B$3-$G1066)))</f>
        <v/>
      </c>
      <c r="P1066" s="12">
        <f>IF($A1066="","",IF($J1066&lt;=0,"Payé",IF($M1066="Oui","Litige",IF($O1066=0,"À échoir",IF($O1066&lt;=30,"0-30",IF($O1066&lt;=60,"31-60",IF($O1066&lt;=90,"61-90","90+")))))))</f>
        <v/>
      </c>
    </row>
    <row r="1067">
      <c r="A1067" s="6" t="n"/>
      <c r="B1067" s="6" t="n"/>
      <c r="C1067" s="6" t="n"/>
      <c r="D1067" s="6" t="n"/>
      <c r="E1067" s="6" t="n"/>
      <c r="F1067" s="7" t="n"/>
      <c r="G1067" s="7" t="n"/>
      <c r="H1067" s="8" t="n"/>
      <c r="I1067" s="9">
        <f>IF($A1067="","",SUMIFS(Ventes_Encaissements!$D$6:$D$3005,Ventes_Encaissements!$B$6:$B$3005,$A1067))</f>
        <v/>
      </c>
      <c r="J1067" s="9">
        <f>IF($A1067="","",$H1067-$I1067)</f>
        <v/>
      </c>
      <c r="K1067" s="10">
        <f>IF($A1067="","",IF($I1067=0,"",_xludf.AGGREGATE(14,6,Ventes_Encaissements!$C$6:$C$3005/(Ventes_Encaissements!$B$6:$B$3005=$A1067),1)))</f>
        <v/>
      </c>
      <c r="L1067" s="11">
        <f>IF($A1067="","",COUNTIFS(Ventes_Detail!$B$6:$B$3005,$A1067))</f>
        <v/>
      </c>
      <c r="M1067" s="12" t="n"/>
      <c r="N1067" s="12">
        <f>IF($A1067="","",IF($G1067="","",IF($M1067="Oui","Litige",IF($J1067&lt;=0,"Payé",IF($I1067&gt;0,"Partiel",IF(Listes!$B$3&gt;$G1067,"En retard","À échoir"))))))</f>
        <v/>
      </c>
      <c r="O1067" s="11">
        <f>IF($A1067="","",IF(OR($G1067="", $J1067&lt;=0),0,MAX(0,Listes!$B$3-$G1067)))</f>
        <v/>
      </c>
      <c r="P1067" s="12">
        <f>IF($A1067="","",IF($J1067&lt;=0,"Payé",IF($M1067="Oui","Litige",IF($O1067=0,"À échoir",IF($O1067&lt;=30,"0-30",IF($O1067&lt;=60,"31-60",IF($O1067&lt;=90,"61-90","90+")))))))</f>
        <v/>
      </c>
    </row>
    <row r="1068">
      <c r="A1068" s="6" t="n"/>
      <c r="B1068" s="6" t="n"/>
      <c r="C1068" s="6" t="n"/>
      <c r="D1068" s="6" t="n"/>
      <c r="E1068" s="6" t="n"/>
      <c r="F1068" s="7" t="n"/>
      <c r="G1068" s="7" t="n"/>
      <c r="H1068" s="8" t="n"/>
      <c r="I1068" s="9">
        <f>IF($A1068="","",SUMIFS(Ventes_Encaissements!$D$6:$D$3005,Ventes_Encaissements!$B$6:$B$3005,$A1068))</f>
        <v/>
      </c>
      <c r="J1068" s="9">
        <f>IF($A1068="","",$H1068-$I1068)</f>
        <v/>
      </c>
      <c r="K1068" s="10">
        <f>IF($A1068="","",IF($I1068=0,"",_xludf.AGGREGATE(14,6,Ventes_Encaissements!$C$6:$C$3005/(Ventes_Encaissements!$B$6:$B$3005=$A1068),1)))</f>
        <v/>
      </c>
      <c r="L1068" s="11">
        <f>IF($A1068="","",COUNTIFS(Ventes_Detail!$B$6:$B$3005,$A1068))</f>
        <v/>
      </c>
      <c r="M1068" s="12" t="n"/>
      <c r="N1068" s="12">
        <f>IF($A1068="","",IF($G1068="","",IF($M1068="Oui","Litige",IF($J1068&lt;=0,"Payé",IF($I1068&gt;0,"Partiel",IF(Listes!$B$3&gt;$G1068,"En retard","À échoir"))))))</f>
        <v/>
      </c>
      <c r="O1068" s="11">
        <f>IF($A1068="","",IF(OR($G1068="", $J1068&lt;=0),0,MAX(0,Listes!$B$3-$G1068)))</f>
        <v/>
      </c>
      <c r="P1068" s="12">
        <f>IF($A1068="","",IF($J1068&lt;=0,"Payé",IF($M1068="Oui","Litige",IF($O1068=0,"À échoir",IF($O1068&lt;=30,"0-30",IF($O1068&lt;=60,"31-60",IF($O1068&lt;=90,"61-90","90+")))))))</f>
        <v/>
      </c>
    </row>
    <row r="1069">
      <c r="A1069" s="6" t="n"/>
      <c r="B1069" s="6" t="n"/>
      <c r="C1069" s="6" t="n"/>
      <c r="D1069" s="6" t="n"/>
      <c r="E1069" s="6" t="n"/>
      <c r="F1069" s="7" t="n"/>
      <c r="G1069" s="7" t="n"/>
      <c r="H1069" s="8" t="n"/>
      <c r="I1069" s="9">
        <f>IF($A1069="","",SUMIFS(Ventes_Encaissements!$D$6:$D$3005,Ventes_Encaissements!$B$6:$B$3005,$A1069))</f>
        <v/>
      </c>
      <c r="J1069" s="9">
        <f>IF($A1069="","",$H1069-$I1069)</f>
        <v/>
      </c>
      <c r="K1069" s="10">
        <f>IF($A1069="","",IF($I1069=0,"",_xludf.AGGREGATE(14,6,Ventes_Encaissements!$C$6:$C$3005/(Ventes_Encaissements!$B$6:$B$3005=$A1069),1)))</f>
        <v/>
      </c>
      <c r="L1069" s="11">
        <f>IF($A1069="","",COUNTIFS(Ventes_Detail!$B$6:$B$3005,$A1069))</f>
        <v/>
      </c>
      <c r="M1069" s="12" t="n"/>
      <c r="N1069" s="12">
        <f>IF($A1069="","",IF($G1069="","",IF($M1069="Oui","Litige",IF($J1069&lt;=0,"Payé",IF($I1069&gt;0,"Partiel",IF(Listes!$B$3&gt;$G1069,"En retard","À échoir"))))))</f>
        <v/>
      </c>
      <c r="O1069" s="11">
        <f>IF($A1069="","",IF(OR($G1069="", $J1069&lt;=0),0,MAX(0,Listes!$B$3-$G1069)))</f>
        <v/>
      </c>
      <c r="P1069" s="12">
        <f>IF($A1069="","",IF($J1069&lt;=0,"Payé",IF($M1069="Oui","Litige",IF($O1069=0,"À échoir",IF($O1069&lt;=30,"0-30",IF($O1069&lt;=60,"31-60",IF($O1069&lt;=90,"61-90","90+")))))))</f>
        <v/>
      </c>
    </row>
    <row r="1070">
      <c r="A1070" s="6" t="n"/>
      <c r="B1070" s="6" t="n"/>
      <c r="C1070" s="6" t="n"/>
      <c r="D1070" s="6" t="n"/>
      <c r="E1070" s="6" t="n"/>
      <c r="F1070" s="7" t="n"/>
      <c r="G1070" s="7" t="n"/>
      <c r="H1070" s="8" t="n"/>
      <c r="I1070" s="9">
        <f>IF($A1070="","",SUMIFS(Ventes_Encaissements!$D$6:$D$3005,Ventes_Encaissements!$B$6:$B$3005,$A1070))</f>
        <v/>
      </c>
      <c r="J1070" s="9">
        <f>IF($A1070="","",$H1070-$I1070)</f>
        <v/>
      </c>
      <c r="K1070" s="10">
        <f>IF($A1070="","",IF($I1070=0,"",_xludf.AGGREGATE(14,6,Ventes_Encaissements!$C$6:$C$3005/(Ventes_Encaissements!$B$6:$B$3005=$A1070),1)))</f>
        <v/>
      </c>
      <c r="L1070" s="11">
        <f>IF($A1070="","",COUNTIFS(Ventes_Detail!$B$6:$B$3005,$A1070))</f>
        <v/>
      </c>
      <c r="M1070" s="12" t="n"/>
      <c r="N1070" s="12">
        <f>IF($A1070="","",IF($G1070="","",IF($M1070="Oui","Litige",IF($J1070&lt;=0,"Payé",IF($I1070&gt;0,"Partiel",IF(Listes!$B$3&gt;$G1070,"En retard","À échoir"))))))</f>
        <v/>
      </c>
      <c r="O1070" s="11">
        <f>IF($A1070="","",IF(OR($G1070="", $J1070&lt;=0),0,MAX(0,Listes!$B$3-$G1070)))</f>
        <v/>
      </c>
      <c r="P1070" s="12">
        <f>IF($A1070="","",IF($J1070&lt;=0,"Payé",IF($M1070="Oui","Litige",IF($O1070=0,"À échoir",IF($O1070&lt;=30,"0-30",IF($O1070&lt;=60,"31-60",IF($O1070&lt;=90,"61-90","90+")))))))</f>
        <v/>
      </c>
    </row>
    <row r="1071">
      <c r="A1071" s="6" t="n"/>
      <c r="B1071" s="6" t="n"/>
      <c r="C1071" s="6" t="n"/>
      <c r="D1071" s="6" t="n"/>
      <c r="E1071" s="6" t="n"/>
      <c r="F1071" s="7" t="n"/>
      <c r="G1071" s="7" t="n"/>
      <c r="H1071" s="8" t="n"/>
      <c r="I1071" s="9">
        <f>IF($A1071="","",SUMIFS(Ventes_Encaissements!$D$6:$D$3005,Ventes_Encaissements!$B$6:$B$3005,$A1071))</f>
        <v/>
      </c>
      <c r="J1071" s="9">
        <f>IF($A1071="","",$H1071-$I1071)</f>
        <v/>
      </c>
      <c r="K1071" s="10">
        <f>IF($A1071="","",IF($I1071=0,"",_xludf.AGGREGATE(14,6,Ventes_Encaissements!$C$6:$C$3005/(Ventes_Encaissements!$B$6:$B$3005=$A1071),1)))</f>
        <v/>
      </c>
      <c r="L1071" s="11">
        <f>IF($A1071="","",COUNTIFS(Ventes_Detail!$B$6:$B$3005,$A1071))</f>
        <v/>
      </c>
      <c r="M1071" s="12" t="n"/>
      <c r="N1071" s="12">
        <f>IF($A1071="","",IF($G1071="","",IF($M1071="Oui","Litige",IF($J1071&lt;=0,"Payé",IF($I1071&gt;0,"Partiel",IF(Listes!$B$3&gt;$G1071,"En retard","À échoir"))))))</f>
        <v/>
      </c>
      <c r="O1071" s="11">
        <f>IF($A1071="","",IF(OR($G1071="", $J1071&lt;=0),0,MAX(0,Listes!$B$3-$G1071)))</f>
        <v/>
      </c>
      <c r="P1071" s="12">
        <f>IF($A1071="","",IF($J1071&lt;=0,"Payé",IF($M1071="Oui","Litige",IF($O1071=0,"À échoir",IF($O1071&lt;=30,"0-30",IF($O1071&lt;=60,"31-60",IF($O1071&lt;=90,"61-90","90+")))))))</f>
        <v/>
      </c>
    </row>
    <row r="1072">
      <c r="A1072" s="6" t="n"/>
      <c r="B1072" s="6" t="n"/>
      <c r="C1072" s="6" t="n"/>
      <c r="D1072" s="6" t="n"/>
      <c r="E1072" s="6" t="n"/>
      <c r="F1072" s="7" t="n"/>
      <c r="G1072" s="7" t="n"/>
      <c r="H1072" s="8" t="n"/>
      <c r="I1072" s="9">
        <f>IF($A1072="","",SUMIFS(Ventes_Encaissements!$D$6:$D$3005,Ventes_Encaissements!$B$6:$B$3005,$A1072))</f>
        <v/>
      </c>
      <c r="J1072" s="9">
        <f>IF($A1072="","",$H1072-$I1072)</f>
        <v/>
      </c>
      <c r="K1072" s="10">
        <f>IF($A1072="","",IF($I1072=0,"",_xludf.AGGREGATE(14,6,Ventes_Encaissements!$C$6:$C$3005/(Ventes_Encaissements!$B$6:$B$3005=$A1072),1)))</f>
        <v/>
      </c>
      <c r="L1072" s="11">
        <f>IF($A1072="","",COUNTIFS(Ventes_Detail!$B$6:$B$3005,$A1072))</f>
        <v/>
      </c>
      <c r="M1072" s="12" t="n"/>
      <c r="N1072" s="12">
        <f>IF($A1072="","",IF($G1072="","",IF($M1072="Oui","Litige",IF($J1072&lt;=0,"Payé",IF($I1072&gt;0,"Partiel",IF(Listes!$B$3&gt;$G1072,"En retard","À échoir"))))))</f>
        <v/>
      </c>
      <c r="O1072" s="11">
        <f>IF($A1072="","",IF(OR($G1072="", $J1072&lt;=0),0,MAX(0,Listes!$B$3-$G1072)))</f>
        <v/>
      </c>
      <c r="P1072" s="12">
        <f>IF($A1072="","",IF($J1072&lt;=0,"Payé",IF($M1072="Oui","Litige",IF($O1072=0,"À échoir",IF($O1072&lt;=30,"0-30",IF($O1072&lt;=60,"31-60",IF($O1072&lt;=90,"61-90","90+")))))))</f>
        <v/>
      </c>
    </row>
    <row r="1073">
      <c r="A1073" s="6" t="n"/>
      <c r="B1073" s="6" t="n"/>
      <c r="C1073" s="6" t="n"/>
      <c r="D1073" s="6" t="n"/>
      <c r="E1073" s="6" t="n"/>
      <c r="F1073" s="7" t="n"/>
      <c r="G1073" s="7" t="n"/>
      <c r="H1073" s="8" t="n"/>
      <c r="I1073" s="9">
        <f>IF($A1073="","",SUMIFS(Ventes_Encaissements!$D$6:$D$3005,Ventes_Encaissements!$B$6:$B$3005,$A1073))</f>
        <v/>
      </c>
      <c r="J1073" s="9">
        <f>IF($A1073="","",$H1073-$I1073)</f>
        <v/>
      </c>
      <c r="K1073" s="10">
        <f>IF($A1073="","",IF($I1073=0,"",_xludf.AGGREGATE(14,6,Ventes_Encaissements!$C$6:$C$3005/(Ventes_Encaissements!$B$6:$B$3005=$A1073),1)))</f>
        <v/>
      </c>
      <c r="L1073" s="11">
        <f>IF($A1073="","",COUNTIFS(Ventes_Detail!$B$6:$B$3005,$A1073))</f>
        <v/>
      </c>
      <c r="M1073" s="12" t="n"/>
      <c r="N1073" s="12">
        <f>IF($A1073="","",IF($G1073="","",IF($M1073="Oui","Litige",IF($J1073&lt;=0,"Payé",IF($I1073&gt;0,"Partiel",IF(Listes!$B$3&gt;$G1073,"En retard","À échoir"))))))</f>
        <v/>
      </c>
      <c r="O1073" s="11">
        <f>IF($A1073="","",IF(OR($G1073="", $J1073&lt;=0),0,MAX(0,Listes!$B$3-$G1073)))</f>
        <v/>
      </c>
      <c r="P1073" s="12">
        <f>IF($A1073="","",IF($J1073&lt;=0,"Payé",IF($M1073="Oui","Litige",IF($O1073=0,"À échoir",IF($O1073&lt;=30,"0-30",IF($O1073&lt;=60,"31-60",IF($O1073&lt;=90,"61-90","90+")))))))</f>
        <v/>
      </c>
    </row>
    <row r="1074">
      <c r="A1074" s="6" t="n"/>
      <c r="B1074" s="6" t="n"/>
      <c r="C1074" s="6" t="n"/>
      <c r="D1074" s="6" t="n"/>
      <c r="E1074" s="6" t="n"/>
      <c r="F1074" s="7" t="n"/>
      <c r="G1074" s="7" t="n"/>
      <c r="H1074" s="8" t="n"/>
      <c r="I1074" s="9">
        <f>IF($A1074="","",SUMIFS(Ventes_Encaissements!$D$6:$D$3005,Ventes_Encaissements!$B$6:$B$3005,$A1074))</f>
        <v/>
      </c>
      <c r="J1074" s="9">
        <f>IF($A1074="","",$H1074-$I1074)</f>
        <v/>
      </c>
      <c r="K1074" s="10">
        <f>IF($A1074="","",IF($I1074=0,"",_xludf.AGGREGATE(14,6,Ventes_Encaissements!$C$6:$C$3005/(Ventes_Encaissements!$B$6:$B$3005=$A1074),1)))</f>
        <v/>
      </c>
      <c r="L1074" s="11">
        <f>IF($A1074="","",COUNTIFS(Ventes_Detail!$B$6:$B$3005,$A1074))</f>
        <v/>
      </c>
      <c r="M1074" s="12" t="n"/>
      <c r="N1074" s="12">
        <f>IF($A1074="","",IF($G1074="","",IF($M1074="Oui","Litige",IF($J1074&lt;=0,"Payé",IF($I1074&gt;0,"Partiel",IF(Listes!$B$3&gt;$G1074,"En retard","À échoir"))))))</f>
        <v/>
      </c>
      <c r="O1074" s="11">
        <f>IF($A1074="","",IF(OR($G1074="", $J1074&lt;=0),0,MAX(0,Listes!$B$3-$G1074)))</f>
        <v/>
      </c>
      <c r="P1074" s="12">
        <f>IF($A1074="","",IF($J1074&lt;=0,"Payé",IF($M1074="Oui","Litige",IF($O1074=0,"À échoir",IF($O1074&lt;=30,"0-30",IF($O1074&lt;=60,"31-60",IF($O1074&lt;=90,"61-90","90+")))))))</f>
        <v/>
      </c>
    </row>
    <row r="1075">
      <c r="A1075" s="6" t="n"/>
      <c r="B1075" s="6" t="n"/>
      <c r="C1075" s="6" t="n"/>
      <c r="D1075" s="6" t="n"/>
      <c r="E1075" s="6" t="n"/>
      <c r="F1075" s="7" t="n"/>
      <c r="G1075" s="7" t="n"/>
      <c r="H1075" s="8" t="n"/>
      <c r="I1075" s="9">
        <f>IF($A1075="","",SUMIFS(Ventes_Encaissements!$D$6:$D$3005,Ventes_Encaissements!$B$6:$B$3005,$A1075))</f>
        <v/>
      </c>
      <c r="J1075" s="9">
        <f>IF($A1075="","",$H1075-$I1075)</f>
        <v/>
      </c>
      <c r="K1075" s="10">
        <f>IF($A1075="","",IF($I1075=0,"",_xludf.AGGREGATE(14,6,Ventes_Encaissements!$C$6:$C$3005/(Ventes_Encaissements!$B$6:$B$3005=$A1075),1)))</f>
        <v/>
      </c>
      <c r="L1075" s="11">
        <f>IF($A1075="","",COUNTIFS(Ventes_Detail!$B$6:$B$3005,$A1075))</f>
        <v/>
      </c>
      <c r="M1075" s="12" t="n"/>
      <c r="N1075" s="12">
        <f>IF($A1075="","",IF($G1075="","",IF($M1075="Oui","Litige",IF($J1075&lt;=0,"Payé",IF($I1075&gt;0,"Partiel",IF(Listes!$B$3&gt;$G1075,"En retard","À échoir"))))))</f>
        <v/>
      </c>
      <c r="O1075" s="11">
        <f>IF($A1075="","",IF(OR($G1075="", $J1075&lt;=0),0,MAX(0,Listes!$B$3-$G1075)))</f>
        <v/>
      </c>
      <c r="P1075" s="12">
        <f>IF($A1075="","",IF($J1075&lt;=0,"Payé",IF($M1075="Oui","Litige",IF($O1075=0,"À échoir",IF($O1075&lt;=30,"0-30",IF($O1075&lt;=60,"31-60",IF($O1075&lt;=90,"61-90","90+")))))))</f>
        <v/>
      </c>
    </row>
    <row r="1076">
      <c r="A1076" s="6" t="n"/>
      <c r="B1076" s="6" t="n"/>
      <c r="C1076" s="6" t="n"/>
      <c r="D1076" s="6" t="n"/>
      <c r="E1076" s="6" t="n"/>
      <c r="F1076" s="7" t="n"/>
      <c r="G1076" s="7" t="n"/>
      <c r="H1076" s="8" t="n"/>
      <c r="I1076" s="9">
        <f>IF($A1076="","",SUMIFS(Ventes_Encaissements!$D$6:$D$3005,Ventes_Encaissements!$B$6:$B$3005,$A1076))</f>
        <v/>
      </c>
      <c r="J1076" s="9">
        <f>IF($A1076="","",$H1076-$I1076)</f>
        <v/>
      </c>
      <c r="K1076" s="10">
        <f>IF($A1076="","",IF($I1076=0,"",_xludf.AGGREGATE(14,6,Ventes_Encaissements!$C$6:$C$3005/(Ventes_Encaissements!$B$6:$B$3005=$A1076),1)))</f>
        <v/>
      </c>
      <c r="L1076" s="11">
        <f>IF($A1076="","",COUNTIFS(Ventes_Detail!$B$6:$B$3005,$A1076))</f>
        <v/>
      </c>
      <c r="M1076" s="12" t="n"/>
      <c r="N1076" s="12">
        <f>IF($A1076="","",IF($G1076="","",IF($M1076="Oui","Litige",IF($J1076&lt;=0,"Payé",IF($I1076&gt;0,"Partiel",IF(Listes!$B$3&gt;$G1076,"En retard","À échoir"))))))</f>
        <v/>
      </c>
      <c r="O1076" s="11">
        <f>IF($A1076="","",IF(OR($G1076="", $J1076&lt;=0),0,MAX(0,Listes!$B$3-$G1076)))</f>
        <v/>
      </c>
      <c r="P1076" s="12">
        <f>IF($A1076="","",IF($J1076&lt;=0,"Payé",IF($M1076="Oui","Litige",IF($O1076=0,"À échoir",IF($O1076&lt;=30,"0-30",IF($O1076&lt;=60,"31-60",IF($O1076&lt;=90,"61-90","90+")))))))</f>
        <v/>
      </c>
    </row>
    <row r="1077">
      <c r="A1077" s="6" t="n"/>
      <c r="B1077" s="6" t="n"/>
      <c r="C1077" s="6" t="n"/>
      <c r="D1077" s="6" t="n"/>
      <c r="E1077" s="6" t="n"/>
      <c r="F1077" s="7" t="n"/>
      <c r="G1077" s="7" t="n"/>
      <c r="H1077" s="8" t="n"/>
      <c r="I1077" s="9">
        <f>IF($A1077="","",SUMIFS(Ventes_Encaissements!$D$6:$D$3005,Ventes_Encaissements!$B$6:$B$3005,$A1077))</f>
        <v/>
      </c>
      <c r="J1077" s="9">
        <f>IF($A1077="","",$H1077-$I1077)</f>
        <v/>
      </c>
      <c r="K1077" s="10">
        <f>IF($A1077="","",IF($I1077=0,"",_xludf.AGGREGATE(14,6,Ventes_Encaissements!$C$6:$C$3005/(Ventes_Encaissements!$B$6:$B$3005=$A1077),1)))</f>
        <v/>
      </c>
      <c r="L1077" s="11">
        <f>IF($A1077="","",COUNTIFS(Ventes_Detail!$B$6:$B$3005,$A1077))</f>
        <v/>
      </c>
      <c r="M1077" s="12" t="n"/>
      <c r="N1077" s="12">
        <f>IF($A1077="","",IF($G1077="","",IF($M1077="Oui","Litige",IF($J1077&lt;=0,"Payé",IF($I1077&gt;0,"Partiel",IF(Listes!$B$3&gt;$G1077,"En retard","À échoir"))))))</f>
        <v/>
      </c>
      <c r="O1077" s="11">
        <f>IF($A1077="","",IF(OR($G1077="", $J1077&lt;=0),0,MAX(0,Listes!$B$3-$G1077)))</f>
        <v/>
      </c>
      <c r="P1077" s="12">
        <f>IF($A1077="","",IF($J1077&lt;=0,"Payé",IF($M1077="Oui","Litige",IF($O1077=0,"À échoir",IF($O1077&lt;=30,"0-30",IF($O1077&lt;=60,"31-60",IF($O1077&lt;=90,"61-90","90+")))))))</f>
        <v/>
      </c>
    </row>
    <row r="1078">
      <c r="A1078" s="6" t="n"/>
      <c r="B1078" s="6" t="n"/>
      <c r="C1078" s="6" t="n"/>
      <c r="D1078" s="6" t="n"/>
      <c r="E1078" s="6" t="n"/>
      <c r="F1078" s="7" t="n"/>
      <c r="G1078" s="7" t="n"/>
      <c r="H1078" s="8" t="n"/>
      <c r="I1078" s="9">
        <f>IF($A1078="","",SUMIFS(Ventes_Encaissements!$D$6:$D$3005,Ventes_Encaissements!$B$6:$B$3005,$A1078))</f>
        <v/>
      </c>
      <c r="J1078" s="9">
        <f>IF($A1078="","",$H1078-$I1078)</f>
        <v/>
      </c>
      <c r="K1078" s="10">
        <f>IF($A1078="","",IF($I1078=0,"",_xludf.AGGREGATE(14,6,Ventes_Encaissements!$C$6:$C$3005/(Ventes_Encaissements!$B$6:$B$3005=$A1078),1)))</f>
        <v/>
      </c>
      <c r="L1078" s="11">
        <f>IF($A1078="","",COUNTIFS(Ventes_Detail!$B$6:$B$3005,$A1078))</f>
        <v/>
      </c>
      <c r="M1078" s="12" t="n"/>
      <c r="N1078" s="12">
        <f>IF($A1078="","",IF($G1078="","",IF($M1078="Oui","Litige",IF($J1078&lt;=0,"Payé",IF($I1078&gt;0,"Partiel",IF(Listes!$B$3&gt;$G1078,"En retard","À échoir"))))))</f>
        <v/>
      </c>
      <c r="O1078" s="11">
        <f>IF($A1078="","",IF(OR($G1078="", $J1078&lt;=0),0,MAX(0,Listes!$B$3-$G1078)))</f>
        <v/>
      </c>
      <c r="P1078" s="12">
        <f>IF($A1078="","",IF($J1078&lt;=0,"Payé",IF($M1078="Oui","Litige",IF($O1078=0,"À échoir",IF($O1078&lt;=30,"0-30",IF($O1078&lt;=60,"31-60",IF($O1078&lt;=90,"61-90","90+")))))))</f>
        <v/>
      </c>
    </row>
    <row r="1079">
      <c r="A1079" s="6" t="n"/>
      <c r="B1079" s="6" t="n"/>
      <c r="C1079" s="6" t="n"/>
      <c r="D1079" s="6" t="n"/>
      <c r="E1079" s="6" t="n"/>
      <c r="F1079" s="7" t="n"/>
      <c r="G1079" s="7" t="n"/>
      <c r="H1079" s="8" t="n"/>
      <c r="I1079" s="9">
        <f>IF($A1079="","",SUMIFS(Ventes_Encaissements!$D$6:$D$3005,Ventes_Encaissements!$B$6:$B$3005,$A1079))</f>
        <v/>
      </c>
      <c r="J1079" s="9">
        <f>IF($A1079="","",$H1079-$I1079)</f>
        <v/>
      </c>
      <c r="K1079" s="10">
        <f>IF($A1079="","",IF($I1079=0,"",_xludf.AGGREGATE(14,6,Ventes_Encaissements!$C$6:$C$3005/(Ventes_Encaissements!$B$6:$B$3005=$A1079),1)))</f>
        <v/>
      </c>
      <c r="L1079" s="11">
        <f>IF($A1079="","",COUNTIFS(Ventes_Detail!$B$6:$B$3005,$A1079))</f>
        <v/>
      </c>
      <c r="M1079" s="12" t="n"/>
      <c r="N1079" s="12">
        <f>IF($A1079="","",IF($G1079="","",IF($M1079="Oui","Litige",IF($J1079&lt;=0,"Payé",IF($I1079&gt;0,"Partiel",IF(Listes!$B$3&gt;$G1079,"En retard","À échoir"))))))</f>
        <v/>
      </c>
      <c r="O1079" s="11">
        <f>IF($A1079="","",IF(OR($G1079="", $J1079&lt;=0),0,MAX(0,Listes!$B$3-$G1079)))</f>
        <v/>
      </c>
      <c r="P1079" s="12">
        <f>IF($A1079="","",IF($J1079&lt;=0,"Payé",IF($M1079="Oui","Litige",IF($O1079=0,"À échoir",IF($O1079&lt;=30,"0-30",IF($O1079&lt;=60,"31-60",IF($O1079&lt;=90,"61-90","90+")))))))</f>
        <v/>
      </c>
    </row>
    <row r="1080">
      <c r="A1080" s="6" t="n"/>
      <c r="B1080" s="6" t="n"/>
      <c r="C1080" s="6" t="n"/>
      <c r="D1080" s="6" t="n"/>
      <c r="E1080" s="6" t="n"/>
      <c r="F1080" s="7" t="n"/>
      <c r="G1080" s="7" t="n"/>
      <c r="H1080" s="8" t="n"/>
      <c r="I1080" s="9">
        <f>IF($A1080="","",SUMIFS(Ventes_Encaissements!$D$6:$D$3005,Ventes_Encaissements!$B$6:$B$3005,$A1080))</f>
        <v/>
      </c>
      <c r="J1080" s="9">
        <f>IF($A1080="","",$H1080-$I1080)</f>
        <v/>
      </c>
      <c r="K1080" s="10">
        <f>IF($A1080="","",IF($I1080=0,"",_xludf.AGGREGATE(14,6,Ventes_Encaissements!$C$6:$C$3005/(Ventes_Encaissements!$B$6:$B$3005=$A1080),1)))</f>
        <v/>
      </c>
      <c r="L1080" s="11">
        <f>IF($A1080="","",COUNTIFS(Ventes_Detail!$B$6:$B$3005,$A1080))</f>
        <v/>
      </c>
      <c r="M1080" s="12" t="n"/>
      <c r="N1080" s="12">
        <f>IF($A1080="","",IF($G1080="","",IF($M1080="Oui","Litige",IF($J1080&lt;=0,"Payé",IF($I1080&gt;0,"Partiel",IF(Listes!$B$3&gt;$G1080,"En retard","À échoir"))))))</f>
        <v/>
      </c>
      <c r="O1080" s="11">
        <f>IF($A1080="","",IF(OR($G1080="", $J1080&lt;=0),0,MAX(0,Listes!$B$3-$G1080)))</f>
        <v/>
      </c>
      <c r="P1080" s="12">
        <f>IF($A1080="","",IF($J1080&lt;=0,"Payé",IF($M1080="Oui","Litige",IF($O1080=0,"À échoir",IF($O1080&lt;=30,"0-30",IF($O1080&lt;=60,"31-60",IF($O1080&lt;=90,"61-90","90+")))))))</f>
        <v/>
      </c>
    </row>
    <row r="1081">
      <c r="A1081" s="6" t="n"/>
      <c r="B1081" s="6" t="n"/>
      <c r="C1081" s="6" t="n"/>
      <c r="D1081" s="6" t="n"/>
      <c r="E1081" s="6" t="n"/>
      <c r="F1081" s="7" t="n"/>
      <c r="G1081" s="7" t="n"/>
      <c r="H1081" s="8" t="n"/>
      <c r="I1081" s="9">
        <f>IF($A1081="","",SUMIFS(Ventes_Encaissements!$D$6:$D$3005,Ventes_Encaissements!$B$6:$B$3005,$A1081))</f>
        <v/>
      </c>
      <c r="J1081" s="9">
        <f>IF($A1081="","",$H1081-$I1081)</f>
        <v/>
      </c>
      <c r="K1081" s="10">
        <f>IF($A1081="","",IF($I1081=0,"",_xludf.AGGREGATE(14,6,Ventes_Encaissements!$C$6:$C$3005/(Ventes_Encaissements!$B$6:$B$3005=$A1081),1)))</f>
        <v/>
      </c>
      <c r="L1081" s="11">
        <f>IF($A1081="","",COUNTIFS(Ventes_Detail!$B$6:$B$3005,$A1081))</f>
        <v/>
      </c>
      <c r="M1081" s="12" t="n"/>
      <c r="N1081" s="12">
        <f>IF($A1081="","",IF($G1081="","",IF($M1081="Oui","Litige",IF($J1081&lt;=0,"Payé",IF($I1081&gt;0,"Partiel",IF(Listes!$B$3&gt;$G1081,"En retard","À échoir"))))))</f>
        <v/>
      </c>
      <c r="O1081" s="11">
        <f>IF($A1081="","",IF(OR($G1081="", $J1081&lt;=0),0,MAX(0,Listes!$B$3-$G1081)))</f>
        <v/>
      </c>
      <c r="P1081" s="12">
        <f>IF($A1081="","",IF($J1081&lt;=0,"Payé",IF($M1081="Oui","Litige",IF($O1081=0,"À échoir",IF($O1081&lt;=30,"0-30",IF($O1081&lt;=60,"31-60",IF($O1081&lt;=90,"61-90","90+")))))))</f>
        <v/>
      </c>
    </row>
    <row r="1082">
      <c r="A1082" s="6" t="n"/>
      <c r="B1082" s="6" t="n"/>
      <c r="C1082" s="6" t="n"/>
      <c r="D1082" s="6" t="n"/>
      <c r="E1082" s="6" t="n"/>
      <c r="F1082" s="7" t="n"/>
      <c r="G1082" s="7" t="n"/>
      <c r="H1082" s="8" t="n"/>
      <c r="I1082" s="9">
        <f>IF($A1082="","",SUMIFS(Ventes_Encaissements!$D$6:$D$3005,Ventes_Encaissements!$B$6:$B$3005,$A1082))</f>
        <v/>
      </c>
      <c r="J1082" s="9">
        <f>IF($A1082="","",$H1082-$I1082)</f>
        <v/>
      </c>
      <c r="K1082" s="10">
        <f>IF($A1082="","",IF($I1082=0,"",_xludf.AGGREGATE(14,6,Ventes_Encaissements!$C$6:$C$3005/(Ventes_Encaissements!$B$6:$B$3005=$A1082),1)))</f>
        <v/>
      </c>
      <c r="L1082" s="11">
        <f>IF($A1082="","",COUNTIFS(Ventes_Detail!$B$6:$B$3005,$A1082))</f>
        <v/>
      </c>
      <c r="M1082" s="12" t="n"/>
      <c r="N1082" s="12">
        <f>IF($A1082="","",IF($G1082="","",IF($M1082="Oui","Litige",IF($J1082&lt;=0,"Payé",IF($I1082&gt;0,"Partiel",IF(Listes!$B$3&gt;$G1082,"En retard","À échoir"))))))</f>
        <v/>
      </c>
      <c r="O1082" s="11">
        <f>IF($A1082="","",IF(OR($G1082="", $J1082&lt;=0),0,MAX(0,Listes!$B$3-$G1082)))</f>
        <v/>
      </c>
      <c r="P1082" s="12">
        <f>IF($A1082="","",IF($J1082&lt;=0,"Payé",IF($M1082="Oui","Litige",IF($O1082=0,"À échoir",IF($O1082&lt;=30,"0-30",IF($O1082&lt;=60,"31-60",IF($O1082&lt;=90,"61-90","90+")))))))</f>
        <v/>
      </c>
    </row>
    <row r="1083">
      <c r="A1083" s="6" t="n"/>
      <c r="B1083" s="6" t="n"/>
      <c r="C1083" s="6" t="n"/>
      <c r="D1083" s="6" t="n"/>
      <c r="E1083" s="6" t="n"/>
      <c r="F1083" s="7" t="n"/>
      <c r="G1083" s="7" t="n"/>
      <c r="H1083" s="8" t="n"/>
      <c r="I1083" s="9">
        <f>IF($A1083="","",SUMIFS(Ventes_Encaissements!$D$6:$D$3005,Ventes_Encaissements!$B$6:$B$3005,$A1083))</f>
        <v/>
      </c>
      <c r="J1083" s="9">
        <f>IF($A1083="","",$H1083-$I1083)</f>
        <v/>
      </c>
      <c r="K1083" s="10">
        <f>IF($A1083="","",IF($I1083=0,"",_xludf.AGGREGATE(14,6,Ventes_Encaissements!$C$6:$C$3005/(Ventes_Encaissements!$B$6:$B$3005=$A1083),1)))</f>
        <v/>
      </c>
      <c r="L1083" s="11">
        <f>IF($A1083="","",COUNTIFS(Ventes_Detail!$B$6:$B$3005,$A1083))</f>
        <v/>
      </c>
      <c r="M1083" s="12" t="n"/>
      <c r="N1083" s="12">
        <f>IF($A1083="","",IF($G1083="","",IF($M1083="Oui","Litige",IF($J1083&lt;=0,"Payé",IF($I1083&gt;0,"Partiel",IF(Listes!$B$3&gt;$G1083,"En retard","À échoir"))))))</f>
        <v/>
      </c>
      <c r="O1083" s="11">
        <f>IF($A1083="","",IF(OR($G1083="", $J1083&lt;=0),0,MAX(0,Listes!$B$3-$G1083)))</f>
        <v/>
      </c>
      <c r="P1083" s="12">
        <f>IF($A1083="","",IF($J1083&lt;=0,"Payé",IF($M1083="Oui","Litige",IF($O1083=0,"À échoir",IF($O1083&lt;=30,"0-30",IF($O1083&lt;=60,"31-60",IF($O1083&lt;=90,"61-90","90+")))))))</f>
        <v/>
      </c>
    </row>
    <row r="1084">
      <c r="A1084" s="6" t="n"/>
      <c r="B1084" s="6" t="n"/>
      <c r="C1084" s="6" t="n"/>
      <c r="D1084" s="6" t="n"/>
      <c r="E1084" s="6" t="n"/>
      <c r="F1084" s="7" t="n"/>
      <c r="G1084" s="7" t="n"/>
      <c r="H1084" s="8" t="n"/>
      <c r="I1084" s="9">
        <f>IF($A1084="","",SUMIFS(Ventes_Encaissements!$D$6:$D$3005,Ventes_Encaissements!$B$6:$B$3005,$A1084))</f>
        <v/>
      </c>
      <c r="J1084" s="9">
        <f>IF($A1084="","",$H1084-$I1084)</f>
        <v/>
      </c>
      <c r="K1084" s="10">
        <f>IF($A1084="","",IF($I1084=0,"",_xludf.AGGREGATE(14,6,Ventes_Encaissements!$C$6:$C$3005/(Ventes_Encaissements!$B$6:$B$3005=$A1084),1)))</f>
        <v/>
      </c>
      <c r="L1084" s="11">
        <f>IF($A1084="","",COUNTIFS(Ventes_Detail!$B$6:$B$3005,$A1084))</f>
        <v/>
      </c>
      <c r="M1084" s="12" t="n"/>
      <c r="N1084" s="12">
        <f>IF($A1084="","",IF($G1084="","",IF($M1084="Oui","Litige",IF($J1084&lt;=0,"Payé",IF($I1084&gt;0,"Partiel",IF(Listes!$B$3&gt;$G1084,"En retard","À échoir"))))))</f>
        <v/>
      </c>
      <c r="O1084" s="11">
        <f>IF($A1084="","",IF(OR($G1084="", $J1084&lt;=0),0,MAX(0,Listes!$B$3-$G1084)))</f>
        <v/>
      </c>
      <c r="P1084" s="12">
        <f>IF($A1084="","",IF($J1084&lt;=0,"Payé",IF($M1084="Oui","Litige",IF($O1084=0,"À échoir",IF($O1084&lt;=30,"0-30",IF($O1084&lt;=60,"31-60",IF($O1084&lt;=90,"61-90","90+")))))))</f>
        <v/>
      </c>
    </row>
    <row r="1085">
      <c r="A1085" s="6" t="n"/>
      <c r="B1085" s="6" t="n"/>
      <c r="C1085" s="6" t="n"/>
      <c r="D1085" s="6" t="n"/>
      <c r="E1085" s="6" t="n"/>
      <c r="F1085" s="7" t="n"/>
      <c r="G1085" s="7" t="n"/>
      <c r="H1085" s="8" t="n"/>
      <c r="I1085" s="9">
        <f>IF($A1085="","",SUMIFS(Ventes_Encaissements!$D$6:$D$3005,Ventes_Encaissements!$B$6:$B$3005,$A1085))</f>
        <v/>
      </c>
      <c r="J1085" s="9">
        <f>IF($A1085="","",$H1085-$I1085)</f>
        <v/>
      </c>
      <c r="K1085" s="10">
        <f>IF($A1085="","",IF($I1085=0,"",_xludf.AGGREGATE(14,6,Ventes_Encaissements!$C$6:$C$3005/(Ventes_Encaissements!$B$6:$B$3005=$A1085),1)))</f>
        <v/>
      </c>
      <c r="L1085" s="11">
        <f>IF($A1085="","",COUNTIFS(Ventes_Detail!$B$6:$B$3005,$A1085))</f>
        <v/>
      </c>
      <c r="M1085" s="12" t="n"/>
      <c r="N1085" s="12">
        <f>IF($A1085="","",IF($G1085="","",IF($M1085="Oui","Litige",IF($J1085&lt;=0,"Payé",IF($I1085&gt;0,"Partiel",IF(Listes!$B$3&gt;$G1085,"En retard","À échoir"))))))</f>
        <v/>
      </c>
      <c r="O1085" s="11">
        <f>IF($A1085="","",IF(OR($G1085="", $J1085&lt;=0),0,MAX(0,Listes!$B$3-$G1085)))</f>
        <v/>
      </c>
      <c r="P1085" s="12">
        <f>IF($A1085="","",IF($J1085&lt;=0,"Payé",IF($M1085="Oui","Litige",IF($O1085=0,"À échoir",IF($O1085&lt;=30,"0-30",IF($O1085&lt;=60,"31-60",IF($O1085&lt;=90,"61-90","90+")))))))</f>
        <v/>
      </c>
    </row>
    <row r="1086">
      <c r="A1086" s="6" t="n"/>
      <c r="B1086" s="6" t="n"/>
      <c r="C1086" s="6" t="n"/>
      <c r="D1086" s="6" t="n"/>
      <c r="E1086" s="6" t="n"/>
      <c r="F1086" s="7" t="n"/>
      <c r="G1086" s="7" t="n"/>
      <c r="H1086" s="8" t="n"/>
      <c r="I1086" s="9">
        <f>IF($A1086="","",SUMIFS(Ventes_Encaissements!$D$6:$D$3005,Ventes_Encaissements!$B$6:$B$3005,$A1086))</f>
        <v/>
      </c>
      <c r="J1086" s="9">
        <f>IF($A1086="","",$H1086-$I1086)</f>
        <v/>
      </c>
      <c r="K1086" s="10">
        <f>IF($A1086="","",IF($I1086=0,"",_xludf.AGGREGATE(14,6,Ventes_Encaissements!$C$6:$C$3005/(Ventes_Encaissements!$B$6:$B$3005=$A1086),1)))</f>
        <v/>
      </c>
      <c r="L1086" s="11">
        <f>IF($A1086="","",COUNTIFS(Ventes_Detail!$B$6:$B$3005,$A1086))</f>
        <v/>
      </c>
      <c r="M1086" s="12" t="n"/>
      <c r="N1086" s="12">
        <f>IF($A1086="","",IF($G1086="","",IF($M1086="Oui","Litige",IF($J1086&lt;=0,"Payé",IF($I1086&gt;0,"Partiel",IF(Listes!$B$3&gt;$G1086,"En retard","À échoir"))))))</f>
        <v/>
      </c>
      <c r="O1086" s="11">
        <f>IF($A1086="","",IF(OR($G1086="", $J1086&lt;=0),0,MAX(0,Listes!$B$3-$G1086)))</f>
        <v/>
      </c>
      <c r="P1086" s="12">
        <f>IF($A1086="","",IF($J1086&lt;=0,"Payé",IF($M1086="Oui","Litige",IF($O1086=0,"À échoir",IF($O1086&lt;=30,"0-30",IF($O1086&lt;=60,"31-60",IF($O1086&lt;=90,"61-90","90+")))))))</f>
        <v/>
      </c>
    </row>
    <row r="1087">
      <c r="A1087" s="6" t="n"/>
      <c r="B1087" s="6" t="n"/>
      <c r="C1087" s="6" t="n"/>
      <c r="D1087" s="6" t="n"/>
      <c r="E1087" s="6" t="n"/>
      <c r="F1087" s="7" t="n"/>
      <c r="G1087" s="7" t="n"/>
      <c r="H1087" s="8" t="n"/>
      <c r="I1087" s="9">
        <f>IF($A1087="","",SUMIFS(Ventes_Encaissements!$D$6:$D$3005,Ventes_Encaissements!$B$6:$B$3005,$A1087))</f>
        <v/>
      </c>
      <c r="J1087" s="9">
        <f>IF($A1087="","",$H1087-$I1087)</f>
        <v/>
      </c>
      <c r="K1087" s="10">
        <f>IF($A1087="","",IF($I1087=0,"",_xludf.AGGREGATE(14,6,Ventes_Encaissements!$C$6:$C$3005/(Ventes_Encaissements!$B$6:$B$3005=$A1087),1)))</f>
        <v/>
      </c>
      <c r="L1087" s="11">
        <f>IF($A1087="","",COUNTIFS(Ventes_Detail!$B$6:$B$3005,$A1087))</f>
        <v/>
      </c>
      <c r="M1087" s="12" t="n"/>
      <c r="N1087" s="12">
        <f>IF($A1087="","",IF($G1087="","",IF($M1087="Oui","Litige",IF($J1087&lt;=0,"Payé",IF($I1087&gt;0,"Partiel",IF(Listes!$B$3&gt;$G1087,"En retard","À échoir"))))))</f>
        <v/>
      </c>
      <c r="O1087" s="11">
        <f>IF($A1087="","",IF(OR($G1087="", $J1087&lt;=0),0,MAX(0,Listes!$B$3-$G1087)))</f>
        <v/>
      </c>
      <c r="P1087" s="12">
        <f>IF($A1087="","",IF($J1087&lt;=0,"Payé",IF($M1087="Oui","Litige",IF($O1087=0,"À échoir",IF($O1087&lt;=30,"0-30",IF($O1087&lt;=60,"31-60",IF($O1087&lt;=90,"61-90","90+")))))))</f>
        <v/>
      </c>
    </row>
    <row r="1088">
      <c r="A1088" s="6" t="n"/>
      <c r="B1088" s="6" t="n"/>
      <c r="C1088" s="6" t="n"/>
      <c r="D1088" s="6" t="n"/>
      <c r="E1088" s="6" t="n"/>
      <c r="F1088" s="7" t="n"/>
      <c r="G1088" s="7" t="n"/>
      <c r="H1088" s="8" t="n"/>
      <c r="I1088" s="9">
        <f>IF($A1088="","",SUMIFS(Ventes_Encaissements!$D$6:$D$3005,Ventes_Encaissements!$B$6:$B$3005,$A1088))</f>
        <v/>
      </c>
      <c r="J1088" s="9">
        <f>IF($A1088="","",$H1088-$I1088)</f>
        <v/>
      </c>
      <c r="K1088" s="10">
        <f>IF($A1088="","",IF($I1088=0,"",_xludf.AGGREGATE(14,6,Ventes_Encaissements!$C$6:$C$3005/(Ventes_Encaissements!$B$6:$B$3005=$A1088),1)))</f>
        <v/>
      </c>
      <c r="L1088" s="11">
        <f>IF($A1088="","",COUNTIFS(Ventes_Detail!$B$6:$B$3005,$A1088))</f>
        <v/>
      </c>
      <c r="M1088" s="12" t="n"/>
      <c r="N1088" s="12">
        <f>IF($A1088="","",IF($G1088="","",IF($M1088="Oui","Litige",IF($J1088&lt;=0,"Payé",IF($I1088&gt;0,"Partiel",IF(Listes!$B$3&gt;$G1088,"En retard","À échoir"))))))</f>
        <v/>
      </c>
      <c r="O1088" s="11">
        <f>IF($A1088="","",IF(OR($G1088="", $J1088&lt;=0),0,MAX(0,Listes!$B$3-$G1088)))</f>
        <v/>
      </c>
      <c r="P1088" s="12">
        <f>IF($A1088="","",IF($J1088&lt;=0,"Payé",IF($M1088="Oui","Litige",IF($O1088=0,"À échoir",IF($O1088&lt;=30,"0-30",IF($O1088&lt;=60,"31-60",IF($O1088&lt;=90,"61-90","90+")))))))</f>
        <v/>
      </c>
    </row>
    <row r="1089">
      <c r="A1089" s="6" t="n"/>
      <c r="B1089" s="6" t="n"/>
      <c r="C1089" s="6" t="n"/>
      <c r="D1089" s="6" t="n"/>
      <c r="E1089" s="6" t="n"/>
      <c r="F1089" s="7" t="n"/>
      <c r="G1089" s="7" t="n"/>
      <c r="H1089" s="8" t="n"/>
      <c r="I1089" s="9">
        <f>IF($A1089="","",SUMIFS(Ventes_Encaissements!$D$6:$D$3005,Ventes_Encaissements!$B$6:$B$3005,$A1089))</f>
        <v/>
      </c>
      <c r="J1089" s="9">
        <f>IF($A1089="","",$H1089-$I1089)</f>
        <v/>
      </c>
      <c r="K1089" s="10">
        <f>IF($A1089="","",IF($I1089=0,"",_xludf.AGGREGATE(14,6,Ventes_Encaissements!$C$6:$C$3005/(Ventes_Encaissements!$B$6:$B$3005=$A1089),1)))</f>
        <v/>
      </c>
      <c r="L1089" s="11">
        <f>IF($A1089="","",COUNTIFS(Ventes_Detail!$B$6:$B$3005,$A1089))</f>
        <v/>
      </c>
      <c r="M1089" s="12" t="n"/>
      <c r="N1089" s="12">
        <f>IF($A1089="","",IF($G1089="","",IF($M1089="Oui","Litige",IF($J1089&lt;=0,"Payé",IF($I1089&gt;0,"Partiel",IF(Listes!$B$3&gt;$G1089,"En retard","À échoir"))))))</f>
        <v/>
      </c>
      <c r="O1089" s="11">
        <f>IF($A1089="","",IF(OR($G1089="", $J1089&lt;=0),0,MAX(0,Listes!$B$3-$G1089)))</f>
        <v/>
      </c>
      <c r="P1089" s="12">
        <f>IF($A1089="","",IF($J1089&lt;=0,"Payé",IF($M1089="Oui","Litige",IF($O1089=0,"À échoir",IF($O1089&lt;=30,"0-30",IF($O1089&lt;=60,"31-60",IF($O1089&lt;=90,"61-90","90+")))))))</f>
        <v/>
      </c>
    </row>
    <row r="1090">
      <c r="A1090" s="6" t="n"/>
      <c r="B1090" s="6" t="n"/>
      <c r="C1090" s="6" t="n"/>
      <c r="D1090" s="6" t="n"/>
      <c r="E1090" s="6" t="n"/>
      <c r="F1090" s="7" t="n"/>
      <c r="G1090" s="7" t="n"/>
      <c r="H1090" s="8" t="n"/>
      <c r="I1090" s="9">
        <f>IF($A1090="","",SUMIFS(Ventes_Encaissements!$D$6:$D$3005,Ventes_Encaissements!$B$6:$B$3005,$A1090))</f>
        <v/>
      </c>
      <c r="J1090" s="9">
        <f>IF($A1090="","",$H1090-$I1090)</f>
        <v/>
      </c>
      <c r="K1090" s="10">
        <f>IF($A1090="","",IF($I1090=0,"",_xludf.AGGREGATE(14,6,Ventes_Encaissements!$C$6:$C$3005/(Ventes_Encaissements!$B$6:$B$3005=$A1090),1)))</f>
        <v/>
      </c>
      <c r="L1090" s="11">
        <f>IF($A1090="","",COUNTIFS(Ventes_Detail!$B$6:$B$3005,$A1090))</f>
        <v/>
      </c>
      <c r="M1090" s="12" t="n"/>
      <c r="N1090" s="12">
        <f>IF($A1090="","",IF($G1090="","",IF($M1090="Oui","Litige",IF($J1090&lt;=0,"Payé",IF($I1090&gt;0,"Partiel",IF(Listes!$B$3&gt;$G1090,"En retard","À échoir"))))))</f>
        <v/>
      </c>
      <c r="O1090" s="11">
        <f>IF($A1090="","",IF(OR($G1090="", $J1090&lt;=0),0,MAX(0,Listes!$B$3-$G1090)))</f>
        <v/>
      </c>
      <c r="P1090" s="12">
        <f>IF($A1090="","",IF($J1090&lt;=0,"Payé",IF($M1090="Oui","Litige",IF($O1090=0,"À échoir",IF($O1090&lt;=30,"0-30",IF($O1090&lt;=60,"31-60",IF($O1090&lt;=90,"61-90","90+")))))))</f>
        <v/>
      </c>
    </row>
    <row r="1091">
      <c r="A1091" s="6" t="n"/>
      <c r="B1091" s="6" t="n"/>
      <c r="C1091" s="6" t="n"/>
      <c r="D1091" s="6" t="n"/>
      <c r="E1091" s="6" t="n"/>
      <c r="F1091" s="7" t="n"/>
      <c r="G1091" s="7" t="n"/>
      <c r="H1091" s="8" t="n"/>
      <c r="I1091" s="9">
        <f>IF($A1091="","",SUMIFS(Ventes_Encaissements!$D$6:$D$3005,Ventes_Encaissements!$B$6:$B$3005,$A1091))</f>
        <v/>
      </c>
      <c r="J1091" s="9">
        <f>IF($A1091="","",$H1091-$I1091)</f>
        <v/>
      </c>
      <c r="K1091" s="10">
        <f>IF($A1091="","",IF($I1091=0,"",_xludf.AGGREGATE(14,6,Ventes_Encaissements!$C$6:$C$3005/(Ventes_Encaissements!$B$6:$B$3005=$A1091),1)))</f>
        <v/>
      </c>
      <c r="L1091" s="11">
        <f>IF($A1091="","",COUNTIFS(Ventes_Detail!$B$6:$B$3005,$A1091))</f>
        <v/>
      </c>
      <c r="M1091" s="12" t="n"/>
      <c r="N1091" s="12">
        <f>IF($A1091="","",IF($G1091="","",IF($M1091="Oui","Litige",IF($J1091&lt;=0,"Payé",IF($I1091&gt;0,"Partiel",IF(Listes!$B$3&gt;$G1091,"En retard","À échoir"))))))</f>
        <v/>
      </c>
      <c r="O1091" s="11">
        <f>IF($A1091="","",IF(OR($G1091="", $J1091&lt;=0),0,MAX(0,Listes!$B$3-$G1091)))</f>
        <v/>
      </c>
      <c r="P1091" s="12">
        <f>IF($A1091="","",IF($J1091&lt;=0,"Payé",IF($M1091="Oui","Litige",IF($O1091=0,"À échoir",IF($O1091&lt;=30,"0-30",IF($O1091&lt;=60,"31-60",IF($O1091&lt;=90,"61-90","90+")))))))</f>
        <v/>
      </c>
    </row>
    <row r="1092">
      <c r="A1092" s="6" t="n"/>
      <c r="B1092" s="6" t="n"/>
      <c r="C1092" s="6" t="n"/>
      <c r="D1092" s="6" t="n"/>
      <c r="E1092" s="6" t="n"/>
      <c r="F1092" s="7" t="n"/>
      <c r="G1092" s="7" t="n"/>
      <c r="H1092" s="8" t="n"/>
      <c r="I1092" s="9">
        <f>IF($A1092="","",SUMIFS(Ventes_Encaissements!$D$6:$D$3005,Ventes_Encaissements!$B$6:$B$3005,$A1092))</f>
        <v/>
      </c>
      <c r="J1092" s="9">
        <f>IF($A1092="","",$H1092-$I1092)</f>
        <v/>
      </c>
      <c r="K1092" s="10">
        <f>IF($A1092="","",IF($I1092=0,"",_xludf.AGGREGATE(14,6,Ventes_Encaissements!$C$6:$C$3005/(Ventes_Encaissements!$B$6:$B$3005=$A1092),1)))</f>
        <v/>
      </c>
      <c r="L1092" s="11">
        <f>IF($A1092="","",COUNTIFS(Ventes_Detail!$B$6:$B$3005,$A1092))</f>
        <v/>
      </c>
      <c r="M1092" s="12" t="n"/>
      <c r="N1092" s="12">
        <f>IF($A1092="","",IF($G1092="","",IF($M1092="Oui","Litige",IF($J1092&lt;=0,"Payé",IF($I1092&gt;0,"Partiel",IF(Listes!$B$3&gt;$G1092,"En retard","À échoir"))))))</f>
        <v/>
      </c>
      <c r="O1092" s="11">
        <f>IF($A1092="","",IF(OR($G1092="", $J1092&lt;=0),0,MAX(0,Listes!$B$3-$G1092)))</f>
        <v/>
      </c>
      <c r="P1092" s="12">
        <f>IF($A1092="","",IF($J1092&lt;=0,"Payé",IF($M1092="Oui","Litige",IF($O1092=0,"À échoir",IF($O1092&lt;=30,"0-30",IF($O1092&lt;=60,"31-60",IF($O1092&lt;=90,"61-90","90+")))))))</f>
        <v/>
      </c>
    </row>
    <row r="1093">
      <c r="A1093" s="6" t="n"/>
      <c r="B1093" s="6" t="n"/>
      <c r="C1093" s="6" t="n"/>
      <c r="D1093" s="6" t="n"/>
      <c r="E1093" s="6" t="n"/>
      <c r="F1093" s="7" t="n"/>
      <c r="G1093" s="7" t="n"/>
      <c r="H1093" s="8" t="n"/>
      <c r="I1093" s="9">
        <f>IF($A1093="","",SUMIFS(Ventes_Encaissements!$D$6:$D$3005,Ventes_Encaissements!$B$6:$B$3005,$A1093))</f>
        <v/>
      </c>
      <c r="J1093" s="9">
        <f>IF($A1093="","",$H1093-$I1093)</f>
        <v/>
      </c>
      <c r="K1093" s="10">
        <f>IF($A1093="","",IF($I1093=0,"",_xludf.AGGREGATE(14,6,Ventes_Encaissements!$C$6:$C$3005/(Ventes_Encaissements!$B$6:$B$3005=$A1093),1)))</f>
        <v/>
      </c>
      <c r="L1093" s="11">
        <f>IF($A1093="","",COUNTIFS(Ventes_Detail!$B$6:$B$3005,$A1093))</f>
        <v/>
      </c>
      <c r="M1093" s="12" t="n"/>
      <c r="N1093" s="12">
        <f>IF($A1093="","",IF($G1093="","",IF($M1093="Oui","Litige",IF($J1093&lt;=0,"Payé",IF($I1093&gt;0,"Partiel",IF(Listes!$B$3&gt;$G1093,"En retard","À échoir"))))))</f>
        <v/>
      </c>
      <c r="O1093" s="11">
        <f>IF($A1093="","",IF(OR($G1093="", $J1093&lt;=0),0,MAX(0,Listes!$B$3-$G1093)))</f>
        <v/>
      </c>
      <c r="P1093" s="12">
        <f>IF($A1093="","",IF($J1093&lt;=0,"Payé",IF($M1093="Oui","Litige",IF($O1093=0,"À échoir",IF($O1093&lt;=30,"0-30",IF($O1093&lt;=60,"31-60",IF($O1093&lt;=90,"61-90","90+")))))))</f>
        <v/>
      </c>
    </row>
    <row r="1094">
      <c r="A1094" s="6" t="n"/>
      <c r="B1094" s="6" t="n"/>
      <c r="C1094" s="6" t="n"/>
      <c r="D1094" s="6" t="n"/>
      <c r="E1094" s="6" t="n"/>
      <c r="F1094" s="7" t="n"/>
      <c r="G1094" s="7" t="n"/>
      <c r="H1094" s="8" t="n"/>
      <c r="I1094" s="9">
        <f>IF($A1094="","",SUMIFS(Ventes_Encaissements!$D$6:$D$3005,Ventes_Encaissements!$B$6:$B$3005,$A1094))</f>
        <v/>
      </c>
      <c r="J1094" s="9">
        <f>IF($A1094="","",$H1094-$I1094)</f>
        <v/>
      </c>
      <c r="K1094" s="10">
        <f>IF($A1094="","",IF($I1094=0,"",_xludf.AGGREGATE(14,6,Ventes_Encaissements!$C$6:$C$3005/(Ventes_Encaissements!$B$6:$B$3005=$A1094),1)))</f>
        <v/>
      </c>
      <c r="L1094" s="11">
        <f>IF($A1094="","",COUNTIFS(Ventes_Detail!$B$6:$B$3005,$A1094))</f>
        <v/>
      </c>
      <c r="M1094" s="12" t="n"/>
      <c r="N1094" s="12">
        <f>IF($A1094="","",IF($G1094="","",IF($M1094="Oui","Litige",IF($J1094&lt;=0,"Payé",IF($I1094&gt;0,"Partiel",IF(Listes!$B$3&gt;$G1094,"En retard","À échoir"))))))</f>
        <v/>
      </c>
      <c r="O1094" s="11">
        <f>IF($A1094="","",IF(OR($G1094="", $J1094&lt;=0),0,MAX(0,Listes!$B$3-$G1094)))</f>
        <v/>
      </c>
      <c r="P1094" s="12">
        <f>IF($A1094="","",IF($J1094&lt;=0,"Payé",IF($M1094="Oui","Litige",IF($O1094=0,"À échoir",IF($O1094&lt;=30,"0-30",IF($O1094&lt;=60,"31-60",IF($O1094&lt;=90,"61-90","90+")))))))</f>
        <v/>
      </c>
    </row>
    <row r="1095">
      <c r="A1095" s="6" t="n"/>
      <c r="B1095" s="6" t="n"/>
      <c r="C1095" s="6" t="n"/>
      <c r="D1095" s="6" t="n"/>
      <c r="E1095" s="6" t="n"/>
      <c r="F1095" s="7" t="n"/>
      <c r="G1095" s="7" t="n"/>
      <c r="H1095" s="8" t="n"/>
      <c r="I1095" s="9">
        <f>IF($A1095="","",SUMIFS(Ventes_Encaissements!$D$6:$D$3005,Ventes_Encaissements!$B$6:$B$3005,$A1095))</f>
        <v/>
      </c>
      <c r="J1095" s="9">
        <f>IF($A1095="","",$H1095-$I1095)</f>
        <v/>
      </c>
      <c r="K1095" s="10">
        <f>IF($A1095="","",IF($I1095=0,"",_xludf.AGGREGATE(14,6,Ventes_Encaissements!$C$6:$C$3005/(Ventes_Encaissements!$B$6:$B$3005=$A1095),1)))</f>
        <v/>
      </c>
      <c r="L1095" s="11">
        <f>IF($A1095="","",COUNTIFS(Ventes_Detail!$B$6:$B$3005,$A1095))</f>
        <v/>
      </c>
      <c r="M1095" s="12" t="n"/>
      <c r="N1095" s="12">
        <f>IF($A1095="","",IF($G1095="","",IF($M1095="Oui","Litige",IF($J1095&lt;=0,"Payé",IF($I1095&gt;0,"Partiel",IF(Listes!$B$3&gt;$G1095,"En retard","À échoir"))))))</f>
        <v/>
      </c>
      <c r="O1095" s="11">
        <f>IF($A1095="","",IF(OR($G1095="", $J1095&lt;=0),0,MAX(0,Listes!$B$3-$G1095)))</f>
        <v/>
      </c>
      <c r="P1095" s="12">
        <f>IF($A1095="","",IF($J1095&lt;=0,"Payé",IF($M1095="Oui","Litige",IF($O1095=0,"À échoir",IF($O1095&lt;=30,"0-30",IF($O1095&lt;=60,"31-60",IF($O1095&lt;=90,"61-90","90+")))))))</f>
        <v/>
      </c>
    </row>
    <row r="1096">
      <c r="A1096" s="6" t="n"/>
      <c r="B1096" s="6" t="n"/>
      <c r="C1096" s="6" t="n"/>
      <c r="D1096" s="6" t="n"/>
      <c r="E1096" s="6" t="n"/>
      <c r="F1096" s="7" t="n"/>
      <c r="G1096" s="7" t="n"/>
      <c r="H1096" s="8" t="n"/>
      <c r="I1096" s="9">
        <f>IF($A1096="","",SUMIFS(Ventes_Encaissements!$D$6:$D$3005,Ventes_Encaissements!$B$6:$B$3005,$A1096))</f>
        <v/>
      </c>
      <c r="J1096" s="9">
        <f>IF($A1096="","",$H1096-$I1096)</f>
        <v/>
      </c>
      <c r="K1096" s="10">
        <f>IF($A1096="","",IF($I1096=0,"",_xludf.AGGREGATE(14,6,Ventes_Encaissements!$C$6:$C$3005/(Ventes_Encaissements!$B$6:$B$3005=$A1096),1)))</f>
        <v/>
      </c>
      <c r="L1096" s="11">
        <f>IF($A1096="","",COUNTIFS(Ventes_Detail!$B$6:$B$3005,$A1096))</f>
        <v/>
      </c>
      <c r="M1096" s="12" t="n"/>
      <c r="N1096" s="12">
        <f>IF($A1096="","",IF($G1096="","",IF($M1096="Oui","Litige",IF($J1096&lt;=0,"Payé",IF($I1096&gt;0,"Partiel",IF(Listes!$B$3&gt;$G1096,"En retard","À échoir"))))))</f>
        <v/>
      </c>
      <c r="O1096" s="11">
        <f>IF($A1096="","",IF(OR($G1096="", $J1096&lt;=0),0,MAX(0,Listes!$B$3-$G1096)))</f>
        <v/>
      </c>
      <c r="P1096" s="12">
        <f>IF($A1096="","",IF($J1096&lt;=0,"Payé",IF($M1096="Oui","Litige",IF($O1096=0,"À échoir",IF($O1096&lt;=30,"0-30",IF($O1096&lt;=60,"31-60",IF($O1096&lt;=90,"61-90","90+")))))))</f>
        <v/>
      </c>
    </row>
    <row r="1097">
      <c r="A1097" s="6" t="n"/>
      <c r="B1097" s="6" t="n"/>
      <c r="C1097" s="6" t="n"/>
      <c r="D1097" s="6" t="n"/>
      <c r="E1097" s="6" t="n"/>
      <c r="F1097" s="7" t="n"/>
      <c r="G1097" s="7" t="n"/>
      <c r="H1097" s="8" t="n"/>
      <c r="I1097" s="9">
        <f>IF($A1097="","",SUMIFS(Ventes_Encaissements!$D$6:$D$3005,Ventes_Encaissements!$B$6:$B$3005,$A1097))</f>
        <v/>
      </c>
      <c r="J1097" s="9">
        <f>IF($A1097="","",$H1097-$I1097)</f>
        <v/>
      </c>
      <c r="K1097" s="10">
        <f>IF($A1097="","",IF($I1097=0,"",_xludf.AGGREGATE(14,6,Ventes_Encaissements!$C$6:$C$3005/(Ventes_Encaissements!$B$6:$B$3005=$A1097),1)))</f>
        <v/>
      </c>
      <c r="L1097" s="11">
        <f>IF($A1097="","",COUNTIFS(Ventes_Detail!$B$6:$B$3005,$A1097))</f>
        <v/>
      </c>
      <c r="M1097" s="12" t="n"/>
      <c r="N1097" s="12">
        <f>IF($A1097="","",IF($G1097="","",IF($M1097="Oui","Litige",IF($J1097&lt;=0,"Payé",IF($I1097&gt;0,"Partiel",IF(Listes!$B$3&gt;$G1097,"En retard","À échoir"))))))</f>
        <v/>
      </c>
      <c r="O1097" s="11">
        <f>IF($A1097="","",IF(OR($G1097="", $J1097&lt;=0),0,MAX(0,Listes!$B$3-$G1097)))</f>
        <v/>
      </c>
      <c r="P1097" s="12">
        <f>IF($A1097="","",IF($J1097&lt;=0,"Payé",IF($M1097="Oui","Litige",IF($O1097=0,"À échoir",IF($O1097&lt;=30,"0-30",IF($O1097&lt;=60,"31-60",IF($O1097&lt;=90,"61-90","90+")))))))</f>
        <v/>
      </c>
    </row>
    <row r="1098">
      <c r="A1098" s="6" t="n"/>
      <c r="B1098" s="6" t="n"/>
      <c r="C1098" s="6" t="n"/>
      <c r="D1098" s="6" t="n"/>
      <c r="E1098" s="6" t="n"/>
      <c r="F1098" s="7" t="n"/>
      <c r="G1098" s="7" t="n"/>
      <c r="H1098" s="8" t="n"/>
      <c r="I1098" s="9">
        <f>IF($A1098="","",SUMIFS(Ventes_Encaissements!$D$6:$D$3005,Ventes_Encaissements!$B$6:$B$3005,$A1098))</f>
        <v/>
      </c>
      <c r="J1098" s="9">
        <f>IF($A1098="","",$H1098-$I1098)</f>
        <v/>
      </c>
      <c r="K1098" s="10">
        <f>IF($A1098="","",IF($I1098=0,"",_xludf.AGGREGATE(14,6,Ventes_Encaissements!$C$6:$C$3005/(Ventes_Encaissements!$B$6:$B$3005=$A1098),1)))</f>
        <v/>
      </c>
      <c r="L1098" s="11">
        <f>IF($A1098="","",COUNTIFS(Ventes_Detail!$B$6:$B$3005,$A1098))</f>
        <v/>
      </c>
      <c r="M1098" s="12" t="n"/>
      <c r="N1098" s="12">
        <f>IF($A1098="","",IF($G1098="","",IF($M1098="Oui","Litige",IF($J1098&lt;=0,"Payé",IF($I1098&gt;0,"Partiel",IF(Listes!$B$3&gt;$G1098,"En retard","À échoir"))))))</f>
        <v/>
      </c>
      <c r="O1098" s="11">
        <f>IF($A1098="","",IF(OR($G1098="", $J1098&lt;=0),0,MAX(0,Listes!$B$3-$G1098)))</f>
        <v/>
      </c>
      <c r="P1098" s="12">
        <f>IF($A1098="","",IF($J1098&lt;=0,"Payé",IF($M1098="Oui","Litige",IF($O1098=0,"À échoir",IF($O1098&lt;=30,"0-30",IF($O1098&lt;=60,"31-60",IF($O1098&lt;=90,"61-90","90+")))))))</f>
        <v/>
      </c>
    </row>
    <row r="1099">
      <c r="A1099" s="6" t="n"/>
      <c r="B1099" s="6" t="n"/>
      <c r="C1099" s="6" t="n"/>
      <c r="D1099" s="6" t="n"/>
      <c r="E1099" s="6" t="n"/>
      <c r="F1099" s="7" t="n"/>
      <c r="G1099" s="7" t="n"/>
      <c r="H1099" s="8" t="n"/>
      <c r="I1099" s="9">
        <f>IF($A1099="","",SUMIFS(Ventes_Encaissements!$D$6:$D$3005,Ventes_Encaissements!$B$6:$B$3005,$A1099))</f>
        <v/>
      </c>
      <c r="J1099" s="9">
        <f>IF($A1099="","",$H1099-$I1099)</f>
        <v/>
      </c>
      <c r="K1099" s="10">
        <f>IF($A1099="","",IF($I1099=0,"",_xludf.AGGREGATE(14,6,Ventes_Encaissements!$C$6:$C$3005/(Ventes_Encaissements!$B$6:$B$3005=$A1099),1)))</f>
        <v/>
      </c>
      <c r="L1099" s="11">
        <f>IF($A1099="","",COUNTIFS(Ventes_Detail!$B$6:$B$3005,$A1099))</f>
        <v/>
      </c>
      <c r="M1099" s="12" t="n"/>
      <c r="N1099" s="12">
        <f>IF($A1099="","",IF($G1099="","",IF($M1099="Oui","Litige",IF($J1099&lt;=0,"Payé",IF($I1099&gt;0,"Partiel",IF(Listes!$B$3&gt;$G1099,"En retard","À échoir"))))))</f>
        <v/>
      </c>
      <c r="O1099" s="11">
        <f>IF($A1099="","",IF(OR($G1099="", $J1099&lt;=0),0,MAX(0,Listes!$B$3-$G1099)))</f>
        <v/>
      </c>
      <c r="P1099" s="12">
        <f>IF($A1099="","",IF($J1099&lt;=0,"Payé",IF($M1099="Oui","Litige",IF($O1099=0,"À échoir",IF($O1099&lt;=30,"0-30",IF($O1099&lt;=60,"31-60",IF($O1099&lt;=90,"61-90","90+")))))))</f>
        <v/>
      </c>
    </row>
    <row r="1100">
      <c r="A1100" s="6" t="n"/>
      <c r="B1100" s="6" t="n"/>
      <c r="C1100" s="6" t="n"/>
      <c r="D1100" s="6" t="n"/>
      <c r="E1100" s="6" t="n"/>
      <c r="F1100" s="7" t="n"/>
      <c r="G1100" s="7" t="n"/>
      <c r="H1100" s="8" t="n"/>
      <c r="I1100" s="9">
        <f>IF($A1100="","",SUMIFS(Ventes_Encaissements!$D$6:$D$3005,Ventes_Encaissements!$B$6:$B$3005,$A1100))</f>
        <v/>
      </c>
      <c r="J1100" s="9">
        <f>IF($A1100="","",$H1100-$I1100)</f>
        <v/>
      </c>
      <c r="K1100" s="10">
        <f>IF($A1100="","",IF($I1100=0,"",_xludf.AGGREGATE(14,6,Ventes_Encaissements!$C$6:$C$3005/(Ventes_Encaissements!$B$6:$B$3005=$A1100),1)))</f>
        <v/>
      </c>
      <c r="L1100" s="11">
        <f>IF($A1100="","",COUNTIFS(Ventes_Detail!$B$6:$B$3005,$A1100))</f>
        <v/>
      </c>
      <c r="M1100" s="12" t="n"/>
      <c r="N1100" s="12">
        <f>IF($A1100="","",IF($G1100="","",IF($M1100="Oui","Litige",IF($J1100&lt;=0,"Payé",IF($I1100&gt;0,"Partiel",IF(Listes!$B$3&gt;$G1100,"En retard","À échoir"))))))</f>
        <v/>
      </c>
      <c r="O1100" s="11">
        <f>IF($A1100="","",IF(OR($G1100="", $J1100&lt;=0),0,MAX(0,Listes!$B$3-$G1100)))</f>
        <v/>
      </c>
      <c r="P1100" s="12">
        <f>IF($A1100="","",IF($J1100&lt;=0,"Payé",IF($M1100="Oui","Litige",IF($O1100=0,"À échoir",IF($O1100&lt;=30,"0-30",IF($O1100&lt;=60,"31-60",IF($O1100&lt;=90,"61-90","90+")))))))</f>
        <v/>
      </c>
    </row>
    <row r="1101">
      <c r="A1101" s="6" t="n"/>
      <c r="B1101" s="6" t="n"/>
      <c r="C1101" s="6" t="n"/>
      <c r="D1101" s="6" t="n"/>
      <c r="E1101" s="6" t="n"/>
      <c r="F1101" s="7" t="n"/>
      <c r="G1101" s="7" t="n"/>
      <c r="H1101" s="8" t="n"/>
      <c r="I1101" s="9">
        <f>IF($A1101="","",SUMIFS(Ventes_Encaissements!$D$6:$D$3005,Ventes_Encaissements!$B$6:$B$3005,$A1101))</f>
        <v/>
      </c>
      <c r="J1101" s="9">
        <f>IF($A1101="","",$H1101-$I1101)</f>
        <v/>
      </c>
      <c r="K1101" s="10">
        <f>IF($A1101="","",IF($I1101=0,"",_xludf.AGGREGATE(14,6,Ventes_Encaissements!$C$6:$C$3005/(Ventes_Encaissements!$B$6:$B$3005=$A1101),1)))</f>
        <v/>
      </c>
      <c r="L1101" s="11">
        <f>IF($A1101="","",COUNTIFS(Ventes_Detail!$B$6:$B$3005,$A1101))</f>
        <v/>
      </c>
      <c r="M1101" s="12" t="n"/>
      <c r="N1101" s="12">
        <f>IF($A1101="","",IF($G1101="","",IF($M1101="Oui","Litige",IF($J1101&lt;=0,"Payé",IF($I1101&gt;0,"Partiel",IF(Listes!$B$3&gt;$G1101,"En retard","À échoir"))))))</f>
        <v/>
      </c>
      <c r="O1101" s="11">
        <f>IF($A1101="","",IF(OR($G1101="", $J1101&lt;=0),0,MAX(0,Listes!$B$3-$G1101)))</f>
        <v/>
      </c>
      <c r="P1101" s="12">
        <f>IF($A1101="","",IF($J1101&lt;=0,"Payé",IF($M1101="Oui","Litige",IF($O1101=0,"À échoir",IF($O1101&lt;=30,"0-30",IF($O1101&lt;=60,"31-60",IF($O1101&lt;=90,"61-90","90+")))))))</f>
        <v/>
      </c>
    </row>
    <row r="1102">
      <c r="A1102" s="6" t="n"/>
      <c r="B1102" s="6" t="n"/>
      <c r="C1102" s="6" t="n"/>
      <c r="D1102" s="6" t="n"/>
      <c r="E1102" s="6" t="n"/>
      <c r="F1102" s="7" t="n"/>
      <c r="G1102" s="7" t="n"/>
      <c r="H1102" s="8" t="n"/>
      <c r="I1102" s="9">
        <f>IF($A1102="","",SUMIFS(Ventes_Encaissements!$D$6:$D$3005,Ventes_Encaissements!$B$6:$B$3005,$A1102))</f>
        <v/>
      </c>
      <c r="J1102" s="9">
        <f>IF($A1102="","",$H1102-$I1102)</f>
        <v/>
      </c>
      <c r="K1102" s="10">
        <f>IF($A1102="","",IF($I1102=0,"",_xludf.AGGREGATE(14,6,Ventes_Encaissements!$C$6:$C$3005/(Ventes_Encaissements!$B$6:$B$3005=$A1102),1)))</f>
        <v/>
      </c>
      <c r="L1102" s="11">
        <f>IF($A1102="","",COUNTIFS(Ventes_Detail!$B$6:$B$3005,$A1102))</f>
        <v/>
      </c>
      <c r="M1102" s="12" t="n"/>
      <c r="N1102" s="12">
        <f>IF($A1102="","",IF($G1102="","",IF($M1102="Oui","Litige",IF($J1102&lt;=0,"Payé",IF($I1102&gt;0,"Partiel",IF(Listes!$B$3&gt;$G1102,"En retard","À échoir"))))))</f>
        <v/>
      </c>
      <c r="O1102" s="11">
        <f>IF($A1102="","",IF(OR($G1102="", $J1102&lt;=0),0,MAX(0,Listes!$B$3-$G1102)))</f>
        <v/>
      </c>
      <c r="P1102" s="12">
        <f>IF($A1102="","",IF($J1102&lt;=0,"Payé",IF($M1102="Oui","Litige",IF($O1102=0,"À échoir",IF($O1102&lt;=30,"0-30",IF($O1102&lt;=60,"31-60",IF($O1102&lt;=90,"61-90","90+")))))))</f>
        <v/>
      </c>
    </row>
    <row r="1103">
      <c r="A1103" s="6" t="n"/>
      <c r="B1103" s="6" t="n"/>
      <c r="C1103" s="6" t="n"/>
      <c r="D1103" s="6" t="n"/>
      <c r="E1103" s="6" t="n"/>
      <c r="F1103" s="7" t="n"/>
      <c r="G1103" s="7" t="n"/>
      <c r="H1103" s="8" t="n"/>
      <c r="I1103" s="9">
        <f>IF($A1103="","",SUMIFS(Ventes_Encaissements!$D$6:$D$3005,Ventes_Encaissements!$B$6:$B$3005,$A1103))</f>
        <v/>
      </c>
      <c r="J1103" s="9">
        <f>IF($A1103="","",$H1103-$I1103)</f>
        <v/>
      </c>
      <c r="K1103" s="10">
        <f>IF($A1103="","",IF($I1103=0,"",_xludf.AGGREGATE(14,6,Ventes_Encaissements!$C$6:$C$3005/(Ventes_Encaissements!$B$6:$B$3005=$A1103),1)))</f>
        <v/>
      </c>
      <c r="L1103" s="11">
        <f>IF($A1103="","",COUNTIFS(Ventes_Detail!$B$6:$B$3005,$A1103))</f>
        <v/>
      </c>
      <c r="M1103" s="12" t="n"/>
      <c r="N1103" s="12">
        <f>IF($A1103="","",IF($G1103="","",IF($M1103="Oui","Litige",IF($J1103&lt;=0,"Payé",IF($I1103&gt;0,"Partiel",IF(Listes!$B$3&gt;$G1103,"En retard","À échoir"))))))</f>
        <v/>
      </c>
      <c r="O1103" s="11">
        <f>IF($A1103="","",IF(OR($G1103="", $J1103&lt;=0),0,MAX(0,Listes!$B$3-$G1103)))</f>
        <v/>
      </c>
      <c r="P1103" s="12">
        <f>IF($A1103="","",IF($J1103&lt;=0,"Payé",IF($M1103="Oui","Litige",IF($O1103=0,"À échoir",IF($O1103&lt;=30,"0-30",IF($O1103&lt;=60,"31-60",IF($O1103&lt;=90,"61-90","90+")))))))</f>
        <v/>
      </c>
    </row>
    <row r="1104">
      <c r="A1104" s="6" t="n"/>
      <c r="B1104" s="6" t="n"/>
      <c r="C1104" s="6" t="n"/>
      <c r="D1104" s="6" t="n"/>
      <c r="E1104" s="6" t="n"/>
      <c r="F1104" s="7" t="n"/>
      <c r="G1104" s="7" t="n"/>
      <c r="H1104" s="8" t="n"/>
      <c r="I1104" s="9">
        <f>IF($A1104="","",SUMIFS(Ventes_Encaissements!$D$6:$D$3005,Ventes_Encaissements!$B$6:$B$3005,$A1104))</f>
        <v/>
      </c>
      <c r="J1104" s="9">
        <f>IF($A1104="","",$H1104-$I1104)</f>
        <v/>
      </c>
      <c r="K1104" s="10">
        <f>IF($A1104="","",IF($I1104=0,"",_xludf.AGGREGATE(14,6,Ventes_Encaissements!$C$6:$C$3005/(Ventes_Encaissements!$B$6:$B$3005=$A1104),1)))</f>
        <v/>
      </c>
      <c r="L1104" s="11">
        <f>IF($A1104="","",COUNTIFS(Ventes_Detail!$B$6:$B$3005,$A1104))</f>
        <v/>
      </c>
      <c r="M1104" s="12" t="n"/>
      <c r="N1104" s="12">
        <f>IF($A1104="","",IF($G1104="","",IF($M1104="Oui","Litige",IF($J1104&lt;=0,"Payé",IF($I1104&gt;0,"Partiel",IF(Listes!$B$3&gt;$G1104,"En retard","À échoir"))))))</f>
        <v/>
      </c>
      <c r="O1104" s="11">
        <f>IF($A1104="","",IF(OR($G1104="", $J1104&lt;=0),0,MAX(0,Listes!$B$3-$G1104)))</f>
        <v/>
      </c>
      <c r="P1104" s="12">
        <f>IF($A1104="","",IF($J1104&lt;=0,"Payé",IF($M1104="Oui","Litige",IF($O1104=0,"À échoir",IF($O1104&lt;=30,"0-30",IF($O1104&lt;=60,"31-60",IF($O1104&lt;=90,"61-90","90+")))))))</f>
        <v/>
      </c>
    </row>
    <row r="1105">
      <c r="A1105" s="6" t="n"/>
      <c r="B1105" s="6" t="n"/>
      <c r="C1105" s="6" t="n"/>
      <c r="D1105" s="6" t="n"/>
      <c r="E1105" s="6" t="n"/>
      <c r="F1105" s="7" t="n"/>
      <c r="G1105" s="7" t="n"/>
      <c r="H1105" s="8" t="n"/>
      <c r="I1105" s="9">
        <f>IF($A1105="","",SUMIFS(Ventes_Encaissements!$D$6:$D$3005,Ventes_Encaissements!$B$6:$B$3005,$A1105))</f>
        <v/>
      </c>
      <c r="J1105" s="9">
        <f>IF($A1105="","",$H1105-$I1105)</f>
        <v/>
      </c>
      <c r="K1105" s="10">
        <f>IF($A1105="","",IF($I1105=0,"",_xludf.AGGREGATE(14,6,Ventes_Encaissements!$C$6:$C$3005/(Ventes_Encaissements!$B$6:$B$3005=$A1105),1)))</f>
        <v/>
      </c>
      <c r="L1105" s="11">
        <f>IF($A1105="","",COUNTIFS(Ventes_Detail!$B$6:$B$3005,$A1105))</f>
        <v/>
      </c>
      <c r="M1105" s="12" t="n"/>
      <c r="N1105" s="12">
        <f>IF($A1105="","",IF($G1105="","",IF($M1105="Oui","Litige",IF($J1105&lt;=0,"Payé",IF($I1105&gt;0,"Partiel",IF(Listes!$B$3&gt;$G1105,"En retard","À échoir"))))))</f>
        <v/>
      </c>
      <c r="O1105" s="11">
        <f>IF($A1105="","",IF(OR($G1105="", $J1105&lt;=0),0,MAX(0,Listes!$B$3-$G1105)))</f>
        <v/>
      </c>
      <c r="P1105" s="12">
        <f>IF($A1105="","",IF($J1105&lt;=0,"Payé",IF($M1105="Oui","Litige",IF($O1105=0,"À échoir",IF($O1105&lt;=30,"0-30",IF($O1105&lt;=60,"31-60",IF($O1105&lt;=90,"61-90","90+")))))))</f>
        <v/>
      </c>
    </row>
    <row r="1106">
      <c r="A1106" s="6" t="n"/>
      <c r="B1106" s="6" t="n"/>
      <c r="C1106" s="6" t="n"/>
      <c r="D1106" s="6" t="n"/>
      <c r="E1106" s="6" t="n"/>
      <c r="F1106" s="7" t="n"/>
      <c r="G1106" s="7" t="n"/>
      <c r="H1106" s="8" t="n"/>
      <c r="I1106" s="9">
        <f>IF($A1106="","",SUMIFS(Ventes_Encaissements!$D$6:$D$3005,Ventes_Encaissements!$B$6:$B$3005,$A1106))</f>
        <v/>
      </c>
      <c r="J1106" s="9">
        <f>IF($A1106="","",$H1106-$I1106)</f>
        <v/>
      </c>
      <c r="K1106" s="10">
        <f>IF($A1106="","",IF($I1106=0,"",_xludf.AGGREGATE(14,6,Ventes_Encaissements!$C$6:$C$3005/(Ventes_Encaissements!$B$6:$B$3005=$A1106),1)))</f>
        <v/>
      </c>
      <c r="L1106" s="11">
        <f>IF($A1106="","",COUNTIFS(Ventes_Detail!$B$6:$B$3005,$A1106))</f>
        <v/>
      </c>
      <c r="M1106" s="12" t="n"/>
      <c r="N1106" s="12">
        <f>IF($A1106="","",IF($G1106="","",IF($M1106="Oui","Litige",IF($J1106&lt;=0,"Payé",IF($I1106&gt;0,"Partiel",IF(Listes!$B$3&gt;$G1106,"En retard","À échoir"))))))</f>
        <v/>
      </c>
      <c r="O1106" s="11">
        <f>IF($A1106="","",IF(OR($G1106="", $J1106&lt;=0),0,MAX(0,Listes!$B$3-$G1106)))</f>
        <v/>
      </c>
      <c r="P1106" s="12">
        <f>IF($A1106="","",IF($J1106&lt;=0,"Payé",IF($M1106="Oui","Litige",IF($O1106=0,"À échoir",IF($O1106&lt;=30,"0-30",IF($O1106&lt;=60,"31-60",IF($O1106&lt;=90,"61-90","90+")))))))</f>
        <v/>
      </c>
    </row>
    <row r="1107">
      <c r="A1107" s="6" t="n"/>
      <c r="B1107" s="6" t="n"/>
      <c r="C1107" s="6" t="n"/>
      <c r="D1107" s="6" t="n"/>
      <c r="E1107" s="6" t="n"/>
      <c r="F1107" s="7" t="n"/>
      <c r="G1107" s="7" t="n"/>
      <c r="H1107" s="8" t="n"/>
      <c r="I1107" s="9">
        <f>IF($A1107="","",SUMIFS(Ventes_Encaissements!$D$6:$D$3005,Ventes_Encaissements!$B$6:$B$3005,$A1107))</f>
        <v/>
      </c>
      <c r="J1107" s="9">
        <f>IF($A1107="","",$H1107-$I1107)</f>
        <v/>
      </c>
      <c r="K1107" s="10">
        <f>IF($A1107="","",IF($I1107=0,"",_xludf.AGGREGATE(14,6,Ventes_Encaissements!$C$6:$C$3005/(Ventes_Encaissements!$B$6:$B$3005=$A1107),1)))</f>
        <v/>
      </c>
      <c r="L1107" s="11">
        <f>IF($A1107="","",COUNTIFS(Ventes_Detail!$B$6:$B$3005,$A1107))</f>
        <v/>
      </c>
      <c r="M1107" s="12" t="n"/>
      <c r="N1107" s="12">
        <f>IF($A1107="","",IF($G1107="","",IF($M1107="Oui","Litige",IF($J1107&lt;=0,"Payé",IF($I1107&gt;0,"Partiel",IF(Listes!$B$3&gt;$G1107,"En retard","À échoir"))))))</f>
        <v/>
      </c>
      <c r="O1107" s="11">
        <f>IF($A1107="","",IF(OR($G1107="", $J1107&lt;=0),0,MAX(0,Listes!$B$3-$G1107)))</f>
        <v/>
      </c>
      <c r="P1107" s="12">
        <f>IF($A1107="","",IF($J1107&lt;=0,"Payé",IF($M1107="Oui","Litige",IF($O1107=0,"À échoir",IF($O1107&lt;=30,"0-30",IF($O1107&lt;=60,"31-60",IF($O1107&lt;=90,"61-90","90+")))))))</f>
        <v/>
      </c>
    </row>
    <row r="1108">
      <c r="A1108" s="6" t="n"/>
      <c r="B1108" s="6" t="n"/>
      <c r="C1108" s="6" t="n"/>
      <c r="D1108" s="6" t="n"/>
      <c r="E1108" s="6" t="n"/>
      <c r="F1108" s="7" t="n"/>
      <c r="G1108" s="7" t="n"/>
      <c r="H1108" s="8" t="n"/>
      <c r="I1108" s="9">
        <f>IF($A1108="","",SUMIFS(Ventes_Encaissements!$D$6:$D$3005,Ventes_Encaissements!$B$6:$B$3005,$A1108))</f>
        <v/>
      </c>
      <c r="J1108" s="9">
        <f>IF($A1108="","",$H1108-$I1108)</f>
        <v/>
      </c>
      <c r="K1108" s="10">
        <f>IF($A1108="","",IF($I1108=0,"",_xludf.AGGREGATE(14,6,Ventes_Encaissements!$C$6:$C$3005/(Ventes_Encaissements!$B$6:$B$3005=$A1108),1)))</f>
        <v/>
      </c>
      <c r="L1108" s="11">
        <f>IF($A1108="","",COUNTIFS(Ventes_Detail!$B$6:$B$3005,$A1108))</f>
        <v/>
      </c>
      <c r="M1108" s="12" t="n"/>
      <c r="N1108" s="12">
        <f>IF($A1108="","",IF($G1108="","",IF($M1108="Oui","Litige",IF($J1108&lt;=0,"Payé",IF($I1108&gt;0,"Partiel",IF(Listes!$B$3&gt;$G1108,"En retard","À échoir"))))))</f>
        <v/>
      </c>
      <c r="O1108" s="11">
        <f>IF($A1108="","",IF(OR($G1108="", $J1108&lt;=0),0,MAX(0,Listes!$B$3-$G1108)))</f>
        <v/>
      </c>
      <c r="P1108" s="12">
        <f>IF($A1108="","",IF($J1108&lt;=0,"Payé",IF($M1108="Oui","Litige",IF($O1108=0,"À échoir",IF($O1108&lt;=30,"0-30",IF($O1108&lt;=60,"31-60",IF($O1108&lt;=90,"61-90","90+")))))))</f>
        <v/>
      </c>
    </row>
    <row r="1109">
      <c r="A1109" s="6" t="n"/>
      <c r="B1109" s="6" t="n"/>
      <c r="C1109" s="6" t="n"/>
      <c r="D1109" s="6" t="n"/>
      <c r="E1109" s="6" t="n"/>
      <c r="F1109" s="7" t="n"/>
      <c r="G1109" s="7" t="n"/>
      <c r="H1109" s="8" t="n"/>
      <c r="I1109" s="9">
        <f>IF($A1109="","",SUMIFS(Ventes_Encaissements!$D$6:$D$3005,Ventes_Encaissements!$B$6:$B$3005,$A1109))</f>
        <v/>
      </c>
      <c r="J1109" s="9">
        <f>IF($A1109="","",$H1109-$I1109)</f>
        <v/>
      </c>
      <c r="K1109" s="10">
        <f>IF($A1109="","",IF($I1109=0,"",_xludf.AGGREGATE(14,6,Ventes_Encaissements!$C$6:$C$3005/(Ventes_Encaissements!$B$6:$B$3005=$A1109),1)))</f>
        <v/>
      </c>
      <c r="L1109" s="11">
        <f>IF($A1109="","",COUNTIFS(Ventes_Detail!$B$6:$B$3005,$A1109))</f>
        <v/>
      </c>
      <c r="M1109" s="12" t="n"/>
      <c r="N1109" s="12">
        <f>IF($A1109="","",IF($G1109="","",IF($M1109="Oui","Litige",IF($J1109&lt;=0,"Payé",IF($I1109&gt;0,"Partiel",IF(Listes!$B$3&gt;$G1109,"En retard","À échoir"))))))</f>
        <v/>
      </c>
      <c r="O1109" s="11">
        <f>IF($A1109="","",IF(OR($G1109="", $J1109&lt;=0),0,MAX(0,Listes!$B$3-$G1109)))</f>
        <v/>
      </c>
      <c r="P1109" s="12">
        <f>IF($A1109="","",IF($J1109&lt;=0,"Payé",IF($M1109="Oui","Litige",IF($O1109=0,"À échoir",IF($O1109&lt;=30,"0-30",IF($O1109&lt;=60,"31-60",IF($O1109&lt;=90,"61-90","90+")))))))</f>
        <v/>
      </c>
    </row>
    <row r="1110">
      <c r="A1110" s="6" t="n"/>
      <c r="B1110" s="6" t="n"/>
      <c r="C1110" s="6" t="n"/>
      <c r="D1110" s="6" t="n"/>
      <c r="E1110" s="6" t="n"/>
      <c r="F1110" s="7" t="n"/>
      <c r="G1110" s="7" t="n"/>
      <c r="H1110" s="8" t="n"/>
      <c r="I1110" s="9">
        <f>IF($A1110="","",SUMIFS(Ventes_Encaissements!$D$6:$D$3005,Ventes_Encaissements!$B$6:$B$3005,$A1110))</f>
        <v/>
      </c>
      <c r="J1110" s="9">
        <f>IF($A1110="","",$H1110-$I1110)</f>
        <v/>
      </c>
      <c r="K1110" s="10">
        <f>IF($A1110="","",IF($I1110=0,"",_xludf.AGGREGATE(14,6,Ventes_Encaissements!$C$6:$C$3005/(Ventes_Encaissements!$B$6:$B$3005=$A1110),1)))</f>
        <v/>
      </c>
      <c r="L1110" s="11">
        <f>IF($A1110="","",COUNTIFS(Ventes_Detail!$B$6:$B$3005,$A1110))</f>
        <v/>
      </c>
      <c r="M1110" s="12" t="n"/>
      <c r="N1110" s="12">
        <f>IF($A1110="","",IF($G1110="","",IF($M1110="Oui","Litige",IF($J1110&lt;=0,"Payé",IF($I1110&gt;0,"Partiel",IF(Listes!$B$3&gt;$G1110,"En retard","À échoir"))))))</f>
        <v/>
      </c>
      <c r="O1110" s="11">
        <f>IF($A1110="","",IF(OR($G1110="", $J1110&lt;=0),0,MAX(0,Listes!$B$3-$G1110)))</f>
        <v/>
      </c>
      <c r="P1110" s="12">
        <f>IF($A1110="","",IF($J1110&lt;=0,"Payé",IF($M1110="Oui","Litige",IF($O1110=0,"À échoir",IF($O1110&lt;=30,"0-30",IF($O1110&lt;=60,"31-60",IF($O1110&lt;=90,"61-90","90+")))))))</f>
        <v/>
      </c>
    </row>
    <row r="1111">
      <c r="A1111" s="6" t="n"/>
      <c r="B1111" s="6" t="n"/>
      <c r="C1111" s="6" t="n"/>
      <c r="D1111" s="6" t="n"/>
      <c r="E1111" s="6" t="n"/>
      <c r="F1111" s="7" t="n"/>
      <c r="G1111" s="7" t="n"/>
      <c r="H1111" s="8" t="n"/>
      <c r="I1111" s="9">
        <f>IF($A1111="","",SUMIFS(Ventes_Encaissements!$D$6:$D$3005,Ventes_Encaissements!$B$6:$B$3005,$A1111))</f>
        <v/>
      </c>
      <c r="J1111" s="9">
        <f>IF($A1111="","",$H1111-$I1111)</f>
        <v/>
      </c>
      <c r="K1111" s="10">
        <f>IF($A1111="","",IF($I1111=0,"",_xludf.AGGREGATE(14,6,Ventes_Encaissements!$C$6:$C$3005/(Ventes_Encaissements!$B$6:$B$3005=$A1111),1)))</f>
        <v/>
      </c>
      <c r="L1111" s="11">
        <f>IF($A1111="","",COUNTIFS(Ventes_Detail!$B$6:$B$3005,$A1111))</f>
        <v/>
      </c>
      <c r="M1111" s="12" t="n"/>
      <c r="N1111" s="12">
        <f>IF($A1111="","",IF($G1111="","",IF($M1111="Oui","Litige",IF($J1111&lt;=0,"Payé",IF($I1111&gt;0,"Partiel",IF(Listes!$B$3&gt;$G1111,"En retard","À échoir"))))))</f>
        <v/>
      </c>
      <c r="O1111" s="11">
        <f>IF($A1111="","",IF(OR($G1111="", $J1111&lt;=0),0,MAX(0,Listes!$B$3-$G1111)))</f>
        <v/>
      </c>
      <c r="P1111" s="12">
        <f>IF($A1111="","",IF($J1111&lt;=0,"Payé",IF($M1111="Oui","Litige",IF($O1111=0,"À échoir",IF($O1111&lt;=30,"0-30",IF($O1111&lt;=60,"31-60",IF($O1111&lt;=90,"61-90","90+")))))))</f>
        <v/>
      </c>
    </row>
    <row r="1112">
      <c r="A1112" s="6" t="n"/>
      <c r="B1112" s="6" t="n"/>
      <c r="C1112" s="6" t="n"/>
      <c r="D1112" s="6" t="n"/>
      <c r="E1112" s="6" t="n"/>
      <c r="F1112" s="7" t="n"/>
      <c r="G1112" s="7" t="n"/>
      <c r="H1112" s="8" t="n"/>
      <c r="I1112" s="9">
        <f>IF($A1112="","",SUMIFS(Ventes_Encaissements!$D$6:$D$3005,Ventes_Encaissements!$B$6:$B$3005,$A1112))</f>
        <v/>
      </c>
      <c r="J1112" s="9">
        <f>IF($A1112="","",$H1112-$I1112)</f>
        <v/>
      </c>
      <c r="K1112" s="10">
        <f>IF($A1112="","",IF($I1112=0,"",_xludf.AGGREGATE(14,6,Ventes_Encaissements!$C$6:$C$3005/(Ventes_Encaissements!$B$6:$B$3005=$A1112),1)))</f>
        <v/>
      </c>
      <c r="L1112" s="11">
        <f>IF($A1112="","",COUNTIFS(Ventes_Detail!$B$6:$B$3005,$A1112))</f>
        <v/>
      </c>
      <c r="M1112" s="12" t="n"/>
      <c r="N1112" s="12">
        <f>IF($A1112="","",IF($G1112="","",IF($M1112="Oui","Litige",IF($J1112&lt;=0,"Payé",IF($I1112&gt;0,"Partiel",IF(Listes!$B$3&gt;$G1112,"En retard","À échoir"))))))</f>
        <v/>
      </c>
      <c r="O1112" s="11">
        <f>IF($A1112="","",IF(OR($G1112="", $J1112&lt;=0),0,MAX(0,Listes!$B$3-$G1112)))</f>
        <v/>
      </c>
      <c r="P1112" s="12">
        <f>IF($A1112="","",IF($J1112&lt;=0,"Payé",IF($M1112="Oui","Litige",IF($O1112=0,"À échoir",IF($O1112&lt;=30,"0-30",IF($O1112&lt;=60,"31-60",IF($O1112&lt;=90,"61-90","90+")))))))</f>
        <v/>
      </c>
    </row>
    <row r="1113">
      <c r="A1113" s="6" t="n"/>
      <c r="B1113" s="6" t="n"/>
      <c r="C1113" s="6" t="n"/>
      <c r="D1113" s="6" t="n"/>
      <c r="E1113" s="6" t="n"/>
      <c r="F1113" s="7" t="n"/>
      <c r="G1113" s="7" t="n"/>
      <c r="H1113" s="8" t="n"/>
      <c r="I1113" s="9">
        <f>IF($A1113="","",SUMIFS(Ventes_Encaissements!$D$6:$D$3005,Ventes_Encaissements!$B$6:$B$3005,$A1113))</f>
        <v/>
      </c>
      <c r="J1113" s="9">
        <f>IF($A1113="","",$H1113-$I1113)</f>
        <v/>
      </c>
      <c r="K1113" s="10">
        <f>IF($A1113="","",IF($I1113=0,"",_xludf.AGGREGATE(14,6,Ventes_Encaissements!$C$6:$C$3005/(Ventes_Encaissements!$B$6:$B$3005=$A1113),1)))</f>
        <v/>
      </c>
      <c r="L1113" s="11">
        <f>IF($A1113="","",COUNTIFS(Ventes_Detail!$B$6:$B$3005,$A1113))</f>
        <v/>
      </c>
      <c r="M1113" s="12" t="n"/>
      <c r="N1113" s="12">
        <f>IF($A1113="","",IF($G1113="","",IF($M1113="Oui","Litige",IF($J1113&lt;=0,"Payé",IF($I1113&gt;0,"Partiel",IF(Listes!$B$3&gt;$G1113,"En retard","À échoir"))))))</f>
        <v/>
      </c>
      <c r="O1113" s="11">
        <f>IF($A1113="","",IF(OR($G1113="", $J1113&lt;=0),0,MAX(0,Listes!$B$3-$G1113)))</f>
        <v/>
      </c>
      <c r="P1113" s="12">
        <f>IF($A1113="","",IF($J1113&lt;=0,"Payé",IF($M1113="Oui","Litige",IF($O1113=0,"À échoir",IF($O1113&lt;=30,"0-30",IF($O1113&lt;=60,"31-60",IF($O1113&lt;=90,"61-90","90+")))))))</f>
        <v/>
      </c>
    </row>
    <row r="1114">
      <c r="A1114" s="6" t="n"/>
      <c r="B1114" s="6" t="n"/>
      <c r="C1114" s="6" t="n"/>
      <c r="D1114" s="6" t="n"/>
      <c r="E1114" s="6" t="n"/>
      <c r="F1114" s="7" t="n"/>
      <c r="G1114" s="7" t="n"/>
      <c r="H1114" s="8" t="n"/>
      <c r="I1114" s="9">
        <f>IF($A1114="","",SUMIFS(Ventes_Encaissements!$D$6:$D$3005,Ventes_Encaissements!$B$6:$B$3005,$A1114))</f>
        <v/>
      </c>
      <c r="J1114" s="9">
        <f>IF($A1114="","",$H1114-$I1114)</f>
        <v/>
      </c>
      <c r="K1114" s="10">
        <f>IF($A1114="","",IF($I1114=0,"",_xludf.AGGREGATE(14,6,Ventes_Encaissements!$C$6:$C$3005/(Ventes_Encaissements!$B$6:$B$3005=$A1114),1)))</f>
        <v/>
      </c>
      <c r="L1114" s="11">
        <f>IF($A1114="","",COUNTIFS(Ventes_Detail!$B$6:$B$3005,$A1114))</f>
        <v/>
      </c>
      <c r="M1114" s="12" t="n"/>
      <c r="N1114" s="12">
        <f>IF($A1114="","",IF($G1114="","",IF($M1114="Oui","Litige",IF($J1114&lt;=0,"Payé",IF($I1114&gt;0,"Partiel",IF(Listes!$B$3&gt;$G1114,"En retard","À échoir"))))))</f>
        <v/>
      </c>
      <c r="O1114" s="11">
        <f>IF($A1114="","",IF(OR($G1114="", $J1114&lt;=0),0,MAX(0,Listes!$B$3-$G1114)))</f>
        <v/>
      </c>
      <c r="P1114" s="12">
        <f>IF($A1114="","",IF($J1114&lt;=0,"Payé",IF($M1114="Oui","Litige",IF($O1114=0,"À échoir",IF($O1114&lt;=30,"0-30",IF($O1114&lt;=60,"31-60",IF($O1114&lt;=90,"61-90","90+")))))))</f>
        <v/>
      </c>
    </row>
    <row r="1115">
      <c r="A1115" s="6" t="n"/>
      <c r="B1115" s="6" t="n"/>
      <c r="C1115" s="6" t="n"/>
      <c r="D1115" s="6" t="n"/>
      <c r="E1115" s="6" t="n"/>
      <c r="F1115" s="7" t="n"/>
      <c r="G1115" s="7" t="n"/>
      <c r="H1115" s="8" t="n"/>
      <c r="I1115" s="9">
        <f>IF($A1115="","",SUMIFS(Ventes_Encaissements!$D$6:$D$3005,Ventes_Encaissements!$B$6:$B$3005,$A1115))</f>
        <v/>
      </c>
      <c r="J1115" s="9">
        <f>IF($A1115="","",$H1115-$I1115)</f>
        <v/>
      </c>
      <c r="K1115" s="10">
        <f>IF($A1115="","",IF($I1115=0,"",_xludf.AGGREGATE(14,6,Ventes_Encaissements!$C$6:$C$3005/(Ventes_Encaissements!$B$6:$B$3005=$A1115),1)))</f>
        <v/>
      </c>
      <c r="L1115" s="11">
        <f>IF($A1115="","",COUNTIFS(Ventes_Detail!$B$6:$B$3005,$A1115))</f>
        <v/>
      </c>
      <c r="M1115" s="12" t="n"/>
      <c r="N1115" s="12">
        <f>IF($A1115="","",IF($G1115="","",IF($M1115="Oui","Litige",IF($J1115&lt;=0,"Payé",IF($I1115&gt;0,"Partiel",IF(Listes!$B$3&gt;$G1115,"En retard","À échoir"))))))</f>
        <v/>
      </c>
      <c r="O1115" s="11">
        <f>IF($A1115="","",IF(OR($G1115="", $J1115&lt;=0),0,MAX(0,Listes!$B$3-$G1115)))</f>
        <v/>
      </c>
      <c r="P1115" s="12">
        <f>IF($A1115="","",IF($J1115&lt;=0,"Payé",IF($M1115="Oui","Litige",IF($O1115=0,"À échoir",IF($O1115&lt;=30,"0-30",IF($O1115&lt;=60,"31-60",IF($O1115&lt;=90,"61-90","90+")))))))</f>
        <v/>
      </c>
    </row>
    <row r="1116">
      <c r="A1116" s="6" t="n"/>
      <c r="B1116" s="6" t="n"/>
      <c r="C1116" s="6" t="n"/>
      <c r="D1116" s="6" t="n"/>
      <c r="E1116" s="6" t="n"/>
      <c r="F1116" s="7" t="n"/>
      <c r="G1116" s="7" t="n"/>
      <c r="H1116" s="8" t="n"/>
      <c r="I1116" s="9">
        <f>IF($A1116="","",SUMIFS(Ventes_Encaissements!$D$6:$D$3005,Ventes_Encaissements!$B$6:$B$3005,$A1116))</f>
        <v/>
      </c>
      <c r="J1116" s="9">
        <f>IF($A1116="","",$H1116-$I1116)</f>
        <v/>
      </c>
      <c r="K1116" s="10">
        <f>IF($A1116="","",IF($I1116=0,"",_xludf.AGGREGATE(14,6,Ventes_Encaissements!$C$6:$C$3005/(Ventes_Encaissements!$B$6:$B$3005=$A1116),1)))</f>
        <v/>
      </c>
      <c r="L1116" s="11">
        <f>IF($A1116="","",COUNTIFS(Ventes_Detail!$B$6:$B$3005,$A1116))</f>
        <v/>
      </c>
      <c r="M1116" s="12" t="n"/>
      <c r="N1116" s="12">
        <f>IF($A1116="","",IF($G1116="","",IF($M1116="Oui","Litige",IF($J1116&lt;=0,"Payé",IF($I1116&gt;0,"Partiel",IF(Listes!$B$3&gt;$G1116,"En retard","À échoir"))))))</f>
        <v/>
      </c>
      <c r="O1116" s="11">
        <f>IF($A1116="","",IF(OR($G1116="", $J1116&lt;=0),0,MAX(0,Listes!$B$3-$G1116)))</f>
        <v/>
      </c>
      <c r="P1116" s="12">
        <f>IF($A1116="","",IF($J1116&lt;=0,"Payé",IF($M1116="Oui","Litige",IF($O1116=0,"À échoir",IF($O1116&lt;=30,"0-30",IF($O1116&lt;=60,"31-60",IF($O1116&lt;=90,"61-90","90+")))))))</f>
        <v/>
      </c>
    </row>
    <row r="1117">
      <c r="A1117" s="6" t="n"/>
      <c r="B1117" s="6" t="n"/>
      <c r="C1117" s="6" t="n"/>
      <c r="D1117" s="6" t="n"/>
      <c r="E1117" s="6" t="n"/>
      <c r="F1117" s="7" t="n"/>
      <c r="G1117" s="7" t="n"/>
      <c r="H1117" s="8" t="n"/>
      <c r="I1117" s="9">
        <f>IF($A1117="","",SUMIFS(Ventes_Encaissements!$D$6:$D$3005,Ventes_Encaissements!$B$6:$B$3005,$A1117))</f>
        <v/>
      </c>
      <c r="J1117" s="9">
        <f>IF($A1117="","",$H1117-$I1117)</f>
        <v/>
      </c>
      <c r="K1117" s="10">
        <f>IF($A1117="","",IF($I1117=0,"",_xludf.AGGREGATE(14,6,Ventes_Encaissements!$C$6:$C$3005/(Ventes_Encaissements!$B$6:$B$3005=$A1117),1)))</f>
        <v/>
      </c>
      <c r="L1117" s="11">
        <f>IF($A1117="","",COUNTIFS(Ventes_Detail!$B$6:$B$3005,$A1117))</f>
        <v/>
      </c>
      <c r="M1117" s="12" t="n"/>
      <c r="N1117" s="12">
        <f>IF($A1117="","",IF($G1117="","",IF($M1117="Oui","Litige",IF($J1117&lt;=0,"Payé",IF($I1117&gt;0,"Partiel",IF(Listes!$B$3&gt;$G1117,"En retard","À échoir"))))))</f>
        <v/>
      </c>
      <c r="O1117" s="11">
        <f>IF($A1117="","",IF(OR($G1117="", $J1117&lt;=0),0,MAX(0,Listes!$B$3-$G1117)))</f>
        <v/>
      </c>
      <c r="P1117" s="12">
        <f>IF($A1117="","",IF($J1117&lt;=0,"Payé",IF($M1117="Oui","Litige",IF($O1117=0,"À échoir",IF($O1117&lt;=30,"0-30",IF($O1117&lt;=60,"31-60",IF($O1117&lt;=90,"61-90","90+")))))))</f>
        <v/>
      </c>
    </row>
    <row r="1118">
      <c r="A1118" s="6" t="n"/>
      <c r="B1118" s="6" t="n"/>
      <c r="C1118" s="6" t="n"/>
      <c r="D1118" s="6" t="n"/>
      <c r="E1118" s="6" t="n"/>
      <c r="F1118" s="7" t="n"/>
      <c r="G1118" s="7" t="n"/>
      <c r="H1118" s="8" t="n"/>
      <c r="I1118" s="9">
        <f>IF($A1118="","",SUMIFS(Ventes_Encaissements!$D$6:$D$3005,Ventes_Encaissements!$B$6:$B$3005,$A1118))</f>
        <v/>
      </c>
      <c r="J1118" s="9">
        <f>IF($A1118="","",$H1118-$I1118)</f>
        <v/>
      </c>
      <c r="K1118" s="10">
        <f>IF($A1118="","",IF($I1118=0,"",_xludf.AGGREGATE(14,6,Ventes_Encaissements!$C$6:$C$3005/(Ventes_Encaissements!$B$6:$B$3005=$A1118),1)))</f>
        <v/>
      </c>
      <c r="L1118" s="11">
        <f>IF($A1118="","",COUNTIFS(Ventes_Detail!$B$6:$B$3005,$A1118))</f>
        <v/>
      </c>
      <c r="M1118" s="12" t="n"/>
      <c r="N1118" s="12">
        <f>IF($A1118="","",IF($G1118="","",IF($M1118="Oui","Litige",IF($J1118&lt;=0,"Payé",IF($I1118&gt;0,"Partiel",IF(Listes!$B$3&gt;$G1118,"En retard","À échoir"))))))</f>
        <v/>
      </c>
      <c r="O1118" s="11">
        <f>IF($A1118="","",IF(OR($G1118="", $J1118&lt;=0),0,MAX(0,Listes!$B$3-$G1118)))</f>
        <v/>
      </c>
      <c r="P1118" s="12">
        <f>IF($A1118="","",IF($J1118&lt;=0,"Payé",IF($M1118="Oui","Litige",IF($O1118=0,"À échoir",IF($O1118&lt;=30,"0-30",IF($O1118&lt;=60,"31-60",IF($O1118&lt;=90,"61-90","90+")))))))</f>
        <v/>
      </c>
    </row>
    <row r="1119">
      <c r="A1119" s="6" t="n"/>
      <c r="B1119" s="6" t="n"/>
      <c r="C1119" s="6" t="n"/>
      <c r="D1119" s="6" t="n"/>
      <c r="E1119" s="6" t="n"/>
      <c r="F1119" s="7" t="n"/>
      <c r="G1119" s="7" t="n"/>
      <c r="H1119" s="8" t="n"/>
      <c r="I1119" s="9">
        <f>IF($A1119="","",SUMIFS(Ventes_Encaissements!$D$6:$D$3005,Ventes_Encaissements!$B$6:$B$3005,$A1119))</f>
        <v/>
      </c>
      <c r="J1119" s="9">
        <f>IF($A1119="","",$H1119-$I1119)</f>
        <v/>
      </c>
      <c r="K1119" s="10">
        <f>IF($A1119="","",IF($I1119=0,"",_xludf.AGGREGATE(14,6,Ventes_Encaissements!$C$6:$C$3005/(Ventes_Encaissements!$B$6:$B$3005=$A1119),1)))</f>
        <v/>
      </c>
      <c r="L1119" s="11">
        <f>IF($A1119="","",COUNTIFS(Ventes_Detail!$B$6:$B$3005,$A1119))</f>
        <v/>
      </c>
      <c r="M1119" s="12" t="n"/>
      <c r="N1119" s="12">
        <f>IF($A1119="","",IF($G1119="","",IF($M1119="Oui","Litige",IF($J1119&lt;=0,"Payé",IF($I1119&gt;0,"Partiel",IF(Listes!$B$3&gt;$G1119,"En retard","À échoir"))))))</f>
        <v/>
      </c>
      <c r="O1119" s="11">
        <f>IF($A1119="","",IF(OR($G1119="", $J1119&lt;=0),0,MAX(0,Listes!$B$3-$G1119)))</f>
        <v/>
      </c>
      <c r="P1119" s="12">
        <f>IF($A1119="","",IF($J1119&lt;=0,"Payé",IF($M1119="Oui","Litige",IF($O1119=0,"À échoir",IF($O1119&lt;=30,"0-30",IF($O1119&lt;=60,"31-60",IF($O1119&lt;=90,"61-90","90+")))))))</f>
        <v/>
      </c>
    </row>
    <row r="1120">
      <c r="A1120" s="6" t="n"/>
      <c r="B1120" s="6" t="n"/>
      <c r="C1120" s="6" t="n"/>
      <c r="D1120" s="6" t="n"/>
      <c r="E1120" s="6" t="n"/>
      <c r="F1120" s="7" t="n"/>
      <c r="G1120" s="7" t="n"/>
      <c r="H1120" s="8" t="n"/>
      <c r="I1120" s="9">
        <f>IF($A1120="","",SUMIFS(Ventes_Encaissements!$D$6:$D$3005,Ventes_Encaissements!$B$6:$B$3005,$A1120))</f>
        <v/>
      </c>
      <c r="J1120" s="9">
        <f>IF($A1120="","",$H1120-$I1120)</f>
        <v/>
      </c>
      <c r="K1120" s="10">
        <f>IF($A1120="","",IF($I1120=0,"",_xludf.AGGREGATE(14,6,Ventes_Encaissements!$C$6:$C$3005/(Ventes_Encaissements!$B$6:$B$3005=$A1120),1)))</f>
        <v/>
      </c>
      <c r="L1120" s="11">
        <f>IF($A1120="","",COUNTIFS(Ventes_Detail!$B$6:$B$3005,$A1120))</f>
        <v/>
      </c>
      <c r="M1120" s="12" t="n"/>
      <c r="N1120" s="12">
        <f>IF($A1120="","",IF($G1120="","",IF($M1120="Oui","Litige",IF($J1120&lt;=0,"Payé",IF($I1120&gt;0,"Partiel",IF(Listes!$B$3&gt;$G1120,"En retard","À échoir"))))))</f>
        <v/>
      </c>
      <c r="O1120" s="11">
        <f>IF($A1120="","",IF(OR($G1120="", $J1120&lt;=0),0,MAX(0,Listes!$B$3-$G1120)))</f>
        <v/>
      </c>
      <c r="P1120" s="12">
        <f>IF($A1120="","",IF($J1120&lt;=0,"Payé",IF($M1120="Oui","Litige",IF($O1120=0,"À échoir",IF($O1120&lt;=30,"0-30",IF($O1120&lt;=60,"31-60",IF($O1120&lt;=90,"61-90","90+")))))))</f>
        <v/>
      </c>
    </row>
    <row r="1121">
      <c r="A1121" s="6" t="n"/>
      <c r="B1121" s="6" t="n"/>
      <c r="C1121" s="6" t="n"/>
      <c r="D1121" s="6" t="n"/>
      <c r="E1121" s="6" t="n"/>
      <c r="F1121" s="7" t="n"/>
      <c r="G1121" s="7" t="n"/>
      <c r="H1121" s="8" t="n"/>
      <c r="I1121" s="9">
        <f>IF($A1121="","",SUMIFS(Ventes_Encaissements!$D$6:$D$3005,Ventes_Encaissements!$B$6:$B$3005,$A1121))</f>
        <v/>
      </c>
      <c r="J1121" s="9">
        <f>IF($A1121="","",$H1121-$I1121)</f>
        <v/>
      </c>
      <c r="K1121" s="10">
        <f>IF($A1121="","",IF($I1121=0,"",_xludf.AGGREGATE(14,6,Ventes_Encaissements!$C$6:$C$3005/(Ventes_Encaissements!$B$6:$B$3005=$A1121),1)))</f>
        <v/>
      </c>
      <c r="L1121" s="11">
        <f>IF($A1121="","",COUNTIFS(Ventes_Detail!$B$6:$B$3005,$A1121))</f>
        <v/>
      </c>
      <c r="M1121" s="12" t="n"/>
      <c r="N1121" s="12">
        <f>IF($A1121="","",IF($G1121="","",IF($M1121="Oui","Litige",IF($J1121&lt;=0,"Payé",IF($I1121&gt;0,"Partiel",IF(Listes!$B$3&gt;$G1121,"En retard","À échoir"))))))</f>
        <v/>
      </c>
      <c r="O1121" s="11">
        <f>IF($A1121="","",IF(OR($G1121="", $J1121&lt;=0),0,MAX(0,Listes!$B$3-$G1121)))</f>
        <v/>
      </c>
      <c r="P1121" s="12">
        <f>IF($A1121="","",IF($J1121&lt;=0,"Payé",IF($M1121="Oui","Litige",IF($O1121=0,"À échoir",IF($O1121&lt;=30,"0-30",IF($O1121&lt;=60,"31-60",IF($O1121&lt;=90,"61-90","90+")))))))</f>
        <v/>
      </c>
    </row>
    <row r="1122">
      <c r="A1122" s="6" t="n"/>
      <c r="B1122" s="6" t="n"/>
      <c r="C1122" s="6" t="n"/>
      <c r="D1122" s="6" t="n"/>
      <c r="E1122" s="6" t="n"/>
      <c r="F1122" s="7" t="n"/>
      <c r="G1122" s="7" t="n"/>
      <c r="H1122" s="8" t="n"/>
      <c r="I1122" s="9">
        <f>IF($A1122="","",SUMIFS(Ventes_Encaissements!$D$6:$D$3005,Ventes_Encaissements!$B$6:$B$3005,$A1122))</f>
        <v/>
      </c>
      <c r="J1122" s="9">
        <f>IF($A1122="","",$H1122-$I1122)</f>
        <v/>
      </c>
      <c r="K1122" s="10">
        <f>IF($A1122="","",IF($I1122=0,"",_xludf.AGGREGATE(14,6,Ventes_Encaissements!$C$6:$C$3005/(Ventes_Encaissements!$B$6:$B$3005=$A1122),1)))</f>
        <v/>
      </c>
      <c r="L1122" s="11">
        <f>IF($A1122="","",COUNTIFS(Ventes_Detail!$B$6:$B$3005,$A1122))</f>
        <v/>
      </c>
      <c r="M1122" s="12" t="n"/>
      <c r="N1122" s="12">
        <f>IF($A1122="","",IF($G1122="","",IF($M1122="Oui","Litige",IF($J1122&lt;=0,"Payé",IF($I1122&gt;0,"Partiel",IF(Listes!$B$3&gt;$G1122,"En retard","À échoir"))))))</f>
        <v/>
      </c>
      <c r="O1122" s="11">
        <f>IF($A1122="","",IF(OR($G1122="", $J1122&lt;=0),0,MAX(0,Listes!$B$3-$G1122)))</f>
        <v/>
      </c>
      <c r="P1122" s="12">
        <f>IF($A1122="","",IF($J1122&lt;=0,"Payé",IF($M1122="Oui","Litige",IF($O1122=0,"À échoir",IF($O1122&lt;=30,"0-30",IF($O1122&lt;=60,"31-60",IF($O1122&lt;=90,"61-90","90+")))))))</f>
        <v/>
      </c>
    </row>
    <row r="1123">
      <c r="A1123" s="6" t="n"/>
      <c r="B1123" s="6" t="n"/>
      <c r="C1123" s="6" t="n"/>
      <c r="D1123" s="6" t="n"/>
      <c r="E1123" s="6" t="n"/>
      <c r="F1123" s="7" t="n"/>
      <c r="G1123" s="7" t="n"/>
      <c r="H1123" s="8" t="n"/>
      <c r="I1123" s="9">
        <f>IF($A1123="","",SUMIFS(Ventes_Encaissements!$D$6:$D$3005,Ventes_Encaissements!$B$6:$B$3005,$A1123))</f>
        <v/>
      </c>
      <c r="J1123" s="9">
        <f>IF($A1123="","",$H1123-$I1123)</f>
        <v/>
      </c>
      <c r="K1123" s="10">
        <f>IF($A1123="","",IF($I1123=0,"",_xludf.AGGREGATE(14,6,Ventes_Encaissements!$C$6:$C$3005/(Ventes_Encaissements!$B$6:$B$3005=$A1123),1)))</f>
        <v/>
      </c>
      <c r="L1123" s="11">
        <f>IF($A1123="","",COUNTIFS(Ventes_Detail!$B$6:$B$3005,$A1123))</f>
        <v/>
      </c>
      <c r="M1123" s="12" t="n"/>
      <c r="N1123" s="12">
        <f>IF($A1123="","",IF($G1123="","",IF($M1123="Oui","Litige",IF($J1123&lt;=0,"Payé",IF($I1123&gt;0,"Partiel",IF(Listes!$B$3&gt;$G1123,"En retard","À échoir"))))))</f>
        <v/>
      </c>
      <c r="O1123" s="11">
        <f>IF($A1123="","",IF(OR($G1123="", $J1123&lt;=0),0,MAX(0,Listes!$B$3-$G1123)))</f>
        <v/>
      </c>
      <c r="P1123" s="12">
        <f>IF($A1123="","",IF($J1123&lt;=0,"Payé",IF($M1123="Oui","Litige",IF($O1123=0,"À échoir",IF($O1123&lt;=30,"0-30",IF($O1123&lt;=60,"31-60",IF($O1123&lt;=90,"61-90","90+")))))))</f>
        <v/>
      </c>
    </row>
    <row r="1124">
      <c r="A1124" s="6" t="n"/>
      <c r="B1124" s="6" t="n"/>
      <c r="C1124" s="6" t="n"/>
      <c r="D1124" s="6" t="n"/>
      <c r="E1124" s="6" t="n"/>
      <c r="F1124" s="7" t="n"/>
      <c r="G1124" s="7" t="n"/>
      <c r="H1124" s="8" t="n"/>
      <c r="I1124" s="9">
        <f>IF($A1124="","",SUMIFS(Ventes_Encaissements!$D$6:$D$3005,Ventes_Encaissements!$B$6:$B$3005,$A1124))</f>
        <v/>
      </c>
      <c r="J1124" s="9">
        <f>IF($A1124="","",$H1124-$I1124)</f>
        <v/>
      </c>
      <c r="K1124" s="10">
        <f>IF($A1124="","",IF($I1124=0,"",_xludf.AGGREGATE(14,6,Ventes_Encaissements!$C$6:$C$3005/(Ventes_Encaissements!$B$6:$B$3005=$A1124),1)))</f>
        <v/>
      </c>
      <c r="L1124" s="11">
        <f>IF($A1124="","",COUNTIFS(Ventes_Detail!$B$6:$B$3005,$A1124))</f>
        <v/>
      </c>
      <c r="M1124" s="12" t="n"/>
      <c r="N1124" s="12">
        <f>IF($A1124="","",IF($G1124="","",IF($M1124="Oui","Litige",IF($J1124&lt;=0,"Payé",IF($I1124&gt;0,"Partiel",IF(Listes!$B$3&gt;$G1124,"En retard","À échoir"))))))</f>
        <v/>
      </c>
      <c r="O1124" s="11">
        <f>IF($A1124="","",IF(OR($G1124="", $J1124&lt;=0),0,MAX(0,Listes!$B$3-$G1124)))</f>
        <v/>
      </c>
      <c r="P1124" s="12">
        <f>IF($A1124="","",IF($J1124&lt;=0,"Payé",IF($M1124="Oui","Litige",IF($O1124=0,"À échoir",IF($O1124&lt;=30,"0-30",IF($O1124&lt;=60,"31-60",IF($O1124&lt;=90,"61-90","90+")))))))</f>
        <v/>
      </c>
    </row>
    <row r="1125">
      <c r="A1125" s="6" t="n"/>
      <c r="B1125" s="6" t="n"/>
      <c r="C1125" s="6" t="n"/>
      <c r="D1125" s="6" t="n"/>
      <c r="E1125" s="6" t="n"/>
      <c r="F1125" s="7" t="n"/>
      <c r="G1125" s="7" t="n"/>
      <c r="H1125" s="8" t="n"/>
      <c r="I1125" s="9">
        <f>IF($A1125="","",SUMIFS(Ventes_Encaissements!$D$6:$D$3005,Ventes_Encaissements!$B$6:$B$3005,$A1125))</f>
        <v/>
      </c>
      <c r="J1125" s="9">
        <f>IF($A1125="","",$H1125-$I1125)</f>
        <v/>
      </c>
      <c r="K1125" s="10">
        <f>IF($A1125="","",IF($I1125=0,"",_xludf.AGGREGATE(14,6,Ventes_Encaissements!$C$6:$C$3005/(Ventes_Encaissements!$B$6:$B$3005=$A1125),1)))</f>
        <v/>
      </c>
      <c r="L1125" s="11">
        <f>IF($A1125="","",COUNTIFS(Ventes_Detail!$B$6:$B$3005,$A1125))</f>
        <v/>
      </c>
      <c r="M1125" s="12" t="n"/>
      <c r="N1125" s="12">
        <f>IF($A1125="","",IF($G1125="","",IF($M1125="Oui","Litige",IF($J1125&lt;=0,"Payé",IF($I1125&gt;0,"Partiel",IF(Listes!$B$3&gt;$G1125,"En retard","À échoir"))))))</f>
        <v/>
      </c>
      <c r="O1125" s="11">
        <f>IF($A1125="","",IF(OR($G1125="", $J1125&lt;=0),0,MAX(0,Listes!$B$3-$G1125)))</f>
        <v/>
      </c>
      <c r="P1125" s="12">
        <f>IF($A1125="","",IF($J1125&lt;=0,"Payé",IF($M1125="Oui","Litige",IF($O1125=0,"À échoir",IF($O1125&lt;=30,"0-30",IF($O1125&lt;=60,"31-60",IF($O1125&lt;=90,"61-90","90+")))))))</f>
        <v/>
      </c>
    </row>
    <row r="1126">
      <c r="A1126" s="6" t="n"/>
      <c r="B1126" s="6" t="n"/>
      <c r="C1126" s="6" t="n"/>
      <c r="D1126" s="6" t="n"/>
      <c r="E1126" s="6" t="n"/>
      <c r="F1126" s="7" t="n"/>
      <c r="G1126" s="7" t="n"/>
      <c r="H1126" s="8" t="n"/>
      <c r="I1126" s="9">
        <f>IF($A1126="","",SUMIFS(Ventes_Encaissements!$D$6:$D$3005,Ventes_Encaissements!$B$6:$B$3005,$A1126))</f>
        <v/>
      </c>
      <c r="J1126" s="9">
        <f>IF($A1126="","",$H1126-$I1126)</f>
        <v/>
      </c>
      <c r="K1126" s="10">
        <f>IF($A1126="","",IF($I1126=0,"",_xludf.AGGREGATE(14,6,Ventes_Encaissements!$C$6:$C$3005/(Ventes_Encaissements!$B$6:$B$3005=$A1126),1)))</f>
        <v/>
      </c>
      <c r="L1126" s="11">
        <f>IF($A1126="","",COUNTIFS(Ventes_Detail!$B$6:$B$3005,$A1126))</f>
        <v/>
      </c>
      <c r="M1126" s="12" t="n"/>
      <c r="N1126" s="12">
        <f>IF($A1126="","",IF($G1126="","",IF($M1126="Oui","Litige",IF($J1126&lt;=0,"Payé",IF($I1126&gt;0,"Partiel",IF(Listes!$B$3&gt;$G1126,"En retard","À échoir"))))))</f>
        <v/>
      </c>
      <c r="O1126" s="11">
        <f>IF($A1126="","",IF(OR($G1126="", $J1126&lt;=0),0,MAX(0,Listes!$B$3-$G1126)))</f>
        <v/>
      </c>
      <c r="P1126" s="12">
        <f>IF($A1126="","",IF($J1126&lt;=0,"Payé",IF($M1126="Oui","Litige",IF($O1126=0,"À échoir",IF($O1126&lt;=30,"0-30",IF($O1126&lt;=60,"31-60",IF($O1126&lt;=90,"61-90","90+")))))))</f>
        <v/>
      </c>
    </row>
    <row r="1127">
      <c r="A1127" s="6" t="n"/>
      <c r="B1127" s="6" t="n"/>
      <c r="C1127" s="6" t="n"/>
      <c r="D1127" s="6" t="n"/>
      <c r="E1127" s="6" t="n"/>
      <c r="F1127" s="7" t="n"/>
      <c r="G1127" s="7" t="n"/>
      <c r="H1127" s="8" t="n"/>
      <c r="I1127" s="9">
        <f>IF($A1127="","",SUMIFS(Ventes_Encaissements!$D$6:$D$3005,Ventes_Encaissements!$B$6:$B$3005,$A1127))</f>
        <v/>
      </c>
      <c r="J1127" s="9">
        <f>IF($A1127="","",$H1127-$I1127)</f>
        <v/>
      </c>
      <c r="K1127" s="10">
        <f>IF($A1127="","",IF($I1127=0,"",_xludf.AGGREGATE(14,6,Ventes_Encaissements!$C$6:$C$3005/(Ventes_Encaissements!$B$6:$B$3005=$A1127),1)))</f>
        <v/>
      </c>
      <c r="L1127" s="11">
        <f>IF($A1127="","",COUNTIFS(Ventes_Detail!$B$6:$B$3005,$A1127))</f>
        <v/>
      </c>
      <c r="M1127" s="12" t="n"/>
      <c r="N1127" s="12">
        <f>IF($A1127="","",IF($G1127="","",IF($M1127="Oui","Litige",IF($J1127&lt;=0,"Payé",IF($I1127&gt;0,"Partiel",IF(Listes!$B$3&gt;$G1127,"En retard","À échoir"))))))</f>
        <v/>
      </c>
      <c r="O1127" s="11">
        <f>IF($A1127="","",IF(OR($G1127="", $J1127&lt;=0),0,MAX(0,Listes!$B$3-$G1127)))</f>
        <v/>
      </c>
      <c r="P1127" s="12">
        <f>IF($A1127="","",IF($J1127&lt;=0,"Payé",IF($M1127="Oui","Litige",IF($O1127=0,"À échoir",IF($O1127&lt;=30,"0-30",IF($O1127&lt;=60,"31-60",IF($O1127&lt;=90,"61-90","90+")))))))</f>
        <v/>
      </c>
    </row>
    <row r="1128">
      <c r="A1128" s="6" t="n"/>
      <c r="B1128" s="6" t="n"/>
      <c r="C1128" s="6" t="n"/>
      <c r="D1128" s="6" t="n"/>
      <c r="E1128" s="6" t="n"/>
      <c r="F1128" s="7" t="n"/>
      <c r="G1128" s="7" t="n"/>
      <c r="H1128" s="8" t="n"/>
      <c r="I1128" s="9">
        <f>IF($A1128="","",SUMIFS(Ventes_Encaissements!$D$6:$D$3005,Ventes_Encaissements!$B$6:$B$3005,$A1128))</f>
        <v/>
      </c>
      <c r="J1128" s="9">
        <f>IF($A1128="","",$H1128-$I1128)</f>
        <v/>
      </c>
      <c r="K1128" s="10">
        <f>IF($A1128="","",IF($I1128=0,"",_xludf.AGGREGATE(14,6,Ventes_Encaissements!$C$6:$C$3005/(Ventes_Encaissements!$B$6:$B$3005=$A1128),1)))</f>
        <v/>
      </c>
      <c r="L1128" s="11">
        <f>IF($A1128="","",COUNTIFS(Ventes_Detail!$B$6:$B$3005,$A1128))</f>
        <v/>
      </c>
      <c r="M1128" s="12" t="n"/>
      <c r="N1128" s="12">
        <f>IF($A1128="","",IF($G1128="","",IF($M1128="Oui","Litige",IF($J1128&lt;=0,"Payé",IF($I1128&gt;0,"Partiel",IF(Listes!$B$3&gt;$G1128,"En retard","À échoir"))))))</f>
        <v/>
      </c>
      <c r="O1128" s="11">
        <f>IF($A1128="","",IF(OR($G1128="", $J1128&lt;=0),0,MAX(0,Listes!$B$3-$G1128)))</f>
        <v/>
      </c>
      <c r="P1128" s="12">
        <f>IF($A1128="","",IF($J1128&lt;=0,"Payé",IF($M1128="Oui","Litige",IF($O1128=0,"À échoir",IF($O1128&lt;=30,"0-30",IF($O1128&lt;=60,"31-60",IF($O1128&lt;=90,"61-90","90+")))))))</f>
        <v/>
      </c>
    </row>
    <row r="1129">
      <c r="A1129" s="6" t="n"/>
      <c r="B1129" s="6" t="n"/>
      <c r="C1129" s="6" t="n"/>
      <c r="D1129" s="6" t="n"/>
      <c r="E1129" s="6" t="n"/>
      <c r="F1129" s="7" t="n"/>
      <c r="G1129" s="7" t="n"/>
      <c r="H1129" s="8" t="n"/>
      <c r="I1129" s="9">
        <f>IF($A1129="","",SUMIFS(Ventes_Encaissements!$D$6:$D$3005,Ventes_Encaissements!$B$6:$B$3005,$A1129))</f>
        <v/>
      </c>
      <c r="J1129" s="9">
        <f>IF($A1129="","",$H1129-$I1129)</f>
        <v/>
      </c>
      <c r="K1129" s="10">
        <f>IF($A1129="","",IF($I1129=0,"",_xludf.AGGREGATE(14,6,Ventes_Encaissements!$C$6:$C$3005/(Ventes_Encaissements!$B$6:$B$3005=$A1129),1)))</f>
        <v/>
      </c>
      <c r="L1129" s="11">
        <f>IF($A1129="","",COUNTIFS(Ventes_Detail!$B$6:$B$3005,$A1129))</f>
        <v/>
      </c>
      <c r="M1129" s="12" t="n"/>
      <c r="N1129" s="12">
        <f>IF($A1129="","",IF($G1129="","",IF($M1129="Oui","Litige",IF($J1129&lt;=0,"Payé",IF($I1129&gt;0,"Partiel",IF(Listes!$B$3&gt;$G1129,"En retard","À échoir"))))))</f>
        <v/>
      </c>
      <c r="O1129" s="11">
        <f>IF($A1129="","",IF(OR($G1129="", $J1129&lt;=0),0,MAX(0,Listes!$B$3-$G1129)))</f>
        <v/>
      </c>
      <c r="P1129" s="12">
        <f>IF($A1129="","",IF($J1129&lt;=0,"Payé",IF($M1129="Oui","Litige",IF($O1129=0,"À échoir",IF($O1129&lt;=30,"0-30",IF($O1129&lt;=60,"31-60",IF($O1129&lt;=90,"61-90","90+")))))))</f>
        <v/>
      </c>
    </row>
    <row r="1130">
      <c r="A1130" s="6" t="n"/>
      <c r="B1130" s="6" t="n"/>
      <c r="C1130" s="6" t="n"/>
      <c r="D1130" s="6" t="n"/>
      <c r="E1130" s="6" t="n"/>
      <c r="F1130" s="7" t="n"/>
      <c r="G1130" s="7" t="n"/>
      <c r="H1130" s="8" t="n"/>
      <c r="I1130" s="9">
        <f>IF($A1130="","",SUMIFS(Ventes_Encaissements!$D$6:$D$3005,Ventes_Encaissements!$B$6:$B$3005,$A1130))</f>
        <v/>
      </c>
      <c r="J1130" s="9">
        <f>IF($A1130="","",$H1130-$I1130)</f>
        <v/>
      </c>
      <c r="K1130" s="10">
        <f>IF($A1130="","",IF($I1130=0,"",_xludf.AGGREGATE(14,6,Ventes_Encaissements!$C$6:$C$3005/(Ventes_Encaissements!$B$6:$B$3005=$A1130),1)))</f>
        <v/>
      </c>
      <c r="L1130" s="11">
        <f>IF($A1130="","",COUNTIFS(Ventes_Detail!$B$6:$B$3005,$A1130))</f>
        <v/>
      </c>
      <c r="M1130" s="12" t="n"/>
      <c r="N1130" s="12">
        <f>IF($A1130="","",IF($G1130="","",IF($M1130="Oui","Litige",IF($J1130&lt;=0,"Payé",IF($I1130&gt;0,"Partiel",IF(Listes!$B$3&gt;$G1130,"En retard","À échoir"))))))</f>
        <v/>
      </c>
      <c r="O1130" s="11">
        <f>IF($A1130="","",IF(OR($G1130="", $J1130&lt;=0),0,MAX(0,Listes!$B$3-$G1130)))</f>
        <v/>
      </c>
      <c r="P1130" s="12">
        <f>IF($A1130="","",IF($J1130&lt;=0,"Payé",IF($M1130="Oui","Litige",IF($O1130=0,"À échoir",IF($O1130&lt;=30,"0-30",IF($O1130&lt;=60,"31-60",IF($O1130&lt;=90,"61-90","90+")))))))</f>
        <v/>
      </c>
    </row>
    <row r="1131">
      <c r="A1131" s="6" t="n"/>
      <c r="B1131" s="6" t="n"/>
      <c r="C1131" s="6" t="n"/>
      <c r="D1131" s="6" t="n"/>
      <c r="E1131" s="6" t="n"/>
      <c r="F1131" s="7" t="n"/>
      <c r="G1131" s="7" t="n"/>
      <c r="H1131" s="8" t="n"/>
      <c r="I1131" s="9">
        <f>IF($A1131="","",SUMIFS(Ventes_Encaissements!$D$6:$D$3005,Ventes_Encaissements!$B$6:$B$3005,$A1131))</f>
        <v/>
      </c>
      <c r="J1131" s="9">
        <f>IF($A1131="","",$H1131-$I1131)</f>
        <v/>
      </c>
      <c r="K1131" s="10">
        <f>IF($A1131="","",IF($I1131=0,"",_xludf.AGGREGATE(14,6,Ventes_Encaissements!$C$6:$C$3005/(Ventes_Encaissements!$B$6:$B$3005=$A1131),1)))</f>
        <v/>
      </c>
      <c r="L1131" s="11">
        <f>IF($A1131="","",COUNTIFS(Ventes_Detail!$B$6:$B$3005,$A1131))</f>
        <v/>
      </c>
      <c r="M1131" s="12" t="n"/>
      <c r="N1131" s="12">
        <f>IF($A1131="","",IF($G1131="","",IF($M1131="Oui","Litige",IF($J1131&lt;=0,"Payé",IF($I1131&gt;0,"Partiel",IF(Listes!$B$3&gt;$G1131,"En retard","À échoir"))))))</f>
        <v/>
      </c>
      <c r="O1131" s="11">
        <f>IF($A1131="","",IF(OR($G1131="", $J1131&lt;=0),0,MAX(0,Listes!$B$3-$G1131)))</f>
        <v/>
      </c>
      <c r="P1131" s="12">
        <f>IF($A1131="","",IF($J1131&lt;=0,"Payé",IF($M1131="Oui","Litige",IF($O1131=0,"À échoir",IF($O1131&lt;=30,"0-30",IF($O1131&lt;=60,"31-60",IF($O1131&lt;=90,"61-90","90+")))))))</f>
        <v/>
      </c>
    </row>
    <row r="1132">
      <c r="A1132" s="6" t="n"/>
      <c r="B1132" s="6" t="n"/>
      <c r="C1132" s="6" t="n"/>
      <c r="D1132" s="6" t="n"/>
      <c r="E1132" s="6" t="n"/>
      <c r="F1132" s="7" t="n"/>
      <c r="G1132" s="7" t="n"/>
      <c r="H1132" s="8" t="n"/>
      <c r="I1132" s="9">
        <f>IF($A1132="","",SUMIFS(Ventes_Encaissements!$D$6:$D$3005,Ventes_Encaissements!$B$6:$B$3005,$A1132))</f>
        <v/>
      </c>
      <c r="J1132" s="9">
        <f>IF($A1132="","",$H1132-$I1132)</f>
        <v/>
      </c>
      <c r="K1132" s="10">
        <f>IF($A1132="","",IF($I1132=0,"",_xludf.AGGREGATE(14,6,Ventes_Encaissements!$C$6:$C$3005/(Ventes_Encaissements!$B$6:$B$3005=$A1132),1)))</f>
        <v/>
      </c>
      <c r="L1132" s="11">
        <f>IF($A1132="","",COUNTIFS(Ventes_Detail!$B$6:$B$3005,$A1132))</f>
        <v/>
      </c>
      <c r="M1132" s="12" t="n"/>
      <c r="N1132" s="12">
        <f>IF($A1132="","",IF($G1132="","",IF($M1132="Oui","Litige",IF($J1132&lt;=0,"Payé",IF($I1132&gt;0,"Partiel",IF(Listes!$B$3&gt;$G1132,"En retard","À échoir"))))))</f>
        <v/>
      </c>
      <c r="O1132" s="11">
        <f>IF($A1132="","",IF(OR($G1132="", $J1132&lt;=0),0,MAX(0,Listes!$B$3-$G1132)))</f>
        <v/>
      </c>
      <c r="P1132" s="12">
        <f>IF($A1132="","",IF($J1132&lt;=0,"Payé",IF($M1132="Oui","Litige",IF($O1132=0,"À échoir",IF($O1132&lt;=30,"0-30",IF($O1132&lt;=60,"31-60",IF($O1132&lt;=90,"61-90","90+")))))))</f>
        <v/>
      </c>
    </row>
    <row r="1133">
      <c r="A1133" s="6" t="n"/>
      <c r="B1133" s="6" t="n"/>
      <c r="C1133" s="6" t="n"/>
      <c r="D1133" s="6" t="n"/>
      <c r="E1133" s="6" t="n"/>
      <c r="F1133" s="7" t="n"/>
      <c r="G1133" s="7" t="n"/>
      <c r="H1133" s="8" t="n"/>
      <c r="I1133" s="9">
        <f>IF($A1133="","",SUMIFS(Ventes_Encaissements!$D$6:$D$3005,Ventes_Encaissements!$B$6:$B$3005,$A1133))</f>
        <v/>
      </c>
      <c r="J1133" s="9">
        <f>IF($A1133="","",$H1133-$I1133)</f>
        <v/>
      </c>
      <c r="K1133" s="10">
        <f>IF($A1133="","",IF($I1133=0,"",_xludf.AGGREGATE(14,6,Ventes_Encaissements!$C$6:$C$3005/(Ventes_Encaissements!$B$6:$B$3005=$A1133),1)))</f>
        <v/>
      </c>
      <c r="L1133" s="11">
        <f>IF($A1133="","",COUNTIFS(Ventes_Detail!$B$6:$B$3005,$A1133))</f>
        <v/>
      </c>
      <c r="M1133" s="12" t="n"/>
      <c r="N1133" s="12">
        <f>IF($A1133="","",IF($G1133="","",IF($M1133="Oui","Litige",IF($J1133&lt;=0,"Payé",IF($I1133&gt;0,"Partiel",IF(Listes!$B$3&gt;$G1133,"En retard","À échoir"))))))</f>
        <v/>
      </c>
      <c r="O1133" s="11">
        <f>IF($A1133="","",IF(OR($G1133="", $J1133&lt;=0),0,MAX(0,Listes!$B$3-$G1133)))</f>
        <v/>
      </c>
      <c r="P1133" s="12">
        <f>IF($A1133="","",IF($J1133&lt;=0,"Payé",IF($M1133="Oui","Litige",IF($O1133=0,"À échoir",IF($O1133&lt;=30,"0-30",IF($O1133&lt;=60,"31-60",IF($O1133&lt;=90,"61-90","90+")))))))</f>
        <v/>
      </c>
    </row>
    <row r="1134">
      <c r="A1134" s="6" t="n"/>
      <c r="B1134" s="6" t="n"/>
      <c r="C1134" s="6" t="n"/>
      <c r="D1134" s="6" t="n"/>
      <c r="E1134" s="6" t="n"/>
      <c r="F1134" s="7" t="n"/>
      <c r="G1134" s="7" t="n"/>
      <c r="H1134" s="8" t="n"/>
      <c r="I1134" s="9">
        <f>IF($A1134="","",SUMIFS(Ventes_Encaissements!$D$6:$D$3005,Ventes_Encaissements!$B$6:$B$3005,$A1134))</f>
        <v/>
      </c>
      <c r="J1134" s="9">
        <f>IF($A1134="","",$H1134-$I1134)</f>
        <v/>
      </c>
      <c r="K1134" s="10">
        <f>IF($A1134="","",IF($I1134=0,"",_xludf.AGGREGATE(14,6,Ventes_Encaissements!$C$6:$C$3005/(Ventes_Encaissements!$B$6:$B$3005=$A1134),1)))</f>
        <v/>
      </c>
      <c r="L1134" s="11">
        <f>IF($A1134="","",COUNTIFS(Ventes_Detail!$B$6:$B$3005,$A1134))</f>
        <v/>
      </c>
      <c r="M1134" s="12" t="n"/>
      <c r="N1134" s="12">
        <f>IF($A1134="","",IF($G1134="","",IF($M1134="Oui","Litige",IF($J1134&lt;=0,"Payé",IF($I1134&gt;0,"Partiel",IF(Listes!$B$3&gt;$G1134,"En retard","À échoir"))))))</f>
        <v/>
      </c>
      <c r="O1134" s="11">
        <f>IF($A1134="","",IF(OR($G1134="", $J1134&lt;=0),0,MAX(0,Listes!$B$3-$G1134)))</f>
        <v/>
      </c>
      <c r="P1134" s="12">
        <f>IF($A1134="","",IF($J1134&lt;=0,"Payé",IF($M1134="Oui","Litige",IF($O1134=0,"À échoir",IF($O1134&lt;=30,"0-30",IF($O1134&lt;=60,"31-60",IF($O1134&lt;=90,"61-90","90+")))))))</f>
        <v/>
      </c>
    </row>
    <row r="1135">
      <c r="A1135" s="6" t="n"/>
      <c r="B1135" s="6" t="n"/>
      <c r="C1135" s="6" t="n"/>
      <c r="D1135" s="6" t="n"/>
      <c r="E1135" s="6" t="n"/>
      <c r="F1135" s="7" t="n"/>
      <c r="G1135" s="7" t="n"/>
      <c r="H1135" s="8" t="n"/>
      <c r="I1135" s="9">
        <f>IF($A1135="","",SUMIFS(Ventes_Encaissements!$D$6:$D$3005,Ventes_Encaissements!$B$6:$B$3005,$A1135))</f>
        <v/>
      </c>
      <c r="J1135" s="9">
        <f>IF($A1135="","",$H1135-$I1135)</f>
        <v/>
      </c>
      <c r="K1135" s="10">
        <f>IF($A1135="","",IF($I1135=0,"",_xludf.AGGREGATE(14,6,Ventes_Encaissements!$C$6:$C$3005/(Ventes_Encaissements!$B$6:$B$3005=$A1135),1)))</f>
        <v/>
      </c>
      <c r="L1135" s="11">
        <f>IF($A1135="","",COUNTIFS(Ventes_Detail!$B$6:$B$3005,$A1135))</f>
        <v/>
      </c>
      <c r="M1135" s="12" t="n"/>
      <c r="N1135" s="12">
        <f>IF($A1135="","",IF($G1135="","",IF($M1135="Oui","Litige",IF($J1135&lt;=0,"Payé",IF($I1135&gt;0,"Partiel",IF(Listes!$B$3&gt;$G1135,"En retard","À échoir"))))))</f>
        <v/>
      </c>
      <c r="O1135" s="11">
        <f>IF($A1135="","",IF(OR($G1135="", $J1135&lt;=0),0,MAX(0,Listes!$B$3-$G1135)))</f>
        <v/>
      </c>
      <c r="P1135" s="12">
        <f>IF($A1135="","",IF($J1135&lt;=0,"Payé",IF($M1135="Oui","Litige",IF($O1135=0,"À échoir",IF($O1135&lt;=30,"0-30",IF($O1135&lt;=60,"31-60",IF($O1135&lt;=90,"61-90","90+")))))))</f>
        <v/>
      </c>
    </row>
    <row r="1136">
      <c r="A1136" s="6" t="n"/>
      <c r="B1136" s="6" t="n"/>
      <c r="C1136" s="6" t="n"/>
      <c r="D1136" s="6" t="n"/>
      <c r="E1136" s="6" t="n"/>
      <c r="F1136" s="7" t="n"/>
      <c r="G1136" s="7" t="n"/>
      <c r="H1136" s="8" t="n"/>
      <c r="I1136" s="9">
        <f>IF($A1136="","",SUMIFS(Ventes_Encaissements!$D$6:$D$3005,Ventes_Encaissements!$B$6:$B$3005,$A1136))</f>
        <v/>
      </c>
      <c r="J1136" s="9">
        <f>IF($A1136="","",$H1136-$I1136)</f>
        <v/>
      </c>
      <c r="K1136" s="10">
        <f>IF($A1136="","",IF($I1136=0,"",_xludf.AGGREGATE(14,6,Ventes_Encaissements!$C$6:$C$3005/(Ventes_Encaissements!$B$6:$B$3005=$A1136),1)))</f>
        <v/>
      </c>
      <c r="L1136" s="11">
        <f>IF($A1136="","",COUNTIFS(Ventes_Detail!$B$6:$B$3005,$A1136))</f>
        <v/>
      </c>
      <c r="M1136" s="12" t="n"/>
      <c r="N1136" s="12">
        <f>IF($A1136="","",IF($G1136="","",IF($M1136="Oui","Litige",IF($J1136&lt;=0,"Payé",IF($I1136&gt;0,"Partiel",IF(Listes!$B$3&gt;$G1136,"En retard","À échoir"))))))</f>
        <v/>
      </c>
      <c r="O1136" s="11">
        <f>IF($A1136="","",IF(OR($G1136="", $J1136&lt;=0),0,MAX(0,Listes!$B$3-$G1136)))</f>
        <v/>
      </c>
      <c r="P1136" s="12">
        <f>IF($A1136="","",IF($J1136&lt;=0,"Payé",IF($M1136="Oui","Litige",IF($O1136=0,"À échoir",IF($O1136&lt;=30,"0-30",IF($O1136&lt;=60,"31-60",IF($O1136&lt;=90,"61-90","90+")))))))</f>
        <v/>
      </c>
    </row>
    <row r="1137">
      <c r="A1137" s="6" t="n"/>
      <c r="B1137" s="6" t="n"/>
      <c r="C1137" s="6" t="n"/>
      <c r="D1137" s="6" t="n"/>
      <c r="E1137" s="6" t="n"/>
      <c r="F1137" s="7" t="n"/>
      <c r="G1137" s="7" t="n"/>
      <c r="H1137" s="8" t="n"/>
      <c r="I1137" s="9">
        <f>IF($A1137="","",SUMIFS(Ventes_Encaissements!$D$6:$D$3005,Ventes_Encaissements!$B$6:$B$3005,$A1137))</f>
        <v/>
      </c>
      <c r="J1137" s="9">
        <f>IF($A1137="","",$H1137-$I1137)</f>
        <v/>
      </c>
      <c r="K1137" s="10">
        <f>IF($A1137="","",IF($I1137=0,"",_xludf.AGGREGATE(14,6,Ventes_Encaissements!$C$6:$C$3005/(Ventes_Encaissements!$B$6:$B$3005=$A1137),1)))</f>
        <v/>
      </c>
      <c r="L1137" s="11">
        <f>IF($A1137="","",COUNTIFS(Ventes_Detail!$B$6:$B$3005,$A1137))</f>
        <v/>
      </c>
      <c r="M1137" s="12" t="n"/>
      <c r="N1137" s="12">
        <f>IF($A1137="","",IF($G1137="","",IF($M1137="Oui","Litige",IF($J1137&lt;=0,"Payé",IF($I1137&gt;0,"Partiel",IF(Listes!$B$3&gt;$G1137,"En retard","À échoir"))))))</f>
        <v/>
      </c>
      <c r="O1137" s="11">
        <f>IF($A1137="","",IF(OR($G1137="", $J1137&lt;=0),0,MAX(0,Listes!$B$3-$G1137)))</f>
        <v/>
      </c>
      <c r="P1137" s="12">
        <f>IF($A1137="","",IF($J1137&lt;=0,"Payé",IF($M1137="Oui","Litige",IF($O1137=0,"À échoir",IF($O1137&lt;=30,"0-30",IF($O1137&lt;=60,"31-60",IF($O1137&lt;=90,"61-90","90+")))))))</f>
        <v/>
      </c>
    </row>
    <row r="1138">
      <c r="A1138" s="6" t="n"/>
      <c r="B1138" s="6" t="n"/>
      <c r="C1138" s="6" t="n"/>
      <c r="D1138" s="6" t="n"/>
      <c r="E1138" s="6" t="n"/>
      <c r="F1138" s="7" t="n"/>
      <c r="G1138" s="7" t="n"/>
      <c r="H1138" s="8" t="n"/>
      <c r="I1138" s="9">
        <f>IF($A1138="","",SUMIFS(Ventes_Encaissements!$D$6:$D$3005,Ventes_Encaissements!$B$6:$B$3005,$A1138))</f>
        <v/>
      </c>
      <c r="J1138" s="9">
        <f>IF($A1138="","",$H1138-$I1138)</f>
        <v/>
      </c>
      <c r="K1138" s="10">
        <f>IF($A1138="","",IF($I1138=0,"",_xludf.AGGREGATE(14,6,Ventes_Encaissements!$C$6:$C$3005/(Ventes_Encaissements!$B$6:$B$3005=$A1138),1)))</f>
        <v/>
      </c>
      <c r="L1138" s="11">
        <f>IF($A1138="","",COUNTIFS(Ventes_Detail!$B$6:$B$3005,$A1138))</f>
        <v/>
      </c>
      <c r="M1138" s="12" t="n"/>
      <c r="N1138" s="12">
        <f>IF($A1138="","",IF($G1138="","",IF($M1138="Oui","Litige",IF($J1138&lt;=0,"Payé",IF($I1138&gt;0,"Partiel",IF(Listes!$B$3&gt;$G1138,"En retard","À échoir"))))))</f>
        <v/>
      </c>
      <c r="O1138" s="11">
        <f>IF($A1138="","",IF(OR($G1138="", $J1138&lt;=0),0,MAX(0,Listes!$B$3-$G1138)))</f>
        <v/>
      </c>
      <c r="P1138" s="12">
        <f>IF($A1138="","",IF($J1138&lt;=0,"Payé",IF($M1138="Oui","Litige",IF($O1138=0,"À échoir",IF($O1138&lt;=30,"0-30",IF($O1138&lt;=60,"31-60",IF($O1138&lt;=90,"61-90","90+")))))))</f>
        <v/>
      </c>
    </row>
    <row r="1139">
      <c r="A1139" s="6" t="n"/>
      <c r="B1139" s="6" t="n"/>
      <c r="C1139" s="6" t="n"/>
      <c r="D1139" s="6" t="n"/>
      <c r="E1139" s="6" t="n"/>
      <c r="F1139" s="7" t="n"/>
      <c r="G1139" s="7" t="n"/>
      <c r="H1139" s="8" t="n"/>
      <c r="I1139" s="9">
        <f>IF($A1139="","",SUMIFS(Ventes_Encaissements!$D$6:$D$3005,Ventes_Encaissements!$B$6:$B$3005,$A1139))</f>
        <v/>
      </c>
      <c r="J1139" s="9">
        <f>IF($A1139="","",$H1139-$I1139)</f>
        <v/>
      </c>
      <c r="K1139" s="10">
        <f>IF($A1139="","",IF($I1139=0,"",_xludf.AGGREGATE(14,6,Ventes_Encaissements!$C$6:$C$3005/(Ventes_Encaissements!$B$6:$B$3005=$A1139),1)))</f>
        <v/>
      </c>
      <c r="L1139" s="11">
        <f>IF($A1139="","",COUNTIFS(Ventes_Detail!$B$6:$B$3005,$A1139))</f>
        <v/>
      </c>
      <c r="M1139" s="12" t="n"/>
      <c r="N1139" s="12">
        <f>IF($A1139="","",IF($G1139="","",IF($M1139="Oui","Litige",IF($J1139&lt;=0,"Payé",IF($I1139&gt;0,"Partiel",IF(Listes!$B$3&gt;$G1139,"En retard","À échoir"))))))</f>
        <v/>
      </c>
      <c r="O1139" s="11">
        <f>IF($A1139="","",IF(OR($G1139="", $J1139&lt;=0),0,MAX(0,Listes!$B$3-$G1139)))</f>
        <v/>
      </c>
      <c r="P1139" s="12">
        <f>IF($A1139="","",IF($J1139&lt;=0,"Payé",IF($M1139="Oui","Litige",IF($O1139=0,"À échoir",IF($O1139&lt;=30,"0-30",IF($O1139&lt;=60,"31-60",IF($O1139&lt;=90,"61-90","90+")))))))</f>
        <v/>
      </c>
    </row>
    <row r="1140">
      <c r="A1140" s="6" t="n"/>
      <c r="B1140" s="6" t="n"/>
      <c r="C1140" s="6" t="n"/>
      <c r="D1140" s="6" t="n"/>
      <c r="E1140" s="6" t="n"/>
      <c r="F1140" s="7" t="n"/>
      <c r="G1140" s="7" t="n"/>
      <c r="H1140" s="8" t="n"/>
      <c r="I1140" s="9">
        <f>IF($A1140="","",SUMIFS(Ventes_Encaissements!$D$6:$D$3005,Ventes_Encaissements!$B$6:$B$3005,$A1140))</f>
        <v/>
      </c>
      <c r="J1140" s="9">
        <f>IF($A1140="","",$H1140-$I1140)</f>
        <v/>
      </c>
      <c r="K1140" s="10">
        <f>IF($A1140="","",IF($I1140=0,"",_xludf.AGGREGATE(14,6,Ventes_Encaissements!$C$6:$C$3005/(Ventes_Encaissements!$B$6:$B$3005=$A1140),1)))</f>
        <v/>
      </c>
      <c r="L1140" s="11">
        <f>IF($A1140="","",COUNTIFS(Ventes_Detail!$B$6:$B$3005,$A1140))</f>
        <v/>
      </c>
      <c r="M1140" s="12" t="n"/>
      <c r="N1140" s="12">
        <f>IF($A1140="","",IF($G1140="","",IF($M1140="Oui","Litige",IF($J1140&lt;=0,"Payé",IF($I1140&gt;0,"Partiel",IF(Listes!$B$3&gt;$G1140,"En retard","À échoir"))))))</f>
        <v/>
      </c>
      <c r="O1140" s="11">
        <f>IF($A1140="","",IF(OR($G1140="", $J1140&lt;=0),0,MAX(0,Listes!$B$3-$G1140)))</f>
        <v/>
      </c>
      <c r="P1140" s="12">
        <f>IF($A1140="","",IF($J1140&lt;=0,"Payé",IF($M1140="Oui","Litige",IF($O1140=0,"À échoir",IF($O1140&lt;=30,"0-30",IF($O1140&lt;=60,"31-60",IF($O1140&lt;=90,"61-90","90+")))))))</f>
        <v/>
      </c>
    </row>
    <row r="1141">
      <c r="A1141" s="6" t="n"/>
      <c r="B1141" s="6" t="n"/>
      <c r="C1141" s="6" t="n"/>
      <c r="D1141" s="6" t="n"/>
      <c r="E1141" s="6" t="n"/>
      <c r="F1141" s="7" t="n"/>
      <c r="G1141" s="7" t="n"/>
      <c r="H1141" s="8" t="n"/>
      <c r="I1141" s="9">
        <f>IF($A1141="","",SUMIFS(Ventes_Encaissements!$D$6:$D$3005,Ventes_Encaissements!$B$6:$B$3005,$A1141))</f>
        <v/>
      </c>
      <c r="J1141" s="9">
        <f>IF($A1141="","",$H1141-$I1141)</f>
        <v/>
      </c>
      <c r="K1141" s="10">
        <f>IF($A1141="","",IF($I1141=0,"",_xludf.AGGREGATE(14,6,Ventes_Encaissements!$C$6:$C$3005/(Ventes_Encaissements!$B$6:$B$3005=$A1141),1)))</f>
        <v/>
      </c>
      <c r="L1141" s="11">
        <f>IF($A1141="","",COUNTIFS(Ventes_Detail!$B$6:$B$3005,$A1141))</f>
        <v/>
      </c>
      <c r="M1141" s="12" t="n"/>
      <c r="N1141" s="12">
        <f>IF($A1141="","",IF($G1141="","",IF($M1141="Oui","Litige",IF($J1141&lt;=0,"Payé",IF($I1141&gt;0,"Partiel",IF(Listes!$B$3&gt;$G1141,"En retard","À échoir"))))))</f>
        <v/>
      </c>
      <c r="O1141" s="11">
        <f>IF($A1141="","",IF(OR($G1141="", $J1141&lt;=0),0,MAX(0,Listes!$B$3-$G1141)))</f>
        <v/>
      </c>
      <c r="P1141" s="12">
        <f>IF($A1141="","",IF($J1141&lt;=0,"Payé",IF($M1141="Oui","Litige",IF($O1141=0,"À échoir",IF($O1141&lt;=30,"0-30",IF($O1141&lt;=60,"31-60",IF($O1141&lt;=90,"61-90","90+")))))))</f>
        <v/>
      </c>
    </row>
    <row r="1142">
      <c r="A1142" s="6" t="n"/>
      <c r="B1142" s="6" t="n"/>
      <c r="C1142" s="6" t="n"/>
      <c r="D1142" s="6" t="n"/>
      <c r="E1142" s="6" t="n"/>
      <c r="F1142" s="7" t="n"/>
      <c r="G1142" s="7" t="n"/>
      <c r="H1142" s="8" t="n"/>
      <c r="I1142" s="9">
        <f>IF($A1142="","",SUMIFS(Ventes_Encaissements!$D$6:$D$3005,Ventes_Encaissements!$B$6:$B$3005,$A1142))</f>
        <v/>
      </c>
      <c r="J1142" s="9">
        <f>IF($A1142="","",$H1142-$I1142)</f>
        <v/>
      </c>
      <c r="K1142" s="10">
        <f>IF($A1142="","",IF($I1142=0,"",_xludf.AGGREGATE(14,6,Ventes_Encaissements!$C$6:$C$3005/(Ventes_Encaissements!$B$6:$B$3005=$A1142),1)))</f>
        <v/>
      </c>
      <c r="L1142" s="11">
        <f>IF($A1142="","",COUNTIFS(Ventes_Detail!$B$6:$B$3005,$A1142))</f>
        <v/>
      </c>
      <c r="M1142" s="12" t="n"/>
      <c r="N1142" s="12">
        <f>IF($A1142="","",IF($G1142="","",IF($M1142="Oui","Litige",IF($J1142&lt;=0,"Payé",IF($I1142&gt;0,"Partiel",IF(Listes!$B$3&gt;$G1142,"En retard","À échoir"))))))</f>
        <v/>
      </c>
      <c r="O1142" s="11">
        <f>IF($A1142="","",IF(OR($G1142="", $J1142&lt;=0),0,MAX(0,Listes!$B$3-$G1142)))</f>
        <v/>
      </c>
      <c r="P1142" s="12">
        <f>IF($A1142="","",IF($J1142&lt;=0,"Payé",IF($M1142="Oui","Litige",IF($O1142=0,"À échoir",IF($O1142&lt;=30,"0-30",IF($O1142&lt;=60,"31-60",IF($O1142&lt;=90,"61-90","90+")))))))</f>
        <v/>
      </c>
    </row>
    <row r="1143">
      <c r="A1143" s="6" t="n"/>
      <c r="B1143" s="6" t="n"/>
      <c r="C1143" s="6" t="n"/>
      <c r="D1143" s="6" t="n"/>
      <c r="E1143" s="6" t="n"/>
      <c r="F1143" s="7" t="n"/>
      <c r="G1143" s="7" t="n"/>
      <c r="H1143" s="8" t="n"/>
      <c r="I1143" s="9">
        <f>IF($A1143="","",SUMIFS(Ventes_Encaissements!$D$6:$D$3005,Ventes_Encaissements!$B$6:$B$3005,$A1143))</f>
        <v/>
      </c>
      <c r="J1143" s="9">
        <f>IF($A1143="","",$H1143-$I1143)</f>
        <v/>
      </c>
      <c r="K1143" s="10">
        <f>IF($A1143="","",IF($I1143=0,"",_xludf.AGGREGATE(14,6,Ventes_Encaissements!$C$6:$C$3005/(Ventes_Encaissements!$B$6:$B$3005=$A1143),1)))</f>
        <v/>
      </c>
      <c r="L1143" s="11">
        <f>IF($A1143="","",COUNTIFS(Ventes_Detail!$B$6:$B$3005,$A1143))</f>
        <v/>
      </c>
      <c r="M1143" s="12" t="n"/>
      <c r="N1143" s="12">
        <f>IF($A1143="","",IF($G1143="","",IF($M1143="Oui","Litige",IF($J1143&lt;=0,"Payé",IF($I1143&gt;0,"Partiel",IF(Listes!$B$3&gt;$G1143,"En retard","À échoir"))))))</f>
        <v/>
      </c>
      <c r="O1143" s="11">
        <f>IF($A1143="","",IF(OR($G1143="", $J1143&lt;=0),0,MAX(0,Listes!$B$3-$G1143)))</f>
        <v/>
      </c>
      <c r="P1143" s="12">
        <f>IF($A1143="","",IF($J1143&lt;=0,"Payé",IF($M1143="Oui","Litige",IF($O1143=0,"À échoir",IF($O1143&lt;=30,"0-30",IF($O1143&lt;=60,"31-60",IF($O1143&lt;=90,"61-90","90+")))))))</f>
        <v/>
      </c>
    </row>
    <row r="1144">
      <c r="A1144" s="6" t="n"/>
      <c r="B1144" s="6" t="n"/>
      <c r="C1144" s="6" t="n"/>
      <c r="D1144" s="6" t="n"/>
      <c r="E1144" s="6" t="n"/>
      <c r="F1144" s="7" t="n"/>
      <c r="G1144" s="7" t="n"/>
      <c r="H1144" s="8" t="n"/>
      <c r="I1144" s="9">
        <f>IF($A1144="","",SUMIFS(Ventes_Encaissements!$D$6:$D$3005,Ventes_Encaissements!$B$6:$B$3005,$A1144))</f>
        <v/>
      </c>
      <c r="J1144" s="9">
        <f>IF($A1144="","",$H1144-$I1144)</f>
        <v/>
      </c>
      <c r="K1144" s="10">
        <f>IF($A1144="","",IF($I1144=0,"",_xludf.AGGREGATE(14,6,Ventes_Encaissements!$C$6:$C$3005/(Ventes_Encaissements!$B$6:$B$3005=$A1144),1)))</f>
        <v/>
      </c>
      <c r="L1144" s="11">
        <f>IF($A1144="","",COUNTIFS(Ventes_Detail!$B$6:$B$3005,$A1144))</f>
        <v/>
      </c>
      <c r="M1144" s="12" t="n"/>
      <c r="N1144" s="12">
        <f>IF($A1144="","",IF($G1144="","",IF($M1144="Oui","Litige",IF($J1144&lt;=0,"Payé",IF($I1144&gt;0,"Partiel",IF(Listes!$B$3&gt;$G1144,"En retard","À échoir"))))))</f>
        <v/>
      </c>
      <c r="O1144" s="11">
        <f>IF($A1144="","",IF(OR($G1144="", $J1144&lt;=0),0,MAX(0,Listes!$B$3-$G1144)))</f>
        <v/>
      </c>
      <c r="P1144" s="12">
        <f>IF($A1144="","",IF($J1144&lt;=0,"Payé",IF($M1144="Oui","Litige",IF($O1144=0,"À échoir",IF($O1144&lt;=30,"0-30",IF($O1144&lt;=60,"31-60",IF($O1144&lt;=90,"61-90","90+")))))))</f>
        <v/>
      </c>
    </row>
    <row r="1145">
      <c r="A1145" s="6" t="n"/>
      <c r="B1145" s="6" t="n"/>
      <c r="C1145" s="6" t="n"/>
      <c r="D1145" s="6" t="n"/>
      <c r="E1145" s="6" t="n"/>
      <c r="F1145" s="7" t="n"/>
      <c r="G1145" s="7" t="n"/>
      <c r="H1145" s="8" t="n"/>
      <c r="I1145" s="9">
        <f>IF($A1145="","",SUMIFS(Ventes_Encaissements!$D$6:$D$3005,Ventes_Encaissements!$B$6:$B$3005,$A1145))</f>
        <v/>
      </c>
      <c r="J1145" s="9">
        <f>IF($A1145="","",$H1145-$I1145)</f>
        <v/>
      </c>
      <c r="K1145" s="10">
        <f>IF($A1145="","",IF($I1145=0,"",_xludf.AGGREGATE(14,6,Ventes_Encaissements!$C$6:$C$3005/(Ventes_Encaissements!$B$6:$B$3005=$A1145),1)))</f>
        <v/>
      </c>
      <c r="L1145" s="11">
        <f>IF($A1145="","",COUNTIFS(Ventes_Detail!$B$6:$B$3005,$A1145))</f>
        <v/>
      </c>
      <c r="M1145" s="12" t="n"/>
      <c r="N1145" s="12">
        <f>IF($A1145="","",IF($G1145="","",IF($M1145="Oui","Litige",IF($J1145&lt;=0,"Payé",IF($I1145&gt;0,"Partiel",IF(Listes!$B$3&gt;$G1145,"En retard","À échoir"))))))</f>
        <v/>
      </c>
      <c r="O1145" s="11">
        <f>IF($A1145="","",IF(OR($G1145="", $J1145&lt;=0),0,MAX(0,Listes!$B$3-$G1145)))</f>
        <v/>
      </c>
      <c r="P1145" s="12">
        <f>IF($A1145="","",IF($J1145&lt;=0,"Payé",IF($M1145="Oui","Litige",IF($O1145=0,"À échoir",IF($O1145&lt;=30,"0-30",IF($O1145&lt;=60,"31-60",IF($O1145&lt;=90,"61-90","90+")))))))</f>
        <v/>
      </c>
    </row>
    <row r="1146">
      <c r="A1146" s="6" t="n"/>
      <c r="B1146" s="6" t="n"/>
      <c r="C1146" s="6" t="n"/>
      <c r="D1146" s="6" t="n"/>
      <c r="E1146" s="6" t="n"/>
      <c r="F1146" s="7" t="n"/>
      <c r="G1146" s="7" t="n"/>
      <c r="H1146" s="8" t="n"/>
      <c r="I1146" s="9">
        <f>IF($A1146="","",SUMIFS(Ventes_Encaissements!$D$6:$D$3005,Ventes_Encaissements!$B$6:$B$3005,$A1146))</f>
        <v/>
      </c>
      <c r="J1146" s="9">
        <f>IF($A1146="","",$H1146-$I1146)</f>
        <v/>
      </c>
      <c r="K1146" s="10">
        <f>IF($A1146="","",IF($I1146=0,"",_xludf.AGGREGATE(14,6,Ventes_Encaissements!$C$6:$C$3005/(Ventes_Encaissements!$B$6:$B$3005=$A1146),1)))</f>
        <v/>
      </c>
      <c r="L1146" s="11">
        <f>IF($A1146="","",COUNTIFS(Ventes_Detail!$B$6:$B$3005,$A1146))</f>
        <v/>
      </c>
      <c r="M1146" s="12" t="n"/>
      <c r="N1146" s="12">
        <f>IF($A1146="","",IF($G1146="","",IF($M1146="Oui","Litige",IF($J1146&lt;=0,"Payé",IF($I1146&gt;0,"Partiel",IF(Listes!$B$3&gt;$G1146,"En retard","À échoir"))))))</f>
        <v/>
      </c>
      <c r="O1146" s="11">
        <f>IF($A1146="","",IF(OR($G1146="", $J1146&lt;=0),0,MAX(0,Listes!$B$3-$G1146)))</f>
        <v/>
      </c>
      <c r="P1146" s="12">
        <f>IF($A1146="","",IF($J1146&lt;=0,"Payé",IF($M1146="Oui","Litige",IF($O1146=0,"À échoir",IF($O1146&lt;=30,"0-30",IF($O1146&lt;=60,"31-60",IF($O1146&lt;=90,"61-90","90+")))))))</f>
        <v/>
      </c>
    </row>
    <row r="1147">
      <c r="A1147" s="6" t="n"/>
      <c r="B1147" s="6" t="n"/>
      <c r="C1147" s="6" t="n"/>
      <c r="D1147" s="6" t="n"/>
      <c r="E1147" s="6" t="n"/>
      <c r="F1147" s="7" t="n"/>
      <c r="G1147" s="7" t="n"/>
      <c r="H1147" s="8" t="n"/>
      <c r="I1147" s="9">
        <f>IF($A1147="","",SUMIFS(Ventes_Encaissements!$D$6:$D$3005,Ventes_Encaissements!$B$6:$B$3005,$A1147))</f>
        <v/>
      </c>
      <c r="J1147" s="9">
        <f>IF($A1147="","",$H1147-$I1147)</f>
        <v/>
      </c>
      <c r="K1147" s="10">
        <f>IF($A1147="","",IF($I1147=0,"",_xludf.AGGREGATE(14,6,Ventes_Encaissements!$C$6:$C$3005/(Ventes_Encaissements!$B$6:$B$3005=$A1147),1)))</f>
        <v/>
      </c>
      <c r="L1147" s="11">
        <f>IF($A1147="","",COUNTIFS(Ventes_Detail!$B$6:$B$3005,$A1147))</f>
        <v/>
      </c>
      <c r="M1147" s="12" t="n"/>
      <c r="N1147" s="12">
        <f>IF($A1147="","",IF($G1147="","",IF($M1147="Oui","Litige",IF($J1147&lt;=0,"Payé",IF($I1147&gt;0,"Partiel",IF(Listes!$B$3&gt;$G1147,"En retard","À échoir"))))))</f>
        <v/>
      </c>
      <c r="O1147" s="11">
        <f>IF($A1147="","",IF(OR($G1147="", $J1147&lt;=0),0,MAX(0,Listes!$B$3-$G1147)))</f>
        <v/>
      </c>
      <c r="P1147" s="12">
        <f>IF($A1147="","",IF($J1147&lt;=0,"Payé",IF($M1147="Oui","Litige",IF($O1147=0,"À échoir",IF($O1147&lt;=30,"0-30",IF($O1147&lt;=60,"31-60",IF($O1147&lt;=90,"61-90","90+")))))))</f>
        <v/>
      </c>
    </row>
    <row r="1148">
      <c r="A1148" s="6" t="n"/>
      <c r="B1148" s="6" t="n"/>
      <c r="C1148" s="6" t="n"/>
      <c r="D1148" s="6" t="n"/>
      <c r="E1148" s="6" t="n"/>
      <c r="F1148" s="7" t="n"/>
      <c r="G1148" s="7" t="n"/>
      <c r="H1148" s="8" t="n"/>
      <c r="I1148" s="9">
        <f>IF($A1148="","",SUMIFS(Ventes_Encaissements!$D$6:$D$3005,Ventes_Encaissements!$B$6:$B$3005,$A1148))</f>
        <v/>
      </c>
      <c r="J1148" s="9">
        <f>IF($A1148="","",$H1148-$I1148)</f>
        <v/>
      </c>
      <c r="K1148" s="10">
        <f>IF($A1148="","",IF($I1148=0,"",_xludf.AGGREGATE(14,6,Ventes_Encaissements!$C$6:$C$3005/(Ventes_Encaissements!$B$6:$B$3005=$A1148),1)))</f>
        <v/>
      </c>
      <c r="L1148" s="11">
        <f>IF($A1148="","",COUNTIFS(Ventes_Detail!$B$6:$B$3005,$A1148))</f>
        <v/>
      </c>
      <c r="M1148" s="12" t="n"/>
      <c r="N1148" s="12">
        <f>IF($A1148="","",IF($G1148="","",IF($M1148="Oui","Litige",IF($J1148&lt;=0,"Payé",IF($I1148&gt;0,"Partiel",IF(Listes!$B$3&gt;$G1148,"En retard","À échoir"))))))</f>
        <v/>
      </c>
      <c r="O1148" s="11">
        <f>IF($A1148="","",IF(OR($G1148="", $J1148&lt;=0),0,MAX(0,Listes!$B$3-$G1148)))</f>
        <v/>
      </c>
      <c r="P1148" s="12">
        <f>IF($A1148="","",IF($J1148&lt;=0,"Payé",IF($M1148="Oui","Litige",IF($O1148=0,"À échoir",IF($O1148&lt;=30,"0-30",IF($O1148&lt;=60,"31-60",IF($O1148&lt;=90,"61-90","90+")))))))</f>
        <v/>
      </c>
    </row>
    <row r="1149">
      <c r="A1149" s="6" t="n"/>
      <c r="B1149" s="6" t="n"/>
      <c r="C1149" s="6" t="n"/>
      <c r="D1149" s="6" t="n"/>
      <c r="E1149" s="6" t="n"/>
      <c r="F1149" s="7" t="n"/>
      <c r="G1149" s="7" t="n"/>
      <c r="H1149" s="8" t="n"/>
      <c r="I1149" s="9">
        <f>IF($A1149="","",SUMIFS(Ventes_Encaissements!$D$6:$D$3005,Ventes_Encaissements!$B$6:$B$3005,$A1149))</f>
        <v/>
      </c>
      <c r="J1149" s="9">
        <f>IF($A1149="","",$H1149-$I1149)</f>
        <v/>
      </c>
      <c r="K1149" s="10">
        <f>IF($A1149="","",IF($I1149=0,"",_xludf.AGGREGATE(14,6,Ventes_Encaissements!$C$6:$C$3005/(Ventes_Encaissements!$B$6:$B$3005=$A1149),1)))</f>
        <v/>
      </c>
      <c r="L1149" s="11">
        <f>IF($A1149="","",COUNTIFS(Ventes_Detail!$B$6:$B$3005,$A1149))</f>
        <v/>
      </c>
      <c r="M1149" s="12" t="n"/>
      <c r="N1149" s="12">
        <f>IF($A1149="","",IF($G1149="","",IF($M1149="Oui","Litige",IF($J1149&lt;=0,"Payé",IF($I1149&gt;0,"Partiel",IF(Listes!$B$3&gt;$G1149,"En retard","À échoir"))))))</f>
        <v/>
      </c>
      <c r="O1149" s="11">
        <f>IF($A1149="","",IF(OR($G1149="", $J1149&lt;=0),0,MAX(0,Listes!$B$3-$G1149)))</f>
        <v/>
      </c>
      <c r="P1149" s="12">
        <f>IF($A1149="","",IF($J1149&lt;=0,"Payé",IF($M1149="Oui","Litige",IF($O1149=0,"À échoir",IF($O1149&lt;=30,"0-30",IF($O1149&lt;=60,"31-60",IF($O1149&lt;=90,"61-90","90+")))))))</f>
        <v/>
      </c>
    </row>
    <row r="1150">
      <c r="A1150" s="6" t="n"/>
      <c r="B1150" s="6" t="n"/>
      <c r="C1150" s="6" t="n"/>
      <c r="D1150" s="6" t="n"/>
      <c r="E1150" s="6" t="n"/>
      <c r="F1150" s="7" t="n"/>
      <c r="G1150" s="7" t="n"/>
      <c r="H1150" s="8" t="n"/>
      <c r="I1150" s="9">
        <f>IF($A1150="","",SUMIFS(Ventes_Encaissements!$D$6:$D$3005,Ventes_Encaissements!$B$6:$B$3005,$A1150))</f>
        <v/>
      </c>
      <c r="J1150" s="9">
        <f>IF($A1150="","",$H1150-$I1150)</f>
        <v/>
      </c>
      <c r="K1150" s="10">
        <f>IF($A1150="","",IF($I1150=0,"",_xludf.AGGREGATE(14,6,Ventes_Encaissements!$C$6:$C$3005/(Ventes_Encaissements!$B$6:$B$3005=$A1150),1)))</f>
        <v/>
      </c>
      <c r="L1150" s="11">
        <f>IF($A1150="","",COUNTIFS(Ventes_Detail!$B$6:$B$3005,$A1150))</f>
        <v/>
      </c>
      <c r="M1150" s="12" t="n"/>
      <c r="N1150" s="12">
        <f>IF($A1150="","",IF($G1150="","",IF($M1150="Oui","Litige",IF($J1150&lt;=0,"Payé",IF($I1150&gt;0,"Partiel",IF(Listes!$B$3&gt;$G1150,"En retard","À échoir"))))))</f>
        <v/>
      </c>
      <c r="O1150" s="11">
        <f>IF($A1150="","",IF(OR($G1150="", $J1150&lt;=0),0,MAX(0,Listes!$B$3-$G1150)))</f>
        <v/>
      </c>
      <c r="P1150" s="12">
        <f>IF($A1150="","",IF($J1150&lt;=0,"Payé",IF($M1150="Oui","Litige",IF($O1150=0,"À échoir",IF($O1150&lt;=30,"0-30",IF($O1150&lt;=60,"31-60",IF($O1150&lt;=90,"61-90","90+")))))))</f>
        <v/>
      </c>
    </row>
    <row r="1151">
      <c r="A1151" s="6" t="n"/>
      <c r="B1151" s="6" t="n"/>
      <c r="C1151" s="6" t="n"/>
      <c r="D1151" s="6" t="n"/>
      <c r="E1151" s="6" t="n"/>
      <c r="F1151" s="7" t="n"/>
      <c r="G1151" s="7" t="n"/>
      <c r="H1151" s="8" t="n"/>
      <c r="I1151" s="9">
        <f>IF($A1151="","",SUMIFS(Ventes_Encaissements!$D$6:$D$3005,Ventes_Encaissements!$B$6:$B$3005,$A1151))</f>
        <v/>
      </c>
      <c r="J1151" s="9">
        <f>IF($A1151="","",$H1151-$I1151)</f>
        <v/>
      </c>
      <c r="K1151" s="10">
        <f>IF($A1151="","",IF($I1151=0,"",_xludf.AGGREGATE(14,6,Ventes_Encaissements!$C$6:$C$3005/(Ventes_Encaissements!$B$6:$B$3005=$A1151),1)))</f>
        <v/>
      </c>
      <c r="L1151" s="11">
        <f>IF($A1151="","",COUNTIFS(Ventes_Detail!$B$6:$B$3005,$A1151))</f>
        <v/>
      </c>
      <c r="M1151" s="12" t="n"/>
      <c r="N1151" s="12">
        <f>IF($A1151="","",IF($G1151="","",IF($M1151="Oui","Litige",IF($J1151&lt;=0,"Payé",IF($I1151&gt;0,"Partiel",IF(Listes!$B$3&gt;$G1151,"En retard","À échoir"))))))</f>
        <v/>
      </c>
      <c r="O1151" s="11">
        <f>IF($A1151="","",IF(OR($G1151="", $J1151&lt;=0),0,MAX(0,Listes!$B$3-$G1151)))</f>
        <v/>
      </c>
      <c r="P1151" s="12">
        <f>IF($A1151="","",IF($J1151&lt;=0,"Payé",IF($M1151="Oui","Litige",IF($O1151=0,"À échoir",IF($O1151&lt;=30,"0-30",IF($O1151&lt;=60,"31-60",IF($O1151&lt;=90,"61-90","90+")))))))</f>
        <v/>
      </c>
    </row>
    <row r="1152">
      <c r="A1152" s="6" t="n"/>
      <c r="B1152" s="6" t="n"/>
      <c r="C1152" s="6" t="n"/>
      <c r="D1152" s="6" t="n"/>
      <c r="E1152" s="6" t="n"/>
      <c r="F1152" s="7" t="n"/>
      <c r="G1152" s="7" t="n"/>
      <c r="H1152" s="8" t="n"/>
      <c r="I1152" s="9">
        <f>IF($A1152="","",SUMIFS(Ventes_Encaissements!$D$6:$D$3005,Ventes_Encaissements!$B$6:$B$3005,$A1152))</f>
        <v/>
      </c>
      <c r="J1152" s="9">
        <f>IF($A1152="","",$H1152-$I1152)</f>
        <v/>
      </c>
      <c r="K1152" s="10">
        <f>IF($A1152="","",IF($I1152=0,"",_xludf.AGGREGATE(14,6,Ventes_Encaissements!$C$6:$C$3005/(Ventes_Encaissements!$B$6:$B$3005=$A1152),1)))</f>
        <v/>
      </c>
      <c r="L1152" s="11">
        <f>IF($A1152="","",COUNTIFS(Ventes_Detail!$B$6:$B$3005,$A1152))</f>
        <v/>
      </c>
      <c r="M1152" s="12" t="n"/>
      <c r="N1152" s="12">
        <f>IF($A1152="","",IF($G1152="","",IF($M1152="Oui","Litige",IF($J1152&lt;=0,"Payé",IF($I1152&gt;0,"Partiel",IF(Listes!$B$3&gt;$G1152,"En retard","À échoir"))))))</f>
        <v/>
      </c>
      <c r="O1152" s="11">
        <f>IF($A1152="","",IF(OR($G1152="", $J1152&lt;=0),0,MAX(0,Listes!$B$3-$G1152)))</f>
        <v/>
      </c>
      <c r="P1152" s="12">
        <f>IF($A1152="","",IF($J1152&lt;=0,"Payé",IF($M1152="Oui","Litige",IF($O1152=0,"À échoir",IF($O1152&lt;=30,"0-30",IF($O1152&lt;=60,"31-60",IF($O1152&lt;=90,"61-90","90+")))))))</f>
        <v/>
      </c>
    </row>
    <row r="1153">
      <c r="A1153" s="6" t="n"/>
      <c r="B1153" s="6" t="n"/>
      <c r="C1153" s="6" t="n"/>
      <c r="D1153" s="6" t="n"/>
      <c r="E1153" s="6" t="n"/>
      <c r="F1153" s="7" t="n"/>
      <c r="G1153" s="7" t="n"/>
      <c r="H1153" s="8" t="n"/>
      <c r="I1153" s="9">
        <f>IF($A1153="","",SUMIFS(Ventes_Encaissements!$D$6:$D$3005,Ventes_Encaissements!$B$6:$B$3005,$A1153))</f>
        <v/>
      </c>
      <c r="J1153" s="9">
        <f>IF($A1153="","",$H1153-$I1153)</f>
        <v/>
      </c>
      <c r="K1153" s="10">
        <f>IF($A1153="","",IF($I1153=0,"",_xludf.AGGREGATE(14,6,Ventes_Encaissements!$C$6:$C$3005/(Ventes_Encaissements!$B$6:$B$3005=$A1153),1)))</f>
        <v/>
      </c>
      <c r="L1153" s="11">
        <f>IF($A1153="","",COUNTIFS(Ventes_Detail!$B$6:$B$3005,$A1153))</f>
        <v/>
      </c>
      <c r="M1153" s="12" t="n"/>
      <c r="N1153" s="12">
        <f>IF($A1153="","",IF($G1153="","",IF($M1153="Oui","Litige",IF($J1153&lt;=0,"Payé",IF($I1153&gt;0,"Partiel",IF(Listes!$B$3&gt;$G1153,"En retard","À échoir"))))))</f>
        <v/>
      </c>
      <c r="O1153" s="11">
        <f>IF($A1153="","",IF(OR($G1153="", $J1153&lt;=0),0,MAX(0,Listes!$B$3-$G1153)))</f>
        <v/>
      </c>
      <c r="P1153" s="12">
        <f>IF($A1153="","",IF($J1153&lt;=0,"Payé",IF($M1153="Oui","Litige",IF($O1153=0,"À échoir",IF($O1153&lt;=30,"0-30",IF($O1153&lt;=60,"31-60",IF($O1153&lt;=90,"61-90","90+")))))))</f>
        <v/>
      </c>
    </row>
    <row r="1154">
      <c r="A1154" s="6" t="n"/>
      <c r="B1154" s="6" t="n"/>
      <c r="C1154" s="6" t="n"/>
      <c r="D1154" s="6" t="n"/>
      <c r="E1154" s="6" t="n"/>
      <c r="F1154" s="7" t="n"/>
      <c r="G1154" s="7" t="n"/>
      <c r="H1154" s="8" t="n"/>
      <c r="I1154" s="9">
        <f>IF($A1154="","",SUMIFS(Ventes_Encaissements!$D$6:$D$3005,Ventes_Encaissements!$B$6:$B$3005,$A1154))</f>
        <v/>
      </c>
      <c r="J1154" s="9">
        <f>IF($A1154="","",$H1154-$I1154)</f>
        <v/>
      </c>
      <c r="K1154" s="10">
        <f>IF($A1154="","",IF($I1154=0,"",_xludf.AGGREGATE(14,6,Ventes_Encaissements!$C$6:$C$3005/(Ventes_Encaissements!$B$6:$B$3005=$A1154),1)))</f>
        <v/>
      </c>
      <c r="L1154" s="11">
        <f>IF($A1154="","",COUNTIFS(Ventes_Detail!$B$6:$B$3005,$A1154))</f>
        <v/>
      </c>
      <c r="M1154" s="12" t="n"/>
      <c r="N1154" s="12">
        <f>IF($A1154="","",IF($G1154="","",IF($M1154="Oui","Litige",IF($J1154&lt;=0,"Payé",IF($I1154&gt;0,"Partiel",IF(Listes!$B$3&gt;$G1154,"En retard","À échoir"))))))</f>
        <v/>
      </c>
      <c r="O1154" s="11">
        <f>IF($A1154="","",IF(OR($G1154="", $J1154&lt;=0),0,MAX(0,Listes!$B$3-$G1154)))</f>
        <v/>
      </c>
      <c r="P1154" s="12">
        <f>IF($A1154="","",IF($J1154&lt;=0,"Payé",IF($M1154="Oui","Litige",IF($O1154=0,"À échoir",IF($O1154&lt;=30,"0-30",IF($O1154&lt;=60,"31-60",IF($O1154&lt;=90,"61-90","90+")))))))</f>
        <v/>
      </c>
    </row>
    <row r="1155">
      <c r="A1155" s="6" t="n"/>
      <c r="B1155" s="6" t="n"/>
      <c r="C1155" s="6" t="n"/>
      <c r="D1155" s="6" t="n"/>
      <c r="E1155" s="6" t="n"/>
      <c r="F1155" s="7" t="n"/>
      <c r="G1155" s="7" t="n"/>
      <c r="H1155" s="8" t="n"/>
      <c r="I1155" s="9">
        <f>IF($A1155="","",SUMIFS(Ventes_Encaissements!$D$6:$D$3005,Ventes_Encaissements!$B$6:$B$3005,$A1155))</f>
        <v/>
      </c>
      <c r="J1155" s="9">
        <f>IF($A1155="","",$H1155-$I1155)</f>
        <v/>
      </c>
      <c r="K1155" s="10">
        <f>IF($A1155="","",IF($I1155=0,"",_xludf.AGGREGATE(14,6,Ventes_Encaissements!$C$6:$C$3005/(Ventes_Encaissements!$B$6:$B$3005=$A1155),1)))</f>
        <v/>
      </c>
      <c r="L1155" s="11">
        <f>IF($A1155="","",COUNTIFS(Ventes_Detail!$B$6:$B$3005,$A1155))</f>
        <v/>
      </c>
      <c r="M1155" s="12" t="n"/>
      <c r="N1155" s="12">
        <f>IF($A1155="","",IF($G1155="","",IF($M1155="Oui","Litige",IF($J1155&lt;=0,"Payé",IF($I1155&gt;0,"Partiel",IF(Listes!$B$3&gt;$G1155,"En retard","À échoir"))))))</f>
        <v/>
      </c>
      <c r="O1155" s="11">
        <f>IF($A1155="","",IF(OR($G1155="", $J1155&lt;=0),0,MAX(0,Listes!$B$3-$G1155)))</f>
        <v/>
      </c>
      <c r="P1155" s="12">
        <f>IF($A1155="","",IF($J1155&lt;=0,"Payé",IF($M1155="Oui","Litige",IF($O1155=0,"À échoir",IF($O1155&lt;=30,"0-30",IF($O1155&lt;=60,"31-60",IF($O1155&lt;=90,"61-90","90+")))))))</f>
        <v/>
      </c>
    </row>
    <row r="1156">
      <c r="A1156" s="6" t="n"/>
      <c r="B1156" s="6" t="n"/>
      <c r="C1156" s="6" t="n"/>
      <c r="D1156" s="6" t="n"/>
      <c r="E1156" s="6" t="n"/>
      <c r="F1156" s="7" t="n"/>
      <c r="G1156" s="7" t="n"/>
      <c r="H1156" s="8" t="n"/>
      <c r="I1156" s="9">
        <f>IF($A1156="","",SUMIFS(Ventes_Encaissements!$D$6:$D$3005,Ventes_Encaissements!$B$6:$B$3005,$A1156))</f>
        <v/>
      </c>
      <c r="J1156" s="9">
        <f>IF($A1156="","",$H1156-$I1156)</f>
        <v/>
      </c>
      <c r="K1156" s="10">
        <f>IF($A1156="","",IF($I1156=0,"",_xludf.AGGREGATE(14,6,Ventes_Encaissements!$C$6:$C$3005/(Ventes_Encaissements!$B$6:$B$3005=$A1156),1)))</f>
        <v/>
      </c>
      <c r="L1156" s="11">
        <f>IF($A1156="","",COUNTIFS(Ventes_Detail!$B$6:$B$3005,$A1156))</f>
        <v/>
      </c>
      <c r="M1156" s="12" t="n"/>
      <c r="N1156" s="12">
        <f>IF($A1156="","",IF($G1156="","",IF($M1156="Oui","Litige",IF($J1156&lt;=0,"Payé",IF($I1156&gt;0,"Partiel",IF(Listes!$B$3&gt;$G1156,"En retard","À échoir"))))))</f>
        <v/>
      </c>
      <c r="O1156" s="11">
        <f>IF($A1156="","",IF(OR($G1156="", $J1156&lt;=0),0,MAX(0,Listes!$B$3-$G1156)))</f>
        <v/>
      </c>
      <c r="P1156" s="12">
        <f>IF($A1156="","",IF($J1156&lt;=0,"Payé",IF($M1156="Oui","Litige",IF($O1156=0,"À échoir",IF($O1156&lt;=30,"0-30",IF($O1156&lt;=60,"31-60",IF($O1156&lt;=90,"61-90","90+")))))))</f>
        <v/>
      </c>
    </row>
    <row r="1157">
      <c r="A1157" s="6" t="n"/>
      <c r="B1157" s="6" t="n"/>
      <c r="C1157" s="6" t="n"/>
      <c r="D1157" s="6" t="n"/>
      <c r="E1157" s="6" t="n"/>
      <c r="F1157" s="7" t="n"/>
      <c r="G1157" s="7" t="n"/>
      <c r="H1157" s="8" t="n"/>
      <c r="I1157" s="9">
        <f>IF($A1157="","",SUMIFS(Ventes_Encaissements!$D$6:$D$3005,Ventes_Encaissements!$B$6:$B$3005,$A1157))</f>
        <v/>
      </c>
      <c r="J1157" s="9">
        <f>IF($A1157="","",$H1157-$I1157)</f>
        <v/>
      </c>
      <c r="K1157" s="10">
        <f>IF($A1157="","",IF($I1157=0,"",_xludf.AGGREGATE(14,6,Ventes_Encaissements!$C$6:$C$3005/(Ventes_Encaissements!$B$6:$B$3005=$A1157),1)))</f>
        <v/>
      </c>
      <c r="L1157" s="11">
        <f>IF($A1157="","",COUNTIFS(Ventes_Detail!$B$6:$B$3005,$A1157))</f>
        <v/>
      </c>
      <c r="M1157" s="12" t="n"/>
      <c r="N1157" s="12">
        <f>IF($A1157="","",IF($G1157="","",IF($M1157="Oui","Litige",IF($J1157&lt;=0,"Payé",IF($I1157&gt;0,"Partiel",IF(Listes!$B$3&gt;$G1157,"En retard","À échoir"))))))</f>
        <v/>
      </c>
      <c r="O1157" s="11">
        <f>IF($A1157="","",IF(OR($G1157="", $J1157&lt;=0),0,MAX(0,Listes!$B$3-$G1157)))</f>
        <v/>
      </c>
      <c r="P1157" s="12">
        <f>IF($A1157="","",IF($J1157&lt;=0,"Payé",IF($M1157="Oui","Litige",IF($O1157=0,"À échoir",IF($O1157&lt;=30,"0-30",IF($O1157&lt;=60,"31-60",IF($O1157&lt;=90,"61-90","90+")))))))</f>
        <v/>
      </c>
    </row>
    <row r="1158">
      <c r="A1158" s="6" t="n"/>
      <c r="B1158" s="6" t="n"/>
      <c r="C1158" s="6" t="n"/>
      <c r="D1158" s="6" t="n"/>
      <c r="E1158" s="6" t="n"/>
      <c r="F1158" s="7" t="n"/>
      <c r="G1158" s="7" t="n"/>
      <c r="H1158" s="8" t="n"/>
      <c r="I1158" s="9">
        <f>IF($A1158="","",SUMIFS(Ventes_Encaissements!$D$6:$D$3005,Ventes_Encaissements!$B$6:$B$3005,$A1158))</f>
        <v/>
      </c>
      <c r="J1158" s="9">
        <f>IF($A1158="","",$H1158-$I1158)</f>
        <v/>
      </c>
      <c r="K1158" s="10">
        <f>IF($A1158="","",IF($I1158=0,"",_xludf.AGGREGATE(14,6,Ventes_Encaissements!$C$6:$C$3005/(Ventes_Encaissements!$B$6:$B$3005=$A1158),1)))</f>
        <v/>
      </c>
      <c r="L1158" s="11">
        <f>IF($A1158="","",COUNTIFS(Ventes_Detail!$B$6:$B$3005,$A1158))</f>
        <v/>
      </c>
      <c r="M1158" s="12" t="n"/>
      <c r="N1158" s="12">
        <f>IF($A1158="","",IF($G1158="","",IF($M1158="Oui","Litige",IF($J1158&lt;=0,"Payé",IF($I1158&gt;0,"Partiel",IF(Listes!$B$3&gt;$G1158,"En retard","À échoir"))))))</f>
        <v/>
      </c>
      <c r="O1158" s="11">
        <f>IF($A1158="","",IF(OR($G1158="", $J1158&lt;=0),0,MAX(0,Listes!$B$3-$G1158)))</f>
        <v/>
      </c>
      <c r="P1158" s="12">
        <f>IF($A1158="","",IF($J1158&lt;=0,"Payé",IF($M1158="Oui","Litige",IF($O1158=0,"À échoir",IF($O1158&lt;=30,"0-30",IF($O1158&lt;=60,"31-60",IF($O1158&lt;=90,"61-90","90+")))))))</f>
        <v/>
      </c>
    </row>
    <row r="1159">
      <c r="A1159" s="6" t="n"/>
      <c r="B1159" s="6" t="n"/>
      <c r="C1159" s="6" t="n"/>
      <c r="D1159" s="6" t="n"/>
      <c r="E1159" s="6" t="n"/>
      <c r="F1159" s="7" t="n"/>
      <c r="G1159" s="7" t="n"/>
      <c r="H1159" s="8" t="n"/>
      <c r="I1159" s="9">
        <f>IF($A1159="","",SUMIFS(Ventes_Encaissements!$D$6:$D$3005,Ventes_Encaissements!$B$6:$B$3005,$A1159))</f>
        <v/>
      </c>
      <c r="J1159" s="9">
        <f>IF($A1159="","",$H1159-$I1159)</f>
        <v/>
      </c>
      <c r="K1159" s="10">
        <f>IF($A1159="","",IF($I1159=0,"",_xludf.AGGREGATE(14,6,Ventes_Encaissements!$C$6:$C$3005/(Ventes_Encaissements!$B$6:$B$3005=$A1159),1)))</f>
        <v/>
      </c>
      <c r="L1159" s="11">
        <f>IF($A1159="","",COUNTIFS(Ventes_Detail!$B$6:$B$3005,$A1159))</f>
        <v/>
      </c>
      <c r="M1159" s="12" t="n"/>
      <c r="N1159" s="12">
        <f>IF($A1159="","",IF($G1159="","",IF($M1159="Oui","Litige",IF($J1159&lt;=0,"Payé",IF($I1159&gt;0,"Partiel",IF(Listes!$B$3&gt;$G1159,"En retard","À échoir"))))))</f>
        <v/>
      </c>
      <c r="O1159" s="11">
        <f>IF($A1159="","",IF(OR($G1159="", $J1159&lt;=0),0,MAX(0,Listes!$B$3-$G1159)))</f>
        <v/>
      </c>
      <c r="P1159" s="12">
        <f>IF($A1159="","",IF($J1159&lt;=0,"Payé",IF($M1159="Oui","Litige",IF($O1159=0,"À échoir",IF($O1159&lt;=30,"0-30",IF($O1159&lt;=60,"31-60",IF($O1159&lt;=90,"61-90","90+")))))))</f>
        <v/>
      </c>
    </row>
    <row r="1160">
      <c r="A1160" s="6" t="n"/>
      <c r="B1160" s="6" t="n"/>
      <c r="C1160" s="6" t="n"/>
      <c r="D1160" s="6" t="n"/>
      <c r="E1160" s="6" t="n"/>
      <c r="F1160" s="7" t="n"/>
      <c r="G1160" s="7" t="n"/>
      <c r="H1160" s="8" t="n"/>
      <c r="I1160" s="9">
        <f>IF($A1160="","",SUMIFS(Ventes_Encaissements!$D$6:$D$3005,Ventes_Encaissements!$B$6:$B$3005,$A1160))</f>
        <v/>
      </c>
      <c r="J1160" s="9">
        <f>IF($A1160="","",$H1160-$I1160)</f>
        <v/>
      </c>
      <c r="K1160" s="10">
        <f>IF($A1160="","",IF($I1160=0,"",_xludf.AGGREGATE(14,6,Ventes_Encaissements!$C$6:$C$3005/(Ventes_Encaissements!$B$6:$B$3005=$A1160),1)))</f>
        <v/>
      </c>
      <c r="L1160" s="11">
        <f>IF($A1160="","",COUNTIFS(Ventes_Detail!$B$6:$B$3005,$A1160))</f>
        <v/>
      </c>
      <c r="M1160" s="12" t="n"/>
      <c r="N1160" s="12">
        <f>IF($A1160="","",IF($G1160="","",IF($M1160="Oui","Litige",IF($J1160&lt;=0,"Payé",IF($I1160&gt;0,"Partiel",IF(Listes!$B$3&gt;$G1160,"En retard","À échoir"))))))</f>
        <v/>
      </c>
      <c r="O1160" s="11">
        <f>IF($A1160="","",IF(OR($G1160="", $J1160&lt;=0),0,MAX(0,Listes!$B$3-$G1160)))</f>
        <v/>
      </c>
      <c r="P1160" s="12">
        <f>IF($A1160="","",IF($J1160&lt;=0,"Payé",IF($M1160="Oui","Litige",IF($O1160=0,"À échoir",IF($O1160&lt;=30,"0-30",IF($O1160&lt;=60,"31-60",IF($O1160&lt;=90,"61-90","90+")))))))</f>
        <v/>
      </c>
    </row>
    <row r="1161">
      <c r="A1161" s="6" t="n"/>
      <c r="B1161" s="6" t="n"/>
      <c r="C1161" s="6" t="n"/>
      <c r="D1161" s="6" t="n"/>
      <c r="E1161" s="6" t="n"/>
      <c r="F1161" s="7" t="n"/>
      <c r="G1161" s="7" t="n"/>
      <c r="H1161" s="8" t="n"/>
      <c r="I1161" s="9">
        <f>IF($A1161="","",SUMIFS(Ventes_Encaissements!$D$6:$D$3005,Ventes_Encaissements!$B$6:$B$3005,$A1161))</f>
        <v/>
      </c>
      <c r="J1161" s="9">
        <f>IF($A1161="","",$H1161-$I1161)</f>
        <v/>
      </c>
      <c r="K1161" s="10">
        <f>IF($A1161="","",IF($I1161=0,"",_xludf.AGGREGATE(14,6,Ventes_Encaissements!$C$6:$C$3005/(Ventes_Encaissements!$B$6:$B$3005=$A1161),1)))</f>
        <v/>
      </c>
      <c r="L1161" s="11">
        <f>IF($A1161="","",COUNTIFS(Ventes_Detail!$B$6:$B$3005,$A1161))</f>
        <v/>
      </c>
      <c r="M1161" s="12" t="n"/>
      <c r="N1161" s="12">
        <f>IF($A1161="","",IF($G1161="","",IF($M1161="Oui","Litige",IF($J1161&lt;=0,"Payé",IF($I1161&gt;0,"Partiel",IF(Listes!$B$3&gt;$G1161,"En retard","À échoir"))))))</f>
        <v/>
      </c>
      <c r="O1161" s="11">
        <f>IF($A1161="","",IF(OR($G1161="", $J1161&lt;=0),0,MAX(0,Listes!$B$3-$G1161)))</f>
        <v/>
      </c>
      <c r="P1161" s="12">
        <f>IF($A1161="","",IF($J1161&lt;=0,"Payé",IF($M1161="Oui","Litige",IF($O1161=0,"À échoir",IF($O1161&lt;=30,"0-30",IF($O1161&lt;=60,"31-60",IF($O1161&lt;=90,"61-90","90+")))))))</f>
        <v/>
      </c>
    </row>
    <row r="1162">
      <c r="A1162" s="6" t="n"/>
      <c r="B1162" s="6" t="n"/>
      <c r="C1162" s="6" t="n"/>
      <c r="D1162" s="6" t="n"/>
      <c r="E1162" s="6" t="n"/>
      <c r="F1162" s="7" t="n"/>
      <c r="G1162" s="7" t="n"/>
      <c r="H1162" s="8" t="n"/>
      <c r="I1162" s="9">
        <f>IF($A1162="","",SUMIFS(Ventes_Encaissements!$D$6:$D$3005,Ventes_Encaissements!$B$6:$B$3005,$A1162))</f>
        <v/>
      </c>
      <c r="J1162" s="9">
        <f>IF($A1162="","",$H1162-$I1162)</f>
        <v/>
      </c>
      <c r="K1162" s="10">
        <f>IF($A1162="","",IF($I1162=0,"",_xludf.AGGREGATE(14,6,Ventes_Encaissements!$C$6:$C$3005/(Ventes_Encaissements!$B$6:$B$3005=$A1162),1)))</f>
        <v/>
      </c>
      <c r="L1162" s="11">
        <f>IF($A1162="","",COUNTIFS(Ventes_Detail!$B$6:$B$3005,$A1162))</f>
        <v/>
      </c>
      <c r="M1162" s="12" t="n"/>
      <c r="N1162" s="12">
        <f>IF($A1162="","",IF($G1162="","",IF($M1162="Oui","Litige",IF($J1162&lt;=0,"Payé",IF($I1162&gt;0,"Partiel",IF(Listes!$B$3&gt;$G1162,"En retard","À échoir"))))))</f>
        <v/>
      </c>
      <c r="O1162" s="11">
        <f>IF($A1162="","",IF(OR($G1162="", $J1162&lt;=0),0,MAX(0,Listes!$B$3-$G1162)))</f>
        <v/>
      </c>
      <c r="P1162" s="12">
        <f>IF($A1162="","",IF($J1162&lt;=0,"Payé",IF($M1162="Oui","Litige",IF($O1162=0,"À échoir",IF($O1162&lt;=30,"0-30",IF($O1162&lt;=60,"31-60",IF($O1162&lt;=90,"61-90","90+")))))))</f>
        <v/>
      </c>
    </row>
    <row r="1163">
      <c r="A1163" s="6" t="n"/>
      <c r="B1163" s="6" t="n"/>
      <c r="C1163" s="6" t="n"/>
      <c r="D1163" s="6" t="n"/>
      <c r="E1163" s="6" t="n"/>
      <c r="F1163" s="7" t="n"/>
      <c r="G1163" s="7" t="n"/>
      <c r="H1163" s="8" t="n"/>
      <c r="I1163" s="9">
        <f>IF($A1163="","",SUMIFS(Ventes_Encaissements!$D$6:$D$3005,Ventes_Encaissements!$B$6:$B$3005,$A1163))</f>
        <v/>
      </c>
      <c r="J1163" s="9">
        <f>IF($A1163="","",$H1163-$I1163)</f>
        <v/>
      </c>
      <c r="K1163" s="10">
        <f>IF($A1163="","",IF($I1163=0,"",_xludf.AGGREGATE(14,6,Ventes_Encaissements!$C$6:$C$3005/(Ventes_Encaissements!$B$6:$B$3005=$A1163),1)))</f>
        <v/>
      </c>
      <c r="L1163" s="11">
        <f>IF($A1163="","",COUNTIFS(Ventes_Detail!$B$6:$B$3005,$A1163))</f>
        <v/>
      </c>
      <c r="M1163" s="12" t="n"/>
      <c r="N1163" s="12">
        <f>IF($A1163="","",IF($G1163="","",IF($M1163="Oui","Litige",IF($J1163&lt;=0,"Payé",IF($I1163&gt;0,"Partiel",IF(Listes!$B$3&gt;$G1163,"En retard","À échoir"))))))</f>
        <v/>
      </c>
      <c r="O1163" s="11">
        <f>IF($A1163="","",IF(OR($G1163="", $J1163&lt;=0),0,MAX(0,Listes!$B$3-$G1163)))</f>
        <v/>
      </c>
      <c r="P1163" s="12">
        <f>IF($A1163="","",IF($J1163&lt;=0,"Payé",IF($M1163="Oui","Litige",IF($O1163=0,"À échoir",IF($O1163&lt;=30,"0-30",IF($O1163&lt;=60,"31-60",IF($O1163&lt;=90,"61-90","90+")))))))</f>
        <v/>
      </c>
    </row>
    <row r="1164">
      <c r="A1164" s="6" t="n"/>
      <c r="B1164" s="6" t="n"/>
      <c r="C1164" s="6" t="n"/>
      <c r="D1164" s="6" t="n"/>
      <c r="E1164" s="6" t="n"/>
      <c r="F1164" s="7" t="n"/>
      <c r="G1164" s="7" t="n"/>
      <c r="H1164" s="8" t="n"/>
      <c r="I1164" s="9">
        <f>IF($A1164="","",SUMIFS(Ventes_Encaissements!$D$6:$D$3005,Ventes_Encaissements!$B$6:$B$3005,$A1164))</f>
        <v/>
      </c>
      <c r="J1164" s="9">
        <f>IF($A1164="","",$H1164-$I1164)</f>
        <v/>
      </c>
      <c r="K1164" s="10">
        <f>IF($A1164="","",IF($I1164=0,"",_xludf.AGGREGATE(14,6,Ventes_Encaissements!$C$6:$C$3005/(Ventes_Encaissements!$B$6:$B$3005=$A1164),1)))</f>
        <v/>
      </c>
      <c r="L1164" s="11">
        <f>IF($A1164="","",COUNTIFS(Ventes_Detail!$B$6:$B$3005,$A1164))</f>
        <v/>
      </c>
      <c r="M1164" s="12" t="n"/>
      <c r="N1164" s="12">
        <f>IF($A1164="","",IF($G1164="","",IF($M1164="Oui","Litige",IF($J1164&lt;=0,"Payé",IF($I1164&gt;0,"Partiel",IF(Listes!$B$3&gt;$G1164,"En retard","À échoir"))))))</f>
        <v/>
      </c>
      <c r="O1164" s="11">
        <f>IF($A1164="","",IF(OR($G1164="", $J1164&lt;=0),0,MAX(0,Listes!$B$3-$G1164)))</f>
        <v/>
      </c>
      <c r="P1164" s="12">
        <f>IF($A1164="","",IF($J1164&lt;=0,"Payé",IF($M1164="Oui","Litige",IF($O1164=0,"À échoir",IF($O1164&lt;=30,"0-30",IF($O1164&lt;=60,"31-60",IF($O1164&lt;=90,"61-90","90+")))))))</f>
        <v/>
      </c>
    </row>
    <row r="1165">
      <c r="A1165" s="6" t="n"/>
      <c r="B1165" s="6" t="n"/>
      <c r="C1165" s="6" t="n"/>
      <c r="D1165" s="6" t="n"/>
      <c r="E1165" s="6" t="n"/>
      <c r="F1165" s="7" t="n"/>
      <c r="G1165" s="7" t="n"/>
      <c r="H1165" s="8" t="n"/>
      <c r="I1165" s="9">
        <f>IF($A1165="","",SUMIFS(Ventes_Encaissements!$D$6:$D$3005,Ventes_Encaissements!$B$6:$B$3005,$A1165))</f>
        <v/>
      </c>
      <c r="J1165" s="9">
        <f>IF($A1165="","",$H1165-$I1165)</f>
        <v/>
      </c>
      <c r="K1165" s="10">
        <f>IF($A1165="","",IF($I1165=0,"",_xludf.AGGREGATE(14,6,Ventes_Encaissements!$C$6:$C$3005/(Ventes_Encaissements!$B$6:$B$3005=$A1165),1)))</f>
        <v/>
      </c>
      <c r="L1165" s="11">
        <f>IF($A1165="","",COUNTIFS(Ventes_Detail!$B$6:$B$3005,$A1165))</f>
        <v/>
      </c>
      <c r="M1165" s="12" t="n"/>
      <c r="N1165" s="12">
        <f>IF($A1165="","",IF($G1165="","",IF($M1165="Oui","Litige",IF($J1165&lt;=0,"Payé",IF($I1165&gt;0,"Partiel",IF(Listes!$B$3&gt;$G1165,"En retard","À échoir"))))))</f>
        <v/>
      </c>
      <c r="O1165" s="11">
        <f>IF($A1165="","",IF(OR($G1165="", $J1165&lt;=0),0,MAX(0,Listes!$B$3-$G1165)))</f>
        <v/>
      </c>
      <c r="P1165" s="12">
        <f>IF($A1165="","",IF($J1165&lt;=0,"Payé",IF($M1165="Oui","Litige",IF($O1165=0,"À échoir",IF($O1165&lt;=30,"0-30",IF($O1165&lt;=60,"31-60",IF($O1165&lt;=90,"61-90","90+")))))))</f>
        <v/>
      </c>
    </row>
    <row r="1166">
      <c r="A1166" s="6" t="n"/>
      <c r="B1166" s="6" t="n"/>
      <c r="C1166" s="6" t="n"/>
      <c r="D1166" s="6" t="n"/>
      <c r="E1166" s="6" t="n"/>
      <c r="F1166" s="7" t="n"/>
      <c r="G1166" s="7" t="n"/>
      <c r="H1166" s="8" t="n"/>
      <c r="I1166" s="9">
        <f>IF($A1166="","",SUMIFS(Ventes_Encaissements!$D$6:$D$3005,Ventes_Encaissements!$B$6:$B$3005,$A1166))</f>
        <v/>
      </c>
      <c r="J1166" s="9">
        <f>IF($A1166="","",$H1166-$I1166)</f>
        <v/>
      </c>
      <c r="K1166" s="10">
        <f>IF($A1166="","",IF($I1166=0,"",_xludf.AGGREGATE(14,6,Ventes_Encaissements!$C$6:$C$3005/(Ventes_Encaissements!$B$6:$B$3005=$A1166),1)))</f>
        <v/>
      </c>
      <c r="L1166" s="11">
        <f>IF($A1166="","",COUNTIFS(Ventes_Detail!$B$6:$B$3005,$A1166))</f>
        <v/>
      </c>
      <c r="M1166" s="12" t="n"/>
      <c r="N1166" s="12">
        <f>IF($A1166="","",IF($G1166="","",IF($M1166="Oui","Litige",IF($J1166&lt;=0,"Payé",IF($I1166&gt;0,"Partiel",IF(Listes!$B$3&gt;$G1166,"En retard","À échoir"))))))</f>
        <v/>
      </c>
      <c r="O1166" s="11">
        <f>IF($A1166="","",IF(OR($G1166="", $J1166&lt;=0),0,MAX(0,Listes!$B$3-$G1166)))</f>
        <v/>
      </c>
      <c r="P1166" s="12">
        <f>IF($A1166="","",IF($J1166&lt;=0,"Payé",IF($M1166="Oui","Litige",IF($O1166=0,"À échoir",IF($O1166&lt;=30,"0-30",IF($O1166&lt;=60,"31-60",IF($O1166&lt;=90,"61-90","90+")))))))</f>
        <v/>
      </c>
    </row>
    <row r="1167">
      <c r="A1167" s="6" t="n"/>
      <c r="B1167" s="6" t="n"/>
      <c r="C1167" s="6" t="n"/>
      <c r="D1167" s="6" t="n"/>
      <c r="E1167" s="6" t="n"/>
      <c r="F1167" s="7" t="n"/>
      <c r="G1167" s="7" t="n"/>
      <c r="H1167" s="8" t="n"/>
      <c r="I1167" s="9">
        <f>IF($A1167="","",SUMIFS(Ventes_Encaissements!$D$6:$D$3005,Ventes_Encaissements!$B$6:$B$3005,$A1167))</f>
        <v/>
      </c>
      <c r="J1167" s="9">
        <f>IF($A1167="","",$H1167-$I1167)</f>
        <v/>
      </c>
      <c r="K1167" s="10">
        <f>IF($A1167="","",IF($I1167=0,"",_xludf.AGGREGATE(14,6,Ventes_Encaissements!$C$6:$C$3005/(Ventes_Encaissements!$B$6:$B$3005=$A1167),1)))</f>
        <v/>
      </c>
      <c r="L1167" s="11">
        <f>IF($A1167="","",COUNTIFS(Ventes_Detail!$B$6:$B$3005,$A1167))</f>
        <v/>
      </c>
      <c r="M1167" s="12" t="n"/>
      <c r="N1167" s="12">
        <f>IF($A1167="","",IF($G1167="","",IF($M1167="Oui","Litige",IF($J1167&lt;=0,"Payé",IF($I1167&gt;0,"Partiel",IF(Listes!$B$3&gt;$G1167,"En retard","À échoir"))))))</f>
        <v/>
      </c>
      <c r="O1167" s="11">
        <f>IF($A1167="","",IF(OR($G1167="", $J1167&lt;=0),0,MAX(0,Listes!$B$3-$G1167)))</f>
        <v/>
      </c>
      <c r="P1167" s="12">
        <f>IF($A1167="","",IF($J1167&lt;=0,"Payé",IF($M1167="Oui","Litige",IF($O1167=0,"À échoir",IF($O1167&lt;=30,"0-30",IF($O1167&lt;=60,"31-60",IF($O1167&lt;=90,"61-90","90+")))))))</f>
        <v/>
      </c>
    </row>
    <row r="1168">
      <c r="A1168" s="6" t="n"/>
      <c r="B1168" s="6" t="n"/>
      <c r="C1168" s="6" t="n"/>
      <c r="D1168" s="6" t="n"/>
      <c r="E1168" s="6" t="n"/>
      <c r="F1168" s="7" t="n"/>
      <c r="G1168" s="7" t="n"/>
      <c r="H1168" s="8" t="n"/>
      <c r="I1168" s="9">
        <f>IF($A1168="","",SUMIFS(Ventes_Encaissements!$D$6:$D$3005,Ventes_Encaissements!$B$6:$B$3005,$A1168))</f>
        <v/>
      </c>
      <c r="J1168" s="9">
        <f>IF($A1168="","",$H1168-$I1168)</f>
        <v/>
      </c>
      <c r="K1168" s="10">
        <f>IF($A1168="","",IF($I1168=0,"",_xludf.AGGREGATE(14,6,Ventes_Encaissements!$C$6:$C$3005/(Ventes_Encaissements!$B$6:$B$3005=$A1168),1)))</f>
        <v/>
      </c>
      <c r="L1168" s="11">
        <f>IF($A1168="","",COUNTIFS(Ventes_Detail!$B$6:$B$3005,$A1168))</f>
        <v/>
      </c>
      <c r="M1168" s="12" t="n"/>
      <c r="N1168" s="12">
        <f>IF($A1168="","",IF($G1168="","",IF($M1168="Oui","Litige",IF($J1168&lt;=0,"Payé",IF($I1168&gt;0,"Partiel",IF(Listes!$B$3&gt;$G1168,"En retard","À échoir"))))))</f>
        <v/>
      </c>
      <c r="O1168" s="11">
        <f>IF($A1168="","",IF(OR($G1168="", $J1168&lt;=0),0,MAX(0,Listes!$B$3-$G1168)))</f>
        <v/>
      </c>
      <c r="P1168" s="12">
        <f>IF($A1168="","",IF($J1168&lt;=0,"Payé",IF($M1168="Oui","Litige",IF($O1168=0,"À échoir",IF($O1168&lt;=30,"0-30",IF($O1168&lt;=60,"31-60",IF($O1168&lt;=90,"61-90","90+")))))))</f>
        <v/>
      </c>
    </row>
    <row r="1169">
      <c r="A1169" s="6" t="n"/>
      <c r="B1169" s="6" t="n"/>
      <c r="C1169" s="6" t="n"/>
      <c r="D1169" s="6" t="n"/>
      <c r="E1169" s="6" t="n"/>
      <c r="F1169" s="7" t="n"/>
      <c r="G1169" s="7" t="n"/>
      <c r="H1169" s="8" t="n"/>
      <c r="I1169" s="9">
        <f>IF($A1169="","",SUMIFS(Ventes_Encaissements!$D$6:$D$3005,Ventes_Encaissements!$B$6:$B$3005,$A1169))</f>
        <v/>
      </c>
      <c r="J1169" s="9">
        <f>IF($A1169="","",$H1169-$I1169)</f>
        <v/>
      </c>
      <c r="K1169" s="10">
        <f>IF($A1169="","",IF($I1169=0,"",_xludf.AGGREGATE(14,6,Ventes_Encaissements!$C$6:$C$3005/(Ventes_Encaissements!$B$6:$B$3005=$A1169),1)))</f>
        <v/>
      </c>
      <c r="L1169" s="11">
        <f>IF($A1169="","",COUNTIFS(Ventes_Detail!$B$6:$B$3005,$A1169))</f>
        <v/>
      </c>
      <c r="M1169" s="12" t="n"/>
      <c r="N1169" s="12">
        <f>IF($A1169="","",IF($G1169="","",IF($M1169="Oui","Litige",IF($J1169&lt;=0,"Payé",IF($I1169&gt;0,"Partiel",IF(Listes!$B$3&gt;$G1169,"En retard","À échoir"))))))</f>
        <v/>
      </c>
      <c r="O1169" s="11">
        <f>IF($A1169="","",IF(OR($G1169="", $J1169&lt;=0),0,MAX(0,Listes!$B$3-$G1169)))</f>
        <v/>
      </c>
      <c r="P1169" s="12">
        <f>IF($A1169="","",IF($J1169&lt;=0,"Payé",IF($M1169="Oui","Litige",IF($O1169=0,"À échoir",IF($O1169&lt;=30,"0-30",IF($O1169&lt;=60,"31-60",IF($O1169&lt;=90,"61-90","90+")))))))</f>
        <v/>
      </c>
    </row>
    <row r="1170">
      <c r="A1170" s="6" t="n"/>
      <c r="B1170" s="6" t="n"/>
      <c r="C1170" s="6" t="n"/>
      <c r="D1170" s="6" t="n"/>
      <c r="E1170" s="6" t="n"/>
      <c r="F1170" s="7" t="n"/>
      <c r="G1170" s="7" t="n"/>
      <c r="H1170" s="8" t="n"/>
      <c r="I1170" s="9">
        <f>IF($A1170="","",SUMIFS(Ventes_Encaissements!$D$6:$D$3005,Ventes_Encaissements!$B$6:$B$3005,$A1170))</f>
        <v/>
      </c>
      <c r="J1170" s="9">
        <f>IF($A1170="","",$H1170-$I1170)</f>
        <v/>
      </c>
      <c r="K1170" s="10">
        <f>IF($A1170="","",IF($I1170=0,"",_xludf.AGGREGATE(14,6,Ventes_Encaissements!$C$6:$C$3005/(Ventes_Encaissements!$B$6:$B$3005=$A1170),1)))</f>
        <v/>
      </c>
      <c r="L1170" s="11">
        <f>IF($A1170="","",COUNTIFS(Ventes_Detail!$B$6:$B$3005,$A1170))</f>
        <v/>
      </c>
      <c r="M1170" s="12" t="n"/>
      <c r="N1170" s="12">
        <f>IF($A1170="","",IF($G1170="","",IF($M1170="Oui","Litige",IF($J1170&lt;=0,"Payé",IF($I1170&gt;0,"Partiel",IF(Listes!$B$3&gt;$G1170,"En retard","À échoir"))))))</f>
        <v/>
      </c>
      <c r="O1170" s="11">
        <f>IF($A1170="","",IF(OR($G1170="", $J1170&lt;=0),0,MAX(0,Listes!$B$3-$G1170)))</f>
        <v/>
      </c>
      <c r="P1170" s="12">
        <f>IF($A1170="","",IF($J1170&lt;=0,"Payé",IF($M1170="Oui","Litige",IF($O1170=0,"À échoir",IF($O1170&lt;=30,"0-30",IF($O1170&lt;=60,"31-60",IF($O1170&lt;=90,"61-90","90+")))))))</f>
        <v/>
      </c>
    </row>
    <row r="1171">
      <c r="A1171" s="6" t="n"/>
      <c r="B1171" s="6" t="n"/>
      <c r="C1171" s="6" t="n"/>
      <c r="D1171" s="6" t="n"/>
      <c r="E1171" s="6" t="n"/>
      <c r="F1171" s="7" t="n"/>
      <c r="G1171" s="7" t="n"/>
      <c r="H1171" s="8" t="n"/>
      <c r="I1171" s="9">
        <f>IF($A1171="","",SUMIFS(Ventes_Encaissements!$D$6:$D$3005,Ventes_Encaissements!$B$6:$B$3005,$A1171))</f>
        <v/>
      </c>
      <c r="J1171" s="9">
        <f>IF($A1171="","",$H1171-$I1171)</f>
        <v/>
      </c>
      <c r="K1171" s="10">
        <f>IF($A1171="","",IF($I1171=0,"",_xludf.AGGREGATE(14,6,Ventes_Encaissements!$C$6:$C$3005/(Ventes_Encaissements!$B$6:$B$3005=$A1171),1)))</f>
        <v/>
      </c>
      <c r="L1171" s="11">
        <f>IF($A1171="","",COUNTIFS(Ventes_Detail!$B$6:$B$3005,$A1171))</f>
        <v/>
      </c>
      <c r="M1171" s="12" t="n"/>
      <c r="N1171" s="12">
        <f>IF($A1171="","",IF($G1171="","",IF($M1171="Oui","Litige",IF($J1171&lt;=0,"Payé",IF($I1171&gt;0,"Partiel",IF(Listes!$B$3&gt;$G1171,"En retard","À échoir"))))))</f>
        <v/>
      </c>
      <c r="O1171" s="11">
        <f>IF($A1171="","",IF(OR($G1171="", $J1171&lt;=0),0,MAX(0,Listes!$B$3-$G1171)))</f>
        <v/>
      </c>
      <c r="P1171" s="12">
        <f>IF($A1171="","",IF($J1171&lt;=0,"Payé",IF($M1171="Oui","Litige",IF($O1171=0,"À échoir",IF($O1171&lt;=30,"0-30",IF($O1171&lt;=60,"31-60",IF($O1171&lt;=90,"61-90","90+")))))))</f>
        <v/>
      </c>
    </row>
    <row r="1172">
      <c r="A1172" s="6" t="n"/>
      <c r="B1172" s="6" t="n"/>
      <c r="C1172" s="6" t="n"/>
      <c r="D1172" s="6" t="n"/>
      <c r="E1172" s="6" t="n"/>
      <c r="F1172" s="7" t="n"/>
      <c r="G1172" s="7" t="n"/>
      <c r="H1172" s="8" t="n"/>
      <c r="I1172" s="9">
        <f>IF($A1172="","",SUMIFS(Ventes_Encaissements!$D$6:$D$3005,Ventes_Encaissements!$B$6:$B$3005,$A1172))</f>
        <v/>
      </c>
      <c r="J1172" s="9">
        <f>IF($A1172="","",$H1172-$I1172)</f>
        <v/>
      </c>
      <c r="K1172" s="10">
        <f>IF($A1172="","",IF($I1172=0,"",_xludf.AGGREGATE(14,6,Ventes_Encaissements!$C$6:$C$3005/(Ventes_Encaissements!$B$6:$B$3005=$A1172),1)))</f>
        <v/>
      </c>
      <c r="L1172" s="11">
        <f>IF($A1172="","",COUNTIFS(Ventes_Detail!$B$6:$B$3005,$A1172))</f>
        <v/>
      </c>
      <c r="M1172" s="12" t="n"/>
      <c r="N1172" s="12">
        <f>IF($A1172="","",IF($G1172="","",IF($M1172="Oui","Litige",IF($J1172&lt;=0,"Payé",IF($I1172&gt;0,"Partiel",IF(Listes!$B$3&gt;$G1172,"En retard","À échoir"))))))</f>
        <v/>
      </c>
      <c r="O1172" s="11">
        <f>IF($A1172="","",IF(OR($G1172="", $J1172&lt;=0),0,MAX(0,Listes!$B$3-$G1172)))</f>
        <v/>
      </c>
      <c r="P1172" s="12">
        <f>IF($A1172="","",IF($J1172&lt;=0,"Payé",IF($M1172="Oui","Litige",IF($O1172=0,"À échoir",IF($O1172&lt;=30,"0-30",IF($O1172&lt;=60,"31-60",IF($O1172&lt;=90,"61-90","90+")))))))</f>
        <v/>
      </c>
    </row>
    <row r="1173">
      <c r="A1173" s="6" t="n"/>
      <c r="B1173" s="6" t="n"/>
      <c r="C1173" s="6" t="n"/>
      <c r="D1173" s="6" t="n"/>
      <c r="E1173" s="6" t="n"/>
      <c r="F1173" s="7" t="n"/>
      <c r="G1173" s="7" t="n"/>
      <c r="H1173" s="8" t="n"/>
      <c r="I1173" s="9">
        <f>IF($A1173="","",SUMIFS(Ventes_Encaissements!$D$6:$D$3005,Ventes_Encaissements!$B$6:$B$3005,$A1173))</f>
        <v/>
      </c>
      <c r="J1173" s="9">
        <f>IF($A1173="","",$H1173-$I1173)</f>
        <v/>
      </c>
      <c r="K1173" s="10">
        <f>IF($A1173="","",IF($I1173=0,"",_xludf.AGGREGATE(14,6,Ventes_Encaissements!$C$6:$C$3005/(Ventes_Encaissements!$B$6:$B$3005=$A1173),1)))</f>
        <v/>
      </c>
      <c r="L1173" s="11">
        <f>IF($A1173="","",COUNTIFS(Ventes_Detail!$B$6:$B$3005,$A1173))</f>
        <v/>
      </c>
      <c r="M1173" s="12" t="n"/>
      <c r="N1173" s="12">
        <f>IF($A1173="","",IF($G1173="","",IF($M1173="Oui","Litige",IF($J1173&lt;=0,"Payé",IF($I1173&gt;0,"Partiel",IF(Listes!$B$3&gt;$G1173,"En retard","À échoir"))))))</f>
        <v/>
      </c>
      <c r="O1173" s="11">
        <f>IF($A1173="","",IF(OR($G1173="", $J1173&lt;=0),0,MAX(0,Listes!$B$3-$G1173)))</f>
        <v/>
      </c>
      <c r="P1173" s="12">
        <f>IF($A1173="","",IF($J1173&lt;=0,"Payé",IF($M1173="Oui","Litige",IF($O1173=0,"À échoir",IF($O1173&lt;=30,"0-30",IF($O1173&lt;=60,"31-60",IF($O1173&lt;=90,"61-90","90+")))))))</f>
        <v/>
      </c>
    </row>
    <row r="1174">
      <c r="A1174" s="6" t="n"/>
      <c r="B1174" s="6" t="n"/>
      <c r="C1174" s="6" t="n"/>
      <c r="D1174" s="6" t="n"/>
      <c r="E1174" s="6" t="n"/>
      <c r="F1174" s="7" t="n"/>
      <c r="G1174" s="7" t="n"/>
      <c r="H1174" s="8" t="n"/>
      <c r="I1174" s="9">
        <f>IF($A1174="","",SUMIFS(Ventes_Encaissements!$D$6:$D$3005,Ventes_Encaissements!$B$6:$B$3005,$A1174))</f>
        <v/>
      </c>
      <c r="J1174" s="9">
        <f>IF($A1174="","",$H1174-$I1174)</f>
        <v/>
      </c>
      <c r="K1174" s="10">
        <f>IF($A1174="","",IF($I1174=0,"",_xludf.AGGREGATE(14,6,Ventes_Encaissements!$C$6:$C$3005/(Ventes_Encaissements!$B$6:$B$3005=$A1174),1)))</f>
        <v/>
      </c>
      <c r="L1174" s="11">
        <f>IF($A1174="","",COUNTIFS(Ventes_Detail!$B$6:$B$3005,$A1174))</f>
        <v/>
      </c>
      <c r="M1174" s="12" t="n"/>
      <c r="N1174" s="12">
        <f>IF($A1174="","",IF($G1174="","",IF($M1174="Oui","Litige",IF($J1174&lt;=0,"Payé",IF($I1174&gt;0,"Partiel",IF(Listes!$B$3&gt;$G1174,"En retard","À échoir"))))))</f>
        <v/>
      </c>
      <c r="O1174" s="11">
        <f>IF($A1174="","",IF(OR($G1174="", $J1174&lt;=0),0,MAX(0,Listes!$B$3-$G1174)))</f>
        <v/>
      </c>
      <c r="P1174" s="12">
        <f>IF($A1174="","",IF($J1174&lt;=0,"Payé",IF($M1174="Oui","Litige",IF($O1174=0,"À échoir",IF($O1174&lt;=30,"0-30",IF($O1174&lt;=60,"31-60",IF($O1174&lt;=90,"61-90","90+")))))))</f>
        <v/>
      </c>
    </row>
    <row r="1175">
      <c r="A1175" s="6" t="n"/>
      <c r="B1175" s="6" t="n"/>
      <c r="C1175" s="6" t="n"/>
      <c r="D1175" s="6" t="n"/>
      <c r="E1175" s="6" t="n"/>
      <c r="F1175" s="7" t="n"/>
      <c r="G1175" s="7" t="n"/>
      <c r="H1175" s="8" t="n"/>
      <c r="I1175" s="9">
        <f>IF($A1175="","",SUMIFS(Ventes_Encaissements!$D$6:$D$3005,Ventes_Encaissements!$B$6:$B$3005,$A1175))</f>
        <v/>
      </c>
      <c r="J1175" s="9">
        <f>IF($A1175="","",$H1175-$I1175)</f>
        <v/>
      </c>
      <c r="K1175" s="10">
        <f>IF($A1175="","",IF($I1175=0,"",_xludf.AGGREGATE(14,6,Ventes_Encaissements!$C$6:$C$3005/(Ventes_Encaissements!$B$6:$B$3005=$A1175),1)))</f>
        <v/>
      </c>
      <c r="L1175" s="11">
        <f>IF($A1175="","",COUNTIFS(Ventes_Detail!$B$6:$B$3005,$A1175))</f>
        <v/>
      </c>
      <c r="M1175" s="12" t="n"/>
      <c r="N1175" s="12">
        <f>IF($A1175="","",IF($G1175="","",IF($M1175="Oui","Litige",IF($J1175&lt;=0,"Payé",IF($I1175&gt;0,"Partiel",IF(Listes!$B$3&gt;$G1175,"En retard","À échoir"))))))</f>
        <v/>
      </c>
      <c r="O1175" s="11">
        <f>IF($A1175="","",IF(OR($G1175="", $J1175&lt;=0),0,MAX(0,Listes!$B$3-$G1175)))</f>
        <v/>
      </c>
      <c r="P1175" s="12">
        <f>IF($A1175="","",IF($J1175&lt;=0,"Payé",IF($M1175="Oui","Litige",IF($O1175=0,"À échoir",IF($O1175&lt;=30,"0-30",IF($O1175&lt;=60,"31-60",IF($O1175&lt;=90,"61-90","90+")))))))</f>
        <v/>
      </c>
    </row>
    <row r="1176">
      <c r="A1176" s="6" t="n"/>
      <c r="B1176" s="6" t="n"/>
      <c r="C1176" s="6" t="n"/>
      <c r="D1176" s="6" t="n"/>
      <c r="E1176" s="6" t="n"/>
      <c r="F1176" s="7" t="n"/>
      <c r="G1176" s="7" t="n"/>
      <c r="H1176" s="8" t="n"/>
      <c r="I1176" s="9">
        <f>IF($A1176="","",SUMIFS(Ventes_Encaissements!$D$6:$D$3005,Ventes_Encaissements!$B$6:$B$3005,$A1176))</f>
        <v/>
      </c>
      <c r="J1176" s="9">
        <f>IF($A1176="","",$H1176-$I1176)</f>
        <v/>
      </c>
      <c r="K1176" s="10">
        <f>IF($A1176="","",IF($I1176=0,"",_xludf.AGGREGATE(14,6,Ventes_Encaissements!$C$6:$C$3005/(Ventes_Encaissements!$B$6:$B$3005=$A1176),1)))</f>
        <v/>
      </c>
      <c r="L1176" s="11">
        <f>IF($A1176="","",COUNTIFS(Ventes_Detail!$B$6:$B$3005,$A1176))</f>
        <v/>
      </c>
      <c r="M1176" s="12" t="n"/>
      <c r="N1176" s="12">
        <f>IF($A1176="","",IF($G1176="","",IF($M1176="Oui","Litige",IF($J1176&lt;=0,"Payé",IF($I1176&gt;0,"Partiel",IF(Listes!$B$3&gt;$G1176,"En retard","À échoir"))))))</f>
        <v/>
      </c>
      <c r="O1176" s="11">
        <f>IF($A1176="","",IF(OR($G1176="", $J1176&lt;=0),0,MAX(0,Listes!$B$3-$G1176)))</f>
        <v/>
      </c>
      <c r="P1176" s="12">
        <f>IF($A1176="","",IF($J1176&lt;=0,"Payé",IF($M1176="Oui","Litige",IF($O1176=0,"À échoir",IF($O1176&lt;=30,"0-30",IF($O1176&lt;=60,"31-60",IF($O1176&lt;=90,"61-90","90+")))))))</f>
        <v/>
      </c>
    </row>
    <row r="1177">
      <c r="A1177" s="6" t="n"/>
      <c r="B1177" s="6" t="n"/>
      <c r="C1177" s="6" t="n"/>
      <c r="D1177" s="6" t="n"/>
      <c r="E1177" s="6" t="n"/>
      <c r="F1177" s="7" t="n"/>
      <c r="G1177" s="7" t="n"/>
      <c r="H1177" s="8" t="n"/>
      <c r="I1177" s="9">
        <f>IF($A1177="","",SUMIFS(Ventes_Encaissements!$D$6:$D$3005,Ventes_Encaissements!$B$6:$B$3005,$A1177))</f>
        <v/>
      </c>
      <c r="J1177" s="9">
        <f>IF($A1177="","",$H1177-$I1177)</f>
        <v/>
      </c>
      <c r="K1177" s="10">
        <f>IF($A1177="","",IF($I1177=0,"",_xludf.AGGREGATE(14,6,Ventes_Encaissements!$C$6:$C$3005/(Ventes_Encaissements!$B$6:$B$3005=$A1177),1)))</f>
        <v/>
      </c>
      <c r="L1177" s="11">
        <f>IF($A1177="","",COUNTIFS(Ventes_Detail!$B$6:$B$3005,$A1177))</f>
        <v/>
      </c>
      <c r="M1177" s="12" t="n"/>
      <c r="N1177" s="12">
        <f>IF($A1177="","",IF($G1177="","",IF($M1177="Oui","Litige",IF($J1177&lt;=0,"Payé",IF($I1177&gt;0,"Partiel",IF(Listes!$B$3&gt;$G1177,"En retard","À échoir"))))))</f>
        <v/>
      </c>
      <c r="O1177" s="11">
        <f>IF($A1177="","",IF(OR($G1177="", $J1177&lt;=0),0,MAX(0,Listes!$B$3-$G1177)))</f>
        <v/>
      </c>
      <c r="P1177" s="12">
        <f>IF($A1177="","",IF($J1177&lt;=0,"Payé",IF($M1177="Oui","Litige",IF($O1177=0,"À échoir",IF($O1177&lt;=30,"0-30",IF($O1177&lt;=60,"31-60",IF($O1177&lt;=90,"61-90","90+")))))))</f>
        <v/>
      </c>
    </row>
    <row r="1178">
      <c r="A1178" s="6" t="n"/>
      <c r="B1178" s="6" t="n"/>
      <c r="C1178" s="6" t="n"/>
      <c r="D1178" s="6" t="n"/>
      <c r="E1178" s="6" t="n"/>
      <c r="F1178" s="7" t="n"/>
      <c r="G1178" s="7" t="n"/>
      <c r="H1178" s="8" t="n"/>
      <c r="I1178" s="9">
        <f>IF($A1178="","",SUMIFS(Ventes_Encaissements!$D$6:$D$3005,Ventes_Encaissements!$B$6:$B$3005,$A1178))</f>
        <v/>
      </c>
      <c r="J1178" s="9">
        <f>IF($A1178="","",$H1178-$I1178)</f>
        <v/>
      </c>
      <c r="K1178" s="10">
        <f>IF($A1178="","",IF($I1178=0,"",_xludf.AGGREGATE(14,6,Ventes_Encaissements!$C$6:$C$3005/(Ventes_Encaissements!$B$6:$B$3005=$A1178),1)))</f>
        <v/>
      </c>
      <c r="L1178" s="11">
        <f>IF($A1178="","",COUNTIFS(Ventes_Detail!$B$6:$B$3005,$A1178))</f>
        <v/>
      </c>
      <c r="M1178" s="12" t="n"/>
      <c r="N1178" s="12">
        <f>IF($A1178="","",IF($G1178="","",IF($M1178="Oui","Litige",IF($J1178&lt;=0,"Payé",IF($I1178&gt;0,"Partiel",IF(Listes!$B$3&gt;$G1178,"En retard","À échoir"))))))</f>
        <v/>
      </c>
      <c r="O1178" s="11">
        <f>IF($A1178="","",IF(OR($G1178="", $J1178&lt;=0),0,MAX(0,Listes!$B$3-$G1178)))</f>
        <v/>
      </c>
      <c r="P1178" s="12">
        <f>IF($A1178="","",IF($J1178&lt;=0,"Payé",IF($M1178="Oui","Litige",IF($O1178=0,"À échoir",IF($O1178&lt;=30,"0-30",IF($O1178&lt;=60,"31-60",IF($O1178&lt;=90,"61-90","90+")))))))</f>
        <v/>
      </c>
    </row>
    <row r="1179">
      <c r="A1179" s="6" t="n"/>
      <c r="B1179" s="6" t="n"/>
      <c r="C1179" s="6" t="n"/>
      <c r="D1179" s="6" t="n"/>
      <c r="E1179" s="6" t="n"/>
      <c r="F1179" s="7" t="n"/>
      <c r="G1179" s="7" t="n"/>
      <c r="H1179" s="8" t="n"/>
      <c r="I1179" s="9">
        <f>IF($A1179="","",SUMIFS(Ventes_Encaissements!$D$6:$D$3005,Ventes_Encaissements!$B$6:$B$3005,$A1179))</f>
        <v/>
      </c>
      <c r="J1179" s="9">
        <f>IF($A1179="","",$H1179-$I1179)</f>
        <v/>
      </c>
      <c r="K1179" s="10">
        <f>IF($A1179="","",IF($I1179=0,"",_xludf.AGGREGATE(14,6,Ventes_Encaissements!$C$6:$C$3005/(Ventes_Encaissements!$B$6:$B$3005=$A1179),1)))</f>
        <v/>
      </c>
      <c r="L1179" s="11">
        <f>IF($A1179="","",COUNTIFS(Ventes_Detail!$B$6:$B$3005,$A1179))</f>
        <v/>
      </c>
      <c r="M1179" s="12" t="n"/>
      <c r="N1179" s="12">
        <f>IF($A1179="","",IF($G1179="","",IF($M1179="Oui","Litige",IF($J1179&lt;=0,"Payé",IF($I1179&gt;0,"Partiel",IF(Listes!$B$3&gt;$G1179,"En retard","À échoir"))))))</f>
        <v/>
      </c>
      <c r="O1179" s="11">
        <f>IF($A1179="","",IF(OR($G1179="", $J1179&lt;=0),0,MAX(0,Listes!$B$3-$G1179)))</f>
        <v/>
      </c>
      <c r="P1179" s="12">
        <f>IF($A1179="","",IF($J1179&lt;=0,"Payé",IF($M1179="Oui","Litige",IF($O1179=0,"À échoir",IF($O1179&lt;=30,"0-30",IF($O1179&lt;=60,"31-60",IF($O1179&lt;=90,"61-90","90+")))))))</f>
        <v/>
      </c>
    </row>
    <row r="1180">
      <c r="A1180" s="6" t="n"/>
      <c r="B1180" s="6" t="n"/>
      <c r="C1180" s="6" t="n"/>
      <c r="D1180" s="6" t="n"/>
      <c r="E1180" s="6" t="n"/>
      <c r="F1180" s="7" t="n"/>
      <c r="G1180" s="7" t="n"/>
      <c r="H1180" s="8" t="n"/>
      <c r="I1180" s="9">
        <f>IF($A1180="","",SUMIFS(Ventes_Encaissements!$D$6:$D$3005,Ventes_Encaissements!$B$6:$B$3005,$A1180))</f>
        <v/>
      </c>
      <c r="J1180" s="9">
        <f>IF($A1180="","",$H1180-$I1180)</f>
        <v/>
      </c>
      <c r="K1180" s="10">
        <f>IF($A1180="","",IF($I1180=0,"",_xludf.AGGREGATE(14,6,Ventes_Encaissements!$C$6:$C$3005/(Ventes_Encaissements!$B$6:$B$3005=$A1180),1)))</f>
        <v/>
      </c>
      <c r="L1180" s="11">
        <f>IF($A1180="","",COUNTIFS(Ventes_Detail!$B$6:$B$3005,$A1180))</f>
        <v/>
      </c>
      <c r="M1180" s="12" t="n"/>
      <c r="N1180" s="12">
        <f>IF($A1180="","",IF($G1180="","",IF($M1180="Oui","Litige",IF($J1180&lt;=0,"Payé",IF($I1180&gt;0,"Partiel",IF(Listes!$B$3&gt;$G1180,"En retard","À échoir"))))))</f>
        <v/>
      </c>
      <c r="O1180" s="11">
        <f>IF($A1180="","",IF(OR($G1180="", $J1180&lt;=0),0,MAX(0,Listes!$B$3-$G1180)))</f>
        <v/>
      </c>
      <c r="P1180" s="12">
        <f>IF($A1180="","",IF($J1180&lt;=0,"Payé",IF($M1180="Oui","Litige",IF($O1180=0,"À échoir",IF($O1180&lt;=30,"0-30",IF($O1180&lt;=60,"31-60",IF($O1180&lt;=90,"61-90","90+")))))))</f>
        <v/>
      </c>
    </row>
    <row r="1181">
      <c r="A1181" s="6" t="n"/>
      <c r="B1181" s="6" t="n"/>
      <c r="C1181" s="6" t="n"/>
      <c r="D1181" s="6" t="n"/>
      <c r="E1181" s="6" t="n"/>
      <c r="F1181" s="7" t="n"/>
      <c r="G1181" s="7" t="n"/>
      <c r="H1181" s="8" t="n"/>
      <c r="I1181" s="9">
        <f>IF($A1181="","",SUMIFS(Ventes_Encaissements!$D$6:$D$3005,Ventes_Encaissements!$B$6:$B$3005,$A1181))</f>
        <v/>
      </c>
      <c r="J1181" s="9">
        <f>IF($A1181="","",$H1181-$I1181)</f>
        <v/>
      </c>
      <c r="K1181" s="10">
        <f>IF($A1181="","",IF($I1181=0,"",_xludf.AGGREGATE(14,6,Ventes_Encaissements!$C$6:$C$3005/(Ventes_Encaissements!$B$6:$B$3005=$A1181),1)))</f>
        <v/>
      </c>
      <c r="L1181" s="11">
        <f>IF($A1181="","",COUNTIFS(Ventes_Detail!$B$6:$B$3005,$A1181))</f>
        <v/>
      </c>
      <c r="M1181" s="12" t="n"/>
      <c r="N1181" s="12">
        <f>IF($A1181="","",IF($G1181="","",IF($M1181="Oui","Litige",IF($J1181&lt;=0,"Payé",IF($I1181&gt;0,"Partiel",IF(Listes!$B$3&gt;$G1181,"En retard","À échoir"))))))</f>
        <v/>
      </c>
      <c r="O1181" s="11">
        <f>IF($A1181="","",IF(OR($G1181="", $J1181&lt;=0),0,MAX(0,Listes!$B$3-$G1181)))</f>
        <v/>
      </c>
      <c r="P1181" s="12">
        <f>IF($A1181="","",IF($J1181&lt;=0,"Payé",IF($M1181="Oui","Litige",IF($O1181=0,"À échoir",IF($O1181&lt;=30,"0-30",IF($O1181&lt;=60,"31-60",IF($O1181&lt;=90,"61-90","90+")))))))</f>
        <v/>
      </c>
    </row>
    <row r="1182">
      <c r="A1182" s="6" t="n"/>
      <c r="B1182" s="6" t="n"/>
      <c r="C1182" s="6" t="n"/>
      <c r="D1182" s="6" t="n"/>
      <c r="E1182" s="6" t="n"/>
      <c r="F1182" s="7" t="n"/>
      <c r="G1182" s="7" t="n"/>
      <c r="H1182" s="8" t="n"/>
      <c r="I1182" s="9">
        <f>IF($A1182="","",SUMIFS(Ventes_Encaissements!$D$6:$D$3005,Ventes_Encaissements!$B$6:$B$3005,$A1182))</f>
        <v/>
      </c>
      <c r="J1182" s="9">
        <f>IF($A1182="","",$H1182-$I1182)</f>
        <v/>
      </c>
      <c r="K1182" s="10">
        <f>IF($A1182="","",IF($I1182=0,"",_xludf.AGGREGATE(14,6,Ventes_Encaissements!$C$6:$C$3005/(Ventes_Encaissements!$B$6:$B$3005=$A1182),1)))</f>
        <v/>
      </c>
      <c r="L1182" s="11">
        <f>IF($A1182="","",COUNTIFS(Ventes_Detail!$B$6:$B$3005,$A1182))</f>
        <v/>
      </c>
      <c r="M1182" s="12" t="n"/>
      <c r="N1182" s="12">
        <f>IF($A1182="","",IF($G1182="","",IF($M1182="Oui","Litige",IF($J1182&lt;=0,"Payé",IF($I1182&gt;0,"Partiel",IF(Listes!$B$3&gt;$G1182,"En retard","À échoir"))))))</f>
        <v/>
      </c>
      <c r="O1182" s="11">
        <f>IF($A1182="","",IF(OR($G1182="", $J1182&lt;=0),0,MAX(0,Listes!$B$3-$G1182)))</f>
        <v/>
      </c>
      <c r="P1182" s="12">
        <f>IF($A1182="","",IF($J1182&lt;=0,"Payé",IF($M1182="Oui","Litige",IF($O1182=0,"À échoir",IF($O1182&lt;=30,"0-30",IF($O1182&lt;=60,"31-60",IF($O1182&lt;=90,"61-90","90+")))))))</f>
        <v/>
      </c>
    </row>
    <row r="1183">
      <c r="A1183" s="6" t="n"/>
      <c r="B1183" s="6" t="n"/>
      <c r="C1183" s="6" t="n"/>
      <c r="D1183" s="6" t="n"/>
      <c r="E1183" s="6" t="n"/>
      <c r="F1183" s="7" t="n"/>
      <c r="G1183" s="7" t="n"/>
      <c r="H1183" s="8" t="n"/>
      <c r="I1183" s="9">
        <f>IF($A1183="","",SUMIFS(Ventes_Encaissements!$D$6:$D$3005,Ventes_Encaissements!$B$6:$B$3005,$A1183))</f>
        <v/>
      </c>
      <c r="J1183" s="9">
        <f>IF($A1183="","",$H1183-$I1183)</f>
        <v/>
      </c>
      <c r="K1183" s="10">
        <f>IF($A1183="","",IF($I1183=0,"",_xludf.AGGREGATE(14,6,Ventes_Encaissements!$C$6:$C$3005/(Ventes_Encaissements!$B$6:$B$3005=$A1183),1)))</f>
        <v/>
      </c>
      <c r="L1183" s="11">
        <f>IF($A1183="","",COUNTIFS(Ventes_Detail!$B$6:$B$3005,$A1183))</f>
        <v/>
      </c>
      <c r="M1183" s="12" t="n"/>
      <c r="N1183" s="12">
        <f>IF($A1183="","",IF($G1183="","",IF($M1183="Oui","Litige",IF($J1183&lt;=0,"Payé",IF($I1183&gt;0,"Partiel",IF(Listes!$B$3&gt;$G1183,"En retard","À échoir"))))))</f>
        <v/>
      </c>
      <c r="O1183" s="11">
        <f>IF($A1183="","",IF(OR($G1183="", $J1183&lt;=0),0,MAX(0,Listes!$B$3-$G1183)))</f>
        <v/>
      </c>
      <c r="P1183" s="12">
        <f>IF($A1183="","",IF($J1183&lt;=0,"Payé",IF($M1183="Oui","Litige",IF($O1183=0,"À échoir",IF($O1183&lt;=30,"0-30",IF($O1183&lt;=60,"31-60",IF($O1183&lt;=90,"61-90","90+")))))))</f>
        <v/>
      </c>
    </row>
    <row r="1184">
      <c r="A1184" s="6" t="n"/>
      <c r="B1184" s="6" t="n"/>
      <c r="C1184" s="6" t="n"/>
      <c r="D1184" s="6" t="n"/>
      <c r="E1184" s="6" t="n"/>
      <c r="F1184" s="7" t="n"/>
      <c r="G1184" s="7" t="n"/>
      <c r="H1184" s="8" t="n"/>
      <c r="I1184" s="9">
        <f>IF($A1184="","",SUMIFS(Ventes_Encaissements!$D$6:$D$3005,Ventes_Encaissements!$B$6:$B$3005,$A1184))</f>
        <v/>
      </c>
      <c r="J1184" s="9">
        <f>IF($A1184="","",$H1184-$I1184)</f>
        <v/>
      </c>
      <c r="K1184" s="10">
        <f>IF($A1184="","",IF($I1184=0,"",_xludf.AGGREGATE(14,6,Ventes_Encaissements!$C$6:$C$3005/(Ventes_Encaissements!$B$6:$B$3005=$A1184),1)))</f>
        <v/>
      </c>
      <c r="L1184" s="11">
        <f>IF($A1184="","",COUNTIFS(Ventes_Detail!$B$6:$B$3005,$A1184))</f>
        <v/>
      </c>
      <c r="M1184" s="12" t="n"/>
      <c r="N1184" s="12">
        <f>IF($A1184="","",IF($G1184="","",IF($M1184="Oui","Litige",IF($J1184&lt;=0,"Payé",IF($I1184&gt;0,"Partiel",IF(Listes!$B$3&gt;$G1184,"En retard","À échoir"))))))</f>
        <v/>
      </c>
      <c r="O1184" s="11">
        <f>IF($A1184="","",IF(OR($G1184="", $J1184&lt;=0),0,MAX(0,Listes!$B$3-$G1184)))</f>
        <v/>
      </c>
      <c r="P1184" s="12">
        <f>IF($A1184="","",IF($J1184&lt;=0,"Payé",IF($M1184="Oui","Litige",IF($O1184=0,"À échoir",IF($O1184&lt;=30,"0-30",IF($O1184&lt;=60,"31-60",IF($O1184&lt;=90,"61-90","90+")))))))</f>
        <v/>
      </c>
    </row>
    <row r="1185">
      <c r="A1185" s="6" t="n"/>
      <c r="B1185" s="6" t="n"/>
      <c r="C1185" s="6" t="n"/>
      <c r="D1185" s="6" t="n"/>
      <c r="E1185" s="6" t="n"/>
      <c r="F1185" s="7" t="n"/>
      <c r="G1185" s="7" t="n"/>
      <c r="H1185" s="8" t="n"/>
      <c r="I1185" s="9">
        <f>IF($A1185="","",SUMIFS(Ventes_Encaissements!$D$6:$D$3005,Ventes_Encaissements!$B$6:$B$3005,$A1185))</f>
        <v/>
      </c>
      <c r="J1185" s="9">
        <f>IF($A1185="","",$H1185-$I1185)</f>
        <v/>
      </c>
      <c r="K1185" s="10">
        <f>IF($A1185="","",IF($I1185=0,"",_xludf.AGGREGATE(14,6,Ventes_Encaissements!$C$6:$C$3005/(Ventes_Encaissements!$B$6:$B$3005=$A1185),1)))</f>
        <v/>
      </c>
      <c r="L1185" s="11">
        <f>IF($A1185="","",COUNTIFS(Ventes_Detail!$B$6:$B$3005,$A1185))</f>
        <v/>
      </c>
      <c r="M1185" s="12" t="n"/>
      <c r="N1185" s="12">
        <f>IF($A1185="","",IF($G1185="","",IF($M1185="Oui","Litige",IF($J1185&lt;=0,"Payé",IF($I1185&gt;0,"Partiel",IF(Listes!$B$3&gt;$G1185,"En retard","À échoir"))))))</f>
        <v/>
      </c>
      <c r="O1185" s="11">
        <f>IF($A1185="","",IF(OR($G1185="", $J1185&lt;=0),0,MAX(0,Listes!$B$3-$G1185)))</f>
        <v/>
      </c>
      <c r="P1185" s="12">
        <f>IF($A1185="","",IF($J1185&lt;=0,"Payé",IF($M1185="Oui","Litige",IF($O1185=0,"À échoir",IF($O1185&lt;=30,"0-30",IF($O1185&lt;=60,"31-60",IF($O1185&lt;=90,"61-90","90+")))))))</f>
        <v/>
      </c>
    </row>
    <row r="1186">
      <c r="A1186" s="6" t="n"/>
      <c r="B1186" s="6" t="n"/>
      <c r="C1186" s="6" t="n"/>
      <c r="D1186" s="6" t="n"/>
      <c r="E1186" s="6" t="n"/>
      <c r="F1186" s="7" t="n"/>
      <c r="G1186" s="7" t="n"/>
      <c r="H1186" s="8" t="n"/>
      <c r="I1186" s="9">
        <f>IF($A1186="","",SUMIFS(Ventes_Encaissements!$D$6:$D$3005,Ventes_Encaissements!$B$6:$B$3005,$A1186))</f>
        <v/>
      </c>
      <c r="J1186" s="9">
        <f>IF($A1186="","",$H1186-$I1186)</f>
        <v/>
      </c>
      <c r="K1186" s="10">
        <f>IF($A1186="","",IF($I1186=0,"",_xludf.AGGREGATE(14,6,Ventes_Encaissements!$C$6:$C$3005/(Ventes_Encaissements!$B$6:$B$3005=$A1186),1)))</f>
        <v/>
      </c>
      <c r="L1186" s="11">
        <f>IF($A1186="","",COUNTIFS(Ventes_Detail!$B$6:$B$3005,$A1186))</f>
        <v/>
      </c>
      <c r="M1186" s="12" t="n"/>
      <c r="N1186" s="12">
        <f>IF($A1186="","",IF($G1186="","",IF($M1186="Oui","Litige",IF($J1186&lt;=0,"Payé",IF($I1186&gt;0,"Partiel",IF(Listes!$B$3&gt;$G1186,"En retard","À échoir"))))))</f>
        <v/>
      </c>
      <c r="O1186" s="11">
        <f>IF($A1186="","",IF(OR($G1186="", $J1186&lt;=0),0,MAX(0,Listes!$B$3-$G1186)))</f>
        <v/>
      </c>
      <c r="P1186" s="12">
        <f>IF($A1186="","",IF($J1186&lt;=0,"Payé",IF($M1186="Oui","Litige",IF($O1186=0,"À échoir",IF($O1186&lt;=30,"0-30",IF($O1186&lt;=60,"31-60",IF($O1186&lt;=90,"61-90","90+")))))))</f>
        <v/>
      </c>
    </row>
    <row r="1187">
      <c r="A1187" s="6" t="n"/>
      <c r="B1187" s="6" t="n"/>
      <c r="C1187" s="6" t="n"/>
      <c r="D1187" s="6" t="n"/>
      <c r="E1187" s="6" t="n"/>
      <c r="F1187" s="7" t="n"/>
      <c r="G1187" s="7" t="n"/>
      <c r="H1187" s="8" t="n"/>
      <c r="I1187" s="9">
        <f>IF($A1187="","",SUMIFS(Ventes_Encaissements!$D$6:$D$3005,Ventes_Encaissements!$B$6:$B$3005,$A1187))</f>
        <v/>
      </c>
      <c r="J1187" s="9">
        <f>IF($A1187="","",$H1187-$I1187)</f>
        <v/>
      </c>
      <c r="K1187" s="10">
        <f>IF($A1187="","",IF($I1187=0,"",_xludf.AGGREGATE(14,6,Ventes_Encaissements!$C$6:$C$3005/(Ventes_Encaissements!$B$6:$B$3005=$A1187),1)))</f>
        <v/>
      </c>
      <c r="L1187" s="11">
        <f>IF($A1187="","",COUNTIFS(Ventes_Detail!$B$6:$B$3005,$A1187))</f>
        <v/>
      </c>
      <c r="M1187" s="12" t="n"/>
      <c r="N1187" s="12">
        <f>IF($A1187="","",IF($G1187="","",IF($M1187="Oui","Litige",IF($J1187&lt;=0,"Payé",IF($I1187&gt;0,"Partiel",IF(Listes!$B$3&gt;$G1187,"En retard","À échoir"))))))</f>
        <v/>
      </c>
      <c r="O1187" s="11">
        <f>IF($A1187="","",IF(OR($G1187="", $J1187&lt;=0),0,MAX(0,Listes!$B$3-$G1187)))</f>
        <v/>
      </c>
      <c r="P1187" s="12">
        <f>IF($A1187="","",IF($J1187&lt;=0,"Payé",IF($M1187="Oui","Litige",IF($O1187=0,"À échoir",IF($O1187&lt;=30,"0-30",IF($O1187&lt;=60,"31-60",IF($O1187&lt;=90,"61-90","90+")))))))</f>
        <v/>
      </c>
    </row>
    <row r="1188">
      <c r="A1188" s="6" t="n"/>
      <c r="B1188" s="6" t="n"/>
      <c r="C1188" s="6" t="n"/>
      <c r="D1188" s="6" t="n"/>
      <c r="E1188" s="6" t="n"/>
      <c r="F1188" s="7" t="n"/>
      <c r="G1188" s="7" t="n"/>
      <c r="H1188" s="8" t="n"/>
      <c r="I1188" s="9">
        <f>IF($A1188="","",SUMIFS(Ventes_Encaissements!$D$6:$D$3005,Ventes_Encaissements!$B$6:$B$3005,$A1188))</f>
        <v/>
      </c>
      <c r="J1188" s="9">
        <f>IF($A1188="","",$H1188-$I1188)</f>
        <v/>
      </c>
      <c r="K1188" s="10">
        <f>IF($A1188="","",IF($I1188=0,"",_xludf.AGGREGATE(14,6,Ventes_Encaissements!$C$6:$C$3005/(Ventes_Encaissements!$B$6:$B$3005=$A1188),1)))</f>
        <v/>
      </c>
      <c r="L1188" s="11">
        <f>IF($A1188="","",COUNTIFS(Ventes_Detail!$B$6:$B$3005,$A1188))</f>
        <v/>
      </c>
      <c r="M1188" s="12" t="n"/>
      <c r="N1188" s="12">
        <f>IF($A1188="","",IF($G1188="","",IF($M1188="Oui","Litige",IF($J1188&lt;=0,"Payé",IF($I1188&gt;0,"Partiel",IF(Listes!$B$3&gt;$G1188,"En retard","À échoir"))))))</f>
        <v/>
      </c>
      <c r="O1188" s="11">
        <f>IF($A1188="","",IF(OR($G1188="", $J1188&lt;=0),0,MAX(0,Listes!$B$3-$G1188)))</f>
        <v/>
      </c>
      <c r="P1188" s="12">
        <f>IF($A1188="","",IF($J1188&lt;=0,"Payé",IF($M1188="Oui","Litige",IF($O1188=0,"À échoir",IF($O1188&lt;=30,"0-30",IF($O1188&lt;=60,"31-60",IF($O1188&lt;=90,"61-90","90+")))))))</f>
        <v/>
      </c>
    </row>
    <row r="1189">
      <c r="A1189" s="6" t="n"/>
      <c r="B1189" s="6" t="n"/>
      <c r="C1189" s="6" t="n"/>
      <c r="D1189" s="6" t="n"/>
      <c r="E1189" s="6" t="n"/>
      <c r="F1189" s="7" t="n"/>
      <c r="G1189" s="7" t="n"/>
      <c r="H1189" s="8" t="n"/>
      <c r="I1189" s="9">
        <f>IF($A1189="","",SUMIFS(Ventes_Encaissements!$D$6:$D$3005,Ventes_Encaissements!$B$6:$B$3005,$A1189))</f>
        <v/>
      </c>
      <c r="J1189" s="9">
        <f>IF($A1189="","",$H1189-$I1189)</f>
        <v/>
      </c>
      <c r="K1189" s="10">
        <f>IF($A1189="","",IF($I1189=0,"",_xludf.AGGREGATE(14,6,Ventes_Encaissements!$C$6:$C$3005/(Ventes_Encaissements!$B$6:$B$3005=$A1189),1)))</f>
        <v/>
      </c>
      <c r="L1189" s="11">
        <f>IF($A1189="","",COUNTIFS(Ventes_Detail!$B$6:$B$3005,$A1189))</f>
        <v/>
      </c>
      <c r="M1189" s="12" t="n"/>
      <c r="N1189" s="12">
        <f>IF($A1189="","",IF($G1189="","",IF($M1189="Oui","Litige",IF($J1189&lt;=0,"Payé",IF($I1189&gt;0,"Partiel",IF(Listes!$B$3&gt;$G1189,"En retard","À échoir"))))))</f>
        <v/>
      </c>
      <c r="O1189" s="11">
        <f>IF($A1189="","",IF(OR($G1189="", $J1189&lt;=0),0,MAX(0,Listes!$B$3-$G1189)))</f>
        <v/>
      </c>
      <c r="P1189" s="12">
        <f>IF($A1189="","",IF($J1189&lt;=0,"Payé",IF($M1189="Oui","Litige",IF($O1189=0,"À échoir",IF($O1189&lt;=30,"0-30",IF($O1189&lt;=60,"31-60",IF($O1189&lt;=90,"61-90","90+")))))))</f>
        <v/>
      </c>
    </row>
    <row r="1190">
      <c r="A1190" s="6" t="n"/>
      <c r="B1190" s="6" t="n"/>
      <c r="C1190" s="6" t="n"/>
      <c r="D1190" s="6" t="n"/>
      <c r="E1190" s="6" t="n"/>
      <c r="F1190" s="7" t="n"/>
      <c r="G1190" s="7" t="n"/>
      <c r="H1190" s="8" t="n"/>
      <c r="I1190" s="9">
        <f>IF($A1190="","",SUMIFS(Ventes_Encaissements!$D$6:$D$3005,Ventes_Encaissements!$B$6:$B$3005,$A1190))</f>
        <v/>
      </c>
      <c r="J1190" s="9">
        <f>IF($A1190="","",$H1190-$I1190)</f>
        <v/>
      </c>
      <c r="K1190" s="10">
        <f>IF($A1190="","",IF($I1190=0,"",_xludf.AGGREGATE(14,6,Ventes_Encaissements!$C$6:$C$3005/(Ventes_Encaissements!$B$6:$B$3005=$A1190),1)))</f>
        <v/>
      </c>
      <c r="L1190" s="11">
        <f>IF($A1190="","",COUNTIFS(Ventes_Detail!$B$6:$B$3005,$A1190))</f>
        <v/>
      </c>
      <c r="M1190" s="12" t="n"/>
      <c r="N1190" s="12">
        <f>IF($A1190="","",IF($G1190="","",IF($M1190="Oui","Litige",IF($J1190&lt;=0,"Payé",IF($I1190&gt;0,"Partiel",IF(Listes!$B$3&gt;$G1190,"En retard","À échoir"))))))</f>
        <v/>
      </c>
      <c r="O1190" s="11">
        <f>IF($A1190="","",IF(OR($G1190="", $J1190&lt;=0),0,MAX(0,Listes!$B$3-$G1190)))</f>
        <v/>
      </c>
      <c r="P1190" s="12">
        <f>IF($A1190="","",IF($J1190&lt;=0,"Payé",IF($M1190="Oui","Litige",IF($O1190=0,"À échoir",IF($O1190&lt;=30,"0-30",IF($O1190&lt;=60,"31-60",IF($O1190&lt;=90,"61-90","90+")))))))</f>
        <v/>
      </c>
    </row>
    <row r="1191">
      <c r="A1191" s="6" t="n"/>
      <c r="B1191" s="6" t="n"/>
      <c r="C1191" s="6" t="n"/>
      <c r="D1191" s="6" t="n"/>
      <c r="E1191" s="6" t="n"/>
      <c r="F1191" s="7" t="n"/>
      <c r="G1191" s="7" t="n"/>
      <c r="H1191" s="8" t="n"/>
      <c r="I1191" s="9">
        <f>IF($A1191="","",SUMIFS(Ventes_Encaissements!$D$6:$D$3005,Ventes_Encaissements!$B$6:$B$3005,$A1191))</f>
        <v/>
      </c>
      <c r="J1191" s="9">
        <f>IF($A1191="","",$H1191-$I1191)</f>
        <v/>
      </c>
      <c r="K1191" s="10">
        <f>IF($A1191="","",IF($I1191=0,"",_xludf.AGGREGATE(14,6,Ventes_Encaissements!$C$6:$C$3005/(Ventes_Encaissements!$B$6:$B$3005=$A1191),1)))</f>
        <v/>
      </c>
      <c r="L1191" s="11">
        <f>IF($A1191="","",COUNTIFS(Ventes_Detail!$B$6:$B$3005,$A1191))</f>
        <v/>
      </c>
      <c r="M1191" s="12" t="n"/>
      <c r="N1191" s="12">
        <f>IF($A1191="","",IF($G1191="","",IF($M1191="Oui","Litige",IF($J1191&lt;=0,"Payé",IF($I1191&gt;0,"Partiel",IF(Listes!$B$3&gt;$G1191,"En retard","À échoir"))))))</f>
        <v/>
      </c>
      <c r="O1191" s="11">
        <f>IF($A1191="","",IF(OR($G1191="", $J1191&lt;=0),0,MAX(0,Listes!$B$3-$G1191)))</f>
        <v/>
      </c>
      <c r="P1191" s="12">
        <f>IF($A1191="","",IF($J1191&lt;=0,"Payé",IF($M1191="Oui","Litige",IF($O1191=0,"À échoir",IF($O1191&lt;=30,"0-30",IF($O1191&lt;=60,"31-60",IF($O1191&lt;=90,"61-90","90+")))))))</f>
        <v/>
      </c>
    </row>
    <row r="1192">
      <c r="A1192" s="6" t="n"/>
      <c r="B1192" s="6" t="n"/>
      <c r="C1192" s="6" t="n"/>
      <c r="D1192" s="6" t="n"/>
      <c r="E1192" s="6" t="n"/>
      <c r="F1192" s="7" t="n"/>
      <c r="G1192" s="7" t="n"/>
      <c r="H1192" s="8" t="n"/>
      <c r="I1192" s="9">
        <f>IF($A1192="","",SUMIFS(Ventes_Encaissements!$D$6:$D$3005,Ventes_Encaissements!$B$6:$B$3005,$A1192))</f>
        <v/>
      </c>
      <c r="J1192" s="9">
        <f>IF($A1192="","",$H1192-$I1192)</f>
        <v/>
      </c>
      <c r="K1192" s="10">
        <f>IF($A1192="","",IF($I1192=0,"",_xludf.AGGREGATE(14,6,Ventes_Encaissements!$C$6:$C$3005/(Ventes_Encaissements!$B$6:$B$3005=$A1192),1)))</f>
        <v/>
      </c>
      <c r="L1192" s="11">
        <f>IF($A1192="","",COUNTIFS(Ventes_Detail!$B$6:$B$3005,$A1192))</f>
        <v/>
      </c>
      <c r="M1192" s="12" t="n"/>
      <c r="N1192" s="12">
        <f>IF($A1192="","",IF($G1192="","",IF($M1192="Oui","Litige",IF($J1192&lt;=0,"Payé",IF($I1192&gt;0,"Partiel",IF(Listes!$B$3&gt;$G1192,"En retard","À échoir"))))))</f>
        <v/>
      </c>
      <c r="O1192" s="11">
        <f>IF($A1192="","",IF(OR($G1192="", $J1192&lt;=0),0,MAX(0,Listes!$B$3-$G1192)))</f>
        <v/>
      </c>
      <c r="P1192" s="12">
        <f>IF($A1192="","",IF($J1192&lt;=0,"Payé",IF($M1192="Oui","Litige",IF($O1192=0,"À échoir",IF($O1192&lt;=30,"0-30",IF($O1192&lt;=60,"31-60",IF($O1192&lt;=90,"61-90","90+")))))))</f>
        <v/>
      </c>
    </row>
    <row r="1193">
      <c r="A1193" s="6" t="n"/>
      <c r="B1193" s="6" t="n"/>
      <c r="C1193" s="6" t="n"/>
      <c r="D1193" s="6" t="n"/>
      <c r="E1193" s="6" t="n"/>
      <c r="F1193" s="7" t="n"/>
      <c r="G1193" s="7" t="n"/>
      <c r="H1193" s="8" t="n"/>
      <c r="I1193" s="9">
        <f>IF($A1193="","",SUMIFS(Ventes_Encaissements!$D$6:$D$3005,Ventes_Encaissements!$B$6:$B$3005,$A1193))</f>
        <v/>
      </c>
      <c r="J1193" s="9">
        <f>IF($A1193="","",$H1193-$I1193)</f>
        <v/>
      </c>
      <c r="K1193" s="10">
        <f>IF($A1193="","",IF($I1193=0,"",_xludf.AGGREGATE(14,6,Ventes_Encaissements!$C$6:$C$3005/(Ventes_Encaissements!$B$6:$B$3005=$A1193),1)))</f>
        <v/>
      </c>
      <c r="L1193" s="11">
        <f>IF($A1193="","",COUNTIFS(Ventes_Detail!$B$6:$B$3005,$A1193))</f>
        <v/>
      </c>
      <c r="M1193" s="12" t="n"/>
      <c r="N1193" s="12">
        <f>IF($A1193="","",IF($G1193="","",IF($M1193="Oui","Litige",IF($J1193&lt;=0,"Payé",IF($I1193&gt;0,"Partiel",IF(Listes!$B$3&gt;$G1193,"En retard","À échoir"))))))</f>
        <v/>
      </c>
      <c r="O1193" s="11">
        <f>IF($A1193="","",IF(OR($G1193="", $J1193&lt;=0),0,MAX(0,Listes!$B$3-$G1193)))</f>
        <v/>
      </c>
      <c r="P1193" s="12">
        <f>IF($A1193="","",IF($J1193&lt;=0,"Payé",IF($M1193="Oui","Litige",IF($O1193=0,"À échoir",IF($O1193&lt;=30,"0-30",IF($O1193&lt;=60,"31-60",IF($O1193&lt;=90,"61-90","90+")))))))</f>
        <v/>
      </c>
    </row>
    <row r="1194">
      <c r="A1194" s="6" t="n"/>
      <c r="B1194" s="6" t="n"/>
      <c r="C1194" s="6" t="n"/>
      <c r="D1194" s="6" t="n"/>
      <c r="E1194" s="6" t="n"/>
      <c r="F1194" s="7" t="n"/>
      <c r="G1194" s="7" t="n"/>
      <c r="H1194" s="8" t="n"/>
      <c r="I1194" s="9">
        <f>IF($A1194="","",SUMIFS(Ventes_Encaissements!$D$6:$D$3005,Ventes_Encaissements!$B$6:$B$3005,$A1194))</f>
        <v/>
      </c>
      <c r="J1194" s="9">
        <f>IF($A1194="","",$H1194-$I1194)</f>
        <v/>
      </c>
      <c r="K1194" s="10">
        <f>IF($A1194="","",IF($I1194=0,"",_xludf.AGGREGATE(14,6,Ventes_Encaissements!$C$6:$C$3005/(Ventes_Encaissements!$B$6:$B$3005=$A1194),1)))</f>
        <v/>
      </c>
      <c r="L1194" s="11">
        <f>IF($A1194="","",COUNTIFS(Ventes_Detail!$B$6:$B$3005,$A1194))</f>
        <v/>
      </c>
      <c r="M1194" s="12" t="n"/>
      <c r="N1194" s="12">
        <f>IF($A1194="","",IF($G1194="","",IF($M1194="Oui","Litige",IF($J1194&lt;=0,"Payé",IF($I1194&gt;0,"Partiel",IF(Listes!$B$3&gt;$G1194,"En retard","À échoir"))))))</f>
        <v/>
      </c>
      <c r="O1194" s="11">
        <f>IF($A1194="","",IF(OR($G1194="", $J1194&lt;=0),0,MAX(0,Listes!$B$3-$G1194)))</f>
        <v/>
      </c>
      <c r="P1194" s="12">
        <f>IF($A1194="","",IF($J1194&lt;=0,"Payé",IF($M1194="Oui","Litige",IF($O1194=0,"À échoir",IF($O1194&lt;=30,"0-30",IF($O1194&lt;=60,"31-60",IF($O1194&lt;=90,"61-90","90+")))))))</f>
        <v/>
      </c>
    </row>
    <row r="1195">
      <c r="A1195" s="6" t="n"/>
      <c r="B1195" s="6" t="n"/>
      <c r="C1195" s="6" t="n"/>
      <c r="D1195" s="6" t="n"/>
      <c r="E1195" s="6" t="n"/>
      <c r="F1195" s="7" t="n"/>
      <c r="G1195" s="7" t="n"/>
      <c r="H1195" s="8" t="n"/>
      <c r="I1195" s="9">
        <f>IF($A1195="","",SUMIFS(Ventes_Encaissements!$D$6:$D$3005,Ventes_Encaissements!$B$6:$B$3005,$A1195))</f>
        <v/>
      </c>
      <c r="J1195" s="9">
        <f>IF($A1195="","",$H1195-$I1195)</f>
        <v/>
      </c>
      <c r="K1195" s="10">
        <f>IF($A1195="","",IF($I1195=0,"",_xludf.AGGREGATE(14,6,Ventes_Encaissements!$C$6:$C$3005/(Ventes_Encaissements!$B$6:$B$3005=$A1195),1)))</f>
        <v/>
      </c>
      <c r="L1195" s="11">
        <f>IF($A1195="","",COUNTIFS(Ventes_Detail!$B$6:$B$3005,$A1195))</f>
        <v/>
      </c>
      <c r="M1195" s="12" t="n"/>
      <c r="N1195" s="12">
        <f>IF($A1195="","",IF($G1195="","",IF($M1195="Oui","Litige",IF($J1195&lt;=0,"Payé",IF($I1195&gt;0,"Partiel",IF(Listes!$B$3&gt;$G1195,"En retard","À échoir"))))))</f>
        <v/>
      </c>
      <c r="O1195" s="11">
        <f>IF($A1195="","",IF(OR($G1195="", $J1195&lt;=0),0,MAX(0,Listes!$B$3-$G1195)))</f>
        <v/>
      </c>
      <c r="P1195" s="12">
        <f>IF($A1195="","",IF($J1195&lt;=0,"Payé",IF($M1195="Oui","Litige",IF($O1195=0,"À échoir",IF($O1195&lt;=30,"0-30",IF($O1195&lt;=60,"31-60",IF($O1195&lt;=90,"61-90","90+")))))))</f>
        <v/>
      </c>
    </row>
    <row r="1196">
      <c r="A1196" s="6" t="n"/>
      <c r="B1196" s="6" t="n"/>
      <c r="C1196" s="6" t="n"/>
      <c r="D1196" s="6" t="n"/>
      <c r="E1196" s="6" t="n"/>
      <c r="F1196" s="7" t="n"/>
      <c r="G1196" s="7" t="n"/>
      <c r="H1196" s="8" t="n"/>
      <c r="I1196" s="9">
        <f>IF($A1196="","",SUMIFS(Ventes_Encaissements!$D$6:$D$3005,Ventes_Encaissements!$B$6:$B$3005,$A1196))</f>
        <v/>
      </c>
      <c r="J1196" s="9">
        <f>IF($A1196="","",$H1196-$I1196)</f>
        <v/>
      </c>
      <c r="K1196" s="10">
        <f>IF($A1196="","",IF($I1196=0,"",_xludf.AGGREGATE(14,6,Ventes_Encaissements!$C$6:$C$3005/(Ventes_Encaissements!$B$6:$B$3005=$A1196),1)))</f>
        <v/>
      </c>
      <c r="L1196" s="11">
        <f>IF($A1196="","",COUNTIFS(Ventes_Detail!$B$6:$B$3005,$A1196))</f>
        <v/>
      </c>
      <c r="M1196" s="12" t="n"/>
      <c r="N1196" s="12">
        <f>IF($A1196="","",IF($G1196="","",IF($M1196="Oui","Litige",IF($J1196&lt;=0,"Payé",IF($I1196&gt;0,"Partiel",IF(Listes!$B$3&gt;$G1196,"En retard","À échoir"))))))</f>
        <v/>
      </c>
      <c r="O1196" s="11">
        <f>IF($A1196="","",IF(OR($G1196="", $J1196&lt;=0),0,MAX(0,Listes!$B$3-$G1196)))</f>
        <v/>
      </c>
      <c r="P1196" s="12">
        <f>IF($A1196="","",IF($J1196&lt;=0,"Payé",IF($M1196="Oui","Litige",IF($O1196=0,"À échoir",IF($O1196&lt;=30,"0-30",IF($O1196&lt;=60,"31-60",IF($O1196&lt;=90,"61-90","90+")))))))</f>
        <v/>
      </c>
    </row>
    <row r="1197">
      <c r="A1197" s="6" t="n"/>
      <c r="B1197" s="6" t="n"/>
      <c r="C1197" s="6" t="n"/>
      <c r="D1197" s="6" t="n"/>
      <c r="E1197" s="6" t="n"/>
      <c r="F1197" s="7" t="n"/>
      <c r="G1197" s="7" t="n"/>
      <c r="H1197" s="8" t="n"/>
      <c r="I1197" s="9">
        <f>IF($A1197="","",SUMIFS(Ventes_Encaissements!$D$6:$D$3005,Ventes_Encaissements!$B$6:$B$3005,$A1197))</f>
        <v/>
      </c>
      <c r="J1197" s="9">
        <f>IF($A1197="","",$H1197-$I1197)</f>
        <v/>
      </c>
      <c r="K1197" s="10">
        <f>IF($A1197="","",IF($I1197=0,"",_xludf.AGGREGATE(14,6,Ventes_Encaissements!$C$6:$C$3005/(Ventes_Encaissements!$B$6:$B$3005=$A1197),1)))</f>
        <v/>
      </c>
      <c r="L1197" s="11">
        <f>IF($A1197="","",COUNTIFS(Ventes_Detail!$B$6:$B$3005,$A1197))</f>
        <v/>
      </c>
      <c r="M1197" s="12" t="n"/>
      <c r="N1197" s="12">
        <f>IF($A1197="","",IF($G1197="","",IF($M1197="Oui","Litige",IF($J1197&lt;=0,"Payé",IF($I1197&gt;0,"Partiel",IF(Listes!$B$3&gt;$G1197,"En retard","À échoir"))))))</f>
        <v/>
      </c>
      <c r="O1197" s="11">
        <f>IF($A1197="","",IF(OR($G1197="", $J1197&lt;=0),0,MAX(0,Listes!$B$3-$G1197)))</f>
        <v/>
      </c>
      <c r="P1197" s="12">
        <f>IF($A1197="","",IF($J1197&lt;=0,"Payé",IF($M1197="Oui","Litige",IF($O1197=0,"À échoir",IF($O1197&lt;=30,"0-30",IF($O1197&lt;=60,"31-60",IF($O1197&lt;=90,"61-90","90+")))))))</f>
        <v/>
      </c>
    </row>
    <row r="1198">
      <c r="A1198" s="6" t="n"/>
      <c r="B1198" s="6" t="n"/>
      <c r="C1198" s="6" t="n"/>
      <c r="D1198" s="6" t="n"/>
      <c r="E1198" s="6" t="n"/>
      <c r="F1198" s="7" t="n"/>
      <c r="G1198" s="7" t="n"/>
      <c r="H1198" s="8" t="n"/>
      <c r="I1198" s="9">
        <f>IF($A1198="","",SUMIFS(Ventes_Encaissements!$D$6:$D$3005,Ventes_Encaissements!$B$6:$B$3005,$A1198))</f>
        <v/>
      </c>
      <c r="J1198" s="9">
        <f>IF($A1198="","",$H1198-$I1198)</f>
        <v/>
      </c>
      <c r="K1198" s="10">
        <f>IF($A1198="","",IF($I1198=0,"",_xludf.AGGREGATE(14,6,Ventes_Encaissements!$C$6:$C$3005/(Ventes_Encaissements!$B$6:$B$3005=$A1198),1)))</f>
        <v/>
      </c>
      <c r="L1198" s="11">
        <f>IF($A1198="","",COUNTIFS(Ventes_Detail!$B$6:$B$3005,$A1198))</f>
        <v/>
      </c>
      <c r="M1198" s="12" t="n"/>
      <c r="N1198" s="12">
        <f>IF($A1198="","",IF($G1198="","",IF($M1198="Oui","Litige",IF($J1198&lt;=0,"Payé",IF($I1198&gt;0,"Partiel",IF(Listes!$B$3&gt;$G1198,"En retard","À échoir"))))))</f>
        <v/>
      </c>
      <c r="O1198" s="11">
        <f>IF($A1198="","",IF(OR($G1198="", $J1198&lt;=0),0,MAX(0,Listes!$B$3-$G1198)))</f>
        <v/>
      </c>
      <c r="P1198" s="12">
        <f>IF($A1198="","",IF($J1198&lt;=0,"Payé",IF($M1198="Oui","Litige",IF($O1198=0,"À échoir",IF($O1198&lt;=30,"0-30",IF($O1198&lt;=60,"31-60",IF($O1198&lt;=90,"61-90","90+")))))))</f>
        <v/>
      </c>
    </row>
    <row r="1199">
      <c r="A1199" s="6" t="n"/>
      <c r="B1199" s="6" t="n"/>
      <c r="C1199" s="6" t="n"/>
      <c r="D1199" s="6" t="n"/>
      <c r="E1199" s="6" t="n"/>
      <c r="F1199" s="7" t="n"/>
      <c r="G1199" s="7" t="n"/>
      <c r="H1199" s="8" t="n"/>
      <c r="I1199" s="9">
        <f>IF($A1199="","",SUMIFS(Ventes_Encaissements!$D$6:$D$3005,Ventes_Encaissements!$B$6:$B$3005,$A1199))</f>
        <v/>
      </c>
      <c r="J1199" s="9">
        <f>IF($A1199="","",$H1199-$I1199)</f>
        <v/>
      </c>
      <c r="K1199" s="10">
        <f>IF($A1199="","",IF($I1199=0,"",_xludf.AGGREGATE(14,6,Ventes_Encaissements!$C$6:$C$3005/(Ventes_Encaissements!$B$6:$B$3005=$A1199),1)))</f>
        <v/>
      </c>
      <c r="L1199" s="11">
        <f>IF($A1199="","",COUNTIFS(Ventes_Detail!$B$6:$B$3005,$A1199))</f>
        <v/>
      </c>
      <c r="M1199" s="12" t="n"/>
      <c r="N1199" s="12">
        <f>IF($A1199="","",IF($G1199="","",IF($M1199="Oui","Litige",IF($J1199&lt;=0,"Payé",IF($I1199&gt;0,"Partiel",IF(Listes!$B$3&gt;$G1199,"En retard","À échoir"))))))</f>
        <v/>
      </c>
      <c r="O1199" s="11">
        <f>IF($A1199="","",IF(OR($G1199="", $J1199&lt;=0),0,MAX(0,Listes!$B$3-$G1199)))</f>
        <v/>
      </c>
      <c r="P1199" s="12">
        <f>IF($A1199="","",IF($J1199&lt;=0,"Payé",IF($M1199="Oui","Litige",IF($O1199=0,"À échoir",IF($O1199&lt;=30,"0-30",IF($O1199&lt;=60,"31-60",IF($O1199&lt;=90,"61-90","90+")))))))</f>
        <v/>
      </c>
    </row>
    <row r="1200">
      <c r="A1200" s="6" t="n"/>
      <c r="B1200" s="6" t="n"/>
      <c r="C1200" s="6" t="n"/>
      <c r="D1200" s="6" t="n"/>
      <c r="E1200" s="6" t="n"/>
      <c r="F1200" s="7" t="n"/>
      <c r="G1200" s="7" t="n"/>
      <c r="H1200" s="8" t="n"/>
      <c r="I1200" s="9">
        <f>IF($A1200="","",SUMIFS(Ventes_Encaissements!$D$6:$D$3005,Ventes_Encaissements!$B$6:$B$3005,$A1200))</f>
        <v/>
      </c>
      <c r="J1200" s="9">
        <f>IF($A1200="","",$H1200-$I1200)</f>
        <v/>
      </c>
      <c r="K1200" s="10">
        <f>IF($A1200="","",IF($I1200=0,"",_xludf.AGGREGATE(14,6,Ventes_Encaissements!$C$6:$C$3005/(Ventes_Encaissements!$B$6:$B$3005=$A1200),1)))</f>
        <v/>
      </c>
      <c r="L1200" s="11">
        <f>IF($A1200="","",COUNTIFS(Ventes_Detail!$B$6:$B$3005,$A1200))</f>
        <v/>
      </c>
      <c r="M1200" s="12" t="n"/>
      <c r="N1200" s="12">
        <f>IF($A1200="","",IF($G1200="","",IF($M1200="Oui","Litige",IF($J1200&lt;=0,"Payé",IF($I1200&gt;0,"Partiel",IF(Listes!$B$3&gt;$G1200,"En retard","À échoir"))))))</f>
        <v/>
      </c>
      <c r="O1200" s="11">
        <f>IF($A1200="","",IF(OR($G1200="", $J1200&lt;=0),0,MAX(0,Listes!$B$3-$G1200)))</f>
        <v/>
      </c>
      <c r="P1200" s="12">
        <f>IF($A1200="","",IF($J1200&lt;=0,"Payé",IF($M1200="Oui","Litige",IF($O1200=0,"À échoir",IF($O1200&lt;=30,"0-30",IF($O1200&lt;=60,"31-60",IF($O1200&lt;=90,"61-90","90+")))))))</f>
        <v/>
      </c>
    </row>
    <row r="1201">
      <c r="A1201" s="6" t="n"/>
      <c r="B1201" s="6" t="n"/>
      <c r="C1201" s="6" t="n"/>
      <c r="D1201" s="6" t="n"/>
      <c r="E1201" s="6" t="n"/>
      <c r="F1201" s="7" t="n"/>
      <c r="G1201" s="7" t="n"/>
      <c r="H1201" s="8" t="n"/>
      <c r="I1201" s="9">
        <f>IF($A1201="","",SUMIFS(Ventes_Encaissements!$D$6:$D$3005,Ventes_Encaissements!$B$6:$B$3005,$A1201))</f>
        <v/>
      </c>
      <c r="J1201" s="9">
        <f>IF($A1201="","",$H1201-$I1201)</f>
        <v/>
      </c>
      <c r="K1201" s="10">
        <f>IF($A1201="","",IF($I1201=0,"",_xludf.AGGREGATE(14,6,Ventes_Encaissements!$C$6:$C$3005/(Ventes_Encaissements!$B$6:$B$3005=$A1201),1)))</f>
        <v/>
      </c>
      <c r="L1201" s="11">
        <f>IF($A1201="","",COUNTIFS(Ventes_Detail!$B$6:$B$3005,$A1201))</f>
        <v/>
      </c>
      <c r="M1201" s="12" t="n"/>
      <c r="N1201" s="12">
        <f>IF($A1201="","",IF($G1201="","",IF($M1201="Oui","Litige",IF($J1201&lt;=0,"Payé",IF($I1201&gt;0,"Partiel",IF(Listes!$B$3&gt;$G1201,"En retard","À échoir"))))))</f>
        <v/>
      </c>
      <c r="O1201" s="11">
        <f>IF($A1201="","",IF(OR($G1201="", $J1201&lt;=0),0,MAX(0,Listes!$B$3-$G1201)))</f>
        <v/>
      </c>
      <c r="P1201" s="12">
        <f>IF($A1201="","",IF($J1201&lt;=0,"Payé",IF($M1201="Oui","Litige",IF($O1201=0,"À échoir",IF($O1201&lt;=30,"0-30",IF($O1201&lt;=60,"31-60",IF($O1201&lt;=90,"61-90","90+")))))))</f>
        <v/>
      </c>
    </row>
    <row r="1202">
      <c r="A1202" s="6" t="n"/>
      <c r="B1202" s="6" t="n"/>
      <c r="C1202" s="6" t="n"/>
      <c r="D1202" s="6" t="n"/>
      <c r="E1202" s="6" t="n"/>
      <c r="F1202" s="7" t="n"/>
      <c r="G1202" s="7" t="n"/>
      <c r="H1202" s="8" t="n"/>
      <c r="I1202" s="9">
        <f>IF($A1202="","",SUMIFS(Ventes_Encaissements!$D$6:$D$3005,Ventes_Encaissements!$B$6:$B$3005,$A1202))</f>
        <v/>
      </c>
      <c r="J1202" s="9">
        <f>IF($A1202="","",$H1202-$I1202)</f>
        <v/>
      </c>
      <c r="K1202" s="10">
        <f>IF($A1202="","",IF($I1202=0,"",_xludf.AGGREGATE(14,6,Ventes_Encaissements!$C$6:$C$3005/(Ventes_Encaissements!$B$6:$B$3005=$A1202),1)))</f>
        <v/>
      </c>
      <c r="L1202" s="11">
        <f>IF($A1202="","",COUNTIFS(Ventes_Detail!$B$6:$B$3005,$A1202))</f>
        <v/>
      </c>
      <c r="M1202" s="12" t="n"/>
      <c r="N1202" s="12">
        <f>IF($A1202="","",IF($G1202="","",IF($M1202="Oui","Litige",IF($J1202&lt;=0,"Payé",IF($I1202&gt;0,"Partiel",IF(Listes!$B$3&gt;$G1202,"En retard","À échoir"))))))</f>
        <v/>
      </c>
      <c r="O1202" s="11">
        <f>IF($A1202="","",IF(OR($G1202="", $J1202&lt;=0),0,MAX(0,Listes!$B$3-$G1202)))</f>
        <v/>
      </c>
      <c r="P1202" s="12">
        <f>IF($A1202="","",IF($J1202&lt;=0,"Payé",IF($M1202="Oui","Litige",IF($O1202=0,"À échoir",IF($O1202&lt;=30,"0-30",IF($O1202&lt;=60,"31-60",IF($O1202&lt;=90,"61-90","90+")))))))</f>
        <v/>
      </c>
    </row>
    <row r="1203">
      <c r="A1203" s="6" t="n"/>
      <c r="B1203" s="6" t="n"/>
      <c r="C1203" s="6" t="n"/>
      <c r="D1203" s="6" t="n"/>
      <c r="E1203" s="6" t="n"/>
      <c r="F1203" s="7" t="n"/>
      <c r="G1203" s="7" t="n"/>
      <c r="H1203" s="8" t="n"/>
      <c r="I1203" s="9">
        <f>IF($A1203="","",SUMIFS(Ventes_Encaissements!$D$6:$D$3005,Ventes_Encaissements!$B$6:$B$3005,$A1203))</f>
        <v/>
      </c>
      <c r="J1203" s="9">
        <f>IF($A1203="","",$H1203-$I1203)</f>
        <v/>
      </c>
      <c r="K1203" s="10">
        <f>IF($A1203="","",IF($I1203=0,"",_xludf.AGGREGATE(14,6,Ventes_Encaissements!$C$6:$C$3005/(Ventes_Encaissements!$B$6:$B$3005=$A1203),1)))</f>
        <v/>
      </c>
      <c r="L1203" s="11">
        <f>IF($A1203="","",COUNTIFS(Ventes_Detail!$B$6:$B$3005,$A1203))</f>
        <v/>
      </c>
      <c r="M1203" s="12" t="n"/>
      <c r="N1203" s="12">
        <f>IF($A1203="","",IF($G1203="","",IF($M1203="Oui","Litige",IF($J1203&lt;=0,"Payé",IF($I1203&gt;0,"Partiel",IF(Listes!$B$3&gt;$G1203,"En retard","À échoir"))))))</f>
        <v/>
      </c>
      <c r="O1203" s="11">
        <f>IF($A1203="","",IF(OR($G1203="", $J1203&lt;=0),0,MAX(0,Listes!$B$3-$G1203)))</f>
        <v/>
      </c>
      <c r="P1203" s="12">
        <f>IF($A1203="","",IF($J1203&lt;=0,"Payé",IF($M1203="Oui","Litige",IF($O1203=0,"À échoir",IF($O1203&lt;=30,"0-30",IF($O1203&lt;=60,"31-60",IF($O1203&lt;=90,"61-90","90+")))))))</f>
        <v/>
      </c>
    </row>
    <row r="1204">
      <c r="A1204" s="6" t="n"/>
      <c r="B1204" s="6" t="n"/>
      <c r="C1204" s="6" t="n"/>
      <c r="D1204" s="6" t="n"/>
      <c r="E1204" s="6" t="n"/>
      <c r="F1204" s="7" t="n"/>
      <c r="G1204" s="7" t="n"/>
      <c r="H1204" s="8" t="n"/>
      <c r="I1204" s="9">
        <f>IF($A1204="","",SUMIFS(Ventes_Encaissements!$D$6:$D$3005,Ventes_Encaissements!$B$6:$B$3005,$A1204))</f>
        <v/>
      </c>
      <c r="J1204" s="9">
        <f>IF($A1204="","",$H1204-$I1204)</f>
        <v/>
      </c>
      <c r="K1204" s="10">
        <f>IF($A1204="","",IF($I1204=0,"",_xludf.AGGREGATE(14,6,Ventes_Encaissements!$C$6:$C$3005/(Ventes_Encaissements!$B$6:$B$3005=$A1204),1)))</f>
        <v/>
      </c>
      <c r="L1204" s="11">
        <f>IF($A1204="","",COUNTIFS(Ventes_Detail!$B$6:$B$3005,$A1204))</f>
        <v/>
      </c>
      <c r="M1204" s="12" t="n"/>
      <c r="N1204" s="12">
        <f>IF($A1204="","",IF($G1204="","",IF($M1204="Oui","Litige",IF($J1204&lt;=0,"Payé",IF($I1204&gt;0,"Partiel",IF(Listes!$B$3&gt;$G1204,"En retard","À échoir"))))))</f>
        <v/>
      </c>
      <c r="O1204" s="11">
        <f>IF($A1204="","",IF(OR($G1204="", $J1204&lt;=0),0,MAX(0,Listes!$B$3-$G1204)))</f>
        <v/>
      </c>
      <c r="P1204" s="12">
        <f>IF($A1204="","",IF($J1204&lt;=0,"Payé",IF($M1204="Oui","Litige",IF($O1204=0,"À échoir",IF($O1204&lt;=30,"0-30",IF($O1204&lt;=60,"31-60",IF($O1204&lt;=90,"61-90","90+")))))))</f>
        <v/>
      </c>
    </row>
    <row r="1205">
      <c r="A1205" s="6" t="n"/>
      <c r="B1205" s="6" t="n"/>
      <c r="C1205" s="6" t="n"/>
      <c r="D1205" s="6" t="n"/>
      <c r="E1205" s="6" t="n"/>
      <c r="F1205" s="7" t="n"/>
      <c r="G1205" s="7" t="n"/>
      <c r="H1205" s="8" t="n"/>
      <c r="I1205" s="9">
        <f>IF($A1205="","",SUMIFS(Ventes_Encaissements!$D$6:$D$3005,Ventes_Encaissements!$B$6:$B$3005,$A1205))</f>
        <v/>
      </c>
      <c r="J1205" s="9">
        <f>IF($A1205="","",$H1205-$I1205)</f>
        <v/>
      </c>
      <c r="K1205" s="10">
        <f>IF($A1205="","",IF($I1205=0,"",_xludf.AGGREGATE(14,6,Ventes_Encaissements!$C$6:$C$3005/(Ventes_Encaissements!$B$6:$B$3005=$A1205),1)))</f>
        <v/>
      </c>
      <c r="L1205" s="11">
        <f>IF($A1205="","",COUNTIFS(Ventes_Detail!$B$6:$B$3005,$A1205))</f>
        <v/>
      </c>
      <c r="M1205" s="12" t="n"/>
      <c r="N1205" s="12">
        <f>IF($A1205="","",IF($G1205="","",IF($M1205="Oui","Litige",IF($J1205&lt;=0,"Payé",IF($I1205&gt;0,"Partiel",IF(Listes!$B$3&gt;$G1205,"En retard","À échoir"))))))</f>
        <v/>
      </c>
      <c r="O1205" s="11">
        <f>IF($A1205="","",IF(OR($G1205="", $J1205&lt;=0),0,MAX(0,Listes!$B$3-$G1205)))</f>
        <v/>
      </c>
      <c r="P1205" s="12">
        <f>IF($A1205="","",IF($J1205&lt;=0,"Payé",IF($M1205="Oui","Litige",IF($O1205=0,"À échoir",IF($O1205&lt;=30,"0-30",IF($O1205&lt;=60,"31-60",IF($O1205&lt;=90,"61-90","90+")))))))</f>
        <v/>
      </c>
    </row>
    <row r="1206">
      <c r="A1206" s="6" t="n"/>
      <c r="B1206" s="6" t="n"/>
      <c r="C1206" s="6" t="n"/>
      <c r="D1206" s="6" t="n"/>
      <c r="E1206" s="6" t="n"/>
      <c r="F1206" s="7" t="n"/>
      <c r="G1206" s="7" t="n"/>
      <c r="H1206" s="8" t="n"/>
      <c r="I1206" s="9">
        <f>IF($A1206="","",SUMIFS(Ventes_Encaissements!$D$6:$D$3005,Ventes_Encaissements!$B$6:$B$3005,$A1206))</f>
        <v/>
      </c>
      <c r="J1206" s="9">
        <f>IF($A1206="","",$H1206-$I1206)</f>
        <v/>
      </c>
      <c r="K1206" s="10">
        <f>IF($A1206="","",IF($I1206=0,"",_xludf.AGGREGATE(14,6,Ventes_Encaissements!$C$6:$C$3005/(Ventes_Encaissements!$B$6:$B$3005=$A1206),1)))</f>
        <v/>
      </c>
      <c r="L1206" s="11">
        <f>IF($A1206="","",COUNTIFS(Ventes_Detail!$B$6:$B$3005,$A1206))</f>
        <v/>
      </c>
      <c r="M1206" s="12" t="n"/>
      <c r="N1206" s="12">
        <f>IF($A1206="","",IF($G1206="","",IF($M1206="Oui","Litige",IF($J1206&lt;=0,"Payé",IF($I1206&gt;0,"Partiel",IF(Listes!$B$3&gt;$G1206,"En retard","À échoir"))))))</f>
        <v/>
      </c>
      <c r="O1206" s="11">
        <f>IF($A1206="","",IF(OR($G1206="", $J1206&lt;=0),0,MAX(0,Listes!$B$3-$G1206)))</f>
        <v/>
      </c>
      <c r="P1206" s="12">
        <f>IF($A1206="","",IF($J1206&lt;=0,"Payé",IF($M1206="Oui","Litige",IF($O1206=0,"À échoir",IF($O1206&lt;=30,"0-30",IF($O1206&lt;=60,"31-60",IF($O1206&lt;=90,"61-90","90+")))))))</f>
        <v/>
      </c>
    </row>
    <row r="1207">
      <c r="A1207" s="6" t="n"/>
      <c r="B1207" s="6" t="n"/>
      <c r="C1207" s="6" t="n"/>
      <c r="D1207" s="6" t="n"/>
      <c r="E1207" s="6" t="n"/>
      <c r="F1207" s="7" t="n"/>
      <c r="G1207" s="7" t="n"/>
      <c r="H1207" s="8" t="n"/>
      <c r="I1207" s="9">
        <f>IF($A1207="","",SUMIFS(Ventes_Encaissements!$D$6:$D$3005,Ventes_Encaissements!$B$6:$B$3005,$A1207))</f>
        <v/>
      </c>
      <c r="J1207" s="9">
        <f>IF($A1207="","",$H1207-$I1207)</f>
        <v/>
      </c>
      <c r="K1207" s="10">
        <f>IF($A1207="","",IF($I1207=0,"",_xludf.AGGREGATE(14,6,Ventes_Encaissements!$C$6:$C$3005/(Ventes_Encaissements!$B$6:$B$3005=$A1207),1)))</f>
        <v/>
      </c>
      <c r="L1207" s="11">
        <f>IF($A1207="","",COUNTIFS(Ventes_Detail!$B$6:$B$3005,$A1207))</f>
        <v/>
      </c>
      <c r="M1207" s="12" t="n"/>
      <c r="N1207" s="12">
        <f>IF($A1207="","",IF($G1207="","",IF($M1207="Oui","Litige",IF($J1207&lt;=0,"Payé",IF($I1207&gt;0,"Partiel",IF(Listes!$B$3&gt;$G1207,"En retard","À échoir"))))))</f>
        <v/>
      </c>
      <c r="O1207" s="11">
        <f>IF($A1207="","",IF(OR($G1207="", $J1207&lt;=0),0,MAX(0,Listes!$B$3-$G1207)))</f>
        <v/>
      </c>
      <c r="P1207" s="12">
        <f>IF($A1207="","",IF($J1207&lt;=0,"Payé",IF($M1207="Oui","Litige",IF($O1207=0,"À échoir",IF($O1207&lt;=30,"0-30",IF($O1207&lt;=60,"31-60",IF($O1207&lt;=90,"61-90","90+")))))))</f>
        <v/>
      </c>
    </row>
    <row r="1208">
      <c r="A1208" s="6" t="n"/>
      <c r="B1208" s="6" t="n"/>
      <c r="C1208" s="6" t="n"/>
      <c r="D1208" s="6" t="n"/>
      <c r="E1208" s="6" t="n"/>
      <c r="F1208" s="7" t="n"/>
      <c r="G1208" s="7" t="n"/>
      <c r="H1208" s="8" t="n"/>
      <c r="I1208" s="9">
        <f>IF($A1208="","",SUMIFS(Ventes_Encaissements!$D$6:$D$3005,Ventes_Encaissements!$B$6:$B$3005,$A1208))</f>
        <v/>
      </c>
      <c r="J1208" s="9">
        <f>IF($A1208="","",$H1208-$I1208)</f>
        <v/>
      </c>
      <c r="K1208" s="10">
        <f>IF($A1208="","",IF($I1208=0,"",_xludf.AGGREGATE(14,6,Ventes_Encaissements!$C$6:$C$3005/(Ventes_Encaissements!$B$6:$B$3005=$A1208),1)))</f>
        <v/>
      </c>
      <c r="L1208" s="11">
        <f>IF($A1208="","",COUNTIFS(Ventes_Detail!$B$6:$B$3005,$A1208))</f>
        <v/>
      </c>
      <c r="M1208" s="12" t="n"/>
      <c r="N1208" s="12">
        <f>IF($A1208="","",IF($G1208="","",IF($M1208="Oui","Litige",IF($J1208&lt;=0,"Payé",IF($I1208&gt;0,"Partiel",IF(Listes!$B$3&gt;$G1208,"En retard","À échoir"))))))</f>
        <v/>
      </c>
      <c r="O1208" s="11">
        <f>IF($A1208="","",IF(OR($G1208="", $J1208&lt;=0),0,MAX(0,Listes!$B$3-$G1208)))</f>
        <v/>
      </c>
      <c r="P1208" s="12">
        <f>IF($A1208="","",IF($J1208&lt;=0,"Payé",IF($M1208="Oui","Litige",IF($O1208=0,"À échoir",IF($O1208&lt;=30,"0-30",IF($O1208&lt;=60,"31-60",IF($O1208&lt;=90,"61-90","90+")))))))</f>
        <v/>
      </c>
    </row>
    <row r="1209">
      <c r="A1209" s="6" t="n"/>
      <c r="B1209" s="6" t="n"/>
      <c r="C1209" s="6" t="n"/>
      <c r="D1209" s="6" t="n"/>
      <c r="E1209" s="6" t="n"/>
      <c r="F1209" s="7" t="n"/>
      <c r="G1209" s="7" t="n"/>
      <c r="H1209" s="8" t="n"/>
      <c r="I1209" s="9">
        <f>IF($A1209="","",SUMIFS(Ventes_Encaissements!$D$6:$D$3005,Ventes_Encaissements!$B$6:$B$3005,$A1209))</f>
        <v/>
      </c>
      <c r="J1209" s="9">
        <f>IF($A1209="","",$H1209-$I1209)</f>
        <v/>
      </c>
      <c r="K1209" s="10">
        <f>IF($A1209="","",IF($I1209=0,"",_xludf.AGGREGATE(14,6,Ventes_Encaissements!$C$6:$C$3005/(Ventes_Encaissements!$B$6:$B$3005=$A1209),1)))</f>
        <v/>
      </c>
      <c r="L1209" s="11">
        <f>IF($A1209="","",COUNTIFS(Ventes_Detail!$B$6:$B$3005,$A1209))</f>
        <v/>
      </c>
      <c r="M1209" s="12" t="n"/>
      <c r="N1209" s="12">
        <f>IF($A1209="","",IF($G1209="","",IF($M1209="Oui","Litige",IF($J1209&lt;=0,"Payé",IF($I1209&gt;0,"Partiel",IF(Listes!$B$3&gt;$G1209,"En retard","À échoir"))))))</f>
        <v/>
      </c>
      <c r="O1209" s="11">
        <f>IF($A1209="","",IF(OR($G1209="", $J1209&lt;=0),0,MAX(0,Listes!$B$3-$G1209)))</f>
        <v/>
      </c>
      <c r="P1209" s="12">
        <f>IF($A1209="","",IF($J1209&lt;=0,"Payé",IF($M1209="Oui","Litige",IF($O1209=0,"À échoir",IF($O1209&lt;=30,"0-30",IF($O1209&lt;=60,"31-60",IF($O1209&lt;=90,"61-90","90+")))))))</f>
        <v/>
      </c>
    </row>
    <row r="1210">
      <c r="A1210" s="6" t="n"/>
      <c r="B1210" s="6" t="n"/>
      <c r="C1210" s="6" t="n"/>
      <c r="D1210" s="6" t="n"/>
      <c r="E1210" s="6" t="n"/>
      <c r="F1210" s="7" t="n"/>
      <c r="G1210" s="7" t="n"/>
      <c r="H1210" s="8" t="n"/>
      <c r="I1210" s="9">
        <f>IF($A1210="","",SUMIFS(Ventes_Encaissements!$D$6:$D$3005,Ventes_Encaissements!$B$6:$B$3005,$A1210))</f>
        <v/>
      </c>
      <c r="J1210" s="9">
        <f>IF($A1210="","",$H1210-$I1210)</f>
        <v/>
      </c>
      <c r="K1210" s="10">
        <f>IF($A1210="","",IF($I1210=0,"",_xludf.AGGREGATE(14,6,Ventes_Encaissements!$C$6:$C$3005/(Ventes_Encaissements!$B$6:$B$3005=$A1210),1)))</f>
        <v/>
      </c>
      <c r="L1210" s="11">
        <f>IF($A1210="","",COUNTIFS(Ventes_Detail!$B$6:$B$3005,$A1210))</f>
        <v/>
      </c>
      <c r="M1210" s="12" t="n"/>
      <c r="N1210" s="12">
        <f>IF($A1210="","",IF($G1210="","",IF($M1210="Oui","Litige",IF($J1210&lt;=0,"Payé",IF($I1210&gt;0,"Partiel",IF(Listes!$B$3&gt;$G1210,"En retard","À échoir"))))))</f>
        <v/>
      </c>
      <c r="O1210" s="11">
        <f>IF($A1210="","",IF(OR($G1210="", $J1210&lt;=0),0,MAX(0,Listes!$B$3-$G1210)))</f>
        <v/>
      </c>
      <c r="P1210" s="12">
        <f>IF($A1210="","",IF($J1210&lt;=0,"Payé",IF($M1210="Oui","Litige",IF($O1210=0,"À échoir",IF($O1210&lt;=30,"0-30",IF($O1210&lt;=60,"31-60",IF($O1210&lt;=90,"61-90","90+")))))))</f>
        <v/>
      </c>
    </row>
    <row r="1211">
      <c r="A1211" s="6" t="n"/>
      <c r="B1211" s="6" t="n"/>
      <c r="C1211" s="6" t="n"/>
      <c r="D1211" s="6" t="n"/>
      <c r="E1211" s="6" t="n"/>
      <c r="F1211" s="7" t="n"/>
      <c r="G1211" s="7" t="n"/>
      <c r="H1211" s="8" t="n"/>
      <c r="I1211" s="9">
        <f>IF($A1211="","",SUMIFS(Ventes_Encaissements!$D$6:$D$3005,Ventes_Encaissements!$B$6:$B$3005,$A1211))</f>
        <v/>
      </c>
      <c r="J1211" s="9">
        <f>IF($A1211="","",$H1211-$I1211)</f>
        <v/>
      </c>
      <c r="K1211" s="10">
        <f>IF($A1211="","",IF($I1211=0,"",_xludf.AGGREGATE(14,6,Ventes_Encaissements!$C$6:$C$3005/(Ventes_Encaissements!$B$6:$B$3005=$A1211),1)))</f>
        <v/>
      </c>
      <c r="L1211" s="11">
        <f>IF($A1211="","",COUNTIFS(Ventes_Detail!$B$6:$B$3005,$A1211))</f>
        <v/>
      </c>
      <c r="M1211" s="12" t="n"/>
      <c r="N1211" s="12">
        <f>IF($A1211="","",IF($G1211="","",IF($M1211="Oui","Litige",IF($J1211&lt;=0,"Payé",IF($I1211&gt;0,"Partiel",IF(Listes!$B$3&gt;$G1211,"En retard","À échoir"))))))</f>
        <v/>
      </c>
      <c r="O1211" s="11">
        <f>IF($A1211="","",IF(OR($G1211="", $J1211&lt;=0),0,MAX(0,Listes!$B$3-$G1211)))</f>
        <v/>
      </c>
      <c r="P1211" s="12">
        <f>IF($A1211="","",IF($J1211&lt;=0,"Payé",IF($M1211="Oui","Litige",IF($O1211=0,"À échoir",IF($O1211&lt;=30,"0-30",IF($O1211&lt;=60,"31-60",IF($O1211&lt;=90,"61-90","90+")))))))</f>
        <v/>
      </c>
    </row>
    <row r="1212">
      <c r="A1212" s="6" t="n"/>
      <c r="B1212" s="6" t="n"/>
      <c r="C1212" s="6" t="n"/>
      <c r="D1212" s="6" t="n"/>
      <c r="E1212" s="6" t="n"/>
      <c r="F1212" s="7" t="n"/>
      <c r="G1212" s="7" t="n"/>
      <c r="H1212" s="8" t="n"/>
      <c r="I1212" s="9">
        <f>IF($A1212="","",SUMIFS(Ventes_Encaissements!$D$6:$D$3005,Ventes_Encaissements!$B$6:$B$3005,$A1212))</f>
        <v/>
      </c>
      <c r="J1212" s="9">
        <f>IF($A1212="","",$H1212-$I1212)</f>
        <v/>
      </c>
      <c r="K1212" s="10">
        <f>IF($A1212="","",IF($I1212=0,"",_xludf.AGGREGATE(14,6,Ventes_Encaissements!$C$6:$C$3005/(Ventes_Encaissements!$B$6:$B$3005=$A1212),1)))</f>
        <v/>
      </c>
      <c r="L1212" s="11">
        <f>IF($A1212="","",COUNTIFS(Ventes_Detail!$B$6:$B$3005,$A1212))</f>
        <v/>
      </c>
      <c r="M1212" s="12" t="n"/>
      <c r="N1212" s="12">
        <f>IF($A1212="","",IF($G1212="","",IF($M1212="Oui","Litige",IF($J1212&lt;=0,"Payé",IF($I1212&gt;0,"Partiel",IF(Listes!$B$3&gt;$G1212,"En retard","À échoir"))))))</f>
        <v/>
      </c>
      <c r="O1212" s="11">
        <f>IF($A1212="","",IF(OR($G1212="", $J1212&lt;=0),0,MAX(0,Listes!$B$3-$G1212)))</f>
        <v/>
      </c>
      <c r="P1212" s="12">
        <f>IF($A1212="","",IF($J1212&lt;=0,"Payé",IF($M1212="Oui","Litige",IF($O1212=0,"À échoir",IF($O1212&lt;=30,"0-30",IF($O1212&lt;=60,"31-60",IF($O1212&lt;=90,"61-90","90+")))))))</f>
        <v/>
      </c>
    </row>
    <row r="1213">
      <c r="A1213" s="6" t="n"/>
      <c r="B1213" s="6" t="n"/>
      <c r="C1213" s="6" t="n"/>
      <c r="D1213" s="6" t="n"/>
      <c r="E1213" s="6" t="n"/>
      <c r="F1213" s="7" t="n"/>
      <c r="G1213" s="7" t="n"/>
      <c r="H1213" s="8" t="n"/>
      <c r="I1213" s="9">
        <f>IF($A1213="","",SUMIFS(Ventes_Encaissements!$D$6:$D$3005,Ventes_Encaissements!$B$6:$B$3005,$A1213))</f>
        <v/>
      </c>
      <c r="J1213" s="9">
        <f>IF($A1213="","",$H1213-$I1213)</f>
        <v/>
      </c>
      <c r="K1213" s="10">
        <f>IF($A1213="","",IF($I1213=0,"",_xludf.AGGREGATE(14,6,Ventes_Encaissements!$C$6:$C$3005/(Ventes_Encaissements!$B$6:$B$3005=$A1213),1)))</f>
        <v/>
      </c>
      <c r="L1213" s="11">
        <f>IF($A1213="","",COUNTIFS(Ventes_Detail!$B$6:$B$3005,$A1213))</f>
        <v/>
      </c>
      <c r="M1213" s="12" t="n"/>
      <c r="N1213" s="12">
        <f>IF($A1213="","",IF($G1213="","",IF($M1213="Oui","Litige",IF($J1213&lt;=0,"Payé",IF($I1213&gt;0,"Partiel",IF(Listes!$B$3&gt;$G1213,"En retard","À échoir"))))))</f>
        <v/>
      </c>
      <c r="O1213" s="11">
        <f>IF($A1213="","",IF(OR($G1213="", $J1213&lt;=0),0,MAX(0,Listes!$B$3-$G1213)))</f>
        <v/>
      </c>
      <c r="P1213" s="12">
        <f>IF($A1213="","",IF($J1213&lt;=0,"Payé",IF($M1213="Oui","Litige",IF($O1213=0,"À échoir",IF($O1213&lt;=30,"0-30",IF($O1213&lt;=60,"31-60",IF($O1213&lt;=90,"61-90","90+")))))))</f>
        <v/>
      </c>
    </row>
    <row r="1214">
      <c r="A1214" s="6" t="n"/>
      <c r="B1214" s="6" t="n"/>
      <c r="C1214" s="6" t="n"/>
      <c r="D1214" s="6" t="n"/>
      <c r="E1214" s="6" t="n"/>
      <c r="F1214" s="7" t="n"/>
      <c r="G1214" s="7" t="n"/>
      <c r="H1214" s="8" t="n"/>
      <c r="I1214" s="9">
        <f>IF($A1214="","",SUMIFS(Ventes_Encaissements!$D$6:$D$3005,Ventes_Encaissements!$B$6:$B$3005,$A1214))</f>
        <v/>
      </c>
      <c r="J1214" s="9">
        <f>IF($A1214="","",$H1214-$I1214)</f>
        <v/>
      </c>
      <c r="K1214" s="10">
        <f>IF($A1214="","",IF($I1214=0,"",_xludf.AGGREGATE(14,6,Ventes_Encaissements!$C$6:$C$3005/(Ventes_Encaissements!$B$6:$B$3005=$A1214),1)))</f>
        <v/>
      </c>
      <c r="L1214" s="11">
        <f>IF($A1214="","",COUNTIFS(Ventes_Detail!$B$6:$B$3005,$A1214))</f>
        <v/>
      </c>
      <c r="M1214" s="12" t="n"/>
      <c r="N1214" s="12">
        <f>IF($A1214="","",IF($G1214="","",IF($M1214="Oui","Litige",IF($J1214&lt;=0,"Payé",IF($I1214&gt;0,"Partiel",IF(Listes!$B$3&gt;$G1214,"En retard","À échoir"))))))</f>
        <v/>
      </c>
      <c r="O1214" s="11">
        <f>IF($A1214="","",IF(OR($G1214="", $J1214&lt;=0),0,MAX(0,Listes!$B$3-$G1214)))</f>
        <v/>
      </c>
      <c r="P1214" s="12">
        <f>IF($A1214="","",IF($J1214&lt;=0,"Payé",IF($M1214="Oui","Litige",IF($O1214=0,"À échoir",IF($O1214&lt;=30,"0-30",IF($O1214&lt;=60,"31-60",IF($O1214&lt;=90,"61-90","90+")))))))</f>
        <v/>
      </c>
    </row>
    <row r="1215">
      <c r="A1215" s="6" t="n"/>
      <c r="B1215" s="6" t="n"/>
      <c r="C1215" s="6" t="n"/>
      <c r="D1215" s="6" t="n"/>
      <c r="E1215" s="6" t="n"/>
      <c r="F1215" s="7" t="n"/>
      <c r="G1215" s="7" t="n"/>
      <c r="H1215" s="8" t="n"/>
      <c r="I1215" s="9">
        <f>IF($A1215="","",SUMIFS(Ventes_Encaissements!$D$6:$D$3005,Ventes_Encaissements!$B$6:$B$3005,$A1215))</f>
        <v/>
      </c>
      <c r="J1215" s="9">
        <f>IF($A1215="","",$H1215-$I1215)</f>
        <v/>
      </c>
      <c r="K1215" s="10">
        <f>IF($A1215="","",IF($I1215=0,"",_xludf.AGGREGATE(14,6,Ventes_Encaissements!$C$6:$C$3005/(Ventes_Encaissements!$B$6:$B$3005=$A1215),1)))</f>
        <v/>
      </c>
      <c r="L1215" s="11">
        <f>IF($A1215="","",COUNTIFS(Ventes_Detail!$B$6:$B$3005,$A1215))</f>
        <v/>
      </c>
      <c r="M1215" s="12" t="n"/>
      <c r="N1215" s="12">
        <f>IF($A1215="","",IF($G1215="","",IF($M1215="Oui","Litige",IF($J1215&lt;=0,"Payé",IF($I1215&gt;0,"Partiel",IF(Listes!$B$3&gt;$G1215,"En retard","À échoir"))))))</f>
        <v/>
      </c>
      <c r="O1215" s="11">
        <f>IF($A1215="","",IF(OR($G1215="", $J1215&lt;=0),0,MAX(0,Listes!$B$3-$G1215)))</f>
        <v/>
      </c>
      <c r="P1215" s="12">
        <f>IF($A1215="","",IF($J1215&lt;=0,"Payé",IF($M1215="Oui","Litige",IF($O1215=0,"À échoir",IF($O1215&lt;=30,"0-30",IF($O1215&lt;=60,"31-60",IF($O1215&lt;=90,"61-90","90+")))))))</f>
        <v/>
      </c>
    </row>
    <row r="1216">
      <c r="A1216" s="6" t="n"/>
      <c r="B1216" s="6" t="n"/>
      <c r="C1216" s="6" t="n"/>
      <c r="D1216" s="6" t="n"/>
      <c r="E1216" s="6" t="n"/>
      <c r="F1216" s="7" t="n"/>
      <c r="G1216" s="7" t="n"/>
      <c r="H1216" s="8" t="n"/>
      <c r="I1216" s="9">
        <f>IF($A1216="","",SUMIFS(Ventes_Encaissements!$D$6:$D$3005,Ventes_Encaissements!$B$6:$B$3005,$A1216))</f>
        <v/>
      </c>
      <c r="J1216" s="9">
        <f>IF($A1216="","",$H1216-$I1216)</f>
        <v/>
      </c>
      <c r="K1216" s="10">
        <f>IF($A1216="","",IF($I1216=0,"",_xludf.AGGREGATE(14,6,Ventes_Encaissements!$C$6:$C$3005/(Ventes_Encaissements!$B$6:$B$3005=$A1216),1)))</f>
        <v/>
      </c>
      <c r="L1216" s="11">
        <f>IF($A1216="","",COUNTIFS(Ventes_Detail!$B$6:$B$3005,$A1216))</f>
        <v/>
      </c>
      <c r="M1216" s="12" t="n"/>
      <c r="N1216" s="12">
        <f>IF($A1216="","",IF($G1216="","",IF($M1216="Oui","Litige",IF($J1216&lt;=0,"Payé",IF($I1216&gt;0,"Partiel",IF(Listes!$B$3&gt;$G1216,"En retard","À échoir"))))))</f>
        <v/>
      </c>
      <c r="O1216" s="11">
        <f>IF($A1216="","",IF(OR($G1216="", $J1216&lt;=0),0,MAX(0,Listes!$B$3-$G1216)))</f>
        <v/>
      </c>
      <c r="P1216" s="12">
        <f>IF($A1216="","",IF($J1216&lt;=0,"Payé",IF($M1216="Oui","Litige",IF($O1216=0,"À échoir",IF($O1216&lt;=30,"0-30",IF($O1216&lt;=60,"31-60",IF($O1216&lt;=90,"61-90","90+")))))))</f>
        <v/>
      </c>
    </row>
    <row r="1217">
      <c r="A1217" s="6" t="n"/>
      <c r="B1217" s="6" t="n"/>
      <c r="C1217" s="6" t="n"/>
      <c r="D1217" s="6" t="n"/>
      <c r="E1217" s="6" t="n"/>
      <c r="F1217" s="7" t="n"/>
      <c r="G1217" s="7" t="n"/>
      <c r="H1217" s="8" t="n"/>
      <c r="I1217" s="9">
        <f>IF($A1217="","",SUMIFS(Ventes_Encaissements!$D$6:$D$3005,Ventes_Encaissements!$B$6:$B$3005,$A1217))</f>
        <v/>
      </c>
      <c r="J1217" s="9">
        <f>IF($A1217="","",$H1217-$I1217)</f>
        <v/>
      </c>
      <c r="K1217" s="10">
        <f>IF($A1217="","",IF($I1217=0,"",_xludf.AGGREGATE(14,6,Ventes_Encaissements!$C$6:$C$3005/(Ventes_Encaissements!$B$6:$B$3005=$A1217),1)))</f>
        <v/>
      </c>
      <c r="L1217" s="11">
        <f>IF($A1217="","",COUNTIFS(Ventes_Detail!$B$6:$B$3005,$A1217))</f>
        <v/>
      </c>
      <c r="M1217" s="12" t="n"/>
      <c r="N1217" s="12">
        <f>IF($A1217="","",IF($G1217="","",IF($M1217="Oui","Litige",IF($J1217&lt;=0,"Payé",IF($I1217&gt;0,"Partiel",IF(Listes!$B$3&gt;$G1217,"En retard","À échoir"))))))</f>
        <v/>
      </c>
      <c r="O1217" s="11">
        <f>IF($A1217="","",IF(OR($G1217="", $J1217&lt;=0),0,MAX(0,Listes!$B$3-$G1217)))</f>
        <v/>
      </c>
      <c r="P1217" s="12">
        <f>IF($A1217="","",IF($J1217&lt;=0,"Payé",IF($M1217="Oui","Litige",IF($O1217=0,"À échoir",IF($O1217&lt;=30,"0-30",IF($O1217&lt;=60,"31-60",IF($O1217&lt;=90,"61-90","90+")))))))</f>
        <v/>
      </c>
    </row>
    <row r="1218">
      <c r="A1218" s="6" t="n"/>
      <c r="B1218" s="6" t="n"/>
      <c r="C1218" s="6" t="n"/>
      <c r="D1218" s="6" t="n"/>
      <c r="E1218" s="6" t="n"/>
      <c r="F1218" s="7" t="n"/>
      <c r="G1218" s="7" t="n"/>
      <c r="H1218" s="8" t="n"/>
      <c r="I1218" s="9">
        <f>IF($A1218="","",SUMIFS(Ventes_Encaissements!$D$6:$D$3005,Ventes_Encaissements!$B$6:$B$3005,$A1218))</f>
        <v/>
      </c>
      <c r="J1218" s="9">
        <f>IF($A1218="","",$H1218-$I1218)</f>
        <v/>
      </c>
      <c r="K1218" s="10">
        <f>IF($A1218="","",IF($I1218=0,"",_xludf.AGGREGATE(14,6,Ventes_Encaissements!$C$6:$C$3005/(Ventes_Encaissements!$B$6:$B$3005=$A1218),1)))</f>
        <v/>
      </c>
      <c r="L1218" s="11">
        <f>IF($A1218="","",COUNTIFS(Ventes_Detail!$B$6:$B$3005,$A1218))</f>
        <v/>
      </c>
      <c r="M1218" s="12" t="n"/>
      <c r="N1218" s="12">
        <f>IF($A1218="","",IF($G1218="","",IF($M1218="Oui","Litige",IF($J1218&lt;=0,"Payé",IF($I1218&gt;0,"Partiel",IF(Listes!$B$3&gt;$G1218,"En retard","À échoir"))))))</f>
        <v/>
      </c>
      <c r="O1218" s="11">
        <f>IF($A1218="","",IF(OR($G1218="", $J1218&lt;=0),0,MAX(0,Listes!$B$3-$G1218)))</f>
        <v/>
      </c>
      <c r="P1218" s="12">
        <f>IF($A1218="","",IF($J1218&lt;=0,"Payé",IF($M1218="Oui","Litige",IF($O1218=0,"À échoir",IF($O1218&lt;=30,"0-30",IF($O1218&lt;=60,"31-60",IF($O1218&lt;=90,"61-90","90+")))))))</f>
        <v/>
      </c>
    </row>
    <row r="1219">
      <c r="A1219" s="6" t="n"/>
      <c r="B1219" s="6" t="n"/>
      <c r="C1219" s="6" t="n"/>
      <c r="D1219" s="6" t="n"/>
      <c r="E1219" s="6" t="n"/>
      <c r="F1219" s="7" t="n"/>
      <c r="G1219" s="7" t="n"/>
      <c r="H1219" s="8" t="n"/>
      <c r="I1219" s="9">
        <f>IF($A1219="","",SUMIFS(Ventes_Encaissements!$D$6:$D$3005,Ventes_Encaissements!$B$6:$B$3005,$A1219))</f>
        <v/>
      </c>
      <c r="J1219" s="9">
        <f>IF($A1219="","",$H1219-$I1219)</f>
        <v/>
      </c>
      <c r="K1219" s="10">
        <f>IF($A1219="","",IF($I1219=0,"",_xludf.AGGREGATE(14,6,Ventes_Encaissements!$C$6:$C$3005/(Ventes_Encaissements!$B$6:$B$3005=$A1219),1)))</f>
        <v/>
      </c>
      <c r="L1219" s="11">
        <f>IF($A1219="","",COUNTIFS(Ventes_Detail!$B$6:$B$3005,$A1219))</f>
        <v/>
      </c>
      <c r="M1219" s="12" t="n"/>
      <c r="N1219" s="12">
        <f>IF($A1219="","",IF($G1219="","",IF($M1219="Oui","Litige",IF($J1219&lt;=0,"Payé",IF($I1219&gt;0,"Partiel",IF(Listes!$B$3&gt;$G1219,"En retard","À échoir"))))))</f>
        <v/>
      </c>
      <c r="O1219" s="11">
        <f>IF($A1219="","",IF(OR($G1219="", $J1219&lt;=0),0,MAX(0,Listes!$B$3-$G1219)))</f>
        <v/>
      </c>
      <c r="P1219" s="12">
        <f>IF($A1219="","",IF($J1219&lt;=0,"Payé",IF($M1219="Oui","Litige",IF($O1219=0,"À échoir",IF($O1219&lt;=30,"0-30",IF($O1219&lt;=60,"31-60",IF($O1219&lt;=90,"61-90","90+")))))))</f>
        <v/>
      </c>
    </row>
    <row r="1220">
      <c r="A1220" s="6" t="n"/>
      <c r="B1220" s="6" t="n"/>
      <c r="C1220" s="6" t="n"/>
      <c r="D1220" s="6" t="n"/>
      <c r="E1220" s="6" t="n"/>
      <c r="F1220" s="7" t="n"/>
      <c r="G1220" s="7" t="n"/>
      <c r="H1220" s="8" t="n"/>
      <c r="I1220" s="9">
        <f>IF($A1220="","",SUMIFS(Ventes_Encaissements!$D$6:$D$3005,Ventes_Encaissements!$B$6:$B$3005,$A1220))</f>
        <v/>
      </c>
      <c r="J1220" s="9">
        <f>IF($A1220="","",$H1220-$I1220)</f>
        <v/>
      </c>
      <c r="K1220" s="10">
        <f>IF($A1220="","",IF($I1220=0,"",_xludf.AGGREGATE(14,6,Ventes_Encaissements!$C$6:$C$3005/(Ventes_Encaissements!$B$6:$B$3005=$A1220),1)))</f>
        <v/>
      </c>
      <c r="L1220" s="11">
        <f>IF($A1220="","",COUNTIFS(Ventes_Detail!$B$6:$B$3005,$A1220))</f>
        <v/>
      </c>
      <c r="M1220" s="12" t="n"/>
      <c r="N1220" s="12">
        <f>IF($A1220="","",IF($G1220="","",IF($M1220="Oui","Litige",IF($J1220&lt;=0,"Payé",IF($I1220&gt;0,"Partiel",IF(Listes!$B$3&gt;$G1220,"En retard","À échoir"))))))</f>
        <v/>
      </c>
      <c r="O1220" s="11">
        <f>IF($A1220="","",IF(OR($G1220="", $J1220&lt;=0),0,MAX(0,Listes!$B$3-$G1220)))</f>
        <v/>
      </c>
      <c r="P1220" s="12">
        <f>IF($A1220="","",IF($J1220&lt;=0,"Payé",IF($M1220="Oui","Litige",IF($O1220=0,"À échoir",IF($O1220&lt;=30,"0-30",IF($O1220&lt;=60,"31-60",IF($O1220&lt;=90,"61-90","90+")))))))</f>
        <v/>
      </c>
    </row>
    <row r="1221">
      <c r="A1221" s="6" t="n"/>
      <c r="B1221" s="6" t="n"/>
      <c r="C1221" s="6" t="n"/>
      <c r="D1221" s="6" t="n"/>
      <c r="E1221" s="6" t="n"/>
      <c r="F1221" s="7" t="n"/>
      <c r="G1221" s="7" t="n"/>
      <c r="H1221" s="8" t="n"/>
      <c r="I1221" s="9">
        <f>IF($A1221="","",SUMIFS(Ventes_Encaissements!$D$6:$D$3005,Ventes_Encaissements!$B$6:$B$3005,$A1221))</f>
        <v/>
      </c>
      <c r="J1221" s="9">
        <f>IF($A1221="","",$H1221-$I1221)</f>
        <v/>
      </c>
      <c r="K1221" s="10">
        <f>IF($A1221="","",IF($I1221=0,"",_xludf.AGGREGATE(14,6,Ventes_Encaissements!$C$6:$C$3005/(Ventes_Encaissements!$B$6:$B$3005=$A1221),1)))</f>
        <v/>
      </c>
      <c r="L1221" s="11">
        <f>IF($A1221="","",COUNTIFS(Ventes_Detail!$B$6:$B$3005,$A1221))</f>
        <v/>
      </c>
      <c r="M1221" s="12" t="n"/>
      <c r="N1221" s="12">
        <f>IF($A1221="","",IF($G1221="","",IF($M1221="Oui","Litige",IF($J1221&lt;=0,"Payé",IF($I1221&gt;0,"Partiel",IF(Listes!$B$3&gt;$G1221,"En retard","À échoir"))))))</f>
        <v/>
      </c>
      <c r="O1221" s="11">
        <f>IF($A1221="","",IF(OR($G1221="", $J1221&lt;=0),0,MAX(0,Listes!$B$3-$G1221)))</f>
        <v/>
      </c>
      <c r="P1221" s="12">
        <f>IF($A1221="","",IF($J1221&lt;=0,"Payé",IF($M1221="Oui","Litige",IF($O1221=0,"À échoir",IF($O1221&lt;=30,"0-30",IF($O1221&lt;=60,"31-60",IF($O1221&lt;=90,"61-90","90+")))))))</f>
        <v/>
      </c>
    </row>
    <row r="1222">
      <c r="A1222" s="6" t="n"/>
      <c r="B1222" s="6" t="n"/>
      <c r="C1222" s="6" t="n"/>
      <c r="D1222" s="6" t="n"/>
      <c r="E1222" s="6" t="n"/>
      <c r="F1222" s="7" t="n"/>
      <c r="G1222" s="7" t="n"/>
      <c r="H1222" s="8" t="n"/>
      <c r="I1222" s="9">
        <f>IF($A1222="","",SUMIFS(Ventes_Encaissements!$D$6:$D$3005,Ventes_Encaissements!$B$6:$B$3005,$A1222))</f>
        <v/>
      </c>
      <c r="J1222" s="9">
        <f>IF($A1222="","",$H1222-$I1222)</f>
        <v/>
      </c>
      <c r="K1222" s="10">
        <f>IF($A1222="","",IF($I1222=0,"",_xludf.AGGREGATE(14,6,Ventes_Encaissements!$C$6:$C$3005/(Ventes_Encaissements!$B$6:$B$3005=$A1222),1)))</f>
        <v/>
      </c>
      <c r="L1222" s="11">
        <f>IF($A1222="","",COUNTIFS(Ventes_Detail!$B$6:$B$3005,$A1222))</f>
        <v/>
      </c>
      <c r="M1222" s="12" t="n"/>
      <c r="N1222" s="12">
        <f>IF($A1222="","",IF($G1222="","",IF($M1222="Oui","Litige",IF($J1222&lt;=0,"Payé",IF($I1222&gt;0,"Partiel",IF(Listes!$B$3&gt;$G1222,"En retard","À échoir"))))))</f>
        <v/>
      </c>
      <c r="O1222" s="11">
        <f>IF($A1222="","",IF(OR($G1222="", $J1222&lt;=0),0,MAX(0,Listes!$B$3-$G1222)))</f>
        <v/>
      </c>
      <c r="P1222" s="12">
        <f>IF($A1222="","",IF($J1222&lt;=0,"Payé",IF($M1222="Oui","Litige",IF($O1222=0,"À échoir",IF($O1222&lt;=30,"0-30",IF($O1222&lt;=60,"31-60",IF($O1222&lt;=90,"61-90","90+")))))))</f>
        <v/>
      </c>
    </row>
    <row r="1223">
      <c r="A1223" s="6" t="n"/>
      <c r="B1223" s="6" t="n"/>
      <c r="C1223" s="6" t="n"/>
      <c r="D1223" s="6" t="n"/>
      <c r="E1223" s="6" t="n"/>
      <c r="F1223" s="7" t="n"/>
      <c r="G1223" s="7" t="n"/>
      <c r="H1223" s="8" t="n"/>
      <c r="I1223" s="9">
        <f>IF($A1223="","",SUMIFS(Ventes_Encaissements!$D$6:$D$3005,Ventes_Encaissements!$B$6:$B$3005,$A1223))</f>
        <v/>
      </c>
      <c r="J1223" s="9">
        <f>IF($A1223="","",$H1223-$I1223)</f>
        <v/>
      </c>
      <c r="K1223" s="10">
        <f>IF($A1223="","",IF($I1223=0,"",_xludf.AGGREGATE(14,6,Ventes_Encaissements!$C$6:$C$3005/(Ventes_Encaissements!$B$6:$B$3005=$A1223),1)))</f>
        <v/>
      </c>
      <c r="L1223" s="11">
        <f>IF($A1223="","",COUNTIFS(Ventes_Detail!$B$6:$B$3005,$A1223))</f>
        <v/>
      </c>
      <c r="M1223" s="12" t="n"/>
      <c r="N1223" s="12">
        <f>IF($A1223="","",IF($G1223="","",IF($M1223="Oui","Litige",IF($J1223&lt;=0,"Payé",IF($I1223&gt;0,"Partiel",IF(Listes!$B$3&gt;$G1223,"En retard","À échoir"))))))</f>
        <v/>
      </c>
      <c r="O1223" s="11">
        <f>IF($A1223="","",IF(OR($G1223="", $J1223&lt;=0),0,MAX(0,Listes!$B$3-$G1223)))</f>
        <v/>
      </c>
      <c r="P1223" s="12">
        <f>IF($A1223="","",IF($J1223&lt;=0,"Payé",IF($M1223="Oui","Litige",IF($O1223=0,"À échoir",IF($O1223&lt;=30,"0-30",IF($O1223&lt;=60,"31-60",IF($O1223&lt;=90,"61-90","90+")))))))</f>
        <v/>
      </c>
    </row>
    <row r="1224">
      <c r="A1224" s="6" t="n"/>
      <c r="B1224" s="6" t="n"/>
      <c r="C1224" s="6" t="n"/>
      <c r="D1224" s="6" t="n"/>
      <c r="E1224" s="6" t="n"/>
      <c r="F1224" s="7" t="n"/>
      <c r="G1224" s="7" t="n"/>
      <c r="H1224" s="8" t="n"/>
      <c r="I1224" s="9">
        <f>IF($A1224="","",SUMIFS(Ventes_Encaissements!$D$6:$D$3005,Ventes_Encaissements!$B$6:$B$3005,$A1224))</f>
        <v/>
      </c>
      <c r="J1224" s="9">
        <f>IF($A1224="","",$H1224-$I1224)</f>
        <v/>
      </c>
      <c r="K1224" s="10">
        <f>IF($A1224="","",IF($I1224=0,"",_xludf.AGGREGATE(14,6,Ventes_Encaissements!$C$6:$C$3005/(Ventes_Encaissements!$B$6:$B$3005=$A1224),1)))</f>
        <v/>
      </c>
      <c r="L1224" s="11">
        <f>IF($A1224="","",COUNTIFS(Ventes_Detail!$B$6:$B$3005,$A1224))</f>
        <v/>
      </c>
      <c r="M1224" s="12" t="n"/>
      <c r="N1224" s="12">
        <f>IF($A1224="","",IF($G1224="","",IF($M1224="Oui","Litige",IF($J1224&lt;=0,"Payé",IF($I1224&gt;0,"Partiel",IF(Listes!$B$3&gt;$G1224,"En retard","À échoir"))))))</f>
        <v/>
      </c>
      <c r="O1224" s="11">
        <f>IF($A1224="","",IF(OR($G1224="", $J1224&lt;=0),0,MAX(0,Listes!$B$3-$G1224)))</f>
        <v/>
      </c>
      <c r="P1224" s="12">
        <f>IF($A1224="","",IF($J1224&lt;=0,"Payé",IF($M1224="Oui","Litige",IF($O1224=0,"À échoir",IF($O1224&lt;=30,"0-30",IF($O1224&lt;=60,"31-60",IF($O1224&lt;=90,"61-90","90+")))))))</f>
        <v/>
      </c>
    </row>
    <row r="1225">
      <c r="A1225" s="6" t="n"/>
      <c r="B1225" s="6" t="n"/>
      <c r="C1225" s="6" t="n"/>
      <c r="D1225" s="6" t="n"/>
      <c r="E1225" s="6" t="n"/>
      <c r="F1225" s="7" t="n"/>
      <c r="G1225" s="7" t="n"/>
      <c r="H1225" s="8" t="n"/>
      <c r="I1225" s="9">
        <f>IF($A1225="","",SUMIFS(Ventes_Encaissements!$D$6:$D$3005,Ventes_Encaissements!$B$6:$B$3005,$A1225))</f>
        <v/>
      </c>
      <c r="J1225" s="9">
        <f>IF($A1225="","",$H1225-$I1225)</f>
        <v/>
      </c>
      <c r="K1225" s="10">
        <f>IF($A1225="","",IF($I1225=0,"",_xludf.AGGREGATE(14,6,Ventes_Encaissements!$C$6:$C$3005/(Ventes_Encaissements!$B$6:$B$3005=$A1225),1)))</f>
        <v/>
      </c>
      <c r="L1225" s="11">
        <f>IF($A1225="","",COUNTIFS(Ventes_Detail!$B$6:$B$3005,$A1225))</f>
        <v/>
      </c>
      <c r="M1225" s="12" t="n"/>
      <c r="N1225" s="12">
        <f>IF($A1225="","",IF($G1225="","",IF($M1225="Oui","Litige",IF($J1225&lt;=0,"Payé",IF($I1225&gt;0,"Partiel",IF(Listes!$B$3&gt;$G1225,"En retard","À échoir"))))))</f>
        <v/>
      </c>
      <c r="O1225" s="11">
        <f>IF($A1225="","",IF(OR($G1225="", $J1225&lt;=0),0,MAX(0,Listes!$B$3-$G1225)))</f>
        <v/>
      </c>
      <c r="P1225" s="12">
        <f>IF($A1225="","",IF($J1225&lt;=0,"Payé",IF($M1225="Oui","Litige",IF($O1225=0,"À échoir",IF($O1225&lt;=30,"0-30",IF($O1225&lt;=60,"31-60",IF($O1225&lt;=90,"61-90","90+")))))))</f>
        <v/>
      </c>
    </row>
    <row r="1226">
      <c r="A1226" s="6" t="n"/>
      <c r="B1226" s="6" t="n"/>
      <c r="C1226" s="6" t="n"/>
      <c r="D1226" s="6" t="n"/>
      <c r="E1226" s="6" t="n"/>
      <c r="F1226" s="7" t="n"/>
      <c r="G1226" s="7" t="n"/>
      <c r="H1226" s="8" t="n"/>
      <c r="I1226" s="9">
        <f>IF($A1226="","",SUMIFS(Ventes_Encaissements!$D$6:$D$3005,Ventes_Encaissements!$B$6:$B$3005,$A1226))</f>
        <v/>
      </c>
      <c r="J1226" s="9">
        <f>IF($A1226="","",$H1226-$I1226)</f>
        <v/>
      </c>
      <c r="K1226" s="10">
        <f>IF($A1226="","",IF($I1226=0,"",_xludf.AGGREGATE(14,6,Ventes_Encaissements!$C$6:$C$3005/(Ventes_Encaissements!$B$6:$B$3005=$A1226),1)))</f>
        <v/>
      </c>
      <c r="L1226" s="11">
        <f>IF($A1226="","",COUNTIFS(Ventes_Detail!$B$6:$B$3005,$A1226))</f>
        <v/>
      </c>
      <c r="M1226" s="12" t="n"/>
      <c r="N1226" s="12">
        <f>IF($A1226="","",IF($G1226="","",IF($M1226="Oui","Litige",IF($J1226&lt;=0,"Payé",IF($I1226&gt;0,"Partiel",IF(Listes!$B$3&gt;$G1226,"En retard","À échoir"))))))</f>
        <v/>
      </c>
      <c r="O1226" s="11">
        <f>IF($A1226="","",IF(OR($G1226="", $J1226&lt;=0),0,MAX(0,Listes!$B$3-$G1226)))</f>
        <v/>
      </c>
      <c r="P1226" s="12">
        <f>IF($A1226="","",IF($J1226&lt;=0,"Payé",IF($M1226="Oui","Litige",IF($O1226=0,"À échoir",IF($O1226&lt;=30,"0-30",IF($O1226&lt;=60,"31-60",IF($O1226&lt;=90,"61-90","90+")))))))</f>
        <v/>
      </c>
    </row>
    <row r="1227">
      <c r="A1227" s="6" t="n"/>
      <c r="B1227" s="6" t="n"/>
      <c r="C1227" s="6" t="n"/>
      <c r="D1227" s="6" t="n"/>
      <c r="E1227" s="6" t="n"/>
      <c r="F1227" s="7" t="n"/>
      <c r="G1227" s="7" t="n"/>
      <c r="H1227" s="8" t="n"/>
      <c r="I1227" s="9">
        <f>IF($A1227="","",SUMIFS(Ventes_Encaissements!$D$6:$D$3005,Ventes_Encaissements!$B$6:$B$3005,$A1227))</f>
        <v/>
      </c>
      <c r="J1227" s="9">
        <f>IF($A1227="","",$H1227-$I1227)</f>
        <v/>
      </c>
      <c r="K1227" s="10">
        <f>IF($A1227="","",IF($I1227=0,"",_xludf.AGGREGATE(14,6,Ventes_Encaissements!$C$6:$C$3005/(Ventes_Encaissements!$B$6:$B$3005=$A1227),1)))</f>
        <v/>
      </c>
      <c r="L1227" s="11">
        <f>IF($A1227="","",COUNTIFS(Ventes_Detail!$B$6:$B$3005,$A1227))</f>
        <v/>
      </c>
      <c r="M1227" s="12" t="n"/>
      <c r="N1227" s="12">
        <f>IF($A1227="","",IF($G1227="","",IF($M1227="Oui","Litige",IF($J1227&lt;=0,"Payé",IF($I1227&gt;0,"Partiel",IF(Listes!$B$3&gt;$G1227,"En retard","À échoir"))))))</f>
        <v/>
      </c>
      <c r="O1227" s="11">
        <f>IF($A1227="","",IF(OR($G1227="", $J1227&lt;=0),0,MAX(0,Listes!$B$3-$G1227)))</f>
        <v/>
      </c>
      <c r="P1227" s="12">
        <f>IF($A1227="","",IF($J1227&lt;=0,"Payé",IF($M1227="Oui","Litige",IF($O1227=0,"À échoir",IF($O1227&lt;=30,"0-30",IF($O1227&lt;=60,"31-60",IF($O1227&lt;=90,"61-90","90+")))))))</f>
        <v/>
      </c>
    </row>
    <row r="1228">
      <c r="A1228" s="6" t="n"/>
      <c r="B1228" s="6" t="n"/>
      <c r="C1228" s="6" t="n"/>
      <c r="D1228" s="6" t="n"/>
      <c r="E1228" s="6" t="n"/>
      <c r="F1228" s="7" t="n"/>
      <c r="G1228" s="7" t="n"/>
      <c r="H1228" s="8" t="n"/>
      <c r="I1228" s="9">
        <f>IF($A1228="","",SUMIFS(Ventes_Encaissements!$D$6:$D$3005,Ventes_Encaissements!$B$6:$B$3005,$A1228))</f>
        <v/>
      </c>
      <c r="J1228" s="9">
        <f>IF($A1228="","",$H1228-$I1228)</f>
        <v/>
      </c>
      <c r="K1228" s="10">
        <f>IF($A1228="","",IF($I1228=0,"",_xludf.AGGREGATE(14,6,Ventes_Encaissements!$C$6:$C$3005/(Ventes_Encaissements!$B$6:$B$3005=$A1228),1)))</f>
        <v/>
      </c>
      <c r="L1228" s="11">
        <f>IF($A1228="","",COUNTIFS(Ventes_Detail!$B$6:$B$3005,$A1228))</f>
        <v/>
      </c>
      <c r="M1228" s="12" t="n"/>
      <c r="N1228" s="12">
        <f>IF($A1228="","",IF($G1228="","",IF($M1228="Oui","Litige",IF($J1228&lt;=0,"Payé",IF($I1228&gt;0,"Partiel",IF(Listes!$B$3&gt;$G1228,"En retard","À échoir"))))))</f>
        <v/>
      </c>
      <c r="O1228" s="11">
        <f>IF($A1228="","",IF(OR($G1228="", $J1228&lt;=0),0,MAX(0,Listes!$B$3-$G1228)))</f>
        <v/>
      </c>
      <c r="P1228" s="12">
        <f>IF($A1228="","",IF($J1228&lt;=0,"Payé",IF($M1228="Oui","Litige",IF($O1228=0,"À échoir",IF($O1228&lt;=30,"0-30",IF($O1228&lt;=60,"31-60",IF($O1228&lt;=90,"61-90","90+")))))))</f>
        <v/>
      </c>
    </row>
    <row r="1229">
      <c r="A1229" s="6" t="n"/>
      <c r="B1229" s="6" t="n"/>
      <c r="C1229" s="6" t="n"/>
      <c r="D1229" s="6" t="n"/>
      <c r="E1229" s="6" t="n"/>
      <c r="F1229" s="7" t="n"/>
      <c r="G1229" s="7" t="n"/>
      <c r="H1229" s="8" t="n"/>
      <c r="I1229" s="9">
        <f>IF($A1229="","",SUMIFS(Ventes_Encaissements!$D$6:$D$3005,Ventes_Encaissements!$B$6:$B$3005,$A1229))</f>
        <v/>
      </c>
      <c r="J1229" s="9">
        <f>IF($A1229="","",$H1229-$I1229)</f>
        <v/>
      </c>
      <c r="K1229" s="10">
        <f>IF($A1229="","",IF($I1229=0,"",_xludf.AGGREGATE(14,6,Ventes_Encaissements!$C$6:$C$3005/(Ventes_Encaissements!$B$6:$B$3005=$A1229),1)))</f>
        <v/>
      </c>
      <c r="L1229" s="11">
        <f>IF($A1229="","",COUNTIFS(Ventes_Detail!$B$6:$B$3005,$A1229))</f>
        <v/>
      </c>
      <c r="M1229" s="12" t="n"/>
      <c r="N1229" s="12">
        <f>IF($A1229="","",IF($G1229="","",IF($M1229="Oui","Litige",IF($J1229&lt;=0,"Payé",IF($I1229&gt;0,"Partiel",IF(Listes!$B$3&gt;$G1229,"En retard","À échoir"))))))</f>
        <v/>
      </c>
      <c r="O1229" s="11">
        <f>IF($A1229="","",IF(OR($G1229="", $J1229&lt;=0),0,MAX(0,Listes!$B$3-$G1229)))</f>
        <v/>
      </c>
      <c r="P1229" s="12">
        <f>IF($A1229="","",IF($J1229&lt;=0,"Payé",IF($M1229="Oui","Litige",IF($O1229=0,"À échoir",IF($O1229&lt;=30,"0-30",IF($O1229&lt;=60,"31-60",IF($O1229&lt;=90,"61-90","90+")))))))</f>
        <v/>
      </c>
    </row>
    <row r="1230">
      <c r="A1230" s="6" t="n"/>
      <c r="B1230" s="6" t="n"/>
      <c r="C1230" s="6" t="n"/>
      <c r="D1230" s="6" t="n"/>
      <c r="E1230" s="6" t="n"/>
      <c r="F1230" s="7" t="n"/>
      <c r="G1230" s="7" t="n"/>
      <c r="H1230" s="8" t="n"/>
      <c r="I1230" s="9">
        <f>IF($A1230="","",SUMIFS(Ventes_Encaissements!$D$6:$D$3005,Ventes_Encaissements!$B$6:$B$3005,$A1230))</f>
        <v/>
      </c>
      <c r="J1230" s="9">
        <f>IF($A1230="","",$H1230-$I1230)</f>
        <v/>
      </c>
      <c r="K1230" s="10">
        <f>IF($A1230="","",IF($I1230=0,"",_xludf.AGGREGATE(14,6,Ventes_Encaissements!$C$6:$C$3005/(Ventes_Encaissements!$B$6:$B$3005=$A1230),1)))</f>
        <v/>
      </c>
      <c r="L1230" s="11">
        <f>IF($A1230="","",COUNTIFS(Ventes_Detail!$B$6:$B$3005,$A1230))</f>
        <v/>
      </c>
      <c r="M1230" s="12" t="n"/>
      <c r="N1230" s="12">
        <f>IF($A1230="","",IF($G1230="","",IF($M1230="Oui","Litige",IF($J1230&lt;=0,"Payé",IF($I1230&gt;0,"Partiel",IF(Listes!$B$3&gt;$G1230,"En retard","À échoir"))))))</f>
        <v/>
      </c>
      <c r="O1230" s="11">
        <f>IF($A1230="","",IF(OR($G1230="", $J1230&lt;=0),0,MAX(0,Listes!$B$3-$G1230)))</f>
        <v/>
      </c>
      <c r="P1230" s="12">
        <f>IF($A1230="","",IF($J1230&lt;=0,"Payé",IF($M1230="Oui","Litige",IF($O1230=0,"À échoir",IF($O1230&lt;=30,"0-30",IF($O1230&lt;=60,"31-60",IF($O1230&lt;=90,"61-90","90+")))))))</f>
        <v/>
      </c>
    </row>
    <row r="1231">
      <c r="A1231" s="6" t="n"/>
      <c r="B1231" s="6" t="n"/>
      <c r="C1231" s="6" t="n"/>
      <c r="D1231" s="6" t="n"/>
      <c r="E1231" s="6" t="n"/>
      <c r="F1231" s="7" t="n"/>
      <c r="G1231" s="7" t="n"/>
      <c r="H1231" s="8" t="n"/>
      <c r="I1231" s="9">
        <f>IF($A1231="","",SUMIFS(Ventes_Encaissements!$D$6:$D$3005,Ventes_Encaissements!$B$6:$B$3005,$A1231))</f>
        <v/>
      </c>
      <c r="J1231" s="9">
        <f>IF($A1231="","",$H1231-$I1231)</f>
        <v/>
      </c>
      <c r="K1231" s="10">
        <f>IF($A1231="","",IF($I1231=0,"",_xludf.AGGREGATE(14,6,Ventes_Encaissements!$C$6:$C$3005/(Ventes_Encaissements!$B$6:$B$3005=$A1231),1)))</f>
        <v/>
      </c>
      <c r="L1231" s="11">
        <f>IF($A1231="","",COUNTIFS(Ventes_Detail!$B$6:$B$3005,$A1231))</f>
        <v/>
      </c>
      <c r="M1231" s="12" t="n"/>
      <c r="N1231" s="12">
        <f>IF($A1231="","",IF($G1231="","",IF($M1231="Oui","Litige",IF($J1231&lt;=0,"Payé",IF($I1231&gt;0,"Partiel",IF(Listes!$B$3&gt;$G1231,"En retard","À échoir"))))))</f>
        <v/>
      </c>
      <c r="O1231" s="11">
        <f>IF($A1231="","",IF(OR($G1231="", $J1231&lt;=0),0,MAX(0,Listes!$B$3-$G1231)))</f>
        <v/>
      </c>
      <c r="P1231" s="12">
        <f>IF($A1231="","",IF($J1231&lt;=0,"Payé",IF($M1231="Oui","Litige",IF($O1231=0,"À échoir",IF($O1231&lt;=30,"0-30",IF($O1231&lt;=60,"31-60",IF($O1231&lt;=90,"61-90","90+")))))))</f>
        <v/>
      </c>
    </row>
    <row r="1232">
      <c r="A1232" s="6" t="n"/>
      <c r="B1232" s="6" t="n"/>
      <c r="C1232" s="6" t="n"/>
      <c r="D1232" s="6" t="n"/>
      <c r="E1232" s="6" t="n"/>
      <c r="F1232" s="7" t="n"/>
      <c r="G1232" s="7" t="n"/>
      <c r="H1232" s="8" t="n"/>
      <c r="I1232" s="9">
        <f>IF($A1232="","",SUMIFS(Ventes_Encaissements!$D$6:$D$3005,Ventes_Encaissements!$B$6:$B$3005,$A1232))</f>
        <v/>
      </c>
      <c r="J1232" s="9">
        <f>IF($A1232="","",$H1232-$I1232)</f>
        <v/>
      </c>
      <c r="K1232" s="10">
        <f>IF($A1232="","",IF($I1232=0,"",_xludf.AGGREGATE(14,6,Ventes_Encaissements!$C$6:$C$3005/(Ventes_Encaissements!$B$6:$B$3005=$A1232),1)))</f>
        <v/>
      </c>
      <c r="L1232" s="11">
        <f>IF($A1232="","",COUNTIFS(Ventes_Detail!$B$6:$B$3005,$A1232))</f>
        <v/>
      </c>
      <c r="M1232" s="12" t="n"/>
      <c r="N1232" s="12">
        <f>IF($A1232="","",IF($G1232="","",IF($M1232="Oui","Litige",IF($J1232&lt;=0,"Payé",IF($I1232&gt;0,"Partiel",IF(Listes!$B$3&gt;$G1232,"En retard","À échoir"))))))</f>
        <v/>
      </c>
      <c r="O1232" s="11">
        <f>IF($A1232="","",IF(OR($G1232="", $J1232&lt;=0),0,MAX(0,Listes!$B$3-$G1232)))</f>
        <v/>
      </c>
      <c r="P1232" s="12">
        <f>IF($A1232="","",IF($J1232&lt;=0,"Payé",IF($M1232="Oui","Litige",IF($O1232=0,"À échoir",IF($O1232&lt;=30,"0-30",IF($O1232&lt;=60,"31-60",IF($O1232&lt;=90,"61-90","90+")))))))</f>
        <v/>
      </c>
    </row>
    <row r="1233">
      <c r="A1233" s="6" t="n"/>
      <c r="B1233" s="6" t="n"/>
      <c r="C1233" s="6" t="n"/>
      <c r="D1233" s="6" t="n"/>
      <c r="E1233" s="6" t="n"/>
      <c r="F1233" s="7" t="n"/>
      <c r="G1233" s="7" t="n"/>
      <c r="H1233" s="8" t="n"/>
      <c r="I1233" s="9">
        <f>IF($A1233="","",SUMIFS(Ventes_Encaissements!$D$6:$D$3005,Ventes_Encaissements!$B$6:$B$3005,$A1233))</f>
        <v/>
      </c>
      <c r="J1233" s="9">
        <f>IF($A1233="","",$H1233-$I1233)</f>
        <v/>
      </c>
      <c r="K1233" s="10">
        <f>IF($A1233="","",IF($I1233=0,"",_xludf.AGGREGATE(14,6,Ventes_Encaissements!$C$6:$C$3005/(Ventes_Encaissements!$B$6:$B$3005=$A1233),1)))</f>
        <v/>
      </c>
      <c r="L1233" s="11">
        <f>IF($A1233="","",COUNTIFS(Ventes_Detail!$B$6:$B$3005,$A1233))</f>
        <v/>
      </c>
      <c r="M1233" s="12" t="n"/>
      <c r="N1233" s="12">
        <f>IF($A1233="","",IF($G1233="","",IF($M1233="Oui","Litige",IF($J1233&lt;=0,"Payé",IF($I1233&gt;0,"Partiel",IF(Listes!$B$3&gt;$G1233,"En retard","À échoir"))))))</f>
        <v/>
      </c>
      <c r="O1233" s="11">
        <f>IF($A1233="","",IF(OR($G1233="", $J1233&lt;=0),0,MAX(0,Listes!$B$3-$G1233)))</f>
        <v/>
      </c>
      <c r="P1233" s="12">
        <f>IF($A1233="","",IF($J1233&lt;=0,"Payé",IF($M1233="Oui","Litige",IF($O1233=0,"À échoir",IF($O1233&lt;=30,"0-30",IF($O1233&lt;=60,"31-60",IF($O1233&lt;=90,"61-90","90+")))))))</f>
        <v/>
      </c>
    </row>
    <row r="1234">
      <c r="A1234" s="6" t="n"/>
      <c r="B1234" s="6" t="n"/>
      <c r="C1234" s="6" t="n"/>
      <c r="D1234" s="6" t="n"/>
      <c r="E1234" s="6" t="n"/>
      <c r="F1234" s="7" t="n"/>
      <c r="G1234" s="7" t="n"/>
      <c r="H1234" s="8" t="n"/>
      <c r="I1234" s="9">
        <f>IF($A1234="","",SUMIFS(Ventes_Encaissements!$D$6:$D$3005,Ventes_Encaissements!$B$6:$B$3005,$A1234))</f>
        <v/>
      </c>
      <c r="J1234" s="9">
        <f>IF($A1234="","",$H1234-$I1234)</f>
        <v/>
      </c>
      <c r="K1234" s="10">
        <f>IF($A1234="","",IF($I1234=0,"",_xludf.AGGREGATE(14,6,Ventes_Encaissements!$C$6:$C$3005/(Ventes_Encaissements!$B$6:$B$3005=$A1234),1)))</f>
        <v/>
      </c>
      <c r="L1234" s="11">
        <f>IF($A1234="","",COUNTIFS(Ventes_Detail!$B$6:$B$3005,$A1234))</f>
        <v/>
      </c>
      <c r="M1234" s="12" t="n"/>
      <c r="N1234" s="12">
        <f>IF($A1234="","",IF($G1234="","",IF($M1234="Oui","Litige",IF($J1234&lt;=0,"Payé",IF($I1234&gt;0,"Partiel",IF(Listes!$B$3&gt;$G1234,"En retard","À échoir"))))))</f>
        <v/>
      </c>
      <c r="O1234" s="11">
        <f>IF($A1234="","",IF(OR($G1234="", $J1234&lt;=0),0,MAX(0,Listes!$B$3-$G1234)))</f>
        <v/>
      </c>
      <c r="P1234" s="12">
        <f>IF($A1234="","",IF($J1234&lt;=0,"Payé",IF($M1234="Oui","Litige",IF($O1234=0,"À échoir",IF($O1234&lt;=30,"0-30",IF($O1234&lt;=60,"31-60",IF($O1234&lt;=90,"61-90","90+")))))))</f>
        <v/>
      </c>
    </row>
    <row r="1235">
      <c r="A1235" s="6" t="n"/>
      <c r="B1235" s="6" t="n"/>
      <c r="C1235" s="6" t="n"/>
      <c r="D1235" s="6" t="n"/>
      <c r="E1235" s="6" t="n"/>
      <c r="F1235" s="7" t="n"/>
      <c r="G1235" s="7" t="n"/>
      <c r="H1235" s="8" t="n"/>
      <c r="I1235" s="9">
        <f>IF($A1235="","",SUMIFS(Ventes_Encaissements!$D$6:$D$3005,Ventes_Encaissements!$B$6:$B$3005,$A1235))</f>
        <v/>
      </c>
      <c r="J1235" s="9">
        <f>IF($A1235="","",$H1235-$I1235)</f>
        <v/>
      </c>
      <c r="K1235" s="10">
        <f>IF($A1235="","",IF($I1235=0,"",_xludf.AGGREGATE(14,6,Ventes_Encaissements!$C$6:$C$3005/(Ventes_Encaissements!$B$6:$B$3005=$A1235),1)))</f>
        <v/>
      </c>
      <c r="L1235" s="11">
        <f>IF($A1235="","",COUNTIFS(Ventes_Detail!$B$6:$B$3005,$A1235))</f>
        <v/>
      </c>
      <c r="M1235" s="12" t="n"/>
      <c r="N1235" s="12">
        <f>IF($A1235="","",IF($G1235="","",IF($M1235="Oui","Litige",IF($J1235&lt;=0,"Payé",IF($I1235&gt;0,"Partiel",IF(Listes!$B$3&gt;$G1235,"En retard","À échoir"))))))</f>
        <v/>
      </c>
      <c r="O1235" s="11">
        <f>IF($A1235="","",IF(OR($G1235="", $J1235&lt;=0),0,MAX(0,Listes!$B$3-$G1235)))</f>
        <v/>
      </c>
      <c r="P1235" s="12">
        <f>IF($A1235="","",IF($J1235&lt;=0,"Payé",IF($M1235="Oui","Litige",IF($O1235=0,"À échoir",IF($O1235&lt;=30,"0-30",IF($O1235&lt;=60,"31-60",IF($O1235&lt;=90,"61-90","90+")))))))</f>
        <v/>
      </c>
    </row>
    <row r="1236">
      <c r="A1236" s="6" t="n"/>
      <c r="B1236" s="6" t="n"/>
      <c r="C1236" s="6" t="n"/>
      <c r="D1236" s="6" t="n"/>
      <c r="E1236" s="6" t="n"/>
      <c r="F1236" s="7" t="n"/>
      <c r="G1236" s="7" t="n"/>
      <c r="H1236" s="8" t="n"/>
      <c r="I1236" s="9">
        <f>IF($A1236="","",SUMIFS(Ventes_Encaissements!$D$6:$D$3005,Ventes_Encaissements!$B$6:$B$3005,$A1236))</f>
        <v/>
      </c>
      <c r="J1236" s="9">
        <f>IF($A1236="","",$H1236-$I1236)</f>
        <v/>
      </c>
      <c r="K1236" s="10">
        <f>IF($A1236="","",IF($I1236=0,"",_xludf.AGGREGATE(14,6,Ventes_Encaissements!$C$6:$C$3005/(Ventes_Encaissements!$B$6:$B$3005=$A1236),1)))</f>
        <v/>
      </c>
      <c r="L1236" s="11">
        <f>IF($A1236="","",COUNTIFS(Ventes_Detail!$B$6:$B$3005,$A1236))</f>
        <v/>
      </c>
      <c r="M1236" s="12" t="n"/>
      <c r="N1236" s="12">
        <f>IF($A1236="","",IF($G1236="","",IF($M1236="Oui","Litige",IF($J1236&lt;=0,"Payé",IF($I1236&gt;0,"Partiel",IF(Listes!$B$3&gt;$G1236,"En retard","À échoir"))))))</f>
        <v/>
      </c>
      <c r="O1236" s="11">
        <f>IF($A1236="","",IF(OR($G1236="", $J1236&lt;=0),0,MAX(0,Listes!$B$3-$G1236)))</f>
        <v/>
      </c>
      <c r="P1236" s="12">
        <f>IF($A1236="","",IF($J1236&lt;=0,"Payé",IF($M1236="Oui","Litige",IF($O1236=0,"À échoir",IF($O1236&lt;=30,"0-30",IF($O1236&lt;=60,"31-60",IF($O1236&lt;=90,"61-90","90+")))))))</f>
        <v/>
      </c>
    </row>
    <row r="1237">
      <c r="A1237" s="6" t="n"/>
      <c r="B1237" s="6" t="n"/>
      <c r="C1237" s="6" t="n"/>
      <c r="D1237" s="6" t="n"/>
      <c r="E1237" s="6" t="n"/>
      <c r="F1237" s="7" t="n"/>
      <c r="G1237" s="7" t="n"/>
      <c r="H1237" s="8" t="n"/>
      <c r="I1237" s="9">
        <f>IF($A1237="","",SUMIFS(Ventes_Encaissements!$D$6:$D$3005,Ventes_Encaissements!$B$6:$B$3005,$A1237))</f>
        <v/>
      </c>
      <c r="J1237" s="9">
        <f>IF($A1237="","",$H1237-$I1237)</f>
        <v/>
      </c>
      <c r="K1237" s="10">
        <f>IF($A1237="","",IF($I1237=0,"",_xludf.AGGREGATE(14,6,Ventes_Encaissements!$C$6:$C$3005/(Ventes_Encaissements!$B$6:$B$3005=$A1237),1)))</f>
        <v/>
      </c>
      <c r="L1237" s="11">
        <f>IF($A1237="","",COUNTIFS(Ventes_Detail!$B$6:$B$3005,$A1237))</f>
        <v/>
      </c>
      <c r="M1237" s="12" t="n"/>
      <c r="N1237" s="12">
        <f>IF($A1237="","",IF($G1237="","",IF($M1237="Oui","Litige",IF($J1237&lt;=0,"Payé",IF($I1237&gt;0,"Partiel",IF(Listes!$B$3&gt;$G1237,"En retard","À échoir"))))))</f>
        <v/>
      </c>
      <c r="O1237" s="11">
        <f>IF($A1237="","",IF(OR($G1237="", $J1237&lt;=0),0,MAX(0,Listes!$B$3-$G1237)))</f>
        <v/>
      </c>
      <c r="P1237" s="12">
        <f>IF($A1237="","",IF($J1237&lt;=0,"Payé",IF($M1237="Oui","Litige",IF($O1237=0,"À échoir",IF($O1237&lt;=30,"0-30",IF($O1237&lt;=60,"31-60",IF($O1237&lt;=90,"61-90","90+")))))))</f>
        <v/>
      </c>
    </row>
    <row r="1238">
      <c r="A1238" s="6" t="n"/>
      <c r="B1238" s="6" t="n"/>
      <c r="C1238" s="6" t="n"/>
      <c r="D1238" s="6" t="n"/>
      <c r="E1238" s="6" t="n"/>
      <c r="F1238" s="7" t="n"/>
      <c r="G1238" s="7" t="n"/>
      <c r="H1238" s="8" t="n"/>
      <c r="I1238" s="9">
        <f>IF($A1238="","",SUMIFS(Ventes_Encaissements!$D$6:$D$3005,Ventes_Encaissements!$B$6:$B$3005,$A1238))</f>
        <v/>
      </c>
      <c r="J1238" s="9">
        <f>IF($A1238="","",$H1238-$I1238)</f>
        <v/>
      </c>
      <c r="K1238" s="10">
        <f>IF($A1238="","",IF($I1238=0,"",_xludf.AGGREGATE(14,6,Ventes_Encaissements!$C$6:$C$3005/(Ventes_Encaissements!$B$6:$B$3005=$A1238),1)))</f>
        <v/>
      </c>
      <c r="L1238" s="11">
        <f>IF($A1238="","",COUNTIFS(Ventes_Detail!$B$6:$B$3005,$A1238))</f>
        <v/>
      </c>
      <c r="M1238" s="12" t="n"/>
      <c r="N1238" s="12">
        <f>IF($A1238="","",IF($G1238="","",IF($M1238="Oui","Litige",IF($J1238&lt;=0,"Payé",IF($I1238&gt;0,"Partiel",IF(Listes!$B$3&gt;$G1238,"En retard","À échoir"))))))</f>
        <v/>
      </c>
      <c r="O1238" s="11">
        <f>IF($A1238="","",IF(OR($G1238="", $J1238&lt;=0),0,MAX(0,Listes!$B$3-$G1238)))</f>
        <v/>
      </c>
      <c r="P1238" s="12">
        <f>IF($A1238="","",IF($J1238&lt;=0,"Payé",IF($M1238="Oui","Litige",IF($O1238=0,"À échoir",IF($O1238&lt;=30,"0-30",IF($O1238&lt;=60,"31-60",IF($O1238&lt;=90,"61-90","90+")))))))</f>
        <v/>
      </c>
    </row>
    <row r="1239">
      <c r="A1239" s="6" t="n"/>
      <c r="B1239" s="6" t="n"/>
      <c r="C1239" s="6" t="n"/>
      <c r="D1239" s="6" t="n"/>
      <c r="E1239" s="6" t="n"/>
      <c r="F1239" s="7" t="n"/>
      <c r="G1239" s="7" t="n"/>
      <c r="H1239" s="8" t="n"/>
      <c r="I1239" s="9">
        <f>IF($A1239="","",SUMIFS(Ventes_Encaissements!$D$6:$D$3005,Ventes_Encaissements!$B$6:$B$3005,$A1239))</f>
        <v/>
      </c>
      <c r="J1239" s="9">
        <f>IF($A1239="","",$H1239-$I1239)</f>
        <v/>
      </c>
      <c r="K1239" s="10">
        <f>IF($A1239="","",IF($I1239=0,"",_xludf.AGGREGATE(14,6,Ventes_Encaissements!$C$6:$C$3005/(Ventes_Encaissements!$B$6:$B$3005=$A1239),1)))</f>
        <v/>
      </c>
      <c r="L1239" s="11">
        <f>IF($A1239="","",COUNTIFS(Ventes_Detail!$B$6:$B$3005,$A1239))</f>
        <v/>
      </c>
      <c r="M1239" s="12" t="n"/>
      <c r="N1239" s="12">
        <f>IF($A1239="","",IF($G1239="","",IF($M1239="Oui","Litige",IF($J1239&lt;=0,"Payé",IF($I1239&gt;0,"Partiel",IF(Listes!$B$3&gt;$G1239,"En retard","À échoir"))))))</f>
        <v/>
      </c>
      <c r="O1239" s="11">
        <f>IF($A1239="","",IF(OR($G1239="", $J1239&lt;=0),0,MAX(0,Listes!$B$3-$G1239)))</f>
        <v/>
      </c>
      <c r="P1239" s="12">
        <f>IF($A1239="","",IF($J1239&lt;=0,"Payé",IF($M1239="Oui","Litige",IF($O1239=0,"À échoir",IF($O1239&lt;=30,"0-30",IF($O1239&lt;=60,"31-60",IF($O1239&lt;=90,"61-90","90+")))))))</f>
        <v/>
      </c>
    </row>
    <row r="1240">
      <c r="A1240" s="6" t="n"/>
      <c r="B1240" s="6" t="n"/>
      <c r="C1240" s="6" t="n"/>
      <c r="D1240" s="6" t="n"/>
      <c r="E1240" s="6" t="n"/>
      <c r="F1240" s="7" t="n"/>
      <c r="G1240" s="7" t="n"/>
      <c r="H1240" s="8" t="n"/>
      <c r="I1240" s="9">
        <f>IF($A1240="","",SUMIFS(Ventes_Encaissements!$D$6:$D$3005,Ventes_Encaissements!$B$6:$B$3005,$A1240))</f>
        <v/>
      </c>
      <c r="J1240" s="9">
        <f>IF($A1240="","",$H1240-$I1240)</f>
        <v/>
      </c>
      <c r="K1240" s="10">
        <f>IF($A1240="","",IF($I1240=0,"",_xludf.AGGREGATE(14,6,Ventes_Encaissements!$C$6:$C$3005/(Ventes_Encaissements!$B$6:$B$3005=$A1240),1)))</f>
        <v/>
      </c>
      <c r="L1240" s="11">
        <f>IF($A1240="","",COUNTIFS(Ventes_Detail!$B$6:$B$3005,$A1240))</f>
        <v/>
      </c>
      <c r="M1240" s="12" t="n"/>
      <c r="N1240" s="12">
        <f>IF($A1240="","",IF($G1240="","",IF($M1240="Oui","Litige",IF($J1240&lt;=0,"Payé",IF($I1240&gt;0,"Partiel",IF(Listes!$B$3&gt;$G1240,"En retard","À échoir"))))))</f>
        <v/>
      </c>
      <c r="O1240" s="11">
        <f>IF($A1240="","",IF(OR($G1240="", $J1240&lt;=0),0,MAX(0,Listes!$B$3-$G1240)))</f>
        <v/>
      </c>
      <c r="P1240" s="12">
        <f>IF($A1240="","",IF($J1240&lt;=0,"Payé",IF($M1240="Oui","Litige",IF($O1240=0,"À échoir",IF($O1240&lt;=30,"0-30",IF($O1240&lt;=60,"31-60",IF($O1240&lt;=90,"61-90","90+")))))))</f>
        <v/>
      </c>
    </row>
    <row r="1241">
      <c r="A1241" s="6" t="n"/>
      <c r="B1241" s="6" t="n"/>
      <c r="C1241" s="6" t="n"/>
      <c r="D1241" s="6" t="n"/>
      <c r="E1241" s="6" t="n"/>
      <c r="F1241" s="7" t="n"/>
      <c r="G1241" s="7" t="n"/>
      <c r="H1241" s="8" t="n"/>
      <c r="I1241" s="9">
        <f>IF($A1241="","",SUMIFS(Ventes_Encaissements!$D$6:$D$3005,Ventes_Encaissements!$B$6:$B$3005,$A1241))</f>
        <v/>
      </c>
      <c r="J1241" s="9">
        <f>IF($A1241="","",$H1241-$I1241)</f>
        <v/>
      </c>
      <c r="K1241" s="10">
        <f>IF($A1241="","",IF($I1241=0,"",_xludf.AGGREGATE(14,6,Ventes_Encaissements!$C$6:$C$3005/(Ventes_Encaissements!$B$6:$B$3005=$A1241),1)))</f>
        <v/>
      </c>
      <c r="L1241" s="11">
        <f>IF($A1241="","",COUNTIFS(Ventes_Detail!$B$6:$B$3005,$A1241))</f>
        <v/>
      </c>
      <c r="M1241" s="12" t="n"/>
      <c r="N1241" s="12">
        <f>IF($A1241="","",IF($G1241="","",IF($M1241="Oui","Litige",IF($J1241&lt;=0,"Payé",IF($I1241&gt;0,"Partiel",IF(Listes!$B$3&gt;$G1241,"En retard","À échoir"))))))</f>
        <v/>
      </c>
      <c r="O1241" s="11">
        <f>IF($A1241="","",IF(OR($G1241="", $J1241&lt;=0),0,MAX(0,Listes!$B$3-$G1241)))</f>
        <v/>
      </c>
      <c r="P1241" s="12">
        <f>IF($A1241="","",IF($J1241&lt;=0,"Payé",IF($M1241="Oui","Litige",IF($O1241=0,"À échoir",IF($O1241&lt;=30,"0-30",IF($O1241&lt;=60,"31-60",IF($O1241&lt;=90,"61-90","90+")))))))</f>
        <v/>
      </c>
    </row>
    <row r="1242">
      <c r="A1242" s="6" t="n"/>
      <c r="B1242" s="6" t="n"/>
      <c r="C1242" s="6" t="n"/>
      <c r="D1242" s="6" t="n"/>
      <c r="E1242" s="6" t="n"/>
      <c r="F1242" s="7" t="n"/>
      <c r="G1242" s="7" t="n"/>
      <c r="H1242" s="8" t="n"/>
      <c r="I1242" s="9">
        <f>IF($A1242="","",SUMIFS(Ventes_Encaissements!$D$6:$D$3005,Ventes_Encaissements!$B$6:$B$3005,$A1242))</f>
        <v/>
      </c>
      <c r="J1242" s="9">
        <f>IF($A1242="","",$H1242-$I1242)</f>
        <v/>
      </c>
      <c r="K1242" s="10">
        <f>IF($A1242="","",IF($I1242=0,"",_xludf.AGGREGATE(14,6,Ventes_Encaissements!$C$6:$C$3005/(Ventes_Encaissements!$B$6:$B$3005=$A1242),1)))</f>
        <v/>
      </c>
      <c r="L1242" s="11">
        <f>IF($A1242="","",COUNTIFS(Ventes_Detail!$B$6:$B$3005,$A1242))</f>
        <v/>
      </c>
      <c r="M1242" s="12" t="n"/>
      <c r="N1242" s="12">
        <f>IF($A1242="","",IF($G1242="","",IF($M1242="Oui","Litige",IF($J1242&lt;=0,"Payé",IF($I1242&gt;0,"Partiel",IF(Listes!$B$3&gt;$G1242,"En retard","À échoir"))))))</f>
        <v/>
      </c>
      <c r="O1242" s="11">
        <f>IF($A1242="","",IF(OR($G1242="", $J1242&lt;=0),0,MAX(0,Listes!$B$3-$G1242)))</f>
        <v/>
      </c>
      <c r="P1242" s="12">
        <f>IF($A1242="","",IF($J1242&lt;=0,"Payé",IF($M1242="Oui","Litige",IF($O1242=0,"À échoir",IF($O1242&lt;=30,"0-30",IF($O1242&lt;=60,"31-60",IF($O1242&lt;=90,"61-90","90+")))))))</f>
        <v/>
      </c>
    </row>
    <row r="1243">
      <c r="A1243" s="6" t="n"/>
      <c r="B1243" s="6" t="n"/>
      <c r="C1243" s="6" t="n"/>
      <c r="D1243" s="6" t="n"/>
      <c r="E1243" s="6" t="n"/>
      <c r="F1243" s="7" t="n"/>
      <c r="G1243" s="7" t="n"/>
      <c r="H1243" s="8" t="n"/>
      <c r="I1243" s="9">
        <f>IF($A1243="","",SUMIFS(Ventes_Encaissements!$D$6:$D$3005,Ventes_Encaissements!$B$6:$B$3005,$A1243))</f>
        <v/>
      </c>
      <c r="J1243" s="9">
        <f>IF($A1243="","",$H1243-$I1243)</f>
        <v/>
      </c>
      <c r="K1243" s="10">
        <f>IF($A1243="","",IF($I1243=0,"",_xludf.AGGREGATE(14,6,Ventes_Encaissements!$C$6:$C$3005/(Ventes_Encaissements!$B$6:$B$3005=$A1243),1)))</f>
        <v/>
      </c>
      <c r="L1243" s="11">
        <f>IF($A1243="","",COUNTIFS(Ventes_Detail!$B$6:$B$3005,$A1243))</f>
        <v/>
      </c>
      <c r="M1243" s="12" t="n"/>
      <c r="N1243" s="12">
        <f>IF($A1243="","",IF($G1243="","",IF($M1243="Oui","Litige",IF($J1243&lt;=0,"Payé",IF($I1243&gt;0,"Partiel",IF(Listes!$B$3&gt;$G1243,"En retard","À échoir"))))))</f>
        <v/>
      </c>
      <c r="O1243" s="11">
        <f>IF($A1243="","",IF(OR($G1243="", $J1243&lt;=0),0,MAX(0,Listes!$B$3-$G1243)))</f>
        <v/>
      </c>
      <c r="P1243" s="12">
        <f>IF($A1243="","",IF($J1243&lt;=0,"Payé",IF($M1243="Oui","Litige",IF($O1243=0,"À échoir",IF($O1243&lt;=30,"0-30",IF($O1243&lt;=60,"31-60",IF($O1243&lt;=90,"61-90","90+")))))))</f>
        <v/>
      </c>
    </row>
    <row r="1244">
      <c r="A1244" s="6" t="n"/>
      <c r="B1244" s="6" t="n"/>
      <c r="C1244" s="6" t="n"/>
      <c r="D1244" s="6" t="n"/>
      <c r="E1244" s="6" t="n"/>
      <c r="F1244" s="7" t="n"/>
      <c r="G1244" s="7" t="n"/>
      <c r="H1244" s="8" t="n"/>
      <c r="I1244" s="9">
        <f>IF($A1244="","",SUMIFS(Ventes_Encaissements!$D$6:$D$3005,Ventes_Encaissements!$B$6:$B$3005,$A1244))</f>
        <v/>
      </c>
      <c r="J1244" s="9">
        <f>IF($A1244="","",$H1244-$I1244)</f>
        <v/>
      </c>
      <c r="K1244" s="10">
        <f>IF($A1244="","",IF($I1244=0,"",_xludf.AGGREGATE(14,6,Ventes_Encaissements!$C$6:$C$3005/(Ventes_Encaissements!$B$6:$B$3005=$A1244),1)))</f>
        <v/>
      </c>
      <c r="L1244" s="11">
        <f>IF($A1244="","",COUNTIFS(Ventes_Detail!$B$6:$B$3005,$A1244))</f>
        <v/>
      </c>
      <c r="M1244" s="12" t="n"/>
      <c r="N1244" s="12">
        <f>IF($A1244="","",IF($G1244="","",IF($M1244="Oui","Litige",IF($J1244&lt;=0,"Payé",IF($I1244&gt;0,"Partiel",IF(Listes!$B$3&gt;$G1244,"En retard","À échoir"))))))</f>
        <v/>
      </c>
      <c r="O1244" s="11">
        <f>IF($A1244="","",IF(OR($G1244="", $J1244&lt;=0),0,MAX(0,Listes!$B$3-$G1244)))</f>
        <v/>
      </c>
      <c r="P1244" s="12">
        <f>IF($A1244="","",IF($J1244&lt;=0,"Payé",IF($M1244="Oui","Litige",IF($O1244=0,"À échoir",IF($O1244&lt;=30,"0-30",IF($O1244&lt;=60,"31-60",IF($O1244&lt;=90,"61-90","90+")))))))</f>
        <v/>
      </c>
    </row>
    <row r="1245">
      <c r="A1245" s="6" t="n"/>
      <c r="B1245" s="6" t="n"/>
      <c r="C1245" s="6" t="n"/>
      <c r="D1245" s="6" t="n"/>
      <c r="E1245" s="6" t="n"/>
      <c r="F1245" s="7" t="n"/>
      <c r="G1245" s="7" t="n"/>
      <c r="H1245" s="8" t="n"/>
      <c r="I1245" s="9">
        <f>IF($A1245="","",SUMIFS(Ventes_Encaissements!$D$6:$D$3005,Ventes_Encaissements!$B$6:$B$3005,$A1245))</f>
        <v/>
      </c>
      <c r="J1245" s="9">
        <f>IF($A1245="","",$H1245-$I1245)</f>
        <v/>
      </c>
      <c r="K1245" s="10">
        <f>IF($A1245="","",IF($I1245=0,"",_xludf.AGGREGATE(14,6,Ventes_Encaissements!$C$6:$C$3005/(Ventes_Encaissements!$B$6:$B$3005=$A1245),1)))</f>
        <v/>
      </c>
      <c r="L1245" s="11">
        <f>IF($A1245="","",COUNTIFS(Ventes_Detail!$B$6:$B$3005,$A1245))</f>
        <v/>
      </c>
      <c r="M1245" s="12" t="n"/>
      <c r="N1245" s="12">
        <f>IF($A1245="","",IF($G1245="","",IF($M1245="Oui","Litige",IF($J1245&lt;=0,"Payé",IF($I1245&gt;0,"Partiel",IF(Listes!$B$3&gt;$G1245,"En retard","À échoir"))))))</f>
        <v/>
      </c>
      <c r="O1245" s="11">
        <f>IF($A1245="","",IF(OR($G1245="", $J1245&lt;=0),0,MAX(0,Listes!$B$3-$G1245)))</f>
        <v/>
      </c>
      <c r="P1245" s="12">
        <f>IF($A1245="","",IF($J1245&lt;=0,"Payé",IF($M1245="Oui","Litige",IF($O1245=0,"À échoir",IF($O1245&lt;=30,"0-30",IF($O1245&lt;=60,"31-60",IF($O1245&lt;=90,"61-90","90+")))))))</f>
        <v/>
      </c>
    </row>
    <row r="1246">
      <c r="A1246" s="6" t="n"/>
      <c r="B1246" s="6" t="n"/>
      <c r="C1246" s="6" t="n"/>
      <c r="D1246" s="6" t="n"/>
      <c r="E1246" s="6" t="n"/>
      <c r="F1246" s="7" t="n"/>
      <c r="G1246" s="7" t="n"/>
      <c r="H1246" s="8" t="n"/>
      <c r="I1246" s="9">
        <f>IF($A1246="","",SUMIFS(Ventes_Encaissements!$D$6:$D$3005,Ventes_Encaissements!$B$6:$B$3005,$A1246))</f>
        <v/>
      </c>
      <c r="J1246" s="9">
        <f>IF($A1246="","",$H1246-$I1246)</f>
        <v/>
      </c>
      <c r="K1246" s="10">
        <f>IF($A1246="","",IF($I1246=0,"",_xludf.AGGREGATE(14,6,Ventes_Encaissements!$C$6:$C$3005/(Ventes_Encaissements!$B$6:$B$3005=$A1246),1)))</f>
        <v/>
      </c>
      <c r="L1246" s="11">
        <f>IF($A1246="","",COUNTIFS(Ventes_Detail!$B$6:$B$3005,$A1246))</f>
        <v/>
      </c>
      <c r="M1246" s="12" t="n"/>
      <c r="N1246" s="12">
        <f>IF($A1246="","",IF($G1246="","",IF($M1246="Oui","Litige",IF($J1246&lt;=0,"Payé",IF($I1246&gt;0,"Partiel",IF(Listes!$B$3&gt;$G1246,"En retard","À échoir"))))))</f>
        <v/>
      </c>
      <c r="O1246" s="11">
        <f>IF($A1246="","",IF(OR($G1246="", $J1246&lt;=0),0,MAX(0,Listes!$B$3-$G1246)))</f>
        <v/>
      </c>
      <c r="P1246" s="12">
        <f>IF($A1246="","",IF($J1246&lt;=0,"Payé",IF($M1246="Oui","Litige",IF($O1246=0,"À échoir",IF($O1246&lt;=30,"0-30",IF($O1246&lt;=60,"31-60",IF($O1246&lt;=90,"61-90","90+")))))))</f>
        <v/>
      </c>
    </row>
    <row r="1247">
      <c r="A1247" s="6" t="n"/>
      <c r="B1247" s="6" t="n"/>
      <c r="C1247" s="6" t="n"/>
      <c r="D1247" s="6" t="n"/>
      <c r="E1247" s="6" t="n"/>
      <c r="F1247" s="7" t="n"/>
      <c r="G1247" s="7" t="n"/>
      <c r="H1247" s="8" t="n"/>
      <c r="I1247" s="9">
        <f>IF($A1247="","",SUMIFS(Ventes_Encaissements!$D$6:$D$3005,Ventes_Encaissements!$B$6:$B$3005,$A1247))</f>
        <v/>
      </c>
      <c r="J1247" s="9">
        <f>IF($A1247="","",$H1247-$I1247)</f>
        <v/>
      </c>
      <c r="K1247" s="10">
        <f>IF($A1247="","",IF($I1247=0,"",_xludf.AGGREGATE(14,6,Ventes_Encaissements!$C$6:$C$3005/(Ventes_Encaissements!$B$6:$B$3005=$A1247),1)))</f>
        <v/>
      </c>
      <c r="L1247" s="11">
        <f>IF($A1247="","",COUNTIFS(Ventes_Detail!$B$6:$B$3005,$A1247))</f>
        <v/>
      </c>
      <c r="M1247" s="12" t="n"/>
      <c r="N1247" s="12">
        <f>IF($A1247="","",IF($G1247="","",IF($M1247="Oui","Litige",IF($J1247&lt;=0,"Payé",IF($I1247&gt;0,"Partiel",IF(Listes!$B$3&gt;$G1247,"En retard","À échoir"))))))</f>
        <v/>
      </c>
      <c r="O1247" s="11">
        <f>IF($A1247="","",IF(OR($G1247="", $J1247&lt;=0),0,MAX(0,Listes!$B$3-$G1247)))</f>
        <v/>
      </c>
      <c r="P1247" s="12">
        <f>IF($A1247="","",IF($J1247&lt;=0,"Payé",IF($M1247="Oui","Litige",IF($O1247=0,"À échoir",IF($O1247&lt;=30,"0-30",IF($O1247&lt;=60,"31-60",IF($O1247&lt;=90,"61-90","90+")))))))</f>
        <v/>
      </c>
    </row>
    <row r="1248">
      <c r="A1248" s="6" t="n"/>
      <c r="B1248" s="6" t="n"/>
      <c r="C1248" s="6" t="n"/>
      <c r="D1248" s="6" t="n"/>
      <c r="E1248" s="6" t="n"/>
      <c r="F1248" s="7" t="n"/>
      <c r="G1248" s="7" t="n"/>
      <c r="H1248" s="8" t="n"/>
      <c r="I1248" s="9">
        <f>IF($A1248="","",SUMIFS(Ventes_Encaissements!$D$6:$D$3005,Ventes_Encaissements!$B$6:$B$3005,$A1248))</f>
        <v/>
      </c>
      <c r="J1248" s="9">
        <f>IF($A1248="","",$H1248-$I1248)</f>
        <v/>
      </c>
      <c r="K1248" s="10">
        <f>IF($A1248="","",IF($I1248=0,"",_xludf.AGGREGATE(14,6,Ventes_Encaissements!$C$6:$C$3005/(Ventes_Encaissements!$B$6:$B$3005=$A1248),1)))</f>
        <v/>
      </c>
      <c r="L1248" s="11">
        <f>IF($A1248="","",COUNTIFS(Ventes_Detail!$B$6:$B$3005,$A1248))</f>
        <v/>
      </c>
      <c r="M1248" s="12" t="n"/>
      <c r="N1248" s="12">
        <f>IF($A1248="","",IF($G1248="","",IF($M1248="Oui","Litige",IF($J1248&lt;=0,"Payé",IF($I1248&gt;0,"Partiel",IF(Listes!$B$3&gt;$G1248,"En retard","À échoir"))))))</f>
        <v/>
      </c>
      <c r="O1248" s="11">
        <f>IF($A1248="","",IF(OR($G1248="", $J1248&lt;=0),0,MAX(0,Listes!$B$3-$G1248)))</f>
        <v/>
      </c>
      <c r="P1248" s="12">
        <f>IF($A1248="","",IF($J1248&lt;=0,"Payé",IF($M1248="Oui","Litige",IF($O1248=0,"À échoir",IF($O1248&lt;=30,"0-30",IF($O1248&lt;=60,"31-60",IF($O1248&lt;=90,"61-90","90+")))))))</f>
        <v/>
      </c>
    </row>
    <row r="1249">
      <c r="A1249" s="6" t="n"/>
      <c r="B1249" s="6" t="n"/>
      <c r="C1249" s="6" t="n"/>
      <c r="D1249" s="6" t="n"/>
      <c r="E1249" s="6" t="n"/>
      <c r="F1249" s="7" t="n"/>
      <c r="G1249" s="7" t="n"/>
      <c r="H1249" s="8" t="n"/>
      <c r="I1249" s="9">
        <f>IF($A1249="","",SUMIFS(Ventes_Encaissements!$D$6:$D$3005,Ventes_Encaissements!$B$6:$B$3005,$A1249))</f>
        <v/>
      </c>
      <c r="J1249" s="9">
        <f>IF($A1249="","",$H1249-$I1249)</f>
        <v/>
      </c>
      <c r="K1249" s="10">
        <f>IF($A1249="","",IF($I1249=0,"",_xludf.AGGREGATE(14,6,Ventes_Encaissements!$C$6:$C$3005/(Ventes_Encaissements!$B$6:$B$3005=$A1249),1)))</f>
        <v/>
      </c>
      <c r="L1249" s="11">
        <f>IF($A1249="","",COUNTIFS(Ventes_Detail!$B$6:$B$3005,$A1249))</f>
        <v/>
      </c>
      <c r="M1249" s="12" t="n"/>
      <c r="N1249" s="12">
        <f>IF($A1249="","",IF($G1249="","",IF($M1249="Oui","Litige",IF($J1249&lt;=0,"Payé",IF($I1249&gt;0,"Partiel",IF(Listes!$B$3&gt;$G1249,"En retard","À échoir"))))))</f>
        <v/>
      </c>
      <c r="O1249" s="11">
        <f>IF($A1249="","",IF(OR($G1249="", $J1249&lt;=0),0,MAX(0,Listes!$B$3-$G1249)))</f>
        <v/>
      </c>
      <c r="P1249" s="12">
        <f>IF($A1249="","",IF($J1249&lt;=0,"Payé",IF($M1249="Oui","Litige",IF($O1249=0,"À échoir",IF($O1249&lt;=30,"0-30",IF($O1249&lt;=60,"31-60",IF($O1249&lt;=90,"61-90","90+")))))))</f>
        <v/>
      </c>
    </row>
    <row r="1250">
      <c r="A1250" s="6" t="n"/>
      <c r="B1250" s="6" t="n"/>
      <c r="C1250" s="6" t="n"/>
      <c r="D1250" s="6" t="n"/>
      <c r="E1250" s="6" t="n"/>
      <c r="F1250" s="7" t="n"/>
      <c r="G1250" s="7" t="n"/>
      <c r="H1250" s="8" t="n"/>
      <c r="I1250" s="9">
        <f>IF($A1250="","",SUMIFS(Ventes_Encaissements!$D$6:$D$3005,Ventes_Encaissements!$B$6:$B$3005,$A1250))</f>
        <v/>
      </c>
      <c r="J1250" s="9">
        <f>IF($A1250="","",$H1250-$I1250)</f>
        <v/>
      </c>
      <c r="K1250" s="10">
        <f>IF($A1250="","",IF($I1250=0,"",_xludf.AGGREGATE(14,6,Ventes_Encaissements!$C$6:$C$3005/(Ventes_Encaissements!$B$6:$B$3005=$A1250),1)))</f>
        <v/>
      </c>
      <c r="L1250" s="11">
        <f>IF($A1250="","",COUNTIFS(Ventes_Detail!$B$6:$B$3005,$A1250))</f>
        <v/>
      </c>
      <c r="M1250" s="12" t="n"/>
      <c r="N1250" s="12">
        <f>IF($A1250="","",IF($G1250="","",IF($M1250="Oui","Litige",IF($J1250&lt;=0,"Payé",IF($I1250&gt;0,"Partiel",IF(Listes!$B$3&gt;$G1250,"En retard","À échoir"))))))</f>
        <v/>
      </c>
      <c r="O1250" s="11">
        <f>IF($A1250="","",IF(OR($G1250="", $J1250&lt;=0),0,MAX(0,Listes!$B$3-$G1250)))</f>
        <v/>
      </c>
      <c r="P1250" s="12">
        <f>IF($A1250="","",IF($J1250&lt;=0,"Payé",IF($M1250="Oui","Litige",IF($O1250=0,"À échoir",IF($O1250&lt;=30,"0-30",IF($O1250&lt;=60,"31-60",IF($O1250&lt;=90,"61-90","90+")))))))</f>
        <v/>
      </c>
    </row>
    <row r="1251">
      <c r="A1251" s="6" t="n"/>
      <c r="B1251" s="6" t="n"/>
      <c r="C1251" s="6" t="n"/>
      <c r="D1251" s="6" t="n"/>
      <c r="E1251" s="6" t="n"/>
      <c r="F1251" s="7" t="n"/>
      <c r="G1251" s="7" t="n"/>
      <c r="H1251" s="8" t="n"/>
      <c r="I1251" s="9">
        <f>IF($A1251="","",SUMIFS(Ventes_Encaissements!$D$6:$D$3005,Ventes_Encaissements!$B$6:$B$3005,$A1251))</f>
        <v/>
      </c>
      <c r="J1251" s="9">
        <f>IF($A1251="","",$H1251-$I1251)</f>
        <v/>
      </c>
      <c r="K1251" s="10">
        <f>IF($A1251="","",IF($I1251=0,"",_xludf.AGGREGATE(14,6,Ventes_Encaissements!$C$6:$C$3005/(Ventes_Encaissements!$B$6:$B$3005=$A1251),1)))</f>
        <v/>
      </c>
      <c r="L1251" s="11">
        <f>IF($A1251="","",COUNTIFS(Ventes_Detail!$B$6:$B$3005,$A1251))</f>
        <v/>
      </c>
      <c r="M1251" s="12" t="n"/>
      <c r="N1251" s="12">
        <f>IF($A1251="","",IF($G1251="","",IF($M1251="Oui","Litige",IF($J1251&lt;=0,"Payé",IF($I1251&gt;0,"Partiel",IF(Listes!$B$3&gt;$G1251,"En retard","À échoir"))))))</f>
        <v/>
      </c>
      <c r="O1251" s="11">
        <f>IF($A1251="","",IF(OR($G1251="", $J1251&lt;=0),0,MAX(0,Listes!$B$3-$G1251)))</f>
        <v/>
      </c>
      <c r="P1251" s="12">
        <f>IF($A1251="","",IF($J1251&lt;=0,"Payé",IF($M1251="Oui","Litige",IF($O1251=0,"À échoir",IF($O1251&lt;=30,"0-30",IF($O1251&lt;=60,"31-60",IF($O1251&lt;=90,"61-90","90+")))))))</f>
        <v/>
      </c>
    </row>
    <row r="1252">
      <c r="A1252" s="6" t="n"/>
      <c r="B1252" s="6" t="n"/>
      <c r="C1252" s="6" t="n"/>
      <c r="D1252" s="6" t="n"/>
      <c r="E1252" s="6" t="n"/>
      <c r="F1252" s="7" t="n"/>
      <c r="G1252" s="7" t="n"/>
      <c r="H1252" s="8" t="n"/>
      <c r="I1252" s="9">
        <f>IF($A1252="","",SUMIFS(Ventes_Encaissements!$D$6:$D$3005,Ventes_Encaissements!$B$6:$B$3005,$A1252))</f>
        <v/>
      </c>
      <c r="J1252" s="9">
        <f>IF($A1252="","",$H1252-$I1252)</f>
        <v/>
      </c>
      <c r="K1252" s="10">
        <f>IF($A1252="","",IF($I1252=0,"",_xludf.AGGREGATE(14,6,Ventes_Encaissements!$C$6:$C$3005/(Ventes_Encaissements!$B$6:$B$3005=$A1252),1)))</f>
        <v/>
      </c>
      <c r="L1252" s="11">
        <f>IF($A1252="","",COUNTIFS(Ventes_Detail!$B$6:$B$3005,$A1252))</f>
        <v/>
      </c>
      <c r="M1252" s="12" t="n"/>
      <c r="N1252" s="12">
        <f>IF($A1252="","",IF($G1252="","",IF($M1252="Oui","Litige",IF($J1252&lt;=0,"Payé",IF($I1252&gt;0,"Partiel",IF(Listes!$B$3&gt;$G1252,"En retard","À échoir"))))))</f>
        <v/>
      </c>
      <c r="O1252" s="11">
        <f>IF($A1252="","",IF(OR($G1252="", $J1252&lt;=0),0,MAX(0,Listes!$B$3-$G1252)))</f>
        <v/>
      </c>
      <c r="P1252" s="12">
        <f>IF($A1252="","",IF($J1252&lt;=0,"Payé",IF($M1252="Oui","Litige",IF($O1252=0,"À échoir",IF($O1252&lt;=30,"0-30",IF($O1252&lt;=60,"31-60",IF($O1252&lt;=90,"61-90","90+")))))))</f>
        <v/>
      </c>
    </row>
    <row r="1253">
      <c r="A1253" s="6" t="n"/>
      <c r="B1253" s="6" t="n"/>
      <c r="C1253" s="6" t="n"/>
      <c r="D1253" s="6" t="n"/>
      <c r="E1253" s="6" t="n"/>
      <c r="F1253" s="7" t="n"/>
      <c r="G1253" s="7" t="n"/>
      <c r="H1253" s="8" t="n"/>
      <c r="I1253" s="9">
        <f>IF($A1253="","",SUMIFS(Ventes_Encaissements!$D$6:$D$3005,Ventes_Encaissements!$B$6:$B$3005,$A1253))</f>
        <v/>
      </c>
      <c r="J1253" s="9">
        <f>IF($A1253="","",$H1253-$I1253)</f>
        <v/>
      </c>
      <c r="K1253" s="10">
        <f>IF($A1253="","",IF($I1253=0,"",_xludf.AGGREGATE(14,6,Ventes_Encaissements!$C$6:$C$3005/(Ventes_Encaissements!$B$6:$B$3005=$A1253),1)))</f>
        <v/>
      </c>
      <c r="L1253" s="11">
        <f>IF($A1253="","",COUNTIFS(Ventes_Detail!$B$6:$B$3005,$A1253))</f>
        <v/>
      </c>
      <c r="M1253" s="12" t="n"/>
      <c r="N1253" s="12">
        <f>IF($A1253="","",IF($G1253="","",IF($M1253="Oui","Litige",IF($J1253&lt;=0,"Payé",IF($I1253&gt;0,"Partiel",IF(Listes!$B$3&gt;$G1253,"En retard","À échoir"))))))</f>
        <v/>
      </c>
      <c r="O1253" s="11">
        <f>IF($A1253="","",IF(OR($G1253="", $J1253&lt;=0),0,MAX(0,Listes!$B$3-$G1253)))</f>
        <v/>
      </c>
      <c r="P1253" s="12">
        <f>IF($A1253="","",IF($J1253&lt;=0,"Payé",IF($M1253="Oui","Litige",IF($O1253=0,"À échoir",IF($O1253&lt;=30,"0-30",IF($O1253&lt;=60,"31-60",IF($O1253&lt;=90,"61-90","90+")))))))</f>
        <v/>
      </c>
    </row>
    <row r="1254">
      <c r="A1254" s="6" t="n"/>
      <c r="B1254" s="6" t="n"/>
      <c r="C1254" s="6" t="n"/>
      <c r="D1254" s="6" t="n"/>
      <c r="E1254" s="6" t="n"/>
      <c r="F1254" s="7" t="n"/>
      <c r="G1254" s="7" t="n"/>
      <c r="H1254" s="8" t="n"/>
      <c r="I1254" s="9">
        <f>IF($A1254="","",SUMIFS(Ventes_Encaissements!$D$6:$D$3005,Ventes_Encaissements!$B$6:$B$3005,$A1254))</f>
        <v/>
      </c>
      <c r="J1254" s="9">
        <f>IF($A1254="","",$H1254-$I1254)</f>
        <v/>
      </c>
      <c r="K1254" s="10">
        <f>IF($A1254="","",IF($I1254=0,"",_xludf.AGGREGATE(14,6,Ventes_Encaissements!$C$6:$C$3005/(Ventes_Encaissements!$B$6:$B$3005=$A1254),1)))</f>
        <v/>
      </c>
      <c r="L1254" s="11">
        <f>IF($A1254="","",COUNTIFS(Ventes_Detail!$B$6:$B$3005,$A1254))</f>
        <v/>
      </c>
      <c r="M1254" s="12" t="n"/>
      <c r="N1254" s="12">
        <f>IF($A1254="","",IF($G1254="","",IF($M1254="Oui","Litige",IF($J1254&lt;=0,"Payé",IF($I1254&gt;0,"Partiel",IF(Listes!$B$3&gt;$G1254,"En retard","À échoir"))))))</f>
        <v/>
      </c>
      <c r="O1254" s="11">
        <f>IF($A1254="","",IF(OR($G1254="", $J1254&lt;=0),0,MAX(0,Listes!$B$3-$G1254)))</f>
        <v/>
      </c>
      <c r="P1254" s="12">
        <f>IF($A1254="","",IF($J1254&lt;=0,"Payé",IF($M1254="Oui","Litige",IF($O1254=0,"À échoir",IF($O1254&lt;=30,"0-30",IF($O1254&lt;=60,"31-60",IF($O1254&lt;=90,"61-90","90+")))))))</f>
        <v/>
      </c>
    </row>
    <row r="1255">
      <c r="A1255" s="6" t="n"/>
      <c r="B1255" s="6" t="n"/>
      <c r="C1255" s="6" t="n"/>
      <c r="D1255" s="6" t="n"/>
      <c r="E1255" s="6" t="n"/>
      <c r="F1255" s="7" t="n"/>
      <c r="G1255" s="7" t="n"/>
      <c r="H1255" s="8" t="n"/>
      <c r="I1255" s="9">
        <f>IF($A1255="","",SUMIFS(Ventes_Encaissements!$D$6:$D$3005,Ventes_Encaissements!$B$6:$B$3005,$A1255))</f>
        <v/>
      </c>
      <c r="J1255" s="9">
        <f>IF($A1255="","",$H1255-$I1255)</f>
        <v/>
      </c>
      <c r="K1255" s="10">
        <f>IF($A1255="","",IF($I1255=0,"",_xludf.AGGREGATE(14,6,Ventes_Encaissements!$C$6:$C$3005/(Ventes_Encaissements!$B$6:$B$3005=$A1255),1)))</f>
        <v/>
      </c>
      <c r="L1255" s="11">
        <f>IF($A1255="","",COUNTIFS(Ventes_Detail!$B$6:$B$3005,$A1255))</f>
        <v/>
      </c>
      <c r="M1255" s="12" t="n"/>
      <c r="N1255" s="12">
        <f>IF($A1255="","",IF($G1255="","",IF($M1255="Oui","Litige",IF($J1255&lt;=0,"Payé",IF($I1255&gt;0,"Partiel",IF(Listes!$B$3&gt;$G1255,"En retard","À échoir"))))))</f>
        <v/>
      </c>
      <c r="O1255" s="11">
        <f>IF($A1255="","",IF(OR($G1255="", $J1255&lt;=0),0,MAX(0,Listes!$B$3-$G1255)))</f>
        <v/>
      </c>
      <c r="P1255" s="12">
        <f>IF($A1255="","",IF($J1255&lt;=0,"Payé",IF($M1255="Oui","Litige",IF($O1255=0,"À échoir",IF($O1255&lt;=30,"0-30",IF($O1255&lt;=60,"31-60",IF($O1255&lt;=90,"61-90","90+")))))))</f>
        <v/>
      </c>
    </row>
    <row r="1256">
      <c r="A1256" s="6" t="n"/>
      <c r="B1256" s="6" t="n"/>
      <c r="C1256" s="6" t="n"/>
      <c r="D1256" s="6" t="n"/>
      <c r="E1256" s="6" t="n"/>
      <c r="F1256" s="7" t="n"/>
      <c r="G1256" s="7" t="n"/>
      <c r="H1256" s="8" t="n"/>
      <c r="I1256" s="9">
        <f>IF($A1256="","",SUMIFS(Ventes_Encaissements!$D$6:$D$3005,Ventes_Encaissements!$B$6:$B$3005,$A1256))</f>
        <v/>
      </c>
      <c r="J1256" s="9">
        <f>IF($A1256="","",$H1256-$I1256)</f>
        <v/>
      </c>
      <c r="K1256" s="10">
        <f>IF($A1256="","",IF($I1256=0,"",_xludf.AGGREGATE(14,6,Ventes_Encaissements!$C$6:$C$3005/(Ventes_Encaissements!$B$6:$B$3005=$A1256),1)))</f>
        <v/>
      </c>
      <c r="L1256" s="11">
        <f>IF($A1256="","",COUNTIFS(Ventes_Detail!$B$6:$B$3005,$A1256))</f>
        <v/>
      </c>
      <c r="M1256" s="12" t="n"/>
      <c r="N1256" s="12">
        <f>IF($A1256="","",IF($G1256="","",IF($M1256="Oui","Litige",IF($J1256&lt;=0,"Payé",IF($I1256&gt;0,"Partiel",IF(Listes!$B$3&gt;$G1256,"En retard","À échoir"))))))</f>
        <v/>
      </c>
      <c r="O1256" s="11">
        <f>IF($A1256="","",IF(OR($G1256="", $J1256&lt;=0),0,MAX(0,Listes!$B$3-$G1256)))</f>
        <v/>
      </c>
      <c r="P1256" s="12">
        <f>IF($A1256="","",IF($J1256&lt;=0,"Payé",IF($M1256="Oui","Litige",IF($O1256=0,"À échoir",IF($O1256&lt;=30,"0-30",IF($O1256&lt;=60,"31-60",IF($O1256&lt;=90,"61-90","90+")))))))</f>
        <v/>
      </c>
    </row>
    <row r="1257">
      <c r="A1257" s="6" t="n"/>
      <c r="B1257" s="6" t="n"/>
      <c r="C1257" s="6" t="n"/>
      <c r="D1257" s="6" t="n"/>
      <c r="E1257" s="6" t="n"/>
      <c r="F1257" s="7" t="n"/>
      <c r="G1257" s="7" t="n"/>
      <c r="H1257" s="8" t="n"/>
      <c r="I1257" s="9">
        <f>IF($A1257="","",SUMIFS(Ventes_Encaissements!$D$6:$D$3005,Ventes_Encaissements!$B$6:$B$3005,$A1257))</f>
        <v/>
      </c>
      <c r="J1257" s="9">
        <f>IF($A1257="","",$H1257-$I1257)</f>
        <v/>
      </c>
      <c r="K1257" s="10">
        <f>IF($A1257="","",IF($I1257=0,"",_xludf.AGGREGATE(14,6,Ventes_Encaissements!$C$6:$C$3005/(Ventes_Encaissements!$B$6:$B$3005=$A1257),1)))</f>
        <v/>
      </c>
      <c r="L1257" s="11">
        <f>IF($A1257="","",COUNTIFS(Ventes_Detail!$B$6:$B$3005,$A1257))</f>
        <v/>
      </c>
      <c r="M1257" s="12" t="n"/>
      <c r="N1257" s="12">
        <f>IF($A1257="","",IF($G1257="","",IF($M1257="Oui","Litige",IF($J1257&lt;=0,"Payé",IF($I1257&gt;0,"Partiel",IF(Listes!$B$3&gt;$G1257,"En retard","À échoir"))))))</f>
        <v/>
      </c>
      <c r="O1257" s="11">
        <f>IF($A1257="","",IF(OR($G1257="", $J1257&lt;=0),0,MAX(0,Listes!$B$3-$G1257)))</f>
        <v/>
      </c>
      <c r="P1257" s="12">
        <f>IF($A1257="","",IF($J1257&lt;=0,"Payé",IF($M1257="Oui","Litige",IF($O1257=0,"À échoir",IF($O1257&lt;=30,"0-30",IF($O1257&lt;=60,"31-60",IF($O1257&lt;=90,"61-90","90+")))))))</f>
        <v/>
      </c>
    </row>
    <row r="1258">
      <c r="A1258" s="6" t="n"/>
      <c r="B1258" s="6" t="n"/>
      <c r="C1258" s="6" t="n"/>
      <c r="D1258" s="6" t="n"/>
      <c r="E1258" s="6" t="n"/>
      <c r="F1258" s="7" t="n"/>
      <c r="G1258" s="7" t="n"/>
      <c r="H1258" s="8" t="n"/>
      <c r="I1258" s="9">
        <f>IF($A1258="","",SUMIFS(Ventes_Encaissements!$D$6:$D$3005,Ventes_Encaissements!$B$6:$B$3005,$A1258))</f>
        <v/>
      </c>
      <c r="J1258" s="9">
        <f>IF($A1258="","",$H1258-$I1258)</f>
        <v/>
      </c>
      <c r="K1258" s="10">
        <f>IF($A1258="","",IF($I1258=0,"",_xludf.AGGREGATE(14,6,Ventes_Encaissements!$C$6:$C$3005/(Ventes_Encaissements!$B$6:$B$3005=$A1258),1)))</f>
        <v/>
      </c>
      <c r="L1258" s="11">
        <f>IF($A1258="","",COUNTIFS(Ventes_Detail!$B$6:$B$3005,$A1258))</f>
        <v/>
      </c>
      <c r="M1258" s="12" t="n"/>
      <c r="N1258" s="12">
        <f>IF($A1258="","",IF($G1258="","",IF($M1258="Oui","Litige",IF($J1258&lt;=0,"Payé",IF($I1258&gt;0,"Partiel",IF(Listes!$B$3&gt;$G1258,"En retard","À échoir"))))))</f>
        <v/>
      </c>
      <c r="O1258" s="11">
        <f>IF($A1258="","",IF(OR($G1258="", $J1258&lt;=0),0,MAX(0,Listes!$B$3-$G1258)))</f>
        <v/>
      </c>
      <c r="P1258" s="12">
        <f>IF($A1258="","",IF($J1258&lt;=0,"Payé",IF($M1258="Oui","Litige",IF($O1258=0,"À échoir",IF($O1258&lt;=30,"0-30",IF($O1258&lt;=60,"31-60",IF($O1258&lt;=90,"61-90","90+")))))))</f>
        <v/>
      </c>
    </row>
    <row r="1259">
      <c r="A1259" s="6" t="n"/>
      <c r="B1259" s="6" t="n"/>
      <c r="C1259" s="6" t="n"/>
      <c r="D1259" s="6" t="n"/>
      <c r="E1259" s="6" t="n"/>
      <c r="F1259" s="7" t="n"/>
      <c r="G1259" s="7" t="n"/>
      <c r="H1259" s="8" t="n"/>
      <c r="I1259" s="9">
        <f>IF($A1259="","",SUMIFS(Ventes_Encaissements!$D$6:$D$3005,Ventes_Encaissements!$B$6:$B$3005,$A1259))</f>
        <v/>
      </c>
      <c r="J1259" s="9">
        <f>IF($A1259="","",$H1259-$I1259)</f>
        <v/>
      </c>
      <c r="K1259" s="10">
        <f>IF($A1259="","",IF($I1259=0,"",_xludf.AGGREGATE(14,6,Ventes_Encaissements!$C$6:$C$3005/(Ventes_Encaissements!$B$6:$B$3005=$A1259),1)))</f>
        <v/>
      </c>
      <c r="L1259" s="11">
        <f>IF($A1259="","",COUNTIFS(Ventes_Detail!$B$6:$B$3005,$A1259))</f>
        <v/>
      </c>
      <c r="M1259" s="12" t="n"/>
      <c r="N1259" s="12">
        <f>IF($A1259="","",IF($G1259="","",IF($M1259="Oui","Litige",IF($J1259&lt;=0,"Payé",IF($I1259&gt;0,"Partiel",IF(Listes!$B$3&gt;$G1259,"En retard","À échoir"))))))</f>
        <v/>
      </c>
      <c r="O1259" s="11">
        <f>IF($A1259="","",IF(OR($G1259="", $J1259&lt;=0),0,MAX(0,Listes!$B$3-$G1259)))</f>
        <v/>
      </c>
      <c r="P1259" s="12">
        <f>IF($A1259="","",IF($J1259&lt;=0,"Payé",IF($M1259="Oui","Litige",IF($O1259=0,"À échoir",IF($O1259&lt;=30,"0-30",IF($O1259&lt;=60,"31-60",IF($O1259&lt;=90,"61-90","90+")))))))</f>
        <v/>
      </c>
    </row>
    <row r="1260">
      <c r="A1260" s="6" t="n"/>
      <c r="B1260" s="6" t="n"/>
      <c r="C1260" s="6" t="n"/>
      <c r="D1260" s="6" t="n"/>
      <c r="E1260" s="6" t="n"/>
      <c r="F1260" s="7" t="n"/>
      <c r="G1260" s="7" t="n"/>
      <c r="H1260" s="8" t="n"/>
      <c r="I1260" s="9">
        <f>IF($A1260="","",SUMIFS(Ventes_Encaissements!$D$6:$D$3005,Ventes_Encaissements!$B$6:$B$3005,$A1260))</f>
        <v/>
      </c>
      <c r="J1260" s="9">
        <f>IF($A1260="","",$H1260-$I1260)</f>
        <v/>
      </c>
      <c r="K1260" s="10">
        <f>IF($A1260="","",IF($I1260=0,"",_xludf.AGGREGATE(14,6,Ventes_Encaissements!$C$6:$C$3005/(Ventes_Encaissements!$B$6:$B$3005=$A1260),1)))</f>
        <v/>
      </c>
      <c r="L1260" s="11">
        <f>IF($A1260="","",COUNTIFS(Ventes_Detail!$B$6:$B$3005,$A1260))</f>
        <v/>
      </c>
      <c r="M1260" s="12" t="n"/>
      <c r="N1260" s="12">
        <f>IF($A1260="","",IF($G1260="","",IF($M1260="Oui","Litige",IF($J1260&lt;=0,"Payé",IF($I1260&gt;0,"Partiel",IF(Listes!$B$3&gt;$G1260,"En retard","À échoir"))))))</f>
        <v/>
      </c>
      <c r="O1260" s="11">
        <f>IF($A1260="","",IF(OR($G1260="", $J1260&lt;=0),0,MAX(0,Listes!$B$3-$G1260)))</f>
        <v/>
      </c>
      <c r="P1260" s="12">
        <f>IF($A1260="","",IF($J1260&lt;=0,"Payé",IF($M1260="Oui","Litige",IF($O1260=0,"À échoir",IF($O1260&lt;=30,"0-30",IF($O1260&lt;=60,"31-60",IF($O1260&lt;=90,"61-90","90+")))))))</f>
        <v/>
      </c>
    </row>
    <row r="1261">
      <c r="A1261" s="6" t="n"/>
      <c r="B1261" s="6" t="n"/>
      <c r="C1261" s="6" t="n"/>
      <c r="D1261" s="6" t="n"/>
      <c r="E1261" s="6" t="n"/>
      <c r="F1261" s="7" t="n"/>
      <c r="G1261" s="7" t="n"/>
      <c r="H1261" s="8" t="n"/>
      <c r="I1261" s="9">
        <f>IF($A1261="","",SUMIFS(Ventes_Encaissements!$D$6:$D$3005,Ventes_Encaissements!$B$6:$B$3005,$A1261))</f>
        <v/>
      </c>
      <c r="J1261" s="9">
        <f>IF($A1261="","",$H1261-$I1261)</f>
        <v/>
      </c>
      <c r="K1261" s="10">
        <f>IF($A1261="","",IF($I1261=0,"",_xludf.AGGREGATE(14,6,Ventes_Encaissements!$C$6:$C$3005/(Ventes_Encaissements!$B$6:$B$3005=$A1261),1)))</f>
        <v/>
      </c>
      <c r="L1261" s="11">
        <f>IF($A1261="","",COUNTIFS(Ventes_Detail!$B$6:$B$3005,$A1261))</f>
        <v/>
      </c>
      <c r="M1261" s="12" t="n"/>
      <c r="N1261" s="12">
        <f>IF($A1261="","",IF($G1261="","",IF($M1261="Oui","Litige",IF($J1261&lt;=0,"Payé",IF($I1261&gt;0,"Partiel",IF(Listes!$B$3&gt;$G1261,"En retard","À échoir"))))))</f>
        <v/>
      </c>
      <c r="O1261" s="11">
        <f>IF($A1261="","",IF(OR($G1261="", $J1261&lt;=0),0,MAX(0,Listes!$B$3-$G1261)))</f>
        <v/>
      </c>
      <c r="P1261" s="12">
        <f>IF($A1261="","",IF($J1261&lt;=0,"Payé",IF($M1261="Oui","Litige",IF($O1261=0,"À échoir",IF($O1261&lt;=30,"0-30",IF($O1261&lt;=60,"31-60",IF($O1261&lt;=90,"61-90","90+")))))))</f>
        <v/>
      </c>
    </row>
    <row r="1262">
      <c r="A1262" s="6" t="n"/>
      <c r="B1262" s="6" t="n"/>
      <c r="C1262" s="6" t="n"/>
      <c r="D1262" s="6" t="n"/>
      <c r="E1262" s="6" t="n"/>
      <c r="F1262" s="7" t="n"/>
      <c r="G1262" s="7" t="n"/>
      <c r="H1262" s="8" t="n"/>
      <c r="I1262" s="9">
        <f>IF($A1262="","",SUMIFS(Ventes_Encaissements!$D$6:$D$3005,Ventes_Encaissements!$B$6:$B$3005,$A1262))</f>
        <v/>
      </c>
      <c r="J1262" s="9">
        <f>IF($A1262="","",$H1262-$I1262)</f>
        <v/>
      </c>
      <c r="K1262" s="10">
        <f>IF($A1262="","",IF($I1262=0,"",_xludf.AGGREGATE(14,6,Ventes_Encaissements!$C$6:$C$3005/(Ventes_Encaissements!$B$6:$B$3005=$A1262),1)))</f>
        <v/>
      </c>
      <c r="L1262" s="11">
        <f>IF($A1262="","",COUNTIFS(Ventes_Detail!$B$6:$B$3005,$A1262))</f>
        <v/>
      </c>
      <c r="M1262" s="12" t="n"/>
      <c r="N1262" s="12">
        <f>IF($A1262="","",IF($G1262="","",IF($M1262="Oui","Litige",IF($J1262&lt;=0,"Payé",IF($I1262&gt;0,"Partiel",IF(Listes!$B$3&gt;$G1262,"En retard","À échoir"))))))</f>
        <v/>
      </c>
      <c r="O1262" s="11">
        <f>IF($A1262="","",IF(OR($G1262="", $J1262&lt;=0),0,MAX(0,Listes!$B$3-$G1262)))</f>
        <v/>
      </c>
      <c r="P1262" s="12">
        <f>IF($A1262="","",IF($J1262&lt;=0,"Payé",IF($M1262="Oui","Litige",IF($O1262=0,"À échoir",IF($O1262&lt;=30,"0-30",IF($O1262&lt;=60,"31-60",IF($O1262&lt;=90,"61-90","90+")))))))</f>
        <v/>
      </c>
    </row>
    <row r="1263">
      <c r="A1263" s="6" t="n"/>
      <c r="B1263" s="6" t="n"/>
      <c r="C1263" s="6" t="n"/>
      <c r="D1263" s="6" t="n"/>
      <c r="E1263" s="6" t="n"/>
      <c r="F1263" s="7" t="n"/>
      <c r="G1263" s="7" t="n"/>
      <c r="H1263" s="8" t="n"/>
      <c r="I1263" s="9">
        <f>IF($A1263="","",SUMIFS(Ventes_Encaissements!$D$6:$D$3005,Ventes_Encaissements!$B$6:$B$3005,$A1263))</f>
        <v/>
      </c>
      <c r="J1263" s="9">
        <f>IF($A1263="","",$H1263-$I1263)</f>
        <v/>
      </c>
      <c r="K1263" s="10">
        <f>IF($A1263="","",IF($I1263=0,"",_xludf.AGGREGATE(14,6,Ventes_Encaissements!$C$6:$C$3005/(Ventes_Encaissements!$B$6:$B$3005=$A1263),1)))</f>
        <v/>
      </c>
      <c r="L1263" s="11">
        <f>IF($A1263="","",COUNTIFS(Ventes_Detail!$B$6:$B$3005,$A1263))</f>
        <v/>
      </c>
      <c r="M1263" s="12" t="n"/>
      <c r="N1263" s="12">
        <f>IF($A1263="","",IF($G1263="","",IF($M1263="Oui","Litige",IF($J1263&lt;=0,"Payé",IF($I1263&gt;0,"Partiel",IF(Listes!$B$3&gt;$G1263,"En retard","À échoir"))))))</f>
        <v/>
      </c>
      <c r="O1263" s="11">
        <f>IF($A1263="","",IF(OR($G1263="", $J1263&lt;=0),0,MAX(0,Listes!$B$3-$G1263)))</f>
        <v/>
      </c>
      <c r="P1263" s="12">
        <f>IF($A1263="","",IF($J1263&lt;=0,"Payé",IF($M1263="Oui","Litige",IF($O1263=0,"À échoir",IF($O1263&lt;=30,"0-30",IF($O1263&lt;=60,"31-60",IF($O1263&lt;=90,"61-90","90+")))))))</f>
        <v/>
      </c>
    </row>
    <row r="1264">
      <c r="A1264" s="6" t="n"/>
      <c r="B1264" s="6" t="n"/>
      <c r="C1264" s="6" t="n"/>
      <c r="D1264" s="6" t="n"/>
      <c r="E1264" s="6" t="n"/>
      <c r="F1264" s="7" t="n"/>
      <c r="G1264" s="7" t="n"/>
      <c r="H1264" s="8" t="n"/>
      <c r="I1264" s="9">
        <f>IF($A1264="","",SUMIFS(Ventes_Encaissements!$D$6:$D$3005,Ventes_Encaissements!$B$6:$B$3005,$A1264))</f>
        <v/>
      </c>
      <c r="J1264" s="9">
        <f>IF($A1264="","",$H1264-$I1264)</f>
        <v/>
      </c>
      <c r="K1264" s="10">
        <f>IF($A1264="","",IF($I1264=0,"",_xludf.AGGREGATE(14,6,Ventes_Encaissements!$C$6:$C$3005/(Ventes_Encaissements!$B$6:$B$3005=$A1264),1)))</f>
        <v/>
      </c>
      <c r="L1264" s="11">
        <f>IF($A1264="","",COUNTIFS(Ventes_Detail!$B$6:$B$3005,$A1264))</f>
        <v/>
      </c>
      <c r="M1264" s="12" t="n"/>
      <c r="N1264" s="12">
        <f>IF($A1264="","",IF($G1264="","",IF($M1264="Oui","Litige",IF($J1264&lt;=0,"Payé",IF($I1264&gt;0,"Partiel",IF(Listes!$B$3&gt;$G1264,"En retard","À échoir"))))))</f>
        <v/>
      </c>
      <c r="O1264" s="11">
        <f>IF($A1264="","",IF(OR($G1264="", $J1264&lt;=0),0,MAX(0,Listes!$B$3-$G1264)))</f>
        <v/>
      </c>
      <c r="P1264" s="12">
        <f>IF($A1264="","",IF($J1264&lt;=0,"Payé",IF($M1264="Oui","Litige",IF($O1264=0,"À échoir",IF($O1264&lt;=30,"0-30",IF($O1264&lt;=60,"31-60",IF($O1264&lt;=90,"61-90","90+")))))))</f>
        <v/>
      </c>
    </row>
    <row r="1265">
      <c r="A1265" s="6" t="n"/>
      <c r="B1265" s="6" t="n"/>
      <c r="C1265" s="6" t="n"/>
      <c r="D1265" s="6" t="n"/>
      <c r="E1265" s="6" t="n"/>
      <c r="F1265" s="7" t="n"/>
      <c r="G1265" s="7" t="n"/>
      <c r="H1265" s="8" t="n"/>
      <c r="I1265" s="9">
        <f>IF($A1265="","",SUMIFS(Ventes_Encaissements!$D$6:$D$3005,Ventes_Encaissements!$B$6:$B$3005,$A1265))</f>
        <v/>
      </c>
      <c r="J1265" s="9">
        <f>IF($A1265="","",$H1265-$I1265)</f>
        <v/>
      </c>
      <c r="K1265" s="10">
        <f>IF($A1265="","",IF($I1265=0,"",_xludf.AGGREGATE(14,6,Ventes_Encaissements!$C$6:$C$3005/(Ventes_Encaissements!$B$6:$B$3005=$A1265),1)))</f>
        <v/>
      </c>
      <c r="L1265" s="11">
        <f>IF($A1265="","",COUNTIFS(Ventes_Detail!$B$6:$B$3005,$A1265))</f>
        <v/>
      </c>
      <c r="M1265" s="12" t="n"/>
      <c r="N1265" s="12">
        <f>IF($A1265="","",IF($G1265="","",IF($M1265="Oui","Litige",IF($J1265&lt;=0,"Payé",IF($I1265&gt;0,"Partiel",IF(Listes!$B$3&gt;$G1265,"En retard","À échoir"))))))</f>
        <v/>
      </c>
      <c r="O1265" s="11">
        <f>IF($A1265="","",IF(OR($G1265="", $J1265&lt;=0),0,MAX(0,Listes!$B$3-$G1265)))</f>
        <v/>
      </c>
      <c r="P1265" s="12">
        <f>IF($A1265="","",IF($J1265&lt;=0,"Payé",IF($M1265="Oui","Litige",IF($O1265=0,"À échoir",IF($O1265&lt;=30,"0-30",IF($O1265&lt;=60,"31-60",IF($O1265&lt;=90,"61-90","90+")))))))</f>
        <v/>
      </c>
    </row>
    <row r="1266">
      <c r="A1266" s="6" t="n"/>
      <c r="B1266" s="6" t="n"/>
      <c r="C1266" s="6" t="n"/>
      <c r="D1266" s="6" t="n"/>
      <c r="E1266" s="6" t="n"/>
      <c r="F1266" s="7" t="n"/>
      <c r="G1266" s="7" t="n"/>
      <c r="H1266" s="8" t="n"/>
      <c r="I1266" s="9">
        <f>IF($A1266="","",SUMIFS(Ventes_Encaissements!$D$6:$D$3005,Ventes_Encaissements!$B$6:$B$3005,$A1266))</f>
        <v/>
      </c>
      <c r="J1266" s="9">
        <f>IF($A1266="","",$H1266-$I1266)</f>
        <v/>
      </c>
      <c r="K1266" s="10">
        <f>IF($A1266="","",IF($I1266=0,"",_xludf.AGGREGATE(14,6,Ventes_Encaissements!$C$6:$C$3005/(Ventes_Encaissements!$B$6:$B$3005=$A1266),1)))</f>
        <v/>
      </c>
      <c r="L1266" s="11">
        <f>IF($A1266="","",COUNTIFS(Ventes_Detail!$B$6:$B$3005,$A1266))</f>
        <v/>
      </c>
      <c r="M1266" s="12" t="n"/>
      <c r="N1266" s="12">
        <f>IF($A1266="","",IF($G1266="","",IF($M1266="Oui","Litige",IF($J1266&lt;=0,"Payé",IF($I1266&gt;0,"Partiel",IF(Listes!$B$3&gt;$G1266,"En retard","À échoir"))))))</f>
        <v/>
      </c>
      <c r="O1266" s="11">
        <f>IF($A1266="","",IF(OR($G1266="", $J1266&lt;=0),0,MAX(0,Listes!$B$3-$G1266)))</f>
        <v/>
      </c>
      <c r="P1266" s="12">
        <f>IF($A1266="","",IF($J1266&lt;=0,"Payé",IF($M1266="Oui","Litige",IF($O1266=0,"À échoir",IF($O1266&lt;=30,"0-30",IF($O1266&lt;=60,"31-60",IF($O1266&lt;=90,"61-90","90+")))))))</f>
        <v/>
      </c>
    </row>
    <row r="1267">
      <c r="A1267" s="6" t="n"/>
      <c r="B1267" s="6" t="n"/>
      <c r="C1267" s="6" t="n"/>
      <c r="D1267" s="6" t="n"/>
      <c r="E1267" s="6" t="n"/>
      <c r="F1267" s="7" t="n"/>
      <c r="G1267" s="7" t="n"/>
      <c r="H1267" s="8" t="n"/>
      <c r="I1267" s="9">
        <f>IF($A1267="","",SUMIFS(Ventes_Encaissements!$D$6:$D$3005,Ventes_Encaissements!$B$6:$B$3005,$A1267))</f>
        <v/>
      </c>
      <c r="J1267" s="9">
        <f>IF($A1267="","",$H1267-$I1267)</f>
        <v/>
      </c>
      <c r="K1267" s="10">
        <f>IF($A1267="","",IF($I1267=0,"",_xludf.AGGREGATE(14,6,Ventes_Encaissements!$C$6:$C$3005/(Ventes_Encaissements!$B$6:$B$3005=$A1267),1)))</f>
        <v/>
      </c>
      <c r="L1267" s="11">
        <f>IF($A1267="","",COUNTIFS(Ventes_Detail!$B$6:$B$3005,$A1267))</f>
        <v/>
      </c>
      <c r="M1267" s="12" t="n"/>
      <c r="N1267" s="12">
        <f>IF($A1267="","",IF($G1267="","",IF($M1267="Oui","Litige",IF($J1267&lt;=0,"Payé",IF($I1267&gt;0,"Partiel",IF(Listes!$B$3&gt;$G1267,"En retard","À échoir"))))))</f>
        <v/>
      </c>
      <c r="O1267" s="11">
        <f>IF($A1267="","",IF(OR($G1267="", $J1267&lt;=0),0,MAX(0,Listes!$B$3-$G1267)))</f>
        <v/>
      </c>
      <c r="P1267" s="12">
        <f>IF($A1267="","",IF($J1267&lt;=0,"Payé",IF($M1267="Oui","Litige",IF($O1267=0,"À échoir",IF($O1267&lt;=30,"0-30",IF($O1267&lt;=60,"31-60",IF($O1267&lt;=90,"61-90","90+")))))))</f>
        <v/>
      </c>
    </row>
    <row r="1268">
      <c r="A1268" s="6" t="n"/>
      <c r="B1268" s="6" t="n"/>
      <c r="C1268" s="6" t="n"/>
      <c r="D1268" s="6" t="n"/>
      <c r="E1268" s="6" t="n"/>
      <c r="F1268" s="7" t="n"/>
      <c r="G1268" s="7" t="n"/>
      <c r="H1268" s="8" t="n"/>
      <c r="I1268" s="9">
        <f>IF($A1268="","",SUMIFS(Ventes_Encaissements!$D$6:$D$3005,Ventes_Encaissements!$B$6:$B$3005,$A1268))</f>
        <v/>
      </c>
      <c r="J1268" s="9">
        <f>IF($A1268="","",$H1268-$I1268)</f>
        <v/>
      </c>
      <c r="K1268" s="10">
        <f>IF($A1268="","",IF($I1268=0,"",_xludf.AGGREGATE(14,6,Ventes_Encaissements!$C$6:$C$3005/(Ventes_Encaissements!$B$6:$B$3005=$A1268),1)))</f>
        <v/>
      </c>
      <c r="L1268" s="11">
        <f>IF($A1268="","",COUNTIFS(Ventes_Detail!$B$6:$B$3005,$A1268))</f>
        <v/>
      </c>
      <c r="M1268" s="12" t="n"/>
      <c r="N1268" s="12">
        <f>IF($A1268="","",IF($G1268="","",IF($M1268="Oui","Litige",IF($J1268&lt;=0,"Payé",IF($I1268&gt;0,"Partiel",IF(Listes!$B$3&gt;$G1268,"En retard","À échoir"))))))</f>
        <v/>
      </c>
      <c r="O1268" s="11">
        <f>IF($A1268="","",IF(OR($G1268="", $J1268&lt;=0),0,MAX(0,Listes!$B$3-$G1268)))</f>
        <v/>
      </c>
      <c r="P1268" s="12">
        <f>IF($A1268="","",IF($J1268&lt;=0,"Payé",IF($M1268="Oui","Litige",IF($O1268=0,"À échoir",IF($O1268&lt;=30,"0-30",IF($O1268&lt;=60,"31-60",IF($O1268&lt;=90,"61-90","90+")))))))</f>
        <v/>
      </c>
    </row>
    <row r="1269">
      <c r="A1269" s="6" t="n"/>
      <c r="B1269" s="6" t="n"/>
      <c r="C1269" s="6" t="n"/>
      <c r="D1269" s="6" t="n"/>
      <c r="E1269" s="6" t="n"/>
      <c r="F1269" s="7" t="n"/>
      <c r="G1269" s="7" t="n"/>
      <c r="H1269" s="8" t="n"/>
      <c r="I1269" s="9">
        <f>IF($A1269="","",SUMIFS(Ventes_Encaissements!$D$6:$D$3005,Ventes_Encaissements!$B$6:$B$3005,$A1269))</f>
        <v/>
      </c>
      <c r="J1269" s="9">
        <f>IF($A1269="","",$H1269-$I1269)</f>
        <v/>
      </c>
      <c r="K1269" s="10">
        <f>IF($A1269="","",IF($I1269=0,"",_xludf.AGGREGATE(14,6,Ventes_Encaissements!$C$6:$C$3005/(Ventes_Encaissements!$B$6:$B$3005=$A1269),1)))</f>
        <v/>
      </c>
      <c r="L1269" s="11">
        <f>IF($A1269="","",COUNTIFS(Ventes_Detail!$B$6:$B$3005,$A1269))</f>
        <v/>
      </c>
      <c r="M1269" s="12" t="n"/>
      <c r="N1269" s="12">
        <f>IF($A1269="","",IF($G1269="","",IF($M1269="Oui","Litige",IF($J1269&lt;=0,"Payé",IF($I1269&gt;0,"Partiel",IF(Listes!$B$3&gt;$G1269,"En retard","À échoir"))))))</f>
        <v/>
      </c>
      <c r="O1269" s="11">
        <f>IF($A1269="","",IF(OR($G1269="", $J1269&lt;=0),0,MAX(0,Listes!$B$3-$G1269)))</f>
        <v/>
      </c>
      <c r="P1269" s="12">
        <f>IF($A1269="","",IF($J1269&lt;=0,"Payé",IF($M1269="Oui","Litige",IF($O1269=0,"À échoir",IF($O1269&lt;=30,"0-30",IF($O1269&lt;=60,"31-60",IF($O1269&lt;=90,"61-90","90+")))))))</f>
        <v/>
      </c>
    </row>
    <row r="1270">
      <c r="A1270" s="6" t="n"/>
      <c r="B1270" s="6" t="n"/>
      <c r="C1270" s="6" t="n"/>
      <c r="D1270" s="6" t="n"/>
      <c r="E1270" s="6" t="n"/>
      <c r="F1270" s="7" t="n"/>
      <c r="G1270" s="7" t="n"/>
      <c r="H1270" s="8" t="n"/>
      <c r="I1270" s="9">
        <f>IF($A1270="","",SUMIFS(Ventes_Encaissements!$D$6:$D$3005,Ventes_Encaissements!$B$6:$B$3005,$A1270))</f>
        <v/>
      </c>
      <c r="J1270" s="9">
        <f>IF($A1270="","",$H1270-$I1270)</f>
        <v/>
      </c>
      <c r="K1270" s="10">
        <f>IF($A1270="","",IF($I1270=0,"",_xludf.AGGREGATE(14,6,Ventes_Encaissements!$C$6:$C$3005/(Ventes_Encaissements!$B$6:$B$3005=$A1270),1)))</f>
        <v/>
      </c>
      <c r="L1270" s="11">
        <f>IF($A1270="","",COUNTIFS(Ventes_Detail!$B$6:$B$3005,$A1270))</f>
        <v/>
      </c>
      <c r="M1270" s="12" t="n"/>
      <c r="N1270" s="12">
        <f>IF($A1270="","",IF($G1270="","",IF($M1270="Oui","Litige",IF($J1270&lt;=0,"Payé",IF($I1270&gt;0,"Partiel",IF(Listes!$B$3&gt;$G1270,"En retard","À échoir"))))))</f>
        <v/>
      </c>
      <c r="O1270" s="11">
        <f>IF($A1270="","",IF(OR($G1270="", $J1270&lt;=0),0,MAX(0,Listes!$B$3-$G1270)))</f>
        <v/>
      </c>
      <c r="P1270" s="12">
        <f>IF($A1270="","",IF($J1270&lt;=0,"Payé",IF($M1270="Oui","Litige",IF($O1270=0,"À échoir",IF($O1270&lt;=30,"0-30",IF($O1270&lt;=60,"31-60",IF($O1270&lt;=90,"61-90","90+")))))))</f>
        <v/>
      </c>
    </row>
    <row r="1271">
      <c r="A1271" s="6" t="n"/>
      <c r="B1271" s="6" t="n"/>
      <c r="C1271" s="6" t="n"/>
      <c r="D1271" s="6" t="n"/>
      <c r="E1271" s="6" t="n"/>
      <c r="F1271" s="7" t="n"/>
      <c r="G1271" s="7" t="n"/>
      <c r="H1271" s="8" t="n"/>
      <c r="I1271" s="9">
        <f>IF($A1271="","",SUMIFS(Ventes_Encaissements!$D$6:$D$3005,Ventes_Encaissements!$B$6:$B$3005,$A1271))</f>
        <v/>
      </c>
      <c r="J1271" s="9">
        <f>IF($A1271="","",$H1271-$I1271)</f>
        <v/>
      </c>
      <c r="K1271" s="10">
        <f>IF($A1271="","",IF($I1271=0,"",_xludf.AGGREGATE(14,6,Ventes_Encaissements!$C$6:$C$3005/(Ventes_Encaissements!$B$6:$B$3005=$A1271),1)))</f>
        <v/>
      </c>
      <c r="L1271" s="11">
        <f>IF($A1271="","",COUNTIFS(Ventes_Detail!$B$6:$B$3005,$A1271))</f>
        <v/>
      </c>
      <c r="M1271" s="12" t="n"/>
      <c r="N1271" s="12">
        <f>IF($A1271="","",IF($G1271="","",IF($M1271="Oui","Litige",IF($J1271&lt;=0,"Payé",IF($I1271&gt;0,"Partiel",IF(Listes!$B$3&gt;$G1271,"En retard","À échoir"))))))</f>
        <v/>
      </c>
      <c r="O1271" s="11">
        <f>IF($A1271="","",IF(OR($G1271="", $J1271&lt;=0),0,MAX(0,Listes!$B$3-$G1271)))</f>
        <v/>
      </c>
      <c r="P1271" s="12">
        <f>IF($A1271="","",IF($J1271&lt;=0,"Payé",IF($M1271="Oui","Litige",IF($O1271=0,"À échoir",IF($O1271&lt;=30,"0-30",IF($O1271&lt;=60,"31-60",IF($O1271&lt;=90,"61-90","90+")))))))</f>
        <v/>
      </c>
    </row>
    <row r="1272">
      <c r="A1272" s="6" t="n"/>
      <c r="B1272" s="6" t="n"/>
      <c r="C1272" s="6" t="n"/>
      <c r="D1272" s="6" t="n"/>
      <c r="E1272" s="6" t="n"/>
      <c r="F1272" s="7" t="n"/>
      <c r="G1272" s="7" t="n"/>
      <c r="H1272" s="8" t="n"/>
      <c r="I1272" s="9">
        <f>IF($A1272="","",SUMIFS(Ventes_Encaissements!$D$6:$D$3005,Ventes_Encaissements!$B$6:$B$3005,$A1272))</f>
        <v/>
      </c>
      <c r="J1272" s="9">
        <f>IF($A1272="","",$H1272-$I1272)</f>
        <v/>
      </c>
      <c r="K1272" s="10">
        <f>IF($A1272="","",IF($I1272=0,"",_xludf.AGGREGATE(14,6,Ventes_Encaissements!$C$6:$C$3005/(Ventes_Encaissements!$B$6:$B$3005=$A1272),1)))</f>
        <v/>
      </c>
      <c r="L1272" s="11">
        <f>IF($A1272="","",COUNTIFS(Ventes_Detail!$B$6:$B$3005,$A1272))</f>
        <v/>
      </c>
      <c r="M1272" s="12" t="n"/>
      <c r="N1272" s="12">
        <f>IF($A1272="","",IF($G1272="","",IF($M1272="Oui","Litige",IF($J1272&lt;=0,"Payé",IF($I1272&gt;0,"Partiel",IF(Listes!$B$3&gt;$G1272,"En retard","À échoir"))))))</f>
        <v/>
      </c>
      <c r="O1272" s="11">
        <f>IF($A1272="","",IF(OR($G1272="", $J1272&lt;=0),0,MAX(0,Listes!$B$3-$G1272)))</f>
        <v/>
      </c>
      <c r="P1272" s="12">
        <f>IF($A1272="","",IF($J1272&lt;=0,"Payé",IF($M1272="Oui","Litige",IF($O1272=0,"À échoir",IF($O1272&lt;=30,"0-30",IF($O1272&lt;=60,"31-60",IF($O1272&lt;=90,"61-90","90+")))))))</f>
        <v/>
      </c>
    </row>
    <row r="1273">
      <c r="A1273" s="6" t="n"/>
      <c r="B1273" s="6" t="n"/>
      <c r="C1273" s="6" t="n"/>
      <c r="D1273" s="6" t="n"/>
      <c r="E1273" s="6" t="n"/>
      <c r="F1273" s="7" t="n"/>
      <c r="G1273" s="7" t="n"/>
      <c r="H1273" s="8" t="n"/>
      <c r="I1273" s="9">
        <f>IF($A1273="","",SUMIFS(Ventes_Encaissements!$D$6:$D$3005,Ventes_Encaissements!$B$6:$B$3005,$A1273))</f>
        <v/>
      </c>
      <c r="J1273" s="9">
        <f>IF($A1273="","",$H1273-$I1273)</f>
        <v/>
      </c>
      <c r="K1273" s="10">
        <f>IF($A1273="","",IF($I1273=0,"",_xludf.AGGREGATE(14,6,Ventes_Encaissements!$C$6:$C$3005/(Ventes_Encaissements!$B$6:$B$3005=$A1273),1)))</f>
        <v/>
      </c>
      <c r="L1273" s="11">
        <f>IF($A1273="","",COUNTIFS(Ventes_Detail!$B$6:$B$3005,$A1273))</f>
        <v/>
      </c>
      <c r="M1273" s="12" t="n"/>
      <c r="N1273" s="12">
        <f>IF($A1273="","",IF($G1273="","",IF($M1273="Oui","Litige",IF($J1273&lt;=0,"Payé",IF($I1273&gt;0,"Partiel",IF(Listes!$B$3&gt;$G1273,"En retard","À échoir"))))))</f>
        <v/>
      </c>
      <c r="O1273" s="11">
        <f>IF($A1273="","",IF(OR($G1273="", $J1273&lt;=0),0,MAX(0,Listes!$B$3-$G1273)))</f>
        <v/>
      </c>
      <c r="P1273" s="12">
        <f>IF($A1273="","",IF($J1273&lt;=0,"Payé",IF($M1273="Oui","Litige",IF($O1273=0,"À échoir",IF($O1273&lt;=30,"0-30",IF($O1273&lt;=60,"31-60",IF($O1273&lt;=90,"61-90","90+")))))))</f>
        <v/>
      </c>
    </row>
    <row r="1274">
      <c r="A1274" s="6" t="n"/>
      <c r="B1274" s="6" t="n"/>
      <c r="C1274" s="6" t="n"/>
      <c r="D1274" s="6" t="n"/>
      <c r="E1274" s="6" t="n"/>
      <c r="F1274" s="7" t="n"/>
      <c r="G1274" s="7" t="n"/>
      <c r="H1274" s="8" t="n"/>
      <c r="I1274" s="9">
        <f>IF($A1274="","",SUMIFS(Ventes_Encaissements!$D$6:$D$3005,Ventes_Encaissements!$B$6:$B$3005,$A1274))</f>
        <v/>
      </c>
      <c r="J1274" s="9">
        <f>IF($A1274="","",$H1274-$I1274)</f>
        <v/>
      </c>
      <c r="K1274" s="10">
        <f>IF($A1274="","",IF($I1274=0,"",_xludf.AGGREGATE(14,6,Ventes_Encaissements!$C$6:$C$3005/(Ventes_Encaissements!$B$6:$B$3005=$A1274),1)))</f>
        <v/>
      </c>
      <c r="L1274" s="11">
        <f>IF($A1274="","",COUNTIFS(Ventes_Detail!$B$6:$B$3005,$A1274))</f>
        <v/>
      </c>
      <c r="M1274" s="12" t="n"/>
      <c r="N1274" s="12">
        <f>IF($A1274="","",IF($G1274="","",IF($M1274="Oui","Litige",IF($J1274&lt;=0,"Payé",IF($I1274&gt;0,"Partiel",IF(Listes!$B$3&gt;$G1274,"En retard","À échoir"))))))</f>
        <v/>
      </c>
      <c r="O1274" s="11">
        <f>IF($A1274="","",IF(OR($G1274="", $J1274&lt;=0),0,MAX(0,Listes!$B$3-$G1274)))</f>
        <v/>
      </c>
      <c r="P1274" s="12">
        <f>IF($A1274="","",IF($J1274&lt;=0,"Payé",IF($M1274="Oui","Litige",IF($O1274=0,"À échoir",IF($O1274&lt;=30,"0-30",IF($O1274&lt;=60,"31-60",IF($O1274&lt;=90,"61-90","90+")))))))</f>
        <v/>
      </c>
    </row>
    <row r="1275">
      <c r="A1275" s="6" t="n"/>
      <c r="B1275" s="6" t="n"/>
      <c r="C1275" s="6" t="n"/>
      <c r="D1275" s="6" t="n"/>
      <c r="E1275" s="6" t="n"/>
      <c r="F1275" s="7" t="n"/>
      <c r="G1275" s="7" t="n"/>
      <c r="H1275" s="8" t="n"/>
      <c r="I1275" s="9">
        <f>IF($A1275="","",SUMIFS(Ventes_Encaissements!$D$6:$D$3005,Ventes_Encaissements!$B$6:$B$3005,$A1275))</f>
        <v/>
      </c>
      <c r="J1275" s="9">
        <f>IF($A1275="","",$H1275-$I1275)</f>
        <v/>
      </c>
      <c r="K1275" s="10">
        <f>IF($A1275="","",IF($I1275=0,"",_xludf.AGGREGATE(14,6,Ventes_Encaissements!$C$6:$C$3005/(Ventes_Encaissements!$B$6:$B$3005=$A1275),1)))</f>
        <v/>
      </c>
      <c r="L1275" s="11">
        <f>IF($A1275="","",COUNTIFS(Ventes_Detail!$B$6:$B$3005,$A1275))</f>
        <v/>
      </c>
      <c r="M1275" s="12" t="n"/>
      <c r="N1275" s="12">
        <f>IF($A1275="","",IF($G1275="","",IF($M1275="Oui","Litige",IF($J1275&lt;=0,"Payé",IF($I1275&gt;0,"Partiel",IF(Listes!$B$3&gt;$G1275,"En retard","À échoir"))))))</f>
        <v/>
      </c>
      <c r="O1275" s="11">
        <f>IF($A1275="","",IF(OR($G1275="", $J1275&lt;=0),0,MAX(0,Listes!$B$3-$G1275)))</f>
        <v/>
      </c>
      <c r="P1275" s="12">
        <f>IF($A1275="","",IF($J1275&lt;=0,"Payé",IF($M1275="Oui","Litige",IF($O1275=0,"À échoir",IF($O1275&lt;=30,"0-30",IF($O1275&lt;=60,"31-60",IF($O1275&lt;=90,"61-90","90+")))))))</f>
        <v/>
      </c>
    </row>
    <row r="1276">
      <c r="A1276" s="6" t="n"/>
      <c r="B1276" s="6" t="n"/>
      <c r="C1276" s="6" t="n"/>
      <c r="D1276" s="6" t="n"/>
      <c r="E1276" s="6" t="n"/>
      <c r="F1276" s="7" t="n"/>
      <c r="G1276" s="7" t="n"/>
      <c r="H1276" s="8" t="n"/>
      <c r="I1276" s="9">
        <f>IF($A1276="","",SUMIFS(Ventes_Encaissements!$D$6:$D$3005,Ventes_Encaissements!$B$6:$B$3005,$A1276))</f>
        <v/>
      </c>
      <c r="J1276" s="9">
        <f>IF($A1276="","",$H1276-$I1276)</f>
        <v/>
      </c>
      <c r="K1276" s="10">
        <f>IF($A1276="","",IF($I1276=0,"",_xludf.AGGREGATE(14,6,Ventes_Encaissements!$C$6:$C$3005/(Ventes_Encaissements!$B$6:$B$3005=$A1276),1)))</f>
        <v/>
      </c>
      <c r="L1276" s="11">
        <f>IF($A1276="","",COUNTIFS(Ventes_Detail!$B$6:$B$3005,$A1276))</f>
        <v/>
      </c>
      <c r="M1276" s="12" t="n"/>
      <c r="N1276" s="12">
        <f>IF($A1276="","",IF($G1276="","",IF($M1276="Oui","Litige",IF($J1276&lt;=0,"Payé",IF($I1276&gt;0,"Partiel",IF(Listes!$B$3&gt;$G1276,"En retard","À échoir"))))))</f>
        <v/>
      </c>
      <c r="O1276" s="11">
        <f>IF($A1276="","",IF(OR($G1276="", $J1276&lt;=0),0,MAX(0,Listes!$B$3-$G1276)))</f>
        <v/>
      </c>
      <c r="P1276" s="12">
        <f>IF($A1276="","",IF($J1276&lt;=0,"Payé",IF($M1276="Oui","Litige",IF($O1276=0,"À échoir",IF($O1276&lt;=30,"0-30",IF($O1276&lt;=60,"31-60",IF($O1276&lt;=90,"61-90","90+")))))))</f>
        <v/>
      </c>
    </row>
    <row r="1277">
      <c r="A1277" s="6" t="n"/>
      <c r="B1277" s="6" t="n"/>
      <c r="C1277" s="6" t="n"/>
      <c r="D1277" s="6" t="n"/>
      <c r="E1277" s="6" t="n"/>
      <c r="F1277" s="7" t="n"/>
      <c r="G1277" s="7" t="n"/>
      <c r="H1277" s="8" t="n"/>
      <c r="I1277" s="9">
        <f>IF($A1277="","",SUMIFS(Ventes_Encaissements!$D$6:$D$3005,Ventes_Encaissements!$B$6:$B$3005,$A1277))</f>
        <v/>
      </c>
      <c r="J1277" s="9">
        <f>IF($A1277="","",$H1277-$I1277)</f>
        <v/>
      </c>
      <c r="K1277" s="10">
        <f>IF($A1277="","",IF($I1277=0,"",_xludf.AGGREGATE(14,6,Ventes_Encaissements!$C$6:$C$3005/(Ventes_Encaissements!$B$6:$B$3005=$A1277),1)))</f>
        <v/>
      </c>
      <c r="L1277" s="11">
        <f>IF($A1277="","",COUNTIFS(Ventes_Detail!$B$6:$B$3005,$A1277))</f>
        <v/>
      </c>
      <c r="M1277" s="12" t="n"/>
      <c r="N1277" s="12">
        <f>IF($A1277="","",IF($G1277="","",IF($M1277="Oui","Litige",IF($J1277&lt;=0,"Payé",IF($I1277&gt;0,"Partiel",IF(Listes!$B$3&gt;$G1277,"En retard","À échoir"))))))</f>
        <v/>
      </c>
      <c r="O1277" s="11">
        <f>IF($A1277="","",IF(OR($G1277="", $J1277&lt;=0),0,MAX(0,Listes!$B$3-$G1277)))</f>
        <v/>
      </c>
      <c r="P1277" s="12">
        <f>IF($A1277="","",IF($J1277&lt;=0,"Payé",IF($M1277="Oui","Litige",IF($O1277=0,"À échoir",IF($O1277&lt;=30,"0-30",IF($O1277&lt;=60,"31-60",IF($O1277&lt;=90,"61-90","90+")))))))</f>
        <v/>
      </c>
    </row>
    <row r="1278">
      <c r="A1278" s="6" t="n"/>
      <c r="B1278" s="6" t="n"/>
      <c r="C1278" s="6" t="n"/>
      <c r="D1278" s="6" t="n"/>
      <c r="E1278" s="6" t="n"/>
      <c r="F1278" s="7" t="n"/>
      <c r="G1278" s="7" t="n"/>
      <c r="H1278" s="8" t="n"/>
      <c r="I1278" s="9">
        <f>IF($A1278="","",SUMIFS(Ventes_Encaissements!$D$6:$D$3005,Ventes_Encaissements!$B$6:$B$3005,$A1278))</f>
        <v/>
      </c>
      <c r="J1278" s="9">
        <f>IF($A1278="","",$H1278-$I1278)</f>
        <v/>
      </c>
      <c r="K1278" s="10">
        <f>IF($A1278="","",IF($I1278=0,"",_xludf.AGGREGATE(14,6,Ventes_Encaissements!$C$6:$C$3005/(Ventes_Encaissements!$B$6:$B$3005=$A1278),1)))</f>
        <v/>
      </c>
      <c r="L1278" s="11">
        <f>IF($A1278="","",COUNTIFS(Ventes_Detail!$B$6:$B$3005,$A1278))</f>
        <v/>
      </c>
      <c r="M1278" s="12" t="n"/>
      <c r="N1278" s="12">
        <f>IF($A1278="","",IF($G1278="","",IF($M1278="Oui","Litige",IF($J1278&lt;=0,"Payé",IF($I1278&gt;0,"Partiel",IF(Listes!$B$3&gt;$G1278,"En retard","À échoir"))))))</f>
        <v/>
      </c>
      <c r="O1278" s="11">
        <f>IF($A1278="","",IF(OR($G1278="", $J1278&lt;=0),0,MAX(0,Listes!$B$3-$G1278)))</f>
        <v/>
      </c>
      <c r="P1278" s="12">
        <f>IF($A1278="","",IF($J1278&lt;=0,"Payé",IF($M1278="Oui","Litige",IF($O1278=0,"À échoir",IF($O1278&lt;=30,"0-30",IF($O1278&lt;=60,"31-60",IF($O1278&lt;=90,"61-90","90+")))))))</f>
        <v/>
      </c>
    </row>
    <row r="1279">
      <c r="A1279" s="6" t="n"/>
      <c r="B1279" s="6" t="n"/>
      <c r="C1279" s="6" t="n"/>
      <c r="D1279" s="6" t="n"/>
      <c r="E1279" s="6" t="n"/>
      <c r="F1279" s="7" t="n"/>
      <c r="G1279" s="7" t="n"/>
      <c r="H1279" s="8" t="n"/>
      <c r="I1279" s="9">
        <f>IF($A1279="","",SUMIFS(Ventes_Encaissements!$D$6:$D$3005,Ventes_Encaissements!$B$6:$B$3005,$A1279))</f>
        <v/>
      </c>
      <c r="J1279" s="9">
        <f>IF($A1279="","",$H1279-$I1279)</f>
        <v/>
      </c>
      <c r="K1279" s="10">
        <f>IF($A1279="","",IF($I1279=0,"",_xludf.AGGREGATE(14,6,Ventes_Encaissements!$C$6:$C$3005/(Ventes_Encaissements!$B$6:$B$3005=$A1279),1)))</f>
        <v/>
      </c>
      <c r="L1279" s="11">
        <f>IF($A1279="","",COUNTIFS(Ventes_Detail!$B$6:$B$3005,$A1279))</f>
        <v/>
      </c>
      <c r="M1279" s="12" t="n"/>
      <c r="N1279" s="12">
        <f>IF($A1279="","",IF($G1279="","",IF($M1279="Oui","Litige",IF($J1279&lt;=0,"Payé",IF($I1279&gt;0,"Partiel",IF(Listes!$B$3&gt;$G1279,"En retard","À échoir"))))))</f>
        <v/>
      </c>
      <c r="O1279" s="11">
        <f>IF($A1279="","",IF(OR($G1279="", $J1279&lt;=0),0,MAX(0,Listes!$B$3-$G1279)))</f>
        <v/>
      </c>
      <c r="P1279" s="12">
        <f>IF($A1279="","",IF($J1279&lt;=0,"Payé",IF($M1279="Oui","Litige",IF($O1279=0,"À échoir",IF($O1279&lt;=30,"0-30",IF($O1279&lt;=60,"31-60",IF($O1279&lt;=90,"61-90","90+")))))))</f>
        <v/>
      </c>
    </row>
    <row r="1280">
      <c r="A1280" s="6" t="n"/>
      <c r="B1280" s="6" t="n"/>
      <c r="C1280" s="6" t="n"/>
      <c r="D1280" s="6" t="n"/>
      <c r="E1280" s="6" t="n"/>
      <c r="F1280" s="7" t="n"/>
      <c r="G1280" s="7" t="n"/>
      <c r="H1280" s="8" t="n"/>
      <c r="I1280" s="9">
        <f>IF($A1280="","",SUMIFS(Ventes_Encaissements!$D$6:$D$3005,Ventes_Encaissements!$B$6:$B$3005,$A1280))</f>
        <v/>
      </c>
      <c r="J1280" s="9">
        <f>IF($A1280="","",$H1280-$I1280)</f>
        <v/>
      </c>
      <c r="K1280" s="10">
        <f>IF($A1280="","",IF($I1280=0,"",_xludf.AGGREGATE(14,6,Ventes_Encaissements!$C$6:$C$3005/(Ventes_Encaissements!$B$6:$B$3005=$A1280),1)))</f>
        <v/>
      </c>
      <c r="L1280" s="11">
        <f>IF($A1280="","",COUNTIFS(Ventes_Detail!$B$6:$B$3005,$A1280))</f>
        <v/>
      </c>
      <c r="M1280" s="12" t="n"/>
      <c r="N1280" s="12">
        <f>IF($A1280="","",IF($G1280="","",IF($M1280="Oui","Litige",IF($J1280&lt;=0,"Payé",IF($I1280&gt;0,"Partiel",IF(Listes!$B$3&gt;$G1280,"En retard","À échoir"))))))</f>
        <v/>
      </c>
      <c r="O1280" s="11">
        <f>IF($A1280="","",IF(OR($G1280="", $J1280&lt;=0),0,MAX(0,Listes!$B$3-$G1280)))</f>
        <v/>
      </c>
      <c r="P1280" s="12">
        <f>IF($A1280="","",IF($J1280&lt;=0,"Payé",IF($M1280="Oui","Litige",IF($O1280=0,"À échoir",IF($O1280&lt;=30,"0-30",IF($O1280&lt;=60,"31-60",IF($O1280&lt;=90,"61-90","90+")))))))</f>
        <v/>
      </c>
    </row>
    <row r="1281">
      <c r="A1281" s="6" t="n"/>
      <c r="B1281" s="6" t="n"/>
      <c r="C1281" s="6" t="n"/>
      <c r="D1281" s="6" t="n"/>
      <c r="E1281" s="6" t="n"/>
      <c r="F1281" s="7" t="n"/>
      <c r="G1281" s="7" t="n"/>
      <c r="H1281" s="8" t="n"/>
      <c r="I1281" s="9">
        <f>IF($A1281="","",SUMIFS(Ventes_Encaissements!$D$6:$D$3005,Ventes_Encaissements!$B$6:$B$3005,$A1281))</f>
        <v/>
      </c>
      <c r="J1281" s="9">
        <f>IF($A1281="","",$H1281-$I1281)</f>
        <v/>
      </c>
      <c r="K1281" s="10">
        <f>IF($A1281="","",IF($I1281=0,"",_xludf.AGGREGATE(14,6,Ventes_Encaissements!$C$6:$C$3005/(Ventes_Encaissements!$B$6:$B$3005=$A1281),1)))</f>
        <v/>
      </c>
      <c r="L1281" s="11">
        <f>IF($A1281="","",COUNTIFS(Ventes_Detail!$B$6:$B$3005,$A1281))</f>
        <v/>
      </c>
      <c r="M1281" s="12" t="n"/>
      <c r="N1281" s="12">
        <f>IF($A1281="","",IF($G1281="","",IF($M1281="Oui","Litige",IF($J1281&lt;=0,"Payé",IF($I1281&gt;0,"Partiel",IF(Listes!$B$3&gt;$G1281,"En retard","À échoir"))))))</f>
        <v/>
      </c>
      <c r="O1281" s="11">
        <f>IF($A1281="","",IF(OR($G1281="", $J1281&lt;=0),0,MAX(0,Listes!$B$3-$G1281)))</f>
        <v/>
      </c>
      <c r="P1281" s="12">
        <f>IF($A1281="","",IF($J1281&lt;=0,"Payé",IF($M1281="Oui","Litige",IF($O1281=0,"À échoir",IF($O1281&lt;=30,"0-30",IF($O1281&lt;=60,"31-60",IF($O1281&lt;=90,"61-90","90+")))))))</f>
        <v/>
      </c>
    </row>
    <row r="1282">
      <c r="A1282" s="6" t="n"/>
      <c r="B1282" s="6" t="n"/>
      <c r="C1282" s="6" t="n"/>
      <c r="D1282" s="6" t="n"/>
      <c r="E1282" s="6" t="n"/>
      <c r="F1282" s="7" t="n"/>
      <c r="G1282" s="7" t="n"/>
      <c r="H1282" s="8" t="n"/>
      <c r="I1282" s="9">
        <f>IF($A1282="","",SUMIFS(Ventes_Encaissements!$D$6:$D$3005,Ventes_Encaissements!$B$6:$B$3005,$A1282))</f>
        <v/>
      </c>
      <c r="J1282" s="9">
        <f>IF($A1282="","",$H1282-$I1282)</f>
        <v/>
      </c>
      <c r="K1282" s="10">
        <f>IF($A1282="","",IF($I1282=0,"",_xludf.AGGREGATE(14,6,Ventes_Encaissements!$C$6:$C$3005/(Ventes_Encaissements!$B$6:$B$3005=$A1282),1)))</f>
        <v/>
      </c>
      <c r="L1282" s="11">
        <f>IF($A1282="","",COUNTIFS(Ventes_Detail!$B$6:$B$3005,$A1282))</f>
        <v/>
      </c>
      <c r="M1282" s="12" t="n"/>
      <c r="N1282" s="12">
        <f>IF($A1282="","",IF($G1282="","",IF($M1282="Oui","Litige",IF($J1282&lt;=0,"Payé",IF($I1282&gt;0,"Partiel",IF(Listes!$B$3&gt;$G1282,"En retard","À échoir"))))))</f>
        <v/>
      </c>
      <c r="O1282" s="11">
        <f>IF($A1282="","",IF(OR($G1282="", $J1282&lt;=0),0,MAX(0,Listes!$B$3-$G1282)))</f>
        <v/>
      </c>
      <c r="P1282" s="12">
        <f>IF($A1282="","",IF($J1282&lt;=0,"Payé",IF($M1282="Oui","Litige",IF($O1282=0,"À échoir",IF($O1282&lt;=30,"0-30",IF($O1282&lt;=60,"31-60",IF($O1282&lt;=90,"61-90","90+")))))))</f>
        <v/>
      </c>
    </row>
    <row r="1283">
      <c r="A1283" s="6" t="n"/>
      <c r="B1283" s="6" t="n"/>
      <c r="C1283" s="6" t="n"/>
      <c r="D1283" s="6" t="n"/>
      <c r="E1283" s="6" t="n"/>
      <c r="F1283" s="7" t="n"/>
      <c r="G1283" s="7" t="n"/>
      <c r="H1283" s="8" t="n"/>
      <c r="I1283" s="9">
        <f>IF($A1283="","",SUMIFS(Ventes_Encaissements!$D$6:$D$3005,Ventes_Encaissements!$B$6:$B$3005,$A1283))</f>
        <v/>
      </c>
      <c r="J1283" s="9">
        <f>IF($A1283="","",$H1283-$I1283)</f>
        <v/>
      </c>
      <c r="K1283" s="10">
        <f>IF($A1283="","",IF($I1283=0,"",_xludf.AGGREGATE(14,6,Ventes_Encaissements!$C$6:$C$3005/(Ventes_Encaissements!$B$6:$B$3005=$A1283),1)))</f>
        <v/>
      </c>
      <c r="L1283" s="11">
        <f>IF($A1283="","",COUNTIFS(Ventes_Detail!$B$6:$B$3005,$A1283))</f>
        <v/>
      </c>
      <c r="M1283" s="12" t="n"/>
      <c r="N1283" s="12">
        <f>IF($A1283="","",IF($G1283="","",IF($M1283="Oui","Litige",IF($J1283&lt;=0,"Payé",IF($I1283&gt;0,"Partiel",IF(Listes!$B$3&gt;$G1283,"En retard","À échoir"))))))</f>
        <v/>
      </c>
      <c r="O1283" s="11">
        <f>IF($A1283="","",IF(OR($G1283="", $J1283&lt;=0),0,MAX(0,Listes!$B$3-$G1283)))</f>
        <v/>
      </c>
      <c r="P1283" s="12">
        <f>IF($A1283="","",IF($J1283&lt;=0,"Payé",IF($M1283="Oui","Litige",IF($O1283=0,"À échoir",IF($O1283&lt;=30,"0-30",IF($O1283&lt;=60,"31-60",IF($O1283&lt;=90,"61-90","90+")))))))</f>
        <v/>
      </c>
    </row>
    <row r="1284">
      <c r="A1284" s="6" t="n"/>
      <c r="B1284" s="6" t="n"/>
      <c r="C1284" s="6" t="n"/>
      <c r="D1284" s="6" t="n"/>
      <c r="E1284" s="6" t="n"/>
      <c r="F1284" s="7" t="n"/>
      <c r="G1284" s="7" t="n"/>
      <c r="H1284" s="8" t="n"/>
      <c r="I1284" s="9">
        <f>IF($A1284="","",SUMIFS(Ventes_Encaissements!$D$6:$D$3005,Ventes_Encaissements!$B$6:$B$3005,$A1284))</f>
        <v/>
      </c>
      <c r="J1284" s="9">
        <f>IF($A1284="","",$H1284-$I1284)</f>
        <v/>
      </c>
      <c r="K1284" s="10">
        <f>IF($A1284="","",IF($I1284=0,"",_xludf.AGGREGATE(14,6,Ventes_Encaissements!$C$6:$C$3005/(Ventes_Encaissements!$B$6:$B$3005=$A1284),1)))</f>
        <v/>
      </c>
      <c r="L1284" s="11">
        <f>IF($A1284="","",COUNTIFS(Ventes_Detail!$B$6:$B$3005,$A1284))</f>
        <v/>
      </c>
      <c r="M1284" s="12" t="n"/>
      <c r="N1284" s="12">
        <f>IF($A1284="","",IF($G1284="","",IF($M1284="Oui","Litige",IF($J1284&lt;=0,"Payé",IF($I1284&gt;0,"Partiel",IF(Listes!$B$3&gt;$G1284,"En retard","À échoir"))))))</f>
        <v/>
      </c>
      <c r="O1284" s="11">
        <f>IF($A1284="","",IF(OR($G1284="", $J1284&lt;=0),0,MAX(0,Listes!$B$3-$G1284)))</f>
        <v/>
      </c>
      <c r="P1284" s="12">
        <f>IF($A1284="","",IF($J1284&lt;=0,"Payé",IF($M1284="Oui","Litige",IF($O1284=0,"À échoir",IF($O1284&lt;=30,"0-30",IF($O1284&lt;=60,"31-60",IF($O1284&lt;=90,"61-90","90+")))))))</f>
        <v/>
      </c>
    </row>
    <row r="1285">
      <c r="A1285" s="6" t="n"/>
      <c r="B1285" s="6" t="n"/>
      <c r="C1285" s="6" t="n"/>
      <c r="D1285" s="6" t="n"/>
      <c r="E1285" s="6" t="n"/>
      <c r="F1285" s="7" t="n"/>
      <c r="G1285" s="7" t="n"/>
      <c r="H1285" s="8" t="n"/>
      <c r="I1285" s="9">
        <f>IF($A1285="","",SUMIFS(Ventes_Encaissements!$D$6:$D$3005,Ventes_Encaissements!$B$6:$B$3005,$A1285))</f>
        <v/>
      </c>
      <c r="J1285" s="9">
        <f>IF($A1285="","",$H1285-$I1285)</f>
        <v/>
      </c>
      <c r="K1285" s="10">
        <f>IF($A1285="","",IF($I1285=0,"",_xludf.AGGREGATE(14,6,Ventes_Encaissements!$C$6:$C$3005/(Ventes_Encaissements!$B$6:$B$3005=$A1285),1)))</f>
        <v/>
      </c>
      <c r="L1285" s="11">
        <f>IF($A1285="","",COUNTIFS(Ventes_Detail!$B$6:$B$3005,$A1285))</f>
        <v/>
      </c>
      <c r="M1285" s="12" t="n"/>
      <c r="N1285" s="12">
        <f>IF($A1285="","",IF($G1285="","",IF($M1285="Oui","Litige",IF($J1285&lt;=0,"Payé",IF($I1285&gt;0,"Partiel",IF(Listes!$B$3&gt;$G1285,"En retard","À échoir"))))))</f>
        <v/>
      </c>
      <c r="O1285" s="11">
        <f>IF($A1285="","",IF(OR($G1285="", $J1285&lt;=0),0,MAX(0,Listes!$B$3-$G1285)))</f>
        <v/>
      </c>
      <c r="P1285" s="12">
        <f>IF($A1285="","",IF($J1285&lt;=0,"Payé",IF($M1285="Oui","Litige",IF($O1285=0,"À échoir",IF($O1285&lt;=30,"0-30",IF($O1285&lt;=60,"31-60",IF($O1285&lt;=90,"61-90","90+")))))))</f>
        <v/>
      </c>
    </row>
    <row r="1286">
      <c r="A1286" s="6" t="n"/>
      <c r="B1286" s="6" t="n"/>
      <c r="C1286" s="6" t="n"/>
      <c r="D1286" s="6" t="n"/>
      <c r="E1286" s="6" t="n"/>
      <c r="F1286" s="7" t="n"/>
      <c r="G1286" s="7" t="n"/>
      <c r="H1286" s="8" t="n"/>
      <c r="I1286" s="9">
        <f>IF($A1286="","",SUMIFS(Ventes_Encaissements!$D$6:$D$3005,Ventes_Encaissements!$B$6:$B$3005,$A1286))</f>
        <v/>
      </c>
      <c r="J1286" s="9">
        <f>IF($A1286="","",$H1286-$I1286)</f>
        <v/>
      </c>
      <c r="K1286" s="10">
        <f>IF($A1286="","",IF($I1286=0,"",_xludf.AGGREGATE(14,6,Ventes_Encaissements!$C$6:$C$3005/(Ventes_Encaissements!$B$6:$B$3005=$A1286),1)))</f>
        <v/>
      </c>
      <c r="L1286" s="11">
        <f>IF($A1286="","",COUNTIFS(Ventes_Detail!$B$6:$B$3005,$A1286))</f>
        <v/>
      </c>
      <c r="M1286" s="12" t="n"/>
      <c r="N1286" s="12">
        <f>IF($A1286="","",IF($G1286="","",IF($M1286="Oui","Litige",IF($J1286&lt;=0,"Payé",IF($I1286&gt;0,"Partiel",IF(Listes!$B$3&gt;$G1286,"En retard","À échoir"))))))</f>
        <v/>
      </c>
      <c r="O1286" s="11">
        <f>IF($A1286="","",IF(OR($G1286="", $J1286&lt;=0),0,MAX(0,Listes!$B$3-$G1286)))</f>
        <v/>
      </c>
      <c r="P1286" s="12">
        <f>IF($A1286="","",IF($J1286&lt;=0,"Payé",IF($M1286="Oui","Litige",IF($O1286=0,"À échoir",IF($O1286&lt;=30,"0-30",IF($O1286&lt;=60,"31-60",IF($O1286&lt;=90,"61-90","90+")))))))</f>
        <v/>
      </c>
    </row>
    <row r="1287">
      <c r="A1287" s="6" t="n"/>
      <c r="B1287" s="6" t="n"/>
      <c r="C1287" s="6" t="n"/>
      <c r="D1287" s="6" t="n"/>
      <c r="E1287" s="6" t="n"/>
      <c r="F1287" s="7" t="n"/>
      <c r="G1287" s="7" t="n"/>
      <c r="H1287" s="8" t="n"/>
      <c r="I1287" s="9">
        <f>IF($A1287="","",SUMIFS(Ventes_Encaissements!$D$6:$D$3005,Ventes_Encaissements!$B$6:$B$3005,$A1287))</f>
        <v/>
      </c>
      <c r="J1287" s="9">
        <f>IF($A1287="","",$H1287-$I1287)</f>
        <v/>
      </c>
      <c r="K1287" s="10">
        <f>IF($A1287="","",IF($I1287=0,"",_xludf.AGGREGATE(14,6,Ventes_Encaissements!$C$6:$C$3005/(Ventes_Encaissements!$B$6:$B$3005=$A1287),1)))</f>
        <v/>
      </c>
      <c r="L1287" s="11">
        <f>IF($A1287="","",COUNTIFS(Ventes_Detail!$B$6:$B$3005,$A1287))</f>
        <v/>
      </c>
      <c r="M1287" s="12" t="n"/>
      <c r="N1287" s="12">
        <f>IF($A1287="","",IF($G1287="","",IF($M1287="Oui","Litige",IF($J1287&lt;=0,"Payé",IF($I1287&gt;0,"Partiel",IF(Listes!$B$3&gt;$G1287,"En retard","À échoir"))))))</f>
        <v/>
      </c>
      <c r="O1287" s="11">
        <f>IF($A1287="","",IF(OR($G1287="", $J1287&lt;=0),0,MAX(0,Listes!$B$3-$G1287)))</f>
        <v/>
      </c>
      <c r="P1287" s="12">
        <f>IF($A1287="","",IF($J1287&lt;=0,"Payé",IF($M1287="Oui","Litige",IF($O1287=0,"À échoir",IF($O1287&lt;=30,"0-30",IF($O1287&lt;=60,"31-60",IF($O1287&lt;=90,"61-90","90+")))))))</f>
        <v/>
      </c>
    </row>
    <row r="1288">
      <c r="A1288" s="6" t="n"/>
      <c r="B1288" s="6" t="n"/>
      <c r="C1288" s="6" t="n"/>
      <c r="D1288" s="6" t="n"/>
      <c r="E1288" s="6" t="n"/>
      <c r="F1288" s="7" t="n"/>
      <c r="G1288" s="7" t="n"/>
      <c r="H1288" s="8" t="n"/>
      <c r="I1288" s="9">
        <f>IF($A1288="","",SUMIFS(Ventes_Encaissements!$D$6:$D$3005,Ventes_Encaissements!$B$6:$B$3005,$A1288))</f>
        <v/>
      </c>
      <c r="J1288" s="9">
        <f>IF($A1288="","",$H1288-$I1288)</f>
        <v/>
      </c>
      <c r="K1288" s="10">
        <f>IF($A1288="","",IF($I1288=0,"",_xludf.AGGREGATE(14,6,Ventes_Encaissements!$C$6:$C$3005/(Ventes_Encaissements!$B$6:$B$3005=$A1288),1)))</f>
        <v/>
      </c>
      <c r="L1288" s="11">
        <f>IF($A1288="","",COUNTIFS(Ventes_Detail!$B$6:$B$3005,$A1288))</f>
        <v/>
      </c>
      <c r="M1288" s="12" t="n"/>
      <c r="N1288" s="12">
        <f>IF($A1288="","",IF($G1288="","",IF($M1288="Oui","Litige",IF($J1288&lt;=0,"Payé",IF($I1288&gt;0,"Partiel",IF(Listes!$B$3&gt;$G1288,"En retard","À échoir"))))))</f>
        <v/>
      </c>
      <c r="O1288" s="11">
        <f>IF($A1288="","",IF(OR($G1288="", $J1288&lt;=0),0,MAX(0,Listes!$B$3-$G1288)))</f>
        <v/>
      </c>
      <c r="P1288" s="12">
        <f>IF($A1288="","",IF($J1288&lt;=0,"Payé",IF($M1288="Oui","Litige",IF($O1288=0,"À échoir",IF($O1288&lt;=30,"0-30",IF($O1288&lt;=60,"31-60",IF($O1288&lt;=90,"61-90","90+")))))))</f>
        <v/>
      </c>
    </row>
    <row r="1289">
      <c r="A1289" s="6" t="n"/>
      <c r="B1289" s="6" t="n"/>
      <c r="C1289" s="6" t="n"/>
      <c r="D1289" s="6" t="n"/>
      <c r="E1289" s="6" t="n"/>
      <c r="F1289" s="7" t="n"/>
      <c r="G1289" s="7" t="n"/>
      <c r="H1289" s="8" t="n"/>
      <c r="I1289" s="9">
        <f>IF($A1289="","",SUMIFS(Ventes_Encaissements!$D$6:$D$3005,Ventes_Encaissements!$B$6:$B$3005,$A1289))</f>
        <v/>
      </c>
      <c r="J1289" s="9">
        <f>IF($A1289="","",$H1289-$I1289)</f>
        <v/>
      </c>
      <c r="K1289" s="10">
        <f>IF($A1289="","",IF($I1289=0,"",_xludf.AGGREGATE(14,6,Ventes_Encaissements!$C$6:$C$3005/(Ventes_Encaissements!$B$6:$B$3005=$A1289),1)))</f>
        <v/>
      </c>
      <c r="L1289" s="11">
        <f>IF($A1289="","",COUNTIFS(Ventes_Detail!$B$6:$B$3005,$A1289))</f>
        <v/>
      </c>
      <c r="M1289" s="12" t="n"/>
      <c r="N1289" s="12">
        <f>IF($A1289="","",IF($G1289="","",IF($M1289="Oui","Litige",IF($J1289&lt;=0,"Payé",IF($I1289&gt;0,"Partiel",IF(Listes!$B$3&gt;$G1289,"En retard","À échoir"))))))</f>
        <v/>
      </c>
      <c r="O1289" s="11">
        <f>IF($A1289="","",IF(OR($G1289="", $J1289&lt;=0),0,MAX(0,Listes!$B$3-$G1289)))</f>
        <v/>
      </c>
      <c r="P1289" s="12">
        <f>IF($A1289="","",IF($J1289&lt;=0,"Payé",IF($M1289="Oui","Litige",IF($O1289=0,"À échoir",IF($O1289&lt;=30,"0-30",IF($O1289&lt;=60,"31-60",IF($O1289&lt;=90,"61-90","90+")))))))</f>
        <v/>
      </c>
    </row>
    <row r="1290">
      <c r="A1290" s="6" t="n"/>
      <c r="B1290" s="6" t="n"/>
      <c r="C1290" s="6" t="n"/>
      <c r="D1290" s="6" t="n"/>
      <c r="E1290" s="6" t="n"/>
      <c r="F1290" s="7" t="n"/>
      <c r="G1290" s="7" t="n"/>
      <c r="H1290" s="8" t="n"/>
      <c r="I1290" s="9">
        <f>IF($A1290="","",SUMIFS(Ventes_Encaissements!$D$6:$D$3005,Ventes_Encaissements!$B$6:$B$3005,$A1290))</f>
        <v/>
      </c>
      <c r="J1290" s="9">
        <f>IF($A1290="","",$H1290-$I1290)</f>
        <v/>
      </c>
      <c r="K1290" s="10">
        <f>IF($A1290="","",IF($I1290=0,"",_xludf.AGGREGATE(14,6,Ventes_Encaissements!$C$6:$C$3005/(Ventes_Encaissements!$B$6:$B$3005=$A1290),1)))</f>
        <v/>
      </c>
      <c r="L1290" s="11">
        <f>IF($A1290="","",COUNTIFS(Ventes_Detail!$B$6:$B$3005,$A1290))</f>
        <v/>
      </c>
      <c r="M1290" s="12" t="n"/>
      <c r="N1290" s="12">
        <f>IF($A1290="","",IF($G1290="","",IF($M1290="Oui","Litige",IF($J1290&lt;=0,"Payé",IF($I1290&gt;0,"Partiel",IF(Listes!$B$3&gt;$G1290,"En retard","À échoir"))))))</f>
        <v/>
      </c>
      <c r="O1290" s="11">
        <f>IF($A1290="","",IF(OR($G1290="", $J1290&lt;=0),0,MAX(0,Listes!$B$3-$G1290)))</f>
        <v/>
      </c>
      <c r="P1290" s="12">
        <f>IF($A1290="","",IF($J1290&lt;=0,"Payé",IF($M1290="Oui","Litige",IF($O1290=0,"À échoir",IF($O1290&lt;=30,"0-30",IF($O1290&lt;=60,"31-60",IF($O1290&lt;=90,"61-90","90+")))))))</f>
        <v/>
      </c>
    </row>
    <row r="1291">
      <c r="A1291" s="6" t="n"/>
      <c r="B1291" s="6" t="n"/>
      <c r="C1291" s="6" t="n"/>
      <c r="D1291" s="6" t="n"/>
      <c r="E1291" s="6" t="n"/>
      <c r="F1291" s="7" t="n"/>
      <c r="G1291" s="7" t="n"/>
      <c r="H1291" s="8" t="n"/>
      <c r="I1291" s="9">
        <f>IF($A1291="","",SUMIFS(Ventes_Encaissements!$D$6:$D$3005,Ventes_Encaissements!$B$6:$B$3005,$A1291))</f>
        <v/>
      </c>
      <c r="J1291" s="9">
        <f>IF($A1291="","",$H1291-$I1291)</f>
        <v/>
      </c>
      <c r="K1291" s="10">
        <f>IF($A1291="","",IF($I1291=0,"",_xludf.AGGREGATE(14,6,Ventes_Encaissements!$C$6:$C$3005/(Ventes_Encaissements!$B$6:$B$3005=$A1291),1)))</f>
        <v/>
      </c>
      <c r="L1291" s="11">
        <f>IF($A1291="","",COUNTIFS(Ventes_Detail!$B$6:$B$3005,$A1291))</f>
        <v/>
      </c>
      <c r="M1291" s="12" t="n"/>
      <c r="N1291" s="12">
        <f>IF($A1291="","",IF($G1291="","",IF($M1291="Oui","Litige",IF($J1291&lt;=0,"Payé",IF($I1291&gt;0,"Partiel",IF(Listes!$B$3&gt;$G1291,"En retard","À échoir"))))))</f>
        <v/>
      </c>
      <c r="O1291" s="11">
        <f>IF($A1291="","",IF(OR($G1291="", $J1291&lt;=0),0,MAX(0,Listes!$B$3-$G1291)))</f>
        <v/>
      </c>
      <c r="P1291" s="12">
        <f>IF($A1291="","",IF($J1291&lt;=0,"Payé",IF($M1291="Oui","Litige",IF($O1291=0,"À échoir",IF($O1291&lt;=30,"0-30",IF($O1291&lt;=60,"31-60",IF($O1291&lt;=90,"61-90","90+")))))))</f>
        <v/>
      </c>
    </row>
    <row r="1292">
      <c r="A1292" s="6" t="n"/>
      <c r="B1292" s="6" t="n"/>
      <c r="C1292" s="6" t="n"/>
      <c r="D1292" s="6" t="n"/>
      <c r="E1292" s="6" t="n"/>
      <c r="F1292" s="7" t="n"/>
      <c r="G1292" s="7" t="n"/>
      <c r="H1292" s="8" t="n"/>
      <c r="I1292" s="9">
        <f>IF($A1292="","",SUMIFS(Ventes_Encaissements!$D$6:$D$3005,Ventes_Encaissements!$B$6:$B$3005,$A1292))</f>
        <v/>
      </c>
      <c r="J1292" s="9">
        <f>IF($A1292="","",$H1292-$I1292)</f>
        <v/>
      </c>
      <c r="K1292" s="10">
        <f>IF($A1292="","",IF($I1292=0,"",_xludf.AGGREGATE(14,6,Ventes_Encaissements!$C$6:$C$3005/(Ventes_Encaissements!$B$6:$B$3005=$A1292),1)))</f>
        <v/>
      </c>
      <c r="L1292" s="11">
        <f>IF($A1292="","",COUNTIFS(Ventes_Detail!$B$6:$B$3005,$A1292))</f>
        <v/>
      </c>
      <c r="M1292" s="12" t="n"/>
      <c r="N1292" s="12">
        <f>IF($A1292="","",IF($G1292="","",IF($M1292="Oui","Litige",IF($J1292&lt;=0,"Payé",IF($I1292&gt;0,"Partiel",IF(Listes!$B$3&gt;$G1292,"En retard","À échoir"))))))</f>
        <v/>
      </c>
      <c r="O1292" s="11">
        <f>IF($A1292="","",IF(OR($G1292="", $J1292&lt;=0),0,MAX(0,Listes!$B$3-$G1292)))</f>
        <v/>
      </c>
      <c r="P1292" s="12">
        <f>IF($A1292="","",IF($J1292&lt;=0,"Payé",IF($M1292="Oui","Litige",IF($O1292=0,"À échoir",IF($O1292&lt;=30,"0-30",IF($O1292&lt;=60,"31-60",IF($O1292&lt;=90,"61-90","90+")))))))</f>
        <v/>
      </c>
    </row>
    <row r="1293">
      <c r="A1293" s="6" t="n"/>
      <c r="B1293" s="6" t="n"/>
      <c r="C1293" s="6" t="n"/>
      <c r="D1293" s="6" t="n"/>
      <c r="E1293" s="6" t="n"/>
      <c r="F1293" s="7" t="n"/>
      <c r="G1293" s="7" t="n"/>
      <c r="H1293" s="8" t="n"/>
      <c r="I1293" s="9">
        <f>IF($A1293="","",SUMIFS(Ventes_Encaissements!$D$6:$D$3005,Ventes_Encaissements!$B$6:$B$3005,$A1293))</f>
        <v/>
      </c>
      <c r="J1293" s="9">
        <f>IF($A1293="","",$H1293-$I1293)</f>
        <v/>
      </c>
      <c r="K1293" s="10">
        <f>IF($A1293="","",IF($I1293=0,"",_xludf.AGGREGATE(14,6,Ventes_Encaissements!$C$6:$C$3005/(Ventes_Encaissements!$B$6:$B$3005=$A1293),1)))</f>
        <v/>
      </c>
      <c r="L1293" s="11">
        <f>IF($A1293="","",COUNTIFS(Ventes_Detail!$B$6:$B$3005,$A1293))</f>
        <v/>
      </c>
      <c r="M1293" s="12" t="n"/>
      <c r="N1293" s="12">
        <f>IF($A1293="","",IF($G1293="","",IF($M1293="Oui","Litige",IF($J1293&lt;=0,"Payé",IF($I1293&gt;0,"Partiel",IF(Listes!$B$3&gt;$G1293,"En retard","À échoir"))))))</f>
        <v/>
      </c>
      <c r="O1293" s="11">
        <f>IF($A1293="","",IF(OR($G1293="", $J1293&lt;=0),0,MAX(0,Listes!$B$3-$G1293)))</f>
        <v/>
      </c>
      <c r="P1293" s="12">
        <f>IF($A1293="","",IF($J1293&lt;=0,"Payé",IF($M1293="Oui","Litige",IF($O1293=0,"À échoir",IF($O1293&lt;=30,"0-30",IF($O1293&lt;=60,"31-60",IF($O1293&lt;=90,"61-90","90+")))))))</f>
        <v/>
      </c>
    </row>
    <row r="1294">
      <c r="A1294" s="6" t="n"/>
      <c r="B1294" s="6" t="n"/>
      <c r="C1294" s="6" t="n"/>
      <c r="D1294" s="6" t="n"/>
      <c r="E1294" s="6" t="n"/>
      <c r="F1294" s="7" t="n"/>
      <c r="G1294" s="7" t="n"/>
      <c r="H1294" s="8" t="n"/>
      <c r="I1294" s="9">
        <f>IF($A1294="","",SUMIFS(Ventes_Encaissements!$D$6:$D$3005,Ventes_Encaissements!$B$6:$B$3005,$A1294))</f>
        <v/>
      </c>
      <c r="J1294" s="9">
        <f>IF($A1294="","",$H1294-$I1294)</f>
        <v/>
      </c>
      <c r="K1294" s="10">
        <f>IF($A1294="","",IF($I1294=0,"",_xludf.AGGREGATE(14,6,Ventes_Encaissements!$C$6:$C$3005/(Ventes_Encaissements!$B$6:$B$3005=$A1294),1)))</f>
        <v/>
      </c>
      <c r="L1294" s="11">
        <f>IF($A1294="","",COUNTIFS(Ventes_Detail!$B$6:$B$3005,$A1294))</f>
        <v/>
      </c>
      <c r="M1294" s="12" t="n"/>
      <c r="N1294" s="12">
        <f>IF($A1294="","",IF($G1294="","",IF($M1294="Oui","Litige",IF($J1294&lt;=0,"Payé",IF($I1294&gt;0,"Partiel",IF(Listes!$B$3&gt;$G1294,"En retard","À échoir"))))))</f>
        <v/>
      </c>
      <c r="O1294" s="11">
        <f>IF($A1294="","",IF(OR($G1294="", $J1294&lt;=0),0,MAX(0,Listes!$B$3-$G1294)))</f>
        <v/>
      </c>
      <c r="P1294" s="12">
        <f>IF($A1294="","",IF($J1294&lt;=0,"Payé",IF($M1294="Oui","Litige",IF($O1294=0,"À échoir",IF($O1294&lt;=30,"0-30",IF($O1294&lt;=60,"31-60",IF($O1294&lt;=90,"61-90","90+")))))))</f>
        <v/>
      </c>
    </row>
    <row r="1295">
      <c r="A1295" s="6" t="n"/>
      <c r="B1295" s="6" t="n"/>
      <c r="C1295" s="6" t="n"/>
      <c r="D1295" s="6" t="n"/>
      <c r="E1295" s="6" t="n"/>
      <c r="F1295" s="7" t="n"/>
      <c r="G1295" s="7" t="n"/>
      <c r="H1295" s="8" t="n"/>
      <c r="I1295" s="9">
        <f>IF($A1295="","",SUMIFS(Ventes_Encaissements!$D$6:$D$3005,Ventes_Encaissements!$B$6:$B$3005,$A1295))</f>
        <v/>
      </c>
      <c r="J1295" s="9">
        <f>IF($A1295="","",$H1295-$I1295)</f>
        <v/>
      </c>
      <c r="K1295" s="10">
        <f>IF($A1295="","",IF($I1295=0,"",_xludf.AGGREGATE(14,6,Ventes_Encaissements!$C$6:$C$3005/(Ventes_Encaissements!$B$6:$B$3005=$A1295),1)))</f>
        <v/>
      </c>
      <c r="L1295" s="11">
        <f>IF($A1295="","",COUNTIFS(Ventes_Detail!$B$6:$B$3005,$A1295))</f>
        <v/>
      </c>
      <c r="M1295" s="12" t="n"/>
      <c r="N1295" s="12">
        <f>IF($A1295="","",IF($G1295="","",IF($M1295="Oui","Litige",IF($J1295&lt;=0,"Payé",IF($I1295&gt;0,"Partiel",IF(Listes!$B$3&gt;$G1295,"En retard","À échoir"))))))</f>
        <v/>
      </c>
      <c r="O1295" s="11">
        <f>IF($A1295="","",IF(OR($G1295="", $J1295&lt;=0),0,MAX(0,Listes!$B$3-$G1295)))</f>
        <v/>
      </c>
      <c r="P1295" s="12">
        <f>IF($A1295="","",IF($J1295&lt;=0,"Payé",IF($M1295="Oui","Litige",IF($O1295=0,"À échoir",IF($O1295&lt;=30,"0-30",IF($O1295&lt;=60,"31-60",IF($O1295&lt;=90,"61-90","90+")))))))</f>
        <v/>
      </c>
    </row>
    <row r="1296">
      <c r="A1296" s="6" t="n"/>
      <c r="B1296" s="6" t="n"/>
      <c r="C1296" s="6" t="n"/>
      <c r="D1296" s="6" t="n"/>
      <c r="E1296" s="6" t="n"/>
      <c r="F1296" s="7" t="n"/>
      <c r="G1296" s="7" t="n"/>
      <c r="H1296" s="8" t="n"/>
      <c r="I1296" s="9">
        <f>IF($A1296="","",SUMIFS(Ventes_Encaissements!$D$6:$D$3005,Ventes_Encaissements!$B$6:$B$3005,$A1296))</f>
        <v/>
      </c>
      <c r="J1296" s="9">
        <f>IF($A1296="","",$H1296-$I1296)</f>
        <v/>
      </c>
      <c r="K1296" s="10">
        <f>IF($A1296="","",IF($I1296=0,"",_xludf.AGGREGATE(14,6,Ventes_Encaissements!$C$6:$C$3005/(Ventes_Encaissements!$B$6:$B$3005=$A1296),1)))</f>
        <v/>
      </c>
      <c r="L1296" s="11">
        <f>IF($A1296="","",COUNTIFS(Ventes_Detail!$B$6:$B$3005,$A1296))</f>
        <v/>
      </c>
      <c r="M1296" s="12" t="n"/>
      <c r="N1296" s="12">
        <f>IF($A1296="","",IF($G1296="","",IF($M1296="Oui","Litige",IF($J1296&lt;=0,"Payé",IF($I1296&gt;0,"Partiel",IF(Listes!$B$3&gt;$G1296,"En retard","À échoir"))))))</f>
        <v/>
      </c>
      <c r="O1296" s="11">
        <f>IF($A1296="","",IF(OR($G1296="", $J1296&lt;=0),0,MAX(0,Listes!$B$3-$G1296)))</f>
        <v/>
      </c>
      <c r="P1296" s="12">
        <f>IF($A1296="","",IF($J1296&lt;=0,"Payé",IF($M1296="Oui","Litige",IF($O1296=0,"À échoir",IF($O1296&lt;=30,"0-30",IF($O1296&lt;=60,"31-60",IF($O1296&lt;=90,"61-90","90+")))))))</f>
        <v/>
      </c>
    </row>
    <row r="1297">
      <c r="A1297" s="6" t="n"/>
      <c r="B1297" s="6" t="n"/>
      <c r="C1297" s="6" t="n"/>
      <c r="D1297" s="6" t="n"/>
      <c r="E1297" s="6" t="n"/>
      <c r="F1297" s="7" t="n"/>
      <c r="G1297" s="7" t="n"/>
      <c r="H1297" s="8" t="n"/>
      <c r="I1297" s="9">
        <f>IF($A1297="","",SUMIFS(Ventes_Encaissements!$D$6:$D$3005,Ventes_Encaissements!$B$6:$B$3005,$A1297))</f>
        <v/>
      </c>
      <c r="J1297" s="9">
        <f>IF($A1297="","",$H1297-$I1297)</f>
        <v/>
      </c>
      <c r="K1297" s="10">
        <f>IF($A1297="","",IF($I1297=0,"",_xludf.AGGREGATE(14,6,Ventes_Encaissements!$C$6:$C$3005/(Ventes_Encaissements!$B$6:$B$3005=$A1297),1)))</f>
        <v/>
      </c>
      <c r="L1297" s="11">
        <f>IF($A1297="","",COUNTIFS(Ventes_Detail!$B$6:$B$3005,$A1297))</f>
        <v/>
      </c>
      <c r="M1297" s="12" t="n"/>
      <c r="N1297" s="12">
        <f>IF($A1297="","",IF($G1297="","",IF($M1297="Oui","Litige",IF($J1297&lt;=0,"Payé",IF($I1297&gt;0,"Partiel",IF(Listes!$B$3&gt;$G1297,"En retard","À échoir"))))))</f>
        <v/>
      </c>
      <c r="O1297" s="11">
        <f>IF($A1297="","",IF(OR($G1297="", $J1297&lt;=0),0,MAX(0,Listes!$B$3-$G1297)))</f>
        <v/>
      </c>
      <c r="P1297" s="12">
        <f>IF($A1297="","",IF($J1297&lt;=0,"Payé",IF($M1297="Oui","Litige",IF($O1297=0,"À échoir",IF($O1297&lt;=30,"0-30",IF($O1297&lt;=60,"31-60",IF($O1297&lt;=90,"61-90","90+")))))))</f>
        <v/>
      </c>
    </row>
    <row r="1298">
      <c r="A1298" s="6" t="n"/>
      <c r="B1298" s="6" t="n"/>
      <c r="C1298" s="6" t="n"/>
      <c r="D1298" s="6" t="n"/>
      <c r="E1298" s="6" t="n"/>
      <c r="F1298" s="7" t="n"/>
      <c r="G1298" s="7" t="n"/>
      <c r="H1298" s="8" t="n"/>
      <c r="I1298" s="9">
        <f>IF($A1298="","",SUMIFS(Ventes_Encaissements!$D$6:$D$3005,Ventes_Encaissements!$B$6:$B$3005,$A1298))</f>
        <v/>
      </c>
      <c r="J1298" s="9">
        <f>IF($A1298="","",$H1298-$I1298)</f>
        <v/>
      </c>
      <c r="K1298" s="10">
        <f>IF($A1298="","",IF($I1298=0,"",_xludf.AGGREGATE(14,6,Ventes_Encaissements!$C$6:$C$3005/(Ventes_Encaissements!$B$6:$B$3005=$A1298),1)))</f>
        <v/>
      </c>
      <c r="L1298" s="11">
        <f>IF($A1298="","",COUNTIFS(Ventes_Detail!$B$6:$B$3005,$A1298))</f>
        <v/>
      </c>
      <c r="M1298" s="12" t="n"/>
      <c r="N1298" s="12">
        <f>IF($A1298="","",IF($G1298="","",IF($M1298="Oui","Litige",IF($J1298&lt;=0,"Payé",IF($I1298&gt;0,"Partiel",IF(Listes!$B$3&gt;$G1298,"En retard","À échoir"))))))</f>
        <v/>
      </c>
      <c r="O1298" s="11">
        <f>IF($A1298="","",IF(OR($G1298="", $J1298&lt;=0),0,MAX(0,Listes!$B$3-$G1298)))</f>
        <v/>
      </c>
      <c r="P1298" s="12">
        <f>IF($A1298="","",IF($J1298&lt;=0,"Payé",IF($M1298="Oui","Litige",IF($O1298=0,"À échoir",IF($O1298&lt;=30,"0-30",IF($O1298&lt;=60,"31-60",IF($O1298&lt;=90,"61-90","90+")))))))</f>
        <v/>
      </c>
    </row>
    <row r="1299">
      <c r="A1299" s="6" t="n"/>
      <c r="B1299" s="6" t="n"/>
      <c r="C1299" s="6" t="n"/>
      <c r="D1299" s="6" t="n"/>
      <c r="E1299" s="6" t="n"/>
      <c r="F1299" s="7" t="n"/>
      <c r="G1299" s="7" t="n"/>
      <c r="H1299" s="8" t="n"/>
      <c r="I1299" s="9">
        <f>IF($A1299="","",SUMIFS(Ventes_Encaissements!$D$6:$D$3005,Ventes_Encaissements!$B$6:$B$3005,$A1299))</f>
        <v/>
      </c>
      <c r="J1299" s="9">
        <f>IF($A1299="","",$H1299-$I1299)</f>
        <v/>
      </c>
      <c r="K1299" s="10">
        <f>IF($A1299="","",IF($I1299=0,"",_xludf.AGGREGATE(14,6,Ventes_Encaissements!$C$6:$C$3005/(Ventes_Encaissements!$B$6:$B$3005=$A1299),1)))</f>
        <v/>
      </c>
      <c r="L1299" s="11">
        <f>IF($A1299="","",COUNTIFS(Ventes_Detail!$B$6:$B$3005,$A1299))</f>
        <v/>
      </c>
      <c r="M1299" s="12" t="n"/>
      <c r="N1299" s="12">
        <f>IF($A1299="","",IF($G1299="","",IF($M1299="Oui","Litige",IF($J1299&lt;=0,"Payé",IF($I1299&gt;0,"Partiel",IF(Listes!$B$3&gt;$G1299,"En retard","À échoir"))))))</f>
        <v/>
      </c>
      <c r="O1299" s="11">
        <f>IF($A1299="","",IF(OR($G1299="", $J1299&lt;=0),0,MAX(0,Listes!$B$3-$G1299)))</f>
        <v/>
      </c>
      <c r="P1299" s="12">
        <f>IF($A1299="","",IF($J1299&lt;=0,"Payé",IF($M1299="Oui","Litige",IF($O1299=0,"À échoir",IF($O1299&lt;=30,"0-30",IF($O1299&lt;=60,"31-60",IF($O1299&lt;=90,"61-90","90+")))))))</f>
        <v/>
      </c>
    </row>
    <row r="1300">
      <c r="A1300" s="6" t="n"/>
      <c r="B1300" s="6" t="n"/>
      <c r="C1300" s="6" t="n"/>
      <c r="D1300" s="6" t="n"/>
      <c r="E1300" s="6" t="n"/>
      <c r="F1300" s="7" t="n"/>
      <c r="G1300" s="7" t="n"/>
      <c r="H1300" s="8" t="n"/>
      <c r="I1300" s="9">
        <f>IF($A1300="","",SUMIFS(Ventes_Encaissements!$D$6:$D$3005,Ventes_Encaissements!$B$6:$B$3005,$A1300))</f>
        <v/>
      </c>
      <c r="J1300" s="9">
        <f>IF($A1300="","",$H1300-$I1300)</f>
        <v/>
      </c>
      <c r="K1300" s="10">
        <f>IF($A1300="","",IF($I1300=0,"",_xludf.AGGREGATE(14,6,Ventes_Encaissements!$C$6:$C$3005/(Ventes_Encaissements!$B$6:$B$3005=$A1300),1)))</f>
        <v/>
      </c>
      <c r="L1300" s="11">
        <f>IF($A1300="","",COUNTIFS(Ventes_Detail!$B$6:$B$3005,$A1300))</f>
        <v/>
      </c>
      <c r="M1300" s="12" t="n"/>
      <c r="N1300" s="12">
        <f>IF($A1300="","",IF($G1300="","",IF($M1300="Oui","Litige",IF($J1300&lt;=0,"Payé",IF($I1300&gt;0,"Partiel",IF(Listes!$B$3&gt;$G1300,"En retard","À échoir"))))))</f>
        <v/>
      </c>
      <c r="O1300" s="11">
        <f>IF($A1300="","",IF(OR($G1300="", $J1300&lt;=0),0,MAX(0,Listes!$B$3-$G1300)))</f>
        <v/>
      </c>
      <c r="P1300" s="12">
        <f>IF($A1300="","",IF($J1300&lt;=0,"Payé",IF($M1300="Oui","Litige",IF($O1300=0,"À échoir",IF($O1300&lt;=30,"0-30",IF($O1300&lt;=60,"31-60",IF($O1300&lt;=90,"61-90","90+")))))))</f>
        <v/>
      </c>
    </row>
    <row r="1301">
      <c r="A1301" s="6" t="n"/>
      <c r="B1301" s="6" t="n"/>
      <c r="C1301" s="6" t="n"/>
      <c r="D1301" s="6" t="n"/>
      <c r="E1301" s="6" t="n"/>
      <c r="F1301" s="7" t="n"/>
      <c r="G1301" s="7" t="n"/>
      <c r="H1301" s="8" t="n"/>
      <c r="I1301" s="9">
        <f>IF($A1301="","",SUMIFS(Ventes_Encaissements!$D$6:$D$3005,Ventes_Encaissements!$B$6:$B$3005,$A1301))</f>
        <v/>
      </c>
      <c r="J1301" s="9">
        <f>IF($A1301="","",$H1301-$I1301)</f>
        <v/>
      </c>
      <c r="K1301" s="10">
        <f>IF($A1301="","",IF($I1301=0,"",_xludf.AGGREGATE(14,6,Ventes_Encaissements!$C$6:$C$3005/(Ventes_Encaissements!$B$6:$B$3005=$A1301),1)))</f>
        <v/>
      </c>
      <c r="L1301" s="11">
        <f>IF($A1301="","",COUNTIFS(Ventes_Detail!$B$6:$B$3005,$A1301))</f>
        <v/>
      </c>
      <c r="M1301" s="12" t="n"/>
      <c r="N1301" s="12">
        <f>IF($A1301="","",IF($G1301="","",IF($M1301="Oui","Litige",IF($J1301&lt;=0,"Payé",IF($I1301&gt;0,"Partiel",IF(Listes!$B$3&gt;$G1301,"En retard","À échoir"))))))</f>
        <v/>
      </c>
      <c r="O1301" s="11">
        <f>IF($A1301="","",IF(OR($G1301="", $J1301&lt;=0),0,MAX(0,Listes!$B$3-$G1301)))</f>
        <v/>
      </c>
      <c r="P1301" s="12">
        <f>IF($A1301="","",IF($J1301&lt;=0,"Payé",IF($M1301="Oui","Litige",IF($O1301=0,"À échoir",IF($O1301&lt;=30,"0-30",IF($O1301&lt;=60,"31-60",IF($O1301&lt;=90,"61-90","90+")))))))</f>
        <v/>
      </c>
    </row>
    <row r="1302">
      <c r="A1302" s="6" t="n"/>
      <c r="B1302" s="6" t="n"/>
      <c r="C1302" s="6" t="n"/>
      <c r="D1302" s="6" t="n"/>
      <c r="E1302" s="6" t="n"/>
      <c r="F1302" s="7" t="n"/>
      <c r="G1302" s="7" t="n"/>
      <c r="H1302" s="8" t="n"/>
      <c r="I1302" s="9">
        <f>IF($A1302="","",SUMIFS(Ventes_Encaissements!$D$6:$D$3005,Ventes_Encaissements!$B$6:$B$3005,$A1302))</f>
        <v/>
      </c>
      <c r="J1302" s="9">
        <f>IF($A1302="","",$H1302-$I1302)</f>
        <v/>
      </c>
      <c r="K1302" s="10">
        <f>IF($A1302="","",IF($I1302=0,"",_xludf.AGGREGATE(14,6,Ventes_Encaissements!$C$6:$C$3005/(Ventes_Encaissements!$B$6:$B$3005=$A1302),1)))</f>
        <v/>
      </c>
      <c r="L1302" s="11">
        <f>IF($A1302="","",COUNTIFS(Ventes_Detail!$B$6:$B$3005,$A1302))</f>
        <v/>
      </c>
      <c r="M1302" s="12" t="n"/>
      <c r="N1302" s="12">
        <f>IF($A1302="","",IF($G1302="","",IF($M1302="Oui","Litige",IF($J1302&lt;=0,"Payé",IF($I1302&gt;0,"Partiel",IF(Listes!$B$3&gt;$G1302,"En retard","À échoir"))))))</f>
        <v/>
      </c>
      <c r="O1302" s="11">
        <f>IF($A1302="","",IF(OR($G1302="", $J1302&lt;=0),0,MAX(0,Listes!$B$3-$G1302)))</f>
        <v/>
      </c>
      <c r="P1302" s="12">
        <f>IF($A1302="","",IF($J1302&lt;=0,"Payé",IF($M1302="Oui","Litige",IF($O1302=0,"À échoir",IF($O1302&lt;=30,"0-30",IF($O1302&lt;=60,"31-60",IF($O1302&lt;=90,"61-90","90+")))))))</f>
        <v/>
      </c>
    </row>
    <row r="1303">
      <c r="A1303" s="6" t="n"/>
      <c r="B1303" s="6" t="n"/>
      <c r="C1303" s="6" t="n"/>
      <c r="D1303" s="6" t="n"/>
      <c r="E1303" s="6" t="n"/>
      <c r="F1303" s="7" t="n"/>
      <c r="G1303" s="7" t="n"/>
      <c r="H1303" s="8" t="n"/>
      <c r="I1303" s="9">
        <f>IF($A1303="","",SUMIFS(Ventes_Encaissements!$D$6:$D$3005,Ventes_Encaissements!$B$6:$B$3005,$A1303))</f>
        <v/>
      </c>
      <c r="J1303" s="9">
        <f>IF($A1303="","",$H1303-$I1303)</f>
        <v/>
      </c>
      <c r="K1303" s="10">
        <f>IF($A1303="","",IF($I1303=0,"",_xludf.AGGREGATE(14,6,Ventes_Encaissements!$C$6:$C$3005/(Ventes_Encaissements!$B$6:$B$3005=$A1303),1)))</f>
        <v/>
      </c>
      <c r="L1303" s="11">
        <f>IF($A1303="","",COUNTIFS(Ventes_Detail!$B$6:$B$3005,$A1303))</f>
        <v/>
      </c>
      <c r="M1303" s="12" t="n"/>
      <c r="N1303" s="12">
        <f>IF($A1303="","",IF($G1303="","",IF($M1303="Oui","Litige",IF($J1303&lt;=0,"Payé",IF($I1303&gt;0,"Partiel",IF(Listes!$B$3&gt;$G1303,"En retard","À échoir"))))))</f>
        <v/>
      </c>
      <c r="O1303" s="11">
        <f>IF($A1303="","",IF(OR($G1303="", $J1303&lt;=0),0,MAX(0,Listes!$B$3-$G1303)))</f>
        <v/>
      </c>
      <c r="P1303" s="12">
        <f>IF($A1303="","",IF($J1303&lt;=0,"Payé",IF($M1303="Oui","Litige",IF($O1303=0,"À échoir",IF($O1303&lt;=30,"0-30",IF($O1303&lt;=60,"31-60",IF($O1303&lt;=90,"61-90","90+")))))))</f>
        <v/>
      </c>
    </row>
    <row r="1304">
      <c r="A1304" s="6" t="n"/>
      <c r="B1304" s="6" t="n"/>
      <c r="C1304" s="6" t="n"/>
      <c r="D1304" s="6" t="n"/>
      <c r="E1304" s="6" t="n"/>
      <c r="F1304" s="7" t="n"/>
      <c r="G1304" s="7" t="n"/>
      <c r="H1304" s="8" t="n"/>
      <c r="I1304" s="9">
        <f>IF($A1304="","",SUMIFS(Ventes_Encaissements!$D$6:$D$3005,Ventes_Encaissements!$B$6:$B$3005,$A1304))</f>
        <v/>
      </c>
      <c r="J1304" s="9">
        <f>IF($A1304="","",$H1304-$I1304)</f>
        <v/>
      </c>
      <c r="K1304" s="10">
        <f>IF($A1304="","",IF($I1304=0,"",_xludf.AGGREGATE(14,6,Ventes_Encaissements!$C$6:$C$3005/(Ventes_Encaissements!$B$6:$B$3005=$A1304),1)))</f>
        <v/>
      </c>
      <c r="L1304" s="11">
        <f>IF($A1304="","",COUNTIFS(Ventes_Detail!$B$6:$B$3005,$A1304))</f>
        <v/>
      </c>
      <c r="M1304" s="12" t="n"/>
      <c r="N1304" s="12">
        <f>IF($A1304="","",IF($G1304="","",IF($M1304="Oui","Litige",IF($J1304&lt;=0,"Payé",IF($I1304&gt;0,"Partiel",IF(Listes!$B$3&gt;$G1304,"En retard","À échoir"))))))</f>
        <v/>
      </c>
      <c r="O1304" s="11">
        <f>IF($A1304="","",IF(OR($G1304="", $J1304&lt;=0),0,MAX(0,Listes!$B$3-$G1304)))</f>
        <v/>
      </c>
      <c r="P1304" s="12">
        <f>IF($A1304="","",IF($J1304&lt;=0,"Payé",IF($M1304="Oui","Litige",IF($O1304=0,"À échoir",IF($O1304&lt;=30,"0-30",IF($O1304&lt;=60,"31-60",IF($O1304&lt;=90,"61-90","90+")))))))</f>
        <v/>
      </c>
    </row>
    <row r="1305">
      <c r="A1305" s="6" t="n"/>
      <c r="B1305" s="6" t="n"/>
      <c r="C1305" s="6" t="n"/>
      <c r="D1305" s="6" t="n"/>
      <c r="E1305" s="6" t="n"/>
      <c r="F1305" s="7" t="n"/>
      <c r="G1305" s="7" t="n"/>
      <c r="H1305" s="8" t="n"/>
      <c r="I1305" s="9">
        <f>IF($A1305="","",SUMIFS(Ventes_Encaissements!$D$6:$D$3005,Ventes_Encaissements!$B$6:$B$3005,$A1305))</f>
        <v/>
      </c>
      <c r="J1305" s="9">
        <f>IF($A1305="","",$H1305-$I1305)</f>
        <v/>
      </c>
      <c r="K1305" s="10">
        <f>IF($A1305="","",IF($I1305=0,"",_xludf.AGGREGATE(14,6,Ventes_Encaissements!$C$6:$C$3005/(Ventes_Encaissements!$B$6:$B$3005=$A1305),1)))</f>
        <v/>
      </c>
      <c r="L1305" s="11">
        <f>IF($A1305="","",COUNTIFS(Ventes_Detail!$B$6:$B$3005,$A1305))</f>
        <v/>
      </c>
      <c r="M1305" s="12" t="n"/>
      <c r="N1305" s="12">
        <f>IF($A1305="","",IF($G1305="","",IF($M1305="Oui","Litige",IF($J1305&lt;=0,"Payé",IF($I1305&gt;0,"Partiel",IF(Listes!$B$3&gt;$G1305,"En retard","À échoir"))))))</f>
        <v/>
      </c>
      <c r="O1305" s="11">
        <f>IF($A1305="","",IF(OR($G1305="", $J1305&lt;=0),0,MAX(0,Listes!$B$3-$G1305)))</f>
        <v/>
      </c>
      <c r="P1305" s="12">
        <f>IF($A1305="","",IF($J1305&lt;=0,"Payé",IF($M1305="Oui","Litige",IF($O1305=0,"À échoir",IF($O1305&lt;=30,"0-30",IF($O1305&lt;=60,"31-60",IF($O1305&lt;=90,"61-90","90+")))))))</f>
        <v/>
      </c>
    </row>
    <row r="1306">
      <c r="A1306" s="6" t="n"/>
      <c r="B1306" s="6" t="n"/>
      <c r="C1306" s="6" t="n"/>
      <c r="D1306" s="6" t="n"/>
      <c r="E1306" s="6" t="n"/>
      <c r="F1306" s="7" t="n"/>
      <c r="G1306" s="7" t="n"/>
      <c r="H1306" s="8" t="n"/>
      <c r="I1306" s="9">
        <f>IF($A1306="","",SUMIFS(Ventes_Encaissements!$D$6:$D$3005,Ventes_Encaissements!$B$6:$B$3005,$A1306))</f>
        <v/>
      </c>
      <c r="J1306" s="9">
        <f>IF($A1306="","",$H1306-$I1306)</f>
        <v/>
      </c>
      <c r="K1306" s="10">
        <f>IF($A1306="","",IF($I1306=0,"",_xludf.AGGREGATE(14,6,Ventes_Encaissements!$C$6:$C$3005/(Ventes_Encaissements!$B$6:$B$3005=$A1306),1)))</f>
        <v/>
      </c>
      <c r="L1306" s="11">
        <f>IF($A1306="","",COUNTIFS(Ventes_Detail!$B$6:$B$3005,$A1306))</f>
        <v/>
      </c>
      <c r="M1306" s="12" t="n"/>
      <c r="N1306" s="12">
        <f>IF($A1306="","",IF($G1306="","",IF($M1306="Oui","Litige",IF($J1306&lt;=0,"Payé",IF($I1306&gt;0,"Partiel",IF(Listes!$B$3&gt;$G1306,"En retard","À échoir"))))))</f>
        <v/>
      </c>
      <c r="O1306" s="11">
        <f>IF($A1306="","",IF(OR($G1306="", $J1306&lt;=0),0,MAX(0,Listes!$B$3-$G1306)))</f>
        <v/>
      </c>
      <c r="P1306" s="12">
        <f>IF($A1306="","",IF($J1306&lt;=0,"Payé",IF($M1306="Oui","Litige",IF($O1306=0,"À échoir",IF($O1306&lt;=30,"0-30",IF($O1306&lt;=60,"31-60",IF($O1306&lt;=90,"61-90","90+")))))))</f>
        <v/>
      </c>
    </row>
    <row r="1307">
      <c r="A1307" s="6" t="n"/>
      <c r="B1307" s="6" t="n"/>
      <c r="C1307" s="6" t="n"/>
      <c r="D1307" s="6" t="n"/>
      <c r="E1307" s="6" t="n"/>
      <c r="F1307" s="7" t="n"/>
      <c r="G1307" s="7" t="n"/>
      <c r="H1307" s="8" t="n"/>
      <c r="I1307" s="9">
        <f>IF($A1307="","",SUMIFS(Ventes_Encaissements!$D$6:$D$3005,Ventes_Encaissements!$B$6:$B$3005,$A1307))</f>
        <v/>
      </c>
      <c r="J1307" s="9">
        <f>IF($A1307="","",$H1307-$I1307)</f>
        <v/>
      </c>
      <c r="K1307" s="10">
        <f>IF($A1307="","",IF($I1307=0,"",_xludf.AGGREGATE(14,6,Ventes_Encaissements!$C$6:$C$3005/(Ventes_Encaissements!$B$6:$B$3005=$A1307),1)))</f>
        <v/>
      </c>
      <c r="L1307" s="11">
        <f>IF($A1307="","",COUNTIFS(Ventes_Detail!$B$6:$B$3005,$A1307))</f>
        <v/>
      </c>
      <c r="M1307" s="12" t="n"/>
      <c r="N1307" s="12">
        <f>IF($A1307="","",IF($G1307="","",IF($M1307="Oui","Litige",IF($J1307&lt;=0,"Payé",IF($I1307&gt;0,"Partiel",IF(Listes!$B$3&gt;$G1307,"En retard","À échoir"))))))</f>
        <v/>
      </c>
      <c r="O1307" s="11">
        <f>IF($A1307="","",IF(OR($G1307="", $J1307&lt;=0),0,MAX(0,Listes!$B$3-$G1307)))</f>
        <v/>
      </c>
      <c r="P1307" s="12">
        <f>IF($A1307="","",IF($J1307&lt;=0,"Payé",IF($M1307="Oui","Litige",IF($O1307=0,"À échoir",IF($O1307&lt;=30,"0-30",IF($O1307&lt;=60,"31-60",IF($O1307&lt;=90,"61-90","90+")))))))</f>
        <v/>
      </c>
    </row>
    <row r="1308">
      <c r="A1308" s="6" t="n"/>
      <c r="B1308" s="6" t="n"/>
      <c r="C1308" s="6" t="n"/>
      <c r="D1308" s="6" t="n"/>
      <c r="E1308" s="6" t="n"/>
      <c r="F1308" s="7" t="n"/>
      <c r="G1308" s="7" t="n"/>
      <c r="H1308" s="8" t="n"/>
      <c r="I1308" s="9">
        <f>IF($A1308="","",SUMIFS(Ventes_Encaissements!$D$6:$D$3005,Ventes_Encaissements!$B$6:$B$3005,$A1308))</f>
        <v/>
      </c>
      <c r="J1308" s="9">
        <f>IF($A1308="","",$H1308-$I1308)</f>
        <v/>
      </c>
      <c r="K1308" s="10">
        <f>IF($A1308="","",IF($I1308=0,"",_xludf.AGGREGATE(14,6,Ventes_Encaissements!$C$6:$C$3005/(Ventes_Encaissements!$B$6:$B$3005=$A1308),1)))</f>
        <v/>
      </c>
      <c r="L1308" s="11">
        <f>IF($A1308="","",COUNTIFS(Ventes_Detail!$B$6:$B$3005,$A1308))</f>
        <v/>
      </c>
      <c r="M1308" s="12" t="n"/>
      <c r="N1308" s="12">
        <f>IF($A1308="","",IF($G1308="","",IF($M1308="Oui","Litige",IF($J1308&lt;=0,"Payé",IF($I1308&gt;0,"Partiel",IF(Listes!$B$3&gt;$G1308,"En retard","À échoir"))))))</f>
        <v/>
      </c>
      <c r="O1308" s="11">
        <f>IF($A1308="","",IF(OR($G1308="", $J1308&lt;=0),0,MAX(0,Listes!$B$3-$G1308)))</f>
        <v/>
      </c>
      <c r="P1308" s="12">
        <f>IF($A1308="","",IF($J1308&lt;=0,"Payé",IF($M1308="Oui","Litige",IF($O1308=0,"À échoir",IF($O1308&lt;=30,"0-30",IF($O1308&lt;=60,"31-60",IF($O1308&lt;=90,"61-90","90+")))))))</f>
        <v/>
      </c>
    </row>
    <row r="1309">
      <c r="A1309" s="6" t="n"/>
      <c r="B1309" s="6" t="n"/>
      <c r="C1309" s="6" t="n"/>
      <c r="D1309" s="6" t="n"/>
      <c r="E1309" s="6" t="n"/>
      <c r="F1309" s="7" t="n"/>
      <c r="G1309" s="7" t="n"/>
      <c r="H1309" s="8" t="n"/>
      <c r="I1309" s="9">
        <f>IF($A1309="","",SUMIFS(Ventes_Encaissements!$D$6:$D$3005,Ventes_Encaissements!$B$6:$B$3005,$A1309))</f>
        <v/>
      </c>
      <c r="J1309" s="9">
        <f>IF($A1309="","",$H1309-$I1309)</f>
        <v/>
      </c>
      <c r="K1309" s="10">
        <f>IF($A1309="","",IF($I1309=0,"",_xludf.AGGREGATE(14,6,Ventes_Encaissements!$C$6:$C$3005/(Ventes_Encaissements!$B$6:$B$3005=$A1309),1)))</f>
        <v/>
      </c>
      <c r="L1309" s="11">
        <f>IF($A1309="","",COUNTIFS(Ventes_Detail!$B$6:$B$3005,$A1309))</f>
        <v/>
      </c>
      <c r="M1309" s="12" t="n"/>
      <c r="N1309" s="12">
        <f>IF($A1309="","",IF($G1309="","",IF($M1309="Oui","Litige",IF($J1309&lt;=0,"Payé",IF($I1309&gt;0,"Partiel",IF(Listes!$B$3&gt;$G1309,"En retard","À échoir"))))))</f>
        <v/>
      </c>
      <c r="O1309" s="11">
        <f>IF($A1309="","",IF(OR($G1309="", $J1309&lt;=0),0,MAX(0,Listes!$B$3-$G1309)))</f>
        <v/>
      </c>
      <c r="P1309" s="12">
        <f>IF($A1309="","",IF($J1309&lt;=0,"Payé",IF($M1309="Oui","Litige",IF($O1309=0,"À échoir",IF($O1309&lt;=30,"0-30",IF($O1309&lt;=60,"31-60",IF($O1309&lt;=90,"61-90","90+")))))))</f>
        <v/>
      </c>
    </row>
    <row r="1310">
      <c r="A1310" s="6" t="n"/>
      <c r="B1310" s="6" t="n"/>
      <c r="C1310" s="6" t="n"/>
      <c r="D1310" s="6" t="n"/>
      <c r="E1310" s="6" t="n"/>
      <c r="F1310" s="7" t="n"/>
      <c r="G1310" s="7" t="n"/>
      <c r="H1310" s="8" t="n"/>
      <c r="I1310" s="9">
        <f>IF($A1310="","",SUMIFS(Ventes_Encaissements!$D$6:$D$3005,Ventes_Encaissements!$B$6:$B$3005,$A1310))</f>
        <v/>
      </c>
      <c r="J1310" s="9">
        <f>IF($A1310="","",$H1310-$I1310)</f>
        <v/>
      </c>
      <c r="K1310" s="10">
        <f>IF($A1310="","",IF($I1310=0,"",_xludf.AGGREGATE(14,6,Ventes_Encaissements!$C$6:$C$3005/(Ventes_Encaissements!$B$6:$B$3005=$A1310),1)))</f>
        <v/>
      </c>
      <c r="L1310" s="11">
        <f>IF($A1310="","",COUNTIFS(Ventes_Detail!$B$6:$B$3005,$A1310))</f>
        <v/>
      </c>
      <c r="M1310" s="12" t="n"/>
      <c r="N1310" s="12">
        <f>IF($A1310="","",IF($G1310="","",IF($M1310="Oui","Litige",IF($J1310&lt;=0,"Payé",IF($I1310&gt;0,"Partiel",IF(Listes!$B$3&gt;$G1310,"En retard","À échoir"))))))</f>
        <v/>
      </c>
      <c r="O1310" s="11">
        <f>IF($A1310="","",IF(OR($G1310="", $J1310&lt;=0),0,MAX(0,Listes!$B$3-$G1310)))</f>
        <v/>
      </c>
      <c r="P1310" s="12">
        <f>IF($A1310="","",IF($J1310&lt;=0,"Payé",IF($M1310="Oui","Litige",IF($O1310=0,"À échoir",IF($O1310&lt;=30,"0-30",IF($O1310&lt;=60,"31-60",IF($O1310&lt;=90,"61-90","90+")))))))</f>
        <v/>
      </c>
    </row>
    <row r="1311">
      <c r="A1311" s="6" t="n"/>
      <c r="B1311" s="6" t="n"/>
      <c r="C1311" s="6" t="n"/>
      <c r="D1311" s="6" t="n"/>
      <c r="E1311" s="6" t="n"/>
      <c r="F1311" s="7" t="n"/>
      <c r="G1311" s="7" t="n"/>
      <c r="H1311" s="8" t="n"/>
      <c r="I1311" s="9">
        <f>IF($A1311="","",SUMIFS(Ventes_Encaissements!$D$6:$D$3005,Ventes_Encaissements!$B$6:$B$3005,$A1311))</f>
        <v/>
      </c>
      <c r="J1311" s="9">
        <f>IF($A1311="","",$H1311-$I1311)</f>
        <v/>
      </c>
      <c r="K1311" s="10">
        <f>IF($A1311="","",IF($I1311=0,"",_xludf.AGGREGATE(14,6,Ventes_Encaissements!$C$6:$C$3005/(Ventes_Encaissements!$B$6:$B$3005=$A1311),1)))</f>
        <v/>
      </c>
      <c r="L1311" s="11">
        <f>IF($A1311="","",COUNTIFS(Ventes_Detail!$B$6:$B$3005,$A1311))</f>
        <v/>
      </c>
      <c r="M1311" s="12" t="n"/>
      <c r="N1311" s="12">
        <f>IF($A1311="","",IF($G1311="","",IF($M1311="Oui","Litige",IF($J1311&lt;=0,"Payé",IF($I1311&gt;0,"Partiel",IF(Listes!$B$3&gt;$G1311,"En retard","À échoir"))))))</f>
        <v/>
      </c>
      <c r="O1311" s="11">
        <f>IF($A1311="","",IF(OR($G1311="", $J1311&lt;=0),0,MAX(0,Listes!$B$3-$G1311)))</f>
        <v/>
      </c>
      <c r="P1311" s="12">
        <f>IF($A1311="","",IF($J1311&lt;=0,"Payé",IF($M1311="Oui","Litige",IF($O1311=0,"À échoir",IF($O1311&lt;=30,"0-30",IF($O1311&lt;=60,"31-60",IF($O1311&lt;=90,"61-90","90+")))))))</f>
        <v/>
      </c>
    </row>
    <row r="1312">
      <c r="A1312" s="6" t="n"/>
      <c r="B1312" s="6" t="n"/>
      <c r="C1312" s="6" t="n"/>
      <c r="D1312" s="6" t="n"/>
      <c r="E1312" s="6" t="n"/>
      <c r="F1312" s="7" t="n"/>
      <c r="G1312" s="7" t="n"/>
      <c r="H1312" s="8" t="n"/>
      <c r="I1312" s="9">
        <f>IF($A1312="","",SUMIFS(Ventes_Encaissements!$D$6:$D$3005,Ventes_Encaissements!$B$6:$B$3005,$A1312))</f>
        <v/>
      </c>
      <c r="J1312" s="9">
        <f>IF($A1312="","",$H1312-$I1312)</f>
        <v/>
      </c>
      <c r="K1312" s="10">
        <f>IF($A1312="","",IF($I1312=0,"",_xludf.AGGREGATE(14,6,Ventes_Encaissements!$C$6:$C$3005/(Ventes_Encaissements!$B$6:$B$3005=$A1312),1)))</f>
        <v/>
      </c>
      <c r="L1312" s="11">
        <f>IF($A1312="","",COUNTIFS(Ventes_Detail!$B$6:$B$3005,$A1312))</f>
        <v/>
      </c>
      <c r="M1312" s="12" t="n"/>
      <c r="N1312" s="12">
        <f>IF($A1312="","",IF($G1312="","",IF($M1312="Oui","Litige",IF($J1312&lt;=0,"Payé",IF($I1312&gt;0,"Partiel",IF(Listes!$B$3&gt;$G1312,"En retard","À échoir"))))))</f>
        <v/>
      </c>
      <c r="O1312" s="11">
        <f>IF($A1312="","",IF(OR($G1312="", $J1312&lt;=0),0,MAX(0,Listes!$B$3-$G1312)))</f>
        <v/>
      </c>
      <c r="P1312" s="12">
        <f>IF($A1312="","",IF($J1312&lt;=0,"Payé",IF($M1312="Oui","Litige",IF($O1312=0,"À échoir",IF($O1312&lt;=30,"0-30",IF($O1312&lt;=60,"31-60",IF($O1312&lt;=90,"61-90","90+")))))))</f>
        <v/>
      </c>
    </row>
    <row r="1313">
      <c r="A1313" s="6" t="n"/>
      <c r="B1313" s="6" t="n"/>
      <c r="C1313" s="6" t="n"/>
      <c r="D1313" s="6" t="n"/>
      <c r="E1313" s="6" t="n"/>
      <c r="F1313" s="7" t="n"/>
      <c r="G1313" s="7" t="n"/>
      <c r="H1313" s="8" t="n"/>
      <c r="I1313" s="9">
        <f>IF($A1313="","",SUMIFS(Ventes_Encaissements!$D$6:$D$3005,Ventes_Encaissements!$B$6:$B$3005,$A1313))</f>
        <v/>
      </c>
      <c r="J1313" s="9">
        <f>IF($A1313="","",$H1313-$I1313)</f>
        <v/>
      </c>
      <c r="K1313" s="10">
        <f>IF($A1313="","",IF($I1313=0,"",_xludf.AGGREGATE(14,6,Ventes_Encaissements!$C$6:$C$3005/(Ventes_Encaissements!$B$6:$B$3005=$A1313),1)))</f>
        <v/>
      </c>
      <c r="L1313" s="11">
        <f>IF($A1313="","",COUNTIFS(Ventes_Detail!$B$6:$B$3005,$A1313))</f>
        <v/>
      </c>
      <c r="M1313" s="12" t="n"/>
      <c r="N1313" s="12">
        <f>IF($A1313="","",IF($G1313="","",IF($M1313="Oui","Litige",IF($J1313&lt;=0,"Payé",IF($I1313&gt;0,"Partiel",IF(Listes!$B$3&gt;$G1313,"En retard","À échoir"))))))</f>
        <v/>
      </c>
      <c r="O1313" s="11">
        <f>IF($A1313="","",IF(OR($G1313="", $J1313&lt;=0),0,MAX(0,Listes!$B$3-$G1313)))</f>
        <v/>
      </c>
      <c r="P1313" s="12">
        <f>IF($A1313="","",IF($J1313&lt;=0,"Payé",IF($M1313="Oui","Litige",IF($O1313=0,"À échoir",IF($O1313&lt;=30,"0-30",IF($O1313&lt;=60,"31-60",IF($O1313&lt;=90,"61-90","90+")))))))</f>
        <v/>
      </c>
    </row>
    <row r="1314">
      <c r="A1314" s="6" t="n"/>
      <c r="B1314" s="6" t="n"/>
      <c r="C1314" s="6" t="n"/>
      <c r="D1314" s="6" t="n"/>
      <c r="E1314" s="6" t="n"/>
      <c r="F1314" s="7" t="n"/>
      <c r="G1314" s="7" t="n"/>
      <c r="H1314" s="8" t="n"/>
      <c r="I1314" s="9">
        <f>IF($A1314="","",SUMIFS(Ventes_Encaissements!$D$6:$D$3005,Ventes_Encaissements!$B$6:$B$3005,$A1314))</f>
        <v/>
      </c>
      <c r="J1314" s="9">
        <f>IF($A1314="","",$H1314-$I1314)</f>
        <v/>
      </c>
      <c r="K1314" s="10">
        <f>IF($A1314="","",IF($I1314=0,"",_xludf.AGGREGATE(14,6,Ventes_Encaissements!$C$6:$C$3005/(Ventes_Encaissements!$B$6:$B$3005=$A1314),1)))</f>
        <v/>
      </c>
      <c r="L1314" s="11">
        <f>IF($A1314="","",COUNTIFS(Ventes_Detail!$B$6:$B$3005,$A1314))</f>
        <v/>
      </c>
      <c r="M1314" s="12" t="n"/>
      <c r="N1314" s="12">
        <f>IF($A1314="","",IF($G1314="","",IF($M1314="Oui","Litige",IF($J1314&lt;=0,"Payé",IF($I1314&gt;0,"Partiel",IF(Listes!$B$3&gt;$G1314,"En retard","À échoir"))))))</f>
        <v/>
      </c>
      <c r="O1314" s="11">
        <f>IF($A1314="","",IF(OR($G1314="", $J1314&lt;=0),0,MAX(0,Listes!$B$3-$G1314)))</f>
        <v/>
      </c>
      <c r="P1314" s="12">
        <f>IF($A1314="","",IF($J1314&lt;=0,"Payé",IF($M1314="Oui","Litige",IF($O1314=0,"À échoir",IF($O1314&lt;=30,"0-30",IF($O1314&lt;=60,"31-60",IF($O1314&lt;=90,"61-90","90+")))))))</f>
        <v/>
      </c>
    </row>
    <row r="1315">
      <c r="A1315" s="6" t="n"/>
      <c r="B1315" s="6" t="n"/>
      <c r="C1315" s="6" t="n"/>
      <c r="D1315" s="6" t="n"/>
      <c r="E1315" s="6" t="n"/>
      <c r="F1315" s="7" t="n"/>
      <c r="G1315" s="7" t="n"/>
      <c r="H1315" s="8" t="n"/>
      <c r="I1315" s="9">
        <f>IF($A1315="","",SUMIFS(Ventes_Encaissements!$D$6:$D$3005,Ventes_Encaissements!$B$6:$B$3005,$A1315))</f>
        <v/>
      </c>
      <c r="J1315" s="9">
        <f>IF($A1315="","",$H1315-$I1315)</f>
        <v/>
      </c>
      <c r="K1315" s="10">
        <f>IF($A1315="","",IF($I1315=0,"",_xludf.AGGREGATE(14,6,Ventes_Encaissements!$C$6:$C$3005/(Ventes_Encaissements!$B$6:$B$3005=$A1315),1)))</f>
        <v/>
      </c>
      <c r="L1315" s="11">
        <f>IF($A1315="","",COUNTIFS(Ventes_Detail!$B$6:$B$3005,$A1315))</f>
        <v/>
      </c>
      <c r="M1315" s="12" t="n"/>
      <c r="N1315" s="12">
        <f>IF($A1315="","",IF($G1315="","",IF($M1315="Oui","Litige",IF($J1315&lt;=0,"Payé",IF($I1315&gt;0,"Partiel",IF(Listes!$B$3&gt;$G1315,"En retard","À échoir"))))))</f>
        <v/>
      </c>
      <c r="O1315" s="11">
        <f>IF($A1315="","",IF(OR($G1315="", $J1315&lt;=0),0,MAX(0,Listes!$B$3-$G1315)))</f>
        <v/>
      </c>
      <c r="P1315" s="12">
        <f>IF($A1315="","",IF($J1315&lt;=0,"Payé",IF($M1315="Oui","Litige",IF($O1315=0,"À échoir",IF($O1315&lt;=30,"0-30",IF($O1315&lt;=60,"31-60",IF($O1315&lt;=90,"61-90","90+")))))))</f>
        <v/>
      </c>
    </row>
    <row r="1316">
      <c r="A1316" s="6" t="n"/>
      <c r="B1316" s="6" t="n"/>
      <c r="C1316" s="6" t="n"/>
      <c r="D1316" s="6" t="n"/>
      <c r="E1316" s="6" t="n"/>
      <c r="F1316" s="7" t="n"/>
      <c r="G1316" s="7" t="n"/>
      <c r="H1316" s="8" t="n"/>
      <c r="I1316" s="9">
        <f>IF($A1316="","",SUMIFS(Ventes_Encaissements!$D$6:$D$3005,Ventes_Encaissements!$B$6:$B$3005,$A1316))</f>
        <v/>
      </c>
      <c r="J1316" s="9">
        <f>IF($A1316="","",$H1316-$I1316)</f>
        <v/>
      </c>
      <c r="K1316" s="10">
        <f>IF($A1316="","",IF($I1316=0,"",_xludf.AGGREGATE(14,6,Ventes_Encaissements!$C$6:$C$3005/(Ventes_Encaissements!$B$6:$B$3005=$A1316),1)))</f>
        <v/>
      </c>
      <c r="L1316" s="11">
        <f>IF($A1316="","",COUNTIFS(Ventes_Detail!$B$6:$B$3005,$A1316))</f>
        <v/>
      </c>
      <c r="M1316" s="12" t="n"/>
      <c r="N1316" s="12">
        <f>IF($A1316="","",IF($G1316="","",IF($M1316="Oui","Litige",IF($J1316&lt;=0,"Payé",IF($I1316&gt;0,"Partiel",IF(Listes!$B$3&gt;$G1316,"En retard","À échoir"))))))</f>
        <v/>
      </c>
      <c r="O1316" s="11">
        <f>IF($A1316="","",IF(OR($G1316="", $J1316&lt;=0),0,MAX(0,Listes!$B$3-$G1316)))</f>
        <v/>
      </c>
      <c r="P1316" s="12">
        <f>IF($A1316="","",IF($J1316&lt;=0,"Payé",IF($M1316="Oui","Litige",IF($O1316=0,"À échoir",IF($O1316&lt;=30,"0-30",IF($O1316&lt;=60,"31-60",IF($O1316&lt;=90,"61-90","90+")))))))</f>
        <v/>
      </c>
    </row>
    <row r="1317">
      <c r="A1317" s="6" t="n"/>
      <c r="B1317" s="6" t="n"/>
      <c r="C1317" s="6" t="n"/>
      <c r="D1317" s="6" t="n"/>
      <c r="E1317" s="6" t="n"/>
      <c r="F1317" s="7" t="n"/>
      <c r="G1317" s="7" t="n"/>
      <c r="H1317" s="8" t="n"/>
      <c r="I1317" s="9">
        <f>IF($A1317="","",SUMIFS(Ventes_Encaissements!$D$6:$D$3005,Ventes_Encaissements!$B$6:$B$3005,$A1317))</f>
        <v/>
      </c>
      <c r="J1317" s="9">
        <f>IF($A1317="","",$H1317-$I1317)</f>
        <v/>
      </c>
      <c r="K1317" s="10">
        <f>IF($A1317="","",IF($I1317=0,"",_xludf.AGGREGATE(14,6,Ventes_Encaissements!$C$6:$C$3005/(Ventes_Encaissements!$B$6:$B$3005=$A1317),1)))</f>
        <v/>
      </c>
      <c r="L1317" s="11">
        <f>IF($A1317="","",COUNTIFS(Ventes_Detail!$B$6:$B$3005,$A1317))</f>
        <v/>
      </c>
      <c r="M1317" s="12" t="n"/>
      <c r="N1317" s="12">
        <f>IF($A1317="","",IF($G1317="","",IF($M1317="Oui","Litige",IF($J1317&lt;=0,"Payé",IF($I1317&gt;0,"Partiel",IF(Listes!$B$3&gt;$G1317,"En retard","À échoir"))))))</f>
        <v/>
      </c>
      <c r="O1317" s="11">
        <f>IF($A1317="","",IF(OR($G1317="", $J1317&lt;=0),0,MAX(0,Listes!$B$3-$G1317)))</f>
        <v/>
      </c>
      <c r="P1317" s="12">
        <f>IF($A1317="","",IF($J1317&lt;=0,"Payé",IF($M1317="Oui","Litige",IF($O1317=0,"À échoir",IF($O1317&lt;=30,"0-30",IF($O1317&lt;=60,"31-60",IF($O1317&lt;=90,"61-90","90+")))))))</f>
        <v/>
      </c>
    </row>
    <row r="1318">
      <c r="A1318" s="6" t="n"/>
      <c r="B1318" s="6" t="n"/>
      <c r="C1318" s="6" t="n"/>
      <c r="D1318" s="6" t="n"/>
      <c r="E1318" s="6" t="n"/>
      <c r="F1318" s="7" t="n"/>
      <c r="G1318" s="7" t="n"/>
      <c r="H1318" s="8" t="n"/>
      <c r="I1318" s="9">
        <f>IF($A1318="","",SUMIFS(Ventes_Encaissements!$D$6:$D$3005,Ventes_Encaissements!$B$6:$B$3005,$A1318))</f>
        <v/>
      </c>
      <c r="J1318" s="9">
        <f>IF($A1318="","",$H1318-$I1318)</f>
        <v/>
      </c>
      <c r="K1318" s="10">
        <f>IF($A1318="","",IF($I1318=0,"",_xludf.AGGREGATE(14,6,Ventes_Encaissements!$C$6:$C$3005/(Ventes_Encaissements!$B$6:$B$3005=$A1318),1)))</f>
        <v/>
      </c>
      <c r="L1318" s="11">
        <f>IF($A1318="","",COUNTIFS(Ventes_Detail!$B$6:$B$3005,$A1318))</f>
        <v/>
      </c>
      <c r="M1318" s="12" t="n"/>
      <c r="N1318" s="12">
        <f>IF($A1318="","",IF($G1318="","",IF($M1318="Oui","Litige",IF($J1318&lt;=0,"Payé",IF($I1318&gt;0,"Partiel",IF(Listes!$B$3&gt;$G1318,"En retard","À échoir"))))))</f>
        <v/>
      </c>
      <c r="O1318" s="11">
        <f>IF($A1318="","",IF(OR($G1318="", $J1318&lt;=0),0,MAX(0,Listes!$B$3-$G1318)))</f>
        <v/>
      </c>
      <c r="P1318" s="12">
        <f>IF($A1318="","",IF($J1318&lt;=0,"Payé",IF($M1318="Oui","Litige",IF($O1318=0,"À échoir",IF($O1318&lt;=30,"0-30",IF($O1318&lt;=60,"31-60",IF($O1318&lt;=90,"61-90","90+")))))))</f>
        <v/>
      </c>
    </row>
    <row r="1319">
      <c r="A1319" s="6" t="n"/>
      <c r="B1319" s="6" t="n"/>
      <c r="C1319" s="6" t="n"/>
      <c r="D1319" s="6" t="n"/>
      <c r="E1319" s="6" t="n"/>
      <c r="F1319" s="7" t="n"/>
      <c r="G1319" s="7" t="n"/>
      <c r="H1319" s="8" t="n"/>
      <c r="I1319" s="9">
        <f>IF($A1319="","",SUMIFS(Ventes_Encaissements!$D$6:$D$3005,Ventes_Encaissements!$B$6:$B$3005,$A1319))</f>
        <v/>
      </c>
      <c r="J1319" s="9">
        <f>IF($A1319="","",$H1319-$I1319)</f>
        <v/>
      </c>
      <c r="K1319" s="10">
        <f>IF($A1319="","",IF($I1319=0,"",_xludf.AGGREGATE(14,6,Ventes_Encaissements!$C$6:$C$3005/(Ventes_Encaissements!$B$6:$B$3005=$A1319),1)))</f>
        <v/>
      </c>
      <c r="L1319" s="11">
        <f>IF($A1319="","",COUNTIFS(Ventes_Detail!$B$6:$B$3005,$A1319))</f>
        <v/>
      </c>
      <c r="M1319" s="12" t="n"/>
      <c r="N1319" s="12">
        <f>IF($A1319="","",IF($G1319="","",IF($M1319="Oui","Litige",IF($J1319&lt;=0,"Payé",IF($I1319&gt;0,"Partiel",IF(Listes!$B$3&gt;$G1319,"En retard","À échoir"))))))</f>
        <v/>
      </c>
      <c r="O1319" s="11">
        <f>IF($A1319="","",IF(OR($G1319="", $J1319&lt;=0),0,MAX(0,Listes!$B$3-$G1319)))</f>
        <v/>
      </c>
      <c r="P1319" s="12">
        <f>IF($A1319="","",IF($J1319&lt;=0,"Payé",IF($M1319="Oui","Litige",IF($O1319=0,"À échoir",IF($O1319&lt;=30,"0-30",IF($O1319&lt;=60,"31-60",IF($O1319&lt;=90,"61-90","90+")))))))</f>
        <v/>
      </c>
    </row>
    <row r="1320">
      <c r="A1320" s="6" t="n"/>
      <c r="B1320" s="6" t="n"/>
      <c r="C1320" s="6" t="n"/>
      <c r="D1320" s="6" t="n"/>
      <c r="E1320" s="6" t="n"/>
      <c r="F1320" s="7" t="n"/>
      <c r="G1320" s="7" t="n"/>
      <c r="H1320" s="8" t="n"/>
      <c r="I1320" s="9">
        <f>IF($A1320="","",SUMIFS(Ventes_Encaissements!$D$6:$D$3005,Ventes_Encaissements!$B$6:$B$3005,$A1320))</f>
        <v/>
      </c>
      <c r="J1320" s="9">
        <f>IF($A1320="","",$H1320-$I1320)</f>
        <v/>
      </c>
      <c r="K1320" s="10">
        <f>IF($A1320="","",IF($I1320=0,"",_xludf.AGGREGATE(14,6,Ventes_Encaissements!$C$6:$C$3005/(Ventes_Encaissements!$B$6:$B$3005=$A1320),1)))</f>
        <v/>
      </c>
      <c r="L1320" s="11">
        <f>IF($A1320="","",COUNTIFS(Ventes_Detail!$B$6:$B$3005,$A1320))</f>
        <v/>
      </c>
      <c r="M1320" s="12" t="n"/>
      <c r="N1320" s="12">
        <f>IF($A1320="","",IF($G1320="","",IF($M1320="Oui","Litige",IF($J1320&lt;=0,"Payé",IF($I1320&gt;0,"Partiel",IF(Listes!$B$3&gt;$G1320,"En retard","À échoir"))))))</f>
        <v/>
      </c>
      <c r="O1320" s="11">
        <f>IF($A1320="","",IF(OR($G1320="", $J1320&lt;=0),0,MAX(0,Listes!$B$3-$G1320)))</f>
        <v/>
      </c>
      <c r="P1320" s="12">
        <f>IF($A1320="","",IF($J1320&lt;=0,"Payé",IF($M1320="Oui","Litige",IF($O1320=0,"À échoir",IF($O1320&lt;=30,"0-30",IF($O1320&lt;=60,"31-60",IF($O1320&lt;=90,"61-90","90+")))))))</f>
        <v/>
      </c>
    </row>
    <row r="1321">
      <c r="A1321" s="6" t="n"/>
      <c r="B1321" s="6" t="n"/>
      <c r="C1321" s="6" t="n"/>
      <c r="D1321" s="6" t="n"/>
      <c r="E1321" s="6" t="n"/>
      <c r="F1321" s="7" t="n"/>
      <c r="G1321" s="7" t="n"/>
      <c r="H1321" s="8" t="n"/>
      <c r="I1321" s="9">
        <f>IF($A1321="","",SUMIFS(Ventes_Encaissements!$D$6:$D$3005,Ventes_Encaissements!$B$6:$B$3005,$A1321))</f>
        <v/>
      </c>
      <c r="J1321" s="9">
        <f>IF($A1321="","",$H1321-$I1321)</f>
        <v/>
      </c>
      <c r="K1321" s="10">
        <f>IF($A1321="","",IF($I1321=0,"",_xludf.AGGREGATE(14,6,Ventes_Encaissements!$C$6:$C$3005/(Ventes_Encaissements!$B$6:$B$3005=$A1321),1)))</f>
        <v/>
      </c>
      <c r="L1321" s="11">
        <f>IF($A1321="","",COUNTIFS(Ventes_Detail!$B$6:$B$3005,$A1321))</f>
        <v/>
      </c>
      <c r="M1321" s="12" t="n"/>
      <c r="N1321" s="12">
        <f>IF($A1321="","",IF($G1321="","",IF($M1321="Oui","Litige",IF($J1321&lt;=0,"Payé",IF($I1321&gt;0,"Partiel",IF(Listes!$B$3&gt;$G1321,"En retard","À échoir"))))))</f>
        <v/>
      </c>
      <c r="O1321" s="11">
        <f>IF($A1321="","",IF(OR($G1321="", $J1321&lt;=0),0,MAX(0,Listes!$B$3-$G1321)))</f>
        <v/>
      </c>
      <c r="P1321" s="12">
        <f>IF($A1321="","",IF($J1321&lt;=0,"Payé",IF($M1321="Oui","Litige",IF($O1321=0,"À échoir",IF($O1321&lt;=30,"0-30",IF($O1321&lt;=60,"31-60",IF($O1321&lt;=90,"61-90","90+")))))))</f>
        <v/>
      </c>
    </row>
    <row r="1322">
      <c r="A1322" s="6" t="n"/>
      <c r="B1322" s="6" t="n"/>
      <c r="C1322" s="6" t="n"/>
      <c r="D1322" s="6" t="n"/>
      <c r="E1322" s="6" t="n"/>
      <c r="F1322" s="7" t="n"/>
      <c r="G1322" s="7" t="n"/>
      <c r="H1322" s="8" t="n"/>
      <c r="I1322" s="9">
        <f>IF($A1322="","",SUMIFS(Ventes_Encaissements!$D$6:$D$3005,Ventes_Encaissements!$B$6:$B$3005,$A1322))</f>
        <v/>
      </c>
      <c r="J1322" s="9">
        <f>IF($A1322="","",$H1322-$I1322)</f>
        <v/>
      </c>
      <c r="K1322" s="10">
        <f>IF($A1322="","",IF($I1322=0,"",_xludf.AGGREGATE(14,6,Ventes_Encaissements!$C$6:$C$3005/(Ventes_Encaissements!$B$6:$B$3005=$A1322),1)))</f>
        <v/>
      </c>
      <c r="L1322" s="11">
        <f>IF($A1322="","",COUNTIFS(Ventes_Detail!$B$6:$B$3005,$A1322))</f>
        <v/>
      </c>
      <c r="M1322" s="12" t="n"/>
      <c r="N1322" s="12">
        <f>IF($A1322="","",IF($G1322="","",IF($M1322="Oui","Litige",IF($J1322&lt;=0,"Payé",IF($I1322&gt;0,"Partiel",IF(Listes!$B$3&gt;$G1322,"En retard","À échoir"))))))</f>
        <v/>
      </c>
      <c r="O1322" s="11">
        <f>IF($A1322="","",IF(OR($G1322="", $J1322&lt;=0),0,MAX(0,Listes!$B$3-$G1322)))</f>
        <v/>
      </c>
      <c r="P1322" s="12">
        <f>IF($A1322="","",IF($J1322&lt;=0,"Payé",IF($M1322="Oui","Litige",IF($O1322=0,"À échoir",IF($O1322&lt;=30,"0-30",IF($O1322&lt;=60,"31-60",IF($O1322&lt;=90,"61-90","90+")))))))</f>
        <v/>
      </c>
    </row>
    <row r="1323">
      <c r="A1323" s="6" t="n"/>
      <c r="B1323" s="6" t="n"/>
      <c r="C1323" s="6" t="n"/>
      <c r="D1323" s="6" t="n"/>
      <c r="E1323" s="6" t="n"/>
      <c r="F1323" s="7" t="n"/>
      <c r="G1323" s="7" t="n"/>
      <c r="H1323" s="8" t="n"/>
      <c r="I1323" s="9">
        <f>IF($A1323="","",SUMIFS(Ventes_Encaissements!$D$6:$D$3005,Ventes_Encaissements!$B$6:$B$3005,$A1323))</f>
        <v/>
      </c>
      <c r="J1323" s="9">
        <f>IF($A1323="","",$H1323-$I1323)</f>
        <v/>
      </c>
      <c r="K1323" s="10">
        <f>IF($A1323="","",IF($I1323=0,"",_xludf.AGGREGATE(14,6,Ventes_Encaissements!$C$6:$C$3005/(Ventes_Encaissements!$B$6:$B$3005=$A1323),1)))</f>
        <v/>
      </c>
      <c r="L1323" s="11">
        <f>IF($A1323="","",COUNTIFS(Ventes_Detail!$B$6:$B$3005,$A1323))</f>
        <v/>
      </c>
      <c r="M1323" s="12" t="n"/>
      <c r="N1323" s="12">
        <f>IF($A1323="","",IF($G1323="","",IF($M1323="Oui","Litige",IF($J1323&lt;=0,"Payé",IF($I1323&gt;0,"Partiel",IF(Listes!$B$3&gt;$G1323,"En retard","À échoir"))))))</f>
        <v/>
      </c>
      <c r="O1323" s="11">
        <f>IF($A1323="","",IF(OR($G1323="", $J1323&lt;=0),0,MAX(0,Listes!$B$3-$G1323)))</f>
        <v/>
      </c>
      <c r="P1323" s="12">
        <f>IF($A1323="","",IF($J1323&lt;=0,"Payé",IF($M1323="Oui","Litige",IF($O1323=0,"À échoir",IF($O1323&lt;=30,"0-30",IF($O1323&lt;=60,"31-60",IF($O1323&lt;=90,"61-90","90+")))))))</f>
        <v/>
      </c>
    </row>
    <row r="1324">
      <c r="A1324" s="6" t="n"/>
      <c r="B1324" s="6" t="n"/>
      <c r="C1324" s="6" t="n"/>
      <c r="D1324" s="6" t="n"/>
      <c r="E1324" s="6" t="n"/>
      <c r="F1324" s="7" t="n"/>
      <c r="G1324" s="7" t="n"/>
      <c r="H1324" s="8" t="n"/>
      <c r="I1324" s="9">
        <f>IF($A1324="","",SUMIFS(Ventes_Encaissements!$D$6:$D$3005,Ventes_Encaissements!$B$6:$B$3005,$A1324))</f>
        <v/>
      </c>
      <c r="J1324" s="9">
        <f>IF($A1324="","",$H1324-$I1324)</f>
        <v/>
      </c>
      <c r="K1324" s="10">
        <f>IF($A1324="","",IF($I1324=0,"",_xludf.AGGREGATE(14,6,Ventes_Encaissements!$C$6:$C$3005/(Ventes_Encaissements!$B$6:$B$3005=$A1324),1)))</f>
        <v/>
      </c>
      <c r="L1324" s="11">
        <f>IF($A1324="","",COUNTIFS(Ventes_Detail!$B$6:$B$3005,$A1324))</f>
        <v/>
      </c>
      <c r="M1324" s="12" t="n"/>
      <c r="N1324" s="12">
        <f>IF($A1324="","",IF($G1324="","",IF($M1324="Oui","Litige",IF($J1324&lt;=0,"Payé",IF($I1324&gt;0,"Partiel",IF(Listes!$B$3&gt;$G1324,"En retard","À échoir"))))))</f>
        <v/>
      </c>
      <c r="O1324" s="11">
        <f>IF($A1324="","",IF(OR($G1324="", $J1324&lt;=0),0,MAX(0,Listes!$B$3-$G1324)))</f>
        <v/>
      </c>
      <c r="P1324" s="12">
        <f>IF($A1324="","",IF($J1324&lt;=0,"Payé",IF($M1324="Oui","Litige",IF($O1324=0,"À échoir",IF($O1324&lt;=30,"0-30",IF($O1324&lt;=60,"31-60",IF($O1324&lt;=90,"61-90","90+")))))))</f>
        <v/>
      </c>
    </row>
    <row r="1325">
      <c r="A1325" s="6" t="n"/>
      <c r="B1325" s="6" t="n"/>
      <c r="C1325" s="6" t="n"/>
      <c r="D1325" s="6" t="n"/>
      <c r="E1325" s="6" t="n"/>
      <c r="F1325" s="7" t="n"/>
      <c r="G1325" s="7" t="n"/>
      <c r="H1325" s="8" t="n"/>
      <c r="I1325" s="9">
        <f>IF($A1325="","",SUMIFS(Ventes_Encaissements!$D$6:$D$3005,Ventes_Encaissements!$B$6:$B$3005,$A1325))</f>
        <v/>
      </c>
      <c r="J1325" s="9">
        <f>IF($A1325="","",$H1325-$I1325)</f>
        <v/>
      </c>
      <c r="K1325" s="10">
        <f>IF($A1325="","",IF($I1325=0,"",_xludf.AGGREGATE(14,6,Ventes_Encaissements!$C$6:$C$3005/(Ventes_Encaissements!$B$6:$B$3005=$A1325),1)))</f>
        <v/>
      </c>
      <c r="L1325" s="11">
        <f>IF($A1325="","",COUNTIFS(Ventes_Detail!$B$6:$B$3005,$A1325))</f>
        <v/>
      </c>
      <c r="M1325" s="12" t="n"/>
      <c r="N1325" s="12">
        <f>IF($A1325="","",IF($G1325="","",IF($M1325="Oui","Litige",IF($J1325&lt;=0,"Payé",IF($I1325&gt;0,"Partiel",IF(Listes!$B$3&gt;$G1325,"En retard","À échoir"))))))</f>
        <v/>
      </c>
      <c r="O1325" s="11">
        <f>IF($A1325="","",IF(OR($G1325="", $J1325&lt;=0),0,MAX(0,Listes!$B$3-$G1325)))</f>
        <v/>
      </c>
      <c r="P1325" s="12">
        <f>IF($A1325="","",IF($J1325&lt;=0,"Payé",IF($M1325="Oui","Litige",IF($O1325=0,"À échoir",IF($O1325&lt;=30,"0-30",IF($O1325&lt;=60,"31-60",IF($O1325&lt;=90,"61-90","90+")))))))</f>
        <v/>
      </c>
    </row>
    <row r="1326">
      <c r="A1326" s="6" t="n"/>
      <c r="B1326" s="6" t="n"/>
      <c r="C1326" s="6" t="n"/>
      <c r="D1326" s="6" t="n"/>
      <c r="E1326" s="6" t="n"/>
      <c r="F1326" s="7" t="n"/>
      <c r="G1326" s="7" t="n"/>
      <c r="H1326" s="8" t="n"/>
      <c r="I1326" s="9">
        <f>IF($A1326="","",SUMIFS(Ventes_Encaissements!$D$6:$D$3005,Ventes_Encaissements!$B$6:$B$3005,$A1326))</f>
        <v/>
      </c>
      <c r="J1326" s="9">
        <f>IF($A1326="","",$H1326-$I1326)</f>
        <v/>
      </c>
      <c r="K1326" s="10">
        <f>IF($A1326="","",IF($I1326=0,"",_xludf.AGGREGATE(14,6,Ventes_Encaissements!$C$6:$C$3005/(Ventes_Encaissements!$B$6:$B$3005=$A1326),1)))</f>
        <v/>
      </c>
      <c r="L1326" s="11">
        <f>IF($A1326="","",COUNTIFS(Ventes_Detail!$B$6:$B$3005,$A1326))</f>
        <v/>
      </c>
      <c r="M1326" s="12" t="n"/>
      <c r="N1326" s="12">
        <f>IF($A1326="","",IF($G1326="","",IF($M1326="Oui","Litige",IF($J1326&lt;=0,"Payé",IF($I1326&gt;0,"Partiel",IF(Listes!$B$3&gt;$G1326,"En retard","À échoir"))))))</f>
        <v/>
      </c>
      <c r="O1326" s="11">
        <f>IF($A1326="","",IF(OR($G1326="", $J1326&lt;=0),0,MAX(0,Listes!$B$3-$G1326)))</f>
        <v/>
      </c>
      <c r="P1326" s="12">
        <f>IF($A1326="","",IF($J1326&lt;=0,"Payé",IF($M1326="Oui","Litige",IF($O1326=0,"À échoir",IF($O1326&lt;=30,"0-30",IF($O1326&lt;=60,"31-60",IF($O1326&lt;=90,"61-90","90+")))))))</f>
        <v/>
      </c>
    </row>
    <row r="1327">
      <c r="A1327" s="6" t="n"/>
      <c r="B1327" s="6" t="n"/>
      <c r="C1327" s="6" t="n"/>
      <c r="D1327" s="6" t="n"/>
      <c r="E1327" s="6" t="n"/>
      <c r="F1327" s="7" t="n"/>
      <c r="G1327" s="7" t="n"/>
      <c r="H1327" s="8" t="n"/>
      <c r="I1327" s="9">
        <f>IF($A1327="","",SUMIFS(Ventes_Encaissements!$D$6:$D$3005,Ventes_Encaissements!$B$6:$B$3005,$A1327))</f>
        <v/>
      </c>
      <c r="J1327" s="9">
        <f>IF($A1327="","",$H1327-$I1327)</f>
        <v/>
      </c>
      <c r="K1327" s="10">
        <f>IF($A1327="","",IF($I1327=0,"",_xludf.AGGREGATE(14,6,Ventes_Encaissements!$C$6:$C$3005/(Ventes_Encaissements!$B$6:$B$3005=$A1327),1)))</f>
        <v/>
      </c>
      <c r="L1327" s="11">
        <f>IF($A1327="","",COUNTIFS(Ventes_Detail!$B$6:$B$3005,$A1327))</f>
        <v/>
      </c>
      <c r="M1327" s="12" t="n"/>
      <c r="N1327" s="12">
        <f>IF($A1327="","",IF($G1327="","",IF($M1327="Oui","Litige",IF($J1327&lt;=0,"Payé",IF($I1327&gt;0,"Partiel",IF(Listes!$B$3&gt;$G1327,"En retard","À échoir"))))))</f>
        <v/>
      </c>
      <c r="O1327" s="11">
        <f>IF($A1327="","",IF(OR($G1327="", $J1327&lt;=0),0,MAX(0,Listes!$B$3-$G1327)))</f>
        <v/>
      </c>
      <c r="P1327" s="12">
        <f>IF($A1327="","",IF($J1327&lt;=0,"Payé",IF($M1327="Oui","Litige",IF($O1327=0,"À échoir",IF($O1327&lt;=30,"0-30",IF($O1327&lt;=60,"31-60",IF($O1327&lt;=90,"61-90","90+")))))))</f>
        <v/>
      </c>
    </row>
    <row r="1328">
      <c r="A1328" s="6" t="n"/>
      <c r="B1328" s="6" t="n"/>
      <c r="C1328" s="6" t="n"/>
      <c r="D1328" s="6" t="n"/>
      <c r="E1328" s="6" t="n"/>
      <c r="F1328" s="7" t="n"/>
      <c r="G1328" s="7" t="n"/>
      <c r="H1328" s="8" t="n"/>
      <c r="I1328" s="9">
        <f>IF($A1328="","",SUMIFS(Ventes_Encaissements!$D$6:$D$3005,Ventes_Encaissements!$B$6:$B$3005,$A1328))</f>
        <v/>
      </c>
      <c r="J1328" s="9">
        <f>IF($A1328="","",$H1328-$I1328)</f>
        <v/>
      </c>
      <c r="K1328" s="10">
        <f>IF($A1328="","",IF($I1328=0,"",_xludf.AGGREGATE(14,6,Ventes_Encaissements!$C$6:$C$3005/(Ventes_Encaissements!$B$6:$B$3005=$A1328),1)))</f>
        <v/>
      </c>
      <c r="L1328" s="11">
        <f>IF($A1328="","",COUNTIFS(Ventes_Detail!$B$6:$B$3005,$A1328))</f>
        <v/>
      </c>
      <c r="M1328" s="12" t="n"/>
      <c r="N1328" s="12">
        <f>IF($A1328="","",IF($G1328="","",IF($M1328="Oui","Litige",IF($J1328&lt;=0,"Payé",IF($I1328&gt;0,"Partiel",IF(Listes!$B$3&gt;$G1328,"En retard","À échoir"))))))</f>
        <v/>
      </c>
      <c r="O1328" s="11">
        <f>IF($A1328="","",IF(OR($G1328="", $J1328&lt;=0),0,MAX(0,Listes!$B$3-$G1328)))</f>
        <v/>
      </c>
      <c r="P1328" s="12">
        <f>IF($A1328="","",IF($J1328&lt;=0,"Payé",IF($M1328="Oui","Litige",IF($O1328=0,"À échoir",IF($O1328&lt;=30,"0-30",IF($O1328&lt;=60,"31-60",IF($O1328&lt;=90,"61-90","90+")))))))</f>
        <v/>
      </c>
    </row>
    <row r="1329">
      <c r="A1329" s="6" t="n"/>
      <c r="B1329" s="6" t="n"/>
      <c r="C1329" s="6" t="n"/>
      <c r="D1329" s="6" t="n"/>
      <c r="E1329" s="6" t="n"/>
      <c r="F1329" s="7" t="n"/>
      <c r="G1329" s="7" t="n"/>
      <c r="H1329" s="8" t="n"/>
      <c r="I1329" s="9">
        <f>IF($A1329="","",SUMIFS(Ventes_Encaissements!$D$6:$D$3005,Ventes_Encaissements!$B$6:$B$3005,$A1329))</f>
        <v/>
      </c>
      <c r="J1329" s="9">
        <f>IF($A1329="","",$H1329-$I1329)</f>
        <v/>
      </c>
      <c r="K1329" s="10">
        <f>IF($A1329="","",IF($I1329=0,"",_xludf.AGGREGATE(14,6,Ventes_Encaissements!$C$6:$C$3005/(Ventes_Encaissements!$B$6:$B$3005=$A1329),1)))</f>
        <v/>
      </c>
      <c r="L1329" s="11">
        <f>IF($A1329="","",COUNTIFS(Ventes_Detail!$B$6:$B$3005,$A1329))</f>
        <v/>
      </c>
      <c r="M1329" s="12" t="n"/>
      <c r="N1329" s="12">
        <f>IF($A1329="","",IF($G1329="","",IF($M1329="Oui","Litige",IF($J1329&lt;=0,"Payé",IF($I1329&gt;0,"Partiel",IF(Listes!$B$3&gt;$G1329,"En retard","À échoir"))))))</f>
        <v/>
      </c>
      <c r="O1329" s="11">
        <f>IF($A1329="","",IF(OR($G1329="", $J1329&lt;=0),0,MAX(0,Listes!$B$3-$G1329)))</f>
        <v/>
      </c>
      <c r="P1329" s="12">
        <f>IF($A1329="","",IF($J1329&lt;=0,"Payé",IF($M1329="Oui","Litige",IF($O1329=0,"À échoir",IF($O1329&lt;=30,"0-30",IF($O1329&lt;=60,"31-60",IF($O1329&lt;=90,"61-90","90+")))))))</f>
        <v/>
      </c>
    </row>
    <row r="1330">
      <c r="A1330" s="6" t="n"/>
      <c r="B1330" s="6" t="n"/>
      <c r="C1330" s="6" t="n"/>
      <c r="D1330" s="6" t="n"/>
      <c r="E1330" s="6" t="n"/>
      <c r="F1330" s="7" t="n"/>
      <c r="G1330" s="7" t="n"/>
      <c r="H1330" s="8" t="n"/>
      <c r="I1330" s="9">
        <f>IF($A1330="","",SUMIFS(Ventes_Encaissements!$D$6:$D$3005,Ventes_Encaissements!$B$6:$B$3005,$A1330))</f>
        <v/>
      </c>
      <c r="J1330" s="9">
        <f>IF($A1330="","",$H1330-$I1330)</f>
        <v/>
      </c>
      <c r="K1330" s="10">
        <f>IF($A1330="","",IF($I1330=0,"",_xludf.AGGREGATE(14,6,Ventes_Encaissements!$C$6:$C$3005/(Ventes_Encaissements!$B$6:$B$3005=$A1330),1)))</f>
        <v/>
      </c>
      <c r="L1330" s="11">
        <f>IF($A1330="","",COUNTIFS(Ventes_Detail!$B$6:$B$3005,$A1330))</f>
        <v/>
      </c>
      <c r="M1330" s="12" t="n"/>
      <c r="N1330" s="12">
        <f>IF($A1330="","",IF($G1330="","",IF($M1330="Oui","Litige",IF($J1330&lt;=0,"Payé",IF($I1330&gt;0,"Partiel",IF(Listes!$B$3&gt;$G1330,"En retard","À échoir"))))))</f>
        <v/>
      </c>
      <c r="O1330" s="11">
        <f>IF($A1330="","",IF(OR($G1330="", $J1330&lt;=0),0,MAX(0,Listes!$B$3-$G1330)))</f>
        <v/>
      </c>
      <c r="P1330" s="12">
        <f>IF($A1330="","",IF($J1330&lt;=0,"Payé",IF($M1330="Oui","Litige",IF($O1330=0,"À échoir",IF($O1330&lt;=30,"0-30",IF($O1330&lt;=60,"31-60",IF($O1330&lt;=90,"61-90","90+")))))))</f>
        <v/>
      </c>
    </row>
    <row r="1331">
      <c r="A1331" s="6" t="n"/>
      <c r="B1331" s="6" t="n"/>
      <c r="C1331" s="6" t="n"/>
      <c r="D1331" s="6" t="n"/>
      <c r="E1331" s="6" t="n"/>
      <c r="F1331" s="7" t="n"/>
      <c r="G1331" s="7" t="n"/>
      <c r="H1331" s="8" t="n"/>
      <c r="I1331" s="9">
        <f>IF($A1331="","",SUMIFS(Ventes_Encaissements!$D$6:$D$3005,Ventes_Encaissements!$B$6:$B$3005,$A1331))</f>
        <v/>
      </c>
      <c r="J1331" s="9">
        <f>IF($A1331="","",$H1331-$I1331)</f>
        <v/>
      </c>
      <c r="K1331" s="10">
        <f>IF($A1331="","",IF($I1331=0,"",_xludf.AGGREGATE(14,6,Ventes_Encaissements!$C$6:$C$3005/(Ventes_Encaissements!$B$6:$B$3005=$A1331),1)))</f>
        <v/>
      </c>
      <c r="L1331" s="11">
        <f>IF($A1331="","",COUNTIFS(Ventes_Detail!$B$6:$B$3005,$A1331))</f>
        <v/>
      </c>
      <c r="M1331" s="12" t="n"/>
      <c r="N1331" s="12">
        <f>IF($A1331="","",IF($G1331="","",IF($M1331="Oui","Litige",IF($J1331&lt;=0,"Payé",IF($I1331&gt;0,"Partiel",IF(Listes!$B$3&gt;$G1331,"En retard","À échoir"))))))</f>
        <v/>
      </c>
      <c r="O1331" s="11">
        <f>IF($A1331="","",IF(OR($G1331="", $J1331&lt;=0),0,MAX(0,Listes!$B$3-$G1331)))</f>
        <v/>
      </c>
      <c r="P1331" s="12">
        <f>IF($A1331="","",IF($J1331&lt;=0,"Payé",IF($M1331="Oui","Litige",IF($O1331=0,"À échoir",IF($O1331&lt;=30,"0-30",IF($O1331&lt;=60,"31-60",IF($O1331&lt;=90,"61-90","90+")))))))</f>
        <v/>
      </c>
    </row>
    <row r="1332">
      <c r="A1332" s="6" t="n"/>
      <c r="B1332" s="6" t="n"/>
      <c r="C1332" s="6" t="n"/>
      <c r="D1332" s="6" t="n"/>
      <c r="E1332" s="6" t="n"/>
      <c r="F1332" s="7" t="n"/>
      <c r="G1332" s="7" t="n"/>
      <c r="H1332" s="8" t="n"/>
      <c r="I1332" s="9">
        <f>IF($A1332="","",SUMIFS(Ventes_Encaissements!$D$6:$D$3005,Ventes_Encaissements!$B$6:$B$3005,$A1332))</f>
        <v/>
      </c>
      <c r="J1332" s="9">
        <f>IF($A1332="","",$H1332-$I1332)</f>
        <v/>
      </c>
      <c r="K1332" s="10">
        <f>IF($A1332="","",IF($I1332=0,"",_xludf.AGGREGATE(14,6,Ventes_Encaissements!$C$6:$C$3005/(Ventes_Encaissements!$B$6:$B$3005=$A1332),1)))</f>
        <v/>
      </c>
      <c r="L1332" s="11">
        <f>IF($A1332="","",COUNTIFS(Ventes_Detail!$B$6:$B$3005,$A1332))</f>
        <v/>
      </c>
      <c r="M1332" s="12" t="n"/>
      <c r="N1332" s="12">
        <f>IF($A1332="","",IF($G1332="","",IF($M1332="Oui","Litige",IF($J1332&lt;=0,"Payé",IF($I1332&gt;0,"Partiel",IF(Listes!$B$3&gt;$G1332,"En retard","À échoir"))))))</f>
        <v/>
      </c>
      <c r="O1332" s="11">
        <f>IF($A1332="","",IF(OR($G1332="", $J1332&lt;=0),0,MAX(0,Listes!$B$3-$G1332)))</f>
        <v/>
      </c>
      <c r="P1332" s="12">
        <f>IF($A1332="","",IF($J1332&lt;=0,"Payé",IF($M1332="Oui","Litige",IF($O1332=0,"À échoir",IF($O1332&lt;=30,"0-30",IF($O1332&lt;=60,"31-60",IF($O1332&lt;=90,"61-90","90+")))))))</f>
        <v/>
      </c>
    </row>
    <row r="1333">
      <c r="A1333" s="6" t="n"/>
      <c r="B1333" s="6" t="n"/>
      <c r="C1333" s="6" t="n"/>
      <c r="D1333" s="6" t="n"/>
      <c r="E1333" s="6" t="n"/>
      <c r="F1333" s="7" t="n"/>
      <c r="G1333" s="7" t="n"/>
      <c r="H1333" s="8" t="n"/>
      <c r="I1333" s="9">
        <f>IF($A1333="","",SUMIFS(Ventes_Encaissements!$D$6:$D$3005,Ventes_Encaissements!$B$6:$B$3005,$A1333))</f>
        <v/>
      </c>
      <c r="J1333" s="9">
        <f>IF($A1333="","",$H1333-$I1333)</f>
        <v/>
      </c>
      <c r="K1333" s="10">
        <f>IF($A1333="","",IF($I1333=0,"",_xludf.AGGREGATE(14,6,Ventes_Encaissements!$C$6:$C$3005/(Ventes_Encaissements!$B$6:$B$3005=$A1333),1)))</f>
        <v/>
      </c>
      <c r="L1333" s="11">
        <f>IF($A1333="","",COUNTIFS(Ventes_Detail!$B$6:$B$3005,$A1333))</f>
        <v/>
      </c>
      <c r="M1333" s="12" t="n"/>
      <c r="N1333" s="12">
        <f>IF($A1333="","",IF($G1333="","",IF($M1333="Oui","Litige",IF($J1333&lt;=0,"Payé",IF($I1333&gt;0,"Partiel",IF(Listes!$B$3&gt;$G1333,"En retard","À échoir"))))))</f>
        <v/>
      </c>
      <c r="O1333" s="11">
        <f>IF($A1333="","",IF(OR($G1333="", $J1333&lt;=0),0,MAX(0,Listes!$B$3-$G1333)))</f>
        <v/>
      </c>
      <c r="P1333" s="12">
        <f>IF($A1333="","",IF($J1333&lt;=0,"Payé",IF($M1333="Oui","Litige",IF($O1333=0,"À échoir",IF($O1333&lt;=30,"0-30",IF($O1333&lt;=60,"31-60",IF($O1333&lt;=90,"61-90","90+")))))))</f>
        <v/>
      </c>
    </row>
    <row r="1334">
      <c r="A1334" s="6" t="n"/>
      <c r="B1334" s="6" t="n"/>
      <c r="C1334" s="6" t="n"/>
      <c r="D1334" s="6" t="n"/>
      <c r="E1334" s="6" t="n"/>
      <c r="F1334" s="7" t="n"/>
      <c r="G1334" s="7" t="n"/>
      <c r="H1334" s="8" t="n"/>
      <c r="I1334" s="9">
        <f>IF($A1334="","",SUMIFS(Ventes_Encaissements!$D$6:$D$3005,Ventes_Encaissements!$B$6:$B$3005,$A1334))</f>
        <v/>
      </c>
      <c r="J1334" s="9">
        <f>IF($A1334="","",$H1334-$I1334)</f>
        <v/>
      </c>
      <c r="K1334" s="10">
        <f>IF($A1334="","",IF($I1334=0,"",_xludf.AGGREGATE(14,6,Ventes_Encaissements!$C$6:$C$3005/(Ventes_Encaissements!$B$6:$B$3005=$A1334),1)))</f>
        <v/>
      </c>
      <c r="L1334" s="11">
        <f>IF($A1334="","",COUNTIFS(Ventes_Detail!$B$6:$B$3005,$A1334))</f>
        <v/>
      </c>
      <c r="M1334" s="12" t="n"/>
      <c r="N1334" s="12">
        <f>IF($A1334="","",IF($G1334="","",IF($M1334="Oui","Litige",IF($J1334&lt;=0,"Payé",IF($I1334&gt;0,"Partiel",IF(Listes!$B$3&gt;$G1334,"En retard","À échoir"))))))</f>
        <v/>
      </c>
      <c r="O1334" s="11">
        <f>IF($A1334="","",IF(OR($G1334="", $J1334&lt;=0),0,MAX(0,Listes!$B$3-$G1334)))</f>
        <v/>
      </c>
      <c r="P1334" s="12">
        <f>IF($A1334="","",IF($J1334&lt;=0,"Payé",IF($M1334="Oui","Litige",IF($O1334=0,"À échoir",IF($O1334&lt;=30,"0-30",IF($O1334&lt;=60,"31-60",IF($O1334&lt;=90,"61-90","90+")))))))</f>
        <v/>
      </c>
    </row>
    <row r="1335">
      <c r="A1335" s="6" t="n"/>
      <c r="B1335" s="6" t="n"/>
      <c r="C1335" s="6" t="n"/>
      <c r="D1335" s="6" t="n"/>
      <c r="E1335" s="6" t="n"/>
      <c r="F1335" s="7" t="n"/>
      <c r="G1335" s="7" t="n"/>
      <c r="H1335" s="8" t="n"/>
      <c r="I1335" s="9">
        <f>IF($A1335="","",SUMIFS(Ventes_Encaissements!$D$6:$D$3005,Ventes_Encaissements!$B$6:$B$3005,$A1335))</f>
        <v/>
      </c>
      <c r="J1335" s="9">
        <f>IF($A1335="","",$H1335-$I1335)</f>
        <v/>
      </c>
      <c r="K1335" s="10">
        <f>IF($A1335="","",IF($I1335=0,"",_xludf.AGGREGATE(14,6,Ventes_Encaissements!$C$6:$C$3005/(Ventes_Encaissements!$B$6:$B$3005=$A1335),1)))</f>
        <v/>
      </c>
      <c r="L1335" s="11">
        <f>IF($A1335="","",COUNTIFS(Ventes_Detail!$B$6:$B$3005,$A1335))</f>
        <v/>
      </c>
      <c r="M1335" s="12" t="n"/>
      <c r="N1335" s="12">
        <f>IF($A1335="","",IF($G1335="","",IF($M1335="Oui","Litige",IF($J1335&lt;=0,"Payé",IF($I1335&gt;0,"Partiel",IF(Listes!$B$3&gt;$G1335,"En retard","À échoir"))))))</f>
        <v/>
      </c>
      <c r="O1335" s="11">
        <f>IF($A1335="","",IF(OR($G1335="", $J1335&lt;=0),0,MAX(0,Listes!$B$3-$G1335)))</f>
        <v/>
      </c>
      <c r="P1335" s="12">
        <f>IF($A1335="","",IF($J1335&lt;=0,"Payé",IF($M1335="Oui","Litige",IF($O1335=0,"À échoir",IF($O1335&lt;=30,"0-30",IF($O1335&lt;=60,"31-60",IF($O1335&lt;=90,"61-90","90+")))))))</f>
        <v/>
      </c>
    </row>
    <row r="1336">
      <c r="A1336" s="6" t="n"/>
      <c r="B1336" s="6" t="n"/>
      <c r="C1336" s="6" t="n"/>
      <c r="D1336" s="6" t="n"/>
      <c r="E1336" s="6" t="n"/>
      <c r="F1336" s="7" t="n"/>
      <c r="G1336" s="7" t="n"/>
      <c r="H1336" s="8" t="n"/>
      <c r="I1336" s="9">
        <f>IF($A1336="","",SUMIFS(Ventes_Encaissements!$D$6:$D$3005,Ventes_Encaissements!$B$6:$B$3005,$A1336))</f>
        <v/>
      </c>
      <c r="J1336" s="9">
        <f>IF($A1336="","",$H1336-$I1336)</f>
        <v/>
      </c>
      <c r="K1336" s="10">
        <f>IF($A1336="","",IF($I1336=0,"",_xludf.AGGREGATE(14,6,Ventes_Encaissements!$C$6:$C$3005/(Ventes_Encaissements!$B$6:$B$3005=$A1336),1)))</f>
        <v/>
      </c>
      <c r="L1336" s="11">
        <f>IF($A1336="","",COUNTIFS(Ventes_Detail!$B$6:$B$3005,$A1336))</f>
        <v/>
      </c>
      <c r="M1336" s="12" t="n"/>
      <c r="N1336" s="12">
        <f>IF($A1336="","",IF($G1336="","",IF($M1336="Oui","Litige",IF($J1336&lt;=0,"Payé",IF($I1336&gt;0,"Partiel",IF(Listes!$B$3&gt;$G1336,"En retard","À échoir"))))))</f>
        <v/>
      </c>
      <c r="O1336" s="11">
        <f>IF($A1336="","",IF(OR($G1336="", $J1336&lt;=0),0,MAX(0,Listes!$B$3-$G1336)))</f>
        <v/>
      </c>
      <c r="P1336" s="12">
        <f>IF($A1336="","",IF($J1336&lt;=0,"Payé",IF($M1336="Oui","Litige",IF($O1336=0,"À échoir",IF($O1336&lt;=30,"0-30",IF($O1336&lt;=60,"31-60",IF($O1336&lt;=90,"61-90","90+")))))))</f>
        <v/>
      </c>
    </row>
    <row r="1337">
      <c r="A1337" s="6" t="n"/>
      <c r="B1337" s="6" t="n"/>
      <c r="C1337" s="6" t="n"/>
      <c r="D1337" s="6" t="n"/>
      <c r="E1337" s="6" t="n"/>
      <c r="F1337" s="7" t="n"/>
      <c r="G1337" s="7" t="n"/>
      <c r="H1337" s="8" t="n"/>
      <c r="I1337" s="9">
        <f>IF($A1337="","",SUMIFS(Ventes_Encaissements!$D$6:$D$3005,Ventes_Encaissements!$B$6:$B$3005,$A1337))</f>
        <v/>
      </c>
      <c r="J1337" s="9">
        <f>IF($A1337="","",$H1337-$I1337)</f>
        <v/>
      </c>
      <c r="K1337" s="10">
        <f>IF($A1337="","",IF($I1337=0,"",_xludf.AGGREGATE(14,6,Ventes_Encaissements!$C$6:$C$3005/(Ventes_Encaissements!$B$6:$B$3005=$A1337),1)))</f>
        <v/>
      </c>
      <c r="L1337" s="11">
        <f>IF($A1337="","",COUNTIFS(Ventes_Detail!$B$6:$B$3005,$A1337))</f>
        <v/>
      </c>
      <c r="M1337" s="12" t="n"/>
      <c r="N1337" s="12">
        <f>IF($A1337="","",IF($G1337="","",IF($M1337="Oui","Litige",IF($J1337&lt;=0,"Payé",IF($I1337&gt;0,"Partiel",IF(Listes!$B$3&gt;$G1337,"En retard","À échoir"))))))</f>
        <v/>
      </c>
      <c r="O1337" s="11">
        <f>IF($A1337="","",IF(OR($G1337="", $J1337&lt;=0),0,MAX(0,Listes!$B$3-$G1337)))</f>
        <v/>
      </c>
      <c r="P1337" s="12">
        <f>IF($A1337="","",IF($J1337&lt;=0,"Payé",IF($M1337="Oui","Litige",IF($O1337=0,"À échoir",IF($O1337&lt;=30,"0-30",IF($O1337&lt;=60,"31-60",IF($O1337&lt;=90,"61-90","90+")))))))</f>
        <v/>
      </c>
    </row>
    <row r="1338">
      <c r="A1338" s="6" t="n"/>
      <c r="B1338" s="6" t="n"/>
      <c r="C1338" s="6" t="n"/>
      <c r="D1338" s="6" t="n"/>
      <c r="E1338" s="6" t="n"/>
      <c r="F1338" s="7" t="n"/>
      <c r="G1338" s="7" t="n"/>
      <c r="H1338" s="8" t="n"/>
      <c r="I1338" s="9">
        <f>IF($A1338="","",SUMIFS(Ventes_Encaissements!$D$6:$D$3005,Ventes_Encaissements!$B$6:$B$3005,$A1338))</f>
        <v/>
      </c>
      <c r="J1338" s="9">
        <f>IF($A1338="","",$H1338-$I1338)</f>
        <v/>
      </c>
      <c r="K1338" s="10">
        <f>IF($A1338="","",IF($I1338=0,"",_xludf.AGGREGATE(14,6,Ventes_Encaissements!$C$6:$C$3005/(Ventes_Encaissements!$B$6:$B$3005=$A1338),1)))</f>
        <v/>
      </c>
      <c r="L1338" s="11">
        <f>IF($A1338="","",COUNTIFS(Ventes_Detail!$B$6:$B$3005,$A1338))</f>
        <v/>
      </c>
      <c r="M1338" s="12" t="n"/>
      <c r="N1338" s="12">
        <f>IF($A1338="","",IF($G1338="","",IF($M1338="Oui","Litige",IF($J1338&lt;=0,"Payé",IF($I1338&gt;0,"Partiel",IF(Listes!$B$3&gt;$G1338,"En retard","À échoir"))))))</f>
        <v/>
      </c>
      <c r="O1338" s="11">
        <f>IF($A1338="","",IF(OR($G1338="", $J1338&lt;=0),0,MAX(0,Listes!$B$3-$G1338)))</f>
        <v/>
      </c>
      <c r="P1338" s="12">
        <f>IF($A1338="","",IF($J1338&lt;=0,"Payé",IF($M1338="Oui","Litige",IF($O1338=0,"À échoir",IF($O1338&lt;=30,"0-30",IF($O1338&lt;=60,"31-60",IF($O1338&lt;=90,"61-90","90+")))))))</f>
        <v/>
      </c>
    </row>
    <row r="1339">
      <c r="A1339" s="6" t="n"/>
      <c r="B1339" s="6" t="n"/>
      <c r="C1339" s="6" t="n"/>
      <c r="D1339" s="6" t="n"/>
      <c r="E1339" s="6" t="n"/>
      <c r="F1339" s="7" t="n"/>
      <c r="G1339" s="7" t="n"/>
      <c r="H1339" s="8" t="n"/>
      <c r="I1339" s="9">
        <f>IF($A1339="","",SUMIFS(Ventes_Encaissements!$D$6:$D$3005,Ventes_Encaissements!$B$6:$B$3005,$A1339))</f>
        <v/>
      </c>
      <c r="J1339" s="9">
        <f>IF($A1339="","",$H1339-$I1339)</f>
        <v/>
      </c>
      <c r="K1339" s="10">
        <f>IF($A1339="","",IF($I1339=0,"",_xludf.AGGREGATE(14,6,Ventes_Encaissements!$C$6:$C$3005/(Ventes_Encaissements!$B$6:$B$3005=$A1339),1)))</f>
        <v/>
      </c>
      <c r="L1339" s="11">
        <f>IF($A1339="","",COUNTIFS(Ventes_Detail!$B$6:$B$3005,$A1339))</f>
        <v/>
      </c>
      <c r="M1339" s="12" t="n"/>
      <c r="N1339" s="12">
        <f>IF($A1339="","",IF($G1339="","",IF($M1339="Oui","Litige",IF($J1339&lt;=0,"Payé",IF($I1339&gt;0,"Partiel",IF(Listes!$B$3&gt;$G1339,"En retard","À échoir"))))))</f>
        <v/>
      </c>
      <c r="O1339" s="11">
        <f>IF($A1339="","",IF(OR($G1339="", $J1339&lt;=0),0,MAX(0,Listes!$B$3-$G1339)))</f>
        <v/>
      </c>
      <c r="P1339" s="12">
        <f>IF($A1339="","",IF($J1339&lt;=0,"Payé",IF($M1339="Oui","Litige",IF($O1339=0,"À échoir",IF($O1339&lt;=30,"0-30",IF($O1339&lt;=60,"31-60",IF($O1339&lt;=90,"61-90","90+")))))))</f>
        <v/>
      </c>
    </row>
    <row r="1340">
      <c r="A1340" s="6" t="n"/>
      <c r="B1340" s="6" t="n"/>
      <c r="C1340" s="6" t="n"/>
      <c r="D1340" s="6" t="n"/>
      <c r="E1340" s="6" t="n"/>
      <c r="F1340" s="7" t="n"/>
      <c r="G1340" s="7" t="n"/>
      <c r="H1340" s="8" t="n"/>
      <c r="I1340" s="9">
        <f>IF($A1340="","",SUMIFS(Ventes_Encaissements!$D$6:$D$3005,Ventes_Encaissements!$B$6:$B$3005,$A1340))</f>
        <v/>
      </c>
      <c r="J1340" s="9">
        <f>IF($A1340="","",$H1340-$I1340)</f>
        <v/>
      </c>
      <c r="K1340" s="10">
        <f>IF($A1340="","",IF($I1340=0,"",_xludf.AGGREGATE(14,6,Ventes_Encaissements!$C$6:$C$3005/(Ventes_Encaissements!$B$6:$B$3005=$A1340),1)))</f>
        <v/>
      </c>
      <c r="L1340" s="11">
        <f>IF($A1340="","",COUNTIFS(Ventes_Detail!$B$6:$B$3005,$A1340))</f>
        <v/>
      </c>
      <c r="M1340" s="12" t="n"/>
      <c r="N1340" s="12">
        <f>IF($A1340="","",IF($G1340="","",IF($M1340="Oui","Litige",IF($J1340&lt;=0,"Payé",IF($I1340&gt;0,"Partiel",IF(Listes!$B$3&gt;$G1340,"En retard","À échoir"))))))</f>
        <v/>
      </c>
      <c r="O1340" s="11">
        <f>IF($A1340="","",IF(OR($G1340="", $J1340&lt;=0),0,MAX(0,Listes!$B$3-$G1340)))</f>
        <v/>
      </c>
      <c r="P1340" s="12">
        <f>IF($A1340="","",IF($J1340&lt;=0,"Payé",IF($M1340="Oui","Litige",IF($O1340=0,"À échoir",IF($O1340&lt;=30,"0-30",IF($O1340&lt;=60,"31-60",IF($O1340&lt;=90,"61-90","90+")))))))</f>
        <v/>
      </c>
    </row>
    <row r="1341">
      <c r="A1341" s="6" t="n"/>
      <c r="B1341" s="6" t="n"/>
      <c r="C1341" s="6" t="n"/>
      <c r="D1341" s="6" t="n"/>
      <c r="E1341" s="6" t="n"/>
      <c r="F1341" s="7" t="n"/>
      <c r="G1341" s="7" t="n"/>
      <c r="H1341" s="8" t="n"/>
      <c r="I1341" s="9">
        <f>IF($A1341="","",SUMIFS(Ventes_Encaissements!$D$6:$D$3005,Ventes_Encaissements!$B$6:$B$3005,$A1341))</f>
        <v/>
      </c>
      <c r="J1341" s="9">
        <f>IF($A1341="","",$H1341-$I1341)</f>
        <v/>
      </c>
      <c r="K1341" s="10">
        <f>IF($A1341="","",IF($I1341=0,"",_xludf.AGGREGATE(14,6,Ventes_Encaissements!$C$6:$C$3005/(Ventes_Encaissements!$B$6:$B$3005=$A1341),1)))</f>
        <v/>
      </c>
      <c r="L1341" s="11">
        <f>IF($A1341="","",COUNTIFS(Ventes_Detail!$B$6:$B$3005,$A1341))</f>
        <v/>
      </c>
      <c r="M1341" s="12" t="n"/>
      <c r="N1341" s="12">
        <f>IF($A1341="","",IF($G1341="","",IF($M1341="Oui","Litige",IF($J1341&lt;=0,"Payé",IF($I1341&gt;0,"Partiel",IF(Listes!$B$3&gt;$G1341,"En retard","À échoir"))))))</f>
        <v/>
      </c>
      <c r="O1341" s="11">
        <f>IF($A1341="","",IF(OR($G1341="", $J1341&lt;=0),0,MAX(0,Listes!$B$3-$G1341)))</f>
        <v/>
      </c>
      <c r="P1341" s="12">
        <f>IF($A1341="","",IF($J1341&lt;=0,"Payé",IF($M1341="Oui","Litige",IF($O1341=0,"À échoir",IF($O1341&lt;=30,"0-30",IF($O1341&lt;=60,"31-60",IF($O1341&lt;=90,"61-90","90+")))))))</f>
        <v/>
      </c>
    </row>
    <row r="1342">
      <c r="A1342" s="6" t="n"/>
      <c r="B1342" s="6" t="n"/>
      <c r="C1342" s="6" t="n"/>
      <c r="D1342" s="6" t="n"/>
      <c r="E1342" s="6" t="n"/>
      <c r="F1342" s="7" t="n"/>
      <c r="G1342" s="7" t="n"/>
      <c r="H1342" s="8" t="n"/>
      <c r="I1342" s="9">
        <f>IF($A1342="","",SUMIFS(Ventes_Encaissements!$D$6:$D$3005,Ventes_Encaissements!$B$6:$B$3005,$A1342))</f>
        <v/>
      </c>
      <c r="J1342" s="9">
        <f>IF($A1342="","",$H1342-$I1342)</f>
        <v/>
      </c>
      <c r="K1342" s="10">
        <f>IF($A1342="","",IF($I1342=0,"",_xludf.AGGREGATE(14,6,Ventes_Encaissements!$C$6:$C$3005/(Ventes_Encaissements!$B$6:$B$3005=$A1342),1)))</f>
        <v/>
      </c>
      <c r="L1342" s="11">
        <f>IF($A1342="","",COUNTIFS(Ventes_Detail!$B$6:$B$3005,$A1342))</f>
        <v/>
      </c>
      <c r="M1342" s="12" t="n"/>
      <c r="N1342" s="12">
        <f>IF($A1342="","",IF($G1342="","",IF($M1342="Oui","Litige",IF($J1342&lt;=0,"Payé",IF($I1342&gt;0,"Partiel",IF(Listes!$B$3&gt;$G1342,"En retard","À échoir"))))))</f>
        <v/>
      </c>
      <c r="O1342" s="11">
        <f>IF($A1342="","",IF(OR($G1342="", $J1342&lt;=0),0,MAX(0,Listes!$B$3-$G1342)))</f>
        <v/>
      </c>
      <c r="P1342" s="12">
        <f>IF($A1342="","",IF($J1342&lt;=0,"Payé",IF($M1342="Oui","Litige",IF($O1342=0,"À échoir",IF($O1342&lt;=30,"0-30",IF($O1342&lt;=60,"31-60",IF($O1342&lt;=90,"61-90","90+")))))))</f>
        <v/>
      </c>
    </row>
    <row r="1343">
      <c r="A1343" s="6" t="n"/>
      <c r="B1343" s="6" t="n"/>
      <c r="C1343" s="6" t="n"/>
      <c r="D1343" s="6" t="n"/>
      <c r="E1343" s="6" t="n"/>
      <c r="F1343" s="7" t="n"/>
      <c r="G1343" s="7" t="n"/>
      <c r="H1343" s="8" t="n"/>
      <c r="I1343" s="9">
        <f>IF($A1343="","",SUMIFS(Ventes_Encaissements!$D$6:$D$3005,Ventes_Encaissements!$B$6:$B$3005,$A1343))</f>
        <v/>
      </c>
      <c r="J1343" s="9">
        <f>IF($A1343="","",$H1343-$I1343)</f>
        <v/>
      </c>
      <c r="K1343" s="10">
        <f>IF($A1343="","",IF($I1343=0,"",_xludf.AGGREGATE(14,6,Ventes_Encaissements!$C$6:$C$3005/(Ventes_Encaissements!$B$6:$B$3005=$A1343),1)))</f>
        <v/>
      </c>
      <c r="L1343" s="11">
        <f>IF($A1343="","",COUNTIFS(Ventes_Detail!$B$6:$B$3005,$A1343))</f>
        <v/>
      </c>
      <c r="M1343" s="12" t="n"/>
      <c r="N1343" s="12">
        <f>IF($A1343="","",IF($G1343="","",IF($M1343="Oui","Litige",IF($J1343&lt;=0,"Payé",IF($I1343&gt;0,"Partiel",IF(Listes!$B$3&gt;$G1343,"En retard","À échoir"))))))</f>
        <v/>
      </c>
      <c r="O1343" s="11">
        <f>IF($A1343="","",IF(OR($G1343="", $J1343&lt;=0),0,MAX(0,Listes!$B$3-$G1343)))</f>
        <v/>
      </c>
      <c r="P1343" s="12">
        <f>IF($A1343="","",IF($J1343&lt;=0,"Payé",IF($M1343="Oui","Litige",IF($O1343=0,"À échoir",IF($O1343&lt;=30,"0-30",IF($O1343&lt;=60,"31-60",IF($O1343&lt;=90,"61-90","90+")))))))</f>
        <v/>
      </c>
    </row>
    <row r="1344">
      <c r="A1344" s="6" t="n"/>
      <c r="B1344" s="6" t="n"/>
      <c r="C1344" s="6" t="n"/>
      <c r="D1344" s="6" t="n"/>
      <c r="E1344" s="6" t="n"/>
      <c r="F1344" s="7" t="n"/>
      <c r="G1344" s="7" t="n"/>
      <c r="H1344" s="8" t="n"/>
      <c r="I1344" s="9">
        <f>IF($A1344="","",SUMIFS(Ventes_Encaissements!$D$6:$D$3005,Ventes_Encaissements!$B$6:$B$3005,$A1344))</f>
        <v/>
      </c>
      <c r="J1344" s="9">
        <f>IF($A1344="","",$H1344-$I1344)</f>
        <v/>
      </c>
      <c r="K1344" s="10">
        <f>IF($A1344="","",IF($I1344=0,"",_xludf.AGGREGATE(14,6,Ventes_Encaissements!$C$6:$C$3005/(Ventes_Encaissements!$B$6:$B$3005=$A1344),1)))</f>
        <v/>
      </c>
      <c r="L1344" s="11">
        <f>IF($A1344="","",COUNTIFS(Ventes_Detail!$B$6:$B$3005,$A1344))</f>
        <v/>
      </c>
      <c r="M1344" s="12" t="n"/>
      <c r="N1344" s="12">
        <f>IF($A1344="","",IF($G1344="","",IF($M1344="Oui","Litige",IF($J1344&lt;=0,"Payé",IF($I1344&gt;0,"Partiel",IF(Listes!$B$3&gt;$G1344,"En retard","À échoir"))))))</f>
        <v/>
      </c>
      <c r="O1344" s="11">
        <f>IF($A1344="","",IF(OR($G1344="", $J1344&lt;=0),0,MAX(0,Listes!$B$3-$G1344)))</f>
        <v/>
      </c>
      <c r="P1344" s="12">
        <f>IF($A1344="","",IF($J1344&lt;=0,"Payé",IF($M1344="Oui","Litige",IF($O1344=0,"À échoir",IF($O1344&lt;=30,"0-30",IF($O1344&lt;=60,"31-60",IF($O1344&lt;=90,"61-90","90+")))))))</f>
        <v/>
      </c>
    </row>
    <row r="1345">
      <c r="A1345" s="6" t="n"/>
      <c r="B1345" s="6" t="n"/>
      <c r="C1345" s="6" t="n"/>
      <c r="D1345" s="6" t="n"/>
      <c r="E1345" s="6" t="n"/>
      <c r="F1345" s="7" t="n"/>
      <c r="G1345" s="7" t="n"/>
      <c r="H1345" s="8" t="n"/>
      <c r="I1345" s="9">
        <f>IF($A1345="","",SUMIFS(Ventes_Encaissements!$D$6:$D$3005,Ventes_Encaissements!$B$6:$B$3005,$A1345))</f>
        <v/>
      </c>
      <c r="J1345" s="9">
        <f>IF($A1345="","",$H1345-$I1345)</f>
        <v/>
      </c>
      <c r="K1345" s="10">
        <f>IF($A1345="","",IF($I1345=0,"",_xludf.AGGREGATE(14,6,Ventes_Encaissements!$C$6:$C$3005/(Ventes_Encaissements!$B$6:$B$3005=$A1345),1)))</f>
        <v/>
      </c>
      <c r="L1345" s="11">
        <f>IF($A1345="","",COUNTIFS(Ventes_Detail!$B$6:$B$3005,$A1345))</f>
        <v/>
      </c>
      <c r="M1345" s="12" t="n"/>
      <c r="N1345" s="12">
        <f>IF($A1345="","",IF($G1345="","",IF($M1345="Oui","Litige",IF($J1345&lt;=0,"Payé",IF($I1345&gt;0,"Partiel",IF(Listes!$B$3&gt;$G1345,"En retard","À échoir"))))))</f>
        <v/>
      </c>
      <c r="O1345" s="11">
        <f>IF($A1345="","",IF(OR($G1345="", $J1345&lt;=0),0,MAX(0,Listes!$B$3-$G1345)))</f>
        <v/>
      </c>
      <c r="P1345" s="12">
        <f>IF($A1345="","",IF($J1345&lt;=0,"Payé",IF($M1345="Oui","Litige",IF($O1345=0,"À échoir",IF($O1345&lt;=30,"0-30",IF($O1345&lt;=60,"31-60",IF($O1345&lt;=90,"61-90","90+")))))))</f>
        <v/>
      </c>
    </row>
    <row r="1346">
      <c r="A1346" s="6" t="n"/>
      <c r="B1346" s="6" t="n"/>
      <c r="C1346" s="6" t="n"/>
      <c r="D1346" s="6" t="n"/>
      <c r="E1346" s="6" t="n"/>
      <c r="F1346" s="7" t="n"/>
      <c r="G1346" s="7" t="n"/>
      <c r="H1346" s="8" t="n"/>
      <c r="I1346" s="9">
        <f>IF($A1346="","",SUMIFS(Ventes_Encaissements!$D$6:$D$3005,Ventes_Encaissements!$B$6:$B$3005,$A1346))</f>
        <v/>
      </c>
      <c r="J1346" s="9">
        <f>IF($A1346="","",$H1346-$I1346)</f>
        <v/>
      </c>
      <c r="K1346" s="10">
        <f>IF($A1346="","",IF($I1346=0,"",_xludf.AGGREGATE(14,6,Ventes_Encaissements!$C$6:$C$3005/(Ventes_Encaissements!$B$6:$B$3005=$A1346),1)))</f>
        <v/>
      </c>
      <c r="L1346" s="11">
        <f>IF($A1346="","",COUNTIFS(Ventes_Detail!$B$6:$B$3005,$A1346))</f>
        <v/>
      </c>
      <c r="M1346" s="12" t="n"/>
      <c r="N1346" s="12">
        <f>IF($A1346="","",IF($G1346="","",IF($M1346="Oui","Litige",IF($J1346&lt;=0,"Payé",IF($I1346&gt;0,"Partiel",IF(Listes!$B$3&gt;$G1346,"En retard","À échoir"))))))</f>
        <v/>
      </c>
      <c r="O1346" s="11">
        <f>IF($A1346="","",IF(OR($G1346="", $J1346&lt;=0),0,MAX(0,Listes!$B$3-$G1346)))</f>
        <v/>
      </c>
      <c r="P1346" s="12">
        <f>IF($A1346="","",IF($J1346&lt;=0,"Payé",IF($M1346="Oui","Litige",IF($O1346=0,"À échoir",IF($O1346&lt;=30,"0-30",IF($O1346&lt;=60,"31-60",IF($O1346&lt;=90,"61-90","90+")))))))</f>
        <v/>
      </c>
    </row>
    <row r="1347">
      <c r="A1347" s="6" t="n"/>
      <c r="B1347" s="6" t="n"/>
      <c r="C1347" s="6" t="n"/>
      <c r="D1347" s="6" t="n"/>
      <c r="E1347" s="6" t="n"/>
      <c r="F1347" s="7" t="n"/>
      <c r="G1347" s="7" t="n"/>
      <c r="H1347" s="8" t="n"/>
      <c r="I1347" s="9">
        <f>IF($A1347="","",SUMIFS(Ventes_Encaissements!$D$6:$D$3005,Ventes_Encaissements!$B$6:$B$3005,$A1347))</f>
        <v/>
      </c>
      <c r="J1347" s="9">
        <f>IF($A1347="","",$H1347-$I1347)</f>
        <v/>
      </c>
      <c r="K1347" s="10">
        <f>IF($A1347="","",IF($I1347=0,"",_xludf.AGGREGATE(14,6,Ventes_Encaissements!$C$6:$C$3005/(Ventes_Encaissements!$B$6:$B$3005=$A1347),1)))</f>
        <v/>
      </c>
      <c r="L1347" s="11">
        <f>IF($A1347="","",COUNTIFS(Ventes_Detail!$B$6:$B$3005,$A1347))</f>
        <v/>
      </c>
      <c r="M1347" s="12" t="n"/>
      <c r="N1347" s="12">
        <f>IF($A1347="","",IF($G1347="","",IF($M1347="Oui","Litige",IF($J1347&lt;=0,"Payé",IF($I1347&gt;0,"Partiel",IF(Listes!$B$3&gt;$G1347,"En retard","À échoir"))))))</f>
        <v/>
      </c>
      <c r="O1347" s="11">
        <f>IF($A1347="","",IF(OR($G1347="", $J1347&lt;=0),0,MAX(0,Listes!$B$3-$G1347)))</f>
        <v/>
      </c>
      <c r="P1347" s="12">
        <f>IF($A1347="","",IF($J1347&lt;=0,"Payé",IF($M1347="Oui","Litige",IF($O1347=0,"À échoir",IF($O1347&lt;=30,"0-30",IF($O1347&lt;=60,"31-60",IF($O1347&lt;=90,"61-90","90+")))))))</f>
        <v/>
      </c>
    </row>
    <row r="1348">
      <c r="A1348" s="6" t="n"/>
      <c r="B1348" s="6" t="n"/>
      <c r="C1348" s="6" t="n"/>
      <c r="D1348" s="6" t="n"/>
      <c r="E1348" s="6" t="n"/>
      <c r="F1348" s="7" t="n"/>
      <c r="G1348" s="7" t="n"/>
      <c r="H1348" s="8" t="n"/>
      <c r="I1348" s="9">
        <f>IF($A1348="","",SUMIFS(Ventes_Encaissements!$D$6:$D$3005,Ventes_Encaissements!$B$6:$B$3005,$A1348))</f>
        <v/>
      </c>
      <c r="J1348" s="9">
        <f>IF($A1348="","",$H1348-$I1348)</f>
        <v/>
      </c>
      <c r="K1348" s="10">
        <f>IF($A1348="","",IF($I1348=0,"",_xludf.AGGREGATE(14,6,Ventes_Encaissements!$C$6:$C$3005/(Ventes_Encaissements!$B$6:$B$3005=$A1348),1)))</f>
        <v/>
      </c>
      <c r="L1348" s="11">
        <f>IF($A1348="","",COUNTIFS(Ventes_Detail!$B$6:$B$3005,$A1348))</f>
        <v/>
      </c>
      <c r="M1348" s="12" t="n"/>
      <c r="N1348" s="12">
        <f>IF($A1348="","",IF($G1348="","",IF($M1348="Oui","Litige",IF($J1348&lt;=0,"Payé",IF($I1348&gt;0,"Partiel",IF(Listes!$B$3&gt;$G1348,"En retard","À échoir"))))))</f>
        <v/>
      </c>
      <c r="O1348" s="11">
        <f>IF($A1348="","",IF(OR($G1348="", $J1348&lt;=0),0,MAX(0,Listes!$B$3-$G1348)))</f>
        <v/>
      </c>
      <c r="P1348" s="12">
        <f>IF($A1348="","",IF($J1348&lt;=0,"Payé",IF($M1348="Oui","Litige",IF($O1348=0,"À échoir",IF($O1348&lt;=30,"0-30",IF($O1348&lt;=60,"31-60",IF($O1348&lt;=90,"61-90","90+")))))))</f>
        <v/>
      </c>
    </row>
    <row r="1349">
      <c r="A1349" s="6" t="n"/>
      <c r="B1349" s="6" t="n"/>
      <c r="C1349" s="6" t="n"/>
      <c r="D1349" s="6" t="n"/>
      <c r="E1349" s="6" t="n"/>
      <c r="F1349" s="7" t="n"/>
      <c r="G1349" s="7" t="n"/>
      <c r="H1349" s="8" t="n"/>
      <c r="I1349" s="9">
        <f>IF($A1349="","",SUMIFS(Ventes_Encaissements!$D$6:$D$3005,Ventes_Encaissements!$B$6:$B$3005,$A1349))</f>
        <v/>
      </c>
      <c r="J1349" s="9">
        <f>IF($A1349="","",$H1349-$I1349)</f>
        <v/>
      </c>
      <c r="K1349" s="10">
        <f>IF($A1349="","",IF($I1349=0,"",_xludf.AGGREGATE(14,6,Ventes_Encaissements!$C$6:$C$3005/(Ventes_Encaissements!$B$6:$B$3005=$A1349),1)))</f>
        <v/>
      </c>
      <c r="L1349" s="11">
        <f>IF($A1349="","",COUNTIFS(Ventes_Detail!$B$6:$B$3005,$A1349))</f>
        <v/>
      </c>
      <c r="M1349" s="12" t="n"/>
      <c r="N1349" s="12">
        <f>IF($A1349="","",IF($G1349="","",IF($M1349="Oui","Litige",IF($J1349&lt;=0,"Payé",IF($I1349&gt;0,"Partiel",IF(Listes!$B$3&gt;$G1349,"En retard","À échoir"))))))</f>
        <v/>
      </c>
      <c r="O1349" s="11">
        <f>IF($A1349="","",IF(OR($G1349="", $J1349&lt;=0),0,MAX(0,Listes!$B$3-$G1349)))</f>
        <v/>
      </c>
      <c r="P1349" s="12">
        <f>IF($A1349="","",IF($J1349&lt;=0,"Payé",IF($M1349="Oui","Litige",IF($O1349=0,"À échoir",IF($O1349&lt;=30,"0-30",IF($O1349&lt;=60,"31-60",IF($O1349&lt;=90,"61-90","90+")))))))</f>
        <v/>
      </c>
    </row>
    <row r="1350">
      <c r="A1350" s="6" t="n"/>
      <c r="B1350" s="6" t="n"/>
      <c r="C1350" s="6" t="n"/>
      <c r="D1350" s="6" t="n"/>
      <c r="E1350" s="6" t="n"/>
      <c r="F1350" s="7" t="n"/>
      <c r="G1350" s="7" t="n"/>
      <c r="H1350" s="8" t="n"/>
      <c r="I1350" s="9">
        <f>IF($A1350="","",SUMIFS(Ventes_Encaissements!$D$6:$D$3005,Ventes_Encaissements!$B$6:$B$3005,$A1350))</f>
        <v/>
      </c>
      <c r="J1350" s="9">
        <f>IF($A1350="","",$H1350-$I1350)</f>
        <v/>
      </c>
      <c r="K1350" s="10">
        <f>IF($A1350="","",IF($I1350=0,"",_xludf.AGGREGATE(14,6,Ventes_Encaissements!$C$6:$C$3005/(Ventes_Encaissements!$B$6:$B$3005=$A1350),1)))</f>
        <v/>
      </c>
      <c r="L1350" s="11">
        <f>IF($A1350="","",COUNTIFS(Ventes_Detail!$B$6:$B$3005,$A1350))</f>
        <v/>
      </c>
      <c r="M1350" s="12" t="n"/>
      <c r="N1350" s="12">
        <f>IF($A1350="","",IF($G1350="","",IF($M1350="Oui","Litige",IF($J1350&lt;=0,"Payé",IF($I1350&gt;0,"Partiel",IF(Listes!$B$3&gt;$G1350,"En retard","À échoir"))))))</f>
        <v/>
      </c>
      <c r="O1350" s="11">
        <f>IF($A1350="","",IF(OR($G1350="", $J1350&lt;=0),0,MAX(0,Listes!$B$3-$G1350)))</f>
        <v/>
      </c>
      <c r="P1350" s="12">
        <f>IF($A1350="","",IF($J1350&lt;=0,"Payé",IF($M1350="Oui","Litige",IF($O1350=0,"À échoir",IF($O1350&lt;=30,"0-30",IF($O1350&lt;=60,"31-60",IF($O1350&lt;=90,"61-90","90+")))))))</f>
        <v/>
      </c>
    </row>
    <row r="1351">
      <c r="A1351" s="6" t="n"/>
      <c r="B1351" s="6" t="n"/>
      <c r="C1351" s="6" t="n"/>
      <c r="D1351" s="6" t="n"/>
      <c r="E1351" s="6" t="n"/>
      <c r="F1351" s="7" t="n"/>
      <c r="G1351" s="7" t="n"/>
      <c r="H1351" s="8" t="n"/>
      <c r="I1351" s="9">
        <f>IF($A1351="","",SUMIFS(Ventes_Encaissements!$D$6:$D$3005,Ventes_Encaissements!$B$6:$B$3005,$A1351))</f>
        <v/>
      </c>
      <c r="J1351" s="9">
        <f>IF($A1351="","",$H1351-$I1351)</f>
        <v/>
      </c>
      <c r="K1351" s="10">
        <f>IF($A1351="","",IF($I1351=0,"",_xludf.AGGREGATE(14,6,Ventes_Encaissements!$C$6:$C$3005/(Ventes_Encaissements!$B$6:$B$3005=$A1351),1)))</f>
        <v/>
      </c>
      <c r="L1351" s="11">
        <f>IF($A1351="","",COUNTIFS(Ventes_Detail!$B$6:$B$3005,$A1351))</f>
        <v/>
      </c>
      <c r="M1351" s="12" t="n"/>
      <c r="N1351" s="12">
        <f>IF($A1351="","",IF($G1351="","",IF($M1351="Oui","Litige",IF($J1351&lt;=0,"Payé",IF($I1351&gt;0,"Partiel",IF(Listes!$B$3&gt;$G1351,"En retard","À échoir"))))))</f>
        <v/>
      </c>
      <c r="O1351" s="11">
        <f>IF($A1351="","",IF(OR($G1351="", $J1351&lt;=0),0,MAX(0,Listes!$B$3-$G1351)))</f>
        <v/>
      </c>
      <c r="P1351" s="12">
        <f>IF($A1351="","",IF($J1351&lt;=0,"Payé",IF($M1351="Oui","Litige",IF($O1351=0,"À échoir",IF($O1351&lt;=30,"0-30",IF($O1351&lt;=60,"31-60",IF($O1351&lt;=90,"61-90","90+")))))))</f>
        <v/>
      </c>
    </row>
    <row r="1352">
      <c r="A1352" s="6" t="n"/>
      <c r="B1352" s="6" t="n"/>
      <c r="C1352" s="6" t="n"/>
      <c r="D1352" s="6" t="n"/>
      <c r="E1352" s="6" t="n"/>
      <c r="F1352" s="7" t="n"/>
      <c r="G1352" s="7" t="n"/>
      <c r="H1352" s="8" t="n"/>
      <c r="I1352" s="9">
        <f>IF($A1352="","",SUMIFS(Ventes_Encaissements!$D$6:$D$3005,Ventes_Encaissements!$B$6:$B$3005,$A1352))</f>
        <v/>
      </c>
      <c r="J1352" s="9">
        <f>IF($A1352="","",$H1352-$I1352)</f>
        <v/>
      </c>
      <c r="K1352" s="10">
        <f>IF($A1352="","",IF($I1352=0,"",_xludf.AGGREGATE(14,6,Ventes_Encaissements!$C$6:$C$3005/(Ventes_Encaissements!$B$6:$B$3005=$A1352),1)))</f>
        <v/>
      </c>
      <c r="L1352" s="11">
        <f>IF($A1352="","",COUNTIFS(Ventes_Detail!$B$6:$B$3005,$A1352))</f>
        <v/>
      </c>
      <c r="M1352" s="12" t="n"/>
      <c r="N1352" s="12">
        <f>IF($A1352="","",IF($G1352="","",IF($M1352="Oui","Litige",IF($J1352&lt;=0,"Payé",IF($I1352&gt;0,"Partiel",IF(Listes!$B$3&gt;$G1352,"En retard","À échoir"))))))</f>
        <v/>
      </c>
      <c r="O1352" s="11">
        <f>IF($A1352="","",IF(OR($G1352="", $J1352&lt;=0),0,MAX(0,Listes!$B$3-$G1352)))</f>
        <v/>
      </c>
      <c r="P1352" s="12">
        <f>IF($A1352="","",IF($J1352&lt;=0,"Payé",IF($M1352="Oui","Litige",IF($O1352=0,"À échoir",IF($O1352&lt;=30,"0-30",IF($O1352&lt;=60,"31-60",IF($O1352&lt;=90,"61-90","90+")))))))</f>
        <v/>
      </c>
    </row>
    <row r="1353">
      <c r="A1353" s="6" t="n"/>
      <c r="B1353" s="6" t="n"/>
      <c r="C1353" s="6" t="n"/>
      <c r="D1353" s="6" t="n"/>
      <c r="E1353" s="6" t="n"/>
      <c r="F1353" s="7" t="n"/>
      <c r="G1353" s="7" t="n"/>
      <c r="H1353" s="8" t="n"/>
      <c r="I1353" s="9">
        <f>IF($A1353="","",SUMIFS(Ventes_Encaissements!$D$6:$D$3005,Ventes_Encaissements!$B$6:$B$3005,$A1353))</f>
        <v/>
      </c>
      <c r="J1353" s="9">
        <f>IF($A1353="","",$H1353-$I1353)</f>
        <v/>
      </c>
      <c r="K1353" s="10">
        <f>IF($A1353="","",IF($I1353=0,"",_xludf.AGGREGATE(14,6,Ventes_Encaissements!$C$6:$C$3005/(Ventes_Encaissements!$B$6:$B$3005=$A1353),1)))</f>
        <v/>
      </c>
      <c r="L1353" s="11">
        <f>IF($A1353="","",COUNTIFS(Ventes_Detail!$B$6:$B$3005,$A1353))</f>
        <v/>
      </c>
      <c r="M1353" s="12" t="n"/>
      <c r="N1353" s="12">
        <f>IF($A1353="","",IF($G1353="","",IF($M1353="Oui","Litige",IF($J1353&lt;=0,"Payé",IF($I1353&gt;0,"Partiel",IF(Listes!$B$3&gt;$G1353,"En retard","À échoir"))))))</f>
        <v/>
      </c>
      <c r="O1353" s="11">
        <f>IF($A1353="","",IF(OR($G1353="", $J1353&lt;=0),0,MAX(0,Listes!$B$3-$G1353)))</f>
        <v/>
      </c>
      <c r="P1353" s="12">
        <f>IF($A1353="","",IF($J1353&lt;=0,"Payé",IF($M1353="Oui","Litige",IF($O1353=0,"À échoir",IF($O1353&lt;=30,"0-30",IF($O1353&lt;=60,"31-60",IF($O1353&lt;=90,"61-90","90+")))))))</f>
        <v/>
      </c>
    </row>
    <row r="1354">
      <c r="A1354" s="6" t="n"/>
      <c r="B1354" s="6" t="n"/>
      <c r="C1354" s="6" t="n"/>
      <c r="D1354" s="6" t="n"/>
      <c r="E1354" s="6" t="n"/>
      <c r="F1354" s="7" t="n"/>
      <c r="G1354" s="7" t="n"/>
      <c r="H1354" s="8" t="n"/>
      <c r="I1354" s="9">
        <f>IF($A1354="","",SUMIFS(Ventes_Encaissements!$D$6:$D$3005,Ventes_Encaissements!$B$6:$B$3005,$A1354))</f>
        <v/>
      </c>
      <c r="J1354" s="9">
        <f>IF($A1354="","",$H1354-$I1354)</f>
        <v/>
      </c>
      <c r="K1354" s="10">
        <f>IF($A1354="","",IF($I1354=0,"",_xludf.AGGREGATE(14,6,Ventes_Encaissements!$C$6:$C$3005/(Ventes_Encaissements!$B$6:$B$3005=$A1354),1)))</f>
        <v/>
      </c>
      <c r="L1354" s="11">
        <f>IF($A1354="","",COUNTIFS(Ventes_Detail!$B$6:$B$3005,$A1354))</f>
        <v/>
      </c>
      <c r="M1354" s="12" t="n"/>
      <c r="N1354" s="12">
        <f>IF($A1354="","",IF($G1354="","",IF($M1354="Oui","Litige",IF($J1354&lt;=0,"Payé",IF($I1354&gt;0,"Partiel",IF(Listes!$B$3&gt;$G1354,"En retard","À échoir"))))))</f>
        <v/>
      </c>
      <c r="O1354" s="11">
        <f>IF($A1354="","",IF(OR($G1354="", $J1354&lt;=0),0,MAX(0,Listes!$B$3-$G1354)))</f>
        <v/>
      </c>
      <c r="P1354" s="12">
        <f>IF($A1354="","",IF($J1354&lt;=0,"Payé",IF($M1354="Oui","Litige",IF($O1354=0,"À échoir",IF($O1354&lt;=30,"0-30",IF($O1354&lt;=60,"31-60",IF($O1354&lt;=90,"61-90","90+")))))))</f>
        <v/>
      </c>
    </row>
    <row r="1355">
      <c r="A1355" s="6" t="n"/>
      <c r="B1355" s="6" t="n"/>
      <c r="C1355" s="6" t="n"/>
      <c r="D1355" s="6" t="n"/>
      <c r="E1355" s="6" t="n"/>
      <c r="F1355" s="7" t="n"/>
      <c r="G1355" s="7" t="n"/>
      <c r="H1355" s="8" t="n"/>
      <c r="I1355" s="9">
        <f>IF($A1355="","",SUMIFS(Ventes_Encaissements!$D$6:$D$3005,Ventes_Encaissements!$B$6:$B$3005,$A1355))</f>
        <v/>
      </c>
      <c r="J1355" s="9">
        <f>IF($A1355="","",$H1355-$I1355)</f>
        <v/>
      </c>
      <c r="K1355" s="10">
        <f>IF($A1355="","",IF($I1355=0,"",_xludf.AGGREGATE(14,6,Ventes_Encaissements!$C$6:$C$3005/(Ventes_Encaissements!$B$6:$B$3005=$A1355),1)))</f>
        <v/>
      </c>
      <c r="L1355" s="11">
        <f>IF($A1355="","",COUNTIFS(Ventes_Detail!$B$6:$B$3005,$A1355))</f>
        <v/>
      </c>
      <c r="M1355" s="12" t="n"/>
      <c r="N1355" s="12">
        <f>IF($A1355="","",IF($G1355="","",IF($M1355="Oui","Litige",IF($J1355&lt;=0,"Payé",IF($I1355&gt;0,"Partiel",IF(Listes!$B$3&gt;$G1355,"En retard","À échoir"))))))</f>
        <v/>
      </c>
      <c r="O1355" s="11">
        <f>IF($A1355="","",IF(OR($G1355="", $J1355&lt;=0),0,MAX(0,Listes!$B$3-$G1355)))</f>
        <v/>
      </c>
      <c r="P1355" s="12">
        <f>IF($A1355="","",IF($J1355&lt;=0,"Payé",IF($M1355="Oui","Litige",IF($O1355=0,"À échoir",IF($O1355&lt;=30,"0-30",IF($O1355&lt;=60,"31-60",IF($O1355&lt;=90,"61-90","90+")))))))</f>
        <v/>
      </c>
    </row>
    <row r="1356">
      <c r="A1356" s="6" t="n"/>
      <c r="B1356" s="6" t="n"/>
      <c r="C1356" s="6" t="n"/>
      <c r="D1356" s="6" t="n"/>
      <c r="E1356" s="6" t="n"/>
      <c r="F1356" s="7" t="n"/>
      <c r="G1356" s="7" t="n"/>
      <c r="H1356" s="8" t="n"/>
      <c r="I1356" s="9">
        <f>IF($A1356="","",SUMIFS(Ventes_Encaissements!$D$6:$D$3005,Ventes_Encaissements!$B$6:$B$3005,$A1356))</f>
        <v/>
      </c>
      <c r="J1356" s="9">
        <f>IF($A1356="","",$H1356-$I1356)</f>
        <v/>
      </c>
      <c r="K1356" s="10">
        <f>IF($A1356="","",IF($I1356=0,"",_xludf.AGGREGATE(14,6,Ventes_Encaissements!$C$6:$C$3005/(Ventes_Encaissements!$B$6:$B$3005=$A1356),1)))</f>
        <v/>
      </c>
      <c r="L1356" s="11">
        <f>IF($A1356="","",COUNTIFS(Ventes_Detail!$B$6:$B$3005,$A1356))</f>
        <v/>
      </c>
      <c r="M1356" s="12" t="n"/>
      <c r="N1356" s="12">
        <f>IF($A1356="","",IF($G1356="","",IF($M1356="Oui","Litige",IF($J1356&lt;=0,"Payé",IF($I1356&gt;0,"Partiel",IF(Listes!$B$3&gt;$G1356,"En retard","À échoir"))))))</f>
        <v/>
      </c>
      <c r="O1356" s="11">
        <f>IF($A1356="","",IF(OR($G1356="", $J1356&lt;=0),0,MAX(0,Listes!$B$3-$G1356)))</f>
        <v/>
      </c>
      <c r="P1356" s="12">
        <f>IF($A1356="","",IF($J1356&lt;=0,"Payé",IF($M1356="Oui","Litige",IF($O1356=0,"À échoir",IF($O1356&lt;=30,"0-30",IF($O1356&lt;=60,"31-60",IF($O1356&lt;=90,"61-90","90+")))))))</f>
        <v/>
      </c>
    </row>
    <row r="1357">
      <c r="A1357" s="6" t="n"/>
      <c r="B1357" s="6" t="n"/>
      <c r="C1357" s="6" t="n"/>
      <c r="D1357" s="6" t="n"/>
      <c r="E1357" s="6" t="n"/>
      <c r="F1357" s="7" t="n"/>
      <c r="G1357" s="7" t="n"/>
      <c r="H1357" s="8" t="n"/>
      <c r="I1357" s="9">
        <f>IF($A1357="","",SUMIFS(Ventes_Encaissements!$D$6:$D$3005,Ventes_Encaissements!$B$6:$B$3005,$A1357))</f>
        <v/>
      </c>
      <c r="J1357" s="9">
        <f>IF($A1357="","",$H1357-$I1357)</f>
        <v/>
      </c>
      <c r="K1357" s="10">
        <f>IF($A1357="","",IF($I1357=0,"",_xludf.AGGREGATE(14,6,Ventes_Encaissements!$C$6:$C$3005/(Ventes_Encaissements!$B$6:$B$3005=$A1357),1)))</f>
        <v/>
      </c>
      <c r="L1357" s="11">
        <f>IF($A1357="","",COUNTIFS(Ventes_Detail!$B$6:$B$3005,$A1357))</f>
        <v/>
      </c>
      <c r="M1357" s="12" t="n"/>
      <c r="N1357" s="12">
        <f>IF($A1357="","",IF($G1357="","",IF($M1357="Oui","Litige",IF($J1357&lt;=0,"Payé",IF($I1357&gt;0,"Partiel",IF(Listes!$B$3&gt;$G1357,"En retard","À échoir"))))))</f>
        <v/>
      </c>
      <c r="O1357" s="11">
        <f>IF($A1357="","",IF(OR($G1357="", $J1357&lt;=0),0,MAX(0,Listes!$B$3-$G1357)))</f>
        <v/>
      </c>
      <c r="P1357" s="12">
        <f>IF($A1357="","",IF($J1357&lt;=0,"Payé",IF($M1357="Oui","Litige",IF($O1357=0,"À échoir",IF($O1357&lt;=30,"0-30",IF($O1357&lt;=60,"31-60",IF($O1357&lt;=90,"61-90","90+")))))))</f>
        <v/>
      </c>
    </row>
    <row r="1358">
      <c r="A1358" s="6" t="n"/>
      <c r="B1358" s="6" t="n"/>
      <c r="C1358" s="6" t="n"/>
      <c r="D1358" s="6" t="n"/>
      <c r="E1358" s="6" t="n"/>
      <c r="F1358" s="7" t="n"/>
      <c r="G1358" s="7" t="n"/>
      <c r="H1358" s="8" t="n"/>
      <c r="I1358" s="9">
        <f>IF($A1358="","",SUMIFS(Ventes_Encaissements!$D$6:$D$3005,Ventes_Encaissements!$B$6:$B$3005,$A1358))</f>
        <v/>
      </c>
      <c r="J1358" s="9">
        <f>IF($A1358="","",$H1358-$I1358)</f>
        <v/>
      </c>
      <c r="K1358" s="10">
        <f>IF($A1358="","",IF($I1358=0,"",_xludf.AGGREGATE(14,6,Ventes_Encaissements!$C$6:$C$3005/(Ventes_Encaissements!$B$6:$B$3005=$A1358),1)))</f>
        <v/>
      </c>
      <c r="L1358" s="11">
        <f>IF($A1358="","",COUNTIFS(Ventes_Detail!$B$6:$B$3005,$A1358))</f>
        <v/>
      </c>
      <c r="M1358" s="12" t="n"/>
      <c r="N1358" s="12">
        <f>IF($A1358="","",IF($G1358="","",IF($M1358="Oui","Litige",IF($J1358&lt;=0,"Payé",IF($I1358&gt;0,"Partiel",IF(Listes!$B$3&gt;$G1358,"En retard","À échoir"))))))</f>
        <v/>
      </c>
      <c r="O1358" s="11">
        <f>IF($A1358="","",IF(OR($G1358="", $J1358&lt;=0),0,MAX(0,Listes!$B$3-$G1358)))</f>
        <v/>
      </c>
      <c r="P1358" s="12">
        <f>IF($A1358="","",IF($J1358&lt;=0,"Payé",IF($M1358="Oui","Litige",IF($O1358=0,"À échoir",IF($O1358&lt;=30,"0-30",IF($O1358&lt;=60,"31-60",IF($O1358&lt;=90,"61-90","90+")))))))</f>
        <v/>
      </c>
    </row>
    <row r="1359">
      <c r="A1359" s="6" t="n"/>
      <c r="B1359" s="6" t="n"/>
      <c r="C1359" s="6" t="n"/>
      <c r="D1359" s="6" t="n"/>
      <c r="E1359" s="6" t="n"/>
      <c r="F1359" s="7" t="n"/>
      <c r="G1359" s="7" t="n"/>
      <c r="H1359" s="8" t="n"/>
      <c r="I1359" s="9">
        <f>IF($A1359="","",SUMIFS(Ventes_Encaissements!$D$6:$D$3005,Ventes_Encaissements!$B$6:$B$3005,$A1359))</f>
        <v/>
      </c>
      <c r="J1359" s="9">
        <f>IF($A1359="","",$H1359-$I1359)</f>
        <v/>
      </c>
      <c r="K1359" s="10">
        <f>IF($A1359="","",IF($I1359=0,"",_xludf.AGGREGATE(14,6,Ventes_Encaissements!$C$6:$C$3005/(Ventes_Encaissements!$B$6:$B$3005=$A1359),1)))</f>
        <v/>
      </c>
      <c r="L1359" s="11">
        <f>IF($A1359="","",COUNTIFS(Ventes_Detail!$B$6:$B$3005,$A1359))</f>
        <v/>
      </c>
      <c r="M1359" s="12" t="n"/>
      <c r="N1359" s="12">
        <f>IF($A1359="","",IF($G1359="","",IF($M1359="Oui","Litige",IF($J1359&lt;=0,"Payé",IF($I1359&gt;0,"Partiel",IF(Listes!$B$3&gt;$G1359,"En retard","À échoir"))))))</f>
        <v/>
      </c>
      <c r="O1359" s="11">
        <f>IF($A1359="","",IF(OR($G1359="", $J1359&lt;=0),0,MAX(0,Listes!$B$3-$G1359)))</f>
        <v/>
      </c>
      <c r="P1359" s="12">
        <f>IF($A1359="","",IF($J1359&lt;=0,"Payé",IF($M1359="Oui","Litige",IF($O1359=0,"À échoir",IF($O1359&lt;=30,"0-30",IF($O1359&lt;=60,"31-60",IF($O1359&lt;=90,"61-90","90+")))))))</f>
        <v/>
      </c>
    </row>
    <row r="1360">
      <c r="A1360" s="6" t="n"/>
      <c r="B1360" s="6" t="n"/>
      <c r="C1360" s="6" t="n"/>
      <c r="D1360" s="6" t="n"/>
      <c r="E1360" s="6" t="n"/>
      <c r="F1360" s="7" t="n"/>
      <c r="G1360" s="7" t="n"/>
      <c r="H1360" s="8" t="n"/>
      <c r="I1360" s="9">
        <f>IF($A1360="","",SUMIFS(Ventes_Encaissements!$D$6:$D$3005,Ventes_Encaissements!$B$6:$B$3005,$A1360))</f>
        <v/>
      </c>
      <c r="J1360" s="9">
        <f>IF($A1360="","",$H1360-$I1360)</f>
        <v/>
      </c>
      <c r="K1360" s="10">
        <f>IF($A1360="","",IF($I1360=0,"",_xludf.AGGREGATE(14,6,Ventes_Encaissements!$C$6:$C$3005/(Ventes_Encaissements!$B$6:$B$3005=$A1360),1)))</f>
        <v/>
      </c>
      <c r="L1360" s="11">
        <f>IF($A1360="","",COUNTIFS(Ventes_Detail!$B$6:$B$3005,$A1360))</f>
        <v/>
      </c>
      <c r="M1360" s="12" t="n"/>
      <c r="N1360" s="12">
        <f>IF($A1360="","",IF($G1360="","",IF($M1360="Oui","Litige",IF($J1360&lt;=0,"Payé",IF($I1360&gt;0,"Partiel",IF(Listes!$B$3&gt;$G1360,"En retard","À échoir"))))))</f>
        <v/>
      </c>
      <c r="O1360" s="11">
        <f>IF($A1360="","",IF(OR($G1360="", $J1360&lt;=0),0,MAX(0,Listes!$B$3-$G1360)))</f>
        <v/>
      </c>
      <c r="P1360" s="12">
        <f>IF($A1360="","",IF($J1360&lt;=0,"Payé",IF($M1360="Oui","Litige",IF($O1360=0,"À échoir",IF($O1360&lt;=30,"0-30",IF($O1360&lt;=60,"31-60",IF($O1360&lt;=90,"61-90","90+")))))))</f>
        <v/>
      </c>
    </row>
    <row r="1361">
      <c r="A1361" s="6" t="n"/>
      <c r="B1361" s="6" t="n"/>
      <c r="C1361" s="6" t="n"/>
      <c r="D1361" s="6" t="n"/>
      <c r="E1361" s="6" t="n"/>
      <c r="F1361" s="7" t="n"/>
      <c r="G1361" s="7" t="n"/>
      <c r="H1361" s="8" t="n"/>
      <c r="I1361" s="9">
        <f>IF($A1361="","",SUMIFS(Ventes_Encaissements!$D$6:$D$3005,Ventes_Encaissements!$B$6:$B$3005,$A1361))</f>
        <v/>
      </c>
      <c r="J1361" s="9">
        <f>IF($A1361="","",$H1361-$I1361)</f>
        <v/>
      </c>
      <c r="K1361" s="10">
        <f>IF($A1361="","",IF($I1361=0,"",_xludf.AGGREGATE(14,6,Ventes_Encaissements!$C$6:$C$3005/(Ventes_Encaissements!$B$6:$B$3005=$A1361),1)))</f>
        <v/>
      </c>
      <c r="L1361" s="11">
        <f>IF($A1361="","",COUNTIFS(Ventes_Detail!$B$6:$B$3005,$A1361))</f>
        <v/>
      </c>
      <c r="M1361" s="12" t="n"/>
      <c r="N1361" s="12">
        <f>IF($A1361="","",IF($G1361="","",IF($M1361="Oui","Litige",IF($J1361&lt;=0,"Payé",IF($I1361&gt;0,"Partiel",IF(Listes!$B$3&gt;$G1361,"En retard","À échoir"))))))</f>
        <v/>
      </c>
      <c r="O1361" s="11">
        <f>IF($A1361="","",IF(OR($G1361="", $J1361&lt;=0),0,MAX(0,Listes!$B$3-$G1361)))</f>
        <v/>
      </c>
      <c r="P1361" s="12">
        <f>IF($A1361="","",IF($J1361&lt;=0,"Payé",IF($M1361="Oui","Litige",IF($O1361=0,"À échoir",IF($O1361&lt;=30,"0-30",IF($O1361&lt;=60,"31-60",IF($O1361&lt;=90,"61-90","90+")))))))</f>
        <v/>
      </c>
    </row>
    <row r="1362">
      <c r="A1362" s="6" t="n"/>
      <c r="B1362" s="6" t="n"/>
      <c r="C1362" s="6" t="n"/>
      <c r="D1362" s="6" t="n"/>
      <c r="E1362" s="6" t="n"/>
      <c r="F1362" s="7" t="n"/>
      <c r="G1362" s="7" t="n"/>
      <c r="H1362" s="8" t="n"/>
      <c r="I1362" s="9">
        <f>IF($A1362="","",SUMIFS(Ventes_Encaissements!$D$6:$D$3005,Ventes_Encaissements!$B$6:$B$3005,$A1362))</f>
        <v/>
      </c>
      <c r="J1362" s="9">
        <f>IF($A1362="","",$H1362-$I1362)</f>
        <v/>
      </c>
      <c r="K1362" s="10">
        <f>IF($A1362="","",IF($I1362=0,"",_xludf.AGGREGATE(14,6,Ventes_Encaissements!$C$6:$C$3005/(Ventes_Encaissements!$B$6:$B$3005=$A1362),1)))</f>
        <v/>
      </c>
      <c r="L1362" s="11">
        <f>IF($A1362="","",COUNTIFS(Ventes_Detail!$B$6:$B$3005,$A1362))</f>
        <v/>
      </c>
      <c r="M1362" s="12" t="n"/>
      <c r="N1362" s="12">
        <f>IF($A1362="","",IF($G1362="","",IF($M1362="Oui","Litige",IF($J1362&lt;=0,"Payé",IF($I1362&gt;0,"Partiel",IF(Listes!$B$3&gt;$G1362,"En retard","À échoir"))))))</f>
        <v/>
      </c>
      <c r="O1362" s="11">
        <f>IF($A1362="","",IF(OR($G1362="", $J1362&lt;=0),0,MAX(0,Listes!$B$3-$G1362)))</f>
        <v/>
      </c>
      <c r="P1362" s="12">
        <f>IF($A1362="","",IF($J1362&lt;=0,"Payé",IF($M1362="Oui","Litige",IF($O1362=0,"À échoir",IF($O1362&lt;=30,"0-30",IF($O1362&lt;=60,"31-60",IF($O1362&lt;=90,"61-90","90+")))))))</f>
        <v/>
      </c>
    </row>
    <row r="1363">
      <c r="A1363" s="6" t="n"/>
      <c r="B1363" s="6" t="n"/>
      <c r="C1363" s="6" t="n"/>
      <c r="D1363" s="6" t="n"/>
      <c r="E1363" s="6" t="n"/>
      <c r="F1363" s="7" t="n"/>
      <c r="G1363" s="7" t="n"/>
      <c r="H1363" s="8" t="n"/>
      <c r="I1363" s="9">
        <f>IF($A1363="","",SUMIFS(Ventes_Encaissements!$D$6:$D$3005,Ventes_Encaissements!$B$6:$B$3005,$A1363))</f>
        <v/>
      </c>
      <c r="J1363" s="9">
        <f>IF($A1363="","",$H1363-$I1363)</f>
        <v/>
      </c>
      <c r="K1363" s="10">
        <f>IF($A1363="","",IF($I1363=0,"",_xludf.AGGREGATE(14,6,Ventes_Encaissements!$C$6:$C$3005/(Ventes_Encaissements!$B$6:$B$3005=$A1363),1)))</f>
        <v/>
      </c>
      <c r="L1363" s="11">
        <f>IF($A1363="","",COUNTIFS(Ventes_Detail!$B$6:$B$3005,$A1363))</f>
        <v/>
      </c>
      <c r="M1363" s="12" t="n"/>
      <c r="N1363" s="12">
        <f>IF($A1363="","",IF($G1363="","",IF($M1363="Oui","Litige",IF($J1363&lt;=0,"Payé",IF($I1363&gt;0,"Partiel",IF(Listes!$B$3&gt;$G1363,"En retard","À échoir"))))))</f>
        <v/>
      </c>
      <c r="O1363" s="11">
        <f>IF($A1363="","",IF(OR($G1363="", $J1363&lt;=0),0,MAX(0,Listes!$B$3-$G1363)))</f>
        <v/>
      </c>
      <c r="P1363" s="12">
        <f>IF($A1363="","",IF($J1363&lt;=0,"Payé",IF($M1363="Oui","Litige",IF($O1363=0,"À échoir",IF($O1363&lt;=30,"0-30",IF($O1363&lt;=60,"31-60",IF($O1363&lt;=90,"61-90","90+")))))))</f>
        <v/>
      </c>
    </row>
    <row r="1364">
      <c r="A1364" s="6" t="n"/>
      <c r="B1364" s="6" t="n"/>
      <c r="C1364" s="6" t="n"/>
      <c r="D1364" s="6" t="n"/>
      <c r="E1364" s="6" t="n"/>
      <c r="F1364" s="7" t="n"/>
      <c r="G1364" s="7" t="n"/>
      <c r="H1364" s="8" t="n"/>
      <c r="I1364" s="9">
        <f>IF($A1364="","",SUMIFS(Ventes_Encaissements!$D$6:$D$3005,Ventes_Encaissements!$B$6:$B$3005,$A1364))</f>
        <v/>
      </c>
      <c r="J1364" s="9">
        <f>IF($A1364="","",$H1364-$I1364)</f>
        <v/>
      </c>
      <c r="K1364" s="10">
        <f>IF($A1364="","",IF($I1364=0,"",_xludf.AGGREGATE(14,6,Ventes_Encaissements!$C$6:$C$3005/(Ventes_Encaissements!$B$6:$B$3005=$A1364),1)))</f>
        <v/>
      </c>
      <c r="L1364" s="11">
        <f>IF($A1364="","",COUNTIFS(Ventes_Detail!$B$6:$B$3005,$A1364))</f>
        <v/>
      </c>
      <c r="M1364" s="12" t="n"/>
      <c r="N1364" s="12">
        <f>IF($A1364="","",IF($G1364="","",IF($M1364="Oui","Litige",IF($J1364&lt;=0,"Payé",IF($I1364&gt;0,"Partiel",IF(Listes!$B$3&gt;$G1364,"En retard","À échoir"))))))</f>
        <v/>
      </c>
      <c r="O1364" s="11">
        <f>IF($A1364="","",IF(OR($G1364="", $J1364&lt;=0),0,MAX(0,Listes!$B$3-$G1364)))</f>
        <v/>
      </c>
      <c r="P1364" s="12">
        <f>IF($A1364="","",IF($J1364&lt;=0,"Payé",IF($M1364="Oui","Litige",IF($O1364=0,"À échoir",IF($O1364&lt;=30,"0-30",IF($O1364&lt;=60,"31-60",IF($O1364&lt;=90,"61-90","90+")))))))</f>
        <v/>
      </c>
    </row>
    <row r="1365">
      <c r="A1365" s="6" t="n"/>
      <c r="B1365" s="6" t="n"/>
      <c r="C1365" s="6" t="n"/>
      <c r="D1365" s="6" t="n"/>
      <c r="E1365" s="6" t="n"/>
      <c r="F1365" s="7" t="n"/>
      <c r="G1365" s="7" t="n"/>
      <c r="H1365" s="8" t="n"/>
      <c r="I1365" s="9">
        <f>IF($A1365="","",SUMIFS(Ventes_Encaissements!$D$6:$D$3005,Ventes_Encaissements!$B$6:$B$3005,$A1365))</f>
        <v/>
      </c>
      <c r="J1365" s="9">
        <f>IF($A1365="","",$H1365-$I1365)</f>
        <v/>
      </c>
      <c r="K1365" s="10">
        <f>IF($A1365="","",IF($I1365=0,"",_xludf.AGGREGATE(14,6,Ventes_Encaissements!$C$6:$C$3005/(Ventes_Encaissements!$B$6:$B$3005=$A1365),1)))</f>
        <v/>
      </c>
      <c r="L1365" s="11">
        <f>IF($A1365="","",COUNTIFS(Ventes_Detail!$B$6:$B$3005,$A1365))</f>
        <v/>
      </c>
      <c r="M1365" s="12" t="n"/>
      <c r="N1365" s="12">
        <f>IF($A1365="","",IF($G1365="","",IF($M1365="Oui","Litige",IF($J1365&lt;=0,"Payé",IF($I1365&gt;0,"Partiel",IF(Listes!$B$3&gt;$G1365,"En retard","À échoir"))))))</f>
        <v/>
      </c>
      <c r="O1365" s="11">
        <f>IF($A1365="","",IF(OR($G1365="", $J1365&lt;=0),0,MAX(0,Listes!$B$3-$G1365)))</f>
        <v/>
      </c>
      <c r="P1365" s="12">
        <f>IF($A1365="","",IF($J1365&lt;=0,"Payé",IF($M1365="Oui","Litige",IF($O1365=0,"À échoir",IF($O1365&lt;=30,"0-30",IF($O1365&lt;=60,"31-60",IF($O1365&lt;=90,"61-90","90+")))))))</f>
        <v/>
      </c>
    </row>
    <row r="1366">
      <c r="A1366" s="6" t="n"/>
      <c r="B1366" s="6" t="n"/>
      <c r="C1366" s="6" t="n"/>
      <c r="D1366" s="6" t="n"/>
      <c r="E1366" s="6" t="n"/>
      <c r="F1366" s="7" t="n"/>
      <c r="G1366" s="7" t="n"/>
      <c r="H1366" s="8" t="n"/>
      <c r="I1366" s="9">
        <f>IF($A1366="","",SUMIFS(Ventes_Encaissements!$D$6:$D$3005,Ventes_Encaissements!$B$6:$B$3005,$A1366))</f>
        <v/>
      </c>
      <c r="J1366" s="9">
        <f>IF($A1366="","",$H1366-$I1366)</f>
        <v/>
      </c>
      <c r="K1366" s="10">
        <f>IF($A1366="","",IF($I1366=0,"",_xludf.AGGREGATE(14,6,Ventes_Encaissements!$C$6:$C$3005/(Ventes_Encaissements!$B$6:$B$3005=$A1366),1)))</f>
        <v/>
      </c>
      <c r="L1366" s="11">
        <f>IF($A1366="","",COUNTIFS(Ventes_Detail!$B$6:$B$3005,$A1366))</f>
        <v/>
      </c>
      <c r="M1366" s="12" t="n"/>
      <c r="N1366" s="12">
        <f>IF($A1366="","",IF($G1366="","",IF($M1366="Oui","Litige",IF($J1366&lt;=0,"Payé",IF($I1366&gt;0,"Partiel",IF(Listes!$B$3&gt;$G1366,"En retard","À échoir"))))))</f>
        <v/>
      </c>
      <c r="O1366" s="11">
        <f>IF($A1366="","",IF(OR($G1366="", $J1366&lt;=0),0,MAX(0,Listes!$B$3-$G1366)))</f>
        <v/>
      </c>
      <c r="P1366" s="12">
        <f>IF($A1366="","",IF($J1366&lt;=0,"Payé",IF($M1366="Oui","Litige",IF($O1366=0,"À échoir",IF($O1366&lt;=30,"0-30",IF($O1366&lt;=60,"31-60",IF($O1366&lt;=90,"61-90","90+")))))))</f>
        <v/>
      </c>
    </row>
    <row r="1367">
      <c r="A1367" s="6" t="n"/>
      <c r="B1367" s="6" t="n"/>
      <c r="C1367" s="6" t="n"/>
      <c r="D1367" s="6" t="n"/>
      <c r="E1367" s="6" t="n"/>
      <c r="F1367" s="7" t="n"/>
      <c r="G1367" s="7" t="n"/>
      <c r="H1367" s="8" t="n"/>
      <c r="I1367" s="9">
        <f>IF($A1367="","",SUMIFS(Ventes_Encaissements!$D$6:$D$3005,Ventes_Encaissements!$B$6:$B$3005,$A1367))</f>
        <v/>
      </c>
      <c r="J1367" s="9">
        <f>IF($A1367="","",$H1367-$I1367)</f>
        <v/>
      </c>
      <c r="K1367" s="10">
        <f>IF($A1367="","",IF($I1367=0,"",_xludf.AGGREGATE(14,6,Ventes_Encaissements!$C$6:$C$3005/(Ventes_Encaissements!$B$6:$B$3005=$A1367),1)))</f>
        <v/>
      </c>
      <c r="L1367" s="11">
        <f>IF($A1367="","",COUNTIFS(Ventes_Detail!$B$6:$B$3005,$A1367))</f>
        <v/>
      </c>
      <c r="M1367" s="12" t="n"/>
      <c r="N1367" s="12">
        <f>IF($A1367="","",IF($G1367="","",IF($M1367="Oui","Litige",IF($J1367&lt;=0,"Payé",IF($I1367&gt;0,"Partiel",IF(Listes!$B$3&gt;$G1367,"En retard","À échoir"))))))</f>
        <v/>
      </c>
      <c r="O1367" s="11">
        <f>IF($A1367="","",IF(OR($G1367="", $J1367&lt;=0),0,MAX(0,Listes!$B$3-$G1367)))</f>
        <v/>
      </c>
      <c r="P1367" s="12">
        <f>IF($A1367="","",IF($J1367&lt;=0,"Payé",IF($M1367="Oui","Litige",IF($O1367=0,"À échoir",IF($O1367&lt;=30,"0-30",IF($O1367&lt;=60,"31-60",IF($O1367&lt;=90,"61-90","90+")))))))</f>
        <v/>
      </c>
    </row>
    <row r="1368">
      <c r="A1368" s="6" t="n"/>
      <c r="B1368" s="6" t="n"/>
      <c r="C1368" s="6" t="n"/>
      <c r="D1368" s="6" t="n"/>
      <c r="E1368" s="6" t="n"/>
      <c r="F1368" s="7" t="n"/>
      <c r="G1368" s="7" t="n"/>
      <c r="H1368" s="8" t="n"/>
      <c r="I1368" s="9">
        <f>IF($A1368="","",SUMIFS(Ventes_Encaissements!$D$6:$D$3005,Ventes_Encaissements!$B$6:$B$3005,$A1368))</f>
        <v/>
      </c>
      <c r="J1368" s="9">
        <f>IF($A1368="","",$H1368-$I1368)</f>
        <v/>
      </c>
      <c r="K1368" s="10">
        <f>IF($A1368="","",IF($I1368=0,"",_xludf.AGGREGATE(14,6,Ventes_Encaissements!$C$6:$C$3005/(Ventes_Encaissements!$B$6:$B$3005=$A1368),1)))</f>
        <v/>
      </c>
      <c r="L1368" s="11">
        <f>IF($A1368="","",COUNTIFS(Ventes_Detail!$B$6:$B$3005,$A1368))</f>
        <v/>
      </c>
      <c r="M1368" s="12" t="n"/>
      <c r="N1368" s="12">
        <f>IF($A1368="","",IF($G1368="","",IF($M1368="Oui","Litige",IF($J1368&lt;=0,"Payé",IF($I1368&gt;0,"Partiel",IF(Listes!$B$3&gt;$G1368,"En retard","À échoir"))))))</f>
        <v/>
      </c>
      <c r="O1368" s="11">
        <f>IF($A1368="","",IF(OR($G1368="", $J1368&lt;=0),0,MAX(0,Listes!$B$3-$G1368)))</f>
        <v/>
      </c>
      <c r="P1368" s="12">
        <f>IF($A1368="","",IF($J1368&lt;=0,"Payé",IF($M1368="Oui","Litige",IF($O1368=0,"À échoir",IF($O1368&lt;=30,"0-30",IF($O1368&lt;=60,"31-60",IF($O1368&lt;=90,"61-90","90+")))))))</f>
        <v/>
      </c>
    </row>
    <row r="1369">
      <c r="A1369" s="6" t="n"/>
      <c r="B1369" s="6" t="n"/>
      <c r="C1369" s="6" t="n"/>
      <c r="D1369" s="6" t="n"/>
      <c r="E1369" s="6" t="n"/>
      <c r="F1369" s="7" t="n"/>
      <c r="G1369" s="7" t="n"/>
      <c r="H1369" s="8" t="n"/>
      <c r="I1369" s="9">
        <f>IF($A1369="","",SUMIFS(Ventes_Encaissements!$D$6:$D$3005,Ventes_Encaissements!$B$6:$B$3005,$A1369))</f>
        <v/>
      </c>
      <c r="J1369" s="9">
        <f>IF($A1369="","",$H1369-$I1369)</f>
        <v/>
      </c>
      <c r="K1369" s="10">
        <f>IF($A1369="","",IF($I1369=0,"",_xludf.AGGREGATE(14,6,Ventes_Encaissements!$C$6:$C$3005/(Ventes_Encaissements!$B$6:$B$3005=$A1369),1)))</f>
        <v/>
      </c>
      <c r="L1369" s="11">
        <f>IF($A1369="","",COUNTIFS(Ventes_Detail!$B$6:$B$3005,$A1369))</f>
        <v/>
      </c>
      <c r="M1369" s="12" t="n"/>
      <c r="N1369" s="12">
        <f>IF($A1369="","",IF($G1369="","",IF($M1369="Oui","Litige",IF($J1369&lt;=0,"Payé",IF($I1369&gt;0,"Partiel",IF(Listes!$B$3&gt;$G1369,"En retard","À échoir"))))))</f>
        <v/>
      </c>
      <c r="O1369" s="11">
        <f>IF($A1369="","",IF(OR($G1369="", $J1369&lt;=0),0,MAX(0,Listes!$B$3-$G1369)))</f>
        <v/>
      </c>
      <c r="P1369" s="12">
        <f>IF($A1369="","",IF($J1369&lt;=0,"Payé",IF($M1369="Oui","Litige",IF($O1369=0,"À échoir",IF($O1369&lt;=30,"0-30",IF($O1369&lt;=60,"31-60",IF($O1369&lt;=90,"61-90","90+")))))))</f>
        <v/>
      </c>
    </row>
    <row r="1370">
      <c r="A1370" s="6" t="n"/>
      <c r="B1370" s="6" t="n"/>
      <c r="C1370" s="6" t="n"/>
      <c r="D1370" s="6" t="n"/>
      <c r="E1370" s="6" t="n"/>
      <c r="F1370" s="7" t="n"/>
      <c r="G1370" s="7" t="n"/>
      <c r="H1370" s="8" t="n"/>
      <c r="I1370" s="9">
        <f>IF($A1370="","",SUMIFS(Ventes_Encaissements!$D$6:$D$3005,Ventes_Encaissements!$B$6:$B$3005,$A1370))</f>
        <v/>
      </c>
      <c r="J1370" s="9">
        <f>IF($A1370="","",$H1370-$I1370)</f>
        <v/>
      </c>
      <c r="K1370" s="10">
        <f>IF($A1370="","",IF($I1370=0,"",_xludf.AGGREGATE(14,6,Ventes_Encaissements!$C$6:$C$3005/(Ventes_Encaissements!$B$6:$B$3005=$A1370),1)))</f>
        <v/>
      </c>
      <c r="L1370" s="11">
        <f>IF($A1370="","",COUNTIFS(Ventes_Detail!$B$6:$B$3005,$A1370))</f>
        <v/>
      </c>
      <c r="M1370" s="12" t="n"/>
      <c r="N1370" s="12">
        <f>IF($A1370="","",IF($G1370="","",IF($M1370="Oui","Litige",IF($J1370&lt;=0,"Payé",IF($I1370&gt;0,"Partiel",IF(Listes!$B$3&gt;$G1370,"En retard","À échoir"))))))</f>
        <v/>
      </c>
      <c r="O1370" s="11">
        <f>IF($A1370="","",IF(OR($G1370="", $J1370&lt;=0),0,MAX(0,Listes!$B$3-$G1370)))</f>
        <v/>
      </c>
      <c r="P1370" s="12">
        <f>IF($A1370="","",IF($J1370&lt;=0,"Payé",IF($M1370="Oui","Litige",IF($O1370=0,"À échoir",IF($O1370&lt;=30,"0-30",IF($O1370&lt;=60,"31-60",IF($O1370&lt;=90,"61-90","90+")))))))</f>
        <v/>
      </c>
    </row>
    <row r="1371">
      <c r="A1371" s="6" t="n"/>
      <c r="B1371" s="6" t="n"/>
      <c r="C1371" s="6" t="n"/>
      <c r="D1371" s="6" t="n"/>
      <c r="E1371" s="6" t="n"/>
      <c r="F1371" s="7" t="n"/>
      <c r="G1371" s="7" t="n"/>
      <c r="H1371" s="8" t="n"/>
      <c r="I1371" s="9">
        <f>IF($A1371="","",SUMIFS(Ventes_Encaissements!$D$6:$D$3005,Ventes_Encaissements!$B$6:$B$3005,$A1371))</f>
        <v/>
      </c>
      <c r="J1371" s="9">
        <f>IF($A1371="","",$H1371-$I1371)</f>
        <v/>
      </c>
      <c r="K1371" s="10">
        <f>IF($A1371="","",IF($I1371=0,"",_xludf.AGGREGATE(14,6,Ventes_Encaissements!$C$6:$C$3005/(Ventes_Encaissements!$B$6:$B$3005=$A1371),1)))</f>
        <v/>
      </c>
      <c r="L1371" s="11">
        <f>IF($A1371="","",COUNTIFS(Ventes_Detail!$B$6:$B$3005,$A1371))</f>
        <v/>
      </c>
      <c r="M1371" s="12" t="n"/>
      <c r="N1371" s="12">
        <f>IF($A1371="","",IF($G1371="","",IF($M1371="Oui","Litige",IF($J1371&lt;=0,"Payé",IF($I1371&gt;0,"Partiel",IF(Listes!$B$3&gt;$G1371,"En retard","À échoir"))))))</f>
        <v/>
      </c>
      <c r="O1371" s="11">
        <f>IF($A1371="","",IF(OR($G1371="", $J1371&lt;=0),0,MAX(0,Listes!$B$3-$G1371)))</f>
        <v/>
      </c>
      <c r="P1371" s="12">
        <f>IF($A1371="","",IF($J1371&lt;=0,"Payé",IF($M1371="Oui","Litige",IF($O1371=0,"À échoir",IF($O1371&lt;=30,"0-30",IF($O1371&lt;=60,"31-60",IF($O1371&lt;=90,"61-90","90+")))))))</f>
        <v/>
      </c>
    </row>
    <row r="1372">
      <c r="A1372" s="6" t="n"/>
      <c r="B1372" s="6" t="n"/>
      <c r="C1372" s="6" t="n"/>
      <c r="D1372" s="6" t="n"/>
      <c r="E1372" s="6" t="n"/>
      <c r="F1372" s="7" t="n"/>
      <c r="G1372" s="7" t="n"/>
      <c r="H1372" s="8" t="n"/>
      <c r="I1372" s="9">
        <f>IF($A1372="","",SUMIFS(Ventes_Encaissements!$D$6:$D$3005,Ventes_Encaissements!$B$6:$B$3005,$A1372))</f>
        <v/>
      </c>
      <c r="J1372" s="9">
        <f>IF($A1372="","",$H1372-$I1372)</f>
        <v/>
      </c>
      <c r="K1372" s="10">
        <f>IF($A1372="","",IF($I1372=0,"",_xludf.AGGREGATE(14,6,Ventes_Encaissements!$C$6:$C$3005/(Ventes_Encaissements!$B$6:$B$3005=$A1372),1)))</f>
        <v/>
      </c>
      <c r="L1372" s="11">
        <f>IF($A1372="","",COUNTIFS(Ventes_Detail!$B$6:$B$3005,$A1372))</f>
        <v/>
      </c>
      <c r="M1372" s="12" t="n"/>
      <c r="N1372" s="12">
        <f>IF($A1372="","",IF($G1372="","",IF($M1372="Oui","Litige",IF($J1372&lt;=0,"Payé",IF($I1372&gt;0,"Partiel",IF(Listes!$B$3&gt;$G1372,"En retard","À échoir"))))))</f>
        <v/>
      </c>
      <c r="O1372" s="11">
        <f>IF($A1372="","",IF(OR($G1372="", $J1372&lt;=0),0,MAX(0,Listes!$B$3-$G1372)))</f>
        <v/>
      </c>
      <c r="P1372" s="12">
        <f>IF($A1372="","",IF($J1372&lt;=0,"Payé",IF($M1372="Oui","Litige",IF($O1372=0,"À échoir",IF($O1372&lt;=30,"0-30",IF($O1372&lt;=60,"31-60",IF($O1372&lt;=90,"61-90","90+")))))))</f>
        <v/>
      </c>
    </row>
    <row r="1373">
      <c r="A1373" s="6" t="n"/>
      <c r="B1373" s="6" t="n"/>
      <c r="C1373" s="6" t="n"/>
      <c r="D1373" s="6" t="n"/>
      <c r="E1373" s="6" t="n"/>
      <c r="F1373" s="7" t="n"/>
      <c r="G1373" s="7" t="n"/>
      <c r="H1373" s="8" t="n"/>
      <c r="I1373" s="9">
        <f>IF($A1373="","",SUMIFS(Ventes_Encaissements!$D$6:$D$3005,Ventes_Encaissements!$B$6:$B$3005,$A1373))</f>
        <v/>
      </c>
      <c r="J1373" s="9">
        <f>IF($A1373="","",$H1373-$I1373)</f>
        <v/>
      </c>
      <c r="K1373" s="10">
        <f>IF($A1373="","",IF($I1373=0,"",_xludf.AGGREGATE(14,6,Ventes_Encaissements!$C$6:$C$3005/(Ventes_Encaissements!$B$6:$B$3005=$A1373),1)))</f>
        <v/>
      </c>
      <c r="L1373" s="11">
        <f>IF($A1373="","",COUNTIFS(Ventes_Detail!$B$6:$B$3005,$A1373))</f>
        <v/>
      </c>
      <c r="M1373" s="12" t="n"/>
      <c r="N1373" s="12">
        <f>IF($A1373="","",IF($G1373="","",IF($M1373="Oui","Litige",IF($J1373&lt;=0,"Payé",IF($I1373&gt;0,"Partiel",IF(Listes!$B$3&gt;$G1373,"En retard","À échoir"))))))</f>
        <v/>
      </c>
      <c r="O1373" s="11">
        <f>IF($A1373="","",IF(OR($G1373="", $J1373&lt;=0),0,MAX(0,Listes!$B$3-$G1373)))</f>
        <v/>
      </c>
      <c r="P1373" s="12">
        <f>IF($A1373="","",IF($J1373&lt;=0,"Payé",IF($M1373="Oui","Litige",IF($O1373=0,"À échoir",IF($O1373&lt;=30,"0-30",IF($O1373&lt;=60,"31-60",IF($O1373&lt;=90,"61-90","90+")))))))</f>
        <v/>
      </c>
    </row>
    <row r="1374">
      <c r="A1374" s="6" t="n"/>
      <c r="B1374" s="6" t="n"/>
      <c r="C1374" s="6" t="n"/>
      <c r="D1374" s="6" t="n"/>
      <c r="E1374" s="6" t="n"/>
      <c r="F1374" s="7" t="n"/>
      <c r="G1374" s="7" t="n"/>
      <c r="H1374" s="8" t="n"/>
      <c r="I1374" s="9">
        <f>IF($A1374="","",SUMIFS(Ventes_Encaissements!$D$6:$D$3005,Ventes_Encaissements!$B$6:$B$3005,$A1374))</f>
        <v/>
      </c>
      <c r="J1374" s="9">
        <f>IF($A1374="","",$H1374-$I1374)</f>
        <v/>
      </c>
      <c r="K1374" s="10">
        <f>IF($A1374="","",IF($I1374=0,"",_xludf.AGGREGATE(14,6,Ventes_Encaissements!$C$6:$C$3005/(Ventes_Encaissements!$B$6:$B$3005=$A1374),1)))</f>
        <v/>
      </c>
      <c r="L1374" s="11">
        <f>IF($A1374="","",COUNTIFS(Ventes_Detail!$B$6:$B$3005,$A1374))</f>
        <v/>
      </c>
      <c r="M1374" s="12" t="n"/>
      <c r="N1374" s="12">
        <f>IF($A1374="","",IF($G1374="","",IF($M1374="Oui","Litige",IF($J1374&lt;=0,"Payé",IF($I1374&gt;0,"Partiel",IF(Listes!$B$3&gt;$G1374,"En retard","À échoir"))))))</f>
        <v/>
      </c>
      <c r="O1374" s="11">
        <f>IF($A1374="","",IF(OR($G1374="", $J1374&lt;=0),0,MAX(0,Listes!$B$3-$G1374)))</f>
        <v/>
      </c>
      <c r="P1374" s="12">
        <f>IF($A1374="","",IF($J1374&lt;=0,"Payé",IF($M1374="Oui","Litige",IF($O1374=0,"À échoir",IF($O1374&lt;=30,"0-30",IF($O1374&lt;=60,"31-60",IF($O1374&lt;=90,"61-90","90+")))))))</f>
        <v/>
      </c>
    </row>
    <row r="1375">
      <c r="A1375" s="6" t="n"/>
      <c r="B1375" s="6" t="n"/>
      <c r="C1375" s="6" t="n"/>
      <c r="D1375" s="6" t="n"/>
      <c r="E1375" s="6" t="n"/>
      <c r="F1375" s="7" t="n"/>
      <c r="G1375" s="7" t="n"/>
      <c r="H1375" s="8" t="n"/>
      <c r="I1375" s="9">
        <f>IF($A1375="","",SUMIFS(Ventes_Encaissements!$D$6:$D$3005,Ventes_Encaissements!$B$6:$B$3005,$A1375))</f>
        <v/>
      </c>
      <c r="J1375" s="9">
        <f>IF($A1375="","",$H1375-$I1375)</f>
        <v/>
      </c>
      <c r="K1375" s="10">
        <f>IF($A1375="","",IF($I1375=0,"",_xludf.AGGREGATE(14,6,Ventes_Encaissements!$C$6:$C$3005/(Ventes_Encaissements!$B$6:$B$3005=$A1375),1)))</f>
        <v/>
      </c>
      <c r="L1375" s="11">
        <f>IF($A1375="","",COUNTIFS(Ventes_Detail!$B$6:$B$3005,$A1375))</f>
        <v/>
      </c>
      <c r="M1375" s="12" t="n"/>
      <c r="N1375" s="12">
        <f>IF($A1375="","",IF($G1375="","",IF($M1375="Oui","Litige",IF($J1375&lt;=0,"Payé",IF($I1375&gt;0,"Partiel",IF(Listes!$B$3&gt;$G1375,"En retard","À échoir"))))))</f>
        <v/>
      </c>
      <c r="O1375" s="11">
        <f>IF($A1375="","",IF(OR($G1375="", $J1375&lt;=0),0,MAX(0,Listes!$B$3-$G1375)))</f>
        <v/>
      </c>
      <c r="P1375" s="12">
        <f>IF($A1375="","",IF($J1375&lt;=0,"Payé",IF($M1375="Oui","Litige",IF($O1375=0,"À échoir",IF($O1375&lt;=30,"0-30",IF($O1375&lt;=60,"31-60",IF($O1375&lt;=90,"61-90","90+")))))))</f>
        <v/>
      </c>
    </row>
    <row r="1376">
      <c r="A1376" s="6" t="n"/>
      <c r="B1376" s="6" t="n"/>
      <c r="C1376" s="6" t="n"/>
      <c r="D1376" s="6" t="n"/>
      <c r="E1376" s="6" t="n"/>
      <c r="F1376" s="7" t="n"/>
      <c r="G1376" s="7" t="n"/>
      <c r="H1376" s="8" t="n"/>
      <c r="I1376" s="9">
        <f>IF($A1376="","",SUMIFS(Ventes_Encaissements!$D$6:$D$3005,Ventes_Encaissements!$B$6:$B$3005,$A1376))</f>
        <v/>
      </c>
      <c r="J1376" s="9">
        <f>IF($A1376="","",$H1376-$I1376)</f>
        <v/>
      </c>
      <c r="K1376" s="10">
        <f>IF($A1376="","",IF($I1376=0,"",_xludf.AGGREGATE(14,6,Ventes_Encaissements!$C$6:$C$3005/(Ventes_Encaissements!$B$6:$B$3005=$A1376),1)))</f>
        <v/>
      </c>
      <c r="L1376" s="11">
        <f>IF($A1376="","",COUNTIFS(Ventes_Detail!$B$6:$B$3005,$A1376))</f>
        <v/>
      </c>
      <c r="M1376" s="12" t="n"/>
      <c r="N1376" s="12">
        <f>IF($A1376="","",IF($G1376="","",IF($M1376="Oui","Litige",IF($J1376&lt;=0,"Payé",IF($I1376&gt;0,"Partiel",IF(Listes!$B$3&gt;$G1376,"En retard","À échoir"))))))</f>
        <v/>
      </c>
      <c r="O1376" s="11">
        <f>IF($A1376="","",IF(OR($G1376="", $J1376&lt;=0),0,MAX(0,Listes!$B$3-$G1376)))</f>
        <v/>
      </c>
      <c r="P1376" s="12">
        <f>IF($A1376="","",IF($J1376&lt;=0,"Payé",IF($M1376="Oui","Litige",IF($O1376=0,"À échoir",IF($O1376&lt;=30,"0-30",IF($O1376&lt;=60,"31-60",IF($O1376&lt;=90,"61-90","90+")))))))</f>
        <v/>
      </c>
    </row>
    <row r="1377">
      <c r="A1377" s="6" t="n"/>
      <c r="B1377" s="6" t="n"/>
      <c r="C1377" s="6" t="n"/>
      <c r="D1377" s="6" t="n"/>
      <c r="E1377" s="6" t="n"/>
      <c r="F1377" s="7" t="n"/>
      <c r="G1377" s="7" t="n"/>
      <c r="H1377" s="8" t="n"/>
      <c r="I1377" s="9">
        <f>IF($A1377="","",SUMIFS(Ventes_Encaissements!$D$6:$D$3005,Ventes_Encaissements!$B$6:$B$3005,$A1377))</f>
        <v/>
      </c>
      <c r="J1377" s="9">
        <f>IF($A1377="","",$H1377-$I1377)</f>
        <v/>
      </c>
      <c r="K1377" s="10">
        <f>IF($A1377="","",IF($I1377=0,"",_xludf.AGGREGATE(14,6,Ventes_Encaissements!$C$6:$C$3005/(Ventes_Encaissements!$B$6:$B$3005=$A1377),1)))</f>
        <v/>
      </c>
      <c r="L1377" s="11">
        <f>IF($A1377="","",COUNTIFS(Ventes_Detail!$B$6:$B$3005,$A1377))</f>
        <v/>
      </c>
      <c r="M1377" s="12" t="n"/>
      <c r="N1377" s="12">
        <f>IF($A1377="","",IF($G1377="","",IF($M1377="Oui","Litige",IF($J1377&lt;=0,"Payé",IF($I1377&gt;0,"Partiel",IF(Listes!$B$3&gt;$G1377,"En retard","À échoir"))))))</f>
        <v/>
      </c>
      <c r="O1377" s="11">
        <f>IF($A1377="","",IF(OR($G1377="", $J1377&lt;=0),0,MAX(0,Listes!$B$3-$G1377)))</f>
        <v/>
      </c>
      <c r="P1377" s="12">
        <f>IF($A1377="","",IF($J1377&lt;=0,"Payé",IF($M1377="Oui","Litige",IF($O1377=0,"À échoir",IF($O1377&lt;=30,"0-30",IF($O1377&lt;=60,"31-60",IF($O1377&lt;=90,"61-90","90+")))))))</f>
        <v/>
      </c>
    </row>
    <row r="1378">
      <c r="A1378" s="6" t="n"/>
      <c r="B1378" s="6" t="n"/>
      <c r="C1378" s="6" t="n"/>
      <c r="D1378" s="6" t="n"/>
      <c r="E1378" s="6" t="n"/>
      <c r="F1378" s="7" t="n"/>
      <c r="G1378" s="7" t="n"/>
      <c r="H1378" s="8" t="n"/>
      <c r="I1378" s="9">
        <f>IF($A1378="","",SUMIFS(Ventes_Encaissements!$D$6:$D$3005,Ventes_Encaissements!$B$6:$B$3005,$A1378))</f>
        <v/>
      </c>
      <c r="J1378" s="9">
        <f>IF($A1378="","",$H1378-$I1378)</f>
        <v/>
      </c>
      <c r="K1378" s="10">
        <f>IF($A1378="","",IF($I1378=0,"",_xludf.AGGREGATE(14,6,Ventes_Encaissements!$C$6:$C$3005/(Ventes_Encaissements!$B$6:$B$3005=$A1378),1)))</f>
        <v/>
      </c>
      <c r="L1378" s="11">
        <f>IF($A1378="","",COUNTIFS(Ventes_Detail!$B$6:$B$3005,$A1378))</f>
        <v/>
      </c>
      <c r="M1378" s="12" t="n"/>
      <c r="N1378" s="12">
        <f>IF($A1378="","",IF($G1378="","",IF($M1378="Oui","Litige",IF($J1378&lt;=0,"Payé",IF($I1378&gt;0,"Partiel",IF(Listes!$B$3&gt;$G1378,"En retard","À échoir"))))))</f>
        <v/>
      </c>
      <c r="O1378" s="11">
        <f>IF($A1378="","",IF(OR($G1378="", $J1378&lt;=0),0,MAX(0,Listes!$B$3-$G1378)))</f>
        <v/>
      </c>
      <c r="P1378" s="12">
        <f>IF($A1378="","",IF($J1378&lt;=0,"Payé",IF($M1378="Oui","Litige",IF($O1378=0,"À échoir",IF($O1378&lt;=30,"0-30",IF($O1378&lt;=60,"31-60",IF($O1378&lt;=90,"61-90","90+")))))))</f>
        <v/>
      </c>
    </row>
    <row r="1379">
      <c r="A1379" s="6" t="n"/>
      <c r="B1379" s="6" t="n"/>
      <c r="C1379" s="6" t="n"/>
      <c r="D1379" s="6" t="n"/>
      <c r="E1379" s="6" t="n"/>
      <c r="F1379" s="7" t="n"/>
      <c r="G1379" s="7" t="n"/>
      <c r="H1379" s="8" t="n"/>
      <c r="I1379" s="9">
        <f>IF($A1379="","",SUMIFS(Ventes_Encaissements!$D$6:$D$3005,Ventes_Encaissements!$B$6:$B$3005,$A1379))</f>
        <v/>
      </c>
      <c r="J1379" s="9">
        <f>IF($A1379="","",$H1379-$I1379)</f>
        <v/>
      </c>
      <c r="K1379" s="10">
        <f>IF($A1379="","",IF($I1379=0,"",_xludf.AGGREGATE(14,6,Ventes_Encaissements!$C$6:$C$3005/(Ventes_Encaissements!$B$6:$B$3005=$A1379),1)))</f>
        <v/>
      </c>
      <c r="L1379" s="11">
        <f>IF($A1379="","",COUNTIFS(Ventes_Detail!$B$6:$B$3005,$A1379))</f>
        <v/>
      </c>
      <c r="M1379" s="12" t="n"/>
      <c r="N1379" s="12">
        <f>IF($A1379="","",IF($G1379="","",IF($M1379="Oui","Litige",IF($J1379&lt;=0,"Payé",IF($I1379&gt;0,"Partiel",IF(Listes!$B$3&gt;$G1379,"En retard","À échoir"))))))</f>
        <v/>
      </c>
      <c r="O1379" s="11">
        <f>IF($A1379="","",IF(OR($G1379="", $J1379&lt;=0),0,MAX(0,Listes!$B$3-$G1379)))</f>
        <v/>
      </c>
      <c r="P1379" s="12">
        <f>IF($A1379="","",IF($J1379&lt;=0,"Payé",IF($M1379="Oui","Litige",IF($O1379=0,"À échoir",IF($O1379&lt;=30,"0-30",IF($O1379&lt;=60,"31-60",IF($O1379&lt;=90,"61-90","90+")))))))</f>
        <v/>
      </c>
    </row>
    <row r="1380">
      <c r="A1380" s="6" t="n"/>
      <c r="B1380" s="6" t="n"/>
      <c r="C1380" s="6" t="n"/>
      <c r="D1380" s="6" t="n"/>
      <c r="E1380" s="6" t="n"/>
      <c r="F1380" s="7" t="n"/>
      <c r="G1380" s="7" t="n"/>
      <c r="H1380" s="8" t="n"/>
      <c r="I1380" s="9">
        <f>IF($A1380="","",SUMIFS(Ventes_Encaissements!$D$6:$D$3005,Ventes_Encaissements!$B$6:$B$3005,$A1380))</f>
        <v/>
      </c>
      <c r="J1380" s="9">
        <f>IF($A1380="","",$H1380-$I1380)</f>
        <v/>
      </c>
      <c r="K1380" s="10">
        <f>IF($A1380="","",IF($I1380=0,"",_xludf.AGGREGATE(14,6,Ventes_Encaissements!$C$6:$C$3005/(Ventes_Encaissements!$B$6:$B$3005=$A1380),1)))</f>
        <v/>
      </c>
      <c r="L1380" s="11">
        <f>IF($A1380="","",COUNTIFS(Ventes_Detail!$B$6:$B$3005,$A1380))</f>
        <v/>
      </c>
      <c r="M1380" s="12" t="n"/>
      <c r="N1380" s="12">
        <f>IF($A1380="","",IF($G1380="","",IF($M1380="Oui","Litige",IF($J1380&lt;=0,"Payé",IF($I1380&gt;0,"Partiel",IF(Listes!$B$3&gt;$G1380,"En retard","À échoir"))))))</f>
        <v/>
      </c>
      <c r="O1380" s="11">
        <f>IF($A1380="","",IF(OR($G1380="", $J1380&lt;=0),0,MAX(0,Listes!$B$3-$G1380)))</f>
        <v/>
      </c>
      <c r="P1380" s="12">
        <f>IF($A1380="","",IF($J1380&lt;=0,"Payé",IF($M1380="Oui","Litige",IF($O1380=0,"À échoir",IF($O1380&lt;=30,"0-30",IF($O1380&lt;=60,"31-60",IF($O1380&lt;=90,"61-90","90+")))))))</f>
        <v/>
      </c>
    </row>
    <row r="1381">
      <c r="A1381" s="6" t="n"/>
      <c r="B1381" s="6" t="n"/>
      <c r="C1381" s="6" t="n"/>
      <c r="D1381" s="6" t="n"/>
      <c r="E1381" s="6" t="n"/>
      <c r="F1381" s="7" t="n"/>
      <c r="G1381" s="7" t="n"/>
      <c r="H1381" s="8" t="n"/>
      <c r="I1381" s="9">
        <f>IF($A1381="","",SUMIFS(Ventes_Encaissements!$D$6:$D$3005,Ventes_Encaissements!$B$6:$B$3005,$A1381))</f>
        <v/>
      </c>
      <c r="J1381" s="9">
        <f>IF($A1381="","",$H1381-$I1381)</f>
        <v/>
      </c>
      <c r="K1381" s="10">
        <f>IF($A1381="","",IF($I1381=0,"",_xludf.AGGREGATE(14,6,Ventes_Encaissements!$C$6:$C$3005/(Ventes_Encaissements!$B$6:$B$3005=$A1381),1)))</f>
        <v/>
      </c>
      <c r="L1381" s="11">
        <f>IF($A1381="","",COUNTIFS(Ventes_Detail!$B$6:$B$3005,$A1381))</f>
        <v/>
      </c>
      <c r="M1381" s="12" t="n"/>
      <c r="N1381" s="12">
        <f>IF($A1381="","",IF($G1381="","",IF($M1381="Oui","Litige",IF($J1381&lt;=0,"Payé",IF($I1381&gt;0,"Partiel",IF(Listes!$B$3&gt;$G1381,"En retard","À échoir"))))))</f>
        <v/>
      </c>
      <c r="O1381" s="11">
        <f>IF($A1381="","",IF(OR($G1381="", $J1381&lt;=0),0,MAX(0,Listes!$B$3-$G1381)))</f>
        <v/>
      </c>
      <c r="P1381" s="12">
        <f>IF($A1381="","",IF($J1381&lt;=0,"Payé",IF($M1381="Oui","Litige",IF($O1381=0,"À échoir",IF($O1381&lt;=30,"0-30",IF($O1381&lt;=60,"31-60",IF($O1381&lt;=90,"61-90","90+")))))))</f>
        <v/>
      </c>
    </row>
    <row r="1382">
      <c r="A1382" s="6" t="n"/>
      <c r="B1382" s="6" t="n"/>
      <c r="C1382" s="6" t="n"/>
      <c r="D1382" s="6" t="n"/>
      <c r="E1382" s="6" t="n"/>
      <c r="F1382" s="7" t="n"/>
      <c r="G1382" s="7" t="n"/>
      <c r="H1382" s="8" t="n"/>
      <c r="I1382" s="9">
        <f>IF($A1382="","",SUMIFS(Ventes_Encaissements!$D$6:$D$3005,Ventes_Encaissements!$B$6:$B$3005,$A1382))</f>
        <v/>
      </c>
      <c r="J1382" s="9">
        <f>IF($A1382="","",$H1382-$I1382)</f>
        <v/>
      </c>
      <c r="K1382" s="10">
        <f>IF($A1382="","",IF($I1382=0,"",_xludf.AGGREGATE(14,6,Ventes_Encaissements!$C$6:$C$3005/(Ventes_Encaissements!$B$6:$B$3005=$A1382),1)))</f>
        <v/>
      </c>
      <c r="L1382" s="11">
        <f>IF($A1382="","",COUNTIFS(Ventes_Detail!$B$6:$B$3005,$A1382))</f>
        <v/>
      </c>
      <c r="M1382" s="12" t="n"/>
      <c r="N1382" s="12">
        <f>IF($A1382="","",IF($G1382="","",IF($M1382="Oui","Litige",IF($J1382&lt;=0,"Payé",IF($I1382&gt;0,"Partiel",IF(Listes!$B$3&gt;$G1382,"En retard","À échoir"))))))</f>
        <v/>
      </c>
      <c r="O1382" s="11">
        <f>IF($A1382="","",IF(OR($G1382="", $J1382&lt;=0),0,MAX(0,Listes!$B$3-$G1382)))</f>
        <v/>
      </c>
      <c r="P1382" s="12">
        <f>IF($A1382="","",IF($J1382&lt;=0,"Payé",IF($M1382="Oui","Litige",IF($O1382=0,"À échoir",IF($O1382&lt;=30,"0-30",IF($O1382&lt;=60,"31-60",IF($O1382&lt;=90,"61-90","90+")))))))</f>
        <v/>
      </c>
    </row>
    <row r="1383">
      <c r="A1383" s="6" t="n"/>
      <c r="B1383" s="6" t="n"/>
      <c r="C1383" s="6" t="n"/>
      <c r="D1383" s="6" t="n"/>
      <c r="E1383" s="6" t="n"/>
      <c r="F1383" s="7" t="n"/>
      <c r="G1383" s="7" t="n"/>
      <c r="H1383" s="8" t="n"/>
      <c r="I1383" s="9">
        <f>IF($A1383="","",SUMIFS(Ventes_Encaissements!$D$6:$D$3005,Ventes_Encaissements!$B$6:$B$3005,$A1383))</f>
        <v/>
      </c>
      <c r="J1383" s="9">
        <f>IF($A1383="","",$H1383-$I1383)</f>
        <v/>
      </c>
      <c r="K1383" s="10">
        <f>IF($A1383="","",IF($I1383=0,"",_xludf.AGGREGATE(14,6,Ventes_Encaissements!$C$6:$C$3005/(Ventes_Encaissements!$B$6:$B$3005=$A1383),1)))</f>
        <v/>
      </c>
      <c r="L1383" s="11">
        <f>IF($A1383="","",COUNTIFS(Ventes_Detail!$B$6:$B$3005,$A1383))</f>
        <v/>
      </c>
      <c r="M1383" s="12" t="n"/>
      <c r="N1383" s="12">
        <f>IF($A1383="","",IF($G1383="","",IF($M1383="Oui","Litige",IF($J1383&lt;=0,"Payé",IF($I1383&gt;0,"Partiel",IF(Listes!$B$3&gt;$G1383,"En retard","À échoir"))))))</f>
        <v/>
      </c>
      <c r="O1383" s="11">
        <f>IF($A1383="","",IF(OR($G1383="", $J1383&lt;=0),0,MAX(0,Listes!$B$3-$G1383)))</f>
        <v/>
      </c>
      <c r="P1383" s="12">
        <f>IF($A1383="","",IF($J1383&lt;=0,"Payé",IF($M1383="Oui","Litige",IF($O1383=0,"À échoir",IF($O1383&lt;=30,"0-30",IF($O1383&lt;=60,"31-60",IF($O1383&lt;=90,"61-90","90+")))))))</f>
        <v/>
      </c>
    </row>
    <row r="1384">
      <c r="A1384" s="6" t="n"/>
      <c r="B1384" s="6" t="n"/>
      <c r="C1384" s="6" t="n"/>
      <c r="D1384" s="6" t="n"/>
      <c r="E1384" s="6" t="n"/>
      <c r="F1384" s="7" t="n"/>
      <c r="G1384" s="7" t="n"/>
      <c r="H1384" s="8" t="n"/>
      <c r="I1384" s="9">
        <f>IF($A1384="","",SUMIFS(Ventes_Encaissements!$D$6:$D$3005,Ventes_Encaissements!$B$6:$B$3005,$A1384))</f>
        <v/>
      </c>
      <c r="J1384" s="9">
        <f>IF($A1384="","",$H1384-$I1384)</f>
        <v/>
      </c>
      <c r="K1384" s="10">
        <f>IF($A1384="","",IF($I1384=0,"",_xludf.AGGREGATE(14,6,Ventes_Encaissements!$C$6:$C$3005/(Ventes_Encaissements!$B$6:$B$3005=$A1384),1)))</f>
        <v/>
      </c>
      <c r="L1384" s="11">
        <f>IF($A1384="","",COUNTIFS(Ventes_Detail!$B$6:$B$3005,$A1384))</f>
        <v/>
      </c>
      <c r="M1384" s="12" t="n"/>
      <c r="N1384" s="12">
        <f>IF($A1384="","",IF($G1384="","",IF($M1384="Oui","Litige",IF($J1384&lt;=0,"Payé",IF($I1384&gt;0,"Partiel",IF(Listes!$B$3&gt;$G1384,"En retard","À échoir"))))))</f>
        <v/>
      </c>
      <c r="O1384" s="11">
        <f>IF($A1384="","",IF(OR($G1384="", $J1384&lt;=0),0,MAX(0,Listes!$B$3-$G1384)))</f>
        <v/>
      </c>
      <c r="P1384" s="12">
        <f>IF($A1384="","",IF($J1384&lt;=0,"Payé",IF($M1384="Oui","Litige",IF($O1384=0,"À échoir",IF($O1384&lt;=30,"0-30",IF($O1384&lt;=60,"31-60",IF($O1384&lt;=90,"61-90","90+")))))))</f>
        <v/>
      </c>
    </row>
    <row r="1385">
      <c r="A1385" s="6" t="n"/>
      <c r="B1385" s="6" t="n"/>
      <c r="C1385" s="6" t="n"/>
      <c r="D1385" s="6" t="n"/>
      <c r="E1385" s="6" t="n"/>
      <c r="F1385" s="7" t="n"/>
      <c r="G1385" s="7" t="n"/>
      <c r="H1385" s="8" t="n"/>
      <c r="I1385" s="9">
        <f>IF($A1385="","",SUMIFS(Ventes_Encaissements!$D$6:$D$3005,Ventes_Encaissements!$B$6:$B$3005,$A1385))</f>
        <v/>
      </c>
      <c r="J1385" s="9">
        <f>IF($A1385="","",$H1385-$I1385)</f>
        <v/>
      </c>
      <c r="K1385" s="10">
        <f>IF($A1385="","",IF($I1385=0,"",_xludf.AGGREGATE(14,6,Ventes_Encaissements!$C$6:$C$3005/(Ventes_Encaissements!$B$6:$B$3005=$A1385),1)))</f>
        <v/>
      </c>
      <c r="L1385" s="11">
        <f>IF($A1385="","",COUNTIFS(Ventes_Detail!$B$6:$B$3005,$A1385))</f>
        <v/>
      </c>
      <c r="M1385" s="12" t="n"/>
      <c r="N1385" s="12">
        <f>IF($A1385="","",IF($G1385="","",IF($M1385="Oui","Litige",IF($J1385&lt;=0,"Payé",IF($I1385&gt;0,"Partiel",IF(Listes!$B$3&gt;$G1385,"En retard","À échoir"))))))</f>
        <v/>
      </c>
      <c r="O1385" s="11">
        <f>IF($A1385="","",IF(OR($G1385="", $J1385&lt;=0),0,MAX(0,Listes!$B$3-$G1385)))</f>
        <v/>
      </c>
      <c r="P1385" s="12">
        <f>IF($A1385="","",IF($J1385&lt;=0,"Payé",IF($M1385="Oui","Litige",IF($O1385=0,"À échoir",IF($O1385&lt;=30,"0-30",IF($O1385&lt;=60,"31-60",IF($O1385&lt;=90,"61-90","90+")))))))</f>
        <v/>
      </c>
    </row>
    <row r="1386">
      <c r="A1386" s="6" t="n"/>
      <c r="B1386" s="6" t="n"/>
      <c r="C1386" s="6" t="n"/>
      <c r="D1386" s="6" t="n"/>
      <c r="E1386" s="6" t="n"/>
      <c r="F1386" s="7" t="n"/>
      <c r="G1386" s="7" t="n"/>
      <c r="H1386" s="8" t="n"/>
      <c r="I1386" s="9">
        <f>IF($A1386="","",SUMIFS(Ventes_Encaissements!$D$6:$D$3005,Ventes_Encaissements!$B$6:$B$3005,$A1386))</f>
        <v/>
      </c>
      <c r="J1386" s="9">
        <f>IF($A1386="","",$H1386-$I1386)</f>
        <v/>
      </c>
      <c r="K1386" s="10">
        <f>IF($A1386="","",IF($I1386=0,"",_xludf.AGGREGATE(14,6,Ventes_Encaissements!$C$6:$C$3005/(Ventes_Encaissements!$B$6:$B$3005=$A1386),1)))</f>
        <v/>
      </c>
      <c r="L1386" s="11">
        <f>IF($A1386="","",COUNTIFS(Ventes_Detail!$B$6:$B$3005,$A1386))</f>
        <v/>
      </c>
      <c r="M1386" s="12" t="n"/>
      <c r="N1386" s="12">
        <f>IF($A1386="","",IF($G1386="","",IF($M1386="Oui","Litige",IF($J1386&lt;=0,"Payé",IF($I1386&gt;0,"Partiel",IF(Listes!$B$3&gt;$G1386,"En retard","À échoir"))))))</f>
        <v/>
      </c>
      <c r="O1386" s="11">
        <f>IF($A1386="","",IF(OR($G1386="", $J1386&lt;=0),0,MAX(0,Listes!$B$3-$G1386)))</f>
        <v/>
      </c>
      <c r="P1386" s="12">
        <f>IF($A1386="","",IF($J1386&lt;=0,"Payé",IF($M1386="Oui","Litige",IF($O1386=0,"À échoir",IF($O1386&lt;=30,"0-30",IF($O1386&lt;=60,"31-60",IF($O1386&lt;=90,"61-90","90+")))))))</f>
        <v/>
      </c>
    </row>
    <row r="1387">
      <c r="A1387" s="6" t="n"/>
      <c r="B1387" s="6" t="n"/>
      <c r="C1387" s="6" t="n"/>
      <c r="D1387" s="6" t="n"/>
      <c r="E1387" s="6" t="n"/>
      <c r="F1387" s="7" t="n"/>
      <c r="G1387" s="7" t="n"/>
      <c r="H1387" s="8" t="n"/>
      <c r="I1387" s="9">
        <f>IF($A1387="","",SUMIFS(Ventes_Encaissements!$D$6:$D$3005,Ventes_Encaissements!$B$6:$B$3005,$A1387))</f>
        <v/>
      </c>
      <c r="J1387" s="9">
        <f>IF($A1387="","",$H1387-$I1387)</f>
        <v/>
      </c>
      <c r="K1387" s="10">
        <f>IF($A1387="","",IF($I1387=0,"",_xludf.AGGREGATE(14,6,Ventes_Encaissements!$C$6:$C$3005/(Ventes_Encaissements!$B$6:$B$3005=$A1387),1)))</f>
        <v/>
      </c>
      <c r="L1387" s="11">
        <f>IF($A1387="","",COUNTIFS(Ventes_Detail!$B$6:$B$3005,$A1387))</f>
        <v/>
      </c>
      <c r="M1387" s="12" t="n"/>
      <c r="N1387" s="12">
        <f>IF($A1387="","",IF($G1387="","",IF($M1387="Oui","Litige",IF($J1387&lt;=0,"Payé",IF($I1387&gt;0,"Partiel",IF(Listes!$B$3&gt;$G1387,"En retard","À échoir"))))))</f>
        <v/>
      </c>
      <c r="O1387" s="11">
        <f>IF($A1387="","",IF(OR($G1387="", $J1387&lt;=0),0,MAX(0,Listes!$B$3-$G1387)))</f>
        <v/>
      </c>
      <c r="P1387" s="12">
        <f>IF($A1387="","",IF($J1387&lt;=0,"Payé",IF($M1387="Oui","Litige",IF($O1387=0,"À échoir",IF($O1387&lt;=30,"0-30",IF($O1387&lt;=60,"31-60",IF($O1387&lt;=90,"61-90","90+")))))))</f>
        <v/>
      </c>
    </row>
    <row r="1388">
      <c r="A1388" s="6" t="n"/>
      <c r="B1388" s="6" t="n"/>
      <c r="C1388" s="6" t="n"/>
      <c r="D1388" s="6" t="n"/>
      <c r="E1388" s="6" t="n"/>
      <c r="F1388" s="7" t="n"/>
      <c r="G1388" s="7" t="n"/>
      <c r="H1388" s="8" t="n"/>
      <c r="I1388" s="9">
        <f>IF($A1388="","",SUMIFS(Ventes_Encaissements!$D$6:$D$3005,Ventes_Encaissements!$B$6:$B$3005,$A1388))</f>
        <v/>
      </c>
      <c r="J1388" s="9">
        <f>IF($A1388="","",$H1388-$I1388)</f>
        <v/>
      </c>
      <c r="K1388" s="10">
        <f>IF($A1388="","",IF($I1388=0,"",_xludf.AGGREGATE(14,6,Ventes_Encaissements!$C$6:$C$3005/(Ventes_Encaissements!$B$6:$B$3005=$A1388),1)))</f>
        <v/>
      </c>
      <c r="L1388" s="11">
        <f>IF($A1388="","",COUNTIFS(Ventes_Detail!$B$6:$B$3005,$A1388))</f>
        <v/>
      </c>
      <c r="M1388" s="12" t="n"/>
      <c r="N1388" s="12">
        <f>IF($A1388="","",IF($G1388="","",IF($M1388="Oui","Litige",IF($J1388&lt;=0,"Payé",IF($I1388&gt;0,"Partiel",IF(Listes!$B$3&gt;$G1388,"En retard","À échoir"))))))</f>
        <v/>
      </c>
      <c r="O1388" s="11">
        <f>IF($A1388="","",IF(OR($G1388="", $J1388&lt;=0),0,MAX(0,Listes!$B$3-$G1388)))</f>
        <v/>
      </c>
      <c r="P1388" s="12">
        <f>IF($A1388="","",IF($J1388&lt;=0,"Payé",IF($M1388="Oui","Litige",IF($O1388=0,"À échoir",IF($O1388&lt;=30,"0-30",IF($O1388&lt;=60,"31-60",IF($O1388&lt;=90,"61-90","90+")))))))</f>
        <v/>
      </c>
    </row>
    <row r="1389">
      <c r="A1389" s="6" t="n"/>
      <c r="B1389" s="6" t="n"/>
      <c r="C1389" s="6" t="n"/>
      <c r="D1389" s="6" t="n"/>
      <c r="E1389" s="6" t="n"/>
      <c r="F1389" s="7" t="n"/>
      <c r="G1389" s="7" t="n"/>
      <c r="H1389" s="8" t="n"/>
      <c r="I1389" s="9">
        <f>IF($A1389="","",SUMIFS(Ventes_Encaissements!$D$6:$D$3005,Ventes_Encaissements!$B$6:$B$3005,$A1389))</f>
        <v/>
      </c>
      <c r="J1389" s="9">
        <f>IF($A1389="","",$H1389-$I1389)</f>
        <v/>
      </c>
      <c r="K1389" s="10">
        <f>IF($A1389="","",IF($I1389=0,"",_xludf.AGGREGATE(14,6,Ventes_Encaissements!$C$6:$C$3005/(Ventes_Encaissements!$B$6:$B$3005=$A1389),1)))</f>
        <v/>
      </c>
      <c r="L1389" s="11">
        <f>IF($A1389="","",COUNTIFS(Ventes_Detail!$B$6:$B$3005,$A1389))</f>
        <v/>
      </c>
      <c r="M1389" s="12" t="n"/>
      <c r="N1389" s="12">
        <f>IF($A1389="","",IF($G1389="","",IF($M1389="Oui","Litige",IF($J1389&lt;=0,"Payé",IF($I1389&gt;0,"Partiel",IF(Listes!$B$3&gt;$G1389,"En retard","À échoir"))))))</f>
        <v/>
      </c>
      <c r="O1389" s="11">
        <f>IF($A1389="","",IF(OR($G1389="", $J1389&lt;=0),0,MAX(0,Listes!$B$3-$G1389)))</f>
        <v/>
      </c>
      <c r="P1389" s="12">
        <f>IF($A1389="","",IF($J1389&lt;=0,"Payé",IF($M1389="Oui","Litige",IF($O1389=0,"À échoir",IF($O1389&lt;=30,"0-30",IF($O1389&lt;=60,"31-60",IF($O1389&lt;=90,"61-90","90+")))))))</f>
        <v/>
      </c>
    </row>
    <row r="1390">
      <c r="A1390" s="6" t="n"/>
      <c r="B1390" s="6" t="n"/>
      <c r="C1390" s="6" t="n"/>
      <c r="D1390" s="6" t="n"/>
      <c r="E1390" s="6" t="n"/>
      <c r="F1390" s="7" t="n"/>
      <c r="G1390" s="7" t="n"/>
      <c r="H1390" s="8" t="n"/>
      <c r="I1390" s="9">
        <f>IF($A1390="","",SUMIFS(Ventes_Encaissements!$D$6:$D$3005,Ventes_Encaissements!$B$6:$B$3005,$A1390))</f>
        <v/>
      </c>
      <c r="J1390" s="9">
        <f>IF($A1390="","",$H1390-$I1390)</f>
        <v/>
      </c>
      <c r="K1390" s="10">
        <f>IF($A1390="","",IF($I1390=0,"",_xludf.AGGREGATE(14,6,Ventes_Encaissements!$C$6:$C$3005/(Ventes_Encaissements!$B$6:$B$3005=$A1390),1)))</f>
        <v/>
      </c>
      <c r="L1390" s="11">
        <f>IF($A1390="","",COUNTIFS(Ventes_Detail!$B$6:$B$3005,$A1390))</f>
        <v/>
      </c>
      <c r="M1390" s="12" t="n"/>
      <c r="N1390" s="12">
        <f>IF($A1390="","",IF($G1390="","",IF($M1390="Oui","Litige",IF($J1390&lt;=0,"Payé",IF($I1390&gt;0,"Partiel",IF(Listes!$B$3&gt;$G1390,"En retard","À échoir"))))))</f>
        <v/>
      </c>
      <c r="O1390" s="11">
        <f>IF($A1390="","",IF(OR($G1390="", $J1390&lt;=0),0,MAX(0,Listes!$B$3-$G1390)))</f>
        <v/>
      </c>
      <c r="P1390" s="12">
        <f>IF($A1390="","",IF($J1390&lt;=0,"Payé",IF($M1390="Oui","Litige",IF($O1390=0,"À échoir",IF($O1390&lt;=30,"0-30",IF($O1390&lt;=60,"31-60",IF($O1390&lt;=90,"61-90","90+")))))))</f>
        <v/>
      </c>
    </row>
    <row r="1391">
      <c r="A1391" s="6" t="n"/>
      <c r="B1391" s="6" t="n"/>
      <c r="C1391" s="6" t="n"/>
      <c r="D1391" s="6" t="n"/>
      <c r="E1391" s="6" t="n"/>
      <c r="F1391" s="7" t="n"/>
      <c r="G1391" s="7" t="n"/>
      <c r="H1391" s="8" t="n"/>
      <c r="I1391" s="9">
        <f>IF($A1391="","",SUMIFS(Ventes_Encaissements!$D$6:$D$3005,Ventes_Encaissements!$B$6:$B$3005,$A1391))</f>
        <v/>
      </c>
      <c r="J1391" s="9">
        <f>IF($A1391="","",$H1391-$I1391)</f>
        <v/>
      </c>
      <c r="K1391" s="10">
        <f>IF($A1391="","",IF($I1391=0,"",_xludf.AGGREGATE(14,6,Ventes_Encaissements!$C$6:$C$3005/(Ventes_Encaissements!$B$6:$B$3005=$A1391),1)))</f>
        <v/>
      </c>
      <c r="L1391" s="11">
        <f>IF($A1391="","",COUNTIFS(Ventes_Detail!$B$6:$B$3005,$A1391))</f>
        <v/>
      </c>
      <c r="M1391" s="12" t="n"/>
      <c r="N1391" s="12">
        <f>IF($A1391="","",IF($G1391="","",IF($M1391="Oui","Litige",IF($J1391&lt;=0,"Payé",IF($I1391&gt;0,"Partiel",IF(Listes!$B$3&gt;$G1391,"En retard","À échoir"))))))</f>
        <v/>
      </c>
      <c r="O1391" s="11">
        <f>IF($A1391="","",IF(OR($G1391="", $J1391&lt;=0),0,MAX(0,Listes!$B$3-$G1391)))</f>
        <v/>
      </c>
      <c r="P1391" s="12">
        <f>IF($A1391="","",IF($J1391&lt;=0,"Payé",IF($M1391="Oui","Litige",IF($O1391=0,"À échoir",IF($O1391&lt;=30,"0-30",IF($O1391&lt;=60,"31-60",IF($O1391&lt;=90,"61-90","90+")))))))</f>
        <v/>
      </c>
    </row>
    <row r="1392">
      <c r="A1392" s="6" t="n"/>
      <c r="B1392" s="6" t="n"/>
      <c r="C1392" s="6" t="n"/>
      <c r="D1392" s="6" t="n"/>
      <c r="E1392" s="6" t="n"/>
      <c r="F1392" s="7" t="n"/>
      <c r="G1392" s="7" t="n"/>
      <c r="H1392" s="8" t="n"/>
      <c r="I1392" s="9">
        <f>IF($A1392="","",SUMIFS(Ventes_Encaissements!$D$6:$D$3005,Ventes_Encaissements!$B$6:$B$3005,$A1392))</f>
        <v/>
      </c>
      <c r="J1392" s="9">
        <f>IF($A1392="","",$H1392-$I1392)</f>
        <v/>
      </c>
      <c r="K1392" s="10">
        <f>IF($A1392="","",IF($I1392=0,"",_xludf.AGGREGATE(14,6,Ventes_Encaissements!$C$6:$C$3005/(Ventes_Encaissements!$B$6:$B$3005=$A1392),1)))</f>
        <v/>
      </c>
      <c r="L1392" s="11">
        <f>IF($A1392="","",COUNTIFS(Ventes_Detail!$B$6:$B$3005,$A1392))</f>
        <v/>
      </c>
      <c r="M1392" s="12" t="n"/>
      <c r="N1392" s="12">
        <f>IF($A1392="","",IF($G1392="","",IF($M1392="Oui","Litige",IF($J1392&lt;=0,"Payé",IF($I1392&gt;0,"Partiel",IF(Listes!$B$3&gt;$G1392,"En retard","À échoir"))))))</f>
        <v/>
      </c>
      <c r="O1392" s="11">
        <f>IF($A1392="","",IF(OR($G1392="", $J1392&lt;=0),0,MAX(0,Listes!$B$3-$G1392)))</f>
        <v/>
      </c>
      <c r="P1392" s="12">
        <f>IF($A1392="","",IF($J1392&lt;=0,"Payé",IF($M1392="Oui","Litige",IF($O1392=0,"À échoir",IF($O1392&lt;=30,"0-30",IF($O1392&lt;=60,"31-60",IF($O1392&lt;=90,"61-90","90+")))))))</f>
        <v/>
      </c>
    </row>
    <row r="1393">
      <c r="A1393" s="6" t="n"/>
      <c r="B1393" s="6" t="n"/>
      <c r="C1393" s="6" t="n"/>
      <c r="D1393" s="6" t="n"/>
      <c r="E1393" s="6" t="n"/>
      <c r="F1393" s="7" t="n"/>
      <c r="G1393" s="7" t="n"/>
      <c r="H1393" s="8" t="n"/>
      <c r="I1393" s="9">
        <f>IF($A1393="","",SUMIFS(Ventes_Encaissements!$D$6:$D$3005,Ventes_Encaissements!$B$6:$B$3005,$A1393))</f>
        <v/>
      </c>
      <c r="J1393" s="9">
        <f>IF($A1393="","",$H1393-$I1393)</f>
        <v/>
      </c>
      <c r="K1393" s="10">
        <f>IF($A1393="","",IF($I1393=0,"",_xludf.AGGREGATE(14,6,Ventes_Encaissements!$C$6:$C$3005/(Ventes_Encaissements!$B$6:$B$3005=$A1393),1)))</f>
        <v/>
      </c>
      <c r="L1393" s="11">
        <f>IF($A1393="","",COUNTIFS(Ventes_Detail!$B$6:$B$3005,$A1393))</f>
        <v/>
      </c>
      <c r="M1393" s="12" t="n"/>
      <c r="N1393" s="12">
        <f>IF($A1393="","",IF($G1393="","",IF($M1393="Oui","Litige",IF($J1393&lt;=0,"Payé",IF($I1393&gt;0,"Partiel",IF(Listes!$B$3&gt;$G1393,"En retard","À échoir"))))))</f>
        <v/>
      </c>
      <c r="O1393" s="11">
        <f>IF($A1393="","",IF(OR($G1393="", $J1393&lt;=0),0,MAX(0,Listes!$B$3-$G1393)))</f>
        <v/>
      </c>
      <c r="P1393" s="12">
        <f>IF($A1393="","",IF($J1393&lt;=0,"Payé",IF($M1393="Oui","Litige",IF($O1393=0,"À échoir",IF($O1393&lt;=30,"0-30",IF($O1393&lt;=60,"31-60",IF($O1393&lt;=90,"61-90","90+")))))))</f>
        <v/>
      </c>
    </row>
    <row r="1394">
      <c r="A1394" s="6" t="n"/>
      <c r="B1394" s="6" t="n"/>
      <c r="C1394" s="6" t="n"/>
      <c r="D1394" s="6" t="n"/>
      <c r="E1394" s="6" t="n"/>
      <c r="F1394" s="7" t="n"/>
      <c r="G1394" s="7" t="n"/>
      <c r="H1394" s="8" t="n"/>
      <c r="I1394" s="9">
        <f>IF($A1394="","",SUMIFS(Ventes_Encaissements!$D$6:$D$3005,Ventes_Encaissements!$B$6:$B$3005,$A1394))</f>
        <v/>
      </c>
      <c r="J1394" s="9">
        <f>IF($A1394="","",$H1394-$I1394)</f>
        <v/>
      </c>
      <c r="K1394" s="10">
        <f>IF($A1394="","",IF($I1394=0,"",_xludf.AGGREGATE(14,6,Ventes_Encaissements!$C$6:$C$3005/(Ventes_Encaissements!$B$6:$B$3005=$A1394),1)))</f>
        <v/>
      </c>
      <c r="L1394" s="11">
        <f>IF($A1394="","",COUNTIFS(Ventes_Detail!$B$6:$B$3005,$A1394))</f>
        <v/>
      </c>
      <c r="M1394" s="12" t="n"/>
      <c r="N1394" s="12">
        <f>IF($A1394="","",IF($G1394="","",IF($M1394="Oui","Litige",IF($J1394&lt;=0,"Payé",IF($I1394&gt;0,"Partiel",IF(Listes!$B$3&gt;$G1394,"En retard","À échoir"))))))</f>
        <v/>
      </c>
      <c r="O1394" s="11">
        <f>IF($A1394="","",IF(OR($G1394="", $J1394&lt;=0),0,MAX(0,Listes!$B$3-$G1394)))</f>
        <v/>
      </c>
      <c r="P1394" s="12">
        <f>IF($A1394="","",IF($J1394&lt;=0,"Payé",IF($M1394="Oui","Litige",IF($O1394=0,"À échoir",IF($O1394&lt;=30,"0-30",IF($O1394&lt;=60,"31-60",IF($O1394&lt;=90,"61-90","90+")))))))</f>
        <v/>
      </c>
    </row>
    <row r="1395">
      <c r="A1395" s="6" t="n"/>
      <c r="B1395" s="6" t="n"/>
      <c r="C1395" s="6" t="n"/>
      <c r="D1395" s="6" t="n"/>
      <c r="E1395" s="6" t="n"/>
      <c r="F1395" s="7" t="n"/>
      <c r="G1395" s="7" t="n"/>
      <c r="H1395" s="8" t="n"/>
      <c r="I1395" s="9">
        <f>IF($A1395="","",SUMIFS(Ventes_Encaissements!$D$6:$D$3005,Ventes_Encaissements!$B$6:$B$3005,$A1395))</f>
        <v/>
      </c>
      <c r="J1395" s="9">
        <f>IF($A1395="","",$H1395-$I1395)</f>
        <v/>
      </c>
      <c r="K1395" s="10">
        <f>IF($A1395="","",IF($I1395=0,"",_xludf.AGGREGATE(14,6,Ventes_Encaissements!$C$6:$C$3005/(Ventes_Encaissements!$B$6:$B$3005=$A1395),1)))</f>
        <v/>
      </c>
      <c r="L1395" s="11">
        <f>IF($A1395="","",COUNTIFS(Ventes_Detail!$B$6:$B$3005,$A1395))</f>
        <v/>
      </c>
      <c r="M1395" s="12" t="n"/>
      <c r="N1395" s="12">
        <f>IF($A1395="","",IF($G1395="","",IF($M1395="Oui","Litige",IF($J1395&lt;=0,"Payé",IF($I1395&gt;0,"Partiel",IF(Listes!$B$3&gt;$G1395,"En retard","À échoir"))))))</f>
        <v/>
      </c>
      <c r="O1395" s="11">
        <f>IF($A1395="","",IF(OR($G1395="", $J1395&lt;=0),0,MAX(0,Listes!$B$3-$G1395)))</f>
        <v/>
      </c>
      <c r="P1395" s="12">
        <f>IF($A1395="","",IF($J1395&lt;=0,"Payé",IF($M1395="Oui","Litige",IF($O1395=0,"À échoir",IF($O1395&lt;=30,"0-30",IF($O1395&lt;=60,"31-60",IF($O1395&lt;=90,"61-90","90+")))))))</f>
        <v/>
      </c>
    </row>
    <row r="1396">
      <c r="A1396" s="6" t="n"/>
      <c r="B1396" s="6" t="n"/>
      <c r="C1396" s="6" t="n"/>
      <c r="D1396" s="6" t="n"/>
      <c r="E1396" s="6" t="n"/>
      <c r="F1396" s="7" t="n"/>
      <c r="G1396" s="7" t="n"/>
      <c r="H1396" s="8" t="n"/>
      <c r="I1396" s="9">
        <f>IF($A1396="","",SUMIFS(Ventes_Encaissements!$D$6:$D$3005,Ventes_Encaissements!$B$6:$B$3005,$A1396))</f>
        <v/>
      </c>
      <c r="J1396" s="9">
        <f>IF($A1396="","",$H1396-$I1396)</f>
        <v/>
      </c>
      <c r="K1396" s="10">
        <f>IF($A1396="","",IF($I1396=0,"",_xludf.AGGREGATE(14,6,Ventes_Encaissements!$C$6:$C$3005/(Ventes_Encaissements!$B$6:$B$3005=$A1396),1)))</f>
        <v/>
      </c>
      <c r="L1396" s="11">
        <f>IF($A1396="","",COUNTIFS(Ventes_Detail!$B$6:$B$3005,$A1396))</f>
        <v/>
      </c>
      <c r="M1396" s="12" t="n"/>
      <c r="N1396" s="12">
        <f>IF($A1396="","",IF($G1396="","",IF($M1396="Oui","Litige",IF($J1396&lt;=0,"Payé",IF($I1396&gt;0,"Partiel",IF(Listes!$B$3&gt;$G1396,"En retard","À échoir"))))))</f>
        <v/>
      </c>
      <c r="O1396" s="11">
        <f>IF($A1396="","",IF(OR($G1396="", $J1396&lt;=0),0,MAX(0,Listes!$B$3-$G1396)))</f>
        <v/>
      </c>
      <c r="P1396" s="12">
        <f>IF($A1396="","",IF($J1396&lt;=0,"Payé",IF($M1396="Oui","Litige",IF($O1396=0,"À échoir",IF($O1396&lt;=30,"0-30",IF($O1396&lt;=60,"31-60",IF($O1396&lt;=90,"61-90","90+")))))))</f>
        <v/>
      </c>
    </row>
    <row r="1397">
      <c r="A1397" s="6" t="n"/>
      <c r="B1397" s="6" t="n"/>
      <c r="C1397" s="6" t="n"/>
      <c r="D1397" s="6" t="n"/>
      <c r="E1397" s="6" t="n"/>
      <c r="F1397" s="7" t="n"/>
      <c r="G1397" s="7" t="n"/>
      <c r="H1397" s="8" t="n"/>
      <c r="I1397" s="9">
        <f>IF($A1397="","",SUMIFS(Ventes_Encaissements!$D$6:$D$3005,Ventes_Encaissements!$B$6:$B$3005,$A1397))</f>
        <v/>
      </c>
      <c r="J1397" s="9">
        <f>IF($A1397="","",$H1397-$I1397)</f>
        <v/>
      </c>
      <c r="K1397" s="10">
        <f>IF($A1397="","",IF($I1397=0,"",_xludf.AGGREGATE(14,6,Ventes_Encaissements!$C$6:$C$3005/(Ventes_Encaissements!$B$6:$B$3005=$A1397),1)))</f>
        <v/>
      </c>
      <c r="L1397" s="11">
        <f>IF($A1397="","",COUNTIFS(Ventes_Detail!$B$6:$B$3005,$A1397))</f>
        <v/>
      </c>
      <c r="M1397" s="12" t="n"/>
      <c r="N1397" s="12">
        <f>IF($A1397="","",IF($G1397="","",IF($M1397="Oui","Litige",IF($J1397&lt;=0,"Payé",IF($I1397&gt;0,"Partiel",IF(Listes!$B$3&gt;$G1397,"En retard","À échoir"))))))</f>
        <v/>
      </c>
      <c r="O1397" s="11">
        <f>IF($A1397="","",IF(OR($G1397="", $J1397&lt;=0),0,MAX(0,Listes!$B$3-$G1397)))</f>
        <v/>
      </c>
      <c r="P1397" s="12">
        <f>IF($A1397="","",IF($J1397&lt;=0,"Payé",IF($M1397="Oui","Litige",IF($O1397=0,"À échoir",IF($O1397&lt;=30,"0-30",IF($O1397&lt;=60,"31-60",IF($O1397&lt;=90,"61-90","90+")))))))</f>
        <v/>
      </c>
    </row>
    <row r="1398">
      <c r="A1398" s="6" t="n"/>
      <c r="B1398" s="6" t="n"/>
      <c r="C1398" s="6" t="n"/>
      <c r="D1398" s="6" t="n"/>
      <c r="E1398" s="6" t="n"/>
      <c r="F1398" s="7" t="n"/>
      <c r="G1398" s="7" t="n"/>
      <c r="H1398" s="8" t="n"/>
      <c r="I1398" s="9">
        <f>IF($A1398="","",SUMIFS(Ventes_Encaissements!$D$6:$D$3005,Ventes_Encaissements!$B$6:$B$3005,$A1398))</f>
        <v/>
      </c>
      <c r="J1398" s="9">
        <f>IF($A1398="","",$H1398-$I1398)</f>
        <v/>
      </c>
      <c r="K1398" s="10">
        <f>IF($A1398="","",IF($I1398=0,"",_xludf.AGGREGATE(14,6,Ventes_Encaissements!$C$6:$C$3005/(Ventes_Encaissements!$B$6:$B$3005=$A1398),1)))</f>
        <v/>
      </c>
      <c r="L1398" s="11">
        <f>IF($A1398="","",COUNTIFS(Ventes_Detail!$B$6:$B$3005,$A1398))</f>
        <v/>
      </c>
      <c r="M1398" s="12" t="n"/>
      <c r="N1398" s="12">
        <f>IF($A1398="","",IF($G1398="","",IF($M1398="Oui","Litige",IF($J1398&lt;=0,"Payé",IF($I1398&gt;0,"Partiel",IF(Listes!$B$3&gt;$G1398,"En retard","À échoir"))))))</f>
        <v/>
      </c>
      <c r="O1398" s="11">
        <f>IF($A1398="","",IF(OR($G1398="", $J1398&lt;=0),0,MAX(0,Listes!$B$3-$G1398)))</f>
        <v/>
      </c>
      <c r="P1398" s="12">
        <f>IF($A1398="","",IF($J1398&lt;=0,"Payé",IF($M1398="Oui","Litige",IF($O1398=0,"À échoir",IF($O1398&lt;=30,"0-30",IF($O1398&lt;=60,"31-60",IF($O1398&lt;=90,"61-90","90+")))))))</f>
        <v/>
      </c>
    </row>
    <row r="1399">
      <c r="A1399" s="6" t="n"/>
      <c r="B1399" s="6" t="n"/>
      <c r="C1399" s="6" t="n"/>
      <c r="D1399" s="6" t="n"/>
      <c r="E1399" s="6" t="n"/>
      <c r="F1399" s="7" t="n"/>
      <c r="G1399" s="7" t="n"/>
      <c r="H1399" s="8" t="n"/>
      <c r="I1399" s="9">
        <f>IF($A1399="","",SUMIFS(Ventes_Encaissements!$D$6:$D$3005,Ventes_Encaissements!$B$6:$B$3005,$A1399))</f>
        <v/>
      </c>
      <c r="J1399" s="9">
        <f>IF($A1399="","",$H1399-$I1399)</f>
        <v/>
      </c>
      <c r="K1399" s="10">
        <f>IF($A1399="","",IF($I1399=0,"",_xludf.AGGREGATE(14,6,Ventes_Encaissements!$C$6:$C$3005/(Ventes_Encaissements!$B$6:$B$3005=$A1399),1)))</f>
        <v/>
      </c>
      <c r="L1399" s="11">
        <f>IF($A1399="","",COUNTIFS(Ventes_Detail!$B$6:$B$3005,$A1399))</f>
        <v/>
      </c>
      <c r="M1399" s="12" t="n"/>
      <c r="N1399" s="12">
        <f>IF($A1399="","",IF($G1399="","",IF($M1399="Oui","Litige",IF($J1399&lt;=0,"Payé",IF($I1399&gt;0,"Partiel",IF(Listes!$B$3&gt;$G1399,"En retard","À échoir"))))))</f>
        <v/>
      </c>
      <c r="O1399" s="11">
        <f>IF($A1399="","",IF(OR($G1399="", $J1399&lt;=0),0,MAX(0,Listes!$B$3-$G1399)))</f>
        <v/>
      </c>
      <c r="P1399" s="12">
        <f>IF($A1399="","",IF($J1399&lt;=0,"Payé",IF($M1399="Oui","Litige",IF($O1399=0,"À échoir",IF($O1399&lt;=30,"0-30",IF($O1399&lt;=60,"31-60",IF($O1399&lt;=90,"61-90","90+")))))))</f>
        <v/>
      </c>
    </row>
    <row r="1400">
      <c r="A1400" s="6" t="n"/>
      <c r="B1400" s="6" t="n"/>
      <c r="C1400" s="6" t="n"/>
      <c r="D1400" s="6" t="n"/>
      <c r="E1400" s="6" t="n"/>
      <c r="F1400" s="7" t="n"/>
      <c r="G1400" s="7" t="n"/>
      <c r="H1400" s="8" t="n"/>
      <c r="I1400" s="9">
        <f>IF($A1400="","",SUMIFS(Ventes_Encaissements!$D$6:$D$3005,Ventes_Encaissements!$B$6:$B$3005,$A1400))</f>
        <v/>
      </c>
      <c r="J1400" s="9">
        <f>IF($A1400="","",$H1400-$I1400)</f>
        <v/>
      </c>
      <c r="K1400" s="10">
        <f>IF($A1400="","",IF($I1400=0,"",_xludf.AGGREGATE(14,6,Ventes_Encaissements!$C$6:$C$3005/(Ventes_Encaissements!$B$6:$B$3005=$A1400),1)))</f>
        <v/>
      </c>
      <c r="L1400" s="11">
        <f>IF($A1400="","",COUNTIFS(Ventes_Detail!$B$6:$B$3005,$A1400))</f>
        <v/>
      </c>
      <c r="M1400" s="12" t="n"/>
      <c r="N1400" s="12">
        <f>IF($A1400="","",IF($G1400="","",IF($M1400="Oui","Litige",IF($J1400&lt;=0,"Payé",IF($I1400&gt;0,"Partiel",IF(Listes!$B$3&gt;$G1400,"En retard","À échoir"))))))</f>
        <v/>
      </c>
      <c r="O1400" s="11">
        <f>IF($A1400="","",IF(OR($G1400="", $J1400&lt;=0),0,MAX(0,Listes!$B$3-$G1400)))</f>
        <v/>
      </c>
      <c r="P1400" s="12">
        <f>IF($A1400="","",IF($J1400&lt;=0,"Payé",IF($M1400="Oui","Litige",IF($O1400=0,"À échoir",IF($O1400&lt;=30,"0-30",IF($O1400&lt;=60,"31-60",IF($O1400&lt;=90,"61-90","90+")))))))</f>
        <v/>
      </c>
    </row>
    <row r="1401">
      <c r="A1401" s="6" t="n"/>
      <c r="B1401" s="6" t="n"/>
      <c r="C1401" s="6" t="n"/>
      <c r="D1401" s="6" t="n"/>
      <c r="E1401" s="6" t="n"/>
      <c r="F1401" s="7" t="n"/>
      <c r="G1401" s="7" t="n"/>
      <c r="H1401" s="8" t="n"/>
      <c r="I1401" s="9">
        <f>IF($A1401="","",SUMIFS(Ventes_Encaissements!$D$6:$D$3005,Ventes_Encaissements!$B$6:$B$3005,$A1401))</f>
        <v/>
      </c>
      <c r="J1401" s="9">
        <f>IF($A1401="","",$H1401-$I1401)</f>
        <v/>
      </c>
      <c r="K1401" s="10">
        <f>IF($A1401="","",IF($I1401=0,"",_xludf.AGGREGATE(14,6,Ventes_Encaissements!$C$6:$C$3005/(Ventes_Encaissements!$B$6:$B$3005=$A1401),1)))</f>
        <v/>
      </c>
      <c r="L1401" s="11">
        <f>IF($A1401="","",COUNTIFS(Ventes_Detail!$B$6:$B$3005,$A1401))</f>
        <v/>
      </c>
      <c r="M1401" s="12" t="n"/>
      <c r="N1401" s="12">
        <f>IF($A1401="","",IF($G1401="","",IF($M1401="Oui","Litige",IF($J1401&lt;=0,"Payé",IF($I1401&gt;0,"Partiel",IF(Listes!$B$3&gt;$G1401,"En retard","À échoir"))))))</f>
        <v/>
      </c>
      <c r="O1401" s="11">
        <f>IF($A1401="","",IF(OR($G1401="", $J1401&lt;=0),0,MAX(0,Listes!$B$3-$G1401)))</f>
        <v/>
      </c>
      <c r="P1401" s="12">
        <f>IF($A1401="","",IF($J1401&lt;=0,"Payé",IF($M1401="Oui","Litige",IF($O1401=0,"À échoir",IF($O1401&lt;=30,"0-30",IF($O1401&lt;=60,"31-60",IF($O1401&lt;=90,"61-90","90+")))))))</f>
        <v/>
      </c>
    </row>
    <row r="1402">
      <c r="A1402" s="6" t="n"/>
      <c r="B1402" s="6" t="n"/>
      <c r="C1402" s="6" t="n"/>
      <c r="D1402" s="6" t="n"/>
      <c r="E1402" s="6" t="n"/>
      <c r="F1402" s="7" t="n"/>
      <c r="G1402" s="7" t="n"/>
      <c r="H1402" s="8" t="n"/>
      <c r="I1402" s="9">
        <f>IF($A1402="","",SUMIFS(Ventes_Encaissements!$D$6:$D$3005,Ventes_Encaissements!$B$6:$B$3005,$A1402))</f>
        <v/>
      </c>
      <c r="J1402" s="9">
        <f>IF($A1402="","",$H1402-$I1402)</f>
        <v/>
      </c>
      <c r="K1402" s="10">
        <f>IF($A1402="","",IF($I1402=0,"",_xludf.AGGREGATE(14,6,Ventes_Encaissements!$C$6:$C$3005/(Ventes_Encaissements!$B$6:$B$3005=$A1402),1)))</f>
        <v/>
      </c>
      <c r="L1402" s="11">
        <f>IF($A1402="","",COUNTIFS(Ventes_Detail!$B$6:$B$3005,$A1402))</f>
        <v/>
      </c>
      <c r="M1402" s="12" t="n"/>
      <c r="N1402" s="12">
        <f>IF($A1402="","",IF($G1402="","",IF($M1402="Oui","Litige",IF($J1402&lt;=0,"Payé",IF($I1402&gt;0,"Partiel",IF(Listes!$B$3&gt;$G1402,"En retard","À échoir"))))))</f>
        <v/>
      </c>
      <c r="O1402" s="11">
        <f>IF($A1402="","",IF(OR($G1402="", $J1402&lt;=0),0,MAX(0,Listes!$B$3-$G1402)))</f>
        <v/>
      </c>
      <c r="P1402" s="12">
        <f>IF($A1402="","",IF($J1402&lt;=0,"Payé",IF($M1402="Oui","Litige",IF($O1402=0,"À échoir",IF($O1402&lt;=30,"0-30",IF($O1402&lt;=60,"31-60",IF($O1402&lt;=90,"61-90","90+")))))))</f>
        <v/>
      </c>
    </row>
    <row r="1403">
      <c r="A1403" s="6" t="n"/>
      <c r="B1403" s="6" t="n"/>
      <c r="C1403" s="6" t="n"/>
      <c r="D1403" s="6" t="n"/>
      <c r="E1403" s="6" t="n"/>
      <c r="F1403" s="7" t="n"/>
      <c r="G1403" s="7" t="n"/>
      <c r="H1403" s="8" t="n"/>
      <c r="I1403" s="9">
        <f>IF($A1403="","",SUMIFS(Ventes_Encaissements!$D$6:$D$3005,Ventes_Encaissements!$B$6:$B$3005,$A1403))</f>
        <v/>
      </c>
      <c r="J1403" s="9">
        <f>IF($A1403="","",$H1403-$I1403)</f>
        <v/>
      </c>
      <c r="K1403" s="10">
        <f>IF($A1403="","",IF($I1403=0,"",_xludf.AGGREGATE(14,6,Ventes_Encaissements!$C$6:$C$3005/(Ventes_Encaissements!$B$6:$B$3005=$A1403),1)))</f>
        <v/>
      </c>
      <c r="L1403" s="11">
        <f>IF($A1403="","",COUNTIFS(Ventes_Detail!$B$6:$B$3005,$A1403))</f>
        <v/>
      </c>
      <c r="M1403" s="12" t="n"/>
      <c r="N1403" s="12">
        <f>IF($A1403="","",IF($G1403="","",IF($M1403="Oui","Litige",IF($J1403&lt;=0,"Payé",IF($I1403&gt;0,"Partiel",IF(Listes!$B$3&gt;$G1403,"En retard","À échoir"))))))</f>
        <v/>
      </c>
      <c r="O1403" s="11">
        <f>IF($A1403="","",IF(OR($G1403="", $J1403&lt;=0),0,MAX(0,Listes!$B$3-$G1403)))</f>
        <v/>
      </c>
      <c r="P1403" s="12">
        <f>IF($A1403="","",IF($J1403&lt;=0,"Payé",IF($M1403="Oui","Litige",IF($O1403=0,"À échoir",IF($O1403&lt;=30,"0-30",IF($O1403&lt;=60,"31-60",IF($O1403&lt;=90,"61-90","90+")))))))</f>
        <v/>
      </c>
    </row>
    <row r="1404">
      <c r="A1404" s="6" t="n"/>
      <c r="B1404" s="6" t="n"/>
      <c r="C1404" s="6" t="n"/>
      <c r="D1404" s="6" t="n"/>
      <c r="E1404" s="6" t="n"/>
      <c r="F1404" s="7" t="n"/>
      <c r="G1404" s="7" t="n"/>
      <c r="H1404" s="8" t="n"/>
      <c r="I1404" s="9">
        <f>IF($A1404="","",SUMIFS(Ventes_Encaissements!$D$6:$D$3005,Ventes_Encaissements!$B$6:$B$3005,$A1404))</f>
        <v/>
      </c>
      <c r="J1404" s="9">
        <f>IF($A1404="","",$H1404-$I1404)</f>
        <v/>
      </c>
      <c r="K1404" s="10">
        <f>IF($A1404="","",IF($I1404=0,"",_xludf.AGGREGATE(14,6,Ventes_Encaissements!$C$6:$C$3005/(Ventes_Encaissements!$B$6:$B$3005=$A1404),1)))</f>
        <v/>
      </c>
      <c r="L1404" s="11">
        <f>IF($A1404="","",COUNTIFS(Ventes_Detail!$B$6:$B$3005,$A1404))</f>
        <v/>
      </c>
      <c r="M1404" s="12" t="n"/>
      <c r="N1404" s="12">
        <f>IF($A1404="","",IF($G1404="","",IF($M1404="Oui","Litige",IF($J1404&lt;=0,"Payé",IF($I1404&gt;0,"Partiel",IF(Listes!$B$3&gt;$G1404,"En retard","À échoir"))))))</f>
        <v/>
      </c>
      <c r="O1404" s="11">
        <f>IF($A1404="","",IF(OR($G1404="", $J1404&lt;=0),0,MAX(0,Listes!$B$3-$G1404)))</f>
        <v/>
      </c>
      <c r="P1404" s="12">
        <f>IF($A1404="","",IF($J1404&lt;=0,"Payé",IF($M1404="Oui","Litige",IF($O1404=0,"À échoir",IF($O1404&lt;=30,"0-30",IF($O1404&lt;=60,"31-60",IF($O1404&lt;=90,"61-90","90+")))))))</f>
        <v/>
      </c>
    </row>
    <row r="1405">
      <c r="A1405" s="6" t="n"/>
      <c r="B1405" s="6" t="n"/>
      <c r="C1405" s="6" t="n"/>
      <c r="D1405" s="6" t="n"/>
      <c r="E1405" s="6" t="n"/>
      <c r="F1405" s="7" t="n"/>
      <c r="G1405" s="7" t="n"/>
      <c r="H1405" s="8" t="n"/>
      <c r="I1405" s="9">
        <f>IF($A1405="","",SUMIFS(Ventes_Encaissements!$D$6:$D$3005,Ventes_Encaissements!$B$6:$B$3005,$A1405))</f>
        <v/>
      </c>
      <c r="J1405" s="9">
        <f>IF($A1405="","",$H1405-$I1405)</f>
        <v/>
      </c>
      <c r="K1405" s="10">
        <f>IF($A1405="","",IF($I1405=0,"",_xludf.AGGREGATE(14,6,Ventes_Encaissements!$C$6:$C$3005/(Ventes_Encaissements!$B$6:$B$3005=$A1405),1)))</f>
        <v/>
      </c>
      <c r="L1405" s="11">
        <f>IF($A1405="","",COUNTIFS(Ventes_Detail!$B$6:$B$3005,$A1405))</f>
        <v/>
      </c>
      <c r="M1405" s="12" t="n"/>
      <c r="N1405" s="12">
        <f>IF($A1405="","",IF($G1405="","",IF($M1405="Oui","Litige",IF($J1405&lt;=0,"Payé",IF($I1405&gt;0,"Partiel",IF(Listes!$B$3&gt;$G1405,"En retard","À échoir"))))))</f>
        <v/>
      </c>
      <c r="O1405" s="11">
        <f>IF($A1405="","",IF(OR($G1405="", $J1405&lt;=0),0,MAX(0,Listes!$B$3-$G1405)))</f>
        <v/>
      </c>
      <c r="P1405" s="12">
        <f>IF($A1405="","",IF($J1405&lt;=0,"Payé",IF($M1405="Oui","Litige",IF($O1405=0,"À échoir",IF($O1405&lt;=30,"0-30",IF($O1405&lt;=60,"31-60",IF($O1405&lt;=90,"61-90","90+")))))))</f>
        <v/>
      </c>
    </row>
    <row r="1406">
      <c r="A1406" s="6" t="n"/>
      <c r="B1406" s="6" t="n"/>
      <c r="C1406" s="6" t="n"/>
      <c r="D1406" s="6" t="n"/>
      <c r="E1406" s="6" t="n"/>
      <c r="F1406" s="7" t="n"/>
      <c r="G1406" s="7" t="n"/>
      <c r="H1406" s="8" t="n"/>
      <c r="I1406" s="9">
        <f>IF($A1406="","",SUMIFS(Ventes_Encaissements!$D$6:$D$3005,Ventes_Encaissements!$B$6:$B$3005,$A1406))</f>
        <v/>
      </c>
      <c r="J1406" s="9">
        <f>IF($A1406="","",$H1406-$I1406)</f>
        <v/>
      </c>
      <c r="K1406" s="10">
        <f>IF($A1406="","",IF($I1406=0,"",_xludf.AGGREGATE(14,6,Ventes_Encaissements!$C$6:$C$3005/(Ventes_Encaissements!$B$6:$B$3005=$A1406),1)))</f>
        <v/>
      </c>
      <c r="L1406" s="11">
        <f>IF($A1406="","",COUNTIFS(Ventes_Detail!$B$6:$B$3005,$A1406))</f>
        <v/>
      </c>
      <c r="M1406" s="12" t="n"/>
      <c r="N1406" s="12">
        <f>IF($A1406="","",IF($G1406="","",IF($M1406="Oui","Litige",IF($J1406&lt;=0,"Payé",IF($I1406&gt;0,"Partiel",IF(Listes!$B$3&gt;$G1406,"En retard","À échoir"))))))</f>
        <v/>
      </c>
      <c r="O1406" s="11">
        <f>IF($A1406="","",IF(OR($G1406="", $J1406&lt;=0),0,MAX(0,Listes!$B$3-$G1406)))</f>
        <v/>
      </c>
      <c r="P1406" s="12">
        <f>IF($A1406="","",IF($J1406&lt;=0,"Payé",IF($M1406="Oui","Litige",IF($O1406=0,"À échoir",IF($O1406&lt;=30,"0-30",IF($O1406&lt;=60,"31-60",IF($O1406&lt;=90,"61-90","90+")))))))</f>
        <v/>
      </c>
    </row>
    <row r="1407">
      <c r="A1407" s="6" t="n"/>
      <c r="B1407" s="6" t="n"/>
      <c r="C1407" s="6" t="n"/>
      <c r="D1407" s="6" t="n"/>
      <c r="E1407" s="6" t="n"/>
      <c r="F1407" s="7" t="n"/>
      <c r="G1407" s="7" t="n"/>
      <c r="H1407" s="8" t="n"/>
      <c r="I1407" s="9">
        <f>IF($A1407="","",SUMIFS(Ventes_Encaissements!$D$6:$D$3005,Ventes_Encaissements!$B$6:$B$3005,$A1407))</f>
        <v/>
      </c>
      <c r="J1407" s="9">
        <f>IF($A1407="","",$H1407-$I1407)</f>
        <v/>
      </c>
      <c r="K1407" s="10">
        <f>IF($A1407="","",IF($I1407=0,"",_xludf.AGGREGATE(14,6,Ventes_Encaissements!$C$6:$C$3005/(Ventes_Encaissements!$B$6:$B$3005=$A1407),1)))</f>
        <v/>
      </c>
      <c r="L1407" s="11">
        <f>IF($A1407="","",COUNTIFS(Ventes_Detail!$B$6:$B$3005,$A1407))</f>
        <v/>
      </c>
      <c r="M1407" s="12" t="n"/>
      <c r="N1407" s="12">
        <f>IF($A1407="","",IF($G1407="","",IF($M1407="Oui","Litige",IF($J1407&lt;=0,"Payé",IF($I1407&gt;0,"Partiel",IF(Listes!$B$3&gt;$G1407,"En retard","À échoir"))))))</f>
        <v/>
      </c>
      <c r="O1407" s="11">
        <f>IF($A1407="","",IF(OR($G1407="", $J1407&lt;=0),0,MAX(0,Listes!$B$3-$G1407)))</f>
        <v/>
      </c>
      <c r="P1407" s="12">
        <f>IF($A1407="","",IF($J1407&lt;=0,"Payé",IF($M1407="Oui","Litige",IF($O1407=0,"À échoir",IF($O1407&lt;=30,"0-30",IF($O1407&lt;=60,"31-60",IF($O1407&lt;=90,"61-90","90+")))))))</f>
        <v/>
      </c>
    </row>
    <row r="1408">
      <c r="A1408" s="6" t="n"/>
      <c r="B1408" s="6" t="n"/>
      <c r="C1408" s="6" t="n"/>
      <c r="D1408" s="6" t="n"/>
      <c r="E1408" s="6" t="n"/>
      <c r="F1408" s="7" t="n"/>
      <c r="G1408" s="7" t="n"/>
      <c r="H1408" s="8" t="n"/>
      <c r="I1408" s="9">
        <f>IF($A1408="","",SUMIFS(Ventes_Encaissements!$D$6:$D$3005,Ventes_Encaissements!$B$6:$B$3005,$A1408))</f>
        <v/>
      </c>
      <c r="J1408" s="9">
        <f>IF($A1408="","",$H1408-$I1408)</f>
        <v/>
      </c>
      <c r="K1408" s="10">
        <f>IF($A1408="","",IF($I1408=0,"",_xludf.AGGREGATE(14,6,Ventes_Encaissements!$C$6:$C$3005/(Ventes_Encaissements!$B$6:$B$3005=$A1408),1)))</f>
        <v/>
      </c>
      <c r="L1408" s="11">
        <f>IF($A1408="","",COUNTIFS(Ventes_Detail!$B$6:$B$3005,$A1408))</f>
        <v/>
      </c>
      <c r="M1408" s="12" t="n"/>
      <c r="N1408" s="12">
        <f>IF($A1408="","",IF($G1408="","",IF($M1408="Oui","Litige",IF($J1408&lt;=0,"Payé",IF($I1408&gt;0,"Partiel",IF(Listes!$B$3&gt;$G1408,"En retard","À échoir"))))))</f>
        <v/>
      </c>
      <c r="O1408" s="11">
        <f>IF($A1408="","",IF(OR($G1408="", $J1408&lt;=0),0,MAX(0,Listes!$B$3-$G1408)))</f>
        <v/>
      </c>
      <c r="P1408" s="12">
        <f>IF($A1408="","",IF($J1408&lt;=0,"Payé",IF($M1408="Oui","Litige",IF($O1408=0,"À échoir",IF($O1408&lt;=30,"0-30",IF($O1408&lt;=60,"31-60",IF($O1408&lt;=90,"61-90","90+")))))))</f>
        <v/>
      </c>
    </row>
    <row r="1409">
      <c r="A1409" s="6" t="n"/>
      <c r="B1409" s="6" t="n"/>
      <c r="C1409" s="6" t="n"/>
      <c r="D1409" s="6" t="n"/>
      <c r="E1409" s="6" t="n"/>
      <c r="F1409" s="7" t="n"/>
      <c r="G1409" s="7" t="n"/>
      <c r="H1409" s="8" t="n"/>
      <c r="I1409" s="9">
        <f>IF($A1409="","",SUMIFS(Ventes_Encaissements!$D$6:$D$3005,Ventes_Encaissements!$B$6:$B$3005,$A1409))</f>
        <v/>
      </c>
      <c r="J1409" s="9">
        <f>IF($A1409="","",$H1409-$I1409)</f>
        <v/>
      </c>
      <c r="K1409" s="10">
        <f>IF($A1409="","",IF($I1409=0,"",_xludf.AGGREGATE(14,6,Ventes_Encaissements!$C$6:$C$3005/(Ventes_Encaissements!$B$6:$B$3005=$A1409),1)))</f>
        <v/>
      </c>
      <c r="L1409" s="11">
        <f>IF($A1409="","",COUNTIFS(Ventes_Detail!$B$6:$B$3005,$A1409))</f>
        <v/>
      </c>
      <c r="M1409" s="12" t="n"/>
      <c r="N1409" s="12">
        <f>IF($A1409="","",IF($G1409="","",IF($M1409="Oui","Litige",IF($J1409&lt;=0,"Payé",IF($I1409&gt;0,"Partiel",IF(Listes!$B$3&gt;$G1409,"En retard","À échoir"))))))</f>
        <v/>
      </c>
      <c r="O1409" s="11">
        <f>IF($A1409="","",IF(OR($G1409="", $J1409&lt;=0),0,MAX(0,Listes!$B$3-$G1409)))</f>
        <v/>
      </c>
      <c r="P1409" s="12">
        <f>IF($A1409="","",IF($J1409&lt;=0,"Payé",IF($M1409="Oui","Litige",IF($O1409=0,"À échoir",IF($O1409&lt;=30,"0-30",IF($O1409&lt;=60,"31-60",IF($O1409&lt;=90,"61-90","90+")))))))</f>
        <v/>
      </c>
    </row>
    <row r="1410">
      <c r="A1410" s="6" t="n"/>
      <c r="B1410" s="6" t="n"/>
      <c r="C1410" s="6" t="n"/>
      <c r="D1410" s="6" t="n"/>
      <c r="E1410" s="6" t="n"/>
      <c r="F1410" s="7" t="n"/>
      <c r="G1410" s="7" t="n"/>
      <c r="H1410" s="8" t="n"/>
      <c r="I1410" s="9">
        <f>IF($A1410="","",SUMIFS(Ventes_Encaissements!$D$6:$D$3005,Ventes_Encaissements!$B$6:$B$3005,$A1410))</f>
        <v/>
      </c>
      <c r="J1410" s="9">
        <f>IF($A1410="","",$H1410-$I1410)</f>
        <v/>
      </c>
      <c r="K1410" s="10">
        <f>IF($A1410="","",IF($I1410=0,"",_xludf.AGGREGATE(14,6,Ventes_Encaissements!$C$6:$C$3005/(Ventes_Encaissements!$B$6:$B$3005=$A1410),1)))</f>
        <v/>
      </c>
      <c r="L1410" s="11">
        <f>IF($A1410="","",COUNTIFS(Ventes_Detail!$B$6:$B$3005,$A1410))</f>
        <v/>
      </c>
      <c r="M1410" s="12" t="n"/>
      <c r="N1410" s="12">
        <f>IF($A1410="","",IF($G1410="","",IF($M1410="Oui","Litige",IF($J1410&lt;=0,"Payé",IF($I1410&gt;0,"Partiel",IF(Listes!$B$3&gt;$G1410,"En retard","À échoir"))))))</f>
        <v/>
      </c>
      <c r="O1410" s="11">
        <f>IF($A1410="","",IF(OR($G1410="", $J1410&lt;=0),0,MAX(0,Listes!$B$3-$G1410)))</f>
        <v/>
      </c>
      <c r="P1410" s="12">
        <f>IF($A1410="","",IF($J1410&lt;=0,"Payé",IF($M1410="Oui","Litige",IF($O1410=0,"À échoir",IF($O1410&lt;=30,"0-30",IF($O1410&lt;=60,"31-60",IF($O1410&lt;=90,"61-90","90+")))))))</f>
        <v/>
      </c>
    </row>
    <row r="1411">
      <c r="A1411" s="6" t="n"/>
      <c r="B1411" s="6" t="n"/>
      <c r="C1411" s="6" t="n"/>
      <c r="D1411" s="6" t="n"/>
      <c r="E1411" s="6" t="n"/>
      <c r="F1411" s="7" t="n"/>
      <c r="G1411" s="7" t="n"/>
      <c r="H1411" s="8" t="n"/>
      <c r="I1411" s="9">
        <f>IF($A1411="","",SUMIFS(Ventes_Encaissements!$D$6:$D$3005,Ventes_Encaissements!$B$6:$B$3005,$A1411))</f>
        <v/>
      </c>
      <c r="J1411" s="9">
        <f>IF($A1411="","",$H1411-$I1411)</f>
        <v/>
      </c>
      <c r="K1411" s="10">
        <f>IF($A1411="","",IF($I1411=0,"",_xludf.AGGREGATE(14,6,Ventes_Encaissements!$C$6:$C$3005/(Ventes_Encaissements!$B$6:$B$3005=$A1411),1)))</f>
        <v/>
      </c>
      <c r="L1411" s="11">
        <f>IF($A1411="","",COUNTIFS(Ventes_Detail!$B$6:$B$3005,$A1411))</f>
        <v/>
      </c>
      <c r="M1411" s="12" t="n"/>
      <c r="N1411" s="12">
        <f>IF($A1411="","",IF($G1411="","",IF($M1411="Oui","Litige",IF($J1411&lt;=0,"Payé",IF($I1411&gt;0,"Partiel",IF(Listes!$B$3&gt;$G1411,"En retard","À échoir"))))))</f>
        <v/>
      </c>
      <c r="O1411" s="11">
        <f>IF($A1411="","",IF(OR($G1411="", $J1411&lt;=0),0,MAX(0,Listes!$B$3-$G1411)))</f>
        <v/>
      </c>
      <c r="P1411" s="12">
        <f>IF($A1411="","",IF($J1411&lt;=0,"Payé",IF($M1411="Oui","Litige",IF($O1411=0,"À échoir",IF($O1411&lt;=30,"0-30",IF($O1411&lt;=60,"31-60",IF($O1411&lt;=90,"61-90","90+")))))))</f>
        <v/>
      </c>
    </row>
    <row r="1412">
      <c r="A1412" s="6" t="n"/>
      <c r="B1412" s="6" t="n"/>
      <c r="C1412" s="6" t="n"/>
      <c r="D1412" s="6" t="n"/>
      <c r="E1412" s="6" t="n"/>
      <c r="F1412" s="7" t="n"/>
      <c r="G1412" s="7" t="n"/>
      <c r="H1412" s="8" t="n"/>
      <c r="I1412" s="9">
        <f>IF($A1412="","",SUMIFS(Ventes_Encaissements!$D$6:$D$3005,Ventes_Encaissements!$B$6:$B$3005,$A1412))</f>
        <v/>
      </c>
      <c r="J1412" s="9">
        <f>IF($A1412="","",$H1412-$I1412)</f>
        <v/>
      </c>
      <c r="K1412" s="10">
        <f>IF($A1412="","",IF($I1412=0,"",_xludf.AGGREGATE(14,6,Ventes_Encaissements!$C$6:$C$3005/(Ventes_Encaissements!$B$6:$B$3005=$A1412),1)))</f>
        <v/>
      </c>
      <c r="L1412" s="11">
        <f>IF($A1412="","",COUNTIFS(Ventes_Detail!$B$6:$B$3005,$A1412))</f>
        <v/>
      </c>
      <c r="M1412" s="12" t="n"/>
      <c r="N1412" s="12">
        <f>IF($A1412="","",IF($G1412="","",IF($M1412="Oui","Litige",IF($J1412&lt;=0,"Payé",IF($I1412&gt;0,"Partiel",IF(Listes!$B$3&gt;$G1412,"En retard","À échoir"))))))</f>
        <v/>
      </c>
      <c r="O1412" s="11">
        <f>IF($A1412="","",IF(OR($G1412="", $J1412&lt;=0),0,MAX(0,Listes!$B$3-$G1412)))</f>
        <v/>
      </c>
      <c r="P1412" s="12">
        <f>IF($A1412="","",IF($J1412&lt;=0,"Payé",IF($M1412="Oui","Litige",IF($O1412=0,"À échoir",IF($O1412&lt;=30,"0-30",IF($O1412&lt;=60,"31-60",IF($O1412&lt;=90,"61-90","90+")))))))</f>
        <v/>
      </c>
    </row>
    <row r="1413">
      <c r="A1413" s="6" t="n"/>
      <c r="B1413" s="6" t="n"/>
      <c r="C1413" s="6" t="n"/>
      <c r="D1413" s="6" t="n"/>
      <c r="E1413" s="6" t="n"/>
      <c r="F1413" s="7" t="n"/>
      <c r="G1413" s="7" t="n"/>
      <c r="H1413" s="8" t="n"/>
      <c r="I1413" s="9">
        <f>IF($A1413="","",SUMIFS(Ventes_Encaissements!$D$6:$D$3005,Ventes_Encaissements!$B$6:$B$3005,$A1413))</f>
        <v/>
      </c>
      <c r="J1413" s="9">
        <f>IF($A1413="","",$H1413-$I1413)</f>
        <v/>
      </c>
      <c r="K1413" s="10">
        <f>IF($A1413="","",IF($I1413=0,"",_xludf.AGGREGATE(14,6,Ventes_Encaissements!$C$6:$C$3005/(Ventes_Encaissements!$B$6:$B$3005=$A1413),1)))</f>
        <v/>
      </c>
      <c r="L1413" s="11">
        <f>IF($A1413="","",COUNTIFS(Ventes_Detail!$B$6:$B$3005,$A1413))</f>
        <v/>
      </c>
      <c r="M1413" s="12" t="n"/>
      <c r="N1413" s="12">
        <f>IF($A1413="","",IF($G1413="","",IF($M1413="Oui","Litige",IF($J1413&lt;=0,"Payé",IF($I1413&gt;0,"Partiel",IF(Listes!$B$3&gt;$G1413,"En retard","À échoir"))))))</f>
        <v/>
      </c>
      <c r="O1413" s="11">
        <f>IF($A1413="","",IF(OR($G1413="", $J1413&lt;=0),0,MAX(0,Listes!$B$3-$G1413)))</f>
        <v/>
      </c>
      <c r="P1413" s="12">
        <f>IF($A1413="","",IF($J1413&lt;=0,"Payé",IF($M1413="Oui","Litige",IF($O1413=0,"À échoir",IF($O1413&lt;=30,"0-30",IF($O1413&lt;=60,"31-60",IF($O1413&lt;=90,"61-90","90+")))))))</f>
        <v/>
      </c>
    </row>
    <row r="1414">
      <c r="A1414" s="6" t="n"/>
      <c r="B1414" s="6" t="n"/>
      <c r="C1414" s="6" t="n"/>
      <c r="D1414" s="6" t="n"/>
      <c r="E1414" s="6" t="n"/>
      <c r="F1414" s="7" t="n"/>
      <c r="G1414" s="7" t="n"/>
      <c r="H1414" s="8" t="n"/>
      <c r="I1414" s="9">
        <f>IF($A1414="","",SUMIFS(Ventes_Encaissements!$D$6:$D$3005,Ventes_Encaissements!$B$6:$B$3005,$A1414))</f>
        <v/>
      </c>
      <c r="J1414" s="9">
        <f>IF($A1414="","",$H1414-$I1414)</f>
        <v/>
      </c>
      <c r="K1414" s="10">
        <f>IF($A1414="","",IF($I1414=0,"",_xludf.AGGREGATE(14,6,Ventes_Encaissements!$C$6:$C$3005/(Ventes_Encaissements!$B$6:$B$3005=$A1414),1)))</f>
        <v/>
      </c>
      <c r="L1414" s="11">
        <f>IF($A1414="","",COUNTIFS(Ventes_Detail!$B$6:$B$3005,$A1414))</f>
        <v/>
      </c>
      <c r="M1414" s="12" t="n"/>
      <c r="N1414" s="12">
        <f>IF($A1414="","",IF($G1414="","",IF($M1414="Oui","Litige",IF($J1414&lt;=0,"Payé",IF($I1414&gt;0,"Partiel",IF(Listes!$B$3&gt;$G1414,"En retard","À échoir"))))))</f>
        <v/>
      </c>
      <c r="O1414" s="11">
        <f>IF($A1414="","",IF(OR($G1414="", $J1414&lt;=0),0,MAX(0,Listes!$B$3-$G1414)))</f>
        <v/>
      </c>
      <c r="P1414" s="12">
        <f>IF($A1414="","",IF($J1414&lt;=0,"Payé",IF($M1414="Oui","Litige",IF($O1414=0,"À échoir",IF($O1414&lt;=30,"0-30",IF($O1414&lt;=60,"31-60",IF($O1414&lt;=90,"61-90","90+")))))))</f>
        <v/>
      </c>
    </row>
    <row r="1415">
      <c r="A1415" s="6" t="n"/>
      <c r="B1415" s="6" t="n"/>
      <c r="C1415" s="6" t="n"/>
      <c r="D1415" s="6" t="n"/>
      <c r="E1415" s="6" t="n"/>
      <c r="F1415" s="7" t="n"/>
      <c r="G1415" s="7" t="n"/>
      <c r="H1415" s="8" t="n"/>
      <c r="I1415" s="9">
        <f>IF($A1415="","",SUMIFS(Ventes_Encaissements!$D$6:$D$3005,Ventes_Encaissements!$B$6:$B$3005,$A1415))</f>
        <v/>
      </c>
      <c r="J1415" s="9">
        <f>IF($A1415="","",$H1415-$I1415)</f>
        <v/>
      </c>
      <c r="K1415" s="10">
        <f>IF($A1415="","",IF($I1415=0,"",_xludf.AGGREGATE(14,6,Ventes_Encaissements!$C$6:$C$3005/(Ventes_Encaissements!$B$6:$B$3005=$A1415),1)))</f>
        <v/>
      </c>
      <c r="L1415" s="11">
        <f>IF($A1415="","",COUNTIFS(Ventes_Detail!$B$6:$B$3005,$A1415))</f>
        <v/>
      </c>
      <c r="M1415" s="12" t="n"/>
      <c r="N1415" s="12">
        <f>IF($A1415="","",IF($G1415="","",IF($M1415="Oui","Litige",IF($J1415&lt;=0,"Payé",IF($I1415&gt;0,"Partiel",IF(Listes!$B$3&gt;$G1415,"En retard","À échoir"))))))</f>
        <v/>
      </c>
      <c r="O1415" s="11">
        <f>IF($A1415="","",IF(OR($G1415="", $J1415&lt;=0),0,MAX(0,Listes!$B$3-$G1415)))</f>
        <v/>
      </c>
      <c r="P1415" s="12">
        <f>IF($A1415="","",IF($J1415&lt;=0,"Payé",IF($M1415="Oui","Litige",IF($O1415=0,"À échoir",IF($O1415&lt;=30,"0-30",IF($O1415&lt;=60,"31-60",IF($O1415&lt;=90,"61-90","90+")))))))</f>
        <v/>
      </c>
    </row>
    <row r="1416">
      <c r="A1416" s="6" t="n"/>
      <c r="B1416" s="6" t="n"/>
      <c r="C1416" s="6" t="n"/>
      <c r="D1416" s="6" t="n"/>
      <c r="E1416" s="6" t="n"/>
      <c r="F1416" s="7" t="n"/>
      <c r="G1416" s="7" t="n"/>
      <c r="H1416" s="8" t="n"/>
      <c r="I1416" s="9">
        <f>IF($A1416="","",SUMIFS(Ventes_Encaissements!$D$6:$D$3005,Ventes_Encaissements!$B$6:$B$3005,$A1416))</f>
        <v/>
      </c>
      <c r="J1416" s="9">
        <f>IF($A1416="","",$H1416-$I1416)</f>
        <v/>
      </c>
      <c r="K1416" s="10">
        <f>IF($A1416="","",IF($I1416=0,"",_xludf.AGGREGATE(14,6,Ventes_Encaissements!$C$6:$C$3005/(Ventes_Encaissements!$B$6:$B$3005=$A1416),1)))</f>
        <v/>
      </c>
      <c r="L1416" s="11">
        <f>IF($A1416="","",COUNTIFS(Ventes_Detail!$B$6:$B$3005,$A1416))</f>
        <v/>
      </c>
      <c r="M1416" s="12" t="n"/>
      <c r="N1416" s="12">
        <f>IF($A1416="","",IF($G1416="","",IF($M1416="Oui","Litige",IF($J1416&lt;=0,"Payé",IF($I1416&gt;0,"Partiel",IF(Listes!$B$3&gt;$G1416,"En retard","À échoir"))))))</f>
        <v/>
      </c>
      <c r="O1416" s="11">
        <f>IF($A1416="","",IF(OR($G1416="", $J1416&lt;=0),0,MAX(0,Listes!$B$3-$G1416)))</f>
        <v/>
      </c>
      <c r="P1416" s="12">
        <f>IF($A1416="","",IF($J1416&lt;=0,"Payé",IF($M1416="Oui","Litige",IF($O1416=0,"À échoir",IF($O1416&lt;=30,"0-30",IF($O1416&lt;=60,"31-60",IF($O1416&lt;=90,"61-90","90+")))))))</f>
        <v/>
      </c>
    </row>
    <row r="1417">
      <c r="A1417" s="6" t="n"/>
      <c r="B1417" s="6" t="n"/>
      <c r="C1417" s="6" t="n"/>
      <c r="D1417" s="6" t="n"/>
      <c r="E1417" s="6" t="n"/>
      <c r="F1417" s="7" t="n"/>
      <c r="G1417" s="7" t="n"/>
      <c r="H1417" s="8" t="n"/>
      <c r="I1417" s="9">
        <f>IF($A1417="","",SUMIFS(Ventes_Encaissements!$D$6:$D$3005,Ventes_Encaissements!$B$6:$B$3005,$A1417))</f>
        <v/>
      </c>
      <c r="J1417" s="9">
        <f>IF($A1417="","",$H1417-$I1417)</f>
        <v/>
      </c>
      <c r="K1417" s="10">
        <f>IF($A1417="","",IF($I1417=0,"",_xludf.AGGREGATE(14,6,Ventes_Encaissements!$C$6:$C$3005/(Ventes_Encaissements!$B$6:$B$3005=$A1417),1)))</f>
        <v/>
      </c>
      <c r="L1417" s="11">
        <f>IF($A1417="","",COUNTIFS(Ventes_Detail!$B$6:$B$3005,$A1417))</f>
        <v/>
      </c>
      <c r="M1417" s="12" t="n"/>
      <c r="N1417" s="12">
        <f>IF($A1417="","",IF($G1417="","",IF($M1417="Oui","Litige",IF($J1417&lt;=0,"Payé",IF($I1417&gt;0,"Partiel",IF(Listes!$B$3&gt;$G1417,"En retard","À échoir"))))))</f>
        <v/>
      </c>
      <c r="O1417" s="11">
        <f>IF($A1417="","",IF(OR($G1417="", $J1417&lt;=0),0,MAX(0,Listes!$B$3-$G1417)))</f>
        <v/>
      </c>
      <c r="P1417" s="12">
        <f>IF($A1417="","",IF($J1417&lt;=0,"Payé",IF($M1417="Oui","Litige",IF($O1417=0,"À échoir",IF($O1417&lt;=30,"0-30",IF($O1417&lt;=60,"31-60",IF($O1417&lt;=90,"61-90","90+")))))))</f>
        <v/>
      </c>
    </row>
    <row r="1418">
      <c r="A1418" s="6" t="n"/>
      <c r="B1418" s="6" t="n"/>
      <c r="C1418" s="6" t="n"/>
      <c r="D1418" s="6" t="n"/>
      <c r="E1418" s="6" t="n"/>
      <c r="F1418" s="7" t="n"/>
      <c r="G1418" s="7" t="n"/>
      <c r="H1418" s="8" t="n"/>
      <c r="I1418" s="9">
        <f>IF($A1418="","",SUMIFS(Ventes_Encaissements!$D$6:$D$3005,Ventes_Encaissements!$B$6:$B$3005,$A1418))</f>
        <v/>
      </c>
      <c r="J1418" s="9">
        <f>IF($A1418="","",$H1418-$I1418)</f>
        <v/>
      </c>
      <c r="K1418" s="10">
        <f>IF($A1418="","",IF($I1418=0,"",_xludf.AGGREGATE(14,6,Ventes_Encaissements!$C$6:$C$3005/(Ventes_Encaissements!$B$6:$B$3005=$A1418),1)))</f>
        <v/>
      </c>
      <c r="L1418" s="11">
        <f>IF($A1418="","",COUNTIFS(Ventes_Detail!$B$6:$B$3005,$A1418))</f>
        <v/>
      </c>
      <c r="M1418" s="12" t="n"/>
      <c r="N1418" s="12">
        <f>IF($A1418="","",IF($G1418="","",IF($M1418="Oui","Litige",IF($J1418&lt;=0,"Payé",IF($I1418&gt;0,"Partiel",IF(Listes!$B$3&gt;$G1418,"En retard","À échoir"))))))</f>
        <v/>
      </c>
      <c r="O1418" s="11">
        <f>IF($A1418="","",IF(OR($G1418="", $J1418&lt;=0),0,MAX(0,Listes!$B$3-$G1418)))</f>
        <v/>
      </c>
      <c r="P1418" s="12">
        <f>IF($A1418="","",IF($J1418&lt;=0,"Payé",IF($M1418="Oui","Litige",IF($O1418=0,"À échoir",IF($O1418&lt;=30,"0-30",IF($O1418&lt;=60,"31-60",IF($O1418&lt;=90,"61-90","90+")))))))</f>
        <v/>
      </c>
    </row>
    <row r="1419">
      <c r="A1419" s="6" t="n"/>
      <c r="B1419" s="6" t="n"/>
      <c r="C1419" s="6" t="n"/>
      <c r="D1419" s="6" t="n"/>
      <c r="E1419" s="6" t="n"/>
      <c r="F1419" s="7" t="n"/>
      <c r="G1419" s="7" t="n"/>
      <c r="H1419" s="8" t="n"/>
      <c r="I1419" s="9">
        <f>IF($A1419="","",SUMIFS(Ventes_Encaissements!$D$6:$D$3005,Ventes_Encaissements!$B$6:$B$3005,$A1419))</f>
        <v/>
      </c>
      <c r="J1419" s="9">
        <f>IF($A1419="","",$H1419-$I1419)</f>
        <v/>
      </c>
      <c r="K1419" s="10">
        <f>IF($A1419="","",IF($I1419=0,"",_xludf.AGGREGATE(14,6,Ventes_Encaissements!$C$6:$C$3005/(Ventes_Encaissements!$B$6:$B$3005=$A1419),1)))</f>
        <v/>
      </c>
      <c r="L1419" s="11">
        <f>IF($A1419="","",COUNTIFS(Ventes_Detail!$B$6:$B$3005,$A1419))</f>
        <v/>
      </c>
      <c r="M1419" s="12" t="n"/>
      <c r="N1419" s="12">
        <f>IF($A1419="","",IF($G1419="","",IF($M1419="Oui","Litige",IF($J1419&lt;=0,"Payé",IF($I1419&gt;0,"Partiel",IF(Listes!$B$3&gt;$G1419,"En retard","À échoir"))))))</f>
        <v/>
      </c>
      <c r="O1419" s="11">
        <f>IF($A1419="","",IF(OR($G1419="", $J1419&lt;=0),0,MAX(0,Listes!$B$3-$G1419)))</f>
        <v/>
      </c>
      <c r="P1419" s="12">
        <f>IF($A1419="","",IF($J1419&lt;=0,"Payé",IF($M1419="Oui","Litige",IF($O1419=0,"À échoir",IF($O1419&lt;=30,"0-30",IF($O1419&lt;=60,"31-60",IF($O1419&lt;=90,"61-90","90+")))))))</f>
        <v/>
      </c>
    </row>
    <row r="1420">
      <c r="A1420" s="6" t="n"/>
      <c r="B1420" s="6" t="n"/>
      <c r="C1420" s="6" t="n"/>
      <c r="D1420" s="6" t="n"/>
      <c r="E1420" s="6" t="n"/>
      <c r="F1420" s="7" t="n"/>
      <c r="G1420" s="7" t="n"/>
      <c r="H1420" s="8" t="n"/>
      <c r="I1420" s="9">
        <f>IF($A1420="","",SUMIFS(Ventes_Encaissements!$D$6:$D$3005,Ventes_Encaissements!$B$6:$B$3005,$A1420))</f>
        <v/>
      </c>
      <c r="J1420" s="9">
        <f>IF($A1420="","",$H1420-$I1420)</f>
        <v/>
      </c>
      <c r="K1420" s="10">
        <f>IF($A1420="","",IF($I1420=0,"",_xludf.AGGREGATE(14,6,Ventes_Encaissements!$C$6:$C$3005/(Ventes_Encaissements!$B$6:$B$3005=$A1420),1)))</f>
        <v/>
      </c>
      <c r="L1420" s="11">
        <f>IF($A1420="","",COUNTIFS(Ventes_Detail!$B$6:$B$3005,$A1420))</f>
        <v/>
      </c>
      <c r="M1420" s="12" t="n"/>
      <c r="N1420" s="12">
        <f>IF($A1420="","",IF($G1420="","",IF($M1420="Oui","Litige",IF($J1420&lt;=0,"Payé",IF($I1420&gt;0,"Partiel",IF(Listes!$B$3&gt;$G1420,"En retard","À échoir"))))))</f>
        <v/>
      </c>
      <c r="O1420" s="11">
        <f>IF($A1420="","",IF(OR($G1420="", $J1420&lt;=0),0,MAX(0,Listes!$B$3-$G1420)))</f>
        <v/>
      </c>
      <c r="P1420" s="12">
        <f>IF($A1420="","",IF($J1420&lt;=0,"Payé",IF($M1420="Oui","Litige",IF($O1420=0,"À échoir",IF($O1420&lt;=30,"0-30",IF($O1420&lt;=60,"31-60",IF($O1420&lt;=90,"61-90","90+")))))))</f>
        <v/>
      </c>
    </row>
    <row r="1421">
      <c r="A1421" s="6" t="n"/>
      <c r="B1421" s="6" t="n"/>
      <c r="C1421" s="6" t="n"/>
      <c r="D1421" s="6" t="n"/>
      <c r="E1421" s="6" t="n"/>
      <c r="F1421" s="7" t="n"/>
      <c r="G1421" s="7" t="n"/>
      <c r="H1421" s="8" t="n"/>
      <c r="I1421" s="9">
        <f>IF($A1421="","",SUMIFS(Ventes_Encaissements!$D$6:$D$3005,Ventes_Encaissements!$B$6:$B$3005,$A1421))</f>
        <v/>
      </c>
      <c r="J1421" s="9">
        <f>IF($A1421="","",$H1421-$I1421)</f>
        <v/>
      </c>
      <c r="K1421" s="10">
        <f>IF($A1421="","",IF($I1421=0,"",_xludf.AGGREGATE(14,6,Ventes_Encaissements!$C$6:$C$3005/(Ventes_Encaissements!$B$6:$B$3005=$A1421),1)))</f>
        <v/>
      </c>
      <c r="L1421" s="11">
        <f>IF($A1421="","",COUNTIFS(Ventes_Detail!$B$6:$B$3005,$A1421))</f>
        <v/>
      </c>
      <c r="M1421" s="12" t="n"/>
      <c r="N1421" s="12">
        <f>IF($A1421="","",IF($G1421="","",IF($M1421="Oui","Litige",IF($J1421&lt;=0,"Payé",IF($I1421&gt;0,"Partiel",IF(Listes!$B$3&gt;$G1421,"En retard","À échoir"))))))</f>
        <v/>
      </c>
      <c r="O1421" s="11">
        <f>IF($A1421="","",IF(OR($G1421="", $J1421&lt;=0),0,MAX(0,Listes!$B$3-$G1421)))</f>
        <v/>
      </c>
      <c r="P1421" s="12">
        <f>IF($A1421="","",IF($J1421&lt;=0,"Payé",IF($M1421="Oui","Litige",IF($O1421=0,"À échoir",IF($O1421&lt;=30,"0-30",IF($O1421&lt;=60,"31-60",IF($O1421&lt;=90,"61-90","90+")))))))</f>
        <v/>
      </c>
    </row>
    <row r="1422">
      <c r="A1422" s="6" t="n"/>
      <c r="B1422" s="6" t="n"/>
      <c r="C1422" s="6" t="n"/>
      <c r="D1422" s="6" t="n"/>
      <c r="E1422" s="6" t="n"/>
      <c r="F1422" s="7" t="n"/>
      <c r="G1422" s="7" t="n"/>
      <c r="H1422" s="8" t="n"/>
      <c r="I1422" s="9">
        <f>IF($A1422="","",SUMIFS(Ventes_Encaissements!$D$6:$D$3005,Ventes_Encaissements!$B$6:$B$3005,$A1422))</f>
        <v/>
      </c>
      <c r="J1422" s="9">
        <f>IF($A1422="","",$H1422-$I1422)</f>
        <v/>
      </c>
      <c r="K1422" s="10">
        <f>IF($A1422="","",IF($I1422=0,"",_xludf.AGGREGATE(14,6,Ventes_Encaissements!$C$6:$C$3005/(Ventes_Encaissements!$B$6:$B$3005=$A1422),1)))</f>
        <v/>
      </c>
      <c r="L1422" s="11">
        <f>IF($A1422="","",COUNTIFS(Ventes_Detail!$B$6:$B$3005,$A1422))</f>
        <v/>
      </c>
      <c r="M1422" s="12" t="n"/>
      <c r="N1422" s="12">
        <f>IF($A1422="","",IF($G1422="","",IF($M1422="Oui","Litige",IF($J1422&lt;=0,"Payé",IF($I1422&gt;0,"Partiel",IF(Listes!$B$3&gt;$G1422,"En retard","À échoir"))))))</f>
        <v/>
      </c>
      <c r="O1422" s="11">
        <f>IF($A1422="","",IF(OR($G1422="", $J1422&lt;=0),0,MAX(0,Listes!$B$3-$G1422)))</f>
        <v/>
      </c>
      <c r="P1422" s="12">
        <f>IF($A1422="","",IF($J1422&lt;=0,"Payé",IF($M1422="Oui","Litige",IF($O1422=0,"À échoir",IF($O1422&lt;=30,"0-30",IF($O1422&lt;=60,"31-60",IF($O1422&lt;=90,"61-90","90+")))))))</f>
        <v/>
      </c>
    </row>
    <row r="1423">
      <c r="A1423" s="6" t="n"/>
      <c r="B1423" s="6" t="n"/>
      <c r="C1423" s="6" t="n"/>
      <c r="D1423" s="6" t="n"/>
      <c r="E1423" s="6" t="n"/>
      <c r="F1423" s="7" t="n"/>
      <c r="G1423" s="7" t="n"/>
      <c r="H1423" s="8" t="n"/>
      <c r="I1423" s="9">
        <f>IF($A1423="","",SUMIFS(Ventes_Encaissements!$D$6:$D$3005,Ventes_Encaissements!$B$6:$B$3005,$A1423))</f>
        <v/>
      </c>
      <c r="J1423" s="9">
        <f>IF($A1423="","",$H1423-$I1423)</f>
        <v/>
      </c>
      <c r="K1423" s="10">
        <f>IF($A1423="","",IF($I1423=0,"",_xludf.AGGREGATE(14,6,Ventes_Encaissements!$C$6:$C$3005/(Ventes_Encaissements!$B$6:$B$3005=$A1423),1)))</f>
        <v/>
      </c>
      <c r="L1423" s="11">
        <f>IF($A1423="","",COUNTIFS(Ventes_Detail!$B$6:$B$3005,$A1423))</f>
        <v/>
      </c>
      <c r="M1423" s="12" t="n"/>
      <c r="N1423" s="12">
        <f>IF($A1423="","",IF($G1423="","",IF($M1423="Oui","Litige",IF($J1423&lt;=0,"Payé",IF($I1423&gt;0,"Partiel",IF(Listes!$B$3&gt;$G1423,"En retard","À échoir"))))))</f>
        <v/>
      </c>
      <c r="O1423" s="11">
        <f>IF($A1423="","",IF(OR($G1423="", $J1423&lt;=0),0,MAX(0,Listes!$B$3-$G1423)))</f>
        <v/>
      </c>
      <c r="P1423" s="12">
        <f>IF($A1423="","",IF($J1423&lt;=0,"Payé",IF($M1423="Oui","Litige",IF($O1423=0,"À échoir",IF($O1423&lt;=30,"0-30",IF($O1423&lt;=60,"31-60",IF($O1423&lt;=90,"61-90","90+")))))))</f>
        <v/>
      </c>
    </row>
    <row r="1424">
      <c r="A1424" s="6" t="n"/>
      <c r="B1424" s="6" t="n"/>
      <c r="C1424" s="6" t="n"/>
      <c r="D1424" s="6" t="n"/>
      <c r="E1424" s="6" t="n"/>
      <c r="F1424" s="7" t="n"/>
      <c r="G1424" s="7" t="n"/>
      <c r="H1424" s="8" t="n"/>
      <c r="I1424" s="9">
        <f>IF($A1424="","",SUMIFS(Ventes_Encaissements!$D$6:$D$3005,Ventes_Encaissements!$B$6:$B$3005,$A1424))</f>
        <v/>
      </c>
      <c r="J1424" s="9">
        <f>IF($A1424="","",$H1424-$I1424)</f>
        <v/>
      </c>
      <c r="K1424" s="10">
        <f>IF($A1424="","",IF($I1424=0,"",_xludf.AGGREGATE(14,6,Ventes_Encaissements!$C$6:$C$3005/(Ventes_Encaissements!$B$6:$B$3005=$A1424),1)))</f>
        <v/>
      </c>
      <c r="L1424" s="11">
        <f>IF($A1424="","",COUNTIFS(Ventes_Detail!$B$6:$B$3005,$A1424))</f>
        <v/>
      </c>
      <c r="M1424" s="12" t="n"/>
      <c r="N1424" s="12">
        <f>IF($A1424="","",IF($G1424="","",IF($M1424="Oui","Litige",IF($J1424&lt;=0,"Payé",IF($I1424&gt;0,"Partiel",IF(Listes!$B$3&gt;$G1424,"En retard","À échoir"))))))</f>
        <v/>
      </c>
      <c r="O1424" s="11">
        <f>IF($A1424="","",IF(OR($G1424="", $J1424&lt;=0),0,MAX(0,Listes!$B$3-$G1424)))</f>
        <v/>
      </c>
      <c r="P1424" s="12">
        <f>IF($A1424="","",IF($J1424&lt;=0,"Payé",IF($M1424="Oui","Litige",IF($O1424=0,"À échoir",IF($O1424&lt;=30,"0-30",IF($O1424&lt;=60,"31-60",IF($O1424&lt;=90,"61-90","90+")))))))</f>
        <v/>
      </c>
    </row>
    <row r="1425">
      <c r="A1425" s="6" t="n"/>
      <c r="B1425" s="6" t="n"/>
      <c r="C1425" s="6" t="n"/>
      <c r="D1425" s="6" t="n"/>
      <c r="E1425" s="6" t="n"/>
      <c r="F1425" s="7" t="n"/>
      <c r="G1425" s="7" t="n"/>
      <c r="H1425" s="8" t="n"/>
      <c r="I1425" s="9">
        <f>IF($A1425="","",SUMIFS(Ventes_Encaissements!$D$6:$D$3005,Ventes_Encaissements!$B$6:$B$3005,$A1425))</f>
        <v/>
      </c>
      <c r="J1425" s="9">
        <f>IF($A1425="","",$H1425-$I1425)</f>
        <v/>
      </c>
      <c r="K1425" s="10">
        <f>IF($A1425="","",IF($I1425=0,"",_xludf.AGGREGATE(14,6,Ventes_Encaissements!$C$6:$C$3005/(Ventes_Encaissements!$B$6:$B$3005=$A1425),1)))</f>
        <v/>
      </c>
      <c r="L1425" s="11">
        <f>IF($A1425="","",COUNTIFS(Ventes_Detail!$B$6:$B$3005,$A1425))</f>
        <v/>
      </c>
      <c r="M1425" s="12" t="n"/>
      <c r="N1425" s="12">
        <f>IF($A1425="","",IF($G1425="","",IF($M1425="Oui","Litige",IF($J1425&lt;=0,"Payé",IF($I1425&gt;0,"Partiel",IF(Listes!$B$3&gt;$G1425,"En retard","À échoir"))))))</f>
        <v/>
      </c>
      <c r="O1425" s="11">
        <f>IF($A1425="","",IF(OR($G1425="", $J1425&lt;=0),0,MAX(0,Listes!$B$3-$G1425)))</f>
        <v/>
      </c>
      <c r="P1425" s="12">
        <f>IF($A1425="","",IF($J1425&lt;=0,"Payé",IF($M1425="Oui","Litige",IF($O1425=0,"À échoir",IF($O1425&lt;=30,"0-30",IF($O1425&lt;=60,"31-60",IF($O1425&lt;=90,"61-90","90+")))))))</f>
        <v/>
      </c>
    </row>
    <row r="1426">
      <c r="A1426" s="6" t="n"/>
      <c r="B1426" s="6" t="n"/>
      <c r="C1426" s="6" t="n"/>
      <c r="D1426" s="6" t="n"/>
      <c r="E1426" s="6" t="n"/>
      <c r="F1426" s="7" t="n"/>
      <c r="G1426" s="7" t="n"/>
      <c r="H1426" s="8" t="n"/>
      <c r="I1426" s="9">
        <f>IF($A1426="","",SUMIFS(Ventes_Encaissements!$D$6:$D$3005,Ventes_Encaissements!$B$6:$B$3005,$A1426))</f>
        <v/>
      </c>
      <c r="J1426" s="9">
        <f>IF($A1426="","",$H1426-$I1426)</f>
        <v/>
      </c>
      <c r="K1426" s="10">
        <f>IF($A1426="","",IF($I1426=0,"",_xludf.AGGREGATE(14,6,Ventes_Encaissements!$C$6:$C$3005/(Ventes_Encaissements!$B$6:$B$3005=$A1426),1)))</f>
        <v/>
      </c>
      <c r="L1426" s="11">
        <f>IF($A1426="","",COUNTIFS(Ventes_Detail!$B$6:$B$3005,$A1426))</f>
        <v/>
      </c>
      <c r="M1426" s="12" t="n"/>
      <c r="N1426" s="12">
        <f>IF($A1426="","",IF($G1426="","",IF($M1426="Oui","Litige",IF($J1426&lt;=0,"Payé",IF($I1426&gt;0,"Partiel",IF(Listes!$B$3&gt;$G1426,"En retard","À échoir"))))))</f>
        <v/>
      </c>
      <c r="O1426" s="11">
        <f>IF($A1426="","",IF(OR($G1426="", $J1426&lt;=0),0,MAX(0,Listes!$B$3-$G1426)))</f>
        <v/>
      </c>
      <c r="P1426" s="12">
        <f>IF($A1426="","",IF($J1426&lt;=0,"Payé",IF($M1426="Oui","Litige",IF($O1426=0,"À échoir",IF($O1426&lt;=30,"0-30",IF($O1426&lt;=60,"31-60",IF($O1426&lt;=90,"61-90","90+")))))))</f>
        <v/>
      </c>
    </row>
    <row r="1427">
      <c r="A1427" s="6" t="n"/>
      <c r="B1427" s="6" t="n"/>
      <c r="C1427" s="6" t="n"/>
      <c r="D1427" s="6" t="n"/>
      <c r="E1427" s="6" t="n"/>
      <c r="F1427" s="7" t="n"/>
      <c r="G1427" s="7" t="n"/>
      <c r="H1427" s="8" t="n"/>
      <c r="I1427" s="9">
        <f>IF($A1427="","",SUMIFS(Ventes_Encaissements!$D$6:$D$3005,Ventes_Encaissements!$B$6:$B$3005,$A1427))</f>
        <v/>
      </c>
      <c r="J1427" s="9">
        <f>IF($A1427="","",$H1427-$I1427)</f>
        <v/>
      </c>
      <c r="K1427" s="10">
        <f>IF($A1427="","",IF($I1427=0,"",_xludf.AGGREGATE(14,6,Ventes_Encaissements!$C$6:$C$3005/(Ventes_Encaissements!$B$6:$B$3005=$A1427),1)))</f>
        <v/>
      </c>
      <c r="L1427" s="11">
        <f>IF($A1427="","",COUNTIFS(Ventes_Detail!$B$6:$B$3005,$A1427))</f>
        <v/>
      </c>
      <c r="M1427" s="12" t="n"/>
      <c r="N1427" s="12">
        <f>IF($A1427="","",IF($G1427="","",IF($M1427="Oui","Litige",IF($J1427&lt;=0,"Payé",IF($I1427&gt;0,"Partiel",IF(Listes!$B$3&gt;$G1427,"En retard","À échoir"))))))</f>
        <v/>
      </c>
      <c r="O1427" s="11">
        <f>IF($A1427="","",IF(OR($G1427="", $J1427&lt;=0),0,MAX(0,Listes!$B$3-$G1427)))</f>
        <v/>
      </c>
      <c r="P1427" s="12">
        <f>IF($A1427="","",IF($J1427&lt;=0,"Payé",IF($M1427="Oui","Litige",IF($O1427=0,"À échoir",IF($O1427&lt;=30,"0-30",IF($O1427&lt;=60,"31-60",IF($O1427&lt;=90,"61-90","90+")))))))</f>
        <v/>
      </c>
    </row>
    <row r="1428">
      <c r="A1428" s="6" t="n"/>
      <c r="B1428" s="6" t="n"/>
      <c r="C1428" s="6" t="n"/>
      <c r="D1428" s="6" t="n"/>
      <c r="E1428" s="6" t="n"/>
      <c r="F1428" s="7" t="n"/>
      <c r="G1428" s="7" t="n"/>
      <c r="H1428" s="8" t="n"/>
      <c r="I1428" s="9">
        <f>IF($A1428="","",SUMIFS(Ventes_Encaissements!$D$6:$D$3005,Ventes_Encaissements!$B$6:$B$3005,$A1428))</f>
        <v/>
      </c>
      <c r="J1428" s="9">
        <f>IF($A1428="","",$H1428-$I1428)</f>
        <v/>
      </c>
      <c r="K1428" s="10">
        <f>IF($A1428="","",IF($I1428=0,"",_xludf.AGGREGATE(14,6,Ventes_Encaissements!$C$6:$C$3005/(Ventes_Encaissements!$B$6:$B$3005=$A1428),1)))</f>
        <v/>
      </c>
      <c r="L1428" s="11">
        <f>IF($A1428="","",COUNTIFS(Ventes_Detail!$B$6:$B$3005,$A1428))</f>
        <v/>
      </c>
      <c r="M1428" s="12" t="n"/>
      <c r="N1428" s="12">
        <f>IF($A1428="","",IF($G1428="","",IF($M1428="Oui","Litige",IF($J1428&lt;=0,"Payé",IF($I1428&gt;0,"Partiel",IF(Listes!$B$3&gt;$G1428,"En retard","À échoir"))))))</f>
        <v/>
      </c>
      <c r="O1428" s="11">
        <f>IF($A1428="","",IF(OR($G1428="", $J1428&lt;=0),0,MAX(0,Listes!$B$3-$G1428)))</f>
        <v/>
      </c>
      <c r="P1428" s="12">
        <f>IF($A1428="","",IF($J1428&lt;=0,"Payé",IF($M1428="Oui","Litige",IF($O1428=0,"À échoir",IF($O1428&lt;=30,"0-30",IF($O1428&lt;=60,"31-60",IF($O1428&lt;=90,"61-90","90+")))))))</f>
        <v/>
      </c>
    </row>
    <row r="1429">
      <c r="A1429" s="6" t="n"/>
      <c r="B1429" s="6" t="n"/>
      <c r="C1429" s="6" t="n"/>
      <c r="D1429" s="6" t="n"/>
      <c r="E1429" s="6" t="n"/>
      <c r="F1429" s="7" t="n"/>
      <c r="G1429" s="7" t="n"/>
      <c r="H1429" s="8" t="n"/>
      <c r="I1429" s="9">
        <f>IF($A1429="","",SUMIFS(Ventes_Encaissements!$D$6:$D$3005,Ventes_Encaissements!$B$6:$B$3005,$A1429))</f>
        <v/>
      </c>
      <c r="J1429" s="9">
        <f>IF($A1429="","",$H1429-$I1429)</f>
        <v/>
      </c>
      <c r="K1429" s="10">
        <f>IF($A1429="","",IF($I1429=0,"",_xludf.AGGREGATE(14,6,Ventes_Encaissements!$C$6:$C$3005/(Ventes_Encaissements!$B$6:$B$3005=$A1429),1)))</f>
        <v/>
      </c>
      <c r="L1429" s="11">
        <f>IF($A1429="","",COUNTIFS(Ventes_Detail!$B$6:$B$3005,$A1429))</f>
        <v/>
      </c>
      <c r="M1429" s="12" t="n"/>
      <c r="N1429" s="12">
        <f>IF($A1429="","",IF($G1429="","",IF($M1429="Oui","Litige",IF($J1429&lt;=0,"Payé",IF($I1429&gt;0,"Partiel",IF(Listes!$B$3&gt;$G1429,"En retard","À échoir"))))))</f>
        <v/>
      </c>
      <c r="O1429" s="11">
        <f>IF($A1429="","",IF(OR($G1429="", $J1429&lt;=0),0,MAX(0,Listes!$B$3-$G1429)))</f>
        <v/>
      </c>
      <c r="P1429" s="12">
        <f>IF($A1429="","",IF($J1429&lt;=0,"Payé",IF($M1429="Oui","Litige",IF($O1429=0,"À échoir",IF($O1429&lt;=30,"0-30",IF($O1429&lt;=60,"31-60",IF($O1429&lt;=90,"61-90","90+")))))))</f>
        <v/>
      </c>
    </row>
    <row r="1430">
      <c r="A1430" s="6" t="n"/>
      <c r="B1430" s="6" t="n"/>
      <c r="C1430" s="6" t="n"/>
      <c r="D1430" s="6" t="n"/>
      <c r="E1430" s="6" t="n"/>
      <c r="F1430" s="7" t="n"/>
      <c r="G1430" s="7" t="n"/>
      <c r="H1430" s="8" t="n"/>
      <c r="I1430" s="9">
        <f>IF($A1430="","",SUMIFS(Ventes_Encaissements!$D$6:$D$3005,Ventes_Encaissements!$B$6:$B$3005,$A1430))</f>
        <v/>
      </c>
      <c r="J1430" s="9">
        <f>IF($A1430="","",$H1430-$I1430)</f>
        <v/>
      </c>
      <c r="K1430" s="10">
        <f>IF($A1430="","",IF($I1430=0,"",_xludf.AGGREGATE(14,6,Ventes_Encaissements!$C$6:$C$3005/(Ventes_Encaissements!$B$6:$B$3005=$A1430),1)))</f>
        <v/>
      </c>
      <c r="L1430" s="11">
        <f>IF($A1430="","",COUNTIFS(Ventes_Detail!$B$6:$B$3005,$A1430))</f>
        <v/>
      </c>
      <c r="M1430" s="12" t="n"/>
      <c r="N1430" s="12">
        <f>IF($A1430="","",IF($G1430="","",IF($M1430="Oui","Litige",IF($J1430&lt;=0,"Payé",IF($I1430&gt;0,"Partiel",IF(Listes!$B$3&gt;$G1430,"En retard","À échoir"))))))</f>
        <v/>
      </c>
      <c r="O1430" s="11">
        <f>IF($A1430="","",IF(OR($G1430="", $J1430&lt;=0),0,MAX(0,Listes!$B$3-$G1430)))</f>
        <v/>
      </c>
      <c r="P1430" s="12">
        <f>IF($A1430="","",IF($J1430&lt;=0,"Payé",IF($M1430="Oui","Litige",IF($O1430=0,"À échoir",IF($O1430&lt;=30,"0-30",IF($O1430&lt;=60,"31-60",IF($O1430&lt;=90,"61-90","90+")))))))</f>
        <v/>
      </c>
    </row>
    <row r="1431">
      <c r="A1431" s="6" t="n"/>
      <c r="B1431" s="6" t="n"/>
      <c r="C1431" s="6" t="n"/>
      <c r="D1431" s="6" t="n"/>
      <c r="E1431" s="6" t="n"/>
      <c r="F1431" s="7" t="n"/>
      <c r="G1431" s="7" t="n"/>
      <c r="H1431" s="8" t="n"/>
      <c r="I1431" s="9">
        <f>IF($A1431="","",SUMIFS(Ventes_Encaissements!$D$6:$D$3005,Ventes_Encaissements!$B$6:$B$3005,$A1431))</f>
        <v/>
      </c>
      <c r="J1431" s="9">
        <f>IF($A1431="","",$H1431-$I1431)</f>
        <v/>
      </c>
      <c r="K1431" s="10">
        <f>IF($A1431="","",IF($I1431=0,"",_xludf.AGGREGATE(14,6,Ventes_Encaissements!$C$6:$C$3005/(Ventes_Encaissements!$B$6:$B$3005=$A1431),1)))</f>
        <v/>
      </c>
      <c r="L1431" s="11">
        <f>IF($A1431="","",COUNTIFS(Ventes_Detail!$B$6:$B$3005,$A1431))</f>
        <v/>
      </c>
      <c r="M1431" s="12" t="n"/>
      <c r="N1431" s="12">
        <f>IF($A1431="","",IF($G1431="","",IF($M1431="Oui","Litige",IF($J1431&lt;=0,"Payé",IF($I1431&gt;0,"Partiel",IF(Listes!$B$3&gt;$G1431,"En retard","À échoir"))))))</f>
        <v/>
      </c>
      <c r="O1431" s="11">
        <f>IF($A1431="","",IF(OR($G1431="", $J1431&lt;=0),0,MAX(0,Listes!$B$3-$G1431)))</f>
        <v/>
      </c>
      <c r="P1431" s="12">
        <f>IF($A1431="","",IF($J1431&lt;=0,"Payé",IF($M1431="Oui","Litige",IF($O1431=0,"À échoir",IF($O1431&lt;=30,"0-30",IF($O1431&lt;=60,"31-60",IF($O1431&lt;=90,"61-90","90+")))))))</f>
        <v/>
      </c>
    </row>
    <row r="1432">
      <c r="A1432" s="6" t="n"/>
      <c r="B1432" s="6" t="n"/>
      <c r="C1432" s="6" t="n"/>
      <c r="D1432" s="6" t="n"/>
      <c r="E1432" s="6" t="n"/>
      <c r="F1432" s="7" t="n"/>
      <c r="G1432" s="7" t="n"/>
      <c r="H1432" s="8" t="n"/>
      <c r="I1432" s="9">
        <f>IF($A1432="","",SUMIFS(Ventes_Encaissements!$D$6:$D$3005,Ventes_Encaissements!$B$6:$B$3005,$A1432))</f>
        <v/>
      </c>
      <c r="J1432" s="9">
        <f>IF($A1432="","",$H1432-$I1432)</f>
        <v/>
      </c>
      <c r="K1432" s="10">
        <f>IF($A1432="","",IF($I1432=0,"",_xludf.AGGREGATE(14,6,Ventes_Encaissements!$C$6:$C$3005/(Ventes_Encaissements!$B$6:$B$3005=$A1432),1)))</f>
        <v/>
      </c>
      <c r="L1432" s="11">
        <f>IF($A1432="","",COUNTIFS(Ventes_Detail!$B$6:$B$3005,$A1432))</f>
        <v/>
      </c>
      <c r="M1432" s="12" t="n"/>
      <c r="N1432" s="12">
        <f>IF($A1432="","",IF($G1432="","",IF($M1432="Oui","Litige",IF($J1432&lt;=0,"Payé",IF($I1432&gt;0,"Partiel",IF(Listes!$B$3&gt;$G1432,"En retard","À échoir"))))))</f>
        <v/>
      </c>
      <c r="O1432" s="11">
        <f>IF($A1432="","",IF(OR($G1432="", $J1432&lt;=0),0,MAX(0,Listes!$B$3-$G1432)))</f>
        <v/>
      </c>
      <c r="P1432" s="12">
        <f>IF($A1432="","",IF($J1432&lt;=0,"Payé",IF($M1432="Oui","Litige",IF($O1432=0,"À échoir",IF($O1432&lt;=30,"0-30",IF($O1432&lt;=60,"31-60",IF($O1432&lt;=90,"61-90","90+")))))))</f>
        <v/>
      </c>
    </row>
    <row r="1433">
      <c r="A1433" s="6" t="n"/>
      <c r="B1433" s="6" t="n"/>
      <c r="C1433" s="6" t="n"/>
      <c r="D1433" s="6" t="n"/>
      <c r="E1433" s="6" t="n"/>
      <c r="F1433" s="7" t="n"/>
      <c r="G1433" s="7" t="n"/>
      <c r="H1433" s="8" t="n"/>
      <c r="I1433" s="9">
        <f>IF($A1433="","",SUMIFS(Ventes_Encaissements!$D$6:$D$3005,Ventes_Encaissements!$B$6:$B$3005,$A1433))</f>
        <v/>
      </c>
      <c r="J1433" s="9">
        <f>IF($A1433="","",$H1433-$I1433)</f>
        <v/>
      </c>
      <c r="K1433" s="10">
        <f>IF($A1433="","",IF($I1433=0,"",_xludf.AGGREGATE(14,6,Ventes_Encaissements!$C$6:$C$3005/(Ventes_Encaissements!$B$6:$B$3005=$A1433),1)))</f>
        <v/>
      </c>
      <c r="L1433" s="11">
        <f>IF($A1433="","",COUNTIFS(Ventes_Detail!$B$6:$B$3005,$A1433))</f>
        <v/>
      </c>
      <c r="M1433" s="12" t="n"/>
      <c r="N1433" s="12">
        <f>IF($A1433="","",IF($G1433="","",IF($M1433="Oui","Litige",IF($J1433&lt;=0,"Payé",IF($I1433&gt;0,"Partiel",IF(Listes!$B$3&gt;$G1433,"En retard","À échoir"))))))</f>
        <v/>
      </c>
      <c r="O1433" s="11">
        <f>IF($A1433="","",IF(OR($G1433="", $J1433&lt;=0),0,MAX(0,Listes!$B$3-$G1433)))</f>
        <v/>
      </c>
      <c r="P1433" s="12">
        <f>IF($A1433="","",IF($J1433&lt;=0,"Payé",IF($M1433="Oui","Litige",IF($O1433=0,"À échoir",IF($O1433&lt;=30,"0-30",IF($O1433&lt;=60,"31-60",IF($O1433&lt;=90,"61-90","90+")))))))</f>
        <v/>
      </c>
    </row>
    <row r="1434">
      <c r="A1434" s="6" t="n"/>
      <c r="B1434" s="6" t="n"/>
      <c r="C1434" s="6" t="n"/>
      <c r="D1434" s="6" t="n"/>
      <c r="E1434" s="6" t="n"/>
      <c r="F1434" s="7" t="n"/>
      <c r="G1434" s="7" t="n"/>
      <c r="H1434" s="8" t="n"/>
      <c r="I1434" s="9">
        <f>IF($A1434="","",SUMIFS(Ventes_Encaissements!$D$6:$D$3005,Ventes_Encaissements!$B$6:$B$3005,$A1434))</f>
        <v/>
      </c>
      <c r="J1434" s="9">
        <f>IF($A1434="","",$H1434-$I1434)</f>
        <v/>
      </c>
      <c r="K1434" s="10">
        <f>IF($A1434="","",IF($I1434=0,"",_xludf.AGGREGATE(14,6,Ventes_Encaissements!$C$6:$C$3005/(Ventes_Encaissements!$B$6:$B$3005=$A1434),1)))</f>
        <v/>
      </c>
      <c r="L1434" s="11">
        <f>IF($A1434="","",COUNTIFS(Ventes_Detail!$B$6:$B$3005,$A1434))</f>
        <v/>
      </c>
      <c r="M1434" s="12" t="n"/>
      <c r="N1434" s="12">
        <f>IF($A1434="","",IF($G1434="","",IF($M1434="Oui","Litige",IF($J1434&lt;=0,"Payé",IF($I1434&gt;0,"Partiel",IF(Listes!$B$3&gt;$G1434,"En retard","À échoir"))))))</f>
        <v/>
      </c>
      <c r="O1434" s="11">
        <f>IF($A1434="","",IF(OR($G1434="", $J1434&lt;=0),0,MAX(0,Listes!$B$3-$G1434)))</f>
        <v/>
      </c>
      <c r="P1434" s="12">
        <f>IF($A1434="","",IF($J1434&lt;=0,"Payé",IF($M1434="Oui","Litige",IF($O1434=0,"À échoir",IF($O1434&lt;=30,"0-30",IF($O1434&lt;=60,"31-60",IF($O1434&lt;=90,"61-90","90+")))))))</f>
        <v/>
      </c>
    </row>
    <row r="1435">
      <c r="A1435" s="6" t="n"/>
      <c r="B1435" s="6" t="n"/>
      <c r="C1435" s="6" t="n"/>
      <c r="D1435" s="6" t="n"/>
      <c r="E1435" s="6" t="n"/>
      <c r="F1435" s="7" t="n"/>
      <c r="G1435" s="7" t="n"/>
      <c r="H1435" s="8" t="n"/>
      <c r="I1435" s="9">
        <f>IF($A1435="","",SUMIFS(Ventes_Encaissements!$D$6:$D$3005,Ventes_Encaissements!$B$6:$B$3005,$A1435))</f>
        <v/>
      </c>
      <c r="J1435" s="9">
        <f>IF($A1435="","",$H1435-$I1435)</f>
        <v/>
      </c>
      <c r="K1435" s="10">
        <f>IF($A1435="","",IF($I1435=0,"",_xludf.AGGREGATE(14,6,Ventes_Encaissements!$C$6:$C$3005/(Ventes_Encaissements!$B$6:$B$3005=$A1435),1)))</f>
        <v/>
      </c>
      <c r="L1435" s="11">
        <f>IF($A1435="","",COUNTIFS(Ventes_Detail!$B$6:$B$3005,$A1435))</f>
        <v/>
      </c>
      <c r="M1435" s="12" t="n"/>
      <c r="N1435" s="12">
        <f>IF($A1435="","",IF($G1435="","",IF($M1435="Oui","Litige",IF($J1435&lt;=0,"Payé",IF($I1435&gt;0,"Partiel",IF(Listes!$B$3&gt;$G1435,"En retard","À échoir"))))))</f>
        <v/>
      </c>
      <c r="O1435" s="11">
        <f>IF($A1435="","",IF(OR($G1435="", $J1435&lt;=0),0,MAX(0,Listes!$B$3-$G1435)))</f>
        <v/>
      </c>
      <c r="P1435" s="12">
        <f>IF($A1435="","",IF($J1435&lt;=0,"Payé",IF($M1435="Oui","Litige",IF($O1435=0,"À échoir",IF($O1435&lt;=30,"0-30",IF($O1435&lt;=60,"31-60",IF($O1435&lt;=90,"61-90","90+")))))))</f>
        <v/>
      </c>
    </row>
    <row r="1436">
      <c r="A1436" s="6" t="n"/>
      <c r="B1436" s="6" t="n"/>
      <c r="C1436" s="6" t="n"/>
      <c r="D1436" s="6" t="n"/>
      <c r="E1436" s="6" t="n"/>
      <c r="F1436" s="7" t="n"/>
      <c r="G1436" s="7" t="n"/>
      <c r="H1436" s="8" t="n"/>
      <c r="I1436" s="9">
        <f>IF($A1436="","",SUMIFS(Ventes_Encaissements!$D$6:$D$3005,Ventes_Encaissements!$B$6:$B$3005,$A1436))</f>
        <v/>
      </c>
      <c r="J1436" s="9">
        <f>IF($A1436="","",$H1436-$I1436)</f>
        <v/>
      </c>
      <c r="K1436" s="10">
        <f>IF($A1436="","",IF($I1436=0,"",_xludf.AGGREGATE(14,6,Ventes_Encaissements!$C$6:$C$3005/(Ventes_Encaissements!$B$6:$B$3005=$A1436),1)))</f>
        <v/>
      </c>
      <c r="L1436" s="11">
        <f>IF($A1436="","",COUNTIFS(Ventes_Detail!$B$6:$B$3005,$A1436))</f>
        <v/>
      </c>
      <c r="M1436" s="12" t="n"/>
      <c r="N1436" s="12">
        <f>IF($A1436="","",IF($G1436="","",IF($M1436="Oui","Litige",IF($J1436&lt;=0,"Payé",IF($I1436&gt;0,"Partiel",IF(Listes!$B$3&gt;$G1436,"En retard","À échoir"))))))</f>
        <v/>
      </c>
      <c r="O1436" s="11">
        <f>IF($A1436="","",IF(OR($G1436="", $J1436&lt;=0),0,MAX(0,Listes!$B$3-$G1436)))</f>
        <v/>
      </c>
      <c r="P1436" s="12">
        <f>IF($A1436="","",IF($J1436&lt;=0,"Payé",IF($M1436="Oui","Litige",IF($O1436=0,"À échoir",IF($O1436&lt;=30,"0-30",IF($O1436&lt;=60,"31-60",IF($O1436&lt;=90,"61-90","90+")))))))</f>
        <v/>
      </c>
    </row>
    <row r="1437">
      <c r="A1437" s="6" t="n"/>
      <c r="B1437" s="6" t="n"/>
      <c r="C1437" s="6" t="n"/>
      <c r="D1437" s="6" t="n"/>
      <c r="E1437" s="6" t="n"/>
      <c r="F1437" s="7" t="n"/>
      <c r="G1437" s="7" t="n"/>
      <c r="H1437" s="8" t="n"/>
      <c r="I1437" s="9">
        <f>IF($A1437="","",SUMIFS(Ventes_Encaissements!$D$6:$D$3005,Ventes_Encaissements!$B$6:$B$3005,$A1437))</f>
        <v/>
      </c>
      <c r="J1437" s="9">
        <f>IF($A1437="","",$H1437-$I1437)</f>
        <v/>
      </c>
      <c r="K1437" s="10">
        <f>IF($A1437="","",IF($I1437=0,"",_xludf.AGGREGATE(14,6,Ventes_Encaissements!$C$6:$C$3005/(Ventes_Encaissements!$B$6:$B$3005=$A1437),1)))</f>
        <v/>
      </c>
      <c r="L1437" s="11">
        <f>IF($A1437="","",COUNTIFS(Ventes_Detail!$B$6:$B$3005,$A1437))</f>
        <v/>
      </c>
      <c r="M1437" s="12" t="n"/>
      <c r="N1437" s="12">
        <f>IF($A1437="","",IF($G1437="","",IF($M1437="Oui","Litige",IF($J1437&lt;=0,"Payé",IF($I1437&gt;0,"Partiel",IF(Listes!$B$3&gt;$G1437,"En retard","À échoir"))))))</f>
        <v/>
      </c>
      <c r="O1437" s="11">
        <f>IF($A1437="","",IF(OR($G1437="", $J1437&lt;=0),0,MAX(0,Listes!$B$3-$G1437)))</f>
        <v/>
      </c>
      <c r="P1437" s="12">
        <f>IF($A1437="","",IF($J1437&lt;=0,"Payé",IF($M1437="Oui","Litige",IF($O1437=0,"À échoir",IF($O1437&lt;=30,"0-30",IF($O1437&lt;=60,"31-60",IF($O1437&lt;=90,"61-90","90+")))))))</f>
        <v/>
      </c>
    </row>
    <row r="1438">
      <c r="A1438" s="6" t="n"/>
      <c r="B1438" s="6" t="n"/>
      <c r="C1438" s="6" t="n"/>
      <c r="D1438" s="6" t="n"/>
      <c r="E1438" s="6" t="n"/>
      <c r="F1438" s="7" t="n"/>
      <c r="G1438" s="7" t="n"/>
      <c r="H1438" s="8" t="n"/>
      <c r="I1438" s="9">
        <f>IF($A1438="","",SUMIFS(Ventes_Encaissements!$D$6:$D$3005,Ventes_Encaissements!$B$6:$B$3005,$A1438))</f>
        <v/>
      </c>
      <c r="J1438" s="9">
        <f>IF($A1438="","",$H1438-$I1438)</f>
        <v/>
      </c>
      <c r="K1438" s="10">
        <f>IF($A1438="","",IF($I1438=0,"",_xludf.AGGREGATE(14,6,Ventes_Encaissements!$C$6:$C$3005/(Ventes_Encaissements!$B$6:$B$3005=$A1438),1)))</f>
        <v/>
      </c>
      <c r="L1438" s="11">
        <f>IF($A1438="","",COUNTIFS(Ventes_Detail!$B$6:$B$3005,$A1438))</f>
        <v/>
      </c>
      <c r="M1438" s="12" t="n"/>
      <c r="N1438" s="12">
        <f>IF($A1438="","",IF($G1438="","",IF($M1438="Oui","Litige",IF($J1438&lt;=0,"Payé",IF($I1438&gt;0,"Partiel",IF(Listes!$B$3&gt;$G1438,"En retard","À échoir"))))))</f>
        <v/>
      </c>
      <c r="O1438" s="11">
        <f>IF($A1438="","",IF(OR($G1438="", $J1438&lt;=0),0,MAX(0,Listes!$B$3-$G1438)))</f>
        <v/>
      </c>
      <c r="P1438" s="12">
        <f>IF($A1438="","",IF($J1438&lt;=0,"Payé",IF($M1438="Oui","Litige",IF($O1438=0,"À échoir",IF($O1438&lt;=30,"0-30",IF($O1438&lt;=60,"31-60",IF($O1438&lt;=90,"61-90","90+")))))))</f>
        <v/>
      </c>
    </row>
    <row r="1439">
      <c r="A1439" s="6" t="n"/>
      <c r="B1439" s="6" t="n"/>
      <c r="C1439" s="6" t="n"/>
      <c r="D1439" s="6" t="n"/>
      <c r="E1439" s="6" t="n"/>
      <c r="F1439" s="7" t="n"/>
      <c r="G1439" s="7" t="n"/>
      <c r="H1439" s="8" t="n"/>
      <c r="I1439" s="9">
        <f>IF($A1439="","",SUMIFS(Ventes_Encaissements!$D$6:$D$3005,Ventes_Encaissements!$B$6:$B$3005,$A1439))</f>
        <v/>
      </c>
      <c r="J1439" s="9">
        <f>IF($A1439="","",$H1439-$I1439)</f>
        <v/>
      </c>
      <c r="K1439" s="10">
        <f>IF($A1439="","",IF($I1439=0,"",_xludf.AGGREGATE(14,6,Ventes_Encaissements!$C$6:$C$3005/(Ventes_Encaissements!$B$6:$B$3005=$A1439),1)))</f>
        <v/>
      </c>
      <c r="L1439" s="11">
        <f>IF($A1439="","",COUNTIFS(Ventes_Detail!$B$6:$B$3005,$A1439))</f>
        <v/>
      </c>
      <c r="M1439" s="12" t="n"/>
      <c r="N1439" s="12">
        <f>IF($A1439="","",IF($G1439="","",IF($M1439="Oui","Litige",IF($J1439&lt;=0,"Payé",IF($I1439&gt;0,"Partiel",IF(Listes!$B$3&gt;$G1439,"En retard","À échoir"))))))</f>
        <v/>
      </c>
      <c r="O1439" s="11">
        <f>IF($A1439="","",IF(OR($G1439="", $J1439&lt;=0),0,MAX(0,Listes!$B$3-$G1439)))</f>
        <v/>
      </c>
      <c r="P1439" s="12">
        <f>IF($A1439="","",IF($J1439&lt;=0,"Payé",IF($M1439="Oui","Litige",IF($O1439=0,"À échoir",IF($O1439&lt;=30,"0-30",IF($O1439&lt;=60,"31-60",IF($O1439&lt;=90,"61-90","90+")))))))</f>
        <v/>
      </c>
    </row>
    <row r="1440">
      <c r="A1440" s="6" t="n"/>
      <c r="B1440" s="6" t="n"/>
      <c r="C1440" s="6" t="n"/>
      <c r="D1440" s="6" t="n"/>
      <c r="E1440" s="6" t="n"/>
      <c r="F1440" s="7" t="n"/>
      <c r="G1440" s="7" t="n"/>
      <c r="H1440" s="8" t="n"/>
      <c r="I1440" s="9">
        <f>IF($A1440="","",SUMIFS(Ventes_Encaissements!$D$6:$D$3005,Ventes_Encaissements!$B$6:$B$3005,$A1440))</f>
        <v/>
      </c>
      <c r="J1440" s="9">
        <f>IF($A1440="","",$H1440-$I1440)</f>
        <v/>
      </c>
      <c r="K1440" s="10">
        <f>IF($A1440="","",IF($I1440=0,"",_xludf.AGGREGATE(14,6,Ventes_Encaissements!$C$6:$C$3005/(Ventes_Encaissements!$B$6:$B$3005=$A1440),1)))</f>
        <v/>
      </c>
      <c r="L1440" s="11">
        <f>IF($A1440="","",COUNTIFS(Ventes_Detail!$B$6:$B$3005,$A1440))</f>
        <v/>
      </c>
      <c r="M1440" s="12" t="n"/>
      <c r="N1440" s="12">
        <f>IF($A1440="","",IF($G1440="","",IF($M1440="Oui","Litige",IF($J1440&lt;=0,"Payé",IF($I1440&gt;0,"Partiel",IF(Listes!$B$3&gt;$G1440,"En retard","À échoir"))))))</f>
        <v/>
      </c>
      <c r="O1440" s="11">
        <f>IF($A1440="","",IF(OR($G1440="", $J1440&lt;=0),0,MAX(0,Listes!$B$3-$G1440)))</f>
        <v/>
      </c>
      <c r="P1440" s="12">
        <f>IF($A1440="","",IF($J1440&lt;=0,"Payé",IF($M1440="Oui","Litige",IF($O1440=0,"À échoir",IF($O1440&lt;=30,"0-30",IF($O1440&lt;=60,"31-60",IF($O1440&lt;=90,"61-90","90+")))))))</f>
        <v/>
      </c>
    </row>
    <row r="1441">
      <c r="A1441" s="6" t="n"/>
      <c r="B1441" s="6" t="n"/>
      <c r="C1441" s="6" t="n"/>
      <c r="D1441" s="6" t="n"/>
      <c r="E1441" s="6" t="n"/>
      <c r="F1441" s="7" t="n"/>
      <c r="G1441" s="7" t="n"/>
      <c r="H1441" s="8" t="n"/>
      <c r="I1441" s="9">
        <f>IF($A1441="","",SUMIFS(Ventes_Encaissements!$D$6:$D$3005,Ventes_Encaissements!$B$6:$B$3005,$A1441))</f>
        <v/>
      </c>
      <c r="J1441" s="9">
        <f>IF($A1441="","",$H1441-$I1441)</f>
        <v/>
      </c>
      <c r="K1441" s="10">
        <f>IF($A1441="","",IF($I1441=0,"",_xludf.AGGREGATE(14,6,Ventes_Encaissements!$C$6:$C$3005/(Ventes_Encaissements!$B$6:$B$3005=$A1441),1)))</f>
        <v/>
      </c>
      <c r="L1441" s="11">
        <f>IF($A1441="","",COUNTIFS(Ventes_Detail!$B$6:$B$3005,$A1441))</f>
        <v/>
      </c>
      <c r="M1441" s="12" t="n"/>
      <c r="N1441" s="12">
        <f>IF($A1441="","",IF($G1441="","",IF($M1441="Oui","Litige",IF($J1441&lt;=0,"Payé",IF($I1441&gt;0,"Partiel",IF(Listes!$B$3&gt;$G1441,"En retard","À échoir"))))))</f>
        <v/>
      </c>
      <c r="O1441" s="11">
        <f>IF($A1441="","",IF(OR($G1441="", $J1441&lt;=0),0,MAX(0,Listes!$B$3-$G1441)))</f>
        <v/>
      </c>
      <c r="P1441" s="12">
        <f>IF($A1441="","",IF($J1441&lt;=0,"Payé",IF($M1441="Oui","Litige",IF($O1441=0,"À échoir",IF($O1441&lt;=30,"0-30",IF($O1441&lt;=60,"31-60",IF($O1441&lt;=90,"61-90","90+")))))))</f>
        <v/>
      </c>
    </row>
    <row r="1442">
      <c r="A1442" s="6" t="n"/>
      <c r="B1442" s="6" t="n"/>
      <c r="C1442" s="6" t="n"/>
      <c r="D1442" s="6" t="n"/>
      <c r="E1442" s="6" t="n"/>
      <c r="F1442" s="7" t="n"/>
      <c r="G1442" s="7" t="n"/>
      <c r="H1442" s="8" t="n"/>
      <c r="I1442" s="9">
        <f>IF($A1442="","",SUMIFS(Ventes_Encaissements!$D$6:$D$3005,Ventes_Encaissements!$B$6:$B$3005,$A1442))</f>
        <v/>
      </c>
      <c r="J1442" s="9">
        <f>IF($A1442="","",$H1442-$I1442)</f>
        <v/>
      </c>
      <c r="K1442" s="10">
        <f>IF($A1442="","",IF($I1442=0,"",_xludf.AGGREGATE(14,6,Ventes_Encaissements!$C$6:$C$3005/(Ventes_Encaissements!$B$6:$B$3005=$A1442),1)))</f>
        <v/>
      </c>
      <c r="L1442" s="11">
        <f>IF($A1442="","",COUNTIFS(Ventes_Detail!$B$6:$B$3005,$A1442))</f>
        <v/>
      </c>
      <c r="M1442" s="12" t="n"/>
      <c r="N1442" s="12">
        <f>IF($A1442="","",IF($G1442="","",IF($M1442="Oui","Litige",IF($J1442&lt;=0,"Payé",IF($I1442&gt;0,"Partiel",IF(Listes!$B$3&gt;$G1442,"En retard","À échoir"))))))</f>
        <v/>
      </c>
      <c r="O1442" s="11">
        <f>IF($A1442="","",IF(OR($G1442="", $J1442&lt;=0),0,MAX(0,Listes!$B$3-$G1442)))</f>
        <v/>
      </c>
      <c r="P1442" s="12">
        <f>IF($A1442="","",IF($J1442&lt;=0,"Payé",IF($M1442="Oui","Litige",IF($O1442=0,"À échoir",IF($O1442&lt;=30,"0-30",IF($O1442&lt;=60,"31-60",IF($O1442&lt;=90,"61-90","90+")))))))</f>
        <v/>
      </c>
    </row>
    <row r="1443">
      <c r="A1443" s="6" t="n"/>
      <c r="B1443" s="6" t="n"/>
      <c r="C1443" s="6" t="n"/>
      <c r="D1443" s="6" t="n"/>
      <c r="E1443" s="6" t="n"/>
      <c r="F1443" s="7" t="n"/>
      <c r="G1443" s="7" t="n"/>
      <c r="H1443" s="8" t="n"/>
      <c r="I1443" s="9">
        <f>IF($A1443="","",SUMIFS(Ventes_Encaissements!$D$6:$D$3005,Ventes_Encaissements!$B$6:$B$3005,$A1443))</f>
        <v/>
      </c>
      <c r="J1443" s="9">
        <f>IF($A1443="","",$H1443-$I1443)</f>
        <v/>
      </c>
      <c r="K1443" s="10">
        <f>IF($A1443="","",IF($I1443=0,"",_xludf.AGGREGATE(14,6,Ventes_Encaissements!$C$6:$C$3005/(Ventes_Encaissements!$B$6:$B$3005=$A1443),1)))</f>
        <v/>
      </c>
      <c r="L1443" s="11">
        <f>IF($A1443="","",COUNTIFS(Ventes_Detail!$B$6:$B$3005,$A1443))</f>
        <v/>
      </c>
      <c r="M1443" s="12" t="n"/>
      <c r="N1443" s="12">
        <f>IF($A1443="","",IF($G1443="","",IF($M1443="Oui","Litige",IF($J1443&lt;=0,"Payé",IF($I1443&gt;0,"Partiel",IF(Listes!$B$3&gt;$G1443,"En retard","À échoir"))))))</f>
        <v/>
      </c>
      <c r="O1443" s="11">
        <f>IF($A1443="","",IF(OR($G1443="", $J1443&lt;=0),0,MAX(0,Listes!$B$3-$G1443)))</f>
        <v/>
      </c>
      <c r="P1443" s="12">
        <f>IF($A1443="","",IF($J1443&lt;=0,"Payé",IF($M1443="Oui","Litige",IF($O1443=0,"À échoir",IF($O1443&lt;=30,"0-30",IF($O1443&lt;=60,"31-60",IF($O1443&lt;=90,"61-90","90+")))))))</f>
        <v/>
      </c>
    </row>
    <row r="1444">
      <c r="A1444" s="6" t="n"/>
      <c r="B1444" s="6" t="n"/>
      <c r="C1444" s="6" t="n"/>
      <c r="D1444" s="6" t="n"/>
      <c r="E1444" s="6" t="n"/>
      <c r="F1444" s="7" t="n"/>
      <c r="G1444" s="7" t="n"/>
      <c r="H1444" s="8" t="n"/>
      <c r="I1444" s="9">
        <f>IF($A1444="","",SUMIFS(Ventes_Encaissements!$D$6:$D$3005,Ventes_Encaissements!$B$6:$B$3005,$A1444))</f>
        <v/>
      </c>
      <c r="J1444" s="9">
        <f>IF($A1444="","",$H1444-$I1444)</f>
        <v/>
      </c>
      <c r="K1444" s="10">
        <f>IF($A1444="","",IF($I1444=0,"",_xludf.AGGREGATE(14,6,Ventes_Encaissements!$C$6:$C$3005/(Ventes_Encaissements!$B$6:$B$3005=$A1444),1)))</f>
        <v/>
      </c>
      <c r="L1444" s="11">
        <f>IF($A1444="","",COUNTIFS(Ventes_Detail!$B$6:$B$3005,$A1444))</f>
        <v/>
      </c>
      <c r="M1444" s="12" t="n"/>
      <c r="N1444" s="12">
        <f>IF($A1444="","",IF($G1444="","",IF($M1444="Oui","Litige",IF($J1444&lt;=0,"Payé",IF($I1444&gt;0,"Partiel",IF(Listes!$B$3&gt;$G1444,"En retard","À échoir"))))))</f>
        <v/>
      </c>
      <c r="O1444" s="11">
        <f>IF($A1444="","",IF(OR($G1444="", $J1444&lt;=0),0,MAX(0,Listes!$B$3-$G1444)))</f>
        <v/>
      </c>
      <c r="P1444" s="12">
        <f>IF($A1444="","",IF($J1444&lt;=0,"Payé",IF($M1444="Oui","Litige",IF($O1444=0,"À échoir",IF($O1444&lt;=30,"0-30",IF($O1444&lt;=60,"31-60",IF($O1444&lt;=90,"61-90","90+")))))))</f>
        <v/>
      </c>
    </row>
    <row r="1445">
      <c r="A1445" s="6" t="n"/>
      <c r="B1445" s="6" t="n"/>
      <c r="C1445" s="6" t="n"/>
      <c r="D1445" s="6" t="n"/>
      <c r="E1445" s="6" t="n"/>
      <c r="F1445" s="7" t="n"/>
      <c r="G1445" s="7" t="n"/>
      <c r="H1445" s="8" t="n"/>
      <c r="I1445" s="9">
        <f>IF($A1445="","",SUMIFS(Ventes_Encaissements!$D$6:$D$3005,Ventes_Encaissements!$B$6:$B$3005,$A1445))</f>
        <v/>
      </c>
      <c r="J1445" s="9">
        <f>IF($A1445="","",$H1445-$I1445)</f>
        <v/>
      </c>
      <c r="K1445" s="10">
        <f>IF($A1445="","",IF($I1445=0,"",_xludf.AGGREGATE(14,6,Ventes_Encaissements!$C$6:$C$3005/(Ventes_Encaissements!$B$6:$B$3005=$A1445),1)))</f>
        <v/>
      </c>
      <c r="L1445" s="11">
        <f>IF($A1445="","",COUNTIFS(Ventes_Detail!$B$6:$B$3005,$A1445))</f>
        <v/>
      </c>
      <c r="M1445" s="12" t="n"/>
      <c r="N1445" s="12">
        <f>IF($A1445="","",IF($G1445="","",IF($M1445="Oui","Litige",IF($J1445&lt;=0,"Payé",IF($I1445&gt;0,"Partiel",IF(Listes!$B$3&gt;$G1445,"En retard","À échoir"))))))</f>
        <v/>
      </c>
      <c r="O1445" s="11">
        <f>IF($A1445="","",IF(OR($G1445="", $J1445&lt;=0),0,MAX(0,Listes!$B$3-$G1445)))</f>
        <v/>
      </c>
      <c r="P1445" s="12">
        <f>IF($A1445="","",IF($J1445&lt;=0,"Payé",IF($M1445="Oui","Litige",IF($O1445=0,"À échoir",IF($O1445&lt;=30,"0-30",IF($O1445&lt;=60,"31-60",IF($O1445&lt;=90,"61-90","90+")))))))</f>
        <v/>
      </c>
    </row>
    <row r="1446">
      <c r="A1446" s="6" t="n"/>
      <c r="B1446" s="6" t="n"/>
      <c r="C1446" s="6" t="n"/>
      <c r="D1446" s="6" t="n"/>
      <c r="E1446" s="6" t="n"/>
      <c r="F1446" s="7" t="n"/>
      <c r="G1446" s="7" t="n"/>
      <c r="H1446" s="8" t="n"/>
      <c r="I1446" s="9">
        <f>IF($A1446="","",SUMIFS(Ventes_Encaissements!$D$6:$D$3005,Ventes_Encaissements!$B$6:$B$3005,$A1446))</f>
        <v/>
      </c>
      <c r="J1446" s="9">
        <f>IF($A1446="","",$H1446-$I1446)</f>
        <v/>
      </c>
      <c r="K1446" s="10">
        <f>IF($A1446="","",IF($I1446=0,"",_xludf.AGGREGATE(14,6,Ventes_Encaissements!$C$6:$C$3005/(Ventes_Encaissements!$B$6:$B$3005=$A1446),1)))</f>
        <v/>
      </c>
      <c r="L1446" s="11">
        <f>IF($A1446="","",COUNTIFS(Ventes_Detail!$B$6:$B$3005,$A1446))</f>
        <v/>
      </c>
      <c r="M1446" s="12" t="n"/>
      <c r="N1446" s="12">
        <f>IF($A1446="","",IF($G1446="","",IF($M1446="Oui","Litige",IF($J1446&lt;=0,"Payé",IF($I1446&gt;0,"Partiel",IF(Listes!$B$3&gt;$G1446,"En retard","À échoir"))))))</f>
        <v/>
      </c>
      <c r="O1446" s="11">
        <f>IF($A1446="","",IF(OR($G1446="", $J1446&lt;=0),0,MAX(0,Listes!$B$3-$G1446)))</f>
        <v/>
      </c>
      <c r="P1446" s="12">
        <f>IF($A1446="","",IF($J1446&lt;=0,"Payé",IF($M1446="Oui","Litige",IF($O1446=0,"À échoir",IF($O1446&lt;=30,"0-30",IF($O1446&lt;=60,"31-60",IF($O1446&lt;=90,"61-90","90+")))))))</f>
        <v/>
      </c>
    </row>
    <row r="1447">
      <c r="A1447" s="6" t="n"/>
      <c r="B1447" s="6" t="n"/>
      <c r="C1447" s="6" t="n"/>
      <c r="D1447" s="6" t="n"/>
      <c r="E1447" s="6" t="n"/>
      <c r="F1447" s="7" t="n"/>
      <c r="G1447" s="7" t="n"/>
      <c r="H1447" s="8" t="n"/>
      <c r="I1447" s="9">
        <f>IF($A1447="","",SUMIFS(Ventes_Encaissements!$D$6:$D$3005,Ventes_Encaissements!$B$6:$B$3005,$A1447))</f>
        <v/>
      </c>
      <c r="J1447" s="9">
        <f>IF($A1447="","",$H1447-$I1447)</f>
        <v/>
      </c>
      <c r="K1447" s="10">
        <f>IF($A1447="","",IF($I1447=0,"",_xludf.AGGREGATE(14,6,Ventes_Encaissements!$C$6:$C$3005/(Ventes_Encaissements!$B$6:$B$3005=$A1447),1)))</f>
        <v/>
      </c>
      <c r="L1447" s="11">
        <f>IF($A1447="","",COUNTIFS(Ventes_Detail!$B$6:$B$3005,$A1447))</f>
        <v/>
      </c>
      <c r="M1447" s="12" t="n"/>
      <c r="N1447" s="12">
        <f>IF($A1447="","",IF($G1447="","",IF($M1447="Oui","Litige",IF($J1447&lt;=0,"Payé",IF($I1447&gt;0,"Partiel",IF(Listes!$B$3&gt;$G1447,"En retard","À échoir"))))))</f>
        <v/>
      </c>
      <c r="O1447" s="11">
        <f>IF($A1447="","",IF(OR($G1447="", $J1447&lt;=0),0,MAX(0,Listes!$B$3-$G1447)))</f>
        <v/>
      </c>
      <c r="P1447" s="12">
        <f>IF($A1447="","",IF($J1447&lt;=0,"Payé",IF($M1447="Oui","Litige",IF($O1447=0,"À échoir",IF($O1447&lt;=30,"0-30",IF($O1447&lt;=60,"31-60",IF($O1447&lt;=90,"61-90","90+")))))))</f>
        <v/>
      </c>
    </row>
    <row r="1448">
      <c r="A1448" s="6" t="n"/>
      <c r="B1448" s="6" t="n"/>
      <c r="C1448" s="6" t="n"/>
      <c r="D1448" s="6" t="n"/>
      <c r="E1448" s="6" t="n"/>
      <c r="F1448" s="7" t="n"/>
      <c r="G1448" s="7" t="n"/>
      <c r="H1448" s="8" t="n"/>
      <c r="I1448" s="9">
        <f>IF($A1448="","",SUMIFS(Ventes_Encaissements!$D$6:$D$3005,Ventes_Encaissements!$B$6:$B$3005,$A1448))</f>
        <v/>
      </c>
      <c r="J1448" s="9">
        <f>IF($A1448="","",$H1448-$I1448)</f>
        <v/>
      </c>
      <c r="K1448" s="10">
        <f>IF($A1448="","",IF($I1448=0,"",_xludf.AGGREGATE(14,6,Ventes_Encaissements!$C$6:$C$3005/(Ventes_Encaissements!$B$6:$B$3005=$A1448),1)))</f>
        <v/>
      </c>
      <c r="L1448" s="11">
        <f>IF($A1448="","",COUNTIFS(Ventes_Detail!$B$6:$B$3005,$A1448))</f>
        <v/>
      </c>
      <c r="M1448" s="12" t="n"/>
      <c r="N1448" s="12">
        <f>IF($A1448="","",IF($G1448="","",IF($M1448="Oui","Litige",IF($J1448&lt;=0,"Payé",IF($I1448&gt;0,"Partiel",IF(Listes!$B$3&gt;$G1448,"En retard","À échoir"))))))</f>
        <v/>
      </c>
      <c r="O1448" s="11">
        <f>IF($A1448="","",IF(OR($G1448="", $J1448&lt;=0),0,MAX(0,Listes!$B$3-$G1448)))</f>
        <v/>
      </c>
      <c r="P1448" s="12">
        <f>IF($A1448="","",IF($J1448&lt;=0,"Payé",IF($M1448="Oui","Litige",IF($O1448=0,"À échoir",IF($O1448&lt;=30,"0-30",IF($O1448&lt;=60,"31-60",IF($O1448&lt;=90,"61-90","90+")))))))</f>
        <v/>
      </c>
    </row>
    <row r="1449">
      <c r="A1449" s="6" t="n"/>
      <c r="B1449" s="6" t="n"/>
      <c r="C1449" s="6" t="n"/>
      <c r="D1449" s="6" t="n"/>
      <c r="E1449" s="6" t="n"/>
      <c r="F1449" s="7" t="n"/>
      <c r="G1449" s="7" t="n"/>
      <c r="H1449" s="8" t="n"/>
      <c r="I1449" s="9">
        <f>IF($A1449="","",SUMIFS(Ventes_Encaissements!$D$6:$D$3005,Ventes_Encaissements!$B$6:$B$3005,$A1449))</f>
        <v/>
      </c>
      <c r="J1449" s="9">
        <f>IF($A1449="","",$H1449-$I1449)</f>
        <v/>
      </c>
      <c r="K1449" s="10">
        <f>IF($A1449="","",IF($I1449=0,"",_xludf.AGGREGATE(14,6,Ventes_Encaissements!$C$6:$C$3005/(Ventes_Encaissements!$B$6:$B$3005=$A1449),1)))</f>
        <v/>
      </c>
      <c r="L1449" s="11">
        <f>IF($A1449="","",COUNTIFS(Ventes_Detail!$B$6:$B$3005,$A1449))</f>
        <v/>
      </c>
      <c r="M1449" s="12" t="n"/>
      <c r="N1449" s="12">
        <f>IF($A1449="","",IF($G1449="","",IF($M1449="Oui","Litige",IF($J1449&lt;=0,"Payé",IF($I1449&gt;0,"Partiel",IF(Listes!$B$3&gt;$G1449,"En retard","À échoir"))))))</f>
        <v/>
      </c>
      <c r="O1449" s="11">
        <f>IF($A1449="","",IF(OR($G1449="", $J1449&lt;=0),0,MAX(0,Listes!$B$3-$G1449)))</f>
        <v/>
      </c>
      <c r="P1449" s="12">
        <f>IF($A1449="","",IF($J1449&lt;=0,"Payé",IF($M1449="Oui","Litige",IF($O1449=0,"À échoir",IF($O1449&lt;=30,"0-30",IF($O1449&lt;=60,"31-60",IF($O1449&lt;=90,"61-90","90+")))))))</f>
        <v/>
      </c>
    </row>
    <row r="1450">
      <c r="A1450" s="6" t="n"/>
      <c r="B1450" s="6" t="n"/>
      <c r="C1450" s="6" t="n"/>
      <c r="D1450" s="6" t="n"/>
      <c r="E1450" s="6" t="n"/>
      <c r="F1450" s="7" t="n"/>
      <c r="G1450" s="7" t="n"/>
      <c r="H1450" s="8" t="n"/>
      <c r="I1450" s="9">
        <f>IF($A1450="","",SUMIFS(Ventes_Encaissements!$D$6:$D$3005,Ventes_Encaissements!$B$6:$B$3005,$A1450))</f>
        <v/>
      </c>
      <c r="J1450" s="9">
        <f>IF($A1450="","",$H1450-$I1450)</f>
        <v/>
      </c>
      <c r="K1450" s="10">
        <f>IF($A1450="","",IF($I1450=0,"",_xludf.AGGREGATE(14,6,Ventes_Encaissements!$C$6:$C$3005/(Ventes_Encaissements!$B$6:$B$3005=$A1450),1)))</f>
        <v/>
      </c>
      <c r="L1450" s="11">
        <f>IF($A1450="","",COUNTIFS(Ventes_Detail!$B$6:$B$3005,$A1450))</f>
        <v/>
      </c>
      <c r="M1450" s="12" t="n"/>
      <c r="N1450" s="12">
        <f>IF($A1450="","",IF($G1450="","",IF($M1450="Oui","Litige",IF($J1450&lt;=0,"Payé",IF($I1450&gt;0,"Partiel",IF(Listes!$B$3&gt;$G1450,"En retard","À échoir"))))))</f>
        <v/>
      </c>
      <c r="O1450" s="11">
        <f>IF($A1450="","",IF(OR($G1450="", $J1450&lt;=0),0,MAX(0,Listes!$B$3-$G1450)))</f>
        <v/>
      </c>
      <c r="P1450" s="12">
        <f>IF($A1450="","",IF($J1450&lt;=0,"Payé",IF($M1450="Oui","Litige",IF($O1450=0,"À échoir",IF($O1450&lt;=30,"0-30",IF($O1450&lt;=60,"31-60",IF($O1450&lt;=90,"61-90","90+")))))))</f>
        <v/>
      </c>
    </row>
    <row r="1451">
      <c r="A1451" s="6" t="n"/>
      <c r="B1451" s="6" t="n"/>
      <c r="C1451" s="6" t="n"/>
      <c r="D1451" s="6" t="n"/>
      <c r="E1451" s="6" t="n"/>
      <c r="F1451" s="7" t="n"/>
      <c r="G1451" s="7" t="n"/>
      <c r="H1451" s="8" t="n"/>
      <c r="I1451" s="9">
        <f>IF($A1451="","",SUMIFS(Ventes_Encaissements!$D$6:$D$3005,Ventes_Encaissements!$B$6:$B$3005,$A1451))</f>
        <v/>
      </c>
      <c r="J1451" s="9">
        <f>IF($A1451="","",$H1451-$I1451)</f>
        <v/>
      </c>
      <c r="K1451" s="10">
        <f>IF($A1451="","",IF($I1451=0,"",_xludf.AGGREGATE(14,6,Ventes_Encaissements!$C$6:$C$3005/(Ventes_Encaissements!$B$6:$B$3005=$A1451),1)))</f>
        <v/>
      </c>
      <c r="L1451" s="11">
        <f>IF($A1451="","",COUNTIFS(Ventes_Detail!$B$6:$B$3005,$A1451))</f>
        <v/>
      </c>
      <c r="M1451" s="12" t="n"/>
      <c r="N1451" s="12">
        <f>IF($A1451="","",IF($G1451="","",IF($M1451="Oui","Litige",IF($J1451&lt;=0,"Payé",IF($I1451&gt;0,"Partiel",IF(Listes!$B$3&gt;$G1451,"En retard","À échoir"))))))</f>
        <v/>
      </c>
      <c r="O1451" s="11">
        <f>IF($A1451="","",IF(OR($G1451="", $J1451&lt;=0),0,MAX(0,Listes!$B$3-$G1451)))</f>
        <v/>
      </c>
      <c r="P1451" s="12">
        <f>IF($A1451="","",IF($J1451&lt;=0,"Payé",IF($M1451="Oui","Litige",IF($O1451=0,"À échoir",IF($O1451&lt;=30,"0-30",IF($O1451&lt;=60,"31-60",IF($O1451&lt;=90,"61-90","90+")))))))</f>
        <v/>
      </c>
    </row>
    <row r="1452">
      <c r="A1452" s="6" t="n"/>
      <c r="B1452" s="6" t="n"/>
      <c r="C1452" s="6" t="n"/>
      <c r="D1452" s="6" t="n"/>
      <c r="E1452" s="6" t="n"/>
      <c r="F1452" s="7" t="n"/>
      <c r="G1452" s="7" t="n"/>
      <c r="H1452" s="8" t="n"/>
      <c r="I1452" s="9">
        <f>IF($A1452="","",SUMIFS(Ventes_Encaissements!$D$6:$D$3005,Ventes_Encaissements!$B$6:$B$3005,$A1452))</f>
        <v/>
      </c>
      <c r="J1452" s="9">
        <f>IF($A1452="","",$H1452-$I1452)</f>
        <v/>
      </c>
      <c r="K1452" s="10">
        <f>IF($A1452="","",IF($I1452=0,"",_xludf.AGGREGATE(14,6,Ventes_Encaissements!$C$6:$C$3005/(Ventes_Encaissements!$B$6:$B$3005=$A1452),1)))</f>
        <v/>
      </c>
      <c r="L1452" s="11">
        <f>IF($A1452="","",COUNTIFS(Ventes_Detail!$B$6:$B$3005,$A1452))</f>
        <v/>
      </c>
      <c r="M1452" s="12" t="n"/>
      <c r="N1452" s="12">
        <f>IF($A1452="","",IF($G1452="","",IF($M1452="Oui","Litige",IF($J1452&lt;=0,"Payé",IF($I1452&gt;0,"Partiel",IF(Listes!$B$3&gt;$G1452,"En retard","À échoir"))))))</f>
        <v/>
      </c>
      <c r="O1452" s="11">
        <f>IF($A1452="","",IF(OR($G1452="", $J1452&lt;=0),0,MAX(0,Listes!$B$3-$G1452)))</f>
        <v/>
      </c>
      <c r="P1452" s="12">
        <f>IF($A1452="","",IF($J1452&lt;=0,"Payé",IF($M1452="Oui","Litige",IF($O1452=0,"À échoir",IF($O1452&lt;=30,"0-30",IF($O1452&lt;=60,"31-60",IF($O1452&lt;=90,"61-90","90+")))))))</f>
        <v/>
      </c>
    </row>
    <row r="1453">
      <c r="A1453" s="6" t="n"/>
      <c r="B1453" s="6" t="n"/>
      <c r="C1453" s="6" t="n"/>
      <c r="D1453" s="6" t="n"/>
      <c r="E1453" s="6" t="n"/>
      <c r="F1453" s="7" t="n"/>
      <c r="G1453" s="7" t="n"/>
      <c r="H1453" s="8" t="n"/>
      <c r="I1453" s="9">
        <f>IF($A1453="","",SUMIFS(Ventes_Encaissements!$D$6:$D$3005,Ventes_Encaissements!$B$6:$B$3005,$A1453))</f>
        <v/>
      </c>
      <c r="J1453" s="9">
        <f>IF($A1453="","",$H1453-$I1453)</f>
        <v/>
      </c>
      <c r="K1453" s="10">
        <f>IF($A1453="","",IF($I1453=0,"",_xludf.AGGREGATE(14,6,Ventes_Encaissements!$C$6:$C$3005/(Ventes_Encaissements!$B$6:$B$3005=$A1453),1)))</f>
        <v/>
      </c>
      <c r="L1453" s="11">
        <f>IF($A1453="","",COUNTIFS(Ventes_Detail!$B$6:$B$3005,$A1453))</f>
        <v/>
      </c>
      <c r="M1453" s="12" t="n"/>
      <c r="N1453" s="12">
        <f>IF($A1453="","",IF($G1453="","",IF($M1453="Oui","Litige",IF($J1453&lt;=0,"Payé",IF($I1453&gt;0,"Partiel",IF(Listes!$B$3&gt;$G1453,"En retard","À échoir"))))))</f>
        <v/>
      </c>
      <c r="O1453" s="11">
        <f>IF($A1453="","",IF(OR($G1453="", $J1453&lt;=0),0,MAX(0,Listes!$B$3-$G1453)))</f>
        <v/>
      </c>
      <c r="P1453" s="12">
        <f>IF($A1453="","",IF($J1453&lt;=0,"Payé",IF($M1453="Oui","Litige",IF($O1453=0,"À échoir",IF($O1453&lt;=30,"0-30",IF($O1453&lt;=60,"31-60",IF($O1453&lt;=90,"61-90","90+")))))))</f>
        <v/>
      </c>
    </row>
    <row r="1454">
      <c r="A1454" s="6" t="n"/>
      <c r="B1454" s="6" t="n"/>
      <c r="C1454" s="6" t="n"/>
      <c r="D1454" s="6" t="n"/>
      <c r="E1454" s="6" t="n"/>
      <c r="F1454" s="7" t="n"/>
      <c r="G1454" s="7" t="n"/>
      <c r="H1454" s="8" t="n"/>
      <c r="I1454" s="9">
        <f>IF($A1454="","",SUMIFS(Ventes_Encaissements!$D$6:$D$3005,Ventes_Encaissements!$B$6:$B$3005,$A1454))</f>
        <v/>
      </c>
      <c r="J1454" s="9">
        <f>IF($A1454="","",$H1454-$I1454)</f>
        <v/>
      </c>
      <c r="K1454" s="10">
        <f>IF($A1454="","",IF($I1454=0,"",_xludf.AGGREGATE(14,6,Ventes_Encaissements!$C$6:$C$3005/(Ventes_Encaissements!$B$6:$B$3005=$A1454),1)))</f>
        <v/>
      </c>
      <c r="L1454" s="11">
        <f>IF($A1454="","",COUNTIFS(Ventes_Detail!$B$6:$B$3005,$A1454))</f>
        <v/>
      </c>
      <c r="M1454" s="12" t="n"/>
      <c r="N1454" s="12">
        <f>IF($A1454="","",IF($G1454="","",IF($M1454="Oui","Litige",IF($J1454&lt;=0,"Payé",IF($I1454&gt;0,"Partiel",IF(Listes!$B$3&gt;$G1454,"En retard","À échoir"))))))</f>
        <v/>
      </c>
      <c r="O1454" s="11">
        <f>IF($A1454="","",IF(OR($G1454="", $J1454&lt;=0),0,MAX(0,Listes!$B$3-$G1454)))</f>
        <v/>
      </c>
      <c r="P1454" s="12">
        <f>IF($A1454="","",IF($J1454&lt;=0,"Payé",IF($M1454="Oui","Litige",IF($O1454=0,"À échoir",IF($O1454&lt;=30,"0-30",IF($O1454&lt;=60,"31-60",IF($O1454&lt;=90,"61-90","90+")))))))</f>
        <v/>
      </c>
    </row>
    <row r="1455">
      <c r="A1455" s="6" t="n"/>
      <c r="B1455" s="6" t="n"/>
      <c r="C1455" s="6" t="n"/>
      <c r="D1455" s="6" t="n"/>
      <c r="E1455" s="6" t="n"/>
      <c r="F1455" s="7" t="n"/>
      <c r="G1455" s="7" t="n"/>
      <c r="H1455" s="8" t="n"/>
      <c r="I1455" s="9">
        <f>IF($A1455="","",SUMIFS(Ventes_Encaissements!$D$6:$D$3005,Ventes_Encaissements!$B$6:$B$3005,$A1455))</f>
        <v/>
      </c>
      <c r="J1455" s="9">
        <f>IF($A1455="","",$H1455-$I1455)</f>
        <v/>
      </c>
      <c r="K1455" s="10">
        <f>IF($A1455="","",IF($I1455=0,"",_xludf.AGGREGATE(14,6,Ventes_Encaissements!$C$6:$C$3005/(Ventes_Encaissements!$B$6:$B$3005=$A1455),1)))</f>
        <v/>
      </c>
      <c r="L1455" s="11">
        <f>IF($A1455="","",COUNTIFS(Ventes_Detail!$B$6:$B$3005,$A1455))</f>
        <v/>
      </c>
      <c r="M1455" s="12" t="n"/>
      <c r="N1455" s="12">
        <f>IF($A1455="","",IF($G1455="","",IF($M1455="Oui","Litige",IF($J1455&lt;=0,"Payé",IF($I1455&gt;0,"Partiel",IF(Listes!$B$3&gt;$G1455,"En retard","À échoir"))))))</f>
        <v/>
      </c>
      <c r="O1455" s="11">
        <f>IF($A1455="","",IF(OR($G1455="", $J1455&lt;=0),0,MAX(0,Listes!$B$3-$G1455)))</f>
        <v/>
      </c>
      <c r="P1455" s="12">
        <f>IF($A1455="","",IF($J1455&lt;=0,"Payé",IF($M1455="Oui","Litige",IF($O1455=0,"À échoir",IF($O1455&lt;=30,"0-30",IF($O1455&lt;=60,"31-60",IF($O1455&lt;=90,"61-90","90+")))))))</f>
        <v/>
      </c>
    </row>
    <row r="1456">
      <c r="A1456" s="6" t="n"/>
      <c r="B1456" s="6" t="n"/>
      <c r="C1456" s="6" t="n"/>
      <c r="D1456" s="6" t="n"/>
      <c r="E1456" s="6" t="n"/>
      <c r="F1456" s="7" t="n"/>
      <c r="G1456" s="7" t="n"/>
      <c r="H1456" s="8" t="n"/>
      <c r="I1456" s="9">
        <f>IF($A1456="","",SUMIFS(Ventes_Encaissements!$D$6:$D$3005,Ventes_Encaissements!$B$6:$B$3005,$A1456))</f>
        <v/>
      </c>
      <c r="J1456" s="9">
        <f>IF($A1456="","",$H1456-$I1456)</f>
        <v/>
      </c>
      <c r="K1456" s="10">
        <f>IF($A1456="","",IF($I1456=0,"",_xludf.AGGREGATE(14,6,Ventes_Encaissements!$C$6:$C$3005/(Ventes_Encaissements!$B$6:$B$3005=$A1456),1)))</f>
        <v/>
      </c>
      <c r="L1456" s="11">
        <f>IF($A1456="","",COUNTIFS(Ventes_Detail!$B$6:$B$3005,$A1456))</f>
        <v/>
      </c>
      <c r="M1456" s="12" t="n"/>
      <c r="N1456" s="12">
        <f>IF($A1456="","",IF($G1456="","",IF($M1456="Oui","Litige",IF($J1456&lt;=0,"Payé",IF($I1456&gt;0,"Partiel",IF(Listes!$B$3&gt;$G1456,"En retard","À échoir"))))))</f>
        <v/>
      </c>
      <c r="O1456" s="11">
        <f>IF($A1456="","",IF(OR($G1456="", $J1456&lt;=0),0,MAX(0,Listes!$B$3-$G1456)))</f>
        <v/>
      </c>
      <c r="P1456" s="12">
        <f>IF($A1456="","",IF($J1456&lt;=0,"Payé",IF($M1456="Oui","Litige",IF($O1456=0,"À échoir",IF($O1456&lt;=30,"0-30",IF($O1456&lt;=60,"31-60",IF($O1456&lt;=90,"61-90","90+")))))))</f>
        <v/>
      </c>
    </row>
    <row r="1457">
      <c r="A1457" s="6" t="n"/>
      <c r="B1457" s="6" t="n"/>
      <c r="C1457" s="6" t="n"/>
      <c r="D1457" s="6" t="n"/>
      <c r="E1457" s="6" t="n"/>
      <c r="F1457" s="7" t="n"/>
      <c r="G1457" s="7" t="n"/>
      <c r="H1457" s="8" t="n"/>
      <c r="I1457" s="9">
        <f>IF($A1457="","",SUMIFS(Ventes_Encaissements!$D$6:$D$3005,Ventes_Encaissements!$B$6:$B$3005,$A1457))</f>
        <v/>
      </c>
      <c r="J1457" s="9">
        <f>IF($A1457="","",$H1457-$I1457)</f>
        <v/>
      </c>
      <c r="K1457" s="10">
        <f>IF($A1457="","",IF($I1457=0,"",_xludf.AGGREGATE(14,6,Ventes_Encaissements!$C$6:$C$3005/(Ventes_Encaissements!$B$6:$B$3005=$A1457),1)))</f>
        <v/>
      </c>
      <c r="L1457" s="11">
        <f>IF($A1457="","",COUNTIFS(Ventes_Detail!$B$6:$B$3005,$A1457))</f>
        <v/>
      </c>
      <c r="M1457" s="12" t="n"/>
      <c r="N1457" s="12">
        <f>IF($A1457="","",IF($G1457="","",IF($M1457="Oui","Litige",IF($J1457&lt;=0,"Payé",IF($I1457&gt;0,"Partiel",IF(Listes!$B$3&gt;$G1457,"En retard","À échoir"))))))</f>
        <v/>
      </c>
      <c r="O1457" s="11">
        <f>IF($A1457="","",IF(OR($G1457="", $J1457&lt;=0),0,MAX(0,Listes!$B$3-$G1457)))</f>
        <v/>
      </c>
      <c r="P1457" s="12">
        <f>IF($A1457="","",IF($J1457&lt;=0,"Payé",IF($M1457="Oui","Litige",IF($O1457=0,"À échoir",IF($O1457&lt;=30,"0-30",IF($O1457&lt;=60,"31-60",IF($O1457&lt;=90,"61-90","90+")))))))</f>
        <v/>
      </c>
    </row>
    <row r="1458">
      <c r="A1458" s="6" t="n"/>
      <c r="B1458" s="6" t="n"/>
      <c r="C1458" s="6" t="n"/>
      <c r="D1458" s="6" t="n"/>
      <c r="E1458" s="6" t="n"/>
      <c r="F1458" s="7" t="n"/>
      <c r="G1458" s="7" t="n"/>
      <c r="H1458" s="8" t="n"/>
      <c r="I1458" s="9">
        <f>IF($A1458="","",SUMIFS(Ventes_Encaissements!$D$6:$D$3005,Ventes_Encaissements!$B$6:$B$3005,$A1458))</f>
        <v/>
      </c>
      <c r="J1458" s="9">
        <f>IF($A1458="","",$H1458-$I1458)</f>
        <v/>
      </c>
      <c r="K1458" s="10">
        <f>IF($A1458="","",IF($I1458=0,"",_xludf.AGGREGATE(14,6,Ventes_Encaissements!$C$6:$C$3005/(Ventes_Encaissements!$B$6:$B$3005=$A1458),1)))</f>
        <v/>
      </c>
      <c r="L1458" s="11">
        <f>IF($A1458="","",COUNTIFS(Ventes_Detail!$B$6:$B$3005,$A1458))</f>
        <v/>
      </c>
      <c r="M1458" s="12" t="n"/>
      <c r="N1458" s="12">
        <f>IF($A1458="","",IF($G1458="","",IF($M1458="Oui","Litige",IF($J1458&lt;=0,"Payé",IF($I1458&gt;0,"Partiel",IF(Listes!$B$3&gt;$G1458,"En retard","À échoir"))))))</f>
        <v/>
      </c>
      <c r="O1458" s="11">
        <f>IF($A1458="","",IF(OR($G1458="", $J1458&lt;=0),0,MAX(0,Listes!$B$3-$G1458)))</f>
        <v/>
      </c>
      <c r="P1458" s="12">
        <f>IF($A1458="","",IF($J1458&lt;=0,"Payé",IF($M1458="Oui","Litige",IF($O1458=0,"À échoir",IF($O1458&lt;=30,"0-30",IF($O1458&lt;=60,"31-60",IF($O1458&lt;=90,"61-90","90+")))))))</f>
        <v/>
      </c>
    </row>
    <row r="1459">
      <c r="A1459" s="6" t="n"/>
      <c r="B1459" s="6" t="n"/>
      <c r="C1459" s="6" t="n"/>
      <c r="D1459" s="6" t="n"/>
      <c r="E1459" s="6" t="n"/>
      <c r="F1459" s="7" t="n"/>
      <c r="G1459" s="7" t="n"/>
      <c r="H1459" s="8" t="n"/>
      <c r="I1459" s="9">
        <f>IF($A1459="","",SUMIFS(Ventes_Encaissements!$D$6:$D$3005,Ventes_Encaissements!$B$6:$B$3005,$A1459))</f>
        <v/>
      </c>
      <c r="J1459" s="9">
        <f>IF($A1459="","",$H1459-$I1459)</f>
        <v/>
      </c>
      <c r="K1459" s="10">
        <f>IF($A1459="","",IF($I1459=0,"",_xludf.AGGREGATE(14,6,Ventes_Encaissements!$C$6:$C$3005/(Ventes_Encaissements!$B$6:$B$3005=$A1459),1)))</f>
        <v/>
      </c>
      <c r="L1459" s="11">
        <f>IF($A1459="","",COUNTIFS(Ventes_Detail!$B$6:$B$3005,$A1459))</f>
        <v/>
      </c>
      <c r="M1459" s="12" t="n"/>
      <c r="N1459" s="12">
        <f>IF($A1459="","",IF($G1459="","",IF($M1459="Oui","Litige",IF($J1459&lt;=0,"Payé",IF($I1459&gt;0,"Partiel",IF(Listes!$B$3&gt;$G1459,"En retard","À échoir"))))))</f>
        <v/>
      </c>
      <c r="O1459" s="11">
        <f>IF($A1459="","",IF(OR($G1459="", $J1459&lt;=0),0,MAX(0,Listes!$B$3-$G1459)))</f>
        <v/>
      </c>
      <c r="P1459" s="12">
        <f>IF($A1459="","",IF($J1459&lt;=0,"Payé",IF($M1459="Oui","Litige",IF($O1459=0,"À échoir",IF($O1459&lt;=30,"0-30",IF($O1459&lt;=60,"31-60",IF($O1459&lt;=90,"61-90","90+")))))))</f>
        <v/>
      </c>
    </row>
    <row r="1460">
      <c r="A1460" s="6" t="n"/>
      <c r="B1460" s="6" t="n"/>
      <c r="C1460" s="6" t="n"/>
      <c r="D1460" s="6" t="n"/>
      <c r="E1460" s="6" t="n"/>
      <c r="F1460" s="7" t="n"/>
      <c r="G1460" s="7" t="n"/>
      <c r="H1460" s="8" t="n"/>
      <c r="I1460" s="9">
        <f>IF($A1460="","",SUMIFS(Ventes_Encaissements!$D$6:$D$3005,Ventes_Encaissements!$B$6:$B$3005,$A1460))</f>
        <v/>
      </c>
      <c r="J1460" s="9">
        <f>IF($A1460="","",$H1460-$I1460)</f>
        <v/>
      </c>
      <c r="K1460" s="10">
        <f>IF($A1460="","",IF($I1460=0,"",_xludf.AGGREGATE(14,6,Ventes_Encaissements!$C$6:$C$3005/(Ventes_Encaissements!$B$6:$B$3005=$A1460),1)))</f>
        <v/>
      </c>
      <c r="L1460" s="11">
        <f>IF($A1460="","",COUNTIFS(Ventes_Detail!$B$6:$B$3005,$A1460))</f>
        <v/>
      </c>
      <c r="M1460" s="12" t="n"/>
      <c r="N1460" s="12">
        <f>IF($A1460="","",IF($G1460="","",IF($M1460="Oui","Litige",IF($J1460&lt;=0,"Payé",IF($I1460&gt;0,"Partiel",IF(Listes!$B$3&gt;$G1460,"En retard","À échoir"))))))</f>
        <v/>
      </c>
      <c r="O1460" s="11">
        <f>IF($A1460="","",IF(OR($G1460="", $J1460&lt;=0),0,MAX(0,Listes!$B$3-$G1460)))</f>
        <v/>
      </c>
      <c r="P1460" s="12">
        <f>IF($A1460="","",IF($J1460&lt;=0,"Payé",IF($M1460="Oui","Litige",IF($O1460=0,"À échoir",IF($O1460&lt;=30,"0-30",IF($O1460&lt;=60,"31-60",IF($O1460&lt;=90,"61-90","90+")))))))</f>
        <v/>
      </c>
    </row>
    <row r="1461">
      <c r="A1461" s="6" t="n"/>
      <c r="B1461" s="6" t="n"/>
      <c r="C1461" s="6" t="n"/>
      <c r="D1461" s="6" t="n"/>
      <c r="E1461" s="6" t="n"/>
      <c r="F1461" s="7" t="n"/>
      <c r="G1461" s="7" t="n"/>
      <c r="H1461" s="8" t="n"/>
      <c r="I1461" s="9">
        <f>IF($A1461="","",SUMIFS(Ventes_Encaissements!$D$6:$D$3005,Ventes_Encaissements!$B$6:$B$3005,$A1461))</f>
        <v/>
      </c>
      <c r="J1461" s="9">
        <f>IF($A1461="","",$H1461-$I1461)</f>
        <v/>
      </c>
      <c r="K1461" s="10">
        <f>IF($A1461="","",IF($I1461=0,"",_xludf.AGGREGATE(14,6,Ventes_Encaissements!$C$6:$C$3005/(Ventes_Encaissements!$B$6:$B$3005=$A1461),1)))</f>
        <v/>
      </c>
      <c r="L1461" s="11">
        <f>IF($A1461="","",COUNTIFS(Ventes_Detail!$B$6:$B$3005,$A1461))</f>
        <v/>
      </c>
      <c r="M1461" s="12" t="n"/>
      <c r="N1461" s="12">
        <f>IF($A1461="","",IF($G1461="","",IF($M1461="Oui","Litige",IF($J1461&lt;=0,"Payé",IF($I1461&gt;0,"Partiel",IF(Listes!$B$3&gt;$G1461,"En retard","À échoir"))))))</f>
        <v/>
      </c>
      <c r="O1461" s="11">
        <f>IF($A1461="","",IF(OR($G1461="", $J1461&lt;=0),0,MAX(0,Listes!$B$3-$G1461)))</f>
        <v/>
      </c>
      <c r="P1461" s="12">
        <f>IF($A1461="","",IF($J1461&lt;=0,"Payé",IF($M1461="Oui","Litige",IF($O1461=0,"À échoir",IF($O1461&lt;=30,"0-30",IF($O1461&lt;=60,"31-60",IF($O1461&lt;=90,"61-90","90+")))))))</f>
        <v/>
      </c>
    </row>
    <row r="1462">
      <c r="A1462" s="6" t="n"/>
      <c r="B1462" s="6" t="n"/>
      <c r="C1462" s="6" t="n"/>
      <c r="D1462" s="6" t="n"/>
      <c r="E1462" s="6" t="n"/>
      <c r="F1462" s="7" t="n"/>
      <c r="G1462" s="7" t="n"/>
      <c r="H1462" s="8" t="n"/>
      <c r="I1462" s="9">
        <f>IF($A1462="","",SUMIFS(Ventes_Encaissements!$D$6:$D$3005,Ventes_Encaissements!$B$6:$B$3005,$A1462))</f>
        <v/>
      </c>
      <c r="J1462" s="9">
        <f>IF($A1462="","",$H1462-$I1462)</f>
        <v/>
      </c>
      <c r="K1462" s="10">
        <f>IF($A1462="","",IF($I1462=0,"",_xludf.AGGREGATE(14,6,Ventes_Encaissements!$C$6:$C$3005/(Ventes_Encaissements!$B$6:$B$3005=$A1462),1)))</f>
        <v/>
      </c>
      <c r="L1462" s="11">
        <f>IF($A1462="","",COUNTIFS(Ventes_Detail!$B$6:$B$3005,$A1462))</f>
        <v/>
      </c>
      <c r="M1462" s="12" t="n"/>
      <c r="N1462" s="12">
        <f>IF($A1462="","",IF($G1462="","",IF($M1462="Oui","Litige",IF($J1462&lt;=0,"Payé",IF($I1462&gt;0,"Partiel",IF(Listes!$B$3&gt;$G1462,"En retard","À échoir"))))))</f>
        <v/>
      </c>
      <c r="O1462" s="11">
        <f>IF($A1462="","",IF(OR($G1462="", $J1462&lt;=0),0,MAX(0,Listes!$B$3-$G1462)))</f>
        <v/>
      </c>
      <c r="P1462" s="12">
        <f>IF($A1462="","",IF($J1462&lt;=0,"Payé",IF($M1462="Oui","Litige",IF($O1462=0,"À échoir",IF($O1462&lt;=30,"0-30",IF($O1462&lt;=60,"31-60",IF($O1462&lt;=90,"61-90","90+")))))))</f>
        <v/>
      </c>
    </row>
    <row r="1463">
      <c r="A1463" s="6" t="n"/>
      <c r="B1463" s="6" t="n"/>
      <c r="C1463" s="6" t="n"/>
      <c r="D1463" s="6" t="n"/>
      <c r="E1463" s="6" t="n"/>
      <c r="F1463" s="7" t="n"/>
      <c r="G1463" s="7" t="n"/>
      <c r="H1463" s="8" t="n"/>
      <c r="I1463" s="9">
        <f>IF($A1463="","",SUMIFS(Ventes_Encaissements!$D$6:$D$3005,Ventes_Encaissements!$B$6:$B$3005,$A1463))</f>
        <v/>
      </c>
      <c r="J1463" s="9">
        <f>IF($A1463="","",$H1463-$I1463)</f>
        <v/>
      </c>
      <c r="K1463" s="10">
        <f>IF($A1463="","",IF($I1463=0,"",_xludf.AGGREGATE(14,6,Ventes_Encaissements!$C$6:$C$3005/(Ventes_Encaissements!$B$6:$B$3005=$A1463),1)))</f>
        <v/>
      </c>
      <c r="L1463" s="11">
        <f>IF($A1463="","",COUNTIFS(Ventes_Detail!$B$6:$B$3005,$A1463))</f>
        <v/>
      </c>
      <c r="M1463" s="12" t="n"/>
      <c r="N1463" s="12">
        <f>IF($A1463="","",IF($G1463="","",IF($M1463="Oui","Litige",IF($J1463&lt;=0,"Payé",IF($I1463&gt;0,"Partiel",IF(Listes!$B$3&gt;$G1463,"En retard","À échoir"))))))</f>
        <v/>
      </c>
      <c r="O1463" s="11">
        <f>IF($A1463="","",IF(OR($G1463="", $J1463&lt;=0),0,MAX(0,Listes!$B$3-$G1463)))</f>
        <v/>
      </c>
      <c r="P1463" s="12">
        <f>IF($A1463="","",IF($J1463&lt;=0,"Payé",IF($M1463="Oui","Litige",IF($O1463=0,"À échoir",IF($O1463&lt;=30,"0-30",IF($O1463&lt;=60,"31-60",IF($O1463&lt;=90,"61-90","90+")))))))</f>
        <v/>
      </c>
    </row>
    <row r="1464">
      <c r="A1464" s="6" t="n"/>
      <c r="B1464" s="6" t="n"/>
      <c r="C1464" s="6" t="n"/>
      <c r="D1464" s="6" t="n"/>
      <c r="E1464" s="6" t="n"/>
      <c r="F1464" s="7" t="n"/>
      <c r="G1464" s="7" t="n"/>
      <c r="H1464" s="8" t="n"/>
      <c r="I1464" s="9">
        <f>IF($A1464="","",SUMIFS(Ventes_Encaissements!$D$6:$D$3005,Ventes_Encaissements!$B$6:$B$3005,$A1464))</f>
        <v/>
      </c>
      <c r="J1464" s="9">
        <f>IF($A1464="","",$H1464-$I1464)</f>
        <v/>
      </c>
      <c r="K1464" s="10">
        <f>IF($A1464="","",IF($I1464=0,"",_xludf.AGGREGATE(14,6,Ventes_Encaissements!$C$6:$C$3005/(Ventes_Encaissements!$B$6:$B$3005=$A1464),1)))</f>
        <v/>
      </c>
      <c r="L1464" s="11">
        <f>IF($A1464="","",COUNTIFS(Ventes_Detail!$B$6:$B$3005,$A1464))</f>
        <v/>
      </c>
      <c r="M1464" s="12" t="n"/>
      <c r="N1464" s="12">
        <f>IF($A1464="","",IF($G1464="","",IF($M1464="Oui","Litige",IF($J1464&lt;=0,"Payé",IF($I1464&gt;0,"Partiel",IF(Listes!$B$3&gt;$G1464,"En retard","À échoir"))))))</f>
        <v/>
      </c>
      <c r="O1464" s="11">
        <f>IF($A1464="","",IF(OR($G1464="", $J1464&lt;=0),0,MAX(0,Listes!$B$3-$G1464)))</f>
        <v/>
      </c>
      <c r="P1464" s="12">
        <f>IF($A1464="","",IF($J1464&lt;=0,"Payé",IF($M1464="Oui","Litige",IF($O1464=0,"À échoir",IF($O1464&lt;=30,"0-30",IF($O1464&lt;=60,"31-60",IF($O1464&lt;=90,"61-90","90+")))))))</f>
        <v/>
      </c>
    </row>
    <row r="1465">
      <c r="A1465" s="6" t="n"/>
      <c r="B1465" s="6" t="n"/>
      <c r="C1465" s="6" t="n"/>
      <c r="D1465" s="6" t="n"/>
      <c r="E1465" s="6" t="n"/>
      <c r="F1465" s="7" t="n"/>
      <c r="G1465" s="7" t="n"/>
      <c r="H1465" s="8" t="n"/>
      <c r="I1465" s="9">
        <f>IF($A1465="","",SUMIFS(Ventes_Encaissements!$D$6:$D$3005,Ventes_Encaissements!$B$6:$B$3005,$A1465))</f>
        <v/>
      </c>
      <c r="J1465" s="9">
        <f>IF($A1465="","",$H1465-$I1465)</f>
        <v/>
      </c>
      <c r="K1465" s="10">
        <f>IF($A1465="","",IF($I1465=0,"",_xludf.AGGREGATE(14,6,Ventes_Encaissements!$C$6:$C$3005/(Ventes_Encaissements!$B$6:$B$3005=$A1465),1)))</f>
        <v/>
      </c>
      <c r="L1465" s="11">
        <f>IF($A1465="","",COUNTIFS(Ventes_Detail!$B$6:$B$3005,$A1465))</f>
        <v/>
      </c>
      <c r="M1465" s="12" t="n"/>
      <c r="N1465" s="12">
        <f>IF($A1465="","",IF($G1465="","",IF($M1465="Oui","Litige",IF($J1465&lt;=0,"Payé",IF($I1465&gt;0,"Partiel",IF(Listes!$B$3&gt;$G1465,"En retard","À échoir"))))))</f>
        <v/>
      </c>
      <c r="O1465" s="11">
        <f>IF($A1465="","",IF(OR($G1465="", $J1465&lt;=0),0,MAX(0,Listes!$B$3-$G1465)))</f>
        <v/>
      </c>
      <c r="P1465" s="12">
        <f>IF($A1465="","",IF($J1465&lt;=0,"Payé",IF($M1465="Oui","Litige",IF($O1465=0,"À échoir",IF($O1465&lt;=30,"0-30",IF($O1465&lt;=60,"31-60",IF($O1465&lt;=90,"61-90","90+")))))))</f>
        <v/>
      </c>
    </row>
    <row r="1466">
      <c r="A1466" s="6" t="n"/>
      <c r="B1466" s="6" t="n"/>
      <c r="C1466" s="6" t="n"/>
      <c r="D1466" s="6" t="n"/>
      <c r="E1466" s="6" t="n"/>
      <c r="F1466" s="7" t="n"/>
      <c r="G1466" s="7" t="n"/>
      <c r="H1466" s="8" t="n"/>
      <c r="I1466" s="9">
        <f>IF($A1466="","",SUMIFS(Ventes_Encaissements!$D$6:$D$3005,Ventes_Encaissements!$B$6:$B$3005,$A1466))</f>
        <v/>
      </c>
      <c r="J1466" s="9">
        <f>IF($A1466="","",$H1466-$I1466)</f>
        <v/>
      </c>
      <c r="K1466" s="10">
        <f>IF($A1466="","",IF($I1466=0,"",_xludf.AGGREGATE(14,6,Ventes_Encaissements!$C$6:$C$3005/(Ventes_Encaissements!$B$6:$B$3005=$A1466),1)))</f>
        <v/>
      </c>
      <c r="L1466" s="11">
        <f>IF($A1466="","",COUNTIFS(Ventes_Detail!$B$6:$B$3005,$A1466))</f>
        <v/>
      </c>
      <c r="M1466" s="12" t="n"/>
      <c r="N1466" s="12">
        <f>IF($A1466="","",IF($G1466="","",IF($M1466="Oui","Litige",IF($J1466&lt;=0,"Payé",IF($I1466&gt;0,"Partiel",IF(Listes!$B$3&gt;$G1466,"En retard","À échoir"))))))</f>
        <v/>
      </c>
      <c r="O1466" s="11">
        <f>IF($A1466="","",IF(OR($G1466="", $J1466&lt;=0),0,MAX(0,Listes!$B$3-$G1466)))</f>
        <v/>
      </c>
      <c r="P1466" s="12">
        <f>IF($A1466="","",IF($J1466&lt;=0,"Payé",IF($M1466="Oui","Litige",IF($O1466=0,"À échoir",IF($O1466&lt;=30,"0-30",IF($O1466&lt;=60,"31-60",IF($O1466&lt;=90,"61-90","90+")))))))</f>
        <v/>
      </c>
    </row>
    <row r="1467">
      <c r="A1467" s="6" t="n"/>
      <c r="B1467" s="6" t="n"/>
      <c r="C1467" s="6" t="n"/>
      <c r="D1467" s="6" t="n"/>
      <c r="E1467" s="6" t="n"/>
      <c r="F1467" s="7" t="n"/>
      <c r="G1467" s="7" t="n"/>
      <c r="H1467" s="8" t="n"/>
      <c r="I1467" s="9">
        <f>IF($A1467="","",SUMIFS(Ventes_Encaissements!$D$6:$D$3005,Ventes_Encaissements!$B$6:$B$3005,$A1467))</f>
        <v/>
      </c>
      <c r="J1467" s="9">
        <f>IF($A1467="","",$H1467-$I1467)</f>
        <v/>
      </c>
      <c r="K1467" s="10">
        <f>IF($A1467="","",IF($I1467=0,"",_xludf.AGGREGATE(14,6,Ventes_Encaissements!$C$6:$C$3005/(Ventes_Encaissements!$B$6:$B$3005=$A1467),1)))</f>
        <v/>
      </c>
      <c r="L1467" s="11">
        <f>IF($A1467="","",COUNTIFS(Ventes_Detail!$B$6:$B$3005,$A1467))</f>
        <v/>
      </c>
      <c r="M1467" s="12" t="n"/>
      <c r="N1467" s="12">
        <f>IF($A1467="","",IF($G1467="","",IF($M1467="Oui","Litige",IF($J1467&lt;=0,"Payé",IF($I1467&gt;0,"Partiel",IF(Listes!$B$3&gt;$G1467,"En retard","À échoir"))))))</f>
        <v/>
      </c>
      <c r="O1467" s="11">
        <f>IF($A1467="","",IF(OR($G1467="", $J1467&lt;=0),0,MAX(0,Listes!$B$3-$G1467)))</f>
        <v/>
      </c>
      <c r="P1467" s="12">
        <f>IF($A1467="","",IF($J1467&lt;=0,"Payé",IF($M1467="Oui","Litige",IF($O1467=0,"À échoir",IF($O1467&lt;=30,"0-30",IF($O1467&lt;=60,"31-60",IF($O1467&lt;=90,"61-90","90+")))))))</f>
        <v/>
      </c>
    </row>
    <row r="1468">
      <c r="A1468" s="6" t="n"/>
      <c r="B1468" s="6" t="n"/>
      <c r="C1468" s="6" t="n"/>
      <c r="D1468" s="6" t="n"/>
      <c r="E1468" s="6" t="n"/>
      <c r="F1468" s="7" t="n"/>
      <c r="G1468" s="7" t="n"/>
      <c r="H1468" s="8" t="n"/>
      <c r="I1468" s="9">
        <f>IF($A1468="","",SUMIFS(Ventes_Encaissements!$D$6:$D$3005,Ventes_Encaissements!$B$6:$B$3005,$A1468))</f>
        <v/>
      </c>
      <c r="J1468" s="9">
        <f>IF($A1468="","",$H1468-$I1468)</f>
        <v/>
      </c>
      <c r="K1468" s="10">
        <f>IF($A1468="","",IF($I1468=0,"",_xludf.AGGREGATE(14,6,Ventes_Encaissements!$C$6:$C$3005/(Ventes_Encaissements!$B$6:$B$3005=$A1468),1)))</f>
        <v/>
      </c>
      <c r="L1468" s="11">
        <f>IF($A1468="","",COUNTIFS(Ventes_Detail!$B$6:$B$3005,$A1468))</f>
        <v/>
      </c>
      <c r="M1468" s="12" t="n"/>
      <c r="N1468" s="12">
        <f>IF($A1468="","",IF($G1468="","",IF($M1468="Oui","Litige",IF($J1468&lt;=0,"Payé",IF($I1468&gt;0,"Partiel",IF(Listes!$B$3&gt;$G1468,"En retard","À échoir"))))))</f>
        <v/>
      </c>
      <c r="O1468" s="11">
        <f>IF($A1468="","",IF(OR($G1468="", $J1468&lt;=0),0,MAX(0,Listes!$B$3-$G1468)))</f>
        <v/>
      </c>
      <c r="P1468" s="12">
        <f>IF($A1468="","",IF($J1468&lt;=0,"Payé",IF($M1468="Oui","Litige",IF($O1468=0,"À échoir",IF($O1468&lt;=30,"0-30",IF($O1468&lt;=60,"31-60",IF($O1468&lt;=90,"61-90","90+")))))))</f>
        <v/>
      </c>
    </row>
    <row r="1469">
      <c r="A1469" s="6" t="n"/>
      <c r="B1469" s="6" t="n"/>
      <c r="C1469" s="6" t="n"/>
      <c r="D1469" s="6" t="n"/>
      <c r="E1469" s="6" t="n"/>
      <c r="F1469" s="7" t="n"/>
      <c r="G1469" s="7" t="n"/>
      <c r="H1469" s="8" t="n"/>
      <c r="I1469" s="9">
        <f>IF($A1469="","",SUMIFS(Ventes_Encaissements!$D$6:$D$3005,Ventes_Encaissements!$B$6:$B$3005,$A1469))</f>
        <v/>
      </c>
      <c r="J1469" s="9">
        <f>IF($A1469="","",$H1469-$I1469)</f>
        <v/>
      </c>
      <c r="K1469" s="10">
        <f>IF($A1469="","",IF($I1469=0,"",_xludf.AGGREGATE(14,6,Ventes_Encaissements!$C$6:$C$3005/(Ventes_Encaissements!$B$6:$B$3005=$A1469),1)))</f>
        <v/>
      </c>
      <c r="L1469" s="11">
        <f>IF($A1469="","",COUNTIFS(Ventes_Detail!$B$6:$B$3005,$A1469))</f>
        <v/>
      </c>
      <c r="M1469" s="12" t="n"/>
      <c r="N1469" s="12">
        <f>IF($A1469="","",IF($G1469="","",IF($M1469="Oui","Litige",IF($J1469&lt;=0,"Payé",IF($I1469&gt;0,"Partiel",IF(Listes!$B$3&gt;$G1469,"En retard","À échoir"))))))</f>
        <v/>
      </c>
      <c r="O1469" s="11">
        <f>IF($A1469="","",IF(OR($G1469="", $J1469&lt;=0),0,MAX(0,Listes!$B$3-$G1469)))</f>
        <v/>
      </c>
      <c r="P1469" s="12">
        <f>IF($A1469="","",IF($J1469&lt;=0,"Payé",IF($M1469="Oui","Litige",IF($O1469=0,"À échoir",IF($O1469&lt;=30,"0-30",IF($O1469&lt;=60,"31-60",IF($O1469&lt;=90,"61-90","90+")))))))</f>
        <v/>
      </c>
    </row>
    <row r="1470">
      <c r="A1470" s="6" t="n"/>
      <c r="B1470" s="6" t="n"/>
      <c r="C1470" s="6" t="n"/>
      <c r="D1470" s="6" t="n"/>
      <c r="E1470" s="6" t="n"/>
      <c r="F1470" s="7" t="n"/>
      <c r="G1470" s="7" t="n"/>
      <c r="H1470" s="8" t="n"/>
      <c r="I1470" s="9">
        <f>IF($A1470="","",SUMIFS(Ventes_Encaissements!$D$6:$D$3005,Ventes_Encaissements!$B$6:$B$3005,$A1470))</f>
        <v/>
      </c>
      <c r="J1470" s="9">
        <f>IF($A1470="","",$H1470-$I1470)</f>
        <v/>
      </c>
      <c r="K1470" s="10">
        <f>IF($A1470="","",IF($I1470=0,"",_xludf.AGGREGATE(14,6,Ventes_Encaissements!$C$6:$C$3005/(Ventes_Encaissements!$B$6:$B$3005=$A1470),1)))</f>
        <v/>
      </c>
      <c r="L1470" s="11">
        <f>IF($A1470="","",COUNTIFS(Ventes_Detail!$B$6:$B$3005,$A1470))</f>
        <v/>
      </c>
      <c r="M1470" s="12" t="n"/>
      <c r="N1470" s="12">
        <f>IF($A1470="","",IF($G1470="","",IF($M1470="Oui","Litige",IF($J1470&lt;=0,"Payé",IF($I1470&gt;0,"Partiel",IF(Listes!$B$3&gt;$G1470,"En retard","À échoir"))))))</f>
        <v/>
      </c>
      <c r="O1470" s="11">
        <f>IF($A1470="","",IF(OR($G1470="", $J1470&lt;=0),0,MAX(0,Listes!$B$3-$G1470)))</f>
        <v/>
      </c>
      <c r="P1470" s="12">
        <f>IF($A1470="","",IF($J1470&lt;=0,"Payé",IF($M1470="Oui","Litige",IF($O1470=0,"À échoir",IF($O1470&lt;=30,"0-30",IF($O1470&lt;=60,"31-60",IF($O1470&lt;=90,"61-90","90+")))))))</f>
        <v/>
      </c>
    </row>
    <row r="1471">
      <c r="A1471" s="6" t="n"/>
      <c r="B1471" s="6" t="n"/>
      <c r="C1471" s="6" t="n"/>
      <c r="D1471" s="6" t="n"/>
      <c r="E1471" s="6" t="n"/>
      <c r="F1471" s="7" t="n"/>
      <c r="G1471" s="7" t="n"/>
      <c r="H1471" s="8" t="n"/>
      <c r="I1471" s="9">
        <f>IF($A1471="","",SUMIFS(Ventes_Encaissements!$D$6:$D$3005,Ventes_Encaissements!$B$6:$B$3005,$A1471))</f>
        <v/>
      </c>
      <c r="J1471" s="9">
        <f>IF($A1471="","",$H1471-$I1471)</f>
        <v/>
      </c>
      <c r="K1471" s="10">
        <f>IF($A1471="","",IF($I1471=0,"",_xludf.AGGREGATE(14,6,Ventes_Encaissements!$C$6:$C$3005/(Ventes_Encaissements!$B$6:$B$3005=$A1471),1)))</f>
        <v/>
      </c>
      <c r="L1471" s="11">
        <f>IF($A1471="","",COUNTIFS(Ventes_Detail!$B$6:$B$3005,$A1471))</f>
        <v/>
      </c>
      <c r="M1471" s="12" t="n"/>
      <c r="N1471" s="12">
        <f>IF($A1471="","",IF($G1471="","",IF($M1471="Oui","Litige",IF($J1471&lt;=0,"Payé",IF($I1471&gt;0,"Partiel",IF(Listes!$B$3&gt;$G1471,"En retard","À échoir"))))))</f>
        <v/>
      </c>
      <c r="O1471" s="11">
        <f>IF($A1471="","",IF(OR($G1471="", $J1471&lt;=0),0,MAX(0,Listes!$B$3-$G1471)))</f>
        <v/>
      </c>
      <c r="P1471" s="12">
        <f>IF($A1471="","",IF($J1471&lt;=0,"Payé",IF($M1471="Oui","Litige",IF($O1471=0,"À échoir",IF($O1471&lt;=30,"0-30",IF($O1471&lt;=60,"31-60",IF($O1471&lt;=90,"61-90","90+")))))))</f>
        <v/>
      </c>
    </row>
    <row r="1472">
      <c r="A1472" s="6" t="n"/>
      <c r="B1472" s="6" t="n"/>
      <c r="C1472" s="6" t="n"/>
      <c r="D1472" s="6" t="n"/>
      <c r="E1472" s="6" t="n"/>
      <c r="F1472" s="7" t="n"/>
      <c r="G1472" s="7" t="n"/>
      <c r="H1472" s="8" t="n"/>
      <c r="I1472" s="9">
        <f>IF($A1472="","",SUMIFS(Ventes_Encaissements!$D$6:$D$3005,Ventes_Encaissements!$B$6:$B$3005,$A1472))</f>
        <v/>
      </c>
      <c r="J1472" s="9">
        <f>IF($A1472="","",$H1472-$I1472)</f>
        <v/>
      </c>
      <c r="K1472" s="10">
        <f>IF($A1472="","",IF($I1472=0,"",_xludf.AGGREGATE(14,6,Ventes_Encaissements!$C$6:$C$3005/(Ventes_Encaissements!$B$6:$B$3005=$A1472),1)))</f>
        <v/>
      </c>
      <c r="L1472" s="11">
        <f>IF($A1472="","",COUNTIFS(Ventes_Detail!$B$6:$B$3005,$A1472))</f>
        <v/>
      </c>
      <c r="M1472" s="12" t="n"/>
      <c r="N1472" s="12">
        <f>IF($A1472="","",IF($G1472="","",IF($M1472="Oui","Litige",IF($J1472&lt;=0,"Payé",IF($I1472&gt;0,"Partiel",IF(Listes!$B$3&gt;$G1472,"En retard","À échoir"))))))</f>
        <v/>
      </c>
      <c r="O1472" s="11">
        <f>IF($A1472="","",IF(OR($G1472="", $J1472&lt;=0),0,MAX(0,Listes!$B$3-$G1472)))</f>
        <v/>
      </c>
      <c r="P1472" s="12">
        <f>IF($A1472="","",IF($J1472&lt;=0,"Payé",IF($M1472="Oui","Litige",IF($O1472=0,"À échoir",IF($O1472&lt;=30,"0-30",IF($O1472&lt;=60,"31-60",IF($O1472&lt;=90,"61-90","90+")))))))</f>
        <v/>
      </c>
    </row>
    <row r="1473">
      <c r="A1473" s="6" t="n"/>
      <c r="B1473" s="6" t="n"/>
      <c r="C1473" s="6" t="n"/>
      <c r="D1473" s="6" t="n"/>
      <c r="E1473" s="6" t="n"/>
      <c r="F1473" s="7" t="n"/>
      <c r="G1473" s="7" t="n"/>
      <c r="H1473" s="8" t="n"/>
      <c r="I1473" s="9">
        <f>IF($A1473="","",SUMIFS(Ventes_Encaissements!$D$6:$D$3005,Ventes_Encaissements!$B$6:$B$3005,$A1473))</f>
        <v/>
      </c>
      <c r="J1473" s="9">
        <f>IF($A1473="","",$H1473-$I1473)</f>
        <v/>
      </c>
      <c r="K1473" s="10">
        <f>IF($A1473="","",IF($I1473=0,"",_xludf.AGGREGATE(14,6,Ventes_Encaissements!$C$6:$C$3005/(Ventes_Encaissements!$B$6:$B$3005=$A1473),1)))</f>
        <v/>
      </c>
      <c r="L1473" s="11">
        <f>IF($A1473="","",COUNTIFS(Ventes_Detail!$B$6:$B$3005,$A1473))</f>
        <v/>
      </c>
      <c r="M1473" s="12" t="n"/>
      <c r="N1473" s="12">
        <f>IF($A1473="","",IF($G1473="","",IF($M1473="Oui","Litige",IF($J1473&lt;=0,"Payé",IF($I1473&gt;0,"Partiel",IF(Listes!$B$3&gt;$G1473,"En retard","À échoir"))))))</f>
        <v/>
      </c>
      <c r="O1473" s="11">
        <f>IF($A1473="","",IF(OR($G1473="", $J1473&lt;=0),0,MAX(0,Listes!$B$3-$G1473)))</f>
        <v/>
      </c>
      <c r="P1473" s="12">
        <f>IF($A1473="","",IF($J1473&lt;=0,"Payé",IF($M1473="Oui","Litige",IF($O1473=0,"À échoir",IF($O1473&lt;=30,"0-30",IF($O1473&lt;=60,"31-60",IF($O1473&lt;=90,"61-90","90+")))))))</f>
        <v/>
      </c>
    </row>
    <row r="1474">
      <c r="A1474" s="6" t="n"/>
      <c r="B1474" s="6" t="n"/>
      <c r="C1474" s="6" t="n"/>
      <c r="D1474" s="6" t="n"/>
      <c r="E1474" s="6" t="n"/>
      <c r="F1474" s="7" t="n"/>
      <c r="G1474" s="7" t="n"/>
      <c r="H1474" s="8" t="n"/>
      <c r="I1474" s="9">
        <f>IF($A1474="","",SUMIFS(Ventes_Encaissements!$D$6:$D$3005,Ventes_Encaissements!$B$6:$B$3005,$A1474))</f>
        <v/>
      </c>
      <c r="J1474" s="9">
        <f>IF($A1474="","",$H1474-$I1474)</f>
        <v/>
      </c>
      <c r="K1474" s="10">
        <f>IF($A1474="","",IF($I1474=0,"",_xludf.AGGREGATE(14,6,Ventes_Encaissements!$C$6:$C$3005/(Ventes_Encaissements!$B$6:$B$3005=$A1474),1)))</f>
        <v/>
      </c>
      <c r="L1474" s="11">
        <f>IF($A1474="","",COUNTIFS(Ventes_Detail!$B$6:$B$3005,$A1474))</f>
        <v/>
      </c>
      <c r="M1474" s="12" t="n"/>
      <c r="N1474" s="12">
        <f>IF($A1474="","",IF($G1474="","",IF($M1474="Oui","Litige",IF($J1474&lt;=0,"Payé",IF($I1474&gt;0,"Partiel",IF(Listes!$B$3&gt;$G1474,"En retard","À échoir"))))))</f>
        <v/>
      </c>
      <c r="O1474" s="11">
        <f>IF($A1474="","",IF(OR($G1474="", $J1474&lt;=0),0,MAX(0,Listes!$B$3-$G1474)))</f>
        <v/>
      </c>
      <c r="P1474" s="12">
        <f>IF($A1474="","",IF($J1474&lt;=0,"Payé",IF($M1474="Oui","Litige",IF($O1474=0,"À échoir",IF($O1474&lt;=30,"0-30",IF($O1474&lt;=60,"31-60",IF($O1474&lt;=90,"61-90","90+")))))))</f>
        <v/>
      </c>
    </row>
    <row r="1475">
      <c r="A1475" s="6" t="n"/>
      <c r="B1475" s="6" t="n"/>
      <c r="C1475" s="6" t="n"/>
      <c r="D1475" s="6" t="n"/>
      <c r="E1475" s="6" t="n"/>
      <c r="F1475" s="7" t="n"/>
      <c r="G1475" s="7" t="n"/>
      <c r="H1475" s="8" t="n"/>
      <c r="I1475" s="9">
        <f>IF($A1475="","",SUMIFS(Ventes_Encaissements!$D$6:$D$3005,Ventes_Encaissements!$B$6:$B$3005,$A1475))</f>
        <v/>
      </c>
      <c r="J1475" s="9">
        <f>IF($A1475="","",$H1475-$I1475)</f>
        <v/>
      </c>
      <c r="K1475" s="10">
        <f>IF($A1475="","",IF($I1475=0,"",_xludf.AGGREGATE(14,6,Ventes_Encaissements!$C$6:$C$3005/(Ventes_Encaissements!$B$6:$B$3005=$A1475),1)))</f>
        <v/>
      </c>
      <c r="L1475" s="11">
        <f>IF($A1475="","",COUNTIFS(Ventes_Detail!$B$6:$B$3005,$A1475))</f>
        <v/>
      </c>
      <c r="M1475" s="12" t="n"/>
      <c r="N1475" s="12">
        <f>IF($A1475="","",IF($G1475="","",IF($M1475="Oui","Litige",IF($J1475&lt;=0,"Payé",IF($I1475&gt;0,"Partiel",IF(Listes!$B$3&gt;$G1475,"En retard","À échoir"))))))</f>
        <v/>
      </c>
      <c r="O1475" s="11">
        <f>IF($A1475="","",IF(OR($G1475="", $J1475&lt;=0),0,MAX(0,Listes!$B$3-$G1475)))</f>
        <v/>
      </c>
      <c r="P1475" s="12">
        <f>IF($A1475="","",IF($J1475&lt;=0,"Payé",IF($M1475="Oui","Litige",IF($O1475=0,"À échoir",IF($O1475&lt;=30,"0-30",IF($O1475&lt;=60,"31-60",IF($O1475&lt;=90,"61-90","90+")))))))</f>
        <v/>
      </c>
    </row>
    <row r="1476">
      <c r="A1476" s="6" t="n"/>
      <c r="B1476" s="6" t="n"/>
      <c r="C1476" s="6" t="n"/>
      <c r="D1476" s="6" t="n"/>
      <c r="E1476" s="6" t="n"/>
      <c r="F1476" s="7" t="n"/>
      <c r="G1476" s="7" t="n"/>
      <c r="H1476" s="8" t="n"/>
      <c r="I1476" s="9">
        <f>IF($A1476="","",SUMIFS(Ventes_Encaissements!$D$6:$D$3005,Ventes_Encaissements!$B$6:$B$3005,$A1476))</f>
        <v/>
      </c>
      <c r="J1476" s="9">
        <f>IF($A1476="","",$H1476-$I1476)</f>
        <v/>
      </c>
      <c r="K1476" s="10">
        <f>IF($A1476="","",IF($I1476=0,"",_xludf.AGGREGATE(14,6,Ventes_Encaissements!$C$6:$C$3005/(Ventes_Encaissements!$B$6:$B$3005=$A1476),1)))</f>
        <v/>
      </c>
      <c r="L1476" s="11">
        <f>IF($A1476="","",COUNTIFS(Ventes_Detail!$B$6:$B$3005,$A1476))</f>
        <v/>
      </c>
      <c r="M1476" s="12" t="n"/>
      <c r="N1476" s="12">
        <f>IF($A1476="","",IF($G1476="","",IF($M1476="Oui","Litige",IF($J1476&lt;=0,"Payé",IF($I1476&gt;0,"Partiel",IF(Listes!$B$3&gt;$G1476,"En retard","À échoir"))))))</f>
        <v/>
      </c>
      <c r="O1476" s="11">
        <f>IF($A1476="","",IF(OR($G1476="", $J1476&lt;=0),0,MAX(0,Listes!$B$3-$G1476)))</f>
        <v/>
      </c>
      <c r="P1476" s="12">
        <f>IF($A1476="","",IF($J1476&lt;=0,"Payé",IF($M1476="Oui","Litige",IF($O1476=0,"À échoir",IF($O1476&lt;=30,"0-30",IF($O1476&lt;=60,"31-60",IF($O1476&lt;=90,"61-90","90+")))))))</f>
        <v/>
      </c>
    </row>
    <row r="1477">
      <c r="A1477" s="6" t="n"/>
      <c r="B1477" s="6" t="n"/>
      <c r="C1477" s="6" t="n"/>
      <c r="D1477" s="6" t="n"/>
      <c r="E1477" s="6" t="n"/>
      <c r="F1477" s="7" t="n"/>
      <c r="G1477" s="7" t="n"/>
      <c r="H1477" s="8" t="n"/>
      <c r="I1477" s="9">
        <f>IF($A1477="","",SUMIFS(Ventes_Encaissements!$D$6:$D$3005,Ventes_Encaissements!$B$6:$B$3005,$A1477))</f>
        <v/>
      </c>
      <c r="J1477" s="9">
        <f>IF($A1477="","",$H1477-$I1477)</f>
        <v/>
      </c>
      <c r="K1477" s="10">
        <f>IF($A1477="","",IF($I1477=0,"",_xludf.AGGREGATE(14,6,Ventes_Encaissements!$C$6:$C$3005/(Ventes_Encaissements!$B$6:$B$3005=$A1477),1)))</f>
        <v/>
      </c>
      <c r="L1477" s="11">
        <f>IF($A1477="","",COUNTIFS(Ventes_Detail!$B$6:$B$3005,$A1477))</f>
        <v/>
      </c>
      <c r="M1477" s="12" t="n"/>
      <c r="N1477" s="12">
        <f>IF($A1477="","",IF($G1477="","",IF($M1477="Oui","Litige",IF($J1477&lt;=0,"Payé",IF($I1477&gt;0,"Partiel",IF(Listes!$B$3&gt;$G1477,"En retard","À échoir"))))))</f>
        <v/>
      </c>
      <c r="O1477" s="11">
        <f>IF($A1477="","",IF(OR($G1477="", $J1477&lt;=0),0,MAX(0,Listes!$B$3-$G1477)))</f>
        <v/>
      </c>
      <c r="P1477" s="12">
        <f>IF($A1477="","",IF($J1477&lt;=0,"Payé",IF($M1477="Oui","Litige",IF($O1477=0,"À échoir",IF($O1477&lt;=30,"0-30",IF($O1477&lt;=60,"31-60",IF($O1477&lt;=90,"61-90","90+")))))))</f>
        <v/>
      </c>
    </row>
    <row r="1478">
      <c r="A1478" s="6" t="n"/>
      <c r="B1478" s="6" t="n"/>
      <c r="C1478" s="6" t="n"/>
      <c r="D1478" s="6" t="n"/>
      <c r="E1478" s="6" t="n"/>
      <c r="F1478" s="7" t="n"/>
      <c r="G1478" s="7" t="n"/>
      <c r="H1478" s="8" t="n"/>
      <c r="I1478" s="9">
        <f>IF($A1478="","",SUMIFS(Ventes_Encaissements!$D$6:$D$3005,Ventes_Encaissements!$B$6:$B$3005,$A1478))</f>
        <v/>
      </c>
      <c r="J1478" s="9">
        <f>IF($A1478="","",$H1478-$I1478)</f>
        <v/>
      </c>
      <c r="K1478" s="10">
        <f>IF($A1478="","",IF($I1478=0,"",_xludf.AGGREGATE(14,6,Ventes_Encaissements!$C$6:$C$3005/(Ventes_Encaissements!$B$6:$B$3005=$A1478),1)))</f>
        <v/>
      </c>
      <c r="L1478" s="11">
        <f>IF($A1478="","",COUNTIFS(Ventes_Detail!$B$6:$B$3005,$A1478))</f>
        <v/>
      </c>
      <c r="M1478" s="12" t="n"/>
      <c r="N1478" s="12">
        <f>IF($A1478="","",IF($G1478="","",IF($M1478="Oui","Litige",IF($J1478&lt;=0,"Payé",IF($I1478&gt;0,"Partiel",IF(Listes!$B$3&gt;$G1478,"En retard","À échoir"))))))</f>
        <v/>
      </c>
      <c r="O1478" s="11">
        <f>IF($A1478="","",IF(OR($G1478="", $J1478&lt;=0),0,MAX(0,Listes!$B$3-$G1478)))</f>
        <v/>
      </c>
      <c r="P1478" s="12">
        <f>IF($A1478="","",IF($J1478&lt;=0,"Payé",IF($M1478="Oui","Litige",IF($O1478=0,"À échoir",IF($O1478&lt;=30,"0-30",IF($O1478&lt;=60,"31-60",IF($O1478&lt;=90,"61-90","90+")))))))</f>
        <v/>
      </c>
    </row>
    <row r="1479">
      <c r="A1479" s="6" t="n"/>
      <c r="B1479" s="6" t="n"/>
      <c r="C1479" s="6" t="n"/>
      <c r="D1479" s="6" t="n"/>
      <c r="E1479" s="6" t="n"/>
      <c r="F1479" s="7" t="n"/>
      <c r="G1479" s="7" t="n"/>
      <c r="H1479" s="8" t="n"/>
      <c r="I1479" s="9">
        <f>IF($A1479="","",SUMIFS(Ventes_Encaissements!$D$6:$D$3005,Ventes_Encaissements!$B$6:$B$3005,$A1479))</f>
        <v/>
      </c>
      <c r="J1479" s="9">
        <f>IF($A1479="","",$H1479-$I1479)</f>
        <v/>
      </c>
      <c r="K1479" s="10">
        <f>IF($A1479="","",IF($I1479=0,"",_xludf.AGGREGATE(14,6,Ventes_Encaissements!$C$6:$C$3005/(Ventes_Encaissements!$B$6:$B$3005=$A1479),1)))</f>
        <v/>
      </c>
      <c r="L1479" s="11">
        <f>IF($A1479="","",COUNTIFS(Ventes_Detail!$B$6:$B$3005,$A1479))</f>
        <v/>
      </c>
      <c r="M1479" s="12" t="n"/>
      <c r="N1479" s="12">
        <f>IF($A1479="","",IF($G1479="","",IF($M1479="Oui","Litige",IF($J1479&lt;=0,"Payé",IF($I1479&gt;0,"Partiel",IF(Listes!$B$3&gt;$G1479,"En retard","À échoir"))))))</f>
        <v/>
      </c>
      <c r="O1479" s="11">
        <f>IF($A1479="","",IF(OR($G1479="", $J1479&lt;=0),0,MAX(0,Listes!$B$3-$G1479)))</f>
        <v/>
      </c>
      <c r="P1479" s="12">
        <f>IF($A1479="","",IF($J1479&lt;=0,"Payé",IF($M1479="Oui","Litige",IF($O1479=0,"À échoir",IF($O1479&lt;=30,"0-30",IF($O1479&lt;=60,"31-60",IF($O1479&lt;=90,"61-90","90+")))))))</f>
        <v/>
      </c>
    </row>
    <row r="1480">
      <c r="A1480" s="6" t="n"/>
      <c r="B1480" s="6" t="n"/>
      <c r="C1480" s="6" t="n"/>
      <c r="D1480" s="6" t="n"/>
      <c r="E1480" s="6" t="n"/>
      <c r="F1480" s="7" t="n"/>
      <c r="G1480" s="7" t="n"/>
      <c r="H1480" s="8" t="n"/>
      <c r="I1480" s="9">
        <f>IF($A1480="","",SUMIFS(Ventes_Encaissements!$D$6:$D$3005,Ventes_Encaissements!$B$6:$B$3005,$A1480))</f>
        <v/>
      </c>
      <c r="J1480" s="9">
        <f>IF($A1480="","",$H1480-$I1480)</f>
        <v/>
      </c>
      <c r="K1480" s="10">
        <f>IF($A1480="","",IF($I1480=0,"",_xludf.AGGREGATE(14,6,Ventes_Encaissements!$C$6:$C$3005/(Ventes_Encaissements!$B$6:$B$3005=$A1480),1)))</f>
        <v/>
      </c>
      <c r="L1480" s="11">
        <f>IF($A1480="","",COUNTIFS(Ventes_Detail!$B$6:$B$3005,$A1480))</f>
        <v/>
      </c>
      <c r="M1480" s="12" t="n"/>
      <c r="N1480" s="12">
        <f>IF($A1480="","",IF($G1480="","",IF($M1480="Oui","Litige",IF($J1480&lt;=0,"Payé",IF($I1480&gt;0,"Partiel",IF(Listes!$B$3&gt;$G1480,"En retard","À échoir"))))))</f>
        <v/>
      </c>
      <c r="O1480" s="11">
        <f>IF($A1480="","",IF(OR($G1480="", $J1480&lt;=0),0,MAX(0,Listes!$B$3-$G1480)))</f>
        <v/>
      </c>
      <c r="P1480" s="12">
        <f>IF($A1480="","",IF($J1480&lt;=0,"Payé",IF($M1480="Oui","Litige",IF($O1480=0,"À échoir",IF($O1480&lt;=30,"0-30",IF($O1480&lt;=60,"31-60",IF($O1480&lt;=90,"61-90","90+")))))))</f>
        <v/>
      </c>
    </row>
    <row r="1481">
      <c r="A1481" s="6" t="n"/>
      <c r="B1481" s="6" t="n"/>
      <c r="C1481" s="6" t="n"/>
      <c r="D1481" s="6" t="n"/>
      <c r="E1481" s="6" t="n"/>
      <c r="F1481" s="7" t="n"/>
      <c r="G1481" s="7" t="n"/>
      <c r="H1481" s="8" t="n"/>
      <c r="I1481" s="9">
        <f>IF($A1481="","",SUMIFS(Ventes_Encaissements!$D$6:$D$3005,Ventes_Encaissements!$B$6:$B$3005,$A1481))</f>
        <v/>
      </c>
      <c r="J1481" s="9">
        <f>IF($A1481="","",$H1481-$I1481)</f>
        <v/>
      </c>
      <c r="K1481" s="10">
        <f>IF($A1481="","",IF($I1481=0,"",_xludf.AGGREGATE(14,6,Ventes_Encaissements!$C$6:$C$3005/(Ventes_Encaissements!$B$6:$B$3005=$A1481),1)))</f>
        <v/>
      </c>
      <c r="L1481" s="11">
        <f>IF($A1481="","",COUNTIFS(Ventes_Detail!$B$6:$B$3005,$A1481))</f>
        <v/>
      </c>
      <c r="M1481" s="12" t="n"/>
      <c r="N1481" s="12">
        <f>IF($A1481="","",IF($G1481="","",IF($M1481="Oui","Litige",IF($J1481&lt;=0,"Payé",IF($I1481&gt;0,"Partiel",IF(Listes!$B$3&gt;$G1481,"En retard","À échoir"))))))</f>
        <v/>
      </c>
      <c r="O1481" s="11">
        <f>IF($A1481="","",IF(OR($G1481="", $J1481&lt;=0),0,MAX(0,Listes!$B$3-$G1481)))</f>
        <v/>
      </c>
      <c r="P1481" s="12">
        <f>IF($A1481="","",IF($J1481&lt;=0,"Payé",IF($M1481="Oui","Litige",IF($O1481=0,"À échoir",IF($O1481&lt;=30,"0-30",IF($O1481&lt;=60,"31-60",IF($O1481&lt;=90,"61-90","90+")))))))</f>
        <v/>
      </c>
    </row>
    <row r="1482">
      <c r="A1482" s="6" t="n"/>
      <c r="B1482" s="6" t="n"/>
      <c r="C1482" s="6" t="n"/>
      <c r="D1482" s="6" t="n"/>
      <c r="E1482" s="6" t="n"/>
      <c r="F1482" s="7" t="n"/>
      <c r="G1482" s="7" t="n"/>
      <c r="H1482" s="8" t="n"/>
      <c r="I1482" s="9">
        <f>IF($A1482="","",SUMIFS(Ventes_Encaissements!$D$6:$D$3005,Ventes_Encaissements!$B$6:$B$3005,$A1482))</f>
        <v/>
      </c>
      <c r="J1482" s="9">
        <f>IF($A1482="","",$H1482-$I1482)</f>
        <v/>
      </c>
      <c r="K1482" s="10">
        <f>IF($A1482="","",IF($I1482=0,"",_xludf.AGGREGATE(14,6,Ventes_Encaissements!$C$6:$C$3005/(Ventes_Encaissements!$B$6:$B$3005=$A1482),1)))</f>
        <v/>
      </c>
      <c r="L1482" s="11">
        <f>IF($A1482="","",COUNTIFS(Ventes_Detail!$B$6:$B$3005,$A1482))</f>
        <v/>
      </c>
      <c r="M1482" s="12" t="n"/>
      <c r="N1482" s="12">
        <f>IF($A1482="","",IF($G1482="","",IF($M1482="Oui","Litige",IF($J1482&lt;=0,"Payé",IF($I1482&gt;0,"Partiel",IF(Listes!$B$3&gt;$G1482,"En retard","À échoir"))))))</f>
        <v/>
      </c>
      <c r="O1482" s="11">
        <f>IF($A1482="","",IF(OR($G1482="", $J1482&lt;=0),0,MAX(0,Listes!$B$3-$G1482)))</f>
        <v/>
      </c>
      <c r="P1482" s="12">
        <f>IF($A1482="","",IF($J1482&lt;=0,"Payé",IF($M1482="Oui","Litige",IF($O1482=0,"À échoir",IF($O1482&lt;=30,"0-30",IF($O1482&lt;=60,"31-60",IF($O1482&lt;=90,"61-90","90+")))))))</f>
        <v/>
      </c>
    </row>
    <row r="1483">
      <c r="A1483" s="6" t="n"/>
      <c r="B1483" s="6" t="n"/>
      <c r="C1483" s="6" t="n"/>
      <c r="D1483" s="6" t="n"/>
      <c r="E1483" s="6" t="n"/>
      <c r="F1483" s="7" t="n"/>
      <c r="G1483" s="7" t="n"/>
      <c r="H1483" s="8" t="n"/>
      <c r="I1483" s="9">
        <f>IF($A1483="","",SUMIFS(Ventes_Encaissements!$D$6:$D$3005,Ventes_Encaissements!$B$6:$B$3005,$A1483))</f>
        <v/>
      </c>
      <c r="J1483" s="9">
        <f>IF($A1483="","",$H1483-$I1483)</f>
        <v/>
      </c>
      <c r="K1483" s="10">
        <f>IF($A1483="","",IF($I1483=0,"",_xludf.AGGREGATE(14,6,Ventes_Encaissements!$C$6:$C$3005/(Ventes_Encaissements!$B$6:$B$3005=$A1483),1)))</f>
        <v/>
      </c>
      <c r="L1483" s="11">
        <f>IF($A1483="","",COUNTIFS(Ventes_Detail!$B$6:$B$3005,$A1483))</f>
        <v/>
      </c>
      <c r="M1483" s="12" t="n"/>
      <c r="N1483" s="12">
        <f>IF($A1483="","",IF($G1483="","",IF($M1483="Oui","Litige",IF($J1483&lt;=0,"Payé",IF($I1483&gt;0,"Partiel",IF(Listes!$B$3&gt;$G1483,"En retard","À échoir"))))))</f>
        <v/>
      </c>
      <c r="O1483" s="11">
        <f>IF($A1483="","",IF(OR($G1483="", $J1483&lt;=0),0,MAX(0,Listes!$B$3-$G1483)))</f>
        <v/>
      </c>
      <c r="P1483" s="12">
        <f>IF($A1483="","",IF($J1483&lt;=0,"Payé",IF($M1483="Oui","Litige",IF($O1483=0,"À échoir",IF($O1483&lt;=30,"0-30",IF($O1483&lt;=60,"31-60",IF($O1483&lt;=90,"61-90","90+")))))))</f>
        <v/>
      </c>
    </row>
    <row r="1484">
      <c r="A1484" s="6" t="n"/>
      <c r="B1484" s="6" t="n"/>
      <c r="C1484" s="6" t="n"/>
      <c r="D1484" s="6" t="n"/>
      <c r="E1484" s="6" t="n"/>
      <c r="F1484" s="7" t="n"/>
      <c r="G1484" s="7" t="n"/>
      <c r="H1484" s="8" t="n"/>
      <c r="I1484" s="9">
        <f>IF($A1484="","",SUMIFS(Ventes_Encaissements!$D$6:$D$3005,Ventes_Encaissements!$B$6:$B$3005,$A1484))</f>
        <v/>
      </c>
      <c r="J1484" s="9">
        <f>IF($A1484="","",$H1484-$I1484)</f>
        <v/>
      </c>
      <c r="K1484" s="10">
        <f>IF($A1484="","",IF($I1484=0,"",_xludf.AGGREGATE(14,6,Ventes_Encaissements!$C$6:$C$3005/(Ventes_Encaissements!$B$6:$B$3005=$A1484),1)))</f>
        <v/>
      </c>
      <c r="L1484" s="11">
        <f>IF($A1484="","",COUNTIFS(Ventes_Detail!$B$6:$B$3005,$A1484))</f>
        <v/>
      </c>
      <c r="M1484" s="12" t="n"/>
      <c r="N1484" s="12">
        <f>IF($A1484="","",IF($G1484="","",IF($M1484="Oui","Litige",IF($J1484&lt;=0,"Payé",IF($I1484&gt;0,"Partiel",IF(Listes!$B$3&gt;$G1484,"En retard","À échoir"))))))</f>
        <v/>
      </c>
      <c r="O1484" s="11">
        <f>IF($A1484="","",IF(OR($G1484="", $J1484&lt;=0),0,MAX(0,Listes!$B$3-$G1484)))</f>
        <v/>
      </c>
      <c r="P1484" s="12">
        <f>IF($A1484="","",IF($J1484&lt;=0,"Payé",IF($M1484="Oui","Litige",IF($O1484=0,"À échoir",IF($O1484&lt;=30,"0-30",IF($O1484&lt;=60,"31-60",IF($O1484&lt;=90,"61-90","90+")))))))</f>
        <v/>
      </c>
    </row>
    <row r="1485">
      <c r="A1485" s="6" t="n"/>
      <c r="B1485" s="6" t="n"/>
      <c r="C1485" s="6" t="n"/>
      <c r="D1485" s="6" t="n"/>
      <c r="E1485" s="6" t="n"/>
      <c r="F1485" s="7" t="n"/>
      <c r="G1485" s="7" t="n"/>
      <c r="H1485" s="8" t="n"/>
      <c r="I1485" s="9">
        <f>IF($A1485="","",SUMIFS(Ventes_Encaissements!$D$6:$D$3005,Ventes_Encaissements!$B$6:$B$3005,$A1485))</f>
        <v/>
      </c>
      <c r="J1485" s="9">
        <f>IF($A1485="","",$H1485-$I1485)</f>
        <v/>
      </c>
      <c r="K1485" s="10">
        <f>IF($A1485="","",IF($I1485=0,"",_xludf.AGGREGATE(14,6,Ventes_Encaissements!$C$6:$C$3005/(Ventes_Encaissements!$B$6:$B$3005=$A1485),1)))</f>
        <v/>
      </c>
      <c r="L1485" s="11">
        <f>IF($A1485="","",COUNTIFS(Ventes_Detail!$B$6:$B$3005,$A1485))</f>
        <v/>
      </c>
      <c r="M1485" s="12" t="n"/>
      <c r="N1485" s="12">
        <f>IF($A1485="","",IF($G1485="","",IF($M1485="Oui","Litige",IF($J1485&lt;=0,"Payé",IF($I1485&gt;0,"Partiel",IF(Listes!$B$3&gt;$G1485,"En retard","À échoir"))))))</f>
        <v/>
      </c>
      <c r="O1485" s="11">
        <f>IF($A1485="","",IF(OR($G1485="", $J1485&lt;=0),0,MAX(0,Listes!$B$3-$G1485)))</f>
        <v/>
      </c>
      <c r="P1485" s="12">
        <f>IF($A1485="","",IF($J1485&lt;=0,"Payé",IF($M1485="Oui","Litige",IF($O1485=0,"À échoir",IF($O1485&lt;=30,"0-30",IF($O1485&lt;=60,"31-60",IF($O1485&lt;=90,"61-90","90+")))))))</f>
        <v/>
      </c>
    </row>
    <row r="1486">
      <c r="A1486" s="6" t="n"/>
      <c r="B1486" s="6" t="n"/>
      <c r="C1486" s="6" t="n"/>
      <c r="D1486" s="6" t="n"/>
      <c r="E1486" s="6" t="n"/>
      <c r="F1486" s="7" t="n"/>
      <c r="G1486" s="7" t="n"/>
      <c r="H1486" s="8" t="n"/>
      <c r="I1486" s="9">
        <f>IF($A1486="","",SUMIFS(Ventes_Encaissements!$D$6:$D$3005,Ventes_Encaissements!$B$6:$B$3005,$A1486))</f>
        <v/>
      </c>
      <c r="J1486" s="9">
        <f>IF($A1486="","",$H1486-$I1486)</f>
        <v/>
      </c>
      <c r="K1486" s="10">
        <f>IF($A1486="","",IF($I1486=0,"",_xludf.AGGREGATE(14,6,Ventes_Encaissements!$C$6:$C$3005/(Ventes_Encaissements!$B$6:$B$3005=$A1486),1)))</f>
        <v/>
      </c>
      <c r="L1486" s="11">
        <f>IF($A1486="","",COUNTIFS(Ventes_Detail!$B$6:$B$3005,$A1486))</f>
        <v/>
      </c>
      <c r="M1486" s="12" t="n"/>
      <c r="N1486" s="12">
        <f>IF($A1486="","",IF($G1486="","",IF($M1486="Oui","Litige",IF($J1486&lt;=0,"Payé",IF($I1486&gt;0,"Partiel",IF(Listes!$B$3&gt;$G1486,"En retard","À échoir"))))))</f>
        <v/>
      </c>
      <c r="O1486" s="11">
        <f>IF($A1486="","",IF(OR($G1486="", $J1486&lt;=0),0,MAX(0,Listes!$B$3-$G1486)))</f>
        <v/>
      </c>
      <c r="P1486" s="12">
        <f>IF($A1486="","",IF($J1486&lt;=0,"Payé",IF($M1486="Oui","Litige",IF($O1486=0,"À échoir",IF($O1486&lt;=30,"0-30",IF($O1486&lt;=60,"31-60",IF($O1486&lt;=90,"61-90","90+")))))))</f>
        <v/>
      </c>
    </row>
    <row r="1487">
      <c r="A1487" s="6" t="n"/>
      <c r="B1487" s="6" t="n"/>
      <c r="C1487" s="6" t="n"/>
      <c r="D1487" s="6" t="n"/>
      <c r="E1487" s="6" t="n"/>
      <c r="F1487" s="7" t="n"/>
      <c r="G1487" s="7" t="n"/>
      <c r="H1487" s="8" t="n"/>
      <c r="I1487" s="9">
        <f>IF($A1487="","",SUMIFS(Ventes_Encaissements!$D$6:$D$3005,Ventes_Encaissements!$B$6:$B$3005,$A1487))</f>
        <v/>
      </c>
      <c r="J1487" s="9">
        <f>IF($A1487="","",$H1487-$I1487)</f>
        <v/>
      </c>
      <c r="K1487" s="10">
        <f>IF($A1487="","",IF($I1487=0,"",_xludf.AGGREGATE(14,6,Ventes_Encaissements!$C$6:$C$3005/(Ventes_Encaissements!$B$6:$B$3005=$A1487),1)))</f>
        <v/>
      </c>
      <c r="L1487" s="11">
        <f>IF($A1487="","",COUNTIFS(Ventes_Detail!$B$6:$B$3005,$A1487))</f>
        <v/>
      </c>
      <c r="M1487" s="12" t="n"/>
      <c r="N1487" s="12">
        <f>IF($A1487="","",IF($G1487="","",IF($M1487="Oui","Litige",IF($J1487&lt;=0,"Payé",IF($I1487&gt;0,"Partiel",IF(Listes!$B$3&gt;$G1487,"En retard","À échoir"))))))</f>
        <v/>
      </c>
      <c r="O1487" s="11">
        <f>IF($A1487="","",IF(OR($G1487="", $J1487&lt;=0),0,MAX(0,Listes!$B$3-$G1487)))</f>
        <v/>
      </c>
      <c r="P1487" s="12">
        <f>IF($A1487="","",IF($J1487&lt;=0,"Payé",IF($M1487="Oui","Litige",IF($O1487=0,"À échoir",IF($O1487&lt;=30,"0-30",IF($O1487&lt;=60,"31-60",IF($O1487&lt;=90,"61-90","90+")))))))</f>
        <v/>
      </c>
    </row>
    <row r="1488">
      <c r="A1488" s="6" t="n"/>
      <c r="B1488" s="6" t="n"/>
      <c r="C1488" s="6" t="n"/>
      <c r="D1488" s="6" t="n"/>
      <c r="E1488" s="6" t="n"/>
      <c r="F1488" s="7" t="n"/>
      <c r="G1488" s="7" t="n"/>
      <c r="H1488" s="8" t="n"/>
      <c r="I1488" s="9">
        <f>IF($A1488="","",SUMIFS(Ventes_Encaissements!$D$6:$D$3005,Ventes_Encaissements!$B$6:$B$3005,$A1488))</f>
        <v/>
      </c>
      <c r="J1488" s="9">
        <f>IF($A1488="","",$H1488-$I1488)</f>
        <v/>
      </c>
      <c r="K1488" s="10">
        <f>IF($A1488="","",IF($I1488=0,"",_xludf.AGGREGATE(14,6,Ventes_Encaissements!$C$6:$C$3005/(Ventes_Encaissements!$B$6:$B$3005=$A1488),1)))</f>
        <v/>
      </c>
      <c r="L1488" s="11">
        <f>IF($A1488="","",COUNTIFS(Ventes_Detail!$B$6:$B$3005,$A1488))</f>
        <v/>
      </c>
      <c r="M1488" s="12" t="n"/>
      <c r="N1488" s="12">
        <f>IF($A1488="","",IF($G1488="","",IF($M1488="Oui","Litige",IF($J1488&lt;=0,"Payé",IF($I1488&gt;0,"Partiel",IF(Listes!$B$3&gt;$G1488,"En retard","À échoir"))))))</f>
        <v/>
      </c>
      <c r="O1488" s="11">
        <f>IF($A1488="","",IF(OR($G1488="", $J1488&lt;=0),0,MAX(0,Listes!$B$3-$G1488)))</f>
        <v/>
      </c>
      <c r="P1488" s="12">
        <f>IF($A1488="","",IF($J1488&lt;=0,"Payé",IF($M1488="Oui","Litige",IF($O1488=0,"À échoir",IF($O1488&lt;=30,"0-30",IF($O1488&lt;=60,"31-60",IF($O1488&lt;=90,"61-90","90+")))))))</f>
        <v/>
      </c>
    </row>
    <row r="1489">
      <c r="A1489" s="6" t="n"/>
      <c r="B1489" s="6" t="n"/>
      <c r="C1489" s="6" t="n"/>
      <c r="D1489" s="6" t="n"/>
      <c r="E1489" s="6" t="n"/>
      <c r="F1489" s="7" t="n"/>
      <c r="G1489" s="7" t="n"/>
      <c r="H1489" s="8" t="n"/>
      <c r="I1489" s="9">
        <f>IF($A1489="","",SUMIFS(Ventes_Encaissements!$D$6:$D$3005,Ventes_Encaissements!$B$6:$B$3005,$A1489))</f>
        <v/>
      </c>
      <c r="J1489" s="9">
        <f>IF($A1489="","",$H1489-$I1489)</f>
        <v/>
      </c>
      <c r="K1489" s="10">
        <f>IF($A1489="","",IF($I1489=0,"",_xludf.AGGREGATE(14,6,Ventes_Encaissements!$C$6:$C$3005/(Ventes_Encaissements!$B$6:$B$3005=$A1489),1)))</f>
        <v/>
      </c>
      <c r="L1489" s="11">
        <f>IF($A1489="","",COUNTIFS(Ventes_Detail!$B$6:$B$3005,$A1489))</f>
        <v/>
      </c>
      <c r="M1489" s="12" t="n"/>
      <c r="N1489" s="12">
        <f>IF($A1489="","",IF($G1489="","",IF($M1489="Oui","Litige",IF($J1489&lt;=0,"Payé",IF($I1489&gt;0,"Partiel",IF(Listes!$B$3&gt;$G1489,"En retard","À échoir"))))))</f>
        <v/>
      </c>
      <c r="O1489" s="11">
        <f>IF($A1489="","",IF(OR($G1489="", $J1489&lt;=0),0,MAX(0,Listes!$B$3-$G1489)))</f>
        <v/>
      </c>
      <c r="P1489" s="12">
        <f>IF($A1489="","",IF($J1489&lt;=0,"Payé",IF($M1489="Oui","Litige",IF($O1489=0,"À échoir",IF($O1489&lt;=30,"0-30",IF($O1489&lt;=60,"31-60",IF($O1489&lt;=90,"61-90","90+")))))))</f>
        <v/>
      </c>
    </row>
    <row r="1490">
      <c r="A1490" s="6" t="n"/>
      <c r="B1490" s="6" t="n"/>
      <c r="C1490" s="6" t="n"/>
      <c r="D1490" s="6" t="n"/>
      <c r="E1490" s="6" t="n"/>
      <c r="F1490" s="7" t="n"/>
      <c r="G1490" s="7" t="n"/>
      <c r="H1490" s="8" t="n"/>
      <c r="I1490" s="9">
        <f>IF($A1490="","",SUMIFS(Ventes_Encaissements!$D$6:$D$3005,Ventes_Encaissements!$B$6:$B$3005,$A1490))</f>
        <v/>
      </c>
      <c r="J1490" s="9">
        <f>IF($A1490="","",$H1490-$I1490)</f>
        <v/>
      </c>
      <c r="K1490" s="10">
        <f>IF($A1490="","",IF($I1490=0,"",_xludf.AGGREGATE(14,6,Ventes_Encaissements!$C$6:$C$3005/(Ventes_Encaissements!$B$6:$B$3005=$A1490),1)))</f>
        <v/>
      </c>
      <c r="L1490" s="11">
        <f>IF($A1490="","",COUNTIFS(Ventes_Detail!$B$6:$B$3005,$A1490))</f>
        <v/>
      </c>
      <c r="M1490" s="12" t="n"/>
      <c r="N1490" s="12">
        <f>IF($A1490="","",IF($G1490="","",IF($M1490="Oui","Litige",IF($J1490&lt;=0,"Payé",IF($I1490&gt;0,"Partiel",IF(Listes!$B$3&gt;$G1490,"En retard","À échoir"))))))</f>
        <v/>
      </c>
      <c r="O1490" s="11">
        <f>IF($A1490="","",IF(OR($G1490="", $J1490&lt;=0),0,MAX(0,Listes!$B$3-$G1490)))</f>
        <v/>
      </c>
      <c r="P1490" s="12">
        <f>IF($A1490="","",IF($J1490&lt;=0,"Payé",IF($M1490="Oui","Litige",IF($O1490=0,"À échoir",IF($O1490&lt;=30,"0-30",IF($O1490&lt;=60,"31-60",IF($O1490&lt;=90,"61-90","90+")))))))</f>
        <v/>
      </c>
    </row>
    <row r="1491">
      <c r="A1491" s="6" t="n"/>
      <c r="B1491" s="6" t="n"/>
      <c r="C1491" s="6" t="n"/>
      <c r="D1491" s="6" t="n"/>
      <c r="E1491" s="6" t="n"/>
      <c r="F1491" s="7" t="n"/>
      <c r="G1491" s="7" t="n"/>
      <c r="H1491" s="8" t="n"/>
      <c r="I1491" s="9">
        <f>IF($A1491="","",SUMIFS(Ventes_Encaissements!$D$6:$D$3005,Ventes_Encaissements!$B$6:$B$3005,$A1491))</f>
        <v/>
      </c>
      <c r="J1491" s="9">
        <f>IF($A1491="","",$H1491-$I1491)</f>
        <v/>
      </c>
      <c r="K1491" s="10">
        <f>IF($A1491="","",IF($I1491=0,"",_xludf.AGGREGATE(14,6,Ventes_Encaissements!$C$6:$C$3005/(Ventes_Encaissements!$B$6:$B$3005=$A1491),1)))</f>
        <v/>
      </c>
      <c r="L1491" s="11">
        <f>IF($A1491="","",COUNTIFS(Ventes_Detail!$B$6:$B$3005,$A1491))</f>
        <v/>
      </c>
      <c r="M1491" s="12" t="n"/>
      <c r="N1491" s="12">
        <f>IF($A1491="","",IF($G1491="","",IF($M1491="Oui","Litige",IF($J1491&lt;=0,"Payé",IF($I1491&gt;0,"Partiel",IF(Listes!$B$3&gt;$G1491,"En retard","À échoir"))))))</f>
        <v/>
      </c>
      <c r="O1491" s="11">
        <f>IF($A1491="","",IF(OR($G1491="", $J1491&lt;=0),0,MAX(0,Listes!$B$3-$G1491)))</f>
        <v/>
      </c>
      <c r="P1491" s="12">
        <f>IF($A1491="","",IF($J1491&lt;=0,"Payé",IF($M1491="Oui","Litige",IF($O1491=0,"À échoir",IF($O1491&lt;=30,"0-30",IF($O1491&lt;=60,"31-60",IF($O1491&lt;=90,"61-90","90+")))))))</f>
        <v/>
      </c>
    </row>
    <row r="1492">
      <c r="A1492" s="6" t="n"/>
      <c r="B1492" s="6" t="n"/>
      <c r="C1492" s="6" t="n"/>
      <c r="D1492" s="6" t="n"/>
      <c r="E1492" s="6" t="n"/>
      <c r="F1492" s="7" t="n"/>
      <c r="G1492" s="7" t="n"/>
      <c r="H1492" s="8" t="n"/>
      <c r="I1492" s="9">
        <f>IF($A1492="","",SUMIFS(Ventes_Encaissements!$D$6:$D$3005,Ventes_Encaissements!$B$6:$B$3005,$A1492))</f>
        <v/>
      </c>
      <c r="J1492" s="9">
        <f>IF($A1492="","",$H1492-$I1492)</f>
        <v/>
      </c>
      <c r="K1492" s="10">
        <f>IF($A1492="","",IF($I1492=0,"",_xludf.AGGREGATE(14,6,Ventes_Encaissements!$C$6:$C$3005/(Ventes_Encaissements!$B$6:$B$3005=$A1492),1)))</f>
        <v/>
      </c>
      <c r="L1492" s="11">
        <f>IF($A1492="","",COUNTIFS(Ventes_Detail!$B$6:$B$3005,$A1492))</f>
        <v/>
      </c>
      <c r="M1492" s="12" t="n"/>
      <c r="N1492" s="12">
        <f>IF($A1492="","",IF($G1492="","",IF($M1492="Oui","Litige",IF($J1492&lt;=0,"Payé",IF($I1492&gt;0,"Partiel",IF(Listes!$B$3&gt;$G1492,"En retard","À échoir"))))))</f>
        <v/>
      </c>
      <c r="O1492" s="11">
        <f>IF($A1492="","",IF(OR($G1492="", $J1492&lt;=0),0,MAX(0,Listes!$B$3-$G1492)))</f>
        <v/>
      </c>
      <c r="P1492" s="12">
        <f>IF($A1492="","",IF($J1492&lt;=0,"Payé",IF($M1492="Oui","Litige",IF($O1492=0,"À échoir",IF($O1492&lt;=30,"0-30",IF($O1492&lt;=60,"31-60",IF($O1492&lt;=90,"61-90","90+")))))))</f>
        <v/>
      </c>
    </row>
    <row r="1493">
      <c r="A1493" s="6" t="n"/>
      <c r="B1493" s="6" t="n"/>
      <c r="C1493" s="6" t="n"/>
      <c r="D1493" s="6" t="n"/>
      <c r="E1493" s="6" t="n"/>
      <c r="F1493" s="7" t="n"/>
      <c r="G1493" s="7" t="n"/>
      <c r="H1493" s="8" t="n"/>
      <c r="I1493" s="9">
        <f>IF($A1493="","",SUMIFS(Ventes_Encaissements!$D$6:$D$3005,Ventes_Encaissements!$B$6:$B$3005,$A1493))</f>
        <v/>
      </c>
      <c r="J1493" s="9">
        <f>IF($A1493="","",$H1493-$I1493)</f>
        <v/>
      </c>
      <c r="K1493" s="10">
        <f>IF($A1493="","",IF($I1493=0,"",_xludf.AGGREGATE(14,6,Ventes_Encaissements!$C$6:$C$3005/(Ventes_Encaissements!$B$6:$B$3005=$A1493),1)))</f>
        <v/>
      </c>
      <c r="L1493" s="11">
        <f>IF($A1493="","",COUNTIFS(Ventes_Detail!$B$6:$B$3005,$A1493))</f>
        <v/>
      </c>
      <c r="M1493" s="12" t="n"/>
      <c r="N1493" s="12">
        <f>IF($A1493="","",IF($G1493="","",IF($M1493="Oui","Litige",IF($J1493&lt;=0,"Payé",IF($I1493&gt;0,"Partiel",IF(Listes!$B$3&gt;$G1493,"En retard","À échoir"))))))</f>
        <v/>
      </c>
      <c r="O1493" s="11">
        <f>IF($A1493="","",IF(OR($G1493="", $J1493&lt;=0),0,MAX(0,Listes!$B$3-$G1493)))</f>
        <v/>
      </c>
      <c r="P1493" s="12">
        <f>IF($A1493="","",IF($J1493&lt;=0,"Payé",IF($M1493="Oui","Litige",IF($O1493=0,"À échoir",IF($O1493&lt;=30,"0-30",IF($O1493&lt;=60,"31-60",IF($O1493&lt;=90,"61-90","90+")))))))</f>
        <v/>
      </c>
    </row>
    <row r="1494">
      <c r="A1494" s="6" t="n"/>
      <c r="B1494" s="6" t="n"/>
      <c r="C1494" s="6" t="n"/>
      <c r="D1494" s="6" t="n"/>
      <c r="E1494" s="6" t="n"/>
      <c r="F1494" s="7" t="n"/>
      <c r="G1494" s="7" t="n"/>
      <c r="H1494" s="8" t="n"/>
      <c r="I1494" s="9">
        <f>IF($A1494="","",SUMIFS(Ventes_Encaissements!$D$6:$D$3005,Ventes_Encaissements!$B$6:$B$3005,$A1494))</f>
        <v/>
      </c>
      <c r="J1494" s="9">
        <f>IF($A1494="","",$H1494-$I1494)</f>
        <v/>
      </c>
      <c r="K1494" s="10">
        <f>IF($A1494="","",IF($I1494=0,"",_xludf.AGGREGATE(14,6,Ventes_Encaissements!$C$6:$C$3005/(Ventes_Encaissements!$B$6:$B$3005=$A1494),1)))</f>
        <v/>
      </c>
      <c r="L1494" s="11">
        <f>IF($A1494="","",COUNTIFS(Ventes_Detail!$B$6:$B$3005,$A1494))</f>
        <v/>
      </c>
      <c r="M1494" s="12" t="n"/>
      <c r="N1494" s="12">
        <f>IF($A1494="","",IF($G1494="","",IF($M1494="Oui","Litige",IF($J1494&lt;=0,"Payé",IF($I1494&gt;0,"Partiel",IF(Listes!$B$3&gt;$G1494,"En retard","À échoir"))))))</f>
        <v/>
      </c>
      <c r="O1494" s="11">
        <f>IF($A1494="","",IF(OR($G1494="", $J1494&lt;=0),0,MAX(0,Listes!$B$3-$G1494)))</f>
        <v/>
      </c>
      <c r="P1494" s="12">
        <f>IF($A1494="","",IF($J1494&lt;=0,"Payé",IF($M1494="Oui","Litige",IF($O1494=0,"À échoir",IF($O1494&lt;=30,"0-30",IF($O1494&lt;=60,"31-60",IF($O1494&lt;=90,"61-90","90+")))))))</f>
        <v/>
      </c>
    </row>
    <row r="1495">
      <c r="A1495" s="6" t="n"/>
      <c r="B1495" s="6" t="n"/>
      <c r="C1495" s="6" t="n"/>
      <c r="D1495" s="6" t="n"/>
      <c r="E1495" s="6" t="n"/>
      <c r="F1495" s="7" t="n"/>
      <c r="G1495" s="7" t="n"/>
      <c r="H1495" s="8" t="n"/>
      <c r="I1495" s="9">
        <f>IF($A1495="","",SUMIFS(Ventes_Encaissements!$D$6:$D$3005,Ventes_Encaissements!$B$6:$B$3005,$A1495))</f>
        <v/>
      </c>
      <c r="J1495" s="9">
        <f>IF($A1495="","",$H1495-$I1495)</f>
        <v/>
      </c>
      <c r="K1495" s="10">
        <f>IF($A1495="","",IF($I1495=0,"",_xludf.AGGREGATE(14,6,Ventes_Encaissements!$C$6:$C$3005/(Ventes_Encaissements!$B$6:$B$3005=$A1495),1)))</f>
        <v/>
      </c>
      <c r="L1495" s="11">
        <f>IF($A1495="","",COUNTIFS(Ventes_Detail!$B$6:$B$3005,$A1495))</f>
        <v/>
      </c>
      <c r="M1495" s="12" t="n"/>
      <c r="N1495" s="12">
        <f>IF($A1495="","",IF($G1495="","",IF($M1495="Oui","Litige",IF($J1495&lt;=0,"Payé",IF($I1495&gt;0,"Partiel",IF(Listes!$B$3&gt;$G1495,"En retard","À échoir"))))))</f>
        <v/>
      </c>
      <c r="O1495" s="11">
        <f>IF($A1495="","",IF(OR($G1495="", $J1495&lt;=0),0,MAX(0,Listes!$B$3-$G1495)))</f>
        <v/>
      </c>
      <c r="P1495" s="12">
        <f>IF($A1495="","",IF($J1495&lt;=0,"Payé",IF($M1495="Oui","Litige",IF($O1495=0,"À échoir",IF($O1495&lt;=30,"0-30",IF($O1495&lt;=60,"31-60",IF($O1495&lt;=90,"61-90","90+")))))))</f>
        <v/>
      </c>
    </row>
    <row r="1496">
      <c r="A1496" s="6" t="n"/>
      <c r="B1496" s="6" t="n"/>
      <c r="C1496" s="6" t="n"/>
      <c r="D1496" s="6" t="n"/>
      <c r="E1496" s="6" t="n"/>
      <c r="F1496" s="7" t="n"/>
      <c r="G1496" s="7" t="n"/>
      <c r="H1496" s="8" t="n"/>
      <c r="I1496" s="9">
        <f>IF($A1496="","",SUMIFS(Ventes_Encaissements!$D$6:$D$3005,Ventes_Encaissements!$B$6:$B$3005,$A1496))</f>
        <v/>
      </c>
      <c r="J1496" s="9">
        <f>IF($A1496="","",$H1496-$I1496)</f>
        <v/>
      </c>
      <c r="K1496" s="10">
        <f>IF($A1496="","",IF($I1496=0,"",_xludf.AGGREGATE(14,6,Ventes_Encaissements!$C$6:$C$3005/(Ventes_Encaissements!$B$6:$B$3005=$A1496),1)))</f>
        <v/>
      </c>
      <c r="L1496" s="11">
        <f>IF($A1496="","",COUNTIFS(Ventes_Detail!$B$6:$B$3005,$A1496))</f>
        <v/>
      </c>
      <c r="M1496" s="12" t="n"/>
      <c r="N1496" s="12">
        <f>IF($A1496="","",IF($G1496="","",IF($M1496="Oui","Litige",IF($J1496&lt;=0,"Payé",IF($I1496&gt;0,"Partiel",IF(Listes!$B$3&gt;$G1496,"En retard","À échoir"))))))</f>
        <v/>
      </c>
      <c r="O1496" s="11">
        <f>IF($A1496="","",IF(OR($G1496="", $J1496&lt;=0),0,MAX(0,Listes!$B$3-$G1496)))</f>
        <v/>
      </c>
      <c r="P1496" s="12">
        <f>IF($A1496="","",IF($J1496&lt;=0,"Payé",IF($M1496="Oui","Litige",IF($O1496=0,"À échoir",IF($O1496&lt;=30,"0-30",IF($O1496&lt;=60,"31-60",IF($O1496&lt;=90,"61-90","90+")))))))</f>
        <v/>
      </c>
    </row>
    <row r="1497">
      <c r="A1497" s="6" t="n"/>
      <c r="B1497" s="6" t="n"/>
      <c r="C1497" s="6" t="n"/>
      <c r="D1497" s="6" t="n"/>
      <c r="E1497" s="6" t="n"/>
      <c r="F1497" s="7" t="n"/>
      <c r="G1497" s="7" t="n"/>
      <c r="H1497" s="8" t="n"/>
      <c r="I1497" s="9">
        <f>IF($A1497="","",SUMIFS(Ventes_Encaissements!$D$6:$D$3005,Ventes_Encaissements!$B$6:$B$3005,$A1497))</f>
        <v/>
      </c>
      <c r="J1497" s="9">
        <f>IF($A1497="","",$H1497-$I1497)</f>
        <v/>
      </c>
      <c r="K1497" s="10">
        <f>IF($A1497="","",IF($I1497=0,"",_xludf.AGGREGATE(14,6,Ventes_Encaissements!$C$6:$C$3005/(Ventes_Encaissements!$B$6:$B$3005=$A1497),1)))</f>
        <v/>
      </c>
      <c r="L1497" s="11">
        <f>IF($A1497="","",COUNTIFS(Ventes_Detail!$B$6:$B$3005,$A1497))</f>
        <v/>
      </c>
      <c r="M1497" s="12" t="n"/>
      <c r="N1497" s="12">
        <f>IF($A1497="","",IF($G1497="","",IF($M1497="Oui","Litige",IF($J1497&lt;=0,"Payé",IF($I1497&gt;0,"Partiel",IF(Listes!$B$3&gt;$G1497,"En retard","À échoir"))))))</f>
        <v/>
      </c>
      <c r="O1497" s="11">
        <f>IF($A1497="","",IF(OR($G1497="", $J1497&lt;=0),0,MAX(0,Listes!$B$3-$G1497)))</f>
        <v/>
      </c>
      <c r="P1497" s="12">
        <f>IF($A1497="","",IF($J1497&lt;=0,"Payé",IF($M1497="Oui","Litige",IF($O1497=0,"À échoir",IF($O1497&lt;=30,"0-30",IF($O1497&lt;=60,"31-60",IF($O1497&lt;=90,"61-90","90+")))))))</f>
        <v/>
      </c>
    </row>
    <row r="1498">
      <c r="A1498" s="6" t="n"/>
      <c r="B1498" s="6" t="n"/>
      <c r="C1498" s="6" t="n"/>
      <c r="D1498" s="6" t="n"/>
      <c r="E1498" s="6" t="n"/>
      <c r="F1498" s="7" t="n"/>
      <c r="G1498" s="7" t="n"/>
      <c r="H1498" s="8" t="n"/>
      <c r="I1498" s="9">
        <f>IF($A1498="","",SUMIFS(Ventes_Encaissements!$D$6:$D$3005,Ventes_Encaissements!$B$6:$B$3005,$A1498))</f>
        <v/>
      </c>
      <c r="J1498" s="9">
        <f>IF($A1498="","",$H1498-$I1498)</f>
        <v/>
      </c>
      <c r="K1498" s="10">
        <f>IF($A1498="","",IF($I1498=0,"",_xludf.AGGREGATE(14,6,Ventes_Encaissements!$C$6:$C$3005/(Ventes_Encaissements!$B$6:$B$3005=$A1498),1)))</f>
        <v/>
      </c>
      <c r="L1498" s="11">
        <f>IF($A1498="","",COUNTIFS(Ventes_Detail!$B$6:$B$3005,$A1498))</f>
        <v/>
      </c>
      <c r="M1498" s="12" t="n"/>
      <c r="N1498" s="12">
        <f>IF($A1498="","",IF($G1498="","",IF($M1498="Oui","Litige",IF($J1498&lt;=0,"Payé",IF($I1498&gt;0,"Partiel",IF(Listes!$B$3&gt;$G1498,"En retard","À échoir"))))))</f>
        <v/>
      </c>
      <c r="O1498" s="11">
        <f>IF($A1498="","",IF(OR($G1498="", $J1498&lt;=0),0,MAX(0,Listes!$B$3-$G1498)))</f>
        <v/>
      </c>
      <c r="P1498" s="12">
        <f>IF($A1498="","",IF($J1498&lt;=0,"Payé",IF($M1498="Oui","Litige",IF($O1498=0,"À échoir",IF($O1498&lt;=30,"0-30",IF($O1498&lt;=60,"31-60",IF($O1498&lt;=90,"61-90","90+")))))))</f>
        <v/>
      </c>
    </row>
    <row r="1499">
      <c r="A1499" s="6" t="n"/>
      <c r="B1499" s="6" t="n"/>
      <c r="C1499" s="6" t="n"/>
      <c r="D1499" s="6" t="n"/>
      <c r="E1499" s="6" t="n"/>
      <c r="F1499" s="7" t="n"/>
      <c r="G1499" s="7" t="n"/>
      <c r="H1499" s="8" t="n"/>
      <c r="I1499" s="9">
        <f>IF($A1499="","",SUMIFS(Ventes_Encaissements!$D$6:$D$3005,Ventes_Encaissements!$B$6:$B$3005,$A1499))</f>
        <v/>
      </c>
      <c r="J1499" s="9">
        <f>IF($A1499="","",$H1499-$I1499)</f>
        <v/>
      </c>
      <c r="K1499" s="10">
        <f>IF($A1499="","",IF($I1499=0,"",_xludf.AGGREGATE(14,6,Ventes_Encaissements!$C$6:$C$3005/(Ventes_Encaissements!$B$6:$B$3005=$A1499),1)))</f>
        <v/>
      </c>
      <c r="L1499" s="11">
        <f>IF($A1499="","",COUNTIFS(Ventes_Detail!$B$6:$B$3005,$A1499))</f>
        <v/>
      </c>
      <c r="M1499" s="12" t="n"/>
      <c r="N1499" s="12">
        <f>IF($A1499="","",IF($G1499="","",IF($M1499="Oui","Litige",IF($J1499&lt;=0,"Payé",IF($I1499&gt;0,"Partiel",IF(Listes!$B$3&gt;$G1499,"En retard","À échoir"))))))</f>
        <v/>
      </c>
      <c r="O1499" s="11">
        <f>IF($A1499="","",IF(OR($G1499="", $J1499&lt;=0),0,MAX(0,Listes!$B$3-$G1499)))</f>
        <v/>
      </c>
      <c r="P1499" s="12">
        <f>IF($A1499="","",IF($J1499&lt;=0,"Payé",IF($M1499="Oui","Litige",IF($O1499=0,"À échoir",IF($O1499&lt;=30,"0-30",IF($O1499&lt;=60,"31-60",IF($O1499&lt;=90,"61-90","90+")))))))</f>
        <v/>
      </c>
    </row>
    <row r="1500">
      <c r="A1500" s="6" t="n"/>
      <c r="B1500" s="6" t="n"/>
      <c r="C1500" s="6" t="n"/>
      <c r="D1500" s="6" t="n"/>
      <c r="E1500" s="6" t="n"/>
      <c r="F1500" s="7" t="n"/>
      <c r="G1500" s="7" t="n"/>
      <c r="H1500" s="8" t="n"/>
      <c r="I1500" s="9">
        <f>IF($A1500="","",SUMIFS(Ventes_Encaissements!$D$6:$D$3005,Ventes_Encaissements!$B$6:$B$3005,$A1500))</f>
        <v/>
      </c>
      <c r="J1500" s="9">
        <f>IF($A1500="","",$H1500-$I1500)</f>
        <v/>
      </c>
      <c r="K1500" s="10">
        <f>IF($A1500="","",IF($I1500=0,"",_xludf.AGGREGATE(14,6,Ventes_Encaissements!$C$6:$C$3005/(Ventes_Encaissements!$B$6:$B$3005=$A1500),1)))</f>
        <v/>
      </c>
      <c r="L1500" s="11">
        <f>IF($A1500="","",COUNTIFS(Ventes_Detail!$B$6:$B$3005,$A1500))</f>
        <v/>
      </c>
      <c r="M1500" s="12" t="n"/>
      <c r="N1500" s="12">
        <f>IF($A1500="","",IF($G1500="","",IF($M1500="Oui","Litige",IF($J1500&lt;=0,"Payé",IF($I1500&gt;0,"Partiel",IF(Listes!$B$3&gt;$G1500,"En retard","À échoir"))))))</f>
        <v/>
      </c>
      <c r="O1500" s="11">
        <f>IF($A1500="","",IF(OR($G1500="", $J1500&lt;=0),0,MAX(0,Listes!$B$3-$G1500)))</f>
        <v/>
      </c>
      <c r="P1500" s="12">
        <f>IF($A1500="","",IF($J1500&lt;=0,"Payé",IF($M1500="Oui","Litige",IF($O1500=0,"À échoir",IF($O1500&lt;=30,"0-30",IF($O1500&lt;=60,"31-60",IF($O1500&lt;=90,"61-90","90+")))))))</f>
        <v/>
      </c>
    </row>
    <row r="1501">
      <c r="A1501" s="6" t="n"/>
      <c r="B1501" s="6" t="n"/>
      <c r="C1501" s="6" t="n"/>
      <c r="D1501" s="6" t="n"/>
      <c r="E1501" s="6" t="n"/>
      <c r="F1501" s="7" t="n"/>
      <c r="G1501" s="7" t="n"/>
      <c r="H1501" s="8" t="n"/>
      <c r="I1501" s="9">
        <f>IF($A1501="","",SUMIFS(Ventes_Encaissements!$D$6:$D$3005,Ventes_Encaissements!$B$6:$B$3005,$A1501))</f>
        <v/>
      </c>
      <c r="J1501" s="9">
        <f>IF($A1501="","",$H1501-$I1501)</f>
        <v/>
      </c>
      <c r="K1501" s="10">
        <f>IF($A1501="","",IF($I1501=0,"",_xludf.AGGREGATE(14,6,Ventes_Encaissements!$C$6:$C$3005/(Ventes_Encaissements!$B$6:$B$3005=$A1501),1)))</f>
        <v/>
      </c>
      <c r="L1501" s="11">
        <f>IF($A1501="","",COUNTIFS(Ventes_Detail!$B$6:$B$3005,$A1501))</f>
        <v/>
      </c>
      <c r="M1501" s="12" t="n"/>
      <c r="N1501" s="12">
        <f>IF($A1501="","",IF($G1501="","",IF($M1501="Oui","Litige",IF($J1501&lt;=0,"Payé",IF($I1501&gt;0,"Partiel",IF(Listes!$B$3&gt;$G1501,"En retard","À échoir"))))))</f>
        <v/>
      </c>
      <c r="O1501" s="11">
        <f>IF($A1501="","",IF(OR($G1501="", $J1501&lt;=0),0,MAX(0,Listes!$B$3-$G1501)))</f>
        <v/>
      </c>
      <c r="P1501" s="12">
        <f>IF($A1501="","",IF($J1501&lt;=0,"Payé",IF($M1501="Oui","Litige",IF($O1501=0,"À échoir",IF($O1501&lt;=30,"0-30",IF($O1501&lt;=60,"31-60",IF($O1501&lt;=90,"61-90","90+")))))))</f>
        <v/>
      </c>
    </row>
    <row r="1502">
      <c r="A1502" s="6" t="n"/>
      <c r="B1502" s="6" t="n"/>
      <c r="C1502" s="6" t="n"/>
      <c r="D1502" s="6" t="n"/>
      <c r="E1502" s="6" t="n"/>
      <c r="F1502" s="7" t="n"/>
      <c r="G1502" s="7" t="n"/>
      <c r="H1502" s="8" t="n"/>
      <c r="I1502" s="9">
        <f>IF($A1502="","",SUMIFS(Ventes_Encaissements!$D$6:$D$3005,Ventes_Encaissements!$B$6:$B$3005,$A1502))</f>
        <v/>
      </c>
      <c r="J1502" s="9">
        <f>IF($A1502="","",$H1502-$I1502)</f>
        <v/>
      </c>
      <c r="K1502" s="10">
        <f>IF($A1502="","",IF($I1502=0,"",_xludf.AGGREGATE(14,6,Ventes_Encaissements!$C$6:$C$3005/(Ventes_Encaissements!$B$6:$B$3005=$A1502),1)))</f>
        <v/>
      </c>
      <c r="L1502" s="11">
        <f>IF($A1502="","",COUNTIFS(Ventes_Detail!$B$6:$B$3005,$A1502))</f>
        <v/>
      </c>
      <c r="M1502" s="12" t="n"/>
      <c r="N1502" s="12">
        <f>IF($A1502="","",IF($G1502="","",IF($M1502="Oui","Litige",IF($J1502&lt;=0,"Payé",IF($I1502&gt;0,"Partiel",IF(Listes!$B$3&gt;$G1502,"En retard","À échoir"))))))</f>
        <v/>
      </c>
      <c r="O1502" s="11">
        <f>IF($A1502="","",IF(OR($G1502="", $J1502&lt;=0),0,MAX(0,Listes!$B$3-$G1502)))</f>
        <v/>
      </c>
      <c r="P1502" s="12">
        <f>IF($A1502="","",IF($J1502&lt;=0,"Payé",IF($M1502="Oui","Litige",IF($O1502=0,"À échoir",IF($O1502&lt;=30,"0-30",IF($O1502&lt;=60,"31-60",IF($O1502&lt;=90,"61-90","90+")))))))</f>
        <v/>
      </c>
    </row>
    <row r="1503">
      <c r="A1503" s="6" t="n"/>
      <c r="B1503" s="6" t="n"/>
      <c r="C1503" s="6" t="n"/>
      <c r="D1503" s="6" t="n"/>
      <c r="E1503" s="6" t="n"/>
      <c r="F1503" s="7" t="n"/>
      <c r="G1503" s="7" t="n"/>
      <c r="H1503" s="8" t="n"/>
      <c r="I1503" s="9">
        <f>IF($A1503="","",SUMIFS(Ventes_Encaissements!$D$6:$D$3005,Ventes_Encaissements!$B$6:$B$3005,$A1503))</f>
        <v/>
      </c>
      <c r="J1503" s="9">
        <f>IF($A1503="","",$H1503-$I1503)</f>
        <v/>
      </c>
      <c r="K1503" s="10">
        <f>IF($A1503="","",IF($I1503=0,"",_xludf.AGGREGATE(14,6,Ventes_Encaissements!$C$6:$C$3005/(Ventes_Encaissements!$B$6:$B$3005=$A1503),1)))</f>
        <v/>
      </c>
      <c r="L1503" s="11">
        <f>IF($A1503="","",COUNTIFS(Ventes_Detail!$B$6:$B$3005,$A1503))</f>
        <v/>
      </c>
      <c r="M1503" s="12" t="n"/>
      <c r="N1503" s="12">
        <f>IF($A1503="","",IF($G1503="","",IF($M1503="Oui","Litige",IF($J1503&lt;=0,"Payé",IF($I1503&gt;0,"Partiel",IF(Listes!$B$3&gt;$G1503,"En retard","À échoir"))))))</f>
        <v/>
      </c>
      <c r="O1503" s="11">
        <f>IF($A1503="","",IF(OR($G1503="", $J1503&lt;=0),0,MAX(0,Listes!$B$3-$G1503)))</f>
        <v/>
      </c>
      <c r="P1503" s="12">
        <f>IF($A1503="","",IF($J1503&lt;=0,"Payé",IF($M1503="Oui","Litige",IF($O1503=0,"À échoir",IF($O1503&lt;=30,"0-30",IF($O1503&lt;=60,"31-60",IF($O1503&lt;=90,"61-90","90+")))))))</f>
        <v/>
      </c>
    </row>
    <row r="1504">
      <c r="A1504" s="6" t="n"/>
      <c r="B1504" s="6" t="n"/>
      <c r="C1504" s="6" t="n"/>
      <c r="D1504" s="6" t="n"/>
      <c r="E1504" s="6" t="n"/>
      <c r="F1504" s="7" t="n"/>
      <c r="G1504" s="7" t="n"/>
      <c r="H1504" s="8" t="n"/>
      <c r="I1504" s="9">
        <f>IF($A1504="","",SUMIFS(Ventes_Encaissements!$D$6:$D$3005,Ventes_Encaissements!$B$6:$B$3005,$A1504))</f>
        <v/>
      </c>
      <c r="J1504" s="9">
        <f>IF($A1504="","",$H1504-$I1504)</f>
        <v/>
      </c>
      <c r="K1504" s="10">
        <f>IF($A1504="","",IF($I1504=0,"",_xludf.AGGREGATE(14,6,Ventes_Encaissements!$C$6:$C$3005/(Ventes_Encaissements!$B$6:$B$3005=$A1504),1)))</f>
        <v/>
      </c>
      <c r="L1504" s="11">
        <f>IF($A1504="","",COUNTIFS(Ventes_Detail!$B$6:$B$3005,$A1504))</f>
        <v/>
      </c>
      <c r="M1504" s="12" t="n"/>
      <c r="N1504" s="12">
        <f>IF($A1504="","",IF($G1504="","",IF($M1504="Oui","Litige",IF($J1504&lt;=0,"Payé",IF($I1504&gt;0,"Partiel",IF(Listes!$B$3&gt;$G1504,"En retard","À échoir"))))))</f>
        <v/>
      </c>
      <c r="O1504" s="11">
        <f>IF($A1504="","",IF(OR($G1504="", $J1504&lt;=0),0,MAX(0,Listes!$B$3-$G1504)))</f>
        <v/>
      </c>
      <c r="P1504" s="12">
        <f>IF($A1504="","",IF($J1504&lt;=0,"Payé",IF($M1504="Oui","Litige",IF($O1504=0,"À échoir",IF($O1504&lt;=30,"0-30",IF($O1504&lt;=60,"31-60",IF($O1504&lt;=90,"61-90","90+")))))))</f>
        <v/>
      </c>
    </row>
    <row r="1505">
      <c r="A1505" s="6" t="n"/>
      <c r="B1505" s="6" t="n"/>
      <c r="C1505" s="6" t="n"/>
      <c r="D1505" s="6" t="n"/>
      <c r="E1505" s="6" t="n"/>
      <c r="F1505" s="7" t="n"/>
      <c r="G1505" s="7" t="n"/>
      <c r="H1505" s="8" t="n"/>
      <c r="I1505" s="9">
        <f>IF($A1505="","",SUMIFS(Ventes_Encaissements!$D$6:$D$3005,Ventes_Encaissements!$B$6:$B$3005,$A1505))</f>
        <v/>
      </c>
      <c r="J1505" s="9">
        <f>IF($A1505="","",$H1505-$I1505)</f>
        <v/>
      </c>
      <c r="K1505" s="10">
        <f>IF($A1505="","",IF($I1505=0,"",_xludf.AGGREGATE(14,6,Ventes_Encaissements!$C$6:$C$3005/(Ventes_Encaissements!$B$6:$B$3005=$A1505),1)))</f>
        <v/>
      </c>
      <c r="L1505" s="11">
        <f>IF($A1505="","",COUNTIFS(Ventes_Detail!$B$6:$B$3005,$A1505))</f>
        <v/>
      </c>
      <c r="M1505" s="12" t="n"/>
      <c r="N1505" s="12">
        <f>IF($A1505="","",IF($G1505="","",IF($M1505="Oui","Litige",IF($J1505&lt;=0,"Payé",IF($I1505&gt;0,"Partiel",IF(Listes!$B$3&gt;$G1505,"En retard","À échoir"))))))</f>
        <v/>
      </c>
      <c r="O1505" s="11">
        <f>IF($A1505="","",IF(OR($G1505="", $J1505&lt;=0),0,MAX(0,Listes!$B$3-$G1505)))</f>
        <v/>
      </c>
      <c r="P1505" s="12">
        <f>IF($A1505="","",IF($J1505&lt;=0,"Payé",IF($M1505="Oui","Litige",IF($O1505=0,"À échoir",IF($O1505&lt;=30,"0-30",IF($O1505&lt;=60,"31-60",IF($O1505&lt;=90,"61-90","90+")))))))</f>
        <v/>
      </c>
    </row>
    <row r="1506">
      <c r="A1506" s="6" t="n"/>
      <c r="B1506" s="6" t="n"/>
      <c r="C1506" s="6" t="n"/>
      <c r="D1506" s="6" t="n"/>
      <c r="E1506" s="6" t="n"/>
      <c r="F1506" s="7" t="n"/>
      <c r="G1506" s="7" t="n"/>
      <c r="H1506" s="8" t="n"/>
      <c r="I1506" s="9">
        <f>IF($A1506="","",SUMIFS(Ventes_Encaissements!$D$6:$D$3005,Ventes_Encaissements!$B$6:$B$3005,$A1506))</f>
        <v/>
      </c>
      <c r="J1506" s="9">
        <f>IF($A1506="","",$H1506-$I1506)</f>
        <v/>
      </c>
      <c r="K1506" s="10">
        <f>IF($A1506="","",IF($I1506=0,"",_xludf.AGGREGATE(14,6,Ventes_Encaissements!$C$6:$C$3005/(Ventes_Encaissements!$B$6:$B$3005=$A1506),1)))</f>
        <v/>
      </c>
      <c r="L1506" s="11">
        <f>IF($A1506="","",COUNTIFS(Ventes_Detail!$B$6:$B$3005,$A1506))</f>
        <v/>
      </c>
      <c r="M1506" s="12" t="n"/>
      <c r="N1506" s="12">
        <f>IF($A1506="","",IF($G1506="","",IF($M1506="Oui","Litige",IF($J1506&lt;=0,"Payé",IF($I1506&gt;0,"Partiel",IF(Listes!$B$3&gt;$G1506,"En retard","À échoir"))))))</f>
        <v/>
      </c>
      <c r="O1506" s="11">
        <f>IF($A1506="","",IF(OR($G1506="", $J1506&lt;=0),0,MAX(0,Listes!$B$3-$G1506)))</f>
        <v/>
      </c>
      <c r="P1506" s="12">
        <f>IF($A1506="","",IF($J1506&lt;=0,"Payé",IF($M1506="Oui","Litige",IF($O1506=0,"À échoir",IF($O1506&lt;=30,"0-30",IF($O1506&lt;=60,"31-60",IF($O1506&lt;=90,"61-90","90+")))))))</f>
        <v/>
      </c>
    </row>
    <row r="1507">
      <c r="A1507" s="6" t="n"/>
      <c r="B1507" s="6" t="n"/>
      <c r="C1507" s="6" t="n"/>
      <c r="D1507" s="6" t="n"/>
      <c r="E1507" s="6" t="n"/>
      <c r="F1507" s="7" t="n"/>
      <c r="G1507" s="7" t="n"/>
      <c r="H1507" s="8" t="n"/>
      <c r="I1507" s="9">
        <f>IF($A1507="","",SUMIFS(Ventes_Encaissements!$D$6:$D$3005,Ventes_Encaissements!$B$6:$B$3005,$A1507))</f>
        <v/>
      </c>
      <c r="J1507" s="9">
        <f>IF($A1507="","",$H1507-$I1507)</f>
        <v/>
      </c>
      <c r="K1507" s="10">
        <f>IF($A1507="","",IF($I1507=0,"",_xludf.AGGREGATE(14,6,Ventes_Encaissements!$C$6:$C$3005/(Ventes_Encaissements!$B$6:$B$3005=$A1507),1)))</f>
        <v/>
      </c>
      <c r="L1507" s="11">
        <f>IF($A1507="","",COUNTIFS(Ventes_Detail!$B$6:$B$3005,$A1507))</f>
        <v/>
      </c>
      <c r="M1507" s="12" t="n"/>
      <c r="N1507" s="12">
        <f>IF($A1507="","",IF($G1507="","",IF($M1507="Oui","Litige",IF($J1507&lt;=0,"Payé",IF($I1507&gt;0,"Partiel",IF(Listes!$B$3&gt;$G1507,"En retard","À échoir"))))))</f>
        <v/>
      </c>
      <c r="O1507" s="11">
        <f>IF($A1507="","",IF(OR($G1507="", $J1507&lt;=0),0,MAX(0,Listes!$B$3-$G1507)))</f>
        <v/>
      </c>
      <c r="P1507" s="12">
        <f>IF($A1507="","",IF($J1507&lt;=0,"Payé",IF($M1507="Oui","Litige",IF($O1507=0,"À échoir",IF($O1507&lt;=30,"0-30",IF($O1507&lt;=60,"31-60",IF($O1507&lt;=90,"61-90","90+")))))))</f>
        <v/>
      </c>
    </row>
    <row r="1508">
      <c r="A1508" s="6" t="n"/>
      <c r="B1508" s="6" t="n"/>
      <c r="C1508" s="6" t="n"/>
      <c r="D1508" s="6" t="n"/>
      <c r="E1508" s="6" t="n"/>
      <c r="F1508" s="7" t="n"/>
      <c r="G1508" s="7" t="n"/>
      <c r="H1508" s="8" t="n"/>
      <c r="I1508" s="9">
        <f>IF($A1508="","",SUMIFS(Ventes_Encaissements!$D$6:$D$3005,Ventes_Encaissements!$B$6:$B$3005,$A1508))</f>
        <v/>
      </c>
      <c r="J1508" s="9">
        <f>IF($A1508="","",$H1508-$I1508)</f>
        <v/>
      </c>
      <c r="K1508" s="10">
        <f>IF($A1508="","",IF($I1508=0,"",_xludf.AGGREGATE(14,6,Ventes_Encaissements!$C$6:$C$3005/(Ventes_Encaissements!$B$6:$B$3005=$A1508),1)))</f>
        <v/>
      </c>
      <c r="L1508" s="11">
        <f>IF($A1508="","",COUNTIFS(Ventes_Detail!$B$6:$B$3005,$A1508))</f>
        <v/>
      </c>
      <c r="M1508" s="12" t="n"/>
      <c r="N1508" s="12">
        <f>IF($A1508="","",IF($G1508="","",IF($M1508="Oui","Litige",IF($J1508&lt;=0,"Payé",IF($I1508&gt;0,"Partiel",IF(Listes!$B$3&gt;$G1508,"En retard","À échoir"))))))</f>
        <v/>
      </c>
      <c r="O1508" s="11">
        <f>IF($A1508="","",IF(OR($G1508="", $J1508&lt;=0),0,MAX(0,Listes!$B$3-$G1508)))</f>
        <v/>
      </c>
      <c r="P1508" s="12">
        <f>IF($A1508="","",IF($J1508&lt;=0,"Payé",IF($M1508="Oui","Litige",IF($O1508=0,"À échoir",IF($O1508&lt;=30,"0-30",IF($O1508&lt;=60,"31-60",IF($O1508&lt;=90,"61-90","90+")))))))</f>
        <v/>
      </c>
    </row>
    <row r="1509">
      <c r="A1509" s="6" t="n"/>
      <c r="B1509" s="6" t="n"/>
      <c r="C1509" s="6" t="n"/>
      <c r="D1509" s="6" t="n"/>
      <c r="E1509" s="6" t="n"/>
      <c r="F1509" s="7" t="n"/>
      <c r="G1509" s="7" t="n"/>
      <c r="H1509" s="8" t="n"/>
      <c r="I1509" s="9">
        <f>IF($A1509="","",SUMIFS(Ventes_Encaissements!$D$6:$D$3005,Ventes_Encaissements!$B$6:$B$3005,$A1509))</f>
        <v/>
      </c>
      <c r="J1509" s="9">
        <f>IF($A1509="","",$H1509-$I1509)</f>
        <v/>
      </c>
      <c r="K1509" s="10">
        <f>IF($A1509="","",IF($I1509=0,"",_xludf.AGGREGATE(14,6,Ventes_Encaissements!$C$6:$C$3005/(Ventes_Encaissements!$B$6:$B$3005=$A1509),1)))</f>
        <v/>
      </c>
      <c r="L1509" s="11">
        <f>IF($A1509="","",COUNTIFS(Ventes_Detail!$B$6:$B$3005,$A1509))</f>
        <v/>
      </c>
      <c r="M1509" s="12" t="n"/>
      <c r="N1509" s="12">
        <f>IF($A1509="","",IF($G1509="","",IF($M1509="Oui","Litige",IF($J1509&lt;=0,"Payé",IF($I1509&gt;0,"Partiel",IF(Listes!$B$3&gt;$G1509,"En retard","À échoir"))))))</f>
        <v/>
      </c>
      <c r="O1509" s="11">
        <f>IF($A1509="","",IF(OR($G1509="", $J1509&lt;=0),0,MAX(0,Listes!$B$3-$G1509)))</f>
        <v/>
      </c>
      <c r="P1509" s="12">
        <f>IF($A1509="","",IF($J1509&lt;=0,"Payé",IF($M1509="Oui","Litige",IF($O1509=0,"À échoir",IF($O1509&lt;=30,"0-30",IF($O1509&lt;=60,"31-60",IF($O1509&lt;=90,"61-90","90+")))))))</f>
        <v/>
      </c>
    </row>
    <row r="1510">
      <c r="A1510" s="6" t="n"/>
      <c r="B1510" s="6" t="n"/>
      <c r="C1510" s="6" t="n"/>
      <c r="D1510" s="6" t="n"/>
      <c r="E1510" s="6" t="n"/>
      <c r="F1510" s="7" t="n"/>
      <c r="G1510" s="7" t="n"/>
      <c r="H1510" s="8" t="n"/>
      <c r="I1510" s="9">
        <f>IF($A1510="","",SUMIFS(Ventes_Encaissements!$D$6:$D$3005,Ventes_Encaissements!$B$6:$B$3005,$A1510))</f>
        <v/>
      </c>
      <c r="J1510" s="9">
        <f>IF($A1510="","",$H1510-$I1510)</f>
        <v/>
      </c>
      <c r="K1510" s="10">
        <f>IF($A1510="","",IF($I1510=0,"",_xludf.AGGREGATE(14,6,Ventes_Encaissements!$C$6:$C$3005/(Ventes_Encaissements!$B$6:$B$3005=$A1510),1)))</f>
        <v/>
      </c>
      <c r="L1510" s="11">
        <f>IF($A1510="","",COUNTIFS(Ventes_Detail!$B$6:$B$3005,$A1510))</f>
        <v/>
      </c>
      <c r="M1510" s="12" t="n"/>
      <c r="N1510" s="12">
        <f>IF($A1510="","",IF($G1510="","",IF($M1510="Oui","Litige",IF($J1510&lt;=0,"Payé",IF($I1510&gt;0,"Partiel",IF(Listes!$B$3&gt;$G1510,"En retard","À échoir"))))))</f>
        <v/>
      </c>
      <c r="O1510" s="11">
        <f>IF($A1510="","",IF(OR($G1510="", $J1510&lt;=0),0,MAX(0,Listes!$B$3-$G1510)))</f>
        <v/>
      </c>
      <c r="P1510" s="12">
        <f>IF($A1510="","",IF($J1510&lt;=0,"Payé",IF($M1510="Oui","Litige",IF($O1510=0,"À échoir",IF($O1510&lt;=30,"0-30",IF($O1510&lt;=60,"31-60",IF($O1510&lt;=90,"61-90","90+")))))))</f>
        <v/>
      </c>
    </row>
    <row r="1511">
      <c r="A1511" s="6" t="n"/>
      <c r="B1511" s="6" t="n"/>
      <c r="C1511" s="6" t="n"/>
      <c r="D1511" s="6" t="n"/>
      <c r="E1511" s="6" t="n"/>
      <c r="F1511" s="7" t="n"/>
      <c r="G1511" s="7" t="n"/>
      <c r="H1511" s="8" t="n"/>
      <c r="I1511" s="9">
        <f>IF($A1511="","",SUMIFS(Ventes_Encaissements!$D$6:$D$3005,Ventes_Encaissements!$B$6:$B$3005,$A1511))</f>
        <v/>
      </c>
      <c r="J1511" s="9">
        <f>IF($A1511="","",$H1511-$I1511)</f>
        <v/>
      </c>
      <c r="K1511" s="10">
        <f>IF($A1511="","",IF($I1511=0,"",_xludf.AGGREGATE(14,6,Ventes_Encaissements!$C$6:$C$3005/(Ventes_Encaissements!$B$6:$B$3005=$A1511),1)))</f>
        <v/>
      </c>
      <c r="L1511" s="11">
        <f>IF($A1511="","",COUNTIFS(Ventes_Detail!$B$6:$B$3005,$A1511))</f>
        <v/>
      </c>
      <c r="M1511" s="12" t="n"/>
      <c r="N1511" s="12">
        <f>IF($A1511="","",IF($G1511="","",IF($M1511="Oui","Litige",IF($J1511&lt;=0,"Payé",IF($I1511&gt;0,"Partiel",IF(Listes!$B$3&gt;$G1511,"En retard","À échoir"))))))</f>
        <v/>
      </c>
      <c r="O1511" s="11">
        <f>IF($A1511="","",IF(OR($G1511="", $J1511&lt;=0),0,MAX(0,Listes!$B$3-$G1511)))</f>
        <v/>
      </c>
      <c r="P1511" s="12">
        <f>IF($A1511="","",IF($J1511&lt;=0,"Payé",IF($M1511="Oui","Litige",IF($O1511=0,"À échoir",IF($O1511&lt;=30,"0-30",IF($O1511&lt;=60,"31-60",IF($O1511&lt;=90,"61-90","90+")))))))</f>
        <v/>
      </c>
    </row>
    <row r="1512">
      <c r="A1512" s="6" t="n"/>
      <c r="B1512" s="6" t="n"/>
      <c r="C1512" s="6" t="n"/>
      <c r="D1512" s="6" t="n"/>
      <c r="E1512" s="6" t="n"/>
      <c r="F1512" s="7" t="n"/>
      <c r="G1512" s="7" t="n"/>
      <c r="H1512" s="8" t="n"/>
      <c r="I1512" s="9">
        <f>IF($A1512="","",SUMIFS(Ventes_Encaissements!$D$6:$D$3005,Ventes_Encaissements!$B$6:$B$3005,$A1512))</f>
        <v/>
      </c>
      <c r="J1512" s="9">
        <f>IF($A1512="","",$H1512-$I1512)</f>
        <v/>
      </c>
      <c r="K1512" s="10">
        <f>IF($A1512="","",IF($I1512=0,"",_xludf.AGGREGATE(14,6,Ventes_Encaissements!$C$6:$C$3005/(Ventes_Encaissements!$B$6:$B$3005=$A1512),1)))</f>
        <v/>
      </c>
      <c r="L1512" s="11">
        <f>IF($A1512="","",COUNTIFS(Ventes_Detail!$B$6:$B$3005,$A1512))</f>
        <v/>
      </c>
      <c r="M1512" s="12" t="n"/>
      <c r="N1512" s="12">
        <f>IF($A1512="","",IF($G1512="","",IF($M1512="Oui","Litige",IF($J1512&lt;=0,"Payé",IF($I1512&gt;0,"Partiel",IF(Listes!$B$3&gt;$G1512,"En retard","À échoir"))))))</f>
        <v/>
      </c>
      <c r="O1512" s="11">
        <f>IF($A1512="","",IF(OR($G1512="", $J1512&lt;=0),0,MAX(0,Listes!$B$3-$G1512)))</f>
        <v/>
      </c>
      <c r="P1512" s="12">
        <f>IF($A1512="","",IF($J1512&lt;=0,"Payé",IF($M1512="Oui","Litige",IF($O1512=0,"À échoir",IF($O1512&lt;=30,"0-30",IF($O1512&lt;=60,"31-60",IF($O1512&lt;=90,"61-90","90+")))))))</f>
        <v/>
      </c>
    </row>
    <row r="1513">
      <c r="A1513" s="6" t="n"/>
      <c r="B1513" s="6" t="n"/>
      <c r="C1513" s="6" t="n"/>
      <c r="D1513" s="6" t="n"/>
      <c r="E1513" s="6" t="n"/>
      <c r="F1513" s="7" t="n"/>
      <c r="G1513" s="7" t="n"/>
      <c r="H1513" s="8" t="n"/>
      <c r="I1513" s="9">
        <f>IF($A1513="","",SUMIFS(Ventes_Encaissements!$D$6:$D$3005,Ventes_Encaissements!$B$6:$B$3005,$A1513))</f>
        <v/>
      </c>
      <c r="J1513" s="9">
        <f>IF($A1513="","",$H1513-$I1513)</f>
        <v/>
      </c>
      <c r="K1513" s="10">
        <f>IF($A1513="","",IF($I1513=0,"",_xludf.AGGREGATE(14,6,Ventes_Encaissements!$C$6:$C$3005/(Ventes_Encaissements!$B$6:$B$3005=$A1513),1)))</f>
        <v/>
      </c>
      <c r="L1513" s="11">
        <f>IF($A1513="","",COUNTIFS(Ventes_Detail!$B$6:$B$3005,$A1513))</f>
        <v/>
      </c>
      <c r="M1513" s="12" t="n"/>
      <c r="N1513" s="12">
        <f>IF($A1513="","",IF($G1513="","",IF($M1513="Oui","Litige",IF($J1513&lt;=0,"Payé",IF($I1513&gt;0,"Partiel",IF(Listes!$B$3&gt;$G1513,"En retard","À échoir"))))))</f>
        <v/>
      </c>
      <c r="O1513" s="11">
        <f>IF($A1513="","",IF(OR($G1513="", $J1513&lt;=0),0,MAX(0,Listes!$B$3-$G1513)))</f>
        <v/>
      </c>
      <c r="P1513" s="12">
        <f>IF($A1513="","",IF($J1513&lt;=0,"Payé",IF($M1513="Oui","Litige",IF($O1513=0,"À échoir",IF($O1513&lt;=30,"0-30",IF($O1513&lt;=60,"31-60",IF($O1513&lt;=90,"61-90","90+")))))))</f>
        <v/>
      </c>
    </row>
    <row r="1514">
      <c r="A1514" s="6" t="n"/>
      <c r="B1514" s="6" t="n"/>
      <c r="C1514" s="6" t="n"/>
      <c r="D1514" s="6" t="n"/>
      <c r="E1514" s="6" t="n"/>
      <c r="F1514" s="7" t="n"/>
      <c r="G1514" s="7" t="n"/>
      <c r="H1514" s="8" t="n"/>
      <c r="I1514" s="9">
        <f>IF($A1514="","",SUMIFS(Ventes_Encaissements!$D$6:$D$3005,Ventes_Encaissements!$B$6:$B$3005,$A1514))</f>
        <v/>
      </c>
      <c r="J1514" s="9">
        <f>IF($A1514="","",$H1514-$I1514)</f>
        <v/>
      </c>
      <c r="K1514" s="10">
        <f>IF($A1514="","",IF($I1514=0,"",_xludf.AGGREGATE(14,6,Ventes_Encaissements!$C$6:$C$3005/(Ventes_Encaissements!$B$6:$B$3005=$A1514),1)))</f>
        <v/>
      </c>
      <c r="L1514" s="11">
        <f>IF($A1514="","",COUNTIFS(Ventes_Detail!$B$6:$B$3005,$A1514))</f>
        <v/>
      </c>
      <c r="M1514" s="12" t="n"/>
      <c r="N1514" s="12">
        <f>IF($A1514="","",IF($G1514="","",IF($M1514="Oui","Litige",IF($J1514&lt;=0,"Payé",IF($I1514&gt;0,"Partiel",IF(Listes!$B$3&gt;$G1514,"En retard","À échoir"))))))</f>
        <v/>
      </c>
      <c r="O1514" s="11">
        <f>IF($A1514="","",IF(OR($G1514="", $J1514&lt;=0),0,MAX(0,Listes!$B$3-$G1514)))</f>
        <v/>
      </c>
      <c r="P1514" s="12">
        <f>IF($A1514="","",IF($J1514&lt;=0,"Payé",IF($M1514="Oui","Litige",IF($O1514=0,"À échoir",IF($O1514&lt;=30,"0-30",IF($O1514&lt;=60,"31-60",IF($O1514&lt;=90,"61-90","90+")))))))</f>
        <v/>
      </c>
    </row>
    <row r="1515">
      <c r="A1515" s="6" t="n"/>
      <c r="B1515" s="6" t="n"/>
      <c r="C1515" s="6" t="n"/>
      <c r="D1515" s="6" t="n"/>
      <c r="E1515" s="6" t="n"/>
      <c r="F1515" s="7" t="n"/>
      <c r="G1515" s="7" t="n"/>
      <c r="H1515" s="8" t="n"/>
      <c r="I1515" s="9">
        <f>IF($A1515="","",SUMIFS(Ventes_Encaissements!$D$6:$D$3005,Ventes_Encaissements!$B$6:$B$3005,$A1515))</f>
        <v/>
      </c>
      <c r="J1515" s="9">
        <f>IF($A1515="","",$H1515-$I1515)</f>
        <v/>
      </c>
      <c r="K1515" s="10">
        <f>IF($A1515="","",IF($I1515=0,"",_xludf.AGGREGATE(14,6,Ventes_Encaissements!$C$6:$C$3005/(Ventes_Encaissements!$B$6:$B$3005=$A1515),1)))</f>
        <v/>
      </c>
      <c r="L1515" s="11">
        <f>IF($A1515="","",COUNTIFS(Ventes_Detail!$B$6:$B$3005,$A1515))</f>
        <v/>
      </c>
      <c r="M1515" s="12" t="n"/>
      <c r="N1515" s="12">
        <f>IF($A1515="","",IF($G1515="","",IF($M1515="Oui","Litige",IF($J1515&lt;=0,"Payé",IF($I1515&gt;0,"Partiel",IF(Listes!$B$3&gt;$G1515,"En retard","À échoir"))))))</f>
        <v/>
      </c>
      <c r="O1515" s="11">
        <f>IF($A1515="","",IF(OR($G1515="", $J1515&lt;=0),0,MAX(0,Listes!$B$3-$G1515)))</f>
        <v/>
      </c>
      <c r="P1515" s="12">
        <f>IF($A1515="","",IF($J1515&lt;=0,"Payé",IF($M1515="Oui","Litige",IF($O1515=0,"À échoir",IF($O1515&lt;=30,"0-30",IF($O1515&lt;=60,"31-60",IF($O1515&lt;=90,"61-90","90+")))))))</f>
        <v/>
      </c>
    </row>
    <row r="1516">
      <c r="A1516" s="6" t="n"/>
      <c r="B1516" s="6" t="n"/>
      <c r="C1516" s="6" t="n"/>
      <c r="D1516" s="6" t="n"/>
      <c r="E1516" s="6" t="n"/>
      <c r="F1516" s="7" t="n"/>
      <c r="G1516" s="7" t="n"/>
      <c r="H1516" s="8" t="n"/>
      <c r="I1516" s="9">
        <f>IF($A1516="","",SUMIFS(Ventes_Encaissements!$D$6:$D$3005,Ventes_Encaissements!$B$6:$B$3005,$A1516))</f>
        <v/>
      </c>
      <c r="J1516" s="9">
        <f>IF($A1516="","",$H1516-$I1516)</f>
        <v/>
      </c>
      <c r="K1516" s="10">
        <f>IF($A1516="","",IF($I1516=0,"",_xludf.AGGREGATE(14,6,Ventes_Encaissements!$C$6:$C$3005/(Ventes_Encaissements!$B$6:$B$3005=$A1516),1)))</f>
        <v/>
      </c>
      <c r="L1516" s="11">
        <f>IF($A1516="","",COUNTIFS(Ventes_Detail!$B$6:$B$3005,$A1516))</f>
        <v/>
      </c>
      <c r="M1516" s="12" t="n"/>
      <c r="N1516" s="12">
        <f>IF($A1516="","",IF($G1516="","",IF($M1516="Oui","Litige",IF($J1516&lt;=0,"Payé",IF($I1516&gt;0,"Partiel",IF(Listes!$B$3&gt;$G1516,"En retard","À échoir"))))))</f>
        <v/>
      </c>
      <c r="O1516" s="11">
        <f>IF($A1516="","",IF(OR($G1516="", $J1516&lt;=0),0,MAX(0,Listes!$B$3-$G1516)))</f>
        <v/>
      </c>
      <c r="P1516" s="12">
        <f>IF($A1516="","",IF($J1516&lt;=0,"Payé",IF($M1516="Oui","Litige",IF($O1516=0,"À échoir",IF($O1516&lt;=30,"0-30",IF($O1516&lt;=60,"31-60",IF($O1516&lt;=90,"61-90","90+")))))))</f>
        <v/>
      </c>
    </row>
    <row r="1517">
      <c r="A1517" s="6" t="n"/>
      <c r="B1517" s="6" t="n"/>
      <c r="C1517" s="6" t="n"/>
      <c r="D1517" s="6" t="n"/>
      <c r="E1517" s="6" t="n"/>
      <c r="F1517" s="7" t="n"/>
      <c r="G1517" s="7" t="n"/>
      <c r="H1517" s="8" t="n"/>
      <c r="I1517" s="9">
        <f>IF($A1517="","",SUMIFS(Ventes_Encaissements!$D$6:$D$3005,Ventes_Encaissements!$B$6:$B$3005,$A1517))</f>
        <v/>
      </c>
      <c r="J1517" s="9">
        <f>IF($A1517="","",$H1517-$I1517)</f>
        <v/>
      </c>
      <c r="K1517" s="10">
        <f>IF($A1517="","",IF($I1517=0,"",_xludf.AGGREGATE(14,6,Ventes_Encaissements!$C$6:$C$3005/(Ventes_Encaissements!$B$6:$B$3005=$A1517),1)))</f>
        <v/>
      </c>
      <c r="L1517" s="11">
        <f>IF($A1517="","",COUNTIFS(Ventes_Detail!$B$6:$B$3005,$A1517))</f>
        <v/>
      </c>
      <c r="M1517" s="12" t="n"/>
      <c r="N1517" s="12">
        <f>IF($A1517="","",IF($G1517="","",IF($M1517="Oui","Litige",IF($J1517&lt;=0,"Payé",IF($I1517&gt;0,"Partiel",IF(Listes!$B$3&gt;$G1517,"En retard","À échoir"))))))</f>
        <v/>
      </c>
      <c r="O1517" s="11">
        <f>IF($A1517="","",IF(OR($G1517="", $J1517&lt;=0),0,MAX(0,Listes!$B$3-$G1517)))</f>
        <v/>
      </c>
      <c r="P1517" s="12">
        <f>IF($A1517="","",IF($J1517&lt;=0,"Payé",IF($M1517="Oui","Litige",IF($O1517=0,"À échoir",IF($O1517&lt;=30,"0-30",IF($O1517&lt;=60,"31-60",IF($O1517&lt;=90,"61-90","90+")))))))</f>
        <v/>
      </c>
    </row>
    <row r="1518">
      <c r="A1518" s="6" t="n"/>
      <c r="B1518" s="6" t="n"/>
      <c r="C1518" s="6" t="n"/>
      <c r="D1518" s="6" t="n"/>
      <c r="E1518" s="6" t="n"/>
      <c r="F1518" s="7" t="n"/>
      <c r="G1518" s="7" t="n"/>
      <c r="H1518" s="8" t="n"/>
      <c r="I1518" s="9">
        <f>IF($A1518="","",SUMIFS(Ventes_Encaissements!$D$6:$D$3005,Ventes_Encaissements!$B$6:$B$3005,$A1518))</f>
        <v/>
      </c>
      <c r="J1518" s="9">
        <f>IF($A1518="","",$H1518-$I1518)</f>
        <v/>
      </c>
      <c r="K1518" s="10">
        <f>IF($A1518="","",IF($I1518=0,"",_xludf.AGGREGATE(14,6,Ventes_Encaissements!$C$6:$C$3005/(Ventes_Encaissements!$B$6:$B$3005=$A1518),1)))</f>
        <v/>
      </c>
      <c r="L1518" s="11">
        <f>IF($A1518="","",COUNTIFS(Ventes_Detail!$B$6:$B$3005,$A1518))</f>
        <v/>
      </c>
      <c r="M1518" s="12" t="n"/>
      <c r="N1518" s="12">
        <f>IF($A1518="","",IF($G1518="","",IF($M1518="Oui","Litige",IF($J1518&lt;=0,"Payé",IF($I1518&gt;0,"Partiel",IF(Listes!$B$3&gt;$G1518,"En retard","À échoir"))))))</f>
        <v/>
      </c>
      <c r="O1518" s="11">
        <f>IF($A1518="","",IF(OR($G1518="", $J1518&lt;=0),0,MAX(0,Listes!$B$3-$G1518)))</f>
        <v/>
      </c>
      <c r="P1518" s="12">
        <f>IF($A1518="","",IF($J1518&lt;=0,"Payé",IF($M1518="Oui","Litige",IF($O1518=0,"À échoir",IF($O1518&lt;=30,"0-30",IF($O1518&lt;=60,"31-60",IF($O1518&lt;=90,"61-90","90+")))))))</f>
        <v/>
      </c>
    </row>
    <row r="1519">
      <c r="A1519" s="6" t="n"/>
      <c r="B1519" s="6" t="n"/>
      <c r="C1519" s="6" t="n"/>
      <c r="D1519" s="6" t="n"/>
      <c r="E1519" s="6" t="n"/>
      <c r="F1519" s="7" t="n"/>
      <c r="G1519" s="7" t="n"/>
      <c r="H1519" s="8" t="n"/>
      <c r="I1519" s="9">
        <f>IF($A1519="","",SUMIFS(Ventes_Encaissements!$D$6:$D$3005,Ventes_Encaissements!$B$6:$B$3005,$A1519))</f>
        <v/>
      </c>
      <c r="J1519" s="9">
        <f>IF($A1519="","",$H1519-$I1519)</f>
        <v/>
      </c>
      <c r="K1519" s="10">
        <f>IF($A1519="","",IF($I1519=0,"",_xludf.AGGREGATE(14,6,Ventes_Encaissements!$C$6:$C$3005/(Ventes_Encaissements!$B$6:$B$3005=$A1519),1)))</f>
        <v/>
      </c>
      <c r="L1519" s="11">
        <f>IF($A1519="","",COUNTIFS(Ventes_Detail!$B$6:$B$3005,$A1519))</f>
        <v/>
      </c>
      <c r="M1519" s="12" t="n"/>
      <c r="N1519" s="12">
        <f>IF($A1519="","",IF($G1519="","",IF($M1519="Oui","Litige",IF($J1519&lt;=0,"Payé",IF($I1519&gt;0,"Partiel",IF(Listes!$B$3&gt;$G1519,"En retard","À échoir"))))))</f>
        <v/>
      </c>
      <c r="O1519" s="11">
        <f>IF($A1519="","",IF(OR($G1519="", $J1519&lt;=0),0,MAX(0,Listes!$B$3-$G1519)))</f>
        <v/>
      </c>
      <c r="P1519" s="12">
        <f>IF($A1519="","",IF($J1519&lt;=0,"Payé",IF($M1519="Oui","Litige",IF($O1519=0,"À échoir",IF($O1519&lt;=30,"0-30",IF($O1519&lt;=60,"31-60",IF($O1519&lt;=90,"61-90","90+")))))))</f>
        <v/>
      </c>
    </row>
    <row r="1520">
      <c r="A1520" s="6" t="n"/>
      <c r="B1520" s="6" t="n"/>
      <c r="C1520" s="6" t="n"/>
      <c r="D1520" s="6" t="n"/>
      <c r="E1520" s="6" t="n"/>
      <c r="F1520" s="7" t="n"/>
      <c r="G1520" s="7" t="n"/>
      <c r="H1520" s="8" t="n"/>
      <c r="I1520" s="9">
        <f>IF($A1520="","",SUMIFS(Ventes_Encaissements!$D$6:$D$3005,Ventes_Encaissements!$B$6:$B$3005,$A1520))</f>
        <v/>
      </c>
      <c r="J1520" s="9">
        <f>IF($A1520="","",$H1520-$I1520)</f>
        <v/>
      </c>
      <c r="K1520" s="10">
        <f>IF($A1520="","",IF($I1520=0,"",_xludf.AGGREGATE(14,6,Ventes_Encaissements!$C$6:$C$3005/(Ventes_Encaissements!$B$6:$B$3005=$A1520),1)))</f>
        <v/>
      </c>
      <c r="L1520" s="11">
        <f>IF($A1520="","",COUNTIFS(Ventes_Detail!$B$6:$B$3005,$A1520))</f>
        <v/>
      </c>
      <c r="M1520" s="12" t="n"/>
      <c r="N1520" s="12">
        <f>IF($A1520="","",IF($G1520="","",IF($M1520="Oui","Litige",IF($J1520&lt;=0,"Payé",IF($I1520&gt;0,"Partiel",IF(Listes!$B$3&gt;$G1520,"En retard","À échoir"))))))</f>
        <v/>
      </c>
      <c r="O1520" s="11">
        <f>IF($A1520="","",IF(OR($G1520="", $J1520&lt;=0),0,MAX(0,Listes!$B$3-$G1520)))</f>
        <v/>
      </c>
      <c r="P1520" s="12">
        <f>IF($A1520="","",IF($J1520&lt;=0,"Payé",IF($M1520="Oui","Litige",IF($O1520=0,"À échoir",IF($O1520&lt;=30,"0-30",IF($O1520&lt;=60,"31-60",IF($O1520&lt;=90,"61-90","90+")))))))</f>
        <v/>
      </c>
    </row>
    <row r="1521">
      <c r="A1521" s="6" t="n"/>
      <c r="B1521" s="6" t="n"/>
      <c r="C1521" s="6" t="n"/>
      <c r="D1521" s="6" t="n"/>
      <c r="E1521" s="6" t="n"/>
      <c r="F1521" s="7" t="n"/>
      <c r="G1521" s="7" t="n"/>
      <c r="H1521" s="8" t="n"/>
      <c r="I1521" s="9">
        <f>IF($A1521="","",SUMIFS(Ventes_Encaissements!$D$6:$D$3005,Ventes_Encaissements!$B$6:$B$3005,$A1521))</f>
        <v/>
      </c>
      <c r="J1521" s="9">
        <f>IF($A1521="","",$H1521-$I1521)</f>
        <v/>
      </c>
      <c r="K1521" s="10">
        <f>IF($A1521="","",IF($I1521=0,"",_xludf.AGGREGATE(14,6,Ventes_Encaissements!$C$6:$C$3005/(Ventes_Encaissements!$B$6:$B$3005=$A1521),1)))</f>
        <v/>
      </c>
      <c r="L1521" s="11">
        <f>IF($A1521="","",COUNTIFS(Ventes_Detail!$B$6:$B$3005,$A1521))</f>
        <v/>
      </c>
      <c r="M1521" s="12" t="n"/>
      <c r="N1521" s="12">
        <f>IF($A1521="","",IF($G1521="","",IF($M1521="Oui","Litige",IF($J1521&lt;=0,"Payé",IF($I1521&gt;0,"Partiel",IF(Listes!$B$3&gt;$G1521,"En retard","À échoir"))))))</f>
        <v/>
      </c>
      <c r="O1521" s="11">
        <f>IF($A1521="","",IF(OR($G1521="", $J1521&lt;=0),0,MAX(0,Listes!$B$3-$G1521)))</f>
        <v/>
      </c>
      <c r="P1521" s="12">
        <f>IF($A1521="","",IF($J1521&lt;=0,"Payé",IF($M1521="Oui","Litige",IF($O1521=0,"À échoir",IF($O1521&lt;=30,"0-30",IF($O1521&lt;=60,"31-60",IF($O1521&lt;=90,"61-90","90+")))))))</f>
        <v/>
      </c>
    </row>
    <row r="1522">
      <c r="A1522" s="6" t="n"/>
      <c r="B1522" s="6" t="n"/>
      <c r="C1522" s="6" t="n"/>
      <c r="D1522" s="6" t="n"/>
      <c r="E1522" s="6" t="n"/>
      <c r="F1522" s="7" t="n"/>
      <c r="G1522" s="7" t="n"/>
      <c r="H1522" s="8" t="n"/>
      <c r="I1522" s="9">
        <f>IF($A1522="","",SUMIFS(Ventes_Encaissements!$D$6:$D$3005,Ventes_Encaissements!$B$6:$B$3005,$A1522))</f>
        <v/>
      </c>
      <c r="J1522" s="9">
        <f>IF($A1522="","",$H1522-$I1522)</f>
        <v/>
      </c>
      <c r="K1522" s="10">
        <f>IF($A1522="","",IF($I1522=0,"",_xludf.AGGREGATE(14,6,Ventes_Encaissements!$C$6:$C$3005/(Ventes_Encaissements!$B$6:$B$3005=$A1522),1)))</f>
        <v/>
      </c>
      <c r="L1522" s="11">
        <f>IF($A1522="","",COUNTIFS(Ventes_Detail!$B$6:$B$3005,$A1522))</f>
        <v/>
      </c>
      <c r="M1522" s="12" t="n"/>
      <c r="N1522" s="12">
        <f>IF($A1522="","",IF($G1522="","",IF($M1522="Oui","Litige",IF($J1522&lt;=0,"Payé",IF($I1522&gt;0,"Partiel",IF(Listes!$B$3&gt;$G1522,"En retard","À échoir"))))))</f>
        <v/>
      </c>
      <c r="O1522" s="11">
        <f>IF($A1522="","",IF(OR($G1522="", $J1522&lt;=0),0,MAX(0,Listes!$B$3-$G1522)))</f>
        <v/>
      </c>
      <c r="P1522" s="12">
        <f>IF($A1522="","",IF($J1522&lt;=0,"Payé",IF($M1522="Oui","Litige",IF($O1522=0,"À échoir",IF($O1522&lt;=30,"0-30",IF($O1522&lt;=60,"31-60",IF($O1522&lt;=90,"61-90","90+")))))))</f>
        <v/>
      </c>
    </row>
    <row r="1523">
      <c r="A1523" s="6" t="n"/>
      <c r="B1523" s="6" t="n"/>
      <c r="C1523" s="6" t="n"/>
      <c r="D1523" s="6" t="n"/>
      <c r="E1523" s="6" t="n"/>
      <c r="F1523" s="7" t="n"/>
      <c r="G1523" s="7" t="n"/>
      <c r="H1523" s="8" t="n"/>
      <c r="I1523" s="9">
        <f>IF($A1523="","",SUMIFS(Ventes_Encaissements!$D$6:$D$3005,Ventes_Encaissements!$B$6:$B$3005,$A1523))</f>
        <v/>
      </c>
      <c r="J1523" s="9">
        <f>IF($A1523="","",$H1523-$I1523)</f>
        <v/>
      </c>
      <c r="K1523" s="10">
        <f>IF($A1523="","",IF($I1523=0,"",_xludf.AGGREGATE(14,6,Ventes_Encaissements!$C$6:$C$3005/(Ventes_Encaissements!$B$6:$B$3005=$A1523),1)))</f>
        <v/>
      </c>
      <c r="L1523" s="11">
        <f>IF($A1523="","",COUNTIFS(Ventes_Detail!$B$6:$B$3005,$A1523))</f>
        <v/>
      </c>
      <c r="M1523" s="12" t="n"/>
      <c r="N1523" s="12">
        <f>IF($A1523="","",IF($G1523="","",IF($M1523="Oui","Litige",IF($J1523&lt;=0,"Payé",IF($I1523&gt;0,"Partiel",IF(Listes!$B$3&gt;$G1523,"En retard","À échoir"))))))</f>
        <v/>
      </c>
      <c r="O1523" s="11">
        <f>IF($A1523="","",IF(OR($G1523="", $J1523&lt;=0),0,MAX(0,Listes!$B$3-$G1523)))</f>
        <v/>
      </c>
      <c r="P1523" s="12">
        <f>IF($A1523="","",IF($J1523&lt;=0,"Payé",IF($M1523="Oui","Litige",IF($O1523=0,"À échoir",IF($O1523&lt;=30,"0-30",IF($O1523&lt;=60,"31-60",IF($O1523&lt;=90,"61-90","90+")))))))</f>
        <v/>
      </c>
    </row>
    <row r="1524">
      <c r="A1524" s="6" t="n"/>
      <c r="B1524" s="6" t="n"/>
      <c r="C1524" s="6" t="n"/>
      <c r="D1524" s="6" t="n"/>
      <c r="E1524" s="6" t="n"/>
      <c r="F1524" s="7" t="n"/>
      <c r="G1524" s="7" t="n"/>
      <c r="H1524" s="8" t="n"/>
      <c r="I1524" s="9">
        <f>IF($A1524="","",SUMIFS(Ventes_Encaissements!$D$6:$D$3005,Ventes_Encaissements!$B$6:$B$3005,$A1524))</f>
        <v/>
      </c>
      <c r="J1524" s="9">
        <f>IF($A1524="","",$H1524-$I1524)</f>
        <v/>
      </c>
      <c r="K1524" s="10">
        <f>IF($A1524="","",IF($I1524=0,"",_xludf.AGGREGATE(14,6,Ventes_Encaissements!$C$6:$C$3005/(Ventes_Encaissements!$B$6:$B$3005=$A1524),1)))</f>
        <v/>
      </c>
      <c r="L1524" s="11">
        <f>IF($A1524="","",COUNTIFS(Ventes_Detail!$B$6:$B$3005,$A1524))</f>
        <v/>
      </c>
      <c r="M1524" s="12" t="n"/>
      <c r="N1524" s="12">
        <f>IF($A1524="","",IF($G1524="","",IF($M1524="Oui","Litige",IF($J1524&lt;=0,"Payé",IF($I1524&gt;0,"Partiel",IF(Listes!$B$3&gt;$G1524,"En retard","À échoir"))))))</f>
        <v/>
      </c>
      <c r="O1524" s="11">
        <f>IF($A1524="","",IF(OR($G1524="", $J1524&lt;=0),0,MAX(0,Listes!$B$3-$G1524)))</f>
        <v/>
      </c>
      <c r="P1524" s="12">
        <f>IF($A1524="","",IF($J1524&lt;=0,"Payé",IF($M1524="Oui","Litige",IF($O1524=0,"À échoir",IF($O1524&lt;=30,"0-30",IF($O1524&lt;=60,"31-60",IF($O1524&lt;=90,"61-90","90+")))))))</f>
        <v/>
      </c>
    </row>
    <row r="1525">
      <c r="A1525" s="6" t="n"/>
      <c r="B1525" s="6" t="n"/>
      <c r="C1525" s="6" t="n"/>
      <c r="D1525" s="6" t="n"/>
      <c r="E1525" s="6" t="n"/>
      <c r="F1525" s="7" t="n"/>
      <c r="G1525" s="7" t="n"/>
      <c r="H1525" s="8" t="n"/>
      <c r="I1525" s="9">
        <f>IF($A1525="","",SUMIFS(Ventes_Encaissements!$D$6:$D$3005,Ventes_Encaissements!$B$6:$B$3005,$A1525))</f>
        <v/>
      </c>
      <c r="J1525" s="9">
        <f>IF($A1525="","",$H1525-$I1525)</f>
        <v/>
      </c>
      <c r="K1525" s="10">
        <f>IF($A1525="","",IF($I1525=0,"",_xludf.AGGREGATE(14,6,Ventes_Encaissements!$C$6:$C$3005/(Ventes_Encaissements!$B$6:$B$3005=$A1525),1)))</f>
        <v/>
      </c>
      <c r="L1525" s="11">
        <f>IF($A1525="","",COUNTIFS(Ventes_Detail!$B$6:$B$3005,$A1525))</f>
        <v/>
      </c>
      <c r="M1525" s="12" t="n"/>
      <c r="N1525" s="12">
        <f>IF($A1525="","",IF($G1525="","",IF($M1525="Oui","Litige",IF($J1525&lt;=0,"Payé",IF($I1525&gt;0,"Partiel",IF(Listes!$B$3&gt;$G1525,"En retard","À échoir"))))))</f>
        <v/>
      </c>
      <c r="O1525" s="11">
        <f>IF($A1525="","",IF(OR($G1525="", $J1525&lt;=0),0,MAX(0,Listes!$B$3-$G1525)))</f>
        <v/>
      </c>
      <c r="P1525" s="12">
        <f>IF($A1525="","",IF($J1525&lt;=0,"Payé",IF($M1525="Oui","Litige",IF($O1525=0,"À échoir",IF($O1525&lt;=30,"0-30",IF($O1525&lt;=60,"31-60",IF($O1525&lt;=90,"61-90","90+")))))))</f>
        <v/>
      </c>
    </row>
    <row r="1526">
      <c r="A1526" s="6" t="n"/>
      <c r="B1526" s="6" t="n"/>
      <c r="C1526" s="6" t="n"/>
      <c r="D1526" s="6" t="n"/>
      <c r="E1526" s="6" t="n"/>
      <c r="F1526" s="7" t="n"/>
      <c r="G1526" s="7" t="n"/>
      <c r="H1526" s="8" t="n"/>
      <c r="I1526" s="9">
        <f>IF($A1526="","",SUMIFS(Ventes_Encaissements!$D$6:$D$3005,Ventes_Encaissements!$B$6:$B$3005,$A1526))</f>
        <v/>
      </c>
      <c r="J1526" s="9">
        <f>IF($A1526="","",$H1526-$I1526)</f>
        <v/>
      </c>
      <c r="K1526" s="10">
        <f>IF($A1526="","",IF($I1526=0,"",_xludf.AGGREGATE(14,6,Ventes_Encaissements!$C$6:$C$3005/(Ventes_Encaissements!$B$6:$B$3005=$A1526),1)))</f>
        <v/>
      </c>
      <c r="L1526" s="11">
        <f>IF($A1526="","",COUNTIFS(Ventes_Detail!$B$6:$B$3005,$A1526))</f>
        <v/>
      </c>
      <c r="M1526" s="12" t="n"/>
      <c r="N1526" s="12">
        <f>IF($A1526="","",IF($G1526="","",IF($M1526="Oui","Litige",IF($J1526&lt;=0,"Payé",IF($I1526&gt;0,"Partiel",IF(Listes!$B$3&gt;$G1526,"En retard","À échoir"))))))</f>
        <v/>
      </c>
      <c r="O1526" s="11">
        <f>IF($A1526="","",IF(OR($G1526="", $J1526&lt;=0),0,MAX(0,Listes!$B$3-$G1526)))</f>
        <v/>
      </c>
      <c r="P1526" s="12">
        <f>IF($A1526="","",IF($J1526&lt;=0,"Payé",IF($M1526="Oui","Litige",IF($O1526=0,"À échoir",IF($O1526&lt;=30,"0-30",IF($O1526&lt;=60,"31-60",IF($O1526&lt;=90,"61-90","90+")))))))</f>
        <v/>
      </c>
    </row>
    <row r="1527">
      <c r="A1527" s="6" t="n"/>
      <c r="B1527" s="6" t="n"/>
      <c r="C1527" s="6" t="n"/>
      <c r="D1527" s="6" t="n"/>
      <c r="E1527" s="6" t="n"/>
      <c r="F1527" s="7" t="n"/>
      <c r="G1527" s="7" t="n"/>
      <c r="H1527" s="8" t="n"/>
      <c r="I1527" s="9">
        <f>IF($A1527="","",SUMIFS(Ventes_Encaissements!$D$6:$D$3005,Ventes_Encaissements!$B$6:$B$3005,$A1527))</f>
        <v/>
      </c>
      <c r="J1527" s="9">
        <f>IF($A1527="","",$H1527-$I1527)</f>
        <v/>
      </c>
      <c r="K1527" s="10">
        <f>IF($A1527="","",IF($I1527=0,"",_xludf.AGGREGATE(14,6,Ventes_Encaissements!$C$6:$C$3005/(Ventes_Encaissements!$B$6:$B$3005=$A1527),1)))</f>
        <v/>
      </c>
      <c r="L1527" s="11">
        <f>IF($A1527="","",COUNTIFS(Ventes_Detail!$B$6:$B$3005,$A1527))</f>
        <v/>
      </c>
      <c r="M1527" s="12" t="n"/>
      <c r="N1527" s="12">
        <f>IF($A1527="","",IF($G1527="","",IF($M1527="Oui","Litige",IF($J1527&lt;=0,"Payé",IF($I1527&gt;0,"Partiel",IF(Listes!$B$3&gt;$G1527,"En retard","À échoir"))))))</f>
        <v/>
      </c>
      <c r="O1527" s="11">
        <f>IF($A1527="","",IF(OR($G1527="", $J1527&lt;=0),0,MAX(0,Listes!$B$3-$G1527)))</f>
        <v/>
      </c>
      <c r="P1527" s="12">
        <f>IF($A1527="","",IF($J1527&lt;=0,"Payé",IF($M1527="Oui","Litige",IF($O1527=0,"À échoir",IF($O1527&lt;=30,"0-30",IF($O1527&lt;=60,"31-60",IF($O1527&lt;=90,"61-90","90+")))))))</f>
        <v/>
      </c>
    </row>
    <row r="1528">
      <c r="A1528" s="6" t="n"/>
      <c r="B1528" s="6" t="n"/>
      <c r="C1528" s="6" t="n"/>
      <c r="D1528" s="6" t="n"/>
      <c r="E1528" s="6" t="n"/>
      <c r="F1528" s="7" t="n"/>
      <c r="G1528" s="7" t="n"/>
      <c r="H1528" s="8" t="n"/>
      <c r="I1528" s="9">
        <f>IF($A1528="","",SUMIFS(Ventes_Encaissements!$D$6:$D$3005,Ventes_Encaissements!$B$6:$B$3005,$A1528))</f>
        <v/>
      </c>
      <c r="J1528" s="9">
        <f>IF($A1528="","",$H1528-$I1528)</f>
        <v/>
      </c>
      <c r="K1528" s="10">
        <f>IF($A1528="","",IF($I1528=0,"",_xludf.AGGREGATE(14,6,Ventes_Encaissements!$C$6:$C$3005/(Ventes_Encaissements!$B$6:$B$3005=$A1528),1)))</f>
        <v/>
      </c>
      <c r="L1528" s="11">
        <f>IF($A1528="","",COUNTIFS(Ventes_Detail!$B$6:$B$3005,$A1528))</f>
        <v/>
      </c>
      <c r="M1528" s="12" t="n"/>
      <c r="N1528" s="12">
        <f>IF($A1528="","",IF($G1528="","",IF($M1528="Oui","Litige",IF($J1528&lt;=0,"Payé",IF($I1528&gt;0,"Partiel",IF(Listes!$B$3&gt;$G1528,"En retard","À échoir"))))))</f>
        <v/>
      </c>
      <c r="O1528" s="11">
        <f>IF($A1528="","",IF(OR($G1528="", $J1528&lt;=0),0,MAX(0,Listes!$B$3-$G1528)))</f>
        <v/>
      </c>
      <c r="P1528" s="12">
        <f>IF($A1528="","",IF($J1528&lt;=0,"Payé",IF($M1528="Oui","Litige",IF($O1528=0,"À échoir",IF($O1528&lt;=30,"0-30",IF($O1528&lt;=60,"31-60",IF($O1528&lt;=90,"61-90","90+")))))))</f>
        <v/>
      </c>
    </row>
    <row r="1529">
      <c r="A1529" s="6" t="n"/>
      <c r="B1529" s="6" t="n"/>
      <c r="C1529" s="6" t="n"/>
      <c r="D1529" s="6" t="n"/>
      <c r="E1529" s="6" t="n"/>
      <c r="F1529" s="7" t="n"/>
      <c r="G1529" s="7" t="n"/>
      <c r="H1529" s="8" t="n"/>
      <c r="I1529" s="9">
        <f>IF($A1529="","",SUMIFS(Ventes_Encaissements!$D$6:$D$3005,Ventes_Encaissements!$B$6:$B$3005,$A1529))</f>
        <v/>
      </c>
      <c r="J1529" s="9">
        <f>IF($A1529="","",$H1529-$I1529)</f>
        <v/>
      </c>
      <c r="K1529" s="10">
        <f>IF($A1529="","",IF($I1529=0,"",_xludf.AGGREGATE(14,6,Ventes_Encaissements!$C$6:$C$3005/(Ventes_Encaissements!$B$6:$B$3005=$A1529),1)))</f>
        <v/>
      </c>
      <c r="L1529" s="11">
        <f>IF($A1529="","",COUNTIFS(Ventes_Detail!$B$6:$B$3005,$A1529))</f>
        <v/>
      </c>
      <c r="M1529" s="12" t="n"/>
      <c r="N1529" s="12">
        <f>IF($A1529="","",IF($G1529="","",IF($M1529="Oui","Litige",IF($J1529&lt;=0,"Payé",IF($I1529&gt;0,"Partiel",IF(Listes!$B$3&gt;$G1529,"En retard","À échoir"))))))</f>
        <v/>
      </c>
      <c r="O1529" s="11">
        <f>IF($A1529="","",IF(OR($G1529="", $J1529&lt;=0),0,MAX(0,Listes!$B$3-$G1529)))</f>
        <v/>
      </c>
      <c r="P1529" s="12">
        <f>IF($A1529="","",IF($J1529&lt;=0,"Payé",IF($M1529="Oui","Litige",IF($O1529=0,"À échoir",IF($O1529&lt;=30,"0-30",IF($O1529&lt;=60,"31-60",IF($O1529&lt;=90,"61-90","90+")))))))</f>
        <v/>
      </c>
    </row>
    <row r="1530">
      <c r="A1530" s="6" t="n"/>
      <c r="B1530" s="6" t="n"/>
      <c r="C1530" s="6" t="n"/>
      <c r="D1530" s="6" t="n"/>
      <c r="E1530" s="6" t="n"/>
      <c r="F1530" s="7" t="n"/>
      <c r="G1530" s="7" t="n"/>
      <c r="H1530" s="8" t="n"/>
      <c r="I1530" s="9">
        <f>IF($A1530="","",SUMIFS(Ventes_Encaissements!$D$6:$D$3005,Ventes_Encaissements!$B$6:$B$3005,$A1530))</f>
        <v/>
      </c>
      <c r="J1530" s="9">
        <f>IF($A1530="","",$H1530-$I1530)</f>
        <v/>
      </c>
      <c r="K1530" s="10">
        <f>IF($A1530="","",IF($I1530=0,"",_xludf.AGGREGATE(14,6,Ventes_Encaissements!$C$6:$C$3005/(Ventes_Encaissements!$B$6:$B$3005=$A1530),1)))</f>
        <v/>
      </c>
      <c r="L1530" s="11">
        <f>IF($A1530="","",COUNTIFS(Ventes_Detail!$B$6:$B$3005,$A1530))</f>
        <v/>
      </c>
      <c r="M1530" s="12" t="n"/>
      <c r="N1530" s="12">
        <f>IF($A1530="","",IF($G1530="","",IF($M1530="Oui","Litige",IF($J1530&lt;=0,"Payé",IF($I1530&gt;0,"Partiel",IF(Listes!$B$3&gt;$G1530,"En retard","À échoir"))))))</f>
        <v/>
      </c>
      <c r="O1530" s="11">
        <f>IF($A1530="","",IF(OR($G1530="", $J1530&lt;=0),0,MAX(0,Listes!$B$3-$G1530)))</f>
        <v/>
      </c>
      <c r="P1530" s="12">
        <f>IF($A1530="","",IF($J1530&lt;=0,"Payé",IF($M1530="Oui","Litige",IF($O1530=0,"À échoir",IF($O1530&lt;=30,"0-30",IF($O1530&lt;=60,"31-60",IF($O1530&lt;=90,"61-90","90+")))))))</f>
        <v/>
      </c>
    </row>
    <row r="1531">
      <c r="A1531" s="6" t="n"/>
      <c r="B1531" s="6" t="n"/>
      <c r="C1531" s="6" t="n"/>
      <c r="D1531" s="6" t="n"/>
      <c r="E1531" s="6" t="n"/>
      <c r="F1531" s="7" t="n"/>
      <c r="G1531" s="7" t="n"/>
      <c r="H1531" s="8" t="n"/>
      <c r="I1531" s="9">
        <f>IF($A1531="","",SUMIFS(Ventes_Encaissements!$D$6:$D$3005,Ventes_Encaissements!$B$6:$B$3005,$A1531))</f>
        <v/>
      </c>
      <c r="J1531" s="9">
        <f>IF($A1531="","",$H1531-$I1531)</f>
        <v/>
      </c>
      <c r="K1531" s="10">
        <f>IF($A1531="","",IF($I1531=0,"",_xludf.AGGREGATE(14,6,Ventes_Encaissements!$C$6:$C$3005/(Ventes_Encaissements!$B$6:$B$3005=$A1531),1)))</f>
        <v/>
      </c>
      <c r="L1531" s="11">
        <f>IF($A1531="","",COUNTIFS(Ventes_Detail!$B$6:$B$3005,$A1531))</f>
        <v/>
      </c>
      <c r="M1531" s="12" t="n"/>
      <c r="N1531" s="12">
        <f>IF($A1531="","",IF($G1531="","",IF($M1531="Oui","Litige",IF($J1531&lt;=0,"Payé",IF($I1531&gt;0,"Partiel",IF(Listes!$B$3&gt;$G1531,"En retard","À échoir"))))))</f>
        <v/>
      </c>
      <c r="O1531" s="11">
        <f>IF($A1531="","",IF(OR($G1531="", $J1531&lt;=0),0,MAX(0,Listes!$B$3-$G1531)))</f>
        <v/>
      </c>
      <c r="P1531" s="12">
        <f>IF($A1531="","",IF($J1531&lt;=0,"Payé",IF($M1531="Oui","Litige",IF($O1531=0,"À échoir",IF($O1531&lt;=30,"0-30",IF($O1531&lt;=60,"31-60",IF($O1531&lt;=90,"61-90","90+")))))))</f>
        <v/>
      </c>
    </row>
    <row r="1532">
      <c r="A1532" s="6" t="n"/>
      <c r="B1532" s="6" t="n"/>
      <c r="C1532" s="6" t="n"/>
      <c r="D1532" s="6" t="n"/>
      <c r="E1532" s="6" t="n"/>
      <c r="F1532" s="7" t="n"/>
      <c r="G1532" s="7" t="n"/>
      <c r="H1532" s="8" t="n"/>
      <c r="I1532" s="9">
        <f>IF($A1532="","",SUMIFS(Ventes_Encaissements!$D$6:$D$3005,Ventes_Encaissements!$B$6:$B$3005,$A1532))</f>
        <v/>
      </c>
      <c r="J1532" s="9">
        <f>IF($A1532="","",$H1532-$I1532)</f>
        <v/>
      </c>
      <c r="K1532" s="10">
        <f>IF($A1532="","",IF($I1532=0,"",_xludf.AGGREGATE(14,6,Ventes_Encaissements!$C$6:$C$3005/(Ventes_Encaissements!$B$6:$B$3005=$A1532),1)))</f>
        <v/>
      </c>
      <c r="L1532" s="11">
        <f>IF($A1532="","",COUNTIFS(Ventes_Detail!$B$6:$B$3005,$A1532))</f>
        <v/>
      </c>
      <c r="M1532" s="12" t="n"/>
      <c r="N1532" s="12">
        <f>IF($A1532="","",IF($G1532="","",IF($M1532="Oui","Litige",IF($J1532&lt;=0,"Payé",IF($I1532&gt;0,"Partiel",IF(Listes!$B$3&gt;$G1532,"En retard","À échoir"))))))</f>
        <v/>
      </c>
      <c r="O1532" s="11">
        <f>IF($A1532="","",IF(OR($G1532="", $J1532&lt;=0),0,MAX(0,Listes!$B$3-$G1532)))</f>
        <v/>
      </c>
      <c r="P1532" s="12">
        <f>IF($A1532="","",IF($J1532&lt;=0,"Payé",IF($M1532="Oui","Litige",IF($O1532=0,"À échoir",IF($O1532&lt;=30,"0-30",IF($O1532&lt;=60,"31-60",IF($O1532&lt;=90,"61-90","90+")))))))</f>
        <v/>
      </c>
    </row>
    <row r="1533">
      <c r="A1533" s="6" t="n"/>
      <c r="B1533" s="6" t="n"/>
      <c r="C1533" s="6" t="n"/>
      <c r="D1533" s="6" t="n"/>
      <c r="E1533" s="6" t="n"/>
      <c r="F1533" s="7" t="n"/>
      <c r="G1533" s="7" t="n"/>
      <c r="H1533" s="8" t="n"/>
      <c r="I1533" s="9">
        <f>IF($A1533="","",SUMIFS(Ventes_Encaissements!$D$6:$D$3005,Ventes_Encaissements!$B$6:$B$3005,$A1533))</f>
        <v/>
      </c>
      <c r="J1533" s="9">
        <f>IF($A1533="","",$H1533-$I1533)</f>
        <v/>
      </c>
      <c r="K1533" s="10">
        <f>IF($A1533="","",IF($I1533=0,"",_xludf.AGGREGATE(14,6,Ventes_Encaissements!$C$6:$C$3005/(Ventes_Encaissements!$B$6:$B$3005=$A1533),1)))</f>
        <v/>
      </c>
      <c r="L1533" s="11">
        <f>IF($A1533="","",COUNTIFS(Ventes_Detail!$B$6:$B$3005,$A1533))</f>
        <v/>
      </c>
      <c r="M1533" s="12" t="n"/>
      <c r="N1533" s="12">
        <f>IF($A1533="","",IF($G1533="","",IF($M1533="Oui","Litige",IF($J1533&lt;=0,"Payé",IF($I1533&gt;0,"Partiel",IF(Listes!$B$3&gt;$G1533,"En retard","À échoir"))))))</f>
        <v/>
      </c>
      <c r="O1533" s="11">
        <f>IF($A1533="","",IF(OR($G1533="", $J1533&lt;=0),0,MAX(0,Listes!$B$3-$G1533)))</f>
        <v/>
      </c>
      <c r="P1533" s="12">
        <f>IF($A1533="","",IF($J1533&lt;=0,"Payé",IF($M1533="Oui","Litige",IF($O1533=0,"À échoir",IF($O1533&lt;=30,"0-30",IF($O1533&lt;=60,"31-60",IF($O1533&lt;=90,"61-90","90+")))))))</f>
        <v/>
      </c>
    </row>
    <row r="1534">
      <c r="A1534" s="6" t="n"/>
      <c r="B1534" s="6" t="n"/>
      <c r="C1534" s="6" t="n"/>
      <c r="D1534" s="6" t="n"/>
      <c r="E1534" s="6" t="n"/>
      <c r="F1534" s="7" t="n"/>
      <c r="G1534" s="7" t="n"/>
      <c r="H1534" s="8" t="n"/>
      <c r="I1534" s="9">
        <f>IF($A1534="","",SUMIFS(Ventes_Encaissements!$D$6:$D$3005,Ventes_Encaissements!$B$6:$B$3005,$A1534))</f>
        <v/>
      </c>
      <c r="J1534" s="9">
        <f>IF($A1534="","",$H1534-$I1534)</f>
        <v/>
      </c>
      <c r="K1534" s="10">
        <f>IF($A1534="","",IF($I1534=0,"",_xludf.AGGREGATE(14,6,Ventes_Encaissements!$C$6:$C$3005/(Ventes_Encaissements!$B$6:$B$3005=$A1534),1)))</f>
        <v/>
      </c>
      <c r="L1534" s="11">
        <f>IF($A1534="","",COUNTIFS(Ventes_Detail!$B$6:$B$3005,$A1534))</f>
        <v/>
      </c>
      <c r="M1534" s="12" t="n"/>
      <c r="N1534" s="12">
        <f>IF($A1534="","",IF($G1534="","",IF($M1534="Oui","Litige",IF($J1534&lt;=0,"Payé",IF($I1534&gt;0,"Partiel",IF(Listes!$B$3&gt;$G1534,"En retard","À échoir"))))))</f>
        <v/>
      </c>
      <c r="O1534" s="11">
        <f>IF($A1534="","",IF(OR($G1534="", $J1534&lt;=0),0,MAX(0,Listes!$B$3-$G1534)))</f>
        <v/>
      </c>
      <c r="P1534" s="12">
        <f>IF($A1534="","",IF($J1534&lt;=0,"Payé",IF($M1534="Oui","Litige",IF($O1534=0,"À échoir",IF($O1534&lt;=30,"0-30",IF($O1534&lt;=60,"31-60",IF($O1534&lt;=90,"61-90","90+")))))))</f>
        <v/>
      </c>
    </row>
    <row r="1535">
      <c r="A1535" s="6" t="n"/>
      <c r="B1535" s="6" t="n"/>
      <c r="C1535" s="6" t="n"/>
      <c r="D1535" s="6" t="n"/>
      <c r="E1535" s="6" t="n"/>
      <c r="F1535" s="7" t="n"/>
      <c r="G1535" s="7" t="n"/>
      <c r="H1535" s="8" t="n"/>
      <c r="I1535" s="9">
        <f>IF($A1535="","",SUMIFS(Ventes_Encaissements!$D$6:$D$3005,Ventes_Encaissements!$B$6:$B$3005,$A1535))</f>
        <v/>
      </c>
      <c r="J1535" s="9">
        <f>IF($A1535="","",$H1535-$I1535)</f>
        <v/>
      </c>
      <c r="K1535" s="10">
        <f>IF($A1535="","",IF($I1535=0,"",_xludf.AGGREGATE(14,6,Ventes_Encaissements!$C$6:$C$3005/(Ventes_Encaissements!$B$6:$B$3005=$A1535),1)))</f>
        <v/>
      </c>
      <c r="L1535" s="11">
        <f>IF($A1535="","",COUNTIFS(Ventes_Detail!$B$6:$B$3005,$A1535))</f>
        <v/>
      </c>
      <c r="M1535" s="12" t="n"/>
      <c r="N1535" s="12">
        <f>IF($A1535="","",IF($G1535="","",IF($M1535="Oui","Litige",IF($J1535&lt;=0,"Payé",IF($I1535&gt;0,"Partiel",IF(Listes!$B$3&gt;$G1535,"En retard","À échoir"))))))</f>
        <v/>
      </c>
      <c r="O1535" s="11">
        <f>IF($A1535="","",IF(OR($G1535="", $J1535&lt;=0),0,MAX(0,Listes!$B$3-$G1535)))</f>
        <v/>
      </c>
      <c r="P1535" s="12">
        <f>IF($A1535="","",IF($J1535&lt;=0,"Payé",IF($M1535="Oui","Litige",IF($O1535=0,"À échoir",IF($O1535&lt;=30,"0-30",IF($O1535&lt;=60,"31-60",IF($O1535&lt;=90,"61-90","90+")))))))</f>
        <v/>
      </c>
    </row>
    <row r="1536">
      <c r="A1536" s="6" t="n"/>
      <c r="B1536" s="6" t="n"/>
      <c r="C1536" s="6" t="n"/>
      <c r="D1536" s="6" t="n"/>
      <c r="E1536" s="6" t="n"/>
      <c r="F1536" s="7" t="n"/>
      <c r="G1536" s="7" t="n"/>
      <c r="H1536" s="8" t="n"/>
      <c r="I1536" s="9">
        <f>IF($A1536="","",SUMIFS(Ventes_Encaissements!$D$6:$D$3005,Ventes_Encaissements!$B$6:$B$3005,$A1536))</f>
        <v/>
      </c>
      <c r="J1536" s="9">
        <f>IF($A1536="","",$H1536-$I1536)</f>
        <v/>
      </c>
      <c r="K1536" s="10">
        <f>IF($A1536="","",IF($I1536=0,"",_xludf.AGGREGATE(14,6,Ventes_Encaissements!$C$6:$C$3005/(Ventes_Encaissements!$B$6:$B$3005=$A1536),1)))</f>
        <v/>
      </c>
      <c r="L1536" s="11">
        <f>IF($A1536="","",COUNTIFS(Ventes_Detail!$B$6:$B$3005,$A1536))</f>
        <v/>
      </c>
      <c r="M1536" s="12" t="n"/>
      <c r="N1536" s="12">
        <f>IF($A1536="","",IF($G1536="","",IF($M1536="Oui","Litige",IF($J1536&lt;=0,"Payé",IF($I1536&gt;0,"Partiel",IF(Listes!$B$3&gt;$G1536,"En retard","À échoir"))))))</f>
        <v/>
      </c>
      <c r="O1536" s="11">
        <f>IF($A1536="","",IF(OR($G1536="", $J1536&lt;=0),0,MAX(0,Listes!$B$3-$G1536)))</f>
        <v/>
      </c>
      <c r="P1536" s="12">
        <f>IF($A1536="","",IF($J1536&lt;=0,"Payé",IF($M1536="Oui","Litige",IF($O1536=0,"À échoir",IF($O1536&lt;=30,"0-30",IF($O1536&lt;=60,"31-60",IF($O1536&lt;=90,"61-90","90+")))))))</f>
        <v/>
      </c>
    </row>
    <row r="1537">
      <c r="A1537" s="6" t="n"/>
      <c r="B1537" s="6" t="n"/>
      <c r="C1537" s="6" t="n"/>
      <c r="D1537" s="6" t="n"/>
      <c r="E1537" s="6" t="n"/>
      <c r="F1537" s="7" t="n"/>
      <c r="G1537" s="7" t="n"/>
      <c r="H1537" s="8" t="n"/>
      <c r="I1537" s="9">
        <f>IF($A1537="","",SUMIFS(Ventes_Encaissements!$D$6:$D$3005,Ventes_Encaissements!$B$6:$B$3005,$A1537))</f>
        <v/>
      </c>
      <c r="J1537" s="9">
        <f>IF($A1537="","",$H1537-$I1537)</f>
        <v/>
      </c>
      <c r="K1537" s="10">
        <f>IF($A1537="","",IF($I1537=0,"",_xludf.AGGREGATE(14,6,Ventes_Encaissements!$C$6:$C$3005/(Ventes_Encaissements!$B$6:$B$3005=$A1537),1)))</f>
        <v/>
      </c>
      <c r="L1537" s="11">
        <f>IF($A1537="","",COUNTIFS(Ventes_Detail!$B$6:$B$3005,$A1537))</f>
        <v/>
      </c>
      <c r="M1537" s="12" t="n"/>
      <c r="N1537" s="12">
        <f>IF($A1537="","",IF($G1537="","",IF($M1537="Oui","Litige",IF($J1537&lt;=0,"Payé",IF($I1537&gt;0,"Partiel",IF(Listes!$B$3&gt;$G1537,"En retard","À échoir"))))))</f>
        <v/>
      </c>
      <c r="O1537" s="11">
        <f>IF($A1537="","",IF(OR($G1537="", $J1537&lt;=0),0,MAX(0,Listes!$B$3-$G1537)))</f>
        <v/>
      </c>
      <c r="P1537" s="12">
        <f>IF($A1537="","",IF($J1537&lt;=0,"Payé",IF($M1537="Oui","Litige",IF($O1537=0,"À échoir",IF($O1537&lt;=30,"0-30",IF($O1537&lt;=60,"31-60",IF($O1537&lt;=90,"61-90","90+")))))))</f>
        <v/>
      </c>
    </row>
    <row r="1538">
      <c r="A1538" s="6" t="n"/>
      <c r="B1538" s="6" t="n"/>
      <c r="C1538" s="6" t="n"/>
      <c r="D1538" s="6" t="n"/>
      <c r="E1538" s="6" t="n"/>
      <c r="F1538" s="7" t="n"/>
      <c r="G1538" s="7" t="n"/>
      <c r="H1538" s="8" t="n"/>
      <c r="I1538" s="9">
        <f>IF($A1538="","",SUMIFS(Ventes_Encaissements!$D$6:$D$3005,Ventes_Encaissements!$B$6:$B$3005,$A1538))</f>
        <v/>
      </c>
      <c r="J1538" s="9">
        <f>IF($A1538="","",$H1538-$I1538)</f>
        <v/>
      </c>
      <c r="K1538" s="10">
        <f>IF($A1538="","",IF($I1538=0,"",_xludf.AGGREGATE(14,6,Ventes_Encaissements!$C$6:$C$3005/(Ventes_Encaissements!$B$6:$B$3005=$A1538),1)))</f>
        <v/>
      </c>
      <c r="L1538" s="11">
        <f>IF($A1538="","",COUNTIFS(Ventes_Detail!$B$6:$B$3005,$A1538))</f>
        <v/>
      </c>
      <c r="M1538" s="12" t="n"/>
      <c r="N1538" s="12">
        <f>IF($A1538="","",IF($G1538="","",IF($M1538="Oui","Litige",IF($J1538&lt;=0,"Payé",IF($I1538&gt;0,"Partiel",IF(Listes!$B$3&gt;$G1538,"En retard","À échoir"))))))</f>
        <v/>
      </c>
      <c r="O1538" s="11">
        <f>IF($A1538="","",IF(OR($G1538="", $J1538&lt;=0),0,MAX(0,Listes!$B$3-$G1538)))</f>
        <v/>
      </c>
      <c r="P1538" s="12">
        <f>IF($A1538="","",IF($J1538&lt;=0,"Payé",IF($M1538="Oui","Litige",IF($O1538=0,"À échoir",IF($O1538&lt;=30,"0-30",IF($O1538&lt;=60,"31-60",IF($O1538&lt;=90,"61-90","90+")))))))</f>
        <v/>
      </c>
    </row>
    <row r="1539">
      <c r="A1539" s="6" t="n"/>
      <c r="B1539" s="6" t="n"/>
      <c r="C1539" s="6" t="n"/>
      <c r="D1539" s="6" t="n"/>
      <c r="E1539" s="6" t="n"/>
      <c r="F1539" s="7" t="n"/>
      <c r="G1539" s="7" t="n"/>
      <c r="H1539" s="8" t="n"/>
      <c r="I1539" s="9">
        <f>IF($A1539="","",SUMIFS(Ventes_Encaissements!$D$6:$D$3005,Ventes_Encaissements!$B$6:$B$3005,$A1539))</f>
        <v/>
      </c>
      <c r="J1539" s="9">
        <f>IF($A1539="","",$H1539-$I1539)</f>
        <v/>
      </c>
      <c r="K1539" s="10">
        <f>IF($A1539="","",IF($I1539=0,"",_xludf.AGGREGATE(14,6,Ventes_Encaissements!$C$6:$C$3005/(Ventes_Encaissements!$B$6:$B$3005=$A1539),1)))</f>
        <v/>
      </c>
      <c r="L1539" s="11">
        <f>IF($A1539="","",COUNTIFS(Ventes_Detail!$B$6:$B$3005,$A1539))</f>
        <v/>
      </c>
      <c r="M1539" s="12" t="n"/>
      <c r="N1539" s="12">
        <f>IF($A1539="","",IF($G1539="","",IF($M1539="Oui","Litige",IF($J1539&lt;=0,"Payé",IF($I1539&gt;0,"Partiel",IF(Listes!$B$3&gt;$G1539,"En retard","À échoir"))))))</f>
        <v/>
      </c>
      <c r="O1539" s="11">
        <f>IF($A1539="","",IF(OR($G1539="", $J1539&lt;=0),0,MAX(0,Listes!$B$3-$G1539)))</f>
        <v/>
      </c>
      <c r="P1539" s="12">
        <f>IF($A1539="","",IF($J1539&lt;=0,"Payé",IF($M1539="Oui","Litige",IF($O1539=0,"À échoir",IF($O1539&lt;=30,"0-30",IF($O1539&lt;=60,"31-60",IF($O1539&lt;=90,"61-90","90+")))))))</f>
        <v/>
      </c>
    </row>
    <row r="1540">
      <c r="A1540" s="6" t="n"/>
      <c r="B1540" s="6" t="n"/>
      <c r="C1540" s="6" t="n"/>
      <c r="D1540" s="6" t="n"/>
      <c r="E1540" s="6" t="n"/>
      <c r="F1540" s="7" t="n"/>
      <c r="G1540" s="7" t="n"/>
      <c r="H1540" s="8" t="n"/>
      <c r="I1540" s="9">
        <f>IF($A1540="","",SUMIFS(Ventes_Encaissements!$D$6:$D$3005,Ventes_Encaissements!$B$6:$B$3005,$A1540))</f>
        <v/>
      </c>
      <c r="J1540" s="9">
        <f>IF($A1540="","",$H1540-$I1540)</f>
        <v/>
      </c>
      <c r="K1540" s="10">
        <f>IF($A1540="","",IF($I1540=0,"",_xludf.AGGREGATE(14,6,Ventes_Encaissements!$C$6:$C$3005/(Ventes_Encaissements!$B$6:$B$3005=$A1540),1)))</f>
        <v/>
      </c>
      <c r="L1540" s="11">
        <f>IF($A1540="","",COUNTIFS(Ventes_Detail!$B$6:$B$3005,$A1540))</f>
        <v/>
      </c>
      <c r="M1540" s="12" t="n"/>
      <c r="N1540" s="12">
        <f>IF($A1540="","",IF($G1540="","",IF($M1540="Oui","Litige",IF($J1540&lt;=0,"Payé",IF($I1540&gt;0,"Partiel",IF(Listes!$B$3&gt;$G1540,"En retard","À échoir"))))))</f>
        <v/>
      </c>
      <c r="O1540" s="11">
        <f>IF($A1540="","",IF(OR($G1540="", $J1540&lt;=0),0,MAX(0,Listes!$B$3-$G1540)))</f>
        <v/>
      </c>
      <c r="P1540" s="12">
        <f>IF($A1540="","",IF($J1540&lt;=0,"Payé",IF($M1540="Oui","Litige",IF($O1540=0,"À échoir",IF($O1540&lt;=30,"0-30",IF($O1540&lt;=60,"31-60",IF($O1540&lt;=90,"61-90","90+")))))))</f>
        <v/>
      </c>
    </row>
    <row r="1541">
      <c r="A1541" s="6" t="n"/>
      <c r="B1541" s="6" t="n"/>
      <c r="C1541" s="6" t="n"/>
      <c r="D1541" s="6" t="n"/>
      <c r="E1541" s="6" t="n"/>
      <c r="F1541" s="7" t="n"/>
      <c r="G1541" s="7" t="n"/>
      <c r="H1541" s="8" t="n"/>
      <c r="I1541" s="9">
        <f>IF($A1541="","",SUMIFS(Ventes_Encaissements!$D$6:$D$3005,Ventes_Encaissements!$B$6:$B$3005,$A1541))</f>
        <v/>
      </c>
      <c r="J1541" s="9">
        <f>IF($A1541="","",$H1541-$I1541)</f>
        <v/>
      </c>
      <c r="K1541" s="10">
        <f>IF($A1541="","",IF($I1541=0,"",_xludf.AGGREGATE(14,6,Ventes_Encaissements!$C$6:$C$3005/(Ventes_Encaissements!$B$6:$B$3005=$A1541),1)))</f>
        <v/>
      </c>
      <c r="L1541" s="11">
        <f>IF($A1541="","",COUNTIFS(Ventes_Detail!$B$6:$B$3005,$A1541))</f>
        <v/>
      </c>
      <c r="M1541" s="12" t="n"/>
      <c r="N1541" s="12">
        <f>IF($A1541="","",IF($G1541="","",IF($M1541="Oui","Litige",IF($J1541&lt;=0,"Payé",IF($I1541&gt;0,"Partiel",IF(Listes!$B$3&gt;$G1541,"En retard","À échoir"))))))</f>
        <v/>
      </c>
      <c r="O1541" s="11">
        <f>IF($A1541="","",IF(OR($G1541="", $J1541&lt;=0),0,MAX(0,Listes!$B$3-$G1541)))</f>
        <v/>
      </c>
      <c r="P1541" s="12">
        <f>IF($A1541="","",IF($J1541&lt;=0,"Payé",IF($M1541="Oui","Litige",IF($O1541=0,"À échoir",IF($O1541&lt;=30,"0-30",IF($O1541&lt;=60,"31-60",IF($O1541&lt;=90,"61-90","90+")))))))</f>
        <v/>
      </c>
    </row>
    <row r="1542">
      <c r="A1542" s="6" t="n"/>
      <c r="B1542" s="6" t="n"/>
      <c r="C1542" s="6" t="n"/>
      <c r="D1542" s="6" t="n"/>
      <c r="E1542" s="6" t="n"/>
      <c r="F1542" s="7" t="n"/>
      <c r="G1542" s="7" t="n"/>
      <c r="H1542" s="8" t="n"/>
      <c r="I1542" s="9">
        <f>IF($A1542="","",SUMIFS(Ventes_Encaissements!$D$6:$D$3005,Ventes_Encaissements!$B$6:$B$3005,$A1542))</f>
        <v/>
      </c>
      <c r="J1542" s="9">
        <f>IF($A1542="","",$H1542-$I1542)</f>
        <v/>
      </c>
      <c r="K1542" s="10">
        <f>IF($A1542="","",IF($I1542=0,"",_xludf.AGGREGATE(14,6,Ventes_Encaissements!$C$6:$C$3005/(Ventes_Encaissements!$B$6:$B$3005=$A1542),1)))</f>
        <v/>
      </c>
      <c r="L1542" s="11">
        <f>IF($A1542="","",COUNTIFS(Ventes_Detail!$B$6:$B$3005,$A1542))</f>
        <v/>
      </c>
      <c r="M1542" s="12" t="n"/>
      <c r="N1542" s="12">
        <f>IF($A1542="","",IF($G1542="","",IF($M1542="Oui","Litige",IF($J1542&lt;=0,"Payé",IF($I1542&gt;0,"Partiel",IF(Listes!$B$3&gt;$G1542,"En retard","À échoir"))))))</f>
        <v/>
      </c>
      <c r="O1542" s="11">
        <f>IF($A1542="","",IF(OR($G1542="", $J1542&lt;=0),0,MAX(0,Listes!$B$3-$G1542)))</f>
        <v/>
      </c>
      <c r="P1542" s="12">
        <f>IF($A1542="","",IF($J1542&lt;=0,"Payé",IF($M1542="Oui","Litige",IF($O1542=0,"À échoir",IF($O1542&lt;=30,"0-30",IF($O1542&lt;=60,"31-60",IF($O1542&lt;=90,"61-90","90+")))))))</f>
        <v/>
      </c>
    </row>
    <row r="1543">
      <c r="A1543" s="6" t="n"/>
      <c r="B1543" s="6" t="n"/>
      <c r="C1543" s="6" t="n"/>
      <c r="D1543" s="6" t="n"/>
      <c r="E1543" s="6" t="n"/>
      <c r="F1543" s="7" t="n"/>
      <c r="G1543" s="7" t="n"/>
      <c r="H1543" s="8" t="n"/>
      <c r="I1543" s="9">
        <f>IF($A1543="","",SUMIFS(Ventes_Encaissements!$D$6:$D$3005,Ventes_Encaissements!$B$6:$B$3005,$A1543))</f>
        <v/>
      </c>
      <c r="J1543" s="9">
        <f>IF($A1543="","",$H1543-$I1543)</f>
        <v/>
      </c>
      <c r="K1543" s="10">
        <f>IF($A1543="","",IF($I1543=0,"",_xludf.AGGREGATE(14,6,Ventes_Encaissements!$C$6:$C$3005/(Ventes_Encaissements!$B$6:$B$3005=$A1543),1)))</f>
        <v/>
      </c>
      <c r="L1543" s="11">
        <f>IF($A1543="","",COUNTIFS(Ventes_Detail!$B$6:$B$3005,$A1543))</f>
        <v/>
      </c>
      <c r="M1543" s="12" t="n"/>
      <c r="N1543" s="12">
        <f>IF($A1543="","",IF($G1543="","",IF($M1543="Oui","Litige",IF($J1543&lt;=0,"Payé",IF($I1543&gt;0,"Partiel",IF(Listes!$B$3&gt;$G1543,"En retard","À échoir"))))))</f>
        <v/>
      </c>
      <c r="O1543" s="11">
        <f>IF($A1543="","",IF(OR($G1543="", $J1543&lt;=0),0,MAX(0,Listes!$B$3-$G1543)))</f>
        <v/>
      </c>
      <c r="P1543" s="12">
        <f>IF($A1543="","",IF($J1543&lt;=0,"Payé",IF($M1543="Oui","Litige",IF($O1543=0,"À échoir",IF($O1543&lt;=30,"0-30",IF($O1543&lt;=60,"31-60",IF($O1543&lt;=90,"61-90","90+")))))))</f>
        <v/>
      </c>
    </row>
    <row r="1544">
      <c r="A1544" s="6" t="n"/>
      <c r="B1544" s="6" t="n"/>
      <c r="C1544" s="6" t="n"/>
      <c r="D1544" s="6" t="n"/>
      <c r="E1544" s="6" t="n"/>
      <c r="F1544" s="7" t="n"/>
      <c r="G1544" s="7" t="n"/>
      <c r="H1544" s="8" t="n"/>
      <c r="I1544" s="9">
        <f>IF($A1544="","",SUMIFS(Ventes_Encaissements!$D$6:$D$3005,Ventes_Encaissements!$B$6:$B$3005,$A1544))</f>
        <v/>
      </c>
      <c r="J1544" s="9">
        <f>IF($A1544="","",$H1544-$I1544)</f>
        <v/>
      </c>
      <c r="K1544" s="10">
        <f>IF($A1544="","",IF($I1544=0,"",_xludf.AGGREGATE(14,6,Ventes_Encaissements!$C$6:$C$3005/(Ventes_Encaissements!$B$6:$B$3005=$A1544),1)))</f>
        <v/>
      </c>
      <c r="L1544" s="11">
        <f>IF($A1544="","",COUNTIFS(Ventes_Detail!$B$6:$B$3005,$A1544))</f>
        <v/>
      </c>
      <c r="M1544" s="12" t="n"/>
      <c r="N1544" s="12">
        <f>IF($A1544="","",IF($G1544="","",IF($M1544="Oui","Litige",IF($J1544&lt;=0,"Payé",IF($I1544&gt;0,"Partiel",IF(Listes!$B$3&gt;$G1544,"En retard","À échoir"))))))</f>
        <v/>
      </c>
      <c r="O1544" s="11">
        <f>IF($A1544="","",IF(OR($G1544="", $J1544&lt;=0),0,MAX(0,Listes!$B$3-$G1544)))</f>
        <v/>
      </c>
      <c r="P1544" s="12">
        <f>IF($A1544="","",IF($J1544&lt;=0,"Payé",IF($M1544="Oui","Litige",IF($O1544=0,"À échoir",IF($O1544&lt;=30,"0-30",IF($O1544&lt;=60,"31-60",IF($O1544&lt;=90,"61-90","90+")))))))</f>
        <v/>
      </c>
    </row>
    <row r="1545">
      <c r="A1545" s="6" t="n"/>
      <c r="B1545" s="6" t="n"/>
      <c r="C1545" s="6" t="n"/>
      <c r="D1545" s="6" t="n"/>
      <c r="E1545" s="6" t="n"/>
      <c r="F1545" s="7" t="n"/>
      <c r="G1545" s="7" t="n"/>
      <c r="H1545" s="8" t="n"/>
      <c r="I1545" s="9">
        <f>IF($A1545="","",SUMIFS(Ventes_Encaissements!$D$6:$D$3005,Ventes_Encaissements!$B$6:$B$3005,$A1545))</f>
        <v/>
      </c>
      <c r="J1545" s="9">
        <f>IF($A1545="","",$H1545-$I1545)</f>
        <v/>
      </c>
      <c r="K1545" s="10">
        <f>IF($A1545="","",IF($I1545=0,"",_xludf.AGGREGATE(14,6,Ventes_Encaissements!$C$6:$C$3005/(Ventes_Encaissements!$B$6:$B$3005=$A1545),1)))</f>
        <v/>
      </c>
      <c r="L1545" s="11">
        <f>IF($A1545="","",COUNTIFS(Ventes_Detail!$B$6:$B$3005,$A1545))</f>
        <v/>
      </c>
      <c r="M1545" s="12" t="n"/>
      <c r="N1545" s="12">
        <f>IF($A1545="","",IF($G1545="","",IF($M1545="Oui","Litige",IF($J1545&lt;=0,"Payé",IF($I1545&gt;0,"Partiel",IF(Listes!$B$3&gt;$G1545,"En retard","À échoir"))))))</f>
        <v/>
      </c>
      <c r="O1545" s="11">
        <f>IF($A1545="","",IF(OR($G1545="", $J1545&lt;=0),0,MAX(0,Listes!$B$3-$G1545)))</f>
        <v/>
      </c>
      <c r="P1545" s="12">
        <f>IF($A1545="","",IF($J1545&lt;=0,"Payé",IF($M1545="Oui","Litige",IF($O1545=0,"À échoir",IF($O1545&lt;=30,"0-30",IF($O1545&lt;=60,"31-60",IF($O1545&lt;=90,"61-90","90+")))))))</f>
        <v/>
      </c>
    </row>
    <row r="1546">
      <c r="A1546" s="6" t="n"/>
      <c r="B1546" s="6" t="n"/>
      <c r="C1546" s="6" t="n"/>
      <c r="D1546" s="6" t="n"/>
      <c r="E1546" s="6" t="n"/>
      <c r="F1546" s="7" t="n"/>
      <c r="G1546" s="7" t="n"/>
      <c r="H1546" s="8" t="n"/>
      <c r="I1546" s="9">
        <f>IF($A1546="","",SUMIFS(Ventes_Encaissements!$D$6:$D$3005,Ventes_Encaissements!$B$6:$B$3005,$A1546))</f>
        <v/>
      </c>
      <c r="J1546" s="9">
        <f>IF($A1546="","",$H1546-$I1546)</f>
        <v/>
      </c>
      <c r="K1546" s="10">
        <f>IF($A1546="","",IF($I1546=0,"",_xludf.AGGREGATE(14,6,Ventes_Encaissements!$C$6:$C$3005/(Ventes_Encaissements!$B$6:$B$3005=$A1546),1)))</f>
        <v/>
      </c>
      <c r="L1546" s="11">
        <f>IF($A1546="","",COUNTIFS(Ventes_Detail!$B$6:$B$3005,$A1546))</f>
        <v/>
      </c>
      <c r="M1546" s="12" t="n"/>
      <c r="N1546" s="12">
        <f>IF($A1546="","",IF($G1546="","",IF($M1546="Oui","Litige",IF($J1546&lt;=0,"Payé",IF($I1546&gt;0,"Partiel",IF(Listes!$B$3&gt;$G1546,"En retard","À échoir"))))))</f>
        <v/>
      </c>
      <c r="O1546" s="11">
        <f>IF($A1546="","",IF(OR($G1546="", $J1546&lt;=0),0,MAX(0,Listes!$B$3-$G1546)))</f>
        <v/>
      </c>
      <c r="P1546" s="12">
        <f>IF($A1546="","",IF($J1546&lt;=0,"Payé",IF($M1546="Oui","Litige",IF($O1546=0,"À échoir",IF($O1546&lt;=30,"0-30",IF($O1546&lt;=60,"31-60",IF($O1546&lt;=90,"61-90","90+")))))))</f>
        <v/>
      </c>
    </row>
    <row r="1547">
      <c r="A1547" s="6" t="n"/>
      <c r="B1547" s="6" t="n"/>
      <c r="C1547" s="6" t="n"/>
      <c r="D1547" s="6" t="n"/>
      <c r="E1547" s="6" t="n"/>
      <c r="F1547" s="7" t="n"/>
      <c r="G1547" s="7" t="n"/>
      <c r="H1547" s="8" t="n"/>
      <c r="I1547" s="9">
        <f>IF($A1547="","",SUMIFS(Ventes_Encaissements!$D$6:$D$3005,Ventes_Encaissements!$B$6:$B$3005,$A1547))</f>
        <v/>
      </c>
      <c r="J1547" s="9">
        <f>IF($A1547="","",$H1547-$I1547)</f>
        <v/>
      </c>
      <c r="K1547" s="10">
        <f>IF($A1547="","",IF($I1547=0,"",_xludf.AGGREGATE(14,6,Ventes_Encaissements!$C$6:$C$3005/(Ventes_Encaissements!$B$6:$B$3005=$A1547),1)))</f>
        <v/>
      </c>
      <c r="L1547" s="11">
        <f>IF($A1547="","",COUNTIFS(Ventes_Detail!$B$6:$B$3005,$A1547))</f>
        <v/>
      </c>
      <c r="M1547" s="12" t="n"/>
      <c r="N1547" s="12">
        <f>IF($A1547="","",IF($G1547="","",IF($M1547="Oui","Litige",IF($J1547&lt;=0,"Payé",IF($I1547&gt;0,"Partiel",IF(Listes!$B$3&gt;$G1547,"En retard","À échoir"))))))</f>
        <v/>
      </c>
      <c r="O1547" s="11">
        <f>IF($A1547="","",IF(OR($G1547="", $J1547&lt;=0),0,MAX(0,Listes!$B$3-$G1547)))</f>
        <v/>
      </c>
      <c r="P1547" s="12">
        <f>IF($A1547="","",IF($J1547&lt;=0,"Payé",IF($M1547="Oui","Litige",IF($O1547=0,"À échoir",IF($O1547&lt;=30,"0-30",IF($O1547&lt;=60,"31-60",IF($O1547&lt;=90,"61-90","90+")))))))</f>
        <v/>
      </c>
    </row>
    <row r="1548">
      <c r="A1548" s="6" t="n"/>
      <c r="B1548" s="6" t="n"/>
      <c r="C1548" s="6" t="n"/>
      <c r="D1548" s="6" t="n"/>
      <c r="E1548" s="6" t="n"/>
      <c r="F1548" s="7" t="n"/>
      <c r="G1548" s="7" t="n"/>
      <c r="H1548" s="8" t="n"/>
      <c r="I1548" s="9">
        <f>IF($A1548="","",SUMIFS(Ventes_Encaissements!$D$6:$D$3005,Ventes_Encaissements!$B$6:$B$3005,$A1548))</f>
        <v/>
      </c>
      <c r="J1548" s="9">
        <f>IF($A1548="","",$H1548-$I1548)</f>
        <v/>
      </c>
      <c r="K1548" s="10">
        <f>IF($A1548="","",IF($I1548=0,"",_xludf.AGGREGATE(14,6,Ventes_Encaissements!$C$6:$C$3005/(Ventes_Encaissements!$B$6:$B$3005=$A1548),1)))</f>
        <v/>
      </c>
      <c r="L1548" s="11">
        <f>IF($A1548="","",COUNTIFS(Ventes_Detail!$B$6:$B$3005,$A1548))</f>
        <v/>
      </c>
      <c r="M1548" s="12" t="n"/>
      <c r="N1548" s="12">
        <f>IF($A1548="","",IF($G1548="","",IF($M1548="Oui","Litige",IF($J1548&lt;=0,"Payé",IF($I1548&gt;0,"Partiel",IF(Listes!$B$3&gt;$G1548,"En retard","À échoir"))))))</f>
        <v/>
      </c>
      <c r="O1548" s="11">
        <f>IF($A1548="","",IF(OR($G1548="", $J1548&lt;=0),0,MAX(0,Listes!$B$3-$G1548)))</f>
        <v/>
      </c>
      <c r="P1548" s="12">
        <f>IF($A1548="","",IF($J1548&lt;=0,"Payé",IF($M1548="Oui","Litige",IF($O1548=0,"À échoir",IF($O1548&lt;=30,"0-30",IF($O1548&lt;=60,"31-60",IF($O1548&lt;=90,"61-90","90+")))))))</f>
        <v/>
      </c>
    </row>
    <row r="1549">
      <c r="A1549" s="6" t="n"/>
      <c r="B1549" s="6" t="n"/>
      <c r="C1549" s="6" t="n"/>
      <c r="D1549" s="6" t="n"/>
      <c r="E1549" s="6" t="n"/>
      <c r="F1549" s="7" t="n"/>
      <c r="G1549" s="7" t="n"/>
      <c r="H1549" s="8" t="n"/>
      <c r="I1549" s="9">
        <f>IF($A1549="","",SUMIFS(Ventes_Encaissements!$D$6:$D$3005,Ventes_Encaissements!$B$6:$B$3005,$A1549))</f>
        <v/>
      </c>
      <c r="J1549" s="9">
        <f>IF($A1549="","",$H1549-$I1549)</f>
        <v/>
      </c>
      <c r="K1549" s="10">
        <f>IF($A1549="","",IF($I1549=0,"",_xludf.AGGREGATE(14,6,Ventes_Encaissements!$C$6:$C$3005/(Ventes_Encaissements!$B$6:$B$3005=$A1549),1)))</f>
        <v/>
      </c>
      <c r="L1549" s="11">
        <f>IF($A1549="","",COUNTIFS(Ventes_Detail!$B$6:$B$3005,$A1549))</f>
        <v/>
      </c>
      <c r="M1549" s="12" t="n"/>
      <c r="N1549" s="12">
        <f>IF($A1549="","",IF($G1549="","",IF($M1549="Oui","Litige",IF($J1549&lt;=0,"Payé",IF($I1549&gt;0,"Partiel",IF(Listes!$B$3&gt;$G1549,"En retard","À échoir"))))))</f>
        <v/>
      </c>
      <c r="O1549" s="11">
        <f>IF($A1549="","",IF(OR($G1549="", $J1549&lt;=0),0,MAX(0,Listes!$B$3-$G1549)))</f>
        <v/>
      </c>
      <c r="P1549" s="12">
        <f>IF($A1549="","",IF($J1549&lt;=0,"Payé",IF($M1549="Oui","Litige",IF($O1549=0,"À échoir",IF($O1549&lt;=30,"0-30",IF($O1549&lt;=60,"31-60",IF($O1549&lt;=90,"61-90","90+")))))))</f>
        <v/>
      </c>
    </row>
    <row r="1550">
      <c r="A1550" s="6" t="n"/>
      <c r="B1550" s="6" t="n"/>
      <c r="C1550" s="6" t="n"/>
      <c r="D1550" s="6" t="n"/>
      <c r="E1550" s="6" t="n"/>
      <c r="F1550" s="7" t="n"/>
      <c r="G1550" s="7" t="n"/>
      <c r="H1550" s="8" t="n"/>
      <c r="I1550" s="9">
        <f>IF($A1550="","",SUMIFS(Ventes_Encaissements!$D$6:$D$3005,Ventes_Encaissements!$B$6:$B$3005,$A1550))</f>
        <v/>
      </c>
      <c r="J1550" s="9">
        <f>IF($A1550="","",$H1550-$I1550)</f>
        <v/>
      </c>
      <c r="K1550" s="10">
        <f>IF($A1550="","",IF($I1550=0,"",_xludf.AGGREGATE(14,6,Ventes_Encaissements!$C$6:$C$3005/(Ventes_Encaissements!$B$6:$B$3005=$A1550),1)))</f>
        <v/>
      </c>
      <c r="L1550" s="11">
        <f>IF($A1550="","",COUNTIFS(Ventes_Detail!$B$6:$B$3005,$A1550))</f>
        <v/>
      </c>
      <c r="M1550" s="12" t="n"/>
      <c r="N1550" s="12">
        <f>IF($A1550="","",IF($G1550="","",IF($M1550="Oui","Litige",IF($J1550&lt;=0,"Payé",IF($I1550&gt;0,"Partiel",IF(Listes!$B$3&gt;$G1550,"En retard","À échoir"))))))</f>
        <v/>
      </c>
      <c r="O1550" s="11">
        <f>IF($A1550="","",IF(OR($G1550="", $J1550&lt;=0),0,MAX(0,Listes!$B$3-$G1550)))</f>
        <v/>
      </c>
      <c r="P1550" s="12">
        <f>IF($A1550="","",IF($J1550&lt;=0,"Payé",IF($M1550="Oui","Litige",IF($O1550=0,"À échoir",IF($O1550&lt;=30,"0-30",IF($O1550&lt;=60,"31-60",IF($O1550&lt;=90,"61-90","90+")))))))</f>
        <v/>
      </c>
    </row>
    <row r="1551">
      <c r="A1551" s="6" t="n"/>
      <c r="B1551" s="6" t="n"/>
      <c r="C1551" s="6" t="n"/>
      <c r="D1551" s="6" t="n"/>
      <c r="E1551" s="6" t="n"/>
      <c r="F1551" s="7" t="n"/>
      <c r="G1551" s="7" t="n"/>
      <c r="H1551" s="8" t="n"/>
      <c r="I1551" s="9">
        <f>IF($A1551="","",SUMIFS(Ventes_Encaissements!$D$6:$D$3005,Ventes_Encaissements!$B$6:$B$3005,$A1551))</f>
        <v/>
      </c>
      <c r="J1551" s="9">
        <f>IF($A1551="","",$H1551-$I1551)</f>
        <v/>
      </c>
      <c r="K1551" s="10">
        <f>IF($A1551="","",IF($I1551=0,"",_xludf.AGGREGATE(14,6,Ventes_Encaissements!$C$6:$C$3005/(Ventes_Encaissements!$B$6:$B$3005=$A1551),1)))</f>
        <v/>
      </c>
      <c r="L1551" s="11">
        <f>IF($A1551="","",COUNTIFS(Ventes_Detail!$B$6:$B$3005,$A1551))</f>
        <v/>
      </c>
      <c r="M1551" s="12" t="n"/>
      <c r="N1551" s="12">
        <f>IF($A1551="","",IF($G1551="","",IF($M1551="Oui","Litige",IF($J1551&lt;=0,"Payé",IF($I1551&gt;0,"Partiel",IF(Listes!$B$3&gt;$G1551,"En retard","À échoir"))))))</f>
        <v/>
      </c>
      <c r="O1551" s="11">
        <f>IF($A1551="","",IF(OR($G1551="", $J1551&lt;=0),0,MAX(0,Listes!$B$3-$G1551)))</f>
        <v/>
      </c>
      <c r="P1551" s="12">
        <f>IF($A1551="","",IF($J1551&lt;=0,"Payé",IF($M1551="Oui","Litige",IF($O1551=0,"À échoir",IF($O1551&lt;=30,"0-30",IF($O1551&lt;=60,"31-60",IF($O1551&lt;=90,"61-90","90+")))))))</f>
        <v/>
      </c>
    </row>
    <row r="1552">
      <c r="A1552" s="6" t="n"/>
      <c r="B1552" s="6" t="n"/>
      <c r="C1552" s="6" t="n"/>
      <c r="D1552" s="6" t="n"/>
      <c r="E1552" s="6" t="n"/>
      <c r="F1552" s="7" t="n"/>
      <c r="G1552" s="7" t="n"/>
      <c r="H1552" s="8" t="n"/>
      <c r="I1552" s="9">
        <f>IF($A1552="","",SUMIFS(Ventes_Encaissements!$D$6:$D$3005,Ventes_Encaissements!$B$6:$B$3005,$A1552))</f>
        <v/>
      </c>
      <c r="J1552" s="9">
        <f>IF($A1552="","",$H1552-$I1552)</f>
        <v/>
      </c>
      <c r="K1552" s="10">
        <f>IF($A1552="","",IF($I1552=0,"",_xludf.AGGREGATE(14,6,Ventes_Encaissements!$C$6:$C$3005/(Ventes_Encaissements!$B$6:$B$3005=$A1552),1)))</f>
        <v/>
      </c>
      <c r="L1552" s="11">
        <f>IF($A1552="","",COUNTIFS(Ventes_Detail!$B$6:$B$3005,$A1552))</f>
        <v/>
      </c>
      <c r="M1552" s="12" t="n"/>
      <c r="N1552" s="12">
        <f>IF($A1552="","",IF($G1552="","",IF($M1552="Oui","Litige",IF($J1552&lt;=0,"Payé",IF($I1552&gt;0,"Partiel",IF(Listes!$B$3&gt;$G1552,"En retard","À échoir"))))))</f>
        <v/>
      </c>
      <c r="O1552" s="11">
        <f>IF($A1552="","",IF(OR($G1552="", $J1552&lt;=0),0,MAX(0,Listes!$B$3-$G1552)))</f>
        <v/>
      </c>
      <c r="P1552" s="12">
        <f>IF($A1552="","",IF($J1552&lt;=0,"Payé",IF($M1552="Oui","Litige",IF($O1552=0,"À échoir",IF($O1552&lt;=30,"0-30",IF($O1552&lt;=60,"31-60",IF($O1552&lt;=90,"61-90","90+")))))))</f>
        <v/>
      </c>
    </row>
    <row r="1553">
      <c r="A1553" s="6" t="n"/>
      <c r="B1553" s="6" t="n"/>
      <c r="C1553" s="6" t="n"/>
      <c r="D1553" s="6" t="n"/>
      <c r="E1553" s="6" t="n"/>
      <c r="F1553" s="7" t="n"/>
      <c r="G1553" s="7" t="n"/>
      <c r="H1553" s="8" t="n"/>
      <c r="I1553" s="9">
        <f>IF($A1553="","",SUMIFS(Ventes_Encaissements!$D$6:$D$3005,Ventes_Encaissements!$B$6:$B$3005,$A1553))</f>
        <v/>
      </c>
      <c r="J1553" s="9">
        <f>IF($A1553="","",$H1553-$I1553)</f>
        <v/>
      </c>
      <c r="K1553" s="10">
        <f>IF($A1553="","",IF($I1553=0,"",_xludf.AGGREGATE(14,6,Ventes_Encaissements!$C$6:$C$3005/(Ventes_Encaissements!$B$6:$B$3005=$A1553),1)))</f>
        <v/>
      </c>
      <c r="L1553" s="11">
        <f>IF($A1553="","",COUNTIFS(Ventes_Detail!$B$6:$B$3005,$A1553))</f>
        <v/>
      </c>
      <c r="M1553" s="12" t="n"/>
      <c r="N1553" s="12">
        <f>IF($A1553="","",IF($G1553="","",IF($M1553="Oui","Litige",IF($J1553&lt;=0,"Payé",IF($I1553&gt;0,"Partiel",IF(Listes!$B$3&gt;$G1553,"En retard","À échoir"))))))</f>
        <v/>
      </c>
      <c r="O1553" s="11">
        <f>IF($A1553="","",IF(OR($G1553="", $J1553&lt;=0),0,MAX(0,Listes!$B$3-$G1553)))</f>
        <v/>
      </c>
      <c r="P1553" s="12">
        <f>IF($A1553="","",IF($J1553&lt;=0,"Payé",IF($M1553="Oui","Litige",IF($O1553=0,"À échoir",IF($O1553&lt;=30,"0-30",IF($O1553&lt;=60,"31-60",IF($O1553&lt;=90,"61-90","90+")))))))</f>
        <v/>
      </c>
    </row>
    <row r="1554">
      <c r="A1554" s="6" t="n"/>
      <c r="B1554" s="6" t="n"/>
      <c r="C1554" s="6" t="n"/>
      <c r="D1554" s="6" t="n"/>
      <c r="E1554" s="6" t="n"/>
      <c r="F1554" s="7" t="n"/>
      <c r="G1554" s="7" t="n"/>
      <c r="H1554" s="8" t="n"/>
      <c r="I1554" s="9">
        <f>IF($A1554="","",SUMIFS(Ventes_Encaissements!$D$6:$D$3005,Ventes_Encaissements!$B$6:$B$3005,$A1554))</f>
        <v/>
      </c>
      <c r="J1554" s="9">
        <f>IF($A1554="","",$H1554-$I1554)</f>
        <v/>
      </c>
      <c r="K1554" s="10">
        <f>IF($A1554="","",IF($I1554=0,"",_xludf.AGGREGATE(14,6,Ventes_Encaissements!$C$6:$C$3005/(Ventes_Encaissements!$B$6:$B$3005=$A1554),1)))</f>
        <v/>
      </c>
      <c r="L1554" s="11">
        <f>IF($A1554="","",COUNTIFS(Ventes_Detail!$B$6:$B$3005,$A1554))</f>
        <v/>
      </c>
      <c r="M1554" s="12" t="n"/>
      <c r="N1554" s="12">
        <f>IF($A1554="","",IF($G1554="","",IF($M1554="Oui","Litige",IF($J1554&lt;=0,"Payé",IF($I1554&gt;0,"Partiel",IF(Listes!$B$3&gt;$G1554,"En retard","À échoir"))))))</f>
        <v/>
      </c>
      <c r="O1554" s="11">
        <f>IF($A1554="","",IF(OR($G1554="", $J1554&lt;=0),0,MAX(0,Listes!$B$3-$G1554)))</f>
        <v/>
      </c>
      <c r="P1554" s="12">
        <f>IF($A1554="","",IF($J1554&lt;=0,"Payé",IF($M1554="Oui","Litige",IF($O1554=0,"À échoir",IF($O1554&lt;=30,"0-30",IF($O1554&lt;=60,"31-60",IF($O1554&lt;=90,"61-90","90+")))))))</f>
        <v/>
      </c>
    </row>
    <row r="1555">
      <c r="A1555" s="6" t="n"/>
      <c r="B1555" s="6" t="n"/>
      <c r="C1555" s="6" t="n"/>
      <c r="D1555" s="6" t="n"/>
      <c r="E1555" s="6" t="n"/>
      <c r="F1555" s="7" t="n"/>
      <c r="G1555" s="7" t="n"/>
      <c r="H1555" s="8" t="n"/>
      <c r="I1555" s="9">
        <f>IF($A1555="","",SUMIFS(Ventes_Encaissements!$D$6:$D$3005,Ventes_Encaissements!$B$6:$B$3005,$A1555))</f>
        <v/>
      </c>
      <c r="J1555" s="9">
        <f>IF($A1555="","",$H1555-$I1555)</f>
        <v/>
      </c>
      <c r="K1555" s="10">
        <f>IF($A1555="","",IF($I1555=0,"",_xludf.AGGREGATE(14,6,Ventes_Encaissements!$C$6:$C$3005/(Ventes_Encaissements!$B$6:$B$3005=$A1555),1)))</f>
        <v/>
      </c>
      <c r="L1555" s="11">
        <f>IF($A1555="","",COUNTIFS(Ventes_Detail!$B$6:$B$3005,$A1555))</f>
        <v/>
      </c>
      <c r="M1555" s="12" t="n"/>
      <c r="N1555" s="12">
        <f>IF($A1555="","",IF($G1555="","",IF($M1555="Oui","Litige",IF($J1555&lt;=0,"Payé",IF($I1555&gt;0,"Partiel",IF(Listes!$B$3&gt;$G1555,"En retard","À échoir"))))))</f>
        <v/>
      </c>
      <c r="O1555" s="11">
        <f>IF($A1555="","",IF(OR($G1555="", $J1555&lt;=0),0,MAX(0,Listes!$B$3-$G1555)))</f>
        <v/>
      </c>
      <c r="P1555" s="12">
        <f>IF($A1555="","",IF($J1555&lt;=0,"Payé",IF($M1555="Oui","Litige",IF($O1555=0,"À échoir",IF($O1555&lt;=30,"0-30",IF($O1555&lt;=60,"31-60",IF($O1555&lt;=90,"61-90","90+")))))))</f>
        <v/>
      </c>
    </row>
    <row r="1556">
      <c r="A1556" s="6" t="n"/>
      <c r="B1556" s="6" t="n"/>
      <c r="C1556" s="6" t="n"/>
      <c r="D1556" s="6" t="n"/>
      <c r="E1556" s="6" t="n"/>
      <c r="F1556" s="7" t="n"/>
      <c r="G1556" s="7" t="n"/>
      <c r="H1556" s="8" t="n"/>
      <c r="I1556" s="9">
        <f>IF($A1556="","",SUMIFS(Ventes_Encaissements!$D$6:$D$3005,Ventes_Encaissements!$B$6:$B$3005,$A1556))</f>
        <v/>
      </c>
      <c r="J1556" s="9">
        <f>IF($A1556="","",$H1556-$I1556)</f>
        <v/>
      </c>
      <c r="K1556" s="10">
        <f>IF($A1556="","",IF($I1556=0,"",_xludf.AGGREGATE(14,6,Ventes_Encaissements!$C$6:$C$3005/(Ventes_Encaissements!$B$6:$B$3005=$A1556),1)))</f>
        <v/>
      </c>
      <c r="L1556" s="11">
        <f>IF($A1556="","",COUNTIFS(Ventes_Detail!$B$6:$B$3005,$A1556))</f>
        <v/>
      </c>
      <c r="M1556" s="12" t="n"/>
      <c r="N1556" s="12">
        <f>IF($A1556="","",IF($G1556="","",IF($M1556="Oui","Litige",IF($J1556&lt;=0,"Payé",IF($I1556&gt;0,"Partiel",IF(Listes!$B$3&gt;$G1556,"En retard","À échoir"))))))</f>
        <v/>
      </c>
      <c r="O1556" s="11">
        <f>IF($A1556="","",IF(OR($G1556="", $J1556&lt;=0),0,MAX(0,Listes!$B$3-$G1556)))</f>
        <v/>
      </c>
      <c r="P1556" s="12">
        <f>IF($A1556="","",IF($J1556&lt;=0,"Payé",IF($M1556="Oui","Litige",IF($O1556=0,"À échoir",IF($O1556&lt;=30,"0-30",IF($O1556&lt;=60,"31-60",IF($O1556&lt;=90,"61-90","90+")))))))</f>
        <v/>
      </c>
    </row>
    <row r="1557">
      <c r="A1557" s="6" t="n"/>
      <c r="B1557" s="6" t="n"/>
      <c r="C1557" s="6" t="n"/>
      <c r="D1557" s="6" t="n"/>
      <c r="E1557" s="6" t="n"/>
      <c r="F1557" s="7" t="n"/>
      <c r="G1557" s="7" t="n"/>
      <c r="H1557" s="8" t="n"/>
      <c r="I1557" s="9">
        <f>IF($A1557="","",SUMIFS(Ventes_Encaissements!$D$6:$D$3005,Ventes_Encaissements!$B$6:$B$3005,$A1557))</f>
        <v/>
      </c>
      <c r="J1557" s="9">
        <f>IF($A1557="","",$H1557-$I1557)</f>
        <v/>
      </c>
      <c r="K1557" s="10">
        <f>IF($A1557="","",IF($I1557=0,"",_xludf.AGGREGATE(14,6,Ventes_Encaissements!$C$6:$C$3005/(Ventes_Encaissements!$B$6:$B$3005=$A1557),1)))</f>
        <v/>
      </c>
      <c r="L1557" s="11">
        <f>IF($A1557="","",COUNTIFS(Ventes_Detail!$B$6:$B$3005,$A1557))</f>
        <v/>
      </c>
      <c r="M1557" s="12" t="n"/>
      <c r="N1557" s="12">
        <f>IF($A1557="","",IF($G1557="","",IF($M1557="Oui","Litige",IF($J1557&lt;=0,"Payé",IF($I1557&gt;0,"Partiel",IF(Listes!$B$3&gt;$G1557,"En retard","À échoir"))))))</f>
        <v/>
      </c>
      <c r="O1557" s="11">
        <f>IF($A1557="","",IF(OR($G1557="", $J1557&lt;=0),0,MAX(0,Listes!$B$3-$G1557)))</f>
        <v/>
      </c>
      <c r="P1557" s="12">
        <f>IF($A1557="","",IF($J1557&lt;=0,"Payé",IF($M1557="Oui","Litige",IF($O1557=0,"À échoir",IF($O1557&lt;=30,"0-30",IF($O1557&lt;=60,"31-60",IF($O1557&lt;=90,"61-90","90+")))))))</f>
        <v/>
      </c>
    </row>
    <row r="1558">
      <c r="A1558" s="6" t="n"/>
      <c r="B1558" s="6" t="n"/>
      <c r="C1558" s="6" t="n"/>
      <c r="D1558" s="6" t="n"/>
      <c r="E1558" s="6" t="n"/>
      <c r="F1558" s="7" t="n"/>
      <c r="G1558" s="7" t="n"/>
      <c r="H1558" s="8" t="n"/>
      <c r="I1558" s="9">
        <f>IF($A1558="","",SUMIFS(Ventes_Encaissements!$D$6:$D$3005,Ventes_Encaissements!$B$6:$B$3005,$A1558))</f>
        <v/>
      </c>
      <c r="J1558" s="9">
        <f>IF($A1558="","",$H1558-$I1558)</f>
        <v/>
      </c>
      <c r="K1558" s="10">
        <f>IF($A1558="","",IF($I1558=0,"",_xludf.AGGREGATE(14,6,Ventes_Encaissements!$C$6:$C$3005/(Ventes_Encaissements!$B$6:$B$3005=$A1558),1)))</f>
        <v/>
      </c>
      <c r="L1558" s="11">
        <f>IF($A1558="","",COUNTIFS(Ventes_Detail!$B$6:$B$3005,$A1558))</f>
        <v/>
      </c>
      <c r="M1558" s="12" t="n"/>
      <c r="N1558" s="12">
        <f>IF($A1558="","",IF($G1558="","",IF($M1558="Oui","Litige",IF($J1558&lt;=0,"Payé",IF($I1558&gt;0,"Partiel",IF(Listes!$B$3&gt;$G1558,"En retard","À échoir"))))))</f>
        <v/>
      </c>
      <c r="O1558" s="11">
        <f>IF($A1558="","",IF(OR($G1558="", $J1558&lt;=0),0,MAX(0,Listes!$B$3-$G1558)))</f>
        <v/>
      </c>
      <c r="P1558" s="12">
        <f>IF($A1558="","",IF($J1558&lt;=0,"Payé",IF($M1558="Oui","Litige",IF($O1558=0,"À échoir",IF($O1558&lt;=30,"0-30",IF($O1558&lt;=60,"31-60",IF($O1558&lt;=90,"61-90","90+")))))))</f>
        <v/>
      </c>
    </row>
    <row r="1559">
      <c r="A1559" s="6" t="n"/>
      <c r="B1559" s="6" t="n"/>
      <c r="C1559" s="6" t="n"/>
      <c r="D1559" s="6" t="n"/>
      <c r="E1559" s="6" t="n"/>
      <c r="F1559" s="7" t="n"/>
      <c r="G1559" s="7" t="n"/>
      <c r="H1559" s="8" t="n"/>
      <c r="I1559" s="9">
        <f>IF($A1559="","",SUMIFS(Ventes_Encaissements!$D$6:$D$3005,Ventes_Encaissements!$B$6:$B$3005,$A1559))</f>
        <v/>
      </c>
      <c r="J1559" s="9">
        <f>IF($A1559="","",$H1559-$I1559)</f>
        <v/>
      </c>
      <c r="K1559" s="10">
        <f>IF($A1559="","",IF($I1559=0,"",_xludf.AGGREGATE(14,6,Ventes_Encaissements!$C$6:$C$3005/(Ventes_Encaissements!$B$6:$B$3005=$A1559),1)))</f>
        <v/>
      </c>
      <c r="L1559" s="11">
        <f>IF($A1559="","",COUNTIFS(Ventes_Detail!$B$6:$B$3005,$A1559))</f>
        <v/>
      </c>
      <c r="M1559" s="12" t="n"/>
      <c r="N1559" s="12">
        <f>IF($A1559="","",IF($G1559="","",IF($M1559="Oui","Litige",IF($J1559&lt;=0,"Payé",IF($I1559&gt;0,"Partiel",IF(Listes!$B$3&gt;$G1559,"En retard","À échoir"))))))</f>
        <v/>
      </c>
      <c r="O1559" s="11">
        <f>IF($A1559="","",IF(OR($G1559="", $J1559&lt;=0),0,MAX(0,Listes!$B$3-$G1559)))</f>
        <v/>
      </c>
      <c r="P1559" s="12">
        <f>IF($A1559="","",IF($J1559&lt;=0,"Payé",IF($M1559="Oui","Litige",IF($O1559=0,"À échoir",IF($O1559&lt;=30,"0-30",IF($O1559&lt;=60,"31-60",IF($O1559&lt;=90,"61-90","90+")))))))</f>
        <v/>
      </c>
    </row>
    <row r="1560">
      <c r="A1560" s="6" t="n"/>
      <c r="B1560" s="6" t="n"/>
      <c r="C1560" s="6" t="n"/>
      <c r="D1560" s="6" t="n"/>
      <c r="E1560" s="6" t="n"/>
      <c r="F1560" s="7" t="n"/>
      <c r="G1560" s="7" t="n"/>
      <c r="H1560" s="8" t="n"/>
      <c r="I1560" s="9">
        <f>IF($A1560="","",SUMIFS(Ventes_Encaissements!$D$6:$D$3005,Ventes_Encaissements!$B$6:$B$3005,$A1560))</f>
        <v/>
      </c>
      <c r="J1560" s="9">
        <f>IF($A1560="","",$H1560-$I1560)</f>
        <v/>
      </c>
      <c r="K1560" s="10">
        <f>IF($A1560="","",IF($I1560=0,"",_xludf.AGGREGATE(14,6,Ventes_Encaissements!$C$6:$C$3005/(Ventes_Encaissements!$B$6:$B$3005=$A1560),1)))</f>
        <v/>
      </c>
      <c r="L1560" s="11">
        <f>IF($A1560="","",COUNTIFS(Ventes_Detail!$B$6:$B$3005,$A1560))</f>
        <v/>
      </c>
      <c r="M1560" s="12" t="n"/>
      <c r="N1560" s="12">
        <f>IF($A1560="","",IF($G1560="","",IF($M1560="Oui","Litige",IF($J1560&lt;=0,"Payé",IF($I1560&gt;0,"Partiel",IF(Listes!$B$3&gt;$G1560,"En retard","À échoir"))))))</f>
        <v/>
      </c>
      <c r="O1560" s="11">
        <f>IF($A1560="","",IF(OR($G1560="", $J1560&lt;=0),0,MAX(0,Listes!$B$3-$G1560)))</f>
        <v/>
      </c>
      <c r="P1560" s="12">
        <f>IF($A1560="","",IF($J1560&lt;=0,"Payé",IF($M1560="Oui","Litige",IF($O1560=0,"À échoir",IF($O1560&lt;=30,"0-30",IF($O1560&lt;=60,"31-60",IF($O1560&lt;=90,"61-90","90+")))))))</f>
        <v/>
      </c>
    </row>
    <row r="1561">
      <c r="A1561" s="6" t="n"/>
      <c r="B1561" s="6" t="n"/>
      <c r="C1561" s="6" t="n"/>
      <c r="D1561" s="6" t="n"/>
      <c r="E1561" s="6" t="n"/>
      <c r="F1561" s="7" t="n"/>
      <c r="G1561" s="7" t="n"/>
      <c r="H1561" s="8" t="n"/>
      <c r="I1561" s="9">
        <f>IF($A1561="","",SUMIFS(Ventes_Encaissements!$D$6:$D$3005,Ventes_Encaissements!$B$6:$B$3005,$A1561))</f>
        <v/>
      </c>
      <c r="J1561" s="9">
        <f>IF($A1561="","",$H1561-$I1561)</f>
        <v/>
      </c>
      <c r="K1561" s="10">
        <f>IF($A1561="","",IF($I1561=0,"",_xludf.AGGREGATE(14,6,Ventes_Encaissements!$C$6:$C$3005/(Ventes_Encaissements!$B$6:$B$3005=$A1561),1)))</f>
        <v/>
      </c>
      <c r="L1561" s="11">
        <f>IF($A1561="","",COUNTIFS(Ventes_Detail!$B$6:$B$3005,$A1561))</f>
        <v/>
      </c>
      <c r="M1561" s="12" t="n"/>
      <c r="N1561" s="12">
        <f>IF($A1561="","",IF($G1561="","",IF($M1561="Oui","Litige",IF($J1561&lt;=0,"Payé",IF($I1561&gt;0,"Partiel",IF(Listes!$B$3&gt;$G1561,"En retard","À échoir"))))))</f>
        <v/>
      </c>
      <c r="O1561" s="11">
        <f>IF($A1561="","",IF(OR($G1561="", $J1561&lt;=0),0,MAX(0,Listes!$B$3-$G1561)))</f>
        <v/>
      </c>
      <c r="P1561" s="12">
        <f>IF($A1561="","",IF($J1561&lt;=0,"Payé",IF($M1561="Oui","Litige",IF($O1561=0,"À échoir",IF($O1561&lt;=30,"0-30",IF($O1561&lt;=60,"31-60",IF($O1561&lt;=90,"61-90","90+")))))))</f>
        <v/>
      </c>
    </row>
    <row r="1562">
      <c r="A1562" s="6" t="n"/>
      <c r="B1562" s="6" t="n"/>
      <c r="C1562" s="6" t="n"/>
      <c r="D1562" s="6" t="n"/>
      <c r="E1562" s="6" t="n"/>
      <c r="F1562" s="7" t="n"/>
      <c r="G1562" s="7" t="n"/>
      <c r="H1562" s="8" t="n"/>
      <c r="I1562" s="9">
        <f>IF($A1562="","",SUMIFS(Ventes_Encaissements!$D$6:$D$3005,Ventes_Encaissements!$B$6:$B$3005,$A1562))</f>
        <v/>
      </c>
      <c r="J1562" s="9">
        <f>IF($A1562="","",$H1562-$I1562)</f>
        <v/>
      </c>
      <c r="K1562" s="10">
        <f>IF($A1562="","",IF($I1562=0,"",_xludf.AGGREGATE(14,6,Ventes_Encaissements!$C$6:$C$3005/(Ventes_Encaissements!$B$6:$B$3005=$A1562),1)))</f>
        <v/>
      </c>
      <c r="L1562" s="11">
        <f>IF($A1562="","",COUNTIFS(Ventes_Detail!$B$6:$B$3005,$A1562))</f>
        <v/>
      </c>
      <c r="M1562" s="12" t="n"/>
      <c r="N1562" s="12">
        <f>IF($A1562="","",IF($G1562="","",IF($M1562="Oui","Litige",IF($J1562&lt;=0,"Payé",IF($I1562&gt;0,"Partiel",IF(Listes!$B$3&gt;$G1562,"En retard","À échoir"))))))</f>
        <v/>
      </c>
      <c r="O1562" s="11">
        <f>IF($A1562="","",IF(OR($G1562="", $J1562&lt;=0),0,MAX(0,Listes!$B$3-$G1562)))</f>
        <v/>
      </c>
      <c r="P1562" s="12">
        <f>IF($A1562="","",IF($J1562&lt;=0,"Payé",IF($M1562="Oui","Litige",IF($O1562=0,"À échoir",IF($O1562&lt;=30,"0-30",IF($O1562&lt;=60,"31-60",IF($O1562&lt;=90,"61-90","90+")))))))</f>
        <v/>
      </c>
    </row>
    <row r="1563">
      <c r="A1563" s="6" t="n"/>
      <c r="B1563" s="6" t="n"/>
      <c r="C1563" s="6" t="n"/>
      <c r="D1563" s="6" t="n"/>
      <c r="E1563" s="6" t="n"/>
      <c r="F1563" s="7" t="n"/>
      <c r="G1563" s="7" t="n"/>
      <c r="H1563" s="8" t="n"/>
      <c r="I1563" s="9">
        <f>IF($A1563="","",SUMIFS(Ventes_Encaissements!$D$6:$D$3005,Ventes_Encaissements!$B$6:$B$3005,$A1563))</f>
        <v/>
      </c>
      <c r="J1563" s="9">
        <f>IF($A1563="","",$H1563-$I1563)</f>
        <v/>
      </c>
      <c r="K1563" s="10">
        <f>IF($A1563="","",IF($I1563=0,"",_xludf.AGGREGATE(14,6,Ventes_Encaissements!$C$6:$C$3005/(Ventes_Encaissements!$B$6:$B$3005=$A1563),1)))</f>
        <v/>
      </c>
      <c r="L1563" s="11">
        <f>IF($A1563="","",COUNTIFS(Ventes_Detail!$B$6:$B$3005,$A1563))</f>
        <v/>
      </c>
      <c r="M1563" s="12" t="n"/>
      <c r="N1563" s="12">
        <f>IF($A1563="","",IF($G1563="","",IF($M1563="Oui","Litige",IF($J1563&lt;=0,"Payé",IF($I1563&gt;0,"Partiel",IF(Listes!$B$3&gt;$G1563,"En retard","À échoir"))))))</f>
        <v/>
      </c>
      <c r="O1563" s="11">
        <f>IF($A1563="","",IF(OR($G1563="", $J1563&lt;=0),0,MAX(0,Listes!$B$3-$G1563)))</f>
        <v/>
      </c>
      <c r="P1563" s="12">
        <f>IF($A1563="","",IF($J1563&lt;=0,"Payé",IF($M1563="Oui","Litige",IF($O1563=0,"À échoir",IF($O1563&lt;=30,"0-30",IF($O1563&lt;=60,"31-60",IF($O1563&lt;=90,"61-90","90+")))))))</f>
        <v/>
      </c>
    </row>
    <row r="1564">
      <c r="A1564" s="6" t="n"/>
      <c r="B1564" s="6" t="n"/>
      <c r="C1564" s="6" t="n"/>
      <c r="D1564" s="6" t="n"/>
      <c r="E1564" s="6" t="n"/>
      <c r="F1564" s="7" t="n"/>
      <c r="G1564" s="7" t="n"/>
      <c r="H1564" s="8" t="n"/>
      <c r="I1564" s="9">
        <f>IF($A1564="","",SUMIFS(Ventes_Encaissements!$D$6:$D$3005,Ventes_Encaissements!$B$6:$B$3005,$A1564))</f>
        <v/>
      </c>
      <c r="J1564" s="9">
        <f>IF($A1564="","",$H1564-$I1564)</f>
        <v/>
      </c>
      <c r="K1564" s="10">
        <f>IF($A1564="","",IF($I1564=0,"",_xludf.AGGREGATE(14,6,Ventes_Encaissements!$C$6:$C$3005/(Ventes_Encaissements!$B$6:$B$3005=$A1564),1)))</f>
        <v/>
      </c>
      <c r="L1564" s="11">
        <f>IF($A1564="","",COUNTIFS(Ventes_Detail!$B$6:$B$3005,$A1564))</f>
        <v/>
      </c>
      <c r="M1564" s="12" t="n"/>
      <c r="N1564" s="12">
        <f>IF($A1564="","",IF($G1564="","",IF($M1564="Oui","Litige",IF($J1564&lt;=0,"Payé",IF($I1564&gt;0,"Partiel",IF(Listes!$B$3&gt;$G1564,"En retard","À échoir"))))))</f>
        <v/>
      </c>
      <c r="O1564" s="11">
        <f>IF($A1564="","",IF(OR($G1564="", $J1564&lt;=0),0,MAX(0,Listes!$B$3-$G1564)))</f>
        <v/>
      </c>
      <c r="P1564" s="12">
        <f>IF($A1564="","",IF($J1564&lt;=0,"Payé",IF($M1564="Oui","Litige",IF($O1564=0,"À échoir",IF($O1564&lt;=30,"0-30",IF($O1564&lt;=60,"31-60",IF($O1564&lt;=90,"61-90","90+")))))))</f>
        <v/>
      </c>
    </row>
    <row r="1565">
      <c r="A1565" s="6" t="n"/>
      <c r="B1565" s="6" t="n"/>
      <c r="C1565" s="6" t="n"/>
      <c r="D1565" s="6" t="n"/>
      <c r="E1565" s="6" t="n"/>
      <c r="F1565" s="7" t="n"/>
      <c r="G1565" s="7" t="n"/>
      <c r="H1565" s="8" t="n"/>
      <c r="I1565" s="9">
        <f>IF($A1565="","",SUMIFS(Ventes_Encaissements!$D$6:$D$3005,Ventes_Encaissements!$B$6:$B$3005,$A1565))</f>
        <v/>
      </c>
      <c r="J1565" s="9">
        <f>IF($A1565="","",$H1565-$I1565)</f>
        <v/>
      </c>
      <c r="K1565" s="10">
        <f>IF($A1565="","",IF($I1565=0,"",_xludf.AGGREGATE(14,6,Ventes_Encaissements!$C$6:$C$3005/(Ventes_Encaissements!$B$6:$B$3005=$A1565),1)))</f>
        <v/>
      </c>
      <c r="L1565" s="11">
        <f>IF($A1565="","",COUNTIFS(Ventes_Detail!$B$6:$B$3005,$A1565))</f>
        <v/>
      </c>
      <c r="M1565" s="12" t="n"/>
      <c r="N1565" s="12">
        <f>IF($A1565="","",IF($G1565="","",IF($M1565="Oui","Litige",IF($J1565&lt;=0,"Payé",IF($I1565&gt;0,"Partiel",IF(Listes!$B$3&gt;$G1565,"En retard","À échoir"))))))</f>
        <v/>
      </c>
      <c r="O1565" s="11">
        <f>IF($A1565="","",IF(OR($G1565="", $J1565&lt;=0),0,MAX(0,Listes!$B$3-$G1565)))</f>
        <v/>
      </c>
      <c r="P1565" s="12">
        <f>IF($A1565="","",IF($J1565&lt;=0,"Payé",IF($M1565="Oui","Litige",IF($O1565=0,"À échoir",IF($O1565&lt;=30,"0-30",IF($O1565&lt;=60,"31-60",IF($O1565&lt;=90,"61-90","90+")))))))</f>
        <v/>
      </c>
    </row>
    <row r="1566">
      <c r="A1566" s="6" t="n"/>
      <c r="B1566" s="6" t="n"/>
      <c r="C1566" s="6" t="n"/>
      <c r="D1566" s="6" t="n"/>
      <c r="E1566" s="6" t="n"/>
      <c r="F1566" s="7" t="n"/>
      <c r="G1566" s="7" t="n"/>
      <c r="H1566" s="8" t="n"/>
      <c r="I1566" s="9">
        <f>IF($A1566="","",SUMIFS(Ventes_Encaissements!$D$6:$D$3005,Ventes_Encaissements!$B$6:$B$3005,$A1566))</f>
        <v/>
      </c>
      <c r="J1566" s="9">
        <f>IF($A1566="","",$H1566-$I1566)</f>
        <v/>
      </c>
      <c r="K1566" s="10">
        <f>IF($A1566="","",IF($I1566=0,"",_xludf.AGGREGATE(14,6,Ventes_Encaissements!$C$6:$C$3005/(Ventes_Encaissements!$B$6:$B$3005=$A1566),1)))</f>
        <v/>
      </c>
      <c r="L1566" s="11">
        <f>IF($A1566="","",COUNTIFS(Ventes_Detail!$B$6:$B$3005,$A1566))</f>
        <v/>
      </c>
      <c r="M1566" s="12" t="n"/>
      <c r="N1566" s="12">
        <f>IF($A1566="","",IF($G1566="","",IF($M1566="Oui","Litige",IF($J1566&lt;=0,"Payé",IF($I1566&gt;0,"Partiel",IF(Listes!$B$3&gt;$G1566,"En retard","À échoir"))))))</f>
        <v/>
      </c>
      <c r="O1566" s="11">
        <f>IF($A1566="","",IF(OR($G1566="", $J1566&lt;=0),0,MAX(0,Listes!$B$3-$G1566)))</f>
        <v/>
      </c>
      <c r="P1566" s="12">
        <f>IF($A1566="","",IF($J1566&lt;=0,"Payé",IF($M1566="Oui","Litige",IF($O1566=0,"À échoir",IF($O1566&lt;=30,"0-30",IF($O1566&lt;=60,"31-60",IF($O1566&lt;=90,"61-90","90+")))))))</f>
        <v/>
      </c>
    </row>
    <row r="1567">
      <c r="A1567" s="6" t="n"/>
      <c r="B1567" s="6" t="n"/>
      <c r="C1567" s="6" t="n"/>
      <c r="D1567" s="6" t="n"/>
      <c r="E1567" s="6" t="n"/>
      <c r="F1567" s="7" t="n"/>
      <c r="G1567" s="7" t="n"/>
      <c r="H1567" s="8" t="n"/>
      <c r="I1567" s="9">
        <f>IF($A1567="","",SUMIFS(Ventes_Encaissements!$D$6:$D$3005,Ventes_Encaissements!$B$6:$B$3005,$A1567))</f>
        <v/>
      </c>
      <c r="J1567" s="9">
        <f>IF($A1567="","",$H1567-$I1567)</f>
        <v/>
      </c>
      <c r="K1567" s="10">
        <f>IF($A1567="","",IF($I1567=0,"",_xludf.AGGREGATE(14,6,Ventes_Encaissements!$C$6:$C$3005/(Ventes_Encaissements!$B$6:$B$3005=$A1567),1)))</f>
        <v/>
      </c>
      <c r="L1567" s="11">
        <f>IF($A1567="","",COUNTIFS(Ventes_Detail!$B$6:$B$3005,$A1567))</f>
        <v/>
      </c>
      <c r="M1567" s="12" t="n"/>
      <c r="N1567" s="12">
        <f>IF($A1567="","",IF($G1567="","",IF($M1567="Oui","Litige",IF($J1567&lt;=0,"Payé",IF($I1567&gt;0,"Partiel",IF(Listes!$B$3&gt;$G1567,"En retard","À échoir"))))))</f>
        <v/>
      </c>
      <c r="O1567" s="11">
        <f>IF($A1567="","",IF(OR($G1567="", $J1567&lt;=0),0,MAX(0,Listes!$B$3-$G1567)))</f>
        <v/>
      </c>
      <c r="P1567" s="12">
        <f>IF($A1567="","",IF($J1567&lt;=0,"Payé",IF($M1567="Oui","Litige",IF($O1567=0,"À échoir",IF($O1567&lt;=30,"0-30",IF($O1567&lt;=60,"31-60",IF($O1567&lt;=90,"61-90","90+")))))))</f>
        <v/>
      </c>
    </row>
    <row r="1568">
      <c r="A1568" s="6" t="n"/>
      <c r="B1568" s="6" t="n"/>
      <c r="C1568" s="6" t="n"/>
      <c r="D1568" s="6" t="n"/>
      <c r="E1568" s="6" t="n"/>
      <c r="F1568" s="7" t="n"/>
      <c r="G1568" s="7" t="n"/>
      <c r="H1568" s="8" t="n"/>
      <c r="I1568" s="9">
        <f>IF($A1568="","",SUMIFS(Ventes_Encaissements!$D$6:$D$3005,Ventes_Encaissements!$B$6:$B$3005,$A1568))</f>
        <v/>
      </c>
      <c r="J1568" s="9">
        <f>IF($A1568="","",$H1568-$I1568)</f>
        <v/>
      </c>
      <c r="K1568" s="10">
        <f>IF($A1568="","",IF($I1568=0,"",_xludf.AGGREGATE(14,6,Ventes_Encaissements!$C$6:$C$3005/(Ventes_Encaissements!$B$6:$B$3005=$A1568),1)))</f>
        <v/>
      </c>
      <c r="L1568" s="11">
        <f>IF($A1568="","",COUNTIFS(Ventes_Detail!$B$6:$B$3005,$A1568))</f>
        <v/>
      </c>
      <c r="M1568" s="12" t="n"/>
      <c r="N1568" s="12">
        <f>IF($A1568="","",IF($G1568="","",IF($M1568="Oui","Litige",IF($J1568&lt;=0,"Payé",IF($I1568&gt;0,"Partiel",IF(Listes!$B$3&gt;$G1568,"En retard","À échoir"))))))</f>
        <v/>
      </c>
      <c r="O1568" s="11">
        <f>IF($A1568="","",IF(OR($G1568="", $J1568&lt;=0),0,MAX(0,Listes!$B$3-$G1568)))</f>
        <v/>
      </c>
      <c r="P1568" s="12">
        <f>IF($A1568="","",IF($J1568&lt;=0,"Payé",IF($M1568="Oui","Litige",IF($O1568=0,"À échoir",IF($O1568&lt;=30,"0-30",IF($O1568&lt;=60,"31-60",IF($O1568&lt;=90,"61-90","90+")))))))</f>
        <v/>
      </c>
    </row>
    <row r="1569">
      <c r="A1569" s="6" t="n"/>
      <c r="B1569" s="6" t="n"/>
      <c r="C1569" s="6" t="n"/>
      <c r="D1569" s="6" t="n"/>
      <c r="E1569" s="6" t="n"/>
      <c r="F1569" s="7" t="n"/>
      <c r="G1569" s="7" t="n"/>
      <c r="H1569" s="8" t="n"/>
      <c r="I1569" s="9">
        <f>IF($A1569="","",SUMIFS(Ventes_Encaissements!$D$6:$D$3005,Ventes_Encaissements!$B$6:$B$3005,$A1569))</f>
        <v/>
      </c>
      <c r="J1569" s="9">
        <f>IF($A1569="","",$H1569-$I1569)</f>
        <v/>
      </c>
      <c r="K1569" s="10">
        <f>IF($A1569="","",IF($I1569=0,"",_xludf.AGGREGATE(14,6,Ventes_Encaissements!$C$6:$C$3005/(Ventes_Encaissements!$B$6:$B$3005=$A1569),1)))</f>
        <v/>
      </c>
      <c r="L1569" s="11">
        <f>IF($A1569="","",COUNTIFS(Ventes_Detail!$B$6:$B$3005,$A1569))</f>
        <v/>
      </c>
      <c r="M1569" s="12" t="n"/>
      <c r="N1569" s="12">
        <f>IF($A1569="","",IF($G1569="","",IF($M1569="Oui","Litige",IF($J1569&lt;=0,"Payé",IF($I1569&gt;0,"Partiel",IF(Listes!$B$3&gt;$G1569,"En retard","À échoir"))))))</f>
        <v/>
      </c>
      <c r="O1569" s="11">
        <f>IF($A1569="","",IF(OR($G1569="", $J1569&lt;=0),0,MAX(0,Listes!$B$3-$G1569)))</f>
        <v/>
      </c>
      <c r="P1569" s="12">
        <f>IF($A1569="","",IF($J1569&lt;=0,"Payé",IF($M1569="Oui","Litige",IF($O1569=0,"À échoir",IF($O1569&lt;=30,"0-30",IF($O1569&lt;=60,"31-60",IF($O1569&lt;=90,"61-90","90+")))))))</f>
        <v/>
      </c>
    </row>
    <row r="1570">
      <c r="A1570" s="6" t="n"/>
      <c r="B1570" s="6" t="n"/>
      <c r="C1570" s="6" t="n"/>
      <c r="D1570" s="6" t="n"/>
      <c r="E1570" s="6" t="n"/>
      <c r="F1570" s="7" t="n"/>
      <c r="G1570" s="7" t="n"/>
      <c r="H1570" s="8" t="n"/>
      <c r="I1570" s="9">
        <f>IF($A1570="","",SUMIFS(Ventes_Encaissements!$D$6:$D$3005,Ventes_Encaissements!$B$6:$B$3005,$A1570))</f>
        <v/>
      </c>
      <c r="J1570" s="9">
        <f>IF($A1570="","",$H1570-$I1570)</f>
        <v/>
      </c>
      <c r="K1570" s="10">
        <f>IF($A1570="","",IF($I1570=0,"",_xludf.AGGREGATE(14,6,Ventes_Encaissements!$C$6:$C$3005/(Ventes_Encaissements!$B$6:$B$3005=$A1570),1)))</f>
        <v/>
      </c>
      <c r="L1570" s="11">
        <f>IF($A1570="","",COUNTIFS(Ventes_Detail!$B$6:$B$3005,$A1570))</f>
        <v/>
      </c>
      <c r="M1570" s="12" t="n"/>
      <c r="N1570" s="12">
        <f>IF($A1570="","",IF($G1570="","",IF($M1570="Oui","Litige",IF($J1570&lt;=0,"Payé",IF($I1570&gt;0,"Partiel",IF(Listes!$B$3&gt;$G1570,"En retard","À échoir"))))))</f>
        <v/>
      </c>
      <c r="O1570" s="11">
        <f>IF($A1570="","",IF(OR($G1570="", $J1570&lt;=0),0,MAX(0,Listes!$B$3-$G1570)))</f>
        <v/>
      </c>
      <c r="P1570" s="12">
        <f>IF($A1570="","",IF($J1570&lt;=0,"Payé",IF($M1570="Oui","Litige",IF($O1570=0,"À échoir",IF($O1570&lt;=30,"0-30",IF($O1570&lt;=60,"31-60",IF($O1570&lt;=90,"61-90","90+")))))))</f>
        <v/>
      </c>
    </row>
    <row r="1571">
      <c r="A1571" s="6" t="n"/>
      <c r="B1571" s="6" t="n"/>
      <c r="C1571" s="6" t="n"/>
      <c r="D1571" s="6" t="n"/>
      <c r="E1571" s="6" t="n"/>
      <c r="F1571" s="7" t="n"/>
      <c r="G1571" s="7" t="n"/>
      <c r="H1571" s="8" t="n"/>
      <c r="I1571" s="9">
        <f>IF($A1571="","",SUMIFS(Ventes_Encaissements!$D$6:$D$3005,Ventes_Encaissements!$B$6:$B$3005,$A1571))</f>
        <v/>
      </c>
      <c r="J1571" s="9">
        <f>IF($A1571="","",$H1571-$I1571)</f>
        <v/>
      </c>
      <c r="K1571" s="10">
        <f>IF($A1571="","",IF($I1571=0,"",_xludf.AGGREGATE(14,6,Ventes_Encaissements!$C$6:$C$3005/(Ventes_Encaissements!$B$6:$B$3005=$A1571),1)))</f>
        <v/>
      </c>
      <c r="L1571" s="11">
        <f>IF($A1571="","",COUNTIFS(Ventes_Detail!$B$6:$B$3005,$A1571))</f>
        <v/>
      </c>
      <c r="M1571" s="12" t="n"/>
      <c r="N1571" s="12">
        <f>IF($A1571="","",IF($G1571="","",IF($M1571="Oui","Litige",IF($J1571&lt;=0,"Payé",IF($I1571&gt;0,"Partiel",IF(Listes!$B$3&gt;$G1571,"En retard","À échoir"))))))</f>
        <v/>
      </c>
      <c r="O1571" s="11">
        <f>IF($A1571="","",IF(OR($G1571="", $J1571&lt;=0),0,MAX(0,Listes!$B$3-$G1571)))</f>
        <v/>
      </c>
      <c r="P1571" s="12">
        <f>IF($A1571="","",IF($J1571&lt;=0,"Payé",IF($M1571="Oui","Litige",IF($O1571=0,"À échoir",IF($O1571&lt;=30,"0-30",IF($O1571&lt;=60,"31-60",IF($O1571&lt;=90,"61-90","90+")))))))</f>
        <v/>
      </c>
    </row>
    <row r="1572">
      <c r="A1572" s="6" t="n"/>
      <c r="B1572" s="6" t="n"/>
      <c r="C1572" s="6" t="n"/>
      <c r="D1572" s="6" t="n"/>
      <c r="E1572" s="6" t="n"/>
      <c r="F1572" s="7" t="n"/>
      <c r="G1572" s="7" t="n"/>
      <c r="H1572" s="8" t="n"/>
      <c r="I1572" s="9">
        <f>IF($A1572="","",SUMIFS(Ventes_Encaissements!$D$6:$D$3005,Ventes_Encaissements!$B$6:$B$3005,$A1572))</f>
        <v/>
      </c>
      <c r="J1572" s="9">
        <f>IF($A1572="","",$H1572-$I1572)</f>
        <v/>
      </c>
      <c r="K1572" s="10">
        <f>IF($A1572="","",IF($I1572=0,"",_xludf.AGGREGATE(14,6,Ventes_Encaissements!$C$6:$C$3005/(Ventes_Encaissements!$B$6:$B$3005=$A1572),1)))</f>
        <v/>
      </c>
      <c r="L1572" s="11">
        <f>IF($A1572="","",COUNTIFS(Ventes_Detail!$B$6:$B$3005,$A1572))</f>
        <v/>
      </c>
      <c r="M1572" s="12" t="n"/>
      <c r="N1572" s="12">
        <f>IF($A1572="","",IF($G1572="","",IF($M1572="Oui","Litige",IF($J1572&lt;=0,"Payé",IF($I1572&gt;0,"Partiel",IF(Listes!$B$3&gt;$G1572,"En retard","À échoir"))))))</f>
        <v/>
      </c>
      <c r="O1572" s="11">
        <f>IF($A1572="","",IF(OR($G1572="", $J1572&lt;=0),0,MAX(0,Listes!$B$3-$G1572)))</f>
        <v/>
      </c>
      <c r="P1572" s="12">
        <f>IF($A1572="","",IF($J1572&lt;=0,"Payé",IF($M1572="Oui","Litige",IF($O1572=0,"À échoir",IF($O1572&lt;=30,"0-30",IF($O1572&lt;=60,"31-60",IF($O1572&lt;=90,"61-90","90+")))))))</f>
        <v/>
      </c>
    </row>
    <row r="1573">
      <c r="A1573" s="6" t="n"/>
      <c r="B1573" s="6" t="n"/>
      <c r="C1573" s="6" t="n"/>
      <c r="D1573" s="6" t="n"/>
      <c r="E1573" s="6" t="n"/>
      <c r="F1573" s="7" t="n"/>
      <c r="G1573" s="7" t="n"/>
      <c r="H1573" s="8" t="n"/>
      <c r="I1573" s="9">
        <f>IF($A1573="","",SUMIFS(Ventes_Encaissements!$D$6:$D$3005,Ventes_Encaissements!$B$6:$B$3005,$A1573))</f>
        <v/>
      </c>
      <c r="J1573" s="9">
        <f>IF($A1573="","",$H1573-$I1573)</f>
        <v/>
      </c>
      <c r="K1573" s="10">
        <f>IF($A1573="","",IF($I1573=0,"",_xludf.AGGREGATE(14,6,Ventes_Encaissements!$C$6:$C$3005/(Ventes_Encaissements!$B$6:$B$3005=$A1573),1)))</f>
        <v/>
      </c>
      <c r="L1573" s="11">
        <f>IF($A1573="","",COUNTIFS(Ventes_Detail!$B$6:$B$3005,$A1573))</f>
        <v/>
      </c>
      <c r="M1573" s="12" t="n"/>
      <c r="N1573" s="12">
        <f>IF($A1573="","",IF($G1573="","",IF($M1573="Oui","Litige",IF($J1573&lt;=0,"Payé",IF($I1573&gt;0,"Partiel",IF(Listes!$B$3&gt;$G1573,"En retard","À échoir"))))))</f>
        <v/>
      </c>
      <c r="O1573" s="11">
        <f>IF($A1573="","",IF(OR($G1573="", $J1573&lt;=0),0,MAX(0,Listes!$B$3-$G1573)))</f>
        <v/>
      </c>
      <c r="P1573" s="12">
        <f>IF($A1573="","",IF($J1573&lt;=0,"Payé",IF($M1573="Oui","Litige",IF($O1573=0,"À échoir",IF($O1573&lt;=30,"0-30",IF($O1573&lt;=60,"31-60",IF($O1573&lt;=90,"61-90","90+")))))))</f>
        <v/>
      </c>
    </row>
    <row r="1574">
      <c r="A1574" s="6" t="n"/>
      <c r="B1574" s="6" t="n"/>
      <c r="C1574" s="6" t="n"/>
      <c r="D1574" s="6" t="n"/>
      <c r="E1574" s="6" t="n"/>
      <c r="F1574" s="7" t="n"/>
      <c r="G1574" s="7" t="n"/>
      <c r="H1574" s="8" t="n"/>
      <c r="I1574" s="9">
        <f>IF($A1574="","",SUMIFS(Ventes_Encaissements!$D$6:$D$3005,Ventes_Encaissements!$B$6:$B$3005,$A1574))</f>
        <v/>
      </c>
      <c r="J1574" s="9">
        <f>IF($A1574="","",$H1574-$I1574)</f>
        <v/>
      </c>
      <c r="K1574" s="10">
        <f>IF($A1574="","",IF($I1574=0,"",_xludf.AGGREGATE(14,6,Ventes_Encaissements!$C$6:$C$3005/(Ventes_Encaissements!$B$6:$B$3005=$A1574),1)))</f>
        <v/>
      </c>
      <c r="L1574" s="11">
        <f>IF($A1574="","",COUNTIFS(Ventes_Detail!$B$6:$B$3005,$A1574))</f>
        <v/>
      </c>
      <c r="M1574" s="12" t="n"/>
      <c r="N1574" s="12">
        <f>IF($A1574="","",IF($G1574="","",IF($M1574="Oui","Litige",IF($J1574&lt;=0,"Payé",IF($I1574&gt;0,"Partiel",IF(Listes!$B$3&gt;$G1574,"En retard","À échoir"))))))</f>
        <v/>
      </c>
      <c r="O1574" s="11">
        <f>IF($A1574="","",IF(OR($G1574="", $J1574&lt;=0),0,MAX(0,Listes!$B$3-$G1574)))</f>
        <v/>
      </c>
      <c r="P1574" s="12">
        <f>IF($A1574="","",IF($J1574&lt;=0,"Payé",IF($M1574="Oui","Litige",IF($O1574=0,"À échoir",IF($O1574&lt;=30,"0-30",IF($O1574&lt;=60,"31-60",IF($O1574&lt;=90,"61-90","90+")))))))</f>
        <v/>
      </c>
    </row>
    <row r="1575">
      <c r="A1575" s="6" t="n"/>
      <c r="B1575" s="6" t="n"/>
      <c r="C1575" s="6" t="n"/>
      <c r="D1575" s="6" t="n"/>
      <c r="E1575" s="6" t="n"/>
      <c r="F1575" s="7" t="n"/>
      <c r="G1575" s="7" t="n"/>
      <c r="H1575" s="8" t="n"/>
      <c r="I1575" s="9">
        <f>IF($A1575="","",SUMIFS(Ventes_Encaissements!$D$6:$D$3005,Ventes_Encaissements!$B$6:$B$3005,$A1575))</f>
        <v/>
      </c>
      <c r="J1575" s="9">
        <f>IF($A1575="","",$H1575-$I1575)</f>
        <v/>
      </c>
      <c r="K1575" s="10">
        <f>IF($A1575="","",IF($I1575=0,"",_xludf.AGGREGATE(14,6,Ventes_Encaissements!$C$6:$C$3005/(Ventes_Encaissements!$B$6:$B$3005=$A1575),1)))</f>
        <v/>
      </c>
      <c r="L1575" s="11">
        <f>IF($A1575="","",COUNTIFS(Ventes_Detail!$B$6:$B$3005,$A1575))</f>
        <v/>
      </c>
      <c r="M1575" s="12" t="n"/>
      <c r="N1575" s="12">
        <f>IF($A1575="","",IF($G1575="","",IF($M1575="Oui","Litige",IF($J1575&lt;=0,"Payé",IF($I1575&gt;0,"Partiel",IF(Listes!$B$3&gt;$G1575,"En retard","À échoir"))))))</f>
        <v/>
      </c>
      <c r="O1575" s="11">
        <f>IF($A1575="","",IF(OR($G1575="", $J1575&lt;=0),0,MAX(0,Listes!$B$3-$G1575)))</f>
        <v/>
      </c>
      <c r="P1575" s="12">
        <f>IF($A1575="","",IF($J1575&lt;=0,"Payé",IF($M1575="Oui","Litige",IF($O1575=0,"À échoir",IF($O1575&lt;=30,"0-30",IF($O1575&lt;=60,"31-60",IF($O1575&lt;=90,"61-90","90+")))))))</f>
        <v/>
      </c>
    </row>
    <row r="1576">
      <c r="A1576" s="6" t="n"/>
      <c r="B1576" s="6" t="n"/>
      <c r="C1576" s="6" t="n"/>
      <c r="D1576" s="6" t="n"/>
      <c r="E1576" s="6" t="n"/>
      <c r="F1576" s="7" t="n"/>
      <c r="G1576" s="7" t="n"/>
      <c r="H1576" s="8" t="n"/>
      <c r="I1576" s="9">
        <f>IF($A1576="","",SUMIFS(Ventes_Encaissements!$D$6:$D$3005,Ventes_Encaissements!$B$6:$B$3005,$A1576))</f>
        <v/>
      </c>
      <c r="J1576" s="9">
        <f>IF($A1576="","",$H1576-$I1576)</f>
        <v/>
      </c>
      <c r="K1576" s="10">
        <f>IF($A1576="","",IF($I1576=0,"",_xludf.AGGREGATE(14,6,Ventes_Encaissements!$C$6:$C$3005/(Ventes_Encaissements!$B$6:$B$3005=$A1576),1)))</f>
        <v/>
      </c>
      <c r="L1576" s="11">
        <f>IF($A1576="","",COUNTIFS(Ventes_Detail!$B$6:$B$3005,$A1576))</f>
        <v/>
      </c>
      <c r="M1576" s="12" t="n"/>
      <c r="N1576" s="12">
        <f>IF($A1576="","",IF($G1576="","",IF($M1576="Oui","Litige",IF($J1576&lt;=0,"Payé",IF($I1576&gt;0,"Partiel",IF(Listes!$B$3&gt;$G1576,"En retard","À échoir"))))))</f>
        <v/>
      </c>
      <c r="O1576" s="11">
        <f>IF($A1576="","",IF(OR($G1576="", $J1576&lt;=0),0,MAX(0,Listes!$B$3-$G1576)))</f>
        <v/>
      </c>
      <c r="P1576" s="12">
        <f>IF($A1576="","",IF($J1576&lt;=0,"Payé",IF($M1576="Oui","Litige",IF($O1576=0,"À échoir",IF($O1576&lt;=30,"0-30",IF($O1576&lt;=60,"31-60",IF($O1576&lt;=90,"61-90","90+")))))))</f>
        <v/>
      </c>
    </row>
    <row r="1577">
      <c r="A1577" s="6" t="n"/>
      <c r="B1577" s="6" t="n"/>
      <c r="C1577" s="6" t="n"/>
      <c r="D1577" s="6" t="n"/>
      <c r="E1577" s="6" t="n"/>
      <c r="F1577" s="7" t="n"/>
      <c r="G1577" s="7" t="n"/>
      <c r="H1577" s="8" t="n"/>
      <c r="I1577" s="9">
        <f>IF($A1577="","",SUMIFS(Ventes_Encaissements!$D$6:$D$3005,Ventes_Encaissements!$B$6:$B$3005,$A1577))</f>
        <v/>
      </c>
      <c r="J1577" s="9">
        <f>IF($A1577="","",$H1577-$I1577)</f>
        <v/>
      </c>
      <c r="K1577" s="10">
        <f>IF($A1577="","",IF($I1577=0,"",_xludf.AGGREGATE(14,6,Ventes_Encaissements!$C$6:$C$3005/(Ventes_Encaissements!$B$6:$B$3005=$A1577),1)))</f>
        <v/>
      </c>
      <c r="L1577" s="11">
        <f>IF($A1577="","",COUNTIFS(Ventes_Detail!$B$6:$B$3005,$A1577))</f>
        <v/>
      </c>
      <c r="M1577" s="12" t="n"/>
      <c r="N1577" s="12">
        <f>IF($A1577="","",IF($G1577="","",IF($M1577="Oui","Litige",IF($J1577&lt;=0,"Payé",IF($I1577&gt;0,"Partiel",IF(Listes!$B$3&gt;$G1577,"En retard","À échoir"))))))</f>
        <v/>
      </c>
      <c r="O1577" s="11">
        <f>IF($A1577="","",IF(OR($G1577="", $J1577&lt;=0),0,MAX(0,Listes!$B$3-$G1577)))</f>
        <v/>
      </c>
      <c r="P1577" s="12">
        <f>IF($A1577="","",IF($J1577&lt;=0,"Payé",IF($M1577="Oui","Litige",IF($O1577=0,"À échoir",IF($O1577&lt;=30,"0-30",IF($O1577&lt;=60,"31-60",IF($O1577&lt;=90,"61-90","90+")))))))</f>
        <v/>
      </c>
    </row>
    <row r="1578">
      <c r="A1578" s="6" t="n"/>
      <c r="B1578" s="6" t="n"/>
      <c r="C1578" s="6" t="n"/>
      <c r="D1578" s="6" t="n"/>
      <c r="E1578" s="6" t="n"/>
      <c r="F1578" s="7" t="n"/>
      <c r="G1578" s="7" t="n"/>
      <c r="H1578" s="8" t="n"/>
      <c r="I1578" s="9">
        <f>IF($A1578="","",SUMIFS(Ventes_Encaissements!$D$6:$D$3005,Ventes_Encaissements!$B$6:$B$3005,$A1578))</f>
        <v/>
      </c>
      <c r="J1578" s="9">
        <f>IF($A1578="","",$H1578-$I1578)</f>
        <v/>
      </c>
      <c r="K1578" s="10">
        <f>IF($A1578="","",IF($I1578=0,"",_xludf.AGGREGATE(14,6,Ventes_Encaissements!$C$6:$C$3005/(Ventes_Encaissements!$B$6:$B$3005=$A1578),1)))</f>
        <v/>
      </c>
      <c r="L1578" s="11">
        <f>IF($A1578="","",COUNTIFS(Ventes_Detail!$B$6:$B$3005,$A1578))</f>
        <v/>
      </c>
      <c r="M1578" s="12" t="n"/>
      <c r="N1578" s="12">
        <f>IF($A1578="","",IF($G1578="","",IF($M1578="Oui","Litige",IF($J1578&lt;=0,"Payé",IF($I1578&gt;0,"Partiel",IF(Listes!$B$3&gt;$G1578,"En retard","À échoir"))))))</f>
        <v/>
      </c>
      <c r="O1578" s="11">
        <f>IF($A1578="","",IF(OR($G1578="", $J1578&lt;=0),0,MAX(0,Listes!$B$3-$G1578)))</f>
        <v/>
      </c>
      <c r="P1578" s="12">
        <f>IF($A1578="","",IF($J1578&lt;=0,"Payé",IF($M1578="Oui","Litige",IF($O1578=0,"À échoir",IF($O1578&lt;=30,"0-30",IF($O1578&lt;=60,"31-60",IF($O1578&lt;=90,"61-90","90+")))))))</f>
        <v/>
      </c>
    </row>
    <row r="1579">
      <c r="A1579" s="6" t="n"/>
      <c r="B1579" s="6" t="n"/>
      <c r="C1579" s="6" t="n"/>
      <c r="D1579" s="6" t="n"/>
      <c r="E1579" s="6" t="n"/>
      <c r="F1579" s="7" t="n"/>
      <c r="G1579" s="7" t="n"/>
      <c r="H1579" s="8" t="n"/>
      <c r="I1579" s="9">
        <f>IF($A1579="","",SUMIFS(Ventes_Encaissements!$D$6:$D$3005,Ventes_Encaissements!$B$6:$B$3005,$A1579))</f>
        <v/>
      </c>
      <c r="J1579" s="9">
        <f>IF($A1579="","",$H1579-$I1579)</f>
        <v/>
      </c>
      <c r="K1579" s="10">
        <f>IF($A1579="","",IF($I1579=0,"",_xludf.AGGREGATE(14,6,Ventes_Encaissements!$C$6:$C$3005/(Ventes_Encaissements!$B$6:$B$3005=$A1579),1)))</f>
        <v/>
      </c>
      <c r="L1579" s="11">
        <f>IF($A1579="","",COUNTIFS(Ventes_Detail!$B$6:$B$3005,$A1579))</f>
        <v/>
      </c>
      <c r="M1579" s="12" t="n"/>
      <c r="N1579" s="12">
        <f>IF($A1579="","",IF($G1579="","",IF($M1579="Oui","Litige",IF($J1579&lt;=0,"Payé",IF($I1579&gt;0,"Partiel",IF(Listes!$B$3&gt;$G1579,"En retard","À échoir"))))))</f>
        <v/>
      </c>
      <c r="O1579" s="11">
        <f>IF($A1579="","",IF(OR($G1579="", $J1579&lt;=0),0,MAX(0,Listes!$B$3-$G1579)))</f>
        <v/>
      </c>
      <c r="P1579" s="12">
        <f>IF($A1579="","",IF($J1579&lt;=0,"Payé",IF($M1579="Oui","Litige",IF($O1579=0,"À échoir",IF($O1579&lt;=30,"0-30",IF($O1579&lt;=60,"31-60",IF($O1579&lt;=90,"61-90","90+")))))))</f>
        <v/>
      </c>
    </row>
    <row r="1580">
      <c r="A1580" s="6" t="n"/>
      <c r="B1580" s="6" t="n"/>
      <c r="C1580" s="6" t="n"/>
      <c r="D1580" s="6" t="n"/>
      <c r="E1580" s="6" t="n"/>
      <c r="F1580" s="7" t="n"/>
      <c r="G1580" s="7" t="n"/>
      <c r="H1580" s="8" t="n"/>
      <c r="I1580" s="9">
        <f>IF($A1580="","",SUMIFS(Ventes_Encaissements!$D$6:$D$3005,Ventes_Encaissements!$B$6:$B$3005,$A1580))</f>
        <v/>
      </c>
      <c r="J1580" s="9">
        <f>IF($A1580="","",$H1580-$I1580)</f>
        <v/>
      </c>
      <c r="K1580" s="10">
        <f>IF($A1580="","",IF($I1580=0,"",_xludf.AGGREGATE(14,6,Ventes_Encaissements!$C$6:$C$3005/(Ventes_Encaissements!$B$6:$B$3005=$A1580),1)))</f>
        <v/>
      </c>
      <c r="L1580" s="11">
        <f>IF($A1580="","",COUNTIFS(Ventes_Detail!$B$6:$B$3005,$A1580))</f>
        <v/>
      </c>
      <c r="M1580" s="12" t="n"/>
      <c r="N1580" s="12">
        <f>IF($A1580="","",IF($G1580="","",IF($M1580="Oui","Litige",IF($J1580&lt;=0,"Payé",IF($I1580&gt;0,"Partiel",IF(Listes!$B$3&gt;$G1580,"En retard","À échoir"))))))</f>
        <v/>
      </c>
      <c r="O1580" s="11">
        <f>IF($A1580="","",IF(OR($G1580="", $J1580&lt;=0),0,MAX(0,Listes!$B$3-$G1580)))</f>
        <v/>
      </c>
      <c r="P1580" s="12">
        <f>IF($A1580="","",IF($J1580&lt;=0,"Payé",IF($M1580="Oui","Litige",IF($O1580=0,"À échoir",IF($O1580&lt;=30,"0-30",IF($O1580&lt;=60,"31-60",IF($O1580&lt;=90,"61-90","90+")))))))</f>
        <v/>
      </c>
    </row>
    <row r="1581">
      <c r="A1581" s="6" t="n"/>
      <c r="B1581" s="6" t="n"/>
      <c r="C1581" s="6" t="n"/>
      <c r="D1581" s="6" t="n"/>
      <c r="E1581" s="6" t="n"/>
      <c r="F1581" s="7" t="n"/>
      <c r="G1581" s="7" t="n"/>
      <c r="H1581" s="8" t="n"/>
      <c r="I1581" s="9">
        <f>IF($A1581="","",SUMIFS(Ventes_Encaissements!$D$6:$D$3005,Ventes_Encaissements!$B$6:$B$3005,$A1581))</f>
        <v/>
      </c>
      <c r="J1581" s="9">
        <f>IF($A1581="","",$H1581-$I1581)</f>
        <v/>
      </c>
      <c r="K1581" s="10">
        <f>IF($A1581="","",IF($I1581=0,"",_xludf.AGGREGATE(14,6,Ventes_Encaissements!$C$6:$C$3005/(Ventes_Encaissements!$B$6:$B$3005=$A1581),1)))</f>
        <v/>
      </c>
      <c r="L1581" s="11">
        <f>IF($A1581="","",COUNTIFS(Ventes_Detail!$B$6:$B$3005,$A1581))</f>
        <v/>
      </c>
      <c r="M1581" s="12" t="n"/>
      <c r="N1581" s="12">
        <f>IF($A1581="","",IF($G1581="","",IF($M1581="Oui","Litige",IF($J1581&lt;=0,"Payé",IF($I1581&gt;0,"Partiel",IF(Listes!$B$3&gt;$G1581,"En retard","À échoir"))))))</f>
        <v/>
      </c>
      <c r="O1581" s="11">
        <f>IF($A1581="","",IF(OR($G1581="", $J1581&lt;=0),0,MAX(0,Listes!$B$3-$G1581)))</f>
        <v/>
      </c>
      <c r="P1581" s="12">
        <f>IF($A1581="","",IF($J1581&lt;=0,"Payé",IF($M1581="Oui","Litige",IF($O1581=0,"À échoir",IF($O1581&lt;=30,"0-30",IF($O1581&lt;=60,"31-60",IF($O1581&lt;=90,"61-90","90+")))))))</f>
        <v/>
      </c>
    </row>
    <row r="1582">
      <c r="A1582" s="6" t="n"/>
      <c r="B1582" s="6" t="n"/>
      <c r="C1582" s="6" t="n"/>
      <c r="D1582" s="6" t="n"/>
      <c r="E1582" s="6" t="n"/>
      <c r="F1582" s="7" t="n"/>
      <c r="G1582" s="7" t="n"/>
      <c r="H1582" s="8" t="n"/>
      <c r="I1582" s="9">
        <f>IF($A1582="","",SUMIFS(Ventes_Encaissements!$D$6:$D$3005,Ventes_Encaissements!$B$6:$B$3005,$A1582))</f>
        <v/>
      </c>
      <c r="J1582" s="9">
        <f>IF($A1582="","",$H1582-$I1582)</f>
        <v/>
      </c>
      <c r="K1582" s="10">
        <f>IF($A1582="","",IF($I1582=0,"",_xludf.AGGREGATE(14,6,Ventes_Encaissements!$C$6:$C$3005/(Ventes_Encaissements!$B$6:$B$3005=$A1582),1)))</f>
        <v/>
      </c>
      <c r="L1582" s="11">
        <f>IF($A1582="","",COUNTIFS(Ventes_Detail!$B$6:$B$3005,$A1582))</f>
        <v/>
      </c>
      <c r="M1582" s="12" t="n"/>
      <c r="N1582" s="12">
        <f>IF($A1582="","",IF($G1582="","",IF($M1582="Oui","Litige",IF($J1582&lt;=0,"Payé",IF($I1582&gt;0,"Partiel",IF(Listes!$B$3&gt;$G1582,"En retard","À échoir"))))))</f>
        <v/>
      </c>
      <c r="O1582" s="11">
        <f>IF($A1582="","",IF(OR($G1582="", $J1582&lt;=0),0,MAX(0,Listes!$B$3-$G1582)))</f>
        <v/>
      </c>
      <c r="P1582" s="12">
        <f>IF($A1582="","",IF($J1582&lt;=0,"Payé",IF($M1582="Oui","Litige",IF($O1582=0,"À échoir",IF($O1582&lt;=30,"0-30",IF($O1582&lt;=60,"31-60",IF($O1582&lt;=90,"61-90","90+")))))))</f>
        <v/>
      </c>
    </row>
    <row r="1583">
      <c r="A1583" s="6" t="n"/>
      <c r="B1583" s="6" t="n"/>
      <c r="C1583" s="6" t="n"/>
      <c r="D1583" s="6" t="n"/>
      <c r="E1583" s="6" t="n"/>
      <c r="F1583" s="7" t="n"/>
      <c r="G1583" s="7" t="n"/>
      <c r="H1583" s="8" t="n"/>
      <c r="I1583" s="9">
        <f>IF($A1583="","",SUMIFS(Ventes_Encaissements!$D$6:$D$3005,Ventes_Encaissements!$B$6:$B$3005,$A1583))</f>
        <v/>
      </c>
      <c r="J1583" s="9">
        <f>IF($A1583="","",$H1583-$I1583)</f>
        <v/>
      </c>
      <c r="K1583" s="10">
        <f>IF($A1583="","",IF($I1583=0,"",_xludf.AGGREGATE(14,6,Ventes_Encaissements!$C$6:$C$3005/(Ventes_Encaissements!$B$6:$B$3005=$A1583),1)))</f>
        <v/>
      </c>
      <c r="L1583" s="11">
        <f>IF($A1583="","",COUNTIFS(Ventes_Detail!$B$6:$B$3005,$A1583))</f>
        <v/>
      </c>
      <c r="M1583" s="12" t="n"/>
      <c r="N1583" s="12">
        <f>IF($A1583="","",IF($G1583="","",IF($M1583="Oui","Litige",IF($J1583&lt;=0,"Payé",IF($I1583&gt;0,"Partiel",IF(Listes!$B$3&gt;$G1583,"En retard","À échoir"))))))</f>
        <v/>
      </c>
      <c r="O1583" s="11">
        <f>IF($A1583="","",IF(OR($G1583="", $J1583&lt;=0),0,MAX(0,Listes!$B$3-$G1583)))</f>
        <v/>
      </c>
      <c r="P1583" s="12">
        <f>IF($A1583="","",IF($J1583&lt;=0,"Payé",IF($M1583="Oui","Litige",IF($O1583=0,"À échoir",IF($O1583&lt;=30,"0-30",IF($O1583&lt;=60,"31-60",IF($O1583&lt;=90,"61-90","90+")))))))</f>
        <v/>
      </c>
    </row>
    <row r="1584">
      <c r="A1584" s="6" t="n"/>
      <c r="B1584" s="6" t="n"/>
      <c r="C1584" s="6" t="n"/>
      <c r="D1584" s="6" t="n"/>
      <c r="E1584" s="6" t="n"/>
      <c r="F1584" s="7" t="n"/>
      <c r="G1584" s="7" t="n"/>
      <c r="H1584" s="8" t="n"/>
      <c r="I1584" s="9">
        <f>IF($A1584="","",SUMIFS(Ventes_Encaissements!$D$6:$D$3005,Ventes_Encaissements!$B$6:$B$3005,$A1584))</f>
        <v/>
      </c>
      <c r="J1584" s="9">
        <f>IF($A1584="","",$H1584-$I1584)</f>
        <v/>
      </c>
      <c r="K1584" s="10">
        <f>IF($A1584="","",IF($I1584=0,"",_xludf.AGGREGATE(14,6,Ventes_Encaissements!$C$6:$C$3005/(Ventes_Encaissements!$B$6:$B$3005=$A1584),1)))</f>
        <v/>
      </c>
      <c r="L1584" s="11">
        <f>IF($A1584="","",COUNTIFS(Ventes_Detail!$B$6:$B$3005,$A1584))</f>
        <v/>
      </c>
      <c r="M1584" s="12" t="n"/>
      <c r="N1584" s="12">
        <f>IF($A1584="","",IF($G1584="","",IF($M1584="Oui","Litige",IF($J1584&lt;=0,"Payé",IF($I1584&gt;0,"Partiel",IF(Listes!$B$3&gt;$G1584,"En retard","À échoir"))))))</f>
        <v/>
      </c>
      <c r="O1584" s="11">
        <f>IF($A1584="","",IF(OR($G1584="", $J1584&lt;=0),0,MAX(0,Listes!$B$3-$G1584)))</f>
        <v/>
      </c>
      <c r="P1584" s="12">
        <f>IF($A1584="","",IF($J1584&lt;=0,"Payé",IF($M1584="Oui","Litige",IF($O1584=0,"À échoir",IF($O1584&lt;=30,"0-30",IF($O1584&lt;=60,"31-60",IF($O1584&lt;=90,"61-90","90+")))))))</f>
        <v/>
      </c>
    </row>
    <row r="1585">
      <c r="A1585" s="6" t="n"/>
      <c r="B1585" s="6" t="n"/>
      <c r="C1585" s="6" t="n"/>
      <c r="D1585" s="6" t="n"/>
      <c r="E1585" s="6" t="n"/>
      <c r="F1585" s="7" t="n"/>
      <c r="G1585" s="7" t="n"/>
      <c r="H1585" s="8" t="n"/>
      <c r="I1585" s="9">
        <f>IF($A1585="","",SUMIFS(Ventes_Encaissements!$D$6:$D$3005,Ventes_Encaissements!$B$6:$B$3005,$A1585))</f>
        <v/>
      </c>
      <c r="J1585" s="9">
        <f>IF($A1585="","",$H1585-$I1585)</f>
        <v/>
      </c>
      <c r="K1585" s="10">
        <f>IF($A1585="","",IF($I1585=0,"",_xludf.AGGREGATE(14,6,Ventes_Encaissements!$C$6:$C$3005/(Ventes_Encaissements!$B$6:$B$3005=$A1585),1)))</f>
        <v/>
      </c>
      <c r="L1585" s="11">
        <f>IF($A1585="","",COUNTIFS(Ventes_Detail!$B$6:$B$3005,$A1585))</f>
        <v/>
      </c>
      <c r="M1585" s="12" t="n"/>
      <c r="N1585" s="12">
        <f>IF($A1585="","",IF($G1585="","",IF($M1585="Oui","Litige",IF($J1585&lt;=0,"Payé",IF($I1585&gt;0,"Partiel",IF(Listes!$B$3&gt;$G1585,"En retard","À échoir"))))))</f>
        <v/>
      </c>
      <c r="O1585" s="11">
        <f>IF($A1585="","",IF(OR($G1585="", $J1585&lt;=0),0,MAX(0,Listes!$B$3-$G1585)))</f>
        <v/>
      </c>
      <c r="P1585" s="12">
        <f>IF($A1585="","",IF($J1585&lt;=0,"Payé",IF($M1585="Oui","Litige",IF($O1585=0,"À échoir",IF($O1585&lt;=30,"0-30",IF($O1585&lt;=60,"31-60",IF($O1585&lt;=90,"61-90","90+")))))))</f>
        <v/>
      </c>
    </row>
    <row r="1586">
      <c r="A1586" s="6" t="n"/>
      <c r="B1586" s="6" t="n"/>
      <c r="C1586" s="6" t="n"/>
      <c r="D1586" s="6" t="n"/>
      <c r="E1586" s="6" t="n"/>
      <c r="F1586" s="7" t="n"/>
      <c r="G1586" s="7" t="n"/>
      <c r="H1586" s="8" t="n"/>
      <c r="I1586" s="9">
        <f>IF($A1586="","",SUMIFS(Ventes_Encaissements!$D$6:$D$3005,Ventes_Encaissements!$B$6:$B$3005,$A1586))</f>
        <v/>
      </c>
      <c r="J1586" s="9">
        <f>IF($A1586="","",$H1586-$I1586)</f>
        <v/>
      </c>
      <c r="K1586" s="10">
        <f>IF($A1586="","",IF($I1586=0,"",_xludf.AGGREGATE(14,6,Ventes_Encaissements!$C$6:$C$3005/(Ventes_Encaissements!$B$6:$B$3005=$A1586),1)))</f>
        <v/>
      </c>
      <c r="L1586" s="11">
        <f>IF($A1586="","",COUNTIFS(Ventes_Detail!$B$6:$B$3005,$A1586))</f>
        <v/>
      </c>
      <c r="M1586" s="12" t="n"/>
      <c r="N1586" s="12">
        <f>IF($A1586="","",IF($G1586="","",IF($M1586="Oui","Litige",IF($J1586&lt;=0,"Payé",IF($I1586&gt;0,"Partiel",IF(Listes!$B$3&gt;$G1586,"En retard","À échoir"))))))</f>
        <v/>
      </c>
      <c r="O1586" s="11">
        <f>IF($A1586="","",IF(OR($G1586="", $J1586&lt;=0),0,MAX(0,Listes!$B$3-$G1586)))</f>
        <v/>
      </c>
      <c r="P1586" s="12">
        <f>IF($A1586="","",IF($J1586&lt;=0,"Payé",IF($M1586="Oui","Litige",IF($O1586=0,"À échoir",IF($O1586&lt;=30,"0-30",IF($O1586&lt;=60,"31-60",IF($O1586&lt;=90,"61-90","90+")))))))</f>
        <v/>
      </c>
    </row>
    <row r="1587">
      <c r="A1587" s="6" t="n"/>
      <c r="B1587" s="6" t="n"/>
      <c r="C1587" s="6" t="n"/>
      <c r="D1587" s="6" t="n"/>
      <c r="E1587" s="6" t="n"/>
      <c r="F1587" s="7" t="n"/>
      <c r="G1587" s="7" t="n"/>
      <c r="H1587" s="8" t="n"/>
      <c r="I1587" s="9">
        <f>IF($A1587="","",SUMIFS(Ventes_Encaissements!$D$6:$D$3005,Ventes_Encaissements!$B$6:$B$3005,$A1587))</f>
        <v/>
      </c>
      <c r="J1587" s="9">
        <f>IF($A1587="","",$H1587-$I1587)</f>
        <v/>
      </c>
      <c r="K1587" s="10">
        <f>IF($A1587="","",IF($I1587=0,"",_xludf.AGGREGATE(14,6,Ventes_Encaissements!$C$6:$C$3005/(Ventes_Encaissements!$B$6:$B$3005=$A1587),1)))</f>
        <v/>
      </c>
      <c r="L1587" s="11">
        <f>IF($A1587="","",COUNTIFS(Ventes_Detail!$B$6:$B$3005,$A1587))</f>
        <v/>
      </c>
      <c r="M1587" s="12" t="n"/>
      <c r="N1587" s="12">
        <f>IF($A1587="","",IF($G1587="","",IF($M1587="Oui","Litige",IF($J1587&lt;=0,"Payé",IF($I1587&gt;0,"Partiel",IF(Listes!$B$3&gt;$G1587,"En retard","À échoir"))))))</f>
        <v/>
      </c>
      <c r="O1587" s="11">
        <f>IF($A1587="","",IF(OR($G1587="", $J1587&lt;=0),0,MAX(0,Listes!$B$3-$G1587)))</f>
        <v/>
      </c>
      <c r="P1587" s="12">
        <f>IF($A1587="","",IF($J1587&lt;=0,"Payé",IF($M1587="Oui","Litige",IF($O1587=0,"À échoir",IF($O1587&lt;=30,"0-30",IF($O1587&lt;=60,"31-60",IF($O1587&lt;=90,"61-90","90+")))))))</f>
        <v/>
      </c>
    </row>
    <row r="1588">
      <c r="A1588" s="6" t="n"/>
      <c r="B1588" s="6" t="n"/>
      <c r="C1588" s="6" t="n"/>
      <c r="D1588" s="6" t="n"/>
      <c r="E1588" s="6" t="n"/>
      <c r="F1588" s="7" t="n"/>
      <c r="G1588" s="7" t="n"/>
      <c r="H1588" s="8" t="n"/>
      <c r="I1588" s="9">
        <f>IF($A1588="","",SUMIFS(Ventes_Encaissements!$D$6:$D$3005,Ventes_Encaissements!$B$6:$B$3005,$A1588))</f>
        <v/>
      </c>
      <c r="J1588" s="9">
        <f>IF($A1588="","",$H1588-$I1588)</f>
        <v/>
      </c>
      <c r="K1588" s="10">
        <f>IF($A1588="","",IF($I1588=0,"",_xludf.AGGREGATE(14,6,Ventes_Encaissements!$C$6:$C$3005/(Ventes_Encaissements!$B$6:$B$3005=$A1588),1)))</f>
        <v/>
      </c>
      <c r="L1588" s="11">
        <f>IF($A1588="","",COUNTIFS(Ventes_Detail!$B$6:$B$3005,$A1588))</f>
        <v/>
      </c>
      <c r="M1588" s="12" t="n"/>
      <c r="N1588" s="12">
        <f>IF($A1588="","",IF($G1588="","",IF($M1588="Oui","Litige",IF($J1588&lt;=0,"Payé",IF($I1588&gt;0,"Partiel",IF(Listes!$B$3&gt;$G1588,"En retard","À échoir"))))))</f>
        <v/>
      </c>
      <c r="O1588" s="11">
        <f>IF($A1588="","",IF(OR($G1588="", $J1588&lt;=0),0,MAX(0,Listes!$B$3-$G1588)))</f>
        <v/>
      </c>
      <c r="P1588" s="12">
        <f>IF($A1588="","",IF($J1588&lt;=0,"Payé",IF($M1588="Oui","Litige",IF($O1588=0,"À échoir",IF($O1588&lt;=30,"0-30",IF($O1588&lt;=60,"31-60",IF($O1588&lt;=90,"61-90","90+")))))))</f>
        <v/>
      </c>
    </row>
    <row r="1589">
      <c r="A1589" s="6" t="n"/>
      <c r="B1589" s="6" t="n"/>
      <c r="C1589" s="6" t="n"/>
      <c r="D1589" s="6" t="n"/>
      <c r="E1589" s="6" t="n"/>
      <c r="F1589" s="7" t="n"/>
      <c r="G1589" s="7" t="n"/>
      <c r="H1589" s="8" t="n"/>
      <c r="I1589" s="9">
        <f>IF($A1589="","",SUMIFS(Ventes_Encaissements!$D$6:$D$3005,Ventes_Encaissements!$B$6:$B$3005,$A1589))</f>
        <v/>
      </c>
      <c r="J1589" s="9">
        <f>IF($A1589="","",$H1589-$I1589)</f>
        <v/>
      </c>
      <c r="K1589" s="10">
        <f>IF($A1589="","",IF($I1589=0,"",_xludf.AGGREGATE(14,6,Ventes_Encaissements!$C$6:$C$3005/(Ventes_Encaissements!$B$6:$B$3005=$A1589),1)))</f>
        <v/>
      </c>
      <c r="L1589" s="11">
        <f>IF($A1589="","",COUNTIFS(Ventes_Detail!$B$6:$B$3005,$A1589))</f>
        <v/>
      </c>
      <c r="M1589" s="12" t="n"/>
      <c r="N1589" s="12">
        <f>IF($A1589="","",IF($G1589="","",IF($M1589="Oui","Litige",IF($J1589&lt;=0,"Payé",IF($I1589&gt;0,"Partiel",IF(Listes!$B$3&gt;$G1589,"En retard","À échoir"))))))</f>
        <v/>
      </c>
      <c r="O1589" s="11">
        <f>IF($A1589="","",IF(OR($G1589="", $J1589&lt;=0),0,MAX(0,Listes!$B$3-$G1589)))</f>
        <v/>
      </c>
      <c r="P1589" s="12">
        <f>IF($A1589="","",IF($J1589&lt;=0,"Payé",IF($M1589="Oui","Litige",IF($O1589=0,"À échoir",IF($O1589&lt;=30,"0-30",IF($O1589&lt;=60,"31-60",IF($O1589&lt;=90,"61-90","90+")))))))</f>
        <v/>
      </c>
    </row>
    <row r="1590">
      <c r="A1590" s="6" t="n"/>
      <c r="B1590" s="6" t="n"/>
      <c r="C1590" s="6" t="n"/>
      <c r="D1590" s="6" t="n"/>
      <c r="E1590" s="6" t="n"/>
      <c r="F1590" s="7" t="n"/>
      <c r="G1590" s="7" t="n"/>
      <c r="H1590" s="8" t="n"/>
      <c r="I1590" s="9">
        <f>IF($A1590="","",SUMIFS(Ventes_Encaissements!$D$6:$D$3005,Ventes_Encaissements!$B$6:$B$3005,$A1590))</f>
        <v/>
      </c>
      <c r="J1590" s="9">
        <f>IF($A1590="","",$H1590-$I1590)</f>
        <v/>
      </c>
      <c r="K1590" s="10">
        <f>IF($A1590="","",IF($I1590=0,"",_xludf.AGGREGATE(14,6,Ventes_Encaissements!$C$6:$C$3005/(Ventes_Encaissements!$B$6:$B$3005=$A1590),1)))</f>
        <v/>
      </c>
      <c r="L1590" s="11">
        <f>IF($A1590="","",COUNTIFS(Ventes_Detail!$B$6:$B$3005,$A1590))</f>
        <v/>
      </c>
      <c r="M1590" s="12" t="n"/>
      <c r="N1590" s="12">
        <f>IF($A1590="","",IF($G1590="","",IF($M1590="Oui","Litige",IF($J1590&lt;=0,"Payé",IF($I1590&gt;0,"Partiel",IF(Listes!$B$3&gt;$G1590,"En retard","À échoir"))))))</f>
        <v/>
      </c>
      <c r="O1590" s="11">
        <f>IF($A1590="","",IF(OR($G1590="", $J1590&lt;=0),0,MAX(0,Listes!$B$3-$G1590)))</f>
        <v/>
      </c>
      <c r="P1590" s="12">
        <f>IF($A1590="","",IF($J1590&lt;=0,"Payé",IF($M1590="Oui","Litige",IF($O1590=0,"À échoir",IF($O1590&lt;=30,"0-30",IF($O1590&lt;=60,"31-60",IF($O1590&lt;=90,"61-90","90+")))))))</f>
        <v/>
      </c>
    </row>
    <row r="1591">
      <c r="A1591" s="6" t="n"/>
      <c r="B1591" s="6" t="n"/>
      <c r="C1591" s="6" t="n"/>
      <c r="D1591" s="6" t="n"/>
      <c r="E1591" s="6" t="n"/>
      <c r="F1591" s="7" t="n"/>
      <c r="G1591" s="7" t="n"/>
      <c r="H1591" s="8" t="n"/>
      <c r="I1591" s="9">
        <f>IF($A1591="","",SUMIFS(Ventes_Encaissements!$D$6:$D$3005,Ventes_Encaissements!$B$6:$B$3005,$A1591))</f>
        <v/>
      </c>
      <c r="J1591" s="9">
        <f>IF($A1591="","",$H1591-$I1591)</f>
        <v/>
      </c>
      <c r="K1591" s="10">
        <f>IF($A1591="","",IF($I1591=0,"",_xludf.AGGREGATE(14,6,Ventes_Encaissements!$C$6:$C$3005/(Ventes_Encaissements!$B$6:$B$3005=$A1591),1)))</f>
        <v/>
      </c>
      <c r="L1591" s="11">
        <f>IF($A1591="","",COUNTIFS(Ventes_Detail!$B$6:$B$3005,$A1591))</f>
        <v/>
      </c>
      <c r="M1591" s="12" t="n"/>
      <c r="N1591" s="12">
        <f>IF($A1591="","",IF($G1591="","",IF($M1591="Oui","Litige",IF($J1591&lt;=0,"Payé",IF($I1591&gt;0,"Partiel",IF(Listes!$B$3&gt;$G1591,"En retard","À échoir"))))))</f>
        <v/>
      </c>
      <c r="O1591" s="11">
        <f>IF($A1591="","",IF(OR($G1591="", $J1591&lt;=0),0,MAX(0,Listes!$B$3-$G1591)))</f>
        <v/>
      </c>
      <c r="P1591" s="12">
        <f>IF($A1591="","",IF($J1591&lt;=0,"Payé",IF($M1591="Oui","Litige",IF($O1591=0,"À échoir",IF($O1591&lt;=30,"0-30",IF($O1591&lt;=60,"31-60",IF($O1591&lt;=90,"61-90","90+")))))))</f>
        <v/>
      </c>
    </row>
    <row r="1592">
      <c r="A1592" s="6" t="n"/>
      <c r="B1592" s="6" t="n"/>
      <c r="C1592" s="6" t="n"/>
      <c r="D1592" s="6" t="n"/>
      <c r="E1592" s="6" t="n"/>
      <c r="F1592" s="7" t="n"/>
      <c r="G1592" s="7" t="n"/>
      <c r="H1592" s="8" t="n"/>
      <c r="I1592" s="9">
        <f>IF($A1592="","",SUMIFS(Ventes_Encaissements!$D$6:$D$3005,Ventes_Encaissements!$B$6:$B$3005,$A1592))</f>
        <v/>
      </c>
      <c r="J1592" s="9">
        <f>IF($A1592="","",$H1592-$I1592)</f>
        <v/>
      </c>
      <c r="K1592" s="10">
        <f>IF($A1592="","",IF($I1592=0,"",_xludf.AGGREGATE(14,6,Ventes_Encaissements!$C$6:$C$3005/(Ventes_Encaissements!$B$6:$B$3005=$A1592),1)))</f>
        <v/>
      </c>
      <c r="L1592" s="11">
        <f>IF($A1592="","",COUNTIFS(Ventes_Detail!$B$6:$B$3005,$A1592))</f>
        <v/>
      </c>
      <c r="M1592" s="12" t="n"/>
      <c r="N1592" s="12">
        <f>IF($A1592="","",IF($G1592="","",IF($M1592="Oui","Litige",IF($J1592&lt;=0,"Payé",IF($I1592&gt;0,"Partiel",IF(Listes!$B$3&gt;$G1592,"En retard","À échoir"))))))</f>
        <v/>
      </c>
      <c r="O1592" s="11">
        <f>IF($A1592="","",IF(OR($G1592="", $J1592&lt;=0),0,MAX(0,Listes!$B$3-$G1592)))</f>
        <v/>
      </c>
      <c r="P1592" s="12">
        <f>IF($A1592="","",IF($J1592&lt;=0,"Payé",IF($M1592="Oui","Litige",IF($O1592=0,"À échoir",IF($O1592&lt;=30,"0-30",IF($O1592&lt;=60,"31-60",IF($O1592&lt;=90,"61-90","90+")))))))</f>
        <v/>
      </c>
    </row>
    <row r="1593">
      <c r="A1593" s="6" t="n"/>
      <c r="B1593" s="6" t="n"/>
      <c r="C1593" s="6" t="n"/>
      <c r="D1593" s="6" t="n"/>
      <c r="E1593" s="6" t="n"/>
      <c r="F1593" s="7" t="n"/>
      <c r="G1593" s="7" t="n"/>
      <c r="H1593" s="8" t="n"/>
      <c r="I1593" s="9">
        <f>IF($A1593="","",SUMIFS(Ventes_Encaissements!$D$6:$D$3005,Ventes_Encaissements!$B$6:$B$3005,$A1593))</f>
        <v/>
      </c>
      <c r="J1593" s="9">
        <f>IF($A1593="","",$H1593-$I1593)</f>
        <v/>
      </c>
      <c r="K1593" s="10">
        <f>IF($A1593="","",IF($I1593=0,"",_xludf.AGGREGATE(14,6,Ventes_Encaissements!$C$6:$C$3005/(Ventes_Encaissements!$B$6:$B$3005=$A1593),1)))</f>
        <v/>
      </c>
      <c r="L1593" s="11">
        <f>IF($A1593="","",COUNTIFS(Ventes_Detail!$B$6:$B$3005,$A1593))</f>
        <v/>
      </c>
      <c r="M1593" s="12" t="n"/>
      <c r="N1593" s="12">
        <f>IF($A1593="","",IF($G1593="","",IF($M1593="Oui","Litige",IF($J1593&lt;=0,"Payé",IF($I1593&gt;0,"Partiel",IF(Listes!$B$3&gt;$G1593,"En retard","À échoir"))))))</f>
        <v/>
      </c>
      <c r="O1593" s="11">
        <f>IF($A1593="","",IF(OR($G1593="", $J1593&lt;=0),0,MAX(0,Listes!$B$3-$G1593)))</f>
        <v/>
      </c>
      <c r="P1593" s="12">
        <f>IF($A1593="","",IF($J1593&lt;=0,"Payé",IF($M1593="Oui","Litige",IF($O1593=0,"À échoir",IF($O1593&lt;=30,"0-30",IF($O1593&lt;=60,"31-60",IF($O1593&lt;=90,"61-90","90+")))))))</f>
        <v/>
      </c>
    </row>
    <row r="1594">
      <c r="A1594" s="6" t="n"/>
      <c r="B1594" s="6" t="n"/>
      <c r="C1594" s="6" t="n"/>
      <c r="D1594" s="6" t="n"/>
      <c r="E1594" s="6" t="n"/>
      <c r="F1594" s="7" t="n"/>
      <c r="G1594" s="7" t="n"/>
      <c r="H1594" s="8" t="n"/>
      <c r="I1594" s="9">
        <f>IF($A1594="","",SUMIFS(Ventes_Encaissements!$D$6:$D$3005,Ventes_Encaissements!$B$6:$B$3005,$A1594))</f>
        <v/>
      </c>
      <c r="J1594" s="9">
        <f>IF($A1594="","",$H1594-$I1594)</f>
        <v/>
      </c>
      <c r="K1594" s="10">
        <f>IF($A1594="","",IF($I1594=0,"",_xludf.AGGREGATE(14,6,Ventes_Encaissements!$C$6:$C$3005/(Ventes_Encaissements!$B$6:$B$3005=$A1594),1)))</f>
        <v/>
      </c>
      <c r="L1594" s="11">
        <f>IF($A1594="","",COUNTIFS(Ventes_Detail!$B$6:$B$3005,$A1594))</f>
        <v/>
      </c>
      <c r="M1594" s="12" t="n"/>
      <c r="N1594" s="12">
        <f>IF($A1594="","",IF($G1594="","",IF($M1594="Oui","Litige",IF($J1594&lt;=0,"Payé",IF($I1594&gt;0,"Partiel",IF(Listes!$B$3&gt;$G1594,"En retard","À échoir"))))))</f>
        <v/>
      </c>
      <c r="O1594" s="11">
        <f>IF($A1594="","",IF(OR($G1594="", $J1594&lt;=0),0,MAX(0,Listes!$B$3-$G1594)))</f>
        <v/>
      </c>
      <c r="P1594" s="12">
        <f>IF($A1594="","",IF($J1594&lt;=0,"Payé",IF($M1594="Oui","Litige",IF($O1594=0,"À échoir",IF($O1594&lt;=30,"0-30",IF($O1594&lt;=60,"31-60",IF($O1594&lt;=90,"61-90","90+")))))))</f>
        <v/>
      </c>
    </row>
    <row r="1595">
      <c r="A1595" s="6" t="n"/>
      <c r="B1595" s="6" t="n"/>
      <c r="C1595" s="6" t="n"/>
      <c r="D1595" s="6" t="n"/>
      <c r="E1595" s="6" t="n"/>
      <c r="F1595" s="7" t="n"/>
      <c r="G1595" s="7" t="n"/>
      <c r="H1595" s="8" t="n"/>
      <c r="I1595" s="9">
        <f>IF($A1595="","",SUMIFS(Ventes_Encaissements!$D$6:$D$3005,Ventes_Encaissements!$B$6:$B$3005,$A1595))</f>
        <v/>
      </c>
      <c r="J1595" s="9">
        <f>IF($A1595="","",$H1595-$I1595)</f>
        <v/>
      </c>
      <c r="K1595" s="10">
        <f>IF($A1595="","",IF($I1595=0,"",_xludf.AGGREGATE(14,6,Ventes_Encaissements!$C$6:$C$3005/(Ventes_Encaissements!$B$6:$B$3005=$A1595),1)))</f>
        <v/>
      </c>
      <c r="L1595" s="11">
        <f>IF($A1595="","",COUNTIFS(Ventes_Detail!$B$6:$B$3005,$A1595))</f>
        <v/>
      </c>
      <c r="M1595" s="12" t="n"/>
      <c r="N1595" s="12">
        <f>IF($A1595="","",IF($G1595="","",IF($M1595="Oui","Litige",IF($J1595&lt;=0,"Payé",IF($I1595&gt;0,"Partiel",IF(Listes!$B$3&gt;$G1595,"En retard","À échoir"))))))</f>
        <v/>
      </c>
      <c r="O1595" s="11">
        <f>IF($A1595="","",IF(OR($G1595="", $J1595&lt;=0),0,MAX(0,Listes!$B$3-$G1595)))</f>
        <v/>
      </c>
      <c r="P1595" s="12">
        <f>IF($A1595="","",IF($J1595&lt;=0,"Payé",IF($M1595="Oui","Litige",IF($O1595=0,"À échoir",IF($O1595&lt;=30,"0-30",IF($O1595&lt;=60,"31-60",IF($O1595&lt;=90,"61-90","90+")))))))</f>
        <v/>
      </c>
    </row>
    <row r="1596">
      <c r="A1596" s="6" t="n"/>
      <c r="B1596" s="6" t="n"/>
      <c r="C1596" s="6" t="n"/>
      <c r="D1596" s="6" t="n"/>
      <c r="E1596" s="6" t="n"/>
      <c r="F1596" s="7" t="n"/>
      <c r="G1596" s="7" t="n"/>
      <c r="H1596" s="8" t="n"/>
      <c r="I1596" s="9">
        <f>IF($A1596="","",SUMIFS(Ventes_Encaissements!$D$6:$D$3005,Ventes_Encaissements!$B$6:$B$3005,$A1596))</f>
        <v/>
      </c>
      <c r="J1596" s="9">
        <f>IF($A1596="","",$H1596-$I1596)</f>
        <v/>
      </c>
      <c r="K1596" s="10">
        <f>IF($A1596="","",IF($I1596=0,"",_xludf.AGGREGATE(14,6,Ventes_Encaissements!$C$6:$C$3005/(Ventes_Encaissements!$B$6:$B$3005=$A1596),1)))</f>
        <v/>
      </c>
      <c r="L1596" s="11">
        <f>IF($A1596="","",COUNTIFS(Ventes_Detail!$B$6:$B$3005,$A1596))</f>
        <v/>
      </c>
      <c r="M1596" s="12" t="n"/>
      <c r="N1596" s="12">
        <f>IF($A1596="","",IF($G1596="","",IF($M1596="Oui","Litige",IF($J1596&lt;=0,"Payé",IF($I1596&gt;0,"Partiel",IF(Listes!$B$3&gt;$G1596,"En retard","À échoir"))))))</f>
        <v/>
      </c>
      <c r="O1596" s="11">
        <f>IF($A1596="","",IF(OR($G1596="", $J1596&lt;=0),0,MAX(0,Listes!$B$3-$G1596)))</f>
        <v/>
      </c>
      <c r="P1596" s="12">
        <f>IF($A1596="","",IF($J1596&lt;=0,"Payé",IF($M1596="Oui","Litige",IF($O1596=0,"À échoir",IF($O1596&lt;=30,"0-30",IF($O1596&lt;=60,"31-60",IF($O1596&lt;=90,"61-90","90+")))))))</f>
        <v/>
      </c>
    </row>
    <row r="1597">
      <c r="A1597" s="6" t="n"/>
      <c r="B1597" s="6" t="n"/>
      <c r="C1597" s="6" t="n"/>
      <c r="D1597" s="6" t="n"/>
      <c r="E1597" s="6" t="n"/>
      <c r="F1597" s="7" t="n"/>
      <c r="G1597" s="7" t="n"/>
      <c r="H1597" s="8" t="n"/>
      <c r="I1597" s="9">
        <f>IF($A1597="","",SUMIFS(Ventes_Encaissements!$D$6:$D$3005,Ventes_Encaissements!$B$6:$B$3005,$A1597))</f>
        <v/>
      </c>
      <c r="J1597" s="9">
        <f>IF($A1597="","",$H1597-$I1597)</f>
        <v/>
      </c>
      <c r="K1597" s="10">
        <f>IF($A1597="","",IF($I1597=0,"",_xludf.AGGREGATE(14,6,Ventes_Encaissements!$C$6:$C$3005/(Ventes_Encaissements!$B$6:$B$3005=$A1597),1)))</f>
        <v/>
      </c>
      <c r="L1597" s="11">
        <f>IF($A1597="","",COUNTIFS(Ventes_Detail!$B$6:$B$3005,$A1597))</f>
        <v/>
      </c>
      <c r="M1597" s="12" t="n"/>
      <c r="N1597" s="12">
        <f>IF($A1597="","",IF($G1597="","",IF($M1597="Oui","Litige",IF($J1597&lt;=0,"Payé",IF($I1597&gt;0,"Partiel",IF(Listes!$B$3&gt;$G1597,"En retard","À échoir"))))))</f>
        <v/>
      </c>
      <c r="O1597" s="11">
        <f>IF($A1597="","",IF(OR($G1597="", $J1597&lt;=0),0,MAX(0,Listes!$B$3-$G1597)))</f>
        <v/>
      </c>
      <c r="P1597" s="12">
        <f>IF($A1597="","",IF($J1597&lt;=0,"Payé",IF($M1597="Oui","Litige",IF($O1597=0,"À échoir",IF($O1597&lt;=30,"0-30",IF($O1597&lt;=60,"31-60",IF($O1597&lt;=90,"61-90","90+")))))))</f>
        <v/>
      </c>
    </row>
    <row r="1598">
      <c r="A1598" s="6" t="n"/>
      <c r="B1598" s="6" t="n"/>
      <c r="C1598" s="6" t="n"/>
      <c r="D1598" s="6" t="n"/>
      <c r="E1598" s="6" t="n"/>
      <c r="F1598" s="7" t="n"/>
      <c r="G1598" s="7" t="n"/>
      <c r="H1598" s="8" t="n"/>
      <c r="I1598" s="9">
        <f>IF($A1598="","",SUMIFS(Ventes_Encaissements!$D$6:$D$3005,Ventes_Encaissements!$B$6:$B$3005,$A1598))</f>
        <v/>
      </c>
      <c r="J1598" s="9">
        <f>IF($A1598="","",$H1598-$I1598)</f>
        <v/>
      </c>
      <c r="K1598" s="10">
        <f>IF($A1598="","",IF($I1598=0,"",_xludf.AGGREGATE(14,6,Ventes_Encaissements!$C$6:$C$3005/(Ventes_Encaissements!$B$6:$B$3005=$A1598),1)))</f>
        <v/>
      </c>
      <c r="L1598" s="11">
        <f>IF($A1598="","",COUNTIFS(Ventes_Detail!$B$6:$B$3005,$A1598))</f>
        <v/>
      </c>
      <c r="M1598" s="12" t="n"/>
      <c r="N1598" s="12">
        <f>IF($A1598="","",IF($G1598="","",IF($M1598="Oui","Litige",IF($J1598&lt;=0,"Payé",IF($I1598&gt;0,"Partiel",IF(Listes!$B$3&gt;$G1598,"En retard","À échoir"))))))</f>
        <v/>
      </c>
      <c r="O1598" s="11">
        <f>IF($A1598="","",IF(OR($G1598="", $J1598&lt;=0),0,MAX(0,Listes!$B$3-$G1598)))</f>
        <v/>
      </c>
      <c r="P1598" s="12">
        <f>IF($A1598="","",IF($J1598&lt;=0,"Payé",IF($M1598="Oui","Litige",IF($O1598=0,"À échoir",IF($O1598&lt;=30,"0-30",IF($O1598&lt;=60,"31-60",IF($O1598&lt;=90,"61-90","90+")))))))</f>
        <v/>
      </c>
    </row>
    <row r="1599">
      <c r="A1599" s="6" t="n"/>
      <c r="B1599" s="6" t="n"/>
      <c r="C1599" s="6" t="n"/>
      <c r="D1599" s="6" t="n"/>
      <c r="E1599" s="6" t="n"/>
      <c r="F1599" s="7" t="n"/>
      <c r="G1599" s="7" t="n"/>
      <c r="H1599" s="8" t="n"/>
      <c r="I1599" s="9">
        <f>IF($A1599="","",SUMIFS(Ventes_Encaissements!$D$6:$D$3005,Ventes_Encaissements!$B$6:$B$3005,$A1599))</f>
        <v/>
      </c>
      <c r="J1599" s="9">
        <f>IF($A1599="","",$H1599-$I1599)</f>
        <v/>
      </c>
      <c r="K1599" s="10">
        <f>IF($A1599="","",IF($I1599=0,"",_xludf.AGGREGATE(14,6,Ventes_Encaissements!$C$6:$C$3005/(Ventes_Encaissements!$B$6:$B$3005=$A1599),1)))</f>
        <v/>
      </c>
      <c r="L1599" s="11">
        <f>IF($A1599="","",COUNTIFS(Ventes_Detail!$B$6:$B$3005,$A1599))</f>
        <v/>
      </c>
      <c r="M1599" s="12" t="n"/>
      <c r="N1599" s="12">
        <f>IF($A1599="","",IF($G1599="","",IF($M1599="Oui","Litige",IF($J1599&lt;=0,"Payé",IF($I1599&gt;0,"Partiel",IF(Listes!$B$3&gt;$G1599,"En retard","À échoir"))))))</f>
        <v/>
      </c>
      <c r="O1599" s="11">
        <f>IF($A1599="","",IF(OR($G1599="", $J1599&lt;=0),0,MAX(0,Listes!$B$3-$G1599)))</f>
        <v/>
      </c>
      <c r="P1599" s="12">
        <f>IF($A1599="","",IF($J1599&lt;=0,"Payé",IF($M1599="Oui","Litige",IF($O1599=0,"À échoir",IF($O1599&lt;=30,"0-30",IF($O1599&lt;=60,"31-60",IF($O1599&lt;=90,"61-90","90+")))))))</f>
        <v/>
      </c>
    </row>
    <row r="1600">
      <c r="A1600" s="6" t="n"/>
      <c r="B1600" s="6" t="n"/>
      <c r="C1600" s="6" t="n"/>
      <c r="D1600" s="6" t="n"/>
      <c r="E1600" s="6" t="n"/>
      <c r="F1600" s="7" t="n"/>
      <c r="G1600" s="7" t="n"/>
      <c r="H1600" s="8" t="n"/>
      <c r="I1600" s="9">
        <f>IF($A1600="","",SUMIFS(Ventes_Encaissements!$D$6:$D$3005,Ventes_Encaissements!$B$6:$B$3005,$A1600))</f>
        <v/>
      </c>
      <c r="J1600" s="9">
        <f>IF($A1600="","",$H1600-$I1600)</f>
        <v/>
      </c>
      <c r="K1600" s="10">
        <f>IF($A1600="","",IF($I1600=0,"",_xludf.AGGREGATE(14,6,Ventes_Encaissements!$C$6:$C$3005/(Ventes_Encaissements!$B$6:$B$3005=$A1600),1)))</f>
        <v/>
      </c>
      <c r="L1600" s="11">
        <f>IF($A1600="","",COUNTIFS(Ventes_Detail!$B$6:$B$3005,$A1600))</f>
        <v/>
      </c>
      <c r="M1600" s="12" t="n"/>
      <c r="N1600" s="12">
        <f>IF($A1600="","",IF($G1600="","",IF($M1600="Oui","Litige",IF($J1600&lt;=0,"Payé",IF($I1600&gt;0,"Partiel",IF(Listes!$B$3&gt;$G1600,"En retard","À échoir"))))))</f>
        <v/>
      </c>
      <c r="O1600" s="11">
        <f>IF($A1600="","",IF(OR($G1600="", $J1600&lt;=0),0,MAX(0,Listes!$B$3-$G1600)))</f>
        <v/>
      </c>
      <c r="P1600" s="12">
        <f>IF($A1600="","",IF($J1600&lt;=0,"Payé",IF($M1600="Oui","Litige",IF($O1600=0,"À échoir",IF($O1600&lt;=30,"0-30",IF($O1600&lt;=60,"31-60",IF($O1600&lt;=90,"61-90","90+")))))))</f>
        <v/>
      </c>
    </row>
    <row r="1601">
      <c r="A1601" s="6" t="n"/>
      <c r="B1601" s="6" t="n"/>
      <c r="C1601" s="6" t="n"/>
      <c r="D1601" s="6" t="n"/>
      <c r="E1601" s="6" t="n"/>
      <c r="F1601" s="7" t="n"/>
      <c r="G1601" s="7" t="n"/>
      <c r="H1601" s="8" t="n"/>
      <c r="I1601" s="9">
        <f>IF($A1601="","",SUMIFS(Ventes_Encaissements!$D$6:$D$3005,Ventes_Encaissements!$B$6:$B$3005,$A1601))</f>
        <v/>
      </c>
      <c r="J1601" s="9">
        <f>IF($A1601="","",$H1601-$I1601)</f>
        <v/>
      </c>
      <c r="K1601" s="10">
        <f>IF($A1601="","",IF($I1601=0,"",_xludf.AGGREGATE(14,6,Ventes_Encaissements!$C$6:$C$3005/(Ventes_Encaissements!$B$6:$B$3005=$A1601),1)))</f>
        <v/>
      </c>
      <c r="L1601" s="11">
        <f>IF($A1601="","",COUNTIFS(Ventes_Detail!$B$6:$B$3005,$A1601))</f>
        <v/>
      </c>
      <c r="M1601" s="12" t="n"/>
      <c r="N1601" s="12">
        <f>IF($A1601="","",IF($G1601="","",IF($M1601="Oui","Litige",IF($J1601&lt;=0,"Payé",IF($I1601&gt;0,"Partiel",IF(Listes!$B$3&gt;$G1601,"En retard","À échoir"))))))</f>
        <v/>
      </c>
      <c r="O1601" s="11">
        <f>IF($A1601="","",IF(OR($G1601="", $J1601&lt;=0),0,MAX(0,Listes!$B$3-$G1601)))</f>
        <v/>
      </c>
      <c r="P1601" s="12">
        <f>IF($A1601="","",IF($J1601&lt;=0,"Payé",IF($M1601="Oui","Litige",IF($O1601=0,"À échoir",IF($O1601&lt;=30,"0-30",IF($O1601&lt;=60,"31-60",IF($O1601&lt;=90,"61-90","90+")))))))</f>
        <v/>
      </c>
    </row>
    <row r="1602">
      <c r="A1602" s="6" t="n"/>
      <c r="B1602" s="6" t="n"/>
      <c r="C1602" s="6" t="n"/>
      <c r="D1602" s="6" t="n"/>
      <c r="E1602" s="6" t="n"/>
      <c r="F1602" s="7" t="n"/>
      <c r="G1602" s="7" t="n"/>
      <c r="H1602" s="8" t="n"/>
      <c r="I1602" s="9">
        <f>IF($A1602="","",SUMIFS(Ventes_Encaissements!$D$6:$D$3005,Ventes_Encaissements!$B$6:$B$3005,$A1602))</f>
        <v/>
      </c>
      <c r="J1602" s="9">
        <f>IF($A1602="","",$H1602-$I1602)</f>
        <v/>
      </c>
      <c r="K1602" s="10">
        <f>IF($A1602="","",IF($I1602=0,"",_xludf.AGGREGATE(14,6,Ventes_Encaissements!$C$6:$C$3005/(Ventes_Encaissements!$B$6:$B$3005=$A1602),1)))</f>
        <v/>
      </c>
      <c r="L1602" s="11">
        <f>IF($A1602="","",COUNTIFS(Ventes_Detail!$B$6:$B$3005,$A1602))</f>
        <v/>
      </c>
      <c r="M1602" s="12" t="n"/>
      <c r="N1602" s="12">
        <f>IF($A1602="","",IF($G1602="","",IF($M1602="Oui","Litige",IF($J1602&lt;=0,"Payé",IF($I1602&gt;0,"Partiel",IF(Listes!$B$3&gt;$G1602,"En retard","À échoir"))))))</f>
        <v/>
      </c>
      <c r="O1602" s="11">
        <f>IF($A1602="","",IF(OR($G1602="", $J1602&lt;=0),0,MAX(0,Listes!$B$3-$G1602)))</f>
        <v/>
      </c>
      <c r="P1602" s="12">
        <f>IF($A1602="","",IF($J1602&lt;=0,"Payé",IF($M1602="Oui","Litige",IF($O1602=0,"À échoir",IF($O1602&lt;=30,"0-30",IF($O1602&lt;=60,"31-60",IF($O1602&lt;=90,"61-90","90+")))))))</f>
        <v/>
      </c>
    </row>
    <row r="1603">
      <c r="A1603" s="6" t="n"/>
      <c r="B1603" s="6" t="n"/>
      <c r="C1603" s="6" t="n"/>
      <c r="D1603" s="6" t="n"/>
      <c r="E1603" s="6" t="n"/>
      <c r="F1603" s="7" t="n"/>
      <c r="G1603" s="7" t="n"/>
      <c r="H1603" s="8" t="n"/>
      <c r="I1603" s="9">
        <f>IF($A1603="","",SUMIFS(Ventes_Encaissements!$D$6:$D$3005,Ventes_Encaissements!$B$6:$B$3005,$A1603))</f>
        <v/>
      </c>
      <c r="J1603" s="9">
        <f>IF($A1603="","",$H1603-$I1603)</f>
        <v/>
      </c>
      <c r="K1603" s="10">
        <f>IF($A1603="","",IF($I1603=0,"",_xludf.AGGREGATE(14,6,Ventes_Encaissements!$C$6:$C$3005/(Ventes_Encaissements!$B$6:$B$3005=$A1603),1)))</f>
        <v/>
      </c>
      <c r="L1603" s="11">
        <f>IF($A1603="","",COUNTIFS(Ventes_Detail!$B$6:$B$3005,$A1603))</f>
        <v/>
      </c>
      <c r="M1603" s="12" t="n"/>
      <c r="N1603" s="12">
        <f>IF($A1603="","",IF($G1603="","",IF($M1603="Oui","Litige",IF($J1603&lt;=0,"Payé",IF($I1603&gt;0,"Partiel",IF(Listes!$B$3&gt;$G1603,"En retard","À échoir"))))))</f>
        <v/>
      </c>
      <c r="O1603" s="11">
        <f>IF($A1603="","",IF(OR($G1603="", $J1603&lt;=0),0,MAX(0,Listes!$B$3-$G1603)))</f>
        <v/>
      </c>
      <c r="P1603" s="12">
        <f>IF($A1603="","",IF($J1603&lt;=0,"Payé",IF($M1603="Oui","Litige",IF($O1603=0,"À échoir",IF($O1603&lt;=30,"0-30",IF($O1603&lt;=60,"31-60",IF($O1603&lt;=90,"61-90","90+")))))))</f>
        <v/>
      </c>
    </row>
    <row r="1604">
      <c r="A1604" s="6" t="n"/>
      <c r="B1604" s="6" t="n"/>
      <c r="C1604" s="6" t="n"/>
      <c r="D1604" s="6" t="n"/>
      <c r="E1604" s="6" t="n"/>
      <c r="F1604" s="7" t="n"/>
      <c r="G1604" s="7" t="n"/>
      <c r="H1604" s="8" t="n"/>
      <c r="I1604" s="9">
        <f>IF($A1604="","",SUMIFS(Ventes_Encaissements!$D$6:$D$3005,Ventes_Encaissements!$B$6:$B$3005,$A1604))</f>
        <v/>
      </c>
      <c r="J1604" s="9">
        <f>IF($A1604="","",$H1604-$I1604)</f>
        <v/>
      </c>
      <c r="K1604" s="10">
        <f>IF($A1604="","",IF($I1604=0,"",_xludf.AGGREGATE(14,6,Ventes_Encaissements!$C$6:$C$3005/(Ventes_Encaissements!$B$6:$B$3005=$A1604),1)))</f>
        <v/>
      </c>
      <c r="L1604" s="11">
        <f>IF($A1604="","",COUNTIFS(Ventes_Detail!$B$6:$B$3005,$A1604))</f>
        <v/>
      </c>
      <c r="M1604" s="12" t="n"/>
      <c r="N1604" s="12">
        <f>IF($A1604="","",IF($G1604="","",IF($M1604="Oui","Litige",IF($J1604&lt;=0,"Payé",IF($I1604&gt;0,"Partiel",IF(Listes!$B$3&gt;$G1604,"En retard","À échoir"))))))</f>
        <v/>
      </c>
      <c r="O1604" s="11">
        <f>IF($A1604="","",IF(OR($G1604="", $J1604&lt;=0),0,MAX(0,Listes!$B$3-$G1604)))</f>
        <v/>
      </c>
      <c r="P1604" s="12">
        <f>IF($A1604="","",IF($J1604&lt;=0,"Payé",IF($M1604="Oui","Litige",IF($O1604=0,"À échoir",IF($O1604&lt;=30,"0-30",IF($O1604&lt;=60,"31-60",IF($O1604&lt;=90,"61-90","90+")))))))</f>
        <v/>
      </c>
    </row>
    <row r="1605">
      <c r="A1605" s="6" t="n"/>
      <c r="B1605" s="6" t="n"/>
      <c r="C1605" s="6" t="n"/>
      <c r="D1605" s="6" t="n"/>
      <c r="E1605" s="6" t="n"/>
      <c r="F1605" s="7" t="n"/>
      <c r="G1605" s="7" t="n"/>
      <c r="H1605" s="8" t="n"/>
      <c r="I1605" s="9">
        <f>IF($A1605="","",SUMIFS(Ventes_Encaissements!$D$6:$D$3005,Ventes_Encaissements!$B$6:$B$3005,$A1605))</f>
        <v/>
      </c>
      <c r="J1605" s="9">
        <f>IF($A1605="","",$H1605-$I1605)</f>
        <v/>
      </c>
      <c r="K1605" s="10">
        <f>IF($A1605="","",IF($I1605=0,"",_xludf.AGGREGATE(14,6,Ventes_Encaissements!$C$6:$C$3005/(Ventes_Encaissements!$B$6:$B$3005=$A1605),1)))</f>
        <v/>
      </c>
      <c r="L1605" s="11">
        <f>IF($A1605="","",COUNTIFS(Ventes_Detail!$B$6:$B$3005,$A1605))</f>
        <v/>
      </c>
      <c r="M1605" s="12" t="n"/>
      <c r="N1605" s="12">
        <f>IF($A1605="","",IF($G1605="","",IF($M1605="Oui","Litige",IF($J1605&lt;=0,"Payé",IF($I1605&gt;0,"Partiel",IF(Listes!$B$3&gt;$G1605,"En retard","À échoir"))))))</f>
        <v/>
      </c>
      <c r="O1605" s="11">
        <f>IF($A1605="","",IF(OR($G1605="", $J1605&lt;=0),0,MAX(0,Listes!$B$3-$G1605)))</f>
        <v/>
      </c>
      <c r="P1605" s="12">
        <f>IF($A1605="","",IF($J1605&lt;=0,"Payé",IF($M1605="Oui","Litige",IF($O1605=0,"À échoir",IF($O1605&lt;=30,"0-30",IF($O1605&lt;=60,"31-60",IF($O1605&lt;=90,"61-90","90+")))))))</f>
        <v/>
      </c>
    </row>
    <row r="1606">
      <c r="A1606" s="6" t="n"/>
      <c r="B1606" s="6" t="n"/>
      <c r="C1606" s="6" t="n"/>
      <c r="D1606" s="6" t="n"/>
      <c r="E1606" s="6" t="n"/>
      <c r="F1606" s="7" t="n"/>
      <c r="G1606" s="7" t="n"/>
      <c r="H1606" s="8" t="n"/>
      <c r="I1606" s="9">
        <f>IF($A1606="","",SUMIFS(Ventes_Encaissements!$D$6:$D$3005,Ventes_Encaissements!$B$6:$B$3005,$A1606))</f>
        <v/>
      </c>
      <c r="J1606" s="9">
        <f>IF($A1606="","",$H1606-$I1606)</f>
        <v/>
      </c>
      <c r="K1606" s="10">
        <f>IF($A1606="","",IF($I1606=0,"",_xludf.AGGREGATE(14,6,Ventes_Encaissements!$C$6:$C$3005/(Ventes_Encaissements!$B$6:$B$3005=$A1606),1)))</f>
        <v/>
      </c>
      <c r="L1606" s="11">
        <f>IF($A1606="","",COUNTIFS(Ventes_Detail!$B$6:$B$3005,$A1606))</f>
        <v/>
      </c>
      <c r="M1606" s="12" t="n"/>
      <c r="N1606" s="12">
        <f>IF($A1606="","",IF($G1606="","",IF($M1606="Oui","Litige",IF($J1606&lt;=0,"Payé",IF($I1606&gt;0,"Partiel",IF(Listes!$B$3&gt;$G1606,"En retard","À échoir"))))))</f>
        <v/>
      </c>
      <c r="O1606" s="11">
        <f>IF($A1606="","",IF(OR($G1606="", $J1606&lt;=0),0,MAX(0,Listes!$B$3-$G1606)))</f>
        <v/>
      </c>
      <c r="P1606" s="12">
        <f>IF($A1606="","",IF($J1606&lt;=0,"Payé",IF($M1606="Oui","Litige",IF($O1606=0,"À échoir",IF($O1606&lt;=30,"0-30",IF($O1606&lt;=60,"31-60",IF($O1606&lt;=90,"61-90","90+")))))))</f>
        <v/>
      </c>
    </row>
    <row r="1607">
      <c r="A1607" s="6" t="n"/>
      <c r="B1607" s="6" t="n"/>
      <c r="C1607" s="6" t="n"/>
      <c r="D1607" s="6" t="n"/>
      <c r="E1607" s="6" t="n"/>
      <c r="F1607" s="7" t="n"/>
      <c r="G1607" s="7" t="n"/>
      <c r="H1607" s="8" t="n"/>
      <c r="I1607" s="9">
        <f>IF($A1607="","",SUMIFS(Ventes_Encaissements!$D$6:$D$3005,Ventes_Encaissements!$B$6:$B$3005,$A1607))</f>
        <v/>
      </c>
      <c r="J1607" s="9">
        <f>IF($A1607="","",$H1607-$I1607)</f>
        <v/>
      </c>
      <c r="K1607" s="10">
        <f>IF($A1607="","",IF($I1607=0,"",_xludf.AGGREGATE(14,6,Ventes_Encaissements!$C$6:$C$3005/(Ventes_Encaissements!$B$6:$B$3005=$A1607),1)))</f>
        <v/>
      </c>
      <c r="L1607" s="11">
        <f>IF($A1607="","",COUNTIFS(Ventes_Detail!$B$6:$B$3005,$A1607))</f>
        <v/>
      </c>
      <c r="M1607" s="12" t="n"/>
      <c r="N1607" s="12">
        <f>IF($A1607="","",IF($G1607="","",IF($M1607="Oui","Litige",IF($J1607&lt;=0,"Payé",IF($I1607&gt;0,"Partiel",IF(Listes!$B$3&gt;$G1607,"En retard","À échoir"))))))</f>
        <v/>
      </c>
      <c r="O1607" s="11">
        <f>IF($A1607="","",IF(OR($G1607="", $J1607&lt;=0),0,MAX(0,Listes!$B$3-$G1607)))</f>
        <v/>
      </c>
      <c r="P1607" s="12">
        <f>IF($A1607="","",IF($J1607&lt;=0,"Payé",IF($M1607="Oui","Litige",IF($O1607=0,"À échoir",IF($O1607&lt;=30,"0-30",IF($O1607&lt;=60,"31-60",IF($O1607&lt;=90,"61-90","90+")))))))</f>
        <v/>
      </c>
    </row>
    <row r="1608">
      <c r="A1608" s="6" t="n"/>
      <c r="B1608" s="6" t="n"/>
      <c r="C1608" s="6" t="n"/>
      <c r="D1608" s="6" t="n"/>
      <c r="E1608" s="6" t="n"/>
      <c r="F1608" s="7" t="n"/>
      <c r="G1608" s="7" t="n"/>
      <c r="H1608" s="8" t="n"/>
      <c r="I1608" s="9">
        <f>IF($A1608="","",SUMIFS(Ventes_Encaissements!$D$6:$D$3005,Ventes_Encaissements!$B$6:$B$3005,$A1608))</f>
        <v/>
      </c>
      <c r="J1608" s="9">
        <f>IF($A1608="","",$H1608-$I1608)</f>
        <v/>
      </c>
      <c r="K1608" s="10">
        <f>IF($A1608="","",IF($I1608=0,"",_xludf.AGGREGATE(14,6,Ventes_Encaissements!$C$6:$C$3005/(Ventes_Encaissements!$B$6:$B$3005=$A1608),1)))</f>
        <v/>
      </c>
      <c r="L1608" s="11">
        <f>IF($A1608="","",COUNTIFS(Ventes_Detail!$B$6:$B$3005,$A1608))</f>
        <v/>
      </c>
      <c r="M1608" s="12" t="n"/>
      <c r="N1608" s="12">
        <f>IF($A1608="","",IF($G1608="","",IF($M1608="Oui","Litige",IF($J1608&lt;=0,"Payé",IF($I1608&gt;0,"Partiel",IF(Listes!$B$3&gt;$G1608,"En retard","À échoir"))))))</f>
        <v/>
      </c>
      <c r="O1608" s="11">
        <f>IF($A1608="","",IF(OR($G1608="", $J1608&lt;=0),0,MAX(0,Listes!$B$3-$G1608)))</f>
        <v/>
      </c>
      <c r="P1608" s="12">
        <f>IF($A1608="","",IF($J1608&lt;=0,"Payé",IF($M1608="Oui","Litige",IF($O1608=0,"À échoir",IF($O1608&lt;=30,"0-30",IF($O1608&lt;=60,"31-60",IF($O1608&lt;=90,"61-90","90+")))))))</f>
        <v/>
      </c>
    </row>
    <row r="1609">
      <c r="A1609" s="6" t="n"/>
      <c r="B1609" s="6" t="n"/>
      <c r="C1609" s="6" t="n"/>
      <c r="D1609" s="6" t="n"/>
      <c r="E1609" s="6" t="n"/>
      <c r="F1609" s="7" t="n"/>
      <c r="G1609" s="7" t="n"/>
      <c r="H1609" s="8" t="n"/>
      <c r="I1609" s="9">
        <f>IF($A1609="","",SUMIFS(Ventes_Encaissements!$D$6:$D$3005,Ventes_Encaissements!$B$6:$B$3005,$A1609))</f>
        <v/>
      </c>
      <c r="J1609" s="9">
        <f>IF($A1609="","",$H1609-$I1609)</f>
        <v/>
      </c>
      <c r="K1609" s="10">
        <f>IF($A1609="","",IF($I1609=0,"",_xludf.AGGREGATE(14,6,Ventes_Encaissements!$C$6:$C$3005/(Ventes_Encaissements!$B$6:$B$3005=$A1609),1)))</f>
        <v/>
      </c>
      <c r="L1609" s="11">
        <f>IF($A1609="","",COUNTIFS(Ventes_Detail!$B$6:$B$3005,$A1609))</f>
        <v/>
      </c>
      <c r="M1609" s="12" t="n"/>
      <c r="N1609" s="12">
        <f>IF($A1609="","",IF($G1609="","",IF($M1609="Oui","Litige",IF($J1609&lt;=0,"Payé",IF($I1609&gt;0,"Partiel",IF(Listes!$B$3&gt;$G1609,"En retard","À échoir"))))))</f>
        <v/>
      </c>
      <c r="O1609" s="11">
        <f>IF($A1609="","",IF(OR($G1609="", $J1609&lt;=0),0,MAX(0,Listes!$B$3-$G1609)))</f>
        <v/>
      </c>
      <c r="P1609" s="12">
        <f>IF($A1609="","",IF($J1609&lt;=0,"Payé",IF($M1609="Oui","Litige",IF($O1609=0,"À échoir",IF($O1609&lt;=30,"0-30",IF($O1609&lt;=60,"31-60",IF($O1609&lt;=90,"61-90","90+")))))))</f>
        <v/>
      </c>
    </row>
    <row r="1610">
      <c r="A1610" s="6" t="n"/>
      <c r="B1610" s="6" t="n"/>
      <c r="C1610" s="6" t="n"/>
      <c r="D1610" s="6" t="n"/>
      <c r="E1610" s="6" t="n"/>
      <c r="F1610" s="7" t="n"/>
      <c r="G1610" s="7" t="n"/>
      <c r="H1610" s="8" t="n"/>
      <c r="I1610" s="9">
        <f>IF($A1610="","",SUMIFS(Ventes_Encaissements!$D$6:$D$3005,Ventes_Encaissements!$B$6:$B$3005,$A1610))</f>
        <v/>
      </c>
      <c r="J1610" s="9">
        <f>IF($A1610="","",$H1610-$I1610)</f>
        <v/>
      </c>
      <c r="K1610" s="10">
        <f>IF($A1610="","",IF($I1610=0,"",_xludf.AGGREGATE(14,6,Ventes_Encaissements!$C$6:$C$3005/(Ventes_Encaissements!$B$6:$B$3005=$A1610),1)))</f>
        <v/>
      </c>
      <c r="L1610" s="11">
        <f>IF($A1610="","",COUNTIFS(Ventes_Detail!$B$6:$B$3005,$A1610))</f>
        <v/>
      </c>
      <c r="M1610" s="12" t="n"/>
      <c r="N1610" s="12">
        <f>IF($A1610="","",IF($G1610="","",IF($M1610="Oui","Litige",IF($J1610&lt;=0,"Payé",IF($I1610&gt;0,"Partiel",IF(Listes!$B$3&gt;$G1610,"En retard","À échoir"))))))</f>
        <v/>
      </c>
      <c r="O1610" s="11">
        <f>IF($A1610="","",IF(OR($G1610="", $J1610&lt;=0),0,MAX(0,Listes!$B$3-$G1610)))</f>
        <v/>
      </c>
      <c r="P1610" s="12">
        <f>IF($A1610="","",IF($J1610&lt;=0,"Payé",IF($M1610="Oui","Litige",IF($O1610=0,"À échoir",IF($O1610&lt;=30,"0-30",IF($O1610&lt;=60,"31-60",IF($O1610&lt;=90,"61-90","90+")))))))</f>
        <v/>
      </c>
    </row>
    <row r="1611">
      <c r="A1611" s="6" t="n"/>
      <c r="B1611" s="6" t="n"/>
      <c r="C1611" s="6" t="n"/>
      <c r="D1611" s="6" t="n"/>
      <c r="E1611" s="6" t="n"/>
      <c r="F1611" s="7" t="n"/>
      <c r="G1611" s="7" t="n"/>
      <c r="H1611" s="8" t="n"/>
      <c r="I1611" s="9">
        <f>IF($A1611="","",SUMIFS(Ventes_Encaissements!$D$6:$D$3005,Ventes_Encaissements!$B$6:$B$3005,$A1611))</f>
        <v/>
      </c>
      <c r="J1611" s="9">
        <f>IF($A1611="","",$H1611-$I1611)</f>
        <v/>
      </c>
      <c r="K1611" s="10">
        <f>IF($A1611="","",IF($I1611=0,"",_xludf.AGGREGATE(14,6,Ventes_Encaissements!$C$6:$C$3005/(Ventes_Encaissements!$B$6:$B$3005=$A1611),1)))</f>
        <v/>
      </c>
      <c r="L1611" s="11">
        <f>IF($A1611="","",COUNTIFS(Ventes_Detail!$B$6:$B$3005,$A1611))</f>
        <v/>
      </c>
      <c r="M1611" s="12" t="n"/>
      <c r="N1611" s="12">
        <f>IF($A1611="","",IF($G1611="","",IF($M1611="Oui","Litige",IF($J1611&lt;=0,"Payé",IF($I1611&gt;0,"Partiel",IF(Listes!$B$3&gt;$G1611,"En retard","À échoir"))))))</f>
        <v/>
      </c>
      <c r="O1611" s="11">
        <f>IF($A1611="","",IF(OR($G1611="", $J1611&lt;=0),0,MAX(0,Listes!$B$3-$G1611)))</f>
        <v/>
      </c>
      <c r="P1611" s="12">
        <f>IF($A1611="","",IF($J1611&lt;=0,"Payé",IF($M1611="Oui","Litige",IF($O1611=0,"À échoir",IF($O1611&lt;=30,"0-30",IF($O1611&lt;=60,"31-60",IF($O1611&lt;=90,"61-90","90+")))))))</f>
        <v/>
      </c>
    </row>
    <row r="1612">
      <c r="A1612" s="6" t="n"/>
      <c r="B1612" s="6" t="n"/>
      <c r="C1612" s="6" t="n"/>
      <c r="D1612" s="6" t="n"/>
      <c r="E1612" s="6" t="n"/>
      <c r="F1612" s="7" t="n"/>
      <c r="G1612" s="7" t="n"/>
      <c r="H1612" s="8" t="n"/>
      <c r="I1612" s="9">
        <f>IF($A1612="","",SUMIFS(Ventes_Encaissements!$D$6:$D$3005,Ventes_Encaissements!$B$6:$B$3005,$A1612))</f>
        <v/>
      </c>
      <c r="J1612" s="9">
        <f>IF($A1612="","",$H1612-$I1612)</f>
        <v/>
      </c>
      <c r="K1612" s="10">
        <f>IF($A1612="","",IF($I1612=0,"",_xludf.AGGREGATE(14,6,Ventes_Encaissements!$C$6:$C$3005/(Ventes_Encaissements!$B$6:$B$3005=$A1612),1)))</f>
        <v/>
      </c>
      <c r="L1612" s="11">
        <f>IF($A1612="","",COUNTIFS(Ventes_Detail!$B$6:$B$3005,$A1612))</f>
        <v/>
      </c>
      <c r="M1612" s="12" t="n"/>
      <c r="N1612" s="12">
        <f>IF($A1612="","",IF($G1612="","",IF($M1612="Oui","Litige",IF($J1612&lt;=0,"Payé",IF($I1612&gt;0,"Partiel",IF(Listes!$B$3&gt;$G1612,"En retard","À échoir"))))))</f>
        <v/>
      </c>
      <c r="O1612" s="11">
        <f>IF($A1612="","",IF(OR($G1612="", $J1612&lt;=0),0,MAX(0,Listes!$B$3-$G1612)))</f>
        <v/>
      </c>
      <c r="P1612" s="12">
        <f>IF($A1612="","",IF($J1612&lt;=0,"Payé",IF($M1612="Oui","Litige",IF($O1612=0,"À échoir",IF($O1612&lt;=30,"0-30",IF($O1612&lt;=60,"31-60",IF($O1612&lt;=90,"61-90","90+")))))))</f>
        <v/>
      </c>
    </row>
    <row r="1613">
      <c r="A1613" s="6" t="n"/>
      <c r="B1613" s="6" t="n"/>
      <c r="C1613" s="6" t="n"/>
      <c r="D1613" s="6" t="n"/>
      <c r="E1613" s="6" t="n"/>
      <c r="F1613" s="7" t="n"/>
      <c r="G1613" s="7" t="n"/>
      <c r="H1613" s="8" t="n"/>
      <c r="I1613" s="9">
        <f>IF($A1613="","",SUMIFS(Ventes_Encaissements!$D$6:$D$3005,Ventes_Encaissements!$B$6:$B$3005,$A1613))</f>
        <v/>
      </c>
      <c r="J1613" s="9">
        <f>IF($A1613="","",$H1613-$I1613)</f>
        <v/>
      </c>
      <c r="K1613" s="10">
        <f>IF($A1613="","",IF($I1613=0,"",_xludf.AGGREGATE(14,6,Ventes_Encaissements!$C$6:$C$3005/(Ventes_Encaissements!$B$6:$B$3005=$A1613),1)))</f>
        <v/>
      </c>
      <c r="L1613" s="11">
        <f>IF($A1613="","",COUNTIFS(Ventes_Detail!$B$6:$B$3005,$A1613))</f>
        <v/>
      </c>
      <c r="M1613" s="12" t="n"/>
      <c r="N1613" s="12">
        <f>IF($A1613="","",IF($G1613="","",IF($M1613="Oui","Litige",IF($J1613&lt;=0,"Payé",IF($I1613&gt;0,"Partiel",IF(Listes!$B$3&gt;$G1613,"En retard","À échoir"))))))</f>
        <v/>
      </c>
      <c r="O1613" s="11">
        <f>IF($A1613="","",IF(OR($G1613="", $J1613&lt;=0),0,MAX(0,Listes!$B$3-$G1613)))</f>
        <v/>
      </c>
      <c r="P1613" s="12">
        <f>IF($A1613="","",IF($J1613&lt;=0,"Payé",IF($M1613="Oui","Litige",IF($O1613=0,"À échoir",IF($O1613&lt;=30,"0-30",IF($O1613&lt;=60,"31-60",IF($O1613&lt;=90,"61-90","90+")))))))</f>
        <v/>
      </c>
    </row>
    <row r="1614">
      <c r="A1614" s="6" t="n"/>
      <c r="B1614" s="6" t="n"/>
      <c r="C1614" s="6" t="n"/>
      <c r="D1614" s="6" t="n"/>
      <c r="E1614" s="6" t="n"/>
      <c r="F1614" s="7" t="n"/>
      <c r="G1614" s="7" t="n"/>
      <c r="H1614" s="8" t="n"/>
      <c r="I1614" s="9">
        <f>IF($A1614="","",SUMIFS(Ventes_Encaissements!$D$6:$D$3005,Ventes_Encaissements!$B$6:$B$3005,$A1614))</f>
        <v/>
      </c>
      <c r="J1614" s="9">
        <f>IF($A1614="","",$H1614-$I1614)</f>
        <v/>
      </c>
      <c r="K1614" s="10">
        <f>IF($A1614="","",IF($I1614=0,"",_xludf.AGGREGATE(14,6,Ventes_Encaissements!$C$6:$C$3005/(Ventes_Encaissements!$B$6:$B$3005=$A1614),1)))</f>
        <v/>
      </c>
      <c r="L1614" s="11">
        <f>IF($A1614="","",COUNTIFS(Ventes_Detail!$B$6:$B$3005,$A1614))</f>
        <v/>
      </c>
      <c r="M1614" s="12" t="n"/>
      <c r="N1614" s="12">
        <f>IF($A1614="","",IF($G1614="","",IF($M1614="Oui","Litige",IF($J1614&lt;=0,"Payé",IF($I1614&gt;0,"Partiel",IF(Listes!$B$3&gt;$G1614,"En retard","À échoir"))))))</f>
        <v/>
      </c>
      <c r="O1614" s="11">
        <f>IF($A1614="","",IF(OR($G1614="", $J1614&lt;=0),0,MAX(0,Listes!$B$3-$G1614)))</f>
        <v/>
      </c>
      <c r="P1614" s="12">
        <f>IF($A1614="","",IF($J1614&lt;=0,"Payé",IF($M1614="Oui","Litige",IF($O1614=0,"À échoir",IF($O1614&lt;=30,"0-30",IF($O1614&lt;=60,"31-60",IF($O1614&lt;=90,"61-90","90+")))))))</f>
        <v/>
      </c>
    </row>
    <row r="1615">
      <c r="A1615" s="6" t="n"/>
      <c r="B1615" s="6" t="n"/>
      <c r="C1615" s="6" t="n"/>
      <c r="D1615" s="6" t="n"/>
      <c r="E1615" s="6" t="n"/>
      <c r="F1615" s="7" t="n"/>
      <c r="G1615" s="7" t="n"/>
      <c r="H1615" s="8" t="n"/>
      <c r="I1615" s="9">
        <f>IF($A1615="","",SUMIFS(Ventes_Encaissements!$D$6:$D$3005,Ventes_Encaissements!$B$6:$B$3005,$A1615))</f>
        <v/>
      </c>
      <c r="J1615" s="9">
        <f>IF($A1615="","",$H1615-$I1615)</f>
        <v/>
      </c>
      <c r="K1615" s="10">
        <f>IF($A1615="","",IF($I1615=0,"",_xludf.AGGREGATE(14,6,Ventes_Encaissements!$C$6:$C$3005/(Ventes_Encaissements!$B$6:$B$3005=$A1615),1)))</f>
        <v/>
      </c>
      <c r="L1615" s="11">
        <f>IF($A1615="","",COUNTIFS(Ventes_Detail!$B$6:$B$3005,$A1615))</f>
        <v/>
      </c>
      <c r="M1615" s="12" t="n"/>
      <c r="N1615" s="12">
        <f>IF($A1615="","",IF($G1615="","",IF($M1615="Oui","Litige",IF($J1615&lt;=0,"Payé",IF($I1615&gt;0,"Partiel",IF(Listes!$B$3&gt;$G1615,"En retard","À échoir"))))))</f>
        <v/>
      </c>
      <c r="O1615" s="11">
        <f>IF($A1615="","",IF(OR($G1615="", $J1615&lt;=0),0,MAX(0,Listes!$B$3-$G1615)))</f>
        <v/>
      </c>
      <c r="P1615" s="12">
        <f>IF($A1615="","",IF($J1615&lt;=0,"Payé",IF($M1615="Oui","Litige",IF($O1615=0,"À échoir",IF($O1615&lt;=30,"0-30",IF($O1615&lt;=60,"31-60",IF($O1615&lt;=90,"61-90","90+")))))))</f>
        <v/>
      </c>
    </row>
    <row r="1616">
      <c r="A1616" s="6" t="n"/>
      <c r="B1616" s="6" t="n"/>
      <c r="C1616" s="6" t="n"/>
      <c r="D1616" s="6" t="n"/>
      <c r="E1616" s="6" t="n"/>
      <c r="F1616" s="7" t="n"/>
      <c r="G1616" s="7" t="n"/>
      <c r="H1616" s="8" t="n"/>
      <c r="I1616" s="9">
        <f>IF($A1616="","",SUMIFS(Ventes_Encaissements!$D$6:$D$3005,Ventes_Encaissements!$B$6:$B$3005,$A1616))</f>
        <v/>
      </c>
      <c r="J1616" s="9">
        <f>IF($A1616="","",$H1616-$I1616)</f>
        <v/>
      </c>
      <c r="K1616" s="10">
        <f>IF($A1616="","",IF($I1616=0,"",_xludf.AGGREGATE(14,6,Ventes_Encaissements!$C$6:$C$3005/(Ventes_Encaissements!$B$6:$B$3005=$A1616),1)))</f>
        <v/>
      </c>
      <c r="L1616" s="11">
        <f>IF($A1616="","",COUNTIFS(Ventes_Detail!$B$6:$B$3005,$A1616))</f>
        <v/>
      </c>
      <c r="M1616" s="12" t="n"/>
      <c r="N1616" s="12">
        <f>IF($A1616="","",IF($G1616="","",IF($M1616="Oui","Litige",IF($J1616&lt;=0,"Payé",IF($I1616&gt;0,"Partiel",IF(Listes!$B$3&gt;$G1616,"En retard","À échoir"))))))</f>
        <v/>
      </c>
      <c r="O1616" s="11">
        <f>IF($A1616="","",IF(OR($G1616="", $J1616&lt;=0),0,MAX(0,Listes!$B$3-$G1616)))</f>
        <v/>
      </c>
      <c r="P1616" s="12">
        <f>IF($A1616="","",IF($J1616&lt;=0,"Payé",IF($M1616="Oui","Litige",IF($O1616=0,"À échoir",IF($O1616&lt;=30,"0-30",IF($O1616&lt;=60,"31-60",IF($O1616&lt;=90,"61-90","90+")))))))</f>
        <v/>
      </c>
    </row>
    <row r="1617">
      <c r="A1617" s="6" t="n"/>
      <c r="B1617" s="6" t="n"/>
      <c r="C1617" s="6" t="n"/>
      <c r="D1617" s="6" t="n"/>
      <c r="E1617" s="6" t="n"/>
      <c r="F1617" s="7" t="n"/>
      <c r="G1617" s="7" t="n"/>
      <c r="H1617" s="8" t="n"/>
      <c r="I1617" s="9">
        <f>IF($A1617="","",SUMIFS(Ventes_Encaissements!$D$6:$D$3005,Ventes_Encaissements!$B$6:$B$3005,$A1617))</f>
        <v/>
      </c>
      <c r="J1617" s="9">
        <f>IF($A1617="","",$H1617-$I1617)</f>
        <v/>
      </c>
      <c r="K1617" s="10">
        <f>IF($A1617="","",IF($I1617=0,"",_xludf.AGGREGATE(14,6,Ventes_Encaissements!$C$6:$C$3005/(Ventes_Encaissements!$B$6:$B$3005=$A1617),1)))</f>
        <v/>
      </c>
      <c r="L1617" s="11">
        <f>IF($A1617="","",COUNTIFS(Ventes_Detail!$B$6:$B$3005,$A1617))</f>
        <v/>
      </c>
      <c r="M1617" s="12" t="n"/>
      <c r="N1617" s="12">
        <f>IF($A1617="","",IF($G1617="","",IF($M1617="Oui","Litige",IF($J1617&lt;=0,"Payé",IF($I1617&gt;0,"Partiel",IF(Listes!$B$3&gt;$G1617,"En retard","À échoir"))))))</f>
        <v/>
      </c>
      <c r="O1617" s="11">
        <f>IF($A1617="","",IF(OR($G1617="", $J1617&lt;=0),0,MAX(0,Listes!$B$3-$G1617)))</f>
        <v/>
      </c>
      <c r="P1617" s="12">
        <f>IF($A1617="","",IF($J1617&lt;=0,"Payé",IF($M1617="Oui","Litige",IF($O1617=0,"À échoir",IF($O1617&lt;=30,"0-30",IF($O1617&lt;=60,"31-60",IF($O1617&lt;=90,"61-90","90+")))))))</f>
        <v/>
      </c>
    </row>
    <row r="1618">
      <c r="A1618" s="6" t="n"/>
      <c r="B1618" s="6" t="n"/>
      <c r="C1618" s="6" t="n"/>
      <c r="D1618" s="6" t="n"/>
      <c r="E1618" s="6" t="n"/>
      <c r="F1618" s="7" t="n"/>
      <c r="G1618" s="7" t="n"/>
      <c r="H1618" s="8" t="n"/>
      <c r="I1618" s="9">
        <f>IF($A1618="","",SUMIFS(Ventes_Encaissements!$D$6:$D$3005,Ventes_Encaissements!$B$6:$B$3005,$A1618))</f>
        <v/>
      </c>
      <c r="J1618" s="9">
        <f>IF($A1618="","",$H1618-$I1618)</f>
        <v/>
      </c>
      <c r="K1618" s="10">
        <f>IF($A1618="","",IF($I1618=0,"",_xludf.AGGREGATE(14,6,Ventes_Encaissements!$C$6:$C$3005/(Ventes_Encaissements!$B$6:$B$3005=$A1618),1)))</f>
        <v/>
      </c>
      <c r="L1618" s="11">
        <f>IF($A1618="","",COUNTIFS(Ventes_Detail!$B$6:$B$3005,$A1618))</f>
        <v/>
      </c>
      <c r="M1618" s="12" t="n"/>
      <c r="N1618" s="12">
        <f>IF($A1618="","",IF($G1618="","",IF($M1618="Oui","Litige",IF($J1618&lt;=0,"Payé",IF($I1618&gt;0,"Partiel",IF(Listes!$B$3&gt;$G1618,"En retard","À échoir"))))))</f>
        <v/>
      </c>
      <c r="O1618" s="11">
        <f>IF($A1618="","",IF(OR($G1618="", $J1618&lt;=0),0,MAX(0,Listes!$B$3-$G1618)))</f>
        <v/>
      </c>
      <c r="P1618" s="12">
        <f>IF($A1618="","",IF($J1618&lt;=0,"Payé",IF($M1618="Oui","Litige",IF($O1618=0,"À échoir",IF($O1618&lt;=30,"0-30",IF($O1618&lt;=60,"31-60",IF($O1618&lt;=90,"61-90","90+")))))))</f>
        <v/>
      </c>
    </row>
    <row r="1619">
      <c r="A1619" s="6" t="n"/>
      <c r="B1619" s="6" t="n"/>
      <c r="C1619" s="6" t="n"/>
      <c r="D1619" s="6" t="n"/>
      <c r="E1619" s="6" t="n"/>
      <c r="F1619" s="7" t="n"/>
      <c r="G1619" s="7" t="n"/>
      <c r="H1619" s="8" t="n"/>
      <c r="I1619" s="9">
        <f>IF($A1619="","",SUMIFS(Ventes_Encaissements!$D$6:$D$3005,Ventes_Encaissements!$B$6:$B$3005,$A1619))</f>
        <v/>
      </c>
      <c r="J1619" s="9">
        <f>IF($A1619="","",$H1619-$I1619)</f>
        <v/>
      </c>
      <c r="K1619" s="10">
        <f>IF($A1619="","",IF($I1619=0,"",_xludf.AGGREGATE(14,6,Ventes_Encaissements!$C$6:$C$3005/(Ventes_Encaissements!$B$6:$B$3005=$A1619),1)))</f>
        <v/>
      </c>
      <c r="L1619" s="11">
        <f>IF($A1619="","",COUNTIFS(Ventes_Detail!$B$6:$B$3005,$A1619))</f>
        <v/>
      </c>
      <c r="M1619" s="12" t="n"/>
      <c r="N1619" s="12">
        <f>IF($A1619="","",IF($G1619="","",IF($M1619="Oui","Litige",IF($J1619&lt;=0,"Payé",IF($I1619&gt;0,"Partiel",IF(Listes!$B$3&gt;$G1619,"En retard","À échoir"))))))</f>
        <v/>
      </c>
      <c r="O1619" s="11">
        <f>IF($A1619="","",IF(OR($G1619="", $J1619&lt;=0),0,MAX(0,Listes!$B$3-$G1619)))</f>
        <v/>
      </c>
      <c r="P1619" s="12">
        <f>IF($A1619="","",IF($J1619&lt;=0,"Payé",IF($M1619="Oui","Litige",IF($O1619=0,"À échoir",IF($O1619&lt;=30,"0-30",IF($O1619&lt;=60,"31-60",IF($O1619&lt;=90,"61-90","90+")))))))</f>
        <v/>
      </c>
    </row>
    <row r="1620">
      <c r="A1620" s="6" t="n"/>
      <c r="B1620" s="6" t="n"/>
      <c r="C1620" s="6" t="n"/>
      <c r="D1620" s="6" t="n"/>
      <c r="E1620" s="6" t="n"/>
      <c r="F1620" s="7" t="n"/>
      <c r="G1620" s="7" t="n"/>
      <c r="H1620" s="8" t="n"/>
      <c r="I1620" s="9">
        <f>IF($A1620="","",SUMIFS(Ventes_Encaissements!$D$6:$D$3005,Ventes_Encaissements!$B$6:$B$3005,$A1620))</f>
        <v/>
      </c>
      <c r="J1620" s="9">
        <f>IF($A1620="","",$H1620-$I1620)</f>
        <v/>
      </c>
      <c r="K1620" s="10">
        <f>IF($A1620="","",IF($I1620=0,"",_xludf.AGGREGATE(14,6,Ventes_Encaissements!$C$6:$C$3005/(Ventes_Encaissements!$B$6:$B$3005=$A1620),1)))</f>
        <v/>
      </c>
      <c r="L1620" s="11">
        <f>IF($A1620="","",COUNTIFS(Ventes_Detail!$B$6:$B$3005,$A1620))</f>
        <v/>
      </c>
      <c r="M1620" s="12" t="n"/>
      <c r="N1620" s="12">
        <f>IF($A1620="","",IF($G1620="","",IF($M1620="Oui","Litige",IF($J1620&lt;=0,"Payé",IF($I1620&gt;0,"Partiel",IF(Listes!$B$3&gt;$G1620,"En retard","À échoir"))))))</f>
        <v/>
      </c>
      <c r="O1620" s="11">
        <f>IF($A1620="","",IF(OR($G1620="", $J1620&lt;=0),0,MAX(0,Listes!$B$3-$G1620)))</f>
        <v/>
      </c>
      <c r="P1620" s="12">
        <f>IF($A1620="","",IF($J1620&lt;=0,"Payé",IF($M1620="Oui","Litige",IF($O1620=0,"À échoir",IF($O1620&lt;=30,"0-30",IF($O1620&lt;=60,"31-60",IF($O1620&lt;=90,"61-90","90+")))))))</f>
        <v/>
      </c>
    </row>
    <row r="1621">
      <c r="A1621" s="6" t="n"/>
      <c r="B1621" s="6" t="n"/>
      <c r="C1621" s="6" t="n"/>
      <c r="D1621" s="6" t="n"/>
      <c r="E1621" s="6" t="n"/>
      <c r="F1621" s="7" t="n"/>
      <c r="G1621" s="7" t="n"/>
      <c r="H1621" s="8" t="n"/>
      <c r="I1621" s="9">
        <f>IF($A1621="","",SUMIFS(Ventes_Encaissements!$D$6:$D$3005,Ventes_Encaissements!$B$6:$B$3005,$A1621))</f>
        <v/>
      </c>
      <c r="J1621" s="9">
        <f>IF($A1621="","",$H1621-$I1621)</f>
        <v/>
      </c>
      <c r="K1621" s="10">
        <f>IF($A1621="","",IF($I1621=0,"",_xludf.AGGREGATE(14,6,Ventes_Encaissements!$C$6:$C$3005/(Ventes_Encaissements!$B$6:$B$3005=$A1621),1)))</f>
        <v/>
      </c>
      <c r="L1621" s="11">
        <f>IF($A1621="","",COUNTIFS(Ventes_Detail!$B$6:$B$3005,$A1621))</f>
        <v/>
      </c>
      <c r="M1621" s="12" t="n"/>
      <c r="N1621" s="12">
        <f>IF($A1621="","",IF($G1621="","",IF($M1621="Oui","Litige",IF($J1621&lt;=0,"Payé",IF($I1621&gt;0,"Partiel",IF(Listes!$B$3&gt;$G1621,"En retard","À échoir"))))))</f>
        <v/>
      </c>
      <c r="O1621" s="11">
        <f>IF($A1621="","",IF(OR($G1621="", $J1621&lt;=0),0,MAX(0,Listes!$B$3-$G1621)))</f>
        <v/>
      </c>
      <c r="P1621" s="12">
        <f>IF($A1621="","",IF($J1621&lt;=0,"Payé",IF($M1621="Oui","Litige",IF($O1621=0,"À échoir",IF($O1621&lt;=30,"0-30",IF($O1621&lt;=60,"31-60",IF($O1621&lt;=90,"61-90","90+")))))))</f>
        <v/>
      </c>
    </row>
    <row r="1622">
      <c r="A1622" s="6" t="n"/>
      <c r="B1622" s="6" t="n"/>
      <c r="C1622" s="6" t="n"/>
      <c r="D1622" s="6" t="n"/>
      <c r="E1622" s="6" t="n"/>
      <c r="F1622" s="7" t="n"/>
      <c r="G1622" s="7" t="n"/>
      <c r="H1622" s="8" t="n"/>
      <c r="I1622" s="9">
        <f>IF($A1622="","",SUMIFS(Ventes_Encaissements!$D$6:$D$3005,Ventes_Encaissements!$B$6:$B$3005,$A1622))</f>
        <v/>
      </c>
      <c r="J1622" s="9">
        <f>IF($A1622="","",$H1622-$I1622)</f>
        <v/>
      </c>
      <c r="K1622" s="10">
        <f>IF($A1622="","",IF($I1622=0,"",_xludf.AGGREGATE(14,6,Ventes_Encaissements!$C$6:$C$3005/(Ventes_Encaissements!$B$6:$B$3005=$A1622),1)))</f>
        <v/>
      </c>
      <c r="L1622" s="11">
        <f>IF($A1622="","",COUNTIFS(Ventes_Detail!$B$6:$B$3005,$A1622))</f>
        <v/>
      </c>
      <c r="M1622" s="12" t="n"/>
      <c r="N1622" s="12">
        <f>IF($A1622="","",IF($G1622="","",IF($M1622="Oui","Litige",IF($J1622&lt;=0,"Payé",IF($I1622&gt;0,"Partiel",IF(Listes!$B$3&gt;$G1622,"En retard","À échoir"))))))</f>
        <v/>
      </c>
      <c r="O1622" s="11">
        <f>IF($A1622="","",IF(OR($G1622="", $J1622&lt;=0),0,MAX(0,Listes!$B$3-$G1622)))</f>
        <v/>
      </c>
      <c r="P1622" s="12">
        <f>IF($A1622="","",IF($J1622&lt;=0,"Payé",IF($M1622="Oui","Litige",IF($O1622=0,"À échoir",IF($O1622&lt;=30,"0-30",IF($O1622&lt;=60,"31-60",IF($O1622&lt;=90,"61-90","90+")))))))</f>
        <v/>
      </c>
    </row>
    <row r="1623">
      <c r="A1623" s="6" t="n"/>
      <c r="B1623" s="6" t="n"/>
      <c r="C1623" s="6" t="n"/>
      <c r="D1623" s="6" t="n"/>
      <c r="E1623" s="6" t="n"/>
      <c r="F1623" s="7" t="n"/>
      <c r="G1623" s="7" t="n"/>
      <c r="H1623" s="8" t="n"/>
      <c r="I1623" s="9">
        <f>IF($A1623="","",SUMIFS(Ventes_Encaissements!$D$6:$D$3005,Ventes_Encaissements!$B$6:$B$3005,$A1623))</f>
        <v/>
      </c>
      <c r="J1623" s="9">
        <f>IF($A1623="","",$H1623-$I1623)</f>
        <v/>
      </c>
      <c r="K1623" s="10">
        <f>IF($A1623="","",IF($I1623=0,"",_xludf.AGGREGATE(14,6,Ventes_Encaissements!$C$6:$C$3005/(Ventes_Encaissements!$B$6:$B$3005=$A1623),1)))</f>
        <v/>
      </c>
      <c r="L1623" s="11">
        <f>IF($A1623="","",COUNTIFS(Ventes_Detail!$B$6:$B$3005,$A1623))</f>
        <v/>
      </c>
      <c r="M1623" s="12" t="n"/>
      <c r="N1623" s="12">
        <f>IF($A1623="","",IF($G1623="","",IF($M1623="Oui","Litige",IF($J1623&lt;=0,"Payé",IF($I1623&gt;0,"Partiel",IF(Listes!$B$3&gt;$G1623,"En retard","À échoir"))))))</f>
        <v/>
      </c>
      <c r="O1623" s="11">
        <f>IF($A1623="","",IF(OR($G1623="", $J1623&lt;=0),0,MAX(0,Listes!$B$3-$G1623)))</f>
        <v/>
      </c>
      <c r="P1623" s="12">
        <f>IF($A1623="","",IF($J1623&lt;=0,"Payé",IF($M1623="Oui","Litige",IF($O1623=0,"À échoir",IF($O1623&lt;=30,"0-30",IF($O1623&lt;=60,"31-60",IF($O1623&lt;=90,"61-90","90+")))))))</f>
        <v/>
      </c>
    </row>
    <row r="1624">
      <c r="A1624" s="6" t="n"/>
      <c r="B1624" s="6" t="n"/>
      <c r="C1624" s="6" t="n"/>
      <c r="D1624" s="6" t="n"/>
      <c r="E1624" s="6" t="n"/>
      <c r="F1624" s="7" t="n"/>
      <c r="G1624" s="7" t="n"/>
      <c r="H1624" s="8" t="n"/>
      <c r="I1624" s="9">
        <f>IF($A1624="","",SUMIFS(Ventes_Encaissements!$D$6:$D$3005,Ventes_Encaissements!$B$6:$B$3005,$A1624))</f>
        <v/>
      </c>
      <c r="J1624" s="9">
        <f>IF($A1624="","",$H1624-$I1624)</f>
        <v/>
      </c>
      <c r="K1624" s="10">
        <f>IF($A1624="","",IF($I1624=0,"",_xludf.AGGREGATE(14,6,Ventes_Encaissements!$C$6:$C$3005/(Ventes_Encaissements!$B$6:$B$3005=$A1624),1)))</f>
        <v/>
      </c>
      <c r="L1624" s="11">
        <f>IF($A1624="","",COUNTIFS(Ventes_Detail!$B$6:$B$3005,$A1624))</f>
        <v/>
      </c>
      <c r="M1624" s="12" t="n"/>
      <c r="N1624" s="12">
        <f>IF($A1624="","",IF($G1624="","",IF($M1624="Oui","Litige",IF($J1624&lt;=0,"Payé",IF($I1624&gt;0,"Partiel",IF(Listes!$B$3&gt;$G1624,"En retard","À échoir"))))))</f>
        <v/>
      </c>
      <c r="O1624" s="11">
        <f>IF($A1624="","",IF(OR($G1624="", $J1624&lt;=0),0,MAX(0,Listes!$B$3-$G1624)))</f>
        <v/>
      </c>
      <c r="P1624" s="12">
        <f>IF($A1624="","",IF($J1624&lt;=0,"Payé",IF($M1624="Oui","Litige",IF($O1624=0,"À échoir",IF($O1624&lt;=30,"0-30",IF($O1624&lt;=60,"31-60",IF($O1624&lt;=90,"61-90","90+")))))))</f>
        <v/>
      </c>
    </row>
    <row r="1625">
      <c r="A1625" s="6" t="n"/>
      <c r="B1625" s="6" t="n"/>
      <c r="C1625" s="6" t="n"/>
      <c r="D1625" s="6" t="n"/>
      <c r="E1625" s="6" t="n"/>
      <c r="F1625" s="7" t="n"/>
      <c r="G1625" s="7" t="n"/>
      <c r="H1625" s="8" t="n"/>
      <c r="I1625" s="9">
        <f>IF($A1625="","",SUMIFS(Ventes_Encaissements!$D$6:$D$3005,Ventes_Encaissements!$B$6:$B$3005,$A1625))</f>
        <v/>
      </c>
      <c r="J1625" s="9">
        <f>IF($A1625="","",$H1625-$I1625)</f>
        <v/>
      </c>
      <c r="K1625" s="10">
        <f>IF($A1625="","",IF($I1625=0,"",_xludf.AGGREGATE(14,6,Ventes_Encaissements!$C$6:$C$3005/(Ventes_Encaissements!$B$6:$B$3005=$A1625),1)))</f>
        <v/>
      </c>
      <c r="L1625" s="11">
        <f>IF($A1625="","",COUNTIFS(Ventes_Detail!$B$6:$B$3005,$A1625))</f>
        <v/>
      </c>
      <c r="M1625" s="12" t="n"/>
      <c r="N1625" s="12">
        <f>IF($A1625="","",IF($G1625="","",IF($M1625="Oui","Litige",IF($J1625&lt;=0,"Payé",IF($I1625&gt;0,"Partiel",IF(Listes!$B$3&gt;$G1625,"En retard","À échoir"))))))</f>
        <v/>
      </c>
      <c r="O1625" s="11">
        <f>IF($A1625="","",IF(OR($G1625="", $J1625&lt;=0),0,MAX(0,Listes!$B$3-$G1625)))</f>
        <v/>
      </c>
      <c r="P1625" s="12">
        <f>IF($A1625="","",IF($J1625&lt;=0,"Payé",IF($M1625="Oui","Litige",IF($O1625=0,"À échoir",IF($O1625&lt;=30,"0-30",IF($O1625&lt;=60,"31-60",IF($O1625&lt;=90,"61-90","90+")))))))</f>
        <v/>
      </c>
    </row>
    <row r="1626">
      <c r="A1626" s="6" t="n"/>
      <c r="B1626" s="6" t="n"/>
      <c r="C1626" s="6" t="n"/>
      <c r="D1626" s="6" t="n"/>
      <c r="E1626" s="6" t="n"/>
      <c r="F1626" s="7" t="n"/>
      <c r="G1626" s="7" t="n"/>
      <c r="H1626" s="8" t="n"/>
      <c r="I1626" s="9">
        <f>IF($A1626="","",SUMIFS(Ventes_Encaissements!$D$6:$D$3005,Ventes_Encaissements!$B$6:$B$3005,$A1626))</f>
        <v/>
      </c>
      <c r="J1626" s="9">
        <f>IF($A1626="","",$H1626-$I1626)</f>
        <v/>
      </c>
      <c r="K1626" s="10">
        <f>IF($A1626="","",IF($I1626=0,"",_xludf.AGGREGATE(14,6,Ventes_Encaissements!$C$6:$C$3005/(Ventes_Encaissements!$B$6:$B$3005=$A1626),1)))</f>
        <v/>
      </c>
      <c r="L1626" s="11">
        <f>IF($A1626="","",COUNTIFS(Ventes_Detail!$B$6:$B$3005,$A1626))</f>
        <v/>
      </c>
      <c r="M1626" s="12" t="n"/>
      <c r="N1626" s="12">
        <f>IF($A1626="","",IF($G1626="","",IF($M1626="Oui","Litige",IF($J1626&lt;=0,"Payé",IF($I1626&gt;0,"Partiel",IF(Listes!$B$3&gt;$G1626,"En retard","À échoir"))))))</f>
        <v/>
      </c>
      <c r="O1626" s="11">
        <f>IF($A1626="","",IF(OR($G1626="", $J1626&lt;=0),0,MAX(0,Listes!$B$3-$G1626)))</f>
        <v/>
      </c>
      <c r="P1626" s="12">
        <f>IF($A1626="","",IF($J1626&lt;=0,"Payé",IF($M1626="Oui","Litige",IF($O1626=0,"À échoir",IF($O1626&lt;=30,"0-30",IF($O1626&lt;=60,"31-60",IF($O1626&lt;=90,"61-90","90+")))))))</f>
        <v/>
      </c>
    </row>
    <row r="1627">
      <c r="A1627" s="6" t="n"/>
      <c r="B1627" s="6" t="n"/>
      <c r="C1627" s="6" t="n"/>
      <c r="D1627" s="6" t="n"/>
      <c r="E1627" s="6" t="n"/>
      <c r="F1627" s="7" t="n"/>
      <c r="G1627" s="7" t="n"/>
      <c r="H1627" s="8" t="n"/>
      <c r="I1627" s="9">
        <f>IF($A1627="","",SUMIFS(Ventes_Encaissements!$D$6:$D$3005,Ventes_Encaissements!$B$6:$B$3005,$A1627))</f>
        <v/>
      </c>
      <c r="J1627" s="9">
        <f>IF($A1627="","",$H1627-$I1627)</f>
        <v/>
      </c>
      <c r="K1627" s="10">
        <f>IF($A1627="","",IF($I1627=0,"",_xludf.AGGREGATE(14,6,Ventes_Encaissements!$C$6:$C$3005/(Ventes_Encaissements!$B$6:$B$3005=$A1627),1)))</f>
        <v/>
      </c>
      <c r="L1627" s="11">
        <f>IF($A1627="","",COUNTIFS(Ventes_Detail!$B$6:$B$3005,$A1627))</f>
        <v/>
      </c>
      <c r="M1627" s="12" t="n"/>
      <c r="N1627" s="12">
        <f>IF($A1627="","",IF($G1627="","",IF($M1627="Oui","Litige",IF($J1627&lt;=0,"Payé",IF($I1627&gt;0,"Partiel",IF(Listes!$B$3&gt;$G1627,"En retard","À échoir"))))))</f>
        <v/>
      </c>
      <c r="O1627" s="11">
        <f>IF($A1627="","",IF(OR($G1627="", $J1627&lt;=0),0,MAX(0,Listes!$B$3-$G1627)))</f>
        <v/>
      </c>
      <c r="P1627" s="12">
        <f>IF($A1627="","",IF($J1627&lt;=0,"Payé",IF($M1627="Oui","Litige",IF($O1627=0,"À échoir",IF($O1627&lt;=30,"0-30",IF($O1627&lt;=60,"31-60",IF($O1627&lt;=90,"61-90","90+")))))))</f>
        <v/>
      </c>
    </row>
    <row r="1628">
      <c r="A1628" s="6" t="n"/>
      <c r="B1628" s="6" t="n"/>
      <c r="C1628" s="6" t="n"/>
      <c r="D1628" s="6" t="n"/>
      <c r="E1628" s="6" t="n"/>
      <c r="F1628" s="7" t="n"/>
      <c r="G1628" s="7" t="n"/>
      <c r="H1628" s="8" t="n"/>
      <c r="I1628" s="9">
        <f>IF($A1628="","",SUMIFS(Ventes_Encaissements!$D$6:$D$3005,Ventes_Encaissements!$B$6:$B$3005,$A1628))</f>
        <v/>
      </c>
      <c r="J1628" s="9">
        <f>IF($A1628="","",$H1628-$I1628)</f>
        <v/>
      </c>
      <c r="K1628" s="10">
        <f>IF($A1628="","",IF($I1628=0,"",_xludf.AGGREGATE(14,6,Ventes_Encaissements!$C$6:$C$3005/(Ventes_Encaissements!$B$6:$B$3005=$A1628),1)))</f>
        <v/>
      </c>
      <c r="L1628" s="11">
        <f>IF($A1628="","",COUNTIFS(Ventes_Detail!$B$6:$B$3005,$A1628))</f>
        <v/>
      </c>
      <c r="M1628" s="12" t="n"/>
      <c r="N1628" s="12">
        <f>IF($A1628="","",IF($G1628="","",IF($M1628="Oui","Litige",IF($J1628&lt;=0,"Payé",IF($I1628&gt;0,"Partiel",IF(Listes!$B$3&gt;$G1628,"En retard","À échoir"))))))</f>
        <v/>
      </c>
      <c r="O1628" s="11">
        <f>IF($A1628="","",IF(OR($G1628="", $J1628&lt;=0),0,MAX(0,Listes!$B$3-$G1628)))</f>
        <v/>
      </c>
      <c r="P1628" s="12">
        <f>IF($A1628="","",IF($J1628&lt;=0,"Payé",IF($M1628="Oui","Litige",IF($O1628=0,"À échoir",IF($O1628&lt;=30,"0-30",IF($O1628&lt;=60,"31-60",IF($O1628&lt;=90,"61-90","90+")))))))</f>
        <v/>
      </c>
    </row>
    <row r="1629">
      <c r="A1629" s="6" t="n"/>
      <c r="B1629" s="6" t="n"/>
      <c r="C1629" s="6" t="n"/>
      <c r="D1629" s="6" t="n"/>
      <c r="E1629" s="6" t="n"/>
      <c r="F1629" s="7" t="n"/>
      <c r="G1629" s="7" t="n"/>
      <c r="H1629" s="8" t="n"/>
      <c r="I1629" s="9">
        <f>IF($A1629="","",SUMIFS(Ventes_Encaissements!$D$6:$D$3005,Ventes_Encaissements!$B$6:$B$3005,$A1629))</f>
        <v/>
      </c>
      <c r="J1629" s="9">
        <f>IF($A1629="","",$H1629-$I1629)</f>
        <v/>
      </c>
      <c r="K1629" s="10">
        <f>IF($A1629="","",IF($I1629=0,"",_xludf.AGGREGATE(14,6,Ventes_Encaissements!$C$6:$C$3005/(Ventes_Encaissements!$B$6:$B$3005=$A1629),1)))</f>
        <v/>
      </c>
      <c r="L1629" s="11">
        <f>IF($A1629="","",COUNTIFS(Ventes_Detail!$B$6:$B$3005,$A1629))</f>
        <v/>
      </c>
      <c r="M1629" s="12" t="n"/>
      <c r="N1629" s="12">
        <f>IF($A1629="","",IF($G1629="","",IF($M1629="Oui","Litige",IF($J1629&lt;=0,"Payé",IF($I1629&gt;0,"Partiel",IF(Listes!$B$3&gt;$G1629,"En retard","À échoir"))))))</f>
        <v/>
      </c>
      <c r="O1629" s="11">
        <f>IF($A1629="","",IF(OR($G1629="", $J1629&lt;=0),0,MAX(0,Listes!$B$3-$G1629)))</f>
        <v/>
      </c>
      <c r="P1629" s="12">
        <f>IF($A1629="","",IF($J1629&lt;=0,"Payé",IF($M1629="Oui","Litige",IF($O1629=0,"À échoir",IF($O1629&lt;=30,"0-30",IF($O1629&lt;=60,"31-60",IF($O1629&lt;=90,"61-90","90+")))))))</f>
        <v/>
      </c>
    </row>
    <row r="1630">
      <c r="A1630" s="6" t="n"/>
      <c r="B1630" s="6" t="n"/>
      <c r="C1630" s="6" t="n"/>
      <c r="D1630" s="6" t="n"/>
      <c r="E1630" s="6" t="n"/>
      <c r="F1630" s="7" t="n"/>
      <c r="G1630" s="7" t="n"/>
      <c r="H1630" s="8" t="n"/>
      <c r="I1630" s="9">
        <f>IF($A1630="","",SUMIFS(Ventes_Encaissements!$D$6:$D$3005,Ventes_Encaissements!$B$6:$B$3005,$A1630))</f>
        <v/>
      </c>
      <c r="J1630" s="9">
        <f>IF($A1630="","",$H1630-$I1630)</f>
        <v/>
      </c>
      <c r="K1630" s="10">
        <f>IF($A1630="","",IF($I1630=0,"",_xludf.AGGREGATE(14,6,Ventes_Encaissements!$C$6:$C$3005/(Ventes_Encaissements!$B$6:$B$3005=$A1630),1)))</f>
        <v/>
      </c>
      <c r="L1630" s="11">
        <f>IF($A1630="","",COUNTIFS(Ventes_Detail!$B$6:$B$3005,$A1630))</f>
        <v/>
      </c>
      <c r="M1630" s="12" t="n"/>
      <c r="N1630" s="12">
        <f>IF($A1630="","",IF($G1630="","",IF($M1630="Oui","Litige",IF($J1630&lt;=0,"Payé",IF($I1630&gt;0,"Partiel",IF(Listes!$B$3&gt;$G1630,"En retard","À échoir"))))))</f>
        <v/>
      </c>
      <c r="O1630" s="11">
        <f>IF($A1630="","",IF(OR($G1630="", $J1630&lt;=0),0,MAX(0,Listes!$B$3-$G1630)))</f>
        <v/>
      </c>
      <c r="P1630" s="12">
        <f>IF($A1630="","",IF($J1630&lt;=0,"Payé",IF($M1630="Oui","Litige",IF($O1630=0,"À échoir",IF($O1630&lt;=30,"0-30",IF($O1630&lt;=60,"31-60",IF($O1630&lt;=90,"61-90","90+")))))))</f>
        <v/>
      </c>
    </row>
    <row r="1631">
      <c r="A1631" s="6" t="n"/>
      <c r="B1631" s="6" t="n"/>
      <c r="C1631" s="6" t="n"/>
      <c r="D1631" s="6" t="n"/>
      <c r="E1631" s="6" t="n"/>
      <c r="F1631" s="7" t="n"/>
      <c r="G1631" s="7" t="n"/>
      <c r="H1631" s="8" t="n"/>
      <c r="I1631" s="9">
        <f>IF($A1631="","",SUMIFS(Ventes_Encaissements!$D$6:$D$3005,Ventes_Encaissements!$B$6:$B$3005,$A1631))</f>
        <v/>
      </c>
      <c r="J1631" s="9">
        <f>IF($A1631="","",$H1631-$I1631)</f>
        <v/>
      </c>
      <c r="K1631" s="10">
        <f>IF($A1631="","",IF($I1631=0,"",_xludf.AGGREGATE(14,6,Ventes_Encaissements!$C$6:$C$3005/(Ventes_Encaissements!$B$6:$B$3005=$A1631),1)))</f>
        <v/>
      </c>
      <c r="L1631" s="11">
        <f>IF($A1631="","",COUNTIFS(Ventes_Detail!$B$6:$B$3005,$A1631))</f>
        <v/>
      </c>
      <c r="M1631" s="12" t="n"/>
      <c r="N1631" s="12">
        <f>IF($A1631="","",IF($G1631="","",IF($M1631="Oui","Litige",IF($J1631&lt;=0,"Payé",IF($I1631&gt;0,"Partiel",IF(Listes!$B$3&gt;$G1631,"En retard","À échoir"))))))</f>
        <v/>
      </c>
      <c r="O1631" s="11">
        <f>IF($A1631="","",IF(OR($G1631="", $J1631&lt;=0),0,MAX(0,Listes!$B$3-$G1631)))</f>
        <v/>
      </c>
      <c r="P1631" s="12">
        <f>IF($A1631="","",IF($J1631&lt;=0,"Payé",IF($M1631="Oui","Litige",IF($O1631=0,"À échoir",IF($O1631&lt;=30,"0-30",IF($O1631&lt;=60,"31-60",IF($O1631&lt;=90,"61-90","90+")))))))</f>
        <v/>
      </c>
    </row>
    <row r="1632">
      <c r="A1632" s="6" t="n"/>
      <c r="B1632" s="6" t="n"/>
      <c r="C1632" s="6" t="n"/>
      <c r="D1632" s="6" t="n"/>
      <c r="E1632" s="6" t="n"/>
      <c r="F1632" s="7" t="n"/>
      <c r="G1632" s="7" t="n"/>
      <c r="H1632" s="8" t="n"/>
      <c r="I1632" s="9">
        <f>IF($A1632="","",SUMIFS(Ventes_Encaissements!$D$6:$D$3005,Ventes_Encaissements!$B$6:$B$3005,$A1632))</f>
        <v/>
      </c>
      <c r="J1632" s="9">
        <f>IF($A1632="","",$H1632-$I1632)</f>
        <v/>
      </c>
      <c r="K1632" s="10">
        <f>IF($A1632="","",IF($I1632=0,"",_xludf.AGGREGATE(14,6,Ventes_Encaissements!$C$6:$C$3005/(Ventes_Encaissements!$B$6:$B$3005=$A1632),1)))</f>
        <v/>
      </c>
      <c r="L1632" s="11">
        <f>IF($A1632="","",COUNTIFS(Ventes_Detail!$B$6:$B$3005,$A1632))</f>
        <v/>
      </c>
      <c r="M1632" s="12" t="n"/>
      <c r="N1632" s="12">
        <f>IF($A1632="","",IF($G1632="","",IF($M1632="Oui","Litige",IF($J1632&lt;=0,"Payé",IF($I1632&gt;0,"Partiel",IF(Listes!$B$3&gt;$G1632,"En retard","À échoir"))))))</f>
        <v/>
      </c>
      <c r="O1632" s="11">
        <f>IF($A1632="","",IF(OR($G1632="", $J1632&lt;=0),0,MAX(0,Listes!$B$3-$G1632)))</f>
        <v/>
      </c>
      <c r="P1632" s="12">
        <f>IF($A1632="","",IF($J1632&lt;=0,"Payé",IF($M1632="Oui","Litige",IF($O1632=0,"À échoir",IF($O1632&lt;=30,"0-30",IF($O1632&lt;=60,"31-60",IF($O1632&lt;=90,"61-90","90+")))))))</f>
        <v/>
      </c>
    </row>
    <row r="1633">
      <c r="A1633" s="6" t="n"/>
      <c r="B1633" s="6" t="n"/>
      <c r="C1633" s="6" t="n"/>
      <c r="D1633" s="6" t="n"/>
      <c r="E1633" s="6" t="n"/>
      <c r="F1633" s="7" t="n"/>
      <c r="G1633" s="7" t="n"/>
      <c r="H1633" s="8" t="n"/>
      <c r="I1633" s="9">
        <f>IF($A1633="","",SUMIFS(Ventes_Encaissements!$D$6:$D$3005,Ventes_Encaissements!$B$6:$B$3005,$A1633))</f>
        <v/>
      </c>
      <c r="J1633" s="9">
        <f>IF($A1633="","",$H1633-$I1633)</f>
        <v/>
      </c>
      <c r="K1633" s="10">
        <f>IF($A1633="","",IF($I1633=0,"",_xludf.AGGREGATE(14,6,Ventes_Encaissements!$C$6:$C$3005/(Ventes_Encaissements!$B$6:$B$3005=$A1633),1)))</f>
        <v/>
      </c>
      <c r="L1633" s="11">
        <f>IF($A1633="","",COUNTIFS(Ventes_Detail!$B$6:$B$3005,$A1633))</f>
        <v/>
      </c>
      <c r="M1633" s="12" t="n"/>
      <c r="N1633" s="12">
        <f>IF($A1633="","",IF($G1633="","",IF($M1633="Oui","Litige",IF($J1633&lt;=0,"Payé",IF($I1633&gt;0,"Partiel",IF(Listes!$B$3&gt;$G1633,"En retard","À échoir"))))))</f>
        <v/>
      </c>
      <c r="O1633" s="11">
        <f>IF($A1633="","",IF(OR($G1633="", $J1633&lt;=0),0,MAX(0,Listes!$B$3-$G1633)))</f>
        <v/>
      </c>
      <c r="P1633" s="12">
        <f>IF($A1633="","",IF($J1633&lt;=0,"Payé",IF($M1633="Oui","Litige",IF($O1633=0,"À échoir",IF($O1633&lt;=30,"0-30",IF($O1633&lt;=60,"31-60",IF($O1633&lt;=90,"61-90","90+")))))))</f>
        <v/>
      </c>
    </row>
    <row r="1634">
      <c r="A1634" s="6" t="n"/>
      <c r="B1634" s="6" t="n"/>
      <c r="C1634" s="6" t="n"/>
      <c r="D1634" s="6" t="n"/>
      <c r="E1634" s="6" t="n"/>
      <c r="F1634" s="7" t="n"/>
      <c r="G1634" s="7" t="n"/>
      <c r="H1634" s="8" t="n"/>
      <c r="I1634" s="9">
        <f>IF($A1634="","",SUMIFS(Ventes_Encaissements!$D$6:$D$3005,Ventes_Encaissements!$B$6:$B$3005,$A1634))</f>
        <v/>
      </c>
      <c r="J1634" s="9">
        <f>IF($A1634="","",$H1634-$I1634)</f>
        <v/>
      </c>
      <c r="K1634" s="10">
        <f>IF($A1634="","",IF($I1634=0,"",_xludf.AGGREGATE(14,6,Ventes_Encaissements!$C$6:$C$3005/(Ventes_Encaissements!$B$6:$B$3005=$A1634),1)))</f>
        <v/>
      </c>
      <c r="L1634" s="11">
        <f>IF($A1634="","",COUNTIFS(Ventes_Detail!$B$6:$B$3005,$A1634))</f>
        <v/>
      </c>
      <c r="M1634" s="12" t="n"/>
      <c r="N1634" s="12">
        <f>IF($A1634="","",IF($G1634="","",IF($M1634="Oui","Litige",IF($J1634&lt;=0,"Payé",IF($I1634&gt;0,"Partiel",IF(Listes!$B$3&gt;$G1634,"En retard","À échoir"))))))</f>
        <v/>
      </c>
      <c r="O1634" s="11">
        <f>IF($A1634="","",IF(OR($G1634="", $J1634&lt;=0),0,MAX(0,Listes!$B$3-$G1634)))</f>
        <v/>
      </c>
      <c r="P1634" s="12">
        <f>IF($A1634="","",IF($J1634&lt;=0,"Payé",IF($M1634="Oui","Litige",IF($O1634=0,"À échoir",IF($O1634&lt;=30,"0-30",IF($O1634&lt;=60,"31-60",IF($O1634&lt;=90,"61-90","90+")))))))</f>
        <v/>
      </c>
    </row>
    <row r="1635">
      <c r="A1635" s="6" t="n"/>
      <c r="B1635" s="6" t="n"/>
      <c r="C1635" s="6" t="n"/>
      <c r="D1635" s="6" t="n"/>
      <c r="E1635" s="6" t="n"/>
      <c r="F1635" s="7" t="n"/>
      <c r="G1635" s="7" t="n"/>
      <c r="H1635" s="8" t="n"/>
      <c r="I1635" s="9">
        <f>IF($A1635="","",SUMIFS(Ventes_Encaissements!$D$6:$D$3005,Ventes_Encaissements!$B$6:$B$3005,$A1635))</f>
        <v/>
      </c>
      <c r="J1635" s="9">
        <f>IF($A1635="","",$H1635-$I1635)</f>
        <v/>
      </c>
      <c r="K1635" s="10">
        <f>IF($A1635="","",IF($I1635=0,"",_xludf.AGGREGATE(14,6,Ventes_Encaissements!$C$6:$C$3005/(Ventes_Encaissements!$B$6:$B$3005=$A1635),1)))</f>
        <v/>
      </c>
      <c r="L1635" s="11">
        <f>IF($A1635="","",COUNTIFS(Ventes_Detail!$B$6:$B$3005,$A1635))</f>
        <v/>
      </c>
      <c r="M1635" s="12" t="n"/>
      <c r="N1635" s="12">
        <f>IF($A1635="","",IF($G1635="","",IF($M1635="Oui","Litige",IF($J1635&lt;=0,"Payé",IF($I1635&gt;0,"Partiel",IF(Listes!$B$3&gt;$G1635,"En retard","À échoir"))))))</f>
        <v/>
      </c>
      <c r="O1635" s="11">
        <f>IF($A1635="","",IF(OR($G1635="", $J1635&lt;=0),0,MAX(0,Listes!$B$3-$G1635)))</f>
        <v/>
      </c>
      <c r="P1635" s="12">
        <f>IF($A1635="","",IF($J1635&lt;=0,"Payé",IF($M1635="Oui","Litige",IF($O1635=0,"À échoir",IF($O1635&lt;=30,"0-30",IF($O1635&lt;=60,"31-60",IF($O1635&lt;=90,"61-90","90+")))))))</f>
        <v/>
      </c>
    </row>
    <row r="1636">
      <c r="A1636" s="6" t="n"/>
      <c r="B1636" s="6" t="n"/>
      <c r="C1636" s="6" t="n"/>
      <c r="D1636" s="6" t="n"/>
      <c r="E1636" s="6" t="n"/>
      <c r="F1636" s="7" t="n"/>
      <c r="G1636" s="7" t="n"/>
      <c r="H1636" s="8" t="n"/>
      <c r="I1636" s="9">
        <f>IF($A1636="","",SUMIFS(Ventes_Encaissements!$D$6:$D$3005,Ventes_Encaissements!$B$6:$B$3005,$A1636))</f>
        <v/>
      </c>
      <c r="J1636" s="9">
        <f>IF($A1636="","",$H1636-$I1636)</f>
        <v/>
      </c>
      <c r="K1636" s="10">
        <f>IF($A1636="","",IF($I1636=0,"",_xludf.AGGREGATE(14,6,Ventes_Encaissements!$C$6:$C$3005/(Ventes_Encaissements!$B$6:$B$3005=$A1636),1)))</f>
        <v/>
      </c>
      <c r="L1636" s="11">
        <f>IF($A1636="","",COUNTIFS(Ventes_Detail!$B$6:$B$3005,$A1636))</f>
        <v/>
      </c>
      <c r="M1636" s="12" t="n"/>
      <c r="N1636" s="12">
        <f>IF($A1636="","",IF($G1636="","",IF($M1636="Oui","Litige",IF($J1636&lt;=0,"Payé",IF($I1636&gt;0,"Partiel",IF(Listes!$B$3&gt;$G1636,"En retard","À échoir"))))))</f>
        <v/>
      </c>
      <c r="O1636" s="11">
        <f>IF($A1636="","",IF(OR($G1636="", $J1636&lt;=0),0,MAX(0,Listes!$B$3-$G1636)))</f>
        <v/>
      </c>
      <c r="P1636" s="12">
        <f>IF($A1636="","",IF($J1636&lt;=0,"Payé",IF($M1636="Oui","Litige",IF($O1636=0,"À échoir",IF($O1636&lt;=30,"0-30",IF($O1636&lt;=60,"31-60",IF($O1636&lt;=90,"61-90","90+")))))))</f>
        <v/>
      </c>
    </row>
    <row r="1637">
      <c r="A1637" s="6" t="n"/>
      <c r="B1637" s="6" t="n"/>
      <c r="C1637" s="6" t="n"/>
      <c r="D1637" s="6" t="n"/>
      <c r="E1637" s="6" t="n"/>
      <c r="F1637" s="7" t="n"/>
      <c r="G1637" s="7" t="n"/>
      <c r="H1637" s="8" t="n"/>
      <c r="I1637" s="9">
        <f>IF($A1637="","",SUMIFS(Ventes_Encaissements!$D$6:$D$3005,Ventes_Encaissements!$B$6:$B$3005,$A1637))</f>
        <v/>
      </c>
      <c r="J1637" s="9">
        <f>IF($A1637="","",$H1637-$I1637)</f>
        <v/>
      </c>
      <c r="K1637" s="10">
        <f>IF($A1637="","",IF($I1637=0,"",_xludf.AGGREGATE(14,6,Ventes_Encaissements!$C$6:$C$3005/(Ventes_Encaissements!$B$6:$B$3005=$A1637),1)))</f>
        <v/>
      </c>
      <c r="L1637" s="11">
        <f>IF($A1637="","",COUNTIFS(Ventes_Detail!$B$6:$B$3005,$A1637))</f>
        <v/>
      </c>
      <c r="M1637" s="12" t="n"/>
      <c r="N1637" s="12">
        <f>IF($A1637="","",IF($G1637="","",IF($M1637="Oui","Litige",IF($J1637&lt;=0,"Payé",IF($I1637&gt;0,"Partiel",IF(Listes!$B$3&gt;$G1637,"En retard","À échoir"))))))</f>
        <v/>
      </c>
      <c r="O1637" s="11">
        <f>IF($A1637="","",IF(OR($G1637="", $J1637&lt;=0),0,MAX(0,Listes!$B$3-$G1637)))</f>
        <v/>
      </c>
      <c r="P1637" s="12">
        <f>IF($A1637="","",IF($J1637&lt;=0,"Payé",IF($M1637="Oui","Litige",IF($O1637=0,"À échoir",IF($O1637&lt;=30,"0-30",IF($O1637&lt;=60,"31-60",IF($O1637&lt;=90,"61-90","90+")))))))</f>
        <v/>
      </c>
    </row>
    <row r="1638">
      <c r="A1638" s="6" t="n"/>
      <c r="B1638" s="6" t="n"/>
      <c r="C1638" s="6" t="n"/>
      <c r="D1638" s="6" t="n"/>
      <c r="E1638" s="6" t="n"/>
      <c r="F1638" s="7" t="n"/>
      <c r="G1638" s="7" t="n"/>
      <c r="H1638" s="8" t="n"/>
      <c r="I1638" s="9">
        <f>IF($A1638="","",SUMIFS(Ventes_Encaissements!$D$6:$D$3005,Ventes_Encaissements!$B$6:$B$3005,$A1638))</f>
        <v/>
      </c>
      <c r="J1638" s="9">
        <f>IF($A1638="","",$H1638-$I1638)</f>
        <v/>
      </c>
      <c r="K1638" s="10">
        <f>IF($A1638="","",IF($I1638=0,"",_xludf.AGGREGATE(14,6,Ventes_Encaissements!$C$6:$C$3005/(Ventes_Encaissements!$B$6:$B$3005=$A1638),1)))</f>
        <v/>
      </c>
      <c r="L1638" s="11">
        <f>IF($A1638="","",COUNTIFS(Ventes_Detail!$B$6:$B$3005,$A1638))</f>
        <v/>
      </c>
      <c r="M1638" s="12" t="n"/>
      <c r="N1638" s="12">
        <f>IF($A1638="","",IF($G1638="","",IF($M1638="Oui","Litige",IF($J1638&lt;=0,"Payé",IF($I1638&gt;0,"Partiel",IF(Listes!$B$3&gt;$G1638,"En retard","À échoir"))))))</f>
        <v/>
      </c>
      <c r="O1638" s="11">
        <f>IF($A1638="","",IF(OR($G1638="", $J1638&lt;=0),0,MAX(0,Listes!$B$3-$G1638)))</f>
        <v/>
      </c>
      <c r="P1638" s="12">
        <f>IF($A1638="","",IF($J1638&lt;=0,"Payé",IF($M1638="Oui","Litige",IF($O1638=0,"À échoir",IF($O1638&lt;=30,"0-30",IF($O1638&lt;=60,"31-60",IF($O1638&lt;=90,"61-90","90+")))))))</f>
        <v/>
      </c>
    </row>
    <row r="1639">
      <c r="A1639" s="6" t="n"/>
      <c r="B1639" s="6" t="n"/>
      <c r="C1639" s="6" t="n"/>
      <c r="D1639" s="6" t="n"/>
      <c r="E1639" s="6" t="n"/>
      <c r="F1639" s="7" t="n"/>
      <c r="G1639" s="7" t="n"/>
      <c r="H1639" s="8" t="n"/>
      <c r="I1639" s="9">
        <f>IF($A1639="","",SUMIFS(Ventes_Encaissements!$D$6:$D$3005,Ventes_Encaissements!$B$6:$B$3005,$A1639))</f>
        <v/>
      </c>
      <c r="J1639" s="9">
        <f>IF($A1639="","",$H1639-$I1639)</f>
        <v/>
      </c>
      <c r="K1639" s="10">
        <f>IF($A1639="","",IF($I1639=0,"",_xludf.AGGREGATE(14,6,Ventes_Encaissements!$C$6:$C$3005/(Ventes_Encaissements!$B$6:$B$3005=$A1639),1)))</f>
        <v/>
      </c>
      <c r="L1639" s="11">
        <f>IF($A1639="","",COUNTIFS(Ventes_Detail!$B$6:$B$3005,$A1639))</f>
        <v/>
      </c>
      <c r="M1639" s="12" t="n"/>
      <c r="N1639" s="12">
        <f>IF($A1639="","",IF($G1639="","",IF($M1639="Oui","Litige",IF($J1639&lt;=0,"Payé",IF($I1639&gt;0,"Partiel",IF(Listes!$B$3&gt;$G1639,"En retard","À échoir"))))))</f>
        <v/>
      </c>
      <c r="O1639" s="11">
        <f>IF($A1639="","",IF(OR($G1639="", $J1639&lt;=0),0,MAX(0,Listes!$B$3-$G1639)))</f>
        <v/>
      </c>
      <c r="P1639" s="12">
        <f>IF($A1639="","",IF($J1639&lt;=0,"Payé",IF($M1639="Oui","Litige",IF($O1639=0,"À échoir",IF($O1639&lt;=30,"0-30",IF($O1639&lt;=60,"31-60",IF($O1639&lt;=90,"61-90","90+")))))))</f>
        <v/>
      </c>
    </row>
    <row r="1640">
      <c r="A1640" s="6" t="n"/>
      <c r="B1640" s="6" t="n"/>
      <c r="C1640" s="6" t="n"/>
      <c r="D1640" s="6" t="n"/>
      <c r="E1640" s="6" t="n"/>
      <c r="F1640" s="7" t="n"/>
      <c r="G1640" s="7" t="n"/>
      <c r="H1640" s="8" t="n"/>
      <c r="I1640" s="9">
        <f>IF($A1640="","",SUMIFS(Ventes_Encaissements!$D$6:$D$3005,Ventes_Encaissements!$B$6:$B$3005,$A1640))</f>
        <v/>
      </c>
      <c r="J1640" s="9">
        <f>IF($A1640="","",$H1640-$I1640)</f>
        <v/>
      </c>
      <c r="K1640" s="10">
        <f>IF($A1640="","",IF($I1640=0,"",_xludf.AGGREGATE(14,6,Ventes_Encaissements!$C$6:$C$3005/(Ventes_Encaissements!$B$6:$B$3005=$A1640),1)))</f>
        <v/>
      </c>
      <c r="L1640" s="11">
        <f>IF($A1640="","",COUNTIFS(Ventes_Detail!$B$6:$B$3005,$A1640))</f>
        <v/>
      </c>
      <c r="M1640" s="12" t="n"/>
      <c r="N1640" s="12">
        <f>IF($A1640="","",IF($G1640="","",IF($M1640="Oui","Litige",IF($J1640&lt;=0,"Payé",IF($I1640&gt;0,"Partiel",IF(Listes!$B$3&gt;$G1640,"En retard","À échoir"))))))</f>
        <v/>
      </c>
      <c r="O1640" s="11">
        <f>IF($A1640="","",IF(OR($G1640="", $J1640&lt;=0),0,MAX(0,Listes!$B$3-$G1640)))</f>
        <v/>
      </c>
      <c r="P1640" s="12">
        <f>IF($A1640="","",IF($J1640&lt;=0,"Payé",IF($M1640="Oui","Litige",IF($O1640=0,"À échoir",IF($O1640&lt;=30,"0-30",IF($O1640&lt;=60,"31-60",IF($O1640&lt;=90,"61-90","90+")))))))</f>
        <v/>
      </c>
    </row>
    <row r="1641">
      <c r="A1641" s="6" t="n"/>
      <c r="B1641" s="6" t="n"/>
      <c r="C1641" s="6" t="n"/>
      <c r="D1641" s="6" t="n"/>
      <c r="E1641" s="6" t="n"/>
      <c r="F1641" s="7" t="n"/>
      <c r="G1641" s="7" t="n"/>
      <c r="H1641" s="8" t="n"/>
      <c r="I1641" s="9">
        <f>IF($A1641="","",SUMIFS(Ventes_Encaissements!$D$6:$D$3005,Ventes_Encaissements!$B$6:$B$3005,$A1641))</f>
        <v/>
      </c>
      <c r="J1641" s="9">
        <f>IF($A1641="","",$H1641-$I1641)</f>
        <v/>
      </c>
      <c r="K1641" s="10">
        <f>IF($A1641="","",IF($I1641=0,"",_xludf.AGGREGATE(14,6,Ventes_Encaissements!$C$6:$C$3005/(Ventes_Encaissements!$B$6:$B$3005=$A1641),1)))</f>
        <v/>
      </c>
      <c r="L1641" s="11">
        <f>IF($A1641="","",COUNTIFS(Ventes_Detail!$B$6:$B$3005,$A1641))</f>
        <v/>
      </c>
      <c r="M1641" s="12" t="n"/>
      <c r="N1641" s="12">
        <f>IF($A1641="","",IF($G1641="","",IF($M1641="Oui","Litige",IF($J1641&lt;=0,"Payé",IF($I1641&gt;0,"Partiel",IF(Listes!$B$3&gt;$G1641,"En retard","À échoir"))))))</f>
        <v/>
      </c>
      <c r="O1641" s="11">
        <f>IF($A1641="","",IF(OR($G1641="", $J1641&lt;=0),0,MAX(0,Listes!$B$3-$G1641)))</f>
        <v/>
      </c>
      <c r="P1641" s="12">
        <f>IF($A1641="","",IF($J1641&lt;=0,"Payé",IF($M1641="Oui","Litige",IF($O1641=0,"À échoir",IF($O1641&lt;=30,"0-30",IF($O1641&lt;=60,"31-60",IF($O1641&lt;=90,"61-90","90+")))))))</f>
        <v/>
      </c>
    </row>
    <row r="1642">
      <c r="A1642" s="6" t="n"/>
      <c r="B1642" s="6" t="n"/>
      <c r="C1642" s="6" t="n"/>
      <c r="D1642" s="6" t="n"/>
      <c r="E1642" s="6" t="n"/>
      <c r="F1642" s="7" t="n"/>
      <c r="G1642" s="7" t="n"/>
      <c r="H1642" s="8" t="n"/>
      <c r="I1642" s="9">
        <f>IF($A1642="","",SUMIFS(Ventes_Encaissements!$D$6:$D$3005,Ventes_Encaissements!$B$6:$B$3005,$A1642))</f>
        <v/>
      </c>
      <c r="J1642" s="9">
        <f>IF($A1642="","",$H1642-$I1642)</f>
        <v/>
      </c>
      <c r="K1642" s="10">
        <f>IF($A1642="","",IF($I1642=0,"",_xludf.AGGREGATE(14,6,Ventes_Encaissements!$C$6:$C$3005/(Ventes_Encaissements!$B$6:$B$3005=$A1642),1)))</f>
        <v/>
      </c>
      <c r="L1642" s="11">
        <f>IF($A1642="","",COUNTIFS(Ventes_Detail!$B$6:$B$3005,$A1642))</f>
        <v/>
      </c>
      <c r="M1642" s="12" t="n"/>
      <c r="N1642" s="12">
        <f>IF($A1642="","",IF($G1642="","",IF($M1642="Oui","Litige",IF($J1642&lt;=0,"Payé",IF($I1642&gt;0,"Partiel",IF(Listes!$B$3&gt;$G1642,"En retard","À échoir"))))))</f>
        <v/>
      </c>
      <c r="O1642" s="11">
        <f>IF($A1642="","",IF(OR($G1642="", $J1642&lt;=0),0,MAX(0,Listes!$B$3-$G1642)))</f>
        <v/>
      </c>
      <c r="P1642" s="12">
        <f>IF($A1642="","",IF($J1642&lt;=0,"Payé",IF($M1642="Oui","Litige",IF($O1642=0,"À échoir",IF($O1642&lt;=30,"0-30",IF($O1642&lt;=60,"31-60",IF($O1642&lt;=90,"61-90","90+")))))))</f>
        <v/>
      </c>
    </row>
    <row r="1643">
      <c r="A1643" s="6" t="n"/>
      <c r="B1643" s="6" t="n"/>
      <c r="C1643" s="6" t="n"/>
      <c r="D1643" s="6" t="n"/>
      <c r="E1643" s="6" t="n"/>
      <c r="F1643" s="7" t="n"/>
      <c r="G1643" s="7" t="n"/>
      <c r="H1643" s="8" t="n"/>
      <c r="I1643" s="9">
        <f>IF($A1643="","",SUMIFS(Ventes_Encaissements!$D$6:$D$3005,Ventes_Encaissements!$B$6:$B$3005,$A1643))</f>
        <v/>
      </c>
      <c r="J1643" s="9">
        <f>IF($A1643="","",$H1643-$I1643)</f>
        <v/>
      </c>
      <c r="K1643" s="10">
        <f>IF($A1643="","",IF($I1643=0,"",_xludf.AGGREGATE(14,6,Ventes_Encaissements!$C$6:$C$3005/(Ventes_Encaissements!$B$6:$B$3005=$A1643),1)))</f>
        <v/>
      </c>
      <c r="L1643" s="11">
        <f>IF($A1643="","",COUNTIFS(Ventes_Detail!$B$6:$B$3005,$A1643))</f>
        <v/>
      </c>
      <c r="M1643" s="12" t="n"/>
      <c r="N1643" s="12">
        <f>IF($A1643="","",IF($G1643="","",IF($M1643="Oui","Litige",IF($J1643&lt;=0,"Payé",IF($I1643&gt;0,"Partiel",IF(Listes!$B$3&gt;$G1643,"En retard","À échoir"))))))</f>
        <v/>
      </c>
      <c r="O1643" s="11">
        <f>IF($A1643="","",IF(OR($G1643="", $J1643&lt;=0),0,MAX(0,Listes!$B$3-$G1643)))</f>
        <v/>
      </c>
      <c r="P1643" s="12">
        <f>IF($A1643="","",IF($J1643&lt;=0,"Payé",IF($M1643="Oui","Litige",IF($O1643=0,"À échoir",IF($O1643&lt;=30,"0-30",IF($O1643&lt;=60,"31-60",IF($O1643&lt;=90,"61-90","90+")))))))</f>
        <v/>
      </c>
    </row>
    <row r="1644">
      <c r="A1644" s="6" t="n"/>
      <c r="B1644" s="6" t="n"/>
      <c r="C1644" s="6" t="n"/>
      <c r="D1644" s="6" t="n"/>
      <c r="E1644" s="6" t="n"/>
      <c r="F1644" s="7" t="n"/>
      <c r="G1644" s="7" t="n"/>
      <c r="H1644" s="8" t="n"/>
      <c r="I1644" s="9">
        <f>IF($A1644="","",SUMIFS(Ventes_Encaissements!$D$6:$D$3005,Ventes_Encaissements!$B$6:$B$3005,$A1644))</f>
        <v/>
      </c>
      <c r="J1644" s="9">
        <f>IF($A1644="","",$H1644-$I1644)</f>
        <v/>
      </c>
      <c r="K1644" s="10">
        <f>IF($A1644="","",IF($I1644=0,"",_xludf.AGGREGATE(14,6,Ventes_Encaissements!$C$6:$C$3005/(Ventes_Encaissements!$B$6:$B$3005=$A1644),1)))</f>
        <v/>
      </c>
      <c r="L1644" s="11">
        <f>IF($A1644="","",COUNTIFS(Ventes_Detail!$B$6:$B$3005,$A1644))</f>
        <v/>
      </c>
      <c r="M1644" s="12" t="n"/>
      <c r="N1644" s="12">
        <f>IF($A1644="","",IF($G1644="","",IF($M1644="Oui","Litige",IF($J1644&lt;=0,"Payé",IF($I1644&gt;0,"Partiel",IF(Listes!$B$3&gt;$G1644,"En retard","À échoir"))))))</f>
        <v/>
      </c>
      <c r="O1644" s="11">
        <f>IF($A1644="","",IF(OR($G1644="", $J1644&lt;=0),0,MAX(0,Listes!$B$3-$G1644)))</f>
        <v/>
      </c>
      <c r="P1644" s="12">
        <f>IF($A1644="","",IF($J1644&lt;=0,"Payé",IF($M1644="Oui","Litige",IF($O1644=0,"À échoir",IF($O1644&lt;=30,"0-30",IF($O1644&lt;=60,"31-60",IF($O1644&lt;=90,"61-90","90+")))))))</f>
        <v/>
      </c>
    </row>
    <row r="1645">
      <c r="A1645" s="6" t="n"/>
      <c r="B1645" s="6" t="n"/>
      <c r="C1645" s="6" t="n"/>
      <c r="D1645" s="6" t="n"/>
      <c r="E1645" s="6" t="n"/>
      <c r="F1645" s="7" t="n"/>
      <c r="G1645" s="7" t="n"/>
      <c r="H1645" s="8" t="n"/>
      <c r="I1645" s="9">
        <f>IF($A1645="","",SUMIFS(Ventes_Encaissements!$D$6:$D$3005,Ventes_Encaissements!$B$6:$B$3005,$A1645))</f>
        <v/>
      </c>
      <c r="J1645" s="9">
        <f>IF($A1645="","",$H1645-$I1645)</f>
        <v/>
      </c>
      <c r="K1645" s="10">
        <f>IF($A1645="","",IF($I1645=0,"",_xludf.AGGREGATE(14,6,Ventes_Encaissements!$C$6:$C$3005/(Ventes_Encaissements!$B$6:$B$3005=$A1645),1)))</f>
        <v/>
      </c>
      <c r="L1645" s="11">
        <f>IF($A1645="","",COUNTIFS(Ventes_Detail!$B$6:$B$3005,$A1645))</f>
        <v/>
      </c>
      <c r="M1645" s="12" t="n"/>
      <c r="N1645" s="12">
        <f>IF($A1645="","",IF($G1645="","",IF($M1645="Oui","Litige",IF($J1645&lt;=0,"Payé",IF($I1645&gt;0,"Partiel",IF(Listes!$B$3&gt;$G1645,"En retard","À échoir"))))))</f>
        <v/>
      </c>
      <c r="O1645" s="11">
        <f>IF($A1645="","",IF(OR($G1645="", $J1645&lt;=0),0,MAX(0,Listes!$B$3-$G1645)))</f>
        <v/>
      </c>
      <c r="P1645" s="12">
        <f>IF($A1645="","",IF($J1645&lt;=0,"Payé",IF($M1645="Oui","Litige",IF($O1645=0,"À échoir",IF($O1645&lt;=30,"0-30",IF($O1645&lt;=60,"31-60",IF($O1645&lt;=90,"61-90","90+")))))))</f>
        <v/>
      </c>
    </row>
    <row r="1646">
      <c r="A1646" s="6" t="n"/>
      <c r="B1646" s="6" t="n"/>
      <c r="C1646" s="6" t="n"/>
      <c r="D1646" s="6" t="n"/>
      <c r="E1646" s="6" t="n"/>
      <c r="F1646" s="7" t="n"/>
      <c r="G1646" s="7" t="n"/>
      <c r="H1646" s="8" t="n"/>
      <c r="I1646" s="9">
        <f>IF($A1646="","",SUMIFS(Ventes_Encaissements!$D$6:$D$3005,Ventes_Encaissements!$B$6:$B$3005,$A1646))</f>
        <v/>
      </c>
      <c r="J1646" s="9">
        <f>IF($A1646="","",$H1646-$I1646)</f>
        <v/>
      </c>
      <c r="K1646" s="10">
        <f>IF($A1646="","",IF($I1646=0,"",_xludf.AGGREGATE(14,6,Ventes_Encaissements!$C$6:$C$3005/(Ventes_Encaissements!$B$6:$B$3005=$A1646),1)))</f>
        <v/>
      </c>
      <c r="L1646" s="11">
        <f>IF($A1646="","",COUNTIFS(Ventes_Detail!$B$6:$B$3005,$A1646))</f>
        <v/>
      </c>
      <c r="M1646" s="12" t="n"/>
      <c r="N1646" s="12">
        <f>IF($A1646="","",IF($G1646="","",IF($M1646="Oui","Litige",IF($J1646&lt;=0,"Payé",IF($I1646&gt;0,"Partiel",IF(Listes!$B$3&gt;$G1646,"En retard","À échoir"))))))</f>
        <v/>
      </c>
      <c r="O1646" s="11">
        <f>IF($A1646="","",IF(OR($G1646="", $J1646&lt;=0),0,MAX(0,Listes!$B$3-$G1646)))</f>
        <v/>
      </c>
      <c r="P1646" s="12">
        <f>IF($A1646="","",IF($J1646&lt;=0,"Payé",IF($M1646="Oui","Litige",IF($O1646=0,"À échoir",IF($O1646&lt;=30,"0-30",IF($O1646&lt;=60,"31-60",IF($O1646&lt;=90,"61-90","90+")))))))</f>
        <v/>
      </c>
    </row>
    <row r="1647">
      <c r="A1647" s="6" t="n"/>
      <c r="B1647" s="6" t="n"/>
      <c r="C1647" s="6" t="n"/>
      <c r="D1647" s="6" t="n"/>
      <c r="E1647" s="6" t="n"/>
      <c r="F1647" s="7" t="n"/>
      <c r="G1647" s="7" t="n"/>
      <c r="H1647" s="8" t="n"/>
      <c r="I1647" s="9">
        <f>IF($A1647="","",SUMIFS(Ventes_Encaissements!$D$6:$D$3005,Ventes_Encaissements!$B$6:$B$3005,$A1647))</f>
        <v/>
      </c>
      <c r="J1647" s="9">
        <f>IF($A1647="","",$H1647-$I1647)</f>
        <v/>
      </c>
      <c r="K1647" s="10">
        <f>IF($A1647="","",IF($I1647=0,"",_xludf.AGGREGATE(14,6,Ventes_Encaissements!$C$6:$C$3005/(Ventes_Encaissements!$B$6:$B$3005=$A1647),1)))</f>
        <v/>
      </c>
      <c r="L1647" s="11">
        <f>IF($A1647="","",COUNTIFS(Ventes_Detail!$B$6:$B$3005,$A1647))</f>
        <v/>
      </c>
      <c r="M1647" s="12" t="n"/>
      <c r="N1647" s="12">
        <f>IF($A1647="","",IF($G1647="","",IF($M1647="Oui","Litige",IF($J1647&lt;=0,"Payé",IF($I1647&gt;0,"Partiel",IF(Listes!$B$3&gt;$G1647,"En retard","À échoir"))))))</f>
        <v/>
      </c>
      <c r="O1647" s="11">
        <f>IF($A1647="","",IF(OR($G1647="", $J1647&lt;=0),0,MAX(0,Listes!$B$3-$G1647)))</f>
        <v/>
      </c>
      <c r="P1647" s="12">
        <f>IF($A1647="","",IF($J1647&lt;=0,"Payé",IF($M1647="Oui","Litige",IF($O1647=0,"À échoir",IF($O1647&lt;=30,"0-30",IF($O1647&lt;=60,"31-60",IF($O1647&lt;=90,"61-90","90+")))))))</f>
        <v/>
      </c>
    </row>
    <row r="1648">
      <c r="A1648" s="6" t="n"/>
      <c r="B1648" s="6" t="n"/>
      <c r="C1648" s="6" t="n"/>
      <c r="D1648" s="6" t="n"/>
      <c r="E1648" s="6" t="n"/>
      <c r="F1648" s="7" t="n"/>
      <c r="G1648" s="7" t="n"/>
      <c r="H1648" s="8" t="n"/>
      <c r="I1648" s="9">
        <f>IF($A1648="","",SUMIFS(Ventes_Encaissements!$D$6:$D$3005,Ventes_Encaissements!$B$6:$B$3005,$A1648))</f>
        <v/>
      </c>
      <c r="J1648" s="9">
        <f>IF($A1648="","",$H1648-$I1648)</f>
        <v/>
      </c>
      <c r="K1648" s="10">
        <f>IF($A1648="","",IF($I1648=0,"",_xludf.AGGREGATE(14,6,Ventes_Encaissements!$C$6:$C$3005/(Ventes_Encaissements!$B$6:$B$3005=$A1648),1)))</f>
        <v/>
      </c>
      <c r="L1648" s="11">
        <f>IF($A1648="","",COUNTIFS(Ventes_Detail!$B$6:$B$3005,$A1648))</f>
        <v/>
      </c>
      <c r="M1648" s="12" t="n"/>
      <c r="N1648" s="12">
        <f>IF($A1648="","",IF($G1648="","",IF($M1648="Oui","Litige",IF($J1648&lt;=0,"Payé",IF($I1648&gt;0,"Partiel",IF(Listes!$B$3&gt;$G1648,"En retard","À échoir"))))))</f>
        <v/>
      </c>
      <c r="O1648" s="11">
        <f>IF($A1648="","",IF(OR($G1648="", $J1648&lt;=0),0,MAX(0,Listes!$B$3-$G1648)))</f>
        <v/>
      </c>
      <c r="P1648" s="12">
        <f>IF($A1648="","",IF($J1648&lt;=0,"Payé",IF($M1648="Oui","Litige",IF($O1648=0,"À échoir",IF($O1648&lt;=30,"0-30",IF($O1648&lt;=60,"31-60",IF($O1648&lt;=90,"61-90","90+")))))))</f>
        <v/>
      </c>
    </row>
    <row r="1649">
      <c r="A1649" s="6" t="n"/>
      <c r="B1649" s="6" t="n"/>
      <c r="C1649" s="6" t="n"/>
      <c r="D1649" s="6" t="n"/>
      <c r="E1649" s="6" t="n"/>
      <c r="F1649" s="7" t="n"/>
      <c r="G1649" s="7" t="n"/>
      <c r="H1649" s="8" t="n"/>
      <c r="I1649" s="9">
        <f>IF($A1649="","",SUMIFS(Ventes_Encaissements!$D$6:$D$3005,Ventes_Encaissements!$B$6:$B$3005,$A1649))</f>
        <v/>
      </c>
      <c r="J1649" s="9">
        <f>IF($A1649="","",$H1649-$I1649)</f>
        <v/>
      </c>
      <c r="K1649" s="10">
        <f>IF($A1649="","",IF($I1649=0,"",_xludf.AGGREGATE(14,6,Ventes_Encaissements!$C$6:$C$3005/(Ventes_Encaissements!$B$6:$B$3005=$A1649),1)))</f>
        <v/>
      </c>
      <c r="L1649" s="11">
        <f>IF($A1649="","",COUNTIFS(Ventes_Detail!$B$6:$B$3005,$A1649))</f>
        <v/>
      </c>
      <c r="M1649" s="12" t="n"/>
      <c r="N1649" s="12">
        <f>IF($A1649="","",IF($G1649="","",IF($M1649="Oui","Litige",IF($J1649&lt;=0,"Payé",IF($I1649&gt;0,"Partiel",IF(Listes!$B$3&gt;$G1649,"En retard","À échoir"))))))</f>
        <v/>
      </c>
      <c r="O1649" s="11">
        <f>IF($A1649="","",IF(OR($G1649="", $J1649&lt;=0),0,MAX(0,Listes!$B$3-$G1649)))</f>
        <v/>
      </c>
      <c r="P1649" s="12">
        <f>IF($A1649="","",IF($J1649&lt;=0,"Payé",IF($M1649="Oui","Litige",IF($O1649=0,"À échoir",IF($O1649&lt;=30,"0-30",IF($O1649&lt;=60,"31-60",IF($O1649&lt;=90,"61-90","90+")))))))</f>
        <v/>
      </c>
    </row>
    <row r="1650">
      <c r="A1650" s="6" t="n"/>
      <c r="B1650" s="6" t="n"/>
      <c r="C1650" s="6" t="n"/>
      <c r="D1650" s="6" t="n"/>
      <c r="E1650" s="6" t="n"/>
      <c r="F1650" s="7" t="n"/>
      <c r="G1650" s="7" t="n"/>
      <c r="H1650" s="8" t="n"/>
      <c r="I1650" s="9">
        <f>IF($A1650="","",SUMIFS(Ventes_Encaissements!$D$6:$D$3005,Ventes_Encaissements!$B$6:$B$3005,$A1650))</f>
        <v/>
      </c>
      <c r="J1650" s="9">
        <f>IF($A1650="","",$H1650-$I1650)</f>
        <v/>
      </c>
      <c r="K1650" s="10">
        <f>IF($A1650="","",IF($I1650=0,"",_xludf.AGGREGATE(14,6,Ventes_Encaissements!$C$6:$C$3005/(Ventes_Encaissements!$B$6:$B$3005=$A1650),1)))</f>
        <v/>
      </c>
      <c r="L1650" s="11">
        <f>IF($A1650="","",COUNTIFS(Ventes_Detail!$B$6:$B$3005,$A1650))</f>
        <v/>
      </c>
      <c r="M1650" s="12" t="n"/>
      <c r="N1650" s="12">
        <f>IF($A1650="","",IF($G1650="","",IF($M1650="Oui","Litige",IF($J1650&lt;=0,"Payé",IF($I1650&gt;0,"Partiel",IF(Listes!$B$3&gt;$G1650,"En retard","À échoir"))))))</f>
        <v/>
      </c>
      <c r="O1650" s="11">
        <f>IF($A1650="","",IF(OR($G1650="", $J1650&lt;=0),0,MAX(0,Listes!$B$3-$G1650)))</f>
        <v/>
      </c>
      <c r="P1650" s="12">
        <f>IF($A1650="","",IF($J1650&lt;=0,"Payé",IF($M1650="Oui","Litige",IF($O1650=0,"À échoir",IF($O1650&lt;=30,"0-30",IF($O1650&lt;=60,"31-60",IF($O1650&lt;=90,"61-90","90+")))))))</f>
        <v/>
      </c>
    </row>
    <row r="1651">
      <c r="A1651" s="6" t="n"/>
      <c r="B1651" s="6" t="n"/>
      <c r="C1651" s="6" t="n"/>
      <c r="D1651" s="6" t="n"/>
      <c r="E1651" s="6" t="n"/>
      <c r="F1651" s="7" t="n"/>
      <c r="G1651" s="7" t="n"/>
      <c r="H1651" s="8" t="n"/>
      <c r="I1651" s="9">
        <f>IF($A1651="","",SUMIFS(Ventes_Encaissements!$D$6:$D$3005,Ventes_Encaissements!$B$6:$B$3005,$A1651))</f>
        <v/>
      </c>
      <c r="J1651" s="9">
        <f>IF($A1651="","",$H1651-$I1651)</f>
        <v/>
      </c>
      <c r="K1651" s="10">
        <f>IF($A1651="","",IF($I1651=0,"",_xludf.AGGREGATE(14,6,Ventes_Encaissements!$C$6:$C$3005/(Ventes_Encaissements!$B$6:$B$3005=$A1651),1)))</f>
        <v/>
      </c>
      <c r="L1651" s="11">
        <f>IF($A1651="","",COUNTIFS(Ventes_Detail!$B$6:$B$3005,$A1651))</f>
        <v/>
      </c>
      <c r="M1651" s="12" t="n"/>
      <c r="N1651" s="12">
        <f>IF($A1651="","",IF($G1651="","",IF($M1651="Oui","Litige",IF($J1651&lt;=0,"Payé",IF($I1651&gt;0,"Partiel",IF(Listes!$B$3&gt;$G1651,"En retard","À échoir"))))))</f>
        <v/>
      </c>
      <c r="O1651" s="11">
        <f>IF($A1651="","",IF(OR($G1651="", $J1651&lt;=0),0,MAX(0,Listes!$B$3-$G1651)))</f>
        <v/>
      </c>
      <c r="P1651" s="12">
        <f>IF($A1651="","",IF($J1651&lt;=0,"Payé",IF($M1651="Oui","Litige",IF($O1651=0,"À échoir",IF($O1651&lt;=30,"0-30",IF($O1651&lt;=60,"31-60",IF($O1651&lt;=90,"61-90","90+")))))))</f>
        <v/>
      </c>
    </row>
    <row r="1652">
      <c r="A1652" s="6" t="n"/>
      <c r="B1652" s="6" t="n"/>
      <c r="C1652" s="6" t="n"/>
      <c r="D1652" s="6" t="n"/>
      <c r="E1652" s="6" t="n"/>
      <c r="F1652" s="7" t="n"/>
      <c r="G1652" s="7" t="n"/>
      <c r="H1652" s="8" t="n"/>
      <c r="I1652" s="9">
        <f>IF($A1652="","",SUMIFS(Ventes_Encaissements!$D$6:$D$3005,Ventes_Encaissements!$B$6:$B$3005,$A1652))</f>
        <v/>
      </c>
      <c r="J1652" s="9">
        <f>IF($A1652="","",$H1652-$I1652)</f>
        <v/>
      </c>
      <c r="K1652" s="10">
        <f>IF($A1652="","",IF($I1652=0,"",_xludf.AGGREGATE(14,6,Ventes_Encaissements!$C$6:$C$3005/(Ventes_Encaissements!$B$6:$B$3005=$A1652),1)))</f>
        <v/>
      </c>
      <c r="L1652" s="11">
        <f>IF($A1652="","",COUNTIFS(Ventes_Detail!$B$6:$B$3005,$A1652))</f>
        <v/>
      </c>
      <c r="M1652" s="12" t="n"/>
      <c r="N1652" s="12">
        <f>IF($A1652="","",IF($G1652="","",IF($M1652="Oui","Litige",IF($J1652&lt;=0,"Payé",IF($I1652&gt;0,"Partiel",IF(Listes!$B$3&gt;$G1652,"En retard","À échoir"))))))</f>
        <v/>
      </c>
      <c r="O1652" s="11">
        <f>IF($A1652="","",IF(OR($G1652="", $J1652&lt;=0),0,MAX(0,Listes!$B$3-$G1652)))</f>
        <v/>
      </c>
      <c r="P1652" s="12">
        <f>IF($A1652="","",IF($J1652&lt;=0,"Payé",IF($M1652="Oui","Litige",IF($O1652=0,"À échoir",IF($O1652&lt;=30,"0-30",IF($O1652&lt;=60,"31-60",IF($O1652&lt;=90,"61-90","90+")))))))</f>
        <v/>
      </c>
    </row>
    <row r="1653">
      <c r="A1653" s="6" t="n"/>
      <c r="B1653" s="6" t="n"/>
      <c r="C1653" s="6" t="n"/>
      <c r="D1653" s="6" t="n"/>
      <c r="E1653" s="6" t="n"/>
      <c r="F1653" s="7" t="n"/>
      <c r="G1653" s="7" t="n"/>
      <c r="H1653" s="8" t="n"/>
      <c r="I1653" s="9">
        <f>IF($A1653="","",SUMIFS(Ventes_Encaissements!$D$6:$D$3005,Ventes_Encaissements!$B$6:$B$3005,$A1653))</f>
        <v/>
      </c>
      <c r="J1653" s="9">
        <f>IF($A1653="","",$H1653-$I1653)</f>
        <v/>
      </c>
      <c r="K1653" s="10">
        <f>IF($A1653="","",IF($I1653=0,"",_xludf.AGGREGATE(14,6,Ventes_Encaissements!$C$6:$C$3005/(Ventes_Encaissements!$B$6:$B$3005=$A1653),1)))</f>
        <v/>
      </c>
      <c r="L1653" s="11">
        <f>IF($A1653="","",COUNTIFS(Ventes_Detail!$B$6:$B$3005,$A1653))</f>
        <v/>
      </c>
      <c r="M1653" s="12" t="n"/>
      <c r="N1653" s="12">
        <f>IF($A1653="","",IF($G1653="","",IF($M1653="Oui","Litige",IF($J1653&lt;=0,"Payé",IF($I1653&gt;0,"Partiel",IF(Listes!$B$3&gt;$G1653,"En retard","À échoir"))))))</f>
        <v/>
      </c>
      <c r="O1653" s="11">
        <f>IF($A1653="","",IF(OR($G1653="", $J1653&lt;=0),0,MAX(0,Listes!$B$3-$G1653)))</f>
        <v/>
      </c>
      <c r="P1653" s="12">
        <f>IF($A1653="","",IF($J1653&lt;=0,"Payé",IF($M1653="Oui","Litige",IF($O1653=0,"À échoir",IF($O1653&lt;=30,"0-30",IF($O1653&lt;=60,"31-60",IF($O1653&lt;=90,"61-90","90+")))))))</f>
        <v/>
      </c>
    </row>
    <row r="1654">
      <c r="A1654" s="6" t="n"/>
      <c r="B1654" s="6" t="n"/>
      <c r="C1654" s="6" t="n"/>
      <c r="D1654" s="6" t="n"/>
      <c r="E1654" s="6" t="n"/>
      <c r="F1654" s="7" t="n"/>
      <c r="G1654" s="7" t="n"/>
      <c r="H1654" s="8" t="n"/>
      <c r="I1654" s="9">
        <f>IF($A1654="","",SUMIFS(Ventes_Encaissements!$D$6:$D$3005,Ventes_Encaissements!$B$6:$B$3005,$A1654))</f>
        <v/>
      </c>
      <c r="J1654" s="9">
        <f>IF($A1654="","",$H1654-$I1654)</f>
        <v/>
      </c>
      <c r="K1654" s="10">
        <f>IF($A1654="","",IF($I1654=0,"",_xludf.AGGREGATE(14,6,Ventes_Encaissements!$C$6:$C$3005/(Ventes_Encaissements!$B$6:$B$3005=$A1654),1)))</f>
        <v/>
      </c>
      <c r="L1654" s="11">
        <f>IF($A1654="","",COUNTIFS(Ventes_Detail!$B$6:$B$3005,$A1654))</f>
        <v/>
      </c>
      <c r="M1654" s="12" t="n"/>
      <c r="N1654" s="12">
        <f>IF($A1654="","",IF($G1654="","",IF($M1654="Oui","Litige",IF($J1654&lt;=0,"Payé",IF($I1654&gt;0,"Partiel",IF(Listes!$B$3&gt;$G1654,"En retard","À échoir"))))))</f>
        <v/>
      </c>
      <c r="O1654" s="11">
        <f>IF($A1654="","",IF(OR($G1654="", $J1654&lt;=0),0,MAX(0,Listes!$B$3-$G1654)))</f>
        <v/>
      </c>
      <c r="P1654" s="12">
        <f>IF($A1654="","",IF($J1654&lt;=0,"Payé",IF($M1654="Oui","Litige",IF($O1654=0,"À échoir",IF($O1654&lt;=30,"0-30",IF($O1654&lt;=60,"31-60",IF($O1654&lt;=90,"61-90","90+")))))))</f>
        <v/>
      </c>
    </row>
    <row r="1655">
      <c r="A1655" s="6" t="n"/>
      <c r="B1655" s="6" t="n"/>
      <c r="C1655" s="6" t="n"/>
      <c r="D1655" s="6" t="n"/>
      <c r="E1655" s="6" t="n"/>
      <c r="F1655" s="7" t="n"/>
      <c r="G1655" s="7" t="n"/>
      <c r="H1655" s="8" t="n"/>
      <c r="I1655" s="9">
        <f>IF($A1655="","",SUMIFS(Ventes_Encaissements!$D$6:$D$3005,Ventes_Encaissements!$B$6:$B$3005,$A1655))</f>
        <v/>
      </c>
      <c r="J1655" s="9">
        <f>IF($A1655="","",$H1655-$I1655)</f>
        <v/>
      </c>
      <c r="K1655" s="10">
        <f>IF($A1655="","",IF($I1655=0,"",_xludf.AGGREGATE(14,6,Ventes_Encaissements!$C$6:$C$3005/(Ventes_Encaissements!$B$6:$B$3005=$A1655),1)))</f>
        <v/>
      </c>
      <c r="L1655" s="11">
        <f>IF($A1655="","",COUNTIFS(Ventes_Detail!$B$6:$B$3005,$A1655))</f>
        <v/>
      </c>
      <c r="M1655" s="12" t="n"/>
      <c r="N1655" s="12">
        <f>IF($A1655="","",IF($G1655="","",IF($M1655="Oui","Litige",IF($J1655&lt;=0,"Payé",IF($I1655&gt;0,"Partiel",IF(Listes!$B$3&gt;$G1655,"En retard","À échoir"))))))</f>
        <v/>
      </c>
      <c r="O1655" s="11">
        <f>IF($A1655="","",IF(OR($G1655="", $J1655&lt;=0),0,MAX(0,Listes!$B$3-$G1655)))</f>
        <v/>
      </c>
      <c r="P1655" s="12">
        <f>IF($A1655="","",IF($J1655&lt;=0,"Payé",IF($M1655="Oui","Litige",IF($O1655=0,"À échoir",IF($O1655&lt;=30,"0-30",IF($O1655&lt;=60,"31-60",IF($O1655&lt;=90,"61-90","90+")))))))</f>
        <v/>
      </c>
    </row>
    <row r="1656">
      <c r="A1656" s="6" t="n"/>
      <c r="B1656" s="6" t="n"/>
      <c r="C1656" s="6" t="n"/>
      <c r="D1656" s="6" t="n"/>
      <c r="E1656" s="6" t="n"/>
      <c r="F1656" s="7" t="n"/>
      <c r="G1656" s="7" t="n"/>
      <c r="H1656" s="8" t="n"/>
      <c r="I1656" s="9">
        <f>IF($A1656="","",SUMIFS(Ventes_Encaissements!$D$6:$D$3005,Ventes_Encaissements!$B$6:$B$3005,$A1656))</f>
        <v/>
      </c>
      <c r="J1656" s="9">
        <f>IF($A1656="","",$H1656-$I1656)</f>
        <v/>
      </c>
      <c r="K1656" s="10">
        <f>IF($A1656="","",IF($I1656=0,"",_xludf.AGGREGATE(14,6,Ventes_Encaissements!$C$6:$C$3005/(Ventes_Encaissements!$B$6:$B$3005=$A1656),1)))</f>
        <v/>
      </c>
      <c r="L1656" s="11">
        <f>IF($A1656="","",COUNTIFS(Ventes_Detail!$B$6:$B$3005,$A1656))</f>
        <v/>
      </c>
      <c r="M1656" s="12" t="n"/>
      <c r="N1656" s="12">
        <f>IF($A1656="","",IF($G1656="","",IF($M1656="Oui","Litige",IF($J1656&lt;=0,"Payé",IF($I1656&gt;0,"Partiel",IF(Listes!$B$3&gt;$G1656,"En retard","À échoir"))))))</f>
        <v/>
      </c>
      <c r="O1656" s="11">
        <f>IF($A1656="","",IF(OR($G1656="", $J1656&lt;=0),0,MAX(0,Listes!$B$3-$G1656)))</f>
        <v/>
      </c>
      <c r="P1656" s="12">
        <f>IF($A1656="","",IF($J1656&lt;=0,"Payé",IF($M1656="Oui","Litige",IF($O1656=0,"À échoir",IF($O1656&lt;=30,"0-30",IF($O1656&lt;=60,"31-60",IF($O1656&lt;=90,"61-90","90+")))))))</f>
        <v/>
      </c>
    </row>
    <row r="1657">
      <c r="A1657" s="6" t="n"/>
      <c r="B1657" s="6" t="n"/>
      <c r="C1657" s="6" t="n"/>
      <c r="D1657" s="6" t="n"/>
      <c r="E1657" s="6" t="n"/>
      <c r="F1657" s="7" t="n"/>
      <c r="G1657" s="7" t="n"/>
      <c r="H1657" s="8" t="n"/>
      <c r="I1657" s="9">
        <f>IF($A1657="","",SUMIFS(Ventes_Encaissements!$D$6:$D$3005,Ventes_Encaissements!$B$6:$B$3005,$A1657))</f>
        <v/>
      </c>
      <c r="J1657" s="9">
        <f>IF($A1657="","",$H1657-$I1657)</f>
        <v/>
      </c>
      <c r="K1657" s="10">
        <f>IF($A1657="","",IF($I1657=0,"",_xludf.AGGREGATE(14,6,Ventes_Encaissements!$C$6:$C$3005/(Ventes_Encaissements!$B$6:$B$3005=$A1657),1)))</f>
        <v/>
      </c>
      <c r="L1657" s="11">
        <f>IF($A1657="","",COUNTIFS(Ventes_Detail!$B$6:$B$3005,$A1657))</f>
        <v/>
      </c>
      <c r="M1657" s="12" t="n"/>
      <c r="N1657" s="12">
        <f>IF($A1657="","",IF($G1657="","",IF($M1657="Oui","Litige",IF($J1657&lt;=0,"Payé",IF($I1657&gt;0,"Partiel",IF(Listes!$B$3&gt;$G1657,"En retard","À échoir"))))))</f>
        <v/>
      </c>
      <c r="O1657" s="11">
        <f>IF($A1657="","",IF(OR($G1657="", $J1657&lt;=0),0,MAX(0,Listes!$B$3-$G1657)))</f>
        <v/>
      </c>
      <c r="P1657" s="12">
        <f>IF($A1657="","",IF($J1657&lt;=0,"Payé",IF($M1657="Oui","Litige",IF($O1657=0,"À échoir",IF($O1657&lt;=30,"0-30",IF($O1657&lt;=60,"31-60",IF($O1657&lt;=90,"61-90","90+")))))))</f>
        <v/>
      </c>
    </row>
    <row r="1658">
      <c r="A1658" s="6" t="n"/>
      <c r="B1658" s="6" t="n"/>
      <c r="C1658" s="6" t="n"/>
      <c r="D1658" s="6" t="n"/>
      <c r="E1658" s="6" t="n"/>
      <c r="F1658" s="7" t="n"/>
      <c r="G1658" s="7" t="n"/>
      <c r="H1658" s="8" t="n"/>
      <c r="I1658" s="9">
        <f>IF($A1658="","",SUMIFS(Ventes_Encaissements!$D$6:$D$3005,Ventes_Encaissements!$B$6:$B$3005,$A1658))</f>
        <v/>
      </c>
      <c r="J1658" s="9">
        <f>IF($A1658="","",$H1658-$I1658)</f>
        <v/>
      </c>
      <c r="K1658" s="10">
        <f>IF($A1658="","",IF($I1658=0,"",_xludf.AGGREGATE(14,6,Ventes_Encaissements!$C$6:$C$3005/(Ventes_Encaissements!$B$6:$B$3005=$A1658),1)))</f>
        <v/>
      </c>
      <c r="L1658" s="11">
        <f>IF($A1658="","",COUNTIFS(Ventes_Detail!$B$6:$B$3005,$A1658))</f>
        <v/>
      </c>
      <c r="M1658" s="12" t="n"/>
      <c r="N1658" s="12">
        <f>IF($A1658="","",IF($G1658="","",IF($M1658="Oui","Litige",IF($J1658&lt;=0,"Payé",IF($I1658&gt;0,"Partiel",IF(Listes!$B$3&gt;$G1658,"En retard","À échoir"))))))</f>
        <v/>
      </c>
      <c r="O1658" s="11">
        <f>IF($A1658="","",IF(OR($G1658="", $J1658&lt;=0),0,MAX(0,Listes!$B$3-$G1658)))</f>
        <v/>
      </c>
      <c r="P1658" s="12">
        <f>IF($A1658="","",IF($J1658&lt;=0,"Payé",IF($M1658="Oui","Litige",IF($O1658=0,"À échoir",IF($O1658&lt;=30,"0-30",IF($O1658&lt;=60,"31-60",IF($O1658&lt;=90,"61-90","90+")))))))</f>
        <v/>
      </c>
    </row>
    <row r="1659">
      <c r="A1659" s="6" t="n"/>
      <c r="B1659" s="6" t="n"/>
      <c r="C1659" s="6" t="n"/>
      <c r="D1659" s="6" t="n"/>
      <c r="E1659" s="6" t="n"/>
      <c r="F1659" s="7" t="n"/>
      <c r="G1659" s="7" t="n"/>
      <c r="H1659" s="8" t="n"/>
      <c r="I1659" s="9">
        <f>IF($A1659="","",SUMIFS(Ventes_Encaissements!$D$6:$D$3005,Ventes_Encaissements!$B$6:$B$3005,$A1659))</f>
        <v/>
      </c>
      <c r="J1659" s="9">
        <f>IF($A1659="","",$H1659-$I1659)</f>
        <v/>
      </c>
      <c r="K1659" s="10">
        <f>IF($A1659="","",IF($I1659=0,"",_xludf.AGGREGATE(14,6,Ventes_Encaissements!$C$6:$C$3005/(Ventes_Encaissements!$B$6:$B$3005=$A1659),1)))</f>
        <v/>
      </c>
      <c r="L1659" s="11">
        <f>IF($A1659="","",COUNTIFS(Ventes_Detail!$B$6:$B$3005,$A1659))</f>
        <v/>
      </c>
      <c r="M1659" s="12" t="n"/>
      <c r="N1659" s="12">
        <f>IF($A1659="","",IF($G1659="","",IF($M1659="Oui","Litige",IF($J1659&lt;=0,"Payé",IF($I1659&gt;0,"Partiel",IF(Listes!$B$3&gt;$G1659,"En retard","À échoir"))))))</f>
        <v/>
      </c>
      <c r="O1659" s="11">
        <f>IF($A1659="","",IF(OR($G1659="", $J1659&lt;=0),0,MAX(0,Listes!$B$3-$G1659)))</f>
        <v/>
      </c>
      <c r="P1659" s="12">
        <f>IF($A1659="","",IF($J1659&lt;=0,"Payé",IF($M1659="Oui","Litige",IF($O1659=0,"À échoir",IF($O1659&lt;=30,"0-30",IF($O1659&lt;=60,"31-60",IF($O1659&lt;=90,"61-90","90+")))))))</f>
        <v/>
      </c>
    </row>
    <row r="1660">
      <c r="A1660" s="6" t="n"/>
      <c r="B1660" s="6" t="n"/>
      <c r="C1660" s="6" t="n"/>
      <c r="D1660" s="6" t="n"/>
      <c r="E1660" s="6" t="n"/>
      <c r="F1660" s="7" t="n"/>
      <c r="G1660" s="7" t="n"/>
      <c r="H1660" s="8" t="n"/>
      <c r="I1660" s="9">
        <f>IF($A1660="","",SUMIFS(Ventes_Encaissements!$D$6:$D$3005,Ventes_Encaissements!$B$6:$B$3005,$A1660))</f>
        <v/>
      </c>
      <c r="J1660" s="9">
        <f>IF($A1660="","",$H1660-$I1660)</f>
        <v/>
      </c>
      <c r="K1660" s="10">
        <f>IF($A1660="","",IF($I1660=0,"",_xludf.AGGREGATE(14,6,Ventes_Encaissements!$C$6:$C$3005/(Ventes_Encaissements!$B$6:$B$3005=$A1660),1)))</f>
        <v/>
      </c>
      <c r="L1660" s="11">
        <f>IF($A1660="","",COUNTIFS(Ventes_Detail!$B$6:$B$3005,$A1660))</f>
        <v/>
      </c>
      <c r="M1660" s="12" t="n"/>
      <c r="N1660" s="12">
        <f>IF($A1660="","",IF($G1660="","",IF($M1660="Oui","Litige",IF($J1660&lt;=0,"Payé",IF($I1660&gt;0,"Partiel",IF(Listes!$B$3&gt;$G1660,"En retard","À échoir"))))))</f>
        <v/>
      </c>
      <c r="O1660" s="11">
        <f>IF($A1660="","",IF(OR($G1660="", $J1660&lt;=0),0,MAX(0,Listes!$B$3-$G1660)))</f>
        <v/>
      </c>
      <c r="P1660" s="12">
        <f>IF($A1660="","",IF($J1660&lt;=0,"Payé",IF($M1660="Oui","Litige",IF($O1660=0,"À échoir",IF($O1660&lt;=30,"0-30",IF($O1660&lt;=60,"31-60",IF($O1660&lt;=90,"61-90","90+")))))))</f>
        <v/>
      </c>
    </row>
    <row r="1661">
      <c r="A1661" s="6" t="n"/>
      <c r="B1661" s="6" t="n"/>
      <c r="C1661" s="6" t="n"/>
      <c r="D1661" s="6" t="n"/>
      <c r="E1661" s="6" t="n"/>
      <c r="F1661" s="7" t="n"/>
      <c r="G1661" s="7" t="n"/>
      <c r="H1661" s="8" t="n"/>
      <c r="I1661" s="9">
        <f>IF($A1661="","",SUMIFS(Ventes_Encaissements!$D$6:$D$3005,Ventes_Encaissements!$B$6:$B$3005,$A1661))</f>
        <v/>
      </c>
      <c r="J1661" s="9">
        <f>IF($A1661="","",$H1661-$I1661)</f>
        <v/>
      </c>
      <c r="K1661" s="10">
        <f>IF($A1661="","",IF($I1661=0,"",_xludf.AGGREGATE(14,6,Ventes_Encaissements!$C$6:$C$3005/(Ventes_Encaissements!$B$6:$B$3005=$A1661),1)))</f>
        <v/>
      </c>
      <c r="L1661" s="11">
        <f>IF($A1661="","",COUNTIFS(Ventes_Detail!$B$6:$B$3005,$A1661))</f>
        <v/>
      </c>
      <c r="M1661" s="12" t="n"/>
      <c r="N1661" s="12">
        <f>IF($A1661="","",IF($G1661="","",IF($M1661="Oui","Litige",IF($J1661&lt;=0,"Payé",IF($I1661&gt;0,"Partiel",IF(Listes!$B$3&gt;$G1661,"En retard","À échoir"))))))</f>
        <v/>
      </c>
      <c r="O1661" s="11">
        <f>IF($A1661="","",IF(OR($G1661="", $J1661&lt;=0),0,MAX(0,Listes!$B$3-$G1661)))</f>
        <v/>
      </c>
      <c r="P1661" s="12">
        <f>IF($A1661="","",IF($J1661&lt;=0,"Payé",IF($M1661="Oui","Litige",IF($O1661=0,"À échoir",IF($O1661&lt;=30,"0-30",IF($O1661&lt;=60,"31-60",IF($O1661&lt;=90,"61-90","90+")))))))</f>
        <v/>
      </c>
    </row>
    <row r="1662">
      <c r="A1662" s="6" t="n"/>
      <c r="B1662" s="6" t="n"/>
      <c r="C1662" s="6" t="n"/>
      <c r="D1662" s="6" t="n"/>
      <c r="E1662" s="6" t="n"/>
      <c r="F1662" s="7" t="n"/>
      <c r="G1662" s="7" t="n"/>
      <c r="H1662" s="8" t="n"/>
      <c r="I1662" s="9">
        <f>IF($A1662="","",SUMIFS(Ventes_Encaissements!$D$6:$D$3005,Ventes_Encaissements!$B$6:$B$3005,$A1662))</f>
        <v/>
      </c>
      <c r="J1662" s="9">
        <f>IF($A1662="","",$H1662-$I1662)</f>
        <v/>
      </c>
      <c r="K1662" s="10">
        <f>IF($A1662="","",IF($I1662=0,"",_xludf.AGGREGATE(14,6,Ventes_Encaissements!$C$6:$C$3005/(Ventes_Encaissements!$B$6:$B$3005=$A1662),1)))</f>
        <v/>
      </c>
      <c r="L1662" s="11">
        <f>IF($A1662="","",COUNTIFS(Ventes_Detail!$B$6:$B$3005,$A1662))</f>
        <v/>
      </c>
      <c r="M1662" s="12" t="n"/>
      <c r="N1662" s="12">
        <f>IF($A1662="","",IF($G1662="","",IF($M1662="Oui","Litige",IF($J1662&lt;=0,"Payé",IF($I1662&gt;0,"Partiel",IF(Listes!$B$3&gt;$G1662,"En retard","À échoir"))))))</f>
        <v/>
      </c>
      <c r="O1662" s="11">
        <f>IF($A1662="","",IF(OR($G1662="", $J1662&lt;=0),0,MAX(0,Listes!$B$3-$G1662)))</f>
        <v/>
      </c>
      <c r="P1662" s="12">
        <f>IF($A1662="","",IF($J1662&lt;=0,"Payé",IF($M1662="Oui","Litige",IF($O1662=0,"À échoir",IF($O1662&lt;=30,"0-30",IF($O1662&lt;=60,"31-60",IF($O1662&lt;=90,"61-90","90+")))))))</f>
        <v/>
      </c>
    </row>
    <row r="1663">
      <c r="A1663" s="6" t="n"/>
      <c r="B1663" s="6" t="n"/>
      <c r="C1663" s="6" t="n"/>
      <c r="D1663" s="6" t="n"/>
      <c r="E1663" s="6" t="n"/>
      <c r="F1663" s="7" t="n"/>
      <c r="G1663" s="7" t="n"/>
      <c r="H1663" s="8" t="n"/>
      <c r="I1663" s="9">
        <f>IF($A1663="","",SUMIFS(Ventes_Encaissements!$D$6:$D$3005,Ventes_Encaissements!$B$6:$B$3005,$A1663))</f>
        <v/>
      </c>
      <c r="J1663" s="9">
        <f>IF($A1663="","",$H1663-$I1663)</f>
        <v/>
      </c>
      <c r="K1663" s="10">
        <f>IF($A1663="","",IF($I1663=0,"",_xludf.AGGREGATE(14,6,Ventes_Encaissements!$C$6:$C$3005/(Ventes_Encaissements!$B$6:$B$3005=$A1663),1)))</f>
        <v/>
      </c>
      <c r="L1663" s="11">
        <f>IF($A1663="","",COUNTIFS(Ventes_Detail!$B$6:$B$3005,$A1663))</f>
        <v/>
      </c>
      <c r="M1663" s="12" t="n"/>
      <c r="N1663" s="12">
        <f>IF($A1663="","",IF($G1663="","",IF($M1663="Oui","Litige",IF($J1663&lt;=0,"Payé",IF($I1663&gt;0,"Partiel",IF(Listes!$B$3&gt;$G1663,"En retard","À échoir"))))))</f>
        <v/>
      </c>
      <c r="O1663" s="11">
        <f>IF($A1663="","",IF(OR($G1663="", $J1663&lt;=0),0,MAX(0,Listes!$B$3-$G1663)))</f>
        <v/>
      </c>
      <c r="P1663" s="12">
        <f>IF($A1663="","",IF($J1663&lt;=0,"Payé",IF($M1663="Oui","Litige",IF($O1663=0,"À échoir",IF($O1663&lt;=30,"0-30",IF($O1663&lt;=60,"31-60",IF($O1663&lt;=90,"61-90","90+")))))))</f>
        <v/>
      </c>
    </row>
    <row r="1664">
      <c r="A1664" s="6" t="n"/>
      <c r="B1664" s="6" t="n"/>
      <c r="C1664" s="6" t="n"/>
      <c r="D1664" s="6" t="n"/>
      <c r="E1664" s="6" t="n"/>
      <c r="F1664" s="7" t="n"/>
      <c r="G1664" s="7" t="n"/>
      <c r="H1664" s="8" t="n"/>
      <c r="I1664" s="9">
        <f>IF($A1664="","",SUMIFS(Ventes_Encaissements!$D$6:$D$3005,Ventes_Encaissements!$B$6:$B$3005,$A1664))</f>
        <v/>
      </c>
      <c r="J1664" s="9">
        <f>IF($A1664="","",$H1664-$I1664)</f>
        <v/>
      </c>
      <c r="K1664" s="10">
        <f>IF($A1664="","",IF($I1664=0,"",_xludf.AGGREGATE(14,6,Ventes_Encaissements!$C$6:$C$3005/(Ventes_Encaissements!$B$6:$B$3005=$A1664),1)))</f>
        <v/>
      </c>
      <c r="L1664" s="11">
        <f>IF($A1664="","",COUNTIFS(Ventes_Detail!$B$6:$B$3005,$A1664))</f>
        <v/>
      </c>
      <c r="M1664" s="12" t="n"/>
      <c r="N1664" s="12">
        <f>IF($A1664="","",IF($G1664="","",IF($M1664="Oui","Litige",IF($J1664&lt;=0,"Payé",IF($I1664&gt;0,"Partiel",IF(Listes!$B$3&gt;$G1664,"En retard","À échoir"))))))</f>
        <v/>
      </c>
      <c r="O1664" s="11">
        <f>IF($A1664="","",IF(OR($G1664="", $J1664&lt;=0),0,MAX(0,Listes!$B$3-$G1664)))</f>
        <v/>
      </c>
      <c r="P1664" s="12">
        <f>IF($A1664="","",IF($J1664&lt;=0,"Payé",IF($M1664="Oui","Litige",IF($O1664=0,"À échoir",IF($O1664&lt;=30,"0-30",IF($O1664&lt;=60,"31-60",IF($O1664&lt;=90,"61-90","90+")))))))</f>
        <v/>
      </c>
    </row>
    <row r="1665">
      <c r="A1665" s="6" t="n"/>
      <c r="B1665" s="6" t="n"/>
      <c r="C1665" s="6" t="n"/>
      <c r="D1665" s="6" t="n"/>
      <c r="E1665" s="6" t="n"/>
      <c r="F1665" s="7" t="n"/>
      <c r="G1665" s="7" t="n"/>
      <c r="H1665" s="8" t="n"/>
      <c r="I1665" s="9">
        <f>IF($A1665="","",SUMIFS(Ventes_Encaissements!$D$6:$D$3005,Ventes_Encaissements!$B$6:$B$3005,$A1665))</f>
        <v/>
      </c>
      <c r="J1665" s="9">
        <f>IF($A1665="","",$H1665-$I1665)</f>
        <v/>
      </c>
      <c r="K1665" s="10">
        <f>IF($A1665="","",IF($I1665=0,"",_xludf.AGGREGATE(14,6,Ventes_Encaissements!$C$6:$C$3005/(Ventes_Encaissements!$B$6:$B$3005=$A1665),1)))</f>
        <v/>
      </c>
      <c r="L1665" s="11">
        <f>IF($A1665="","",COUNTIFS(Ventes_Detail!$B$6:$B$3005,$A1665))</f>
        <v/>
      </c>
      <c r="M1665" s="12" t="n"/>
      <c r="N1665" s="12">
        <f>IF($A1665="","",IF($G1665="","",IF($M1665="Oui","Litige",IF($J1665&lt;=0,"Payé",IF($I1665&gt;0,"Partiel",IF(Listes!$B$3&gt;$G1665,"En retard","À échoir"))))))</f>
        <v/>
      </c>
      <c r="O1665" s="11">
        <f>IF($A1665="","",IF(OR($G1665="", $J1665&lt;=0),0,MAX(0,Listes!$B$3-$G1665)))</f>
        <v/>
      </c>
      <c r="P1665" s="12">
        <f>IF($A1665="","",IF($J1665&lt;=0,"Payé",IF($M1665="Oui","Litige",IF($O1665=0,"À échoir",IF($O1665&lt;=30,"0-30",IF($O1665&lt;=60,"31-60",IF($O1665&lt;=90,"61-90","90+")))))))</f>
        <v/>
      </c>
    </row>
    <row r="1666">
      <c r="A1666" s="6" t="n"/>
      <c r="B1666" s="6" t="n"/>
      <c r="C1666" s="6" t="n"/>
      <c r="D1666" s="6" t="n"/>
      <c r="E1666" s="6" t="n"/>
      <c r="F1666" s="7" t="n"/>
      <c r="G1666" s="7" t="n"/>
      <c r="H1666" s="8" t="n"/>
      <c r="I1666" s="9">
        <f>IF($A1666="","",SUMIFS(Ventes_Encaissements!$D$6:$D$3005,Ventes_Encaissements!$B$6:$B$3005,$A1666))</f>
        <v/>
      </c>
      <c r="J1666" s="9">
        <f>IF($A1666="","",$H1666-$I1666)</f>
        <v/>
      </c>
      <c r="K1666" s="10">
        <f>IF($A1666="","",IF($I1666=0,"",_xludf.AGGREGATE(14,6,Ventes_Encaissements!$C$6:$C$3005/(Ventes_Encaissements!$B$6:$B$3005=$A1666),1)))</f>
        <v/>
      </c>
      <c r="L1666" s="11">
        <f>IF($A1666="","",COUNTIFS(Ventes_Detail!$B$6:$B$3005,$A1666))</f>
        <v/>
      </c>
      <c r="M1666" s="12" t="n"/>
      <c r="N1666" s="12">
        <f>IF($A1666="","",IF($G1666="","",IF($M1666="Oui","Litige",IF($J1666&lt;=0,"Payé",IF($I1666&gt;0,"Partiel",IF(Listes!$B$3&gt;$G1666,"En retard","À échoir"))))))</f>
        <v/>
      </c>
      <c r="O1666" s="11">
        <f>IF($A1666="","",IF(OR($G1666="", $J1666&lt;=0),0,MAX(0,Listes!$B$3-$G1666)))</f>
        <v/>
      </c>
      <c r="P1666" s="12">
        <f>IF($A1666="","",IF($J1666&lt;=0,"Payé",IF($M1666="Oui","Litige",IF($O1666=0,"À échoir",IF($O1666&lt;=30,"0-30",IF($O1666&lt;=60,"31-60",IF($O1666&lt;=90,"61-90","90+")))))))</f>
        <v/>
      </c>
    </row>
    <row r="1667">
      <c r="A1667" s="6" t="n"/>
      <c r="B1667" s="6" t="n"/>
      <c r="C1667" s="6" t="n"/>
      <c r="D1667" s="6" t="n"/>
      <c r="E1667" s="6" t="n"/>
      <c r="F1667" s="7" t="n"/>
      <c r="G1667" s="7" t="n"/>
      <c r="H1667" s="8" t="n"/>
      <c r="I1667" s="9">
        <f>IF($A1667="","",SUMIFS(Ventes_Encaissements!$D$6:$D$3005,Ventes_Encaissements!$B$6:$B$3005,$A1667))</f>
        <v/>
      </c>
      <c r="J1667" s="9">
        <f>IF($A1667="","",$H1667-$I1667)</f>
        <v/>
      </c>
      <c r="K1667" s="10">
        <f>IF($A1667="","",IF($I1667=0,"",_xludf.AGGREGATE(14,6,Ventes_Encaissements!$C$6:$C$3005/(Ventes_Encaissements!$B$6:$B$3005=$A1667),1)))</f>
        <v/>
      </c>
      <c r="L1667" s="11">
        <f>IF($A1667="","",COUNTIFS(Ventes_Detail!$B$6:$B$3005,$A1667))</f>
        <v/>
      </c>
      <c r="M1667" s="12" t="n"/>
      <c r="N1667" s="12">
        <f>IF($A1667="","",IF($G1667="","",IF($M1667="Oui","Litige",IF($J1667&lt;=0,"Payé",IF($I1667&gt;0,"Partiel",IF(Listes!$B$3&gt;$G1667,"En retard","À échoir"))))))</f>
        <v/>
      </c>
      <c r="O1667" s="11">
        <f>IF($A1667="","",IF(OR($G1667="", $J1667&lt;=0),0,MAX(0,Listes!$B$3-$G1667)))</f>
        <v/>
      </c>
      <c r="P1667" s="12">
        <f>IF($A1667="","",IF($J1667&lt;=0,"Payé",IF($M1667="Oui","Litige",IF($O1667=0,"À échoir",IF($O1667&lt;=30,"0-30",IF($O1667&lt;=60,"31-60",IF($O1667&lt;=90,"61-90","90+")))))))</f>
        <v/>
      </c>
    </row>
    <row r="1668">
      <c r="A1668" s="6" t="n"/>
      <c r="B1668" s="6" t="n"/>
      <c r="C1668" s="6" t="n"/>
      <c r="D1668" s="6" t="n"/>
      <c r="E1668" s="6" t="n"/>
      <c r="F1668" s="7" t="n"/>
      <c r="G1668" s="7" t="n"/>
      <c r="H1668" s="8" t="n"/>
      <c r="I1668" s="9">
        <f>IF($A1668="","",SUMIFS(Ventes_Encaissements!$D$6:$D$3005,Ventes_Encaissements!$B$6:$B$3005,$A1668))</f>
        <v/>
      </c>
      <c r="J1668" s="9">
        <f>IF($A1668="","",$H1668-$I1668)</f>
        <v/>
      </c>
      <c r="K1668" s="10">
        <f>IF($A1668="","",IF($I1668=0,"",_xludf.AGGREGATE(14,6,Ventes_Encaissements!$C$6:$C$3005/(Ventes_Encaissements!$B$6:$B$3005=$A1668),1)))</f>
        <v/>
      </c>
      <c r="L1668" s="11">
        <f>IF($A1668="","",COUNTIFS(Ventes_Detail!$B$6:$B$3005,$A1668))</f>
        <v/>
      </c>
      <c r="M1668" s="12" t="n"/>
      <c r="N1668" s="12">
        <f>IF($A1668="","",IF($G1668="","",IF($M1668="Oui","Litige",IF($J1668&lt;=0,"Payé",IF($I1668&gt;0,"Partiel",IF(Listes!$B$3&gt;$G1668,"En retard","À échoir"))))))</f>
        <v/>
      </c>
      <c r="O1668" s="11">
        <f>IF($A1668="","",IF(OR($G1668="", $J1668&lt;=0),0,MAX(0,Listes!$B$3-$G1668)))</f>
        <v/>
      </c>
      <c r="P1668" s="12">
        <f>IF($A1668="","",IF($J1668&lt;=0,"Payé",IF($M1668="Oui","Litige",IF($O1668=0,"À échoir",IF($O1668&lt;=30,"0-30",IF($O1668&lt;=60,"31-60",IF($O1668&lt;=90,"61-90","90+")))))))</f>
        <v/>
      </c>
    </row>
    <row r="1669">
      <c r="A1669" s="6" t="n"/>
      <c r="B1669" s="6" t="n"/>
      <c r="C1669" s="6" t="n"/>
      <c r="D1669" s="6" t="n"/>
      <c r="E1669" s="6" t="n"/>
      <c r="F1669" s="7" t="n"/>
      <c r="G1669" s="7" t="n"/>
      <c r="H1669" s="8" t="n"/>
      <c r="I1669" s="9">
        <f>IF($A1669="","",SUMIFS(Ventes_Encaissements!$D$6:$D$3005,Ventes_Encaissements!$B$6:$B$3005,$A1669))</f>
        <v/>
      </c>
      <c r="J1669" s="9">
        <f>IF($A1669="","",$H1669-$I1669)</f>
        <v/>
      </c>
      <c r="K1669" s="10">
        <f>IF($A1669="","",IF($I1669=0,"",_xludf.AGGREGATE(14,6,Ventes_Encaissements!$C$6:$C$3005/(Ventes_Encaissements!$B$6:$B$3005=$A1669),1)))</f>
        <v/>
      </c>
      <c r="L1669" s="11">
        <f>IF($A1669="","",COUNTIFS(Ventes_Detail!$B$6:$B$3005,$A1669))</f>
        <v/>
      </c>
      <c r="M1669" s="12" t="n"/>
      <c r="N1669" s="12">
        <f>IF($A1669="","",IF($G1669="","",IF($M1669="Oui","Litige",IF($J1669&lt;=0,"Payé",IF($I1669&gt;0,"Partiel",IF(Listes!$B$3&gt;$G1669,"En retard","À échoir"))))))</f>
        <v/>
      </c>
      <c r="O1669" s="11">
        <f>IF($A1669="","",IF(OR($G1669="", $J1669&lt;=0),0,MAX(0,Listes!$B$3-$G1669)))</f>
        <v/>
      </c>
      <c r="P1669" s="12">
        <f>IF($A1669="","",IF($J1669&lt;=0,"Payé",IF($M1669="Oui","Litige",IF($O1669=0,"À échoir",IF($O1669&lt;=30,"0-30",IF($O1669&lt;=60,"31-60",IF($O1669&lt;=90,"61-90","90+")))))))</f>
        <v/>
      </c>
    </row>
    <row r="1670">
      <c r="A1670" s="6" t="n"/>
      <c r="B1670" s="6" t="n"/>
      <c r="C1670" s="6" t="n"/>
      <c r="D1670" s="6" t="n"/>
      <c r="E1670" s="6" t="n"/>
      <c r="F1670" s="7" t="n"/>
      <c r="G1670" s="7" t="n"/>
      <c r="H1670" s="8" t="n"/>
      <c r="I1670" s="9">
        <f>IF($A1670="","",SUMIFS(Ventes_Encaissements!$D$6:$D$3005,Ventes_Encaissements!$B$6:$B$3005,$A1670))</f>
        <v/>
      </c>
      <c r="J1670" s="9">
        <f>IF($A1670="","",$H1670-$I1670)</f>
        <v/>
      </c>
      <c r="K1670" s="10">
        <f>IF($A1670="","",IF($I1670=0,"",_xludf.AGGREGATE(14,6,Ventes_Encaissements!$C$6:$C$3005/(Ventes_Encaissements!$B$6:$B$3005=$A1670),1)))</f>
        <v/>
      </c>
      <c r="L1670" s="11">
        <f>IF($A1670="","",COUNTIFS(Ventes_Detail!$B$6:$B$3005,$A1670))</f>
        <v/>
      </c>
      <c r="M1670" s="12" t="n"/>
      <c r="N1670" s="12">
        <f>IF($A1670="","",IF($G1670="","",IF($M1670="Oui","Litige",IF($J1670&lt;=0,"Payé",IF($I1670&gt;0,"Partiel",IF(Listes!$B$3&gt;$G1670,"En retard","À échoir"))))))</f>
        <v/>
      </c>
      <c r="O1670" s="11">
        <f>IF($A1670="","",IF(OR($G1670="", $J1670&lt;=0),0,MAX(0,Listes!$B$3-$G1670)))</f>
        <v/>
      </c>
      <c r="P1670" s="12">
        <f>IF($A1670="","",IF($J1670&lt;=0,"Payé",IF($M1670="Oui","Litige",IF($O1670=0,"À échoir",IF($O1670&lt;=30,"0-30",IF($O1670&lt;=60,"31-60",IF($O1670&lt;=90,"61-90","90+")))))))</f>
        <v/>
      </c>
    </row>
    <row r="1671">
      <c r="A1671" s="6" t="n"/>
      <c r="B1671" s="6" t="n"/>
      <c r="C1671" s="6" t="n"/>
      <c r="D1671" s="6" t="n"/>
      <c r="E1671" s="6" t="n"/>
      <c r="F1671" s="7" t="n"/>
      <c r="G1671" s="7" t="n"/>
      <c r="H1671" s="8" t="n"/>
      <c r="I1671" s="9">
        <f>IF($A1671="","",SUMIFS(Ventes_Encaissements!$D$6:$D$3005,Ventes_Encaissements!$B$6:$B$3005,$A1671))</f>
        <v/>
      </c>
      <c r="J1671" s="9">
        <f>IF($A1671="","",$H1671-$I1671)</f>
        <v/>
      </c>
      <c r="K1671" s="10">
        <f>IF($A1671="","",IF($I1671=0,"",_xludf.AGGREGATE(14,6,Ventes_Encaissements!$C$6:$C$3005/(Ventes_Encaissements!$B$6:$B$3005=$A1671),1)))</f>
        <v/>
      </c>
      <c r="L1671" s="11">
        <f>IF($A1671="","",COUNTIFS(Ventes_Detail!$B$6:$B$3005,$A1671))</f>
        <v/>
      </c>
      <c r="M1671" s="12" t="n"/>
      <c r="N1671" s="12">
        <f>IF($A1671="","",IF($G1671="","",IF($M1671="Oui","Litige",IF($J1671&lt;=0,"Payé",IF($I1671&gt;0,"Partiel",IF(Listes!$B$3&gt;$G1671,"En retard","À échoir"))))))</f>
        <v/>
      </c>
      <c r="O1671" s="11">
        <f>IF($A1671="","",IF(OR($G1671="", $J1671&lt;=0),0,MAX(0,Listes!$B$3-$G1671)))</f>
        <v/>
      </c>
      <c r="P1671" s="12">
        <f>IF($A1671="","",IF($J1671&lt;=0,"Payé",IF($M1671="Oui","Litige",IF($O1671=0,"À échoir",IF($O1671&lt;=30,"0-30",IF($O1671&lt;=60,"31-60",IF($O1671&lt;=90,"61-90","90+")))))))</f>
        <v/>
      </c>
    </row>
    <row r="1672">
      <c r="A1672" s="6" t="n"/>
      <c r="B1672" s="6" t="n"/>
      <c r="C1672" s="6" t="n"/>
      <c r="D1672" s="6" t="n"/>
      <c r="E1672" s="6" t="n"/>
      <c r="F1672" s="7" t="n"/>
      <c r="G1672" s="7" t="n"/>
      <c r="H1672" s="8" t="n"/>
      <c r="I1672" s="9">
        <f>IF($A1672="","",SUMIFS(Ventes_Encaissements!$D$6:$D$3005,Ventes_Encaissements!$B$6:$B$3005,$A1672))</f>
        <v/>
      </c>
      <c r="J1672" s="9">
        <f>IF($A1672="","",$H1672-$I1672)</f>
        <v/>
      </c>
      <c r="K1672" s="10">
        <f>IF($A1672="","",IF($I1672=0,"",_xludf.AGGREGATE(14,6,Ventes_Encaissements!$C$6:$C$3005/(Ventes_Encaissements!$B$6:$B$3005=$A1672),1)))</f>
        <v/>
      </c>
      <c r="L1672" s="11">
        <f>IF($A1672="","",COUNTIFS(Ventes_Detail!$B$6:$B$3005,$A1672))</f>
        <v/>
      </c>
      <c r="M1672" s="12" t="n"/>
      <c r="N1672" s="12">
        <f>IF($A1672="","",IF($G1672="","",IF($M1672="Oui","Litige",IF($J1672&lt;=0,"Payé",IF($I1672&gt;0,"Partiel",IF(Listes!$B$3&gt;$G1672,"En retard","À échoir"))))))</f>
        <v/>
      </c>
      <c r="O1672" s="11">
        <f>IF($A1672="","",IF(OR($G1672="", $J1672&lt;=0),0,MAX(0,Listes!$B$3-$G1672)))</f>
        <v/>
      </c>
      <c r="P1672" s="12">
        <f>IF($A1672="","",IF($J1672&lt;=0,"Payé",IF($M1672="Oui","Litige",IF($O1672=0,"À échoir",IF($O1672&lt;=30,"0-30",IF($O1672&lt;=60,"31-60",IF($O1672&lt;=90,"61-90","90+")))))))</f>
        <v/>
      </c>
    </row>
    <row r="1673">
      <c r="A1673" s="6" t="n"/>
      <c r="B1673" s="6" t="n"/>
      <c r="C1673" s="6" t="n"/>
      <c r="D1673" s="6" t="n"/>
      <c r="E1673" s="6" t="n"/>
      <c r="F1673" s="7" t="n"/>
      <c r="G1673" s="7" t="n"/>
      <c r="H1673" s="8" t="n"/>
      <c r="I1673" s="9">
        <f>IF($A1673="","",SUMIFS(Ventes_Encaissements!$D$6:$D$3005,Ventes_Encaissements!$B$6:$B$3005,$A1673))</f>
        <v/>
      </c>
      <c r="J1673" s="9">
        <f>IF($A1673="","",$H1673-$I1673)</f>
        <v/>
      </c>
      <c r="K1673" s="10">
        <f>IF($A1673="","",IF($I1673=0,"",_xludf.AGGREGATE(14,6,Ventes_Encaissements!$C$6:$C$3005/(Ventes_Encaissements!$B$6:$B$3005=$A1673),1)))</f>
        <v/>
      </c>
      <c r="L1673" s="11">
        <f>IF($A1673="","",COUNTIFS(Ventes_Detail!$B$6:$B$3005,$A1673))</f>
        <v/>
      </c>
      <c r="M1673" s="12" t="n"/>
      <c r="N1673" s="12">
        <f>IF($A1673="","",IF($G1673="","",IF($M1673="Oui","Litige",IF($J1673&lt;=0,"Payé",IF($I1673&gt;0,"Partiel",IF(Listes!$B$3&gt;$G1673,"En retard","À échoir"))))))</f>
        <v/>
      </c>
      <c r="O1673" s="11">
        <f>IF($A1673="","",IF(OR($G1673="", $J1673&lt;=0),0,MAX(0,Listes!$B$3-$G1673)))</f>
        <v/>
      </c>
      <c r="P1673" s="12">
        <f>IF($A1673="","",IF($J1673&lt;=0,"Payé",IF($M1673="Oui","Litige",IF($O1673=0,"À échoir",IF($O1673&lt;=30,"0-30",IF($O1673&lt;=60,"31-60",IF($O1673&lt;=90,"61-90","90+")))))))</f>
        <v/>
      </c>
    </row>
    <row r="1674">
      <c r="A1674" s="6" t="n"/>
      <c r="B1674" s="6" t="n"/>
      <c r="C1674" s="6" t="n"/>
      <c r="D1674" s="6" t="n"/>
      <c r="E1674" s="6" t="n"/>
      <c r="F1674" s="7" t="n"/>
      <c r="G1674" s="7" t="n"/>
      <c r="H1674" s="8" t="n"/>
      <c r="I1674" s="9">
        <f>IF($A1674="","",SUMIFS(Ventes_Encaissements!$D$6:$D$3005,Ventes_Encaissements!$B$6:$B$3005,$A1674))</f>
        <v/>
      </c>
      <c r="J1674" s="9">
        <f>IF($A1674="","",$H1674-$I1674)</f>
        <v/>
      </c>
      <c r="K1674" s="10">
        <f>IF($A1674="","",IF($I1674=0,"",_xludf.AGGREGATE(14,6,Ventes_Encaissements!$C$6:$C$3005/(Ventes_Encaissements!$B$6:$B$3005=$A1674),1)))</f>
        <v/>
      </c>
      <c r="L1674" s="11">
        <f>IF($A1674="","",COUNTIFS(Ventes_Detail!$B$6:$B$3005,$A1674))</f>
        <v/>
      </c>
      <c r="M1674" s="12" t="n"/>
      <c r="N1674" s="12">
        <f>IF($A1674="","",IF($G1674="","",IF($M1674="Oui","Litige",IF($J1674&lt;=0,"Payé",IF($I1674&gt;0,"Partiel",IF(Listes!$B$3&gt;$G1674,"En retard","À échoir"))))))</f>
        <v/>
      </c>
      <c r="O1674" s="11">
        <f>IF($A1674="","",IF(OR($G1674="", $J1674&lt;=0),0,MAX(0,Listes!$B$3-$G1674)))</f>
        <v/>
      </c>
      <c r="P1674" s="12">
        <f>IF($A1674="","",IF($J1674&lt;=0,"Payé",IF($M1674="Oui","Litige",IF($O1674=0,"À échoir",IF($O1674&lt;=30,"0-30",IF($O1674&lt;=60,"31-60",IF($O1674&lt;=90,"61-90","90+")))))))</f>
        <v/>
      </c>
    </row>
    <row r="1675">
      <c r="A1675" s="6" t="n"/>
      <c r="B1675" s="6" t="n"/>
      <c r="C1675" s="6" t="n"/>
      <c r="D1675" s="6" t="n"/>
      <c r="E1675" s="6" t="n"/>
      <c r="F1675" s="7" t="n"/>
      <c r="G1675" s="7" t="n"/>
      <c r="H1675" s="8" t="n"/>
      <c r="I1675" s="9">
        <f>IF($A1675="","",SUMIFS(Ventes_Encaissements!$D$6:$D$3005,Ventes_Encaissements!$B$6:$B$3005,$A1675))</f>
        <v/>
      </c>
      <c r="J1675" s="9">
        <f>IF($A1675="","",$H1675-$I1675)</f>
        <v/>
      </c>
      <c r="K1675" s="10">
        <f>IF($A1675="","",IF($I1675=0,"",_xludf.AGGREGATE(14,6,Ventes_Encaissements!$C$6:$C$3005/(Ventes_Encaissements!$B$6:$B$3005=$A1675),1)))</f>
        <v/>
      </c>
      <c r="L1675" s="11">
        <f>IF($A1675="","",COUNTIFS(Ventes_Detail!$B$6:$B$3005,$A1675))</f>
        <v/>
      </c>
      <c r="M1675" s="12" t="n"/>
      <c r="N1675" s="12">
        <f>IF($A1675="","",IF($G1675="","",IF($M1675="Oui","Litige",IF($J1675&lt;=0,"Payé",IF($I1675&gt;0,"Partiel",IF(Listes!$B$3&gt;$G1675,"En retard","À échoir"))))))</f>
        <v/>
      </c>
      <c r="O1675" s="11">
        <f>IF($A1675="","",IF(OR($G1675="", $J1675&lt;=0),0,MAX(0,Listes!$B$3-$G1675)))</f>
        <v/>
      </c>
      <c r="P1675" s="12">
        <f>IF($A1675="","",IF($J1675&lt;=0,"Payé",IF($M1675="Oui","Litige",IF($O1675=0,"À échoir",IF($O1675&lt;=30,"0-30",IF($O1675&lt;=60,"31-60",IF($O1675&lt;=90,"61-90","90+")))))))</f>
        <v/>
      </c>
    </row>
    <row r="1676">
      <c r="A1676" s="6" t="n"/>
      <c r="B1676" s="6" t="n"/>
      <c r="C1676" s="6" t="n"/>
      <c r="D1676" s="6" t="n"/>
      <c r="E1676" s="6" t="n"/>
      <c r="F1676" s="7" t="n"/>
      <c r="G1676" s="7" t="n"/>
      <c r="H1676" s="8" t="n"/>
      <c r="I1676" s="9">
        <f>IF($A1676="","",SUMIFS(Ventes_Encaissements!$D$6:$D$3005,Ventes_Encaissements!$B$6:$B$3005,$A1676))</f>
        <v/>
      </c>
      <c r="J1676" s="9">
        <f>IF($A1676="","",$H1676-$I1676)</f>
        <v/>
      </c>
      <c r="K1676" s="10">
        <f>IF($A1676="","",IF($I1676=0,"",_xludf.AGGREGATE(14,6,Ventes_Encaissements!$C$6:$C$3005/(Ventes_Encaissements!$B$6:$B$3005=$A1676),1)))</f>
        <v/>
      </c>
      <c r="L1676" s="11">
        <f>IF($A1676="","",COUNTIFS(Ventes_Detail!$B$6:$B$3005,$A1676))</f>
        <v/>
      </c>
      <c r="M1676" s="12" t="n"/>
      <c r="N1676" s="12">
        <f>IF($A1676="","",IF($G1676="","",IF($M1676="Oui","Litige",IF($J1676&lt;=0,"Payé",IF($I1676&gt;0,"Partiel",IF(Listes!$B$3&gt;$G1676,"En retard","À échoir"))))))</f>
        <v/>
      </c>
      <c r="O1676" s="11">
        <f>IF($A1676="","",IF(OR($G1676="", $J1676&lt;=0),0,MAX(0,Listes!$B$3-$G1676)))</f>
        <v/>
      </c>
      <c r="P1676" s="12">
        <f>IF($A1676="","",IF($J1676&lt;=0,"Payé",IF($M1676="Oui","Litige",IF($O1676=0,"À échoir",IF($O1676&lt;=30,"0-30",IF($O1676&lt;=60,"31-60",IF($O1676&lt;=90,"61-90","90+")))))))</f>
        <v/>
      </c>
    </row>
    <row r="1677">
      <c r="A1677" s="6" t="n"/>
      <c r="B1677" s="6" t="n"/>
      <c r="C1677" s="6" t="n"/>
      <c r="D1677" s="6" t="n"/>
      <c r="E1677" s="6" t="n"/>
      <c r="F1677" s="7" t="n"/>
      <c r="G1677" s="7" t="n"/>
      <c r="H1677" s="8" t="n"/>
      <c r="I1677" s="9">
        <f>IF($A1677="","",SUMIFS(Ventes_Encaissements!$D$6:$D$3005,Ventes_Encaissements!$B$6:$B$3005,$A1677))</f>
        <v/>
      </c>
      <c r="J1677" s="9">
        <f>IF($A1677="","",$H1677-$I1677)</f>
        <v/>
      </c>
      <c r="K1677" s="10">
        <f>IF($A1677="","",IF($I1677=0,"",_xludf.AGGREGATE(14,6,Ventes_Encaissements!$C$6:$C$3005/(Ventes_Encaissements!$B$6:$B$3005=$A1677),1)))</f>
        <v/>
      </c>
      <c r="L1677" s="11">
        <f>IF($A1677="","",COUNTIFS(Ventes_Detail!$B$6:$B$3005,$A1677))</f>
        <v/>
      </c>
      <c r="M1677" s="12" t="n"/>
      <c r="N1677" s="12">
        <f>IF($A1677="","",IF($G1677="","",IF($M1677="Oui","Litige",IF($J1677&lt;=0,"Payé",IF($I1677&gt;0,"Partiel",IF(Listes!$B$3&gt;$G1677,"En retard","À échoir"))))))</f>
        <v/>
      </c>
      <c r="O1677" s="11">
        <f>IF($A1677="","",IF(OR($G1677="", $J1677&lt;=0),0,MAX(0,Listes!$B$3-$G1677)))</f>
        <v/>
      </c>
      <c r="P1677" s="12">
        <f>IF($A1677="","",IF($J1677&lt;=0,"Payé",IF($M1677="Oui","Litige",IF($O1677=0,"À échoir",IF($O1677&lt;=30,"0-30",IF($O1677&lt;=60,"31-60",IF($O1677&lt;=90,"61-90","90+")))))))</f>
        <v/>
      </c>
    </row>
    <row r="1678">
      <c r="A1678" s="6" t="n"/>
      <c r="B1678" s="6" t="n"/>
      <c r="C1678" s="6" t="n"/>
      <c r="D1678" s="6" t="n"/>
      <c r="E1678" s="6" t="n"/>
      <c r="F1678" s="7" t="n"/>
      <c r="G1678" s="7" t="n"/>
      <c r="H1678" s="8" t="n"/>
      <c r="I1678" s="9">
        <f>IF($A1678="","",SUMIFS(Ventes_Encaissements!$D$6:$D$3005,Ventes_Encaissements!$B$6:$B$3005,$A1678))</f>
        <v/>
      </c>
      <c r="J1678" s="9">
        <f>IF($A1678="","",$H1678-$I1678)</f>
        <v/>
      </c>
      <c r="K1678" s="10">
        <f>IF($A1678="","",IF($I1678=0,"",_xludf.AGGREGATE(14,6,Ventes_Encaissements!$C$6:$C$3005/(Ventes_Encaissements!$B$6:$B$3005=$A1678),1)))</f>
        <v/>
      </c>
      <c r="L1678" s="11">
        <f>IF($A1678="","",COUNTIFS(Ventes_Detail!$B$6:$B$3005,$A1678))</f>
        <v/>
      </c>
      <c r="M1678" s="12" t="n"/>
      <c r="N1678" s="12">
        <f>IF($A1678="","",IF($G1678="","",IF($M1678="Oui","Litige",IF($J1678&lt;=0,"Payé",IF($I1678&gt;0,"Partiel",IF(Listes!$B$3&gt;$G1678,"En retard","À échoir"))))))</f>
        <v/>
      </c>
      <c r="O1678" s="11">
        <f>IF($A1678="","",IF(OR($G1678="", $J1678&lt;=0),0,MAX(0,Listes!$B$3-$G1678)))</f>
        <v/>
      </c>
      <c r="P1678" s="12">
        <f>IF($A1678="","",IF($J1678&lt;=0,"Payé",IF($M1678="Oui","Litige",IF($O1678=0,"À échoir",IF($O1678&lt;=30,"0-30",IF($O1678&lt;=60,"31-60",IF($O1678&lt;=90,"61-90","90+")))))))</f>
        <v/>
      </c>
    </row>
    <row r="1679">
      <c r="A1679" s="6" t="n"/>
      <c r="B1679" s="6" t="n"/>
      <c r="C1679" s="6" t="n"/>
      <c r="D1679" s="6" t="n"/>
      <c r="E1679" s="6" t="n"/>
      <c r="F1679" s="7" t="n"/>
      <c r="G1679" s="7" t="n"/>
      <c r="H1679" s="8" t="n"/>
      <c r="I1679" s="9">
        <f>IF($A1679="","",SUMIFS(Ventes_Encaissements!$D$6:$D$3005,Ventes_Encaissements!$B$6:$B$3005,$A1679))</f>
        <v/>
      </c>
      <c r="J1679" s="9">
        <f>IF($A1679="","",$H1679-$I1679)</f>
        <v/>
      </c>
      <c r="K1679" s="10">
        <f>IF($A1679="","",IF($I1679=0,"",_xludf.AGGREGATE(14,6,Ventes_Encaissements!$C$6:$C$3005/(Ventes_Encaissements!$B$6:$B$3005=$A1679),1)))</f>
        <v/>
      </c>
      <c r="L1679" s="11">
        <f>IF($A1679="","",COUNTIFS(Ventes_Detail!$B$6:$B$3005,$A1679))</f>
        <v/>
      </c>
      <c r="M1679" s="12" t="n"/>
      <c r="N1679" s="12">
        <f>IF($A1679="","",IF($G1679="","",IF($M1679="Oui","Litige",IF($J1679&lt;=0,"Payé",IF($I1679&gt;0,"Partiel",IF(Listes!$B$3&gt;$G1679,"En retard","À échoir"))))))</f>
        <v/>
      </c>
      <c r="O1679" s="11">
        <f>IF($A1679="","",IF(OR($G1679="", $J1679&lt;=0),0,MAX(0,Listes!$B$3-$G1679)))</f>
        <v/>
      </c>
      <c r="P1679" s="12">
        <f>IF($A1679="","",IF($J1679&lt;=0,"Payé",IF($M1679="Oui","Litige",IF($O1679=0,"À échoir",IF($O1679&lt;=30,"0-30",IF($O1679&lt;=60,"31-60",IF($O1679&lt;=90,"61-90","90+")))))))</f>
        <v/>
      </c>
    </row>
    <row r="1680">
      <c r="A1680" s="6" t="n"/>
      <c r="B1680" s="6" t="n"/>
      <c r="C1680" s="6" t="n"/>
      <c r="D1680" s="6" t="n"/>
      <c r="E1680" s="6" t="n"/>
      <c r="F1680" s="7" t="n"/>
      <c r="G1680" s="7" t="n"/>
      <c r="H1680" s="8" t="n"/>
      <c r="I1680" s="9">
        <f>IF($A1680="","",SUMIFS(Ventes_Encaissements!$D$6:$D$3005,Ventes_Encaissements!$B$6:$B$3005,$A1680))</f>
        <v/>
      </c>
      <c r="J1680" s="9">
        <f>IF($A1680="","",$H1680-$I1680)</f>
        <v/>
      </c>
      <c r="K1680" s="10">
        <f>IF($A1680="","",IF($I1680=0,"",_xludf.AGGREGATE(14,6,Ventes_Encaissements!$C$6:$C$3005/(Ventes_Encaissements!$B$6:$B$3005=$A1680),1)))</f>
        <v/>
      </c>
      <c r="L1680" s="11">
        <f>IF($A1680="","",COUNTIFS(Ventes_Detail!$B$6:$B$3005,$A1680))</f>
        <v/>
      </c>
      <c r="M1680" s="12" t="n"/>
      <c r="N1680" s="12">
        <f>IF($A1680="","",IF($G1680="","",IF($M1680="Oui","Litige",IF($J1680&lt;=0,"Payé",IF($I1680&gt;0,"Partiel",IF(Listes!$B$3&gt;$G1680,"En retard","À échoir"))))))</f>
        <v/>
      </c>
      <c r="O1680" s="11">
        <f>IF($A1680="","",IF(OR($G1680="", $J1680&lt;=0),0,MAX(0,Listes!$B$3-$G1680)))</f>
        <v/>
      </c>
      <c r="P1680" s="12">
        <f>IF($A1680="","",IF($J1680&lt;=0,"Payé",IF($M1680="Oui","Litige",IF($O1680=0,"À échoir",IF($O1680&lt;=30,"0-30",IF($O1680&lt;=60,"31-60",IF($O1680&lt;=90,"61-90","90+")))))))</f>
        <v/>
      </c>
    </row>
    <row r="1681">
      <c r="A1681" s="6" t="n"/>
      <c r="B1681" s="6" t="n"/>
      <c r="C1681" s="6" t="n"/>
      <c r="D1681" s="6" t="n"/>
      <c r="E1681" s="6" t="n"/>
      <c r="F1681" s="7" t="n"/>
      <c r="G1681" s="7" t="n"/>
      <c r="H1681" s="8" t="n"/>
      <c r="I1681" s="9">
        <f>IF($A1681="","",SUMIFS(Ventes_Encaissements!$D$6:$D$3005,Ventes_Encaissements!$B$6:$B$3005,$A1681))</f>
        <v/>
      </c>
      <c r="J1681" s="9">
        <f>IF($A1681="","",$H1681-$I1681)</f>
        <v/>
      </c>
      <c r="K1681" s="10">
        <f>IF($A1681="","",IF($I1681=0,"",_xludf.AGGREGATE(14,6,Ventes_Encaissements!$C$6:$C$3005/(Ventes_Encaissements!$B$6:$B$3005=$A1681),1)))</f>
        <v/>
      </c>
      <c r="L1681" s="11">
        <f>IF($A1681="","",COUNTIFS(Ventes_Detail!$B$6:$B$3005,$A1681))</f>
        <v/>
      </c>
      <c r="M1681" s="12" t="n"/>
      <c r="N1681" s="12">
        <f>IF($A1681="","",IF($G1681="","",IF($M1681="Oui","Litige",IF($J1681&lt;=0,"Payé",IF($I1681&gt;0,"Partiel",IF(Listes!$B$3&gt;$G1681,"En retard","À échoir"))))))</f>
        <v/>
      </c>
      <c r="O1681" s="11">
        <f>IF($A1681="","",IF(OR($G1681="", $J1681&lt;=0),0,MAX(0,Listes!$B$3-$G1681)))</f>
        <v/>
      </c>
      <c r="P1681" s="12">
        <f>IF($A1681="","",IF($J1681&lt;=0,"Payé",IF($M1681="Oui","Litige",IF($O1681=0,"À échoir",IF($O1681&lt;=30,"0-30",IF($O1681&lt;=60,"31-60",IF($O1681&lt;=90,"61-90","90+")))))))</f>
        <v/>
      </c>
    </row>
    <row r="1682">
      <c r="A1682" s="6" t="n"/>
      <c r="B1682" s="6" t="n"/>
      <c r="C1682" s="6" t="n"/>
      <c r="D1682" s="6" t="n"/>
      <c r="E1682" s="6" t="n"/>
      <c r="F1682" s="7" t="n"/>
      <c r="G1682" s="7" t="n"/>
      <c r="H1682" s="8" t="n"/>
      <c r="I1682" s="9">
        <f>IF($A1682="","",SUMIFS(Ventes_Encaissements!$D$6:$D$3005,Ventes_Encaissements!$B$6:$B$3005,$A1682))</f>
        <v/>
      </c>
      <c r="J1682" s="9">
        <f>IF($A1682="","",$H1682-$I1682)</f>
        <v/>
      </c>
      <c r="K1682" s="10">
        <f>IF($A1682="","",IF($I1682=0,"",_xludf.AGGREGATE(14,6,Ventes_Encaissements!$C$6:$C$3005/(Ventes_Encaissements!$B$6:$B$3005=$A1682),1)))</f>
        <v/>
      </c>
      <c r="L1682" s="11">
        <f>IF($A1682="","",COUNTIFS(Ventes_Detail!$B$6:$B$3005,$A1682))</f>
        <v/>
      </c>
      <c r="M1682" s="12" t="n"/>
      <c r="N1682" s="12">
        <f>IF($A1682="","",IF($G1682="","",IF($M1682="Oui","Litige",IF($J1682&lt;=0,"Payé",IF($I1682&gt;0,"Partiel",IF(Listes!$B$3&gt;$G1682,"En retard","À échoir"))))))</f>
        <v/>
      </c>
      <c r="O1682" s="11">
        <f>IF($A1682="","",IF(OR($G1682="", $J1682&lt;=0),0,MAX(0,Listes!$B$3-$G1682)))</f>
        <v/>
      </c>
      <c r="P1682" s="12">
        <f>IF($A1682="","",IF($J1682&lt;=0,"Payé",IF($M1682="Oui","Litige",IF($O1682=0,"À échoir",IF($O1682&lt;=30,"0-30",IF($O1682&lt;=60,"31-60",IF($O1682&lt;=90,"61-90","90+")))))))</f>
        <v/>
      </c>
    </row>
    <row r="1683">
      <c r="A1683" s="6" t="n"/>
      <c r="B1683" s="6" t="n"/>
      <c r="C1683" s="6" t="n"/>
      <c r="D1683" s="6" t="n"/>
      <c r="E1683" s="6" t="n"/>
      <c r="F1683" s="7" t="n"/>
      <c r="G1683" s="7" t="n"/>
      <c r="H1683" s="8" t="n"/>
      <c r="I1683" s="9">
        <f>IF($A1683="","",SUMIFS(Ventes_Encaissements!$D$6:$D$3005,Ventes_Encaissements!$B$6:$B$3005,$A1683))</f>
        <v/>
      </c>
      <c r="J1683" s="9">
        <f>IF($A1683="","",$H1683-$I1683)</f>
        <v/>
      </c>
      <c r="K1683" s="10">
        <f>IF($A1683="","",IF($I1683=0,"",_xludf.AGGREGATE(14,6,Ventes_Encaissements!$C$6:$C$3005/(Ventes_Encaissements!$B$6:$B$3005=$A1683),1)))</f>
        <v/>
      </c>
      <c r="L1683" s="11">
        <f>IF($A1683="","",COUNTIFS(Ventes_Detail!$B$6:$B$3005,$A1683))</f>
        <v/>
      </c>
      <c r="M1683" s="12" t="n"/>
      <c r="N1683" s="12">
        <f>IF($A1683="","",IF($G1683="","",IF($M1683="Oui","Litige",IF($J1683&lt;=0,"Payé",IF($I1683&gt;0,"Partiel",IF(Listes!$B$3&gt;$G1683,"En retard","À échoir"))))))</f>
        <v/>
      </c>
      <c r="O1683" s="11">
        <f>IF($A1683="","",IF(OR($G1683="", $J1683&lt;=0),0,MAX(0,Listes!$B$3-$G1683)))</f>
        <v/>
      </c>
      <c r="P1683" s="12">
        <f>IF($A1683="","",IF($J1683&lt;=0,"Payé",IF($M1683="Oui","Litige",IF($O1683=0,"À échoir",IF($O1683&lt;=30,"0-30",IF($O1683&lt;=60,"31-60",IF($O1683&lt;=90,"61-90","90+")))))))</f>
        <v/>
      </c>
    </row>
    <row r="1684">
      <c r="A1684" s="6" t="n"/>
      <c r="B1684" s="6" t="n"/>
      <c r="C1684" s="6" t="n"/>
      <c r="D1684" s="6" t="n"/>
      <c r="E1684" s="6" t="n"/>
      <c r="F1684" s="7" t="n"/>
      <c r="G1684" s="7" t="n"/>
      <c r="H1684" s="8" t="n"/>
      <c r="I1684" s="9">
        <f>IF($A1684="","",SUMIFS(Ventes_Encaissements!$D$6:$D$3005,Ventes_Encaissements!$B$6:$B$3005,$A1684))</f>
        <v/>
      </c>
      <c r="J1684" s="9">
        <f>IF($A1684="","",$H1684-$I1684)</f>
        <v/>
      </c>
      <c r="K1684" s="10">
        <f>IF($A1684="","",IF($I1684=0,"",_xludf.AGGREGATE(14,6,Ventes_Encaissements!$C$6:$C$3005/(Ventes_Encaissements!$B$6:$B$3005=$A1684),1)))</f>
        <v/>
      </c>
      <c r="L1684" s="11">
        <f>IF($A1684="","",COUNTIFS(Ventes_Detail!$B$6:$B$3005,$A1684))</f>
        <v/>
      </c>
      <c r="M1684" s="12" t="n"/>
      <c r="N1684" s="12">
        <f>IF($A1684="","",IF($G1684="","",IF($M1684="Oui","Litige",IF($J1684&lt;=0,"Payé",IF($I1684&gt;0,"Partiel",IF(Listes!$B$3&gt;$G1684,"En retard","À échoir"))))))</f>
        <v/>
      </c>
      <c r="O1684" s="11">
        <f>IF($A1684="","",IF(OR($G1684="", $J1684&lt;=0),0,MAX(0,Listes!$B$3-$G1684)))</f>
        <v/>
      </c>
      <c r="P1684" s="12">
        <f>IF($A1684="","",IF($J1684&lt;=0,"Payé",IF($M1684="Oui","Litige",IF($O1684=0,"À échoir",IF($O1684&lt;=30,"0-30",IF($O1684&lt;=60,"31-60",IF($O1684&lt;=90,"61-90","90+")))))))</f>
        <v/>
      </c>
    </row>
    <row r="1685">
      <c r="A1685" s="6" t="n"/>
      <c r="B1685" s="6" t="n"/>
      <c r="C1685" s="6" t="n"/>
      <c r="D1685" s="6" t="n"/>
      <c r="E1685" s="6" t="n"/>
      <c r="F1685" s="7" t="n"/>
      <c r="G1685" s="7" t="n"/>
      <c r="H1685" s="8" t="n"/>
      <c r="I1685" s="9">
        <f>IF($A1685="","",SUMIFS(Ventes_Encaissements!$D$6:$D$3005,Ventes_Encaissements!$B$6:$B$3005,$A1685))</f>
        <v/>
      </c>
      <c r="J1685" s="9">
        <f>IF($A1685="","",$H1685-$I1685)</f>
        <v/>
      </c>
      <c r="K1685" s="10">
        <f>IF($A1685="","",IF($I1685=0,"",_xludf.AGGREGATE(14,6,Ventes_Encaissements!$C$6:$C$3005/(Ventes_Encaissements!$B$6:$B$3005=$A1685),1)))</f>
        <v/>
      </c>
      <c r="L1685" s="11">
        <f>IF($A1685="","",COUNTIFS(Ventes_Detail!$B$6:$B$3005,$A1685))</f>
        <v/>
      </c>
      <c r="M1685" s="12" t="n"/>
      <c r="N1685" s="12">
        <f>IF($A1685="","",IF($G1685="","",IF($M1685="Oui","Litige",IF($J1685&lt;=0,"Payé",IF($I1685&gt;0,"Partiel",IF(Listes!$B$3&gt;$G1685,"En retard","À échoir"))))))</f>
        <v/>
      </c>
      <c r="O1685" s="11">
        <f>IF($A1685="","",IF(OR($G1685="", $J1685&lt;=0),0,MAX(0,Listes!$B$3-$G1685)))</f>
        <v/>
      </c>
      <c r="P1685" s="12">
        <f>IF($A1685="","",IF($J1685&lt;=0,"Payé",IF($M1685="Oui","Litige",IF($O1685=0,"À échoir",IF($O1685&lt;=30,"0-30",IF($O1685&lt;=60,"31-60",IF($O1685&lt;=90,"61-90","90+")))))))</f>
        <v/>
      </c>
    </row>
    <row r="1686">
      <c r="A1686" s="6" t="n"/>
      <c r="B1686" s="6" t="n"/>
      <c r="C1686" s="6" t="n"/>
      <c r="D1686" s="6" t="n"/>
      <c r="E1686" s="6" t="n"/>
      <c r="F1686" s="7" t="n"/>
      <c r="G1686" s="7" t="n"/>
      <c r="H1686" s="8" t="n"/>
      <c r="I1686" s="9">
        <f>IF($A1686="","",SUMIFS(Ventes_Encaissements!$D$6:$D$3005,Ventes_Encaissements!$B$6:$B$3005,$A1686))</f>
        <v/>
      </c>
      <c r="J1686" s="9">
        <f>IF($A1686="","",$H1686-$I1686)</f>
        <v/>
      </c>
      <c r="K1686" s="10">
        <f>IF($A1686="","",IF($I1686=0,"",_xludf.AGGREGATE(14,6,Ventes_Encaissements!$C$6:$C$3005/(Ventes_Encaissements!$B$6:$B$3005=$A1686),1)))</f>
        <v/>
      </c>
      <c r="L1686" s="11">
        <f>IF($A1686="","",COUNTIFS(Ventes_Detail!$B$6:$B$3005,$A1686))</f>
        <v/>
      </c>
      <c r="M1686" s="12" t="n"/>
      <c r="N1686" s="12">
        <f>IF($A1686="","",IF($G1686="","",IF($M1686="Oui","Litige",IF($J1686&lt;=0,"Payé",IF($I1686&gt;0,"Partiel",IF(Listes!$B$3&gt;$G1686,"En retard","À échoir"))))))</f>
        <v/>
      </c>
      <c r="O1686" s="11">
        <f>IF($A1686="","",IF(OR($G1686="", $J1686&lt;=0),0,MAX(0,Listes!$B$3-$G1686)))</f>
        <v/>
      </c>
      <c r="P1686" s="12">
        <f>IF($A1686="","",IF($J1686&lt;=0,"Payé",IF($M1686="Oui","Litige",IF($O1686=0,"À échoir",IF($O1686&lt;=30,"0-30",IF($O1686&lt;=60,"31-60",IF($O1686&lt;=90,"61-90","90+")))))))</f>
        <v/>
      </c>
    </row>
    <row r="1687">
      <c r="A1687" s="6" t="n"/>
      <c r="B1687" s="6" t="n"/>
      <c r="C1687" s="6" t="n"/>
      <c r="D1687" s="6" t="n"/>
      <c r="E1687" s="6" t="n"/>
      <c r="F1687" s="7" t="n"/>
      <c r="G1687" s="7" t="n"/>
      <c r="H1687" s="8" t="n"/>
      <c r="I1687" s="9">
        <f>IF($A1687="","",SUMIFS(Ventes_Encaissements!$D$6:$D$3005,Ventes_Encaissements!$B$6:$B$3005,$A1687))</f>
        <v/>
      </c>
      <c r="J1687" s="9">
        <f>IF($A1687="","",$H1687-$I1687)</f>
        <v/>
      </c>
      <c r="K1687" s="10">
        <f>IF($A1687="","",IF($I1687=0,"",_xludf.AGGREGATE(14,6,Ventes_Encaissements!$C$6:$C$3005/(Ventes_Encaissements!$B$6:$B$3005=$A1687),1)))</f>
        <v/>
      </c>
      <c r="L1687" s="11">
        <f>IF($A1687="","",COUNTIFS(Ventes_Detail!$B$6:$B$3005,$A1687))</f>
        <v/>
      </c>
      <c r="M1687" s="12" t="n"/>
      <c r="N1687" s="12">
        <f>IF($A1687="","",IF($G1687="","",IF($M1687="Oui","Litige",IF($J1687&lt;=0,"Payé",IF($I1687&gt;0,"Partiel",IF(Listes!$B$3&gt;$G1687,"En retard","À échoir"))))))</f>
        <v/>
      </c>
      <c r="O1687" s="11">
        <f>IF($A1687="","",IF(OR($G1687="", $J1687&lt;=0),0,MAX(0,Listes!$B$3-$G1687)))</f>
        <v/>
      </c>
      <c r="P1687" s="12">
        <f>IF($A1687="","",IF($J1687&lt;=0,"Payé",IF($M1687="Oui","Litige",IF($O1687=0,"À échoir",IF($O1687&lt;=30,"0-30",IF($O1687&lt;=60,"31-60",IF($O1687&lt;=90,"61-90","90+")))))))</f>
        <v/>
      </c>
    </row>
    <row r="1688">
      <c r="A1688" s="6" t="n"/>
      <c r="B1688" s="6" t="n"/>
      <c r="C1688" s="6" t="n"/>
      <c r="D1688" s="6" t="n"/>
      <c r="E1688" s="6" t="n"/>
      <c r="F1688" s="7" t="n"/>
      <c r="G1688" s="7" t="n"/>
      <c r="H1688" s="8" t="n"/>
      <c r="I1688" s="9">
        <f>IF($A1688="","",SUMIFS(Ventes_Encaissements!$D$6:$D$3005,Ventes_Encaissements!$B$6:$B$3005,$A1688))</f>
        <v/>
      </c>
      <c r="J1688" s="9">
        <f>IF($A1688="","",$H1688-$I1688)</f>
        <v/>
      </c>
      <c r="K1688" s="10">
        <f>IF($A1688="","",IF($I1688=0,"",_xludf.AGGREGATE(14,6,Ventes_Encaissements!$C$6:$C$3005/(Ventes_Encaissements!$B$6:$B$3005=$A1688),1)))</f>
        <v/>
      </c>
      <c r="L1688" s="11">
        <f>IF($A1688="","",COUNTIFS(Ventes_Detail!$B$6:$B$3005,$A1688))</f>
        <v/>
      </c>
      <c r="M1688" s="12" t="n"/>
      <c r="N1688" s="12">
        <f>IF($A1688="","",IF($G1688="","",IF($M1688="Oui","Litige",IF($J1688&lt;=0,"Payé",IF($I1688&gt;0,"Partiel",IF(Listes!$B$3&gt;$G1688,"En retard","À échoir"))))))</f>
        <v/>
      </c>
      <c r="O1688" s="11">
        <f>IF($A1688="","",IF(OR($G1688="", $J1688&lt;=0),0,MAX(0,Listes!$B$3-$G1688)))</f>
        <v/>
      </c>
      <c r="P1688" s="12">
        <f>IF($A1688="","",IF($J1688&lt;=0,"Payé",IF($M1688="Oui","Litige",IF($O1688=0,"À échoir",IF($O1688&lt;=30,"0-30",IF($O1688&lt;=60,"31-60",IF($O1688&lt;=90,"61-90","90+")))))))</f>
        <v/>
      </c>
    </row>
    <row r="1689">
      <c r="A1689" s="6" t="n"/>
      <c r="B1689" s="6" t="n"/>
      <c r="C1689" s="6" t="n"/>
      <c r="D1689" s="6" t="n"/>
      <c r="E1689" s="6" t="n"/>
      <c r="F1689" s="7" t="n"/>
      <c r="G1689" s="7" t="n"/>
      <c r="H1689" s="8" t="n"/>
      <c r="I1689" s="9">
        <f>IF($A1689="","",SUMIFS(Ventes_Encaissements!$D$6:$D$3005,Ventes_Encaissements!$B$6:$B$3005,$A1689))</f>
        <v/>
      </c>
      <c r="J1689" s="9">
        <f>IF($A1689="","",$H1689-$I1689)</f>
        <v/>
      </c>
      <c r="K1689" s="10">
        <f>IF($A1689="","",IF($I1689=0,"",_xludf.AGGREGATE(14,6,Ventes_Encaissements!$C$6:$C$3005/(Ventes_Encaissements!$B$6:$B$3005=$A1689),1)))</f>
        <v/>
      </c>
      <c r="L1689" s="11">
        <f>IF($A1689="","",COUNTIFS(Ventes_Detail!$B$6:$B$3005,$A1689))</f>
        <v/>
      </c>
      <c r="M1689" s="12" t="n"/>
      <c r="N1689" s="12">
        <f>IF($A1689="","",IF($G1689="","",IF($M1689="Oui","Litige",IF($J1689&lt;=0,"Payé",IF($I1689&gt;0,"Partiel",IF(Listes!$B$3&gt;$G1689,"En retard","À échoir"))))))</f>
        <v/>
      </c>
      <c r="O1689" s="11">
        <f>IF($A1689="","",IF(OR($G1689="", $J1689&lt;=0),0,MAX(0,Listes!$B$3-$G1689)))</f>
        <v/>
      </c>
      <c r="P1689" s="12">
        <f>IF($A1689="","",IF($J1689&lt;=0,"Payé",IF($M1689="Oui","Litige",IF($O1689=0,"À échoir",IF($O1689&lt;=30,"0-30",IF($O1689&lt;=60,"31-60",IF($O1689&lt;=90,"61-90","90+")))))))</f>
        <v/>
      </c>
    </row>
    <row r="1690">
      <c r="A1690" s="6" t="n"/>
      <c r="B1690" s="6" t="n"/>
      <c r="C1690" s="6" t="n"/>
      <c r="D1690" s="6" t="n"/>
      <c r="E1690" s="6" t="n"/>
      <c r="F1690" s="7" t="n"/>
      <c r="G1690" s="7" t="n"/>
      <c r="H1690" s="8" t="n"/>
      <c r="I1690" s="9">
        <f>IF($A1690="","",SUMIFS(Ventes_Encaissements!$D$6:$D$3005,Ventes_Encaissements!$B$6:$B$3005,$A1690))</f>
        <v/>
      </c>
      <c r="J1690" s="9">
        <f>IF($A1690="","",$H1690-$I1690)</f>
        <v/>
      </c>
      <c r="K1690" s="10">
        <f>IF($A1690="","",IF($I1690=0,"",_xludf.AGGREGATE(14,6,Ventes_Encaissements!$C$6:$C$3005/(Ventes_Encaissements!$B$6:$B$3005=$A1690),1)))</f>
        <v/>
      </c>
      <c r="L1690" s="11">
        <f>IF($A1690="","",COUNTIFS(Ventes_Detail!$B$6:$B$3005,$A1690))</f>
        <v/>
      </c>
      <c r="M1690" s="12" t="n"/>
      <c r="N1690" s="12">
        <f>IF($A1690="","",IF($G1690="","",IF($M1690="Oui","Litige",IF($J1690&lt;=0,"Payé",IF($I1690&gt;0,"Partiel",IF(Listes!$B$3&gt;$G1690,"En retard","À échoir"))))))</f>
        <v/>
      </c>
      <c r="O1690" s="11">
        <f>IF($A1690="","",IF(OR($G1690="", $J1690&lt;=0),0,MAX(0,Listes!$B$3-$G1690)))</f>
        <v/>
      </c>
      <c r="P1690" s="12">
        <f>IF($A1690="","",IF($J1690&lt;=0,"Payé",IF($M1690="Oui","Litige",IF($O1690=0,"À échoir",IF($O1690&lt;=30,"0-30",IF($O1690&lt;=60,"31-60",IF($O1690&lt;=90,"61-90","90+")))))))</f>
        <v/>
      </c>
    </row>
    <row r="1691">
      <c r="A1691" s="6" t="n"/>
      <c r="B1691" s="6" t="n"/>
      <c r="C1691" s="6" t="n"/>
      <c r="D1691" s="6" t="n"/>
      <c r="E1691" s="6" t="n"/>
      <c r="F1691" s="7" t="n"/>
      <c r="G1691" s="7" t="n"/>
      <c r="H1691" s="8" t="n"/>
      <c r="I1691" s="9">
        <f>IF($A1691="","",SUMIFS(Ventes_Encaissements!$D$6:$D$3005,Ventes_Encaissements!$B$6:$B$3005,$A1691))</f>
        <v/>
      </c>
      <c r="J1691" s="9">
        <f>IF($A1691="","",$H1691-$I1691)</f>
        <v/>
      </c>
      <c r="K1691" s="10">
        <f>IF($A1691="","",IF($I1691=0,"",_xludf.AGGREGATE(14,6,Ventes_Encaissements!$C$6:$C$3005/(Ventes_Encaissements!$B$6:$B$3005=$A1691),1)))</f>
        <v/>
      </c>
      <c r="L1691" s="11">
        <f>IF($A1691="","",COUNTIFS(Ventes_Detail!$B$6:$B$3005,$A1691))</f>
        <v/>
      </c>
      <c r="M1691" s="12" t="n"/>
      <c r="N1691" s="12">
        <f>IF($A1691="","",IF($G1691="","",IF($M1691="Oui","Litige",IF($J1691&lt;=0,"Payé",IF($I1691&gt;0,"Partiel",IF(Listes!$B$3&gt;$G1691,"En retard","À échoir"))))))</f>
        <v/>
      </c>
      <c r="O1691" s="11">
        <f>IF($A1691="","",IF(OR($G1691="", $J1691&lt;=0),0,MAX(0,Listes!$B$3-$G1691)))</f>
        <v/>
      </c>
      <c r="P1691" s="12">
        <f>IF($A1691="","",IF($J1691&lt;=0,"Payé",IF($M1691="Oui","Litige",IF($O1691=0,"À échoir",IF($O1691&lt;=30,"0-30",IF($O1691&lt;=60,"31-60",IF($O1691&lt;=90,"61-90","90+")))))))</f>
        <v/>
      </c>
    </row>
    <row r="1692">
      <c r="A1692" s="6" t="n"/>
      <c r="B1692" s="6" t="n"/>
      <c r="C1692" s="6" t="n"/>
      <c r="D1692" s="6" t="n"/>
      <c r="E1692" s="6" t="n"/>
      <c r="F1692" s="7" t="n"/>
      <c r="G1692" s="7" t="n"/>
      <c r="H1692" s="8" t="n"/>
      <c r="I1692" s="9">
        <f>IF($A1692="","",SUMIFS(Ventes_Encaissements!$D$6:$D$3005,Ventes_Encaissements!$B$6:$B$3005,$A1692))</f>
        <v/>
      </c>
      <c r="J1692" s="9">
        <f>IF($A1692="","",$H1692-$I1692)</f>
        <v/>
      </c>
      <c r="K1692" s="10">
        <f>IF($A1692="","",IF($I1692=0,"",_xludf.AGGREGATE(14,6,Ventes_Encaissements!$C$6:$C$3005/(Ventes_Encaissements!$B$6:$B$3005=$A1692),1)))</f>
        <v/>
      </c>
      <c r="L1692" s="11">
        <f>IF($A1692="","",COUNTIFS(Ventes_Detail!$B$6:$B$3005,$A1692))</f>
        <v/>
      </c>
      <c r="M1692" s="12" t="n"/>
      <c r="N1692" s="12">
        <f>IF($A1692="","",IF($G1692="","",IF($M1692="Oui","Litige",IF($J1692&lt;=0,"Payé",IF($I1692&gt;0,"Partiel",IF(Listes!$B$3&gt;$G1692,"En retard","À échoir"))))))</f>
        <v/>
      </c>
      <c r="O1692" s="11">
        <f>IF($A1692="","",IF(OR($G1692="", $J1692&lt;=0),0,MAX(0,Listes!$B$3-$G1692)))</f>
        <v/>
      </c>
      <c r="P1692" s="12">
        <f>IF($A1692="","",IF($J1692&lt;=0,"Payé",IF($M1692="Oui","Litige",IF($O1692=0,"À échoir",IF($O1692&lt;=30,"0-30",IF($O1692&lt;=60,"31-60",IF($O1692&lt;=90,"61-90","90+")))))))</f>
        <v/>
      </c>
    </row>
    <row r="1693">
      <c r="A1693" s="6" t="n"/>
      <c r="B1693" s="6" t="n"/>
      <c r="C1693" s="6" t="n"/>
      <c r="D1693" s="6" t="n"/>
      <c r="E1693" s="6" t="n"/>
      <c r="F1693" s="7" t="n"/>
      <c r="G1693" s="7" t="n"/>
      <c r="H1693" s="8" t="n"/>
      <c r="I1693" s="9">
        <f>IF($A1693="","",SUMIFS(Ventes_Encaissements!$D$6:$D$3005,Ventes_Encaissements!$B$6:$B$3005,$A1693))</f>
        <v/>
      </c>
      <c r="J1693" s="9">
        <f>IF($A1693="","",$H1693-$I1693)</f>
        <v/>
      </c>
      <c r="K1693" s="10">
        <f>IF($A1693="","",IF($I1693=0,"",_xludf.AGGREGATE(14,6,Ventes_Encaissements!$C$6:$C$3005/(Ventes_Encaissements!$B$6:$B$3005=$A1693),1)))</f>
        <v/>
      </c>
      <c r="L1693" s="11">
        <f>IF($A1693="","",COUNTIFS(Ventes_Detail!$B$6:$B$3005,$A1693))</f>
        <v/>
      </c>
      <c r="M1693" s="12" t="n"/>
      <c r="N1693" s="12">
        <f>IF($A1693="","",IF($G1693="","",IF($M1693="Oui","Litige",IF($J1693&lt;=0,"Payé",IF($I1693&gt;0,"Partiel",IF(Listes!$B$3&gt;$G1693,"En retard","À échoir"))))))</f>
        <v/>
      </c>
      <c r="O1693" s="11">
        <f>IF($A1693="","",IF(OR($G1693="", $J1693&lt;=0),0,MAX(0,Listes!$B$3-$G1693)))</f>
        <v/>
      </c>
      <c r="P1693" s="12">
        <f>IF($A1693="","",IF($J1693&lt;=0,"Payé",IF($M1693="Oui","Litige",IF($O1693=0,"À échoir",IF($O1693&lt;=30,"0-30",IF($O1693&lt;=60,"31-60",IF($O1693&lt;=90,"61-90","90+")))))))</f>
        <v/>
      </c>
    </row>
    <row r="1694">
      <c r="A1694" s="6" t="n"/>
      <c r="B1694" s="6" t="n"/>
      <c r="C1694" s="6" t="n"/>
      <c r="D1694" s="6" t="n"/>
      <c r="E1694" s="6" t="n"/>
      <c r="F1694" s="7" t="n"/>
      <c r="G1694" s="7" t="n"/>
      <c r="H1694" s="8" t="n"/>
      <c r="I1694" s="9">
        <f>IF($A1694="","",SUMIFS(Ventes_Encaissements!$D$6:$D$3005,Ventes_Encaissements!$B$6:$B$3005,$A1694))</f>
        <v/>
      </c>
      <c r="J1694" s="9">
        <f>IF($A1694="","",$H1694-$I1694)</f>
        <v/>
      </c>
      <c r="K1694" s="10">
        <f>IF($A1694="","",IF($I1694=0,"",_xludf.AGGREGATE(14,6,Ventes_Encaissements!$C$6:$C$3005/(Ventes_Encaissements!$B$6:$B$3005=$A1694),1)))</f>
        <v/>
      </c>
      <c r="L1694" s="11">
        <f>IF($A1694="","",COUNTIFS(Ventes_Detail!$B$6:$B$3005,$A1694))</f>
        <v/>
      </c>
      <c r="M1694" s="12" t="n"/>
      <c r="N1694" s="12">
        <f>IF($A1694="","",IF($G1694="","",IF($M1694="Oui","Litige",IF($J1694&lt;=0,"Payé",IF($I1694&gt;0,"Partiel",IF(Listes!$B$3&gt;$G1694,"En retard","À échoir"))))))</f>
        <v/>
      </c>
      <c r="O1694" s="11">
        <f>IF($A1694="","",IF(OR($G1694="", $J1694&lt;=0),0,MAX(0,Listes!$B$3-$G1694)))</f>
        <v/>
      </c>
      <c r="P1694" s="12">
        <f>IF($A1694="","",IF($J1694&lt;=0,"Payé",IF($M1694="Oui","Litige",IF($O1694=0,"À échoir",IF($O1694&lt;=30,"0-30",IF($O1694&lt;=60,"31-60",IF($O1694&lt;=90,"61-90","90+")))))))</f>
        <v/>
      </c>
    </row>
    <row r="1695">
      <c r="A1695" s="6" t="n"/>
      <c r="B1695" s="6" t="n"/>
      <c r="C1695" s="6" t="n"/>
      <c r="D1695" s="6" t="n"/>
      <c r="E1695" s="6" t="n"/>
      <c r="F1695" s="7" t="n"/>
      <c r="G1695" s="7" t="n"/>
      <c r="H1695" s="8" t="n"/>
      <c r="I1695" s="9">
        <f>IF($A1695="","",SUMIFS(Ventes_Encaissements!$D$6:$D$3005,Ventes_Encaissements!$B$6:$B$3005,$A1695))</f>
        <v/>
      </c>
      <c r="J1695" s="9">
        <f>IF($A1695="","",$H1695-$I1695)</f>
        <v/>
      </c>
      <c r="K1695" s="10">
        <f>IF($A1695="","",IF($I1695=0,"",_xludf.AGGREGATE(14,6,Ventes_Encaissements!$C$6:$C$3005/(Ventes_Encaissements!$B$6:$B$3005=$A1695),1)))</f>
        <v/>
      </c>
      <c r="L1695" s="11">
        <f>IF($A1695="","",COUNTIFS(Ventes_Detail!$B$6:$B$3005,$A1695))</f>
        <v/>
      </c>
      <c r="M1695" s="12" t="n"/>
      <c r="N1695" s="12">
        <f>IF($A1695="","",IF($G1695="","",IF($M1695="Oui","Litige",IF($J1695&lt;=0,"Payé",IF($I1695&gt;0,"Partiel",IF(Listes!$B$3&gt;$G1695,"En retard","À échoir"))))))</f>
        <v/>
      </c>
      <c r="O1695" s="11">
        <f>IF($A1695="","",IF(OR($G1695="", $J1695&lt;=0),0,MAX(0,Listes!$B$3-$G1695)))</f>
        <v/>
      </c>
      <c r="P1695" s="12">
        <f>IF($A1695="","",IF($J1695&lt;=0,"Payé",IF($M1695="Oui","Litige",IF($O1695=0,"À échoir",IF($O1695&lt;=30,"0-30",IF($O1695&lt;=60,"31-60",IF($O1695&lt;=90,"61-90","90+")))))))</f>
        <v/>
      </c>
    </row>
    <row r="1696">
      <c r="A1696" s="6" t="n"/>
      <c r="B1696" s="6" t="n"/>
      <c r="C1696" s="6" t="n"/>
      <c r="D1696" s="6" t="n"/>
      <c r="E1696" s="6" t="n"/>
      <c r="F1696" s="7" t="n"/>
      <c r="G1696" s="7" t="n"/>
      <c r="H1696" s="8" t="n"/>
      <c r="I1696" s="9">
        <f>IF($A1696="","",SUMIFS(Ventes_Encaissements!$D$6:$D$3005,Ventes_Encaissements!$B$6:$B$3005,$A1696))</f>
        <v/>
      </c>
      <c r="J1696" s="9">
        <f>IF($A1696="","",$H1696-$I1696)</f>
        <v/>
      </c>
      <c r="K1696" s="10">
        <f>IF($A1696="","",IF($I1696=0,"",_xludf.AGGREGATE(14,6,Ventes_Encaissements!$C$6:$C$3005/(Ventes_Encaissements!$B$6:$B$3005=$A1696),1)))</f>
        <v/>
      </c>
      <c r="L1696" s="11">
        <f>IF($A1696="","",COUNTIFS(Ventes_Detail!$B$6:$B$3005,$A1696))</f>
        <v/>
      </c>
      <c r="M1696" s="12" t="n"/>
      <c r="N1696" s="12">
        <f>IF($A1696="","",IF($G1696="","",IF($M1696="Oui","Litige",IF($J1696&lt;=0,"Payé",IF($I1696&gt;0,"Partiel",IF(Listes!$B$3&gt;$G1696,"En retard","À échoir"))))))</f>
        <v/>
      </c>
      <c r="O1696" s="11">
        <f>IF($A1696="","",IF(OR($G1696="", $J1696&lt;=0),0,MAX(0,Listes!$B$3-$G1696)))</f>
        <v/>
      </c>
      <c r="P1696" s="12">
        <f>IF($A1696="","",IF($J1696&lt;=0,"Payé",IF($M1696="Oui","Litige",IF($O1696=0,"À échoir",IF($O1696&lt;=30,"0-30",IF($O1696&lt;=60,"31-60",IF($O1696&lt;=90,"61-90","90+")))))))</f>
        <v/>
      </c>
    </row>
    <row r="1697">
      <c r="A1697" s="6" t="n"/>
      <c r="B1697" s="6" t="n"/>
      <c r="C1697" s="6" t="n"/>
      <c r="D1697" s="6" t="n"/>
      <c r="E1697" s="6" t="n"/>
      <c r="F1697" s="7" t="n"/>
      <c r="G1697" s="7" t="n"/>
      <c r="H1697" s="8" t="n"/>
      <c r="I1697" s="9">
        <f>IF($A1697="","",SUMIFS(Ventes_Encaissements!$D$6:$D$3005,Ventes_Encaissements!$B$6:$B$3005,$A1697))</f>
        <v/>
      </c>
      <c r="J1697" s="9">
        <f>IF($A1697="","",$H1697-$I1697)</f>
        <v/>
      </c>
      <c r="K1697" s="10">
        <f>IF($A1697="","",IF($I1697=0,"",_xludf.AGGREGATE(14,6,Ventes_Encaissements!$C$6:$C$3005/(Ventes_Encaissements!$B$6:$B$3005=$A1697),1)))</f>
        <v/>
      </c>
      <c r="L1697" s="11">
        <f>IF($A1697="","",COUNTIFS(Ventes_Detail!$B$6:$B$3005,$A1697))</f>
        <v/>
      </c>
      <c r="M1697" s="12" t="n"/>
      <c r="N1697" s="12">
        <f>IF($A1697="","",IF($G1697="","",IF($M1697="Oui","Litige",IF($J1697&lt;=0,"Payé",IF($I1697&gt;0,"Partiel",IF(Listes!$B$3&gt;$G1697,"En retard","À échoir"))))))</f>
        <v/>
      </c>
      <c r="O1697" s="11">
        <f>IF($A1697="","",IF(OR($G1697="", $J1697&lt;=0),0,MAX(0,Listes!$B$3-$G1697)))</f>
        <v/>
      </c>
      <c r="P1697" s="12">
        <f>IF($A1697="","",IF($J1697&lt;=0,"Payé",IF($M1697="Oui","Litige",IF($O1697=0,"À échoir",IF($O1697&lt;=30,"0-30",IF($O1697&lt;=60,"31-60",IF($O1697&lt;=90,"61-90","90+")))))))</f>
        <v/>
      </c>
    </row>
    <row r="1698">
      <c r="A1698" s="6" t="n"/>
      <c r="B1698" s="6" t="n"/>
      <c r="C1698" s="6" t="n"/>
      <c r="D1698" s="6" t="n"/>
      <c r="E1698" s="6" t="n"/>
      <c r="F1698" s="7" t="n"/>
      <c r="G1698" s="7" t="n"/>
      <c r="H1698" s="8" t="n"/>
      <c r="I1698" s="9">
        <f>IF($A1698="","",SUMIFS(Ventes_Encaissements!$D$6:$D$3005,Ventes_Encaissements!$B$6:$B$3005,$A1698))</f>
        <v/>
      </c>
      <c r="J1698" s="9">
        <f>IF($A1698="","",$H1698-$I1698)</f>
        <v/>
      </c>
      <c r="K1698" s="10">
        <f>IF($A1698="","",IF($I1698=0,"",_xludf.AGGREGATE(14,6,Ventes_Encaissements!$C$6:$C$3005/(Ventes_Encaissements!$B$6:$B$3005=$A1698),1)))</f>
        <v/>
      </c>
      <c r="L1698" s="11">
        <f>IF($A1698="","",COUNTIFS(Ventes_Detail!$B$6:$B$3005,$A1698))</f>
        <v/>
      </c>
      <c r="M1698" s="12" t="n"/>
      <c r="N1698" s="12">
        <f>IF($A1698="","",IF($G1698="","",IF($M1698="Oui","Litige",IF($J1698&lt;=0,"Payé",IF($I1698&gt;0,"Partiel",IF(Listes!$B$3&gt;$G1698,"En retard","À échoir"))))))</f>
        <v/>
      </c>
      <c r="O1698" s="11">
        <f>IF($A1698="","",IF(OR($G1698="", $J1698&lt;=0),0,MAX(0,Listes!$B$3-$G1698)))</f>
        <v/>
      </c>
      <c r="P1698" s="12">
        <f>IF($A1698="","",IF($J1698&lt;=0,"Payé",IF($M1698="Oui","Litige",IF($O1698=0,"À échoir",IF($O1698&lt;=30,"0-30",IF($O1698&lt;=60,"31-60",IF($O1698&lt;=90,"61-90","90+")))))))</f>
        <v/>
      </c>
    </row>
    <row r="1699">
      <c r="A1699" s="6" t="n"/>
      <c r="B1699" s="6" t="n"/>
      <c r="C1699" s="6" t="n"/>
      <c r="D1699" s="6" t="n"/>
      <c r="E1699" s="6" t="n"/>
      <c r="F1699" s="7" t="n"/>
      <c r="G1699" s="7" t="n"/>
      <c r="H1699" s="8" t="n"/>
      <c r="I1699" s="9">
        <f>IF($A1699="","",SUMIFS(Ventes_Encaissements!$D$6:$D$3005,Ventes_Encaissements!$B$6:$B$3005,$A1699))</f>
        <v/>
      </c>
      <c r="J1699" s="9">
        <f>IF($A1699="","",$H1699-$I1699)</f>
        <v/>
      </c>
      <c r="K1699" s="10">
        <f>IF($A1699="","",IF($I1699=0,"",_xludf.AGGREGATE(14,6,Ventes_Encaissements!$C$6:$C$3005/(Ventes_Encaissements!$B$6:$B$3005=$A1699),1)))</f>
        <v/>
      </c>
      <c r="L1699" s="11">
        <f>IF($A1699="","",COUNTIFS(Ventes_Detail!$B$6:$B$3005,$A1699))</f>
        <v/>
      </c>
      <c r="M1699" s="12" t="n"/>
      <c r="N1699" s="12">
        <f>IF($A1699="","",IF($G1699="","",IF($M1699="Oui","Litige",IF($J1699&lt;=0,"Payé",IF($I1699&gt;0,"Partiel",IF(Listes!$B$3&gt;$G1699,"En retard","À échoir"))))))</f>
        <v/>
      </c>
      <c r="O1699" s="11">
        <f>IF($A1699="","",IF(OR($G1699="", $J1699&lt;=0),0,MAX(0,Listes!$B$3-$G1699)))</f>
        <v/>
      </c>
      <c r="P1699" s="12">
        <f>IF($A1699="","",IF($J1699&lt;=0,"Payé",IF($M1699="Oui","Litige",IF($O1699=0,"À échoir",IF($O1699&lt;=30,"0-30",IF($O1699&lt;=60,"31-60",IF($O1699&lt;=90,"61-90","90+")))))))</f>
        <v/>
      </c>
    </row>
    <row r="1700">
      <c r="A1700" s="6" t="n"/>
      <c r="B1700" s="6" t="n"/>
      <c r="C1700" s="6" t="n"/>
      <c r="D1700" s="6" t="n"/>
      <c r="E1700" s="6" t="n"/>
      <c r="F1700" s="7" t="n"/>
      <c r="G1700" s="7" t="n"/>
      <c r="H1700" s="8" t="n"/>
      <c r="I1700" s="9">
        <f>IF($A1700="","",SUMIFS(Ventes_Encaissements!$D$6:$D$3005,Ventes_Encaissements!$B$6:$B$3005,$A1700))</f>
        <v/>
      </c>
      <c r="J1700" s="9">
        <f>IF($A1700="","",$H1700-$I1700)</f>
        <v/>
      </c>
      <c r="K1700" s="10">
        <f>IF($A1700="","",IF($I1700=0,"",_xludf.AGGREGATE(14,6,Ventes_Encaissements!$C$6:$C$3005/(Ventes_Encaissements!$B$6:$B$3005=$A1700),1)))</f>
        <v/>
      </c>
      <c r="L1700" s="11">
        <f>IF($A1700="","",COUNTIFS(Ventes_Detail!$B$6:$B$3005,$A1700))</f>
        <v/>
      </c>
      <c r="M1700" s="12" t="n"/>
      <c r="N1700" s="12">
        <f>IF($A1700="","",IF($G1700="","",IF($M1700="Oui","Litige",IF($J1700&lt;=0,"Payé",IF($I1700&gt;0,"Partiel",IF(Listes!$B$3&gt;$G1700,"En retard","À échoir"))))))</f>
        <v/>
      </c>
      <c r="O1700" s="11">
        <f>IF($A1700="","",IF(OR($G1700="", $J1700&lt;=0),0,MAX(0,Listes!$B$3-$G1700)))</f>
        <v/>
      </c>
      <c r="P1700" s="12">
        <f>IF($A1700="","",IF($J1700&lt;=0,"Payé",IF($M1700="Oui","Litige",IF($O1700=0,"À échoir",IF($O1700&lt;=30,"0-30",IF($O1700&lt;=60,"31-60",IF($O1700&lt;=90,"61-90","90+")))))))</f>
        <v/>
      </c>
    </row>
    <row r="1701">
      <c r="A1701" s="6" t="n"/>
      <c r="B1701" s="6" t="n"/>
      <c r="C1701" s="6" t="n"/>
      <c r="D1701" s="6" t="n"/>
      <c r="E1701" s="6" t="n"/>
      <c r="F1701" s="7" t="n"/>
      <c r="G1701" s="7" t="n"/>
      <c r="H1701" s="8" t="n"/>
      <c r="I1701" s="9">
        <f>IF($A1701="","",SUMIFS(Ventes_Encaissements!$D$6:$D$3005,Ventes_Encaissements!$B$6:$B$3005,$A1701))</f>
        <v/>
      </c>
      <c r="J1701" s="9">
        <f>IF($A1701="","",$H1701-$I1701)</f>
        <v/>
      </c>
      <c r="K1701" s="10">
        <f>IF($A1701="","",IF($I1701=0,"",_xludf.AGGREGATE(14,6,Ventes_Encaissements!$C$6:$C$3005/(Ventes_Encaissements!$B$6:$B$3005=$A1701),1)))</f>
        <v/>
      </c>
      <c r="L1701" s="11">
        <f>IF($A1701="","",COUNTIFS(Ventes_Detail!$B$6:$B$3005,$A1701))</f>
        <v/>
      </c>
      <c r="M1701" s="12" t="n"/>
      <c r="N1701" s="12">
        <f>IF($A1701="","",IF($G1701="","",IF($M1701="Oui","Litige",IF($J1701&lt;=0,"Payé",IF($I1701&gt;0,"Partiel",IF(Listes!$B$3&gt;$G1701,"En retard","À échoir"))))))</f>
        <v/>
      </c>
      <c r="O1701" s="11">
        <f>IF($A1701="","",IF(OR($G1701="", $J1701&lt;=0),0,MAX(0,Listes!$B$3-$G1701)))</f>
        <v/>
      </c>
      <c r="P1701" s="12">
        <f>IF($A1701="","",IF($J1701&lt;=0,"Payé",IF($M1701="Oui","Litige",IF($O1701=0,"À échoir",IF($O1701&lt;=30,"0-30",IF($O1701&lt;=60,"31-60",IF($O1701&lt;=90,"61-90","90+")))))))</f>
        <v/>
      </c>
    </row>
    <row r="1702">
      <c r="A1702" s="6" t="n"/>
      <c r="B1702" s="6" t="n"/>
      <c r="C1702" s="6" t="n"/>
      <c r="D1702" s="6" t="n"/>
      <c r="E1702" s="6" t="n"/>
      <c r="F1702" s="7" t="n"/>
      <c r="G1702" s="7" t="n"/>
      <c r="H1702" s="8" t="n"/>
      <c r="I1702" s="9">
        <f>IF($A1702="","",SUMIFS(Ventes_Encaissements!$D$6:$D$3005,Ventes_Encaissements!$B$6:$B$3005,$A1702))</f>
        <v/>
      </c>
      <c r="J1702" s="9">
        <f>IF($A1702="","",$H1702-$I1702)</f>
        <v/>
      </c>
      <c r="K1702" s="10">
        <f>IF($A1702="","",IF($I1702=0,"",_xludf.AGGREGATE(14,6,Ventes_Encaissements!$C$6:$C$3005/(Ventes_Encaissements!$B$6:$B$3005=$A1702),1)))</f>
        <v/>
      </c>
      <c r="L1702" s="11">
        <f>IF($A1702="","",COUNTIFS(Ventes_Detail!$B$6:$B$3005,$A1702))</f>
        <v/>
      </c>
      <c r="M1702" s="12" t="n"/>
      <c r="N1702" s="12">
        <f>IF($A1702="","",IF($G1702="","",IF($M1702="Oui","Litige",IF($J1702&lt;=0,"Payé",IF($I1702&gt;0,"Partiel",IF(Listes!$B$3&gt;$G1702,"En retard","À échoir"))))))</f>
        <v/>
      </c>
      <c r="O1702" s="11">
        <f>IF($A1702="","",IF(OR($G1702="", $J1702&lt;=0),0,MAX(0,Listes!$B$3-$G1702)))</f>
        <v/>
      </c>
      <c r="P1702" s="12">
        <f>IF($A1702="","",IF($J1702&lt;=0,"Payé",IF($M1702="Oui","Litige",IF($O1702=0,"À échoir",IF($O1702&lt;=30,"0-30",IF($O1702&lt;=60,"31-60",IF($O1702&lt;=90,"61-90","90+")))))))</f>
        <v/>
      </c>
    </row>
    <row r="1703">
      <c r="A1703" s="6" t="n"/>
      <c r="B1703" s="6" t="n"/>
      <c r="C1703" s="6" t="n"/>
      <c r="D1703" s="6" t="n"/>
      <c r="E1703" s="6" t="n"/>
      <c r="F1703" s="7" t="n"/>
      <c r="G1703" s="7" t="n"/>
      <c r="H1703" s="8" t="n"/>
      <c r="I1703" s="9">
        <f>IF($A1703="","",SUMIFS(Ventes_Encaissements!$D$6:$D$3005,Ventes_Encaissements!$B$6:$B$3005,$A1703))</f>
        <v/>
      </c>
      <c r="J1703" s="9">
        <f>IF($A1703="","",$H1703-$I1703)</f>
        <v/>
      </c>
      <c r="K1703" s="10">
        <f>IF($A1703="","",IF($I1703=0,"",_xludf.AGGREGATE(14,6,Ventes_Encaissements!$C$6:$C$3005/(Ventes_Encaissements!$B$6:$B$3005=$A1703),1)))</f>
        <v/>
      </c>
      <c r="L1703" s="11">
        <f>IF($A1703="","",COUNTIFS(Ventes_Detail!$B$6:$B$3005,$A1703))</f>
        <v/>
      </c>
      <c r="M1703" s="12" t="n"/>
      <c r="N1703" s="12">
        <f>IF($A1703="","",IF($G1703="","",IF($M1703="Oui","Litige",IF($J1703&lt;=0,"Payé",IF($I1703&gt;0,"Partiel",IF(Listes!$B$3&gt;$G1703,"En retard","À échoir"))))))</f>
        <v/>
      </c>
      <c r="O1703" s="11">
        <f>IF($A1703="","",IF(OR($G1703="", $J1703&lt;=0),0,MAX(0,Listes!$B$3-$G1703)))</f>
        <v/>
      </c>
      <c r="P1703" s="12">
        <f>IF($A1703="","",IF($J1703&lt;=0,"Payé",IF($M1703="Oui","Litige",IF($O1703=0,"À échoir",IF($O1703&lt;=30,"0-30",IF($O1703&lt;=60,"31-60",IF($O1703&lt;=90,"61-90","90+")))))))</f>
        <v/>
      </c>
    </row>
    <row r="1704">
      <c r="A1704" s="6" t="n"/>
      <c r="B1704" s="6" t="n"/>
      <c r="C1704" s="6" t="n"/>
      <c r="D1704" s="6" t="n"/>
      <c r="E1704" s="6" t="n"/>
      <c r="F1704" s="7" t="n"/>
      <c r="G1704" s="7" t="n"/>
      <c r="H1704" s="8" t="n"/>
      <c r="I1704" s="9">
        <f>IF($A1704="","",SUMIFS(Ventes_Encaissements!$D$6:$D$3005,Ventes_Encaissements!$B$6:$B$3005,$A1704))</f>
        <v/>
      </c>
      <c r="J1704" s="9">
        <f>IF($A1704="","",$H1704-$I1704)</f>
        <v/>
      </c>
      <c r="K1704" s="10">
        <f>IF($A1704="","",IF($I1704=0,"",_xludf.AGGREGATE(14,6,Ventes_Encaissements!$C$6:$C$3005/(Ventes_Encaissements!$B$6:$B$3005=$A1704),1)))</f>
        <v/>
      </c>
      <c r="L1704" s="11">
        <f>IF($A1704="","",COUNTIFS(Ventes_Detail!$B$6:$B$3005,$A1704))</f>
        <v/>
      </c>
      <c r="M1704" s="12" t="n"/>
      <c r="N1704" s="12">
        <f>IF($A1704="","",IF($G1704="","",IF($M1704="Oui","Litige",IF($J1704&lt;=0,"Payé",IF($I1704&gt;0,"Partiel",IF(Listes!$B$3&gt;$G1704,"En retard","À échoir"))))))</f>
        <v/>
      </c>
      <c r="O1704" s="11">
        <f>IF($A1704="","",IF(OR($G1704="", $J1704&lt;=0),0,MAX(0,Listes!$B$3-$G1704)))</f>
        <v/>
      </c>
      <c r="P1704" s="12">
        <f>IF($A1704="","",IF($J1704&lt;=0,"Payé",IF($M1704="Oui","Litige",IF($O1704=0,"À échoir",IF($O1704&lt;=30,"0-30",IF($O1704&lt;=60,"31-60",IF($O1704&lt;=90,"61-90","90+")))))))</f>
        <v/>
      </c>
    </row>
    <row r="1705">
      <c r="A1705" s="6" t="n"/>
      <c r="B1705" s="6" t="n"/>
      <c r="C1705" s="6" t="n"/>
      <c r="D1705" s="6" t="n"/>
      <c r="E1705" s="6" t="n"/>
      <c r="F1705" s="7" t="n"/>
      <c r="G1705" s="7" t="n"/>
      <c r="H1705" s="8" t="n"/>
      <c r="I1705" s="9">
        <f>IF($A1705="","",SUMIFS(Ventes_Encaissements!$D$6:$D$3005,Ventes_Encaissements!$B$6:$B$3005,$A1705))</f>
        <v/>
      </c>
      <c r="J1705" s="9">
        <f>IF($A1705="","",$H1705-$I1705)</f>
        <v/>
      </c>
      <c r="K1705" s="10">
        <f>IF($A1705="","",IF($I1705=0,"",_xludf.AGGREGATE(14,6,Ventes_Encaissements!$C$6:$C$3005/(Ventes_Encaissements!$B$6:$B$3005=$A1705),1)))</f>
        <v/>
      </c>
      <c r="L1705" s="11">
        <f>IF($A1705="","",COUNTIFS(Ventes_Detail!$B$6:$B$3005,$A1705))</f>
        <v/>
      </c>
      <c r="M1705" s="12" t="n"/>
      <c r="N1705" s="12">
        <f>IF($A1705="","",IF($G1705="","",IF($M1705="Oui","Litige",IF($J1705&lt;=0,"Payé",IF($I1705&gt;0,"Partiel",IF(Listes!$B$3&gt;$G1705,"En retard","À échoir"))))))</f>
        <v/>
      </c>
      <c r="O1705" s="11">
        <f>IF($A1705="","",IF(OR($G1705="", $J1705&lt;=0),0,MAX(0,Listes!$B$3-$G1705)))</f>
        <v/>
      </c>
      <c r="P1705" s="12">
        <f>IF($A1705="","",IF($J1705&lt;=0,"Payé",IF($M1705="Oui","Litige",IF($O1705=0,"À échoir",IF($O1705&lt;=30,"0-30",IF($O1705&lt;=60,"31-60",IF($O1705&lt;=90,"61-90","90+")))))))</f>
        <v/>
      </c>
    </row>
    <row r="1706">
      <c r="A1706" s="6" t="n"/>
      <c r="B1706" s="6" t="n"/>
      <c r="C1706" s="6" t="n"/>
      <c r="D1706" s="6" t="n"/>
      <c r="E1706" s="6" t="n"/>
      <c r="F1706" s="7" t="n"/>
      <c r="G1706" s="7" t="n"/>
      <c r="H1706" s="8" t="n"/>
      <c r="I1706" s="9">
        <f>IF($A1706="","",SUMIFS(Ventes_Encaissements!$D$6:$D$3005,Ventes_Encaissements!$B$6:$B$3005,$A1706))</f>
        <v/>
      </c>
      <c r="J1706" s="9">
        <f>IF($A1706="","",$H1706-$I1706)</f>
        <v/>
      </c>
      <c r="K1706" s="10">
        <f>IF($A1706="","",IF($I1706=0,"",_xludf.AGGREGATE(14,6,Ventes_Encaissements!$C$6:$C$3005/(Ventes_Encaissements!$B$6:$B$3005=$A1706),1)))</f>
        <v/>
      </c>
      <c r="L1706" s="11">
        <f>IF($A1706="","",COUNTIFS(Ventes_Detail!$B$6:$B$3005,$A1706))</f>
        <v/>
      </c>
      <c r="M1706" s="12" t="n"/>
      <c r="N1706" s="12">
        <f>IF($A1706="","",IF($G1706="","",IF($M1706="Oui","Litige",IF($J1706&lt;=0,"Payé",IF($I1706&gt;0,"Partiel",IF(Listes!$B$3&gt;$G1706,"En retard","À échoir"))))))</f>
        <v/>
      </c>
      <c r="O1706" s="11">
        <f>IF($A1706="","",IF(OR($G1706="", $J1706&lt;=0),0,MAX(0,Listes!$B$3-$G1706)))</f>
        <v/>
      </c>
      <c r="P1706" s="12">
        <f>IF($A1706="","",IF($J1706&lt;=0,"Payé",IF($M1706="Oui","Litige",IF($O1706=0,"À échoir",IF($O1706&lt;=30,"0-30",IF($O1706&lt;=60,"31-60",IF($O1706&lt;=90,"61-90","90+")))))))</f>
        <v/>
      </c>
    </row>
    <row r="1707">
      <c r="A1707" s="6" t="n"/>
      <c r="B1707" s="6" t="n"/>
      <c r="C1707" s="6" t="n"/>
      <c r="D1707" s="6" t="n"/>
      <c r="E1707" s="6" t="n"/>
      <c r="F1707" s="7" t="n"/>
      <c r="G1707" s="7" t="n"/>
      <c r="H1707" s="8" t="n"/>
      <c r="I1707" s="9">
        <f>IF($A1707="","",SUMIFS(Ventes_Encaissements!$D$6:$D$3005,Ventes_Encaissements!$B$6:$B$3005,$A1707))</f>
        <v/>
      </c>
      <c r="J1707" s="9">
        <f>IF($A1707="","",$H1707-$I1707)</f>
        <v/>
      </c>
      <c r="K1707" s="10">
        <f>IF($A1707="","",IF($I1707=0,"",_xludf.AGGREGATE(14,6,Ventes_Encaissements!$C$6:$C$3005/(Ventes_Encaissements!$B$6:$B$3005=$A1707),1)))</f>
        <v/>
      </c>
      <c r="L1707" s="11">
        <f>IF($A1707="","",COUNTIFS(Ventes_Detail!$B$6:$B$3005,$A1707))</f>
        <v/>
      </c>
      <c r="M1707" s="12" t="n"/>
      <c r="N1707" s="12">
        <f>IF($A1707="","",IF($G1707="","",IF($M1707="Oui","Litige",IF($J1707&lt;=0,"Payé",IF($I1707&gt;0,"Partiel",IF(Listes!$B$3&gt;$G1707,"En retard","À échoir"))))))</f>
        <v/>
      </c>
      <c r="O1707" s="11">
        <f>IF($A1707="","",IF(OR($G1707="", $J1707&lt;=0),0,MAX(0,Listes!$B$3-$G1707)))</f>
        <v/>
      </c>
      <c r="P1707" s="12">
        <f>IF($A1707="","",IF($J1707&lt;=0,"Payé",IF($M1707="Oui","Litige",IF($O1707=0,"À échoir",IF($O1707&lt;=30,"0-30",IF($O1707&lt;=60,"31-60",IF($O1707&lt;=90,"61-90","90+")))))))</f>
        <v/>
      </c>
    </row>
    <row r="1708">
      <c r="A1708" s="6" t="n"/>
      <c r="B1708" s="6" t="n"/>
      <c r="C1708" s="6" t="n"/>
      <c r="D1708" s="6" t="n"/>
      <c r="E1708" s="6" t="n"/>
      <c r="F1708" s="7" t="n"/>
      <c r="G1708" s="7" t="n"/>
      <c r="H1708" s="8" t="n"/>
      <c r="I1708" s="9">
        <f>IF($A1708="","",SUMIFS(Ventes_Encaissements!$D$6:$D$3005,Ventes_Encaissements!$B$6:$B$3005,$A1708))</f>
        <v/>
      </c>
      <c r="J1708" s="9">
        <f>IF($A1708="","",$H1708-$I1708)</f>
        <v/>
      </c>
      <c r="K1708" s="10">
        <f>IF($A1708="","",IF($I1708=0,"",_xludf.AGGREGATE(14,6,Ventes_Encaissements!$C$6:$C$3005/(Ventes_Encaissements!$B$6:$B$3005=$A1708),1)))</f>
        <v/>
      </c>
      <c r="L1708" s="11">
        <f>IF($A1708="","",COUNTIFS(Ventes_Detail!$B$6:$B$3005,$A1708))</f>
        <v/>
      </c>
      <c r="M1708" s="12" t="n"/>
      <c r="N1708" s="12">
        <f>IF($A1708="","",IF($G1708="","",IF($M1708="Oui","Litige",IF($J1708&lt;=0,"Payé",IF($I1708&gt;0,"Partiel",IF(Listes!$B$3&gt;$G1708,"En retard","À échoir"))))))</f>
        <v/>
      </c>
      <c r="O1708" s="11">
        <f>IF($A1708="","",IF(OR($G1708="", $J1708&lt;=0),0,MAX(0,Listes!$B$3-$G1708)))</f>
        <v/>
      </c>
      <c r="P1708" s="12">
        <f>IF($A1708="","",IF($J1708&lt;=0,"Payé",IF($M1708="Oui","Litige",IF($O1708=0,"À échoir",IF($O1708&lt;=30,"0-30",IF($O1708&lt;=60,"31-60",IF($O1708&lt;=90,"61-90","90+")))))))</f>
        <v/>
      </c>
    </row>
    <row r="1709">
      <c r="A1709" s="6" t="n"/>
      <c r="B1709" s="6" t="n"/>
      <c r="C1709" s="6" t="n"/>
      <c r="D1709" s="6" t="n"/>
      <c r="E1709" s="6" t="n"/>
      <c r="F1709" s="7" t="n"/>
      <c r="G1709" s="7" t="n"/>
      <c r="H1709" s="8" t="n"/>
      <c r="I1709" s="9">
        <f>IF($A1709="","",SUMIFS(Ventes_Encaissements!$D$6:$D$3005,Ventes_Encaissements!$B$6:$B$3005,$A1709))</f>
        <v/>
      </c>
      <c r="J1709" s="9">
        <f>IF($A1709="","",$H1709-$I1709)</f>
        <v/>
      </c>
      <c r="K1709" s="10">
        <f>IF($A1709="","",IF($I1709=0,"",_xludf.AGGREGATE(14,6,Ventes_Encaissements!$C$6:$C$3005/(Ventes_Encaissements!$B$6:$B$3005=$A1709),1)))</f>
        <v/>
      </c>
      <c r="L1709" s="11">
        <f>IF($A1709="","",COUNTIFS(Ventes_Detail!$B$6:$B$3005,$A1709))</f>
        <v/>
      </c>
      <c r="M1709" s="12" t="n"/>
      <c r="N1709" s="12">
        <f>IF($A1709="","",IF($G1709="","",IF($M1709="Oui","Litige",IF($J1709&lt;=0,"Payé",IF($I1709&gt;0,"Partiel",IF(Listes!$B$3&gt;$G1709,"En retard","À échoir"))))))</f>
        <v/>
      </c>
      <c r="O1709" s="11">
        <f>IF($A1709="","",IF(OR($G1709="", $J1709&lt;=0),0,MAX(0,Listes!$B$3-$G1709)))</f>
        <v/>
      </c>
      <c r="P1709" s="12">
        <f>IF($A1709="","",IF($J1709&lt;=0,"Payé",IF($M1709="Oui","Litige",IF($O1709=0,"À échoir",IF($O1709&lt;=30,"0-30",IF($O1709&lt;=60,"31-60",IF($O1709&lt;=90,"61-90","90+")))))))</f>
        <v/>
      </c>
    </row>
    <row r="1710">
      <c r="A1710" s="6" t="n"/>
      <c r="B1710" s="6" t="n"/>
      <c r="C1710" s="6" t="n"/>
      <c r="D1710" s="6" t="n"/>
      <c r="E1710" s="6" t="n"/>
      <c r="F1710" s="7" t="n"/>
      <c r="G1710" s="7" t="n"/>
      <c r="H1710" s="8" t="n"/>
      <c r="I1710" s="9">
        <f>IF($A1710="","",SUMIFS(Ventes_Encaissements!$D$6:$D$3005,Ventes_Encaissements!$B$6:$B$3005,$A1710))</f>
        <v/>
      </c>
      <c r="J1710" s="9">
        <f>IF($A1710="","",$H1710-$I1710)</f>
        <v/>
      </c>
      <c r="K1710" s="10">
        <f>IF($A1710="","",IF($I1710=0,"",_xludf.AGGREGATE(14,6,Ventes_Encaissements!$C$6:$C$3005/(Ventes_Encaissements!$B$6:$B$3005=$A1710),1)))</f>
        <v/>
      </c>
      <c r="L1710" s="11">
        <f>IF($A1710="","",COUNTIFS(Ventes_Detail!$B$6:$B$3005,$A1710))</f>
        <v/>
      </c>
      <c r="M1710" s="12" t="n"/>
      <c r="N1710" s="12">
        <f>IF($A1710="","",IF($G1710="","",IF($M1710="Oui","Litige",IF($J1710&lt;=0,"Payé",IF($I1710&gt;0,"Partiel",IF(Listes!$B$3&gt;$G1710,"En retard","À échoir"))))))</f>
        <v/>
      </c>
      <c r="O1710" s="11">
        <f>IF($A1710="","",IF(OR($G1710="", $J1710&lt;=0),0,MAX(0,Listes!$B$3-$G1710)))</f>
        <v/>
      </c>
      <c r="P1710" s="12">
        <f>IF($A1710="","",IF($J1710&lt;=0,"Payé",IF($M1710="Oui","Litige",IF($O1710=0,"À échoir",IF($O1710&lt;=30,"0-30",IF($O1710&lt;=60,"31-60",IF($O1710&lt;=90,"61-90","90+")))))))</f>
        <v/>
      </c>
    </row>
    <row r="1711">
      <c r="A1711" s="6" t="n"/>
      <c r="B1711" s="6" t="n"/>
      <c r="C1711" s="6" t="n"/>
      <c r="D1711" s="6" t="n"/>
      <c r="E1711" s="6" t="n"/>
      <c r="F1711" s="7" t="n"/>
      <c r="G1711" s="7" t="n"/>
      <c r="H1711" s="8" t="n"/>
      <c r="I1711" s="9">
        <f>IF($A1711="","",SUMIFS(Ventes_Encaissements!$D$6:$D$3005,Ventes_Encaissements!$B$6:$B$3005,$A1711))</f>
        <v/>
      </c>
      <c r="J1711" s="9">
        <f>IF($A1711="","",$H1711-$I1711)</f>
        <v/>
      </c>
      <c r="K1711" s="10">
        <f>IF($A1711="","",IF($I1711=0,"",_xludf.AGGREGATE(14,6,Ventes_Encaissements!$C$6:$C$3005/(Ventes_Encaissements!$B$6:$B$3005=$A1711),1)))</f>
        <v/>
      </c>
      <c r="L1711" s="11">
        <f>IF($A1711="","",COUNTIFS(Ventes_Detail!$B$6:$B$3005,$A1711))</f>
        <v/>
      </c>
      <c r="M1711" s="12" t="n"/>
      <c r="N1711" s="12">
        <f>IF($A1711="","",IF($G1711="","",IF($M1711="Oui","Litige",IF($J1711&lt;=0,"Payé",IF($I1711&gt;0,"Partiel",IF(Listes!$B$3&gt;$G1711,"En retard","À échoir"))))))</f>
        <v/>
      </c>
      <c r="O1711" s="11">
        <f>IF($A1711="","",IF(OR($G1711="", $J1711&lt;=0),0,MAX(0,Listes!$B$3-$G1711)))</f>
        <v/>
      </c>
      <c r="P1711" s="12">
        <f>IF($A1711="","",IF($J1711&lt;=0,"Payé",IF($M1711="Oui","Litige",IF($O1711=0,"À échoir",IF($O1711&lt;=30,"0-30",IF($O1711&lt;=60,"31-60",IF($O1711&lt;=90,"61-90","90+")))))))</f>
        <v/>
      </c>
    </row>
    <row r="1712">
      <c r="A1712" s="6" t="n"/>
      <c r="B1712" s="6" t="n"/>
      <c r="C1712" s="6" t="n"/>
      <c r="D1712" s="6" t="n"/>
      <c r="E1712" s="6" t="n"/>
      <c r="F1712" s="7" t="n"/>
      <c r="G1712" s="7" t="n"/>
      <c r="H1712" s="8" t="n"/>
      <c r="I1712" s="9">
        <f>IF($A1712="","",SUMIFS(Ventes_Encaissements!$D$6:$D$3005,Ventes_Encaissements!$B$6:$B$3005,$A1712))</f>
        <v/>
      </c>
      <c r="J1712" s="9">
        <f>IF($A1712="","",$H1712-$I1712)</f>
        <v/>
      </c>
      <c r="K1712" s="10">
        <f>IF($A1712="","",IF($I1712=0,"",_xludf.AGGREGATE(14,6,Ventes_Encaissements!$C$6:$C$3005/(Ventes_Encaissements!$B$6:$B$3005=$A1712),1)))</f>
        <v/>
      </c>
      <c r="L1712" s="11">
        <f>IF($A1712="","",COUNTIFS(Ventes_Detail!$B$6:$B$3005,$A1712))</f>
        <v/>
      </c>
      <c r="M1712" s="12" t="n"/>
      <c r="N1712" s="12">
        <f>IF($A1712="","",IF($G1712="","",IF($M1712="Oui","Litige",IF($J1712&lt;=0,"Payé",IF($I1712&gt;0,"Partiel",IF(Listes!$B$3&gt;$G1712,"En retard","À échoir"))))))</f>
        <v/>
      </c>
      <c r="O1712" s="11">
        <f>IF($A1712="","",IF(OR($G1712="", $J1712&lt;=0),0,MAX(0,Listes!$B$3-$G1712)))</f>
        <v/>
      </c>
      <c r="P1712" s="12">
        <f>IF($A1712="","",IF($J1712&lt;=0,"Payé",IF($M1712="Oui","Litige",IF($O1712=0,"À échoir",IF($O1712&lt;=30,"0-30",IF($O1712&lt;=60,"31-60",IF($O1712&lt;=90,"61-90","90+")))))))</f>
        <v/>
      </c>
    </row>
    <row r="1713">
      <c r="A1713" s="6" t="n"/>
      <c r="B1713" s="6" t="n"/>
      <c r="C1713" s="6" t="n"/>
      <c r="D1713" s="6" t="n"/>
      <c r="E1713" s="6" t="n"/>
      <c r="F1713" s="7" t="n"/>
      <c r="G1713" s="7" t="n"/>
      <c r="H1713" s="8" t="n"/>
      <c r="I1713" s="9">
        <f>IF($A1713="","",SUMIFS(Ventes_Encaissements!$D$6:$D$3005,Ventes_Encaissements!$B$6:$B$3005,$A1713))</f>
        <v/>
      </c>
      <c r="J1713" s="9">
        <f>IF($A1713="","",$H1713-$I1713)</f>
        <v/>
      </c>
      <c r="K1713" s="10">
        <f>IF($A1713="","",IF($I1713=0,"",_xludf.AGGREGATE(14,6,Ventes_Encaissements!$C$6:$C$3005/(Ventes_Encaissements!$B$6:$B$3005=$A1713),1)))</f>
        <v/>
      </c>
      <c r="L1713" s="11">
        <f>IF($A1713="","",COUNTIFS(Ventes_Detail!$B$6:$B$3005,$A1713))</f>
        <v/>
      </c>
      <c r="M1713" s="12" t="n"/>
      <c r="N1713" s="12">
        <f>IF($A1713="","",IF($G1713="","",IF($M1713="Oui","Litige",IF($J1713&lt;=0,"Payé",IF($I1713&gt;0,"Partiel",IF(Listes!$B$3&gt;$G1713,"En retard","À échoir"))))))</f>
        <v/>
      </c>
      <c r="O1713" s="11">
        <f>IF($A1713="","",IF(OR($G1713="", $J1713&lt;=0),0,MAX(0,Listes!$B$3-$G1713)))</f>
        <v/>
      </c>
      <c r="P1713" s="12">
        <f>IF($A1713="","",IF($J1713&lt;=0,"Payé",IF($M1713="Oui","Litige",IF($O1713=0,"À échoir",IF($O1713&lt;=30,"0-30",IF($O1713&lt;=60,"31-60",IF($O1713&lt;=90,"61-90","90+")))))))</f>
        <v/>
      </c>
    </row>
    <row r="1714">
      <c r="A1714" s="6" t="n"/>
      <c r="B1714" s="6" t="n"/>
      <c r="C1714" s="6" t="n"/>
      <c r="D1714" s="6" t="n"/>
      <c r="E1714" s="6" t="n"/>
      <c r="F1714" s="7" t="n"/>
      <c r="G1714" s="7" t="n"/>
      <c r="H1714" s="8" t="n"/>
      <c r="I1714" s="9">
        <f>IF($A1714="","",SUMIFS(Ventes_Encaissements!$D$6:$D$3005,Ventes_Encaissements!$B$6:$B$3005,$A1714))</f>
        <v/>
      </c>
      <c r="J1714" s="9">
        <f>IF($A1714="","",$H1714-$I1714)</f>
        <v/>
      </c>
      <c r="K1714" s="10">
        <f>IF($A1714="","",IF($I1714=0,"",_xludf.AGGREGATE(14,6,Ventes_Encaissements!$C$6:$C$3005/(Ventes_Encaissements!$B$6:$B$3005=$A1714),1)))</f>
        <v/>
      </c>
      <c r="L1714" s="11">
        <f>IF($A1714="","",COUNTIFS(Ventes_Detail!$B$6:$B$3005,$A1714))</f>
        <v/>
      </c>
      <c r="M1714" s="12" t="n"/>
      <c r="N1714" s="12">
        <f>IF($A1714="","",IF($G1714="","",IF($M1714="Oui","Litige",IF($J1714&lt;=0,"Payé",IF($I1714&gt;0,"Partiel",IF(Listes!$B$3&gt;$G1714,"En retard","À échoir"))))))</f>
        <v/>
      </c>
      <c r="O1714" s="11">
        <f>IF($A1714="","",IF(OR($G1714="", $J1714&lt;=0),0,MAX(0,Listes!$B$3-$G1714)))</f>
        <v/>
      </c>
      <c r="P1714" s="12">
        <f>IF($A1714="","",IF($J1714&lt;=0,"Payé",IF($M1714="Oui","Litige",IF($O1714=0,"À échoir",IF($O1714&lt;=30,"0-30",IF($O1714&lt;=60,"31-60",IF($O1714&lt;=90,"61-90","90+")))))))</f>
        <v/>
      </c>
    </row>
    <row r="1715">
      <c r="A1715" s="6" t="n"/>
      <c r="B1715" s="6" t="n"/>
      <c r="C1715" s="6" t="n"/>
      <c r="D1715" s="6" t="n"/>
      <c r="E1715" s="6" t="n"/>
      <c r="F1715" s="7" t="n"/>
      <c r="G1715" s="7" t="n"/>
      <c r="H1715" s="8" t="n"/>
      <c r="I1715" s="9">
        <f>IF($A1715="","",SUMIFS(Ventes_Encaissements!$D$6:$D$3005,Ventes_Encaissements!$B$6:$B$3005,$A1715))</f>
        <v/>
      </c>
      <c r="J1715" s="9">
        <f>IF($A1715="","",$H1715-$I1715)</f>
        <v/>
      </c>
      <c r="K1715" s="10">
        <f>IF($A1715="","",IF($I1715=0,"",_xludf.AGGREGATE(14,6,Ventes_Encaissements!$C$6:$C$3005/(Ventes_Encaissements!$B$6:$B$3005=$A1715),1)))</f>
        <v/>
      </c>
      <c r="L1715" s="11">
        <f>IF($A1715="","",COUNTIFS(Ventes_Detail!$B$6:$B$3005,$A1715))</f>
        <v/>
      </c>
      <c r="M1715" s="12" t="n"/>
      <c r="N1715" s="12">
        <f>IF($A1715="","",IF($G1715="","",IF($M1715="Oui","Litige",IF($J1715&lt;=0,"Payé",IF($I1715&gt;0,"Partiel",IF(Listes!$B$3&gt;$G1715,"En retard","À échoir"))))))</f>
        <v/>
      </c>
      <c r="O1715" s="11">
        <f>IF($A1715="","",IF(OR($G1715="", $J1715&lt;=0),0,MAX(0,Listes!$B$3-$G1715)))</f>
        <v/>
      </c>
      <c r="P1715" s="12">
        <f>IF($A1715="","",IF($J1715&lt;=0,"Payé",IF($M1715="Oui","Litige",IF($O1715=0,"À échoir",IF($O1715&lt;=30,"0-30",IF($O1715&lt;=60,"31-60",IF($O1715&lt;=90,"61-90","90+")))))))</f>
        <v/>
      </c>
    </row>
    <row r="1716">
      <c r="A1716" s="6" t="n"/>
      <c r="B1716" s="6" t="n"/>
      <c r="C1716" s="6" t="n"/>
      <c r="D1716" s="6" t="n"/>
      <c r="E1716" s="6" t="n"/>
      <c r="F1716" s="7" t="n"/>
      <c r="G1716" s="7" t="n"/>
      <c r="H1716" s="8" t="n"/>
      <c r="I1716" s="9">
        <f>IF($A1716="","",SUMIFS(Ventes_Encaissements!$D$6:$D$3005,Ventes_Encaissements!$B$6:$B$3005,$A1716))</f>
        <v/>
      </c>
      <c r="J1716" s="9">
        <f>IF($A1716="","",$H1716-$I1716)</f>
        <v/>
      </c>
      <c r="K1716" s="10">
        <f>IF($A1716="","",IF($I1716=0,"",_xludf.AGGREGATE(14,6,Ventes_Encaissements!$C$6:$C$3005/(Ventes_Encaissements!$B$6:$B$3005=$A1716),1)))</f>
        <v/>
      </c>
      <c r="L1716" s="11">
        <f>IF($A1716="","",COUNTIFS(Ventes_Detail!$B$6:$B$3005,$A1716))</f>
        <v/>
      </c>
      <c r="M1716" s="12" t="n"/>
      <c r="N1716" s="12">
        <f>IF($A1716="","",IF($G1716="","",IF($M1716="Oui","Litige",IF($J1716&lt;=0,"Payé",IF($I1716&gt;0,"Partiel",IF(Listes!$B$3&gt;$G1716,"En retard","À échoir"))))))</f>
        <v/>
      </c>
      <c r="O1716" s="11">
        <f>IF($A1716="","",IF(OR($G1716="", $J1716&lt;=0),0,MAX(0,Listes!$B$3-$G1716)))</f>
        <v/>
      </c>
      <c r="P1716" s="12">
        <f>IF($A1716="","",IF($J1716&lt;=0,"Payé",IF($M1716="Oui","Litige",IF($O1716=0,"À échoir",IF($O1716&lt;=30,"0-30",IF($O1716&lt;=60,"31-60",IF($O1716&lt;=90,"61-90","90+")))))))</f>
        <v/>
      </c>
    </row>
    <row r="1717">
      <c r="A1717" s="6" t="n"/>
      <c r="B1717" s="6" t="n"/>
      <c r="C1717" s="6" t="n"/>
      <c r="D1717" s="6" t="n"/>
      <c r="E1717" s="6" t="n"/>
      <c r="F1717" s="7" t="n"/>
      <c r="G1717" s="7" t="n"/>
      <c r="H1717" s="8" t="n"/>
      <c r="I1717" s="9">
        <f>IF($A1717="","",SUMIFS(Ventes_Encaissements!$D$6:$D$3005,Ventes_Encaissements!$B$6:$B$3005,$A1717))</f>
        <v/>
      </c>
      <c r="J1717" s="9">
        <f>IF($A1717="","",$H1717-$I1717)</f>
        <v/>
      </c>
      <c r="K1717" s="10">
        <f>IF($A1717="","",IF($I1717=0,"",_xludf.AGGREGATE(14,6,Ventes_Encaissements!$C$6:$C$3005/(Ventes_Encaissements!$B$6:$B$3005=$A1717),1)))</f>
        <v/>
      </c>
      <c r="L1717" s="11">
        <f>IF($A1717="","",COUNTIFS(Ventes_Detail!$B$6:$B$3005,$A1717))</f>
        <v/>
      </c>
      <c r="M1717" s="12" t="n"/>
      <c r="N1717" s="12">
        <f>IF($A1717="","",IF($G1717="","",IF($M1717="Oui","Litige",IF($J1717&lt;=0,"Payé",IF($I1717&gt;0,"Partiel",IF(Listes!$B$3&gt;$G1717,"En retard","À échoir"))))))</f>
        <v/>
      </c>
      <c r="O1717" s="11">
        <f>IF($A1717="","",IF(OR($G1717="", $J1717&lt;=0),0,MAX(0,Listes!$B$3-$G1717)))</f>
        <v/>
      </c>
      <c r="P1717" s="12">
        <f>IF($A1717="","",IF($J1717&lt;=0,"Payé",IF($M1717="Oui","Litige",IF($O1717=0,"À échoir",IF($O1717&lt;=30,"0-30",IF($O1717&lt;=60,"31-60",IF($O1717&lt;=90,"61-90","90+")))))))</f>
        <v/>
      </c>
    </row>
    <row r="1718">
      <c r="A1718" s="6" t="n"/>
      <c r="B1718" s="6" t="n"/>
      <c r="C1718" s="6" t="n"/>
      <c r="D1718" s="6" t="n"/>
      <c r="E1718" s="6" t="n"/>
      <c r="F1718" s="7" t="n"/>
      <c r="G1718" s="7" t="n"/>
      <c r="H1718" s="8" t="n"/>
      <c r="I1718" s="9">
        <f>IF($A1718="","",SUMIFS(Ventes_Encaissements!$D$6:$D$3005,Ventes_Encaissements!$B$6:$B$3005,$A1718))</f>
        <v/>
      </c>
      <c r="J1718" s="9">
        <f>IF($A1718="","",$H1718-$I1718)</f>
        <v/>
      </c>
      <c r="K1718" s="10">
        <f>IF($A1718="","",IF($I1718=0,"",_xludf.AGGREGATE(14,6,Ventes_Encaissements!$C$6:$C$3005/(Ventes_Encaissements!$B$6:$B$3005=$A1718),1)))</f>
        <v/>
      </c>
      <c r="L1718" s="11">
        <f>IF($A1718="","",COUNTIFS(Ventes_Detail!$B$6:$B$3005,$A1718))</f>
        <v/>
      </c>
      <c r="M1718" s="12" t="n"/>
      <c r="N1718" s="12">
        <f>IF($A1718="","",IF($G1718="","",IF($M1718="Oui","Litige",IF($J1718&lt;=0,"Payé",IF($I1718&gt;0,"Partiel",IF(Listes!$B$3&gt;$G1718,"En retard","À échoir"))))))</f>
        <v/>
      </c>
      <c r="O1718" s="11">
        <f>IF($A1718="","",IF(OR($G1718="", $J1718&lt;=0),0,MAX(0,Listes!$B$3-$G1718)))</f>
        <v/>
      </c>
      <c r="P1718" s="12">
        <f>IF($A1718="","",IF($J1718&lt;=0,"Payé",IF($M1718="Oui","Litige",IF($O1718=0,"À échoir",IF($O1718&lt;=30,"0-30",IF($O1718&lt;=60,"31-60",IF($O1718&lt;=90,"61-90","90+")))))))</f>
        <v/>
      </c>
    </row>
    <row r="1719">
      <c r="A1719" s="6" t="n"/>
      <c r="B1719" s="6" t="n"/>
      <c r="C1719" s="6" t="n"/>
      <c r="D1719" s="6" t="n"/>
      <c r="E1719" s="6" t="n"/>
      <c r="F1719" s="7" t="n"/>
      <c r="G1719" s="7" t="n"/>
      <c r="H1719" s="8" t="n"/>
      <c r="I1719" s="9">
        <f>IF($A1719="","",SUMIFS(Ventes_Encaissements!$D$6:$D$3005,Ventes_Encaissements!$B$6:$B$3005,$A1719))</f>
        <v/>
      </c>
      <c r="J1719" s="9">
        <f>IF($A1719="","",$H1719-$I1719)</f>
        <v/>
      </c>
      <c r="K1719" s="10">
        <f>IF($A1719="","",IF($I1719=0,"",_xludf.AGGREGATE(14,6,Ventes_Encaissements!$C$6:$C$3005/(Ventes_Encaissements!$B$6:$B$3005=$A1719),1)))</f>
        <v/>
      </c>
      <c r="L1719" s="11">
        <f>IF($A1719="","",COUNTIFS(Ventes_Detail!$B$6:$B$3005,$A1719))</f>
        <v/>
      </c>
      <c r="M1719" s="12" t="n"/>
      <c r="N1719" s="12">
        <f>IF($A1719="","",IF($G1719="","",IF($M1719="Oui","Litige",IF($J1719&lt;=0,"Payé",IF($I1719&gt;0,"Partiel",IF(Listes!$B$3&gt;$G1719,"En retard","À échoir"))))))</f>
        <v/>
      </c>
      <c r="O1719" s="11">
        <f>IF($A1719="","",IF(OR($G1719="", $J1719&lt;=0),0,MAX(0,Listes!$B$3-$G1719)))</f>
        <v/>
      </c>
      <c r="P1719" s="12">
        <f>IF($A1719="","",IF($J1719&lt;=0,"Payé",IF($M1719="Oui","Litige",IF($O1719=0,"À échoir",IF($O1719&lt;=30,"0-30",IF($O1719&lt;=60,"31-60",IF($O1719&lt;=90,"61-90","90+")))))))</f>
        <v/>
      </c>
    </row>
    <row r="1720">
      <c r="A1720" s="6" t="n"/>
      <c r="B1720" s="6" t="n"/>
      <c r="C1720" s="6" t="n"/>
      <c r="D1720" s="6" t="n"/>
      <c r="E1720" s="6" t="n"/>
      <c r="F1720" s="7" t="n"/>
      <c r="G1720" s="7" t="n"/>
      <c r="H1720" s="8" t="n"/>
      <c r="I1720" s="9">
        <f>IF($A1720="","",SUMIFS(Ventes_Encaissements!$D$6:$D$3005,Ventes_Encaissements!$B$6:$B$3005,$A1720))</f>
        <v/>
      </c>
      <c r="J1720" s="9">
        <f>IF($A1720="","",$H1720-$I1720)</f>
        <v/>
      </c>
      <c r="K1720" s="10">
        <f>IF($A1720="","",IF($I1720=0,"",_xludf.AGGREGATE(14,6,Ventes_Encaissements!$C$6:$C$3005/(Ventes_Encaissements!$B$6:$B$3005=$A1720),1)))</f>
        <v/>
      </c>
      <c r="L1720" s="11">
        <f>IF($A1720="","",COUNTIFS(Ventes_Detail!$B$6:$B$3005,$A1720))</f>
        <v/>
      </c>
      <c r="M1720" s="12" t="n"/>
      <c r="N1720" s="12">
        <f>IF($A1720="","",IF($G1720="","",IF($M1720="Oui","Litige",IF($J1720&lt;=0,"Payé",IF($I1720&gt;0,"Partiel",IF(Listes!$B$3&gt;$G1720,"En retard","À échoir"))))))</f>
        <v/>
      </c>
      <c r="O1720" s="11">
        <f>IF($A1720="","",IF(OR($G1720="", $J1720&lt;=0),0,MAX(0,Listes!$B$3-$G1720)))</f>
        <v/>
      </c>
      <c r="P1720" s="12">
        <f>IF($A1720="","",IF($J1720&lt;=0,"Payé",IF($M1720="Oui","Litige",IF($O1720=0,"À échoir",IF($O1720&lt;=30,"0-30",IF($O1720&lt;=60,"31-60",IF($O1720&lt;=90,"61-90","90+")))))))</f>
        <v/>
      </c>
    </row>
    <row r="1721">
      <c r="A1721" s="6" t="n"/>
      <c r="B1721" s="6" t="n"/>
      <c r="C1721" s="6" t="n"/>
      <c r="D1721" s="6" t="n"/>
      <c r="E1721" s="6" t="n"/>
      <c r="F1721" s="7" t="n"/>
      <c r="G1721" s="7" t="n"/>
      <c r="H1721" s="8" t="n"/>
      <c r="I1721" s="9">
        <f>IF($A1721="","",SUMIFS(Ventes_Encaissements!$D$6:$D$3005,Ventes_Encaissements!$B$6:$B$3005,$A1721))</f>
        <v/>
      </c>
      <c r="J1721" s="9">
        <f>IF($A1721="","",$H1721-$I1721)</f>
        <v/>
      </c>
      <c r="K1721" s="10">
        <f>IF($A1721="","",IF($I1721=0,"",_xludf.AGGREGATE(14,6,Ventes_Encaissements!$C$6:$C$3005/(Ventes_Encaissements!$B$6:$B$3005=$A1721),1)))</f>
        <v/>
      </c>
      <c r="L1721" s="11">
        <f>IF($A1721="","",COUNTIFS(Ventes_Detail!$B$6:$B$3005,$A1721))</f>
        <v/>
      </c>
      <c r="M1721" s="12" t="n"/>
      <c r="N1721" s="12">
        <f>IF($A1721="","",IF($G1721="","",IF($M1721="Oui","Litige",IF($J1721&lt;=0,"Payé",IF($I1721&gt;0,"Partiel",IF(Listes!$B$3&gt;$G1721,"En retard","À échoir"))))))</f>
        <v/>
      </c>
      <c r="O1721" s="11">
        <f>IF($A1721="","",IF(OR($G1721="", $J1721&lt;=0),0,MAX(0,Listes!$B$3-$G1721)))</f>
        <v/>
      </c>
      <c r="P1721" s="12">
        <f>IF($A1721="","",IF($J1721&lt;=0,"Payé",IF($M1721="Oui","Litige",IF($O1721=0,"À échoir",IF($O1721&lt;=30,"0-30",IF($O1721&lt;=60,"31-60",IF($O1721&lt;=90,"61-90","90+")))))))</f>
        <v/>
      </c>
    </row>
    <row r="1722">
      <c r="A1722" s="6" t="n"/>
      <c r="B1722" s="6" t="n"/>
      <c r="C1722" s="6" t="n"/>
      <c r="D1722" s="6" t="n"/>
      <c r="E1722" s="6" t="n"/>
      <c r="F1722" s="7" t="n"/>
      <c r="G1722" s="7" t="n"/>
      <c r="H1722" s="8" t="n"/>
      <c r="I1722" s="9">
        <f>IF($A1722="","",SUMIFS(Ventes_Encaissements!$D$6:$D$3005,Ventes_Encaissements!$B$6:$B$3005,$A1722))</f>
        <v/>
      </c>
      <c r="J1722" s="9">
        <f>IF($A1722="","",$H1722-$I1722)</f>
        <v/>
      </c>
      <c r="K1722" s="10">
        <f>IF($A1722="","",IF($I1722=0,"",_xludf.AGGREGATE(14,6,Ventes_Encaissements!$C$6:$C$3005/(Ventes_Encaissements!$B$6:$B$3005=$A1722),1)))</f>
        <v/>
      </c>
      <c r="L1722" s="11">
        <f>IF($A1722="","",COUNTIFS(Ventes_Detail!$B$6:$B$3005,$A1722))</f>
        <v/>
      </c>
      <c r="M1722" s="12" t="n"/>
      <c r="N1722" s="12">
        <f>IF($A1722="","",IF($G1722="","",IF($M1722="Oui","Litige",IF($J1722&lt;=0,"Payé",IF($I1722&gt;0,"Partiel",IF(Listes!$B$3&gt;$G1722,"En retard","À échoir"))))))</f>
        <v/>
      </c>
      <c r="O1722" s="11">
        <f>IF($A1722="","",IF(OR($G1722="", $J1722&lt;=0),0,MAX(0,Listes!$B$3-$G1722)))</f>
        <v/>
      </c>
      <c r="P1722" s="12">
        <f>IF($A1722="","",IF($J1722&lt;=0,"Payé",IF($M1722="Oui","Litige",IF($O1722=0,"À échoir",IF($O1722&lt;=30,"0-30",IF($O1722&lt;=60,"31-60",IF($O1722&lt;=90,"61-90","90+")))))))</f>
        <v/>
      </c>
    </row>
    <row r="1723">
      <c r="A1723" s="6" t="n"/>
      <c r="B1723" s="6" t="n"/>
      <c r="C1723" s="6" t="n"/>
      <c r="D1723" s="6" t="n"/>
      <c r="E1723" s="6" t="n"/>
      <c r="F1723" s="7" t="n"/>
      <c r="G1723" s="7" t="n"/>
      <c r="H1723" s="8" t="n"/>
      <c r="I1723" s="9">
        <f>IF($A1723="","",SUMIFS(Ventes_Encaissements!$D$6:$D$3005,Ventes_Encaissements!$B$6:$B$3005,$A1723))</f>
        <v/>
      </c>
      <c r="J1723" s="9">
        <f>IF($A1723="","",$H1723-$I1723)</f>
        <v/>
      </c>
      <c r="K1723" s="10">
        <f>IF($A1723="","",IF($I1723=0,"",_xludf.AGGREGATE(14,6,Ventes_Encaissements!$C$6:$C$3005/(Ventes_Encaissements!$B$6:$B$3005=$A1723),1)))</f>
        <v/>
      </c>
      <c r="L1723" s="11">
        <f>IF($A1723="","",COUNTIFS(Ventes_Detail!$B$6:$B$3005,$A1723))</f>
        <v/>
      </c>
      <c r="M1723" s="12" t="n"/>
      <c r="N1723" s="12">
        <f>IF($A1723="","",IF($G1723="","",IF($M1723="Oui","Litige",IF($J1723&lt;=0,"Payé",IF($I1723&gt;0,"Partiel",IF(Listes!$B$3&gt;$G1723,"En retard","À échoir"))))))</f>
        <v/>
      </c>
      <c r="O1723" s="11">
        <f>IF($A1723="","",IF(OR($G1723="", $J1723&lt;=0),0,MAX(0,Listes!$B$3-$G1723)))</f>
        <v/>
      </c>
      <c r="P1723" s="12">
        <f>IF($A1723="","",IF($J1723&lt;=0,"Payé",IF($M1723="Oui","Litige",IF($O1723=0,"À échoir",IF($O1723&lt;=30,"0-30",IF($O1723&lt;=60,"31-60",IF($O1723&lt;=90,"61-90","90+")))))))</f>
        <v/>
      </c>
    </row>
    <row r="1724">
      <c r="A1724" s="6" t="n"/>
      <c r="B1724" s="6" t="n"/>
      <c r="C1724" s="6" t="n"/>
      <c r="D1724" s="6" t="n"/>
      <c r="E1724" s="6" t="n"/>
      <c r="F1724" s="7" t="n"/>
      <c r="G1724" s="7" t="n"/>
      <c r="H1724" s="8" t="n"/>
      <c r="I1724" s="9">
        <f>IF($A1724="","",SUMIFS(Ventes_Encaissements!$D$6:$D$3005,Ventes_Encaissements!$B$6:$B$3005,$A1724))</f>
        <v/>
      </c>
      <c r="J1724" s="9">
        <f>IF($A1724="","",$H1724-$I1724)</f>
        <v/>
      </c>
      <c r="K1724" s="10">
        <f>IF($A1724="","",IF($I1724=0,"",_xludf.AGGREGATE(14,6,Ventes_Encaissements!$C$6:$C$3005/(Ventes_Encaissements!$B$6:$B$3005=$A1724),1)))</f>
        <v/>
      </c>
      <c r="L1724" s="11">
        <f>IF($A1724="","",COUNTIFS(Ventes_Detail!$B$6:$B$3005,$A1724))</f>
        <v/>
      </c>
      <c r="M1724" s="12" t="n"/>
      <c r="N1724" s="12">
        <f>IF($A1724="","",IF($G1724="","",IF($M1724="Oui","Litige",IF($J1724&lt;=0,"Payé",IF($I1724&gt;0,"Partiel",IF(Listes!$B$3&gt;$G1724,"En retard","À échoir"))))))</f>
        <v/>
      </c>
      <c r="O1724" s="11">
        <f>IF($A1724="","",IF(OR($G1724="", $J1724&lt;=0),0,MAX(0,Listes!$B$3-$G1724)))</f>
        <v/>
      </c>
      <c r="P1724" s="12">
        <f>IF($A1724="","",IF($J1724&lt;=0,"Payé",IF($M1724="Oui","Litige",IF($O1724=0,"À échoir",IF($O1724&lt;=30,"0-30",IF($O1724&lt;=60,"31-60",IF($O1724&lt;=90,"61-90","90+")))))))</f>
        <v/>
      </c>
    </row>
    <row r="1725">
      <c r="A1725" s="6" t="n"/>
      <c r="B1725" s="6" t="n"/>
      <c r="C1725" s="6" t="n"/>
      <c r="D1725" s="6" t="n"/>
      <c r="E1725" s="6" t="n"/>
      <c r="F1725" s="7" t="n"/>
      <c r="G1725" s="7" t="n"/>
      <c r="H1725" s="8" t="n"/>
      <c r="I1725" s="9">
        <f>IF($A1725="","",SUMIFS(Ventes_Encaissements!$D$6:$D$3005,Ventes_Encaissements!$B$6:$B$3005,$A1725))</f>
        <v/>
      </c>
      <c r="J1725" s="9">
        <f>IF($A1725="","",$H1725-$I1725)</f>
        <v/>
      </c>
      <c r="K1725" s="10">
        <f>IF($A1725="","",IF($I1725=0,"",_xludf.AGGREGATE(14,6,Ventes_Encaissements!$C$6:$C$3005/(Ventes_Encaissements!$B$6:$B$3005=$A1725),1)))</f>
        <v/>
      </c>
      <c r="L1725" s="11">
        <f>IF($A1725="","",COUNTIFS(Ventes_Detail!$B$6:$B$3005,$A1725))</f>
        <v/>
      </c>
      <c r="M1725" s="12" t="n"/>
      <c r="N1725" s="12">
        <f>IF($A1725="","",IF($G1725="","",IF($M1725="Oui","Litige",IF($J1725&lt;=0,"Payé",IF($I1725&gt;0,"Partiel",IF(Listes!$B$3&gt;$G1725,"En retard","À échoir"))))))</f>
        <v/>
      </c>
      <c r="O1725" s="11">
        <f>IF($A1725="","",IF(OR($G1725="", $J1725&lt;=0),0,MAX(0,Listes!$B$3-$G1725)))</f>
        <v/>
      </c>
      <c r="P1725" s="12">
        <f>IF($A1725="","",IF($J1725&lt;=0,"Payé",IF($M1725="Oui","Litige",IF($O1725=0,"À échoir",IF($O1725&lt;=30,"0-30",IF($O1725&lt;=60,"31-60",IF($O1725&lt;=90,"61-90","90+")))))))</f>
        <v/>
      </c>
    </row>
    <row r="1726">
      <c r="A1726" s="6" t="n"/>
      <c r="B1726" s="6" t="n"/>
      <c r="C1726" s="6" t="n"/>
      <c r="D1726" s="6" t="n"/>
      <c r="E1726" s="6" t="n"/>
      <c r="F1726" s="7" t="n"/>
      <c r="G1726" s="7" t="n"/>
      <c r="H1726" s="8" t="n"/>
      <c r="I1726" s="9">
        <f>IF($A1726="","",SUMIFS(Ventes_Encaissements!$D$6:$D$3005,Ventes_Encaissements!$B$6:$B$3005,$A1726))</f>
        <v/>
      </c>
      <c r="J1726" s="9">
        <f>IF($A1726="","",$H1726-$I1726)</f>
        <v/>
      </c>
      <c r="K1726" s="10">
        <f>IF($A1726="","",IF($I1726=0,"",_xludf.AGGREGATE(14,6,Ventes_Encaissements!$C$6:$C$3005/(Ventes_Encaissements!$B$6:$B$3005=$A1726),1)))</f>
        <v/>
      </c>
      <c r="L1726" s="11">
        <f>IF($A1726="","",COUNTIFS(Ventes_Detail!$B$6:$B$3005,$A1726))</f>
        <v/>
      </c>
      <c r="M1726" s="12" t="n"/>
      <c r="N1726" s="12">
        <f>IF($A1726="","",IF($G1726="","",IF($M1726="Oui","Litige",IF($J1726&lt;=0,"Payé",IF($I1726&gt;0,"Partiel",IF(Listes!$B$3&gt;$G1726,"En retard","À échoir"))))))</f>
        <v/>
      </c>
      <c r="O1726" s="11">
        <f>IF($A1726="","",IF(OR($G1726="", $J1726&lt;=0),0,MAX(0,Listes!$B$3-$G1726)))</f>
        <v/>
      </c>
      <c r="P1726" s="12">
        <f>IF($A1726="","",IF($J1726&lt;=0,"Payé",IF($M1726="Oui","Litige",IF($O1726=0,"À échoir",IF($O1726&lt;=30,"0-30",IF($O1726&lt;=60,"31-60",IF($O1726&lt;=90,"61-90","90+")))))))</f>
        <v/>
      </c>
    </row>
    <row r="1727">
      <c r="A1727" s="6" t="n"/>
      <c r="B1727" s="6" t="n"/>
      <c r="C1727" s="6" t="n"/>
      <c r="D1727" s="6" t="n"/>
      <c r="E1727" s="6" t="n"/>
      <c r="F1727" s="7" t="n"/>
      <c r="G1727" s="7" t="n"/>
      <c r="H1727" s="8" t="n"/>
      <c r="I1727" s="9">
        <f>IF($A1727="","",SUMIFS(Ventes_Encaissements!$D$6:$D$3005,Ventes_Encaissements!$B$6:$B$3005,$A1727))</f>
        <v/>
      </c>
      <c r="J1727" s="9">
        <f>IF($A1727="","",$H1727-$I1727)</f>
        <v/>
      </c>
      <c r="K1727" s="10">
        <f>IF($A1727="","",IF($I1727=0,"",_xludf.AGGREGATE(14,6,Ventes_Encaissements!$C$6:$C$3005/(Ventes_Encaissements!$B$6:$B$3005=$A1727),1)))</f>
        <v/>
      </c>
      <c r="L1727" s="11">
        <f>IF($A1727="","",COUNTIFS(Ventes_Detail!$B$6:$B$3005,$A1727))</f>
        <v/>
      </c>
      <c r="M1727" s="12" t="n"/>
      <c r="N1727" s="12">
        <f>IF($A1727="","",IF($G1727="","",IF($M1727="Oui","Litige",IF($J1727&lt;=0,"Payé",IF($I1727&gt;0,"Partiel",IF(Listes!$B$3&gt;$G1727,"En retard","À échoir"))))))</f>
        <v/>
      </c>
      <c r="O1727" s="11">
        <f>IF($A1727="","",IF(OR($G1727="", $J1727&lt;=0),0,MAX(0,Listes!$B$3-$G1727)))</f>
        <v/>
      </c>
      <c r="P1727" s="12">
        <f>IF($A1727="","",IF($J1727&lt;=0,"Payé",IF($M1727="Oui","Litige",IF($O1727=0,"À échoir",IF($O1727&lt;=30,"0-30",IF($O1727&lt;=60,"31-60",IF($O1727&lt;=90,"61-90","90+")))))))</f>
        <v/>
      </c>
    </row>
    <row r="1728">
      <c r="A1728" s="6" t="n"/>
      <c r="B1728" s="6" t="n"/>
      <c r="C1728" s="6" t="n"/>
      <c r="D1728" s="6" t="n"/>
      <c r="E1728" s="6" t="n"/>
      <c r="F1728" s="7" t="n"/>
      <c r="G1728" s="7" t="n"/>
      <c r="H1728" s="8" t="n"/>
      <c r="I1728" s="9">
        <f>IF($A1728="","",SUMIFS(Ventes_Encaissements!$D$6:$D$3005,Ventes_Encaissements!$B$6:$B$3005,$A1728))</f>
        <v/>
      </c>
      <c r="J1728" s="9">
        <f>IF($A1728="","",$H1728-$I1728)</f>
        <v/>
      </c>
      <c r="K1728" s="10">
        <f>IF($A1728="","",IF($I1728=0,"",_xludf.AGGREGATE(14,6,Ventes_Encaissements!$C$6:$C$3005/(Ventes_Encaissements!$B$6:$B$3005=$A1728),1)))</f>
        <v/>
      </c>
      <c r="L1728" s="11">
        <f>IF($A1728="","",COUNTIFS(Ventes_Detail!$B$6:$B$3005,$A1728))</f>
        <v/>
      </c>
      <c r="M1728" s="12" t="n"/>
      <c r="N1728" s="12">
        <f>IF($A1728="","",IF($G1728="","",IF($M1728="Oui","Litige",IF($J1728&lt;=0,"Payé",IF($I1728&gt;0,"Partiel",IF(Listes!$B$3&gt;$G1728,"En retard","À échoir"))))))</f>
        <v/>
      </c>
      <c r="O1728" s="11">
        <f>IF($A1728="","",IF(OR($G1728="", $J1728&lt;=0),0,MAX(0,Listes!$B$3-$G1728)))</f>
        <v/>
      </c>
      <c r="P1728" s="12">
        <f>IF($A1728="","",IF($J1728&lt;=0,"Payé",IF($M1728="Oui","Litige",IF($O1728=0,"À échoir",IF($O1728&lt;=30,"0-30",IF($O1728&lt;=60,"31-60",IF($O1728&lt;=90,"61-90","90+")))))))</f>
        <v/>
      </c>
    </row>
    <row r="1729">
      <c r="A1729" s="6" t="n"/>
      <c r="B1729" s="6" t="n"/>
      <c r="C1729" s="6" t="n"/>
      <c r="D1729" s="6" t="n"/>
      <c r="E1729" s="6" t="n"/>
      <c r="F1729" s="7" t="n"/>
      <c r="G1729" s="7" t="n"/>
      <c r="H1729" s="8" t="n"/>
      <c r="I1729" s="9">
        <f>IF($A1729="","",SUMIFS(Ventes_Encaissements!$D$6:$D$3005,Ventes_Encaissements!$B$6:$B$3005,$A1729))</f>
        <v/>
      </c>
      <c r="J1729" s="9">
        <f>IF($A1729="","",$H1729-$I1729)</f>
        <v/>
      </c>
      <c r="K1729" s="10">
        <f>IF($A1729="","",IF($I1729=0,"",_xludf.AGGREGATE(14,6,Ventes_Encaissements!$C$6:$C$3005/(Ventes_Encaissements!$B$6:$B$3005=$A1729),1)))</f>
        <v/>
      </c>
      <c r="L1729" s="11">
        <f>IF($A1729="","",COUNTIFS(Ventes_Detail!$B$6:$B$3005,$A1729))</f>
        <v/>
      </c>
      <c r="M1729" s="12" t="n"/>
      <c r="N1729" s="12">
        <f>IF($A1729="","",IF($G1729="","",IF($M1729="Oui","Litige",IF($J1729&lt;=0,"Payé",IF($I1729&gt;0,"Partiel",IF(Listes!$B$3&gt;$G1729,"En retard","À échoir"))))))</f>
        <v/>
      </c>
      <c r="O1729" s="11">
        <f>IF($A1729="","",IF(OR($G1729="", $J1729&lt;=0),0,MAX(0,Listes!$B$3-$G1729)))</f>
        <v/>
      </c>
      <c r="P1729" s="12">
        <f>IF($A1729="","",IF($J1729&lt;=0,"Payé",IF($M1729="Oui","Litige",IF($O1729=0,"À échoir",IF($O1729&lt;=30,"0-30",IF($O1729&lt;=60,"31-60",IF($O1729&lt;=90,"61-90","90+")))))))</f>
        <v/>
      </c>
    </row>
    <row r="1730">
      <c r="A1730" s="6" t="n"/>
      <c r="B1730" s="6" t="n"/>
      <c r="C1730" s="6" t="n"/>
      <c r="D1730" s="6" t="n"/>
      <c r="E1730" s="6" t="n"/>
      <c r="F1730" s="7" t="n"/>
      <c r="G1730" s="7" t="n"/>
      <c r="H1730" s="8" t="n"/>
      <c r="I1730" s="9">
        <f>IF($A1730="","",SUMIFS(Ventes_Encaissements!$D$6:$D$3005,Ventes_Encaissements!$B$6:$B$3005,$A1730))</f>
        <v/>
      </c>
      <c r="J1730" s="9">
        <f>IF($A1730="","",$H1730-$I1730)</f>
        <v/>
      </c>
      <c r="K1730" s="10">
        <f>IF($A1730="","",IF($I1730=0,"",_xludf.AGGREGATE(14,6,Ventes_Encaissements!$C$6:$C$3005/(Ventes_Encaissements!$B$6:$B$3005=$A1730),1)))</f>
        <v/>
      </c>
      <c r="L1730" s="11">
        <f>IF($A1730="","",COUNTIFS(Ventes_Detail!$B$6:$B$3005,$A1730))</f>
        <v/>
      </c>
      <c r="M1730" s="12" t="n"/>
      <c r="N1730" s="12">
        <f>IF($A1730="","",IF($G1730="","",IF($M1730="Oui","Litige",IF($J1730&lt;=0,"Payé",IF($I1730&gt;0,"Partiel",IF(Listes!$B$3&gt;$G1730,"En retard","À échoir"))))))</f>
        <v/>
      </c>
      <c r="O1730" s="11">
        <f>IF($A1730="","",IF(OR($G1730="", $J1730&lt;=0),0,MAX(0,Listes!$B$3-$G1730)))</f>
        <v/>
      </c>
      <c r="P1730" s="12">
        <f>IF($A1730="","",IF($J1730&lt;=0,"Payé",IF($M1730="Oui","Litige",IF($O1730=0,"À échoir",IF($O1730&lt;=30,"0-30",IF($O1730&lt;=60,"31-60",IF($O1730&lt;=90,"61-90","90+")))))))</f>
        <v/>
      </c>
    </row>
    <row r="1731">
      <c r="A1731" s="6" t="n"/>
      <c r="B1731" s="6" t="n"/>
      <c r="C1731" s="6" t="n"/>
      <c r="D1731" s="6" t="n"/>
      <c r="E1731" s="6" t="n"/>
      <c r="F1731" s="7" t="n"/>
      <c r="G1731" s="7" t="n"/>
      <c r="H1731" s="8" t="n"/>
      <c r="I1731" s="9">
        <f>IF($A1731="","",SUMIFS(Ventes_Encaissements!$D$6:$D$3005,Ventes_Encaissements!$B$6:$B$3005,$A1731))</f>
        <v/>
      </c>
      <c r="J1731" s="9">
        <f>IF($A1731="","",$H1731-$I1731)</f>
        <v/>
      </c>
      <c r="K1731" s="10">
        <f>IF($A1731="","",IF($I1731=0,"",_xludf.AGGREGATE(14,6,Ventes_Encaissements!$C$6:$C$3005/(Ventes_Encaissements!$B$6:$B$3005=$A1731),1)))</f>
        <v/>
      </c>
      <c r="L1731" s="11">
        <f>IF($A1731="","",COUNTIFS(Ventes_Detail!$B$6:$B$3005,$A1731))</f>
        <v/>
      </c>
      <c r="M1731" s="12" t="n"/>
      <c r="N1731" s="12">
        <f>IF($A1731="","",IF($G1731="","",IF($M1731="Oui","Litige",IF($J1731&lt;=0,"Payé",IF($I1731&gt;0,"Partiel",IF(Listes!$B$3&gt;$G1731,"En retard","À échoir"))))))</f>
        <v/>
      </c>
      <c r="O1731" s="11">
        <f>IF($A1731="","",IF(OR($G1731="", $J1731&lt;=0),0,MAX(0,Listes!$B$3-$G1731)))</f>
        <v/>
      </c>
      <c r="P1731" s="12">
        <f>IF($A1731="","",IF($J1731&lt;=0,"Payé",IF($M1731="Oui","Litige",IF($O1731=0,"À échoir",IF($O1731&lt;=30,"0-30",IF($O1731&lt;=60,"31-60",IF($O1731&lt;=90,"61-90","90+")))))))</f>
        <v/>
      </c>
    </row>
    <row r="1732">
      <c r="A1732" s="6" t="n"/>
      <c r="B1732" s="6" t="n"/>
      <c r="C1732" s="6" t="n"/>
      <c r="D1732" s="6" t="n"/>
      <c r="E1732" s="6" t="n"/>
      <c r="F1732" s="7" t="n"/>
      <c r="G1732" s="7" t="n"/>
      <c r="H1732" s="8" t="n"/>
      <c r="I1732" s="9">
        <f>IF($A1732="","",SUMIFS(Ventes_Encaissements!$D$6:$D$3005,Ventes_Encaissements!$B$6:$B$3005,$A1732))</f>
        <v/>
      </c>
      <c r="J1732" s="9">
        <f>IF($A1732="","",$H1732-$I1732)</f>
        <v/>
      </c>
      <c r="K1732" s="10">
        <f>IF($A1732="","",IF($I1732=0,"",_xludf.AGGREGATE(14,6,Ventes_Encaissements!$C$6:$C$3005/(Ventes_Encaissements!$B$6:$B$3005=$A1732),1)))</f>
        <v/>
      </c>
      <c r="L1732" s="11">
        <f>IF($A1732="","",COUNTIFS(Ventes_Detail!$B$6:$B$3005,$A1732))</f>
        <v/>
      </c>
      <c r="M1732" s="12" t="n"/>
      <c r="N1732" s="12">
        <f>IF($A1732="","",IF($G1732="","",IF($M1732="Oui","Litige",IF($J1732&lt;=0,"Payé",IF($I1732&gt;0,"Partiel",IF(Listes!$B$3&gt;$G1732,"En retard","À échoir"))))))</f>
        <v/>
      </c>
      <c r="O1732" s="11">
        <f>IF($A1732="","",IF(OR($G1732="", $J1732&lt;=0),0,MAX(0,Listes!$B$3-$G1732)))</f>
        <v/>
      </c>
      <c r="P1732" s="12">
        <f>IF($A1732="","",IF($J1732&lt;=0,"Payé",IF($M1732="Oui","Litige",IF($O1732=0,"À échoir",IF($O1732&lt;=30,"0-30",IF($O1732&lt;=60,"31-60",IF($O1732&lt;=90,"61-90","90+")))))))</f>
        <v/>
      </c>
    </row>
    <row r="1733">
      <c r="A1733" s="6" t="n"/>
      <c r="B1733" s="6" t="n"/>
      <c r="C1733" s="6" t="n"/>
      <c r="D1733" s="6" t="n"/>
      <c r="E1733" s="6" t="n"/>
      <c r="F1733" s="7" t="n"/>
      <c r="G1733" s="7" t="n"/>
      <c r="H1733" s="8" t="n"/>
      <c r="I1733" s="9">
        <f>IF($A1733="","",SUMIFS(Ventes_Encaissements!$D$6:$D$3005,Ventes_Encaissements!$B$6:$B$3005,$A1733))</f>
        <v/>
      </c>
      <c r="J1733" s="9">
        <f>IF($A1733="","",$H1733-$I1733)</f>
        <v/>
      </c>
      <c r="K1733" s="10">
        <f>IF($A1733="","",IF($I1733=0,"",_xludf.AGGREGATE(14,6,Ventes_Encaissements!$C$6:$C$3005/(Ventes_Encaissements!$B$6:$B$3005=$A1733),1)))</f>
        <v/>
      </c>
      <c r="L1733" s="11">
        <f>IF($A1733="","",COUNTIFS(Ventes_Detail!$B$6:$B$3005,$A1733))</f>
        <v/>
      </c>
      <c r="M1733" s="12" t="n"/>
      <c r="N1733" s="12">
        <f>IF($A1733="","",IF($G1733="","",IF($M1733="Oui","Litige",IF($J1733&lt;=0,"Payé",IF($I1733&gt;0,"Partiel",IF(Listes!$B$3&gt;$G1733,"En retard","À échoir"))))))</f>
        <v/>
      </c>
      <c r="O1733" s="11">
        <f>IF($A1733="","",IF(OR($G1733="", $J1733&lt;=0),0,MAX(0,Listes!$B$3-$G1733)))</f>
        <v/>
      </c>
      <c r="P1733" s="12">
        <f>IF($A1733="","",IF($J1733&lt;=0,"Payé",IF($M1733="Oui","Litige",IF($O1733=0,"À échoir",IF($O1733&lt;=30,"0-30",IF($O1733&lt;=60,"31-60",IF($O1733&lt;=90,"61-90","90+")))))))</f>
        <v/>
      </c>
    </row>
    <row r="1734">
      <c r="A1734" s="6" t="n"/>
      <c r="B1734" s="6" t="n"/>
      <c r="C1734" s="6" t="n"/>
      <c r="D1734" s="6" t="n"/>
      <c r="E1734" s="6" t="n"/>
      <c r="F1734" s="7" t="n"/>
      <c r="G1734" s="7" t="n"/>
      <c r="H1734" s="8" t="n"/>
      <c r="I1734" s="9">
        <f>IF($A1734="","",SUMIFS(Ventes_Encaissements!$D$6:$D$3005,Ventes_Encaissements!$B$6:$B$3005,$A1734))</f>
        <v/>
      </c>
      <c r="J1734" s="9">
        <f>IF($A1734="","",$H1734-$I1734)</f>
        <v/>
      </c>
      <c r="K1734" s="10">
        <f>IF($A1734="","",IF($I1734=0,"",_xludf.AGGREGATE(14,6,Ventes_Encaissements!$C$6:$C$3005/(Ventes_Encaissements!$B$6:$B$3005=$A1734),1)))</f>
        <v/>
      </c>
      <c r="L1734" s="11">
        <f>IF($A1734="","",COUNTIFS(Ventes_Detail!$B$6:$B$3005,$A1734))</f>
        <v/>
      </c>
      <c r="M1734" s="12" t="n"/>
      <c r="N1734" s="12">
        <f>IF($A1734="","",IF($G1734="","",IF($M1734="Oui","Litige",IF($J1734&lt;=0,"Payé",IF($I1734&gt;0,"Partiel",IF(Listes!$B$3&gt;$G1734,"En retard","À échoir"))))))</f>
        <v/>
      </c>
      <c r="O1734" s="11">
        <f>IF($A1734="","",IF(OR($G1734="", $J1734&lt;=0),0,MAX(0,Listes!$B$3-$G1734)))</f>
        <v/>
      </c>
      <c r="P1734" s="12">
        <f>IF($A1734="","",IF($J1734&lt;=0,"Payé",IF($M1734="Oui","Litige",IF($O1734=0,"À échoir",IF($O1734&lt;=30,"0-30",IF($O1734&lt;=60,"31-60",IF($O1734&lt;=90,"61-90","90+")))))))</f>
        <v/>
      </c>
    </row>
    <row r="1735">
      <c r="A1735" s="6" t="n"/>
      <c r="B1735" s="6" t="n"/>
      <c r="C1735" s="6" t="n"/>
      <c r="D1735" s="6" t="n"/>
      <c r="E1735" s="6" t="n"/>
      <c r="F1735" s="7" t="n"/>
      <c r="G1735" s="7" t="n"/>
      <c r="H1735" s="8" t="n"/>
      <c r="I1735" s="9">
        <f>IF($A1735="","",SUMIFS(Ventes_Encaissements!$D$6:$D$3005,Ventes_Encaissements!$B$6:$B$3005,$A1735))</f>
        <v/>
      </c>
      <c r="J1735" s="9">
        <f>IF($A1735="","",$H1735-$I1735)</f>
        <v/>
      </c>
      <c r="K1735" s="10">
        <f>IF($A1735="","",IF($I1735=0,"",_xludf.AGGREGATE(14,6,Ventes_Encaissements!$C$6:$C$3005/(Ventes_Encaissements!$B$6:$B$3005=$A1735),1)))</f>
        <v/>
      </c>
      <c r="L1735" s="11">
        <f>IF($A1735="","",COUNTIFS(Ventes_Detail!$B$6:$B$3005,$A1735))</f>
        <v/>
      </c>
      <c r="M1735" s="12" t="n"/>
      <c r="N1735" s="12">
        <f>IF($A1735="","",IF($G1735="","",IF($M1735="Oui","Litige",IF($J1735&lt;=0,"Payé",IF($I1735&gt;0,"Partiel",IF(Listes!$B$3&gt;$G1735,"En retard","À échoir"))))))</f>
        <v/>
      </c>
      <c r="O1735" s="11">
        <f>IF($A1735="","",IF(OR($G1735="", $J1735&lt;=0),0,MAX(0,Listes!$B$3-$G1735)))</f>
        <v/>
      </c>
      <c r="P1735" s="12">
        <f>IF($A1735="","",IF($J1735&lt;=0,"Payé",IF($M1735="Oui","Litige",IF($O1735=0,"À échoir",IF($O1735&lt;=30,"0-30",IF($O1735&lt;=60,"31-60",IF($O1735&lt;=90,"61-90","90+")))))))</f>
        <v/>
      </c>
    </row>
    <row r="1736">
      <c r="A1736" s="6" t="n"/>
      <c r="B1736" s="6" t="n"/>
      <c r="C1736" s="6" t="n"/>
      <c r="D1736" s="6" t="n"/>
      <c r="E1736" s="6" t="n"/>
      <c r="F1736" s="7" t="n"/>
      <c r="G1736" s="7" t="n"/>
      <c r="H1736" s="8" t="n"/>
      <c r="I1736" s="9">
        <f>IF($A1736="","",SUMIFS(Ventes_Encaissements!$D$6:$D$3005,Ventes_Encaissements!$B$6:$B$3005,$A1736))</f>
        <v/>
      </c>
      <c r="J1736" s="9">
        <f>IF($A1736="","",$H1736-$I1736)</f>
        <v/>
      </c>
      <c r="K1736" s="10">
        <f>IF($A1736="","",IF($I1736=0,"",_xludf.AGGREGATE(14,6,Ventes_Encaissements!$C$6:$C$3005/(Ventes_Encaissements!$B$6:$B$3005=$A1736),1)))</f>
        <v/>
      </c>
      <c r="L1736" s="11">
        <f>IF($A1736="","",COUNTIFS(Ventes_Detail!$B$6:$B$3005,$A1736))</f>
        <v/>
      </c>
      <c r="M1736" s="12" t="n"/>
      <c r="N1736" s="12">
        <f>IF($A1736="","",IF($G1736="","",IF($M1736="Oui","Litige",IF($J1736&lt;=0,"Payé",IF($I1736&gt;0,"Partiel",IF(Listes!$B$3&gt;$G1736,"En retard","À échoir"))))))</f>
        <v/>
      </c>
      <c r="O1736" s="11">
        <f>IF($A1736="","",IF(OR($G1736="", $J1736&lt;=0),0,MAX(0,Listes!$B$3-$G1736)))</f>
        <v/>
      </c>
      <c r="P1736" s="12">
        <f>IF($A1736="","",IF($J1736&lt;=0,"Payé",IF($M1736="Oui","Litige",IF($O1736=0,"À échoir",IF($O1736&lt;=30,"0-30",IF($O1736&lt;=60,"31-60",IF($O1736&lt;=90,"61-90","90+")))))))</f>
        <v/>
      </c>
    </row>
    <row r="1737">
      <c r="A1737" s="6" t="n"/>
      <c r="B1737" s="6" t="n"/>
      <c r="C1737" s="6" t="n"/>
      <c r="D1737" s="6" t="n"/>
      <c r="E1737" s="6" t="n"/>
      <c r="F1737" s="7" t="n"/>
      <c r="G1737" s="7" t="n"/>
      <c r="H1737" s="8" t="n"/>
      <c r="I1737" s="9">
        <f>IF($A1737="","",SUMIFS(Ventes_Encaissements!$D$6:$D$3005,Ventes_Encaissements!$B$6:$B$3005,$A1737))</f>
        <v/>
      </c>
      <c r="J1737" s="9">
        <f>IF($A1737="","",$H1737-$I1737)</f>
        <v/>
      </c>
      <c r="K1737" s="10">
        <f>IF($A1737="","",IF($I1737=0,"",_xludf.AGGREGATE(14,6,Ventes_Encaissements!$C$6:$C$3005/(Ventes_Encaissements!$B$6:$B$3005=$A1737),1)))</f>
        <v/>
      </c>
      <c r="L1737" s="11">
        <f>IF($A1737="","",COUNTIFS(Ventes_Detail!$B$6:$B$3005,$A1737))</f>
        <v/>
      </c>
      <c r="M1737" s="12" t="n"/>
      <c r="N1737" s="12">
        <f>IF($A1737="","",IF($G1737="","",IF($M1737="Oui","Litige",IF($J1737&lt;=0,"Payé",IF($I1737&gt;0,"Partiel",IF(Listes!$B$3&gt;$G1737,"En retard","À échoir"))))))</f>
        <v/>
      </c>
      <c r="O1737" s="11">
        <f>IF($A1737="","",IF(OR($G1737="", $J1737&lt;=0),0,MAX(0,Listes!$B$3-$G1737)))</f>
        <v/>
      </c>
      <c r="P1737" s="12">
        <f>IF($A1737="","",IF($J1737&lt;=0,"Payé",IF($M1737="Oui","Litige",IF($O1737=0,"À échoir",IF($O1737&lt;=30,"0-30",IF($O1737&lt;=60,"31-60",IF($O1737&lt;=90,"61-90","90+")))))))</f>
        <v/>
      </c>
    </row>
    <row r="1738">
      <c r="A1738" s="6" t="n"/>
      <c r="B1738" s="6" t="n"/>
      <c r="C1738" s="6" t="n"/>
      <c r="D1738" s="6" t="n"/>
      <c r="E1738" s="6" t="n"/>
      <c r="F1738" s="7" t="n"/>
      <c r="G1738" s="7" t="n"/>
      <c r="H1738" s="8" t="n"/>
      <c r="I1738" s="9">
        <f>IF($A1738="","",SUMIFS(Ventes_Encaissements!$D$6:$D$3005,Ventes_Encaissements!$B$6:$B$3005,$A1738))</f>
        <v/>
      </c>
      <c r="J1738" s="9">
        <f>IF($A1738="","",$H1738-$I1738)</f>
        <v/>
      </c>
      <c r="K1738" s="10">
        <f>IF($A1738="","",IF($I1738=0,"",_xludf.AGGREGATE(14,6,Ventes_Encaissements!$C$6:$C$3005/(Ventes_Encaissements!$B$6:$B$3005=$A1738),1)))</f>
        <v/>
      </c>
      <c r="L1738" s="11">
        <f>IF($A1738="","",COUNTIFS(Ventes_Detail!$B$6:$B$3005,$A1738))</f>
        <v/>
      </c>
      <c r="M1738" s="12" t="n"/>
      <c r="N1738" s="12">
        <f>IF($A1738="","",IF($G1738="","",IF($M1738="Oui","Litige",IF($J1738&lt;=0,"Payé",IF($I1738&gt;0,"Partiel",IF(Listes!$B$3&gt;$G1738,"En retard","À échoir"))))))</f>
        <v/>
      </c>
      <c r="O1738" s="11">
        <f>IF($A1738="","",IF(OR($G1738="", $J1738&lt;=0),0,MAX(0,Listes!$B$3-$G1738)))</f>
        <v/>
      </c>
      <c r="P1738" s="12">
        <f>IF($A1738="","",IF($J1738&lt;=0,"Payé",IF($M1738="Oui","Litige",IF($O1738=0,"À échoir",IF($O1738&lt;=30,"0-30",IF($O1738&lt;=60,"31-60",IF($O1738&lt;=90,"61-90","90+")))))))</f>
        <v/>
      </c>
    </row>
    <row r="1739">
      <c r="A1739" s="6" t="n"/>
      <c r="B1739" s="6" t="n"/>
      <c r="C1739" s="6" t="n"/>
      <c r="D1739" s="6" t="n"/>
      <c r="E1739" s="6" t="n"/>
      <c r="F1739" s="7" t="n"/>
      <c r="G1739" s="7" t="n"/>
      <c r="H1739" s="8" t="n"/>
      <c r="I1739" s="9">
        <f>IF($A1739="","",SUMIFS(Ventes_Encaissements!$D$6:$D$3005,Ventes_Encaissements!$B$6:$B$3005,$A1739))</f>
        <v/>
      </c>
      <c r="J1739" s="9">
        <f>IF($A1739="","",$H1739-$I1739)</f>
        <v/>
      </c>
      <c r="K1739" s="10">
        <f>IF($A1739="","",IF($I1739=0,"",_xludf.AGGREGATE(14,6,Ventes_Encaissements!$C$6:$C$3005/(Ventes_Encaissements!$B$6:$B$3005=$A1739),1)))</f>
        <v/>
      </c>
      <c r="L1739" s="11">
        <f>IF($A1739="","",COUNTIFS(Ventes_Detail!$B$6:$B$3005,$A1739))</f>
        <v/>
      </c>
      <c r="M1739" s="12" t="n"/>
      <c r="N1739" s="12">
        <f>IF($A1739="","",IF($G1739="","",IF($M1739="Oui","Litige",IF($J1739&lt;=0,"Payé",IF($I1739&gt;0,"Partiel",IF(Listes!$B$3&gt;$G1739,"En retard","À échoir"))))))</f>
        <v/>
      </c>
      <c r="O1739" s="11">
        <f>IF($A1739="","",IF(OR($G1739="", $J1739&lt;=0),0,MAX(0,Listes!$B$3-$G1739)))</f>
        <v/>
      </c>
      <c r="P1739" s="12">
        <f>IF($A1739="","",IF($J1739&lt;=0,"Payé",IF($M1739="Oui","Litige",IF($O1739=0,"À échoir",IF($O1739&lt;=30,"0-30",IF($O1739&lt;=60,"31-60",IF($O1739&lt;=90,"61-90","90+")))))))</f>
        <v/>
      </c>
    </row>
    <row r="1740">
      <c r="A1740" s="6" t="n"/>
      <c r="B1740" s="6" t="n"/>
      <c r="C1740" s="6" t="n"/>
      <c r="D1740" s="6" t="n"/>
      <c r="E1740" s="6" t="n"/>
      <c r="F1740" s="7" t="n"/>
      <c r="G1740" s="7" t="n"/>
      <c r="H1740" s="8" t="n"/>
      <c r="I1740" s="9">
        <f>IF($A1740="","",SUMIFS(Ventes_Encaissements!$D$6:$D$3005,Ventes_Encaissements!$B$6:$B$3005,$A1740))</f>
        <v/>
      </c>
      <c r="J1740" s="9">
        <f>IF($A1740="","",$H1740-$I1740)</f>
        <v/>
      </c>
      <c r="K1740" s="10">
        <f>IF($A1740="","",IF($I1740=0,"",_xludf.AGGREGATE(14,6,Ventes_Encaissements!$C$6:$C$3005/(Ventes_Encaissements!$B$6:$B$3005=$A1740),1)))</f>
        <v/>
      </c>
      <c r="L1740" s="11">
        <f>IF($A1740="","",COUNTIFS(Ventes_Detail!$B$6:$B$3005,$A1740))</f>
        <v/>
      </c>
      <c r="M1740" s="12" t="n"/>
      <c r="N1740" s="12">
        <f>IF($A1740="","",IF($G1740="","",IF($M1740="Oui","Litige",IF($J1740&lt;=0,"Payé",IF($I1740&gt;0,"Partiel",IF(Listes!$B$3&gt;$G1740,"En retard","À échoir"))))))</f>
        <v/>
      </c>
      <c r="O1740" s="11">
        <f>IF($A1740="","",IF(OR($G1740="", $J1740&lt;=0),0,MAX(0,Listes!$B$3-$G1740)))</f>
        <v/>
      </c>
      <c r="P1740" s="12">
        <f>IF($A1740="","",IF($J1740&lt;=0,"Payé",IF($M1740="Oui","Litige",IF($O1740=0,"À échoir",IF($O1740&lt;=30,"0-30",IF($O1740&lt;=60,"31-60",IF($O1740&lt;=90,"61-90","90+")))))))</f>
        <v/>
      </c>
    </row>
    <row r="1741">
      <c r="A1741" s="6" t="n"/>
      <c r="B1741" s="6" t="n"/>
      <c r="C1741" s="6" t="n"/>
      <c r="D1741" s="6" t="n"/>
      <c r="E1741" s="6" t="n"/>
      <c r="F1741" s="7" t="n"/>
      <c r="G1741" s="7" t="n"/>
      <c r="H1741" s="8" t="n"/>
      <c r="I1741" s="9">
        <f>IF($A1741="","",SUMIFS(Ventes_Encaissements!$D$6:$D$3005,Ventes_Encaissements!$B$6:$B$3005,$A1741))</f>
        <v/>
      </c>
      <c r="J1741" s="9">
        <f>IF($A1741="","",$H1741-$I1741)</f>
        <v/>
      </c>
      <c r="K1741" s="10">
        <f>IF($A1741="","",IF($I1741=0,"",_xludf.AGGREGATE(14,6,Ventes_Encaissements!$C$6:$C$3005/(Ventes_Encaissements!$B$6:$B$3005=$A1741),1)))</f>
        <v/>
      </c>
      <c r="L1741" s="11">
        <f>IF($A1741="","",COUNTIFS(Ventes_Detail!$B$6:$B$3005,$A1741))</f>
        <v/>
      </c>
      <c r="M1741" s="12" t="n"/>
      <c r="N1741" s="12">
        <f>IF($A1741="","",IF($G1741="","",IF($M1741="Oui","Litige",IF($J1741&lt;=0,"Payé",IF($I1741&gt;0,"Partiel",IF(Listes!$B$3&gt;$G1741,"En retard","À échoir"))))))</f>
        <v/>
      </c>
      <c r="O1741" s="11">
        <f>IF($A1741="","",IF(OR($G1741="", $J1741&lt;=0),0,MAX(0,Listes!$B$3-$G1741)))</f>
        <v/>
      </c>
      <c r="P1741" s="12">
        <f>IF($A1741="","",IF($J1741&lt;=0,"Payé",IF($M1741="Oui","Litige",IF($O1741=0,"À échoir",IF($O1741&lt;=30,"0-30",IF($O1741&lt;=60,"31-60",IF($O1741&lt;=90,"61-90","90+")))))))</f>
        <v/>
      </c>
    </row>
    <row r="1742">
      <c r="A1742" s="6" t="n"/>
      <c r="B1742" s="6" t="n"/>
      <c r="C1742" s="6" t="n"/>
      <c r="D1742" s="6" t="n"/>
      <c r="E1742" s="6" t="n"/>
      <c r="F1742" s="7" t="n"/>
      <c r="G1742" s="7" t="n"/>
      <c r="H1742" s="8" t="n"/>
      <c r="I1742" s="9">
        <f>IF($A1742="","",SUMIFS(Ventes_Encaissements!$D$6:$D$3005,Ventes_Encaissements!$B$6:$B$3005,$A1742))</f>
        <v/>
      </c>
      <c r="J1742" s="9">
        <f>IF($A1742="","",$H1742-$I1742)</f>
        <v/>
      </c>
      <c r="K1742" s="10">
        <f>IF($A1742="","",IF($I1742=0,"",_xludf.AGGREGATE(14,6,Ventes_Encaissements!$C$6:$C$3005/(Ventes_Encaissements!$B$6:$B$3005=$A1742),1)))</f>
        <v/>
      </c>
      <c r="L1742" s="11">
        <f>IF($A1742="","",COUNTIFS(Ventes_Detail!$B$6:$B$3005,$A1742))</f>
        <v/>
      </c>
      <c r="M1742" s="12" t="n"/>
      <c r="N1742" s="12">
        <f>IF($A1742="","",IF($G1742="","",IF($M1742="Oui","Litige",IF($J1742&lt;=0,"Payé",IF($I1742&gt;0,"Partiel",IF(Listes!$B$3&gt;$G1742,"En retard","À échoir"))))))</f>
        <v/>
      </c>
      <c r="O1742" s="11">
        <f>IF($A1742="","",IF(OR($G1742="", $J1742&lt;=0),0,MAX(0,Listes!$B$3-$G1742)))</f>
        <v/>
      </c>
      <c r="P1742" s="12">
        <f>IF($A1742="","",IF($J1742&lt;=0,"Payé",IF($M1742="Oui","Litige",IF($O1742=0,"À échoir",IF($O1742&lt;=30,"0-30",IF($O1742&lt;=60,"31-60",IF($O1742&lt;=90,"61-90","90+")))))))</f>
        <v/>
      </c>
    </row>
    <row r="1743">
      <c r="A1743" s="6" t="n"/>
      <c r="B1743" s="6" t="n"/>
      <c r="C1743" s="6" t="n"/>
      <c r="D1743" s="6" t="n"/>
      <c r="E1743" s="6" t="n"/>
      <c r="F1743" s="7" t="n"/>
      <c r="G1743" s="7" t="n"/>
      <c r="H1743" s="8" t="n"/>
      <c r="I1743" s="9">
        <f>IF($A1743="","",SUMIFS(Ventes_Encaissements!$D$6:$D$3005,Ventes_Encaissements!$B$6:$B$3005,$A1743))</f>
        <v/>
      </c>
      <c r="J1743" s="9">
        <f>IF($A1743="","",$H1743-$I1743)</f>
        <v/>
      </c>
      <c r="K1743" s="10">
        <f>IF($A1743="","",IF($I1743=0,"",_xludf.AGGREGATE(14,6,Ventes_Encaissements!$C$6:$C$3005/(Ventes_Encaissements!$B$6:$B$3005=$A1743),1)))</f>
        <v/>
      </c>
      <c r="L1743" s="11">
        <f>IF($A1743="","",COUNTIFS(Ventes_Detail!$B$6:$B$3005,$A1743))</f>
        <v/>
      </c>
      <c r="M1743" s="12" t="n"/>
      <c r="N1743" s="12">
        <f>IF($A1743="","",IF($G1743="","",IF($M1743="Oui","Litige",IF($J1743&lt;=0,"Payé",IF($I1743&gt;0,"Partiel",IF(Listes!$B$3&gt;$G1743,"En retard","À échoir"))))))</f>
        <v/>
      </c>
      <c r="O1743" s="11">
        <f>IF($A1743="","",IF(OR($G1743="", $J1743&lt;=0),0,MAX(0,Listes!$B$3-$G1743)))</f>
        <v/>
      </c>
      <c r="P1743" s="12">
        <f>IF($A1743="","",IF($J1743&lt;=0,"Payé",IF($M1743="Oui","Litige",IF($O1743=0,"À échoir",IF($O1743&lt;=30,"0-30",IF($O1743&lt;=60,"31-60",IF($O1743&lt;=90,"61-90","90+")))))))</f>
        <v/>
      </c>
    </row>
    <row r="1744">
      <c r="A1744" s="6" t="n"/>
      <c r="B1744" s="6" t="n"/>
      <c r="C1744" s="6" t="n"/>
      <c r="D1744" s="6" t="n"/>
      <c r="E1744" s="6" t="n"/>
      <c r="F1744" s="7" t="n"/>
      <c r="G1744" s="7" t="n"/>
      <c r="H1744" s="8" t="n"/>
      <c r="I1744" s="9">
        <f>IF($A1744="","",SUMIFS(Ventes_Encaissements!$D$6:$D$3005,Ventes_Encaissements!$B$6:$B$3005,$A1744))</f>
        <v/>
      </c>
      <c r="J1744" s="9">
        <f>IF($A1744="","",$H1744-$I1744)</f>
        <v/>
      </c>
      <c r="K1744" s="10">
        <f>IF($A1744="","",IF($I1744=0,"",_xludf.AGGREGATE(14,6,Ventes_Encaissements!$C$6:$C$3005/(Ventes_Encaissements!$B$6:$B$3005=$A1744),1)))</f>
        <v/>
      </c>
      <c r="L1744" s="11">
        <f>IF($A1744="","",COUNTIFS(Ventes_Detail!$B$6:$B$3005,$A1744))</f>
        <v/>
      </c>
      <c r="M1744" s="12" t="n"/>
      <c r="N1744" s="12">
        <f>IF($A1744="","",IF($G1744="","",IF($M1744="Oui","Litige",IF($J1744&lt;=0,"Payé",IF($I1744&gt;0,"Partiel",IF(Listes!$B$3&gt;$G1744,"En retard","À échoir"))))))</f>
        <v/>
      </c>
      <c r="O1744" s="11">
        <f>IF($A1744="","",IF(OR($G1744="", $J1744&lt;=0),0,MAX(0,Listes!$B$3-$G1744)))</f>
        <v/>
      </c>
      <c r="P1744" s="12">
        <f>IF($A1744="","",IF($J1744&lt;=0,"Payé",IF($M1744="Oui","Litige",IF($O1744=0,"À échoir",IF($O1744&lt;=30,"0-30",IF($O1744&lt;=60,"31-60",IF($O1744&lt;=90,"61-90","90+")))))))</f>
        <v/>
      </c>
    </row>
    <row r="1745">
      <c r="A1745" s="6" t="n"/>
      <c r="B1745" s="6" t="n"/>
      <c r="C1745" s="6" t="n"/>
      <c r="D1745" s="6" t="n"/>
      <c r="E1745" s="6" t="n"/>
      <c r="F1745" s="7" t="n"/>
      <c r="G1745" s="7" t="n"/>
      <c r="H1745" s="8" t="n"/>
      <c r="I1745" s="9">
        <f>IF($A1745="","",SUMIFS(Ventes_Encaissements!$D$6:$D$3005,Ventes_Encaissements!$B$6:$B$3005,$A1745))</f>
        <v/>
      </c>
      <c r="J1745" s="9">
        <f>IF($A1745="","",$H1745-$I1745)</f>
        <v/>
      </c>
      <c r="K1745" s="10">
        <f>IF($A1745="","",IF($I1745=0,"",_xludf.AGGREGATE(14,6,Ventes_Encaissements!$C$6:$C$3005/(Ventes_Encaissements!$B$6:$B$3005=$A1745),1)))</f>
        <v/>
      </c>
      <c r="L1745" s="11">
        <f>IF($A1745="","",COUNTIFS(Ventes_Detail!$B$6:$B$3005,$A1745))</f>
        <v/>
      </c>
      <c r="M1745" s="12" t="n"/>
      <c r="N1745" s="12">
        <f>IF($A1745="","",IF($G1745="","",IF($M1745="Oui","Litige",IF($J1745&lt;=0,"Payé",IF($I1745&gt;0,"Partiel",IF(Listes!$B$3&gt;$G1745,"En retard","À échoir"))))))</f>
        <v/>
      </c>
      <c r="O1745" s="11">
        <f>IF($A1745="","",IF(OR($G1745="", $J1745&lt;=0),0,MAX(0,Listes!$B$3-$G1745)))</f>
        <v/>
      </c>
      <c r="P1745" s="12">
        <f>IF($A1745="","",IF($J1745&lt;=0,"Payé",IF($M1745="Oui","Litige",IF($O1745=0,"À échoir",IF($O1745&lt;=30,"0-30",IF($O1745&lt;=60,"31-60",IF($O1745&lt;=90,"61-90","90+")))))))</f>
        <v/>
      </c>
    </row>
    <row r="1746">
      <c r="A1746" s="6" t="n"/>
      <c r="B1746" s="6" t="n"/>
      <c r="C1746" s="6" t="n"/>
      <c r="D1746" s="6" t="n"/>
      <c r="E1746" s="6" t="n"/>
      <c r="F1746" s="7" t="n"/>
      <c r="G1746" s="7" t="n"/>
      <c r="H1746" s="8" t="n"/>
      <c r="I1746" s="9">
        <f>IF($A1746="","",SUMIFS(Ventes_Encaissements!$D$6:$D$3005,Ventes_Encaissements!$B$6:$B$3005,$A1746))</f>
        <v/>
      </c>
      <c r="J1746" s="9">
        <f>IF($A1746="","",$H1746-$I1746)</f>
        <v/>
      </c>
      <c r="K1746" s="10">
        <f>IF($A1746="","",IF($I1746=0,"",_xludf.AGGREGATE(14,6,Ventes_Encaissements!$C$6:$C$3005/(Ventes_Encaissements!$B$6:$B$3005=$A1746),1)))</f>
        <v/>
      </c>
      <c r="L1746" s="11">
        <f>IF($A1746="","",COUNTIFS(Ventes_Detail!$B$6:$B$3005,$A1746))</f>
        <v/>
      </c>
      <c r="M1746" s="12" t="n"/>
      <c r="N1746" s="12">
        <f>IF($A1746="","",IF($G1746="","",IF($M1746="Oui","Litige",IF($J1746&lt;=0,"Payé",IF($I1746&gt;0,"Partiel",IF(Listes!$B$3&gt;$G1746,"En retard","À échoir"))))))</f>
        <v/>
      </c>
      <c r="O1746" s="11">
        <f>IF($A1746="","",IF(OR($G1746="", $J1746&lt;=0),0,MAX(0,Listes!$B$3-$G1746)))</f>
        <v/>
      </c>
      <c r="P1746" s="12">
        <f>IF($A1746="","",IF($J1746&lt;=0,"Payé",IF($M1746="Oui","Litige",IF($O1746=0,"À échoir",IF($O1746&lt;=30,"0-30",IF($O1746&lt;=60,"31-60",IF($O1746&lt;=90,"61-90","90+")))))))</f>
        <v/>
      </c>
    </row>
    <row r="1747">
      <c r="A1747" s="6" t="n"/>
      <c r="B1747" s="6" t="n"/>
      <c r="C1747" s="6" t="n"/>
      <c r="D1747" s="6" t="n"/>
      <c r="E1747" s="6" t="n"/>
      <c r="F1747" s="7" t="n"/>
      <c r="G1747" s="7" t="n"/>
      <c r="H1747" s="8" t="n"/>
      <c r="I1747" s="9">
        <f>IF($A1747="","",SUMIFS(Ventes_Encaissements!$D$6:$D$3005,Ventes_Encaissements!$B$6:$B$3005,$A1747))</f>
        <v/>
      </c>
      <c r="J1747" s="9">
        <f>IF($A1747="","",$H1747-$I1747)</f>
        <v/>
      </c>
      <c r="K1747" s="10">
        <f>IF($A1747="","",IF($I1747=0,"",_xludf.AGGREGATE(14,6,Ventes_Encaissements!$C$6:$C$3005/(Ventes_Encaissements!$B$6:$B$3005=$A1747),1)))</f>
        <v/>
      </c>
      <c r="L1747" s="11">
        <f>IF($A1747="","",COUNTIFS(Ventes_Detail!$B$6:$B$3005,$A1747))</f>
        <v/>
      </c>
      <c r="M1747" s="12" t="n"/>
      <c r="N1747" s="12">
        <f>IF($A1747="","",IF($G1747="","",IF($M1747="Oui","Litige",IF($J1747&lt;=0,"Payé",IF($I1747&gt;0,"Partiel",IF(Listes!$B$3&gt;$G1747,"En retard","À échoir"))))))</f>
        <v/>
      </c>
      <c r="O1747" s="11">
        <f>IF($A1747="","",IF(OR($G1747="", $J1747&lt;=0),0,MAX(0,Listes!$B$3-$G1747)))</f>
        <v/>
      </c>
      <c r="P1747" s="12">
        <f>IF($A1747="","",IF($J1747&lt;=0,"Payé",IF($M1747="Oui","Litige",IF($O1747=0,"À échoir",IF($O1747&lt;=30,"0-30",IF($O1747&lt;=60,"31-60",IF($O1747&lt;=90,"61-90","90+")))))))</f>
        <v/>
      </c>
    </row>
    <row r="1748">
      <c r="A1748" s="6" t="n"/>
      <c r="B1748" s="6" t="n"/>
      <c r="C1748" s="6" t="n"/>
      <c r="D1748" s="6" t="n"/>
      <c r="E1748" s="6" t="n"/>
      <c r="F1748" s="7" t="n"/>
      <c r="G1748" s="7" t="n"/>
      <c r="H1748" s="8" t="n"/>
      <c r="I1748" s="9">
        <f>IF($A1748="","",SUMIFS(Ventes_Encaissements!$D$6:$D$3005,Ventes_Encaissements!$B$6:$B$3005,$A1748))</f>
        <v/>
      </c>
      <c r="J1748" s="9">
        <f>IF($A1748="","",$H1748-$I1748)</f>
        <v/>
      </c>
      <c r="K1748" s="10">
        <f>IF($A1748="","",IF($I1748=0,"",_xludf.AGGREGATE(14,6,Ventes_Encaissements!$C$6:$C$3005/(Ventes_Encaissements!$B$6:$B$3005=$A1748),1)))</f>
        <v/>
      </c>
      <c r="L1748" s="11">
        <f>IF($A1748="","",COUNTIFS(Ventes_Detail!$B$6:$B$3005,$A1748))</f>
        <v/>
      </c>
      <c r="M1748" s="12" t="n"/>
      <c r="N1748" s="12">
        <f>IF($A1748="","",IF($G1748="","",IF($M1748="Oui","Litige",IF($J1748&lt;=0,"Payé",IF($I1748&gt;0,"Partiel",IF(Listes!$B$3&gt;$G1748,"En retard","À échoir"))))))</f>
        <v/>
      </c>
      <c r="O1748" s="11">
        <f>IF($A1748="","",IF(OR($G1748="", $J1748&lt;=0),0,MAX(0,Listes!$B$3-$G1748)))</f>
        <v/>
      </c>
      <c r="P1748" s="12">
        <f>IF($A1748="","",IF($J1748&lt;=0,"Payé",IF($M1748="Oui","Litige",IF($O1748=0,"À échoir",IF($O1748&lt;=30,"0-30",IF($O1748&lt;=60,"31-60",IF($O1748&lt;=90,"61-90","90+")))))))</f>
        <v/>
      </c>
    </row>
    <row r="1749">
      <c r="A1749" s="6" t="n"/>
      <c r="B1749" s="6" t="n"/>
      <c r="C1749" s="6" t="n"/>
      <c r="D1749" s="6" t="n"/>
      <c r="E1749" s="6" t="n"/>
      <c r="F1749" s="7" t="n"/>
      <c r="G1749" s="7" t="n"/>
      <c r="H1749" s="8" t="n"/>
      <c r="I1749" s="9">
        <f>IF($A1749="","",SUMIFS(Ventes_Encaissements!$D$6:$D$3005,Ventes_Encaissements!$B$6:$B$3005,$A1749))</f>
        <v/>
      </c>
      <c r="J1749" s="9">
        <f>IF($A1749="","",$H1749-$I1749)</f>
        <v/>
      </c>
      <c r="K1749" s="10">
        <f>IF($A1749="","",IF($I1749=0,"",_xludf.AGGREGATE(14,6,Ventes_Encaissements!$C$6:$C$3005/(Ventes_Encaissements!$B$6:$B$3005=$A1749),1)))</f>
        <v/>
      </c>
      <c r="L1749" s="11">
        <f>IF($A1749="","",COUNTIFS(Ventes_Detail!$B$6:$B$3005,$A1749))</f>
        <v/>
      </c>
      <c r="M1749" s="12" t="n"/>
      <c r="N1749" s="12">
        <f>IF($A1749="","",IF($G1749="","",IF($M1749="Oui","Litige",IF($J1749&lt;=0,"Payé",IF($I1749&gt;0,"Partiel",IF(Listes!$B$3&gt;$G1749,"En retard","À échoir"))))))</f>
        <v/>
      </c>
      <c r="O1749" s="11">
        <f>IF($A1749="","",IF(OR($G1749="", $J1749&lt;=0),0,MAX(0,Listes!$B$3-$G1749)))</f>
        <v/>
      </c>
      <c r="P1749" s="12">
        <f>IF($A1749="","",IF($J1749&lt;=0,"Payé",IF($M1749="Oui","Litige",IF($O1749=0,"À échoir",IF($O1749&lt;=30,"0-30",IF($O1749&lt;=60,"31-60",IF($O1749&lt;=90,"61-90","90+")))))))</f>
        <v/>
      </c>
    </row>
    <row r="1750">
      <c r="A1750" s="6" t="n"/>
      <c r="B1750" s="6" t="n"/>
      <c r="C1750" s="6" t="n"/>
      <c r="D1750" s="6" t="n"/>
      <c r="E1750" s="6" t="n"/>
      <c r="F1750" s="7" t="n"/>
      <c r="G1750" s="7" t="n"/>
      <c r="H1750" s="8" t="n"/>
      <c r="I1750" s="9">
        <f>IF($A1750="","",SUMIFS(Ventes_Encaissements!$D$6:$D$3005,Ventes_Encaissements!$B$6:$B$3005,$A1750))</f>
        <v/>
      </c>
      <c r="J1750" s="9">
        <f>IF($A1750="","",$H1750-$I1750)</f>
        <v/>
      </c>
      <c r="K1750" s="10">
        <f>IF($A1750="","",IF($I1750=0,"",_xludf.AGGREGATE(14,6,Ventes_Encaissements!$C$6:$C$3005/(Ventes_Encaissements!$B$6:$B$3005=$A1750),1)))</f>
        <v/>
      </c>
      <c r="L1750" s="11">
        <f>IF($A1750="","",COUNTIFS(Ventes_Detail!$B$6:$B$3005,$A1750))</f>
        <v/>
      </c>
      <c r="M1750" s="12" t="n"/>
      <c r="N1750" s="12">
        <f>IF($A1750="","",IF($G1750="","",IF($M1750="Oui","Litige",IF($J1750&lt;=0,"Payé",IF($I1750&gt;0,"Partiel",IF(Listes!$B$3&gt;$G1750,"En retard","À échoir"))))))</f>
        <v/>
      </c>
      <c r="O1750" s="11">
        <f>IF($A1750="","",IF(OR($G1750="", $J1750&lt;=0),0,MAX(0,Listes!$B$3-$G1750)))</f>
        <v/>
      </c>
      <c r="P1750" s="12">
        <f>IF($A1750="","",IF($J1750&lt;=0,"Payé",IF($M1750="Oui","Litige",IF($O1750=0,"À échoir",IF($O1750&lt;=30,"0-30",IF($O1750&lt;=60,"31-60",IF($O1750&lt;=90,"61-90","90+")))))))</f>
        <v/>
      </c>
    </row>
    <row r="1751">
      <c r="A1751" s="6" t="n"/>
      <c r="B1751" s="6" t="n"/>
      <c r="C1751" s="6" t="n"/>
      <c r="D1751" s="6" t="n"/>
      <c r="E1751" s="6" t="n"/>
      <c r="F1751" s="7" t="n"/>
      <c r="G1751" s="7" t="n"/>
      <c r="H1751" s="8" t="n"/>
      <c r="I1751" s="9">
        <f>IF($A1751="","",SUMIFS(Ventes_Encaissements!$D$6:$D$3005,Ventes_Encaissements!$B$6:$B$3005,$A1751))</f>
        <v/>
      </c>
      <c r="J1751" s="9">
        <f>IF($A1751="","",$H1751-$I1751)</f>
        <v/>
      </c>
      <c r="K1751" s="10">
        <f>IF($A1751="","",IF($I1751=0,"",_xludf.AGGREGATE(14,6,Ventes_Encaissements!$C$6:$C$3005/(Ventes_Encaissements!$B$6:$B$3005=$A1751),1)))</f>
        <v/>
      </c>
      <c r="L1751" s="11">
        <f>IF($A1751="","",COUNTIFS(Ventes_Detail!$B$6:$B$3005,$A1751))</f>
        <v/>
      </c>
      <c r="M1751" s="12" t="n"/>
      <c r="N1751" s="12">
        <f>IF($A1751="","",IF($G1751="","",IF($M1751="Oui","Litige",IF($J1751&lt;=0,"Payé",IF($I1751&gt;0,"Partiel",IF(Listes!$B$3&gt;$G1751,"En retard","À échoir"))))))</f>
        <v/>
      </c>
      <c r="O1751" s="11">
        <f>IF($A1751="","",IF(OR($G1751="", $J1751&lt;=0),0,MAX(0,Listes!$B$3-$G1751)))</f>
        <v/>
      </c>
      <c r="P1751" s="12">
        <f>IF($A1751="","",IF($J1751&lt;=0,"Payé",IF($M1751="Oui","Litige",IF($O1751=0,"À échoir",IF($O1751&lt;=30,"0-30",IF($O1751&lt;=60,"31-60",IF($O1751&lt;=90,"61-90","90+")))))))</f>
        <v/>
      </c>
    </row>
    <row r="1752">
      <c r="A1752" s="6" t="n"/>
      <c r="B1752" s="6" t="n"/>
      <c r="C1752" s="6" t="n"/>
      <c r="D1752" s="6" t="n"/>
      <c r="E1752" s="6" t="n"/>
      <c r="F1752" s="7" t="n"/>
      <c r="G1752" s="7" t="n"/>
      <c r="H1752" s="8" t="n"/>
      <c r="I1752" s="9">
        <f>IF($A1752="","",SUMIFS(Ventes_Encaissements!$D$6:$D$3005,Ventes_Encaissements!$B$6:$B$3005,$A1752))</f>
        <v/>
      </c>
      <c r="J1752" s="9">
        <f>IF($A1752="","",$H1752-$I1752)</f>
        <v/>
      </c>
      <c r="K1752" s="10">
        <f>IF($A1752="","",IF($I1752=0,"",_xludf.AGGREGATE(14,6,Ventes_Encaissements!$C$6:$C$3005/(Ventes_Encaissements!$B$6:$B$3005=$A1752),1)))</f>
        <v/>
      </c>
      <c r="L1752" s="11">
        <f>IF($A1752="","",COUNTIFS(Ventes_Detail!$B$6:$B$3005,$A1752))</f>
        <v/>
      </c>
      <c r="M1752" s="12" t="n"/>
      <c r="N1752" s="12">
        <f>IF($A1752="","",IF($G1752="","",IF($M1752="Oui","Litige",IF($J1752&lt;=0,"Payé",IF($I1752&gt;0,"Partiel",IF(Listes!$B$3&gt;$G1752,"En retard","À échoir"))))))</f>
        <v/>
      </c>
      <c r="O1752" s="11">
        <f>IF($A1752="","",IF(OR($G1752="", $J1752&lt;=0),0,MAX(0,Listes!$B$3-$G1752)))</f>
        <v/>
      </c>
      <c r="P1752" s="12">
        <f>IF($A1752="","",IF($J1752&lt;=0,"Payé",IF($M1752="Oui","Litige",IF($O1752=0,"À échoir",IF($O1752&lt;=30,"0-30",IF($O1752&lt;=60,"31-60",IF($O1752&lt;=90,"61-90","90+")))))))</f>
        <v/>
      </c>
    </row>
    <row r="1753">
      <c r="A1753" s="6" t="n"/>
      <c r="B1753" s="6" t="n"/>
      <c r="C1753" s="6" t="n"/>
      <c r="D1753" s="6" t="n"/>
      <c r="E1753" s="6" t="n"/>
      <c r="F1753" s="7" t="n"/>
      <c r="G1753" s="7" t="n"/>
      <c r="H1753" s="8" t="n"/>
      <c r="I1753" s="9">
        <f>IF($A1753="","",SUMIFS(Ventes_Encaissements!$D$6:$D$3005,Ventes_Encaissements!$B$6:$B$3005,$A1753))</f>
        <v/>
      </c>
      <c r="J1753" s="9">
        <f>IF($A1753="","",$H1753-$I1753)</f>
        <v/>
      </c>
      <c r="K1753" s="10">
        <f>IF($A1753="","",IF($I1753=0,"",_xludf.AGGREGATE(14,6,Ventes_Encaissements!$C$6:$C$3005/(Ventes_Encaissements!$B$6:$B$3005=$A1753),1)))</f>
        <v/>
      </c>
      <c r="L1753" s="11">
        <f>IF($A1753="","",COUNTIFS(Ventes_Detail!$B$6:$B$3005,$A1753))</f>
        <v/>
      </c>
      <c r="M1753" s="12" t="n"/>
      <c r="N1753" s="12">
        <f>IF($A1753="","",IF($G1753="","",IF($M1753="Oui","Litige",IF($J1753&lt;=0,"Payé",IF($I1753&gt;0,"Partiel",IF(Listes!$B$3&gt;$G1753,"En retard","À échoir"))))))</f>
        <v/>
      </c>
      <c r="O1753" s="11">
        <f>IF($A1753="","",IF(OR($G1753="", $J1753&lt;=0),0,MAX(0,Listes!$B$3-$G1753)))</f>
        <v/>
      </c>
      <c r="P1753" s="12">
        <f>IF($A1753="","",IF($J1753&lt;=0,"Payé",IF($M1753="Oui","Litige",IF($O1753=0,"À échoir",IF($O1753&lt;=30,"0-30",IF($O1753&lt;=60,"31-60",IF($O1753&lt;=90,"61-90","90+")))))))</f>
        <v/>
      </c>
    </row>
    <row r="1754">
      <c r="A1754" s="6" t="n"/>
      <c r="B1754" s="6" t="n"/>
      <c r="C1754" s="6" t="n"/>
      <c r="D1754" s="6" t="n"/>
      <c r="E1754" s="6" t="n"/>
      <c r="F1754" s="7" t="n"/>
      <c r="G1754" s="7" t="n"/>
      <c r="H1754" s="8" t="n"/>
      <c r="I1754" s="9">
        <f>IF($A1754="","",SUMIFS(Ventes_Encaissements!$D$6:$D$3005,Ventes_Encaissements!$B$6:$B$3005,$A1754))</f>
        <v/>
      </c>
      <c r="J1754" s="9">
        <f>IF($A1754="","",$H1754-$I1754)</f>
        <v/>
      </c>
      <c r="K1754" s="10">
        <f>IF($A1754="","",IF($I1754=0,"",_xludf.AGGREGATE(14,6,Ventes_Encaissements!$C$6:$C$3005/(Ventes_Encaissements!$B$6:$B$3005=$A1754),1)))</f>
        <v/>
      </c>
      <c r="L1754" s="11">
        <f>IF($A1754="","",COUNTIFS(Ventes_Detail!$B$6:$B$3005,$A1754))</f>
        <v/>
      </c>
      <c r="M1754" s="12" t="n"/>
      <c r="N1754" s="12">
        <f>IF($A1754="","",IF($G1754="","",IF($M1754="Oui","Litige",IF($J1754&lt;=0,"Payé",IF($I1754&gt;0,"Partiel",IF(Listes!$B$3&gt;$G1754,"En retard","À échoir"))))))</f>
        <v/>
      </c>
      <c r="O1754" s="11">
        <f>IF($A1754="","",IF(OR($G1754="", $J1754&lt;=0),0,MAX(0,Listes!$B$3-$G1754)))</f>
        <v/>
      </c>
      <c r="P1754" s="12">
        <f>IF($A1754="","",IF($J1754&lt;=0,"Payé",IF($M1754="Oui","Litige",IF($O1754=0,"À échoir",IF($O1754&lt;=30,"0-30",IF($O1754&lt;=60,"31-60",IF($O1754&lt;=90,"61-90","90+")))))))</f>
        <v/>
      </c>
    </row>
    <row r="1755">
      <c r="A1755" s="6" t="n"/>
      <c r="B1755" s="6" t="n"/>
      <c r="C1755" s="6" t="n"/>
      <c r="D1755" s="6" t="n"/>
      <c r="E1755" s="6" t="n"/>
      <c r="F1755" s="7" t="n"/>
      <c r="G1755" s="7" t="n"/>
      <c r="H1755" s="8" t="n"/>
      <c r="I1755" s="9">
        <f>IF($A1755="","",SUMIFS(Ventes_Encaissements!$D$6:$D$3005,Ventes_Encaissements!$B$6:$B$3005,$A1755))</f>
        <v/>
      </c>
      <c r="J1755" s="9">
        <f>IF($A1755="","",$H1755-$I1755)</f>
        <v/>
      </c>
      <c r="K1755" s="10">
        <f>IF($A1755="","",IF($I1755=0,"",_xludf.AGGREGATE(14,6,Ventes_Encaissements!$C$6:$C$3005/(Ventes_Encaissements!$B$6:$B$3005=$A1755),1)))</f>
        <v/>
      </c>
      <c r="L1755" s="11">
        <f>IF($A1755="","",COUNTIFS(Ventes_Detail!$B$6:$B$3005,$A1755))</f>
        <v/>
      </c>
      <c r="M1755" s="12" t="n"/>
      <c r="N1755" s="12">
        <f>IF($A1755="","",IF($G1755="","",IF($M1755="Oui","Litige",IF($J1755&lt;=0,"Payé",IF($I1755&gt;0,"Partiel",IF(Listes!$B$3&gt;$G1755,"En retard","À échoir"))))))</f>
        <v/>
      </c>
      <c r="O1755" s="11">
        <f>IF($A1755="","",IF(OR($G1755="", $J1755&lt;=0),0,MAX(0,Listes!$B$3-$G1755)))</f>
        <v/>
      </c>
      <c r="P1755" s="12">
        <f>IF($A1755="","",IF($J1755&lt;=0,"Payé",IF($M1755="Oui","Litige",IF($O1755=0,"À échoir",IF($O1755&lt;=30,"0-30",IF($O1755&lt;=60,"31-60",IF($O1755&lt;=90,"61-90","90+")))))))</f>
        <v/>
      </c>
    </row>
    <row r="1756">
      <c r="A1756" s="6" t="n"/>
      <c r="B1756" s="6" t="n"/>
      <c r="C1756" s="6" t="n"/>
      <c r="D1756" s="6" t="n"/>
      <c r="E1756" s="6" t="n"/>
      <c r="F1756" s="7" t="n"/>
      <c r="G1756" s="7" t="n"/>
      <c r="H1756" s="8" t="n"/>
      <c r="I1756" s="9">
        <f>IF($A1756="","",SUMIFS(Ventes_Encaissements!$D$6:$D$3005,Ventes_Encaissements!$B$6:$B$3005,$A1756))</f>
        <v/>
      </c>
      <c r="J1756" s="9">
        <f>IF($A1756="","",$H1756-$I1756)</f>
        <v/>
      </c>
      <c r="K1756" s="10">
        <f>IF($A1756="","",IF($I1756=0,"",_xludf.AGGREGATE(14,6,Ventes_Encaissements!$C$6:$C$3005/(Ventes_Encaissements!$B$6:$B$3005=$A1756),1)))</f>
        <v/>
      </c>
      <c r="L1756" s="11">
        <f>IF($A1756="","",COUNTIFS(Ventes_Detail!$B$6:$B$3005,$A1756))</f>
        <v/>
      </c>
      <c r="M1756" s="12" t="n"/>
      <c r="N1756" s="12">
        <f>IF($A1756="","",IF($G1756="","",IF($M1756="Oui","Litige",IF($J1756&lt;=0,"Payé",IF($I1756&gt;0,"Partiel",IF(Listes!$B$3&gt;$G1756,"En retard","À échoir"))))))</f>
        <v/>
      </c>
      <c r="O1756" s="11">
        <f>IF($A1756="","",IF(OR($G1756="", $J1756&lt;=0),0,MAX(0,Listes!$B$3-$G1756)))</f>
        <v/>
      </c>
      <c r="P1756" s="12">
        <f>IF($A1756="","",IF($J1756&lt;=0,"Payé",IF($M1756="Oui","Litige",IF($O1756=0,"À échoir",IF($O1756&lt;=30,"0-30",IF($O1756&lt;=60,"31-60",IF($O1756&lt;=90,"61-90","90+")))))))</f>
        <v/>
      </c>
    </row>
    <row r="1757">
      <c r="A1757" s="6" t="n"/>
      <c r="B1757" s="6" t="n"/>
      <c r="C1757" s="6" t="n"/>
      <c r="D1757" s="6" t="n"/>
      <c r="E1757" s="6" t="n"/>
      <c r="F1757" s="7" t="n"/>
      <c r="G1757" s="7" t="n"/>
      <c r="H1757" s="8" t="n"/>
      <c r="I1757" s="9">
        <f>IF($A1757="","",SUMIFS(Ventes_Encaissements!$D$6:$D$3005,Ventes_Encaissements!$B$6:$B$3005,$A1757))</f>
        <v/>
      </c>
      <c r="J1757" s="9">
        <f>IF($A1757="","",$H1757-$I1757)</f>
        <v/>
      </c>
      <c r="K1757" s="10">
        <f>IF($A1757="","",IF($I1757=0,"",_xludf.AGGREGATE(14,6,Ventes_Encaissements!$C$6:$C$3005/(Ventes_Encaissements!$B$6:$B$3005=$A1757),1)))</f>
        <v/>
      </c>
      <c r="L1757" s="11">
        <f>IF($A1757="","",COUNTIFS(Ventes_Detail!$B$6:$B$3005,$A1757))</f>
        <v/>
      </c>
      <c r="M1757" s="12" t="n"/>
      <c r="N1757" s="12">
        <f>IF($A1757="","",IF($G1757="","",IF($M1757="Oui","Litige",IF($J1757&lt;=0,"Payé",IF($I1757&gt;0,"Partiel",IF(Listes!$B$3&gt;$G1757,"En retard","À échoir"))))))</f>
        <v/>
      </c>
      <c r="O1757" s="11">
        <f>IF($A1757="","",IF(OR($G1757="", $J1757&lt;=0),0,MAX(0,Listes!$B$3-$G1757)))</f>
        <v/>
      </c>
      <c r="P1757" s="12">
        <f>IF($A1757="","",IF($J1757&lt;=0,"Payé",IF($M1757="Oui","Litige",IF($O1757=0,"À échoir",IF($O1757&lt;=30,"0-30",IF($O1757&lt;=60,"31-60",IF($O1757&lt;=90,"61-90","90+")))))))</f>
        <v/>
      </c>
    </row>
    <row r="1758">
      <c r="A1758" s="6" t="n"/>
      <c r="B1758" s="6" t="n"/>
      <c r="C1758" s="6" t="n"/>
      <c r="D1758" s="6" t="n"/>
      <c r="E1758" s="6" t="n"/>
      <c r="F1758" s="7" t="n"/>
      <c r="G1758" s="7" t="n"/>
      <c r="H1758" s="8" t="n"/>
      <c r="I1758" s="9">
        <f>IF($A1758="","",SUMIFS(Ventes_Encaissements!$D$6:$D$3005,Ventes_Encaissements!$B$6:$B$3005,$A1758))</f>
        <v/>
      </c>
      <c r="J1758" s="9">
        <f>IF($A1758="","",$H1758-$I1758)</f>
        <v/>
      </c>
      <c r="K1758" s="10">
        <f>IF($A1758="","",IF($I1758=0,"",_xludf.AGGREGATE(14,6,Ventes_Encaissements!$C$6:$C$3005/(Ventes_Encaissements!$B$6:$B$3005=$A1758),1)))</f>
        <v/>
      </c>
      <c r="L1758" s="11">
        <f>IF($A1758="","",COUNTIFS(Ventes_Detail!$B$6:$B$3005,$A1758))</f>
        <v/>
      </c>
      <c r="M1758" s="12" t="n"/>
      <c r="N1758" s="12">
        <f>IF($A1758="","",IF($G1758="","",IF($M1758="Oui","Litige",IF($J1758&lt;=0,"Payé",IF($I1758&gt;0,"Partiel",IF(Listes!$B$3&gt;$G1758,"En retard","À échoir"))))))</f>
        <v/>
      </c>
      <c r="O1758" s="11">
        <f>IF($A1758="","",IF(OR($G1758="", $J1758&lt;=0),0,MAX(0,Listes!$B$3-$G1758)))</f>
        <v/>
      </c>
      <c r="P1758" s="12">
        <f>IF($A1758="","",IF($J1758&lt;=0,"Payé",IF($M1758="Oui","Litige",IF($O1758=0,"À échoir",IF($O1758&lt;=30,"0-30",IF($O1758&lt;=60,"31-60",IF($O1758&lt;=90,"61-90","90+")))))))</f>
        <v/>
      </c>
    </row>
    <row r="1759">
      <c r="A1759" s="6" t="n"/>
      <c r="B1759" s="6" t="n"/>
      <c r="C1759" s="6" t="n"/>
      <c r="D1759" s="6" t="n"/>
      <c r="E1759" s="6" t="n"/>
      <c r="F1759" s="7" t="n"/>
      <c r="G1759" s="7" t="n"/>
      <c r="H1759" s="8" t="n"/>
      <c r="I1759" s="9">
        <f>IF($A1759="","",SUMIFS(Ventes_Encaissements!$D$6:$D$3005,Ventes_Encaissements!$B$6:$B$3005,$A1759))</f>
        <v/>
      </c>
      <c r="J1759" s="9">
        <f>IF($A1759="","",$H1759-$I1759)</f>
        <v/>
      </c>
      <c r="K1759" s="10">
        <f>IF($A1759="","",IF($I1759=0,"",_xludf.AGGREGATE(14,6,Ventes_Encaissements!$C$6:$C$3005/(Ventes_Encaissements!$B$6:$B$3005=$A1759),1)))</f>
        <v/>
      </c>
      <c r="L1759" s="11">
        <f>IF($A1759="","",COUNTIFS(Ventes_Detail!$B$6:$B$3005,$A1759))</f>
        <v/>
      </c>
      <c r="M1759" s="12" t="n"/>
      <c r="N1759" s="12">
        <f>IF($A1759="","",IF($G1759="","",IF($M1759="Oui","Litige",IF($J1759&lt;=0,"Payé",IF($I1759&gt;0,"Partiel",IF(Listes!$B$3&gt;$G1759,"En retard","À échoir"))))))</f>
        <v/>
      </c>
      <c r="O1759" s="11">
        <f>IF($A1759="","",IF(OR($G1759="", $J1759&lt;=0),0,MAX(0,Listes!$B$3-$G1759)))</f>
        <v/>
      </c>
      <c r="P1759" s="12">
        <f>IF($A1759="","",IF($J1759&lt;=0,"Payé",IF($M1759="Oui","Litige",IF($O1759=0,"À échoir",IF($O1759&lt;=30,"0-30",IF($O1759&lt;=60,"31-60",IF($O1759&lt;=90,"61-90","90+")))))))</f>
        <v/>
      </c>
    </row>
    <row r="1760">
      <c r="A1760" s="6" t="n"/>
      <c r="B1760" s="6" t="n"/>
      <c r="C1760" s="6" t="n"/>
      <c r="D1760" s="6" t="n"/>
      <c r="E1760" s="6" t="n"/>
      <c r="F1760" s="7" t="n"/>
      <c r="G1760" s="7" t="n"/>
      <c r="H1760" s="8" t="n"/>
      <c r="I1760" s="9">
        <f>IF($A1760="","",SUMIFS(Ventes_Encaissements!$D$6:$D$3005,Ventes_Encaissements!$B$6:$B$3005,$A1760))</f>
        <v/>
      </c>
      <c r="J1760" s="9">
        <f>IF($A1760="","",$H1760-$I1760)</f>
        <v/>
      </c>
      <c r="K1760" s="10">
        <f>IF($A1760="","",IF($I1760=0,"",_xludf.AGGREGATE(14,6,Ventes_Encaissements!$C$6:$C$3005/(Ventes_Encaissements!$B$6:$B$3005=$A1760),1)))</f>
        <v/>
      </c>
      <c r="L1760" s="11">
        <f>IF($A1760="","",COUNTIFS(Ventes_Detail!$B$6:$B$3005,$A1760))</f>
        <v/>
      </c>
      <c r="M1760" s="12" t="n"/>
      <c r="N1760" s="12">
        <f>IF($A1760="","",IF($G1760="","",IF($M1760="Oui","Litige",IF($J1760&lt;=0,"Payé",IF($I1760&gt;0,"Partiel",IF(Listes!$B$3&gt;$G1760,"En retard","À échoir"))))))</f>
        <v/>
      </c>
      <c r="O1760" s="11">
        <f>IF($A1760="","",IF(OR($G1760="", $J1760&lt;=0),0,MAX(0,Listes!$B$3-$G1760)))</f>
        <v/>
      </c>
      <c r="P1760" s="12">
        <f>IF($A1760="","",IF($J1760&lt;=0,"Payé",IF($M1760="Oui","Litige",IF($O1760=0,"À échoir",IF($O1760&lt;=30,"0-30",IF($O1760&lt;=60,"31-60",IF($O1760&lt;=90,"61-90","90+")))))))</f>
        <v/>
      </c>
    </row>
    <row r="1761">
      <c r="A1761" s="6" t="n"/>
      <c r="B1761" s="6" t="n"/>
      <c r="C1761" s="6" t="n"/>
      <c r="D1761" s="6" t="n"/>
      <c r="E1761" s="6" t="n"/>
      <c r="F1761" s="7" t="n"/>
      <c r="G1761" s="7" t="n"/>
      <c r="H1761" s="8" t="n"/>
      <c r="I1761" s="9">
        <f>IF($A1761="","",SUMIFS(Ventes_Encaissements!$D$6:$D$3005,Ventes_Encaissements!$B$6:$B$3005,$A1761))</f>
        <v/>
      </c>
      <c r="J1761" s="9">
        <f>IF($A1761="","",$H1761-$I1761)</f>
        <v/>
      </c>
      <c r="K1761" s="10">
        <f>IF($A1761="","",IF($I1761=0,"",_xludf.AGGREGATE(14,6,Ventes_Encaissements!$C$6:$C$3005/(Ventes_Encaissements!$B$6:$B$3005=$A1761),1)))</f>
        <v/>
      </c>
      <c r="L1761" s="11">
        <f>IF($A1761="","",COUNTIFS(Ventes_Detail!$B$6:$B$3005,$A1761))</f>
        <v/>
      </c>
      <c r="M1761" s="12" t="n"/>
      <c r="N1761" s="12">
        <f>IF($A1761="","",IF($G1761="","",IF($M1761="Oui","Litige",IF($J1761&lt;=0,"Payé",IF($I1761&gt;0,"Partiel",IF(Listes!$B$3&gt;$G1761,"En retard","À échoir"))))))</f>
        <v/>
      </c>
      <c r="O1761" s="11">
        <f>IF($A1761="","",IF(OR($G1761="", $J1761&lt;=0),0,MAX(0,Listes!$B$3-$G1761)))</f>
        <v/>
      </c>
      <c r="P1761" s="12">
        <f>IF($A1761="","",IF($J1761&lt;=0,"Payé",IF($M1761="Oui","Litige",IF($O1761=0,"À échoir",IF($O1761&lt;=30,"0-30",IF($O1761&lt;=60,"31-60",IF($O1761&lt;=90,"61-90","90+")))))))</f>
        <v/>
      </c>
    </row>
    <row r="1762">
      <c r="A1762" s="6" t="n"/>
      <c r="B1762" s="6" t="n"/>
      <c r="C1762" s="6" t="n"/>
      <c r="D1762" s="6" t="n"/>
      <c r="E1762" s="6" t="n"/>
      <c r="F1762" s="7" t="n"/>
      <c r="G1762" s="7" t="n"/>
      <c r="H1762" s="8" t="n"/>
      <c r="I1762" s="9">
        <f>IF($A1762="","",SUMIFS(Ventes_Encaissements!$D$6:$D$3005,Ventes_Encaissements!$B$6:$B$3005,$A1762))</f>
        <v/>
      </c>
      <c r="J1762" s="9">
        <f>IF($A1762="","",$H1762-$I1762)</f>
        <v/>
      </c>
      <c r="K1762" s="10">
        <f>IF($A1762="","",IF($I1762=0,"",_xludf.AGGREGATE(14,6,Ventes_Encaissements!$C$6:$C$3005/(Ventes_Encaissements!$B$6:$B$3005=$A1762),1)))</f>
        <v/>
      </c>
      <c r="L1762" s="11">
        <f>IF($A1762="","",COUNTIFS(Ventes_Detail!$B$6:$B$3005,$A1762))</f>
        <v/>
      </c>
      <c r="M1762" s="12" t="n"/>
      <c r="N1762" s="12">
        <f>IF($A1762="","",IF($G1762="","",IF($M1762="Oui","Litige",IF($J1762&lt;=0,"Payé",IF($I1762&gt;0,"Partiel",IF(Listes!$B$3&gt;$G1762,"En retard","À échoir"))))))</f>
        <v/>
      </c>
      <c r="O1762" s="11">
        <f>IF($A1762="","",IF(OR($G1762="", $J1762&lt;=0),0,MAX(0,Listes!$B$3-$G1762)))</f>
        <v/>
      </c>
      <c r="P1762" s="12">
        <f>IF($A1762="","",IF($J1762&lt;=0,"Payé",IF($M1762="Oui","Litige",IF($O1762=0,"À échoir",IF($O1762&lt;=30,"0-30",IF($O1762&lt;=60,"31-60",IF($O1762&lt;=90,"61-90","90+")))))))</f>
        <v/>
      </c>
    </row>
    <row r="1763">
      <c r="A1763" s="6" t="n"/>
      <c r="B1763" s="6" t="n"/>
      <c r="C1763" s="6" t="n"/>
      <c r="D1763" s="6" t="n"/>
      <c r="E1763" s="6" t="n"/>
      <c r="F1763" s="7" t="n"/>
      <c r="G1763" s="7" t="n"/>
      <c r="H1763" s="8" t="n"/>
      <c r="I1763" s="9">
        <f>IF($A1763="","",SUMIFS(Ventes_Encaissements!$D$6:$D$3005,Ventes_Encaissements!$B$6:$B$3005,$A1763))</f>
        <v/>
      </c>
      <c r="J1763" s="9">
        <f>IF($A1763="","",$H1763-$I1763)</f>
        <v/>
      </c>
      <c r="K1763" s="10">
        <f>IF($A1763="","",IF($I1763=0,"",_xludf.AGGREGATE(14,6,Ventes_Encaissements!$C$6:$C$3005/(Ventes_Encaissements!$B$6:$B$3005=$A1763),1)))</f>
        <v/>
      </c>
      <c r="L1763" s="11">
        <f>IF($A1763="","",COUNTIFS(Ventes_Detail!$B$6:$B$3005,$A1763))</f>
        <v/>
      </c>
      <c r="M1763" s="12" t="n"/>
      <c r="N1763" s="12">
        <f>IF($A1763="","",IF($G1763="","",IF($M1763="Oui","Litige",IF($J1763&lt;=0,"Payé",IF($I1763&gt;0,"Partiel",IF(Listes!$B$3&gt;$G1763,"En retard","À échoir"))))))</f>
        <v/>
      </c>
      <c r="O1763" s="11">
        <f>IF($A1763="","",IF(OR($G1763="", $J1763&lt;=0),0,MAX(0,Listes!$B$3-$G1763)))</f>
        <v/>
      </c>
      <c r="P1763" s="12">
        <f>IF($A1763="","",IF($J1763&lt;=0,"Payé",IF($M1763="Oui","Litige",IF($O1763=0,"À échoir",IF($O1763&lt;=30,"0-30",IF($O1763&lt;=60,"31-60",IF($O1763&lt;=90,"61-90","90+")))))))</f>
        <v/>
      </c>
    </row>
    <row r="1764">
      <c r="A1764" s="6" t="n"/>
      <c r="B1764" s="6" t="n"/>
      <c r="C1764" s="6" t="n"/>
      <c r="D1764" s="6" t="n"/>
      <c r="E1764" s="6" t="n"/>
      <c r="F1764" s="7" t="n"/>
      <c r="G1764" s="7" t="n"/>
      <c r="H1764" s="8" t="n"/>
      <c r="I1764" s="9">
        <f>IF($A1764="","",SUMIFS(Ventes_Encaissements!$D$6:$D$3005,Ventes_Encaissements!$B$6:$B$3005,$A1764))</f>
        <v/>
      </c>
      <c r="J1764" s="9">
        <f>IF($A1764="","",$H1764-$I1764)</f>
        <v/>
      </c>
      <c r="K1764" s="10">
        <f>IF($A1764="","",IF($I1764=0,"",_xludf.AGGREGATE(14,6,Ventes_Encaissements!$C$6:$C$3005/(Ventes_Encaissements!$B$6:$B$3005=$A1764),1)))</f>
        <v/>
      </c>
      <c r="L1764" s="11">
        <f>IF($A1764="","",COUNTIFS(Ventes_Detail!$B$6:$B$3005,$A1764))</f>
        <v/>
      </c>
      <c r="M1764" s="12" t="n"/>
      <c r="N1764" s="12">
        <f>IF($A1764="","",IF($G1764="","",IF($M1764="Oui","Litige",IF($J1764&lt;=0,"Payé",IF($I1764&gt;0,"Partiel",IF(Listes!$B$3&gt;$G1764,"En retard","À échoir"))))))</f>
        <v/>
      </c>
      <c r="O1764" s="11">
        <f>IF($A1764="","",IF(OR($G1764="", $J1764&lt;=0),0,MAX(0,Listes!$B$3-$G1764)))</f>
        <v/>
      </c>
      <c r="P1764" s="12">
        <f>IF($A1764="","",IF($J1764&lt;=0,"Payé",IF($M1764="Oui","Litige",IF($O1764=0,"À échoir",IF($O1764&lt;=30,"0-30",IF($O1764&lt;=60,"31-60",IF($O1764&lt;=90,"61-90","90+")))))))</f>
        <v/>
      </c>
    </row>
    <row r="1765">
      <c r="A1765" s="6" t="n"/>
      <c r="B1765" s="6" t="n"/>
      <c r="C1765" s="6" t="n"/>
      <c r="D1765" s="6" t="n"/>
      <c r="E1765" s="6" t="n"/>
      <c r="F1765" s="7" t="n"/>
      <c r="G1765" s="7" t="n"/>
      <c r="H1765" s="8" t="n"/>
      <c r="I1765" s="9">
        <f>IF($A1765="","",SUMIFS(Ventes_Encaissements!$D$6:$D$3005,Ventes_Encaissements!$B$6:$B$3005,$A1765))</f>
        <v/>
      </c>
      <c r="J1765" s="9">
        <f>IF($A1765="","",$H1765-$I1765)</f>
        <v/>
      </c>
      <c r="K1765" s="10">
        <f>IF($A1765="","",IF($I1765=0,"",_xludf.AGGREGATE(14,6,Ventes_Encaissements!$C$6:$C$3005/(Ventes_Encaissements!$B$6:$B$3005=$A1765),1)))</f>
        <v/>
      </c>
      <c r="L1765" s="11">
        <f>IF($A1765="","",COUNTIFS(Ventes_Detail!$B$6:$B$3005,$A1765))</f>
        <v/>
      </c>
      <c r="M1765" s="12" t="n"/>
      <c r="N1765" s="12">
        <f>IF($A1765="","",IF($G1765="","",IF($M1765="Oui","Litige",IF($J1765&lt;=0,"Payé",IF($I1765&gt;0,"Partiel",IF(Listes!$B$3&gt;$G1765,"En retard","À échoir"))))))</f>
        <v/>
      </c>
      <c r="O1765" s="11">
        <f>IF($A1765="","",IF(OR($G1765="", $J1765&lt;=0),0,MAX(0,Listes!$B$3-$G1765)))</f>
        <v/>
      </c>
      <c r="P1765" s="12">
        <f>IF($A1765="","",IF($J1765&lt;=0,"Payé",IF($M1765="Oui","Litige",IF($O1765=0,"À échoir",IF($O1765&lt;=30,"0-30",IF($O1765&lt;=60,"31-60",IF($O1765&lt;=90,"61-90","90+")))))))</f>
        <v/>
      </c>
    </row>
    <row r="1766">
      <c r="A1766" s="6" t="n"/>
      <c r="B1766" s="6" t="n"/>
      <c r="C1766" s="6" t="n"/>
      <c r="D1766" s="6" t="n"/>
      <c r="E1766" s="6" t="n"/>
      <c r="F1766" s="7" t="n"/>
      <c r="G1766" s="7" t="n"/>
      <c r="H1766" s="8" t="n"/>
      <c r="I1766" s="9">
        <f>IF($A1766="","",SUMIFS(Ventes_Encaissements!$D$6:$D$3005,Ventes_Encaissements!$B$6:$B$3005,$A1766))</f>
        <v/>
      </c>
      <c r="J1766" s="9">
        <f>IF($A1766="","",$H1766-$I1766)</f>
        <v/>
      </c>
      <c r="K1766" s="10">
        <f>IF($A1766="","",IF($I1766=0,"",_xludf.AGGREGATE(14,6,Ventes_Encaissements!$C$6:$C$3005/(Ventes_Encaissements!$B$6:$B$3005=$A1766),1)))</f>
        <v/>
      </c>
      <c r="L1766" s="11">
        <f>IF($A1766="","",COUNTIFS(Ventes_Detail!$B$6:$B$3005,$A1766))</f>
        <v/>
      </c>
      <c r="M1766" s="12" t="n"/>
      <c r="N1766" s="12">
        <f>IF($A1766="","",IF($G1766="","",IF($M1766="Oui","Litige",IF($J1766&lt;=0,"Payé",IF($I1766&gt;0,"Partiel",IF(Listes!$B$3&gt;$G1766,"En retard","À échoir"))))))</f>
        <v/>
      </c>
      <c r="O1766" s="11">
        <f>IF($A1766="","",IF(OR($G1766="", $J1766&lt;=0),0,MAX(0,Listes!$B$3-$G1766)))</f>
        <v/>
      </c>
      <c r="P1766" s="12">
        <f>IF($A1766="","",IF($J1766&lt;=0,"Payé",IF($M1766="Oui","Litige",IF($O1766=0,"À échoir",IF($O1766&lt;=30,"0-30",IF($O1766&lt;=60,"31-60",IF($O1766&lt;=90,"61-90","90+")))))))</f>
        <v/>
      </c>
    </row>
    <row r="1767">
      <c r="A1767" s="6" t="n"/>
      <c r="B1767" s="6" t="n"/>
      <c r="C1767" s="6" t="n"/>
      <c r="D1767" s="6" t="n"/>
      <c r="E1767" s="6" t="n"/>
      <c r="F1767" s="7" t="n"/>
      <c r="G1767" s="7" t="n"/>
      <c r="H1767" s="8" t="n"/>
      <c r="I1767" s="9">
        <f>IF($A1767="","",SUMIFS(Ventes_Encaissements!$D$6:$D$3005,Ventes_Encaissements!$B$6:$B$3005,$A1767))</f>
        <v/>
      </c>
      <c r="J1767" s="9">
        <f>IF($A1767="","",$H1767-$I1767)</f>
        <v/>
      </c>
      <c r="K1767" s="10">
        <f>IF($A1767="","",IF($I1767=0,"",_xludf.AGGREGATE(14,6,Ventes_Encaissements!$C$6:$C$3005/(Ventes_Encaissements!$B$6:$B$3005=$A1767),1)))</f>
        <v/>
      </c>
      <c r="L1767" s="11">
        <f>IF($A1767="","",COUNTIFS(Ventes_Detail!$B$6:$B$3005,$A1767))</f>
        <v/>
      </c>
      <c r="M1767" s="12" t="n"/>
      <c r="N1767" s="12">
        <f>IF($A1767="","",IF($G1767="","",IF($M1767="Oui","Litige",IF($J1767&lt;=0,"Payé",IF($I1767&gt;0,"Partiel",IF(Listes!$B$3&gt;$G1767,"En retard","À échoir"))))))</f>
        <v/>
      </c>
      <c r="O1767" s="11">
        <f>IF($A1767="","",IF(OR($G1767="", $J1767&lt;=0),0,MAX(0,Listes!$B$3-$G1767)))</f>
        <v/>
      </c>
      <c r="P1767" s="12">
        <f>IF($A1767="","",IF($J1767&lt;=0,"Payé",IF($M1767="Oui","Litige",IF($O1767=0,"À échoir",IF($O1767&lt;=30,"0-30",IF($O1767&lt;=60,"31-60",IF($O1767&lt;=90,"61-90","90+")))))))</f>
        <v/>
      </c>
    </row>
    <row r="1768">
      <c r="A1768" s="6" t="n"/>
      <c r="B1768" s="6" t="n"/>
      <c r="C1768" s="6" t="n"/>
      <c r="D1768" s="6" t="n"/>
      <c r="E1768" s="6" t="n"/>
      <c r="F1768" s="7" t="n"/>
      <c r="G1768" s="7" t="n"/>
      <c r="H1768" s="8" t="n"/>
      <c r="I1768" s="9">
        <f>IF($A1768="","",SUMIFS(Ventes_Encaissements!$D$6:$D$3005,Ventes_Encaissements!$B$6:$B$3005,$A1768))</f>
        <v/>
      </c>
      <c r="J1768" s="9">
        <f>IF($A1768="","",$H1768-$I1768)</f>
        <v/>
      </c>
      <c r="K1768" s="10">
        <f>IF($A1768="","",IF($I1768=0,"",_xludf.AGGREGATE(14,6,Ventes_Encaissements!$C$6:$C$3005/(Ventes_Encaissements!$B$6:$B$3005=$A1768),1)))</f>
        <v/>
      </c>
      <c r="L1768" s="11">
        <f>IF($A1768="","",COUNTIFS(Ventes_Detail!$B$6:$B$3005,$A1768))</f>
        <v/>
      </c>
      <c r="M1768" s="12" t="n"/>
      <c r="N1768" s="12">
        <f>IF($A1768="","",IF($G1768="","",IF($M1768="Oui","Litige",IF($J1768&lt;=0,"Payé",IF($I1768&gt;0,"Partiel",IF(Listes!$B$3&gt;$G1768,"En retard","À échoir"))))))</f>
        <v/>
      </c>
      <c r="O1768" s="11">
        <f>IF($A1768="","",IF(OR($G1768="", $J1768&lt;=0),0,MAX(0,Listes!$B$3-$G1768)))</f>
        <v/>
      </c>
      <c r="P1768" s="12">
        <f>IF($A1768="","",IF($J1768&lt;=0,"Payé",IF($M1768="Oui","Litige",IF($O1768=0,"À échoir",IF($O1768&lt;=30,"0-30",IF($O1768&lt;=60,"31-60",IF($O1768&lt;=90,"61-90","90+")))))))</f>
        <v/>
      </c>
    </row>
    <row r="1769">
      <c r="A1769" s="6" t="n"/>
      <c r="B1769" s="6" t="n"/>
      <c r="C1769" s="6" t="n"/>
      <c r="D1769" s="6" t="n"/>
      <c r="E1769" s="6" t="n"/>
      <c r="F1769" s="7" t="n"/>
      <c r="G1769" s="7" t="n"/>
      <c r="H1769" s="8" t="n"/>
      <c r="I1769" s="9">
        <f>IF($A1769="","",SUMIFS(Ventes_Encaissements!$D$6:$D$3005,Ventes_Encaissements!$B$6:$B$3005,$A1769))</f>
        <v/>
      </c>
      <c r="J1769" s="9">
        <f>IF($A1769="","",$H1769-$I1769)</f>
        <v/>
      </c>
      <c r="K1769" s="10">
        <f>IF($A1769="","",IF($I1769=0,"",_xludf.AGGREGATE(14,6,Ventes_Encaissements!$C$6:$C$3005/(Ventes_Encaissements!$B$6:$B$3005=$A1769),1)))</f>
        <v/>
      </c>
      <c r="L1769" s="11">
        <f>IF($A1769="","",COUNTIFS(Ventes_Detail!$B$6:$B$3005,$A1769))</f>
        <v/>
      </c>
      <c r="M1769" s="12" t="n"/>
      <c r="N1769" s="12">
        <f>IF($A1769="","",IF($G1769="","",IF($M1769="Oui","Litige",IF($J1769&lt;=0,"Payé",IF($I1769&gt;0,"Partiel",IF(Listes!$B$3&gt;$G1769,"En retard","À échoir"))))))</f>
        <v/>
      </c>
      <c r="O1769" s="11">
        <f>IF($A1769="","",IF(OR($G1769="", $J1769&lt;=0),0,MAX(0,Listes!$B$3-$G1769)))</f>
        <v/>
      </c>
      <c r="P1769" s="12">
        <f>IF($A1769="","",IF($J1769&lt;=0,"Payé",IF($M1769="Oui","Litige",IF($O1769=0,"À échoir",IF($O1769&lt;=30,"0-30",IF($O1769&lt;=60,"31-60",IF($O1769&lt;=90,"61-90","90+")))))))</f>
        <v/>
      </c>
    </row>
    <row r="1770">
      <c r="A1770" s="6" t="n"/>
      <c r="B1770" s="6" t="n"/>
      <c r="C1770" s="6" t="n"/>
      <c r="D1770" s="6" t="n"/>
      <c r="E1770" s="6" t="n"/>
      <c r="F1770" s="7" t="n"/>
      <c r="G1770" s="7" t="n"/>
      <c r="H1770" s="8" t="n"/>
      <c r="I1770" s="9">
        <f>IF($A1770="","",SUMIFS(Ventes_Encaissements!$D$6:$D$3005,Ventes_Encaissements!$B$6:$B$3005,$A1770))</f>
        <v/>
      </c>
      <c r="J1770" s="9">
        <f>IF($A1770="","",$H1770-$I1770)</f>
        <v/>
      </c>
      <c r="K1770" s="10">
        <f>IF($A1770="","",IF($I1770=0,"",_xludf.AGGREGATE(14,6,Ventes_Encaissements!$C$6:$C$3005/(Ventes_Encaissements!$B$6:$B$3005=$A1770),1)))</f>
        <v/>
      </c>
      <c r="L1770" s="11">
        <f>IF($A1770="","",COUNTIFS(Ventes_Detail!$B$6:$B$3005,$A1770))</f>
        <v/>
      </c>
      <c r="M1770" s="12" t="n"/>
      <c r="N1770" s="12">
        <f>IF($A1770="","",IF($G1770="","",IF($M1770="Oui","Litige",IF($J1770&lt;=0,"Payé",IF($I1770&gt;0,"Partiel",IF(Listes!$B$3&gt;$G1770,"En retard","À échoir"))))))</f>
        <v/>
      </c>
      <c r="O1770" s="11">
        <f>IF($A1770="","",IF(OR($G1770="", $J1770&lt;=0),0,MAX(0,Listes!$B$3-$G1770)))</f>
        <v/>
      </c>
      <c r="P1770" s="12">
        <f>IF($A1770="","",IF($J1770&lt;=0,"Payé",IF($M1770="Oui","Litige",IF($O1770=0,"À échoir",IF($O1770&lt;=30,"0-30",IF($O1770&lt;=60,"31-60",IF($O1770&lt;=90,"61-90","90+")))))))</f>
        <v/>
      </c>
    </row>
    <row r="1771">
      <c r="A1771" s="6" t="n"/>
      <c r="B1771" s="6" t="n"/>
      <c r="C1771" s="6" t="n"/>
      <c r="D1771" s="6" t="n"/>
      <c r="E1771" s="6" t="n"/>
      <c r="F1771" s="7" t="n"/>
      <c r="G1771" s="7" t="n"/>
      <c r="H1771" s="8" t="n"/>
      <c r="I1771" s="9">
        <f>IF($A1771="","",SUMIFS(Ventes_Encaissements!$D$6:$D$3005,Ventes_Encaissements!$B$6:$B$3005,$A1771))</f>
        <v/>
      </c>
      <c r="J1771" s="9">
        <f>IF($A1771="","",$H1771-$I1771)</f>
        <v/>
      </c>
      <c r="K1771" s="10">
        <f>IF($A1771="","",IF($I1771=0,"",_xludf.AGGREGATE(14,6,Ventes_Encaissements!$C$6:$C$3005/(Ventes_Encaissements!$B$6:$B$3005=$A1771),1)))</f>
        <v/>
      </c>
      <c r="L1771" s="11">
        <f>IF($A1771="","",COUNTIFS(Ventes_Detail!$B$6:$B$3005,$A1771))</f>
        <v/>
      </c>
      <c r="M1771" s="12" t="n"/>
      <c r="N1771" s="12">
        <f>IF($A1771="","",IF($G1771="","",IF($M1771="Oui","Litige",IF($J1771&lt;=0,"Payé",IF($I1771&gt;0,"Partiel",IF(Listes!$B$3&gt;$G1771,"En retard","À échoir"))))))</f>
        <v/>
      </c>
      <c r="O1771" s="11">
        <f>IF($A1771="","",IF(OR($G1771="", $J1771&lt;=0),0,MAX(0,Listes!$B$3-$G1771)))</f>
        <v/>
      </c>
      <c r="P1771" s="12">
        <f>IF($A1771="","",IF($J1771&lt;=0,"Payé",IF($M1771="Oui","Litige",IF($O1771=0,"À échoir",IF($O1771&lt;=30,"0-30",IF($O1771&lt;=60,"31-60",IF($O1771&lt;=90,"61-90","90+")))))))</f>
        <v/>
      </c>
    </row>
    <row r="1772">
      <c r="A1772" s="6" t="n"/>
      <c r="B1772" s="6" t="n"/>
      <c r="C1772" s="6" t="n"/>
      <c r="D1772" s="6" t="n"/>
      <c r="E1772" s="6" t="n"/>
      <c r="F1772" s="7" t="n"/>
      <c r="G1772" s="7" t="n"/>
      <c r="H1772" s="8" t="n"/>
      <c r="I1772" s="9">
        <f>IF($A1772="","",SUMIFS(Ventes_Encaissements!$D$6:$D$3005,Ventes_Encaissements!$B$6:$B$3005,$A1772))</f>
        <v/>
      </c>
      <c r="J1772" s="9">
        <f>IF($A1772="","",$H1772-$I1772)</f>
        <v/>
      </c>
      <c r="K1772" s="10">
        <f>IF($A1772="","",IF($I1772=0,"",_xludf.AGGREGATE(14,6,Ventes_Encaissements!$C$6:$C$3005/(Ventes_Encaissements!$B$6:$B$3005=$A1772),1)))</f>
        <v/>
      </c>
      <c r="L1772" s="11">
        <f>IF($A1772="","",COUNTIFS(Ventes_Detail!$B$6:$B$3005,$A1772))</f>
        <v/>
      </c>
      <c r="M1772" s="12" t="n"/>
      <c r="N1772" s="12">
        <f>IF($A1772="","",IF($G1772="","",IF($M1772="Oui","Litige",IF($J1772&lt;=0,"Payé",IF($I1772&gt;0,"Partiel",IF(Listes!$B$3&gt;$G1772,"En retard","À échoir"))))))</f>
        <v/>
      </c>
      <c r="O1772" s="11">
        <f>IF($A1772="","",IF(OR($G1772="", $J1772&lt;=0),0,MAX(0,Listes!$B$3-$G1772)))</f>
        <v/>
      </c>
      <c r="P1772" s="12">
        <f>IF($A1772="","",IF($J1772&lt;=0,"Payé",IF($M1772="Oui","Litige",IF($O1772=0,"À échoir",IF($O1772&lt;=30,"0-30",IF($O1772&lt;=60,"31-60",IF($O1772&lt;=90,"61-90","90+")))))))</f>
        <v/>
      </c>
    </row>
    <row r="1773">
      <c r="A1773" s="6" t="n"/>
      <c r="B1773" s="6" t="n"/>
      <c r="C1773" s="6" t="n"/>
      <c r="D1773" s="6" t="n"/>
      <c r="E1773" s="6" t="n"/>
      <c r="F1773" s="7" t="n"/>
      <c r="G1773" s="7" t="n"/>
      <c r="H1773" s="8" t="n"/>
      <c r="I1773" s="9">
        <f>IF($A1773="","",SUMIFS(Ventes_Encaissements!$D$6:$D$3005,Ventes_Encaissements!$B$6:$B$3005,$A1773))</f>
        <v/>
      </c>
      <c r="J1773" s="9">
        <f>IF($A1773="","",$H1773-$I1773)</f>
        <v/>
      </c>
      <c r="K1773" s="10">
        <f>IF($A1773="","",IF($I1773=0,"",_xludf.AGGREGATE(14,6,Ventes_Encaissements!$C$6:$C$3005/(Ventes_Encaissements!$B$6:$B$3005=$A1773),1)))</f>
        <v/>
      </c>
      <c r="L1773" s="11">
        <f>IF($A1773="","",COUNTIFS(Ventes_Detail!$B$6:$B$3005,$A1773))</f>
        <v/>
      </c>
      <c r="M1773" s="12" t="n"/>
      <c r="N1773" s="12">
        <f>IF($A1773="","",IF($G1773="","",IF($M1773="Oui","Litige",IF($J1773&lt;=0,"Payé",IF($I1773&gt;0,"Partiel",IF(Listes!$B$3&gt;$G1773,"En retard","À échoir"))))))</f>
        <v/>
      </c>
      <c r="O1773" s="11">
        <f>IF($A1773="","",IF(OR($G1773="", $J1773&lt;=0),0,MAX(0,Listes!$B$3-$G1773)))</f>
        <v/>
      </c>
      <c r="P1773" s="12">
        <f>IF($A1773="","",IF($J1773&lt;=0,"Payé",IF($M1773="Oui","Litige",IF($O1773=0,"À échoir",IF($O1773&lt;=30,"0-30",IF($O1773&lt;=60,"31-60",IF($O1773&lt;=90,"61-90","90+")))))))</f>
        <v/>
      </c>
    </row>
    <row r="1774">
      <c r="A1774" s="6" t="n"/>
      <c r="B1774" s="6" t="n"/>
      <c r="C1774" s="6" t="n"/>
      <c r="D1774" s="6" t="n"/>
      <c r="E1774" s="6" t="n"/>
      <c r="F1774" s="7" t="n"/>
      <c r="G1774" s="7" t="n"/>
      <c r="H1774" s="8" t="n"/>
      <c r="I1774" s="9">
        <f>IF($A1774="","",SUMIFS(Ventes_Encaissements!$D$6:$D$3005,Ventes_Encaissements!$B$6:$B$3005,$A1774))</f>
        <v/>
      </c>
      <c r="J1774" s="9">
        <f>IF($A1774="","",$H1774-$I1774)</f>
        <v/>
      </c>
      <c r="K1774" s="10">
        <f>IF($A1774="","",IF($I1774=0,"",_xludf.AGGREGATE(14,6,Ventes_Encaissements!$C$6:$C$3005/(Ventes_Encaissements!$B$6:$B$3005=$A1774),1)))</f>
        <v/>
      </c>
      <c r="L1774" s="11">
        <f>IF($A1774="","",COUNTIFS(Ventes_Detail!$B$6:$B$3005,$A1774))</f>
        <v/>
      </c>
      <c r="M1774" s="12" t="n"/>
      <c r="N1774" s="12">
        <f>IF($A1774="","",IF($G1774="","",IF($M1774="Oui","Litige",IF($J1774&lt;=0,"Payé",IF($I1774&gt;0,"Partiel",IF(Listes!$B$3&gt;$G1774,"En retard","À échoir"))))))</f>
        <v/>
      </c>
      <c r="O1774" s="11">
        <f>IF($A1774="","",IF(OR($G1774="", $J1774&lt;=0),0,MAX(0,Listes!$B$3-$G1774)))</f>
        <v/>
      </c>
      <c r="P1774" s="12">
        <f>IF($A1774="","",IF($J1774&lt;=0,"Payé",IF($M1774="Oui","Litige",IF($O1774=0,"À échoir",IF($O1774&lt;=30,"0-30",IF($O1774&lt;=60,"31-60",IF($O1774&lt;=90,"61-90","90+")))))))</f>
        <v/>
      </c>
    </row>
    <row r="1775">
      <c r="A1775" s="6" t="n"/>
      <c r="B1775" s="6" t="n"/>
      <c r="C1775" s="6" t="n"/>
      <c r="D1775" s="6" t="n"/>
      <c r="E1775" s="6" t="n"/>
      <c r="F1775" s="7" t="n"/>
      <c r="G1775" s="7" t="n"/>
      <c r="H1775" s="8" t="n"/>
      <c r="I1775" s="9">
        <f>IF($A1775="","",SUMIFS(Ventes_Encaissements!$D$6:$D$3005,Ventes_Encaissements!$B$6:$B$3005,$A1775))</f>
        <v/>
      </c>
      <c r="J1775" s="9">
        <f>IF($A1775="","",$H1775-$I1775)</f>
        <v/>
      </c>
      <c r="K1775" s="10">
        <f>IF($A1775="","",IF($I1775=0,"",_xludf.AGGREGATE(14,6,Ventes_Encaissements!$C$6:$C$3005/(Ventes_Encaissements!$B$6:$B$3005=$A1775),1)))</f>
        <v/>
      </c>
      <c r="L1775" s="11">
        <f>IF($A1775="","",COUNTIFS(Ventes_Detail!$B$6:$B$3005,$A1775))</f>
        <v/>
      </c>
      <c r="M1775" s="12" t="n"/>
      <c r="N1775" s="12">
        <f>IF($A1775="","",IF($G1775="","",IF($M1775="Oui","Litige",IF($J1775&lt;=0,"Payé",IF($I1775&gt;0,"Partiel",IF(Listes!$B$3&gt;$G1775,"En retard","À échoir"))))))</f>
        <v/>
      </c>
      <c r="O1775" s="11">
        <f>IF($A1775="","",IF(OR($G1775="", $J1775&lt;=0),0,MAX(0,Listes!$B$3-$G1775)))</f>
        <v/>
      </c>
      <c r="P1775" s="12">
        <f>IF($A1775="","",IF($J1775&lt;=0,"Payé",IF($M1775="Oui","Litige",IF($O1775=0,"À échoir",IF($O1775&lt;=30,"0-30",IF($O1775&lt;=60,"31-60",IF($O1775&lt;=90,"61-90","90+")))))))</f>
        <v/>
      </c>
    </row>
    <row r="1776">
      <c r="A1776" s="6" t="n"/>
      <c r="B1776" s="6" t="n"/>
      <c r="C1776" s="6" t="n"/>
      <c r="D1776" s="6" t="n"/>
      <c r="E1776" s="6" t="n"/>
      <c r="F1776" s="7" t="n"/>
      <c r="G1776" s="7" t="n"/>
      <c r="H1776" s="8" t="n"/>
      <c r="I1776" s="9">
        <f>IF($A1776="","",SUMIFS(Ventes_Encaissements!$D$6:$D$3005,Ventes_Encaissements!$B$6:$B$3005,$A1776))</f>
        <v/>
      </c>
      <c r="J1776" s="9">
        <f>IF($A1776="","",$H1776-$I1776)</f>
        <v/>
      </c>
      <c r="K1776" s="10">
        <f>IF($A1776="","",IF($I1776=0,"",_xludf.AGGREGATE(14,6,Ventes_Encaissements!$C$6:$C$3005/(Ventes_Encaissements!$B$6:$B$3005=$A1776),1)))</f>
        <v/>
      </c>
      <c r="L1776" s="11">
        <f>IF($A1776="","",COUNTIFS(Ventes_Detail!$B$6:$B$3005,$A1776))</f>
        <v/>
      </c>
      <c r="M1776" s="12" t="n"/>
      <c r="N1776" s="12">
        <f>IF($A1776="","",IF($G1776="","",IF($M1776="Oui","Litige",IF($J1776&lt;=0,"Payé",IF($I1776&gt;0,"Partiel",IF(Listes!$B$3&gt;$G1776,"En retard","À échoir"))))))</f>
        <v/>
      </c>
      <c r="O1776" s="11">
        <f>IF($A1776="","",IF(OR($G1776="", $J1776&lt;=0),0,MAX(0,Listes!$B$3-$G1776)))</f>
        <v/>
      </c>
      <c r="P1776" s="12">
        <f>IF($A1776="","",IF($J1776&lt;=0,"Payé",IF($M1776="Oui","Litige",IF($O1776=0,"À échoir",IF($O1776&lt;=30,"0-30",IF($O1776&lt;=60,"31-60",IF($O1776&lt;=90,"61-90","90+")))))))</f>
        <v/>
      </c>
    </row>
    <row r="1777">
      <c r="A1777" s="6" t="n"/>
      <c r="B1777" s="6" t="n"/>
      <c r="C1777" s="6" t="n"/>
      <c r="D1777" s="6" t="n"/>
      <c r="E1777" s="6" t="n"/>
      <c r="F1777" s="7" t="n"/>
      <c r="G1777" s="7" t="n"/>
      <c r="H1777" s="8" t="n"/>
      <c r="I1777" s="9">
        <f>IF($A1777="","",SUMIFS(Ventes_Encaissements!$D$6:$D$3005,Ventes_Encaissements!$B$6:$B$3005,$A1777))</f>
        <v/>
      </c>
      <c r="J1777" s="9">
        <f>IF($A1777="","",$H1777-$I1777)</f>
        <v/>
      </c>
      <c r="K1777" s="10">
        <f>IF($A1777="","",IF($I1777=0,"",_xludf.AGGREGATE(14,6,Ventes_Encaissements!$C$6:$C$3005/(Ventes_Encaissements!$B$6:$B$3005=$A1777),1)))</f>
        <v/>
      </c>
      <c r="L1777" s="11">
        <f>IF($A1777="","",COUNTIFS(Ventes_Detail!$B$6:$B$3005,$A1777))</f>
        <v/>
      </c>
      <c r="M1777" s="12" t="n"/>
      <c r="N1777" s="12">
        <f>IF($A1777="","",IF($G1777="","",IF($M1777="Oui","Litige",IF($J1777&lt;=0,"Payé",IF($I1777&gt;0,"Partiel",IF(Listes!$B$3&gt;$G1777,"En retard","À échoir"))))))</f>
        <v/>
      </c>
      <c r="O1777" s="11">
        <f>IF($A1777="","",IF(OR($G1777="", $J1777&lt;=0),0,MAX(0,Listes!$B$3-$G1777)))</f>
        <v/>
      </c>
      <c r="P1777" s="12">
        <f>IF($A1777="","",IF($J1777&lt;=0,"Payé",IF($M1777="Oui","Litige",IF($O1777=0,"À échoir",IF($O1777&lt;=30,"0-30",IF($O1777&lt;=60,"31-60",IF($O1777&lt;=90,"61-90","90+")))))))</f>
        <v/>
      </c>
    </row>
    <row r="1778">
      <c r="A1778" s="6" t="n"/>
      <c r="B1778" s="6" t="n"/>
      <c r="C1778" s="6" t="n"/>
      <c r="D1778" s="6" t="n"/>
      <c r="E1778" s="6" t="n"/>
      <c r="F1778" s="7" t="n"/>
      <c r="G1778" s="7" t="n"/>
      <c r="H1778" s="8" t="n"/>
      <c r="I1778" s="9">
        <f>IF($A1778="","",SUMIFS(Ventes_Encaissements!$D$6:$D$3005,Ventes_Encaissements!$B$6:$B$3005,$A1778))</f>
        <v/>
      </c>
      <c r="J1778" s="9">
        <f>IF($A1778="","",$H1778-$I1778)</f>
        <v/>
      </c>
      <c r="K1778" s="10">
        <f>IF($A1778="","",IF($I1778=0,"",_xludf.AGGREGATE(14,6,Ventes_Encaissements!$C$6:$C$3005/(Ventes_Encaissements!$B$6:$B$3005=$A1778),1)))</f>
        <v/>
      </c>
      <c r="L1778" s="11">
        <f>IF($A1778="","",COUNTIFS(Ventes_Detail!$B$6:$B$3005,$A1778))</f>
        <v/>
      </c>
      <c r="M1778" s="12" t="n"/>
      <c r="N1778" s="12">
        <f>IF($A1778="","",IF($G1778="","",IF($M1778="Oui","Litige",IF($J1778&lt;=0,"Payé",IF($I1778&gt;0,"Partiel",IF(Listes!$B$3&gt;$G1778,"En retard","À échoir"))))))</f>
        <v/>
      </c>
      <c r="O1778" s="11">
        <f>IF($A1778="","",IF(OR($G1778="", $J1778&lt;=0),0,MAX(0,Listes!$B$3-$G1778)))</f>
        <v/>
      </c>
      <c r="P1778" s="12">
        <f>IF($A1778="","",IF($J1778&lt;=0,"Payé",IF($M1778="Oui","Litige",IF($O1778=0,"À échoir",IF($O1778&lt;=30,"0-30",IF($O1778&lt;=60,"31-60",IF($O1778&lt;=90,"61-90","90+")))))))</f>
        <v/>
      </c>
    </row>
    <row r="1779">
      <c r="A1779" s="6" t="n"/>
      <c r="B1779" s="6" t="n"/>
      <c r="C1779" s="6" t="n"/>
      <c r="D1779" s="6" t="n"/>
      <c r="E1779" s="6" t="n"/>
      <c r="F1779" s="7" t="n"/>
      <c r="G1779" s="7" t="n"/>
      <c r="H1779" s="8" t="n"/>
      <c r="I1779" s="9">
        <f>IF($A1779="","",SUMIFS(Ventes_Encaissements!$D$6:$D$3005,Ventes_Encaissements!$B$6:$B$3005,$A1779))</f>
        <v/>
      </c>
      <c r="J1779" s="9">
        <f>IF($A1779="","",$H1779-$I1779)</f>
        <v/>
      </c>
      <c r="K1779" s="10">
        <f>IF($A1779="","",IF($I1779=0,"",_xludf.AGGREGATE(14,6,Ventes_Encaissements!$C$6:$C$3005/(Ventes_Encaissements!$B$6:$B$3005=$A1779),1)))</f>
        <v/>
      </c>
      <c r="L1779" s="11">
        <f>IF($A1779="","",COUNTIFS(Ventes_Detail!$B$6:$B$3005,$A1779))</f>
        <v/>
      </c>
      <c r="M1779" s="12" t="n"/>
      <c r="N1779" s="12">
        <f>IF($A1779="","",IF($G1779="","",IF($M1779="Oui","Litige",IF($J1779&lt;=0,"Payé",IF($I1779&gt;0,"Partiel",IF(Listes!$B$3&gt;$G1779,"En retard","À échoir"))))))</f>
        <v/>
      </c>
      <c r="O1779" s="11">
        <f>IF($A1779="","",IF(OR($G1779="", $J1779&lt;=0),0,MAX(0,Listes!$B$3-$G1779)))</f>
        <v/>
      </c>
      <c r="P1779" s="12">
        <f>IF($A1779="","",IF($J1779&lt;=0,"Payé",IF($M1779="Oui","Litige",IF($O1779=0,"À échoir",IF($O1779&lt;=30,"0-30",IF($O1779&lt;=60,"31-60",IF($O1779&lt;=90,"61-90","90+")))))))</f>
        <v/>
      </c>
    </row>
    <row r="1780">
      <c r="A1780" s="6" t="n"/>
      <c r="B1780" s="6" t="n"/>
      <c r="C1780" s="6" t="n"/>
      <c r="D1780" s="6" t="n"/>
      <c r="E1780" s="6" t="n"/>
      <c r="F1780" s="7" t="n"/>
      <c r="G1780" s="7" t="n"/>
      <c r="H1780" s="8" t="n"/>
      <c r="I1780" s="9">
        <f>IF($A1780="","",SUMIFS(Ventes_Encaissements!$D$6:$D$3005,Ventes_Encaissements!$B$6:$B$3005,$A1780))</f>
        <v/>
      </c>
      <c r="J1780" s="9">
        <f>IF($A1780="","",$H1780-$I1780)</f>
        <v/>
      </c>
      <c r="K1780" s="10">
        <f>IF($A1780="","",IF($I1780=0,"",_xludf.AGGREGATE(14,6,Ventes_Encaissements!$C$6:$C$3005/(Ventes_Encaissements!$B$6:$B$3005=$A1780),1)))</f>
        <v/>
      </c>
      <c r="L1780" s="11">
        <f>IF($A1780="","",COUNTIFS(Ventes_Detail!$B$6:$B$3005,$A1780))</f>
        <v/>
      </c>
      <c r="M1780" s="12" t="n"/>
      <c r="N1780" s="12">
        <f>IF($A1780="","",IF($G1780="","",IF($M1780="Oui","Litige",IF($J1780&lt;=0,"Payé",IF($I1780&gt;0,"Partiel",IF(Listes!$B$3&gt;$G1780,"En retard","À échoir"))))))</f>
        <v/>
      </c>
      <c r="O1780" s="11">
        <f>IF($A1780="","",IF(OR($G1780="", $J1780&lt;=0),0,MAX(0,Listes!$B$3-$G1780)))</f>
        <v/>
      </c>
      <c r="P1780" s="12">
        <f>IF($A1780="","",IF($J1780&lt;=0,"Payé",IF($M1780="Oui","Litige",IF($O1780=0,"À échoir",IF($O1780&lt;=30,"0-30",IF($O1780&lt;=60,"31-60",IF($O1780&lt;=90,"61-90","90+")))))))</f>
        <v/>
      </c>
    </row>
    <row r="1781">
      <c r="A1781" s="6" t="n"/>
      <c r="B1781" s="6" t="n"/>
      <c r="C1781" s="6" t="n"/>
      <c r="D1781" s="6" t="n"/>
      <c r="E1781" s="6" t="n"/>
      <c r="F1781" s="7" t="n"/>
      <c r="G1781" s="7" t="n"/>
      <c r="H1781" s="8" t="n"/>
      <c r="I1781" s="9">
        <f>IF($A1781="","",SUMIFS(Ventes_Encaissements!$D$6:$D$3005,Ventes_Encaissements!$B$6:$B$3005,$A1781))</f>
        <v/>
      </c>
      <c r="J1781" s="9">
        <f>IF($A1781="","",$H1781-$I1781)</f>
        <v/>
      </c>
      <c r="K1781" s="10">
        <f>IF($A1781="","",IF($I1781=0,"",_xludf.AGGREGATE(14,6,Ventes_Encaissements!$C$6:$C$3005/(Ventes_Encaissements!$B$6:$B$3005=$A1781),1)))</f>
        <v/>
      </c>
      <c r="L1781" s="11">
        <f>IF($A1781="","",COUNTIFS(Ventes_Detail!$B$6:$B$3005,$A1781))</f>
        <v/>
      </c>
      <c r="M1781" s="12" t="n"/>
      <c r="N1781" s="12">
        <f>IF($A1781="","",IF($G1781="","",IF($M1781="Oui","Litige",IF($J1781&lt;=0,"Payé",IF($I1781&gt;0,"Partiel",IF(Listes!$B$3&gt;$G1781,"En retard","À échoir"))))))</f>
        <v/>
      </c>
      <c r="O1781" s="11">
        <f>IF($A1781="","",IF(OR($G1781="", $J1781&lt;=0),0,MAX(0,Listes!$B$3-$G1781)))</f>
        <v/>
      </c>
      <c r="P1781" s="12">
        <f>IF($A1781="","",IF($J1781&lt;=0,"Payé",IF($M1781="Oui","Litige",IF($O1781=0,"À échoir",IF($O1781&lt;=30,"0-30",IF($O1781&lt;=60,"31-60",IF($O1781&lt;=90,"61-90","90+")))))))</f>
        <v/>
      </c>
    </row>
    <row r="1782">
      <c r="A1782" s="6" t="n"/>
      <c r="B1782" s="6" t="n"/>
      <c r="C1782" s="6" t="n"/>
      <c r="D1782" s="6" t="n"/>
      <c r="E1782" s="6" t="n"/>
      <c r="F1782" s="7" t="n"/>
      <c r="G1782" s="7" t="n"/>
      <c r="H1782" s="8" t="n"/>
      <c r="I1782" s="9">
        <f>IF($A1782="","",SUMIFS(Ventes_Encaissements!$D$6:$D$3005,Ventes_Encaissements!$B$6:$B$3005,$A1782))</f>
        <v/>
      </c>
      <c r="J1782" s="9">
        <f>IF($A1782="","",$H1782-$I1782)</f>
        <v/>
      </c>
      <c r="K1782" s="10">
        <f>IF($A1782="","",IF($I1782=0,"",_xludf.AGGREGATE(14,6,Ventes_Encaissements!$C$6:$C$3005/(Ventes_Encaissements!$B$6:$B$3005=$A1782),1)))</f>
        <v/>
      </c>
      <c r="L1782" s="11">
        <f>IF($A1782="","",COUNTIFS(Ventes_Detail!$B$6:$B$3005,$A1782))</f>
        <v/>
      </c>
      <c r="M1782" s="12" t="n"/>
      <c r="N1782" s="12">
        <f>IF($A1782="","",IF($G1782="","",IF($M1782="Oui","Litige",IF($J1782&lt;=0,"Payé",IF($I1782&gt;0,"Partiel",IF(Listes!$B$3&gt;$G1782,"En retard","À échoir"))))))</f>
        <v/>
      </c>
      <c r="O1782" s="11">
        <f>IF($A1782="","",IF(OR($G1782="", $J1782&lt;=0),0,MAX(0,Listes!$B$3-$G1782)))</f>
        <v/>
      </c>
      <c r="P1782" s="12">
        <f>IF($A1782="","",IF($J1782&lt;=0,"Payé",IF($M1782="Oui","Litige",IF($O1782=0,"À échoir",IF($O1782&lt;=30,"0-30",IF($O1782&lt;=60,"31-60",IF($O1782&lt;=90,"61-90","90+")))))))</f>
        <v/>
      </c>
    </row>
    <row r="1783">
      <c r="A1783" s="6" t="n"/>
      <c r="B1783" s="6" t="n"/>
      <c r="C1783" s="6" t="n"/>
      <c r="D1783" s="6" t="n"/>
      <c r="E1783" s="6" t="n"/>
      <c r="F1783" s="7" t="n"/>
      <c r="G1783" s="7" t="n"/>
      <c r="H1783" s="8" t="n"/>
      <c r="I1783" s="9">
        <f>IF($A1783="","",SUMIFS(Ventes_Encaissements!$D$6:$D$3005,Ventes_Encaissements!$B$6:$B$3005,$A1783))</f>
        <v/>
      </c>
      <c r="J1783" s="9">
        <f>IF($A1783="","",$H1783-$I1783)</f>
        <v/>
      </c>
      <c r="K1783" s="10">
        <f>IF($A1783="","",IF($I1783=0,"",_xludf.AGGREGATE(14,6,Ventes_Encaissements!$C$6:$C$3005/(Ventes_Encaissements!$B$6:$B$3005=$A1783),1)))</f>
        <v/>
      </c>
      <c r="L1783" s="11">
        <f>IF($A1783="","",COUNTIFS(Ventes_Detail!$B$6:$B$3005,$A1783))</f>
        <v/>
      </c>
      <c r="M1783" s="12" t="n"/>
      <c r="N1783" s="12">
        <f>IF($A1783="","",IF($G1783="","",IF($M1783="Oui","Litige",IF($J1783&lt;=0,"Payé",IF($I1783&gt;0,"Partiel",IF(Listes!$B$3&gt;$G1783,"En retard","À échoir"))))))</f>
        <v/>
      </c>
      <c r="O1783" s="11">
        <f>IF($A1783="","",IF(OR($G1783="", $J1783&lt;=0),0,MAX(0,Listes!$B$3-$G1783)))</f>
        <v/>
      </c>
      <c r="P1783" s="12">
        <f>IF($A1783="","",IF($J1783&lt;=0,"Payé",IF($M1783="Oui","Litige",IF($O1783=0,"À échoir",IF($O1783&lt;=30,"0-30",IF($O1783&lt;=60,"31-60",IF($O1783&lt;=90,"61-90","90+")))))))</f>
        <v/>
      </c>
    </row>
    <row r="1784">
      <c r="A1784" s="6" t="n"/>
      <c r="B1784" s="6" t="n"/>
      <c r="C1784" s="6" t="n"/>
      <c r="D1784" s="6" t="n"/>
      <c r="E1784" s="6" t="n"/>
      <c r="F1784" s="7" t="n"/>
      <c r="G1784" s="7" t="n"/>
      <c r="H1784" s="8" t="n"/>
      <c r="I1784" s="9">
        <f>IF($A1784="","",SUMIFS(Ventes_Encaissements!$D$6:$D$3005,Ventes_Encaissements!$B$6:$B$3005,$A1784))</f>
        <v/>
      </c>
      <c r="J1784" s="9">
        <f>IF($A1784="","",$H1784-$I1784)</f>
        <v/>
      </c>
      <c r="K1784" s="10">
        <f>IF($A1784="","",IF($I1784=0,"",_xludf.AGGREGATE(14,6,Ventes_Encaissements!$C$6:$C$3005/(Ventes_Encaissements!$B$6:$B$3005=$A1784),1)))</f>
        <v/>
      </c>
      <c r="L1784" s="11">
        <f>IF($A1784="","",COUNTIFS(Ventes_Detail!$B$6:$B$3005,$A1784))</f>
        <v/>
      </c>
      <c r="M1784" s="12" t="n"/>
      <c r="N1784" s="12">
        <f>IF($A1784="","",IF($G1784="","",IF($M1784="Oui","Litige",IF($J1784&lt;=0,"Payé",IF($I1784&gt;0,"Partiel",IF(Listes!$B$3&gt;$G1784,"En retard","À échoir"))))))</f>
        <v/>
      </c>
      <c r="O1784" s="11">
        <f>IF($A1784="","",IF(OR($G1784="", $J1784&lt;=0),0,MAX(0,Listes!$B$3-$G1784)))</f>
        <v/>
      </c>
      <c r="P1784" s="12">
        <f>IF($A1784="","",IF($J1784&lt;=0,"Payé",IF($M1784="Oui","Litige",IF($O1784=0,"À échoir",IF($O1784&lt;=30,"0-30",IF($O1784&lt;=60,"31-60",IF($O1784&lt;=90,"61-90","90+")))))))</f>
        <v/>
      </c>
    </row>
    <row r="1785">
      <c r="A1785" s="6" t="n"/>
      <c r="B1785" s="6" t="n"/>
      <c r="C1785" s="6" t="n"/>
      <c r="D1785" s="6" t="n"/>
      <c r="E1785" s="6" t="n"/>
      <c r="F1785" s="7" t="n"/>
      <c r="G1785" s="7" t="n"/>
      <c r="H1785" s="8" t="n"/>
      <c r="I1785" s="9">
        <f>IF($A1785="","",SUMIFS(Ventes_Encaissements!$D$6:$D$3005,Ventes_Encaissements!$B$6:$B$3005,$A1785))</f>
        <v/>
      </c>
      <c r="J1785" s="9">
        <f>IF($A1785="","",$H1785-$I1785)</f>
        <v/>
      </c>
      <c r="K1785" s="10">
        <f>IF($A1785="","",IF($I1785=0,"",_xludf.AGGREGATE(14,6,Ventes_Encaissements!$C$6:$C$3005/(Ventes_Encaissements!$B$6:$B$3005=$A1785),1)))</f>
        <v/>
      </c>
      <c r="L1785" s="11">
        <f>IF($A1785="","",COUNTIFS(Ventes_Detail!$B$6:$B$3005,$A1785))</f>
        <v/>
      </c>
      <c r="M1785" s="12" t="n"/>
      <c r="N1785" s="12">
        <f>IF($A1785="","",IF($G1785="","",IF($M1785="Oui","Litige",IF($J1785&lt;=0,"Payé",IF($I1785&gt;0,"Partiel",IF(Listes!$B$3&gt;$G1785,"En retard","À échoir"))))))</f>
        <v/>
      </c>
      <c r="O1785" s="11">
        <f>IF($A1785="","",IF(OR($G1785="", $J1785&lt;=0),0,MAX(0,Listes!$B$3-$G1785)))</f>
        <v/>
      </c>
      <c r="P1785" s="12">
        <f>IF($A1785="","",IF($J1785&lt;=0,"Payé",IF($M1785="Oui","Litige",IF($O1785=0,"À échoir",IF($O1785&lt;=30,"0-30",IF($O1785&lt;=60,"31-60",IF($O1785&lt;=90,"61-90","90+")))))))</f>
        <v/>
      </c>
    </row>
    <row r="1786">
      <c r="A1786" s="6" t="n"/>
      <c r="B1786" s="6" t="n"/>
      <c r="C1786" s="6" t="n"/>
      <c r="D1786" s="6" t="n"/>
      <c r="E1786" s="6" t="n"/>
      <c r="F1786" s="7" t="n"/>
      <c r="G1786" s="7" t="n"/>
      <c r="H1786" s="8" t="n"/>
      <c r="I1786" s="9">
        <f>IF($A1786="","",SUMIFS(Ventes_Encaissements!$D$6:$D$3005,Ventes_Encaissements!$B$6:$B$3005,$A1786))</f>
        <v/>
      </c>
      <c r="J1786" s="9">
        <f>IF($A1786="","",$H1786-$I1786)</f>
        <v/>
      </c>
      <c r="K1786" s="10">
        <f>IF($A1786="","",IF($I1786=0,"",_xludf.AGGREGATE(14,6,Ventes_Encaissements!$C$6:$C$3005/(Ventes_Encaissements!$B$6:$B$3005=$A1786),1)))</f>
        <v/>
      </c>
      <c r="L1786" s="11">
        <f>IF($A1786="","",COUNTIFS(Ventes_Detail!$B$6:$B$3005,$A1786))</f>
        <v/>
      </c>
      <c r="M1786" s="12" t="n"/>
      <c r="N1786" s="12">
        <f>IF($A1786="","",IF($G1786="","",IF($M1786="Oui","Litige",IF($J1786&lt;=0,"Payé",IF($I1786&gt;0,"Partiel",IF(Listes!$B$3&gt;$G1786,"En retard","À échoir"))))))</f>
        <v/>
      </c>
      <c r="O1786" s="11">
        <f>IF($A1786="","",IF(OR($G1786="", $J1786&lt;=0),0,MAX(0,Listes!$B$3-$G1786)))</f>
        <v/>
      </c>
      <c r="P1786" s="12">
        <f>IF($A1786="","",IF($J1786&lt;=0,"Payé",IF($M1786="Oui","Litige",IF($O1786=0,"À échoir",IF($O1786&lt;=30,"0-30",IF($O1786&lt;=60,"31-60",IF($O1786&lt;=90,"61-90","90+")))))))</f>
        <v/>
      </c>
    </row>
    <row r="1787">
      <c r="A1787" s="6" t="n"/>
      <c r="B1787" s="6" t="n"/>
      <c r="C1787" s="6" t="n"/>
      <c r="D1787" s="6" t="n"/>
      <c r="E1787" s="6" t="n"/>
      <c r="F1787" s="7" t="n"/>
      <c r="G1787" s="7" t="n"/>
      <c r="H1787" s="8" t="n"/>
      <c r="I1787" s="9">
        <f>IF($A1787="","",SUMIFS(Ventes_Encaissements!$D$6:$D$3005,Ventes_Encaissements!$B$6:$B$3005,$A1787))</f>
        <v/>
      </c>
      <c r="J1787" s="9">
        <f>IF($A1787="","",$H1787-$I1787)</f>
        <v/>
      </c>
      <c r="K1787" s="10">
        <f>IF($A1787="","",IF($I1787=0,"",_xludf.AGGREGATE(14,6,Ventes_Encaissements!$C$6:$C$3005/(Ventes_Encaissements!$B$6:$B$3005=$A1787),1)))</f>
        <v/>
      </c>
      <c r="L1787" s="11">
        <f>IF($A1787="","",COUNTIFS(Ventes_Detail!$B$6:$B$3005,$A1787))</f>
        <v/>
      </c>
      <c r="M1787" s="12" t="n"/>
      <c r="N1787" s="12">
        <f>IF($A1787="","",IF($G1787="","",IF($M1787="Oui","Litige",IF($J1787&lt;=0,"Payé",IF($I1787&gt;0,"Partiel",IF(Listes!$B$3&gt;$G1787,"En retard","À échoir"))))))</f>
        <v/>
      </c>
      <c r="O1787" s="11">
        <f>IF($A1787="","",IF(OR($G1787="", $J1787&lt;=0),0,MAX(0,Listes!$B$3-$G1787)))</f>
        <v/>
      </c>
      <c r="P1787" s="12">
        <f>IF($A1787="","",IF($J1787&lt;=0,"Payé",IF($M1787="Oui","Litige",IF($O1787=0,"À échoir",IF($O1787&lt;=30,"0-30",IF($O1787&lt;=60,"31-60",IF($O1787&lt;=90,"61-90","90+")))))))</f>
        <v/>
      </c>
    </row>
    <row r="1788">
      <c r="A1788" s="6" t="n"/>
      <c r="B1788" s="6" t="n"/>
      <c r="C1788" s="6" t="n"/>
      <c r="D1788" s="6" t="n"/>
      <c r="E1788" s="6" t="n"/>
      <c r="F1788" s="7" t="n"/>
      <c r="G1788" s="7" t="n"/>
      <c r="H1788" s="8" t="n"/>
      <c r="I1788" s="9">
        <f>IF($A1788="","",SUMIFS(Ventes_Encaissements!$D$6:$D$3005,Ventes_Encaissements!$B$6:$B$3005,$A1788))</f>
        <v/>
      </c>
      <c r="J1788" s="9">
        <f>IF($A1788="","",$H1788-$I1788)</f>
        <v/>
      </c>
      <c r="K1788" s="10">
        <f>IF($A1788="","",IF($I1788=0,"",_xludf.AGGREGATE(14,6,Ventes_Encaissements!$C$6:$C$3005/(Ventes_Encaissements!$B$6:$B$3005=$A1788),1)))</f>
        <v/>
      </c>
      <c r="L1788" s="11">
        <f>IF($A1788="","",COUNTIFS(Ventes_Detail!$B$6:$B$3005,$A1788))</f>
        <v/>
      </c>
      <c r="M1788" s="12" t="n"/>
      <c r="N1788" s="12">
        <f>IF($A1788="","",IF($G1788="","",IF($M1788="Oui","Litige",IF($J1788&lt;=0,"Payé",IF($I1788&gt;0,"Partiel",IF(Listes!$B$3&gt;$G1788,"En retard","À échoir"))))))</f>
        <v/>
      </c>
      <c r="O1788" s="11">
        <f>IF($A1788="","",IF(OR($G1788="", $J1788&lt;=0),0,MAX(0,Listes!$B$3-$G1788)))</f>
        <v/>
      </c>
      <c r="P1788" s="12">
        <f>IF($A1788="","",IF($J1788&lt;=0,"Payé",IF($M1788="Oui","Litige",IF($O1788=0,"À échoir",IF($O1788&lt;=30,"0-30",IF($O1788&lt;=60,"31-60",IF($O1788&lt;=90,"61-90","90+")))))))</f>
        <v/>
      </c>
    </row>
    <row r="1789">
      <c r="A1789" s="6" t="n"/>
      <c r="B1789" s="6" t="n"/>
      <c r="C1789" s="6" t="n"/>
      <c r="D1789" s="6" t="n"/>
      <c r="E1789" s="6" t="n"/>
      <c r="F1789" s="7" t="n"/>
      <c r="G1789" s="7" t="n"/>
      <c r="H1789" s="8" t="n"/>
      <c r="I1789" s="9">
        <f>IF($A1789="","",SUMIFS(Ventes_Encaissements!$D$6:$D$3005,Ventes_Encaissements!$B$6:$B$3005,$A1789))</f>
        <v/>
      </c>
      <c r="J1789" s="9">
        <f>IF($A1789="","",$H1789-$I1789)</f>
        <v/>
      </c>
      <c r="K1789" s="10">
        <f>IF($A1789="","",IF($I1789=0,"",_xludf.AGGREGATE(14,6,Ventes_Encaissements!$C$6:$C$3005/(Ventes_Encaissements!$B$6:$B$3005=$A1789),1)))</f>
        <v/>
      </c>
      <c r="L1789" s="11">
        <f>IF($A1789="","",COUNTIFS(Ventes_Detail!$B$6:$B$3005,$A1789))</f>
        <v/>
      </c>
      <c r="M1789" s="12" t="n"/>
      <c r="N1789" s="12">
        <f>IF($A1789="","",IF($G1789="","",IF($M1789="Oui","Litige",IF($J1789&lt;=0,"Payé",IF($I1789&gt;0,"Partiel",IF(Listes!$B$3&gt;$G1789,"En retard","À échoir"))))))</f>
        <v/>
      </c>
      <c r="O1789" s="11">
        <f>IF($A1789="","",IF(OR($G1789="", $J1789&lt;=0),0,MAX(0,Listes!$B$3-$G1789)))</f>
        <v/>
      </c>
      <c r="P1789" s="12">
        <f>IF($A1789="","",IF($J1789&lt;=0,"Payé",IF($M1789="Oui","Litige",IF($O1789=0,"À échoir",IF($O1789&lt;=30,"0-30",IF($O1789&lt;=60,"31-60",IF($O1789&lt;=90,"61-90","90+")))))))</f>
        <v/>
      </c>
    </row>
    <row r="1790">
      <c r="A1790" s="6" t="n"/>
      <c r="B1790" s="6" t="n"/>
      <c r="C1790" s="6" t="n"/>
      <c r="D1790" s="6" t="n"/>
      <c r="E1790" s="6" t="n"/>
      <c r="F1790" s="7" t="n"/>
      <c r="G1790" s="7" t="n"/>
      <c r="H1790" s="8" t="n"/>
      <c r="I1790" s="9">
        <f>IF($A1790="","",SUMIFS(Ventes_Encaissements!$D$6:$D$3005,Ventes_Encaissements!$B$6:$B$3005,$A1790))</f>
        <v/>
      </c>
      <c r="J1790" s="9">
        <f>IF($A1790="","",$H1790-$I1790)</f>
        <v/>
      </c>
      <c r="K1790" s="10">
        <f>IF($A1790="","",IF($I1790=0,"",_xludf.AGGREGATE(14,6,Ventes_Encaissements!$C$6:$C$3005/(Ventes_Encaissements!$B$6:$B$3005=$A1790),1)))</f>
        <v/>
      </c>
      <c r="L1790" s="11">
        <f>IF($A1790="","",COUNTIFS(Ventes_Detail!$B$6:$B$3005,$A1790))</f>
        <v/>
      </c>
      <c r="M1790" s="12" t="n"/>
      <c r="N1790" s="12">
        <f>IF($A1790="","",IF($G1790="","",IF($M1790="Oui","Litige",IF($J1790&lt;=0,"Payé",IF($I1790&gt;0,"Partiel",IF(Listes!$B$3&gt;$G1790,"En retard","À échoir"))))))</f>
        <v/>
      </c>
      <c r="O1790" s="11">
        <f>IF($A1790="","",IF(OR($G1790="", $J1790&lt;=0),0,MAX(0,Listes!$B$3-$G1790)))</f>
        <v/>
      </c>
      <c r="P1790" s="12">
        <f>IF($A1790="","",IF($J1790&lt;=0,"Payé",IF($M1790="Oui","Litige",IF($O1790=0,"À échoir",IF($O1790&lt;=30,"0-30",IF($O1790&lt;=60,"31-60",IF($O1790&lt;=90,"61-90","90+")))))))</f>
        <v/>
      </c>
    </row>
    <row r="1791">
      <c r="A1791" s="6" t="n"/>
      <c r="B1791" s="6" t="n"/>
      <c r="C1791" s="6" t="n"/>
      <c r="D1791" s="6" t="n"/>
      <c r="E1791" s="6" t="n"/>
      <c r="F1791" s="7" t="n"/>
      <c r="G1791" s="7" t="n"/>
      <c r="H1791" s="8" t="n"/>
      <c r="I1791" s="9">
        <f>IF($A1791="","",SUMIFS(Ventes_Encaissements!$D$6:$D$3005,Ventes_Encaissements!$B$6:$B$3005,$A1791))</f>
        <v/>
      </c>
      <c r="J1791" s="9">
        <f>IF($A1791="","",$H1791-$I1791)</f>
        <v/>
      </c>
      <c r="K1791" s="10">
        <f>IF($A1791="","",IF($I1791=0,"",_xludf.AGGREGATE(14,6,Ventes_Encaissements!$C$6:$C$3005/(Ventes_Encaissements!$B$6:$B$3005=$A1791),1)))</f>
        <v/>
      </c>
      <c r="L1791" s="11">
        <f>IF($A1791="","",COUNTIFS(Ventes_Detail!$B$6:$B$3005,$A1791))</f>
        <v/>
      </c>
      <c r="M1791" s="12" t="n"/>
      <c r="N1791" s="12">
        <f>IF($A1791="","",IF($G1791="","",IF($M1791="Oui","Litige",IF($J1791&lt;=0,"Payé",IF($I1791&gt;0,"Partiel",IF(Listes!$B$3&gt;$G1791,"En retard","À échoir"))))))</f>
        <v/>
      </c>
      <c r="O1791" s="11">
        <f>IF($A1791="","",IF(OR($G1791="", $J1791&lt;=0),0,MAX(0,Listes!$B$3-$G1791)))</f>
        <v/>
      </c>
      <c r="P1791" s="12">
        <f>IF($A1791="","",IF($J1791&lt;=0,"Payé",IF($M1791="Oui","Litige",IF($O1791=0,"À échoir",IF($O1791&lt;=30,"0-30",IF($O1791&lt;=60,"31-60",IF($O1791&lt;=90,"61-90","90+")))))))</f>
        <v/>
      </c>
    </row>
    <row r="1792">
      <c r="A1792" s="6" t="n"/>
      <c r="B1792" s="6" t="n"/>
      <c r="C1792" s="6" t="n"/>
      <c r="D1792" s="6" t="n"/>
      <c r="E1792" s="6" t="n"/>
      <c r="F1792" s="7" t="n"/>
      <c r="G1792" s="7" t="n"/>
      <c r="H1792" s="8" t="n"/>
      <c r="I1792" s="9">
        <f>IF($A1792="","",SUMIFS(Ventes_Encaissements!$D$6:$D$3005,Ventes_Encaissements!$B$6:$B$3005,$A1792))</f>
        <v/>
      </c>
      <c r="J1792" s="9">
        <f>IF($A1792="","",$H1792-$I1792)</f>
        <v/>
      </c>
      <c r="K1792" s="10">
        <f>IF($A1792="","",IF($I1792=0,"",_xludf.AGGREGATE(14,6,Ventes_Encaissements!$C$6:$C$3005/(Ventes_Encaissements!$B$6:$B$3005=$A1792),1)))</f>
        <v/>
      </c>
      <c r="L1792" s="11">
        <f>IF($A1792="","",COUNTIFS(Ventes_Detail!$B$6:$B$3005,$A1792))</f>
        <v/>
      </c>
      <c r="M1792" s="12" t="n"/>
      <c r="N1792" s="12">
        <f>IF($A1792="","",IF($G1792="","",IF($M1792="Oui","Litige",IF($J1792&lt;=0,"Payé",IF($I1792&gt;0,"Partiel",IF(Listes!$B$3&gt;$G1792,"En retard","À échoir"))))))</f>
        <v/>
      </c>
      <c r="O1792" s="11">
        <f>IF($A1792="","",IF(OR($G1792="", $J1792&lt;=0),0,MAX(0,Listes!$B$3-$G1792)))</f>
        <v/>
      </c>
      <c r="P1792" s="12">
        <f>IF($A1792="","",IF($J1792&lt;=0,"Payé",IF($M1792="Oui","Litige",IF($O1792=0,"À échoir",IF($O1792&lt;=30,"0-30",IF($O1792&lt;=60,"31-60",IF($O1792&lt;=90,"61-90","90+")))))))</f>
        <v/>
      </c>
    </row>
    <row r="1793">
      <c r="A1793" s="6" t="n"/>
      <c r="B1793" s="6" t="n"/>
      <c r="C1793" s="6" t="n"/>
      <c r="D1793" s="6" t="n"/>
      <c r="E1793" s="6" t="n"/>
      <c r="F1793" s="7" t="n"/>
      <c r="G1793" s="7" t="n"/>
      <c r="H1793" s="8" t="n"/>
      <c r="I1793" s="9">
        <f>IF($A1793="","",SUMIFS(Ventes_Encaissements!$D$6:$D$3005,Ventes_Encaissements!$B$6:$B$3005,$A1793))</f>
        <v/>
      </c>
      <c r="J1793" s="9">
        <f>IF($A1793="","",$H1793-$I1793)</f>
        <v/>
      </c>
      <c r="K1793" s="10">
        <f>IF($A1793="","",IF($I1793=0,"",_xludf.AGGREGATE(14,6,Ventes_Encaissements!$C$6:$C$3005/(Ventes_Encaissements!$B$6:$B$3005=$A1793),1)))</f>
        <v/>
      </c>
      <c r="L1793" s="11">
        <f>IF($A1793="","",COUNTIFS(Ventes_Detail!$B$6:$B$3005,$A1793))</f>
        <v/>
      </c>
      <c r="M1793" s="12" t="n"/>
      <c r="N1793" s="12">
        <f>IF($A1793="","",IF($G1793="","",IF($M1793="Oui","Litige",IF($J1793&lt;=0,"Payé",IF($I1793&gt;0,"Partiel",IF(Listes!$B$3&gt;$G1793,"En retard","À échoir"))))))</f>
        <v/>
      </c>
      <c r="O1793" s="11">
        <f>IF($A1793="","",IF(OR($G1793="", $J1793&lt;=0),0,MAX(0,Listes!$B$3-$G1793)))</f>
        <v/>
      </c>
      <c r="P1793" s="12">
        <f>IF($A1793="","",IF($J1793&lt;=0,"Payé",IF($M1793="Oui","Litige",IF($O1793=0,"À échoir",IF($O1793&lt;=30,"0-30",IF($O1793&lt;=60,"31-60",IF($O1793&lt;=90,"61-90","90+")))))))</f>
        <v/>
      </c>
    </row>
    <row r="1794">
      <c r="A1794" s="6" t="n"/>
      <c r="B1794" s="6" t="n"/>
      <c r="C1794" s="6" t="n"/>
      <c r="D1794" s="6" t="n"/>
      <c r="E1794" s="6" t="n"/>
      <c r="F1794" s="7" t="n"/>
      <c r="G1794" s="7" t="n"/>
      <c r="H1794" s="8" t="n"/>
      <c r="I1794" s="9">
        <f>IF($A1794="","",SUMIFS(Ventes_Encaissements!$D$6:$D$3005,Ventes_Encaissements!$B$6:$B$3005,$A1794))</f>
        <v/>
      </c>
      <c r="J1794" s="9">
        <f>IF($A1794="","",$H1794-$I1794)</f>
        <v/>
      </c>
      <c r="K1794" s="10">
        <f>IF($A1794="","",IF($I1794=0,"",_xludf.AGGREGATE(14,6,Ventes_Encaissements!$C$6:$C$3005/(Ventes_Encaissements!$B$6:$B$3005=$A1794),1)))</f>
        <v/>
      </c>
      <c r="L1794" s="11">
        <f>IF($A1794="","",COUNTIFS(Ventes_Detail!$B$6:$B$3005,$A1794))</f>
        <v/>
      </c>
      <c r="M1794" s="12" t="n"/>
      <c r="N1794" s="12">
        <f>IF($A1794="","",IF($G1794="","",IF($M1794="Oui","Litige",IF($J1794&lt;=0,"Payé",IF($I1794&gt;0,"Partiel",IF(Listes!$B$3&gt;$G1794,"En retard","À échoir"))))))</f>
        <v/>
      </c>
      <c r="O1794" s="11">
        <f>IF($A1794="","",IF(OR($G1794="", $J1794&lt;=0),0,MAX(0,Listes!$B$3-$G1794)))</f>
        <v/>
      </c>
      <c r="P1794" s="12">
        <f>IF($A1794="","",IF($J1794&lt;=0,"Payé",IF($M1794="Oui","Litige",IF($O1794=0,"À échoir",IF($O1794&lt;=30,"0-30",IF($O1794&lt;=60,"31-60",IF($O1794&lt;=90,"61-90","90+")))))))</f>
        <v/>
      </c>
    </row>
    <row r="1795">
      <c r="A1795" s="6" t="n"/>
      <c r="B1795" s="6" t="n"/>
      <c r="C1795" s="6" t="n"/>
      <c r="D1795" s="6" t="n"/>
      <c r="E1795" s="6" t="n"/>
      <c r="F1795" s="7" t="n"/>
      <c r="G1795" s="7" t="n"/>
      <c r="H1795" s="8" t="n"/>
      <c r="I1795" s="9">
        <f>IF($A1795="","",SUMIFS(Ventes_Encaissements!$D$6:$D$3005,Ventes_Encaissements!$B$6:$B$3005,$A1795))</f>
        <v/>
      </c>
      <c r="J1795" s="9">
        <f>IF($A1795="","",$H1795-$I1795)</f>
        <v/>
      </c>
      <c r="K1795" s="10">
        <f>IF($A1795="","",IF($I1795=0,"",_xludf.AGGREGATE(14,6,Ventes_Encaissements!$C$6:$C$3005/(Ventes_Encaissements!$B$6:$B$3005=$A1795),1)))</f>
        <v/>
      </c>
      <c r="L1795" s="11">
        <f>IF($A1795="","",COUNTIFS(Ventes_Detail!$B$6:$B$3005,$A1795))</f>
        <v/>
      </c>
      <c r="M1795" s="12" t="n"/>
      <c r="N1795" s="12">
        <f>IF($A1795="","",IF($G1795="","",IF($M1795="Oui","Litige",IF($J1795&lt;=0,"Payé",IF($I1795&gt;0,"Partiel",IF(Listes!$B$3&gt;$G1795,"En retard","À échoir"))))))</f>
        <v/>
      </c>
      <c r="O1795" s="11">
        <f>IF($A1795="","",IF(OR($G1795="", $J1795&lt;=0),0,MAX(0,Listes!$B$3-$G1795)))</f>
        <v/>
      </c>
      <c r="P1795" s="12">
        <f>IF($A1795="","",IF($J1795&lt;=0,"Payé",IF($M1795="Oui","Litige",IF($O1795=0,"À échoir",IF($O1795&lt;=30,"0-30",IF($O1795&lt;=60,"31-60",IF($O1795&lt;=90,"61-90","90+")))))))</f>
        <v/>
      </c>
    </row>
    <row r="1796">
      <c r="A1796" s="6" t="n"/>
      <c r="B1796" s="6" t="n"/>
      <c r="C1796" s="6" t="n"/>
      <c r="D1796" s="6" t="n"/>
      <c r="E1796" s="6" t="n"/>
      <c r="F1796" s="7" t="n"/>
      <c r="G1796" s="7" t="n"/>
      <c r="H1796" s="8" t="n"/>
      <c r="I1796" s="9">
        <f>IF($A1796="","",SUMIFS(Ventes_Encaissements!$D$6:$D$3005,Ventes_Encaissements!$B$6:$B$3005,$A1796))</f>
        <v/>
      </c>
      <c r="J1796" s="9">
        <f>IF($A1796="","",$H1796-$I1796)</f>
        <v/>
      </c>
      <c r="K1796" s="10">
        <f>IF($A1796="","",IF($I1796=0,"",_xludf.AGGREGATE(14,6,Ventes_Encaissements!$C$6:$C$3005/(Ventes_Encaissements!$B$6:$B$3005=$A1796),1)))</f>
        <v/>
      </c>
      <c r="L1796" s="11">
        <f>IF($A1796="","",COUNTIFS(Ventes_Detail!$B$6:$B$3005,$A1796))</f>
        <v/>
      </c>
      <c r="M1796" s="12" t="n"/>
      <c r="N1796" s="12">
        <f>IF($A1796="","",IF($G1796="","",IF($M1796="Oui","Litige",IF($J1796&lt;=0,"Payé",IF($I1796&gt;0,"Partiel",IF(Listes!$B$3&gt;$G1796,"En retard","À échoir"))))))</f>
        <v/>
      </c>
      <c r="O1796" s="11">
        <f>IF($A1796="","",IF(OR($G1796="", $J1796&lt;=0),0,MAX(0,Listes!$B$3-$G1796)))</f>
        <v/>
      </c>
      <c r="P1796" s="12">
        <f>IF($A1796="","",IF($J1796&lt;=0,"Payé",IF($M1796="Oui","Litige",IF($O1796=0,"À échoir",IF($O1796&lt;=30,"0-30",IF($O1796&lt;=60,"31-60",IF($O1796&lt;=90,"61-90","90+")))))))</f>
        <v/>
      </c>
    </row>
    <row r="1797">
      <c r="A1797" s="6" t="n"/>
      <c r="B1797" s="6" t="n"/>
      <c r="C1797" s="6" t="n"/>
      <c r="D1797" s="6" t="n"/>
      <c r="E1797" s="6" t="n"/>
      <c r="F1797" s="7" t="n"/>
      <c r="G1797" s="7" t="n"/>
      <c r="H1797" s="8" t="n"/>
      <c r="I1797" s="9">
        <f>IF($A1797="","",SUMIFS(Ventes_Encaissements!$D$6:$D$3005,Ventes_Encaissements!$B$6:$B$3005,$A1797))</f>
        <v/>
      </c>
      <c r="J1797" s="9">
        <f>IF($A1797="","",$H1797-$I1797)</f>
        <v/>
      </c>
      <c r="K1797" s="10">
        <f>IF($A1797="","",IF($I1797=0,"",_xludf.AGGREGATE(14,6,Ventes_Encaissements!$C$6:$C$3005/(Ventes_Encaissements!$B$6:$B$3005=$A1797),1)))</f>
        <v/>
      </c>
      <c r="L1797" s="11">
        <f>IF($A1797="","",COUNTIFS(Ventes_Detail!$B$6:$B$3005,$A1797))</f>
        <v/>
      </c>
      <c r="M1797" s="12" t="n"/>
      <c r="N1797" s="12">
        <f>IF($A1797="","",IF($G1797="","",IF($M1797="Oui","Litige",IF($J1797&lt;=0,"Payé",IF($I1797&gt;0,"Partiel",IF(Listes!$B$3&gt;$G1797,"En retard","À échoir"))))))</f>
        <v/>
      </c>
      <c r="O1797" s="11">
        <f>IF($A1797="","",IF(OR($G1797="", $J1797&lt;=0),0,MAX(0,Listes!$B$3-$G1797)))</f>
        <v/>
      </c>
      <c r="P1797" s="12">
        <f>IF($A1797="","",IF($J1797&lt;=0,"Payé",IF($M1797="Oui","Litige",IF($O1797=0,"À échoir",IF($O1797&lt;=30,"0-30",IF($O1797&lt;=60,"31-60",IF($O1797&lt;=90,"61-90","90+")))))))</f>
        <v/>
      </c>
    </row>
    <row r="1798">
      <c r="A1798" s="6" t="n"/>
      <c r="B1798" s="6" t="n"/>
      <c r="C1798" s="6" t="n"/>
      <c r="D1798" s="6" t="n"/>
      <c r="E1798" s="6" t="n"/>
      <c r="F1798" s="7" t="n"/>
      <c r="G1798" s="7" t="n"/>
      <c r="H1798" s="8" t="n"/>
      <c r="I1798" s="9">
        <f>IF($A1798="","",SUMIFS(Ventes_Encaissements!$D$6:$D$3005,Ventes_Encaissements!$B$6:$B$3005,$A1798))</f>
        <v/>
      </c>
      <c r="J1798" s="9">
        <f>IF($A1798="","",$H1798-$I1798)</f>
        <v/>
      </c>
      <c r="K1798" s="10">
        <f>IF($A1798="","",IF($I1798=0,"",_xludf.AGGREGATE(14,6,Ventes_Encaissements!$C$6:$C$3005/(Ventes_Encaissements!$B$6:$B$3005=$A1798),1)))</f>
        <v/>
      </c>
      <c r="L1798" s="11">
        <f>IF($A1798="","",COUNTIFS(Ventes_Detail!$B$6:$B$3005,$A1798))</f>
        <v/>
      </c>
      <c r="M1798" s="12" t="n"/>
      <c r="N1798" s="12">
        <f>IF($A1798="","",IF($G1798="","",IF($M1798="Oui","Litige",IF($J1798&lt;=0,"Payé",IF($I1798&gt;0,"Partiel",IF(Listes!$B$3&gt;$G1798,"En retard","À échoir"))))))</f>
        <v/>
      </c>
      <c r="O1798" s="11">
        <f>IF($A1798="","",IF(OR($G1798="", $J1798&lt;=0),0,MAX(0,Listes!$B$3-$G1798)))</f>
        <v/>
      </c>
      <c r="P1798" s="12">
        <f>IF($A1798="","",IF($J1798&lt;=0,"Payé",IF($M1798="Oui","Litige",IF($O1798=0,"À échoir",IF($O1798&lt;=30,"0-30",IF($O1798&lt;=60,"31-60",IF($O1798&lt;=90,"61-90","90+")))))))</f>
        <v/>
      </c>
    </row>
    <row r="1799">
      <c r="A1799" s="6" t="n"/>
      <c r="B1799" s="6" t="n"/>
      <c r="C1799" s="6" t="n"/>
      <c r="D1799" s="6" t="n"/>
      <c r="E1799" s="6" t="n"/>
      <c r="F1799" s="7" t="n"/>
      <c r="G1799" s="7" t="n"/>
      <c r="H1799" s="8" t="n"/>
      <c r="I1799" s="9">
        <f>IF($A1799="","",SUMIFS(Ventes_Encaissements!$D$6:$D$3005,Ventes_Encaissements!$B$6:$B$3005,$A1799))</f>
        <v/>
      </c>
      <c r="J1799" s="9">
        <f>IF($A1799="","",$H1799-$I1799)</f>
        <v/>
      </c>
      <c r="K1799" s="10">
        <f>IF($A1799="","",IF($I1799=0,"",_xludf.AGGREGATE(14,6,Ventes_Encaissements!$C$6:$C$3005/(Ventes_Encaissements!$B$6:$B$3005=$A1799),1)))</f>
        <v/>
      </c>
      <c r="L1799" s="11">
        <f>IF($A1799="","",COUNTIFS(Ventes_Detail!$B$6:$B$3005,$A1799))</f>
        <v/>
      </c>
      <c r="M1799" s="12" t="n"/>
      <c r="N1799" s="12">
        <f>IF($A1799="","",IF($G1799="","",IF($M1799="Oui","Litige",IF($J1799&lt;=0,"Payé",IF($I1799&gt;0,"Partiel",IF(Listes!$B$3&gt;$G1799,"En retard","À échoir"))))))</f>
        <v/>
      </c>
      <c r="O1799" s="11">
        <f>IF($A1799="","",IF(OR($G1799="", $J1799&lt;=0),0,MAX(0,Listes!$B$3-$G1799)))</f>
        <v/>
      </c>
      <c r="P1799" s="12">
        <f>IF($A1799="","",IF($J1799&lt;=0,"Payé",IF($M1799="Oui","Litige",IF($O1799=0,"À échoir",IF($O1799&lt;=30,"0-30",IF($O1799&lt;=60,"31-60",IF($O1799&lt;=90,"61-90","90+")))))))</f>
        <v/>
      </c>
    </row>
    <row r="1800">
      <c r="A1800" s="6" t="n"/>
      <c r="B1800" s="6" t="n"/>
      <c r="C1800" s="6" t="n"/>
      <c r="D1800" s="6" t="n"/>
      <c r="E1800" s="6" t="n"/>
      <c r="F1800" s="7" t="n"/>
      <c r="G1800" s="7" t="n"/>
      <c r="H1800" s="8" t="n"/>
      <c r="I1800" s="9">
        <f>IF($A1800="","",SUMIFS(Ventes_Encaissements!$D$6:$D$3005,Ventes_Encaissements!$B$6:$B$3005,$A1800))</f>
        <v/>
      </c>
      <c r="J1800" s="9">
        <f>IF($A1800="","",$H1800-$I1800)</f>
        <v/>
      </c>
      <c r="K1800" s="10">
        <f>IF($A1800="","",IF($I1800=0,"",_xludf.AGGREGATE(14,6,Ventes_Encaissements!$C$6:$C$3005/(Ventes_Encaissements!$B$6:$B$3005=$A1800),1)))</f>
        <v/>
      </c>
      <c r="L1800" s="11">
        <f>IF($A1800="","",COUNTIFS(Ventes_Detail!$B$6:$B$3005,$A1800))</f>
        <v/>
      </c>
      <c r="M1800" s="12" t="n"/>
      <c r="N1800" s="12">
        <f>IF($A1800="","",IF($G1800="","",IF($M1800="Oui","Litige",IF($J1800&lt;=0,"Payé",IF($I1800&gt;0,"Partiel",IF(Listes!$B$3&gt;$G1800,"En retard","À échoir"))))))</f>
        <v/>
      </c>
      <c r="O1800" s="11">
        <f>IF($A1800="","",IF(OR($G1800="", $J1800&lt;=0),0,MAX(0,Listes!$B$3-$G1800)))</f>
        <v/>
      </c>
      <c r="P1800" s="12">
        <f>IF($A1800="","",IF($J1800&lt;=0,"Payé",IF($M1800="Oui","Litige",IF($O1800=0,"À échoir",IF($O1800&lt;=30,"0-30",IF($O1800&lt;=60,"31-60",IF($O1800&lt;=90,"61-90","90+")))))))</f>
        <v/>
      </c>
    </row>
    <row r="1801">
      <c r="A1801" s="6" t="n"/>
      <c r="B1801" s="6" t="n"/>
      <c r="C1801" s="6" t="n"/>
      <c r="D1801" s="6" t="n"/>
      <c r="E1801" s="6" t="n"/>
      <c r="F1801" s="7" t="n"/>
      <c r="G1801" s="7" t="n"/>
      <c r="H1801" s="8" t="n"/>
      <c r="I1801" s="9">
        <f>IF($A1801="","",SUMIFS(Ventes_Encaissements!$D$6:$D$3005,Ventes_Encaissements!$B$6:$B$3005,$A1801))</f>
        <v/>
      </c>
      <c r="J1801" s="9">
        <f>IF($A1801="","",$H1801-$I1801)</f>
        <v/>
      </c>
      <c r="K1801" s="10">
        <f>IF($A1801="","",IF($I1801=0,"",_xludf.AGGREGATE(14,6,Ventes_Encaissements!$C$6:$C$3005/(Ventes_Encaissements!$B$6:$B$3005=$A1801),1)))</f>
        <v/>
      </c>
      <c r="L1801" s="11">
        <f>IF($A1801="","",COUNTIFS(Ventes_Detail!$B$6:$B$3005,$A1801))</f>
        <v/>
      </c>
      <c r="M1801" s="12" t="n"/>
      <c r="N1801" s="12">
        <f>IF($A1801="","",IF($G1801="","",IF($M1801="Oui","Litige",IF($J1801&lt;=0,"Payé",IF($I1801&gt;0,"Partiel",IF(Listes!$B$3&gt;$G1801,"En retard","À échoir"))))))</f>
        <v/>
      </c>
      <c r="O1801" s="11">
        <f>IF($A1801="","",IF(OR($G1801="", $J1801&lt;=0),0,MAX(0,Listes!$B$3-$G1801)))</f>
        <v/>
      </c>
      <c r="P1801" s="12">
        <f>IF($A1801="","",IF($J1801&lt;=0,"Payé",IF($M1801="Oui","Litige",IF($O1801=0,"À échoir",IF($O1801&lt;=30,"0-30",IF($O1801&lt;=60,"31-60",IF($O1801&lt;=90,"61-90","90+")))))))</f>
        <v/>
      </c>
    </row>
    <row r="1802">
      <c r="A1802" s="6" t="n"/>
      <c r="B1802" s="6" t="n"/>
      <c r="C1802" s="6" t="n"/>
      <c r="D1802" s="6" t="n"/>
      <c r="E1802" s="6" t="n"/>
      <c r="F1802" s="7" t="n"/>
      <c r="G1802" s="7" t="n"/>
      <c r="H1802" s="8" t="n"/>
      <c r="I1802" s="9">
        <f>IF($A1802="","",SUMIFS(Ventes_Encaissements!$D$6:$D$3005,Ventes_Encaissements!$B$6:$B$3005,$A1802))</f>
        <v/>
      </c>
      <c r="J1802" s="9">
        <f>IF($A1802="","",$H1802-$I1802)</f>
        <v/>
      </c>
      <c r="K1802" s="10">
        <f>IF($A1802="","",IF($I1802=0,"",_xludf.AGGREGATE(14,6,Ventes_Encaissements!$C$6:$C$3005/(Ventes_Encaissements!$B$6:$B$3005=$A1802),1)))</f>
        <v/>
      </c>
      <c r="L1802" s="11">
        <f>IF($A1802="","",COUNTIFS(Ventes_Detail!$B$6:$B$3005,$A1802))</f>
        <v/>
      </c>
      <c r="M1802" s="12" t="n"/>
      <c r="N1802" s="12">
        <f>IF($A1802="","",IF($G1802="","",IF($M1802="Oui","Litige",IF($J1802&lt;=0,"Payé",IF($I1802&gt;0,"Partiel",IF(Listes!$B$3&gt;$G1802,"En retard","À échoir"))))))</f>
        <v/>
      </c>
      <c r="O1802" s="11">
        <f>IF($A1802="","",IF(OR($G1802="", $J1802&lt;=0),0,MAX(0,Listes!$B$3-$G1802)))</f>
        <v/>
      </c>
      <c r="P1802" s="12">
        <f>IF($A1802="","",IF($J1802&lt;=0,"Payé",IF($M1802="Oui","Litige",IF($O1802=0,"À échoir",IF($O1802&lt;=30,"0-30",IF($O1802&lt;=60,"31-60",IF($O1802&lt;=90,"61-90","90+")))))))</f>
        <v/>
      </c>
    </row>
    <row r="1803">
      <c r="A1803" s="6" t="n"/>
      <c r="B1803" s="6" t="n"/>
      <c r="C1803" s="6" t="n"/>
      <c r="D1803" s="6" t="n"/>
      <c r="E1803" s="6" t="n"/>
      <c r="F1803" s="7" t="n"/>
      <c r="G1803" s="7" t="n"/>
      <c r="H1803" s="8" t="n"/>
      <c r="I1803" s="9">
        <f>IF($A1803="","",SUMIFS(Ventes_Encaissements!$D$6:$D$3005,Ventes_Encaissements!$B$6:$B$3005,$A1803))</f>
        <v/>
      </c>
      <c r="J1803" s="9">
        <f>IF($A1803="","",$H1803-$I1803)</f>
        <v/>
      </c>
      <c r="K1803" s="10">
        <f>IF($A1803="","",IF($I1803=0,"",_xludf.AGGREGATE(14,6,Ventes_Encaissements!$C$6:$C$3005/(Ventes_Encaissements!$B$6:$B$3005=$A1803),1)))</f>
        <v/>
      </c>
      <c r="L1803" s="11">
        <f>IF($A1803="","",COUNTIFS(Ventes_Detail!$B$6:$B$3005,$A1803))</f>
        <v/>
      </c>
      <c r="M1803" s="12" t="n"/>
      <c r="N1803" s="12">
        <f>IF($A1803="","",IF($G1803="","",IF($M1803="Oui","Litige",IF($J1803&lt;=0,"Payé",IF($I1803&gt;0,"Partiel",IF(Listes!$B$3&gt;$G1803,"En retard","À échoir"))))))</f>
        <v/>
      </c>
      <c r="O1803" s="11">
        <f>IF($A1803="","",IF(OR($G1803="", $J1803&lt;=0),0,MAX(0,Listes!$B$3-$G1803)))</f>
        <v/>
      </c>
      <c r="P1803" s="12">
        <f>IF($A1803="","",IF($J1803&lt;=0,"Payé",IF($M1803="Oui","Litige",IF($O1803=0,"À échoir",IF($O1803&lt;=30,"0-30",IF($O1803&lt;=60,"31-60",IF($O1803&lt;=90,"61-90","90+")))))))</f>
        <v/>
      </c>
    </row>
    <row r="1804">
      <c r="A1804" s="6" t="n"/>
      <c r="B1804" s="6" t="n"/>
      <c r="C1804" s="6" t="n"/>
      <c r="D1804" s="6" t="n"/>
      <c r="E1804" s="6" t="n"/>
      <c r="F1804" s="7" t="n"/>
      <c r="G1804" s="7" t="n"/>
      <c r="H1804" s="8" t="n"/>
      <c r="I1804" s="9">
        <f>IF($A1804="","",SUMIFS(Ventes_Encaissements!$D$6:$D$3005,Ventes_Encaissements!$B$6:$B$3005,$A1804))</f>
        <v/>
      </c>
      <c r="J1804" s="9">
        <f>IF($A1804="","",$H1804-$I1804)</f>
        <v/>
      </c>
      <c r="K1804" s="10">
        <f>IF($A1804="","",IF($I1804=0,"",_xludf.AGGREGATE(14,6,Ventes_Encaissements!$C$6:$C$3005/(Ventes_Encaissements!$B$6:$B$3005=$A1804),1)))</f>
        <v/>
      </c>
      <c r="L1804" s="11">
        <f>IF($A1804="","",COUNTIFS(Ventes_Detail!$B$6:$B$3005,$A1804))</f>
        <v/>
      </c>
      <c r="M1804" s="12" t="n"/>
      <c r="N1804" s="12">
        <f>IF($A1804="","",IF($G1804="","",IF($M1804="Oui","Litige",IF($J1804&lt;=0,"Payé",IF($I1804&gt;0,"Partiel",IF(Listes!$B$3&gt;$G1804,"En retard","À échoir"))))))</f>
        <v/>
      </c>
      <c r="O1804" s="11">
        <f>IF($A1804="","",IF(OR($G1804="", $J1804&lt;=0),0,MAX(0,Listes!$B$3-$G1804)))</f>
        <v/>
      </c>
      <c r="P1804" s="12">
        <f>IF($A1804="","",IF($J1804&lt;=0,"Payé",IF($M1804="Oui","Litige",IF($O1804=0,"À échoir",IF($O1804&lt;=30,"0-30",IF($O1804&lt;=60,"31-60",IF($O1804&lt;=90,"61-90","90+")))))))</f>
        <v/>
      </c>
    </row>
    <row r="1805">
      <c r="A1805" s="6" t="n"/>
      <c r="B1805" s="6" t="n"/>
      <c r="C1805" s="6" t="n"/>
      <c r="D1805" s="6" t="n"/>
      <c r="E1805" s="6" t="n"/>
      <c r="F1805" s="7" t="n"/>
      <c r="G1805" s="7" t="n"/>
      <c r="H1805" s="8" t="n"/>
      <c r="I1805" s="9">
        <f>IF($A1805="","",SUMIFS(Ventes_Encaissements!$D$6:$D$3005,Ventes_Encaissements!$B$6:$B$3005,$A1805))</f>
        <v/>
      </c>
      <c r="J1805" s="9">
        <f>IF($A1805="","",$H1805-$I1805)</f>
        <v/>
      </c>
      <c r="K1805" s="10">
        <f>IF($A1805="","",IF($I1805=0,"",_xludf.AGGREGATE(14,6,Ventes_Encaissements!$C$6:$C$3005/(Ventes_Encaissements!$B$6:$B$3005=$A1805),1)))</f>
        <v/>
      </c>
      <c r="L1805" s="11">
        <f>IF($A1805="","",COUNTIFS(Ventes_Detail!$B$6:$B$3005,$A1805))</f>
        <v/>
      </c>
      <c r="M1805" s="12" t="n"/>
      <c r="N1805" s="12">
        <f>IF($A1805="","",IF($G1805="","",IF($M1805="Oui","Litige",IF($J1805&lt;=0,"Payé",IF($I1805&gt;0,"Partiel",IF(Listes!$B$3&gt;$G1805,"En retard","À échoir"))))))</f>
        <v/>
      </c>
      <c r="O1805" s="11">
        <f>IF($A1805="","",IF(OR($G1805="", $J1805&lt;=0),0,MAX(0,Listes!$B$3-$G1805)))</f>
        <v/>
      </c>
      <c r="P1805" s="12">
        <f>IF($A1805="","",IF($J1805&lt;=0,"Payé",IF($M1805="Oui","Litige",IF($O1805=0,"À échoir",IF($O1805&lt;=30,"0-30",IF($O1805&lt;=60,"31-60",IF($O1805&lt;=90,"61-90","90+")))))))</f>
        <v/>
      </c>
    </row>
    <row r="1806">
      <c r="A1806" s="6" t="n"/>
      <c r="B1806" s="6" t="n"/>
      <c r="C1806" s="6" t="n"/>
      <c r="D1806" s="6" t="n"/>
      <c r="E1806" s="6" t="n"/>
      <c r="F1806" s="7" t="n"/>
      <c r="G1806" s="7" t="n"/>
      <c r="H1806" s="8" t="n"/>
      <c r="I1806" s="9">
        <f>IF($A1806="","",SUMIFS(Ventes_Encaissements!$D$6:$D$3005,Ventes_Encaissements!$B$6:$B$3005,$A1806))</f>
        <v/>
      </c>
      <c r="J1806" s="9">
        <f>IF($A1806="","",$H1806-$I1806)</f>
        <v/>
      </c>
      <c r="K1806" s="10">
        <f>IF($A1806="","",IF($I1806=0,"",_xludf.AGGREGATE(14,6,Ventes_Encaissements!$C$6:$C$3005/(Ventes_Encaissements!$B$6:$B$3005=$A1806),1)))</f>
        <v/>
      </c>
      <c r="L1806" s="11">
        <f>IF($A1806="","",COUNTIFS(Ventes_Detail!$B$6:$B$3005,$A1806))</f>
        <v/>
      </c>
      <c r="M1806" s="12" t="n"/>
      <c r="N1806" s="12">
        <f>IF($A1806="","",IF($G1806="","",IF($M1806="Oui","Litige",IF($J1806&lt;=0,"Payé",IF($I1806&gt;0,"Partiel",IF(Listes!$B$3&gt;$G1806,"En retard","À échoir"))))))</f>
        <v/>
      </c>
      <c r="O1806" s="11">
        <f>IF($A1806="","",IF(OR($G1806="", $J1806&lt;=0),0,MAX(0,Listes!$B$3-$G1806)))</f>
        <v/>
      </c>
      <c r="P1806" s="12">
        <f>IF($A1806="","",IF($J1806&lt;=0,"Payé",IF($M1806="Oui","Litige",IF($O1806=0,"À échoir",IF($O1806&lt;=30,"0-30",IF($O1806&lt;=60,"31-60",IF($O1806&lt;=90,"61-90","90+")))))))</f>
        <v/>
      </c>
    </row>
    <row r="1807">
      <c r="A1807" s="6" t="n"/>
      <c r="B1807" s="6" t="n"/>
      <c r="C1807" s="6" t="n"/>
      <c r="D1807" s="6" t="n"/>
      <c r="E1807" s="6" t="n"/>
      <c r="F1807" s="7" t="n"/>
      <c r="G1807" s="7" t="n"/>
      <c r="H1807" s="8" t="n"/>
      <c r="I1807" s="9">
        <f>IF($A1807="","",SUMIFS(Ventes_Encaissements!$D$6:$D$3005,Ventes_Encaissements!$B$6:$B$3005,$A1807))</f>
        <v/>
      </c>
      <c r="J1807" s="9">
        <f>IF($A1807="","",$H1807-$I1807)</f>
        <v/>
      </c>
      <c r="K1807" s="10">
        <f>IF($A1807="","",IF($I1807=0,"",_xludf.AGGREGATE(14,6,Ventes_Encaissements!$C$6:$C$3005/(Ventes_Encaissements!$B$6:$B$3005=$A1807),1)))</f>
        <v/>
      </c>
      <c r="L1807" s="11">
        <f>IF($A1807="","",COUNTIFS(Ventes_Detail!$B$6:$B$3005,$A1807))</f>
        <v/>
      </c>
      <c r="M1807" s="12" t="n"/>
      <c r="N1807" s="12">
        <f>IF($A1807="","",IF($G1807="","",IF($M1807="Oui","Litige",IF($J1807&lt;=0,"Payé",IF($I1807&gt;0,"Partiel",IF(Listes!$B$3&gt;$G1807,"En retard","À échoir"))))))</f>
        <v/>
      </c>
      <c r="O1807" s="11">
        <f>IF($A1807="","",IF(OR($G1807="", $J1807&lt;=0),0,MAX(0,Listes!$B$3-$G1807)))</f>
        <v/>
      </c>
      <c r="P1807" s="12">
        <f>IF($A1807="","",IF($J1807&lt;=0,"Payé",IF($M1807="Oui","Litige",IF($O1807=0,"À échoir",IF($O1807&lt;=30,"0-30",IF($O1807&lt;=60,"31-60",IF($O1807&lt;=90,"61-90","90+")))))))</f>
        <v/>
      </c>
    </row>
    <row r="1808">
      <c r="A1808" s="6" t="n"/>
      <c r="B1808" s="6" t="n"/>
      <c r="C1808" s="6" t="n"/>
      <c r="D1808" s="6" t="n"/>
      <c r="E1808" s="6" t="n"/>
      <c r="F1808" s="7" t="n"/>
      <c r="G1808" s="7" t="n"/>
      <c r="H1808" s="8" t="n"/>
      <c r="I1808" s="9">
        <f>IF($A1808="","",SUMIFS(Ventes_Encaissements!$D$6:$D$3005,Ventes_Encaissements!$B$6:$B$3005,$A1808))</f>
        <v/>
      </c>
      <c r="J1808" s="9">
        <f>IF($A1808="","",$H1808-$I1808)</f>
        <v/>
      </c>
      <c r="K1808" s="10">
        <f>IF($A1808="","",IF($I1808=0,"",_xludf.AGGREGATE(14,6,Ventes_Encaissements!$C$6:$C$3005/(Ventes_Encaissements!$B$6:$B$3005=$A1808),1)))</f>
        <v/>
      </c>
      <c r="L1808" s="11">
        <f>IF($A1808="","",COUNTIFS(Ventes_Detail!$B$6:$B$3005,$A1808))</f>
        <v/>
      </c>
      <c r="M1808" s="12" t="n"/>
      <c r="N1808" s="12">
        <f>IF($A1808="","",IF($G1808="","",IF($M1808="Oui","Litige",IF($J1808&lt;=0,"Payé",IF($I1808&gt;0,"Partiel",IF(Listes!$B$3&gt;$G1808,"En retard","À échoir"))))))</f>
        <v/>
      </c>
      <c r="O1808" s="11">
        <f>IF($A1808="","",IF(OR($G1808="", $J1808&lt;=0),0,MAX(0,Listes!$B$3-$G1808)))</f>
        <v/>
      </c>
      <c r="P1808" s="12">
        <f>IF($A1808="","",IF($J1808&lt;=0,"Payé",IF($M1808="Oui","Litige",IF($O1808=0,"À échoir",IF($O1808&lt;=30,"0-30",IF($O1808&lt;=60,"31-60",IF($O1808&lt;=90,"61-90","90+")))))))</f>
        <v/>
      </c>
    </row>
    <row r="1809">
      <c r="A1809" s="6" t="n"/>
      <c r="B1809" s="6" t="n"/>
      <c r="C1809" s="6" t="n"/>
      <c r="D1809" s="6" t="n"/>
      <c r="E1809" s="6" t="n"/>
      <c r="F1809" s="7" t="n"/>
      <c r="G1809" s="7" t="n"/>
      <c r="H1809" s="8" t="n"/>
      <c r="I1809" s="9">
        <f>IF($A1809="","",SUMIFS(Ventes_Encaissements!$D$6:$D$3005,Ventes_Encaissements!$B$6:$B$3005,$A1809))</f>
        <v/>
      </c>
      <c r="J1809" s="9">
        <f>IF($A1809="","",$H1809-$I1809)</f>
        <v/>
      </c>
      <c r="K1809" s="10">
        <f>IF($A1809="","",IF($I1809=0,"",_xludf.AGGREGATE(14,6,Ventes_Encaissements!$C$6:$C$3005/(Ventes_Encaissements!$B$6:$B$3005=$A1809),1)))</f>
        <v/>
      </c>
      <c r="L1809" s="11">
        <f>IF($A1809="","",COUNTIFS(Ventes_Detail!$B$6:$B$3005,$A1809))</f>
        <v/>
      </c>
      <c r="M1809" s="12" t="n"/>
      <c r="N1809" s="12">
        <f>IF($A1809="","",IF($G1809="","",IF($M1809="Oui","Litige",IF($J1809&lt;=0,"Payé",IF($I1809&gt;0,"Partiel",IF(Listes!$B$3&gt;$G1809,"En retard","À échoir"))))))</f>
        <v/>
      </c>
      <c r="O1809" s="11">
        <f>IF($A1809="","",IF(OR($G1809="", $J1809&lt;=0),0,MAX(0,Listes!$B$3-$G1809)))</f>
        <v/>
      </c>
      <c r="P1809" s="12">
        <f>IF($A1809="","",IF($J1809&lt;=0,"Payé",IF($M1809="Oui","Litige",IF($O1809=0,"À échoir",IF($O1809&lt;=30,"0-30",IF($O1809&lt;=60,"31-60",IF($O1809&lt;=90,"61-90","90+")))))))</f>
        <v/>
      </c>
    </row>
    <row r="1810">
      <c r="A1810" s="6" t="n"/>
      <c r="B1810" s="6" t="n"/>
      <c r="C1810" s="6" t="n"/>
      <c r="D1810" s="6" t="n"/>
      <c r="E1810" s="6" t="n"/>
      <c r="F1810" s="7" t="n"/>
      <c r="G1810" s="7" t="n"/>
      <c r="H1810" s="8" t="n"/>
      <c r="I1810" s="9">
        <f>IF($A1810="","",SUMIFS(Ventes_Encaissements!$D$6:$D$3005,Ventes_Encaissements!$B$6:$B$3005,$A1810))</f>
        <v/>
      </c>
      <c r="J1810" s="9">
        <f>IF($A1810="","",$H1810-$I1810)</f>
        <v/>
      </c>
      <c r="K1810" s="10">
        <f>IF($A1810="","",IF($I1810=0,"",_xludf.AGGREGATE(14,6,Ventes_Encaissements!$C$6:$C$3005/(Ventes_Encaissements!$B$6:$B$3005=$A1810),1)))</f>
        <v/>
      </c>
      <c r="L1810" s="11">
        <f>IF($A1810="","",COUNTIFS(Ventes_Detail!$B$6:$B$3005,$A1810))</f>
        <v/>
      </c>
      <c r="M1810" s="12" t="n"/>
      <c r="N1810" s="12">
        <f>IF($A1810="","",IF($G1810="","",IF($M1810="Oui","Litige",IF($J1810&lt;=0,"Payé",IF($I1810&gt;0,"Partiel",IF(Listes!$B$3&gt;$G1810,"En retard","À échoir"))))))</f>
        <v/>
      </c>
      <c r="O1810" s="11">
        <f>IF($A1810="","",IF(OR($G1810="", $J1810&lt;=0),0,MAX(0,Listes!$B$3-$G1810)))</f>
        <v/>
      </c>
      <c r="P1810" s="12">
        <f>IF($A1810="","",IF($J1810&lt;=0,"Payé",IF($M1810="Oui","Litige",IF($O1810=0,"À échoir",IF($O1810&lt;=30,"0-30",IF($O1810&lt;=60,"31-60",IF($O1810&lt;=90,"61-90","90+")))))))</f>
        <v/>
      </c>
    </row>
    <row r="1811">
      <c r="A1811" s="6" t="n"/>
      <c r="B1811" s="6" t="n"/>
      <c r="C1811" s="6" t="n"/>
      <c r="D1811" s="6" t="n"/>
      <c r="E1811" s="6" t="n"/>
      <c r="F1811" s="7" t="n"/>
      <c r="G1811" s="7" t="n"/>
      <c r="H1811" s="8" t="n"/>
      <c r="I1811" s="9">
        <f>IF($A1811="","",SUMIFS(Ventes_Encaissements!$D$6:$D$3005,Ventes_Encaissements!$B$6:$B$3005,$A1811))</f>
        <v/>
      </c>
      <c r="J1811" s="9">
        <f>IF($A1811="","",$H1811-$I1811)</f>
        <v/>
      </c>
      <c r="K1811" s="10">
        <f>IF($A1811="","",IF($I1811=0,"",_xludf.AGGREGATE(14,6,Ventes_Encaissements!$C$6:$C$3005/(Ventes_Encaissements!$B$6:$B$3005=$A1811),1)))</f>
        <v/>
      </c>
      <c r="L1811" s="11">
        <f>IF($A1811="","",COUNTIFS(Ventes_Detail!$B$6:$B$3005,$A1811))</f>
        <v/>
      </c>
      <c r="M1811" s="12" t="n"/>
      <c r="N1811" s="12">
        <f>IF($A1811="","",IF($G1811="","",IF($M1811="Oui","Litige",IF($J1811&lt;=0,"Payé",IF($I1811&gt;0,"Partiel",IF(Listes!$B$3&gt;$G1811,"En retard","À échoir"))))))</f>
        <v/>
      </c>
      <c r="O1811" s="11">
        <f>IF($A1811="","",IF(OR($G1811="", $J1811&lt;=0),0,MAX(0,Listes!$B$3-$G1811)))</f>
        <v/>
      </c>
      <c r="P1811" s="12">
        <f>IF($A1811="","",IF($J1811&lt;=0,"Payé",IF($M1811="Oui","Litige",IF($O1811=0,"À échoir",IF($O1811&lt;=30,"0-30",IF($O1811&lt;=60,"31-60",IF($O1811&lt;=90,"61-90","90+")))))))</f>
        <v/>
      </c>
    </row>
    <row r="1812">
      <c r="A1812" s="6" t="n"/>
      <c r="B1812" s="6" t="n"/>
      <c r="C1812" s="6" t="n"/>
      <c r="D1812" s="6" t="n"/>
      <c r="E1812" s="6" t="n"/>
      <c r="F1812" s="7" t="n"/>
      <c r="G1812" s="7" t="n"/>
      <c r="H1812" s="8" t="n"/>
      <c r="I1812" s="9">
        <f>IF($A1812="","",SUMIFS(Ventes_Encaissements!$D$6:$D$3005,Ventes_Encaissements!$B$6:$B$3005,$A1812))</f>
        <v/>
      </c>
      <c r="J1812" s="9">
        <f>IF($A1812="","",$H1812-$I1812)</f>
        <v/>
      </c>
      <c r="K1812" s="10">
        <f>IF($A1812="","",IF($I1812=0,"",_xludf.AGGREGATE(14,6,Ventes_Encaissements!$C$6:$C$3005/(Ventes_Encaissements!$B$6:$B$3005=$A1812),1)))</f>
        <v/>
      </c>
      <c r="L1812" s="11">
        <f>IF($A1812="","",COUNTIFS(Ventes_Detail!$B$6:$B$3005,$A1812))</f>
        <v/>
      </c>
      <c r="M1812" s="12" t="n"/>
      <c r="N1812" s="12">
        <f>IF($A1812="","",IF($G1812="","",IF($M1812="Oui","Litige",IF($J1812&lt;=0,"Payé",IF($I1812&gt;0,"Partiel",IF(Listes!$B$3&gt;$G1812,"En retard","À échoir"))))))</f>
        <v/>
      </c>
      <c r="O1812" s="11">
        <f>IF($A1812="","",IF(OR($G1812="", $J1812&lt;=0),0,MAX(0,Listes!$B$3-$G1812)))</f>
        <v/>
      </c>
      <c r="P1812" s="12">
        <f>IF($A1812="","",IF($J1812&lt;=0,"Payé",IF($M1812="Oui","Litige",IF($O1812=0,"À échoir",IF($O1812&lt;=30,"0-30",IF($O1812&lt;=60,"31-60",IF($O1812&lt;=90,"61-90","90+")))))))</f>
        <v/>
      </c>
    </row>
    <row r="1813">
      <c r="A1813" s="6" t="n"/>
      <c r="B1813" s="6" t="n"/>
      <c r="C1813" s="6" t="n"/>
      <c r="D1813" s="6" t="n"/>
      <c r="E1813" s="6" t="n"/>
      <c r="F1813" s="7" t="n"/>
      <c r="G1813" s="7" t="n"/>
      <c r="H1813" s="8" t="n"/>
      <c r="I1813" s="9">
        <f>IF($A1813="","",SUMIFS(Ventes_Encaissements!$D$6:$D$3005,Ventes_Encaissements!$B$6:$B$3005,$A1813))</f>
        <v/>
      </c>
      <c r="J1813" s="9">
        <f>IF($A1813="","",$H1813-$I1813)</f>
        <v/>
      </c>
      <c r="K1813" s="10">
        <f>IF($A1813="","",IF($I1813=0,"",_xludf.AGGREGATE(14,6,Ventes_Encaissements!$C$6:$C$3005/(Ventes_Encaissements!$B$6:$B$3005=$A1813),1)))</f>
        <v/>
      </c>
      <c r="L1813" s="11">
        <f>IF($A1813="","",COUNTIFS(Ventes_Detail!$B$6:$B$3005,$A1813))</f>
        <v/>
      </c>
      <c r="M1813" s="12" t="n"/>
      <c r="N1813" s="12">
        <f>IF($A1813="","",IF($G1813="","",IF($M1813="Oui","Litige",IF($J1813&lt;=0,"Payé",IF($I1813&gt;0,"Partiel",IF(Listes!$B$3&gt;$G1813,"En retard","À échoir"))))))</f>
        <v/>
      </c>
      <c r="O1813" s="11">
        <f>IF($A1813="","",IF(OR($G1813="", $J1813&lt;=0),0,MAX(0,Listes!$B$3-$G1813)))</f>
        <v/>
      </c>
      <c r="P1813" s="12">
        <f>IF($A1813="","",IF($J1813&lt;=0,"Payé",IF($M1813="Oui","Litige",IF($O1813=0,"À échoir",IF($O1813&lt;=30,"0-30",IF($O1813&lt;=60,"31-60",IF($O1813&lt;=90,"61-90","90+")))))))</f>
        <v/>
      </c>
    </row>
    <row r="1814">
      <c r="A1814" s="6" t="n"/>
      <c r="B1814" s="6" t="n"/>
      <c r="C1814" s="6" t="n"/>
      <c r="D1814" s="6" t="n"/>
      <c r="E1814" s="6" t="n"/>
      <c r="F1814" s="7" t="n"/>
      <c r="G1814" s="7" t="n"/>
      <c r="H1814" s="8" t="n"/>
      <c r="I1814" s="9">
        <f>IF($A1814="","",SUMIFS(Ventes_Encaissements!$D$6:$D$3005,Ventes_Encaissements!$B$6:$B$3005,$A1814))</f>
        <v/>
      </c>
      <c r="J1814" s="9">
        <f>IF($A1814="","",$H1814-$I1814)</f>
        <v/>
      </c>
      <c r="K1814" s="10">
        <f>IF($A1814="","",IF($I1814=0,"",_xludf.AGGREGATE(14,6,Ventes_Encaissements!$C$6:$C$3005/(Ventes_Encaissements!$B$6:$B$3005=$A1814),1)))</f>
        <v/>
      </c>
      <c r="L1814" s="11">
        <f>IF($A1814="","",COUNTIFS(Ventes_Detail!$B$6:$B$3005,$A1814))</f>
        <v/>
      </c>
      <c r="M1814" s="12" t="n"/>
      <c r="N1814" s="12">
        <f>IF($A1814="","",IF($G1814="","",IF($M1814="Oui","Litige",IF($J1814&lt;=0,"Payé",IF($I1814&gt;0,"Partiel",IF(Listes!$B$3&gt;$G1814,"En retard","À échoir"))))))</f>
        <v/>
      </c>
      <c r="O1814" s="11">
        <f>IF($A1814="","",IF(OR($G1814="", $J1814&lt;=0),0,MAX(0,Listes!$B$3-$G1814)))</f>
        <v/>
      </c>
      <c r="P1814" s="12">
        <f>IF($A1814="","",IF($J1814&lt;=0,"Payé",IF($M1814="Oui","Litige",IF($O1814=0,"À échoir",IF($O1814&lt;=30,"0-30",IF($O1814&lt;=60,"31-60",IF($O1814&lt;=90,"61-90","90+")))))))</f>
        <v/>
      </c>
    </row>
    <row r="1815">
      <c r="A1815" s="6" t="n"/>
      <c r="B1815" s="6" t="n"/>
      <c r="C1815" s="6" t="n"/>
      <c r="D1815" s="6" t="n"/>
      <c r="E1815" s="6" t="n"/>
      <c r="F1815" s="7" t="n"/>
      <c r="G1815" s="7" t="n"/>
      <c r="H1815" s="8" t="n"/>
      <c r="I1815" s="9">
        <f>IF($A1815="","",SUMIFS(Ventes_Encaissements!$D$6:$D$3005,Ventes_Encaissements!$B$6:$B$3005,$A1815))</f>
        <v/>
      </c>
      <c r="J1815" s="9">
        <f>IF($A1815="","",$H1815-$I1815)</f>
        <v/>
      </c>
      <c r="K1815" s="10">
        <f>IF($A1815="","",IF($I1815=0,"",_xludf.AGGREGATE(14,6,Ventes_Encaissements!$C$6:$C$3005/(Ventes_Encaissements!$B$6:$B$3005=$A1815),1)))</f>
        <v/>
      </c>
      <c r="L1815" s="11">
        <f>IF($A1815="","",COUNTIFS(Ventes_Detail!$B$6:$B$3005,$A1815))</f>
        <v/>
      </c>
      <c r="M1815" s="12" t="n"/>
      <c r="N1815" s="12">
        <f>IF($A1815="","",IF($G1815="","",IF($M1815="Oui","Litige",IF($J1815&lt;=0,"Payé",IF($I1815&gt;0,"Partiel",IF(Listes!$B$3&gt;$G1815,"En retard","À échoir"))))))</f>
        <v/>
      </c>
      <c r="O1815" s="11">
        <f>IF($A1815="","",IF(OR($G1815="", $J1815&lt;=0),0,MAX(0,Listes!$B$3-$G1815)))</f>
        <v/>
      </c>
      <c r="P1815" s="12">
        <f>IF($A1815="","",IF($J1815&lt;=0,"Payé",IF($M1815="Oui","Litige",IF($O1815=0,"À échoir",IF($O1815&lt;=30,"0-30",IF($O1815&lt;=60,"31-60",IF($O1815&lt;=90,"61-90","90+")))))))</f>
        <v/>
      </c>
    </row>
    <row r="1816">
      <c r="A1816" s="6" t="n"/>
      <c r="B1816" s="6" t="n"/>
      <c r="C1816" s="6" t="n"/>
      <c r="D1816" s="6" t="n"/>
      <c r="E1816" s="6" t="n"/>
      <c r="F1816" s="7" t="n"/>
      <c r="G1816" s="7" t="n"/>
      <c r="H1816" s="8" t="n"/>
      <c r="I1816" s="9">
        <f>IF($A1816="","",SUMIFS(Ventes_Encaissements!$D$6:$D$3005,Ventes_Encaissements!$B$6:$B$3005,$A1816))</f>
        <v/>
      </c>
      <c r="J1816" s="9">
        <f>IF($A1816="","",$H1816-$I1816)</f>
        <v/>
      </c>
      <c r="K1816" s="10">
        <f>IF($A1816="","",IF($I1816=0,"",_xludf.AGGREGATE(14,6,Ventes_Encaissements!$C$6:$C$3005/(Ventes_Encaissements!$B$6:$B$3005=$A1816),1)))</f>
        <v/>
      </c>
      <c r="L1816" s="11">
        <f>IF($A1816="","",COUNTIFS(Ventes_Detail!$B$6:$B$3005,$A1816))</f>
        <v/>
      </c>
      <c r="M1816" s="12" t="n"/>
      <c r="N1816" s="12">
        <f>IF($A1816="","",IF($G1816="","",IF($M1816="Oui","Litige",IF($J1816&lt;=0,"Payé",IF($I1816&gt;0,"Partiel",IF(Listes!$B$3&gt;$G1816,"En retard","À échoir"))))))</f>
        <v/>
      </c>
      <c r="O1816" s="11">
        <f>IF($A1816="","",IF(OR($G1816="", $J1816&lt;=0),0,MAX(0,Listes!$B$3-$G1816)))</f>
        <v/>
      </c>
      <c r="P1816" s="12">
        <f>IF($A1816="","",IF($J1816&lt;=0,"Payé",IF($M1816="Oui","Litige",IF($O1816=0,"À échoir",IF($O1816&lt;=30,"0-30",IF($O1816&lt;=60,"31-60",IF($O1816&lt;=90,"61-90","90+")))))))</f>
        <v/>
      </c>
    </row>
    <row r="1817">
      <c r="A1817" s="6" t="n"/>
      <c r="B1817" s="6" t="n"/>
      <c r="C1817" s="6" t="n"/>
      <c r="D1817" s="6" t="n"/>
      <c r="E1817" s="6" t="n"/>
      <c r="F1817" s="7" t="n"/>
      <c r="G1817" s="7" t="n"/>
      <c r="H1817" s="8" t="n"/>
      <c r="I1817" s="9">
        <f>IF($A1817="","",SUMIFS(Ventes_Encaissements!$D$6:$D$3005,Ventes_Encaissements!$B$6:$B$3005,$A1817))</f>
        <v/>
      </c>
      <c r="J1817" s="9">
        <f>IF($A1817="","",$H1817-$I1817)</f>
        <v/>
      </c>
      <c r="K1817" s="10">
        <f>IF($A1817="","",IF($I1817=0,"",_xludf.AGGREGATE(14,6,Ventes_Encaissements!$C$6:$C$3005/(Ventes_Encaissements!$B$6:$B$3005=$A1817),1)))</f>
        <v/>
      </c>
      <c r="L1817" s="11">
        <f>IF($A1817="","",COUNTIFS(Ventes_Detail!$B$6:$B$3005,$A1817))</f>
        <v/>
      </c>
      <c r="M1817" s="12" t="n"/>
      <c r="N1817" s="12">
        <f>IF($A1817="","",IF($G1817="","",IF($M1817="Oui","Litige",IF($J1817&lt;=0,"Payé",IF($I1817&gt;0,"Partiel",IF(Listes!$B$3&gt;$G1817,"En retard","À échoir"))))))</f>
        <v/>
      </c>
      <c r="O1817" s="11">
        <f>IF($A1817="","",IF(OR($G1817="", $J1817&lt;=0),0,MAX(0,Listes!$B$3-$G1817)))</f>
        <v/>
      </c>
      <c r="P1817" s="12">
        <f>IF($A1817="","",IF($J1817&lt;=0,"Payé",IF($M1817="Oui","Litige",IF($O1817=0,"À échoir",IF($O1817&lt;=30,"0-30",IF($O1817&lt;=60,"31-60",IF($O1817&lt;=90,"61-90","90+")))))))</f>
        <v/>
      </c>
    </row>
    <row r="1818">
      <c r="A1818" s="6" t="n"/>
      <c r="B1818" s="6" t="n"/>
      <c r="C1818" s="6" t="n"/>
      <c r="D1818" s="6" t="n"/>
      <c r="E1818" s="6" t="n"/>
      <c r="F1818" s="7" t="n"/>
      <c r="G1818" s="7" t="n"/>
      <c r="H1818" s="8" t="n"/>
      <c r="I1818" s="9">
        <f>IF($A1818="","",SUMIFS(Ventes_Encaissements!$D$6:$D$3005,Ventes_Encaissements!$B$6:$B$3005,$A1818))</f>
        <v/>
      </c>
      <c r="J1818" s="9">
        <f>IF($A1818="","",$H1818-$I1818)</f>
        <v/>
      </c>
      <c r="K1818" s="10">
        <f>IF($A1818="","",IF($I1818=0,"",_xludf.AGGREGATE(14,6,Ventes_Encaissements!$C$6:$C$3005/(Ventes_Encaissements!$B$6:$B$3005=$A1818),1)))</f>
        <v/>
      </c>
      <c r="L1818" s="11">
        <f>IF($A1818="","",COUNTIFS(Ventes_Detail!$B$6:$B$3005,$A1818))</f>
        <v/>
      </c>
      <c r="M1818" s="12" t="n"/>
      <c r="N1818" s="12">
        <f>IF($A1818="","",IF($G1818="","",IF($M1818="Oui","Litige",IF($J1818&lt;=0,"Payé",IF($I1818&gt;0,"Partiel",IF(Listes!$B$3&gt;$G1818,"En retard","À échoir"))))))</f>
        <v/>
      </c>
      <c r="O1818" s="11">
        <f>IF($A1818="","",IF(OR($G1818="", $J1818&lt;=0),0,MAX(0,Listes!$B$3-$G1818)))</f>
        <v/>
      </c>
      <c r="P1818" s="12">
        <f>IF($A1818="","",IF($J1818&lt;=0,"Payé",IF($M1818="Oui","Litige",IF($O1818=0,"À échoir",IF($O1818&lt;=30,"0-30",IF($O1818&lt;=60,"31-60",IF($O1818&lt;=90,"61-90","90+")))))))</f>
        <v/>
      </c>
    </row>
    <row r="1819">
      <c r="A1819" s="6" t="n"/>
      <c r="B1819" s="6" t="n"/>
      <c r="C1819" s="6" t="n"/>
      <c r="D1819" s="6" t="n"/>
      <c r="E1819" s="6" t="n"/>
      <c r="F1819" s="7" t="n"/>
      <c r="G1819" s="7" t="n"/>
      <c r="H1819" s="8" t="n"/>
      <c r="I1819" s="9">
        <f>IF($A1819="","",SUMIFS(Ventes_Encaissements!$D$6:$D$3005,Ventes_Encaissements!$B$6:$B$3005,$A1819))</f>
        <v/>
      </c>
      <c r="J1819" s="9">
        <f>IF($A1819="","",$H1819-$I1819)</f>
        <v/>
      </c>
      <c r="K1819" s="10">
        <f>IF($A1819="","",IF($I1819=0,"",_xludf.AGGREGATE(14,6,Ventes_Encaissements!$C$6:$C$3005/(Ventes_Encaissements!$B$6:$B$3005=$A1819),1)))</f>
        <v/>
      </c>
      <c r="L1819" s="11">
        <f>IF($A1819="","",COUNTIFS(Ventes_Detail!$B$6:$B$3005,$A1819))</f>
        <v/>
      </c>
      <c r="M1819" s="12" t="n"/>
      <c r="N1819" s="12">
        <f>IF($A1819="","",IF($G1819="","",IF($M1819="Oui","Litige",IF($J1819&lt;=0,"Payé",IF($I1819&gt;0,"Partiel",IF(Listes!$B$3&gt;$G1819,"En retard","À échoir"))))))</f>
        <v/>
      </c>
      <c r="O1819" s="11">
        <f>IF($A1819="","",IF(OR($G1819="", $J1819&lt;=0),0,MAX(0,Listes!$B$3-$G1819)))</f>
        <v/>
      </c>
      <c r="P1819" s="12">
        <f>IF($A1819="","",IF($J1819&lt;=0,"Payé",IF($M1819="Oui","Litige",IF($O1819=0,"À échoir",IF($O1819&lt;=30,"0-30",IF($O1819&lt;=60,"31-60",IF($O1819&lt;=90,"61-90","90+")))))))</f>
        <v/>
      </c>
    </row>
    <row r="1820">
      <c r="A1820" s="6" t="n"/>
      <c r="B1820" s="6" t="n"/>
      <c r="C1820" s="6" t="n"/>
      <c r="D1820" s="6" t="n"/>
      <c r="E1820" s="6" t="n"/>
      <c r="F1820" s="7" t="n"/>
      <c r="G1820" s="7" t="n"/>
      <c r="H1820" s="8" t="n"/>
      <c r="I1820" s="9">
        <f>IF($A1820="","",SUMIFS(Ventes_Encaissements!$D$6:$D$3005,Ventes_Encaissements!$B$6:$B$3005,$A1820))</f>
        <v/>
      </c>
      <c r="J1820" s="9">
        <f>IF($A1820="","",$H1820-$I1820)</f>
        <v/>
      </c>
      <c r="K1820" s="10">
        <f>IF($A1820="","",IF($I1820=0,"",_xludf.AGGREGATE(14,6,Ventes_Encaissements!$C$6:$C$3005/(Ventes_Encaissements!$B$6:$B$3005=$A1820),1)))</f>
        <v/>
      </c>
      <c r="L1820" s="11">
        <f>IF($A1820="","",COUNTIFS(Ventes_Detail!$B$6:$B$3005,$A1820))</f>
        <v/>
      </c>
      <c r="M1820" s="12" t="n"/>
      <c r="N1820" s="12">
        <f>IF($A1820="","",IF($G1820="","",IF($M1820="Oui","Litige",IF($J1820&lt;=0,"Payé",IF($I1820&gt;0,"Partiel",IF(Listes!$B$3&gt;$G1820,"En retard","À échoir"))))))</f>
        <v/>
      </c>
      <c r="O1820" s="11">
        <f>IF($A1820="","",IF(OR($G1820="", $J1820&lt;=0),0,MAX(0,Listes!$B$3-$G1820)))</f>
        <v/>
      </c>
      <c r="P1820" s="12">
        <f>IF($A1820="","",IF($J1820&lt;=0,"Payé",IF($M1820="Oui","Litige",IF($O1820=0,"À échoir",IF($O1820&lt;=30,"0-30",IF($O1820&lt;=60,"31-60",IF($O1820&lt;=90,"61-90","90+")))))))</f>
        <v/>
      </c>
    </row>
    <row r="1821">
      <c r="A1821" s="6" t="n"/>
      <c r="B1821" s="6" t="n"/>
      <c r="C1821" s="6" t="n"/>
      <c r="D1821" s="6" t="n"/>
      <c r="E1821" s="6" t="n"/>
      <c r="F1821" s="7" t="n"/>
      <c r="G1821" s="7" t="n"/>
      <c r="H1821" s="8" t="n"/>
      <c r="I1821" s="9">
        <f>IF($A1821="","",SUMIFS(Ventes_Encaissements!$D$6:$D$3005,Ventes_Encaissements!$B$6:$B$3005,$A1821))</f>
        <v/>
      </c>
      <c r="J1821" s="9">
        <f>IF($A1821="","",$H1821-$I1821)</f>
        <v/>
      </c>
      <c r="K1821" s="10">
        <f>IF($A1821="","",IF($I1821=0,"",_xludf.AGGREGATE(14,6,Ventes_Encaissements!$C$6:$C$3005/(Ventes_Encaissements!$B$6:$B$3005=$A1821),1)))</f>
        <v/>
      </c>
      <c r="L1821" s="11">
        <f>IF($A1821="","",COUNTIFS(Ventes_Detail!$B$6:$B$3005,$A1821))</f>
        <v/>
      </c>
      <c r="M1821" s="12" t="n"/>
      <c r="N1821" s="12">
        <f>IF($A1821="","",IF($G1821="","",IF($M1821="Oui","Litige",IF($J1821&lt;=0,"Payé",IF($I1821&gt;0,"Partiel",IF(Listes!$B$3&gt;$G1821,"En retard","À échoir"))))))</f>
        <v/>
      </c>
      <c r="O1821" s="11">
        <f>IF($A1821="","",IF(OR($G1821="", $J1821&lt;=0),0,MAX(0,Listes!$B$3-$G1821)))</f>
        <v/>
      </c>
      <c r="P1821" s="12">
        <f>IF($A1821="","",IF($J1821&lt;=0,"Payé",IF($M1821="Oui","Litige",IF($O1821=0,"À échoir",IF($O1821&lt;=30,"0-30",IF($O1821&lt;=60,"31-60",IF($O1821&lt;=90,"61-90","90+")))))))</f>
        <v/>
      </c>
    </row>
    <row r="1822">
      <c r="A1822" s="6" t="n"/>
      <c r="B1822" s="6" t="n"/>
      <c r="C1822" s="6" t="n"/>
      <c r="D1822" s="6" t="n"/>
      <c r="E1822" s="6" t="n"/>
      <c r="F1822" s="7" t="n"/>
      <c r="G1822" s="7" t="n"/>
      <c r="H1822" s="8" t="n"/>
      <c r="I1822" s="9">
        <f>IF($A1822="","",SUMIFS(Ventes_Encaissements!$D$6:$D$3005,Ventes_Encaissements!$B$6:$B$3005,$A1822))</f>
        <v/>
      </c>
      <c r="J1822" s="9">
        <f>IF($A1822="","",$H1822-$I1822)</f>
        <v/>
      </c>
      <c r="K1822" s="10">
        <f>IF($A1822="","",IF($I1822=0,"",_xludf.AGGREGATE(14,6,Ventes_Encaissements!$C$6:$C$3005/(Ventes_Encaissements!$B$6:$B$3005=$A1822),1)))</f>
        <v/>
      </c>
      <c r="L1822" s="11">
        <f>IF($A1822="","",COUNTIFS(Ventes_Detail!$B$6:$B$3005,$A1822))</f>
        <v/>
      </c>
      <c r="M1822" s="12" t="n"/>
      <c r="N1822" s="12">
        <f>IF($A1822="","",IF($G1822="","",IF($M1822="Oui","Litige",IF($J1822&lt;=0,"Payé",IF($I1822&gt;0,"Partiel",IF(Listes!$B$3&gt;$G1822,"En retard","À échoir"))))))</f>
        <v/>
      </c>
      <c r="O1822" s="11">
        <f>IF($A1822="","",IF(OR($G1822="", $J1822&lt;=0),0,MAX(0,Listes!$B$3-$G1822)))</f>
        <v/>
      </c>
      <c r="P1822" s="12">
        <f>IF($A1822="","",IF($J1822&lt;=0,"Payé",IF($M1822="Oui","Litige",IF($O1822=0,"À échoir",IF($O1822&lt;=30,"0-30",IF($O1822&lt;=60,"31-60",IF($O1822&lt;=90,"61-90","90+")))))))</f>
        <v/>
      </c>
    </row>
    <row r="1823">
      <c r="A1823" s="6" t="n"/>
      <c r="B1823" s="6" t="n"/>
      <c r="C1823" s="6" t="n"/>
      <c r="D1823" s="6" t="n"/>
      <c r="E1823" s="6" t="n"/>
      <c r="F1823" s="7" t="n"/>
      <c r="G1823" s="7" t="n"/>
      <c r="H1823" s="8" t="n"/>
      <c r="I1823" s="9">
        <f>IF($A1823="","",SUMIFS(Ventes_Encaissements!$D$6:$D$3005,Ventes_Encaissements!$B$6:$B$3005,$A1823))</f>
        <v/>
      </c>
      <c r="J1823" s="9">
        <f>IF($A1823="","",$H1823-$I1823)</f>
        <v/>
      </c>
      <c r="K1823" s="10">
        <f>IF($A1823="","",IF($I1823=0,"",_xludf.AGGREGATE(14,6,Ventes_Encaissements!$C$6:$C$3005/(Ventes_Encaissements!$B$6:$B$3005=$A1823),1)))</f>
        <v/>
      </c>
      <c r="L1823" s="11">
        <f>IF($A1823="","",COUNTIFS(Ventes_Detail!$B$6:$B$3005,$A1823))</f>
        <v/>
      </c>
      <c r="M1823" s="12" t="n"/>
      <c r="N1823" s="12">
        <f>IF($A1823="","",IF($G1823="","",IF($M1823="Oui","Litige",IF($J1823&lt;=0,"Payé",IF($I1823&gt;0,"Partiel",IF(Listes!$B$3&gt;$G1823,"En retard","À échoir"))))))</f>
        <v/>
      </c>
      <c r="O1823" s="11">
        <f>IF($A1823="","",IF(OR($G1823="", $J1823&lt;=0),0,MAX(0,Listes!$B$3-$G1823)))</f>
        <v/>
      </c>
      <c r="P1823" s="12">
        <f>IF($A1823="","",IF($J1823&lt;=0,"Payé",IF($M1823="Oui","Litige",IF($O1823=0,"À échoir",IF($O1823&lt;=30,"0-30",IF($O1823&lt;=60,"31-60",IF($O1823&lt;=90,"61-90","90+")))))))</f>
        <v/>
      </c>
    </row>
    <row r="1824">
      <c r="A1824" s="6" t="n"/>
      <c r="B1824" s="6" t="n"/>
      <c r="C1824" s="6" t="n"/>
      <c r="D1824" s="6" t="n"/>
      <c r="E1824" s="6" t="n"/>
      <c r="F1824" s="7" t="n"/>
      <c r="G1824" s="7" t="n"/>
      <c r="H1824" s="8" t="n"/>
      <c r="I1824" s="9">
        <f>IF($A1824="","",SUMIFS(Ventes_Encaissements!$D$6:$D$3005,Ventes_Encaissements!$B$6:$B$3005,$A1824))</f>
        <v/>
      </c>
      <c r="J1824" s="9">
        <f>IF($A1824="","",$H1824-$I1824)</f>
        <v/>
      </c>
      <c r="K1824" s="10">
        <f>IF($A1824="","",IF($I1824=0,"",_xludf.AGGREGATE(14,6,Ventes_Encaissements!$C$6:$C$3005/(Ventes_Encaissements!$B$6:$B$3005=$A1824),1)))</f>
        <v/>
      </c>
      <c r="L1824" s="11">
        <f>IF($A1824="","",COUNTIFS(Ventes_Detail!$B$6:$B$3005,$A1824))</f>
        <v/>
      </c>
      <c r="M1824" s="12" t="n"/>
      <c r="N1824" s="12">
        <f>IF($A1824="","",IF($G1824="","",IF($M1824="Oui","Litige",IF($J1824&lt;=0,"Payé",IF($I1824&gt;0,"Partiel",IF(Listes!$B$3&gt;$G1824,"En retard","À échoir"))))))</f>
        <v/>
      </c>
      <c r="O1824" s="11">
        <f>IF($A1824="","",IF(OR($G1824="", $J1824&lt;=0),0,MAX(0,Listes!$B$3-$G1824)))</f>
        <v/>
      </c>
      <c r="P1824" s="12">
        <f>IF($A1824="","",IF($J1824&lt;=0,"Payé",IF($M1824="Oui","Litige",IF($O1824=0,"À échoir",IF($O1824&lt;=30,"0-30",IF($O1824&lt;=60,"31-60",IF($O1824&lt;=90,"61-90","90+")))))))</f>
        <v/>
      </c>
    </row>
    <row r="1825">
      <c r="A1825" s="6" t="n"/>
      <c r="B1825" s="6" t="n"/>
      <c r="C1825" s="6" t="n"/>
      <c r="D1825" s="6" t="n"/>
      <c r="E1825" s="6" t="n"/>
      <c r="F1825" s="7" t="n"/>
      <c r="G1825" s="7" t="n"/>
      <c r="H1825" s="8" t="n"/>
      <c r="I1825" s="9">
        <f>IF($A1825="","",SUMIFS(Ventes_Encaissements!$D$6:$D$3005,Ventes_Encaissements!$B$6:$B$3005,$A1825))</f>
        <v/>
      </c>
      <c r="J1825" s="9">
        <f>IF($A1825="","",$H1825-$I1825)</f>
        <v/>
      </c>
      <c r="K1825" s="10">
        <f>IF($A1825="","",IF($I1825=0,"",_xludf.AGGREGATE(14,6,Ventes_Encaissements!$C$6:$C$3005/(Ventes_Encaissements!$B$6:$B$3005=$A1825),1)))</f>
        <v/>
      </c>
      <c r="L1825" s="11">
        <f>IF($A1825="","",COUNTIFS(Ventes_Detail!$B$6:$B$3005,$A1825))</f>
        <v/>
      </c>
      <c r="M1825" s="12" t="n"/>
      <c r="N1825" s="12">
        <f>IF($A1825="","",IF($G1825="","",IF($M1825="Oui","Litige",IF($J1825&lt;=0,"Payé",IF($I1825&gt;0,"Partiel",IF(Listes!$B$3&gt;$G1825,"En retard","À échoir"))))))</f>
        <v/>
      </c>
      <c r="O1825" s="11">
        <f>IF($A1825="","",IF(OR($G1825="", $J1825&lt;=0),0,MAX(0,Listes!$B$3-$G1825)))</f>
        <v/>
      </c>
      <c r="P1825" s="12">
        <f>IF($A1825="","",IF($J1825&lt;=0,"Payé",IF($M1825="Oui","Litige",IF($O1825=0,"À échoir",IF($O1825&lt;=30,"0-30",IF($O1825&lt;=60,"31-60",IF($O1825&lt;=90,"61-90","90+")))))))</f>
        <v/>
      </c>
    </row>
    <row r="1826">
      <c r="A1826" s="6" t="n"/>
      <c r="B1826" s="6" t="n"/>
      <c r="C1826" s="6" t="n"/>
      <c r="D1826" s="6" t="n"/>
      <c r="E1826" s="6" t="n"/>
      <c r="F1826" s="7" t="n"/>
      <c r="G1826" s="7" t="n"/>
      <c r="H1826" s="8" t="n"/>
      <c r="I1826" s="9">
        <f>IF($A1826="","",SUMIFS(Ventes_Encaissements!$D$6:$D$3005,Ventes_Encaissements!$B$6:$B$3005,$A1826))</f>
        <v/>
      </c>
      <c r="J1826" s="9">
        <f>IF($A1826="","",$H1826-$I1826)</f>
        <v/>
      </c>
      <c r="K1826" s="10">
        <f>IF($A1826="","",IF($I1826=0,"",_xludf.AGGREGATE(14,6,Ventes_Encaissements!$C$6:$C$3005/(Ventes_Encaissements!$B$6:$B$3005=$A1826),1)))</f>
        <v/>
      </c>
      <c r="L1826" s="11">
        <f>IF($A1826="","",COUNTIFS(Ventes_Detail!$B$6:$B$3005,$A1826))</f>
        <v/>
      </c>
      <c r="M1826" s="12" t="n"/>
      <c r="N1826" s="12">
        <f>IF($A1826="","",IF($G1826="","",IF($M1826="Oui","Litige",IF($J1826&lt;=0,"Payé",IF($I1826&gt;0,"Partiel",IF(Listes!$B$3&gt;$G1826,"En retard","À échoir"))))))</f>
        <v/>
      </c>
      <c r="O1826" s="11">
        <f>IF($A1826="","",IF(OR($G1826="", $J1826&lt;=0),0,MAX(0,Listes!$B$3-$G1826)))</f>
        <v/>
      </c>
      <c r="P1826" s="12">
        <f>IF($A1826="","",IF($J1826&lt;=0,"Payé",IF($M1826="Oui","Litige",IF($O1826=0,"À échoir",IF($O1826&lt;=30,"0-30",IF($O1826&lt;=60,"31-60",IF($O1826&lt;=90,"61-90","90+")))))))</f>
        <v/>
      </c>
    </row>
    <row r="1827">
      <c r="A1827" s="6" t="n"/>
      <c r="B1827" s="6" t="n"/>
      <c r="C1827" s="6" t="n"/>
      <c r="D1827" s="6" t="n"/>
      <c r="E1827" s="6" t="n"/>
      <c r="F1827" s="7" t="n"/>
      <c r="G1827" s="7" t="n"/>
      <c r="H1827" s="8" t="n"/>
      <c r="I1827" s="9">
        <f>IF($A1827="","",SUMIFS(Ventes_Encaissements!$D$6:$D$3005,Ventes_Encaissements!$B$6:$B$3005,$A1827))</f>
        <v/>
      </c>
      <c r="J1827" s="9">
        <f>IF($A1827="","",$H1827-$I1827)</f>
        <v/>
      </c>
      <c r="K1827" s="10">
        <f>IF($A1827="","",IF($I1827=0,"",_xludf.AGGREGATE(14,6,Ventes_Encaissements!$C$6:$C$3005/(Ventes_Encaissements!$B$6:$B$3005=$A1827),1)))</f>
        <v/>
      </c>
      <c r="L1827" s="11">
        <f>IF($A1827="","",COUNTIFS(Ventes_Detail!$B$6:$B$3005,$A1827))</f>
        <v/>
      </c>
      <c r="M1827" s="12" t="n"/>
      <c r="N1827" s="12">
        <f>IF($A1827="","",IF($G1827="","",IF($M1827="Oui","Litige",IF($J1827&lt;=0,"Payé",IF($I1827&gt;0,"Partiel",IF(Listes!$B$3&gt;$G1827,"En retard","À échoir"))))))</f>
        <v/>
      </c>
      <c r="O1827" s="11">
        <f>IF($A1827="","",IF(OR($G1827="", $J1827&lt;=0),0,MAX(0,Listes!$B$3-$G1827)))</f>
        <v/>
      </c>
      <c r="P1827" s="12">
        <f>IF($A1827="","",IF($J1827&lt;=0,"Payé",IF($M1827="Oui","Litige",IF($O1827=0,"À échoir",IF($O1827&lt;=30,"0-30",IF($O1827&lt;=60,"31-60",IF($O1827&lt;=90,"61-90","90+")))))))</f>
        <v/>
      </c>
    </row>
    <row r="1828">
      <c r="A1828" s="6" t="n"/>
      <c r="B1828" s="6" t="n"/>
      <c r="C1828" s="6" t="n"/>
      <c r="D1828" s="6" t="n"/>
      <c r="E1828" s="6" t="n"/>
      <c r="F1828" s="7" t="n"/>
      <c r="G1828" s="7" t="n"/>
      <c r="H1828" s="8" t="n"/>
      <c r="I1828" s="9">
        <f>IF($A1828="","",SUMIFS(Ventes_Encaissements!$D$6:$D$3005,Ventes_Encaissements!$B$6:$B$3005,$A1828))</f>
        <v/>
      </c>
      <c r="J1828" s="9">
        <f>IF($A1828="","",$H1828-$I1828)</f>
        <v/>
      </c>
      <c r="K1828" s="10">
        <f>IF($A1828="","",IF($I1828=0,"",_xludf.AGGREGATE(14,6,Ventes_Encaissements!$C$6:$C$3005/(Ventes_Encaissements!$B$6:$B$3005=$A1828),1)))</f>
        <v/>
      </c>
      <c r="L1828" s="11">
        <f>IF($A1828="","",COUNTIFS(Ventes_Detail!$B$6:$B$3005,$A1828))</f>
        <v/>
      </c>
      <c r="M1828" s="12" t="n"/>
      <c r="N1828" s="12">
        <f>IF($A1828="","",IF($G1828="","",IF($M1828="Oui","Litige",IF($J1828&lt;=0,"Payé",IF($I1828&gt;0,"Partiel",IF(Listes!$B$3&gt;$G1828,"En retard","À échoir"))))))</f>
        <v/>
      </c>
      <c r="O1828" s="11">
        <f>IF($A1828="","",IF(OR($G1828="", $J1828&lt;=0),0,MAX(0,Listes!$B$3-$G1828)))</f>
        <v/>
      </c>
      <c r="P1828" s="12">
        <f>IF($A1828="","",IF($J1828&lt;=0,"Payé",IF($M1828="Oui","Litige",IF($O1828=0,"À échoir",IF($O1828&lt;=30,"0-30",IF($O1828&lt;=60,"31-60",IF($O1828&lt;=90,"61-90","90+")))))))</f>
        <v/>
      </c>
    </row>
    <row r="1829">
      <c r="A1829" s="6" t="n"/>
      <c r="B1829" s="6" t="n"/>
      <c r="C1829" s="6" t="n"/>
      <c r="D1829" s="6" t="n"/>
      <c r="E1829" s="6" t="n"/>
      <c r="F1829" s="7" t="n"/>
      <c r="G1829" s="7" t="n"/>
      <c r="H1829" s="8" t="n"/>
      <c r="I1829" s="9">
        <f>IF($A1829="","",SUMIFS(Ventes_Encaissements!$D$6:$D$3005,Ventes_Encaissements!$B$6:$B$3005,$A1829))</f>
        <v/>
      </c>
      <c r="J1829" s="9">
        <f>IF($A1829="","",$H1829-$I1829)</f>
        <v/>
      </c>
      <c r="K1829" s="10">
        <f>IF($A1829="","",IF($I1829=0,"",_xludf.AGGREGATE(14,6,Ventes_Encaissements!$C$6:$C$3005/(Ventes_Encaissements!$B$6:$B$3005=$A1829),1)))</f>
        <v/>
      </c>
      <c r="L1829" s="11">
        <f>IF($A1829="","",COUNTIFS(Ventes_Detail!$B$6:$B$3005,$A1829))</f>
        <v/>
      </c>
      <c r="M1829" s="12" t="n"/>
      <c r="N1829" s="12">
        <f>IF($A1829="","",IF($G1829="","",IF($M1829="Oui","Litige",IF($J1829&lt;=0,"Payé",IF($I1829&gt;0,"Partiel",IF(Listes!$B$3&gt;$G1829,"En retard","À échoir"))))))</f>
        <v/>
      </c>
      <c r="O1829" s="11">
        <f>IF($A1829="","",IF(OR($G1829="", $J1829&lt;=0),0,MAX(0,Listes!$B$3-$G1829)))</f>
        <v/>
      </c>
      <c r="P1829" s="12">
        <f>IF($A1829="","",IF($J1829&lt;=0,"Payé",IF($M1829="Oui","Litige",IF($O1829=0,"À échoir",IF($O1829&lt;=30,"0-30",IF($O1829&lt;=60,"31-60",IF($O1829&lt;=90,"61-90","90+")))))))</f>
        <v/>
      </c>
    </row>
    <row r="1830">
      <c r="A1830" s="6" t="n"/>
      <c r="B1830" s="6" t="n"/>
      <c r="C1830" s="6" t="n"/>
      <c r="D1830" s="6" t="n"/>
      <c r="E1830" s="6" t="n"/>
      <c r="F1830" s="7" t="n"/>
      <c r="G1830" s="7" t="n"/>
      <c r="H1830" s="8" t="n"/>
      <c r="I1830" s="9">
        <f>IF($A1830="","",SUMIFS(Ventes_Encaissements!$D$6:$D$3005,Ventes_Encaissements!$B$6:$B$3005,$A1830))</f>
        <v/>
      </c>
      <c r="J1830" s="9">
        <f>IF($A1830="","",$H1830-$I1830)</f>
        <v/>
      </c>
      <c r="K1830" s="10">
        <f>IF($A1830="","",IF($I1830=0,"",_xludf.AGGREGATE(14,6,Ventes_Encaissements!$C$6:$C$3005/(Ventes_Encaissements!$B$6:$B$3005=$A1830),1)))</f>
        <v/>
      </c>
      <c r="L1830" s="11">
        <f>IF($A1830="","",COUNTIFS(Ventes_Detail!$B$6:$B$3005,$A1830))</f>
        <v/>
      </c>
      <c r="M1830" s="12" t="n"/>
      <c r="N1830" s="12">
        <f>IF($A1830="","",IF($G1830="","",IF($M1830="Oui","Litige",IF($J1830&lt;=0,"Payé",IF($I1830&gt;0,"Partiel",IF(Listes!$B$3&gt;$G1830,"En retard","À échoir"))))))</f>
        <v/>
      </c>
      <c r="O1830" s="11">
        <f>IF($A1830="","",IF(OR($G1830="", $J1830&lt;=0),0,MAX(0,Listes!$B$3-$G1830)))</f>
        <v/>
      </c>
      <c r="P1830" s="12">
        <f>IF($A1830="","",IF($J1830&lt;=0,"Payé",IF($M1830="Oui","Litige",IF($O1830=0,"À échoir",IF($O1830&lt;=30,"0-30",IF($O1830&lt;=60,"31-60",IF($O1830&lt;=90,"61-90","90+")))))))</f>
        <v/>
      </c>
    </row>
    <row r="1831">
      <c r="A1831" s="6" t="n"/>
      <c r="B1831" s="6" t="n"/>
      <c r="C1831" s="6" t="n"/>
      <c r="D1831" s="6" t="n"/>
      <c r="E1831" s="6" t="n"/>
      <c r="F1831" s="7" t="n"/>
      <c r="G1831" s="7" t="n"/>
      <c r="H1831" s="8" t="n"/>
      <c r="I1831" s="9">
        <f>IF($A1831="","",SUMIFS(Ventes_Encaissements!$D$6:$D$3005,Ventes_Encaissements!$B$6:$B$3005,$A1831))</f>
        <v/>
      </c>
      <c r="J1831" s="9">
        <f>IF($A1831="","",$H1831-$I1831)</f>
        <v/>
      </c>
      <c r="K1831" s="10">
        <f>IF($A1831="","",IF($I1831=0,"",_xludf.AGGREGATE(14,6,Ventes_Encaissements!$C$6:$C$3005/(Ventes_Encaissements!$B$6:$B$3005=$A1831),1)))</f>
        <v/>
      </c>
      <c r="L1831" s="11">
        <f>IF($A1831="","",COUNTIFS(Ventes_Detail!$B$6:$B$3005,$A1831))</f>
        <v/>
      </c>
      <c r="M1831" s="12" t="n"/>
      <c r="N1831" s="12">
        <f>IF($A1831="","",IF($G1831="","",IF($M1831="Oui","Litige",IF($J1831&lt;=0,"Payé",IF($I1831&gt;0,"Partiel",IF(Listes!$B$3&gt;$G1831,"En retard","À échoir"))))))</f>
        <v/>
      </c>
      <c r="O1831" s="11">
        <f>IF($A1831="","",IF(OR($G1831="", $J1831&lt;=0),0,MAX(0,Listes!$B$3-$G1831)))</f>
        <v/>
      </c>
      <c r="P1831" s="12">
        <f>IF($A1831="","",IF($J1831&lt;=0,"Payé",IF($M1831="Oui","Litige",IF($O1831=0,"À échoir",IF($O1831&lt;=30,"0-30",IF($O1831&lt;=60,"31-60",IF($O1831&lt;=90,"61-90","90+")))))))</f>
        <v/>
      </c>
    </row>
    <row r="1832">
      <c r="A1832" s="6" t="n"/>
      <c r="B1832" s="6" t="n"/>
      <c r="C1832" s="6" t="n"/>
      <c r="D1832" s="6" t="n"/>
      <c r="E1832" s="6" t="n"/>
      <c r="F1832" s="7" t="n"/>
      <c r="G1832" s="7" t="n"/>
      <c r="H1832" s="8" t="n"/>
      <c r="I1832" s="9">
        <f>IF($A1832="","",SUMIFS(Ventes_Encaissements!$D$6:$D$3005,Ventes_Encaissements!$B$6:$B$3005,$A1832))</f>
        <v/>
      </c>
      <c r="J1832" s="9">
        <f>IF($A1832="","",$H1832-$I1832)</f>
        <v/>
      </c>
      <c r="K1832" s="10">
        <f>IF($A1832="","",IF($I1832=0,"",_xludf.AGGREGATE(14,6,Ventes_Encaissements!$C$6:$C$3005/(Ventes_Encaissements!$B$6:$B$3005=$A1832),1)))</f>
        <v/>
      </c>
      <c r="L1832" s="11">
        <f>IF($A1832="","",COUNTIFS(Ventes_Detail!$B$6:$B$3005,$A1832))</f>
        <v/>
      </c>
      <c r="M1832" s="12" t="n"/>
      <c r="N1832" s="12">
        <f>IF($A1832="","",IF($G1832="","",IF($M1832="Oui","Litige",IF($J1832&lt;=0,"Payé",IF($I1832&gt;0,"Partiel",IF(Listes!$B$3&gt;$G1832,"En retard","À échoir"))))))</f>
        <v/>
      </c>
      <c r="O1832" s="11">
        <f>IF($A1832="","",IF(OR($G1832="", $J1832&lt;=0),0,MAX(0,Listes!$B$3-$G1832)))</f>
        <v/>
      </c>
      <c r="P1832" s="12">
        <f>IF($A1832="","",IF($J1832&lt;=0,"Payé",IF($M1832="Oui","Litige",IF($O1832=0,"À échoir",IF($O1832&lt;=30,"0-30",IF($O1832&lt;=60,"31-60",IF($O1832&lt;=90,"61-90","90+")))))))</f>
        <v/>
      </c>
    </row>
    <row r="1833">
      <c r="A1833" s="6" t="n"/>
      <c r="B1833" s="6" t="n"/>
      <c r="C1833" s="6" t="n"/>
      <c r="D1833" s="6" t="n"/>
      <c r="E1833" s="6" t="n"/>
      <c r="F1833" s="7" t="n"/>
      <c r="G1833" s="7" t="n"/>
      <c r="H1833" s="8" t="n"/>
      <c r="I1833" s="9">
        <f>IF($A1833="","",SUMIFS(Ventes_Encaissements!$D$6:$D$3005,Ventes_Encaissements!$B$6:$B$3005,$A1833))</f>
        <v/>
      </c>
      <c r="J1833" s="9">
        <f>IF($A1833="","",$H1833-$I1833)</f>
        <v/>
      </c>
      <c r="K1833" s="10">
        <f>IF($A1833="","",IF($I1833=0,"",_xludf.AGGREGATE(14,6,Ventes_Encaissements!$C$6:$C$3005/(Ventes_Encaissements!$B$6:$B$3005=$A1833),1)))</f>
        <v/>
      </c>
      <c r="L1833" s="11">
        <f>IF($A1833="","",COUNTIFS(Ventes_Detail!$B$6:$B$3005,$A1833))</f>
        <v/>
      </c>
      <c r="M1833" s="12" t="n"/>
      <c r="N1833" s="12">
        <f>IF($A1833="","",IF($G1833="","",IF($M1833="Oui","Litige",IF($J1833&lt;=0,"Payé",IF($I1833&gt;0,"Partiel",IF(Listes!$B$3&gt;$G1833,"En retard","À échoir"))))))</f>
        <v/>
      </c>
      <c r="O1833" s="11">
        <f>IF($A1833="","",IF(OR($G1833="", $J1833&lt;=0),0,MAX(0,Listes!$B$3-$G1833)))</f>
        <v/>
      </c>
      <c r="P1833" s="12">
        <f>IF($A1833="","",IF($J1833&lt;=0,"Payé",IF($M1833="Oui","Litige",IF($O1833=0,"À échoir",IF($O1833&lt;=30,"0-30",IF($O1833&lt;=60,"31-60",IF($O1833&lt;=90,"61-90","90+")))))))</f>
        <v/>
      </c>
    </row>
    <row r="1834">
      <c r="A1834" s="6" t="n"/>
      <c r="B1834" s="6" t="n"/>
      <c r="C1834" s="6" t="n"/>
      <c r="D1834" s="6" t="n"/>
      <c r="E1834" s="6" t="n"/>
      <c r="F1834" s="7" t="n"/>
      <c r="G1834" s="7" t="n"/>
      <c r="H1834" s="8" t="n"/>
      <c r="I1834" s="9">
        <f>IF($A1834="","",SUMIFS(Ventes_Encaissements!$D$6:$D$3005,Ventes_Encaissements!$B$6:$B$3005,$A1834))</f>
        <v/>
      </c>
      <c r="J1834" s="9">
        <f>IF($A1834="","",$H1834-$I1834)</f>
        <v/>
      </c>
      <c r="K1834" s="10">
        <f>IF($A1834="","",IF($I1834=0,"",_xludf.AGGREGATE(14,6,Ventes_Encaissements!$C$6:$C$3005/(Ventes_Encaissements!$B$6:$B$3005=$A1834),1)))</f>
        <v/>
      </c>
      <c r="L1834" s="11">
        <f>IF($A1834="","",COUNTIFS(Ventes_Detail!$B$6:$B$3005,$A1834))</f>
        <v/>
      </c>
      <c r="M1834" s="12" t="n"/>
      <c r="N1834" s="12">
        <f>IF($A1834="","",IF($G1834="","",IF($M1834="Oui","Litige",IF($J1834&lt;=0,"Payé",IF($I1834&gt;0,"Partiel",IF(Listes!$B$3&gt;$G1834,"En retard","À échoir"))))))</f>
        <v/>
      </c>
      <c r="O1834" s="11">
        <f>IF($A1834="","",IF(OR($G1834="", $J1834&lt;=0),0,MAX(0,Listes!$B$3-$G1834)))</f>
        <v/>
      </c>
      <c r="P1834" s="12">
        <f>IF($A1834="","",IF($J1834&lt;=0,"Payé",IF($M1834="Oui","Litige",IF($O1834=0,"À échoir",IF($O1834&lt;=30,"0-30",IF($O1834&lt;=60,"31-60",IF($O1834&lt;=90,"61-90","90+")))))))</f>
        <v/>
      </c>
    </row>
    <row r="1835">
      <c r="A1835" s="6" t="n"/>
      <c r="B1835" s="6" t="n"/>
      <c r="C1835" s="6" t="n"/>
      <c r="D1835" s="6" t="n"/>
      <c r="E1835" s="6" t="n"/>
      <c r="F1835" s="7" t="n"/>
      <c r="G1835" s="7" t="n"/>
      <c r="H1835" s="8" t="n"/>
      <c r="I1835" s="9">
        <f>IF($A1835="","",SUMIFS(Ventes_Encaissements!$D$6:$D$3005,Ventes_Encaissements!$B$6:$B$3005,$A1835))</f>
        <v/>
      </c>
      <c r="J1835" s="9">
        <f>IF($A1835="","",$H1835-$I1835)</f>
        <v/>
      </c>
      <c r="K1835" s="10">
        <f>IF($A1835="","",IF($I1835=0,"",_xludf.AGGREGATE(14,6,Ventes_Encaissements!$C$6:$C$3005/(Ventes_Encaissements!$B$6:$B$3005=$A1835),1)))</f>
        <v/>
      </c>
      <c r="L1835" s="11">
        <f>IF($A1835="","",COUNTIFS(Ventes_Detail!$B$6:$B$3005,$A1835))</f>
        <v/>
      </c>
      <c r="M1835" s="12" t="n"/>
      <c r="N1835" s="12">
        <f>IF($A1835="","",IF($G1835="","",IF($M1835="Oui","Litige",IF($J1835&lt;=0,"Payé",IF($I1835&gt;0,"Partiel",IF(Listes!$B$3&gt;$G1835,"En retard","À échoir"))))))</f>
        <v/>
      </c>
      <c r="O1835" s="11">
        <f>IF($A1835="","",IF(OR($G1835="", $J1835&lt;=0),0,MAX(0,Listes!$B$3-$G1835)))</f>
        <v/>
      </c>
      <c r="P1835" s="12">
        <f>IF($A1835="","",IF($J1835&lt;=0,"Payé",IF($M1835="Oui","Litige",IF($O1835=0,"À échoir",IF($O1835&lt;=30,"0-30",IF($O1835&lt;=60,"31-60",IF($O1835&lt;=90,"61-90","90+")))))))</f>
        <v/>
      </c>
    </row>
    <row r="1836">
      <c r="A1836" s="6" t="n"/>
      <c r="B1836" s="6" t="n"/>
      <c r="C1836" s="6" t="n"/>
      <c r="D1836" s="6" t="n"/>
      <c r="E1836" s="6" t="n"/>
      <c r="F1836" s="7" t="n"/>
      <c r="G1836" s="7" t="n"/>
      <c r="H1836" s="8" t="n"/>
      <c r="I1836" s="9">
        <f>IF($A1836="","",SUMIFS(Ventes_Encaissements!$D$6:$D$3005,Ventes_Encaissements!$B$6:$B$3005,$A1836))</f>
        <v/>
      </c>
      <c r="J1836" s="9">
        <f>IF($A1836="","",$H1836-$I1836)</f>
        <v/>
      </c>
      <c r="K1836" s="10">
        <f>IF($A1836="","",IF($I1836=0,"",_xludf.AGGREGATE(14,6,Ventes_Encaissements!$C$6:$C$3005/(Ventes_Encaissements!$B$6:$B$3005=$A1836),1)))</f>
        <v/>
      </c>
      <c r="L1836" s="11">
        <f>IF($A1836="","",COUNTIFS(Ventes_Detail!$B$6:$B$3005,$A1836))</f>
        <v/>
      </c>
      <c r="M1836" s="12" t="n"/>
      <c r="N1836" s="12">
        <f>IF($A1836="","",IF($G1836="","",IF($M1836="Oui","Litige",IF($J1836&lt;=0,"Payé",IF($I1836&gt;0,"Partiel",IF(Listes!$B$3&gt;$G1836,"En retard","À échoir"))))))</f>
        <v/>
      </c>
      <c r="O1836" s="11">
        <f>IF($A1836="","",IF(OR($G1836="", $J1836&lt;=0),0,MAX(0,Listes!$B$3-$G1836)))</f>
        <v/>
      </c>
      <c r="P1836" s="12">
        <f>IF($A1836="","",IF($J1836&lt;=0,"Payé",IF($M1836="Oui","Litige",IF($O1836=0,"À échoir",IF($O1836&lt;=30,"0-30",IF($O1836&lt;=60,"31-60",IF($O1836&lt;=90,"61-90","90+")))))))</f>
        <v/>
      </c>
    </row>
    <row r="1837">
      <c r="A1837" s="6" t="n"/>
      <c r="B1837" s="6" t="n"/>
      <c r="C1837" s="6" t="n"/>
      <c r="D1837" s="6" t="n"/>
      <c r="E1837" s="6" t="n"/>
      <c r="F1837" s="7" t="n"/>
      <c r="G1837" s="7" t="n"/>
      <c r="H1837" s="8" t="n"/>
      <c r="I1837" s="9">
        <f>IF($A1837="","",SUMIFS(Ventes_Encaissements!$D$6:$D$3005,Ventes_Encaissements!$B$6:$B$3005,$A1837))</f>
        <v/>
      </c>
      <c r="J1837" s="9">
        <f>IF($A1837="","",$H1837-$I1837)</f>
        <v/>
      </c>
      <c r="K1837" s="10">
        <f>IF($A1837="","",IF($I1837=0,"",_xludf.AGGREGATE(14,6,Ventes_Encaissements!$C$6:$C$3005/(Ventes_Encaissements!$B$6:$B$3005=$A1837),1)))</f>
        <v/>
      </c>
      <c r="L1837" s="11">
        <f>IF($A1837="","",COUNTIFS(Ventes_Detail!$B$6:$B$3005,$A1837))</f>
        <v/>
      </c>
      <c r="M1837" s="12" t="n"/>
      <c r="N1837" s="12">
        <f>IF($A1837="","",IF($G1837="","",IF($M1837="Oui","Litige",IF($J1837&lt;=0,"Payé",IF($I1837&gt;0,"Partiel",IF(Listes!$B$3&gt;$G1837,"En retard","À échoir"))))))</f>
        <v/>
      </c>
      <c r="O1837" s="11">
        <f>IF($A1837="","",IF(OR($G1837="", $J1837&lt;=0),0,MAX(0,Listes!$B$3-$G1837)))</f>
        <v/>
      </c>
      <c r="P1837" s="12">
        <f>IF($A1837="","",IF($J1837&lt;=0,"Payé",IF($M1837="Oui","Litige",IF($O1837=0,"À échoir",IF($O1837&lt;=30,"0-30",IF($O1837&lt;=60,"31-60",IF($O1837&lt;=90,"61-90","90+")))))))</f>
        <v/>
      </c>
    </row>
    <row r="1838">
      <c r="A1838" s="6" t="n"/>
      <c r="B1838" s="6" t="n"/>
      <c r="C1838" s="6" t="n"/>
      <c r="D1838" s="6" t="n"/>
      <c r="E1838" s="6" t="n"/>
      <c r="F1838" s="7" t="n"/>
      <c r="G1838" s="7" t="n"/>
      <c r="H1838" s="8" t="n"/>
      <c r="I1838" s="9">
        <f>IF($A1838="","",SUMIFS(Ventes_Encaissements!$D$6:$D$3005,Ventes_Encaissements!$B$6:$B$3005,$A1838))</f>
        <v/>
      </c>
      <c r="J1838" s="9">
        <f>IF($A1838="","",$H1838-$I1838)</f>
        <v/>
      </c>
      <c r="K1838" s="10">
        <f>IF($A1838="","",IF($I1838=0,"",_xludf.AGGREGATE(14,6,Ventes_Encaissements!$C$6:$C$3005/(Ventes_Encaissements!$B$6:$B$3005=$A1838),1)))</f>
        <v/>
      </c>
      <c r="L1838" s="11">
        <f>IF($A1838="","",COUNTIFS(Ventes_Detail!$B$6:$B$3005,$A1838))</f>
        <v/>
      </c>
      <c r="M1838" s="12" t="n"/>
      <c r="N1838" s="12">
        <f>IF($A1838="","",IF($G1838="","",IF($M1838="Oui","Litige",IF($J1838&lt;=0,"Payé",IF($I1838&gt;0,"Partiel",IF(Listes!$B$3&gt;$G1838,"En retard","À échoir"))))))</f>
        <v/>
      </c>
      <c r="O1838" s="11">
        <f>IF($A1838="","",IF(OR($G1838="", $J1838&lt;=0),0,MAX(0,Listes!$B$3-$G1838)))</f>
        <v/>
      </c>
      <c r="P1838" s="12">
        <f>IF($A1838="","",IF($J1838&lt;=0,"Payé",IF($M1838="Oui","Litige",IF($O1838=0,"À échoir",IF($O1838&lt;=30,"0-30",IF($O1838&lt;=60,"31-60",IF($O1838&lt;=90,"61-90","90+")))))))</f>
        <v/>
      </c>
    </row>
    <row r="1839">
      <c r="A1839" s="6" t="n"/>
      <c r="B1839" s="6" t="n"/>
      <c r="C1839" s="6" t="n"/>
      <c r="D1839" s="6" t="n"/>
      <c r="E1839" s="6" t="n"/>
      <c r="F1839" s="7" t="n"/>
      <c r="G1839" s="7" t="n"/>
      <c r="H1839" s="8" t="n"/>
      <c r="I1839" s="9">
        <f>IF($A1839="","",SUMIFS(Ventes_Encaissements!$D$6:$D$3005,Ventes_Encaissements!$B$6:$B$3005,$A1839))</f>
        <v/>
      </c>
      <c r="J1839" s="9">
        <f>IF($A1839="","",$H1839-$I1839)</f>
        <v/>
      </c>
      <c r="K1839" s="10">
        <f>IF($A1839="","",IF($I1839=0,"",_xludf.AGGREGATE(14,6,Ventes_Encaissements!$C$6:$C$3005/(Ventes_Encaissements!$B$6:$B$3005=$A1839),1)))</f>
        <v/>
      </c>
      <c r="L1839" s="11">
        <f>IF($A1839="","",COUNTIFS(Ventes_Detail!$B$6:$B$3005,$A1839))</f>
        <v/>
      </c>
      <c r="M1839" s="12" t="n"/>
      <c r="N1839" s="12">
        <f>IF($A1839="","",IF($G1839="","",IF($M1839="Oui","Litige",IF($J1839&lt;=0,"Payé",IF($I1839&gt;0,"Partiel",IF(Listes!$B$3&gt;$G1839,"En retard","À échoir"))))))</f>
        <v/>
      </c>
      <c r="O1839" s="11">
        <f>IF($A1839="","",IF(OR($G1839="", $J1839&lt;=0),0,MAX(0,Listes!$B$3-$G1839)))</f>
        <v/>
      </c>
      <c r="P1839" s="12">
        <f>IF($A1839="","",IF($J1839&lt;=0,"Payé",IF($M1839="Oui","Litige",IF($O1839=0,"À échoir",IF($O1839&lt;=30,"0-30",IF($O1839&lt;=60,"31-60",IF($O1839&lt;=90,"61-90","90+")))))))</f>
        <v/>
      </c>
    </row>
    <row r="1840">
      <c r="A1840" s="6" t="n"/>
      <c r="B1840" s="6" t="n"/>
      <c r="C1840" s="6" t="n"/>
      <c r="D1840" s="6" t="n"/>
      <c r="E1840" s="6" t="n"/>
      <c r="F1840" s="7" t="n"/>
      <c r="G1840" s="7" t="n"/>
      <c r="H1840" s="8" t="n"/>
      <c r="I1840" s="9">
        <f>IF($A1840="","",SUMIFS(Ventes_Encaissements!$D$6:$D$3005,Ventes_Encaissements!$B$6:$B$3005,$A1840))</f>
        <v/>
      </c>
      <c r="J1840" s="9">
        <f>IF($A1840="","",$H1840-$I1840)</f>
        <v/>
      </c>
      <c r="K1840" s="10">
        <f>IF($A1840="","",IF($I1840=0,"",_xludf.AGGREGATE(14,6,Ventes_Encaissements!$C$6:$C$3005/(Ventes_Encaissements!$B$6:$B$3005=$A1840),1)))</f>
        <v/>
      </c>
      <c r="L1840" s="11">
        <f>IF($A1840="","",COUNTIFS(Ventes_Detail!$B$6:$B$3005,$A1840))</f>
        <v/>
      </c>
      <c r="M1840" s="12" t="n"/>
      <c r="N1840" s="12">
        <f>IF($A1840="","",IF($G1840="","",IF($M1840="Oui","Litige",IF($J1840&lt;=0,"Payé",IF($I1840&gt;0,"Partiel",IF(Listes!$B$3&gt;$G1840,"En retard","À échoir"))))))</f>
        <v/>
      </c>
      <c r="O1840" s="11">
        <f>IF($A1840="","",IF(OR($G1840="", $J1840&lt;=0),0,MAX(0,Listes!$B$3-$G1840)))</f>
        <v/>
      </c>
      <c r="P1840" s="12">
        <f>IF($A1840="","",IF($J1840&lt;=0,"Payé",IF($M1840="Oui","Litige",IF($O1840=0,"À échoir",IF($O1840&lt;=30,"0-30",IF($O1840&lt;=60,"31-60",IF($O1840&lt;=90,"61-90","90+")))))))</f>
        <v/>
      </c>
    </row>
    <row r="1841">
      <c r="A1841" s="6" t="n"/>
      <c r="B1841" s="6" t="n"/>
      <c r="C1841" s="6" t="n"/>
      <c r="D1841" s="6" t="n"/>
      <c r="E1841" s="6" t="n"/>
      <c r="F1841" s="7" t="n"/>
      <c r="G1841" s="7" t="n"/>
      <c r="H1841" s="8" t="n"/>
      <c r="I1841" s="9">
        <f>IF($A1841="","",SUMIFS(Ventes_Encaissements!$D$6:$D$3005,Ventes_Encaissements!$B$6:$B$3005,$A1841))</f>
        <v/>
      </c>
      <c r="J1841" s="9">
        <f>IF($A1841="","",$H1841-$I1841)</f>
        <v/>
      </c>
      <c r="K1841" s="10">
        <f>IF($A1841="","",IF($I1841=0,"",_xludf.AGGREGATE(14,6,Ventes_Encaissements!$C$6:$C$3005/(Ventes_Encaissements!$B$6:$B$3005=$A1841),1)))</f>
        <v/>
      </c>
      <c r="L1841" s="11">
        <f>IF($A1841="","",COUNTIFS(Ventes_Detail!$B$6:$B$3005,$A1841))</f>
        <v/>
      </c>
      <c r="M1841" s="12" t="n"/>
      <c r="N1841" s="12">
        <f>IF($A1841="","",IF($G1841="","",IF($M1841="Oui","Litige",IF($J1841&lt;=0,"Payé",IF($I1841&gt;0,"Partiel",IF(Listes!$B$3&gt;$G1841,"En retard","À échoir"))))))</f>
        <v/>
      </c>
      <c r="O1841" s="11">
        <f>IF($A1841="","",IF(OR($G1841="", $J1841&lt;=0),0,MAX(0,Listes!$B$3-$G1841)))</f>
        <v/>
      </c>
      <c r="P1841" s="12">
        <f>IF($A1841="","",IF($J1841&lt;=0,"Payé",IF($M1841="Oui","Litige",IF($O1841=0,"À échoir",IF($O1841&lt;=30,"0-30",IF($O1841&lt;=60,"31-60",IF($O1841&lt;=90,"61-90","90+")))))))</f>
        <v/>
      </c>
    </row>
    <row r="1842">
      <c r="A1842" s="6" t="n"/>
      <c r="B1842" s="6" t="n"/>
      <c r="C1842" s="6" t="n"/>
      <c r="D1842" s="6" t="n"/>
      <c r="E1842" s="6" t="n"/>
      <c r="F1842" s="7" t="n"/>
      <c r="G1842" s="7" t="n"/>
      <c r="H1842" s="8" t="n"/>
      <c r="I1842" s="9">
        <f>IF($A1842="","",SUMIFS(Ventes_Encaissements!$D$6:$D$3005,Ventes_Encaissements!$B$6:$B$3005,$A1842))</f>
        <v/>
      </c>
      <c r="J1842" s="9">
        <f>IF($A1842="","",$H1842-$I1842)</f>
        <v/>
      </c>
      <c r="K1842" s="10">
        <f>IF($A1842="","",IF($I1842=0,"",_xludf.AGGREGATE(14,6,Ventes_Encaissements!$C$6:$C$3005/(Ventes_Encaissements!$B$6:$B$3005=$A1842),1)))</f>
        <v/>
      </c>
      <c r="L1842" s="11">
        <f>IF($A1842="","",COUNTIFS(Ventes_Detail!$B$6:$B$3005,$A1842))</f>
        <v/>
      </c>
      <c r="M1842" s="12" t="n"/>
      <c r="N1842" s="12">
        <f>IF($A1842="","",IF($G1842="","",IF($M1842="Oui","Litige",IF($J1842&lt;=0,"Payé",IF($I1842&gt;0,"Partiel",IF(Listes!$B$3&gt;$G1842,"En retard","À échoir"))))))</f>
        <v/>
      </c>
      <c r="O1842" s="11">
        <f>IF($A1842="","",IF(OR($G1842="", $J1842&lt;=0),0,MAX(0,Listes!$B$3-$G1842)))</f>
        <v/>
      </c>
      <c r="P1842" s="12">
        <f>IF($A1842="","",IF($J1842&lt;=0,"Payé",IF($M1842="Oui","Litige",IF($O1842=0,"À échoir",IF($O1842&lt;=30,"0-30",IF($O1842&lt;=60,"31-60",IF($O1842&lt;=90,"61-90","90+")))))))</f>
        <v/>
      </c>
    </row>
    <row r="1843">
      <c r="A1843" s="6" t="n"/>
      <c r="B1843" s="6" t="n"/>
      <c r="C1843" s="6" t="n"/>
      <c r="D1843" s="6" t="n"/>
      <c r="E1843" s="6" t="n"/>
      <c r="F1843" s="7" t="n"/>
      <c r="G1843" s="7" t="n"/>
      <c r="H1843" s="8" t="n"/>
      <c r="I1843" s="9">
        <f>IF($A1843="","",SUMIFS(Ventes_Encaissements!$D$6:$D$3005,Ventes_Encaissements!$B$6:$B$3005,$A1843))</f>
        <v/>
      </c>
      <c r="J1843" s="9">
        <f>IF($A1843="","",$H1843-$I1843)</f>
        <v/>
      </c>
      <c r="K1843" s="10">
        <f>IF($A1843="","",IF($I1843=0,"",_xludf.AGGREGATE(14,6,Ventes_Encaissements!$C$6:$C$3005/(Ventes_Encaissements!$B$6:$B$3005=$A1843),1)))</f>
        <v/>
      </c>
      <c r="L1843" s="11">
        <f>IF($A1843="","",COUNTIFS(Ventes_Detail!$B$6:$B$3005,$A1843))</f>
        <v/>
      </c>
      <c r="M1843" s="12" t="n"/>
      <c r="N1843" s="12">
        <f>IF($A1843="","",IF($G1843="","",IF($M1843="Oui","Litige",IF($J1843&lt;=0,"Payé",IF($I1843&gt;0,"Partiel",IF(Listes!$B$3&gt;$G1843,"En retard","À échoir"))))))</f>
        <v/>
      </c>
      <c r="O1843" s="11">
        <f>IF($A1843="","",IF(OR($G1843="", $J1843&lt;=0),0,MAX(0,Listes!$B$3-$G1843)))</f>
        <v/>
      </c>
      <c r="P1843" s="12">
        <f>IF($A1843="","",IF($J1843&lt;=0,"Payé",IF($M1843="Oui","Litige",IF($O1843=0,"À échoir",IF($O1843&lt;=30,"0-30",IF($O1843&lt;=60,"31-60",IF($O1843&lt;=90,"61-90","90+")))))))</f>
        <v/>
      </c>
    </row>
    <row r="1844">
      <c r="A1844" s="6" t="n"/>
      <c r="B1844" s="6" t="n"/>
      <c r="C1844" s="6" t="n"/>
      <c r="D1844" s="6" t="n"/>
      <c r="E1844" s="6" t="n"/>
      <c r="F1844" s="7" t="n"/>
      <c r="G1844" s="7" t="n"/>
      <c r="H1844" s="8" t="n"/>
      <c r="I1844" s="9">
        <f>IF($A1844="","",SUMIFS(Ventes_Encaissements!$D$6:$D$3005,Ventes_Encaissements!$B$6:$B$3005,$A1844))</f>
        <v/>
      </c>
      <c r="J1844" s="9">
        <f>IF($A1844="","",$H1844-$I1844)</f>
        <v/>
      </c>
      <c r="K1844" s="10">
        <f>IF($A1844="","",IF($I1844=0,"",_xludf.AGGREGATE(14,6,Ventes_Encaissements!$C$6:$C$3005/(Ventes_Encaissements!$B$6:$B$3005=$A1844),1)))</f>
        <v/>
      </c>
      <c r="L1844" s="11">
        <f>IF($A1844="","",COUNTIFS(Ventes_Detail!$B$6:$B$3005,$A1844))</f>
        <v/>
      </c>
      <c r="M1844" s="12" t="n"/>
      <c r="N1844" s="12">
        <f>IF($A1844="","",IF($G1844="","",IF($M1844="Oui","Litige",IF($J1844&lt;=0,"Payé",IF($I1844&gt;0,"Partiel",IF(Listes!$B$3&gt;$G1844,"En retard","À échoir"))))))</f>
        <v/>
      </c>
      <c r="O1844" s="11">
        <f>IF($A1844="","",IF(OR($G1844="", $J1844&lt;=0),0,MAX(0,Listes!$B$3-$G1844)))</f>
        <v/>
      </c>
      <c r="P1844" s="12">
        <f>IF($A1844="","",IF($J1844&lt;=0,"Payé",IF($M1844="Oui","Litige",IF($O1844=0,"À échoir",IF($O1844&lt;=30,"0-30",IF($O1844&lt;=60,"31-60",IF($O1844&lt;=90,"61-90","90+")))))))</f>
        <v/>
      </c>
    </row>
    <row r="1845">
      <c r="A1845" s="6" t="n"/>
      <c r="B1845" s="6" t="n"/>
      <c r="C1845" s="6" t="n"/>
      <c r="D1845" s="6" t="n"/>
      <c r="E1845" s="6" t="n"/>
      <c r="F1845" s="7" t="n"/>
      <c r="G1845" s="7" t="n"/>
      <c r="H1845" s="8" t="n"/>
      <c r="I1845" s="9">
        <f>IF($A1845="","",SUMIFS(Ventes_Encaissements!$D$6:$D$3005,Ventes_Encaissements!$B$6:$B$3005,$A1845))</f>
        <v/>
      </c>
      <c r="J1845" s="9">
        <f>IF($A1845="","",$H1845-$I1845)</f>
        <v/>
      </c>
      <c r="K1845" s="10">
        <f>IF($A1845="","",IF($I1845=0,"",_xludf.AGGREGATE(14,6,Ventes_Encaissements!$C$6:$C$3005/(Ventes_Encaissements!$B$6:$B$3005=$A1845),1)))</f>
        <v/>
      </c>
      <c r="L1845" s="11">
        <f>IF($A1845="","",COUNTIFS(Ventes_Detail!$B$6:$B$3005,$A1845))</f>
        <v/>
      </c>
      <c r="M1845" s="12" t="n"/>
      <c r="N1845" s="12">
        <f>IF($A1845="","",IF($G1845="","",IF($M1845="Oui","Litige",IF($J1845&lt;=0,"Payé",IF($I1845&gt;0,"Partiel",IF(Listes!$B$3&gt;$G1845,"En retard","À échoir"))))))</f>
        <v/>
      </c>
      <c r="O1845" s="11">
        <f>IF($A1845="","",IF(OR($G1845="", $J1845&lt;=0),0,MAX(0,Listes!$B$3-$G1845)))</f>
        <v/>
      </c>
      <c r="P1845" s="12">
        <f>IF($A1845="","",IF($J1845&lt;=0,"Payé",IF($M1845="Oui","Litige",IF($O1845=0,"À échoir",IF($O1845&lt;=30,"0-30",IF($O1845&lt;=60,"31-60",IF($O1845&lt;=90,"61-90","90+")))))))</f>
        <v/>
      </c>
    </row>
    <row r="1846">
      <c r="A1846" s="6" t="n"/>
      <c r="B1846" s="6" t="n"/>
      <c r="C1846" s="6" t="n"/>
      <c r="D1846" s="6" t="n"/>
      <c r="E1846" s="6" t="n"/>
      <c r="F1846" s="7" t="n"/>
      <c r="G1846" s="7" t="n"/>
      <c r="H1846" s="8" t="n"/>
      <c r="I1846" s="9">
        <f>IF($A1846="","",SUMIFS(Ventes_Encaissements!$D$6:$D$3005,Ventes_Encaissements!$B$6:$B$3005,$A1846))</f>
        <v/>
      </c>
      <c r="J1846" s="9">
        <f>IF($A1846="","",$H1846-$I1846)</f>
        <v/>
      </c>
      <c r="K1846" s="10">
        <f>IF($A1846="","",IF($I1846=0,"",_xludf.AGGREGATE(14,6,Ventes_Encaissements!$C$6:$C$3005/(Ventes_Encaissements!$B$6:$B$3005=$A1846),1)))</f>
        <v/>
      </c>
      <c r="L1846" s="11">
        <f>IF($A1846="","",COUNTIFS(Ventes_Detail!$B$6:$B$3005,$A1846))</f>
        <v/>
      </c>
      <c r="M1846" s="12" t="n"/>
      <c r="N1846" s="12">
        <f>IF($A1846="","",IF($G1846="","",IF($M1846="Oui","Litige",IF($J1846&lt;=0,"Payé",IF($I1846&gt;0,"Partiel",IF(Listes!$B$3&gt;$G1846,"En retard","À échoir"))))))</f>
        <v/>
      </c>
      <c r="O1846" s="11">
        <f>IF($A1846="","",IF(OR($G1846="", $J1846&lt;=0),0,MAX(0,Listes!$B$3-$G1846)))</f>
        <v/>
      </c>
      <c r="P1846" s="12">
        <f>IF($A1846="","",IF($J1846&lt;=0,"Payé",IF($M1846="Oui","Litige",IF($O1846=0,"À échoir",IF($O1846&lt;=30,"0-30",IF($O1846&lt;=60,"31-60",IF($O1846&lt;=90,"61-90","90+")))))))</f>
        <v/>
      </c>
    </row>
    <row r="1847">
      <c r="A1847" s="6" t="n"/>
      <c r="B1847" s="6" t="n"/>
      <c r="C1847" s="6" t="n"/>
      <c r="D1847" s="6" t="n"/>
      <c r="E1847" s="6" t="n"/>
      <c r="F1847" s="7" t="n"/>
      <c r="G1847" s="7" t="n"/>
      <c r="H1847" s="8" t="n"/>
      <c r="I1847" s="9">
        <f>IF($A1847="","",SUMIFS(Ventes_Encaissements!$D$6:$D$3005,Ventes_Encaissements!$B$6:$B$3005,$A1847))</f>
        <v/>
      </c>
      <c r="J1847" s="9">
        <f>IF($A1847="","",$H1847-$I1847)</f>
        <v/>
      </c>
      <c r="K1847" s="10">
        <f>IF($A1847="","",IF($I1847=0,"",_xludf.AGGREGATE(14,6,Ventes_Encaissements!$C$6:$C$3005/(Ventes_Encaissements!$B$6:$B$3005=$A1847),1)))</f>
        <v/>
      </c>
      <c r="L1847" s="11">
        <f>IF($A1847="","",COUNTIFS(Ventes_Detail!$B$6:$B$3005,$A1847))</f>
        <v/>
      </c>
      <c r="M1847" s="12" t="n"/>
      <c r="N1847" s="12">
        <f>IF($A1847="","",IF($G1847="","",IF($M1847="Oui","Litige",IF($J1847&lt;=0,"Payé",IF($I1847&gt;0,"Partiel",IF(Listes!$B$3&gt;$G1847,"En retard","À échoir"))))))</f>
        <v/>
      </c>
      <c r="O1847" s="11">
        <f>IF($A1847="","",IF(OR($G1847="", $J1847&lt;=0),0,MAX(0,Listes!$B$3-$G1847)))</f>
        <v/>
      </c>
      <c r="P1847" s="12">
        <f>IF($A1847="","",IF($J1847&lt;=0,"Payé",IF($M1847="Oui","Litige",IF($O1847=0,"À échoir",IF($O1847&lt;=30,"0-30",IF($O1847&lt;=60,"31-60",IF($O1847&lt;=90,"61-90","90+")))))))</f>
        <v/>
      </c>
    </row>
    <row r="1848">
      <c r="A1848" s="6" t="n"/>
      <c r="B1848" s="6" t="n"/>
      <c r="C1848" s="6" t="n"/>
      <c r="D1848" s="6" t="n"/>
      <c r="E1848" s="6" t="n"/>
      <c r="F1848" s="7" t="n"/>
      <c r="G1848" s="7" t="n"/>
      <c r="H1848" s="8" t="n"/>
      <c r="I1848" s="9">
        <f>IF($A1848="","",SUMIFS(Ventes_Encaissements!$D$6:$D$3005,Ventes_Encaissements!$B$6:$B$3005,$A1848))</f>
        <v/>
      </c>
      <c r="J1848" s="9">
        <f>IF($A1848="","",$H1848-$I1848)</f>
        <v/>
      </c>
      <c r="K1848" s="10">
        <f>IF($A1848="","",IF($I1848=0,"",_xludf.AGGREGATE(14,6,Ventes_Encaissements!$C$6:$C$3005/(Ventes_Encaissements!$B$6:$B$3005=$A1848),1)))</f>
        <v/>
      </c>
      <c r="L1848" s="11">
        <f>IF($A1848="","",COUNTIFS(Ventes_Detail!$B$6:$B$3005,$A1848))</f>
        <v/>
      </c>
      <c r="M1848" s="12" t="n"/>
      <c r="N1848" s="12">
        <f>IF($A1848="","",IF($G1848="","",IF($M1848="Oui","Litige",IF($J1848&lt;=0,"Payé",IF($I1848&gt;0,"Partiel",IF(Listes!$B$3&gt;$G1848,"En retard","À échoir"))))))</f>
        <v/>
      </c>
      <c r="O1848" s="11">
        <f>IF($A1848="","",IF(OR($G1848="", $J1848&lt;=0),0,MAX(0,Listes!$B$3-$G1848)))</f>
        <v/>
      </c>
      <c r="P1848" s="12">
        <f>IF($A1848="","",IF($J1848&lt;=0,"Payé",IF($M1848="Oui","Litige",IF($O1848=0,"À échoir",IF($O1848&lt;=30,"0-30",IF($O1848&lt;=60,"31-60",IF($O1848&lt;=90,"61-90","90+")))))))</f>
        <v/>
      </c>
    </row>
    <row r="1849">
      <c r="A1849" s="6" t="n"/>
      <c r="B1849" s="6" t="n"/>
      <c r="C1849" s="6" t="n"/>
      <c r="D1849" s="6" t="n"/>
      <c r="E1849" s="6" t="n"/>
      <c r="F1849" s="7" t="n"/>
      <c r="G1849" s="7" t="n"/>
      <c r="H1849" s="8" t="n"/>
      <c r="I1849" s="9">
        <f>IF($A1849="","",SUMIFS(Ventes_Encaissements!$D$6:$D$3005,Ventes_Encaissements!$B$6:$B$3005,$A1849))</f>
        <v/>
      </c>
      <c r="J1849" s="9">
        <f>IF($A1849="","",$H1849-$I1849)</f>
        <v/>
      </c>
      <c r="K1849" s="10">
        <f>IF($A1849="","",IF($I1849=0,"",_xludf.AGGREGATE(14,6,Ventes_Encaissements!$C$6:$C$3005/(Ventes_Encaissements!$B$6:$B$3005=$A1849),1)))</f>
        <v/>
      </c>
      <c r="L1849" s="11">
        <f>IF($A1849="","",COUNTIFS(Ventes_Detail!$B$6:$B$3005,$A1849))</f>
        <v/>
      </c>
      <c r="M1849" s="12" t="n"/>
      <c r="N1849" s="12">
        <f>IF($A1849="","",IF($G1849="","",IF($M1849="Oui","Litige",IF($J1849&lt;=0,"Payé",IF($I1849&gt;0,"Partiel",IF(Listes!$B$3&gt;$G1849,"En retard","À échoir"))))))</f>
        <v/>
      </c>
      <c r="O1849" s="11">
        <f>IF($A1849="","",IF(OR($G1849="", $J1849&lt;=0),0,MAX(0,Listes!$B$3-$G1849)))</f>
        <v/>
      </c>
      <c r="P1849" s="12">
        <f>IF($A1849="","",IF($J1849&lt;=0,"Payé",IF($M1849="Oui","Litige",IF($O1849=0,"À échoir",IF($O1849&lt;=30,"0-30",IF($O1849&lt;=60,"31-60",IF($O1849&lt;=90,"61-90","90+")))))))</f>
        <v/>
      </c>
    </row>
    <row r="1850">
      <c r="A1850" s="6" t="n"/>
      <c r="B1850" s="6" t="n"/>
      <c r="C1850" s="6" t="n"/>
      <c r="D1850" s="6" t="n"/>
      <c r="E1850" s="6" t="n"/>
      <c r="F1850" s="7" t="n"/>
      <c r="G1850" s="7" t="n"/>
      <c r="H1850" s="8" t="n"/>
      <c r="I1850" s="9">
        <f>IF($A1850="","",SUMIFS(Ventes_Encaissements!$D$6:$D$3005,Ventes_Encaissements!$B$6:$B$3005,$A1850))</f>
        <v/>
      </c>
      <c r="J1850" s="9">
        <f>IF($A1850="","",$H1850-$I1850)</f>
        <v/>
      </c>
      <c r="K1850" s="10">
        <f>IF($A1850="","",IF($I1850=0,"",_xludf.AGGREGATE(14,6,Ventes_Encaissements!$C$6:$C$3005/(Ventes_Encaissements!$B$6:$B$3005=$A1850),1)))</f>
        <v/>
      </c>
      <c r="L1850" s="11">
        <f>IF($A1850="","",COUNTIFS(Ventes_Detail!$B$6:$B$3005,$A1850))</f>
        <v/>
      </c>
      <c r="M1850" s="12" t="n"/>
      <c r="N1850" s="12">
        <f>IF($A1850="","",IF($G1850="","",IF($M1850="Oui","Litige",IF($J1850&lt;=0,"Payé",IF($I1850&gt;0,"Partiel",IF(Listes!$B$3&gt;$G1850,"En retard","À échoir"))))))</f>
        <v/>
      </c>
      <c r="O1850" s="11">
        <f>IF($A1850="","",IF(OR($G1850="", $J1850&lt;=0),0,MAX(0,Listes!$B$3-$G1850)))</f>
        <v/>
      </c>
      <c r="P1850" s="12">
        <f>IF($A1850="","",IF($J1850&lt;=0,"Payé",IF($M1850="Oui","Litige",IF($O1850=0,"À échoir",IF($O1850&lt;=30,"0-30",IF($O1850&lt;=60,"31-60",IF($O1850&lt;=90,"61-90","90+")))))))</f>
        <v/>
      </c>
    </row>
    <row r="1851">
      <c r="A1851" s="6" t="n"/>
      <c r="B1851" s="6" t="n"/>
      <c r="C1851" s="6" t="n"/>
      <c r="D1851" s="6" t="n"/>
      <c r="E1851" s="6" t="n"/>
      <c r="F1851" s="7" t="n"/>
      <c r="G1851" s="7" t="n"/>
      <c r="H1851" s="8" t="n"/>
      <c r="I1851" s="9">
        <f>IF($A1851="","",SUMIFS(Ventes_Encaissements!$D$6:$D$3005,Ventes_Encaissements!$B$6:$B$3005,$A1851))</f>
        <v/>
      </c>
      <c r="J1851" s="9">
        <f>IF($A1851="","",$H1851-$I1851)</f>
        <v/>
      </c>
      <c r="K1851" s="10">
        <f>IF($A1851="","",IF($I1851=0,"",_xludf.AGGREGATE(14,6,Ventes_Encaissements!$C$6:$C$3005/(Ventes_Encaissements!$B$6:$B$3005=$A1851),1)))</f>
        <v/>
      </c>
      <c r="L1851" s="11">
        <f>IF($A1851="","",COUNTIFS(Ventes_Detail!$B$6:$B$3005,$A1851))</f>
        <v/>
      </c>
      <c r="M1851" s="12" t="n"/>
      <c r="N1851" s="12">
        <f>IF($A1851="","",IF($G1851="","",IF($M1851="Oui","Litige",IF($J1851&lt;=0,"Payé",IF($I1851&gt;0,"Partiel",IF(Listes!$B$3&gt;$G1851,"En retard","À échoir"))))))</f>
        <v/>
      </c>
      <c r="O1851" s="11">
        <f>IF($A1851="","",IF(OR($G1851="", $J1851&lt;=0),0,MAX(0,Listes!$B$3-$G1851)))</f>
        <v/>
      </c>
      <c r="P1851" s="12">
        <f>IF($A1851="","",IF($J1851&lt;=0,"Payé",IF($M1851="Oui","Litige",IF($O1851=0,"À échoir",IF($O1851&lt;=30,"0-30",IF($O1851&lt;=60,"31-60",IF($O1851&lt;=90,"61-90","90+")))))))</f>
        <v/>
      </c>
    </row>
    <row r="1852">
      <c r="A1852" s="6" t="n"/>
      <c r="B1852" s="6" t="n"/>
      <c r="C1852" s="6" t="n"/>
      <c r="D1852" s="6" t="n"/>
      <c r="E1852" s="6" t="n"/>
      <c r="F1852" s="7" t="n"/>
      <c r="G1852" s="7" t="n"/>
      <c r="H1852" s="8" t="n"/>
      <c r="I1852" s="9">
        <f>IF($A1852="","",SUMIFS(Ventes_Encaissements!$D$6:$D$3005,Ventes_Encaissements!$B$6:$B$3005,$A1852))</f>
        <v/>
      </c>
      <c r="J1852" s="9">
        <f>IF($A1852="","",$H1852-$I1852)</f>
        <v/>
      </c>
      <c r="K1852" s="10">
        <f>IF($A1852="","",IF($I1852=0,"",_xludf.AGGREGATE(14,6,Ventes_Encaissements!$C$6:$C$3005/(Ventes_Encaissements!$B$6:$B$3005=$A1852),1)))</f>
        <v/>
      </c>
      <c r="L1852" s="11">
        <f>IF($A1852="","",COUNTIFS(Ventes_Detail!$B$6:$B$3005,$A1852))</f>
        <v/>
      </c>
      <c r="M1852" s="12" t="n"/>
      <c r="N1852" s="12">
        <f>IF($A1852="","",IF($G1852="","",IF($M1852="Oui","Litige",IF($J1852&lt;=0,"Payé",IF($I1852&gt;0,"Partiel",IF(Listes!$B$3&gt;$G1852,"En retard","À échoir"))))))</f>
        <v/>
      </c>
      <c r="O1852" s="11">
        <f>IF($A1852="","",IF(OR($G1852="", $J1852&lt;=0),0,MAX(0,Listes!$B$3-$G1852)))</f>
        <v/>
      </c>
      <c r="P1852" s="12">
        <f>IF($A1852="","",IF($J1852&lt;=0,"Payé",IF($M1852="Oui","Litige",IF($O1852=0,"À échoir",IF($O1852&lt;=30,"0-30",IF($O1852&lt;=60,"31-60",IF($O1852&lt;=90,"61-90","90+")))))))</f>
        <v/>
      </c>
    </row>
    <row r="1853">
      <c r="A1853" s="6" t="n"/>
      <c r="B1853" s="6" t="n"/>
      <c r="C1853" s="6" t="n"/>
      <c r="D1853" s="6" t="n"/>
      <c r="E1853" s="6" t="n"/>
      <c r="F1853" s="7" t="n"/>
      <c r="G1853" s="7" t="n"/>
      <c r="H1853" s="8" t="n"/>
      <c r="I1853" s="9">
        <f>IF($A1853="","",SUMIFS(Ventes_Encaissements!$D$6:$D$3005,Ventes_Encaissements!$B$6:$B$3005,$A1853))</f>
        <v/>
      </c>
      <c r="J1853" s="9">
        <f>IF($A1853="","",$H1853-$I1853)</f>
        <v/>
      </c>
      <c r="K1853" s="10">
        <f>IF($A1853="","",IF($I1853=0,"",_xludf.AGGREGATE(14,6,Ventes_Encaissements!$C$6:$C$3005/(Ventes_Encaissements!$B$6:$B$3005=$A1853),1)))</f>
        <v/>
      </c>
      <c r="L1853" s="11">
        <f>IF($A1853="","",COUNTIFS(Ventes_Detail!$B$6:$B$3005,$A1853))</f>
        <v/>
      </c>
      <c r="M1853" s="12" t="n"/>
      <c r="N1853" s="12">
        <f>IF($A1853="","",IF($G1853="","",IF($M1853="Oui","Litige",IF($J1853&lt;=0,"Payé",IF($I1853&gt;0,"Partiel",IF(Listes!$B$3&gt;$G1853,"En retard","À échoir"))))))</f>
        <v/>
      </c>
      <c r="O1853" s="11">
        <f>IF($A1853="","",IF(OR($G1853="", $J1853&lt;=0),0,MAX(0,Listes!$B$3-$G1853)))</f>
        <v/>
      </c>
      <c r="P1853" s="12">
        <f>IF($A1853="","",IF($J1853&lt;=0,"Payé",IF($M1853="Oui","Litige",IF($O1853=0,"À échoir",IF($O1853&lt;=30,"0-30",IF($O1853&lt;=60,"31-60",IF($O1853&lt;=90,"61-90","90+")))))))</f>
        <v/>
      </c>
    </row>
    <row r="1854">
      <c r="A1854" s="6" t="n"/>
      <c r="B1854" s="6" t="n"/>
      <c r="C1854" s="6" t="n"/>
      <c r="D1854" s="6" t="n"/>
      <c r="E1854" s="6" t="n"/>
      <c r="F1854" s="7" t="n"/>
      <c r="G1854" s="7" t="n"/>
      <c r="H1854" s="8" t="n"/>
      <c r="I1854" s="9">
        <f>IF($A1854="","",SUMIFS(Ventes_Encaissements!$D$6:$D$3005,Ventes_Encaissements!$B$6:$B$3005,$A1854))</f>
        <v/>
      </c>
      <c r="J1854" s="9">
        <f>IF($A1854="","",$H1854-$I1854)</f>
        <v/>
      </c>
      <c r="K1854" s="10">
        <f>IF($A1854="","",IF($I1854=0,"",_xludf.AGGREGATE(14,6,Ventes_Encaissements!$C$6:$C$3005/(Ventes_Encaissements!$B$6:$B$3005=$A1854),1)))</f>
        <v/>
      </c>
      <c r="L1854" s="11">
        <f>IF($A1854="","",COUNTIFS(Ventes_Detail!$B$6:$B$3005,$A1854))</f>
        <v/>
      </c>
      <c r="M1854" s="12" t="n"/>
      <c r="N1854" s="12">
        <f>IF($A1854="","",IF($G1854="","",IF($M1854="Oui","Litige",IF($J1854&lt;=0,"Payé",IF($I1854&gt;0,"Partiel",IF(Listes!$B$3&gt;$G1854,"En retard","À échoir"))))))</f>
        <v/>
      </c>
      <c r="O1854" s="11">
        <f>IF($A1854="","",IF(OR($G1854="", $J1854&lt;=0),0,MAX(0,Listes!$B$3-$G1854)))</f>
        <v/>
      </c>
      <c r="P1854" s="12">
        <f>IF($A1854="","",IF($J1854&lt;=0,"Payé",IF($M1854="Oui","Litige",IF($O1854=0,"À échoir",IF($O1854&lt;=30,"0-30",IF($O1854&lt;=60,"31-60",IF($O1854&lt;=90,"61-90","90+")))))))</f>
        <v/>
      </c>
    </row>
    <row r="1855">
      <c r="A1855" s="6" t="n"/>
      <c r="B1855" s="6" t="n"/>
      <c r="C1855" s="6" t="n"/>
      <c r="D1855" s="6" t="n"/>
      <c r="E1855" s="6" t="n"/>
      <c r="F1855" s="7" t="n"/>
      <c r="G1855" s="7" t="n"/>
      <c r="H1855" s="8" t="n"/>
      <c r="I1855" s="9">
        <f>IF($A1855="","",SUMIFS(Ventes_Encaissements!$D$6:$D$3005,Ventes_Encaissements!$B$6:$B$3005,$A1855))</f>
        <v/>
      </c>
      <c r="J1855" s="9">
        <f>IF($A1855="","",$H1855-$I1855)</f>
        <v/>
      </c>
      <c r="K1855" s="10">
        <f>IF($A1855="","",IF($I1855=0,"",_xludf.AGGREGATE(14,6,Ventes_Encaissements!$C$6:$C$3005/(Ventes_Encaissements!$B$6:$B$3005=$A1855),1)))</f>
        <v/>
      </c>
      <c r="L1855" s="11">
        <f>IF($A1855="","",COUNTIFS(Ventes_Detail!$B$6:$B$3005,$A1855))</f>
        <v/>
      </c>
      <c r="M1855" s="12" t="n"/>
      <c r="N1855" s="12">
        <f>IF($A1855="","",IF($G1855="","",IF($M1855="Oui","Litige",IF($J1855&lt;=0,"Payé",IF($I1855&gt;0,"Partiel",IF(Listes!$B$3&gt;$G1855,"En retard","À échoir"))))))</f>
        <v/>
      </c>
      <c r="O1855" s="11">
        <f>IF($A1855="","",IF(OR($G1855="", $J1855&lt;=0),0,MAX(0,Listes!$B$3-$G1855)))</f>
        <v/>
      </c>
      <c r="P1855" s="12">
        <f>IF($A1855="","",IF($J1855&lt;=0,"Payé",IF($M1855="Oui","Litige",IF($O1855=0,"À échoir",IF($O1855&lt;=30,"0-30",IF($O1855&lt;=60,"31-60",IF($O1855&lt;=90,"61-90","90+")))))))</f>
        <v/>
      </c>
    </row>
    <row r="1856">
      <c r="A1856" s="6" t="n"/>
      <c r="B1856" s="6" t="n"/>
      <c r="C1856" s="6" t="n"/>
      <c r="D1856" s="6" t="n"/>
      <c r="E1856" s="6" t="n"/>
      <c r="F1856" s="7" t="n"/>
      <c r="G1856" s="7" t="n"/>
      <c r="H1856" s="8" t="n"/>
      <c r="I1856" s="9">
        <f>IF($A1856="","",SUMIFS(Ventes_Encaissements!$D$6:$D$3005,Ventes_Encaissements!$B$6:$B$3005,$A1856))</f>
        <v/>
      </c>
      <c r="J1856" s="9">
        <f>IF($A1856="","",$H1856-$I1856)</f>
        <v/>
      </c>
      <c r="K1856" s="10">
        <f>IF($A1856="","",IF($I1856=0,"",_xludf.AGGREGATE(14,6,Ventes_Encaissements!$C$6:$C$3005/(Ventes_Encaissements!$B$6:$B$3005=$A1856),1)))</f>
        <v/>
      </c>
      <c r="L1856" s="11">
        <f>IF($A1856="","",COUNTIFS(Ventes_Detail!$B$6:$B$3005,$A1856))</f>
        <v/>
      </c>
      <c r="M1856" s="12" t="n"/>
      <c r="N1856" s="12">
        <f>IF($A1856="","",IF($G1856="","",IF($M1856="Oui","Litige",IF($J1856&lt;=0,"Payé",IF($I1856&gt;0,"Partiel",IF(Listes!$B$3&gt;$G1856,"En retard","À échoir"))))))</f>
        <v/>
      </c>
      <c r="O1856" s="11">
        <f>IF($A1856="","",IF(OR($G1856="", $J1856&lt;=0),0,MAX(0,Listes!$B$3-$G1856)))</f>
        <v/>
      </c>
      <c r="P1856" s="12">
        <f>IF($A1856="","",IF($J1856&lt;=0,"Payé",IF($M1856="Oui","Litige",IF($O1856=0,"À échoir",IF($O1856&lt;=30,"0-30",IF($O1856&lt;=60,"31-60",IF($O1856&lt;=90,"61-90","90+")))))))</f>
        <v/>
      </c>
    </row>
    <row r="1857">
      <c r="A1857" s="6" t="n"/>
      <c r="B1857" s="6" t="n"/>
      <c r="C1857" s="6" t="n"/>
      <c r="D1857" s="6" t="n"/>
      <c r="E1857" s="6" t="n"/>
      <c r="F1857" s="7" t="n"/>
      <c r="G1857" s="7" t="n"/>
      <c r="H1857" s="8" t="n"/>
      <c r="I1857" s="9">
        <f>IF($A1857="","",SUMIFS(Ventes_Encaissements!$D$6:$D$3005,Ventes_Encaissements!$B$6:$B$3005,$A1857))</f>
        <v/>
      </c>
      <c r="J1857" s="9">
        <f>IF($A1857="","",$H1857-$I1857)</f>
        <v/>
      </c>
      <c r="K1857" s="10">
        <f>IF($A1857="","",IF($I1857=0,"",_xludf.AGGREGATE(14,6,Ventes_Encaissements!$C$6:$C$3005/(Ventes_Encaissements!$B$6:$B$3005=$A1857),1)))</f>
        <v/>
      </c>
      <c r="L1857" s="11">
        <f>IF($A1857="","",COUNTIFS(Ventes_Detail!$B$6:$B$3005,$A1857))</f>
        <v/>
      </c>
      <c r="M1857" s="12" t="n"/>
      <c r="N1857" s="12">
        <f>IF($A1857="","",IF($G1857="","",IF($M1857="Oui","Litige",IF($J1857&lt;=0,"Payé",IF($I1857&gt;0,"Partiel",IF(Listes!$B$3&gt;$G1857,"En retard","À échoir"))))))</f>
        <v/>
      </c>
      <c r="O1857" s="11">
        <f>IF($A1857="","",IF(OR($G1857="", $J1857&lt;=0),0,MAX(0,Listes!$B$3-$G1857)))</f>
        <v/>
      </c>
      <c r="P1857" s="12">
        <f>IF($A1857="","",IF($J1857&lt;=0,"Payé",IF($M1857="Oui","Litige",IF($O1857=0,"À échoir",IF($O1857&lt;=30,"0-30",IF($O1857&lt;=60,"31-60",IF($O1857&lt;=90,"61-90","90+")))))))</f>
        <v/>
      </c>
    </row>
    <row r="1858">
      <c r="A1858" s="6" t="n"/>
      <c r="B1858" s="6" t="n"/>
      <c r="C1858" s="6" t="n"/>
      <c r="D1858" s="6" t="n"/>
      <c r="E1858" s="6" t="n"/>
      <c r="F1858" s="7" t="n"/>
      <c r="G1858" s="7" t="n"/>
      <c r="H1858" s="8" t="n"/>
      <c r="I1858" s="9">
        <f>IF($A1858="","",SUMIFS(Ventes_Encaissements!$D$6:$D$3005,Ventes_Encaissements!$B$6:$B$3005,$A1858))</f>
        <v/>
      </c>
      <c r="J1858" s="9">
        <f>IF($A1858="","",$H1858-$I1858)</f>
        <v/>
      </c>
      <c r="K1858" s="10">
        <f>IF($A1858="","",IF($I1858=0,"",_xludf.AGGREGATE(14,6,Ventes_Encaissements!$C$6:$C$3005/(Ventes_Encaissements!$B$6:$B$3005=$A1858),1)))</f>
        <v/>
      </c>
      <c r="L1858" s="11">
        <f>IF($A1858="","",COUNTIFS(Ventes_Detail!$B$6:$B$3005,$A1858))</f>
        <v/>
      </c>
      <c r="M1858" s="12" t="n"/>
      <c r="N1858" s="12">
        <f>IF($A1858="","",IF($G1858="","",IF($M1858="Oui","Litige",IF($J1858&lt;=0,"Payé",IF($I1858&gt;0,"Partiel",IF(Listes!$B$3&gt;$G1858,"En retard","À échoir"))))))</f>
        <v/>
      </c>
      <c r="O1858" s="11">
        <f>IF($A1858="","",IF(OR($G1858="", $J1858&lt;=0),0,MAX(0,Listes!$B$3-$G1858)))</f>
        <v/>
      </c>
      <c r="P1858" s="12">
        <f>IF($A1858="","",IF($J1858&lt;=0,"Payé",IF($M1858="Oui","Litige",IF($O1858=0,"À échoir",IF($O1858&lt;=30,"0-30",IF($O1858&lt;=60,"31-60",IF($O1858&lt;=90,"61-90","90+")))))))</f>
        <v/>
      </c>
    </row>
    <row r="1859">
      <c r="A1859" s="6" t="n"/>
      <c r="B1859" s="6" t="n"/>
      <c r="C1859" s="6" t="n"/>
      <c r="D1859" s="6" t="n"/>
      <c r="E1859" s="6" t="n"/>
      <c r="F1859" s="7" t="n"/>
      <c r="G1859" s="7" t="n"/>
      <c r="H1859" s="8" t="n"/>
      <c r="I1859" s="9">
        <f>IF($A1859="","",SUMIFS(Ventes_Encaissements!$D$6:$D$3005,Ventes_Encaissements!$B$6:$B$3005,$A1859))</f>
        <v/>
      </c>
      <c r="J1859" s="9">
        <f>IF($A1859="","",$H1859-$I1859)</f>
        <v/>
      </c>
      <c r="K1859" s="10">
        <f>IF($A1859="","",IF($I1859=0,"",_xludf.AGGREGATE(14,6,Ventes_Encaissements!$C$6:$C$3005/(Ventes_Encaissements!$B$6:$B$3005=$A1859),1)))</f>
        <v/>
      </c>
      <c r="L1859" s="11">
        <f>IF($A1859="","",COUNTIFS(Ventes_Detail!$B$6:$B$3005,$A1859))</f>
        <v/>
      </c>
      <c r="M1859" s="12" t="n"/>
      <c r="N1859" s="12">
        <f>IF($A1859="","",IF($G1859="","",IF($M1859="Oui","Litige",IF($J1859&lt;=0,"Payé",IF($I1859&gt;0,"Partiel",IF(Listes!$B$3&gt;$G1859,"En retard","À échoir"))))))</f>
        <v/>
      </c>
      <c r="O1859" s="11">
        <f>IF($A1859="","",IF(OR($G1859="", $J1859&lt;=0),0,MAX(0,Listes!$B$3-$G1859)))</f>
        <v/>
      </c>
      <c r="P1859" s="12">
        <f>IF($A1859="","",IF($J1859&lt;=0,"Payé",IF($M1859="Oui","Litige",IF($O1859=0,"À échoir",IF($O1859&lt;=30,"0-30",IF($O1859&lt;=60,"31-60",IF($O1859&lt;=90,"61-90","90+")))))))</f>
        <v/>
      </c>
    </row>
    <row r="1860">
      <c r="A1860" s="6" t="n"/>
      <c r="B1860" s="6" t="n"/>
      <c r="C1860" s="6" t="n"/>
      <c r="D1860" s="6" t="n"/>
      <c r="E1860" s="6" t="n"/>
      <c r="F1860" s="7" t="n"/>
      <c r="G1860" s="7" t="n"/>
      <c r="H1860" s="8" t="n"/>
      <c r="I1860" s="9">
        <f>IF($A1860="","",SUMIFS(Ventes_Encaissements!$D$6:$D$3005,Ventes_Encaissements!$B$6:$B$3005,$A1860))</f>
        <v/>
      </c>
      <c r="J1860" s="9">
        <f>IF($A1860="","",$H1860-$I1860)</f>
        <v/>
      </c>
      <c r="K1860" s="10">
        <f>IF($A1860="","",IF($I1860=0,"",_xludf.AGGREGATE(14,6,Ventes_Encaissements!$C$6:$C$3005/(Ventes_Encaissements!$B$6:$B$3005=$A1860),1)))</f>
        <v/>
      </c>
      <c r="L1860" s="11">
        <f>IF($A1860="","",COUNTIFS(Ventes_Detail!$B$6:$B$3005,$A1860))</f>
        <v/>
      </c>
      <c r="M1860" s="12" t="n"/>
      <c r="N1860" s="12">
        <f>IF($A1860="","",IF($G1860="","",IF($M1860="Oui","Litige",IF($J1860&lt;=0,"Payé",IF($I1860&gt;0,"Partiel",IF(Listes!$B$3&gt;$G1860,"En retard","À échoir"))))))</f>
        <v/>
      </c>
      <c r="O1860" s="11">
        <f>IF($A1860="","",IF(OR($G1860="", $J1860&lt;=0),0,MAX(0,Listes!$B$3-$G1860)))</f>
        <v/>
      </c>
      <c r="P1860" s="12">
        <f>IF($A1860="","",IF($J1860&lt;=0,"Payé",IF($M1860="Oui","Litige",IF($O1860=0,"À échoir",IF($O1860&lt;=30,"0-30",IF($O1860&lt;=60,"31-60",IF($O1860&lt;=90,"61-90","90+")))))))</f>
        <v/>
      </c>
    </row>
    <row r="1861">
      <c r="A1861" s="6" t="n"/>
      <c r="B1861" s="6" t="n"/>
      <c r="C1861" s="6" t="n"/>
      <c r="D1861" s="6" t="n"/>
      <c r="E1861" s="6" t="n"/>
      <c r="F1861" s="7" t="n"/>
      <c r="G1861" s="7" t="n"/>
      <c r="H1861" s="8" t="n"/>
      <c r="I1861" s="9">
        <f>IF($A1861="","",SUMIFS(Ventes_Encaissements!$D$6:$D$3005,Ventes_Encaissements!$B$6:$B$3005,$A1861))</f>
        <v/>
      </c>
      <c r="J1861" s="9">
        <f>IF($A1861="","",$H1861-$I1861)</f>
        <v/>
      </c>
      <c r="K1861" s="10">
        <f>IF($A1861="","",IF($I1861=0,"",_xludf.AGGREGATE(14,6,Ventes_Encaissements!$C$6:$C$3005/(Ventes_Encaissements!$B$6:$B$3005=$A1861),1)))</f>
        <v/>
      </c>
      <c r="L1861" s="11">
        <f>IF($A1861="","",COUNTIFS(Ventes_Detail!$B$6:$B$3005,$A1861))</f>
        <v/>
      </c>
      <c r="M1861" s="12" t="n"/>
      <c r="N1861" s="12">
        <f>IF($A1861="","",IF($G1861="","",IF($M1861="Oui","Litige",IF($J1861&lt;=0,"Payé",IF($I1861&gt;0,"Partiel",IF(Listes!$B$3&gt;$G1861,"En retard","À échoir"))))))</f>
        <v/>
      </c>
      <c r="O1861" s="11">
        <f>IF($A1861="","",IF(OR($G1861="", $J1861&lt;=0),0,MAX(0,Listes!$B$3-$G1861)))</f>
        <v/>
      </c>
      <c r="P1861" s="12">
        <f>IF($A1861="","",IF($J1861&lt;=0,"Payé",IF($M1861="Oui","Litige",IF($O1861=0,"À échoir",IF($O1861&lt;=30,"0-30",IF($O1861&lt;=60,"31-60",IF($O1861&lt;=90,"61-90","90+")))))))</f>
        <v/>
      </c>
    </row>
    <row r="1862">
      <c r="A1862" s="6" t="n"/>
      <c r="B1862" s="6" t="n"/>
      <c r="C1862" s="6" t="n"/>
      <c r="D1862" s="6" t="n"/>
      <c r="E1862" s="6" t="n"/>
      <c r="F1862" s="7" t="n"/>
      <c r="G1862" s="7" t="n"/>
      <c r="H1862" s="8" t="n"/>
      <c r="I1862" s="9">
        <f>IF($A1862="","",SUMIFS(Ventes_Encaissements!$D$6:$D$3005,Ventes_Encaissements!$B$6:$B$3005,$A1862))</f>
        <v/>
      </c>
      <c r="J1862" s="9">
        <f>IF($A1862="","",$H1862-$I1862)</f>
        <v/>
      </c>
      <c r="K1862" s="10">
        <f>IF($A1862="","",IF($I1862=0,"",_xludf.AGGREGATE(14,6,Ventes_Encaissements!$C$6:$C$3005/(Ventes_Encaissements!$B$6:$B$3005=$A1862),1)))</f>
        <v/>
      </c>
      <c r="L1862" s="11">
        <f>IF($A1862="","",COUNTIFS(Ventes_Detail!$B$6:$B$3005,$A1862))</f>
        <v/>
      </c>
      <c r="M1862" s="12" t="n"/>
      <c r="N1862" s="12">
        <f>IF($A1862="","",IF($G1862="","",IF($M1862="Oui","Litige",IF($J1862&lt;=0,"Payé",IF($I1862&gt;0,"Partiel",IF(Listes!$B$3&gt;$G1862,"En retard","À échoir"))))))</f>
        <v/>
      </c>
      <c r="O1862" s="11">
        <f>IF($A1862="","",IF(OR($G1862="", $J1862&lt;=0),0,MAX(0,Listes!$B$3-$G1862)))</f>
        <v/>
      </c>
      <c r="P1862" s="12">
        <f>IF($A1862="","",IF($J1862&lt;=0,"Payé",IF($M1862="Oui","Litige",IF($O1862=0,"À échoir",IF($O1862&lt;=30,"0-30",IF($O1862&lt;=60,"31-60",IF($O1862&lt;=90,"61-90","90+")))))))</f>
        <v/>
      </c>
    </row>
    <row r="1863">
      <c r="A1863" s="6" t="n"/>
      <c r="B1863" s="6" t="n"/>
      <c r="C1863" s="6" t="n"/>
      <c r="D1863" s="6" t="n"/>
      <c r="E1863" s="6" t="n"/>
      <c r="F1863" s="7" t="n"/>
      <c r="G1863" s="7" t="n"/>
      <c r="H1863" s="8" t="n"/>
      <c r="I1863" s="9">
        <f>IF($A1863="","",SUMIFS(Ventes_Encaissements!$D$6:$D$3005,Ventes_Encaissements!$B$6:$B$3005,$A1863))</f>
        <v/>
      </c>
      <c r="J1863" s="9">
        <f>IF($A1863="","",$H1863-$I1863)</f>
        <v/>
      </c>
      <c r="K1863" s="10">
        <f>IF($A1863="","",IF($I1863=0,"",_xludf.AGGREGATE(14,6,Ventes_Encaissements!$C$6:$C$3005/(Ventes_Encaissements!$B$6:$B$3005=$A1863),1)))</f>
        <v/>
      </c>
      <c r="L1863" s="11">
        <f>IF($A1863="","",COUNTIFS(Ventes_Detail!$B$6:$B$3005,$A1863))</f>
        <v/>
      </c>
      <c r="M1863" s="12" t="n"/>
      <c r="N1863" s="12">
        <f>IF($A1863="","",IF($G1863="","",IF($M1863="Oui","Litige",IF($J1863&lt;=0,"Payé",IF($I1863&gt;0,"Partiel",IF(Listes!$B$3&gt;$G1863,"En retard","À échoir"))))))</f>
        <v/>
      </c>
      <c r="O1863" s="11">
        <f>IF($A1863="","",IF(OR($G1863="", $J1863&lt;=0),0,MAX(0,Listes!$B$3-$G1863)))</f>
        <v/>
      </c>
      <c r="P1863" s="12">
        <f>IF($A1863="","",IF($J1863&lt;=0,"Payé",IF($M1863="Oui","Litige",IF($O1863=0,"À échoir",IF($O1863&lt;=30,"0-30",IF($O1863&lt;=60,"31-60",IF($O1863&lt;=90,"61-90","90+")))))))</f>
        <v/>
      </c>
    </row>
    <row r="1864">
      <c r="A1864" s="6" t="n"/>
      <c r="B1864" s="6" t="n"/>
      <c r="C1864" s="6" t="n"/>
      <c r="D1864" s="6" t="n"/>
      <c r="E1864" s="6" t="n"/>
      <c r="F1864" s="7" t="n"/>
      <c r="G1864" s="7" t="n"/>
      <c r="H1864" s="8" t="n"/>
      <c r="I1864" s="9">
        <f>IF($A1864="","",SUMIFS(Ventes_Encaissements!$D$6:$D$3005,Ventes_Encaissements!$B$6:$B$3005,$A1864))</f>
        <v/>
      </c>
      <c r="J1864" s="9">
        <f>IF($A1864="","",$H1864-$I1864)</f>
        <v/>
      </c>
      <c r="K1864" s="10">
        <f>IF($A1864="","",IF($I1864=0,"",_xludf.AGGREGATE(14,6,Ventes_Encaissements!$C$6:$C$3005/(Ventes_Encaissements!$B$6:$B$3005=$A1864),1)))</f>
        <v/>
      </c>
      <c r="L1864" s="11">
        <f>IF($A1864="","",COUNTIFS(Ventes_Detail!$B$6:$B$3005,$A1864))</f>
        <v/>
      </c>
      <c r="M1864" s="12" t="n"/>
      <c r="N1864" s="12">
        <f>IF($A1864="","",IF($G1864="","",IF($M1864="Oui","Litige",IF($J1864&lt;=0,"Payé",IF($I1864&gt;0,"Partiel",IF(Listes!$B$3&gt;$G1864,"En retard","À échoir"))))))</f>
        <v/>
      </c>
      <c r="O1864" s="11">
        <f>IF($A1864="","",IF(OR($G1864="", $J1864&lt;=0),0,MAX(0,Listes!$B$3-$G1864)))</f>
        <v/>
      </c>
      <c r="P1864" s="12">
        <f>IF($A1864="","",IF($J1864&lt;=0,"Payé",IF($M1864="Oui","Litige",IF($O1864=0,"À échoir",IF($O1864&lt;=30,"0-30",IF($O1864&lt;=60,"31-60",IF($O1864&lt;=90,"61-90","90+")))))))</f>
        <v/>
      </c>
    </row>
    <row r="1865">
      <c r="A1865" s="6" t="n"/>
      <c r="B1865" s="6" t="n"/>
      <c r="C1865" s="6" t="n"/>
      <c r="D1865" s="6" t="n"/>
      <c r="E1865" s="6" t="n"/>
      <c r="F1865" s="7" t="n"/>
      <c r="G1865" s="7" t="n"/>
      <c r="H1865" s="8" t="n"/>
      <c r="I1865" s="9">
        <f>IF($A1865="","",SUMIFS(Ventes_Encaissements!$D$6:$D$3005,Ventes_Encaissements!$B$6:$B$3005,$A1865))</f>
        <v/>
      </c>
      <c r="J1865" s="9">
        <f>IF($A1865="","",$H1865-$I1865)</f>
        <v/>
      </c>
      <c r="K1865" s="10">
        <f>IF($A1865="","",IF($I1865=0,"",_xludf.AGGREGATE(14,6,Ventes_Encaissements!$C$6:$C$3005/(Ventes_Encaissements!$B$6:$B$3005=$A1865),1)))</f>
        <v/>
      </c>
      <c r="L1865" s="11">
        <f>IF($A1865="","",COUNTIFS(Ventes_Detail!$B$6:$B$3005,$A1865))</f>
        <v/>
      </c>
      <c r="M1865" s="12" t="n"/>
      <c r="N1865" s="12">
        <f>IF($A1865="","",IF($G1865="","",IF($M1865="Oui","Litige",IF($J1865&lt;=0,"Payé",IF($I1865&gt;0,"Partiel",IF(Listes!$B$3&gt;$G1865,"En retard","À échoir"))))))</f>
        <v/>
      </c>
      <c r="O1865" s="11">
        <f>IF($A1865="","",IF(OR($G1865="", $J1865&lt;=0),0,MAX(0,Listes!$B$3-$G1865)))</f>
        <v/>
      </c>
      <c r="P1865" s="12">
        <f>IF($A1865="","",IF($J1865&lt;=0,"Payé",IF($M1865="Oui","Litige",IF($O1865=0,"À échoir",IF($O1865&lt;=30,"0-30",IF($O1865&lt;=60,"31-60",IF($O1865&lt;=90,"61-90","90+")))))))</f>
        <v/>
      </c>
    </row>
    <row r="1866">
      <c r="A1866" s="6" t="n"/>
      <c r="B1866" s="6" t="n"/>
      <c r="C1866" s="6" t="n"/>
      <c r="D1866" s="6" t="n"/>
      <c r="E1866" s="6" t="n"/>
      <c r="F1866" s="7" t="n"/>
      <c r="G1866" s="7" t="n"/>
      <c r="H1866" s="8" t="n"/>
      <c r="I1866" s="9">
        <f>IF($A1866="","",SUMIFS(Ventes_Encaissements!$D$6:$D$3005,Ventes_Encaissements!$B$6:$B$3005,$A1866))</f>
        <v/>
      </c>
      <c r="J1866" s="9">
        <f>IF($A1866="","",$H1866-$I1866)</f>
        <v/>
      </c>
      <c r="K1866" s="10">
        <f>IF($A1866="","",IF($I1866=0,"",_xludf.AGGREGATE(14,6,Ventes_Encaissements!$C$6:$C$3005/(Ventes_Encaissements!$B$6:$B$3005=$A1866),1)))</f>
        <v/>
      </c>
      <c r="L1866" s="11">
        <f>IF($A1866="","",COUNTIFS(Ventes_Detail!$B$6:$B$3005,$A1866))</f>
        <v/>
      </c>
      <c r="M1866" s="12" t="n"/>
      <c r="N1866" s="12">
        <f>IF($A1866="","",IF($G1866="","",IF($M1866="Oui","Litige",IF($J1866&lt;=0,"Payé",IF($I1866&gt;0,"Partiel",IF(Listes!$B$3&gt;$G1866,"En retard","À échoir"))))))</f>
        <v/>
      </c>
      <c r="O1866" s="11">
        <f>IF($A1866="","",IF(OR($G1866="", $J1866&lt;=0),0,MAX(0,Listes!$B$3-$G1866)))</f>
        <v/>
      </c>
      <c r="P1866" s="12">
        <f>IF($A1866="","",IF($J1866&lt;=0,"Payé",IF($M1866="Oui","Litige",IF($O1866=0,"À échoir",IF($O1866&lt;=30,"0-30",IF($O1866&lt;=60,"31-60",IF($O1866&lt;=90,"61-90","90+")))))))</f>
        <v/>
      </c>
    </row>
    <row r="1867">
      <c r="A1867" s="6" t="n"/>
      <c r="B1867" s="6" t="n"/>
      <c r="C1867" s="6" t="n"/>
      <c r="D1867" s="6" t="n"/>
      <c r="E1867" s="6" t="n"/>
      <c r="F1867" s="7" t="n"/>
      <c r="G1867" s="7" t="n"/>
      <c r="H1867" s="8" t="n"/>
      <c r="I1867" s="9">
        <f>IF($A1867="","",SUMIFS(Ventes_Encaissements!$D$6:$D$3005,Ventes_Encaissements!$B$6:$B$3005,$A1867))</f>
        <v/>
      </c>
      <c r="J1867" s="9">
        <f>IF($A1867="","",$H1867-$I1867)</f>
        <v/>
      </c>
      <c r="K1867" s="10">
        <f>IF($A1867="","",IF($I1867=0,"",_xludf.AGGREGATE(14,6,Ventes_Encaissements!$C$6:$C$3005/(Ventes_Encaissements!$B$6:$B$3005=$A1867),1)))</f>
        <v/>
      </c>
      <c r="L1867" s="11">
        <f>IF($A1867="","",COUNTIFS(Ventes_Detail!$B$6:$B$3005,$A1867))</f>
        <v/>
      </c>
      <c r="M1867" s="12" t="n"/>
      <c r="N1867" s="12">
        <f>IF($A1867="","",IF($G1867="","",IF($M1867="Oui","Litige",IF($J1867&lt;=0,"Payé",IF($I1867&gt;0,"Partiel",IF(Listes!$B$3&gt;$G1867,"En retard","À échoir"))))))</f>
        <v/>
      </c>
      <c r="O1867" s="11">
        <f>IF($A1867="","",IF(OR($G1867="", $J1867&lt;=0),0,MAX(0,Listes!$B$3-$G1867)))</f>
        <v/>
      </c>
      <c r="P1867" s="12">
        <f>IF($A1867="","",IF($J1867&lt;=0,"Payé",IF($M1867="Oui","Litige",IF($O1867=0,"À échoir",IF($O1867&lt;=30,"0-30",IF($O1867&lt;=60,"31-60",IF($O1867&lt;=90,"61-90","90+")))))))</f>
        <v/>
      </c>
    </row>
    <row r="1868">
      <c r="A1868" s="6" t="n"/>
      <c r="B1868" s="6" t="n"/>
      <c r="C1868" s="6" t="n"/>
      <c r="D1868" s="6" t="n"/>
      <c r="E1868" s="6" t="n"/>
      <c r="F1868" s="7" t="n"/>
      <c r="G1868" s="7" t="n"/>
      <c r="H1868" s="8" t="n"/>
      <c r="I1868" s="9">
        <f>IF($A1868="","",SUMIFS(Ventes_Encaissements!$D$6:$D$3005,Ventes_Encaissements!$B$6:$B$3005,$A1868))</f>
        <v/>
      </c>
      <c r="J1868" s="9">
        <f>IF($A1868="","",$H1868-$I1868)</f>
        <v/>
      </c>
      <c r="K1868" s="10">
        <f>IF($A1868="","",IF($I1868=0,"",_xludf.AGGREGATE(14,6,Ventes_Encaissements!$C$6:$C$3005/(Ventes_Encaissements!$B$6:$B$3005=$A1868),1)))</f>
        <v/>
      </c>
      <c r="L1868" s="11">
        <f>IF($A1868="","",COUNTIFS(Ventes_Detail!$B$6:$B$3005,$A1868))</f>
        <v/>
      </c>
      <c r="M1868" s="12" t="n"/>
      <c r="N1868" s="12">
        <f>IF($A1868="","",IF($G1868="","",IF($M1868="Oui","Litige",IF($J1868&lt;=0,"Payé",IF($I1868&gt;0,"Partiel",IF(Listes!$B$3&gt;$G1868,"En retard","À échoir"))))))</f>
        <v/>
      </c>
      <c r="O1868" s="11">
        <f>IF($A1868="","",IF(OR($G1868="", $J1868&lt;=0),0,MAX(0,Listes!$B$3-$G1868)))</f>
        <v/>
      </c>
      <c r="P1868" s="12">
        <f>IF($A1868="","",IF($J1868&lt;=0,"Payé",IF($M1868="Oui","Litige",IF($O1868=0,"À échoir",IF($O1868&lt;=30,"0-30",IF($O1868&lt;=60,"31-60",IF($O1868&lt;=90,"61-90","90+")))))))</f>
        <v/>
      </c>
    </row>
    <row r="1869">
      <c r="A1869" s="6" t="n"/>
      <c r="B1869" s="6" t="n"/>
      <c r="C1869" s="6" t="n"/>
      <c r="D1869" s="6" t="n"/>
      <c r="E1869" s="6" t="n"/>
      <c r="F1869" s="7" t="n"/>
      <c r="G1869" s="7" t="n"/>
      <c r="H1869" s="8" t="n"/>
      <c r="I1869" s="9">
        <f>IF($A1869="","",SUMIFS(Ventes_Encaissements!$D$6:$D$3005,Ventes_Encaissements!$B$6:$B$3005,$A1869))</f>
        <v/>
      </c>
      <c r="J1869" s="9">
        <f>IF($A1869="","",$H1869-$I1869)</f>
        <v/>
      </c>
      <c r="K1869" s="10">
        <f>IF($A1869="","",IF($I1869=0,"",_xludf.AGGREGATE(14,6,Ventes_Encaissements!$C$6:$C$3005/(Ventes_Encaissements!$B$6:$B$3005=$A1869),1)))</f>
        <v/>
      </c>
      <c r="L1869" s="11">
        <f>IF($A1869="","",COUNTIFS(Ventes_Detail!$B$6:$B$3005,$A1869))</f>
        <v/>
      </c>
      <c r="M1869" s="12" t="n"/>
      <c r="N1869" s="12">
        <f>IF($A1869="","",IF($G1869="","",IF($M1869="Oui","Litige",IF($J1869&lt;=0,"Payé",IF($I1869&gt;0,"Partiel",IF(Listes!$B$3&gt;$G1869,"En retard","À échoir"))))))</f>
        <v/>
      </c>
      <c r="O1869" s="11">
        <f>IF($A1869="","",IF(OR($G1869="", $J1869&lt;=0),0,MAX(0,Listes!$B$3-$G1869)))</f>
        <v/>
      </c>
      <c r="P1869" s="12">
        <f>IF($A1869="","",IF($J1869&lt;=0,"Payé",IF($M1869="Oui","Litige",IF($O1869=0,"À échoir",IF($O1869&lt;=30,"0-30",IF($O1869&lt;=60,"31-60",IF($O1869&lt;=90,"61-90","90+")))))))</f>
        <v/>
      </c>
    </row>
    <row r="1870">
      <c r="A1870" s="6" t="n"/>
      <c r="B1870" s="6" t="n"/>
      <c r="C1870" s="6" t="n"/>
      <c r="D1870" s="6" t="n"/>
      <c r="E1870" s="6" t="n"/>
      <c r="F1870" s="7" t="n"/>
      <c r="G1870" s="7" t="n"/>
      <c r="H1870" s="8" t="n"/>
      <c r="I1870" s="9">
        <f>IF($A1870="","",SUMIFS(Ventes_Encaissements!$D$6:$D$3005,Ventes_Encaissements!$B$6:$B$3005,$A1870))</f>
        <v/>
      </c>
      <c r="J1870" s="9">
        <f>IF($A1870="","",$H1870-$I1870)</f>
        <v/>
      </c>
      <c r="K1870" s="10">
        <f>IF($A1870="","",IF($I1870=0,"",_xludf.AGGREGATE(14,6,Ventes_Encaissements!$C$6:$C$3005/(Ventes_Encaissements!$B$6:$B$3005=$A1870),1)))</f>
        <v/>
      </c>
      <c r="L1870" s="11">
        <f>IF($A1870="","",COUNTIFS(Ventes_Detail!$B$6:$B$3005,$A1870))</f>
        <v/>
      </c>
      <c r="M1870" s="12" t="n"/>
      <c r="N1870" s="12">
        <f>IF($A1870="","",IF($G1870="","",IF($M1870="Oui","Litige",IF($J1870&lt;=0,"Payé",IF($I1870&gt;0,"Partiel",IF(Listes!$B$3&gt;$G1870,"En retard","À échoir"))))))</f>
        <v/>
      </c>
      <c r="O1870" s="11">
        <f>IF($A1870="","",IF(OR($G1870="", $J1870&lt;=0),0,MAX(0,Listes!$B$3-$G1870)))</f>
        <v/>
      </c>
      <c r="P1870" s="12">
        <f>IF($A1870="","",IF($J1870&lt;=0,"Payé",IF($M1870="Oui","Litige",IF($O1870=0,"À échoir",IF($O1870&lt;=30,"0-30",IF($O1870&lt;=60,"31-60",IF($O1870&lt;=90,"61-90","90+")))))))</f>
        <v/>
      </c>
    </row>
    <row r="1871">
      <c r="A1871" s="6" t="n"/>
      <c r="B1871" s="6" t="n"/>
      <c r="C1871" s="6" t="n"/>
      <c r="D1871" s="6" t="n"/>
      <c r="E1871" s="6" t="n"/>
      <c r="F1871" s="7" t="n"/>
      <c r="G1871" s="7" t="n"/>
      <c r="H1871" s="8" t="n"/>
      <c r="I1871" s="9">
        <f>IF($A1871="","",SUMIFS(Ventes_Encaissements!$D$6:$D$3005,Ventes_Encaissements!$B$6:$B$3005,$A1871))</f>
        <v/>
      </c>
      <c r="J1871" s="9">
        <f>IF($A1871="","",$H1871-$I1871)</f>
        <v/>
      </c>
      <c r="K1871" s="10">
        <f>IF($A1871="","",IF($I1871=0,"",_xludf.AGGREGATE(14,6,Ventes_Encaissements!$C$6:$C$3005/(Ventes_Encaissements!$B$6:$B$3005=$A1871),1)))</f>
        <v/>
      </c>
      <c r="L1871" s="11">
        <f>IF($A1871="","",COUNTIFS(Ventes_Detail!$B$6:$B$3005,$A1871))</f>
        <v/>
      </c>
      <c r="M1871" s="12" t="n"/>
      <c r="N1871" s="12">
        <f>IF($A1871="","",IF($G1871="","",IF($M1871="Oui","Litige",IF($J1871&lt;=0,"Payé",IF($I1871&gt;0,"Partiel",IF(Listes!$B$3&gt;$G1871,"En retard","À échoir"))))))</f>
        <v/>
      </c>
      <c r="O1871" s="11">
        <f>IF($A1871="","",IF(OR($G1871="", $J1871&lt;=0),0,MAX(0,Listes!$B$3-$G1871)))</f>
        <v/>
      </c>
      <c r="P1871" s="12">
        <f>IF($A1871="","",IF($J1871&lt;=0,"Payé",IF($M1871="Oui","Litige",IF($O1871=0,"À échoir",IF($O1871&lt;=30,"0-30",IF($O1871&lt;=60,"31-60",IF($O1871&lt;=90,"61-90","90+")))))))</f>
        <v/>
      </c>
    </row>
    <row r="1872">
      <c r="A1872" s="6" t="n"/>
      <c r="B1872" s="6" t="n"/>
      <c r="C1872" s="6" t="n"/>
      <c r="D1872" s="6" t="n"/>
      <c r="E1872" s="6" t="n"/>
      <c r="F1872" s="7" t="n"/>
      <c r="G1872" s="7" t="n"/>
      <c r="H1872" s="8" t="n"/>
      <c r="I1872" s="9">
        <f>IF($A1872="","",SUMIFS(Ventes_Encaissements!$D$6:$D$3005,Ventes_Encaissements!$B$6:$B$3005,$A1872))</f>
        <v/>
      </c>
      <c r="J1872" s="9">
        <f>IF($A1872="","",$H1872-$I1872)</f>
        <v/>
      </c>
      <c r="K1872" s="10">
        <f>IF($A1872="","",IF($I1872=0,"",_xludf.AGGREGATE(14,6,Ventes_Encaissements!$C$6:$C$3005/(Ventes_Encaissements!$B$6:$B$3005=$A1872),1)))</f>
        <v/>
      </c>
      <c r="L1872" s="11">
        <f>IF($A1872="","",COUNTIFS(Ventes_Detail!$B$6:$B$3005,$A1872))</f>
        <v/>
      </c>
      <c r="M1872" s="12" t="n"/>
      <c r="N1872" s="12">
        <f>IF($A1872="","",IF($G1872="","",IF($M1872="Oui","Litige",IF($J1872&lt;=0,"Payé",IF($I1872&gt;0,"Partiel",IF(Listes!$B$3&gt;$G1872,"En retard","À échoir"))))))</f>
        <v/>
      </c>
      <c r="O1872" s="11">
        <f>IF($A1872="","",IF(OR($G1872="", $J1872&lt;=0),0,MAX(0,Listes!$B$3-$G1872)))</f>
        <v/>
      </c>
      <c r="P1872" s="12">
        <f>IF($A1872="","",IF($J1872&lt;=0,"Payé",IF($M1872="Oui","Litige",IF($O1872=0,"À échoir",IF($O1872&lt;=30,"0-30",IF($O1872&lt;=60,"31-60",IF($O1872&lt;=90,"61-90","90+")))))))</f>
        <v/>
      </c>
    </row>
    <row r="1873">
      <c r="A1873" s="6" t="n"/>
      <c r="B1873" s="6" t="n"/>
      <c r="C1873" s="6" t="n"/>
      <c r="D1873" s="6" t="n"/>
      <c r="E1873" s="6" t="n"/>
      <c r="F1873" s="7" t="n"/>
      <c r="G1873" s="7" t="n"/>
      <c r="H1873" s="8" t="n"/>
      <c r="I1873" s="9">
        <f>IF($A1873="","",SUMIFS(Ventes_Encaissements!$D$6:$D$3005,Ventes_Encaissements!$B$6:$B$3005,$A1873))</f>
        <v/>
      </c>
      <c r="J1873" s="9">
        <f>IF($A1873="","",$H1873-$I1873)</f>
        <v/>
      </c>
      <c r="K1873" s="10">
        <f>IF($A1873="","",IF($I1873=0,"",_xludf.AGGREGATE(14,6,Ventes_Encaissements!$C$6:$C$3005/(Ventes_Encaissements!$B$6:$B$3005=$A1873),1)))</f>
        <v/>
      </c>
      <c r="L1873" s="11">
        <f>IF($A1873="","",COUNTIFS(Ventes_Detail!$B$6:$B$3005,$A1873))</f>
        <v/>
      </c>
      <c r="M1873" s="12" t="n"/>
      <c r="N1873" s="12">
        <f>IF($A1873="","",IF($G1873="","",IF($M1873="Oui","Litige",IF($J1873&lt;=0,"Payé",IF($I1873&gt;0,"Partiel",IF(Listes!$B$3&gt;$G1873,"En retard","À échoir"))))))</f>
        <v/>
      </c>
      <c r="O1873" s="11">
        <f>IF($A1873="","",IF(OR($G1873="", $J1873&lt;=0),0,MAX(0,Listes!$B$3-$G1873)))</f>
        <v/>
      </c>
      <c r="P1873" s="12">
        <f>IF($A1873="","",IF($J1873&lt;=0,"Payé",IF($M1873="Oui","Litige",IF($O1873=0,"À échoir",IF($O1873&lt;=30,"0-30",IF($O1873&lt;=60,"31-60",IF($O1873&lt;=90,"61-90","90+")))))))</f>
        <v/>
      </c>
    </row>
    <row r="1874">
      <c r="A1874" s="6" t="n"/>
      <c r="B1874" s="6" t="n"/>
      <c r="C1874" s="6" t="n"/>
      <c r="D1874" s="6" t="n"/>
      <c r="E1874" s="6" t="n"/>
      <c r="F1874" s="7" t="n"/>
      <c r="G1874" s="7" t="n"/>
      <c r="H1874" s="8" t="n"/>
      <c r="I1874" s="9">
        <f>IF($A1874="","",SUMIFS(Ventes_Encaissements!$D$6:$D$3005,Ventes_Encaissements!$B$6:$B$3005,$A1874))</f>
        <v/>
      </c>
      <c r="J1874" s="9">
        <f>IF($A1874="","",$H1874-$I1874)</f>
        <v/>
      </c>
      <c r="K1874" s="10">
        <f>IF($A1874="","",IF($I1874=0,"",_xludf.AGGREGATE(14,6,Ventes_Encaissements!$C$6:$C$3005/(Ventes_Encaissements!$B$6:$B$3005=$A1874),1)))</f>
        <v/>
      </c>
      <c r="L1874" s="11">
        <f>IF($A1874="","",COUNTIFS(Ventes_Detail!$B$6:$B$3005,$A1874))</f>
        <v/>
      </c>
      <c r="M1874" s="12" t="n"/>
      <c r="N1874" s="12">
        <f>IF($A1874="","",IF($G1874="","",IF($M1874="Oui","Litige",IF($J1874&lt;=0,"Payé",IF($I1874&gt;0,"Partiel",IF(Listes!$B$3&gt;$G1874,"En retard","À échoir"))))))</f>
        <v/>
      </c>
      <c r="O1874" s="11">
        <f>IF($A1874="","",IF(OR($G1874="", $J1874&lt;=0),0,MAX(0,Listes!$B$3-$G1874)))</f>
        <v/>
      </c>
      <c r="P1874" s="12">
        <f>IF($A1874="","",IF($J1874&lt;=0,"Payé",IF($M1874="Oui","Litige",IF($O1874=0,"À échoir",IF($O1874&lt;=30,"0-30",IF($O1874&lt;=60,"31-60",IF($O1874&lt;=90,"61-90","90+")))))))</f>
        <v/>
      </c>
    </row>
    <row r="1875">
      <c r="A1875" s="6" t="n"/>
      <c r="B1875" s="6" t="n"/>
      <c r="C1875" s="6" t="n"/>
      <c r="D1875" s="6" t="n"/>
      <c r="E1875" s="6" t="n"/>
      <c r="F1875" s="7" t="n"/>
      <c r="G1875" s="7" t="n"/>
      <c r="H1875" s="8" t="n"/>
      <c r="I1875" s="9">
        <f>IF($A1875="","",SUMIFS(Ventes_Encaissements!$D$6:$D$3005,Ventes_Encaissements!$B$6:$B$3005,$A1875))</f>
        <v/>
      </c>
      <c r="J1875" s="9">
        <f>IF($A1875="","",$H1875-$I1875)</f>
        <v/>
      </c>
      <c r="K1875" s="10">
        <f>IF($A1875="","",IF($I1875=0,"",_xludf.AGGREGATE(14,6,Ventes_Encaissements!$C$6:$C$3005/(Ventes_Encaissements!$B$6:$B$3005=$A1875),1)))</f>
        <v/>
      </c>
      <c r="L1875" s="11">
        <f>IF($A1875="","",COUNTIFS(Ventes_Detail!$B$6:$B$3005,$A1875))</f>
        <v/>
      </c>
      <c r="M1875" s="12" t="n"/>
      <c r="N1875" s="12">
        <f>IF($A1875="","",IF($G1875="","",IF($M1875="Oui","Litige",IF($J1875&lt;=0,"Payé",IF($I1875&gt;0,"Partiel",IF(Listes!$B$3&gt;$G1875,"En retard","À échoir"))))))</f>
        <v/>
      </c>
      <c r="O1875" s="11">
        <f>IF($A1875="","",IF(OR($G1875="", $J1875&lt;=0),0,MAX(0,Listes!$B$3-$G1875)))</f>
        <v/>
      </c>
      <c r="P1875" s="12">
        <f>IF($A1875="","",IF($J1875&lt;=0,"Payé",IF($M1875="Oui","Litige",IF($O1875=0,"À échoir",IF($O1875&lt;=30,"0-30",IF($O1875&lt;=60,"31-60",IF($O1875&lt;=90,"61-90","90+")))))))</f>
        <v/>
      </c>
    </row>
    <row r="1876">
      <c r="A1876" s="6" t="n"/>
      <c r="B1876" s="6" t="n"/>
      <c r="C1876" s="6" t="n"/>
      <c r="D1876" s="6" t="n"/>
      <c r="E1876" s="6" t="n"/>
      <c r="F1876" s="7" t="n"/>
      <c r="G1876" s="7" t="n"/>
      <c r="H1876" s="8" t="n"/>
      <c r="I1876" s="9">
        <f>IF($A1876="","",SUMIFS(Ventes_Encaissements!$D$6:$D$3005,Ventes_Encaissements!$B$6:$B$3005,$A1876))</f>
        <v/>
      </c>
      <c r="J1876" s="9">
        <f>IF($A1876="","",$H1876-$I1876)</f>
        <v/>
      </c>
      <c r="K1876" s="10">
        <f>IF($A1876="","",IF($I1876=0,"",_xludf.AGGREGATE(14,6,Ventes_Encaissements!$C$6:$C$3005/(Ventes_Encaissements!$B$6:$B$3005=$A1876),1)))</f>
        <v/>
      </c>
      <c r="L1876" s="11">
        <f>IF($A1876="","",COUNTIFS(Ventes_Detail!$B$6:$B$3005,$A1876))</f>
        <v/>
      </c>
      <c r="M1876" s="12" t="n"/>
      <c r="N1876" s="12">
        <f>IF($A1876="","",IF($G1876="","",IF($M1876="Oui","Litige",IF($J1876&lt;=0,"Payé",IF($I1876&gt;0,"Partiel",IF(Listes!$B$3&gt;$G1876,"En retard","À échoir"))))))</f>
        <v/>
      </c>
      <c r="O1876" s="11">
        <f>IF($A1876="","",IF(OR($G1876="", $J1876&lt;=0),0,MAX(0,Listes!$B$3-$G1876)))</f>
        <v/>
      </c>
      <c r="P1876" s="12">
        <f>IF($A1876="","",IF($J1876&lt;=0,"Payé",IF($M1876="Oui","Litige",IF($O1876=0,"À échoir",IF($O1876&lt;=30,"0-30",IF($O1876&lt;=60,"31-60",IF($O1876&lt;=90,"61-90","90+")))))))</f>
        <v/>
      </c>
    </row>
    <row r="1877">
      <c r="A1877" s="6" t="n"/>
      <c r="B1877" s="6" t="n"/>
      <c r="C1877" s="6" t="n"/>
      <c r="D1877" s="6" t="n"/>
      <c r="E1877" s="6" t="n"/>
      <c r="F1877" s="7" t="n"/>
      <c r="G1877" s="7" t="n"/>
      <c r="H1877" s="8" t="n"/>
      <c r="I1877" s="9">
        <f>IF($A1877="","",SUMIFS(Ventes_Encaissements!$D$6:$D$3005,Ventes_Encaissements!$B$6:$B$3005,$A1877))</f>
        <v/>
      </c>
      <c r="J1877" s="9">
        <f>IF($A1877="","",$H1877-$I1877)</f>
        <v/>
      </c>
      <c r="K1877" s="10">
        <f>IF($A1877="","",IF($I1877=0,"",_xludf.AGGREGATE(14,6,Ventes_Encaissements!$C$6:$C$3005/(Ventes_Encaissements!$B$6:$B$3005=$A1877),1)))</f>
        <v/>
      </c>
      <c r="L1877" s="11">
        <f>IF($A1877="","",COUNTIFS(Ventes_Detail!$B$6:$B$3005,$A1877))</f>
        <v/>
      </c>
      <c r="M1877" s="12" t="n"/>
      <c r="N1877" s="12">
        <f>IF($A1877="","",IF($G1877="","",IF($M1877="Oui","Litige",IF($J1877&lt;=0,"Payé",IF($I1877&gt;0,"Partiel",IF(Listes!$B$3&gt;$G1877,"En retard","À échoir"))))))</f>
        <v/>
      </c>
      <c r="O1877" s="11">
        <f>IF($A1877="","",IF(OR($G1877="", $J1877&lt;=0),0,MAX(0,Listes!$B$3-$G1877)))</f>
        <v/>
      </c>
      <c r="P1877" s="12">
        <f>IF($A1877="","",IF($J1877&lt;=0,"Payé",IF($M1877="Oui","Litige",IF($O1877=0,"À échoir",IF($O1877&lt;=30,"0-30",IF($O1877&lt;=60,"31-60",IF($O1877&lt;=90,"61-90","90+")))))))</f>
        <v/>
      </c>
    </row>
    <row r="1878">
      <c r="A1878" s="6" t="n"/>
      <c r="B1878" s="6" t="n"/>
      <c r="C1878" s="6" t="n"/>
      <c r="D1878" s="6" t="n"/>
      <c r="E1878" s="6" t="n"/>
      <c r="F1878" s="7" t="n"/>
      <c r="G1878" s="7" t="n"/>
      <c r="H1878" s="8" t="n"/>
      <c r="I1878" s="9">
        <f>IF($A1878="","",SUMIFS(Ventes_Encaissements!$D$6:$D$3005,Ventes_Encaissements!$B$6:$B$3005,$A1878))</f>
        <v/>
      </c>
      <c r="J1878" s="9">
        <f>IF($A1878="","",$H1878-$I1878)</f>
        <v/>
      </c>
      <c r="K1878" s="10">
        <f>IF($A1878="","",IF($I1878=0,"",_xludf.AGGREGATE(14,6,Ventes_Encaissements!$C$6:$C$3005/(Ventes_Encaissements!$B$6:$B$3005=$A1878),1)))</f>
        <v/>
      </c>
      <c r="L1878" s="11">
        <f>IF($A1878="","",COUNTIFS(Ventes_Detail!$B$6:$B$3005,$A1878))</f>
        <v/>
      </c>
      <c r="M1878" s="12" t="n"/>
      <c r="N1878" s="12">
        <f>IF($A1878="","",IF($G1878="","",IF($M1878="Oui","Litige",IF($J1878&lt;=0,"Payé",IF($I1878&gt;0,"Partiel",IF(Listes!$B$3&gt;$G1878,"En retard","À échoir"))))))</f>
        <v/>
      </c>
      <c r="O1878" s="11">
        <f>IF($A1878="","",IF(OR($G1878="", $J1878&lt;=0),0,MAX(0,Listes!$B$3-$G1878)))</f>
        <v/>
      </c>
      <c r="P1878" s="12">
        <f>IF($A1878="","",IF($J1878&lt;=0,"Payé",IF($M1878="Oui","Litige",IF($O1878=0,"À échoir",IF($O1878&lt;=30,"0-30",IF($O1878&lt;=60,"31-60",IF($O1878&lt;=90,"61-90","90+")))))))</f>
        <v/>
      </c>
    </row>
    <row r="1879">
      <c r="A1879" s="6" t="n"/>
      <c r="B1879" s="6" t="n"/>
      <c r="C1879" s="6" t="n"/>
      <c r="D1879" s="6" t="n"/>
      <c r="E1879" s="6" t="n"/>
      <c r="F1879" s="7" t="n"/>
      <c r="G1879" s="7" t="n"/>
      <c r="H1879" s="8" t="n"/>
      <c r="I1879" s="9">
        <f>IF($A1879="","",SUMIFS(Ventes_Encaissements!$D$6:$D$3005,Ventes_Encaissements!$B$6:$B$3005,$A1879))</f>
        <v/>
      </c>
      <c r="J1879" s="9">
        <f>IF($A1879="","",$H1879-$I1879)</f>
        <v/>
      </c>
      <c r="K1879" s="10">
        <f>IF($A1879="","",IF($I1879=0,"",_xludf.AGGREGATE(14,6,Ventes_Encaissements!$C$6:$C$3005/(Ventes_Encaissements!$B$6:$B$3005=$A1879),1)))</f>
        <v/>
      </c>
      <c r="L1879" s="11">
        <f>IF($A1879="","",COUNTIFS(Ventes_Detail!$B$6:$B$3005,$A1879))</f>
        <v/>
      </c>
      <c r="M1879" s="12" t="n"/>
      <c r="N1879" s="12">
        <f>IF($A1879="","",IF($G1879="","",IF($M1879="Oui","Litige",IF($J1879&lt;=0,"Payé",IF($I1879&gt;0,"Partiel",IF(Listes!$B$3&gt;$G1879,"En retard","À échoir"))))))</f>
        <v/>
      </c>
      <c r="O1879" s="11">
        <f>IF($A1879="","",IF(OR($G1879="", $J1879&lt;=0),0,MAX(0,Listes!$B$3-$G1879)))</f>
        <v/>
      </c>
      <c r="P1879" s="12">
        <f>IF($A1879="","",IF($J1879&lt;=0,"Payé",IF($M1879="Oui","Litige",IF($O1879=0,"À échoir",IF($O1879&lt;=30,"0-30",IF($O1879&lt;=60,"31-60",IF($O1879&lt;=90,"61-90","90+")))))))</f>
        <v/>
      </c>
    </row>
    <row r="1880">
      <c r="A1880" s="6" t="n"/>
      <c r="B1880" s="6" t="n"/>
      <c r="C1880" s="6" t="n"/>
      <c r="D1880" s="6" t="n"/>
      <c r="E1880" s="6" t="n"/>
      <c r="F1880" s="7" t="n"/>
      <c r="G1880" s="7" t="n"/>
      <c r="H1880" s="8" t="n"/>
      <c r="I1880" s="9">
        <f>IF($A1880="","",SUMIFS(Ventes_Encaissements!$D$6:$D$3005,Ventes_Encaissements!$B$6:$B$3005,$A1880))</f>
        <v/>
      </c>
      <c r="J1880" s="9">
        <f>IF($A1880="","",$H1880-$I1880)</f>
        <v/>
      </c>
      <c r="K1880" s="10">
        <f>IF($A1880="","",IF($I1880=0,"",_xludf.AGGREGATE(14,6,Ventes_Encaissements!$C$6:$C$3005/(Ventes_Encaissements!$B$6:$B$3005=$A1880),1)))</f>
        <v/>
      </c>
      <c r="L1880" s="11">
        <f>IF($A1880="","",COUNTIFS(Ventes_Detail!$B$6:$B$3005,$A1880))</f>
        <v/>
      </c>
      <c r="M1880" s="12" t="n"/>
      <c r="N1880" s="12">
        <f>IF($A1880="","",IF($G1880="","",IF($M1880="Oui","Litige",IF($J1880&lt;=0,"Payé",IF($I1880&gt;0,"Partiel",IF(Listes!$B$3&gt;$G1880,"En retard","À échoir"))))))</f>
        <v/>
      </c>
      <c r="O1880" s="11">
        <f>IF($A1880="","",IF(OR($G1880="", $J1880&lt;=0),0,MAX(0,Listes!$B$3-$G1880)))</f>
        <v/>
      </c>
      <c r="P1880" s="12">
        <f>IF($A1880="","",IF($J1880&lt;=0,"Payé",IF($M1880="Oui","Litige",IF($O1880=0,"À échoir",IF($O1880&lt;=30,"0-30",IF($O1880&lt;=60,"31-60",IF($O1880&lt;=90,"61-90","90+")))))))</f>
        <v/>
      </c>
    </row>
    <row r="1881">
      <c r="A1881" s="6" t="n"/>
      <c r="B1881" s="6" t="n"/>
      <c r="C1881" s="6" t="n"/>
      <c r="D1881" s="6" t="n"/>
      <c r="E1881" s="6" t="n"/>
      <c r="F1881" s="7" t="n"/>
      <c r="G1881" s="7" t="n"/>
      <c r="H1881" s="8" t="n"/>
      <c r="I1881" s="9">
        <f>IF($A1881="","",SUMIFS(Ventes_Encaissements!$D$6:$D$3005,Ventes_Encaissements!$B$6:$B$3005,$A1881))</f>
        <v/>
      </c>
      <c r="J1881" s="9">
        <f>IF($A1881="","",$H1881-$I1881)</f>
        <v/>
      </c>
      <c r="K1881" s="10">
        <f>IF($A1881="","",IF($I1881=0,"",_xludf.AGGREGATE(14,6,Ventes_Encaissements!$C$6:$C$3005/(Ventes_Encaissements!$B$6:$B$3005=$A1881),1)))</f>
        <v/>
      </c>
      <c r="L1881" s="11">
        <f>IF($A1881="","",COUNTIFS(Ventes_Detail!$B$6:$B$3005,$A1881))</f>
        <v/>
      </c>
      <c r="M1881" s="12" t="n"/>
      <c r="N1881" s="12">
        <f>IF($A1881="","",IF($G1881="","",IF($M1881="Oui","Litige",IF($J1881&lt;=0,"Payé",IF($I1881&gt;0,"Partiel",IF(Listes!$B$3&gt;$G1881,"En retard","À échoir"))))))</f>
        <v/>
      </c>
      <c r="O1881" s="11">
        <f>IF($A1881="","",IF(OR($G1881="", $J1881&lt;=0),0,MAX(0,Listes!$B$3-$G1881)))</f>
        <v/>
      </c>
      <c r="P1881" s="12">
        <f>IF($A1881="","",IF($J1881&lt;=0,"Payé",IF($M1881="Oui","Litige",IF($O1881=0,"À échoir",IF($O1881&lt;=30,"0-30",IF($O1881&lt;=60,"31-60",IF($O1881&lt;=90,"61-90","90+")))))))</f>
        <v/>
      </c>
    </row>
    <row r="1882">
      <c r="A1882" s="6" t="n"/>
      <c r="B1882" s="6" t="n"/>
      <c r="C1882" s="6" t="n"/>
      <c r="D1882" s="6" t="n"/>
      <c r="E1882" s="6" t="n"/>
      <c r="F1882" s="7" t="n"/>
      <c r="G1882" s="7" t="n"/>
      <c r="H1882" s="8" t="n"/>
      <c r="I1882" s="9">
        <f>IF($A1882="","",SUMIFS(Ventes_Encaissements!$D$6:$D$3005,Ventes_Encaissements!$B$6:$B$3005,$A1882))</f>
        <v/>
      </c>
      <c r="J1882" s="9">
        <f>IF($A1882="","",$H1882-$I1882)</f>
        <v/>
      </c>
      <c r="K1882" s="10">
        <f>IF($A1882="","",IF($I1882=0,"",_xludf.AGGREGATE(14,6,Ventes_Encaissements!$C$6:$C$3005/(Ventes_Encaissements!$B$6:$B$3005=$A1882),1)))</f>
        <v/>
      </c>
      <c r="L1882" s="11">
        <f>IF($A1882="","",COUNTIFS(Ventes_Detail!$B$6:$B$3005,$A1882))</f>
        <v/>
      </c>
      <c r="M1882" s="12" t="n"/>
      <c r="N1882" s="12">
        <f>IF($A1882="","",IF($G1882="","",IF($M1882="Oui","Litige",IF($J1882&lt;=0,"Payé",IF($I1882&gt;0,"Partiel",IF(Listes!$B$3&gt;$G1882,"En retard","À échoir"))))))</f>
        <v/>
      </c>
      <c r="O1882" s="11">
        <f>IF($A1882="","",IF(OR($G1882="", $J1882&lt;=0),0,MAX(0,Listes!$B$3-$G1882)))</f>
        <v/>
      </c>
      <c r="P1882" s="12">
        <f>IF($A1882="","",IF($J1882&lt;=0,"Payé",IF($M1882="Oui","Litige",IF($O1882=0,"À échoir",IF($O1882&lt;=30,"0-30",IF($O1882&lt;=60,"31-60",IF($O1882&lt;=90,"61-90","90+")))))))</f>
        <v/>
      </c>
    </row>
    <row r="1883">
      <c r="A1883" s="6" t="n"/>
      <c r="B1883" s="6" t="n"/>
      <c r="C1883" s="6" t="n"/>
      <c r="D1883" s="6" t="n"/>
      <c r="E1883" s="6" t="n"/>
      <c r="F1883" s="7" t="n"/>
      <c r="G1883" s="7" t="n"/>
      <c r="H1883" s="8" t="n"/>
      <c r="I1883" s="9">
        <f>IF($A1883="","",SUMIFS(Ventes_Encaissements!$D$6:$D$3005,Ventes_Encaissements!$B$6:$B$3005,$A1883))</f>
        <v/>
      </c>
      <c r="J1883" s="9">
        <f>IF($A1883="","",$H1883-$I1883)</f>
        <v/>
      </c>
      <c r="K1883" s="10">
        <f>IF($A1883="","",IF($I1883=0,"",_xludf.AGGREGATE(14,6,Ventes_Encaissements!$C$6:$C$3005/(Ventes_Encaissements!$B$6:$B$3005=$A1883),1)))</f>
        <v/>
      </c>
      <c r="L1883" s="11">
        <f>IF($A1883="","",COUNTIFS(Ventes_Detail!$B$6:$B$3005,$A1883))</f>
        <v/>
      </c>
      <c r="M1883" s="12" t="n"/>
      <c r="N1883" s="12">
        <f>IF($A1883="","",IF($G1883="","",IF($M1883="Oui","Litige",IF($J1883&lt;=0,"Payé",IF($I1883&gt;0,"Partiel",IF(Listes!$B$3&gt;$G1883,"En retard","À échoir"))))))</f>
        <v/>
      </c>
      <c r="O1883" s="11">
        <f>IF($A1883="","",IF(OR($G1883="", $J1883&lt;=0),0,MAX(0,Listes!$B$3-$G1883)))</f>
        <v/>
      </c>
      <c r="P1883" s="12">
        <f>IF($A1883="","",IF($J1883&lt;=0,"Payé",IF($M1883="Oui","Litige",IF($O1883=0,"À échoir",IF($O1883&lt;=30,"0-30",IF($O1883&lt;=60,"31-60",IF($O1883&lt;=90,"61-90","90+")))))))</f>
        <v/>
      </c>
    </row>
    <row r="1884">
      <c r="A1884" s="6" t="n"/>
      <c r="B1884" s="6" t="n"/>
      <c r="C1884" s="6" t="n"/>
      <c r="D1884" s="6" t="n"/>
      <c r="E1884" s="6" t="n"/>
      <c r="F1884" s="7" t="n"/>
      <c r="G1884" s="7" t="n"/>
      <c r="H1884" s="8" t="n"/>
      <c r="I1884" s="9">
        <f>IF($A1884="","",SUMIFS(Ventes_Encaissements!$D$6:$D$3005,Ventes_Encaissements!$B$6:$B$3005,$A1884))</f>
        <v/>
      </c>
      <c r="J1884" s="9">
        <f>IF($A1884="","",$H1884-$I1884)</f>
        <v/>
      </c>
      <c r="K1884" s="10">
        <f>IF($A1884="","",IF($I1884=0,"",_xludf.AGGREGATE(14,6,Ventes_Encaissements!$C$6:$C$3005/(Ventes_Encaissements!$B$6:$B$3005=$A1884),1)))</f>
        <v/>
      </c>
      <c r="L1884" s="11">
        <f>IF($A1884="","",COUNTIFS(Ventes_Detail!$B$6:$B$3005,$A1884))</f>
        <v/>
      </c>
      <c r="M1884" s="12" t="n"/>
      <c r="N1884" s="12">
        <f>IF($A1884="","",IF($G1884="","",IF($M1884="Oui","Litige",IF($J1884&lt;=0,"Payé",IF($I1884&gt;0,"Partiel",IF(Listes!$B$3&gt;$G1884,"En retard","À échoir"))))))</f>
        <v/>
      </c>
      <c r="O1884" s="11">
        <f>IF($A1884="","",IF(OR($G1884="", $J1884&lt;=0),0,MAX(0,Listes!$B$3-$G1884)))</f>
        <v/>
      </c>
      <c r="P1884" s="12">
        <f>IF($A1884="","",IF($J1884&lt;=0,"Payé",IF($M1884="Oui","Litige",IF($O1884=0,"À échoir",IF($O1884&lt;=30,"0-30",IF($O1884&lt;=60,"31-60",IF($O1884&lt;=90,"61-90","90+")))))))</f>
        <v/>
      </c>
    </row>
    <row r="1885">
      <c r="A1885" s="6" t="n"/>
      <c r="B1885" s="6" t="n"/>
      <c r="C1885" s="6" t="n"/>
      <c r="D1885" s="6" t="n"/>
      <c r="E1885" s="6" t="n"/>
      <c r="F1885" s="7" t="n"/>
      <c r="G1885" s="7" t="n"/>
      <c r="H1885" s="8" t="n"/>
      <c r="I1885" s="9">
        <f>IF($A1885="","",SUMIFS(Ventes_Encaissements!$D$6:$D$3005,Ventes_Encaissements!$B$6:$B$3005,$A1885))</f>
        <v/>
      </c>
      <c r="J1885" s="9">
        <f>IF($A1885="","",$H1885-$I1885)</f>
        <v/>
      </c>
      <c r="K1885" s="10">
        <f>IF($A1885="","",IF($I1885=0,"",_xludf.AGGREGATE(14,6,Ventes_Encaissements!$C$6:$C$3005/(Ventes_Encaissements!$B$6:$B$3005=$A1885),1)))</f>
        <v/>
      </c>
      <c r="L1885" s="11">
        <f>IF($A1885="","",COUNTIFS(Ventes_Detail!$B$6:$B$3005,$A1885))</f>
        <v/>
      </c>
      <c r="M1885" s="12" t="n"/>
      <c r="N1885" s="12">
        <f>IF($A1885="","",IF($G1885="","",IF($M1885="Oui","Litige",IF($J1885&lt;=0,"Payé",IF($I1885&gt;0,"Partiel",IF(Listes!$B$3&gt;$G1885,"En retard","À échoir"))))))</f>
        <v/>
      </c>
      <c r="O1885" s="11">
        <f>IF($A1885="","",IF(OR($G1885="", $J1885&lt;=0),0,MAX(0,Listes!$B$3-$G1885)))</f>
        <v/>
      </c>
      <c r="P1885" s="12">
        <f>IF($A1885="","",IF($J1885&lt;=0,"Payé",IF($M1885="Oui","Litige",IF($O1885=0,"À échoir",IF($O1885&lt;=30,"0-30",IF($O1885&lt;=60,"31-60",IF($O1885&lt;=90,"61-90","90+")))))))</f>
        <v/>
      </c>
    </row>
    <row r="1886">
      <c r="A1886" s="6" t="n"/>
      <c r="B1886" s="6" t="n"/>
      <c r="C1886" s="6" t="n"/>
      <c r="D1886" s="6" t="n"/>
      <c r="E1886" s="6" t="n"/>
      <c r="F1886" s="7" t="n"/>
      <c r="G1886" s="7" t="n"/>
      <c r="H1886" s="8" t="n"/>
      <c r="I1886" s="9">
        <f>IF($A1886="","",SUMIFS(Ventes_Encaissements!$D$6:$D$3005,Ventes_Encaissements!$B$6:$B$3005,$A1886))</f>
        <v/>
      </c>
      <c r="J1886" s="9">
        <f>IF($A1886="","",$H1886-$I1886)</f>
        <v/>
      </c>
      <c r="K1886" s="10">
        <f>IF($A1886="","",IF($I1886=0,"",_xludf.AGGREGATE(14,6,Ventes_Encaissements!$C$6:$C$3005/(Ventes_Encaissements!$B$6:$B$3005=$A1886),1)))</f>
        <v/>
      </c>
      <c r="L1886" s="11">
        <f>IF($A1886="","",COUNTIFS(Ventes_Detail!$B$6:$B$3005,$A1886))</f>
        <v/>
      </c>
      <c r="M1886" s="12" t="n"/>
      <c r="N1886" s="12">
        <f>IF($A1886="","",IF($G1886="","",IF($M1886="Oui","Litige",IF($J1886&lt;=0,"Payé",IF($I1886&gt;0,"Partiel",IF(Listes!$B$3&gt;$G1886,"En retard","À échoir"))))))</f>
        <v/>
      </c>
      <c r="O1886" s="11">
        <f>IF($A1886="","",IF(OR($G1886="", $J1886&lt;=0),0,MAX(0,Listes!$B$3-$G1886)))</f>
        <v/>
      </c>
      <c r="P1886" s="12">
        <f>IF($A1886="","",IF($J1886&lt;=0,"Payé",IF($M1886="Oui","Litige",IF($O1886=0,"À échoir",IF($O1886&lt;=30,"0-30",IF($O1886&lt;=60,"31-60",IF($O1886&lt;=90,"61-90","90+")))))))</f>
        <v/>
      </c>
    </row>
    <row r="1887">
      <c r="A1887" s="6" t="n"/>
      <c r="B1887" s="6" t="n"/>
      <c r="C1887" s="6" t="n"/>
      <c r="D1887" s="6" t="n"/>
      <c r="E1887" s="6" t="n"/>
      <c r="F1887" s="7" t="n"/>
      <c r="G1887" s="7" t="n"/>
      <c r="H1887" s="8" t="n"/>
      <c r="I1887" s="9">
        <f>IF($A1887="","",SUMIFS(Ventes_Encaissements!$D$6:$D$3005,Ventes_Encaissements!$B$6:$B$3005,$A1887))</f>
        <v/>
      </c>
      <c r="J1887" s="9">
        <f>IF($A1887="","",$H1887-$I1887)</f>
        <v/>
      </c>
      <c r="K1887" s="10">
        <f>IF($A1887="","",IF($I1887=0,"",_xludf.AGGREGATE(14,6,Ventes_Encaissements!$C$6:$C$3005/(Ventes_Encaissements!$B$6:$B$3005=$A1887),1)))</f>
        <v/>
      </c>
      <c r="L1887" s="11">
        <f>IF($A1887="","",COUNTIFS(Ventes_Detail!$B$6:$B$3005,$A1887))</f>
        <v/>
      </c>
      <c r="M1887" s="12" t="n"/>
      <c r="N1887" s="12">
        <f>IF($A1887="","",IF($G1887="","",IF($M1887="Oui","Litige",IF($J1887&lt;=0,"Payé",IF($I1887&gt;0,"Partiel",IF(Listes!$B$3&gt;$G1887,"En retard","À échoir"))))))</f>
        <v/>
      </c>
      <c r="O1887" s="11">
        <f>IF($A1887="","",IF(OR($G1887="", $J1887&lt;=0),0,MAX(0,Listes!$B$3-$G1887)))</f>
        <v/>
      </c>
      <c r="P1887" s="12">
        <f>IF($A1887="","",IF($J1887&lt;=0,"Payé",IF($M1887="Oui","Litige",IF($O1887=0,"À échoir",IF($O1887&lt;=30,"0-30",IF($O1887&lt;=60,"31-60",IF($O1887&lt;=90,"61-90","90+")))))))</f>
        <v/>
      </c>
    </row>
    <row r="1888">
      <c r="A1888" s="6" t="n"/>
      <c r="B1888" s="6" t="n"/>
      <c r="C1888" s="6" t="n"/>
      <c r="D1888" s="6" t="n"/>
      <c r="E1888" s="6" t="n"/>
      <c r="F1888" s="7" t="n"/>
      <c r="G1888" s="7" t="n"/>
      <c r="H1888" s="8" t="n"/>
      <c r="I1888" s="9">
        <f>IF($A1888="","",SUMIFS(Ventes_Encaissements!$D$6:$D$3005,Ventes_Encaissements!$B$6:$B$3005,$A1888))</f>
        <v/>
      </c>
      <c r="J1888" s="9">
        <f>IF($A1888="","",$H1888-$I1888)</f>
        <v/>
      </c>
      <c r="K1888" s="10">
        <f>IF($A1888="","",IF($I1888=0,"",_xludf.AGGREGATE(14,6,Ventes_Encaissements!$C$6:$C$3005/(Ventes_Encaissements!$B$6:$B$3005=$A1888),1)))</f>
        <v/>
      </c>
      <c r="L1888" s="11">
        <f>IF($A1888="","",COUNTIFS(Ventes_Detail!$B$6:$B$3005,$A1888))</f>
        <v/>
      </c>
      <c r="M1888" s="12" t="n"/>
      <c r="N1888" s="12">
        <f>IF($A1888="","",IF($G1888="","",IF($M1888="Oui","Litige",IF($J1888&lt;=0,"Payé",IF($I1888&gt;0,"Partiel",IF(Listes!$B$3&gt;$G1888,"En retard","À échoir"))))))</f>
        <v/>
      </c>
      <c r="O1888" s="11">
        <f>IF($A1888="","",IF(OR($G1888="", $J1888&lt;=0),0,MAX(0,Listes!$B$3-$G1888)))</f>
        <v/>
      </c>
      <c r="P1888" s="12">
        <f>IF($A1888="","",IF($J1888&lt;=0,"Payé",IF($M1888="Oui","Litige",IF($O1888=0,"À échoir",IF($O1888&lt;=30,"0-30",IF($O1888&lt;=60,"31-60",IF($O1888&lt;=90,"61-90","90+")))))))</f>
        <v/>
      </c>
    </row>
    <row r="1889">
      <c r="A1889" s="6" t="n"/>
      <c r="B1889" s="6" t="n"/>
      <c r="C1889" s="6" t="n"/>
      <c r="D1889" s="6" t="n"/>
      <c r="E1889" s="6" t="n"/>
      <c r="F1889" s="7" t="n"/>
      <c r="G1889" s="7" t="n"/>
      <c r="H1889" s="8" t="n"/>
      <c r="I1889" s="9">
        <f>IF($A1889="","",SUMIFS(Ventes_Encaissements!$D$6:$D$3005,Ventes_Encaissements!$B$6:$B$3005,$A1889))</f>
        <v/>
      </c>
      <c r="J1889" s="9">
        <f>IF($A1889="","",$H1889-$I1889)</f>
        <v/>
      </c>
      <c r="K1889" s="10">
        <f>IF($A1889="","",IF($I1889=0,"",_xludf.AGGREGATE(14,6,Ventes_Encaissements!$C$6:$C$3005/(Ventes_Encaissements!$B$6:$B$3005=$A1889),1)))</f>
        <v/>
      </c>
      <c r="L1889" s="11">
        <f>IF($A1889="","",COUNTIFS(Ventes_Detail!$B$6:$B$3005,$A1889))</f>
        <v/>
      </c>
      <c r="M1889" s="12" t="n"/>
      <c r="N1889" s="12">
        <f>IF($A1889="","",IF($G1889="","",IF($M1889="Oui","Litige",IF($J1889&lt;=0,"Payé",IF($I1889&gt;0,"Partiel",IF(Listes!$B$3&gt;$G1889,"En retard","À échoir"))))))</f>
        <v/>
      </c>
      <c r="O1889" s="11">
        <f>IF($A1889="","",IF(OR($G1889="", $J1889&lt;=0),0,MAX(0,Listes!$B$3-$G1889)))</f>
        <v/>
      </c>
      <c r="P1889" s="12">
        <f>IF($A1889="","",IF($J1889&lt;=0,"Payé",IF($M1889="Oui","Litige",IF($O1889=0,"À échoir",IF($O1889&lt;=30,"0-30",IF($O1889&lt;=60,"31-60",IF($O1889&lt;=90,"61-90","90+")))))))</f>
        <v/>
      </c>
    </row>
    <row r="1890">
      <c r="A1890" s="6" t="n"/>
      <c r="B1890" s="6" t="n"/>
      <c r="C1890" s="6" t="n"/>
      <c r="D1890" s="6" t="n"/>
      <c r="E1890" s="6" t="n"/>
      <c r="F1890" s="7" t="n"/>
      <c r="G1890" s="7" t="n"/>
      <c r="H1890" s="8" t="n"/>
      <c r="I1890" s="9">
        <f>IF($A1890="","",SUMIFS(Ventes_Encaissements!$D$6:$D$3005,Ventes_Encaissements!$B$6:$B$3005,$A1890))</f>
        <v/>
      </c>
      <c r="J1890" s="9">
        <f>IF($A1890="","",$H1890-$I1890)</f>
        <v/>
      </c>
      <c r="K1890" s="10">
        <f>IF($A1890="","",IF($I1890=0,"",_xludf.AGGREGATE(14,6,Ventes_Encaissements!$C$6:$C$3005/(Ventes_Encaissements!$B$6:$B$3005=$A1890),1)))</f>
        <v/>
      </c>
      <c r="L1890" s="11">
        <f>IF($A1890="","",COUNTIFS(Ventes_Detail!$B$6:$B$3005,$A1890))</f>
        <v/>
      </c>
      <c r="M1890" s="12" t="n"/>
      <c r="N1890" s="12">
        <f>IF($A1890="","",IF($G1890="","",IF($M1890="Oui","Litige",IF($J1890&lt;=0,"Payé",IF($I1890&gt;0,"Partiel",IF(Listes!$B$3&gt;$G1890,"En retard","À échoir"))))))</f>
        <v/>
      </c>
      <c r="O1890" s="11">
        <f>IF($A1890="","",IF(OR($G1890="", $J1890&lt;=0),0,MAX(0,Listes!$B$3-$G1890)))</f>
        <v/>
      </c>
      <c r="P1890" s="12">
        <f>IF($A1890="","",IF($J1890&lt;=0,"Payé",IF($M1890="Oui","Litige",IF($O1890=0,"À échoir",IF($O1890&lt;=30,"0-30",IF($O1890&lt;=60,"31-60",IF($O1890&lt;=90,"61-90","90+")))))))</f>
        <v/>
      </c>
    </row>
    <row r="1891">
      <c r="A1891" s="6" t="n"/>
      <c r="B1891" s="6" t="n"/>
      <c r="C1891" s="6" t="n"/>
      <c r="D1891" s="6" t="n"/>
      <c r="E1891" s="6" t="n"/>
      <c r="F1891" s="7" t="n"/>
      <c r="G1891" s="7" t="n"/>
      <c r="H1891" s="8" t="n"/>
      <c r="I1891" s="9">
        <f>IF($A1891="","",SUMIFS(Ventes_Encaissements!$D$6:$D$3005,Ventes_Encaissements!$B$6:$B$3005,$A1891))</f>
        <v/>
      </c>
      <c r="J1891" s="9">
        <f>IF($A1891="","",$H1891-$I1891)</f>
        <v/>
      </c>
      <c r="K1891" s="10">
        <f>IF($A1891="","",IF($I1891=0,"",_xludf.AGGREGATE(14,6,Ventes_Encaissements!$C$6:$C$3005/(Ventes_Encaissements!$B$6:$B$3005=$A1891),1)))</f>
        <v/>
      </c>
      <c r="L1891" s="11">
        <f>IF($A1891="","",COUNTIFS(Ventes_Detail!$B$6:$B$3005,$A1891))</f>
        <v/>
      </c>
      <c r="M1891" s="12" t="n"/>
      <c r="N1891" s="12">
        <f>IF($A1891="","",IF($G1891="","",IF($M1891="Oui","Litige",IF($J1891&lt;=0,"Payé",IF($I1891&gt;0,"Partiel",IF(Listes!$B$3&gt;$G1891,"En retard","À échoir"))))))</f>
        <v/>
      </c>
      <c r="O1891" s="11">
        <f>IF($A1891="","",IF(OR($G1891="", $J1891&lt;=0),0,MAX(0,Listes!$B$3-$G1891)))</f>
        <v/>
      </c>
      <c r="P1891" s="12">
        <f>IF($A1891="","",IF($J1891&lt;=0,"Payé",IF($M1891="Oui","Litige",IF($O1891=0,"À échoir",IF($O1891&lt;=30,"0-30",IF($O1891&lt;=60,"31-60",IF($O1891&lt;=90,"61-90","90+")))))))</f>
        <v/>
      </c>
    </row>
    <row r="1892">
      <c r="A1892" s="6" t="n"/>
      <c r="B1892" s="6" t="n"/>
      <c r="C1892" s="6" t="n"/>
      <c r="D1892" s="6" t="n"/>
      <c r="E1892" s="6" t="n"/>
      <c r="F1892" s="7" t="n"/>
      <c r="G1892" s="7" t="n"/>
      <c r="H1892" s="8" t="n"/>
      <c r="I1892" s="9">
        <f>IF($A1892="","",SUMIFS(Ventes_Encaissements!$D$6:$D$3005,Ventes_Encaissements!$B$6:$B$3005,$A1892))</f>
        <v/>
      </c>
      <c r="J1892" s="9">
        <f>IF($A1892="","",$H1892-$I1892)</f>
        <v/>
      </c>
      <c r="K1892" s="10">
        <f>IF($A1892="","",IF($I1892=0,"",_xludf.AGGREGATE(14,6,Ventes_Encaissements!$C$6:$C$3005/(Ventes_Encaissements!$B$6:$B$3005=$A1892),1)))</f>
        <v/>
      </c>
      <c r="L1892" s="11">
        <f>IF($A1892="","",COUNTIFS(Ventes_Detail!$B$6:$B$3005,$A1892))</f>
        <v/>
      </c>
      <c r="M1892" s="12" t="n"/>
      <c r="N1892" s="12">
        <f>IF($A1892="","",IF($G1892="","",IF($M1892="Oui","Litige",IF($J1892&lt;=0,"Payé",IF($I1892&gt;0,"Partiel",IF(Listes!$B$3&gt;$G1892,"En retard","À échoir"))))))</f>
        <v/>
      </c>
      <c r="O1892" s="11">
        <f>IF($A1892="","",IF(OR($G1892="", $J1892&lt;=0),0,MAX(0,Listes!$B$3-$G1892)))</f>
        <v/>
      </c>
      <c r="P1892" s="12">
        <f>IF($A1892="","",IF($J1892&lt;=0,"Payé",IF($M1892="Oui","Litige",IF($O1892=0,"À échoir",IF($O1892&lt;=30,"0-30",IF($O1892&lt;=60,"31-60",IF($O1892&lt;=90,"61-90","90+")))))))</f>
        <v/>
      </c>
    </row>
    <row r="1893">
      <c r="A1893" s="6" t="n"/>
      <c r="B1893" s="6" t="n"/>
      <c r="C1893" s="6" t="n"/>
      <c r="D1893" s="6" t="n"/>
      <c r="E1893" s="6" t="n"/>
      <c r="F1893" s="7" t="n"/>
      <c r="G1893" s="7" t="n"/>
      <c r="H1893" s="8" t="n"/>
      <c r="I1893" s="9">
        <f>IF($A1893="","",SUMIFS(Ventes_Encaissements!$D$6:$D$3005,Ventes_Encaissements!$B$6:$B$3005,$A1893))</f>
        <v/>
      </c>
      <c r="J1893" s="9">
        <f>IF($A1893="","",$H1893-$I1893)</f>
        <v/>
      </c>
      <c r="K1893" s="10">
        <f>IF($A1893="","",IF($I1893=0,"",_xludf.AGGREGATE(14,6,Ventes_Encaissements!$C$6:$C$3005/(Ventes_Encaissements!$B$6:$B$3005=$A1893),1)))</f>
        <v/>
      </c>
      <c r="L1893" s="11">
        <f>IF($A1893="","",COUNTIFS(Ventes_Detail!$B$6:$B$3005,$A1893))</f>
        <v/>
      </c>
      <c r="M1893" s="12" t="n"/>
      <c r="N1893" s="12">
        <f>IF($A1893="","",IF($G1893="","",IF($M1893="Oui","Litige",IF($J1893&lt;=0,"Payé",IF($I1893&gt;0,"Partiel",IF(Listes!$B$3&gt;$G1893,"En retard","À échoir"))))))</f>
        <v/>
      </c>
      <c r="O1893" s="11">
        <f>IF($A1893="","",IF(OR($G1893="", $J1893&lt;=0),0,MAX(0,Listes!$B$3-$G1893)))</f>
        <v/>
      </c>
      <c r="P1893" s="12">
        <f>IF($A1893="","",IF($J1893&lt;=0,"Payé",IF($M1893="Oui","Litige",IF($O1893=0,"À échoir",IF($O1893&lt;=30,"0-30",IF($O1893&lt;=60,"31-60",IF($O1893&lt;=90,"61-90","90+")))))))</f>
        <v/>
      </c>
    </row>
    <row r="1894">
      <c r="A1894" s="6" t="n"/>
      <c r="B1894" s="6" t="n"/>
      <c r="C1894" s="6" t="n"/>
      <c r="D1894" s="6" t="n"/>
      <c r="E1894" s="6" t="n"/>
      <c r="F1894" s="7" t="n"/>
      <c r="G1894" s="7" t="n"/>
      <c r="H1894" s="8" t="n"/>
      <c r="I1894" s="9">
        <f>IF($A1894="","",SUMIFS(Ventes_Encaissements!$D$6:$D$3005,Ventes_Encaissements!$B$6:$B$3005,$A1894))</f>
        <v/>
      </c>
      <c r="J1894" s="9">
        <f>IF($A1894="","",$H1894-$I1894)</f>
        <v/>
      </c>
      <c r="K1894" s="10">
        <f>IF($A1894="","",IF($I1894=0,"",_xludf.AGGREGATE(14,6,Ventes_Encaissements!$C$6:$C$3005/(Ventes_Encaissements!$B$6:$B$3005=$A1894),1)))</f>
        <v/>
      </c>
      <c r="L1894" s="11">
        <f>IF($A1894="","",COUNTIFS(Ventes_Detail!$B$6:$B$3005,$A1894))</f>
        <v/>
      </c>
      <c r="M1894" s="12" t="n"/>
      <c r="N1894" s="12">
        <f>IF($A1894="","",IF($G1894="","",IF($M1894="Oui","Litige",IF($J1894&lt;=0,"Payé",IF($I1894&gt;0,"Partiel",IF(Listes!$B$3&gt;$G1894,"En retard","À échoir"))))))</f>
        <v/>
      </c>
      <c r="O1894" s="11">
        <f>IF($A1894="","",IF(OR($G1894="", $J1894&lt;=0),0,MAX(0,Listes!$B$3-$G1894)))</f>
        <v/>
      </c>
      <c r="P1894" s="12">
        <f>IF($A1894="","",IF($J1894&lt;=0,"Payé",IF($M1894="Oui","Litige",IF($O1894=0,"À échoir",IF($O1894&lt;=30,"0-30",IF($O1894&lt;=60,"31-60",IF($O1894&lt;=90,"61-90","90+")))))))</f>
        <v/>
      </c>
    </row>
    <row r="1895">
      <c r="A1895" s="6" t="n"/>
      <c r="B1895" s="6" t="n"/>
      <c r="C1895" s="6" t="n"/>
      <c r="D1895" s="6" t="n"/>
      <c r="E1895" s="6" t="n"/>
      <c r="F1895" s="7" t="n"/>
      <c r="G1895" s="7" t="n"/>
      <c r="H1895" s="8" t="n"/>
      <c r="I1895" s="9">
        <f>IF($A1895="","",SUMIFS(Ventes_Encaissements!$D$6:$D$3005,Ventes_Encaissements!$B$6:$B$3005,$A1895))</f>
        <v/>
      </c>
      <c r="J1895" s="9">
        <f>IF($A1895="","",$H1895-$I1895)</f>
        <v/>
      </c>
      <c r="K1895" s="10">
        <f>IF($A1895="","",IF($I1895=0,"",_xludf.AGGREGATE(14,6,Ventes_Encaissements!$C$6:$C$3005/(Ventes_Encaissements!$B$6:$B$3005=$A1895),1)))</f>
        <v/>
      </c>
      <c r="L1895" s="11">
        <f>IF($A1895="","",COUNTIFS(Ventes_Detail!$B$6:$B$3005,$A1895))</f>
        <v/>
      </c>
      <c r="M1895" s="12" t="n"/>
      <c r="N1895" s="12">
        <f>IF($A1895="","",IF($G1895="","",IF($M1895="Oui","Litige",IF($J1895&lt;=0,"Payé",IF($I1895&gt;0,"Partiel",IF(Listes!$B$3&gt;$G1895,"En retard","À échoir"))))))</f>
        <v/>
      </c>
      <c r="O1895" s="11">
        <f>IF($A1895="","",IF(OR($G1895="", $J1895&lt;=0),0,MAX(0,Listes!$B$3-$G1895)))</f>
        <v/>
      </c>
      <c r="P1895" s="12">
        <f>IF($A1895="","",IF($J1895&lt;=0,"Payé",IF($M1895="Oui","Litige",IF($O1895=0,"À échoir",IF($O1895&lt;=30,"0-30",IF($O1895&lt;=60,"31-60",IF($O1895&lt;=90,"61-90","90+")))))))</f>
        <v/>
      </c>
    </row>
    <row r="1896">
      <c r="A1896" s="6" t="n"/>
      <c r="B1896" s="6" t="n"/>
      <c r="C1896" s="6" t="n"/>
      <c r="D1896" s="6" t="n"/>
      <c r="E1896" s="6" t="n"/>
      <c r="F1896" s="7" t="n"/>
      <c r="G1896" s="7" t="n"/>
      <c r="H1896" s="8" t="n"/>
      <c r="I1896" s="9">
        <f>IF($A1896="","",SUMIFS(Ventes_Encaissements!$D$6:$D$3005,Ventes_Encaissements!$B$6:$B$3005,$A1896))</f>
        <v/>
      </c>
      <c r="J1896" s="9">
        <f>IF($A1896="","",$H1896-$I1896)</f>
        <v/>
      </c>
      <c r="K1896" s="10">
        <f>IF($A1896="","",IF($I1896=0,"",_xludf.AGGREGATE(14,6,Ventes_Encaissements!$C$6:$C$3005/(Ventes_Encaissements!$B$6:$B$3005=$A1896),1)))</f>
        <v/>
      </c>
      <c r="L1896" s="11">
        <f>IF($A1896="","",COUNTIFS(Ventes_Detail!$B$6:$B$3005,$A1896))</f>
        <v/>
      </c>
      <c r="M1896" s="12" t="n"/>
      <c r="N1896" s="12">
        <f>IF($A1896="","",IF($G1896="","",IF($M1896="Oui","Litige",IF($J1896&lt;=0,"Payé",IF($I1896&gt;0,"Partiel",IF(Listes!$B$3&gt;$G1896,"En retard","À échoir"))))))</f>
        <v/>
      </c>
      <c r="O1896" s="11">
        <f>IF($A1896="","",IF(OR($G1896="", $J1896&lt;=0),0,MAX(0,Listes!$B$3-$G1896)))</f>
        <v/>
      </c>
      <c r="P1896" s="12">
        <f>IF($A1896="","",IF($J1896&lt;=0,"Payé",IF($M1896="Oui","Litige",IF($O1896=0,"À échoir",IF($O1896&lt;=30,"0-30",IF($O1896&lt;=60,"31-60",IF($O1896&lt;=90,"61-90","90+")))))))</f>
        <v/>
      </c>
    </row>
    <row r="1897">
      <c r="A1897" s="6" t="n"/>
      <c r="B1897" s="6" t="n"/>
      <c r="C1897" s="6" t="n"/>
      <c r="D1897" s="6" t="n"/>
      <c r="E1897" s="6" t="n"/>
      <c r="F1897" s="7" t="n"/>
      <c r="G1897" s="7" t="n"/>
      <c r="H1897" s="8" t="n"/>
      <c r="I1897" s="9">
        <f>IF($A1897="","",SUMIFS(Ventes_Encaissements!$D$6:$D$3005,Ventes_Encaissements!$B$6:$B$3005,$A1897))</f>
        <v/>
      </c>
      <c r="J1897" s="9">
        <f>IF($A1897="","",$H1897-$I1897)</f>
        <v/>
      </c>
      <c r="K1897" s="10">
        <f>IF($A1897="","",IF($I1897=0,"",_xludf.AGGREGATE(14,6,Ventes_Encaissements!$C$6:$C$3005/(Ventes_Encaissements!$B$6:$B$3005=$A1897),1)))</f>
        <v/>
      </c>
      <c r="L1897" s="11">
        <f>IF($A1897="","",COUNTIFS(Ventes_Detail!$B$6:$B$3005,$A1897))</f>
        <v/>
      </c>
      <c r="M1897" s="12" t="n"/>
      <c r="N1897" s="12">
        <f>IF($A1897="","",IF($G1897="","",IF($M1897="Oui","Litige",IF($J1897&lt;=0,"Payé",IF($I1897&gt;0,"Partiel",IF(Listes!$B$3&gt;$G1897,"En retard","À échoir"))))))</f>
        <v/>
      </c>
      <c r="O1897" s="11">
        <f>IF($A1897="","",IF(OR($G1897="", $J1897&lt;=0),0,MAX(0,Listes!$B$3-$G1897)))</f>
        <v/>
      </c>
      <c r="P1897" s="12">
        <f>IF($A1897="","",IF($J1897&lt;=0,"Payé",IF($M1897="Oui","Litige",IF($O1897=0,"À échoir",IF($O1897&lt;=30,"0-30",IF($O1897&lt;=60,"31-60",IF($O1897&lt;=90,"61-90","90+")))))))</f>
        <v/>
      </c>
    </row>
    <row r="1898">
      <c r="A1898" s="6" t="n"/>
      <c r="B1898" s="6" t="n"/>
      <c r="C1898" s="6" t="n"/>
      <c r="D1898" s="6" t="n"/>
      <c r="E1898" s="6" t="n"/>
      <c r="F1898" s="7" t="n"/>
      <c r="G1898" s="7" t="n"/>
      <c r="H1898" s="8" t="n"/>
      <c r="I1898" s="9">
        <f>IF($A1898="","",SUMIFS(Ventes_Encaissements!$D$6:$D$3005,Ventes_Encaissements!$B$6:$B$3005,$A1898))</f>
        <v/>
      </c>
      <c r="J1898" s="9">
        <f>IF($A1898="","",$H1898-$I1898)</f>
        <v/>
      </c>
      <c r="K1898" s="10">
        <f>IF($A1898="","",IF($I1898=0,"",_xludf.AGGREGATE(14,6,Ventes_Encaissements!$C$6:$C$3005/(Ventes_Encaissements!$B$6:$B$3005=$A1898),1)))</f>
        <v/>
      </c>
      <c r="L1898" s="11">
        <f>IF($A1898="","",COUNTIFS(Ventes_Detail!$B$6:$B$3005,$A1898))</f>
        <v/>
      </c>
      <c r="M1898" s="12" t="n"/>
      <c r="N1898" s="12">
        <f>IF($A1898="","",IF($G1898="","",IF($M1898="Oui","Litige",IF($J1898&lt;=0,"Payé",IF($I1898&gt;0,"Partiel",IF(Listes!$B$3&gt;$G1898,"En retard","À échoir"))))))</f>
        <v/>
      </c>
      <c r="O1898" s="11">
        <f>IF($A1898="","",IF(OR($G1898="", $J1898&lt;=0),0,MAX(0,Listes!$B$3-$G1898)))</f>
        <v/>
      </c>
      <c r="P1898" s="12">
        <f>IF($A1898="","",IF($J1898&lt;=0,"Payé",IF($M1898="Oui","Litige",IF($O1898=0,"À échoir",IF($O1898&lt;=30,"0-30",IF($O1898&lt;=60,"31-60",IF($O1898&lt;=90,"61-90","90+")))))))</f>
        <v/>
      </c>
    </row>
    <row r="1899">
      <c r="A1899" s="6" t="n"/>
      <c r="B1899" s="6" t="n"/>
      <c r="C1899" s="6" t="n"/>
      <c r="D1899" s="6" t="n"/>
      <c r="E1899" s="6" t="n"/>
      <c r="F1899" s="7" t="n"/>
      <c r="G1899" s="7" t="n"/>
      <c r="H1899" s="8" t="n"/>
      <c r="I1899" s="9">
        <f>IF($A1899="","",SUMIFS(Ventes_Encaissements!$D$6:$D$3005,Ventes_Encaissements!$B$6:$B$3005,$A1899))</f>
        <v/>
      </c>
      <c r="J1899" s="9">
        <f>IF($A1899="","",$H1899-$I1899)</f>
        <v/>
      </c>
      <c r="K1899" s="10">
        <f>IF($A1899="","",IF($I1899=0,"",_xludf.AGGREGATE(14,6,Ventes_Encaissements!$C$6:$C$3005/(Ventes_Encaissements!$B$6:$B$3005=$A1899),1)))</f>
        <v/>
      </c>
      <c r="L1899" s="11">
        <f>IF($A1899="","",COUNTIFS(Ventes_Detail!$B$6:$B$3005,$A1899))</f>
        <v/>
      </c>
      <c r="M1899" s="12" t="n"/>
      <c r="N1899" s="12">
        <f>IF($A1899="","",IF($G1899="","",IF($M1899="Oui","Litige",IF($J1899&lt;=0,"Payé",IF($I1899&gt;0,"Partiel",IF(Listes!$B$3&gt;$G1899,"En retard","À échoir"))))))</f>
        <v/>
      </c>
      <c r="O1899" s="11">
        <f>IF($A1899="","",IF(OR($G1899="", $J1899&lt;=0),0,MAX(0,Listes!$B$3-$G1899)))</f>
        <v/>
      </c>
      <c r="P1899" s="12">
        <f>IF($A1899="","",IF($J1899&lt;=0,"Payé",IF($M1899="Oui","Litige",IF($O1899=0,"À échoir",IF($O1899&lt;=30,"0-30",IF($O1899&lt;=60,"31-60",IF($O1899&lt;=90,"61-90","90+")))))))</f>
        <v/>
      </c>
    </row>
    <row r="1900">
      <c r="A1900" s="6" t="n"/>
      <c r="B1900" s="6" t="n"/>
      <c r="C1900" s="6" t="n"/>
      <c r="D1900" s="6" t="n"/>
      <c r="E1900" s="6" t="n"/>
      <c r="F1900" s="7" t="n"/>
      <c r="G1900" s="7" t="n"/>
      <c r="H1900" s="8" t="n"/>
      <c r="I1900" s="9">
        <f>IF($A1900="","",SUMIFS(Ventes_Encaissements!$D$6:$D$3005,Ventes_Encaissements!$B$6:$B$3005,$A1900))</f>
        <v/>
      </c>
      <c r="J1900" s="9">
        <f>IF($A1900="","",$H1900-$I1900)</f>
        <v/>
      </c>
      <c r="K1900" s="10">
        <f>IF($A1900="","",IF($I1900=0,"",_xludf.AGGREGATE(14,6,Ventes_Encaissements!$C$6:$C$3005/(Ventes_Encaissements!$B$6:$B$3005=$A1900),1)))</f>
        <v/>
      </c>
      <c r="L1900" s="11">
        <f>IF($A1900="","",COUNTIFS(Ventes_Detail!$B$6:$B$3005,$A1900))</f>
        <v/>
      </c>
      <c r="M1900" s="12" t="n"/>
      <c r="N1900" s="12">
        <f>IF($A1900="","",IF($G1900="","",IF($M1900="Oui","Litige",IF($J1900&lt;=0,"Payé",IF($I1900&gt;0,"Partiel",IF(Listes!$B$3&gt;$G1900,"En retard","À échoir"))))))</f>
        <v/>
      </c>
      <c r="O1900" s="11">
        <f>IF($A1900="","",IF(OR($G1900="", $J1900&lt;=0),0,MAX(0,Listes!$B$3-$G1900)))</f>
        <v/>
      </c>
      <c r="P1900" s="12">
        <f>IF($A1900="","",IF($J1900&lt;=0,"Payé",IF($M1900="Oui","Litige",IF($O1900=0,"À échoir",IF($O1900&lt;=30,"0-30",IF($O1900&lt;=60,"31-60",IF($O1900&lt;=90,"61-90","90+")))))))</f>
        <v/>
      </c>
    </row>
    <row r="1901">
      <c r="A1901" s="6" t="n"/>
      <c r="B1901" s="6" t="n"/>
      <c r="C1901" s="6" t="n"/>
      <c r="D1901" s="6" t="n"/>
      <c r="E1901" s="6" t="n"/>
      <c r="F1901" s="7" t="n"/>
      <c r="G1901" s="7" t="n"/>
      <c r="H1901" s="8" t="n"/>
      <c r="I1901" s="9">
        <f>IF($A1901="","",SUMIFS(Ventes_Encaissements!$D$6:$D$3005,Ventes_Encaissements!$B$6:$B$3005,$A1901))</f>
        <v/>
      </c>
      <c r="J1901" s="9">
        <f>IF($A1901="","",$H1901-$I1901)</f>
        <v/>
      </c>
      <c r="K1901" s="10">
        <f>IF($A1901="","",IF($I1901=0,"",_xludf.AGGREGATE(14,6,Ventes_Encaissements!$C$6:$C$3005/(Ventes_Encaissements!$B$6:$B$3005=$A1901),1)))</f>
        <v/>
      </c>
      <c r="L1901" s="11">
        <f>IF($A1901="","",COUNTIFS(Ventes_Detail!$B$6:$B$3005,$A1901))</f>
        <v/>
      </c>
      <c r="M1901" s="12" t="n"/>
      <c r="N1901" s="12">
        <f>IF($A1901="","",IF($G1901="","",IF($M1901="Oui","Litige",IF($J1901&lt;=0,"Payé",IF($I1901&gt;0,"Partiel",IF(Listes!$B$3&gt;$G1901,"En retard","À échoir"))))))</f>
        <v/>
      </c>
      <c r="O1901" s="11">
        <f>IF($A1901="","",IF(OR($G1901="", $J1901&lt;=0),0,MAX(0,Listes!$B$3-$G1901)))</f>
        <v/>
      </c>
      <c r="P1901" s="12">
        <f>IF($A1901="","",IF($J1901&lt;=0,"Payé",IF($M1901="Oui","Litige",IF($O1901=0,"À échoir",IF($O1901&lt;=30,"0-30",IF($O1901&lt;=60,"31-60",IF($O1901&lt;=90,"61-90","90+")))))))</f>
        <v/>
      </c>
    </row>
    <row r="1902">
      <c r="A1902" s="6" t="n"/>
      <c r="B1902" s="6" t="n"/>
      <c r="C1902" s="6" t="n"/>
      <c r="D1902" s="6" t="n"/>
      <c r="E1902" s="6" t="n"/>
      <c r="F1902" s="7" t="n"/>
      <c r="G1902" s="7" t="n"/>
      <c r="H1902" s="8" t="n"/>
      <c r="I1902" s="9">
        <f>IF($A1902="","",SUMIFS(Ventes_Encaissements!$D$6:$D$3005,Ventes_Encaissements!$B$6:$B$3005,$A1902))</f>
        <v/>
      </c>
      <c r="J1902" s="9">
        <f>IF($A1902="","",$H1902-$I1902)</f>
        <v/>
      </c>
      <c r="K1902" s="10">
        <f>IF($A1902="","",IF($I1902=0,"",_xludf.AGGREGATE(14,6,Ventes_Encaissements!$C$6:$C$3005/(Ventes_Encaissements!$B$6:$B$3005=$A1902),1)))</f>
        <v/>
      </c>
      <c r="L1902" s="11">
        <f>IF($A1902="","",COUNTIFS(Ventes_Detail!$B$6:$B$3005,$A1902))</f>
        <v/>
      </c>
      <c r="M1902" s="12" t="n"/>
      <c r="N1902" s="12">
        <f>IF($A1902="","",IF($G1902="","",IF($M1902="Oui","Litige",IF($J1902&lt;=0,"Payé",IF($I1902&gt;0,"Partiel",IF(Listes!$B$3&gt;$G1902,"En retard","À échoir"))))))</f>
        <v/>
      </c>
      <c r="O1902" s="11">
        <f>IF($A1902="","",IF(OR($G1902="", $J1902&lt;=0),0,MAX(0,Listes!$B$3-$G1902)))</f>
        <v/>
      </c>
      <c r="P1902" s="12">
        <f>IF($A1902="","",IF($J1902&lt;=0,"Payé",IF($M1902="Oui","Litige",IF($O1902=0,"À échoir",IF($O1902&lt;=30,"0-30",IF($O1902&lt;=60,"31-60",IF($O1902&lt;=90,"61-90","90+")))))))</f>
        <v/>
      </c>
    </row>
    <row r="1903">
      <c r="A1903" s="6" t="n"/>
      <c r="B1903" s="6" t="n"/>
      <c r="C1903" s="6" t="n"/>
      <c r="D1903" s="6" t="n"/>
      <c r="E1903" s="6" t="n"/>
      <c r="F1903" s="7" t="n"/>
      <c r="G1903" s="7" t="n"/>
      <c r="H1903" s="8" t="n"/>
      <c r="I1903" s="9">
        <f>IF($A1903="","",SUMIFS(Ventes_Encaissements!$D$6:$D$3005,Ventes_Encaissements!$B$6:$B$3005,$A1903))</f>
        <v/>
      </c>
      <c r="J1903" s="9">
        <f>IF($A1903="","",$H1903-$I1903)</f>
        <v/>
      </c>
      <c r="K1903" s="10">
        <f>IF($A1903="","",IF($I1903=0,"",_xludf.AGGREGATE(14,6,Ventes_Encaissements!$C$6:$C$3005/(Ventes_Encaissements!$B$6:$B$3005=$A1903),1)))</f>
        <v/>
      </c>
      <c r="L1903" s="11">
        <f>IF($A1903="","",COUNTIFS(Ventes_Detail!$B$6:$B$3005,$A1903))</f>
        <v/>
      </c>
      <c r="M1903" s="12" t="n"/>
      <c r="N1903" s="12">
        <f>IF($A1903="","",IF($G1903="","",IF($M1903="Oui","Litige",IF($J1903&lt;=0,"Payé",IF($I1903&gt;0,"Partiel",IF(Listes!$B$3&gt;$G1903,"En retard","À échoir"))))))</f>
        <v/>
      </c>
      <c r="O1903" s="11">
        <f>IF($A1903="","",IF(OR($G1903="", $J1903&lt;=0),0,MAX(0,Listes!$B$3-$G1903)))</f>
        <v/>
      </c>
      <c r="P1903" s="12">
        <f>IF($A1903="","",IF($J1903&lt;=0,"Payé",IF($M1903="Oui","Litige",IF($O1903=0,"À échoir",IF($O1903&lt;=30,"0-30",IF($O1903&lt;=60,"31-60",IF($O1903&lt;=90,"61-90","90+")))))))</f>
        <v/>
      </c>
    </row>
    <row r="1904">
      <c r="A1904" s="6" t="n"/>
      <c r="B1904" s="6" t="n"/>
      <c r="C1904" s="6" t="n"/>
      <c r="D1904" s="6" t="n"/>
      <c r="E1904" s="6" t="n"/>
      <c r="F1904" s="7" t="n"/>
      <c r="G1904" s="7" t="n"/>
      <c r="H1904" s="8" t="n"/>
      <c r="I1904" s="9">
        <f>IF($A1904="","",SUMIFS(Ventes_Encaissements!$D$6:$D$3005,Ventes_Encaissements!$B$6:$B$3005,$A1904))</f>
        <v/>
      </c>
      <c r="J1904" s="9">
        <f>IF($A1904="","",$H1904-$I1904)</f>
        <v/>
      </c>
      <c r="K1904" s="10">
        <f>IF($A1904="","",IF($I1904=0,"",_xludf.AGGREGATE(14,6,Ventes_Encaissements!$C$6:$C$3005/(Ventes_Encaissements!$B$6:$B$3005=$A1904),1)))</f>
        <v/>
      </c>
      <c r="L1904" s="11">
        <f>IF($A1904="","",COUNTIFS(Ventes_Detail!$B$6:$B$3005,$A1904))</f>
        <v/>
      </c>
      <c r="M1904" s="12" t="n"/>
      <c r="N1904" s="12">
        <f>IF($A1904="","",IF($G1904="","",IF($M1904="Oui","Litige",IF($J1904&lt;=0,"Payé",IF($I1904&gt;0,"Partiel",IF(Listes!$B$3&gt;$G1904,"En retard","À échoir"))))))</f>
        <v/>
      </c>
      <c r="O1904" s="11">
        <f>IF($A1904="","",IF(OR($G1904="", $J1904&lt;=0),0,MAX(0,Listes!$B$3-$G1904)))</f>
        <v/>
      </c>
      <c r="P1904" s="12">
        <f>IF($A1904="","",IF($J1904&lt;=0,"Payé",IF($M1904="Oui","Litige",IF($O1904=0,"À échoir",IF($O1904&lt;=30,"0-30",IF($O1904&lt;=60,"31-60",IF($O1904&lt;=90,"61-90","90+")))))))</f>
        <v/>
      </c>
    </row>
    <row r="1905">
      <c r="A1905" s="6" t="n"/>
      <c r="B1905" s="6" t="n"/>
      <c r="C1905" s="6" t="n"/>
      <c r="D1905" s="6" t="n"/>
      <c r="E1905" s="6" t="n"/>
      <c r="F1905" s="7" t="n"/>
      <c r="G1905" s="7" t="n"/>
      <c r="H1905" s="8" t="n"/>
      <c r="I1905" s="9">
        <f>IF($A1905="","",SUMIFS(Ventes_Encaissements!$D$6:$D$3005,Ventes_Encaissements!$B$6:$B$3005,$A1905))</f>
        <v/>
      </c>
      <c r="J1905" s="9">
        <f>IF($A1905="","",$H1905-$I1905)</f>
        <v/>
      </c>
      <c r="K1905" s="10">
        <f>IF($A1905="","",IF($I1905=0,"",_xludf.AGGREGATE(14,6,Ventes_Encaissements!$C$6:$C$3005/(Ventes_Encaissements!$B$6:$B$3005=$A1905),1)))</f>
        <v/>
      </c>
      <c r="L1905" s="11">
        <f>IF($A1905="","",COUNTIFS(Ventes_Detail!$B$6:$B$3005,$A1905))</f>
        <v/>
      </c>
      <c r="M1905" s="12" t="n"/>
      <c r="N1905" s="12">
        <f>IF($A1905="","",IF($G1905="","",IF($M1905="Oui","Litige",IF($J1905&lt;=0,"Payé",IF($I1905&gt;0,"Partiel",IF(Listes!$B$3&gt;$G1905,"En retard","À échoir"))))))</f>
        <v/>
      </c>
      <c r="O1905" s="11">
        <f>IF($A1905="","",IF(OR($G1905="", $J1905&lt;=0),0,MAX(0,Listes!$B$3-$G1905)))</f>
        <v/>
      </c>
      <c r="P1905" s="12">
        <f>IF($A1905="","",IF($J1905&lt;=0,"Payé",IF($M1905="Oui","Litige",IF($O1905=0,"À échoir",IF($O1905&lt;=30,"0-30",IF($O1905&lt;=60,"31-60",IF($O1905&lt;=90,"61-90","90+")))))))</f>
        <v/>
      </c>
    </row>
    <row r="1906">
      <c r="A1906" s="6" t="n"/>
      <c r="B1906" s="6" t="n"/>
      <c r="C1906" s="6" t="n"/>
      <c r="D1906" s="6" t="n"/>
      <c r="E1906" s="6" t="n"/>
      <c r="F1906" s="7" t="n"/>
      <c r="G1906" s="7" t="n"/>
      <c r="H1906" s="8" t="n"/>
      <c r="I1906" s="9">
        <f>IF($A1906="","",SUMIFS(Ventes_Encaissements!$D$6:$D$3005,Ventes_Encaissements!$B$6:$B$3005,$A1906))</f>
        <v/>
      </c>
      <c r="J1906" s="9">
        <f>IF($A1906="","",$H1906-$I1906)</f>
        <v/>
      </c>
      <c r="K1906" s="10">
        <f>IF($A1906="","",IF($I1906=0,"",_xludf.AGGREGATE(14,6,Ventes_Encaissements!$C$6:$C$3005/(Ventes_Encaissements!$B$6:$B$3005=$A1906),1)))</f>
        <v/>
      </c>
      <c r="L1906" s="11">
        <f>IF($A1906="","",COUNTIFS(Ventes_Detail!$B$6:$B$3005,$A1906))</f>
        <v/>
      </c>
      <c r="M1906" s="12" t="n"/>
      <c r="N1906" s="12">
        <f>IF($A1906="","",IF($G1906="","",IF($M1906="Oui","Litige",IF($J1906&lt;=0,"Payé",IF($I1906&gt;0,"Partiel",IF(Listes!$B$3&gt;$G1906,"En retard","À échoir"))))))</f>
        <v/>
      </c>
      <c r="O1906" s="11">
        <f>IF($A1906="","",IF(OR($G1906="", $J1906&lt;=0),0,MAX(0,Listes!$B$3-$G1906)))</f>
        <v/>
      </c>
      <c r="P1906" s="12">
        <f>IF($A1906="","",IF($J1906&lt;=0,"Payé",IF($M1906="Oui","Litige",IF($O1906=0,"À échoir",IF($O1906&lt;=30,"0-30",IF($O1906&lt;=60,"31-60",IF($O1906&lt;=90,"61-90","90+")))))))</f>
        <v/>
      </c>
    </row>
    <row r="1907">
      <c r="A1907" s="6" t="n"/>
      <c r="B1907" s="6" t="n"/>
      <c r="C1907" s="6" t="n"/>
      <c r="D1907" s="6" t="n"/>
      <c r="E1907" s="6" t="n"/>
      <c r="F1907" s="7" t="n"/>
      <c r="G1907" s="7" t="n"/>
      <c r="H1907" s="8" t="n"/>
      <c r="I1907" s="9">
        <f>IF($A1907="","",SUMIFS(Ventes_Encaissements!$D$6:$D$3005,Ventes_Encaissements!$B$6:$B$3005,$A1907))</f>
        <v/>
      </c>
      <c r="J1907" s="9">
        <f>IF($A1907="","",$H1907-$I1907)</f>
        <v/>
      </c>
      <c r="K1907" s="10">
        <f>IF($A1907="","",IF($I1907=0,"",_xludf.AGGREGATE(14,6,Ventes_Encaissements!$C$6:$C$3005/(Ventes_Encaissements!$B$6:$B$3005=$A1907),1)))</f>
        <v/>
      </c>
      <c r="L1907" s="11">
        <f>IF($A1907="","",COUNTIFS(Ventes_Detail!$B$6:$B$3005,$A1907))</f>
        <v/>
      </c>
      <c r="M1907" s="12" t="n"/>
      <c r="N1907" s="12">
        <f>IF($A1907="","",IF($G1907="","",IF($M1907="Oui","Litige",IF($J1907&lt;=0,"Payé",IF($I1907&gt;0,"Partiel",IF(Listes!$B$3&gt;$G1907,"En retard","À échoir"))))))</f>
        <v/>
      </c>
      <c r="O1907" s="11">
        <f>IF($A1907="","",IF(OR($G1907="", $J1907&lt;=0),0,MAX(0,Listes!$B$3-$G1907)))</f>
        <v/>
      </c>
      <c r="P1907" s="12">
        <f>IF($A1907="","",IF($J1907&lt;=0,"Payé",IF($M1907="Oui","Litige",IF($O1907=0,"À échoir",IF($O1907&lt;=30,"0-30",IF($O1907&lt;=60,"31-60",IF($O1907&lt;=90,"61-90","90+")))))))</f>
        <v/>
      </c>
    </row>
    <row r="1908">
      <c r="A1908" s="6" t="n"/>
      <c r="B1908" s="6" t="n"/>
      <c r="C1908" s="6" t="n"/>
      <c r="D1908" s="6" t="n"/>
      <c r="E1908" s="6" t="n"/>
      <c r="F1908" s="7" t="n"/>
      <c r="G1908" s="7" t="n"/>
      <c r="H1908" s="8" t="n"/>
      <c r="I1908" s="9">
        <f>IF($A1908="","",SUMIFS(Ventes_Encaissements!$D$6:$D$3005,Ventes_Encaissements!$B$6:$B$3005,$A1908))</f>
        <v/>
      </c>
      <c r="J1908" s="9">
        <f>IF($A1908="","",$H1908-$I1908)</f>
        <v/>
      </c>
      <c r="K1908" s="10">
        <f>IF($A1908="","",IF($I1908=0,"",_xludf.AGGREGATE(14,6,Ventes_Encaissements!$C$6:$C$3005/(Ventes_Encaissements!$B$6:$B$3005=$A1908),1)))</f>
        <v/>
      </c>
      <c r="L1908" s="11">
        <f>IF($A1908="","",COUNTIFS(Ventes_Detail!$B$6:$B$3005,$A1908))</f>
        <v/>
      </c>
      <c r="M1908" s="12" t="n"/>
      <c r="N1908" s="12">
        <f>IF($A1908="","",IF($G1908="","",IF($M1908="Oui","Litige",IF($J1908&lt;=0,"Payé",IF($I1908&gt;0,"Partiel",IF(Listes!$B$3&gt;$G1908,"En retard","À échoir"))))))</f>
        <v/>
      </c>
      <c r="O1908" s="11">
        <f>IF($A1908="","",IF(OR($G1908="", $J1908&lt;=0),0,MAX(0,Listes!$B$3-$G1908)))</f>
        <v/>
      </c>
      <c r="P1908" s="12">
        <f>IF($A1908="","",IF($J1908&lt;=0,"Payé",IF($M1908="Oui","Litige",IF($O1908=0,"À échoir",IF($O1908&lt;=30,"0-30",IF($O1908&lt;=60,"31-60",IF($O1908&lt;=90,"61-90","90+")))))))</f>
        <v/>
      </c>
    </row>
    <row r="1909">
      <c r="A1909" s="6" t="n"/>
      <c r="B1909" s="6" t="n"/>
      <c r="C1909" s="6" t="n"/>
      <c r="D1909" s="6" t="n"/>
      <c r="E1909" s="6" t="n"/>
      <c r="F1909" s="7" t="n"/>
      <c r="G1909" s="7" t="n"/>
      <c r="H1909" s="8" t="n"/>
      <c r="I1909" s="9">
        <f>IF($A1909="","",SUMIFS(Ventes_Encaissements!$D$6:$D$3005,Ventes_Encaissements!$B$6:$B$3005,$A1909))</f>
        <v/>
      </c>
      <c r="J1909" s="9">
        <f>IF($A1909="","",$H1909-$I1909)</f>
        <v/>
      </c>
      <c r="K1909" s="10">
        <f>IF($A1909="","",IF($I1909=0,"",_xludf.AGGREGATE(14,6,Ventes_Encaissements!$C$6:$C$3005/(Ventes_Encaissements!$B$6:$B$3005=$A1909),1)))</f>
        <v/>
      </c>
      <c r="L1909" s="11">
        <f>IF($A1909="","",COUNTIFS(Ventes_Detail!$B$6:$B$3005,$A1909))</f>
        <v/>
      </c>
      <c r="M1909" s="12" t="n"/>
      <c r="N1909" s="12">
        <f>IF($A1909="","",IF($G1909="","",IF($M1909="Oui","Litige",IF($J1909&lt;=0,"Payé",IF($I1909&gt;0,"Partiel",IF(Listes!$B$3&gt;$G1909,"En retard","À échoir"))))))</f>
        <v/>
      </c>
      <c r="O1909" s="11">
        <f>IF($A1909="","",IF(OR($G1909="", $J1909&lt;=0),0,MAX(0,Listes!$B$3-$G1909)))</f>
        <v/>
      </c>
      <c r="P1909" s="12">
        <f>IF($A1909="","",IF($J1909&lt;=0,"Payé",IF($M1909="Oui","Litige",IF($O1909=0,"À échoir",IF($O1909&lt;=30,"0-30",IF($O1909&lt;=60,"31-60",IF($O1909&lt;=90,"61-90","90+")))))))</f>
        <v/>
      </c>
    </row>
    <row r="1910">
      <c r="A1910" s="6" t="n"/>
      <c r="B1910" s="6" t="n"/>
      <c r="C1910" s="6" t="n"/>
      <c r="D1910" s="6" t="n"/>
      <c r="E1910" s="6" t="n"/>
      <c r="F1910" s="7" t="n"/>
      <c r="G1910" s="7" t="n"/>
      <c r="H1910" s="8" t="n"/>
      <c r="I1910" s="9">
        <f>IF($A1910="","",SUMIFS(Ventes_Encaissements!$D$6:$D$3005,Ventes_Encaissements!$B$6:$B$3005,$A1910))</f>
        <v/>
      </c>
      <c r="J1910" s="9">
        <f>IF($A1910="","",$H1910-$I1910)</f>
        <v/>
      </c>
      <c r="K1910" s="10">
        <f>IF($A1910="","",IF($I1910=0,"",_xludf.AGGREGATE(14,6,Ventes_Encaissements!$C$6:$C$3005/(Ventes_Encaissements!$B$6:$B$3005=$A1910),1)))</f>
        <v/>
      </c>
      <c r="L1910" s="11">
        <f>IF($A1910="","",COUNTIFS(Ventes_Detail!$B$6:$B$3005,$A1910))</f>
        <v/>
      </c>
      <c r="M1910" s="12" t="n"/>
      <c r="N1910" s="12">
        <f>IF($A1910="","",IF($G1910="","",IF($M1910="Oui","Litige",IF($J1910&lt;=0,"Payé",IF($I1910&gt;0,"Partiel",IF(Listes!$B$3&gt;$G1910,"En retard","À échoir"))))))</f>
        <v/>
      </c>
      <c r="O1910" s="11">
        <f>IF($A1910="","",IF(OR($G1910="", $J1910&lt;=0),0,MAX(0,Listes!$B$3-$G1910)))</f>
        <v/>
      </c>
      <c r="P1910" s="12">
        <f>IF($A1910="","",IF($J1910&lt;=0,"Payé",IF($M1910="Oui","Litige",IF($O1910=0,"À échoir",IF($O1910&lt;=30,"0-30",IF($O1910&lt;=60,"31-60",IF($O1910&lt;=90,"61-90","90+")))))))</f>
        <v/>
      </c>
    </row>
    <row r="1911">
      <c r="A1911" s="6" t="n"/>
      <c r="B1911" s="6" t="n"/>
      <c r="C1911" s="6" t="n"/>
      <c r="D1911" s="6" t="n"/>
      <c r="E1911" s="6" t="n"/>
      <c r="F1911" s="7" t="n"/>
      <c r="G1911" s="7" t="n"/>
      <c r="H1911" s="8" t="n"/>
      <c r="I1911" s="9">
        <f>IF($A1911="","",SUMIFS(Ventes_Encaissements!$D$6:$D$3005,Ventes_Encaissements!$B$6:$B$3005,$A1911))</f>
        <v/>
      </c>
      <c r="J1911" s="9">
        <f>IF($A1911="","",$H1911-$I1911)</f>
        <v/>
      </c>
      <c r="K1911" s="10">
        <f>IF($A1911="","",IF($I1911=0,"",_xludf.AGGREGATE(14,6,Ventes_Encaissements!$C$6:$C$3005/(Ventes_Encaissements!$B$6:$B$3005=$A1911),1)))</f>
        <v/>
      </c>
      <c r="L1911" s="11">
        <f>IF($A1911="","",COUNTIFS(Ventes_Detail!$B$6:$B$3005,$A1911))</f>
        <v/>
      </c>
      <c r="M1911" s="12" t="n"/>
      <c r="N1911" s="12">
        <f>IF($A1911="","",IF($G1911="","",IF($M1911="Oui","Litige",IF($J1911&lt;=0,"Payé",IF($I1911&gt;0,"Partiel",IF(Listes!$B$3&gt;$G1911,"En retard","À échoir"))))))</f>
        <v/>
      </c>
      <c r="O1911" s="11">
        <f>IF($A1911="","",IF(OR($G1911="", $J1911&lt;=0),0,MAX(0,Listes!$B$3-$G1911)))</f>
        <v/>
      </c>
      <c r="P1911" s="12">
        <f>IF($A1911="","",IF($J1911&lt;=0,"Payé",IF($M1911="Oui","Litige",IF($O1911=0,"À échoir",IF($O1911&lt;=30,"0-30",IF($O1911&lt;=60,"31-60",IF($O1911&lt;=90,"61-90","90+")))))))</f>
        <v/>
      </c>
    </row>
    <row r="1912">
      <c r="A1912" s="6" t="n"/>
      <c r="B1912" s="6" t="n"/>
      <c r="C1912" s="6" t="n"/>
      <c r="D1912" s="6" t="n"/>
      <c r="E1912" s="6" t="n"/>
      <c r="F1912" s="7" t="n"/>
      <c r="G1912" s="7" t="n"/>
      <c r="H1912" s="8" t="n"/>
      <c r="I1912" s="9">
        <f>IF($A1912="","",SUMIFS(Ventes_Encaissements!$D$6:$D$3005,Ventes_Encaissements!$B$6:$B$3005,$A1912))</f>
        <v/>
      </c>
      <c r="J1912" s="9">
        <f>IF($A1912="","",$H1912-$I1912)</f>
        <v/>
      </c>
      <c r="K1912" s="10">
        <f>IF($A1912="","",IF($I1912=0,"",_xludf.AGGREGATE(14,6,Ventes_Encaissements!$C$6:$C$3005/(Ventes_Encaissements!$B$6:$B$3005=$A1912),1)))</f>
        <v/>
      </c>
      <c r="L1912" s="11">
        <f>IF($A1912="","",COUNTIFS(Ventes_Detail!$B$6:$B$3005,$A1912))</f>
        <v/>
      </c>
      <c r="M1912" s="12" t="n"/>
      <c r="N1912" s="12">
        <f>IF($A1912="","",IF($G1912="","",IF($M1912="Oui","Litige",IF($J1912&lt;=0,"Payé",IF($I1912&gt;0,"Partiel",IF(Listes!$B$3&gt;$G1912,"En retard","À échoir"))))))</f>
        <v/>
      </c>
      <c r="O1912" s="11">
        <f>IF($A1912="","",IF(OR($G1912="", $J1912&lt;=0),0,MAX(0,Listes!$B$3-$G1912)))</f>
        <v/>
      </c>
      <c r="P1912" s="12">
        <f>IF($A1912="","",IF($J1912&lt;=0,"Payé",IF($M1912="Oui","Litige",IF($O1912=0,"À échoir",IF($O1912&lt;=30,"0-30",IF($O1912&lt;=60,"31-60",IF($O1912&lt;=90,"61-90","90+")))))))</f>
        <v/>
      </c>
    </row>
    <row r="1913">
      <c r="A1913" s="6" t="n"/>
      <c r="B1913" s="6" t="n"/>
      <c r="C1913" s="6" t="n"/>
      <c r="D1913" s="6" t="n"/>
      <c r="E1913" s="6" t="n"/>
      <c r="F1913" s="7" t="n"/>
      <c r="G1913" s="7" t="n"/>
      <c r="H1913" s="8" t="n"/>
      <c r="I1913" s="9">
        <f>IF($A1913="","",SUMIFS(Ventes_Encaissements!$D$6:$D$3005,Ventes_Encaissements!$B$6:$B$3005,$A1913))</f>
        <v/>
      </c>
      <c r="J1913" s="9">
        <f>IF($A1913="","",$H1913-$I1913)</f>
        <v/>
      </c>
      <c r="K1913" s="10">
        <f>IF($A1913="","",IF($I1913=0,"",_xludf.AGGREGATE(14,6,Ventes_Encaissements!$C$6:$C$3005/(Ventes_Encaissements!$B$6:$B$3005=$A1913),1)))</f>
        <v/>
      </c>
      <c r="L1913" s="11">
        <f>IF($A1913="","",COUNTIFS(Ventes_Detail!$B$6:$B$3005,$A1913))</f>
        <v/>
      </c>
      <c r="M1913" s="12" t="n"/>
      <c r="N1913" s="12">
        <f>IF($A1913="","",IF($G1913="","",IF($M1913="Oui","Litige",IF($J1913&lt;=0,"Payé",IF($I1913&gt;0,"Partiel",IF(Listes!$B$3&gt;$G1913,"En retard","À échoir"))))))</f>
        <v/>
      </c>
      <c r="O1913" s="11">
        <f>IF($A1913="","",IF(OR($G1913="", $J1913&lt;=0),0,MAX(0,Listes!$B$3-$G1913)))</f>
        <v/>
      </c>
      <c r="P1913" s="12">
        <f>IF($A1913="","",IF($J1913&lt;=0,"Payé",IF($M1913="Oui","Litige",IF($O1913=0,"À échoir",IF($O1913&lt;=30,"0-30",IF($O1913&lt;=60,"31-60",IF($O1913&lt;=90,"61-90","90+")))))))</f>
        <v/>
      </c>
    </row>
    <row r="1914">
      <c r="A1914" s="6" t="n"/>
      <c r="B1914" s="6" t="n"/>
      <c r="C1914" s="6" t="n"/>
      <c r="D1914" s="6" t="n"/>
      <c r="E1914" s="6" t="n"/>
      <c r="F1914" s="7" t="n"/>
      <c r="G1914" s="7" t="n"/>
      <c r="H1914" s="8" t="n"/>
      <c r="I1914" s="9">
        <f>IF($A1914="","",SUMIFS(Ventes_Encaissements!$D$6:$D$3005,Ventes_Encaissements!$B$6:$B$3005,$A1914))</f>
        <v/>
      </c>
      <c r="J1914" s="9">
        <f>IF($A1914="","",$H1914-$I1914)</f>
        <v/>
      </c>
      <c r="K1914" s="10">
        <f>IF($A1914="","",IF($I1914=0,"",_xludf.AGGREGATE(14,6,Ventes_Encaissements!$C$6:$C$3005/(Ventes_Encaissements!$B$6:$B$3005=$A1914),1)))</f>
        <v/>
      </c>
      <c r="L1914" s="11">
        <f>IF($A1914="","",COUNTIFS(Ventes_Detail!$B$6:$B$3005,$A1914))</f>
        <v/>
      </c>
      <c r="M1914" s="12" t="n"/>
      <c r="N1914" s="12">
        <f>IF($A1914="","",IF($G1914="","",IF($M1914="Oui","Litige",IF($J1914&lt;=0,"Payé",IF($I1914&gt;0,"Partiel",IF(Listes!$B$3&gt;$G1914,"En retard","À échoir"))))))</f>
        <v/>
      </c>
      <c r="O1914" s="11">
        <f>IF($A1914="","",IF(OR($G1914="", $J1914&lt;=0),0,MAX(0,Listes!$B$3-$G1914)))</f>
        <v/>
      </c>
      <c r="P1914" s="12">
        <f>IF($A1914="","",IF($J1914&lt;=0,"Payé",IF($M1914="Oui","Litige",IF($O1914=0,"À échoir",IF($O1914&lt;=30,"0-30",IF($O1914&lt;=60,"31-60",IF($O1914&lt;=90,"61-90","90+")))))))</f>
        <v/>
      </c>
    </row>
    <row r="1915">
      <c r="A1915" s="6" t="n"/>
      <c r="B1915" s="6" t="n"/>
      <c r="C1915" s="6" t="n"/>
      <c r="D1915" s="6" t="n"/>
      <c r="E1915" s="6" t="n"/>
      <c r="F1915" s="7" t="n"/>
      <c r="G1915" s="7" t="n"/>
      <c r="H1915" s="8" t="n"/>
      <c r="I1915" s="9">
        <f>IF($A1915="","",SUMIFS(Ventes_Encaissements!$D$6:$D$3005,Ventes_Encaissements!$B$6:$B$3005,$A1915))</f>
        <v/>
      </c>
      <c r="J1915" s="9">
        <f>IF($A1915="","",$H1915-$I1915)</f>
        <v/>
      </c>
      <c r="K1915" s="10">
        <f>IF($A1915="","",IF($I1915=0,"",_xludf.AGGREGATE(14,6,Ventes_Encaissements!$C$6:$C$3005/(Ventes_Encaissements!$B$6:$B$3005=$A1915),1)))</f>
        <v/>
      </c>
      <c r="L1915" s="11">
        <f>IF($A1915="","",COUNTIFS(Ventes_Detail!$B$6:$B$3005,$A1915))</f>
        <v/>
      </c>
      <c r="M1915" s="12" t="n"/>
      <c r="N1915" s="12">
        <f>IF($A1915="","",IF($G1915="","",IF($M1915="Oui","Litige",IF($J1915&lt;=0,"Payé",IF($I1915&gt;0,"Partiel",IF(Listes!$B$3&gt;$G1915,"En retard","À échoir"))))))</f>
        <v/>
      </c>
      <c r="O1915" s="11">
        <f>IF($A1915="","",IF(OR($G1915="", $J1915&lt;=0),0,MAX(0,Listes!$B$3-$G1915)))</f>
        <v/>
      </c>
      <c r="P1915" s="12">
        <f>IF($A1915="","",IF($J1915&lt;=0,"Payé",IF($M1915="Oui","Litige",IF($O1915=0,"À échoir",IF($O1915&lt;=30,"0-30",IF($O1915&lt;=60,"31-60",IF($O1915&lt;=90,"61-90","90+")))))))</f>
        <v/>
      </c>
    </row>
    <row r="1916">
      <c r="A1916" s="6" t="n"/>
      <c r="B1916" s="6" t="n"/>
      <c r="C1916" s="6" t="n"/>
      <c r="D1916" s="6" t="n"/>
      <c r="E1916" s="6" t="n"/>
      <c r="F1916" s="7" t="n"/>
      <c r="G1916" s="7" t="n"/>
      <c r="H1916" s="8" t="n"/>
      <c r="I1916" s="9">
        <f>IF($A1916="","",SUMIFS(Ventes_Encaissements!$D$6:$D$3005,Ventes_Encaissements!$B$6:$B$3005,$A1916))</f>
        <v/>
      </c>
      <c r="J1916" s="9">
        <f>IF($A1916="","",$H1916-$I1916)</f>
        <v/>
      </c>
      <c r="K1916" s="10">
        <f>IF($A1916="","",IF($I1916=0,"",_xludf.AGGREGATE(14,6,Ventes_Encaissements!$C$6:$C$3005/(Ventes_Encaissements!$B$6:$B$3005=$A1916),1)))</f>
        <v/>
      </c>
      <c r="L1916" s="11">
        <f>IF($A1916="","",COUNTIFS(Ventes_Detail!$B$6:$B$3005,$A1916))</f>
        <v/>
      </c>
      <c r="M1916" s="12" t="n"/>
      <c r="N1916" s="12">
        <f>IF($A1916="","",IF($G1916="","",IF($M1916="Oui","Litige",IF($J1916&lt;=0,"Payé",IF($I1916&gt;0,"Partiel",IF(Listes!$B$3&gt;$G1916,"En retard","À échoir"))))))</f>
        <v/>
      </c>
      <c r="O1916" s="11">
        <f>IF($A1916="","",IF(OR($G1916="", $J1916&lt;=0),0,MAX(0,Listes!$B$3-$G1916)))</f>
        <v/>
      </c>
      <c r="P1916" s="12">
        <f>IF($A1916="","",IF($J1916&lt;=0,"Payé",IF($M1916="Oui","Litige",IF($O1916=0,"À échoir",IF($O1916&lt;=30,"0-30",IF($O1916&lt;=60,"31-60",IF($O1916&lt;=90,"61-90","90+")))))))</f>
        <v/>
      </c>
    </row>
    <row r="1917">
      <c r="A1917" s="6" t="n"/>
      <c r="B1917" s="6" t="n"/>
      <c r="C1917" s="6" t="n"/>
      <c r="D1917" s="6" t="n"/>
      <c r="E1917" s="6" t="n"/>
      <c r="F1917" s="7" t="n"/>
      <c r="G1917" s="7" t="n"/>
      <c r="H1917" s="8" t="n"/>
      <c r="I1917" s="9">
        <f>IF($A1917="","",SUMIFS(Ventes_Encaissements!$D$6:$D$3005,Ventes_Encaissements!$B$6:$B$3005,$A1917))</f>
        <v/>
      </c>
      <c r="J1917" s="9">
        <f>IF($A1917="","",$H1917-$I1917)</f>
        <v/>
      </c>
      <c r="K1917" s="10">
        <f>IF($A1917="","",IF($I1917=0,"",_xludf.AGGREGATE(14,6,Ventes_Encaissements!$C$6:$C$3005/(Ventes_Encaissements!$B$6:$B$3005=$A1917),1)))</f>
        <v/>
      </c>
      <c r="L1917" s="11">
        <f>IF($A1917="","",COUNTIFS(Ventes_Detail!$B$6:$B$3005,$A1917))</f>
        <v/>
      </c>
      <c r="M1917" s="12" t="n"/>
      <c r="N1917" s="12">
        <f>IF($A1917="","",IF($G1917="","",IF($M1917="Oui","Litige",IF($J1917&lt;=0,"Payé",IF($I1917&gt;0,"Partiel",IF(Listes!$B$3&gt;$G1917,"En retard","À échoir"))))))</f>
        <v/>
      </c>
      <c r="O1917" s="11">
        <f>IF($A1917="","",IF(OR($G1917="", $J1917&lt;=0),0,MAX(0,Listes!$B$3-$G1917)))</f>
        <v/>
      </c>
      <c r="P1917" s="12">
        <f>IF($A1917="","",IF($J1917&lt;=0,"Payé",IF($M1917="Oui","Litige",IF($O1917=0,"À échoir",IF($O1917&lt;=30,"0-30",IF($O1917&lt;=60,"31-60",IF($O1917&lt;=90,"61-90","90+")))))))</f>
        <v/>
      </c>
    </row>
    <row r="1918">
      <c r="A1918" s="6" t="n"/>
      <c r="B1918" s="6" t="n"/>
      <c r="C1918" s="6" t="n"/>
      <c r="D1918" s="6" t="n"/>
      <c r="E1918" s="6" t="n"/>
      <c r="F1918" s="7" t="n"/>
      <c r="G1918" s="7" t="n"/>
      <c r="H1918" s="8" t="n"/>
      <c r="I1918" s="9">
        <f>IF($A1918="","",SUMIFS(Ventes_Encaissements!$D$6:$D$3005,Ventes_Encaissements!$B$6:$B$3005,$A1918))</f>
        <v/>
      </c>
      <c r="J1918" s="9">
        <f>IF($A1918="","",$H1918-$I1918)</f>
        <v/>
      </c>
      <c r="K1918" s="10">
        <f>IF($A1918="","",IF($I1918=0,"",_xludf.AGGREGATE(14,6,Ventes_Encaissements!$C$6:$C$3005/(Ventes_Encaissements!$B$6:$B$3005=$A1918),1)))</f>
        <v/>
      </c>
      <c r="L1918" s="11">
        <f>IF($A1918="","",COUNTIFS(Ventes_Detail!$B$6:$B$3005,$A1918))</f>
        <v/>
      </c>
      <c r="M1918" s="12" t="n"/>
      <c r="N1918" s="12">
        <f>IF($A1918="","",IF($G1918="","",IF($M1918="Oui","Litige",IF($J1918&lt;=0,"Payé",IF($I1918&gt;0,"Partiel",IF(Listes!$B$3&gt;$G1918,"En retard","À échoir"))))))</f>
        <v/>
      </c>
      <c r="O1918" s="11">
        <f>IF($A1918="","",IF(OR($G1918="", $J1918&lt;=0),0,MAX(0,Listes!$B$3-$G1918)))</f>
        <v/>
      </c>
      <c r="P1918" s="12">
        <f>IF($A1918="","",IF($J1918&lt;=0,"Payé",IF($M1918="Oui","Litige",IF($O1918=0,"À échoir",IF($O1918&lt;=30,"0-30",IF($O1918&lt;=60,"31-60",IF($O1918&lt;=90,"61-90","90+")))))))</f>
        <v/>
      </c>
    </row>
    <row r="1919">
      <c r="A1919" s="6" t="n"/>
      <c r="B1919" s="6" t="n"/>
      <c r="C1919" s="6" t="n"/>
      <c r="D1919" s="6" t="n"/>
      <c r="E1919" s="6" t="n"/>
      <c r="F1919" s="7" t="n"/>
      <c r="G1919" s="7" t="n"/>
      <c r="H1919" s="8" t="n"/>
      <c r="I1919" s="9">
        <f>IF($A1919="","",SUMIFS(Ventes_Encaissements!$D$6:$D$3005,Ventes_Encaissements!$B$6:$B$3005,$A1919))</f>
        <v/>
      </c>
      <c r="J1919" s="9">
        <f>IF($A1919="","",$H1919-$I1919)</f>
        <v/>
      </c>
      <c r="K1919" s="10">
        <f>IF($A1919="","",IF($I1919=0,"",_xludf.AGGREGATE(14,6,Ventes_Encaissements!$C$6:$C$3005/(Ventes_Encaissements!$B$6:$B$3005=$A1919),1)))</f>
        <v/>
      </c>
      <c r="L1919" s="11">
        <f>IF($A1919="","",COUNTIFS(Ventes_Detail!$B$6:$B$3005,$A1919))</f>
        <v/>
      </c>
      <c r="M1919" s="12" t="n"/>
      <c r="N1919" s="12">
        <f>IF($A1919="","",IF($G1919="","",IF($M1919="Oui","Litige",IF($J1919&lt;=0,"Payé",IF($I1919&gt;0,"Partiel",IF(Listes!$B$3&gt;$G1919,"En retard","À échoir"))))))</f>
        <v/>
      </c>
      <c r="O1919" s="11">
        <f>IF($A1919="","",IF(OR($G1919="", $J1919&lt;=0),0,MAX(0,Listes!$B$3-$G1919)))</f>
        <v/>
      </c>
      <c r="P1919" s="12">
        <f>IF($A1919="","",IF($J1919&lt;=0,"Payé",IF($M1919="Oui","Litige",IF($O1919=0,"À échoir",IF($O1919&lt;=30,"0-30",IF($O1919&lt;=60,"31-60",IF($O1919&lt;=90,"61-90","90+")))))))</f>
        <v/>
      </c>
    </row>
    <row r="1920">
      <c r="A1920" s="6" t="n"/>
      <c r="B1920" s="6" t="n"/>
      <c r="C1920" s="6" t="n"/>
      <c r="D1920" s="6" t="n"/>
      <c r="E1920" s="6" t="n"/>
      <c r="F1920" s="7" t="n"/>
      <c r="G1920" s="7" t="n"/>
      <c r="H1920" s="8" t="n"/>
      <c r="I1920" s="9">
        <f>IF($A1920="","",SUMIFS(Ventes_Encaissements!$D$6:$D$3005,Ventes_Encaissements!$B$6:$B$3005,$A1920))</f>
        <v/>
      </c>
      <c r="J1920" s="9">
        <f>IF($A1920="","",$H1920-$I1920)</f>
        <v/>
      </c>
      <c r="K1920" s="10">
        <f>IF($A1920="","",IF($I1920=0,"",_xludf.AGGREGATE(14,6,Ventes_Encaissements!$C$6:$C$3005/(Ventes_Encaissements!$B$6:$B$3005=$A1920),1)))</f>
        <v/>
      </c>
      <c r="L1920" s="11">
        <f>IF($A1920="","",COUNTIFS(Ventes_Detail!$B$6:$B$3005,$A1920))</f>
        <v/>
      </c>
      <c r="M1920" s="12" t="n"/>
      <c r="N1920" s="12">
        <f>IF($A1920="","",IF($G1920="","",IF($M1920="Oui","Litige",IF($J1920&lt;=0,"Payé",IF($I1920&gt;0,"Partiel",IF(Listes!$B$3&gt;$G1920,"En retard","À échoir"))))))</f>
        <v/>
      </c>
      <c r="O1920" s="11">
        <f>IF($A1920="","",IF(OR($G1920="", $J1920&lt;=0),0,MAX(0,Listes!$B$3-$G1920)))</f>
        <v/>
      </c>
      <c r="P1920" s="12">
        <f>IF($A1920="","",IF($J1920&lt;=0,"Payé",IF($M1920="Oui","Litige",IF($O1920=0,"À échoir",IF($O1920&lt;=30,"0-30",IF($O1920&lt;=60,"31-60",IF($O1920&lt;=90,"61-90","90+")))))))</f>
        <v/>
      </c>
    </row>
    <row r="1921">
      <c r="A1921" s="6" t="n"/>
      <c r="B1921" s="6" t="n"/>
      <c r="C1921" s="6" t="n"/>
      <c r="D1921" s="6" t="n"/>
      <c r="E1921" s="6" t="n"/>
      <c r="F1921" s="7" t="n"/>
      <c r="G1921" s="7" t="n"/>
      <c r="H1921" s="8" t="n"/>
      <c r="I1921" s="9">
        <f>IF($A1921="","",SUMIFS(Ventes_Encaissements!$D$6:$D$3005,Ventes_Encaissements!$B$6:$B$3005,$A1921))</f>
        <v/>
      </c>
      <c r="J1921" s="9">
        <f>IF($A1921="","",$H1921-$I1921)</f>
        <v/>
      </c>
      <c r="K1921" s="10">
        <f>IF($A1921="","",IF($I1921=0,"",_xludf.AGGREGATE(14,6,Ventes_Encaissements!$C$6:$C$3005/(Ventes_Encaissements!$B$6:$B$3005=$A1921),1)))</f>
        <v/>
      </c>
      <c r="L1921" s="11">
        <f>IF($A1921="","",COUNTIFS(Ventes_Detail!$B$6:$B$3005,$A1921))</f>
        <v/>
      </c>
      <c r="M1921" s="12" t="n"/>
      <c r="N1921" s="12">
        <f>IF($A1921="","",IF($G1921="","",IF($M1921="Oui","Litige",IF($J1921&lt;=0,"Payé",IF($I1921&gt;0,"Partiel",IF(Listes!$B$3&gt;$G1921,"En retard","À échoir"))))))</f>
        <v/>
      </c>
      <c r="O1921" s="11">
        <f>IF($A1921="","",IF(OR($G1921="", $J1921&lt;=0),0,MAX(0,Listes!$B$3-$G1921)))</f>
        <v/>
      </c>
      <c r="P1921" s="12">
        <f>IF($A1921="","",IF($J1921&lt;=0,"Payé",IF($M1921="Oui","Litige",IF($O1921=0,"À échoir",IF($O1921&lt;=30,"0-30",IF($O1921&lt;=60,"31-60",IF($O1921&lt;=90,"61-90","90+")))))))</f>
        <v/>
      </c>
    </row>
    <row r="1922">
      <c r="A1922" s="6" t="n"/>
      <c r="B1922" s="6" t="n"/>
      <c r="C1922" s="6" t="n"/>
      <c r="D1922" s="6" t="n"/>
      <c r="E1922" s="6" t="n"/>
      <c r="F1922" s="7" t="n"/>
      <c r="G1922" s="7" t="n"/>
      <c r="H1922" s="8" t="n"/>
      <c r="I1922" s="9">
        <f>IF($A1922="","",SUMIFS(Ventes_Encaissements!$D$6:$D$3005,Ventes_Encaissements!$B$6:$B$3005,$A1922))</f>
        <v/>
      </c>
      <c r="J1922" s="9">
        <f>IF($A1922="","",$H1922-$I1922)</f>
        <v/>
      </c>
      <c r="K1922" s="10">
        <f>IF($A1922="","",IF($I1922=0,"",_xludf.AGGREGATE(14,6,Ventes_Encaissements!$C$6:$C$3005/(Ventes_Encaissements!$B$6:$B$3005=$A1922),1)))</f>
        <v/>
      </c>
      <c r="L1922" s="11">
        <f>IF($A1922="","",COUNTIFS(Ventes_Detail!$B$6:$B$3005,$A1922))</f>
        <v/>
      </c>
      <c r="M1922" s="12" t="n"/>
      <c r="N1922" s="12">
        <f>IF($A1922="","",IF($G1922="","",IF($M1922="Oui","Litige",IF($J1922&lt;=0,"Payé",IF($I1922&gt;0,"Partiel",IF(Listes!$B$3&gt;$G1922,"En retard","À échoir"))))))</f>
        <v/>
      </c>
      <c r="O1922" s="11">
        <f>IF($A1922="","",IF(OR($G1922="", $J1922&lt;=0),0,MAX(0,Listes!$B$3-$G1922)))</f>
        <v/>
      </c>
      <c r="P1922" s="12">
        <f>IF($A1922="","",IF($J1922&lt;=0,"Payé",IF($M1922="Oui","Litige",IF($O1922=0,"À échoir",IF($O1922&lt;=30,"0-30",IF($O1922&lt;=60,"31-60",IF($O1922&lt;=90,"61-90","90+")))))))</f>
        <v/>
      </c>
    </row>
    <row r="1923">
      <c r="A1923" s="6" t="n"/>
      <c r="B1923" s="6" t="n"/>
      <c r="C1923" s="6" t="n"/>
      <c r="D1923" s="6" t="n"/>
      <c r="E1923" s="6" t="n"/>
      <c r="F1923" s="7" t="n"/>
      <c r="G1923" s="7" t="n"/>
      <c r="H1923" s="8" t="n"/>
      <c r="I1923" s="9">
        <f>IF($A1923="","",SUMIFS(Ventes_Encaissements!$D$6:$D$3005,Ventes_Encaissements!$B$6:$B$3005,$A1923))</f>
        <v/>
      </c>
      <c r="J1923" s="9">
        <f>IF($A1923="","",$H1923-$I1923)</f>
        <v/>
      </c>
      <c r="K1923" s="10">
        <f>IF($A1923="","",IF($I1923=0,"",_xludf.AGGREGATE(14,6,Ventes_Encaissements!$C$6:$C$3005/(Ventes_Encaissements!$B$6:$B$3005=$A1923),1)))</f>
        <v/>
      </c>
      <c r="L1923" s="11">
        <f>IF($A1923="","",COUNTIFS(Ventes_Detail!$B$6:$B$3005,$A1923))</f>
        <v/>
      </c>
      <c r="M1923" s="12" t="n"/>
      <c r="N1923" s="12">
        <f>IF($A1923="","",IF($G1923="","",IF($M1923="Oui","Litige",IF($J1923&lt;=0,"Payé",IF($I1923&gt;0,"Partiel",IF(Listes!$B$3&gt;$G1923,"En retard","À échoir"))))))</f>
        <v/>
      </c>
      <c r="O1923" s="11">
        <f>IF($A1923="","",IF(OR($G1923="", $J1923&lt;=0),0,MAX(0,Listes!$B$3-$G1923)))</f>
        <v/>
      </c>
      <c r="P1923" s="12">
        <f>IF($A1923="","",IF($J1923&lt;=0,"Payé",IF($M1923="Oui","Litige",IF($O1923=0,"À échoir",IF($O1923&lt;=30,"0-30",IF($O1923&lt;=60,"31-60",IF($O1923&lt;=90,"61-90","90+")))))))</f>
        <v/>
      </c>
    </row>
    <row r="1924">
      <c r="A1924" s="6" t="n"/>
      <c r="B1924" s="6" t="n"/>
      <c r="C1924" s="6" t="n"/>
      <c r="D1924" s="6" t="n"/>
      <c r="E1924" s="6" t="n"/>
      <c r="F1924" s="7" t="n"/>
      <c r="G1924" s="7" t="n"/>
      <c r="H1924" s="8" t="n"/>
      <c r="I1924" s="9">
        <f>IF($A1924="","",SUMIFS(Ventes_Encaissements!$D$6:$D$3005,Ventes_Encaissements!$B$6:$B$3005,$A1924))</f>
        <v/>
      </c>
      <c r="J1924" s="9">
        <f>IF($A1924="","",$H1924-$I1924)</f>
        <v/>
      </c>
      <c r="K1924" s="10">
        <f>IF($A1924="","",IF($I1924=0,"",_xludf.AGGREGATE(14,6,Ventes_Encaissements!$C$6:$C$3005/(Ventes_Encaissements!$B$6:$B$3005=$A1924),1)))</f>
        <v/>
      </c>
      <c r="L1924" s="11">
        <f>IF($A1924="","",COUNTIFS(Ventes_Detail!$B$6:$B$3005,$A1924))</f>
        <v/>
      </c>
      <c r="M1924" s="12" t="n"/>
      <c r="N1924" s="12">
        <f>IF($A1924="","",IF($G1924="","",IF($M1924="Oui","Litige",IF($J1924&lt;=0,"Payé",IF($I1924&gt;0,"Partiel",IF(Listes!$B$3&gt;$G1924,"En retard","À échoir"))))))</f>
        <v/>
      </c>
      <c r="O1924" s="11">
        <f>IF($A1924="","",IF(OR($G1924="", $J1924&lt;=0),0,MAX(0,Listes!$B$3-$G1924)))</f>
        <v/>
      </c>
      <c r="P1924" s="12">
        <f>IF($A1924="","",IF($J1924&lt;=0,"Payé",IF($M1924="Oui","Litige",IF($O1924=0,"À échoir",IF($O1924&lt;=30,"0-30",IF($O1924&lt;=60,"31-60",IF($O1924&lt;=90,"61-90","90+")))))))</f>
        <v/>
      </c>
    </row>
    <row r="1925">
      <c r="A1925" s="6" t="n"/>
      <c r="B1925" s="6" t="n"/>
      <c r="C1925" s="6" t="n"/>
      <c r="D1925" s="6" t="n"/>
      <c r="E1925" s="6" t="n"/>
      <c r="F1925" s="7" t="n"/>
      <c r="G1925" s="7" t="n"/>
      <c r="H1925" s="8" t="n"/>
      <c r="I1925" s="9">
        <f>IF($A1925="","",SUMIFS(Ventes_Encaissements!$D$6:$D$3005,Ventes_Encaissements!$B$6:$B$3005,$A1925))</f>
        <v/>
      </c>
      <c r="J1925" s="9">
        <f>IF($A1925="","",$H1925-$I1925)</f>
        <v/>
      </c>
      <c r="K1925" s="10">
        <f>IF($A1925="","",IF($I1925=0,"",_xludf.AGGREGATE(14,6,Ventes_Encaissements!$C$6:$C$3005/(Ventes_Encaissements!$B$6:$B$3005=$A1925),1)))</f>
        <v/>
      </c>
      <c r="L1925" s="11">
        <f>IF($A1925="","",COUNTIFS(Ventes_Detail!$B$6:$B$3005,$A1925))</f>
        <v/>
      </c>
      <c r="M1925" s="12" t="n"/>
      <c r="N1925" s="12">
        <f>IF($A1925="","",IF($G1925="","",IF($M1925="Oui","Litige",IF($J1925&lt;=0,"Payé",IF($I1925&gt;0,"Partiel",IF(Listes!$B$3&gt;$G1925,"En retard","À échoir"))))))</f>
        <v/>
      </c>
      <c r="O1925" s="11">
        <f>IF($A1925="","",IF(OR($G1925="", $J1925&lt;=0),0,MAX(0,Listes!$B$3-$G1925)))</f>
        <v/>
      </c>
      <c r="P1925" s="12">
        <f>IF($A1925="","",IF($J1925&lt;=0,"Payé",IF($M1925="Oui","Litige",IF($O1925=0,"À échoir",IF($O1925&lt;=30,"0-30",IF($O1925&lt;=60,"31-60",IF($O1925&lt;=90,"61-90","90+")))))))</f>
        <v/>
      </c>
    </row>
    <row r="1926">
      <c r="A1926" s="6" t="n"/>
      <c r="B1926" s="6" t="n"/>
      <c r="C1926" s="6" t="n"/>
      <c r="D1926" s="6" t="n"/>
      <c r="E1926" s="6" t="n"/>
      <c r="F1926" s="7" t="n"/>
      <c r="G1926" s="7" t="n"/>
      <c r="H1926" s="8" t="n"/>
      <c r="I1926" s="9">
        <f>IF($A1926="","",SUMIFS(Ventes_Encaissements!$D$6:$D$3005,Ventes_Encaissements!$B$6:$B$3005,$A1926))</f>
        <v/>
      </c>
      <c r="J1926" s="9">
        <f>IF($A1926="","",$H1926-$I1926)</f>
        <v/>
      </c>
      <c r="K1926" s="10">
        <f>IF($A1926="","",IF($I1926=0,"",_xludf.AGGREGATE(14,6,Ventes_Encaissements!$C$6:$C$3005/(Ventes_Encaissements!$B$6:$B$3005=$A1926),1)))</f>
        <v/>
      </c>
      <c r="L1926" s="11">
        <f>IF($A1926="","",COUNTIFS(Ventes_Detail!$B$6:$B$3005,$A1926))</f>
        <v/>
      </c>
      <c r="M1926" s="12" t="n"/>
      <c r="N1926" s="12">
        <f>IF($A1926="","",IF($G1926="","",IF($M1926="Oui","Litige",IF($J1926&lt;=0,"Payé",IF($I1926&gt;0,"Partiel",IF(Listes!$B$3&gt;$G1926,"En retard","À échoir"))))))</f>
        <v/>
      </c>
      <c r="O1926" s="11">
        <f>IF($A1926="","",IF(OR($G1926="", $J1926&lt;=0),0,MAX(0,Listes!$B$3-$G1926)))</f>
        <v/>
      </c>
      <c r="P1926" s="12">
        <f>IF($A1926="","",IF($J1926&lt;=0,"Payé",IF($M1926="Oui","Litige",IF($O1926=0,"À échoir",IF($O1926&lt;=30,"0-30",IF($O1926&lt;=60,"31-60",IF($O1926&lt;=90,"61-90","90+")))))))</f>
        <v/>
      </c>
    </row>
    <row r="1927">
      <c r="A1927" s="6" t="n"/>
      <c r="B1927" s="6" t="n"/>
      <c r="C1927" s="6" t="n"/>
      <c r="D1927" s="6" t="n"/>
      <c r="E1927" s="6" t="n"/>
      <c r="F1927" s="7" t="n"/>
      <c r="G1927" s="7" t="n"/>
      <c r="H1927" s="8" t="n"/>
      <c r="I1927" s="9">
        <f>IF($A1927="","",SUMIFS(Ventes_Encaissements!$D$6:$D$3005,Ventes_Encaissements!$B$6:$B$3005,$A1927))</f>
        <v/>
      </c>
      <c r="J1927" s="9">
        <f>IF($A1927="","",$H1927-$I1927)</f>
        <v/>
      </c>
      <c r="K1927" s="10">
        <f>IF($A1927="","",IF($I1927=0,"",_xludf.AGGREGATE(14,6,Ventes_Encaissements!$C$6:$C$3005/(Ventes_Encaissements!$B$6:$B$3005=$A1927),1)))</f>
        <v/>
      </c>
      <c r="L1927" s="11">
        <f>IF($A1927="","",COUNTIFS(Ventes_Detail!$B$6:$B$3005,$A1927))</f>
        <v/>
      </c>
      <c r="M1927" s="12" t="n"/>
      <c r="N1927" s="12">
        <f>IF($A1927="","",IF($G1927="","",IF($M1927="Oui","Litige",IF($J1927&lt;=0,"Payé",IF($I1927&gt;0,"Partiel",IF(Listes!$B$3&gt;$G1927,"En retard","À échoir"))))))</f>
        <v/>
      </c>
      <c r="O1927" s="11">
        <f>IF($A1927="","",IF(OR($G1927="", $J1927&lt;=0),0,MAX(0,Listes!$B$3-$G1927)))</f>
        <v/>
      </c>
      <c r="P1927" s="12">
        <f>IF($A1927="","",IF($J1927&lt;=0,"Payé",IF($M1927="Oui","Litige",IF($O1927=0,"À échoir",IF($O1927&lt;=30,"0-30",IF($O1927&lt;=60,"31-60",IF($O1927&lt;=90,"61-90","90+")))))))</f>
        <v/>
      </c>
    </row>
    <row r="1928">
      <c r="A1928" s="6" t="n"/>
      <c r="B1928" s="6" t="n"/>
      <c r="C1928" s="6" t="n"/>
      <c r="D1928" s="6" t="n"/>
      <c r="E1928" s="6" t="n"/>
      <c r="F1928" s="7" t="n"/>
      <c r="G1928" s="7" t="n"/>
      <c r="H1928" s="8" t="n"/>
      <c r="I1928" s="9">
        <f>IF($A1928="","",SUMIFS(Ventes_Encaissements!$D$6:$D$3005,Ventes_Encaissements!$B$6:$B$3005,$A1928))</f>
        <v/>
      </c>
      <c r="J1928" s="9">
        <f>IF($A1928="","",$H1928-$I1928)</f>
        <v/>
      </c>
      <c r="K1928" s="10">
        <f>IF($A1928="","",IF($I1928=0,"",_xludf.AGGREGATE(14,6,Ventes_Encaissements!$C$6:$C$3005/(Ventes_Encaissements!$B$6:$B$3005=$A1928),1)))</f>
        <v/>
      </c>
      <c r="L1928" s="11">
        <f>IF($A1928="","",COUNTIFS(Ventes_Detail!$B$6:$B$3005,$A1928))</f>
        <v/>
      </c>
      <c r="M1928" s="12" t="n"/>
      <c r="N1928" s="12">
        <f>IF($A1928="","",IF($G1928="","",IF($M1928="Oui","Litige",IF($J1928&lt;=0,"Payé",IF($I1928&gt;0,"Partiel",IF(Listes!$B$3&gt;$G1928,"En retard","À échoir"))))))</f>
        <v/>
      </c>
      <c r="O1928" s="11">
        <f>IF($A1928="","",IF(OR($G1928="", $J1928&lt;=0),0,MAX(0,Listes!$B$3-$G1928)))</f>
        <v/>
      </c>
      <c r="P1928" s="12">
        <f>IF($A1928="","",IF($J1928&lt;=0,"Payé",IF($M1928="Oui","Litige",IF($O1928=0,"À échoir",IF($O1928&lt;=30,"0-30",IF($O1928&lt;=60,"31-60",IF($O1928&lt;=90,"61-90","90+")))))))</f>
        <v/>
      </c>
    </row>
    <row r="1929">
      <c r="A1929" s="6" t="n"/>
      <c r="B1929" s="6" t="n"/>
      <c r="C1929" s="6" t="n"/>
      <c r="D1929" s="6" t="n"/>
      <c r="E1929" s="6" t="n"/>
      <c r="F1929" s="7" t="n"/>
      <c r="G1929" s="7" t="n"/>
      <c r="H1929" s="8" t="n"/>
      <c r="I1929" s="9">
        <f>IF($A1929="","",SUMIFS(Ventes_Encaissements!$D$6:$D$3005,Ventes_Encaissements!$B$6:$B$3005,$A1929))</f>
        <v/>
      </c>
      <c r="J1929" s="9">
        <f>IF($A1929="","",$H1929-$I1929)</f>
        <v/>
      </c>
      <c r="K1929" s="10">
        <f>IF($A1929="","",IF($I1929=0,"",_xludf.AGGREGATE(14,6,Ventes_Encaissements!$C$6:$C$3005/(Ventes_Encaissements!$B$6:$B$3005=$A1929),1)))</f>
        <v/>
      </c>
      <c r="L1929" s="11">
        <f>IF($A1929="","",COUNTIFS(Ventes_Detail!$B$6:$B$3005,$A1929))</f>
        <v/>
      </c>
      <c r="M1929" s="12" t="n"/>
      <c r="N1929" s="12">
        <f>IF($A1929="","",IF($G1929="","",IF($M1929="Oui","Litige",IF($J1929&lt;=0,"Payé",IF($I1929&gt;0,"Partiel",IF(Listes!$B$3&gt;$G1929,"En retard","À échoir"))))))</f>
        <v/>
      </c>
      <c r="O1929" s="11">
        <f>IF($A1929="","",IF(OR($G1929="", $J1929&lt;=0),0,MAX(0,Listes!$B$3-$G1929)))</f>
        <v/>
      </c>
      <c r="P1929" s="12">
        <f>IF($A1929="","",IF($J1929&lt;=0,"Payé",IF($M1929="Oui","Litige",IF($O1929=0,"À échoir",IF($O1929&lt;=30,"0-30",IF($O1929&lt;=60,"31-60",IF($O1929&lt;=90,"61-90","90+")))))))</f>
        <v/>
      </c>
    </row>
    <row r="1930">
      <c r="A1930" s="6" t="n"/>
      <c r="B1930" s="6" t="n"/>
      <c r="C1930" s="6" t="n"/>
      <c r="D1930" s="6" t="n"/>
      <c r="E1930" s="6" t="n"/>
      <c r="F1930" s="7" t="n"/>
      <c r="G1930" s="7" t="n"/>
      <c r="H1930" s="8" t="n"/>
      <c r="I1930" s="9">
        <f>IF($A1930="","",SUMIFS(Ventes_Encaissements!$D$6:$D$3005,Ventes_Encaissements!$B$6:$B$3005,$A1930))</f>
        <v/>
      </c>
      <c r="J1930" s="9">
        <f>IF($A1930="","",$H1930-$I1930)</f>
        <v/>
      </c>
      <c r="K1930" s="10">
        <f>IF($A1930="","",IF($I1930=0,"",_xludf.AGGREGATE(14,6,Ventes_Encaissements!$C$6:$C$3005/(Ventes_Encaissements!$B$6:$B$3005=$A1930),1)))</f>
        <v/>
      </c>
      <c r="L1930" s="11">
        <f>IF($A1930="","",COUNTIFS(Ventes_Detail!$B$6:$B$3005,$A1930))</f>
        <v/>
      </c>
      <c r="M1930" s="12" t="n"/>
      <c r="N1930" s="12">
        <f>IF($A1930="","",IF($G1930="","",IF($M1930="Oui","Litige",IF($J1930&lt;=0,"Payé",IF($I1930&gt;0,"Partiel",IF(Listes!$B$3&gt;$G1930,"En retard","À échoir"))))))</f>
        <v/>
      </c>
      <c r="O1930" s="11">
        <f>IF($A1930="","",IF(OR($G1930="", $J1930&lt;=0),0,MAX(0,Listes!$B$3-$G1930)))</f>
        <v/>
      </c>
      <c r="P1930" s="12">
        <f>IF($A1930="","",IF($J1930&lt;=0,"Payé",IF($M1930="Oui","Litige",IF($O1930=0,"À échoir",IF($O1930&lt;=30,"0-30",IF($O1930&lt;=60,"31-60",IF($O1930&lt;=90,"61-90","90+")))))))</f>
        <v/>
      </c>
    </row>
    <row r="1931">
      <c r="A1931" s="6" t="n"/>
      <c r="B1931" s="6" t="n"/>
      <c r="C1931" s="6" t="n"/>
      <c r="D1931" s="6" t="n"/>
      <c r="E1931" s="6" t="n"/>
      <c r="F1931" s="7" t="n"/>
      <c r="G1931" s="7" t="n"/>
      <c r="H1931" s="8" t="n"/>
      <c r="I1931" s="9">
        <f>IF($A1931="","",SUMIFS(Ventes_Encaissements!$D$6:$D$3005,Ventes_Encaissements!$B$6:$B$3005,$A1931))</f>
        <v/>
      </c>
      <c r="J1931" s="9">
        <f>IF($A1931="","",$H1931-$I1931)</f>
        <v/>
      </c>
      <c r="K1931" s="10">
        <f>IF($A1931="","",IF($I1931=0,"",_xludf.AGGREGATE(14,6,Ventes_Encaissements!$C$6:$C$3005/(Ventes_Encaissements!$B$6:$B$3005=$A1931),1)))</f>
        <v/>
      </c>
      <c r="L1931" s="11">
        <f>IF($A1931="","",COUNTIFS(Ventes_Detail!$B$6:$B$3005,$A1931))</f>
        <v/>
      </c>
      <c r="M1931" s="12" t="n"/>
      <c r="N1931" s="12">
        <f>IF($A1931="","",IF($G1931="","",IF($M1931="Oui","Litige",IF($J1931&lt;=0,"Payé",IF($I1931&gt;0,"Partiel",IF(Listes!$B$3&gt;$G1931,"En retard","À échoir"))))))</f>
        <v/>
      </c>
      <c r="O1931" s="11">
        <f>IF($A1931="","",IF(OR($G1931="", $J1931&lt;=0),0,MAX(0,Listes!$B$3-$G1931)))</f>
        <v/>
      </c>
      <c r="P1931" s="12">
        <f>IF($A1931="","",IF($J1931&lt;=0,"Payé",IF($M1931="Oui","Litige",IF($O1931=0,"À échoir",IF($O1931&lt;=30,"0-30",IF($O1931&lt;=60,"31-60",IF($O1931&lt;=90,"61-90","90+")))))))</f>
        <v/>
      </c>
    </row>
    <row r="1932">
      <c r="A1932" s="6" t="n"/>
      <c r="B1932" s="6" t="n"/>
      <c r="C1932" s="6" t="n"/>
      <c r="D1932" s="6" t="n"/>
      <c r="E1932" s="6" t="n"/>
      <c r="F1932" s="7" t="n"/>
      <c r="G1932" s="7" t="n"/>
      <c r="H1932" s="8" t="n"/>
      <c r="I1932" s="9">
        <f>IF($A1932="","",SUMIFS(Ventes_Encaissements!$D$6:$D$3005,Ventes_Encaissements!$B$6:$B$3005,$A1932))</f>
        <v/>
      </c>
      <c r="J1932" s="9">
        <f>IF($A1932="","",$H1932-$I1932)</f>
        <v/>
      </c>
      <c r="K1932" s="10">
        <f>IF($A1932="","",IF($I1932=0,"",_xludf.AGGREGATE(14,6,Ventes_Encaissements!$C$6:$C$3005/(Ventes_Encaissements!$B$6:$B$3005=$A1932),1)))</f>
        <v/>
      </c>
      <c r="L1932" s="11">
        <f>IF($A1932="","",COUNTIFS(Ventes_Detail!$B$6:$B$3005,$A1932))</f>
        <v/>
      </c>
      <c r="M1932" s="12" t="n"/>
      <c r="N1932" s="12">
        <f>IF($A1932="","",IF($G1932="","",IF($M1932="Oui","Litige",IF($J1932&lt;=0,"Payé",IF($I1932&gt;0,"Partiel",IF(Listes!$B$3&gt;$G1932,"En retard","À échoir"))))))</f>
        <v/>
      </c>
      <c r="O1932" s="11">
        <f>IF($A1932="","",IF(OR($G1932="", $J1932&lt;=0),0,MAX(0,Listes!$B$3-$G1932)))</f>
        <v/>
      </c>
      <c r="P1932" s="12">
        <f>IF($A1932="","",IF($J1932&lt;=0,"Payé",IF($M1932="Oui","Litige",IF($O1932=0,"À échoir",IF($O1932&lt;=30,"0-30",IF($O1932&lt;=60,"31-60",IF($O1932&lt;=90,"61-90","90+")))))))</f>
        <v/>
      </c>
    </row>
    <row r="1933">
      <c r="A1933" s="6" t="n"/>
      <c r="B1933" s="6" t="n"/>
      <c r="C1933" s="6" t="n"/>
      <c r="D1933" s="6" t="n"/>
      <c r="E1933" s="6" t="n"/>
      <c r="F1933" s="7" t="n"/>
      <c r="G1933" s="7" t="n"/>
      <c r="H1933" s="8" t="n"/>
      <c r="I1933" s="9">
        <f>IF($A1933="","",SUMIFS(Ventes_Encaissements!$D$6:$D$3005,Ventes_Encaissements!$B$6:$B$3005,$A1933))</f>
        <v/>
      </c>
      <c r="J1933" s="9">
        <f>IF($A1933="","",$H1933-$I1933)</f>
        <v/>
      </c>
      <c r="K1933" s="10">
        <f>IF($A1933="","",IF($I1933=0,"",_xludf.AGGREGATE(14,6,Ventes_Encaissements!$C$6:$C$3005/(Ventes_Encaissements!$B$6:$B$3005=$A1933),1)))</f>
        <v/>
      </c>
      <c r="L1933" s="11">
        <f>IF($A1933="","",COUNTIFS(Ventes_Detail!$B$6:$B$3005,$A1933))</f>
        <v/>
      </c>
      <c r="M1933" s="12" t="n"/>
      <c r="N1933" s="12">
        <f>IF($A1933="","",IF($G1933="","",IF($M1933="Oui","Litige",IF($J1933&lt;=0,"Payé",IF($I1933&gt;0,"Partiel",IF(Listes!$B$3&gt;$G1933,"En retard","À échoir"))))))</f>
        <v/>
      </c>
      <c r="O1933" s="11">
        <f>IF($A1933="","",IF(OR($G1933="", $J1933&lt;=0),0,MAX(0,Listes!$B$3-$G1933)))</f>
        <v/>
      </c>
      <c r="P1933" s="12">
        <f>IF($A1933="","",IF($J1933&lt;=0,"Payé",IF($M1933="Oui","Litige",IF($O1933=0,"À échoir",IF($O1933&lt;=30,"0-30",IF($O1933&lt;=60,"31-60",IF($O1933&lt;=90,"61-90","90+")))))))</f>
        <v/>
      </c>
    </row>
    <row r="1934">
      <c r="A1934" s="6" t="n"/>
      <c r="B1934" s="6" t="n"/>
      <c r="C1934" s="6" t="n"/>
      <c r="D1934" s="6" t="n"/>
      <c r="E1934" s="6" t="n"/>
      <c r="F1934" s="7" t="n"/>
      <c r="G1934" s="7" t="n"/>
      <c r="H1934" s="8" t="n"/>
      <c r="I1934" s="9">
        <f>IF($A1934="","",SUMIFS(Ventes_Encaissements!$D$6:$D$3005,Ventes_Encaissements!$B$6:$B$3005,$A1934))</f>
        <v/>
      </c>
      <c r="J1934" s="9">
        <f>IF($A1934="","",$H1934-$I1934)</f>
        <v/>
      </c>
      <c r="K1934" s="10">
        <f>IF($A1934="","",IF($I1934=0,"",_xludf.AGGREGATE(14,6,Ventes_Encaissements!$C$6:$C$3005/(Ventes_Encaissements!$B$6:$B$3005=$A1934),1)))</f>
        <v/>
      </c>
      <c r="L1934" s="11">
        <f>IF($A1934="","",COUNTIFS(Ventes_Detail!$B$6:$B$3005,$A1934))</f>
        <v/>
      </c>
      <c r="M1934" s="12" t="n"/>
      <c r="N1934" s="12">
        <f>IF($A1934="","",IF($G1934="","",IF($M1934="Oui","Litige",IF($J1934&lt;=0,"Payé",IF($I1934&gt;0,"Partiel",IF(Listes!$B$3&gt;$G1934,"En retard","À échoir"))))))</f>
        <v/>
      </c>
      <c r="O1934" s="11">
        <f>IF($A1934="","",IF(OR($G1934="", $J1934&lt;=0),0,MAX(0,Listes!$B$3-$G1934)))</f>
        <v/>
      </c>
      <c r="P1934" s="12">
        <f>IF($A1934="","",IF($J1934&lt;=0,"Payé",IF($M1934="Oui","Litige",IF($O1934=0,"À échoir",IF($O1934&lt;=30,"0-30",IF($O1934&lt;=60,"31-60",IF($O1934&lt;=90,"61-90","90+")))))))</f>
        <v/>
      </c>
    </row>
    <row r="1935">
      <c r="A1935" s="6" t="n"/>
      <c r="B1935" s="6" t="n"/>
      <c r="C1935" s="6" t="n"/>
      <c r="D1935" s="6" t="n"/>
      <c r="E1935" s="6" t="n"/>
      <c r="F1935" s="7" t="n"/>
      <c r="G1935" s="7" t="n"/>
      <c r="H1935" s="8" t="n"/>
      <c r="I1935" s="9">
        <f>IF($A1935="","",SUMIFS(Ventes_Encaissements!$D$6:$D$3005,Ventes_Encaissements!$B$6:$B$3005,$A1935))</f>
        <v/>
      </c>
      <c r="J1935" s="9">
        <f>IF($A1935="","",$H1935-$I1935)</f>
        <v/>
      </c>
      <c r="K1935" s="10">
        <f>IF($A1935="","",IF($I1935=0,"",_xludf.AGGREGATE(14,6,Ventes_Encaissements!$C$6:$C$3005/(Ventes_Encaissements!$B$6:$B$3005=$A1935),1)))</f>
        <v/>
      </c>
      <c r="L1935" s="11">
        <f>IF($A1935="","",COUNTIFS(Ventes_Detail!$B$6:$B$3005,$A1935))</f>
        <v/>
      </c>
      <c r="M1935" s="12" t="n"/>
      <c r="N1935" s="12">
        <f>IF($A1935="","",IF($G1935="","",IF($M1935="Oui","Litige",IF($J1935&lt;=0,"Payé",IF($I1935&gt;0,"Partiel",IF(Listes!$B$3&gt;$G1935,"En retard","À échoir"))))))</f>
        <v/>
      </c>
      <c r="O1935" s="11">
        <f>IF($A1935="","",IF(OR($G1935="", $J1935&lt;=0),0,MAX(0,Listes!$B$3-$G1935)))</f>
        <v/>
      </c>
      <c r="P1935" s="12">
        <f>IF($A1935="","",IF($J1935&lt;=0,"Payé",IF($M1935="Oui","Litige",IF($O1935=0,"À échoir",IF($O1935&lt;=30,"0-30",IF($O1935&lt;=60,"31-60",IF($O1935&lt;=90,"61-90","90+")))))))</f>
        <v/>
      </c>
    </row>
    <row r="1936">
      <c r="A1936" s="6" t="n"/>
      <c r="B1936" s="6" t="n"/>
      <c r="C1936" s="6" t="n"/>
      <c r="D1936" s="6" t="n"/>
      <c r="E1936" s="6" t="n"/>
      <c r="F1936" s="7" t="n"/>
      <c r="G1936" s="7" t="n"/>
      <c r="H1936" s="8" t="n"/>
      <c r="I1936" s="9">
        <f>IF($A1936="","",SUMIFS(Ventes_Encaissements!$D$6:$D$3005,Ventes_Encaissements!$B$6:$B$3005,$A1936))</f>
        <v/>
      </c>
      <c r="J1936" s="9">
        <f>IF($A1936="","",$H1936-$I1936)</f>
        <v/>
      </c>
      <c r="K1936" s="10">
        <f>IF($A1936="","",IF($I1936=0,"",_xludf.AGGREGATE(14,6,Ventes_Encaissements!$C$6:$C$3005/(Ventes_Encaissements!$B$6:$B$3005=$A1936),1)))</f>
        <v/>
      </c>
      <c r="L1936" s="11">
        <f>IF($A1936="","",COUNTIFS(Ventes_Detail!$B$6:$B$3005,$A1936))</f>
        <v/>
      </c>
      <c r="M1936" s="12" t="n"/>
      <c r="N1936" s="12">
        <f>IF($A1936="","",IF($G1936="","",IF($M1936="Oui","Litige",IF($J1936&lt;=0,"Payé",IF($I1936&gt;0,"Partiel",IF(Listes!$B$3&gt;$G1936,"En retard","À échoir"))))))</f>
        <v/>
      </c>
      <c r="O1936" s="11">
        <f>IF($A1936="","",IF(OR($G1936="", $J1936&lt;=0),0,MAX(0,Listes!$B$3-$G1936)))</f>
        <v/>
      </c>
      <c r="P1936" s="12">
        <f>IF($A1936="","",IF($J1936&lt;=0,"Payé",IF($M1936="Oui","Litige",IF($O1936=0,"À échoir",IF($O1936&lt;=30,"0-30",IF($O1936&lt;=60,"31-60",IF($O1936&lt;=90,"61-90","90+")))))))</f>
        <v/>
      </c>
    </row>
    <row r="1937">
      <c r="A1937" s="6" t="n"/>
      <c r="B1937" s="6" t="n"/>
      <c r="C1937" s="6" t="n"/>
      <c r="D1937" s="6" t="n"/>
      <c r="E1937" s="6" t="n"/>
      <c r="F1937" s="7" t="n"/>
      <c r="G1937" s="7" t="n"/>
      <c r="H1937" s="8" t="n"/>
      <c r="I1937" s="9">
        <f>IF($A1937="","",SUMIFS(Ventes_Encaissements!$D$6:$D$3005,Ventes_Encaissements!$B$6:$B$3005,$A1937))</f>
        <v/>
      </c>
      <c r="J1937" s="9">
        <f>IF($A1937="","",$H1937-$I1937)</f>
        <v/>
      </c>
      <c r="K1937" s="10">
        <f>IF($A1937="","",IF($I1937=0,"",_xludf.AGGREGATE(14,6,Ventes_Encaissements!$C$6:$C$3005/(Ventes_Encaissements!$B$6:$B$3005=$A1937),1)))</f>
        <v/>
      </c>
      <c r="L1937" s="11">
        <f>IF($A1937="","",COUNTIFS(Ventes_Detail!$B$6:$B$3005,$A1937))</f>
        <v/>
      </c>
      <c r="M1937" s="12" t="n"/>
      <c r="N1937" s="12">
        <f>IF($A1937="","",IF($G1937="","",IF($M1937="Oui","Litige",IF($J1937&lt;=0,"Payé",IF($I1937&gt;0,"Partiel",IF(Listes!$B$3&gt;$G1937,"En retard","À échoir"))))))</f>
        <v/>
      </c>
      <c r="O1937" s="11">
        <f>IF($A1937="","",IF(OR($G1937="", $J1937&lt;=0),0,MAX(0,Listes!$B$3-$G1937)))</f>
        <v/>
      </c>
      <c r="P1937" s="12">
        <f>IF($A1937="","",IF($J1937&lt;=0,"Payé",IF($M1937="Oui","Litige",IF($O1937=0,"À échoir",IF($O1937&lt;=30,"0-30",IF($O1937&lt;=60,"31-60",IF($O1937&lt;=90,"61-90","90+")))))))</f>
        <v/>
      </c>
    </row>
    <row r="1938">
      <c r="A1938" s="6" t="n"/>
      <c r="B1938" s="6" t="n"/>
      <c r="C1938" s="6" t="n"/>
      <c r="D1938" s="6" t="n"/>
      <c r="E1938" s="6" t="n"/>
      <c r="F1938" s="7" t="n"/>
      <c r="G1938" s="7" t="n"/>
      <c r="H1938" s="8" t="n"/>
      <c r="I1938" s="9">
        <f>IF($A1938="","",SUMIFS(Ventes_Encaissements!$D$6:$D$3005,Ventes_Encaissements!$B$6:$B$3005,$A1938))</f>
        <v/>
      </c>
      <c r="J1938" s="9">
        <f>IF($A1938="","",$H1938-$I1938)</f>
        <v/>
      </c>
      <c r="K1938" s="10">
        <f>IF($A1938="","",IF($I1938=0,"",_xludf.AGGREGATE(14,6,Ventes_Encaissements!$C$6:$C$3005/(Ventes_Encaissements!$B$6:$B$3005=$A1938),1)))</f>
        <v/>
      </c>
      <c r="L1938" s="11">
        <f>IF($A1938="","",COUNTIFS(Ventes_Detail!$B$6:$B$3005,$A1938))</f>
        <v/>
      </c>
      <c r="M1938" s="12" t="n"/>
      <c r="N1938" s="12">
        <f>IF($A1938="","",IF($G1938="","",IF($M1938="Oui","Litige",IF($J1938&lt;=0,"Payé",IF($I1938&gt;0,"Partiel",IF(Listes!$B$3&gt;$G1938,"En retard","À échoir"))))))</f>
        <v/>
      </c>
      <c r="O1938" s="11">
        <f>IF($A1938="","",IF(OR($G1938="", $J1938&lt;=0),0,MAX(0,Listes!$B$3-$G1938)))</f>
        <v/>
      </c>
      <c r="P1938" s="12">
        <f>IF($A1938="","",IF($J1938&lt;=0,"Payé",IF($M1938="Oui","Litige",IF($O1938=0,"À échoir",IF($O1938&lt;=30,"0-30",IF($O1938&lt;=60,"31-60",IF($O1938&lt;=90,"61-90","90+")))))))</f>
        <v/>
      </c>
    </row>
    <row r="1939">
      <c r="A1939" s="6" t="n"/>
      <c r="B1939" s="6" t="n"/>
      <c r="C1939" s="6" t="n"/>
      <c r="D1939" s="6" t="n"/>
      <c r="E1939" s="6" t="n"/>
      <c r="F1939" s="7" t="n"/>
      <c r="G1939" s="7" t="n"/>
      <c r="H1939" s="8" t="n"/>
      <c r="I1939" s="9">
        <f>IF($A1939="","",SUMIFS(Ventes_Encaissements!$D$6:$D$3005,Ventes_Encaissements!$B$6:$B$3005,$A1939))</f>
        <v/>
      </c>
      <c r="J1939" s="9">
        <f>IF($A1939="","",$H1939-$I1939)</f>
        <v/>
      </c>
      <c r="K1939" s="10">
        <f>IF($A1939="","",IF($I1939=0,"",_xludf.AGGREGATE(14,6,Ventes_Encaissements!$C$6:$C$3005/(Ventes_Encaissements!$B$6:$B$3005=$A1939),1)))</f>
        <v/>
      </c>
      <c r="L1939" s="11">
        <f>IF($A1939="","",COUNTIFS(Ventes_Detail!$B$6:$B$3005,$A1939))</f>
        <v/>
      </c>
      <c r="M1939" s="12" t="n"/>
      <c r="N1939" s="12">
        <f>IF($A1939="","",IF($G1939="","",IF($M1939="Oui","Litige",IF($J1939&lt;=0,"Payé",IF($I1939&gt;0,"Partiel",IF(Listes!$B$3&gt;$G1939,"En retard","À échoir"))))))</f>
        <v/>
      </c>
      <c r="O1939" s="11">
        <f>IF($A1939="","",IF(OR($G1939="", $J1939&lt;=0),0,MAX(0,Listes!$B$3-$G1939)))</f>
        <v/>
      </c>
      <c r="P1939" s="12">
        <f>IF($A1939="","",IF($J1939&lt;=0,"Payé",IF($M1939="Oui","Litige",IF($O1939=0,"À échoir",IF($O1939&lt;=30,"0-30",IF($O1939&lt;=60,"31-60",IF($O1939&lt;=90,"61-90","90+")))))))</f>
        <v/>
      </c>
    </row>
    <row r="1940">
      <c r="A1940" s="6" t="n"/>
      <c r="B1940" s="6" t="n"/>
      <c r="C1940" s="6" t="n"/>
      <c r="D1940" s="6" t="n"/>
      <c r="E1940" s="6" t="n"/>
      <c r="F1940" s="7" t="n"/>
      <c r="G1940" s="7" t="n"/>
      <c r="H1940" s="8" t="n"/>
      <c r="I1940" s="9">
        <f>IF($A1940="","",SUMIFS(Ventes_Encaissements!$D$6:$D$3005,Ventes_Encaissements!$B$6:$B$3005,$A1940))</f>
        <v/>
      </c>
      <c r="J1940" s="9">
        <f>IF($A1940="","",$H1940-$I1940)</f>
        <v/>
      </c>
      <c r="K1940" s="10">
        <f>IF($A1940="","",IF($I1940=0,"",_xludf.AGGREGATE(14,6,Ventes_Encaissements!$C$6:$C$3005/(Ventes_Encaissements!$B$6:$B$3005=$A1940),1)))</f>
        <v/>
      </c>
      <c r="L1940" s="11">
        <f>IF($A1940="","",COUNTIFS(Ventes_Detail!$B$6:$B$3005,$A1940))</f>
        <v/>
      </c>
      <c r="M1940" s="12" t="n"/>
      <c r="N1940" s="12">
        <f>IF($A1940="","",IF($G1940="","",IF($M1940="Oui","Litige",IF($J1940&lt;=0,"Payé",IF($I1940&gt;0,"Partiel",IF(Listes!$B$3&gt;$G1940,"En retard","À échoir"))))))</f>
        <v/>
      </c>
      <c r="O1940" s="11">
        <f>IF($A1940="","",IF(OR($G1940="", $J1940&lt;=0),0,MAX(0,Listes!$B$3-$G1940)))</f>
        <v/>
      </c>
      <c r="P1940" s="12">
        <f>IF($A1940="","",IF($J1940&lt;=0,"Payé",IF($M1940="Oui","Litige",IF($O1940=0,"À échoir",IF($O1940&lt;=30,"0-30",IF($O1940&lt;=60,"31-60",IF($O1940&lt;=90,"61-90","90+")))))))</f>
        <v/>
      </c>
    </row>
    <row r="1941">
      <c r="A1941" s="6" t="n"/>
      <c r="B1941" s="6" t="n"/>
      <c r="C1941" s="6" t="n"/>
      <c r="D1941" s="6" t="n"/>
      <c r="E1941" s="6" t="n"/>
      <c r="F1941" s="7" t="n"/>
      <c r="G1941" s="7" t="n"/>
      <c r="H1941" s="8" t="n"/>
      <c r="I1941" s="9">
        <f>IF($A1941="","",SUMIFS(Ventes_Encaissements!$D$6:$D$3005,Ventes_Encaissements!$B$6:$B$3005,$A1941))</f>
        <v/>
      </c>
      <c r="J1941" s="9">
        <f>IF($A1941="","",$H1941-$I1941)</f>
        <v/>
      </c>
      <c r="K1941" s="10">
        <f>IF($A1941="","",IF($I1941=0,"",_xludf.AGGREGATE(14,6,Ventes_Encaissements!$C$6:$C$3005/(Ventes_Encaissements!$B$6:$B$3005=$A1941),1)))</f>
        <v/>
      </c>
      <c r="L1941" s="11">
        <f>IF($A1941="","",COUNTIFS(Ventes_Detail!$B$6:$B$3005,$A1941))</f>
        <v/>
      </c>
      <c r="M1941" s="12" t="n"/>
      <c r="N1941" s="12">
        <f>IF($A1941="","",IF($G1941="","",IF($M1941="Oui","Litige",IF($J1941&lt;=0,"Payé",IF($I1941&gt;0,"Partiel",IF(Listes!$B$3&gt;$G1941,"En retard","À échoir"))))))</f>
        <v/>
      </c>
      <c r="O1941" s="11">
        <f>IF($A1941="","",IF(OR($G1941="", $J1941&lt;=0),0,MAX(0,Listes!$B$3-$G1941)))</f>
        <v/>
      </c>
      <c r="P1941" s="12">
        <f>IF($A1941="","",IF($J1941&lt;=0,"Payé",IF($M1941="Oui","Litige",IF($O1941=0,"À échoir",IF($O1941&lt;=30,"0-30",IF($O1941&lt;=60,"31-60",IF($O1941&lt;=90,"61-90","90+")))))))</f>
        <v/>
      </c>
    </row>
    <row r="1942">
      <c r="A1942" s="6" t="n"/>
      <c r="B1942" s="6" t="n"/>
      <c r="C1942" s="6" t="n"/>
      <c r="D1942" s="6" t="n"/>
      <c r="E1942" s="6" t="n"/>
      <c r="F1942" s="7" t="n"/>
      <c r="G1942" s="7" t="n"/>
      <c r="H1942" s="8" t="n"/>
      <c r="I1942" s="9">
        <f>IF($A1942="","",SUMIFS(Ventes_Encaissements!$D$6:$D$3005,Ventes_Encaissements!$B$6:$B$3005,$A1942))</f>
        <v/>
      </c>
      <c r="J1942" s="9">
        <f>IF($A1942="","",$H1942-$I1942)</f>
        <v/>
      </c>
      <c r="K1942" s="10">
        <f>IF($A1942="","",IF($I1942=0,"",_xludf.AGGREGATE(14,6,Ventes_Encaissements!$C$6:$C$3005/(Ventes_Encaissements!$B$6:$B$3005=$A1942),1)))</f>
        <v/>
      </c>
      <c r="L1942" s="11">
        <f>IF($A1942="","",COUNTIFS(Ventes_Detail!$B$6:$B$3005,$A1942))</f>
        <v/>
      </c>
      <c r="M1942" s="12" t="n"/>
      <c r="N1942" s="12">
        <f>IF($A1942="","",IF($G1942="","",IF($M1942="Oui","Litige",IF($J1942&lt;=0,"Payé",IF($I1942&gt;0,"Partiel",IF(Listes!$B$3&gt;$G1942,"En retard","À échoir"))))))</f>
        <v/>
      </c>
      <c r="O1942" s="11">
        <f>IF($A1942="","",IF(OR($G1942="", $J1942&lt;=0),0,MAX(0,Listes!$B$3-$G1942)))</f>
        <v/>
      </c>
      <c r="P1942" s="12">
        <f>IF($A1942="","",IF($J1942&lt;=0,"Payé",IF($M1942="Oui","Litige",IF($O1942=0,"À échoir",IF($O1942&lt;=30,"0-30",IF($O1942&lt;=60,"31-60",IF($O1942&lt;=90,"61-90","90+")))))))</f>
        <v/>
      </c>
    </row>
    <row r="1943">
      <c r="A1943" s="6" t="n"/>
      <c r="B1943" s="6" t="n"/>
      <c r="C1943" s="6" t="n"/>
      <c r="D1943" s="6" t="n"/>
      <c r="E1943" s="6" t="n"/>
      <c r="F1943" s="7" t="n"/>
      <c r="G1943" s="7" t="n"/>
      <c r="H1943" s="8" t="n"/>
      <c r="I1943" s="9">
        <f>IF($A1943="","",SUMIFS(Ventes_Encaissements!$D$6:$D$3005,Ventes_Encaissements!$B$6:$B$3005,$A1943))</f>
        <v/>
      </c>
      <c r="J1943" s="9">
        <f>IF($A1943="","",$H1943-$I1943)</f>
        <v/>
      </c>
      <c r="K1943" s="10">
        <f>IF($A1943="","",IF($I1943=0,"",_xludf.AGGREGATE(14,6,Ventes_Encaissements!$C$6:$C$3005/(Ventes_Encaissements!$B$6:$B$3005=$A1943),1)))</f>
        <v/>
      </c>
      <c r="L1943" s="11">
        <f>IF($A1943="","",COUNTIFS(Ventes_Detail!$B$6:$B$3005,$A1943))</f>
        <v/>
      </c>
      <c r="M1943" s="12" t="n"/>
      <c r="N1943" s="12">
        <f>IF($A1943="","",IF($G1943="","",IF($M1943="Oui","Litige",IF($J1943&lt;=0,"Payé",IF($I1943&gt;0,"Partiel",IF(Listes!$B$3&gt;$G1943,"En retard","À échoir"))))))</f>
        <v/>
      </c>
      <c r="O1943" s="11">
        <f>IF($A1943="","",IF(OR($G1943="", $J1943&lt;=0),0,MAX(0,Listes!$B$3-$G1943)))</f>
        <v/>
      </c>
      <c r="P1943" s="12">
        <f>IF($A1943="","",IF($J1943&lt;=0,"Payé",IF($M1943="Oui","Litige",IF($O1943=0,"À échoir",IF($O1943&lt;=30,"0-30",IF($O1943&lt;=60,"31-60",IF($O1943&lt;=90,"61-90","90+")))))))</f>
        <v/>
      </c>
    </row>
    <row r="1944">
      <c r="A1944" s="6" t="n"/>
      <c r="B1944" s="6" t="n"/>
      <c r="C1944" s="6" t="n"/>
      <c r="D1944" s="6" t="n"/>
      <c r="E1944" s="6" t="n"/>
      <c r="F1944" s="7" t="n"/>
      <c r="G1944" s="7" t="n"/>
      <c r="H1944" s="8" t="n"/>
      <c r="I1944" s="9">
        <f>IF($A1944="","",SUMIFS(Ventes_Encaissements!$D$6:$D$3005,Ventes_Encaissements!$B$6:$B$3005,$A1944))</f>
        <v/>
      </c>
      <c r="J1944" s="9">
        <f>IF($A1944="","",$H1944-$I1944)</f>
        <v/>
      </c>
      <c r="K1944" s="10">
        <f>IF($A1944="","",IF($I1944=0,"",_xludf.AGGREGATE(14,6,Ventes_Encaissements!$C$6:$C$3005/(Ventes_Encaissements!$B$6:$B$3005=$A1944),1)))</f>
        <v/>
      </c>
      <c r="L1944" s="11">
        <f>IF($A1944="","",COUNTIFS(Ventes_Detail!$B$6:$B$3005,$A1944))</f>
        <v/>
      </c>
      <c r="M1944" s="12" t="n"/>
      <c r="N1944" s="12">
        <f>IF($A1944="","",IF($G1944="","",IF($M1944="Oui","Litige",IF($J1944&lt;=0,"Payé",IF($I1944&gt;0,"Partiel",IF(Listes!$B$3&gt;$G1944,"En retard","À échoir"))))))</f>
        <v/>
      </c>
      <c r="O1944" s="11">
        <f>IF($A1944="","",IF(OR($G1944="", $J1944&lt;=0),0,MAX(0,Listes!$B$3-$G1944)))</f>
        <v/>
      </c>
      <c r="P1944" s="12">
        <f>IF($A1944="","",IF($J1944&lt;=0,"Payé",IF($M1944="Oui","Litige",IF($O1944=0,"À échoir",IF($O1944&lt;=30,"0-30",IF($O1944&lt;=60,"31-60",IF($O1944&lt;=90,"61-90","90+")))))))</f>
        <v/>
      </c>
    </row>
    <row r="1945">
      <c r="A1945" s="6" t="n"/>
      <c r="B1945" s="6" t="n"/>
      <c r="C1945" s="6" t="n"/>
      <c r="D1945" s="6" t="n"/>
      <c r="E1945" s="6" t="n"/>
      <c r="F1945" s="7" t="n"/>
      <c r="G1945" s="7" t="n"/>
      <c r="H1945" s="8" t="n"/>
      <c r="I1945" s="9">
        <f>IF($A1945="","",SUMIFS(Ventes_Encaissements!$D$6:$D$3005,Ventes_Encaissements!$B$6:$B$3005,$A1945))</f>
        <v/>
      </c>
      <c r="J1945" s="9">
        <f>IF($A1945="","",$H1945-$I1945)</f>
        <v/>
      </c>
      <c r="K1945" s="10">
        <f>IF($A1945="","",IF($I1945=0,"",_xludf.AGGREGATE(14,6,Ventes_Encaissements!$C$6:$C$3005/(Ventes_Encaissements!$B$6:$B$3005=$A1945),1)))</f>
        <v/>
      </c>
      <c r="L1945" s="11">
        <f>IF($A1945="","",COUNTIFS(Ventes_Detail!$B$6:$B$3005,$A1945))</f>
        <v/>
      </c>
      <c r="M1945" s="12" t="n"/>
      <c r="N1945" s="12">
        <f>IF($A1945="","",IF($G1945="","",IF($M1945="Oui","Litige",IF($J1945&lt;=0,"Payé",IF($I1945&gt;0,"Partiel",IF(Listes!$B$3&gt;$G1945,"En retard","À échoir"))))))</f>
        <v/>
      </c>
      <c r="O1945" s="11">
        <f>IF($A1945="","",IF(OR($G1945="", $J1945&lt;=0),0,MAX(0,Listes!$B$3-$G1945)))</f>
        <v/>
      </c>
      <c r="P1945" s="12">
        <f>IF($A1945="","",IF($J1945&lt;=0,"Payé",IF($M1945="Oui","Litige",IF($O1945=0,"À échoir",IF($O1945&lt;=30,"0-30",IF($O1945&lt;=60,"31-60",IF($O1945&lt;=90,"61-90","90+")))))))</f>
        <v/>
      </c>
    </row>
    <row r="1946">
      <c r="A1946" s="6" t="n"/>
      <c r="B1946" s="6" t="n"/>
      <c r="C1946" s="6" t="n"/>
      <c r="D1946" s="6" t="n"/>
      <c r="E1946" s="6" t="n"/>
      <c r="F1946" s="7" t="n"/>
      <c r="G1946" s="7" t="n"/>
      <c r="H1946" s="8" t="n"/>
      <c r="I1946" s="9">
        <f>IF($A1946="","",SUMIFS(Ventes_Encaissements!$D$6:$D$3005,Ventes_Encaissements!$B$6:$B$3005,$A1946))</f>
        <v/>
      </c>
      <c r="J1946" s="9">
        <f>IF($A1946="","",$H1946-$I1946)</f>
        <v/>
      </c>
      <c r="K1946" s="10">
        <f>IF($A1946="","",IF($I1946=0,"",_xludf.AGGREGATE(14,6,Ventes_Encaissements!$C$6:$C$3005/(Ventes_Encaissements!$B$6:$B$3005=$A1946),1)))</f>
        <v/>
      </c>
      <c r="L1946" s="11">
        <f>IF($A1946="","",COUNTIFS(Ventes_Detail!$B$6:$B$3005,$A1946))</f>
        <v/>
      </c>
      <c r="M1946" s="12" t="n"/>
      <c r="N1946" s="12">
        <f>IF($A1946="","",IF($G1946="","",IF($M1946="Oui","Litige",IF($J1946&lt;=0,"Payé",IF($I1946&gt;0,"Partiel",IF(Listes!$B$3&gt;$G1946,"En retard","À échoir"))))))</f>
        <v/>
      </c>
      <c r="O1946" s="11">
        <f>IF($A1946="","",IF(OR($G1946="", $J1946&lt;=0),0,MAX(0,Listes!$B$3-$G1946)))</f>
        <v/>
      </c>
      <c r="P1946" s="12">
        <f>IF($A1946="","",IF($J1946&lt;=0,"Payé",IF($M1946="Oui","Litige",IF($O1946=0,"À échoir",IF($O1946&lt;=30,"0-30",IF($O1946&lt;=60,"31-60",IF($O1946&lt;=90,"61-90","90+")))))))</f>
        <v/>
      </c>
    </row>
    <row r="1947">
      <c r="A1947" s="6" t="n"/>
      <c r="B1947" s="6" t="n"/>
      <c r="C1947" s="6" t="n"/>
      <c r="D1947" s="6" t="n"/>
      <c r="E1947" s="6" t="n"/>
      <c r="F1947" s="7" t="n"/>
      <c r="G1947" s="7" t="n"/>
      <c r="H1947" s="8" t="n"/>
      <c r="I1947" s="9">
        <f>IF($A1947="","",SUMIFS(Ventes_Encaissements!$D$6:$D$3005,Ventes_Encaissements!$B$6:$B$3005,$A1947))</f>
        <v/>
      </c>
      <c r="J1947" s="9">
        <f>IF($A1947="","",$H1947-$I1947)</f>
        <v/>
      </c>
      <c r="K1947" s="10">
        <f>IF($A1947="","",IF($I1947=0,"",_xludf.AGGREGATE(14,6,Ventes_Encaissements!$C$6:$C$3005/(Ventes_Encaissements!$B$6:$B$3005=$A1947),1)))</f>
        <v/>
      </c>
      <c r="L1947" s="11">
        <f>IF($A1947="","",COUNTIFS(Ventes_Detail!$B$6:$B$3005,$A1947))</f>
        <v/>
      </c>
      <c r="M1947" s="12" t="n"/>
      <c r="N1947" s="12">
        <f>IF($A1947="","",IF($G1947="","",IF($M1947="Oui","Litige",IF($J1947&lt;=0,"Payé",IF($I1947&gt;0,"Partiel",IF(Listes!$B$3&gt;$G1947,"En retard","À échoir"))))))</f>
        <v/>
      </c>
      <c r="O1947" s="11">
        <f>IF($A1947="","",IF(OR($G1947="", $J1947&lt;=0),0,MAX(0,Listes!$B$3-$G1947)))</f>
        <v/>
      </c>
      <c r="P1947" s="12">
        <f>IF($A1947="","",IF($J1947&lt;=0,"Payé",IF($M1947="Oui","Litige",IF($O1947=0,"À échoir",IF($O1947&lt;=30,"0-30",IF($O1947&lt;=60,"31-60",IF($O1947&lt;=90,"61-90","90+")))))))</f>
        <v/>
      </c>
    </row>
    <row r="1948">
      <c r="A1948" s="6" t="n"/>
      <c r="B1948" s="6" t="n"/>
      <c r="C1948" s="6" t="n"/>
      <c r="D1948" s="6" t="n"/>
      <c r="E1948" s="6" t="n"/>
      <c r="F1948" s="7" t="n"/>
      <c r="G1948" s="7" t="n"/>
      <c r="H1948" s="8" t="n"/>
      <c r="I1948" s="9">
        <f>IF($A1948="","",SUMIFS(Ventes_Encaissements!$D$6:$D$3005,Ventes_Encaissements!$B$6:$B$3005,$A1948))</f>
        <v/>
      </c>
      <c r="J1948" s="9">
        <f>IF($A1948="","",$H1948-$I1948)</f>
        <v/>
      </c>
      <c r="K1948" s="10">
        <f>IF($A1948="","",IF($I1948=0,"",_xludf.AGGREGATE(14,6,Ventes_Encaissements!$C$6:$C$3005/(Ventes_Encaissements!$B$6:$B$3005=$A1948),1)))</f>
        <v/>
      </c>
      <c r="L1948" s="11">
        <f>IF($A1948="","",COUNTIFS(Ventes_Detail!$B$6:$B$3005,$A1948))</f>
        <v/>
      </c>
      <c r="M1948" s="12" t="n"/>
      <c r="N1948" s="12">
        <f>IF($A1948="","",IF($G1948="","",IF($M1948="Oui","Litige",IF($J1948&lt;=0,"Payé",IF($I1948&gt;0,"Partiel",IF(Listes!$B$3&gt;$G1948,"En retard","À échoir"))))))</f>
        <v/>
      </c>
      <c r="O1948" s="11">
        <f>IF($A1948="","",IF(OR($G1948="", $J1948&lt;=0),0,MAX(0,Listes!$B$3-$G1948)))</f>
        <v/>
      </c>
      <c r="P1948" s="12">
        <f>IF($A1948="","",IF($J1948&lt;=0,"Payé",IF($M1948="Oui","Litige",IF($O1948=0,"À échoir",IF($O1948&lt;=30,"0-30",IF($O1948&lt;=60,"31-60",IF($O1948&lt;=90,"61-90","90+")))))))</f>
        <v/>
      </c>
    </row>
    <row r="1949">
      <c r="A1949" s="6" t="n"/>
      <c r="B1949" s="6" t="n"/>
      <c r="C1949" s="6" t="n"/>
      <c r="D1949" s="6" t="n"/>
      <c r="E1949" s="6" t="n"/>
      <c r="F1949" s="7" t="n"/>
      <c r="G1949" s="7" t="n"/>
      <c r="H1949" s="8" t="n"/>
      <c r="I1949" s="9">
        <f>IF($A1949="","",SUMIFS(Ventes_Encaissements!$D$6:$D$3005,Ventes_Encaissements!$B$6:$B$3005,$A1949))</f>
        <v/>
      </c>
      <c r="J1949" s="9">
        <f>IF($A1949="","",$H1949-$I1949)</f>
        <v/>
      </c>
      <c r="K1949" s="10">
        <f>IF($A1949="","",IF($I1949=0,"",_xludf.AGGREGATE(14,6,Ventes_Encaissements!$C$6:$C$3005/(Ventes_Encaissements!$B$6:$B$3005=$A1949),1)))</f>
        <v/>
      </c>
      <c r="L1949" s="11">
        <f>IF($A1949="","",COUNTIFS(Ventes_Detail!$B$6:$B$3005,$A1949))</f>
        <v/>
      </c>
      <c r="M1949" s="12" t="n"/>
      <c r="N1949" s="12">
        <f>IF($A1949="","",IF($G1949="","",IF($M1949="Oui","Litige",IF($J1949&lt;=0,"Payé",IF($I1949&gt;0,"Partiel",IF(Listes!$B$3&gt;$G1949,"En retard","À échoir"))))))</f>
        <v/>
      </c>
      <c r="O1949" s="11">
        <f>IF($A1949="","",IF(OR($G1949="", $J1949&lt;=0),0,MAX(0,Listes!$B$3-$G1949)))</f>
        <v/>
      </c>
      <c r="P1949" s="12">
        <f>IF($A1949="","",IF($J1949&lt;=0,"Payé",IF($M1949="Oui","Litige",IF($O1949=0,"À échoir",IF($O1949&lt;=30,"0-30",IF($O1949&lt;=60,"31-60",IF($O1949&lt;=90,"61-90","90+")))))))</f>
        <v/>
      </c>
    </row>
    <row r="1950">
      <c r="A1950" s="6" t="n"/>
      <c r="B1950" s="6" t="n"/>
      <c r="C1950" s="6" t="n"/>
      <c r="D1950" s="6" t="n"/>
      <c r="E1950" s="6" t="n"/>
      <c r="F1950" s="7" t="n"/>
      <c r="G1950" s="7" t="n"/>
      <c r="H1950" s="8" t="n"/>
      <c r="I1950" s="9">
        <f>IF($A1950="","",SUMIFS(Ventes_Encaissements!$D$6:$D$3005,Ventes_Encaissements!$B$6:$B$3005,$A1950))</f>
        <v/>
      </c>
      <c r="J1950" s="9">
        <f>IF($A1950="","",$H1950-$I1950)</f>
        <v/>
      </c>
      <c r="K1950" s="10">
        <f>IF($A1950="","",IF($I1950=0,"",_xludf.AGGREGATE(14,6,Ventes_Encaissements!$C$6:$C$3005/(Ventes_Encaissements!$B$6:$B$3005=$A1950),1)))</f>
        <v/>
      </c>
      <c r="L1950" s="11">
        <f>IF($A1950="","",COUNTIFS(Ventes_Detail!$B$6:$B$3005,$A1950))</f>
        <v/>
      </c>
      <c r="M1950" s="12" t="n"/>
      <c r="N1950" s="12">
        <f>IF($A1950="","",IF($G1950="","",IF($M1950="Oui","Litige",IF($J1950&lt;=0,"Payé",IF($I1950&gt;0,"Partiel",IF(Listes!$B$3&gt;$G1950,"En retard","À échoir"))))))</f>
        <v/>
      </c>
      <c r="O1950" s="11">
        <f>IF($A1950="","",IF(OR($G1950="", $J1950&lt;=0),0,MAX(0,Listes!$B$3-$G1950)))</f>
        <v/>
      </c>
      <c r="P1950" s="12">
        <f>IF($A1950="","",IF($J1950&lt;=0,"Payé",IF($M1950="Oui","Litige",IF($O1950=0,"À échoir",IF($O1950&lt;=30,"0-30",IF($O1950&lt;=60,"31-60",IF($O1950&lt;=90,"61-90","90+")))))))</f>
        <v/>
      </c>
    </row>
    <row r="1951">
      <c r="A1951" s="6" t="n"/>
      <c r="B1951" s="6" t="n"/>
      <c r="C1951" s="6" t="n"/>
      <c r="D1951" s="6" t="n"/>
      <c r="E1951" s="6" t="n"/>
      <c r="F1951" s="7" t="n"/>
      <c r="G1951" s="7" t="n"/>
      <c r="H1951" s="8" t="n"/>
      <c r="I1951" s="9">
        <f>IF($A1951="","",SUMIFS(Ventes_Encaissements!$D$6:$D$3005,Ventes_Encaissements!$B$6:$B$3005,$A1951))</f>
        <v/>
      </c>
      <c r="J1951" s="9">
        <f>IF($A1951="","",$H1951-$I1951)</f>
        <v/>
      </c>
      <c r="K1951" s="10">
        <f>IF($A1951="","",IF($I1951=0,"",_xludf.AGGREGATE(14,6,Ventes_Encaissements!$C$6:$C$3005/(Ventes_Encaissements!$B$6:$B$3005=$A1951),1)))</f>
        <v/>
      </c>
      <c r="L1951" s="11">
        <f>IF($A1951="","",COUNTIFS(Ventes_Detail!$B$6:$B$3005,$A1951))</f>
        <v/>
      </c>
      <c r="M1951" s="12" t="n"/>
      <c r="N1951" s="12">
        <f>IF($A1951="","",IF($G1951="","",IF($M1951="Oui","Litige",IF($J1951&lt;=0,"Payé",IF($I1951&gt;0,"Partiel",IF(Listes!$B$3&gt;$G1951,"En retard","À échoir"))))))</f>
        <v/>
      </c>
      <c r="O1951" s="11">
        <f>IF($A1951="","",IF(OR($G1951="", $J1951&lt;=0),0,MAX(0,Listes!$B$3-$G1951)))</f>
        <v/>
      </c>
      <c r="P1951" s="12">
        <f>IF($A1951="","",IF($J1951&lt;=0,"Payé",IF($M1951="Oui","Litige",IF($O1951=0,"À échoir",IF($O1951&lt;=30,"0-30",IF($O1951&lt;=60,"31-60",IF($O1951&lt;=90,"61-90","90+")))))))</f>
        <v/>
      </c>
    </row>
    <row r="1952">
      <c r="A1952" s="6" t="n"/>
      <c r="B1952" s="6" t="n"/>
      <c r="C1952" s="6" t="n"/>
      <c r="D1952" s="6" t="n"/>
      <c r="E1952" s="6" t="n"/>
      <c r="F1952" s="7" t="n"/>
      <c r="G1952" s="7" t="n"/>
      <c r="H1952" s="8" t="n"/>
      <c r="I1952" s="9">
        <f>IF($A1952="","",SUMIFS(Ventes_Encaissements!$D$6:$D$3005,Ventes_Encaissements!$B$6:$B$3005,$A1952))</f>
        <v/>
      </c>
      <c r="J1952" s="9">
        <f>IF($A1952="","",$H1952-$I1952)</f>
        <v/>
      </c>
      <c r="K1952" s="10">
        <f>IF($A1952="","",IF($I1952=0,"",_xludf.AGGREGATE(14,6,Ventes_Encaissements!$C$6:$C$3005/(Ventes_Encaissements!$B$6:$B$3005=$A1952),1)))</f>
        <v/>
      </c>
      <c r="L1952" s="11">
        <f>IF($A1952="","",COUNTIFS(Ventes_Detail!$B$6:$B$3005,$A1952))</f>
        <v/>
      </c>
      <c r="M1952" s="12" t="n"/>
      <c r="N1952" s="12">
        <f>IF($A1952="","",IF($G1952="","",IF($M1952="Oui","Litige",IF($J1952&lt;=0,"Payé",IF($I1952&gt;0,"Partiel",IF(Listes!$B$3&gt;$G1952,"En retard","À échoir"))))))</f>
        <v/>
      </c>
      <c r="O1952" s="11">
        <f>IF($A1952="","",IF(OR($G1952="", $J1952&lt;=0),0,MAX(0,Listes!$B$3-$G1952)))</f>
        <v/>
      </c>
      <c r="P1952" s="12">
        <f>IF($A1952="","",IF($J1952&lt;=0,"Payé",IF($M1952="Oui","Litige",IF($O1952=0,"À échoir",IF($O1952&lt;=30,"0-30",IF($O1952&lt;=60,"31-60",IF($O1952&lt;=90,"61-90","90+")))))))</f>
        <v/>
      </c>
    </row>
    <row r="1953">
      <c r="A1953" s="6" t="n"/>
      <c r="B1953" s="6" t="n"/>
      <c r="C1953" s="6" t="n"/>
      <c r="D1953" s="6" t="n"/>
      <c r="E1953" s="6" t="n"/>
      <c r="F1953" s="7" t="n"/>
      <c r="G1953" s="7" t="n"/>
      <c r="H1953" s="8" t="n"/>
      <c r="I1953" s="9">
        <f>IF($A1953="","",SUMIFS(Ventes_Encaissements!$D$6:$D$3005,Ventes_Encaissements!$B$6:$B$3005,$A1953))</f>
        <v/>
      </c>
      <c r="J1953" s="9">
        <f>IF($A1953="","",$H1953-$I1953)</f>
        <v/>
      </c>
      <c r="K1953" s="10">
        <f>IF($A1953="","",IF($I1953=0,"",_xludf.AGGREGATE(14,6,Ventes_Encaissements!$C$6:$C$3005/(Ventes_Encaissements!$B$6:$B$3005=$A1953),1)))</f>
        <v/>
      </c>
      <c r="L1953" s="11">
        <f>IF($A1953="","",COUNTIFS(Ventes_Detail!$B$6:$B$3005,$A1953))</f>
        <v/>
      </c>
      <c r="M1953" s="12" t="n"/>
      <c r="N1953" s="12">
        <f>IF($A1953="","",IF($G1953="","",IF($M1953="Oui","Litige",IF($J1953&lt;=0,"Payé",IF($I1953&gt;0,"Partiel",IF(Listes!$B$3&gt;$G1953,"En retard","À échoir"))))))</f>
        <v/>
      </c>
      <c r="O1953" s="11">
        <f>IF($A1953="","",IF(OR($G1953="", $J1953&lt;=0),0,MAX(0,Listes!$B$3-$G1953)))</f>
        <v/>
      </c>
      <c r="P1953" s="12">
        <f>IF($A1953="","",IF($J1953&lt;=0,"Payé",IF($M1953="Oui","Litige",IF($O1953=0,"À échoir",IF($O1953&lt;=30,"0-30",IF($O1953&lt;=60,"31-60",IF($O1953&lt;=90,"61-90","90+")))))))</f>
        <v/>
      </c>
    </row>
    <row r="1954">
      <c r="A1954" s="6" t="n"/>
      <c r="B1954" s="6" t="n"/>
      <c r="C1954" s="6" t="n"/>
      <c r="D1954" s="6" t="n"/>
      <c r="E1954" s="6" t="n"/>
      <c r="F1954" s="7" t="n"/>
      <c r="G1954" s="7" t="n"/>
      <c r="H1954" s="8" t="n"/>
      <c r="I1954" s="9">
        <f>IF($A1954="","",SUMIFS(Ventes_Encaissements!$D$6:$D$3005,Ventes_Encaissements!$B$6:$B$3005,$A1954))</f>
        <v/>
      </c>
      <c r="J1954" s="9">
        <f>IF($A1954="","",$H1954-$I1954)</f>
        <v/>
      </c>
      <c r="K1954" s="10">
        <f>IF($A1954="","",IF($I1954=0,"",_xludf.AGGREGATE(14,6,Ventes_Encaissements!$C$6:$C$3005/(Ventes_Encaissements!$B$6:$B$3005=$A1954),1)))</f>
        <v/>
      </c>
      <c r="L1954" s="11">
        <f>IF($A1954="","",COUNTIFS(Ventes_Detail!$B$6:$B$3005,$A1954))</f>
        <v/>
      </c>
      <c r="M1954" s="12" t="n"/>
      <c r="N1954" s="12">
        <f>IF($A1954="","",IF($G1954="","",IF($M1954="Oui","Litige",IF($J1954&lt;=0,"Payé",IF($I1954&gt;0,"Partiel",IF(Listes!$B$3&gt;$G1954,"En retard","À échoir"))))))</f>
        <v/>
      </c>
      <c r="O1954" s="11">
        <f>IF($A1954="","",IF(OR($G1954="", $J1954&lt;=0),0,MAX(0,Listes!$B$3-$G1954)))</f>
        <v/>
      </c>
      <c r="P1954" s="12">
        <f>IF($A1954="","",IF($J1954&lt;=0,"Payé",IF($M1954="Oui","Litige",IF($O1954=0,"À échoir",IF($O1954&lt;=30,"0-30",IF($O1954&lt;=60,"31-60",IF($O1954&lt;=90,"61-90","90+")))))))</f>
        <v/>
      </c>
    </row>
    <row r="1955">
      <c r="A1955" s="6" t="n"/>
      <c r="B1955" s="6" t="n"/>
      <c r="C1955" s="6" t="n"/>
      <c r="D1955" s="6" t="n"/>
      <c r="E1955" s="6" t="n"/>
      <c r="F1955" s="7" t="n"/>
      <c r="G1955" s="7" t="n"/>
      <c r="H1955" s="8" t="n"/>
      <c r="I1955" s="9">
        <f>IF($A1955="","",SUMIFS(Ventes_Encaissements!$D$6:$D$3005,Ventes_Encaissements!$B$6:$B$3005,$A1955))</f>
        <v/>
      </c>
      <c r="J1955" s="9">
        <f>IF($A1955="","",$H1955-$I1955)</f>
        <v/>
      </c>
      <c r="K1955" s="10">
        <f>IF($A1955="","",IF($I1955=0,"",_xludf.AGGREGATE(14,6,Ventes_Encaissements!$C$6:$C$3005/(Ventes_Encaissements!$B$6:$B$3005=$A1955),1)))</f>
        <v/>
      </c>
      <c r="L1955" s="11">
        <f>IF($A1955="","",COUNTIFS(Ventes_Detail!$B$6:$B$3005,$A1955))</f>
        <v/>
      </c>
      <c r="M1955" s="12" t="n"/>
      <c r="N1955" s="12">
        <f>IF($A1955="","",IF($G1955="","",IF($M1955="Oui","Litige",IF($J1955&lt;=0,"Payé",IF($I1955&gt;0,"Partiel",IF(Listes!$B$3&gt;$G1955,"En retard","À échoir"))))))</f>
        <v/>
      </c>
      <c r="O1955" s="11">
        <f>IF($A1955="","",IF(OR($G1955="", $J1955&lt;=0),0,MAX(0,Listes!$B$3-$G1955)))</f>
        <v/>
      </c>
      <c r="P1955" s="12">
        <f>IF($A1955="","",IF($J1955&lt;=0,"Payé",IF($M1955="Oui","Litige",IF($O1955=0,"À échoir",IF($O1955&lt;=30,"0-30",IF($O1955&lt;=60,"31-60",IF($O1955&lt;=90,"61-90","90+")))))))</f>
        <v/>
      </c>
    </row>
    <row r="1956">
      <c r="A1956" s="6" t="n"/>
      <c r="B1956" s="6" t="n"/>
      <c r="C1956" s="6" t="n"/>
      <c r="D1956" s="6" t="n"/>
      <c r="E1956" s="6" t="n"/>
      <c r="F1956" s="7" t="n"/>
      <c r="G1956" s="7" t="n"/>
      <c r="H1956" s="8" t="n"/>
      <c r="I1956" s="9">
        <f>IF($A1956="","",SUMIFS(Ventes_Encaissements!$D$6:$D$3005,Ventes_Encaissements!$B$6:$B$3005,$A1956))</f>
        <v/>
      </c>
      <c r="J1956" s="9">
        <f>IF($A1956="","",$H1956-$I1956)</f>
        <v/>
      </c>
      <c r="K1956" s="10">
        <f>IF($A1956="","",IF($I1956=0,"",_xludf.AGGREGATE(14,6,Ventes_Encaissements!$C$6:$C$3005/(Ventes_Encaissements!$B$6:$B$3005=$A1956),1)))</f>
        <v/>
      </c>
      <c r="L1956" s="11">
        <f>IF($A1956="","",COUNTIFS(Ventes_Detail!$B$6:$B$3005,$A1956))</f>
        <v/>
      </c>
      <c r="M1956" s="12" t="n"/>
      <c r="N1956" s="12">
        <f>IF($A1956="","",IF($G1956="","",IF($M1956="Oui","Litige",IF($J1956&lt;=0,"Payé",IF($I1956&gt;0,"Partiel",IF(Listes!$B$3&gt;$G1956,"En retard","À échoir"))))))</f>
        <v/>
      </c>
      <c r="O1956" s="11">
        <f>IF($A1956="","",IF(OR($G1956="", $J1956&lt;=0),0,MAX(0,Listes!$B$3-$G1956)))</f>
        <v/>
      </c>
      <c r="P1956" s="12">
        <f>IF($A1956="","",IF($J1956&lt;=0,"Payé",IF($M1956="Oui","Litige",IF($O1956=0,"À échoir",IF($O1956&lt;=30,"0-30",IF($O1956&lt;=60,"31-60",IF($O1956&lt;=90,"61-90","90+")))))))</f>
        <v/>
      </c>
    </row>
    <row r="1957">
      <c r="A1957" s="6" t="n"/>
      <c r="B1957" s="6" t="n"/>
      <c r="C1957" s="6" t="n"/>
      <c r="D1957" s="6" t="n"/>
      <c r="E1957" s="6" t="n"/>
      <c r="F1957" s="7" t="n"/>
      <c r="G1957" s="7" t="n"/>
      <c r="H1957" s="8" t="n"/>
      <c r="I1957" s="9">
        <f>IF($A1957="","",SUMIFS(Ventes_Encaissements!$D$6:$D$3005,Ventes_Encaissements!$B$6:$B$3005,$A1957))</f>
        <v/>
      </c>
      <c r="J1957" s="9">
        <f>IF($A1957="","",$H1957-$I1957)</f>
        <v/>
      </c>
      <c r="K1957" s="10">
        <f>IF($A1957="","",IF($I1957=0,"",_xludf.AGGREGATE(14,6,Ventes_Encaissements!$C$6:$C$3005/(Ventes_Encaissements!$B$6:$B$3005=$A1957),1)))</f>
        <v/>
      </c>
      <c r="L1957" s="11">
        <f>IF($A1957="","",COUNTIFS(Ventes_Detail!$B$6:$B$3005,$A1957))</f>
        <v/>
      </c>
      <c r="M1957" s="12" t="n"/>
      <c r="N1957" s="12">
        <f>IF($A1957="","",IF($G1957="","",IF($M1957="Oui","Litige",IF($J1957&lt;=0,"Payé",IF($I1957&gt;0,"Partiel",IF(Listes!$B$3&gt;$G1957,"En retard","À échoir"))))))</f>
        <v/>
      </c>
      <c r="O1957" s="11">
        <f>IF($A1957="","",IF(OR($G1957="", $J1957&lt;=0),0,MAX(0,Listes!$B$3-$G1957)))</f>
        <v/>
      </c>
      <c r="P1957" s="12">
        <f>IF($A1957="","",IF($J1957&lt;=0,"Payé",IF($M1957="Oui","Litige",IF($O1957=0,"À échoir",IF($O1957&lt;=30,"0-30",IF($O1957&lt;=60,"31-60",IF($O1957&lt;=90,"61-90","90+")))))))</f>
        <v/>
      </c>
    </row>
    <row r="1958">
      <c r="A1958" s="6" t="n"/>
      <c r="B1958" s="6" t="n"/>
      <c r="C1958" s="6" t="n"/>
      <c r="D1958" s="6" t="n"/>
      <c r="E1958" s="6" t="n"/>
      <c r="F1958" s="7" t="n"/>
      <c r="G1958" s="7" t="n"/>
      <c r="H1958" s="8" t="n"/>
      <c r="I1958" s="9">
        <f>IF($A1958="","",SUMIFS(Ventes_Encaissements!$D$6:$D$3005,Ventes_Encaissements!$B$6:$B$3005,$A1958))</f>
        <v/>
      </c>
      <c r="J1958" s="9">
        <f>IF($A1958="","",$H1958-$I1958)</f>
        <v/>
      </c>
      <c r="K1958" s="10">
        <f>IF($A1958="","",IF($I1958=0,"",_xludf.AGGREGATE(14,6,Ventes_Encaissements!$C$6:$C$3005/(Ventes_Encaissements!$B$6:$B$3005=$A1958),1)))</f>
        <v/>
      </c>
      <c r="L1958" s="11">
        <f>IF($A1958="","",COUNTIFS(Ventes_Detail!$B$6:$B$3005,$A1958))</f>
        <v/>
      </c>
      <c r="M1958" s="12" t="n"/>
      <c r="N1958" s="12">
        <f>IF($A1958="","",IF($G1958="","",IF($M1958="Oui","Litige",IF($J1958&lt;=0,"Payé",IF($I1958&gt;0,"Partiel",IF(Listes!$B$3&gt;$G1958,"En retard","À échoir"))))))</f>
        <v/>
      </c>
      <c r="O1958" s="11">
        <f>IF($A1958="","",IF(OR($G1958="", $J1958&lt;=0),0,MAX(0,Listes!$B$3-$G1958)))</f>
        <v/>
      </c>
      <c r="P1958" s="12">
        <f>IF($A1958="","",IF($J1958&lt;=0,"Payé",IF($M1958="Oui","Litige",IF($O1958=0,"À échoir",IF($O1958&lt;=30,"0-30",IF($O1958&lt;=60,"31-60",IF($O1958&lt;=90,"61-90","90+")))))))</f>
        <v/>
      </c>
    </row>
    <row r="1959">
      <c r="A1959" s="6" t="n"/>
      <c r="B1959" s="6" t="n"/>
      <c r="C1959" s="6" t="n"/>
      <c r="D1959" s="6" t="n"/>
      <c r="E1959" s="6" t="n"/>
      <c r="F1959" s="7" t="n"/>
      <c r="G1959" s="7" t="n"/>
      <c r="H1959" s="8" t="n"/>
      <c r="I1959" s="9">
        <f>IF($A1959="","",SUMIFS(Ventes_Encaissements!$D$6:$D$3005,Ventes_Encaissements!$B$6:$B$3005,$A1959))</f>
        <v/>
      </c>
      <c r="J1959" s="9">
        <f>IF($A1959="","",$H1959-$I1959)</f>
        <v/>
      </c>
      <c r="K1959" s="10">
        <f>IF($A1959="","",IF($I1959=0,"",_xludf.AGGREGATE(14,6,Ventes_Encaissements!$C$6:$C$3005/(Ventes_Encaissements!$B$6:$B$3005=$A1959),1)))</f>
        <v/>
      </c>
      <c r="L1959" s="11">
        <f>IF($A1959="","",COUNTIFS(Ventes_Detail!$B$6:$B$3005,$A1959))</f>
        <v/>
      </c>
      <c r="M1959" s="12" t="n"/>
      <c r="N1959" s="12">
        <f>IF($A1959="","",IF($G1959="","",IF($M1959="Oui","Litige",IF($J1959&lt;=0,"Payé",IF($I1959&gt;0,"Partiel",IF(Listes!$B$3&gt;$G1959,"En retard","À échoir"))))))</f>
        <v/>
      </c>
      <c r="O1959" s="11">
        <f>IF($A1959="","",IF(OR($G1959="", $J1959&lt;=0),0,MAX(0,Listes!$B$3-$G1959)))</f>
        <v/>
      </c>
      <c r="P1959" s="12">
        <f>IF($A1959="","",IF($J1959&lt;=0,"Payé",IF($M1959="Oui","Litige",IF($O1959=0,"À échoir",IF($O1959&lt;=30,"0-30",IF($O1959&lt;=60,"31-60",IF($O1959&lt;=90,"61-90","90+")))))))</f>
        <v/>
      </c>
    </row>
    <row r="1960">
      <c r="A1960" s="6" t="n"/>
      <c r="B1960" s="6" t="n"/>
      <c r="C1960" s="6" t="n"/>
      <c r="D1960" s="6" t="n"/>
      <c r="E1960" s="6" t="n"/>
      <c r="F1960" s="7" t="n"/>
      <c r="G1960" s="7" t="n"/>
      <c r="H1960" s="8" t="n"/>
      <c r="I1960" s="9">
        <f>IF($A1960="","",SUMIFS(Ventes_Encaissements!$D$6:$D$3005,Ventes_Encaissements!$B$6:$B$3005,$A1960))</f>
        <v/>
      </c>
      <c r="J1960" s="9">
        <f>IF($A1960="","",$H1960-$I1960)</f>
        <v/>
      </c>
      <c r="K1960" s="10">
        <f>IF($A1960="","",IF($I1960=0,"",_xludf.AGGREGATE(14,6,Ventes_Encaissements!$C$6:$C$3005/(Ventes_Encaissements!$B$6:$B$3005=$A1960),1)))</f>
        <v/>
      </c>
      <c r="L1960" s="11">
        <f>IF($A1960="","",COUNTIFS(Ventes_Detail!$B$6:$B$3005,$A1960))</f>
        <v/>
      </c>
      <c r="M1960" s="12" t="n"/>
      <c r="N1960" s="12">
        <f>IF($A1960="","",IF($G1960="","",IF($M1960="Oui","Litige",IF($J1960&lt;=0,"Payé",IF($I1960&gt;0,"Partiel",IF(Listes!$B$3&gt;$G1960,"En retard","À échoir"))))))</f>
        <v/>
      </c>
      <c r="O1960" s="11">
        <f>IF($A1960="","",IF(OR($G1960="", $J1960&lt;=0),0,MAX(0,Listes!$B$3-$G1960)))</f>
        <v/>
      </c>
      <c r="P1960" s="12">
        <f>IF($A1960="","",IF($J1960&lt;=0,"Payé",IF($M1960="Oui","Litige",IF($O1960=0,"À échoir",IF($O1960&lt;=30,"0-30",IF($O1960&lt;=60,"31-60",IF($O1960&lt;=90,"61-90","90+")))))))</f>
        <v/>
      </c>
    </row>
    <row r="1961">
      <c r="A1961" s="6" t="n"/>
      <c r="B1961" s="6" t="n"/>
      <c r="C1961" s="6" t="n"/>
      <c r="D1961" s="6" t="n"/>
      <c r="E1961" s="6" t="n"/>
      <c r="F1961" s="7" t="n"/>
      <c r="G1961" s="7" t="n"/>
      <c r="H1961" s="8" t="n"/>
      <c r="I1961" s="9">
        <f>IF($A1961="","",SUMIFS(Ventes_Encaissements!$D$6:$D$3005,Ventes_Encaissements!$B$6:$B$3005,$A1961))</f>
        <v/>
      </c>
      <c r="J1961" s="9">
        <f>IF($A1961="","",$H1961-$I1961)</f>
        <v/>
      </c>
      <c r="K1961" s="10">
        <f>IF($A1961="","",IF($I1961=0,"",_xludf.AGGREGATE(14,6,Ventes_Encaissements!$C$6:$C$3005/(Ventes_Encaissements!$B$6:$B$3005=$A1961),1)))</f>
        <v/>
      </c>
      <c r="L1961" s="11">
        <f>IF($A1961="","",COUNTIFS(Ventes_Detail!$B$6:$B$3005,$A1961))</f>
        <v/>
      </c>
      <c r="M1961" s="12" t="n"/>
      <c r="N1961" s="12">
        <f>IF($A1961="","",IF($G1961="","",IF($M1961="Oui","Litige",IF($J1961&lt;=0,"Payé",IF($I1961&gt;0,"Partiel",IF(Listes!$B$3&gt;$G1961,"En retard","À échoir"))))))</f>
        <v/>
      </c>
      <c r="O1961" s="11">
        <f>IF($A1961="","",IF(OR($G1961="", $J1961&lt;=0),0,MAX(0,Listes!$B$3-$G1961)))</f>
        <v/>
      </c>
      <c r="P1961" s="12">
        <f>IF($A1961="","",IF($J1961&lt;=0,"Payé",IF($M1961="Oui","Litige",IF($O1961=0,"À échoir",IF($O1961&lt;=30,"0-30",IF($O1961&lt;=60,"31-60",IF($O1961&lt;=90,"61-90","90+")))))))</f>
        <v/>
      </c>
    </row>
    <row r="1962">
      <c r="A1962" s="6" t="n"/>
      <c r="B1962" s="6" t="n"/>
      <c r="C1962" s="6" t="n"/>
      <c r="D1962" s="6" t="n"/>
      <c r="E1962" s="6" t="n"/>
      <c r="F1962" s="7" t="n"/>
      <c r="G1962" s="7" t="n"/>
      <c r="H1962" s="8" t="n"/>
      <c r="I1962" s="9">
        <f>IF($A1962="","",SUMIFS(Ventes_Encaissements!$D$6:$D$3005,Ventes_Encaissements!$B$6:$B$3005,$A1962))</f>
        <v/>
      </c>
      <c r="J1962" s="9">
        <f>IF($A1962="","",$H1962-$I1962)</f>
        <v/>
      </c>
      <c r="K1962" s="10">
        <f>IF($A1962="","",IF($I1962=0,"",_xludf.AGGREGATE(14,6,Ventes_Encaissements!$C$6:$C$3005/(Ventes_Encaissements!$B$6:$B$3005=$A1962),1)))</f>
        <v/>
      </c>
      <c r="L1962" s="11">
        <f>IF($A1962="","",COUNTIFS(Ventes_Detail!$B$6:$B$3005,$A1962))</f>
        <v/>
      </c>
      <c r="M1962" s="12" t="n"/>
      <c r="N1962" s="12">
        <f>IF($A1962="","",IF($G1962="","",IF($M1962="Oui","Litige",IF($J1962&lt;=0,"Payé",IF($I1962&gt;0,"Partiel",IF(Listes!$B$3&gt;$G1962,"En retard","À échoir"))))))</f>
        <v/>
      </c>
      <c r="O1962" s="11">
        <f>IF($A1962="","",IF(OR($G1962="", $J1962&lt;=0),0,MAX(0,Listes!$B$3-$G1962)))</f>
        <v/>
      </c>
      <c r="P1962" s="12">
        <f>IF($A1962="","",IF($J1962&lt;=0,"Payé",IF($M1962="Oui","Litige",IF($O1962=0,"À échoir",IF($O1962&lt;=30,"0-30",IF($O1962&lt;=60,"31-60",IF($O1962&lt;=90,"61-90","90+")))))))</f>
        <v/>
      </c>
    </row>
    <row r="1963">
      <c r="A1963" s="6" t="n"/>
      <c r="B1963" s="6" t="n"/>
      <c r="C1963" s="6" t="n"/>
      <c r="D1963" s="6" t="n"/>
      <c r="E1963" s="6" t="n"/>
      <c r="F1963" s="7" t="n"/>
      <c r="G1963" s="7" t="n"/>
      <c r="H1963" s="8" t="n"/>
      <c r="I1963" s="9">
        <f>IF($A1963="","",SUMIFS(Ventes_Encaissements!$D$6:$D$3005,Ventes_Encaissements!$B$6:$B$3005,$A1963))</f>
        <v/>
      </c>
      <c r="J1963" s="9">
        <f>IF($A1963="","",$H1963-$I1963)</f>
        <v/>
      </c>
      <c r="K1963" s="10">
        <f>IF($A1963="","",IF($I1963=0,"",_xludf.AGGREGATE(14,6,Ventes_Encaissements!$C$6:$C$3005/(Ventes_Encaissements!$B$6:$B$3005=$A1963),1)))</f>
        <v/>
      </c>
      <c r="L1963" s="11">
        <f>IF($A1963="","",COUNTIFS(Ventes_Detail!$B$6:$B$3005,$A1963))</f>
        <v/>
      </c>
      <c r="M1963" s="12" t="n"/>
      <c r="N1963" s="12">
        <f>IF($A1963="","",IF($G1963="","",IF($M1963="Oui","Litige",IF($J1963&lt;=0,"Payé",IF($I1963&gt;0,"Partiel",IF(Listes!$B$3&gt;$G1963,"En retard","À échoir"))))))</f>
        <v/>
      </c>
      <c r="O1963" s="11">
        <f>IF($A1963="","",IF(OR($G1963="", $J1963&lt;=0),0,MAX(0,Listes!$B$3-$G1963)))</f>
        <v/>
      </c>
      <c r="P1963" s="12">
        <f>IF($A1963="","",IF($J1963&lt;=0,"Payé",IF($M1963="Oui","Litige",IF($O1963=0,"À échoir",IF($O1963&lt;=30,"0-30",IF($O1963&lt;=60,"31-60",IF($O1963&lt;=90,"61-90","90+")))))))</f>
        <v/>
      </c>
    </row>
    <row r="1964">
      <c r="A1964" s="6" t="n"/>
      <c r="B1964" s="6" t="n"/>
      <c r="C1964" s="6" t="n"/>
      <c r="D1964" s="6" t="n"/>
      <c r="E1964" s="6" t="n"/>
      <c r="F1964" s="7" t="n"/>
      <c r="G1964" s="7" t="n"/>
      <c r="H1964" s="8" t="n"/>
      <c r="I1964" s="9">
        <f>IF($A1964="","",SUMIFS(Ventes_Encaissements!$D$6:$D$3005,Ventes_Encaissements!$B$6:$B$3005,$A1964))</f>
        <v/>
      </c>
      <c r="J1964" s="9">
        <f>IF($A1964="","",$H1964-$I1964)</f>
        <v/>
      </c>
      <c r="K1964" s="10">
        <f>IF($A1964="","",IF($I1964=0,"",_xludf.AGGREGATE(14,6,Ventes_Encaissements!$C$6:$C$3005/(Ventes_Encaissements!$B$6:$B$3005=$A1964),1)))</f>
        <v/>
      </c>
      <c r="L1964" s="11">
        <f>IF($A1964="","",COUNTIFS(Ventes_Detail!$B$6:$B$3005,$A1964))</f>
        <v/>
      </c>
      <c r="M1964" s="12" t="n"/>
      <c r="N1964" s="12">
        <f>IF($A1964="","",IF($G1964="","",IF($M1964="Oui","Litige",IF($J1964&lt;=0,"Payé",IF($I1964&gt;0,"Partiel",IF(Listes!$B$3&gt;$G1964,"En retard","À échoir"))))))</f>
        <v/>
      </c>
      <c r="O1964" s="11">
        <f>IF($A1964="","",IF(OR($G1964="", $J1964&lt;=0),0,MAX(0,Listes!$B$3-$G1964)))</f>
        <v/>
      </c>
      <c r="P1964" s="12">
        <f>IF($A1964="","",IF($J1964&lt;=0,"Payé",IF($M1964="Oui","Litige",IF($O1964=0,"À échoir",IF($O1964&lt;=30,"0-30",IF($O1964&lt;=60,"31-60",IF($O1964&lt;=90,"61-90","90+")))))))</f>
        <v/>
      </c>
    </row>
    <row r="1965">
      <c r="A1965" s="6" t="n"/>
      <c r="B1965" s="6" t="n"/>
      <c r="C1965" s="6" t="n"/>
      <c r="D1965" s="6" t="n"/>
      <c r="E1965" s="6" t="n"/>
      <c r="F1965" s="7" t="n"/>
      <c r="G1965" s="7" t="n"/>
      <c r="H1965" s="8" t="n"/>
      <c r="I1965" s="9">
        <f>IF($A1965="","",SUMIFS(Ventes_Encaissements!$D$6:$D$3005,Ventes_Encaissements!$B$6:$B$3005,$A1965))</f>
        <v/>
      </c>
      <c r="J1965" s="9">
        <f>IF($A1965="","",$H1965-$I1965)</f>
        <v/>
      </c>
      <c r="K1965" s="10">
        <f>IF($A1965="","",IF($I1965=0,"",_xludf.AGGREGATE(14,6,Ventes_Encaissements!$C$6:$C$3005/(Ventes_Encaissements!$B$6:$B$3005=$A1965),1)))</f>
        <v/>
      </c>
      <c r="L1965" s="11">
        <f>IF($A1965="","",COUNTIFS(Ventes_Detail!$B$6:$B$3005,$A1965))</f>
        <v/>
      </c>
      <c r="M1965" s="12" t="n"/>
      <c r="N1965" s="12">
        <f>IF($A1965="","",IF($G1965="","",IF($M1965="Oui","Litige",IF($J1965&lt;=0,"Payé",IF($I1965&gt;0,"Partiel",IF(Listes!$B$3&gt;$G1965,"En retard","À échoir"))))))</f>
        <v/>
      </c>
      <c r="O1965" s="11">
        <f>IF($A1965="","",IF(OR($G1965="", $J1965&lt;=0),0,MAX(0,Listes!$B$3-$G1965)))</f>
        <v/>
      </c>
      <c r="P1965" s="12">
        <f>IF($A1965="","",IF($J1965&lt;=0,"Payé",IF($M1965="Oui","Litige",IF($O1965=0,"À échoir",IF($O1965&lt;=30,"0-30",IF($O1965&lt;=60,"31-60",IF($O1965&lt;=90,"61-90","90+")))))))</f>
        <v/>
      </c>
    </row>
    <row r="1966">
      <c r="A1966" s="6" t="n"/>
      <c r="B1966" s="6" t="n"/>
      <c r="C1966" s="6" t="n"/>
      <c r="D1966" s="6" t="n"/>
      <c r="E1966" s="6" t="n"/>
      <c r="F1966" s="7" t="n"/>
      <c r="G1966" s="7" t="n"/>
      <c r="H1966" s="8" t="n"/>
      <c r="I1966" s="9">
        <f>IF($A1966="","",SUMIFS(Ventes_Encaissements!$D$6:$D$3005,Ventes_Encaissements!$B$6:$B$3005,$A1966))</f>
        <v/>
      </c>
      <c r="J1966" s="9">
        <f>IF($A1966="","",$H1966-$I1966)</f>
        <v/>
      </c>
      <c r="K1966" s="10">
        <f>IF($A1966="","",IF($I1966=0,"",_xludf.AGGREGATE(14,6,Ventes_Encaissements!$C$6:$C$3005/(Ventes_Encaissements!$B$6:$B$3005=$A1966),1)))</f>
        <v/>
      </c>
      <c r="L1966" s="11">
        <f>IF($A1966="","",COUNTIFS(Ventes_Detail!$B$6:$B$3005,$A1966))</f>
        <v/>
      </c>
      <c r="M1966" s="12" t="n"/>
      <c r="N1966" s="12">
        <f>IF($A1966="","",IF($G1966="","",IF($M1966="Oui","Litige",IF($J1966&lt;=0,"Payé",IF($I1966&gt;0,"Partiel",IF(Listes!$B$3&gt;$G1966,"En retard","À échoir"))))))</f>
        <v/>
      </c>
      <c r="O1966" s="11">
        <f>IF($A1966="","",IF(OR($G1966="", $J1966&lt;=0),0,MAX(0,Listes!$B$3-$G1966)))</f>
        <v/>
      </c>
      <c r="P1966" s="12">
        <f>IF($A1966="","",IF($J1966&lt;=0,"Payé",IF($M1966="Oui","Litige",IF($O1966=0,"À échoir",IF($O1966&lt;=30,"0-30",IF($O1966&lt;=60,"31-60",IF($O1966&lt;=90,"61-90","90+")))))))</f>
        <v/>
      </c>
    </row>
    <row r="1967">
      <c r="A1967" s="6" t="n"/>
      <c r="B1967" s="6" t="n"/>
      <c r="C1967" s="6" t="n"/>
      <c r="D1967" s="6" t="n"/>
      <c r="E1967" s="6" t="n"/>
      <c r="F1967" s="7" t="n"/>
      <c r="G1967" s="7" t="n"/>
      <c r="H1967" s="8" t="n"/>
      <c r="I1967" s="9">
        <f>IF($A1967="","",SUMIFS(Ventes_Encaissements!$D$6:$D$3005,Ventes_Encaissements!$B$6:$B$3005,$A1967))</f>
        <v/>
      </c>
      <c r="J1967" s="9">
        <f>IF($A1967="","",$H1967-$I1967)</f>
        <v/>
      </c>
      <c r="K1967" s="10">
        <f>IF($A1967="","",IF($I1967=0,"",_xludf.AGGREGATE(14,6,Ventes_Encaissements!$C$6:$C$3005/(Ventes_Encaissements!$B$6:$B$3005=$A1967),1)))</f>
        <v/>
      </c>
      <c r="L1967" s="11">
        <f>IF($A1967="","",COUNTIFS(Ventes_Detail!$B$6:$B$3005,$A1967))</f>
        <v/>
      </c>
      <c r="M1967" s="12" t="n"/>
      <c r="N1967" s="12">
        <f>IF($A1967="","",IF($G1967="","",IF($M1967="Oui","Litige",IF($J1967&lt;=0,"Payé",IF($I1967&gt;0,"Partiel",IF(Listes!$B$3&gt;$G1967,"En retard","À échoir"))))))</f>
        <v/>
      </c>
      <c r="O1967" s="11">
        <f>IF($A1967="","",IF(OR($G1967="", $J1967&lt;=0),0,MAX(0,Listes!$B$3-$G1967)))</f>
        <v/>
      </c>
      <c r="P1967" s="12">
        <f>IF($A1967="","",IF($J1967&lt;=0,"Payé",IF($M1967="Oui","Litige",IF($O1967=0,"À échoir",IF($O1967&lt;=30,"0-30",IF($O1967&lt;=60,"31-60",IF($O1967&lt;=90,"61-90","90+")))))))</f>
        <v/>
      </c>
    </row>
    <row r="1968">
      <c r="A1968" s="6" t="n"/>
      <c r="B1968" s="6" t="n"/>
      <c r="C1968" s="6" t="n"/>
      <c r="D1968" s="6" t="n"/>
      <c r="E1968" s="6" t="n"/>
      <c r="F1968" s="7" t="n"/>
      <c r="G1968" s="7" t="n"/>
      <c r="H1968" s="8" t="n"/>
      <c r="I1968" s="9">
        <f>IF($A1968="","",SUMIFS(Ventes_Encaissements!$D$6:$D$3005,Ventes_Encaissements!$B$6:$B$3005,$A1968))</f>
        <v/>
      </c>
      <c r="J1968" s="9">
        <f>IF($A1968="","",$H1968-$I1968)</f>
        <v/>
      </c>
      <c r="K1968" s="10">
        <f>IF($A1968="","",IF($I1968=0,"",_xludf.AGGREGATE(14,6,Ventes_Encaissements!$C$6:$C$3005/(Ventes_Encaissements!$B$6:$B$3005=$A1968),1)))</f>
        <v/>
      </c>
      <c r="L1968" s="11">
        <f>IF($A1968="","",COUNTIFS(Ventes_Detail!$B$6:$B$3005,$A1968))</f>
        <v/>
      </c>
      <c r="M1968" s="12" t="n"/>
      <c r="N1968" s="12">
        <f>IF($A1968="","",IF($G1968="","",IF($M1968="Oui","Litige",IF($J1968&lt;=0,"Payé",IF($I1968&gt;0,"Partiel",IF(Listes!$B$3&gt;$G1968,"En retard","À échoir"))))))</f>
        <v/>
      </c>
      <c r="O1968" s="11">
        <f>IF($A1968="","",IF(OR($G1968="", $J1968&lt;=0),0,MAX(0,Listes!$B$3-$G1968)))</f>
        <v/>
      </c>
      <c r="P1968" s="12">
        <f>IF($A1968="","",IF($J1968&lt;=0,"Payé",IF($M1968="Oui","Litige",IF($O1968=0,"À échoir",IF($O1968&lt;=30,"0-30",IF($O1968&lt;=60,"31-60",IF($O1968&lt;=90,"61-90","90+")))))))</f>
        <v/>
      </c>
    </row>
    <row r="1969">
      <c r="A1969" s="6" t="n"/>
      <c r="B1969" s="6" t="n"/>
      <c r="C1969" s="6" t="n"/>
      <c r="D1969" s="6" t="n"/>
      <c r="E1969" s="6" t="n"/>
      <c r="F1969" s="7" t="n"/>
      <c r="G1969" s="7" t="n"/>
      <c r="H1969" s="8" t="n"/>
      <c r="I1969" s="9">
        <f>IF($A1969="","",SUMIFS(Ventes_Encaissements!$D$6:$D$3005,Ventes_Encaissements!$B$6:$B$3005,$A1969))</f>
        <v/>
      </c>
      <c r="J1969" s="9">
        <f>IF($A1969="","",$H1969-$I1969)</f>
        <v/>
      </c>
      <c r="K1969" s="10">
        <f>IF($A1969="","",IF($I1969=0,"",_xludf.AGGREGATE(14,6,Ventes_Encaissements!$C$6:$C$3005/(Ventes_Encaissements!$B$6:$B$3005=$A1969),1)))</f>
        <v/>
      </c>
      <c r="L1969" s="11">
        <f>IF($A1969="","",COUNTIFS(Ventes_Detail!$B$6:$B$3005,$A1969))</f>
        <v/>
      </c>
      <c r="M1969" s="12" t="n"/>
      <c r="N1969" s="12">
        <f>IF($A1969="","",IF($G1969="","",IF($M1969="Oui","Litige",IF($J1969&lt;=0,"Payé",IF($I1969&gt;0,"Partiel",IF(Listes!$B$3&gt;$G1969,"En retard","À échoir"))))))</f>
        <v/>
      </c>
      <c r="O1969" s="11">
        <f>IF($A1969="","",IF(OR($G1969="", $J1969&lt;=0),0,MAX(0,Listes!$B$3-$G1969)))</f>
        <v/>
      </c>
      <c r="P1969" s="12">
        <f>IF($A1969="","",IF($J1969&lt;=0,"Payé",IF($M1969="Oui","Litige",IF($O1969=0,"À échoir",IF($O1969&lt;=30,"0-30",IF($O1969&lt;=60,"31-60",IF($O1969&lt;=90,"61-90","90+")))))))</f>
        <v/>
      </c>
    </row>
    <row r="1970">
      <c r="A1970" s="6" t="n"/>
      <c r="B1970" s="6" t="n"/>
      <c r="C1970" s="6" t="n"/>
      <c r="D1970" s="6" t="n"/>
      <c r="E1970" s="6" t="n"/>
      <c r="F1970" s="7" t="n"/>
      <c r="G1970" s="7" t="n"/>
      <c r="H1970" s="8" t="n"/>
      <c r="I1970" s="9">
        <f>IF($A1970="","",SUMIFS(Ventes_Encaissements!$D$6:$D$3005,Ventes_Encaissements!$B$6:$B$3005,$A1970))</f>
        <v/>
      </c>
      <c r="J1970" s="9">
        <f>IF($A1970="","",$H1970-$I1970)</f>
        <v/>
      </c>
      <c r="K1970" s="10">
        <f>IF($A1970="","",IF($I1970=0,"",_xludf.AGGREGATE(14,6,Ventes_Encaissements!$C$6:$C$3005/(Ventes_Encaissements!$B$6:$B$3005=$A1970),1)))</f>
        <v/>
      </c>
      <c r="L1970" s="11">
        <f>IF($A1970="","",COUNTIFS(Ventes_Detail!$B$6:$B$3005,$A1970))</f>
        <v/>
      </c>
      <c r="M1970" s="12" t="n"/>
      <c r="N1970" s="12">
        <f>IF($A1970="","",IF($G1970="","",IF($M1970="Oui","Litige",IF($J1970&lt;=0,"Payé",IF($I1970&gt;0,"Partiel",IF(Listes!$B$3&gt;$G1970,"En retard","À échoir"))))))</f>
        <v/>
      </c>
      <c r="O1970" s="11">
        <f>IF($A1970="","",IF(OR($G1970="", $J1970&lt;=0),0,MAX(0,Listes!$B$3-$G1970)))</f>
        <v/>
      </c>
      <c r="P1970" s="12">
        <f>IF($A1970="","",IF($J1970&lt;=0,"Payé",IF($M1970="Oui","Litige",IF($O1970=0,"À échoir",IF($O1970&lt;=30,"0-30",IF($O1970&lt;=60,"31-60",IF($O1970&lt;=90,"61-90","90+")))))))</f>
        <v/>
      </c>
    </row>
    <row r="1971">
      <c r="A1971" s="6" t="n"/>
      <c r="B1971" s="6" t="n"/>
      <c r="C1971" s="6" t="n"/>
      <c r="D1971" s="6" t="n"/>
      <c r="E1971" s="6" t="n"/>
      <c r="F1971" s="7" t="n"/>
      <c r="G1971" s="7" t="n"/>
      <c r="H1971" s="8" t="n"/>
      <c r="I1971" s="9">
        <f>IF($A1971="","",SUMIFS(Ventes_Encaissements!$D$6:$D$3005,Ventes_Encaissements!$B$6:$B$3005,$A1971))</f>
        <v/>
      </c>
      <c r="J1971" s="9">
        <f>IF($A1971="","",$H1971-$I1971)</f>
        <v/>
      </c>
      <c r="K1971" s="10">
        <f>IF($A1971="","",IF($I1971=0,"",_xludf.AGGREGATE(14,6,Ventes_Encaissements!$C$6:$C$3005/(Ventes_Encaissements!$B$6:$B$3005=$A1971),1)))</f>
        <v/>
      </c>
      <c r="L1971" s="11">
        <f>IF($A1971="","",COUNTIFS(Ventes_Detail!$B$6:$B$3005,$A1971))</f>
        <v/>
      </c>
      <c r="M1971" s="12" t="n"/>
      <c r="N1971" s="12">
        <f>IF($A1971="","",IF($G1971="","",IF($M1971="Oui","Litige",IF($J1971&lt;=0,"Payé",IF($I1971&gt;0,"Partiel",IF(Listes!$B$3&gt;$G1971,"En retard","À échoir"))))))</f>
        <v/>
      </c>
      <c r="O1971" s="11">
        <f>IF($A1971="","",IF(OR($G1971="", $J1971&lt;=0),0,MAX(0,Listes!$B$3-$G1971)))</f>
        <v/>
      </c>
      <c r="P1971" s="12">
        <f>IF($A1971="","",IF($J1971&lt;=0,"Payé",IF($M1971="Oui","Litige",IF($O1971=0,"À échoir",IF($O1971&lt;=30,"0-30",IF($O1971&lt;=60,"31-60",IF($O1971&lt;=90,"61-90","90+")))))))</f>
        <v/>
      </c>
    </row>
    <row r="1972">
      <c r="A1972" s="6" t="n"/>
      <c r="B1972" s="6" t="n"/>
      <c r="C1972" s="6" t="n"/>
      <c r="D1972" s="6" t="n"/>
      <c r="E1972" s="6" t="n"/>
      <c r="F1972" s="7" t="n"/>
      <c r="G1972" s="7" t="n"/>
      <c r="H1972" s="8" t="n"/>
      <c r="I1972" s="9">
        <f>IF($A1972="","",SUMIFS(Ventes_Encaissements!$D$6:$D$3005,Ventes_Encaissements!$B$6:$B$3005,$A1972))</f>
        <v/>
      </c>
      <c r="J1972" s="9">
        <f>IF($A1972="","",$H1972-$I1972)</f>
        <v/>
      </c>
      <c r="K1972" s="10">
        <f>IF($A1972="","",IF($I1972=0,"",_xludf.AGGREGATE(14,6,Ventes_Encaissements!$C$6:$C$3005/(Ventes_Encaissements!$B$6:$B$3005=$A1972),1)))</f>
        <v/>
      </c>
      <c r="L1972" s="11">
        <f>IF($A1972="","",COUNTIFS(Ventes_Detail!$B$6:$B$3005,$A1972))</f>
        <v/>
      </c>
      <c r="M1972" s="12" t="n"/>
      <c r="N1972" s="12">
        <f>IF($A1972="","",IF($G1972="","",IF($M1972="Oui","Litige",IF($J1972&lt;=0,"Payé",IF($I1972&gt;0,"Partiel",IF(Listes!$B$3&gt;$G1972,"En retard","À échoir"))))))</f>
        <v/>
      </c>
      <c r="O1972" s="11">
        <f>IF($A1972="","",IF(OR($G1972="", $J1972&lt;=0),0,MAX(0,Listes!$B$3-$G1972)))</f>
        <v/>
      </c>
      <c r="P1972" s="12">
        <f>IF($A1972="","",IF($J1972&lt;=0,"Payé",IF($M1972="Oui","Litige",IF($O1972=0,"À échoir",IF($O1972&lt;=30,"0-30",IF($O1972&lt;=60,"31-60",IF($O1972&lt;=90,"61-90","90+")))))))</f>
        <v/>
      </c>
    </row>
    <row r="1973">
      <c r="A1973" s="6" t="n"/>
      <c r="B1973" s="6" t="n"/>
      <c r="C1973" s="6" t="n"/>
      <c r="D1973" s="6" t="n"/>
      <c r="E1973" s="6" t="n"/>
      <c r="F1973" s="7" t="n"/>
      <c r="G1973" s="7" t="n"/>
      <c r="H1973" s="8" t="n"/>
      <c r="I1973" s="9">
        <f>IF($A1973="","",SUMIFS(Ventes_Encaissements!$D$6:$D$3005,Ventes_Encaissements!$B$6:$B$3005,$A1973))</f>
        <v/>
      </c>
      <c r="J1973" s="9">
        <f>IF($A1973="","",$H1973-$I1973)</f>
        <v/>
      </c>
      <c r="K1973" s="10">
        <f>IF($A1973="","",IF($I1973=0,"",_xludf.AGGREGATE(14,6,Ventes_Encaissements!$C$6:$C$3005/(Ventes_Encaissements!$B$6:$B$3005=$A1973),1)))</f>
        <v/>
      </c>
      <c r="L1973" s="11">
        <f>IF($A1973="","",COUNTIFS(Ventes_Detail!$B$6:$B$3005,$A1973))</f>
        <v/>
      </c>
      <c r="M1973" s="12" t="n"/>
      <c r="N1973" s="12">
        <f>IF($A1973="","",IF($G1973="","",IF($M1973="Oui","Litige",IF($J1973&lt;=0,"Payé",IF($I1973&gt;0,"Partiel",IF(Listes!$B$3&gt;$G1973,"En retard","À échoir"))))))</f>
        <v/>
      </c>
      <c r="O1973" s="11">
        <f>IF($A1973="","",IF(OR($G1973="", $J1973&lt;=0),0,MAX(0,Listes!$B$3-$G1973)))</f>
        <v/>
      </c>
      <c r="P1973" s="12">
        <f>IF($A1973="","",IF($J1973&lt;=0,"Payé",IF($M1973="Oui","Litige",IF($O1973=0,"À échoir",IF($O1973&lt;=30,"0-30",IF($O1973&lt;=60,"31-60",IF($O1973&lt;=90,"61-90","90+")))))))</f>
        <v/>
      </c>
    </row>
    <row r="1974">
      <c r="A1974" s="6" t="n"/>
      <c r="B1974" s="6" t="n"/>
      <c r="C1974" s="6" t="n"/>
      <c r="D1974" s="6" t="n"/>
      <c r="E1974" s="6" t="n"/>
      <c r="F1974" s="7" t="n"/>
      <c r="G1974" s="7" t="n"/>
      <c r="H1974" s="8" t="n"/>
      <c r="I1974" s="9">
        <f>IF($A1974="","",SUMIFS(Ventes_Encaissements!$D$6:$D$3005,Ventes_Encaissements!$B$6:$B$3005,$A1974))</f>
        <v/>
      </c>
      <c r="J1974" s="9">
        <f>IF($A1974="","",$H1974-$I1974)</f>
        <v/>
      </c>
      <c r="K1974" s="10">
        <f>IF($A1974="","",IF($I1974=0,"",_xludf.AGGREGATE(14,6,Ventes_Encaissements!$C$6:$C$3005/(Ventes_Encaissements!$B$6:$B$3005=$A1974),1)))</f>
        <v/>
      </c>
      <c r="L1974" s="11">
        <f>IF($A1974="","",COUNTIFS(Ventes_Detail!$B$6:$B$3005,$A1974))</f>
        <v/>
      </c>
      <c r="M1974" s="12" t="n"/>
      <c r="N1974" s="12">
        <f>IF($A1974="","",IF($G1974="","",IF($M1974="Oui","Litige",IF($J1974&lt;=0,"Payé",IF($I1974&gt;0,"Partiel",IF(Listes!$B$3&gt;$G1974,"En retard","À échoir"))))))</f>
        <v/>
      </c>
      <c r="O1974" s="11">
        <f>IF($A1974="","",IF(OR($G1974="", $J1974&lt;=0),0,MAX(0,Listes!$B$3-$G1974)))</f>
        <v/>
      </c>
      <c r="P1974" s="12">
        <f>IF($A1974="","",IF($J1974&lt;=0,"Payé",IF($M1974="Oui","Litige",IF($O1974=0,"À échoir",IF($O1974&lt;=30,"0-30",IF($O1974&lt;=60,"31-60",IF($O1974&lt;=90,"61-90","90+")))))))</f>
        <v/>
      </c>
    </row>
    <row r="1975">
      <c r="A1975" s="6" t="n"/>
      <c r="B1975" s="6" t="n"/>
      <c r="C1975" s="6" t="n"/>
      <c r="D1975" s="6" t="n"/>
      <c r="E1975" s="6" t="n"/>
      <c r="F1975" s="7" t="n"/>
      <c r="G1975" s="7" t="n"/>
      <c r="H1975" s="8" t="n"/>
      <c r="I1975" s="9">
        <f>IF($A1975="","",SUMIFS(Ventes_Encaissements!$D$6:$D$3005,Ventes_Encaissements!$B$6:$B$3005,$A1975))</f>
        <v/>
      </c>
      <c r="J1975" s="9">
        <f>IF($A1975="","",$H1975-$I1975)</f>
        <v/>
      </c>
      <c r="K1975" s="10">
        <f>IF($A1975="","",IF($I1975=0,"",_xludf.AGGREGATE(14,6,Ventes_Encaissements!$C$6:$C$3005/(Ventes_Encaissements!$B$6:$B$3005=$A1975),1)))</f>
        <v/>
      </c>
      <c r="L1975" s="11">
        <f>IF($A1975="","",COUNTIFS(Ventes_Detail!$B$6:$B$3005,$A1975))</f>
        <v/>
      </c>
      <c r="M1975" s="12" t="n"/>
      <c r="N1975" s="12">
        <f>IF($A1975="","",IF($G1975="","",IF($M1975="Oui","Litige",IF($J1975&lt;=0,"Payé",IF($I1975&gt;0,"Partiel",IF(Listes!$B$3&gt;$G1975,"En retard","À échoir"))))))</f>
        <v/>
      </c>
      <c r="O1975" s="11">
        <f>IF($A1975="","",IF(OR($G1975="", $J1975&lt;=0),0,MAX(0,Listes!$B$3-$G1975)))</f>
        <v/>
      </c>
      <c r="P1975" s="12">
        <f>IF($A1975="","",IF($J1975&lt;=0,"Payé",IF($M1975="Oui","Litige",IF($O1975=0,"À échoir",IF($O1975&lt;=30,"0-30",IF($O1975&lt;=60,"31-60",IF($O1975&lt;=90,"61-90","90+")))))))</f>
        <v/>
      </c>
    </row>
    <row r="1976">
      <c r="A1976" s="6" t="n"/>
      <c r="B1976" s="6" t="n"/>
      <c r="C1976" s="6" t="n"/>
      <c r="D1976" s="6" t="n"/>
      <c r="E1976" s="6" t="n"/>
      <c r="F1976" s="7" t="n"/>
      <c r="G1976" s="7" t="n"/>
      <c r="H1976" s="8" t="n"/>
      <c r="I1976" s="9">
        <f>IF($A1976="","",SUMIFS(Ventes_Encaissements!$D$6:$D$3005,Ventes_Encaissements!$B$6:$B$3005,$A1976))</f>
        <v/>
      </c>
      <c r="J1976" s="9">
        <f>IF($A1976="","",$H1976-$I1976)</f>
        <v/>
      </c>
      <c r="K1976" s="10">
        <f>IF($A1976="","",IF($I1976=0,"",_xludf.AGGREGATE(14,6,Ventes_Encaissements!$C$6:$C$3005/(Ventes_Encaissements!$B$6:$B$3005=$A1976),1)))</f>
        <v/>
      </c>
      <c r="L1976" s="11">
        <f>IF($A1976="","",COUNTIFS(Ventes_Detail!$B$6:$B$3005,$A1976))</f>
        <v/>
      </c>
      <c r="M1976" s="12" t="n"/>
      <c r="N1976" s="12">
        <f>IF($A1976="","",IF($G1976="","",IF($M1976="Oui","Litige",IF($J1976&lt;=0,"Payé",IF($I1976&gt;0,"Partiel",IF(Listes!$B$3&gt;$G1976,"En retard","À échoir"))))))</f>
        <v/>
      </c>
      <c r="O1976" s="11">
        <f>IF($A1976="","",IF(OR($G1976="", $J1976&lt;=0),0,MAX(0,Listes!$B$3-$G1976)))</f>
        <v/>
      </c>
      <c r="P1976" s="12">
        <f>IF($A1976="","",IF($J1976&lt;=0,"Payé",IF($M1976="Oui","Litige",IF($O1976=0,"À échoir",IF($O1976&lt;=30,"0-30",IF($O1976&lt;=60,"31-60",IF($O1976&lt;=90,"61-90","90+")))))))</f>
        <v/>
      </c>
    </row>
    <row r="1977">
      <c r="A1977" s="6" t="n"/>
      <c r="B1977" s="6" t="n"/>
      <c r="C1977" s="6" t="n"/>
      <c r="D1977" s="6" t="n"/>
      <c r="E1977" s="6" t="n"/>
      <c r="F1977" s="7" t="n"/>
      <c r="G1977" s="7" t="n"/>
      <c r="H1977" s="8" t="n"/>
      <c r="I1977" s="9">
        <f>IF($A1977="","",SUMIFS(Ventes_Encaissements!$D$6:$D$3005,Ventes_Encaissements!$B$6:$B$3005,$A1977))</f>
        <v/>
      </c>
      <c r="J1977" s="9">
        <f>IF($A1977="","",$H1977-$I1977)</f>
        <v/>
      </c>
      <c r="K1977" s="10">
        <f>IF($A1977="","",IF($I1977=0,"",_xludf.AGGREGATE(14,6,Ventes_Encaissements!$C$6:$C$3005/(Ventes_Encaissements!$B$6:$B$3005=$A1977),1)))</f>
        <v/>
      </c>
      <c r="L1977" s="11">
        <f>IF($A1977="","",COUNTIFS(Ventes_Detail!$B$6:$B$3005,$A1977))</f>
        <v/>
      </c>
      <c r="M1977" s="12" t="n"/>
      <c r="N1977" s="12">
        <f>IF($A1977="","",IF($G1977="","",IF($M1977="Oui","Litige",IF($J1977&lt;=0,"Payé",IF($I1977&gt;0,"Partiel",IF(Listes!$B$3&gt;$G1977,"En retard","À échoir"))))))</f>
        <v/>
      </c>
      <c r="O1977" s="11">
        <f>IF($A1977="","",IF(OR($G1977="", $J1977&lt;=0),0,MAX(0,Listes!$B$3-$G1977)))</f>
        <v/>
      </c>
      <c r="P1977" s="12">
        <f>IF($A1977="","",IF($J1977&lt;=0,"Payé",IF($M1977="Oui","Litige",IF($O1977=0,"À échoir",IF($O1977&lt;=30,"0-30",IF($O1977&lt;=60,"31-60",IF($O1977&lt;=90,"61-90","90+")))))))</f>
        <v/>
      </c>
    </row>
    <row r="1978">
      <c r="A1978" s="6" t="n"/>
      <c r="B1978" s="6" t="n"/>
      <c r="C1978" s="6" t="n"/>
      <c r="D1978" s="6" t="n"/>
      <c r="E1978" s="6" t="n"/>
      <c r="F1978" s="7" t="n"/>
      <c r="G1978" s="7" t="n"/>
      <c r="H1978" s="8" t="n"/>
      <c r="I1978" s="9">
        <f>IF($A1978="","",SUMIFS(Ventes_Encaissements!$D$6:$D$3005,Ventes_Encaissements!$B$6:$B$3005,$A1978))</f>
        <v/>
      </c>
      <c r="J1978" s="9">
        <f>IF($A1978="","",$H1978-$I1978)</f>
        <v/>
      </c>
      <c r="K1978" s="10">
        <f>IF($A1978="","",IF($I1978=0,"",_xludf.AGGREGATE(14,6,Ventes_Encaissements!$C$6:$C$3005/(Ventes_Encaissements!$B$6:$B$3005=$A1978),1)))</f>
        <v/>
      </c>
      <c r="L1978" s="11">
        <f>IF($A1978="","",COUNTIFS(Ventes_Detail!$B$6:$B$3005,$A1978))</f>
        <v/>
      </c>
      <c r="M1978" s="12" t="n"/>
      <c r="N1978" s="12">
        <f>IF($A1978="","",IF($G1978="","",IF($M1978="Oui","Litige",IF($J1978&lt;=0,"Payé",IF($I1978&gt;0,"Partiel",IF(Listes!$B$3&gt;$G1978,"En retard","À échoir"))))))</f>
        <v/>
      </c>
      <c r="O1978" s="11">
        <f>IF($A1978="","",IF(OR($G1978="", $J1978&lt;=0),0,MAX(0,Listes!$B$3-$G1978)))</f>
        <v/>
      </c>
      <c r="P1978" s="12">
        <f>IF($A1978="","",IF($J1978&lt;=0,"Payé",IF($M1978="Oui","Litige",IF($O1978=0,"À échoir",IF($O1978&lt;=30,"0-30",IF($O1978&lt;=60,"31-60",IF($O1978&lt;=90,"61-90","90+")))))))</f>
        <v/>
      </c>
    </row>
    <row r="1979">
      <c r="A1979" s="6" t="n"/>
      <c r="B1979" s="6" t="n"/>
      <c r="C1979" s="6" t="n"/>
      <c r="D1979" s="6" t="n"/>
      <c r="E1979" s="6" t="n"/>
      <c r="F1979" s="7" t="n"/>
      <c r="G1979" s="7" t="n"/>
      <c r="H1979" s="8" t="n"/>
      <c r="I1979" s="9">
        <f>IF($A1979="","",SUMIFS(Ventes_Encaissements!$D$6:$D$3005,Ventes_Encaissements!$B$6:$B$3005,$A1979))</f>
        <v/>
      </c>
      <c r="J1979" s="9">
        <f>IF($A1979="","",$H1979-$I1979)</f>
        <v/>
      </c>
      <c r="K1979" s="10">
        <f>IF($A1979="","",IF($I1979=0,"",_xludf.AGGREGATE(14,6,Ventes_Encaissements!$C$6:$C$3005/(Ventes_Encaissements!$B$6:$B$3005=$A1979),1)))</f>
        <v/>
      </c>
      <c r="L1979" s="11">
        <f>IF($A1979="","",COUNTIFS(Ventes_Detail!$B$6:$B$3005,$A1979))</f>
        <v/>
      </c>
      <c r="M1979" s="12" t="n"/>
      <c r="N1979" s="12">
        <f>IF($A1979="","",IF($G1979="","",IF($M1979="Oui","Litige",IF($J1979&lt;=0,"Payé",IF($I1979&gt;0,"Partiel",IF(Listes!$B$3&gt;$G1979,"En retard","À échoir"))))))</f>
        <v/>
      </c>
      <c r="O1979" s="11">
        <f>IF($A1979="","",IF(OR($G1979="", $J1979&lt;=0),0,MAX(0,Listes!$B$3-$G1979)))</f>
        <v/>
      </c>
      <c r="P1979" s="12">
        <f>IF($A1979="","",IF($J1979&lt;=0,"Payé",IF($M1979="Oui","Litige",IF($O1979=0,"À échoir",IF($O1979&lt;=30,"0-30",IF($O1979&lt;=60,"31-60",IF($O1979&lt;=90,"61-90","90+")))))))</f>
        <v/>
      </c>
    </row>
    <row r="1980">
      <c r="A1980" s="6" t="n"/>
      <c r="B1980" s="6" t="n"/>
      <c r="C1980" s="6" t="n"/>
      <c r="D1980" s="6" t="n"/>
      <c r="E1980" s="6" t="n"/>
      <c r="F1980" s="7" t="n"/>
      <c r="G1980" s="7" t="n"/>
      <c r="H1980" s="8" t="n"/>
      <c r="I1980" s="9">
        <f>IF($A1980="","",SUMIFS(Ventes_Encaissements!$D$6:$D$3005,Ventes_Encaissements!$B$6:$B$3005,$A1980))</f>
        <v/>
      </c>
      <c r="J1980" s="9">
        <f>IF($A1980="","",$H1980-$I1980)</f>
        <v/>
      </c>
      <c r="K1980" s="10">
        <f>IF($A1980="","",IF($I1980=0,"",_xludf.AGGREGATE(14,6,Ventes_Encaissements!$C$6:$C$3005/(Ventes_Encaissements!$B$6:$B$3005=$A1980),1)))</f>
        <v/>
      </c>
      <c r="L1980" s="11">
        <f>IF($A1980="","",COUNTIFS(Ventes_Detail!$B$6:$B$3005,$A1980))</f>
        <v/>
      </c>
      <c r="M1980" s="12" t="n"/>
      <c r="N1980" s="12">
        <f>IF($A1980="","",IF($G1980="","",IF($M1980="Oui","Litige",IF($J1980&lt;=0,"Payé",IF($I1980&gt;0,"Partiel",IF(Listes!$B$3&gt;$G1980,"En retard","À échoir"))))))</f>
        <v/>
      </c>
      <c r="O1980" s="11">
        <f>IF($A1980="","",IF(OR($G1980="", $J1980&lt;=0),0,MAX(0,Listes!$B$3-$G1980)))</f>
        <v/>
      </c>
      <c r="P1980" s="12">
        <f>IF($A1980="","",IF($J1980&lt;=0,"Payé",IF($M1980="Oui","Litige",IF($O1980=0,"À échoir",IF($O1980&lt;=30,"0-30",IF($O1980&lt;=60,"31-60",IF($O1980&lt;=90,"61-90","90+")))))))</f>
        <v/>
      </c>
    </row>
    <row r="1981">
      <c r="A1981" s="6" t="n"/>
      <c r="B1981" s="6" t="n"/>
      <c r="C1981" s="6" t="n"/>
      <c r="D1981" s="6" t="n"/>
      <c r="E1981" s="6" t="n"/>
      <c r="F1981" s="7" t="n"/>
      <c r="G1981" s="7" t="n"/>
      <c r="H1981" s="8" t="n"/>
      <c r="I1981" s="9">
        <f>IF($A1981="","",SUMIFS(Ventes_Encaissements!$D$6:$D$3005,Ventes_Encaissements!$B$6:$B$3005,$A1981))</f>
        <v/>
      </c>
      <c r="J1981" s="9">
        <f>IF($A1981="","",$H1981-$I1981)</f>
        <v/>
      </c>
      <c r="K1981" s="10">
        <f>IF($A1981="","",IF($I1981=0,"",_xludf.AGGREGATE(14,6,Ventes_Encaissements!$C$6:$C$3005/(Ventes_Encaissements!$B$6:$B$3005=$A1981),1)))</f>
        <v/>
      </c>
      <c r="L1981" s="11">
        <f>IF($A1981="","",COUNTIFS(Ventes_Detail!$B$6:$B$3005,$A1981))</f>
        <v/>
      </c>
      <c r="M1981" s="12" t="n"/>
      <c r="N1981" s="12">
        <f>IF($A1981="","",IF($G1981="","",IF($M1981="Oui","Litige",IF($J1981&lt;=0,"Payé",IF($I1981&gt;0,"Partiel",IF(Listes!$B$3&gt;$G1981,"En retard","À échoir"))))))</f>
        <v/>
      </c>
      <c r="O1981" s="11">
        <f>IF($A1981="","",IF(OR($G1981="", $J1981&lt;=0),0,MAX(0,Listes!$B$3-$G1981)))</f>
        <v/>
      </c>
      <c r="P1981" s="12">
        <f>IF($A1981="","",IF($J1981&lt;=0,"Payé",IF($M1981="Oui","Litige",IF($O1981=0,"À échoir",IF($O1981&lt;=30,"0-30",IF($O1981&lt;=60,"31-60",IF($O1981&lt;=90,"61-90","90+")))))))</f>
        <v/>
      </c>
    </row>
    <row r="1982">
      <c r="A1982" s="6" t="n"/>
      <c r="B1982" s="6" t="n"/>
      <c r="C1982" s="6" t="n"/>
      <c r="D1982" s="6" t="n"/>
      <c r="E1982" s="6" t="n"/>
      <c r="F1982" s="7" t="n"/>
      <c r="G1982" s="7" t="n"/>
      <c r="H1982" s="8" t="n"/>
      <c r="I1982" s="9">
        <f>IF($A1982="","",SUMIFS(Ventes_Encaissements!$D$6:$D$3005,Ventes_Encaissements!$B$6:$B$3005,$A1982))</f>
        <v/>
      </c>
      <c r="J1982" s="9">
        <f>IF($A1982="","",$H1982-$I1982)</f>
        <v/>
      </c>
      <c r="K1982" s="10">
        <f>IF($A1982="","",IF($I1982=0,"",_xludf.AGGREGATE(14,6,Ventes_Encaissements!$C$6:$C$3005/(Ventes_Encaissements!$B$6:$B$3005=$A1982),1)))</f>
        <v/>
      </c>
      <c r="L1982" s="11">
        <f>IF($A1982="","",COUNTIFS(Ventes_Detail!$B$6:$B$3005,$A1982))</f>
        <v/>
      </c>
      <c r="M1982" s="12" t="n"/>
      <c r="N1982" s="12">
        <f>IF($A1982="","",IF($G1982="","",IF($M1982="Oui","Litige",IF($J1982&lt;=0,"Payé",IF($I1982&gt;0,"Partiel",IF(Listes!$B$3&gt;$G1982,"En retard","À échoir"))))))</f>
        <v/>
      </c>
      <c r="O1982" s="11">
        <f>IF($A1982="","",IF(OR($G1982="", $J1982&lt;=0),0,MAX(0,Listes!$B$3-$G1982)))</f>
        <v/>
      </c>
      <c r="P1982" s="12">
        <f>IF($A1982="","",IF($J1982&lt;=0,"Payé",IF($M1982="Oui","Litige",IF($O1982=0,"À échoir",IF($O1982&lt;=30,"0-30",IF($O1982&lt;=60,"31-60",IF($O1982&lt;=90,"61-90","90+")))))))</f>
        <v/>
      </c>
    </row>
    <row r="1983">
      <c r="A1983" s="6" t="n"/>
      <c r="B1983" s="6" t="n"/>
      <c r="C1983" s="6" t="n"/>
      <c r="D1983" s="6" t="n"/>
      <c r="E1983" s="6" t="n"/>
      <c r="F1983" s="7" t="n"/>
      <c r="G1983" s="7" t="n"/>
      <c r="H1983" s="8" t="n"/>
      <c r="I1983" s="9">
        <f>IF($A1983="","",SUMIFS(Ventes_Encaissements!$D$6:$D$3005,Ventes_Encaissements!$B$6:$B$3005,$A1983))</f>
        <v/>
      </c>
      <c r="J1983" s="9">
        <f>IF($A1983="","",$H1983-$I1983)</f>
        <v/>
      </c>
      <c r="K1983" s="10">
        <f>IF($A1983="","",IF($I1983=0,"",_xludf.AGGREGATE(14,6,Ventes_Encaissements!$C$6:$C$3005/(Ventes_Encaissements!$B$6:$B$3005=$A1983),1)))</f>
        <v/>
      </c>
      <c r="L1983" s="11">
        <f>IF($A1983="","",COUNTIFS(Ventes_Detail!$B$6:$B$3005,$A1983))</f>
        <v/>
      </c>
      <c r="M1983" s="12" t="n"/>
      <c r="N1983" s="12">
        <f>IF($A1983="","",IF($G1983="","",IF($M1983="Oui","Litige",IF($J1983&lt;=0,"Payé",IF($I1983&gt;0,"Partiel",IF(Listes!$B$3&gt;$G1983,"En retard","À échoir"))))))</f>
        <v/>
      </c>
      <c r="O1983" s="11">
        <f>IF($A1983="","",IF(OR($G1983="", $J1983&lt;=0),0,MAX(0,Listes!$B$3-$G1983)))</f>
        <v/>
      </c>
      <c r="P1983" s="12">
        <f>IF($A1983="","",IF($J1983&lt;=0,"Payé",IF($M1983="Oui","Litige",IF($O1983=0,"À échoir",IF($O1983&lt;=30,"0-30",IF($O1983&lt;=60,"31-60",IF($O1983&lt;=90,"61-90","90+")))))))</f>
        <v/>
      </c>
    </row>
    <row r="1984">
      <c r="A1984" s="6" t="n"/>
      <c r="B1984" s="6" t="n"/>
      <c r="C1984" s="6" t="n"/>
      <c r="D1984" s="6" t="n"/>
      <c r="E1984" s="6" t="n"/>
      <c r="F1984" s="7" t="n"/>
      <c r="G1984" s="7" t="n"/>
      <c r="H1984" s="8" t="n"/>
      <c r="I1984" s="9">
        <f>IF($A1984="","",SUMIFS(Ventes_Encaissements!$D$6:$D$3005,Ventes_Encaissements!$B$6:$B$3005,$A1984))</f>
        <v/>
      </c>
      <c r="J1984" s="9">
        <f>IF($A1984="","",$H1984-$I1984)</f>
        <v/>
      </c>
      <c r="K1984" s="10">
        <f>IF($A1984="","",IF($I1984=0,"",_xludf.AGGREGATE(14,6,Ventes_Encaissements!$C$6:$C$3005/(Ventes_Encaissements!$B$6:$B$3005=$A1984),1)))</f>
        <v/>
      </c>
      <c r="L1984" s="11">
        <f>IF($A1984="","",COUNTIFS(Ventes_Detail!$B$6:$B$3005,$A1984))</f>
        <v/>
      </c>
      <c r="M1984" s="12" t="n"/>
      <c r="N1984" s="12">
        <f>IF($A1984="","",IF($G1984="","",IF($M1984="Oui","Litige",IF($J1984&lt;=0,"Payé",IF($I1984&gt;0,"Partiel",IF(Listes!$B$3&gt;$G1984,"En retard","À échoir"))))))</f>
        <v/>
      </c>
      <c r="O1984" s="11">
        <f>IF($A1984="","",IF(OR($G1984="", $J1984&lt;=0),0,MAX(0,Listes!$B$3-$G1984)))</f>
        <v/>
      </c>
      <c r="P1984" s="12">
        <f>IF($A1984="","",IF($J1984&lt;=0,"Payé",IF($M1984="Oui","Litige",IF($O1984=0,"À échoir",IF($O1984&lt;=30,"0-30",IF($O1984&lt;=60,"31-60",IF($O1984&lt;=90,"61-90","90+")))))))</f>
        <v/>
      </c>
    </row>
    <row r="1985">
      <c r="A1985" s="6" t="n"/>
      <c r="B1985" s="6" t="n"/>
      <c r="C1985" s="6" t="n"/>
      <c r="D1985" s="6" t="n"/>
      <c r="E1985" s="6" t="n"/>
      <c r="F1985" s="7" t="n"/>
      <c r="G1985" s="7" t="n"/>
      <c r="H1985" s="8" t="n"/>
      <c r="I1985" s="9">
        <f>IF($A1985="","",SUMIFS(Ventes_Encaissements!$D$6:$D$3005,Ventes_Encaissements!$B$6:$B$3005,$A1985))</f>
        <v/>
      </c>
      <c r="J1985" s="9">
        <f>IF($A1985="","",$H1985-$I1985)</f>
        <v/>
      </c>
      <c r="K1985" s="10">
        <f>IF($A1985="","",IF($I1985=0,"",_xludf.AGGREGATE(14,6,Ventes_Encaissements!$C$6:$C$3005/(Ventes_Encaissements!$B$6:$B$3005=$A1985),1)))</f>
        <v/>
      </c>
      <c r="L1985" s="11">
        <f>IF($A1985="","",COUNTIFS(Ventes_Detail!$B$6:$B$3005,$A1985))</f>
        <v/>
      </c>
      <c r="M1985" s="12" t="n"/>
      <c r="N1985" s="12">
        <f>IF($A1985="","",IF($G1985="","",IF($M1985="Oui","Litige",IF($J1985&lt;=0,"Payé",IF($I1985&gt;0,"Partiel",IF(Listes!$B$3&gt;$G1985,"En retard","À échoir"))))))</f>
        <v/>
      </c>
      <c r="O1985" s="11">
        <f>IF($A1985="","",IF(OR($G1985="", $J1985&lt;=0),0,MAX(0,Listes!$B$3-$G1985)))</f>
        <v/>
      </c>
      <c r="P1985" s="12">
        <f>IF($A1985="","",IF($J1985&lt;=0,"Payé",IF($M1985="Oui","Litige",IF($O1985=0,"À échoir",IF($O1985&lt;=30,"0-30",IF($O1985&lt;=60,"31-60",IF($O1985&lt;=90,"61-90","90+")))))))</f>
        <v/>
      </c>
    </row>
    <row r="1986">
      <c r="A1986" s="6" t="n"/>
      <c r="B1986" s="6" t="n"/>
      <c r="C1986" s="6" t="n"/>
      <c r="D1986" s="6" t="n"/>
      <c r="E1986" s="6" t="n"/>
      <c r="F1986" s="7" t="n"/>
      <c r="G1986" s="7" t="n"/>
      <c r="H1986" s="8" t="n"/>
      <c r="I1986" s="9">
        <f>IF($A1986="","",SUMIFS(Ventes_Encaissements!$D$6:$D$3005,Ventes_Encaissements!$B$6:$B$3005,$A1986))</f>
        <v/>
      </c>
      <c r="J1986" s="9">
        <f>IF($A1986="","",$H1986-$I1986)</f>
        <v/>
      </c>
      <c r="K1986" s="10">
        <f>IF($A1986="","",IF($I1986=0,"",_xludf.AGGREGATE(14,6,Ventes_Encaissements!$C$6:$C$3005/(Ventes_Encaissements!$B$6:$B$3005=$A1986),1)))</f>
        <v/>
      </c>
      <c r="L1986" s="11">
        <f>IF($A1986="","",COUNTIFS(Ventes_Detail!$B$6:$B$3005,$A1986))</f>
        <v/>
      </c>
      <c r="M1986" s="12" t="n"/>
      <c r="N1986" s="12">
        <f>IF($A1986="","",IF($G1986="","",IF($M1986="Oui","Litige",IF($J1986&lt;=0,"Payé",IF($I1986&gt;0,"Partiel",IF(Listes!$B$3&gt;$G1986,"En retard","À échoir"))))))</f>
        <v/>
      </c>
      <c r="O1986" s="11">
        <f>IF($A1986="","",IF(OR($G1986="", $J1986&lt;=0),0,MAX(0,Listes!$B$3-$G1986)))</f>
        <v/>
      </c>
      <c r="P1986" s="12">
        <f>IF($A1986="","",IF($J1986&lt;=0,"Payé",IF($M1986="Oui","Litige",IF($O1986=0,"À échoir",IF($O1986&lt;=30,"0-30",IF($O1986&lt;=60,"31-60",IF($O1986&lt;=90,"61-90","90+")))))))</f>
        <v/>
      </c>
    </row>
    <row r="1987">
      <c r="A1987" s="6" t="n"/>
      <c r="B1987" s="6" t="n"/>
      <c r="C1987" s="6" t="n"/>
      <c r="D1987" s="6" t="n"/>
      <c r="E1987" s="6" t="n"/>
      <c r="F1987" s="7" t="n"/>
      <c r="G1987" s="7" t="n"/>
      <c r="H1987" s="8" t="n"/>
      <c r="I1987" s="9">
        <f>IF($A1987="","",SUMIFS(Ventes_Encaissements!$D$6:$D$3005,Ventes_Encaissements!$B$6:$B$3005,$A1987))</f>
        <v/>
      </c>
      <c r="J1987" s="9">
        <f>IF($A1987="","",$H1987-$I1987)</f>
        <v/>
      </c>
      <c r="K1987" s="10">
        <f>IF($A1987="","",IF($I1987=0,"",_xludf.AGGREGATE(14,6,Ventes_Encaissements!$C$6:$C$3005/(Ventes_Encaissements!$B$6:$B$3005=$A1987),1)))</f>
        <v/>
      </c>
      <c r="L1987" s="11">
        <f>IF($A1987="","",COUNTIFS(Ventes_Detail!$B$6:$B$3005,$A1987))</f>
        <v/>
      </c>
      <c r="M1987" s="12" t="n"/>
      <c r="N1987" s="12">
        <f>IF($A1987="","",IF($G1987="","",IF($M1987="Oui","Litige",IF($J1987&lt;=0,"Payé",IF($I1987&gt;0,"Partiel",IF(Listes!$B$3&gt;$G1987,"En retard","À échoir"))))))</f>
        <v/>
      </c>
      <c r="O1987" s="11">
        <f>IF($A1987="","",IF(OR($G1987="", $J1987&lt;=0),0,MAX(0,Listes!$B$3-$G1987)))</f>
        <v/>
      </c>
      <c r="P1987" s="12">
        <f>IF($A1987="","",IF($J1987&lt;=0,"Payé",IF($M1987="Oui","Litige",IF($O1987=0,"À échoir",IF($O1987&lt;=30,"0-30",IF($O1987&lt;=60,"31-60",IF($O1987&lt;=90,"61-90","90+")))))))</f>
        <v/>
      </c>
    </row>
    <row r="1988">
      <c r="A1988" s="6" t="n"/>
      <c r="B1988" s="6" t="n"/>
      <c r="C1988" s="6" t="n"/>
      <c r="D1988" s="6" t="n"/>
      <c r="E1988" s="6" t="n"/>
      <c r="F1988" s="7" t="n"/>
      <c r="G1988" s="7" t="n"/>
      <c r="H1988" s="8" t="n"/>
      <c r="I1988" s="9">
        <f>IF($A1988="","",SUMIFS(Ventes_Encaissements!$D$6:$D$3005,Ventes_Encaissements!$B$6:$B$3005,$A1988))</f>
        <v/>
      </c>
      <c r="J1988" s="9">
        <f>IF($A1988="","",$H1988-$I1988)</f>
        <v/>
      </c>
      <c r="K1988" s="10">
        <f>IF($A1988="","",IF($I1988=0,"",_xludf.AGGREGATE(14,6,Ventes_Encaissements!$C$6:$C$3005/(Ventes_Encaissements!$B$6:$B$3005=$A1988),1)))</f>
        <v/>
      </c>
      <c r="L1988" s="11">
        <f>IF($A1988="","",COUNTIFS(Ventes_Detail!$B$6:$B$3005,$A1988))</f>
        <v/>
      </c>
      <c r="M1988" s="12" t="n"/>
      <c r="N1988" s="12">
        <f>IF($A1988="","",IF($G1988="","",IF($M1988="Oui","Litige",IF($J1988&lt;=0,"Payé",IF($I1988&gt;0,"Partiel",IF(Listes!$B$3&gt;$G1988,"En retard","À échoir"))))))</f>
        <v/>
      </c>
      <c r="O1988" s="11">
        <f>IF($A1988="","",IF(OR($G1988="", $J1988&lt;=0),0,MAX(0,Listes!$B$3-$G1988)))</f>
        <v/>
      </c>
      <c r="P1988" s="12">
        <f>IF($A1988="","",IF($J1988&lt;=0,"Payé",IF($M1988="Oui","Litige",IF($O1988=0,"À échoir",IF($O1988&lt;=30,"0-30",IF($O1988&lt;=60,"31-60",IF($O1988&lt;=90,"61-90","90+")))))))</f>
        <v/>
      </c>
    </row>
    <row r="1989">
      <c r="A1989" s="6" t="n"/>
      <c r="B1989" s="6" t="n"/>
      <c r="C1989" s="6" t="n"/>
      <c r="D1989" s="6" t="n"/>
      <c r="E1989" s="6" t="n"/>
      <c r="F1989" s="7" t="n"/>
      <c r="G1989" s="7" t="n"/>
      <c r="H1989" s="8" t="n"/>
      <c r="I1989" s="9">
        <f>IF($A1989="","",SUMIFS(Ventes_Encaissements!$D$6:$D$3005,Ventes_Encaissements!$B$6:$B$3005,$A1989))</f>
        <v/>
      </c>
      <c r="J1989" s="9">
        <f>IF($A1989="","",$H1989-$I1989)</f>
        <v/>
      </c>
      <c r="K1989" s="10">
        <f>IF($A1989="","",IF($I1989=0,"",_xludf.AGGREGATE(14,6,Ventes_Encaissements!$C$6:$C$3005/(Ventes_Encaissements!$B$6:$B$3005=$A1989),1)))</f>
        <v/>
      </c>
      <c r="L1989" s="11">
        <f>IF($A1989="","",COUNTIFS(Ventes_Detail!$B$6:$B$3005,$A1989))</f>
        <v/>
      </c>
      <c r="M1989" s="12" t="n"/>
      <c r="N1989" s="12">
        <f>IF($A1989="","",IF($G1989="","",IF($M1989="Oui","Litige",IF($J1989&lt;=0,"Payé",IF($I1989&gt;0,"Partiel",IF(Listes!$B$3&gt;$G1989,"En retard","À échoir"))))))</f>
        <v/>
      </c>
      <c r="O1989" s="11">
        <f>IF($A1989="","",IF(OR($G1989="", $J1989&lt;=0),0,MAX(0,Listes!$B$3-$G1989)))</f>
        <v/>
      </c>
      <c r="P1989" s="12">
        <f>IF($A1989="","",IF($J1989&lt;=0,"Payé",IF($M1989="Oui","Litige",IF($O1989=0,"À échoir",IF($O1989&lt;=30,"0-30",IF($O1989&lt;=60,"31-60",IF($O1989&lt;=90,"61-90","90+")))))))</f>
        <v/>
      </c>
    </row>
    <row r="1990">
      <c r="A1990" s="6" t="n"/>
      <c r="B1990" s="6" t="n"/>
      <c r="C1990" s="6" t="n"/>
      <c r="D1990" s="6" t="n"/>
      <c r="E1990" s="6" t="n"/>
      <c r="F1990" s="7" t="n"/>
      <c r="G1990" s="7" t="n"/>
      <c r="H1990" s="8" t="n"/>
      <c r="I1990" s="9">
        <f>IF($A1990="","",SUMIFS(Ventes_Encaissements!$D$6:$D$3005,Ventes_Encaissements!$B$6:$B$3005,$A1990))</f>
        <v/>
      </c>
      <c r="J1990" s="9">
        <f>IF($A1990="","",$H1990-$I1990)</f>
        <v/>
      </c>
      <c r="K1990" s="10">
        <f>IF($A1990="","",IF($I1990=0,"",_xludf.AGGREGATE(14,6,Ventes_Encaissements!$C$6:$C$3005/(Ventes_Encaissements!$B$6:$B$3005=$A1990),1)))</f>
        <v/>
      </c>
      <c r="L1990" s="11">
        <f>IF($A1990="","",COUNTIFS(Ventes_Detail!$B$6:$B$3005,$A1990))</f>
        <v/>
      </c>
      <c r="M1990" s="12" t="n"/>
      <c r="N1990" s="12">
        <f>IF($A1990="","",IF($G1990="","",IF($M1990="Oui","Litige",IF($J1990&lt;=0,"Payé",IF($I1990&gt;0,"Partiel",IF(Listes!$B$3&gt;$G1990,"En retard","À échoir"))))))</f>
        <v/>
      </c>
      <c r="O1990" s="11">
        <f>IF($A1990="","",IF(OR($G1990="", $J1990&lt;=0),0,MAX(0,Listes!$B$3-$G1990)))</f>
        <v/>
      </c>
      <c r="P1990" s="12">
        <f>IF($A1990="","",IF($J1990&lt;=0,"Payé",IF($M1990="Oui","Litige",IF($O1990=0,"À échoir",IF($O1990&lt;=30,"0-30",IF($O1990&lt;=60,"31-60",IF($O1990&lt;=90,"61-90","90+")))))))</f>
        <v/>
      </c>
    </row>
    <row r="1991">
      <c r="A1991" s="6" t="n"/>
      <c r="B1991" s="6" t="n"/>
      <c r="C1991" s="6" t="n"/>
      <c r="D1991" s="6" t="n"/>
      <c r="E1991" s="6" t="n"/>
      <c r="F1991" s="7" t="n"/>
      <c r="G1991" s="7" t="n"/>
      <c r="H1991" s="8" t="n"/>
      <c r="I1991" s="9">
        <f>IF($A1991="","",SUMIFS(Ventes_Encaissements!$D$6:$D$3005,Ventes_Encaissements!$B$6:$B$3005,$A1991))</f>
        <v/>
      </c>
      <c r="J1991" s="9">
        <f>IF($A1991="","",$H1991-$I1991)</f>
        <v/>
      </c>
      <c r="K1991" s="10">
        <f>IF($A1991="","",IF($I1991=0,"",_xludf.AGGREGATE(14,6,Ventes_Encaissements!$C$6:$C$3005/(Ventes_Encaissements!$B$6:$B$3005=$A1991),1)))</f>
        <v/>
      </c>
      <c r="L1991" s="11">
        <f>IF($A1991="","",COUNTIFS(Ventes_Detail!$B$6:$B$3005,$A1991))</f>
        <v/>
      </c>
      <c r="M1991" s="12" t="n"/>
      <c r="N1991" s="12">
        <f>IF($A1991="","",IF($G1991="","",IF($M1991="Oui","Litige",IF($J1991&lt;=0,"Payé",IF($I1991&gt;0,"Partiel",IF(Listes!$B$3&gt;$G1991,"En retard","À échoir"))))))</f>
        <v/>
      </c>
      <c r="O1991" s="11">
        <f>IF($A1991="","",IF(OR($G1991="", $J1991&lt;=0),0,MAX(0,Listes!$B$3-$G1991)))</f>
        <v/>
      </c>
      <c r="P1991" s="12">
        <f>IF($A1991="","",IF($J1991&lt;=0,"Payé",IF($M1991="Oui","Litige",IF($O1991=0,"À échoir",IF($O1991&lt;=30,"0-30",IF($O1991&lt;=60,"31-60",IF($O1991&lt;=90,"61-90","90+")))))))</f>
        <v/>
      </c>
    </row>
    <row r="1992">
      <c r="A1992" s="6" t="n"/>
      <c r="B1992" s="6" t="n"/>
      <c r="C1992" s="6" t="n"/>
      <c r="D1992" s="6" t="n"/>
      <c r="E1992" s="6" t="n"/>
      <c r="F1992" s="7" t="n"/>
      <c r="G1992" s="7" t="n"/>
      <c r="H1992" s="8" t="n"/>
      <c r="I1992" s="9">
        <f>IF($A1992="","",SUMIFS(Ventes_Encaissements!$D$6:$D$3005,Ventes_Encaissements!$B$6:$B$3005,$A1992))</f>
        <v/>
      </c>
      <c r="J1992" s="9">
        <f>IF($A1992="","",$H1992-$I1992)</f>
        <v/>
      </c>
      <c r="K1992" s="10">
        <f>IF($A1992="","",IF($I1992=0,"",_xludf.AGGREGATE(14,6,Ventes_Encaissements!$C$6:$C$3005/(Ventes_Encaissements!$B$6:$B$3005=$A1992),1)))</f>
        <v/>
      </c>
      <c r="L1992" s="11">
        <f>IF($A1992="","",COUNTIFS(Ventes_Detail!$B$6:$B$3005,$A1992))</f>
        <v/>
      </c>
      <c r="M1992" s="12" t="n"/>
      <c r="N1992" s="12">
        <f>IF($A1992="","",IF($G1992="","",IF($M1992="Oui","Litige",IF($J1992&lt;=0,"Payé",IF($I1992&gt;0,"Partiel",IF(Listes!$B$3&gt;$G1992,"En retard","À échoir"))))))</f>
        <v/>
      </c>
      <c r="O1992" s="11">
        <f>IF($A1992="","",IF(OR($G1992="", $J1992&lt;=0),0,MAX(0,Listes!$B$3-$G1992)))</f>
        <v/>
      </c>
      <c r="P1992" s="12">
        <f>IF($A1992="","",IF($J1992&lt;=0,"Payé",IF($M1992="Oui","Litige",IF($O1992=0,"À échoir",IF($O1992&lt;=30,"0-30",IF($O1992&lt;=60,"31-60",IF($O1992&lt;=90,"61-90","90+")))))))</f>
        <v/>
      </c>
    </row>
    <row r="1993">
      <c r="A1993" s="6" t="n"/>
      <c r="B1993" s="6" t="n"/>
      <c r="C1993" s="6" t="n"/>
      <c r="D1993" s="6" t="n"/>
      <c r="E1993" s="6" t="n"/>
      <c r="F1993" s="7" t="n"/>
      <c r="G1993" s="7" t="n"/>
      <c r="H1993" s="8" t="n"/>
      <c r="I1993" s="9">
        <f>IF($A1993="","",SUMIFS(Ventes_Encaissements!$D$6:$D$3005,Ventes_Encaissements!$B$6:$B$3005,$A1993))</f>
        <v/>
      </c>
      <c r="J1993" s="9">
        <f>IF($A1993="","",$H1993-$I1993)</f>
        <v/>
      </c>
      <c r="K1993" s="10">
        <f>IF($A1993="","",IF($I1993=0,"",_xludf.AGGREGATE(14,6,Ventes_Encaissements!$C$6:$C$3005/(Ventes_Encaissements!$B$6:$B$3005=$A1993),1)))</f>
        <v/>
      </c>
      <c r="L1993" s="11">
        <f>IF($A1993="","",COUNTIFS(Ventes_Detail!$B$6:$B$3005,$A1993))</f>
        <v/>
      </c>
      <c r="M1993" s="12" t="n"/>
      <c r="N1993" s="12">
        <f>IF($A1993="","",IF($G1993="","",IF($M1993="Oui","Litige",IF($J1993&lt;=0,"Payé",IF($I1993&gt;0,"Partiel",IF(Listes!$B$3&gt;$G1993,"En retard","À échoir"))))))</f>
        <v/>
      </c>
      <c r="O1993" s="11">
        <f>IF($A1993="","",IF(OR($G1993="", $J1993&lt;=0),0,MAX(0,Listes!$B$3-$G1993)))</f>
        <v/>
      </c>
      <c r="P1993" s="12">
        <f>IF($A1993="","",IF($J1993&lt;=0,"Payé",IF($M1993="Oui","Litige",IF($O1993=0,"À échoir",IF($O1993&lt;=30,"0-30",IF($O1993&lt;=60,"31-60",IF($O1993&lt;=90,"61-90","90+")))))))</f>
        <v/>
      </c>
    </row>
    <row r="1994">
      <c r="A1994" s="6" t="n"/>
      <c r="B1994" s="6" t="n"/>
      <c r="C1994" s="6" t="n"/>
      <c r="D1994" s="6" t="n"/>
      <c r="E1994" s="6" t="n"/>
      <c r="F1994" s="7" t="n"/>
      <c r="G1994" s="7" t="n"/>
      <c r="H1994" s="8" t="n"/>
      <c r="I1994" s="9">
        <f>IF($A1994="","",SUMIFS(Ventes_Encaissements!$D$6:$D$3005,Ventes_Encaissements!$B$6:$B$3005,$A1994))</f>
        <v/>
      </c>
      <c r="J1994" s="9">
        <f>IF($A1994="","",$H1994-$I1994)</f>
        <v/>
      </c>
      <c r="K1994" s="10">
        <f>IF($A1994="","",IF($I1994=0,"",_xludf.AGGREGATE(14,6,Ventes_Encaissements!$C$6:$C$3005/(Ventes_Encaissements!$B$6:$B$3005=$A1994),1)))</f>
        <v/>
      </c>
      <c r="L1994" s="11">
        <f>IF($A1994="","",COUNTIFS(Ventes_Detail!$B$6:$B$3005,$A1994))</f>
        <v/>
      </c>
      <c r="M1994" s="12" t="n"/>
      <c r="N1994" s="12">
        <f>IF($A1994="","",IF($G1994="","",IF($M1994="Oui","Litige",IF($J1994&lt;=0,"Payé",IF($I1994&gt;0,"Partiel",IF(Listes!$B$3&gt;$G1994,"En retard","À échoir"))))))</f>
        <v/>
      </c>
      <c r="O1994" s="11">
        <f>IF($A1994="","",IF(OR($G1994="", $J1994&lt;=0),0,MAX(0,Listes!$B$3-$G1994)))</f>
        <v/>
      </c>
      <c r="P1994" s="12">
        <f>IF($A1994="","",IF($J1994&lt;=0,"Payé",IF($M1994="Oui","Litige",IF($O1994=0,"À échoir",IF($O1994&lt;=30,"0-30",IF($O1994&lt;=60,"31-60",IF($O1994&lt;=90,"61-90","90+")))))))</f>
        <v/>
      </c>
    </row>
    <row r="1995">
      <c r="A1995" s="6" t="n"/>
      <c r="B1995" s="6" t="n"/>
      <c r="C1995" s="6" t="n"/>
      <c r="D1995" s="6" t="n"/>
      <c r="E1995" s="6" t="n"/>
      <c r="F1995" s="7" t="n"/>
      <c r="G1995" s="7" t="n"/>
      <c r="H1995" s="8" t="n"/>
      <c r="I1995" s="9">
        <f>IF($A1995="","",SUMIFS(Ventes_Encaissements!$D$6:$D$3005,Ventes_Encaissements!$B$6:$B$3005,$A1995))</f>
        <v/>
      </c>
      <c r="J1995" s="9">
        <f>IF($A1995="","",$H1995-$I1995)</f>
        <v/>
      </c>
      <c r="K1995" s="10">
        <f>IF($A1995="","",IF($I1995=0,"",_xludf.AGGREGATE(14,6,Ventes_Encaissements!$C$6:$C$3005/(Ventes_Encaissements!$B$6:$B$3005=$A1995),1)))</f>
        <v/>
      </c>
      <c r="L1995" s="11">
        <f>IF($A1995="","",COUNTIFS(Ventes_Detail!$B$6:$B$3005,$A1995))</f>
        <v/>
      </c>
      <c r="M1995" s="12" t="n"/>
      <c r="N1995" s="12">
        <f>IF($A1995="","",IF($G1995="","",IF($M1995="Oui","Litige",IF($J1995&lt;=0,"Payé",IF($I1995&gt;0,"Partiel",IF(Listes!$B$3&gt;$G1995,"En retard","À échoir"))))))</f>
        <v/>
      </c>
      <c r="O1995" s="11">
        <f>IF($A1995="","",IF(OR($G1995="", $J1995&lt;=0),0,MAX(0,Listes!$B$3-$G1995)))</f>
        <v/>
      </c>
      <c r="P1995" s="12">
        <f>IF($A1995="","",IF($J1995&lt;=0,"Payé",IF($M1995="Oui","Litige",IF($O1995=0,"À échoir",IF($O1995&lt;=30,"0-30",IF($O1995&lt;=60,"31-60",IF($O1995&lt;=90,"61-90","90+")))))))</f>
        <v/>
      </c>
    </row>
    <row r="1996">
      <c r="A1996" s="6" t="n"/>
      <c r="B1996" s="6" t="n"/>
      <c r="C1996" s="6" t="n"/>
      <c r="D1996" s="6" t="n"/>
      <c r="E1996" s="6" t="n"/>
      <c r="F1996" s="7" t="n"/>
      <c r="G1996" s="7" t="n"/>
      <c r="H1996" s="8" t="n"/>
      <c r="I1996" s="9">
        <f>IF($A1996="","",SUMIFS(Ventes_Encaissements!$D$6:$D$3005,Ventes_Encaissements!$B$6:$B$3005,$A1996))</f>
        <v/>
      </c>
      <c r="J1996" s="9">
        <f>IF($A1996="","",$H1996-$I1996)</f>
        <v/>
      </c>
      <c r="K1996" s="10">
        <f>IF($A1996="","",IF($I1996=0,"",_xludf.AGGREGATE(14,6,Ventes_Encaissements!$C$6:$C$3005/(Ventes_Encaissements!$B$6:$B$3005=$A1996),1)))</f>
        <v/>
      </c>
      <c r="L1996" s="11">
        <f>IF($A1996="","",COUNTIFS(Ventes_Detail!$B$6:$B$3005,$A1996))</f>
        <v/>
      </c>
      <c r="M1996" s="12" t="n"/>
      <c r="N1996" s="12">
        <f>IF($A1996="","",IF($G1996="","",IF($M1996="Oui","Litige",IF($J1996&lt;=0,"Payé",IF($I1996&gt;0,"Partiel",IF(Listes!$B$3&gt;$G1996,"En retard","À échoir"))))))</f>
        <v/>
      </c>
      <c r="O1996" s="11">
        <f>IF($A1996="","",IF(OR($G1996="", $J1996&lt;=0),0,MAX(0,Listes!$B$3-$G1996)))</f>
        <v/>
      </c>
      <c r="P1996" s="12">
        <f>IF($A1996="","",IF($J1996&lt;=0,"Payé",IF($M1996="Oui","Litige",IF($O1996=0,"À échoir",IF($O1996&lt;=30,"0-30",IF($O1996&lt;=60,"31-60",IF($O1996&lt;=90,"61-90","90+")))))))</f>
        <v/>
      </c>
    </row>
    <row r="1997">
      <c r="A1997" s="6" t="n"/>
      <c r="B1997" s="6" t="n"/>
      <c r="C1997" s="6" t="n"/>
      <c r="D1997" s="6" t="n"/>
      <c r="E1997" s="6" t="n"/>
      <c r="F1997" s="7" t="n"/>
      <c r="G1997" s="7" t="n"/>
      <c r="H1997" s="8" t="n"/>
      <c r="I1997" s="9">
        <f>IF($A1997="","",SUMIFS(Ventes_Encaissements!$D$6:$D$3005,Ventes_Encaissements!$B$6:$B$3005,$A1997))</f>
        <v/>
      </c>
      <c r="J1997" s="9">
        <f>IF($A1997="","",$H1997-$I1997)</f>
        <v/>
      </c>
      <c r="K1997" s="10">
        <f>IF($A1997="","",IF($I1997=0,"",_xludf.AGGREGATE(14,6,Ventes_Encaissements!$C$6:$C$3005/(Ventes_Encaissements!$B$6:$B$3005=$A1997),1)))</f>
        <v/>
      </c>
      <c r="L1997" s="11">
        <f>IF($A1997="","",COUNTIFS(Ventes_Detail!$B$6:$B$3005,$A1997))</f>
        <v/>
      </c>
      <c r="M1997" s="12" t="n"/>
      <c r="N1997" s="12">
        <f>IF($A1997="","",IF($G1997="","",IF($M1997="Oui","Litige",IF($J1997&lt;=0,"Payé",IF($I1997&gt;0,"Partiel",IF(Listes!$B$3&gt;$G1997,"En retard","À échoir"))))))</f>
        <v/>
      </c>
      <c r="O1997" s="11">
        <f>IF($A1997="","",IF(OR($G1997="", $J1997&lt;=0),0,MAX(0,Listes!$B$3-$G1997)))</f>
        <v/>
      </c>
      <c r="P1997" s="12">
        <f>IF($A1997="","",IF($J1997&lt;=0,"Payé",IF($M1997="Oui","Litige",IF($O1997=0,"À échoir",IF($O1997&lt;=30,"0-30",IF($O1997&lt;=60,"31-60",IF($O1997&lt;=90,"61-90","90+")))))))</f>
        <v/>
      </c>
    </row>
    <row r="1998">
      <c r="A1998" s="6" t="n"/>
      <c r="B1998" s="6" t="n"/>
      <c r="C1998" s="6" t="n"/>
      <c r="D1998" s="6" t="n"/>
      <c r="E1998" s="6" t="n"/>
      <c r="F1998" s="7" t="n"/>
      <c r="G1998" s="7" t="n"/>
      <c r="H1998" s="8" t="n"/>
      <c r="I1998" s="9">
        <f>IF($A1998="","",SUMIFS(Ventes_Encaissements!$D$6:$D$3005,Ventes_Encaissements!$B$6:$B$3005,$A1998))</f>
        <v/>
      </c>
      <c r="J1998" s="9">
        <f>IF($A1998="","",$H1998-$I1998)</f>
        <v/>
      </c>
      <c r="K1998" s="10">
        <f>IF($A1998="","",IF($I1998=0,"",_xludf.AGGREGATE(14,6,Ventes_Encaissements!$C$6:$C$3005/(Ventes_Encaissements!$B$6:$B$3005=$A1998),1)))</f>
        <v/>
      </c>
      <c r="L1998" s="11">
        <f>IF($A1998="","",COUNTIFS(Ventes_Detail!$B$6:$B$3005,$A1998))</f>
        <v/>
      </c>
      <c r="M1998" s="12" t="n"/>
      <c r="N1998" s="12">
        <f>IF($A1998="","",IF($G1998="","",IF($M1998="Oui","Litige",IF($J1998&lt;=0,"Payé",IF($I1998&gt;0,"Partiel",IF(Listes!$B$3&gt;$G1998,"En retard","À échoir"))))))</f>
        <v/>
      </c>
      <c r="O1998" s="11">
        <f>IF($A1998="","",IF(OR($G1998="", $J1998&lt;=0),0,MAX(0,Listes!$B$3-$G1998)))</f>
        <v/>
      </c>
      <c r="P1998" s="12">
        <f>IF($A1998="","",IF($J1998&lt;=0,"Payé",IF($M1998="Oui","Litige",IF($O1998=0,"À échoir",IF($O1998&lt;=30,"0-30",IF($O1998&lt;=60,"31-60",IF($O1998&lt;=90,"61-90","90+")))))))</f>
        <v/>
      </c>
    </row>
    <row r="1999">
      <c r="A1999" s="6" t="n"/>
      <c r="B1999" s="6" t="n"/>
      <c r="C1999" s="6" t="n"/>
      <c r="D1999" s="6" t="n"/>
      <c r="E1999" s="6" t="n"/>
      <c r="F1999" s="7" t="n"/>
      <c r="G1999" s="7" t="n"/>
      <c r="H1999" s="8" t="n"/>
      <c r="I1999" s="9">
        <f>IF($A1999="","",SUMIFS(Ventes_Encaissements!$D$6:$D$3005,Ventes_Encaissements!$B$6:$B$3005,$A1999))</f>
        <v/>
      </c>
      <c r="J1999" s="9">
        <f>IF($A1999="","",$H1999-$I1999)</f>
        <v/>
      </c>
      <c r="K1999" s="10">
        <f>IF($A1999="","",IF($I1999=0,"",_xludf.AGGREGATE(14,6,Ventes_Encaissements!$C$6:$C$3005/(Ventes_Encaissements!$B$6:$B$3005=$A1999),1)))</f>
        <v/>
      </c>
      <c r="L1999" s="11">
        <f>IF($A1999="","",COUNTIFS(Ventes_Detail!$B$6:$B$3005,$A1999))</f>
        <v/>
      </c>
      <c r="M1999" s="12" t="n"/>
      <c r="N1999" s="12">
        <f>IF($A1999="","",IF($G1999="","",IF($M1999="Oui","Litige",IF($J1999&lt;=0,"Payé",IF($I1999&gt;0,"Partiel",IF(Listes!$B$3&gt;$G1999,"En retard","À échoir"))))))</f>
        <v/>
      </c>
      <c r="O1999" s="11">
        <f>IF($A1999="","",IF(OR($G1999="", $J1999&lt;=0),0,MAX(0,Listes!$B$3-$G1999)))</f>
        <v/>
      </c>
      <c r="P1999" s="12">
        <f>IF($A1999="","",IF($J1999&lt;=0,"Payé",IF($M1999="Oui","Litige",IF($O1999=0,"À échoir",IF($O1999&lt;=30,"0-30",IF($O1999&lt;=60,"31-60",IF($O1999&lt;=90,"61-90","90+")))))))</f>
        <v/>
      </c>
    </row>
    <row r="2000">
      <c r="A2000" s="6" t="n"/>
      <c r="B2000" s="6" t="n"/>
      <c r="C2000" s="6" t="n"/>
      <c r="D2000" s="6" t="n"/>
      <c r="E2000" s="6" t="n"/>
      <c r="F2000" s="7" t="n"/>
      <c r="G2000" s="7" t="n"/>
      <c r="H2000" s="8" t="n"/>
      <c r="I2000" s="9">
        <f>IF($A2000="","",SUMIFS(Ventes_Encaissements!$D$6:$D$3005,Ventes_Encaissements!$B$6:$B$3005,$A2000))</f>
        <v/>
      </c>
      <c r="J2000" s="9">
        <f>IF($A2000="","",$H2000-$I2000)</f>
        <v/>
      </c>
      <c r="K2000" s="10">
        <f>IF($A2000="","",IF($I2000=0,"",_xludf.AGGREGATE(14,6,Ventes_Encaissements!$C$6:$C$3005/(Ventes_Encaissements!$B$6:$B$3005=$A2000),1)))</f>
        <v/>
      </c>
      <c r="L2000" s="11">
        <f>IF($A2000="","",COUNTIFS(Ventes_Detail!$B$6:$B$3005,$A2000))</f>
        <v/>
      </c>
      <c r="M2000" s="12" t="n"/>
      <c r="N2000" s="12">
        <f>IF($A2000="","",IF($G2000="","",IF($M2000="Oui","Litige",IF($J2000&lt;=0,"Payé",IF($I2000&gt;0,"Partiel",IF(Listes!$B$3&gt;$G2000,"En retard","À échoir"))))))</f>
        <v/>
      </c>
      <c r="O2000" s="11">
        <f>IF($A2000="","",IF(OR($G2000="", $J2000&lt;=0),0,MAX(0,Listes!$B$3-$G2000)))</f>
        <v/>
      </c>
      <c r="P2000" s="12">
        <f>IF($A2000="","",IF($J2000&lt;=0,"Payé",IF($M2000="Oui","Litige",IF($O2000=0,"À échoir",IF($O2000&lt;=30,"0-30",IF($O2000&lt;=60,"31-60",IF($O2000&lt;=90,"61-90","90+")))))))</f>
        <v/>
      </c>
    </row>
    <row r="2001">
      <c r="A2001" s="6" t="n"/>
      <c r="B2001" s="6" t="n"/>
      <c r="C2001" s="6" t="n"/>
      <c r="D2001" s="6" t="n"/>
      <c r="E2001" s="6" t="n"/>
      <c r="F2001" s="7" t="n"/>
      <c r="G2001" s="7" t="n"/>
      <c r="H2001" s="8" t="n"/>
      <c r="I2001" s="9">
        <f>IF($A2001="","",SUMIFS(Ventes_Encaissements!$D$6:$D$3005,Ventes_Encaissements!$B$6:$B$3005,$A2001))</f>
        <v/>
      </c>
      <c r="J2001" s="9">
        <f>IF($A2001="","",$H2001-$I2001)</f>
        <v/>
      </c>
      <c r="K2001" s="10">
        <f>IF($A2001="","",IF($I2001=0,"",_xludf.AGGREGATE(14,6,Ventes_Encaissements!$C$6:$C$3005/(Ventes_Encaissements!$B$6:$B$3005=$A2001),1)))</f>
        <v/>
      </c>
      <c r="L2001" s="11">
        <f>IF($A2001="","",COUNTIFS(Ventes_Detail!$B$6:$B$3005,$A2001))</f>
        <v/>
      </c>
      <c r="M2001" s="12" t="n"/>
      <c r="N2001" s="12">
        <f>IF($A2001="","",IF($G2001="","",IF($M2001="Oui","Litige",IF($J2001&lt;=0,"Payé",IF($I2001&gt;0,"Partiel",IF(Listes!$B$3&gt;$G2001,"En retard","À échoir"))))))</f>
        <v/>
      </c>
      <c r="O2001" s="11">
        <f>IF($A2001="","",IF(OR($G2001="", $J2001&lt;=0),0,MAX(0,Listes!$B$3-$G2001)))</f>
        <v/>
      </c>
      <c r="P2001" s="12">
        <f>IF($A2001="","",IF($J2001&lt;=0,"Payé",IF($M2001="Oui","Litige",IF($O2001=0,"À échoir",IF($O2001&lt;=30,"0-30",IF($O2001&lt;=60,"31-60",IF($O2001&lt;=90,"61-90","90+")))))))</f>
        <v/>
      </c>
    </row>
    <row r="2002">
      <c r="A2002" s="6" t="n"/>
      <c r="B2002" s="6" t="n"/>
      <c r="C2002" s="6" t="n"/>
      <c r="D2002" s="6" t="n"/>
      <c r="E2002" s="6" t="n"/>
      <c r="F2002" s="7" t="n"/>
      <c r="G2002" s="7" t="n"/>
      <c r="H2002" s="8" t="n"/>
      <c r="I2002" s="9">
        <f>IF($A2002="","",SUMIFS(Ventes_Encaissements!$D$6:$D$3005,Ventes_Encaissements!$B$6:$B$3005,$A2002))</f>
        <v/>
      </c>
      <c r="J2002" s="9">
        <f>IF($A2002="","",$H2002-$I2002)</f>
        <v/>
      </c>
      <c r="K2002" s="10">
        <f>IF($A2002="","",IF($I2002=0,"",_xludf.AGGREGATE(14,6,Ventes_Encaissements!$C$6:$C$3005/(Ventes_Encaissements!$B$6:$B$3005=$A2002),1)))</f>
        <v/>
      </c>
      <c r="L2002" s="11">
        <f>IF($A2002="","",COUNTIFS(Ventes_Detail!$B$6:$B$3005,$A2002))</f>
        <v/>
      </c>
      <c r="M2002" s="12" t="n"/>
      <c r="N2002" s="12">
        <f>IF($A2002="","",IF($G2002="","",IF($M2002="Oui","Litige",IF($J2002&lt;=0,"Payé",IF($I2002&gt;0,"Partiel",IF(Listes!$B$3&gt;$G2002,"En retard","À échoir"))))))</f>
        <v/>
      </c>
      <c r="O2002" s="11">
        <f>IF($A2002="","",IF(OR($G2002="", $J2002&lt;=0),0,MAX(0,Listes!$B$3-$G2002)))</f>
        <v/>
      </c>
      <c r="P2002" s="12">
        <f>IF($A2002="","",IF($J2002&lt;=0,"Payé",IF($M2002="Oui","Litige",IF($O2002=0,"À échoir",IF($O2002&lt;=30,"0-30",IF($O2002&lt;=60,"31-60",IF($O2002&lt;=90,"61-90","90+")))))))</f>
        <v/>
      </c>
    </row>
    <row r="2003">
      <c r="A2003" s="6" t="n"/>
      <c r="B2003" s="6" t="n"/>
      <c r="C2003" s="6" t="n"/>
      <c r="D2003" s="6" t="n"/>
      <c r="E2003" s="6" t="n"/>
      <c r="F2003" s="7" t="n"/>
      <c r="G2003" s="7" t="n"/>
      <c r="H2003" s="8" t="n"/>
      <c r="I2003" s="9">
        <f>IF($A2003="","",SUMIFS(Ventes_Encaissements!$D$6:$D$3005,Ventes_Encaissements!$B$6:$B$3005,$A2003))</f>
        <v/>
      </c>
      <c r="J2003" s="9">
        <f>IF($A2003="","",$H2003-$I2003)</f>
        <v/>
      </c>
      <c r="K2003" s="10">
        <f>IF($A2003="","",IF($I2003=0,"",_xludf.AGGREGATE(14,6,Ventes_Encaissements!$C$6:$C$3005/(Ventes_Encaissements!$B$6:$B$3005=$A2003),1)))</f>
        <v/>
      </c>
      <c r="L2003" s="11">
        <f>IF($A2003="","",COUNTIFS(Ventes_Detail!$B$6:$B$3005,$A2003))</f>
        <v/>
      </c>
      <c r="M2003" s="12" t="n"/>
      <c r="N2003" s="12">
        <f>IF($A2003="","",IF($G2003="","",IF($M2003="Oui","Litige",IF($J2003&lt;=0,"Payé",IF($I2003&gt;0,"Partiel",IF(Listes!$B$3&gt;$G2003,"En retard","À échoir"))))))</f>
        <v/>
      </c>
      <c r="O2003" s="11">
        <f>IF($A2003="","",IF(OR($G2003="", $J2003&lt;=0),0,MAX(0,Listes!$B$3-$G2003)))</f>
        <v/>
      </c>
      <c r="P2003" s="12">
        <f>IF($A2003="","",IF($J2003&lt;=0,"Payé",IF($M2003="Oui","Litige",IF($O2003=0,"À échoir",IF($O2003&lt;=30,"0-30",IF($O2003&lt;=60,"31-60",IF($O2003&lt;=90,"61-90","90+")))))))</f>
        <v/>
      </c>
    </row>
    <row r="2004">
      <c r="A2004" s="6" t="n"/>
      <c r="B2004" s="6" t="n"/>
      <c r="C2004" s="6" t="n"/>
      <c r="D2004" s="6" t="n"/>
      <c r="E2004" s="6" t="n"/>
      <c r="F2004" s="7" t="n"/>
      <c r="G2004" s="7" t="n"/>
      <c r="H2004" s="8" t="n"/>
      <c r="I2004" s="9">
        <f>IF($A2004="","",SUMIFS(Ventes_Encaissements!$D$6:$D$3005,Ventes_Encaissements!$B$6:$B$3005,$A2004))</f>
        <v/>
      </c>
      <c r="J2004" s="9">
        <f>IF($A2004="","",$H2004-$I2004)</f>
        <v/>
      </c>
      <c r="K2004" s="10">
        <f>IF($A2004="","",IF($I2004=0,"",_xludf.AGGREGATE(14,6,Ventes_Encaissements!$C$6:$C$3005/(Ventes_Encaissements!$B$6:$B$3005=$A2004),1)))</f>
        <v/>
      </c>
      <c r="L2004" s="11">
        <f>IF($A2004="","",COUNTIFS(Ventes_Detail!$B$6:$B$3005,$A2004))</f>
        <v/>
      </c>
      <c r="M2004" s="12" t="n"/>
      <c r="N2004" s="12">
        <f>IF($A2004="","",IF($G2004="","",IF($M2004="Oui","Litige",IF($J2004&lt;=0,"Payé",IF($I2004&gt;0,"Partiel",IF(Listes!$B$3&gt;$G2004,"En retard","À échoir"))))))</f>
        <v/>
      </c>
      <c r="O2004" s="11">
        <f>IF($A2004="","",IF(OR($G2004="", $J2004&lt;=0),0,MAX(0,Listes!$B$3-$G2004)))</f>
        <v/>
      </c>
      <c r="P2004" s="12">
        <f>IF($A2004="","",IF($J2004&lt;=0,"Payé",IF($M2004="Oui","Litige",IF($O2004=0,"À échoir",IF($O2004&lt;=30,"0-30",IF($O2004&lt;=60,"31-60",IF($O2004&lt;=90,"61-90","90+")))))))</f>
        <v/>
      </c>
    </row>
    <row r="2005">
      <c r="A2005" s="6" t="n"/>
      <c r="B2005" s="6" t="n"/>
      <c r="C2005" s="6" t="n"/>
      <c r="D2005" s="6" t="n"/>
      <c r="E2005" s="6" t="n"/>
      <c r="F2005" s="7" t="n"/>
      <c r="G2005" s="7" t="n"/>
      <c r="H2005" s="8" t="n"/>
      <c r="I2005" s="9">
        <f>IF($A2005="","",SUMIFS(Ventes_Encaissements!$D$6:$D$3005,Ventes_Encaissements!$B$6:$B$3005,$A2005))</f>
        <v/>
      </c>
      <c r="J2005" s="9">
        <f>IF($A2005="","",$H2005-$I2005)</f>
        <v/>
      </c>
      <c r="K2005" s="10">
        <f>IF($A2005="","",IF($I2005=0,"",_xludf.AGGREGATE(14,6,Ventes_Encaissements!$C$6:$C$3005/(Ventes_Encaissements!$B$6:$B$3005=$A2005),1)))</f>
        <v/>
      </c>
      <c r="L2005" s="11">
        <f>IF($A2005="","",COUNTIFS(Ventes_Detail!$B$6:$B$3005,$A2005))</f>
        <v/>
      </c>
      <c r="M2005" s="12" t="n"/>
      <c r="N2005" s="12">
        <f>IF($A2005="","",IF($G2005="","",IF($M2005="Oui","Litige",IF($J2005&lt;=0,"Payé",IF($I2005&gt;0,"Partiel",IF(Listes!$B$3&gt;$G2005,"En retard","À échoir"))))))</f>
        <v/>
      </c>
      <c r="O2005" s="11">
        <f>IF($A2005="","",IF(OR($G2005="", $J2005&lt;=0),0,MAX(0,Listes!$B$3-$G2005)))</f>
        <v/>
      </c>
      <c r="P2005" s="12">
        <f>IF($A2005="","",IF($J2005&lt;=0,"Payé",IF($M2005="Oui","Litige",IF($O2005=0,"À échoir",IF($O2005&lt;=30,"0-30",IF($O2005&lt;=60,"31-60",IF($O2005&lt;=90,"61-90","90+")))))))</f>
        <v/>
      </c>
    </row>
    <row r="2006">
      <c r="A2006" s="6" t="n"/>
      <c r="B2006" s="6" t="n"/>
      <c r="C2006" s="6" t="n"/>
      <c r="D2006" s="6" t="n"/>
      <c r="E2006" s="6" t="n"/>
      <c r="F2006" s="7" t="n"/>
      <c r="G2006" s="7" t="n"/>
      <c r="H2006" s="8" t="n"/>
      <c r="I2006" s="9">
        <f>IF($A2006="","",SUMIFS(Ventes_Encaissements!$D$6:$D$3005,Ventes_Encaissements!$B$6:$B$3005,$A2006))</f>
        <v/>
      </c>
      <c r="J2006" s="9">
        <f>IF($A2006="","",$H2006-$I2006)</f>
        <v/>
      </c>
      <c r="K2006" s="10">
        <f>IF($A2006="","",IF($I2006=0,"",_xludf.AGGREGATE(14,6,Ventes_Encaissements!$C$6:$C$3005/(Ventes_Encaissements!$B$6:$B$3005=$A2006),1)))</f>
        <v/>
      </c>
      <c r="L2006" s="11">
        <f>IF($A2006="","",COUNTIFS(Ventes_Detail!$B$6:$B$3005,$A2006))</f>
        <v/>
      </c>
      <c r="M2006" s="12" t="n"/>
      <c r="N2006" s="12">
        <f>IF($A2006="","",IF($G2006="","",IF($M2006="Oui","Litige",IF($J2006&lt;=0,"Payé",IF($I2006&gt;0,"Partiel",IF(Listes!$B$3&gt;$G2006,"En retard","À échoir"))))))</f>
        <v/>
      </c>
      <c r="O2006" s="11">
        <f>IF($A2006="","",IF(OR($G2006="", $J2006&lt;=0),0,MAX(0,Listes!$B$3-$G2006)))</f>
        <v/>
      </c>
      <c r="P2006" s="12">
        <f>IF($A2006="","",IF($J2006&lt;=0,"Payé",IF($M2006="Oui","Litige",IF($O2006=0,"À échoir",IF($O2006&lt;=30,"0-30",IF($O2006&lt;=60,"31-60",IF($O2006&lt;=90,"61-90","90+")))))))</f>
        <v/>
      </c>
    </row>
    <row r="2007">
      <c r="A2007" s="6" t="n"/>
      <c r="B2007" s="6" t="n"/>
      <c r="C2007" s="6" t="n"/>
      <c r="D2007" s="6" t="n"/>
      <c r="E2007" s="6" t="n"/>
      <c r="F2007" s="7" t="n"/>
      <c r="G2007" s="7" t="n"/>
      <c r="H2007" s="8" t="n"/>
      <c r="I2007" s="9">
        <f>IF($A2007="","",SUMIFS(Ventes_Encaissements!$D$6:$D$3005,Ventes_Encaissements!$B$6:$B$3005,$A2007))</f>
        <v/>
      </c>
      <c r="J2007" s="9">
        <f>IF($A2007="","",$H2007-$I2007)</f>
        <v/>
      </c>
      <c r="K2007" s="10">
        <f>IF($A2007="","",IF($I2007=0,"",_xludf.AGGREGATE(14,6,Ventes_Encaissements!$C$6:$C$3005/(Ventes_Encaissements!$B$6:$B$3005=$A2007),1)))</f>
        <v/>
      </c>
      <c r="L2007" s="11">
        <f>IF($A2007="","",COUNTIFS(Ventes_Detail!$B$6:$B$3005,$A2007))</f>
        <v/>
      </c>
      <c r="M2007" s="12" t="n"/>
      <c r="N2007" s="12">
        <f>IF($A2007="","",IF($G2007="","",IF($M2007="Oui","Litige",IF($J2007&lt;=0,"Payé",IF($I2007&gt;0,"Partiel",IF(Listes!$B$3&gt;$G2007,"En retard","À échoir"))))))</f>
        <v/>
      </c>
      <c r="O2007" s="11">
        <f>IF($A2007="","",IF(OR($G2007="", $J2007&lt;=0),0,MAX(0,Listes!$B$3-$G2007)))</f>
        <v/>
      </c>
      <c r="P2007" s="12">
        <f>IF($A2007="","",IF($J2007&lt;=0,"Payé",IF($M2007="Oui","Litige",IF($O2007=0,"À échoir",IF($O2007&lt;=30,"0-30",IF($O2007&lt;=60,"31-60",IF($O2007&lt;=90,"61-90","90+")))))))</f>
        <v/>
      </c>
    </row>
    <row r="2008">
      <c r="A2008" s="6" t="n"/>
      <c r="B2008" s="6" t="n"/>
      <c r="C2008" s="6" t="n"/>
      <c r="D2008" s="6" t="n"/>
      <c r="E2008" s="6" t="n"/>
      <c r="F2008" s="7" t="n"/>
      <c r="G2008" s="7" t="n"/>
      <c r="H2008" s="8" t="n"/>
      <c r="I2008" s="9">
        <f>IF($A2008="","",SUMIFS(Ventes_Encaissements!$D$6:$D$3005,Ventes_Encaissements!$B$6:$B$3005,$A2008))</f>
        <v/>
      </c>
      <c r="J2008" s="9">
        <f>IF($A2008="","",$H2008-$I2008)</f>
        <v/>
      </c>
      <c r="K2008" s="10">
        <f>IF($A2008="","",IF($I2008=0,"",_xludf.AGGREGATE(14,6,Ventes_Encaissements!$C$6:$C$3005/(Ventes_Encaissements!$B$6:$B$3005=$A2008),1)))</f>
        <v/>
      </c>
      <c r="L2008" s="11">
        <f>IF($A2008="","",COUNTIFS(Ventes_Detail!$B$6:$B$3005,$A2008))</f>
        <v/>
      </c>
      <c r="M2008" s="12" t="n"/>
      <c r="N2008" s="12">
        <f>IF($A2008="","",IF($G2008="","",IF($M2008="Oui","Litige",IF($J2008&lt;=0,"Payé",IF($I2008&gt;0,"Partiel",IF(Listes!$B$3&gt;$G2008,"En retard","À échoir"))))))</f>
        <v/>
      </c>
      <c r="O2008" s="11">
        <f>IF($A2008="","",IF(OR($G2008="", $J2008&lt;=0),0,MAX(0,Listes!$B$3-$G2008)))</f>
        <v/>
      </c>
      <c r="P2008" s="12">
        <f>IF($A2008="","",IF($J2008&lt;=0,"Payé",IF($M2008="Oui","Litige",IF($O2008=0,"À échoir",IF($O2008&lt;=30,"0-30",IF($O2008&lt;=60,"31-60",IF($O2008&lt;=90,"61-90","90+")))))))</f>
        <v/>
      </c>
    </row>
    <row r="2009">
      <c r="A2009" s="6" t="n"/>
      <c r="B2009" s="6" t="n"/>
      <c r="C2009" s="6" t="n"/>
      <c r="D2009" s="6" t="n"/>
      <c r="E2009" s="6" t="n"/>
      <c r="F2009" s="7" t="n"/>
      <c r="G2009" s="7" t="n"/>
      <c r="H2009" s="8" t="n"/>
      <c r="I2009" s="9">
        <f>IF($A2009="","",SUMIFS(Ventes_Encaissements!$D$6:$D$3005,Ventes_Encaissements!$B$6:$B$3005,$A2009))</f>
        <v/>
      </c>
      <c r="J2009" s="9">
        <f>IF($A2009="","",$H2009-$I2009)</f>
        <v/>
      </c>
      <c r="K2009" s="10">
        <f>IF($A2009="","",IF($I2009=0,"",_xludf.AGGREGATE(14,6,Ventes_Encaissements!$C$6:$C$3005/(Ventes_Encaissements!$B$6:$B$3005=$A2009),1)))</f>
        <v/>
      </c>
      <c r="L2009" s="11">
        <f>IF($A2009="","",COUNTIFS(Ventes_Detail!$B$6:$B$3005,$A2009))</f>
        <v/>
      </c>
      <c r="M2009" s="12" t="n"/>
      <c r="N2009" s="12">
        <f>IF($A2009="","",IF($G2009="","",IF($M2009="Oui","Litige",IF($J2009&lt;=0,"Payé",IF($I2009&gt;0,"Partiel",IF(Listes!$B$3&gt;$G2009,"En retard","À échoir"))))))</f>
        <v/>
      </c>
      <c r="O2009" s="11">
        <f>IF($A2009="","",IF(OR($G2009="", $J2009&lt;=0),0,MAX(0,Listes!$B$3-$G2009)))</f>
        <v/>
      </c>
      <c r="P2009" s="12">
        <f>IF($A2009="","",IF($J2009&lt;=0,"Payé",IF($M2009="Oui","Litige",IF($O2009=0,"À échoir",IF($O2009&lt;=30,"0-30",IF($O2009&lt;=60,"31-60",IF($O2009&lt;=90,"61-90","90+")))))))</f>
        <v/>
      </c>
    </row>
    <row r="2010">
      <c r="A2010" s="6" t="n"/>
      <c r="B2010" s="6" t="n"/>
      <c r="C2010" s="6" t="n"/>
      <c r="D2010" s="6" t="n"/>
      <c r="E2010" s="6" t="n"/>
      <c r="F2010" s="7" t="n"/>
      <c r="G2010" s="7" t="n"/>
      <c r="H2010" s="8" t="n"/>
      <c r="I2010" s="9">
        <f>IF($A2010="","",SUMIFS(Ventes_Encaissements!$D$6:$D$3005,Ventes_Encaissements!$B$6:$B$3005,$A2010))</f>
        <v/>
      </c>
      <c r="J2010" s="9">
        <f>IF($A2010="","",$H2010-$I2010)</f>
        <v/>
      </c>
      <c r="K2010" s="10">
        <f>IF($A2010="","",IF($I2010=0,"",_xludf.AGGREGATE(14,6,Ventes_Encaissements!$C$6:$C$3005/(Ventes_Encaissements!$B$6:$B$3005=$A2010),1)))</f>
        <v/>
      </c>
      <c r="L2010" s="11">
        <f>IF($A2010="","",COUNTIFS(Ventes_Detail!$B$6:$B$3005,$A2010))</f>
        <v/>
      </c>
      <c r="M2010" s="12" t="n"/>
      <c r="N2010" s="12">
        <f>IF($A2010="","",IF($G2010="","",IF($M2010="Oui","Litige",IF($J2010&lt;=0,"Payé",IF($I2010&gt;0,"Partiel",IF(Listes!$B$3&gt;$G2010,"En retard","À échoir"))))))</f>
        <v/>
      </c>
      <c r="O2010" s="11">
        <f>IF($A2010="","",IF(OR($G2010="", $J2010&lt;=0),0,MAX(0,Listes!$B$3-$G2010)))</f>
        <v/>
      </c>
      <c r="P2010" s="12">
        <f>IF($A2010="","",IF($J2010&lt;=0,"Payé",IF($M2010="Oui","Litige",IF($O2010=0,"À échoir",IF($O2010&lt;=30,"0-30",IF($O2010&lt;=60,"31-60",IF($O2010&lt;=90,"61-90","90+")))))))</f>
        <v/>
      </c>
    </row>
    <row r="2011">
      <c r="A2011" s="6" t="n"/>
      <c r="B2011" s="6" t="n"/>
      <c r="C2011" s="6" t="n"/>
      <c r="D2011" s="6" t="n"/>
      <c r="E2011" s="6" t="n"/>
      <c r="F2011" s="7" t="n"/>
      <c r="G2011" s="7" t="n"/>
      <c r="H2011" s="8" t="n"/>
      <c r="I2011" s="9">
        <f>IF($A2011="","",SUMIFS(Ventes_Encaissements!$D$6:$D$3005,Ventes_Encaissements!$B$6:$B$3005,$A2011))</f>
        <v/>
      </c>
      <c r="J2011" s="9">
        <f>IF($A2011="","",$H2011-$I2011)</f>
        <v/>
      </c>
      <c r="K2011" s="10">
        <f>IF($A2011="","",IF($I2011=0,"",_xludf.AGGREGATE(14,6,Ventes_Encaissements!$C$6:$C$3005/(Ventes_Encaissements!$B$6:$B$3005=$A2011),1)))</f>
        <v/>
      </c>
      <c r="L2011" s="11">
        <f>IF($A2011="","",COUNTIFS(Ventes_Detail!$B$6:$B$3005,$A2011))</f>
        <v/>
      </c>
      <c r="M2011" s="12" t="n"/>
      <c r="N2011" s="12">
        <f>IF($A2011="","",IF($G2011="","",IF($M2011="Oui","Litige",IF($J2011&lt;=0,"Payé",IF($I2011&gt;0,"Partiel",IF(Listes!$B$3&gt;$G2011,"En retard","À échoir"))))))</f>
        <v/>
      </c>
      <c r="O2011" s="11">
        <f>IF($A2011="","",IF(OR($G2011="", $J2011&lt;=0),0,MAX(0,Listes!$B$3-$G2011)))</f>
        <v/>
      </c>
      <c r="P2011" s="12">
        <f>IF($A2011="","",IF($J2011&lt;=0,"Payé",IF($M2011="Oui","Litige",IF($O2011=0,"À échoir",IF($O2011&lt;=30,"0-30",IF($O2011&lt;=60,"31-60",IF($O2011&lt;=90,"61-90","90+")))))))</f>
        <v/>
      </c>
    </row>
    <row r="2012">
      <c r="A2012" s="6" t="n"/>
      <c r="B2012" s="6" t="n"/>
      <c r="C2012" s="6" t="n"/>
      <c r="D2012" s="6" t="n"/>
      <c r="E2012" s="6" t="n"/>
      <c r="F2012" s="7" t="n"/>
      <c r="G2012" s="7" t="n"/>
      <c r="H2012" s="8" t="n"/>
      <c r="I2012" s="9">
        <f>IF($A2012="","",SUMIFS(Ventes_Encaissements!$D$6:$D$3005,Ventes_Encaissements!$B$6:$B$3005,$A2012))</f>
        <v/>
      </c>
      <c r="J2012" s="9">
        <f>IF($A2012="","",$H2012-$I2012)</f>
        <v/>
      </c>
      <c r="K2012" s="10">
        <f>IF($A2012="","",IF($I2012=0,"",_xludf.AGGREGATE(14,6,Ventes_Encaissements!$C$6:$C$3005/(Ventes_Encaissements!$B$6:$B$3005=$A2012),1)))</f>
        <v/>
      </c>
      <c r="L2012" s="11">
        <f>IF($A2012="","",COUNTIFS(Ventes_Detail!$B$6:$B$3005,$A2012))</f>
        <v/>
      </c>
      <c r="M2012" s="12" t="n"/>
      <c r="N2012" s="12">
        <f>IF($A2012="","",IF($G2012="","",IF($M2012="Oui","Litige",IF($J2012&lt;=0,"Payé",IF($I2012&gt;0,"Partiel",IF(Listes!$B$3&gt;$G2012,"En retard","À échoir"))))))</f>
        <v/>
      </c>
      <c r="O2012" s="11">
        <f>IF($A2012="","",IF(OR($G2012="", $J2012&lt;=0),0,MAX(0,Listes!$B$3-$G2012)))</f>
        <v/>
      </c>
      <c r="P2012" s="12">
        <f>IF($A2012="","",IF($J2012&lt;=0,"Payé",IF($M2012="Oui","Litige",IF($O2012=0,"À échoir",IF($O2012&lt;=30,"0-30",IF($O2012&lt;=60,"31-60",IF($O2012&lt;=90,"61-90","90+")))))))</f>
        <v/>
      </c>
    </row>
    <row r="2013">
      <c r="A2013" s="6" t="n"/>
      <c r="B2013" s="6" t="n"/>
      <c r="C2013" s="6" t="n"/>
      <c r="D2013" s="6" t="n"/>
      <c r="E2013" s="6" t="n"/>
      <c r="F2013" s="7" t="n"/>
      <c r="G2013" s="7" t="n"/>
      <c r="H2013" s="8" t="n"/>
      <c r="I2013" s="9">
        <f>IF($A2013="","",SUMIFS(Ventes_Encaissements!$D$6:$D$3005,Ventes_Encaissements!$B$6:$B$3005,$A2013))</f>
        <v/>
      </c>
      <c r="J2013" s="9">
        <f>IF($A2013="","",$H2013-$I2013)</f>
        <v/>
      </c>
      <c r="K2013" s="10">
        <f>IF($A2013="","",IF($I2013=0,"",_xludf.AGGREGATE(14,6,Ventes_Encaissements!$C$6:$C$3005/(Ventes_Encaissements!$B$6:$B$3005=$A2013),1)))</f>
        <v/>
      </c>
      <c r="L2013" s="11">
        <f>IF($A2013="","",COUNTIFS(Ventes_Detail!$B$6:$B$3005,$A2013))</f>
        <v/>
      </c>
      <c r="M2013" s="12" t="n"/>
      <c r="N2013" s="12">
        <f>IF($A2013="","",IF($G2013="","",IF($M2013="Oui","Litige",IF($J2013&lt;=0,"Payé",IF($I2013&gt;0,"Partiel",IF(Listes!$B$3&gt;$G2013,"En retard","À échoir"))))))</f>
        <v/>
      </c>
      <c r="O2013" s="11">
        <f>IF($A2013="","",IF(OR($G2013="", $J2013&lt;=0),0,MAX(0,Listes!$B$3-$G2013)))</f>
        <v/>
      </c>
      <c r="P2013" s="12">
        <f>IF($A2013="","",IF($J2013&lt;=0,"Payé",IF($M2013="Oui","Litige",IF($O2013=0,"À échoir",IF($O2013&lt;=30,"0-30",IF($O2013&lt;=60,"31-60",IF($O2013&lt;=90,"61-90","90+")))))))</f>
        <v/>
      </c>
    </row>
    <row r="2014">
      <c r="A2014" s="6" t="n"/>
      <c r="B2014" s="6" t="n"/>
      <c r="C2014" s="6" t="n"/>
      <c r="D2014" s="6" t="n"/>
      <c r="E2014" s="6" t="n"/>
      <c r="F2014" s="7" t="n"/>
      <c r="G2014" s="7" t="n"/>
      <c r="H2014" s="8" t="n"/>
      <c r="I2014" s="9">
        <f>IF($A2014="","",SUMIFS(Ventes_Encaissements!$D$6:$D$3005,Ventes_Encaissements!$B$6:$B$3005,$A2014))</f>
        <v/>
      </c>
      <c r="J2014" s="9">
        <f>IF($A2014="","",$H2014-$I2014)</f>
        <v/>
      </c>
      <c r="K2014" s="10">
        <f>IF($A2014="","",IF($I2014=0,"",_xludf.AGGREGATE(14,6,Ventes_Encaissements!$C$6:$C$3005/(Ventes_Encaissements!$B$6:$B$3005=$A2014),1)))</f>
        <v/>
      </c>
      <c r="L2014" s="11">
        <f>IF($A2014="","",COUNTIFS(Ventes_Detail!$B$6:$B$3005,$A2014))</f>
        <v/>
      </c>
      <c r="M2014" s="12" t="n"/>
      <c r="N2014" s="12">
        <f>IF($A2014="","",IF($G2014="","",IF($M2014="Oui","Litige",IF($J2014&lt;=0,"Payé",IF($I2014&gt;0,"Partiel",IF(Listes!$B$3&gt;$G2014,"En retard","À échoir"))))))</f>
        <v/>
      </c>
      <c r="O2014" s="11">
        <f>IF($A2014="","",IF(OR($G2014="", $J2014&lt;=0),0,MAX(0,Listes!$B$3-$G2014)))</f>
        <v/>
      </c>
      <c r="P2014" s="12">
        <f>IF($A2014="","",IF($J2014&lt;=0,"Payé",IF($M2014="Oui","Litige",IF($O2014=0,"À échoir",IF($O2014&lt;=30,"0-30",IF($O2014&lt;=60,"31-60",IF($O2014&lt;=90,"61-90","90+")))))))</f>
        <v/>
      </c>
    </row>
    <row r="2015">
      <c r="A2015" s="6" t="n"/>
      <c r="B2015" s="6" t="n"/>
      <c r="C2015" s="6" t="n"/>
      <c r="D2015" s="6" t="n"/>
      <c r="E2015" s="6" t="n"/>
      <c r="F2015" s="7" t="n"/>
      <c r="G2015" s="7" t="n"/>
      <c r="H2015" s="8" t="n"/>
      <c r="I2015" s="9">
        <f>IF($A2015="","",SUMIFS(Ventes_Encaissements!$D$6:$D$3005,Ventes_Encaissements!$B$6:$B$3005,$A2015))</f>
        <v/>
      </c>
      <c r="J2015" s="9">
        <f>IF($A2015="","",$H2015-$I2015)</f>
        <v/>
      </c>
      <c r="K2015" s="10">
        <f>IF($A2015="","",IF($I2015=0,"",_xludf.AGGREGATE(14,6,Ventes_Encaissements!$C$6:$C$3005/(Ventes_Encaissements!$B$6:$B$3005=$A2015),1)))</f>
        <v/>
      </c>
      <c r="L2015" s="11">
        <f>IF($A2015="","",COUNTIFS(Ventes_Detail!$B$6:$B$3005,$A2015))</f>
        <v/>
      </c>
      <c r="M2015" s="12" t="n"/>
      <c r="N2015" s="12">
        <f>IF($A2015="","",IF($G2015="","",IF($M2015="Oui","Litige",IF($J2015&lt;=0,"Payé",IF($I2015&gt;0,"Partiel",IF(Listes!$B$3&gt;$G2015,"En retard","À échoir"))))))</f>
        <v/>
      </c>
      <c r="O2015" s="11">
        <f>IF($A2015="","",IF(OR($G2015="", $J2015&lt;=0),0,MAX(0,Listes!$B$3-$G2015)))</f>
        <v/>
      </c>
      <c r="P2015" s="12">
        <f>IF($A2015="","",IF($J2015&lt;=0,"Payé",IF($M2015="Oui","Litige",IF($O2015=0,"À échoir",IF($O2015&lt;=30,"0-30",IF($O2015&lt;=60,"31-60",IF($O2015&lt;=90,"61-90","90+")))))))</f>
        <v/>
      </c>
    </row>
    <row r="2016">
      <c r="A2016" s="6" t="n"/>
      <c r="B2016" s="6" t="n"/>
      <c r="C2016" s="6" t="n"/>
      <c r="D2016" s="6" t="n"/>
      <c r="E2016" s="6" t="n"/>
      <c r="F2016" s="7" t="n"/>
      <c r="G2016" s="7" t="n"/>
      <c r="H2016" s="8" t="n"/>
      <c r="I2016" s="9">
        <f>IF($A2016="","",SUMIFS(Ventes_Encaissements!$D$6:$D$3005,Ventes_Encaissements!$B$6:$B$3005,$A2016))</f>
        <v/>
      </c>
      <c r="J2016" s="9">
        <f>IF($A2016="","",$H2016-$I2016)</f>
        <v/>
      </c>
      <c r="K2016" s="10">
        <f>IF($A2016="","",IF($I2016=0,"",_xludf.AGGREGATE(14,6,Ventes_Encaissements!$C$6:$C$3005/(Ventes_Encaissements!$B$6:$B$3005=$A2016),1)))</f>
        <v/>
      </c>
      <c r="L2016" s="11">
        <f>IF($A2016="","",COUNTIFS(Ventes_Detail!$B$6:$B$3005,$A2016))</f>
        <v/>
      </c>
      <c r="M2016" s="12" t="n"/>
      <c r="N2016" s="12">
        <f>IF($A2016="","",IF($G2016="","",IF($M2016="Oui","Litige",IF($J2016&lt;=0,"Payé",IF($I2016&gt;0,"Partiel",IF(Listes!$B$3&gt;$G2016,"En retard","À échoir"))))))</f>
        <v/>
      </c>
      <c r="O2016" s="11">
        <f>IF($A2016="","",IF(OR($G2016="", $J2016&lt;=0),0,MAX(0,Listes!$B$3-$G2016)))</f>
        <v/>
      </c>
      <c r="P2016" s="12">
        <f>IF($A2016="","",IF($J2016&lt;=0,"Payé",IF($M2016="Oui","Litige",IF($O2016=0,"À échoir",IF($O2016&lt;=30,"0-30",IF($O2016&lt;=60,"31-60",IF($O2016&lt;=90,"61-90","90+")))))))</f>
        <v/>
      </c>
    </row>
    <row r="2017">
      <c r="A2017" s="6" t="n"/>
      <c r="B2017" s="6" t="n"/>
      <c r="C2017" s="6" t="n"/>
      <c r="D2017" s="6" t="n"/>
      <c r="E2017" s="6" t="n"/>
      <c r="F2017" s="7" t="n"/>
      <c r="G2017" s="7" t="n"/>
      <c r="H2017" s="8" t="n"/>
      <c r="I2017" s="9">
        <f>IF($A2017="","",SUMIFS(Ventes_Encaissements!$D$6:$D$3005,Ventes_Encaissements!$B$6:$B$3005,$A2017))</f>
        <v/>
      </c>
      <c r="J2017" s="9">
        <f>IF($A2017="","",$H2017-$I2017)</f>
        <v/>
      </c>
      <c r="K2017" s="10">
        <f>IF($A2017="","",IF($I2017=0,"",_xludf.AGGREGATE(14,6,Ventes_Encaissements!$C$6:$C$3005/(Ventes_Encaissements!$B$6:$B$3005=$A2017),1)))</f>
        <v/>
      </c>
      <c r="L2017" s="11">
        <f>IF($A2017="","",COUNTIFS(Ventes_Detail!$B$6:$B$3005,$A2017))</f>
        <v/>
      </c>
      <c r="M2017" s="12" t="n"/>
      <c r="N2017" s="12">
        <f>IF($A2017="","",IF($G2017="","",IF($M2017="Oui","Litige",IF($J2017&lt;=0,"Payé",IF($I2017&gt;0,"Partiel",IF(Listes!$B$3&gt;$G2017,"En retard","À échoir"))))))</f>
        <v/>
      </c>
      <c r="O2017" s="11">
        <f>IF($A2017="","",IF(OR($G2017="", $J2017&lt;=0),0,MAX(0,Listes!$B$3-$G2017)))</f>
        <v/>
      </c>
      <c r="P2017" s="12">
        <f>IF($A2017="","",IF($J2017&lt;=0,"Payé",IF($M2017="Oui","Litige",IF($O2017=0,"À échoir",IF($O2017&lt;=30,"0-30",IF($O2017&lt;=60,"31-60",IF($O2017&lt;=90,"61-90","90+")))))))</f>
        <v/>
      </c>
    </row>
    <row r="2018">
      <c r="A2018" s="6" t="n"/>
      <c r="B2018" s="6" t="n"/>
      <c r="C2018" s="6" t="n"/>
      <c r="D2018" s="6" t="n"/>
      <c r="E2018" s="6" t="n"/>
      <c r="F2018" s="7" t="n"/>
      <c r="G2018" s="7" t="n"/>
      <c r="H2018" s="8" t="n"/>
      <c r="I2018" s="9">
        <f>IF($A2018="","",SUMIFS(Ventes_Encaissements!$D$6:$D$3005,Ventes_Encaissements!$B$6:$B$3005,$A2018))</f>
        <v/>
      </c>
      <c r="J2018" s="9">
        <f>IF($A2018="","",$H2018-$I2018)</f>
        <v/>
      </c>
      <c r="K2018" s="10">
        <f>IF($A2018="","",IF($I2018=0,"",_xludf.AGGREGATE(14,6,Ventes_Encaissements!$C$6:$C$3005/(Ventes_Encaissements!$B$6:$B$3005=$A2018),1)))</f>
        <v/>
      </c>
      <c r="L2018" s="11">
        <f>IF($A2018="","",COUNTIFS(Ventes_Detail!$B$6:$B$3005,$A2018))</f>
        <v/>
      </c>
      <c r="M2018" s="12" t="n"/>
      <c r="N2018" s="12">
        <f>IF($A2018="","",IF($G2018="","",IF($M2018="Oui","Litige",IF($J2018&lt;=0,"Payé",IF($I2018&gt;0,"Partiel",IF(Listes!$B$3&gt;$G2018,"En retard","À échoir"))))))</f>
        <v/>
      </c>
      <c r="O2018" s="11">
        <f>IF($A2018="","",IF(OR($G2018="", $J2018&lt;=0),0,MAX(0,Listes!$B$3-$G2018)))</f>
        <v/>
      </c>
      <c r="P2018" s="12">
        <f>IF($A2018="","",IF($J2018&lt;=0,"Payé",IF($M2018="Oui","Litige",IF($O2018=0,"À échoir",IF($O2018&lt;=30,"0-30",IF($O2018&lt;=60,"31-60",IF($O2018&lt;=90,"61-90","90+")))))))</f>
        <v/>
      </c>
    </row>
    <row r="2019">
      <c r="A2019" s="6" t="n"/>
      <c r="B2019" s="6" t="n"/>
      <c r="C2019" s="6" t="n"/>
      <c r="D2019" s="6" t="n"/>
      <c r="E2019" s="6" t="n"/>
      <c r="F2019" s="7" t="n"/>
      <c r="G2019" s="7" t="n"/>
      <c r="H2019" s="8" t="n"/>
      <c r="I2019" s="9">
        <f>IF($A2019="","",SUMIFS(Ventes_Encaissements!$D$6:$D$3005,Ventes_Encaissements!$B$6:$B$3005,$A2019))</f>
        <v/>
      </c>
      <c r="J2019" s="9">
        <f>IF($A2019="","",$H2019-$I2019)</f>
        <v/>
      </c>
      <c r="K2019" s="10">
        <f>IF($A2019="","",IF($I2019=0,"",_xludf.AGGREGATE(14,6,Ventes_Encaissements!$C$6:$C$3005/(Ventes_Encaissements!$B$6:$B$3005=$A2019),1)))</f>
        <v/>
      </c>
      <c r="L2019" s="11">
        <f>IF($A2019="","",COUNTIFS(Ventes_Detail!$B$6:$B$3005,$A2019))</f>
        <v/>
      </c>
      <c r="M2019" s="12" t="n"/>
      <c r="N2019" s="12">
        <f>IF($A2019="","",IF($G2019="","",IF($M2019="Oui","Litige",IF($J2019&lt;=0,"Payé",IF($I2019&gt;0,"Partiel",IF(Listes!$B$3&gt;$G2019,"En retard","À échoir"))))))</f>
        <v/>
      </c>
      <c r="O2019" s="11">
        <f>IF($A2019="","",IF(OR($G2019="", $J2019&lt;=0),0,MAX(0,Listes!$B$3-$G2019)))</f>
        <v/>
      </c>
      <c r="P2019" s="12">
        <f>IF($A2019="","",IF($J2019&lt;=0,"Payé",IF($M2019="Oui","Litige",IF($O2019=0,"À échoir",IF($O2019&lt;=30,"0-30",IF($O2019&lt;=60,"31-60",IF($O2019&lt;=90,"61-90","90+")))))))</f>
        <v/>
      </c>
    </row>
    <row r="2020">
      <c r="A2020" s="6" t="n"/>
      <c r="B2020" s="6" t="n"/>
      <c r="C2020" s="6" t="n"/>
      <c r="D2020" s="6" t="n"/>
      <c r="E2020" s="6" t="n"/>
      <c r="F2020" s="7" t="n"/>
      <c r="G2020" s="7" t="n"/>
      <c r="H2020" s="8" t="n"/>
      <c r="I2020" s="9">
        <f>IF($A2020="","",SUMIFS(Ventes_Encaissements!$D$6:$D$3005,Ventes_Encaissements!$B$6:$B$3005,$A2020))</f>
        <v/>
      </c>
      <c r="J2020" s="9">
        <f>IF($A2020="","",$H2020-$I2020)</f>
        <v/>
      </c>
      <c r="K2020" s="10">
        <f>IF($A2020="","",IF($I2020=0,"",_xludf.AGGREGATE(14,6,Ventes_Encaissements!$C$6:$C$3005/(Ventes_Encaissements!$B$6:$B$3005=$A2020),1)))</f>
        <v/>
      </c>
      <c r="L2020" s="11">
        <f>IF($A2020="","",COUNTIFS(Ventes_Detail!$B$6:$B$3005,$A2020))</f>
        <v/>
      </c>
      <c r="M2020" s="12" t="n"/>
      <c r="N2020" s="12">
        <f>IF($A2020="","",IF($G2020="","",IF($M2020="Oui","Litige",IF($J2020&lt;=0,"Payé",IF($I2020&gt;0,"Partiel",IF(Listes!$B$3&gt;$G2020,"En retard","À échoir"))))))</f>
        <v/>
      </c>
      <c r="O2020" s="11">
        <f>IF($A2020="","",IF(OR($G2020="", $J2020&lt;=0),0,MAX(0,Listes!$B$3-$G2020)))</f>
        <v/>
      </c>
      <c r="P2020" s="12">
        <f>IF($A2020="","",IF($J2020&lt;=0,"Payé",IF($M2020="Oui","Litige",IF($O2020=0,"À échoir",IF($O2020&lt;=30,"0-30",IF($O2020&lt;=60,"31-60",IF($O2020&lt;=90,"61-90","90+")))))))</f>
        <v/>
      </c>
    </row>
    <row r="2021">
      <c r="A2021" s="6" t="n"/>
      <c r="B2021" s="6" t="n"/>
      <c r="C2021" s="6" t="n"/>
      <c r="D2021" s="6" t="n"/>
      <c r="E2021" s="6" t="n"/>
      <c r="F2021" s="7" t="n"/>
      <c r="G2021" s="7" t="n"/>
      <c r="H2021" s="8" t="n"/>
      <c r="I2021" s="9">
        <f>IF($A2021="","",SUMIFS(Ventes_Encaissements!$D$6:$D$3005,Ventes_Encaissements!$B$6:$B$3005,$A2021))</f>
        <v/>
      </c>
      <c r="J2021" s="9">
        <f>IF($A2021="","",$H2021-$I2021)</f>
        <v/>
      </c>
      <c r="K2021" s="10">
        <f>IF($A2021="","",IF($I2021=0,"",_xludf.AGGREGATE(14,6,Ventes_Encaissements!$C$6:$C$3005/(Ventes_Encaissements!$B$6:$B$3005=$A2021),1)))</f>
        <v/>
      </c>
      <c r="L2021" s="11">
        <f>IF($A2021="","",COUNTIFS(Ventes_Detail!$B$6:$B$3005,$A2021))</f>
        <v/>
      </c>
      <c r="M2021" s="12" t="n"/>
      <c r="N2021" s="12">
        <f>IF($A2021="","",IF($G2021="","",IF($M2021="Oui","Litige",IF($J2021&lt;=0,"Payé",IF($I2021&gt;0,"Partiel",IF(Listes!$B$3&gt;$G2021,"En retard","À échoir"))))))</f>
        <v/>
      </c>
      <c r="O2021" s="11">
        <f>IF($A2021="","",IF(OR($G2021="", $J2021&lt;=0),0,MAX(0,Listes!$B$3-$G2021)))</f>
        <v/>
      </c>
      <c r="P2021" s="12">
        <f>IF($A2021="","",IF($J2021&lt;=0,"Payé",IF($M2021="Oui","Litige",IF($O2021=0,"À échoir",IF($O2021&lt;=30,"0-30",IF($O2021&lt;=60,"31-60",IF($O2021&lt;=90,"61-90","90+")))))))</f>
        <v/>
      </c>
    </row>
    <row r="2022">
      <c r="A2022" s="6" t="n"/>
      <c r="B2022" s="6" t="n"/>
      <c r="C2022" s="6" t="n"/>
      <c r="D2022" s="6" t="n"/>
      <c r="E2022" s="6" t="n"/>
      <c r="F2022" s="7" t="n"/>
      <c r="G2022" s="7" t="n"/>
      <c r="H2022" s="8" t="n"/>
      <c r="I2022" s="9">
        <f>IF($A2022="","",SUMIFS(Ventes_Encaissements!$D$6:$D$3005,Ventes_Encaissements!$B$6:$B$3005,$A2022))</f>
        <v/>
      </c>
      <c r="J2022" s="9">
        <f>IF($A2022="","",$H2022-$I2022)</f>
        <v/>
      </c>
      <c r="K2022" s="10">
        <f>IF($A2022="","",IF($I2022=0,"",_xludf.AGGREGATE(14,6,Ventes_Encaissements!$C$6:$C$3005/(Ventes_Encaissements!$B$6:$B$3005=$A2022),1)))</f>
        <v/>
      </c>
      <c r="L2022" s="11">
        <f>IF($A2022="","",COUNTIFS(Ventes_Detail!$B$6:$B$3005,$A2022))</f>
        <v/>
      </c>
      <c r="M2022" s="12" t="n"/>
      <c r="N2022" s="12">
        <f>IF($A2022="","",IF($G2022="","",IF($M2022="Oui","Litige",IF($J2022&lt;=0,"Payé",IF($I2022&gt;0,"Partiel",IF(Listes!$B$3&gt;$G2022,"En retard","À échoir"))))))</f>
        <v/>
      </c>
      <c r="O2022" s="11">
        <f>IF($A2022="","",IF(OR($G2022="", $J2022&lt;=0),0,MAX(0,Listes!$B$3-$G2022)))</f>
        <v/>
      </c>
      <c r="P2022" s="12">
        <f>IF($A2022="","",IF($J2022&lt;=0,"Payé",IF($M2022="Oui","Litige",IF($O2022=0,"À échoir",IF($O2022&lt;=30,"0-30",IF($O2022&lt;=60,"31-60",IF($O2022&lt;=90,"61-90","90+")))))))</f>
        <v/>
      </c>
    </row>
    <row r="2023">
      <c r="A2023" s="6" t="n"/>
      <c r="B2023" s="6" t="n"/>
      <c r="C2023" s="6" t="n"/>
      <c r="D2023" s="6" t="n"/>
      <c r="E2023" s="6" t="n"/>
      <c r="F2023" s="7" t="n"/>
      <c r="G2023" s="7" t="n"/>
      <c r="H2023" s="8" t="n"/>
      <c r="I2023" s="9">
        <f>IF($A2023="","",SUMIFS(Ventes_Encaissements!$D$6:$D$3005,Ventes_Encaissements!$B$6:$B$3005,$A2023))</f>
        <v/>
      </c>
      <c r="J2023" s="9">
        <f>IF($A2023="","",$H2023-$I2023)</f>
        <v/>
      </c>
      <c r="K2023" s="10">
        <f>IF($A2023="","",IF($I2023=0,"",_xludf.AGGREGATE(14,6,Ventes_Encaissements!$C$6:$C$3005/(Ventes_Encaissements!$B$6:$B$3005=$A2023),1)))</f>
        <v/>
      </c>
      <c r="L2023" s="11">
        <f>IF($A2023="","",COUNTIFS(Ventes_Detail!$B$6:$B$3005,$A2023))</f>
        <v/>
      </c>
      <c r="M2023" s="12" t="n"/>
      <c r="N2023" s="12">
        <f>IF($A2023="","",IF($G2023="","",IF($M2023="Oui","Litige",IF($J2023&lt;=0,"Payé",IF($I2023&gt;0,"Partiel",IF(Listes!$B$3&gt;$G2023,"En retard","À échoir"))))))</f>
        <v/>
      </c>
      <c r="O2023" s="11">
        <f>IF($A2023="","",IF(OR($G2023="", $J2023&lt;=0),0,MAX(0,Listes!$B$3-$G2023)))</f>
        <v/>
      </c>
      <c r="P2023" s="12">
        <f>IF($A2023="","",IF($J2023&lt;=0,"Payé",IF($M2023="Oui","Litige",IF($O2023=0,"À échoir",IF($O2023&lt;=30,"0-30",IF($O2023&lt;=60,"31-60",IF($O2023&lt;=90,"61-90","90+")))))))</f>
        <v/>
      </c>
    </row>
    <row r="2024">
      <c r="A2024" s="6" t="n"/>
      <c r="B2024" s="6" t="n"/>
      <c r="C2024" s="6" t="n"/>
      <c r="D2024" s="6" t="n"/>
      <c r="E2024" s="6" t="n"/>
      <c r="F2024" s="7" t="n"/>
      <c r="G2024" s="7" t="n"/>
      <c r="H2024" s="8" t="n"/>
      <c r="I2024" s="9">
        <f>IF($A2024="","",SUMIFS(Ventes_Encaissements!$D$6:$D$3005,Ventes_Encaissements!$B$6:$B$3005,$A2024))</f>
        <v/>
      </c>
      <c r="J2024" s="9">
        <f>IF($A2024="","",$H2024-$I2024)</f>
        <v/>
      </c>
      <c r="K2024" s="10">
        <f>IF($A2024="","",IF($I2024=0,"",_xludf.AGGREGATE(14,6,Ventes_Encaissements!$C$6:$C$3005/(Ventes_Encaissements!$B$6:$B$3005=$A2024),1)))</f>
        <v/>
      </c>
      <c r="L2024" s="11">
        <f>IF($A2024="","",COUNTIFS(Ventes_Detail!$B$6:$B$3005,$A2024))</f>
        <v/>
      </c>
      <c r="M2024" s="12" t="n"/>
      <c r="N2024" s="12">
        <f>IF($A2024="","",IF($G2024="","",IF($M2024="Oui","Litige",IF($J2024&lt;=0,"Payé",IF($I2024&gt;0,"Partiel",IF(Listes!$B$3&gt;$G2024,"En retard","À échoir"))))))</f>
        <v/>
      </c>
      <c r="O2024" s="11">
        <f>IF($A2024="","",IF(OR($G2024="", $J2024&lt;=0),0,MAX(0,Listes!$B$3-$G2024)))</f>
        <v/>
      </c>
      <c r="P2024" s="12">
        <f>IF($A2024="","",IF($J2024&lt;=0,"Payé",IF($M2024="Oui","Litige",IF($O2024=0,"À échoir",IF($O2024&lt;=30,"0-30",IF($O2024&lt;=60,"31-60",IF($O2024&lt;=90,"61-90","90+")))))))</f>
        <v/>
      </c>
    </row>
    <row r="2025">
      <c r="A2025" s="6" t="n"/>
      <c r="B2025" s="6" t="n"/>
      <c r="C2025" s="6" t="n"/>
      <c r="D2025" s="6" t="n"/>
      <c r="E2025" s="6" t="n"/>
      <c r="F2025" s="7" t="n"/>
      <c r="G2025" s="7" t="n"/>
      <c r="H2025" s="8" t="n"/>
      <c r="I2025" s="9">
        <f>IF($A2025="","",SUMIFS(Ventes_Encaissements!$D$6:$D$3005,Ventes_Encaissements!$B$6:$B$3005,$A2025))</f>
        <v/>
      </c>
      <c r="J2025" s="9">
        <f>IF($A2025="","",$H2025-$I2025)</f>
        <v/>
      </c>
      <c r="K2025" s="10">
        <f>IF($A2025="","",IF($I2025=0,"",_xludf.AGGREGATE(14,6,Ventes_Encaissements!$C$6:$C$3005/(Ventes_Encaissements!$B$6:$B$3005=$A2025),1)))</f>
        <v/>
      </c>
      <c r="L2025" s="11">
        <f>IF($A2025="","",COUNTIFS(Ventes_Detail!$B$6:$B$3005,$A2025))</f>
        <v/>
      </c>
      <c r="M2025" s="12" t="n"/>
      <c r="N2025" s="12">
        <f>IF($A2025="","",IF($G2025="","",IF($M2025="Oui","Litige",IF($J2025&lt;=0,"Payé",IF($I2025&gt;0,"Partiel",IF(Listes!$B$3&gt;$G2025,"En retard","À échoir"))))))</f>
        <v/>
      </c>
      <c r="O2025" s="11">
        <f>IF($A2025="","",IF(OR($G2025="", $J2025&lt;=0),0,MAX(0,Listes!$B$3-$G2025)))</f>
        <v/>
      </c>
      <c r="P2025" s="12">
        <f>IF($A2025="","",IF($J2025&lt;=0,"Payé",IF($M2025="Oui","Litige",IF($O2025=0,"À échoir",IF($O2025&lt;=30,"0-30",IF($O2025&lt;=60,"31-60",IF($O2025&lt;=90,"61-90","90+")))))))</f>
        <v/>
      </c>
    </row>
    <row r="2026">
      <c r="A2026" s="6" t="n"/>
      <c r="B2026" s="6" t="n"/>
      <c r="C2026" s="6" t="n"/>
      <c r="D2026" s="6" t="n"/>
      <c r="E2026" s="6" t="n"/>
      <c r="F2026" s="7" t="n"/>
      <c r="G2026" s="7" t="n"/>
      <c r="H2026" s="8" t="n"/>
      <c r="I2026" s="9">
        <f>IF($A2026="","",SUMIFS(Ventes_Encaissements!$D$6:$D$3005,Ventes_Encaissements!$B$6:$B$3005,$A2026))</f>
        <v/>
      </c>
      <c r="J2026" s="9">
        <f>IF($A2026="","",$H2026-$I2026)</f>
        <v/>
      </c>
      <c r="K2026" s="10">
        <f>IF($A2026="","",IF($I2026=0,"",_xludf.AGGREGATE(14,6,Ventes_Encaissements!$C$6:$C$3005/(Ventes_Encaissements!$B$6:$B$3005=$A2026),1)))</f>
        <v/>
      </c>
      <c r="L2026" s="11">
        <f>IF($A2026="","",COUNTIFS(Ventes_Detail!$B$6:$B$3005,$A2026))</f>
        <v/>
      </c>
      <c r="M2026" s="12" t="n"/>
      <c r="N2026" s="12">
        <f>IF($A2026="","",IF($G2026="","",IF($M2026="Oui","Litige",IF($J2026&lt;=0,"Payé",IF($I2026&gt;0,"Partiel",IF(Listes!$B$3&gt;$G2026,"En retard","À échoir"))))))</f>
        <v/>
      </c>
      <c r="O2026" s="11">
        <f>IF($A2026="","",IF(OR($G2026="", $J2026&lt;=0),0,MAX(0,Listes!$B$3-$G2026)))</f>
        <v/>
      </c>
      <c r="P2026" s="12">
        <f>IF($A2026="","",IF($J2026&lt;=0,"Payé",IF($M2026="Oui","Litige",IF($O2026=0,"À échoir",IF($O2026&lt;=30,"0-30",IF($O2026&lt;=60,"31-60",IF($O2026&lt;=90,"61-90","90+")))))))</f>
        <v/>
      </c>
    </row>
    <row r="2027">
      <c r="A2027" s="6" t="n"/>
      <c r="B2027" s="6" t="n"/>
      <c r="C2027" s="6" t="n"/>
      <c r="D2027" s="6" t="n"/>
      <c r="E2027" s="6" t="n"/>
      <c r="F2027" s="7" t="n"/>
      <c r="G2027" s="7" t="n"/>
      <c r="H2027" s="8" t="n"/>
      <c r="I2027" s="9">
        <f>IF($A2027="","",SUMIFS(Ventes_Encaissements!$D$6:$D$3005,Ventes_Encaissements!$B$6:$B$3005,$A2027))</f>
        <v/>
      </c>
      <c r="J2027" s="9">
        <f>IF($A2027="","",$H2027-$I2027)</f>
        <v/>
      </c>
      <c r="K2027" s="10">
        <f>IF($A2027="","",IF($I2027=0,"",_xludf.AGGREGATE(14,6,Ventes_Encaissements!$C$6:$C$3005/(Ventes_Encaissements!$B$6:$B$3005=$A2027),1)))</f>
        <v/>
      </c>
      <c r="L2027" s="11">
        <f>IF($A2027="","",COUNTIFS(Ventes_Detail!$B$6:$B$3005,$A2027))</f>
        <v/>
      </c>
      <c r="M2027" s="12" t="n"/>
      <c r="N2027" s="12">
        <f>IF($A2027="","",IF($G2027="","",IF($M2027="Oui","Litige",IF($J2027&lt;=0,"Payé",IF($I2027&gt;0,"Partiel",IF(Listes!$B$3&gt;$G2027,"En retard","À échoir"))))))</f>
        <v/>
      </c>
      <c r="O2027" s="11">
        <f>IF($A2027="","",IF(OR($G2027="", $J2027&lt;=0),0,MAX(0,Listes!$B$3-$G2027)))</f>
        <v/>
      </c>
      <c r="P2027" s="12">
        <f>IF($A2027="","",IF($J2027&lt;=0,"Payé",IF($M2027="Oui","Litige",IF($O2027=0,"À échoir",IF($O2027&lt;=30,"0-30",IF($O2027&lt;=60,"31-60",IF($O2027&lt;=90,"61-90","90+")))))))</f>
        <v/>
      </c>
    </row>
    <row r="2028">
      <c r="A2028" s="6" t="n"/>
      <c r="B2028" s="6" t="n"/>
      <c r="C2028" s="6" t="n"/>
      <c r="D2028" s="6" t="n"/>
      <c r="E2028" s="6" t="n"/>
      <c r="F2028" s="7" t="n"/>
      <c r="G2028" s="7" t="n"/>
      <c r="H2028" s="8" t="n"/>
      <c r="I2028" s="9">
        <f>IF($A2028="","",SUMIFS(Ventes_Encaissements!$D$6:$D$3005,Ventes_Encaissements!$B$6:$B$3005,$A2028))</f>
        <v/>
      </c>
      <c r="J2028" s="9">
        <f>IF($A2028="","",$H2028-$I2028)</f>
        <v/>
      </c>
      <c r="K2028" s="10">
        <f>IF($A2028="","",IF($I2028=0,"",_xludf.AGGREGATE(14,6,Ventes_Encaissements!$C$6:$C$3005/(Ventes_Encaissements!$B$6:$B$3005=$A2028),1)))</f>
        <v/>
      </c>
      <c r="L2028" s="11">
        <f>IF($A2028="","",COUNTIFS(Ventes_Detail!$B$6:$B$3005,$A2028))</f>
        <v/>
      </c>
      <c r="M2028" s="12" t="n"/>
      <c r="N2028" s="12">
        <f>IF($A2028="","",IF($G2028="","",IF($M2028="Oui","Litige",IF($J2028&lt;=0,"Payé",IF($I2028&gt;0,"Partiel",IF(Listes!$B$3&gt;$G2028,"En retard","À échoir"))))))</f>
        <v/>
      </c>
      <c r="O2028" s="11">
        <f>IF($A2028="","",IF(OR($G2028="", $J2028&lt;=0),0,MAX(0,Listes!$B$3-$G2028)))</f>
        <v/>
      </c>
      <c r="P2028" s="12">
        <f>IF($A2028="","",IF($J2028&lt;=0,"Payé",IF($M2028="Oui","Litige",IF($O2028=0,"À échoir",IF($O2028&lt;=30,"0-30",IF($O2028&lt;=60,"31-60",IF($O2028&lt;=90,"61-90","90+")))))))</f>
        <v/>
      </c>
    </row>
    <row r="2029">
      <c r="A2029" s="6" t="n"/>
      <c r="B2029" s="6" t="n"/>
      <c r="C2029" s="6" t="n"/>
      <c r="D2029" s="6" t="n"/>
      <c r="E2029" s="6" t="n"/>
      <c r="F2029" s="7" t="n"/>
      <c r="G2029" s="7" t="n"/>
      <c r="H2029" s="8" t="n"/>
      <c r="I2029" s="9">
        <f>IF($A2029="","",SUMIFS(Ventes_Encaissements!$D$6:$D$3005,Ventes_Encaissements!$B$6:$B$3005,$A2029))</f>
        <v/>
      </c>
      <c r="J2029" s="9">
        <f>IF($A2029="","",$H2029-$I2029)</f>
        <v/>
      </c>
      <c r="K2029" s="10">
        <f>IF($A2029="","",IF($I2029=0,"",_xludf.AGGREGATE(14,6,Ventes_Encaissements!$C$6:$C$3005/(Ventes_Encaissements!$B$6:$B$3005=$A2029),1)))</f>
        <v/>
      </c>
      <c r="L2029" s="11">
        <f>IF($A2029="","",COUNTIFS(Ventes_Detail!$B$6:$B$3005,$A2029))</f>
        <v/>
      </c>
      <c r="M2029" s="12" t="n"/>
      <c r="N2029" s="12">
        <f>IF($A2029="","",IF($G2029="","",IF($M2029="Oui","Litige",IF($J2029&lt;=0,"Payé",IF($I2029&gt;0,"Partiel",IF(Listes!$B$3&gt;$G2029,"En retard","À échoir"))))))</f>
        <v/>
      </c>
      <c r="O2029" s="11">
        <f>IF($A2029="","",IF(OR($G2029="", $J2029&lt;=0),0,MAX(0,Listes!$B$3-$G2029)))</f>
        <v/>
      </c>
      <c r="P2029" s="12">
        <f>IF($A2029="","",IF($J2029&lt;=0,"Payé",IF($M2029="Oui","Litige",IF($O2029=0,"À échoir",IF($O2029&lt;=30,"0-30",IF($O2029&lt;=60,"31-60",IF($O2029&lt;=90,"61-90","90+")))))))</f>
        <v/>
      </c>
    </row>
    <row r="2030">
      <c r="A2030" s="6" t="n"/>
      <c r="B2030" s="6" t="n"/>
      <c r="C2030" s="6" t="n"/>
      <c r="D2030" s="6" t="n"/>
      <c r="E2030" s="6" t="n"/>
      <c r="F2030" s="7" t="n"/>
      <c r="G2030" s="7" t="n"/>
      <c r="H2030" s="8" t="n"/>
      <c r="I2030" s="9">
        <f>IF($A2030="","",SUMIFS(Ventes_Encaissements!$D$6:$D$3005,Ventes_Encaissements!$B$6:$B$3005,$A2030))</f>
        <v/>
      </c>
      <c r="J2030" s="9">
        <f>IF($A2030="","",$H2030-$I2030)</f>
        <v/>
      </c>
      <c r="K2030" s="10">
        <f>IF($A2030="","",IF($I2030=0,"",_xludf.AGGREGATE(14,6,Ventes_Encaissements!$C$6:$C$3005/(Ventes_Encaissements!$B$6:$B$3005=$A2030),1)))</f>
        <v/>
      </c>
      <c r="L2030" s="11">
        <f>IF($A2030="","",COUNTIFS(Ventes_Detail!$B$6:$B$3005,$A2030))</f>
        <v/>
      </c>
      <c r="M2030" s="12" t="n"/>
      <c r="N2030" s="12">
        <f>IF($A2030="","",IF($G2030="","",IF($M2030="Oui","Litige",IF($J2030&lt;=0,"Payé",IF($I2030&gt;0,"Partiel",IF(Listes!$B$3&gt;$G2030,"En retard","À échoir"))))))</f>
        <v/>
      </c>
      <c r="O2030" s="11">
        <f>IF($A2030="","",IF(OR($G2030="", $J2030&lt;=0),0,MAX(0,Listes!$B$3-$G2030)))</f>
        <v/>
      </c>
      <c r="P2030" s="12">
        <f>IF($A2030="","",IF($J2030&lt;=0,"Payé",IF($M2030="Oui","Litige",IF($O2030=0,"À échoir",IF($O2030&lt;=30,"0-30",IF($O2030&lt;=60,"31-60",IF($O2030&lt;=90,"61-90","90+")))))))</f>
        <v/>
      </c>
    </row>
    <row r="2031">
      <c r="A2031" s="6" t="n"/>
      <c r="B2031" s="6" t="n"/>
      <c r="C2031" s="6" t="n"/>
      <c r="D2031" s="6" t="n"/>
      <c r="E2031" s="6" t="n"/>
      <c r="F2031" s="7" t="n"/>
      <c r="G2031" s="7" t="n"/>
      <c r="H2031" s="8" t="n"/>
      <c r="I2031" s="9">
        <f>IF($A2031="","",SUMIFS(Ventes_Encaissements!$D$6:$D$3005,Ventes_Encaissements!$B$6:$B$3005,$A2031))</f>
        <v/>
      </c>
      <c r="J2031" s="9">
        <f>IF($A2031="","",$H2031-$I2031)</f>
        <v/>
      </c>
      <c r="K2031" s="10">
        <f>IF($A2031="","",IF($I2031=0,"",_xludf.AGGREGATE(14,6,Ventes_Encaissements!$C$6:$C$3005/(Ventes_Encaissements!$B$6:$B$3005=$A2031),1)))</f>
        <v/>
      </c>
      <c r="L2031" s="11">
        <f>IF($A2031="","",COUNTIFS(Ventes_Detail!$B$6:$B$3005,$A2031))</f>
        <v/>
      </c>
      <c r="M2031" s="12" t="n"/>
      <c r="N2031" s="12">
        <f>IF($A2031="","",IF($G2031="","",IF($M2031="Oui","Litige",IF($J2031&lt;=0,"Payé",IF($I2031&gt;0,"Partiel",IF(Listes!$B$3&gt;$G2031,"En retard","À échoir"))))))</f>
        <v/>
      </c>
      <c r="O2031" s="11">
        <f>IF($A2031="","",IF(OR($G2031="", $J2031&lt;=0),0,MAX(0,Listes!$B$3-$G2031)))</f>
        <v/>
      </c>
      <c r="P2031" s="12">
        <f>IF($A2031="","",IF($J2031&lt;=0,"Payé",IF($M2031="Oui","Litige",IF($O2031=0,"À échoir",IF($O2031&lt;=30,"0-30",IF($O2031&lt;=60,"31-60",IF($O2031&lt;=90,"61-90","90+")))))))</f>
        <v/>
      </c>
    </row>
    <row r="2032">
      <c r="A2032" s="6" t="n"/>
      <c r="B2032" s="6" t="n"/>
      <c r="C2032" s="6" t="n"/>
      <c r="D2032" s="6" t="n"/>
      <c r="E2032" s="6" t="n"/>
      <c r="F2032" s="7" t="n"/>
      <c r="G2032" s="7" t="n"/>
      <c r="H2032" s="8" t="n"/>
      <c r="I2032" s="9">
        <f>IF($A2032="","",SUMIFS(Ventes_Encaissements!$D$6:$D$3005,Ventes_Encaissements!$B$6:$B$3005,$A2032))</f>
        <v/>
      </c>
      <c r="J2032" s="9">
        <f>IF($A2032="","",$H2032-$I2032)</f>
        <v/>
      </c>
      <c r="K2032" s="10">
        <f>IF($A2032="","",IF($I2032=0,"",_xludf.AGGREGATE(14,6,Ventes_Encaissements!$C$6:$C$3005/(Ventes_Encaissements!$B$6:$B$3005=$A2032),1)))</f>
        <v/>
      </c>
      <c r="L2032" s="11">
        <f>IF($A2032="","",COUNTIFS(Ventes_Detail!$B$6:$B$3005,$A2032))</f>
        <v/>
      </c>
      <c r="M2032" s="12" t="n"/>
      <c r="N2032" s="12">
        <f>IF($A2032="","",IF($G2032="","",IF($M2032="Oui","Litige",IF($J2032&lt;=0,"Payé",IF($I2032&gt;0,"Partiel",IF(Listes!$B$3&gt;$G2032,"En retard","À échoir"))))))</f>
        <v/>
      </c>
      <c r="O2032" s="11">
        <f>IF($A2032="","",IF(OR($G2032="", $J2032&lt;=0),0,MAX(0,Listes!$B$3-$G2032)))</f>
        <v/>
      </c>
      <c r="P2032" s="12">
        <f>IF($A2032="","",IF($J2032&lt;=0,"Payé",IF($M2032="Oui","Litige",IF($O2032=0,"À échoir",IF($O2032&lt;=30,"0-30",IF($O2032&lt;=60,"31-60",IF($O2032&lt;=90,"61-90","90+")))))))</f>
        <v/>
      </c>
    </row>
    <row r="2033">
      <c r="A2033" s="6" t="n"/>
      <c r="B2033" s="6" t="n"/>
      <c r="C2033" s="6" t="n"/>
      <c r="D2033" s="6" t="n"/>
      <c r="E2033" s="6" t="n"/>
      <c r="F2033" s="7" t="n"/>
      <c r="G2033" s="7" t="n"/>
      <c r="H2033" s="8" t="n"/>
      <c r="I2033" s="9">
        <f>IF($A2033="","",SUMIFS(Ventes_Encaissements!$D$6:$D$3005,Ventes_Encaissements!$B$6:$B$3005,$A2033))</f>
        <v/>
      </c>
      <c r="J2033" s="9">
        <f>IF($A2033="","",$H2033-$I2033)</f>
        <v/>
      </c>
      <c r="K2033" s="10">
        <f>IF($A2033="","",IF($I2033=0,"",_xludf.AGGREGATE(14,6,Ventes_Encaissements!$C$6:$C$3005/(Ventes_Encaissements!$B$6:$B$3005=$A2033),1)))</f>
        <v/>
      </c>
      <c r="L2033" s="11">
        <f>IF($A2033="","",COUNTIFS(Ventes_Detail!$B$6:$B$3005,$A2033))</f>
        <v/>
      </c>
      <c r="M2033" s="12" t="n"/>
      <c r="N2033" s="12">
        <f>IF($A2033="","",IF($G2033="","",IF($M2033="Oui","Litige",IF($J2033&lt;=0,"Payé",IF($I2033&gt;0,"Partiel",IF(Listes!$B$3&gt;$G2033,"En retard","À échoir"))))))</f>
        <v/>
      </c>
      <c r="O2033" s="11">
        <f>IF($A2033="","",IF(OR($G2033="", $J2033&lt;=0),0,MAX(0,Listes!$B$3-$G2033)))</f>
        <v/>
      </c>
      <c r="P2033" s="12">
        <f>IF($A2033="","",IF($J2033&lt;=0,"Payé",IF($M2033="Oui","Litige",IF($O2033=0,"À échoir",IF($O2033&lt;=30,"0-30",IF($O2033&lt;=60,"31-60",IF($O2033&lt;=90,"61-90","90+")))))))</f>
        <v/>
      </c>
    </row>
    <row r="2034">
      <c r="A2034" s="6" t="n"/>
      <c r="B2034" s="6" t="n"/>
      <c r="C2034" s="6" t="n"/>
      <c r="D2034" s="6" t="n"/>
      <c r="E2034" s="6" t="n"/>
      <c r="F2034" s="7" t="n"/>
      <c r="G2034" s="7" t="n"/>
      <c r="H2034" s="8" t="n"/>
      <c r="I2034" s="9">
        <f>IF($A2034="","",SUMIFS(Ventes_Encaissements!$D$6:$D$3005,Ventes_Encaissements!$B$6:$B$3005,$A2034))</f>
        <v/>
      </c>
      <c r="J2034" s="9">
        <f>IF($A2034="","",$H2034-$I2034)</f>
        <v/>
      </c>
      <c r="K2034" s="10">
        <f>IF($A2034="","",IF($I2034=0,"",_xludf.AGGREGATE(14,6,Ventes_Encaissements!$C$6:$C$3005/(Ventes_Encaissements!$B$6:$B$3005=$A2034),1)))</f>
        <v/>
      </c>
      <c r="L2034" s="11">
        <f>IF($A2034="","",COUNTIFS(Ventes_Detail!$B$6:$B$3005,$A2034))</f>
        <v/>
      </c>
      <c r="M2034" s="12" t="n"/>
      <c r="N2034" s="12">
        <f>IF($A2034="","",IF($G2034="","",IF($M2034="Oui","Litige",IF($J2034&lt;=0,"Payé",IF($I2034&gt;0,"Partiel",IF(Listes!$B$3&gt;$G2034,"En retard","À échoir"))))))</f>
        <v/>
      </c>
      <c r="O2034" s="11">
        <f>IF($A2034="","",IF(OR($G2034="", $J2034&lt;=0),0,MAX(0,Listes!$B$3-$G2034)))</f>
        <v/>
      </c>
      <c r="P2034" s="12">
        <f>IF($A2034="","",IF($J2034&lt;=0,"Payé",IF($M2034="Oui","Litige",IF($O2034=0,"À échoir",IF($O2034&lt;=30,"0-30",IF($O2034&lt;=60,"31-60",IF($O2034&lt;=90,"61-90","90+")))))))</f>
        <v/>
      </c>
    </row>
    <row r="2035">
      <c r="A2035" s="6" t="n"/>
      <c r="B2035" s="6" t="n"/>
      <c r="C2035" s="6" t="n"/>
      <c r="D2035" s="6" t="n"/>
      <c r="E2035" s="6" t="n"/>
      <c r="F2035" s="7" t="n"/>
      <c r="G2035" s="7" t="n"/>
      <c r="H2035" s="8" t="n"/>
      <c r="I2035" s="9">
        <f>IF($A2035="","",SUMIFS(Ventes_Encaissements!$D$6:$D$3005,Ventes_Encaissements!$B$6:$B$3005,$A2035))</f>
        <v/>
      </c>
      <c r="J2035" s="9">
        <f>IF($A2035="","",$H2035-$I2035)</f>
        <v/>
      </c>
      <c r="K2035" s="10">
        <f>IF($A2035="","",IF($I2035=0,"",_xludf.AGGREGATE(14,6,Ventes_Encaissements!$C$6:$C$3005/(Ventes_Encaissements!$B$6:$B$3005=$A2035),1)))</f>
        <v/>
      </c>
      <c r="L2035" s="11">
        <f>IF($A2035="","",COUNTIFS(Ventes_Detail!$B$6:$B$3005,$A2035))</f>
        <v/>
      </c>
      <c r="M2035" s="12" t="n"/>
      <c r="N2035" s="12">
        <f>IF($A2035="","",IF($G2035="","",IF($M2035="Oui","Litige",IF($J2035&lt;=0,"Payé",IF($I2035&gt;0,"Partiel",IF(Listes!$B$3&gt;$G2035,"En retard","À échoir"))))))</f>
        <v/>
      </c>
      <c r="O2035" s="11">
        <f>IF($A2035="","",IF(OR($G2035="", $J2035&lt;=0),0,MAX(0,Listes!$B$3-$G2035)))</f>
        <v/>
      </c>
      <c r="P2035" s="12">
        <f>IF($A2035="","",IF($J2035&lt;=0,"Payé",IF($M2035="Oui","Litige",IF($O2035=0,"À échoir",IF($O2035&lt;=30,"0-30",IF($O2035&lt;=60,"31-60",IF($O2035&lt;=90,"61-90","90+")))))))</f>
        <v/>
      </c>
    </row>
    <row r="2036">
      <c r="A2036" s="6" t="n"/>
      <c r="B2036" s="6" t="n"/>
      <c r="C2036" s="6" t="n"/>
      <c r="D2036" s="6" t="n"/>
      <c r="E2036" s="6" t="n"/>
      <c r="F2036" s="7" t="n"/>
      <c r="G2036" s="7" t="n"/>
      <c r="H2036" s="8" t="n"/>
      <c r="I2036" s="9">
        <f>IF($A2036="","",SUMIFS(Ventes_Encaissements!$D$6:$D$3005,Ventes_Encaissements!$B$6:$B$3005,$A2036))</f>
        <v/>
      </c>
      <c r="J2036" s="9">
        <f>IF($A2036="","",$H2036-$I2036)</f>
        <v/>
      </c>
      <c r="K2036" s="10">
        <f>IF($A2036="","",IF($I2036=0,"",_xludf.AGGREGATE(14,6,Ventes_Encaissements!$C$6:$C$3005/(Ventes_Encaissements!$B$6:$B$3005=$A2036),1)))</f>
        <v/>
      </c>
      <c r="L2036" s="11">
        <f>IF($A2036="","",COUNTIFS(Ventes_Detail!$B$6:$B$3005,$A2036))</f>
        <v/>
      </c>
      <c r="M2036" s="12" t="n"/>
      <c r="N2036" s="12">
        <f>IF($A2036="","",IF($G2036="","",IF($M2036="Oui","Litige",IF($J2036&lt;=0,"Payé",IF($I2036&gt;0,"Partiel",IF(Listes!$B$3&gt;$G2036,"En retard","À échoir"))))))</f>
        <v/>
      </c>
      <c r="O2036" s="11">
        <f>IF($A2036="","",IF(OR($G2036="", $J2036&lt;=0),0,MAX(0,Listes!$B$3-$G2036)))</f>
        <v/>
      </c>
      <c r="P2036" s="12">
        <f>IF($A2036="","",IF($J2036&lt;=0,"Payé",IF($M2036="Oui","Litige",IF($O2036=0,"À échoir",IF($O2036&lt;=30,"0-30",IF($O2036&lt;=60,"31-60",IF($O2036&lt;=90,"61-90","90+")))))))</f>
        <v/>
      </c>
    </row>
    <row r="2037">
      <c r="A2037" s="6" t="n"/>
      <c r="B2037" s="6" t="n"/>
      <c r="C2037" s="6" t="n"/>
      <c r="D2037" s="6" t="n"/>
      <c r="E2037" s="6" t="n"/>
      <c r="F2037" s="7" t="n"/>
      <c r="G2037" s="7" t="n"/>
      <c r="H2037" s="8" t="n"/>
      <c r="I2037" s="9">
        <f>IF($A2037="","",SUMIFS(Ventes_Encaissements!$D$6:$D$3005,Ventes_Encaissements!$B$6:$B$3005,$A2037))</f>
        <v/>
      </c>
      <c r="J2037" s="9">
        <f>IF($A2037="","",$H2037-$I2037)</f>
        <v/>
      </c>
      <c r="K2037" s="10">
        <f>IF($A2037="","",IF($I2037=0,"",_xludf.AGGREGATE(14,6,Ventes_Encaissements!$C$6:$C$3005/(Ventes_Encaissements!$B$6:$B$3005=$A2037),1)))</f>
        <v/>
      </c>
      <c r="L2037" s="11">
        <f>IF($A2037="","",COUNTIFS(Ventes_Detail!$B$6:$B$3005,$A2037))</f>
        <v/>
      </c>
      <c r="M2037" s="12" t="n"/>
      <c r="N2037" s="12">
        <f>IF($A2037="","",IF($G2037="","",IF($M2037="Oui","Litige",IF($J2037&lt;=0,"Payé",IF($I2037&gt;0,"Partiel",IF(Listes!$B$3&gt;$G2037,"En retard","À échoir"))))))</f>
        <v/>
      </c>
      <c r="O2037" s="11">
        <f>IF($A2037="","",IF(OR($G2037="", $J2037&lt;=0),0,MAX(0,Listes!$B$3-$G2037)))</f>
        <v/>
      </c>
      <c r="P2037" s="12">
        <f>IF($A2037="","",IF($J2037&lt;=0,"Payé",IF($M2037="Oui","Litige",IF($O2037=0,"À échoir",IF($O2037&lt;=30,"0-30",IF($O2037&lt;=60,"31-60",IF($O2037&lt;=90,"61-90","90+")))))))</f>
        <v/>
      </c>
    </row>
    <row r="2038">
      <c r="A2038" s="6" t="n"/>
      <c r="B2038" s="6" t="n"/>
      <c r="C2038" s="6" t="n"/>
      <c r="D2038" s="6" t="n"/>
      <c r="E2038" s="6" t="n"/>
      <c r="F2038" s="7" t="n"/>
      <c r="G2038" s="7" t="n"/>
      <c r="H2038" s="8" t="n"/>
      <c r="I2038" s="9">
        <f>IF($A2038="","",SUMIFS(Ventes_Encaissements!$D$6:$D$3005,Ventes_Encaissements!$B$6:$B$3005,$A2038))</f>
        <v/>
      </c>
      <c r="J2038" s="9">
        <f>IF($A2038="","",$H2038-$I2038)</f>
        <v/>
      </c>
      <c r="K2038" s="10">
        <f>IF($A2038="","",IF($I2038=0,"",_xludf.AGGREGATE(14,6,Ventes_Encaissements!$C$6:$C$3005/(Ventes_Encaissements!$B$6:$B$3005=$A2038),1)))</f>
        <v/>
      </c>
      <c r="L2038" s="11">
        <f>IF($A2038="","",COUNTIFS(Ventes_Detail!$B$6:$B$3005,$A2038))</f>
        <v/>
      </c>
      <c r="M2038" s="12" t="n"/>
      <c r="N2038" s="12">
        <f>IF($A2038="","",IF($G2038="","",IF($M2038="Oui","Litige",IF($J2038&lt;=0,"Payé",IF($I2038&gt;0,"Partiel",IF(Listes!$B$3&gt;$G2038,"En retard","À échoir"))))))</f>
        <v/>
      </c>
      <c r="O2038" s="11">
        <f>IF($A2038="","",IF(OR($G2038="", $J2038&lt;=0),0,MAX(0,Listes!$B$3-$G2038)))</f>
        <v/>
      </c>
      <c r="P2038" s="12">
        <f>IF($A2038="","",IF($J2038&lt;=0,"Payé",IF($M2038="Oui","Litige",IF($O2038=0,"À échoir",IF($O2038&lt;=30,"0-30",IF($O2038&lt;=60,"31-60",IF($O2038&lt;=90,"61-90","90+")))))))</f>
        <v/>
      </c>
    </row>
    <row r="2039">
      <c r="A2039" s="6" t="n"/>
      <c r="B2039" s="6" t="n"/>
      <c r="C2039" s="6" t="n"/>
      <c r="D2039" s="6" t="n"/>
      <c r="E2039" s="6" t="n"/>
      <c r="F2039" s="7" t="n"/>
      <c r="G2039" s="7" t="n"/>
      <c r="H2039" s="8" t="n"/>
      <c r="I2039" s="9">
        <f>IF($A2039="","",SUMIFS(Ventes_Encaissements!$D$6:$D$3005,Ventes_Encaissements!$B$6:$B$3005,$A2039))</f>
        <v/>
      </c>
      <c r="J2039" s="9">
        <f>IF($A2039="","",$H2039-$I2039)</f>
        <v/>
      </c>
      <c r="K2039" s="10">
        <f>IF($A2039="","",IF($I2039=0,"",_xludf.AGGREGATE(14,6,Ventes_Encaissements!$C$6:$C$3005/(Ventes_Encaissements!$B$6:$B$3005=$A2039),1)))</f>
        <v/>
      </c>
      <c r="L2039" s="11">
        <f>IF($A2039="","",COUNTIFS(Ventes_Detail!$B$6:$B$3005,$A2039))</f>
        <v/>
      </c>
      <c r="M2039" s="12" t="n"/>
      <c r="N2039" s="12">
        <f>IF($A2039="","",IF($G2039="","",IF($M2039="Oui","Litige",IF($J2039&lt;=0,"Payé",IF($I2039&gt;0,"Partiel",IF(Listes!$B$3&gt;$G2039,"En retard","À échoir"))))))</f>
        <v/>
      </c>
      <c r="O2039" s="11">
        <f>IF($A2039="","",IF(OR($G2039="", $J2039&lt;=0),0,MAX(0,Listes!$B$3-$G2039)))</f>
        <v/>
      </c>
      <c r="P2039" s="12">
        <f>IF($A2039="","",IF($J2039&lt;=0,"Payé",IF($M2039="Oui","Litige",IF($O2039=0,"À échoir",IF($O2039&lt;=30,"0-30",IF($O2039&lt;=60,"31-60",IF($O2039&lt;=90,"61-90","90+")))))))</f>
        <v/>
      </c>
    </row>
    <row r="2040">
      <c r="A2040" s="6" t="n"/>
      <c r="B2040" s="6" t="n"/>
      <c r="C2040" s="6" t="n"/>
      <c r="D2040" s="6" t="n"/>
      <c r="E2040" s="6" t="n"/>
      <c r="F2040" s="7" t="n"/>
      <c r="G2040" s="7" t="n"/>
      <c r="H2040" s="8" t="n"/>
      <c r="I2040" s="9">
        <f>IF($A2040="","",SUMIFS(Ventes_Encaissements!$D$6:$D$3005,Ventes_Encaissements!$B$6:$B$3005,$A2040))</f>
        <v/>
      </c>
      <c r="J2040" s="9">
        <f>IF($A2040="","",$H2040-$I2040)</f>
        <v/>
      </c>
      <c r="K2040" s="10">
        <f>IF($A2040="","",IF($I2040=0,"",_xludf.AGGREGATE(14,6,Ventes_Encaissements!$C$6:$C$3005/(Ventes_Encaissements!$B$6:$B$3005=$A2040),1)))</f>
        <v/>
      </c>
      <c r="L2040" s="11">
        <f>IF($A2040="","",COUNTIFS(Ventes_Detail!$B$6:$B$3005,$A2040))</f>
        <v/>
      </c>
      <c r="M2040" s="12" t="n"/>
      <c r="N2040" s="12">
        <f>IF($A2040="","",IF($G2040="","",IF($M2040="Oui","Litige",IF($J2040&lt;=0,"Payé",IF($I2040&gt;0,"Partiel",IF(Listes!$B$3&gt;$G2040,"En retard","À échoir"))))))</f>
        <v/>
      </c>
      <c r="O2040" s="11">
        <f>IF($A2040="","",IF(OR($G2040="", $J2040&lt;=0),0,MAX(0,Listes!$B$3-$G2040)))</f>
        <v/>
      </c>
      <c r="P2040" s="12">
        <f>IF($A2040="","",IF($J2040&lt;=0,"Payé",IF($M2040="Oui","Litige",IF($O2040=0,"À échoir",IF($O2040&lt;=30,"0-30",IF($O2040&lt;=60,"31-60",IF($O2040&lt;=90,"61-90","90+")))))))</f>
        <v/>
      </c>
    </row>
    <row r="2041">
      <c r="A2041" s="6" t="n"/>
      <c r="B2041" s="6" t="n"/>
      <c r="C2041" s="6" t="n"/>
      <c r="D2041" s="6" t="n"/>
      <c r="E2041" s="6" t="n"/>
      <c r="F2041" s="7" t="n"/>
      <c r="G2041" s="7" t="n"/>
      <c r="H2041" s="8" t="n"/>
      <c r="I2041" s="9">
        <f>IF($A2041="","",SUMIFS(Ventes_Encaissements!$D$6:$D$3005,Ventes_Encaissements!$B$6:$B$3005,$A2041))</f>
        <v/>
      </c>
      <c r="J2041" s="9">
        <f>IF($A2041="","",$H2041-$I2041)</f>
        <v/>
      </c>
      <c r="K2041" s="10">
        <f>IF($A2041="","",IF($I2041=0,"",_xludf.AGGREGATE(14,6,Ventes_Encaissements!$C$6:$C$3005/(Ventes_Encaissements!$B$6:$B$3005=$A2041),1)))</f>
        <v/>
      </c>
      <c r="L2041" s="11">
        <f>IF($A2041="","",COUNTIFS(Ventes_Detail!$B$6:$B$3005,$A2041))</f>
        <v/>
      </c>
      <c r="M2041" s="12" t="n"/>
      <c r="N2041" s="12">
        <f>IF($A2041="","",IF($G2041="","",IF($M2041="Oui","Litige",IF($J2041&lt;=0,"Payé",IF($I2041&gt;0,"Partiel",IF(Listes!$B$3&gt;$G2041,"En retard","À échoir"))))))</f>
        <v/>
      </c>
      <c r="O2041" s="11">
        <f>IF($A2041="","",IF(OR($G2041="", $J2041&lt;=0),0,MAX(0,Listes!$B$3-$G2041)))</f>
        <v/>
      </c>
      <c r="P2041" s="12">
        <f>IF($A2041="","",IF($J2041&lt;=0,"Payé",IF($M2041="Oui","Litige",IF($O2041=0,"À échoir",IF($O2041&lt;=30,"0-30",IF($O2041&lt;=60,"31-60",IF($O2041&lt;=90,"61-90","90+")))))))</f>
        <v/>
      </c>
    </row>
    <row r="2042">
      <c r="A2042" s="6" t="n"/>
      <c r="B2042" s="6" t="n"/>
      <c r="C2042" s="6" t="n"/>
      <c r="D2042" s="6" t="n"/>
      <c r="E2042" s="6" t="n"/>
      <c r="F2042" s="7" t="n"/>
      <c r="G2042" s="7" t="n"/>
      <c r="H2042" s="8" t="n"/>
      <c r="I2042" s="9">
        <f>IF($A2042="","",SUMIFS(Ventes_Encaissements!$D$6:$D$3005,Ventes_Encaissements!$B$6:$B$3005,$A2042))</f>
        <v/>
      </c>
      <c r="J2042" s="9">
        <f>IF($A2042="","",$H2042-$I2042)</f>
        <v/>
      </c>
      <c r="K2042" s="10">
        <f>IF($A2042="","",IF($I2042=0,"",_xludf.AGGREGATE(14,6,Ventes_Encaissements!$C$6:$C$3005/(Ventes_Encaissements!$B$6:$B$3005=$A2042),1)))</f>
        <v/>
      </c>
      <c r="L2042" s="11">
        <f>IF($A2042="","",COUNTIFS(Ventes_Detail!$B$6:$B$3005,$A2042))</f>
        <v/>
      </c>
      <c r="M2042" s="12" t="n"/>
      <c r="N2042" s="12">
        <f>IF($A2042="","",IF($G2042="","",IF($M2042="Oui","Litige",IF($J2042&lt;=0,"Payé",IF($I2042&gt;0,"Partiel",IF(Listes!$B$3&gt;$G2042,"En retard","À échoir"))))))</f>
        <v/>
      </c>
      <c r="O2042" s="11">
        <f>IF($A2042="","",IF(OR($G2042="", $J2042&lt;=0),0,MAX(0,Listes!$B$3-$G2042)))</f>
        <v/>
      </c>
      <c r="P2042" s="12">
        <f>IF($A2042="","",IF($J2042&lt;=0,"Payé",IF($M2042="Oui","Litige",IF($O2042=0,"À échoir",IF($O2042&lt;=30,"0-30",IF($O2042&lt;=60,"31-60",IF($O2042&lt;=90,"61-90","90+")))))))</f>
        <v/>
      </c>
    </row>
    <row r="2043">
      <c r="A2043" s="6" t="n"/>
      <c r="B2043" s="6" t="n"/>
      <c r="C2043" s="6" t="n"/>
      <c r="D2043" s="6" t="n"/>
      <c r="E2043" s="6" t="n"/>
      <c r="F2043" s="7" t="n"/>
      <c r="G2043" s="7" t="n"/>
      <c r="H2043" s="8" t="n"/>
      <c r="I2043" s="9">
        <f>IF($A2043="","",SUMIFS(Ventes_Encaissements!$D$6:$D$3005,Ventes_Encaissements!$B$6:$B$3005,$A2043))</f>
        <v/>
      </c>
      <c r="J2043" s="9">
        <f>IF($A2043="","",$H2043-$I2043)</f>
        <v/>
      </c>
      <c r="K2043" s="10">
        <f>IF($A2043="","",IF($I2043=0,"",_xludf.AGGREGATE(14,6,Ventes_Encaissements!$C$6:$C$3005/(Ventes_Encaissements!$B$6:$B$3005=$A2043),1)))</f>
        <v/>
      </c>
      <c r="L2043" s="11">
        <f>IF($A2043="","",COUNTIFS(Ventes_Detail!$B$6:$B$3005,$A2043))</f>
        <v/>
      </c>
      <c r="M2043" s="12" t="n"/>
      <c r="N2043" s="12">
        <f>IF($A2043="","",IF($G2043="","",IF($M2043="Oui","Litige",IF($J2043&lt;=0,"Payé",IF($I2043&gt;0,"Partiel",IF(Listes!$B$3&gt;$G2043,"En retard","À échoir"))))))</f>
        <v/>
      </c>
      <c r="O2043" s="11">
        <f>IF($A2043="","",IF(OR($G2043="", $J2043&lt;=0),0,MAX(0,Listes!$B$3-$G2043)))</f>
        <v/>
      </c>
      <c r="P2043" s="12">
        <f>IF($A2043="","",IF($J2043&lt;=0,"Payé",IF($M2043="Oui","Litige",IF($O2043=0,"À échoir",IF($O2043&lt;=30,"0-30",IF($O2043&lt;=60,"31-60",IF($O2043&lt;=90,"61-90","90+")))))))</f>
        <v/>
      </c>
    </row>
    <row r="2044">
      <c r="A2044" s="6" t="n"/>
      <c r="B2044" s="6" t="n"/>
      <c r="C2044" s="6" t="n"/>
      <c r="D2044" s="6" t="n"/>
      <c r="E2044" s="6" t="n"/>
      <c r="F2044" s="7" t="n"/>
      <c r="G2044" s="7" t="n"/>
      <c r="H2044" s="8" t="n"/>
      <c r="I2044" s="9">
        <f>IF($A2044="","",SUMIFS(Ventes_Encaissements!$D$6:$D$3005,Ventes_Encaissements!$B$6:$B$3005,$A2044))</f>
        <v/>
      </c>
      <c r="J2044" s="9">
        <f>IF($A2044="","",$H2044-$I2044)</f>
        <v/>
      </c>
      <c r="K2044" s="10">
        <f>IF($A2044="","",IF($I2044=0,"",_xludf.AGGREGATE(14,6,Ventes_Encaissements!$C$6:$C$3005/(Ventes_Encaissements!$B$6:$B$3005=$A2044),1)))</f>
        <v/>
      </c>
      <c r="L2044" s="11">
        <f>IF($A2044="","",COUNTIFS(Ventes_Detail!$B$6:$B$3005,$A2044))</f>
        <v/>
      </c>
      <c r="M2044" s="12" t="n"/>
      <c r="N2044" s="12">
        <f>IF($A2044="","",IF($G2044="","",IF($M2044="Oui","Litige",IF($J2044&lt;=0,"Payé",IF($I2044&gt;0,"Partiel",IF(Listes!$B$3&gt;$G2044,"En retard","À échoir"))))))</f>
        <v/>
      </c>
      <c r="O2044" s="11">
        <f>IF($A2044="","",IF(OR($G2044="", $J2044&lt;=0),0,MAX(0,Listes!$B$3-$G2044)))</f>
        <v/>
      </c>
      <c r="P2044" s="12">
        <f>IF($A2044="","",IF($J2044&lt;=0,"Payé",IF($M2044="Oui","Litige",IF($O2044=0,"À échoir",IF($O2044&lt;=30,"0-30",IF($O2044&lt;=60,"31-60",IF($O2044&lt;=90,"61-90","90+")))))))</f>
        <v/>
      </c>
    </row>
    <row r="2045">
      <c r="A2045" s="6" t="n"/>
      <c r="B2045" s="6" t="n"/>
      <c r="C2045" s="6" t="n"/>
      <c r="D2045" s="6" t="n"/>
      <c r="E2045" s="6" t="n"/>
      <c r="F2045" s="7" t="n"/>
      <c r="G2045" s="7" t="n"/>
      <c r="H2045" s="8" t="n"/>
      <c r="I2045" s="9">
        <f>IF($A2045="","",SUMIFS(Ventes_Encaissements!$D$6:$D$3005,Ventes_Encaissements!$B$6:$B$3005,$A2045))</f>
        <v/>
      </c>
      <c r="J2045" s="9">
        <f>IF($A2045="","",$H2045-$I2045)</f>
        <v/>
      </c>
      <c r="K2045" s="10">
        <f>IF($A2045="","",IF($I2045=0,"",_xludf.AGGREGATE(14,6,Ventes_Encaissements!$C$6:$C$3005/(Ventes_Encaissements!$B$6:$B$3005=$A2045),1)))</f>
        <v/>
      </c>
      <c r="L2045" s="11">
        <f>IF($A2045="","",COUNTIFS(Ventes_Detail!$B$6:$B$3005,$A2045))</f>
        <v/>
      </c>
      <c r="M2045" s="12" t="n"/>
      <c r="N2045" s="12">
        <f>IF($A2045="","",IF($G2045="","",IF($M2045="Oui","Litige",IF($J2045&lt;=0,"Payé",IF($I2045&gt;0,"Partiel",IF(Listes!$B$3&gt;$G2045,"En retard","À échoir"))))))</f>
        <v/>
      </c>
      <c r="O2045" s="11">
        <f>IF($A2045="","",IF(OR($G2045="", $J2045&lt;=0),0,MAX(0,Listes!$B$3-$G2045)))</f>
        <v/>
      </c>
      <c r="P2045" s="12">
        <f>IF($A2045="","",IF($J2045&lt;=0,"Payé",IF($M2045="Oui","Litige",IF($O2045=0,"À échoir",IF($O2045&lt;=30,"0-30",IF($O2045&lt;=60,"31-60",IF($O2045&lt;=90,"61-90","90+")))))))</f>
        <v/>
      </c>
    </row>
    <row r="2046">
      <c r="A2046" s="6" t="n"/>
      <c r="B2046" s="6" t="n"/>
      <c r="C2046" s="6" t="n"/>
      <c r="D2046" s="6" t="n"/>
      <c r="E2046" s="6" t="n"/>
      <c r="F2046" s="7" t="n"/>
      <c r="G2046" s="7" t="n"/>
      <c r="H2046" s="8" t="n"/>
      <c r="I2046" s="9">
        <f>IF($A2046="","",SUMIFS(Ventes_Encaissements!$D$6:$D$3005,Ventes_Encaissements!$B$6:$B$3005,$A2046))</f>
        <v/>
      </c>
      <c r="J2046" s="9">
        <f>IF($A2046="","",$H2046-$I2046)</f>
        <v/>
      </c>
      <c r="K2046" s="10">
        <f>IF($A2046="","",IF($I2046=0,"",_xludf.AGGREGATE(14,6,Ventes_Encaissements!$C$6:$C$3005/(Ventes_Encaissements!$B$6:$B$3005=$A2046),1)))</f>
        <v/>
      </c>
      <c r="L2046" s="11">
        <f>IF($A2046="","",COUNTIFS(Ventes_Detail!$B$6:$B$3005,$A2046))</f>
        <v/>
      </c>
      <c r="M2046" s="12" t="n"/>
      <c r="N2046" s="12">
        <f>IF($A2046="","",IF($G2046="","",IF($M2046="Oui","Litige",IF($J2046&lt;=0,"Payé",IF($I2046&gt;0,"Partiel",IF(Listes!$B$3&gt;$G2046,"En retard","À échoir"))))))</f>
        <v/>
      </c>
      <c r="O2046" s="11">
        <f>IF($A2046="","",IF(OR($G2046="", $J2046&lt;=0),0,MAX(0,Listes!$B$3-$G2046)))</f>
        <v/>
      </c>
      <c r="P2046" s="12">
        <f>IF($A2046="","",IF($J2046&lt;=0,"Payé",IF($M2046="Oui","Litige",IF($O2046=0,"À échoir",IF($O2046&lt;=30,"0-30",IF($O2046&lt;=60,"31-60",IF($O2046&lt;=90,"61-90","90+")))))))</f>
        <v/>
      </c>
    </row>
    <row r="2047">
      <c r="A2047" s="6" t="n"/>
      <c r="B2047" s="6" t="n"/>
      <c r="C2047" s="6" t="n"/>
      <c r="D2047" s="6" t="n"/>
      <c r="E2047" s="6" t="n"/>
      <c r="F2047" s="7" t="n"/>
      <c r="G2047" s="7" t="n"/>
      <c r="H2047" s="8" t="n"/>
      <c r="I2047" s="9">
        <f>IF($A2047="","",SUMIFS(Ventes_Encaissements!$D$6:$D$3005,Ventes_Encaissements!$B$6:$B$3005,$A2047))</f>
        <v/>
      </c>
      <c r="J2047" s="9">
        <f>IF($A2047="","",$H2047-$I2047)</f>
        <v/>
      </c>
      <c r="K2047" s="10">
        <f>IF($A2047="","",IF($I2047=0,"",_xludf.AGGREGATE(14,6,Ventes_Encaissements!$C$6:$C$3005/(Ventes_Encaissements!$B$6:$B$3005=$A2047),1)))</f>
        <v/>
      </c>
      <c r="L2047" s="11">
        <f>IF($A2047="","",COUNTIFS(Ventes_Detail!$B$6:$B$3005,$A2047))</f>
        <v/>
      </c>
      <c r="M2047" s="12" t="n"/>
      <c r="N2047" s="12">
        <f>IF($A2047="","",IF($G2047="","",IF($M2047="Oui","Litige",IF($J2047&lt;=0,"Payé",IF($I2047&gt;0,"Partiel",IF(Listes!$B$3&gt;$G2047,"En retard","À échoir"))))))</f>
        <v/>
      </c>
      <c r="O2047" s="11">
        <f>IF($A2047="","",IF(OR($G2047="", $J2047&lt;=0),0,MAX(0,Listes!$B$3-$G2047)))</f>
        <v/>
      </c>
      <c r="P2047" s="12">
        <f>IF($A2047="","",IF($J2047&lt;=0,"Payé",IF($M2047="Oui","Litige",IF($O2047=0,"À échoir",IF($O2047&lt;=30,"0-30",IF($O2047&lt;=60,"31-60",IF($O2047&lt;=90,"61-90","90+")))))))</f>
        <v/>
      </c>
    </row>
    <row r="2048">
      <c r="A2048" s="6" t="n"/>
      <c r="B2048" s="6" t="n"/>
      <c r="C2048" s="6" t="n"/>
      <c r="D2048" s="6" t="n"/>
      <c r="E2048" s="6" t="n"/>
      <c r="F2048" s="7" t="n"/>
      <c r="G2048" s="7" t="n"/>
      <c r="H2048" s="8" t="n"/>
      <c r="I2048" s="9">
        <f>IF($A2048="","",SUMIFS(Ventes_Encaissements!$D$6:$D$3005,Ventes_Encaissements!$B$6:$B$3005,$A2048))</f>
        <v/>
      </c>
      <c r="J2048" s="9">
        <f>IF($A2048="","",$H2048-$I2048)</f>
        <v/>
      </c>
      <c r="K2048" s="10">
        <f>IF($A2048="","",IF($I2048=0,"",_xludf.AGGREGATE(14,6,Ventes_Encaissements!$C$6:$C$3005/(Ventes_Encaissements!$B$6:$B$3005=$A2048),1)))</f>
        <v/>
      </c>
      <c r="L2048" s="11">
        <f>IF($A2048="","",COUNTIFS(Ventes_Detail!$B$6:$B$3005,$A2048))</f>
        <v/>
      </c>
      <c r="M2048" s="12" t="n"/>
      <c r="N2048" s="12">
        <f>IF($A2048="","",IF($G2048="","",IF($M2048="Oui","Litige",IF($J2048&lt;=0,"Payé",IF($I2048&gt;0,"Partiel",IF(Listes!$B$3&gt;$G2048,"En retard","À échoir"))))))</f>
        <v/>
      </c>
      <c r="O2048" s="11">
        <f>IF($A2048="","",IF(OR($G2048="", $J2048&lt;=0),0,MAX(0,Listes!$B$3-$G2048)))</f>
        <v/>
      </c>
      <c r="P2048" s="12">
        <f>IF($A2048="","",IF($J2048&lt;=0,"Payé",IF($M2048="Oui","Litige",IF($O2048=0,"À échoir",IF($O2048&lt;=30,"0-30",IF($O2048&lt;=60,"31-60",IF($O2048&lt;=90,"61-90","90+")))))))</f>
        <v/>
      </c>
    </row>
    <row r="2049">
      <c r="A2049" s="6" t="n"/>
      <c r="B2049" s="6" t="n"/>
      <c r="C2049" s="6" t="n"/>
      <c r="D2049" s="6" t="n"/>
      <c r="E2049" s="6" t="n"/>
      <c r="F2049" s="7" t="n"/>
      <c r="G2049" s="7" t="n"/>
      <c r="H2049" s="8" t="n"/>
      <c r="I2049" s="9">
        <f>IF($A2049="","",SUMIFS(Ventes_Encaissements!$D$6:$D$3005,Ventes_Encaissements!$B$6:$B$3005,$A2049))</f>
        <v/>
      </c>
      <c r="J2049" s="9">
        <f>IF($A2049="","",$H2049-$I2049)</f>
        <v/>
      </c>
      <c r="K2049" s="10">
        <f>IF($A2049="","",IF($I2049=0,"",_xludf.AGGREGATE(14,6,Ventes_Encaissements!$C$6:$C$3005/(Ventes_Encaissements!$B$6:$B$3005=$A2049),1)))</f>
        <v/>
      </c>
      <c r="L2049" s="11">
        <f>IF($A2049="","",COUNTIFS(Ventes_Detail!$B$6:$B$3005,$A2049))</f>
        <v/>
      </c>
      <c r="M2049" s="12" t="n"/>
      <c r="N2049" s="12">
        <f>IF($A2049="","",IF($G2049="","",IF($M2049="Oui","Litige",IF($J2049&lt;=0,"Payé",IF($I2049&gt;0,"Partiel",IF(Listes!$B$3&gt;$G2049,"En retard","À échoir"))))))</f>
        <v/>
      </c>
      <c r="O2049" s="11">
        <f>IF($A2049="","",IF(OR($G2049="", $J2049&lt;=0),0,MAX(0,Listes!$B$3-$G2049)))</f>
        <v/>
      </c>
      <c r="P2049" s="12">
        <f>IF($A2049="","",IF($J2049&lt;=0,"Payé",IF($M2049="Oui","Litige",IF($O2049=0,"À échoir",IF($O2049&lt;=30,"0-30",IF($O2049&lt;=60,"31-60",IF($O2049&lt;=90,"61-90","90+")))))))</f>
        <v/>
      </c>
    </row>
    <row r="2050">
      <c r="A2050" s="6" t="n"/>
      <c r="B2050" s="6" t="n"/>
      <c r="C2050" s="6" t="n"/>
      <c r="D2050" s="6" t="n"/>
      <c r="E2050" s="6" t="n"/>
      <c r="F2050" s="7" t="n"/>
      <c r="G2050" s="7" t="n"/>
      <c r="H2050" s="8" t="n"/>
      <c r="I2050" s="9">
        <f>IF($A2050="","",SUMIFS(Ventes_Encaissements!$D$6:$D$3005,Ventes_Encaissements!$B$6:$B$3005,$A2050))</f>
        <v/>
      </c>
      <c r="J2050" s="9">
        <f>IF($A2050="","",$H2050-$I2050)</f>
        <v/>
      </c>
      <c r="K2050" s="10">
        <f>IF($A2050="","",IF($I2050=0,"",_xludf.AGGREGATE(14,6,Ventes_Encaissements!$C$6:$C$3005/(Ventes_Encaissements!$B$6:$B$3005=$A2050),1)))</f>
        <v/>
      </c>
      <c r="L2050" s="11">
        <f>IF($A2050="","",COUNTIFS(Ventes_Detail!$B$6:$B$3005,$A2050))</f>
        <v/>
      </c>
      <c r="M2050" s="12" t="n"/>
      <c r="N2050" s="12">
        <f>IF($A2050="","",IF($G2050="","",IF($M2050="Oui","Litige",IF($J2050&lt;=0,"Payé",IF($I2050&gt;0,"Partiel",IF(Listes!$B$3&gt;$G2050,"En retard","À échoir"))))))</f>
        <v/>
      </c>
      <c r="O2050" s="11">
        <f>IF($A2050="","",IF(OR($G2050="", $J2050&lt;=0),0,MAX(0,Listes!$B$3-$G2050)))</f>
        <v/>
      </c>
      <c r="P2050" s="12">
        <f>IF($A2050="","",IF($J2050&lt;=0,"Payé",IF($M2050="Oui","Litige",IF($O2050=0,"À échoir",IF($O2050&lt;=30,"0-30",IF($O2050&lt;=60,"31-60",IF($O2050&lt;=90,"61-90","90+")))))))</f>
        <v/>
      </c>
    </row>
    <row r="2051">
      <c r="A2051" s="6" t="n"/>
      <c r="B2051" s="6" t="n"/>
      <c r="C2051" s="6" t="n"/>
      <c r="D2051" s="6" t="n"/>
      <c r="E2051" s="6" t="n"/>
      <c r="F2051" s="7" t="n"/>
      <c r="G2051" s="7" t="n"/>
      <c r="H2051" s="8" t="n"/>
      <c r="I2051" s="9">
        <f>IF($A2051="","",SUMIFS(Ventes_Encaissements!$D$6:$D$3005,Ventes_Encaissements!$B$6:$B$3005,$A2051))</f>
        <v/>
      </c>
      <c r="J2051" s="9">
        <f>IF($A2051="","",$H2051-$I2051)</f>
        <v/>
      </c>
      <c r="K2051" s="10">
        <f>IF($A2051="","",IF($I2051=0,"",_xludf.AGGREGATE(14,6,Ventes_Encaissements!$C$6:$C$3005/(Ventes_Encaissements!$B$6:$B$3005=$A2051),1)))</f>
        <v/>
      </c>
      <c r="L2051" s="11">
        <f>IF($A2051="","",COUNTIFS(Ventes_Detail!$B$6:$B$3005,$A2051))</f>
        <v/>
      </c>
      <c r="M2051" s="12" t="n"/>
      <c r="N2051" s="12">
        <f>IF($A2051="","",IF($G2051="","",IF($M2051="Oui","Litige",IF($J2051&lt;=0,"Payé",IF($I2051&gt;0,"Partiel",IF(Listes!$B$3&gt;$G2051,"En retard","À échoir"))))))</f>
        <v/>
      </c>
      <c r="O2051" s="11">
        <f>IF($A2051="","",IF(OR($G2051="", $J2051&lt;=0),0,MAX(0,Listes!$B$3-$G2051)))</f>
        <v/>
      </c>
      <c r="P2051" s="12">
        <f>IF($A2051="","",IF($J2051&lt;=0,"Payé",IF($M2051="Oui","Litige",IF($O2051=0,"À échoir",IF($O2051&lt;=30,"0-30",IF($O2051&lt;=60,"31-60",IF($O2051&lt;=90,"61-90","90+")))))))</f>
        <v/>
      </c>
    </row>
    <row r="2052">
      <c r="A2052" s="6" t="n"/>
      <c r="B2052" s="6" t="n"/>
      <c r="C2052" s="6" t="n"/>
      <c r="D2052" s="6" t="n"/>
      <c r="E2052" s="6" t="n"/>
      <c r="F2052" s="7" t="n"/>
      <c r="G2052" s="7" t="n"/>
      <c r="H2052" s="8" t="n"/>
      <c r="I2052" s="9">
        <f>IF($A2052="","",SUMIFS(Ventes_Encaissements!$D$6:$D$3005,Ventes_Encaissements!$B$6:$B$3005,$A2052))</f>
        <v/>
      </c>
      <c r="J2052" s="9">
        <f>IF($A2052="","",$H2052-$I2052)</f>
        <v/>
      </c>
      <c r="K2052" s="10">
        <f>IF($A2052="","",IF($I2052=0,"",_xludf.AGGREGATE(14,6,Ventes_Encaissements!$C$6:$C$3005/(Ventes_Encaissements!$B$6:$B$3005=$A2052),1)))</f>
        <v/>
      </c>
      <c r="L2052" s="11">
        <f>IF($A2052="","",COUNTIFS(Ventes_Detail!$B$6:$B$3005,$A2052))</f>
        <v/>
      </c>
      <c r="M2052" s="12" t="n"/>
      <c r="N2052" s="12">
        <f>IF($A2052="","",IF($G2052="","",IF($M2052="Oui","Litige",IF($J2052&lt;=0,"Payé",IF($I2052&gt;0,"Partiel",IF(Listes!$B$3&gt;$G2052,"En retard","À échoir"))))))</f>
        <v/>
      </c>
      <c r="O2052" s="11">
        <f>IF($A2052="","",IF(OR($G2052="", $J2052&lt;=0),0,MAX(0,Listes!$B$3-$G2052)))</f>
        <v/>
      </c>
      <c r="P2052" s="12">
        <f>IF($A2052="","",IF($J2052&lt;=0,"Payé",IF($M2052="Oui","Litige",IF($O2052=0,"À échoir",IF($O2052&lt;=30,"0-30",IF($O2052&lt;=60,"31-60",IF($O2052&lt;=90,"61-90","90+")))))))</f>
        <v/>
      </c>
    </row>
    <row r="2053">
      <c r="A2053" s="6" t="n"/>
      <c r="B2053" s="6" t="n"/>
      <c r="C2053" s="6" t="n"/>
      <c r="D2053" s="6" t="n"/>
      <c r="E2053" s="6" t="n"/>
      <c r="F2053" s="7" t="n"/>
      <c r="G2053" s="7" t="n"/>
      <c r="H2053" s="8" t="n"/>
      <c r="I2053" s="9">
        <f>IF($A2053="","",SUMIFS(Ventes_Encaissements!$D$6:$D$3005,Ventes_Encaissements!$B$6:$B$3005,$A2053))</f>
        <v/>
      </c>
      <c r="J2053" s="9">
        <f>IF($A2053="","",$H2053-$I2053)</f>
        <v/>
      </c>
      <c r="K2053" s="10">
        <f>IF($A2053="","",IF($I2053=0,"",_xludf.AGGREGATE(14,6,Ventes_Encaissements!$C$6:$C$3005/(Ventes_Encaissements!$B$6:$B$3005=$A2053),1)))</f>
        <v/>
      </c>
      <c r="L2053" s="11">
        <f>IF($A2053="","",COUNTIFS(Ventes_Detail!$B$6:$B$3005,$A2053))</f>
        <v/>
      </c>
      <c r="M2053" s="12" t="n"/>
      <c r="N2053" s="12">
        <f>IF($A2053="","",IF($G2053="","",IF($M2053="Oui","Litige",IF($J2053&lt;=0,"Payé",IF($I2053&gt;0,"Partiel",IF(Listes!$B$3&gt;$G2053,"En retard","À échoir"))))))</f>
        <v/>
      </c>
      <c r="O2053" s="11">
        <f>IF($A2053="","",IF(OR($G2053="", $J2053&lt;=0),0,MAX(0,Listes!$B$3-$G2053)))</f>
        <v/>
      </c>
      <c r="P2053" s="12">
        <f>IF($A2053="","",IF($J2053&lt;=0,"Payé",IF($M2053="Oui","Litige",IF($O2053=0,"À échoir",IF($O2053&lt;=30,"0-30",IF($O2053&lt;=60,"31-60",IF($O2053&lt;=90,"61-90","90+")))))))</f>
        <v/>
      </c>
    </row>
    <row r="2054">
      <c r="A2054" s="6" t="n"/>
      <c r="B2054" s="6" t="n"/>
      <c r="C2054" s="6" t="n"/>
      <c r="D2054" s="6" t="n"/>
      <c r="E2054" s="6" t="n"/>
      <c r="F2054" s="7" t="n"/>
      <c r="G2054" s="7" t="n"/>
      <c r="H2054" s="8" t="n"/>
      <c r="I2054" s="9">
        <f>IF($A2054="","",SUMIFS(Ventes_Encaissements!$D$6:$D$3005,Ventes_Encaissements!$B$6:$B$3005,$A2054))</f>
        <v/>
      </c>
      <c r="J2054" s="9">
        <f>IF($A2054="","",$H2054-$I2054)</f>
        <v/>
      </c>
      <c r="K2054" s="10">
        <f>IF($A2054="","",IF($I2054=0,"",_xludf.AGGREGATE(14,6,Ventes_Encaissements!$C$6:$C$3005/(Ventes_Encaissements!$B$6:$B$3005=$A2054),1)))</f>
        <v/>
      </c>
      <c r="L2054" s="11">
        <f>IF($A2054="","",COUNTIFS(Ventes_Detail!$B$6:$B$3005,$A2054))</f>
        <v/>
      </c>
      <c r="M2054" s="12" t="n"/>
      <c r="N2054" s="12">
        <f>IF($A2054="","",IF($G2054="","",IF($M2054="Oui","Litige",IF($J2054&lt;=0,"Payé",IF($I2054&gt;0,"Partiel",IF(Listes!$B$3&gt;$G2054,"En retard","À échoir"))))))</f>
        <v/>
      </c>
      <c r="O2054" s="11">
        <f>IF($A2054="","",IF(OR($G2054="", $J2054&lt;=0),0,MAX(0,Listes!$B$3-$G2054)))</f>
        <v/>
      </c>
      <c r="P2054" s="12">
        <f>IF($A2054="","",IF($J2054&lt;=0,"Payé",IF($M2054="Oui","Litige",IF($O2054=0,"À échoir",IF($O2054&lt;=30,"0-30",IF($O2054&lt;=60,"31-60",IF($O2054&lt;=90,"61-90","90+")))))))</f>
        <v/>
      </c>
    </row>
    <row r="2055">
      <c r="A2055" s="6" t="n"/>
      <c r="B2055" s="6" t="n"/>
      <c r="C2055" s="6" t="n"/>
      <c r="D2055" s="6" t="n"/>
      <c r="E2055" s="6" t="n"/>
      <c r="F2055" s="7" t="n"/>
      <c r="G2055" s="7" t="n"/>
      <c r="H2055" s="8" t="n"/>
      <c r="I2055" s="9">
        <f>IF($A2055="","",SUMIFS(Ventes_Encaissements!$D$6:$D$3005,Ventes_Encaissements!$B$6:$B$3005,$A2055))</f>
        <v/>
      </c>
      <c r="J2055" s="9">
        <f>IF($A2055="","",$H2055-$I2055)</f>
        <v/>
      </c>
      <c r="K2055" s="10">
        <f>IF($A2055="","",IF($I2055=0,"",_xludf.AGGREGATE(14,6,Ventes_Encaissements!$C$6:$C$3005/(Ventes_Encaissements!$B$6:$B$3005=$A2055),1)))</f>
        <v/>
      </c>
      <c r="L2055" s="11">
        <f>IF($A2055="","",COUNTIFS(Ventes_Detail!$B$6:$B$3005,$A2055))</f>
        <v/>
      </c>
      <c r="M2055" s="12" t="n"/>
      <c r="N2055" s="12">
        <f>IF($A2055="","",IF($G2055="","",IF($M2055="Oui","Litige",IF($J2055&lt;=0,"Payé",IF($I2055&gt;0,"Partiel",IF(Listes!$B$3&gt;$G2055,"En retard","À échoir"))))))</f>
        <v/>
      </c>
      <c r="O2055" s="11">
        <f>IF($A2055="","",IF(OR($G2055="", $J2055&lt;=0),0,MAX(0,Listes!$B$3-$G2055)))</f>
        <v/>
      </c>
      <c r="P2055" s="12">
        <f>IF($A2055="","",IF($J2055&lt;=0,"Payé",IF($M2055="Oui","Litige",IF($O2055=0,"À échoir",IF($O2055&lt;=30,"0-30",IF($O2055&lt;=60,"31-60",IF($O2055&lt;=90,"61-90","90+")))))))</f>
        <v/>
      </c>
    </row>
    <row r="2056">
      <c r="A2056" s="6" t="n"/>
      <c r="B2056" s="6" t="n"/>
      <c r="C2056" s="6" t="n"/>
      <c r="D2056" s="6" t="n"/>
      <c r="E2056" s="6" t="n"/>
      <c r="F2056" s="7" t="n"/>
      <c r="G2056" s="7" t="n"/>
      <c r="H2056" s="8" t="n"/>
      <c r="I2056" s="9">
        <f>IF($A2056="","",SUMIFS(Ventes_Encaissements!$D$6:$D$3005,Ventes_Encaissements!$B$6:$B$3005,$A2056))</f>
        <v/>
      </c>
      <c r="J2056" s="9">
        <f>IF($A2056="","",$H2056-$I2056)</f>
        <v/>
      </c>
      <c r="K2056" s="10">
        <f>IF($A2056="","",IF($I2056=0,"",_xludf.AGGREGATE(14,6,Ventes_Encaissements!$C$6:$C$3005/(Ventes_Encaissements!$B$6:$B$3005=$A2056),1)))</f>
        <v/>
      </c>
      <c r="L2056" s="11">
        <f>IF($A2056="","",COUNTIFS(Ventes_Detail!$B$6:$B$3005,$A2056))</f>
        <v/>
      </c>
      <c r="M2056" s="12" t="n"/>
      <c r="N2056" s="12">
        <f>IF($A2056="","",IF($G2056="","",IF($M2056="Oui","Litige",IF($J2056&lt;=0,"Payé",IF($I2056&gt;0,"Partiel",IF(Listes!$B$3&gt;$G2056,"En retard","À échoir"))))))</f>
        <v/>
      </c>
      <c r="O2056" s="11">
        <f>IF($A2056="","",IF(OR($G2056="", $J2056&lt;=0),0,MAX(0,Listes!$B$3-$G2056)))</f>
        <v/>
      </c>
      <c r="P2056" s="12">
        <f>IF($A2056="","",IF($J2056&lt;=0,"Payé",IF($M2056="Oui","Litige",IF($O2056=0,"À échoir",IF($O2056&lt;=30,"0-30",IF($O2056&lt;=60,"31-60",IF($O2056&lt;=90,"61-90","90+")))))))</f>
        <v/>
      </c>
    </row>
    <row r="2057">
      <c r="A2057" s="6" t="n"/>
      <c r="B2057" s="6" t="n"/>
      <c r="C2057" s="6" t="n"/>
      <c r="D2057" s="6" t="n"/>
      <c r="E2057" s="6" t="n"/>
      <c r="F2057" s="7" t="n"/>
      <c r="G2057" s="7" t="n"/>
      <c r="H2057" s="8" t="n"/>
      <c r="I2057" s="9">
        <f>IF($A2057="","",SUMIFS(Ventes_Encaissements!$D$6:$D$3005,Ventes_Encaissements!$B$6:$B$3005,$A2057))</f>
        <v/>
      </c>
      <c r="J2057" s="9">
        <f>IF($A2057="","",$H2057-$I2057)</f>
        <v/>
      </c>
      <c r="K2057" s="10">
        <f>IF($A2057="","",IF($I2057=0,"",_xludf.AGGREGATE(14,6,Ventes_Encaissements!$C$6:$C$3005/(Ventes_Encaissements!$B$6:$B$3005=$A2057),1)))</f>
        <v/>
      </c>
      <c r="L2057" s="11">
        <f>IF($A2057="","",COUNTIFS(Ventes_Detail!$B$6:$B$3005,$A2057))</f>
        <v/>
      </c>
      <c r="M2057" s="12" t="n"/>
      <c r="N2057" s="12">
        <f>IF($A2057="","",IF($G2057="","",IF($M2057="Oui","Litige",IF($J2057&lt;=0,"Payé",IF($I2057&gt;0,"Partiel",IF(Listes!$B$3&gt;$G2057,"En retard","À échoir"))))))</f>
        <v/>
      </c>
      <c r="O2057" s="11">
        <f>IF($A2057="","",IF(OR($G2057="", $J2057&lt;=0),0,MAX(0,Listes!$B$3-$G2057)))</f>
        <v/>
      </c>
      <c r="P2057" s="12">
        <f>IF($A2057="","",IF($J2057&lt;=0,"Payé",IF($M2057="Oui","Litige",IF($O2057=0,"À échoir",IF($O2057&lt;=30,"0-30",IF($O2057&lt;=60,"31-60",IF($O2057&lt;=90,"61-90","90+")))))))</f>
        <v/>
      </c>
    </row>
    <row r="2058">
      <c r="A2058" s="6" t="n"/>
      <c r="B2058" s="6" t="n"/>
      <c r="C2058" s="6" t="n"/>
      <c r="D2058" s="6" t="n"/>
      <c r="E2058" s="6" t="n"/>
      <c r="F2058" s="7" t="n"/>
      <c r="G2058" s="7" t="n"/>
      <c r="H2058" s="8" t="n"/>
      <c r="I2058" s="9">
        <f>IF($A2058="","",SUMIFS(Ventes_Encaissements!$D$6:$D$3005,Ventes_Encaissements!$B$6:$B$3005,$A2058))</f>
        <v/>
      </c>
      <c r="J2058" s="9">
        <f>IF($A2058="","",$H2058-$I2058)</f>
        <v/>
      </c>
      <c r="K2058" s="10">
        <f>IF($A2058="","",IF($I2058=0,"",_xludf.AGGREGATE(14,6,Ventes_Encaissements!$C$6:$C$3005/(Ventes_Encaissements!$B$6:$B$3005=$A2058),1)))</f>
        <v/>
      </c>
      <c r="L2058" s="11">
        <f>IF($A2058="","",COUNTIFS(Ventes_Detail!$B$6:$B$3005,$A2058))</f>
        <v/>
      </c>
      <c r="M2058" s="12" t="n"/>
      <c r="N2058" s="12">
        <f>IF($A2058="","",IF($G2058="","",IF($M2058="Oui","Litige",IF($J2058&lt;=0,"Payé",IF($I2058&gt;0,"Partiel",IF(Listes!$B$3&gt;$G2058,"En retard","À échoir"))))))</f>
        <v/>
      </c>
      <c r="O2058" s="11">
        <f>IF($A2058="","",IF(OR($G2058="", $J2058&lt;=0),0,MAX(0,Listes!$B$3-$G2058)))</f>
        <v/>
      </c>
      <c r="P2058" s="12">
        <f>IF($A2058="","",IF($J2058&lt;=0,"Payé",IF($M2058="Oui","Litige",IF($O2058=0,"À échoir",IF($O2058&lt;=30,"0-30",IF($O2058&lt;=60,"31-60",IF($O2058&lt;=90,"61-90","90+")))))))</f>
        <v/>
      </c>
    </row>
    <row r="2059">
      <c r="A2059" s="6" t="n"/>
      <c r="B2059" s="6" t="n"/>
      <c r="C2059" s="6" t="n"/>
      <c r="D2059" s="6" t="n"/>
      <c r="E2059" s="6" t="n"/>
      <c r="F2059" s="7" t="n"/>
      <c r="G2059" s="7" t="n"/>
      <c r="H2059" s="8" t="n"/>
      <c r="I2059" s="9">
        <f>IF($A2059="","",SUMIFS(Ventes_Encaissements!$D$6:$D$3005,Ventes_Encaissements!$B$6:$B$3005,$A2059))</f>
        <v/>
      </c>
      <c r="J2059" s="9">
        <f>IF($A2059="","",$H2059-$I2059)</f>
        <v/>
      </c>
      <c r="K2059" s="10">
        <f>IF($A2059="","",IF($I2059=0,"",_xludf.AGGREGATE(14,6,Ventes_Encaissements!$C$6:$C$3005/(Ventes_Encaissements!$B$6:$B$3005=$A2059),1)))</f>
        <v/>
      </c>
      <c r="L2059" s="11">
        <f>IF($A2059="","",COUNTIFS(Ventes_Detail!$B$6:$B$3005,$A2059))</f>
        <v/>
      </c>
      <c r="M2059" s="12" t="n"/>
      <c r="N2059" s="12">
        <f>IF($A2059="","",IF($G2059="","",IF($M2059="Oui","Litige",IF($J2059&lt;=0,"Payé",IF($I2059&gt;0,"Partiel",IF(Listes!$B$3&gt;$G2059,"En retard","À échoir"))))))</f>
        <v/>
      </c>
      <c r="O2059" s="11">
        <f>IF($A2059="","",IF(OR($G2059="", $J2059&lt;=0),0,MAX(0,Listes!$B$3-$G2059)))</f>
        <v/>
      </c>
      <c r="P2059" s="12">
        <f>IF($A2059="","",IF($J2059&lt;=0,"Payé",IF($M2059="Oui","Litige",IF($O2059=0,"À échoir",IF($O2059&lt;=30,"0-30",IF($O2059&lt;=60,"31-60",IF($O2059&lt;=90,"61-90","90+")))))))</f>
        <v/>
      </c>
    </row>
    <row r="2060">
      <c r="A2060" s="6" t="n"/>
      <c r="B2060" s="6" t="n"/>
      <c r="C2060" s="6" t="n"/>
      <c r="D2060" s="6" t="n"/>
      <c r="E2060" s="6" t="n"/>
      <c r="F2060" s="7" t="n"/>
      <c r="G2060" s="7" t="n"/>
      <c r="H2060" s="8" t="n"/>
      <c r="I2060" s="9">
        <f>IF($A2060="","",SUMIFS(Ventes_Encaissements!$D$6:$D$3005,Ventes_Encaissements!$B$6:$B$3005,$A2060))</f>
        <v/>
      </c>
      <c r="J2060" s="9">
        <f>IF($A2060="","",$H2060-$I2060)</f>
        <v/>
      </c>
      <c r="K2060" s="10">
        <f>IF($A2060="","",IF($I2060=0,"",_xludf.AGGREGATE(14,6,Ventes_Encaissements!$C$6:$C$3005/(Ventes_Encaissements!$B$6:$B$3005=$A2060),1)))</f>
        <v/>
      </c>
      <c r="L2060" s="11">
        <f>IF($A2060="","",COUNTIFS(Ventes_Detail!$B$6:$B$3005,$A2060))</f>
        <v/>
      </c>
      <c r="M2060" s="12" t="n"/>
      <c r="N2060" s="12">
        <f>IF($A2060="","",IF($G2060="","",IF($M2060="Oui","Litige",IF($J2060&lt;=0,"Payé",IF($I2060&gt;0,"Partiel",IF(Listes!$B$3&gt;$G2060,"En retard","À échoir"))))))</f>
        <v/>
      </c>
      <c r="O2060" s="11">
        <f>IF($A2060="","",IF(OR($G2060="", $J2060&lt;=0),0,MAX(0,Listes!$B$3-$G2060)))</f>
        <v/>
      </c>
      <c r="P2060" s="12">
        <f>IF($A2060="","",IF($J2060&lt;=0,"Payé",IF($M2060="Oui","Litige",IF($O2060=0,"À échoir",IF($O2060&lt;=30,"0-30",IF($O2060&lt;=60,"31-60",IF($O2060&lt;=90,"61-90","90+")))))))</f>
        <v/>
      </c>
    </row>
    <row r="2061">
      <c r="A2061" s="6" t="n"/>
      <c r="B2061" s="6" t="n"/>
      <c r="C2061" s="6" t="n"/>
      <c r="D2061" s="6" t="n"/>
      <c r="E2061" s="6" t="n"/>
      <c r="F2061" s="7" t="n"/>
      <c r="G2061" s="7" t="n"/>
      <c r="H2061" s="8" t="n"/>
      <c r="I2061" s="9">
        <f>IF($A2061="","",SUMIFS(Ventes_Encaissements!$D$6:$D$3005,Ventes_Encaissements!$B$6:$B$3005,$A2061))</f>
        <v/>
      </c>
      <c r="J2061" s="9">
        <f>IF($A2061="","",$H2061-$I2061)</f>
        <v/>
      </c>
      <c r="K2061" s="10">
        <f>IF($A2061="","",IF($I2061=0,"",_xludf.AGGREGATE(14,6,Ventes_Encaissements!$C$6:$C$3005/(Ventes_Encaissements!$B$6:$B$3005=$A2061),1)))</f>
        <v/>
      </c>
      <c r="L2061" s="11">
        <f>IF($A2061="","",COUNTIFS(Ventes_Detail!$B$6:$B$3005,$A2061))</f>
        <v/>
      </c>
      <c r="M2061" s="12" t="n"/>
      <c r="N2061" s="12">
        <f>IF($A2061="","",IF($G2061="","",IF($M2061="Oui","Litige",IF($J2061&lt;=0,"Payé",IF($I2061&gt;0,"Partiel",IF(Listes!$B$3&gt;$G2061,"En retard","À échoir"))))))</f>
        <v/>
      </c>
      <c r="O2061" s="11">
        <f>IF($A2061="","",IF(OR($G2061="", $J2061&lt;=0),0,MAX(0,Listes!$B$3-$G2061)))</f>
        <v/>
      </c>
      <c r="P2061" s="12">
        <f>IF($A2061="","",IF($J2061&lt;=0,"Payé",IF($M2061="Oui","Litige",IF($O2061=0,"À échoir",IF($O2061&lt;=30,"0-30",IF($O2061&lt;=60,"31-60",IF($O2061&lt;=90,"61-90","90+")))))))</f>
        <v/>
      </c>
    </row>
    <row r="2062">
      <c r="A2062" s="6" t="n"/>
      <c r="B2062" s="6" t="n"/>
      <c r="C2062" s="6" t="n"/>
      <c r="D2062" s="6" t="n"/>
      <c r="E2062" s="6" t="n"/>
      <c r="F2062" s="7" t="n"/>
      <c r="G2062" s="7" t="n"/>
      <c r="H2062" s="8" t="n"/>
      <c r="I2062" s="9">
        <f>IF($A2062="","",SUMIFS(Ventes_Encaissements!$D$6:$D$3005,Ventes_Encaissements!$B$6:$B$3005,$A2062))</f>
        <v/>
      </c>
      <c r="J2062" s="9">
        <f>IF($A2062="","",$H2062-$I2062)</f>
        <v/>
      </c>
      <c r="K2062" s="10">
        <f>IF($A2062="","",IF($I2062=0,"",_xludf.AGGREGATE(14,6,Ventes_Encaissements!$C$6:$C$3005/(Ventes_Encaissements!$B$6:$B$3005=$A2062),1)))</f>
        <v/>
      </c>
      <c r="L2062" s="11">
        <f>IF($A2062="","",COUNTIFS(Ventes_Detail!$B$6:$B$3005,$A2062))</f>
        <v/>
      </c>
      <c r="M2062" s="12" t="n"/>
      <c r="N2062" s="12">
        <f>IF($A2062="","",IF($G2062="","",IF($M2062="Oui","Litige",IF($J2062&lt;=0,"Payé",IF($I2062&gt;0,"Partiel",IF(Listes!$B$3&gt;$G2062,"En retard","À échoir"))))))</f>
        <v/>
      </c>
      <c r="O2062" s="11">
        <f>IF($A2062="","",IF(OR($G2062="", $J2062&lt;=0),0,MAX(0,Listes!$B$3-$G2062)))</f>
        <v/>
      </c>
      <c r="P2062" s="12">
        <f>IF($A2062="","",IF($J2062&lt;=0,"Payé",IF($M2062="Oui","Litige",IF($O2062=0,"À échoir",IF($O2062&lt;=30,"0-30",IF($O2062&lt;=60,"31-60",IF($O2062&lt;=90,"61-90","90+")))))))</f>
        <v/>
      </c>
    </row>
    <row r="2063">
      <c r="A2063" s="6" t="n"/>
      <c r="B2063" s="6" t="n"/>
      <c r="C2063" s="6" t="n"/>
      <c r="D2063" s="6" t="n"/>
      <c r="E2063" s="6" t="n"/>
      <c r="F2063" s="7" t="n"/>
      <c r="G2063" s="7" t="n"/>
      <c r="H2063" s="8" t="n"/>
      <c r="I2063" s="9">
        <f>IF($A2063="","",SUMIFS(Ventes_Encaissements!$D$6:$D$3005,Ventes_Encaissements!$B$6:$B$3005,$A2063))</f>
        <v/>
      </c>
      <c r="J2063" s="9">
        <f>IF($A2063="","",$H2063-$I2063)</f>
        <v/>
      </c>
      <c r="K2063" s="10">
        <f>IF($A2063="","",IF($I2063=0,"",_xludf.AGGREGATE(14,6,Ventes_Encaissements!$C$6:$C$3005/(Ventes_Encaissements!$B$6:$B$3005=$A2063),1)))</f>
        <v/>
      </c>
      <c r="L2063" s="11">
        <f>IF($A2063="","",COUNTIFS(Ventes_Detail!$B$6:$B$3005,$A2063))</f>
        <v/>
      </c>
      <c r="M2063" s="12" t="n"/>
      <c r="N2063" s="12">
        <f>IF($A2063="","",IF($G2063="","",IF($M2063="Oui","Litige",IF($J2063&lt;=0,"Payé",IF($I2063&gt;0,"Partiel",IF(Listes!$B$3&gt;$G2063,"En retard","À échoir"))))))</f>
        <v/>
      </c>
      <c r="O2063" s="11">
        <f>IF($A2063="","",IF(OR($G2063="", $J2063&lt;=0),0,MAX(0,Listes!$B$3-$G2063)))</f>
        <v/>
      </c>
      <c r="P2063" s="12">
        <f>IF($A2063="","",IF($J2063&lt;=0,"Payé",IF($M2063="Oui","Litige",IF($O2063=0,"À échoir",IF($O2063&lt;=30,"0-30",IF($O2063&lt;=60,"31-60",IF($O2063&lt;=90,"61-90","90+")))))))</f>
        <v/>
      </c>
    </row>
    <row r="2064">
      <c r="A2064" s="6" t="n"/>
      <c r="B2064" s="6" t="n"/>
      <c r="C2064" s="6" t="n"/>
      <c r="D2064" s="6" t="n"/>
      <c r="E2064" s="6" t="n"/>
      <c r="F2064" s="7" t="n"/>
      <c r="G2064" s="7" t="n"/>
      <c r="H2064" s="8" t="n"/>
      <c r="I2064" s="9">
        <f>IF($A2064="","",SUMIFS(Ventes_Encaissements!$D$6:$D$3005,Ventes_Encaissements!$B$6:$B$3005,$A2064))</f>
        <v/>
      </c>
      <c r="J2064" s="9">
        <f>IF($A2064="","",$H2064-$I2064)</f>
        <v/>
      </c>
      <c r="K2064" s="10">
        <f>IF($A2064="","",IF($I2064=0,"",_xludf.AGGREGATE(14,6,Ventes_Encaissements!$C$6:$C$3005/(Ventes_Encaissements!$B$6:$B$3005=$A2064),1)))</f>
        <v/>
      </c>
      <c r="L2064" s="11">
        <f>IF($A2064="","",COUNTIFS(Ventes_Detail!$B$6:$B$3005,$A2064))</f>
        <v/>
      </c>
      <c r="M2064" s="12" t="n"/>
      <c r="N2064" s="12">
        <f>IF($A2064="","",IF($G2064="","",IF($M2064="Oui","Litige",IF($J2064&lt;=0,"Payé",IF($I2064&gt;0,"Partiel",IF(Listes!$B$3&gt;$G2064,"En retard","À échoir"))))))</f>
        <v/>
      </c>
      <c r="O2064" s="11">
        <f>IF($A2064="","",IF(OR($G2064="", $J2064&lt;=0),0,MAX(0,Listes!$B$3-$G2064)))</f>
        <v/>
      </c>
      <c r="P2064" s="12">
        <f>IF($A2064="","",IF($J2064&lt;=0,"Payé",IF($M2064="Oui","Litige",IF($O2064=0,"À échoir",IF($O2064&lt;=30,"0-30",IF($O2064&lt;=60,"31-60",IF($O2064&lt;=90,"61-90","90+")))))))</f>
        <v/>
      </c>
    </row>
    <row r="2065">
      <c r="A2065" s="6" t="n"/>
      <c r="B2065" s="6" t="n"/>
      <c r="C2065" s="6" t="n"/>
      <c r="D2065" s="6" t="n"/>
      <c r="E2065" s="6" t="n"/>
      <c r="F2065" s="7" t="n"/>
      <c r="G2065" s="7" t="n"/>
      <c r="H2065" s="8" t="n"/>
      <c r="I2065" s="9">
        <f>IF($A2065="","",SUMIFS(Ventes_Encaissements!$D$6:$D$3005,Ventes_Encaissements!$B$6:$B$3005,$A2065))</f>
        <v/>
      </c>
      <c r="J2065" s="9">
        <f>IF($A2065="","",$H2065-$I2065)</f>
        <v/>
      </c>
      <c r="K2065" s="10">
        <f>IF($A2065="","",IF($I2065=0,"",_xludf.AGGREGATE(14,6,Ventes_Encaissements!$C$6:$C$3005/(Ventes_Encaissements!$B$6:$B$3005=$A2065),1)))</f>
        <v/>
      </c>
      <c r="L2065" s="11">
        <f>IF($A2065="","",COUNTIFS(Ventes_Detail!$B$6:$B$3005,$A2065))</f>
        <v/>
      </c>
      <c r="M2065" s="12" t="n"/>
      <c r="N2065" s="12">
        <f>IF($A2065="","",IF($G2065="","",IF($M2065="Oui","Litige",IF($J2065&lt;=0,"Payé",IF($I2065&gt;0,"Partiel",IF(Listes!$B$3&gt;$G2065,"En retard","À échoir"))))))</f>
        <v/>
      </c>
      <c r="O2065" s="11">
        <f>IF($A2065="","",IF(OR($G2065="", $J2065&lt;=0),0,MAX(0,Listes!$B$3-$G2065)))</f>
        <v/>
      </c>
      <c r="P2065" s="12">
        <f>IF($A2065="","",IF($J2065&lt;=0,"Payé",IF($M2065="Oui","Litige",IF($O2065=0,"À échoir",IF($O2065&lt;=30,"0-30",IF($O2065&lt;=60,"31-60",IF($O2065&lt;=90,"61-90","90+")))))))</f>
        <v/>
      </c>
    </row>
    <row r="2066">
      <c r="A2066" s="6" t="n"/>
      <c r="B2066" s="6" t="n"/>
      <c r="C2066" s="6" t="n"/>
      <c r="D2066" s="6" t="n"/>
      <c r="E2066" s="6" t="n"/>
      <c r="F2066" s="7" t="n"/>
      <c r="G2066" s="7" t="n"/>
      <c r="H2066" s="8" t="n"/>
      <c r="I2066" s="9">
        <f>IF($A2066="","",SUMIFS(Ventes_Encaissements!$D$6:$D$3005,Ventes_Encaissements!$B$6:$B$3005,$A2066))</f>
        <v/>
      </c>
      <c r="J2066" s="9">
        <f>IF($A2066="","",$H2066-$I2066)</f>
        <v/>
      </c>
      <c r="K2066" s="10">
        <f>IF($A2066="","",IF($I2066=0,"",_xludf.AGGREGATE(14,6,Ventes_Encaissements!$C$6:$C$3005/(Ventes_Encaissements!$B$6:$B$3005=$A2066),1)))</f>
        <v/>
      </c>
      <c r="L2066" s="11">
        <f>IF($A2066="","",COUNTIFS(Ventes_Detail!$B$6:$B$3005,$A2066))</f>
        <v/>
      </c>
      <c r="M2066" s="12" t="n"/>
      <c r="N2066" s="12">
        <f>IF($A2066="","",IF($G2066="","",IF($M2066="Oui","Litige",IF($J2066&lt;=0,"Payé",IF($I2066&gt;0,"Partiel",IF(Listes!$B$3&gt;$G2066,"En retard","À échoir"))))))</f>
        <v/>
      </c>
      <c r="O2066" s="11">
        <f>IF($A2066="","",IF(OR($G2066="", $J2066&lt;=0),0,MAX(0,Listes!$B$3-$G2066)))</f>
        <v/>
      </c>
      <c r="P2066" s="12">
        <f>IF($A2066="","",IF($J2066&lt;=0,"Payé",IF($M2066="Oui","Litige",IF($O2066=0,"À échoir",IF($O2066&lt;=30,"0-30",IF($O2066&lt;=60,"31-60",IF($O2066&lt;=90,"61-90","90+")))))))</f>
        <v/>
      </c>
    </row>
    <row r="2067">
      <c r="A2067" s="6" t="n"/>
      <c r="B2067" s="6" t="n"/>
      <c r="C2067" s="6" t="n"/>
      <c r="D2067" s="6" t="n"/>
      <c r="E2067" s="6" t="n"/>
      <c r="F2067" s="7" t="n"/>
      <c r="G2067" s="7" t="n"/>
      <c r="H2067" s="8" t="n"/>
      <c r="I2067" s="9">
        <f>IF($A2067="","",SUMIFS(Ventes_Encaissements!$D$6:$D$3005,Ventes_Encaissements!$B$6:$B$3005,$A2067))</f>
        <v/>
      </c>
      <c r="J2067" s="9">
        <f>IF($A2067="","",$H2067-$I2067)</f>
        <v/>
      </c>
      <c r="K2067" s="10">
        <f>IF($A2067="","",IF($I2067=0,"",_xludf.AGGREGATE(14,6,Ventes_Encaissements!$C$6:$C$3005/(Ventes_Encaissements!$B$6:$B$3005=$A2067),1)))</f>
        <v/>
      </c>
      <c r="L2067" s="11">
        <f>IF($A2067="","",COUNTIFS(Ventes_Detail!$B$6:$B$3005,$A2067))</f>
        <v/>
      </c>
      <c r="M2067" s="12" t="n"/>
      <c r="N2067" s="12">
        <f>IF($A2067="","",IF($G2067="","",IF($M2067="Oui","Litige",IF($J2067&lt;=0,"Payé",IF($I2067&gt;0,"Partiel",IF(Listes!$B$3&gt;$G2067,"En retard","À échoir"))))))</f>
        <v/>
      </c>
      <c r="O2067" s="11">
        <f>IF($A2067="","",IF(OR($G2067="", $J2067&lt;=0),0,MAX(0,Listes!$B$3-$G2067)))</f>
        <v/>
      </c>
      <c r="P2067" s="12">
        <f>IF($A2067="","",IF($J2067&lt;=0,"Payé",IF($M2067="Oui","Litige",IF($O2067=0,"À échoir",IF($O2067&lt;=30,"0-30",IF($O2067&lt;=60,"31-60",IF($O2067&lt;=90,"61-90","90+")))))))</f>
        <v/>
      </c>
    </row>
    <row r="2068">
      <c r="A2068" s="6" t="n"/>
      <c r="B2068" s="6" t="n"/>
      <c r="C2068" s="6" t="n"/>
      <c r="D2068" s="6" t="n"/>
      <c r="E2068" s="6" t="n"/>
      <c r="F2068" s="7" t="n"/>
      <c r="G2068" s="7" t="n"/>
      <c r="H2068" s="8" t="n"/>
      <c r="I2068" s="9">
        <f>IF($A2068="","",SUMIFS(Ventes_Encaissements!$D$6:$D$3005,Ventes_Encaissements!$B$6:$B$3005,$A2068))</f>
        <v/>
      </c>
      <c r="J2068" s="9">
        <f>IF($A2068="","",$H2068-$I2068)</f>
        <v/>
      </c>
      <c r="K2068" s="10">
        <f>IF($A2068="","",IF($I2068=0,"",_xludf.AGGREGATE(14,6,Ventes_Encaissements!$C$6:$C$3005/(Ventes_Encaissements!$B$6:$B$3005=$A2068),1)))</f>
        <v/>
      </c>
      <c r="L2068" s="11">
        <f>IF($A2068="","",COUNTIFS(Ventes_Detail!$B$6:$B$3005,$A2068))</f>
        <v/>
      </c>
      <c r="M2068" s="12" t="n"/>
      <c r="N2068" s="12">
        <f>IF($A2068="","",IF($G2068="","",IF($M2068="Oui","Litige",IF($J2068&lt;=0,"Payé",IF($I2068&gt;0,"Partiel",IF(Listes!$B$3&gt;$G2068,"En retard","À échoir"))))))</f>
        <v/>
      </c>
      <c r="O2068" s="11">
        <f>IF($A2068="","",IF(OR($G2068="", $J2068&lt;=0),0,MAX(0,Listes!$B$3-$G2068)))</f>
        <v/>
      </c>
      <c r="P2068" s="12">
        <f>IF($A2068="","",IF($J2068&lt;=0,"Payé",IF($M2068="Oui","Litige",IF($O2068=0,"À échoir",IF($O2068&lt;=30,"0-30",IF($O2068&lt;=60,"31-60",IF($O2068&lt;=90,"61-90","90+")))))))</f>
        <v/>
      </c>
    </row>
    <row r="2069">
      <c r="A2069" s="6" t="n"/>
      <c r="B2069" s="6" t="n"/>
      <c r="C2069" s="6" t="n"/>
      <c r="D2069" s="6" t="n"/>
      <c r="E2069" s="6" t="n"/>
      <c r="F2069" s="7" t="n"/>
      <c r="G2069" s="7" t="n"/>
      <c r="H2069" s="8" t="n"/>
      <c r="I2069" s="9">
        <f>IF($A2069="","",SUMIFS(Ventes_Encaissements!$D$6:$D$3005,Ventes_Encaissements!$B$6:$B$3005,$A2069))</f>
        <v/>
      </c>
      <c r="J2069" s="9">
        <f>IF($A2069="","",$H2069-$I2069)</f>
        <v/>
      </c>
      <c r="K2069" s="10">
        <f>IF($A2069="","",IF($I2069=0,"",_xludf.AGGREGATE(14,6,Ventes_Encaissements!$C$6:$C$3005/(Ventes_Encaissements!$B$6:$B$3005=$A2069),1)))</f>
        <v/>
      </c>
      <c r="L2069" s="11">
        <f>IF($A2069="","",COUNTIFS(Ventes_Detail!$B$6:$B$3005,$A2069))</f>
        <v/>
      </c>
      <c r="M2069" s="12" t="n"/>
      <c r="N2069" s="12">
        <f>IF($A2069="","",IF($G2069="","",IF($M2069="Oui","Litige",IF($J2069&lt;=0,"Payé",IF($I2069&gt;0,"Partiel",IF(Listes!$B$3&gt;$G2069,"En retard","À échoir"))))))</f>
        <v/>
      </c>
      <c r="O2069" s="11">
        <f>IF($A2069="","",IF(OR($G2069="", $J2069&lt;=0),0,MAX(0,Listes!$B$3-$G2069)))</f>
        <v/>
      </c>
      <c r="P2069" s="12">
        <f>IF($A2069="","",IF($J2069&lt;=0,"Payé",IF($M2069="Oui","Litige",IF($O2069=0,"À échoir",IF($O2069&lt;=30,"0-30",IF($O2069&lt;=60,"31-60",IF($O2069&lt;=90,"61-90","90+")))))))</f>
        <v/>
      </c>
    </row>
    <row r="2070">
      <c r="A2070" s="6" t="n"/>
      <c r="B2070" s="6" t="n"/>
      <c r="C2070" s="6" t="n"/>
      <c r="D2070" s="6" t="n"/>
      <c r="E2070" s="6" t="n"/>
      <c r="F2070" s="7" t="n"/>
      <c r="G2070" s="7" t="n"/>
      <c r="H2070" s="8" t="n"/>
      <c r="I2070" s="9">
        <f>IF($A2070="","",SUMIFS(Ventes_Encaissements!$D$6:$D$3005,Ventes_Encaissements!$B$6:$B$3005,$A2070))</f>
        <v/>
      </c>
      <c r="J2070" s="9">
        <f>IF($A2070="","",$H2070-$I2070)</f>
        <v/>
      </c>
      <c r="K2070" s="10">
        <f>IF($A2070="","",IF($I2070=0,"",_xludf.AGGREGATE(14,6,Ventes_Encaissements!$C$6:$C$3005/(Ventes_Encaissements!$B$6:$B$3005=$A2070),1)))</f>
        <v/>
      </c>
      <c r="L2070" s="11">
        <f>IF($A2070="","",COUNTIFS(Ventes_Detail!$B$6:$B$3005,$A2070))</f>
        <v/>
      </c>
      <c r="M2070" s="12" t="n"/>
      <c r="N2070" s="12">
        <f>IF($A2070="","",IF($G2070="","",IF($M2070="Oui","Litige",IF($J2070&lt;=0,"Payé",IF($I2070&gt;0,"Partiel",IF(Listes!$B$3&gt;$G2070,"En retard","À échoir"))))))</f>
        <v/>
      </c>
      <c r="O2070" s="11">
        <f>IF($A2070="","",IF(OR($G2070="", $J2070&lt;=0),0,MAX(0,Listes!$B$3-$G2070)))</f>
        <v/>
      </c>
      <c r="P2070" s="12">
        <f>IF($A2070="","",IF($J2070&lt;=0,"Payé",IF($M2070="Oui","Litige",IF($O2070=0,"À échoir",IF($O2070&lt;=30,"0-30",IF($O2070&lt;=60,"31-60",IF($O2070&lt;=90,"61-90","90+")))))))</f>
        <v/>
      </c>
    </row>
    <row r="2071">
      <c r="A2071" s="6" t="n"/>
      <c r="B2071" s="6" t="n"/>
      <c r="C2071" s="6" t="n"/>
      <c r="D2071" s="6" t="n"/>
      <c r="E2071" s="6" t="n"/>
      <c r="F2071" s="7" t="n"/>
      <c r="G2071" s="7" t="n"/>
      <c r="H2071" s="8" t="n"/>
      <c r="I2071" s="9">
        <f>IF($A2071="","",SUMIFS(Ventes_Encaissements!$D$6:$D$3005,Ventes_Encaissements!$B$6:$B$3005,$A2071))</f>
        <v/>
      </c>
      <c r="J2071" s="9">
        <f>IF($A2071="","",$H2071-$I2071)</f>
        <v/>
      </c>
      <c r="K2071" s="10">
        <f>IF($A2071="","",IF($I2071=0,"",_xludf.AGGREGATE(14,6,Ventes_Encaissements!$C$6:$C$3005/(Ventes_Encaissements!$B$6:$B$3005=$A2071),1)))</f>
        <v/>
      </c>
      <c r="L2071" s="11">
        <f>IF($A2071="","",COUNTIFS(Ventes_Detail!$B$6:$B$3005,$A2071))</f>
        <v/>
      </c>
      <c r="M2071" s="12" t="n"/>
      <c r="N2071" s="12">
        <f>IF($A2071="","",IF($G2071="","",IF($M2071="Oui","Litige",IF($J2071&lt;=0,"Payé",IF($I2071&gt;0,"Partiel",IF(Listes!$B$3&gt;$G2071,"En retard","À échoir"))))))</f>
        <v/>
      </c>
      <c r="O2071" s="11">
        <f>IF($A2071="","",IF(OR($G2071="", $J2071&lt;=0),0,MAX(0,Listes!$B$3-$G2071)))</f>
        <v/>
      </c>
      <c r="P2071" s="12">
        <f>IF($A2071="","",IF($J2071&lt;=0,"Payé",IF($M2071="Oui","Litige",IF($O2071=0,"À échoir",IF($O2071&lt;=30,"0-30",IF($O2071&lt;=60,"31-60",IF($O2071&lt;=90,"61-90","90+")))))))</f>
        <v/>
      </c>
    </row>
    <row r="2072">
      <c r="A2072" s="6" t="n"/>
      <c r="B2072" s="6" t="n"/>
      <c r="C2072" s="6" t="n"/>
      <c r="D2072" s="6" t="n"/>
      <c r="E2072" s="6" t="n"/>
      <c r="F2072" s="7" t="n"/>
      <c r="G2072" s="7" t="n"/>
      <c r="H2072" s="8" t="n"/>
      <c r="I2072" s="9">
        <f>IF($A2072="","",SUMIFS(Ventes_Encaissements!$D$6:$D$3005,Ventes_Encaissements!$B$6:$B$3005,$A2072))</f>
        <v/>
      </c>
      <c r="J2072" s="9">
        <f>IF($A2072="","",$H2072-$I2072)</f>
        <v/>
      </c>
      <c r="K2072" s="10">
        <f>IF($A2072="","",IF($I2072=0,"",_xludf.AGGREGATE(14,6,Ventes_Encaissements!$C$6:$C$3005/(Ventes_Encaissements!$B$6:$B$3005=$A2072),1)))</f>
        <v/>
      </c>
      <c r="L2072" s="11">
        <f>IF($A2072="","",COUNTIFS(Ventes_Detail!$B$6:$B$3005,$A2072))</f>
        <v/>
      </c>
      <c r="M2072" s="12" t="n"/>
      <c r="N2072" s="12">
        <f>IF($A2072="","",IF($G2072="","",IF($M2072="Oui","Litige",IF($J2072&lt;=0,"Payé",IF($I2072&gt;0,"Partiel",IF(Listes!$B$3&gt;$G2072,"En retard","À échoir"))))))</f>
        <v/>
      </c>
      <c r="O2072" s="11">
        <f>IF($A2072="","",IF(OR($G2072="", $J2072&lt;=0),0,MAX(0,Listes!$B$3-$G2072)))</f>
        <v/>
      </c>
      <c r="P2072" s="12">
        <f>IF($A2072="","",IF($J2072&lt;=0,"Payé",IF($M2072="Oui","Litige",IF($O2072=0,"À échoir",IF($O2072&lt;=30,"0-30",IF($O2072&lt;=60,"31-60",IF($O2072&lt;=90,"61-90","90+")))))))</f>
        <v/>
      </c>
    </row>
    <row r="2073">
      <c r="A2073" s="6" t="n"/>
      <c r="B2073" s="6" t="n"/>
      <c r="C2073" s="6" t="n"/>
      <c r="D2073" s="6" t="n"/>
      <c r="E2073" s="6" t="n"/>
      <c r="F2073" s="7" t="n"/>
      <c r="G2073" s="7" t="n"/>
      <c r="H2073" s="8" t="n"/>
      <c r="I2073" s="9">
        <f>IF($A2073="","",SUMIFS(Ventes_Encaissements!$D$6:$D$3005,Ventes_Encaissements!$B$6:$B$3005,$A2073))</f>
        <v/>
      </c>
      <c r="J2073" s="9">
        <f>IF($A2073="","",$H2073-$I2073)</f>
        <v/>
      </c>
      <c r="K2073" s="10">
        <f>IF($A2073="","",IF($I2073=0,"",_xludf.AGGREGATE(14,6,Ventes_Encaissements!$C$6:$C$3005/(Ventes_Encaissements!$B$6:$B$3005=$A2073),1)))</f>
        <v/>
      </c>
      <c r="L2073" s="11">
        <f>IF($A2073="","",COUNTIFS(Ventes_Detail!$B$6:$B$3005,$A2073))</f>
        <v/>
      </c>
      <c r="M2073" s="12" t="n"/>
      <c r="N2073" s="12">
        <f>IF($A2073="","",IF($G2073="","",IF($M2073="Oui","Litige",IF($J2073&lt;=0,"Payé",IF($I2073&gt;0,"Partiel",IF(Listes!$B$3&gt;$G2073,"En retard","À échoir"))))))</f>
        <v/>
      </c>
      <c r="O2073" s="11">
        <f>IF($A2073="","",IF(OR($G2073="", $J2073&lt;=0),0,MAX(0,Listes!$B$3-$G2073)))</f>
        <v/>
      </c>
      <c r="P2073" s="12">
        <f>IF($A2073="","",IF($J2073&lt;=0,"Payé",IF($M2073="Oui","Litige",IF($O2073=0,"À échoir",IF($O2073&lt;=30,"0-30",IF($O2073&lt;=60,"31-60",IF($O2073&lt;=90,"61-90","90+")))))))</f>
        <v/>
      </c>
    </row>
    <row r="2074">
      <c r="A2074" s="6" t="n"/>
      <c r="B2074" s="6" t="n"/>
      <c r="C2074" s="6" t="n"/>
      <c r="D2074" s="6" t="n"/>
      <c r="E2074" s="6" t="n"/>
      <c r="F2074" s="7" t="n"/>
      <c r="G2074" s="7" t="n"/>
      <c r="H2074" s="8" t="n"/>
      <c r="I2074" s="9">
        <f>IF($A2074="","",SUMIFS(Ventes_Encaissements!$D$6:$D$3005,Ventes_Encaissements!$B$6:$B$3005,$A2074))</f>
        <v/>
      </c>
      <c r="J2074" s="9">
        <f>IF($A2074="","",$H2074-$I2074)</f>
        <v/>
      </c>
      <c r="K2074" s="10">
        <f>IF($A2074="","",IF($I2074=0,"",_xludf.AGGREGATE(14,6,Ventes_Encaissements!$C$6:$C$3005/(Ventes_Encaissements!$B$6:$B$3005=$A2074),1)))</f>
        <v/>
      </c>
      <c r="L2074" s="11">
        <f>IF($A2074="","",COUNTIFS(Ventes_Detail!$B$6:$B$3005,$A2074))</f>
        <v/>
      </c>
      <c r="M2074" s="12" t="n"/>
      <c r="N2074" s="12">
        <f>IF($A2074="","",IF($G2074="","",IF($M2074="Oui","Litige",IF($J2074&lt;=0,"Payé",IF($I2074&gt;0,"Partiel",IF(Listes!$B$3&gt;$G2074,"En retard","À échoir"))))))</f>
        <v/>
      </c>
      <c r="O2074" s="11">
        <f>IF($A2074="","",IF(OR($G2074="", $J2074&lt;=0),0,MAX(0,Listes!$B$3-$G2074)))</f>
        <v/>
      </c>
      <c r="P2074" s="12">
        <f>IF($A2074="","",IF($J2074&lt;=0,"Payé",IF($M2074="Oui","Litige",IF($O2074=0,"À échoir",IF($O2074&lt;=30,"0-30",IF($O2074&lt;=60,"31-60",IF($O2074&lt;=90,"61-90","90+")))))))</f>
        <v/>
      </c>
    </row>
    <row r="2075">
      <c r="A2075" s="6" t="n"/>
      <c r="B2075" s="6" t="n"/>
      <c r="C2075" s="6" t="n"/>
      <c r="D2075" s="6" t="n"/>
      <c r="E2075" s="6" t="n"/>
      <c r="F2075" s="7" t="n"/>
      <c r="G2075" s="7" t="n"/>
      <c r="H2075" s="8" t="n"/>
      <c r="I2075" s="9">
        <f>IF($A2075="","",SUMIFS(Ventes_Encaissements!$D$6:$D$3005,Ventes_Encaissements!$B$6:$B$3005,$A2075))</f>
        <v/>
      </c>
      <c r="J2075" s="9">
        <f>IF($A2075="","",$H2075-$I2075)</f>
        <v/>
      </c>
      <c r="K2075" s="10">
        <f>IF($A2075="","",IF($I2075=0,"",_xludf.AGGREGATE(14,6,Ventes_Encaissements!$C$6:$C$3005/(Ventes_Encaissements!$B$6:$B$3005=$A2075),1)))</f>
        <v/>
      </c>
      <c r="L2075" s="11">
        <f>IF($A2075="","",COUNTIFS(Ventes_Detail!$B$6:$B$3005,$A2075))</f>
        <v/>
      </c>
      <c r="M2075" s="12" t="n"/>
      <c r="N2075" s="12">
        <f>IF($A2075="","",IF($G2075="","",IF($M2075="Oui","Litige",IF($J2075&lt;=0,"Payé",IF($I2075&gt;0,"Partiel",IF(Listes!$B$3&gt;$G2075,"En retard","À échoir"))))))</f>
        <v/>
      </c>
      <c r="O2075" s="11">
        <f>IF($A2075="","",IF(OR($G2075="", $J2075&lt;=0),0,MAX(0,Listes!$B$3-$G2075)))</f>
        <v/>
      </c>
      <c r="P2075" s="12">
        <f>IF($A2075="","",IF($J2075&lt;=0,"Payé",IF($M2075="Oui","Litige",IF($O2075=0,"À échoir",IF($O2075&lt;=30,"0-30",IF($O2075&lt;=60,"31-60",IF($O2075&lt;=90,"61-90","90+")))))))</f>
        <v/>
      </c>
    </row>
    <row r="2076">
      <c r="A2076" s="6" t="n"/>
      <c r="B2076" s="6" t="n"/>
      <c r="C2076" s="6" t="n"/>
      <c r="D2076" s="6" t="n"/>
      <c r="E2076" s="6" t="n"/>
      <c r="F2076" s="7" t="n"/>
      <c r="G2076" s="7" t="n"/>
      <c r="H2076" s="8" t="n"/>
      <c r="I2076" s="9">
        <f>IF($A2076="","",SUMIFS(Ventes_Encaissements!$D$6:$D$3005,Ventes_Encaissements!$B$6:$B$3005,$A2076))</f>
        <v/>
      </c>
      <c r="J2076" s="9">
        <f>IF($A2076="","",$H2076-$I2076)</f>
        <v/>
      </c>
      <c r="K2076" s="10">
        <f>IF($A2076="","",IF($I2076=0,"",_xludf.AGGREGATE(14,6,Ventes_Encaissements!$C$6:$C$3005/(Ventes_Encaissements!$B$6:$B$3005=$A2076),1)))</f>
        <v/>
      </c>
      <c r="L2076" s="11">
        <f>IF($A2076="","",COUNTIFS(Ventes_Detail!$B$6:$B$3005,$A2076))</f>
        <v/>
      </c>
      <c r="M2076" s="12" t="n"/>
      <c r="N2076" s="12">
        <f>IF($A2076="","",IF($G2076="","",IF($M2076="Oui","Litige",IF($J2076&lt;=0,"Payé",IF($I2076&gt;0,"Partiel",IF(Listes!$B$3&gt;$G2076,"En retard","À échoir"))))))</f>
        <v/>
      </c>
      <c r="O2076" s="11">
        <f>IF($A2076="","",IF(OR($G2076="", $J2076&lt;=0),0,MAX(0,Listes!$B$3-$G2076)))</f>
        <v/>
      </c>
      <c r="P2076" s="12">
        <f>IF($A2076="","",IF($J2076&lt;=0,"Payé",IF($M2076="Oui","Litige",IF($O2076=0,"À échoir",IF($O2076&lt;=30,"0-30",IF($O2076&lt;=60,"31-60",IF($O2076&lt;=90,"61-90","90+")))))))</f>
        <v/>
      </c>
    </row>
    <row r="2077">
      <c r="A2077" s="6" t="n"/>
      <c r="B2077" s="6" t="n"/>
      <c r="C2077" s="6" t="n"/>
      <c r="D2077" s="6" t="n"/>
      <c r="E2077" s="6" t="n"/>
      <c r="F2077" s="7" t="n"/>
      <c r="G2077" s="7" t="n"/>
      <c r="H2077" s="8" t="n"/>
      <c r="I2077" s="9">
        <f>IF($A2077="","",SUMIFS(Ventes_Encaissements!$D$6:$D$3005,Ventes_Encaissements!$B$6:$B$3005,$A2077))</f>
        <v/>
      </c>
      <c r="J2077" s="9">
        <f>IF($A2077="","",$H2077-$I2077)</f>
        <v/>
      </c>
      <c r="K2077" s="10">
        <f>IF($A2077="","",IF($I2077=0,"",_xludf.AGGREGATE(14,6,Ventes_Encaissements!$C$6:$C$3005/(Ventes_Encaissements!$B$6:$B$3005=$A2077),1)))</f>
        <v/>
      </c>
      <c r="L2077" s="11">
        <f>IF($A2077="","",COUNTIFS(Ventes_Detail!$B$6:$B$3005,$A2077))</f>
        <v/>
      </c>
      <c r="M2077" s="12" t="n"/>
      <c r="N2077" s="12">
        <f>IF($A2077="","",IF($G2077="","",IF($M2077="Oui","Litige",IF($J2077&lt;=0,"Payé",IF($I2077&gt;0,"Partiel",IF(Listes!$B$3&gt;$G2077,"En retard","À échoir"))))))</f>
        <v/>
      </c>
      <c r="O2077" s="11">
        <f>IF($A2077="","",IF(OR($G2077="", $J2077&lt;=0),0,MAX(0,Listes!$B$3-$G2077)))</f>
        <v/>
      </c>
      <c r="P2077" s="12">
        <f>IF($A2077="","",IF($J2077&lt;=0,"Payé",IF($M2077="Oui","Litige",IF($O2077=0,"À échoir",IF($O2077&lt;=30,"0-30",IF($O2077&lt;=60,"31-60",IF($O2077&lt;=90,"61-90","90+")))))))</f>
        <v/>
      </c>
    </row>
    <row r="2078">
      <c r="A2078" s="6" t="n"/>
      <c r="B2078" s="6" t="n"/>
      <c r="C2078" s="6" t="n"/>
      <c r="D2078" s="6" t="n"/>
      <c r="E2078" s="6" t="n"/>
      <c r="F2078" s="7" t="n"/>
      <c r="G2078" s="7" t="n"/>
      <c r="H2078" s="8" t="n"/>
      <c r="I2078" s="9">
        <f>IF($A2078="","",SUMIFS(Ventes_Encaissements!$D$6:$D$3005,Ventes_Encaissements!$B$6:$B$3005,$A2078))</f>
        <v/>
      </c>
      <c r="J2078" s="9">
        <f>IF($A2078="","",$H2078-$I2078)</f>
        <v/>
      </c>
      <c r="K2078" s="10">
        <f>IF($A2078="","",IF($I2078=0,"",_xludf.AGGREGATE(14,6,Ventes_Encaissements!$C$6:$C$3005/(Ventes_Encaissements!$B$6:$B$3005=$A2078),1)))</f>
        <v/>
      </c>
      <c r="L2078" s="11">
        <f>IF($A2078="","",COUNTIFS(Ventes_Detail!$B$6:$B$3005,$A2078))</f>
        <v/>
      </c>
      <c r="M2078" s="12" t="n"/>
      <c r="N2078" s="12">
        <f>IF($A2078="","",IF($G2078="","",IF($M2078="Oui","Litige",IF($J2078&lt;=0,"Payé",IF($I2078&gt;0,"Partiel",IF(Listes!$B$3&gt;$G2078,"En retard","À échoir"))))))</f>
        <v/>
      </c>
      <c r="O2078" s="11">
        <f>IF($A2078="","",IF(OR($G2078="", $J2078&lt;=0),0,MAX(0,Listes!$B$3-$G2078)))</f>
        <v/>
      </c>
      <c r="P2078" s="12">
        <f>IF($A2078="","",IF($J2078&lt;=0,"Payé",IF($M2078="Oui","Litige",IF($O2078=0,"À échoir",IF($O2078&lt;=30,"0-30",IF($O2078&lt;=60,"31-60",IF($O2078&lt;=90,"61-90","90+")))))))</f>
        <v/>
      </c>
    </row>
    <row r="2079">
      <c r="A2079" s="6" t="n"/>
      <c r="B2079" s="6" t="n"/>
      <c r="C2079" s="6" t="n"/>
      <c r="D2079" s="6" t="n"/>
      <c r="E2079" s="6" t="n"/>
      <c r="F2079" s="7" t="n"/>
      <c r="G2079" s="7" t="n"/>
      <c r="H2079" s="8" t="n"/>
      <c r="I2079" s="9">
        <f>IF($A2079="","",SUMIFS(Ventes_Encaissements!$D$6:$D$3005,Ventes_Encaissements!$B$6:$B$3005,$A2079))</f>
        <v/>
      </c>
      <c r="J2079" s="9">
        <f>IF($A2079="","",$H2079-$I2079)</f>
        <v/>
      </c>
      <c r="K2079" s="10">
        <f>IF($A2079="","",IF($I2079=0,"",_xludf.AGGREGATE(14,6,Ventes_Encaissements!$C$6:$C$3005/(Ventes_Encaissements!$B$6:$B$3005=$A2079),1)))</f>
        <v/>
      </c>
      <c r="L2079" s="11">
        <f>IF($A2079="","",COUNTIFS(Ventes_Detail!$B$6:$B$3005,$A2079))</f>
        <v/>
      </c>
      <c r="M2079" s="12" t="n"/>
      <c r="N2079" s="12">
        <f>IF($A2079="","",IF($G2079="","",IF($M2079="Oui","Litige",IF($J2079&lt;=0,"Payé",IF($I2079&gt;0,"Partiel",IF(Listes!$B$3&gt;$G2079,"En retard","À échoir"))))))</f>
        <v/>
      </c>
      <c r="O2079" s="11">
        <f>IF($A2079="","",IF(OR($G2079="", $J2079&lt;=0),0,MAX(0,Listes!$B$3-$G2079)))</f>
        <v/>
      </c>
      <c r="P2079" s="12">
        <f>IF($A2079="","",IF($J2079&lt;=0,"Payé",IF($M2079="Oui","Litige",IF($O2079=0,"À échoir",IF($O2079&lt;=30,"0-30",IF($O2079&lt;=60,"31-60",IF($O2079&lt;=90,"61-90","90+")))))))</f>
        <v/>
      </c>
    </row>
    <row r="2080">
      <c r="A2080" s="6" t="n"/>
      <c r="B2080" s="6" t="n"/>
      <c r="C2080" s="6" t="n"/>
      <c r="D2080" s="6" t="n"/>
      <c r="E2080" s="6" t="n"/>
      <c r="F2080" s="7" t="n"/>
      <c r="G2080" s="7" t="n"/>
      <c r="H2080" s="8" t="n"/>
      <c r="I2080" s="9">
        <f>IF($A2080="","",SUMIFS(Ventes_Encaissements!$D$6:$D$3005,Ventes_Encaissements!$B$6:$B$3005,$A2080))</f>
        <v/>
      </c>
      <c r="J2080" s="9">
        <f>IF($A2080="","",$H2080-$I2080)</f>
        <v/>
      </c>
      <c r="K2080" s="10">
        <f>IF($A2080="","",IF($I2080=0,"",_xludf.AGGREGATE(14,6,Ventes_Encaissements!$C$6:$C$3005/(Ventes_Encaissements!$B$6:$B$3005=$A2080),1)))</f>
        <v/>
      </c>
      <c r="L2080" s="11">
        <f>IF($A2080="","",COUNTIFS(Ventes_Detail!$B$6:$B$3005,$A2080))</f>
        <v/>
      </c>
      <c r="M2080" s="12" t="n"/>
      <c r="N2080" s="12">
        <f>IF($A2080="","",IF($G2080="","",IF($M2080="Oui","Litige",IF($J2080&lt;=0,"Payé",IF($I2080&gt;0,"Partiel",IF(Listes!$B$3&gt;$G2080,"En retard","À échoir"))))))</f>
        <v/>
      </c>
      <c r="O2080" s="11">
        <f>IF($A2080="","",IF(OR($G2080="", $J2080&lt;=0),0,MAX(0,Listes!$B$3-$G2080)))</f>
        <v/>
      </c>
      <c r="P2080" s="12">
        <f>IF($A2080="","",IF($J2080&lt;=0,"Payé",IF($M2080="Oui","Litige",IF($O2080=0,"À échoir",IF($O2080&lt;=30,"0-30",IF($O2080&lt;=60,"31-60",IF($O2080&lt;=90,"61-90","90+")))))))</f>
        <v/>
      </c>
    </row>
    <row r="2081">
      <c r="A2081" s="6" t="n"/>
      <c r="B2081" s="6" t="n"/>
      <c r="C2081" s="6" t="n"/>
      <c r="D2081" s="6" t="n"/>
      <c r="E2081" s="6" t="n"/>
      <c r="F2081" s="7" t="n"/>
      <c r="G2081" s="7" t="n"/>
      <c r="H2081" s="8" t="n"/>
      <c r="I2081" s="9">
        <f>IF($A2081="","",SUMIFS(Ventes_Encaissements!$D$6:$D$3005,Ventes_Encaissements!$B$6:$B$3005,$A2081))</f>
        <v/>
      </c>
      <c r="J2081" s="9">
        <f>IF($A2081="","",$H2081-$I2081)</f>
        <v/>
      </c>
      <c r="K2081" s="10">
        <f>IF($A2081="","",IF($I2081=0,"",_xludf.AGGREGATE(14,6,Ventes_Encaissements!$C$6:$C$3005/(Ventes_Encaissements!$B$6:$B$3005=$A2081),1)))</f>
        <v/>
      </c>
      <c r="L2081" s="11">
        <f>IF($A2081="","",COUNTIFS(Ventes_Detail!$B$6:$B$3005,$A2081))</f>
        <v/>
      </c>
      <c r="M2081" s="12" t="n"/>
      <c r="N2081" s="12">
        <f>IF($A2081="","",IF($G2081="","",IF($M2081="Oui","Litige",IF($J2081&lt;=0,"Payé",IF($I2081&gt;0,"Partiel",IF(Listes!$B$3&gt;$G2081,"En retard","À échoir"))))))</f>
        <v/>
      </c>
      <c r="O2081" s="11">
        <f>IF($A2081="","",IF(OR($G2081="", $J2081&lt;=0),0,MAX(0,Listes!$B$3-$G2081)))</f>
        <v/>
      </c>
      <c r="P2081" s="12">
        <f>IF($A2081="","",IF($J2081&lt;=0,"Payé",IF($M2081="Oui","Litige",IF($O2081=0,"À échoir",IF($O2081&lt;=30,"0-30",IF($O2081&lt;=60,"31-60",IF($O2081&lt;=90,"61-90","90+")))))))</f>
        <v/>
      </c>
    </row>
    <row r="2082">
      <c r="A2082" s="6" t="n"/>
      <c r="B2082" s="6" t="n"/>
      <c r="C2082" s="6" t="n"/>
      <c r="D2082" s="6" t="n"/>
      <c r="E2082" s="6" t="n"/>
      <c r="F2082" s="7" t="n"/>
      <c r="G2082" s="7" t="n"/>
      <c r="H2082" s="8" t="n"/>
      <c r="I2082" s="9">
        <f>IF($A2082="","",SUMIFS(Ventes_Encaissements!$D$6:$D$3005,Ventes_Encaissements!$B$6:$B$3005,$A2082))</f>
        <v/>
      </c>
      <c r="J2082" s="9">
        <f>IF($A2082="","",$H2082-$I2082)</f>
        <v/>
      </c>
      <c r="K2082" s="10">
        <f>IF($A2082="","",IF($I2082=0,"",_xludf.AGGREGATE(14,6,Ventes_Encaissements!$C$6:$C$3005/(Ventes_Encaissements!$B$6:$B$3005=$A2082),1)))</f>
        <v/>
      </c>
      <c r="L2082" s="11">
        <f>IF($A2082="","",COUNTIFS(Ventes_Detail!$B$6:$B$3005,$A2082))</f>
        <v/>
      </c>
      <c r="M2082" s="12" t="n"/>
      <c r="N2082" s="12">
        <f>IF($A2082="","",IF($G2082="","",IF($M2082="Oui","Litige",IF($J2082&lt;=0,"Payé",IF($I2082&gt;0,"Partiel",IF(Listes!$B$3&gt;$G2082,"En retard","À échoir"))))))</f>
        <v/>
      </c>
      <c r="O2082" s="11">
        <f>IF($A2082="","",IF(OR($G2082="", $J2082&lt;=0),0,MAX(0,Listes!$B$3-$G2082)))</f>
        <v/>
      </c>
      <c r="P2082" s="12">
        <f>IF($A2082="","",IF($J2082&lt;=0,"Payé",IF($M2082="Oui","Litige",IF($O2082=0,"À échoir",IF($O2082&lt;=30,"0-30",IF($O2082&lt;=60,"31-60",IF($O2082&lt;=90,"61-90","90+")))))))</f>
        <v/>
      </c>
    </row>
    <row r="2083">
      <c r="A2083" s="6" t="n"/>
      <c r="B2083" s="6" t="n"/>
      <c r="C2083" s="6" t="n"/>
      <c r="D2083" s="6" t="n"/>
      <c r="E2083" s="6" t="n"/>
      <c r="F2083" s="7" t="n"/>
      <c r="G2083" s="7" t="n"/>
      <c r="H2083" s="8" t="n"/>
      <c r="I2083" s="9">
        <f>IF($A2083="","",SUMIFS(Ventes_Encaissements!$D$6:$D$3005,Ventes_Encaissements!$B$6:$B$3005,$A2083))</f>
        <v/>
      </c>
      <c r="J2083" s="9">
        <f>IF($A2083="","",$H2083-$I2083)</f>
        <v/>
      </c>
      <c r="K2083" s="10">
        <f>IF($A2083="","",IF($I2083=0,"",_xludf.AGGREGATE(14,6,Ventes_Encaissements!$C$6:$C$3005/(Ventes_Encaissements!$B$6:$B$3005=$A2083),1)))</f>
        <v/>
      </c>
      <c r="L2083" s="11">
        <f>IF($A2083="","",COUNTIFS(Ventes_Detail!$B$6:$B$3005,$A2083))</f>
        <v/>
      </c>
      <c r="M2083" s="12" t="n"/>
      <c r="N2083" s="12">
        <f>IF($A2083="","",IF($G2083="","",IF($M2083="Oui","Litige",IF($J2083&lt;=0,"Payé",IF($I2083&gt;0,"Partiel",IF(Listes!$B$3&gt;$G2083,"En retard","À échoir"))))))</f>
        <v/>
      </c>
      <c r="O2083" s="11">
        <f>IF($A2083="","",IF(OR($G2083="", $J2083&lt;=0),0,MAX(0,Listes!$B$3-$G2083)))</f>
        <v/>
      </c>
      <c r="P2083" s="12">
        <f>IF($A2083="","",IF($J2083&lt;=0,"Payé",IF($M2083="Oui","Litige",IF($O2083=0,"À échoir",IF($O2083&lt;=30,"0-30",IF($O2083&lt;=60,"31-60",IF($O2083&lt;=90,"61-90","90+")))))))</f>
        <v/>
      </c>
    </row>
    <row r="2084">
      <c r="A2084" s="6" t="n"/>
      <c r="B2084" s="6" t="n"/>
      <c r="C2084" s="6" t="n"/>
      <c r="D2084" s="6" t="n"/>
      <c r="E2084" s="6" t="n"/>
      <c r="F2084" s="7" t="n"/>
      <c r="G2084" s="7" t="n"/>
      <c r="H2084" s="8" t="n"/>
      <c r="I2084" s="9">
        <f>IF($A2084="","",SUMIFS(Ventes_Encaissements!$D$6:$D$3005,Ventes_Encaissements!$B$6:$B$3005,$A2084))</f>
        <v/>
      </c>
      <c r="J2084" s="9">
        <f>IF($A2084="","",$H2084-$I2084)</f>
        <v/>
      </c>
      <c r="K2084" s="10">
        <f>IF($A2084="","",IF($I2084=0,"",_xludf.AGGREGATE(14,6,Ventes_Encaissements!$C$6:$C$3005/(Ventes_Encaissements!$B$6:$B$3005=$A2084),1)))</f>
        <v/>
      </c>
      <c r="L2084" s="11">
        <f>IF($A2084="","",COUNTIFS(Ventes_Detail!$B$6:$B$3005,$A2084))</f>
        <v/>
      </c>
      <c r="M2084" s="12" t="n"/>
      <c r="N2084" s="12">
        <f>IF($A2084="","",IF($G2084="","",IF($M2084="Oui","Litige",IF($J2084&lt;=0,"Payé",IF($I2084&gt;0,"Partiel",IF(Listes!$B$3&gt;$G2084,"En retard","À échoir"))))))</f>
        <v/>
      </c>
      <c r="O2084" s="11">
        <f>IF($A2084="","",IF(OR($G2084="", $J2084&lt;=0),0,MAX(0,Listes!$B$3-$G2084)))</f>
        <v/>
      </c>
      <c r="P2084" s="12">
        <f>IF($A2084="","",IF($J2084&lt;=0,"Payé",IF($M2084="Oui","Litige",IF($O2084=0,"À échoir",IF($O2084&lt;=30,"0-30",IF($O2084&lt;=60,"31-60",IF($O2084&lt;=90,"61-90","90+")))))))</f>
        <v/>
      </c>
    </row>
    <row r="2085">
      <c r="A2085" s="6" t="n"/>
      <c r="B2085" s="6" t="n"/>
      <c r="C2085" s="6" t="n"/>
      <c r="D2085" s="6" t="n"/>
      <c r="E2085" s="6" t="n"/>
      <c r="F2085" s="7" t="n"/>
      <c r="G2085" s="7" t="n"/>
      <c r="H2085" s="8" t="n"/>
      <c r="I2085" s="9">
        <f>IF($A2085="","",SUMIFS(Ventes_Encaissements!$D$6:$D$3005,Ventes_Encaissements!$B$6:$B$3005,$A2085))</f>
        <v/>
      </c>
      <c r="J2085" s="9">
        <f>IF($A2085="","",$H2085-$I2085)</f>
        <v/>
      </c>
      <c r="K2085" s="10">
        <f>IF($A2085="","",IF($I2085=0,"",_xludf.AGGREGATE(14,6,Ventes_Encaissements!$C$6:$C$3005/(Ventes_Encaissements!$B$6:$B$3005=$A2085),1)))</f>
        <v/>
      </c>
      <c r="L2085" s="11">
        <f>IF($A2085="","",COUNTIFS(Ventes_Detail!$B$6:$B$3005,$A2085))</f>
        <v/>
      </c>
      <c r="M2085" s="12" t="n"/>
      <c r="N2085" s="12">
        <f>IF($A2085="","",IF($G2085="","",IF($M2085="Oui","Litige",IF($J2085&lt;=0,"Payé",IF($I2085&gt;0,"Partiel",IF(Listes!$B$3&gt;$G2085,"En retard","À échoir"))))))</f>
        <v/>
      </c>
      <c r="O2085" s="11">
        <f>IF($A2085="","",IF(OR($G2085="", $J2085&lt;=0),0,MAX(0,Listes!$B$3-$G2085)))</f>
        <v/>
      </c>
      <c r="P2085" s="12">
        <f>IF($A2085="","",IF($J2085&lt;=0,"Payé",IF($M2085="Oui","Litige",IF($O2085=0,"À échoir",IF($O2085&lt;=30,"0-30",IF($O2085&lt;=60,"31-60",IF($O2085&lt;=90,"61-90","90+")))))))</f>
        <v/>
      </c>
    </row>
    <row r="2086">
      <c r="A2086" s="6" t="n"/>
      <c r="B2086" s="6" t="n"/>
      <c r="C2086" s="6" t="n"/>
      <c r="D2086" s="6" t="n"/>
      <c r="E2086" s="6" t="n"/>
      <c r="F2086" s="7" t="n"/>
      <c r="G2086" s="7" t="n"/>
      <c r="H2086" s="8" t="n"/>
      <c r="I2086" s="9">
        <f>IF($A2086="","",SUMIFS(Ventes_Encaissements!$D$6:$D$3005,Ventes_Encaissements!$B$6:$B$3005,$A2086))</f>
        <v/>
      </c>
      <c r="J2086" s="9">
        <f>IF($A2086="","",$H2086-$I2086)</f>
        <v/>
      </c>
      <c r="K2086" s="10">
        <f>IF($A2086="","",IF($I2086=0,"",_xludf.AGGREGATE(14,6,Ventes_Encaissements!$C$6:$C$3005/(Ventes_Encaissements!$B$6:$B$3005=$A2086),1)))</f>
        <v/>
      </c>
      <c r="L2086" s="11">
        <f>IF($A2086="","",COUNTIFS(Ventes_Detail!$B$6:$B$3005,$A2086))</f>
        <v/>
      </c>
      <c r="M2086" s="12" t="n"/>
      <c r="N2086" s="12">
        <f>IF($A2086="","",IF($G2086="","",IF($M2086="Oui","Litige",IF($J2086&lt;=0,"Payé",IF($I2086&gt;0,"Partiel",IF(Listes!$B$3&gt;$G2086,"En retard","À échoir"))))))</f>
        <v/>
      </c>
      <c r="O2086" s="11">
        <f>IF($A2086="","",IF(OR($G2086="", $J2086&lt;=0),0,MAX(0,Listes!$B$3-$G2086)))</f>
        <v/>
      </c>
      <c r="P2086" s="12">
        <f>IF($A2086="","",IF($J2086&lt;=0,"Payé",IF($M2086="Oui","Litige",IF($O2086=0,"À échoir",IF($O2086&lt;=30,"0-30",IF($O2086&lt;=60,"31-60",IF($O2086&lt;=90,"61-90","90+")))))))</f>
        <v/>
      </c>
    </row>
    <row r="2087">
      <c r="A2087" s="6" t="n"/>
      <c r="B2087" s="6" t="n"/>
      <c r="C2087" s="6" t="n"/>
      <c r="D2087" s="6" t="n"/>
      <c r="E2087" s="6" t="n"/>
      <c r="F2087" s="7" t="n"/>
      <c r="G2087" s="7" t="n"/>
      <c r="H2087" s="8" t="n"/>
      <c r="I2087" s="9">
        <f>IF($A2087="","",SUMIFS(Ventes_Encaissements!$D$6:$D$3005,Ventes_Encaissements!$B$6:$B$3005,$A2087))</f>
        <v/>
      </c>
      <c r="J2087" s="9">
        <f>IF($A2087="","",$H2087-$I2087)</f>
        <v/>
      </c>
      <c r="K2087" s="10">
        <f>IF($A2087="","",IF($I2087=0,"",_xludf.AGGREGATE(14,6,Ventes_Encaissements!$C$6:$C$3005/(Ventes_Encaissements!$B$6:$B$3005=$A2087),1)))</f>
        <v/>
      </c>
      <c r="L2087" s="11">
        <f>IF($A2087="","",COUNTIFS(Ventes_Detail!$B$6:$B$3005,$A2087))</f>
        <v/>
      </c>
      <c r="M2087" s="12" t="n"/>
      <c r="N2087" s="12">
        <f>IF($A2087="","",IF($G2087="","",IF($M2087="Oui","Litige",IF($J2087&lt;=0,"Payé",IF($I2087&gt;0,"Partiel",IF(Listes!$B$3&gt;$G2087,"En retard","À échoir"))))))</f>
        <v/>
      </c>
      <c r="O2087" s="11">
        <f>IF($A2087="","",IF(OR($G2087="", $J2087&lt;=0),0,MAX(0,Listes!$B$3-$G2087)))</f>
        <v/>
      </c>
      <c r="P2087" s="12">
        <f>IF($A2087="","",IF($J2087&lt;=0,"Payé",IF($M2087="Oui","Litige",IF($O2087=0,"À échoir",IF($O2087&lt;=30,"0-30",IF($O2087&lt;=60,"31-60",IF($O2087&lt;=90,"61-90","90+")))))))</f>
        <v/>
      </c>
    </row>
    <row r="2088">
      <c r="A2088" s="6" t="n"/>
      <c r="B2088" s="6" t="n"/>
      <c r="C2088" s="6" t="n"/>
      <c r="D2088" s="6" t="n"/>
      <c r="E2088" s="6" t="n"/>
      <c r="F2088" s="7" t="n"/>
      <c r="G2088" s="7" t="n"/>
      <c r="H2088" s="8" t="n"/>
      <c r="I2088" s="9">
        <f>IF($A2088="","",SUMIFS(Ventes_Encaissements!$D$6:$D$3005,Ventes_Encaissements!$B$6:$B$3005,$A2088))</f>
        <v/>
      </c>
      <c r="J2088" s="9">
        <f>IF($A2088="","",$H2088-$I2088)</f>
        <v/>
      </c>
      <c r="K2088" s="10">
        <f>IF($A2088="","",IF($I2088=0,"",_xludf.AGGREGATE(14,6,Ventes_Encaissements!$C$6:$C$3005/(Ventes_Encaissements!$B$6:$B$3005=$A2088),1)))</f>
        <v/>
      </c>
      <c r="L2088" s="11">
        <f>IF($A2088="","",COUNTIFS(Ventes_Detail!$B$6:$B$3005,$A2088))</f>
        <v/>
      </c>
      <c r="M2088" s="12" t="n"/>
      <c r="N2088" s="12">
        <f>IF($A2088="","",IF($G2088="","",IF($M2088="Oui","Litige",IF($J2088&lt;=0,"Payé",IF($I2088&gt;0,"Partiel",IF(Listes!$B$3&gt;$G2088,"En retard","À échoir"))))))</f>
        <v/>
      </c>
      <c r="O2088" s="11">
        <f>IF($A2088="","",IF(OR($G2088="", $J2088&lt;=0),0,MAX(0,Listes!$B$3-$G2088)))</f>
        <v/>
      </c>
      <c r="P2088" s="12">
        <f>IF($A2088="","",IF($J2088&lt;=0,"Payé",IF($M2088="Oui","Litige",IF($O2088=0,"À échoir",IF($O2088&lt;=30,"0-30",IF($O2088&lt;=60,"31-60",IF($O2088&lt;=90,"61-90","90+")))))))</f>
        <v/>
      </c>
    </row>
    <row r="2089">
      <c r="A2089" s="6" t="n"/>
      <c r="B2089" s="6" t="n"/>
      <c r="C2089" s="6" t="n"/>
      <c r="D2089" s="6" t="n"/>
      <c r="E2089" s="6" t="n"/>
      <c r="F2089" s="7" t="n"/>
      <c r="G2089" s="7" t="n"/>
      <c r="H2089" s="8" t="n"/>
      <c r="I2089" s="9">
        <f>IF($A2089="","",SUMIFS(Ventes_Encaissements!$D$6:$D$3005,Ventes_Encaissements!$B$6:$B$3005,$A2089))</f>
        <v/>
      </c>
      <c r="J2089" s="9">
        <f>IF($A2089="","",$H2089-$I2089)</f>
        <v/>
      </c>
      <c r="K2089" s="10">
        <f>IF($A2089="","",IF($I2089=0,"",_xludf.AGGREGATE(14,6,Ventes_Encaissements!$C$6:$C$3005/(Ventes_Encaissements!$B$6:$B$3005=$A2089),1)))</f>
        <v/>
      </c>
      <c r="L2089" s="11">
        <f>IF($A2089="","",COUNTIFS(Ventes_Detail!$B$6:$B$3005,$A2089))</f>
        <v/>
      </c>
      <c r="M2089" s="12" t="n"/>
      <c r="N2089" s="12">
        <f>IF($A2089="","",IF($G2089="","",IF($M2089="Oui","Litige",IF($J2089&lt;=0,"Payé",IF($I2089&gt;0,"Partiel",IF(Listes!$B$3&gt;$G2089,"En retard","À échoir"))))))</f>
        <v/>
      </c>
      <c r="O2089" s="11">
        <f>IF($A2089="","",IF(OR($G2089="", $J2089&lt;=0),0,MAX(0,Listes!$B$3-$G2089)))</f>
        <v/>
      </c>
      <c r="P2089" s="12">
        <f>IF($A2089="","",IF($J2089&lt;=0,"Payé",IF($M2089="Oui","Litige",IF($O2089=0,"À échoir",IF($O2089&lt;=30,"0-30",IF($O2089&lt;=60,"31-60",IF($O2089&lt;=90,"61-90","90+")))))))</f>
        <v/>
      </c>
    </row>
    <row r="2090">
      <c r="A2090" s="6" t="n"/>
      <c r="B2090" s="6" t="n"/>
      <c r="C2090" s="6" t="n"/>
      <c r="D2090" s="6" t="n"/>
      <c r="E2090" s="6" t="n"/>
      <c r="F2090" s="7" t="n"/>
      <c r="G2090" s="7" t="n"/>
      <c r="H2090" s="8" t="n"/>
      <c r="I2090" s="9">
        <f>IF($A2090="","",SUMIFS(Ventes_Encaissements!$D$6:$D$3005,Ventes_Encaissements!$B$6:$B$3005,$A2090))</f>
        <v/>
      </c>
      <c r="J2090" s="9">
        <f>IF($A2090="","",$H2090-$I2090)</f>
        <v/>
      </c>
      <c r="K2090" s="10">
        <f>IF($A2090="","",IF($I2090=0,"",_xludf.AGGREGATE(14,6,Ventes_Encaissements!$C$6:$C$3005/(Ventes_Encaissements!$B$6:$B$3005=$A2090),1)))</f>
        <v/>
      </c>
      <c r="L2090" s="11">
        <f>IF($A2090="","",COUNTIFS(Ventes_Detail!$B$6:$B$3005,$A2090))</f>
        <v/>
      </c>
      <c r="M2090" s="12" t="n"/>
      <c r="N2090" s="12">
        <f>IF($A2090="","",IF($G2090="","",IF($M2090="Oui","Litige",IF($J2090&lt;=0,"Payé",IF($I2090&gt;0,"Partiel",IF(Listes!$B$3&gt;$G2090,"En retard","À échoir"))))))</f>
        <v/>
      </c>
      <c r="O2090" s="11">
        <f>IF($A2090="","",IF(OR($G2090="", $J2090&lt;=0),0,MAX(0,Listes!$B$3-$G2090)))</f>
        <v/>
      </c>
      <c r="P2090" s="12">
        <f>IF($A2090="","",IF($J2090&lt;=0,"Payé",IF($M2090="Oui","Litige",IF($O2090=0,"À échoir",IF($O2090&lt;=30,"0-30",IF($O2090&lt;=60,"31-60",IF($O2090&lt;=90,"61-90","90+")))))))</f>
        <v/>
      </c>
    </row>
    <row r="2091">
      <c r="A2091" s="6" t="n"/>
      <c r="B2091" s="6" t="n"/>
      <c r="C2091" s="6" t="n"/>
      <c r="D2091" s="6" t="n"/>
      <c r="E2091" s="6" t="n"/>
      <c r="F2091" s="7" t="n"/>
      <c r="G2091" s="7" t="n"/>
      <c r="H2091" s="8" t="n"/>
      <c r="I2091" s="9">
        <f>IF($A2091="","",SUMIFS(Ventes_Encaissements!$D$6:$D$3005,Ventes_Encaissements!$B$6:$B$3005,$A2091))</f>
        <v/>
      </c>
      <c r="J2091" s="9">
        <f>IF($A2091="","",$H2091-$I2091)</f>
        <v/>
      </c>
      <c r="K2091" s="10">
        <f>IF($A2091="","",IF($I2091=0,"",_xludf.AGGREGATE(14,6,Ventes_Encaissements!$C$6:$C$3005/(Ventes_Encaissements!$B$6:$B$3005=$A2091),1)))</f>
        <v/>
      </c>
      <c r="L2091" s="11">
        <f>IF($A2091="","",COUNTIFS(Ventes_Detail!$B$6:$B$3005,$A2091))</f>
        <v/>
      </c>
      <c r="M2091" s="12" t="n"/>
      <c r="N2091" s="12">
        <f>IF($A2091="","",IF($G2091="","",IF($M2091="Oui","Litige",IF($J2091&lt;=0,"Payé",IF($I2091&gt;0,"Partiel",IF(Listes!$B$3&gt;$G2091,"En retard","À échoir"))))))</f>
        <v/>
      </c>
      <c r="O2091" s="11">
        <f>IF($A2091="","",IF(OR($G2091="", $J2091&lt;=0),0,MAX(0,Listes!$B$3-$G2091)))</f>
        <v/>
      </c>
      <c r="P2091" s="12">
        <f>IF($A2091="","",IF($J2091&lt;=0,"Payé",IF($M2091="Oui","Litige",IF($O2091=0,"À échoir",IF($O2091&lt;=30,"0-30",IF($O2091&lt;=60,"31-60",IF($O2091&lt;=90,"61-90","90+")))))))</f>
        <v/>
      </c>
    </row>
    <row r="2092">
      <c r="A2092" s="6" t="n"/>
      <c r="B2092" s="6" t="n"/>
      <c r="C2092" s="6" t="n"/>
      <c r="D2092" s="6" t="n"/>
      <c r="E2092" s="6" t="n"/>
      <c r="F2092" s="7" t="n"/>
      <c r="G2092" s="7" t="n"/>
      <c r="H2092" s="8" t="n"/>
      <c r="I2092" s="9">
        <f>IF($A2092="","",SUMIFS(Ventes_Encaissements!$D$6:$D$3005,Ventes_Encaissements!$B$6:$B$3005,$A2092))</f>
        <v/>
      </c>
      <c r="J2092" s="9">
        <f>IF($A2092="","",$H2092-$I2092)</f>
        <v/>
      </c>
      <c r="K2092" s="10">
        <f>IF($A2092="","",IF($I2092=0,"",_xludf.AGGREGATE(14,6,Ventes_Encaissements!$C$6:$C$3005/(Ventes_Encaissements!$B$6:$B$3005=$A2092),1)))</f>
        <v/>
      </c>
      <c r="L2092" s="11">
        <f>IF($A2092="","",COUNTIFS(Ventes_Detail!$B$6:$B$3005,$A2092))</f>
        <v/>
      </c>
      <c r="M2092" s="12" t="n"/>
      <c r="N2092" s="12">
        <f>IF($A2092="","",IF($G2092="","",IF($M2092="Oui","Litige",IF($J2092&lt;=0,"Payé",IF($I2092&gt;0,"Partiel",IF(Listes!$B$3&gt;$G2092,"En retard","À échoir"))))))</f>
        <v/>
      </c>
      <c r="O2092" s="11">
        <f>IF($A2092="","",IF(OR($G2092="", $J2092&lt;=0),0,MAX(0,Listes!$B$3-$G2092)))</f>
        <v/>
      </c>
      <c r="P2092" s="12">
        <f>IF($A2092="","",IF($J2092&lt;=0,"Payé",IF($M2092="Oui","Litige",IF($O2092=0,"À échoir",IF($O2092&lt;=30,"0-30",IF($O2092&lt;=60,"31-60",IF($O2092&lt;=90,"61-90","90+")))))))</f>
        <v/>
      </c>
    </row>
    <row r="2093">
      <c r="A2093" s="6" t="n"/>
      <c r="B2093" s="6" t="n"/>
      <c r="C2093" s="6" t="n"/>
      <c r="D2093" s="6" t="n"/>
      <c r="E2093" s="6" t="n"/>
      <c r="F2093" s="7" t="n"/>
      <c r="G2093" s="7" t="n"/>
      <c r="H2093" s="8" t="n"/>
      <c r="I2093" s="9">
        <f>IF($A2093="","",SUMIFS(Ventes_Encaissements!$D$6:$D$3005,Ventes_Encaissements!$B$6:$B$3005,$A2093))</f>
        <v/>
      </c>
      <c r="J2093" s="9">
        <f>IF($A2093="","",$H2093-$I2093)</f>
        <v/>
      </c>
      <c r="K2093" s="10">
        <f>IF($A2093="","",IF($I2093=0,"",_xludf.AGGREGATE(14,6,Ventes_Encaissements!$C$6:$C$3005/(Ventes_Encaissements!$B$6:$B$3005=$A2093),1)))</f>
        <v/>
      </c>
      <c r="L2093" s="11">
        <f>IF($A2093="","",COUNTIFS(Ventes_Detail!$B$6:$B$3005,$A2093))</f>
        <v/>
      </c>
      <c r="M2093" s="12" t="n"/>
      <c r="N2093" s="12">
        <f>IF($A2093="","",IF($G2093="","",IF($M2093="Oui","Litige",IF($J2093&lt;=0,"Payé",IF($I2093&gt;0,"Partiel",IF(Listes!$B$3&gt;$G2093,"En retard","À échoir"))))))</f>
        <v/>
      </c>
      <c r="O2093" s="11">
        <f>IF($A2093="","",IF(OR($G2093="", $J2093&lt;=0),0,MAX(0,Listes!$B$3-$G2093)))</f>
        <v/>
      </c>
      <c r="P2093" s="12">
        <f>IF($A2093="","",IF($J2093&lt;=0,"Payé",IF($M2093="Oui","Litige",IF($O2093=0,"À échoir",IF($O2093&lt;=30,"0-30",IF($O2093&lt;=60,"31-60",IF($O2093&lt;=90,"61-90","90+")))))))</f>
        <v/>
      </c>
    </row>
    <row r="2094">
      <c r="A2094" s="6" t="n"/>
      <c r="B2094" s="6" t="n"/>
      <c r="C2094" s="6" t="n"/>
      <c r="D2094" s="6" t="n"/>
      <c r="E2094" s="6" t="n"/>
      <c r="F2094" s="7" t="n"/>
      <c r="G2094" s="7" t="n"/>
      <c r="H2094" s="8" t="n"/>
      <c r="I2094" s="9">
        <f>IF($A2094="","",SUMIFS(Ventes_Encaissements!$D$6:$D$3005,Ventes_Encaissements!$B$6:$B$3005,$A2094))</f>
        <v/>
      </c>
      <c r="J2094" s="9">
        <f>IF($A2094="","",$H2094-$I2094)</f>
        <v/>
      </c>
      <c r="K2094" s="10">
        <f>IF($A2094="","",IF($I2094=0,"",_xludf.AGGREGATE(14,6,Ventes_Encaissements!$C$6:$C$3005/(Ventes_Encaissements!$B$6:$B$3005=$A2094),1)))</f>
        <v/>
      </c>
      <c r="L2094" s="11">
        <f>IF($A2094="","",COUNTIFS(Ventes_Detail!$B$6:$B$3005,$A2094))</f>
        <v/>
      </c>
      <c r="M2094" s="12" t="n"/>
      <c r="N2094" s="12">
        <f>IF($A2094="","",IF($G2094="","",IF($M2094="Oui","Litige",IF($J2094&lt;=0,"Payé",IF($I2094&gt;0,"Partiel",IF(Listes!$B$3&gt;$G2094,"En retard","À échoir"))))))</f>
        <v/>
      </c>
      <c r="O2094" s="11">
        <f>IF($A2094="","",IF(OR($G2094="", $J2094&lt;=0),0,MAX(0,Listes!$B$3-$G2094)))</f>
        <v/>
      </c>
      <c r="P2094" s="12">
        <f>IF($A2094="","",IF($J2094&lt;=0,"Payé",IF($M2094="Oui","Litige",IF($O2094=0,"À échoir",IF($O2094&lt;=30,"0-30",IF($O2094&lt;=60,"31-60",IF($O2094&lt;=90,"61-90","90+")))))))</f>
        <v/>
      </c>
    </row>
    <row r="2095">
      <c r="A2095" s="6" t="n"/>
      <c r="B2095" s="6" t="n"/>
      <c r="C2095" s="6" t="n"/>
      <c r="D2095" s="6" t="n"/>
      <c r="E2095" s="6" t="n"/>
      <c r="F2095" s="7" t="n"/>
      <c r="G2095" s="7" t="n"/>
      <c r="H2095" s="8" t="n"/>
      <c r="I2095" s="9">
        <f>IF($A2095="","",SUMIFS(Ventes_Encaissements!$D$6:$D$3005,Ventes_Encaissements!$B$6:$B$3005,$A2095))</f>
        <v/>
      </c>
      <c r="J2095" s="9">
        <f>IF($A2095="","",$H2095-$I2095)</f>
        <v/>
      </c>
      <c r="K2095" s="10">
        <f>IF($A2095="","",IF($I2095=0,"",_xludf.AGGREGATE(14,6,Ventes_Encaissements!$C$6:$C$3005/(Ventes_Encaissements!$B$6:$B$3005=$A2095),1)))</f>
        <v/>
      </c>
      <c r="L2095" s="11">
        <f>IF($A2095="","",COUNTIFS(Ventes_Detail!$B$6:$B$3005,$A2095))</f>
        <v/>
      </c>
      <c r="M2095" s="12" t="n"/>
      <c r="N2095" s="12">
        <f>IF($A2095="","",IF($G2095="","",IF($M2095="Oui","Litige",IF($J2095&lt;=0,"Payé",IF($I2095&gt;0,"Partiel",IF(Listes!$B$3&gt;$G2095,"En retard","À échoir"))))))</f>
        <v/>
      </c>
      <c r="O2095" s="11">
        <f>IF($A2095="","",IF(OR($G2095="", $J2095&lt;=0),0,MAX(0,Listes!$B$3-$G2095)))</f>
        <v/>
      </c>
      <c r="P2095" s="12">
        <f>IF($A2095="","",IF($J2095&lt;=0,"Payé",IF($M2095="Oui","Litige",IF($O2095=0,"À échoir",IF($O2095&lt;=30,"0-30",IF($O2095&lt;=60,"31-60",IF($O2095&lt;=90,"61-90","90+")))))))</f>
        <v/>
      </c>
    </row>
    <row r="2096">
      <c r="A2096" s="6" t="n"/>
      <c r="B2096" s="6" t="n"/>
      <c r="C2096" s="6" t="n"/>
      <c r="D2096" s="6" t="n"/>
      <c r="E2096" s="6" t="n"/>
      <c r="F2096" s="7" t="n"/>
      <c r="G2096" s="7" t="n"/>
      <c r="H2096" s="8" t="n"/>
      <c r="I2096" s="9">
        <f>IF($A2096="","",SUMIFS(Ventes_Encaissements!$D$6:$D$3005,Ventes_Encaissements!$B$6:$B$3005,$A2096))</f>
        <v/>
      </c>
      <c r="J2096" s="9">
        <f>IF($A2096="","",$H2096-$I2096)</f>
        <v/>
      </c>
      <c r="K2096" s="10">
        <f>IF($A2096="","",IF($I2096=0,"",_xludf.AGGREGATE(14,6,Ventes_Encaissements!$C$6:$C$3005/(Ventes_Encaissements!$B$6:$B$3005=$A2096),1)))</f>
        <v/>
      </c>
      <c r="L2096" s="11">
        <f>IF($A2096="","",COUNTIFS(Ventes_Detail!$B$6:$B$3005,$A2096))</f>
        <v/>
      </c>
      <c r="M2096" s="12" t="n"/>
      <c r="N2096" s="12">
        <f>IF($A2096="","",IF($G2096="","",IF($M2096="Oui","Litige",IF($J2096&lt;=0,"Payé",IF($I2096&gt;0,"Partiel",IF(Listes!$B$3&gt;$G2096,"En retard","À échoir"))))))</f>
        <v/>
      </c>
      <c r="O2096" s="11">
        <f>IF($A2096="","",IF(OR($G2096="", $J2096&lt;=0),0,MAX(0,Listes!$B$3-$G2096)))</f>
        <v/>
      </c>
      <c r="P2096" s="12">
        <f>IF($A2096="","",IF($J2096&lt;=0,"Payé",IF($M2096="Oui","Litige",IF($O2096=0,"À échoir",IF($O2096&lt;=30,"0-30",IF($O2096&lt;=60,"31-60",IF($O2096&lt;=90,"61-90","90+")))))))</f>
        <v/>
      </c>
    </row>
    <row r="2097">
      <c r="A2097" s="6" t="n"/>
      <c r="B2097" s="6" t="n"/>
      <c r="C2097" s="6" t="n"/>
      <c r="D2097" s="6" t="n"/>
      <c r="E2097" s="6" t="n"/>
      <c r="F2097" s="7" t="n"/>
      <c r="G2097" s="7" t="n"/>
      <c r="H2097" s="8" t="n"/>
      <c r="I2097" s="9">
        <f>IF($A2097="","",SUMIFS(Ventes_Encaissements!$D$6:$D$3005,Ventes_Encaissements!$B$6:$B$3005,$A2097))</f>
        <v/>
      </c>
      <c r="J2097" s="9">
        <f>IF($A2097="","",$H2097-$I2097)</f>
        <v/>
      </c>
      <c r="K2097" s="10">
        <f>IF($A2097="","",IF($I2097=0,"",_xludf.AGGREGATE(14,6,Ventes_Encaissements!$C$6:$C$3005/(Ventes_Encaissements!$B$6:$B$3005=$A2097),1)))</f>
        <v/>
      </c>
      <c r="L2097" s="11">
        <f>IF($A2097="","",COUNTIFS(Ventes_Detail!$B$6:$B$3005,$A2097))</f>
        <v/>
      </c>
      <c r="M2097" s="12" t="n"/>
      <c r="N2097" s="12">
        <f>IF($A2097="","",IF($G2097="","",IF($M2097="Oui","Litige",IF($J2097&lt;=0,"Payé",IF($I2097&gt;0,"Partiel",IF(Listes!$B$3&gt;$G2097,"En retard","À échoir"))))))</f>
        <v/>
      </c>
      <c r="O2097" s="11">
        <f>IF($A2097="","",IF(OR($G2097="", $J2097&lt;=0),0,MAX(0,Listes!$B$3-$G2097)))</f>
        <v/>
      </c>
      <c r="P2097" s="12">
        <f>IF($A2097="","",IF($J2097&lt;=0,"Payé",IF($M2097="Oui","Litige",IF($O2097=0,"À échoir",IF($O2097&lt;=30,"0-30",IF($O2097&lt;=60,"31-60",IF($O2097&lt;=90,"61-90","90+")))))))</f>
        <v/>
      </c>
    </row>
    <row r="2098">
      <c r="A2098" s="6" t="n"/>
      <c r="B2098" s="6" t="n"/>
      <c r="C2098" s="6" t="n"/>
      <c r="D2098" s="6" t="n"/>
      <c r="E2098" s="6" t="n"/>
      <c r="F2098" s="7" t="n"/>
      <c r="G2098" s="7" t="n"/>
      <c r="H2098" s="8" t="n"/>
      <c r="I2098" s="9">
        <f>IF($A2098="","",SUMIFS(Ventes_Encaissements!$D$6:$D$3005,Ventes_Encaissements!$B$6:$B$3005,$A2098))</f>
        <v/>
      </c>
      <c r="J2098" s="9">
        <f>IF($A2098="","",$H2098-$I2098)</f>
        <v/>
      </c>
      <c r="K2098" s="10">
        <f>IF($A2098="","",IF($I2098=0,"",_xludf.AGGREGATE(14,6,Ventes_Encaissements!$C$6:$C$3005/(Ventes_Encaissements!$B$6:$B$3005=$A2098),1)))</f>
        <v/>
      </c>
      <c r="L2098" s="11">
        <f>IF($A2098="","",COUNTIFS(Ventes_Detail!$B$6:$B$3005,$A2098))</f>
        <v/>
      </c>
      <c r="M2098" s="12" t="n"/>
      <c r="N2098" s="12">
        <f>IF($A2098="","",IF($G2098="","",IF($M2098="Oui","Litige",IF($J2098&lt;=0,"Payé",IF($I2098&gt;0,"Partiel",IF(Listes!$B$3&gt;$G2098,"En retard","À échoir"))))))</f>
        <v/>
      </c>
      <c r="O2098" s="11">
        <f>IF($A2098="","",IF(OR($G2098="", $J2098&lt;=0),0,MAX(0,Listes!$B$3-$G2098)))</f>
        <v/>
      </c>
      <c r="P2098" s="12">
        <f>IF($A2098="","",IF($J2098&lt;=0,"Payé",IF($M2098="Oui","Litige",IF($O2098=0,"À échoir",IF($O2098&lt;=30,"0-30",IF($O2098&lt;=60,"31-60",IF($O2098&lt;=90,"61-90","90+")))))))</f>
        <v/>
      </c>
    </row>
    <row r="2099">
      <c r="A2099" s="6" t="n"/>
      <c r="B2099" s="6" t="n"/>
      <c r="C2099" s="6" t="n"/>
      <c r="D2099" s="6" t="n"/>
      <c r="E2099" s="6" t="n"/>
      <c r="F2099" s="7" t="n"/>
      <c r="G2099" s="7" t="n"/>
      <c r="H2099" s="8" t="n"/>
      <c r="I2099" s="9">
        <f>IF($A2099="","",SUMIFS(Ventes_Encaissements!$D$6:$D$3005,Ventes_Encaissements!$B$6:$B$3005,$A2099))</f>
        <v/>
      </c>
      <c r="J2099" s="9">
        <f>IF($A2099="","",$H2099-$I2099)</f>
        <v/>
      </c>
      <c r="K2099" s="10">
        <f>IF($A2099="","",IF($I2099=0,"",_xludf.AGGREGATE(14,6,Ventes_Encaissements!$C$6:$C$3005/(Ventes_Encaissements!$B$6:$B$3005=$A2099),1)))</f>
        <v/>
      </c>
      <c r="L2099" s="11">
        <f>IF($A2099="","",COUNTIFS(Ventes_Detail!$B$6:$B$3005,$A2099))</f>
        <v/>
      </c>
      <c r="M2099" s="12" t="n"/>
      <c r="N2099" s="12">
        <f>IF($A2099="","",IF($G2099="","",IF($M2099="Oui","Litige",IF($J2099&lt;=0,"Payé",IF($I2099&gt;0,"Partiel",IF(Listes!$B$3&gt;$G2099,"En retard","À échoir"))))))</f>
        <v/>
      </c>
      <c r="O2099" s="11">
        <f>IF($A2099="","",IF(OR($G2099="", $J2099&lt;=0),0,MAX(0,Listes!$B$3-$G2099)))</f>
        <v/>
      </c>
      <c r="P2099" s="12">
        <f>IF($A2099="","",IF($J2099&lt;=0,"Payé",IF($M2099="Oui","Litige",IF($O2099=0,"À échoir",IF($O2099&lt;=30,"0-30",IF($O2099&lt;=60,"31-60",IF($O2099&lt;=90,"61-90","90+")))))))</f>
        <v/>
      </c>
    </row>
    <row r="2100">
      <c r="A2100" s="6" t="n"/>
      <c r="B2100" s="6" t="n"/>
      <c r="C2100" s="6" t="n"/>
      <c r="D2100" s="6" t="n"/>
      <c r="E2100" s="6" t="n"/>
      <c r="F2100" s="7" t="n"/>
      <c r="G2100" s="7" t="n"/>
      <c r="H2100" s="8" t="n"/>
      <c r="I2100" s="9">
        <f>IF($A2100="","",SUMIFS(Ventes_Encaissements!$D$6:$D$3005,Ventes_Encaissements!$B$6:$B$3005,$A2100))</f>
        <v/>
      </c>
      <c r="J2100" s="9">
        <f>IF($A2100="","",$H2100-$I2100)</f>
        <v/>
      </c>
      <c r="K2100" s="10">
        <f>IF($A2100="","",IF($I2100=0,"",_xludf.AGGREGATE(14,6,Ventes_Encaissements!$C$6:$C$3005/(Ventes_Encaissements!$B$6:$B$3005=$A2100),1)))</f>
        <v/>
      </c>
      <c r="L2100" s="11">
        <f>IF($A2100="","",COUNTIFS(Ventes_Detail!$B$6:$B$3005,$A2100))</f>
        <v/>
      </c>
      <c r="M2100" s="12" t="n"/>
      <c r="N2100" s="12">
        <f>IF($A2100="","",IF($G2100="","",IF($M2100="Oui","Litige",IF($J2100&lt;=0,"Payé",IF($I2100&gt;0,"Partiel",IF(Listes!$B$3&gt;$G2100,"En retard","À échoir"))))))</f>
        <v/>
      </c>
      <c r="O2100" s="11">
        <f>IF($A2100="","",IF(OR($G2100="", $J2100&lt;=0),0,MAX(0,Listes!$B$3-$G2100)))</f>
        <v/>
      </c>
      <c r="P2100" s="12">
        <f>IF($A2100="","",IF($J2100&lt;=0,"Payé",IF($M2100="Oui","Litige",IF($O2100=0,"À échoir",IF($O2100&lt;=30,"0-30",IF($O2100&lt;=60,"31-60",IF($O2100&lt;=90,"61-90","90+")))))))</f>
        <v/>
      </c>
    </row>
    <row r="2101">
      <c r="A2101" s="6" t="n"/>
      <c r="B2101" s="6" t="n"/>
      <c r="C2101" s="6" t="n"/>
      <c r="D2101" s="6" t="n"/>
      <c r="E2101" s="6" t="n"/>
      <c r="F2101" s="7" t="n"/>
      <c r="G2101" s="7" t="n"/>
      <c r="H2101" s="8" t="n"/>
      <c r="I2101" s="9">
        <f>IF($A2101="","",SUMIFS(Ventes_Encaissements!$D$6:$D$3005,Ventes_Encaissements!$B$6:$B$3005,$A2101))</f>
        <v/>
      </c>
      <c r="J2101" s="9">
        <f>IF($A2101="","",$H2101-$I2101)</f>
        <v/>
      </c>
      <c r="K2101" s="10">
        <f>IF($A2101="","",IF($I2101=0,"",_xludf.AGGREGATE(14,6,Ventes_Encaissements!$C$6:$C$3005/(Ventes_Encaissements!$B$6:$B$3005=$A2101),1)))</f>
        <v/>
      </c>
      <c r="L2101" s="11">
        <f>IF($A2101="","",COUNTIFS(Ventes_Detail!$B$6:$B$3005,$A2101))</f>
        <v/>
      </c>
      <c r="M2101" s="12" t="n"/>
      <c r="N2101" s="12">
        <f>IF($A2101="","",IF($G2101="","",IF($M2101="Oui","Litige",IF($J2101&lt;=0,"Payé",IF($I2101&gt;0,"Partiel",IF(Listes!$B$3&gt;$G2101,"En retard","À échoir"))))))</f>
        <v/>
      </c>
      <c r="O2101" s="11">
        <f>IF($A2101="","",IF(OR($G2101="", $J2101&lt;=0),0,MAX(0,Listes!$B$3-$G2101)))</f>
        <v/>
      </c>
      <c r="P2101" s="12">
        <f>IF($A2101="","",IF($J2101&lt;=0,"Payé",IF($M2101="Oui","Litige",IF($O2101=0,"À échoir",IF($O2101&lt;=30,"0-30",IF($O2101&lt;=60,"31-60",IF($O2101&lt;=90,"61-90","90+")))))))</f>
        <v/>
      </c>
    </row>
    <row r="2102">
      <c r="A2102" s="6" t="n"/>
      <c r="B2102" s="6" t="n"/>
      <c r="C2102" s="6" t="n"/>
      <c r="D2102" s="6" t="n"/>
      <c r="E2102" s="6" t="n"/>
      <c r="F2102" s="7" t="n"/>
      <c r="G2102" s="7" t="n"/>
      <c r="H2102" s="8" t="n"/>
      <c r="I2102" s="9">
        <f>IF($A2102="","",SUMIFS(Ventes_Encaissements!$D$6:$D$3005,Ventes_Encaissements!$B$6:$B$3005,$A2102))</f>
        <v/>
      </c>
      <c r="J2102" s="9">
        <f>IF($A2102="","",$H2102-$I2102)</f>
        <v/>
      </c>
      <c r="K2102" s="10">
        <f>IF($A2102="","",IF($I2102=0,"",_xludf.AGGREGATE(14,6,Ventes_Encaissements!$C$6:$C$3005/(Ventes_Encaissements!$B$6:$B$3005=$A2102),1)))</f>
        <v/>
      </c>
      <c r="L2102" s="11">
        <f>IF($A2102="","",COUNTIFS(Ventes_Detail!$B$6:$B$3005,$A2102))</f>
        <v/>
      </c>
      <c r="M2102" s="12" t="n"/>
      <c r="N2102" s="12">
        <f>IF($A2102="","",IF($G2102="","",IF($M2102="Oui","Litige",IF($J2102&lt;=0,"Payé",IF($I2102&gt;0,"Partiel",IF(Listes!$B$3&gt;$G2102,"En retard","À échoir"))))))</f>
        <v/>
      </c>
      <c r="O2102" s="11">
        <f>IF($A2102="","",IF(OR($G2102="", $J2102&lt;=0),0,MAX(0,Listes!$B$3-$G2102)))</f>
        <v/>
      </c>
      <c r="P2102" s="12">
        <f>IF($A2102="","",IF($J2102&lt;=0,"Payé",IF($M2102="Oui","Litige",IF($O2102=0,"À échoir",IF($O2102&lt;=30,"0-30",IF($O2102&lt;=60,"31-60",IF($O2102&lt;=90,"61-90","90+")))))))</f>
        <v/>
      </c>
    </row>
    <row r="2103">
      <c r="A2103" s="6" t="n"/>
      <c r="B2103" s="6" t="n"/>
      <c r="C2103" s="6" t="n"/>
      <c r="D2103" s="6" t="n"/>
      <c r="E2103" s="6" t="n"/>
      <c r="F2103" s="7" t="n"/>
      <c r="G2103" s="7" t="n"/>
      <c r="H2103" s="8" t="n"/>
      <c r="I2103" s="9">
        <f>IF($A2103="","",SUMIFS(Ventes_Encaissements!$D$6:$D$3005,Ventes_Encaissements!$B$6:$B$3005,$A2103))</f>
        <v/>
      </c>
      <c r="J2103" s="9">
        <f>IF($A2103="","",$H2103-$I2103)</f>
        <v/>
      </c>
      <c r="K2103" s="10">
        <f>IF($A2103="","",IF($I2103=0,"",_xludf.AGGREGATE(14,6,Ventes_Encaissements!$C$6:$C$3005/(Ventes_Encaissements!$B$6:$B$3005=$A2103),1)))</f>
        <v/>
      </c>
      <c r="L2103" s="11">
        <f>IF($A2103="","",COUNTIFS(Ventes_Detail!$B$6:$B$3005,$A2103))</f>
        <v/>
      </c>
      <c r="M2103" s="12" t="n"/>
      <c r="N2103" s="12">
        <f>IF($A2103="","",IF($G2103="","",IF($M2103="Oui","Litige",IF($J2103&lt;=0,"Payé",IF($I2103&gt;0,"Partiel",IF(Listes!$B$3&gt;$G2103,"En retard","À échoir"))))))</f>
        <v/>
      </c>
      <c r="O2103" s="11">
        <f>IF($A2103="","",IF(OR($G2103="", $J2103&lt;=0),0,MAX(0,Listes!$B$3-$G2103)))</f>
        <v/>
      </c>
      <c r="P2103" s="12">
        <f>IF($A2103="","",IF($J2103&lt;=0,"Payé",IF($M2103="Oui","Litige",IF($O2103=0,"À échoir",IF($O2103&lt;=30,"0-30",IF($O2103&lt;=60,"31-60",IF($O2103&lt;=90,"61-90","90+")))))))</f>
        <v/>
      </c>
    </row>
    <row r="2104">
      <c r="A2104" s="6" t="n"/>
      <c r="B2104" s="6" t="n"/>
      <c r="C2104" s="6" t="n"/>
      <c r="D2104" s="6" t="n"/>
      <c r="E2104" s="6" t="n"/>
      <c r="F2104" s="7" t="n"/>
      <c r="G2104" s="7" t="n"/>
      <c r="H2104" s="8" t="n"/>
      <c r="I2104" s="9">
        <f>IF($A2104="","",SUMIFS(Ventes_Encaissements!$D$6:$D$3005,Ventes_Encaissements!$B$6:$B$3005,$A2104))</f>
        <v/>
      </c>
      <c r="J2104" s="9">
        <f>IF($A2104="","",$H2104-$I2104)</f>
        <v/>
      </c>
      <c r="K2104" s="10">
        <f>IF($A2104="","",IF($I2104=0,"",_xludf.AGGREGATE(14,6,Ventes_Encaissements!$C$6:$C$3005/(Ventes_Encaissements!$B$6:$B$3005=$A2104),1)))</f>
        <v/>
      </c>
      <c r="L2104" s="11">
        <f>IF($A2104="","",COUNTIFS(Ventes_Detail!$B$6:$B$3005,$A2104))</f>
        <v/>
      </c>
      <c r="M2104" s="12" t="n"/>
      <c r="N2104" s="12">
        <f>IF($A2104="","",IF($G2104="","",IF($M2104="Oui","Litige",IF($J2104&lt;=0,"Payé",IF($I2104&gt;0,"Partiel",IF(Listes!$B$3&gt;$G2104,"En retard","À échoir"))))))</f>
        <v/>
      </c>
      <c r="O2104" s="11">
        <f>IF($A2104="","",IF(OR($G2104="", $J2104&lt;=0),0,MAX(0,Listes!$B$3-$G2104)))</f>
        <v/>
      </c>
      <c r="P2104" s="12">
        <f>IF($A2104="","",IF($J2104&lt;=0,"Payé",IF($M2104="Oui","Litige",IF($O2104=0,"À échoir",IF($O2104&lt;=30,"0-30",IF($O2104&lt;=60,"31-60",IF($O2104&lt;=90,"61-90","90+")))))))</f>
        <v/>
      </c>
    </row>
    <row r="2105">
      <c r="A2105" s="6" t="n"/>
      <c r="B2105" s="6" t="n"/>
      <c r="C2105" s="6" t="n"/>
      <c r="D2105" s="6" t="n"/>
      <c r="E2105" s="6" t="n"/>
      <c r="F2105" s="7" t="n"/>
      <c r="G2105" s="7" t="n"/>
      <c r="H2105" s="8" t="n"/>
      <c r="I2105" s="9">
        <f>IF($A2105="","",SUMIFS(Ventes_Encaissements!$D$6:$D$3005,Ventes_Encaissements!$B$6:$B$3005,$A2105))</f>
        <v/>
      </c>
      <c r="J2105" s="9">
        <f>IF($A2105="","",$H2105-$I2105)</f>
        <v/>
      </c>
      <c r="K2105" s="10">
        <f>IF($A2105="","",IF($I2105=0,"",_xludf.AGGREGATE(14,6,Ventes_Encaissements!$C$6:$C$3005/(Ventes_Encaissements!$B$6:$B$3005=$A2105),1)))</f>
        <v/>
      </c>
      <c r="L2105" s="11">
        <f>IF($A2105="","",COUNTIFS(Ventes_Detail!$B$6:$B$3005,$A2105))</f>
        <v/>
      </c>
      <c r="M2105" s="12" t="n"/>
      <c r="N2105" s="12">
        <f>IF($A2105="","",IF($G2105="","",IF($M2105="Oui","Litige",IF($J2105&lt;=0,"Payé",IF($I2105&gt;0,"Partiel",IF(Listes!$B$3&gt;$G2105,"En retard","À échoir"))))))</f>
        <v/>
      </c>
      <c r="O2105" s="11">
        <f>IF($A2105="","",IF(OR($G2105="", $J2105&lt;=0),0,MAX(0,Listes!$B$3-$G2105)))</f>
        <v/>
      </c>
      <c r="P2105" s="12">
        <f>IF($A2105="","",IF($J2105&lt;=0,"Payé",IF($M2105="Oui","Litige",IF($O2105=0,"À échoir",IF($O2105&lt;=30,"0-30",IF($O2105&lt;=60,"31-60",IF($O2105&lt;=90,"61-90","90+")))))))</f>
        <v/>
      </c>
    </row>
    <row r="2106">
      <c r="A2106" s="6" t="n"/>
      <c r="B2106" s="6" t="n"/>
      <c r="C2106" s="6" t="n"/>
      <c r="D2106" s="6" t="n"/>
      <c r="E2106" s="6" t="n"/>
      <c r="F2106" s="7" t="n"/>
      <c r="G2106" s="7" t="n"/>
      <c r="H2106" s="8" t="n"/>
      <c r="I2106" s="9">
        <f>IF($A2106="","",SUMIFS(Ventes_Encaissements!$D$6:$D$3005,Ventes_Encaissements!$B$6:$B$3005,$A2106))</f>
        <v/>
      </c>
      <c r="J2106" s="9">
        <f>IF($A2106="","",$H2106-$I2106)</f>
        <v/>
      </c>
      <c r="K2106" s="10">
        <f>IF($A2106="","",IF($I2106=0,"",_xludf.AGGREGATE(14,6,Ventes_Encaissements!$C$6:$C$3005/(Ventes_Encaissements!$B$6:$B$3005=$A2106),1)))</f>
        <v/>
      </c>
      <c r="L2106" s="11">
        <f>IF($A2106="","",COUNTIFS(Ventes_Detail!$B$6:$B$3005,$A2106))</f>
        <v/>
      </c>
      <c r="M2106" s="12" t="n"/>
      <c r="N2106" s="12">
        <f>IF($A2106="","",IF($G2106="","",IF($M2106="Oui","Litige",IF($J2106&lt;=0,"Payé",IF($I2106&gt;0,"Partiel",IF(Listes!$B$3&gt;$G2106,"En retard","À échoir"))))))</f>
        <v/>
      </c>
      <c r="O2106" s="11">
        <f>IF($A2106="","",IF(OR($G2106="", $J2106&lt;=0),0,MAX(0,Listes!$B$3-$G2106)))</f>
        <v/>
      </c>
      <c r="P2106" s="12">
        <f>IF($A2106="","",IF($J2106&lt;=0,"Payé",IF($M2106="Oui","Litige",IF($O2106=0,"À échoir",IF($O2106&lt;=30,"0-30",IF($O2106&lt;=60,"31-60",IF($O2106&lt;=90,"61-90","90+")))))))</f>
        <v/>
      </c>
    </row>
    <row r="2107">
      <c r="A2107" s="6" t="n"/>
      <c r="B2107" s="6" t="n"/>
      <c r="C2107" s="6" t="n"/>
      <c r="D2107" s="6" t="n"/>
      <c r="E2107" s="6" t="n"/>
      <c r="F2107" s="7" t="n"/>
      <c r="G2107" s="7" t="n"/>
      <c r="H2107" s="8" t="n"/>
      <c r="I2107" s="9">
        <f>IF($A2107="","",SUMIFS(Ventes_Encaissements!$D$6:$D$3005,Ventes_Encaissements!$B$6:$B$3005,$A2107))</f>
        <v/>
      </c>
      <c r="J2107" s="9">
        <f>IF($A2107="","",$H2107-$I2107)</f>
        <v/>
      </c>
      <c r="K2107" s="10">
        <f>IF($A2107="","",IF($I2107=0,"",_xludf.AGGREGATE(14,6,Ventes_Encaissements!$C$6:$C$3005/(Ventes_Encaissements!$B$6:$B$3005=$A2107),1)))</f>
        <v/>
      </c>
      <c r="L2107" s="11">
        <f>IF($A2107="","",COUNTIFS(Ventes_Detail!$B$6:$B$3005,$A2107))</f>
        <v/>
      </c>
      <c r="M2107" s="12" t="n"/>
      <c r="N2107" s="12">
        <f>IF($A2107="","",IF($G2107="","",IF($M2107="Oui","Litige",IF($J2107&lt;=0,"Payé",IF($I2107&gt;0,"Partiel",IF(Listes!$B$3&gt;$G2107,"En retard","À échoir"))))))</f>
        <v/>
      </c>
      <c r="O2107" s="11">
        <f>IF($A2107="","",IF(OR($G2107="", $J2107&lt;=0),0,MAX(0,Listes!$B$3-$G2107)))</f>
        <v/>
      </c>
      <c r="P2107" s="12">
        <f>IF($A2107="","",IF($J2107&lt;=0,"Payé",IF($M2107="Oui","Litige",IF($O2107=0,"À échoir",IF($O2107&lt;=30,"0-30",IF($O2107&lt;=60,"31-60",IF($O2107&lt;=90,"61-90","90+")))))))</f>
        <v/>
      </c>
    </row>
    <row r="2108">
      <c r="A2108" s="6" t="n"/>
      <c r="B2108" s="6" t="n"/>
      <c r="C2108" s="6" t="n"/>
      <c r="D2108" s="6" t="n"/>
      <c r="E2108" s="6" t="n"/>
      <c r="F2108" s="7" t="n"/>
      <c r="G2108" s="7" t="n"/>
      <c r="H2108" s="8" t="n"/>
      <c r="I2108" s="9">
        <f>IF($A2108="","",SUMIFS(Ventes_Encaissements!$D$6:$D$3005,Ventes_Encaissements!$B$6:$B$3005,$A2108))</f>
        <v/>
      </c>
      <c r="J2108" s="9">
        <f>IF($A2108="","",$H2108-$I2108)</f>
        <v/>
      </c>
      <c r="K2108" s="10">
        <f>IF($A2108="","",IF($I2108=0,"",_xludf.AGGREGATE(14,6,Ventes_Encaissements!$C$6:$C$3005/(Ventes_Encaissements!$B$6:$B$3005=$A2108),1)))</f>
        <v/>
      </c>
      <c r="L2108" s="11">
        <f>IF($A2108="","",COUNTIFS(Ventes_Detail!$B$6:$B$3005,$A2108))</f>
        <v/>
      </c>
      <c r="M2108" s="12" t="n"/>
      <c r="N2108" s="12">
        <f>IF($A2108="","",IF($G2108="","",IF($M2108="Oui","Litige",IF($J2108&lt;=0,"Payé",IF($I2108&gt;0,"Partiel",IF(Listes!$B$3&gt;$G2108,"En retard","À échoir"))))))</f>
        <v/>
      </c>
      <c r="O2108" s="11">
        <f>IF($A2108="","",IF(OR($G2108="", $J2108&lt;=0),0,MAX(0,Listes!$B$3-$G2108)))</f>
        <v/>
      </c>
      <c r="P2108" s="12">
        <f>IF($A2108="","",IF($J2108&lt;=0,"Payé",IF($M2108="Oui","Litige",IF($O2108=0,"À échoir",IF($O2108&lt;=30,"0-30",IF($O2108&lt;=60,"31-60",IF($O2108&lt;=90,"61-90","90+")))))))</f>
        <v/>
      </c>
    </row>
    <row r="2109">
      <c r="A2109" s="6" t="n"/>
      <c r="B2109" s="6" t="n"/>
      <c r="C2109" s="6" t="n"/>
      <c r="D2109" s="6" t="n"/>
      <c r="E2109" s="6" t="n"/>
      <c r="F2109" s="7" t="n"/>
      <c r="G2109" s="7" t="n"/>
      <c r="H2109" s="8" t="n"/>
      <c r="I2109" s="9">
        <f>IF($A2109="","",SUMIFS(Ventes_Encaissements!$D$6:$D$3005,Ventes_Encaissements!$B$6:$B$3005,$A2109))</f>
        <v/>
      </c>
      <c r="J2109" s="9">
        <f>IF($A2109="","",$H2109-$I2109)</f>
        <v/>
      </c>
      <c r="K2109" s="10">
        <f>IF($A2109="","",IF($I2109=0,"",_xludf.AGGREGATE(14,6,Ventes_Encaissements!$C$6:$C$3005/(Ventes_Encaissements!$B$6:$B$3005=$A2109),1)))</f>
        <v/>
      </c>
      <c r="L2109" s="11">
        <f>IF($A2109="","",COUNTIFS(Ventes_Detail!$B$6:$B$3005,$A2109))</f>
        <v/>
      </c>
      <c r="M2109" s="12" t="n"/>
      <c r="N2109" s="12">
        <f>IF($A2109="","",IF($G2109="","",IF($M2109="Oui","Litige",IF($J2109&lt;=0,"Payé",IF($I2109&gt;0,"Partiel",IF(Listes!$B$3&gt;$G2109,"En retard","À échoir"))))))</f>
        <v/>
      </c>
      <c r="O2109" s="11">
        <f>IF($A2109="","",IF(OR($G2109="", $J2109&lt;=0),0,MAX(0,Listes!$B$3-$G2109)))</f>
        <v/>
      </c>
      <c r="P2109" s="12">
        <f>IF($A2109="","",IF($J2109&lt;=0,"Payé",IF($M2109="Oui","Litige",IF($O2109=0,"À échoir",IF($O2109&lt;=30,"0-30",IF($O2109&lt;=60,"31-60",IF($O2109&lt;=90,"61-90","90+")))))))</f>
        <v/>
      </c>
    </row>
    <row r="2110">
      <c r="A2110" s="6" t="n"/>
      <c r="B2110" s="6" t="n"/>
      <c r="C2110" s="6" t="n"/>
      <c r="D2110" s="6" t="n"/>
      <c r="E2110" s="6" t="n"/>
      <c r="F2110" s="7" t="n"/>
      <c r="G2110" s="7" t="n"/>
      <c r="H2110" s="8" t="n"/>
      <c r="I2110" s="9">
        <f>IF($A2110="","",SUMIFS(Ventes_Encaissements!$D$6:$D$3005,Ventes_Encaissements!$B$6:$B$3005,$A2110))</f>
        <v/>
      </c>
      <c r="J2110" s="9">
        <f>IF($A2110="","",$H2110-$I2110)</f>
        <v/>
      </c>
      <c r="K2110" s="10">
        <f>IF($A2110="","",IF($I2110=0,"",_xludf.AGGREGATE(14,6,Ventes_Encaissements!$C$6:$C$3005/(Ventes_Encaissements!$B$6:$B$3005=$A2110),1)))</f>
        <v/>
      </c>
      <c r="L2110" s="11">
        <f>IF($A2110="","",COUNTIFS(Ventes_Detail!$B$6:$B$3005,$A2110))</f>
        <v/>
      </c>
      <c r="M2110" s="12" t="n"/>
      <c r="N2110" s="12">
        <f>IF($A2110="","",IF($G2110="","",IF($M2110="Oui","Litige",IF($J2110&lt;=0,"Payé",IF($I2110&gt;0,"Partiel",IF(Listes!$B$3&gt;$G2110,"En retard","À échoir"))))))</f>
        <v/>
      </c>
      <c r="O2110" s="11">
        <f>IF($A2110="","",IF(OR($G2110="", $J2110&lt;=0),0,MAX(0,Listes!$B$3-$G2110)))</f>
        <v/>
      </c>
      <c r="P2110" s="12">
        <f>IF($A2110="","",IF($J2110&lt;=0,"Payé",IF($M2110="Oui","Litige",IF($O2110=0,"À échoir",IF($O2110&lt;=30,"0-30",IF($O2110&lt;=60,"31-60",IF($O2110&lt;=90,"61-90","90+")))))))</f>
        <v/>
      </c>
    </row>
    <row r="2111">
      <c r="A2111" s="6" t="n"/>
      <c r="B2111" s="6" t="n"/>
      <c r="C2111" s="6" t="n"/>
      <c r="D2111" s="6" t="n"/>
      <c r="E2111" s="6" t="n"/>
      <c r="F2111" s="7" t="n"/>
      <c r="G2111" s="7" t="n"/>
      <c r="H2111" s="8" t="n"/>
      <c r="I2111" s="9">
        <f>IF($A2111="","",SUMIFS(Ventes_Encaissements!$D$6:$D$3005,Ventes_Encaissements!$B$6:$B$3005,$A2111))</f>
        <v/>
      </c>
      <c r="J2111" s="9">
        <f>IF($A2111="","",$H2111-$I2111)</f>
        <v/>
      </c>
      <c r="K2111" s="10">
        <f>IF($A2111="","",IF($I2111=0,"",_xludf.AGGREGATE(14,6,Ventes_Encaissements!$C$6:$C$3005/(Ventes_Encaissements!$B$6:$B$3005=$A2111),1)))</f>
        <v/>
      </c>
      <c r="L2111" s="11">
        <f>IF($A2111="","",COUNTIFS(Ventes_Detail!$B$6:$B$3005,$A2111))</f>
        <v/>
      </c>
      <c r="M2111" s="12" t="n"/>
      <c r="N2111" s="12">
        <f>IF($A2111="","",IF($G2111="","",IF($M2111="Oui","Litige",IF($J2111&lt;=0,"Payé",IF($I2111&gt;0,"Partiel",IF(Listes!$B$3&gt;$G2111,"En retard","À échoir"))))))</f>
        <v/>
      </c>
      <c r="O2111" s="11">
        <f>IF($A2111="","",IF(OR($G2111="", $J2111&lt;=0),0,MAX(0,Listes!$B$3-$G2111)))</f>
        <v/>
      </c>
      <c r="P2111" s="12">
        <f>IF($A2111="","",IF($J2111&lt;=0,"Payé",IF($M2111="Oui","Litige",IF($O2111=0,"À échoir",IF($O2111&lt;=30,"0-30",IF($O2111&lt;=60,"31-60",IF($O2111&lt;=90,"61-90","90+")))))))</f>
        <v/>
      </c>
    </row>
    <row r="2112">
      <c r="A2112" s="6" t="n"/>
      <c r="B2112" s="6" t="n"/>
      <c r="C2112" s="6" t="n"/>
      <c r="D2112" s="6" t="n"/>
      <c r="E2112" s="6" t="n"/>
      <c r="F2112" s="7" t="n"/>
      <c r="G2112" s="7" t="n"/>
      <c r="H2112" s="8" t="n"/>
      <c r="I2112" s="9">
        <f>IF($A2112="","",SUMIFS(Ventes_Encaissements!$D$6:$D$3005,Ventes_Encaissements!$B$6:$B$3005,$A2112))</f>
        <v/>
      </c>
      <c r="J2112" s="9">
        <f>IF($A2112="","",$H2112-$I2112)</f>
        <v/>
      </c>
      <c r="K2112" s="10">
        <f>IF($A2112="","",IF($I2112=0,"",_xludf.AGGREGATE(14,6,Ventes_Encaissements!$C$6:$C$3005/(Ventes_Encaissements!$B$6:$B$3005=$A2112),1)))</f>
        <v/>
      </c>
      <c r="L2112" s="11">
        <f>IF($A2112="","",COUNTIFS(Ventes_Detail!$B$6:$B$3005,$A2112))</f>
        <v/>
      </c>
      <c r="M2112" s="12" t="n"/>
      <c r="N2112" s="12">
        <f>IF($A2112="","",IF($G2112="","",IF($M2112="Oui","Litige",IF($J2112&lt;=0,"Payé",IF($I2112&gt;0,"Partiel",IF(Listes!$B$3&gt;$G2112,"En retard","À échoir"))))))</f>
        <v/>
      </c>
      <c r="O2112" s="11">
        <f>IF($A2112="","",IF(OR($G2112="", $J2112&lt;=0),0,MAX(0,Listes!$B$3-$G2112)))</f>
        <v/>
      </c>
      <c r="P2112" s="12">
        <f>IF($A2112="","",IF($J2112&lt;=0,"Payé",IF($M2112="Oui","Litige",IF($O2112=0,"À échoir",IF($O2112&lt;=30,"0-30",IF($O2112&lt;=60,"31-60",IF($O2112&lt;=90,"61-90","90+")))))))</f>
        <v/>
      </c>
    </row>
    <row r="2113">
      <c r="A2113" s="6" t="n"/>
      <c r="B2113" s="6" t="n"/>
      <c r="C2113" s="6" t="n"/>
      <c r="D2113" s="6" t="n"/>
      <c r="E2113" s="6" t="n"/>
      <c r="F2113" s="7" t="n"/>
      <c r="G2113" s="7" t="n"/>
      <c r="H2113" s="8" t="n"/>
      <c r="I2113" s="9">
        <f>IF($A2113="","",SUMIFS(Ventes_Encaissements!$D$6:$D$3005,Ventes_Encaissements!$B$6:$B$3005,$A2113))</f>
        <v/>
      </c>
      <c r="J2113" s="9">
        <f>IF($A2113="","",$H2113-$I2113)</f>
        <v/>
      </c>
      <c r="K2113" s="10">
        <f>IF($A2113="","",IF($I2113=0,"",_xludf.AGGREGATE(14,6,Ventes_Encaissements!$C$6:$C$3005/(Ventes_Encaissements!$B$6:$B$3005=$A2113),1)))</f>
        <v/>
      </c>
      <c r="L2113" s="11">
        <f>IF($A2113="","",COUNTIFS(Ventes_Detail!$B$6:$B$3005,$A2113))</f>
        <v/>
      </c>
      <c r="M2113" s="12" t="n"/>
      <c r="N2113" s="12">
        <f>IF($A2113="","",IF($G2113="","",IF($M2113="Oui","Litige",IF($J2113&lt;=0,"Payé",IF($I2113&gt;0,"Partiel",IF(Listes!$B$3&gt;$G2113,"En retard","À échoir"))))))</f>
        <v/>
      </c>
      <c r="O2113" s="11">
        <f>IF($A2113="","",IF(OR($G2113="", $J2113&lt;=0),0,MAX(0,Listes!$B$3-$G2113)))</f>
        <v/>
      </c>
      <c r="P2113" s="12">
        <f>IF($A2113="","",IF($J2113&lt;=0,"Payé",IF($M2113="Oui","Litige",IF($O2113=0,"À échoir",IF($O2113&lt;=30,"0-30",IF($O2113&lt;=60,"31-60",IF($O2113&lt;=90,"61-90","90+")))))))</f>
        <v/>
      </c>
    </row>
    <row r="2114">
      <c r="A2114" s="6" t="n"/>
      <c r="B2114" s="6" t="n"/>
      <c r="C2114" s="6" t="n"/>
      <c r="D2114" s="6" t="n"/>
      <c r="E2114" s="6" t="n"/>
      <c r="F2114" s="7" t="n"/>
      <c r="G2114" s="7" t="n"/>
      <c r="H2114" s="8" t="n"/>
      <c r="I2114" s="9">
        <f>IF($A2114="","",SUMIFS(Ventes_Encaissements!$D$6:$D$3005,Ventes_Encaissements!$B$6:$B$3005,$A2114))</f>
        <v/>
      </c>
      <c r="J2114" s="9">
        <f>IF($A2114="","",$H2114-$I2114)</f>
        <v/>
      </c>
      <c r="K2114" s="10">
        <f>IF($A2114="","",IF($I2114=0,"",_xludf.AGGREGATE(14,6,Ventes_Encaissements!$C$6:$C$3005/(Ventes_Encaissements!$B$6:$B$3005=$A2114),1)))</f>
        <v/>
      </c>
      <c r="L2114" s="11">
        <f>IF($A2114="","",COUNTIFS(Ventes_Detail!$B$6:$B$3005,$A2114))</f>
        <v/>
      </c>
      <c r="M2114" s="12" t="n"/>
      <c r="N2114" s="12">
        <f>IF($A2114="","",IF($G2114="","",IF($M2114="Oui","Litige",IF($J2114&lt;=0,"Payé",IF($I2114&gt;0,"Partiel",IF(Listes!$B$3&gt;$G2114,"En retard","À échoir"))))))</f>
        <v/>
      </c>
      <c r="O2114" s="11">
        <f>IF($A2114="","",IF(OR($G2114="", $J2114&lt;=0),0,MAX(0,Listes!$B$3-$G2114)))</f>
        <v/>
      </c>
      <c r="P2114" s="12">
        <f>IF($A2114="","",IF($J2114&lt;=0,"Payé",IF($M2114="Oui","Litige",IF($O2114=0,"À échoir",IF($O2114&lt;=30,"0-30",IF($O2114&lt;=60,"31-60",IF($O2114&lt;=90,"61-90","90+")))))))</f>
        <v/>
      </c>
    </row>
    <row r="2115">
      <c r="A2115" s="6" t="n"/>
      <c r="B2115" s="6" t="n"/>
      <c r="C2115" s="6" t="n"/>
      <c r="D2115" s="6" t="n"/>
      <c r="E2115" s="6" t="n"/>
      <c r="F2115" s="7" t="n"/>
      <c r="G2115" s="7" t="n"/>
      <c r="H2115" s="8" t="n"/>
      <c r="I2115" s="9">
        <f>IF($A2115="","",SUMIFS(Ventes_Encaissements!$D$6:$D$3005,Ventes_Encaissements!$B$6:$B$3005,$A2115))</f>
        <v/>
      </c>
      <c r="J2115" s="9">
        <f>IF($A2115="","",$H2115-$I2115)</f>
        <v/>
      </c>
      <c r="K2115" s="10">
        <f>IF($A2115="","",IF($I2115=0,"",_xludf.AGGREGATE(14,6,Ventes_Encaissements!$C$6:$C$3005/(Ventes_Encaissements!$B$6:$B$3005=$A2115),1)))</f>
        <v/>
      </c>
      <c r="L2115" s="11">
        <f>IF($A2115="","",COUNTIFS(Ventes_Detail!$B$6:$B$3005,$A2115))</f>
        <v/>
      </c>
      <c r="M2115" s="12" t="n"/>
      <c r="N2115" s="12">
        <f>IF($A2115="","",IF($G2115="","",IF($M2115="Oui","Litige",IF($J2115&lt;=0,"Payé",IF($I2115&gt;0,"Partiel",IF(Listes!$B$3&gt;$G2115,"En retard","À échoir"))))))</f>
        <v/>
      </c>
      <c r="O2115" s="11">
        <f>IF($A2115="","",IF(OR($G2115="", $J2115&lt;=0),0,MAX(0,Listes!$B$3-$G2115)))</f>
        <v/>
      </c>
      <c r="P2115" s="12">
        <f>IF($A2115="","",IF($J2115&lt;=0,"Payé",IF($M2115="Oui","Litige",IF($O2115=0,"À échoir",IF($O2115&lt;=30,"0-30",IF($O2115&lt;=60,"31-60",IF($O2115&lt;=90,"61-90","90+")))))))</f>
        <v/>
      </c>
    </row>
    <row r="2116">
      <c r="A2116" s="6" t="n"/>
      <c r="B2116" s="6" t="n"/>
      <c r="C2116" s="6" t="n"/>
      <c r="D2116" s="6" t="n"/>
      <c r="E2116" s="6" t="n"/>
      <c r="F2116" s="7" t="n"/>
      <c r="G2116" s="7" t="n"/>
      <c r="H2116" s="8" t="n"/>
      <c r="I2116" s="9">
        <f>IF($A2116="","",SUMIFS(Ventes_Encaissements!$D$6:$D$3005,Ventes_Encaissements!$B$6:$B$3005,$A2116))</f>
        <v/>
      </c>
      <c r="J2116" s="9">
        <f>IF($A2116="","",$H2116-$I2116)</f>
        <v/>
      </c>
      <c r="K2116" s="10">
        <f>IF($A2116="","",IF($I2116=0,"",_xludf.AGGREGATE(14,6,Ventes_Encaissements!$C$6:$C$3005/(Ventes_Encaissements!$B$6:$B$3005=$A2116),1)))</f>
        <v/>
      </c>
      <c r="L2116" s="11">
        <f>IF($A2116="","",COUNTIFS(Ventes_Detail!$B$6:$B$3005,$A2116))</f>
        <v/>
      </c>
      <c r="M2116" s="12" t="n"/>
      <c r="N2116" s="12">
        <f>IF($A2116="","",IF($G2116="","",IF($M2116="Oui","Litige",IF($J2116&lt;=0,"Payé",IF($I2116&gt;0,"Partiel",IF(Listes!$B$3&gt;$G2116,"En retard","À échoir"))))))</f>
        <v/>
      </c>
      <c r="O2116" s="11">
        <f>IF($A2116="","",IF(OR($G2116="", $J2116&lt;=0),0,MAX(0,Listes!$B$3-$G2116)))</f>
        <v/>
      </c>
      <c r="P2116" s="12">
        <f>IF($A2116="","",IF($J2116&lt;=0,"Payé",IF($M2116="Oui","Litige",IF($O2116=0,"À échoir",IF($O2116&lt;=30,"0-30",IF($O2116&lt;=60,"31-60",IF($O2116&lt;=90,"61-90","90+")))))))</f>
        <v/>
      </c>
    </row>
    <row r="2117">
      <c r="A2117" s="6" t="n"/>
      <c r="B2117" s="6" t="n"/>
      <c r="C2117" s="6" t="n"/>
      <c r="D2117" s="6" t="n"/>
      <c r="E2117" s="6" t="n"/>
      <c r="F2117" s="7" t="n"/>
      <c r="G2117" s="7" t="n"/>
      <c r="H2117" s="8" t="n"/>
      <c r="I2117" s="9">
        <f>IF($A2117="","",SUMIFS(Ventes_Encaissements!$D$6:$D$3005,Ventes_Encaissements!$B$6:$B$3005,$A2117))</f>
        <v/>
      </c>
      <c r="J2117" s="9">
        <f>IF($A2117="","",$H2117-$I2117)</f>
        <v/>
      </c>
      <c r="K2117" s="10">
        <f>IF($A2117="","",IF($I2117=0,"",_xludf.AGGREGATE(14,6,Ventes_Encaissements!$C$6:$C$3005/(Ventes_Encaissements!$B$6:$B$3005=$A2117),1)))</f>
        <v/>
      </c>
      <c r="L2117" s="11">
        <f>IF($A2117="","",COUNTIFS(Ventes_Detail!$B$6:$B$3005,$A2117))</f>
        <v/>
      </c>
      <c r="M2117" s="12" t="n"/>
      <c r="N2117" s="12">
        <f>IF($A2117="","",IF($G2117="","",IF($M2117="Oui","Litige",IF($J2117&lt;=0,"Payé",IF($I2117&gt;0,"Partiel",IF(Listes!$B$3&gt;$G2117,"En retard","À échoir"))))))</f>
        <v/>
      </c>
      <c r="O2117" s="11">
        <f>IF($A2117="","",IF(OR($G2117="", $J2117&lt;=0),0,MAX(0,Listes!$B$3-$G2117)))</f>
        <v/>
      </c>
      <c r="P2117" s="12">
        <f>IF($A2117="","",IF($J2117&lt;=0,"Payé",IF($M2117="Oui","Litige",IF($O2117=0,"À échoir",IF($O2117&lt;=30,"0-30",IF($O2117&lt;=60,"31-60",IF($O2117&lt;=90,"61-90","90+")))))))</f>
        <v/>
      </c>
    </row>
    <row r="2118">
      <c r="A2118" s="6" t="n"/>
      <c r="B2118" s="6" t="n"/>
      <c r="C2118" s="6" t="n"/>
      <c r="D2118" s="6" t="n"/>
      <c r="E2118" s="6" t="n"/>
      <c r="F2118" s="7" t="n"/>
      <c r="G2118" s="7" t="n"/>
      <c r="H2118" s="8" t="n"/>
      <c r="I2118" s="9">
        <f>IF($A2118="","",SUMIFS(Ventes_Encaissements!$D$6:$D$3005,Ventes_Encaissements!$B$6:$B$3005,$A2118))</f>
        <v/>
      </c>
      <c r="J2118" s="9">
        <f>IF($A2118="","",$H2118-$I2118)</f>
        <v/>
      </c>
      <c r="K2118" s="10">
        <f>IF($A2118="","",IF($I2118=0,"",_xludf.AGGREGATE(14,6,Ventes_Encaissements!$C$6:$C$3005/(Ventes_Encaissements!$B$6:$B$3005=$A2118),1)))</f>
        <v/>
      </c>
      <c r="L2118" s="11">
        <f>IF($A2118="","",COUNTIFS(Ventes_Detail!$B$6:$B$3005,$A2118))</f>
        <v/>
      </c>
      <c r="M2118" s="12" t="n"/>
      <c r="N2118" s="12">
        <f>IF($A2118="","",IF($G2118="","",IF($M2118="Oui","Litige",IF($J2118&lt;=0,"Payé",IF($I2118&gt;0,"Partiel",IF(Listes!$B$3&gt;$G2118,"En retard","À échoir"))))))</f>
        <v/>
      </c>
      <c r="O2118" s="11">
        <f>IF($A2118="","",IF(OR($G2118="", $J2118&lt;=0),0,MAX(0,Listes!$B$3-$G2118)))</f>
        <v/>
      </c>
      <c r="P2118" s="12">
        <f>IF($A2118="","",IF($J2118&lt;=0,"Payé",IF($M2118="Oui","Litige",IF($O2118=0,"À échoir",IF($O2118&lt;=30,"0-30",IF($O2118&lt;=60,"31-60",IF($O2118&lt;=90,"61-90","90+")))))))</f>
        <v/>
      </c>
    </row>
    <row r="2119">
      <c r="A2119" s="6" t="n"/>
      <c r="B2119" s="6" t="n"/>
      <c r="C2119" s="6" t="n"/>
      <c r="D2119" s="6" t="n"/>
      <c r="E2119" s="6" t="n"/>
      <c r="F2119" s="7" t="n"/>
      <c r="G2119" s="7" t="n"/>
      <c r="H2119" s="8" t="n"/>
      <c r="I2119" s="9">
        <f>IF($A2119="","",SUMIFS(Ventes_Encaissements!$D$6:$D$3005,Ventes_Encaissements!$B$6:$B$3005,$A2119))</f>
        <v/>
      </c>
      <c r="J2119" s="9">
        <f>IF($A2119="","",$H2119-$I2119)</f>
        <v/>
      </c>
      <c r="K2119" s="10">
        <f>IF($A2119="","",IF($I2119=0,"",_xludf.AGGREGATE(14,6,Ventes_Encaissements!$C$6:$C$3005/(Ventes_Encaissements!$B$6:$B$3005=$A2119),1)))</f>
        <v/>
      </c>
      <c r="L2119" s="11">
        <f>IF($A2119="","",COUNTIFS(Ventes_Detail!$B$6:$B$3005,$A2119))</f>
        <v/>
      </c>
      <c r="M2119" s="12" t="n"/>
      <c r="N2119" s="12">
        <f>IF($A2119="","",IF($G2119="","",IF($M2119="Oui","Litige",IF($J2119&lt;=0,"Payé",IF($I2119&gt;0,"Partiel",IF(Listes!$B$3&gt;$G2119,"En retard","À échoir"))))))</f>
        <v/>
      </c>
      <c r="O2119" s="11">
        <f>IF($A2119="","",IF(OR($G2119="", $J2119&lt;=0),0,MAX(0,Listes!$B$3-$G2119)))</f>
        <v/>
      </c>
      <c r="P2119" s="12">
        <f>IF($A2119="","",IF($J2119&lt;=0,"Payé",IF($M2119="Oui","Litige",IF($O2119=0,"À échoir",IF($O2119&lt;=30,"0-30",IF($O2119&lt;=60,"31-60",IF($O2119&lt;=90,"61-90","90+")))))))</f>
        <v/>
      </c>
    </row>
    <row r="2120">
      <c r="A2120" s="6" t="n"/>
      <c r="B2120" s="6" t="n"/>
      <c r="C2120" s="6" t="n"/>
      <c r="D2120" s="6" t="n"/>
      <c r="E2120" s="6" t="n"/>
      <c r="F2120" s="7" t="n"/>
      <c r="G2120" s="7" t="n"/>
      <c r="H2120" s="8" t="n"/>
      <c r="I2120" s="9">
        <f>IF($A2120="","",SUMIFS(Ventes_Encaissements!$D$6:$D$3005,Ventes_Encaissements!$B$6:$B$3005,$A2120))</f>
        <v/>
      </c>
      <c r="J2120" s="9">
        <f>IF($A2120="","",$H2120-$I2120)</f>
        <v/>
      </c>
      <c r="K2120" s="10">
        <f>IF($A2120="","",IF($I2120=0,"",_xludf.AGGREGATE(14,6,Ventes_Encaissements!$C$6:$C$3005/(Ventes_Encaissements!$B$6:$B$3005=$A2120),1)))</f>
        <v/>
      </c>
      <c r="L2120" s="11">
        <f>IF($A2120="","",COUNTIFS(Ventes_Detail!$B$6:$B$3005,$A2120))</f>
        <v/>
      </c>
      <c r="M2120" s="12" t="n"/>
      <c r="N2120" s="12">
        <f>IF($A2120="","",IF($G2120="","",IF($M2120="Oui","Litige",IF($J2120&lt;=0,"Payé",IF($I2120&gt;0,"Partiel",IF(Listes!$B$3&gt;$G2120,"En retard","À échoir"))))))</f>
        <v/>
      </c>
      <c r="O2120" s="11">
        <f>IF($A2120="","",IF(OR($G2120="", $J2120&lt;=0),0,MAX(0,Listes!$B$3-$G2120)))</f>
        <v/>
      </c>
      <c r="P2120" s="12">
        <f>IF($A2120="","",IF($J2120&lt;=0,"Payé",IF($M2120="Oui","Litige",IF($O2120=0,"À échoir",IF($O2120&lt;=30,"0-30",IF($O2120&lt;=60,"31-60",IF($O2120&lt;=90,"61-90","90+")))))))</f>
        <v/>
      </c>
    </row>
    <row r="2121">
      <c r="A2121" s="6" t="n"/>
      <c r="B2121" s="6" t="n"/>
      <c r="C2121" s="6" t="n"/>
      <c r="D2121" s="6" t="n"/>
      <c r="E2121" s="6" t="n"/>
      <c r="F2121" s="7" t="n"/>
      <c r="G2121" s="7" t="n"/>
      <c r="H2121" s="8" t="n"/>
      <c r="I2121" s="9">
        <f>IF($A2121="","",SUMIFS(Ventes_Encaissements!$D$6:$D$3005,Ventes_Encaissements!$B$6:$B$3005,$A2121))</f>
        <v/>
      </c>
      <c r="J2121" s="9">
        <f>IF($A2121="","",$H2121-$I2121)</f>
        <v/>
      </c>
      <c r="K2121" s="10">
        <f>IF($A2121="","",IF($I2121=0,"",_xludf.AGGREGATE(14,6,Ventes_Encaissements!$C$6:$C$3005/(Ventes_Encaissements!$B$6:$B$3005=$A2121),1)))</f>
        <v/>
      </c>
      <c r="L2121" s="11">
        <f>IF($A2121="","",COUNTIFS(Ventes_Detail!$B$6:$B$3005,$A2121))</f>
        <v/>
      </c>
      <c r="M2121" s="12" t="n"/>
      <c r="N2121" s="12">
        <f>IF($A2121="","",IF($G2121="","",IF($M2121="Oui","Litige",IF($J2121&lt;=0,"Payé",IF($I2121&gt;0,"Partiel",IF(Listes!$B$3&gt;$G2121,"En retard","À échoir"))))))</f>
        <v/>
      </c>
      <c r="O2121" s="11">
        <f>IF($A2121="","",IF(OR($G2121="", $J2121&lt;=0),0,MAX(0,Listes!$B$3-$G2121)))</f>
        <v/>
      </c>
      <c r="P2121" s="12">
        <f>IF($A2121="","",IF($J2121&lt;=0,"Payé",IF($M2121="Oui","Litige",IF($O2121=0,"À échoir",IF($O2121&lt;=30,"0-30",IF($O2121&lt;=60,"31-60",IF($O2121&lt;=90,"61-90","90+")))))))</f>
        <v/>
      </c>
    </row>
    <row r="2122">
      <c r="A2122" s="6" t="n"/>
      <c r="B2122" s="6" t="n"/>
      <c r="C2122" s="6" t="n"/>
      <c r="D2122" s="6" t="n"/>
      <c r="E2122" s="6" t="n"/>
      <c r="F2122" s="7" t="n"/>
      <c r="G2122" s="7" t="n"/>
      <c r="H2122" s="8" t="n"/>
      <c r="I2122" s="9">
        <f>IF($A2122="","",SUMIFS(Ventes_Encaissements!$D$6:$D$3005,Ventes_Encaissements!$B$6:$B$3005,$A2122))</f>
        <v/>
      </c>
      <c r="J2122" s="9">
        <f>IF($A2122="","",$H2122-$I2122)</f>
        <v/>
      </c>
      <c r="K2122" s="10">
        <f>IF($A2122="","",IF($I2122=0,"",_xludf.AGGREGATE(14,6,Ventes_Encaissements!$C$6:$C$3005/(Ventes_Encaissements!$B$6:$B$3005=$A2122),1)))</f>
        <v/>
      </c>
      <c r="L2122" s="11">
        <f>IF($A2122="","",COUNTIFS(Ventes_Detail!$B$6:$B$3005,$A2122))</f>
        <v/>
      </c>
      <c r="M2122" s="12" t="n"/>
      <c r="N2122" s="12">
        <f>IF($A2122="","",IF($G2122="","",IF($M2122="Oui","Litige",IF($J2122&lt;=0,"Payé",IF($I2122&gt;0,"Partiel",IF(Listes!$B$3&gt;$G2122,"En retard","À échoir"))))))</f>
        <v/>
      </c>
      <c r="O2122" s="11">
        <f>IF($A2122="","",IF(OR($G2122="", $J2122&lt;=0),0,MAX(0,Listes!$B$3-$G2122)))</f>
        <v/>
      </c>
      <c r="P2122" s="12">
        <f>IF($A2122="","",IF($J2122&lt;=0,"Payé",IF($M2122="Oui","Litige",IF($O2122=0,"À échoir",IF($O2122&lt;=30,"0-30",IF($O2122&lt;=60,"31-60",IF($O2122&lt;=90,"61-90","90+")))))))</f>
        <v/>
      </c>
    </row>
    <row r="2123">
      <c r="A2123" s="6" t="n"/>
      <c r="B2123" s="6" t="n"/>
      <c r="C2123" s="6" t="n"/>
      <c r="D2123" s="6" t="n"/>
      <c r="E2123" s="6" t="n"/>
      <c r="F2123" s="7" t="n"/>
      <c r="G2123" s="7" t="n"/>
      <c r="H2123" s="8" t="n"/>
      <c r="I2123" s="9">
        <f>IF($A2123="","",SUMIFS(Ventes_Encaissements!$D$6:$D$3005,Ventes_Encaissements!$B$6:$B$3005,$A2123))</f>
        <v/>
      </c>
      <c r="J2123" s="9">
        <f>IF($A2123="","",$H2123-$I2123)</f>
        <v/>
      </c>
      <c r="K2123" s="10">
        <f>IF($A2123="","",IF($I2123=0,"",_xludf.AGGREGATE(14,6,Ventes_Encaissements!$C$6:$C$3005/(Ventes_Encaissements!$B$6:$B$3005=$A2123),1)))</f>
        <v/>
      </c>
      <c r="L2123" s="11">
        <f>IF($A2123="","",COUNTIFS(Ventes_Detail!$B$6:$B$3005,$A2123))</f>
        <v/>
      </c>
      <c r="M2123" s="12" t="n"/>
      <c r="N2123" s="12">
        <f>IF($A2123="","",IF($G2123="","",IF($M2123="Oui","Litige",IF($J2123&lt;=0,"Payé",IF($I2123&gt;0,"Partiel",IF(Listes!$B$3&gt;$G2123,"En retard","À échoir"))))))</f>
        <v/>
      </c>
      <c r="O2123" s="11">
        <f>IF($A2123="","",IF(OR($G2123="", $J2123&lt;=0),0,MAX(0,Listes!$B$3-$G2123)))</f>
        <v/>
      </c>
      <c r="P2123" s="12">
        <f>IF($A2123="","",IF($J2123&lt;=0,"Payé",IF($M2123="Oui","Litige",IF($O2123=0,"À échoir",IF($O2123&lt;=30,"0-30",IF($O2123&lt;=60,"31-60",IF($O2123&lt;=90,"61-90","90+")))))))</f>
        <v/>
      </c>
    </row>
    <row r="2124">
      <c r="A2124" s="6" t="n"/>
      <c r="B2124" s="6" t="n"/>
      <c r="C2124" s="6" t="n"/>
      <c r="D2124" s="6" t="n"/>
      <c r="E2124" s="6" t="n"/>
      <c r="F2124" s="7" t="n"/>
      <c r="G2124" s="7" t="n"/>
      <c r="H2124" s="8" t="n"/>
      <c r="I2124" s="9">
        <f>IF($A2124="","",SUMIFS(Ventes_Encaissements!$D$6:$D$3005,Ventes_Encaissements!$B$6:$B$3005,$A2124))</f>
        <v/>
      </c>
      <c r="J2124" s="9">
        <f>IF($A2124="","",$H2124-$I2124)</f>
        <v/>
      </c>
      <c r="K2124" s="10">
        <f>IF($A2124="","",IF($I2124=0,"",_xludf.AGGREGATE(14,6,Ventes_Encaissements!$C$6:$C$3005/(Ventes_Encaissements!$B$6:$B$3005=$A2124),1)))</f>
        <v/>
      </c>
      <c r="L2124" s="11">
        <f>IF($A2124="","",COUNTIFS(Ventes_Detail!$B$6:$B$3005,$A2124))</f>
        <v/>
      </c>
      <c r="M2124" s="12" t="n"/>
      <c r="N2124" s="12">
        <f>IF($A2124="","",IF($G2124="","",IF($M2124="Oui","Litige",IF($J2124&lt;=0,"Payé",IF($I2124&gt;0,"Partiel",IF(Listes!$B$3&gt;$G2124,"En retard","À échoir"))))))</f>
        <v/>
      </c>
      <c r="O2124" s="11">
        <f>IF($A2124="","",IF(OR($G2124="", $J2124&lt;=0),0,MAX(0,Listes!$B$3-$G2124)))</f>
        <v/>
      </c>
      <c r="P2124" s="12">
        <f>IF($A2124="","",IF($J2124&lt;=0,"Payé",IF($M2124="Oui","Litige",IF($O2124=0,"À échoir",IF($O2124&lt;=30,"0-30",IF($O2124&lt;=60,"31-60",IF($O2124&lt;=90,"61-90","90+")))))))</f>
        <v/>
      </c>
    </row>
    <row r="2125">
      <c r="A2125" s="6" t="n"/>
      <c r="B2125" s="6" t="n"/>
      <c r="C2125" s="6" t="n"/>
      <c r="D2125" s="6" t="n"/>
      <c r="E2125" s="6" t="n"/>
      <c r="F2125" s="7" t="n"/>
      <c r="G2125" s="7" t="n"/>
      <c r="H2125" s="8" t="n"/>
      <c r="I2125" s="9">
        <f>IF($A2125="","",SUMIFS(Ventes_Encaissements!$D$6:$D$3005,Ventes_Encaissements!$B$6:$B$3005,$A2125))</f>
        <v/>
      </c>
      <c r="J2125" s="9">
        <f>IF($A2125="","",$H2125-$I2125)</f>
        <v/>
      </c>
      <c r="K2125" s="10">
        <f>IF($A2125="","",IF($I2125=0,"",_xludf.AGGREGATE(14,6,Ventes_Encaissements!$C$6:$C$3005/(Ventes_Encaissements!$B$6:$B$3005=$A2125),1)))</f>
        <v/>
      </c>
      <c r="L2125" s="11">
        <f>IF($A2125="","",COUNTIFS(Ventes_Detail!$B$6:$B$3005,$A2125))</f>
        <v/>
      </c>
      <c r="M2125" s="12" t="n"/>
      <c r="N2125" s="12">
        <f>IF($A2125="","",IF($G2125="","",IF($M2125="Oui","Litige",IF($J2125&lt;=0,"Payé",IF($I2125&gt;0,"Partiel",IF(Listes!$B$3&gt;$G2125,"En retard","À échoir"))))))</f>
        <v/>
      </c>
      <c r="O2125" s="11">
        <f>IF($A2125="","",IF(OR($G2125="", $J2125&lt;=0),0,MAX(0,Listes!$B$3-$G2125)))</f>
        <v/>
      </c>
      <c r="P2125" s="12">
        <f>IF($A2125="","",IF($J2125&lt;=0,"Payé",IF($M2125="Oui","Litige",IF($O2125=0,"À échoir",IF($O2125&lt;=30,"0-30",IF($O2125&lt;=60,"31-60",IF($O2125&lt;=90,"61-90","90+")))))))</f>
        <v/>
      </c>
    </row>
    <row r="2126">
      <c r="A2126" s="6" t="n"/>
      <c r="B2126" s="6" t="n"/>
      <c r="C2126" s="6" t="n"/>
      <c r="D2126" s="6" t="n"/>
      <c r="E2126" s="6" t="n"/>
      <c r="F2126" s="7" t="n"/>
      <c r="G2126" s="7" t="n"/>
      <c r="H2126" s="8" t="n"/>
      <c r="I2126" s="9">
        <f>IF($A2126="","",SUMIFS(Ventes_Encaissements!$D$6:$D$3005,Ventes_Encaissements!$B$6:$B$3005,$A2126))</f>
        <v/>
      </c>
      <c r="J2126" s="9">
        <f>IF($A2126="","",$H2126-$I2126)</f>
        <v/>
      </c>
      <c r="K2126" s="10">
        <f>IF($A2126="","",IF($I2126=0,"",_xludf.AGGREGATE(14,6,Ventes_Encaissements!$C$6:$C$3005/(Ventes_Encaissements!$B$6:$B$3005=$A2126),1)))</f>
        <v/>
      </c>
      <c r="L2126" s="11">
        <f>IF($A2126="","",COUNTIFS(Ventes_Detail!$B$6:$B$3005,$A2126))</f>
        <v/>
      </c>
      <c r="M2126" s="12" t="n"/>
      <c r="N2126" s="12">
        <f>IF($A2126="","",IF($G2126="","",IF($M2126="Oui","Litige",IF($J2126&lt;=0,"Payé",IF($I2126&gt;0,"Partiel",IF(Listes!$B$3&gt;$G2126,"En retard","À échoir"))))))</f>
        <v/>
      </c>
      <c r="O2126" s="11">
        <f>IF($A2126="","",IF(OR($G2126="", $J2126&lt;=0),0,MAX(0,Listes!$B$3-$G2126)))</f>
        <v/>
      </c>
      <c r="P2126" s="12">
        <f>IF($A2126="","",IF($J2126&lt;=0,"Payé",IF($M2126="Oui","Litige",IF($O2126=0,"À échoir",IF($O2126&lt;=30,"0-30",IF($O2126&lt;=60,"31-60",IF($O2126&lt;=90,"61-90","90+")))))))</f>
        <v/>
      </c>
    </row>
    <row r="2127">
      <c r="A2127" s="6" t="n"/>
      <c r="B2127" s="6" t="n"/>
      <c r="C2127" s="6" t="n"/>
      <c r="D2127" s="6" t="n"/>
      <c r="E2127" s="6" t="n"/>
      <c r="F2127" s="7" t="n"/>
      <c r="G2127" s="7" t="n"/>
      <c r="H2127" s="8" t="n"/>
      <c r="I2127" s="9">
        <f>IF($A2127="","",SUMIFS(Ventes_Encaissements!$D$6:$D$3005,Ventes_Encaissements!$B$6:$B$3005,$A2127))</f>
        <v/>
      </c>
      <c r="J2127" s="9">
        <f>IF($A2127="","",$H2127-$I2127)</f>
        <v/>
      </c>
      <c r="K2127" s="10">
        <f>IF($A2127="","",IF($I2127=0,"",_xludf.AGGREGATE(14,6,Ventes_Encaissements!$C$6:$C$3005/(Ventes_Encaissements!$B$6:$B$3005=$A2127),1)))</f>
        <v/>
      </c>
      <c r="L2127" s="11">
        <f>IF($A2127="","",COUNTIFS(Ventes_Detail!$B$6:$B$3005,$A2127))</f>
        <v/>
      </c>
      <c r="M2127" s="12" t="n"/>
      <c r="N2127" s="12">
        <f>IF($A2127="","",IF($G2127="","",IF($M2127="Oui","Litige",IF($J2127&lt;=0,"Payé",IF($I2127&gt;0,"Partiel",IF(Listes!$B$3&gt;$G2127,"En retard","À échoir"))))))</f>
        <v/>
      </c>
      <c r="O2127" s="11">
        <f>IF($A2127="","",IF(OR($G2127="", $J2127&lt;=0),0,MAX(0,Listes!$B$3-$G2127)))</f>
        <v/>
      </c>
      <c r="P2127" s="12">
        <f>IF($A2127="","",IF($J2127&lt;=0,"Payé",IF($M2127="Oui","Litige",IF($O2127=0,"À échoir",IF($O2127&lt;=30,"0-30",IF($O2127&lt;=60,"31-60",IF($O2127&lt;=90,"61-90","90+")))))))</f>
        <v/>
      </c>
    </row>
    <row r="2128">
      <c r="A2128" s="6" t="n"/>
      <c r="B2128" s="6" t="n"/>
      <c r="C2128" s="6" t="n"/>
      <c r="D2128" s="6" t="n"/>
      <c r="E2128" s="6" t="n"/>
      <c r="F2128" s="7" t="n"/>
      <c r="G2128" s="7" t="n"/>
      <c r="H2128" s="8" t="n"/>
      <c r="I2128" s="9">
        <f>IF($A2128="","",SUMIFS(Ventes_Encaissements!$D$6:$D$3005,Ventes_Encaissements!$B$6:$B$3005,$A2128))</f>
        <v/>
      </c>
      <c r="J2128" s="9">
        <f>IF($A2128="","",$H2128-$I2128)</f>
        <v/>
      </c>
      <c r="K2128" s="10">
        <f>IF($A2128="","",IF($I2128=0,"",_xludf.AGGREGATE(14,6,Ventes_Encaissements!$C$6:$C$3005/(Ventes_Encaissements!$B$6:$B$3005=$A2128),1)))</f>
        <v/>
      </c>
      <c r="L2128" s="11">
        <f>IF($A2128="","",COUNTIFS(Ventes_Detail!$B$6:$B$3005,$A2128))</f>
        <v/>
      </c>
      <c r="M2128" s="12" t="n"/>
      <c r="N2128" s="12">
        <f>IF($A2128="","",IF($G2128="","",IF($M2128="Oui","Litige",IF($J2128&lt;=0,"Payé",IF($I2128&gt;0,"Partiel",IF(Listes!$B$3&gt;$G2128,"En retard","À échoir"))))))</f>
        <v/>
      </c>
      <c r="O2128" s="11">
        <f>IF($A2128="","",IF(OR($G2128="", $J2128&lt;=0),0,MAX(0,Listes!$B$3-$G2128)))</f>
        <v/>
      </c>
      <c r="P2128" s="12">
        <f>IF($A2128="","",IF($J2128&lt;=0,"Payé",IF($M2128="Oui","Litige",IF($O2128=0,"À échoir",IF($O2128&lt;=30,"0-30",IF($O2128&lt;=60,"31-60",IF($O2128&lt;=90,"61-90","90+")))))))</f>
        <v/>
      </c>
    </row>
    <row r="2129">
      <c r="A2129" s="6" t="n"/>
      <c r="B2129" s="6" t="n"/>
      <c r="C2129" s="6" t="n"/>
      <c r="D2129" s="6" t="n"/>
      <c r="E2129" s="6" t="n"/>
      <c r="F2129" s="7" t="n"/>
      <c r="G2129" s="7" t="n"/>
      <c r="H2129" s="8" t="n"/>
      <c r="I2129" s="9">
        <f>IF($A2129="","",SUMIFS(Ventes_Encaissements!$D$6:$D$3005,Ventes_Encaissements!$B$6:$B$3005,$A2129))</f>
        <v/>
      </c>
      <c r="J2129" s="9">
        <f>IF($A2129="","",$H2129-$I2129)</f>
        <v/>
      </c>
      <c r="K2129" s="10">
        <f>IF($A2129="","",IF($I2129=0,"",_xludf.AGGREGATE(14,6,Ventes_Encaissements!$C$6:$C$3005/(Ventes_Encaissements!$B$6:$B$3005=$A2129),1)))</f>
        <v/>
      </c>
      <c r="L2129" s="11">
        <f>IF($A2129="","",COUNTIFS(Ventes_Detail!$B$6:$B$3005,$A2129))</f>
        <v/>
      </c>
      <c r="M2129" s="12" t="n"/>
      <c r="N2129" s="12">
        <f>IF($A2129="","",IF($G2129="","",IF($M2129="Oui","Litige",IF($J2129&lt;=0,"Payé",IF($I2129&gt;0,"Partiel",IF(Listes!$B$3&gt;$G2129,"En retard","À échoir"))))))</f>
        <v/>
      </c>
      <c r="O2129" s="11">
        <f>IF($A2129="","",IF(OR($G2129="", $J2129&lt;=0),0,MAX(0,Listes!$B$3-$G2129)))</f>
        <v/>
      </c>
      <c r="P2129" s="12">
        <f>IF($A2129="","",IF($J2129&lt;=0,"Payé",IF($M2129="Oui","Litige",IF($O2129=0,"À échoir",IF($O2129&lt;=30,"0-30",IF($O2129&lt;=60,"31-60",IF($O2129&lt;=90,"61-90","90+")))))))</f>
        <v/>
      </c>
    </row>
    <row r="2130">
      <c r="A2130" s="6" t="n"/>
      <c r="B2130" s="6" t="n"/>
      <c r="C2130" s="6" t="n"/>
      <c r="D2130" s="6" t="n"/>
      <c r="E2130" s="6" t="n"/>
      <c r="F2130" s="7" t="n"/>
      <c r="G2130" s="7" t="n"/>
      <c r="H2130" s="8" t="n"/>
      <c r="I2130" s="9">
        <f>IF($A2130="","",SUMIFS(Ventes_Encaissements!$D$6:$D$3005,Ventes_Encaissements!$B$6:$B$3005,$A2130))</f>
        <v/>
      </c>
      <c r="J2130" s="9">
        <f>IF($A2130="","",$H2130-$I2130)</f>
        <v/>
      </c>
      <c r="K2130" s="10">
        <f>IF($A2130="","",IF($I2130=0,"",_xludf.AGGREGATE(14,6,Ventes_Encaissements!$C$6:$C$3005/(Ventes_Encaissements!$B$6:$B$3005=$A2130),1)))</f>
        <v/>
      </c>
      <c r="L2130" s="11">
        <f>IF($A2130="","",COUNTIFS(Ventes_Detail!$B$6:$B$3005,$A2130))</f>
        <v/>
      </c>
      <c r="M2130" s="12" t="n"/>
      <c r="N2130" s="12">
        <f>IF($A2130="","",IF($G2130="","",IF($M2130="Oui","Litige",IF($J2130&lt;=0,"Payé",IF($I2130&gt;0,"Partiel",IF(Listes!$B$3&gt;$G2130,"En retard","À échoir"))))))</f>
        <v/>
      </c>
      <c r="O2130" s="11">
        <f>IF($A2130="","",IF(OR($G2130="", $J2130&lt;=0),0,MAX(0,Listes!$B$3-$G2130)))</f>
        <v/>
      </c>
      <c r="P2130" s="12">
        <f>IF($A2130="","",IF($J2130&lt;=0,"Payé",IF($M2130="Oui","Litige",IF($O2130=0,"À échoir",IF($O2130&lt;=30,"0-30",IF($O2130&lt;=60,"31-60",IF($O2130&lt;=90,"61-90","90+")))))))</f>
        <v/>
      </c>
    </row>
    <row r="2131">
      <c r="A2131" s="6" t="n"/>
      <c r="B2131" s="6" t="n"/>
      <c r="C2131" s="6" t="n"/>
      <c r="D2131" s="6" t="n"/>
      <c r="E2131" s="6" t="n"/>
      <c r="F2131" s="7" t="n"/>
      <c r="G2131" s="7" t="n"/>
      <c r="H2131" s="8" t="n"/>
      <c r="I2131" s="9">
        <f>IF($A2131="","",SUMIFS(Ventes_Encaissements!$D$6:$D$3005,Ventes_Encaissements!$B$6:$B$3005,$A2131))</f>
        <v/>
      </c>
      <c r="J2131" s="9">
        <f>IF($A2131="","",$H2131-$I2131)</f>
        <v/>
      </c>
      <c r="K2131" s="10">
        <f>IF($A2131="","",IF($I2131=0,"",_xludf.AGGREGATE(14,6,Ventes_Encaissements!$C$6:$C$3005/(Ventes_Encaissements!$B$6:$B$3005=$A2131),1)))</f>
        <v/>
      </c>
      <c r="L2131" s="11">
        <f>IF($A2131="","",COUNTIFS(Ventes_Detail!$B$6:$B$3005,$A2131))</f>
        <v/>
      </c>
      <c r="M2131" s="12" t="n"/>
      <c r="N2131" s="12">
        <f>IF($A2131="","",IF($G2131="","",IF($M2131="Oui","Litige",IF($J2131&lt;=0,"Payé",IF($I2131&gt;0,"Partiel",IF(Listes!$B$3&gt;$G2131,"En retard","À échoir"))))))</f>
        <v/>
      </c>
      <c r="O2131" s="11">
        <f>IF($A2131="","",IF(OR($G2131="", $J2131&lt;=0),0,MAX(0,Listes!$B$3-$G2131)))</f>
        <v/>
      </c>
      <c r="P2131" s="12">
        <f>IF($A2131="","",IF($J2131&lt;=0,"Payé",IF($M2131="Oui","Litige",IF($O2131=0,"À échoir",IF($O2131&lt;=30,"0-30",IF($O2131&lt;=60,"31-60",IF($O2131&lt;=90,"61-90","90+")))))))</f>
        <v/>
      </c>
    </row>
    <row r="2132">
      <c r="A2132" s="6" t="n"/>
      <c r="B2132" s="6" t="n"/>
      <c r="C2132" s="6" t="n"/>
      <c r="D2132" s="6" t="n"/>
      <c r="E2132" s="6" t="n"/>
      <c r="F2132" s="7" t="n"/>
      <c r="G2132" s="7" t="n"/>
      <c r="H2132" s="8" t="n"/>
      <c r="I2132" s="9">
        <f>IF($A2132="","",SUMIFS(Ventes_Encaissements!$D$6:$D$3005,Ventes_Encaissements!$B$6:$B$3005,$A2132))</f>
        <v/>
      </c>
      <c r="J2132" s="9">
        <f>IF($A2132="","",$H2132-$I2132)</f>
        <v/>
      </c>
      <c r="K2132" s="10">
        <f>IF($A2132="","",IF($I2132=0,"",_xludf.AGGREGATE(14,6,Ventes_Encaissements!$C$6:$C$3005/(Ventes_Encaissements!$B$6:$B$3005=$A2132),1)))</f>
        <v/>
      </c>
      <c r="L2132" s="11">
        <f>IF($A2132="","",COUNTIFS(Ventes_Detail!$B$6:$B$3005,$A2132))</f>
        <v/>
      </c>
      <c r="M2132" s="12" t="n"/>
      <c r="N2132" s="12">
        <f>IF($A2132="","",IF($G2132="","",IF($M2132="Oui","Litige",IF($J2132&lt;=0,"Payé",IF($I2132&gt;0,"Partiel",IF(Listes!$B$3&gt;$G2132,"En retard","À échoir"))))))</f>
        <v/>
      </c>
      <c r="O2132" s="11">
        <f>IF($A2132="","",IF(OR($G2132="", $J2132&lt;=0),0,MAX(0,Listes!$B$3-$G2132)))</f>
        <v/>
      </c>
      <c r="P2132" s="12">
        <f>IF($A2132="","",IF($J2132&lt;=0,"Payé",IF($M2132="Oui","Litige",IF($O2132=0,"À échoir",IF($O2132&lt;=30,"0-30",IF($O2132&lt;=60,"31-60",IF($O2132&lt;=90,"61-90","90+")))))))</f>
        <v/>
      </c>
    </row>
    <row r="2133">
      <c r="A2133" s="6" t="n"/>
      <c r="B2133" s="6" t="n"/>
      <c r="C2133" s="6" t="n"/>
      <c r="D2133" s="6" t="n"/>
      <c r="E2133" s="6" t="n"/>
      <c r="F2133" s="7" t="n"/>
      <c r="G2133" s="7" t="n"/>
      <c r="H2133" s="8" t="n"/>
      <c r="I2133" s="9">
        <f>IF($A2133="","",SUMIFS(Ventes_Encaissements!$D$6:$D$3005,Ventes_Encaissements!$B$6:$B$3005,$A2133))</f>
        <v/>
      </c>
      <c r="J2133" s="9">
        <f>IF($A2133="","",$H2133-$I2133)</f>
        <v/>
      </c>
      <c r="K2133" s="10">
        <f>IF($A2133="","",IF($I2133=0,"",_xludf.AGGREGATE(14,6,Ventes_Encaissements!$C$6:$C$3005/(Ventes_Encaissements!$B$6:$B$3005=$A2133),1)))</f>
        <v/>
      </c>
      <c r="L2133" s="11">
        <f>IF($A2133="","",COUNTIFS(Ventes_Detail!$B$6:$B$3005,$A2133))</f>
        <v/>
      </c>
      <c r="M2133" s="12" t="n"/>
      <c r="N2133" s="12">
        <f>IF($A2133="","",IF($G2133="","",IF($M2133="Oui","Litige",IF($J2133&lt;=0,"Payé",IF($I2133&gt;0,"Partiel",IF(Listes!$B$3&gt;$G2133,"En retard","À échoir"))))))</f>
        <v/>
      </c>
      <c r="O2133" s="11">
        <f>IF($A2133="","",IF(OR($G2133="", $J2133&lt;=0),0,MAX(0,Listes!$B$3-$G2133)))</f>
        <v/>
      </c>
      <c r="P2133" s="12">
        <f>IF($A2133="","",IF($J2133&lt;=0,"Payé",IF($M2133="Oui","Litige",IF($O2133=0,"À échoir",IF($O2133&lt;=30,"0-30",IF($O2133&lt;=60,"31-60",IF($O2133&lt;=90,"61-90","90+")))))))</f>
        <v/>
      </c>
    </row>
    <row r="2134">
      <c r="A2134" s="6" t="n"/>
      <c r="B2134" s="6" t="n"/>
      <c r="C2134" s="6" t="n"/>
      <c r="D2134" s="6" t="n"/>
      <c r="E2134" s="6" t="n"/>
      <c r="F2134" s="7" t="n"/>
      <c r="G2134" s="7" t="n"/>
      <c r="H2134" s="8" t="n"/>
      <c r="I2134" s="9">
        <f>IF($A2134="","",SUMIFS(Ventes_Encaissements!$D$6:$D$3005,Ventes_Encaissements!$B$6:$B$3005,$A2134))</f>
        <v/>
      </c>
      <c r="J2134" s="9">
        <f>IF($A2134="","",$H2134-$I2134)</f>
        <v/>
      </c>
      <c r="K2134" s="10">
        <f>IF($A2134="","",IF($I2134=0,"",_xludf.AGGREGATE(14,6,Ventes_Encaissements!$C$6:$C$3005/(Ventes_Encaissements!$B$6:$B$3005=$A2134),1)))</f>
        <v/>
      </c>
      <c r="L2134" s="11">
        <f>IF($A2134="","",COUNTIFS(Ventes_Detail!$B$6:$B$3005,$A2134))</f>
        <v/>
      </c>
      <c r="M2134" s="12" t="n"/>
      <c r="N2134" s="12">
        <f>IF($A2134="","",IF($G2134="","",IF($M2134="Oui","Litige",IF($J2134&lt;=0,"Payé",IF($I2134&gt;0,"Partiel",IF(Listes!$B$3&gt;$G2134,"En retard","À échoir"))))))</f>
        <v/>
      </c>
      <c r="O2134" s="11">
        <f>IF($A2134="","",IF(OR($G2134="", $J2134&lt;=0),0,MAX(0,Listes!$B$3-$G2134)))</f>
        <v/>
      </c>
      <c r="P2134" s="12">
        <f>IF($A2134="","",IF($J2134&lt;=0,"Payé",IF($M2134="Oui","Litige",IF($O2134=0,"À échoir",IF($O2134&lt;=30,"0-30",IF($O2134&lt;=60,"31-60",IF($O2134&lt;=90,"61-90","90+")))))))</f>
        <v/>
      </c>
    </row>
    <row r="2135">
      <c r="A2135" s="6" t="n"/>
      <c r="B2135" s="6" t="n"/>
      <c r="C2135" s="6" t="n"/>
      <c r="D2135" s="6" t="n"/>
      <c r="E2135" s="6" t="n"/>
      <c r="F2135" s="7" t="n"/>
      <c r="G2135" s="7" t="n"/>
      <c r="H2135" s="8" t="n"/>
      <c r="I2135" s="9">
        <f>IF($A2135="","",SUMIFS(Ventes_Encaissements!$D$6:$D$3005,Ventes_Encaissements!$B$6:$B$3005,$A2135))</f>
        <v/>
      </c>
      <c r="J2135" s="9">
        <f>IF($A2135="","",$H2135-$I2135)</f>
        <v/>
      </c>
      <c r="K2135" s="10">
        <f>IF($A2135="","",IF($I2135=0,"",_xludf.AGGREGATE(14,6,Ventes_Encaissements!$C$6:$C$3005/(Ventes_Encaissements!$B$6:$B$3005=$A2135),1)))</f>
        <v/>
      </c>
      <c r="L2135" s="11">
        <f>IF($A2135="","",COUNTIFS(Ventes_Detail!$B$6:$B$3005,$A2135))</f>
        <v/>
      </c>
      <c r="M2135" s="12" t="n"/>
      <c r="N2135" s="12">
        <f>IF($A2135="","",IF($G2135="","",IF($M2135="Oui","Litige",IF($J2135&lt;=0,"Payé",IF($I2135&gt;0,"Partiel",IF(Listes!$B$3&gt;$G2135,"En retard","À échoir"))))))</f>
        <v/>
      </c>
      <c r="O2135" s="11">
        <f>IF($A2135="","",IF(OR($G2135="", $J2135&lt;=0),0,MAX(0,Listes!$B$3-$G2135)))</f>
        <v/>
      </c>
      <c r="P2135" s="12">
        <f>IF($A2135="","",IF($J2135&lt;=0,"Payé",IF($M2135="Oui","Litige",IF($O2135=0,"À échoir",IF($O2135&lt;=30,"0-30",IF($O2135&lt;=60,"31-60",IF($O2135&lt;=90,"61-90","90+")))))))</f>
        <v/>
      </c>
    </row>
    <row r="2136">
      <c r="A2136" s="6" t="n"/>
      <c r="B2136" s="6" t="n"/>
      <c r="C2136" s="6" t="n"/>
      <c r="D2136" s="6" t="n"/>
      <c r="E2136" s="6" t="n"/>
      <c r="F2136" s="7" t="n"/>
      <c r="G2136" s="7" t="n"/>
      <c r="H2136" s="8" t="n"/>
      <c r="I2136" s="9">
        <f>IF($A2136="","",SUMIFS(Ventes_Encaissements!$D$6:$D$3005,Ventes_Encaissements!$B$6:$B$3005,$A2136))</f>
        <v/>
      </c>
      <c r="J2136" s="9">
        <f>IF($A2136="","",$H2136-$I2136)</f>
        <v/>
      </c>
      <c r="K2136" s="10">
        <f>IF($A2136="","",IF($I2136=0,"",_xludf.AGGREGATE(14,6,Ventes_Encaissements!$C$6:$C$3005/(Ventes_Encaissements!$B$6:$B$3005=$A2136),1)))</f>
        <v/>
      </c>
      <c r="L2136" s="11">
        <f>IF($A2136="","",COUNTIFS(Ventes_Detail!$B$6:$B$3005,$A2136))</f>
        <v/>
      </c>
      <c r="M2136" s="12" t="n"/>
      <c r="N2136" s="12">
        <f>IF($A2136="","",IF($G2136="","",IF($M2136="Oui","Litige",IF($J2136&lt;=0,"Payé",IF($I2136&gt;0,"Partiel",IF(Listes!$B$3&gt;$G2136,"En retard","À échoir"))))))</f>
        <v/>
      </c>
      <c r="O2136" s="11">
        <f>IF($A2136="","",IF(OR($G2136="", $J2136&lt;=0),0,MAX(0,Listes!$B$3-$G2136)))</f>
        <v/>
      </c>
      <c r="P2136" s="12">
        <f>IF($A2136="","",IF($J2136&lt;=0,"Payé",IF($M2136="Oui","Litige",IF($O2136=0,"À échoir",IF($O2136&lt;=30,"0-30",IF($O2136&lt;=60,"31-60",IF($O2136&lt;=90,"61-90","90+")))))))</f>
        <v/>
      </c>
    </row>
    <row r="2137">
      <c r="A2137" s="6" t="n"/>
      <c r="B2137" s="6" t="n"/>
      <c r="C2137" s="6" t="n"/>
      <c r="D2137" s="6" t="n"/>
      <c r="E2137" s="6" t="n"/>
      <c r="F2137" s="7" t="n"/>
      <c r="G2137" s="7" t="n"/>
      <c r="H2137" s="8" t="n"/>
      <c r="I2137" s="9">
        <f>IF($A2137="","",SUMIFS(Ventes_Encaissements!$D$6:$D$3005,Ventes_Encaissements!$B$6:$B$3005,$A2137))</f>
        <v/>
      </c>
      <c r="J2137" s="9">
        <f>IF($A2137="","",$H2137-$I2137)</f>
        <v/>
      </c>
      <c r="K2137" s="10">
        <f>IF($A2137="","",IF($I2137=0,"",_xludf.AGGREGATE(14,6,Ventes_Encaissements!$C$6:$C$3005/(Ventes_Encaissements!$B$6:$B$3005=$A2137),1)))</f>
        <v/>
      </c>
      <c r="L2137" s="11">
        <f>IF($A2137="","",COUNTIFS(Ventes_Detail!$B$6:$B$3005,$A2137))</f>
        <v/>
      </c>
      <c r="M2137" s="12" t="n"/>
      <c r="N2137" s="12">
        <f>IF($A2137="","",IF($G2137="","",IF($M2137="Oui","Litige",IF($J2137&lt;=0,"Payé",IF($I2137&gt;0,"Partiel",IF(Listes!$B$3&gt;$G2137,"En retard","À échoir"))))))</f>
        <v/>
      </c>
      <c r="O2137" s="11">
        <f>IF($A2137="","",IF(OR($G2137="", $J2137&lt;=0),0,MAX(0,Listes!$B$3-$G2137)))</f>
        <v/>
      </c>
      <c r="P2137" s="12">
        <f>IF($A2137="","",IF($J2137&lt;=0,"Payé",IF($M2137="Oui","Litige",IF($O2137=0,"À échoir",IF($O2137&lt;=30,"0-30",IF($O2137&lt;=60,"31-60",IF($O2137&lt;=90,"61-90","90+")))))))</f>
        <v/>
      </c>
    </row>
    <row r="2138">
      <c r="A2138" s="6" t="n"/>
      <c r="B2138" s="6" t="n"/>
      <c r="C2138" s="6" t="n"/>
      <c r="D2138" s="6" t="n"/>
      <c r="E2138" s="6" t="n"/>
      <c r="F2138" s="7" t="n"/>
      <c r="G2138" s="7" t="n"/>
      <c r="H2138" s="8" t="n"/>
      <c r="I2138" s="9">
        <f>IF($A2138="","",SUMIFS(Ventes_Encaissements!$D$6:$D$3005,Ventes_Encaissements!$B$6:$B$3005,$A2138))</f>
        <v/>
      </c>
      <c r="J2138" s="9">
        <f>IF($A2138="","",$H2138-$I2138)</f>
        <v/>
      </c>
      <c r="K2138" s="10">
        <f>IF($A2138="","",IF($I2138=0,"",_xludf.AGGREGATE(14,6,Ventes_Encaissements!$C$6:$C$3005/(Ventes_Encaissements!$B$6:$B$3005=$A2138),1)))</f>
        <v/>
      </c>
      <c r="L2138" s="11">
        <f>IF($A2138="","",COUNTIFS(Ventes_Detail!$B$6:$B$3005,$A2138))</f>
        <v/>
      </c>
      <c r="M2138" s="12" t="n"/>
      <c r="N2138" s="12">
        <f>IF($A2138="","",IF($G2138="","",IF($M2138="Oui","Litige",IF($J2138&lt;=0,"Payé",IF($I2138&gt;0,"Partiel",IF(Listes!$B$3&gt;$G2138,"En retard","À échoir"))))))</f>
        <v/>
      </c>
      <c r="O2138" s="11">
        <f>IF($A2138="","",IF(OR($G2138="", $J2138&lt;=0),0,MAX(0,Listes!$B$3-$G2138)))</f>
        <v/>
      </c>
      <c r="P2138" s="12">
        <f>IF($A2138="","",IF($J2138&lt;=0,"Payé",IF($M2138="Oui","Litige",IF($O2138=0,"À échoir",IF($O2138&lt;=30,"0-30",IF($O2138&lt;=60,"31-60",IF($O2138&lt;=90,"61-90","90+")))))))</f>
        <v/>
      </c>
    </row>
    <row r="2139">
      <c r="A2139" s="6" t="n"/>
      <c r="B2139" s="6" t="n"/>
      <c r="C2139" s="6" t="n"/>
      <c r="D2139" s="6" t="n"/>
      <c r="E2139" s="6" t="n"/>
      <c r="F2139" s="7" t="n"/>
      <c r="G2139" s="7" t="n"/>
      <c r="H2139" s="8" t="n"/>
      <c r="I2139" s="9">
        <f>IF($A2139="","",SUMIFS(Ventes_Encaissements!$D$6:$D$3005,Ventes_Encaissements!$B$6:$B$3005,$A2139))</f>
        <v/>
      </c>
      <c r="J2139" s="9">
        <f>IF($A2139="","",$H2139-$I2139)</f>
        <v/>
      </c>
      <c r="K2139" s="10">
        <f>IF($A2139="","",IF($I2139=0,"",_xludf.AGGREGATE(14,6,Ventes_Encaissements!$C$6:$C$3005/(Ventes_Encaissements!$B$6:$B$3005=$A2139),1)))</f>
        <v/>
      </c>
      <c r="L2139" s="11">
        <f>IF($A2139="","",COUNTIFS(Ventes_Detail!$B$6:$B$3005,$A2139))</f>
        <v/>
      </c>
      <c r="M2139" s="12" t="n"/>
      <c r="N2139" s="12">
        <f>IF($A2139="","",IF($G2139="","",IF($M2139="Oui","Litige",IF($J2139&lt;=0,"Payé",IF($I2139&gt;0,"Partiel",IF(Listes!$B$3&gt;$G2139,"En retard","À échoir"))))))</f>
        <v/>
      </c>
      <c r="O2139" s="11">
        <f>IF($A2139="","",IF(OR($G2139="", $J2139&lt;=0),0,MAX(0,Listes!$B$3-$G2139)))</f>
        <v/>
      </c>
      <c r="P2139" s="12">
        <f>IF($A2139="","",IF($J2139&lt;=0,"Payé",IF($M2139="Oui","Litige",IF($O2139=0,"À échoir",IF($O2139&lt;=30,"0-30",IF($O2139&lt;=60,"31-60",IF($O2139&lt;=90,"61-90","90+")))))))</f>
        <v/>
      </c>
    </row>
    <row r="2140">
      <c r="A2140" s="6" t="n"/>
      <c r="B2140" s="6" t="n"/>
      <c r="C2140" s="6" t="n"/>
      <c r="D2140" s="6" t="n"/>
      <c r="E2140" s="6" t="n"/>
      <c r="F2140" s="7" t="n"/>
      <c r="G2140" s="7" t="n"/>
      <c r="H2140" s="8" t="n"/>
      <c r="I2140" s="9">
        <f>IF($A2140="","",SUMIFS(Ventes_Encaissements!$D$6:$D$3005,Ventes_Encaissements!$B$6:$B$3005,$A2140))</f>
        <v/>
      </c>
      <c r="J2140" s="9">
        <f>IF($A2140="","",$H2140-$I2140)</f>
        <v/>
      </c>
      <c r="K2140" s="10">
        <f>IF($A2140="","",IF($I2140=0,"",_xludf.AGGREGATE(14,6,Ventes_Encaissements!$C$6:$C$3005/(Ventes_Encaissements!$B$6:$B$3005=$A2140),1)))</f>
        <v/>
      </c>
      <c r="L2140" s="11">
        <f>IF($A2140="","",COUNTIFS(Ventes_Detail!$B$6:$B$3005,$A2140))</f>
        <v/>
      </c>
      <c r="M2140" s="12" t="n"/>
      <c r="N2140" s="12">
        <f>IF($A2140="","",IF($G2140="","",IF($M2140="Oui","Litige",IF($J2140&lt;=0,"Payé",IF($I2140&gt;0,"Partiel",IF(Listes!$B$3&gt;$G2140,"En retard","À échoir"))))))</f>
        <v/>
      </c>
      <c r="O2140" s="11">
        <f>IF($A2140="","",IF(OR($G2140="", $J2140&lt;=0),0,MAX(0,Listes!$B$3-$G2140)))</f>
        <v/>
      </c>
      <c r="P2140" s="12">
        <f>IF($A2140="","",IF($J2140&lt;=0,"Payé",IF($M2140="Oui","Litige",IF($O2140=0,"À échoir",IF($O2140&lt;=30,"0-30",IF($O2140&lt;=60,"31-60",IF($O2140&lt;=90,"61-90","90+")))))))</f>
        <v/>
      </c>
    </row>
    <row r="2141">
      <c r="A2141" s="6" t="n"/>
      <c r="B2141" s="6" t="n"/>
      <c r="C2141" s="6" t="n"/>
      <c r="D2141" s="6" t="n"/>
      <c r="E2141" s="6" t="n"/>
      <c r="F2141" s="7" t="n"/>
      <c r="G2141" s="7" t="n"/>
      <c r="H2141" s="8" t="n"/>
      <c r="I2141" s="9">
        <f>IF($A2141="","",SUMIFS(Ventes_Encaissements!$D$6:$D$3005,Ventes_Encaissements!$B$6:$B$3005,$A2141))</f>
        <v/>
      </c>
      <c r="J2141" s="9">
        <f>IF($A2141="","",$H2141-$I2141)</f>
        <v/>
      </c>
      <c r="K2141" s="10">
        <f>IF($A2141="","",IF($I2141=0,"",_xludf.AGGREGATE(14,6,Ventes_Encaissements!$C$6:$C$3005/(Ventes_Encaissements!$B$6:$B$3005=$A2141),1)))</f>
        <v/>
      </c>
      <c r="L2141" s="11">
        <f>IF($A2141="","",COUNTIFS(Ventes_Detail!$B$6:$B$3005,$A2141))</f>
        <v/>
      </c>
      <c r="M2141" s="12" t="n"/>
      <c r="N2141" s="12">
        <f>IF($A2141="","",IF($G2141="","",IF($M2141="Oui","Litige",IF($J2141&lt;=0,"Payé",IF($I2141&gt;0,"Partiel",IF(Listes!$B$3&gt;$G2141,"En retard","À échoir"))))))</f>
        <v/>
      </c>
      <c r="O2141" s="11">
        <f>IF($A2141="","",IF(OR($G2141="", $J2141&lt;=0),0,MAX(0,Listes!$B$3-$G2141)))</f>
        <v/>
      </c>
      <c r="P2141" s="12">
        <f>IF($A2141="","",IF($J2141&lt;=0,"Payé",IF($M2141="Oui","Litige",IF($O2141=0,"À échoir",IF($O2141&lt;=30,"0-30",IF($O2141&lt;=60,"31-60",IF($O2141&lt;=90,"61-90","90+")))))))</f>
        <v/>
      </c>
    </row>
    <row r="2142">
      <c r="A2142" s="6" t="n"/>
      <c r="B2142" s="6" t="n"/>
      <c r="C2142" s="6" t="n"/>
      <c r="D2142" s="6" t="n"/>
      <c r="E2142" s="6" t="n"/>
      <c r="F2142" s="7" t="n"/>
      <c r="G2142" s="7" t="n"/>
      <c r="H2142" s="8" t="n"/>
      <c r="I2142" s="9">
        <f>IF($A2142="","",SUMIFS(Ventes_Encaissements!$D$6:$D$3005,Ventes_Encaissements!$B$6:$B$3005,$A2142))</f>
        <v/>
      </c>
      <c r="J2142" s="9">
        <f>IF($A2142="","",$H2142-$I2142)</f>
        <v/>
      </c>
      <c r="K2142" s="10">
        <f>IF($A2142="","",IF($I2142=0,"",_xludf.AGGREGATE(14,6,Ventes_Encaissements!$C$6:$C$3005/(Ventes_Encaissements!$B$6:$B$3005=$A2142),1)))</f>
        <v/>
      </c>
      <c r="L2142" s="11">
        <f>IF($A2142="","",COUNTIFS(Ventes_Detail!$B$6:$B$3005,$A2142))</f>
        <v/>
      </c>
      <c r="M2142" s="12" t="n"/>
      <c r="N2142" s="12">
        <f>IF($A2142="","",IF($G2142="","",IF($M2142="Oui","Litige",IF($J2142&lt;=0,"Payé",IF($I2142&gt;0,"Partiel",IF(Listes!$B$3&gt;$G2142,"En retard","À échoir"))))))</f>
        <v/>
      </c>
      <c r="O2142" s="11">
        <f>IF($A2142="","",IF(OR($G2142="", $J2142&lt;=0),0,MAX(0,Listes!$B$3-$G2142)))</f>
        <v/>
      </c>
      <c r="P2142" s="12">
        <f>IF($A2142="","",IF($J2142&lt;=0,"Payé",IF($M2142="Oui","Litige",IF($O2142=0,"À échoir",IF($O2142&lt;=30,"0-30",IF($O2142&lt;=60,"31-60",IF($O2142&lt;=90,"61-90","90+")))))))</f>
        <v/>
      </c>
    </row>
    <row r="2143">
      <c r="A2143" s="6" t="n"/>
      <c r="B2143" s="6" t="n"/>
      <c r="C2143" s="6" t="n"/>
      <c r="D2143" s="6" t="n"/>
      <c r="E2143" s="6" t="n"/>
      <c r="F2143" s="7" t="n"/>
      <c r="G2143" s="7" t="n"/>
      <c r="H2143" s="8" t="n"/>
      <c r="I2143" s="9">
        <f>IF($A2143="","",SUMIFS(Ventes_Encaissements!$D$6:$D$3005,Ventes_Encaissements!$B$6:$B$3005,$A2143))</f>
        <v/>
      </c>
      <c r="J2143" s="9">
        <f>IF($A2143="","",$H2143-$I2143)</f>
        <v/>
      </c>
      <c r="K2143" s="10">
        <f>IF($A2143="","",IF($I2143=0,"",_xludf.AGGREGATE(14,6,Ventes_Encaissements!$C$6:$C$3005/(Ventes_Encaissements!$B$6:$B$3005=$A2143),1)))</f>
        <v/>
      </c>
      <c r="L2143" s="11">
        <f>IF($A2143="","",COUNTIFS(Ventes_Detail!$B$6:$B$3005,$A2143))</f>
        <v/>
      </c>
      <c r="M2143" s="12" t="n"/>
      <c r="N2143" s="12">
        <f>IF($A2143="","",IF($G2143="","",IF($M2143="Oui","Litige",IF($J2143&lt;=0,"Payé",IF($I2143&gt;0,"Partiel",IF(Listes!$B$3&gt;$G2143,"En retard","À échoir"))))))</f>
        <v/>
      </c>
      <c r="O2143" s="11">
        <f>IF($A2143="","",IF(OR($G2143="", $J2143&lt;=0),0,MAX(0,Listes!$B$3-$G2143)))</f>
        <v/>
      </c>
      <c r="P2143" s="12">
        <f>IF($A2143="","",IF($J2143&lt;=0,"Payé",IF($M2143="Oui","Litige",IF($O2143=0,"À échoir",IF($O2143&lt;=30,"0-30",IF($O2143&lt;=60,"31-60",IF($O2143&lt;=90,"61-90","90+")))))))</f>
        <v/>
      </c>
    </row>
    <row r="2144">
      <c r="A2144" s="6" t="n"/>
      <c r="B2144" s="6" t="n"/>
      <c r="C2144" s="6" t="n"/>
      <c r="D2144" s="6" t="n"/>
      <c r="E2144" s="6" t="n"/>
      <c r="F2144" s="7" t="n"/>
      <c r="G2144" s="7" t="n"/>
      <c r="H2144" s="8" t="n"/>
      <c r="I2144" s="9">
        <f>IF($A2144="","",SUMIFS(Ventes_Encaissements!$D$6:$D$3005,Ventes_Encaissements!$B$6:$B$3005,$A2144))</f>
        <v/>
      </c>
      <c r="J2144" s="9">
        <f>IF($A2144="","",$H2144-$I2144)</f>
        <v/>
      </c>
      <c r="K2144" s="10">
        <f>IF($A2144="","",IF($I2144=0,"",_xludf.AGGREGATE(14,6,Ventes_Encaissements!$C$6:$C$3005/(Ventes_Encaissements!$B$6:$B$3005=$A2144),1)))</f>
        <v/>
      </c>
      <c r="L2144" s="11">
        <f>IF($A2144="","",COUNTIFS(Ventes_Detail!$B$6:$B$3005,$A2144))</f>
        <v/>
      </c>
      <c r="M2144" s="12" t="n"/>
      <c r="N2144" s="12">
        <f>IF($A2144="","",IF($G2144="","",IF($M2144="Oui","Litige",IF($J2144&lt;=0,"Payé",IF($I2144&gt;0,"Partiel",IF(Listes!$B$3&gt;$G2144,"En retard","À échoir"))))))</f>
        <v/>
      </c>
      <c r="O2144" s="11">
        <f>IF($A2144="","",IF(OR($G2144="", $J2144&lt;=0),0,MAX(0,Listes!$B$3-$G2144)))</f>
        <v/>
      </c>
      <c r="P2144" s="12">
        <f>IF($A2144="","",IF($J2144&lt;=0,"Payé",IF($M2144="Oui","Litige",IF($O2144=0,"À échoir",IF($O2144&lt;=30,"0-30",IF($O2144&lt;=60,"31-60",IF($O2144&lt;=90,"61-90","90+")))))))</f>
        <v/>
      </c>
    </row>
    <row r="2145">
      <c r="A2145" s="6" t="n"/>
      <c r="B2145" s="6" t="n"/>
      <c r="C2145" s="6" t="n"/>
      <c r="D2145" s="6" t="n"/>
      <c r="E2145" s="6" t="n"/>
      <c r="F2145" s="7" t="n"/>
      <c r="G2145" s="7" t="n"/>
      <c r="H2145" s="8" t="n"/>
      <c r="I2145" s="9">
        <f>IF($A2145="","",SUMIFS(Ventes_Encaissements!$D$6:$D$3005,Ventes_Encaissements!$B$6:$B$3005,$A2145))</f>
        <v/>
      </c>
      <c r="J2145" s="9">
        <f>IF($A2145="","",$H2145-$I2145)</f>
        <v/>
      </c>
      <c r="K2145" s="10">
        <f>IF($A2145="","",IF($I2145=0,"",_xludf.AGGREGATE(14,6,Ventes_Encaissements!$C$6:$C$3005/(Ventes_Encaissements!$B$6:$B$3005=$A2145),1)))</f>
        <v/>
      </c>
      <c r="L2145" s="11">
        <f>IF($A2145="","",COUNTIFS(Ventes_Detail!$B$6:$B$3005,$A2145))</f>
        <v/>
      </c>
      <c r="M2145" s="12" t="n"/>
      <c r="N2145" s="12">
        <f>IF($A2145="","",IF($G2145="","",IF($M2145="Oui","Litige",IF($J2145&lt;=0,"Payé",IF($I2145&gt;0,"Partiel",IF(Listes!$B$3&gt;$G2145,"En retard","À échoir"))))))</f>
        <v/>
      </c>
      <c r="O2145" s="11">
        <f>IF($A2145="","",IF(OR($G2145="", $J2145&lt;=0),0,MAX(0,Listes!$B$3-$G2145)))</f>
        <v/>
      </c>
      <c r="P2145" s="12">
        <f>IF($A2145="","",IF($J2145&lt;=0,"Payé",IF($M2145="Oui","Litige",IF($O2145=0,"À échoir",IF($O2145&lt;=30,"0-30",IF($O2145&lt;=60,"31-60",IF($O2145&lt;=90,"61-90","90+")))))))</f>
        <v/>
      </c>
    </row>
    <row r="2146">
      <c r="A2146" s="6" t="n"/>
      <c r="B2146" s="6" t="n"/>
      <c r="C2146" s="6" t="n"/>
      <c r="D2146" s="6" t="n"/>
      <c r="E2146" s="6" t="n"/>
      <c r="F2146" s="7" t="n"/>
      <c r="G2146" s="7" t="n"/>
      <c r="H2146" s="8" t="n"/>
      <c r="I2146" s="9">
        <f>IF($A2146="","",SUMIFS(Ventes_Encaissements!$D$6:$D$3005,Ventes_Encaissements!$B$6:$B$3005,$A2146))</f>
        <v/>
      </c>
      <c r="J2146" s="9">
        <f>IF($A2146="","",$H2146-$I2146)</f>
        <v/>
      </c>
      <c r="K2146" s="10">
        <f>IF($A2146="","",IF($I2146=0,"",_xludf.AGGREGATE(14,6,Ventes_Encaissements!$C$6:$C$3005/(Ventes_Encaissements!$B$6:$B$3005=$A2146),1)))</f>
        <v/>
      </c>
      <c r="L2146" s="11">
        <f>IF($A2146="","",COUNTIFS(Ventes_Detail!$B$6:$B$3005,$A2146))</f>
        <v/>
      </c>
      <c r="M2146" s="12" t="n"/>
      <c r="N2146" s="12">
        <f>IF($A2146="","",IF($G2146="","",IF($M2146="Oui","Litige",IF($J2146&lt;=0,"Payé",IF($I2146&gt;0,"Partiel",IF(Listes!$B$3&gt;$G2146,"En retard","À échoir"))))))</f>
        <v/>
      </c>
      <c r="O2146" s="11">
        <f>IF($A2146="","",IF(OR($G2146="", $J2146&lt;=0),0,MAX(0,Listes!$B$3-$G2146)))</f>
        <v/>
      </c>
      <c r="P2146" s="12">
        <f>IF($A2146="","",IF($J2146&lt;=0,"Payé",IF($M2146="Oui","Litige",IF($O2146=0,"À échoir",IF($O2146&lt;=30,"0-30",IF($O2146&lt;=60,"31-60",IF($O2146&lt;=90,"61-90","90+")))))))</f>
        <v/>
      </c>
    </row>
    <row r="2147">
      <c r="A2147" s="6" t="n"/>
      <c r="B2147" s="6" t="n"/>
      <c r="C2147" s="6" t="n"/>
      <c r="D2147" s="6" t="n"/>
      <c r="E2147" s="6" t="n"/>
      <c r="F2147" s="7" t="n"/>
      <c r="G2147" s="7" t="n"/>
      <c r="H2147" s="8" t="n"/>
      <c r="I2147" s="9">
        <f>IF($A2147="","",SUMIFS(Ventes_Encaissements!$D$6:$D$3005,Ventes_Encaissements!$B$6:$B$3005,$A2147))</f>
        <v/>
      </c>
      <c r="J2147" s="9">
        <f>IF($A2147="","",$H2147-$I2147)</f>
        <v/>
      </c>
      <c r="K2147" s="10">
        <f>IF($A2147="","",IF($I2147=0,"",_xludf.AGGREGATE(14,6,Ventes_Encaissements!$C$6:$C$3005/(Ventes_Encaissements!$B$6:$B$3005=$A2147),1)))</f>
        <v/>
      </c>
      <c r="L2147" s="11">
        <f>IF($A2147="","",COUNTIFS(Ventes_Detail!$B$6:$B$3005,$A2147))</f>
        <v/>
      </c>
      <c r="M2147" s="12" t="n"/>
      <c r="N2147" s="12">
        <f>IF($A2147="","",IF($G2147="","",IF($M2147="Oui","Litige",IF($J2147&lt;=0,"Payé",IF($I2147&gt;0,"Partiel",IF(Listes!$B$3&gt;$G2147,"En retard","À échoir"))))))</f>
        <v/>
      </c>
      <c r="O2147" s="11">
        <f>IF($A2147="","",IF(OR($G2147="", $J2147&lt;=0),0,MAX(0,Listes!$B$3-$G2147)))</f>
        <v/>
      </c>
      <c r="P2147" s="12">
        <f>IF($A2147="","",IF($J2147&lt;=0,"Payé",IF($M2147="Oui","Litige",IF($O2147=0,"À échoir",IF($O2147&lt;=30,"0-30",IF($O2147&lt;=60,"31-60",IF($O2147&lt;=90,"61-90","90+")))))))</f>
        <v/>
      </c>
    </row>
    <row r="2148">
      <c r="A2148" s="6" t="n"/>
      <c r="B2148" s="6" t="n"/>
      <c r="C2148" s="6" t="n"/>
      <c r="D2148" s="6" t="n"/>
      <c r="E2148" s="6" t="n"/>
      <c r="F2148" s="7" t="n"/>
      <c r="G2148" s="7" t="n"/>
      <c r="H2148" s="8" t="n"/>
      <c r="I2148" s="9">
        <f>IF($A2148="","",SUMIFS(Ventes_Encaissements!$D$6:$D$3005,Ventes_Encaissements!$B$6:$B$3005,$A2148))</f>
        <v/>
      </c>
      <c r="J2148" s="9">
        <f>IF($A2148="","",$H2148-$I2148)</f>
        <v/>
      </c>
      <c r="K2148" s="10">
        <f>IF($A2148="","",IF($I2148=0,"",_xludf.AGGREGATE(14,6,Ventes_Encaissements!$C$6:$C$3005/(Ventes_Encaissements!$B$6:$B$3005=$A2148),1)))</f>
        <v/>
      </c>
      <c r="L2148" s="11">
        <f>IF($A2148="","",COUNTIFS(Ventes_Detail!$B$6:$B$3005,$A2148))</f>
        <v/>
      </c>
      <c r="M2148" s="12" t="n"/>
      <c r="N2148" s="12">
        <f>IF($A2148="","",IF($G2148="","",IF($M2148="Oui","Litige",IF($J2148&lt;=0,"Payé",IF($I2148&gt;0,"Partiel",IF(Listes!$B$3&gt;$G2148,"En retard","À échoir"))))))</f>
        <v/>
      </c>
      <c r="O2148" s="11">
        <f>IF($A2148="","",IF(OR($G2148="", $J2148&lt;=0),0,MAX(0,Listes!$B$3-$G2148)))</f>
        <v/>
      </c>
      <c r="P2148" s="12">
        <f>IF($A2148="","",IF($J2148&lt;=0,"Payé",IF($M2148="Oui","Litige",IF($O2148=0,"À échoir",IF($O2148&lt;=30,"0-30",IF($O2148&lt;=60,"31-60",IF($O2148&lt;=90,"61-90","90+")))))))</f>
        <v/>
      </c>
    </row>
    <row r="2149">
      <c r="A2149" s="6" t="n"/>
      <c r="B2149" s="6" t="n"/>
      <c r="C2149" s="6" t="n"/>
      <c r="D2149" s="6" t="n"/>
      <c r="E2149" s="6" t="n"/>
      <c r="F2149" s="7" t="n"/>
      <c r="G2149" s="7" t="n"/>
      <c r="H2149" s="8" t="n"/>
      <c r="I2149" s="9">
        <f>IF($A2149="","",SUMIFS(Ventes_Encaissements!$D$6:$D$3005,Ventes_Encaissements!$B$6:$B$3005,$A2149))</f>
        <v/>
      </c>
      <c r="J2149" s="9">
        <f>IF($A2149="","",$H2149-$I2149)</f>
        <v/>
      </c>
      <c r="K2149" s="10">
        <f>IF($A2149="","",IF($I2149=0,"",_xludf.AGGREGATE(14,6,Ventes_Encaissements!$C$6:$C$3005/(Ventes_Encaissements!$B$6:$B$3005=$A2149),1)))</f>
        <v/>
      </c>
      <c r="L2149" s="11">
        <f>IF($A2149="","",COUNTIFS(Ventes_Detail!$B$6:$B$3005,$A2149))</f>
        <v/>
      </c>
      <c r="M2149" s="12" t="n"/>
      <c r="N2149" s="12">
        <f>IF($A2149="","",IF($G2149="","",IF($M2149="Oui","Litige",IF($J2149&lt;=0,"Payé",IF($I2149&gt;0,"Partiel",IF(Listes!$B$3&gt;$G2149,"En retard","À échoir"))))))</f>
        <v/>
      </c>
      <c r="O2149" s="11">
        <f>IF($A2149="","",IF(OR($G2149="", $J2149&lt;=0),0,MAX(0,Listes!$B$3-$G2149)))</f>
        <v/>
      </c>
      <c r="P2149" s="12">
        <f>IF($A2149="","",IF($J2149&lt;=0,"Payé",IF($M2149="Oui","Litige",IF($O2149=0,"À échoir",IF($O2149&lt;=30,"0-30",IF($O2149&lt;=60,"31-60",IF($O2149&lt;=90,"61-90","90+")))))))</f>
        <v/>
      </c>
    </row>
    <row r="2150">
      <c r="A2150" s="6" t="n"/>
      <c r="B2150" s="6" t="n"/>
      <c r="C2150" s="6" t="n"/>
      <c r="D2150" s="6" t="n"/>
      <c r="E2150" s="6" t="n"/>
      <c r="F2150" s="7" t="n"/>
      <c r="G2150" s="7" t="n"/>
      <c r="H2150" s="8" t="n"/>
      <c r="I2150" s="9">
        <f>IF($A2150="","",SUMIFS(Ventes_Encaissements!$D$6:$D$3005,Ventes_Encaissements!$B$6:$B$3005,$A2150))</f>
        <v/>
      </c>
      <c r="J2150" s="9">
        <f>IF($A2150="","",$H2150-$I2150)</f>
        <v/>
      </c>
      <c r="K2150" s="10">
        <f>IF($A2150="","",IF($I2150=0,"",_xludf.AGGREGATE(14,6,Ventes_Encaissements!$C$6:$C$3005/(Ventes_Encaissements!$B$6:$B$3005=$A2150),1)))</f>
        <v/>
      </c>
      <c r="L2150" s="11">
        <f>IF($A2150="","",COUNTIFS(Ventes_Detail!$B$6:$B$3005,$A2150))</f>
        <v/>
      </c>
      <c r="M2150" s="12" t="n"/>
      <c r="N2150" s="12">
        <f>IF($A2150="","",IF($G2150="","",IF($M2150="Oui","Litige",IF($J2150&lt;=0,"Payé",IF($I2150&gt;0,"Partiel",IF(Listes!$B$3&gt;$G2150,"En retard","À échoir"))))))</f>
        <v/>
      </c>
      <c r="O2150" s="11">
        <f>IF($A2150="","",IF(OR($G2150="", $J2150&lt;=0),0,MAX(0,Listes!$B$3-$G2150)))</f>
        <v/>
      </c>
      <c r="P2150" s="12">
        <f>IF($A2150="","",IF($J2150&lt;=0,"Payé",IF($M2150="Oui","Litige",IF($O2150=0,"À échoir",IF($O2150&lt;=30,"0-30",IF($O2150&lt;=60,"31-60",IF($O2150&lt;=90,"61-90","90+")))))))</f>
        <v/>
      </c>
    </row>
    <row r="2151">
      <c r="A2151" s="6" t="n"/>
      <c r="B2151" s="6" t="n"/>
      <c r="C2151" s="6" t="n"/>
      <c r="D2151" s="6" t="n"/>
      <c r="E2151" s="6" t="n"/>
      <c r="F2151" s="7" t="n"/>
      <c r="G2151" s="7" t="n"/>
      <c r="H2151" s="8" t="n"/>
      <c r="I2151" s="9">
        <f>IF($A2151="","",SUMIFS(Ventes_Encaissements!$D$6:$D$3005,Ventes_Encaissements!$B$6:$B$3005,$A2151))</f>
        <v/>
      </c>
      <c r="J2151" s="9">
        <f>IF($A2151="","",$H2151-$I2151)</f>
        <v/>
      </c>
      <c r="K2151" s="10">
        <f>IF($A2151="","",IF($I2151=0,"",_xludf.AGGREGATE(14,6,Ventes_Encaissements!$C$6:$C$3005/(Ventes_Encaissements!$B$6:$B$3005=$A2151),1)))</f>
        <v/>
      </c>
      <c r="L2151" s="11">
        <f>IF($A2151="","",COUNTIFS(Ventes_Detail!$B$6:$B$3005,$A2151))</f>
        <v/>
      </c>
      <c r="M2151" s="12" t="n"/>
      <c r="N2151" s="12">
        <f>IF($A2151="","",IF($G2151="","",IF($M2151="Oui","Litige",IF($J2151&lt;=0,"Payé",IF($I2151&gt;0,"Partiel",IF(Listes!$B$3&gt;$G2151,"En retard","À échoir"))))))</f>
        <v/>
      </c>
      <c r="O2151" s="11">
        <f>IF($A2151="","",IF(OR($G2151="", $J2151&lt;=0),0,MAX(0,Listes!$B$3-$G2151)))</f>
        <v/>
      </c>
      <c r="P2151" s="12">
        <f>IF($A2151="","",IF($J2151&lt;=0,"Payé",IF($M2151="Oui","Litige",IF($O2151=0,"À échoir",IF($O2151&lt;=30,"0-30",IF($O2151&lt;=60,"31-60",IF($O2151&lt;=90,"61-90","90+")))))))</f>
        <v/>
      </c>
    </row>
    <row r="2152">
      <c r="A2152" s="6" t="n"/>
      <c r="B2152" s="6" t="n"/>
      <c r="C2152" s="6" t="n"/>
      <c r="D2152" s="6" t="n"/>
      <c r="E2152" s="6" t="n"/>
      <c r="F2152" s="7" t="n"/>
      <c r="G2152" s="7" t="n"/>
      <c r="H2152" s="8" t="n"/>
      <c r="I2152" s="9">
        <f>IF($A2152="","",SUMIFS(Ventes_Encaissements!$D$6:$D$3005,Ventes_Encaissements!$B$6:$B$3005,$A2152))</f>
        <v/>
      </c>
      <c r="J2152" s="9">
        <f>IF($A2152="","",$H2152-$I2152)</f>
        <v/>
      </c>
      <c r="K2152" s="10">
        <f>IF($A2152="","",IF($I2152=0,"",_xludf.AGGREGATE(14,6,Ventes_Encaissements!$C$6:$C$3005/(Ventes_Encaissements!$B$6:$B$3005=$A2152),1)))</f>
        <v/>
      </c>
      <c r="L2152" s="11">
        <f>IF($A2152="","",COUNTIFS(Ventes_Detail!$B$6:$B$3005,$A2152))</f>
        <v/>
      </c>
      <c r="M2152" s="12" t="n"/>
      <c r="N2152" s="12">
        <f>IF($A2152="","",IF($G2152="","",IF($M2152="Oui","Litige",IF($J2152&lt;=0,"Payé",IF($I2152&gt;0,"Partiel",IF(Listes!$B$3&gt;$G2152,"En retard","À échoir"))))))</f>
        <v/>
      </c>
      <c r="O2152" s="11">
        <f>IF($A2152="","",IF(OR($G2152="", $J2152&lt;=0),0,MAX(0,Listes!$B$3-$G2152)))</f>
        <v/>
      </c>
      <c r="P2152" s="12">
        <f>IF($A2152="","",IF($J2152&lt;=0,"Payé",IF($M2152="Oui","Litige",IF($O2152=0,"À échoir",IF($O2152&lt;=30,"0-30",IF($O2152&lt;=60,"31-60",IF($O2152&lt;=90,"61-90","90+")))))))</f>
        <v/>
      </c>
    </row>
    <row r="2153">
      <c r="A2153" s="6" t="n"/>
      <c r="B2153" s="6" t="n"/>
      <c r="C2153" s="6" t="n"/>
      <c r="D2153" s="6" t="n"/>
      <c r="E2153" s="6" t="n"/>
      <c r="F2153" s="7" t="n"/>
      <c r="G2153" s="7" t="n"/>
      <c r="H2153" s="8" t="n"/>
      <c r="I2153" s="9">
        <f>IF($A2153="","",SUMIFS(Ventes_Encaissements!$D$6:$D$3005,Ventes_Encaissements!$B$6:$B$3005,$A2153))</f>
        <v/>
      </c>
      <c r="J2153" s="9">
        <f>IF($A2153="","",$H2153-$I2153)</f>
        <v/>
      </c>
      <c r="K2153" s="10">
        <f>IF($A2153="","",IF($I2153=0,"",_xludf.AGGREGATE(14,6,Ventes_Encaissements!$C$6:$C$3005/(Ventes_Encaissements!$B$6:$B$3005=$A2153),1)))</f>
        <v/>
      </c>
      <c r="L2153" s="11">
        <f>IF($A2153="","",COUNTIFS(Ventes_Detail!$B$6:$B$3005,$A2153))</f>
        <v/>
      </c>
      <c r="M2153" s="12" t="n"/>
      <c r="N2153" s="12">
        <f>IF($A2153="","",IF($G2153="","",IF($M2153="Oui","Litige",IF($J2153&lt;=0,"Payé",IF($I2153&gt;0,"Partiel",IF(Listes!$B$3&gt;$G2153,"En retard","À échoir"))))))</f>
        <v/>
      </c>
      <c r="O2153" s="11">
        <f>IF($A2153="","",IF(OR($G2153="", $J2153&lt;=0),0,MAX(0,Listes!$B$3-$G2153)))</f>
        <v/>
      </c>
      <c r="P2153" s="12">
        <f>IF($A2153="","",IF($J2153&lt;=0,"Payé",IF($M2153="Oui","Litige",IF($O2153=0,"À échoir",IF($O2153&lt;=30,"0-30",IF($O2153&lt;=60,"31-60",IF($O2153&lt;=90,"61-90","90+")))))))</f>
        <v/>
      </c>
    </row>
    <row r="2154">
      <c r="A2154" s="6" t="n"/>
      <c r="B2154" s="6" t="n"/>
      <c r="C2154" s="6" t="n"/>
      <c r="D2154" s="6" t="n"/>
      <c r="E2154" s="6" t="n"/>
      <c r="F2154" s="7" t="n"/>
      <c r="G2154" s="7" t="n"/>
      <c r="H2154" s="8" t="n"/>
      <c r="I2154" s="9">
        <f>IF($A2154="","",SUMIFS(Ventes_Encaissements!$D$6:$D$3005,Ventes_Encaissements!$B$6:$B$3005,$A2154))</f>
        <v/>
      </c>
      <c r="J2154" s="9">
        <f>IF($A2154="","",$H2154-$I2154)</f>
        <v/>
      </c>
      <c r="K2154" s="10">
        <f>IF($A2154="","",IF($I2154=0,"",_xludf.AGGREGATE(14,6,Ventes_Encaissements!$C$6:$C$3005/(Ventes_Encaissements!$B$6:$B$3005=$A2154),1)))</f>
        <v/>
      </c>
      <c r="L2154" s="11">
        <f>IF($A2154="","",COUNTIFS(Ventes_Detail!$B$6:$B$3005,$A2154))</f>
        <v/>
      </c>
      <c r="M2154" s="12" t="n"/>
      <c r="N2154" s="12">
        <f>IF($A2154="","",IF($G2154="","",IF($M2154="Oui","Litige",IF($J2154&lt;=0,"Payé",IF($I2154&gt;0,"Partiel",IF(Listes!$B$3&gt;$G2154,"En retard","À échoir"))))))</f>
        <v/>
      </c>
      <c r="O2154" s="11">
        <f>IF($A2154="","",IF(OR($G2154="", $J2154&lt;=0),0,MAX(0,Listes!$B$3-$G2154)))</f>
        <v/>
      </c>
      <c r="P2154" s="12">
        <f>IF($A2154="","",IF($J2154&lt;=0,"Payé",IF($M2154="Oui","Litige",IF($O2154=0,"À échoir",IF($O2154&lt;=30,"0-30",IF($O2154&lt;=60,"31-60",IF($O2154&lt;=90,"61-90","90+")))))))</f>
        <v/>
      </c>
    </row>
    <row r="2155">
      <c r="A2155" s="6" t="n"/>
      <c r="B2155" s="6" t="n"/>
      <c r="C2155" s="6" t="n"/>
      <c r="D2155" s="6" t="n"/>
      <c r="E2155" s="6" t="n"/>
      <c r="F2155" s="7" t="n"/>
      <c r="G2155" s="7" t="n"/>
      <c r="H2155" s="8" t="n"/>
      <c r="I2155" s="9">
        <f>IF($A2155="","",SUMIFS(Ventes_Encaissements!$D$6:$D$3005,Ventes_Encaissements!$B$6:$B$3005,$A2155))</f>
        <v/>
      </c>
      <c r="J2155" s="9">
        <f>IF($A2155="","",$H2155-$I2155)</f>
        <v/>
      </c>
      <c r="K2155" s="10">
        <f>IF($A2155="","",IF($I2155=0,"",_xludf.AGGREGATE(14,6,Ventes_Encaissements!$C$6:$C$3005/(Ventes_Encaissements!$B$6:$B$3005=$A2155),1)))</f>
        <v/>
      </c>
      <c r="L2155" s="11">
        <f>IF($A2155="","",COUNTIFS(Ventes_Detail!$B$6:$B$3005,$A2155))</f>
        <v/>
      </c>
      <c r="M2155" s="12" t="n"/>
      <c r="N2155" s="12">
        <f>IF($A2155="","",IF($G2155="","",IF($M2155="Oui","Litige",IF($J2155&lt;=0,"Payé",IF($I2155&gt;0,"Partiel",IF(Listes!$B$3&gt;$G2155,"En retard","À échoir"))))))</f>
        <v/>
      </c>
      <c r="O2155" s="11">
        <f>IF($A2155="","",IF(OR($G2155="", $J2155&lt;=0),0,MAX(0,Listes!$B$3-$G2155)))</f>
        <v/>
      </c>
      <c r="P2155" s="12">
        <f>IF($A2155="","",IF($J2155&lt;=0,"Payé",IF($M2155="Oui","Litige",IF($O2155=0,"À échoir",IF($O2155&lt;=30,"0-30",IF($O2155&lt;=60,"31-60",IF($O2155&lt;=90,"61-90","90+")))))))</f>
        <v/>
      </c>
    </row>
    <row r="2156">
      <c r="A2156" s="6" t="n"/>
      <c r="B2156" s="6" t="n"/>
      <c r="C2156" s="6" t="n"/>
      <c r="D2156" s="6" t="n"/>
      <c r="E2156" s="6" t="n"/>
      <c r="F2156" s="7" t="n"/>
      <c r="G2156" s="7" t="n"/>
      <c r="H2156" s="8" t="n"/>
      <c r="I2156" s="9">
        <f>IF($A2156="","",SUMIFS(Ventes_Encaissements!$D$6:$D$3005,Ventes_Encaissements!$B$6:$B$3005,$A2156))</f>
        <v/>
      </c>
      <c r="J2156" s="9">
        <f>IF($A2156="","",$H2156-$I2156)</f>
        <v/>
      </c>
      <c r="K2156" s="10">
        <f>IF($A2156="","",IF($I2156=0,"",_xludf.AGGREGATE(14,6,Ventes_Encaissements!$C$6:$C$3005/(Ventes_Encaissements!$B$6:$B$3005=$A2156),1)))</f>
        <v/>
      </c>
      <c r="L2156" s="11">
        <f>IF($A2156="","",COUNTIFS(Ventes_Detail!$B$6:$B$3005,$A2156))</f>
        <v/>
      </c>
      <c r="M2156" s="12" t="n"/>
      <c r="N2156" s="12">
        <f>IF($A2156="","",IF($G2156="","",IF($M2156="Oui","Litige",IF($J2156&lt;=0,"Payé",IF($I2156&gt;0,"Partiel",IF(Listes!$B$3&gt;$G2156,"En retard","À échoir"))))))</f>
        <v/>
      </c>
      <c r="O2156" s="11">
        <f>IF($A2156="","",IF(OR($G2156="", $J2156&lt;=0),0,MAX(0,Listes!$B$3-$G2156)))</f>
        <v/>
      </c>
      <c r="P2156" s="12">
        <f>IF($A2156="","",IF($J2156&lt;=0,"Payé",IF($M2156="Oui","Litige",IF($O2156=0,"À échoir",IF($O2156&lt;=30,"0-30",IF($O2156&lt;=60,"31-60",IF($O2156&lt;=90,"61-90","90+")))))))</f>
        <v/>
      </c>
    </row>
    <row r="2157">
      <c r="A2157" s="6" t="n"/>
      <c r="B2157" s="6" t="n"/>
      <c r="C2157" s="6" t="n"/>
      <c r="D2157" s="6" t="n"/>
      <c r="E2157" s="6" t="n"/>
      <c r="F2157" s="7" t="n"/>
      <c r="G2157" s="7" t="n"/>
      <c r="H2157" s="8" t="n"/>
      <c r="I2157" s="9">
        <f>IF($A2157="","",SUMIFS(Ventes_Encaissements!$D$6:$D$3005,Ventes_Encaissements!$B$6:$B$3005,$A2157))</f>
        <v/>
      </c>
      <c r="J2157" s="9">
        <f>IF($A2157="","",$H2157-$I2157)</f>
        <v/>
      </c>
      <c r="K2157" s="10">
        <f>IF($A2157="","",IF($I2157=0,"",_xludf.AGGREGATE(14,6,Ventes_Encaissements!$C$6:$C$3005/(Ventes_Encaissements!$B$6:$B$3005=$A2157),1)))</f>
        <v/>
      </c>
      <c r="L2157" s="11">
        <f>IF($A2157="","",COUNTIFS(Ventes_Detail!$B$6:$B$3005,$A2157))</f>
        <v/>
      </c>
      <c r="M2157" s="12" t="n"/>
      <c r="N2157" s="12">
        <f>IF($A2157="","",IF($G2157="","",IF($M2157="Oui","Litige",IF($J2157&lt;=0,"Payé",IF($I2157&gt;0,"Partiel",IF(Listes!$B$3&gt;$G2157,"En retard","À échoir"))))))</f>
        <v/>
      </c>
      <c r="O2157" s="11">
        <f>IF($A2157="","",IF(OR($G2157="", $J2157&lt;=0),0,MAX(0,Listes!$B$3-$G2157)))</f>
        <v/>
      </c>
      <c r="P2157" s="12">
        <f>IF($A2157="","",IF($J2157&lt;=0,"Payé",IF($M2157="Oui","Litige",IF($O2157=0,"À échoir",IF($O2157&lt;=30,"0-30",IF($O2157&lt;=60,"31-60",IF($O2157&lt;=90,"61-90","90+")))))))</f>
        <v/>
      </c>
    </row>
    <row r="2158">
      <c r="A2158" s="6" t="n"/>
      <c r="B2158" s="6" t="n"/>
      <c r="C2158" s="6" t="n"/>
      <c r="D2158" s="6" t="n"/>
      <c r="E2158" s="6" t="n"/>
      <c r="F2158" s="7" t="n"/>
      <c r="G2158" s="7" t="n"/>
      <c r="H2158" s="8" t="n"/>
      <c r="I2158" s="9">
        <f>IF($A2158="","",SUMIFS(Ventes_Encaissements!$D$6:$D$3005,Ventes_Encaissements!$B$6:$B$3005,$A2158))</f>
        <v/>
      </c>
      <c r="J2158" s="9">
        <f>IF($A2158="","",$H2158-$I2158)</f>
        <v/>
      </c>
      <c r="K2158" s="10">
        <f>IF($A2158="","",IF($I2158=0,"",_xludf.AGGREGATE(14,6,Ventes_Encaissements!$C$6:$C$3005/(Ventes_Encaissements!$B$6:$B$3005=$A2158),1)))</f>
        <v/>
      </c>
      <c r="L2158" s="11">
        <f>IF($A2158="","",COUNTIFS(Ventes_Detail!$B$6:$B$3005,$A2158))</f>
        <v/>
      </c>
      <c r="M2158" s="12" t="n"/>
      <c r="N2158" s="12">
        <f>IF($A2158="","",IF($G2158="","",IF($M2158="Oui","Litige",IF($J2158&lt;=0,"Payé",IF($I2158&gt;0,"Partiel",IF(Listes!$B$3&gt;$G2158,"En retard","À échoir"))))))</f>
        <v/>
      </c>
      <c r="O2158" s="11">
        <f>IF($A2158="","",IF(OR($G2158="", $J2158&lt;=0),0,MAX(0,Listes!$B$3-$G2158)))</f>
        <v/>
      </c>
      <c r="P2158" s="12">
        <f>IF($A2158="","",IF($J2158&lt;=0,"Payé",IF($M2158="Oui","Litige",IF($O2158=0,"À échoir",IF($O2158&lt;=30,"0-30",IF($O2158&lt;=60,"31-60",IF($O2158&lt;=90,"61-90","90+")))))))</f>
        <v/>
      </c>
    </row>
    <row r="2159">
      <c r="A2159" s="6" t="n"/>
      <c r="B2159" s="6" t="n"/>
      <c r="C2159" s="6" t="n"/>
      <c r="D2159" s="6" t="n"/>
      <c r="E2159" s="6" t="n"/>
      <c r="F2159" s="7" t="n"/>
      <c r="G2159" s="7" t="n"/>
      <c r="H2159" s="8" t="n"/>
      <c r="I2159" s="9">
        <f>IF($A2159="","",SUMIFS(Ventes_Encaissements!$D$6:$D$3005,Ventes_Encaissements!$B$6:$B$3005,$A2159))</f>
        <v/>
      </c>
      <c r="J2159" s="9">
        <f>IF($A2159="","",$H2159-$I2159)</f>
        <v/>
      </c>
      <c r="K2159" s="10">
        <f>IF($A2159="","",IF($I2159=0,"",_xludf.AGGREGATE(14,6,Ventes_Encaissements!$C$6:$C$3005/(Ventes_Encaissements!$B$6:$B$3005=$A2159),1)))</f>
        <v/>
      </c>
      <c r="L2159" s="11">
        <f>IF($A2159="","",COUNTIFS(Ventes_Detail!$B$6:$B$3005,$A2159))</f>
        <v/>
      </c>
      <c r="M2159" s="12" t="n"/>
      <c r="N2159" s="12">
        <f>IF($A2159="","",IF($G2159="","",IF($M2159="Oui","Litige",IF($J2159&lt;=0,"Payé",IF($I2159&gt;0,"Partiel",IF(Listes!$B$3&gt;$G2159,"En retard","À échoir"))))))</f>
        <v/>
      </c>
      <c r="O2159" s="11">
        <f>IF($A2159="","",IF(OR($G2159="", $J2159&lt;=0),0,MAX(0,Listes!$B$3-$G2159)))</f>
        <v/>
      </c>
      <c r="P2159" s="12">
        <f>IF($A2159="","",IF($J2159&lt;=0,"Payé",IF($M2159="Oui","Litige",IF($O2159=0,"À échoir",IF($O2159&lt;=30,"0-30",IF($O2159&lt;=60,"31-60",IF($O2159&lt;=90,"61-90","90+")))))))</f>
        <v/>
      </c>
    </row>
    <row r="2160">
      <c r="A2160" s="6" t="n"/>
      <c r="B2160" s="6" t="n"/>
      <c r="C2160" s="6" t="n"/>
      <c r="D2160" s="6" t="n"/>
      <c r="E2160" s="6" t="n"/>
      <c r="F2160" s="7" t="n"/>
      <c r="G2160" s="7" t="n"/>
      <c r="H2160" s="8" t="n"/>
      <c r="I2160" s="9">
        <f>IF($A2160="","",SUMIFS(Ventes_Encaissements!$D$6:$D$3005,Ventes_Encaissements!$B$6:$B$3005,$A2160))</f>
        <v/>
      </c>
      <c r="J2160" s="9">
        <f>IF($A2160="","",$H2160-$I2160)</f>
        <v/>
      </c>
      <c r="K2160" s="10">
        <f>IF($A2160="","",IF($I2160=0,"",_xludf.AGGREGATE(14,6,Ventes_Encaissements!$C$6:$C$3005/(Ventes_Encaissements!$B$6:$B$3005=$A2160),1)))</f>
        <v/>
      </c>
      <c r="L2160" s="11">
        <f>IF($A2160="","",COUNTIFS(Ventes_Detail!$B$6:$B$3005,$A2160))</f>
        <v/>
      </c>
      <c r="M2160" s="12" t="n"/>
      <c r="N2160" s="12">
        <f>IF($A2160="","",IF($G2160="","",IF($M2160="Oui","Litige",IF($J2160&lt;=0,"Payé",IF($I2160&gt;0,"Partiel",IF(Listes!$B$3&gt;$G2160,"En retard","À échoir"))))))</f>
        <v/>
      </c>
      <c r="O2160" s="11">
        <f>IF($A2160="","",IF(OR($G2160="", $J2160&lt;=0),0,MAX(0,Listes!$B$3-$G2160)))</f>
        <v/>
      </c>
      <c r="P2160" s="12">
        <f>IF($A2160="","",IF($J2160&lt;=0,"Payé",IF($M2160="Oui","Litige",IF($O2160=0,"À échoir",IF($O2160&lt;=30,"0-30",IF($O2160&lt;=60,"31-60",IF($O2160&lt;=90,"61-90","90+")))))))</f>
        <v/>
      </c>
    </row>
    <row r="2161">
      <c r="A2161" s="6" t="n"/>
      <c r="B2161" s="6" t="n"/>
      <c r="C2161" s="6" t="n"/>
      <c r="D2161" s="6" t="n"/>
      <c r="E2161" s="6" t="n"/>
      <c r="F2161" s="7" t="n"/>
      <c r="G2161" s="7" t="n"/>
      <c r="H2161" s="8" t="n"/>
      <c r="I2161" s="9">
        <f>IF($A2161="","",SUMIFS(Ventes_Encaissements!$D$6:$D$3005,Ventes_Encaissements!$B$6:$B$3005,$A2161))</f>
        <v/>
      </c>
      <c r="J2161" s="9">
        <f>IF($A2161="","",$H2161-$I2161)</f>
        <v/>
      </c>
      <c r="K2161" s="10">
        <f>IF($A2161="","",IF($I2161=0,"",_xludf.AGGREGATE(14,6,Ventes_Encaissements!$C$6:$C$3005/(Ventes_Encaissements!$B$6:$B$3005=$A2161),1)))</f>
        <v/>
      </c>
      <c r="L2161" s="11">
        <f>IF($A2161="","",COUNTIFS(Ventes_Detail!$B$6:$B$3005,$A2161))</f>
        <v/>
      </c>
      <c r="M2161" s="12" t="n"/>
      <c r="N2161" s="12">
        <f>IF($A2161="","",IF($G2161="","",IF($M2161="Oui","Litige",IF($J2161&lt;=0,"Payé",IF($I2161&gt;0,"Partiel",IF(Listes!$B$3&gt;$G2161,"En retard","À échoir"))))))</f>
        <v/>
      </c>
      <c r="O2161" s="11">
        <f>IF($A2161="","",IF(OR($G2161="", $J2161&lt;=0),0,MAX(0,Listes!$B$3-$G2161)))</f>
        <v/>
      </c>
      <c r="P2161" s="12">
        <f>IF($A2161="","",IF($J2161&lt;=0,"Payé",IF($M2161="Oui","Litige",IF($O2161=0,"À échoir",IF($O2161&lt;=30,"0-30",IF($O2161&lt;=60,"31-60",IF($O2161&lt;=90,"61-90","90+")))))))</f>
        <v/>
      </c>
    </row>
    <row r="2162">
      <c r="A2162" s="6" t="n"/>
      <c r="B2162" s="6" t="n"/>
      <c r="C2162" s="6" t="n"/>
      <c r="D2162" s="6" t="n"/>
      <c r="E2162" s="6" t="n"/>
      <c r="F2162" s="7" t="n"/>
      <c r="G2162" s="7" t="n"/>
      <c r="H2162" s="8" t="n"/>
      <c r="I2162" s="9">
        <f>IF($A2162="","",SUMIFS(Ventes_Encaissements!$D$6:$D$3005,Ventes_Encaissements!$B$6:$B$3005,$A2162))</f>
        <v/>
      </c>
      <c r="J2162" s="9">
        <f>IF($A2162="","",$H2162-$I2162)</f>
        <v/>
      </c>
      <c r="K2162" s="10">
        <f>IF($A2162="","",IF($I2162=0,"",_xludf.AGGREGATE(14,6,Ventes_Encaissements!$C$6:$C$3005/(Ventes_Encaissements!$B$6:$B$3005=$A2162),1)))</f>
        <v/>
      </c>
      <c r="L2162" s="11">
        <f>IF($A2162="","",COUNTIFS(Ventes_Detail!$B$6:$B$3005,$A2162))</f>
        <v/>
      </c>
      <c r="M2162" s="12" t="n"/>
      <c r="N2162" s="12">
        <f>IF($A2162="","",IF($G2162="","",IF($M2162="Oui","Litige",IF($J2162&lt;=0,"Payé",IF($I2162&gt;0,"Partiel",IF(Listes!$B$3&gt;$G2162,"En retard","À échoir"))))))</f>
        <v/>
      </c>
      <c r="O2162" s="11">
        <f>IF($A2162="","",IF(OR($G2162="", $J2162&lt;=0),0,MAX(0,Listes!$B$3-$G2162)))</f>
        <v/>
      </c>
      <c r="P2162" s="12">
        <f>IF($A2162="","",IF($J2162&lt;=0,"Payé",IF($M2162="Oui","Litige",IF($O2162=0,"À échoir",IF($O2162&lt;=30,"0-30",IF($O2162&lt;=60,"31-60",IF($O2162&lt;=90,"61-90","90+")))))))</f>
        <v/>
      </c>
    </row>
    <row r="2163">
      <c r="A2163" s="6" t="n"/>
      <c r="B2163" s="6" t="n"/>
      <c r="C2163" s="6" t="n"/>
      <c r="D2163" s="6" t="n"/>
      <c r="E2163" s="6" t="n"/>
      <c r="F2163" s="7" t="n"/>
      <c r="G2163" s="7" t="n"/>
      <c r="H2163" s="8" t="n"/>
      <c r="I2163" s="9">
        <f>IF($A2163="","",SUMIFS(Ventes_Encaissements!$D$6:$D$3005,Ventes_Encaissements!$B$6:$B$3005,$A2163))</f>
        <v/>
      </c>
      <c r="J2163" s="9">
        <f>IF($A2163="","",$H2163-$I2163)</f>
        <v/>
      </c>
      <c r="K2163" s="10">
        <f>IF($A2163="","",IF($I2163=0,"",_xludf.AGGREGATE(14,6,Ventes_Encaissements!$C$6:$C$3005/(Ventes_Encaissements!$B$6:$B$3005=$A2163),1)))</f>
        <v/>
      </c>
      <c r="L2163" s="11">
        <f>IF($A2163="","",COUNTIFS(Ventes_Detail!$B$6:$B$3005,$A2163))</f>
        <v/>
      </c>
      <c r="M2163" s="12" t="n"/>
      <c r="N2163" s="12">
        <f>IF($A2163="","",IF($G2163="","",IF($M2163="Oui","Litige",IF($J2163&lt;=0,"Payé",IF($I2163&gt;0,"Partiel",IF(Listes!$B$3&gt;$G2163,"En retard","À échoir"))))))</f>
        <v/>
      </c>
      <c r="O2163" s="11">
        <f>IF($A2163="","",IF(OR($G2163="", $J2163&lt;=0),0,MAX(0,Listes!$B$3-$G2163)))</f>
        <v/>
      </c>
      <c r="P2163" s="12">
        <f>IF($A2163="","",IF($J2163&lt;=0,"Payé",IF($M2163="Oui","Litige",IF($O2163=0,"À échoir",IF($O2163&lt;=30,"0-30",IF($O2163&lt;=60,"31-60",IF($O2163&lt;=90,"61-90","90+")))))))</f>
        <v/>
      </c>
    </row>
    <row r="2164">
      <c r="A2164" s="6" t="n"/>
      <c r="B2164" s="6" t="n"/>
      <c r="C2164" s="6" t="n"/>
      <c r="D2164" s="6" t="n"/>
      <c r="E2164" s="6" t="n"/>
      <c r="F2164" s="7" t="n"/>
      <c r="G2164" s="7" t="n"/>
      <c r="H2164" s="8" t="n"/>
      <c r="I2164" s="9">
        <f>IF($A2164="","",SUMIFS(Ventes_Encaissements!$D$6:$D$3005,Ventes_Encaissements!$B$6:$B$3005,$A2164))</f>
        <v/>
      </c>
      <c r="J2164" s="9">
        <f>IF($A2164="","",$H2164-$I2164)</f>
        <v/>
      </c>
      <c r="K2164" s="10">
        <f>IF($A2164="","",IF($I2164=0,"",_xludf.AGGREGATE(14,6,Ventes_Encaissements!$C$6:$C$3005/(Ventes_Encaissements!$B$6:$B$3005=$A2164),1)))</f>
        <v/>
      </c>
      <c r="L2164" s="11">
        <f>IF($A2164="","",COUNTIFS(Ventes_Detail!$B$6:$B$3005,$A2164))</f>
        <v/>
      </c>
      <c r="M2164" s="12" t="n"/>
      <c r="N2164" s="12">
        <f>IF($A2164="","",IF($G2164="","",IF($M2164="Oui","Litige",IF($J2164&lt;=0,"Payé",IF($I2164&gt;0,"Partiel",IF(Listes!$B$3&gt;$G2164,"En retard","À échoir"))))))</f>
        <v/>
      </c>
      <c r="O2164" s="11">
        <f>IF($A2164="","",IF(OR($G2164="", $J2164&lt;=0),0,MAX(0,Listes!$B$3-$G2164)))</f>
        <v/>
      </c>
      <c r="P2164" s="12">
        <f>IF($A2164="","",IF($J2164&lt;=0,"Payé",IF($M2164="Oui","Litige",IF($O2164=0,"À échoir",IF($O2164&lt;=30,"0-30",IF($O2164&lt;=60,"31-60",IF($O2164&lt;=90,"61-90","90+")))))))</f>
        <v/>
      </c>
    </row>
    <row r="2165">
      <c r="A2165" s="6" t="n"/>
      <c r="B2165" s="6" t="n"/>
      <c r="C2165" s="6" t="n"/>
      <c r="D2165" s="6" t="n"/>
      <c r="E2165" s="6" t="n"/>
      <c r="F2165" s="7" t="n"/>
      <c r="G2165" s="7" t="n"/>
      <c r="H2165" s="8" t="n"/>
      <c r="I2165" s="9">
        <f>IF($A2165="","",SUMIFS(Ventes_Encaissements!$D$6:$D$3005,Ventes_Encaissements!$B$6:$B$3005,$A2165))</f>
        <v/>
      </c>
      <c r="J2165" s="9">
        <f>IF($A2165="","",$H2165-$I2165)</f>
        <v/>
      </c>
      <c r="K2165" s="10">
        <f>IF($A2165="","",IF($I2165=0,"",_xludf.AGGREGATE(14,6,Ventes_Encaissements!$C$6:$C$3005/(Ventes_Encaissements!$B$6:$B$3005=$A2165),1)))</f>
        <v/>
      </c>
      <c r="L2165" s="11">
        <f>IF($A2165="","",COUNTIFS(Ventes_Detail!$B$6:$B$3005,$A2165))</f>
        <v/>
      </c>
      <c r="M2165" s="12" t="n"/>
      <c r="N2165" s="12">
        <f>IF($A2165="","",IF($G2165="","",IF($M2165="Oui","Litige",IF($J2165&lt;=0,"Payé",IF($I2165&gt;0,"Partiel",IF(Listes!$B$3&gt;$G2165,"En retard","À échoir"))))))</f>
        <v/>
      </c>
      <c r="O2165" s="11">
        <f>IF($A2165="","",IF(OR($G2165="", $J2165&lt;=0),0,MAX(0,Listes!$B$3-$G2165)))</f>
        <v/>
      </c>
      <c r="P2165" s="12">
        <f>IF($A2165="","",IF($J2165&lt;=0,"Payé",IF($M2165="Oui","Litige",IF($O2165=0,"À échoir",IF($O2165&lt;=30,"0-30",IF($O2165&lt;=60,"31-60",IF($O2165&lt;=90,"61-90","90+")))))))</f>
        <v/>
      </c>
    </row>
    <row r="2166">
      <c r="A2166" s="6" t="n"/>
      <c r="B2166" s="6" t="n"/>
      <c r="C2166" s="6" t="n"/>
      <c r="D2166" s="6" t="n"/>
      <c r="E2166" s="6" t="n"/>
      <c r="F2166" s="7" t="n"/>
      <c r="G2166" s="7" t="n"/>
      <c r="H2166" s="8" t="n"/>
      <c r="I2166" s="9">
        <f>IF($A2166="","",SUMIFS(Ventes_Encaissements!$D$6:$D$3005,Ventes_Encaissements!$B$6:$B$3005,$A2166))</f>
        <v/>
      </c>
      <c r="J2166" s="9">
        <f>IF($A2166="","",$H2166-$I2166)</f>
        <v/>
      </c>
      <c r="K2166" s="10">
        <f>IF($A2166="","",IF($I2166=0,"",_xludf.AGGREGATE(14,6,Ventes_Encaissements!$C$6:$C$3005/(Ventes_Encaissements!$B$6:$B$3005=$A2166),1)))</f>
        <v/>
      </c>
      <c r="L2166" s="11">
        <f>IF($A2166="","",COUNTIFS(Ventes_Detail!$B$6:$B$3005,$A2166))</f>
        <v/>
      </c>
      <c r="M2166" s="12" t="n"/>
      <c r="N2166" s="12">
        <f>IF($A2166="","",IF($G2166="","",IF($M2166="Oui","Litige",IF($J2166&lt;=0,"Payé",IF($I2166&gt;0,"Partiel",IF(Listes!$B$3&gt;$G2166,"En retard","À échoir"))))))</f>
        <v/>
      </c>
      <c r="O2166" s="11">
        <f>IF($A2166="","",IF(OR($G2166="", $J2166&lt;=0),0,MAX(0,Listes!$B$3-$G2166)))</f>
        <v/>
      </c>
      <c r="P2166" s="12">
        <f>IF($A2166="","",IF($J2166&lt;=0,"Payé",IF($M2166="Oui","Litige",IF($O2166=0,"À échoir",IF($O2166&lt;=30,"0-30",IF($O2166&lt;=60,"31-60",IF($O2166&lt;=90,"61-90","90+")))))))</f>
        <v/>
      </c>
    </row>
    <row r="2167">
      <c r="A2167" s="6" t="n"/>
      <c r="B2167" s="6" t="n"/>
      <c r="C2167" s="6" t="n"/>
      <c r="D2167" s="6" t="n"/>
      <c r="E2167" s="6" t="n"/>
      <c r="F2167" s="7" t="n"/>
      <c r="G2167" s="7" t="n"/>
      <c r="H2167" s="8" t="n"/>
      <c r="I2167" s="9">
        <f>IF($A2167="","",SUMIFS(Ventes_Encaissements!$D$6:$D$3005,Ventes_Encaissements!$B$6:$B$3005,$A2167))</f>
        <v/>
      </c>
      <c r="J2167" s="9">
        <f>IF($A2167="","",$H2167-$I2167)</f>
        <v/>
      </c>
      <c r="K2167" s="10">
        <f>IF($A2167="","",IF($I2167=0,"",_xludf.AGGREGATE(14,6,Ventes_Encaissements!$C$6:$C$3005/(Ventes_Encaissements!$B$6:$B$3005=$A2167),1)))</f>
        <v/>
      </c>
      <c r="L2167" s="11">
        <f>IF($A2167="","",COUNTIFS(Ventes_Detail!$B$6:$B$3005,$A2167))</f>
        <v/>
      </c>
      <c r="M2167" s="12" t="n"/>
      <c r="N2167" s="12">
        <f>IF($A2167="","",IF($G2167="","",IF($M2167="Oui","Litige",IF($J2167&lt;=0,"Payé",IF($I2167&gt;0,"Partiel",IF(Listes!$B$3&gt;$G2167,"En retard","À échoir"))))))</f>
        <v/>
      </c>
      <c r="O2167" s="11">
        <f>IF($A2167="","",IF(OR($G2167="", $J2167&lt;=0),0,MAX(0,Listes!$B$3-$G2167)))</f>
        <v/>
      </c>
      <c r="P2167" s="12">
        <f>IF($A2167="","",IF($J2167&lt;=0,"Payé",IF($M2167="Oui","Litige",IF($O2167=0,"À échoir",IF($O2167&lt;=30,"0-30",IF($O2167&lt;=60,"31-60",IF($O2167&lt;=90,"61-90","90+")))))))</f>
        <v/>
      </c>
    </row>
    <row r="2168">
      <c r="A2168" s="6" t="n"/>
      <c r="B2168" s="6" t="n"/>
      <c r="C2168" s="6" t="n"/>
      <c r="D2168" s="6" t="n"/>
      <c r="E2168" s="6" t="n"/>
      <c r="F2168" s="7" t="n"/>
      <c r="G2168" s="7" t="n"/>
      <c r="H2168" s="8" t="n"/>
      <c r="I2168" s="9">
        <f>IF($A2168="","",SUMIFS(Ventes_Encaissements!$D$6:$D$3005,Ventes_Encaissements!$B$6:$B$3005,$A2168))</f>
        <v/>
      </c>
      <c r="J2168" s="9">
        <f>IF($A2168="","",$H2168-$I2168)</f>
        <v/>
      </c>
      <c r="K2168" s="10">
        <f>IF($A2168="","",IF($I2168=0,"",_xludf.AGGREGATE(14,6,Ventes_Encaissements!$C$6:$C$3005/(Ventes_Encaissements!$B$6:$B$3005=$A2168),1)))</f>
        <v/>
      </c>
      <c r="L2168" s="11">
        <f>IF($A2168="","",COUNTIFS(Ventes_Detail!$B$6:$B$3005,$A2168))</f>
        <v/>
      </c>
      <c r="M2168" s="12" t="n"/>
      <c r="N2168" s="12">
        <f>IF($A2168="","",IF($G2168="","",IF($M2168="Oui","Litige",IF($J2168&lt;=0,"Payé",IF($I2168&gt;0,"Partiel",IF(Listes!$B$3&gt;$G2168,"En retard","À échoir"))))))</f>
        <v/>
      </c>
      <c r="O2168" s="11">
        <f>IF($A2168="","",IF(OR($G2168="", $J2168&lt;=0),0,MAX(0,Listes!$B$3-$G2168)))</f>
        <v/>
      </c>
      <c r="P2168" s="12">
        <f>IF($A2168="","",IF($J2168&lt;=0,"Payé",IF($M2168="Oui","Litige",IF($O2168=0,"À échoir",IF($O2168&lt;=30,"0-30",IF($O2168&lt;=60,"31-60",IF($O2168&lt;=90,"61-90","90+")))))))</f>
        <v/>
      </c>
    </row>
    <row r="2169">
      <c r="A2169" s="6" t="n"/>
      <c r="B2169" s="6" t="n"/>
      <c r="C2169" s="6" t="n"/>
      <c r="D2169" s="6" t="n"/>
      <c r="E2169" s="6" t="n"/>
      <c r="F2169" s="7" t="n"/>
      <c r="G2169" s="7" t="n"/>
      <c r="H2169" s="8" t="n"/>
      <c r="I2169" s="9">
        <f>IF($A2169="","",SUMIFS(Ventes_Encaissements!$D$6:$D$3005,Ventes_Encaissements!$B$6:$B$3005,$A2169))</f>
        <v/>
      </c>
      <c r="J2169" s="9">
        <f>IF($A2169="","",$H2169-$I2169)</f>
        <v/>
      </c>
      <c r="K2169" s="10">
        <f>IF($A2169="","",IF($I2169=0,"",_xludf.AGGREGATE(14,6,Ventes_Encaissements!$C$6:$C$3005/(Ventes_Encaissements!$B$6:$B$3005=$A2169),1)))</f>
        <v/>
      </c>
      <c r="L2169" s="11">
        <f>IF($A2169="","",COUNTIFS(Ventes_Detail!$B$6:$B$3005,$A2169))</f>
        <v/>
      </c>
      <c r="M2169" s="12" t="n"/>
      <c r="N2169" s="12">
        <f>IF($A2169="","",IF($G2169="","",IF($M2169="Oui","Litige",IF($J2169&lt;=0,"Payé",IF($I2169&gt;0,"Partiel",IF(Listes!$B$3&gt;$G2169,"En retard","À échoir"))))))</f>
        <v/>
      </c>
      <c r="O2169" s="11">
        <f>IF($A2169="","",IF(OR($G2169="", $J2169&lt;=0),0,MAX(0,Listes!$B$3-$G2169)))</f>
        <v/>
      </c>
      <c r="P2169" s="12">
        <f>IF($A2169="","",IF($J2169&lt;=0,"Payé",IF($M2169="Oui","Litige",IF($O2169=0,"À échoir",IF($O2169&lt;=30,"0-30",IF($O2169&lt;=60,"31-60",IF($O2169&lt;=90,"61-90","90+")))))))</f>
        <v/>
      </c>
    </row>
    <row r="2170">
      <c r="A2170" s="6" t="n"/>
      <c r="B2170" s="6" t="n"/>
      <c r="C2170" s="6" t="n"/>
      <c r="D2170" s="6" t="n"/>
      <c r="E2170" s="6" t="n"/>
      <c r="F2170" s="7" t="n"/>
      <c r="G2170" s="7" t="n"/>
      <c r="H2170" s="8" t="n"/>
      <c r="I2170" s="9">
        <f>IF($A2170="","",SUMIFS(Ventes_Encaissements!$D$6:$D$3005,Ventes_Encaissements!$B$6:$B$3005,$A2170))</f>
        <v/>
      </c>
      <c r="J2170" s="9">
        <f>IF($A2170="","",$H2170-$I2170)</f>
        <v/>
      </c>
      <c r="K2170" s="10">
        <f>IF($A2170="","",IF($I2170=0,"",_xludf.AGGREGATE(14,6,Ventes_Encaissements!$C$6:$C$3005/(Ventes_Encaissements!$B$6:$B$3005=$A2170),1)))</f>
        <v/>
      </c>
      <c r="L2170" s="11">
        <f>IF($A2170="","",COUNTIFS(Ventes_Detail!$B$6:$B$3005,$A2170))</f>
        <v/>
      </c>
      <c r="M2170" s="12" t="n"/>
      <c r="N2170" s="12">
        <f>IF($A2170="","",IF($G2170="","",IF($M2170="Oui","Litige",IF($J2170&lt;=0,"Payé",IF($I2170&gt;0,"Partiel",IF(Listes!$B$3&gt;$G2170,"En retard","À échoir"))))))</f>
        <v/>
      </c>
      <c r="O2170" s="11">
        <f>IF($A2170="","",IF(OR($G2170="", $J2170&lt;=0),0,MAX(0,Listes!$B$3-$G2170)))</f>
        <v/>
      </c>
      <c r="P2170" s="12">
        <f>IF($A2170="","",IF($J2170&lt;=0,"Payé",IF($M2170="Oui","Litige",IF($O2170=0,"À échoir",IF($O2170&lt;=30,"0-30",IF($O2170&lt;=60,"31-60",IF($O2170&lt;=90,"61-90","90+")))))))</f>
        <v/>
      </c>
    </row>
    <row r="2171">
      <c r="A2171" s="6" t="n"/>
      <c r="B2171" s="6" t="n"/>
      <c r="C2171" s="6" t="n"/>
      <c r="D2171" s="6" t="n"/>
      <c r="E2171" s="6" t="n"/>
      <c r="F2171" s="7" t="n"/>
      <c r="G2171" s="7" t="n"/>
      <c r="H2171" s="8" t="n"/>
      <c r="I2171" s="9">
        <f>IF($A2171="","",SUMIFS(Ventes_Encaissements!$D$6:$D$3005,Ventes_Encaissements!$B$6:$B$3005,$A2171))</f>
        <v/>
      </c>
      <c r="J2171" s="9">
        <f>IF($A2171="","",$H2171-$I2171)</f>
        <v/>
      </c>
      <c r="K2171" s="10">
        <f>IF($A2171="","",IF($I2171=0,"",_xludf.AGGREGATE(14,6,Ventes_Encaissements!$C$6:$C$3005/(Ventes_Encaissements!$B$6:$B$3005=$A2171),1)))</f>
        <v/>
      </c>
      <c r="L2171" s="11">
        <f>IF($A2171="","",COUNTIFS(Ventes_Detail!$B$6:$B$3005,$A2171))</f>
        <v/>
      </c>
      <c r="M2171" s="12" t="n"/>
      <c r="N2171" s="12">
        <f>IF($A2171="","",IF($G2171="","",IF($M2171="Oui","Litige",IF($J2171&lt;=0,"Payé",IF($I2171&gt;0,"Partiel",IF(Listes!$B$3&gt;$G2171,"En retard","À échoir"))))))</f>
        <v/>
      </c>
      <c r="O2171" s="11">
        <f>IF($A2171="","",IF(OR($G2171="", $J2171&lt;=0),0,MAX(0,Listes!$B$3-$G2171)))</f>
        <v/>
      </c>
      <c r="P2171" s="12">
        <f>IF($A2171="","",IF($J2171&lt;=0,"Payé",IF($M2171="Oui","Litige",IF($O2171=0,"À échoir",IF($O2171&lt;=30,"0-30",IF($O2171&lt;=60,"31-60",IF($O2171&lt;=90,"61-90","90+")))))))</f>
        <v/>
      </c>
    </row>
    <row r="2172">
      <c r="A2172" s="6" t="n"/>
      <c r="B2172" s="6" t="n"/>
      <c r="C2172" s="6" t="n"/>
      <c r="D2172" s="6" t="n"/>
      <c r="E2172" s="6" t="n"/>
      <c r="F2172" s="7" t="n"/>
      <c r="G2172" s="7" t="n"/>
      <c r="H2172" s="8" t="n"/>
      <c r="I2172" s="9">
        <f>IF($A2172="","",SUMIFS(Ventes_Encaissements!$D$6:$D$3005,Ventes_Encaissements!$B$6:$B$3005,$A2172))</f>
        <v/>
      </c>
      <c r="J2172" s="9">
        <f>IF($A2172="","",$H2172-$I2172)</f>
        <v/>
      </c>
      <c r="K2172" s="10">
        <f>IF($A2172="","",IF($I2172=0,"",_xludf.AGGREGATE(14,6,Ventes_Encaissements!$C$6:$C$3005/(Ventes_Encaissements!$B$6:$B$3005=$A2172),1)))</f>
        <v/>
      </c>
      <c r="L2172" s="11">
        <f>IF($A2172="","",COUNTIFS(Ventes_Detail!$B$6:$B$3005,$A2172))</f>
        <v/>
      </c>
      <c r="M2172" s="12" t="n"/>
      <c r="N2172" s="12">
        <f>IF($A2172="","",IF($G2172="","",IF($M2172="Oui","Litige",IF($J2172&lt;=0,"Payé",IF($I2172&gt;0,"Partiel",IF(Listes!$B$3&gt;$G2172,"En retard","À échoir"))))))</f>
        <v/>
      </c>
      <c r="O2172" s="11">
        <f>IF($A2172="","",IF(OR($G2172="", $J2172&lt;=0),0,MAX(0,Listes!$B$3-$G2172)))</f>
        <v/>
      </c>
      <c r="P2172" s="12">
        <f>IF($A2172="","",IF($J2172&lt;=0,"Payé",IF($M2172="Oui","Litige",IF($O2172=0,"À échoir",IF($O2172&lt;=30,"0-30",IF($O2172&lt;=60,"31-60",IF($O2172&lt;=90,"61-90","90+")))))))</f>
        <v/>
      </c>
    </row>
    <row r="2173">
      <c r="A2173" s="6" t="n"/>
      <c r="B2173" s="6" t="n"/>
      <c r="C2173" s="6" t="n"/>
      <c r="D2173" s="6" t="n"/>
      <c r="E2173" s="6" t="n"/>
      <c r="F2173" s="7" t="n"/>
      <c r="G2173" s="7" t="n"/>
      <c r="H2173" s="8" t="n"/>
      <c r="I2173" s="9">
        <f>IF($A2173="","",SUMIFS(Ventes_Encaissements!$D$6:$D$3005,Ventes_Encaissements!$B$6:$B$3005,$A2173))</f>
        <v/>
      </c>
      <c r="J2173" s="9">
        <f>IF($A2173="","",$H2173-$I2173)</f>
        <v/>
      </c>
      <c r="K2173" s="10">
        <f>IF($A2173="","",IF($I2173=0,"",_xludf.AGGREGATE(14,6,Ventes_Encaissements!$C$6:$C$3005/(Ventes_Encaissements!$B$6:$B$3005=$A2173),1)))</f>
        <v/>
      </c>
      <c r="L2173" s="11">
        <f>IF($A2173="","",COUNTIFS(Ventes_Detail!$B$6:$B$3005,$A2173))</f>
        <v/>
      </c>
      <c r="M2173" s="12" t="n"/>
      <c r="N2173" s="12">
        <f>IF($A2173="","",IF($G2173="","",IF($M2173="Oui","Litige",IF($J2173&lt;=0,"Payé",IF($I2173&gt;0,"Partiel",IF(Listes!$B$3&gt;$G2173,"En retard","À échoir"))))))</f>
        <v/>
      </c>
      <c r="O2173" s="11">
        <f>IF($A2173="","",IF(OR($G2173="", $J2173&lt;=0),0,MAX(0,Listes!$B$3-$G2173)))</f>
        <v/>
      </c>
      <c r="P2173" s="12">
        <f>IF($A2173="","",IF($J2173&lt;=0,"Payé",IF($M2173="Oui","Litige",IF($O2173=0,"À échoir",IF($O2173&lt;=30,"0-30",IF($O2173&lt;=60,"31-60",IF($O2173&lt;=90,"61-90","90+")))))))</f>
        <v/>
      </c>
    </row>
    <row r="2174">
      <c r="A2174" s="6" t="n"/>
      <c r="B2174" s="6" t="n"/>
      <c r="C2174" s="6" t="n"/>
      <c r="D2174" s="6" t="n"/>
      <c r="E2174" s="6" t="n"/>
      <c r="F2174" s="7" t="n"/>
      <c r="G2174" s="7" t="n"/>
      <c r="H2174" s="8" t="n"/>
      <c r="I2174" s="9">
        <f>IF($A2174="","",SUMIFS(Ventes_Encaissements!$D$6:$D$3005,Ventes_Encaissements!$B$6:$B$3005,$A2174))</f>
        <v/>
      </c>
      <c r="J2174" s="9">
        <f>IF($A2174="","",$H2174-$I2174)</f>
        <v/>
      </c>
      <c r="K2174" s="10">
        <f>IF($A2174="","",IF($I2174=0,"",_xludf.AGGREGATE(14,6,Ventes_Encaissements!$C$6:$C$3005/(Ventes_Encaissements!$B$6:$B$3005=$A2174),1)))</f>
        <v/>
      </c>
      <c r="L2174" s="11">
        <f>IF($A2174="","",COUNTIFS(Ventes_Detail!$B$6:$B$3005,$A2174))</f>
        <v/>
      </c>
      <c r="M2174" s="12" t="n"/>
      <c r="N2174" s="12">
        <f>IF($A2174="","",IF($G2174="","",IF($M2174="Oui","Litige",IF($J2174&lt;=0,"Payé",IF($I2174&gt;0,"Partiel",IF(Listes!$B$3&gt;$G2174,"En retard","À échoir"))))))</f>
        <v/>
      </c>
      <c r="O2174" s="11">
        <f>IF($A2174="","",IF(OR($G2174="", $J2174&lt;=0),0,MAX(0,Listes!$B$3-$G2174)))</f>
        <v/>
      </c>
      <c r="P2174" s="12">
        <f>IF($A2174="","",IF($J2174&lt;=0,"Payé",IF($M2174="Oui","Litige",IF($O2174=0,"À échoir",IF($O2174&lt;=30,"0-30",IF($O2174&lt;=60,"31-60",IF($O2174&lt;=90,"61-90","90+")))))))</f>
        <v/>
      </c>
    </row>
    <row r="2175">
      <c r="A2175" s="6" t="n"/>
      <c r="B2175" s="6" t="n"/>
      <c r="C2175" s="6" t="n"/>
      <c r="D2175" s="6" t="n"/>
      <c r="E2175" s="6" t="n"/>
      <c r="F2175" s="7" t="n"/>
      <c r="G2175" s="7" t="n"/>
      <c r="H2175" s="8" t="n"/>
      <c r="I2175" s="9">
        <f>IF($A2175="","",SUMIFS(Ventes_Encaissements!$D$6:$D$3005,Ventes_Encaissements!$B$6:$B$3005,$A2175))</f>
        <v/>
      </c>
      <c r="J2175" s="9">
        <f>IF($A2175="","",$H2175-$I2175)</f>
        <v/>
      </c>
      <c r="K2175" s="10">
        <f>IF($A2175="","",IF($I2175=0,"",_xludf.AGGREGATE(14,6,Ventes_Encaissements!$C$6:$C$3005/(Ventes_Encaissements!$B$6:$B$3005=$A2175),1)))</f>
        <v/>
      </c>
      <c r="L2175" s="11">
        <f>IF($A2175="","",COUNTIFS(Ventes_Detail!$B$6:$B$3005,$A2175))</f>
        <v/>
      </c>
      <c r="M2175" s="12" t="n"/>
      <c r="N2175" s="12">
        <f>IF($A2175="","",IF($G2175="","",IF($M2175="Oui","Litige",IF($J2175&lt;=0,"Payé",IF($I2175&gt;0,"Partiel",IF(Listes!$B$3&gt;$G2175,"En retard","À échoir"))))))</f>
        <v/>
      </c>
      <c r="O2175" s="11">
        <f>IF($A2175="","",IF(OR($G2175="", $J2175&lt;=0),0,MAX(0,Listes!$B$3-$G2175)))</f>
        <v/>
      </c>
      <c r="P2175" s="12">
        <f>IF($A2175="","",IF($J2175&lt;=0,"Payé",IF($M2175="Oui","Litige",IF($O2175=0,"À échoir",IF($O2175&lt;=30,"0-30",IF($O2175&lt;=60,"31-60",IF($O2175&lt;=90,"61-90","90+")))))))</f>
        <v/>
      </c>
    </row>
    <row r="2176">
      <c r="A2176" s="6" t="n"/>
      <c r="B2176" s="6" t="n"/>
      <c r="C2176" s="6" t="n"/>
      <c r="D2176" s="6" t="n"/>
      <c r="E2176" s="6" t="n"/>
      <c r="F2176" s="7" t="n"/>
      <c r="G2176" s="7" t="n"/>
      <c r="H2176" s="8" t="n"/>
      <c r="I2176" s="9">
        <f>IF($A2176="","",SUMIFS(Ventes_Encaissements!$D$6:$D$3005,Ventes_Encaissements!$B$6:$B$3005,$A2176))</f>
        <v/>
      </c>
      <c r="J2176" s="9">
        <f>IF($A2176="","",$H2176-$I2176)</f>
        <v/>
      </c>
      <c r="K2176" s="10">
        <f>IF($A2176="","",IF($I2176=0,"",_xludf.AGGREGATE(14,6,Ventes_Encaissements!$C$6:$C$3005/(Ventes_Encaissements!$B$6:$B$3005=$A2176),1)))</f>
        <v/>
      </c>
      <c r="L2176" s="11">
        <f>IF($A2176="","",COUNTIFS(Ventes_Detail!$B$6:$B$3005,$A2176))</f>
        <v/>
      </c>
      <c r="M2176" s="12" t="n"/>
      <c r="N2176" s="12">
        <f>IF($A2176="","",IF($G2176="","",IF($M2176="Oui","Litige",IF($J2176&lt;=0,"Payé",IF($I2176&gt;0,"Partiel",IF(Listes!$B$3&gt;$G2176,"En retard","À échoir"))))))</f>
        <v/>
      </c>
      <c r="O2176" s="11">
        <f>IF($A2176="","",IF(OR($G2176="", $J2176&lt;=0),0,MAX(0,Listes!$B$3-$G2176)))</f>
        <v/>
      </c>
      <c r="P2176" s="12">
        <f>IF($A2176="","",IF($J2176&lt;=0,"Payé",IF($M2176="Oui","Litige",IF($O2176=0,"À échoir",IF($O2176&lt;=30,"0-30",IF($O2176&lt;=60,"31-60",IF($O2176&lt;=90,"61-90","90+")))))))</f>
        <v/>
      </c>
    </row>
    <row r="2177">
      <c r="A2177" s="6" t="n"/>
      <c r="B2177" s="6" t="n"/>
      <c r="C2177" s="6" t="n"/>
      <c r="D2177" s="6" t="n"/>
      <c r="E2177" s="6" t="n"/>
      <c r="F2177" s="7" t="n"/>
      <c r="G2177" s="7" t="n"/>
      <c r="H2177" s="8" t="n"/>
      <c r="I2177" s="9">
        <f>IF($A2177="","",SUMIFS(Ventes_Encaissements!$D$6:$D$3005,Ventes_Encaissements!$B$6:$B$3005,$A2177))</f>
        <v/>
      </c>
      <c r="J2177" s="9">
        <f>IF($A2177="","",$H2177-$I2177)</f>
        <v/>
      </c>
      <c r="K2177" s="10">
        <f>IF($A2177="","",IF($I2177=0,"",_xludf.AGGREGATE(14,6,Ventes_Encaissements!$C$6:$C$3005/(Ventes_Encaissements!$B$6:$B$3005=$A2177),1)))</f>
        <v/>
      </c>
      <c r="L2177" s="11">
        <f>IF($A2177="","",COUNTIFS(Ventes_Detail!$B$6:$B$3005,$A2177))</f>
        <v/>
      </c>
      <c r="M2177" s="12" t="n"/>
      <c r="N2177" s="12">
        <f>IF($A2177="","",IF($G2177="","",IF($M2177="Oui","Litige",IF($J2177&lt;=0,"Payé",IF($I2177&gt;0,"Partiel",IF(Listes!$B$3&gt;$G2177,"En retard","À échoir"))))))</f>
        <v/>
      </c>
      <c r="O2177" s="11">
        <f>IF($A2177="","",IF(OR($G2177="", $J2177&lt;=0),0,MAX(0,Listes!$B$3-$G2177)))</f>
        <v/>
      </c>
      <c r="P2177" s="12">
        <f>IF($A2177="","",IF($J2177&lt;=0,"Payé",IF($M2177="Oui","Litige",IF($O2177=0,"À échoir",IF($O2177&lt;=30,"0-30",IF($O2177&lt;=60,"31-60",IF($O2177&lt;=90,"61-90","90+")))))))</f>
        <v/>
      </c>
    </row>
    <row r="2178">
      <c r="A2178" s="6" t="n"/>
      <c r="B2178" s="6" t="n"/>
      <c r="C2178" s="6" t="n"/>
      <c r="D2178" s="6" t="n"/>
      <c r="E2178" s="6" t="n"/>
      <c r="F2178" s="7" t="n"/>
      <c r="G2178" s="7" t="n"/>
      <c r="H2178" s="8" t="n"/>
      <c r="I2178" s="9">
        <f>IF($A2178="","",SUMIFS(Ventes_Encaissements!$D$6:$D$3005,Ventes_Encaissements!$B$6:$B$3005,$A2178))</f>
        <v/>
      </c>
      <c r="J2178" s="9">
        <f>IF($A2178="","",$H2178-$I2178)</f>
        <v/>
      </c>
      <c r="K2178" s="10">
        <f>IF($A2178="","",IF($I2178=0,"",_xludf.AGGREGATE(14,6,Ventes_Encaissements!$C$6:$C$3005/(Ventes_Encaissements!$B$6:$B$3005=$A2178),1)))</f>
        <v/>
      </c>
      <c r="L2178" s="11">
        <f>IF($A2178="","",COUNTIFS(Ventes_Detail!$B$6:$B$3005,$A2178))</f>
        <v/>
      </c>
      <c r="M2178" s="12" t="n"/>
      <c r="N2178" s="12">
        <f>IF($A2178="","",IF($G2178="","",IF($M2178="Oui","Litige",IF($J2178&lt;=0,"Payé",IF($I2178&gt;0,"Partiel",IF(Listes!$B$3&gt;$G2178,"En retard","À échoir"))))))</f>
        <v/>
      </c>
      <c r="O2178" s="11">
        <f>IF($A2178="","",IF(OR($G2178="", $J2178&lt;=0),0,MAX(0,Listes!$B$3-$G2178)))</f>
        <v/>
      </c>
      <c r="P2178" s="12">
        <f>IF($A2178="","",IF($J2178&lt;=0,"Payé",IF($M2178="Oui","Litige",IF($O2178=0,"À échoir",IF($O2178&lt;=30,"0-30",IF($O2178&lt;=60,"31-60",IF($O2178&lt;=90,"61-90","90+")))))))</f>
        <v/>
      </c>
    </row>
    <row r="2179">
      <c r="A2179" s="6" t="n"/>
      <c r="B2179" s="6" t="n"/>
      <c r="C2179" s="6" t="n"/>
      <c r="D2179" s="6" t="n"/>
      <c r="E2179" s="6" t="n"/>
      <c r="F2179" s="7" t="n"/>
      <c r="G2179" s="7" t="n"/>
      <c r="H2179" s="8" t="n"/>
      <c r="I2179" s="9">
        <f>IF($A2179="","",SUMIFS(Ventes_Encaissements!$D$6:$D$3005,Ventes_Encaissements!$B$6:$B$3005,$A2179))</f>
        <v/>
      </c>
      <c r="J2179" s="9">
        <f>IF($A2179="","",$H2179-$I2179)</f>
        <v/>
      </c>
      <c r="K2179" s="10">
        <f>IF($A2179="","",IF($I2179=0,"",_xludf.AGGREGATE(14,6,Ventes_Encaissements!$C$6:$C$3005/(Ventes_Encaissements!$B$6:$B$3005=$A2179),1)))</f>
        <v/>
      </c>
      <c r="L2179" s="11">
        <f>IF($A2179="","",COUNTIFS(Ventes_Detail!$B$6:$B$3005,$A2179))</f>
        <v/>
      </c>
      <c r="M2179" s="12" t="n"/>
      <c r="N2179" s="12">
        <f>IF($A2179="","",IF($G2179="","",IF($M2179="Oui","Litige",IF($J2179&lt;=0,"Payé",IF($I2179&gt;0,"Partiel",IF(Listes!$B$3&gt;$G2179,"En retard","À échoir"))))))</f>
        <v/>
      </c>
      <c r="O2179" s="11">
        <f>IF($A2179="","",IF(OR($G2179="", $J2179&lt;=0),0,MAX(0,Listes!$B$3-$G2179)))</f>
        <v/>
      </c>
      <c r="P2179" s="12">
        <f>IF($A2179="","",IF($J2179&lt;=0,"Payé",IF($M2179="Oui","Litige",IF($O2179=0,"À échoir",IF($O2179&lt;=30,"0-30",IF($O2179&lt;=60,"31-60",IF($O2179&lt;=90,"61-90","90+")))))))</f>
        <v/>
      </c>
    </row>
    <row r="2180">
      <c r="A2180" s="6" t="n"/>
      <c r="B2180" s="6" t="n"/>
      <c r="C2180" s="6" t="n"/>
      <c r="D2180" s="6" t="n"/>
      <c r="E2180" s="6" t="n"/>
      <c r="F2180" s="7" t="n"/>
      <c r="G2180" s="7" t="n"/>
      <c r="H2180" s="8" t="n"/>
      <c r="I2180" s="9">
        <f>IF($A2180="","",SUMIFS(Ventes_Encaissements!$D$6:$D$3005,Ventes_Encaissements!$B$6:$B$3005,$A2180))</f>
        <v/>
      </c>
      <c r="J2180" s="9">
        <f>IF($A2180="","",$H2180-$I2180)</f>
        <v/>
      </c>
      <c r="K2180" s="10">
        <f>IF($A2180="","",IF($I2180=0,"",_xludf.AGGREGATE(14,6,Ventes_Encaissements!$C$6:$C$3005/(Ventes_Encaissements!$B$6:$B$3005=$A2180),1)))</f>
        <v/>
      </c>
      <c r="L2180" s="11">
        <f>IF($A2180="","",COUNTIFS(Ventes_Detail!$B$6:$B$3005,$A2180))</f>
        <v/>
      </c>
      <c r="M2180" s="12" t="n"/>
      <c r="N2180" s="12">
        <f>IF($A2180="","",IF($G2180="","",IF($M2180="Oui","Litige",IF($J2180&lt;=0,"Payé",IF($I2180&gt;0,"Partiel",IF(Listes!$B$3&gt;$G2180,"En retard","À échoir"))))))</f>
        <v/>
      </c>
      <c r="O2180" s="11">
        <f>IF($A2180="","",IF(OR($G2180="", $J2180&lt;=0),0,MAX(0,Listes!$B$3-$G2180)))</f>
        <v/>
      </c>
      <c r="P2180" s="12">
        <f>IF($A2180="","",IF($J2180&lt;=0,"Payé",IF($M2180="Oui","Litige",IF($O2180=0,"À échoir",IF($O2180&lt;=30,"0-30",IF($O2180&lt;=60,"31-60",IF($O2180&lt;=90,"61-90","90+")))))))</f>
        <v/>
      </c>
    </row>
    <row r="2181">
      <c r="A2181" s="6" t="n"/>
      <c r="B2181" s="6" t="n"/>
      <c r="C2181" s="6" t="n"/>
      <c r="D2181" s="6" t="n"/>
      <c r="E2181" s="6" t="n"/>
      <c r="F2181" s="7" t="n"/>
      <c r="G2181" s="7" t="n"/>
      <c r="H2181" s="8" t="n"/>
      <c r="I2181" s="9">
        <f>IF($A2181="","",SUMIFS(Ventes_Encaissements!$D$6:$D$3005,Ventes_Encaissements!$B$6:$B$3005,$A2181))</f>
        <v/>
      </c>
      <c r="J2181" s="9">
        <f>IF($A2181="","",$H2181-$I2181)</f>
        <v/>
      </c>
      <c r="K2181" s="10">
        <f>IF($A2181="","",IF($I2181=0,"",_xludf.AGGREGATE(14,6,Ventes_Encaissements!$C$6:$C$3005/(Ventes_Encaissements!$B$6:$B$3005=$A2181),1)))</f>
        <v/>
      </c>
      <c r="L2181" s="11">
        <f>IF($A2181="","",COUNTIFS(Ventes_Detail!$B$6:$B$3005,$A2181))</f>
        <v/>
      </c>
      <c r="M2181" s="12" t="n"/>
      <c r="N2181" s="12">
        <f>IF($A2181="","",IF($G2181="","",IF($M2181="Oui","Litige",IF($J2181&lt;=0,"Payé",IF($I2181&gt;0,"Partiel",IF(Listes!$B$3&gt;$G2181,"En retard","À échoir"))))))</f>
        <v/>
      </c>
      <c r="O2181" s="11">
        <f>IF($A2181="","",IF(OR($G2181="", $J2181&lt;=0),0,MAX(0,Listes!$B$3-$G2181)))</f>
        <v/>
      </c>
      <c r="P2181" s="12">
        <f>IF($A2181="","",IF($J2181&lt;=0,"Payé",IF($M2181="Oui","Litige",IF($O2181=0,"À échoir",IF($O2181&lt;=30,"0-30",IF($O2181&lt;=60,"31-60",IF($O2181&lt;=90,"61-90","90+")))))))</f>
        <v/>
      </c>
    </row>
    <row r="2182">
      <c r="A2182" s="6" t="n"/>
      <c r="B2182" s="6" t="n"/>
      <c r="C2182" s="6" t="n"/>
      <c r="D2182" s="6" t="n"/>
      <c r="E2182" s="6" t="n"/>
      <c r="F2182" s="7" t="n"/>
      <c r="G2182" s="7" t="n"/>
      <c r="H2182" s="8" t="n"/>
      <c r="I2182" s="9">
        <f>IF($A2182="","",SUMIFS(Ventes_Encaissements!$D$6:$D$3005,Ventes_Encaissements!$B$6:$B$3005,$A2182))</f>
        <v/>
      </c>
      <c r="J2182" s="9">
        <f>IF($A2182="","",$H2182-$I2182)</f>
        <v/>
      </c>
      <c r="K2182" s="10">
        <f>IF($A2182="","",IF($I2182=0,"",_xludf.AGGREGATE(14,6,Ventes_Encaissements!$C$6:$C$3005/(Ventes_Encaissements!$B$6:$B$3005=$A2182),1)))</f>
        <v/>
      </c>
      <c r="L2182" s="11">
        <f>IF($A2182="","",COUNTIFS(Ventes_Detail!$B$6:$B$3005,$A2182))</f>
        <v/>
      </c>
      <c r="M2182" s="12" t="n"/>
      <c r="N2182" s="12">
        <f>IF($A2182="","",IF($G2182="","",IF($M2182="Oui","Litige",IF($J2182&lt;=0,"Payé",IF($I2182&gt;0,"Partiel",IF(Listes!$B$3&gt;$G2182,"En retard","À échoir"))))))</f>
        <v/>
      </c>
      <c r="O2182" s="11">
        <f>IF($A2182="","",IF(OR($G2182="", $J2182&lt;=0),0,MAX(0,Listes!$B$3-$G2182)))</f>
        <v/>
      </c>
      <c r="P2182" s="12">
        <f>IF($A2182="","",IF($J2182&lt;=0,"Payé",IF($M2182="Oui","Litige",IF($O2182=0,"À échoir",IF($O2182&lt;=30,"0-30",IF($O2182&lt;=60,"31-60",IF($O2182&lt;=90,"61-90","90+")))))))</f>
        <v/>
      </c>
    </row>
    <row r="2183">
      <c r="A2183" s="6" t="n"/>
      <c r="B2183" s="6" t="n"/>
      <c r="C2183" s="6" t="n"/>
      <c r="D2183" s="6" t="n"/>
      <c r="E2183" s="6" t="n"/>
      <c r="F2183" s="7" t="n"/>
      <c r="G2183" s="7" t="n"/>
      <c r="H2183" s="8" t="n"/>
      <c r="I2183" s="9">
        <f>IF($A2183="","",SUMIFS(Ventes_Encaissements!$D$6:$D$3005,Ventes_Encaissements!$B$6:$B$3005,$A2183))</f>
        <v/>
      </c>
      <c r="J2183" s="9">
        <f>IF($A2183="","",$H2183-$I2183)</f>
        <v/>
      </c>
      <c r="K2183" s="10">
        <f>IF($A2183="","",IF($I2183=0,"",_xludf.AGGREGATE(14,6,Ventes_Encaissements!$C$6:$C$3005/(Ventes_Encaissements!$B$6:$B$3005=$A2183),1)))</f>
        <v/>
      </c>
      <c r="L2183" s="11">
        <f>IF($A2183="","",COUNTIFS(Ventes_Detail!$B$6:$B$3005,$A2183))</f>
        <v/>
      </c>
      <c r="M2183" s="12" t="n"/>
      <c r="N2183" s="12">
        <f>IF($A2183="","",IF($G2183="","",IF($M2183="Oui","Litige",IF($J2183&lt;=0,"Payé",IF($I2183&gt;0,"Partiel",IF(Listes!$B$3&gt;$G2183,"En retard","À échoir"))))))</f>
        <v/>
      </c>
      <c r="O2183" s="11">
        <f>IF($A2183="","",IF(OR($G2183="", $J2183&lt;=0),0,MAX(0,Listes!$B$3-$G2183)))</f>
        <v/>
      </c>
      <c r="P2183" s="12">
        <f>IF($A2183="","",IF($J2183&lt;=0,"Payé",IF($M2183="Oui","Litige",IF($O2183=0,"À échoir",IF($O2183&lt;=30,"0-30",IF($O2183&lt;=60,"31-60",IF($O2183&lt;=90,"61-90","90+")))))))</f>
        <v/>
      </c>
    </row>
    <row r="2184">
      <c r="A2184" s="6" t="n"/>
      <c r="B2184" s="6" t="n"/>
      <c r="C2184" s="6" t="n"/>
      <c r="D2184" s="6" t="n"/>
      <c r="E2184" s="6" t="n"/>
      <c r="F2184" s="7" t="n"/>
      <c r="G2184" s="7" t="n"/>
      <c r="H2184" s="8" t="n"/>
      <c r="I2184" s="9">
        <f>IF($A2184="","",SUMIFS(Ventes_Encaissements!$D$6:$D$3005,Ventes_Encaissements!$B$6:$B$3005,$A2184))</f>
        <v/>
      </c>
      <c r="J2184" s="9">
        <f>IF($A2184="","",$H2184-$I2184)</f>
        <v/>
      </c>
      <c r="K2184" s="10">
        <f>IF($A2184="","",IF($I2184=0,"",_xludf.AGGREGATE(14,6,Ventes_Encaissements!$C$6:$C$3005/(Ventes_Encaissements!$B$6:$B$3005=$A2184),1)))</f>
        <v/>
      </c>
      <c r="L2184" s="11">
        <f>IF($A2184="","",COUNTIFS(Ventes_Detail!$B$6:$B$3005,$A2184))</f>
        <v/>
      </c>
      <c r="M2184" s="12" t="n"/>
      <c r="N2184" s="12">
        <f>IF($A2184="","",IF($G2184="","",IF($M2184="Oui","Litige",IF($J2184&lt;=0,"Payé",IF($I2184&gt;0,"Partiel",IF(Listes!$B$3&gt;$G2184,"En retard","À échoir"))))))</f>
        <v/>
      </c>
      <c r="O2184" s="11">
        <f>IF($A2184="","",IF(OR($G2184="", $J2184&lt;=0),0,MAX(0,Listes!$B$3-$G2184)))</f>
        <v/>
      </c>
      <c r="P2184" s="12">
        <f>IF($A2184="","",IF($J2184&lt;=0,"Payé",IF($M2184="Oui","Litige",IF($O2184=0,"À échoir",IF($O2184&lt;=30,"0-30",IF($O2184&lt;=60,"31-60",IF($O2184&lt;=90,"61-90","90+")))))))</f>
        <v/>
      </c>
    </row>
    <row r="2185">
      <c r="A2185" s="6" t="n"/>
      <c r="B2185" s="6" t="n"/>
      <c r="C2185" s="6" t="n"/>
      <c r="D2185" s="6" t="n"/>
      <c r="E2185" s="6" t="n"/>
      <c r="F2185" s="7" t="n"/>
      <c r="G2185" s="7" t="n"/>
      <c r="H2185" s="8" t="n"/>
      <c r="I2185" s="9">
        <f>IF($A2185="","",SUMIFS(Ventes_Encaissements!$D$6:$D$3005,Ventes_Encaissements!$B$6:$B$3005,$A2185))</f>
        <v/>
      </c>
      <c r="J2185" s="9">
        <f>IF($A2185="","",$H2185-$I2185)</f>
        <v/>
      </c>
      <c r="K2185" s="10">
        <f>IF($A2185="","",IF($I2185=0,"",_xludf.AGGREGATE(14,6,Ventes_Encaissements!$C$6:$C$3005/(Ventes_Encaissements!$B$6:$B$3005=$A2185),1)))</f>
        <v/>
      </c>
      <c r="L2185" s="11">
        <f>IF($A2185="","",COUNTIFS(Ventes_Detail!$B$6:$B$3005,$A2185))</f>
        <v/>
      </c>
      <c r="M2185" s="12" t="n"/>
      <c r="N2185" s="12">
        <f>IF($A2185="","",IF($G2185="","",IF($M2185="Oui","Litige",IF($J2185&lt;=0,"Payé",IF($I2185&gt;0,"Partiel",IF(Listes!$B$3&gt;$G2185,"En retard","À échoir"))))))</f>
        <v/>
      </c>
      <c r="O2185" s="11">
        <f>IF($A2185="","",IF(OR($G2185="", $J2185&lt;=0),0,MAX(0,Listes!$B$3-$G2185)))</f>
        <v/>
      </c>
      <c r="P2185" s="12">
        <f>IF($A2185="","",IF($J2185&lt;=0,"Payé",IF($M2185="Oui","Litige",IF($O2185=0,"À échoir",IF($O2185&lt;=30,"0-30",IF($O2185&lt;=60,"31-60",IF($O2185&lt;=90,"61-90","90+")))))))</f>
        <v/>
      </c>
    </row>
    <row r="2186">
      <c r="A2186" s="6" t="n"/>
      <c r="B2186" s="6" t="n"/>
      <c r="C2186" s="6" t="n"/>
      <c r="D2186" s="6" t="n"/>
      <c r="E2186" s="6" t="n"/>
      <c r="F2186" s="7" t="n"/>
      <c r="G2186" s="7" t="n"/>
      <c r="H2186" s="8" t="n"/>
      <c r="I2186" s="9">
        <f>IF($A2186="","",SUMIFS(Ventes_Encaissements!$D$6:$D$3005,Ventes_Encaissements!$B$6:$B$3005,$A2186))</f>
        <v/>
      </c>
      <c r="J2186" s="9">
        <f>IF($A2186="","",$H2186-$I2186)</f>
        <v/>
      </c>
      <c r="K2186" s="10">
        <f>IF($A2186="","",IF($I2186=0,"",_xludf.AGGREGATE(14,6,Ventes_Encaissements!$C$6:$C$3005/(Ventes_Encaissements!$B$6:$B$3005=$A2186),1)))</f>
        <v/>
      </c>
      <c r="L2186" s="11">
        <f>IF($A2186="","",COUNTIFS(Ventes_Detail!$B$6:$B$3005,$A2186))</f>
        <v/>
      </c>
      <c r="M2186" s="12" t="n"/>
      <c r="N2186" s="12">
        <f>IF($A2186="","",IF($G2186="","",IF($M2186="Oui","Litige",IF($J2186&lt;=0,"Payé",IF($I2186&gt;0,"Partiel",IF(Listes!$B$3&gt;$G2186,"En retard","À échoir"))))))</f>
        <v/>
      </c>
      <c r="O2186" s="11">
        <f>IF($A2186="","",IF(OR($G2186="", $J2186&lt;=0),0,MAX(0,Listes!$B$3-$G2186)))</f>
        <v/>
      </c>
      <c r="P2186" s="12">
        <f>IF($A2186="","",IF($J2186&lt;=0,"Payé",IF($M2186="Oui","Litige",IF($O2186=0,"À échoir",IF($O2186&lt;=30,"0-30",IF($O2186&lt;=60,"31-60",IF($O2186&lt;=90,"61-90","90+")))))))</f>
        <v/>
      </c>
    </row>
    <row r="2187">
      <c r="A2187" s="6" t="n"/>
      <c r="B2187" s="6" t="n"/>
      <c r="C2187" s="6" t="n"/>
      <c r="D2187" s="6" t="n"/>
      <c r="E2187" s="6" t="n"/>
      <c r="F2187" s="7" t="n"/>
      <c r="G2187" s="7" t="n"/>
      <c r="H2187" s="8" t="n"/>
      <c r="I2187" s="9">
        <f>IF($A2187="","",SUMIFS(Ventes_Encaissements!$D$6:$D$3005,Ventes_Encaissements!$B$6:$B$3005,$A2187))</f>
        <v/>
      </c>
      <c r="J2187" s="9">
        <f>IF($A2187="","",$H2187-$I2187)</f>
        <v/>
      </c>
      <c r="K2187" s="10">
        <f>IF($A2187="","",IF($I2187=0,"",_xludf.AGGREGATE(14,6,Ventes_Encaissements!$C$6:$C$3005/(Ventes_Encaissements!$B$6:$B$3005=$A2187),1)))</f>
        <v/>
      </c>
      <c r="L2187" s="11">
        <f>IF($A2187="","",COUNTIFS(Ventes_Detail!$B$6:$B$3005,$A2187))</f>
        <v/>
      </c>
      <c r="M2187" s="12" t="n"/>
      <c r="N2187" s="12">
        <f>IF($A2187="","",IF($G2187="","",IF($M2187="Oui","Litige",IF($J2187&lt;=0,"Payé",IF($I2187&gt;0,"Partiel",IF(Listes!$B$3&gt;$G2187,"En retard","À échoir"))))))</f>
        <v/>
      </c>
      <c r="O2187" s="11">
        <f>IF($A2187="","",IF(OR($G2187="", $J2187&lt;=0),0,MAX(0,Listes!$B$3-$G2187)))</f>
        <v/>
      </c>
      <c r="P2187" s="12">
        <f>IF($A2187="","",IF($J2187&lt;=0,"Payé",IF($M2187="Oui","Litige",IF($O2187=0,"À échoir",IF($O2187&lt;=30,"0-30",IF($O2187&lt;=60,"31-60",IF($O2187&lt;=90,"61-90","90+")))))))</f>
        <v/>
      </c>
    </row>
    <row r="2188">
      <c r="A2188" s="6" t="n"/>
      <c r="B2188" s="6" t="n"/>
      <c r="C2188" s="6" t="n"/>
      <c r="D2188" s="6" t="n"/>
      <c r="E2188" s="6" t="n"/>
      <c r="F2188" s="7" t="n"/>
      <c r="G2188" s="7" t="n"/>
      <c r="H2188" s="8" t="n"/>
      <c r="I2188" s="9">
        <f>IF($A2188="","",SUMIFS(Ventes_Encaissements!$D$6:$D$3005,Ventes_Encaissements!$B$6:$B$3005,$A2188))</f>
        <v/>
      </c>
      <c r="J2188" s="9">
        <f>IF($A2188="","",$H2188-$I2188)</f>
        <v/>
      </c>
      <c r="K2188" s="10">
        <f>IF($A2188="","",IF($I2188=0,"",_xludf.AGGREGATE(14,6,Ventes_Encaissements!$C$6:$C$3005/(Ventes_Encaissements!$B$6:$B$3005=$A2188),1)))</f>
        <v/>
      </c>
      <c r="L2188" s="11">
        <f>IF($A2188="","",COUNTIFS(Ventes_Detail!$B$6:$B$3005,$A2188))</f>
        <v/>
      </c>
      <c r="M2188" s="12" t="n"/>
      <c r="N2188" s="12">
        <f>IF($A2188="","",IF($G2188="","",IF($M2188="Oui","Litige",IF($J2188&lt;=0,"Payé",IF($I2188&gt;0,"Partiel",IF(Listes!$B$3&gt;$G2188,"En retard","À échoir"))))))</f>
        <v/>
      </c>
      <c r="O2188" s="11">
        <f>IF($A2188="","",IF(OR($G2188="", $J2188&lt;=0),0,MAX(0,Listes!$B$3-$G2188)))</f>
        <v/>
      </c>
      <c r="P2188" s="12">
        <f>IF($A2188="","",IF($J2188&lt;=0,"Payé",IF($M2188="Oui","Litige",IF($O2188=0,"À échoir",IF($O2188&lt;=30,"0-30",IF($O2188&lt;=60,"31-60",IF($O2188&lt;=90,"61-90","90+")))))))</f>
        <v/>
      </c>
    </row>
    <row r="2189">
      <c r="A2189" s="6" t="n"/>
      <c r="B2189" s="6" t="n"/>
      <c r="C2189" s="6" t="n"/>
      <c r="D2189" s="6" t="n"/>
      <c r="E2189" s="6" t="n"/>
      <c r="F2189" s="7" t="n"/>
      <c r="G2189" s="7" t="n"/>
      <c r="H2189" s="8" t="n"/>
      <c r="I2189" s="9">
        <f>IF($A2189="","",SUMIFS(Ventes_Encaissements!$D$6:$D$3005,Ventes_Encaissements!$B$6:$B$3005,$A2189))</f>
        <v/>
      </c>
      <c r="J2189" s="9">
        <f>IF($A2189="","",$H2189-$I2189)</f>
        <v/>
      </c>
      <c r="K2189" s="10">
        <f>IF($A2189="","",IF($I2189=0,"",_xludf.AGGREGATE(14,6,Ventes_Encaissements!$C$6:$C$3005/(Ventes_Encaissements!$B$6:$B$3005=$A2189),1)))</f>
        <v/>
      </c>
      <c r="L2189" s="11">
        <f>IF($A2189="","",COUNTIFS(Ventes_Detail!$B$6:$B$3005,$A2189))</f>
        <v/>
      </c>
      <c r="M2189" s="12" t="n"/>
      <c r="N2189" s="12">
        <f>IF($A2189="","",IF($G2189="","",IF($M2189="Oui","Litige",IF($J2189&lt;=0,"Payé",IF($I2189&gt;0,"Partiel",IF(Listes!$B$3&gt;$G2189,"En retard","À échoir"))))))</f>
        <v/>
      </c>
      <c r="O2189" s="11">
        <f>IF($A2189="","",IF(OR($G2189="", $J2189&lt;=0),0,MAX(0,Listes!$B$3-$G2189)))</f>
        <v/>
      </c>
      <c r="P2189" s="12">
        <f>IF($A2189="","",IF($J2189&lt;=0,"Payé",IF($M2189="Oui","Litige",IF($O2189=0,"À échoir",IF($O2189&lt;=30,"0-30",IF($O2189&lt;=60,"31-60",IF($O2189&lt;=90,"61-90","90+")))))))</f>
        <v/>
      </c>
    </row>
    <row r="2190">
      <c r="A2190" s="6" t="n"/>
      <c r="B2190" s="6" t="n"/>
      <c r="C2190" s="6" t="n"/>
      <c r="D2190" s="6" t="n"/>
      <c r="E2190" s="6" t="n"/>
      <c r="F2190" s="7" t="n"/>
      <c r="G2190" s="7" t="n"/>
      <c r="H2190" s="8" t="n"/>
      <c r="I2190" s="9">
        <f>IF($A2190="","",SUMIFS(Ventes_Encaissements!$D$6:$D$3005,Ventes_Encaissements!$B$6:$B$3005,$A2190))</f>
        <v/>
      </c>
      <c r="J2190" s="9">
        <f>IF($A2190="","",$H2190-$I2190)</f>
        <v/>
      </c>
      <c r="K2190" s="10">
        <f>IF($A2190="","",IF($I2190=0,"",_xludf.AGGREGATE(14,6,Ventes_Encaissements!$C$6:$C$3005/(Ventes_Encaissements!$B$6:$B$3005=$A2190),1)))</f>
        <v/>
      </c>
      <c r="L2190" s="11">
        <f>IF($A2190="","",COUNTIFS(Ventes_Detail!$B$6:$B$3005,$A2190))</f>
        <v/>
      </c>
      <c r="M2190" s="12" t="n"/>
      <c r="N2190" s="12">
        <f>IF($A2190="","",IF($G2190="","",IF($M2190="Oui","Litige",IF($J2190&lt;=0,"Payé",IF($I2190&gt;0,"Partiel",IF(Listes!$B$3&gt;$G2190,"En retard","À échoir"))))))</f>
        <v/>
      </c>
      <c r="O2190" s="11">
        <f>IF($A2190="","",IF(OR($G2190="", $J2190&lt;=0),0,MAX(0,Listes!$B$3-$G2190)))</f>
        <v/>
      </c>
      <c r="P2190" s="12">
        <f>IF($A2190="","",IF($J2190&lt;=0,"Payé",IF($M2190="Oui","Litige",IF($O2190=0,"À échoir",IF($O2190&lt;=30,"0-30",IF($O2190&lt;=60,"31-60",IF($O2190&lt;=90,"61-90","90+")))))))</f>
        <v/>
      </c>
    </row>
    <row r="2191">
      <c r="A2191" s="6" t="n"/>
      <c r="B2191" s="6" t="n"/>
      <c r="C2191" s="6" t="n"/>
      <c r="D2191" s="6" t="n"/>
      <c r="E2191" s="6" t="n"/>
      <c r="F2191" s="7" t="n"/>
      <c r="G2191" s="7" t="n"/>
      <c r="H2191" s="8" t="n"/>
      <c r="I2191" s="9">
        <f>IF($A2191="","",SUMIFS(Ventes_Encaissements!$D$6:$D$3005,Ventes_Encaissements!$B$6:$B$3005,$A2191))</f>
        <v/>
      </c>
      <c r="J2191" s="9">
        <f>IF($A2191="","",$H2191-$I2191)</f>
        <v/>
      </c>
      <c r="K2191" s="10">
        <f>IF($A2191="","",IF($I2191=0,"",_xludf.AGGREGATE(14,6,Ventes_Encaissements!$C$6:$C$3005/(Ventes_Encaissements!$B$6:$B$3005=$A2191),1)))</f>
        <v/>
      </c>
      <c r="L2191" s="11">
        <f>IF($A2191="","",COUNTIFS(Ventes_Detail!$B$6:$B$3005,$A2191))</f>
        <v/>
      </c>
      <c r="M2191" s="12" t="n"/>
      <c r="N2191" s="12">
        <f>IF($A2191="","",IF($G2191="","",IF($M2191="Oui","Litige",IF($J2191&lt;=0,"Payé",IF($I2191&gt;0,"Partiel",IF(Listes!$B$3&gt;$G2191,"En retard","À échoir"))))))</f>
        <v/>
      </c>
      <c r="O2191" s="11">
        <f>IF($A2191="","",IF(OR($G2191="", $J2191&lt;=0),0,MAX(0,Listes!$B$3-$G2191)))</f>
        <v/>
      </c>
      <c r="P2191" s="12">
        <f>IF($A2191="","",IF($J2191&lt;=0,"Payé",IF($M2191="Oui","Litige",IF($O2191=0,"À échoir",IF($O2191&lt;=30,"0-30",IF($O2191&lt;=60,"31-60",IF($O2191&lt;=90,"61-90","90+")))))))</f>
        <v/>
      </c>
    </row>
    <row r="2192">
      <c r="A2192" s="6" t="n"/>
      <c r="B2192" s="6" t="n"/>
      <c r="C2192" s="6" t="n"/>
      <c r="D2192" s="6" t="n"/>
      <c r="E2192" s="6" t="n"/>
      <c r="F2192" s="7" t="n"/>
      <c r="G2192" s="7" t="n"/>
      <c r="H2192" s="8" t="n"/>
      <c r="I2192" s="9">
        <f>IF($A2192="","",SUMIFS(Ventes_Encaissements!$D$6:$D$3005,Ventes_Encaissements!$B$6:$B$3005,$A2192))</f>
        <v/>
      </c>
      <c r="J2192" s="9">
        <f>IF($A2192="","",$H2192-$I2192)</f>
        <v/>
      </c>
      <c r="K2192" s="10">
        <f>IF($A2192="","",IF($I2192=0,"",_xludf.AGGREGATE(14,6,Ventes_Encaissements!$C$6:$C$3005/(Ventes_Encaissements!$B$6:$B$3005=$A2192),1)))</f>
        <v/>
      </c>
      <c r="L2192" s="11">
        <f>IF($A2192="","",COUNTIFS(Ventes_Detail!$B$6:$B$3005,$A2192))</f>
        <v/>
      </c>
      <c r="M2192" s="12" t="n"/>
      <c r="N2192" s="12">
        <f>IF($A2192="","",IF($G2192="","",IF($M2192="Oui","Litige",IF($J2192&lt;=0,"Payé",IF($I2192&gt;0,"Partiel",IF(Listes!$B$3&gt;$G2192,"En retard","À échoir"))))))</f>
        <v/>
      </c>
      <c r="O2192" s="11">
        <f>IF($A2192="","",IF(OR($G2192="", $J2192&lt;=0),0,MAX(0,Listes!$B$3-$G2192)))</f>
        <v/>
      </c>
      <c r="P2192" s="12">
        <f>IF($A2192="","",IF($J2192&lt;=0,"Payé",IF($M2192="Oui","Litige",IF($O2192=0,"À échoir",IF($O2192&lt;=30,"0-30",IF($O2192&lt;=60,"31-60",IF($O2192&lt;=90,"61-90","90+")))))))</f>
        <v/>
      </c>
    </row>
    <row r="2193">
      <c r="A2193" s="6" t="n"/>
      <c r="B2193" s="6" t="n"/>
      <c r="C2193" s="6" t="n"/>
      <c r="D2193" s="6" t="n"/>
      <c r="E2193" s="6" t="n"/>
      <c r="F2193" s="7" t="n"/>
      <c r="G2193" s="7" t="n"/>
      <c r="H2193" s="8" t="n"/>
      <c r="I2193" s="9">
        <f>IF($A2193="","",SUMIFS(Ventes_Encaissements!$D$6:$D$3005,Ventes_Encaissements!$B$6:$B$3005,$A2193))</f>
        <v/>
      </c>
      <c r="J2193" s="9">
        <f>IF($A2193="","",$H2193-$I2193)</f>
        <v/>
      </c>
      <c r="K2193" s="10">
        <f>IF($A2193="","",IF($I2193=0,"",_xludf.AGGREGATE(14,6,Ventes_Encaissements!$C$6:$C$3005/(Ventes_Encaissements!$B$6:$B$3005=$A2193),1)))</f>
        <v/>
      </c>
      <c r="L2193" s="11">
        <f>IF($A2193="","",COUNTIFS(Ventes_Detail!$B$6:$B$3005,$A2193))</f>
        <v/>
      </c>
      <c r="M2193" s="12" t="n"/>
      <c r="N2193" s="12">
        <f>IF($A2193="","",IF($G2193="","",IF($M2193="Oui","Litige",IF($J2193&lt;=0,"Payé",IF($I2193&gt;0,"Partiel",IF(Listes!$B$3&gt;$G2193,"En retard","À échoir"))))))</f>
        <v/>
      </c>
      <c r="O2193" s="11">
        <f>IF($A2193="","",IF(OR($G2193="", $J2193&lt;=0),0,MAX(0,Listes!$B$3-$G2193)))</f>
        <v/>
      </c>
      <c r="P2193" s="12">
        <f>IF($A2193="","",IF($J2193&lt;=0,"Payé",IF($M2193="Oui","Litige",IF($O2193=0,"À échoir",IF($O2193&lt;=30,"0-30",IF($O2193&lt;=60,"31-60",IF($O2193&lt;=90,"61-90","90+")))))))</f>
        <v/>
      </c>
    </row>
    <row r="2194">
      <c r="A2194" s="6" t="n"/>
      <c r="B2194" s="6" t="n"/>
      <c r="C2194" s="6" t="n"/>
      <c r="D2194" s="6" t="n"/>
      <c r="E2194" s="6" t="n"/>
      <c r="F2194" s="7" t="n"/>
      <c r="G2194" s="7" t="n"/>
      <c r="H2194" s="8" t="n"/>
      <c r="I2194" s="9">
        <f>IF($A2194="","",SUMIFS(Ventes_Encaissements!$D$6:$D$3005,Ventes_Encaissements!$B$6:$B$3005,$A2194))</f>
        <v/>
      </c>
      <c r="J2194" s="9">
        <f>IF($A2194="","",$H2194-$I2194)</f>
        <v/>
      </c>
      <c r="K2194" s="10">
        <f>IF($A2194="","",IF($I2194=0,"",_xludf.AGGREGATE(14,6,Ventes_Encaissements!$C$6:$C$3005/(Ventes_Encaissements!$B$6:$B$3005=$A2194),1)))</f>
        <v/>
      </c>
      <c r="L2194" s="11">
        <f>IF($A2194="","",COUNTIFS(Ventes_Detail!$B$6:$B$3005,$A2194))</f>
        <v/>
      </c>
      <c r="M2194" s="12" t="n"/>
      <c r="N2194" s="12">
        <f>IF($A2194="","",IF($G2194="","",IF($M2194="Oui","Litige",IF($J2194&lt;=0,"Payé",IF($I2194&gt;0,"Partiel",IF(Listes!$B$3&gt;$G2194,"En retard","À échoir"))))))</f>
        <v/>
      </c>
      <c r="O2194" s="11">
        <f>IF($A2194="","",IF(OR($G2194="", $J2194&lt;=0),0,MAX(0,Listes!$B$3-$G2194)))</f>
        <v/>
      </c>
      <c r="P2194" s="12">
        <f>IF($A2194="","",IF($J2194&lt;=0,"Payé",IF($M2194="Oui","Litige",IF($O2194=0,"À échoir",IF($O2194&lt;=30,"0-30",IF($O2194&lt;=60,"31-60",IF($O2194&lt;=90,"61-90","90+")))))))</f>
        <v/>
      </c>
    </row>
    <row r="2195">
      <c r="A2195" s="6" t="n"/>
      <c r="B2195" s="6" t="n"/>
      <c r="C2195" s="6" t="n"/>
      <c r="D2195" s="6" t="n"/>
      <c r="E2195" s="6" t="n"/>
      <c r="F2195" s="7" t="n"/>
      <c r="G2195" s="7" t="n"/>
      <c r="H2195" s="8" t="n"/>
      <c r="I2195" s="9">
        <f>IF($A2195="","",SUMIFS(Ventes_Encaissements!$D$6:$D$3005,Ventes_Encaissements!$B$6:$B$3005,$A2195))</f>
        <v/>
      </c>
      <c r="J2195" s="9">
        <f>IF($A2195="","",$H2195-$I2195)</f>
        <v/>
      </c>
      <c r="K2195" s="10">
        <f>IF($A2195="","",IF($I2195=0,"",_xludf.AGGREGATE(14,6,Ventes_Encaissements!$C$6:$C$3005/(Ventes_Encaissements!$B$6:$B$3005=$A2195),1)))</f>
        <v/>
      </c>
      <c r="L2195" s="11">
        <f>IF($A2195="","",COUNTIFS(Ventes_Detail!$B$6:$B$3005,$A2195))</f>
        <v/>
      </c>
      <c r="M2195" s="12" t="n"/>
      <c r="N2195" s="12">
        <f>IF($A2195="","",IF($G2195="","",IF($M2195="Oui","Litige",IF($J2195&lt;=0,"Payé",IF($I2195&gt;0,"Partiel",IF(Listes!$B$3&gt;$G2195,"En retard","À échoir"))))))</f>
        <v/>
      </c>
      <c r="O2195" s="11">
        <f>IF($A2195="","",IF(OR($G2195="", $J2195&lt;=0),0,MAX(0,Listes!$B$3-$G2195)))</f>
        <v/>
      </c>
      <c r="P2195" s="12">
        <f>IF($A2195="","",IF($J2195&lt;=0,"Payé",IF($M2195="Oui","Litige",IF($O2195=0,"À échoir",IF($O2195&lt;=30,"0-30",IF($O2195&lt;=60,"31-60",IF($O2195&lt;=90,"61-90","90+")))))))</f>
        <v/>
      </c>
    </row>
    <row r="2196">
      <c r="A2196" s="6" t="n"/>
      <c r="B2196" s="6" t="n"/>
      <c r="C2196" s="6" t="n"/>
      <c r="D2196" s="6" t="n"/>
      <c r="E2196" s="6" t="n"/>
      <c r="F2196" s="7" t="n"/>
      <c r="G2196" s="7" t="n"/>
      <c r="H2196" s="8" t="n"/>
      <c r="I2196" s="9">
        <f>IF($A2196="","",SUMIFS(Ventes_Encaissements!$D$6:$D$3005,Ventes_Encaissements!$B$6:$B$3005,$A2196))</f>
        <v/>
      </c>
      <c r="J2196" s="9">
        <f>IF($A2196="","",$H2196-$I2196)</f>
        <v/>
      </c>
      <c r="K2196" s="10">
        <f>IF($A2196="","",IF($I2196=0,"",_xludf.AGGREGATE(14,6,Ventes_Encaissements!$C$6:$C$3005/(Ventes_Encaissements!$B$6:$B$3005=$A2196),1)))</f>
        <v/>
      </c>
      <c r="L2196" s="11">
        <f>IF($A2196="","",COUNTIFS(Ventes_Detail!$B$6:$B$3005,$A2196))</f>
        <v/>
      </c>
      <c r="M2196" s="12" t="n"/>
      <c r="N2196" s="12">
        <f>IF($A2196="","",IF($G2196="","",IF($M2196="Oui","Litige",IF($J2196&lt;=0,"Payé",IF($I2196&gt;0,"Partiel",IF(Listes!$B$3&gt;$G2196,"En retard","À échoir"))))))</f>
        <v/>
      </c>
      <c r="O2196" s="11">
        <f>IF($A2196="","",IF(OR($G2196="", $J2196&lt;=0),0,MAX(0,Listes!$B$3-$G2196)))</f>
        <v/>
      </c>
      <c r="P2196" s="12">
        <f>IF($A2196="","",IF($J2196&lt;=0,"Payé",IF($M2196="Oui","Litige",IF($O2196=0,"À échoir",IF($O2196&lt;=30,"0-30",IF($O2196&lt;=60,"31-60",IF($O2196&lt;=90,"61-90","90+")))))))</f>
        <v/>
      </c>
    </row>
    <row r="2197">
      <c r="A2197" s="6" t="n"/>
      <c r="B2197" s="6" t="n"/>
      <c r="C2197" s="6" t="n"/>
      <c r="D2197" s="6" t="n"/>
      <c r="E2197" s="6" t="n"/>
      <c r="F2197" s="7" t="n"/>
      <c r="G2197" s="7" t="n"/>
      <c r="H2197" s="8" t="n"/>
      <c r="I2197" s="9">
        <f>IF($A2197="","",SUMIFS(Ventes_Encaissements!$D$6:$D$3005,Ventes_Encaissements!$B$6:$B$3005,$A2197))</f>
        <v/>
      </c>
      <c r="J2197" s="9">
        <f>IF($A2197="","",$H2197-$I2197)</f>
        <v/>
      </c>
      <c r="K2197" s="10">
        <f>IF($A2197="","",IF($I2197=0,"",_xludf.AGGREGATE(14,6,Ventes_Encaissements!$C$6:$C$3005/(Ventes_Encaissements!$B$6:$B$3005=$A2197),1)))</f>
        <v/>
      </c>
      <c r="L2197" s="11">
        <f>IF($A2197="","",COUNTIFS(Ventes_Detail!$B$6:$B$3005,$A2197))</f>
        <v/>
      </c>
      <c r="M2197" s="12" t="n"/>
      <c r="N2197" s="12">
        <f>IF($A2197="","",IF($G2197="","",IF($M2197="Oui","Litige",IF($J2197&lt;=0,"Payé",IF($I2197&gt;0,"Partiel",IF(Listes!$B$3&gt;$G2197,"En retard","À échoir"))))))</f>
        <v/>
      </c>
      <c r="O2197" s="11">
        <f>IF($A2197="","",IF(OR($G2197="", $J2197&lt;=0),0,MAX(0,Listes!$B$3-$G2197)))</f>
        <v/>
      </c>
      <c r="P2197" s="12">
        <f>IF($A2197="","",IF($J2197&lt;=0,"Payé",IF($M2197="Oui","Litige",IF($O2197=0,"À échoir",IF($O2197&lt;=30,"0-30",IF($O2197&lt;=60,"31-60",IF($O2197&lt;=90,"61-90","90+")))))))</f>
        <v/>
      </c>
    </row>
    <row r="2198">
      <c r="A2198" s="6" t="n"/>
      <c r="B2198" s="6" t="n"/>
      <c r="C2198" s="6" t="n"/>
      <c r="D2198" s="6" t="n"/>
      <c r="E2198" s="6" t="n"/>
      <c r="F2198" s="7" t="n"/>
      <c r="G2198" s="7" t="n"/>
      <c r="H2198" s="8" t="n"/>
      <c r="I2198" s="9">
        <f>IF($A2198="","",SUMIFS(Ventes_Encaissements!$D$6:$D$3005,Ventes_Encaissements!$B$6:$B$3005,$A2198))</f>
        <v/>
      </c>
      <c r="J2198" s="9">
        <f>IF($A2198="","",$H2198-$I2198)</f>
        <v/>
      </c>
      <c r="K2198" s="10">
        <f>IF($A2198="","",IF($I2198=0,"",_xludf.AGGREGATE(14,6,Ventes_Encaissements!$C$6:$C$3005/(Ventes_Encaissements!$B$6:$B$3005=$A2198),1)))</f>
        <v/>
      </c>
      <c r="L2198" s="11">
        <f>IF($A2198="","",COUNTIFS(Ventes_Detail!$B$6:$B$3005,$A2198))</f>
        <v/>
      </c>
      <c r="M2198" s="12" t="n"/>
      <c r="N2198" s="12">
        <f>IF($A2198="","",IF($G2198="","",IF($M2198="Oui","Litige",IF($J2198&lt;=0,"Payé",IF($I2198&gt;0,"Partiel",IF(Listes!$B$3&gt;$G2198,"En retard","À échoir"))))))</f>
        <v/>
      </c>
      <c r="O2198" s="11">
        <f>IF($A2198="","",IF(OR($G2198="", $J2198&lt;=0),0,MAX(0,Listes!$B$3-$G2198)))</f>
        <v/>
      </c>
      <c r="P2198" s="12">
        <f>IF($A2198="","",IF($J2198&lt;=0,"Payé",IF($M2198="Oui","Litige",IF($O2198=0,"À échoir",IF($O2198&lt;=30,"0-30",IF($O2198&lt;=60,"31-60",IF($O2198&lt;=90,"61-90","90+")))))))</f>
        <v/>
      </c>
    </row>
    <row r="2199">
      <c r="A2199" s="6" t="n"/>
      <c r="B2199" s="6" t="n"/>
      <c r="C2199" s="6" t="n"/>
      <c r="D2199" s="6" t="n"/>
      <c r="E2199" s="6" t="n"/>
      <c r="F2199" s="7" t="n"/>
      <c r="G2199" s="7" t="n"/>
      <c r="H2199" s="8" t="n"/>
      <c r="I2199" s="9">
        <f>IF($A2199="","",SUMIFS(Ventes_Encaissements!$D$6:$D$3005,Ventes_Encaissements!$B$6:$B$3005,$A2199))</f>
        <v/>
      </c>
      <c r="J2199" s="9">
        <f>IF($A2199="","",$H2199-$I2199)</f>
        <v/>
      </c>
      <c r="K2199" s="10">
        <f>IF($A2199="","",IF($I2199=0,"",_xludf.AGGREGATE(14,6,Ventes_Encaissements!$C$6:$C$3005/(Ventes_Encaissements!$B$6:$B$3005=$A2199),1)))</f>
        <v/>
      </c>
      <c r="L2199" s="11">
        <f>IF($A2199="","",COUNTIFS(Ventes_Detail!$B$6:$B$3005,$A2199))</f>
        <v/>
      </c>
      <c r="M2199" s="12" t="n"/>
      <c r="N2199" s="12">
        <f>IF($A2199="","",IF($G2199="","",IF($M2199="Oui","Litige",IF($J2199&lt;=0,"Payé",IF($I2199&gt;0,"Partiel",IF(Listes!$B$3&gt;$G2199,"En retard","À échoir"))))))</f>
        <v/>
      </c>
      <c r="O2199" s="11">
        <f>IF($A2199="","",IF(OR($G2199="", $J2199&lt;=0),0,MAX(0,Listes!$B$3-$G2199)))</f>
        <v/>
      </c>
      <c r="P2199" s="12">
        <f>IF($A2199="","",IF($J2199&lt;=0,"Payé",IF($M2199="Oui","Litige",IF($O2199=0,"À échoir",IF($O2199&lt;=30,"0-30",IF($O2199&lt;=60,"31-60",IF($O2199&lt;=90,"61-90","90+")))))))</f>
        <v/>
      </c>
    </row>
    <row r="2200">
      <c r="A2200" s="6" t="n"/>
      <c r="B2200" s="6" t="n"/>
      <c r="C2200" s="6" t="n"/>
      <c r="D2200" s="6" t="n"/>
      <c r="E2200" s="6" t="n"/>
      <c r="F2200" s="7" t="n"/>
      <c r="G2200" s="7" t="n"/>
      <c r="H2200" s="8" t="n"/>
      <c r="I2200" s="9">
        <f>IF($A2200="","",SUMIFS(Ventes_Encaissements!$D$6:$D$3005,Ventes_Encaissements!$B$6:$B$3005,$A2200))</f>
        <v/>
      </c>
      <c r="J2200" s="9">
        <f>IF($A2200="","",$H2200-$I2200)</f>
        <v/>
      </c>
      <c r="K2200" s="10">
        <f>IF($A2200="","",IF($I2200=0,"",_xludf.AGGREGATE(14,6,Ventes_Encaissements!$C$6:$C$3005/(Ventes_Encaissements!$B$6:$B$3005=$A2200),1)))</f>
        <v/>
      </c>
      <c r="L2200" s="11">
        <f>IF($A2200="","",COUNTIFS(Ventes_Detail!$B$6:$B$3005,$A2200))</f>
        <v/>
      </c>
      <c r="M2200" s="12" t="n"/>
      <c r="N2200" s="12">
        <f>IF($A2200="","",IF($G2200="","",IF($M2200="Oui","Litige",IF($J2200&lt;=0,"Payé",IF($I2200&gt;0,"Partiel",IF(Listes!$B$3&gt;$G2200,"En retard","À échoir"))))))</f>
        <v/>
      </c>
      <c r="O2200" s="11">
        <f>IF($A2200="","",IF(OR($G2200="", $J2200&lt;=0),0,MAX(0,Listes!$B$3-$G2200)))</f>
        <v/>
      </c>
      <c r="P2200" s="12">
        <f>IF($A2200="","",IF($J2200&lt;=0,"Payé",IF($M2200="Oui","Litige",IF($O2200=0,"À échoir",IF($O2200&lt;=30,"0-30",IF($O2200&lt;=60,"31-60",IF($O2200&lt;=90,"61-90","90+")))))))</f>
        <v/>
      </c>
    </row>
    <row r="2201">
      <c r="A2201" s="6" t="n"/>
      <c r="B2201" s="6" t="n"/>
      <c r="C2201" s="6" t="n"/>
      <c r="D2201" s="6" t="n"/>
      <c r="E2201" s="6" t="n"/>
      <c r="F2201" s="7" t="n"/>
      <c r="G2201" s="7" t="n"/>
      <c r="H2201" s="8" t="n"/>
      <c r="I2201" s="9">
        <f>IF($A2201="","",SUMIFS(Ventes_Encaissements!$D$6:$D$3005,Ventes_Encaissements!$B$6:$B$3005,$A2201))</f>
        <v/>
      </c>
      <c r="J2201" s="9">
        <f>IF($A2201="","",$H2201-$I2201)</f>
        <v/>
      </c>
      <c r="K2201" s="10">
        <f>IF($A2201="","",IF($I2201=0,"",_xludf.AGGREGATE(14,6,Ventes_Encaissements!$C$6:$C$3005/(Ventes_Encaissements!$B$6:$B$3005=$A2201),1)))</f>
        <v/>
      </c>
      <c r="L2201" s="11">
        <f>IF($A2201="","",COUNTIFS(Ventes_Detail!$B$6:$B$3005,$A2201))</f>
        <v/>
      </c>
      <c r="M2201" s="12" t="n"/>
      <c r="N2201" s="12">
        <f>IF($A2201="","",IF($G2201="","",IF($M2201="Oui","Litige",IF($J2201&lt;=0,"Payé",IF($I2201&gt;0,"Partiel",IF(Listes!$B$3&gt;$G2201,"En retard","À échoir"))))))</f>
        <v/>
      </c>
      <c r="O2201" s="11">
        <f>IF($A2201="","",IF(OR($G2201="", $J2201&lt;=0),0,MAX(0,Listes!$B$3-$G2201)))</f>
        <v/>
      </c>
      <c r="P2201" s="12">
        <f>IF($A2201="","",IF($J2201&lt;=0,"Payé",IF($M2201="Oui","Litige",IF($O2201=0,"À échoir",IF($O2201&lt;=30,"0-30",IF($O2201&lt;=60,"31-60",IF($O2201&lt;=90,"61-90","90+")))))))</f>
        <v/>
      </c>
    </row>
    <row r="2202">
      <c r="A2202" s="6" t="n"/>
      <c r="B2202" s="6" t="n"/>
      <c r="C2202" s="6" t="n"/>
      <c r="D2202" s="6" t="n"/>
      <c r="E2202" s="6" t="n"/>
      <c r="F2202" s="7" t="n"/>
      <c r="G2202" s="7" t="n"/>
      <c r="H2202" s="8" t="n"/>
      <c r="I2202" s="9">
        <f>IF($A2202="","",SUMIFS(Ventes_Encaissements!$D$6:$D$3005,Ventes_Encaissements!$B$6:$B$3005,$A2202))</f>
        <v/>
      </c>
      <c r="J2202" s="9">
        <f>IF($A2202="","",$H2202-$I2202)</f>
        <v/>
      </c>
      <c r="K2202" s="10">
        <f>IF($A2202="","",IF($I2202=0,"",_xludf.AGGREGATE(14,6,Ventes_Encaissements!$C$6:$C$3005/(Ventes_Encaissements!$B$6:$B$3005=$A2202),1)))</f>
        <v/>
      </c>
      <c r="L2202" s="11">
        <f>IF($A2202="","",COUNTIFS(Ventes_Detail!$B$6:$B$3005,$A2202))</f>
        <v/>
      </c>
      <c r="M2202" s="12" t="n"/>
      <c r="N2202" s="12">
        <f>IF($A2202="","",IF($G2202="","",IF($M2202="Oui","Litige",IF($J2202&lt;=0,"Payé",IF($I2202&gt;0,"Partiel",IF(Listes!$B$3&gt;$G2202,"En retard","À échoir"))))))</f>
        <v/>
      </c>
      <c r="O2202" s="11">
        <f>IF($A2202="","",IF(OR($G2202="", $J2202&lt;=0),0,MAX(0,Listes!$B$3-$G2202)))</f>
        <v/>
      </c>
      <c r="P2202" s="12">
        <f>IF($A2202="","",IF($J2202&lt;=0,"Payé",IF($M2202="Oui","Litige",IF($O2202=0,"À échoir",IF($O2202&lt;=30,"0-30",IF($O2202&lt;=60,"31-60",IF($O2202&lt;=90,"61-90","90+")))))))</f>
        <v/>
      </c>
    </row>
    <row r="2203">
      <c r="A2203" s="6" t="n"/>
      <c r="B2203" s="6" t="n"/>
      <c r="C2203" s="6" t="n"/>
      <c r="D2203" s="6" t="n"/>
      <c r="E2203" s="6" t="n"/>
      <c r="F2203" s="7" t="n"/>
      <c r="G2203" s="7" t="n"/>
      <c r="H2203" s="8" t="n"/>
      <c r="I2203" s="9">
        <f>IF($A2203="","",SUMIFS(Ventes_Encaissements!$D$6:$D$3005,Ventes_Encaissements!$B$6:$B$3005,$A2203))</f>
        <v/>
      </c>
      <c r="J2203" s="9">
        <f>IF($A2203="","",$H2203-$I2203)</f>
        <v/>
      </c>
      <c r="K2203" s="10">
        <f>IF($A2203="","",IF($I2203=0,"",_xludf.AGGREGATE(14,6,Ventes_Encaissements!$C$6:$C$3005/(Ventes_Encaissements!$B$6:$B$3005=$A2203),1)))</f>
        <v/>
      </c>
      <c r="L2203" s="11">
        <f>IF($A2203="","",COUNTIFS(Ventes_Detail!$B$6:$B$3005,$A2203))</f>
        <v/>
      </c>
      <c r="M2203" s="12" t="n"/>
      <c r="N2203" s="12">
        <f>IF($A2203="","",IF($G2203="","",IF($M2203="Oui","Litige",IF($J2203&lt;=0,"Payé",IF($I2203&gt;0,"Partiel",IF(Listes!$B$3&gt;$G2203,"En retard","À échoir"))))))</f>
        <v/>
      </c>
      <c r="O2203" s="11">
        <f>IF($A2203="","",IF(OR($G2203="", $J2203&lt;=0),0,MAX(0,Listes!$B$3-$G2203)))</f>
        <v/>
      </c>
      <c r="P2203" s="12">
        <f>IF($A2203="","",IF($J2203&lt;=0,"Payé",IF($M2203="Oui","Litige",IF($O2203=0,"À échoir",IF($O2203&lt;=30,"0-30",IF($O2203&lt;=60,"31-60",IF($O2203&lt;=90,"61-90","90+")))))))</f>
        <v/>
      </c>
    </row>
    <row r="2204">
      <c r="A2204" s="6" t="n"/>
      <c r="B2204" s="6" t="n"/>
      <c r="C2204" s="6" t="n"/>
      <c r="D2204" s="6" t="n"/>
      <c r="E2204" s="6" t="n"/>
      <c r="F2204" s="7" t="n"/>
      <c r="G2204" s="7" t="n"/>
      <c r="H2204" s="8" t="n"/>
      <c r="I2204" s="9">
        <f>IF($A2204="","",SUMIFS(Ventes_Encaissements!$D$6:$D$3005,Ventes_Encaissements!$B$6:$B$3005,$A2204))</f>
        <v/>
      </c>
      <c r="J2204" s="9">
        <f>IF($A2204="","",$H2204-$I2204)</f>
        <v/>
      </c>
      <c r="K2204" s="10">
        <f>IF($A2204="","",IF($I2204=0,"",_xludf.AGGREGATE(14,6,Ventes_Encaissements!$C$6:$C$3005/(Ventes_Encaissements!$B$6:$B$3005=$A2204),1)))</f>
        <v/>
      </c>
      <c r="L2204" s="11">
        <f>IF($A2204="","",COUNTIFS(Ventes_Detail!$B$6:$B$3005,$A2204))</f>
        <v/>
      </c>
      <c r="M2204" s="12" t="n"/>
      <c r="N2204" s="12">
        <f>IF($A2204="","",IF($G2204="","",IF($M2204="Oui","Litige",IF($J2204&lt;=0,"Payé",IF($I2204&gt;0,"Partiel",IF(Listes!$B$3&gt;$G2204,"En retard","À échoir"))))))</f>
        <v/>
      </c>
      <c r="O2204" s="11">
        <f>IF($A2204="","",IF(OR($G2204="", $J2204&lt;=0),0,MAX(0,Listes!$B$3-$G2204)))</f>
        <v/>
      </c>
      <c r="P2204" s="12">
        <f>IF($A2204="","",IF($J2204&lt;=0,"Payé",IF($M2204="Oui","Litige",IF($O2204=0,"À échoir",IF($O2204&lt;=30,"0-30",IF($O2204&lt;=60,"31-60",IF($O2204&lt;=90,"61-90","90+")))))))</f>
        <v/>
      </c>
    </row>
    <row r="2205">
      <c r="A2205" s="6" t="n"/>
      <c r="B2205" s="6" t="n"/>
      <c r="C2205" s="6" t="n"/>
      <c r="D2205" s="6" t="n"/>
      <c r="E2205" s="6" t="n"/>
      <c r="F2205" s="7" t="n"/>
      <c r="G2205" s="7" t="n"/>
      <c r="H2205" s="8" t="n"/>
      <c r="I2205" s="9">
        <f>IF($A2205="","",SUMIFS(Ventes_Encaissements!$D$6:$D$3005,Ventes_Encaissements!$B$6:$B$3005,$A2205))</f>
        <v/>
      </c>
      <c r="J2205" s="9">
        <f>IF($A2205="","",$H2205-$I2205)</f>
        <v/>
      </c>
      <c r="K2205" s="10">
        <f>IF($A2205="","",IF($I2205=0,"",_xludf.AGGREGATE(14,6,Ventes_Encaissements!$C$6:$C$3005/(Ventes_Encaissements!$B$6:$B$3005=$A2205),1)))</f>
        <v/>
      </c>
      <c r="L2205" s="11">
        <f>IF($A2205="","",COUNTIFS(Ventes_Detail!$B$6:$B$3005,$A2205))</f>
        <v/>
      </c>
      <c r="M2205" s="12" t="n"/>
      <c r="N2205" s="12">
        <f>IF($A2205="","",IF($G2205="","",IF($M2205="Oui","Litige",IF($J2205&lt;=0,"Payé",IF($I2205&gt;0,"Partiel",IF(Listes!$B$3&gt;$G2205,"En retard","À échoir"))))))</f>
        <v/>
      </c>
      <c r="O2205" s="11">
        <f>IF($A2205="","",IF(OR($G2205="", $J2205&lt;=0),0,MAX(0,Listes!$B$3-$G2205)))</f>
        <v/>
      </c>
      <c r="P2205" s="12">
        <f>IF($A2205="","",IF($J2205&lt;=0,"Payé",IF($M2205="Oui","Litige",IF($O2205=0,"À échoir",IF($O2205&lt;=30,"0-30",IF($O2205&lt;=60,"31-60",IF($O2205&lt;=90,"61-90","90+")))))))</f>
        <v/>
      </c>
    </row>
    <row r="2206">
      <c r="A2206" s="6" t="n"/>
      <c r="B2206" s="6" t="n"/>
      <c r="C2206" s="6" t="n"/>
      <c r="D2206" s="6" t="n"/>
      <c r="E2206" s="6" t="n"/>
      <c r="F2206" s="7" t="n"/>
      <c r="G2206" s="7" t="n"/>
      <c r="H2206" s="8" t="n"/>
      <c r="I2206" s="9">
        <f>IF($A2206="","",SUMIFS(Ventes_Encaissements!$D$6:$D$3005,Ventes_Encaissements!$B$6:$B$3005,$A2206))</f>
        <v/>
      </c>
      <c r="J2206" s="9">
        <f>IF($A2206="","",$H2206-$I2206)</f>
        <v/>
      </c>
      <c r="K2206" s="10">
        <f>IF($A2206="","",IF($I2206=0,"",_xludf.AGGREGATE(14,6,Ventes_Encaissements!$C$6:$C$3005/(Ventes_Encaissements!$B$6:$B$3005=$A2206),1)))</f>
        <v/>
      </c>
      <c r="L2206" s="11">
        <f>IF($A2206="","",COUNTIFS(Ventes_Detail!$B$6:$B$3005,$A2206))</f>
        <v/>
      </c>
      <c r="M2206" s="12" t="n"/>
      <c r="N2206" s="12">
        <f>IF($A2206="","",IF($G2206="","",IF($M2206="Oui","Litige",IF($J2206&lt;=0,"Payé",IF($I2206&gt;0,"Partiel",IF(Listes!$B$3&gt;$G2206,"En retard","À échoir"))))))</f>
        <v/>
      </c>
      <c r="O2206" s="11">
        <f>IF($A2206="","",IF(OR($G2206="", $J2206&lt;=0),0,MAX(0,Listes!$B$3-$G2206)))</f>
        <v/>
      </c>
      <c r="P2206" s="12">
        <f>IF($A2206="","",IF($J2206&lt;=0,"Payé",IF($M2206="Oui","Litige",IF($O2206=0,"À échoir",IF($O2206&lt;=30,"0-30",IF($O2206&lt;=60,"31-60",IF($O2206&lt;=90,"61-90","90+")))))))</f>
        <v/>
      </c>
    </row>
    <row r="2207">
      <c r="A2207" s="6" t="n"/>
      <c r="B2207" s="6" t="n"/>
      <c r="C2207" s="6" t="n"/>
      <c r="D2207" s="6" t="n"/>
      <c r="E2207" s="6" t="n"/>
      <c r="F2207" s="7" t="n"/>
      <c r="G2207" s="7" t="n"/>
      <c r="H2207" s="8" t="n"/>
      <c r="I2207" s="9">
        <f>IF($A2207="","",SUMIFS(Ventes_Encaissements!$D$6:$D$3005,Ventes_Encaissements!$B$6:$B$3005,$A2207))</f>
        <v/>
      </c>
      <c r="J2207" s="9">
        <f>IF($A2207="","",$H2207-$I2207)</f>
        <v/>
      </c>
      <c r="K2207" s="10">
        <f>IF($A2207="","",IF($I2207=0,"",_xludf.AGGREGATE(14,6,Ventes_Encaissements!$C$6:$C$3005/(Ventes_Encaissements!$B$6:$B$3005=$A2207),1)))</f>
        <v/>
      </c>
      <c r="L2207" s="11">
        <f>IF($A2207="","",COUNTIFS(Ventes_Detail!$B$6:$B$3005,$A2207))</f>
        <v/>
      </c>
      <c r="M2207" s="12" t="n"/>
      <c r="N2207" s="12">
        <f>IF($A2207="","",IF($G2207="","",IF($M2207="Oui","Litige",IF($J2207&lt;=0,"Payé",IF($I2207&gt;0,"Partiel",IF(Listes!$B$3&gt;$G2207,"En retard","À échoir"))))))</f>
        <v/>
      </c>
      <c r="O2207" s="11">
        <f>IF($A2207="","",IF(OR($G2207="", $J2207&lt;=0),0,MAX(0,Listes!$B$3-$G2207)))</f>
        <v/>
      </c>
      <c r="P2207" s="12">
        <f>IF($A2207="","",IF($J2207&lt;=0,"Payé",IF($M2207="Oui","Litige",IF($O2207=0,"À échoir",IF($O2207&lt;=30,"0-30",IF($O2207&lt;=60,"31-60",IF($O2207&lt;=90,"61-90","90+")))))))</f>
        <v/>
      </c>
    </row>
    <row r="2208">
      <c r="A2208" s="6" t="n"/>
      <c r="B2208" s="6" t="n"/>
      <c r="C2208" s="6" t="n"/>
      <c r="D2208" s="6" t="n"/>
      <c r="E2208" s="6" t="n"/>
      <c r="F2208" s="7" t="n"/>
      <c r="G2208" s="7" t="n"/>
      <c r="H2208" s="8" t="n"/>
      <c r="I2208" s="9">
        <f>IF($A2208="","",SUMIFS(Ventes_Encaissements!$D$6:$D$3005,Ventes_Encaissements!$B$6:$B$3005,$A2208))</f>
        <v/>
      </c>
      <c r="J2208" s="9">
        <f>IF($A2208="","",$H2208-$I2208)</f>
        <v/>
      </c>
      <c r="K2208" s="10">
        <f>IF($A2208="","",IF($I2208=0,"",_xludf.AGGREGATE(14,6,Ventes_Encaissements!$C$6:$C$3005/(Ventes_Encaissements!$B$6:$B$3005=$A2208),1)))</f>
        <v/>
      </c>
      <c r="L2208" s="11">
        <f>IF($A2208="","",COUNTIFS(Ventes_Detail!$B$6:$B$3005,$A2208))</f>
        <v/>
      </c>
      <c r="M2208" s="12" t="n"/>
      <c r="N2208" s="12">
        <f>IF($A2208="","",IF($G2208="","",IF($M2208="Oui","Litige",IF($J2208&lt;=0,"Payé",IF($I2208&gt;0,"Partiel",IF(Listes!$B$3&gt;$G2208,"En retard","À échoir"))))))</f>
        <v/>
      </c>
      <c r="O2208" s="11">
        <f>IF($A2208="","",IF(OR($G2208="", $J2208&lt;=0),0,MAX(0,Listes!$B$3-$G2208)))</f>
        <v/>
      </c>
      <c r="P2208" s="12">
        <f>IF($A2208="","",IF($J2208&lt;=0,"Payé",IF($M2208="Oui","Litige",IF($O2208=0,"À échoir",IF($O2208&lt;=30,"0-30",IF($O2208&lt;=60,"31-60",IF($O2208&lt;=90,"61-90","90+")))))))</f>
        <v/>
      </c>
    </row>
    <row r="2209">
      <c r="A2209" s="6" t="n"/>
      <c r="B2209" s="6" t="n"/>
      <c r="C2209" s="6" t="n"/>
      <c r="D2209" s="6" t="n"/>
      <c r="E2209" s="6" t="n"/>
      <c r="F2209" s="7" t="n"/>
      <c r="G2209" s="7" t="n"/>
      <c r="H2209" s="8" t="n"/>
      <c r="I2209" s="9">
        <f>IF($A2209="","",SUMIFS(Ventes_Encaissements!$D$6:$D$3005,Ventes_Encaissements!$B$6:$B$3005,$A2209))</f>
        <v/>
      </c>
      <c r="J2209" s="9">
        <f>IF($A2209="","",$H2209-$I2209)</f>
        <v/>
      </c>
      <c r="K2209" s="10">
        <f>IF($A2209="","",IF($I2209=0,"",_xludf.AGGREGATE(14,6,Ventes_Encaissements!$C$6:$C$3005/(Ventes_Encaissements!$B$6:$B$3005=$A2209),1)))</f>
        <v/>
      </c>
      <c r="L2209" s="11">
        <f>IF($A2209="","",COUNTIFS(Ventes_Detail!$B$6:$B$3005,$A2209))</f>
        <v/>
      </c>
      <c r="M2209" s="12" t="n"/>
      <c r="N2209" s="12">
        <f>IF($A2209="","",IF($G2209="","",IF($M2209="Oui","Litige",IF($J2209&lt;=0,"Payé",IF($I2209&gt;0,"Partiel",IF(Listes!$B$3&gt;$G2209,"En retard","À échoir"))))))</f>
        <v/>
      </c>
      <c r="O2209" s="11">
        <f>IF($A2209="","",IF(OR($G2209="", $J2209&lt;=0),0,MAX(0,Listes!$B$3-$G2209)))</f>
        <v/>
      </c>
      <c r="P2209" s="12">
        <f>IF($A2209="","",IF($J2209&lt;=0,"Payé",IF($M2209="Oui","Litige",IF($O2209=0,"À échoir",IF($O2209&lt;=30,"0-30",IF($O2209&lt;=60,"31-60",IF($O2209&lt;=90,"61-90","90+")))))))</f>
        <v/>
      </c>
    </row>
    <row r="2210">
      <c r="A2210" s="6" t="n"/>
      <c r="B2210" s="6" t="n"/>
      <c r="C2210" s="6" t="n"/>
      <c r="D2210" s="6" t="n"/>
      <c r="E2210" s="6" t="n"/>
      <c r="F2210" s="7" t="n"/>
      <c r="G2210" s="7" t="n"/>
      <c r="H2210" s="8" t="n"/>
      <c r="I2210" s="9">
        <f>IF($A2210="","",SUMIFS(Ventes_Encaissements!$D$6:$D$3005,Ventes_Encaissements!$B$6:$B$3005,$A2210))</f>
        <v/>
      </c>
      <c r="J2210" s="9">
        <f>IF($A2210="","",$H2210-$I2210)</f>
        <v/>
      </c>
      <c r="K2210" s="10">
        <f>IF($A2210="","",IF($I2210=0,"",_xludf.AGGREGATE(14,6,Ventes_Encaissements!$C$6:$C$3005/(Ventes_Encaissements!$B$6:$B$3005=$A2210),1)))</f>
        <v/>
      </c>
      <c r="L2210" s="11">
        <f>IF($A2210="","",COUNTIFS(Ventes_Detail!$B$6:$B$3005,$A2210))</f>
        <v/>
      </c>
      <c r="M2210" s="12" t="n"/>
      <c r="N2210" s="12">
        <f>IF($A2210="","",IF($G2210="","",IF($M2210="Oui","Litige",IF($J2210&lt;=0,"Payé",IF($I2210&gt;0,"Partiel",IF(Listes!$B$3&gt;$G2210,"En retard","À échoir"))))))</f>
        <v/>
      </c>
      <c r="O2210" s="11">
        <f>IF($A2210="","",IF(OR($G2210="", $J2210&lt;=0),0,MAX(0,Listes!$B$3-$G2210)))</f>
        <v/>
      </c>
      <c r="P2210" s="12">
        <f>IF($A2210="","",IF($J2210&lt;=0,"Payé",IF($M2210="Oui","Litige",IF($O2210=0,"À échoir",IF($O2210&lt;=30,"0-30",IF($O2210&lt;=60,"31-60",IF($O2210&lt;=90,"61-90","90+")))))))</f>
        <v/>
      </c>
    </row>
    <row r="2211">
      <c r="A2211" s="6" t="n"/>
      <c r="B2211" s="6" t="n"/>
      <c r="C2211" s="6" t="n"/>
      <c r="D2211" s="6" t="n"/>
      <c r="E2211" s="6" t="n"/>
      <c r="F2211" s="7" t="n"/>
      <c r="G2211" s="7" t="n"/>
      <c r="H2211" s="8" t="n"/>
      <c r="I2211" s="9">
        <f>IF($A2211="","",SUMIFS(Ventes_Encaissements!$D$6:$D$3005,Ventes_Encaissements!$B$6:$B$3005,$A2211))</f>
        <v/>
      </c>
      <c r="J2211" s="9">
        <f>IF($A2211="","",$H2211-$I2211)</f>
        <v/>
      </c>
      <c r="K2211" s="10">
        <f>IF($A2211="","",IF($I2211=0,"",_xludf.AGGREGATE(14,6,Ventes_Encaissements!$C$6:$C$3005/(Ventes_Encaissements!$B$6:$B$3005=$A2211),1)))</f>
        <v/>
      </c>
      <c r="L2211" s="11">
        <f>IF($A2211="","",COUNTIFS(Ventes_Detail!$B$6:$B$3005,$A2211))</f>
        <v/>
      </c>
      <c r="M2211" s="12" t="n"/>
      <c r="N2211" s="12">
        <f>IF($A2211="","",IF($G2211="","",IF($M2211="Oui","Litige",IF($J2211&lt;=0,"Payé",IF($I2211&gt;0,"Partiel",IF(Listes!$B$3&gt;$G2211,"En retard","À échoir"))))))</f>
        <v/>
      </c>
      <c r="O2211" s="11">
        <f>IF($A2211="","",IF(OR($G2211="", $J2211&lt;=0),0,MAX(0,Listes!$B$3-$G2211)))</f>
        <v/>
      </c>
      <c r="P2211" s="12">
        <f>IF($A2211="","",IF($J2211&lt;=0,"Payé",IF($M2211="Oui","Litige",IF($O2211=0,"À échoir",IF($O2211&lt;=30,"0-30",IF($O2211&lt;=60,"31-60",IF($O2211&lt;=90,"61-90","90+")))))))</f>
        <v/>
      </c>
    </row>
    <row r="2212">
      <c r="A2212" s="6" t="n"/>
      <c r="B2212" s="6" t="n"/>
      <c r="C2212" s="6" t="n"/>
      <c r="D2212" s="6" t="n"/>
      <c r="E2212" s="6" t="n"/>
      <c r="F2212" s="7" t="n"/>
      <c r="G2212" s="7" t="n"/>
      <c r="H2212" s="8" t="n"/>
      <c r="I2212" s="9">
        <f>IF($A2212="","",SUMIFS(Ventes_Encaissements!$D$6:$D$3005,Ventes_Encaissements!$B$6:$B$3005,$A2212))</f>
        <v/>
      </c>
      <c r="J2212" s="9">
        <f>IF($A2212="","",$H2212-$I2212)</f>
        <v/>
      </c>
      <c r="K2212" s="10">
        <f>IF($A2212="","",IF($I2212=0,"",_xludf.AGGREGATE(14,6,Ventes_Encaissements!$C$6:$C$3005/(Ventes_Encaissements!$B$6:$B$3005=$A2212),1)))</f>
        <v/>
      </c>
      <c r="L2212" s="11">
        <f>IF($A2212="","",COUNTIFS(Ventes_Detail!$B$6:$B$3005,$A2212))</f>
        <v/>
      </c>
      <c r="M2212" s="12" t="n"/>
      <c r="N2212" s="12">
        <f>IF($A2212="","",IF($G2212="","",IF($M2212="Oui","Litige",IF($J2212&lt;=0,"Payé",IF($I2212&gt;0,"Partiel",IF(Listes!$B$3&gt;$G2212,"En retard","À échoir"))))))</f>
        <v/>
      </c>
      <c r="O2212" s="11">
        <f>IF($A2212="","",IF(OR($G2212="", $J2212&lt;=0),0,MAX(0,Listes!$B$3-$G2212)))</f>
        <v/>
      </c>
      <c r="P2212" s="12">
        <f>IF($A2212="","",IF($J2212&lt;=0,"Payé",IF($M2212="Oui","Litige",IF($O2212=0,"À échoir",IF($O2212&lt;=30,"0-30",IF($O2212&lt;=60,"31-60",IF($O2212&lt;=90,"61-90","90+")))))))</f>
        <v/>
      </c>
    </row>
    <row r="2213">
      <c r="A2213" s="6" t="n"/>
      <c r="B2213" s="6" t="n"/>
      <c r="C2213" s="6" t="n"/>
      <c r="D2213" s="6" t="n"/>
      <c r="E2213" s="6" t="n"/>
      <c r="F2213" s="7" t="n"/>
      <c r="G2213" s="7" t="n"/>
      <c r="H2213" s="8" t="n"/>
      <c r="I2213" s="9">
        <f>IF($A2213="","",SUMIFS(Ventes_Encaissements!$D$6:$D$3005,Ventes_Encaissements!$B$6:$B$3005,$A2213))</f>
        <v/>
      </c>
      <c r="J2213" s="9">
        <f>IF($A2213="","",$H2213-$I2213)</f>
        <v/>
      </c>
      <c r="K2213" s="10">
        <f>IF($A2213="","",IF($I2213=0,"",_xludf.AGGREGATE(14,6,Ventes_Encaissements!$C$6:$C$3005/(Ventes_Encaissements!$B$6:$B$3005=$A2213),1)))</f>
        <v/>
      </c>
      <c r="L2213" s="11">
        <f>IF($A2213="","",COUNTIFS(Ventes_Detail!$B$6:$B$3005,$A2213))</f>
        <v/>
      </c>
      <c r="M2213" s="12" t="n"/>
      <c r="N2213" s="12">
        <f>IF($A2213="","",IF($G2213="","",IF($M2213="Oui","Litige",IF($J2213&lt;=0,"Payé",IF($I2213&gt;0,"Partiel",IF(Listes!$B$3&gt;$G2213,"En retard","À échoir"))))))</f>
        <v/>
      </c>
      <c r="O2213" s="11">
        <f>IF($A2213="","",IF(OR($G2213="", $J2213&lt;=0),0,MAX(0,Listes!$B$3-$G2213)))</f>
        <v/>
      </c>
      <c r="P2213" s="12">
        <f>IF($A2213="","",IF($J2213&lt;=0,"Payé",IF($M2213="Oui","Litige",IF($O2213=0,"À échoir",IF($O2213&lt;=30,"0-30",IF($O2213&lt;=60,"31-60",IF($O2213&lt;=90,"61-90","90+")))))))</f>
        <v/>
      </c>
    </row>
    <row r="2214">
      <c r="A2214" s="6" t="n"/>
      <c r="B2214" s="6" t="n"/>
      <c r="C2214" s="6" t="n"/>
      <c r="D2214" s="6" t="n"/>
      <c r="E2214" s="6" t="n"/>
      <c r="F2214" s="7" t="n"/>
      <c r="G2214" s="7" t="n"/>
      <c r="H2214" s="8" t="n"/>
      <c r="I2214" s="9">
        <f>IF($A2214="","",SUMIFS(Ventes_Encaissements!$D$6:$D$3005,Ventes_Encaissements!$B$6:$B$3005,$A2214))</f>
        <v/>
      </c>
      <c r="J2214" s="9">
        <f>IF($A2214="","",$H2214-$I2214)</f>
        <v/>
      </c>
      <c r="K2214" s="10">
        <f>IF($A2214="","",IF($I2214=0,"",_xludf.AGGREGATE(14,6,Ventes_Encaissements!$C$6:$C$3005/(Ventes_Encaissements!$B$6:$B$3005=$A2214),1)))</f>
        <v/>
      </c>
      <c r="L2214" s="11">
        <f>IF($A2214="","",COUNTIFS(Ventes_Detail!$B$6:$B$3005,$A2214))</f>
        <v/>
      </c>
      <c r="M2214" s="12" t="n"/>
      <c r="N2214" s="12">
        <f>IF($A2214="","",IF($G2214="","",IF($M2214="Oui","Litige",IF($J2214&lt;=0,"Payé",IF($I2214&gt;0,"Partiel",IF(Listes!$B$3&gt;$G2214,"En retard","À échoir"))))))</f>
        <v/>
      </c>
      <c r="O2214" s="11">
        <f>IF($A2214="","",IF(OR($G2214="", $J2214&lt;=0),0,MAX(0,Listes!$B$3-$G2214)))</f>
        <v/>
      </c>
      <c r="P2214" s="12">
        <f>IF($A2214="","",IF($J2214&lt;=0,"Payé",IF($M2214="Oui","Litige",IF($O2214=0,"À échoir",IF($O2214&lt;=30,"0-30",IF($O2214&lt;=60,"31-60",IF($O2214&lt;=90,"61-90","90+")))))))</f>
        <v/>
      </c>
    </row>
    <row r="2215">
      <c r="A2215" s="6" t="n"/>
      <c r="B2215" s="6" t="n"/>
      <c r="C2215" s="6" t="n"/>
      <c r="D2215" s="6" t="n"/>
      <c r="E2215" s="6" t="n"/>
      <c r="F2215" s="7" t="n"/>
      <c r="G2215" s="7" t="n"/>
      <c r="H2215" s="8" t="n"/>
      <c r="I2215" s="9">
        <f>IF($A2215="","",SUMIFS(Ventes_Encaissements!$D$6:$D$3005,Ventes_Encaissements!$B$6:$B$3005,$A2215))</f>
        <v/>
      </c>
      <c r="J2215" s="9">
        <f>IF($A2215="","",$H2215-$I2215)</f>
        <v/>
      </c>
      <c r="K2215" s="10">
        <f>IF($A2215="","",IF($I2215=0,"",_xludf.AGGREGATE(14,6,Ventes_Encaissements!$C$6:$C$3005/(Ventes_Encaissements!$B$6:$B$3005=$A2215),1)))</f>
        <v/>
      </c>
      <c r="L2215" s="11">
        <f>IF($A2215="","",COUNTIFS(Ventes_Detail!$B$6:$B$3005,$A2215))</f>
        <v/>
      </c>
      <c r="M2215" s="12" t="n"/>
      <c r="N2215" s="12">
        <f>IF($A2215="","",IF($G2215="","",IF($M2215="Oui","Litige",IF($J2215&lt;=0,"Payé",IF($I2215&gt;0,"Partiel",IF(Listes!$B$3&gt;$G2215,"En retard","À échoir"))))))</f>
        <v/>
      </c>
      <c r="O2215" s="11">
        <f>IF($A2215="","",IF(OR($G2215="", $J2215&lt;=0),0,MAX(0,Listes!$B$3-$G2215)))</f>
        <v/>
      </c>
      <c r="P2215" s="12">
        <f>IF($A2215="","",IF($J2215&lt;=0,"Payé",IF($M2215="Oui","Litige",IF($O2215=0,"À échoir",IF($O2215&lt;=30,"0-30",IF($O2215&lt;=60,"31-60",IF($O2215&lt;=90,"61-90","90+")))))))</f>
        <v/>
      </c>
    </row>
    <row r="2216">
      <c r="A2216" s="6" t="n"/>
      <c r="B2216" s="6" t="n"/>
      <c r="C2216" s="6" t="n"/>
      <c r="D2216" s="6" t="n"/>
      <c r="E2216" s="6" t="n"/>
      <c r="F2216" s="7" t="n"/>
      <c r="G2216" s="7" t="n"/>
      <c r="H2216" s="8" t="n"/>
      <c r="I2216" s="9">
        <f>IF($A2216="","",SUMIFS(Ventes_Encaissements!$D$6:$D$3005,Ventes_Encaissements!$B$6:$B$3005,$A2216))</f>
        <v/>
      </c>
      <c r="J2216" s="9">
        <f>IF($A2216="","",$H2216-$I2216)</f>
        <v/>
      </c>
      <c r="K2216" s="10">
        <f>IF($A2216="","",IF($I2216=0,"",_xludf.AGGREGATE(14,6,Ventes_Encaissements!$C$6:$C$3005/(Ventes_Encaissements!$B$6:$B$3005=$A2216),1)))</f>
        <v/>
      </c>
      <c r="L2216" s="11">
        <f>IF($A2216="","",COUNTIFS(Ventes_Detail!$B$6:$B$3005,$A2216))</f>
        <v/>
      </c>
      <c r="M2216" s="12" t="n"/>
      <c r="N2216" s="12">
        <f>IF($A2216="","",IF($G2216="","",IF($M2216="Oui","Litige",IF($J2216&lt;=0,"Payé",IF($I2216&gt;0,"Partiel",IF(Listes!$B$3&gt;$G2216,"En retard","À échoir"))))))</f>
        <v/>
      </c>
      <c r="O2216" s="11">
        <f>IF($A2216="","",IF(OR($G2216="", $J2216&lt;=0),0,MAX(0,Listes!$B$3-$G2216)))</f>
        <v/>
      </c>
      <c r="P2216" s="12">
        <f>IF($A2216="","",IF($J2216&lt;=0,"Payé",IF($M2216="Oui","Litige",IF($O2216=0,"À échoir",IF($O2216&lt;=30,"0-30",IF($O2216&lt;=60,"31-60",IF($O2216&lt;=90,"61-90","90+")))))))</f>
        <v/>
      </c>
    </row>
    <row r="2217">
      <c r="A2217" s="6" t="n"/>
      <c r="B2217" s="6" t="n"/>
      <c r="C2217" s="6" t="n"/>
      <c r="D2217" s="6" t="n"/>
      <c r="E2217" s="6" t="n"/>
      <c r="F2217" s="7" t="n"/>
      <c r="G2217" s="7" t="n"/>
      <c r="H2217" s="8" t="n"/>
      <c r="I2217" s="9">
        <f>IF($A2217="","",SUMIFS(Ventes_Encaissements!$D$6:$D$3005,Ventes_Encaissements!$B$6:$B$3005,$A2217))</f>
        <v/>
      </c>
      <c r="J2217" s="9">
        <f>IF($A2217="","",$H2217-$I2217)</f>
        <v/>
      </c>
      <c r="K2217" s="10">
        <f>IF($A2217="","",IF($I2217=0,"",_xludf.AGGREGATE(14,6,Ventes_Encaissements!$C$6:$C$3005/(Ventes_Encaissements!$B$6:$B$3005=$A2217),1)))</f>
        <v/>
      </c>
      <c r="L2217" s="11">
        <f>IF($A2217="","",COUNTIFS(Ventes_Detail!$B$6:$B$3005,$A2217))</f>
        <v/>
      </c>
      <c r="M2217" s="12" t="n"/>
      <c r="N2217" s="12">
        <f>IF($A2217="","",IF($G2217="","",IF($M2217="Oui","Litige",IF($J2217&lt;=0,"Payé",IF($I2217&gt;0,"Partiel",IF(Listes!$B$3&gt;$G2217,"En retard","À échoir"))))))</f>
        <v/>
      </c>
      <c r="O2217" s="11">
        <f>IF($A2217="","",IF(OR($G2217="", $J2217&lt;=0),0,MAX(0,Listes!$B$3-$G2217)))</f>
        <v/>
      </c>
      <c r="P2217" s="12">
        <f>IF($A2217="","",IF($J2217&lt;=0,"Payé",IF($M2217="Oui","Litige",IF($O2217=0,"À échoir",IF($O2217&lt;=30,"0-30",IF($O2217&lt;=60,"31-60",IF($O2217&lt;=90,"61-90","90+")))))))</f>
        <v/>
      </c>
    </row>
    <row r="2218">
      <c r="A2218" s="6" t="n"/>
      <c r="B2218" s="6" t="n"/>
      <c r="C2218" s="6" t="n"/>
      <c r="D2218" s="6" t="n"/>
      <c r="E2218" s="6" t="n"/>
      <c r="F2218" s="7" t="n"/>
      <c r="G2218" s="7" t="n"/>
      <c r="H2218" s="8" t="n"/>
      <c r="I2218" s="9">
        <f>IF($A2218="","",SUMIFS(Ventes_Encaissements!$D$6:$D$3005,Ventes_Encaissements!$B$6:$B$3005,$A2218))</f>
        <v/>
      </c>
      <c r="J2218" s="9">
        <f>IF($A2218="","",$H2218-$I2218)</f>
        <v/>
      </c>
      <c r="K2218" s="10">
        <f>IF($A2218="","",IF($I2218=0,"",_xludf.AGGREGATE(14,6,Ventes_Encaissements!$C$6:$C$3005/(Ventes_Encaissements!$B$6:$B$3005=$A2218),1)))</f>
        <v/>
      </c>
      <c r="L2218" s="11">
        <f>IF($A2218="","",COUNTIFS(Ventes_Detail!$B$6:$B$3005,$A2218))</f>
        <v/>
      </c>
      <c r="M2218" s="12" t="n"/>
      <c r="N2218" s="12">
        <f>IF($A2218="","",IF($G2218="","",IF($M2218="Oui","Litige",IF($J2218&lt;=0,"Payé",IF($I2218&gt;0,"Partiel",IF(Listes!$B$3&gt;$G2218,"En retard","À échoir"))))))</f>
        <v/>
      </c>
      <c r="O2218" s="11">
        <f>IF($A2218="","",IF(OR($G2218="", $J2218&lt;=0),0,MAX(0,Listes!$B$3-$G2218)))</f>
        <v/>
      </c>
      <c r="P2218" s="12">
        <f>IF($A2218="","",IF($J2218&lt;=0,"Payé",IF($M2218="Oui","Litige",IF($O2218=0,"À échoir",IF($O2218&lt;=30,"0-30",IF($O2218&lt;=60,"31-60",IF($O2218&lt;=90,"61-90","90+")))))))</f>
        <v/>
      </c>
    </row>
    <row r="2219">
      <c r="A2219" s="6" t="n"/>
      <c r="B2219" s="6" t="n"/>
      <c r="C2219" s="6" t="n"/>
      <c r="D2219" s="6" t="n"/>
      <c r="E2219" s="6" t="n"/>
      <c r="F2219" s="7" t="n"/>
      <c r="G2219" s="7" t="n"/>
      <c r="H2219" s="8" t="n"/>
      <c r="I2219" s="9">
        <f>IF($A2219="","",SUMIFS(Ventes_Encaissements!$D$6:$D$3005,Ventes_Encaissements!$B$6:$B$3005,$A2219))</f>
        <v/>
      </c>
      <c r="J2219" s="9">
        <f>IF($A2219="","",$H2219-$I2219)</f>
        <v/>
      </c>
      <c r="K2219" s="10">
        <f>IF($A2219="","",IF($I2219=0,"",_xludf.AGGREGATE(14,6,Ventes_Encaissements!$C$6:$C$3005/(Ventes_Encaissements!$B$6:$B$3005=$A2219),1)))</f>
        <v/>
      </c>
      <c r="L2219" s="11">
        <f>IF($A2219="","",COUNTIFS(Ventes_Detail!$B$6:$B$3005,$A2219))</f>
        <v/>
      </c>
      <c r="M2219" s="12" t="n"/>
      <c r="N2219" s="12">
        <f>IF($A2219="","",IF($G2219="","",IF($M2219="Oui","Litige",IF($J2219&lt;=0,"Payé",IF($I2219&gt;0,"Partiel",IF(Listes!$B$3&gt;$G2219,"En retard","À échoir"))))))</f>
        <v/>
      </c>
      <c r="O2219" s="11">
        <f>IF($A2219="","",IF(OR($G2219="", $J2219&lt;=0),0,MAX(0,Listes!$B$3-$G2219)))</f>
        <v/>
      </c>
      <c r="P2219" s="12">
        <f>IF($A2219="","",IF($J2219&lt;=0,"Payé",IF($M2219="Oui","Litige",IF($O2219=0,"À échoir",IF($O2219&lt;=30,"0-30",IF($O2219&lt;=60,"31-60",IF($O2219&lt;=90,"61-90","90+")))))))</f>
        <v/>
      </c>
    </row>
    <row r="2220">
      <c r="A2220" s="6" t="n"/>
      <c r="B2220" s="6" t="n"/>
      <c r="C2220" s="6" t="n"/>
      <c r="D2220" s="6" t="n"/>
      <c r="E2220" s="6" t="n"/>
      <c r="F2220" s="7" t="n"/>
      <c r="G2220" s="7" t="n"/>
      <c r="H2220" s="8" t="n"/>
      <c r="I2220" s="9">
        <f>IF($A2220="","",SUMIFS(Ventes_Encaissements!$D$6:$D$3005,Ventes_Encaissements!$B$6:$B$3005,$A2220))</f>
        <v/>
      </c>
      <c r="J2220" s="9">
        <f>IF($A2220="","",$H2220-$I2220)</f>
        <v/>
      </c>
      <c r="K2220" s="10">
        <f>IF($A2220="","",IF($I2220=0,"",_xludf.AGGREGATE(14,6,Ventes_Encaissements!$C$6:$C$3005/(Ventes_Encaissements!$B$6:$B$3005=$A2220),1)))</f>
        <v/>
      </c>
      <c r="L2220" s="11">
        <f>IF($A2220="","",COUNTIFS(Ventes_Detail!$B$6:$B$3005,$A2220))</f>
        <v/>
      </c>
      <c r="M2220" s="12" t="n"/>
      <c r="N2220" s="12">
        <f>IF($A2220="","",IF($G2220="","",IF($M2220="Oui","Litige",IF($J2220&lt;=0,"Payé",IF($I2220&gt;0,"Partiel",IF(Listes!$B$3&gt;$G2220,"En retard","À échoir"))))))</f>
        <v/>
      </c>
      <c r="O2220" s="11">
        <f>IF($A2220="","",IF(OR($G2220="", $J2220&lt;=0),0,MAX(0,Listes!$B$3-$G2220)))</f>
        <v/>
      </c>
      <c r="P2220" s="12">
        <f>IF($A2220="","",IF($J2220&lt;=0,"Payé",IF($M2220="Oui","Litige",IF($O2220=0,"À échoir",IF($O2220&lt;=30,"0-30",IF($O2220&lt;=60,"31-60",IF($O2220&lt;=90,"61-90","90+")))))))</f>
        <v/>
      </c>
    </row>
    <row r="2221">
      <c r="A2221" s="6" t="n"/>
      <c r="B2221" s="6" t="n"/>
      <c r="C2221" s="6" t="n"/>
      <c r="D2221" s="6" t="n"/>
      <c r="E2221" s="6" t="n"/>
      <c r="F2221" s="7" t="n"/>
      <c r="G2221" s="7" t="n"/>
      <c r="H2221" s="8" t="n"/>
      <c r="I2221" s="9">
        <f>IF($A2221="","",SUMIFS(Ventes_Encaissements!$D$6:$D$3005,Ventes_Encaissements!$B$6:$B$3005,$A2221))</f>
        <v/>
      </c>
      <c r="J2221" s="9">
        <f>IF($A2221="","",$H2221-$I2221)</f>
        <v/>
      </c>
      <c r="K2221" s="10">
        <f>IF($A2221="","",IF($I2221=0,"",_xludf.AGGREGATE(14,6,Ventes_Encaissements!$C$6:$C$3005/(Ventes_Encaissements!$B$6:$B$3005=$A2221),1)))</f>
        <v/>
      </c>
      <c r="L2221" s="11">
        <f>IF($A2221="","",COUNTIFS(Ventes_Detail!$B$6:$B$3005,$A2221))</f>
        <v/>
      </c>
      <c r="M2221" s="12" t="n"/>
      <c r="N2221" s="12">
        <f>IF($A2221="","",IF($G2221="","",IF($M2221="Oui","Litige",IF($J2221&lt;=0,"Payé",IF($I2221&gt;0,"Partiel",IF(Listes!$B$3&gt;$G2221,"En retard","À échoir"))))))</f>
        <v/>
      </c>
      <c r="O2221" s="11">
        <f>IF($A2221="","",IF(OR($G2221="", $J2221&lt;=0),0,MAX(0,Listes!$B$3-$G2221)))</f>
        <v/>
      </c>
      <c r="P2221" s="12">
        <f>IF($A2221="","",IF($J2221&lt;=0,"Payé",IF($M2221="Oui","Litige",IF($O2221=0,"À échoir",IF($O2221&lt;=30,"0-30",IF($O2221&lt;=60,"31-60",IF($O2221&lt;=90,"61-90","90+")))))))</f>
        <v/>
      </c>
    </row>
    <row r="2222">
      <c r="A2222" s="6" t="n"/>
      <c r="B2222" s="6" t="n"/>
      <c r="C2222" s="6" t="n"/>
      <c r="D2222" s="6" t="n"/>
      <c r="E2222" s="6" t="n"/>
      <c r="F2222" s="7" t="n"/>
      <c r="G2222" s="7" t="n"/>
      <c r="H2222" s="8" t="n"/>
      <c r="I2222" s="9">
        <f>IF($A2222="","",SUMIFS(Ventes_Encaissements!$D$6:$D$3005,Ventes_Encaissements!$B$6:$B$3005,$A2222))</f>
        <v/>
      </c>
      <c r="J2222" s="9">
        <f>IF($A2222="","",$H2222-$I2222)</f>
        <v/>
      </c>
      <c r="K2222" s="10">
        <f>IF($A2222="","",IF($I2222=0,"",_xludf.AGGREGATE(14,6,Ventes_Encaissements!$C$6:$C$3005/(Ventes_Encaissements!$B$6:$B$3005=$A2222),1)))</f>
        <v/>
      </c>
      <c r="L2222" s="11">
        <f>IF($A2222="","",COUNTIFS(Ventes_Detail!$B$6:$B$3005,$A2222))</f>
        <v/>
      </c>
      <c r="M2222" s="12" t="n"/>
      <c r="N2222" s="12">
        <f>IF($A2222="","",IF($G2222="","",IF($M2222="Oui","Litige",IF($J2222&lt;=0,"Payé",IF($I2222&gt;0,"Partiel",IF(Listes!$B$3&gt;$G2222,"En retard","À échoir"))))))</f>
        <v/>
      </c>
      <c r="O2222" s="11">
        <f>IF($A2222="","",IF(OR($G2222="", $J2222&lt;=0),0,MAX(0,Listes!$B$3-$G2222)))</f>
        <v/>
      </c>
      <c r="P2222" s="12">
        <f>IF($A2222="","",IF($J2222&lt;=0,"Payé",IF($M2222="Oui","Litige",IF($O2222=0,"À échoir",IF($O2222&lt;=30,"0-30",IF($O2222&lt;=60,"31-60",IF($O2222&lt;=90,"61-90","90+")))))))</f>
        <v/>
      </c>
    </row>
    <row r="2223">
      <c r="A2223" s="6" t="n"/>
      <c r="B2223" s="6" t="n"/>
      <c r="C2223" s="6" t="n"/>
      <c r="D2223" s="6" t="n"/>
      <c r="E2223" s="6" t="n"/>
      <c r="F2223" s="7" t="n"/>
      <c r="G2223" s="7" t="n"/>
      <c r="H2223" s="8" t="n"/>
      <c r="I2223" s="9">
        <f>IF($A2223="","",SUMIFS(Ventes_Encaissements!$D$6:$D$3005,Ventes_Encaissements!$B$6:$B$3005,$A2223))</f>
        <v/>
      </c>
      <c r="J2223" s="9">
        <f>IF($A2223="","",$H2223-$I2223)</f>
        <v/>
      </c>
      <c r="K2223" s="10">
        <f>IF($A2223="","",IF($I2223=0,"",_xludf.AGGREGATE(14,6,Ventes_Encaissements!$C$6:$C$3005/(Ventes_Encaissements!$B$6:$B$3005=$A2223),1)))</f>
        <v/>
      </c>
      <c r="L2223" s="11">
        <f>IF($A2223="","",COUNTIFS(Ventes_Detail!$B$6:$B$3005,$A2223))</f>
        <v/>
      </c>
      <c r="M2223" s="12" t="n"/>
      <c r="N2223" s="12">
        <f>IF($A2223="","",IF($G2223="","",IF($M2223="Oui","Litige",IF($J2223&lt;=0,"Payé",IF($I2223&gt;0,"Partiel",IF(Listes!$B$3&gt;$G2223,"En retard","À échoir"))))))</f>
        <v/>
      </c>
      <c r="O2223" s="11">
        <f>IF($A2223="","",IF(OR($G2223="", $J2223&lt;=0),0,MAX(0,Listes!$B$3-$G2223)))</f>
        <v/>
      </c>
      <c r="P2223" s="12">
        <f>IF($A2223="","",IF($J2223&lt;=0,"Payé",IF($M2223="Oui","Litige",IF($O2223=0,"À échoir",IF($O2223&lt;=30,"0-30",IF($O2223&lt;=60,"31-60",IF($O2223&lt;=90,"61-90","90+")))))))</f>
        <v/>
      </c>
    </row>
    <row r="2224">
      <c r="A2224" s="6" t="n"/>
      <c r="B2224" s="6" t="n"/>
      <c r="C2224" s="6" t="n"/>
      <c r="D2224" s="6" t="n"/>
      <c r="E2224" s="6" t="n"/>
      <c r="F2224" s="7" t="n"/>
      <c r="G2224" s="7" t="n"/>
      <c r="H2224" s="8" t="n"/>
      <c r="I2224" s="9">
        <f>IF($A2224="","",SUMIFS(Ventes_Encaissements!$D$6:$D$3005,Ventes_Encaissements!$B$6:$B$3005,$A2224))</f>
        <v/>
      </c>
      <c r="J2224" s="9">
        <f>IF($A2224="","",$H2224-$I2224)</f>
        <v/>
      </c>
      <c r="K2224" s="10">
        <f>IF($A2224="","",IF($I2224=0,"",_xludf.AGGREGATE(14,6,Ventes_Encaissements!$C$6:$C$3005/(Ventes_Encaissements!$B$6:$B$3005=$A2224),1)))</f>
        <v/>
      </c>
      <c r="L2224" s="11">
        <f>IF($A2224="","",COUNTIFS(Ventes_Detail!$B$6:$B$3005,$A2224))</f>
        <v/>
      </c>
      <c r="M2224" s="12" t="n"/>
      <c r="N2224" s="12">
        <f>IF($A2224="","",IF($G2224="","",IF($M2224="Oui","Litige",IF($J2224&lt;=0,"Payé",IF($I2224&gt;0,"Partiel",IF(Listes!$B$3&gt;$G2224,"En retard","À échoir"))))))</f>
        <v/>
      </c>
      <c r="O2224" s="11">
        <f>IF($A2224="","",IF(OR($G2224="", $J2224&lt;=0),0,MAX(0,Listes!$B$3-$G2224)))</f>
        <v/>
      </c>
      <c r="P2224" s="12">
        <f>IF($A2224="","",IF($J2224&lt;=0,"Payé",IF($M2224="Oui","Litige",IF($O2224=0,"À échoir",IF($O2224&lt;=30,"0-30",IF($O2224&lt;=60,"31-60",IF($O2224&lt;=90,"61-90","90+")))))))</f>
        <v/>
      </c>
    </row>
    <row r="2225">
      <c r="A2225" s="6" t="n"/>
      <c r="B2225" s="6" t="n"/>
      <c r="C2225" s="6" t="n"/>
      <c r="D2225" s="6" t="n"/>
      <c r="E2225" s="6" t="n"/>
      <c r="F2225" s="7" t="n"/>
      <c r="G2225" s="7" t="n"/>
      <c r="H2225" s="8" t="n"/>
      <c r="I2225" s="9">
        <f>IF($A2225="","",SUMIFS(Ventes_Encaissements!$D$6:$D$3005,Ventes_Encaissements!$B$6:$B$3005,$A2225))</f>
        <v/>
      </c>
      <c r="J2225" s="9">
        <f>IF($A2225="","",$H2225-$I2225)</f>
        <v/>
      </c>
      <c r="K2225" s="10">
        <f>IF($A2225="","",IF($I2225=0,"",_xludf.AGGREGATE(14,6,Ventes_Encaissements!$C$6:$C$3005/(Ventes_Encaissements!$B$6:$B$3005=$A2225),1)))</f>
        <v/>
      </c>
      <c r="L2225" s="11">
        <f>IF($A2225="","",COUNTIFS(Ventes_Detail!$B$6:$B$3005,$A2225))</f>
        <v/>
      </c>
      <c r="M2225" s="12" t="n"/>
      <c r="N2225" s="12">
        <f>IF($A2225="","",IF($G2225="","",IF($M2225="Oui","Litige",IF($J2225&lt;=0,"Payé",IF($I2225&gt;0,"Partiel",IF(Listes!$B$3&gt;$G2225,"En retard","À échoir"))))))</f>
        <v/>
      </c>
      <c r="O2225" s="11">
        <f>IF($A2225="","",IF(OR($G2225="", $J2225&lt;=0),0,MAX(0,Listes!$B$3-$G2225)))</f>
        <v/>
      </c>
      <c r="P2225" s="12">
        <f>IF($A2225="","",IF($J2225&lt;=0,"Payé",IF($M2225="Oui","Litige",IF($O2225=0,"À échoir",IF($O2225&lt;=30,"0-30",IF($O2225&lt;=60,"31-60",IF($O2225&lt;=90,"61-90","90+")))))))</f>
        <v/>
      </c>
    </row>
    <row r="2226">
      <c r="A2226" s="6" t="n"/>
      <c r="B2226" s="6" t="n"/>
      <c r="C2226" s="6" t="n"/>
      <c r="D2226" s="6" t="n"/>
      <c r="E2226" s="6" t="n"/>
      <c r="F2226" s="7" t="n"/>
      <c r="G2226" s="7" t="n"/>
      <c r="H2226" s="8" t="n"/>
      <c r="I2226" s="9">
        <f>IF($A2226="","",SUMIFS(Ventes_Encaissements!$D$6:$D$3005,Ventes_Encaissements!$B$6:$B$3005,$A2226))</f>
        <v/>
      </c>
      <c r="J2226" s="9">
        <f>IF($A2226="","",$H2226-$I2226)</f>
        <v/>
      </c>
      <c r="K2226" s="10">
        <f>IF($A2226="","",IF($I2226=0,"",_xludf.AGGREGATE(14,6,Ventes_Encaissements!$C$6:$C$3005/(Ventes_Encaissements!$B$6:$B$3005=$A2226),1)))</f>
        <v/>
      </c>
      <c r="L2226" s="11">
        <f>IF($A2226="","",COUNTIFS(Ventes_Detail!$B$6:$B$3005,$A2226))</f>
        <v/>
      </c>
      <c r="M2226" s="12" t="n"/>
      <c r="N2226" s="12">
        <f>IF($A2226="","",IF($G2226="","",IF($M2226="Oui","Litige",IF($J2226&lt;=0,"Payé",IF($I2226&gt;0,"Partiel",IF(Listes!$B$3&gt;$G2226,"En retard","À échoir"))))))</f>
        <v/>
      </c>
      <c r="O2226" s="11">
        <f>IF($A2226="","",IF(OR($G2226="", $J2226&lt;=0),0,MAX(0,Listes!$B$3-$G2226)))</f>
        <v/>
      </c>
      <c r="P2226" s="12">
        <f>IF($A2226="","",IF($J2226&lt;=0,"Payé",IF($M2226="Oui","Litige",IF($O2226=0,"À échoir",IF($O2226&lt;=30,"0-30",IF($O2226&lt;=60,"31-60",IF($O2226&lt;=90,"61-90","90+")))))))</f>
        <v/>
      </c>
    </row>
    <row r="2227">
      <c r="A2227" s="6" t="n"/>
      <c r="B2227" s="6" t="n"/>
      <c r="C2227" s="6" t="n"/>
      <c r="D2227" s="6" t="n"/>
      <c r="E2227" s="6" t="n"/>
      <c r="F2227" s="7" t="n"/>
      <c r="G2227" s="7" t="n"/>
      <c r="H2227" s="8" t="n"/>
      <c r="I2227" s="9">
        <f>IF($A2227="","",SUMIFS(Ventes_Encaissements!$D$6:$D$3005,Ventes_Encaissements!$B$6:$B$3005,$A2227))</f>
        <v/>
      </c>
      <c r="J2227" s="9">
        <f>IF($A2227="","",$H2227-$I2227)</f>
        <v/>
      </c>
      <c r="K2227" s="10">
        <f>IF($A2227="","",IF($I2227=0,"",_xludf.AGGREGATE(14,6,Ventes_Encaissements!$C$6:$C$3005/(Ventes_Encaissements!$B$6:$B$3005=$A2227),1)))</f>
        <v/>
      </c>
      <c r="L2227" s="11">
        <f>IF($A2227="","",COUNTIFS(Ventes_Detail!$B$6:$B$3005,$A2227))</f>
        <v/>
      </c>
      <c r="M2227" s="12" t="n"/>
      <c r="N2227" s="12">
        <f>IF($A2227="","",IF($G2227="","",IF($M2227="Oui","Litige",IF($J2227&lt;=0,"Payé",IF($I2227&gt;0,"Partiel",IF(Listes!$B$3&gt;$G2227,"En retard","À échoir"))))))</f>
        <v/>
      </c>
      <c r="O2227" s="11">
        <f>IF($A2227="","",IF(OR($G2227="", $J2227&lt;=0),0,MAX(0,Listes!$B$3-$G2227)))</f>
        <v/>
      </c>
      <c r="P2227" s="12">
        <f>IF($A2227="","",IF($J2227&lt;=0,"Payé",IF($M2227="Oui","Litige",IF($O2227=0,"À échoir",IF($O2227&lt;=30,"0-30",IF($O2227&lt;=60,"31-60",IF($O2227&lt;=90,"61-90","90+")))))))</f>
        <v/>
      </c>
    </row>
    <row r="2228">
      <c r="A2228" s="6" t="n"/>
      <c r="B2228" s="6" t="n"/>
      <c r="C2228" s="6" t="n"/>
      <c r="D2228" s="6" t="n"/>
      <c r="E2228" s="6" t="n"/>
      <c r="F2228" s="7" t="n"/>
      <c r="G2228" s="7" t="n"/>
      <c r="H2228" s="8" t="n"/>
      <c r="I2228" s="9">
        <f>IF($A2228="","",SUMIFS(Ventes_Encaissements!$D$6:$D$3005,Ventes_Encaissements!$B$6:$B$3005,$A2228))</f>
        <v/>
      </c>
      <c r="J2228" s="9">
        <f>IF($A2228="","",$H2228-$I2228)</f>
        <v/>
      </c>
      <c r="K2228" s="10">
        <f>IF($A2228="","",IF($I2228=0,"",_xludf.AGGREGATE(14,6,Ventes_Encaissements!$C$6:$C$3005/(Ventes_Encaissements!$B$6:$B$3005=$A2228),1)))</f>
        <v/>
      </c>
      <c r="L2228" s="11">
        <f>IF($A2228="","",COUNTIFS(Ventes_Detail!$B$6:$B$3005,$A2228))</f>
        <v/>
      </c>
      <c r="M2228" s="12" t="n"/>
      <c r="N2228" s="12">
        <f>IF($A2228="","",IF($G2228="","",IF($M2228="Oui","Litige",IF($J2228&lt;=0,"Payé",IF($I2228&gt;0,"Partiel",IF(Listes!$B$3&gt;$G2228,"En retard","À échoir"))))))</f>
        <v/>
      </c>
      <c r="O2228" s="11">
        <f>IF($A2228="","",IF(OR($G2228="", $J2228&lt;=0),0,MAX(0,Listes!$B$3-$G2228)))</f>
        <v/>
      </c>
      <c r="P2228" s="12">
        <f>IF($A2228="","",IF($J2228&lt;=0,"Payé",IF($M2228="Oui","Litige",IF($O2228=0,"À échoir",IF($O2228&lt;=30,"0-30",IF($O2228&lt;=60,"31-60",IF($O2228&lt;=90,"61-90","90+")))))))</f>
        <v/>
      </c>
    </row>
    <row r="2229">
      <c r="A2229" s="6" t="n"/>
      <c r="B2229" s="6" t="n"/>
      <c r="C2229" s="6" t="n"/>
      <c r="D2229" s="6" t="n"/>
      <c r="E2229" s="6" t="n"/>
      <c r="F2229" s="7" t="n"/>
      <c r="G2229" s="7" t="n"/>
      <c r="H2229" s="8" t="n"/>
      <c r="I2229" s="9">
        <f>IF($A2229="","",SUMIFS(Ventes_Encaissements!$D$6:$D$3005,Ventes_Encaissements!$B$6:$B$3005,$A2229))</f>
        <v/>
      </c>
      <c r="J2229" s="9">
        <f>IF($A2229="","",$H2229-$I2229)</f>
        <v/>
      </c>
      <c r="K2229" s="10">
        <f>IF($A2229="","",IF($I2229=0,"",_xludf.AGGREGATE(14,6,Ventes_Encaissements!$C$6:$C$3005/(Ventes_Encaissements!$B$6:$B$3005=$A2229),1)))</f>
        <v/>
      </c>
      <c r="L2229" s="11">
        <f>IF($A2229="","",COUNTIFS(Ventes_Detail!$B$6:$B$3005,$A2229))</f>
        <v/>
      </c>
      <c r="M2229" s="12" t="n"/>
      <c r="N2229" s="12">
        <f>IF($A2229="","",IF($G2229="","",IF($M2229="Oui","Litige",IF($J2229&lt;=0,"Payé",IF($I2229&gt;0,"Partiel",IF(Listes!$B$3&gt;$G2229,"En retard","À échoir"))))))</f>
        <v/>
      </c>
      <c r="O2229" s="11">
        <f>IF($A2229="","",IF(OR($G2229="", $J2229&lt;=0),0,MAX(0,Listes!$B$3-$G2229)))</f>
        <v/>
      </c>
      <c r="P2229" s="12">
        <f>IF($A2229="","",IF($J2229&lt;=0,"Payé",IF($M2229="Oui","Litige",IF($O2229=0,"À échoir",IF($O2229&lt;=30,"0-30",IF($O2229&lt;=60,"31-60",IF($O2229&lt;=90,"61-90","90+")))))))</f>
        <v/>
      </c>
    </row>
    <row r="2230">
      <c r="A2230" s="6" t="n"/>
      <c r="B2230" s="6" t="n"/>
      <c r="C2230" s="6" t="n"/>
      <c r="D2230" s="6" t="n"/>
      <c r="E2230" s="6" t="n"/>
      <c r="F2230" s="7" t="n"/>
      <c r="G2230" s="7" t="n"/>
      <c r="H2230" s="8" t="n"/>
      <c r="I2230" s="9">
        <f>IF($A2230="","",SUMIFS(Ventes_Encaissements!$D$6:$D$3005,Ventes_Encaissements!$B$6:$B$3005,$A2230))</f>
        <v/>
      </c>
      <c r="J2230" s="9">
        <f>IF($A2230="","",$H2230-$I2230)</f>
        <v/>
      </c>
      <c r="K2230" s="10">
        <f>IF($A2230="","",IF($I2230=0,"",_xludf.AGGREGATE(14,6,Ventes_Encaissements!$C$6:$C$3005/(Ventes_Encaissements!$B$6:$B$3005=$A2230),1)))</f>
        <v/>
      </c>
      <c r="L2230" s="11">
        <f>IF($A2230="","",COUNTIFS(Ventes_Detail!$B$6:$B$3005,$A2230))</f>
        <v/>
      </c>
      <c r="M2230" s="12" t="n"/>
      <c r="N2230" s="12">
        <f>IF($A2230="","",IF($G2230="","",IF($M2230="Oui","Litige",IF($J2230&lt;=0,"Payé",IF($I2230&gt;0,"Partiel",IF(Listes!$B$3&gt;$G2230,"En retard","À échoir"))))))</f>
        <v/>
      </c>
      <c r="O2230" s="11">
        <f>IF($A2230="","",IF(OR($G2230="", $J2230&lt;=0),0,MAX(0,Listes!$B$3-$G2230)))</f>
        <v/>
      </c>
      <c r="P2230" s="12">
        <f>IF($A2230="","",IF($J2230&lt;=0,"Payé",IF($M2230="Oui","Litige",IF($O2230=0,"À échoir",IF($O2230&lt;=30,"0-30",IF($O2230&lt;=60,"31-60",IF($O2230&lt;=90,"61-90","90+")))))))</f>
        <v/>
      </c>
    </row>
    <row r="2231">
      <c r="A2231" s="6" t="n"/>
      <c r="B2231" s="6" t="n"/>
      <c r="C2231" s="6" t="n"/>
      <c r="D2231" s="6" t="n"/>
      <c r="E2231" s="6" t="n"/>
      <c r="F2231" s="7" t="n"/>
      <c r="G2231" s="7" t="n"/>
      <c r="H2231" s="8" t="n"/>
      <c r="I2231" s="9">
        <f>IF($A2231="","",SUMIFS(Ventes_Encaissements!$D$6:$D$3005,Ventes_Encaissements!$B$6:$B$3005,$A2231))</f>
        <v/>
      </c>
      <c r="J2231" s="9">
        <f>IF($A2231="","",$H2231-$I2231)</f>
        <v/>
      </c>
      <c r="K2231" s="10">
        <f>IF($A2231="","",IF($I2231=0,"",_xludf.AGGREGATE(14,6,Ventes_Encaissements!$C$6:$C$3005/(Ventes_Encaissements!$B$6:$B$3005=$A2231),1)))</f>
        <v/>
      </c>
      <c r="L2231" s="11">
        <f>IF($A2231="","",COUNTIFS(Ventes_Detail!$B$6:$B$3005,$A2231))</f>
        <v/>
      </c>
      <c r="M2231" s="12" t="n"/>
      <c r="N2231" s="12">
        <f>IF($A2231="","",IF($G2231="","",IF($M2231="Oui","Litige",IF($J2231&lt;=0,"Payé",IF($I2231&gt;0,"Partiel",IF(Listes!$B$3&gt;$G2231,"En retard","À échoir"))))))</f>
        <v/>
      </c>
      <c r="O2231" s="11">
        <f>IF($A2231="","",IF(OR($G2231="", $J2231&lt;=0),0,MAX(0,Listes!$B$3-$G2231)))</f>
        <v/>
      </c>
      <c r="P2231" s="12">
        <f>IF($A2231="","",IF($J2231&lt;=0,"Payé",IF($M2231="Oui","Litige",IF($O2231=0,"À échoir",IF($O2231&lt;=30,"0-30",IF($O2231&lt;=60,"31-60",IF($O2231&lt;=90,"61-90","90+")))))))</f>
        <v/>
      </c>
    </row>
    <row r="2232">
      <c r="A2232" s="6" t="n"/>
      <c r="B2232" s="6" t="n"/>
      <c r="C2232" s="6" t="n"/>
      <c r="D2232" s="6" t="n"/>
      <c r="E2232" s="6" t="n"/>
      <c r="F2232" s="7" t="n"/>
      <c r="G2232" s="7" t="n"/>
      <c r="H2232" s="8" t="n"/>
      <c r="I2232" s="9">
        <f>IF($A2232="","",SUMIFS(Ventes_Encaissements!$D$6:$D$3005,Ventes_Encaissements!$B$6:$B$3005,$A2232))</f>
        <v/>
      </c>
      <c r="J2232" s="9">
        <f>IF($A2232="","",$H2232-$I2232)</f>
        <v/>
      </c>
      <c r="K2232" s="10">
        <f>IF($A2232="","",IF($I2232=0,"",_xludf.AGGREGATE(14,6,Ventes_Encaissements!$C$6:$C$3005/(Ventes_Encaissements!$B$6:$B$3005=$A2232),1)))</f>
        <v/>
      </c>
      <c r="L2232" s="11">
        <f>IF($A2232="","",COUNTIFS(Ventes_Detail!$B$6:$B$3005,$A2232))</f>
        <v/>
      </c>
      <c r="M2232" s="12" t="n"/>
      <c r="N2232" s="12">
        <f>IF($A2232="","",IF($G2232="","",IF($M2232="Oui","Litige",IF($J2232&lt;=0,"Payé",IF($I2232&gt;0,"Partiel",IF(Listes!$B$3&gt;$G2232,"En retard","À échoir"))))))</f>
        <v/>
      </c>
      <c r="O2232" s="11">
        <f>IF($A2232="","",IF(OR($G2232="", $J2232&lt;=0),0,MAX(0,Listes!$B$3-$G2232)))</f>
        <v/>
      </c>
      <c r="P2232" s="12">
        <f>IF($A2232="","",IF($J2232&lt;=0,"Payé",IF($M2232="Oui","Litige",IF($O2232=0,"À échoir",IF($O2232&lt;=30,"0-30",IF($O2232&lt;=60,"31-60",IF($O2232&lt;=90,"61-90","90+")))))))</f>
        <v/>
      </c>
    </row>
    <row r="2233">
      <c r="A2233" s="6" t="n"/>
      <c r="B2233" s="6" t="n"/>
      <c r="C2233" s="6" t="n"/>
      <c r="D2233" s="6" t="n"/>
      <c r="E2233" s="6" t="n"/>
      <c r="F2233" s="7" t="n"/>
      <c r="G2233" s="7" t="n"/>
      <c r="H2233" s="8" t="n"/>
      <c r="I2233" s="9">
        <f>IF($A2233="","",SUMIFS(Ventes_Encaissements!$D$6:$D$3005,Ventes_Encaissements!$B$6:$B$3005,$A2233))</f>
        <v/>
      </c>
      <c r="J2233" s="9">
        <f>IF($A2233="","",$H2233-$I2233)</f>
        <v/>
      </c>
      <c r="K2233" s="10">
        <f>IF($A2233="","",IF($I2233=0,"",_xludf.AGGREGATE(14,6,Ventes_Encaissements!$C$6:$C$3005/(Ventes_Encaissements!$B$6:$B$3005=$A2233),1)))</f>
        <v/>
      </c>
      <c r="L2233" s="11">
        <f>IF($A2233="","",COUNTIFS(Ventes_Detail!$B$6:$B$3005,$A2233))</f>
        <v/>
      </c>
      <c r="M2233" s="12" t="n"/>
      <c r="N2233" s="12">
        <f>IF($A2233="","",IF($G2233="","",IF($M2233="Oui","Litige",IF($J2233&lt;=0,"Payé",IF($I2233&gt;0,"Partiel",IF(Listes!$B$3&gt;$G2233,"En retard","À échoir"))))))</f>
        <v/>
      </c>
      <c r="O2233" s="11">
        <f>IF($A2233="","",IF(OR($G2233="", $J2233&lt;=0),0,MAX(0,Listes!$B$3-$G2233)))</f>
        <v/>
      </c>
      <c r="P2233" s="12">
        <f>IF($A2233="","",IF($J2233&lt;=0,"Payé",IF($M2233="Oui","Litige",IF($O2233=0,"À échoir",IF($O2233&lt;=30,"0-30",IF($O2233&lt;=60,"31-60",IF($O2233&lt;=90,"61-90","90+")))))))</f>
        <v/>
      </c>
    </row>
    <row r="2234">
      <c r="A2234" s="6" t="n"/>
      <c r="B2234" s="6" t="n"/>
      <c r="C2234" s="6" t="n"/>
      <c r="D2234" s="6" t="n"/>
      <c r="E2234" s="6" t="n"/>
      <c r="F2234" s="7" t="n"/>
      <c r="G2234" s="7" t="n"/>
      <c r="H2234" s="8" t="n"/>
      <c r="I2234" s="9">
        <f>IF($A2234="","",SUMIFS(Ventes_Encaissements!$D$6:$D$3005,Ventes_Encaissements!$B$6:$B$3005,$A2234))</f>
        <v/>
      </c>
      <c r="J2234" s="9">
        <f>IF($A2234="","",$H2234-$I2234)</f>
        <v/>
      </c>
      <c r="K2234" s="10">
        <f>IF($A2234="","",IF($I2234=0,"",_xludf.AGGREGATE(14,6,Ventes_Encaissements!$C$6:$C$3005/(Ventes_Encaissements!$B$6:$B$3005=$A2234),1)))</f>
        <v/>
      </c>
      <c r="L2234" s="11">
        <f>IF($A2234="","",COUNTIFS(Ventes_Detail!$B$6:$B$3005,$A2234))</f>
        <v/>
      </c>
      <c r="M2234" s="12" t="n"/>
      <c r="N2234" s="12">
        <f>IF($A2234="","",IF($G2234="","",IF($M2234="Oui","Litige",IF($J2234&lt;=0,"Payé",IF($I2234&gt;0,"Partiel",IF(Listes!$B$3&gt;$G2234,"En retard","À échoir"))))))</f>
        <v/>
      </c>
      <c r="O2234" s="11">
        <f>IF($A2234="","",IF(OR($G2234="", $J2234&lt;=0),0,MAX(0,Listes!$B$3-$G2234)))</f>
        <v/>
      </c>
      <c r="P2234" s="12">
        <f>IF($A2234="","",IF($J2234&lt;=0,"Payé",IF($M2234="Oui","Litige",IF($O2234=0,"À échoir",IF($O2234&lt;=30,"0-30",IF($O2234&lt;=60,"31-60",IF($O2234&lt;=90,"61-90","90+")))))))</f>
        <v/>
      </c>
    </row>
    <row r="2235">
      <c r="A2235" s="6" t="n"/>
      <c r="B2235" s="6" t="n"/>
      <c r="C2235" s="6" t="n"/>
      <c r="D2235" s="6" t="n"/>
      <c r="E2235" s="6" t="n"/>
      <c r="F2235" s="7" t="n"/>
      <c r="G2235" s="7" t="n"/>
      <c r="H2235" s="8" t="n"/>
      <c r="I2235" s="9">
        <f>IF($A2235="","",SUMIFS(Ventes_Encaissements!$D$6:$D$3005,Ventes_Encaissements!$B$6:$B$3005,$A2235))</f>
        <v/>
      </c>
      <c r="J2235" s="9">
        <f>IF($A2235="","",$H2235-$I2235)</f>
        <v/>
      </c>
      <c r="K2235" s="10">
        <f>IF($A2235="","",IF($I2235=0,"",_xludf.AGGREGATE(14,6,Ventes_Encaissements!$C$6:$C$3005/(Ventes_Encaissements!$B$6:$B$3005=$A2235),1)))</f>
        <v/>
      </c>
      <c r="L2235" s="11">
        <f>IF($A2235="","",COUNTIFS(Ventes_Detail!$B$6:$B$3005,$A2235))</f>
        <v/>
      </c>
      <c r="M2235" s="12" t="n"/>
      <c r="N2235" s="12">
        <f>IF($A2235="","",IF($G2235="","",IF($M2235="Oui","Litige",IF($J2235&lt;=0,"Payé",IF($I2235&gt;0,"Partiel",IF(Listes!$B$3&gt;$G2235,"En retard","À échoir"))))))</f>
        <v/>
      </c>
      <c r="O2235" s="11">
        <f>IF($A2235="","",IF(OR($G2235="", $J2235&lt;=0),0,MAX(0,Listes!$B$3-$G2235)))</f>
        <v/>
      </c>
      <c r="P2235" s="12">
        <f>IF($A2235="","",IF($J2235&lt;=0,"Payé",IF($M2235="Oui","Litige",IF($O2235=0,"À échoir",IF($O2235&lt;=30,"0-30",IF($O2235&lt;=60,"31-60",IF($O2235&lt;=90,"61-90","90+")))))))</f>
        <v/>
      </c>
    </row>
    <row r="2236">
      <c r="A2236" s="6" t="n"/>
      <c r="B2236" s="6" t="n"/>
      <c r="C2236" s="6" t="n"/>
      <c r="D2236" s="6" t="n"/>
      <c r="E2236" s="6" t="n"/>
      <c r="F2236" s="7" t="n"/>
      <c r="G2236" s="7" t="n"/>
      <c r="H2236" s="8" t="n"/>
      <c r="I2236" s="9">
        <f>IF($A2236="","",SUMIFS(Ventes_Encaissements!$D$6:$D$3005,Ventes_Encaissements!$B$6:$B$3005,$A2236))</f>
        <v/>
      </c>
      <c r="J2236" s="9">
        <f>IF($A2236="","",$H2236-$I2236)</f>
        <v/>
      </c>
      <c r="K2236" s="10">
        <f>IF($A2236="","",IF($I2236=0,"",_xludf.AGGREGATE(14,6,Ventes_Encaissements!$C$6:$C$3005/(Ventes_Encaissements!$B$6:$B$3005=$A2236),1)))</f>
        <v/>
      </c>
      <c r="L2236" s="11">
        <f>IF($A2236="","",COUNTIFS(Ventes_Detail!$B$6:$B$3005,$A2236))</f>
        <v/>
      </c>
      <c r="M2236" s="12" t="n"/>
      <c r="N2236" s="12">
        <f>IF($A2236="","",IF($G2236="","",IF($M2236="Oui","Litige",IF($J2236&lt;=0,"Payé",IF($I2236&gt;0,"Partiel",IF(Listes!$B$3&gt;$G2236,"En retard","À échoir"))))))</f>
        <v/>
      </c>
      <c r="O2236" s="11">
        <f>IF($A2236="","",IF(OR($G2236="", $J2236&lt;=0),0,MAX(0,Listes!$B$3-$G2236)))</f>
        <v/>
      </c>
      <c r="P2236" s="12">
        <f>IF($A2236="","",IF($J2236&lt;=0,"Payé",IF($M2236="Oui","Litige",IF($O2236=0,"À échoir",IF($O2236&lt;=30,"0-30",IF($O2236&lt;=60,"31-60",IF($O2236&lt;=90,"61-90","90+")))))))</f>
        <v/>
      </c>
    </row>
    <row r="2237">
      <c r="A2237" s="6" t="n"/>
      <c r="B2237" s="6" t="n"/>
      <c r="C2237" s="6" t="n"/>
      <c r="D2237" s="6" t="n"/>
      <c r="E2237" s="6" t="n"/>
      <c r="F2237" s="7" t="n"/>
      <c r="G2237" s="7" t="n"/>
      <c r="H2237" s="8" t="n"/>
      <c r="I2237" s="9">
        <f>IF($A2237="","",SUMIFS(Ventes_Encaissements!$D$6:$D$3005,Ventes_Encaissements!$B$6:$B$3005,$A2237))</f>
        <v/>
      </c>
      <c r="J2237" s="9">
        <f>IF($A2237="","",$H2237-$I2237)</f>
        <v/>
      </c>
      <c r="K2237" s="10">
        <f>IF($A2237="","",IF($I2237=0,"",_xludf.AGGREGATE(14,6,Ventes_Encaissements!$C$6:$C$3005/(Ventes_Encaissements!$B$6:$B$3005=$A2237),1)))</f>
        <v/>
      </c>
      <c r="L2237" s="11">
        <f>IF($A2237="","",COUNTIFS(Ventes_Detail!$B$6:$B$3005,$A2237))</f>
        <v/>
      </c>
      <c r="M2237" s="12" t="n"/>
      <c r="N2237" s="12">
        <f>IF($A2237="","",IF($G2237="","",IF($M2237="Oui","Litige",IF($J2237&lt;=0,"Payé",IF($I2237&gt;0,"Partiel",IF(Listes!$B$3&gt;$G2237,"En retard","À échoir"))))))</f>
        <v/>
      </c>
      <c r="O2237" s="11">
        <f>IF($A2237="","",IF(OR($G2237="", $J2237&lt;=0),0,MAX(0,Listes!$B$3-$G2237)))</f>
        <v/>
      </c>
      <c r="P2237" s="12">
        <f>IF($A2237="","",IF($J2237&lt;=0,"Payé",IF($M2237="Oui","Litige",IF($O2237=0,"À échoir",IF($O2237&lt;=30,"0-30",IF($O2237&lt;=60,"31-60",IF($O2237&lt;=90,"61-90","90+")))))))</f>
        <v/>
      </c>
    </row>
    <row r="2238">
      <c r="A2238" s="6" t="n"/>
      <c r="B2238" s="6" t="n"/>
      <c r="C2238" s="6" t="n"/>
      <c r="D2238" s="6" t="n"/>
      <c r="E2238" s="6" t="n"/>
      <c r="F2238" s="7" t="n"/>
      <c r="G2238" s="7" t="n"/>
      <c r="H2238" s="8" t="n"/>
      <c r="I2238" s="9">
        <f>IF($A2238="","",SUMIFS(Ventes_Encaissements!$D$6:$D$3005,Ventes_Encaissements!$B$6:$B$3005,$A2238))</f>
        <v/>
      </c>
      <c r="J2238" s="9">
        <f>IF($A2238="","",$H2238-$I2238)</f>
        <v/>
      </c>
      <c r="K2238" s="10">
        <f>IF($A2238="","",IF($I2238=0,"",_xludf.AGGREGATE(14,6,Ventes_Encaissements!$C$6:$C$3005/(Ventes_Encaissements!$B$6:$B$3005=$A2238),1)))</f>
        <v/>
      </c>
      <c r="L2238" s="11">
        <f>IF($A2238="","",COUNTIFS(Ventes_Detail!$B$6:$B$3005,$A2238))</f>
        <v/>
      </c>
      <c r="M2238" s="12" t="n"/>
      <c r="N2238" s="12">
        <f>IF($A2238="","",IF($G2238="","",IF($M2238="Oui","Litige",IF($J2238&lt;=0,"Payé",IF($I2238&gt;0,"Partiel",IF(Listes!$B$3&gt;$G2238,"En retard","À échoir"))))))</f>
        <v/>
      </c>
      <c r="O2238" s="11">
        <f>IF($A2238="","",IF(OR($G2238="", $J2238&lt;=0),0,MAX(0,Listes!$B$3-$G2238)))</f>
        <v/>
      </c>
      <c r="P2238" s="12">
        <f>IF($A2238="","",IF($J2238&lt;=0,"Payé",IF($M2238="Oui","Litige",IF($O2238=0,"À échoir",IF($O2238&lt;=30,"0-30",IF($O2238&lt;=60,"31-60",IF($O2238&lt;=90,"61-90","90+")))))))</f>
        <v/>
      </c>
    </row>
    <row r="2239">
      <c r="A2239" s="6" t="n"/>
      <c r="B2239" s="6" t="n"/>
      <c r="C2239" s="6" t="n"/>
      <c r="D2239" s="6" t="n"/>
      <c r="E2239" s="6" t="n"/>
      <c r="F2239" s="7" t="n"/>
      <c r="G2239" s="7" t="n"/>
      <c r="H2239" s="8" t="n"/>
      <c r="I2239" s="9">
        <f>IF($A2239="","",SUMIFS(Ventes_Encaissements!$D$6:$D$3005,Ventes_Encaissements!$B$6:$B$3005,$A2239))</f>
        <v/>
      </c>
      <c r="J2239" s="9">
        <f>IF($A2239="","",$H2239-$I2239)</f>
        <v/>
      </c>
      <c r="K2239" s="10">
        <f>IF($A2239="","",IF($I2239=0,"",_xludf.AGGREGATE(14,6,Ventes_Encaissements!$C$6:$C$3005/(Ventes_Encaissements!$B$6:$B$3005=$A2239),1)))</f>
        <v/>
      </c>
      <c r="L2239" s="11">
        <f>IF($A2239="","",COUNTIFS(Ventes_Detail!$B$6:$B$3005,$A2239))</f>
        <v/>
      </c>
      <c r="M2239" s="12" t="n"/>
      <c r="N2239" s="12">
        <f>IF($A2239="","",IF($G2239="","",IF($M2239="Oui","Litige",IF($J2239&lt;=0,"Payé",IF($I2239&gt;0,"Partiel",IF(Listes!$B$3&gt;$G2239,"En retard","À échoir"))))))</f>
        <v/>
      </c>
      <c r="O2239" s="11">
        <f>IF($A2239="","",IF(OR($G2239="", $J2239&lt;=0),0,MAX(0,Listes!$B$3-$G2239)))</f>
        <v/>
      </c>
      <c r="P2239" s="12">
        <f>IF($A2239="","",IF($J2239&lt;=0,"Payé",IF($M2239="Oui","Litige",IF($O2239=0,"À échoir",IF($O2239&lt;=30,"0-30",IF($O2239&lt;=60,"31-60",IF($O2239&lt;=90,"61-90","90+")))))))</f>
        <v/>
      </c>
    </row>
    <row r="2240">
      <c r="A2240" s="6" t="n"/>
      <c r="B2240" s="6" t="n"/>
      <c r="C2240" s="6" t="n"/>
      <c r="D2240" s="6" t="n"/>
      <c r="E2240" s="6" t="n"/>
      <c r="F2240" s="7" t="n"/>
      <c r="G2240" s="7" t="n"/>
      <c r="H2240" s="8" t="n"/>
      <c r="I2240" s="9">
        <f>IF($A2240="","",SUMIFS(Ventes_Encaissements!$D$6:$D$3005,Ventes_Encaissements!$B$6:$B$3005,$A2240))</f>
        <v/>
      </c>
      <c r="J2240" s="9">
        <f>IF($A2240="","",$H2240-$I2240)</f>
        <v/>
      </c>
      <c r="K2240" s="10">
        <f>IF($A2240="","",IF($I2240=0,"",_xludf.AGGREGATE(14,6,Ventes_Encaissements!$C$6:$C$3005/(Ventes_Encaissements!$B$6:$B$3005=$A2240),1)))</f>
        <v/>
      </c>
      <c r="L2240" s="11">
        <f>IF($A2240="","",COUNTIFS(Ventes_Detail!$B$6:$B$3005,$A2240))</f>
        <v/>
      </c>
      <c r="M2240" s="12" t="n"/>
      <c r="N2240" s="12">
        <f>IF($A2240="","",IF($G2240="","",IF($M2240="Oui","Litige",IF($J2240&lt;=0,"Payé",IF($I2240&gt;0,"Partiel",IF(Listes!$B$3&gt;$G2240,"En retard","À échoir"))))))</f>
        <v/>
      </c>
      <c r="O2240" s="11">
        <f>IF($A2240="","",IF(OR($G2240="", $J2240&lt;=0),0,MAX(0,Listes!$B$3-$G2240)))</f>
        <v/>
      </c>
      <c r="P2240" s="12">
        <f>IF($A2240="","",IF($J2240&lt;=0,"Payé",IF($M2240="Oui","Litige",IF($O2240=0,"À échoir",IF($O2240&lt;=30,"0-30",IF($O2240&lt;=60,"31-60",IF($O2240&lt;=90,"61-90","90+")))))))</f>
        <v/>
      </c>
    </row>
    <row r="2241">
      <c r="A2241" s="6" t="n"/>
      <c r="B2241" s="6" t="n"/>
      <c r="C2241" s="6" t="n"/>
      <c r="D2241" s="6" t="n"/>
      <c r="E2241" s="6" t="n"/>
      <c r="F2241" s="7" t="n"/>
      <c r="G2241" s="7" t="n"/>
      <c r="H2241" s="8" t="n"/>
      <c r="I2241" s="9">
        <f>IF($A2241="","",SUMIFS(Ventes_Encaissements!$D$6:$D$3005,Ventes_Encaissements!$B$6:$B$3005,$A2241))</f>
        <v/>
      </c>
      <c r="J2241" s="9">
        <f>IF($A2241="","",$H2241-$I2241)</f>
        <v/>
      </c>
      <c r="K2241" s="10">
        <f>IF($A2241="","",IF($I2241=0,"",_xludf.AGGREGATE(14,6,Ventes_Encaissements!$C$6:$C$3005/(Ventes_Encaissements!$B$6:$B$3005=$A2241),1)))</f>
        <v/>
      </c>
      <c r="L2241" s="11">
        <f>IF($A2241="","",COUNTIFS(Ventes_Detail!$B$6:$B$3005,$A2241))</f>
        <v/>
      </c>
      <c r="M2241" s="12" t="n"/>
      <c r="N2241" s="12">
        <f>IF($A2241="","",IF($G2241="","",IF($M2241="Oui","Litige",IF($J2241&lt;=0,"Payé",IF($I2241&gt;0,"Partiel",IF(Listes!$B$3&gt;$G2241,"En retard","À échoir"))))))</f>
        <v/>
      </c>
      <c r="O2241" s="11">
        <f>IF($A2241="","",IF(OR($G2241="", $J2241&lt;=0),0,MAX(0,Listes!$B$3-$G2241)))</f>
        <v/>
      </c>
      <c r="P2241" s="12">
        <f>IF($A2241="","",IF($J2241&lt;=0,"Payé",IF($M2241="Oui","Litige",IF($O2241=0,"À échoir",IF($O2241&lt;=30,"0-30",IF($O2241&lt;=60,"31-60",IF($O2241&lt;=90,"61-90","90+")))))))</f>
        <v/>
      </c>
    </row>
    <row r="2242">
      <c r="A2242" s="6" t="n"/>
      <c r="B2242" s="6" t="n"/>
      <c r="C2242" s="6" t="n"/>
      <c r="D2242" s="6" t="n"/>
      <c r="E2242" s="6" t="n"/>
      <c r="F2242" s="7" t="n"/>
      <c r="G2242" s="7" t="n"/>
      <c r="H2242" s="8" t="n"/>
      <c r="I2242" s="9">
        <f>IF($A2242="","",SUMIFS(Ventes_Encaissements!$D$6:$D$3005,Ventes_Encaissements!$B$6:$B$3005,$A2242))</f>
        <v/>
      </c>
      <c r="J2242" s="9">
        <f>IF($A2242="","",$H2242-$I2242)</f>
        <v/>
      </c>
      <c r="K2242" s="10">
        <f>IF($A2242="","",IF($I2242=0,"",_xludf.AGGREGATE(14,6,Ventes_Encaissements!$C$6:$C$3005/(Ventes_Encaissements!$B$6:$B$3005=$A2242),1)))</f>
        <v/>
      </c>
      <c r="L2242" s="11">
        <f>IF($A2242="","",COUNTIFS(Ventes_Detail!$B$6:$B$3005,$A2242))</f>
        <v/>
      </c>
      <c r="M2242" s="12" t="n"/>
      <c r="N2242" s="12">
        <f>IF($A2242="","",IF($G2242="","",IF($M2242="Oui","Litige",IF($J2242&lt;=0,"Payé",IF($I2242&gt;0,"Partiel",IF(Listes!$B$3&gt;$G2242,"En retard","À échoir"))))))</f>
        <v/>
      </c>
      <c r="O2242" s="11">
        <f>IF($A2242="","",IF(OR($G2242="", $J2242&lt;=0),0,MAX(0,Listes!$B$3-$G2242)))</f>
        <v/>
      </c>
      <c r="P2242" s="12">
        <f>IF($A2242="","",IF($J2242&lt;=0,"Payé",IF($M2242="Oui","Litige",IF($O2242=0,"À échoir",IF($O2242&lt;=30,"0-30",IF($O2242&lt;=60,"31-60",IF($O2242&lt;=90,"61-90","90+")))))))</f>
        <v/>
      </c>
    </row>
    <row r="2243">
      <c r="A2243" s="6" t="n"/>
      <c r="B2243" s="6" t="n"/>
      <c r="C2243" s="6" t="n"/>
      <c r="D2243" s="6" t="n"/>
      <c r="E2243" s="6" t="n"/>
      <c r="F2243" s="7" t="n"/>
      <c r="G2243" s="7" t="n"/>
      <c r="H2243" s="8" t="n"/>
      <c r="I2243" s="9">
        <f>IF($A2243="","",SUMIFS(Ventes_Encaissements!$D$6:$D$3005,Ventes_Encaissements!$B$6:$B$3005,$A2243))</f>
        <v/>
      </c>
      <c r="J2243" s="9">
        <f>IF($A2243="","",$H2243-$I2243)</f>
        <v/>
      </c>
      <c r="K2243" s="10">
        <f>IF($A2243="","",IF($I2243=0,"",_xludf.AGGREGATE(14,6,Ventes_Encaissements!$C$6:$C$3005/(Ventes_Encaissements!$B$6:$B$3005=$A2243),1)))</f>
        <v/>
      </c>
      <c r="L2243" s="11">
        <f>IF($A2243="","",COUNTIFS(Ventes_Detail!$B$6:$B$3005,$A2243))</f>
        <v/>
      </c>
      <c r="M2243" s="12" t="n"/>
      <c r="N2243" s="12">
        <f>IF($A2243="","",IF($G2243="","",IF($M2243="Oui","Litige",IF($J2243&lt;=0,"Payé",IF($I2243&gt;0,"Partiel",IF(Listes!$B$3&gt;$G2243,"En retard","À échoir"))))))</f>
        <v/>
      </c>
      <c r="O2243" s="11">
        <f>IF($A2243="","",IF(OR($G2243="", $J2243&lt;=0),0,MAX(0,Listes!$B$3-$G2243)))</f>
        <v/>
      </c>
      <c r="P2243" s="12">
        <f>IF($A2243="","",IF($J2243&lt;=0,"Payé",IF($M2243="Oui","Litige",IF($O2243=0,"À échoir",IF($O2243&lt;=30,"0-30",IF($O2243&lt;=60,"31-60",IF($O2243&lt;=90,"61-90","90+")))))))</f>
        <v/>
      </c>
    </row>
    <row r="2244">
      <c r="A2244" s="6" t="n"/>
      <c r="B2244" s="6" t="n"/>
      <c r="C2244" s="6" t="n"/>
      <c r="D2244" s="6" t="n"/>
      <c r="E2244" s="6" t="n"/>
      <c r="F2244" s="7" t="n"/>
      <c r="G2244" s="7" t="n"/>
      <c r="H2244" s="8" t="n"/>
      <c r="I2244" s="9">
        <f>IF($A2244="","",SUMIFS(Ventes_Encaissements!$D$6:$D$3005,Ventes_Encaissements!$B$6:$B$3005,$A2244))</f>
        <v/>
      </c>
      <c r="J2244" s="9">
        <f>IF($A2244="","",$H2244-$I2244)</f>
        <v/>
      </c>
      <c r="K2244" s="10">
        <f>IF($A2244="","",IF($I2244=0,"",_xludf.AGGREGATE(14,6,Ventes_Encaissements!$C$6:$C$3005/(Ventes_Encaissements!$B$6:$B$3005=$A2244),1)))</f>
        <v/>
      </c>
      <c r="L2244" s="11">
        <f>IF($A2244="","",COUNTIFS(Ventes_Detail!$B$6:$B$3005,$A2244))</f>
        <v/>
      </c>
      <c r="M2244" s="12" t="n"/>
      <c r="N2244" s="12">
        <f>IF($A2244="","",IF($G2244="","",IF($M2244="Oui","Litige",IF($J2244&lt;=0,"Payé",IF($I2244&gt;0,"Partiel",IF(Listes!$B$3&gt;$G2244,"En retard","À échoir"))))))</f>
        <v/>
      </c>
      <c r="O2244" s="11">
        <f>IF($A2244="","",IF(OR($G2244="", $J2244&lt;=0),0,MAX(0,Listes!$B$3-$G2244)))</f>
        <v/>
      </c>
      <c r="P2244" s="12">
        <f>IF($A2244="","",IF($J2244&lt;=0,"Payé",IF($M2244="Oui","Litige",IF($O2244=0,"À échoir",IF($O2244&lt;=30,"0-30",IF($O2244&lt;=60,"31-60",IF($O2244&lt;=90,"61-90","90+")))))))</f>
        <v/>
      </c>
    </row>
    <row r="2245">
      <c r="A2245" s="6" t="n"/>
      <c r="B2245" s="6" t="n"/>
      <c r="C2245" s="6" t="n"/>
      <c r="D2245" s="6" t="n"/>
      <c r="E2245" s="6" t="n"/>
      <c r="F2245" s="7" t="n"/>
      <c r="G2245" s="7" t="n"/>
      <c r="H2245" s="8" t="n"/>
      <c r="I2245" s="9">
        <f>IF($A2245="","",SUMIFS(Ventes_Encaissements!$D$6:$D$3005,Ventes_Encaissements!$B$6:$B$3005,$A2245))</f>
        <v/>
      </c>
      <c r="J2245" s="9">
        <f>IF($A2245="","",$H2245-$I2245)</f>
        <v/>
      </c>
      <c r="K2245" s="10">
        <f>IF($A2245="","",IF($I2245=0,"",_xludf.AGGREGATE(14,6,Ventes_Encaissements!$C$6:$C$3005/(Ventes_Encaissements!$B$6:$B$3005=$A2245),1)))</f>
        <v/>
      </c>
      <c r="L2245" s="11">
        <f>IF($A2245="","",COUNTIFS(Ventes_Detail!$B$6:$B$3005,$A2245))</f>
        <v/>
      </c>
      <c r="M2245" s="12" t="n"/>
      <c r="N2245" s="12">
        <f>IF($A2245="","",IF($G2245="","",IF($M2245="Oui","Litige",IF($J2245&lt;=0,"Payé",IF($I2245&gt;0,"Partiel",IF(Listes!$B$3&gt;$G2245,"En retard","À échoir"))))))</f>
        <v/>
      </c>
      <c r="O2245" s="11">
        <f>IF($A2245="","",IF(OR($G2245="", $J2245&lt;=0),0,MAX(0,Listes!$B$3-$G2245)))</f>
        <v/>
      </c>
      <c r="P2245" s="12">
        <f>IF($A2245="","",IF($J2245&lt;=0,"Payé",IF($M2245="Oui","Litige",IF($O2245=0,"À échoir",IF($O2245&lt;=30,"0-30",IF($O2245&lt;=60,"31-60",IF($O2245&lt;=90,"61-90","90+")))))))</f>
        <v/>
      </c>
    </row>
    <row r="2246">
      <c r="A2246" s="6" t="n"/>
      <c r="B2246" s="6" t="n"/>
      <c r="C2246" s="6" t="n"/>
      <c r="D2246" s="6" t="n"/>
      <c r="E2246" s="6" t="n"/>
      <c r="F2246" s="7" t="n"/>
      <c r="G2246" s="7" t="n"/>
      <c r="H2246" s="8" t="n"/>
      <c r="I2246" s="9">
        <f>IF($A2246="","",SUMIFS(Ventes_Encaissements!$D$6:$D$3005,Ventes_Encaissements!$B$6:$B$3005,$A2246))</f>
        <v/>
      </c>
      <c r="J2246" s="9">
        <f>IF($A2246="","",$H2246-$I2246)</f>
        <v/>
      </c>
      <c r="K2246" s="10">
        <f>IF($A2246="","",IF($I2246=0,"",_xludf.AGGREGATE(14,6,Ventes_Encaissements!$C$6:$C$3005/(Ventes_Encaissements!$B$6:$B$3005=$A2246),1)))</f>
        <v/>
      </c>
      <c r="L2246" s="11">
        <f>IF($A2246="","",COUNTIFS(Ventes_Detail!$B$6:$B$3005,$A2246))</f>
        <v/>
      </c>
      <c r="M2246" s="12" t="n"/>
      <c r="N2246" s="12">
        <f>IF($A2246="","",IF($G2246="","",IF($M2246="Oui","Litige",IF($J2246&lt;=0,"Payé",IF($I2246&gt;0,"Partiel",IF(Listes!$B$3&gt;$G2246,"En retard","À échoir"))))))</f>
        <v/>
      </c>
      <c r="O2246" s="11">
        <f>IF($A2246="","",IF(OR($G2246="", $J2246&lt;=0),0,MAX(0,Listes!$B$3-$G2246)))</f>
        <v/>
      </c>
      <c r="P2246" s="12">
        <f>IF($A2246="","",IF($J2246&lt;=0,"Payé",IF($M2246="Oui","Litige",IF($O2246=0,"À échoir",IF($O2246&lt;=30,"0-30",IF($O2246&lt;=60,"31-60",IF($O2246&lt;=90,"61-90","90+")))))))</f>
        <v/>
      </c>
    </row>
    <row r="2247">
      <c r="A2247" s="6" t="n"/>
      <c r="B2247" s="6" t="n"/>
      <c r="C2247" s="6" t="n"/>
      <c r="D2247" s="6" t="n"/>
      <c r="E2247" s="6" t="n"/>
      <c r="F2247" s="7" t="n"/>
      <c r="G2247" s="7" t="n"/>
      <c r="H2247" s="8" t="n"/>
      <c r="I2247" s="9">
        <f>IF($A2247="","",SUMIFS(Ventes_Encaissements!$D$6:$D$3005,Ventes_Encaissements!$B$6:$B$3005,$A2247))</f>
        <v/>
      </c>
      <c r="J2247" s="9">
        <f>IF($A2247="","",$H2247-$I2247)</f>
        <v/>
      </c>
      <c r="K2247" s="10">
        <f>IF($A2247="","",IF($I2247=0,"",_xludf.AGGREGATE(14,6,Ventes_Encaissements!$C$6:$C$3005/(Ventes_Encaissements!$B$6:$B$3005=$A2247),1)))</f>
        <v/>
      </c>
      <c r="L2247" s="11">
        <f>IF($A2247="","",COUNTIFS(Ventes_Detail!$B$6:$B$3005,$A2247))</f>
        <v/>
      </c>
      <c r="M2247" s="12" t="n"/>
      <c r="N2247" s="12">
        <f>IF($A2247="","",IF($G2247="","",IF($M2247="Oui","Litige",IF($J2247&lt;=0,"Payé",IF($I2247&gt;0,"Partiel",IF(Listes!$B$3&gt;$G2247,"En retard","À échoir"))))))</f>
        <v/>
      </c>
      <c r="O2247" s="11">
        <f>IF($A2247="","",IF(OR($G2247="", $J2247&lt;=0),0,MAX(0,Listes!$B$3-$G2247)))</f>
        <v/>
      </c>
      <c r="P2247" s="12">
        <f>IF($A2247="","",IF($J2247&lt;=0,"Payé",IF($M2247="Oui","Litige",IF($O2247=0,"À échoir",IF($O2247&lt;=30,"0-30",IF($O2247&lt;=60,"31-60",IF($O2247&lt;=90,"61-90","90+")))))))</f>
        <v/>
      </c>
    </row>
    <row r="2248">
      <c r="A2248" s="6" t="n"/>
      <c r="B2248" s="6" t="n"/>
      <c r="C2248" s="6" t="n"/>
      <c r="D2248" s="6" t="n"/>
      <c r="E2248" s="6" t="n"/>
      <c r="F2248" s="7" t="n"/>
      <c r="G2248" s="7" t="n"/>
      <c r="H2248" s="8" t="n"/>
      <c r="I2248" s="9">
        <f>IF($A2248="","",SUMIFS(Ventes_Encaissements!$D$6:$D$3005,Ventes_Encaissements!$B$6:$B$3005,$A2248))</f>
        <v/>
      </c>
      <c r="J2248" s="9">
        <f>IF($A2248="","",$H2248-$I2248)</f>
        <v/>
      </c>
      <c r="K2248" s="10">
        <f>IF($A2248="","",IF($I2248=0,"",_xludf.AGGREGATE(14,6,Ventes_Encaissements!$C$6:$C$3005/(Ventes_Encaissements!$B$6:$B$3005=$A2248),1)))</f>
        <v/>
      </c>
      <c r="L2248" s="11">
        <f>IF($A2248="","",COUNTIFS(Ventes_Detail!$B$6:$B$3005,$A2248))</f>
        <v/>
      </c>
      <c r="M2248" s="12" t="n"/>
      <c r="N2248" s="12">
        <f>IF($A2248="","",IF($G2248="","",IF($M2248="Oui","Litige",IF($J2248&lt;=0,"Payé",IF($I2248&gt;0,"Partiel",IF(Listes!$B$3&gt;$G2248,"En retard","À échoir"))))))</f>
        <v/>
      </c>
      <c r="O2248" s="11">
        <f>IF($A2248="","",IF(OR($G2248="", $J2248&lt;=0),0,MAX(0,Listes!$B$3-$G2248)))</f>
        <v/>
      </c>
      <c r="P2248" s="12">
        <f>IF($A2248="","",IF($J2248&lt;=0,"Payé",IF($M2248="Oui","Litige",IF($O2248=0,"À échoir",IF($O2248&lt;=30,"0-30",IF($O2248&lt;=60,"31-60",IF($O2248&lt;=90,"61-90","90+")))))))</f>
        <v/>
      </c>
    </row>
    <row r="2249">
      <c r="A2249" s="6" t="n"/>
      <c r="B2249" s="6" t="n"/>
      <c r="C2249" s="6" t="n"/>
      <c r="D2249" s="6" t="n"/>
      <c r="E2249" s="6" t="n"/>
      <c r="F2249" s="7" t="n"/>
      <c r="G2249" s="7" t="n"/>
      <c r="H2249" s="8" t="n"/>
      <c r="I2249" s="9">
        <f>IF($A2249="","",SUMIFS(Ventes_Encaissements!$D$6:$D$3005,Ventes_Encaissements!$B$6:$B$3005,$A2249))</f>
        <v/>
      </c>
      <c r="J2249" s="9">
        <f>IF($A2249="","",$H2249-$I2249)</f>
        <v/>
      </c>
      <c r="K2249" s="10">
        <f>IF($A2249="","",IF($I2249=0,"",_xludf.AGGREGATE(14,6,Ventes_Encaissements!$C$6:$C$3005/(Ventes_Encaissements!$B$6:$B$3005=$A2249),1)))</f>
        <v/>
      </c>
      <c r="L2249" s="11">
        <f>IF($A2249="","",COUNTIFS(Ventes_Detail!$B$6:$B$3005,$A2249))</f>
        <v/>
      </c>
      <c r="M2249" s="12" t="n"/>
      <c r="N2249" s="12">
        <f>IF($A2249="","",IF($G2249="","",IF($M2249="Oui","Litige",IF($J2249&lt;=0,"Payé",IF($I2249&gt;0,"Partiel",IF(Listes!$B$3&gt;$G2249,"En retard","À échoir"))))))</f>
        <v/>
      </c>
      <c r="O2249" s="11">
        <f>IF($A2249="","",IF(OR($G2249="", $J2249&lt;=0),0,MAX(0,Listes!$B$3-$G2249)))</f>
        <v/>
      </c>
      <c r="P2249" s="12">
        <f>IF($A2249="","",IF($J2249&lt;=0,"Payé",IF($M2249="Oui","Litige",IF($O2249=0,"À échoir",IF($O2249&lt;=30,"0-30",IF($O2249&lt;=60,"31-60",IF($O2249&lt;=90,"61-90","90+")))))))</f>
        <v/>
      </c>
    </row>
    <row r="2250">
      <c r="A2250" s="6" t="n"/>
      <c r="B2250" s="6" t="n"/>
      <c r="C2250" s="6" t="n"/>
      <c r="D2250" s="6" t="n"/>
      <c r="E2250" s="6" t="n"/>
      <c r="F2250" s="7" t="n"/>
      <c r="G2250" s="7" t="n"/>
      <c r="H2250" s="8" t="n"/>
      <c r="I2250" s="9">
        <f>IF($A2250="","",SUMIFS(Ventes_Encaissements!$D$6:$D$3005,Ventes_Encaissements!$B$6:$B$3005,$A2250))</f>
        <v/>
      </c>
      <c r="J2250" s="9">
        <f>IF($A2250="","",$H2250-$I2250)</f>
        <v/>
      </c>
      <c r="K2250" s="10">
        <f>IF($A2250="","",IF($I2250=0,"",_xludf.AGGREGATE(14,6,Ventes_Encaissements!$C$6:$C$3005/(Ventes_Encaissements!$B$6:$B$3005=$A2250),1)))</f>
        <v/>
      </c>
      <c r="L2250" s="11">
        <f>IF($A2250="","",COUNTIFS(Ventes_Detail!$B$6:$B$3005,$A2250))</f>
        <v/>
      </c>
      <c r="M2250" s="12" t="n"/>
      <c r="N2250" s="12">
        <f>IF($A2250="","",IF($G2250="","",IF($M2250="Oui","Litige",IF($J2250&lt;=0,"Payé",IF($I2250&gt;0,"Partiel",IF(Listes!$B$3&gt;$G2250,"En retard","À échoir"))))))</f>
        <v/>
      </c>
      <c r="O2250" s="11">
        <f>IF($A2250="","",IF(OR($G2250="", $J2250&lt;=0),0,MAX(0,Listes!$B$3-$G2250)))</f>
        <v/>
      </c>
      <c r="P2250" s="12">
        <f>IF($A2250="","",IF($J2250&lt;=0,"Payé",IF($M2250="Oui","Litige",IF($O2250=0,"À échoir",IF($O2250&lt;=30,"0-30",IF($O2250&lt;=60,"31-60",IF($O2250&lt;=90,"61-90","90+")))))))</f>
        <v/>
      </c>
    </row>
    <row r="2251">
      <c r="A2251" s="6" t="n"/>
      <c r="B2251" s="6" t="n"/>
      <c r="C2251" s="6" t="n"/>
      <c r="D2251" s="6" t="n"/>
      <c r="E2251" s="6" t="n"/>
      <c r="F2251" s="7" t="n"/>
      <c r="G2251" s="7" t="n"/>
      <c r="H2251" s="8" t="n"/>
      <c r="I2251" s="9">
        <f>IF($A2251="","",SUMIFS(Ventes_Encaissements!$D$6:$D$3005,Ventes_Encaissements!$B$6:$B$3005,$A2251))</f>
        <v/>
      </c>
      <c r="J2251" s="9">
        <f>IF($A2251="","",$H2251-$I2251)</f>
        <v/>
      </c>
      <c r="K2251" s="10">
        <f>IF($A2251="","",IF($I2251=0,"",_xludf.AGGREGATE(14,6,Ventes_Encaissements!$C$6:$C$3005/(Ventes_Encaissements!$B$6:$B$3005=$A2251),1)))</f>
        <v/>
      </c>
      <c r="L2251" s="11">
        <f>IF($A2251="","",COUNTIFS(Ventes_Detail!$B$6:$B$3005,$A2251))</f>
        <v/>
      </c>
      <c r="M2251" s="12" t="n"/>
      <c r="N2251" s="12">
        <f>IF($A2251="","",IF($G2251="","",IF($M2251="Oui","Litige",IF($J2251&lt;=0,"Payé",IF($I2251&gt;0,"Partiel",IF(Listes!$B$3&gt;$G2251,"En retard","À échoir"))))))</f>
        <v/>
      </c>
      <c r="O2251" s="11">
        <f>IF($A2251="","",IF(OR($G2251="", $J2251&lt;=0),0,MAX(0,Listes!$B$3-$G2251)))</f>
        <v/>
      </c>
      <c r="P2251" s="12">
        <f>IF($A2251="","",IF($J2251&lt;=0,"Payé",IF($M2251="Oui","Litige",IF($O2251=0,"À échoir",IF($O2251&lt;=30,"0-30",IF($O2251&lt;=60,"31-60",IF($O2251&lt;=90,"61-90","90+")))))))</f>
        <v/>
      </c>
    </row>
    <row r="2252">
      <c r="A2252" s="6" t="n"/>
      <c r="B2252" s="6" t="n"/>
      <c r="C2252" s="6" t="n"/>
      <c r="D2252" s="6" t="n"/>
      <c r="E2252" s="6" t="n"/>
      <c r="F2252" s="7" t="n"/>
      <c r="G2252" s="7" t="n"/>
      <c r="H2252" s="8" t="n"/>
      <c r="I2252" s="9">
        <f>IF($A2252="","",SUMIFS(Ventes_Encaissements!$D$6:$D$3005,Ventes_Encaissements!$B$6:$B$3005,$A2252))</f>
        <v/>
      </c>
      <c r="J2252" s="9">
        <f>IF($A2252="","",$H2252-$I2252)</f>
        <v/>
      </c>
      <c r="K2252" s="10">
        <f>IF($A2252="","",IF($I2252=0,"",_xludf.AGGREGATE(14,6,Ventes_Encaissements!$C$6:$C$3005/(Ventes_Encaissements!$B$6:$B$3005=$A2252),1)))</f>
        <v/>
      </c>
      <c r="L2252" s="11">
        <f>IF($A2252="","",COUNTIFS(Ventes_Detail!$B$6:$B$3005,$A2252))</f>
        <v/>
      </c>
      <c r="M2252" s="12" t="n"/>
      <c r="N2252" s="12">
        <f>IF($A2252="","",IF($G2252="","",IF($M2252="Oui","Litige",IF($J2252&lt;=0,"Payé",IF($I2252&gt;0,"Partiel",IF(Listes!$B$3&gt;$G2252,"En retard","À échoir"))))))</f>
        <v/>
      </c>
      <c r="O2252" s="11">
        <f>IF($A2252="","",IF(OR($G2252="", $J2252&lt;=0),0,MAX(0,Listes!$B$3-$G2252)))</f>
        <v/>
      </c>
      <c r="P2252" s="12">
        <f>IF($A2252="","",IF($J2252&lt;=0,"Payé",IF($M2252="Oui","Litige",IF($O2252=0,"À échoir",IF($O2252&lt;=30,"0-30",IF($O2252&lt;=60,"31-60",IF($O2252&lt;=90,"61-90","90+")))))))</f>
        <v/>
      </c>
    </row>
    <row r="2253">
      <c r="A2253" s="6" t="n"/>
      <c r="B2253" s="6" t="n"/>
      <c r="C2253" s="6" t="n"/>
      <c r="D2253" s="6" t="n"/>
      <c r="E2253" s="6" t="n"/>
      <c r="F2253" s="7" t="n"/>
      <c r="G2253" s="7" t="n"/>
      <c r="H2253" s="8" t="n"/>
      <c r="I2253" s="9">
        <f>IF($A2253="","",SUMIFS(Ventes_Encaissements!$D$6:$D$3005,Ventes_Encaissements!$B$6:$B$3005,$A2253))</f>
        <v/>
      </c>
      <c r="J2253" s="9">
        <f>IF($A2253="","",$H2253-$I2253)</f>
        <v/>
      </c>
      <c r="K2253" s="10">
        <f>IF($A2253="","",IF($I2253=0,"",_xludf.AGGREGATE(14,6,Ventes_Encaissements!$C$6:$C$3005/(Ventes_Encaissements!$B$6:$B$3005=$A2253),1)))</f>
        <v/>
      </c>
      <c r="L2253" s="11">
        <f>IF($A2253="","",COUNTIFS(Ventes_Detail!$B$6:$B$3005,$A2253))</f>
        <v/>
      </c>
      <c r="M2253" s="12" t="n"/>
      <c r="N2253" s="12">
        <f>IF($A2253="","",IF($G2253="","",IF($M2253="Oui","Litige",IF($J2253&lt;=0,"Payé",IF($I2253&gt;0,"Partiel",IF(Listes!$B$3&gt;$G2253,"En retard","À échoir"))))))</f>
        <v/>
      </c>
      <c r="O2253" s="11">
        <f>IF($A2253="","",IF(OR($G2253="", $J2253&lt;=0),0,MAX(0,Listes!$B$3-$G2253)))</f>
        <v/>
      </c>
      <c r="P2253" s="12">
        <f>IF($A2253="","",IF($J2253&lt;=0,"Payé",IF($M2253="Oui","Litige",IF($O2253=0,"À échoir",IF($O2253&lt;=30,"0-30",IF($O2253&lt;=60,"31-60",IF($O2253&lt;=90,"61-90","90+")))))))</f>
        <v/>
      </c>
    </row>
    <row r="2254">
      <c r="A2254" s="6" t="n"/>
      <c r="B2254" s="6" t="n"/>
      <c r="C2254" s="6" t="n"/>
      <c r="D2254" s="6" t="n"/>
      <c r="E2254" s="6" t="n"/>
      <c r="F2254" s="7" t="n"/>
      <c r="G2254" s="7" t="n"/>
      <c r="H2254" s="8" t="n"/>
      <c r="I2254" s="9">
        <f>IF($A2254="","",SUMIFS(Ventes_Encaissements!$D$6:$D$3005,Ventes_Encaissements!$B$6:$B$3005,$A2254))</f>
        <v/>
      </c>
      <c r="J2254" s="9">
        <f>IF($A2254="","",$H2254-$I2254)</f>
        <v/>
      </c>
      <c r="K2254" s="10">
        <f>IF($A2254="","",IF($I2254=0,"",_xludf.AGGREGATE(14,6,Ventes_Encaissements!$C$6:$C$3005/(Ventes_Encaissements!$B$6:$B$3005=$A2254),1)))</f>
        <v/>
      </c>
      <c r="L2254" s="11">
        <f>IF($A2254="","",COUNTIFS(Ventes_Detail!$B$6:$B$3005,$A2254))</f>
        <v/>
      </c>
      <c r="M2254" s="12" t="n"/>
      <c r="N2254" s="12">
        <f>IF($A2254="","",IF($G2254="","",IF($M2254="Oui","Litige",IF($J2254&lt;=0,"Payé",IF($I2254&gt;0,"Partiel",IF(Listes!$B$3&gt;$G2254,"En retard","À échoir"))))))</f>
        <v/>
      </c>
      <c r="O2254" s="11">
        <f>IF($A2254="","",IF(OR($G2254="", $J2254&lt;=0),0,MAX(0,Listes!$B$3-$G2254)))</f>
        <v/>
      </c>
      <c r="P2254" s="12">
        <f>IF($A2254="","",IF($J2254&lt;=0,"Payé",IF($M2254="Oui","Litige",IF($O2254=0,"À échoir",IF($O2254&lt;=30,"0-30",IF($O2254&lt;=60,"31-60",IF($O2254&lt;=90,"61-90","90+")))))))</f>
        <v/>
      </c>
    </row>
    <row r="2255">
      <c r="A2255" s="6" t="n"/>
      <c r="B2255" s="6" t="n"/>
      <c r="C2255" s="6" t="n"/>
      <c r="D2255" s="6" t="n"/>
      <c r="E2255" s="6" t="n"/>
      <c r="F2255" s="7" t="n"/>
      <c r="G2255" s="7" t="n"/>
      <c r="H2255" s="8" t="n"/>
      <c r="I2255" s="9">
        <f>IF($A2255="","",SUMIFS(Ventes_Encaissements!$D$6:$D$3005,Ventes_Encaissements!$B$6:$B$3005,$A2255))</f>
        <v/>
      </c>
      <c r="J2255" s="9">
        <f>IF($A2255="","",$H2255-$I2255)</f>
        <v/>
      </c>
      <c r="K2255" s="10">
        <f>IF($A2255="","",IF($I2255=0,"",_xludf.AGGREGATE(14,6,Ventes_Encaissements!$C$6:$C$3005/(Ventes_Encaissements!$B$6:$B$3005=$A2255),1)))</f>
        <v/>
      </c>
      <c r="L2255" s="11">
        <f>IF($A2255="","",COUNTIFS(Ventes_Detail!$B$6:$B$3005,$A2255))</f>
        <v/>
      </c>
      <c r="M2255" s="12" t="n"/>
      <c r="N2255" s="12">
        <f>IF($A2255="","",IF($G2255="","",IF($M2255="Oui","Litige",IF($J2255&lt;=0,"Payé",IF($I2255&gt;0,"Partiel",IF(Listes!$B$3&gt;$G2255,"En retard","À échoir"))))))</f>
        <v/>
      </c>
      <c r="O2255" s="11">
        <f>IF($A2255="","",IF(OR($G2255="", $J2255&lt;=0),0,MAX(0,Listes!$B$3-$G2255)))</f>
        <v/>
      </c>
      <c r="P2255" s="12">
        <f>IF($A2255="","",IF($J2255&lt;=0,"Payé",IF($M2255="Oui","Litige",IF($O2255=0,"À échoir",IF($O2255&lt;=30,"0-30",IF($O2255&lt;=60,"31-60",IF($O2255&lt;=90,"61-90","90+")))))))</f>
        <v/>
      </c>
    </row>
    <row r="2256">
      <c r="A2256" s="6" t="n"/>
      <c r="B2256" s="6" t="n"/>
      <c r="C2256" s="6" t="n"/>
      <c r="D2256" s="6" t="n"/>
      <c r="E2256" s="6" t="n"/>
      <c r="F2256" s="7" t="n"/>
      <c r="G2256" s="7" t="n"/>
      <c r="H2256" s="8" t="n"/>
      <c r="I2256" s="9">
        <f>IF($A2256="","",SUMIFS(Ventes_Encaissements!$D$6:$D$3005,Ventes_Encaissements!$B$6:$B$3005,$A2256))</f>
        <v/>
      </c>
      <c r="J2256" s="9">
        <f>IF($A2256="","",$H2256-$I2256)</f>
        <v/>
      </c>
      <c r="K2256" s="10">
        <f>IF($A2256="","",IF($I2256=0,"",_xludf.AGGREGATE(14,6,Ventes_Encaissements!$C$6:$C$3005/(Ventes_Encaissements!$B$6:$B$3005=$A2256),1)))</f>
        <v/>
      </c>
      <c r="L2256" s="11">
        <f>IF($A2256="","",COUNTIFS(Ventes_Detail!$B$6:$B$3005,$A2256))</f>
        <v/>
      </c>
      <c r="M2256" s="12" t="n"/>
      <c r="N2256" s="12">
        <f>IF($A2256="","",IF($G2256="","",IF($M2256="Oui","Litige",IF($J2256&lt;=0,"Payé",IF($I2256&gt;0,"Partiel",IF(Listes!$B$3&gt;$G2256,"En retard","À échoir"))))))</f>
        <v/>
      </c>
      <c r="O2256" s="11">
        <f>IF($A2256="","",IF(OR($G2256="", $J2256&lt;=0),0,MAX(0,Listes!$B$3-$G2256)))</f>
        <v/>
      </c>
      <c r="P2256" s="12">
        <f>IF($A2256="","",IF($J2256&lt;=0,"Payé",IF($M2256="Oui","Litige",IF($O2256=0,"À échoir",IF($O2256&lt;=30,"0-30",IF($O2256&lt;=60,"31-60",IF($O2256&lt;=90,"61-90","90+")))))))</f>
        <v/>
      </c>
    </row>
    <row r="2257">
      <c r="A2257" s="6" t="n"/>
      <c r="B2257" s="6" t="n"/>
      <c r="C2257" s="6" t="n"/>
      <c r="D2257" s="6" t="n"/>
      <c r="E2257" s="6" t="n"/>
      <c r="F2257" s="7" t="n"/>
      <c r="G2257" s="7" t="n"/>
      <c r="H2257" s="8" t="n"/>
      <c r="I2257" s="9">
        <f>IF($A2257="","",SUMIFS(Ventes_Encaissements!$D$6:$D$3005,Ventes_Encaissements!$B$6:$B$3005,$A2257))</f>
        <v/>
      </c>
      <c r="J2257" s="9">
        <f>IF($A2257="","",$H2257-$I2257)</f>
        <v/>
      </c>
      <c r="K2257" s="10">
        <f>IF($A2257="","",IF($I2257=0,"",_xludf.AGGREGATE(14,6,Ventes_Encaissements!$C$6:$C$3005/(Ventes_Encaissements!$B$6:$B$3005=$A2257),1)))</f>
        <v/>
      </c>
      <c r="L2257" s="11">
        <f>IF($A2257="","",COUNTIFS(Ventes_Detail!$B$6:$B$3005,$A2257))</f>
        <v/>
      </c>
      <c r="M2257" s="12" t="n"/>
      <c r="N2257" s="12">
        <f>IF($A2257="","",IF($G2257="","",IF($M2257="Oui","Litige",IF($J2257&lt;=0,"Payé",IF($I2257&gt;0,"Partiel",IF(Listes!$B$3&gt;$G2257,"En retard","À échoir"))))))</f>
        <v/>
      </c>
      <c r="O2257" s="11">
        <f>IF($A2257="","",IF(OR($G2257="", $J2257&lt;=0),0,MAX(0,Listes!$B$3-$G2257)))</f>
        <v/>
      </c>
      <c r="P2257" s="12">
        <f>IF($A2257="","",IF($J2257&lt;=0,"Payé",IF($M2257="Oui","Litige",IF($O2257=0,"À échoir",IF($O2257&lt;=30,"0-30",IF($O2257&lt;=60,"31-60",IF($O2257&lt;=90,"61-90","90+")))))))</f>
        <v/>
      </c>
    </row>
    <row r="2258">
      <c r="A2258" s="6" t="n"/>
      <c r="B2258" s="6" t="n"/>
      <c r="C2258" s="6" t="n"/>
      <c r="D2258" s="6" t="n"/>
      <c r="E2258" s="6" t="n"/>
      <c r="F2258" s="7" t="n"/>
      <c r="G2258" s="7" t="n"/>
      <c r="H2258" s="8" t="n"/>
      <c r="I2258" s="9">
        <f>IF($A2258="","",SUMIFS(Ventes_Encaissements!$D$6:$D$3005,Ventes_Encaissements!$B$6:$B$3005,$A2258))</f>
        <v/>
      </c>
      <c r="J2258" s="9">
        <f>IF($A2258="","",$H2258-$I2258)</f>
        <v/>
      </c>
      <c r="K2258" s="10">
        <f>IF($A2258="","",IF($I2258=0,"",_xludf.AGGREGATE(14,6,Ventes_Encaissements!$C$6:$C$3005/(Ventes_Encaissements!$B$6:$B$3005=$A2258),1)))</f>
        <v/>
      </c>
      <c r="L2258" s="11">
        <f>IF($A2258="","",COUNTIFS(Ventes_Detail!$B$6:$B$3005,$A2258))</f>
        <v/>
      </c>
      <c r="M2258" s="12" t="n"/>
      <c r="N2258" s="12">
        <f>IF($A2258="","",IF($G2258="","",IF($M2258="Oui","Litige",IF($J2258&lt;=0,"Payé",IF($I2258&gt;0,"Partiel",IF(Listes!$B$3&gt;$G2258,"En retard","À échoir"))))))</f>
        <v/>
      </c>
      <c r="O2258" s="11">
        <f>IF($A2258="","",IF(OR($G2258="", $J2258&lt;=0),0,MAX(0,Listes!$B$3-$G2258)))</f>
        <v/>
      </c>
      <c r="P2258" s="12">
        <f>IF($A2258="","",IF($J2258&lt;=0,"Payé",IF($M2258="Oui","Litige",IF($O2258=0,"À échoir",IF($O2258&lt;=30,"0-30",IF($O2258&lt;=60,"31-60",IF($O2258&lt;=90,"61-90","90+")))))))</f>
        <v/>
      </c>
    </row>
    <row r="2259">
      <c r="A2259" s="6" t="n"/>
      <c r="B2259" s="6" t="n"/>
      <c r="C2259" s="6" t="n"/>
      <c r="D2259" s="6" t="n"/>
      <c r="E2259" s="6" t="n"/>
      <c r="F2259" s="7" t="n"/>
      <c r="G2259" s="7" t="n"/>
      <c r="H2259" s="8" t="n"/>
      <c r="I2259" s="9">
        <f>IF($A2259="","",SUMIFS(Ventes_Encaissements!$D$6:$D$3005,Ventes_Encaissements!$B$6:$B$3005,$A2259))</f>
        <v/>
      </c>
      <c r="J2259" s="9">
        <f>IF($A2259="","",$H2259-$I2259)</f>
        <v/>
      </c>
      <c r="K2259" s="10">
        <f>IF($A2259="","",IF($I2259=0,"",_xludf.AGGREGATE(14,6,Ventes_Encaissements!$C$6:$C$3005/(Ventes_Encaissements!$B$6:$B$3005=$A2259),1)))</f>
        <v/>
      </c>
      <c r="L2259" s="11">
        <f>IF($A2259="","",COUNTIFS(Ventes_Detail!$B$6:$B$3005,$A2259))</f>
        <v/>
      </c>
      <c r="M2259" s="12" t="n"/>
      <c r="N2259" s="12">
        <f>IF($A2259="","",IF($G2259="","",IF($M2259="Oui","Litige",IF($J2259&lt;=0,"Payé",IF($I2259&gt;0,"Partiel",IF(Listes!$B$3&gt;$G2259,"En retard","À échoir"))))))</f>
        <v/>
      </c>
      <c r="O2259" s="11">
        <f>IF($A2259="","",IF(OR($G2259="", $J2259&lt;=0),0,MAX(0,Listes!$B$3-$G2259)))</f>
        <v/>
      </c>
      <c r="P2259" s="12">
        <f>IF($A2259="","",IF($J2259&lt;=0,"Payé",IF($M2259="Oui","Litige",IF($O2259=0,"À échoir",IF($O2259&lt;=30,"0-30",IF($O2259&lt;=60,"31-60",IF($O2259&lt;=90,"61-90","90+")))))))</f>
        <v/>
      </c>
    </row>
    <row r="2260">
      <c r="A2260" s="6" t="n"/>
      <c r="B2260" s="6" t="n"/>
      <c r="C2260" s="6" t="n"/>
      <c r="D2260" s="6" t="n"/>
      <c r="E2260" s="6" t="n"/>
      <c r="F2260" s="7" t="n"/>
      <c r="G2260" s="7" t="n"/>
      <c r="H2260" s="8" t="n"/>
      <c r="I2260" s="9">
        <f>IF($A2260="","",SUMIFS(Ventes_Encaissements!$D$6:$D$3005,Ventes_Encaissements!$B$6:$B$3005,$A2260))</f>
        <v/>
      </c>
      <c r="J2260" s="9">
        <f>IF($A2260="","",$H2260-$I2260)</f>
        <v/>
      </c>
      <c r="K2260" s="10">
        <f>IF($A2260="","",IF($I2260=0,"",_xludf.AGGREGATE(14,6,Ventes_Encaissements!$C$6:$C$3005/(Ventes_Encaissements!$B$6:$B$3005=$A2260),1)))</f>
        <v/>
      </c>
      <c r="L2260" s="11">
        <f>IF($A2260="","",COUNTIFS(Ventes_Detail!$B$6:$B$3005,$A2260))</f>
        <v/>
      </c>
      <c r="M2260" s="12" t="n"/>
      <c r="N2260" s="12">
        <f>IF($A2260="","",IF($G2260="","",IF($M2260="Oui","Litige",IF($J2260&lt;=0,"Payé",IF($I2260&gt;0,"Partiel",IF(Listes!$B$3&gt;$G2260,"En retard","À échoir"))))))</f>
        <v/>
      </c>
      <c r="O2260" s="11">
        <f>IF($A2260="","",IF(OR($G2260="", $J2260&lt;=0),0,MAX(0,Listes!$B$3-$G2260)))</f>
        <v/>
      </c>
      <c r="P2260" s="12">
        <f>IF($A2260="","",IF($J2260&lt;=0,"Payé",IF($M2260="Oui","Litige",IF($O2260=0,"À échoir",IF($O2260&lt;=30,"0-30",IF($O2260&lt;=60,"31-60",IF($O2260&lt;=90,"61-90","90+")))))))</f>
        <v/>
      </c>
    </row>
    <row r="2261">
      <c r="A2261" s="6" t="n"/>
      <c r="B2261" s="6" t="n"/>
      <c r="C2261" s="6" t="n"/>
      <c r="D2261" s="6" t="n"/>
      <c r="E2261" s="6" t="n"/>
      <c r="F2261" s="7" t="n"/>
      <c r="G2261" s="7" t="n"/>
      <c r="H2261" s="8" t="n"/>
      <c r="I2261" s="9">
        <f>IF($A2261="","",SUMIFS(Ventes_Encaissements!$D$6:$D$3005,Ventes_Encaissements!$B$6:$B$3005,$A2261))</f>
        <v/>
      </c>
      <c r="J2261" s="9">
        <f>IF($A2261="","",$H2261-$I2261)</f>
        <v/>
      </c>
      <c r="K2261" s="10">
        <f>IF($A2261="","",IF($I2261=0,"",_xludf.AGGREGATE(14,6,Ventes_Encaissements!$C$6:$C$3005/(Ventes_Encaissements!$B$6:$B$3005=$A2261),1)))</f>
        <v/>
      </c>
      <c r="L2261" s="11">
        <f>IF($A2261="","",COUNTIFS(Ventes_Detail!$B$6:$B$3005,$A2261))</f>
        <v/>
      </c>
      <c r="M2261" s="12" t="n"/>
      <c r="N2261" s="12">
        <f>IF($A2261="","",IF($G2261="","",IF($M2261="Oui","Litige",IF($J2261&lt;=0,"Payé",IF($I2261&gt;0,"Partiel",IF(Listes!$B$3&gt;$G2261,"En retard","À échoir"))))))</f>
        <v/>
      </c>
      <c r="O2261" s="11">
        <f>IF($A2261="","",IF(OR($G2261="", $J2261&lt;=0),0,MAX(0,Listes!$B$3-$G2261)))</f>
        <v/>
      </c>
      <c r="P2261" s="12">
        <f>IF($A2261="","",IF($J2261&lt;=0,"Payé",IF($M2261="Oui","Litige",IF($O2261=0,"À échoir",IF($O2261&lt;=30,"0-30",IF($O2261&lt;=60,"31-60",IF($O2261&lt;=90,"61-90","90+")))))))</f>
        <v/>
      </c>
    </row>
    <row r="2262">
      <c r="A2262" s="6" t="n"/>
      <c r="B2262" s="6" t="n"/>
      <c r="C2262" s="6" t="n"/>
      <c r="D2262" s="6" t="n"/>
      <c r="E2262" s="6" t="n"/>
      <c r="F2262" s="7" t="n"/>
      <c r="G2262" s="7" t="n"/>
      <c r="H2262" s="8" t="n"/>
      <c r="I2262" s="9">
        <f>IF($A2262="","",SUMIFS(Ventes_Encaissements!$D$6:$D$3005,Ventes_Encaissements!$B$6:$B$3005,$A2262))</f>
        <v/>
      </c>
      <c r="J2262" s="9">
        <f>IF($A2262="","",$H2262-$I2262)</f>
        <v/>
      </c>
      <c r="K2262" s="10">
        <f>IF($A2262="","",IF($I2262=0,"",_xludf.AGGREGATE(14,6,Ventes_Encaissements!$C$6:$C$3005/(Ventes_Encaissements!$B$6:$B$3005=$A2262),1)))</f>
        <v/>
      </c>
      <c r="L2262" s="11">
        <f>IF($A2262="","",COUNTIFS(Ventes_Detail!$B$6:$B$3005,$A2262))</f>
        <v/>
      </c>
      <c r="M2262" s="12" t="n"/>
      <c r="N2262" s="12">
        <f>IF($A2262="","",IF($G2262="","",IF($M2262="Oui","Litige",IF($J2262&lt;=0,"Payé",IF($I2262&gt;0,"Partiel",IF(Listes!$B$3&gt;$G2262,"En retard","À échoir"))))))</f>
        <v/>
      </c>
      <c r="O2262" s="11">
        <f>IF($A2262="","",IF(OR($G2262="", $J2262&lt;=0),0,MAX(0,Listes!$B$3-$G2262)))</f>
        <v/>
      </c>
      <c r="P2262" s="12">
        <f>IF($A2262="","",IF($J2262&lt;=0,"Payé",IF($M2262="Oui","Litige",IF($O2262=0,"À échoir",IF($O2262&lt;=30,"0-30",IF($O2262&lt;=60,"31-60",IF($O2262&lt;=90,"61-90","90+")))))))</f>
        <v/>
      </c>
    </row>
    <row r="2263">
      <c r="A2263" s="6" t="n"/>
      <c r="B2263" s="6" t="n"/>
      <c r="C2263" s="6" t="n"/>
      <c r="D2263" s="6" t="n"/>
      <c r="E2263" s="6" t="n"/>
      <c r="F2263" s="7" t="n"/>
      <c r="G2263" s="7" t="n"/>
      <c r="H2263" s="8" t="n"/>
      <c r="I2263" s="9">
        <f>IF($A2263="","",SUMIFS(Ventes_Encaissements!$D$6:$D$3005,Ventes_Encaissements!$B$6:$B$3005,$A2263))</f>
        <v/>
      </c>
      <c r="J2263" s="9">
        <f>IF($A2263="","",$H2263-$I2263)</f>
        <v/>
      </c>
      <c r="K2263" s="10">
        <f>IF($A2263="","",IF($I2263=0,"",_xludf.AGGREGATE(14,6,Ventes_Encaissements!$C$6:$C$3005/(Ventes_Encaissements!$B$6:$B$3005=$A2263),1)))</f>
        <v/>
      </c>
      <c r="L2263" s="11">
        <f>IF($A2263="","",COUNTIFS(Ventes_Detail!$B$6:$B$3005,$A2263))</f>
        <v/>
      </c>
      <c r="M2263" s="12" t="n"/>
      <c r="N2263" s="12">
        <f>IF($A2263="","",IF($G2263="","",IF($M2263="Oui","Litige",IF($J2263&lt;=0,"Payé",IF($I2263&gt;0,"Partiel",IF(Listes!$B$3&gt;$G2263,"En retard","À échoir"))))))</f>
        <v/>
      </c>
      <c r="O2263" s="11">
        <f>IF($A2263="","",IF(OR($G2263="", $J2263&lt;=0),0,MAX(0,Listes!$B$3-$G2263)))</f>
        <v/>
      </c>
      <c r="P2263" s="12">
        <f>IF($A2263="","",IF($J2263&lt;=0,"Payé",IF($M2263="Oui","Litige",IF($O2263=0,"À échoir",IF($O2263&lt;=30,"0-30",IF($O2263&lt;=60,"31-60",IF($O2263&lt;=90,"61-90","90+")))))))</f>
        <v/>
      </c>
    </row>
    <row r="2264">
      <c r="A2264" s="6" t="n"/>
      <c r="B2264" s="6" t="n"/>
      <c r="C2264" s="6" t="n"/>
      <c r="D2264" s="6" t="n"/>
      <c r="E2264" s="6" t="n"/>
      <c r="F2264" s="7" t="n"/>
      <c r="G2264" s="7" t="n"/>
      <c r="H2264" s="8" t="n"/>
      <c r="I2264" s="9">
        <f>IF($A2264="","",SUMIFS(Ventes_Encaissements!$D$6:$D$3005,Ventes_Encaissements!$B$6:$B$3005,$A2264))</f>
        <v/>
      </c>
      <c r="J2264" s="9">
        <f>IF($A2264="","",$H2264-$I2264)</f>
        <v/>
      </c>
      <c r="K2264" s="10">
        <f>IF($A2264="","",IF($I2264=0,"",_xludf.AGGREGATE(14,6,Ventes_Encaissements!$C$6:$C$3005/(Ventes_Encaissements!$B$6:$B$3005=$A2264),1)))</f>
        <v/>
      </c>
      <c r="L2264" s="11">
        <f>IF($A2264="","",COUNTIFS(Ventes_Detail!$B$6:$B$3005,$A2264))</f>
        <v/>
      </c>
      <c r="M2264" s="12" t="n"/>
      <c r="N2264" s="12">
        <f>IF($A2264="","",IF($G2264="","",IF($M2264="Oui","Litige",IF($J2264&lt;=0,"Payé",IF($I2264&gt;0,"Partiel",IF(Listes!$B$3&gt;$G2264,"En retard","À échoir"))))))</f>
        <v/>
      </c>
      <c r="O2264" s="11">
        <f>IF($A2264="","",IF(OR($G2264="", $J2264&lt;=0),0,MAX(0,Listes!$B$3-$G2264)))</f>
        <v/>
      </c>
      <c r="P2264" s="12">
        <f>IF($A2264="","",IF($J2264&lt;=0,"Payé",IF($M2264="Oui","Litige",IF($O2264=0,"À échoir",IF($O2264&lt;=30,"0-30",IF($O2264&lt;=60,"31-60",IF($O2264&lt;=90,"61-90","90+")))))))</f>
        <v/>
      </c>
    </row>
    <row r="2265">
      <c r="A2265" s="6" t="n"/>
      <c r="B2265" s="6" t="n"/>
      <c r="C2265" s="6" t="n"/>
      <c r="D2265" s="6" t="n"/>
      <c r="E2265" s="6" t="n"/>
      <c r="F2265" s="7" t="n"/>
      <c r="G2265" s="7" t="n"/>
      <c r="H2265" s="8" t="n"/>
      <c r="I2265" s="9">
        <f>IF($A2265="","",SUMIFS(Ventes_Encaissements!$D$6:$D$3005,Ventes_Encaissements!$B$6:$B$3005,$A2265))</f>
        <v/>
      </c>
      <c r="J2265" s="9">
        <f>IF($A2265="","",$H2265-$I2265)</f>
        <v/>
      </c>
      <c r="K2265" s="10">
        <f>IF($A2265="","",IF($I2265=0,"",_xludf.AGGREGATE(14,6,Ventes_Encaissements!$C$6:$C$3005/(Ventes_Encaissements!$B$6:$B$3005=$A2265),1)))</f>
        <v/>
      </c>
      <c r="L2265" s="11">
        <f>IF($A2265="","",COUNTIFS(Ventes_Detail!$B$6:$B$3005,$A2265))</f>
        <v/>
      </c>
      <c r="M2265" s="12" t="n"/>
      <c r="N2265" s="12">
        <f>IF($A2265="","",IF($G2265="","",IF($M2265="Oui","Litige",IF($J2265&lt;=0,"Payé",IF($I2265&gt;0,"Partiel",IF(Listes!$B$3&gt;$G2265,"En retard","À échoir"))))))</f>
        <v/>
      </c>
      <c r="O2265" s="11">
        <f>IF($A2265="","",IF(OR($G2265="", $J2265&lt;=0),0,MAX(0,Listes!$B$3-$G2265)))</f>
        <v/>
      </c>
      <c r="P2265" s="12">
        <f>IF($A2265="","",IF($J2265&lt;=0,"Payé",IF($M2265="Oui","Litige",IF($O2265=0,"À échoir",IF($O2265&lt;=30,"0-30",IF($O2265&lt;=60,"31-60",IF($O2265&lt;=90,"61-90","90+")))))))</f>
        <v/>
      </c>
    </row>
    <row r="2266">
      <c r="A2266" s="6" t="n"/>
      <c r="B2266" s="6" t="n"/>
      <c r="C2266" s="6" t="n"/>
      <c r="D2266" s="6" t="n"/>
      <c r="E2266" s="6" t="n"/>
      <c r="F2266" s="7" t="n"/>
      <c r="G2266" s="7" t="n"/>
      <c r="H2266" s="8" t="n"/>
      <c r="I2266" s="9">
        <f>IF($A2266="","",SUMIFS(Ventes_Encaissements!$D$6:$D$3005,Ventes_Encaissements!$B$6:$B$3005,$A2266))</f>
        <v/>
      </c>
      <c r="J2266" s="9">
        <f>IF($A2266="","",$H2266-$I2266)</f>
        <v/>
      </c>
      <c r="K2266" s="10">
        <f>IF($A2266="","",IF($I2266=0,"",_xludf.AGGREGATE(14,6,Ventes_Encaissements!$C$6:$C$3005/(Ventes_Encaissements!$B$6:$B$3005=$A2266),1)))</f>
        <v/>
      </c>
      <c r="L2266" s="11">
        <f>IF($A2266="","",COUNTIFS(Ventes_Detail!$B$6:$B$3005,$A2266))</f>
        <v/>
      </c>
      <c r="M2266" s="12" t="n"/>
      <c r="N2266" s="12">
        <f>IF($A2266="","",IF($G2266="","",IF($M2266="Oui","Litige",IF($J2266&lt;=0,"Payé",IF($I2266&gt;0,"Partiel",IF(Listes!$B$3&gt;$G2266,"En retard","À échoir"))))))</f>
        <v/>
      </c>
      <c r="O2266" s="11">
        <f>IF($A2266="","",IF(OR($G2266="", $J2266&lt;=0),0,MAX(0,Listes!$B$3-$G2266)))</f>
        <v/>
      </c>
      <c r="P2266" s="12">
        <f>IF($A2266="","",IF($J2266&lt;=0,"Payé",IF($M2266="Oui","Litige",IF($O2266=0,"À échoir",IF($O2266&lt;=30,"0-30",IF($O2266&lt;=60,"31-60",IF($O2266&lt;=90,"61-90","90+")))))))</f>
        <v/>
      </c>
    </row>
    <row r="2267">
      <c r="A2267" s="6" t="n"/>
      <c r="B2267" s="6" t="n"/>
      <c r="C2267" s="6" t="n"/>
      <c r="D2267" s="6" t="n"/>
      <c r="E2267" s="6" t="n"/>
      <c r="F2267" s="7" t="n"/>
      <c r="G2267" s="7" t="n"/>
      <c r="H2267" s="8" t="n"/>
      <c r="I2267" s="9">
        <f>IF($A2267="","",SUMIFS(Ventes_Encaissements!$D$6:$D$3005,Ventes_Encaissements!$B$6:$B$3005,$A2267))</f>
        <v/>
      </c>
      <c r="J2267" s="9">
        <f>IF($A2267="","",$H2267-$I2267)</f>
        <v/>
      </c>
      <c r="K2267" s="10">
        <f>IF($A2267="","",IF($I2267=0,"",_xludf.AGGREGATE(14,6,Ventes_Encaissements!$C$6:$C$3005/(Ventes_Encaissements!$B$6:$B$3005=$A2267),1)))</f>
        <v/>
      </c>
      <c r="L2267" s="11">
        <f>IF($A2267="","",COUNTIFS(Ventes_Detail!$B$6:$B$3005,$A2267))</f>
        <v/>
      </c>
      <c r="M2267" s="12" t="n"/>
      <c r="N2267" s="12">
        <f>IF($A2267="","",IF($G2267="","",IF($M2267="Oui","Litige",IF($J2267&lt;=0,"Payé",IF($I2267&gt;0,"Partiel",IF(Listes!$B$3&gt;$G2267,"En retard","À échoir"))))))</f>
        <v/>
      </c>
      <c r="O2267" s="11">
        <f>IF($A2267="","",IF(OR($G2267="", $J2267&lt;=0),0,MAX(0,Listes!$B$3-$G2267)))</f>
        <v/>
      </c>
      <c r="P2267" s="12">
        <f>IF($A2267="","",IF($J2267&lt;=0,"Payé",IF($M2267="Oui","Litige",IF($O2267=0,"À échoir",IF($O2267&lt;=30,"0-30",IF($O2267&lt;=60,"31-60",IF($O2267&lt;=90,"61-90","90+")))))))</f>
        <v/>
      </c>
    </row>
    <row r="2268">
      <c r="A2268" s="6" t="n"/>
      <c r="B2268" s="6" t="n"/>
      <c r="C2268" s="6" t="n"/>
      <c r="D2268" s="6" t="n"/>
      <c r="E2268" s="6" t="n"/>
      <c r="F2268" s="7" t="n"/>
      <c r="G2268" s="7" t="n"/>
      <c r="H2268" s="8" t="n"/>
      <c r="I2268" s="9">
        <f>IF($A2268="","",SUMIFS(Ventes_Encaissements!$D$6:$D$3005,Ventes_Encaissements!$B$6:$B$3005,$A2268))</f>
        <v/>
      </c>
      <c r="J2268" s="9">
        <f>IF($A2268="","",$H2268-$I2268)</f>
        <v/>
      </c>
      <c r="K2268" s="10">
        <f>IF($A2268="","",IF($I2268=0,"",_xludf.AGGREGATE(14,6,Ventes_Encaissements!$C$6:$C$3005/(Ventes_Encaissements!$B$6:$B$3005=$A2268),1)))</f>
        <v/>
      </c>
      <c r="L2268" s="11">
        <f>IF($A2268="","",COUNTIFS(Ventes_Detail!$B$6:$B$3005,$A2268))</f>
        <v/>
      </c>
      <c r="M2268" s="12" t="n"/>
      <c r="N2268" s="12">
        <f>IF($A2268="","",IF($G2268="","",IF($M2268="Oui","Litige",IF($J2268&lt;=0,"Payé",IF($I2268&gt;0,"Partiel",IF(Listes!$B$3&gt;$G2268,"En retard","À échoir"))))))</f>
        <v/>
      </c>
      <c r="O2268" s="11">
        <f>IF($A2268="","",IF(OR($G2268="", $J2268&lt;=0),0,MAX(0,Listes!$B$3-$G2268)))</f>
        <v/>
      </c>
      <c r="P2268" s="12">
        <f>IF($A2268="","",IF($J2268&lt;=0,"Payé",IF($M2268="Oui","Litige",IF($O2268=0,"À échoir",IF($O2268&lt;=30,"0-30",IF($O2268&lt;=60,"31-60",IF($O2268&lt;=90,"61-90","90+")))))))</f>
        <v/>
      </c>
    </row>
    <row r="2269">
      <c r="A2269" s="6" t="n"/>
      <c r="B2269" s="6" t="n"/>
      <c r="C2269" s="6" t="n"/>
      <c r="D2269" s="6" t="n"/>
      <c r="E2269" s="6" t="n"/>
      <c r="F2269" s="7" t="n"/>
      <c r="G2269" s="7" t="n"/>
      <c r="H2269" s="8" t="n"/>
      <c r="I2269" s="9">
        <f>IF($A2269="","",SUMIFS(Ventes_Encaissements!$D$6:$D$3005,Ventes_Encaissements!$B$6:$B$3005,$A2269))</f>
        <v/>
      </c>
      <c r="J2269" s="9">
        <f>IF($A2269="","",$H2269-$I2269)</f>
        <v/>
      </c>
      <c r="K2269" s="10">
        <f>IF($A2269="","",IF($I2269=0,"",_xludf.AGGREGATE(14,6,Ventes_Encaissements!$C$6:$C$3005/(Ventes_Encaissements!$B$6:$B$3005=$A2269),1)))</f>
        <v/>
      </c>
      <c r="L2269" s="11">
        <f>IF($A2269="","",COUNTIFS(Ventes_Detail!$B$6:$B$3005,$A2269))</f>
        <v/>
      </c>
      <c r="M2269" s="12" t="n"/>
      <c r="N2269" s="12">
        <f>IF($A2269="","",IF($G2269="","",IF($M2269="Oui","Litige",IF($J2269&lt;=0,"Payé",IF($I2269&gt;0,"Partiel",IF(Listes!$B$3&gt;$G2269,"En retard","À échoir"))))))</f>
        <v/>
      </c>
      <c r="O2269" s="11">
        <f>IF($A2269="","",IF(OR($G2269="", $J2269&lt;=0),0,MAX(0,Listes!$B$3-$G2269)))</f>
        <v/>
      </c>
      <c r="P2269" s="12">
        <f>IF($A2269="","",IF($J2269&lt;=0,"Payé",IF($M2269="Oui","Litige",IF($O2269=0,"À échoir",IF($O2269&lt;=30,"0-30",IF($O2269&lt;=60,"31-60",IF($O2269&lt;=90,"61-90","90+")))))))</f>
        <v/>
      </c>
    </row>
    <row r="2270">
      <c r="A2270" s="6" t="n"/>
      <c r="B2270" s="6" t="n"/>
      <c r="C2270" s="6" t="n"/>
      <c r="D2270" s="6" t="n"/>
      <c r="E2270" s="6" t="n"/>
      <c r="F2270" s="7" t="n"/>
      <c r="G2270" s="7" t="n"/>
      <c r="H2270" s="8" t="n"/>
      <c r="I2270" s="9">
        <f>IF($A2270="","",SUMIFS(Ventes_Encaissements!$D$6:$D$3005,Ventes_Encaissements!$B$6:$B$3005,$A2270))</f>
        <v/>
      </c>
      <c r="J2270" s="9">
        <f>IF($A2270="","",$H2270-$I2270)</f>
        <v/>
      </c>
      <c r="K2270" s="10">
        <f>IF($A2270="","",IF($I2270=0,"",_xludf.AGGREGATE(14,6,Ventes_Encaissements!$C$6:$C$3005/(Ventes_Encaissements!$B$6:$B$3005=$A2270),1)))</f>
        <v/>
      </c>
      <c r="L2270" s="11">
        <f>IF($A2270="","",COUNTIFS(Ventes_Detail!$B$6:$B$3005,$A2270))</f>
        <v/>
      </c>
      <c r="M2270" s="12" t="n"/>
      <c r="N2270" s="12">
        <f>IF($A2270="","",IF($G2270="","",IF($M2270="Oui","Litige",IF($J2270&lt;=0,"Payé",IF($I2270&gt;0,"Partiel",IF(Listes!$B$3&gt;$G2270,"En retard","À échoir"))))))</f>
        <v/>
      </c>
      <c r="O2270" s="11">
        <f>IF($A2270="","",IF(OR($G2270="", $J2270&lt;=0),0,MAX(0,Listes!$B$3-$G2270)))</f>
        <v/>
      </c>
      <c r="P2270" s="12">
        <f>IF($A2270="","",IF($J2270&lt;=0,"Payé",IF($M2270="Oui","Litige",IF($O2270=0,"À échoir",IF($O2270&lt;=30,"0-30",IF($O2270&lt;=60,"31-60",IF($O2270&lt;=90,"61-90","90+")))))))</f>
        <v/>
      </c>
    </row>
    <row r="2271">
      <c r="A2271" s="6" t="n"/>
      <c r="B2271" s="6" t="n"/>
      <c r="C2271" s="6" t="n"/>
      <c r="D2271" s="6" t="n"/>
      <c r="E2271" s="6" t="n"/>
      <c r="F2271" s="7" t="n"/>
      <c r="G2271" s="7" t="n"/>
      <c r="H2271" s="8" t="n"/>
      <c r="I2271" s="9">
        <f>IF($A2271="","",SUMIFS(Ventes_Encaissements!$D$6:$D$3005,Ventes_Encaissements!$B$6:$B$3005,$A2271))</f>
        <v/>
      </c>
      <c r="J2271" s="9">
        <f>IF($A2271="","",$H2271-$I2271)</f>
        <v/>
      </c>
      <c r="K2271" s="10">
        <f>IF($A2271="","",IF($I2271=0,"",_xludf.AGGREGATE(14,6,Ventes_Encaissements!$C$6:$C$3005/(Ventes_Encaissements!$B$6:$B$3005=$A2271),1)))</f>
        <v/>
      </c>
      <c r="L2271" s="11">
        <f>IF($A2271="","",COUNTIFS(Ventes_Detail!$B$6:$B$3005,$A2271))</f>
        <v/>
      </c>
      <c r="M2271" s="12" t="n"/>
      <c r="N2271" s="12">
        <f>IF($A2271="","",IF($G2271="","",IF($M2271="Oui","Litige",IF($J2271&lt;=0,"Payé",IF($I2271&gt;0,"Partiel",IF(Listes!$B$3&gt;$G2271,"En retard","À échoir"))))))</f>
        <v/>
      </c>
      <c r="O2271" s="11">
        <f>IF($A2271="","",IF(OR($G2271="", $J2271&lt;=0),0,MAX(0,Listes!$B$3-$G2271)))</f>
        <v/>
      </c>
      <c r="P2271" s="12">
        <f>IF($A2271="","",IF($J2271&lt;=0,"Payé",IF($M2271="Oui","Litige",IF($O2271=0,"À échoir",IF($O2271&lt;=30,"0-30",IF($O2271&lt;=60,"31-60",IF($O2271&lt;=90,"61-90","90+")))))))</f>
        <v/>
      </c>
    </row>
    <row r="2272">
      <c r="A2272" s="6" t="n"/>
      <c r="B2272" s="6" t="n"/>
      <c r="C2272" s="6" t="n"/>
      <c r="D2272" s="6" t="n"/>
      <c r="E2272" s="6" t="n"/>
      <c r="F2272" s="7" t="n"/>
      <c r="G2272" s="7" t="n"/>
      <c r="H2272" s="8" t="n"/>
      <c r="I2272" s="9">
        <f>IF($A2272="","",SUMIFS(Ventes_Encaissements!$D$6:$D$3005,Ventes_Encaissements!$B$6:$B$3005,$A2272))</f>
        <v/>
      </c>
      <c r="J2272" s="9">
        <f>IF($A2272="","",$H2272-$I2272)</f>
        <v/>
      </c>
      <c r="K2272" s="10">
        <f>IF($A2272="","",IF($I2272=0,"",_xludf.AGGREGATE(14,6,Ventes_Encaissements!$C$6:$C$3005/(Ventes_Encaissements!$B$6:$B$3005=$A2272),1)))</f>
        <v/>
      </c>
      <c r="L2272" s="11">
        <f>IF($A2272="","",COUNTIFS(Ventes_Detail!$B$6:$B$3005,$A2272))</f>
        <v/>
      </c>
      <c r="M2272" s="12" t="n"/>
      <c r="N2272" s="12">
        <f>IF($A2272="","",IF($G2272="","",IF($M2272="Oui","Litige",IF($J2272&lt;=0,"Payé",IF($I2272&gt;0,"Partiel",IF(Listes!$B$3&gt;$G2272,"En retard","À échoir"))))))</f>
        <v/>
      </c>
      <c r="O2272" s="11">
        <f>IF($A2272="","",IF(OR($G2272="", $J2272&lt;=0),0,MAX(0,Listes!$B$3-$G2272)))</f>
        <v/>
      </c>
      <c r="P2272" s="12">
        <f>IF($A2272="","",IF($J2272&lt;=0,"Payé",IF($M2272="Oui","Litige",IF($O2272=0,"À échoir",IF($O2272&lt;=30,"0-30",IF($O2272&lt;=60,"31-60",IF($O2272&lt;=90,"61-90","90+")))))))</f>
        <v/>
      </c>
    </row>
    <row r="2273">
      <c r="A2273" s="6" t="n"/>
      <c r="B2273" s="6" t="n"/>
      <c r="C2273" s="6" t="n"/>
      <c r="D2273" s="6" t="n"/>
      <c r="E2273" s="6" t="n"/>
      <c r="F2273" s="7" t="n"/>
      <c r="G2273" s="7" t="n"/>
      <c r="H2273" s="8" t="n"/>
      <c r="I2273" s="9">
        <f>IF($A2273="","",SUMIFS(Ventes_Encaissements!$D$6:$D$3005,Ventes_Encaissements!$B$6:$B$3005,$A2273))</f>
        <v/>
      </c>
      <c r="J2273" s="9">
        <f>IF($A2273="","",$H2273-$I2273)</f>
        <v/>
      </c>
      <c r="K2273" s="10">
        <f>IF($A2273="","",IF($I2273=0,"",_xludf.AGGREGATE(14,6,Ventes_Encaissements!$C$6:$C$3005/(Ventes_Encaissements!$B$6:$B$3005=$A2273),1)))</f>
        <v/>
      </c>
      <c r="L2273" s="11">
        <f>IF($A2273="","",COUNTIFS(Ventes_Detail!$B$6:$B$3005,$A2273))</f>
        <v/>
      </c>
      <c r="M2273" s="12" t="n"/>
      <c r="N2273" s="12">
        <f>IF($A2273="","",IF($G2273="","",IF($M2273="Oui","Litige",IF($J2273&lt;=0,"Payé",IF($I2273&gt;0,"Partiel",IF(Listes!$B$3&gt;$G2273,"En retard","À échoir"))))))</f>
        <v/>
      </c>
      <c r="O2273" s="11">
        <f>IF($A2273="","",IF(OR($G2273="", $J2273&lt;=0),0,MAX(0,Listes!$B$3-$G2273)))</f>
        <v/>
      </c>
      <c r="P2273" s="12">
        <f>IF($A2273="","",IF($J2273&lt;=0,"Payé",IF($M2273="Oui","Litige",IF($O2273=0,"À échoir",IF($O2273&lt;=30,"0-30",IF($O2273&lt;=60,"31-60",IF($O2273&lt;=90,"61-90","90+")))))))</f>
        <v/>
      </c>
    </row>
    <row r="2274">
      <c r="A2274" s="6" t="n"/>
      <c r="B2274" s="6" t="n"/>
      <c r="C2274" s="6" t="n"/>
      <c r="D2274" s="6" t="n"/>
      <c r="E2274" s="6" t="n"/>
      <c r="F2274" s="7" t="n"/>
      <c r="G2274" s="7" t="n"/>
      <c r="H2274" s="8" t="n"/>
      <c r="I2274" s="9">
        <f>IF($A2274="","",SUMIFS(Ventes_Encaissements!$D$6:$D$3005,Ventes_Encaissements!$B$6:$B$3005,$A2274))</f>
        <v/>
      </c>
      <c r="J2274" s="9">
        <f>IF($A2274="","",$H2274-$I2274)</f>
        <v/>
      </c>
      <c r="K2274" s="10">
        <f>IF($A2274="","",IF($I2274=0,"",_xludf.AGGREGATE(14,6,Ventes_Encaissements!$C$6:$C$3005/(Ventes_Encaissements!$B$6:$B$3005=$A2274),1)))</f>
        <v/>
      </c>
      <c r="L2274" s="11">
        <f>IF($A2274="","",COUNTIFS(Ventes_Detail!$B$6:$B$3005,$A2274))</f>
        <v/>
      </c>
      <c r="M2274" s="12" t="n"/>
      <c r="N2274" s="12">
        <f>IF($A2274="","",IF($G2274="","",IF($M2274="Oui","Litige",IF($J2274&lt;=0,"Payé",IF($I2274&gt;0,"Partiel",IF(Listes!$B$3&gt;$G2274,"En retard","À échoir"))))))</f>
        <v/>
      </c>
      <c r="O2274" s="11">
        <f>IF($A2274="","",IF(OR($G2274="", $J2274&lt;=0),0,MAX(0,Listes!$B$3-$G2274)))</f>
        <v/>
      </c>
      <c r="P2274" s="12">
        <f>IF($A2274="","",IF($J2274&lt;=0,"Payé",IF($M2274="Oui","Litige",IF($O2274=0,"À échoir",IF($O2274&lt;=30,"0-30",IF($O2274&lt;=60,"31-60",IF($O2274&lt;=90,"61-90","90+")))))))</f>
        <v/>
      </c>
    </row>
    <row r="2275">
      <c r="A2275" s="6" t="n"/>
      <c r="B2275" s="6" t="n"/>
      <c r="C2275" s="6" t="n"/>
      <c r="D2275" s="6" t="n"/>
      <c r="E2275" s="6" t="n"/>
      <c r="F2275" s="7" t="n"/>
      <c r="G2275" s="7" t="n"/>
      <c r="H2275" s="8" t="n"/>
      <c r="I2275" s="9">
        <f>IF($A2275="","",SUMIFS(Ventes_Encaissements!$D$6:$D$3005,Ventes_Encaissements!$B$6:$B$3005,$A2275))</f>
        <v/>
      </c>
      <c r="J2275" s="9">
        <f>IF($A2275="","",$H2275-$I2275)</f>
        <v/>
      </c>
      <c r="K2275" s="10">
        <f>IF($A2275="","",IF($I2275=0,"",_xludf.AGGREGATE(14,6,Ventes_Encaissements!$C$6:$C$3005/(Ventes_Encaissements!$B$6:$B$3005=$A2275),1)))</f>
        <v/>
      </c>
      <c r="L2275" s="11">
        <f>IF($A2275="","",COUNTIFS(Ventes_Detail!$B$6:$B$3005,$A2275))</f>
        <v/>
      </c>
      <c r="M2275" s="12" t="n"/>
      <c r="N2275" s="12">
        <f>IF($A2275="","",IF($G2275="","",IF($M2275="Oui","Litige",IF($J2275&lt;=0,"Payé",IF($I2275&gt;0,"Partiel",IF(Listes!$B$3&gt;$G2275,"En retard","À échoir"))))))</f>
        <v/>
      </c>
      <c r="O2275" s="11">
        <f>IF($A2275="","",IF(OR($G2275="", $J2275&lt;=0),0,MAX(0,Listes!$B$3-$G2275)))</f>
        <v/>
      </c>
      <c r="P2275" s="12">
        <f>IF($A2275="","",IF($J2275&lt;=0,"Payé",IF($M2275="Oui","Litige",IF($O2275=0,"À échoir",IF($O2275&lt;=30,"0-30",IF($O2275&lt;=60,"31-60",IF($O2275&lt;=90,"61-90","90+")))))))</f>
        <v/>
      </c>
    </row>
    <row r="2276">
      <c r="A2276" s="6" t="n"/>
      <c r="B2276" s="6" t="n"/>
      <c r="C2276" s="6" t="n"/>
      <c r="D2276" s="6" t="n"/>
      <c r="E2276" s="6" t="n"/>
      <c r="F2276" s="7" t="n"/>
      <c r="G2276" s="7" t="n"/>
      <c r="H2276" s="8" t="n"/>
      <c r="I2276" s="9">
        <f>IF($A2276="","",SUMIFS(Ventes_Encaissements!$D$6:$D$3005,Ventes_Encaissements!$B$6:$B$3005,$A2276))</f>
        <v/>
      </c>
      <c r="J2276" s="9">
        <f>IF($A2276="","",$H2276-$I2276)</f>
        <v/>
      </c>
      <c r="K2276" s="10">
        <f>IF($A2276="","",IF($I2276=0,"",_xludf.AGGREGATE(14,6,Ventes_Encaissements!$C$6:$C$3005/(Ventes_Encaissements!$B$6:$B$3005=$A2276),1)))</f>
        <v/>
      </c>
      <c r="L2276" s="11">
        <f>IF($A2276="","",COUNTIFS(Ventes_Detail!$B$6:$B$3005,$A2276))</f>
        <v/>
      </c>
      <c r="M2276" s="12" t="n"/>
      <c r="N2276" s="12">
        <f>IF($A2276="","",IF($G2276="","",IF($M2276="Oui","Litige",IF($J2276&lt;=0,"Payé",IF($I2276&gt;0,"Partiel",IF(Listes!$B$3&gt;$G2276,"En retard","À échoir"))))))</f>
        <v/>
      </c>
      <c r="O2276" s="11">
        <f>IF($A2276="","",IF(OR($G2276="", $J2276&lt;=0),0,MAX(0,Listes!$B$3-$G2276)))</f>
        <v/>
      </c>
      <c r="P2276" s="12">
        <f>IF($A2276="","",IF($J2276&lt;=0,"Payé",IF($M2276="Oui","Litige",IF($O2276=0,"À échoir",IF($O2276&lt;=30,"0-30",IF($O2276&lt;=60,"31-60",IF($O2276&lt;=90,"61-90","90+")))))))</f>
        <v/>
      </c>
    </row>
    <row r="2277">
      <c r="A2277" s="6" t="n"/>
      <c r="B2277" s="6" t="n"/>
      <c r="C2277" s="6" t="n"/>
      <c r="D2277" s="6" t="n"/>
      <c r="E2277" s="6" t="n"/>
      <c r="F2277" s="7" t="n"/>
      <c r="G2277" s="7" t="n"/>
      <c r="H2277" s="8" t="n"/>
      <c r="I2277" s="9">
        <f>IF($A2277="","",SUMIFS(Ventes_Encaissements!$D$6:$D$3005,Ventes_Encaissements!$B$6:$B$3005,$A2277))</f>
        <v/>
      </c>
      <c r="J2277" s="9">
        <f>IF($A2277="","",$H2277-$I2277)</f>
        <v/>
      </c>
      <c r="K2277" s="10">
        <f>IF($A2277="","",IF($I2277=0,"",_xludf.AGGREGATE(14,6,Ventes_Encaissements!$C$6:$C$3005/(Ventes_Encaissements!$B$6:$B$3005=$A2277),1)))</f>
        <v/>
      </c>
      <c r="L2277" s="11">
        <f>IF($A2277="","",COUNTIFS(Ventes_Detail!$B$6:$B$3005,$A2277))</f>
        <v/>
      </c>
      <c r="M2277" s="12" t="n"/>
      <c r="N2277" s="12">
        <f>IF($A2277="","",IF($G2277="","",IF($M2277="Oui","Litige",IF($J2277&lt;=0,"Payé",IF($I2277&gt;0,"Partiel",IF(Listes!$B$3&gt;$G2277,"En retard","À échoir"))))))</f>
        <v/>
      </c>
      <c r="O2277" s="11">
        <f>IF($A2277="","",IF(OR($G2277="", $J2277&lt;=0),0,MAX(0,Listes!$B$3-$G2277)))</f>
        <v/>
      </c>
      <c r="P2277" s="12">
        <f>IF($A2277="","",IF($J2277&lt;=0,"Payé",IF($M2277="Oui","Litige",IF($O2277=0,"À échoir",IF($O2277&lt;=30,"0-30",IF($O2277&lt;=60,"31-60",IF($O2277&lt;=90,"61-90","90+")))))))</f>
        <v/>
      </c>
    </row>
    <row r="2278">
      <c r="A2278" s="6" t="n"/>
      <c r="B2278" s="6" t="n"/>
      <c r="C2278" s="6" t="n"/>
      <c r="D2278" s="6" t="n"/>
      <c r="E2278" s="6" t="n"/>
      <c r="F2278" s="7" t="n"/>
      <c r="G2278" s="7" t="n"/>
      <c r="H2278" s="8" t="n"/>
      <c r="I2278" s="9">
        <f>IF($A2278="","",SUMIFS(Ventes_Encaissements!$D$6:$D$3005,Ventes_Encaissements!$B$6:$B$3005,$A2278))</f>
        <v/>
      </c>
      <c r="J2278" s="9">
        <f>IF($A2278="","",$H2278-$I2278)</f>
        <v/>
      </c>
      <c r="K2278" s="10">
        <f>IF($A2278="","",IF($I2278=0,"",_xludf.AGGREGATE(14,6,Ventes_Encaissements!$C$6:$C$3005/(Ventes_Encaissements!$B$6:$B$3005=$A2278),1)))</f>
        <v/>
      </c>
      <c r="L2278" s="11">
        <f>IF($A2278="","",COUNTIFS(Ventes_Detail!$B$6:$B$3005,$A2278))</f>
        <v/>
      </c>
      <c r="M2278" s="12" t="n"/>
      <c r="N2278" s="12">
        <f>IF($A2278="","",IF($G2278="","",IF($M2278="Oui","Litige",IF($J2278&lt;=0,"Payé",IF($I2278&gt;0,"Partiel",IF(Listes!$B$3&gt;$G2278,"En retard","À échoir"))))))</f>
        <v/>
      </c>
      <c r="O2278" s="11">
        <f>IF($A2278="","",IF(OR($G2278="", $J2278&lt;=0),0,MAX(0,Listes!$B$3-$G2278)))</f>
        <v/>
      </c>
      <c r="P2278" s="12">
        <f>IF($A2278="","",IF($J2278&lt;=0,"Payé",IF($M2278="Oui","Litige",IF($O2278=0,"À échoir",IF($O2278&lt;=30,"0-30",IF($O2278&lt;=60,"31-60",IF($O2278&lt;=90,"61-90","90+")))))))</f>
        <v/>
      </c>
    </row>
    <row r="2279">
      <c r="A2279" s="6" t="n"/>
      <c r="B2279" s="6" t="n"/>
      <c r="C2279" s="6" t="n"/>
      <c r="D2279" s="6" t="n"/>
      <c r="E2279" s="6" t="n"/>
      <c r="F2279" s="7" t="n"/>
      <c r="G2279" s="7" t="n"/>
      <c r="H2279" s="8" t="n"/>
      <c r="I2279" s="9">
        <f>IF($A2279="","",SUMIFS(Ventes_Encaissements!$D$6:$D$3005,Ventes_Encaissements!$B$6:$B$3005,$A2279))</f>
        <v/>
      </c>
      <c r="J2279" s="9">
        <f>IF($A2279="","",$H2279-$I2279)</f>
        <v/>
      </c>
      <c r="K2279" s="10">
        <f>IF($A2279="","",IF($I2279=0,"",_xludf.AGGREGATE(14,6,Ventes_Encaissements!$C$6:$C$3005/(Ventes_Encaissements!$B$6:$B$3005=$A2279),1)))</f>
        <v/>
      </c>
      <c r="L2279" s="11">
        <f>IF($A2279="","",COUNTIFS(Ventes_Detail!$B$6:$B$3005,$A2279))</f>
        <v/>
      </c>
      <c r="M2279" s="12" t="n"/>
      <c r="N2279" s="12">
        <f>IF($A2279="","",IF($G2279="","",IF($M2279="Oui","Litige",IF($J2279&lt;=0,"Payé",IF($I2279&gt;0,"Partiel",IF(Listes!$B$3&gt;$G2279,"En retard","À échoir"))))))</f>
        <v/>
      </c>
      <c r="O2279" s="11">
        <f>IF($A2279="","",IF(OR($G2279="", $J2279&lt;=0),0,MAX(0,Listes!$B$3-$G2279)))</f>
        <v/>
      </c>
      <c r="P2279" s="12">
        <f>IF($A2279="","",IF($J2279&lt;=0,"Payé",IF($M2279="Oui","Litige",IF($O2279=0,"À échoir",IF($O2279&lt;=30,"0-30",IF($O2279&lt;=60,"31-60",IF($O2279&lt;=90,"61-90","90+")))))))</f>
        <v/>
      </c>
    </row>
    <row r="2280">
      <c r="A2280" s="6" t="n"/>
      <c r="B2280" s="6" t="n"/>
      <c r="C2280" s="6" t="n"/>
      <c r="D2280" s="6" t="n"/>
      <c r="E2280" s="6" t="n"/>
      <c r="F2280" s="7" t="n"/>
      <c r="G2280" s="7" t="n"/>
      <c r="H2280" s="8" t="n"/>
      <c r="I2280" s="9">
        <f>IF($A2280="","",SUMIFS(Ventes_Encaissements!$D$6:$D$3005,Ventes_Encaissements!$B$6:$B$3005,$A2280))</f>
        <v/>
      </c>
      <c r="J2280" s="9">
        <f>IF($A2280="","",$H2280-$I2280)</f>
        <v/>
      </c>
      <c r="K2280" s="10">
        <f>IF($A2280="","",IF($I2280=0,"",_xludf.AGGREGATE(14,6,Ventes_Encaissements!$C$6:$C$3005/(Ventes_Encaissements!$B$6:$B$3005=$A2280),1)))</f>
        <v/>
      </c>
      <c r="L2280" s="11">
        <f>IF($A2280="","",COUNTIFS(Ventes_Detail!$B$6:$B$3005,$A2280))</f>
        <v/>
      </c>
      <c r="M2280" s="12" t="n"/>
      <c r="N2280" s="12">
        <f>IF($A2280="","",IF($G2280="","",IF($M2280="Oui","Litige",IF($J2280&lt;=0,"Payé",IF($I2280&gt;0,"Partiel",IF(Listes!$B$3&gt;$G2280,"En retard","À échoir"))))))</f>
        <v/>
      </c>
      <c r="O2280" s="11">
        <f>IF($A2280="","",IF(OR($G2280="", $J2280&lt;=0),0,MAX(0,Listes!$B$3-$G2280)))</f>
        <v/>
      </c>
      <c r="P2280" s="12">
        <f>IF($A2280="","",IF($J2280&lt;=0,"Payé",IF($M2280="Oui","Litige",IF($O2280=0,"À échoir",IF($O2280&lt;=30,"0-30",IF($O2280&lt;=60,"31-60",IF($O2280&lt;=90,"61-90","90+")))))))</f>
        <v/>
      </c>
    </row>
    <row r="2281">
      <c r="A2281" s="6" t="n"/>
      <c r="B2281" s="6" t="n"/>
      <c r="C2281" s="6" t="n"/>
      <c r="D2281" s="6" t="n"/>
      <c r="E2281" s="6" t="n"/>
      <c r="F2281" s="7" t="n"/>
      <c r="G2281" s="7" t="n"/>
      <c r="H2281" s="8" t="n"/>
      <c r="I2281" s="9">
        <f>IF($A2281="","",SUMIFS(Ventes_Encaissements!$D$6:$D$3005,Ventes_Encaissements!$B$6:$B$3005,$A2281))</f>
        <v/>
      </c>
      <c r="J2281" s="9">
        <f>IF($A2281="","",$H2281-$I2281)</f>
        <v/>
      </c>
      <c r="K2281" s="10">
        <f>IF($A2281="","",IF($I2281=0,"",_xludf.AGGREGATE(14,6,Ventes_Encaissements!$C$6:$C$3005/(Ventes_Encaissements!$B$6:$B$3005=$A2281),1)))</f>
        <v/>
      </c>
      <c r="L2281" s="11">
        <f>IF($A2281="","",COUNTIFS(Ventes_Detail!$B$6:$B$3005,$A2281))</f>
        <v/>
      </c>
      <c r="M2281" s="12" t="n"/>
      <c r="N2281" s="12">
        <f>IF($A2281="","",IF($G2281="","",IF($M2281="Oui","Litige",IF($J2281&lt;=0,"Payé",IF($I2281&gt;0,"Partiel",IF(Listes!$B$3&gt;$G2281,"En retard","À échoir"))))))</f>
        <v/>
      </c>
      <c r="O2281" s="11">
        <f>IF($A2281="","",IF(OR($G2281="", $J2281&lt;=0),0,MAX(0,Listes!$B$3-$G2281)))</f>
        <v/>
      </c>
      <c r="P2281" s="12">
        <f>IF($A2281="","",IF($J2281&lt;=0,"Payé",IF($M2281="Oui","Litige",IF($O2281=0,"À échoir",IF($O2281&lt;=30,"0-30",IF($O2281&lt;=60,"31-60",IF($O2281&lt;=90,"61-90","90+")))))))</f>
        <v/>
      </c>
    </row>
    <row r="2282">
      <c r="A2282" s="6" t="n"/>
      <c r="B2282" s="6" t="n"/>
      <c r="C2282" s="6" t="n"/>
      <c r="D2282" s="6" t="n"/>
      <c r="E2282" s="6" t="n"/>
      <c r="F2282" s="7" t="n"/>
      <c r="G2282" s="7" t="n"/>
      <c r="H2282" s="8" t="n"/>
      <c r="I2282" s="9">
        <f>IF($A2282="","",SUMIFS(Ventes_Encaissements!$D$6:$D$3005,Ventes_Encaissements!$B$6:$B$3005,$A2282))</f>
        <v/>
      </c>
      <c r="J2282" s="9">
        <f>IF($A2282="","",$H2282-$I2282)</f>
        <v/>
      </c>
      <c r="K2282" s="10">
        <f>IF($A2282="","",IF($I2282=0,"",_xludf.AGGREGATE(14,6,Ventes_Encaissements!$C$6:$C$3005/(Ventes_Encaissements!$B$6:$B$3005=$A2282),1)))</f>
        <v/>
      </c>
      <c r="L2282" s="11">
        <f>IF($A2282="","",COUNTIFS(Ventes_Detail!$B$6:$B$3005,$A2282))</f>
        <v/>
      </c>
      <c r="M2282" s="12" t="n"/>
      <c r="N2282" s="12">
        <f>IF($A2282="","",IF($G2282="","",IF($M2282="Oui","Litige",IF($J2282&lt;=0,"Payé",IF($I2282&gt;0,"Partiel",IF(Listes!$B$3&gt;$G2282,"En retard","À échoir"))))))</f>
        <v/>
      </c>
      <c r="O2282" s="11">
        <f>IF($A2282="","",IF(OR($G2282="", $J2282&lt;=0),0,MAX(0,Listes!$B$3-$G2282)))</f>
        <v/>
      </c>
      <c r="P2282" s="12">
        <f>IF($A2282="","",IF($J2282&lt;=0,"Payé",IF($M2282="Oui","Litige",IF($O2282=0,"À échoir",IF($O2282&lt;=30,"0-30",IF($O2282&lt;=60,"31-60",IF($O2282&lt;=90,"61-90","90+")))))))</f>
        <v/>
      </c>
    </row>
    <row r="2283">
      <c r="A2283" s="6" t="n"/>
      <c r="B2283" s="6" t="n"/>
      <c r="C2283" s="6" t="n"/>
      <c r="D2283" s="6" t="n"/>
      <c r="E2283" s="6" t="n"/>
      <c r="F2283" s="7" t="n"/>
      <c r="G2283" s="7" t="n"/>
      <c r="H2283" s="8" t="n"/>
      <c r="I2283" s="9">
        <f>IF($A2283="","",SUMIFS(Ventes_Encaissements!$D$6:$D$3005,Ventes_Encaissements!$B$6:$B$3005,$A2283))</f>
        <v/>
      </c>
      <c r="J2283" s="9">
        <f>IF($A2283="","",$H2283-$I2283)</f>
        <v/>
      </c>
      <c r="K2283" s="10">
        <f>IF($A2283="","",IF($I2283=0,"",_xludf.AGGREGATE(14,6,Ventes_Encaissements!$C$6:$C$3005/(Ventes_Encaissements!$B$6:$B$3005=$A2283),1)))</f>
        <v/>
      </c>
      <c r="L2283" s="11">
        <f>IF($A2283="","",COUNTIFS(Ventes_Detail!$B$6:$B$3005,$A2283))</f>
        <v/>
      </c>
      <c r="M2283" s="12" t="n"/>
      <c r="N2283" s="12">
        <f>IF($A2283="","",IF($G2283="","",IF($M2283="Oui","Litige",IF($J2283&lt;=0,"Payé",IF($I2283&gt;0,"Partiel",IF(Listes!$B$3&gt;$G2283,"En retard","À échoir"))))))</f>
        <v/>
      </c>
      <c r="O2283" s="11">
        <f>IF($A2283="","",IF(OR($G2283="", $J2283&lt;=0),0,MAX(0,Listes!$B$3-$G2283)))</f>
        <v/>
      </c>
      <c r="P2283" s="12">
        <f>IF($A2283="","",IF($J2283&lt;=0,"Payé",IF($M2283="Oui","Litige",IF($O2283=0,"À échoir",IF($O2283&lt;=30,"0-30",IF($O2283&lt;=60,"31-60",IF($O2283&lt;=90,"61-90","90+")))))))</f>
        <v/>
      </c>
    </row>
    <row r="2284">
      <c r="A2284" s="6" t="n"/>
      <c r="B2284" s="6" t="n"/>
      <c r="C2284" s="6" t="n"/>
      <c r="D2284" s="6" t="n"/>
      <c r="E2284" s="6" t="n"/>
      <c r="F2284" s="7" t="n"/>
      <c r="G2284" s="7" t="n"/>
      <c r="H2284" s="8" t="n"/>
      <c r="I2284" s="9">
        <f>IF($A2284="","",SUMIFS(Ventes_Encaissements!$D$6:$D$3005,Ventes_Encaissements!$B$6:$B$3005,$A2284))</f>
        <v/>
      </c>
      <c r="J2284" s="9">
        <f>IF($A2284="","",$H2284-$I2284)</f>
        <v/>
      </c>
      <c r="K2284" s="10">
        <f>IF($A2284="","",IF($I2284=0,"",_xludf.AGGREGATE(14,6,Ventes_Encaissements!$C$6:$C$3005/(Ventes_Encaissements!$B$6:$B$3005=$A2284),1)))</f>
        <v/>
      </c>
      <c r="L2284" s="11">
        <f>IF($A2284="","",COUNTIFS(Ventes_Detail!$B$6:$B$3005,$A2284))</f>
        <v/>
      </c>
      <c r="M2284" s="12" t="n"/>
      <c r="N2284" s="12">
        <f>IF($A2284="","",IF($G2284="","",IF($M2284="Oui","Litige",IF($J2284&lt;=0,"Payé",IF($I2284&gt;0,"Partiel",IF(Listes!$B$3&gt;$G2284,"En retard","À échoir"))))))</f>
        <v/>
      </c>
      <c r="O2284" s="11">
        <f>IF($A2284="","",IF(OR($G2284="", $J2284&lt;=0),0,MAX(0,Listes!$B$3-$G2284)))</f>
        <v/>
      </c>
      <c r="P2284" s="12">
        <f>IF($A2284="","",IF($J2284&lt;=0,"Payé",IF($M2284="Oui","Litige",IF($O2284=0,"À échoir",IF($O2284&lt;=30,"0-30",IF($O2284&lt;=60,"31-60",IF($O2284&lt;=90,"61-90","90+")))))))</f>
        <v/>
      </c>
    </row>
    <row r="2285">
      <c r="A2285" s="6" t="n"/>
      <c r="B2285" s="6" t="n"/>
      <c r="C2285" s="6" t="n"/>
      <c r="D2285" s="6" t="n"/>
      <c r="E2285" s="6" t="n"/>
      <c r="F2285" s="7" t="n"/>
      <c r="G2285" s="7" t="n"/>
      <c r="H2285" s="8" t="n"/>
      <c r="I2285" s="9">
        <f>IF($A2285="","",SUMIFS(Ventes_Encaissements!$D$6:$D$3005,Ventes_Encaissements!$B$6:$B$3005,$A2285))</f>
        <v/>
      </c>
      <c r="J2285" s="9">
        <f>IF($A2285="","",$H2285-$I2285)</f>
        <v/>
      </c>
      <c r="K2285" s="10">
        <f>IF($A2285="","",IF($I2285=0,"",_xludf.AGGREGATE(14,6,Ventes_Encaissements!$C$6:$C$3005/(Ventes_Encaissements!$B$6:$B$3005=$A2285),1)))</f>
        <v/>
      </c>
      <c r="L2285" s="11">
        <f>IF($A2285="","",COUNTIFS(Ventes_Detail!$B$6:$B$3005,$A2285))</f>
        <v/>
      </c>
      <c r="M2285" s="12" t="n"/>
      <c r="N2285" s="12">
        <f>IF($A2285="","",IF($G2285="","",IF($M2285="Oui","Litige",IF($J2285&lt;=0,"Payé",IF($I2285&gt;0,"Partiel",IF(Listes!$B$3&gt;$G2285,"En retard","À échoir"))))))</f>
        <v/>
      </c>
      <c r="O2285" s="11">
        <f>IF($A2285="","",IF(OR($G2285="", $J2285&lt;=0),0,MAX(0,Listes!$B$3-$G2285)))</f>
        <v/>
      </c>
      <c r="P2285" s="12">
        <f>IF($A2285="","",IF($J2285&lt;=0,"Payé",IF($M2285="Oui","Litige",IF($O2285=0,"À échoir",IF($O2285&lt;=30,"0-30",IF($O2285&lt;=60,"31-60",IF($O2285&lt;=90,"61-90","90+")))))))</f>
        <v/>
      </c>
    </row>
    <row r="2286">
      <c r="A2286" s="6" t="n"/>
      <c r="B2286" s="6" t="n"/>
      <c r="C2286" s="6" t="n"/>
      <c r="D2286" s="6" t="n"/>
      <c r="E2286" s="6" t="n"/>
      <c r="F2286" s="7" t="n"/>
      <c r="G2286" s="7" t="n"/>
      <c r="H2286" s="8" t="n"/>
      <c r="I2286" s="9">
        <f>IF($A2286="","",SUMIFS(Ventes_Encaissements!$D$6:$D$3005,Ventes_Encaissements!$B$6:$B$3005,$A2286))</f>
        <v/>
      </c>
      <c r="J2286" s="9">
        <f>IF($A2286="","",$H2286-$I2286)</f>
        <v/>
      </c>
      <c r="K2286" s="10">
        <f>IF($A2286="","",IF($I2286=0,"",_xludf.AGGREGATE(14,6,Ventes_Encaissements!$C$6:$C$3005/(Ventes_Encaissements!$B$6:$B$3005=$A2286),1)))</f>
        <v/>
      </c>
      <c r="L2286" s="11">
        <f>IF($A2286="","",COUNTIFS(Ventes_Detail!$B$6:$B$3005,$A2286))</f>
        <v/>
      </c>
      <c r="M2286" s="12" t="n"/>
      <c r="N2286" s="12">
        <f>IF($A2286="","",IF($G2286="","",IF($M2286="Oui","Litige",IF($J2286&lt;=0,"Payé",IF($I2286&gt;0,"Partiel",IF(Listes!$B$3&gt;$G2286,"En retard","À échoir"))))))</f>
        <v/>
      </c>
      <c r="O2286" s="11">
        <f>IF($A2286="","",IF(OR($G2286="", $J2286&lt;=0),0,MAX(0,Listes!$B$3-$G2286)))</f>
        <v/>
      </c>
      <c r="P2286" s="12">
        <f>IF($A2286="","",IF($J2286&lt;=0,"Payé",IF($M2286="Oui","Litige",IF($O2286=0,"À échoir",IF($O2286&lt;=30,"0-30",IF($O2286&lt;=60,"31-60",IF($O2286&lt;=90,"61-90","90+")))))))</f>
        <v/>
      </c>
    </row>
    <row r="2287">
      <c r="A2287" s="6" t="n"/>
      <c r="B2287" s="6" t="n"/>
      <c r="C2287" s="6" t="n"/>
      <c r="D2287" s="6" t="n"/>
      <c r="E2287" s="6" t="n"/>
      <c r="F2287" s="7" t="n"/>
      <c r="G2287" s="7" t="n"/>
      <c r="H2287" s="8" t="n"/>
      <c r="I2287" s="9">
        <f>IF($A2287="","",SUMIFS(Ventes_Encaissements!$D$6:$D$3005,Ventes_Encaissements!$B$6:$B$3005,$A2287))</f>
        <v/>
      </c>
      <c r="J2287" s="9">
        <f>IF($A2287="","",$H2287-$I2287)</f>
        <v/>
      </c>
      <c r="K2287" s="10">
        <f>IF($A2287="","",IF($I2287=0,"",_xludf.AGGREGATE(14,6,Ventes_Encaissements!$C$6:$C$3005/(Ventes_Encaissements!$B$6:$B$3005=$A2287),1)))</f>
        <v/>
      </c>
      <c r="L2287" s="11">
        <f>IF($A2287="","",COUNTIFS(Ventes_Detail!$B$6:$B$3005,$A2287))</f>
        <v/>
      </c>
      <c r="M2287" s="12" t="n"/>
      <c r="N2287" s="12">
        <f>IF($A2287="","",IF($G2287="","",IF($M2287="Oui","Litige",IF($J2287&lt;=0,"Payé",IF($I2287&gt;0,"Partiel",IF(Listes!$B$3&gt;$G2287,"En retard","À échoir"))))))</f>
        <v/>
      </c>
      <c r="O2287" s="11">
        <f>IF($A2287="","",IF(OR($G2287="", $J2287&lt;=0),0,MAX(0,Listes!$B$3-$G2287)))</f>
        <v/>
      </c>
      <c r="P2287" s="12">
        <f>IF($A2287="","",IF($J2287&lt;=0,"Payé",IF($M2287="Oui","Litige",IF($O2287=0,"À échoir",IF($O2287&lt;=30,"0-30",IF($O2287&lt;=60,"31-60",IF($O2287&lt;=90,"61-90","90+")))))))</f>
        <v/>
      </c>
    </row>
    <row r="2288">
      <c r="A2288" s="6" t="n"/>
      <c r="B2288" s="6" t="n"/>
      <c r="C2288" s="6" t="n"/>
      <c r="D2288" s="6" t="n"/>
      <c r="E2288" s="6" t="n"/>
      <c r="F2288" s="7" t="n"/>
      <c r="G2288" s="7" t="n"/>
      <c r="H2288" s="8" t="n"/>
      <c r="I2288" s="9">
        <f>IF($A2288="","",SUMIFS(Ventes_Encaissements!$D$6:$D$3005,Ventes_Encaissements!$B$6:$B$3005,$A2288))</f>
        <v/>
      </c>
      <c r="J2288" s="9">
        <f>IF($A2288="","",$H2288-$I2288)</f>
        <v/>
      </c>
      <c r="K2288" s="10">
        <f>IF($A2288="","",IF($I2288=0,"",_xludf.AGGREGATE(14,6,Ventes_Encaissements!$C$6:$C$3005/(Ventes_Encaissements!$B$6:$B$3005=$A2288),1)))</f>
        <v/>
      </c>
      <c r="L2288" s="11">
        <f>IF($A2288="","",COUNTIFS(Ventes_Detail!$B$6:$B$3005,$A2288))</f>
        <v/>
      </c>
      <c r="M2288" s="12" t="n"/>
      <c r="N2288" s="12">
        <f>IF($A2288="","",IF($G2288="","",IF($M2288="Oui","Litige",IF($J2288&lt;=0,"Payé",IF($I2288&gt;0,"Partiel",IF(Listes!$B$3&gt;$G2288,"En retard","À échoir"))))))</f>
        <v/>
      </c>
      <c r="O2288" s="11">
        <f>IF($A2288="","",IF(OR($G2288="", $J2288&lt;=0),0,MAX(0,Listes!$B$3-$G2288)))</f>
        <v/>
      </c>
      <c r="P2288" s="12">
        <f>IF($A2288="","",IF($J2288&lt;=0,"Payé",IF($M2288="Oui","Litige",IF($O2288=0,"À échoir",IF($O2288&lt;=30,"0-30",IF($O2288&lt;=60,"31-60",IF($O2288&lt;=90,"61-90","90+")))))))</f>
        <v/>
      </c>
    </row>
    <row r="2289">
      <c r="A2289" s="6" t="n"/>
      <c r="B2289" s="6" t="n"/>
      <c r="C2289" s="6" t="n"/>
      <c r="D2289" s="6" t="n"/>
      <c r="E2289" s="6" t="n"/>
      <c r="F2289" s="7" t="n"/>
      <c r="G2289" s="7" t="n"/>
      <c r="H2289" s="8" t="n"/>
      <c r="I2289" s="9">
        <f>IF($A2289="","",SUMIFS(Ventes_Encaissements!$D$6:$D$3005,Ventes_Encaissements!$B$6:$B$3005,$A2289))</f>
        <v/>
      </c>
      <c r="J2289" s="9">
        <f>IF($A2289="","",$H2289-$I2289)</f>
        <v/>
      </c>
      <c r="K2289" s="10">
        <f>IF($A2289="","",IF($I2289=0,"",_xludf.AGGREGATE(14,6,Ventes_Encaissements!$C$6:$C$3005/(Ventes_Encaissements!$B$6:$B$3005=$A2289),1)))</f>
        <v/>
      </c>
      <c r="L2289" s="11">
        <f>IF($A2289="","",COUNTIFS(Ventes_Detail!$B$6:$B$3005,$A2289))</f>
        <v/>
      </c>
      <c r="M2289" s="12" t="n"/>
      <c r="N2289" s="12">
        <f>IF($A2289="","",IF($G2289="","",IF($M2289="Oui","Litige",IF($J2289&lt;=0,"Payé",IF($I2289&gt;0,"Partiel",IF(Listes!$B$3&gt;$G2289,"En retard","À échoir"))))))</f>
        <v/>
      </c>
      <c r="O2289" s="11">
        <f>IF($A2289="","",IF(OR($G2289="", $J2289&lt;=0),0,MAX(0,Listes!$B$3-$G2289)))</f>
        <v/>
      </c>
      <c r="P2289" s="12">
        <f>IF($A2289="","",IF($J2289&lt;=0,"Payé",IF($M2289="Oui","Litige",IF($O2289=0,"À échoir",IF($O2289&lt;=30,"0-30",IF($O2289&lt;=60,"31-60",IF($O2289&lt;=90,"61-90","90+")))))))</f>
        <v/>
      </c>
    </row>
    <row r="2290">
      <c r="A2290" s="6" t="n"/>
      <c r="B2290" s="6" t="n"/>
      <c r="C2290" s="6" t="n"/>
      <c r="D2290" s="6" t="n"/>
      <c r="E2290" s="6" t="n"/>
      <c r="F2290" s="7" t="n"/>
      <c r="G2290" s="7" t="n"/>
      <c r="H2290" s="8" t="n"/>
      <c r="I2290" s="9">
        <f>IF($A2290="","",SUMIFS(Ventes_Encaissements!$D$6:$D$3005,Ventes_Encaissements!$B$6:$B$3005,$A2290))</f>
        <v/>
      </c>
      <c r="J2290" s="9">
        <f>IF($A2290="","",$H2290-$I2290)</f>
        <v/>
      </c>
      <c r="K2290" s="10">
        <f>IF($A2290="","",IF($I2290=0,"",_xludf.AGGREGATE(14,6,Ventes_Encaissements!$C$6:$C$3005/(Ventes_Encaissements!$B$6:$B$3005=$A2290),1)))</f>
        <v/>
      </c>
      <c r="L2290" s="11">
        <f>IF($A2290="","",COUNTIFS(Ventes_Detail!$B$6:$B$3005,$A2290))</f>
        <v/>
      </c>
      <c r="M2290" s="12" t="n"/>
      <c r="N2290" s="12">
        <f>IF($A2290="","",IF($G2290="","",IF($M2290="Oui","Litige",IF($J2290&lt;=0,"Payé",IF($I2290&gt;0,"Partiel",IF(Listes!$B$3&gt;$G2290,"En retard","À échoir"))))))</f>
        <v/>
      </c>
      <c r="O2290" s="11">
        <f>IF($A2290="","",IF(OR($G2290="", $J2290&lt;=0),0,MAX(0,Listes!$B$3-$G2290)))</f>
        <v/>
      </c>
      <c r="P2290" s="12">
        <f>IF($A2290="","",IF($J2290&lt;=0,"Payé",IF($M2290="Oui","Litige",IF($O2290=0,"À échoir",IF($O2290&lt;=30,"0-30",IF($O2290&lt;=60,"31-60",IF($O2290&lt;=90,"61-90","90+")))))))</f>
        <v/>
      </c>
    </row>
    <row r="2291">
      <c r="A2291" s="6" t="n"/>
      <c r="B2291" s="6" t="n"/>
      <c r="C2291" s="6" t="n"/>
      <c r="D2291" s="6" t="n"/>
      <c r="E2291" s="6" t="n"/>
      <c r="F2291" s="7" t="n"/>
      <c r="G2291" s="7" t="n"/>
      <c r="H2291" s="8" t="n"/>
      <c r="I2291" s="9">
        <f>IF($A2291="","",SUMIFS(Ventes_Encaissements!$D$6:$D$3005,Ventes_Encaissements!$B$6:$B$3005,$A2291))</f>
        <v/>
      </c>
      <c r="J2291" s="9">
        <f>IF($A2291="","",$H2291-$I2291)</f>
        <v/>
      </c>
      <c r="K2291" s="10">
        <f>IF($A2291="","",IF($I2291=0,"",_xludf.AGGREGATE(14,6,Ventes_Encaissements!$C$6:$C$3005/(Ventes_Encaissements!$B$6:$B$3005=$A2291),1)))</f>
        <v/>
      </c>
      <c r="L2291" s="11">
        <f>IF($A2291="","",COUNTIFS(Ventes_Detail!$B$6:$B$3005,$A2291))</f>
        <v/>
      </c>
      <c r="M2291" s="12" t="n"/>
      <c r="N2291" s="12">
        <f>IF($A2291="","",IF($G2291="","",IF($M2291="Oui","Litige",IF($J2291&lt;=0,"Payé",IF($I2291&gt;0,"Partiel",IF(Listes!$B$3&gt;$G2291,"En retard","À échoir"))))))</f>
        <v/>
      </c>
      <c r="O2291" s="11">
        <f>IF($A2291="","",IF(OR($G2291="", $J2291&lt;=0),0,MAX(0,Listes!$B$3-$G2291)))</f>
        <v/>
      </c>
      <c r="P2291" s="12">
        <f>IF($A2291="","",IF($J2291&lt;=0,"Payé",IF($M2291="Oui","Litige",IF($O2291=0,"À échoir",IF($O2291&lt;=30,"0-30",IF($O2291&lt;=60,"31-60",IF($O2291&lt;=90,"61-90","90+")))))))</f>
        <v/>
      </c>
    </row>
    <row r="2292">
      <c r="A2292" s="6" t="n"/>
      <c r="B2292" s="6" t="n"/>
      <c r="C2292" s="6" t="n"/>
      <c r="D2292" s="6" t="n"/>
      <c r="E2292" s="6" t="n"/>
      <c r="F2292" s="7" t="n"/>
      <c r="G2292" s="7" t="n"/>
      <c r="H2292" s="8" t="n"/>
      <c r="I2292" s="9">
        <f>IF($A2292="","",SUMIFS(Ventes_Encaissements!$D$6:$D$3005,Ventes_Encaissements!$B$6:$B$3005,$A2292))</f>
        <v/>
      </c>
      <c r="J2292" s="9">
        <f>IF($A2292="","",$H2292-$I2292)</f>
        <v/>
      </c>
      <c r="K2292" s="10">
        <f>IF($A2292="","",IF($I2292=0,"",_xludf.AGGREGATE(14,6,Ventes_Encaissements!$C$6:$C$3005/(Ventes_Encaissements!$B$6:$B$3005=$A2292),1)))</f>
        <v/>
      </c>
      <c r="L2292" s="11">
        <f>IF($A2292="","",COUNTIFS(Ventes_Detail!$B$6:$B$3005,$A2292))</f>
        <v/>
      </c>
      <c r="M2292" s="12" t="n"/>
      <c r="N2292" s="12">
        <f>IF($A2292="","",IF($G2292="","",IF($M2292="Oui","Litige",IF($J2292&lt;=0,"Payé",IF($I2292&gt;0,"Partiel",IF(Listes!$B$3&gt;$G2292,"En retard","À échoir"))))))</f>
        <v/>
      </c>
      <c r="O2292" s="11">
        <f>IF($A2292="","",IF(OR($G2292="", $J2292&lt;=0),0,MAX(0,Listes!$B$3-$G2292)))</f>
        <v/>
      </c>
      <c r="P2292" s="12">
        <f>IF($A2292="","",IF($J2292&lt;=0,"Payé",IF($M2292="Oui","Litige",IF($O2292=0,"À échoir",IF($O2292&lt;=30,"0-30",IF($O2292&lt;=60,"31-60",IF($O2292&lt;=90,"61-90","90+")))))))</f>
        <v/>
      </c>
    </row>
    <row r="2293">
      <c r="A2293" s="6" t="n"/>
      <c r="B2293" s="6" t="n"/>
      <c r="C2293" s="6" t="n"/>
      <c r="D2293" s="6" t="n"/>
      <c r="E2293" s="6" t="n"/>
      <c r="F2293" s="7" t="n"/>
      <c r="G2293" s="7" t="n"/>
      <c r="H2293" s="8" t="n"/>
      <c r="I2293" s="9">
        <f>IF($A2293="","",SUMIFS(Ventes_Encaissements!$D$6:$D$3005,Ventes_Encaissements!$B$6:$B$3005,$A2293))</f>
        <v/>
      </c>
      <c r="J2293" s="9">
        <f>IF($A2293="","",$H2293-$I2293)</f>
        <v/>
      </c>
      <c r="K2293" s="10">
        <f>IF($A2293="","",IF($I2293=0,"",_xludf.AGGREGATE(14,6,Ventes_Encaissements!$C$6:$C$3005/(Ventes_Encaissements!$B$6:$B$3005=$A2293),1)))</f>
        <v/>
      </c>
      <c r="L2293" s="11">
        <f>IF($A2293="","",COUNTIFS(Ventes_Detail!$B$6:$B$3005,$A2293))</f>
        <v/>
      </c>
      <c r="M2293" s="12" t="n"/>
      <c r="N2293" s="12">
        <f>IF($A2293="","",IF($G2293="","",IF($M2293="Oui","Litige",IF($J2293&lt;=0,"Payé",IF($I2293&gt;0,"Partiel",IF(Listes!$B$3&gt;$G2293,"En retard","À échoir"))))))</f>
        <v/>
      </c>
      <c r="O2293" s="11">
        <f>IF($A2293="","",IF(OR($G2293="", $J2293&lt;=0),0,MAX(0,Listes!$B$3-$G2293)))</f>
        <v/>
      </c>
      <c r="P2293" s="12">
        <f>IF($A2293="","",IF($J2293&lt;=0,"Payé",IF($M2293="Oui","Litige",IF($O2293=0,"À échoir",IF($O2293&lt;=30,"0-30",IF($O2293&lt;=60,"31-60",IF($O2293&lt;=90,"61-90","90+")))))))</f>
        <v/>
      </c>
    </row>
    <row r="2294">
      <c r="A2294" s="6" t="n"/>
      <c r="B2294" s="6" t="n"/>
      <c r="C2294" s="6" t="n"/>
      <c r="D2294" s="6" t="n"/>
      <c r="E2294" s="6" t="n"/>
      <c r="F2294" s="7" t="n"/>
      <c r="G2294" s="7" t="n"/>
      <c r="H2294" s="8" t="n"/>
      <c r="I2294" s="9">
        <f>IF($A2294="","",SUMIFS(Ventes_Encaissements!$D$6:$D$3005,Ventes_Encaissements!$B$6:$B$3005,$A2294))</f>
        <v/>
      </c>
      <c r="J2294" s="9">
        <f>IF($A2294="","",$H2294-$I2294)</f>
        <v/>
      </c>
      <c r="K2294" s="10">
        <f>IF($A2294="","",IF($I2294=0,"",_xludf.AGGREGATE(14,6,Ventes_Encaissements!$C$6:$C$3005/(Ventes_Encaissements!$B$6:$B$3005=$A2294),1)))</f>
        <v/>
      </c>
      <c r="L2294" s="11">
        <f>IF($A2294="","",COUNTIFS(Ventes_Detail!$B$6:$B$3005,$A2294))</f>
        <v/>
      </c>
      <c r="M2294" s="12" t="n"/>
      <c r="N2294" s="12">
        <f>IF($A2294="","",IF($G2294="","",IF($M2294="Oui","Litige",IF($J2294&lt;=0,"Payé",IF($I2294&gt;0,"Partiel",IF(Listes!$B$3&gt;$G2294,"En retard","À échoir"))))))</f>
        <v/>
      </c>
      <c r="O2294" s="11">
        <f>IF($A2294="","",IF(OR($G2294="", $J2294&lt;=0),0,MAX(0,Listes!$B$3-$G2294)))</f>
        <v/>
      </c>
      <c r="P2294" s="12">
        <f>IF($A2294="","",IF($J2294&lt;=0,"Payé",IF($M2294="Oui","Litige",IF($O2294=0,"À échoir",IF($O2294&lt;=30,"0-30",IF($O2294&lt;=60,"31-60",IF($O2294&lt;=90,"61-90","90+")))))))</f>
        <v/>
      </c>
    </row>
    <row r="2295">
      <c r="A2295" s="6" t="n"/>
      <c r="B2295" s="6" t="n"/>
      <c r="C2295" s="6" t="n"/>
      <c r="D2295" s="6" t="n"/>
      <c r="E2295" s="6" t="n"/>
      <c r="F2295" s="7" t="n"/>
      <c r="G2295" s="7" t="n"/>
      <c r="H2295" s="8" t="n"/>
      <c r="I2295" s="9">
        <f>IF($A2295="","",SUMIFS(Ventes_Encaissements!$D$6:$D$3005,Ventes_Encaissements!$B$6:$B$3005,$A2295))</f>
        <v/>
      </c>
      <c r="J2295" s="9">
        <f>IF($A2295="","",$H2295-$I2295)</f>
        <v/>
      </c>
      <c r="K2295" s="10">
        <f>IF($A2295="","",IF($I2295=0,"",_xludf.AGGREGATE(14,6,Ventes_Encaissements!$C$6:$C$3005/(Ventes_Encaissements!$B$6:$B$3005=$A2295),1)))</f>
        <v/>
      </c>
      <c r="L2295" s="11">
        <f>IF($A2295="","",COUNTIFS(Ventes_Detail!$B$6:$B$3005,$A2295))</f>
        <v/>
      </c>
      <c r="M2295" s="12" t="n"/>
      <c r="N2295" s="12">
        <f>IF($A2295="","",IF($G2295="","",IF($M2295="Oui","Litige",IF($J2295&lt;=0,"Payé",IF($I2295&gt;0,"Partiel",IF(Listes!$B$3&gt;$G2295,"En retard","À échoir"))))))</f>
        <v/>
      </c>
      <c r="O2295" s="11">
        <f>IF($A2295="","",IF(OR($G2295="", $J2295&lt;=0),0,MAX(0,Listes!$B$3-$G2295)))</f>
        <v/>
      </c>
      <c r="P2295" s="12">
        <f>IF($A2295="","",IF($J2295&lt;=0,"Payé",IF($M2295="Oui","Litige",IF($O2295=0,"À échoir",IF($O2295&lt;=30,"0-30",IF($O2295&lt;=60,"31-60",IF($O2295&lt;=90,"61-90","90+")))))))</f>
        <v/>
      </c>
    </row>
    <row r="2296">
      <c r="A2296" s="6" t="n"/>
      <c r="B2296" s="6" t="n"/>
      <c r="C2296" s="6" t="n"/>
      <c r="D2296" s="6" t="n"/>
      <c r="E2296" s="6" t="n"/>
      <c r="F2296" s="7" t="n"/>
      <c r="G2296" s="7" t="n"/>
      <c r="H2296" s="8" t="n"/>
      <c r="I2296" s="9">
        <f>IF($A2296="","",SUMIFS(Ventes_Encaissements!$D$6:$D$3005,Ventes_Encaissements!$B$6:$B$3005,$A2296))</f>
        <v/>
      </c>
      <c r="J2296" s="9">
        <f>IF($A2296="","",$H2296-$I2296)</f>
        <v/>
      </c>
      <c r="K2296" s="10">
        <f>IF($A2296="","",IF($I2296=0,"",_xludf.AGGREGATE(14,6,Ventes_Encaissements!$C$6:$C$3005/(Ventes_Encaissements!$B$6:$B$3005=$A2296),1)))</f>
        <v/>
      </c>
      <c r="L2296" s="11">
        <f>IF($A2296="","",COUNTIFS(Ventes_Detail!$B$6:$B$3005,$A2296))</f>
        <v/>
      </c>
      <c r="M2296" s="12" t="n"/>
      <c r="N2296" s="12">
        <f>IF($A2296="","",IF($G2296="","",IF($M2296="Oui","Litige",IF($J2296&lt;=0,"Payé",IF($I2296&gt;0,"Partiel",IF(Listes!$B$3&gt;$G2296,"En retard","À échoir"))))))</f>
        <v/>
      </c>
      <c r="O2296" s="11">
        <f>IF($A2296="","",IF(OR($G2296="", $J2296&lt;=0),0,MAX(0,Listes!$B$3-$G2296)))</f>
        <v/>
      </c>
      <c r="P2296" s="12">
        <f>IF($A2296="","",IF($J2296&lt;=0,"Payé",IF($M2296="Oui","Litige",IF($O2296=0,"À échoir",IF($O2296&lt;=30,"0-30",IF($O2296&lt;=60,"31-60",IF($O2296&lt;=90,"61-90","90+")))))))</f>
        <v/>
      </c>
    </row>
    <row r="2297">
      <c r="A2297" s="6" t="n"/>
      <c r="B2297" s="6" t="n"/>
      <c r="C2297" s="6" t="n"/>
      <c r="D2297" s="6" t="n"/>
      <c r="E2297" s="6" t="n"/>
      <c r="F2297" s="7" t="n"/>
      <c r="G2297" s="7" t="n"/>
      <c r="H2297" s="8" t="n"/>
      <c r="I2297" s="9">
        <f>IF($A2297="","",SUMIFS(Ventes_Encaissements!$D$6:$D$3005,Ventes_Encaissements!$B$6:$B$3005,$A2297))</f>
        <v/>
      </c>
      <c r="J2297" s="9">
        <f>IF($A2297="","",$H2297-$I2297)</f>
        <v/>
      </c>
      <c r="K2297" s="10">
        <f>IF($A2297="","",IF($I2297=0,"",_xludf.AGGREGATE(14,6,Ventes_Encaissements!$C$6:$C$3005/(Ventes_Encaissements!$B$6:$B$3005=$A2297),1)))</f>
        <v/>
      </c>
      <c r="L2297" s="11">
        <f>IF($A2297="","",COUNTIFS(Ventes_Detail!$B$6:$B$3005,$A2297))</f>
        <v/>
      </c>
      <c r="M2297" s="12" t="n"/>
      <c r="N2297" s="12">
        <f>IF($A2297="","",IF($G2297="","",IF($M2297="Oui","Litige",IF($J2297&lt;=0,"Payé",IF($I2297&gt;0,"Partiel",IF(Listes!$B$3&gt;$G2297,"En retard","À échoir"))))))</f>
        <v/>
      </c>
      <c r="O2297" s="11">
        <f>IF($A2297="","",IF(OR($G2297="", $J2297&lt;=0),0,MAX(0,Listes!$B$3-$G2297)))</f>
        <v/>
      </c>
      <c r="P2297" s="12">
        <f>IF($A2297="","",IF($J2297&lt;=0,"Payé",IF($M2297="Oui","Litige",IF($O2297=0,"À échoir",IF($O2297&lt;=30,"0-30",IF($O2297&lt;=60,"31-60",IF($O2297&lt;=90,"61-90","90+")))))))</f>
        <v/>
      </c>
    </row>
    <row r="2298">
      <c r="A2298" s="6" t="n"/>
      <c r="B2298" s="6" t="n"/>
      <c r="C2298" s="6" t="n"/>
      <c r="D2298" s="6" t="n"/>
      <c r="E2298" s="6" t="n"/>
      <c r="F2298" s="7" t="n"/>
      <c r="G2298" s="7" t="n"/>
      <c r="H2298" s="8" t="n"/>
      <c r="I2298" s="9">
        <f>IF($A2298="","",SUMIFS(Ventes_Encaissements!$D$6:$D$3005,Ventes_Encaissements!$B$6:$B$3005,$A2298))</f>
        <v/>
      </c>
      <c r="J2298" s="9">
        <f>IF($A2298="","",$H2298-$I2298)</f>
        <v/>
      </c>
      <c r="K2298" s="10">
        <f>IF($A2298="","",IF($I2298=0,"",_xludf.AGGREGATE(14,6,Ventes_Encaissements!$C$6:$C$3005/(Ventes_Encaissements!$B$6:$B$3005=$A2298),1)))</f>
        <v/>
      </c>
      <c r="L2298" s="11">
        <f>IF($A2298="","",COUNTIFS(Ventes_Detail!$B$6:$B$3005,$A2298))</f>
        <v/>
      </c>
      <c r="M2298" s="12" t="n"/>
      <c r="N2298" s="12">
        <f>IF($A2298="","",IF($G2298="","",IF($M2298="Oui","Litige",IF($J2298&lt;=0,"Payé",IF($I2298&gt;0,"Partiel",IF(Listes!$B$3&gt;$G2298,"En retard","À échoir"))))))</f>
        <v/>
      </c>
      <c r="O2298" s="11">
        <f>IF($A2298="","",IF(OR($G2298="", $J2298&lt;=0),0,MAX(0,Listes!$B$3-$G2298)))</f>
        <v/>
      </c>
      <c r="P2298" s="12">
        <f>IF($A2298="","",IF($J2298&lt;=0,"Payé",IF($M2298="Oui","Litige",IF($O2298=0,"À échoir",IF($O2298&lt;=30,"0-30",IF($O2298&lt;=60,"31-60",IF($O2298&lt;=90,"61-90","90+")))))))</f>
        <v/>
      </c>
    </row>
    <row r="2299">
      <c r="A2299" s="6" t="n"/>
      <c r="B2299" s="6" t="n"/>
      <c r="C2299" s="6" t="n"/>
      <c r="D2299" s="6" t="n"/>
      <c r="E2299" s="6" t="n"/>
      <c r="F2299" s="7" t="n"/>
      <c r="G2299" s="7" t="n"/>
      <c r="H2299" s="8" t="n"/>
      <c r="I2299" s="9">
        <f>IF($A2299="","",SUMIFS(Ventes_Encaissements!$D$6:$D$3005,Ventes_Encaissements!$B$6:$B$3005,$A2299))</f>
        <v/>
      </c>
      <c r="J2299" s="9">
        <f>IF($A2299="","",$H2299-$I2299)</f>
        <v/>
      </c>
      <c r="K2299" s="10">
        <f>IF($A2299="","",IF($I2299=0,"",_xludf.AGGREGATE(14,6,Ventes_Encaissements!$C$6:$C$3005/(Ventes_Encaissements!$B$6:$B$3005=$A2299),1)))</f>
        <v/>
      </c>
      <c r="L2299" s="11">
        <f>IF($A2299="","",COUNTIFS(Ventes_Detail!$B$6:$B$3005,$A2299))</f>
        <v/>
      </c>
      <c r="M2299" s="12" t="n"/>
      <c r="N2299" s="12">
        <f>IF($A2299="","",IF($G2299="","",IF($M2299="Oui","Litige",IF($J2299&lt;=0,"Payé",IF($I2299&gt;0,"Partiel",IF(Listes!$B$3&gt;$G2299,"En retard","À échoir"))))))</f>
        <v/>
      </c>
      <c r="O2299" s="11">
        <f>IF($A2299="","",IF(OR($G2299="", $J2299&lt;=0),0,MAX(0,Listes!$B$3-$G2299)))</f>
        <v/>
      </c>
      <c r="P2299" s="12">
        <f>IF($A2299="","",IF($J2299&lt;=0,"Payé",IF($M2299="Oui","Litige",IF($O2299=0,"À échoir",IF($O2299&lt;=30,"0-30",IF($O2299&lt;=60,"31-60",IF($O2299&lt;=90,"61-90","90+")))))))</f>
        <v/>
      </c>
    </row>
    <row r="2300">
      <c r="A2300" s="6" t="n"/>
      <c r="B2300" s="6" t="n"/>
      <c r="C2300" s="6" t="n"/>
      <c r="D2300" s="6" t="n"/>
      <c r="E2300" s="6" t="n"/>
      <c r="F2300" s="7" t="n"/>
      <c r="G2300" s="7" t="n"/>
      <c r="H2300" s="8" t="n"/>
      <c r="I2300" s="9">
        <f>IF($A2300="","",SUMIFS(Ventes_Encaissements!$D$6:$D$3005,Ventes_Encaissements!$B$6:$B$3005,$A2300))</f>
        <v/>
      </c>
      <c r="J2300" s="9">
        <f>IF($A2300="","",$H2300-$I2300)</f>
        <v/>
      </c>
      <c r="K2300" s="10">
        <f>IF($A2300="","",IF($I2300=0,"",_xludf.AGGREGATE(14,6,Ventes_Encaissements!$C$6:$C$3005/(Ventes_Encaissements!$B$6:$B$3005=$A2300),1)))</f>
        <v/>
      </c>
      <c r="L2300" s="11">
        <f>IF($A2300="","",COUNTIFS(Ventes_Detail!$B$6:$B$3005,$A2300))</f>
        <v/>
      </c>
      <c r="M2300" s="12" t="n"/>
      <c r="N2300" s="12">
        <f>IF($A2300="","",IF($G2300="","",IF($M2300="Oui","Litige",IF($J2300&lt;=0,"Payé",IF($I2300&gt;0,"Partiel",IF(Listes!$B$3&gt;$G2300,"En retard","À échoir"))))))</f>
        <v/>
      </c>
      <c r="O2300" s="11">
        <f>IF($A2300="","",IF(OR($G2300="", $J2300&lt;=0),0,MAX(0,Listes!$B$3-$G2300)))</f>
        <v/>
      </c>
      <c r="P2300" s="12">
        <f>IF($A2300="","",IF($J2300&lt;=0,"Payé",IF($M2300="Oui","Litige",IF($O2300=0,"À échoir",IF($O2300&lt;=30,"0-30",IF($O2300&lt;=60,"31-60",IF($O2300&lt;=90,"61-90","90+")))))))</f>
        <v/>
      </c>
    </row>
    <row r="2301">
      <c r="A2301" s="6" t="n"/>
      <c r="B2301" s="6" t="n"/>
      <c r="C2301" s="6" t="n"/>
      <c r="D2301" s="6" t="n"/>
      <c r="E2301" s="6" t="n"/>
      <c r="F2301" s="7" t="n"/>
      <c r="G2301" s="7" t="n"/>
      <c r="H2301" s="8" t="n"/>
      <c r="I2301" s="9">
        <f>IF($A2301="","",SUMIFS(Ventes_Encaissements!$D$6:$D$3005,Ventes_Encaissements!$B$6:$B$3005,$A2301))</f>
        <v/>
      </c>
      <c r="J2301" s="9">
        <f>IF($A2301="","",$H2301-$I2301)</f>
        <v/>
      </c>
      <c r="K2301" s="10">
        <f>IF($A2301="","",IF($I2301=0,"",_xludf.AGGREGATE(14,6,Ventes_Encaissements!$C$6:$C$3005/(Ventes_Encaissements!$B$6:$B$3005=$A2301),1)))</f>
        <v/>
      </c>
      <c r="L2301" s="11">
        <f>IF($A2301="","",COUNTIFS(Ventes_Detail!$B$6:$B$3005,$A2301))</f>
        <v/>
      </c>
      <c r="M2301" s="12" t="n"/>
      <c r="N2301" s="12">
        <f>IF($A2301="","",IF($G2301="","",IF($M2301="Oui","Litige",IF($J2301&lt;=0,"Payé",IF($I2301&gt;0,"Partiel",IF(Listes!$B$3&gt;$G2301,"En retard","À échoir"))))))</f>
        <v/>
      </c>
      <c r="O2301" s="11">
        <f>IF($A2301="","",IF(OR($G2301="", $J2301&lt;=0),0,MAX(0,Listes!$B$3-$G2301)))</f>
        <v/>
      </c>
      <c r="P2301" s="12">
        <f>IF($A2301="","",IF($J2301&lt;=0,"Payé",IF($M2301="Oui","Litige",IF($O2301=0,"À échoir",IF($O2301&lt;=30,"0-30",IF($O2301&lt;=60,"31-60",IF($O2301&lt;=90,"61-90","90+")))))))</f>
        <v/>
      </c>
    </row>
    <row r="2302">
      <c r="A2302" s="6" t="n"/>
      <c r="B2302" s="6" t="n"/>
      <c r="C2302" s="6" t="n"/>
      <c r="D2302" s="6" t="n"/>
      <c r="E2302" s="6" t="n"/>
      <c r="F2302" s="7" t="n"/>
      <c r="G2302" s="7" t="n"/>
      <c r="H2302" s="8" t="n"/>
      <c r="I2302" s="9">
        <f>IF($A2302="","",SUMIFS(Ventes_Encaissements!$D$6:$D$3005,Ventes_Encaissements!$B$6:$B$3005,$A2302))</f>
        <v/>
      </c>
      <c r="J2302" s="9">
        <f>IF($A2302="","",$H2302-$I2302)</f>
        <v/>
      </c>
      <c r="K2302" s="10">
        <f>IF($A2302="","",IF($I2302=0,"",_xludf.AGGREGATE(14,6,Ventes_Encaissements!$C$6:$C$3005/(Ventes_Encaissements!$B$6:$B$3005=$A2302),1)))</f>
        <v/>
      </c>
      <c r="L2302" s="11">
        <f>IF($A2302="","",COUNTIFS(Ventes_Detail!$B$6:$B$3005,$A2302))</f>
        <v/>
      </c>
      <c r="M2302" s="12" t="n"/>
      <c r="N2302" s="12">
        <f>IF($A2302="","",IF($G2302="","",IF($M2302="Oui","Litige",IF($J2302&lt;=0,"Payé",IF($I2302&gt;0,"Partiel",IF(Listes!$B$3&gt;$G2302,"En retard","À échoir"))))))</f>
        <v/>
      </c>
      <c r="O2302" s="11">
        <f>IF($A2302="","",IF(OR($G2302="", $J2302&lt;=0),0,MAX(0,Listes!$B$3-$G2302)))</f>
        <v/>
      </c>
      <c r="P2302" s="12">
        <f>IF($A2302="","",IF($J2302&lt;=0,"Payé",IF($M2302="Oui","Litige",IF($O2302=0,"À échoir",IF($O2302&lt;=30,"0-30",IF($O2302&lt;=60,"31-60",IF($O2302&lt;=90,"61-90","90+")))))))</f>
        <v/>
      </c>
    </row>
    <row r="2303">
      <c r="A2303" s="6" t="n"/>
      <c r="B2303" s="6" t="n"/>
      <c r="C2303" s="6" t="n"/>
      <c r="D2303" s="6" t="n"/>
      <c r="E2303" s="6" t="n"/>
      <c r="F2303" s="7" t="n"/>
      <c r="G2303" s="7" t="n"/>
      <c r="H2303" s="8" t="n"/>
      <c r="I2303" s="9">
        <f>IF($A2303="","",SUMIFS(Ventes_Encaissements!$D$6:$D$3005,Ventes_Encaissements!$B$6:$B$3005,$A2303))</f>
        <v/>
      </c>
      <c r="J2303" s="9">
        <f>IF($A2303="","",$H2303-$I2303)</f>
        <v/>
      </c>
      <c r="K2303" s="10">
        <f>IF($A2303="","",IF($I2303=0,"",_xludf.AGGREGATE(14,6,Ventes_Encaissements!$C$6:$C$3005/(Ventes_Encaissements!$B$6:$B$3005=$A2303),1)))</f>
        <v/>
      </c>
      <c r="L2303" s="11">
        <f>IF($A2303="","",COUNTIFS(Ventes_Detail!$B$6:$B$3005,$A2303))</f>
        <v/>
      </c>
      <c r="M2303" s="12" t="n"/>
      <c r="N2303" s="12">
        <f>IF($A2303="","",IF($G2303="","",IF($M2303="Oui","Litige",IF($J2303&lt;=0,"Payé",IF($I2303&gt;0,"Partiel",IF(Listes!$B$3&gt;$G2303,"En retard","À échoir"))))))</f>
        <v/>
      </c>
      <c r="O2303" s="11">
        <f>IF($A2303="","",IF(OR($G2303="", $J2303&lt;=0),0,MAX(0,Listes!$B$3-$G2303)))</f>
        <v/>
      </c>
      <c r="P2303" s="12">
        <f>IF($A2303="","",IF($J2303&lt;=0,"Payé",IF($M2303="Oui","Litige",IF($O2303=0,"À échoir",IF($O2303&lt;=30,"0-30",IF($O2303&lt;=60,"31-60",IF($O2303&lt;=90,"61-90","90+")))))))</f>
        <v/>
      </c>
    </row>
    <row r="2304">
      <c r="A2304" s="6" t="n"/>
      <c r="B2304" s="6" t="n"/>
      <c r="C2304" s="6" t="n"/>
      <c r="D2304" s="6" t="n"/>
      <c r="E2304" s="6" t="n"/>
      <c r="F2304" s="7" t="n"/>
      <c r="G2304" s="7" t="n"/>
      <c r="H2304" s="8" t="n"/>
      <c r="I2304" s="9">
        <f>IF($A2304="","",SUMIFS(Ventes_Encaissements!$D$6:$D$3005,Ventes_Encaissements!$B$6:$B$3005,$A2304))</f>
        <v/>
      </c>
      <c r="J2304" s="9">
        <f>IF($A2304="","",$H2304-$I2304)</f>
        <v/>
      </c>
      <c r="K2304" s="10">
        <f>IF($A2304="","",IF($I2304=0,"",_xludf.AGGREGATE(14,6,Ventes_Encaissements!$C$6:$C$3005/(Ventes_Encaissements!$B$6:$B$3005=$A2304),1)))</f>
        <v/>
      </c>
      <c r="L2304" s="11">
        <f>IF($A2304="","",COUNTIFS(Ventes_Detail!$B$6:$B$3005,$A2304))</f>
        <v/>
      </c>
      <c r="M2304" s="12" t="n"/>
      <c r="N2304" s="12">
        <f>IF($A2304="","",IF($G2304="","",IF($M2304="Oui","Litige",IF($J2304&lt;=0,"Payé",IF($I2304&gt;0,"Partiel",IF(Listes!$B$3&gt;$G2304,"En retard","À échoir"))))))</f>
        <v/>
      </c>
      <c r="O2304" s="11">
        <f>IF($A2304="","",IF(OR($G2304="", $J2304&lt;=0),0,MAX(0,Listes!$B$3-$G2304)))</f>
        <v/>
      </c>
      <c r="P2304" s="12">
        <f>IF($A2304="","",IF($J2304&lt;=0,"Payé",IF($M2304="Oui","Litige",IF($O2304=0,"À échoir",IF($O2304&lt;=30,"0-30",IF($O2304&lt;=60,"31-60",IF($O2304&lt;=90,"61-90","90+")))))))</f>
        <v/>
      </c>
    </row>
    <row r="2305">
      <c r="A2305" s="6" t="n"/>
      <c r="B2305" s="6" t="n"/>
      <c r="C2305" s="6" t="n"/>
      <c r="D2305" s="6" t="n"/>
      <c r="E2305" s="6" t="n"/>
      <c r="F2305" s="7" t="n"/>
      <c r="G2305" s="7" t="n"/>
      <c r="H2305" s="8" t="n"/>
      <c r="I2305" s="9">
        <f>IF($A2305="","",SUMIFS(Ventes_Encaissements!$D$6:$D$3005,Ventes_Encaissements!$B$6:$B$3005,$A2305))</f>
        <v/>
      </c>
      <c r="J2305" s="9">
        <f>IF($A2305="","",$H2305-$I2305)</f>
        <v/>
      </c>
      <c r="K2305" s="10">
        <f>IF($A2305="","",IF($I2305=0,"",_xludf.AGGREGATE(14,6,Ventes_Encaissements!$C$6:$C$3005/(Ventes_Encaissements!$B$6:$B$3005=$A2305),1)))</f>
        <v/>
      </c>
      <c r="L2305" s="11">
        <f>IF($A2305="","",COUNTIFS(Ventes_Detail!$B$6:$B$3005,$A2305))</f>
        <v/>
      </c>
      <c r="M2305" s="12" t="n"/>
      <c r="N2305" s="12">
        <f>IF($A2305="","",IF($G2305="","",IF($M2305="Oui","Litige",IF($J2305&lt;=0,"Payé",IF($I2305&gt;0,"Partiel",IF(Listes!$B$3&gt;$G2305,"En retard","À échoir"))))))</f>
        <v/>
      </c>
      <c r="O2305" s="11">
        <f>IF($A2305="","",IF(OR($G2305="", $J2305&lt;=0),0,MAX(0,Listes!$B$3-$G2305)))</f>
        <v/>
      </c>
      <c r="P2305" s="12">
        <f>IF($A2305="","",IF($J2305&lt;=0,"Payé",IF($M2305="Oui","Litige",IF($O2305=0,"À échoir",IF($O2305&lt;=30,"0-30",IF($O2305&lt;=60,"31-60",IF($O2305&lt;=90,"61-90","90+")))))))</f>
        <v/>
      </c>
    </row>
    <row r="2306">
      <c r="A2306" s="6" t="n"/>
      <c r="B2306" s="6" t="n"/>
      <c r="C2306" s="6" t="n"/>
      <c r="D2306" s="6" t="n"/>
      <c r="E2306" s="6" t="n"/>
      <c r="F2306" s="7" t="n"/>
      <c r="G2306" s="7" t="n"/>
      <c r="H2306" s="8" t="n"/>
      <c r="I2306" s="9">
        <f>IF($A2306="","",SUMIFS(Ventes_Encaissements!$D$6:$D$3005,Ventes_Encaissements!$B$6:$B$3005,$A2306))</f>
        <v/>
      </c>
      <c r="J2306" s="9">
        <f>IF($A2306="","",$H2306-$I2306)</f>
        <v/>
      </c>
      <c r="K2306" s="10">
        <f>IF($A2306="","",IF($I2306=0,"",_xludf.AGGREGATE(14,6,Ventes_Encaissements!$C$6:$C$3005/(Ventes_Encaissements!$B$6:$B$3005=$A2306),1)))</f>
        <v/>
      </c>
      <c r="L2306" s="11">
        <f>IF($A2306="","",COUNTIFS(Ventes_Detail!$B$6:$B$3005,$A2306))</f>
        <v/>
      </c>
      <c r="M2306" s="12" t="n"/>
      <c r="N2306" s="12">
        <f>IF($A2306="","",IF($G2306="","",IF($M2306="Oui","Litige",IF($J2306&lt;=0,"Payé",IF($I2306&gt;0,"Partiel",IF(Listes!$B$3&gt;$G2306,"En retard","À échoir"))))))</f>
        <v/>
      </c>
      <c r="O2306" s="11">
        <f>IF($A2306="","",IF(OR($G2306="", $J2306&lt;=0),0,MAX(0,Listes!$B$3-$G2306)))</f>
        <v/>
      </c>
      <c r="P2306" s="12">
        <f>IF($A2306="","",IF($J2306&lt;=0,"Payé",IF($M2306="Oui","Litige",IF($O2306=0,"À échoir",IF($O2306&lt;=30,"0-30",IF($O2306&lt;=60,"31-60",IF($O2306&lt;=90,"61-90","90+")))))))</f>
        <v/>
      </c>
    </row>
    <row r="2307">
      <c r="A2307" s="6" t="n"/>
      <c r="B2307" s="6" t="n"/>
      <c r="C2307" s="6" t="n"/>
      <c r="D2307" s="6" t="n"/>
      <c r="E2307" s="6" t="n"/>
      <c r="F2307" s="7" t="n"/>
      <c r="G2307" s="7" t="n"/>
      <c r="H2307" s="8" t="n"/>
      <c r="I2307" s="9">
        <f>IF($A2307="","",SUMIFS(Ventes_Encaissements!$D$6:$D$3005,Ventes_Encaissements!$B$6:$B$3005,$A2307))</f>
        <v/>
      </c>
      <c r="J2307" s="9">
        <f>IF($A2307="","",$H2307-$I2307)</f>
        <v/>
      </c>
      <c r="K2307" s="10">
        <f>IF($A2307="","",IF($I2307=0,"",_xludf.AGGREGATE(14,6,Ventes_Encaissements!$C$6:$C$3005/(Ventes_Encaissements!$B$6:$B$3005=$A2307),1)))</f>
        <v/>
      </c>
      <c r="L2307" s="11">
        <f>IF($A2307="","",COUNTIFS(Ventes_Detail!$B$6:$B$3005,$A2307))</f>
        <v/>
      </c>
      <c r="M2307" s="12" t="n"/>
      <c r="N2307" s="12">
        <f>IF($A2307="","",IF($G2307="","",IF($M2307="Oui","Litige",IF($J2307&lt;=0,"Payé",IF($I2307&gt;0,"Partiel",IF(Listes!$B$3&gt;$G2307,"En retard","À échoir"))))))</f>
        <v/>
      </c>
      <c r="O2307" s="11">
        <f>IF($A2307="","",IF(OR($G2307="", $J2307&lt;=0),0,MAX(0,Listes!$B$3-$G2307)))</f>
        <v/>
      </c>
      <c r="P2307" s="12">
        <f>IF($A2307="","",IF($J2307&lt;=0,"Payé",IF($M2307="Oui","Litige",IF($O2307=0,"À échoir",IF($O2307&lt;=30,"0-30",IF($O2307&lt;=60,"31-60",IF($O2307&lt;=90,"61-90","90+")))))))</f>
        <v/>
      </c>
    </row>
    <row r="2308">
      <c r="A2308" s="6" t="n"/>
      <c r="B2308" s="6" t="n"/>
      <c r="C2308" s="6" t="n"/>
      <c r="D2308" s="6" t="n"/>
      <c r="E2308" s="6" t="n"/>
      <c r="F2308" s="7" t="n"/>
      <c r="G2308" s="7" t="n"/>
      <c r="H2308" s="8" t="n"/>
      <c r="I2308" s="9">
        <f>IF($A2308="","",SUMIFS(Ventes_Encaissements!$D$6:$D$3005,Ventes_Encaissements!$B$6:$B$3005,$A2308))</f>
        <v/>
      </c>
      <c r="J2308" s="9">
        <f>IF($A2308="","",$H2308-$I2308)</f>
        <v/>
      </c>
      <c r="K2308" s="10">
        <f>IF($A2308="","",IF($I2308=0,"",_xludf.AGGREGATE(14,6,Ventes_Encaissements!$C$6:$C$3005/(Ventes_Encaissements!$B$6:$B$3005=$A2308),1)))</f>
        <v/>
      </c>
      <c r="L2308" s="11">
        <f>IF($A2308="","",COUNTIFS(Ventes_Detail!$B$6:$B$3005,$A2308))</f>
        <v/>
      </c>
      <c r="M2308" s="12" t="n"/>
      <c r="N2308" s="12">
        <f>IF($A2308="","",IF($G2308="","",IF($M2308="Oui","Litige",IF($J2308&lt;=0,"Payé",IF($I2308&gt;0,"Partiel",IF(Listes!$B$3&gt;$G2308,"En retard","À échoir"))))))</f>
        <v/>
      </c>
      <c r="O2308" s="11">
        <f>IF($A2308="","",IF(OR($G2308="", $J2308&lt;=0),0,MAX(0,Listes!$B$3-$G2308)))</f>
        <v/>
      </c>
      <c r="P2308" s="12">
        <f>IF($A2308="","",IF($J2308&lt;=0,"Payé",IF($M2308="Oui","Litige",IF($O2308=0,"À échoir",IF($O2308&lt;=30,"0-30",IF($O2308&lt;=60,"31-60",IF($O2308&lt;=90,"61-90","90+")))))))</f>
        <v/>
      </c>
    </row>
    <row r="2309">
      <c r="A2309" s="6" t="n"/>
      <c r="B2309" s="6" t="n"/>
      <c r="C2309" s="6" t="n"/>
      <c r="D2309" s="6" t="n"/>
      <c r="E2309" s="6" t="n"/>
      <c r="F2309" s="7" t="n"/>
      <c r="G2309" s="7" t="n"/>
      <c r="H2309" s="8" t="n"/>
      <c r="I2309" s="9">
        <f>IF($A2309="","",SUMIFS(Ventes_Encaissements!$D$6:$D$3005,Ventes_Encaissements!$B$6:$B$3005,$A2309))</f>
        <v/>
      </c>
      <c r="J2309" s="9">
        <f>IF($A2309="","",$H2309-$I2309)</f>
        <v/>
      </c>
      <c r="K2309" s="10">
        <f>IF($A2309="","",IF($I2309=0,"",_xludf.AGGREGATE(14,6,Ventes_Encaissements!$C$6:$C$3005/(Ventes_Encaissements!$B$6:$B$3005=$A2309),1)))</f>
        <v/>
      </c>
      <c r="L2309" s="11">
        <f>IF($A2309="","",COUNTIFS(Ventes_Detail!$B$6:$B$3005,$A2309))</f>
        <v/>
      </c>
      <c r="M2309" s="12" t="n"/>
      <c r="N2309" s="12">
        <f>IF($A2309="","",IF($G2309="","",IF($M2309="Oui","Litige",IF($J2309&lt;=0,"Payé",IF($I2309&gt;0,"Partiel",IF(Listes!$B$3&gt;$G2309,"En retard","À échoir"))))))</f>
        <v/>
      </c>
      <c r="O2309" s="11">
        <f>IF($A2309="","",IF(OR($G2309="", $J2309&lt;=0),0,MAX(0,Listes!$B$3-$G2309)))</f>
        <v/>
      </c>
      <c r="P2309" s="12">
        <f>IF($A2309="","",IF($J2309&lt;=0,"Payé",IF($M2309="Oui","Litige",IF($O2309=0,"À échoir",IF($O2309&lt;=30,"0-30",IF($O2309&lt;=60,"31-60",IF($O2309&lt;=90,"61-90","90+")))))))</f>
        <v/>
      </c>
    </row>
    <row r="2310">
      <c r="A2310" s="6" t="n"/>
      <c r="B2310" s="6" t="n"/>
      <c r="C2310" s="6" t="n"/>
      <c r="D2310" s="6" t="n"/>
      <c r="E2310" s="6" t="n"/>
      <c r="F2310" s="7" t="n"/>
      <c r="G2310" s="7" t="n"/>
      <c r="H2310" s="8" t="n"/>
      <c r="I2310" s="9">
        <f>IF($A2310="","",SUMIFS(Ventes_Encaissements!$D$6:$D$3005,Ventes_Encaissements!$B$6:$B$3005,$A2310))</f>
        <v/>
      </c>
      <c r="J2310" s="9">
        <f>IF($A2310="","",$H2310-$I2310)</f>
        <v/>
      </c>
      <c r="K2310" s="10">
        <f>IF($A2310="","",IF($I2310=0,"",_xludf.AGGREGATE(14,6,Ventes_Encaissements!$C$6:$C$3005/(Ventes_Encaissements!$B$6:$B$3005=$A2310),1)))</f>
        <v/>
      </c>
      <c r="L2310" s="11">
        <f>IF($A2310="","",COUNTIFS(Ventes_Detail!$B$6:$B$3005,$A2310))</f>
        <v/>
      </c>
      <c r="M2310" s="12" t="n"/>
      <c r="N2310" s="12">
        <f>IF($A2310="","",IF($G2310="","",IF($M2310="Oui","Litige",IF($J2310&lt;=0,"Payé",IF($I2310&gt;0,"Partiel",IF(Listes!$B$3&gt;$G2310,"En retard","À échoir"))))))</f>
        <v/>
      </c>
      <c r="O2310" s="11">
        <f>IF($A2310="","",IF(OR($G2310="", $J2310&lt;=0),0,MAX(0,Listes!$B$3-$G2310)))</f>
        <v/>
      </c>
      <c r="P2310" s="12">
        <f>IF($A2310="","",IF($J2310&lt;=0,"Payé",IF($M2310="Oui","Litige",IF($O2310=0,"À échoir",IF($O2310&lt;=30,"0-30",IF($O2310&lt;=60,"31-60",IF($O2310&lt;=90,"61-90","90+")))))))</f>
        <v/>
      </c>
    </row>
    <row r="2311">
      <c r="A2311" s="6" t="n"/>
      <c r="B2311" s="6" t="n"/>
      <c r="C2311" s="6" t="n"/>
      <c r="D2311" s="6" t="n"/>
      <c r="E2311" s="6" t="n"/>
      <c r="F2311" s="7" t="n"/>
      <c r="G2311" s="7" t="n"/>
      <c r="H2311" s="8" t="n"/>
      <c r="I2311" s="9">
        <f>IF($A2311="","",SUMIFS(Ventes_Encaissements!$D$6:$D$3005,Ventes_Encaissements!$B$6:$B$3005,$A2311))</f>
        <v/>
      </c>
      <c r="J2311" s="9">
        <f>IF($A2311="","",$H2311-$I2311)</f>
        <v/>
      </c>
      <c r="K2311" s="10">
        <f>IF($A2311="","",IF($I2311=0,"",_xludf.AGGREGATE(14,6,Ventes_Encaissements!$C$6:$C$3005/(Ventes_Encaissements!$B$6:$B$3005=$A2311),1)))</f>
        <v/>
      </c>
      <c r="L2311" s="11">
        <f>IF($A2311="","",COUNTIFS(Ventes_Detail!$B$6:$B$3005,$A2311))</f>
        <v/>
      </c>
      <c r="M2311" s="12" t="n"/>
      <c r="N2311" s="12">
        <f>IF($A2311="","",IF($G2311="","",IF($M2311="Oui","Litige",IF($J2311&lt;=0,"Payé",IF($I2311&gt;0,"Partiel",IF(Listes!$B$3&gt;$G2311,"En retard","À échoir"))))))</f>
        <v/>
      </c>
      <c r="O2311" s="11">
        <f>IF($A2311="","",IF(OR($G2311="", $J2311&lt;=0),0,MAX(0,Listes!$B$3-$G2311)))</f>
        <v/>
      </c>
      <c r="P2311" s="12">
        <f>IF($A2311="","",IF($J2311&lt;=0,"Payé",IF($M2311="Oui","Litige",IF($O2311=0,"À échoir",IF($O2311&lt;=30,"0-30",IF($O2311&lt;=60,"31-60",IF($O2311&lt;=90,"61-90","90+")))))))</f>
        <v/>
      </c>
    </row>
    <row r="2312">
      <c r="A2312" s="6" t="n"/>
      <c r="B2312" s="6" t="n"/>
      <c r="C2312" s="6" t="n"/>
      <c r="D2312" s="6" t="n"/>
      <c r="E2312" s="6" t="n"/>
      <c r="F2312" s="7" t="n"/>
      <c r="G2312" s="7" t="n"/>
      <c r="H2312" s="8" t="n"/>
      <c r="I2312" s="9">
        <f>IF($A2312="","",SUMIFS(Ventes_Encaissements!$D$6:$D$3005,Ventes_Encaissements!$B$6:$B$3005,$A2312))</f>
        <v/>
      </c>
      <c r="J2312" s="9">
        <f>IF($A2312="","",$H2312-$I2312)</f>
        <v/>
      </c>
      <c r="K2312" s="10">
        <f>IF($A2312="","",IF($I2312=0,"",_xludf.AGGREGATE(14,6,Ventes_Encaissements!$C$6:$C$3005/(Ventes_Encaissements!$B$6:$B$3005=$A2312),1)))</f>
        <v/>
      </c>
      <c r="L2312" s="11">
        <f>IF($A2312="","",COUNTIFS(Ventes_Detail!$B$6:$B$3005,$A2312))</f>
        <v/>
      </c>
      <c r="M2312" s="12" t="n"/>
      <c r="N2312" s="12">
        <f>IF($A2312="","",IF($G2312="","",IF($M2312="Oui","Litige",IF($J2312&lt;=0,"Payé",IF($I2312&gt;0,"Partiel",IF(Listes!$B$3&gt;$G2312,"En retard","À échoir"))))))</f>
        <v/>
      </c>
      <c r="O2312" s="11">
        <f>IF($A2312="","",IF(OR($G2312="", $J2312&lt;=0),0,MAX(0,Listes!$B$3-$G2312)))</f>
        <v/>
      </c>
      <c r="P2312" s="12">
        <f>IF($A2312="","",IF($J2312&lt;=0,"Payé",IF($M2312="Oui","Litige",IF($O2312=0,"À échoir",IF($O2312&lt;=30,"0-30",IF($O2312&lt;=60,"31-60",IF($O2312&lt;=90,"61-90","90+")))))))</f>
        <v/>
      </c>
    </row>
    <row r="2313">
      <c r="A2313" s="6" t="n"/>
      <c r="B2313" s="6" t="n"/>
      <c r="C2313" s="6" t="n"/>
      <c r="D2313" s="6" t="n"/>
      <c r="E2313" s="6" t="n"/>
      <c r="F2313" s="7" t="n"/>
      <c r="G2313" s="7" t="n"/>
      <c r="H2313" s="8" t="n"/>
      <c r="I2313" s="9">
        <f>IF($A2313="","",SUMIFS(Ventes_Encaissements!$D$6:$D$3005,Ventes_Encaissements!$B$6:$B$3005,$A2313))</f>
        <v/>
      </c>
      <c r="J2313" s="9">
        <f>IF($A2313="","",$H2313-$I2313)</f>
        <v/>
      </c>
      <c r="K2313" s="10">
        <f>IF($A2313="","",IF($I2313=0,"",_xludf.AGGREGATE(14,6,Ventes_Encaissements!$C$6:$C$3005/(Ventes_Encaissements!$B$6:$B$3005=$A2313),1)))</f>
        <v/>
      </c>
      <c r="L2313" s="11">
        <f>IF($A2313="","",COUNTIFS(Ventes_Detail!$B$6:$B$3005,$A2313))</f>
        <v/>
      </c>
      <c r="M2313" s="12" t="n"/>
      <c r="N2313" s="12">
        <f>IF($A2313="","",IF($G2313="","",IF($M2313="Oui","Litige",IF($J2313&lt;=0,"Payé",IF($I2313&gt;0,"Partiel",IF(Listes!$B$3&gt;$G2313,"En retard","À échoir"))))))</f>
        <v/>
      </c>
      <c r="O2313" s="11">
        <f>IF($A2313="","",IF(OR($G2313="", $J2313&lt;=0),0,MAX(0,Listes!$B$3-$G2313)))</f>
        <v/>
      </c>
      <c r="P2313" s="12">
        <f>IF($A2313="","",IF($J2313&lt;=0,"Payé",IF($M2313="Oui","Litige",IF($O2313=0,"À échoir",IF($O2313&lt;=30,"0-30",IF($O2313&lt;=60,"31-60",IF($O2313&lt;=90,"61-90","90+")))))))</f>
        <v/>
      </c>
    </row>
    <row r="2314">
      <c r="A2314" s="6" t="n"/>
      <c r="B2314" s="6" t="n"/>
      <c r="C2314" s="6" t="n"/>
      <c r="D2314" s="6" t="n"/>
      <c r="E2314" s="6" t="n"/>
      <c r="F2314" s="7" t="n"/>
      <c r="G2314" s="7" t="n"/>
      <c r="H2314" s="8" t="n"/>
      <c r="I2314" s="9">
        <f>IF($A2314="","",SUMIFS(Ventes_Encaissements!$D$6:$D$3005,Ventes_Encaissements!$B$6:$B$3005,$A2314))</f>
        <v/>
      </c>
      <c r="J2314" s="9">
        <f>IF($A2314="","",$H2314-$I2314)</f>
        <v/>
      </c>
      <c r="K2314" s="10">
        <f>IF($A2314="","",IF($I2314=0,"",_xludf.AGGREGATE(14,6,Ventes_Encaissements!$C$6:$C$3005/(Ventes_Encaissements!$B$6:$B$3005=$A2314),1)))</f>
        <v/>
      </c>
      <c r="L2314" s="11">
        <f>IF($A2314="","",COUNTIFS(Ventes_Detail!$B$6:$B$3005,$A2314))</f>
        <v/>
      </c>
      <c r="M2314" s="12" t="n"/>
      <c r="N2314" s="12">
        <f>IF($A2314="","",IF($G2314="","",IF($M2314="Oui","Litige",IF($J2314&lt;=0,"Payé",IF($I2314&gt;0,"Partiel",IF(Listes!$B$3&gt;$G2314,"En retard","À échoir"))))))</f>
        <v/>
      </c>
      <c r="O2314" s="11">
        <f>IF($A2314="","",IF(OR($G2314="", $J2314&lt;=0),0,MAX(0,Listes!$B$3-$G2314)))</f>
        <v/>
      </c>
      <c r="P2314" s="12">
        <f>IF($A2314="","",IF($J2314&lt;=0,"Payé",IF($M2314="Oui","Litige",IF($O2314=0,"À échoir",IF($O2314&lt;=30,"0-30",IF($O2314&lt;=60,"31-60",IF($O2314&lt;=90,"61-90","90+")))))))</f>
        <v/>
      </c>
    </row>
    <row r="2315">
      <c r="A2315" s="6" t="n"/>
      <c r="B2315" s="6" t="n"/>
      <c r="C2315" s="6" t="n"/>
      <c r="D2315" s="6" t="n"/>
      <c r="E2315" s="6" t="n"/>
      <c r="F2315" s="7" t="n"/>
      <c r="G2315" s="7" t="n"/>
      <c r="H2315" s="8" t="n"/>
      <c r="I2315" s="9">
        <f>IF($A2315="","",SUMIFS(Ventes_Encaissements!$D$6:$D$3005,Ventes_Encaissements!$B$6:$B$3005,$A2315))</f>
        <v/>
      </c>
      <c r="J2315" s="9">
        <f>IF($A2315="","",$H2315-$I2315)</f>
        <v/>
      </c>
      <c r="K2315" s="10">
        <f>IF($A2315="","",IF($I2315=0,"",_xludf.AGGREGATE(14,6,Ventes_Encaissements!$C$6:$C$3005/(Ventes_Encaissements!$B$6:$B$3005=$A2315),1)))</f>
        <v/>
      </c>
      <c r="L2315" s="11">
        <f>IF($A2315="","",COUNTIFS(Ventes_Detail!$B$6:$B$3005,$A2315))</f>
        <v/>
      </c>
      <c r="M2315" s="12" t="n"/>
      <c r="N2315" s="12">
        <f>IF($A2315="","",IF($G2315="","",IF($M2315="Oui","Litige",IF($J2315&lt;=0,"Payé",IF($I2315&gt;0,"Partiel",IF(Listes!$B$3&gt;$G2315,"En retard","À échoir"))))))</f>
        <v/>
      </c>
      <c r="O2315" s="11">
        <f>IF($A2315="","",IF(OR($G2315="", $J2315&lt;=0),0,MAX(0,Listes!$B$3-$G2315)))</f>
        <v/>
      </c>
      <c r="P2315" s="12">
        <f>IF($A2315="","",IF($J2315&lt;=0,"Payé",IF($M2315="Oui","Litige",IF($O2315=0,"À échoir",IF($O2315&lt;=30,"0-30",IF($O2315&lt;=60,"31-60",IF($O2315&lt;=90,"61-90","90+")))))))</f>
        <v/>
      </c>
    </row>
    <row r="2316">
      <c r="A2316" s="6" t="n"/>
      <c r="B2316" s="6" t="n"/>
      <c r="C2316" s="6" t="n"/>
      <c r="D2316" s="6" t="n"/>
      <c r="E2316" s="6" t="n"/>
      <c r="F2316" s="7" t="n"/>
      <c r="G2316" s="7" t="n"/>
      <c r="H2316" s="8" t="n"/>
      <c r="I2316" s="9">
        <f>IF($A2316="","",SUMIFS(Ventes_Encaissements!$D$6:$D$3005,Ventes_Encaissements!$B$6:$B$3005,$A2316))</f>
        <v/>
      </c>
      <c r="J2316" s="9">
        <f>IF($A2316="","",$H2316-$I2316)</f>
        <v/>
      </c>
      <c r="K2316" s="10">
        <f>IF($A2316="","",IF($I2316=0,"",_xludf.AGGREGATE(14,6,Ventes_Encaissements!$C$6:$C$3005/(Ventes_Encaissements!$B$6:$B$3005=$A2316),1)))</f>
        <v/>
      </c>
      <c r="L2316" s="11">
        <f>IF($A2316="","",COUNTIFS(Ventes_Detail!$B$6:$B$3005,$A2316))</f>
        <v/>
      </c>
      <c r="M2316" s="12" t="n"/>
      <c r="N2316" s="12">
        <f>IF($A2316="","",IF($G2316="","",IF($M2316="Oui","Litige",IF($J2316&lt;=0,"Payé",IF($I2316&gt;0,"Partiel",IF(Listes!$B$3&gt;$G2316,"En retard","À échoir"))))))</f>
        <v/>
      </c>
      <c r="O2316" s="11">
        <f>IF($A2316="","",IF(OR($G2316="", $J2316&lt;=0),0,MAX(0,Listes!$B$3-$G2316)))</f>
        <v/>
      </c>
      <c r="P2316" s="12">
        <f>IF($A2316="","",IF($J2316&lt;=0,"Payé",IF($M2316="Oui","Litige",IF($O2316=0,"À échoir",IF($O2316&lt;=30,"0-30",IF($O2316&lt;=60,"31-60",IF($O2316&lt;=90,"61-90","90+")))))))</f>
        <v/>
      </c>
    </row>
    <row r="2317">
      <c r="A2317" s="6" t="n"/>
      <c r="B2317" s="6" t="n"/>
      <c r="C2317" s="6" t="n"/>
      <c r="D2317" s="6" t="n"/>
      <c r="E2317" s="6" t="n"/>
      <c r="F2317" s="7" t="n"/>
      <c r="G2317" s="7" t="n"/>
      <c r="H2317" s="8" t="n"/>
      <c r="I2317" s="9">
        <f>IF($A2317="","",SUMIFS(Ventes_Encaissements!$D$6:$D$3005,Ventes_Encaissements!$B$6:$B$3005,$A2317))</f>
        <v/>
      </c>
      <c r="J2317" s="9">
        <f>IF($A2317="","",$H2317-$I2317)</f>
        <v/>
      </c>
      <c r="K2317" s="10">
        <f>IF($A2317="","",IF($I2317=0,"",_xludf.AGGREGATE(14,6,Ventes_Encaissements!$C$6:$C$3005/(Ventes_Encaissements!$B$6:$B$3005=$A2317),1)))</f>
        <v/>
      </c>
      <c r="L2317" s="11">
        <f>IF($A2317="","",COUNTIFS(Ventes_Detail!$B$6:$B$3005,$A2317))</f>
        <v/>
      </c>
      <c r="M2317" s="12" t="n"/>
      <c r="N2317" s="12">
        <f>IF($A2317="","",IF($G2317="","",IF($M2317="Oui","Litige",IF($J2317&lt;=0,"Payé",IF($I2317&gt;0,"Partiel",IF(Listes!$B$3&gt;$G2317,"En retard","À échoir"))))))</f>
        <v/>
      </c>
      <c r="O2317" s="11">
        <f>IF($A2317="","",IF(OR($G2317="", $J2317&lt;=0),0,MAX(0,Listes!$B$3-$G2317)))</f>
        <v/>
      </c>
      <c r="P2317" s="12">
        <f>IF($A2317="","",IF($J2317&lt;=0,"Payé",IF($M2317="Oui","Litige",IF($O2317=0,"À échoir",IF($O2317&lt;=30,"0-30",IF($O2317&lt;=60,"31-60",IF($O2317&lt;=90,"61-90","90+")))))))</f>
        <v/>
      </c>
    </row>
    <row r="2318">
      <c r="A2318" s="6" t="n"/>
      <c r="B2318" s="6" t="n"/>
      <c r="C2318" s="6" t="n"/>
      <c r="D2318" s="6" t="n"/>
      <c r="E2318" s="6" t="n"/>
      <c r="F2318" s="7" t="n"/>
      <c r="G2318" s="7" t="n"/>
      <c r="H2318" s="8" t="n"/>
      <c r="I2318" s="9">
        <f>IF($A2318="","",SUMIFS(Ventes_Encaissements!$D$6:$D$3005,Ventes_Encaissements!$B$6:$B$3005,$A2318))</f>
        <v/>
      </c>
      <c r="J2318" s="9">
        <f>IF($A2318="","",$H2318-$I2318)</f>
        <v/>
      </c>
      <c r="K2318" s="10">
        <f>IF($A2318="","",IF($I2318=0,"",_xludf.AGGREGATE(14,6,Ventes_Encaissements!$C$6:$C$3005/(Ventes_Encaissements!$B$6:$B$3005=$A2318),1)))</f>
        <v/>
      </c>
      <c r="L2318" s="11">
        <f>IF($A2318="","",COUNTIFS(Ventes_Detail!$B$6:$B$3005,$A2318))</f>
        <v/>
      </c>
      <c r="M2318" s="12" t="n"/>
      <c r="N2318" s="12">
        <f>IF($A2318="","",IF($G2318="","",IF($M2318="Oui","Litige",IF($J2318&lt;=0,"Payé",IF($I2318&gt;0,"Partiel",IF(Listes!$B$3&gt;$G2318,"En retard","À échoir"))))))</f>
        <v/>
      </c>
      <c r="O2318" s="11">
        <f>IF($A2318="","",IF(OR($G2318="", $J2318&lt;=0),0,MAX(0,Listes!$B$3-$G2318)))</f>
        <v/>
      </c>
      <c r="P2318" s="12">
        <f>IF($A2318="","",IF($J2318&lt;=0,"Payé",IF($M2318="Oui","Litige",IF($O2318=0,"À échoir",IF($O2318&lt;=30,"0-30",IF($O2318&lt;=60,"31-60",IF($O2318&lt;=90,"61-90","90+")))))))</f>
        <v/>
      </c>
    </row>
    <row r="2319">
      <c r="A2319" s="6" t="n"/>
      <c r="B2319" s="6" t="n"/>
      <c r="C2319" s="6" t="n"/>
      <c r="D2319" s="6" t="n"/>
      <c r="E2319" s="6" t="n"/>
      <c r="F2319" s="7" t="n"/>
      <c r="G2319" s="7" t="n"/>
      <c r="H2319" s="8" t="n"/>
      <c r="I2319" s="9">
        <f>IF($A2319="","",SUMIFS(Ventes_Encaissements!$D$6:$D$3005,Ventes_Encaissements!$B$6:$B$3005,$A2319))</f>
        <v/>
      </c>
      <c r="J2319" s="9">
        <f>IF($A2319="","",$H2319-$I2319)</f>
        <v/>
      </c>
      <c r="K2319" s="10">
        <f>IF($A2319="","",IF($I2319=0,"",_xludf.AGGREGATE(14,6,Ventes_Encaissements!$C$6:$C$3005/(Ventes_Encaissements!$B$6:$B$3005=$A2319),1)))</f>
        <v/>
      </c>
      <c r="L2319" s="11">
        <f>IF($A2319="","",COUNTIFS(Ventes_Detail!$B$6:$B$3005,$A2319))</f>
        <v/>
      </c>
      <c r="M2319" s="12" t="n"/>
      <c r="N2319" s="12">
        <f>IF($A2319="","",IF($G2319="","",IF($M2319="Oui","Litige",IF($J2319&lt;=0,"Payé",IF($I2319&gt;0,"Partiel",IF(Listes!$B$3&gt;$G2319,"En retard","À échoir"))))))</f>
        <v/>
      </c>
      <c r="O2319" s="11">
        <f>IF($A2319="","",IF(OR($G2319="", $J2319&lt;=0),0,MAX(0,Listes!$B$3-$G2319)))</f>
        <v/>
      </c>
      <c r="P2319" s="12">
        <f>IF($A2319="","",IF($J2319&lt;=0,"Payé",IF($M2319="Oui","Litige",IF($O2319=0,"À échoir",IF($O2319&lt;=30,"0-30",IF($O2319&lt;=60,"31-60",IF($O2319&lt;=90,"61-90","90+")))))))</f>
        <v/>
      </c>
    </row>
    <row r="2320">
      <c r="A2320" s="6" t="n"/>
      <c r="B2320" s="6" t="n"/>
      <c r="C2320" s="6" t="n"/>
      <c r="D2320" s="6" t="n"/>
      <c r="E2320" s="6" t="n"/>
      <c r="F2320" s="7" t="n"/>
      <c r="G2320" s="7" t="n"/>
      <c r="H2320" s="8" t="n"/>
      <c r="I2320" s="9">
        <f>IF($A2320="","",SUMIFS(Ventes_Encaissements!$D$6:$D$3005,Ventes_Encaissements!$B$6:$B$3005,$A2320))</f>
        <v/>
      </c>
      <c r="J2320" s="9">
        <f>IF($A2320="","",$H2320-$I2320)</f>
        <v/>
      </c>
      <c r="K2320" s="10">
        <f>IF($A2320="","",IF($I2320=0,"",_xludf.AGGREGATE(14,6,Ventes_Encaissements!$C$6:$C$3005/(Ventes_Encaissements!$B$6:$B$3005=$A2320),1)))</f>
        <v/>
      </c>
      <c r="L2320" s="11">
        <f>IF($A2320="","",COUNTIFS(Ventes_Detail!$B$6:$B$3005,$A2320))</f>
        <v/>
      </c>
      <c r="M2320" s="12" t="n"/>
      <c r="N2320" s="12">
        <f>IF($A2320="","",IF($G2320="","",IF($M2320="Oui","Litige",IF($J2320&lt;=0,"Payé",IF($I2320&gt;0,"Partiel",IF(Listes!$B$3&gt;$G2320,"En retard","À échoir"))))))</f>
        <v/>
      </c>
      <c r="O2320" s="11">
        <f>IF($A2320="","",IF(OR($G2320="", $J2320&lt;=0),0,MAX(0,Listes!$B$3-$G2320)))</f>
        <v/>
      </c>
      <c r="P2320" s="12">
        <f>IF($A2320="","",IF($J2320&lt;=0,"Payé",IF($M2320="Oui","Litige",IF($O2320=0,"À échoir",IF($O2320&lt;=30,"0-30",IF($O2320&lt;=60,"31-60",IF($O2320&lt;=90,"61-90","90+")))))))</f>
        <v/>
      </c>
    </row>
    <row r="2321">
      <c r="A2321" s="6" t="n"/>
      <c r="B2321" s="6" t="n"/>
      <c r="C2321" s="6" t="n"/>
      <c r="D2321" s="6" t="n"/>
      <c r="E2321" s="6" t="n"/>
      <c r="F2321" s="7" t="n"/>
      <c r="G2321" s="7" t="n"/>
      <c r="H2321" s="8" t="n"/>
      <c r="I2321" s="9">
        <f>IF($A2321="","",SUMIFS(Ventes_Encaissements!$D$6:$D$3005,Ventes_Encaissements!$B$6:$B$3005,$A2321))</f>
        <v/>
      </c>
      <c r="J2321" s="9">
        <f>IF($A2321="","",$H2321-$I2321)</f>
        <v/>
      </c>
      <c r="K2321" s="10">
        <f>IF($A2321="","",IF($I2321=0,"",_xludf.AGGREGATE(14,6,Ventes_Encaissements!$C$6:$C$3005/(Ventes_Encaissements!$B$6:$B$3005=$A2321),1)))</f>
        <v/>
      </c>
      <c r="L2321" s="11">
        <f>IF($A2321="","",COUNTIFS(Ventes_Detail!$B$6:$B$3005,$A2321))</f>
        <v/>
      </c>
      <c r="M2321" s="12" t="n"/>
      <c r="N2321" s="12">
        <f>IF($A2321="","",IF($G2321="","",IF($M2321="Oui","Litige",IF($J2321&lt;=0,"Payé",IF($I2321&gt;0,"Partiel",IF(Listes!$B$3&gt;$G2321,"En retard","À échoir"))))))</f>
        <v/>
      </c>
      <c r="O2321" s="11">
        <f>IF($A2321="","",IF(OR($G2321="", $J2321&lt;=0),0,MAX(0,Listes!$B$3-$G2321)))</f>
        <v/>
      </c>
      <c r="P2321" s="12">
        <f>IF($A2321="","",IF($J2321&lt;=0,"Payé",IF($M2321="Oui","Litige",IF($O2321=0,"À échoir",IF($O2321&lt;=30,"0-30",IF($O2321&lt;=60,"31-60",IF($O2321&lt;=90,"61-90","90+")))))))</f>
        <v/>
      </c>
    </row>
    <row r="2322">
      <c r="A2322" s="6" t="n"/>
      <c r="B2322" s="6" t="n"/>
      <c r="C2322" s="6" t="n"/>
      <c r="D2322" s="6" t="n"/>
      <c r="E2322" s="6" t="n"/>
      <c r="F2322" s="7" t="n"/>
      <c r="G2322" s="7" t="n"/>
      <c r="H2322" s="8" t="n"/>
      <c r="I2322" s="9">
        <f>IF($A2322="","",SUMIFS(Ventes_Encaissements!$D$6:$D$3005,Ventes_Encaissements!$B$6:$B$3005,$A2322))</f>
        <v/>
      </c>
      <c r="J2322" s="9">
        <f>IF($A2322="","",$H2322-$I2322)</f>
        <v/>
      </c>
      <c r="K2322" s="10">
        <f>IF($A2322="","",IF($I2322=0,"",_xludf.AGGREGATE(14,6,Ventes_Encaissements!$C$6:$C$3005/(Ventes_Encaissements!$B$6:$B$3005=$A2322),1)))</f>
        <v/>
      </c>
      <c r="L2322" s="11">
        <f>IF($A2322="","",COUNTIFS(Ventes_Detail!$B$6:$B$3005,$A2322))</f>
        <v/>
      </c>
      <c r="M2322" s="12" t="n"/>
      <c r="N2322" s="12">
        <f>IF($A2322="","",IF($G2322="","",IF($M2322="Oui","Litige",IF($J2322&lt;=0,"Payé",IF($I2322&gt;0,"Partiel",IF(Listes!$B$3&gt;$G2322,"En retard","À échoir"))))))</f>
        <v/>
      </c>
      <c r="O2322" s="11">
        <f>IF($A2322="","",IF(OR($G2322="", $J2322&lt;=0),0,MAX(0,Listes!$B$3-$G2322)))</f>
        <v/>
      </c>
      <c r="P2322" s="12">
        <f>IF($A2322="","",IF($J2322&lt;=0,"Payé",IF($M2322="Oui","Litige",IF($O2322=0,"À échoir",IF($O2322&lt;=30,"0-30",IF($O2322&lt;=60,"31-60",IF($O2322&lt;=90,"61-90","90+")))))))</f>
        <v/>
      </c>
    </row>
    <row r="2323">
      <c r="A2323" s="6" t="n"/>
      <c r="B2323" s="6" t="n"/>
      <c r="C2323" s="6" t="n"/>
      <c r="D2323" s="6" t="n"/>
      <c r="E2323" s="6" t="n"/>
      <c r="F2323" s="7" t="n"/>
      <c r="G2323" s="7" t="n"/>
      <c r="H2323" s="8" t="n"/>
      <c r="I2323" s="9">
        <f>IF($A2323="","",SUMIFS(Ventes_Encaissements!$D$6:$D$3005,Ventes_Encaissements!$B$6:$B$3005,$A2323))</f>
        <v/>
      </c>
      <c r="J2323" s="9">
        <f>IF($A2323="","",$H2323-$I2323)</f>
        <v/>
      </c>
      <c r="K2323" s="10">
        <f>IF($A2323="","",IF($I2323=0,"",_xludf.AGGREGATE(14,6,Ventes_Encaissements!$C$6:$C$3005/(Ventes_Encaissements!$B$6:$B$3005=$A2323),1)))</f>
        <v/>
      </c>
      <c r="L2323" s="11">
        <f>IF($A2323="","",COUNTIFS(Ventes_Detail!$B$6:$B$3005,$A2323))</f>
        <v/>
      </c>
      <c r="M2323" s="12" t="n"/>
      <c r="N2323" s="12">
        <f>IF($A2323="","",IF($G2323="","",IF($M2323="Oui","Litige",IF($J2323&lt;=0,"Payé",IF($I2323&gt;0,"Partiel",IF(Listes!$B$3&gt;$G2323,"En retard","À échoir"))))))</f>
        <v/>
      </c>
      <c r="O2323" s="11">
        <f>IF($A2323="","",IF(OR($G2323="", $J2323&lt;=0),0,MAX(0,Listes!$B$3-$G2323)))</f>
        <v/>
      </c>
      <c r="P2323" s="12">
        <f>IF($A2323="","",IF($J2323&lt;=0,"Payé",IF($M2323="Oui","Litige",IF($O2323=0,"À échoir",IF($O2323&lt;=30,"0-30",IF($O2323&lt;=60,"31-60",IF($O2323&lt;=90,"61-90","90+")))))))</f>
        <v/>
      </c>
    </row>
    <row r="2324">
      <c r="A2324" s="6" t="n"/>
      <c r="B2324" s="6" t="n"/>
      <c r="C2324" s="6" t="n"/>
      <c r="D2324" s="6" t="n"/>
      <c r="E2324" s="6" t="n"/>
      <c r="F2324" s="7" t="n"/>
      <c r="G2324" s="7" t="n"/>
      <c r="H2324" s="8" t="n"/>
      <c r="I2324" s="9">
        <f>IF($A2324="","",SUMIFS(Ventes_Encaissements!$D$6:$D$3005,Ventes_Encaissements!$B$6:$B$3005,$A2324))</f>
        <v/>
      </c>
      <c r="J2324" s="9">
        <f>IF($A2324="","",$H2324-$I2324)</f>
        <v/>
      </c>
      <c r="K2324" s="10">
        <f>IF($A2324="","",IF($I2324=0,"",_xludf.AGGREGATE(14,6,Ventes_Encaissements!$C$6:$C$3005/(Ventes_Encaissements!$B$6:$B$3005=$A2324),1)))</f>
        <v/>
      </c>
      <c r="L2324" s="11">
        <f>IF($A2324="","",COUNTIFS(Ventes_Detail!$B$6:$B$3005,$A2324))</f>
        <v/>
      </c>
      <c r="M2324" s="12" t="n"/>
      <c r="N2324" s="12">
        <f>IF($A2324="","",IF($G2324="","",IF($M2324="Oui","Litige",IF($J2324&lt;=0,"Payé",IF($I2324&gt;0,"Partiel",IF(Listes!$B$3&gt;$G2324,"En retard","À échoir"))))))</f>
        <v/>
      </c>
      <c r="O2324" s="11">
        <f>IF($A2324="","",IF(OR($G2324="", $J2324&lt;=0),0,MAX(0,Listes!$B$3-$G2324)))</f>
        <v/>
      </c>
      <c r="P2324" s="12">
        <f>IF($A2324="","",IF($J2324&lt;=0,"Payé",IF($M2324="Oui","Litige",IF($O2324=0,"À échoir",IF($O2324&lt;=30,"0-30",IF($O2324&lt;=60,"31-60",IF($O2324&lt;=90,"61-90","90+")))))))</f>
        <v/>
      </c>
    </row>
    <row r="2325">
      <c r="A2325" s="6" t="n"/>
      <c r="B2325" s="6" t="n"/>
      <c r="C2325" s="6" t="n"/>
      <c r="D2325" s="6" t="n"/>
      <c r="E2325" s="6" t="n"/>
      <c r="F2325" s="7" t="n"/>
      <c r="G2325" s="7" t="n"/>
      <c r="H2325" s="8" t="n"/>
      <c r="I2325" s="9">
        <f>IF($A2325="","",SUMIFS(Ventes_Encaissements!$D$6:$D$3005,Ventes_Encaissements!$B$6:$B$3005,$A2325))</f>
        <v/>
      </c>
      <c r="J2325" s="9">
        <f>IF($A2325="","",$H2325-$I2325)</f>
        <v/>
      </c>
      <c r="K2325" s="10">
        <f>IF($A2325="","",IF($I2325=0,"",_xludf.AGGREGATE(14,6,Ventes_Encaissements!$C$6:$C$3005/(Ventes_Encaissements!$B$6:$B$3005=$A2325),1)))</f>
        <v/>
      </c>
      <c r="L2325" s="11">
        <f>IF($A2325="","",COUNTIFS(Ventes_Detail!$B$6:$B$3005,$A2325))</f>
        <v/>
      </c>
      <c r="M2325" s="12" t="n"/>
      <c r="N2325" s="12">
        <f>IF($A2325="","",IF($G2325="","",IF($M2325="Oui","Litige",IF($J2325&lt;=0,"Payé",IF($I2325&gt;0,"Partiel",IF(Listes!$B$3&gt;$G2325,"En retard","À échoir"))))))</f>
        <v/>
      </c>
      <c r="O2325" s="11">
        <f>IF($A2325="","",IF(OR($G2325="", $J2325&lt;=0),0,MAX(0,Listes!$B$3-$G2325)))</f>
        <v/>
      </c>
      <c r="P2325" s="12">
        <f>IF($A2325="","",IF($J2325&lt;=0,"Payé",IF($M2325="Oui","Litige",IF($O2325=0,"À échoir",IF($O2325&lt;=30,"0-30",IF($O2325&lt;=60,"31-60",IF($O2325&lt;=90,"61-90","90+")))))))</f>
        <v/>
      </c>
    </row>
    <row r="2326">
      <c r="A2326" s="6" t="n"/>
      <c r="B2326" s="6" t="n"/>
      <c r="C2326" s="6" t="n"/>
      <c r="D2326" s="6" t="n"/>
      <c r="E2326" s="6" t="n"/>
      <c r="F2326" s="7" t="n"/>
      <c r="G2326" s="7" t="n"/>
      <c r="H2326" s="8" t="n"/>
      <c r="I2326" s="9">
        <f>IF($A2326="","",SUMIFS(Ventes_Encaissements!$D$6:$D$3005,Ventes_Encaissements!$B$6:$B$3005,$A2326))</f>
        <v/>
      </c>
      <c r="J2326" s="9">
        <f>IF($A2326="","",$H2326-$I2326)</f>
        <v/>
      </c>
      <c r="K2326" s="10">
        <f>IF($A2326="","",IF($I2326=0,"",_xludf.AGGREGATE(14,6,Ventes_Encaissements!$C$6:$C$3005/(Ventes_Encaissements!$B$6:$B$3005=$A2326),1)))</f>
        <v/>
      </c>
      <c r="L2326" s="11">
        <f>IF($A2326="","",COUNTIFS(Ventes_Detail!$B$6:$B$3005,$A2326))</f>
        <v/>
      </c>
      <c r="M2326" s="12" t="n"/>
      <c r="N2326" s="12">
        <f>IF($A2326="","",IF($G2326="","",IF($M2326="Oui","Litige",IF($J2326&lt;=0,"Payé",IF($I2326&gt;0,"Partiel",IF(Listes!$B$3&gt;$G2326,"En retard","À échoir"))))))</f>
        <v/>
      </c>
      <c r="O2326" s="11">
        <f>IF($A2326="","",IF(OR($G2326="", $J2326&lt;=0),0,MAX(0,Listes!$B$3-$G2326)))</f>
        <v/>
      </c>
      <c r="P2326" s="12">
        <f>IF($A2326="","",IF($J2326&lt;=0,"Payé",IF($M2326="Oui","Litige",IF($O2326=0,"À échoir",IF($O2326&lt;=30,"0-30",IF($O2326&lt;=60,"31-60",IF($O2326&lt;=90,"61-90","90+")))))))</f>
        <v/>
      </c>
    </row>
    <row r="2327">
      <c r="A2327" s="6" t="n"/>
      <c r="B2327" s="6" t="n"/>
      <c r="C2327" s="6" t="n"/>
      <c r="D2327" s="6" t="n"/>
      <c r="E2327" s="6" t="n"/>
      <c r="F2327" s="7" t="n"/>
      <c r="G2327" s="7" t="n"/>
      <c r="H2327" s="8" t="n"/>
      <c r="I2327" s="9">
        <f>IF($A2327="","",SUMIFS(Ventes_Encaissements!$D$6:$D$3005,Ventes_Encaissements!$B$6:$B$3005,$A2327))</f>
        <v/>
      </c>
      <c r="J2327" s="9">
        <f>IF($A2327="","",$H2327-$I2327)</f>
        <v/>
      </c>
      <c r="K2327" s="10">
        <f>IF($A2327="","",IF($I2327=0,"",_xludf.AGGREGATE(14,6,Ventes_Encaissements!$C$6:$C$3005/(Ventes_Encaissements!$B$6:$B$3005=$A2327),1)))</f>
        <v/>
      </c>
      <c r="L2327" s="11">
        <f>IF($A2327="","",COUNTIFS(Ventes_Detail!$B$6:$B$3005,$A2327))</f>
        <v/>
      </c>
      <c r="M2327" s="12" t="n"/>
      <c r="N2327" s="12">
        <f>IF($A2327="","",IF($G2327="","",IF($M2327="Oui","Litige",IF($J2327&lt;=0,"Payé",IF($I2327&gt;0,"Partiel",IF(Listes!$B$3&gt;$G2327,"En retard","À échoir"))))))</f>
        <v/>
      </c>
      <c r="O2327" s="11">
        <f>IF($A2327="","",IF(OR($G2327="", $J2327&lt;=0),0,MAX(0,Listes!$B$3-$G2327)))</f>
        <v/>
      </c>
      <c r="P2327" s="12">
        <f>IF($A2327="","",IF($J2327&lt;=0,"Payé",IF($M2327="Oui","Litige",IF($O2327=0,"À échoir",IF($O2327&lt;=30,"0-30",IF($O2327&lt;=60,"31-60",IF($O2327&lt;=90,"61-90","90+")))))))</f>
        <v/>
      </c>
    </row>
    <row r="2328">
      <c r="A2328" s="6" t="n"/>
      <c r="B2328" s="6" t="n"/>
      <c r="C2328" s="6" t="n"/>
      <c r="D2328" s="6" t="n"/>
      <c r="E2328" s="6" t="n"/>
      <c r="F2328" s="7" t="n"/>
      <c r="G2328" s="7" t="n"/>
      <c r="H2328" s="8" t="n"/>
      <c r="I2328" s="9">
        <f>IF($A2328="","",SUMIFS(Ventes_Encaissements!$D$6:$D$3005,Ventes_Encaissements!$B$6:$B$3005,$A2328))</f>
        <v/>
      </c>
      <c r="J2328" s="9">
        <f>IF($A2328="","",$H2328-$I2328)</f>
        <v/>
      </c>
      <c r="K2328" s="10">
        <f>IF($A2328="","",IF($I2328=0,"",_xludf.AGGREGATE(14,6,Ventes_Encaissements!$C$6:$C$3005/(Ventes_Encaissements!$B$6:$B$3005=$A2328),1)))</f>
        <v/>
      </c>
      <c r="L2328" s="11">
        <f>IF($A2328="","",COUNTIFS(Ventes_Detail!$B$6:$B$3005,$A2328))</f>
        <v/>
      </c>
      <c r="M2328" s="12" t="n"/>
      <c r="N2328" s="12">
        <f>IF($A2328="","",IF($G2328="","",IF($M2328="Oui","Litige",IF($J2328&lt;=0,"Payé",IF($I2328&gt;0,"Partiel",IF(Listes!$B$3&gt;$G2328,"En retard","À échoir"))))))</f>
        <v/>
      </c>
      <c r="O2328" s="11">
        <f>IF($A2328="","",IF(OR($G2328="", $J2328&lt;=0),0,MAX(0,Listes!$B$3-$G2328)))</f>
        <v/>
      </c>
      <c r="P2328" s="12">
        <f>IF($A2328="","",IF($J2328&lt;=0,"Payé",IF($M2328="Oui","Litige",IF($O2328=0,"À échoir",IF($O2328&lt;=30,"0-30",IF($O2328&lt;=60,"31-60",IF($O2328&lt;=90,"61-90","90+")))))))</f>
        <v/>
      </c>
    </row>
    <row r="2329">
      <c r="A2329" s="6" t="n"/>
      <c r="B2329" s="6" t="n"/>
      <c r="C2329" s="6" t="n"/>
      <c r="D2329" s="6" t="n"/>
      <c r="E2329" s="6" t="n"/>
      <c r="F2329" s="7" t="n"/>
      <c r="G2329" s="7" t="n"/>
      <c r="H2329" s="8" t="n"/>
      <c r="I2329" s="9">
        <f>IF($A2329="","",SUMIFS(Ventes_Encaissements!$D$6:$D$3005,Ventes_Encaissements!$B$6:$B$3005,$A2329))</f>
        <v/>
      </c>
      <c r="J2329" s="9">
        <f>IF($A2329="","",$H2329-$I2329)</f>
        <v/>
      </c>
      <c r="K2329" s="10">
        <f>IF($A2329="","",IF($I2329=0,"",_xludf.AGGREGATE(14,6,Ventes_Encaissements!$C$6:$C$3005/(Ventes_Encaissements!$B$6:$B$3005=$A2329),1)))</f>
        <v/>
      </c>
      <c r="L2329" s="11">
        <f>IF($A2329="","",COUNTIFS(Ventes_Detail!$B$6:$B$3005,$A2329))</f>
        <v/>
      </c>
      <c r="M2329" s="12" t="n"/>
      <c r="N2329" s="12">
        <f>IF($A2329="","",IF($G2329="","",IF($M2329="Oui","Litige",IF($J2329&lt;=0,"Payé",IF($I2329&gt;0,"Partiel",IF(Listes!$B$3&gt;$G2329,"En retard","À échoir"))))))</f>
        <v/>
      </c>
      <c r="O2329" s="11">
        <f>IF($A2329="","",IF(OR($G2329="", $J2329&lt;=0),0,MAX(0,Listes!$B$3-$G2329)))</f>
        <v/>
      </c>
      <c r="P2329" s="12">
        <f>IF($A2329="","",IF($J2329&lt;=0,"Payé",IF($M2329="Oui","Litige",IF($O2329=0,"À échoir",IF($O2329&lt;=30,"0-30",IF($O2329&lt;=60,"31-60",IF($O2329&lt;=90,"61-90","90+")))))))</f>
        <v/>
      </c>
    </row>
    <row r="2330">
      <c r="A2330" s="6" t="n"/>
      <c r="B2330" s="6" t="n"/>
      <c r="C2330" s="6" t="n"/>
      <c r="D2330" s="6" t="n"/>
      <c r="E2330" s="6" t="n"/>
      <c r="F2330" s="7" t="n"/>
      <c r="G2330" s="7" t="n"/>
      <c r="H2330" s="8" t="n"/>
      <c r="I2330" s="9">
        <f>IF($A2330="","",SUMIFS(Ventes_Encaissements!$D$6:$D$3005,Ventes_Encaissements!$B$6:$B$3005,$A2330))</f>
        <v/>
      </c>
      <c r="J2330" s="9">
        <f>IF($A2330="","",$H2330-$I2330)</f>
        <v/>
      </c>
      <c r="K2330" s="10">
        <f>IF($A2330="","",IF($I2330=0,"",_xludf.AGGREGATE(14,6,Ventes_Encaissements!$C$6:$C$3005/(Ventes_Encaissements!$B$6:$B$3005=$A2330),1)))</f>
        <v/>
      </c>
      <c r="L2330" s="11">
        <f>IF($A2330="","",COUNTIFS(Ventes_Detail!$B$6:$B$3005,$A2330))</f>
        <v/>
      </c>
      <c r="M2330" s="12" t="n"/>
      <c r="N2330" s="12">
        <f>IF($A2330="","",IF($G2330="","",IF($M2330="Oui","Litige",IF($J2330&lt;=0,"Payé",IF($I2330&gt;0,"Partiel",IF(Listes!$B$3&gt;$G2330,"En retard","À échoir"))))))</f>
        <v/>
      </c>
      <c r="O2330" s="11">
        <f>IF($A2330="","",IF(OR($G2330="", $J2330&lt;=0),0,MAX(0,Listes!$B$3-$G2330)))</f>
        <v/>
      </c>
      <c r="P2330" s="12">
        <f>IF($A2330="","",IF($J2330&lt;=0,"Payé",IF($M2330="Oui","Litige",IF($O2330=0,"À échoir",IF($O2330&lt;=30,"0-30",IF($O2330&lt;=60,"31-60",IF($O2330&lt;=90,"61-90","90+")))))))</f>
        <v/>
      </c>
    </row>
    <row r="2331">
      <c r="A2331" s="6" t="n"/>
      <c r="B2331" s="6" t="n"/>
      <c r="C2331" s="6" t="n"/>
      <c r="D2331" s="6" t="n"/>
      <c r="E2331" s="6" t="n"/>
      <c r="F2331" s="7" t="n"/>
      <c r="G2331" s="7" t="n"/>
      <c r="H2331" s="8" t="n"/>
      <c r="I2331" s="9">
        <f>IF($A2331="","",SUMIFS(Ventes_Encaissements!$D$6:$D$3005,Ventes_Encaissements!$B$6:$B$3005,$A2331))</f>
        <v/>
      </c>
      <c r="J2331" s="9">
        <f>IF($A2331="","",$H2331-$I2331)</f>
        <v/>
      </c>
      <c r="K2331" s="10">
        <f>IF($A2331="","",IF($I2331=0,"",_xludf.AGGREGATE(14,6,Ventes_Encaissements!$C$6:$C$3005/(Ventes_Encaissements!$B$6:$B$3005=$A2331),1)))</f>
        <v/>
      </c>
      <c r="L2331" s="11">
        <f>IF($A2331="","",COUNTIFS(Ventes_Detail!$B$6:$B$3005,$A2331))</f>
        <v/>
      </c>
      <c r="M2331" s="12" t="n"/>
      <c r="N2331" s="12">
        <f>IF($A2331="","",IF($G2331="","",IF($M2331="Oui","Litige",IF($J2331&lt;=0,"Payé",IF($I2331&gt;0,"Partiel",IF(Listes!$B$3&gt;$G2331,"En retard","À échoir"))))))</f>
        <v/>
      </c>
      <c r="O2331" s="11">
        <f>IF($A2331="","",IF(OR($G2331="", $J2331&lt;=0),0,MAX(0,Listes!$B$3-$G2331)))</f>
        <v/>
      </c>
      <c r="P2331" s="12">
        <f>IF($A2331="","",IF($J2331&lt;=0,"Payé",IF($M2331="Oui","Litige",IF($O2331=0,"À échoir",IF($O2331&lt;=30,"0-30",IF($O2331&lt;=60,"31-60",IF($O2331&lt;=90,"61-90","90+")))))))</f>
        <v/>
      </c>
    </row>
    <row r="2332">
      <c r="A2332" s="6" t="n"/>
      <c r="B2332" s="6" t="n"/>
      <c r="C2332" s="6" t="n"/>
      <c r="D2332" s="6" t="n"/>
      <c r="E2332" s="6" t="n"/>
      <c r="F2332" s="7" t="n"/>
      <c r="G2332" s="7" t="n"/>
      <c r="H2332" s="8" t="n"/>
      <c r="I2332" s="9">
        <f>IF($A2332="","",SUMIFS(Ventes_Encaissements!$D$6:$D$3005,Ventes_Encaissements!$B$6:$B$3005,$A2332))</f>
        <v/>
      </c>
      <c r="J2332" s="9">
        <f>IF($A2332="","",$H2332-$I2332)</f>
        <v/>
      </c>
      <c r="K2332" s="10">
        <f>IF($A2332="","",IF($I2332=0,"",_xludf.AGGREGATE(14,6,Ventes_Encaissements!$C$6:$C$3005/(Ventes_Encaissements!$B$6:$B$3005=$A2332),1)))</f>
        <v/>
      </c>
      <c r="L2332" s="11">
        <f>IF($A2332="","",COUNTIFS(Ventes_Detail!$B$6:$B$3005,$A2332))</f>
        <v/>
      </c>
      <c r="M2332" s="12" t="n"/>
      <c r="N2332" s="12">
        <f>IF($A2332="","",IF($G2332="","",IF($M2332="Oui","Litige",IF($J2332&lt;=0,"Payé",IF($I2332&gt;0,"Partiel",IF(Listes!$B$3&gt;$G2332,"En retard","À échoir"))))))</f>
        <v/>
      </c>
      <c r="O2332" s="11">
        <f>IF($A2332="","",IF(OR($G2332="", $J2332&lt;=0),0,MAX(0,Listes!$B$3-$G2332)))</f>
        <v/>
      </c>
      <c r="P2332" s="12">
        <f>IF($A2332="","",IF($J2332&lt;=0,"Payé",IF($M2332="Oui","Litige",IF($O2332=0,"À échoir",IF($O2332&lt;=30,"0-30",IF($O2332&lt;=60,"31-60",IF($O2332&lt;=90,"61-90","90+")))))))</f>
        <v/>
      </c>
    </row>
    <row r="2333">
      <c r="A2333" s="6" t="n"/>
      <c r="B2333" s="6" t="n"/>
      <c r="C2333" s="6" t="n"/>
      <c r="D2333" s="6" t="n"/>
      <c r="E2333" s="6" t="n"/>
      <c r="F2333" s="7" t="n"/>
      <c r="G2333" s="7" t="n"/>
      <c r="H2333" s="8" t="n"/>
      <c r="I2333" s="9">
        <f>IF($A2333="","",SUMIFS(Ventes_Encaissements!$D$6:$D$3005,Ventes_Encaissements!$B$6:$B$3005,$A2333))</f>
        <v/>
      </c>
      <c r="J2333" s="9">
        <f>IF($A2333="","",$H2333-$I2333)</f>
        <v/>
      </c>
      <c r="K2333" s="10">
        <f>IF($A2333="","",IF($I2333=0,"",_xludf.AGGREGATE(14,6,Ventes_Encaissements!$C$6:$C$3005/(Ventes_Encaissements!$B$6:$B$3005=$A2333),1)))</f>
        <v/>
      </c>
      <c r="L2333" s="11">
        <f>IF($A2333="","",COUNTIFS(Ventes_Detail!$B$6:$B$3005,$A2333))</f>
        <v/>
      </c>
      <c r="M2333" s="12" t="n"/>
      <c r="N2333" s="12">
        <f>IF($A2333="","",IF($G2333="","",IF($M2333="Oui","Litige",IF($J2333&lt;=0,"Payé",IF($I2333&gt;0,"Partiel",IF(Listes!$B$3&gt;$G2333,"En retard","À échoir"))))))</f>
        <v/>
      </c>
      <c r="O2333" s="11">
        <f>IF($A2333="","",IF(OR($G2333="", $J2333&lt;=0),0,MAX(0,Listes!$B$3-$G2333)))</f>
        <v/>
      </c>
      <c r="P2333" s="12">
        <f>IF($A2333="","",IF($J2333&lt;=0,"Payé",IF($M2333="Oui","Litige",IF($O2333=0,"À échoir",IF($O2333&lt;=30,"0-30",IF($O2333&lt;=60,"31-60",IF($O2333&lt;=90,"61-90","90+")))))))</f>
        <v/>
      </c>
    </row>
    <row r="2334">
      <c r="A2334" s="6" t="n"/>
      <c r="B2334" s="6" t="n"/>
      <c r="C2334" s="6" t="n"/>
      <c r="D2334" s="6" t="n"/>
      <c r="E2334" s="6" t="n"/>
      <c r="F2334" s="7" t="n"/>
      <c r="G2334" s="7" t="n"/>
      <c r="H2334" s="8" t="n"/>
      <c r="I2334" s="9">
        <f>IF($A2334="","",SUMIFS(Ventes_Encaissements!$D$6:$D$3005,Ventes_Encaissements!$B$6:$B$3005,$A2334))</f>
        <v/>
      </c>
      <c r="J2334" s="9">
        <f>IF($A2334="","",$H2334-$I2334)</f>
        <v/>
      </c>
      <c r="K2334" s="10">
        <f>IF($A2334="","",IF($I2334=0,"",_xludf.AGGREGATE(14,6,Ventes_Encaissements!$C$6:$C$3005/(Ventes_Encaissements!$B$6:$B$3005=$A2334),1)))</f>
        <v/>
      </c>
      <c r="L2334" s="11">
        <f>IF($A2334="","",COUNTIFS(Ventes_Detail!$B$6:$B$3005,$A2334))</f>
        <v/>
      </c>
      <c r="M2334" s="12" t="n"/>
      <c r="N2334" s="12">
        <f>IF($A2334="","",IF($G2334="","",IF($M2334="Oui","Litige",IF($J2334&lt;=0,"Payé",IF($I2334&gt;0,"Partiel",IF(Listes!$B$3&gt;$G2334,"En retard","À échoir"))))))</f>
        <v/>
      </c>
      <c r="O2334" s="11">
        <f>IF($A2334="","",IF(OR($G2334="", $J2334&lt;=0),0,MAX(0,Listes!$B$3-$G2334)))</f>
        <v/>
      </c>
      <c r="P2334" s="12">
        <f>IF($A2334="","",IF($J2334&lt;=0,"Payé",IF($M2334="Oui","Litige",IF($O2334=0,"À échoir",IF($O2334&lt;=30,"0-30",IF($O2334&lt;=60,"31-60",IF($O2334&lt;=90,"61-90","90+")))))))</f>
        <v/>
      </c>
    </row>
    <row r="2335">
      <c r="A2335" s="6" t="n"/>
      <c r="B2335" s="6" t="n"/>
      <c r="C2335" s="6" t="n"/>
      <c r="D2335" s="6" t="n"/>
      <c r="E2335" s="6" t="n"/>
      <c r="F2335" s="7" t="n"/>
      <c r="G2335" s="7" t="n"/>
      <c r="H2335" s="8" t="n"/>
      <c r="I2335" s="9">
        <f>IF($A2335="","",SUMIFS(Ventes_Encaissements!$D$6:$D$3005,Ventes_Encaissements!$B$6:$B$3005,$A2335))</f>
        <v/>
      </c>
      <c r="J2335" s="9">
        <f>IF($A2335="","",$H2335-$I2335)</f>
        <v/>
      </c>
      <c r="K2335" s="10">
        <f>IF($A2335="","",IF($I2335=0,"",_xludf.AGGREGATE(14,6,Ventes_Encaissements!$C$6:$C$3005/(Ventes_Encaissements!$B$6:$B$3005=$A2335),1)))</f>
        <v/>
      </c>
      <c r="L2335" s="11">
        <f>IF($A2335="","",COUNTIFS(Ventes_Detail!$B$6:$B$3005,$A2335))</f>
        <v/>
      </c>
      <c r="M2335" s="12" t="n"/>
      <c r="N2335" s="12">
        <f>IF($A2335="","",IF($G2335="","",IF($M2335="Oui","Litige",IF($J2335&lt;=0,"Payé",IF($I2335&gt;0,"Partiel",IF(Listes!$B$3&gt;$G2335,"En retard","À échoir"))))))</f>
        <v/>
      </c>
      <c r="O2335" s="11">
        <f>IF($A2335="","",IF(OR($G2335="", $J2335&lt;=0),0,MAX(0,Listes!$B$3-$G2335)))</f>
        <v/>
      </c>
      <c r="P2335" s="12">
        <f>IF($A2335="","",IF($J2335&lt;=0,"Payé",IF($M2335="Oui","Litige",IF($O2335=0,"À échoir",IF($O2335&lt;=30,"0-30",IF($O2335&lt;=60,"31-60",IF($O2335&lt;=90,"61-90","90+")))))))</f>
        <v/>
      </c>
    </row>
    <row r="2336">
      <c r="A2336" s="6" t="n"/>
      <c r="B2336" s="6" t="n"/>
      <c r="C2336" s="6" t="n"/>
      <c r="D2336" s="6" t="n"/>
      <c r="E2336" s="6" t="n"/>
      <c r="F2336" s="7" t="n"/>
      <c r="G2336" s="7" t="n"/>
      <c r="H2336" s="8" t="n"/>
      <c r="I2336" s="9">
        <f>IF($A2336="","",SUMIFS(Ventes_Encaissements!$D$6:$D$3005,Ventes_Encaissements!$B$6:$B$3005,$A2336))</f>
        <v/>
      </c>
      <c r="J2336" s="9">
        <f>IF($A2336="","",$H2336-$I2336)</f>
        <v/>
      </c>
      <c r="K2336" s="10">
        <f>IF($A2336="","",IF($I2336=0,"",_xludf.AGGREGATE(14,6,Ventes_Encaissements!$C$6:$C$3005/(Ventes_Encaissements!$B$6:$B$3005=$A2336),1)))</f>
        <v/>
      </c>
      <c r="L2336" s="11">
        <f>IF($A2336="","",COUNTIFS(Ventes_Detail!$B$6:$B$3005,$A2336))</f>
        <v/>
      </c>
      <c r="M2336" s="12" t="n"/>
      <c r="N2336" s="12">
        <f>IF($A2336="","",IF($G2336="","",IF($M2336="Oui","Litige",IF($J2336&lt;=0,"Payé",IF($I2336&gt;0,"Partiel",IF(Listes!$B$3&gt;$G2336,"En retard","À échoir"))))))</f>
        <v/>
      </c>
      <c r="O2336" s="11">
        <f>IF($A2336="","",IF(OR($G2336="", $J2336&lt;=0),0,MAX(0,Listes!$B$3-$G2336)))</f>
        <v/>
      </c>
      <c r="P2336" s="12">
        <f>IF($A2336="","",IF($J2336&lt;=0,"Payé",IF($M2336="Oui","Litige",IF($O2336=0,"À échoir",IF($O2336&lt;=30,"0-30",IF($O2336&lt;=60,"31-60",IF($O2336&lt;=90,"61-90","90+")))))))</f>
        <v/>
      </c>
    </row>
    <row r="2337">
      <c r="A2337" s="6" t="n"/>
      <c r="B2337" s="6" t="n"/>
      <c r="C2337" s="6" t="n"/>
      <c r="D2337" s="6" t="n"/>
      <c r="E2337" s="6" t="n"/>
      <c r="F2337" s="7" t="n"/>
      <c r="G2337" s="7" t="n"/>
      <c r="H2337" s="8" t="n"/>
      <c r="I2337" s="9">
        <f>IF($A2337="","",SUMIFS(Ventes_Encaissements!$D$6:$D$3005,Ventes_Encaissements!$B$6:$B$3005,$A2337))</f>
        <v/>
      </c>
      <c r="J2337" s="9">
        <f>IF($A2337="","",$H2337-$I2337)</f>
        <v/>
      </c>
      <c r="K2337" s="10">
        <f>IF($A2337="","",IF($I2337=0,"",_xludf.AGGREGATE(14,6,Ventes_Encaissements!$C$6:$C$3005/(Ventes_Encaissements!$B$6:$B$3005=$A2337),1)))</f>
        <v/>
      </c>
      <c r="L2337" s="11">
        <f>IF($A2337="","",COUNTIFS(Ventes_Detail!$B$6:$B$3005,$A2337))</f>
        <v/>
      </c>
      <c r="M2337" s="12" t="n"/>
      <c r="N2337" s="12">
        <f>IF($A2337="","",IF($G2337="","",IF($M2337="Oui","Litige",IF($J2337&lt;=0,"Payé",IF($I2337&gt;0,"Partiel",IF(Listes!$B$3&gt;$G2337,"En retard","À échoir"))))))</f>
        <v/>
      </c>
      <c r="O2337" s="11">
        <f>IF($A2337="","",IF(OR($G2337="", $J2337&lt;=0),0,MAX(0,Listes!$B$3-$G2337)))</f>
        <v/>
      </c>
      <c r="P2337" s="12">
        <f>IF($A2337="","",IF($J2337&lt;=0,"Payé",IF($M2337="Oui","Litige",IF($O2337=0,"À échoir",IF($O2337&lt;=30,"0-30",IF($O2337&lt;=60,"31-60",IF($O2337&lt;=90,"61-90","90+")))))))</f>
        <v/>
      </c>
    </row>
    <row r="2338">
      <c r="A2338" s="6" t="n"/>
      <c r="B2338" s="6" t="n"/>
      <c r="C2338" s="6" t="n"/>
      <c r="D2338" s="6" t="n"/>
      <c r="E2338" s="6" t="n"/>
      <c r="F2338" s="7" t="n"/>
      <c r="G2338" s="7" t="n"/>
      <c r="H2338" s="8" t="n"/>
      <c r="I2338" s="9">
        <f>IF($A2338="","",SUMIFS(Ventes_Encaissements!$D$6:$D$3005,Ventes_Encaissements!$B$6:$B$3005,$A2338))</f>
        <v/>
      </c>
      <c r="J2338" s="9">
        <f>IF($A2338="","",$H2338-$I2338)</f>
        <v/>
      </c>
      <c r="K2338" s="10">
        <f>IF($A2338="","",IF($I2338=0,"",_xludf.AGGREGATE(14,6,Ventes_Encaissements!$C$6:$C$3005/(Ventes_Encaissements!$B$6:$B$3005=$A2338),1)))</f>
        <v/>
      </c>
      <c r="L2338" s="11">
        <f>IF($A2338="","",COUNTIFS(Ventes_Detail!$B$6:$B$3005,$A2338))</f>
        <v/>
      </c>
      <c r="M2338" s="12" t="n"/>
      <c r="N2338" s="12">
        <f>IF($A2338="","",IF($G2338="","",IF($M2338="Oui","Litige",IF($J2338&lt;=0,"Payé",IF($I2338&gt;0,"Partiel",IF(Listes!$B$3&gt;$G2338,"En retard","À échoir"))))))</f>
        <v/>
      </c>
      <c r="O2338" s="11">
        <f>IF($A2338="","",IF(OR($G2338="", $J2338&lt;=0),0,MAX(0,Listes!$B$3-$G2338)))</f>
        <v/>
      </c>
      <c r="P2338" s="12">
        <f>IF($A2338="","",IF($J2338&lt;=0,"Payé",IF($M2338="Oui","Litige",IF($O2338=0,"À échoir",IF($O2338&lt;=30,"0-30",IF($O2338&lt;=60,"31-60",IF($O2338&lt;=90,"61-90","90+")))))))</f>
        <v/>
      </c>
    </row>
    <row r="2339">
      <c r="A2339" s="6" t="n"/>
      <c r="B2339" s="6" t="n"/>
      <c r="C2339" s="6" t="n"/>
      <c r="D2339" s="6" t="n"/>
      <c r="E2339" s="6" t="n"/>
      <c r="F2339" s="7" t="n"/>
      <c r="G2339" s="7" t="n"/>
      <c r="H2339" s="8" t="n"/>
      <c r="I2339" s="9">
        <f>IF($A2339="","",SUMIFS(Ventes_Encaissements!$D$6:$D$3005,Ventes_Encaissements!$B$6:$B$3005,$A2339))</f>
        <v/>
      </c>
      <c r="J2339" s="9">
        <f>IF($A2339="","",$H2339-$I2339)</f>
        <v/>
      </c>
      <c r="K2339" s="10">
        <f>IF($A2339="","",IF($I2339=0,"",_xludf.AGGREGATE(14,6,Ventes_Encaissements!$C$6:$C$3005/(Ventes_Encaissements!$B$6:$B$3005=$A2339),1)))</f>
        <v/>
      </c>
      <c r="L2339" s="11">
        <f>IF($A2339="","",COUNTIFS(Ventes_Detail!$B$6:$B$3005,$A2339))</f>
        <v/>
      </c>
      <c r="M2339" s="12" t="n"/>
      <c r="N2339" s="12">
        <f>IF($A2339="","",IF($G2339="","",IF($M2339="Oui","Litige",IF($J2339&lt;=0,"Payé",IF($I2339&gt;0,"Partiel",IF(Listes!$B$3&gt;$G2339,"En retard","À échoir"))))))</f>
        <v/>
      </c>
      <c r="O2339" s="11">
        <f>IF($A2339="","",IF(OR($G2339="", $J2339&lt;=0),0,MAX(0,Listes!$B$3-$G2339)))</f>
        <v/>
      </c>
      <c r="P2339" s="12">
        <f>IF($A2339="","",IF($J2339&lt;=0,"Payé",IF($M2339="Oui","Litige",IF($O2339=0,"À échoir",IF($O2339&lt;=30,"0-30",IF($O2339&lt;=60,"31-60",IF($O2339&lt;=90,"61-90","90+")))))))</f>
        <v/>
      </c>
    </row>
    <row r="2340">
      <c r="A2340" s="6" t="n"/>
      <c r="B2340" s="6" t="n"/>
      <c r="C2340" s="6" t="n"/>
      <c r="D2340" s="6" t="n"/>
      <c r="E2340" s="6" t="n"/>
      <c r="F2340" s="7" t="n"/>
      <c r="G2340" s="7" t="n"/>
      <c r="H2340" s="8" t="n"/>
      <c r="I2340" s="9">
        <f>IF($A2340="","",SUMIFS(Ventes_Encaissements!$D$6:$D$3005,Ventes_Encaissements!$B$6:$B$3005,$A2340))</f>
        <v/>
      </c>
      <c r="J2340" s="9">
        <f>IF($A2340="","",$H2340-$I2340)</f>
        <v/>
      </c>
      <c r="K2340" s="10">
        <f>IF($A2340="","",IF($I2340=0,"",_xludf.AGGREGATE(14,6,Ventes_Encaissements!$C$6:$C$3005/(Ventes_Encaissements!$B$6:$B$3005=$A2340),1)))</f>
        <v/>
      </c>
      <c r="L2340" s="11">
        <f>IF($A2340="","",COUNTIFS(Ventes_Detail!$B$6:$B$3005,$A2340))</f>
        <v/>
      </c>
      <c r="M2340" s="12" t="n"/>
      <c r="N2340" s="12">
        <f>IF($A2340="","",IF($G2340="","",IF($M2340="Oui","Litige",IF($J2340&lt;=0,"Payé",IF($I2340&gt;0,"Partiel",IF(Listes!$B$3&gt;$G2340,"En retard","À échoir"))))))</f>
        <v/>
      </c>
      <c r="O2340" s="11">
        <f>IF($A2340="","",IF(OR($G2340="", $J2340&lt;=0),0,MAX(0,Listes!$B$3-$G2340)))</f>
        <v/>
      </c>
      <c r="P2340" s="12">
        <f>IF($A2340="","",IF($J2340&lt;=0,"Payé",IF($M2340="Oui","Litige",IF($O2340=0,"À échoir",IF($O2340&lt;=30,"0-30",IF($O2340&lt;=60,"31-60",IF($O2340&lt;=90,"61-90","90+")))))))</f>
        <v/>
      </c>
    </row>
    <row r="2341">
      <c r="A2341" s="6" t="n"/>
      <c r="B2341" s="6" t="n"/>
      <c r="C2341" s="6" t="n"/>
      <c r="D2341" s="6" t="n"/>
      <c r="E2341" s="6" t="n"/>
      <c r="F2341" s="7" t="n"/>
      <c r="G2341" s="7" t="n"/>
      <c r="H2341" s="8" t="n"/>
      <c r="I2341" s="9">
        <f>IF($A2341="","",SUMIFS(Ventes_Encaissements!$D$6:$D$3005,Ventes_Encaissements!$B$6:$B$3005,$A2341))</f>
        <v/>
      </c>
      <c r="J2341" s="9">
        <f>IF($A2341="","",$H2341-$I2341)</f>
        <v/>
      </c>
      <c r="K2341" s="10">
        <f>IF($A2341="","",IF($I2341=0,"",_xludf.AGGREGATE(14,6,Ventes_Encaissements!$C$6:$C$3005/(Ventes_Encaissements!$B$6:$B$3005=$A2341),1)))</f>
        <v/>
      </c>
      <c r="L2341" s="11">
        <f>IF($A2341="","",COUNTIFS(Ventes_Detail!$B$6:$B$3005,$A2341))</f>
        <v/>
      </c>
      <c r="M2341" s="12" t="n"/>
      <c r="N2341" s="12">
        <f>IF($A2341="","",IF($G2341="","",IF($M2341="Oui","Litige",IF($J2341&lt;=0,"Payé",IF($I2341&gt;0,"Partiel",IF(Listes!$B$3&gt;$G2341,"En retard","À échoir"))))))</f>
        <v/>
      </c>
      <c r="O2341" s="11">
        <f>IF($A2341="","",IF(OR($G2341="", $J2341&lt;=0),0,MAX(0,Listes!$B$3-$G2341)))</f>
        <v/>
      </c>
      <c r="P2341" s="12">
        <f>IF($A2341="","",IF($J2341&lt;=0,"Payé",IF($M2341="Oui","Litige",IF($O2341=0,"À échoir",IF($O2341&lt;=30,"0-30",IF($O2341&lt;=60,"31-60",IF($O2341&lt;=90,"61-90","90+")))))))</f>
        <v/>
      </c>
    </row>
    <row r="2342">
      <c r="A2342" s="6" t="n"/>
      <c r="B2342" s="6" t="n"/>
      <c r="C2342" s="6" t="n"/>
      <c r="D2342" s="6" t="n"/>
      <c r="E2342" s="6" t="n"/>
      <c r="F2342" s="7" t="n"/>
      <c r="G2342" s="7" t="n"/>
      <c r="H2342" s="8" t="n"/>
      <c r="I2342" s="9">
        <f>IF($A2342="","",SUMIFS(Ventes_Encaissements!$D$6:$D$3005,Ventes_Encaissements!$B$6:$B$3005,$A2342))</f>
        <v/>
      </c>
      <c r="J2342" s="9">
        <f>IF($A2342="","",$H2342-$I2342)</f>
        <v/>
      </c>
      <c r="K2342" s="10">
        <f>IF($A2342="","",IF($I2342=0,"",_xludf.AGGREGATE(14,6,Ventes_Encaissements!$C$6:$C$3005/(Ventes_Encaissements!$B$6:$B$3005=$A2342),1)))</f>
        <v/>
      </c>
      <c r="L2342" s="11">
        <f>IF($A2342="","",COUNTIFS(Ventes_Detail!$B$6:$B$3005,$A2342))</f>
        <v/>
      </c>
      <c r="M2342" s="12" t="n"/>
      <c r="N2342" s="12">
        <f>IF($A2342="","",IF($G2342="","",IF($M2342="Oui","Litige",IF($J2342&lt;=0,"Payé",IF($I2342&gt;0,"Partiel",IF(Listes!$B$3&gt;$G2342,"En retard","À échoir"))))))</f>
        <v/>
      </c>
      <c r="O2342" s="11">
        <f>IF($A2342="","",IF(OR($G2342="", $J2342&lt;=0),0,MAX(0,Listes!$B$3-$G2342)))</f>
        <v/>
      </c>
      <c r="P2342" s="12">
        <f>IF($A2342="","",IF($J2342&lt;=0,"Payé",IF($M2342="Oui","Litige",IF($O2342=0,"À échoir",IF($O2342&lt;=30,"0-30",IF($O2342&lt;=60,"31-60",IF($O2342&lt;=90,"61-90","90+")))))))</f>
        <v/>
      </c>
    </row>
    <row r="2343">
      <c r="A2343" s="6" t="n"/>
      <c r="B2343" s="6" t="n"/>
      <c r="C2343" s="6" t="n"/>
      <c r="D2343" s="6" t="n"/>
      <c r="E2343" s="6" t="n"/>
      <c r="F2343" s="7" t="n"/>
      <c r="G2343" s="7" t="n"/>
      <c r="H2343" s="8" t="n"/>
      <c r="I2343" s="9">
        <f>IF($A2343="","",SUMIFS(Ventes_Encaissements!$D$6:$D$3005,Ventes_Encaissements!$B$6:$B$3005,$A2343))</f>
        <v/>
      </c>
      <c r="J2343" s="9">
        <f>IF($A2343="","",$H2343-$I2343)</f>
        <v/>
      </c>
      <c r="K2343" s="10">
        <f>IF($A2343="","",IF($I2343=0,"",_xludf.AGGREGATE(14,6,Ventes_Encaissements!$C$6:$C$3005/(Ventes_Encaissements!$B$6:$B$3005=$A2343),1)))</f>
        <v/>
      </c>
      <c r="L2343" s="11">
        <f>IF($A2343="","",COUNTIFS(Ventes_Detail!$B$6:$B$3005,$A2343))</f>
        <v/>
      </c>
      <c r="M2343" s="12" t="n"/>
      <c r="N2343" s="12">
        <f>IF($A2343="","",IF($G2343="","",IF($M2343="Oui","Litige",IF($J2343&lt;=0,"Payé",IF($I2343&gt;0,"Partiel",IF(Listes!$B$3&gt;$G2343,"En retard","À échoir"))))))</f>
        <v/>
      </c>
      <c r="O2343" s="11">
        <f>IF($A2343="","",IF(OR($G2343="", $J2343&lt;=0),0,MAX(0,Listes!$B$3-$G2343)))</f>
        <v/>
      </c>
      <c r="P2343" s="12">
        <f>IF($A2343="","",IF($J2343&lt;=0,"Payé",IF($M2343="Oui","Litige",IF($O2343=0,"À échoir",IF($O2343&lt;=30,"0-30",IF($O2343&lt;=60,"31-60",IF($O2343&lt;=90,"61-90","90+")))))))</f>
        <v/>
      </c>
    </row>
    <row r="2344">
      <c r="A2344" s="6" t="n"/>
      <c r="B2344" s="6" t="n"/>
      <c r="C2344" s="6" t="n"/>
      <c r="D2344" s="6" t="n"/>
      <c r="E2344" s="6" t="n"/>
      <c r="F2344" s="7" t="n"/>
      <c r="G2344" s="7" t="n"/>
      <c r="H2344" s="8" t="n"/>
      <c r="I2344" s="9">
        <f>IF($A2344="","",SUMIFS(Ventes_Encaissements!$D$6:$D$3005,Ventes_Encaissements!$B$6:$B$3005,$A2344))</f>
        <v/>
      </c>
      <c r="J2344" s="9">
        <f>IF($A2344="","",$H2344-$I2344)</f>
        <v/>
      </c>
      <c r="K2344" s="10">
        <f>IF($A2344="","",IF($I2344=0,"",_xludf.AGGREGATE(14,6,Ventes_Encaissements!$C$6:$C$3005/(Ventes_Encaissements!$B$6:$B$3005=$A2344),1)))</f>
        <v/>
      </c>
      <c r="L2344" s="11">
        <f>IF($A2344="","",COUNTIFS(Ventes_Detail!$B$6:$B$3005,$A2344))</f>
        <v/>
      </c>
      <c r="M2344" s="12" t="n"/>
      <c r="N2344" s="12">
        <f>IF($A2344="","",IF($G2344="","",IF($M2344="Oui","Litige",IF($J2344&lt;=0,"Payé",IF($I2344&gt;0,"Partiel",IF(Listes!$B$3&gt;$G2344,"En retard","À échoir"))))))</f>
        <v/>
      </c>
      <c r="O2344" s="11">
        <f>IF($A2344="","",IF(OR($G2344="", $J2344&lt;=0),0,MAX(0,Listes!$B$3-$G2344)))</f>
        <v/>
      </c>
      <c r="P2344" s="12">
        <f>IF($A2344="","",IF($J2344&lt;=0,"Payé",IF($M2344="Oui","Litige",IF($O2344=0,"À échoir",IF($O2344&lt;=30,"0-30",IF($O2344&lt;=60,"31-60",IF($O2344&lt;=90,"61-90","90+")))))))</f>
        <v/>
      </c>
    </row>
    <row r="2345">
      <c r="A2345" s="6" t="n"/>
      <c r="B2345" s="6" t="n"/>
      <c r="C2345" s="6" t="n"/>
      <c r="D2345" s="6" t="n"/>
      <c r="E2345" s="6" t="n"/>
      <c r="F2345" s="7" t="n"/>
      <c r="G2345" s="7" t="n"/>
      <c r="H2345" s="8" t="n"/>
      <c r="I2345" s="9">
        <f>IF($A2345="","",SUMIFS(Ventes_Encaissements!$D$6:$D$3005,Ventes_Encaissements!$B$6:$B$3005,$A2345))</f>
        <v/>
      </c>
      <c r="J2345" s="9">
        <f>IF($A2345="","",$H2345-$I2345)</f>
        <v/>
      </c>
      <c r="K2345" s="10">
        <f>IF($A2345="","",IF($I2345=0,"",_xludf.AGGREGATE(14,6,Ventes_Encaissements!$C$6:$C$3005/(Ventes_Encaissements!$B$6:$B$3005=$A2345),1)))</f>
        <v/>
      </c>
      <c r="L2345" s="11">
        <f>IF($A2345="","",COUNTIFS(Ventes_Detail!$B$6:$B$3005,$A2345))</f>
        <v/>
      </c>
      <c r="M2345" s="12" t="n"/>
      <c r="N2345" s="12">
        <f>IF($A2345="","",IF($G2345="","",IF($M2345="Oui","Litige",IF($J2345&lt;=0,"Payé",IF($I2345&gt;0,"Partiel",IF(Listes!$B$3&gt;$G2345,"En retard","À échoir"))))))</f>
        <v/>
      </c>
      <c r="O2345" s="11">
        <f>IF($A2345="","",IF(OR($G2345="", $J2345&lt;=0),0,MAX(0,Listes!$B$3-$G2345)))</f>
        <v/>
      </c>
      <c r="P2345" s="12">
        <f>IF($A2345="","",IF($J2345&lt;=0,"Payé",IF($M2345="Oui","Litige",IF($O2345=0,"À échoir",IF($O2345&lt;=30,"0-30",IF($O2345&lt;=60,"31-60",IF($O2345&lt;=90,"61-90","90+")))))))</f>
        <v/>
      </c>
    </row>
    <row r="2346">
      <c r="A2346" s="6" t="n"/>
      <c r="B2346" s="6" t="n"/>
      <c r="C2346" s="6" t="n"/>
      <c r="D2346" s="6" t="n"/>
      <c r="E2346" s="6" t="n"/>
      <c r="F2346" s="7" t="n"/>
      <c r="G2346" s="7" t="n"/>
      <c r="H2346" s="8" t="n"/>
      <c r="I2346" s="9">
        <f>IF($A2346="","",SUMIFS(Ventes_Encaissements!$D$6:$D$3005,Ventes_Encaissements!$B$6:$B$3005,$A2346))</f>
        <v/>
      </c>
      <c r="J2346" s="9">
        <f>IF($A2346="","",$H2346-$I2346)</f>
        <v/>
      </c>
      <c r="K2346" s="10">
        <f>IF($A2346="","",IF($I2346=0,"",_xludf.AGGREGATE(14,6,Ventes_Encaissements!$C$6:$C$3005/(Ventes_Encaissements!$B$6:$B$3005=$A2346),1)))</f>
        <v/>
      </c>
      <c r="L2346" s="11">
        <f>IF($A2346="","",COUNTIFS(Ventes_Detail!$B$6:$B$3005,$A2346))</f>
        <v/>
      </c>
      <c r="M2346" s="12" t="n"/>
      <c r="N2346" s="12">
        <f>IF($A2346="","",IF($G2346="","",IF($M2346="Oui","Litige",IF($J2346&lt;=0,"Payé",IF($I2346&gt;0,"Partiel",IF(Listes!$B$3&gt;$G2346,"En retard","À échoir"))))))</f>
        <v/>
      </c>
      <c r="O2346" s="11">
        <f>IF($A2346="","",IF(OR($G2346="", $J2346&lt;=0),0,MAX(0,Listes!$B$3-$G2346)))</f>
        <v/>
      </c>
      <c r="P2346" s="12">
        <f>IF($A2346="","",IF($J2346&lt;=0,"Payé",IF($M2346="Oui","Litige",IF($O2346=0,"À échoir",IF($O2346&lt;=30,"0-30",IF($O2346&lt;=60,"31-60",IF($O2346&lt;=90,"61-90","90+")))))))</f>
        <v/>
      </c>
    </row>
    <row r="2347">
      <c r="A2347" s="6" t="n"/>
      <c r="B2347" s="6" t="n"/>
      <c r="C2347" s="6" t="n"/>
      <c r="D2347" s="6" t="n"/>
      <c r="E2347" s="6" t="n"/>
      <c r="F2347" s="7" t="n"/>
      <c r="G2347" s="7" t="n"/>
      <c r="H2347" s="8" t="n"/>
      <c r="I2347" s="9">
        <f>IF($A2347="","",SUMIFS(Ventes_Encaissements!$D$6:$D$3005,Ventes_Encaissements!$B$6:$B$3005,$A2347))</f>
        <v/>
      </c>
      <c r="J2347" s="9">
        <f>IF($A2347="","",$H2347-$I2347)</f>
        <v/>
      </c>
      <c r="K2347" s="10">
        <f>IF($A2347="","",IF($I2347=0,"",_xludf.AGGREGATE(14,6,Ventes_Encaissements!$C$6:$C$3005/(Ventes_Encaissements!$B$6:$B$3005=$A2347),1)))</f>
        <v/>
      </c>
      <c r="L2347" s="11">
        <f>IF($A2347="","",COUNTIFS(Ventes_Detail!$B$6:$B$3005,$A2347))</f>
        <v/>
      </c>
      <c r="M2347" s="12" t="n"/>
      <c r="N2347" s="12">
        <f>IF($A2347="","",IF($G2347="","",IF($M2347="Oui","Litige",IF($J2347&lt;=0,"Payé",IF($I2347&gt;0,"Partiel",IF(Listes!$B$3&gt;$G2347,"En retard","À échoir"))))))</f>
        <v/>
      </c>
      <c r="O2347" s="11">
        <f>IF($A2347="","",IF(OR($G2347="", $J2347&lt;=0),0,MAX(0,Listes!$B$3-$G2347)))</f>
        <v/>
      </c>
      <c r="P2347" s="12">
        <f>IF($A2347="","",IF($J2347&lt;=0,"Payé",IF($M2347="Oui","Litige",IF($O2347=0,"À échoir",IF($O2347&lt;=30,"0-30",IF($O2347&lt;=60,"31-60",IF($O2347&lt;=90,"61-90","90+")))))))</f>
        <v/>
      </c>
    </row>
    <row r="2348">
      <c r="A2348" s="6" t="n"/>
      <c r="B2348" s="6" t="n"/>
      <c r="C2348" s="6" t="n"/>
      <c r="D2348" s="6" t="n"/>
      <c r="E2348" s="6" t="n"/>
      <c r="F2348" s="7" t="n"/>
      <c r="G2348" s="7" t="n"/>
      <c r="H2348" s="8" t="n"/>
      <c r="I2348" s="9">
        <f>IF($A2348="","",SUMIFS(Ventes_Encaissements!$D$6:$D$3005,Ventes_Encaissements!$B$6:$B$3005,$A2348))</f>
        <v/>
      </c>
      <c r="J2348" s="9">
        <f>IF($A2348="","",$H2348-$I2348)</f>
        <v/>
      </c>
      <c r="K2348" s="10">
        <f>IF($A2348="","",IF($I2348=0,"",_xludf.AGGREGATE(14,6,Ventes_Encaissements!$C$6:$C$3005/(Ventes_Encaissements!$B$6:$B$3005=$A2348),1)))</f>
        <v/>
      </c>
      <c r="L2348" s="11">
        <f>IF($A2348="","",COUNTIFS(Ventes_Detail!$B$6:$B$3005,$A2348))</f>
        <v/>
      </c>
      <c r="M2348" s="12" t="n"/>
      <c r="N2348" s="12">
        <f>IF($A2348="","",IF($G2348="","",IF($M2348="Oui","Litige",IF($J2348&lt;=0,"Payé",IF($I2348&gt;0,"Partiel",IF(Listes!$B$3&gt;$G2348,"En retard","À échoir"))))))</f>
        <v/>
      </c>
      <c r="O2348" s="11">
        <f>IF($A2348="","",IF(OR($G2348="", $J2348&lt;=0),0,MAX(0,Listes!$B$3-$G2348)))</f>
        <v/>
      </c>
      <c r="P2348" s="12">
        <f>IF($A2348="","",IF($J2348&lt;=0,"Payé",IF($M2348="Oui","Litige",IF($O2348=0,"À échoir",IF($O2348&lt;=30,"0-30",IF($O2348&lt;=60,"31-60",IF($O2348&lt;=90,"61-90","90+")))))))</f>
        <v/>
      </c>
    </row>
    <row r="2349">
      <c r="A2349" s="6" t="n"/>
      <c r="B2349" s="6" t="n"/>
      <c r="C2349" s="6" t="n"/>
      <c r="D2349" s="6" t="n"/>
      <c r="E2349" s="6" t="n"/>
      <c r="F2349" s="7" t="n"/>
      <c r="G2349" s="7" t="n"/>
      <c r="H2349" s="8" t="n"/>
      <c r="I2349" s="9">
        <f>IF($A2349="","",SUMIFS(Ventes_Encaissements!$D$6:$D$3005,Ventes_Encaissements!$B$6:$B$3005,$A2349))</f>
        <v/>
      </c>
      <c r="J2349" s="9">
        <f>IF($A2349="","",$H2349-$I2349)</f>
        <v/>
      </c>
      <c r="K2349" s="10">
        <f>IF($A2349="","",IF($I2349=0,"",_xludf.AGGREGATE(14,6,Ventes_Encaissements!$C$6:$C$3005/(Ventes_Encaissements!$B$6:$B$3005=$A2349),1)))</f>
        <v/>
      </c>
      <c r="L2349" s="11">
        <f>IF($A2349="","",COUNTIFS(Ventes_Detail!$B$6:$B$3005,$A2349))</f>
        <v/>
      </c>
      <c r="M2349" s="12" t="n"/>
      <c r="N2349" s="12">
        <f>IF($A2349="","",IF($G2349="","",IF($M2349="Oui","Litige",IF($J2349&lt;=0,"Payé",IF($I2349&gt;0,"Partiel",IF(Listes!$B$3&gt;$G2349,"En retard","À échoir"))))))</f>
        <v/>
      </c>
      <c r="O2349" s="11">
        <f>IF($A2349="","",IF(OR($G2349="", $J2349&lt;=0),0,MAX(0,Listes!$B$3-$G2349)))</f>
        <v/>
      </c>
      <c r="P2349" s="12">
        <f>IF($A2349="","",IF($J2349&lt;=0,"Payé",IF($M2349="Oui","Litige",IF($O2349=0,"À échoir",IF($O2349&lt;=30,"0-30",IF($O2349&lt;=60,"31-60",IF($O2349&lt;=90,"61-90","90+")))))))</f>
        <v/>
      </c>
    </row>
    <row r="2350">
      <c r="A2350" s="6" t="n"/>
      <c r="B2350" s="6" t="n"/>
      <c r="C2350" s="6" t="n"/>
      <c r="D2350" s="6" t="n"/>
      <c r="E2350" s="6" t="n"/>
      <c r="F2350" s="7" t="n"/>
      <c r="G2350" s="7" t="n"/>
      <c r="H2350" s="8" t="n"/>
      <c r="I2350" s="9">
        <f>IF($A2350="","",SUMIFS(Ventes_Encaissements!$D$6:$D$3005,Ventes_Encaissements!$B$6:$B$3005,$A2350))</f>
        <v/>
      </c>
      <c r="J2350" s="9">
        <f>IF($A2350="","",$H2350-$I2350)</f>
        <v/>
      </c>
      <c r="K2350" s="10">
        <f>IF($A2350="","",IF($I2350=0,"",_xludf.AGGREGATE(14,6,Ventes_Encaissements!$C$6:$C$3005/(Ventes_Encaissements!$B$6:$B$3005=$A2350),1)))</f>
        <v/>
      </c>
      <c r="L2350" s="11">
        <f>IF($A2350="","",COUNTIFS(Ventes_Detail!$B$6:$B$3005,$A2350))</f>
        <v/>
      </c>
      <c r="M2350" s="12" t="n"/>
      <c r="N2350" s="12">
        <f>IF($A2350="","",IF($G2350="","",IF($M2350="Oui","Litige",IF($J2350&lt;=0,"Payé",IF($I2350&gt;0,"Partiel",IF(Listes!$B$3&gt;$G2350,"En retard","À échoir"))))))</f>
        <v/>
      </c>
      <c r="O2350" s="11">
        <f>IF($A2350="","",IF(OR($G2350="", $J2350&lt;=0),0,MAX(0,Listes!$B$3-$G2350)))</f>
        <v/>
      </c>
      <c r="P2350" s="12">
        <f>IF($A2350="","",IF($J2350&lt;=0,"Payé",IF($M2350="Oui","Litige",IF($O2350=0,"À échoir",IF($O2350&lt;=30,"0-30",IF($O2350&lt;=60,"31-60",IF($O2350&lt;=90,"61-90","90+")))))))</f>
        <v/>
      </c>
    </row>
    <row r="2351">
      <c r="A2351" s="6" t="n"/>
      <c r="B2351" s="6" t="n"/>
      <c r="C2351" s="6" t="n"/>
      <c r="D2351" s="6" t="n"/>
      <c r="E2351" s="6" t="n"/>
      <c r="F2351" s="7" t="n"/>
      <c r="G2351" s="7" t="n"/>
      <c r="H2351" s="8" t="n"/>
      <c r="I2351" s="9">
        <f>IF($A2351="","",SUMIFS(Ventes_Encaissements!$D$6:$D$3005,Ventes_Encaissements!$B$6:$B$3005,$A2351))</f>
        <v/>
      </c>
      <c r="J2351" s="9">
        <f>IF($A2351="","",$H2351-$I2351)</f>
        <v/>
      </c>
      <c r="K2351" s="10">
        <f>IF($A2351="","",IF($I2351=0,"",_xludf.AGGREGATE(14,6,Ventes_Encaissements!$C$6:$C$3005/(Ventes_Encaissements!$B$6:$B$3005=$A2351),1)))</f>
        <v/>
      </c>
      <c r="L2351" s="11">
        <f>IF($A2351="","",COUNTIFS(Ventes_Detail!$B$6:$B$3005,$A2351))</f>
        <v/>
      </c>
      <c r="M2351" s="12" t="n"/>
      <c r="N2351" s="12">
        <f>IF($A2351="","",IF($G2351="","",IF($M2351="Oui","Litige",IF($J2351&lt;=0,"Payé",IF($I2351&gt;0,"Partiel",IF(Listes!$B$3&gt;$G2351,"En retard","À échoir"))))))</f>
        <v/>
      </c>
      <c r="O2351" s="11">
        <f>IF($A2351="","",IF(OR($G2351="", $J2351&lt;=0),0,MAX(0,Listes!$B$3-$G2351)))</f>
        <v/>
      </c>
      <c r="P2351" s="12">
        <f>IF($A2351="","",IF($J2351&lt;=0,"Payé",IF($M2351="Oui","Litige",IF($O2351=0,"À échoir",IF($O2351&lt;=30,"0-30",IF($O2351&lt;=60,"31-60",IF($O2351&lt;=90,"61-90","90+")))))))</f>
        <v/>
      </c>
    </row>
    <row r="2352">
      <c r="A2352" s="6" t="n"/>
      <c r="B2352" s="6" t="n"/>
      <c r="C2352" s="6" t="n"/>
      <c r="D2352" s="6" t="n"/>
      <c r="E2352" s="6" t="n"/>
      <c r="F2352" s="7" t="n"/>
      <c r="G2352" s="7" t="n"/>
      <c r="H2352" s="8" t="n"/>
      <c r="I2352" s="9">
        <f>IF($A2352="","",SUMIFS(Ventes_Encaissements!$D$6:$D$3005,Ventes_Encaissements!$B$6:$B$3005,$A2352))</f>
        <v/>
      </c>
      <c r="J2352" s="9">
        <f>IF($A2352="","",$H2352-$I2352)</f>
        <v/>
      </c>
      <c r="K2352" s="10">
        <f>IF($A2352="","",IF($I2352=0,"",_xludf.AGGREGATE(14,6,Ventes_Encaissements!$C$6:$C$3005/(Ventes_Encaissements!$B$6:$B$3005=$A2352),1)))</f>
        <v/>
      </c>
      <c r="L2352" s="11">
        <f>IF($A2352="","",COUNTIFS(Ventes_Detail!$B$6:$B$3005,$A2352))</f>
        <v/>
      </c>
      <c r="M2352" s="12" t="n"/>
      <c r="N2352" s="12">
        <f>IF($A2352="","",IF($G2352="","",IF($M2352="Oui","Litige",IF($J2352&lt;=0,"Payé",IF($I2352&gt;0,"Partiel",IF(Listes!$B$3&gt;$G2352,"En retard","À échoir"))))))</f>
        <v/>
      </c>
      <c r="O2352" s="11">
        <f>IF($A2352="","",IF(OR($G2352="", $J2352&lt;=0),0,MAX(0,Listes!$B$3-$G2352)))</f>
        <v/>
      </c>
      <c r="P2352" s="12">
        <f>IF($A2352="","",IF($J2352&lt;=0,"Payé",IF($M2352="Oui","Litige",IF($O2352=0,"À échoir",IF($O2352&lt;=30,"0-30",IF($O2352&lt;=60,"31-60",IF($O2352&lt;=90,"61-90","90+")))))))</f>
        <v/>
      </c>
    </row>
    <row r="2353">
      <c r="A2353" s="6" t="n"/>
      <c r="B2353" s="6" t="n"/>
      <c r="C2353" s="6" t="n"/>
      <c r="D2353" s="6" t="n"/>
      <c r="E2353" s="6" t="n"/>
      <c r="F2353" s="7" t="n"/>
      <c r="G2353" s="7" t="n"/>
      <c r="H2353" s="8" t="n"/>
      <c r="I2353" s="9">
        <f>IF($A2353="","",SUMIFS(Ventes_Encaissements!$D$6:$D$3005,Ventes_Encaissements!$B$6:$B$3005,$A2353))</f>
        <v/>
      </c>
      <c r="J2353" s="9">
        <f>IF($A2353="","",$H2353-$I2353)</f>
        <v/>
      </c>
      <c r="K2353" s="10">
        <f>IF($A2353="","",IF($I2353=0,"",_xludf.AGGREGATE(14,6,Ventes_Encaissements!$C$6:$C$3005/(Ventes_Encaissements!$B$6:$B$3005=$A2353),1)))</f>
        <v/>
      </c>
      <c r="L2353" s="11">
        <f>IF($A2353="","",COUNTIFS(Ventes_Detail!$B$6:$B$3005,$A2353))</f>
        <v/>
      </c>
      <c r="M2353" s="12" t="n"/>
      <c r="N2353" s="12">
        <f>IF($A2353="","",IF($G2353="","",IF($M2353="Oui","Litige",IF($J2353&lt;=0,"Payé",IF($I2353&gt;0,"Partiel",IF(Listes!$B$3&gt;$G2353,"En retard","À échoir"))))))</f>
        <v/>
      </c>
      <c r="O2353" s="11">
        <f>IF($A2353="","",IF(OR($G2353="", $J2353&lt;=0),0,MAX(0,Listes!$B$3-$G2353)))</f>
        <v/>
      </c>
      <c r="P2353" s="12">
        <f>IF($A2353="","",IF($J2353&lt;=0,"Payé",IF($M2353="Oui","Litige",IF($O2353=0,"À échoir",IF($O2353&lt;=30,"0-30",IF($O2353&lt;=60,"31-60",IF($O2353&lt;=90,"61-90","90+")))))))</f>
        <v/>
      </c>
    </row>
    <row r="2354">
      <c r="A2354" s="6" t="n"/>
      <c r="B2354" s="6" t="n"/>
      <c r="C2354" s="6" t="n"/>
      <c r="D2354" s="6" t="n"/>
      <c r="E2354" s="6" t="n"/>
      <c r="F2354" s="7" t="n"/>
      <c r="G2354" s="7" t="n"/>
      <c r="H2354" s="8" t="n"/>
      <c r="I2354" s="9">
        <f>IF($A2354="","",SUMIFS(Ventes_Encaissements!$D$6:$D$3005,Ventes_Encaissements!$B$6:$B$3005,$A2354))</f>
        <v/>
      </c>
      <c r="J2354" s="9">
        <f>IF($A2354="","",$H2354-$I2354)</f>
        <v/>
      </c>
      <c r="K2354" s="10">
        <f>IF($A2354="","",IF($I2354=0,"",_xludf.AGGREGATE(14,6,Ventes_Encaissements!$C$6:$C$3005/(Ventes_Encaissements!$B$6:$B$3005=$A2354),1)))</f>
        <v/>
      </c>
      <c r="L2354" s="11">
        <f>IF($A2354="","",COUNTIFS(Ventes_Detail!$B$6:$B$3005,$A2354))</f>
        <v/>
      </c>
      <c r="M2354" s="12" t="n"/>
      <c r="N2354" s="12">
        <f>IF($A2354="","",IF($G2354="","",IF($M2354="Oui","Litige",IF($J2354&lt;=0,"Payé",IF($I2354&gt;0,"Partiel",IF(Listes!$B$3&gt;$G2354,"En retard","À échoir"))))))</f>
        <v/>
      </c>
      <c r="O2354" s="11">
        <f>IF($A2354="","",IF(OR($G2354="", $J2354&lt;=0),0,MAX(0,Listes!$B$3-$G2354)))</f>
        <v/>
      </c>
      <c r="P2354" s="12">
        <f>IF($A2354="","",IF($J2354&lt;=0,"Payé",IF($M2354="Oui","Litige",IF($O2354=0,"À échoir",IF($O2354&lt;=30,"0-30",IF($O2354&lt;=60,"31-60",IF($O2354&lt;=90,"61-90","90+")))))))</f>
        <v/>
      </c>
    </row>
    <row r="2355">
      <c r="A2355" s="6" t="n"/>
      <c r="B2355" s="6" t="n"/>
      <c r="C2355" s="6" t="n"/>
      <c r="D2355" s="6" t="n"/>
      <c r="E2355" s="6" t="n"/>
      <c r="F2355" s="7" t="n"/>
      <c r="G2355" s="7" t="n"/>
      <c r="H2355" s="8" t="n"/>
      <c r="I2355" s="9">
        <f>IF($A2355="","",SUMIFS(Ventes_Encaissements!$D$6:$D$3005,Ventes_Encaissements!$B$6:$B$3005,$A2355))</f>
        <v/>
      </c>
      <c r="J2355" s="9">
        <f>IF($A2355="","",$H2355-$I2355)</f>
        <v/>
      </c>
      <c r="K2355" s="10">
        <f>IF($A2355="","",IF($I2355=0,"",_xludf.AGGREGATE(14,6,Ventes_Encaissements!$C$6:$C$3005/(Ventes_Encaissements!$B$6:$B$3005=$A2355),1)))</f>
        <v/>
      </c>
      <c r="L2355" s="11">
        <f>IF($A2355="","",COUNTIFS(Ventes_Detail!$B$6:$B$3005,$A2355))</f>
        <v/>
      </c>
      <c r="M2355" s="12" t="n"/>
      <c r="N2355" s="12">
        <f>IF($A2355="","",IF($G2355="","",IF($M2355="Oui","Litige",IF($J2355&lt;=0,"Payé",IF($I2355&gt;0,"Partiel",IF(Listes!$B$3&gt;$G2355,"En retard","À échoir"))))))</f>
        <v/>
      </c>
      <c r="O2355" s="11">
        <f>IF($A2355="","",IF(OR($G2355="", $J2355&lt;=0),0,MAX(0,Listes!$B$3-$G2355)))</f>
        <v/>
      </c>
      <c r="P2355" s="12">
        <f>IF($A2355="","",IF($J2355&lt;=0,"Payé",IF($M2355="Oui","Litige",IF($O2355=0,"À échoir",IF($O2355&lt;=30,"0-30",IF($O2355&lt;=60,"31-60",IF($O2355&lt;=90,"61-90","90+")))))))</f>
        <v/>
      </c>
    </row>
    <row r="2356">
      <c r="A2356" s="6" t="n"/>
      <c r="B2356" s="6" t="n"/>
      <c r="C2356" s="6" t="n"/>
      <c r="D2356" s="6" t="n"/>
      <c r="E2356" s="6" t="n"/>
      <c r="F2356" s="7" t="n"/>
      <c r="G2356" s="7" t="n"/>
      <c r="H2356" s="8" t="n"/>
      <c r="I2356" s="9">
        <f>IF($A2356="","",SUMIFS(Ventes_Encaissements!$D$6:$D$3005,Ventes_Encaissements!$B$6:$B$3005,$A2356))</f>
        <v/>
      </c>
      <c r="J2356" s="9">
        <f>IF($A2356="","",$H2356-$I2356)</f>
        <v/>
      </c>
      <c r="K2356" s="10">
        <f>IF($A2356="","",IF($I2356=0,"",_xludf.AGGREGATE(14,6,Ventes_Encaissements!$C$6:$C$3005/(Ventes_Encaissements!$B$6:$B$3005=$A2356),1)))</f>
        <v/>
      </c>
      <c r="L2356" s="11">
        <f>IF($A2356="","",COUNTIFS(Ventes_Detail!$B$6:$B$3005,$A2356))</f>
        <v/>
      </c>
      <c r="M2356" s="12" t="n"/>
      <c r="N2356" s="12">
        <f>IF($A2356="","",IF($G2356="","",IF($M2356="Oui","Litige",IF($J2356&lt;=0,"Payé",IF($I2356&gt;0,"Partiel",IF(Listes!$B$3&gt;$G2356,"En retard","À échoir"))))))</f>
        <v/>
      </c>
      <c r="O2356" s="11">
        <f>IF($A2356="","",IF(OR($G2356="", $J2356&lt;=0),0,MAX(0,Listes!$B$3-$G2356)))</f>
        <v/>
      </c>
      <c r="P2356" s="12">
        <f>IF($A2356="","",IF($J2356&lt;=0,"Payé",IF($M2356="Oui","Litige",IF($O2356=0,"À échoir",IF($O2356&lt;=30,"0-30",IF($O2356&lt;=60,"31-60",IF($O2356&lt;=90,"61-90","90+")))))))</f>
        <v/>
      </c>
    </row>
    <row r="2357">
      <c r="A2357" s="6" t="n"/>
      <c r="B2357" s="6" t="n"/>
      <c r="C2357" s="6" t="n"/>
      <c r="D2357" s="6" t="n"/>
      <c r="E2357" s="6" t="n"/>
      <c r="F2357" s="7" t="n"/>
      <c r="G2357" s="7" t="n"/>
      <c r="H2357" s="8" t="n"/>
      <c r="I2357" s="9">
        <f>IF($A2357="","",SUMIFS(Ventes_Encaissements!$D$6:$D$3005,Ventes_Encaissements!$B$6:$B$3005,$A2357))</f>
        <v/>
      </c>
      <c r="J2357" s="9">
        <f>IF($A2357="","",$H2357-$I2357)</f>
        <v/>
      </c>
      <c r="K2357" s="10">
        <f>IF($A2357="","",IF($I2357=0,"",_xludf.AGGREGATE(14,6,Ventes_Encaissements!$C$6:$C$3005/(Ventes_Encaissements!$B$6:$B$3005=$A2357),1)))</f>
        <v/>
      </c>
      <c r="L2357" s="11">
        <f>IF($A2357="","",COUNTIFS(Ventes_Detail!$B$6:$B$3005,$A2357))</f>
        <v/>
      </c>
      <c r="M2357" s="12" t="n"/>
      <c r="N2357" s="12">
        <f>IF($A2357="","",IF($G2357="","",IF($M2357="Oui","Litige",IF($J2357&lt;=0,"Payé",IF($I2357&gt;0,"Partiel",IF(Listes!$B$3&gt;$G2357,"En retard","À échoir"))))))</f>
        <v/>
      </c>
      <c r="O2357" s="11">
        <f>IF($A2357="","",IF(OR($G2357="", $J2357&lt;=0),0,MAX(0,Listes!$B$3-$G2357)))</f>
        <v/>
      </c>
      <c r="P2357" s="12">
        <f>IF($A2357="","",IF($J2357&lt;=0,"Payé",IF($M2357="Oui","Litige",IF($O2357=0,"À échoir",IF($O2357&lt;=30,"0-30",IF($O2357&lt;=60,"31-60",IF($O2357&lt;=90,"61-90","90+")))))))</f>
        <v/>
      </c>
    </row>
    <row r="2358">
      <c r="A2358" s="6" t="n"/>
      <c r="B2358" s="6" t="n"/>
      <c r="C2358" s="6" t="n"/>
      <c r="D2358" s="6" t="n"/>
      <c r="E2358" s="6" t="n"/>
      <c r="F2358" s="7" t="n"/>
      <c r="G2358" s="7" t="n"/>
      <c r="H2358" s="8" t="n"/>
      <c r="I2358" s="9">
        <f>IF($A2358="","",SUMIFS(Ventes_Encaissements!$D$6:$D$3005,Ventes_Encaissements!$B$6:$B$3005,$A2358))</f>
        <v/>
      </c>
      <c r="J2358" s="9">
        <f>IF($A2358="","",$H2358-$I2358)</f>
        <v/>
      </c>
      <c r="K2358" s="10">
        <f>IF($A2358="","",IF($I2358=0,"",_xludf.AGGREGATE(14,6,Ventes_Encaissements!$C$6:$C$3005/(Ventes_Encaissements!$B$6:$B$3005=$A2358),1)))</f>
        <v/>
      </c>
      <c r="L2358" s="11">
        <f>IF($A2358="","",COUNTIFS(Ventes_Detail!$B$6:$B$3005,$A2358))</f>
        <v/>
      </c>
      <c r="M2358" s="12" t="n"/>
      <c r="N2358" s="12">
        <f>IF($A2358="","",IF($G2358="","",IF($M2358="Oui","Litige",IF($J2358&lt;=0,"Payé",IF($I2358&gt;0,"Partiel",IF(Listes!$B$3&gt;$G2358,"En retard","À échoir"))))))</f>
        <v/>
      </c>
      <c r="O2358" s="11">
        <f>IF($A2358="","",IF(OR($G2358="", $J2358&lt;=0),0,MAX(0,Listes!$B$3-$G2358)))</f>
        <v/>
      </c>
      <c r="P2358" s="12">
        <f>IF($A2358="","",IF($J2358&lt;=0,"Payé",IF($M2358="Oui","Litige",IF($O2358=0,"À échoir",IF($O2358&lt;=30,"0-30",IF($O2358&lt;=60,"31-60",IF($O2358&lt;=90,"61-90","90+")))))))</f>
        <v/>
      </c>
    </row>
    <row r="2359">
      <c r="A2359" s="6" t="n"/>
      <c r="B2359" s="6" t="n"/>
      <c r="C2359" s="6" t="n"/>
      <c r="D2359" s="6" t="n"/>
      <c r="E2359" s="6" t="n"/>
      <c r="F2359" s="7" t="n"/>
      <c r="G2359" s="7" t="n"/>
      <c r="H2359" s="8" t="n"/>
      <c r="I2359" s="9">
        <f>IF($A2359="","",SUMIFS(Ventes_Encaissements!$D$6:$D$3005,Ventes_Encaissements!$B$6:$B$3005,$A2359))</f>
        <v/>
      </c>
      <c r="J2359" s="9">
        <f>IF($A2359="","",$H2359-$I2359)</f>
        <v/>
      </c>
      <c r="K2359" s="10">
        <f>IF($A2359="","",IF($I2359=0,"",_xludf.AGGREGATE(14,6,Ventes_Encaissements!$C$6:$C$3005/(Ventes_Encaissements!$B$6:$B$3005=$A2359),1)))</f>
        <v/>
      </c>
      <c r="L2359" s="11">
        <f>IF($A2359="","",COUNTIFS(Ventes_Detail!$B$6:$B$3005,$A2359))</f>
        <v/>
      </c>
      <c r="M2359" s="12" t="n"/>
      <c r="N2359" s="12">
        <f>IF($A2359="","",IF($G2359="","",IF($M2359="Oui","Litige",IF($J2359&lt;=0,"Payé",IF($I2359&gt;0,"Partiel",IF(Listes!$B$3&gt;$G2359,"En retard","À échoir"))))))</f>
        <v/>
      </c>
      <c r="O2359" s="11">
        <f>IF($A2359="","",IF(OR($G2359="", $J2359&lt;=0),0,MAX(0,Listes!$B$3-$G2359)))</f>
        <v/>
      </c>
      <c r="P2359" s="12">
        <f>IF($A2359="","",IF($J2359&lt;=0,"Payé",IF($M2359="Oui","Litige",IF($O2359=0,"À échoir",IF($O2359&lt;=30,"0-30",IF($O2359&lt;=60,"31-60",IF($O2359&lt;=90,"61-90","90+")))))))</f>
        <v/>
      </c>
    </row>
    <row r="2360">
      <c r="A2360" s="6" t="n"/>
      <c r="B2360" s="6" t="n"/>
      <c r="C2360" s="6" t="n"/>
      <c r="D2360" s="6" t="n"/>
      <c r="E2360" s="6" t="n"/>
      <c r="F2360" s="7" t="n"/>
      <c r="G2360" s="7" t="n"/>
      <c r="H2360" s="8" t="n"/>
      <c r="I2360" s="9">
        <f>IF($A2360="","",SUMIFS(Ventes_Encaissements!$D$6:$D$3005,Ventes_Encaissements!$B$6:$B$3005,$A2360))</f>
        <v/>
      </c>
      <c r="J2360" s="9">
        <f>IF($A2360="","",$H2360-$I2360)</f>
        <v/>
      </c>
      <c r="K2360" s="10">
        <f>IF($A2360="","",IF($I2360=0,"",_xludf.AGGREGATE(14,6,Ventes_Encaissements!$C$6:$C$3005/(Ventes_Encaissements!$B$6:$B$3005=$A2360),1)))</f>
        <v/>
      </c>
      <c r="L2360" s="11">
        <f>IF($A2360="","",COUNTIFS(Ventes_Detail!$B$6:$B$3005,$A2360))</f>
        <v/>
      </c>
      <c r="M2360" s="12" t="n"/>
      <c r="N2360" s="12">
        <f>IF($A2360="","",IF($G2360="","",IF($M2360="Oui","Litige",IF($J2360&lt;=0,"Payé",IF($I2360&gt;0,"Partiel",IF(Listes!$B$3&gt;$G2360,"En retard","À échoir"))))))</f>
        <v/>
      </c>
      <c r="O2360" s="11">
        <f>IF($A2360="","",IF(OR($G2360="", $J2360&lt;=0),0,MAX(0,Listes!$B$3-$G2360)))</f>
        <v/>
      </c>
      <c r="P2360" s="12">
        <f>IF($A2360="","",IF($J2360&lt;=0,"Payé",IF($M2360="Oui","Litige",IF($O2360=0,"À échoir",IF($O2360&lt;=30,"0-30",IF($O2360&lt;=60,"31-60",IF($O2360&lt;=90,"61-90","90+")))))))</f>
        <v/>
      </c>
    </row>
    <row r="2361">
      <c r="A2361" s="6" t="n"/>
      <c r="B2361" s="6" t="n"/>
      <c r="C2361" s="6" t="n"/>
      <c r="D2361" s="6" t="n"/>
      <c r="E2361" s="6" t="n"/>
      <c r="F2361" s="7" t="n"/>
      <c r="G2361" s="7" t="n"/>
      <c r="H2361" s="8" t="n"/>
      <c r="I2361" s="9">
        <f>IF($A2361="","",SUMIFS(Ventes_Encaissements!$D$6:$D$3005,Ventes_Encaissements!$B$6:$B$3005,$A2361))</f>
        <v/>
      </c>
      <c r="J2361" s="9">
        <f>IF($A2361="","",$H2361-$I2361)</f>
        <v/>
      </c>
      <c r="K2361" s="10">
        <f>IF($A2361="","",IF($I2361=0,"",_xludf.AGGREGATE(14,6,Ventes_Encaissements!$C$6:$C$3005/(Ventes_Encaissements!$B$6:$B$3005=$A2361),1)))</f>
        <v/>
      </c>
      <c r="L2361" s="11">
        <f>IF($A2361="","",COUNTIFS(Ventes_Detail!$B$6:$B$3005,$A2361))</f>
        <v/>
      </c>
      <c r="M2361" s="12" t="n"/>
      <c r="N2361" s="12">
        <f>IF($A2361="","",IF($G2361="","",IF($M2361="Oui","Litige",IF($J2361&lt;=0,"Payé",IF($I2361&gt;0,"Partiel",IF(Listes!$B$3&gt;$G2361,"En retard","À échoir"))))))</f>
        <v/>
      </c>
      <c r="O2361" s="11">
        <f>IF($A2361="","",IF(OR($G2361="", $J2361&lt;=0),0,MAX(0,Listes!$B$3-$G2361)))</f>
        <v/>
      </c>
      <c r="P2361" s="12">
        <f>IF($A2361="","",IF($J2361&lt;=0,"Payé",IF($M2361="Oui","Litige",IF($O2361=0,"À échoir",IF($O2361&lt;=30,"0-30",IF($O2361&lt;=60,"31-60",IF($O2361&lt;=90,"61-90","90+")))))))</f>
        <v/>
      </c>
    </row>
    <row r="2362">
      <c r="A2362" s="6" t="n"/>
      <c r="B2362" s="6" t="n"/>
      <c r="C2362" s="6" t="n"/>
      <c r="D2362" s="6" t="n"/>
      <c r="E2362" s="6" t="n"/>
      <c r="F2362" s="7" t="n"/>
      <c r="G2362" s="7" t="n"/>
      <c r="H2362" s="8" t="n"/>
      <c r="I2362" s="9">
        <f>IF($A2362="","",SUMIFS(Ventes_Encaissements!$D$6:$D$3005,Ventes_Encaissements!$B$6:$B$3005,$A2362))</f>
        <v/>
      </c>
      <c r="J2362" s="9">
        <f>IF($A2362="","",$H2362-$I2362)</f>
        <v/>
      </c>
      <c r="K2362" s="10">
        <f>IF($A2362="","",IF($I2362=0,"",_xludf.AGGREGATE(14,6,Ventes_Encaissements!$C$6:$C$3005/(Ventes_Encaissements!$B$6:$B$3005=$A2362),1)))</f>
        <v/>
      </c>
      <c r="L2362" s="11">
        <f>IF($A2362="","",COUNTIFS(Ventes_Detail!$B$6:$B$3005,$A2362))</f>
        <v/>
      </c>
      <c r="M2362" s="12" t="n"/>
      <c r="N2362" s="12">
        <f>IF($A2362="","",IF($G2362="","",IF($M2362="Oui","Litige",IF($J2362&lt;=0,"Payé",IF($I2362&gt;0,"Partiel",IF(Listes!$B$3&gt;$G2362,"En retard","À échoir"))))))</f>
        <v/>
      </c>
      <c r="O2362" s="11">
        <f>IF($A2362="","",IF(OR($G2362="", $J2362&lt;=0),0,MAX(0,Listes!$B$3-$G2362)))</f>
        <v/>
      </c>
      <c r="P2362" s="12">
        <f>IF($A2362="","",IF($J2362&lt;=0,"Payé",IF($M2362="Oui","Litige",IF($O2362=0,"À échoir",IF($O2362&lt;=30,"0-30",IF($O2362&lt;=60,"31-60",IF($O2362&lt;=90,"61-90","90+")))))))</f>
        <v/>
      </c>
    </row>
    <row r="2363">
      <c r="A2363" s="6" t="n"/>
      <c r="B2363" s="6" t="n"/>
      <c r="C2363" s="6" t="n"/>
      <c r="D2363" s="6" t="n"/>
      <c r="E2363" s="6" t="n"/>
      <c r="F2363" s="7" t="n"/>
      <c r="G2363" s="7" t="n"/>
      <c r="H2363" s="8" t="n"/>
      <c r="I2363" s="9">
        <f>IF($A2363="","",SUMIFS(Ventes_Encaissements!$D$6:$D$3005,Ventes_Encaissements!$B$6:$B$3005,$A2363))</f>
        <v/>
      </c>
      <c r="J2363" s="9">
        <f>IF($A2363="","",$H2363-$I2363)</f>
        <v/>
      </c>
      <c r="K2363" s="10">
        <f>IF($A2363="","",IF($I2363=0,"",_xludf.AGGREGATE(14,6,Ventes_Encaissements!$C$6:$C$3005/(Ventes_Encaissements!$B$6:$B$3005=$A2363),1)))</f>
        <v/>
      </c>
      <c r="L2363" s="11">
        <f>IF($A2363="","",COUNTIFS(Ventes_Detail!$B$6:$B$3005,$A2363))</f>
        <v/>
      </c>
      <c r="M2363" s="12" t="n"/>
      <c r="N2363" s="12">
        <f>IF($A2363="","",IF($G2363="","",IF($M2363="Oui","Litige",IF($J2363&lt;=0,"Payé",IF($I2363&gt;0,"Partiel",IF(Listes!$B$3&gt;$G2363,"En retard","À échoir"))))))</f>
        <v/>
      </c>
      <c r="O2363" s="11">
        <f>IF($A2363="","",IF(OR($G2363="", $J2363&lt;=0),0,MAX(0,Listes!$B$3-$G2363)))</f>
        <v/>
      </c>
      <c r="P2363" s="12">
        <f>IF($A2363="","",IF($J2363&lt;=0,"Payé",IF($M2363="Oui","Litige",IF($O2363=0,"À échoir",IF($O2363&lt;=30,"0-30",IF($O2363&lt;=60,"31-60",IF($O2363&lt;=90,"61-90","90+")))))))</f>
        <v/>
      </c>
    </row>
    <row r="2364">
      <c r="A2364" s="6" t="n"/>
      <c r="B2364" s="6" t="n"/>
      <c r="C2364" s="6" t="n"/>
      <c r="D2364" s="6" t="n"/>
      <c r="E2364" s="6" t="n"/>
      <c r="F2364" s="7" t="n"/>
      <c r="G2364" s="7" t="n"/>
      <c r="H2364" s="8" t="n"/>
      <c r="I2364" s="9">
        <f>IF($A2364="","",SUMIFS(Ventes_Encaissements!$D$6:$D$3005,Ventes_Encaissements!$B$6:$B$3005,$A2364))</f>
        <v/>
      </c>
      <c r="J2364" s="9">
        <f>IF($A2364="","",$H2364-$I2364)</f>
        <v/>
      </c>
      <c r="K2364" s="10">
        <f>IF($A2364="","",IF($I2364=0,"",_xludf.AGGREGATE(14,6,Ventes_Encaissements!$C$6:$C$3005/(Ventes_Encaissements!$B$6:$B$3005=$A2364),1)))</f>
        <v/>
      </c>
      <c r="L2364" s="11">
        <f>IF($A2364="","",COUNTIFS(Ventes_Detail!$B$6:$B$3005,$A2364))</f>
        <v/>
      </c>
      <c r="M2364" s="12" t="n"/>
      <c r="N2364" s="12">
        <f>IF($A2364="","",IF($G2364="","",IF($M2364="Oui","Litige",IF($J2364&lt;=0,"Payé",IF($I2364&gt;0,"Partiel",IF(Listes!$B$3&gt;$G2364,"En retard","À échoir"))))))</f>
        <v/>
      </c>
      <c r="O2364" s="11">
        <f>IF($A2364="","",IF(OR($G2364="", $J2364&lt;=0),0,MAX(0,Listes!$B$3-$G2364)))</f>
        <v/>
      </c>
      <c r="P2364" s="12">
        <f>IF($A2364="","",IF($J2364&lt;=0,"Payé",IF($M2364="Oui","Litige",IF($O2364=0,"À échoir",IF($O2364&lt;=30,"0-30",IF($O2364&lt;=60,"31-60",IF($O2364&lt;=90,"61-90","90+")))))))</f>
        <v/>
      </c>
    </row>
    <row r="2365">
      <c r="A2365" s="6" t="n"/>
      <c r="B2365" s="6" t="n"/>
      <c r="C2365" s="6" t="n"/>
      <c r="D2365" s="6" t="n"/>
      <c r="E2365" s="6" t="n"/>
      <c r="F2365" s="7" t="n"/>
      <c r="G2365" s="7" t="n"/>
      <c r="H2365" s="8" t="n"/>
      <c r="I2365" s="9">
        <f>IF($A2365="","",SUMIFS(Ventes_Encaissements!$D$6:$D$3005,Ventes_Encaissements!$B$6:$B$3005,$A2365))</f>
        <v/>
      </c>
      <c r="J2365" s="9">
        <f>IF($A2365="","",$H2365-$I2365)</f>
        <v/>
      </c>
      <c r="K2365" s="10">
        <f>IF($A2365="","",IF($I2365=0,"",_xludf.AGGREGATE(14,6,Ventes_Encaissements!$C$6:$C$3005/(Ventes_Encaissements!$B$6:$B$3005=$A2365),1)))</f>
        <v/>
      </c>
      <c r="L2365" s="11">
        <f>IF($A2365="","",COUNTIFS(Ventes_Detail!$B$6:$B$3005,$A2365))</f>
        <v/>
      </c>
      <c r="M2365" s="12" t="n"/>
      <c r="N2365" s="12">
        <f>IF($A2365="","",IF($G2365="","",IF($M2365="Oui","Litige",IF($J2365&lt;=0,"Payé",IF($I2365&gt;0,"Partiel",IF(Listes!$B$3&gt;$G2365,"En retard","À échoir"))))))</f>
        <v/>
      </c>
      <c r="O2365" s="11">
        <f>IF($A2365="","",IF(OR($G2365="", $J2365&lt;=0),0,MAX(0,Listes!$B$3-$G2365)))</f>
        <v/>
      </c>
      <c r="P2365" s="12">
        <f>IF($A2365="","",IF($J2365&lt;=0,"Payé",IF($M2365="Oui","Litige",IF($O2365=0,"À échoir",IF($O2365&lt;=30,"0-30",IF($O2365&lt;=60,"31-60",IF($O2365&lt;=90,"61-90","90+")))))))</f>
        <v/>
      </c>
    </row>
    <row r="2366">
      <c r="A2366" s="6" t="n"/>
      <c r="B2366" s="6" t="n"/>
      <c r="C2366" s="6" t="n"/>
      <c r="D2366" s="6" t="n"/>
      <c r="E2366" s="6" t="n"/>
      <c r="F2366" s="7" t="n"/>
      <c r="G2366" s="7" t="n"/>
      <c r="H2366" s="8" t="n"/>
      <c r="I2366" s="9">
        <f>IF($A2366="","",SUMIFS(Ventes_Encaissements!$D$6:$D$3005,Ventes_Encaissements!$B$6:$B$3005,$A2366))</f>
        <v/>
      </c>
      <c r="J2366" s="9">
        <f>IF($A2366="","",$H2366-$I2366)</f>
        <v/>
      </c>
      <c r="K2366" s="10">
        <f>IF($A2366="","",IF($I2366=0,"",_xludf.AGGREGATE(14,6,Ventes_Encaissements!$C$6:$C$3005/(Ventes_Encaissements!$B$6:$B$3005=$A2366),1)))</f>
        <v/>
      </c>
      <c r="L2366" s="11">
        <f>IF($A2366="","",COUNTIFS(Ventes_Detail!$B$6:$B$3005,$A2366))</f>
        <v/>
      </c>
      <c r="M2366" s="12" t="n"/>
      <c r="N2366" s="12">
        <f>IF($A2366="","",IF($G2366="","",IF($M2366="Oui","Litige",IF($J2366&lt;=0,"Payé",IF($I2366&gt;0,"Partiel",IF(Listes!$B$3&gt;$G2366,"En retard","À échoir"))))))</f>
        <v/>
      </c>
      <c r="O2366" s="11">
        <f>IF($A2366="","",IF(OR($G2366="", $J2366&lt;=0),0,MAX(0,Listes!$B$3-$G2366)))</f>
        <v/>
      </c>
      <c r="P2366" s="12">
        <f>IF($A2366="","",IF($J2366&lt;=0,"Payé",IF($M2366="Oui","Litige",IF($O2366=0,"À échoir",IF($O2366&lt;=30,"0-30",IF($O2366&lt;=60,"31-60",IF($O2366&lt;=90,"61-90","90+")))))))</f>
        <v/>
      </c>
    </row>
    <row r="2367">
      <c r="A2367" s="6" t="n"/>
      <c r="B2367" s="6" t="n"/>
      <c r="C2367" s="6" t="n"/>
      <c r="D2367" s="6" t="n"/>
      <c r="E2367" s="6" t="n"/>
      <c r="F2367" s="7" t="n"/>
      <c r="G2367" s="7" t="n"/>
      <c r="H2367" s="8" t="n"/>
      <c r="I2367" s="9">
        <f>IF($A2367="","",SUMIFS(Ventes_Encaissements!$D$6:$D$3005,Ventes_Encaissements!$B$6:$B$3005,$A2367))</f>
        <v/>
      </c>
      <c r="J2367" s="9">
        <f>IF($A2367="","",$H2367-$I2367)</f>
        <v/>
      </c>
      <c r="K2367" s="10">
        <f>IF($A2367="","",IF($I2367=0,"",_xludf.AGGREGATE(14,6,Ventes_Encaissements!$C$6:$C$3005/(Ventes_Encaissements!$B$6:$B$3005=$A2367),1)))</f>
        <v/>
      </c>
      <c r="L2367" s="11">
        <f>IF($A2367="","",COUNTIFS(Ventes_Detail!$B$6:$B$3005,$A2367))</f>
        <v/>
      </c>
      <c r="M2367" s="12" t="n"/>
      <c r="N2367" s="12">
        <f>IF($A2367="","",IF($G2367="","",IF($M2367="Oui","Litige",IF($J2367&lt;=0,"Payé",IF($I2367&gt;0,"Partiel",IF(Listes!$B$3&gt;$G2367,"En retard","À échoir"))))))</f>
        <v/>
      </c>
      <c r="O2367" s="11">
        <f>IF($A2367="","",IF(OR($G2367="", $J2367&lt;=0),0,MAX(0,Listes!$B$3-$G2367)))</f>
        <v/>
      </c>
      <c r="P2367" s="12">
        <f>IF($A2367="","",IF($J2367&lt;=0,"Payé",IF($M2367="Oui","Litige",IF($O2367=0,"À échoir",IF($O2367&lt;=30,"0-30",IF($O2367&lt;=60,"31-60",IF($O2367&lt;=90,"61-90","90+")))))))</f>
        <v/>
      </c>
    </row>
    <row r="2368">
      <c r="A2368" s="6" t="n"/>
      <c r="B2368" s="6" t="n"/>
      <c r="C2368" s="6" t="n"/>
      <c r="D2368" s="6" t="n"/>
      <c r="E2368" s="6" t="n"/>
      <c r="F2368" s="7" t="n"/>
      <c r="G2368" s="7" t="n"/>
      <c r="H2368" s="8" t="n"/>
      <c r="I2368" s="9">
        <f>IF($A2368="","",SUMIFS(Ventes_Encaissements!$D$6:$D$3005,Ventes_Encaissements!$B$6:$B$3005,$A2368))</f>
        <v/>
      </c>
      <c r="J2368" s="9">
        <f>IF($A2368="","",$H2368-$I2368)</f>
        <v/>
      </c>
      <c r="K2368" s="10">
        <f>IF($A2368="","",IF($I2368=0,"",_xludf.AGGREGATE(14,6,Ventes_Encaissements!$C$6:$C$3005/(Ventes_Encaissements!$B$6:$B$3005=$A2368),1)))</f>
        <v/>
      </c>
      <c r="L2368" s="11">
        <f>IF($A2368="","",COUNTIFS(Ventes_Detail!$B$6:$B$3005,$A2368))</f>
        <v/>
      </c>
      <c r="M2368" s="12" t="n"/>
      <c r="N2368" s="12">
        <f>IF($A2368="","",IF($G2368="","",IF($M2368="Oui","Litige",IF($J2368&lt;=0,"Payé",IF($I2368&gt;0,"Partiel",IF(Listes!$B$3&gt;$G2368,"En retard","À échoir"))))))</f>
        <v/>
      </c>
      <c r="O2368" s="11">
        <f>IF($A2368="","",IF(OR($G2368="", $J2368&lt;=0),0,MAX(0,Listes!$B$3-$G2368)))</f>
        <v/>
      </c>
      <c r="P2368" s="12">
        <f>IF($A2368="","",IF($J2368&lt;=0,"Payé",IF($M2368="Oui","Litige",IF($O2368=0,"À échoir",IF($O2368&lt;=30,"0-30",IF($O2368&lt;=60,"31-60",IF($O2368&lt;=90,"61-90","90+")))))))</f>
        <v/>
      </c>
    </row>
    <row r="2369">
      <c r="A2369" s="6" t="n"/>
      <c r="B2369" s="6" t="n"/>
      <c r="C2369" s="6" t="n"/>
      <c r="D2369" s="6" t="n"/>
      <c r="E2369" s="6" t="n"/>
      <c r="F2369" s="7" t="n"/>
      <c r="G2369" s="7" t="n"/>
      <c r="H2369" s="8" t="n"/>
      <c r="I2369" s="9">
        <f>IF($A2369="","",SUMIFS(Ventes_Encaissements!$D$6:$D$3005,Ventes_Encaissements!$B$6:$B$3005,$A2369))</f>
        <v/>
      </c>
      <c r="J2369" s="9">
        <f>IF($A2369="","",$H2369-$I2369)</f>
        <v/>
      </c>
      <c r="K2369" s="10">
        <f>IF($A2369="","",IF($I2369=0,"",_xludf.AGGREGATE(14,6,Ventes_Encaissements!$C$6:$C$3005/(Ventes_Encaissements!$B$6:$B$3005=$A2369),1)))</f>
        <v/>
      </c>
      <c r="L2369" s="11">
        <f>IF($A2369="","",COUNTIFS(Ventes_Detail!$B$6:$B$3005,$A2369))</f>
        <v/>
      </c>
      <c r="M2369" s="12" t="n"/>
      <c r="N2369" s="12">
        <f>IF($A2369="","",IF($G2369="","",IF($M2369="Oui","Litige",IF($J2369&lt;=0,"Payé",IF($I2369&gt;0,"Partiel",IF(Listes!$B$3&gt;$G2369,"En retard","À échoir"))))))</f>
        <v/>
      </c>
      <c r="O2369" s="11">
        <f>IF($A2369="","",IF(OR($G2369="", $J2369&lt;=0),0,MAX(0,Listes!$B$3-$G2369)))</f>
        <v/>
      </c>
      <c r="P2369" s="12">
        <f>IF($A2369="","",IF($J2369&lt;=0,"Payé",IF($M2369="Oui","Litige",IF($O2369=0,"À échoir",IF($O2369&lt;=30,"0-30",IF($O2369&lt;=60,"31-60",IF($O2369&lt;=90,"61-90","90+")))))))</f>
        <v/>
      </c>
    </row>
    <row r="2370">
      <c r="A2370" s="6" t="n"/>
      <c r="B2370" s="6" t="n"/>
      <c r="C2370" s="6" t="n"/>
      <c r="D2370" s="6" t="n"/>
      <c r="E2370" s="6" t="n"/>
      <c r="F2370" s="7" t="n"/>
      <c r="G2370" s="7" t="n"/>
      <c r="H2370" s="8" t="n"/>
      <c r="I2370" s="9">
        <f>IF($A2370="","",SUMIFS(Ventes_Encaissements!$D$6:$D$3005,Ventes_Encaissements!$B$6:$B$3005,$A2370))</f>
        <v/>
      </c>
      <c r="J2370" s="9">
        <f>IF($A2370="","",$H2370-$I2370)</f>
        <v/>
      </c>
      <c r="K2370" s="10">
        <f>IF($A2370="","",IF($I2370=0,"",_xludf.AGGREGATE(14,6,Ventes_Encaissements!$C$6:$C$3005/(Ventes_Encaissements!$B$6:$B$3005=$A2370),1)))</f>
        <v/>
      </c>
      <c r="L2370" s="11">
        <f>IF($A2370="","",COUNTIFS(Ventes_Detail!$B$6:$B$3005,$A2370))</f>
        <v/>
      </c>
      <c r="M2370" s="12" t="n"/>
      <c r="N2370" s="12">
        <f>IF($A2370="","",IF($G2370="","",IF($M2370="Oui","Litige",IF($J2370&lt;=0,"Payé",IF($I2370&gt;0,"Partiel",IF(Listes!$B$3&gt;$G2370,"En retard","À échoir"))))))</f>
        <v/>
      </c>
      <c r="O2370" s="11">
        <f>IF($A2370="","",IF(OR($G2370="", $J2370&lt;=0),0,MAX(0,Listes!$B$3-$G2370)))</f>
        <v/>
      </c>
      <c r="P2370" s="12">
        <f>IF($A2370="","",IF($J2370&lt;=0,"Payé",IF($M2370="Oui","Litige",IF($O2370=0,"À échoir",IF($O2370&lt;=30,"0-30",IF($O2370&lt;=60,"31-60",IF($O2370&lt;=90,"61-90","90+")))))))</f>
        <v/>
      </c>
    </row>
    <row r="2371">
      <c r="A2371" s="6" t="n"/>
      <c r="B2371" s="6" t="n"/>
      <c r="C2371" s="6" t="n"/>
      <c r="D2371" s="6" t="n"/>
      <c r="E2371" s="6" t="n"/>
      <c r="F2371" s="7" t="n"/>
      <c r="G2371" s="7" t="n"/>
      <c r="H2371" s="8" t="n"/>
      <c r="I2371" s="9">
        <f>IF($A2371="","",SUMIFS(Ventes_Encaissements!$D$6:$D$3005,Ventes_Encaissements!$B$6:$B$3005,$A2371))</f>
        <v/>
      </c>
      <c r="J2371" s="9">
        <f>IF($A2371="","",$H2371-$I2371)</f>
        <v/>
      </c>
      <c r="K2371" s="10">
        <f>IF($A2371="","",IF($I2371=0,"",_xludf.AGGREGATE(14,6,Ventes_Encaissements!$C$6:$C$3005/(Ventes_Encaissements!$B$6:$B$3005=$A2371),1)))</f>
        <v/>
      </c>
      <c r="L2371" s="11">
        <f>IF($A2371="","",COUNTIFS(Ventes_Detail!$B$6:$B$3005,$A2371))</f>
        <v/>
      </c>
      <c r="M2371" s="12" t="n"/>
      <c r="N2371" s="12">
        <f>IF($A2371="","",IF($G2371="","",IF($M2371="Oui","Litige",IF($J2371&lt;=0,"Payé",IF($I2371&gt;0,"Partiel",IF(Listes!$B$3&gt;$G2371,"En retard","À échoir"))))))</f>
        <v/>
      </c>
      <c r="O2371" s="11">
        <f>IF($A2371="","",IF(OR($G2371="", $J2371&lt;=0),0,MAX(0,Listes!$B$3-$G2371)))</f>
        <v/>
      </c>
      <c r="P2371" s="12">
        <f>IF($A2371="","",IF($J2371&lt;=0,"Payé",IF($M2371="Oui","Litige",IF($O2371=0,"À échoir",IF($O2371&lt;=30,"0-30",IF($O2371&lt;=60,"31-60",IF($O2371&lt;=90,"61-90","90+")))))))</f>
        <v/>
      </c>
    </row>
    <row r="2372">
      <c r="A2372" s="6" t="n"/>
      <c r="B2372" s="6" t="n"/>
      <c r="C2372" s="6" t="n"/>
      <c r="D2372" s="6" t="n"/>
      <c r="E2372" s="6" t="n"/>
      <c r="F2372" s="7" t="n"/>
      <c r="G2372" s="7" t="n"/>
      <c r="H2372" s="8" t="n"/>
      <c r="I2372" s="9">
        <f>IF($A2372="","",SUMIFS(Ventes_Encaissements!$D$6:$D$3005,Ventes_Encaissements!$B$6:$B$3005,$A2372))</f>
        <v/>
      </c>
      <c r="J2372" s="9">
        <f>IF($A2372="","",$H2372-$I2372)</f>
        <v/>
      </c>
      <c r="K2372" s="10">
        <f>IF($A2372="","",IF($I2372=0,"",_xludf.AGGREGATE(14,6,Ventes_Encaissements!$C$6:$C$3005/(Ventes_Encaissements!$B$6:$B$3005=$A2372),1)))</f>
        <v/>
      </c>
      <c r="L2372" s="11">
        <f>IF($A2372="","",COUNTIFS(Ventes_Detail!$B$6:$B$3005,$A2372))</f>
        <v/>
      </c>
      <c r="M2372" s="12" t="n"/>
      <c r="N2372" s="12">
        <f>IF($A2372="","",IF($G2372="","",IF($M2372="Oui","Litige",IF($J2372&lt;=0,"Payé",IF($I2372&gt;0,"Partiel",IF(Listes!$B$3&gt;$G2372,"En retard","À échoir"))))))</f>
        <v/>
      </c>
      <c r="O2372" s="11">
        <f>IF($A2372="","",IF(OR($G2372="", $J2372&lt;=0),0,MAX(0,Listes!$B$3-$G2372)))</f>
        <v/>
      </c>
      <c r="P2372" s="12">
        <f>IF($A2372="","",IF($J2372&lt;=0,"Payé",IF($M2372="Oui","Litige",IF($O2372=0,"À échoir",IF($O2372&lt;=30,"0-30",IF($O2372&lt;=60,"31-60",IF($O2372&lt;=90,"61-90","90+")))))))</f>
        <v/>
      </c>
    </row>
    <row r="2373">
      <c r="A2373" s="6" t="n"/>
      <c r="B2373" s="6" t="n"/>
      <c r="C2373" s="6" t="n"/>
      <c r="D2373" s="6" t="n"/>
      <c r="E2373" s="6" t="n"/>
      <c r="F2373" s="7" t="n"/>
      <c r="G2373" s="7" t="n"/>
      <c r="H2373" s="8" t="n"/>
      <c r="I2373" s="9">
        <f>IF($A2373="","",SUMIFS(Ventes_Encaissements!$D$6:$D$3005,Ventes_Encaissements!$B$6:$B$3005,$A2373))</f>
        <v/>
      </c>
      <c r="J2373" s="9">
        <f>IF($A2373="","",$H2373-$I2373)</f>
        <v/>
      </c>
      <c r="K2373" s="10">
        <f>IF($A2373="","",IF($I2373=0,"",_xludf.AGGREGATE(14,6,Ventes_Encaissements!$C$6:$C$3005/(Ventes_Encaissements!$B$6:$B$3005=$A2373),1)))</f>
        <v/>
      </c>
      <c r="L2373" s="11">
        <f>IF($A2373="","",COUNTIFS(Ventes_Detail!$B$6:$B$3005,$A2373))</f>
        <v/>
      </c>
      <c r="M2373" s="12" t="n"/>
      <c r="N2373" s="12">
        <f>IF($A2373="","",IF($G2373="","",IF($M2373="Oui","Litige",IF($J2373&lt;=0,"Payé",IF($I2373&gt;0,"Partiel",IF(Listes!$B$3&gt;$G2373,"En retard","À échoir"))))))</f>
        <v/>
      </c>
      <c r="O2373" s="11">
        <f>IF($A2373="","",IF(OR($G2373="", $J2373&lt;=0),0,MAX(0,Listes!$B$3-$G2373)))</f>
        <v/>
      </c>
      <c r="P2373" s="12">
        <f>IF($A2373="","",IF($J2373&lt;=0,"Payé",IF($M2373="Oui","Litige",IF($O2373=0,"À échoir",IF($O2373&lt;=30,"0-30",IF($O2373&lt;=60,"31-60",IF($O2373&lt;=90,"61-90","90+")))))))</f>
        <v/>
      </c>
    </row>
    <row r="2374">
      <c r="A2374" s="6" t="n"/>
      <c r="B2374" s="6" t="n"/>
      <c r="C2374" s="6" t="n"/>
      <c r="D2374" s="6" t="n"/>
      <c r="E2374" s="6" t="n"/>
      <c r="F2374" s="7" t="n"/>
      <c r="G2374" s="7" t="n"/>
      <c r="H2374" s="8" t="n"/>
      <c r="I2374" s="9">
        <f>IF($A2374="","",SUMIFS(Ventes_Encaissements!$D$6:$D$3005,Ventes_Encaissements!$B$6:$B$3005,$A2374))</f>
        <v/>
      </c>
      <c r="J2374" s="9">
        <f>IF($A2374="","",$H2374-$I2374)</f>
        <v/>
      </c>
      <c r="K2374" s="10">
        <f>IF($A2374="","",IF($I2374=0,"",_xludf.AGGREGATE(14,6,Ventes_Encaissements!$C$6:$C$3005/(Ventes_Encaissements!$B$6:$B$3005=$A2374),1)))</f>
        <v/>
      </c>
      <c r="L2374" s="11">
        <f>IF($A2374="","",COUNTIFS(Ventes_Detail!$B$6:$B$3005,$A2374))</f>
        <v/>
      </c>
      <c r="M2374" s="12" t="n"/>
      <c r="N2374" s="12">
        <f>IF($A2374="","",IF($G2374="","",IF($M2374="Oui","Litige",IF($J2374&lt;=0,"Payé",IF($I2374&gt;0,"Partiel",IF(Listes!$B$3&gt;$G2374,"En retard","À échoir"))))))</f>
        <v/>
      </c>
      <c r="O2374" s="11">
        <f>IF($A2374="","",IF(OR($G2374="", $J2374&lt;=0),0,MAX(0,Listes!$B$3-$G2374)))</f>
        <v/>
      </c>
      <c r="P2374" s="12">
        <f>IF($A2374="","",IF($J2374&lt;=0,"Payé",IF($M2374="Oui","Litige",IF($O2374=0,"À échoir",IF($O2374&lt;=30,"0-30",IF($O2374&lt;=60,"31-60",IF($O2374&lt;=90,"61-90","90+")))))))</f>
        <v/>
      </c>
    </row>
    <row r="2375">
      <c r="A2375" s="6" t="n"/>
      <c r="B2375" s="6" t="n"/>
      <c r="C2375" s="6" t="n"/>
      <c r="D2375" s="6" t="n"/>
      <c r="E2375" s="6" t="n"/>
      <c r="F2375" s="7" t="n"/>
      <c r="G2375" s="7" t="n"/>
      <c r="H2375" s="8" t="n"/>
      <c r="I2375" s="9">
        <f>IF($A2375="","",SUMIFS(Ventes_Encaissements!$D$6:$D$3005,Ventes_Encaissements!$B$6:$B$3005,$A2375))</f>
        <v/>
      </c>
      <c r="J2375" s="9">
        <f>IF($A2375="","",$H2375-$I2375)</f>
        <v/>
      </c>
      <c r="K2375" s="10">
        <f>IF($A2375="","",IF($I2375=0,"",_xludf.AGGREGATE(14,6,Ventes_Encaissements!$C$6:$C$3005/(Ventes_Encaissements!$B$6:$B$3005=$A2375),1)))</f>
        <v/>
      </c>
      <c r="L2375" s="11">
        <f>IF($A2375="","",COUNTIFS(Ventes_Detail!$B$6:$B$3005,$A2375))</f>
        <v/>
      </c>
      <c r="M2375" s="12" t="n"/>
      <c r="N2375" s="12">
        <f>IF($A2375="","",IF($G2375="","",IF($M2375="Oui","Litige",IF($J2375&lt;=0,"Payé",IF($I2375&gt;0,"Partiel",IF(Listes!$B$3&gt;$G2375,"En retard","À échoir"))))))</f>
        <v/>
      </c>
      <c r="O2375" s="11">
        <f>IF($A2375="","",IF(OR($G2375="", $J2375&lt;=0),0,MAX(0,Listes!$B$3-$G2375)))</f>
        <v/>
      </c>
      <c r="P2375" s="12">
        <f>IF($A2375="","",IF($J2375&lt;=0,"Payé",IF($M2375="Oui","Litige",IF($O2375=0,"À échoir",IF($O2375&lt;=30,"0-30",IF($O2375&lt;=60,"31-60",IF($O2375&lt;=90,"61-90","90+")))))))</f>
        <v/>
      </c>
    </row>
    <row r="2376">
      <c r="A2376" s="6" t="n"/>
      <c r="B2376" s="6" t="n"/>
      <c r="C2376" s="6" t="n"/>
      <c r="D2376" s="6" t="n"/>
      <c r="E2376" s="6" t="n"/>
      <c r="F2376" s="7" t="n"/>
      <c r="G2376" s="7" t="n"/>
      <c r="H2376" s="8" t="n"/>
      <c r="I2376" s="9">
        <f>IF($A2376="","",SUMIFS(Ventes_Encaissements!$D$6:$D$3005,Ventes_Encaissements!$B$6:$B$3005,$A2376))</f>
        <v/>
      </c>
      <c r="J2376" s="9">
        <f>IF($A2376="","",$H2376-$I2376)</f>
        <v/>
      </c>
      <c r="K2376" s="10">
        <f>IF($A2376="","",IF($I2376=0,"",_xludf.AGGREGATE(14,6,Ventes_Encaissements!$C$6:$C$3005/(Ventes_Encaissements!$B$6:$B$3005=$A2376),1)))</f>
        <v/>
      </c>
      <c r="L2376" s="11">
        <f>IF($A2376="","",COUNTIFS(Ventes_Detail!$B$6:$B$3005,$A2376))</f>
        <v/>
      </c>
      <c r="M2376" s="12" t="n"/>
      <c r="N2376" s="12">
        <f>IF($A2376="","",IF($G2376="","",IF($M2376="Oui","Litige",IF($J2376&lt;=0,"Payé",IF($I2376&gt;0,"Partiel",IF(Listes!$B$3&gt;$G2376,"En retard","À échoir"))))))</f>
        <v/>
      </c>
      <c r="O2376" s="11">
        <f>IF($A2376="","",IF(OR($G2376="", $J2376&lt;=0),0,MAX(0,Listes!$B$3-$G2376)))</f>
        <v/>
      </c>
      <c r="P2376" s="12">
        <f>IF($A2376="","",IF($J2376&lt;=0,"Payé",IF($M2376="Oui","Litige",IF($O2376=0,"À échoir",IF($O2376&lt;=30,"0-30",IF($O2376&lt;=60,"31-60",IF($O2376&lt;=90,"61-90","90+")))))))</f>
        <v/>
      </c>
    </row>
    <row r="2377">
      <c r="A2377" s="6" t="n"/>
      <c r="B2377" s="6" t="n"/>
      <c r="C2377" s="6" t="n"/>
      <c r="D2377" s="6" t="n"/>
      <c r="E2377" s="6" t="n"/>
      <c r="F2377" s="7" t="n"/>
      <c r="G2377" s="7" t="n"/>
      <c r="H2377" s="8" t="n"/>
      <c r="I2377" s="9">
        <f>IF($A2377="","",SUMIFS(Ventes_Encaissements!$D$6:$D$3005,Ventes_Encaissements!$B$6:$B$3005,$A2377))</f>
        <v/>
      </c>
      <c r="J2377" s="9">
        <f>IF($A2377="","",$H2377-$I2377)</f>
        <v/>
      </c>
      <c r="K2377" s="10">
        <f>IF($A2377="","",IF($I2377=0,"",_xludf.AGGREGATE(14,6,Ventes_Encaissements!$C$6:$C$3005/(Ventes_Encaissements!$B$6:$B$3005=$A2377),1)))</f>
        <v/>
      </c>
      <c r="L2377" s="11">
        <f>IF($A2377="","",COUNTIFS(Ventes_Detail!$B$6:$B$3005,$A2377))</f>
        <v/>
      </c>
      <c r="M2377" s="12" t="n"/>
      <c r="N2377" s="12">
        <f>IF($A2377="","",IF($G2377="","",IF($M2377="Oui","Litige",IF($J2377&lt;=0,"Payé",IF($I2377&gt;0,"Partiel",IF(Listes!$B$3&gt;$G2377,"En retard","À échoir"))))))</f>
        <v/>
      </c>
      <c r="O2377" s="11">
        <f>IF($A2377="","",IF(OR($G2377="", $J2377&lt;=0),0,MAX(0,Listes!$B$3-$G2377)))</f>
        <v/>
      </c>
      <c r="P2377" s="12">
        <f>IF($A2377="","",IF($J2377&lt;=0,"Payé",IF($M2377="Oui","Litige",IF($O2377=0,"À échoir",IF($O2377&lt;=30,"0-30",IF($O2377&lt;=60,"31-60",IF($O2377&lt;=90,"61-90","90+")))))))</f>
        <v/>
      </c>
    </row>
    <row r="2378">
      <c r="A2378" s="6" t="n"/>
      <c r="B2378" s="6" t="n"/>
      <c r="C2378" s="6" t="n"/>
      <c r="D2378" s="6" t="n"/>
      <c r="E2378" s="6" t="n"/>
      <c r="F2378" s="7" t="n"/>
      <c r="G2378" s="7" t="n"/>
      <c r="H2378" s="8" t="n"/>
      <c r="I2378" s="9">
        <f>IF($A2378="","",SUMIFS(Ventes_Encaissements!$D$6:$D$3005,Ventes_Encaissements!$B$6:$B$3005,$A2378))</f>
        <v/>
      </c>
      <c r="J2378" s="9">
        <f>IF($A2378="","",$H2378-$I2378)</f>
        <v/>
      </c>
      <c r="K2378" s="10">
        <f>IF($A2378="","",IF($I2378=0,"",_xludf.AGGREGATE(14,6,Ventes_Encaissements!$C$6:$C$3005/(Ventes_Encaissements!$B$6:$B$3005=$A2378),1)))</f>
        <v/>
      </c>
      <c r="L2378" s="11">
        <f>IF($A2378="","",COUNTIFS(Ventes_Detail!$B$6:$B$3005,$A2378))</f>
        <v/>
      </c>
      <c r="M2378" s="12" t="n"/>
      <c r="N2378" s="12">
        <f>IF($A2378="","",IF($G2378="","",IF($M2378="Oui","Litige",IF($J2378&lt;=0,"Payé",IF($I2378&gt;0,"Partiel",IF(Listes!$B$3&gt;$G2378,"En retard","À échoir"))))))</f>
        <v/>
      </c>
      <c r="O2378" s="11">
        <f>IF($A2378="","",IF(OR($G2378="", $J2378&lt;=0),0,MAX(0,Listes!$B$3-$G2378)))</f>
        <v/>
      </c>
      <c r="P2378" s="12">
        <f>IF($A2378="","",IF($J2378&lt;=0,"Payé",IF($M2378="Oui","Litige",IF($O2378=0,"À échoir",IF($O2378&lt;=30,"0-30",IF($O2378&lt;=60,"31-60",IF($O2378&lt;=90,"61-90","90+")))))))</f>
        <v/>
      </c>
    </row>
    <row r="2379">
      <c r="A2379" s="6" t="n"/>
      <c r="B2379" s="6" t="n"/>
      <c r="C2379" s="6" t="n"/>
      <c r="D2379" s="6" t="n"/>
      <c r="E2379" s="6" t="n"/>
      <c r="F2379" s="7" t="n"/>
      <c r="G2379" s="7" t="n"/>
      <c r="H2379" s="8" t="n"/>
      <c r="I2379" s="9">
        <f>IF($A2379="","",SUMIFS(Ventes_Encaissements!$D$6:$D$3005,Ventes_Encaissements!$B$6:$B$3005,$A2379))</f>
        <v/>
      </c>
      <c r="J2379" s="9">
        <f>IF($A2379="","",$H2379-$I2379)</f>
        <v/>
      </c>
      <c r="K2379" s="10">
        <f>IF($A2379="","",IF($I2379=0,"",_xludf.AGGREGATE(14,6,Ventes_Encaissements!$C$6:$C$3005/(Ventes_Encaissements!$B$6:$B$3005=$A2379),1)))</f>
        <v/>
      </c>
      <c r="L2379" s="11">
        <f>IF($A2379="","",COUNTIFS(Ventes_Detail!$B$6:$B$3005,$A2379))</f>
        <v/>
      </c>
      <c r="M2379" s="12" t="n"/>
      <c r="N2379" s="12">
        <f>IF($A2379="","",IF($G2379="","",IF($M2379="Oui","Litige",IF($J2379&lt;=0,"Payé",IF($I2379&gt;0,"Partiel",IF(Listes!$B$3&gt;$G2379,"En retard","À échoir"))))))</f>
        <v/>
      </c>
      <c r="O2379" s="11">
        <f>IF($A2379="","",IF(OR($G2379="", $J2379&lt;=0),0,MAX(0,Listes!$B$3-$G2379)))</f>
        <v/>
      </c>
      <c r="P2379" s="12">
        <f>IF($A2379="","",IF($J2379&lt;=0,"Payé",IF($M2379="Oui","Litige",IF($O2379=0,"À échoir",IF($O2379&lt;=30,"0-30",IF($O2379&lt;=60,"31-60",IF($O2379&lt;=90,"61-90","90+")))))))</f>
        <v/>
      </c>
    </row>
    <row r="2380">
      <c r="A2380" s="6" t="n"/>
      <c r="B2380" s="6" t="n"/>
      <c r="C2380" s="6" t="n"/>
      <c r="D2380" s="6" t="n"/>
      <c r="E2380" s="6" t="n"/>
      <c r="F2380" s="7" t="n"/>
      <c r="G2380" s="7" t="n"/>
      <c r="H2380" s="8" t="n"/>
      <c r="I2380" s="9">
        <f>IF($A2380="","",SUMIFS(Ventes_Encaissements!$D$6:$D$3005,Ventes_Encaissements!$B$6:$B$3005,$A2380))</f>
        <v/>
      </c>
      <c r="J2380" s="9">
        <f>IF($A2380="","",$H2380-$I2380)</f>
        <v/>
      </c>
      <c r="K2380" s="10">
        <f>IF($A2380="","",IF($I2380=0,"",_xludf.AGGREGATE(14,6,Ventes_Encaissements!$C$6:$C$3005/(Ventes_Encaissements!$B$6:$B$3005=$A2380),1)))</f>
        <v/>
      </c>
      <c r="L2380" s="11">
        <f>IF($A2380="","",COUNTIFS(Ventes_Detail!$B$6:$B$3005,$A2380))</f>
        <v/>
      </c>
      <c r="M2380" s="12" t="n"/>
      <c r="N2380" s="12">
        <f>IF($A2380="","",IF($G2380="","",IF($M2380="Oui","Litige",IF($J2380&lt;=0,"Payé",IF($I2380&gt;0,"Partiel",IF(Listes!$B$3&gt;$G2380,"En retard","À échoir"))))))</f>
        <v/>
      </c>
      <c r="O2380" s="11">
        <f>IF($A2380="","",IF(OR($G2380="", $J2380&lt;=0),0,MAX(0,Listes!$B$3-$G2380)))</f>
        <v/>
      </c>
      <c r="P2380" s="12">
        <f>IF($A2380="","",IF($J2380&lt;=0,"Payé",IF($M2380="Oui","Litige",IF($O2380=0,"À échoir",IF($O2380&lt;=30,"0-30",IF($O2380&lt;=60,"31-60",IF($O2380&lt;=90,"61-90","90+")))))))</f>
        <v/>
      </c>
    </row>
    <row r="2381">
      <c r="A2381" s="6" t="n"/>
      <c r="B2381" s="6" t="n"/>
      <c r="C2381" s="6" t="n"/>
      <c r="D2381" s="6" t="n"/>
      <c r="E2381" s="6" t="n"/>
      <c r="F2381" s="7" t="n"/>
      <c r="G2381" s="7" t="n"/>
      <c r="H2381" s="8" t="n"/>
      <c r="I2381" s="9">
        <f>IF($A2381="","",SUMIFS(Ventes_Encaissements!$D$6:$D$3005,Ventes_Encaissements!$B$6:$B$3005,$A2381))</f>
        <v/>
      </c>
      <c r="J2381" s="9">
        <f>IF($A2381="","",$H2381-$I2381)</f>
        <v/>
      </c>
      <c r="K2381" s="10">
        <f>IF($A2381="","",IF($I2381=0,"",_xludf.AGGREGATE(14,6,Ventes_Encaissements!$C$6:$C$3005/(Ventes_Encaissements!$B$6:$B$3005=$A2381),1)))</f>
        <v/>
      </c>
      <c r="L2381" s="11">
        <f>IF($A2381="","",COUNTIFS(Ventes_Detail!$B$6:$B$3005,$A2381))</f>
        <v/>
      </c>
      <c r="M2381" s="12" t="n"/>
      <c r="N2381" s="12">
        <f>IF($A2381="","",IF($G2381="","",IF($M2381="Oui","Litige",IF($J2381&lt;=0,"Payé",IF($I2381&gt;0,"Partiel",IF(Listes!$B$3&gt;$G2381,"En retard","À échoir"))))))</f>
        <v/>
      </c>
      <c r="O2381" s="11">
        <f>IF($A2381="","",IF(OR($G2381="", $J2381&lt;=0),0,MAX(0,Listes!$B$3-$G2381)))</f>
        <v/>
      </c>
      <c r="P2381" s="12">
        <f>IF($A2381="","",IF($J2381&lt;=0,"Payé",IF($M2381="Oui","Litige",IF($O2381=0,"À échoir",IF($O2381&lt;=30,"0-30",IF($O2381&lt;=60,"31-60",IF($O2381&lt;=90,"61-90","90+")))))))</f>
        <v/>
      </c>
    </row>
    <row r="2382">
      <c r="A2382" s="6" t="n"/>
      <c r="B2382" s="6" t="n"/>
      <c r="C2382" s="6" t="n"/>
      <c r="D2382" s="6" t="n"/>
      <c r="E2382" s="6" t="n"/>
      <c r="F2382" s="7" t="n"/>
      <c r="G2382" s="7" t="n"/>
      <c r="H2382" s="8" t="n"/>
      <c r="I2382" s="9">
        <f>IF($A2382="","",SUMIFS(Ventes_Encaissements!$D$6:$D$3005,Ventes_Encaissements!$B$6:$B$3005,$A2382))</f>
        <v/>
      </c>
      <c r="J2382" s="9">
        <f>IF($A2382="","",$H2382-$I2382)</f>
        <v/>
      </c>
      <c r="K2382" s="10">
        <f>IF($A2382="","",IF($I2382=0,"",_xludf.AGGREGATE(14,6,Ventes_Encaissements!$C$6:$C$3005/(Ventes_Encaissements!$B$6:$B$3005=$A2382),1)))</f>
        <v/>
      </c>
      <c r="L2382" s="11">
        <f>IF($A2382="","",COUNTIFS(Ventes_Detail!$B$6:$B$3005,$A2382))</f>
        <v/>
      </c>
      <c r="M2382" s="12" t="n"/>
      <c r="N2382" s="12">
        <f>IF($A2382="","",IF($G2382="","",IF($M2382="Oui","Litige",IF($J2382&lt;=0,"Payé",IF($I2382&gt;0,"Partiel",IF(Listes!$B$3&gt;$G2382,"En retard","À échoir"))))))</f>
        <v/>
      </c>
      <c r="O2382" s="11">
        <f>IF($A2382="","",IF(OR($G2382="", $J2382&lt;=0),0,MAX(0,Listes!$B$3-$G2382)))</f>
        <v/>
      </c>
      <c r="P2382" s="12">
        <f>IF($A2382="","",IF($J2382&lt;=0,"Payé",IF($M2382="Oui","Litige",IF($O2382=0,"À échoir",IF($O2382&lt;=30,"0-30",IF($O2382&lt;=60,"31-60",IF($O2382&lt;=90,"61-90","90+")))))))</f>
        <v/>
      </c>
    </row>
    <row r="2383">
      <c r="A2383" s="6" t="n"/>
      <c r="B2383" s="6" t="n"/>
      <c r="C2383" s="6" t="n"/>
      <c r="D2383" s="6" t="n"/>
      <c r="E2383" s="6" t="n"/>
      <c r="F2383" s="7" t="n"/>
      <c r="G2383" s="7" t="n"/>
      <c r="H2383" s="8" t="n"/>
      <c r="I2383" s="9">
        <f>IF($A2383="","",SUMIFS(Ventes_Encaissements!$D$6:$D$3005,Ventes_Encaissements!$B$6:$B$3005,$A2383))</f>
        <v/>
      </c>
      <c r="J2383" s="9">
        <f>IF($A2383="","",$H2383-$I2383)</f>
        <v/>
      </c>
      <c r="K2383" s="10">
        <f>IF($A2383="","",IF($I2383=0,"",_xludf.AGGREGATE(14,6,Ventes_Encaissements!$C$6:$C$3005/(Ventes_Encaissements!$B$6:$B$3005=$A2383),1)))</f>
        <v/>
      </c>
      <c r="L2383" s="11">
        <f>IF($A2383="","",COUNTIFS(Ventes_Detail!$B$6:$B$3005,$A2383))</f>
        <v/>
      </c>
      <c r="M2383" s="12" t="n"/>
      <c r="N2383" s="12">
        <f>IF($A2383="","",IF($G2383="","",IF($M2383="Oui","Litige",IF($J2383&lt;=0,"Payé",IF($I2383&gt;0,"Partiel",IF(Listes!$B$3&gt;$G2383,"En retard","À échoir"))))))</f>
        <v/>
      </c>
      <c r="O2383" s="11">
        <f>IF($A2383="","",IF(OR($G2383="", $J2383&lt;=0),0,MAX(0,Listes!$B$3-$G2383)))</f>
        <v/>
      </c>
      <c r="P2383" s="12">
        <f>IF($A2383="","",IF($J2383&lt;=0,"Payé",IF($M2383="Oui","Litige",IF($O2383=0,"À échoir",IF($O2383&lt;=30,"0-30",IF($O2383&lt;=60,"31-60",IF($O2383&lt;=90,"61-90","90+")))))))</f>
        <v/>
      </c>
    </row>
    <row r="2384">
      <c r="A2384" s="6" t="n"/>
      <c r="B2384" s="6" t="n"/>
      <c r="C2384" s="6" t="n"/>
      <c r="D2384" s="6" t="n"/>
      <c r="E2384" s="6" t="n"/>
      <c r="F2384" s="7" t="n"/>
      <c r="G2384" s="7" t="n"/>
      <c r="H2384" s="8" t="n"/>
      <c r="I2384" s="9">
        <f>IF($A2384="","",SUMIFS(Ventes_Encaissements!$D$6:$D$3005,Ventes_Encaissements!$B$6:$B$3005,$A2384))</f>
        <v/>
      </c>
      <c r="J2384" s="9">
        <f>IF($A2384="","",$H2384-$I2384)</f>
        <v/>
      </c>
      <c r="K2384" s="10">
        <f>IF($A2384="","",IF($I2384=0,"",_xludf.AGGREGATE(14,6,Ventes_Encaissements!$C$6:$C$3005/(Ventes_Encaissements!$B$6:$B$3005=$A2384),1)))</f>
        <v/>
      </c>
      <c r="L2384" s="11">
        <f>IF($A2384="","",COUNTIFS(Ventes_Detail!$B$6:$B$3005,$A2384))</f>
        <v/>
      </c>
      <c r="M2384" s="12" t="n"/>
      <c r="N2384" s="12">
        <f>IF($A2384="","",IF($G2384="","",IF($M2384="Oui","Litige",IF($J2384&lt;=0,"Payé",IF($I2384&gt;0,"Partiel",IF(Listes!$B$3&gt;$G2384,"En retard","À échoir"))))))</f>
        <v/>
      </c>
      <c r="O2384" s="11">
        <f>IF($A2384="","",IF(OR($G2384="", $J2384&lt;=0),0,MAX(0,Listes!$B$3-$G2384)))</f>
        <v/>
      </c>
      <c r="P2384" s="12">
        <f>IF($A2384="","",IF($J2384&lt;=0,"Payé",IF($M2384="Oui","Litige",IF($O2384=0,"À échoir",IF($O2384&lt;=30,"0-30",IF($O2384&lt;=60,"31-60",IF($O2384&lt;=90,"61-90","90+")))))))</f>
        <v/>
      </c>
    </row>
    <row r="2385">
      <c r="A2385" s="6" t="n"/>
      <c r="B2385" s="6" t="n"/>
      <c r="C2385" s="6" t="n"/>
      <c r="D2385" s="6" t="n"/>
      <c r="E2385" s="6" t="n"/>
      <c r="F2385" s="7" t="n"/>
      <c r="G2385" s="7" t="n"/>
      <c r="H2385" s="8" t="n"/>
      <c r="I2385" s="9">
        <f>IF($A2385="","",SUMIFS(Ventes_Encaissements!$D$6:$D$3005,Ventes_Encaissements!$B$6:$B$3005,$A2385))</f>
        <v/>
      </c>
      <c r="J2385" s="9">
        <f>IF($A2385="","",$H2385-$I2385)</f>
        <v/>
      </c>
      <c r="K2385" s="10">
        <f>IF($A2385="","",IF($I2385=0,"",_xludf.AGGREGATE(14,6,Ventes_Encaissements!$C$6:$C$3005/(Ventes_Encaissements!$B$6:$B$3005=$A2385),1)))</f>
        <v/>
      </c>
      <c r="L2385" s="11">
        <f>IF($A2385="","",COUNTIFS(Ventes_Detail!$B$6:$B$3005,$A2385))</f>
        <v/>
      </c>
      <c r="M2385" s="12" t="n"/>
      <c r="N2385" s="12">
        <f>IF($A2385="","",IF($G2385="","",IF($M2385="Oui","Litige",IF($J2385&lt;=0,"Payé",IF($I2385&gt;0,"Partiel",IF(Listes!$B$3&gt;$G2385,"En retard","À échoir"))))))</f>
        <v/>
      </c>
      <c r="O2385" s="11">
        <f>IF($A2385="","",IF(OR($G2385="", $J2385&lt;=0),0,MAX(0,Listes!$B$3-$G2385)))</f>
        <v/>
      </c>
      <c r="P2385" s="12">
        <f>IF($A2385="","",IF($J2385&lt;=0,"Payé",IF($M2385="Oui","Litige",IF($O2385=0,"À échoir",IF($O2385&lt;=30,"0-30",IF($O2385&lt;=60,"31-60",IF($O2385&lt;=90,"61-90","90+")))))))</f>
        <v/>
      </c>
    </row>
    <row r="2386">
      <c r="A2386" s="6" t="n"/>
      <c r="B2386" s="6" t="n"/>
      <c r="C2386" s="6" t="n"/>
      <c r="D2386" s="6" t="n"/>
      <c r="E2386" s="6" t="n"/>
      <c r="F2386" s="7" t="n"/>
      <c r="G2386" s="7" t="n"/>
      <c r="H2386" s="8" t="n"/>
      <c r="I2386" s="9">
        <f>IF($A2386="","",SUMIFS(Ventes_Encaissements!$D$6:$D$3005,Ventes_Encaissements!$B$6:$B$3005,$A2386))</f>
        <v/>
      </c>
      <c r="J2386" s="9">
        <f>IF($A2386="","",$H2386-$I2386)</f>
        <v/>
      </c>
      <c r="K2386" s="10">
        <f>IF($A2386="","",IF($I2386=0,"",_xludf.AGGREGATE(14,6,Ventes_Encaissements!$C$6:$C$3005/(Ventes_Encaissements!$B$6:$B$3005=$A2386),1)))</f>
        <v/>
      </c>
      <c r="L2386" s="11">
        <f>IF($A2386="","",COUNTIFS(Ventes_Detail!$B$6:$B$3005,$A2386))</f>
        <v/>
      </c>
      <c r="M2386" s="12" t="n"/>
      <c r="N2386" s="12">
        <f>IF($A2386="","",IF($G2386="","",IF($M2386="Oui","Litige",IF($J2386&lt;=0,"Payé",IF($I2386&gt;0,"Partiel",IF(Listes!$B$3&gt;$G2386,"En retard","À échoir"))))))</f>
        <v/>
      </c>
      <c r="O2386" s="11">
        <f>IF($A2386="","",IF(OR($G2386="", $J2386&lt;=0),0,MAX(0,Listes!$B$3-$G2386)))</f>
        <v/>
      </c>
      <c r="P2386" s="12">
        <f>IF($A2386="","",IF($J2386&lt;=0,"Payé",IF($M2386="Oui","Litige",IF($O2386=0,"À échoir",IF($O2386&lt;=30,"0-30",IF($O2386&lt;=60,"31-60",IF($O2386&lt;=90,"61-90","90+")))))))</f>
        <v/>
      </c>
    </row>
    <row r="2387">
      <c r="A2387" s="6" t="n"/>
      <c r="B2387" s="6" t="n"/>
      <c r="C2387" s="6" t="n"/>
      <c r="D2387" s="6" t="n"/>
      <c r="E2387" s="6" t="n"/>
      <c r="F2387" s="7" t="n"/>
      <c r="G2387" s="7" t="n"/>
      <c r="H2387" s="8" t="n"/>
      <c r="I2387" s="9">
        <f>IF($A2387="","",SUMIFS(Ventes_Encaissements!$D$6:$D$3005,Ventes_Encaissements!$B$6:$B$3005,$A2387))</f>
        <v/>
      </c>
      <c r="J2387" s="9">
        <f>IF($A2387="","",$H2387-$I2387)</f>
        <v/>
      </c>
      <c r="K2387" s="10">
        <f>IF($A2387="","",IF($I2387=0,"",_xludf.AGGREGATE(14,6,Ventes_Encaissements!$C$6:$C$3005/(Ventes_Encaissements!$B$6:$B$3005=$A2387),1)))</f>
        <v/>
      </c>
      <c r="L2387" s="11">
        <f>IF($A2387="","",COUNTIFS(Ventes_Detail!$B$6:$B$3005,$A2387))</f>
        <v/>
      </c>
      <c r="M2387" s="12" t="n"/>
      <c r="N2387" s="12">
        <f>IF($A2387="","",IF($G2387="","",IF($M2387="Oui","Litige",IF($J2387&lt;=0,"Payé",IF($I2387&gt;0,"Partiel",IF(Listes!$B$3&gt;$G2387,"En retard","À échoir"))))))</f>
        <v/>
      </c>
      <c r="O2387" s="11">
        <f>IF($A2387="","",IF(OR($G2387="", $J2387&lt;=0),0,MAX(0,Listes!$B$3-$G2387)))</f>
        <v/>
      </c>
      <c r="P2387" s="12">
        <f>IF($A2387="","",IF($J2387&lt;=0,"Payé",IF($M2387="Oui","Litige",IF($O2387=0,"À échoir",IF($O2387&lt;=30,"0-30",IF($O2387&lt;=60,"31-60",IF($O2387&lt;=90,"61-90","90+")))))))</f>
        <v/>
      </c>
    </row>
    <row r="2388">
      <c r="A2388" s="6" t="n"/>
      <c r="B2388" s="6" t="n"/>
      <c r="C2388" s="6" t="n"/>
      <c r="D2388" s="6" t="n"/>
      <c r="E2388" s="6" t="n"/>
      <c r="F2388" s="7" t="n"/>
      <c r="G2388" s="7" t="n"/>
      <c r="H2388" s="8" t="n"/>
      <c r="I2388" s="9">
        <f>IF($A2388="","",SUMIFS(Ventes_Encaissements!$D$6:$D$3005,Ventes_Encaissements!$B$6:$B$3005,$A2388))</f>
        <v/>
      </c>
      <c r="J2388" s="9">
        <f>IF($A2388="","",$H2388-$I2388)</f>
        <v/>
      </c>
      <c r="K2388" s="10">
        <f>IF($A2388="","",IF($I2388=0,"",_xludf.AGGREGATE(14,6,Ventes_Encaissements!$C$6:$C$3005/(Ventes_Encaissements!$B$6:$B$3005=$A2388),1)))</f>
        <v/>
      </c>
      <c r="L2388" s="11">
        <f>IF($A2388="","",COUNTIFS(Ventes_Detail!$B$6:$B$3005,$A2388))</f>
        <v/>
      </c>
      <c r="M2388" s="12" t="n"/>
      <c r="N2388" s="12">
        <f>IF($A2388="","",IF($G2388="","",IF($M2388="Oui","Litige",IF($J2388&lt;=0,"Payé",IF($I2388&gt;0,"Partiel",IF(Listes!$B$3&gt;$G2388,"En retard","À échoir"))))))</f>
        <v/>
      </c>
      <c r="O2388" s="11">
        <f>IF($A2388="","",IF(OR($G2388="", $J2388&lt;=0),0,MAX(0,Listes!$B$3-$G2388)))</f>
        <v/>
      </c>
      <c r="P2388" s="12">
        <f>IF($A2388="","",IF($J2388&lt;=0,"Payé",IF($M2388="Oui","Litige",IF($O2388=0,"À échoir",IF($O2388&lt;=30,"0-30",IF($O2388&lt;=60,"31-60",IF($O2388&lt;=90,"61-90","90+")))))))</f>
        <v/>
      </c>
    </row>
    <row r="2389">
      <c r="A2389" s="6" t="n"/>
      <c r="B2389" s="6" t="n"/>
      <c r="C2389" s="6" t="n"/>
      <c r="D2389" s="6" t="n"/>
      <c r="E2389" s="6" t="n"/>
      <c r="F2389" s="7" t="n"/>
      <c r="G2389" s="7" t="n"/>
      <c r="H2389" s="8" t="n"/>
      <c r="I2389" s="9">
        <f>IF($A2389="","",SUMIFS(Ventes_Encaissements!$D$6:$D$3005,Ventes_Encaissements!$B$6:$B$3005,$A2389))</f>
        <v/>
      </c>
      <c r="J2389" s="9">
        <f>IF($A2389="","",$H2389-$I2389)</f>
        <v/>
      </c>
      <c r="K2389" s="10">
        <f>IF($A2389="","",IF($I2389=0,"",_xludf.AGGREGATE(14,6,Ventes_Encaissements!$C$6:$C$3005/(Ventes_Encaissements!$B$6:$B$3005=$A2389),1)))</f>
        <v/>
      </c>
      <c r="L2389" s="11">
        <f>IF($A2389="","",COUNTIFS(Ventes_Detail!$B$6:$B$3005,$A2389))</f>
        <v/>
      </c>
      <c r="M2389" s="12" t="n"/>
      <c r="N2389" s="12">
        <f>IF($A2389="","",IF($G2389="","",IF($M2389="Oui","Litige",IF($J2389&lt;=0,"Payé",IF($I2389&gt;0,"Partiel",IF(Listes!$B$3&gt;$G2389,"En retard","À échoir"))))))</f>
        <v/>
      </c>
      <c r="O2389" s="11">
        <f>IF($A2389="","",IF(OR($G2389="", $J2389&lt;=0),0,MAX(0,Listes!$B$3-$G2389)))</f>
        <v/>
      </c>
      <c r="P2389" s="12">
        <f>IF($A2389="","",IF($J2389&lt;=0,"Payé",IF($M2389="Oui","Litige",IF($O2389=0,"À échoir",IF($O2389&lt;=30,"0-30",IF($O2389&lt;=60,"31-60",IF($O2389&lt;=90,"61-90","90+")))))))</f>
        <v/>
      </c>
    </row>
    <row r="2390">
      <c r="A2390" s="6" t="n"/>
      <c r="B2390" s="6" t="n"/>
      <c r="C2390" s="6" t="n"/>
      <c r="D2390" s="6" t="n"/>
      <c r="E2390" s="6" t="n"/>
      <c r="F2390" s="7" t="n"/>
      <c r="G2390" s="7" t="n"/>
      <c r="H2390" s="8" t="n"/>
      <c r="I2390" s="9">
        <f>IF($A2390="","",SUMIFS(Ventes_Encaissements!$D$6:$D$3005,Ventes_Encaissements!$B$6:$B$3005,$A2390))</f>
        <v/>
      </c>
      <c r="J2390" s="9">
        <f>IF($A2390="","",$H2390-$I2390)</f>
        <v/>
      </c>
      <c r="K2390" s="10">
        <f>IF($A2390="","",IF($I2390=0,"",_xludf.AGGREGATE(14,6,Ventes_Encaissements!$C$6:$C$3005/(Ventes_Encaissements!$B$6:$B$3005=$A2390),1)))</f>
        <v/>
      </c>
      <c r="L2390" s="11">
        <f>IF($A2390="","",COUNTIFS(Ventes_Detail!$B$6:$B$3005,$A2390))</f>
        <v/>
      </c>
      <c r="M2390" s="12" t="n"/>
      <c r="N2390" s="12">
        <f>IF($A2390="","",IF($G2390="","",IF($M2390="Oui","Litige",IF($J2390&lt;=0,"Payé",IF($I2390&gt;0,"Partiel",IF(Listes!$B$3&gt;$G2390,"En retard","À échoir"))))))</f>
        <v/>
      </c>
      <c r="O2390" s="11">
        <f>IF($A2390="","",IF(OR($G2390="", $J2390&lt;=0),0,MAX(0,Listes!$B$3-$G2390)))</f>
        <v/>
      </c>
      <c r="P2390" s="12">
        <f>IF($A2390="","",IF($J2390&lt;=0,"Payé",IF($M2390="Oui","Litige",IF($O2390=0,"À échoir",IF($O2390&lt;=30,"0-30",IF($O2390&lt;=60,"31-60",IF($O2390&lt;=90,"61-90","90+")))))))</f>
        <v/>
      </c>
    </row>
    <row r="2391">
      <c r="A2391" s="6" t="n"/>
      <c r="B2391" s="6" t="n"/>
      <c r="C2391" s="6" t="n"/>
      <c r="D2391" s="6" t="n"/>
      <c r="E2391" s="6" t="n"/>
      <c r="F2391" s="7" t="n"/>
      <c r="G2391" s="7" t="n"/>
      <c r="H2391" s="8" t="n"/>
      <c r="I2391" s="9">
        <f>IF($A2391="","",SUMIFS(Ventes_Encaissements!$D$6:$D$3005,Ventes_Encaissements!$B$6:$B$3005,$A2391))</f>
        <v/>
      </c>
      <c r="J2391" s="9">
        <f>IF($A2391="","",$H2391-$I2391)</f>
        <v/>
      </c>
      <c r="K2391" s="10">
        <f>IF($A2391="","",IF($I2391=0,"",_xludf.AGGREGATE(14,6,Ventes_Encaissements!$C$6:$C$3005/(Ventes_Encaissements!$B$6:$B$3005=$A2391),1)))</f>
        <v/>
      </c>
      <c r="L2391" s="11">
        <f>IF($A2391="","",COUNTIFS(Ventes_Detail!$B$6:$B$3005,$A2391))</f>
        <v/>
      </c>
      <c r="M2391" s="12" t="n"/>
      <c r="N2391" s="12">
        <f>IF($A2391="","",IF($G2391="","",IF($M2391="Oui","Litige",IF($J2391&lt;=0,"Payé",IF($I2391&gt;0,"Partiel",IF(Listes!$B$3&gt;$G2391,"En retard","À échoir"))))))</f>
        <v/>
      </c>
      <c r="O2391" s="11">
        <f>IF($A2391="","",IF(OR($G2391="", $J2391&lt;=0),0,MAX(0,Listes!$B$3-$G2391)))</f>
        <v/>
      </c>
      <c r="P2391" s="12">
        <f>IF($A2391="","",IF($J2391&lt;=0,"Payé",IF($M2391="Oui","Litige",IF($O2391=0,"À échoir",IF($O2391&lt;=30,"0-30",IF($O2391&lt;=60,"31-60",IF($O2391&lt;=90,"61-90","90+")))))))</f>
        <v/>
      </c>
    </row>
    <row r="2392">
      <c r="A2392" s="6" t="n"/>
      <c r="B2392" s="6" t="n"/>
      <c r="C2392" s="6" t="n"/>
      <c r="D2392" s="6" t="n"/>
      <c r="E2392" s="6" t="n"/>
      <c r="F2392" s="7" t="n"/>
      <c r="G2392" s="7" t="n"/>
      <c r="H2392" s="8" t="n"/>
      <c r="I2392" s="9">
        <f>IF($A2392="","",SUMIFS(Ventes_Encaissements!$D$6:$D$3005,Ventes_Encaissements!$B$6:$B$3005,$A2392))</f>
        <v/>
      </c>
      <c r="J2392" s="9">
        <f>IF($A2392="","",$H2392-$I2392)</f>
        <v/>
      </c>
      <c r="K2392" s="10">
        <f>IF($A2392="","",IF($I2392=0,"",_xludf.AGGREGATE(14,6,Ventes_Encaissements!$C$6:$C$3005/(Ventes_Encaissements!$B$6:$B$3005=$A2392),1)))</f>
        <v/>
      </c>
      <c r="L2392" s="11">
        <f>IF($A2392="","",COUNTIFS(Ventes_Detail!$B$6:$B$3005,$A2392))</f>
        <v/>
      </c>
      <c r="M2392" s="12" t="n"/>
      <c r="N2392" s="12">
        <f>IF($A2392="","",IF($G2392="","",IF($M2392="Oui","Litige",IF($J2392&lt;=0,"Payé",IF($I2392&gt;0,"Partiel",IF(Listes!$B$3&gt;$G2392,"En retard","À échoir"))))))</f>
        <v/>
      </c>
      <c r="O2392" s="11">
        <f>IF($A2392="","",IF(OR($G2392="", $J2392&lt;=0),0,MAX(0,Listes!$B$3-$G2392)))</f>
        <v/>
      </c>
      <c r="P2392" s="12">
        <f>IF($A2392="","",IF($J2392&lt;=0,"Payé",IF($M2392="Oui","Litige",IF($O2392=0,"À échoir",IF($O2392&lt;=30,"0-30",IF($O2392&lt;=60,"31-60",IF($O2392&lt;=90,"61-90","90+")))))))</f>
        <v/>
      </c>
    </row>
    <row r="2393">
      <c r="A2393" s="6" t="n"/>
      <c r="B2393" s="6" t="n"/>
      <c r="C2393" s="6" t="n"/>
      <c r="D2393" s="6" t="n"/>
      <c r="E2393" s="6" t="n"/>
      <c r="F2393" s="7" t="n"/>
      <c r="G2393" s="7" t="n"/>
      <c r="H2393" s="8" t="n"/>
      <c r="I2393" s="9">
        <f>IF($A2393="","",SUMIFS(Ventes_Encaissements!$D$6:$D$3005,Ventes_Encaissements!$B$6:$B$3005,$A2393))</f>
        <v/>
      </c>
      <c r="J2393" s="9">
        <f>IF($A2393="","",$H2393-$I2393)</f>
        <v/>
      </c>
      <c r="K2393" s="10">
        <f>IF($A2393="","",IF($I2393=0,"",_xludf.AGGREGATE(14,6,Ventes_Encaissements!$C$6:$C$3005/(Ventes_Encaissements!$B$6:$B$3005=$A2393),1)))</f>
        <v/>
      </c>
      <c r="L2393" s="11">
        <f>IF($A2393="","",COUNTIFS(Ventes_Detail!$B$6:$B$3005,$A2393))</f>
        <v/>
      </c>
      <c r="M2393" s="12" t="n"/>
      <c r="N2393" s="12">
        <f>IF($A2393="","",IF($G2393="","",IF($M2393="Oui","Litige",IF($J2393&lt;=0,"Payé",IF($I2393&gt;0,"Partiel",IF(Listes!$B$3&gt;$G2393,"En retard","À échoir"))))))</f>
        <v/>
      </c>
      <c r="O2393" s="11">
        <f>IF($A2393="","",IF(OR($G2393="", $J2393&lt;=0),0,MAX(0,Listes!$B$3-$G2393)))</f>
        <v/>
      </c>
      <c r="P2393" s="12">
        <f>IF($A2393="","",IF($J2393&lt;=0,"Payé",IF($M2393="Oui","Litige",IF($O2393=0,"À échoir",IF($O2393&lt;=30,"0-30",IF($O2393&lt;=60,"31-60",IF($O2393&lt;=90,"61-90","90+")))))))</f>
        <v/>
      </c>
    </row>
    <row r="2394">
      <c r="A2394" s="6" t="n"/>
      <c r="B2394" s="6" t="n"/>
      <c r="C2394" s="6" t="n"/>
      <c r="D2394" s="6" t="n"/>
      <c r="E2394" s="6" t="n"/>
      <c r="F2394" s="7" t="n"/>
      <c r="G2394" s="7" t="n"/>
      <c r="H2394" s="8" t="n"/>
      <c r="I2394" s="9">
        <f>IF($A2394="","",SUMIFS(Ventes_Encaissements!$D$6:$D$3005,Ventes_Encaissements!$B$6:$B$3005,$A2394))</f>
        <v/>
      </c>
      <c r="J2394" s="9">
        <f>IF($A2394="","",$H2394-$I2394)</f>
        <v/>
      </c>
      <c r="K2394" s="10">
        <f>IF($A2394="","",IF($I2394=0,"",_xludf.AGGREGATE(14,6,Ventes_Encaissements!$C$6:$C$3005/(Ventes_Encaissements!$B$6:$B$3005=$A2394),1)))</f>
        <v/>
      </c>
      <c r="L2394" s="11">
        <f>IF($A2394="","",COUNTIFS(Ventes_Detail!$B$6:$B$3005,$A2394))</f>
        <v/>
      </c>
      <c r="M2394" s="12" t="n"/>
      <c r="N2394" s="12">
        <f>IF($A2394="","",IF($G2394="","",IF($M2394="Oui","Litige",IF($J2394&lt;=0,"Payé",IF($I2394&gt;0,"Partiel",IF(Listes!$B$3&gt;$G2394,"En retard","À échoir"))))))</f>
        <v/>
      </c>
      <c r="O2394" s="11">
        <f>IF($A2394="","",IF(OR($G2394="", $J2394&lt;=0),0,MAX(0,Listes!$B$3-$G2394)))</f>
        <v/>
      </c>
      <c r="P2394" s="12">
        <f>IF($A2394="","",IF($J2394&lt;=0,"Payé",IF($M2394="Oui","Litige",IF($O2394=0,"À échoir",IF($O2394&lt;=30,"0-30",IF($O2394&lt;=60,"31-60",IF($O2394&lt;=90,"61-90","90+")))))))</f>
        <v/>
      </c>
    </row>
    <row r="2395">
      <c r="A2395" s="6" t="n"/>
      <c r="B2395" s="6" t="n"/>
      <c r="C2395" s="6" t="n"/>
      <c r="D2395" s="6" t="n"/>
      <c r="E2395" s="6" t="n"/>
      <c r="F2395" s="7" t="n"/>
      <c r="G2395" s="7" t="n"/>
      <c r="H2395" s="8" t="n"/>
      <c r="I2395" s="9">
        <f>IF($A2395="","",SUMIFS(Ventes_Encaissements!$D$6:$D$3005,Ventes_Encaissements!$B$6:$B$3005,$A2395))</f>
        <v/>
      </c>
      <c r="J2395" s="9">
        <f>IF($A2395="","",$H2395-$I2395)</f>
        <v/>
      </c>
      <c r="K2395" s="10">
        <f>IF($A2395="","",IF($I2395=0,"",_xludf.AGGREGATE(14,6,Ventes_Encaissements!$C$6:$C$3005/(Ventes_Encaissements!$B$6:$B$3005=$A2395),1)))</f>
        <v/>
      </c>
      <c r="L2395" s="11">
        <f>IF($A2395="","",COUNTIFS(Ventes_Detail!$B$6:$B$3005,$A2395))</f>
        <v/>
      </c>
      <c r="M2395" s="12" t="n"/>
      <c r="N2395" s="12">
        <f>IF($A2395="","",IF($G2395="","",IF($M2395="Oui","Litige",IF($J2395&lt;=0,"Payé",IF($I2395&gt;0,"Partiel",IF(Listes!$B$3&gt;$G2395,"En retard","À échoir"))))))</f>
        <v/>
      </c>
      <c r="O2395" s="11">
        <f>IF($A2395="","",IF(OR($G2395="", $J2395&lt;=0),0,MAX(0,Listes!$B$3-$G2395)))</f>
        <v/>
      </c>
      <c r="P2395" s="12">
        <f>IF($A2395="","",IF($J2395&lt;=0,"Payé",IF($M2395="Oui","Litige",IF($O2395=0,"À échoir",IF($O2395&lt;=30,"0-30",IF($O2395&lt;=60,"31-60",IF($O2395&lt;=90,"61-90","90+")))))))</f>
        <v/>
      </c>
    </row>
    <row r="2396">
      <c r="A2396" s="6" t="n"/>
      <c r="B2396" s="6" t="n"/>
      <c r="C2396" s="6" t="n"/>
      <c r="D2396" s="6" t="n"/>
      <c r="E2396" s="6" t="n"/>
      <c r="F2396" s="7" t="n"/>
      <c r="G2396" s="7" t="n"/>
      <c r="H2396" s="8" t="n"/>
      <c r="I2396" s="9">
        <f>IF($A2396="","",SUMIFS(Ventes_Encaissements!$D$6:$D$3005,Ventes_Encaissements!$B$6:$B$3005,$A2396))</f>
        <v/>
      </c>
      <c r="J2396" s="9">
        <f>IF($A2396="","",$H2396-$I2396)</f>
        <v/>
      </c>
      <c r="K2396" s="10">
        <f>IF($A2396="","",IF($I2396=0,"",_xludf.AGGREGATE(14,6,Ventes_Encaissements!$C$6:$C$3005/(Ventes_Encaissements!$B$6:$B$3005=$A2396),1)))</f>
        <v/>
      </c>
      <c r="L2396" s="11">
        <f>IF($A2396="","",COUNTIFS(Ventes_Detail!$B$6:$B$3005,$A2396))</f>
        <v/>
      </c>
      <c r="M2396" s="12" t="n"/>
      <c r="N2396" s="12">
        <f>IF($A2396="","",IF($G2396="","",IF($M2396="Oui","Litige",IF($J2396&lt;=0,"Payé",IF($I2396&gt;0,"Partiel",IF(Listes!$B$3&gt;$G2396,"En retard","À échoir"))))))</f>
        <v/>
      </c>
      <c r="O2396" s="11">
        <f>IF($A2396="","",IF(OR($G2396="", $J2396&lt;=0),0,MAX(0,Listes!$B$3-$G2396)))</f>
        <v/>
      </c>
      <c r="P2396" s="12">
        <f>IF($A2396="","",IF($J2396&lt;=0,"Payé",IF($M2396="Oui","Litige",IF($O2396=0,"À échoir",IF($O2396&lt;=30,"0-30",IF($O2396&lt;=60,"31-60",IF($O2396&lt;=90,"61-90","90+")))))))</f>
        <v/>
      </c>
    </row>
    <row r="2397">
      <c r="A2397" s="6" t="n"/>
      <c r="B2397" s="6" t="n"/>
      <c r="C2397" s="6" t="n"/>
      <c r="D2397" s="6" t="n"/>
      <c r="E2397" s="6" t="n"/>
      <c r="F2397" s="7" t="n"/>
      <c r="G2397" s="7" t="n"/>
      <c r="H2397" s="8" t="n"/>
      <c r="I2397" s="9">
        <f>IF($A2397="","",SUMIFS(Ventes_Encaissements!$D$6:$D$3005,Ventes_Encaissements!$B$6:$B$3005,$A2397))</f>
        <v/>
      </c>
      <c r="J2397" s="9">
        <f>IF($A2397="","",$H2397-$I2397)</f>
        <v/>
      </c>
      <c r="K2397" s="10">
        <f>IF($A2397="","",IF($I2397=0,"",_xludf.AGGREGATE(14,6,Ventes_Encaissements!$C$6:$C$3005/(Ventes_Encaissements!$B$6:$B$3005=$A2397),1)))</f>
        <v/>
      </c>
      <c r="L2397" s="11">
        <f>IF($A2397="","",COUNTIFS(Ventes_Detail!$B$6:$B$3005,$A2397))</f>
        <v/>
      </c>
      <c r="M2397" s="12" t="n"/>
      <c r="N2397" s="12">
        <f>IF($A2397="","",IF($G2397="","",IF($M2397="Oui","Litige",IF($J2397&lt;=0,"Payé",IF($I2397&gt;0,"Partiel",IF(Listes!$B$3&gt;$G2397,"En retard","À échoir"))))))</f>
        <v/>
      </c>
      <c r="O2397" s="11">
        <f>IF($A2397="","",IF(OR($G2397="", $J2397&lt;=0),0,MAX(0,Listes!$B$3-$G2397)))</f>
        <v/>
      </c>
      <c r="P2397" s="12">
        <f>IF($A2397="","",IF($J2397&lt;=0,"Payé",IF($M2397="Oui","Litige",IF($O2397=0,"À échoir",IF($O2397&lt;=30,"0-30",IF($O2397&lt;=60,"31-60",IF($O2397&lt;=90,"61-90","90+")))))))</f>
        <v/>
      </c>
    </row>
    <row r="2398">
      <c r="A2398" s="6" t="n"/>
      <c r="B2398" s="6" t="n"/>
      <c r="C2398" s="6" t="n"/>
      <c r="D2398" s="6" t="n"/>
      <c r="E2398" s="6" t="n"/>
      <c r="F2398" s="7" t="n"/>
      <c r="G2398" s="7" t="n"/>
      <c r="H2398" s="8" t="n"/>
      <c r="I2398" s="9">
        <f>IF($A2398="","",SUMIFS(Ventes_Encaissements!$D$6:$D$3005,Ventes_Encaissements!$B$6:$B$3005,$A2398))</f>
        <v/>
      </c>
      <c r="J2398" s="9">
        <f>IF($A2398="","",$H2398-$I2398)</f>
        <v/>
      </c>
      <c r="K2398" s="10">
        <f>IF($A2398="","",IF($I2398=0,"",_xludf.AGGREGATE(14,6,Ventes_Encaissements!$C$6:$C$3005/(Ventes_Encaissements!$B$6:$B$3005=$A2398),1)))</f>
        <v/>
      </c>
      <c r="L2398" s="11">
        <f>IF($A2398="","",COUNTIFS(Ventes_Detail!$B$6:$B$3005,$A2398))</f>
        <v/>
      </c>
      <c r="M2398" s="12" t="n"/>
      <c r="N2398" s="12">
        <f>IF($A2398="","",IF($G2398="","",IF($M2398="Oui","Litige",IF($J2398&lt;=0,"Payé",IF($I2398&gt;0,"Partiel",IF(Listes!$B$3&gt;$G2398,"En retard","À échoir"))))))</f>
        <v/>
      </c>
      <c r="O2398" s="11">
        <f>IF($A2398="","",IF(OR($G2398="", $J2398&lt;=0),0,MAX(0,Listes!$B$3-$G2398)))</f>
        <v/>
      </c>
      <c r="P2398" s="12">
        <f>IF($A2398="","",IF($J2398&lt;=0,"Payé",IF($M2398="Oui","Litige",IF($O2398=0,"À échoir",IF($O2398&lt;=30,"0-30",IF($O2398&lt;=60,"31-60",IF($O2398&lt;=90,"61-90","90+")))))))</f>
        <v/>
      </c>
    </row>
    <row r="2399">
      <c r="A2399" s="6" t="n"/>
      <c r="B2399" s="6" t="n"/>
      <c r="C2399" s="6" t="n"/>
      <c r="D2399" s="6" t="n"/>
      <c r="E2399" s="6" t="n"/>
      <c r="F2399" s="7" t="n"/>
      <c r="G2399" s="7" t="n"/>
      <c r="H2399" s="8" t="n"/>
      <c r="I2399" s="9">
        <f>IF($A2399="","",SUMIFS(Ventes_Encaissements!$D$6:$D$3005,Ventes_Encaissements!$B$6:$B$3005,$A2399))</f>
        <v/>
      </c>
      <c r="J2399" s="9">
        <f>IF($A2399="","",$H2399-$I2399)</f>
        <v/>
      </c>
      <c r="K2399" s="10">
        <f>IF($A2399="","",IF($I2399=0,"",_xludf.AGGREGATE(14,6,Ventes_Encaissements!$C$6:$C$3005/(Ventes_Encaissements!$B$6:$B$3005=$A2399),1)))</f>
        <v/>
      </c>
      <c r="L2399" s="11">
        <f>IF($A2399="","",COUNTIFS(Ventes_Detail!$B$6:$B$3005,$A2399))</f>
        <v/>
      </c>
      <c r="M2399" s="12" t="n"/>
      <c r="N2399" s="12">
        <f>IF($A2399="","",IF($G2399="","",IF($M2399="Oui","Litige",IF($J2399&lt;=0,"Payé",IF($I2399&gt;0,"Partiel",IF(Listes!$B$3&gt;$G2399,"En retard","À échoir"))))))</f>
        <v/>
      </c>
      <c r="O2399" s="11">
        <f>IF($A2399="","",IF(OR($G2399="", $J2399&lt;=0),0,MAX(0,Listes!$B$3-$G2399)))</f>
        <v/>
      </c>
      <c r="P2399" s="12">
        <f>IF($A2399="","",IF($J2399&lt;=0,"Payé",IF($M2399="Oui","Litige",IF($O2399=0,"À échoir",IF($O2399&lt;=30,"0-30",IF($O2399&lt;=60,"31-60",IF($O2399&lt;=90,"61-90","90+")))))))</f>
        <v/>
      </c>
    </row>
    <row r="2400">
      <c r="A2400" s="6" t="n"/>
      <c r="B2400" s="6" t="n"/>
      <c r="C2400" s="6" t="n"/>
      <c r="D2400" s="6" t="n"/>
      <c r="E2400" s="6" t="n"/>
      <c r="F2400" s="7" t="n"/>
      <c r="G2400" s="7" t="n"/>
      <c r="H2400" s="8" t="n"/>
      <c r="I2400" s="9">
        <f>IF($A2400="","",SUMIFS(Ventes_Encaissements!$D$6:$D$3005,Ventes_Encaissements!$B$6:$B$3005,$A2400))</f>
        <v/>
      </c>
      <c r="J2400" s="9">
        <f>IF($A2400="","",$H2400-$I2400)</f>
        <v/>
      </c>
      <c r="K2400" s="10">
        <f>IF($A2400="","",IF($I2400=0,"",_xludf.AGGREGATE(14,6,Ventes_Encaissements!$C$6:$C$3005/(Ventes_Encaissements!$B$6:$B$3005=$A2400),1)))</f>
        <v/>
      </c>
      <c r="L2400" s="11">
        <f>IF($A2400="","",COUNTIFS(Ventes_Detail!$B$6:$B$3005,$A2400))</f>
        <v/>
      </c>
      <c r="M2400" s="12" t="n"/>
      <c r="N2400" s="12">
        <f>IF($A2400="","",IF($G2400="","",IF($M2400="Oui","Litige",IF($J2400&lt;=0,"Payé",IF($I2400&gt;0,"Partiel",IF(Listes!$B$3&gt;$G2400,"En retard","À échoir"))))))</f>
        <v/>
      </c>
      <c r="O2400" s="11">
        <f>IF($A2400="","",IF(OR($G2400="", $J2400&lt;=0),0,MAX(0,Listes!$B$3-$G2400)))</f>
        <v/>
      </c>
      <c r="P2400" s="12">
        <f>IF($A2400="","",IF($J2400&lt;=0,"Payé",IF($M2400="Oui","Litige",IF($O2400=0,"À échoir",IF($O2400&lt;=30,"0-30",IF($O2400&lt;=60,"31-60",IF($O2400&lt;=90,"61-90","90+")))))))</f>
        <v/>
      </c>
    </row>
    <row r="2401">
      <c r="A2401" s="6" t="n"/>
      <c r="B2401" s="6" t="n"/>
      <c r="C2401" s="6" t="n"/>
      <c r="D2401" s="6" t="n"/>
      <c r="E2401" s="6" t="n"/>
      <c r="F2401" s="7" t="n"/>
      <c r="G2401" s="7" t="n"/>
      <c r="H2401" s="8" t="n"/>
      <c r="I2401" s="9">
        <f>IF($A2401="","",SUMIFS(Ventes_Encaissements!$D$6:$D$3005,Ventes_Encaissements!$B$6:$B$3005,$A2401))</f>
        <v/>
      </c>
      <c r="J2401" s="9">
        <f>IF($A2401="","",$H2401-$I2401)</f>
        <v/>
      </c>
      <c r="K2401" s="10">
        <f>IF($A2401="","",IF($I2401=0,"",_xludf.AGGREGATE(14,6,Ventes_Encaissements!$C$6:$C$3005/(Ventes_Encaissements!$B$6:$B$3005=$A2401),1)))</f>
        <v/>
      </c>
      <c r="L2401" s="11">
        <f>IF($A2401="","",COUNTIFS(Ventes_Detail!$B$6:$B$3005,$A2401))</f>
        <v/>
      </c>
      <c r="M2401" s="12" t="n"/>
      <c r="N2401" s="12">
        <f>IF($A2401="","",IF($G2401="","",IF($M2401="Oui","Litige",IF($J2401&lt;=0,"Payé",IF($I2401&gt;0,"Partiel",IF(Listes!$B$3&gt;$G2401,"En retard","À échoir"))))))</f>
        <v/>
      </c>
      <c r="O2401" s="11">
        <f>IF($A2401="","",IF(OR($G2401="", $J2401&lt;=0),0,MAX(0,Listes!$B$3-$G2401)))</f>
        <v/>
      </c>
      <c r="P2401" s="12">
        <f>IF($A2401="","",IF($J2401&lt;=0,"Payé",IF($M2401="Oui","Litige",IF($O2401=0,"À échoir",IF($O2401&lt;=30,"0-30",IF($O2401&lt;=60,"31-60",IF($O2401&lt;=90,"61-90","90+")))))))</f>
        <v/>
      </c>
    </row>
    <row r="2402">
      <c r="A2402" s="6" t="n"/>
      <c r="B2402" s="6" t="n"/>
      <c r="C2402" s="6" t="n"/>
      <c r="D2402" s="6" t="n"/>
      <c r="E2402" s="6" t="n"/>
      <c r="F2402" s="7" t="n"/>
      <c r="G2402" s="7" t="n"/>
      <c r="H2402" s="8" t="n"/>
      <c r="I2402" s="9">
        <f>IF($A2402="","",SUMIFS(Ventes_Encaissements!$D$6:$D$3005,Ventes_Encaissements!$B$6:$B$3005,$A2402))</f>
        <v/>
      </c>
      <c r="J2402" s="9">
        <f>IF($A2402="","",$H2402-$I2402)</f>
        <v/>
      </c>
      <c r="K2402" s="10">
        <f>IF($A2402="","",IF($I2402=0,"",_xludf.AGGREGATE(14,6,Ventes_Encaissements!$C$6:$C$3005/(Ventes_Encaissements!$B$6:$B$3005=$A2402),1)))</f>
        <v/>
      </c>
      <c r="L2402" s="11">
        <f>IF($A2402="","",COUNTIFS(Ventes_Detail!$B$6:$B$3005,$A2402))</f>
        <v/>
      </c>
      <c r="M2402" s="12" t="n"/>
      <c r="N2402" s="12">
        <f>IF($A2402="","",IF($G2402="","",IF($M2402="Oui","Litige",IF($J2402&lt;=0,"Payé",IF($I2402&gt;0,"Partiel",IF(Listes!$B$3&gt;$G2402,"En retard","À échoir"))))))</f>
        <v/>
      </c>
      <c r="O2402" s="11">
        <f>IF($A2402="","",IF(OR($G2402="", $J2402&lt;=0),0,MAX(0,Listes!$B$3-$G2402)))</f>
        <v/>
      </c>
      <c r="P2402" s="12">
        <f>IF($A2402="","",IF($J2402&lt;=0,"Payé",IF($M2402="Oui","Litige",IF($O2402=0,"À échoir",IF($O2402&lt;=30,"0-30",IF($O2402&lt;=60,"31-60",IF($O2402&lt;=90,"61-90","90+")))))))</f>
        <v/>
      </c>
    </row>
    <row r="2403">
      <c r="A2403" s="6" t="n"/>
      <c r="B2403" s="6" t="n"/>
      <c r="C2403" s="6" t="n"/>
      <c r="D2403" s="6" t="n"/>
      <c r="E2403" s="6" t="n"/>
      <c r="F2403" s="7" t="n"/>
      <c r="G2403" s="7" t="n"/>
      <c r="H2403" s="8" t="n"/>
      <c r="I2403" s="9">
        <f>IF($A2403="","",SUMIFS(Ventes_Encaissements!$D$6:$D$3005,Ventes_Encaissements!$B$6:$B$3005,$A2403))</f>
        <v/>
      </c>
      <c r="J2403" s="9">
        <f>IF($A2403="","",$H2403-$I2403)</f>
        <v/>
      </c>
      <c r="K2403" s="10">
        <f>IF($A2403="","",IF($I2403=0,"",_xludf.AGGREGATE(14,6,Ventes_Encaissements!$C$6:$C$3005/(Ventes_Encaissements!$B$6:$B$3005=$A2403),1)))</f>
        <v/>
      </c>
      <c r="L2403" s="11">
        <f>IF($A2403="","",COUNTIFS(Ventes_Detail!$B$6:$B$3005,$A2403))</f>
        <v/>
      </c>
      <c r="M2403" s="12" t="n"/>
      <c r="N2403" s="12">
        <f>IF($A2403="","",IF($G2403="","",IF($M2403="Oui","Litige",IF($J2403&lt;=0,"Payé",IF($I2403&gt;0,"Partiel",IF(Listes!$B$3&gt;$G2403,"En retard","À échoir"))))))</f>
        <v/>
      </c>
      <c r="O2403" s="11">
        <f>IF($A2403="","",IF(OR($G2403="", $J2403&lt;=0),0,MAX(0,Listes!$B$3-$G2403)))</f>
        <v/>
      </c>
      <c r="P2403" s="12">
        <f>IF($A2403="","",IF($J2403&lt;=0,"Payé",IF($M2403="Oui","Litige",IF($O2403=0,"À échoir",IF($O2403&lt;=30,"0-30",IF($O2403&lt;=60,"31-60",IF($O2403&lt;=90,"61-90","90+")))))))</f>
        <v/>
      </c>
    </row>
    <row r="2404">
      <c r="A2404" s="6" t="n"/>
      <c r="B2404" s="6" t="n"/>
      <c r="C2404" s="6" t="n"/>
      <c r="D2404" s="6" t="n"/>
      <c r="E2404" s="6" t="n"/>
      <c r="F2404" s="7" t="n"/>
      <c r="G2404" s="7" t="n"/>
      <c r="H2404" s="8" t="n"/>
      <c r="I2404" s="9">
        <f>IF($A2404="","",SUMIFS(Ventes_Encaissements!$D$6:$D$3005,Ventes_Encaissements!$B$6:$B$3005,$A2404))</f>
        <v/>
      </c>
      <c r="J2404" s="9">
        <f>IF($A2404="","",$H2404-$I2404)</f>
        <v/>
      </c>
      <c r="K2404" s="10">
        <f>IF($A2404="","",IF($I2404=0,"",_xludf.AGGREGATE(14,6,Ventes_Encaissements!$C$6:$C$3005/(Ventes_Encaissements!$B$6:$B$3005=$A2404),1)))</f>
        <v/>
      </c>
      <c r="L2404" s="11">
        <f>IF($A2404="","",COUNTIFS(Ventes_Detail!$B$6:$B$3005,$A2404))</f>
        <v/>
      </c>
      <c r="M2404" s="12" t="n"/>
      <c r="N2404" s="12">
        <f>IF($A2404="","",IF($G2404="","",IF($M2404="Oui","Litige",IF($J2404&lt;=0,"Payé",IF($I2404&gt;0,"Partiel",IF(Listes!$B$3&gt;$G2404,"En retard","À échoir"))))))</f>
        <v/>
      </c>
      <c r="O2404" s="11">
        <f>IF($A2404="","",IF(OR($G2404="", $J2404&lt;=0),0,MAX(0,Listes!$B$3-$G2404)))</f>
        <v/>
      </c>
      <c r="P2404" s="12">
        <f>IF($A2404="","",IF($J2404&lt;=0,"Payé",IF($M2404="Oui","Litige",IF($O2404=0,"À échoir",IF($O2404&lt;=30,"0-30",IF($O2404&lt;=60,"31-60",IF($O2404&lt;=90,"61-90","90+")))))))</f>
        <v/>
      </c>
    </row>
    <row r="2405">
      <c r="A2405" s="6" t="n"/>
      <c r="B2405" s="6" t="n"/>
      <c r="C2405" s="6" t="n"/>
      <c r="D2405" s="6" t="n"/>
      <c r="E2405" s="6" t="n"/>
      <c r="F2405" s="7" t="n"/>
      <c r="G2405" s="7" t="n"/>
      <c r="H2405" s="8" t="n"/>
      <c r="I2405" s="9">
        <f>IF($A2405="","",SUMIFS(Ventes_Encaissements!$D$6:$D$3005,Ventes_Encaissements!$B$6:$B$3005,$A2405))</f>
        <v/>
      </c>
      <c r="J2405" s="9">
        <f>IF($A2405="","",$H2405-$I2405)</f>
        <v/>
      </c>
      <c r="K2405" s="10">
        <f>IF($A2405="","",IF($I2405=0,"",_xludf.AGGREGATE(14,6,Ventes_Encaissements!$C$6:$C$3005/(Ventes_Encaissements!$B$6:$B$3005=$A2405),1)))</f>
        <v/>
      </c>
      <c r="L2405" s="11">
        <f>IF($A2405="","",COUNTIFS(Ventes_Detail!$B$6:$B$3005,$A2405))</f>
        <v/>
      </c>
      <c r="M2405" s="12" t="n"/>
      <c r="N2405" s="12">
        <f>IF($A2405="","",IF($G2405="","",IF($M2405="Oui","Litige",IF($J2405&lt;=0,"Payé",IF($I2405&gt;0,"Partiel",IF(Listes!$B$3&gt;$G2405,"En retard","À échoir"))))))</f>
        <v/>
      </c>
      <c r="O2405" s="11">
        <f>IF($A2405="","",IF(OR($G2405="", $J2405&lt;=0),0,MAX(0,Listes!$B$3-$G2405)))</f>
        <v/>
      </c>
      <c r="P2405" s="12">
        <f>IF($A2405="","",IF($J2405&lt;=0,"Payé",IF($M2405="Oui","Litige",IF($O2405=0,"À échoir",IF($O2405&lt;=30,"0-30",IF($O2405&lt;=60,"31-60",IF($O2405&lt;=90,"61-90","90+")))))))</f>
        <v/>
      </c>
    </row>
    <row r="2406">
      <c r="A2406" s="6" t="n"/>
      <c r="B2406" s="6" t="n"/>
      <c r="C2406" s="6" t="n"/>
      <c r="D2406" s="6" t="n"/>
      <c r="E2406" s="6" t="n"/>
      <c r="F2406" s="7" t="n"/>
      <c r="G2406" s="7" t="n"/>
      <c r="H2406" s="8" t="n"/>
      <c r="I2406" s="9">
        <f>IF($A2406="","",SUMIFS(Ventes_Encaissements!$D$6:$D$3005,Ventes_Encaissements!$B$6:$B$3005,$A2406))</f>
        <v/>
      </c>
      <c r="J2406" s="9">
        <f>IF($A2406="","",$H2406-$I2406)</f>
        <v/>
      </c>
      <c r="K2406" s="10">
        <f>IF($A2406="","",IF($I2406=0,"",_xludf.AGGREGATE(14,6,Ventes_Encaissements!$C$6:$C$3005/(Ventes_Encaissements!$B$6:$B$3005=$A2406),1)))</f>
        <v/>
      </c>
      <c r="L2406" s="11">
        <f>IF($A2406="","",COUNTIFS(Ventes_Detail!$B$6:$B$3005,$A2406))</f>
        <v/>
      </c>
      <c r="M2406" s="12" t="n"/>
      <c r="N2406" s="12">
        <f>IF($A2406="","",IF($G2406="","",IF($M2406="Oui","Litige",IF($J2406&lt;=0,"Payé",IF($I2406&gt;0,"Partiel",IF(Listes!$B$3&gt;$G2406,"En retard","À échoir"))))))</f>
        <v/>
      </c>
      <c r="O2406" s="11">
        <f>IF($A2406="","",IF(OR($G2406="", $J2406&lt;=0),0,MAX(0,Listes!$B$3-$G2406)))</f>
        <v/>
      </c>
      <c r="P2406" s="12">
        <f>IF($A2406="","",IF($J2406&lt;=0,"Payé",IF($M2406="Oui","Litige",IF($O2406=0,"À échoir",IF($O2406&lt;=30,"0-30",IF($O2406&lt;=60,"31-60",IF($O2406&lt;=90,"61-90","90+")))))))</f>
        <v/>
      </c>
    </row>
    <row r="2407">
      <c r="A2407" s="6" t="n"/>
      <c r="B2407" s="6" t="n"/>
      <c r="C2407" s="6" t="n"/>
      <c r="D2407" s="6" t="n"/>
      <c r="E2407" s="6" t="n"/>
      <c r="F2407" s="7" t="n"/>
      <c r="G2407" s="7" t="n"/>
      <c r="H2407" s="8" t="n"/>
      <c r="I2407" s="9">
        <f>IF($A2407="","",SUMIFS(Ventes_Encaissements!$D$6:$D$3005,Ventes_Encaissements!$B$6:$B$3005,$A2407))</f>
        <v/>
      </c>
      <c r="J2407" s="9">
        <f>IF($A2407="","",$H2407-$I2407)</f>
        <v/>
      </c>
      <c r="K2407" s="10">
        <f>IF($A2407="","",IF($I2407=0,"",_xludf.AGGREGATE(14,6,Ventes_Encaissements!$C$6:$C$3005/(Ventes_Encaissements!$B$6:$B$3005=$A2407),1)))</f>
        <v/>
      </c>
      <c r="L2407" s="11">
        <f>IF($A2407="","",COUNTIFS(Ventes_Detail!$B$6:$B$3005,$A2407))</f>
        <v/>
      </c>
      <c r="M2407" s="12" t="n"/>
      <c r="N2407" s="12">
        <f>IF($A2407="","",IF($G2407="","",IF($M2407="Oui","Litige",IF($J2407&lt;=0,"Payé",IF($I2407&gt;0,"Partiel",IF(Listes!$B$3&gt;$G2407,"En retard","À échoir"))))))</f>
        <v/>
      </c>
      <c r="O2407" s="11">
        <f>IF($A2407="","",IF(OR($G2407="", $J2407&lt;=0),0,MAX(0,Listes!$B$3-$G2407)))</f>
        <v/>
      </c>
      <c r="P2407" s="12">
        <f>IF($A2407="","",IF($J2407&lt;=0,"Payé",IF($M2407="Oui","Litige",IF($O2407=0,"À échoir",IF($O2407&lt;=30,"0-30",IF($O2407&lt;=60,"31-60",IF($O2407&lt;=90,"61-90","90+")))))))</f>
        <v/>
      </c>
    </row>
    <row r="2408">
      <c r="A2408" s="6" t="n"/>
      <c r="B2408" s="6" t="n"/>
      <c r="C2408" s="6" t="n"/>
      <c r="D2408" s="6" t="n"/>
      <c r="E2408" s="6" t="n"/>
      <c r="F2408" s="7" t="n"/>
      <c r="G2408" s="7" t="n"/>
      <c r="H2408" s="8" t="n"/>
      <c r="I2408" s="9">
        <f>IF($A2408="","",SUMIFS(Ventes_Encaissements!$D$6:$D$3005,Ventes_Encaissements!$B$6:$B$3005,$A2408))</f>
        <v/>
      </c>
      <c r="J2408" s="9">
        <f>IF($A2408="","",$H2408-$I2408)</f>
        <v/>
      </c>
      <c r="K2408" s="10">
        <f>IF($A2408="","",IF($I2408=0,"",_xludf.AGGREGATE(14,6,Ventes_Encaissements!$C$6:$C$3005/(Ventes_Encaissements!$B$6:$B$3005=$A2408),1)))</f>
        <v/>
      </c>
      <c r="L2408" s="11">
        <f>IF($A2408="","",COUNTIFS(Ventes_Detail!$B$6:$B$3005,$A2408))</f>
        <v/>
      </c>
      <c r="M2408" s="12" t="n"/>
      <c r="N2408" s="12">
        <f>IF($A2408="","",IF($G2408="","",IF($M2408="Oui","Litige",IF($J2408&lt;=0,"Payé",IF($I2408&gt;0,"Partiel",IF(Listes!$B$3&gt;$G2408,"En retard","À échoir"))))))</f>
        <v/>
      </c>
      <c r="O2408" s="11">
        <f>IF($A2408="","",IF(OR($G2408="", $J2408&lt;=0),0,MAX(0,Listes!$B$3-$G2408)))</f>
        <v/>
      </c>
      <c r="P2408" s="12">
        <f>IF($A2408="","",IF($J2408&lt;=0,"Payé",IF($M2408="Oui","Litige",IF($O2408=0,"À échoir",IF($O2408&lt;=30,"0-30",IF($O2408&lt;=60,"31-60",IF($O2408&lt;=90,"61-90","90+")))))))</f>
        <v/>
      </c>
    </row>
    <row r="2409">
      <c r="A2409" s="6" t="n"/>
      <c r="B2409" s="6" t="n"/>
      <c r="C2409" s="6" t="n"/>
      <c r="D2409" s="6" t="n"/>
      <c r="E2409" s="6" t="n"/>
      <c r="F2409" s="7" t="n"/>
      <c r="G2409" s="7" t="n"/>
      <c r="H2409" s="8" t="n"/>
      <c r="I2409" s="9">
        <f>IF($A2409="","",SUMIFS(Ventes_Encaissements!$D$6:$D$3005,Ventes_Encaissements!$B$6:$B$3005,$A2409))</f>
        <v/>
      </c>
      <c r="J2409" s="9">
        <f>IF($A2409="","",$H2409-$I2409)</f>
        <v/>
      </c>
      <c r="K2409" s="10">
        <f>IF($A2409="","",IF($I2409=0,"",_xludf.AGGREGATE(14,6,Ventes_Encaissements!$C$6:$C$3005/(Ventes_Encaissements!$B$6:$B$3005=$A2409),1)))</f>
        <v/>
      </c>
      <c r="L2409" s="11">
        <f>IF($A2409="","",COUNTIFS(Ventes_Detail!$B$6:$B$3005,$A2409))</f>
        <v/>
      </c>
      <c r="M2409" s="12" t="n"/>
      <c r="N2409" s="12">
        <f>IF($A2409="","",IF($G2409="","",IF($M2409="Oui","Litige",IF($J2409&lt;=0,"Payé",IF($I2409&gt;0,"Partiel",IF(Listes!$B$3&gt;$G2409,"En retard","À échoir"))))))</f>
        <v/>
      </c>
      <c r="O2409" s="11">
        <f>IF($A2409="","",IF(OR($G2409="", $J2409&lt;=0),0,MAX(0,Listes!$B$3-$G2409)))</f>
        <v/>
      </c>
      <c r="P2409" s="12">
        <f>IF($A2409="","",IF($J2409&lt;=0,"Payé",IF($M2409="Oui","Litige",IF($O2409=0,"À échoir",IF($O2409&lt;=30,"0-30",IF($O2409&lt;=60,"31-60",IF($O2409&lt;=90,"61-90","90+")))))))</f>
        <v/>
      </c>
    </row>
    <row r="2410">
      <c r="A2410" s="6" t="n"/>
      <c r="B2410" s="6" t="n"/>
      <c r="C2410" s="6" t="n"/>
      <c r="D2410" s="6" t="n"/>
      <c r="E2410" s="6" t="n"/>
      <c r="F2410" s="7" t="n"/>
      <c r="G2410" s="7" t="n"/>
      <c r="H2410" s="8" t="n"/>
      <c r="I2410" s="9">
        <f>IF($A2410="","",SUMIFS(Ventes_Encaissements!$D$6:$D$3005,Ventes_Encaissements!$B$6:$B$3005,$A2410))</f>
        <v/>
      </c>
      <c r="J2410" s="9">
        <f>IF($A2410="","",$H2410-$I2410)</f>
        <v/>
      </c>
      <c r="K2410" s="10">
        <f>IF($A2410="","",IF($I2410=0,"",_xludf.AGGREGATE(14,6,Ventes_Encaissements!$C$6:$C$3005/(Ventes_Encaissements!$B$6:$B$3005=$A2410),1)))</f>
        <v/>
      </c>
      <c r="L2410" s="11">
        <f>IF($A2410="","",COUNTIFS(Ventes_Detail!$B$6:$B$3005,$A2410))</f>
        <v/>
      </c>
      <c r="M2410" s="12" t="n"/>
      <c r="N2410" s="12">
        <f>IF($A2410="","",IF($G2410="","",IF($M2410="Oui","Litige",IF($J2410&lt;=0,"Payé",IF($I2410&gt;0,"Partiel",IF(Listes!$B$3&gt;$G2410,"En retard","À échoir"))))))</f>
        <v/>
      </c>
      <c r="O2410" s="11">
        <f>IF($A2410="","",IF(OR($G2410="", $J2410&lt;=0),0,MAX(0,Listes!$B$3-$G2410)))</f>
        <v/>
      </c>
      <c r="P2410" s="12">
        <f>IF($A2410="","",IF($J2410&lt;=0,"Payé",IF($M2410="Oui","Litige",IF($O2410=0,"À échoir",IF($O2410&lt;=30,"0-30",IF($O2410&lt;=60,"31-60",IF($O2410&lt;=90,"61-90","90+")))))))</f>
        <v/>
      </c>
    </row>
    <row r="2411">
      <c r="A2411" s="6" t="n"/>
      <c r="B2411" s="6" t="n"/>
      <c r="C2411" s="6" t="n"/>
      <c r="D2411" s="6" t="n"/>
      <c r="E2411" s="6" t="n"/>
      <c r="F2411" s="7" t="n"/>
      <c r="G2411" s="7" t="n"/>
      <c r="H2411" s="8" t="n"/>
      <c r="I2411" s="9">
        <f>IF($A2411="","",SUMIFS(Ventes_Encaissements!$D$6:$D$3005,Ventes_Encaissements!$B$6:$B$3005,$A2411))</f>
        <v/>
      </c>
      <c r="J2411" s="9">
        <f>IF($A2411="","",$H2411-$I2411)</f>
        <v/>
      </c>
      <c r="K2411" s="10">
        <f>IF($A2411="","",IF($I2411=0,"",_xludf.AGGREGATE(14,6,Ventes_Encaissements!$C$6:$C$3005/(Ventes_Encaissements!$B$6:$B$3005=$A2411),1)))</f>
        <v/>
      </c>
      <c r="L2411" s="11">
        <f>IF($A2411="","",COUNTIFS(Ventes_Detail!$B$6:$B$3005,$A2411))</f>
        <v/>
      </c>
      <c r="M2411" s="12" t="n"/>
      <c r="N2411" s="12">
        <f>IF($A2411="","",IF($G2411="","",IF($M2411="Oui","Litige",IF($J2411&lt;=0,"Payé",IF($I2411&gt;0,"Partiel",IF(Listes!$B$3&gt;$G2411,"En retard","À échoir"))))))</f>
        <v/>
      </c>
      <c r="O2411" s="11">
        <f>IF($A2411="","",IF(OR($G2411="", $J2411&lt;=0),0,MAX(0,Listes!$B$3-$G2411)))</f>
        <v/>
      </c>
      <c r="P2411" s="12">
        <f>IF($A2411="","",IF($J2411&lt;=0,"Payé",IF($M2411="Oui","Litige",IF($O2411=0,"À échoir",IF($O2411&lt;=30,"0-30",IF($O2411&lt;=60,"31-60",IF($O2411&lt;=90,"61-90","90+")))))))</f>
        <v/>
      </c>
    </row>
    <row r="2412">
      <c r="A2412" s="6" t="n"/>
      <c r="B2412" s="6" t="n"/>
      <c r="C2412" s="6" t="n"/>
      <c r="D2412" s="6" t="n"/>
      <c r="E2412" s="6" t="n"/>
      <c r="F2412" s="7" t="n"/>
      <c r="G2412" s="7" t="n"/>
      <c r="H2412" s="8" t="n"/>
      <c r="I2412" s="9">
        <f>IF($A2412="","",SUMIFS(Ventes_Encaissements!$D$6:$D$3005,Ventes_Encaissements!$B$6:$B$3005,$A2412))</f>
        <v/>
      </c>
      <c r="J2412" s="9">
        <f>IF($A2412="","",$H2412-$I2412)</f>
        <v/>
      </c>
      <c r="K2412" s="10">
        <f>IF($A2412="","",IF($I2412=0,"",_xludf.AGGREGATE(14,6,Ventes_Encaissements!$C$6:$C$3005/(Ventes_Encaissements!$B$6:$B$3005=$A2412),1)))</f>
        <v/>
      </c>
      <c r="L2412" s="11">
        <f>IF($A2412="","",COUNTIFS(Ventes_Detail!$B$6:$B$3005,$A2412))</f>
        <v/>
      </c>
      <c r="M2412" s="12" t="n"/>
      <c r="N2412" s="12">
        <f>IF($A2412="","",IF($G2412="","",IF($M2412="Oui","Litige",IF($J2412&lt;=0,"Payé",IF($I2412&gt;0,"Partiel",IF(Listes!$B$3&gt;$G2412,"En retard","À échoir"))))))</f>
        <v/>
      </c>
      <c r="O2412" s="11">
        <f>IF($A2412="","",IF(OR($G2412="", $J2412&lt;=0),0,MAX(0,Listes!$B$3-$G2412)))</f>
        <v/>
      </c>
      <c r="P2412" s="12">
        <f>IF($A2412="","",IF($J2412&lt;=0,"Payé",IF($M2412="Oui","Litige",IF($O2412=0,"À échoir",IF($O2412&lt;=30,"0-30",IF($O2412&lt;=60,"31-60",IF($O2412&lt;=90,"61-90","90+")))))))</f>
        <v/>
      </c>
    </row>
    <row r="2413">
      <c r="A2413" s="6" t="n"/>
      <c r="B2413" s="6" t="n"/>
      <c r="C2413" s="6" t="n"/>
      <c r="D2413" s="6" t="n"/>
      <c r="E2413" s="6" t="n"/>
      <c r="F2413" s="7" t="n"/>
      <c r="G2413" s="7" t="n"/>
      <c r="H2413" s="8" t="n"/>
      <c r="I2413" s="9">
        <f>IF($A2413="","",SUMIFS(Ventes_Encaissements!$D$6:$D$3005,Ventes_Encaissements!$B$6:$B$3005,$A2413))</f>
        <v/>
      </c>
      <c r="J2413" s="9">
        <f>IF($A2413="","",$H2413-$I2413)</f>
        <v/>
      </c>
      <c r="K2413" s="10">
        <f>IF($A2413="","",IF($I2413=0,"",_xludf.AGGREGATE(14,6,Ventes_Encaissements!$C$6:$C$3005/(Ventes_Encaissements!$B$6:$B$3005=$A2413),1)))</f>
        <v/>
      </c>
      <c r="L2413" s="11">
        <f>IF($A2413="","",COUNTIFS(Ventes_Detail!$B$6:$B$3005,$A2413))</f>
        <v/>
      </c>
      <c r="M2413" s="12" t="n"/>
      <c r="N2413" s="12">
        <f>IF($A2413="","",IF($G2413="","",IF($M2413="Oui","Litige",IF($J2413&lt;=0,"Payé",IF($I2413&gt;0,"Partiel",IF(Listes!$B$3&gt;$G2413,"En retard","À échoir"))))))</f>
        <v/>
      </c>
      <c r="O2413" s="11">
        <f>IF($A2413="","",IF(OR($G2413="", $J2413&lt;=0),0,MAX(0,Listes!$B$3-$G2413)))</f>
        <v/>
      </c>
      <c r="P2413" s="12">
        <f>IF($A2413="","",IF($J2413&lt;=0,"Payé",IF($M2413="Oui","Litige",IF($O2413=0,"À échoir",IF($O2413&lt;=30,"0-30",IF($O2413&lt;=60,"31-60",IF($O2413&lt;=90,"61-90","90+")))))))</f>
        <v/>
      </c>
    </row>
    <row r="2414">
      <c r="A2414" s="6" t="n"/>
      <c r="B2414" s="6" t="n"/>
      <c r="C2414" s="6" t="n"/>
      <c r="D2414" s="6" t="n"/>
      <c r="E2414" s="6" t="n"/>
      <c r="F2414" s="7" t="n"/>
      <c r="G2414" s="7" t="n"/>
      <c r="H2414" s="8" t="n"/>
      <c r="I2414" s="9">
        <f>IF($A2414="","",SUMIFS(Ventes_Encaissements!$D$6:$D$3005,Ventes_Encaissements!$B$6:$B$3005,$A2414))</f>
        <v/>
      </c>
      <c r="J2414" s="9">
        <f>IF($A2414="","",$H2414-$I2414)</f>
        <v/>
      </c>
      <c r="K2414" s="10">
        <f>IF($A2414="","",IF($I2414=0,"",_xludf.AGGREGATE(14,6,Ventes_Encaissements!$C$6:$C$3005/(Ventes_Encaissements!$B$6:$B$3005=$A2414),1)))</f>
        <v/>
      </c>
      <c r="L2414" s="11">
        <f>IF($A2414="","",COUNTIFS(Ventes_Detail!$B$6:$B$3005,$A2414))</f>
        <v/>
      </c>
      <c r="M2414" s="12" t="n"/>
      <c r="N2414" s="12">
        <f>IF($A2414="","",IF($G2414="","",IF($M2414="Oui","Litige",IF($J2414&lt;=0,"Payé",IF($I2414&gt;0,"Partiel",IF(Listes!$B$3&gt;$G2414,"En retard","À échoir"))))))</f>
        <v/>
      </c>
      <c r="O2414" s="11">
        <f>IF($A2414="","",IF(OR($G2414="", $J2414&lt;=0),0,MAX(0,Listes!$B$3-$G2414)))</f>
        <v/>
      </c>
      <c r="P2414" s="12">
        <f>IF($A2414="","",IF($J2414&lt;=0,"Payé",IF($M2414="Oui","Litige",IF($O2414=0,"À échoir",IF($O2414&lt;=30,"0-30",IF($O2414&lt;=60,"31-60",IF($O2414&lt;=90,"61-90","90+")))))))</f>
        <v/>
      </c>
    </row>
    <row r="2415">
      <c r="A2415" s="6" t="n"/>
      <c r="B2415" s="6" t="n"/>
      <c r="C2415" s="6" t="n"/>
      <c r="D2415" s="6" t="n"/>
      <c r="E2415" s="6" t="n"/>
      <c r="F2415" s="7" t="n"/>
      <c r="G2415" s="7" t="n"/>
      <c r="H2415" s="8" t="n"/>
      <c r="I2415" s="9">
        <f>IF($A2415="","",SUMIFS(Ventes_Encaissements!$D$6:$D$3005,Ventes_Encaissements!$B$6:$B$3005,$A2415))</f>
        <v/>
      </c>
      <c r="J2415" s="9">
        <f>IF($A2415="","",$H2415-$I2415)</f>
        <v/>
      </c>
      <c r="K2415" s="10">
        <f>IF($A2415="","",IF($I2415=0,"",_xludf.AGGREGATE(14,6,Ventes_Encaissements!$C$6:$C$3005/(Ventes_Encaissements!$B$6:$B$3005=$A2415),1)))</f>
        <v/>
      </c>
      <c r="L2415" s="11">
        <f>IF($A2415="","",COUNTIFS(Ventes_Detail!$B$6:$B$3005,$A2415))</f>
        <v/>
      </c>
      <c r="M2415" s="12" t="n"/>
      <c r="N2415" s="12">
        <f>IF($A2415="","",IF($G2415="","",IF($M2415="Oui","Litige",IF($J2415&lt;=0,"Payé",IF($I2415&gt;0,"Partiel",IF(Listes!$B$3&gt;$G2415,"En retard","À échoir"))))))</f>
        <v/>
      </c>
      <c r="O2415" s="11">
        <f>IF($A2415="","",IF(OR($G2415="", $J2415&lt;=0),0,MAX(0,Listes!$B$3-$G2415)))</f>
        <v/>
      </c>
      <c r="P2415" s="12">
        <f>IF($A2415="","",IF($J2415&lt;=0,"Payé",IF($M2415="Oui","Litige",IF($O2415=0,"À échoir",IF($O2415&lt;=30,"0-30",IF($O2415&lt;=60,"31-60",IF($O2415&lt;=90,"61-90","90+")))))))</f>
        <v/>
      </c>
    </row>
    <row r="2416">
      <c r="A2416" s="6" t="n"/>
      <c r="B2416" s="6" t="n"/>
      <c r="C2416" s="6" t="n"/>
      <c r="D2416" s="6" t="n"/>
      <c r="E2416" s="6" t="n"/>
      <c r="F2416" s="7" t="n"/>
      <c r="G2416" s="7" t="n"/>
      <c r="H2416" s="8" t="n"/>
      <c r="I2416" s="9">
        <f>IF($A2416="","",SUMIFS(Ventes_Encaissements!$D$6:$D$3005,Ventes_Encaissements!$B$6:$B$3005,$A2416))</f>
        <v/>
      </c>
      <c r="J2416" s="9">
        <f>IF($A2416="","",$H2416-$I2416)</f>
        <v/>
      </c>
      <c r="K2416" s="10">
        <f>IF($A2416="","",IF($I2416=0,"",_xludf.AGGREGATE(14,6,Ventes_Encaissements!$C$6:$C$3005/(Ventes_Encaissements!$B$6:$B$3005=$A2416),1)))</f>
        <v/>
      </c>
      <c r="L2416" s="11">
        <f>IF($A2416="","",COUNTIFS(Ventes_Detail!$B$6:$B$3005,$A2416))</f>
        <v/>
      </c>
      <c r="M2416" s="12" t="n"/>
      <c r="N2416" s="12">
        <f>IF($A2416="","",IF($G2416="","",IF($M2416="Oui","Litige",IF($J2416&lt;=0,"Payé",IF($I2416&gt;0,"Partiel",IF(Listes!$B$3&gt;$G2416,"En retard","À échoir"))))))</f>
        <v/>
      </c>
      <c r="O2416" s="11">
        <f>IF($A2416="","",IF(OR($G2416="", $J2416&lt;=0),0,MAX(0,Listes!$B$3-$G2416)))</f>
        <v/>
      </c>
      <c r="P2416" s="12">
        <f>IF($A2416="","",IF($J2416&lt;=0,"Payé",IF($M2416="Oui","Litige",IF($O2416=0,"À échoir",IF($O2416&lt;=30,"0-30",IF($O2416&lt;=60,"31-60",IF($O2416&lt;=90,"61-90","90+")))))))</f>
        <v/>
      </c>
    </row>
    <row r="2417">
      <c r="A2417" s="6" t="n"/>
      <c r="B2417" s="6" t="n"/>
      <c r="C2417" s="6" t="n"/>
      <c r="D2417" s="6" t="n"/>
      <c r="E2417" s="6" t="n"/>
      <c r="F2417" s="7" t="n"/>
      <c r="G2417" s="7" t="n"/>
      <c r="H2417" s="8" t="n"/>
      <c r="I2417" s="9">
        <f>IF($A2417="","",SUMIFS(Ventes_Encaissements!$D$6:$D$3005,Ventes_Encaissements!$B$6:$B$3005,$A2417))</f>
        <v/>
      </c>
      <c r="J2417" s="9">
        <f>IF($A2417="","",$H2417-$I2417)</f>
        <v/>
      </c>
      <c r="K2417" s="10">
        <f>IF($A2417="","",IF($I2417=0,"",_xludf.AGGREGATE(14,6,Ventes_Encaissements!$C$6:$C$3005/(Ventes_Encaissements!$B$6:$B$3005=$A2417),1)))</f>
        <v/>
      </c>
      <c r="L2417" s="11">
        <f>IF($A2417="","",COUNTIFS(Ventes_Detail!$B$6:$B$3005,$A2417))</f>
        <v/>
      </c>
      <c r="M2417" s="12" t="n"/>
      <c r="N2417" s="12">
        <f>IF($A2417="","",IF($G2417="","",IF($M2417="Oui","Litige",IF($J2417&lt;=0,"Payé",IF($I2417&gt;0,"Partiel",IF(Listes!$B$3&gt;$G2417,"En retard","À échoir"))))))</f>
        <v/>
      </c>
      <c r="O2417" s="11">
        <f>IF($A2417="","",IF(OR($G2417="", $J2417&lt;=0),0,MAX(0,Listes!$B$3-$G2417)))</f>
        <v/>
      </c>
      <c r="P2417" s="12">
        <f>IF($A2417="","",IF($J2417&lt;=0,"Payé",IF($M2417="Oui","Litige",IF($O2417=0,"À échoir",IF($O2417&lt;=30,"0-30",IF($O2417&lt;=60,"31-60",IF($O2417&lt;=90,"61-90","90+")))))))</f>
        <v/>
      </c>
    </row>
    <row r="2418">
      <c r="A2418" s="6" t="n"/>
      <c r="B2418" s="6" t="n"/>
      <c r="C2418" s="6" t="n"/>
      <c r="D2418" s="6" t="n"/>
      <c r="E2418" s="6" t="n"/>
      <c r="F2418" s="7" t="n"/>
      <c r="G2418" s="7" t="n"/>
      <c r="H2418" s="8" t="n"/>
      <c r="I2418" s="9">
        <f>IF($A2418="","",SUMIFS(Ventes_Encaissements!$D$6:$D$3005,Ventes_Encaissements!$B$6:$B$3005,$A2418))</f>
        <v/>
      </c>
      <c r="J2418" s="9">
        <f>IF($A2418="","",$H2418-$I2418)</f>
        <v/>
      </c>
      <c r="K2418" s="10">
        <f>IF($A2418="","",IF($I2418=0,"",_xludf.AGGREGATE(14,6,Ventes_Encaissements!$C$6:$C$3005/(Ventes_Encaissements!$B$6:$B$3005=$A2418),1)))</f>
        <v/>
      </c>
      <c r="L2418" s="11">
        <f>IF($A2418="","",COUNTIFS(Ventes_Detail!$B$6:$B$3005,$A2418))</f>
        <v/>
      </c>
      <c r="M2418" s="12" t="n"/>
      <c r="N2418" s="12">
        <f>IF($A2418="","",IF($G2418="","",IF($M2418="Oui","Litige",IF($J2418&lt;=0,"Payé",IF($I2418&gt;0,"Partiel",IF(Listes!$B$3&gt;$G2418,"En retard","À échoir"))))))</f>
        <v/>
      </c>
      <c r="O2418" s="11">
        <f>IF($A2418="","",IF(OR($G2418="", $J2418&lt;=0),0,MAX(0,Listes!$B$3-$G2418)))</f>
        <v/>
      </c>
      <c r="P2418" s="12">
        <f>IF($A2418="","",IF($J2418&lt;=0,"Payé",IF($M2418="Oui","Litige",IF($O2418=0,"À échoir",IF($O2418&lt;=30,"0-30",IF($O2418&lt;=60,"31-60",IF($O2418&lt;=90,"61-90","90+")))))))</f>
        <v/>
      </c>
    </row>
    <row r="2419">
      <c r="A2419" s="6" t="n"/>
      <c r="B2419" s="6" t="n"/>
      <c r="C2419" s="6" t="n"/>
      <c r="D2419" s="6" t="n"/>
      <c r="E2419" s="6" t="n"/>
      <c r="F2419" s="7" t="n"/>
      <c r="G2419" s="7" t="n"/>
      <c r="H2419" s="8" t="n"/>
      <c r="I2419" s="9">
        <f>IF($A2419="","",SUMIFS(Ventes_Encaissements!$D$6:$D$3005,Ventes_Encaissements!$B$6:$B$3005,$A2419))</f>
        <v/>
      </c>
      <c r="J2419" s="9">
        <f>IF($A2419="","",$H2419-$I2419)</f>
        <v/>
      </c>
      <c r="K2419" s="10">
        <f>IF($A2419="","",IF($I2419=0,"",_xludf.AGGREGATE(14,6,Ventes_Encaissements!$C$6:$C$3005/(Ventes_Encaissements!$B$6:$B$3005=$A2419),1)))</f>
        <v/>
      </c>
      <c r="L2419" s="11">
        <f>IF($A2419="","",COUNTIFS(Ventes_Detail!$B$6:$B$3005,$A2419))</f>
        <v/>
      </c>
      <c r="M2419" s="12" t="n"/>
      <c r="N2419" s="12">
        <f>IF($A2419="","",IF($G2419="","",IF($M2419="Oui","Litige",IF($J2419&lt;=0,"Payé",IF($I2419&gt;0,"Partiel",IF(Listes!$B$3&gt;$G2419,"En retard","À échoir"))))))</f>
        <v/>
      </c>
      <c r="O2419" s="11">
        <f>IF($A2419="","",IF(OR($G2419="", $J2419&lt;=0),0,MAX(0,Listes!$B$3-$G2419)))</f>
        <v/>
      </c>
      <c r="P2419" s="12">
        <f>IF($A2419="","",IF($J2419&lt;=0,"Payé",IF($M2419="Oui","Litige",IF($O2419=0,"À échoir",IF($O2419&lt;=30,"0-30",IF($O2419&lt;=60,"31-60",IF($O2419&lt;=90,"61-90","90+")))))))</f>
        <v/>
      </c>
    </row>
    <row r="2420">
      <c r="A2420" s="6" t="n"/>
      <c r="B2420" s="6" t="n"/>
      <c r="C2420" s="6" t="n"/>
      <c r="D2420" s="6" t="n"/>
      <c r="E2420" s="6" t="n"/>
      <c r="F2420" s="7" t="n"/>
      <c r="G2420" s="7" t="n"/>
      <c r="H2420" s="8" t="n"/>
      <c r="I2420" s="9">
        <f>IF($A2420="","",SUMIFS(Ventes_Encaissements!$D$6:$D$3005,Ventes_Encaissements!$B$6:$B$3005,$A2420))</f>
        <v/>
      </c>
      <c r="J2420" s="9">
        <f>IF($A2420="","",$H2420-$I2420)</f>
        <v/>
      </c>
      <c r="K2420" s="10">
        <f>IF($A2420="","",IF($I2420=0,"",_xludf.AGGREGATE(14,6,Ventes_Encaissements!$C$6:$C$3005/(Ventes_Encaissements!$B$6:$B$3005=$A2420),1)))</f>
        <v/>
      </c>
      <c r="L2420" s="11">
        <f>IF($A2420="","",COUNTIFS(Ventes_Detail!$B$6:$B$3005,$A2420))</f>
        <v/>
      </c>
      <c r="M2420" s="12" t="n"/>
      <c r="N2420" s="12">
        <f>IF($A2420="","",IF($G2420="","",IF($M2420="Oui","Litige",IF($J2420&lt;=0,"Payé",IF($I2420&gt;0,"Partiel",IF(Listes!$B$3&gt;$G2420,"En retard","À échoir"))))))</f>
        <v/>
      </c>
      <c r="O2420" s="11">
        <f>IF($A2420="","",IF(OR($G2420="", $J2420&lt;=0),0,MAX(0,Listes!$B$3-$G2420)))</f>
        <v/>
      </c>
      <c r="P2420" s="12">
        <f>IF($A2420="","",IF($J2420&lt;=0,"Payé",IF($M2420="Oui","Litige",IF($O2420=0,"À échoir",IF($O2420&lt;=30,"0-30",IF($O2420&lt;=60,"31-60",IF($O2420&lt;=90,"61-90","90+")))))))</f>
        <v/>
      </c>
    </row>
    <row r="2421">
      <c r="A2421" s="6" t="n"/>
      <c r="B2421" s="6" t="n"/>
      <c r="C2421" s="6" t="n"/>
      <c r="D2421" s="6" t="n"/>
      <c r="E2421" s="6" t="n"/>
      <c r="F2421" s="7" t="n"/>
      <c r="G2421" s="7" t="n"/>
      <c r="H2421" s="8" t="n"/>
      <c r="I2421" s="9">
        <f>IF($A2421="","",SUMIFS(Ventes_Encaissements!$D$6:$D$3005,Ventes_Encaissements!$B$6:$B$3005,$A2421))</f>
        <v/>
      </c>
      <c r="J2421" s="9">
        <f>IF($A2421="","",$H2421-$I2421)</f>
        <v/>
      </c>
      <c r="K2421" s="10">
        <f>IF($A2421="","",IF($I2421=0,"",_xludf.AGGREGATE(14,6,Ventes_Encaissements!$C$6:$C$3005/(Ventes_Encaissements!$B$6:$B$3005=$A2421),1)))</f>
        <v/>
      </c>
      <c r="L2421" s="11">
        <f>IF($A2421="","",COUNTIFS(Ventes_Detail!$B$6:$B$3005,$A2421))</f>
        <v/>
      </c>
      <c r="M2421" s="12" t="n"/>
      <c r="N2421" s="12">
        <f>IF($A2421="","",IF($G2421="","",IF($M2421="Oui","Litige",IF($J2421&lt;=0,"Payé",IF($I2421&gt;0,"Partiel",IF(Listes!$B$3&gt;$G2421,"En retard","À échoir"))))))</f>
        <v/>
      </c>
      <c r="O2421" s="11">
        <f>IF($A2421="","",IF(OR($G2421="", $J2421&lt;=0),0,MAX(0,Listes!$B$3-$G2421)))</f>
        <v/>
      </c>
      <c r="P2421" s="12">
        <f>IF($A2421="","",IF($J2421&lt;=0,"Payé",IF($M2421="Oui","Litige",IF($O2421=0,"À échoir",IF($O2421&lt;=30,"0-30",IF($O2421&lt;=60,"31-60",IF($O2421&lt;=90,"61-90","90+")))))))</f>
        <v/>
      </c>
    </row>
    <row r="2422">
      <c r="A2422" s="6" t="n"/>
      <c r="B2422" s="6" t="n"/>
      <c r="C2422" s="6" t="n"/>
      <c r="D2422" s="6" t="n"/>
      <c r="E2422" s="6" t="n"/>
      <c r="F2422" s="7" t="n"/>
      <c r="G2422" s="7" t="n"/>
      <c r="H2422" s="8" t="n"/>
      <c r="I2422" s="9">
        <f>IF($A2422="","",SUMIFS(Ventes_Encaissements!$D$6:$D$3005,Ventes_Encaissements!$B$6:$B$3005,$A2422))</f>
        <v/>
      </c>
      <c r="J2422" s="9">
        <f>IF($A2422="","",$H2422-$I2422)</f>
        <v/>
      </c>
      <c r="K2422" s="10">
        <f>IF($A2422="","",IF($I2422=0,"",_xludf.AGGREGATE(14,6,Ventes_Encaissements!$C$6:$C$3005/(Ventes_Encaissements!$B$6:$B$3005=$A2422),1)))</f>
        <v/>
      </c>
      <c r="L2422" s="11">
        <f>IF($A2422="","",COUNTIFS(Ventes_Detail!$B$6:$B$3005,$A2422))</f>
        <v/>
      </c>
      <c r="M2422" s="12" t="n"/>
      <c r="N2422" s="12">
        <f>IF($A2422="","",IF($G2422="","",IF($M2422="Oui","Litige",IF($J2422&lt;=0,"Payé",IF($I2422&gt;0,"Partiel",IF(Listes!$B$3&gt;$G2422,"En retard","À échoir"))))))</f>
        <v/>
      </c>
      <c r="O2422" s="11">
        <f>IF($A2422="","",IF(OR($G2422="", $J2422&lt;=0),0,MAX(0,Listes!$B$3-$G2422)))</f>
        <v/>
      </c>
      <c r="P2422" s="12">
        <f>IF($A2422="","",IF($J2422&lt;=0,"Payé",IF($M2422="Oui","Litige",IF($O2422=0,"À échoir",IF($O2422&lt;=30,"0-30",IF($O2422&lt;=60,"31-60",IF($O2422&lt;=90,"61-90","90+")))))))</f>
        <v/>
      </c>
    </row>
    <row r="2423">
      <c r="A2423" s="6" t="n"/>
      <c r="B2423" s="6" t="n"/>
      <c r="C2423" s="6" t="n"/>
      <c r="D2423" s="6" t="n"/>
      <c r="E2423" s="6" t="n"/>
      <c r="F2423" s="7" t="n"/>
      <c r="G2423" s="7" t="n"/>
      <c r="H2423" s="8" t="n"/>
      <c r="I2423" s="9">
        <f>IF($A2423="","",SUMIFS(Ventes_Encaissements!$D$6:$D$3005,Ventes_Encaissements!$B$6:$B$3005,$A2423))</f>
        <v/>
      </c>
      <c r="J2423" s="9">
        <f>IF($A2423="","",$H2423-$I2423)</f>
        <v/>
      </c>
      <c r="K2423" s="10">
        <f>IF($A2423="","",IF($I2423=0,"",_xludf.AGGREGATE(14,6,Ventes_Encaissements!$C$6:$C$3005/(Ventes_Encaissements!$B$6:$B$3005=$A2423),1)))</f>
        <v/>
      </c>
      <c r="L2423" s="11">
        <f>IF($A2423="","",COUNTIFS(Ventes_Detail!$B$6:$B$3005,$A2423))</f>
        <v/>
      </c>
      <c r="M2423" s="12" t="n"/>
      <c r="N2423" s="12">
        <f>IF($A2423="","",IF($G2423="","",IF($M2423="Oui","Litige",IF($J2423&lt;=0,"Payé",IF($I2423&gt;0,"Partiel",IF(Listes!$B$3&gt;$G2423,"En retard","À échoir"))))))</f>
        <v/>
      </c>
      <c r="O2423" s="11">
        <f>IF($A2423="","",IF(OR($G2423="", $J2423&lt;=0),0,MAX(0,Listes!$B$3-$G2423)))</f>
        <v/>
      </c>
      <c r="P2423" s="12">
        <f>IF($A2423="","",IF($J2423&lt;=0,"Payé",IF($M2423="Oui","Litige",IF($O2423=0,"À échoir",IF($O2423&lt;=30,"0-30",IF($O2423&lt;=60,"31-60",IF($O2423&lt;=90,"61-90","90+")))))))</f>
        <v/>
      </c>
    </row>
    <row r="2424">
      <c r="A2424" s="6" t="n"/>
      <c r="B2424" s="6" t="n"/>
      <c r="C2424" s="6" t="n"/>
      <c r="D2424" s="6" t="n"/>
      <c r="E2424" s="6" t="n"/>
      <c r="F2424" s="7" t="n"/>
      <c r="G2424" s="7" t="n"/>
      <c r="H2424" s="8" t="n"/>
      <c r="I2424" s="9">
        <f>IF($A2424="","",SUMIFS(Ventes_Encaissements!$D$6:$D$3005,Ventes_Encaissements!$B$6:$B$3005,$A2424))</f>
        <v/>
      </c>
      <c r="J2424" s="9">
        <f>IF($A2424="","",$H2424-$I2424)</f>
        <v/>
      </c>
      <c r="K2424" s="10">
        <f>IF($A2424="","",IF($I2424=0,"",_xludf.AGGREGATE(14,6,Ventes_Encaissements!$C$6:$C$3005/(Ventes_Encaissements!$B$6:$B$3005=$A2424),1)))</f>
        <v/>
      </c>
      <c r="L2424" s="11">
        <f>IF($A2424="","",COUNTIFS(Ventes_Detail!$B$6:$B$3005,$A2424))</f>
        <v/>
      </c>
      <c r="M2424" s="12" t="n"/>
      <c r="N2424" s="12">
        <f>IF($A2424="","",IF($G2424="","",IF($M2424="Oui","Litige",IF($J2424&lt;=0,"Payé",IF($I2424&gt;0,"Partiel",IF(Listes!$B$3&gt;$G2424,"En retard","À échoir"))))))</f>
        <v/>
      </c>
      <c r="O2424" s="11">
        <f>IF($A2424="","",IF(OR($G2424="", $J2424&lt;=0),0,MAX(0,Listes!$B$3-$G2424)))</f>
        <v/>
      </c>
      <c r="P2424" s="12">
        <f>IF($A2424="","",IF($J2424&lt;=0,"Payé",IF($M2424="Oui","Litige",IF($O2424=0,"À échoir",IF($O2424&lt;=30,"0-30",IF($O2424&lt;=60,"31-60",IF($O2424&lt;=90,"61-90","90+")))))))</f>
        <v/>
      </c>
    </row>
    <row r="2425">
      <c r="A2425" s="6" t="n"/>
      <c r="B2425" s="6" t="n"/>
      <c r="C2425" s="6" t="n"/>
      <c r="D2425" s="6" t="n"/>
      <c r="E2425" s="6" t="n"/>
      <c r="F2425" s="7" t="n"/>
      <c r="G2425" s="7" t="n"/>
      <c r="H2425" s="8" t="n"/>
      <c r="I2425" s="9">
        <f>IF($A2425="","",SUMIFS(Ventes_Encaissements!$D$6:$D$3005,Ventes_Encaissements!$B$6:$B$3005,$A2425))</f>
        <v/>
      </c>
      <c r="J2425" s="9">
        <f>IF($A2425="","",$H2425-$I2425)</f>
        <v/>
      </c>
      <c r="K2425" s="10">
        <f>IF($A2425="","",IF($I2425=0,"",_xludf.AGGREGATE(14,6,Ventes_Encaissements!$C$6:$C$3005/(Ventes_Encaissements!$B$6:$B$3005=$A2425),1)))</f>
        <v/>
      </c>
      <c r="L2425" s="11">
        <f>IF($A2425="","",COUNTIFS(Ventes_Detail!$B$6:$B$3005,$A2425))</f>
        <v/>
      </c>
      <c r="M2425" s="12" t="n"/>
      <c r="N2425" s="12">
        <f>IF($A2425="","",IF($G2425="","",IF($M2425="Oui","Litige",IF($J2425&lt;=0,"Payé",IF($I2425&gt;0,"Partiel",IF(Listes!$B$3&gt;$G2425,"En retard","À échoir"))))))</f>
        <v/>
      </c>
      <c r="O2425" s="11">
        <f>IF($A2425="","",IF(OR($G2425="", $J2425&lt;=0),0,MAX(0,Listes!$B$3-$G2425)))</f>
        <v/>
      </c>
      <c r="P2425" s="12">
        <f>IF($A2425="","",IF($J2425&lt;=0,"Payé",IF($M2425="Oui","Litige",IF($O2425=0,"À échoir",IF($O2425&lt;=30,"0-30",IF($O2425&lt;=60,"31-60",IF($O2425&lt;=90,"61-90","90+")))))))</f>
        <v/>
      </c>
    </row>
    <row r="2426">
      <c r="A2426" s="6" t="n"/>
      <c r="B2426" s="6" t="n"/>
      <c r="C2426" s="6" t="n"/>
      <c r="D2426" s="6" t="n"/>
      <c r="E2426" s="6" t="n"/>
      <c r="F2426" s="7" t="n"/>
      <c r="G2426" s="7" t="n"/>
      <c r="H2426" s="8" t="n"/>
      <c r="I2426" s="9">
        <f>IF($A2426="","",SUMIFS(Ventes_Encaissements!$D$6:$D$3005,Ventes_Encaissements!$B$6:$B$3005,$A2426))</f>
        <v/>
      </c>
      <c r="J2426" s="9">
        <f>IF($A2426="","",$H2426-$I2426)</f>
        <v/>
      </c>
      <c r="K2426" s="10">
        <f>IF($A2426="","",IF($I2426=0,"",_xludf.AGGREGATE(14,6,Ventes_Encaissements!$C$6:$C$3005/(Ventes_Encaissements!$B$6:$B$3005=$A2426),1)))</f>
        <v/>
      </c>
      <c r="L2426" s="11">
        <f>IF($A2426="","",COUNTIFS(Ventes_Detail!$B$6:$B$3005,$A2426))</f>
        <v/>
      </c>
      <c r="M2426" s="12" t="n"/>
      <c r="N2426" s="12">
        <f>IF($A2426="","",IF($G2426="","",IF($M2426="Oui","Litige",IF($J2426&lt;=0,"Payé",IF($I2426&gt;0,"Partiel",IF(Listes!$B$3&gt;$G2426,"En retard","À échoir"))))))</f>
        <v/>
      </c>
      <c r="O2426" s="11">
        <f>IF($A2426="","",IF(OR($G2426="", $J2426&lt;=0),0,MAX(0,Listes!$B$3-$G2426)))</f>
        <v/>
      </c>
      <c r="P2426" s="12">
        <f>IF($A2426="","",IF($J2426&lt;=0,"Payé",IF($M2426="Oui","Litige",IF($O2426=0,"À échoir",IF($O2426&lt;=30,"0-30",IF($O2426&lt;=60,"31-60",IF($O2426&lt;=90,"61-90","90+")))))))</f>
        <v/>
      </c>
    </row>
    <row r="2427">
      <c r="A2427" s="6" t="n"/>
      <c r="B2427" s="6" t="n"/>
      <c r="C2427" s="6" t="n"/>
      <c r="D2427" s="6" t="n"/>
      <c r="E2427" s="6" t="n"/>
      <c r="F2427" s="7" t="n"/>
      <c r="G2427" s="7" t="n"/>
      <c r="H2427" s="8" t="n"/>
      <c r="I2427" s="9">
        <f>IF($A2427="","",SUMIFS(Ventes_Encaissements!$D$6:$D$3005,Ventes_Encaissements!$B$6:$B$3005,$A2427))</f>
        <v/>
      </c>
      <c r="J2427" s="9">
        <f>IF($A2427="","",$H2427-$I2427)</f>
        <v/>
      </c>
      <c r="K2427" s="10">
        <f>IF($A2427="","",IF($I2427=0,"",_xludf.AGGREGATE(14,6,Ventes_Encaissements!$C$6:$C$3005/(Ventes_Encaissements!$B$6:$B$3005=$A2427),1)))</f>
        <v/>
      </c>
      <c r="L2427" s="11">
        <f>IF($A2427="","",COUNTIFS(Ventes_Detail!$B$6:$B$3005,$A2427))</f>
        <v/>
      </c>
      <c r="M2427" s="12" t="n"/>
      <c r="N2427" s="12">
        <f>IF($A2427="","",IF($G2427="","",IF($M2427="Oui","Litige",IF($J2427&lt;=0,"Payé",IF($I2427&gt;0,"Partiel",IF(Listes!$B$3&gt;$G2427,"En retard","À échoir"))))))</f>
        <v/>
      </c>
      <c r="O2427" s="11">
        <f>IF($A2427="","",IF(OR($G2427="", $J2427&lt;=0),0,MAX(0,Listes!$B$3-$G2427)))</f>
        <v/>
      </c>
      <c r="P2427" s="12">
        <f>IF($A2427="","",IF($J2427&lt;=0,"Payé",IF($M2427="Oui","Litige",IF($O2427=0,"À échoir",IF($O2427&lt;=30,"0-30",IF($O2427&lt;=60,"31-60",IF($O2427&lt;=90,"61-90","90+")))))))</f>
        <v/>
      </c>
    </row>
    <row r="2428">
      <c r="A2428" s="6" t="n"/>
      <c r="B2428" s="6" t="n"/>
      <c r="C2428" s="6" t="n"/>
      <c r="D2428" s="6" t="n"/>
      <c r="E2428" s="6" t="n"/>
      <c r="F2428" s="7" t="n"/>
      <c r="G2428" s="7" t="n"/>
      <c r="H2428" s="8" t="n"/>
      <c r="I2428" s="9">
        <f>IF($A2428="","",SUMIFS(Ventes_Encaissements!$D$6:$D$3005,Ventes_Encaissements!$B$6:$B$3005,$A2428))</f>
        <v/>
      </c>
      <c r="J2428" s="9">
        <f>IF($A2428="","",$H2428-$I2428)</f>
        <v/>
      </c>
      <c r="K2428" s="10">
        <f>IF($A2428="","",IF($I2428=0,"",_xludf.AGGREGATE(14,6,Ventes_Encaissements!$C$6:$C$3005/(Ventes_Encaissements!$B$6:$B$3005=$A2428),1)))</f>
        <v/>
      </c>
      <c r="L2428" s="11">
        <f>IF($A2428="","",COUNTIFS(Ventes_Detail!$B$6:$B$3005,$A2428))</f>
        <v/>
      </c>
      <c r="M2428" s="12" t="n"/>
      <c r="N2428" s="12">
        <f>IF($A2428="","",IF($G2428="","",IF($M2428="Oui","Litige",IF($J2428&lt;=0,"Payé",IF($I2428&gt;0,"Partiel",IF(Listes!$B$3&gt;$G2428,"En retard","À échoir"))))))</f>
        <v/>
      </c>
      <c r="O2428" s="11">
        <f>IF($A2428="","",IF(OR($G2428="", $J2428&lt;=0),0,MAX(0,Listes!$B$3-$G2428)))</f>
        <v/>
      </c>
      <c r="P2428" s="12">
        <f>IF($A2428="","",IF($J2428&lt;=0,"Payé",IF($M2428="Oui","Litige",IF($O2428=0,"À échoir",IF($O2428&lt;=30,"0-30",IF($O2428&lt;=60,"31-60",IF($O2428&lt;=90,"61-90","90+")))))))</f>
        <v/>
      </c>
    </row>
    <row r="2429">
      <c r="A2429" s="6" t="n"/>
      <c r="B2429" s="6" t="n"/>
      <c r="C2429" s="6" t="n"/>
      <c r="D2429" s="6" t="n"/>
      <c r="E2429" s="6" t="n"/>
      <c r="F2429" s="7" t="n"/>
      <c r="G2429" s="7" t="n"/>
      <c r="H2429" s="8" t="n"/>
      <c r="I2429" s="9">
        <f>IF($A2429="","",SUMIFS(Ventes_Encaissements!$D$6:$D$3005,Ventes_Encaissements!$B$6:$B$3005,$A2429))</f>
        <v/>
      </c>
      <c r="J2429" s="9">
        <f>IF($A2429="","",$H2429-$I2429)</f>
        <v/>
      </c>
      <c r="K2429" s="10">
        <f>IF($A2429="","",IF($I2429=0,"",_xludf.AGGREGATE(14,6,Ventes_Encaissements!$C$6:$C$3005/(Ventes_Encaissements!$B$6:$B$3005=$A2429),1)))</f>
        <v/>
      </c>
      <c r="L2429" s="11">
        <f>IF($A2429="","",COUNTIFS(Ventes_Detail!$B$6:$B$3005,$A2429))</f>
        <v/>
      </c>
      <c r="M2429" s="12" t="n"/>
      <c r="N2429" s="12">
        <f>IF($A2429="","",IF($G2429="","",IF($M2429="Oui","Litige",IF($J2429&lt;=0,"Payé",IF($I2429&gt;0,"Partiel",IF(Listes!$B$3&gt;$G2429,"En retard","À échoir"))))))</f>
        <v/>
      </c>
      <c r="O2429" s="11">
        <f>IF($A2429="","",IF(OR($G2429="", $J2429&lt;=0),0,MAX(0,Listes!$B$3-$G2429)))</f>
        <v/>
      </c>
      <c r="P2429" s="12">
        <f>IF($A2429="","",IF($J2429&lt;=0,"Payé",IF($M2429="Oui","Litige",IF($O2429=0,"À échoir",IF($O2429&lt;=30,"0-30",IF($O2429&lt;=60,"31-60",IF($O2429&lt;=90,"61-90","90+")))))))</f>
        <v/>
      </c>
    </row>
    <row r="2430">
      <c r="A2430" s="6" t="n"/>
      <c r="B2430" s="6" t="n"/>
      <c r="C2430" s="6" t="n"/>
      <c r="D2430" s="6" t="n"/>
      <c r="E2430" s="6" t="n"/>
      <c r="F2430" s="7" t="n"/>
      <c r="G2430" s="7" t="n"/>
      <c r="H2430" s="8" t="n"/>
      <c r="I2430" s="9">
        <f>IF($A2430="","",SUMIFS(Ventes_Encaissements!$D$6:$D$3005,Ventes_Encaissements!$B$6:$B$3005,$A2430))</f>
        <v/>
      </c>
      <c r="J2430" s="9">
        <f>IF($A2430="","",$H2430-$I2430)</f>
        <v/>
      </c>
      <c r="K2430" s="10">
        <f>IF($A2430="","",IF($I2430=0,"",_xludf.AGGREGATE(14,6,Ventes_Encaissements!$C$6:$C$3005/(Ventes_Encaissements!$B$6:$B$3005=$A2430),1)))</f>
        <v/>
      </c>
      <c r="L2430" s="11">
        <f>IF($A2430="","",COUNTIFS(Ventes_Detail!$B$6:$B$3005,$A2430))</f>
        <v/>
      </c>
      <c r="M2430" s="12" t="n"/>
      <c r="N2430" s="12">
        <f>IF($A2430="","",IF($G2430="","",IF($M2430="Oui","Litige",IF($J2430&lt;=0,"Payé",IF($I2430&gt;0,"Partiel",IF(Listes!$B$3&gt;$G2430,"En retard","À échoir"))))))</f>
        <v/>
      </c>
      <c r="O2430" s="11">
        <f>IF($A2430="","",IF(OR($G2430="", $J2430&lt;=0),0,MAX(0,Listes!$B$3-$G2430)))</f>
        <v/>
      </c>
      <c r="P2430" s="12">
        <f>IF($A2430="","",IF($J2430&lt;=0,"Payé",IF($M2430="Oui","Litige",IF($O2430=0,"À échoir",IF($O2430&lt;=30,"0-30",IF($O2430&lt;=60,"31-60",IF($O2430&lt;=90,"61-90","90+")))))))</f>
        <v/>
      </c>
    </row>
    <row r="2431">
      <c r="A2431" s="6" t="n"/>
      <c r="B2431" s="6" t="n"/>
      <c r="C2431" s="6" t="n"/>
      <c r="D2431" s="6" t="n"/>
      <c r="E2431" s="6" t="n"/>
      <c r="F2431" s="7" t="n"/>
      <c r="G2431" s="7" t="n"/>
      <c r="H2431" s="8" t="n"/>
      <c r="I2431" s="9">
        <f>IF($A2431="","",SUMIFS(Ventes_Encaissements!$D$6:$D$3005,Ventes_Encaissements!$B$6:$B$3005,$A2431))</f>
        <v/>
      </c>
      <c r="J2431" s="9">
        <f>IF($A2431="","",$H2431-$I2431)</f>
        <v/>
      </c>
      <c r="K2431" s="10">
        <f>IF($A2431="","",IF($I2431=0,"",_xludf.AGGREGATE(14,6,Ventes_Encaissements!$C$6:$C$3005/(Ventes_Encaissements!$B$6:$B$3005=$A2431),1)))</f>
        <v/>
      </c>
      <c r="L2431" s="11">
        <f>IF($A2431="","",COUNTIFS(Ventes_Detail!$B$6:$B$3005,$A2431))</f>
        <v/>
      </c>
      <c r="M2431" s="12" t="n"/>
      <c r="N2431" s="12">
        <f>IF($A2431="","",IF($G2431="","",IF($M2431="Oui","Litige",IF($J2431&lt;=0,"Payé",IF($I2431&gt;0,"Partiel",IF(Listes!$B$3&gt;$G2431,"En retard","À échoir"))))))</f>
        <v/>
      </c>
      <c r="O2431" s="11">
        <f>IF($A2431="","",IF(OR($G2431="", $J2431&lt;=0),0,MAX(0,Listes!$B$3-$G2431)))</f>
        <v/>
      </c>
      <c r="P2431" s="12">
        <f>IF($A2431="","",IF($J2431&lt;=0,"Payé",IF($M2431="Oui","Litige",IF($O2431=0,"À échoir",IF($O2431&lt;=30,"0-30",IF($O2431&lt;=60,"31-60",IF($O2431&lt;=90,"61-90","90+")))))))</f>
        <v/>
      </c>
    </row>
    <row r="2432">
      <c r="A2432" s="6" t="n"/>
      <c r="B2432" s="6" t="n"/>
      <c r="C2432" s="6" t="n"/>
      <c r="D2432" s="6" t="n"/>
      <c r="E2432" s="6" t="n"/>
      <c r="F2432" s="7" t="n"/>
      <c r="G2432" s="7" t="n"/>
      <c r="H2432" s="8" t="n"/>
      <c r="I2432" s="9">
        <f>IF($A2432="","",SUMIFS(Ventes_Encaissements!$D$6:$D$3005,Ventes_Encaissements!$B$6:$B$3005,$A2432))</f>
        <v/>
      </c>
      <c r="J2432" s="9">
        <f>IF($A2432="","",$H2432-$I2432)</f>
        <v/>
      </c>
      <c r="K2432" s="10">
        <f>IF($A2432="","",IF($I2432=0,"",_xludf.AGGREGATE(14,6,Ventes_Encaissements!$C$6:$C$3005/(Ventes_Encaissements!$B$6:$B$3005=$A2432),1)))</f>
        <v/>
      </c>
      <c r="L2432" s="11">
        <f>IF($A2432="","",COUNTIFS(Ventes_Detail!$B$6:$B$3005,$A2432))</f>
        <v/>
      </c>
      <c r="M2432" s="12" t="n"/>
      <c r="N2432" s="12">
        <f>IF($A2432="","",IF($G2432="","",IF($M2432="Oui","Litige",IF($J2432&lt;=0,"Payé",IF($I2432&gt;0,"Partiel",IF(Listes!$B$3&gt;$G2432,"En retard","À échoir"))))))</f>
        <v/>
      </c>
      <c r="O2432" s="11">
        <f>IF($A2432="","",IF(OR($G2432="", $J2432&lt;=0),0,MAX(0,Listes!$B$3-$G2432)))</f>
        <v/>
      </c>
      <c r="P2432" s="12">
        <f>IF($A2432="","",IF($J2432&lt;=0,"Payé",IF($M2432="Oui","Litige",IF($O2432=0,"À échoir",IF($O2432&lt;=30,"0-30",IF($O2432&lt;=60,"31-60",IF($O2432&lt;=90,"61-90","90+")))))))</f>
        <v/>
      </c>
    </row>
    <row r="2433">
      <c r="A2433" s="6" t="n"/>
      <c r="B2433" s="6" t="n"/>
      <c r="C2433" s="6" t="n"/>
      <c r="D2433" s="6" t="n"/>
      <c r="E2433" s="6" t="n"/>
      <c r="F2433" s="7" t="n"/>
      <c r="G2433" s="7" t="n"/>
      <c r="H2433" s="8" t="n"/>
      <c r="I2433" s="9">
        <f>IF($A2433="","",SUMIFS(Ventes_Encaissements!$D$6:$D$3005,Ventes_Encaissements!$B$6:$B$3005,$A2433))</f>
        <v/>
      </c>
      <c r="J2433" s="9">
        <f>IF($A2433="","",$H2433-$I2433)</f>
        <v/>
      </c>
      <c r="K2433" s="10">
        <f>IF($A2433="","",IF($I2433=0,"",_xludf.AGGREGATE(14,6,Ventes_Encaissements!$C$6:$C$3005/(Ventes_Encaissements!$B$6:$B$3005=$A2433),1)))</f>
        <v/>
      </c>
      <c r="L2433" s="11">
        <f>IF($A2433="","",COUNTIFS(Ventes_Detail!$B$6:$B$3005,$A2433))</f>
        <v/>
      </c>
      <c r="M2433" s="12" t="n"/>
      <c r="N2433" s="12">
        <f>IF($A2433="","",IF($G2433="","",IF($M2433="Oui","Litige",IF($J2433&lt;=0,"Payé",IF($I2433&gt;0,"Partiel",IF(Listes!$B$3&gt;$G2433,"En retard","À échoir"))))))</f>
        <v/>
      </c>
      <c r="O2433" s="11">
        <f>IF($A2433="","",IF(OR($G2433="", $J2433&lt;=0),0,MAX(0,Listes!$B$3-$G2433)))</f>
        <v/>
      </c>
      <c r="P2433" s="12">
        <f>IF($A2433="","",IF($J2433&lt;=0,"Payé",IF($M2433="Oui","Litige",IF($O2433=0,"À échoir",IF($O2433&lt;=30,"0-30",IF($O2433&lt;=60,"31-60",IF($O2433&lt;=90,"61-90","90+")))))))</f>
        <v/>
      </c>
    </row>
    <row r="2434">
      <c r="A2434" s="6" t="n"/>
      <c r="B2434" s="6" t="n"/>
      <c r="C2434" s="6" t="n"/>
      <c r="D2434" s="6" t="n"/>
      <c r="E2434" s="6" t="n"/>
      <c r="F2434" s="7" t="n"/>
      <c r="G2434" s="7" t="n"/>
      <c r="H2434" s="8" t="n"/>
      <c r="I2434" s="9">
        <f>IF($A2434="","",SUMIFS(Ventes_Encaissements!$D$6:$D$3005,Ventes_Encaissements!$B$6:$B$3005,$A2434))</f>
        <v/>
      </c>
      <c r="J2434" s="9">
        <f>IF($A2434="","",$H2434-$I2434)</f>
        <v/>
      </c>
      <c r="K2434" s="10">
        <f>IF($A2434="","",IF($I2434=0,"",_xludf.AGGREGATE(14,6,Ventes_Encaissements!$C$6:$C$3005/(Ventes_Encaissements!$B$6:$B$3005=$A2434),1)))</f>
        <v/>
      </c>
      <c r="L2434" s="11">
        <f>IF($A2434="","",COUNTIFS(Ventes_Detail!$B$6:$B$3005,$A2434))</f>
        <v/>
      </c>
      <c r="M2434" s="12" t="n"/>
      <c r="N2434" s="12">
        <f>IF($A2434="","",IF($G2434="","",IF($M2434="Oui","Litige",IF($J2434&lt;=0,"Payé",IF($I2434&gt;0,"Partiel",IF(Listes!$B$3&gt;$G2434,"En retard","À échoir"))))))</f>
        <v/>
      </c>
      <c r="O2434" s="11">
        <f>IF($A2434="","",IF(OR($G2434="", $J2434&lt;=0),0,MAX(0,Listes!$B$3-$G2434)))</f>
        <v/>
      </c>
      <c r="P2434" s="12">
        <f>IF($A2434="","",IF($J2434&lt;=0,"Payé",IF($M2434="Oui","Litige",IF($O2434=0,"À échoir",IF($O2434&lt;=30,"0-30",IF($O2434&lt;=60,"31-60",IF($O2434&lt;=90,"61-90","90+")))))))</f>
        <v/>
      </c>
    </row>
    <row r="2435">
      <c r="A2435" s="6" t="n"/>
      <c r="B2435" s="6" t="n"/>
      <c r="C2435" s="6" t="n"/>
      <c r="D2435" s="6" t="n"/>
      <c r="E2435" s="6" t="n"/>
      <c r="F2435" s="7" t="n"/>
      <c r="G2435" s="7" t="n"/>
      <c r="H2435" s="8" t="n"/>
      <c r="I2435" s="9">
        <f>IF($A2435="","",SUMIFS(Ventes_Encaissements!$D$6:$D$3005,Ventes_Encaissements!$B$6:$B$3005,$A2435))</f>
        <v/>
      </c>
      <c r="J2435" s="9">
        <f>IF($A2435="","",$H2435-$I2435)</f>
        <v/>
      </c>
      <c r="K2435" s="10">
        <f>IF($A2435="","",IF($I2435=0,"",_xludf.AGGREGATE(14,6,Ventes_Encaissements!$C$6:$C$3005/(Ventes_Encaissements!$B$6:$B$3005=$A2435),1)))</f>
        <v/>
      </c>
      <c r="L2435" s="11">
        <f>IF($A2435="","",COUNTIFS(Ventes_Detail!$B$6:$B$3005,$A2435))</f>
        <v/>
      </c>
      <c r="M2435" s="12" t="n"/>
      <c r="N2435" s="12">
        <f>IF($A2435="","",IF($G2435="","",IF($M2435="Oui","Litige",IF($J2435&lt;=0,"Payé",IF($I2435&gt;0,"Partiel",IF(Listes!$B$3&gt;$G2435,"En retard","À échoir"))))))</f>
        <v/>
      </c>
      <c r="O2435" s="11">
        <f>IF($A2435="","",IF(OR($G2435="", $J2435&lt;=0),0,MAX(0,Listes!$B$3-$G2435)))</f>
        <v/>
      </c>
      <c r="P2435" s="12">
        <f>IF($A2435="","",IF($J2435&lt;=0,"Payé",IF($M2435="Oui","Litige",IF($O2435=0,"À échoir",IF($O2435&lt;=30,"0-30",IF($O2435&lt;=60,"31-60",IF($O2435&lt;=90,"61-90","90+")))))))</f>
        <v/>
      </c>
    </row>
    <row r="2436">
      <c r="A2436" s="6" t="n"/>
      <c r="B2436" s="6" t="n"/>
      <c r="C2436" s="6" t="n"/>
      <c r="D2436" s="6" t="n"/>
      <c r="E2436" s="6" t="n"/>
      <c r="F2436" s="7" t="n"/>
      <c r="G2436" s="7" t="n"/>
      <c r="H2436" s="8" t="n"/>
      <c r="I2436" s="9">
        <f>IF($A2436="","",SUMIFS(Ventes_Encaissements!$D$6:$D$3005,Ventes_Encaissements!$B$6:$B$3005,$A2436))</f>
        <v/>
      </c>
      <c r="J2436" s="9">
        <f>IF($A2436="","",$H2436-$I2436)</f>
        <v/>
      </c>
      <c r="K2436" s="10">
        <f>IF($A2436="","",IF($I2436=0,"",_xludf.AGGREGATE(14,6,Ventes_Encaissements!$C$6:$C$3005/(Ventes_Encaissements!$B$6:$B$3005=$A2436),1)))</f>
        <v/>
      </c>
      <c r="L2436" s="11">
        <f>IF($A2436="","",COUNTIFS(Ventes_Detail!$B$6:$B$3005,$A2436))</f>
        <v/>
      </c>
      <c r="M2436" s="12" t="n"/>
      <c r="N2436" s="12">
        <f>IF($A2436="","",IF($G2436="","",IF($M2436="Oui","Litige",IF($J2436&lt;=0,"Payé",IF($I2436&gt;0,"Partiel",IF(Listes!$B$3&gt;$G2436,"En retard","À échoir"))))))</f>
        <v/>
      </c>
      <c r="O2436" s="11">
        <f>IF($A2436="","",IF(OR($G2436="", $J2436&lt;=0),0,MAX(0,Listes!$B$3-$G2436)))</f>
        <v/>
      </c>
      <c r="P2436" s="12">
        <f>IF($A2436="","",IF($J2436&lt;=0,"Payé",IF($M2436="Oui","Litige",IF($O2436=0,"À échoir",IF($O2436&lt;=30,"0-30",IF($O2436&lt;=60,"31-60",IF($O2436&lt;=90,"61-90","90+")))))))</f>
        <v/>
      </c>
    </row>
    <row r="2437">
      <c r="A2437" s="6" t="n"/>
      <c r="B2437" s="6" t="n"/>
      <c r="C2437" s="6" t="n"/>
      <c r="D2437" s="6" t="n"/>
      <c r="E2437" s="6" t="n"/>
      <c r="F2437" s="7" t="n"/>
      <c r="G2437" s="7" t="n"/>
      <c r="H2437" s="8" t="n"/>
      <c r="I2437" s="9">
        <f>IF($A2437="","",SUMIFS(Ventes_Encaissements!$D$6:$D$3005,Ventes_Encaissements!$B$6:$B$3005,$A2437))</f>
        <v/>
      </c>
      <c r="J2437" s="9">
        <f>IF($A2437="","",$H2437-$I2437)</f>
        <v/>
      </c>
      <c r="K2437" s="10">
        <f>IF($A2437="","",IF($I2437=0,"",_xludf.AGGREGATE(14,6,Ventes_Encaissements!$C$6:$C$3005/(Ventes_Encaissements!$B$6:$B$3005=$A2437),1)))</f>
        <v/>
      </c>
      <c r="L2437" s="11">
        <f>IF($A2437="","",COUNTIFS(Ventes_Detail!$B$6:$B$3005,$A2437))</f>
        <v/>
      </c>
      <c r="M2437" s="12" t="n"/>
      <c r="N2437" s="12">
        <f>IF($A2437="","",IF($G2437="","",IF($M2437="Oui","Litige",IF($J2437&lt;=0,"Payé",IF($I2437&gt;0,"Partiel",IF(Listes!$B$3&gt;$G2437,"En retard","À échoir"))))))</f>
        <v/>
      </c>
      <c r="O2437" s="11">
        <f>IF($A2437="","",IF(OR($G2437="", $J2437&lt;=0),0,MAX(0,Listes!$B$3-$G2437)))</f>
        <v/>
      </c>
      <c r="P2437" s="12">
        <f>IF($A2437="","",IF($J2437&lt;=0,"Payé",IF($M2437="Oui","Litige",IF($O2437=0,"À échoir",IF($O2437&lt;=30,"0-30",IF($O2437&lt;=60,"31-60",IF($O2437&lt;=90,"61-90","90+")))))))</f>
        <v/>
      </c>
    </row>
    <row r="2438">
      <c r="A2438" s="6" t="n"/>
      <c r="B2438" s="6" t="n"/>
      <c r="C2438" s="6" t="n"/>
      <c r="D2438" s="6" t="n"/>
      <c r="E2438" s="6" t="n"/>
      <c r="F2438" s="7" t="n"/>
      <c r="G2438" s="7" t="n"/>
      <c r="H2438" s="8" t="n"/>
      <c r="I2438" s="9">
        <f>IF($A2438="","",SUMIFS(Ventes_Encaissements!$D$6:$D$3005,Ventes_Encaissements!$B$6:$B$3005,$A2438))</f>
        <v/>
      </c>
      <c r="J2438" s="9">
        <f>IF($A2438="","",$H2438-$I2438)</f>
        <v/>
      </c>
      <c r="K2438" s="10">
        <f>IF($A2438="","",IF($I2438=0,"",_xludf.AGGREGATE(14,6,Ventes_Encaissements!$C$6:$C$3005/(Ventes_Encaissements!$B$6:$B$3005=$A2438),1)))</f>
        <v/>
      </c>
      <c r="L2438" s="11">
        <f>IF($A2438="","",COUNTIFS(Ventes_Detail!$B$6:$B$3005,$A2438))</f>
        <v/>
      </c>
      <c r="M2438" s="12" t="n"/>
      <c r="N2438" s="12">
        <f>IF($A2438="","",IF($G2438="","",IF($M2438="Oui","Litige",IF($J2438&lt;=0,"Payé",IF($I2438&gt;0,"Partiel",IF(Listes!$B$3&gt;$G2438,"En retard","À échoir"))))))</f>
        <v/>
      </c>
      <c r="O2438" s="11">
        <f>IF($A2438="","",IF(OR($G2438="", $J2438&lt;=0),0,MAX(0,Listes!$B$3-$G2438)))</f>
        <v/>
      </c>
      <c r="P2438" s="12">
        <f>IF($A2438="","",IF($J2438&lt;=0,"Payé",IF($M2438="Oui","Litige",IF($O2438=0,"À échoir",IF($O2438&lt;=30,"0-30",IF($O2438&lt;=60,"31-60",IF($O2438&lt;=90,"61-90","90+")))))))</f>
        <v/>
      </c>
    </row>
    <row r="2439">
      <c r="A2439" s="6" t="n"/>
      <c r="B2439" s="6" t="n"/>
      <c r="C2439" s="6" t="n"/>
      <c r="D2439" s="6" t="n"/>
      <c r="E2439" s="6" t="n"/>
      <c r="F2439" s="7" t="n"/>
      <c r="G2439" s="7" t="n"/>
      <c r="H2439" s="8" t="n"/>
      <c r="I2439" s="9">
        <f>IF($A2439="","",SUMIFS(Ventes_Encaissements!$D$6:$D$3005,Ventes_Encaissements!$B$6:$B$3005,$A2439))</f>
        <v/>
      </c>
      <c r="J2439" s="9">
        <f>IF($A2439="","",$H2439-$I2439)</f>
        <v/>
      </c>
      <c r="K2439" s="10">
        <f>IF($A2439="","",IF($I2439=0,"",_xludf.AGGREGATE(14,6,Ventes_Encaissements!$C$6:$C$3005/(Ventes_Encaissements!$B$6:$B$3005=$A2439),1)))</f>
        <v/>
      </c>
      <c r="L2439" s="11">
        <f>IF($A2439="","",COUNTIFS(Ventes_Detail!$B$6:$B$3005,$A2439))</f>
        <v/>
      </c>
      <c r="M2439" s="12" t="n"/>
      <c r="N2439" s="12">
        <f>IF($A2439="","",IF($G2439="","",IF($M2439="Oui","Litige",IF($J2439&lt;=0,"Payé",IF($I2439&gt;0,"Partiel",IF(Listes!$B$3&gt;$G2439,"En retard","À échoir"))))))</f>
        <v/>
      </c>
      <c r="O2439" s="11">
        <f>IF($A2439="","",IF(OR($G2439="", $J2439&lt;=0),0,MAX(0,Listes!$B$3-$G2439)))</f>
        <v/>
      </c>
      <c r="P2439" s="12">
        <f>IF($A2439="","",IF($J2439&lt;=0,"Payé",IF($M2439="Oui","Litige",IF($O2439=0,"À échoir",IF($O2439&lt;=30,"0-30",IF($O2439&lt;=60,"31-60",IF($O2439&lt;=90,"61-90","90+")))))))</f>
        <v/>
      </c>
    </row>
    <row r="2440">
      <c r="A2440" s="6" t="n"/>
      <c r="B2440" s="6" t="n"/>
      <c r="C2440" s="6" t="n"/>
      <c r="D2440" s="6" t="n"/>
      <c r="E2440" s="6" t="n"/>
      <c r="F2440" s="7" t="n"/>
      <c r="G2440" s="7" t="n"/>
      <c r="H2440" s="8" t="n"/>
      <c r="I2440" s="9">
        <f>IF($A2440="","",SUMIFS(Ventes_Encaissements!$D$6:$D$3005,Ventes_Encaissements!$B$6:$B$3005,$A2440))</f>
        <v/>
      </c>
      <c r="J2440" s="9">
        <f>IF($A2440="","",$H2440-$I2440)</f>
        <v/>
      </c>
      <c r="K2440" s="10">
        <f>IF($A2440="","",IF($I2440=0,"",_xludf.AGGREGATE(14,6,Ventes_Encaissements!$C$6:$C$3005/(Ventes_Encaissements!$B$6:$B$3005=$A2440),1)))</f>
        <v/>
      </c>
      <c r="L2440" s="11">
        <f>IF($A2440="","",COUNTIFS(Ventes_Detail!$B$6:$B$3005,$A2440))</f>
        <v/>
      </c>
      <c r="M2440" s="12" t="n"/>
      <c r="N2440" s="12">
        <f>IF($A2440="","",IF($G2440="","",IF($M2440="Oui","Litige",IF($J2440&lt;=0,"Payé",IF($I2440&gt;0,"Partiel",IF(Listes!$B$3&gt;$G2440,"En retard","À échoir"))))))</f>
        <v/>
      </c>
      <c r="O2440" s="11">
        <f>IF($A2440="","",IF(OR($G2440="", $J2440&lt;=0),0,MAX(0,Listes!$B$3-$G2440)))</f>
        <v/>
      </c>
      <c r="P2440" s="12">
        <f>IF($A2440="","",IF($J2440&lt;=0,"Payé",IF($M2440="Oui","Litige",IF($O2440=0,"À échoir",IF($O2440&lt;=30,"0-30",IF($O2440&lt;=60,"31-60",IF($O2440&lt;=90,"61-90","90+")))))))</f>
        <v/>
      </c>
    </row>
    <row r="2441">
      <c r="A2441" s="6" t="n"/>
      <c r="B2441" s="6" t="n"/>
      <c r="C2441" s="6" t="n"/>
      <c r="D2441" s="6" t="n"/>
      <c r="E2441" s="6" t="n"/>
      <c r="F2441" s="7" t="n"/>
      <c r="G2441" s="7" t="n"/>
      <c r="H2441" s="8" t="n"/>
      <c r="I2441" s="9">
        <f>IF($A2441="","",SUMIFS(Ventes_Encaissements!$D$6:$D$3005,Ventes_Encaissements!$B$6:$B$3005,$A2441))</f>
        <v/>
      </c>
      <c r="J2441" s="9">
        <f>IF($A2441="","",$H2441-$I2441)</f>
        <v/>
      </c>
      <c r="K2441" s="10">
        <f>IF($A2441="","",IF($I2441=0,"",_xludf.AGGREGATE(14,6,Ventes_Encaissements!$C$6:$C$3005/(Ventes_Encaissements!$B$6:$B$3005=$A2441),1)))</f>
        <v/>
      </c>
      <c r="L2441" s="11">
        <f>IF($A2441="","",COUNTIFS(Ventes_Detail!$B$6:$B$3005,$A2441))</f>
        <v/>
      </c>
      <c r="M2441" s="12" t="n"/>
      <c r="N2441" s="12">
        <f>IF($A2441="","",IF($G2441="","",IF($M2441="Oui","Litige",IF($J2441&lt;=0,"Payé",IF($I2441&gt;0,"Partiel",IF(Listes!$B$3&gt;$G2441,"En retard","À échoir"))))))</f>
        <v/>
      </c>
      <c r="O2441" s="11">
        <f>IF($A2441="","",IF(OR($G2441="", $J2441&lt;=0),0,MAX(0,Listes!$B$3-$G2441)))</f>
        <v/>
      </c>
      <c r="P2441" s="12">
        <f>IF($A2441="","",IF($J2441&lt;=0,"Payé",IF($M2441="Oui","Litige",IF($O2441=0,"À échoir",IF($O2441&lt;=30,"0-30",IF($O2441&lt;=60,"31-60",IF($O2441&lt;=90,"61-90","90+")))))))</f>
        <v/>
      </c>
    </row>
    <row r="2442">
      <c r="A2442" s="6" t="n"/>
      <c r="B2442" s="6" t="n"/>
      <c r="C2442" s="6" t="n"/>
      <c r="D2442" s="6" t="n"/>
      <c r="E2442" s="6" t="n"/>
      <c r="F2442" s="7" t="n"/>
      <c r="G2442" s="7" t="n"/>
      <c r="H2442" s="8" t="n"/>
      <c r="I2442" s="9">
        <f>IF($A2442="","",SUMIFS(Ventes_Encaissements!$D$6:$D$3005,Ventes_Encaissements!$B$6:$B$3005,$A2442))</f>
        <v/>
      </c>
      <c r="J2442" s="9">
        <f>IF($A2442="","",$H2442-$I2442)</f>
        <v/>
      </c>
      <c r="K2442" s="10">
        <f>IF($A2442="","",IF($I2442=0,"",_xludf.AGGREGATE(14,6,Ventes_Encaissements!$C$6:$C$3005/(Ventes_Encaissements!$B$6:$B$3005=$A2442),1)))</f>
        <v/>
      </c>
      <c r="L2442" s="11">
        <f>IF($A2442="","",COUNTIFS(Ventes_Detail!$B$6:$B$3005,$A2442))</f>
        <v/>
      </c>
      <c r="M2442" s="12" t="n"/>
      <c r="N2442" s="12">
        <f>IF($A2442="","",IF($G2442="","",IF($M2442="Oui","Litige",IF($J2442&lt;=0,"Payé",IF($I2442&gt;0,"Partiel",IF(Listes!$B$3&gt;$G2442,"En retard","À échoir"))))))</f>
        <v/>
      </c>
      <c r="O2442" s="11">
        <f>IF($A2442="","",IF(OR($G2442="", $J2442&lt;=0),0,MAX(0,Listes!$B$3-$G2442)))</f>
        <v/>
      </c>
      <c r="P2442" s="12">
        <f>IF($A2442="","",IF($J2442&lt;=0,"Payé",IF($M2442="Oui","Litige",IF($O2442=0,"À échoir",IF($O2442&lt;=30,"0-30",IF($O2442&lt;=60,"31-60",IF($O2442&lt;=90,"61-90","90+")))))))</f>
        <v/>
      </c>
    </row>
    <row r="2443">
      <c r="A2443" s="6" t="n"/>
      <c r="B2443" s="6" t="n"/>
      <c r="C2443" s="6" t="n"/>
      <c r="D2443" s="6" t="n"/>
      <c r="E2443" s="6" t="n"/>
      <c r="F2443" s="7" t="n"/>
      <c r="G2443" s="7" t="n"/>
      <c r="H2443" s="8" t="n"/>
      <c r="I2443" s="9">
        <f>IF($A2443="","",SUMIFS(Ventes_Encaissements!$D$6:$D$3005,Ventes_Encaissements!$B$6:$B$3005,$A2443))</f>
        <v/>
      </c>
      <c r="J2443" s="9">
        <f>IF($A2443="","",$H2443-$I2443)</f>
        <v/>
      </c>
      <c r="K2443" s="10">
        <f>IF($A2443="","",IF($I2443=0,"",_xludf.AGGREGATE(14,6,Ventes_Encaissements!$C$6:$C$3005/(Ventes_Encaissements!$B$6:$B$3005=$A2443),1)))</f>
        <v/>
      </c>
      <c r="L2443" s="11">
        <f>IF($A2443="","",COUNTIFS(Ventes_Detail!$B$6:$B$3005,$A2443))</f>
        <v/>
      </c>
      <c r="M2443" s="12" t="n"/>
      <c r="N2443" s="12">
        <f>IF($A2443="","",IF($G2443="","",IF($M2443="Oui","Litige",IF($J2443&lt;=0,"Payé",IF($I2443&gt;0,"Partiel",IF(Listes!$B$3&gt;$G2443,"En retard","À échoir"))))))</f>
        <v/>
      </c>
      <c r="O2443" s="11">
        <f>IF($A2443="","",IF(OR($G2443="", $J2443&lt;=0),0,MAX(0,Listes!$B$3-$G2443)))</f>
        <v/>
      </c>
      <c r="P2443" s="12">
        <f>IF($A2443="","",IF($J2443&lt;=0,"Payé",IF($M2443="Oui","Litige",IF($O2443=0,"À échoir",IF($O2443&lt;=30,"0-30",IF($O2443&lt;=60,"31-60",IF($O2443&lt;=90,"61-90","90+")))))))</f>
        <v/>
      </c>
    </row>
    <row r="2444">
      <c r="A2444" s="6" t="n"/>
      <c r="B2444" s="6" t="n"/>
      <c r="C2444" s="6" t="n"/>
      <c r="D2444" s="6" t="n"/>
      <c r="E2444" s="6" t="n"/>
      <c r="F2444" s="7" t="n"/>
      <c r="G2444" s="7" t="n"/>
      <c r="H2444" s="8" t="n"/>
      <c r="I2444" s="9">
        <f>IF($A2444="","",SUMIFS(Ventes_Encaissements!$D$6:$D$3005,Ventes_Encaissements!$B$6:$B$3005,$A2444))</f>
        <v/>
      </c>
      <c r="J2444" s="9">
        <f>IF($A2444="","",$H2444-$I2444)</f>
        <v/>
      </c>
      <c r="K2444" s="10">
        <f>IF($A2444="","",IF($I2444=0,"",_xludf.AGGREGATE(14,6,Ventes_Encaissements!$C$6:$C$3005/(Ventes_Encaissements!$B$6:$B$3005=$A2444),1)))</f>
        <v/>
      </c>
      <c r="L2444" s="11">
        <f>IF($A2444="","",COUNTIFS(Ventes_Detail!$B$6:$B$3005,$A2444))</f>
        <v/>
      </c>
      <c r="M2444" s="12" t="n"/>
      <c r="N2444" s="12">
        <f>IF($A2444="","",IF($G2444="","",IF($M2444="Oui","Litige",IF($J2444&lt;=0,"Payé",IF($I2444&gt;0,"Partiel",IF(Listes!$B$3&gt;$G2444,"En retard","À échoir"))))))</f>
        <v/>
      </c>
      <c r="O2444" s="11">
        <f>IF($A2444="","",IF(OR($G2444="", $J2444&lt;=0),0,MAX(0,Listes!$B$3-$G2444)))</f>
        <v/>
      </c>
      <c r="P2444" s="12">
        <f>IF($A2444="","",IF($J2444&lt;=0,"Payé",IF($M2444="Oui","Litige",IF($O2444=0,"À échoir",IF($O2444&lt;=30,"0-30",IF($O2444&lt;=60,"31-60",IF($O2444&lt;=90,"61-90","90+")))))))</f>
        <v/>
      </c>
    </row>
    <row r="2445">
      <c r="A2445" s="6" t="n"/>
      <c r="B2445" s="6" t="n"/>
      <c r="C2445" s="6" t="n"/>
      <c r="D2445" s="6" t="n"/>
      <c r="E2445" s="6" t="n"/>
      <c r="F2445" s="7" t="n"/>
      <c r="G2445" s="7" t="n"/>
      <c r="H2445" s="8" t="n"/>
      <c r="I2445" s="9">
        <f>IF($A2445="","",SUMIFS(Ventes_Encaissements!$D$6:$D$3005,Ventes_Encaissements!$B$6:$B$3005,$A2445))</f>
        <v/>
      </c>
      <c r="J2445" s="9">
        <f>IF($A2445="","",$H2445-$I2445)</f>
        <v/>
      </c>
      <c r="K2445" s="10">
        <f>IF($A2445="","",IF($I2445=0,"",_xludf.AGGREGATE(14,6,Ventes_Encaissements!$C$6:$C$3005/(Ventes_Encaissements!$B$6:$B$3005=$A2445),1)))</f>
        <v/>
      </c>
      <c r="L2445" s="11">
        <f>IF($A2445="","",COUNTIFS(Ventes_Detail!$B$6:$B$3005,$A2445))</f>
        <v/>
      </c>
      <c r="M2445" s="12" t="n"/>
      <c r="N2445" s="12">
        <f>IF($A2445="","",IF($G2445="","",IF($M2445="Oui","Litige",IF($J2445&lt;=0,"Payé",IF($I2445&gt;0,"Partiel",IF(Listes!$B$3&gt;$G2445,"En retard","À échoir"))))))</f>
        <v/>
      </c>
      <c r="O2445" s="11">
        <f>IF($A2445="","",IF(OR($G2445="", $J2445&lt;=0),0,MAX(0,Listes!$B$3-$G2445)))</f>
        <v/>
      </c>
      <c r="P2445" s="12">
        <f>IF($A2445="","",IF($J2445&lt;=0,"Payé",IF($M2445="Oui","Litige",IF($O2445=0,"À échoir",IF($O2445&lt;=30,"0-30",IF($O2445&lt;=60,"31-60",IF($O2445&lt;=90,"61-90","90+")))))))</f>
        <v/>
      </c>
    </row>
    <row r="2446">
      <c r="A2446" s="6" t="n"/>
      <c r="B2446" s="6" t="n"/>
      <c r="C2446" s="6" t="n"/>
      <c r="D2446" s="6" t="n"/>
      <c r="E2446" s="6" t="n"/>
      <c r="F2446" s="7" t="n"/>
      <c r="G2446" s="7" t="n"/>
      <c r="H2446" s="8" t="n"/>
      <c r="I2446" s="9">
        <f>IF($A2446="","",SUMIFS(Ventes_Encaissements!$D$6:$D$3005,Ventes_Encaissements!$B$6:$B$3005,$A2446))</f>
        <v/>
      </c>
      <c r="J2446" s="9">
        <f>IF($A2446="","",$H2446-$I2446)</f>
        <v/>
      </c>
      <c r="K2446" s="10">
        <f>IF($A2446="","",IF($I2446=0,"",_xludf.AGGREGATE(14,6,Ventes_Encaissements!$C$6:$C$3005/(Ventes_Encaissements!$B$6:$B$3005=$A2446),1)))</f>
        <v/>
      </c>
      <c r="L2446" s="11">
        <f>IF($A2446="","",COUNTIFS(Ventes_Detail!$B$6:$B$3005,$A2446))</f>
        <v/>
      </c>
      <c r="M2446" s="12" t="n"/>
      <c r="N2446" s="12">
        <f>IF($A2446="","",IF($G2446="","",IF($M2446="Oui","Litige",IF($J2446&lt;=0,"Payé",IF($I2446&gt;0,"Partiel",IF(Listes!$B$3&gt;$G2446,"En retard","À échoir"))))))</f>
        <v/>
      </c>
      <c r="O2446" s="11">
        <f>IF($A2446="","",IF(OR($G2446="", $J2446&lt;=0),0,MAX(0,Listes!$B$3-$G2446)))</f>
        <v/>
      </c>
      <c r="P2446" s="12">
        <f>IF($A2446="","",IF($J2446&lt;=0,"Payé",IF($M2446="Oui","Litige",IF($O2446=0,"À échoir",IF($O2446&lt;=30,"0-30",IF($O2446&lt;=60,"31-60",IF($O2446&lt;=90,"61-90","90+")))))))</f>
        <v/>
      </c>
    </row>
    <row r="2447">
      <c r="A2447" s="6" t="n"/>
      <c r="B2447" s="6" t="n"/>
      <c r="C2447" s="6" t="n"/>
      <c r="D2447" s="6" t="n"/>
      <c r="E2447" s="6" t="n"/>
      <c r="F2447" s="7" t="n"/>
      <c r="G2447" s="7" t="n"/>
      <c r="H2447" s="8" t="n"/>
      <c r="I2447" s="9">
        <f>IF($A2447="","",SUMIFS(Ventes_Encaissements!$D$6:$D$3005,Ventes_Encaissements!$B$6:$B$3005,$A2447))</f>
        <v/>
      </c>
      <c r="J2447" s="9">
        <f>IF($A2447="","",$H2447-$I2447)</f>
        <v/>
      </c>
      <c r="K2447" s="10">
        <f>IF($A2447="","",IF($I2447=0,"",_xludf.AGGREGATE(14,6,Ventes_Encaissements!$C$6:$C$3005/(Ventes_Encaissements!$B$6:$B$3005=$A2447),1)))</f>
        <v/>
      </c>
      <c r="L2447" s="11">
        <f>IF($A2447="","",COUNTIFS(Ventes_Detail!$B$6:$B$3005,$A2447))</f>
        <v/>
      </c>
      <c r="M2447" s="12" t="n"/>
      <c r="N2447" s="12">
        <f>IF($A2447="","",IF($G2447="","",IF($M2447="Oui","Litige",IF($J2447&lt;=0,"Payé",IF($I2447&gt;0,"Partiel",IF(Listes!$B$3&gt;$G2447,"En retard","À échoir"))))))</f>
        <v/>
      </c>
      <c r="O2447" s="11">
        <f>IF($A2447="","",IF(OR($G2447="", $J2447&lt;=0),0,MAX(0,Listes!$B$3-$G2447)))</f>
        <v/>
      </c>
      <c r="P2447" s="12">
        <f>IF($A2447="","",IF($J2447&lt;=0,"Payé",IF($M2447="Oui","Litige",IF($O2447=0,"À échoir",IF($O2447&lt;=30,"0-30",IF($O2447&lt;=60,"31-60",IF($O2447&lt;=90,"61-90","90+")))))))</f>
        <v/>
      </c>
    </row>
    <row r="2448">
      <c r="A2448" s="6" t="n"/>
      <c r="B2448" s="6" t="n"/>
      <c r="C2448" s="6" t="n"/>
      <c r="D2448" s="6" t="n"/>
      <c r="E2448" s="6" t="n"/>
      <c r="F2448" s="7" t="n"/>
      <c r="G2448" s="7" t="n"/>
      <c r="H2448" s="8" t="n"/>
      <c r="I2448" s="9">
        <f>IF($A2448="","",SUMIFS(Ventes_Encaissements!$D$6:$D$3005,Ventes_Encaissements!$B$6:$B$3005,$A2448))</f>
        <v/>
      </c>
      <c r="J2448" s="9">
        <f>IF($A2448="","",$H2448-$I2448)</f>
        <v/>
      </c>
      <c r="K2448" s="10">
        <f>IF($A2448="","",IF($I2448=0,"",_xludf.AGGREGATE(14,6,Ventes_Encaissements!$C$6:$C$3005/(Ventes_Encaissements!$B$6:$B$3005=$A2448),1)))</f>
        <v/>
      </c>
      <c r="L2448" s="11">
        <f>IF($A2448="","",COUNTIFS(Ventes_Detail!$B$6:$B$3005,$A2448))</f>
        <v/>
      </c>
      <c r="M2448" s="12" t="n"/>
      <c r="N2448" s="12">
        <f>IF($A2448="","",IF($G2448="","",IF($M2448="Oui","Litige",IF($J2448&lt;=0,"Payé",IF($I2448&gt;0,"Partiel",IF(Listes!$B$3&gt;$G2448,"En retard","À échoir"))))))</f>
        <v/>
      </c>
      <c r="O2448" s="11">
        <f>IF($A2448="","",IF(OR($G2448="", $J2448&lt;=0),0,MAX(0,Listes!$B$3-$G2448)))</f>
        <v/>
      </c>
      <c r="P2448" s="12">
        <f>IF($A2448="","",IF($J2448&lt;=0,"Payé",IF($M2448="Oui","Litige",IF($O2448=0,"À échoir",IF($O2448&lt;=30,"0-30",IF($O2448&lt;=60,"31-60",IF($O2448&lt;=90,"61-90","90+")))))))</f>
        <v/>
      </c>
    </row>
    <row r="2449">
      <c r="A2449" s="6" t="n"/>
      <c r="B2449" s="6" t="n"/>
      <c r="C2449" s="6" t="n"/>
      <c r="D2449" s="6" t="n"/>
      <c r="E2449" s="6" t="n"/>
      <c r="F2449" s="7" t="n"/>
      <c r="G2449" s="7" t="n"/>
      <c r="H2449" s="8" t="n"/>
      <c r="I2449" s="9">
        <f>IF($A2449="","",SUMIFS(Ventes_Encaissements!$D$6:$D$3005,Ventes_Encaissements!$B$6:$B$3005,$A2449))</f>
        <v/>
      </c>
      <c r="J2449" s="9">
        <f>IF($A2449="","",$H2449-$I2449)</f>
        <v/>
      </c>
      <c r="K2449" s="10">
        <f>IF($A2449="","",IF($I2449=0,"",_xludf.AGGREGATE(14,6,Ventes_Encaissements!$C$6:$C$3005/(Ventes_Encaissements!$B$6:$B$3005=$A2449),1)))</f>
        <v/>
      </c>
      <c r="L2449" s="11">
        <f>IF($A2449="","",COUNTIFS(Ventes_Detail!$B$6:$B$3005,$A2449))</f>
        <v/>
      </c>
      <c r="M2449" s="12" t="n"/>
      <c r="N2449" s="12">
        <f>IF($A2449="","",IF($G2449="","",IF($M2449="Oui","Litige",IF($J2449&lt;=0,"Payé",IF($I2449&gt;0,"Partiel",IF(Listes!$B$3&gt;$G2449,"En retard","À échoir"))))))</f>
        <v/>
      </c>
      <c r="O2449" s="11">
        <f>IF($A2449="","",IF(OR($G2449="", $J2449&lt;=0),0,MAX(0,Listes!$B$3-$G2449)))</f>
        <v/>
      </c>
      <c r="P2449" s="12">
        <f>IF($A2449="","",IF($J2449&lt;=0,"Payé",IF($M2449="Oui","Litige",IF($O2449=0,"À échoir",IF($O2449&lt;=30,"0-30",IF($O2449&lt;=60,"31-60",IF($O2449&lt;=90,"61-90","90+")))))))</f>
        <v/>
      </c>
    </row>
    <row r="2450">
      <c r="A2450" s="6" t="n"/>
      <c r="B2450" s="6" t="n"/>
      <c r="C2450" s="6" t="n"/>
      <c r="D2450" s="6" t="n"/>
      <c r="E2450" s="6" t="n"/>
      <c r="F2450" s="7" t="n"/>
      <c r="G2450" s="7" t="n"/>
      <c r="H2450" s="8" t="n"/>
      <c r="I2450" s="9">
        <f>IF($A2450="","",SUMIFS(Ventes_Encaissements!$D$6:$D$3005,Ventes_Encaissements!$B$6:$B$3005,$A2450))</f>
        <v/>
      </c>
      <c r="J2450" s="9">
        <f>IF($A2450="","",$H2450-$I2450)</f>
        <v/>
      </c>
      <c r="K2450" s="10">
        <f>IF($A2450="","",IF($I2450=0,"",_xludf.AGGREGATE(14,6,Ventes_Encaissements!$C$6:$C$3005/(Ventes_Encaissements!$B$6:$B$3005=$A2450),1)))</f>
        <v/>
      </c>
      <c r="L2450" s="11">
        <f>IF($A2450="","",COUNTIFS(Ventes_Detail!$B$6:$B$3005,$A2450))</f>
        <v/>
      </c>
      <c r="M2450" s="12" t="n"/>
      <c r="N2450" s="12">
        <f>IF($A2450="","",IF($G2450="","",IF($M2450="Oui","Litige",IF($J2450&lt;=0,"Payé",IF($I2450&gt;0,"Partiel",IF(Listes!$B$3&gt;$G2450,"En retard","À échoir"))))))</f>
        <v/>
      </c>
      <c r="O2450" s="11">
        <f>IF($A2450="","",IF(OR($G2450="", $J2450&lt;=0),0,MAX(0,Listes!$B$3-$G2450)))</f>
        <v/>
      </c>
      <c r="P2450" s="12">
        <f>IF($A2450="","",IF($J2450&lt;=0,"Payé",IF($M2450="Oui","Litige",IF($O2450=0,"À échoir",IF($O2450&lt;=30,"0-30",IF($O2450&lt;=60,"31-60",IF($O2450&lt;=90,"61-90","90+")))))))</f>
        <v/>
      </c>
    </row>
    <row r="2451">
      <c r="A2451" s="6" t="n"/>
      <c r="B2451" s="6" t="n"/>
      <c r="C2451" s="6" t="n"/>
      <c r="D2451" s="6" t="n"/>
      <c r="E2451" s="6" t="n"/>
      <c r="F2451" s="7" t="n"/>
      <c r="G2451" s="7" t="n"/>
      <c r="H2451" s="8" t="n"/>
      <c r="I2451" s="9">
        <f>IF($A2451="","",SUMIFS(Ventes_Encaissements!$D$6:$D$3005,Ventes_Encaissements!$B$6:$B$3005,$A2451))</f>
        <v/>
      </c>
      <c r="J2451" s="9">
        <f>IF($A2451="","",$H2451-$I2451)</f>
        <v/>
      </c>
      <c r="K2451" s="10">
        <f>IF($A2451="","",IF($I2451=0,"",_xludf.AGGREGATE(14,6,Ventes_Encaissements!$C$6:$C$3005/(Ventes_Encaissements!$B$6:$B$3005=$A2451),1)))</f>
        <v/>
      </c>
      <c r="L2451" s="11">
        <f>IF($A2451="","",COUNTIFS(Ventes_Detail!$B$6:$B$3005,$A2451))</f>
        <v/>
      </c>
      <c r="M2451" s="12" t="n"/>
      <c r="N2451" s="12">
        <f>IF($A2451="","",IF($G2451="","",IF($M2451="Oui","Litige",IF($J2451&lt;=0,"Payé",IF($I2451&gt;0,"Partiel",IF(Listes!$B$3&gt;$G2451,"En retard","À échoir"))))))</f>
        <v/>
      </c>
      <c r="O2451" s="11">
        <f>IF($A2451="","",IF(OR($G2451="", $J2451&lt;=0),0,MAX(0,Listes!$B$3-$G2451)))</f>
        <v/>
      </c>
      <c r="P2451" s="12">
        <f>IF($A2451="","",IF($J2451&lt;=0,"Payé",IF($M2451="Oui","Litige",IF($O2451=0,"À échoir",IF($O2451&lt;=30,"0-30",IF($O2451&lt;=60,"31-60",IF($O2451&lt;=90,"61-90","90+")))))))</f>
        <v/>
      </c>
    </row>
    <row r="2452">
      <c r="A2452" s="6" t="n"/>
      <c r="B2452" s="6" t="n"/>
      <c r="C2452" s="6" t="n"/>
      <c r="D2452" s="6" t="n"/>
      <c r="E2452" s="6" t="n"/>
      <c r="F2452" s="7" t="n"/>
      <c r="G2452" s="7" t="n"/>
      <c r="H2452" s="8" t="n"/>
      <c r="I2452" s="9">
        <f>IF($A2452="","",SUMIFS(Ventes_Encaissements!$D$6:$D$3005,Ventes_Encaissements!$B$6:$B$3005,$A2452))</f>
        <v/>
      </c>
      <c r="J2452" s="9">
        <f>IF($A2452="","",$H2452-$I2452)</f>
        <v/>
      </c>
      <c r="K2452" s="10">
        <f>IF($A2452="","",IF($I2452=0,"",_xludf.AGGREGATE(14,6,Ventes_Encaissements!$C$6:$C$3005/(Ventes_Encaissements!$B$6:$B$3005=$A2452),1)))</f>
        <v/>
      </c>
      <c r="L2452" s="11">
        <f>IF($A2452="","",COUNTIFS(Ventes_Detail!$B$6:$B$3005,$A2452))</f>
        <v/>
      </c>
      <c r="M2452" s="12" t="n"/>
      <c r="N2452" s="12">
        <f>IF($A2452="","",IF($G2452="","",IF($M2452="Oui","Litige",IF($J2452&lt;=0,"Payé",IF($I2452&gt;0,"Partiel",IF(Listes!$B$3&gt;$G2452,"En retard","À échoir"))))))</f>
        <v/>
      </c>
      <c r="O2452" s="11">
        <f>IF($A2452="","",IF(OR($G2452="", $J2452&lt;=0),0,MAX(0,Listes!$B$3-$G2452)))</f>
        <v/>
      </c>
      <c r="P2452" s="12">
        <f>IF($A2452="","",IF($J2452&lt;=0,"Payé",IF($M2452="Oui","Litige",IF($O2452=0,"À échoir",IF($O2452&lt;=30,"0-30",IF($O2452&lt;=60,"31-60",IF($O2452&lt;=90,"61-90","90+")))))))</f>
        <v/>
      </c>
    </row>
    <row r="2453">
      <c r="A2453" s="6" t="n"/>
      <c r="B2453" s="6" t="n"/>
      <c r="C2453" s="6" t="n"/>
      <c r="D2453" s="6" t="n"/>
      <c r="E2453" s="6" t="n"/>
      <c r="F2453" s="7" t="n"/>
      <c r="G2453" s="7" t="n"/>
      <c r="H2453" s="8" t="n"/>
      <c r="I2453" s="9">
        <f>IF($A2453="","",SUMIFS(Ventes_Encaissements!$D$6:$D$3005,Ventes_Encaissements!$B$6:$B$3005,$A2453))</f>
        <v/>
      </c>
      <c r="J2453" s="9">
        <f>IF($A2453="","",$H2453-$I2453)</f>
        <v/>
      </c>
      <c r="K2453" s="10">
        <f>IF($A2453="","",IF($I2453=0,"",_xludf.AGGREGATE(14,6,Ventes_Encaissements!$C$6:$C$3005/(Ventes_Encaissements!$B$6:$B$3005=$A2453),1)))</f>
        <v/>
      </c>
      <c r="L2453" s="11">
        <f>IF($A2453="","",COUNTIFS(Ventes_Detail!$B$6:$B$3005,$A2453))</f>
        <v/>
      </c>
      <c r="M2453" s="12" t="n"/>
      <c r="N2453" s="12">
        <f>IF($A2453="","",IF($G2453="","",IF($M2453="Oui","Litige",IF($J2453&lt;=0,"Payé",IF($I2453&gt;0,"Partiel",IF(Listes!$B$3&gt;$G2453,"En retard","À échoir"))))))</f>
        <v/>
      </c>
      <c r="O2453" s="11">
        <f>IF($A2453="","",IF(OR($G2453="", $J2453&lt;=0),0,MAX(0,Listes!$B$3-$G2453)))</f>
        <v/>
      </c>
      <c r="P2453" s="12">
        <f>IF($A2453="","",IF($J2453&lt;=0,"Payé",IF($M2453="Oui","Litige",IF($O2453=0,"À échoir",IF($O2453&lt;=30,"0-30",IF($O2453&lt;=60,"31-60",IF($O2453&lt;=90,"61-90","90+")))))))</f>
        <v/>
      </c>
    </row>
    <row r="2454">
      <c r="A2454" s="6" t="n"/>
      <c r="B2454" s="6" t="n"/>
      <c r="C2454" s="6" t="n"/>
      <c r="D2454" s="6" t="n"/>
      <c r="E2454" s="6" t="n"/>
      <c r="F2454" s="7" t="n"/>
      <c r="G2454" s="7" t="n"/>
      <c r="H2454" s="8" t="n"/>
      <c r="I2454" s="9">
        <f>IF($A2454="","",SUMIFS(Ventes_Encaissements!$D$6:$D$3005,Ventes_Encaissements!$B$6:$B$3005,$A2454))</f>
        <v/>
      </c>
      <c r="J2454" s="9">
        <f>IF($A2454="","",$H2454-$I2454)</f>
        <v/>
      </c>
      <c r="K2454" s="10">
        <f>IF($A2454="","",IF($I2454=0,"",_xludf.AGGREGATE(14,6,Ventes_Encaissements!$C$6:$C$3005/(Ventes_Encaissements!$B$6:$B$3005=$A2454),1)))</f>
        <v/>
      </c>
      <c r="L2454" s="11">
        <f>IF($A2454="","",COUNTIFS(Ventes_Detail!$B$6:$B$3005,$A2454))</f>
        <v/>
      </c>
      <c r="M2454" s="12" t="n"/>
      <c r="N2454" s="12">
        <f>IF($A2454="","",IF($G2454="","",IF($M2454="Oui","Litige",IF($J2454&lt;=0,"Payé",IF($I2454&gt;0,"Partiel",IF(Listes!$B$3&gt;$G2454,"En retard","À échoir"))))))</f>
        <v/>
      </c>
      <c r="O2454" s="11">
        <f>IF($A2454="","",IF(OR($G2454="", $J2454&lt;=0),0,MAX(0,Listes!$B$3-$G2454)))</f>
        <v/>
      </c>
      <c r="P2454" s="12">
        <f>IF($A2454="","",IF($J2454&lt;=0,"Payé",IF($M2454="Oui","Litige",IF($O2454=0,"À échoir",IF($O2454&lt;=30,"0-30",IF($O2454&lt;=60,"31-60",IF($O2454&lt;=90,"61-90","90+")))))))</f>
        <v/>
      </c>
    </row>
    <row r="2455">
      <c r="A2455" s="6" t="n"/>
      <c r="B2455" s="6" t="n"/>
      <c r="C2455" s="6" t="n"/>
      <c r="D2455" s="6" t="n"/>
      <c r="E2455" s="6" t="n"/>
      <c r="F2455" s="7" t="n"/>
      <c r="G2455" s="7" t="n"/>
      <c r="H2455" s="8" t="n"/>
      <c r="I2455" s="9">
        <f>IF($A2455="","",SUMIFS(Ventes_Encaissements!$D$6:$D$3005,Ventes_Encaissements!$B$6:$B$3005,$A2455))</f>
        <v/>
      </c>
      <c r="J2455" s="9">
        <f>IF($A2455="","",$H2455-$I2455)</f>
        <v/>
      </c>
      <c r="K2455" s="10">
        <f>IF($A2455="","",IF($I2455=0,"",_xludf.AGGREGATE(14,6,Ventes_Encaissements!$C$6:$C$3005/(Ventes_Encaissements!$B$6:$B$3005=$A2455),1)))</f>
        <v/>
      </c>
      <c r="L2455" s="11">
        <f>IF($A2455="","",COUNTIFS(Ventes_Detail!$B$6:$B$3005,$A2455))</f>
        <v/>
      </c>
      <c r="M2455" s="12" t="n"/>
      <c r="N2455" s="12">
        <f>IF($A2455="","",IF($G2455="","",IF($M2455="Oui","Litige",IF($J2455&lt;=0,"Payé",IF($I2455&gt;0,"Partiel",IF(Listes!$B$3&gt;$G2455,"En retard","À échoir"))))))</f>
        <v/>
      </c>
      <c r="O2455" s="11">
        <f>IF($A2455="","",IF(OR($G2455="", $J2455&lt;=0),0,MAX(0,Listes!$B$3-$G2455)))</f>
        <v/>
      </c>
      <c r="P2455" s="12">
        <f>IF($A2455="","",IF($J2455&lt;=0,"Payé",IF($M2455="Oui","Litige",IF($O2455=0,"À échoir",IF($O2455&lt;=30,"0-30",IF($O2455&lt;=60,"31-60",IF($O2455&lt;=90,"61-90","90+")))))))</f>
        <v/>
      </c>
    </row>
    <row r="2456">
      <c r="A2456" s="6" t="n"/>
      <c r="B2456" s="6" t="n"/>
      <c r="C2456" s="6" t="n"/>
      <c r="D2456" s="6" t="n"/>
      <c r="E2456" s="6" t="n"/>
      <c r="F2456" s="7" t="n"/>
      <c r="G2456" s="7" t="n"/>
      <c r="H2456" s="8" t="n"/>
      <c r="I2456" s="9">
        <f>IF($A2456="","",SUMIFS(Ventes_Encaissements!$D$6:$D$3005,Ventes_Encaissements!$B$6:$B$3005,$A2456))</f>
        <v/>
      </c>
      <c r="J2456" s="9">
        <f>IF($A2456="","",$H2456-$I2456)</f>
        <v/>
      </c>
      <c r="K2456" s="10">
        <f>IF($A2456="","",IF($I2456=0,"",_xludf.AGGREGATE(14,6,Ventes_Encaissements!$C$6:$C$3005/(Ventes_Encaissements!$B$6:$B$3005=$A2456),1)))</f>
        <v/>
      </c>
      <c r="L2456" s="11">
        <f>IF($A2456="","",COUNTIFS(Ventes_Detail!$B$6:$B$3005,$A2456))</f>
        <v/>
      </c>
      <c r="M2456" s="12" t="n"/>
      <c r="N2456" s="12">
        <f>IF($A2456="","",IF($G2456="","",IF($M2456="Oui","Litige",IF($J2456&lt;=0,"Payé",IF($I2456&gt;0,"Partiel",IF(Listes!$B$3&gt;$G2456,"En retard","À échoir"))))))</f>
        <v/>
      </c>
      <c r="O2456" s="11">
        <f>IF($A2456="","",IF(OR($G2456="", $J2456&lt;=0),0,MAX(0,Listes!$B$3-$G2456)))</f>
        <v/>
      </c>
      <c r="P2456" s="12">
        <f>IF($A2456="","",IF($J2456&lt;=0,"Payé",IF($M2456="Oui","Litige",IF($O2456=0,"À échoir",IF($O2456&lt;=30,"0-30",IF($O2456&lt;=60,"31-60",IF($O2456&lt;=90,"61-90","90+")))))))</f>
        <v/>
      </c>
    </row>
    <row r="2457">
      <c r="A2457" s="6" t="n"/>
      <c r="B2457" s="6" t="n"/>
      <c r="C2457" s="6" t="n"/>
      <c r="D2457" s="6" t="n"/>
      <c r="E2457" s="6" t="n"/>
      <c r="F2457" s="7" t="n"/>
      <c r="G2457" s="7" t="n"/>
      <c r="H2457" s="8" t="n"/>
      <c r="I2457" s="9">
        <f>IF($A2457="","",SUMIFS(Ventes_Encaissements!$D$6:$D$3005,Ventes_Encaissements!$B$6:$B$3005,$A2457))</f>
        <v/>
      </c>
      <c r="J2457" s="9">
        <f>IF($A2457="","",$H2457-$I2457)</f>
        <v/>
      </c>
      <c r="K2457" s="10">
        <f>IF($A2457="","",IF($I2457=0,"",_xludf.AGGREGATE(14,6,Ventes_Encaissements!$C$6:$C$3005/(Ventes_Encaissements!$B$6:$B$3005=$A2457),1)))</f>
        <v/>
      </c>
      <c r="L2457" s="11">
        <f>IF($A2457="","",COUNTIFS(Ventes_Detail!$B$6:$B$3005,$A2457))</f>
        <v/>
      </c>
      <c r="M2457" s="12" t="n"/>
      <c r="N2457" s="12">
        <f>IF($A2457="","",IF($G2457="","",IF($M2457="Oui","Litige",IF($J2457&lt;=0,"Payé",IF($I2457&gt;0,"Partiel",IF(Listes!$B$3&gt;$G2457,"En retard","À échoir"))))))</f>
        <v/>
      </c>
      <c r="O2457" s="11">
        <f>IF($A2457="","",IF(OR($G2457="", $J2457&lt;=0),0,MAX(0,Listes!$B$3-$G2457)))</f>
        <v/>
      </c>
      <c r="P2457" s="12">
        <f>IF($A2457="","",IF($J2457&lt;=0,"Payé",IF($M2457="Oui","Litige",IF($O2457=0,"À échoir",IF($O2457&lt;=30,"0-30",IF($O2457&lt;=60,"31-60",IF($O2457&lt;=90,"61-90","90+")))))))</f>
        <v/>
      </c>
    </row>
    <row r="2458">
      <c r="A2458" s="6" t="n"/>
      <c r="B2458" s="6" t="n"/>
      <c r="C2458" s="6" t="n"/>
      <c r="D2458" s="6" t="n"/>
      <c r="E2458" s="6" t="n"/>
      <c r="F2458" s="7" t="n"/>
      <c r="G2458" s="7" t="n"/>
      <c r="H2458" s="8" t="n"/>
      <c r="I2458" s="9">
        <f>IF($A2458="","",SUMIFS(Ventes_Encaissements!$D$6:$D$3005,Ventes_Encaissements!$B$6:$B$3005,$A2458))</f>
        <v/>
      </c>
      <c r="J2458" s="9">
        <f>IF($A2458="","",$H2458-$I2458)</f>
        <v/>
      </c>
      <c r="K2458" s="10">
        <f>IF($A2458="","",IF($I2458=0,"",_xludf.AGGREGATE(14,6,Ventes_Encaissements!$C$6:$C$3005/(Ventes_Encaissements!$B$6:$B$3005=$A2458),1)))</f>
        <v/>
      </c>
      <c r="L2458" s="11">
        <f>IF($A2458="","",COUNTIFS(Ventes_Detail!$B$6:$B$3005,$A2458))</f>
        <v/>
      </c>
      <c r="M2458" s="12" t="n"/>
      <c r="N2458" s="12">
        <f>IF($A2458="","",IF($G2458="","",IF($M2458="Oui","Litige",IF($J2458&lt;=0,"Payé",IF($I2458&gt;0,"Partiel",IF(Listes!$B$3&gt;$G2458,"En retard","À échoir"))))))</f>
        <v/>
      </c>
      <c r="O2458" s="11">
        <f>IF($A2458="","",IF(OR($G2458="", $J2458&lt;=0),0,MAX(0,Listes!$B$3-$G2458)))</f>
        <v/>
      </c>
      <c r="P2458" s="12">
        <f>IF($A2458="","",IF($J2458&lt;=0,"Payé",IF($M2458="Oui","Litige",IF($O2458=0,"À échoir",IF($O2458&lt;=30,"0-30",IF($O2458&lt;=60,"31-60",IF($O2458&lt;=90,"61-90","90+")))))))</f>
        <v/>
      </c>
    </row>
    <row r="2459">
      <c r="A2459" s="6" t="n"/>
      <c r="B2459" s="6" t="n"/>
      <c r="C2459" s="6" t="n"/>
      <c r="D2459" s="6" t="n"/>
      <c r="E2459" s="6" t="n"/>
      <c r="F2459" s="7" t="n"/>
      <c r="G2459" s="7" t="n"/>
      <c r="H2459" s="8" t="n"/>
      <c r="I2459" s="9">
        <f>IF($A2459="","",SUMIFS(Ventes_Encaissements!$D$6:$D$3005,Ventes_Encaissements!$B$6:$B$3005,$A2459))</f>
        <v/>
      </c>
      <c r="J2459" s="9">
        <f>IF($A2459="","",$H2459-$I2459)</f>
        <v/>
      </c>
      <c r="K2459" s="10">
        <f>IF($A2459="","",IF($I2459=0,"",_xludf.AGGREGATE(14,6,Ventes_Encaissements!$C$6:$C$3005/(Ventes_Encaissements!$B$6:$B$3005=$A2459),1)))</f>
        <v/>
      </c>
      <c r="L2459" s="11">
        <f>IF($A2459="","",COUNTIFS(Ventes_Detail!$B$6:$B$3005,$A2459))</f>
        <v/>
      </c>
      <c r="M2459" s="12" t="n"/>
      <c r="N2459" s="12">
        <f>IF($A2459="","",IF($G2459="","",IF($M2459="Oui","Litige",IF($J2459&lt;=0,"Payé",IF($I2459&gt;0,"Partiel",IF(Listes!$B$3&gt;$G2459,"En retard","À échoir"))))))</f>
        <v/>
      </c>
      <c r="O2459" s="11">
        <f>IF($A2459="","",IF(OR($G2459="", $J2459&lt;=0),0,MAX(0,Listes!$B$3-$G2459)))</f>
        <v/>
      </c>
      <c r="P2459" s="12">
        <f>IF($A2459="","",IF($J2459&lt;=0,"Payé",IF($M2459="Oui","Litige",IF($O2459=0,"À échoir",IF($O2459&lt;=30,"0-30",IF($O2459&lt;=60,"31-60",IF($O2459&lt;=90,"61-90","90+")))))))</f>
        <v/>
      </c>
    </row>
    <row r="2460">
      <c r="A2460" s="6" t="n"/>
      <c r="B2460" s="6" t="n"/>
      <c r="C2460" s="6" t="n"/>
      <c r="D2460" s="6" t="n"/>
      <c r="E2460" s="6" t="n"/>
      <c r="F2460" s="7" t="n"/>
      <c r="G2460" s="7" t="n"/>
      <c r="H2460" s="8" t="n"/>
      <c r="I2460" s="9">
        <f>IF($A2460="","",SUMIFS(Ventes_Encaissements!$D$6:$D$3005,Ventes_Encaissements!$B$6:$B$3005,$A2460))</f>
        <v/>
      </c>
      <c r="J2460" s="9">
        <f>IF($A2460="","",$H2460-$I2460)</f>
        <v/>
      </c>
      <c r="K2460" s="10">
        <f>IF($A2460="","",IF($I2460=0,"",_xludf.AGGREGATE(14,6,Ventes_Encaissements!$C$6:$C$3005/(Ventes_Encaissements!$B$6:$B$3005=$A2460),1)))</f>
        <v/>
      </c>
      <c r="L2460" s="11">
        <f>IF($A2460="","",COUNTIFS(Ventes_Detail!$B$6:$B$3005,$A2460))</f>
        <v/>
      </c>
      <c r="M2460" s="12" t="n"/>
      <c r="N2460" s="12">
        <f>IF($A2460="","",IF($G2460="","",IF($M2460="Oui","Litige",IF($J2460&lt;=0,"Payé",IF($I2460&gt;0,"Partiel",IF(Listes!$B$3&gt;$G2460,"En retard","À échoir"))))))</f>
        <v/>
      </c>
      <c r="O2460" s="11">
        <f>IF($A2460="","",IF(OR($G2460="", $J2460&lt;=0),0,MAX(0,Listes!$B$3-$G2460)))</f>
        <v/>
      </c>
      <c r="P2460" s="12">
        <f>IF($A2460="","",IF($J2460&lt;=0,"Payé",IF($M2460="Oui","Litige",IF($O2460=0,"À échoir",IF($O2460&lt;=30,"0-30",IF($O2460&lt;=60,"31-60",IF($O2460&lt;=90,"61-90","90+")))))))</f>
        <v/>
      </c>
    </row>
    <row r="2461">
      <c r="A2461" s="6" t="n"/>
      <c r="B2461" s="6" t="n"/>
      <c r="C2461" s="6" t="n"/>
      <c r="D2461" s="6" t="n"/>
      <c r="E2461" s="6" t="n"/>
      <c r="F2461" s="7" t="n"/>
      <c r="G2461" s="7" t="n"/>
      <c r="H2461" s="8" t="n"/>
      <c r="I2461" s="9">
        <f>IF($A2461="","",SUMIFS(Ventes_Encaissements!$D$6:$D$3005,Ventes_Encaissements!$B$6:$B$3005,$A2461))</f>
        <v/>
      </c>
      <c r="J2461" s="9">
        <f>IF($A2461="","",$H2461-$I2461)</f>
        <v/>
      </c>
      <c r="K2461" s="10">
        <f>IF($A2461="","",IF($I2461=0,"",_xludf.AGGREGATE(14,6,Ventes_Encaissements!$C$6:$C$3005/(Ventes_Encaissements!$B$6:$B$3005=$A2461),1)))</f>
        <v/>
      </c>
      <c r="L2461" s="11">
        <f>IF($A2461="","",COUNTIFS(Ventes_Detail!$B$6:$B$3005,$A2461))</f>
        <v/>
      </c>
      <c r="M2461" s="12" t="n"/>
      <c r="N2461" s="12">
        <f>IF($A2461="","",IF($G2461="","",IF($M2461="Oui","Litige",IF($J2461&lt;=0,"Payé",IF($I2461&gt;0,"Partiel",IF(Listes!$B$3&gt;$G2461,"En retard","À échoir"))))))</f>
        <v/>
      </c>
      <c r="O2461" s="11">
        <f>IF($A2461="","",IF(OR($G2461="", $J2461&lt;=0),0,MAX(0,Listes!$B$3-$G2461)))</f>
        <v/>
      </c>
      <c r="P2461" s="12">
        <f>IF($A2461="","",IF($J2461&lt;=0,"Payé",IF($M2461="Oui","Litige",IF($O2461=0,"À échoir",IF($O2461&lt;=30,"0-30",IF($O2461&lt;=60,"31-60",IF($O2461&lt;=90,"61-90","90+")))))))</f>
        <v/>
      </c>
    </row>
    <row r="2462">
      <c r="A2462" s="6" t="n"/>
      <c r="B2462" s="6" t="n"/>
      <c r="C2462" s="6" t="n"/>
      <c r="D2462" s="6" t="n"/>
      <c r="E2462" s="6" t="n"/>
      <c r="F2462" s="7" t="n"/>
      <c r="G2462" s="7" t="n"/>
      <c r="H2462" s="8" t="n"/>
      <c r="I2462" s="9">
        <f>IF($A2462="","",SUMIFS(Ventes_Encaissements!$D$6:$D$3005,Ventes_Encaissements!$B$6:$B$3005,$A2462))</f>
        <v/>
      </c>
      <c r="J2462" s="9">
        <f>IF($A2462="","",$H2462-$I2462)</f>
        <v/>
      </c>
      <c r="K2462" s="10">
        <f>IF($A2462="","",IF($I2462=0,"",_xludf.AGGREGATE(14,6,Ventes_Encaissements!$C$6:$C$3005/(Ventes_Encaissements!$B$6:$B$3005=$A2462),1)))</f>
        <v/>
      </c>
      <c r="L2462" s="11">
        <f>IF($A2462="","",COUNTIFS(Ventes_Detail!$B$6:$B$3005,$A2462))</f>
        <v/>
      </c>
      <c r="M2462" s="12" t="n"/>
      <c r="N2462" s="12">
        <f>IF($A2462="","",IF($G2462="","",IF($M2462="Oui","Litige",IF($J2462&lt;=0,"Payé",IF($I2462&gt;0,"Partiel",IF(Listes!$B$3&gt;$G2462,"En retard","À échoir"))))))</f>
        <v/>
      </c>
      <c r="O2462" s="11">
        <f>IF($A2462="","",IF(OR($G2462="", $J2462&lt;=0),0,MAX(0,Listes!$B$3-$G2462)))</f>
        <v/>
      </c>
      <c r="P2462" s="12">
        <f>IF($A2462="","",IF($J2462&lt;=0,"Payé",IF($M2462="Oui","Litige",IF($O2462=0,"À échoir",IF($O2462&lt;=30,"0-30",IF($O2462&lt;=60,"31-60",IF($O2462&lt;=90,"61-90","90+")))))))</f>
        <v/>
      </c>
    </row>
    <row r="2463">
      <c r="A2463" s="6" t="n"/>
      <c r="B2463" s="6" t="n"/>
      <c r="C2463" s="6" t="n"/>
      <c r="D2463" s="6" t="n"/>
      <c r="E2463" s="6" t="n"/>
      <c r="F2463" s="7" t="n"/>
      <c r="G2463" s="7" t="n"/>
      <c r="H2463" s="8" t="n"/>
      <c r="I2463" s="9">
        <f>IF($A2463="","",SUMIFS(Ventes_Encaissements!$D$6:$D$3005,Ventes_Encaissements!$B$6:$B$3005,$A2463))</f>
        <v/>
      </c>
      <c r="J2463" s="9">
        <f>IF($A2463="","",$H2463-$I2463)</f>
        <v/>
      </c>
      <c r="K2463" s="10">
        <f>IF($A2463="","",IF($I2463=0,"",_xludf.AGGREGATE(14,6,Ventes_Encaissements!$C$6:$C$3005/(Ventes_Encaissements!$B$6:$B$3005=$A2463),1)))</f>
        <v/>
      </c>
      <c r="L2463" s="11">
        <f>IF($A2463="","",COUNTIFS(Ventes_Detail!$B$6:$B$3005,$A2463))</f>
        <v/>
      </c>
      <c r="M2463" s="12" t="n"/>
      <c r="N2463" s="12">
        <f>IF($A2463="","",IF($G2463="","",IF($M2463="Oui","Litige",IF($J2463&lt;=0,"Payé",IF($I2463&gt;0,"Partiel",IF(Listes!$B$3&gt;$G2463,"En retard","À échoir"))))))</f>
        <v/>
      </c>
      <c r="O2463" s="11">
        <f>IF($A2463="","",IF(OR($G2463="", $J2463&lt;=0),0,MAX(0,Listes!$B$3-$G2463)))</f>
        <v/>
      </c>
      <c r="P2463" s="12">
        <f>IF($A2463="","",IF($J2463&lt;=0,"Payé",IF($M2463="Oui","Litige",IF($O2463=0,"À échoir",IF($O2463&lt;=30,"0-30",IF($O2463&lt;=60,"31-60",IF($O2463&lt;=90,"61-90","90+")))))))</f>
        <v/>
      </c>
    </row>
    <row r="2464">
      <c r="A2464" s="6" t="n"/>
      <c r="B2464" s="6" t="n"/>
      <c r="C2464" s="6" t="n"/>
      <c r="D2464" s="6" t="n"/>
      <c r="E2464" s="6" t="n"/>
      <c r="F2464" s="7" t="n"/>
      <c r="G2464" s="7" t="n"/>
      <c r="H2464" s="8" t="n"/>
      <c r="I2464" s="9">
        <f>IF($A2464="","",SUMIFS(Ventes_Encaissements!$D$6:$D$3005,Ventes_Encaissements!$B$6:$B$3005,$A2464))</f>
        <v/>
      </c>
      <c r="J2464" s="9">
        <f>IF($A2464="","",$H2464-$I2464)</f>
        <v/>
      </c>
      <c r="K2464" s="10">
        <f>IF($A2464="","",IF($I2464=0,"",_xludf.AGGREGATE(14,6,Ventes_Encaissements!$C$6:$C$3005/(Ventes_Encaissements!$B$6:$B$3005=$A2464),1)))</f>
        <v/>
      </c>
      <c r="L2464" s="11">
        <f>IF($A2464="","",COUNTIFS(Ventes_Detail!$B$6:$B$3005,$A2464))</f>
        <v/>
      </c>
      <c r="M2464" s="12" t="n"/>
      <c r="N2464" s="12">
        <f>IF($A2464="","",IF($G2464="","",IF($M2464="Oui","Litige",IF($J2464&lt;=0,"Payé",IF($I2464&gt;0,"Partiel",IF(Listes!$B$3&gt;$G2464,"En retard","À échoir"))))))</f>
        <v/>
      </c>
      <c r="O2464" s="11">
        <f>IF($A2464="","",IF(OR($G2464="", $J2464&lt;=0),0,MAX(0,Listes!$B$3-$G2464)))</f>
        <v/>
      </c>
      <c r="P2464" s="12">
        <f>IF($A2464="","",IF($J2464&lt;=0,"Payé",IF($M2464="Oui","Litige",IF($O2464=0,"À échoir",IF($O2464&lt;=30,"0-30",IF($O2464&lt;=60,"31-60",IF($O2464&lt;=90,"61-90","90+")))))))</f>
        <v/>
      </c>
    </row>
    <row r="2465">
      <c r="A2465" s="6" t="n"/>
      <c r="B2465" s="6" t="n"/>
      <c r="C2465" s="6" t="n"/>
      <c r="D2465" s="6" t="n"/>
      <c r="E2465" s="6" t="n"/>
      <c r="F2465" s="7" t="n"/>
      <c r="G2465" s="7" t="n"/>
      <c r="H2465" s="8" t="n"/>
      <c r="I2465" s="9">
        <f>IF($A2465="","",SUMIFS(Ventes_Encaissements!$D$6:$D$3005,Ventes_Encaissements!$B$6:$B$3005,$A2465))</f>
        <v/>
      </c>
      <c r="J2465" s="9">
        <f>IF($A2465="","",$H2465-$I2465)</f>
        <v/>
      </c>
      <c r="K2465" s="10">
        <f>IF($A2465="","",IF($I2465=0,"",_xludf.AGGREGATE(14,6,Ventes_Encaissements!$C$6:$C$3005/(Ventes_Encaissements!$B$6:$B$3005=$A2465),1)))</f>
        <v/>
      </c>
      <c r="L2465" s="11">
        <f>IF($A2465="","",COUNTIFS(Ventes_Detail!$B$6:$B$3005,$A2465))</f>
        <v/>
      </c>
      <c r="M2465" s="12" t="n"/>
      <c r="N2465" s="12">
        <f>IF($A2465="","",IF($G2465="","",IF($M2465="Oui","Litige",IF($J2465&lt;=0,"Payé",IF($I2465&gt;0,"Partiel",IF(Listes!$B$3&gt;$G2465,"En retard","À échoir"))))))</f>
        <v/>
      </c>
      <c r="O2465" s="11">
        <f>IF($A2465="","",IF(OR($G2465="", $J2465&lt;=0),0,MAX(0,Listes!$B$3-$G2465)))</f>
        <v/>
      </c>
      <c r="P2465" s="12">
        <f>IF($A2465="","",IF($J2465&lt;=0,"Payé",IF($M2465="Oui","Litige",IF($O2465=0,"À échoir",IF($O2465&lt;=30,"0-30",IF($O2465&lt;=60,"31-60",IF($O2465&lt;=90,"61-90","90+")))))))</f>
        <v/>
      </c>
    </row>
    <row r="2466">
      <c r="A2466" s="6" t="n"/>
      <c r="B2466" s="6" t="n"/>
      <c r="C2466" s="6" t="n"/>
      <c r="D2466" s="6" t="n"/>
      <c r="E2466" s="6" t="n"/>
      <c r="F2466" s="7" t="n"/>
      <c r="G2466" s="7" t="n"/>
      <c r="H2466" s="8" t="n"/>
      <c r="I2466" s="9">
        <f>IF($A2466="","",SUMIFS(Ventes_Encaissements!$D$6:$D$3005,Ventes_Encaissements!$B$6:$B$3005,$A2466))</f>
        <v/>
      </c>
      <c r="J2466" s="9">
        <f>IF($A2466="","",$H2466-$I2466)</f>
        <v/>
      </c>
      <c r="K2466" s="10">
        <f>IF($A2466="","",IF($I2466=0,"",_xludf.AGGREGATE(14,6,Ventes_Encaissements!$C$6:$C$3005/(Ventes_Encaissements!$B$6:$B$3005=$A2466),1)))</f>
        <v/>
      </c>
      <c r="L2466" s="11">
        <f>IF($A2466="","",COUNTIFS(Ventes_Detail!$B$6:$B$3005,$A2466))</f>
        <v/>
      </c>
      <c r="M2466" s="12" t="n"/>
      <c r="N2466" s="12">
        <f>IF($A2466="","",IF($G2466="","",IF($M2466="Oui","Litige",IF($J2466&lt;=0,"Payé",IF($I2466&gt;0,"Partiel",IF(Listes!$B$3&gt;$G2466,"En retard","À échoir"))))))</f>
        <v/>
      </c>
      <c r="O2466" s="11">
        <f>IF($A2466="","",IF(OR($G2466="", $J2466&lt;=0),0,MAX(0,Listes!$B$3-$G2466)))</f>
        <v/>
      </c>
      <c r="P2466" s="12">
        <f>IF($A2466="","",IF($J2466&lt;=0,"Payé",IF($M2466="Oui","Litige",IF($O2466=0,"À échoir",IF($O2466&lt;=30,"0-30",IF($O2466&lt;=60,"31-60",IF($O2466&lt;=90,"61-90","90+")))))))</f>
        <v/>
      </c>
    </row>
    <row r="2467">
      <c r="A2467" s="6" t="n"/>
      <c r="B2467" s="6" t="n"/>
      <c r="C2467" s="6" t="n"/>
      <c r="D2467" s="6" t="n"/>
      <c r="E2467" s="6" t="n"/>
      <c r="F2467" s="7" t="n"/>
      <c r="G2467" s="7" t="n"/>
      <c r="H2467" s="8" t="n"/>
      <c r="I2467" s="9">
        <f>IF($A2467="","",SUMIFS(Ventes_Encaissements!$D$6:$D$3005,Ventes_Encaissements!$B$6:$B$3005,$A2467))</f>
        <v/>
      </c>
      <c r="J2467" s="9">
        <f>IF($A2467="","",$H2467-$I2467)</f>
        <v/>
      </c>
      <c r="K2467" s="10">
        <f>IF($A2467="","",IF($I2467=0,"",_xludf.AGGREGATE(14,6,Ventes_Encaissements!$C$6:$C$3005/(Ventes_Encaissements!$B$6:$B$3005=$A2467),1)))</f>
        <v/>
      </c>
      <c r="L2467" s="11">
        <f>IF($A2467="","",COUNTIFS(Ventes_Detail!$B$6:$B$3005,$A2467))</f>
        <v/>
      </c>
      <c r="M2467" s="12" t="n"/>
      <c r="N2467" s="12">
        <f>IF($A2467="","",IF($G2467="","",IF($M2467="Oui","Litige",IF($J2467&lt;=0,"Payé",IF($I2467&gt;0,"Partiel",IF(Listes!$B$3&gt;$G2467,"En retard","À échoir"))))))</f>
        <v/>
      </c>
      <c r="O2467" s="11">
        <f>IF($A2467="","",IF(OR($G2467="", $J2467&lt;=0),0,MAX(0,Listes!$B$3-$G2467)))</f>
        <v/>
      </c>
      <c r="P2467" s="12">
        <f>IF($A2467="","",IF($J2467&lt;=0,"Payé",IF($M2467="Oui","Litige",IF($O2467=0,"À échoir",IF($O2467&lt;=30,"0-30",IF($O2467&lt;=60,"31-60",IF($O2467&lt;=90,"61-90","90+")))))))</f>
        <v/>
      </c>
    </row>
    <row r="2468">
      <c r="A2468" s="6" t="n"/>
      <c r="B2468" s="6" t="n"/>
      <c r="C2468" s="6" t="n"/>
      <c r="D2468" s="6" t="n"/>
      <c r="E2468" s="6" t="n"/>
      <c r="F2468" s="7" t="n"/>
      <c r="G2468" s="7" t="n"/>
      <c r="H2468" s="8" t="n"/>
      <c r="I2468" s="9">
        <f>IF($A2468="","",SUMIFS(Ventes_Encaissements!$D$6:$D$3005,Ventes_Encaissements!$B$6:$B$3005,$A2468))</f>
        <v/>
      </c>
      <c r="J2468" s="9">
        <f>IF($A2468="","",$H2468-$I2468)</f>
        <v/>
      </c>
      <c r="K2468" s="10">
        <f>IF($A2468="","",IF($I2468=0,"",_xludf.AGGREGATE(14,6,Ventes_Encaissements!$C$6:$C$3005/(Ventes_Encaissements!$B$6:$B$3005=$A2468),1)))</f>
        <v/>
      </c>
      <c r="L2468" s="11">
        <f>IF($A2468="","",COUNTIFS(Ventes_Detail!$B$6:$B$3005,$A2468))</f>
        <v/>
      </c>
      <c r="M2468" s="12" t="n"/>
      <c r="N2468" s="12">
        <f>IF($A2468="","",IF($G2468="","",IF($M2468="Oui","Litige",IF($J2468&lt;=0,"Payé",IF($I2468&gt;0,"Partiel",IF(Listes!$B$3&gt;$G2468,"En retard","À échoir"))))))</f>
        <v/>
      </c>
      <c r="O2468" s="11">
        <f>IF($A2468="","",IF(OR($G2468="", $J2468&lt;=0),0,MAX(0,Listes!$B$3-$G2468)))</f>
        <v/>
      </c>
      <c r="P2468" s="12">
        <f>IF($A2468="","",IF($J2468&lt;=0,"Payé",IF($M2468="Oui","Litige",IF($O2468=0,"À échoir",IF($O2468&lt;=30,"0-30",IF($O2468&lt;=60,"31-60",IF($O2468&lt;=90,"61-90","90+")))))))</f>
        <v/>
      </c>
    </row>
    <row r="2469">
      <c r="A2469" s="6" t="n"/>
      <c r="B2469" s="6" t="n"/>
      <c r="C2469" s="6" t="n"/>
      <c r="D2469" s="6" t="n"/>
      <c r="E2469" s="6" t="n"/>
      <c r="F2469" s="7" t="n"/>
      <c r="G2469" s="7" t="n"/>
      <c r="H2469" s="8" t="n"/>
      <c r="I2469" s="9">
        <f>IF($A2469="","",SUMIFS(Ventes_Encaissements!$D$6:$D$3005,Ventes_Encaissements!$B$6:$B$3005,$A2469))</f>
        <v/>
      </c>
      <c r="J2469" s="9">
        <f>IF($A2469="","",$H2469-$I2469)</f>
        <v/>
      </c>
      <c r="K2469" s="10">
        <f>IF($A2469="","",IF($I2469=0,"",_xludf.AGGREGATE(14,6,Ventes_Encaissements!$C$6:$C$3005/(Ventes_Encaissements!$B$6:$B$3005=$A2469),1)))</f>
        <v/>
      </c>
      <c r="L2469" s="11">
        <f>IF($A2469="","",COUNTIFS(Ventes_Detail!$B$6:$B$3005,$A2469))</f>
        <v/>
      </c>
      <c r="M2469" s="12" t="n"/>
      <c r="N2469" s="12">
        <f>IF($A2469="","",IF($G2469="","",IF($M2469="Oui","Litige",IF($J2469&lt;=0,"Payé",IF($I2469&gt;0,"Partiel",IF(Listes!$B$3&gt;$G2469,"En retard","À échoir"))))))</f>
        <v/>
      </c>
      <c r="O2469" s="11">
        <f>IF($A2469="","",IF(OR($G2469="", $J2469&lt;=0),0,MAX(0,Listes!$B$3-$G2469)))</f>
        <v/>
      </c>
      <c r="P2469" s="12">
        <f>IF($A2469="","",IF($J2469&lt;=0,"Payé",IF($M2469="Oui","Litige",IF($O2469=0,"À échoir",IF($O2469&lt;=30,"0-30",IF($O2469&lt;=60,"31-60",IF($O2469&lt;=90,"61-90","90+")))))))</f>
        <v/>
      </c>
    </row>
    <row r="2470">
      <c r="A2470" s="6" t="n"/>
      <c r="B2470" s="6" t="n"/>
      <c r="C2470" s="6" t="n"/>
      <c r="D2470" s="6" t="n"/>
      <c r="E2470" s="6" t="n"/>
      <c r="F2470" s="7" t="n"/>
      <c r="G2470" s="7" t="n"/>
      <c r="H2470" s="8" t="n"/>
      <c r="I2470" s="9">
        <f>IF($A2470="","",SUMIFS(Ventes_Encaissements!$D$6:$D$3005,Ventes_Encaissements!$B$6:$B$3005,$A2470))</f>
        <v/>
      </c>
      <c r="J2470" s="9">
        <f>IF($A2470="","",$H2470-$I2470)</f>
        <v/>
      </c>
      <c r="K2470" s="10">
        <f>IF($A2470="","",IF($I2470=0,"",_xludf.AGGREGATE(14,6,Ventes_Encaissements!$C$6:$C$3005/(Ventes_Encaissements!$B$6:$B$3005=$A2470),1)))</f>
        <v/>
      </c>
      <c r="L2470" s="11">
        <f>IF($A2470="","",COUNTIFS(Ventes_Detail!$B$6:$B$3005,$A2470))</f>
        <v/>
      </c>
      <c r="M2470" s="12" t="n"/>
      <c r="N2470" s="12">
        <f>IF($A2470="","",IF($G2470="","",IF($M2470="Oui","Litige",IF($J2470&lt;=0,"Payé",IF($I2470&gt;0,"Partiel",IF(Listes!$B$3&gt;$G2470,"En retard","À échoir"))))))</f>
        <v/>
      </c>
      <c r="O2470" s="11">
        <f>IF($A2470="","",IF(OR($G2470="", $J2470&lt;=0),0,MAX(0,Listes!$B$3-$G2470)))</f>
        <v/>
      </c>
      <c r="P2470" s="12">
        <f>IF($A2470="","",IF($J2470&lt;=0,"Payé",IF($M2470="Oui","Litige",IF($O2470=0,"À échoir",IF($O2470&lt;=30,"0-30",IF($O2470&lt;=60,"31-60",IF($O2470&lt;=90,"61-90","90+")))))))</f>
        <v/>
      </c>
    </row>
    <row r="2471">
      <c r="A2471" s="6" t="n"/>
      <c r="B2471" s="6" t="n"/>
      <c r="C2471" s="6" t="n"/>
      <c r="D2471" s="6" t="n"/>
      <c r="E2471" s="6" t="n"/>
      <c r="F2471" s="7" t="n"/>
      <c r="G2471" s="7" t="n"/>
      <c r="H2471" s="8" t="n"/>
      <c r="I2471" s="9">
        <f>IF($A2471="","",SUMIFS(Ventes_Encaissements!$D$6:$D$3005,Ventes_Encaissements!$B$6:$B$3005,$A2471))</f>
        <v/>
      </c>
      <c r="J2471" s="9">
        <f>IF($A2471="","",$H2471-$I2471)</f>
        <v/>
      </c>
      <c r="K2471" s="10">
        <f>IF($A2471="","",IF($I2471=0,"",_xludf.AGGREGATE(14,6,Ventes_Encaissements!$C$6:$C$3005/(Ventes_Encaissements!$B$6:$B$3005=$A2471),1)))</f>
        <v/>
      </c>
      <c r="L2471" s="11">
        <f>IF($A2471="","",COUNTIFS(Ventes_Detail!$B$6:$B$3005,$A2471))</f>
        <v/>
      </c>
      <c r="M2471" s="12" t="n"/>
      <c r="N2471" s="12">
        <f>IF($A2471="","",IF($G2471="","",IF($M2471="Oui","Litige",IF($J2471&lt;=0,"Payé",IF($I2471&gt;0,"Partiel",IF(Listes!$B$3&gt;$G2471,"En retard","À échoir"))))))</f>
        <v/>
      </c>
      <c r="O2471" s="11">
        <f>IF($A2471="","",IF(OR($G2471="", $J2471&lt;=0),0,MAX(0,Listes!$B$3-$G2471)))</f>
        <v/>
      </c>
      <c r="P2471" s="12">
        <f>IF($A2471="","",IF($J2471&lt;=0,"Payé",IF($M2471="Oui","Litige",IF($O2471=0,"À échoir",IF($O2471&lt;=30,"0-30",IF($O2471&lt;=60,"31-60",IF($O2471&lt;=90,"61-90","90+")))))))</f>
        <v/>
      </c>
    </row>
    <row r="2472">
      <c r="A2472" s="6" t="n"/>
      <c r="B2472" s="6" t="n"/>
      <c r="C2472" s="6" t="n"/>
      <c r="D2472" s="6" t="n"/>
      <c r="E2472" s="6" t="n"/>
      <c r="F2472" s="7" t="n"/>
      <c r="G2472" s="7" t="n"/>
      <c r="H2472" s="8" t="n"/>
      <c r="I2472" s="9">
        <f>IF($A2472="","",SUMIFS(Ventes_Encaissements!$D$6:$D$3005,Ventes_Encaissements!$B$6:$B$3005,$A2472))</f>
        <v/>
      </c>
      <c r="J2472" s="9">
        <f>IF($A2472="","",$H2472-$I2472)</f>
        <v/>
      </c>
      <c r="K2472" s="10">
        <f>IF($A2472="","",IF($I2472=0,"",_xludf.AGGREGATE(14,6,Ventes_Encaissements!$C$6:$C$3005/(Ventes_Encaissements!$B$6:$B$3005=$A2472),1)))</f>
        <v/>
      </c>
      <c r="L2472" s="11">
        <f>IF($A2472="","",COUNTIFS(Ventes_Detail!$B$6:$B$3005,$A2472))</f>
        <v/>
      </c>
      <c r="M2472" s="12" t="n"/>
      <c r="N2472" s="12">
        <f>IF($A2472="","",IF($G2472="","",IF($M2472="Oui","Litige",IF($J2472&lt;=0,"Payé",IF($I2472&gt;0,"Partiel",IF(Listes!$B$3&gt;$G2472,"En retard","À échoir"))))))</f>
        <v/>
      </c>
      <c r="O2472" s="11">
        <f>IF($A2472="","",IF(OR($G2472="", $J2472&lt;=0),0,MAX(0,Listes!$B$3-$G2472)))</f>
        <v/>
      </c>
      <c r="P2472" s="12">
        <f>IF($A2472="","",IF($J2472&lt;=0,"Payé",IF($M2472="Oui","Litige",IF($O2472=0,"À échoir",IF($O2472&lt;=30,"0-30",IF($O2472&lt;=60,"31-60",IF($O2472&lt;=90,"61-90","90+")))))))</f>
        <v/>
      </c>
    </row>
    <row r="2473">
      <c r="A2473" s="6" t="n"/>
      <c r="B2473" s="6" t="n"/>
      <c r="C2473" s="6" t="n"/>
      <c r="D2473" s="6" t="n"/>
      <c r="E2473" s="6" t="n"/>
      <c r="F2473" s="7" t="n"/>
      <c r="G2473" s="7" t="n"/>
      <c r="H2473" s="8" t="n"/>
      <c r="I2473" s="9">
        <f>IF($A2473="","",SUMIFS(Ventes_Encaissements!$D$6:$D$3005,Ventes_Encaissements!$B$6:$B$3005,$A2473))</f>
        <v/>
      </c>
      <c r="J2473" s="9">
        <f>IF($A2473="","",$H2473-$I2473)</f>
        <v/>
      </c>
      <c r="K2473" s="10">
        <f>IF($A2473="","",IF($I2473=0,"",_xludf.AGGREGATE(14,6,Ventes_Encaissements!$C$6:$C$3005/(Ventes_Encaissements!$B$6:$B$3005=$A2473),1)))</f>
        <v/>
      </c>
      <c r="L2473" s="11">
        <f>IF($A2473="","",COUNTIFS(Ventes_Detail!$B$6:$B$3005,$A2473))</f>
        <v/>
      </c>
      <c r="M2473" s="12" t="n"/>
      <c r="N2473" s="12">
        <f>IF($A2473="","",IF($G2473="","",IF($M2473="Oui","Litige",IF($J2473&lt;=0,"Payé",IF($I2473&gt;0,"Partiel",IF(Listes!$B$3&gt;$G2473,"En retard","À échoir"))))))</f>
        <v/>
      </c>
      <c r="O2473" s="11">
        <f>IF($A2473="","",IF(OR($G2473="", $J2473&lt;=0),0,MAX(0,Listes!$B$3-$G2473)))</f>
        <v/>
      </c>
      <c r="P2473" s="12">
        <f>IF($A2473="","",IF($J2473&lt;=0,"Payé",IF($M2473="Oui","Litige",IF($O2473=0,"À échoir",IF($O2473&lt;=30,"0-30",IF($O2473&lt;=60,"31-60",IF($O2473&lt;=90,"61-90","90+")))))))</f>
        <v/>
      </c>
    </row>
    <row r="2474">
      <c r="A2474" s="6" t="n"/>
      <c r="B2474" s="6" t="n"/>
      <c r="C2474" s="6" t="n"/>
      <c r="D2474" s="6" t="n"/>
      <c r="E2474" s="6" t="n"/>
      <c r="F2474" s="7" t="n"/>
      <c r="G2474" s="7" t="n"/>
      <c r="H2474" s="8" t="n"/>
      <c r="I2474" s="9">
        <f>IF($A2474="","",SUMIFS(Ventes_Encaissements!$D$6:$D$3005,Ventes_Encaissements!$B$6:$B$3005,$A2474))</f>
        <v/>
      </c>
      <c r="J2474" s="9">
        <f>IF($A2474="","",$H2474-$I2474)</f>
        <v/>
      </c>
      <c r="K2474" s="10">
        <f>IF($A2474="","",IF($I2474=0,"",_xludf.AGGREGATE(14,6,Ventes_Encaissements!$C$6:$C$3005/(Ventes_Encaissements!$B$6:$B$3005=$A2474),1)))</f>
        <v/>
      </c>
      <c r="L2474" s="11">
        <f>IF($A2474="","",COUNTIFS(Ventes_Detail!$B$6:$B$3005,$A2474))</f>
        <v/>
      </c>
      <c r="M2474" s="12" t="n"/>
      <c r="N2474" s="12">
        <f>IF($A2474="","",IF($G2474="","",IF($M2474="Oui","Litige",IF($J2474&lt;=0,"Payé",IF($I2474&gt;0,"Partiel",IF(Listes!$B$3&gt;$G2474,"En retard","À échoir"))))))</f>
        <v/>
      </c>
      <c r="O2474" s="11">
        <f>IF($A2474="","",IF(OR($G2474="", $J2474&lt;=0),0,MAX(0,Listes!$B$3-$G2474)))</f>
        <v/>
      </c>
      <c r="P2474" s="12">
        <f>IF($A2474="","",IF($J2474&lt;=0,"Payé",IF($M2474="Oui","Litige",IF($O2474=0,"À échoir",IF($O2474&lt;=30,"0-30",IF($O2474&lt;=60,"31-60",IF($O2474&lt;=90,"61-90","90+")))))))</f>
        <v/>
      </c>
    </row>
    <row r="2475">
      <c r="A2475" s="6" t="n"/>
      <c r="B2475" s="6" t="n"/>
      <c r="C2475" s="6" t="n"/>
      <c r="D2475" s="6" t="n"/>
      <c r="E2475" s="6" t="n"/>
      <c r="F2475" s="7" t="n"/>
      <c r="G2475" s="7" t="n"/>
      <c r="H2475" s="8" t="n"/>
      <c r="I2475" s="9">
        <f>IF($A2475="","",SUMIFS(Ventes_Encaissements!$D$6:$D$3005,Ventes_Encaissements!$B$6:$B$3005,$A2475))</f>
        <v/>
      </c>
      <c r="J2475" s="9">
        <f>IF($A2475="","",$H2475-$I2475)</f>
        <v/>
      </c>
      <c r="K2475" s="10">
        <f>IF($A2475="","",IF($I2475=0,"",_xludf.AGGREGATE(14,6,Ventes_Encaissements!$C$6:$C$3005/(Ventes_Encaissements!$B$6:$B$3005=$A2475),1)))</f>
        <v/>
      </c>
      <c r="L2475" s="11">
        <f>IF($A2475="","",COUNTIFS(Ventes_Detail!$B$6:$B$3005,$A2475))</f>
        <v/>
      </c>
      <c r="M2475" s="12" t="n"/>
      <c r="N2475" s="12">
        <f>IF($A2475="","",IF($G2475="","",IF($M2475="Oui","Litige",IF($J2475&lt;=0,"Payé",IF($I2475&gt;0,"Partiel",IF(Listes!$B$3&gt;$G2475,"En retard","À échoir"))))))</f>
        <v/>
      </c>
      <c r="O2475" s="11">
        <f>IF($A2475="","",IF(OR($G2475="", $J2475&lt;=0),0,MAX(0,Listes!$B$3-$G2475)))</f>
        <v/>
      </c>
      <c r="P2475" s="12">
        <f>IF($A2475="","",IF($J2475&lt;=0,"Payé",IF($M2475="Oui","Litige",IF($O2475=0,"À échoir",IF($O2475&lt;=30,"0-30",IF($O2475&lt;=60,"31-60",IF($O2475&lt;=90,"61-90","90+")))))))</f>
        <v/>
      </c>
    </row>
    <row r="2476">
      <c r="A2476" s="6" t="n"/>
      <c r="B2476" s="6" t="n"/>
      <c r="C2476" s="6" t="n"/>
      <c r="D2476" s="6" t="n"/>
      <c r="E2476" s="6" t="n"/>
      <c r="F2476" s="7" t="n"/>
      <c r="G2476" s="7" t="n"/>
      <c r="H2476" s="8" t="n"/>
      <c r="I2476" s="9">
        <f>IF($A2476="","",SUMIFS(Ventes_Encaissements!$D$6:$D$3005,Ventes_Encaissements!$B$6:$B$3005,$A2476))</f>
        <v/>
      </c>
      <c r="J2476" s="9">
        <f>IF($A2476="","",$H2476-$I2476)</f>
        <v/>
      </c>
      <c r="K2476" s="10">
        <f>IF($A2476="","",IF($I2476=0,"",_xludf.AGGREGATE(14,6,Ventes_Encaissements!$C$6:$C$3005/(Ventes_Encaissements!$B$6:$B$3005=$A2476),1)))</f>
        <v/>
      </c>
      <c r="L2476" s="11">
        <f>IF($A2476="","",COUNTIFS(Ventes_Detail!$B$6:$B$3005,$A2476))</f>
        <v/>
      </c>
      <c r="M2476" s="12" t="n"/>
      <c r="N2476" s="12">
        <f>IF($A2476="","",IF($G2476="","",IF($M2476="Oui","Litige",IF($J2476&lt;=0,"Payé",IF($I2476&gt;0,"Partiel",IF(Listes!$B$3&gt;$G2476,"En retard","À échoir"))))))</f>
        <v/>
      </c>
      <c r="O2476" s="11">
        <f>IF($A2476="","",IF(OR($G2476="", $J2476&lt;=0),0,MAX(0,Listes!$B$3-$G2476)))</f>
        <v/>
      </c>
      <c r="P2476" s="12">
        <f>IF($A2476="","",IF($J2476&lt;=0,"Payé",IF($M2476="Oui","Litige",IF($O2476=0,"À échoir",IF($O2476&lt;=30,"0-30",IF($O2476&lt;=60,"31-60",IF($O2476&lt;=90,"61-90","90+")))))))</f>
        <v/>
      </c>
    </row>
    <row r="2477">
      <c r="A2477" s="6" t="n"/>
      <c r="B2477" s="6" t="n"/>
      <c r="C2477" s="6" t="n"/>
      <c r="D2477" s="6" t="n"/>
      <c r="E2477" s="6" t="n"/>
      <c r="F2477" s="7" t="n"/>
      <c r="G2477" s="7" t="n"/>
      <c r="H2477" s="8" t="n"/>
      <c r="I2477" s="9">
        <f>IF($A2477="","",SUMIFS(Ventes_Encaissements!$D$6:$D$3005,Ventes_Encaissements!$B$6:$B$3005,$A2477))</f>
        <v/>
      </c>
      <c r="J2477" s="9">
        <f>IF($A2477="","",$H2477-$I2477)</f>
        <v/>
      </c>
      <c r="K2477" s="10">
        <f>IF($A2477="","",IF($I2477=0,"",_xludf.AGGREGATE(14,6,Ventes_Encaissements!$C$6:$C$3005/(Ventes_Encaissements!$B$6:$B$3005=$A2477),1)))</f>
        <v/>
      </c>
      <c r="L2477" s="11">
        <f>IF($A2477="","",COUNTIFS(Ventes_Detail!$B$6:$B$3005,$A2477))</f>
        <v/>
      </c>
      <c r="M2477" s="12" t="n"/>
      <c r="N2477" s="12">
        <f>IF($A2477="","",IF($G2477="","",IF($M2477="Oui","Litige",IF($J2477&lt;=0,"Payé",IF($I2477&gt;0,"Partiel",IF(Listes!$B$3&gt;$G2477,"En retard","À échoir"))))))</f>
        <v/>
      </c>
      <c r="O2477" s="11">
        <f>IF($A2477="","",IF(OR($G2477="", $J2477&lt;=0),0,MAX(0,Listes!$B$3-$G2477)))</f>
        <v/>
      </c>
      <c r="P2477" s="12">
        <f>IF($A2477="","",IF($J2477&lt;=0,"Payé",IF($M2477="Oui","Litige",IF($O2477=0,"À échoir",IF($O2477&lt;=30,"0-30",IF($O2477&lt;=60,"31-60",IF($O2477&lt;=90,"61-90","90+")))))))</f>
        <v/>
      </c>
    </row>
    <row r="2478">
      <c r="A2478" s="6" t="n"/>
      <c r="B2478" s="6" t="n"/>
      <c r="C2478" s="6" t="n"/>
      <c r="D2478" s="6" t="n"/>
      <c r="E2478" s="6" t="n"/>
      <c r="F2478" s="7" t="n"/>
      <c r="G2478" s="7" t="n"/>
      <c r="H2478" s="8" t="n"/>
      <c r="I2478" s="9">
        <f>IF($A2478="","",SUMIFS(Ventes_Encaissements!$D$6:$D$3005,Ventes_Encaissements!$B$6:$B$3005,$A2478))</f>
        <v/>
      </c>
      <c r="J2478" s="9">
        <f>IF($A2478="","",$H2478-$I2478)</f>
        <v/>
      </c>
      <c r="K2478" s="10">
        <f>IF($A2478="","",IF($I2478=0,"",_xludf.AGGREGATE(14,6,Ventes_Encaissements!$C$6:$C$3005/(Ventes_Encaissements!$B$6:$B$3005=$A2478),1)))</f>
        <v/>
      </c>
      <c r="L2478" s="11">
        <f>IF($A2478="","",COUNTIFS(Ventes_Detail!$B$6:$B$3005,$A2478))</f>
        <v/>
      </c>
      <c r="M2478" s="12" t="n"/>
      <c r="N2478" s="12">
        <f>IF($A2478="","",IF($G2478="","",IF($M2478="Oui","Litige",IF($J2478&lt;=0,"Payé",IF($I2478&gt;0,"Partiel",IF(Listes!$B$3&gt;$G2478,"En retard","À échoir"))))))</f>
        <v/>
      </c>
      <c r="O2478" s="11">
        <f>IF($A2478="","",IF(OR($G2478="", $J2478&lt;=0),0,MAX(0,Listes!$B$3-$G2478)))</f>
        <v/>
      </c>
      <c r="P2478" s="12">
        <f>IF($A2478="","",IF($J2478&lt;=0,"Payé",IF($M2478="Oui","Litige",IF($O2478=0,"À échoir",IF($O2478&lt;=30,"0-30",IF($O2478&lt;=60,"31-60",IF($O2478&lt;=90,"61-90","90+")))))))</f>
        <v/>
      </c>
    </row>
    <row r="2479">
      <c r="A2479" s="6" t="n"/>
      <c r="B2479" s="6" t="n"/>
      <c r="C2479" s="6" t="n"/>
      <c r="D2479" s="6" t="n"/>
      <c r="E2479" s="6" t="n"/>
      <c r="F2479" s="7" t="n"/>
      <c r="G2479" s="7" t="n"/>
      <c r="H2479" s="8" t="n"/>
      <c r="I2479" s="9">
        <f>IF($A2479="","",SUMIFS(Ventes_Encaissements!$D$6:$D$3005,Ventes_Encaissements!$B$6:$B$3005,$A2479))</f>
        <v/>
      </c>
      <c r="J2479" s="9">
        <f>IF($A2479="","",$H2479-$I2479)</f>
        <v/>
      </c>
      <c r="K2479" s="10">
        <f>IF($A2479="","",IF($I2479=0,"",_xludf.AGGREGATE(14,6,Ventes_Encaissements!$C$6:$C$3005/(Ventes_Encaissements!$B$6:$B$3005=$A2479),1)))</f>
        <v/>
      </c>
      <c r="L2479" s="11">
        <f>IF($A2479="","",COUNTIFS(Ventes_Detail!$B$6:$B$3005,$A2479))</f>
        <v/>
      </c>
      <c r="M2479" s="12" t="n"/>
      <c r="N2479" s="12">
        <f>IF($A2479="","",IF($G2479="","",IF($M2479="Oui","Litige",IF($J2479&lt;=0,"Payé",IF($I2479&gt;0,"Partiel",IF(Listes!$B$3&gt;$G2479,"En retard","À échoir"))))))</f>
        <v/>
      </c>
      <c r="O2479" s="11">
        <f>IF($A2479="","",IF(OR($G2479="", $J2479&lt;=0),0,MAX(0,Listes!$B$3-$G2479)))</f>
        <v/>
      </c>
      <c r="P2479" s="12">
        <f>IF($A2479="","",IF($J2479&lt;=0,"Payé",IF($M2479="Oui","Litige",IF($O2479=0,"À échoir",IF($O2479&lt;=30,"0-30",IF($O2479&lt;=60,"31-60",IF($O2479&lt;=90,"61-90","90+")))))))</f>
        <v/>
      </c>
    </row>
    <row r="2480">
      <c r="A2480" s="6" t="n"/>
      <c r="B2480" s="6" t="n"/>
      <c r="C2480" s="6" t="n"/>
      <c r="D2480" s="6" t="n"/>
      <c r="E2480" s="6" t="n"/>
      <c r="F2480" s="7" t="n"/>
      <c r="G2480" s="7" t="n"/>
      <c r="H2480" s="8" t="n"/>
      <c r="I2480" s="9">
        <f>IF($A2480="","",SUMIFS(Ventes_Encaissements!$D$6:$D$3005,Ventes_Encaissements!$B$6:$B$3005,$A2480))</f>
        <v/>
      </c>
      <c r="J2480" s="9">
        <f>IF($A2480="","",$H2480-$I2480)</f>
        <v/>
      </c>
      <c r="K2480" s="10">
        <f>IF($A2480="","",IF($I2480=0,"",_xludf.AGGREGATE(14,6,Ventes_Encaissements!$C$6:$C$3005/(Ventes_Encaissements!$B$6:$B$3005=$A2480),1)))</f>
        <v/>
      </c>
      <c r="L2480" s="11">
        <f>IF($A2480="","",COUNTIFS(Ventes_Detail!$B$6:$B$3005,$A2480))</f>
        <v/>
      </c>
      <c r="M2480" s="12" t="n"/>
      <c r="N2480" s="12">
        <f>IF($A2480="","",IF($G2480="","",IF($M2480="Oui","Litige",IF($J2480&lt;=0,"Payé",IF($I2480&gt;0,"Partiel",IF(Listes!$B$3&gt;$G2480,"En retard","À échoir"))))))</f>
        <v/>
      </c>
      <c r="O2480" s="11">
        <f>IF($A2480="","",IF(OR($G2480="", $J2480&lt;=0),0,MAX(0,Listes!$B$3-$G2480)))</f>
        <v/>
      </c>
      <c r="P2480" s="12">
        <f>IF($A2480="","",IF($J2480&lt;=0,"Payé",IF($M2480="Oui","Litige",IF($O2480=0,"À échoir",IF($O2480&lt;=30,"0-30",IF($O2480&lt;=60,"31-60",IF($O2480&lt;=90,"61-90","90+")))))))</f>
        <v/>
      </c>
    </row>
    <row r="2481">
      <c r="A2481" s="6" t="n"/>
      <c r="B2481" s="6" t="n"/>
      <c r="C2481" s="6" t="n"/>
      <c r="D2481" s="6" t="n"/>
      <c r="E2481" s="6" t="n"/>
      <c r="F2481" s="7" t="n"/>
      <c r="G2481" s="7" t="n"/>
      <c r="H2481" s="8" t="n"/>
      <c r="I2481" s="9">
        <f>IF($A2481="","",SUMIFS(Ventes_Encaissements!$D$6:$D$3005,Ventes_Encaissements!$B$6:$B$3005,$A2481))</f>
        <v/>
      </c>
      <c r="J2481" s="9">
        <f>IF($A2481="","",$H2481-$I2481)</f>
        <v/>
      </c>
      <c r="K2481" s="10">
        <f>IF($A2481="","",IF($I2481=0,"",_xludf.AGGREGATE(14,6,Ventes_Encaissements!$C$6:$C$3005/(Ventes_Encaissements!$B$6:$B$3005=$A2481),1)))</f>
        <v/>
      </c>
      <c r="L2481" s="11">
        <f>IF($A2481="","",COUNTIFS(Ventes_Detail!$B$6:$B$3005,$A2481))</f>
        <v/>
      </c>
      <c r="M2481" s="12" t="n"/>
      <c r="N2481" s="12">
        <f>IF($A2481="","",IF($G2481="","",IF($M2481="Oui","Litige",IF($J2481&lt;=0,"Payé",IF($I2481&gt;0,"Partiel",IF(Listes!$B$3&gt;$G2481,"En retard","À échoir"))))))</f>
        <v/>
      </c>
      <c r="O2481" s="11">
        <f>IF($A2481="","",IF(OR($G2481="", $J2481&lt;=0),0,MAX(0,Listes!$B$3-$G2481)))</f>
        <v/>
      </c>
      <c r="P2481" s="12">
        <f>IF($A2481="","",IF($J2481&lt;=0,"Payé",IF($M2481="Oui","Litige",IF($O2481=0,"À échoir",IF($O2481&lt;=30,"0-30",IF($O2481&lt;=60,"31-60",IF($O2481&lt;=90,"61-90","90+")))))))</f>
        <v/>
      </c>
    </row>
    <row r="2482">
      <c r="A2482" s="6" t="n"/>
      <c r="B2482" s="6" t="n"/>
      <c r="C2482" s="6" t="n"/>
      <c r="D2482" s="6" t="n"/>
      <c r="E2482" s="6" t="n"/>
      <c r="F2482" s="7" t="n"/>
      <c r="G2482" s="7" t="n"/>
      <c r="H2482" s="8" t="n"/>
      <c r="I2482" s="9">
        <f>IF($A2482="","",SUMIFS(Ventes_Encaissements!$D$6:$D$3005,Ventes_Encaissements!$B$6:$B$3005,$A2482))</f>
        <v/>
      </c>
      <c r="J2482" s="9">
        <f>IF($A2482="","",$H2482-$I2482)</f>
        <v/>
      </c>
      <c r="K2482" s="10">
        <f>IF($A2482="","",IF($I2482=0,"",_xludf.AGGREGATE(14,6,Ventes_Encaissements!$C$6:$C$3005/(Ventes_Encaissements!$B$6:$B$3005=$A2482),1)))</f>
        <v/>
      </c>
      <c r="L2482" s="11">
        <f>IF($A2482="","",COUNTIFS(Ventes_Detail!$B$6:$B$3005,$A2482))</f>
        <v/>
      </c>
      <c r="M2482" s="12" t="n"/>
      <c r="N2482" s="12">
        <f>IF($A2482="","",IF($G2482="","",IF($M2482="Oui","Litige",IF($J2482&lt;=0,"Payé",IF($I2482&gt;0,"Partiel",IF(Listes!$B$3&gt;$G2482,"En retard","À échoir"))))))</f>
        <v/>
      </c>
      <c r="O2482" s="11">
        <f>IF($A2482="","",IF(OR($G2482="", $J2482&lt;=0),0,MAX(0,Listes!$B$3-$G2482)))</f>
        <v/>
      </c>
      <c r="P2482" s="12">
        <f>IF($A2482="","",IF($J2482&lt;=0,"Payé",IF($M2482="Oui","Litige",IF($O2482=0,"À échoir",IF($O2482&lt;=30,"0-30",IF($O2482&lt;=60,"31-60",IF($O2482&lt;=90,"61-90","90+")))))))</f>
        <v/>
      </c>
    </row>
    <row r="2483">
      <c r="A2483" s="6" t="n"/>
      <c r="B2483" s="6" t="n"/>
      <c r="C2483" s="6" t="n"/>
      <c r="D2483" s="6" t="n"/>
      <c r="E2483" s="6" t="n"/>
      <c r="F2483" s="7" t="n"/>
      <c r="G2483" s="7" t="n"/>
      <c r="H2483" s="8" t="n"/>
      <c r="I2483" s="9">
        <f>IF($A2483="","",SUMIFS(Ventes_Encaissements!$D$6:$D$3005,Ventes_Encaissements!$B$6:$B$3005,$A2483))</f>
        <v/>
      </c>
      <c r="J2483" s="9">
        <f>IF($A2483="","",$H2483-$I2483)</f>
        <v/>
      </c>
      <c r="K2483" s="10">
        <f>IF($A2483="","",IF($I2483=0,"",_xludf.AGGREGATE(14,6,Ventes_Encaissements!$C$6:$C$3005/(Ventes_Encaissements!$B$6:$B$3005=$A2483),1)))</f>
        <v/>
      </c>
      <c r="L2483" s="11">
        <f>IF($A2483="","",COUNTIFS(Ventes_Detail!$B$6:$B$3005,$A2483))</f>
        <v/>
      </c>
      <c r="M2483" s="12" t="n"/>
      <c r="N2483" s="12">
        <f>IF($A2483="","",IF($G2483="","",IF($M2483="Oui","Litige",IF($J2483&lt;=0,"Payé",IF($I2483&gt;0,"Partiel",IF(Listes!$B$3&gt;$G2483,"En retard","À échoir"))))))</f>
        <v/>
      </c>
      <c r="O2483" s="11">
        <f>IF($A2483="","",IF(OR($G2483="", $J2483&lt;=0),0,MAX(0,Listes!$B$3-$G2483)))</f>
        <v/>
      </c>
      <c r="P2483" s="12">
        <f>IF($A2483="","",IF($J2483&lt;=0,"Payé",IF($M2483="Oui","Litige",IF($O2483=0,"À échoir",IF($O2483&lt;=30,"0-30",IF($O2483&lt;=60,"31-60",IF($O2483&lt;=90,"61-90","90+")))))))</f>
        <v/>
      </c>
    </row>
    <row r="2484">
      <c r="A2484" s="6" t="n"/>
      <c r="B2484" s="6" t="n"/>
      <c r="C2484" s="6" t="n"/>
      <c r="D2484" s="6" t="n"/>
      <c r="E2484" s="6" t="n"/>
      <c r="F2484" s="7" t="n"/>
      <c r="G2484" s="7" t="n"/>
      <c r="H2484" s="8" t="n"/>
      <c r="I2484" s="9">
        <f>IF($A2484="","",SUMIFS(Ventes_Encaissements!$D$6:$D$3005,Ventes_Encaissements!$B$6:$B$3005,$A2484))</f>
        <v/>
      </c>
      <c r="J2484" s="9">
        <f>IF($A2484="","",$H2484-$I2484)</f>
        <v/>
      </c>
      <c r="K2484" s="10">
        <f>IF($A2484="","",IF($I2484=0,"",_xludf.AGGREGATE(14,6,Ventes_Encaissements!$C$6:$C$3005/(Ventes_Encaissements!$B$6:$B$3005=$A2484),1)))</f>
        <v/>
      </c>
      <c r="L2484" s="11">
        <f>IF($A2484="","",COUNTIFS(Ventes_Detail!$B$6:$B$3005,$A2484))</f>
        <v/>
      </c>
      <c r="M2484" s="12" t="n"/>
      <c r="N2484" s="12">
        <f>IF($A2484="","",IF($G2484="","",IF($M2484="Oui","Litige",IF($J2484&lt;=0,"Payé",IF($I2484&gt;0,"Partiel",IF(Listes!$B$3&gt;$G2484,"En retard","À échoir"))))))</f>
        <v/>
      </c>
      <c r="O2484" s="11">
        <f>IF($A2484="","",IF(OR($G2484="", $J2484&lt;=0),0,MAX(0,Listes!$B$3-$G2484)))</f>
        <v/>
      </c>
      <c r="P2484" s="12">
        <f>IF($A2484="","",IF($J2484&lt;=0,"Payé",IF($M2484="Oui","Litige",IF($O2484=0,"À échoir",IF($O2484&lt;=30,"0-30",IF($O2484&lt;=60,"31-60",IF($O2484&lt;=90,"61-90","90+")))))))</f>
        <v/>
      </c>
    </row>
    <row r="2485">
      <c r="A2485" s="6" t="n"/>
      <c r="B2485" s="6" t="n"/>
      <c r="C2485" s="6" t="n"/>
      <c r="D2485" s="6" t="n"/>
      <c r="E2485" s="6" t="n"/>
      <c r="F2485" s="7" t="n"/>
      <c r="G2485" s="7" t="n"/>
      <c r="H2485" s="8" t="n"/>
      <c r="I2485" s="9">
        <f>IF($A2485="","",SUMIFS(Ventes_Encaissements!$D$6:$D$3005,Ventes_Encaissements!$B$6:$B$3005,$A2485))</f>
        <v/>
      </c>
      <c r="J2485" s="9">
        <f>IF($A2485="","",$H2485-$I2485)</f>
        <v/>
      </c>
      <c r="K2485" s="10">
        <f>IF($A2485="","",IF($I2485=0,"",_xludf.AGGREGATE(14,6,Ventes_Encaissements!$C$6:$C$3005/(Ventes_Encaissements!$B$6:$B$3005=$A2485),1)))</f>
        <v/>
      </c>
      <c r="L2485" s="11">
        <f>IF($A2485="","",COUNTIFS(Ventes_Detail!$B$6:$B$3005,$A2485))</f>
        <v/>
      </c>
      <c r="M2485" s="12" t="n"/>
      <c r="N2485" s="12">
        <f>IF($A2485="","",IF($G2485="","",IF($M2485="Oui","Litige",IF($J2485&lt;=0,"Payé",IF($I2485&gt;0,"Partiel",IF(Listes!$B$3&gt;$G2485,"En retard","À échoir"))))))</f>
        <v/>
      </c>
      <c r="O2485" s="11">
        <f>IF($A2485="","",IF(OR($G2485="", $J2485&lt;=0),0,MAX(0,Listes!$B$3-$G2485)))</f>
        <v/>
      </c>
      <c r="P2485" s="12">
        <f>IF($A2485="","",IF($J2485&lt;=0,"Payé",IF($M2485="Oui","Litige",IF($O2485=0,"À échoir",IF($O2485&lt;=30,"0-30",IF($O2485&lt;=60,"31-60",IF($O2485&lt;=90,"61-90","90+")))))))</f>
        <v/>
      </c>
    </row>
    <row r="2486">
      <c r="A2486" s="6" t="n"/>
      <c r="B2486" s="6" t="n"/>
      <c r="C2486" s="6" t="n"/>
      <c r="D2486" s="6" t="n"/>
      <c r="E2486" s="6" t="n"/>
      <c r="F2486" s="7" t="n"/>
      <c r="G2486" s="7" t="n"/>
      <c r="H2486" s="8" t="n"/>
      <c r="I2486" s="9">
        <f>IF($A2486="","",SUMIFS(Ventes_Encaissements!$D$6:$D$3005,Ventes_Encaissements!$B$6:$B$3005,$A2486))</f>
        <v/>
      </c>
      <c r="J2486" s="9">
        <f>IF($A2486="","",$H2486-$I2486)</f>
        <v/>
      </c>
      <c r="K2486" s="10">
        <f>IF($A2486="","",IF($I2486=0,"",_xludf.AGGREGATE(14,6,Ventes_Encaissements!$C$6:$C$3005/(Ventes_Encaissements!$B$6:$B$3005=$A2486),1)))</f>
        <v/>
      </c>
      <c r="L2486" s="11">
        <f>IF($A2486="","",COUNTIFS(Ventes_Detail!$B$6:$B$3005,$A2486))</f>
        <v/>
      </c>
      <c r="M2486" s="12" t="n"/>
      <c r="N2486" s="12">
        <f>IF($A2486="","",IF($G2486="","",IF($M2486="Oui","Litige",IF($J2486&lt;=0,"Payé",IF($I2486&gt;0,"Partiel",IF(Listes!$B$3&gt;$G2486,"En retard","À échoir"))))))</f>
        <v/>
      </c>
      <c r="O2486" s="11">
        <f>IF($A2486="","",IF(OR($G2486="", $J2486&lt;=0),0,MAX(0,Listes!$B$3-$G2486)))</f>
        <v/>
      </c>
      <c r="P2486" s="12">
        <f>IF($A2486="","",IF($J2486&lt;=0,"Payé",IF($M2486="Oui","Litige",IF($O2486=0,"À échoir",IF($O2486&lt;=30,"0-30",IF($O2486&lt;=60,"31-60",IF($O2486&lt;=90,"61-90","90+")))))))</f>
        <v/>
      </c>
    </row>
    <row r="2487">
      <c r="A2487" s="6" t="n"/>
      <c r="B2487" s="6" t="n"/>
      <c r="C2487" s="6" t="n"/>
      <c r="D2487" s="6" t="n"/>
      <c r="E2487" s="6" t="n"/>
      <c r="F2487" s="7" t="n"/>
      <c r="G2487" s="7" t="n"/>
      <c r="H2487" s="8" t="n"/>
      <c r="I2487" s="9">
        <f>IF($A2487="","",SUMIFS(Ventes_Encaissements!$D$6:$D$3005,Ventes_Encaissements!$B$6:$B$3005,$A2487))</f>
        <v/>
      </c>
      <c r="J2487" s="9">
        <f>IF($A2487="","",$H2487-$I2487)</f>
        <v/>
      </c>
      <c r="K2487" s="10">
        <f>IF($A2487="","",IF($I2487=0,"",_xludf.AGGREGATE(14,6,Ventes_Encaissements!$C$6:$C$3005/(Ventes_Encaissements!$B$6:$B$3005=$A2487),1)))</f>
        <v/>
      </c>
      <c r="L2487" s="11">
        <f>IF($A2487="","",COUNTIFS(Ventes_Detail!$B$6:$B$3005,$A2487))</f>
        <v/>
      </c>
      <c r="M2487" s="12" t="n"/>
      <c r="N2487" s="12">
        <f>IF($A2487="","",IF($G2487="","",IF($M2487="Oui","Litige",IF($J2487&lt;=0,"Payé",IF($I2487&gt;0,"Partiel",IF(Listes!$B$3&gt;$G2487,"En retard","À échoir"))))))</f>
        <v/>
      </c>
      <c r="O2487" s="11">
        <f>IF($A2487="","",IF(OR($G2487="", $J2487&lt;=0),0,MAX(0,Listes!$B$3-$G2487)))</f>
        <v/>
      </c>
      <c r="P2487" s="12">
        <f>IF($A2487="","",IF($J2487&lt;=0,"Payé",IF($M2487="Oui","Litige",IF($O2487=0,"À échoir",IF($O2487&lt;=30,"0-30",IF($O2487&lt;=60,"31-60",IF($O2487&lt;=90,"61-90","90+")))))))</f>
        <v/>
      </c>
    </row>
    <row r="2488">
      <c r="A2488" s="6" t="n"/>
      <c r="B2488" s="6" t="n"/>
      <c r="C2488" s="6" t="n"/>
      <c r="D2488" s="6" t="n"/>
      <c r="E2488" s="6" t="n"/>
      <c r="F2488" s="7" t="n"/>
      <c r="G2488" s="7" t="n"/>
      <c r="H2488" s="8" t="n"/>
      <c r="I2488" s="9">
        <f>IF($A2488="","",SUMIFS(Ventes_Encaissements!$D$6:$D$3005,Ventes_Encaissements!$B$6:$B$3005,$A2488))</f>
        <v/>
      </c>
      <c r="J2488" s="9">
        <f>IF($A2488="","",$H2488-$I2488)</f>
        <v/>
      </c>
      <c r="K2488" s="10">
        <f>IF($A2488="","",IF($I2488=0,"",_xludf.AGGREGATE(14,6,Ventes_Encaissements!$C$6:$C$3005/(Ventes_Encaissements!$B$6:$B$3005=$A2488),1)))</f>
        <v/>
      </c>
      <c r="L2488" s="11">
        <f>IF($A2488="","",COUNTIFS(Ventes_Detail!$B$6:$B$3005,$A2488))</f>
        <v/>
      </c>
      <c r="M2488" s="12" t="n"/>
      <c r="N2488" s="12">
        <f>IF($A2488="","",IF($G2488="","",IF($M2488="Oui","Litige",IF($J2488&lt;=0,"Payé",IF($I2488&gt;0,"Partiel",IF(Listes!$B$3&gt;$G2488,"En retard","À échoir"))))))</f>
        <v/>
      </c>
      <c r="O2488" s="11">
        <f>IF($A2488="","",IF(OR($G2488="", $J2488&lt;=0),0,MAX(0,Listes!$B$3-$G2488)))</f>
        <v/>
      </c>
      <c r="P2488" s="12">
        <f>IF($A2488="","",IF($J2488&lt;=0,"Payé",IF($M2488="Oui","Litige",IF($O2488=0,"À échoir",IF($O2488&lt;=30,"0-30",IF($O2488&lt;=60,"31-60",IF($O2488&lt;=90,"61-90","90+")))))))</f>
        <v/>
      </c>
    </row>
    <row r="2489">
      <c r="A2489" s="6" t="n"/>
      <c r="B2489" s="6" t="n"/>
      <c r="C2489" s="6" t="n"/>
      <c r="D2489" s="6" t="n"/>
      <c r="E2489" s="6" t="n"/>
      <c r="F2489" s="7" t="n"/>
      <c r="G2489" s="7" t="n"/>
      <c r="H2489" s="8" t="n"/>
      <c r="I2489" s="9">
        <f>IF($A2489="","",SUMIFS(Ventes_Encaissements!$D$6:$D$3005,Ventes_Encaissements!$B$6:$B$3005,$A2489))</f>
        <v/>
      </c>
      <c r="J2489" s="9">
        <f>IF($A2489="","",$H2489-$I2489)</f>
        <v/>
      </c>
      <c r="K2489" s="10">
        <f>IF($A2489="","",IF($I2489=0,"",_xludf.AGGREGATE(14,6,Ventes_Encaissements!$C$6:$C$3005/(Ventes_Encaissements!$B$6:$B$3005=$A2489),1)))</f>
        <v/>
      </c>
      <c r="L2489" s="11">
        <f>IF($A2489="","",COUNTIFS(Ventes_Detail!$B$6:$B$3005,$A2489))</f>
        <v/>
      </c>
      <c r="M2489" s="12" t="n"/>
      <c r="N2489" s="12">
        <f>IF($A2489="","",IF($G2489="","",IF($M2489="Oui","Litige",IF($J2489&lt;=0,"Payé",IF($I2489&gt;0,"Partiel",IF(Listes!$B$3&gt;$G2489,"En retard","À échoir"))))))</f>
        <v/>
      </c>
      <c r="O2489" s="11">
        <f>IF($A2489="","",IF(OR($G2489="", $J2489&lt;=0),0,MAX(0,Listes!$B$3-$G2489)))</f>
        <v/>
      </c>
      <c r="P2489" s="12">
        <f>IF($A2489="","",IF($J2489&lt;=0,"Payé",IF($M2489="Oui","Litige",IF($O2489=0,"À échoir",IF($O2489&lt;=30,"0-30",IF($O2489&lt;=60,"31-60",IF($O2489&lt;=90,"61-90","90+")))))))</f>
        <v/>
      </c>
    </row>
    <row r="2490">
      <c r="A2490" s="6" t="n"/>
      <c r="B2490" s="6" t="n"/>
      <c r="C2490" s="6" t="n"/>
      <c r="D2490" s="6" t="n"/>
      <c r="E2490" s="6" t="n"/>
      <c r="F2490" s="7" t="n"/>
      <c r="G2490" s="7" t="n"/>
      <c r="H2490" s="8" t="n"/>
      <c r="I2490" s="9">
        <f>IF($A2490="","",SUMIFS(Ventes_Encaissements!$D$6:$D$3005,Ventes_Encaissements!$B$6:$B$3005,$A2490))</f>
        <v/>
      </c>
      <c r="J2490" s="9">
        <f>IF($A2490="","",$H2490-$I2490)</f>
        <v/>
      </c>
      <c r="K2490" s="10">
        <f>IF($A2490="","",IF($I2490=0,"",_xludf.AGGREGATE(14,6,Ventes_Encaissements!$C$6:$C$3005/(Ventes_Encaissements!$B$6:$B$3005=$A2490),1)))</f>
        <v/>
      </c>
      <c r="L2490" s="11">
        <f>IF($A2490="","",COUNTIFS(Ventes_Detail!$B$6:$B$3005,$A2490))</f>
        <v/>
      </c>
      <c r="M2490" s="12" t="n"/>
      <c r="N2490" s="12">
        <f>IF($A2490="","",IF($G2490="","",IF($M2490="Oui","Litige",IF($J2490&lt;=0,"Payé",IF($I2490&gt;0,"Partiel",IF(Listes!$B$3&gt;$G2490,"En retard","À échoir"))))))</f>
        <v/>
      </c>
      <c r="O2490" s="11">
        <f>IF($A2490="","",IF(OR($G2490="", $J2490&lt;=0),0,MAX(0,Listes!$B$3-$G2490)))</f>
        <v/>
      </c>
      <c r="P2490" s="12">
        <f>IF($A2490="","",IF($J2490&lt;=0,"Payé",IF($M2490="Oui","Litige",IF($O2490=0,"À échoir",IF($O2490&lt;=30,"0-30",IF($O2490&lt;=60,"31-60",IF($O2490&lt;=90,"61-90","90+")))))))</f>
        <v/>
      </c>
    </row>
    <row r="2491">
      <c r="A2491" s="6" t="n"/>
      <c r="B2491" s="6" t="n"/>
      <c r="C2491" s="6" t="n"/>
      <c r="D2491" s="6" t="n"/>
      <c r="E2491" s="6" t="n"/>
      <c r="F2491" s="7" t="n"/>
      <c r="G2491" s="7" t="n"/>
      <c r="H2491" s="8" t="n"/>
      <c r="I2491" s="9">
        <f>IF($A2491="","",SUMIFS(Ventes_Encaissements!$D$6:$D$3005,Ventes_Encaissements!$B$6:$B$3005,$A2491))</f>
        <v/>
      </c>
      <c r="J2491" s="9">
        <f>IF($A2491="","",$H2491-$I2491)</f>
        <v/>
      </c>
      <c r="K2491" s="10">
        <f>IF($A2491="","",IF($I2491=0,"",_xludf.AGGREGATE(14,6,Ventes_Encaissements!$C$6:$C$3005/(Ventes_Encaissements!$B$6:$B$3005=$A2491),1)))</f>
        <v/>
      </c>
      <c r="L2491" s="11">
        <f>IF($A2491="","",COUNTIFS(Ventes_Detail!$B$6:$B$3005,$A2491))</f>
        <v/>
      </c>
      <c r="M2491" s="12" t="n"/>
      <c r="N2491" s="12">
        <f>IF($A2491="","",IF($G2491="","",IF($M2491="Oui","Litige",IF($J2491&lt;=0,"Payé",IF($I2491&gt;0,"Partiel",IF(Listes!$B$3&gt;$G2491,"En retard","À échoir"))))))</f>
        <v/>
      </c>
      <c r="O2491" s="11">
        <f>IF($A2491="","",IF(OR($G2491="", $J2491&lt;=0),0,MAX(0,Listes!$B$3-$G2491)))</f>
        <v/>
      </c>
      <c r="P2491" s="12">
        <f>IF($A2491="","",IF($J2491&lt;=0,"Payé",IF($M2491="Oui","Litige",IF($O2491=0,"À échoir",IF($O2491&lt;=30,"0-30",IF($O2491&lt;=60,"31-60",IF($O2491&lt;=90,"61-90","90+")))))))</f>
        <v/>
      </c>
    </row>
    <row r="2492">
      <c r="A2492" s="6" t="n"/>
      <c r="B2492" s="6" t="n"/>
      <c r="C2492" s="6" t="n"/>
      <c r="D2492" s="6" t="n"/>
      <c r="E2492" s="6" t="n"/>
      <c r="F2492" s="7" t="n"/>
      <c r="G2492" s="7" t="n"/>
      <c r="H2492" s="8" t="n"/>
      <c r="I2492" s="9">
        <f>IF($A2492="","",SUMIFS(Ventes_Encaissements!$D$6:$D$3005,Ventes_Encaissements!$B$6:$B$3005,$A2492))</f>
        <v/>
      </c>
      <c r="J2492" s="9">
        <f>IF($A2492="","",$H2492-$I2492)</f>
        <v/>
      </c>
      <c r="K2492" s="10">
        <f>IF($A2492="","",IF($I2492=0,"",_xludf.AGGREGATE(14,6,Ventes_Encaissements!$C$6:$C$3005/(Ventes_Encaissements!$B$6:$B$3005=$A2492),1)))</f>
        <v/>
      </c>
      <c r="L2492" s="11">
        <f>IF($A2492="","",COUNTIFS(Ventes_Detail!$B$6:$B$3005,$A2492))</f>
        <v/>
      </c>
      <c r="M2492" s="12" t="n"/>
      <c r="N2492" s="12">
        <f>IF($A2492="","",IF($G2492="","",IF($M2492="Oui","Litige",IF($J2492&lt;=0,"Payé",IF($I2492&gt;0,"Partiel",IF(Listes!$B$3&gt;$G2492,"En retard","À échoir"))))))</f>
        <v/>
      </c>
      <c r="O2492" s="11">
        <f>IF($A2492="","",IF(OR($G2492="", $J2492&lt;=0),0,MAX(0,Listes!$B$3-$G2492)))</f>
        <v/>
      </c>
      <c r="P2492" s="12">
        <f>IF($A2492="","",IF($J2492&lt;=0,"Payé",IF($M2492="Oui","Litige",IF($O2492=0,"À échoir",IF($O2492&lt;=30,"0-30",IF($O2492&lt;=60,"31-60",IF($O2492&lt;=90,"61-90","90+")))))))</f>
        <v/>
      </c>
    </row>
    <row r="2493">
      <c r="A2493" s="6" t="n"/>
      <c r="B2493" s="6" t="n"/>
      <c r="C2493" s="6" t="n"/>
      <c r="D2493" s="6" t="n"/>
      <c r="E2493" s="6" t="n"/>
      <c r="F2493" s="7" t="n"/>
      <c r="G2493" s="7" t="n"/>
      <c r="H2493" s="8" t="n"/>
      <c r="I2493" s="9">
        <f>IF($A2493="","",SUMIFS(Ventes_Encaissements!$D$6:$D$3005,Ventes_Encaissements!$B$6:$B$3005,$A2493))</f>
        <v/>
      </c>
      <c r="J2493" s="9">
        <f>IF($A2493="","",$H2493-$I2493)</f>
        <v/>
      </c>
      <c r="K2493" s="10">
        <f>IF($A2493="","",IF($I2493=0,"",_xludf.AGGREGATE(14,6,Ventes_Encaissements!$C$6:$C$3005/(Ventes_Encaissements!$B$6:$B$3005=$A2493),1)))</f>
        <v/>
      </c>
      <c r="L2493" s="11">
        <f>IF($A2493="","",COUNTIFS(Ventes_Detail!$B$6:$B$3005,$A2493))</f>
        <v/>
      </c>
      <c r="M2493" s="12" t="n"/>
      <c r="N2493" s="12">
        <f>IF($A2493="","",IF($G2493="","",IF($M2493="Oui","Litige",IF($J2493&lt;=0,"Payé",IF($I2493&gt;0,"Partiel",IF(Listes!$B$3&gt;$G2493,"En retard","À échoir"))))))</f>
        <v/>
      </c>
      <c r="O2493" s="11">
        <f>IF($A2493="","",IF(OR($G2493="", $J2493&lt;=0),0,MAX(0,Listes!$B$3-$G2493)))</f>
        <v/>
      </c>
      <c r="P2493" s="12">
        <f>IF($A2493="","",IF($J2493&lt;=0,"Payé",IF($M2493="Oui","Litige",IF($O2493=0,"À échoir",IF($O2493&lt;=30,"0-30",IF($O2493&lt;=60,"31-60",IF($O2493&lt;=90,"61-90","90+")))))))</f>
        <v/>
      </c>
    </row>
    <row r="2494">
      <c r="A2494" s="6" t="n"/>
      <c r="B2494" s="6" t="n"/>
      <c r="C2494" s="6" t="n"/>
      <c r="D2494" s="6" t="n"/>
      <c r="E2494" s="6" t="n"/>
      <c r="F2494" s="7" t="n"/>
      <c r="G2494" s="7" t="n"/>
      <c r="H2494" s="8" t="n"/>
      <c r="I2494" s="9">
        <f>IF($A2494="","",SUMIFS(Ventes_Encaissements!$D$6:$D$3005,Ventes_Encaissements!$B$6:$B$3005,$A2494))</f>
        <v/>
      </c>
      <c r="J2494" s="9">
        <f>IF($A2494="","",$H2494-$I2494)</f>
        <v/>
      </c>
      <c r="K2494" s="10">
        <f>IF($A2494="","",IF($I2494=0,"",_xludf.AGGREGATE(14,6,Ventes_Encaissements!$C$6:$C$3005/(Ventes_Encaissements!$B$6:$B$3005=$A2494),1)))</f>
        <v/>
      </c>
      <c r="L2494" s="11">
        <f>IF($A2494="","",COUNTIFS(Ventes_Detail!$B$6:$B$3005,$A2494))</f>
        <v/>
      </c>
      <c r="M2494" s="12" t="n"/>
      <c r="N2494" s="12">
        <f>IF($A2494="","",IF($G2494="","",IF($M2494="Oui","Litige",IF($J2494&lt;=0,"Payé",IF($I2494&gt;0,"Partiel",IF(Listes!$B$3&gt;$G2494,"En retard","À échoir"))))))</f>
        <v/>
      </c>
      <c r="O2494" s="11">
        <f>IF($A2494="","",IF(OR($G2494="", $J2494&lt;=0),0,MAX(0,Listes!$B$3-$G2494)))</f>
        <v/>
      </c>
      <c r="P2494" s="12">
        <f>IF($A2494="","",IF($J2494&lt;=0,"Payé",IF($M2494="Oui","Litige",IF($O2494=0,"À échoir",IF($O2494&lt;=30,"0-30",IF($O2494&lt;=60,"31-60",IF($O2494&lt;=90,"61-90","90+")))))))</f>
        <v/>
      </c>
    </row>
    <row r="2495">
      <c r="A2495" s="6" t="n"/>
      <c r="B2495" s="6" t="n"/>
      <c r="C2495" s="6" t="n"/>
      <c r="D2495" s="6" t="n"/>
      <c r="E2495" s="6" t="n"/>
      <c r="F2495" s="7" t="n"/>
      <c r="G2495" s="7" t="n"/>
      <c r="H2495" s="8" t="n"/>
      <c r="I2495" s="9">
        <f>IF($A2495="","",SUMIFS(Ventes_Encaissements!$D$6:$D$3005,Ventes_Encaissements!$B$6:$B$3005,$A2495))</f>
        <v/>
      </c>
      <c r="J2495" s="9">
        <f>IF($A2495="","",$H2495-$I2495)</f>
        <v/>
      </c>
      <c r="K2495" s="10">
        <f>IF($A2495="","",IF($I2495=0,"",_xludf.AGGREGATE(14,6,Ventes_Encaissements!$C$6:$C$3005/(Ventes_Encaissements!$B$6:$B$3005=$A2495),1)))</f>
        <v/>
      </c>
      <c r="L2495" s="11">
        <f>IF($A2495="","",COUNTIFS(Ventes_Detail!$B$6:$B$3005,$A2495))</f>
        <v/>
      </c>
      <c r="M2495" s="12" t="n"/>
      <c r="N2495" s="12">
        <f>IF($A2495="","",IF($G2495="","",IF($M2495="Oui","Litige",IF($J2495&lt;=0,"Payé",IF($I2495&gt;0,"Partiel",IF(Listes!$B$3&gt;$G2495,"En retard","À échoir"))))))</f>
        <v/>
      </c>
      <c r="O2495" s="11">
        <f>IF($A2495="","",IF(OR($G2495="", $J2495&lt;=0),0,MAX(0,Listes!$B$3-$G2495)))</f>
        <v/>
      </c>
      <c r="P2495" s="12">
        <f>IF($A2495="","",IF($J2495&lt;=0,"Payé",IF($M2495="Oui","Litige",IF($O2495=0,"À échoir",IF($O2495&lt;=30,"0-30",IF($O2495&lt;=60,"31-60",IF($O2495&lt;=90,"61-90","90+")))))))</f>
        <v/>
      </c>
    </row>
    <row r="2496">
      <c r="A2496" s="6" t="n"/>
      <c r="B2496" s="6" t="n"/>
      <c r="C2496" s="6" t="n"/>
      <c r="D2496" s="6" t="n"/>
      <c r="E2496" s="6" t="n"/>
      <c r="F2496" s="7" t="n"/>
      <c r="G2496" s="7" t="n"/>
      <c r="H2496" s="8" t="n"/>
      <c r="I2496" s="9">
        <f>IF($A2496="","",SUMIFS(Ventes_Encaissements!$D$6:$D$3005,Ventes_Encaissements!$B$6:$B$3005,$A2496))</f>
        <v/>
      </c>
      <c r="J2496" s="9">
        <f>IF($A2496="","",$H2496-$I2496)</f>
        <v/>
      </c>
      <c r="K2496" s="10">
        <f>IF($A2496="","",IF($I2496=0,"",_xludf.AGGREGATE(14,6,Ventes_Encaissements!$C$6:$C$3005/(Ventes_Encaissements!$B$6:$B$3005=$A2496),1)))</f>
        <v/>
      </c>
      <c r="L2496" s="11">
        <f>IF($A2496="","",COUNTIFS(Ventes_Detail!$B$6:$B$3005,$A2496))</f>
        <v/>
      </c>
      <c r="M2496" s="12" t="n"/>
      <c r="N2496" s="12">
        <f>IF($A2496="","",IF($G2496="","",IF($M2496="Oui","Litige",IF($J2496&lt;=0,"Payé",IF($I2496&gt;0,"Partiel",IF(Listes!$B$3&gt;$G2496,"En retard","À échoir"))))))</f>
        <v/>
      </c>
      <c r="O2496" s="11">
        <f>IF($A2496="","",IF(OR($G2496="", $J2496&lt;=0),0,MAX(0,Listes!$B$3-$G2496)))</f>
        <v/>
      </c>
      <c r="P2496" s="12">
        <f>IF($A2496="","",IF($J2496&lt;=0,"Payé",IF($M2496="Oui","Litige",IF($O2496=0,"À échoir",IF($O2496&lt;=30,"0-30",IF($O2496&lt;=60,"31-60",IF($O2496&lt;=90,"61-90","90+")))))))</f>
        <v/>
      </c>
    </row>
    <row r="2497">
      <c r="A2497" s="6" t="n"/>
      <c r="B2497" s="6" t="n"/>
      <c r="C2497" s="6" t="n"/>
      <c r="D2497" s="6" t="n"/>
      <c r="E2497" s="6" t="n"/>
      <c r="F2497" s="7" t="n"/>
      <c r="G2497" s="7" t="n"/>
      <c r="H2497" s="8" t="n"/>
      <c r="I2497" s="9">
        <f>IF($A2497="","",SUMIFS(Ventes_Encaissements!$D$6:$D$3005,Ventes_Encaissements!$B$6:$B$3005,$A2497))</f>
        <v/>
      </c>
      <c r="J2497" s="9">
        <f>IF($A2497="","",$H2497-$I2497)</f>
        <v/>
      </c>
      <c r="K2497" s="10">
        <f>IF($A2497="","",IF($I2497=0,"",_xludf.AGGREGATE(14,6,Ventes_Encaissements!$C$6:$C$3005/(Ventes_Encaissements!$B$6:$B$3005=$A2497),1)))</f>
        <v/>
      </c>
      <c r="L2497" s="11">
        <f>IF($A2497="","",COUNTIFS(Ventes_Detail!$B$6:$B$3005,$A2497))</f>
        <v/>
      </c>
      <c r="M2497" s="12" t="n"/>
      <c r="N2497" s="12">
        <f>IF($A2497="","",IF($G2497="","",IF($M2497="Oui","Litige",IF($J2497&lt;=0,"Payé",IF($I2497&gt;0,"Partiel",IF(Listes!$B$3&gt;$G2497,"En retard","À échoir"))))))</f>
        <v/>
      </c>
      <c r="O2497" s="11">
        <f>IF($A2497="","",IF(OR($G2497="", $J2497&lt;=0),0,MAX(0,Listes!$B$3-$G2497)))</f>
        <v/>
      </c>
      <c r="P2497" s="12">
        <f>IF($A2497="","",IF($J2497&lt;=0,"Payé",IF($M2497="Oui","Litige",IF($O2497=0,"À échoir",IF($O2497&lt;=30,"0-30",IF($O2497&lt;=60,"31-60",IF($O2497&lt;=90,"61-90","90+")))))))</f>
        <v/>
      </c>
    </row>
    <row r="2498">
      <c r="A2498" s="6" t="n"/>
      <c r="B2498" s="6" t="n"/>
      <c r="C2498" s="6" t="n"/>
      <c r="D2498" s="6" t="n"/>
      <c r="E2498" s="6" t="n"/>
      <c r="F2498" s="7" t="n"/>
      <c r="G2498" s="7" t="n"/>
      <c r="H2498" s="8" t="n"/>
      <c r="I2498" s="9">
        <f>IF($A2498="","",SUMIFS(Ventes_Encaissements!$D$6:$D$3005,Ventes_Encaissements!$B$6:$B$3005,$A2498))</f>
        <v/>
      </c>
      <c r="J2498" s="9">
        <f>IF($A2498="","",$H2498-$I2498)</f>
        <v/>
      </c>
      <c r="K2498" s="10">
        <f>IF($A2498="","",IF($I2498=0,"",_xludf.AGGREGATE(14,6,Ventes_Encaissements!$C$6:$C$3005/(Ventes_Encaissements!$B$6:$B$3005=$A2498),1)))</f>
        <v/>
      </c>
      <c r="L2498" s="11">
        <f>IF($A2498="","",COUNTIFS(Ventes_Detail!$B$6:$B$3005,$A2498))</f>
        <v/>
      </c>
      <c r="M2498" s="12" t="n"/>
      <c r="N2498" s="12">
        <f>IF($A2498="","",IF($G2498="","",IF($M2498="Oui","Litige",IF($J2498&lt;=0,"Payé",IF($I2498&gt;0,"Partiel",IF(Listes!$B$3&gt;$G2498,"En retard","À échoir"))))))</f>
        <v/>
      </c>
      <c r="O2498" s="11">
        <f>IF($A2498="","",IF(OR($G2498="", $J2498&lt;=0),0,MAX(0,Listes!$B$3-$G2498)))</f>
        <v/>
      </c>
      <c r="P2498" s="12">
        <f>IF($A2498="","",IF($J2498&lt;=0,"Payé",IF($M2498="Oui","Litige",IF($O2498=0,"À échoir",IF($O2498&lt;=30,"0-30",IF($O2498&lt;=60,"31-60",IF($O2498&lt;=90,"61-90","90+")))))))</f>
        <v/>
      </c>
    </row>
    <row r="2499">
      <c r="A2499" s="6" t="n"/>
      <c r="B2499" s="6" t="n"/>
      <c r="C2499" s="6" t="n"/>
      <c r="D2499" s="6" t="n"/>
      <c r="E2499" s="6" t="n"/>
      <c r="F2499" s="7" t="n"/>
      <c r="G2499" s="7" t="n"/>
      <c r="H2499" s="8" t="n"/>
      <c r="I2499" s="9">
        <f>IF($A2499="","",SUMIFS(Ventes_Encaissements!$D$6:$D$3005,Ventes_Encaissements!$B$6:$B$3005,$A2499))</f>
        <v/>
      </c>
      <c r="J2499" s="9">
        <f>IF($A2499="","",$H2499-$I2499)</f>
        <v/>
      </c>
      <c r="K2499" s="10">
        <f>IF($A2499="","",IF($I2499=0,"",_xludf.AGGREGATE(14,6,Ventes_Encaissements!$C$6:$C$3005/(Ventes_Encaissements!$B$6:$B$3005=$A2499),1)))</f>
        <v/>
      </c>
      <c r="L2499" s="11">
        <f>IF($A2499="","",COUNTIFS(Ventes_Detail!$B$6:$B$3005,$A2499))</f>
        <v/>
      </c>
      <c r="M2499" s="12" t="n"/>
      <c r="N2499" s="12">
        <f>IF($A2499="","",IF($G2499="","",IF($M2499="Oui","Litige",IF($J2499&lt;=0,"Payé",IF($I2499&gt;0,"Partiel",IF(Listes!$B$3&gt;$G2499,"En retard","À échoir"))))))</f>
        <v/>
      </c>
      <c r="O2499" s="11">
        <f>IF($A2499="","",IF(OR($G2499="", $J2499&lt;=0),0,MAX(0,Listes!$B$3-$G2499)))</f>
        <v/>
      </c>
      <c r="P2499" s="12">
        <f>IF($A2499="","",IF($J2499&lt;=0,"Payé",IF($M2499="Oui","Litige",IF($O2499=0,"À échoir",IF($O2499&lt;=30,"0-30",IF($O2499&lt;=60,"31-60",IF($O2499&lt;=90,"61-90","90+")))))))</f>
        <v/>
      </c>
    </row>
    <row r="2500">
      <c r="A2500" s="6" t="n"/>
      <c r="B2500" s="6" t="n"/>
      <c r="C2500" s="6" t="n"/>
      <c r="D2500" s="6" t="n"/>
      <c r="E2500" s="6" t="n"/>
      <c r="F2500" s="7" t="n"/>
      <c r="G2500" s="7" t="n"/>
      <c r="H2500" s="8" t="n"/>
      <c r="I2500" s="9">
        <f>IF($A2500="","",SUMIFS(Ventes_Encaissements!$D$6:$D$3005,Ventes_Encaissements!$B$6:$B$3005,$A2500))</f>
        <v/>
      </c>
      <c r="J2500" s="9">
        <f>IF($A2500="","",$H2500-$I2500)</f>
        <v/>
      </c>
      <c r="K2500" s="10">
        <f>IF($A2500="","",IF($I2500=0,"",_xludf.AGGREGATE(14,6,Ventes_Encaissements!$C$6:$C$3005/(Ventes_Encaissements!$B$6:$B$3005=$A2500),1)))</f>
        <v/>
      </c>
      <c r="L2500" s="11">
        <f>IF($A2500="","",COUNTIFS(Ventes_Detail!$B$6:$B$3005,$A2500))</f>
        <v/>
      </c>
      <c r="M2500" s="12" t="n"/>
      <c r="N2500" s="12">
        <f>IF($A2500="","",IF($G2500="","",IF($M2500="Oui","Litige",IF($J2500&lt;=0,"Payé",IF($I2500&gt;0,"Partiel",IF(Listes!$B$3&gt;$G2500,"En retard","À échoir"))))))</f>
        <v/>
      </c>
      <c r="O2500" s="11">
        <f>IF($A2500="","",IF(OR($G2500="", $J2500&lt;=0),0,MAX(0,Listes!$B$3-$G2500)))</f>
        <v/>
      </c>
      <c r="P2500" s="12">
        <f>IF($A2500="","",IF($J2500&lt;=0,"Payé",IF($M2500="Oui","Litige",IF($O2500=0,"À échoir",IF($O2500&lt;=30,"0-30",IF($O2500&lt;=60,"31-60",IF($O2500&lt;=90,"61-90","90+")))))))</f>
        <v/>
      </c>
    </row>
    <row r="2501">
      <c r="A2501" s="6" t="n"/>
      <c r="B2501" s="6" t="n"/>
      <c r="C2501" s="6" t="n"/>
      <c r="D2501" s="6" t="n"/>
      <c r="E2501" s="6" t="n"/>
      <c r="F2501" s="7" t="n"/>
      <c r="G2501" s="7" t="n"/>
      <c r="H2501" s="8" t="n"/>
      <c r="I2501" s="9">
        <f>IF($A2501="","",SUMIFS(Ventes_Encaissements!$D$6:$D$3005,Ventes_Encaissements!$B$6:$B$3005,$A2501))</f>
        <v/>
      </c>
      <c r="J2501" s="9">
        <f>IF($A2501="","",$H2501-$I2501)</f>
        <v/>
      </c>
      <c r="K2501" s="10">
        <f>IF($A2501="","",IF($I2501=0,"",_xludf.AGGREGATE(14,6,Ventes_Encaissements!$C$6:$C$3005/(Ventes_Encaissements!$B$6:$B$3005=$A2501),1)))</f>
        <v/>
      </c>
      <c r="L2501" s="11">
        <f>IF($A2501="","",COUNTIFS(Ventes_Detail!$B$6:$B$3005,$A2501))</f>
        <v/>
      </c>
      <c r="M2501" s="12" t="n"/>
      <c r="N2501" s="12">
        <f>IF($A2501="","",IF($G2501="","",IF($M2501="Oui","Litige",IF($J2501&lt;=0,"Payé",IF($I2501&gt;0,"Partiel",IF(Listes!$B$3&gt;$G2501,"En retard","À échoir"))))))</f>
        <v/>
      </c>
      <c r="O2501" s="11">
        <f>IF($A2501="","",IF(OR($G2501="", $J2501&lt;=0),0,MAX(0,Listes!$B$3-$G2501)))</f>
        <v/>
      </c>
      <c r="P2501" s="12">
        <f>IF($A2501="","",IF($J2501&lt;=0,"Payé",IF($M2501="Oui","Litige",IF($O2501=0,"À échoir",IF($O2501&lt;=30,"0-30",IF($O2501&lt;=60,"31-60",IF($O2501&lt;=90,"61-90","90+")))))))</f>
        <v/>
      </c>
    </row>
    <row r="2502">
      <c r="A2502" s="6" t="n"/>
      <c r="B2502" s="6" t="n"/>
      <c r="C2502" s="6" t="n"/>
      <c r="D2502" s="6" t="n"/>
      <c r="E2502" s="6" t="n"/>
      <c r="F2502" s="7" t="n"/>
      <c r="G2502" s="7" t="n"/>
      <c r="H2502" s="8" t="n"/>
      <c r="I2502" s="9">
        <f>IF($A2502="","",SUMIFS(Ventes_Encaissements!$D$6:$D$3005,Ventes_Encaissements!$B$6:$B$3005,$A2502))</f>
        <v/>
      </c>
      <c r="J2502" s="9">
        <f>IF($A2502="","",$H2502-$I2502)</f>
        <v/>
      </c>
      <c r="K2502" s="10">
        <f>IF($A2502="","",IF($I2502=0,"",_xludf.AGGREGATE(14,6,Ventes_Encaissements!$C$6:$C$3005/(Ventes_Encaissements!$B$6:$B$3005=$A2502),1)))</f>
        <v/>
      </c>
      <c r="L2502" s="11">
        <f>IF($A2502="","",COUNTIFS(Ventes_Detail!$B$6:$B$3005,$A2502))</f>
        <v/>
      </c>
      <c r="M2502" s="12" t="n"/>
      <c r="N2502" s="12">
        <f>IF($A2502="","",IF($G2502="","",IF($M2502="Oui","Litige",IF($J2502&lt;=0,"Payé",IF($I2502&gt;0,"Partiel",IF(Listes!$B$3&gt;$G2502,"En retard","À échoir"))))))</f>
        <v/>
      </c>
      <c r="O2502" s="11">
        <f>IF($A2502="","",IF(OR($G2502="", $J2502&lt;=0),0,MAX(0,Listes!$B$3-$G2502)))</f>
        <v/>
      </c>
      <c r="P2502" s="12">
        <f>IF($A2502="","",IF($J2502&lt;=0,"Payé",IF($M2502="Oui","Litige",IF($O2502=0,"À échoir",IF($O2502&lt;=30,"0-30",IF($O2502&lt;=60,"31-60",IF($O2502&lt;=90,"61-90","90+")))))))</f>
        <v/>
      </c>
    </row>
    <row r="2503">
      <c r="A2503" s="6" t="n"/>
      <c r="B2503" s="6" t="n"/>
      <c r="C2503" s="6" t="n"/>
      <c r="D2503" s="6" t="n"/>
      <c r="E2503" s="6" t="n"/>
      <c r="F2503" s="7" t="n"/>
      <c r="G2503" s="7" t="n"/>
      <c r="H2503" s="8" t="n"/>
      <c r="I2503" s="9">
        <f>IF($A2503="","",SUMIFS(Ventes_Encaissements!$D$6:$D$3005,Ventes_Encaissements!$B$6:$B$3005,$A2503))</f>
        <v/>
      </c>
      <c r="J2503" s="9">
        <f>IF($A2503="","",$H2503-$I2503)</f>
        <v/>
      </c>
      <c r="K2503" s="10">
        <f>IF($A2503="","",IF($I2503=0,"",_xludf.AGGREGATE(14,6,Ventes_Encaissements!$C$6:$C$3005/(Ventes_Encaissements!$B$6:$B$3005=$A2503),1)))</f>
        <v/>
      </c>
      <c r="L2503" s="11">
        <f>IF($A2503="","",COUNTIFS(Ventes_Detail!$B$6:$B$3005,$A2503))</f>
        <v/>
      </c>
      <c r="M2503" s="12" t="n"/>
      <c r="N2503" s="12">
        <f>IF($A2503="","",IF($G2503="","",IF($M2503="Oui","Litige",IF($J2503&lt;=0,"Payé",IF($I2503&gt;0,"Partiel",IF(Listes!$B$3&gt;$G2503,"En retard","À échoir"))))))</f>
        <v/>
      </c>
      <c r="O2503" s="11">
        <f>IF($A2503="","",IF(OR($G2503="", $J2503&lt;=0),0,MAX(0,Listes!$B$3-$G2503)))</f>
        <v/>
      </c>
      <c r="P2503" s="12">
        <f>IF($A2503="","",IF($J2503&lt;=0,"Payé",IF($M2503="Oui","Litige",IF($O2503=0,"À échoir",IF($O2503&lt;=30,"0-30",IF($O2503&lt;=60,"31-60",IF($O2503&lt;=90,"61-90","90+")))))))</f>
        <v/>
      </c>
    </row>
    <row r="2504">
      <c r="A2504" s="6" t="n"/>
      <c r="B2504" s="6" t="n"/>
      <c r="C2504" s="6" t="n"/>
      <c r="D2504" s="6" t="n"/>
      <c r="E2504" s="6" t="n"/>
      <c r="F2504" s="7" t="n"/>
      <c r="G2504" s="7" t="n"/>
      <c r="H2504" s="8" t="n"/>
      <c r="I2504" s="9">
        <f>IF($A2504="","",SUMIFS(Ventes_Encaissements!$D$6:$D$3005,Ventes_Encaissements!$B$6:$B$3005,$A2504))</f>
        <v/>
      </c>
      <c r="J2504" s="9">
        <f>IF($A2504="","",$H2504-$I2504)</f>
        <v/>
      </c>
      <c r="K2504" s="10">
        <f>IF($A2504="","",IF($I2504=0,"",_xludf.AGGREGATE(14,6,Ventes_Encaissements!$C$6:$C$3005/(Ventes_Encaissements!$B$6:$B$3005=$A2504),1)))</f>
        <v/>
      </c>
      <c r="L2504" s="11">
        <f>IF($A2504="","",COUNTIFS(Ventes_Detail!$B$6:$B$3005,$A2504))</f>
        <v/>
      </c>
      <c r="M2504" s="12" t="n"/>
      <c r="N2504" s="12">
        <f>IF($A2504="","",IF($G2504="","",IF($M2504="Oui","Litige",IF($J2504&lt;=0,"Payé",IF($I2504&gt;0,"Partiel",IF(Listes!$B$3&gt;$G2504,"En retard","À échoir"))))))</f>
        <v/>
      </c>
      <c r="O2504" s="11">
        <f>IF($A2504="","",IF(OR($G2504="", $J2504&lt;=0),0,MAX(0,Listes!$B$3-$G2504)))</f>
        <v/>
      </c>
      <c r="P2504" s="12">
        <f>IF($A2504="","",IF($J2504&lt;=0,"Payé",IF($M2504="Oui","Litige",IF($O2504=0,"À échoir",IF($O2504&lt;=30,"0-30",IF($O2504&lt;=60,"31-60",IF($O2504&lt;=90,"61-90","90+")))))))</f>
        <v/>
      </c>
    </row>
    <row r="2505">
      <c r="A2505" s="6" t="n"/>
      <c r="B2505" s="6" t="n"/>
      <c r="C2505" s="6" t="n"/>
      <c r="D2505" s="6" t="n"/>
      <c r="E2505" s="6" t="n"/>
      <c r="F2505" s="7" t="n"/>
      <c r="G2505" s="7" t="n"/>
      <c r="H2505" s="8" t="n"/>
      <c r="I2505" s="9">
        <f>IF($A2505="","",SUMIFS(Ventes_Encaissements!$D$6:$D$3005,Ventes_Encaissements!$B$6:$B$3005,$A2505))</f>
        <v/>
      </c>
      <c r="J2505" s="9">
        <f>IF($A2505="","",$H2505-$I2505)</f>
        <v/>
      </c>
      <c r="K2505" s="10">
        <f>IF($A2505="","",IF($I2505=0,"",_xludf.AGGREGATE(14,6,Ventes_Encaissements!$C$6:$C$3005/(Ventes_Encaissements!$B$6:$B$3005=$A2505),1)))</f>
        <v/>
      </c>
      <c r="L2505" s="11">
        <f>IF($A2505="","",COUNTIFS(Ventes_Detail!$B$6:$B$3005,$A2505))</f>
        <v/>
      </c>
      <c r="M2505" s="12" t="n"/>
      <c r="N2505" s="12">
        <f>IF($A2505="","",IF($G2505="","",IF($M2505="Oui","Litige",IF($J2505&lt;=0,"Payé",IF($I2505&gt;0,"Partiel",IF(Listes!$B$3&gt;$G2505,"En retard","À échoir"))))))</f>
        <v/>
      </c>
      <c r="O2505" s="11">
        <f>IF($A2505="","",IF(OR($G2505="", $J2505&lt;=0),0,MAX(0,Listes!$B$3-$G2505)))</f>
        <v/>
      </c>
      <c r="P2505" s="12">
        <f>IF($A2505="","",IF($J2505&lt;=0,"Payé",IF($M2505="Oui","Litige",IF($O2505=0,"À échoir",IF($O2505&lt;=30,"0-30",IF($O2505&lt;=60,"31-60",IF($O2505&lt;=90,"61-90","90+")))))))</f>
        <v/>
      </c>
    </row>
    <row r="2506">
      <c r="A2506" s="6" t="n"/>
      <c r="B2506" s="6" t="n"/>
      <c r="C2506" s="6" t="n"/>
      <c r="D2506" s="6" t="n"/>
      <c r="E2506" s="6" t="n"/>
      <c r="F2506" s="7" t="n"/>
      <c r="G2506" s="7" t="n"/>
      <c r="H2506" s="8" t="n"/>
      <c r="I2506" s="9">
        <f>IF($A2506="","",SUMIFS(Ventes_Encaissements!$D$6:$D$3005,Ventes_Encaissements!$B$6:$B$3005,$A2506))</f>
        <v/>
      </c>
      <c r="J2506" s="9">
        <f>IF($A2506="","",$H2506-$I2506)</f>
        <v/>
      </c>
      <c r="K2506" s="10">
        <f>IF($A2506="","",IF($I2506=0,"",_xludf.AGGREGATE(14,6,Ventes_Encaissements!$C$6:$C$3005/(Ventes_Encaissements!$B$6:$B$3005=$A2506),1)))</f>
        <v/>
      </c>
      <c r="L2506" s="11">
        <f>IF($A2506="","",COUNTIFS(Ventes_Detail!$B$6:$B$3005,$A2506))</f>
        <v/>
      </c>
      <c r="M2506" s="12" t="n"/>
      <c r="N2506" s="12">
        <f>IF($A2506="","",IF($G2506="","",IF($M2506="Oui","Litige",IF($J2506&lt;=0,"Payé",IF($I2506&gt;0,"Partiel",IF(Listes!$B$3&gt;$G2506,"En retard","À échoir"))))))</f>
        <v/>
      </c>
      <c r="O2506" s="11">
        <f>IF($A2506="","",IF(OR($G2506="", $J2506&lt;=0),0,MAX(0,Listes!$B$3-$G2506)))</f>
        <v/>
      </c>
      <c r="P2506" s="12">
        <f>IF($A2506="","",IF($J2506&lt;=0,"Payé",IF($M2506="Oui","Litige",IF($O2506=0,"À échoir",IF($O2506&lt;=30,"0-30",IF($O2506&lt;=60,"31-60",IF($O2506&lt;=90,"61-90","90+")))))))</f>
        <v/>
      </c>
    </row>
    <row r="2507">
      <c r="A2507" s="6" t="n"/>
      <c r="B2507" s="6" t="n"/>
      <c r="C2507" s="6" t="n"/>
      <c r="D2507" s="6" t="n"/>
      <c r="E2507" s="6" t="n"/>
      <c r="F2507" s="7" t="n"/>
      <c r="G2507" s="7" t="n"/>
      <c r="H2507" s="8" t="n"/>
      <c r="I2507" s="9">
        <f>IF($A2507="","",SUMIFS(Ventes_Encaissements!$D$6:$D$3005,Ventes_Encaissements!$B$6:$B$3005,$A2507))</f>
        <v/>
      </c>
      <c r="J2507" s="9">
        <f>IF($A2507="","",$H2507-$I2507)</f>
        <v/>
      </c>
      <c r="K2507" s="10">
        <f>IF($A2507="","",IF($I2507=0,"",_xludf.AGGREGATE(14,6,Ventes_Encaissements!$C$6:$C$3005/(Ventes_Encaissements!$B$6:$B$3005=$A2507),1)))</f>
        <v/>
      </c>
      <c r="L2507" s="11">
        <f>IF($A2507="","",COUNTIFS(Ventes_Detail!$B$6:$B$3005,$A2507))</f>
        <v/>
      </c>
      <c r="M2507" s="12" t="n"/>
      <c r="N2507" s="12">
        <f>IF($A2507="","",IF($G2507="","",IF($M2507="Oui","Litige",IF($J2507&lt;=0,"Payé",IF($I2507&gt;0,"Partiel",IF(Listes!$B$3&gt;$G2507,"En retard","À échoir"))))))</f>
        <v/>
      </c>
      <c r="O2507" s="11">
        <f>IF($A2507="","",IF(OR($G2507="", $J2507&lt;=0),0,MAX(0,Listes!$B$3-$G2507)))</f>
        <v/>
      </c>
      <c r="P2507" s="12">
        <f>IF($A2507="","",IF($J2507&lt;=0,"Payé",IF($M2507="Oui","Litige",IF($O2507=0,"À échoir",IF($O2507&lt;=30,"0-30",IF($O2507&lt;=60,"31-60",IF($O2507&lt;=90,"61-90","90+")))))))</f>
        <v/>
      </c>
    </row>
    <row r="2508">
      <c r="A2508" s="6" t="n"/>
      <c r="B2508" s="6" t="n"/>
      <c r="C2508" s="6" t="n"/>
      <c r="D2508" s="6" t="n"/>
      <c r="E2508" s="6" t="n"/>
      <c r="F2508" s="7" t="n"/>
      <c r="G2508" s="7" t="n"/>
      <c r="H2508" s="8" t="n"/>
      <c r="I2508" s="9">
        <f>IF($A2508="","",SUMIFS(Ventes_Encaissements!$D$6:$D$3005,Ventes_Encaissements!$B$6:$B$3005,$A2508))</f>
        <v/>
      </c>
      <c r="J2508" s="9">
        <f>IF($A2508="","",$H2508-$I2508)</f>
        <v/>
      </c>
      <c r="K2508" s="10">
        <f>IF($A2508="","",IF($I2508=0,"",_xludf.AGGREGATE(14,6,Ventes_Encaissements!$C$6:$C$3005/(Ventes_Encaissements!$B$6:$B$3005=$A2508),1)))</f>
        <v/>
      </c>
      <c r="L2508" s="11">
        <f>IF($A2508="","",COUNTIFS(Ventes_Detail!$B$6:$B$3005,$A2508))</f>
        <v/>
      </c>
      <c r="M2508" s="12" t="n"/>
      <c r="N2508" s="12">
        <f>IF($A2508="","",IF($G2508="","",IF($M2508="Oui","Litige",IF($J2508&lt;=0,"Payé",IF($I2508&gt;0,"Partiel",IF(Listes!$B$3&gt;$G2508,"En retard","À échoir"))))))</f>
        <v/>
      </c>
      <c r="O2508" s="11">
        <f>IF($A2508="","",IF(OR($G2508="", $J2508&lt;=0),0,MAX(0,Listes!$B$3-$G2508)))</f>
        <v/>
      </c>
      <c r="P2508" s="12">
        <f>IF($A2508="","",IF($J2508&lt;=0,"Payé",IF($M2508="Oui","Litige",IF($O2508=0,"À échoir",IF($O2508&lt;=30,"0-30",IF($O2508&lt;=60,"31-60",IF($O2508&lt;=90,"61-90","90+")))))))</f>
        <v/>
      </c>
    </row>
    <row r="2509">
      <c r="A2509" s="6" t="n"/>
      <c r="B2509" s="6" t="n"/>
      <c r="C2509" s="6" t="n"/>
      <c r="D2509" s="6" t="n"/>
      <c r="E2509" s="6" t="n"/>
      <c r="F2509" s="7" t="n"/>
      <c r="G2509" s="7" t="n"/>
      <c r="H2509" s="8" t="n"/>
      <c r="I2509" s="9">
        <f>IF($A2509="","",SUMIFS(Ventes_Encaissements!$D$6:$D$3005,Ventes_Encaissements!$B$6:$B$3005,$A2509))</f>
        <v/>
      </c>
      <c r="J2509" s="9">
        <f>IF($A2509="","",$H2509-$I2509)</f>
        <v/>
      </c>
      <c r="K2509" s="10">
        <f>IF($A2509="","",IF($I2509=0,"",_xludf.AGGREGATE(14,6,Ventes_Encaissements!$C$6:$C$3005/(Ventes_Encaissements!$B$6:$B$3005=$A2509),1)))</f>
        <v/>
      </c>
      <c r="L2509" s="11">
        <f>IF($A2509="","",COUNTIFS(Ventes_Detail!$B$6:$B$3005,$A2509))</f>
        <v/>
      </c>
      <c r="M2509" s="12" t="n"/>
      <c r="N2509" s="12">
        <f>IF($A2509="","",IF($G2509="","",IF($M2509="Oui","Litige",IF($J2509&lt;=0,"Payé",IF($I2509&gt;0,"Partiel",IF(Listes!$B$3&gt;$G2509,"En retard","À échoir"))))))</f>
        <v/>
      </c>
      <c r="O2509" s="11">
        <f>IF($A2509="","",IF(OR($G2509="", $J2509&lt;=0),0,MAX(0,Listes!$B$3-$G2509)))</f>
        <v/>
      </c>
      <c r="P2509" s="12">
        <f>IF($A2509="","",IF($J2509&lt;=0,"Payé",IF($M2509="Oui","Litige",IF($O2509=0,"À échoir",IF($O2509&lt;=30,"0-30",IF($O2509&lt;=60,"31-60",IF($O2509&lt;=90,"61-90","90+")))))))</f>
        <v/>
      </c>
    </row>
    <row r="2510">
      <c r="A2510" s="6" t="n"/>
      <c r="B2510" s="6" t="n"/>
      <c r="C2510" s="6" t="n"/>
      <c r="D2510" s="6" t="n"/>
      <c r="E2510" s="6" t="n"/>
      <c r="F2510" s="7" t="n"/>
      <c r="G2510" s="7" t="n"/>
      <c r="H2510" s="8" t="n"/>
      <c r="I2510" s="9">
        <f>IF($A2510="","",SUMIFS(Ventes_Encaissements!$D$6:$D$3005,Ventes_Encaissements!$B$6:$B$3005,$A2510))</f>
        <v/>
      </c>
      <c r="J2510" s="9">
        <f>IF($A2510="","",$H2510-$I2510)</f>
        <v/>
      </c>
      <c r="K2510" s="10">
        <f>IF($A2510="","",IF($I2510=0,"",_xludf.AGGREGATE(14,6,Ventes_Encaissements!$C$6:$C$3005/(Ventes_Encaissements!$B$6:$B$3005=$A2510),1)))</f>
        <v/>
      </c>
      <c r="L2510" s="11">
        <f>IF($A2510="","",COUNTIFS(Ventes_Detail!$B$6:$B$3005,$A2510))</f>
        <v/>
      </c>
      <c r="M2510" s="12" t="n"/>
      <c r="N2510" s="12">
        <f>IF($A2510="","",IF($G2510="","",IF($M2510="Oui","Litige",IF($J2510&lt;=0,"Payé",IF($I2510&gt;0,"Partiel",IF(Listes!$B$3&gt;$G2510,"En retard","À échoir"))))))</f>
        <v/>
      </c>
      <c r="O2510" s="11">
        <f>IF($A2510="","",IF(OR($G2510="", $J2510&lt;=0),0,MAX(0,Listes!$B$3-$G2510)))</f>
        <v/>
      </c>
      <c r="P2510" s="12">
        <f>IF($A2510="","",IF($J2510&lt;=0,"Payé",IF($M2510="Oui","Litige",IF($O2510=0,"À échoir",IF($O2510&lt;=30,"0-30",IF($O2510&lt;=60,"31-60",IF($O2510&lt;=90,"61-90","90+")))))))</f>
        <v/>
      </c>
    </row>
    <row r="2511">
      <c r="A2511" s="6" t="n"/>
      <c r="B2511" s="6" t="n"/>
      <c r="C2511" s="6" t="n"/>
      <c r="D2511" s="6" t="n"/>
      <c r="E2511" s="6" t="n"/>
      <c r="F2511" s="7" t="n"/>
      <c r="G2511" s="7" t="n"/>
      <c r="H2511" s="8" t="n"/>
      <c r="I2511" s="9">
        <f>IF($A2511="","",SUMIFS(Ventes_Encaissements!$D$6:$D$3005,Ventes_Encaissements!$B$6:$B$3005,$A2511))</f>
        <v/>
      </c>
      <c r="J2511" s="9">
        <f>IF($A2511="","",$H2511-$I2511)</f>
        <v/>
      </c>
      <c r="K2511" s="10">
        <f>IF($A2511="","",IF($I2511=0,"",_xludf.AGGREGATE(14,6,Ventes_Encaissements!$C$6:$C$3005/(Ventes_Encaissements!$B$6:$B$3005=$A2511),1)))</f>
        <v/>
      </c>
      <c r="L2511" s="11">
        <f>IF($A2511="","",COUNTIFS(Ventes_Detail!$B$6:$B$3005,$A2511))</f>
        <v/>
      </c>
      <c r="M2511" s="12" t="n"/>
      <c r="N2511" s="12">
        <f>IF($A2511="","",IF($G2511="","",IF($M2511="Oui","Litige",IF($J2511&lt;=0,"Payé",IF($I2511&gt;0,"Partiel",IF(Listes!$B$3&gt;$G2511,"En retard","À échoir"))))))</f>
        <v/>
      </c>
      <c r="O2511" s="11">
        <f>IF($A2511="","",IF(OR($G2511="", $J2511&lt;=0),0,MAX(0,Listes!$B$3-$G2511)))</f>
        <v/>
      </c>
      <c r="P2511" s="12">
        <f>IF($A2511="","",IF($J2511&lt;=0,"Payé",IF($M2511="Oui","Litige",IF($O2511=0,"À échoir",IF($O2511&lt;=30,"0-30",IF($O2511&lt;=60,"31-60",IF($O2511&lt;=90,"61-90","90+")))))))</f>
        <v/>
      </c>
    </row>
    <row r="2512">
      <c r="A2512" s="6" t="n"/>
      <c r="B2512" s="6" t="n"/>
      <c r="C2512" s="6" t="n"/>
      <c r="D2512" s="6" t="n"/>
      <c r="E2512" s="6" t="n"/>
      <c r="F2512" s="7" t="n"/>
      <c r="G2512" s="7" t="n"/>
      <c r="H2512" s="8" t="n"/>
      <c r="I2512" s="9">
        <f>IF($A2512="","",SUMIFS(Ventes_Encaissements!$D$6:$D$3005,Ventes_Encaissements!$B$6:$B$3005,$A2512))</f>
        <v/>
      </c>
      <c r="J2512" s="9">
        <f>IF($A2512="","",$H2512-$I2512)</f>
        <v/>
      </c>
      <c r="K2512" s="10">
        <f>IF($A2512="","",IF($I2512=0,"",_xludf.AGGREGATE(14,6,Ventes_Encaissements!$C$6:$C$3005/(Ventes_Encaissements!$B$6:$B$3005=$A2512),1)))</f>
        <v/>
      </c>
      <c r="L2512" s="11">
        <f>IF($A2512="","",COUNTIFS(Ventes_Detail!$B$6:$B$3005,$A2512))</f>
        <v/>
      </c>
      <c r="M2512" s="12" t="n"/>
      <c r="N2512" s="12">
        <f>IF($A2512="","",IF($G2512="","",IF($M2512="Oui","Litige",IF($J2512&lt;=0,"Payé",IF($I2512&gt;0,"Partiel",IF(Listes!$B$3&gt;$G2512,"En retard","À échoir"))))))</f>
        <v/>
      </c>
      <c r="O2512" s="11">
        <f>IF($A2512="","",IF(OR($G2512="", $J2512&lt;=0),0,MAX(0,Listes!$B$3-$G2512)))</f>
        <v/>
      </c>
      <c r="P2512" s="12">
        <f>IF($A2512="","",IF($J2512&lt;=0,"Payé",IF($M2512="Oui","Litige",IF($O2512=0,"À échoir",IF($O2512&lt;=30,"0-30",IF($O2512&lt;=60,"31-60",IF($O2512&lt;=90,"61-90","90+")))))))</f>
        <v/>
      </c>
    </row>
    <row r="2513">
      <c r="A2513" s="6" t="n"/>
      <c r="B2513" s="6" t="n"/>
      <c r="C2513" s="6" t="n"/>
      <c r="D2513" s="6" t="n"/>
      <c r="E2513" s="6" t="n"/>
      <c r="F2513" s="7" t="n"/>
      <c r="G2513" s="7" t="n"/>
      <c r="H2513" s="8" t="n"/>
      <c r="I2513" s="9">
        <f>IF($A2513="","",SUMIFS(Ventes_Encaissements!$D$6:$D$3005,Ventes_Encaissements!$B$6:$B$3005,$A2513))</f>
        <v/>
      </c>
      <c r="J2513" s="9">
        <f>IF($A2513="","",$H2513-$I2513)</f>
        <v/>
      </c>
      <c r="K2513" s="10">
        <f>IF($A2513="","",IF($I2513=0,"",_xludf.AGGREGATE(14,6,Ventes_Encaissements!$C$6:$C$3005/(Ventes_Encaissements!$B$6:$B$3005=$A2513),1)))</f>
        <v/>
      </c>
      <c r="L2513" s="11">
        <f>IF($A2513="","",COUNTIFS(Ventes_Detail!$B$6:$B$3005,$A2513))</f>
        <v/>
      </c>
      <c r="M2513" s="12" t="n"/>
      <c r="N2513" s="12">
        <f>IF($A2513="","",IF($G2513="","",IF($M2513="Oui","Litige",IF($J2513&lt;=0,"Payé",IF($I2513&gt;0,"Partiel",IF(Listes!$B$3&gt;$G2513,"En retard","À échoir"))))))</f>
        <v/>
      </c>
      <c r="O2513" s="11">
        <f>IF($A2513="","",IF(OR($G2513="", $J2513&lt;=0),0,MAX(0,Listes!$B$3-$G2513)))</f>
        <v/>
      </c>
      <c r="P2513" s="12">
        <f>IF($A2513="","",IF($J2513&lt;=0,"Payé",IF($M2513="Oui","Litige",IF($O2513=0,"À échoir",IF($O2513&lt;=30,"0-30",IF($O2513&lt;=60,"31-60",IF($O2513&lt;=90,"61-90","90+")))))))</f>
        <v/>
      </c>
    </row>
    <row r="2514">
      <c r="A2514" s="6" t="n"/>
      <c r="B2514" s="6" t="n"/>
      <c r="C2514" s="6" t="n"/>
      <c r="D2514" s="6" t="n"/>
      <c r="E2514" s="6" t="n"/>
      <c r="F2514" s="7" t="n"/>
      <c r="G2514" s="7" t="n"/>
      <c r="H2514" s="8" t="n"/>
      <c r="I2514" s="9">
        <f>IF($A2514="","",SUMIFS(Ventes_Encaissements!$D$6:$D$3005,Ventes_Encaissements!$B$6:$B$3005,$A2514))</f>
        <v/>
      </c>
      <c r="J2514" s="9">
        <f>IF($A2514="","",$H2514-$I2514)</f>
        <v/>
      </c>
      <c r="K2514" s="10">
        <f>IF($A2514="","",IF($I2514=0,"",_xludf.AGGREGATE(14,6,Ventes_Encaissements!$C$6:$C$3005/(Ventes_Encaissements!$B$6:$B$3005=$A2514),1)))</f>
        <v/>
      </c>
      <c r="L2514" s="11">
        <f>IF($A2514="","",COUNTIFS(Ventes_Detail!$B$6:$B$3005,$A2514))</f>
        <v/>
      </c>
      <c r="M2514" s="12" t="n"/>
      <c r="N2514" s="12">
        <f>IF($A2514="","",IF($G2514="","",IF($M2514="Oui","Litige",IF($J2514&lt;=0,"Payé",IF($I2514&gt;0,"Partiel",IF(Listes!$B$3&gt;$G2514,"En retard","À échoir"))))))</f>
        <v/>
      </c>
      <c r="O2514" s="11">
        <f>IF($A2514="","",IF(OR($G2514="", $J2514&lt;=0),0,MAX(0,Listes!$B$3-$G2514)))</f>
        <v/>
      </c>
      <c r="P2514" s="12">
        <f>IF($A2514="","",IF($J2514&lt;=0,"Payé",IF($M2514="Oui","Litige",IF($O2514=0,"À échoir",IF($O2514&lt;=30,"0-30",IF($O2514&lt;=60,"31-60",IF($O2514&lt;=90,"61-90","90+")))))))</f>
        <v/>
      </c>
    </row>
    <row r="2515">
      <c r="A2515" s="6" t="n"/>
      <c r="B2515" s="6" t="n"/>
      <c r="C2515" s="6" t="n"/>
      <c r="D2515" s="6" t="n"/>
      <c r="E2515" s="6" t="n"/>
      <c r="F2515" s="7" t="n"/>
      <c r="G2515" s="7" t="n"/>
      <c r="H2515" s="8" t="n"/>
      <c r="I2515" s="9">
        <f>IF($A2515="","",SUMIFS(Ventes_Encaissements!$D$6:$D$3005,Ventes_Encaissements!$B$6:$B$3005,$A2515))</f>
        <v/>
      </c>
      <c r="J2515" s="9">
        <f>IF($A2515="","",$H2515-$I2515)</f>
        <v/>
      </c>
      <c r="K2515" s="10">
        <f>IF($A2515="","",IF($I2515=0,"",_xludf.AGGREGATE(14,6,Ventes_Encaissements!$C$6:$C$3005/(Ventes_Encaissements!$B$6:$B$3005=$A2515),1)))</f>
        <v/>
      </c>
      <c r="L2515" s="11">
        <f>IF($A2515="","",COUNTIFS(Ventes_Detail!$B$6:$B$3005,$A2515))</f>
        <v/>
      </c>
      <c r="M2515" s="12" t="n"/>
      <c r="N2515" s="12">
        <f>IF($A2515="","",IF($G2515="","",IF($M2515="Oui","Litige",IF($J2515&lt;=0,"Payé",IF($I2515&gt;0,"Partiel",IF(Listes!$B$3&gt;$G2515,"En retard","À échoir"))))))</f>
        <v/>
      </c>
      <c r="O2515" s="11">
        <f>IF($A2515="","",IF(OR($G2515="", $J2515&lt;=0),0,MAX(0,Listes!$B$3-$G2515)))</f>
        <v/>
      </c>
      <c r="P2515" s="12">
        <f>IF($A2515="","",IF($J2515&lt;=0,"Payé",IF($M2515="Oui","Litige",IF($O2515=0,"À échoir",IF($O2515&lt;=30,"0-30",IF($O2515&lt;=60,"31-60",IF($O2515&lt;=90,"61-90","90+")))))))</f>
        <v/>
      </c>
    </row>
    <row r="2516">
      <c r="A2516" s="6" t="n"/>
      <c r="B2516" s="6" t="n"/>
      <c r="C2516" s="6" t="n"/>
      <c r="D2516" s="6" t="n"/>
      <c r="E2516" s="6" t="n"/>
      <c r="F2516" s="7" t="n"/>
      <c r="G2516" s="7" t="n"/>
      <c r="H2516" s="8" t="n"/>
      <c r="I2516" s="9">
        <f>IF($A2516="","",SUMIFS(Ventes_Encaissements!$D$6:$D$3005,Ventes_Encaissements!$B$6:$B$3005,$A2516))</f>
        <v/>
      </c>
      <c r="J2516" s="9">
        <f>IF($A2516="","",$H2516-$I2516)</f>
        <v/>
      </c>
      <c r="K2516" s="10">
        <f>IF($A2516="","",IF($I2516=0,"",_xludf.AGGREGATE(14,6,Ventes_Encaissements!$C$6:$C$3005/(Ventes_Encaissements!$B$6:$B$3005=$A2516),1)))</f>
        <v/>
      </c>
      <c r="L2516" s="11">
        <f>IF($A2516="","",COUNTIFS(Ventes_Detail!$B$6:$B$3005,$A2516))</f>
        <v/>
      </c>
      <c r="M2516" s="12" t="n"/>
      <c r="N2516" s="12">
        <f>IF($A2516="","",IF($G2516="","",IF($M2516="Oui","Litige",IF($J2516&lt;=0,"Payé",IF($I2516&gt;0,"Partiel",IF(Listes!$B$3&gt;$G2516,"En retard","À échoir"))))))</f>
        <v/>
      </c>
      <c r="O2516" s="11">
        <f>IF($A2516="","",IF(OR($G2516="", $J2516&lt;=0),0,MAX(0,Listes!$B$3-$G2516)))</f>
        <v/>
      </c>
      <c r="P2516" s="12">
        <f>IF($A2516="","",IF($J2516&lt;=0,"Payé",IF($M2516="Oui","Litige",IF($O2516=0,"À échoir",IF($O2516&lt;=30,"0-30",IF($O2516&lt;=60,"31-60",IF($O2516&lt;=90,"61-90","90+")))))))</f>
        <v/>
      </c>
    </row>
    <row r="2517">
      <c r="A2517" s="6" t="n"/>
      <c r="B2517" s="6" t="n"/>
      <c r="C2517" s="6" t="n"/>
      <c r="D2517" s="6" t="n"/>
      <c r="E2517" s="6" t="n"/>
      <c r="F2517" s="7" t="n"/>
      <c r="G2517" s="7" t="n"/>
      <c r="H2517" s="8" t="n"/>
      <c r="I2517" s="9">
        <f>IF($A2517="","",SUMIFS(Ventes_Encaissements!$D$6:$D$3005,Ventes_Encaissements!$B$6:$B$3005,$A2517))</f>
        <v/>
      </c>
      <c r="J2517" s="9">
        <f>IF($A2517="","",$H2517-$I2517)</f>
        <v/>
      </c>
      <c r="K2517" s="10">
        <f>IF($A2517="","",IF($I2517=0,"",_xludf.AGGREGATE(14,6,Ventes_Encaissements!$C$6:$C$3005/(Ventes_Encaissements!$B$6:$B$3005=$A2517),1)))</f>
        <v/>
      </c>
      <c r="L2517" s="11">
        <f>IF($A2517="","",COUNTIFS(Ventes_Detail!$B$6:$B$3005,$A2517))</f>
        <v/>
      </c>
      <c r="M2517" s="12" t="n"/>
      <c r="N2517" s="12">
        <f>IF($A2517="","",IF($G2517="","",IF($M2517="Oui","Litige",IF($J2517&lt;=0,"Payé",IF($I2517&gt;0,"Partiel",IF(Listes!$B$3&gt;$G2517,"En retard","À échoir"))))))</f>
        <v/>
      </c>
      <c r="O2517" s="11">
        <f>IF($A2517="","",IF(OR($G2517="", $J2517&lt;=0),0,MAX(0,Listes!$B$3-$G2517)))</f>
        <v/>
      </c>
      <c r="P2517" s="12">
        <f>IF($A2517="","",IF($J2517&lt;=0,"Payé",IF($M2517="Oui","Litige",IF($O2517=0,"À échoir",IF($O2517&lt;=30,"0-30",IF($O2517&lt;=60,"31-60",IF($O2517&lt;=90,"61-90","90+")))))))</f>
        <v/>
      </c>
    </row>
    <row r="2518">
      <c r="A2518" s="6" t="n"/>
      <c r="B2518" s="6" t="n"/>
      <c r="C2518" s="6" t="n"/>
      <c r="D2518" s="6" t="n"/>
      <c r="E2518" s="6" t="n"/>
      <c r="F2518" s="7" t="n"/>
      <c r="G2518" s="7" t="n"/>
      <c r="H2518" s="8" t="n"/>
      <c r="I2518" s="9">
        <f>IF($A2518="","",SUMIFS(Ventes_Encaissements!$D$6:$D$3005,Ventes_Encaissements!$B$6:$B$3005,$A2518))</f>
        <v/>
      </c>
      <c r="J2518" s="9">
        <f>IF($A2518="","",$H2518-$I2518)</f>
        <v/>
      </c>
      <c r="K2518" s="10">
        <f>IF($A2518="","",IF($I2518=0,"",_xludf.AGGREGATE(14,6,Ventes_Encaissements!$C$6:$C$3005/(Ventes_Encaissements!$B$6:$B$3005=$A2518),1)))</f>
        <v/>
      </c>
      <c r="L2518" s="11">
        <f>IF($A2518="","",COUNTIFS(Ventes_Detail!$B$6:$B$3005,$A2518))</f>
        <v/>
      </c>
      <c r="M2518" s="12" t="n"/>
      <c r="N2518" s="12">
        <f>IF($A2518="","",IF($G2518="","",IF($M2518="Oui","Litige",IF($J2518&lt;=0,"Payé",IF($I2518&gt;0,"Partiel",IF(Listes!$B$3&gt;$G2518,"En retard","À échoir"))))))</f>
        <v/>
      </c>
      <c r="O2518" s="11">
        <f>IF($A2518="","",IF(OR($G2518="", $J2518&lt;=0),0,MAX(0,Listes!$B$3-$G2518)))</f>
        <v/>
      </c>
      <c r="P2518" s="12">
        <f>IF($A2518="","",IF($J2518&lt;=0,"Payé",IF($M2518="Oui","Litige",IF($O2518=0,"À échoir",IF($O2518&lt;=30,"0-30",IF($O2518&lt;=60,"31-60",IF($O2518&lt;=90,"61-90","90+")))))))</f>
        <v/>
      </c>
    </row>
    <row r="2519">
      <c r="A2519" s="6" t="n"/>
      <c r="B2519" s="6" t="n"/>
      <c r="C2519" s="6" t="n"/>
      <c r="D2519" s="6" t="n"/>
      <c r="E2519" s="6" t="n"/>
      <c r="F2519" s="7" t="n"/>
      <c r="G2519" s="7" t="n"/>
      <c r="H2519" s="8" t="n"/>
      <c r="I2519" s="9">
        <f>IF($A2519="","",SUMIFS(Ventes_Encaissements!$D$6:$D$3005,Ventes_Encaissements!$B$6:$B$3005,$A2519))</f>
        <v/>
      </c>
      <c r="J2519" s="9">
        <f>IF($A2519="","",$H2519-$I2519)</f>
        <v/>
      </c>
      <c r="K2519" s="10">
        <f>IF($A2519="","",IF($I2519=0,"",_xludf.AGGREGATE(14,6,Ventes_Encaissements!$C$6:$C$3005/(Ventes_Encaissements!$B$6:$B$3005=$A2519),1)))</f>
        <v/>
      </c>
      <c r="L2519" s="11">
        <f>IF($A2519="","",COUNTIFS(Ventes_Detail!$B$6:$B$3005,$A2519))</f>
        <v/>
      </c>
      <c r="M2519" s="12" t="n"/>
      <c r="N2519" s="12">
        <f>IF($A2519="","",IF($G2519="","",IF($M2519="Oui","Litige",IF($J2519&lt;=0,"Payé",IF($I2519&gt;0,"Partiel",IF(Listes!$B$3&gt;$G2519,"En retard","À échoir"))))))</f>
        <v/>
      </c>
      <c r="O2519" s="11">
        <f>IF($A2519="","",IF(OR($G2519="", $J2519&lt;=0),0,MAX(0,Listes!$B$3-$G2519)))</f>
        <v/>
      </c>
      <c r="P2519" s="12">
        <f>IF($A2519="","",IF($J2519&lt;=0,"Payé",IF($M2519="Oui","Litige",IF($O2519=0,"À échoir",IF($O2519&lt;=30,"0-30",IF($O2519&lt;=60,"31-60",IF($O2519&lt;=90,"61-90","90+")))))))</f>
        <v/>
      </c>
    </row>
    <row r="2520">
      <c r="A2520" s="6" t="n"/>
      <c r="B2520" s="6" t="n"/>
      <c r="C2520" s="6" t="n"/>
      <c r="D2520" s="6" t="n"/>
      <c r="E2520" s="6" t="n"/>
      <c r="F2520" s="7" t="n"/>
      <c r="G2520" s="7" t="n"/>
      <c r="H2520" s="8" t="n"/>
      <c r="I2520" s="9">
        <f>IF($A2520="","",SUMIFS(Ventes_Encaissements!$D$6:$D$3005,Ventes_Encaissements!$B$6:$B$3005,$A2520))</f>
        <v/>
      </c>
      <c r="J2520" s="9">
        <f>IF($A2520="","",$H2520-$I2520)</f>
        <v/>
      </c>
      <c r="K2520" s="10">
        <f>IF($A2520="","",IF($I2520=0,"",_xludf.AGGREGATE(14,6,Ventes_Encaissements!$C$6:$C$3005/(Ventes_Encaissements!$B$6:$B$3005=$A2520),1)))</f>
        <v/>
      </c>
      <c r="L2520" s="11">
        <f>IF($A2520="","",COUNTIFS(Ventes_Detail!$B$6:$B$3005,$A2520))</f>
        <v/>
      </c>
      <c r="M2520" s="12" t="n"/>
      <c r="N2520" s="12">
        <f>IF($A2520="","",IF($G2520="","",IF($M2520="Oui","Litige",IF($J2520&lt;=0,"Payé",IF($I2520&gt;0,"Partiel",IF(Listes!$B$3&gt;$G2520,"En retard","À échoir"))))))</f>
        <v/>
      </c>
      <c r="O2520" s="11">
        <f>IF($A2520="","",IF(OR($G2520="", $J2520&lt;=0),0,MAX(0,Listes!$B$3-$G2520)))</f>
        <v/>
      </c>
      <c r="P2520" s="12">
        <f>IF($A2520="","",IF($J2520&lt;=0,"Payé",IF($M2520="Oui","Litige",IF($O2520=0,"À échoir",IF($O2520&lt;=30,"0-30",IF($O2520&lt;=60,"31-60",IF($O2520&lt;=90,"61-90","90+")))))))</f>
        <v/>
      </c>
    </row>
    <row r="2521">
      <c r="A2521" s="6" t="n"/>
      <c r="B2521" s="6" t="n"/>
      <c r="C2521" s="6" t="n"/>
      <c r="D2521" s="6" t="n"/>
      <c r="E2521" s="6" t="n"/>
      <c r="F2521" s="7" t="n"/>
      <c r="G2521" s="7" t="n"/>
      <c r="H2521" s="8" t="n"/>
      <c r="I2521" s="9">
        <f>IF($A2521="","",SUMIFS(Ventes_Encaissements!$D$6:$D$3005,Ventes_Encaissements!$B$6:$B$3005,$A2521))</f>
        <v/>
      </c>
      <c r="J2521" s="9">
        <f>IF($A2521="","",$H2521-$I2521)</f>
        <v/>
      </c>
      <c r="K2521" s="10">
        <f>IF($A2521="","",IF($I2521=0,"",_xludf.AGGREGATE(14,6,Ventes_Encaissements!$C$6:$C$3005/(Ventes_Encaissements!$B$6:$B$3005=$A2521),1)))</f>
        <v/>
      </c>
      <c r="L2521" s="11">
        <f>IF($A2521="","",COUNTIFS(Ventes_Detail!$B$6:$B$3005,$A2521))</f>
        <v/>
      </c>
      <c r="M2521" s="12" t="n"/>
      <c r="N2521" s="12">
        <f>IF($A2521="","",IF($G2521="","",IF($M2521="Oui","Litige",IF($J2521&lt;=0,"Payé",IF($I2521&gt;0,"Partiel",IF(Listes!$B$3&gt;$G2521,"En retard","À échoir"))))))</f>
        <v/>
      </c>
      <c r="O2521" s="11">
        <f>IF($A2521="","",IF(OR($G2521="", $J2521&lt;=0),0,MAX(0,Listes!$B$3-$G2521)))</f>
        <v/>
      </c>
      <c r="P2521" s="12">
        <f>IF($A2521="","",IF($J2521&lt;=0,"Payé",IF($M2521="Oui","Litige",IF($O2521=0,"À échoir",IF($O2521&lt;=30,"0-30",IF($O2521&lt;=60,"31-60",IF($O2521&lt;=90,"61-90","90+")))))))</f>
        <v/>
      </c>
    </row>
    <row r="2522">
      <c r="A2522" s="6" t="n"/>
      <c r="B2522" s="6" t="n"/>
      <c r="C2522" s="6" t="n"/>
      <c r="D2522" s="6" t="n"/>
      <c r="E2522" s="6" t="n"/>
      <c r="F2522" s="7" t="n"/>
      <c r="G2522" s="7" t="n"/>
      <c r="H2522" s="8" t="n"/>
      <c r="I2522" s="9">
        <f>IF($A2522="","",SUMIFS(Ventes_Encaissements!$D$6:$D$3005,Ventes_Encaissements!$B$6:$B$3005,$A2522))</f>
        <v/>
      </c>
      <c r="J2522" s="9">
        <f>IF($A2522="","",$H2522-$I2522)</f>
        <v/>
      </c>
      <c r="K2522" s="10">
        <f>IF($A2522="","",IF($I2522=0,"",_xludf.AGGREGATE(14,6,Ventes_Encaissements!$C$6:$C$3005/(Ventes_Encaissements!$B$6:$B$3005=$A2522),1)))</f>
        <v/>
      </c>
      <c r="L2522" s="11">
        <f>IF($A2522="","",COUNTIFS(Ventes_Detail!$B$6:$B$3005,$A2522))</f>
        <v/>
      </c>
      <c r="M2522" s="12" t="n"/>
      <c r="N2522" s="12">
        <f>IF($A2522="","",IF($G2522="","",IF($M2522="Oui","Litige",IF($J2522&lt;=0,"Payé",IF($I2522&gt;0,"Partiel",IF(Listes!$B$3&gt;$G2522,"En retard","À échoir"))))))</f>
        <v/>
      </c>
      <c r="O2522" s="11">
        <f>IF($A2522="","",IF(OR($G2522="", $J2522&lt;=0),0,MAX(0,Listes!$B$3-$G2522)))</f>
        <v/>
      </c>
      <c r="P2522" s="12">
        <f>IF($A2522="","",IF($J2522&lt;=0,"Payé",IF($M2522="Oui","Litige",IF($O2522=0,"À échoir",IF($O2522&lt;=30,"0-30",IF($O2522&lt;=60,"31-60",IF($O2522&lt;=90,"61-90","90+")))))))</f>
        <v/>
      </c>
    </row>
    <row r="2523">
      <c r="A2523" s="6" t="n"/>
      <c r="B2523" s="6" t="n"/>
      <c r="C2523" s="6" t="n"/>
      <c r="D2523" s="6" t="n"/>
      <c r="E2523" s="6" t="n"/>
      <c r="F2523" s="7" t="n"/>
      <c r="G2523" s="7" t="n"/>
      <c r="H2523" s="8" t="n"/>
      <c r="I2523" s="9">
        <f>IF($A2523="","",SUMIFS(Ventes_Encaissements!$D$6:$D$3005,Ventes_Encaissements!$B$6:$B$3005,$A2523))</f>
        <v/>
      </c>
      <c r="J2523" s="9">
        <f>IF($A2523="","",$H2523-$I2523)</f>
        <v/>
      </c>
      <c r="K2523" s="10">
        <f>IF($A2523="","",IF($I2523=0,"",_xludf.AGGREGATE(14,6,Ventes_Encaissements!$C$6:$C$3005/(Ventes_Encaissements!$B$6:$B$3005=$A2523),1)))</f>
        <v/>
      </c>
      <c r="L2523" s="11">
        <f>IF($A2523="","",COUNTIFS(Ventes_Detail!$B$6:$B$3005,$A2523))</f>
        <v/>
      </c>
      <c r="M2523" s="12" t="n"/>
      <c r="N2523" s="12">
        <f>IF($A2523="","",IF($G2523="","",IF($M2523="Oui","Litige",IF($J2523&lt;=0,"Payé",IF($I2523&gt;0,"Partiel",IF(Listes!$B$3&gt;$G2523,"En retard","À échoir"))))))</f>
        <v/>
      </c>
      <c r="O2523" s="11">
        <f>IF($A2523="","",IF(OR($G2523="", $J2523&lt;=0),0,MAX(0,Listes!$B$3-$G2523)))</f>
        <v/>
      </c>
      <c r="P2523" s="12">
        <f>IF($A2523="","",IF($J2523&lt;=0,"Payé",IF($M2523="Oui","Litige",IF($O2523=0,"À échoir",IF($O2523&lt;=30,"0-30",IF($O2523&lt;=60,"31-60",IF($O2523&lt;=90,"61-90","90+")))))))</f>
        <v/>
      </c>
    </row>
    <row r="2524">
      <c r="A2524" s="6" t="n"/>
      <c r="B2524" s="6" t="n"/>
      <c r="C2524" s="6" t="n"/>
      <c r="D2524" s="6" t="n"/>
      <c r="E2524" s="6" t="n"/>
      <c r="F2524" s="7" t="n"/>
      <c r="G2524" s="7" t="n"/>
      <c r="H2524" s="8" t="n"/>
      <c r="I2524" s="9">
        <f>IF($A2524="","",SUMIFS(Ventes_Encaissements!$D$6:$D$3005,Ventes_Encaissements!$B$6:$B$3005,$A2524))</f>
        <v/>
      </c>
      <c r="J2524" s="9">
        <f>IF($A2524="","",$H2524-$I2524)</f>
        <v/>
      </c>
      <c r="K2524" s="10">
        <f>IF($A2524="","",IF($I2524=0,"",_xludf.AGGREGATE(14,6,Ventes_Encaissements!$C$6:$C$3005/(Ventes_Encaissements!$B$6:$B$3005=$A2524),1)))</f>
        <v/>
      </c>
      <c r="L2524" s="11">
        <f>IF($A2524="","",COUNTIFS(Ventes_Detail!$B$6:$B$3005,$A2524))</f>
        <v/>
      </c>
      <c r="M2524" s="12" t="n"/>
      <c r="N2524" s="12">
        <f>IF($A2524="","",IF($G2524="","",IF($M2524="Oui","Litige",IF($J2524&lt;=0,"Payé",IF($I2524&gt;0,"Partiel",IF(Listes!$B$3&gt;$G2524,"En retard","À échoir"))))))</f>
        <v/>
      </c>
      <c r="O2524" s="11">
        <f>IF($A2524="","",IF(OR($G2524="", $J2524&lt;=0),0,MAX(0,Listes!$B$3-$G2524)))</f>
        <v/>
      </c>
      <c r="P2524" s="12">
        <f>IF($A2524="","",IF($J2524&lt;=0,"Payé",IF($M2524="Oui","Litige",IF($O2524=0,"À échoir",IF($O2524&lt;=30,"0-30",IF($O2524&lt;=60,"31-60",IF($O2524&lt;=90,"61-90","90+")))))))</f>
        <v/>
      </c>
    </row>
    <row r="2525">
      <c r="A2525" s="6" t="n"/>
      <c r="B2525" s="6" t="n"/>
      <c r="C2525" s="6" t="n"/>
      <c r="D2525" s="6" t="n"/>
      <c r="E2525" s="6" t="n"/>
      <c r="F2525" s="7" t="n"/>
      <c r="G2525" s="7" t="n"/>
      <c r="H2525" s="8" t="n"/>
      <c r="I2525" s="9">
        <f>IF($A2525="","",SUMIFS(Ventes_Encaissements!$D$6:$D$3005,Ventes_Encaissements!$B$6:$B$3005,$A2525))</f>
        <v/>
      </c>
      <c r="J2525" s="9">
        <f>IF($A2525="","",$H2525-$I2525)</f>
        <v/>
      </c>
      <c r="K2525" s="10">
        <f>IF($A2525="","",IF($I2525=0,"",_xludf.AGGREGATE(14,6,Ventes_Encaissements!$C$6:$C$3005/(Ventes_Encaissements!$B$6:$B$3005=$A2525),1)))</f>
        <v/>
      </c>
      <c r="L2525" s="11">
        <f>IF($A2525="","",COUNTIFS(Ventes_Detail!$B$6:$B$3005,$A2525))</f>
        <v/>
      </c>
      <c r="M2525" s="12" t="n"/>
      <c r="N2525" s="12">
        <f>IF($A2525="","",IF($G2525="","",IF($M2525="Oui","Litige",IF($J2525&lt;=0,"Payé",IF($I2525&gt;0,"Partiel",IF(Listes!$B$3&gt;$G2525,"En retard","À échoir"))))))</f>
        <v/>
      </c>
      <c r="O2525" s="11">
        <f>IF($A2525="","",IF(OR($G2525="", $J2525&lt;=0),0,MAX(0,Listes!$B$3-$G2525)))</f>
        <v/>
      </c>
      <c r="P2525" s="12">
        <f>IF($A2525="","",IF($J2525&lt;=0,"Payé",IF($M2525="Oui","Litige",IF($O2525=0,"À échoir",IF($O2525&lt;=30,"0-30",IF($O2525&lt;=60,"31-60",IF($O2525&lt;=90,"61-90","90+")))))))</f>
        <v/>
      </c>
    </row>
    <row r="2526">
      <c r="A2526" s="6" t="n"/>
      <c r="B2526" s="6" t="n"/>
      <c r="C2526" s="6" t="n"/>
      <c r="D2526" s="6" t="n"/>
      <c r="E2526" s="6" t="n"/>
      <c r="F2526" s="7" t="n"/>
      <c r="G2526" s="7" t="n"/>
      <c r="H2526" s="8" t="n"/>
      <c r="I2526" s="9">
        <f>IF($A2526="","",SUMIFS(Ventes_Encaissements!$D$6:$D$3005,Ventes_Encaissements!$B$6:$B$3005,$A2526))</f>
        <v/>
      </c>
      <c r="J2526" s="9">
        <f>IF($A2526="","",$H2526-$I2526)</f>
        <v/>
      </c>
      <c r="K2526" s="10">
        <f>IF($A2526="","",IF($I2526=0,"",_xludf.AGGREGATE(14,6,Ventes_Encaissements!$C$6:$C$3005/(Ventes_Encaissements!$B$6:$B$3005=$A2526),1)))</f>
        <v/>
      </c>
      <c r="L2526" s="11">
        <f>IF($A2526="","",COUNTIFS(Ventes_Detail!$B$6:$B$3005,$A2526))</f>
        <v/>
      </c>
      <c r="M2526" s="12" t="n"/>
      <c r="N2526" s="12">
        <f>IF($A2526="","",IF($G2526="","",IF($M2526="Oui","Litige",IF($J2526&lt;=0,"Payé",IF($I2526&gt;0,"Partiel",IF(Listes!$B$3&gt;$G2526,"En retard","À échoir"))))))</f>
        <v/>
      </c>
      <c r="O2526" s="11">
        <f>IF($A2526="","",IF(OR($G2526="", $J2526&lt;=0),0,MAX(0,Listes!$B$3-$G2526)))</f>
        <v/>
      </c>
      <c r="P2526" s="12">
        <f>IF($A2526="","",IF($J2526&lt;=0,"Payé",IF($M2526="Oui","Litige",IF($O2526=0,"À échoir",IF($O2526&lt;=30,"0-30",IF($O2526&lt;=60,"31-60",IF($O2526&lt;=90,"61-90","90+")))))))</f>
        <v/>
      </c>
    </row>
    <row r="2527">
      <c r="A2527" s="6" t="n"/>
      <c r="B2527" s="6" t="n"/>
      <c r="C2527" s="6" t="n"/>
      <c r="D2527" s="6" t="n"/>
      <c r="E2527" s="6" t="n"/>
      <c r="F2527" s="7" t="n"/>
      <c r="G2527" s="7" t="n"/>
      <c r="H2527" s="8" t="n"/>
      <c r="I2527" s="9">
        <f>IF($A2527="","",SUMIFS(Ventes_Encaissements!$D$6:$D$3005,Ventes_Encaissements!$B$6:$B$3005,$A2527))</f>
        <v/>
      </c>
      <c r="J2527" s="9">
        <f>IF($A2527="","",$H2527-$I2527)</f>
        <v/>
      </c>
      <c r="K2527" s="10">
        <f>IF($A2527="","",IF($I2527=0,"",_xludf.AGGREGATE(14,6,Ventes_Encaissements!$C$6:$C$3005/(Ventes_Encaissements!$B$6:$B$3005=$A2527),1)))</f>
        <v/>
      </c>
      <c r="L2527" s="11">
        <f>IF($A2527="","",COUNTIFS(Ventes_Detail!$B$6:$B$3005,$A2527))</f>
        <v/>
      </c>
      <c r="M2527" s="12" t="n"/>
      <c r="N2527" s="12">
        <f>IF($A2527="","",IF($G2527="","",IF($M2527="Oui","Litige",IF($J2527&lt;=0,"Payé",IF($I2527&gt;0,"Partiel",IF(Listes!$B$3&gt;$G2527,"En retard","À échoir"))))))</f>
        <v/>
      </c>
      <c r="O2527" s="11">
        <f>IF($A2527="","",IF(OR($G2527="", $J2527&lt;=0),0,MAX(0,Listes!$B$3-$G2527)))</f>
        <v/>
      </c>
      <c r="P2527" s="12">
        <f>IF($A2527="","",IF($J2527&lt;=0,"Payé",IF($M2527="Oui","Litige",IF($O2527=0,"À échoir",IF($O2527&lt;=30,"0-30",IF($O2527&lt;=60,"31-60",IF($O2527&lt;=90,"61-90","90+")))))))</f>
        <v/>
      </c>
    </row>
    <row r="2528">
      <c r="A2528" s="6" t="n"/>
      <c r="B2528" s="6" t="n"/>
      <c r="C2528" s="6" t="n"/>
      <c r="D2528" s="6" t="n"/>
      <c r="E2528" s="6" t="n"/>
      <c r="F2528" s="7" t="n"/>
      <c r="G2528" s="7" t="n"/>
      <c r="H2528" s="8" t="n"/>
      <c r="I2528" s="9">
        <f>IF($A2528="","",SUMIFS(Ventes_Encaissements!$D$6:$D$3005,Ventes_Encaissements!$B$6:$B$3005,$A2528))</f>
        <v/>
      </c>
      <c r="J2528" s="9">
        <f>IF($A2528="","",$H2528-$I2528)</f>
        <v/>
      </c>
      <c r="K2528" s="10">
        <f>IF($A2528="","",IF($I2528=0,"",_xludf.AGGREGATE(14,6,Ventes_Encaissements!$C$6:$C$3005/(Ventes_Encaissements!$B$6:$B$3005=$A2528),1)))</f>
        <v/>
      </c>
      <c r="L2528" s="11">
        <f>IF($A2528="","",COUNTIFS(Ventes_Detail!$B$6:$B$3005,$A2528))</f>
        <v/>
      </c>
      <c r="M2528" s="12" t="n"/>
      <c r="N2528" s="12">
        <f>IF($A2528="","",IF($G2528="","",IF($M2528="Oui","Litige",IF($J2528&lt;=0,"Payé",IF($I2528&gt;0,"Partiel",IF(Listes!$B$3&gt;$G2528,"En retard","À échoir"))))))</f>
        <v/>
      </c>
      <c r="O2528" s="11">
        <f>IF($A2528="","",IF(OR($G2528="", $J2528&lt;=0),0,MAX(0,Listes!$B$3-$G2528)))</f>
        <v/>
      </c>
      <c r="P2528" s="12">
        <f>IF($A2528="","",IF($J2528&lt;=0,"Payé",IF($M2528="Oui","Litige",IF($O2528=0,"À échoir",IF($O2528&lt;=30,"0-30",IF($O2528&lt;=60,"31-60",IF($O2528&lt;=90,"61-90","90+")))))))</f>
        <v/>
      </c>
    </row>
    <row r="2529">
      <c r="A2529" s="6" t="n"/>
      <c r="B2529" s="6" t="n"/>
      <c r="C2529" s="6" t="n"/>
      <c r="D2529" s="6" t="n"/>
      <c r="E2529" s="6" t="n"/>
      <c r="F2529" s="7" t="n"/>
      <c r="G2529" s="7" t="n"/>
      <c r="H2529" s="8" t="n"/>
      <c r="I2529" s="9">
        <f>IF($A2529="","",SUMIFS(Ventes_Encaissements!$D$6:$D$3005,Ventes_Encaissements!$B$6:$B$3005,$A2529))</f>
        <v/>
      </c>
      <c r="J2529" s="9">
        <f>IF($A2529="","",$H2529-$I2529)</f>
        <v/>
      </c>
      <c r="K2529" s="10">
        <f>IF($A2529="","",IF($I2529=0,"",_xludf.AGGREGATE(14,6,Ventes_Encaissements!$C$6:$C$3005/(Ventes_Encaissements!$B$6:$B$3005=$A2529),1)))</f>
        <v/>
      </c>
      <c r="L2529" s="11">
        <f>IF($A2529="","",COUNTIFS(Ventes_Detail!$B$6:$B$3005,$A2529))</f>
        <v/>
      </c>
      <c r="M2529" s="12" t="n"/>
      <c r="N2529" s="12">
        <f>IF($A2529="","",IF($G2529="","",IF($M2529="Oui","Litige",IF($J2529&lt;=0,"Payé",IF($I2529&gt;0,"Partiel",IF(Listes!$B$3&gt;$G2529,"En retard","À échoir"))))))</f>
        <v/>
      </c>
      <c r="O2529" s="11">
        <f>IF($A2529="","",IF(OR($G2529="", $J2529&lt;=0),0,MAX(0,Listes!$B$3-$G2529)))</f>
        <v/>
      </c>
      <c r="P2529" s="12">
        <f>IF($A2529="","",IF($J2529&lt;=0,"Payé",IF($M2529="Oui","Litige",IF($O2529=0,"À échoir",IF($O2529&lt;=30,"0-30",IF($O2529&lt;=60,"31-60",IF($O2529&lt;=90,"61-90","90+")))))))</f>
        <v/>
      </c>
    </row>
    <row r="2530">
      <c r="A2530" s="6" t="n"/>
      <c r="B2530" s="6" t="n"/>
      <c r="C2530" s="6" t="n"/>
      <c r="D2530" s="6" t="n"/>
      <c r="E2530" s="6" t="n"/>
      <c r="F2530" s="7" t="n"/>
      <c r="G2530" s="7" t="n"/>
      <c r="H2530" s="8" t="n"/>
      <c r="I2530" s="9">
        <f>IF($A2530="","",SUMIFS(Ventes_Encaissements!$D$6:$D$3005,Ventes_Encaissements!$B$6:$B$3005,$A2530))</f>
        <v/>
      </c>
      <c r="J2530" s="9">
        <f>IF($A2530="","",$H2530-$I2530)</f>
        <v/>
      </c>
      <c r="K2530" s="10">
        <f>IF($A2530="","",IF($I2530=0,"",_xludf.AGGREGATE(14,6,Ventes_Encaissements!$C$6:$C$3005/(Ventes_Encaissements!$B$6:$B$3005=$A2530),1)))</f>
        <v/>
      </c>
      <c r="L2530" s="11">
        <f>IF($A2530="","",COUNTIFS(Ventes_Detail!$B$6:$B$3005,$A2530))</f>
        <v/>
      </c>
      <c r="M2530" s="12" t="n"/>
      <c r="N2530" s="12">
        <f>IF($A2530="","",IF($G2530="","",IF($M2530="Oui","Litige",IF($J2530&lt;=0,"Payé",IF($I2530&gt;0,"Partiel",IF(Listes!$B$3&gt;$G2530,"En retard","À échoir"))))))</f>
        <v/>
      </c>
      <c r="O2530" s="11">
        <f>IF($A2530="","",IF(OR($G2530="", $J2530&lt;=0),0,MAX(0,Listes!$B$3-$G2530)))</f>
        <v/>
      </c>
      <c r="P2530" s="12">
        <f>IF($A2530="","",IF($J2530&lt;=0,"Payé",IF($M2530="Oui","Litige",IF($O2530=0,"À échoir",IF($O2530&lt;=30,"0-30",IF($O2530&lt;=60,"31-60",IF($O2530&lt;=90,"61-90","90+")))))))</f>
        <v/>
      </c>
    </row>
    <row r="2531">
      <c r="A2531" s="6" t="n"/>
      <c r="B2531" s="6" t="n"/>
      <c r="C2531" s="6" t="n"/>
      <c r="D2531" s="6" t="n"/>
      <c r="E2531" s="6" t="n"/>
      <c r="F2531" s="7" t="n"/>
      <c r="G2531" s="7" t="n"/>
      <c r="H2531" s="8" t="n"/>
      <c r="I2531" s="9">
        <f>IF($A2531="","",SUMIFS(Ventes_Encaissements!$D$6:$D$3005,Ventes_Encaissements!$B$6:$B$3005,$A2531))</f>
        <v/>
      </c>
      <c r="J2531" s="9">
        <f>IF($A2531="","",$H2531-$I2531)</f>
        <v/>
      </c>
      <c r="K2531" s="10">
        <f>IF($A2531="","",IF($I2531=0,"",_xludf.AGGREGATE(14,6,Ventes_Encaissements!$C$6:$C$3005/(Ventes_Encaissements!$B$6:$B$3005=$A2531),1)))</f>
        <v/>
      </c>
      <c r="L2531" s="11">
        <f>IF($A2531="","",COUNTIFS(Ventes_Detail!$B$6:$B$3005,$A2531))</f>
        <v/>
      </c>
      <c r="M2531" s="12" t="n"/>
      <c r="N2531" s="12">
        <f>IF($A2531="","",IF($G2531="","",IF($M2531="Oui","Litige",IF($J2531&lt;=0,"Payé",IF($I2531&gt;0,"Partiel",IF(Listes!$B$3&gt;$G2531,"En retard","À échoir"))))))</f>
        <v/>
      </c>
      <c r="O2531" s="11">
        <f>IF($A2531="","",IF(OR($G2531="", $J2531&lt;=0),0,MAX(0,Listes!$B$3-$G2531)))</f>
        <v/>
      </c>
      <c r="P2531" s="12">
        <f>IF($A2531="","",IF($J2531&lt;=0,"Payé",IF($M2531="Oui","Litige",IF($O2531=0,"À échoir",IF($O2531&lt;=30,"0-30",IF($O2531&lt;=60,"31-60",IF($O2531&lt;=90,"61-90","90+")))))))</f>
        <v/>
      </c>
    </row>
    <row r="2532">
      <c r="A2532" s="6" t="n"/>
      <c r="B2532" s="6" t="n"/>
      <c r="C2532" s="6" t="n"/>
      <c r="D2532" s="6" t="n"/>
      <c r="E2532" s="6" t="n"/>
      <c r="F2532" s="7" t="n"/>
      <c r="G2532" s="7" t="n"/>
      <c r="H2532" s="8" t="n"/>
      <c r="I2532" s="9">
        <f>IF($A2532="","",SUMIFS(Ventes_Encaissements!$D$6:$D$3005,Ventes_Encaissements!$B$6:$B$3005,$A2532))</f>
        <v/>
      </c>
      <c r="J2532" s="9">
        <f>IF($A2532="","",$H2532-$I2532)</f>
        <v/>
      </c>
      <c r="K2532" s="10">
        <f>IF($A2532="","",IF($I2532=0,"",_xludf.AGGREGATE(14,6,Ventes_Encaissements!$C$6:$C$3005/(Ventes_Encaissements!$B$6:$B$3005=$A2532),1)))</f>
        <v/>
      </c>
      <c r="L2532" s="11">
        <f>IF($A2532="","",COUNTIFS(Ventes_Detail!$B$6:$B$3005,$A2532))</f>
        <v/>
      </c>
      <c r="M2532" s="12" t="n"/>
      <c r="N2532" s="12">
        <f>IF($A2532="","",IF($G2532="","",IF($M2532="Oui","Litige",IF($J2532&lt;=0,"Payé",IF($I2532&gt;0,"Partiel",IF(Listes!$B$3&gt;$G2532,"En retard","À échoir"))))))</f>
        <v/>
      </c>
      <c r="O2532" s="11">
        <f>IF($A2532="","",IF(OR($G2532="", $J2532&lt;=0),0,MAX(0,Listes!$B$3-$G2532)))</f>
        <v/>
      </c>
      <c r="P2532" s="12">
        <f>IF($A2532="","",IF($J2532&lt;=0,"Payé",IF($M2532="Oui","Litige",IF($O2532=0,"À échoir",IF($O2532&lt;=30,"0-30",IF($O2532&lt;=60,"31-60",IF($O2532&lt;=90,"61-90","90+")))))))</f>
        <v/>
      </c>
    </row>
    <row r="2533">
      <c r="A2533" s="6" t="n"/>
      <c r="B2533" s="6" t="n"/>
      <c r="C2533" s="6" t="n"/>
      <c r="D2533" s="6" t="n"/>
      <c r="E2533" s="6" t="n"/>
      <c r="F2533" s="7" t="n"/>
      <c r="G2533" s="7" t="n"/>
      <c r="H2533" s="8" t="n"/>
      <c r="I2533" s="9">
        <f>IF($A2533="","",SUMIFS(Ventes_Encaissements!$D$6:$D$3005,Ventes_Encaissements!$B$6:$B$3005,$A2533))</f>
        <v/>
      </c>
      <c r="J2533" s="9">
        <f>IF($A2533="","",$H2533-$I2533)</f>
        <v/>
      </c>
      <c r="K2533" s="10">
        <f>IF($A2533="","",IF($I2533=0,"",_xludf.AGGREGATE(14,6,Ventes_Encaissements!$C$6:$C$3005/(Ventes_Encaissements!$B$6:$B$3005=$A2533),1)))</f>
        <v/>
      </c>
      <c r="L2533" s="11">
        <f>IF($A2533="","",COUNTIFS(Ventes_Detail!$B$6:$B$3005,$A2533))</f>
        <v/>
      </c>
      <c r="M2533" s="12" t="n"/>
      <c r="N2533" s="12">
        <f>IF($A2533="","",IF($G2533="","",IF($M2533="Oui","Litige",IF($J2533&lt;=0,"Payé",IF($I2533&gt;0,"Partiel",IF(Listes!$B$3&gt;$G2533,"En retard","À échoir"))))))</f>
        <v/>
      </c>
      <c r="O2533" s="11">
        <f>IF($A2533="","",IF(OR($G2533="", $J2533&lt;=0),0,MAX(0,Listes!$B$3-$G2533)))</f>
        <v/>
      </c>
      <c r="P2533" s="12">
        <f>IF($A2533="","",IF($J2533&lt;=0,"Payé",IF($M2533="Oui","Litige",IF($O2533=0,"À échoir",IF($O2533&lt;=30,"0-30",IF($O2533&lt;=60,"31-60",IF($O2533&lt;=90,"61-90","90+")))))))</f>
        <v/>
      </c>
    </row>
    <row r="2534">
      <c r="A2534" s="6" t="n"/>
      <c r="B2534" s="6" t="n"/>
      <c r="C2534" s="6" t="n"/>
      <c r="D2534" s="6" t="n"/>
      <c r="E2534" s="6" t="n"/>
      <c r="F2534" s="7" t="n"/>
      <c r="G2534" s="7" t="n"/>
      <c r="H2534" s="8" t="n"/>
      <c r="I2534" s="9">
        <f>IF($A2534="","",SUMIFS(Ventes_Encaissements!$D$6:$D$3005,Ventes_Encaissements!$B$6:$B$3005,$A2534))</f>
        <v/>
      </c>
      <c r="J2534" s="9">
        <f>IF($A2534="","",$H2534-$I2534)</f>
        <v/>
      </c>
      <c r="K2534" s="10">
        <f>IF($A2534="","",IF($I2534=0,"",_xludf.AGGREGATE(14,6,Ventes_Encaissements!$C$6:$C$3005/(Ventes_Encaissements!$B$6:$B$3005=$A2534),1)))</f>
        <v/>
      </c>
      <c r="L2534" s="11">
        <f>IF($A2534="","",COUNTIFS(Ventes_Detail!$B$6:$B$3005,$A2534))</f>
        <v/>
      </c>
      <c r="M2534" s="12" t="n"/>
      <c r="N2534" s="12">
        <f>IF($A2534="","",IF($G2534="","",IF($M2534="Oui","Litige",IF($J2534&lt;=0,"Payé",IF($I2534&gt;0,"Partiel",IF(Listes!$B$3&gt;$G2534,"En retard","À échoir"))))))</f>
        <v/>
      </c>
      <c r="O2534" s="11">
        <f>IF($A2534="","",IF(OR($G2534="", $J2534&lt;=0),0,MAX(0,Listes!$B$3-$G2534)))</f>
        <v/>
      </c>
      <c r="P2534" s="12">
        <f>IF($A2534="","",IF($J2534&lt;=0,"Payé",IF($M2534="Oui","Litige",IF($O2534=0,"À échoir",IF($O2534&lt;=30,"0-30",IF($O2534&lt;=60,"31-60",IF($O2534&lt;=90,"61-90","90+")))))))</f>
        <v/>
      </c>
    </row>
    <row r="2535">
      <c r="A2535" s="6" t="n"/>
      <c r="B2535" s="6" t="n"/>
      <c r="C2535" s="6" t="n"/>
      <c r="D2535" s="6" t="n"/>
      <c r="E2535" s="6" t="n"/>
      <c r="F2535" s="7" t="n"/>
      <c r="G2535" s="7" t="n"/>
      <c r="H2535" s="8" t="n"/>
      <c r="I2535" s="9">
        <f>IF($A2535="","",SUMIFS(Ventes_Encaissements!$D$6:$D$3005,Ventes_Encaissements!$B$6:$B$3005,$A2535))</f>
        <v/>
      </c>
      <c r="J2535" s="9">
        <f>IF($A2535="","",$H2535-$I2535)</f>
        <v/>
      </c>
      <c r="K2535" s="10">
        <f>IF($A2535="","",IF($I2535=0,"",_xludf.AGGREGATE(14,6,Ventes_Encaissements!$C$6:$C$3005/(Ventes_Encaissements!$B$6:$B$3005=$A2535),1)))</f>
        <v/>
      </c>
      <c r="L2535" s="11">
        <f>IF($A2535="","",COUNTIFS(Ventes_Detail!$B$6:$B$3005,$A2535))</f>
        <v/>
      </c>
      <c r="M2535" s="12" t="n"/>
      <c r="N2535" s="12">
        <f>IF($A2535="","",IF($G2535="","",IF($M2535="Oui","Litige",IF($J2535&lt;=0,"Payé",IF($I2535&gt;0,"Partiel",IF(Listes!$B$3&gt;$G2535,"En retard","À échoir"))))))</f>
        <v/>
      </c>
      <c r="O2535" s="11">
        <f>IF($A2535="","",IF(OR($G2535="", $J2535&lt;=0),0,MAX(0,Listes!$B$3-$G2535)))</f>
        <v/>
      </c>
      <c r="P2535" s="12">
        <f>IF($A2535="","",IF($J2535&lt;=0,"Payé",IF($M2535="Oui","Litige",IF($O2535=0,"À échoir",IF($O2535&lt;=30,"0-30",IF($O2535&lt;=60,"31-60",IF($O2535&lt;=90,"61-90","90+")))))))</f>
        <v/>
      </c>
    </row>
    <row r="2536">
      <c r="A2536" s="6" t="n"/>
      <c r="B2536" s="6" t="n"/>
      <c r="C2536" s="6" t="n"/>
      <c r="D2536" s="6" t="n"/>
      <c r="E2536" s="6" t="n"/>
      <c r="F2536" s="7" t="n"/>
      <c r="G2536" s="7" t="n"/>
      <c r="H2536" s="8" t="n"/>
      <c r="I2536" s="9">
        <f>IF($A2536="","",SUMIFS(Ventes_Encaissements!$D$6:$D$3005,Ventes_Encaissements!$B$6:$B$3005,$A2536))</f>
        <v/>
      </c>
      <c r="J2536" s="9">
        <f>IF($A2536="","",$H2536-$I2536)</f>
        <v/>
      </c>
      <c r="K2536" s="10">
        <f>IF($A2536="","",IF($I2536=0,"",_xludf.AGGREGATE(14,6,Ventes_Encaissements!$C$6:$C$3005/(Ventes_Encaissements!$B$6:$B$3005=$A2536),1)))</f>
        <v/>
      </c>
      <c r="L2536" s="11">
        <f>IF($A2536="","",COUNTIFS(Ventes_Detail!$B$6:$B$3005,$A2536))</f>
        <v/>
      </c>
      <c r="M2536" s="12" t="n"/>
      <c r="N2536" s="12">
        <f>IF($A2536="","",IF($G2536="","",IF($M2536="Oui","Litige",IF($J2536&lt;=0,"Payé",IF($I2536&gt;0,"Partiel",IF(Listes!$B$3&gt;$G2536,"En retard","À échoir"))))))</f>
        <v/>
      </c>
      <c r="O2536" s="11">
        <f>IF($A2536="","",IF(OR($G2536="", $J2536&lt;=0),0,MAX(0,Listes!$B$3-$G2536)))</f>
        <v/>
      </c>
      <c r="P2536" s="12">
        <f>IF($A2536="","",IF($J2536&lt;=0,"Payé",IF($M2536="Oui","Litige",IF($O2536=0,"À échoir",IF($O2536&lt;=30,"0-30",IF($O2536&lt;=60,"31-60",IF($O2536&lt;=90,"61-90","90+")))))))</f>
        <v/>
      </c>
    </row>
    <row r="2537">
      <c r="A2537" s="6" t="n"/>
      <c r="B2537" s="6" t="n"/>
      <c r="C2537" s="6" t="n"/>
      <c r="D2537" s="6" t="n"/>
      <c r="E2537" s="6" t="n"/>
      <c r="F2537" s="7" t="n"/>
      <c r="G2537" s="7" t="n"/>
      <c r="H2537" s="8" t="n"/>
      <c r="I2537" s="9">
        <f>IF($A2537="","",SUMIFS(Ventes_Encaissements!$D$6:$D$3005,Ventes_Encaissements!$B$6:$B$3005,$A2537))</f>
        <v/>
      </c>
      <c r="J2537" s="9">
        <f>IF($A2537="","",$H2537-$I2537)</f>
        <v/>
      </c>
      <c r="K2537" s="10">
        <f>IF($A2537="","",IF($I2537=0,"",_xludf.AGGREGATE(14,6,Ventes_Encaissements!$C$6:$C$3005/(Ventes_Encaissements!$B$6:$B$3005=$A2537),1)))</f>
        <v/>
      </c>
      <c r="L2537" s="11">
        <f>IF($A2537="","",COUNTIFS(Ventes_Detail!$B$6:$B$3005,$A2537))</f>
        <v/>
      </c>
      <c r="M2537" s="12" t="n"/>
      <c r="N2537" s="12">
        <f>IF($A2537="","",IF($G2537="","",IF($M2537="Oui","Litige",IF($J2537&lt;=0,"Payé",IF($I2537&gt;0,"Partiel",IF(Listes!$B$3&gt;$G2537,"En retard","À échoir"))))))</f>
        <v/>
      </c>
      <c r="O2537" s="11">
        <f>IF($A2537="","",IF(OR($G2537="", $J2537&lt;=0),0,MAX(0,Listes!$B$3-$G2537)))</f>
        <v/>
      </c>
      <c r="P2537" s="12">
        <f>IF($A2537="","",IF($J2537&lt;=0,"Payé",IF($M2537="Oui","Litige",IF($O2537=0,"À échoir",IF($O2537&lt;=30,"0-30",IF($O2537&lt;=60,"31-60",IF($O2537&lt;=90,"61-90","90+")))))))</f>
        <v/>
      </c>
    </row>
    <row r="2538">
      <c r="A2538" s="6" t="n"/>
      <c r="B2538" s="6" t="n"/>
      <c r="C2538" s="6" t="n"/>
      <c r="D2538" s="6" t="n"/>
      <c r="E2538" s="6" t="n"/>
      <c r="F2538" s="7" t="n"/>
      <c r="G2538" s="7" t="n"/>
      <c r="H2538" s="8" t="n"/>
      <c r="I2538" s="9">
        <f>IF($A2538="","",SUMIFS(Ventes_Encaissements!$D$6:$D$3005,Ventes_Encaissements!$B$6:$B$3005,$A2538))</f>
        <v/>
      </c>
      <c r="J2538" s="9">
        <f>IF($A2538="","",$H2538-$I2538)</f>
        <v/>
      </c>
      <c r="K2538" s="10">
        <f>IF($A2538="","",IF($I2538=0,"",_xludf.AGGREGATE(14,6,Ventes_Encaissements!$C$6:$C$3005/(Ventes_Encaissements!$B$6:$B$3005=$A2538),1)))</f>
        <v/>
      </c>
      <c r="L2538" s="11">
        <f>IF($A2538="","",COUNTIFS(Ventes_Detail!$B$6:$B$3005,$A2538))</f>
        <v/>
      </c>
      <c r="M2538" s="12" t="n"/>
      <c r="N2538" s="12">
        <f>IF($A2538="","",IF($G2538="","",IF($M2538="Oui","Litige",IF($J2538&lt;=0,"Payé",IF($I2538&gt;0,"Partiel",IF(Listes!$B$3&gt;$G2538,"En retard","À échoir"))))))</f>
        <v/>
      </c>
      <c r="O2538" s="11">
        <f>IF($A2538="","",IF(OR($G2538="", $J2538&lt;=0),0,MAX(0,Listes!$B$3-$G2538)))</f>
        <v/>
      </c>
      <c r="P2538" s="12">
        <f>IF($A2538="","",IF($J2538&lt;=0,"Payé",IF($M2538="Oui","Litige",IF($O2538=0,"À échoir",IF($O2538&lt;=30,"0-30",IF($O2538&lt;=60,"31-60",IF($O2538&lt;=90,"61-90","90+")))))))</f>
        <v/>
      </c>
    </row>
    <row r="2539">
      <c r="A2539" s="6" t="n"/>
      <c r="B2539" s="6" t="n"/>
      <c r="C2539" s="6" t="n"/>
      <c r="D2539" s="6" t="n"/>
      <c r="E2539" s="6" t="n"/>
      <c r="F2539" s="7" t="n"/>
      <c r="G2539" s="7" t="n"/>
      <c r="H2539" s="8" t="n"/>
      <c r="I2539" s="9">
        <f>IF($A2539="","",SUMIFS(Ventes_Encaissements!$D$6:$D$3005,Ventes_Encaissements!$B$6:$B$3005,$A2539))</f>
        <v/>
      </c>
      <c r="J2539" s="9">
        <f>IF($A2539="","",$H2539-$I2539)</f>
        <v/>
      </c>
      <c r="K2539" s="10">
        <f>IF($A2539="","",IF($I2539=0,"",_xludf.AGGREGATE(14,6,Ventes_Encaissements!$C$6:$C$3005/(Ventes_Encaissements!$B$6:$B$3005=$A2539),1)))</f>
        <v/>
      </c>
      <c r="L2539" s="11">
        <f>IF($A2539="","",COUNTIFS(Ventes_Detail!$B$6:$B$3005,$A2539))</f>
        <v/>
      </c>
      <c r="M2539" s="12" t="n"/>
      <c r="N2539" s="12">
        <f>IF($A2539="","",IF($G2539="","",IF($M2539="Oui","Litige",IF($J2539&lt;=0,"Payé",IF($I2539&gt;0,"Partiel",IF(Listes!$B$3&gt;$G2539,"En retard","À échoir"))))))</f>
        <v/>
      </c>
      <c r="O2539" s="11">
        <f>IF($A2539="","",IF(OR($G2539="", $J2539&lt;=0),0,MAX(0,Listes!$B$3-$G2539)))</f>
        <v/>
      </c>
      <c r="P2539" s="12">
        <f>IF($A2539="","",IF($J2539&lt;=0,"Payé",IF($M2539="Oui","Litige",IF($O2539=0,"À échoir",IF($O2539&lt;=30,"0-30",IF($O2539&lt;=60,"31-60",IF($O2539&lt;=90,"61-90","90+")))))))</f>
        <v/>
      </c>
    </row>
    <row r="2540">
      <c r="A2540" s="6" t="n"/>
      <c r="B2540" s="6" t="n"/>
      <c r="C2540" s="6" t="n"/>
      <c r="D2540" s="6" t="n"/>
      <c r="E2540" s="6" t="n"/>
      <c r="F2540" s="7" t="n"/>
      <c r="G2540" s="7" t="n"/>
      <c r="H2540" s="8" t="n"/>
      <c r="I2540" s="9">
        <f>IF($A2540="","",SUMIFS(Ventes_Encaissements!$D$6:$D$3005,Ventes_Encaissements!$B$6:$B$3005,$A2540))</f>
        <v/>
      </c>
      <c r="J2540" s="9">
        <f>IF($A2540="","",$H2540-$I2540)</f>
        <v/>
      </c>
      <c r="K2540" s="10">
        <f>IF($A2540="","",IF($I2540=0,"",_xludf.AGGREGATE(14,6,Ventes_Encaissements!$C$6:$C$3005/(Ventes_Encaissements!$B$6:$B$3005=$A2540),1)))</f>
        <v/>
      </c>
      <c r="L2540" s="11">
        <f>IF($A2540="","",COUNTIFS(Ventes_Detail!$B$6:$B$3005,$A2540))</f>
        <v/>
      </c>
      <c r="M2540" s="12" t="n"/>
      <c r="N2540" s="12">
        <f>IF($A2540="","",IF($G2540="","",IF($M2540="Oui","Litige",IF($J2540&lt;=0,"Payé",IF($I2540&gt;0,"Partiel",IF(Listes!$B$3&gt;$G2540,"En retard","À échoir"))))))</f>
        <v/>
      </c>
      <c r="O2540" s="11">
        <f>IF($A2540="","",IF(OR($G2540="", $J2540&lt;=0),0,MAX(0,Listes!$B$3-$G2540)))</f>
        <v/>
      </c>
      <c r="P2540" s="12">
        <f>IF($A2540="","",IF($J2540&lt;=0,"Payé",IF($M2540="Oui","Litige",IF($O2540=0,"À échoir",IF($O2540&lt;=30,"0-30",IF($O2540&lt;=60,"31-60",IF($O2540&lt;=90,"61-90","90+")))))))</f>
        <v/>
      </c>
    </row>
    <row r="2541">
      <c r="A2541" s="6" t="n"/>
      <c r="B2541" s="6" t="n"/>
      <c r="C2541" s="6" t="n"/>
      <c r="D2541" s="6" t="n"/>
      <c r="E2541" s="6" t="n"/>
      <c r="F2541" s="7" t="n"/>
      <c r="G2541" s="7" t="n"/>
      <c r="H2541" s="8" t="n"/>
      <c r="I2541" s="9">
        <f>IF($A2541="","",SUMIFS(Ventes_Encaissements!$D$6:$D$3005,Ventes_Encaissements!$B$6:$B$3005,$A2541))</f>
        <v/>
      </c>
      <c r="J2541" s="9">
        <f>IF($A2541="","",$H2541-$I2541)</f>
        <v/>
      </c>
      <c r="K2541" s="10">
        <f>IF($A2541="","",IF($I2541=0,"",_xludf.AGGREGATE(14,6,Ventes_Encaissements!$C$6:$C$3005/(Ventes_Encaissements!$B$6:$B$3005=$A2541),1)))</f>
        <v/>
      </c>
      <c r="L2541" s="11">
        <f>IF($A2541="","",COUNTIFS(Ventes_Detail!$B$6:$B$3005,$A2541))</f>
        <v/>
      </c>
      <c r="M2541" s="12" t="n"/>
      <c r="N2541" s="12">
        <f>IF($A2541="","",IF($G2541="","",IF($M2541="Oui","Litige",IF($J2541&lt;=0,"Payé",IF($I2541&gt;0,"Partiel",IF(Listes!$B$3&gt;$G2541,"En retard","À échoir"))))))</f>
        <v/>
      </c>
      <c r="O2541" s="11">
        <f>IF($A2541="","",IF(OR($G2541="", $J2541&lt;=0),0,MAX(0,Listes!$B$3-$G2541)))</f>
        <v/>
      </c>
      <c r="P2541" s="12">
        <f>IF($A2541="","",IF($J2541&lt;=0,"Payé",IF($M2541="Oui","Litige",IF($O2541=0,"À échoir",IF($O2541&lt;=30,"0-30",IF($O2541&lt;=60,"31-60",IF($O2541&lt;=90,"61-90","90+")))))))</f>
        <v/>
      </c>
    </row>
    <row r="2542">
      <c r="A2542" s="6" t="n"/>
      <c r="B2542" s="6" t="n"/>
      <c r="C2542" s="6" t="n"/>
      <c r="D2542" s="6" t="n"/>
      <c r="E2542" s="6" t="n"/>
      <c r="F2542" s="7" t="n"/>
      <c r="G2542" s="7" t="n"/>
      <c r="H2542" s="8" t="n"/>
      <c r="I2542" s="9">
        <f>IF($A2542="","",SUMIFS(Ventes_Encaissements!$D$6:$D$3005,Ventes_Encaissements!$B$6:$B$3005,$A2542))</f>
        <v/>
      </c>
      <c r="J2542" s="9">
        <f>IF($A2542="","",$H2542-$I2542)</f>
        <v/>
      </c>
      <c r="K2542" s="10">
        <f>IF($A2542="","",IF($I2542=0,"",_xludf.AGGREGATE(14,6,Ventes_Encaissements!$C$6:$C$3005/(Ventes_Encaissements!$B$6:$B$3005=$A2542),1)))</f>
        <v/>
      </c>
      <c r="L2542" s="11">
        <f>IF($A2542="","",COUNTIFS(Ventes_Detail!$B$6:$B$3005,$A2542))</f>
        <v/>
      </c>
      <c r="M2542" s="12" t="n"/>
      <c r="N2542" s="12">
        <f>IF($A2542="","",IF($G2542="","",IF($M2542="Oui","Litige",IF($J2542&lt;=0,"Payé",IF($I2542&gt;0,"Partiel",IF(Listes!$B$3&gt;$G2542,"En retard","À échoir"))))))</f>
        <v/>
      </c>
      <c r="O2542" s="11">
        <f>IF($A2542="","",IF(OR($G2542="", $J2542&lt;=0),0,MAX(0,Listes!$B$3-$G2542)))</f>
        <v/>
      </c>
      <c r="P2542" s="12">
        <f>IF($A2542="","",IF($J2542&lt;=0,"Payé",IF($M2542="Oui","Litige",IF($O2542=0,"À échoir",IF($O2542&lt;=30,"0-30",IF($O2542&lt;=60,"31-60",IF($O2542&lt;=90,"61-90","90+")))))))</f>
        <v/>
      </c>
    </row>
    <row r="2543">
      <c r="A2543" s="6" t="n"/>
      <c r="B2543" s="6" t="n"/>
      <c r="C2543" s="6" t="n"/>
      <c r="D2543" s="6" t="n"/>
      <c r="E2543" s="6" t="n"/>
      <c r="F2543" s="7" t="n"/>
      <c r="G2543" s="7" t="n"/>
      <c r="H2543" s="8" t="n"/>
      <c r="I2543" s="9">
        <f>IF($A2543="","",SUMIFS(Ventes_Encaissements!$D$6:$D$3005,Ventes_Encaissements!$B$6:$B$3005,$A2543))</f>
        <v/>
      </c>
      <c r="J2543" s="9">
        <f>IF($A2543="","",$H2543-$I2543)</f>
        <v/>
      </c>
      <c r="K2543" s="10">
        <f>IF($A2543="","",IF($I2543=0,"",_xludf.AGGREGATE(14,6,Ventes_Encaissements!$C$6:$C$3005/(Ventes_Encaissements!$B$6:$B$3005=$A2543),1)))</f>
        <v/>
      </c>
      <c r="L2543" s="11">
        <f>IF($A2543="","",COUNTIFS(Ventes_Detail!$B$6:$B$3005,$A2543))</f>
        <v/>
      </c>
      <c r="M2543" s="12" t="n"/>
      <c r="N2543" s="12">
        <f>IF($A2543="","",IF($G2543="","",IF($M2543="Oui","Litige",IF($J2543&lt;=0,"Payé",IF($I2543&gt;0,"Partiel",IF(Listes!$B$3&gt;$G2543,"En retard","À échoir"))))))</f>
        <v/>
      </c>
      <c r="O2543" s="11">
        <f>IF($A2543="","",IF(OR($G2543="", $J2543&lt;=0),0,MAX(0,Listes!$B$3-$G2543)))</f>
        <v/>
      </c>
      <c r="P2543" s="12">
        <f>IF($A2543="","",IF($J2543&lt;=0,"Payé",IF($M2543="Oui","Litige",IF($O2543=0,"À échoir",IF($O2543&lt;=30,"0-30",IF($O2543&lt;=60,"31-60",IF($O2543&lt;=90,"61-90","90+")))))))</f>
        <v/>
      </c>
    </row>
    <row r="2544">
      <c r="A2544" s="6" t="n"/>
      <c r="B2544" s="6" t="n"/>
      <c r="C2544" s="6" t="n"/>
      <c r="D2544" s="6" t="n"/>
      <c r="E2544" s="6" t="n"/>
      <c r="F2544" s="7" t="n"/>
      <c r="G2544" s="7" t="n"/>
      <c r="H2544" s="8" t="n"/>
      <c r="I2544" s="9">
        <f>IF($A2544="","",SUMIFS(Ventes_Encaissements!$D$6:$D$3005,Ventes_Encaissements!$B$6:$B$3005,$A2544))</f>
        <v/>
      </c>
      <c r="J2544" s="9">
        <f>IF($A2544="","",$H2544-$I2544)</f>
        <v/>
      </c>
      <c r="K2544" s="10">
        <f>IF($A2544="","",IF($I2544=0,"",_xludf.AGGREGATE(14,6,Ventes_Encaissements!$C$6:$C$3005/(Ventes_Encaissements!$B$6:$B$3005=$A2544),1)))</f>
        <v/>
      </c>
      <c r="L2544" s="11">
        <f>IF($A2544="","",COUNTIFS(Ventes_Detail!$B$6:$B$3005,$A2544))</f>
        <v/>
      </c>
      <c r="M2544" s="12" t="n"/>
      <c r="N2544" s="12">
        <f>IF($A2544="","",IF($G2544="","",IF($M2544="Oui","Litige",IF($J2544&lt;=0,"Payé",IF($I2544&gt;0,"Partiel",IF(Listes!$B$3&gt;$G2544,"En retard","À échoir"))))))</f>
        <v/>
      </c>
      <c r="O2544" s="11">
        <f>IF($A2544="","",IF(OR($G2544="", $J2544&lt;=0),0,MAX(0,Listes!$B$3-$G2544)))</f>
        <v/>
      </c>
      <c r="P2544" s="12">
        <f>IF($A2544="","",IF($J2544&lt;=0,"Payé",IF($M2544="Oui","Litige",IF($O2544=0,"À échoir",IF($O2544&lt;=30,"0-30",IF($O2544&lt;=60,"31-60",IF($O2544&lt;=90,"61-90","90+")))))))</f>
        <v/>
      </c>
    </row>
    <row r="2545">
      <c r="A2545" s="6" t="n"/>
      <c r="B2545" s="6" t="n"/>
      <c r="C2545" s="6" t="n"/>
      <c r="D2545" s="6" t="n"/>
      <c r="E2545" s="6" t="n"/>
      <c r="F2545" s="7" t="n"/>
      <c r="G2545" s="7" t="n"/>
      <c r="H2545" s="8" t="n"/>
      <c r="I2545" s="9">
        <f>IF($A2545="","",SUMIFS(Ventes_Encaissements!$D$6:$D$3005,Ventes_Encaissements!$B$6:$B$3005,$A2545))</f>
        <v/>
      </c>
      <c r="J2545" s="9">
        <f>IF($A2545="","",$H2545-$I2545)</f>
        <v/>
      </c>
      <c r="K2545" s="10">
        <f>IF($A2545="","",IF($I2545=0,"",_xludf.AGGREGATE(14,6,Ventes_Encaissements!$C$6:$C$3005/(Ventes_Encaissements!$B$6:$B$3005=$A2545),1)))</f>
        <v/>
      </c>
      <c r="L2545" s="11">
        <f>IF($A2545="","",COUNTIFS(Ventes_Detail!$B$6:$B$3005,$A2545))</f>
        <v/>
      </c>
      <c r="M2545" s="12" t="n"/>
      <c r="N2545" s="12">
        <f>IF($A2545="","",IF($G2545="","",IF($M2545="Oui","Litige",IF($J2545&lt;=0,"Payé",IF($I2545&gt;0,"Partiel",IF(Listes!$B$3&gt;$G2545,"En retard","À échoir"))))))</f>
        <v/>
      </c>
      <c r="O2545" s="11">
        <f>IF($A2545="","",IF(OR($G2545="", $J2545&lt;=0),0,MAX(0,Listes!$B$3-$G2545)))</f>
        <v/>
      </c>
      <c r="P2545" s="12">
        <f>IF($A2545="","",IF($J2545&lt;=0,"Payé",IF($M2545="Oui","Litige",IF($O2545=0,"À échoir",IF($O2545&lt;=30,"0-30",IF($O2545&lt;=60,"31-60",IF($O2545&lt;=90,"61-90","90+")))))))</f>
        <v/>
      </c>
    </row>
    <row r="2546">
      <c r="A2546" s="6" t="n"/>
      <c r="B2546" s="6" t="n"/>
      <c r="C2546" s="6" t="n"/>
      <c r="D2546" s="6" t="n"/>
      <c r="E2546" s="6" t="n"/>
      <c r="F2546" s="7" t="n"/>
      <c r="G2546" s="7" t="n"/>
      <c r="H2546" s="8" t="n"/>
      <c r="I2546" s="9">
        <f>IF($A2546="","",SUMIFS(Ventes_Encaissements!$D$6:$D$3005,Ventes_Encaissements!$B$6:$B$3005,$A2546))</f>
        <v/>
      </c>
      <c r="J2546" s="9">
        <f>IF($A2546="","",$H2546-$I2546)</f>
        <v/>
      </c>
      <c r="K2546" s="10">
        <f>IF($A2546="","",IF($I2546=0,"",_xludf.AGGREGATE(14,6,Ventes_Encaissements!$C$6:$C$3005/(Ventes_Encaissements!$B$6:$B$3005=$A2546),1)))</f>
        <v/>
      </c>
      <c r="L2546" s="11">
        <f>IF($A2546="","",COUNTIFS(Ventes_Detail!$B$6:$B$3005,$A2546))</f>
        <v/>
      </c>
      <c r="M2546" s="12" t="n"/>
      <c r="N2546" s="12">
        <f>IF($A2546="","",IF($G2546="","",IF($M2546="Oui","Litige",IF($J2546&lt;=0,"Payé",IF($I2546&gt;0,"Partiel",IF(Listes!$B$3&gt;$G2546,"En retard","À échoir"))))))</f>
        <v/>
      </c>
      <c r="O2546" s="11">
        <f>IF($A2546="","",IF(OR($G2546="", $J2546&lt;=0),0,MAX(0,Listes!$B$3-$G2546)))</f>
        <v/>
      </c>
      <c r="P2546" s="12">
        <f>IF($A2546="","",IF($J2546&lt;=0,"Payé",IF($M2546="Oui","Litige",IF($O2546=0,"À échoir",IF($O2546&lt;=30,"0-30",IF($O2546&lt;=60,"31-60",IF($O2546&lt;=90,"61-90","90+")))))))</f>
        <v/>
      </c>
    </row>
    <row r="2547">
      <c r="A2547" s="6" t="n"/>
      <c r="B2547" s="6" t="n"/>
      <c r="C2547" s="6" t="n"/>
      <c r="D2547" s="6" t="n"/>
      <c r="E2547" s="6" t="n"/>
      <c r="F2547" s="7" t="n"/>
      <c r="G2547" s="7" t="n"/>
      <c r="H2547" s="8" t="n"/>
      <c r="I2547" s="9">
        <f>IF($A2547="","",SUMIFS(Ventes_Encaissements!$D$6:$D$3005,Ventes_Encaissements!$B$6:$B$3005,$A2547))</f>
        <v/>
      </c>
      <c r="J2547" s="9">
        <f>IF($A2547="","",$H2547-$I2547)</f>
        <v/>
      </c>
      <c r="K2547" s="10">
        <f>IF($A2547="","",IF($I2547=0,"",_xludf.AGGREGATE(14,6,Ventes_Encaissements!$C$6:$C$3005/(Ventes_Encaissements!$B$6:$B$3005=$A2547),1)))</f>
        <v/>
      </c>
      <c r="L2547" s="11">
        <f>IF($A2547="","",COUNTIFS(Ventes_Detail!$B$6:$B$3005,$A2547))</f>
        <v/>
      </c>
      <c r="M2547" s="12" t="n"/>
      <c r="N2547" s="12">
        <f>IF($A2547="","",IF($G2547="","",IF($M2547="Oui","Litige",IF($J2547&lt;=0,"Payé",IF($I2547&gt;0,"Partiel",IF(Listes!$B$3&gt;$G2547,"En retard","À échoir"))))))</f>
        <v/>
      </c>
      <c r="O2547" s="11">
        <f>IF($A2547="","",IF(OR($G2547="", $J2547&lt;=0),0,MAX(0,Listes!$B$3-$G2547)))</f>
        <v/>
      </c>
      <c r="P2547" s="12">
        <f>IF($A2547="","",IF($J2547&lt;=0,"Payé",IF($M2547="Oui","Litige",IF($O2547=0,"À échoir",IF($O2547&lt;=30,"0-30",IF($O2547&lt;=60,"31-60",IF($O2547&lt;=90,"61-90","90+")))))))</f>
        <v/>
      </c>
    </row>
    <row r="2548">
      <c r="A2548" s="6" t="n"/>
      <c r="B2548" s="6" t="n"/>
      <c r="C2548" s="6" t="n"/>
      <c r="D2548" s="6" t="n"/>
      <c r="E2548" s="6" t="n"/>
      <c r="F2548" s="7" t="n"/>
      <c r="G2548" s="7" t="n"/>
      <c r="H2548" s="8" t="n"/>
      <c r="I2548" s="9">
        <f>IF($A2548="","",SUMIFS(Ventes_Encaissements!$D$6:$D$3005,Ventes_Encaissements!$B$6:$B$3005,$A2548))</f>
        <v/>
      </c>
      <c r="J2548" s="9">
        <f>IF($A2548="","",$H2548-$I2548)</f>
        <v/>
      </c>
      <c r="K2548" s="10">
        <f>IF($A2548="","",IF($I2548=0,"",_xludf.AGGREGATE(14,6,Ventes_Encaissements!$C$6:$C$3005/(Ventes_Encaissements!$B$6:$B$3005=$A2548),1)))</f>
        <v/>
      </c>
      <c r="L2548" s="11">
        <f>IF($A2548="","",COUNTIFS(Ventes_Detail!$B$6:$B$3005,$A2548))</f>
        <v/>
      </c>
      <c r="M2548" s="12" t="n"/>
      <c r="N2548" s="12">
        <f>IF($A2548="","",IF($G2548="","",IF($M2548="Oui","Litige",IF($J2548&lt;=0,"Payé",IF($I2548&gt;0,"Partiel",IF(Listes!$B$3&gt;$G2548,"En retard","À échoir"))))))</f>
        <v/>
      </c>
      <c r="O2548" s="11">
        <f>IF($A2548="","",IF(OR($G2548="", $J2548&lt;=0),0,MAX(0,Listes!$B$3-$G2548)))</f>
        <v/>
      </c>
      <c r="P2548" s="12">
        <f>IF($A2548="","",IF($J2548&lt;=0,"Payé",IF($M2548="Oui","Litige",IF($O2548=0,"À échoir",IF($O2548&lt;=30,"0-30",IF($O2548&lt;=60,"31-60",IF($O2548&lt;=90,"61-90","90+")))))))</f>
        <v/>
      </c>
    </row>
    <row r="2549">
      <c r="A2549" s="6" t="n"/>
      <c r="B2549" s="6" t="n"/>
      <c r="C2549" s="6" t="n"/>
      <c r="D2549" s="6" t="n"/>
      <c r="E2549" s="6" t="n"/>
      <c r="F2549" s="7" t="n"/>
      <c r="G2549" s="7" t="n"/>
      <c r="H2549" s="8" t="n"/>
      <c r="I2549" s="9">
        <f>IF($A2549="","",SUMIFS(Ventes_Encaissements!$D$6:$D$3005,Ventes_Encaissements!$B$6:$B$3005,$A2549))</f>
        <v/>
      </c>
      <c r="J2549" s="9">
        <f>IF($A2549="","",$H2549-$I2549)</f>
        <v/>
      </c>
      <c r="K2549" s="10">
        <f>IF($A2549="","",IF($I2549=0,"",_xludf.AGGREGATE(14,6,Ventes_Encaissements!$C$6:$C$3005/(Ventes_Encaissements!$B$6:$B$3005=$A2549),1)))</f>
        <v/>
      </c>
      <c r="L2549" s="11">
        <f>IF($A2549="","",COUNTIFS(Ventes_Detail!$B$6:$B$3005,$A2549))</f>
        <v/>
      </c>
      <c r="M2549" s="12" t="n"/>
      <c r="N2549" s="12">
        <f>IF($A2549="","",IF($G2549="","",IF($M2549="Oui","Litige",IF($J2549&lt;=0,"Payé",IF($I2549&gt;0,"Partiel",IF(Listes!$B$3&gt;$G2549,"En retard","À échoir"))))))</f>
        <v/>
      </c>
      <c r="O2549" s="11">
        <f>IF($A2549="","",IF(OR($G2549="", $J2549&lt;=0),0,MAX(0,Listes!$B$3-$G2549)))</f>
        <v/>
      </c>
      <c r="P2549" s="12">
        <f>IF($A2549="","",IF($J2549&lt;=0,"Payé",IF($M2549="Oui","Litige",IF($O2549=0,"À échoir",IF($O2549&lt;=30,"0-30",IF($O2549&lt;=60,"31-60",IF($O2549&lt;=90,"61-90","90+")))))))</f>
        <v/>
      </c>
    </row>
    <row r="2550">
      <c r="A2550" s="6" t="n"/>
      <c r="B2550" s="6" t="n"/>
      <c r="C2550" s="6" t="n"/>
      <c r="D2550" s="6" t="n"/>
      <c r="E2550" s="6" t="n"/>
      <c r="F2550" s="7" t="n"/>
      <c r="G2550" s="7" t="n"/>
      <c r="H2550" s="8" t="n"/>
      <c r="I2550" s="9">
        <f>IF($A2550="","",SUMIFS(Ventes_Encaissements!$D$6:$D$3005,Ventes_Encaissements!$B$6:$B$3005,$A2550))</f>
        <v/>
      </c>
      <c r="J2550" s="9">
        <f>IF($A2550="","",$H2550-$I2550)</f>
        <v/>
      </c>
      <c r="K2550" s="10">
        <f>IF($A2550="","",IF($I2550=0,"",_xludf.AGGREGATE(14,6,Ventes_Encaissements!$C$6:$C$3005/(Ventes_Encaissements!$B$6:$B$3005=$A2550),1)))</f>
        <v/>
      </c>
      <c r="L2550" s="11">
        <f>IF($A2550="","",COUNTIFS(Ventes_Detail!$B$6:$B$3005,$A2550))</f>
        <v/>
      </c>
      <c r="M2550" s="12" t="n"/>
      <c r="N2550" s="12">
        <f>IF($A2550="","",IF($G2550="","",IF($M2550="Oui","Litige",IF($J2550&lt;=0,"Payé",IF($I2550&gt;0,"Partiel",IF(Listes!$B$3&gt;$G2550,"En retard","À échoir"))))))</f>
        <v/>
      </c>
      <c r="O2550" s="11">
        <f>IF($A2550="","",IF(OR($G2550="", $J2550&lt;=0),0,MAX(0,Listes!$B$3-$G2550)))</f>
        <v/>
      </c>
      <c r="P2550" s="12">
        <f>IF($A2550="","",IF($J2550&lt;=0,"Payé",IF($M2550="Oui","Litige",IF($O2550=0,"À échoir",IF($O2550&lt;=30,"0-30",IF($O2550&lt;=60,"31-60",IF($O2550&lt;=90,"61-90","90+")))))))</f>
        <v/>
      </c>
    </row>
    <row r="2551">
      <c r="A2551" s="6" t="n"/>
      <c r="B2551" s="6" t="n"/>
      <c r="C2551" s="6" t="n"/>
      <c r="D2551" s="6" t="n"/>
      <c r="E2551" s="6" t="n"/>
      <c r="F2551" s="7" t="n"/>
      <c r="G2551" s="7" t="n"/>
      <c r="H2551" s="8" t="n"/>
      <c r="I2551" s="9">
        <f>IF($A2551="","",SUMIFS(Ventes_Encaissements!$D$6:$D$3005,Ventes_Encaissements!$B$6:$B$3005,$A2551))</f>
        <v/>
      </c>
      <c r="J2551" s="9">
        <f>IF($A2551="","",$H2551-$I2551)</f>
        <v/>
      </c>
      <c r="K2551" s="10">
        <f>IF($A2551="","",IF($I2551=0,"",_xludf.AGGREGATE(14,6,Ventes_Encaissements!$C$6:$C$3005/(Ventes_Encaissements!$B$6:$B$3005=$A2551),1)))</f>
        <v/>
      </c>
      <c r="L2551" s="11">
        <f>IF($A2551="","",COUNTIFS(Ventes_Detail!$B$6:$B$3005,$A2551))</f>
        <v/>
      </c>
      <c r="M2551" s="12" t="n"/>
      <c r="N2551" s="12">
        <f>IF($A2551="","",IF($G2551="","",IF($M2551="Oui","Litige",IF($J2551&lt;=0,"Payé",IF($I2551&gt;0,"Partiel",IF(Listes!$B$3&gt;$G2551,"En retard","À échoir"))))))</f>
        <v/>
      </c>
      <c r="O2551" s="11">
        <f>IF($A2551="","",IF(OR($G2551="", $J2551&lt;=0),0,MAX(0,Listes!$B$3-$G2551)))</f>
        <v/>
      </c>
      <c r="P2551" s="12">
        <f>IF($A2551="","",IF($J2551&lt;=0,"Payé",IF($M2551="Oui","Litige",IF($O2551=0,"À échoir",IF($O2551&lt;=30,"0-30",IF($O2551&lt;=60,"31-60",IF($O2551&lt;=90,"61-90","90+")))))))</f>
        <v/>
      </c>
    </row>
    <row r="2552">
      <c r="A2552" s="6" t="n"/>
      <c r="B2552" s="6" t="n"/>
      <c r="C2552" s="6" t="n"/>
      <c r="D2552" s="6" t="n"/>
      <c r="E2552" s="6" t="n"/>
      <c r="F2552" s="7" t="n"/>
      <c r="G2552" s="7" t="n"/>
      <c r="H2552" s="8" t="n"/>
      <c r="I2552" s="9">
        <f>IF($A2552="","",SUMIFS(Ventes_Encaissements!$D$6:$D$3005,Ventes_Encaissements!$B$6:$B$3005,$A2552))</f>
        <v/>
      </c>
      <c r="J2552" s="9">
        <f>IF($A2552="","",$H2552-$I2552)</f>
        <v/>
      </c>
      <c r="K2552" s="10">
        <f>IF($A2552="","",IF($I2552=0,"",_xludf.AGGREGATE(14,6,Ventes_Encaissements!$C$6:$C$3005/(Ventes_Encaissements!$B$6:$B$3005=$A2552),1)))</f>
        <v/>
      </c>
      <c r="L2552" s="11">
        <f>IF($A2552="","",COUNTIFS(Ventes_Detail!$B$6:$B$3005,$A2552))</f>
        <v/>
      </c>
      <c r="M2552" s="12" t="n"/>
      <c r="N2552" s="12">
        <f>IF($A2552="","",IF($G2552="","",IF($M2552="Oui","Litige",IF($J2552&lt;=0,"Payé",IF($I2552&gt;0,"Partiel",IF(Listes!$B$3&gt;$G2552,"En retard","À échoir"))))))</f>
        <v/>
      </c>
      <c r="O2552" s="11">
        <f>IF($A2552="","",IF(OR($G2552="", $J2552&lt;=0),0,MAX(0,Listes!$B$3-$G2552)))</f>
        <v/>
      </c>
      <c r="P2552" s="12">
        <f>IF($A2552="","",IF($J2552&lt;=0,"Payé",IF($M2552="Oui","Litige",IF($O2552=0,"À échoir",IF($O2552&lt;=30,"0-30",IF($O2552&lt;=60,"31-60",IF($O2552&lt;=90,"61-90","90+")))))))</f>
        <v/>
      </c>
    </row>
    <row r="2553">
      <c r="A2553" s="6" t="n"/>
      <c r="B2553" s="6" t="n"/>
      <c r="C2553" s="6" t="n"/>
      <c r="D2553" s="6" t="n"/>
      <c r="E2553" s="6" t="n"/>
      <c r="F2553" s="7" t="n"/>
      <c r="G2553" s="7" t="n"/>
      <c r="H2553" s="8" t="n"/>
      <c r="I2553" s="9">
        <f>IF($A2553="","",SUMIFS(Ventes_Encaissements!$D$6:$D$3005,Ventes_Encaissements!$B$6:$B$3005,$A2553))</f>
        <v/>
      </c>
      <c r="J2553" s="9">
        <f>IF($A2553="","",$H2553-$I2553)</f>
        <v/>
      </c>
      <c r="K2553" s="10">
        <f>IF($A2553="","",IF($I2553=0,"",_xludf.AGGREGATE(14,6,Ventes_Encaissements!$C$6:$C$3005/(Ventes_Encaissements!$B$6:$B$3005=$A2553),1)))</f>
        <v/>
      </c>
      <c r="L2553" s="11">
        <f>IF($A2553="","",COUNTIFS(Ventes_Detail!$B$6:$B$3005,$A2553))</f>
        <v/>
      </c>
      <c r="M2553" s="12" t="n"/>
      <c r="N2553" s="12">
        <f>IF($A2553="","",IF($G2553="","",IF($M2553="Oui","Litige",IF($J2553&lt;=0,"Payé",IF($I2553&gt;0,"Partiel",IF(Listes!$B$3&gt;$G2553,"En retard","À échoir"))))))</f>
        <v/>
      </c>
      <c r="O2553" s="11">
        <f>IF($A2553="","",IF(OR($G2553="", $J2553&lt;=0),0,MAX(0,Listes!$B$3-$G2553)))</f>
        <v/>
      </c>
      <c r="P2553" s="12">
        <f>IF($A2553="","",IF($J2553&lt;=0,"Payé",IF($M2553="Oui","Litige",IF($O2553=0,"À échoir",IF($O2553&lt;=30,"0-30",IF($O2553&lt;=60,"31-60",IF($O2553&lt;=90,"61-90","90+")))))))</f>
        <v/>
      </c>
    </row>
    <row r="2554">
      <c r="A2554" s="6" t="n"/>
      <c r="B2554" s="6" t="n"/>
      <c r="C2554" s="6" t="n"/>
      <c r="D2554" s="6" t="n"/>
      <c r="E2554" s="6" t="n"/>
      <c r="F2554" s="7" t="n"/>
      <c r="G2554" s="7" t="n"/>
      <c r="H2554" s="8" t="n"/>
      <c r="I2554" s="9">
        <f>IF($A2554="","",SUMIFS(Ventes_Encaissements!$D$6:$D$3005,Ventes_Encaissements!$B$6:$B$3005,$A2554))</f>
        <v/>
      </c>
      <c r="J2554" s="9">
        <f>IF($A2554="","",$H2554-$I2554)</f>
        <v/>
      </c>
      <c r="K2554" s="10">
        <f>IF($A2554="","",IF($I2554=0,"",_xludf.AGGREGATE(14,6,Ventes_Encaissements!$C$6:$C$3005/(Ventes_Encaissements!$B$6:$B$3005=$A2554),1)))</f>
        <v/>
      </c>
      <c r="L2554" s="11">
        <f>IF($A2554="","",COUNTIFS(Ventes_Detail!$B$6:$B$3005,$A2554))</f>
        <v/>
      </c>
      <c r="M2554" s="12" t="n"/>
      <c r="N2554" s="12">
        <f>IF($A2554="","",IF($G2554="","",IF($M2554="Oui","Litige",IF($J2554&lt;=0,"Payé",IF($I2554&gt;0,"Partiel",IF(Listes!$B$3&gt;$G2554,"En retard","À échoir"))))))</f>
        <v/>
      </c>
      <c r="O2554" s="11">
        <f>IF($A2554="","",IF(OR($G2554="", $J2554&lt;=0),0,MAX(0,Listes!$B$3-$G2554)))</f>
        <v/>
      </c>
      <c r="P2554" s="12">
        <f>IF($A2554="","",IF($J2554&lt;=0,"Payé",IF($M2554="Oui","Litige",IF($O2554=0,"À échoir",IF($O2554&lt;=30,"0-30",IF($O2554&lt;=60,"31-60",IF($O2554&lt;=90,"61-90","90+")))))))</f>
        <v/>
      </c>
    </row>
    <row r="2555">
      <c r="A2555" s="6" t="n"/>
      <c r="B2555" s="6" t="n"/>
      <c r="C2555" s="6" t="n"/>
      <c r="D2555" s="6" t="n"/>
      <c r="E2555" s="6" t="n"/>
      <c r="F2555" s="7" t="n"/>
      <c r="G2555" s="7" t="n"/>
      <c r="H2555" s="8" t="n"/>
      <c r="I2555" s="9">
        <f>IF($A2555="","",SUMIFS(Ventes_Encaissements!$D$6:$D$3005,Ventes_Encaissements!$B$6:$B$3005,$A2555))</f>
        <v/>
      </c>
      <c r="J2555" s="9">
        <f>IF($A2555="","",$H2555-$I2555)</f>
        <v/>
      </c>
      <c r="K2555" s="10">
        <f>IF($A2555="","",IF($I2555=0,"",_xludf.AGGREGATE(14,6,Ventes_Encaissements!$C$6:$C$3005/(Ventes_Encaissements!$B$6:$B$3005=$A2555),1)))</f>
        <v/>
      </c>
      <c r="L2555" s="11">
        <f>IF($A2555="","",COUNTIFS(Ventes_Detail!$B$6:$B$3005,$A2555))</f>
        <v/>
      </c>
      <c r="M2555" s="12" t="n"/>
      <c r="N2555" s="12">
        <f>IF($A2555="","",IF($G2555="","",IF($M2555="Oui","Litige",IF($J2555&lt;=0,"Payé",IF($I2555&gt;0,"Partiel",IF(Listes!$B$3&gt;$G2555,"En retard","À échoir"))))))</f>
        <v/>
      </c>
      <c r="O2555" s="11">
        <f>IF($A2555="","",IF(OR($G2555="", $J2555&lt;=0),0,MAX(0,Listes!$B$3-$G2555)))</f>
        <v/>
      </c>
      <c r="P2555" s="12">
        <f>IF($A2555="","",IF($J2555&lt;=0,"Payé",IF($M2555="Oui","Litige",IF($O2555=0,"À échoir",IF($O2555&lt;=30,"0-30",IF($O2555&lt;=60,"31-60",IF($O2555&lt;=90,"61-90","90+")))))))</f>
        <v/>
      </c>
    </row>
    <row r="2556">
      <c r="A2556" s="6" t="n"/>
      <c r="B2556" s="6" t="n"/>
      <c r="C2556" s="6" t="n"/>
      <c r="D2556" s="6" t="n"/>
      <c r="E2556" s="6" t="n"/>
      <c r="F2556" s="7" t="n"/>
      <c r="G2556" s="7" t="n"/>
      <c r="H2556" s="8" t="n"/>
      <c r="I2556" s="9">
        <f>IF($A2556="","",SUMIFS(Ventes_Encaissements!$D$6:$D$3005,Ventes_Encaissements!$B$6:$B$3005,$A2556))</f>
        <v/>
      </c>
      <c r="J2556" s="9">
        <f>IF($A2556="","",$H2556-$I2556)</f>
        <v/>
      </c>
      <c r="K2556" s="10">
        <f>IF($A2556="","",IF($I2556=0,"",_xludf.AGGREGATE(14,6,Ventes_Encaissements!$C$6:$C$3005/(Ventes_Encaissements!$B$6:$B$3005=$A2556),1)))</f>
        <v/>
      </c>
      <c r="L2556" s="11">
        <f>IF($A2556="","",COUNTIFS(Ventes_Detail!$B$6:$B$3005,$A2556))</f>
        <v/>
      </c>
      <c r="M2556" s="12" t="n"/>
      <c r="N2556" s="12">
        <f>IF($A2556="","",IF($G2556="","",IF($M2556="Oui","Litige",IF($J2556&lt;=0,"Payé",IF($I2556&gt;0,"Partiel",IF(Listes!$B$3&gt;$G2556,"En retard","À échoir"))))))</f>
        <v/>
      </c>
      <c r="O2556" s="11">
        <f>IF($A2556="","",IF(OR($G2556="", $J2556&lt;=0),0,MAX(0,Listes!$B$3-$G2556)))</f>
        <v/>
      </c>
      <c r="P2556" s="12">
        <f>IF($A2556="","",IF($J2556&lt;=0,"Payé",IF($M2556="Oui","Litige",IF($O2556=0,"À échoir",IF($O2556&lt;=30,"0-30",IF($O2556&lt;=60,"31-60",IF($O2556&lt;=90,"61-90","90+")))))))</f>
        <v/>
      </c>
    </row>
    <row r="2557">
      <c r="A2557" s="6" t="n"/>
      <c r="B2557" s="6" t="n"/>
      <c r="C2557" s="6" t="n"/>
      <c r="D2557" s="6" t="n"/>
      <c r="E2557" s="6" t="n"/>
      <c r="F2557" s="7" t="n"/>
      <c r="G2557" s="7" t="n"/>
      <c r="H2557" s="8" t="n"/>
      <c r="I2557" s="9">
        <f>IF($A2557="","",SUMIFS(Ventes_Encaissements!$D$6:$D$3005,Ventes_Encaissements!$B$6:$B$3005,$A2557))</f>
        <v/>
      </c>
      <c r="J2557" s="9">
        <f>IF($A2557="","",$H2557-$I2557)</f>
        <v/>
      </c>
      <c r="K2557" s="10">
        <f>IF($A2557="","",IF($I2557=0,"",_xludf.AGGREGATE(14,6,Ventes_Encaissements!$C$6:$C$3005/(Ventes_Encaissements!$B$6:$B$3005=$A2557),1)))</f>
        <v/>
      </c>
      <c r="L2557" s="11">
        <f>IF($A2557="","",COUNTIFS(Ventes_Detail!$B$6:$B$3005,$A2557))</f>
        <v/>
      </c>
      <c r="M2557" s="12" t="n"/>
      <c r="N2557" s="12">
        <f>IF($A2557="","",IF($G2557="","",IF($M2557="Oui","Litige",IF($J2557&lt;=0,"Payé",IF($I2557&gt;0,"Partiel",IF(Listes!$B$3&gt;$G2557,"En retard","À échoir"))))))</f>
        <v/>
      </c>
      <c r="O2557" s="11">
        <f>IF($A2557="","",IF(OR($G2557="", $J2557&lt;=0),0,MAX(0,Listes!$B$3-$G2557)))</f>
        <v/>
      </c>
      <c r="P2557" s="12">
        <f>IF($A2557="","",IF($J2557&lt;=0,"Payé",IF($M2557="Oui","Litige",IF($O2557=0,"À échoir",IF($O2557&lt;=30,"0-30",IF($O2557&lt;=60,"31-60",IF($O2557&lt;=90,"61-90","90+")))))))</f>
        <v/>
      </c>
    </row>
    <row r="2558">
      <c r="A2558" s="6" t="n"/>
      <c r="B2558" s="6" t="n"/>
      <c r="C2558" s="6" t="n"/>
      <c r="D2558" s="6" t="n"/>
      <c r="E2558" s="6" t="n"/>
      <c r="F2558" s="7" t="n"/>
      <c r="G2558" s="7" t="n"/>
      <c r="H2558" s="8" t="n"/>
      <c r="I2558" s="9">
        <f>IF($A2558="","",SUMIFS(Ventes_Encaissements!$D$6:$D$3005,Ventes_Encaissements!$B$6:$B$3005,$A2558))</f>
        <v/>
      </c>
      <c r="J2558" s="9">
        <f>IF($A2558="","",$H2558-$I2558)</f>
        <v/>
      </c>
      <c r="K2558" s="10">
        <f>IF($A2558="","",IF($I2558=0,"",_xludf.AGGREGATE(14,6,Ventes_Encaissements!$C$6:$C$3005/(Ventes_Encaissements!$B$6:$B$3005=$A2558),1)))</f>
        <v/>
      </c>
      <c r="L2558" s="11">
        <f>IF($A2558="","",COUNTIFS(Ventes_Detail!$B$6:$B$3005,$A2558))</f>
        <v/>
      </c>
      <c r="M2558" s="12" t="n"/>
      <c r="N2558" s="12">
        <f>IF($A2558="","",IF($G2558="","",IF($M2558="Oui","Litige",IF($J2558&lt;=0,"Payé",IF($I2558&gt;0,"Partiel",IF(Listes!$B$3&gt;$G2558,"En retard","À échoir"))))))</f>
        <v/>
      </c>
      <c r="O2558" s="11">
        <f>IF($A2558="","",IF(OR($G2558="", $J2558&lt;=0),0,MAX(0,Listes!$B$3-$G2558)))</f>
        <v/>
      </c>
      <c r="P2558" s="12">
        <f>IF($A2558="","",IF($J2558&lt;=0,"Payé",IF($M2558="Oui","Litige",IF($O2558=0,"À échoir",IF($O2558&lt;=30,"0-30",IF($O2558&lt;=60,"31-60",IF($O2558&lt;=90,"61-90","90+")))))))</f>
        <v/>
      </c>
    </row>
    <row r="2559">
      <c r="A2559" s="6" t="n"/>
      <c r="B2559" s="6" t="n"/>
      <c r="C2559" s="6" t="n"/>
      <c r="D2559" s="6" t="n"/>
      <c r="E2559" s="6" t="n"/>
      <c r="F2559" s="7" t="n"/>
      <c r="G2559" s="7" t="n"/>
      <c r="H2559" s="8" t="n"/>
      <c r="I2559" s="9">
        <f>IF($A2559="","",SUMIFS(Ventes_Encaissements!$D$6:$D$3005,Ventes_Encaissements!$B$6:$B$3005,$A2559))</f>
        <v/>
      </c>
      <c r="J2559" s="9">
        <f>IF($A2559="","",$H2559-$I2559)</f>
        <v/>
      </c>
      <c r="K2559" s="10">
        <f>IF($A2559="","",IF($I2559=0,"",_xludf.AGGREGATE(14,6,Ventes_Encaissements!$C$6:$C$3005/(Ventes_Encaissements!$B$6:$B$3005=$A2559),1)))</f>
        <v/>
      </c>
      <c r="L2559" s="11">
        <f>IF($A2559="","",COUNTIFS(Ventes_Detail!$B$6:$B$3005,$A2559))</f>
        <v/>
      </c>
      <c r="M2559" s="12" t="n"/>
      <c r="N2559" s="12">
        <f>IF($A2559="","",IF($G2559="","",IF($M2559="Oui","Litige",IF($J2559&lt;=0,"Payé",IF($I2559&gt;0,"Partiel",IF(Listes!$B$3&gt;$G2559,"En retard","À échoir"))))))</f>
        <v/>
      </c>
      <c r="O2559" s="11">
        <f>IF($A2559="","",IF(OR($G2559="", $J2559&lt;=0),0,MAX(0,Listes!$B$3-$G2559)))</f>
        <v/>
      </c>
      <c r="P2559" s="12">
        <f>IF($A2559="","",IF($J2559&lt;=0,"Payé",IF($M2559="Oui","Litige",IF($O2559=0,"À échoir",IF($O2559&lt;=30,"0-30",IF($O2559&lt;=60,"31-60",IF($O2559&lt;=90,"61-90","90+")))))))</f>
        <v/>
      </c>
    </row>
    <row r="2560">
      <c r="A2560" s="6" t="n"/>
      <c r="B2560" s="6" t="n"/>
      <c r="C2560" s="6" t="n"/>
      <c r="D2560" s="6" t="n"/>
      <c r="E2560" s="6" t="n"/>
      <c r="F2560" s="7" t="n"/>
      <c r="G2560" s="7" t="n"/>
      <c r="H2560" s="8" t="n"/>
      <c r="I2560" s="9">
        <f>IF($A2560="","",SUMIFS(Ventes_Encaissements!$D$6:$D$3005,Ventes_Encaissements!$B$6:$B$3005,$A2560))</f>
        <v/>
      </c>
      <c r="J2560" s="9">
        <f>IF($A2560="","",$H2560-$I2560)</f>
        <v/>
      </c>
      <c r="K2560" s="10">
        <f>IF($A2560="","",IF($I2560=0,"",_xludf.AGGREGATE(14,6,Ventes_Encaissements!$C$6:$C$3005/(Ventes_Encaissements!$B$6:$B$3005=$A2560),1)))</f>
        <v/>
      </c>
      <c r="L2560" s="11">
        <f>IF($A2560="","",COUNTIFS(Ventes_Detail!$B$6:$B$3005,$A2560))</f>
        <v/>
      </c>
      <c r="M2560" s="12" t="n"/>
      <c r="N2560" s="12">
        <f>IF($A2560="","",IF($G2560="","",IF($M2560="Oui","Litige",IF($J2560&lt;=0,"Payé",IF($I2560&gt;0,"Partiel",IF(Listes!$B$3&gt;$G2560,"En retard","À échoir"))))))</f>
        <v/>
      </c>
      <c r="O2560" s="11">
        <f>IF($A2560="","",IF(OR($G2560="", $J2560&lt;=0),0,MAX(0,Listes!$B$3-$G2560)))</f>
        <v/>
      </c>
      <c r="P2560" s="12">
        <f>IF($A2560="","",IF($J2560&lt;=0,"Payé",IF($M2560="Oui","Litige",IF($O2560=0,"À échoir",IF($O2560&lt;=30,"0-30",IF($O2560&lt;=60,"31-60",IF($O2560&lt;=90,"61-90","90+")))))))</f>
        <v/>
      </c>
    </row>
    <row r="2561">
      <c r="A2561" s="6" t="n"/>
      <c r="B2561" s="6" t="n"/>
      <c r="C2561" s="6" t="n"/>
      <c r="D2561" s="6" t="n"/>
      <c r="E2561" s="6" t="n"/>
      <c r="F2561" s="7" t="n"/>
      <c r="G2561" s="7" t="n"/>
      <c r="H2561" s="8" t="n"/>
      <c r="I2561" s="9">
        <f>IF($A2561="","",SUMIFS(Ventes_Encaissements!$D$6:$D$3005,Ventes_Encaissements!$B$6:$B$3005,$A2561))</f>
        <v/>
      </c>
      <c r="J2561" s="9">
        <f>IF($A2561="","",$H2561-$I2561)</f>
        <v/>
      </c>
      <c r="K2561" s="10">
        <f>IF($A2561="","",IF($I2561=0,"",_xludf.AGGREGATE(14,6,Ventes_Encaissements!$C$6:$C$3005/(Ventes_Encaissements!$B$6:$B$3005=$A2561),1)))</f>
        <v/>
      </c>
      <c r="L2561" s="11">
        <f>IF($A2561="","",COUNTIFS(Ventes_Detail!$B$6:$B$3005,$A2561))</f>
        <v/>
      </c>
      <c r="M2561" s="12" t="n"/>
      <c r="N2561" s="12">
        <f>IF($A2561="","",IF($G2561="","",IF($M2561="Oui","Litige",IF($J2561&lt;=0,"Payé",IF($I2561&gt;0,"Partiel",IF(Listes!$B$3&gt;$G2561,"En retard","À échoir"))))))</f>
        <v/>
      </c>
      <c r="O2561" s="11">
        <f>IF($A2561="","",IF(OR($G2561="", $J2561&lt;=0),0,MAX(0,Listes!$B$3-$G2561)))</f>
        <v/>
      </c>
      <c r="P2561" s="12">
        <f>IF($A2561="","",IF($J2561&lt;=0,"Payé",IF($M2561="Oui","Litige",IF($O2561=0,"À échoir",IF($O2561&lt;=30,"0-30",IF($O2561&lt;=60,"31-60",IF($O2561&lt;=90,"61-90","90+")))))))</f>
        <v/>
      </c>
    </row>
    <row r="2562">
      <c r="A2562" s="6" t="n"/>
      <c r="B2562" s="6" t="n"/>
      <c r="C2562" s="6" t="n"/>
      <c r="D2562" s="6" t="n"/>
      <c r="E2562" s="6" t="n"/>
      <c r="F2562" s="7" t="n"/>
      <c r="G2562" s="7" t="n"/>
      <c r="H2562" s="8" t="n"/>
      <c r="I2562" s="9">
        <f>IF($A2562="","",SUMIFS(Ventes_Encaissements!$D$6:$D$3005,Ventes_Encaissements!$B$6:$B$3005,$A2562))</f>
        <v/>
      </c>
      <c r="J2562" s="9">
        <f>IF($A2562="","",$H2562-$I2562)</f>
        <v/>
      </c>
      <c r="K2562" s="10">
        <f>IF($A2562="","",IF($I2562=0,"",_xludf.AGGREGATE(14,6,Ventes_Encaissements!$C$6:$C$3005/(Ventes_Encaissements!$B$6:$B$3005=$A2562),1)))</f>
        <v/>
      </c>
      <c r="L2562" s="11">
        <f>IF($A2562="","",COUNTIFS(Ventes_Detail!$B$6:$B$3005,$A2562))</f>
        <v/>
      </c>
      <c r="M2562" s="12" t="n"/>
      <c r="N2562" s="12">
        <f>IF($A2562="","",IF($G2562="","",IF($M2562="Oui","Litige",IF($J2562&lt;=0,"Payé",IF($I2562&gt;0,"Partiel",IF(Listes!$B$3&gt;$G2562,"En retard","À échoir"))))))</f>
        <v/>
      </c>
      <c r="O2562" s="11">
        <f>IF($A2562="","",IF(OR($G2562="", $J2562&lt;=0),0,MAX(0,Listes!$B$3-$G2562)))</f>
        <v/>
      </c>
      <c r="P2562" s="12">
        <f>IF($A2562="","",IF($J2562&lt;=0,"Payé",IF($M2562="Oui","Litige",IF($O2562=0,"À échoir",IF($O2562&lt;=30,"0-30",IF($O2562&lt;=60,"31-60",IF($O2562&lt;=90,"61-90","90+")))))))</f>
        <v/>
      </c>
    </row>
    <row r="2563">
      <c r="A2563" s="6" t="n"/>
      <c r="B2563" s="6" t="n"/>
      <c r="C2563" s="6" t="n"/>
      <c r="D2563" s="6" t="n"/>
      <c r="E2563" s="6" t="n"/>
      <c r="F2563" s="7" t="n"/>
      <c r="G2563" s="7" t="n"/>
      <c r="H2563" s="8" t="n"/>
      <c r="I2563" s="9">
        <f>IF($A2563="","",SUMIFS(Ventes_Encaissements!$D$6:$D$3005,Ventes_Encaissements!$B$6:$B$3005,$A2563))</f>
        <v/>
      </c>
      <c r="J2563" s="9">
        <f>IF($A2563="","",$H2563-$I2563)</f>
        <v/>
      </c>
      <c r="K2563" s="10">
        <f>IF($A2563="","",IF($I2563=0,"",_xludf.AGGREGATE(14,6,Ventes_Encaissements!$C$6:$C$3005/(Ventes_Encaissements!$B$6:$B$3005=$A2563),1)))</f>
        <v/>
      </c>
      <c r="L2563" s="11">
        <f>IF($A2563="","",COUNTIFS(Ventes_Detail!$B$6:$B$3005,$A2563))</f>
        <v/>
      </c>
      <c r="M2563" s="12" t="n"/>
      <c r="N2563" s="12">
        <f>IF($A2563="","",IF($G2563="","",IF($M2563="Oui","Litige",IF($J2563&lt;=0,"Payé",IF($I2563&gt;0,"Partiel",IF(Listes!$B$3&gt;$G2563,"En retard","À échoir"))))))</f>
        <v/>
      </c>
      <c r="O2563" s="11">
        <f>IF($A2563="","",IF(OR($G2563="", $J2563&lt;=0),0,MAX(0,Listes!$B$3-$G2563)))</f>
        <v/>
      </c>
      <c r="P2563" s="12">
        <f>IF($A2563="","",IF($J2563&lt;=0,"Payé",IF($M2563="Oui","Litige",IF($O2563=0,"À échoir",IF($O2563&lt;=30,"0-30",IF($O2563&lt;=60,"31-60",IF($O2563&lt;=90,"61-90","90+")))))))</f>
        <v/>
      </c>
    </row>
    <row r="2564">
      <c r="A2564" s="6" t="n"/>
      <c r="B2564" s="6" t="n"/>
      <c r="C2564" s="6" t="n"/>
      <c r="D2564" s="6" t="n"/>
      <c r="E2564" s="6" t="n"/>
      <c r="F2564" s="7" t="n"/>
      <c r="G2564" s="7" t="n"/>
      <c r="H2564" s="8" t="n"/>
      <c r="I2564" s="9">
        <f>IF($A2564="","",SUMIFS(Ventes_Encaissements!$D$6:$D$3005,Ventes_Encaissements!$B$6:$B$3005,$A2564))</f>
        <v/>
      </c>
      <c r="J2564" s="9">
        <f>IF($A2564="","",$H2564-$I2564)</f>
        <v/>
      </c>
      <c r="K2564" s="10">
        <f>IF($A2564="","",IF($I2564=0,"",_xludf.AGGREGATE(14,6,Ventes_Encaissements!$C$6:$C$3005/(Ventes_Encaissements!$B$6:$B$3005=$A2564),1)))</f>
        <v/>
      </c>
      <c r="L2564" s="11">
        <f>IF($A2564="","",COUNTIFS(Ventes_Detail!$B$6:$B$3005,$A2564))</f>
        <v/>
      </c>
      <c r="M2564" s="12" t="n"/>
      <c r="N2564" s="12">
        <f>IF($A2564="","",IF($G2564="","",IF($M2564="Oui","Litige",IF($J2564&lt;=0,"Payé",IF($I2564&gt;0,"Partiel",IF(Listes!$B$3&gt;$G2564,"En retard","À échoir"))))))</f>
        <v/>
      </c>
      <c r="O2564" s="11">
        <f>IF($A2564="","",IF(OR($G2564="", $J2564&lt;=0),0,MAX(0,Listes!$B$3-$G2564)))</f>
        <v/>
      </c>
      <c r="P2564" s="12">
        <f>IF($A2564="","",IF($J2564&lt;=0,"Payé",IF($M2564="Oui","Litige",IF($O2564=0,"À échoir",IF($O2564&lt;=30,"0-30",IF($O2564&lt;=60,"31-60",IF($O2564&lt;=90,"61-90","90+")))))))</f>
        <v/>
      </c>
    </row>
    <row r="2565">
      <c r="A2565" s="6" t="n"/>
      <c r="B2565" s="6" t="n"/>
      <c r="C2565" s="6" t="n"/>
      <c r="D2565" s="6" t="n"/>
      <c r="E2565" s="6" t="n"/>
      <c r="F2565" s="7" t="n"/>
      <c r="G2565" s="7" t="n"/>
      <c r="H2565" s="8" t="n"/>
      <c r="I2565" s="9">
        <f>IF($A2565="","",SUMIFS(Ventes_Encaissements!$D$6:$D$3005,Ventes_Encaissements!$B$6:$B$3005,$A2565))</f>
        <v/>
      </c>
      <c r="J2565" s="9">
        <f>IF($A2565="","",$H2565-$I2565)</f>
        <v/>
      </c>
      <c r="K2565" s="10">
        <f>IF($A2565="","",IF($I2565=0,"",_xludf.AGGREGATE(14,6,Ventes_Encaissements!$C$6:$C$3005/(Ventes_Encaissements!$B$6:$B$3005=$A2565),1)))</f>
        <v/>
      </c>
      <c r="L2565" s="11">
        <f>IF($A2565="","",COUNTIFS(Ventes_Detail!$B$6:$B$3005,$A2565))</f>
        <v/>
      </c>
      <c r="M2565" s="12" t="n"/>
      <c r="N2565" s="12">
        <f>IF($A2565="","",IF($G2565="","",IF($M2565="Oui","Litige",IF($J2565&lt;=0,"Payé",IF($I2565&gt;0,"Partiel",IF(Listes!$B$3&gt;$G2565,"En retard","À échoir"))))))</f>
        <v/>
      </c>
      <c r="O2565" s="11">
        <f>IF($A2565="","",IF(OR($G2565="", $J2565&lt;=0),0,MAX(0,Listes!$B$3-$G2565)))</f>
        <v/>
      </c>
      <c r="P2565" s="12">
        <f>IF($A2565="","",IF($J2565&lt;=0,"Payé",IF($M2565="Oui","Litige",IF($O2565=0,"À échoir",IF($O2565&lt;=30,"0-30",IF($O2565&lt;=60,"31-60",IF($O2565&lt;=90,"61-90","90+")))))))</f>
        <v/>
      </c>
    </row>
    <row r="2566">
      <c r="A2566" s="6" t="n"/>
      <c r="B2566" s="6" t="n"/>
      <c r="C2566" s="6" t="n"/>
      <c r="D2566" s="6" t="n"/>
      <c r="E2566" s="6" t="n"/>
      <c r="F2566" s="7" t="n"/>
      <c r="G2566" s="7" t="n"/>
      <c r="H2566" s="8" t="n"/>
      <c r="I2566" s="9">
        <f>IF($A2566="","",SUMIFS(Ventes_Encaissements!$D$6:$D$3005,Ventes_Encaissements!$B$6:$B$3005,$A2566))</f>
        <v/>
      </c>
      <c r="J2566" s="9">
        <f>IF($A2566="","",$H2566-$I2566)</f>
        <v/>
      </c>
      <c r="K2566" s="10">
        <f>IF($A2566="","",IF($I2566=0,"",_xludf.AGGREGATE(14,6,Ventes_Encaissements!$C$6:$C$3005/(Ventes_Encaissements!$B$6:$B$3005=$A2566),1)))</f>
        <v/>
      </c>
      <c r="L2566" s="11">
        <f>IF($A2566="","",COUNTIFS(Ventes_Detail!$B$6:$B$3005,$A2566))</f>
        <v/>
      </c>
      <c r="M2566" s="12" t="n"/>
      <c r="N2566" s="12">
        <f>IF($A2566="","",IF($G2566="","",IF($M2566="Oui","Litige",IF($J2566&lt;=0,"Payé",IF($I2566&gt;0,"Partiel",IF(Listes!$B$3&gt;$G2566,"En retard","À échoir"))))))</f>
        <v/>
      </c>
      <c r="O2566" s="11">
        <f>IF($A2566="","",IF(OR($G2566="", $J2566&lt;=0),0,MAX(0,Listes!$B$3-$G2566)))</f>
        <v/>
      </c>
      <c r="P2566" s="12">
        <f>IF($A2566="","",IF($J2566&lt;=0,"Payé",IF($M2566="Oui","Litige",IF($O2566=0,"À échoir",IF($O2566&lt;=30,"0-30",IF($O2566&lt;=60,"31-60",IF($O2566&lt;=90,"61-90","90+")))))))</f>
        <v/>
      </c>
    </row>
    <row r="2567">
      <c r="A2567" s="6" t="n"/>
      <c r="B2567" s="6" t="n"/>
      <c r="C2567" s="6" t="n"/>
      <c r="D2567" s="6" t="n"/>
      <c r="E2567" s="6" t="n"/>
      <c r="F2567" s="7" t="n"/>
      <c r="G2567" s="7" t="n"/>
      <c r="H2567" s="8" t="n"/>
      <c r="I2567" s="9">
        <f>IF($A2567="","",SUMIFS(Ventes_Encaissements!$D$6:$D$3005,Ventes_Encaissements!$B$6:$B$3005,$A2567))</f>
        <v/>
      </c>
      <c r="J2567" s="9">
        <f>IF($A2567="","",$H2567-$I2567)</f>
        <v/>
      </c>
      <c r="K2567" s="10">
        <f>IF($A2567="","",IF($I2567=0,"",_xludf.AGGREGATE(14,6,Ventes_Encaissements!$C$6:$C$3005/(Ventes_Encaissements!$B$6:$B$3005=$A2567),1)))</f>
        <v/>
      </c>
      <c r="L2567" s="11">
        <f>IF($A2567="","",COUNTIFS(Ventes_Detail!$B$6:$B$3005,$A2567))</f>
        <v/>
      </c>
      <c r="M2567" s="12" t="n"/>
      <c r="N2567" s="12">
        <f>IF($A2567="","",IF($G2567="","",IF($M2567="Oui","Litige",IF($J2567&lt;=0,"Payé",IF($I2567&gt;0,"Partiel",IF(Listes!$B$3&gt;$G2567,"En retard","À échoir"))))))</f>
        <v/>
      </c>
      <c r="O2567" s="11">
        <f>IF($A2567="","",IF(OR($G2567="", $J2567&lt;=0),0,MAX(0,Listes!$B$3-$G2567)))</f>
        <v/>
      </c>
      <c r="P2567" s="12">
        <f>IF($A2567="","",IF($J2567&lt;=0,"Payé",IF($M2567="Oui","Litige",IF($O2567=0,"À échoir",IF($O2567&lt;=30,"0-30",IF($O2567&lt;=60,"31-60",IF($O2567&lt;=90,"61-90","90+")))))))</f>
        <v/>
      </c>
    </row>
    <row r="2568">
      <c r="A2568" s="6" t="n"/>
      <c r="B2568" s="6" t="n"/>
      <c r="C2568" s="6" t="n"/>
      <c r="D2568" s="6" t="n"/>
      <c r="E2568" s="6" t="n"/>
      <c r="F2568" s="7" t="n"/>
      <c r="G2568" s="7" t="n"/>
      <c r="H2568" s="8" t="n"/>
      <c r="I2568" s="9">
        <f>IF($A2568="","",SUMIFS(Ventes_Encaissements!$D$6:$D$3005,Ventes_Encaissements!$B$6:$B$3005,$A2568))</f>
        <v/>
      </c>
      <c r="J2568" s="9">
        <f>IF($A2568="","",$H2568-$I2568)</f>
        <v/>
      </c>
      <c r="K2568" s="10">
        <f>IF($A2568="","",IF($I2568=0,"",_xludf.AGGREGATE(14,6,Ventes_Encaissements!$C$6:$C$3005/(Ventes_Encaissements!$B$6:$B$3005=$A2568),1)))</f>
        <v/>
      </c>
      <c r="L2568" s="11">
        <f>IF($A2568="","",COUNTIFS(Ventes_Detail!$B$6:$B$3005,$A2568))</f>
        <v/>
      </c>
      <c r="M2568" s="12" t="n"/>
      <c r="N2568" s="12">
        <f>IF($A2568="","",IF($G2568="","",IF($M2568="Oui","Litige",IF($J2568&lt;=0,"Payé",IF($I2568&gt;0,"Partiel",IF(Listes!$B$3&gt;$G2568,"En retard","À échoir"))))))</f>
        <v/>
      </c>
      <c r="O2568" s="11">
        <f>IF($A2568="","",IF(OR($G2568="", $J2568&lt;=0),0,MAX(0,Listes!$B$3-$G2568)))</f>
        <v/>
      </c>
      <c r="P2568" s="12">
        <f>IF($A2568="","",IF($J2568&lt;=0,"Payé",IF($M2568="Oui","Litige",IF($O2568=0,"À échoir",IF($O2568&lt;=30,"0-30",IF($O2568&lt;=60,"31-60",IF($O2568&lt;=90,"61-90","90+")))))))</f>
        <v/>
      </c>
    </row>
    <row r="2569">
      <c r="A2569" s="6" t="n"/>
      <c r="B2569" s="6" t="n"/>
      <c r="C2569" s="6" t="n"/>
      <c r="D2569" s="6" t="n"/>
      <c r="E2569" s="6" t="n"/>
      <c r="F2569" s="7" t="n"/>
      <c r="G2569" s="7" t="n"/>
      <c r="H2569" s="8" t="n"/>
      <c r="I2569" s="9">
        <f>IF($A2569="","",SUMIFS(Ventes_Encaissements!$D$6:$D$3005,Ventes_Encaissements!$B$6:$B$3005,$A2569))</f>
        <v/>
      </c>
      <c r="J2569" s="9">
        <f>IF($A2569="","",$H2569-$I2569)</f>
        <v/>
      </c>
      <c r="K2569" s="10">
        <f>IF($A2569="","",IF($I2569=0,"",_xludf.AGGREGATE(14,6,Ventes_Encaissements!$C$6:$C$3005/(Ventes_Encaissements!$B$6:$B$3005=$A2569),1)))</f>
        <v/>
      </c>
      <c r="L2569" s="11">
        <f>IF($A2569="","",COUNTIFS(Ventes_Detail!$B$6:$B$3005,$A2569))</f>
        <v/>
      </c>
      <c r="M2569" s="12" t="n"/>
      <c r="N2569" s="12">
        <f>IF($A2569="","",IF($G2569="","",IF($M2569="Oui","Litige",IF($J2569&lt;=0,"Payé",IF($I2569&gt;0,"Partiel",IF(Listes!$B$3&gt;$G2569,"En retard","À échoir"))))))</f>
        <v/>
      </c>
      <c r="O2569" s="11">
        <f>IF($A2569="","",IF(OR($G2569="", $J2569&lt;=0),0,MAX(0,Listes!$B$3-$G2569)))</f>
        <v/>
      </c>
      <c r="P2569" s="12">
        <f>IF($A2569="","",IF($J2569&lt;=0,"Payé",IF($M2569="Oui","Litige",IF($O2569=0,"À échoir",IF($O2569&lt;=30,"0-30",IF($O2569&lt;=60,"31-60",IF($O2569&lt;=90,"61-90","90+")))))))</f>
        <v/>
      </c>
    </row>
    <row r="2570">
      <c r="A2570" s="6" t="n"/>
      <c r="B2570" s="6" t="n"/>
      <c r="C2570" s="6" t="n"/>
      <c r="D2570" s="6" t="n"/>
      <c r="E2570" s="6" t="n"/>
      <c r="F2570" s="7" t="n"/>
      <c r="G2570" s="7" t="n"/>
      <c r="H2570" s="8" t="n"/>
      <c r="I2570" s="9">
        <f>IF($A2570="","",SUMIFS(Ventes_Encaissements!$D$6:$D$3005,Ventes_Encaissements!$B$6:$B$3005,$A2570))</f>
        <v/>
      </c>
      <c r="J2570" s="9">
        <f>IF($A2570="","",$H2570-$I2570)</f>
        <v/>
      </c>
      <c r="K2570" s="10">
        <f>IF($A2570="","",IF($I2570=0,"",_xludf.AGGREGATE(14,6,Ventes_Encaissements!$C$6:$C$3005/(Ventes_Encaissements!$B$6:$B$3005=$A2570),1)))</f>
        <v/>
      </c>
      <c r="L2570" s="11">
        <f>IF($A2570="","",COUNTIFS(Ventes_Detail!$B$6:$B$3005,$A2570))</f>
        <v/>
      </c>
      <c r="M2570" s="12" t="n"/>
      <c r="N2570" s="12">
        <f>IF($A2570="","",IF($G2570="","",IF($M2570="Oui","Litige",IF($J2570&lt;=0,"Payé",IF($I2570&gt;0,"Partiel",IF(Listes!$B$3&gt;$G2570,"En retard","À échoir"))))))</f>
        <v/>
      </c>
      <c r="O2570" s="11">
        <f>IF($A2570="","",IF(OR($G2570="", $J2570&lt;=0),0,MAX(0,Listes!$B$3-$G2570)))</f>
        <v/>
      </c>
      <c r="P2570" s="12">
        <f>IF($A2570="","",IF($J2570&lt;=0,"Payé",IF($M2570="Oui","Litige",IF($O2570=0,"À échoir",IF($O2570&lt;=30,"0-30",IF($O2570&lt;=60,"31-60",IF($O2570&lt;=90,"61-90","90+")))))))</f>
        <v/>
      </c>
    </row>
    <row r="2571">
      <c r="A2571" s="6" t="n"/>
      <c r="B2571" s="6" t="n"/>
      <c r="C2571" s="6" t="n"/>
      <c r="D2571" s="6" t="n"/>
      <c r="E2571" s="6" t="n"/>
      <c r="F2571" s="7" t="n"/>
      <c r="G2571" s="7" t="n"/>
      <c r="H2571" s="8" t="n"/>
      <c r="I2571" s="9">
        <f>IF($A2571="","",SUMIFS(Ventes_Encaissements!$D$6:$D$3005,Ventes_Encaissements!$B$6:$B$3005,$A2571))</f>
        <v/>
      </c>
      <c r="J2571" s="9">
        <f>IF($A2571="","",$H2571-$I2571)</f>
        <v/>
      </c>
      <c r="K2571" s="10">
        <f>IF($A2571="","",IF($I2571=0,"",_xludf.AGGREGATE(14,6,Ventes_Encaissements!$C$6:$C$3005/(Ventes_Encaissements!$B$6:$B$3005=$A2571),1)))</f>
        <v/>
      </c>
      <c r="L2571" s="11">
        <f>IF($A2571="","",COUNTIFS(Ventes_Detail!$B$6:$B$3005,$A2571))</f>
        <v/>
      </c>
      <c r="M2571" s="12" t="n"/>
      <c r="N2571" s="12">
        <f>IF($A2571="","",IF($G2571="","",IF($M2571="Oui","Litige",IF($J2571&lt;=0,"Payé",IF($I2571&gt;0,"Partiel",IF(Listes!$B$3&gt;$G2571,"En retard","À échoir"))))))</f>
        <v/>
      </c>
      <c r="O2571" s="11">
        <f>IF($A2571="","",IF(OR($G2571="", $J2571&lt;=0),0,MAX(0,Listes!$B$3-$G2571)))</f>
        <v/>
      </c>
      <c r="P2571" s="12">
        <f>IF($A2571="","",IF($J2571&lt;=0,"Payé",IF($M2571="Oui","Litige",IF($O2571=0,"À échoir",IF($O2571&lt;=30,"0-30",IF($O2571&lt;=60,"31-60",IF($O2571&lt;=90,"61-90","90+")))))))</f>
        <v/>
      </c>
    </row>
    <row r="2572">
      <c r="A2572" s="6" t="n"/>
      <c r="B2572" s="6" t="n"/>
      <c r="C2572" s="6" t="n"/>
      <c r="D2572" s="6" t="n"/>
      <c r="E2572" s="6" t="n"/>
      <c r="F2572" s="7" t="n"/>
      <c r="G2572" s="7" t="n"/>
      <c r="H2572" s="8" t="n"/>
      <c r="I2572" s="9">
        <f>IF($A2572="","",SUMIFS(Ventes_Encaissements!$D$6:$D$3005,Ventes_Encaissements!$B$6:$B$3005,$A2572))</f>
        <v/>
      </c>
      <c r="J2572" s="9">
        <f>IF($A2572="","",$H2572-$I2572)</f>
        <v/>
      </c>
      <c r="K2572" s="10">
        <f>IF($A2572="","",IF($I2572=0,"",_xludf.AGGREGATE(14,6,Ventes_Encaissements!$C$6:$C$3005/(Ventes_Encaissements!$B$6:$B$3005=$A2572),1)))</f>
        <v/>
      </c>
      <c r="L2572" s="11">
        <f>IF($A2572="","",COUNTIFS(Ventes_Detail!$B$6:$B$3005,$A2572))</f>
        <v/>
      </c>
      <c r="M2572" s="12" t="n"/>
      <c r="N2572" s="12">
        <f>IF($A2572="","",IF($G2572="","",IF($M2572="Oui","Litige",IF($J2572&lt;=0,"Payé",IF($I2572&gt;0,"Partiel",IF(Listes!$B$3&gt;$G2572,"En retard","À échoir"))))))</f>
        <v/>
      </c>
      <c r="O2572" s="11">
        <f>IF($A2572="","",IF(OR($G2572="", $J2572&lt;=0),0,MAX(0,Listes!$B$3-$G2572)))</f>
        <v/>
      </c>
      <c r="P2572" s="12">
        <f>IF($A2572="","",IF($J2572&lt;=0,"Payé",IF($M2572="Oui","Litige",IF($O2572=0,"À échoir",IF($O2572&lt;=30,"0-30",IF($O2572&lt;=60,"31-60",IF($O2572&lt;=90,"61-90","90+")))))))</f>
        <v/>
      </c>
    </row>
    <row r="2573">
      <c r="A2573" s="6" t="n"/>
      <c r="B2573" s="6" t="n"/>
      <c r="C2573" s="6" t="n"/>
      <c r="D2573" s="6" t="n"/>
      <c r="E2573" s="6" t="n"/>
      <c r="F2573" s="7" t="n"/>
      <c r="G2573" s="7" t="n"/>
      <c r="H2573" s="8" t="n"/>
      <c r="I2573" s="9">
        <f>IF($A2573="","",SUMIFS(Ventes_Encaissements!$D$6:$D$3005,Ventes_Encaissements!$B$6:$B$3005,$A2573))</f>
        <v/>
      </c>
      <c r="J2573" s="9">
        <f>IF($A2573="","",$H2573-$I2573)</f>
        <v/>
      </c>
      <c r="K2573" s="10">
        <f>IF($A2573="","",IF($I2573=0,"",_xludf.AGGREGATE(14,6,Ventes_Encaissements!$C$6:$C$3005/(Ventes_Encaissements!$B$6:$B$3005=$A2573),1)))</f>
        <v/>
      </c>
      <c r="L2573" s="11">
        <f>IF($A2573="","",COUNTIFS(Ventes_Detail!$B$6:$B$3005,$A2573))</f>
        <v/>
      </c>
      <c r="M2573" s="12" t="n"/>
      <c r="N2573" s="12">
        <f>IF($A2573="","",IF($G2573="","",IF($M2573="Oui","Litige",IF($J2573&lt;=0,"Payé",IF($I2573&gt;0,"Partiel",IF(Listes!$B$3&gt;$G2573,"En retard","À échoir"))))))</f>
        <v/>
      </c>
      <c r="O2573" s="11">
        <f>IF($A2573="","",IF(OR($G2573="", $J2573&lt;=0),0,MAX(0,Listes!$B$3-$G2573)))</f>
        <v/>
      </c>
      <c r="P2573" s="12">
        <f>IF($A2573="","",IF($J2573&lt;=0,"Payé",IF($M2573="Oui","Litige",IF($O2573=0,"À échoir",IF($O2573&lt;=30,"0-30",IF($O2573&lt;=60,"31-60",IF($O2573&lt;=90,"61-90","90+")))))))</f>
        <v/>
      </c>
    </row>
    <row r="2574">
      <c r="A2574" s="6" t="n"/>
      <c r="B2574" s="6" t="n"/>
      <c r="C2574" s="6" t="n"/>
      <c r="D2574" s="6" t="n"/>
      <c r="E2574" s="6" t="n"/>
      <c r="F2574" s="7" t="n"/>
      <c r="G2574" s="7" t="n"/>
      <c r="H2574" s="8" t="n"/>
      <c r="I2574" s="9">
        <f>IF($A2574="","",SUMIFS(Ventes_Encaissements!$D$6:$D$3005,Ventes_Encaissements!$B$6:$B$3005,$A2574))</f>
        <v/>
      </c>
      <c r="J2574" s="9">
        <f>IF($A2574="","",$H2574-$I2574)</f>
        <v/>
      </c>
      <c r="K2574" s="10">
        <f>IF($A2574="","",IF($I2574=0,"",_xludf.AGGREGATE(14,6,Ventes_Encaissements!$C$6:$C$3005/(Ventes_Encaissements!$B$6:$B$3005=$A2574),1)))</f>
        <v/>
      </c>
      <c r="L2574" s="11">
        <f>IF($A2574="","",COUNTIFS(Ventes_Detail!$B$6:$B$3005,$A2574))</f>
        <v/>
      </c>
      <c r="M2574" s="12" t="n"/>
      <c r="N2574" s="12">
        <f>IF($A2574="","",IF($G2574="","",IF($M2574="Oui","Litige",IF($J2574&lt;=0,"Payé",IF($I2574&gt;0,"Partiel",IF(Listes!$B$3&gt;$G2574,"En retard","À échoir"))))))</f>
        <v/>
      </c>
      <c r="O2574" s="11">
        <f>IF($A2574="","",IF(OR($G2574="", $J2574&lt;=0),0,MAX(0,Listes!$B$3-$G2574)))</f>
        <v/>
      </c>
      <c r="P2574" s="12">
        <f>IF($A2574="","",IF($J2574&lt;=0,"Payé",IF($M2574="Oui","Litige",IF($O2574=0,"À échoir",IF($O2574&lt;=30,"0-30",IF($O2574&lt;=60,"31-60",IF($O2574&lt;=90,"61-90","90+")))))))</f>
        <v/>
      </c>
    </row>
    <row r="2575">
      <c r="A2575" s="6" t="n"/>
      <c r="B2575" s="6" t="n"/>
      <c r="C2575" s="6" t="n"/>
      <c r="D2575" s="6" t="n"/>
      <c r="E2575" s="6" t="n"/>
      <c r="F2575" s="7" t="n"/>
      <c r="G2575" s="7" t="n"/>
      <c r="H2575" s="8" t="n"/>
      <c r="I2575" s="9">
        <f>IF($A2575="","",SUMIFS(Ventes_Encaissements!$D$6:$D$3005,Ventes_Encaissements!$B$6:$B$3005,$A2575))</f>
        <v/>
      </c>
      <c r="J2575" s="9">
        <f>IF($A2575="","",$H2575-$I2575)</f>
        <v/>
      </c>
      <c r="K2575" s="10">
        <f>IF($A2575="","",IF($I2575=0,"",_xludf.AGGREGATE(14,6,Ventes_Encaissements!$C$6:$C$3005/(Ventes_Encaissements!$B$6:$B$3005=$A2575),1)))</f>
        <v/>
      </c>
      <c r="L2575" s="11">
        <f>IF($A2575="","",COUNTIFS(Ventes_Detail!$B$6:$B$3005,$A2575))</f>
        <v/>
      </c>
      <c r="M2575" s="12" t="n"/>
      <c r="N2575" s="12">
        <f>IF($A2575="","",IF($G2575="","",IF($M2575="Oui","Litige",IF($J2575&lt;=0,"Payé",IF($I2575&gt;0,"Partiel",IF(Listes!$B$3&gt;$G2575,"En retard","À échoir"))))))</f>
        <v/>
      </c>
      <c r="O2575" s="11">
        <f>IF($A2575="","",IF(OR($G2575="", $J2575&lt;=0),0,MAX(0,Listes!$B$3-$G2575)))</f>
        <v/>
      </c>
      <c r="P2575" s="12">
        <f>IF($A2575="","",IF($J2575&lt;=0,"Payé",IF($M2575="Oui","Litige",IF($O2575=0,"À échoir",IF($O2575&lt;=30,"0-30",IF($O2575&lt;=60,"31-60",IF($O2575&lt;=90,"61-90","90+")))))))</f>
        <v/>
      </c>
    </row>
    <row r="2576">
      <c r="A2576" s="6" t="n"/>
      <c r="B2576" s="6" t="n"/>
      <c r="C2576" s="6" t="n"/>
      <c r="D2576" s="6" t="n"/>
      <c r="E2576" s="6" t="n"/>
      <c r="F2576" s="7" t="n"/>
      <c r="G2576" s="7" t="n"/>
      <c r="H2576" s="8" t="n"/>
      <c r="I2576" s="9">
        <f>IF($A2576="","",SUMIFS(Ventes_Encaissements!$D$6:$D$3005,Ventes_Encaissements!$B$6:$B$3005,$A2576))</f>
        <v/>
      </c>
      <c r="J2576" s="9">
        <f>IF($A2576="","",$H2576-$I2576)</f>
        <v/>
      </c>
      <c r="K2576" s="10">
        <f>IF($A2576="","",IF($I2576=0,"",_xludf.AGGREGATE(14,6,Ventes_Encaissements!$C$6:$C$3005/(Ventes_Encaissements!$B$6:$B$3005=$A2576),1)))</f>
        <v/>
      </c>
      <c r="L2576" s="11">
        <f>IF($A2576="","",COUNTIFS(Ventes_Detail!$B$6:$B$3005,$A2576))</f>
        <v/>
      </c>
      <c r="M2576" s="12" t="n"/>
      <c r="N2576" s="12">
        <f>IF($A2576="","",IF($G2576="","",IF($M2576="Oui","Litige",IF($J2576&lt;=0,"Payé",IF($I2576&gt;0,"Partiel",IF(Listes!$B$3&gt;$G2576,"En retard","À échoir"))))))</f>
        <v/>
      </c>
      <c r="O2576" s="11">
        <f>IF($A2576="","",IF(OR($G2576="", $J2576&lt;=0),0,MAX(0,Listes!$B$3-$G2576)))</f>
        <v/>
      </c>
      <c r="P2576" s="12">
        <f>IF($A2576="","",IF($J2576&lt;=0,"Payé",IF($M2576="Oui","Litige",IF($O2576=0,"À échoir",IF($O2576&lt;=30,"0-30",IF($O2576&lt;=60,"31-60",IF($O2576&lt;=90,"61-90","90+")))))))</f>
        <v/>
      </c>
    </row>
    <row r="2577">
      <c r="A2577" s="6" t="n"/>
      <c r="B2577" s="6" t="n"/>
      <c r="C2577" s="6" t="n"/>
      <c r="D2577" s="6" t="n"/>
      <c r="E2577" s="6" t="n"/>
      <c r="F2577" s="7" t="n"/>
      <c r="G2577" s="7" t="n"/>
      <c r="H2577" s="8" t="n"/>
      <c r="I2577" s="9">
        <f>IF($A2577="","",SUMIFS(Ventes_Encaissements!$D$6:$D$3005,Ventes_Encaissements!$B$6:$B$3005,$A2577))</f>
        <v/>
      </c>
      <c r="J2577" s="9">
        <f>IF($A2577="","",$H2577-$I2577)</f>
        <v/>
      </c>
      <c r="K2577" s="10">
        <f>IF($A2577="","",IF($I2577=0,"",_xludf.AGGREGATE(14,6,Ventes_Encaissements!$C$6:$C$3005/(Ventes_Encaissements!$B$6:$B$3005=$A2577),1)))</f>
        <v/>
      </c>
      <c r="L2577" s="11">
        <f>IF($A2577="","",COUNTIFS(Ventes_Detail!$B$6:$B$3005,$A2577))</f>
        <v/>
      </c>
      <c r="M2577" s="12" t="n"/>
      <c r="N2577" s="12">
        <f>IF($A2577="","",IF($G2577="","",IF($M2577="Oui","Litige",IF($J2577&lt;=0,"Payé",IF($I2577&gt;0,"Partiel",IF(Listes!$B$3&gt;$G2577,"En retard","À échoir"))))))</f>
        <v/>
      </c>
      <c r="O2577" s="11">
        <f>IF($A2577="","",IF(OR($G2577="", $J2577&lt;=0),0,MAX(0,Listes!$B$3-$G2577)))</f>
        <v/>
      </c>
      <c r="P2577" s="12">
        <f>IF($A2577="","",IF($J2577&lt;=0,"Payé",IF($M2577="Oui","Litige",IF($O2577=0,"À échoir",IF($O2577&lt;=30,"0-30",IF($O2577&lt;=60,"31-60",IF($O2577&lt;=90,"61-90","90+")))))))</f>
        <v/>
      </c>
    </row>
    <row r="2578">
      <c r="A2578" s="6" t="n"/>
      <c r="B2578" s="6" t="n"/>
      <c r="C2578" s="6" t="n"/>
      <c r="D2578" s="6" t="n"/>
      <c r="E2578" s="6" t="n"/>
      <c r="F2578" s="7" t="n"/>
      <c r="G2578" s="7" t="n"/>
      <c r="H2578" s="8" t="n"/>
      <c r="I2578" s="9">
        <f>IF($A2578="","",SUMIFS(Ventes_Encaissements!$D$6:$D$3005,Ventes_Encaissements!$B$6:$B$3005,$A2578))</f>
        <v/>
      </c>
      <c r="J2578" s="9">
        <f>IF($A2578="","",$H2578-$I2578)</f>
        <v/>
      </c>
      <c r="K2578" s="10">
        <f>IF($A2578="","",IF($I2578=0,"",_xludf.AGGREGATE(14,6,Ventes_Encaissements!$C$6:$C$3005/(Ventes_Encaissements!$B$6:$B$3005=$A2578),1)))</f>
        <v/>
      </c>
      <c r="L2578" s="11">
        <f>IF($A2578="","",COUNTIFS(Ventes_Detail!$B$6:$B$3005,$A2578))</f>
        <v/>
      </c>
      <c r="M2578" s="12" t="n"/>
      <c r="N2578" s="12">
        <f>IF($A2578="","",IF($G2578="","",IF($M2578="Oui","Litige",IF($J2578&lt;=0,"Payé",IF($I2578&gt;0,"Partiel",IF(Listes!$B$3&gt;$G2578,"En retard","À échoir"))))))</f>
        <v/>
      </c>
      <c r="O2578" s="11">
        <f>IF($A2578="","",IF(OR($G2578="", $J2578&lt;=0),0,MAX(0,Listes!$B$3-$G2578)))</f>
        <v/>
      </c>
      <c r="P2578" s="12">
        <f>IF($A2578="","",IF($J2578&lt;=0,"Payé",IF($M2578="Oui","Litige",IF($O2578=0,"À échoir",IF($O2578&lt;=30,"0-30",IF($O2578&lt;=60,"31-60",IF($O2578&lt;=90,"61-90","90+")))))))</f>
        <v/>
      </c>
    </row>
    <row r="2579">
      <c r="A2579" s="6" t="n"/>
      <c r="B2579" s="6" t="n"/>
      <c r="C2579" s="6" t="n"/>
      <c r="D2579" s="6" t="n"/>
      <c r="E2579" s="6" t="n"/>
      <c r="F2579" s="7" t="n"/>
      <c r="G2579" s="7" t="n"/>
      <c r="H2579" s="8" t="n"/>
      <c r="I2579" s="9">
        <f>IF($A2579="","",SUMIFS(Ventes_Encaissements!$D$6:$D$3005,Ventes_Encaissements!$B$6:$B$3005,$A2579))</f>
        <v/>
      </c>
      <c r="J2579" s="9">
        <f>IF($A2579="","",$H2579-$I2579)</f>
        <v/>
      </c>
      <c r="K2579" s="10">
        <f>IF($A2579="","",IF($I2579=0,"",_xludf.AGGREGATE(14,6,Ventes_Encaissements!$C$6:$C$3005/(Ventes_Encaissements!$B$6:$B$3005=$A2579),1)))</f>
        <v/>
      </c>
      <c r="L2579" s="11">
        <f>IF($A2579="","",COUNTIFS(Ventes_Detail!$B$6:$B$3005,$A2579))</f>
        <v/>
      </c>
      <c r="M2579" s="12" t="n"/>
      <c r="N2579" s="12">
        <f>IF($A2579="","",IF($G2579="","",IF($M2579="Oui","Litige",IF($J2579&lt;=0,"Payé",IF($I2579&gt;0,"Partiel",IF(Listes!$B$3&gt;$G2579,"En retard","À échoir"))))))</f>
        <v/>
      </c>
      <c r="O2579" s="11">
        <f>IF($A2579="","",IF(OR($G2579="", $J2579&lt;=0),0,MAX(0,Listes!$B$3-$G2579)))</f>
        <v/>
      </c>
      <c r="P2579" s="12">
        <f>IF($A2579="","",IF($J2579&lt;=0,"Payé",IF($M2579="Oui","Litige",IF($O2579=0,"À échoir",IF($O2579&lt;=30,"0-30",IF($O2579&lt;=60,"31-60",IF($O2579&lt;=90,"61-90","90+")))))))</f>
        <v/>
      </c>
    </row>
    <row r="2580">
      <c r="A2580" s="6" t="n"/>
      <c r="B2580" s="6" t="n"/>
      <c r="C2580" s="6" t="n"/>
      <c r="D2580" s="6" t="n"/>
      <c r="E2580" s="6" t="n"/>
      <c r="F2580" s="7" t="n"/>
      <c r="G2580" s="7" t="n"/>
      <c r="H2580" s="8" t="n"/>
      <c r="I2580" s="9">
        <f>IF($A2580="","",SUMIFS(Ventes_Encaissements!$D$6:$D$3005,Ventes_Encaissements!$B$6:$B$3005,$A2580))</f>
        <v/>
      </c>
      <c r="J2580" s="9">
        <f>IF($A2580="","",$H2580-$I2580)</f>
        <v/>
      </c>
      <c r="K2580" s="10">
        <f>IF($A2580="","",IF($I2580=0,"",_xludf.AGGREGATE(14,6,Ventes_Encaissements!$C$6:$C$3005/(Ventes_Encaissements!$B$6:$B$3005=$A2580),1)))</f>
        <v/>
      </c>
      <c r="L2580" s="11">
        <f>IF($A2580="","",COUNTIFS(Ventes_Detail!$B$6:$B$3005,$A2580))</f>
        <v/>
      </c>
      <c r="M2580" s="12" t="n"/>
      <c r="N2580" s="12">
        <f>IF($A2580="","",IF($G2580="","",IF($M2580="Oui","Litige",IF($J2580&lt;=0,"Payé",IF($I2580&gt;0,"Partiel",IF(Listes!$B$3&gt;$G2580,"En retard","À échoir"))))))</f>
        <v/>
      </c>
      <c r="O2580" s="11">
        <f>IF($A2580="","",IF(OR($G2580="", $J2580&lt;=0),0,MAX(0,Listes!$B$3-$G2580)))</f>
        <v/>
      </c>
      <c r="P2580" s="12">
        <f>IF($A2580="","",IF($J2580&lt;=0,"Payé",IF($M2580="Oui","Litige",IF($O2580=0,"À échoir",IF($O2580&lt;=30,"0-30",IF($O2580&lt;=60,"31-60",IF($O2580&lt;=90,"61-90","90+")))))))</f>
        <v/>
      </c>
    </row>
    <row r="2581">
      <c r="A2581" s="6" t="n"/>
      <c r="B2581" s="6" t="n"/>
      <c r="C2581" s="6" t="n"/>
      <c r="D2581" s="6" t="n"/>
      <c r="E2581" s="6" t="n"/>
      <c r="F2581" s="7" t="n"/>
      <c r="G2581" s="7" t="n"/>
      <c r="H2581" s="8" t="n"/>
      <c r="I2581" s="9">
        <f>IF($A2581="","",SUMIFS(Ventes_Encaissements!$D$6:$D$3005,Ventes_Encaissements!$B$6:$B$3005,$A2581))</f>
        <v/>
      </c>
      <c r="J2581" s="9">
        <f>IF($A2581="","",$H2581-$I2581)</f>
        <v/>
      </c>
      <c r="K2581" s="10">
        <f>IF($A2581="","",IF($I2581=0,"",_xludf.AGGREGATE(14,6,Ventes_Encaissements!$C$6:$C$3005/(Ventes_Encaissements!$B$6:$B$3005=$A2581),1)))</f>
        <v/>
      </c>
      <c r="L2581" s="11">
        <f>IF($A2581="","",COUNTIFS(Ventes_Detail!$B$6:$B$3005,$A2581))</f>
        <v/>
      </c>
      <c r="M2581" s="12" t="n"/>
      <c r="N2581" s="12">
        <f>IF($A2581="","",IF($G2581="","",IF($M2581="Oui","Litige",IF($J2581&lt;=0,"Payé",IF($I2581&gt;0,"Partiel",IF(Listes!$B$3&gt;$G2581,"En retard","À échoir"))))))</f>
        <v/>
      </c>
      <c r="O2581" s="11">
        <f>IF($A2581="","",IF(OR($G2581="", $J2581&lt;=0),0,MAX(0,Listes!$B$3-$G2581)))</f>
        <v/>
      </c>
      <c r="P2581" s="12">
        <f>IF($A2581="","",IF($J2581&lt;=0,"Payé",IF($M2581="Oui","Litige",IF($O2581=0,"À échoir",IF($O2581&lt;=30,"0-30",IF($O2581&lt;=60,"31-60",IF($O2581&lt;=90,"61-90","90+")))))))</f>
        <v/>
      </c>
    </row>
    <row r="2582">
      <c r="A2582" s="6" t="n"/>
      <c r="B2582" s="6" t="n"/>
      <c r="C2582" s="6" t="n"/>
      <c r="D2582" s="6" t="n"/>
      <c r="E2582" s="6" t="n"/>
      <c r="F2582" s="7" t="n"/>
      <c r="G2582" s="7" t="n"/>
      <c r="H2582" s="8" t="n"/>
      <c r="I2582" s="9">
        <f>IF($A2582="","",SUMIFS(Ventes_Encaissements!$D$6:$D$3005,Ventes_Encaissements!$B$6:$B$3005,$A2582))</f>
        <v/>
      </c>
      <c r="J2582" s="9">
        <f>IF($A2582="","",$H2582-$I2582)</f>
        <v/>
      </c>
      <c r="K2582" s="10">
        <f>IF($A2582="","",IF($I2582=0,"",_xludf.AGGREGATE(14,6,Ventes_Encaissements!$C$6:$C$3005/(Ventes_Encaissements!$B$6:$B$3005=$A2582),1)))</f>
        <v/>
      </c>
      <c r="L2582" s="11">
        <f>IF($A2582="","",COUNTIFS(Ventes_Detail!$B$6:$B$3005,$A2582))</f>
        <v/>
      </c>
      <c r="M2582" s="12" t="n"/>
      <c r="N2582" s="12">
        <f>IF($A2582="","",IF($G2582="","",IF($M2582="Oui","Litige",IF($J2582&lt;=0,"Payé",IF($I2582&gt;0,"Partiel",IF(Listes!$B$3&gt;$G2582,"En retard","À échoir"))))))</f>
        <v/>
      </c>
      <c r="O2582" s="11">
        <f>IF($A2582="","",IF(OR($G2582="", $J2582&lt;=0),0,MAX(0,Listes!$B$3-$G2582)))</f>
        <v/>
      </c>
      <c r="P2582" s="12">
        <f>IF($A2582="","",IF($J2582&lt;=0,"Payé",IF($M2582="Oui","Litige",IF($O2582=0,"À échoir",IF($O2582&lt;=30,"0-30",IF($O2582&lt;=60,"31-60",IF($O2582&lt;=90,"61-90","90+")))))))</f>
        <v/>
      </c>
    </row>
    <row r="2583">
      <c r="A2583" s="6" t="n"/>
      <c r="B2583" s="6" t="n"/>
      <c r="C2583" s="6" t="n"/>
      <c r="D2583" s="6" t="n"/>
      <c r="E2583" s="6" t="n"/>
      <c r="F2583" s="7" t="n"/>
      <c r="G2583" s="7" t="n"/>
      <c r="H2583" s="8" t="n"/>
      <c r="I2583" s="9">
        <f>IF($A2583="","",SUMIFS(Ventes_Encaissements!$D$6:$D$3005,Ventes_Encaissements!$B$6:$B$3005,$A2583))</f>
        <v/>
      </c>
      <c r="J2583" s="9">
        <f>IF($A2583="","",$H2583-$I2583)</f>
        <v/>
      </c>
      <c r="K2583" s="10">
        <f>IF($A2583="","",IF($I2583=0,"",_xludf.AGGREGATE(14,6,Ventes_Encaissements!$C$6:$C$3005/(Ventes_Encaissements!$B$6:$B$3005=$A2583),1)))</f>
        <v/>
      </c>
      <c r="L2583" s="11">
        <f>IF($A2583="","",COUNTIFS(Ventes_Detail!$B$6:$B$3005,$A2583))</f>
        <v/>
      </c>
      <c r="M2583" s="12" t="n"/>
      <c r="N2583" s="12">
        <f>IF($A2583="","",IF($G2583="","",IF($M2583="Oui","Litige",IF($J2583&lt;=0,"Payé",IF($I2583&gt;0,"Partiel",IF(Listes!$B$3&gt;$G2583,"En retard","À échoir"))))))</f>
        <v/>
      </c>
      <c r="O2583" s="11">
        <f>IF($A2583="","",IF(OR($G2583="", $J2583&lt;=0),0,MAX(0,Listes!$B$3-$G2583)))</f>
        <v/>
      </c>
      <c r="P2583" s="12">
        <f>IF($A2583="","",IF($J2583&lt;=0,"Payé",IF($M2583="Oui","Litige",IF($O2583=0,"À échoir",IF($O2583&lt;=30,"0-30",IF($O2583&lt;=60,"31-60",IF($O2583&lt;=90,"61-90","90+")))))))</f>
        <v/>
      </c>
    </row>
    <row r="2584">
      <c r="A2584" s="6" t="n"/>
      <c r="B2584" s="6" t="n"/>
      <c r="C2584" s="6" t="n"/>
      <c r="D2584" s="6" t="n"/>
      <c r="E2584" s="6" t="n"/>
      <c r="F2584" s="7" t="n"/>
      <c r="G2584" s="7" t="n"/>
      <c r="H2584" s="8" t="n"/>
      <c r="I2584" s="9">
        <f>IF($A2584="","",SUMIFS(Ventes_Encaissements!$D$6:$D$3005,Ventes_Encaissements!$B$6:$B$3005,$A2584))</f>
        <v/>
      </c>
      <c r="J2584" s="9">
        <f>IF($A2584="","",$H2584-$I2584)</f>
        <v/>
      </c>
      <c r="K2584" s="10">
        <f>IF($A2584="","",IF($I2584=0,"",_xludf.AGGREGATE(14,6,Ventes_Encaissements!$C$6:$C$3005/(Ventes_Encaissements!$B$6:$B$3005=$A2584),1)))</f>
        <v/>
      </c>
      <c r="L2584" s="11">
        <f>IF($A2584="","",COUNTIFS(Ventes_Detail!$B$6:$B$3005,$A2584))</f>
        <v/>
      </c>
      <c r="M2584" s="12" t="n"/>
      <c r="N2584" s="12">
        <f>IF($A2584="","",IF($G2584="","",IF($M2584="Oui","Litige",IF($J2584&lt;=0,"Payé",IF($I2584&gt;0,"Partiel",IF(Listes!$B$3&gt;$G2584,"En retard","À échoir"))))))</f>
        <v/>
      </c>
      <c r="O2584" s="11">
        <f>IF($A2584="","",IF(OR($G2584="", $J2584&lt;=0),0,MAX(0,Listes!$B$3-$G2584)))</f>
        <v/>
      </c>
      <c r="P2584" s="12">
        <f>IF($A2584="","",IF($J2584&lt;=0,"Payé",IF($M2584="Oui","Litige",IF($O2584=0,"À échoir",IF($O2584&lt;=30,"0-30",IF($O2584&lt;=60,"31-60",IF($O2584&lt;=90,"61-90","90+")))))))</f>
        <v/>
      </c>
    </row>
    <row r="2585">
      <c r="A2585" s="6" t="n"/>
      <c r="B2585" s="6" t="n"/>
      <c r="C2585" s="6" t="n"/>
      <c r="D2585" s="6" t="n"/>
      <c r="E2585" s="6" t="n"/>
      <c r="F2585" s="7" t="n"/>
      <c r="G2585" s="7" t="n"/>
      <c r="H2585" s="8" t="n"/>
      <c r="I2585" s="9">
        <f>IF($A2585="","",SUMIFS(Ventes_Encaissements!$D$6:$D$3005,Ventes_Encaissements!$B$6:$B$3005,$A2585))</f>
        <v/>
      </c>
      <c r="J2585" s="9">
        <f>IF($A2585="","",$H2585-$I2585)</f>
        <v/>
      </c>
      <c r="K2585" s="10">
        <f>IF($A2585="","",IF($I2585=0,"",_xludf.AGGREGATE(14,6,Ventes_Encaissements!$C$6:$C$3005/(Ventes_Encaissements!$B$6:$B$3005=$A2585),1)))</f>
        <v/>
      </c>
      <c r="L2585" s="11">
        <f>IF($A2585="","",COUNTIFS(Ventes_Detail!$B$6:$B$3005,$A2585))</f>
        <v/>
      </c>
      <c r="M2585" s="12" t="n"/>
      <c r="N2585" s="12">
        <f>IF($A2585="","",IF($G2585="","",IF($M2585="Oui","Litige",IF($J2585&lt;=0,"Payé",IF($I2585&gt;0,"Partiel",IF(Listes!$B$3&gt;$G2585,"En retard","À échoir"))))))</f>
        <v/>
      </c>
      <c r="O2585" s="11">
        <f>IF($A2585="","",IF(OR($G2585="", $J2585&lt;=0),0,MAX(0,Listes!$B$3-$G2585)))</f>
        <v/>
      </c>
      <c r="P2585" s="12">
        <f>IF($A2585="","",IF($J2585&lt;=0,"Payé",IF($M2585="Oui","Litige",IF($O2585=0,"À échoir",IF($O2585&lt;=30,"0-30",IF($O2585&lt;=60,"31-60",IF($O2585&lt;=90,"61-90","90+")))))))</f>
        <v/>
      </c>
    </row>
    <row r="2586">
      <c r="A2586" s="6" t="n"/>
      <c r="B2586" s="6" t="n"/>
      <c r="C2586" s="6" t="n"/>
      <c r="D2586" s="6" t="n"/>
      <c r="E2586" s="6" t="n"/>
      <c r="F2586" s="7" t="n"/>
      <c r="G2586" s="7" t="n"/>
      <c r="H2586" s="8" t="n"/>
      <c r="I2586" s="9">
        <f>IF($A2586="","",SUMIFS(Ventes_Encaissements!$D$6:$D$3005,Ventes_Encaissements!$B$6:$B$3005,$A2586))</f>
        <v/>
      </c>
      <c r="J2586" s="9">
        <f>IF($A2586="","",$H2586-$I2586)</f>
        <v/>
      </c>
      <c r="K2586" s="10">
        <f>IF($A2586="","",IF($I2586=0,"",_xludf.AGGREGATE(14,6,Ventes_Encaissements!$C$6:$C$3005/(Ventes_Encaissements!$B$6:$B$3005=$A2586),1)))</f>
        <v/>
      </c>
      <c r="L2586" s="11">
        <f>IF($A2586="","",COUNTIFS(Ventes_Detail!$B$6:$B$3005,$A2586))</f>
        <v/>
      </c>
      <c r="M2586" s="12" t="n"/>
      <c r="N2586" s="12">
        <f>IF($A2586="","",IF($G2586="","",IF($M2586="Oui","Litige",IF($J2586&lt;=0,"Payé",IF($I2586&gt;0,"Partiel",IF(Listes!$B$3&gt;$G2586,"En retard","À échoir"))))))</f>
        <v/>
      </c>
      <c r="O2586" s="11">
        <f>IF($A2586="","",IF(OR($G2586="", $J2586&lt;=0),0,MAX(0,Listes!$B$3-$G2586)))</f>
        <v/>
      </c>
      <c r="P2586" s="12">
        <f>IF($A2586="","",IF($J2586&lt;=0,"Payé",IF($M2586="Oui","Litige",IF($O2586=0,"À échoir",IF($O2586&lt;=30,"0-30",IF($O2586&lt;=60,"31-60",IF($O2586&lt;=90,"61-90","90+")))))))</f>
        <v/>
      </c>
    </row>
    <row r="2587">
      <c r="A2587" s="6" t="n"/>
      <c r="B2587" s="6" t="n"/>
      <c r="C2587" s="6" t="n"/>
      <c r="D2587" s="6" t="n"/>
      <c r="E2587" s="6" t="n"/>
      <c r="F2587" s="7" t="n"/>
      <c r="G2587" s="7" t="n"/>
      <c r="H2587" s="8" t="n"/>
      <c r="I2587" s="9">
        <f>IF($A2587="","",SUMIFS(Ventes_Encaissements!$D$6:$D$3005,Ventes_Encaissements!$B$6:$B$3005,$A2587))</f>
        <v/>
      </c>
      <c r="J2587" s="9">
        <f>IF($A2587="","",$H2587-$I2587)</f>
        <v/>
      </c>
      <c r="K2587" s="10">
        <f>IF($A2587="","",IF($I2587=0,"",_xludf.AGGREGATE(14,6,Ventes_Encaissements!$C$6:$C$3005/(Ventes_Encaissements!$B$6:$B$3005=$A2587),1)))</f>
        <v/>
      </c>
      <c r="L2587" s="11">
        <f>IF($A2587="","",COUNTIFS(Ventes_Detail!$B$6:$B$3005,$A2587))</f>
        <v/>
      </c>
      <c r="M2587" s="12" t="n"/>
      <c r="N2587" s="12">
        <f>IF($A2587="","",IF($G2587="","",IF($M2587="Oui","Litige",IF($J2587&lt;=0,"Payé",IF($I2587&gt;0,"Partiel",IF(Listes!$B$3&gt;$G2587,"En retard","À échoir"))))))</f>
        <v/>
      </c>
      <c r="O2587" s="11">
        <f>IF($A2587="","",IF(OR($G2587="", $J2587&lt;=0),0,MAX(0,Listes!$B$3-$G2587)))</f>
        <v/>
      </c>
      <c r="P2587" s="12">
        <f>IF($A2587="","",IF($J2587&lt;=0,"Payé",IF($M2587="Oui","Litige",IF($O2587=0,"À échoir",IF($O2587&lt;=30,"0-30",IF($O2587&lt;=60,"31-60",IF($O2587&lt;=90,"61-90","90+")))))))</f>
        <v/>
      </c>
    </row>
    <row r="2588">
      <c r="A2588" s="6" t="n"/>
      <c r="B2588" s="6" t="n"/>
      <c r="C2588" s="6" t="n"/>
      <c r="D2588" s="6" t="n"/>
      <c r="E2588" s="6" t="n"/>
      <c r="F2588" s="7" t="n"/>
      <c r="G2588" s="7" t="n"/>
      <c r="H2588" s="8" t="n"/>
      <c r="I2588" s="9">
        <f>IF($A2588="","",SUMIFS(Ventes_Encaissements!$D$6:$D$3005,Ventes_Encaissements!$B$6:$B$3005,$A2588))</f>
        <v/>
      </c>
      <c r="J2588" s="9">
        <f>IF($A2588="","",$H2588-$I2588)</f>
        <v/>
      </c>
      <c r="K2588" s="10">
        <f>IF($A2588="","",IF($I2588=0,"",_xludf.AGGREGATE(14,6,Ventes_Encaissements!$C$6:$C$3005/(Ventes_Encaissements!$B$6:$B$3005=$A2588),1)))</f>
        <v/>
      </c>
      <c r="L2588" s="11">
        <f>IF($A2588="","",COUNTIFS(Ventes_Detail!$B$6:$B$3005,$A2588))</f>
        <v/>
      </c>
      <c r="M2588" s="12" t="n"/>
      <c r="N2588" s="12">
        <f>IF($A2588="","",IF($G2588="","",IF($M2588="Oui","Litige",IF($J2588&lt;=0,"Payé",IF($I2588&gt;0,"Partiel",IF(Listes!$B$3&gt;$G2588,"En retard","À échoir"))))))</f>
        <v/>
      </c>
      <c r="O2588" s="11">
        <f>IF($A2588="","",IF(OR($G2588="", $J2588&lt;=0),0,MAX(0,Listes!$B$3-$G2588)))</f>
        <v/>
      </c>
      <c r="P2588" s="12">
        <f>IF($A2588="","",IF($J2588&lt;=0,"Payé",IF($M2588="Oui","Litige",IF($O2588=0,"À échoir",IF($O2588&lt;=30,"0-30",IF($O2588&lt;=60,"31-60",IF($O2588&lt;=90,"61-90","90+")))))))</f>
        <v/>
      </c>
    </row>
    <row r="2589">
      <c r="A2589" s="6" t="n"/>
      <c r="B2589" s="6" t="n"/>
      <c r="C2589" s="6" t="n"/>
      <c r="D2589" s="6" t="n"/>
      <c r="E2589" s="6" t="n"/>
      <c r="F2589" s="7" t="n"/>
      <c r="G2589" s="7" t="n"/>
      <c r="H2589" s="8" t="n"/>
      <c r="I2589" s="9">
        <f>IF($A2589="","",SUMIFS(Ventes_Encaissements!$D$6:$D$3005,Ventes_Encaissements!$B$6:$B$3005,$A2589))</f>
        <v/>
      </c>
      <c r="J2589" s="9">
        <f>IF($A2589="","",$H2589-$I2589)</f>
        <v/>
      </c>
      <c r="K2589" s="10">
        <f>IF($A2589="","",IF($I2589=0,"",_xludf.AGGREGATE(14,6,Ventes_Encaissements!$C$6:$C$3005/(Ventes_Encaissements!$B$6:$B$3005=$A2589),1)))</f>
        <v/>
      </c>
      <c r="L2589" s="11">
        <f>IF($A2589="","",COUNTIFS(Ventes_Detail!$B$6:$B$3005,$A2589))</f>
        <v/>
      </c>
      <c r="M2589" s="12" t="n"/>
      <c r="N2589" s="12">
        <f>IF($A2589="","",IF($G2589="","",IF($M2589="Oui","Litige",IF($J2589&lt;=0,"Payé",IF($I2589&gt;0,"Partiel",IF(Listes!$B$3&gt;$G2589,"En retard","À échoir"))))))</f>
        <v/>
      </c>
      <c r="O2589" s="11">
        <f>IF($A2589="","",IF(OR($G2589="", $J2589&lt;=0),0,MAX(0,Listes!$B$3-$G2589)))</f>
        <v/>
      </c>
      <c r="P2589" s="12">
        <f>IF($A2589="","",IF($J2589&lt;=0,"Payé",IF($M2589="Oui","Litige",IF($O2589=0,"À échoir",IF($O2589&lt;=30,"0-30",IF($O2589&lt;=60,"31-60",IF($O2589&lt;=90,"61-90","90+")))))))</f>
        <v/>
      </c>
    </row>
    <row r="2590">
      <c r="A2590" s="6" t="n"/>
      <c r="B2590" s="6" t="n"/>
      <c r="C2590" s="6" t="n"/>
      <c r="D2590" s="6" t="n"/>
      <c r="E2590" s="6" t="n"/>
      <c r="F2590" s="7" t="n"/>
      <c r="G2590" s="7" t="n"/>
      <c r="H2590" s="8" t="n"/>
      <c r="I2590" s="9">
        <f>IF($A2590="","",SUMIFS(Ventes_Encaissements!$D$6:$D$3005,Ventes_Encaissements!$B$6:$B$3005,$A2590))</f>
        <v/>
      </c>
      <c r="J2590" s="9">
        <f>IF($A2590="","",$H2590-$I2590)</f>
        <v/>
      </c>
      <c r="K2590" s="10">
        <f>IF($A2590="","",IF($I2590=0,"",_xludf.AGGREGATE(14,6,Ventes_Encaissements!$C$6:$C$3005/(Ventes_Encaissements!$B$6:$B$3005=$A2590),1)))</f>
        <v/>
      </c>
      <c r="L2590" s="11">
        <f>IF($A2590="","",COUNTIFS(Ventes_Detail!$B$6:$B$3005,$A2590))</f>
        <v/>
      </c>
      <c r="M2590" s="12" t="n"/>
      <c r="N2590" s="12">
        <f>IF($A2590="","",IF($G2590="","",IF($M2590="Oui","Litige",IF($J2590&lt;=0,"Payé",IF($I2590&gt;0,"Partiel",IF(Listes!$B$3&gt;$G2590,"En retard","À échoir"))))))</f>
        <v/>
      </c>
      <c r="O2590" s="11">
        <f>IF($A2590="","",IF(OR($G2590="", $J2590&lt;=0),0,MAX(0,Listes!$B$3-$G2590)))</f>
        <v/>
      </c>
      <c r="P2590" s="12">
        <f>IF($A2590="","",IF($J2590&lt;=0,"Payé",IF($M2590="Oui","Litige",IF($O2590=0,"À échoir",IF($O2590&lt;=30,"0-30",IF($O2590&lt;=60,"31-60",IF($O2590&lt;=90,"61-90","90+")))))))</f>
        <v/>
      </c>
    </row>
    <row r="2591">
      <c r="A2591" s="6" t="n"/>
      <c r="B2591" s="6" t="n"/>
      <c r="C2591" s="6" t="n"/>
      <c r="D2591" s="6" t="n"/>
      <c r="E2591" s="6" t="n"/>
      <c r="F2591" s="7" t="n"/>
      <c r="G2591" s="7" t="n"/>
      <c r="H2591" s="8" t="n"/>
      <c r="I2591" s="9">
        <f>IF($A2591="","",SUMIFS(Ventes_Encaissements!$D$6:$D$3005,Ventes_Encaissements!$B$6:$B$3005,$A2591))</f>
        <v/>
      </c>
      <c r="J2591" s="9">
        <f>IF($A2591="","",$H2591-$I2591)</f>
        <v/>
      </c>
      <c r="K2591" s="10">
        <f>IF($A2591="","",IF($I2591=0,"",_xludf.AGGREGATE(14,6,Ventes_Encaissements!$C$6:$C$3005/(Ventes_Encaissements!$B$6:$B$3005=$A2591),1)))</f>
        <v/>
      </c>
      <c r="L2591" s="11">
        <f>IF($A2591="","",COUNTIFS(Ventes_Detail!$B$6:$B$3005,$A2591))</f>
        <v/>
      </c>
      <c r="M2591" s="12" t="n"/>
      <c r="N2591" s="12">
        <f>IF($A2591="","",IF($G2591="","",IF($M2591="Oui","Litige",IF($J2591&lt;=0,"Payé",IF($I2591&gt;0,"Partiel",IF(Listes!$B$3&gt;$G2591,"En retard","À échoir"))))))</f>
        <v/>
      </c>
      <c r="O2591" s="11">
        <f>IF($A2591="","",IF(OR($G2591="", $J2591&lt;=0),0,MAX(0,Listes!$B$3-$G2591)))</f>
        <v/>
      </c>
      <c r="P2591" s="12">
        <f>IF($A2591="","",IF($J2591&lt;=0,"Payé",IF($M2591="Oui","Litige",IF($O2591=0,"À échoir",IF($O2591&lt;=30,"0-30",IF($O2591&lt;=60,"31-60",IF($O2591&lt;=90,"61-90","90+")))))))</f>
        <v/>
      </c>
    </row>
    <row r="2592">
      <c r="A2592" s="6" t="n"/>
      <c r="B2592" s="6" t="n"/>
      <c r="C2592" s="6" t="n"/>
      <c r="D2592" s="6" t="n"/>
      <c r="E2592" s="6" t="n"/>
      <c r="F2592" s="7" t="n"/>
      <c r="G2592" s="7" t="n"/>
      <c r="H2592" s="8" t="n"/>
      <c r="I2592" s="9">
        <f>IF($A2592="","",SUMIFS(Ventes_Encaissements!$D$6:$D$3005,Ventes_Encaissements!$B$6:$B$3005,$A2592))</f>
        <v/>
      </c>
      <c r="J2592" s="9">
        <f>IF($A2592="","",$H2592-$I2592)</f>
        <v/>
      </c>
      <c r="K2592" s="10">
        <f>IF($A2592="","",IF($I2592=0,"",_xludf.AGGREGATE(14,6,Ventes_Encaissements!$C$6:$C$3005/(Ventes_Encaissements!$B$6:$B$3005=$A2592),1)))</f>
        <v/>
      </c>
      <c r="L2592" s="11">
        <f>IF($A2592="","",COUNTIFS(Ventes_Detail!$B$6:$B$3005,$A2592))</f>
        <v/>
      </c>
      <c r="M2592" s="12" t="n"/>
      <c r="N2592" s="12">
        <f>IF($A2592="","",IF($G2592="","",IF($M2592="Oui","Litige",IF($J2592&lt;=0,"Payé",IF($I2592&gt;0,"Partiel",IF(Listes!$B$3&gt;$G2592,"En retard","À échoir"))))))</f>
        <v/>
      </c>
      <c r="O2592" s="11">
        <f>IF($A2592="","",IF(OR($G2592="", $J2592&lt;=0),0,MAX(0,Listes!$B$3-$G2592)))</f>
        <v/>
      </c>
      <c r="P2592" s="12">
        <f>IF($A2592="","",IF($J2592&lt;=0,"Payé",IF($M2592="Oui","Litige",IF($O2592=0,"À échoir",IF($O2592&lt;=30,"0-30",IF($O2592&lt;=60,"31-60",IF($O2592&lt;=90,"61-90","90+")))))))</f>
        <v/>
      </c>
    </row>
    <row r="2593">
      <c r="A2593" s="6" t="n"/>
      <c r="B2593" s="6" t="n"/>
      <c r="C2593" s="6" t="n"/>
      <c r="D2593" s="6" t="n"/>
      <c r="E2593" s="6" t="n"/>
      <c r="F2593" s="7" t="n"/>
      <c r="G2593" s="7" t="n"/>
      <c r="H2593" s="8" t="n"/>
      <c r="I2593" s="9">
        <f>IF($A2593="","",SUMIFS(Ventes_Encaissements!$D$6:$D$3005,Ventes_Encaissements!$B$6:$B$3005,$A2593))</f>
        <v/>
      </c>
      <c r="J2593" s="9">
        <f>IF($A2593="","",$H2593-$I2593)</f>
        <v/>
      </c>
      <c r="K2593" s="10">
        <f>IF($A2593="","",IF($I2593=0,"",_xludf.AGGREGATE(14,6,Ventes_Encaissements!$C$6:$C$3005/(Ventes_Encaissements!$B$6:$B$3005=$A2593),1)))</f>
        <v/>
      </c>
      <c r="L2593" s="11">
        <f>IF($A2593="","",COUNTIFS(Ventes_Detail!$B$6:$B$3005,$A2593))</f>
        <v/>
      </c>
      <c r="M2593" s="12" t="n"/>
      <c r="N2593" s="12">
        <f>IF($A2593="","",IF($G2593="","",IF($M2593="Oui","Litige",IF($J2593&lt;=0,"Payé",IF($I2593&gt;0,"Partiel",IF(Listes!$B$3&gt;$G2593,"En retard","À échoir"))))))</f>
        <v/>
      </c>
      <c r="O2593" s="11">
        <f>IF($A2593="","",IF(OR($G2593="", $J2593&lt;=0),0,MAX(0,Listes!$B$3-$G2593)))</f>
        <v/>
      </c>
      <c r="P2593" s="12">
        <f>IF($A2593="","",IF($J2593&lt;=0,"Payé",IF($M2593="Oui","Litige",IF($O2593=0,"À échoir",IF($O2593&lt;=30,"0-30",IF($O2593&lt;=60,"31-60",IF($O2593&lt;=90,"61-90","90+")))))))</f>
        <v/>
      </c>
    </row>
    <row r="2594">
      <c r="A2594" s="6" t="n"/>
      <c r="B2594" s="6" t="n"/>
      <c r="C2594" s="6" t="n"/>
      <c r="D2594" s="6" t="n"/>
      <c r="E2594" s="6" t="n"/>
      <c r="F2594" s="7" t="n"/>
      <c r="G2594" s="7" t="n"/>
      <c r="H2594" s="8" t="n"/>
      <c r="I2594" s="9">
        <f>IF($A2594="","",SUMIFS(Ventes_Encaissements!$D$6:$D$3005,Ventes_Encaissements!$B$6:$B$3005,$A2594))</f>
        <v/>
      </c>
      <c r="J2594" s="9">
        <f>IF($A2594="","",$H2594-$I2594)</f>
        <v/>
      </c>
      <c r="K2594" s="10">
        <f>IF($A2594="","",IF($I2594=0,"",_xludf.AGGREGATE(14,6,Ventes_Encaissements!$C$6:$C$3005/(Ventes_Encaissements!$B$6:$B$3005=$A2594),1)))</f>
        <v/>
      </c>
      <c r="L2594" s="11">
        <f>IF($A2594="","",COUNTIFS(Ventes_Detail!$B$6:$B$3005,$A2594))</f>
        <v/>
      </c>
      <c r="M2594" s="12" t="n"/>
      <c r="N2594" s="12">
        <f>IF($A2594="","",IF($G2594="","",IF($M2594="Oui","Litige",IF($J2594&lt;=0,"Payé",IF($I2594&gt;0,"Partiel",IF(Listes!$B$3&gt;$G2594,"En retard","À échoir"))))))</f>
        <v/>
      </c>
      <c r="O2594" s="11">
        <f>IF($A2594="","",IF(OR($G2594="", $J2594&lt;=0),0,MAX(0,Listes!$B$3-$G2594)))</f>
        <v/>
      </c>
      <c r="P2594" s="12">
        <f>IF($A2594="","",IF($J2594&lt;=0,"Payé",IF($M2594="Oui","Litige",IF($O2594=0,"À échoir",IF($O2594&lt;=30,"0-30",IF($O2594&lt;=60,"31-60",IF($O2594&lt;=90,"61-90","90+")))))))</f>
        <v/>
      </c>
    </row>
    <row r="2595">
      <c r="A2595" s="6" t="n"/>
      <c r="B2595" s="6" t="n"/>
      <c r="C2595" s="6" t="n"/>
      <c r="D2595" s="6" t="n"/>
      <c r="E2595" s="6" t="n"/>
      <c r="F2595" s="7" t="n"/>
      <c r="G2595" s="7" t="n"/>
      <c r="H2595" s="8" t="n"/>
      <c r="I2595" s="9">
        <f>IF($A2595="","",SUMIFS(Ventes_Encaissements!$D$6:$D$3005,Ventes_Encaissements!$B$6:$B$3005,$A2595))</f>
        <v/>
      </c>
      <c r="J2595" s="9">
        <f>IF($A2595="","",$H2595-$I2595)</f>
        <v/>
      </c>
      <c r="K2595" s="10">
        <f>IF($A2595="","",IF($I2595=0,"",_xludf.AGGREGATE(14,6,Ventes_Encaissements!$C$6:$C$3005/(Ventes_Encaissements!$B$6:$B$3005=$A2595),1)))</f>
        <v/>
      </c>
      <c r="L2595" s="11">
        <f>IF($A2595="","",COUNTIFS(Ventes_Detail!$B$6:$B$3005,$A2595))</f>
        <v/>
      </c>
      <c r="M2595" s="12" t="n"/>
      <c r="N2595" s="12">
        <f>IF($A2595="","",IF($G2595="","",IF($M2595="Oui","Litige",IF($J2595&lt;=0,"Payé",IF($I2595&gt;0,"Partiel",IF(Listes!$B$3&gt;$G2595,"En retard","À échoir"))))))</f>
        <v/>
      </c>
      <c r="O2595" s="11">
        <f>IF($A2595="","",IF(OR($G2595="", $J2595&lt;=0),0,MAX(0,Listes!$B$3-$G2595)))</f>
        <v/>
      </c>
      <c r="P2595" s="12">
        <f>IF($A2595="","",IF($J2595&lt;=0,"Payé",IF($M2595="Oui","Litige",IF($O2595=0,"À échoir",IF($O2595&lt;=30,"0-30",IF($O2595&lt;=60,"31-60",IF($O2595&lt;=90,"61-90","90+")))))))</f>
        <v/>
      </c>
    </row>
    <row r="2596">
      <c r="A2596" s="6" t="n"/>
      <c r="B2596" s="6" t="n"/>
      <c r="C2596" s="6" t="n"/>
      <c r="D2596" s="6" t="n"/>
      <c r="E2596" s="6" t="n"/>
      <c r="F2596" s="7" t="n"/>
      <c r="G2596" s="7" t="n"/>
      <c r="H2596" s="8" t="n"/>
      <c r="I2596" s="9">
        <f>IF($A2596="","",SUMIFS(Ventes_Encaissements!$D$6:$D$3005,Ventes_Encaissements!$B$6:$B$3005,$A2596))</f>
        <v/>
      </c>
      <c r="J2596" s="9">
        <f>IF($A2596="","",$H2596-$I2596)</f>
        <v/>
      </c>
      <c r="K2596" s="10">
        <f>IF($A2596="","",IF($I2596=0,"",_xludf.AGGREGATE(14,6,Ventes_Encaissements!$C$6:$C$3005/(Ventes_Encaissements!$B$6:$B$3005=$A2596),1)))</f>
        <v/>
      </c>
      <c r="L2596" s="11">
        <f>IF($A2596="","",COUNTIFS(Ventes_Detail!$B$6:$B$3005,$A2596))</f>
        <v/>
      </c>
      <c r="M2596" s="12" t="n"/>
      <c r="N2596" s="12">
        <f>IF($A2596="","",IF($G2596="","",IF($M2596="Oui","Litige",IF($J2596&lt;=0,"Payé",IF($I2596&gt;0,"Partiel",IF(Listes!$B$3&gt;$G2596,"En retard","À échoir"))))))</f>
        <v/>
      </c>
      <c r="O2596" s="11">
        <f>IF($A2596="","",IF(OR($G2596="", $J2596&lt;=0),0,MAX(0,Listes!$B$3-$G2596)))</f>
        <v/>
      </c>
      <c r="P2596" s="12">
        <f>IF($A2596="","",IF($J2596&lt;=0,"Payé",IF($M2596="Oui","Litige",IF($O2596=0,"À échoir",IF($O2596&lt;=30,"0-30",IF($O2596&lt;=60,"31-60",IF($O2596&lt;=90,"61-90","90+")))))))</f>
        <v/>
      </c>
    </row>
    <row r="2597">
      <c r="A2597" s="6" t="n"/>
      <c r="B2597" s="6" t="n"/>
      <c r="C2597" s="6" t="n"/>
      <c r="D2597" s="6" t="n"/>
      <c r="E2597" s="6" t="n"/>
      <c r="F2597" s="7" t="n"/>
      <c r="G2597" s="7" t="n"/>
      <c r="H2597" s="8" t="n"/>
      <c r="I2597" s="9">
        <f>IF($A2597="","",SUMIFS(Ventes_Encaissements!$D$6:$D$3005,Ventes_Encaissements!$B$6:$B$3005,$A2597))</f>
        <v/>
      </c>
      <c r="J2597" s="9">
        <f>IF($A2597="","",$H2597-$I2597)</f>
        <v/>
      </c>
      <c r="K2597" s="10">
        <f>IF($A2597="","",IF($I2597=0,"",_xludf.AGGREGATE(14,6,Ventes_Encaissements!$C$6:$C$3005/(Ventes_Encaissements!$B$6:$B$3005=$A2597),1)))</f>
        <v/>
      </c>
      <c r="L2597" s="11">
        <f>IF($A2597="","",COUNTIFS(Ventes_Detail!$B$6:$B$3005,$A2597))</f>
        <v/>
      </c>
      <c r="M2597" s="12" t="n"/>
      <c r="N2597" s="12">
        <f>IF($A2597="","",IF($G2597="","",IF($M2597="Oui","Litige",IF($J2597&lt;=0,"Payé",IF($I2597&gt;0,"Partiel",IF(Listes!$B$3&gt;$G2597,"En retard","À échoir"))))))</f>
        <v/>
      </c>
      <c r="O2597" s="11">
        <f>IF($A2597="","",IF(OR($G2597="", $J2597&lt;=0),0,MAX(0,Listes!$B$3-$G2597)))</f>
        <v/>
      </c>
      <c r="P2597" s="12">
        <f>IF($A2597="","",IF($J2597&lt;=0,"Payé",IF($M2597="Oui","Litige",IF($O2597=0,"À échoir",IF($O2597&lt;=30,"0-30",IF($O2597&lt;=60,"31-60",IF($O2597&lt;=90,"61-90","90+")))))))</f>
        <v/>
      </c>
    </row>
    <row r="2598">
      <c r="A2598" s="6" t="n"/>
      <c r="B2598" s="6" t="n"/>
      <c r="C2598" s="6" t="n"/>
      <c r="D2598" s="6" t="n"/>
      <c r="E2598" s="6" t="n"/>
      <c r="F2598" s="7" t="n"/>
      <c r="G2598" s="7" t="n"/>
      <c r="H2598" s="8" t="n"/>
      <c r="I2598" s="9">
        <f>IF($A2598="","",SUMIFS(Ventes_Encaissements!$D$6:$D$3005,Ventes_Encaissements!$B$6:$B$3005,$A2598))</f>
        <v/>
      </c>
      <c r="J2598" s="9">
        <f>IF($A2598="","",$H2598-$I2598)</f>
        <v/>
      </c>
      <c r="K2598" s="10">
        <f>IF($A2598="","",IF($I2598=0,"",_xludf.AGGREGATE(14,6,Ventes_Encaissements!$C$6:$C$3005/(Ventes_Encaissements!$B$6:$B$3005=$A2598),1)))</f>
        <v/>
      </c>
      <c r="L2598" s="11">
        <f>IF($A2598="","",COUNTIFS(Ventes_Detail!$B$6:$B$3005,$A2598))</f>
        <v/>
      </c>
      <c r="M2598" s="12" t="n"/>
      <c r="N2598" s="12">
        <f>IF($A2598="","",IF($G2598="","",IF($M2598="Oui","Litige",IF($J2598&lt;=0,"Payé",IF($I2598&gt;0,"Partiel",IF(Listes!$B$3&gt;$G2598,"En retard","À échoir"))))))</f>
        <v/>
      </c>
      <c r="O2598" s="11">
        <f>IF($A2598="","",IF(OR($G2598="", $J2598&lt;=0),0,MAX(0,Listes!$B$3-$G2598)))</f>
        <v/>
      </c>
      <c r="P2598" s="12">
        <f>IF($A2598="","",IF($J2598&lt;=0,"Payé",IF($M2598="Oui","Litige",IF($O2598=0,"À échoir",IF($O2598&lt;=30,"0-30",IF($O2598&lt;=60,"31-60",IF($O2598&lt;=90,"61-90","90+")))))))</f>
        <v/>
      </c>
    </row>
    <row r="2599">
      <c r="A2599" s="6" t="n"/>
      <c r="B2599" s="6" t="n"/>
      <c r="C2599" s="6" t="n"/>
      <c r="D2599" s="6" t="n"/>
      <c r="E2599" s="6" t="n"/>
      <c r="F2599" s="7" t="n"/>
      <c r="G2599" s="7" t="n"/>
      <c r="H2599" s="8" t="n"/>
      <c r="I2599" s="9">
        <f>IF($A2599="","",SUMIFS(Ventes_Encaissements!$D$6:$D$3005,Ventes_Encaissements!$B$6:$B$3005,$A2599))</f>
        <v/>
      </c>
      <c r="J2599" s="9">
        <f>IF($A2599="","",$H2599-$I2599)</f>
        <v/>
      </c>
      <c r="K2599" s="10">
        <f>IF($A2599="","",IF($I2599=0,"",_xludf.AGGREGATE(14,6,Ventes_Encaissements!$C$6:$C$3005/(Ventes_Encaissements!$B$6:$B$3005=$A2599),1)))</f>
        <v/>
      </c>
      <c r="L2599" s="11">
        <f>IF($A2599="","",COUNTIFS(Ventes_Detail!$B$6:$B$3005,$A2599))</f>
        <v/>
      </c>
      <c r="M2599" s="12" t="n"/>
      <c r="N2599" s="12">
        <f>IF($A2599="","",IF($G2599="","",IF($M2599="Oui","Litige",IF($J2599&lt;=0,"Payé",IF($I2599&gt;0,"Partiel",IF(Listes!$B$3&gt;$G2599,"En retard","À échoir"))))))</f>
        <v/>
      </c>
      <c r="O2599" s="11">
        <f>IF($A2599="","",IF(OR($G2599="", $J2599&lt;=0),0,MAX(0,Listes!$B$3-$G2599)))</f>
        <v/>
      </c>
      <c r="P2599" s="12">
        <f>IF($A2599="","",IF($J2599&lt;=0,"Payé",IF($M2599="Oui","Litige",IF($O2599=0,"À échoir",IF($O2599&lt;=30,"0-30",IF($O2599&lt;=60,"31-60",IF($O2599&lt;=90,"61-90","90+")))))))</f>
        <v/>
      </c>
    </row>
    <row r="2600">
      <c r="A2600" s="6" t="n"/>
      <c r="B2600" s="6" t="n"/>
      <c r="C2600" s="6" t="n"/>
      <c r="D2600" s="6" t="n"/>
      <c r="E2600" s="6" t="n"/>
      <c r="F2600" s="7" t="n"/>
      <c r="G2600" s="7" t="n"/>
      <c r="H2600" s="8" t="n"/>
      <c r="I2600" s="9">
        <f>IF($A2600="","",SUMIFS(Ventes_Encaissements!$D$6:$D$3005,Ventes_Encaissements!$B$6:$B$3005,$A2600))</f>
        <v/>
      </c>
      <c r="J2600" s="9">
        <f>IF($A2600="","",$H2600-$I2600)</f>
        <v/>
      </c>
      <c r="K2600" s="10">
        <f>IF($A2600="","",IF($I2600=0,"",_xludf.AGGREGATE(14,6,Ventes_Encaissements!$C$6:$C$3005/(Ventes_Encaissements!$B$6:$B$3005=$A2600),1)))</f>
        <v/>
      </c>
      <c r="L2600" s="11">
        <f>IF($A2600="","",COUNTIFS(Ventes_Detail!$B$6:$B$3005,$A2600))</f>
        <v/>
      </c>
      <c r="M2600" s="12" t="n"/>
      <c r="N2600" s="12">
        <f>IF($A2600="","",IF($G2600="","",IF($M2600="Oui","Litige",IF($J2600&lt;=0,"Payé",IF($I2600&gt;0,"Partiel",IF(Listes!$B$3&gt;$G2600,"En retard","À échoir"))))))</f>
        <v/>
      </c>
      <c r="O2600" s="11">
        <f>IF($A2600="","",IF(OR($G2600="", $J2600&lt;=0),0,MAX(0,Listes!$B$3-$G2600)))</f>
        <v/>
      </c>
      <c r="P2600" s="12">
        <f>IF($A2600="","",IF($J2600&lt;=0,"Payé",IF($M2600="Oui","Litige",IF($O2600=0,"À échoir",IF($O2600&lt;=30,"0-30",IF($O2600&lt;=60,"31-60",IF($O2600&lt;=90,"61-90","90+")))))))</f>
        <v/>
      </c>
    </row>
    <row r="2601">
      <c r="A2601" s="6" t="n"/>
      <c r="B2601" s="6" t="n"/>
      <c r="C2601" s="6" t="n"/>
      <c r="D2601" s="6" t="n"/>
      <c r="E2601" s="6" t="n"/>
      <c r="F2601" s="7" t="n"/>
      <c r="G2601" s="7" t="n"/>
      <c r="H2601" s="8" t="n"/>
      <c r="I2601" s="9">
        <f>IF($A2601="","",SUMIFS(Ventes_Encaissements!$D$6:$D$3005,Ventes_Encaissements!$B$6:$B$3005,$A2601))</f>
        <v/>
      </c>
      <c r="J2601" s="9">
        <f>IF($A2601="","",$H2601-$I2601)</f>
        <v/>
      </c>
      <c r="K2601" s="10">
        <f>IF($A2601="","",IF($I2601=0,"",_xludf.AGGREGATE(14,6,Ventes_Encaissements!$C$6:$C$3005/(Ventes_Encaissements!$B$6:$B$3005=$A2601),1)))</f>
        <v/>
      </c>
      <c r="L2601" s="11">
        <f>IF($A2601="","",COUNTIFS(Ventes_Detail!$B$6:$B$3005,$A2601))</f>
        <v/>
      </c>
      <c r="M2601" s="12" t="n"/>
      <c r="N2601" s="12">
        <f>IF($A2601="","",IF($G2601="","",IF($M2601="Oui","Litige",IF($J2601&lt;=0,"Payé",IF($I2601&gt;0,"Partiel",IF(Listes!$B$3&gt;$G2601,"En retard","À échoir"))))))</f>
        <v/>
      </c>
      <c r="O2601" s="11">
        <f>IF($A2601="","",IF(OR($G2601="", $J2601&lt;=0),0,MAX(0,Listes!$B$3-$G2601)))</f>
        <v/>
      </c>
      <c r="P2601" s="12">
        <f>IF($A2601="","",IF($J2601&lt;=0,"Payé",IF($M2601="Oui","Litige",IF($O2601=0,"À échoir",IF($O2601&lt;=30,"0-30",IF($O2601&lt;=60,"31-60",IF($O2601&lt;=90,"61-90","90+")))))))</f>
        <v/>
      </c>
    </row>
    <row r="2602">
      <c r="A2602" s="6" t="n"/>
      <c r="B2602" s="6" t="n"/>
      <c r="C2602" s="6" t="n"/>
      <c r="D2602" s="6" t="n"/>
      <c r="E2602" s="6" t="n"/>
      <c r="F2602" s="7" t="n"/>
      <c r="G2602" s="7" t="n"/>
      <c r="H2602" s="8" t="n"/>
      <c r="I2602" s="9">
        <f>IF($A2602="","",SUMIFS(Ventes_Encaissements!$D$6:$D$3005,Ventes_Encaissements!$B$6:$B$3005,$A2602))</f>
        <v/>
      </c>
      <c r="J2602" s="9">
        <f>IF($A2602="","",$H2602-$I2602)</f>
        <v/>
      </c>
      <c r="K2602" s="10">
        <f>IF($A2602="","",IF($I2602=0,"",_xludf.AGGREGATE(14,6,Ventes_Encaissements!$C$6:$C$3005/(Ventes_Encaissements!$B$6:$B$3005=$A2602),1)))</f>
        <v/>
      </c>
      <c r="L2602" s="11">
        <f>IF($A2602="","",COUNTIFS(Ventes_Detail!$B$6:$B$3005,$A2602))</f>
        <v/>
      </c>
      <c r="M2602" s="12" t="n"/>
      <c r="N2602" s="12">
        <f>IF($A2602="","",IF($G2602="","",IF($M2602="Oui","Litige",IF($J2602&lt;=0,"Payé",IF($I2602&gt;0,"Partiel",IF(Listes!$B$3&gt;$G2602,"En retard","À échoir"))))))</f>
        <v/>
      </c>
      <c r="O2602" s="11">
        <f>IF($A2602="","",IF(OR($G2602="", $J2602&lt;=0),0,MAX(0,Listes!$B$3-$G2602)))</f>
        <v/>
      </c>
      <c r="P2602" s="12">
        <f>IF($A2602="","",IF($J2602&lt;=0,"Payé",IF($M2602="Oui","Litige",IF($O2602=0,"À échoir",IF($O2602&lt;=30,"0-30",IF($O2602&lt;=60,"31-60",IF($O2602&lt;=90,"61-90","90+")))))))</f>
        <v/>
      </c>
    </row>
    <row r="2603">
      <c r="A2603" s="6" t="n"/>
      <c r="B2603" s="6" t="n"/>
      <c r="C2603" s="6" t="n"/>
      <c r="D2603" s="6" t="n"/>
      <c r="E2603" s="6" t="n"/>
      <c r="F2603" s="7" t="n"/>
      <c r="G2603" s="7" t="n"/>
      <c r="H2603" s="8" t="n"/>
      <c r="I2603" s="9">
        <f>IF($A2603="","",SUMIFS(Ventes_Encaissements!$D$6:$D$3005,Ventes_Encaissements!$B$6:$B$3005,$A2603))</f>
        <v/>
      </c>
      <c r="J2603" s="9">
        <f>IF($A2603="","",$H2603-$I2603)</f>
        <v/>
      </c>
      <c r="K2603" s="10">
        <f>IF($A2603="","",IF($I2603=0,"",_xludf.AGGREGATE(14,6,Ventes_Encaissements!$C$6:$C$3005/(Ventes_Encaissements!$B$6:$B$3005=$A2603),1)))</f>
        <v/>
      </c>
      <c r="L2603" s="11">
        <f>IF($A2603="","",COUNTIFS(Ventes_Detail!$B$6:$B$3005,$A2603))</f>
        <v/>
      </c>
      <c r="M2603" s="12" t="n"/>
      <c r="N2603" s="12">
        <f>IF($A2603="","",IF($G2603="","",IF($M2603="Oui","Litige",IF($J2603&lt;=0,"Payé",IF($I2603&gt;0,"Partiel",IF(Listes!$B$3&gt;$G2603,"En retard","À échoir"))))))</f>
        <v/>
      </c>
      <c r="O2603" s="11">
        <f>IF($A2603="","",IF(OR($G2603="", $J2603&lt;=0),0,MAX(0,Listes!$B$3-$G2603)))</f>
        <v/>
      </c>
      <c r="P2603" s="12">
        <f>IF($A2603="","",IF($J2603&lt;=0,"Payé",IF($M2603="Oui","Litige",IF($O2603=0,"À échoir",IF($O2603&lt;=30,"0-30",IF($O2603&lt;=60,"31-60",IF($O2603&lt;=90,"61-90","90+")))))))</f>
        <v/>
      </c>
    </row>
    <row r="2604">
      <c r="A2604" s="6" t="n"/>
      <c r="B2604" s="6" t="n"/>
      <c r="C2604" s="6" t="n"/>
      <c r="D2604" s="6" t="n"/>
      <c r="E2604" s="6" t="n"/>
      <c r="F2604" s="7" t="n"/>
      <c r="G2604" s="7" t="n"/>
      <c r="H2604" s="8" t="n"/>
      <c r="I2604" s="9">
        <f>IF($A2604="","",SUMIFS(Ventes_Encaissements!$D$6:$D$3005,Ventes_Encaissements!$B$6:$B$3005,$A2604))</f>
        <v/>
      </c>
      <c r="J2604" s="9">
        <f>IF($A2604="","",$H2604-$I2604)</f>
        <v/>
      </c>
      <c r="K2604" s="10">
        <f>IF($A2604="","",IF($I2604=0,"",_xludf.AGGREGATE(14,6,Ventes_Encaissements!$C$6:$C$3005/(Ventes_Encaissements!$B$6:$B$3005=$A2604),1)))</f>
        <v/>
      </c>
      <c r="L2604" s="11">
        <f>IF($A2604="","",COUNTIFS(Ventes_Detail!$B$6:$B$3005,$A2604))</f>
        <v/>
      </c>
      <c r="M2604" s="12" t="n"/>
      <c r="N2604" s="12">
        <f>IF($A2604="","",IF($G2604="","",IF($M2604="Oui","Litige",IF($J2604&lt;=0,"Payé",IF($I2604&gt;0,"Partiel",IF(Listes!$B$3&gt;$G2604,"En retard","À échoir"))))))</f>
        <v/>
      </c>
      <c r="O2604" s="11">
        <f>IF($A2604="","",IF(OR($G2604="", $J2604&lt;=0),0,MAX(0,Listes!$B$3-$G2604)))</f>
        <v/>
      </c>
      <c r="P2604" s="12">
        <f>IF($A2604="","",IF($J2604&lt;=0,"Payé",IF($M2604="Oui","Litige",IF($O2604=0,"À échoir",IF($O2604&lt;=30,"0-30",IF($O2604&lt;=60,"31-60",IF($O2604&lt;=90,"61-90","90+")))))))</f>
        <v/>
      </c>
    </row>
    <row r="2605">
      <c r="A2605" s="6" t="n"/>
      <c r="B2605" s="6" t="n"/>
      <c r="C2605" s="6" t="n"/>
      <c r="D2605" s="6" t="n"/>
      <c r="E2605" s="6" t="n"/>
      <c r="F2605" s="7" t="n"/>
      <c r="G2605" s="7" t="n"/>
      <c r="H2605" s="8" t="n"/>
      <c r="I2605" s="9">
        <f>IF($A2605="","",SUMIFS(Ventes_Encaissements!$D$6:$D$3005,Ventes_Encaissements!$B$6:$B$3005,$A2605))</f>
        <v/>
      </c>
      <c r="J2605" s="9">
        <f>IF($A2605="","",$H2605-$I2605)</f>
        <v/>
      </c>
      <c r="K2605" s="10">
        <f>IF($A2605="","",IF($I2605=0,"",_xludf.AGGREGATE(14,6,Ventes_Encaissements!$C$6:$C$3005/(Ventes_Encaissements!$B$6:$B$3005=$A2605),1)))</f>
        <v/>
      </c>
      <c r="L2605" s="11">
        <f>IF($A2605="","",COUNTIFS(Ventes_Detail!$B$6:$B$3005,$A2605))</f>
        <v/>
      </c>
      <c r="M2605" s="12" t="n"/>
      <c r="N2605" s="12">
        <f>IF($A2605="","",IF($G2605="","",IF($M2605="Oui","Litige",IF($J2605&lt;=0,"Payé",IF($I2605&gt;0,"Partiel",IF(Listes!$B$3&gt;$G2605,"En retard","À échoir"))))))</f>
        <v/>
      </c>
      <c r="O2605" s="11">
        <f>IF($A2605="","",IF(OR($G2605="", $J2605&lt;=0),0,MAX(0,Listes!$B$3-$G2605)))</f>
        <v/>
      </c>
      <c r="P2605" s="12">
        <f>IF($A2605="","",IF($J2605&lt;=0,"Payé",IF($M2605="Oui","Litige",IF($O2605=0,"À échoir",IF($O2605&lt;=30,"0-30",IF($O2605&lt;=60,"31-60",IF($O2605&lt;=90,"61-90","90+")))))))</f>
        <v/>
      </c>
    </row>
    <row r="2606">
      <c r="A2606" s="6" t="n"/>
      <c r="B2606" s="6" t="n"/>
      <c r="C2606" s="6" t="n"/>
      <c r="D2606" s="6" t="n"/>
      <c r="E2606" s="6" t="n"/>
      <c r="F2606" s="7" t="n"/>
      <c r="G2606" s="7" t="n"/>
      <c r="H2606" s="8" t="n"/>
      <c r="I2606" s="9">
        <f>IF($A2606="","",SUMIFS(Ventes_Encaissements!$D$6:$D$3005,Ventes_Encaissements!$B$6:$B$3005,$A2606))</f>
        <v/>
      </c>
      <c r="J2606" s="9">
        <f>IF($A2606="","",$H2606-$I2606)</f>
        <v/>
      </c>
      <c r="K2606" s="10">
        <f>IF($A2606="","",IF($I2606=0,"",_xludf.AGGREGATE(14,6,Ventes_Encaissements!$C$6:$C$3005/(Ventes_Encaissements!$B$6:$B$3005=$A2606),1)))</f>
        <v/>
      </c>
      <c r="L2606" s="11">
        <f>IF($A2606="","",COUNTIFS(Ventes_Detail!$B$6:$B$3005,$A2606))</f>
        <v/>
      </c>
      <c r="M2606" s="12" t="n"/>
      <c r="N2606" s="12">
        <f>IF($A2606="","",IF($G2606="","",IF($M2606="Oui","Litige",IF($J2606&lt;=0,"Payé",IF($I2606&gt;0,"Partiel",IF(Listes!$B$3&gt;$G2606,"En retard","À échoir"))))))</f>
        <v/>
      </c>
      <c r="O2606" s="11">
        <f>IF($A2606="","",IF(OR($G2606="", $J2606&lt;=0),0,MAX(0,Listes!$B$3-$G2606)))</f>
        <v/>
      </c>
      <c r="P2606" s="12">
        <f>IF($A2606="","",IF($J2606&lt;=0,"Payé",IF($M2606="Oui","Litige",IF($O2606=0,"À échoir",IF($O2606&lt;=30,"0-30",IF($O2606&lt;=60,"31-60",IF($O2606&lt;=90,"61-90","90+")))))))</f>
        <v/>
      </c>
    </row>
    <row r="2607">
      <c r="A2607" s="6" t="n"/>
      <c r="B2607" s="6" t="n"/>
      <c r="C2607" s="6" t="n"/>
      <c r="D2607" s="6" t="n"/>
      <c r="E2607" s="6" t="n"/>
      <c r="F2607" s="7" t="n"/>
      <c r="G2607" s="7" t="n"/>
      <c r="H2607" s="8" t="n"/>
      <c r="I2607" s="9">
        <f>IF($A2607="","",SUMIFS(Ventes_Encaissements!$D$6:$D$3005,Ventes_Encaissements!$B$6:$B$3005,$A2607))</f>
        <v/>
      </c>
      <c r="J2607" s="9">
        <f>IF($A2607="","",$H2607-$I2607)</f>
        <v/>
      </c>
      <c r="K2607" s="10">
        <f>IF($A2607="","",IF($I2607=0,"",_xludf.AGGREGATE(14,6,Ventes_Encaissements!$C$6:$C$3005/(Ventes_Encaissements!$B$6:$B$3005=$A2607),1)))</f>
        <v/>
      </c>
      <c r="L2607" s="11">
        <f>IF($A2607="","",COUNTIFS(Ventes_Detail!$B$6:$B$3005,$A2607))</f>
        <v/>
      </c>
      <c r="M2607" s="12" t="n"/>
      <c r="N2607" s="12">
        <f>IF($A2607="","",IF($G2607="","",IF($M2607="Oui","Litige",IF($J2607&lt;=0,"Payé",IF($I2607&gt;0,"Partiel",IF(Listes!$B$3&gt;$G2607,"En retard","À échoir"))))))</f>
        <v/>
      </c>
      <c r="O2607" s="11">
        <f>IF($A2607="","",IF(OR($G2607="", $J2607&lt;=0),0,MAX(0,Listes!$B$3-$G2607)))</f>
        <v/>
      </c>
      <c r="P2607" s="12">
        <f>IF($A2607="","",IF($J2607&lt;=0,"Payé",IF($M2607="Oui","Litige",IF($O2607=0,"À échoir",IF($O2607&lt;=30,"0-30",IF($O2607&lt;=60,"31-60",IF($O2607&lt;=90,"61-90","90+")))))))</f>
        <v/>
      </c>
    </row>
    <row r="2608">
      <c r="A2608" s="6" t="n"/>
      <c r="B2608" s="6" t="n"/>
      <c r="C2608" s="6" t="n"/>
      <c r="D2608" s="6" t="n"/>
      <c r="E2608" s="6" t="n"/>
      <c r="F2608" s="7" t="n"/>
      <c r="G2608" s="7" t="n"/>
      <c r="H2608" s="8" t="n"/>
      <c r="I2608" s="9">
        <f>IF($A2608="","",SUMIFS(Ventes_Encaissements!$D$6:$D$3005,Ventes_Encaissements!$B$6:$B$3005,$A2608))</f>
        <v/>
      </c>
      <c r="J2608" s="9">
        <f>IF($A2608="","",$H2608-$I2608)</f>
        <v/>
      </c>
      <c r="K2608" s="10">
        <f>IF($A2608="","",IF($I2608=0,"",_xludf.AGGREGATE(14,6,Ventes_Encaissements!$C$6:$C$3005/(Ventes_Encaissements!$B$6:$B$3005=$A2608),1)))</f>
        <v/>
      </c>
      <c r="L2608" s="11">
        <f>IF($A2608="","",COUNTIFS(Ventes_Detail!$B$6:$B$3005,$A2608))</f>
        <v/>
      </c>
      <c r="M2608" s="12" t="n"/>
      <c r="N2608" s="12">
        <f>IF($A2608="","",IF($G2608="","",IF($M2608="Oui","Litige",IF($J2608&lt;=0,"Payé",IF($I2608&gt;0,"Partiel",IF(Listes!$B$3&gt;$G2608,"En retard","À échoir"))))))</f>
        <v/>
      </c>
      <c r="O2608" s="11">
        <f>IF($A2608="","",IF(OR($G2608="", $J2608&lt;=0),0,MAX(0,Listes!$B$3-$G2608)))</f>
        <v/>
      </c>
      <c r="P2608" s="12">
        <f>IF($A2608="","",IF($J2608&lt;=0,"Payé",IF($M2608="Oui","Litige",IF($O2608=0,"À échoir",IF($O2608&lt;=30,"0-30",IF($O2608&lt;=60,"31-60",IF($O2608&lt;=90,"61-90","90+")))))))</f>
        <v/>
      </c>
    </row>
    <row r="2609">
      <c r="A2609" s="6" t="n"/>
      <c r="B2609" s="6" t="n"/>
      <c r="C2609" s="6" t="n"/>
      <c r="D2609" s="6" t="n"/>
      <c r="E2609" s="6" t="n"/>
      <c r="F2609" s="7" t="n"/>
      <c r="G2609" s="7" t="n"/>
      <c r="H2609" s="8" t="n"/>
      <c r="I2609" s="9">
        <f>IF($A2609="","",SUMIFS(Ventes_Encaissements!$D$6:$D$3005,Ventes_Encaissements!$B$6:$B$3005,$A2609))</f>
        <v/>
      </c>
      <c r="J2609" s="9">
        <f>IF($A2609="","",$H2609-$I2609)</f>
        <v/>
      </c>
      <c r="K2609" s="10">
        <f>IF($A2609="","",IF($I2609=0,"",_xludf.AGGREGATE(14,6,Ventes_Encaissements!$C$6:$C$3005/(Ventes_Encaissements!$B$6:$B$3005=$A2609),1)))</f>
        <v/>
      </c>
      <c r="L2609" s="11">
        <f>IF($A2609="","",COUNTIFS(Ventes_Detail!$B$6:$B$3005,$A2609))</f>
        <v/>
      </c>
      <c r="M2609" s="12" t="n"/>
      <c r="N2609" s="12">
        <f>IF($A2609="","",IF($G2609="","",IF($M2609="Oui","Litige",IF($J2609&lt;=0,"Payé",IF($I2609&gt;0,"Partiel",IF(Listes!$B$3&gt;$G2609,"En retard","À échoir"))))))</f>
        <v/>
      </c>
      <c r="O2609" s="11">
        <f>IF($A2609="","",IF(OR($G2609="", $J2609&lt;=0),0,MAX(0,Listes!$B$3-$G2609)))</f>
        <v/>
      </c>
      <c r="P2609" s="12">
        <f>IF($A2609="","",IF($J2609&lt;=0,"Payé",IF($M2609="Oui","Litige",IF($O2609=0,"À échoir",IF($O2609&lt;=30,"0-30",IF($O2609&lt;=60,"31-60",IF($O2609&lt;=90,"61-90","90+")))))))</f>
        <v/>
      </c>
    </row>
    <row r="2610">
      <c r="A2610" s="6" t="n"/>
      <c r="B2610" s="6" t="n"/>
      <c r="C2610" s="6" t="n"/>
      <c r="D2610" s="6" t="n"/>
      <c r="E2610" s="6" t="n"/>
      <c r="F2610" s="7" t="n"/>
      <c r="G2610" s="7" t="n"/>
      <c r="H2610" s="8" t="n"/>
      <c r="I2610" s="9">
        <f>IF($A2610="","",SUMIFS(Ventes_Encaissements!$D$6:$D$3005,Ventes_Encaissements!$B$6:$B$3005,$A2610))</f>
        <v/>
      </c>
      <c r="J2610" s="9">
        <f>IF($A2610="","",$H2610-$I2610)</f>
        <v/>
      </c>
      <c r="K2610" s="10">
        <f>IF($A2610="","",IF($I2610=0,"",_xludf.AGGREGATE(14,6,Ventes_Encaissements!$C$6:$C$3005/(Ventes_Encaissements!$B$6:$B$3005=$A2610),1)))</f>
        <v/>
      </c>
      <c r="L2610" s="11">
        <f>IF($A2610="","",COUNTIFS(Ventes_Detail!$B$6:$B$3005,$A2610))</f>
        <v/>
      </c>
      <c r="M2610" s="12" t="n"/>
      <c r="N2610" s="12">
        <f>IF($A2610="","",IF($G2610="","",IF($M2610="Oui","Litige",IF($J2610&lt;=0,"Payé",IF($I2610&gt;0,"Partiel",IF(Listes!$B$3&gt;$G2610,"En retard","À échoir"))))))</f>
        <v/>
      </c>
      <c r="O2610" s="11">
        <f>IF($A2610="","",IF(OR($G2610="", $J2610&lt;=0),0,MAX(0,Listes!$B$3-$G2610)))</f>
        <v/>
      </c>
      <c r="P2610" s="12">
        <f>IF($A2610="","",IF($J2610&lt;=0,"Payé",IF($M2610="Oui","Litige",IF($O2610=0,"À échoir",IF($O2610&lt;=30,"0-30",IF($O2610&lt;=60,"31-60",IF($O2610&lt;=90,"61-90","90+")))))))</f>
        <v/>
      </c>
    </row>
    <row r="2611">
      <c r="A2611" s="6" t="n"/>
      <c r="B2611" s="6" t="n"/>
      <c r="C2611" s="6" t="n"/>
      <c r="D2611" s="6" t="n"/>
      <c r="E2611" s="6" t="n"/>
      <c r="F2611" s="7" t="n"/>
      <c r="G2611" s="7" t="n"/>
      <c r="H2611" s="8" t="n"/>
      <c r="I2611" s="9">
        <f>IF($A2611="","",SUMIFS(Ventes_Encaissements!$D$6:$D$3005,Ventes_Encaissements!$B$6:$B$3005,$A2611))</f>
        <v/>
      </c>
      <c r="J2611" s="9">
        <f>IF($A2611="","",$H2611-$I2611)</f>
        <v/>
      </c>
      <c r="K2611" s="10">
        <f>IF($A2611="","",IF($I2611=0,"",_xludf.AGGREGATE(14,6,Ventes_Encaissements!$C$6:$C$3005/(Ventes_Encaissements!$B$6:$B$3005=$A2611),1)))</f>
        <v/>
      </c>
      <c r="L2611" s="11">
        <f>IF($A2611="","",COUNTIFS(Ventes_Detail!$B$6:$B$3005,$A2611))</f>
        <v/>
      </c>
      <c r="M2611" s="12" t="n"/>
      <c r="N2611" s="12">
        <f>IF($A2611="","",IF($G2611="","",IF($M2611="Oui","Litige",IF($J2611&lt;=0,"Payé",IF($I2611&gt;0,"Partiel",IF(Listes!$B$3&gt;$G2611,"En retard","À échoir"))))))</f>
        <v/>
      </c>
      <c r="O2611" s="11">
        <f>IF($A2611="","",IF(OR($G2611="", $J2611&lt;=0),0,MAX(0,Listes!$B$3-$G2611)))</f>
        <v/>
      </c>
      <c r="P2611" s="12">
        <f>IF($A2611="","",IF($J2611&lt;=0,"Payé",IF($M2611="Oui","Litige",IF($O2611=0,"À échoir",IF($O2611&lt;=30,"0-30",IF($O2611&lt;=60,"31-60",IF($O2611&lt;=90,"61-90","90+")))))))</f>
        <v/>
      </c>
    </row>
    <row r="2612">
      <c r="A2612" s="6" t="n"/>
      <c r="B2612" s="6" t="n"/>
      <c r="C2612" s="6" t="n"/>
      <c r="D2612" s="6" t="n"/>
      <c r="E2612" s="6" t="n"/>
      <c r="F2612" s="7" t="n"/>
      <c r="G2612" s="7" t="n"/>
      <c r="H2612" s="8" t="n"/>
      <c r="I2612" s="9">
        <f>IF($A2612="","",SUMIFS(Ventes_Encaissements!$D$6:$D$3005,Ventes_Encaissements!$B$6:$B$3005,$A2612))</f>
        <v/>
      </c>
      <c r="J2612" s="9">
        <f>IF($A2612="","",$H2612-$I2612)</f>
        <v/>
      </c>
      <c r="K2612" s="10">
        <f>IF($A2612="","",IF($I2612=0,"",_xludf.AGGREGATE(14,6,Ventes_Encaissements!$C$6:$C$3005/(Ventes_Encaissements!$B$6:$B$3005=$A2612),1)))</f>
        <v/>
      </c>
      <c r="L2612" s="11">
        <f>IF($A2612="","",COUNTIFS(Ventes_Detail!$B$6:$B$3005,$A2612))</f>
        <v/>
      </c>
      <c r="M2612" s="12" t="n"/>
      <c r="N2612" s="12">
        <f>IF($A2612="","",IF($G2612="","",IF($M2612="Oui","Litige",IF($J2612&lt;=0,"Payé",IF($I2612&gt;0,"Partiel",IF(Listes!$B$3&gt;$G2612,"En retard","À échoir"))))))</f>
        <v/>
      </c>
      <c r="O2612" s="11">
        <f>IF($A2612="","",IF(OR($G2612="", $J2612&lt;=0),0,MAX(0,Listes!$B$3-$G2612)))</f>
        <v/>
      </c>
      <c r="P2612" s="12">
        <f>IF($A2612="","",IF($J2612&lt;=0,"Payé",IF($M2612="Oui","Litige",IF($O2612=0,"À échoir",IF($O2612&lt;=30,"0-30",IF($O2612&lt;=60,"31-60",IF($O2612&lt;=90,"61-90","90+")))))))</f>
        <v/>
      </c>
    </row>
    <row r="2613">
      <c r="A2613" s="6" t="n"/>
      <c r="B2613" s="6" t="n"/>
      <c r="C2613" s="6" t="n"/>
      <c r="D2613" s="6" t="n"/>
      <c r="E2613" s="6" t="n"/>
      <c r="F2613" s="7" t="n"/>
      <c r="G2613" s="7" t="n"/>
      <c r="H2613" s="8" t="n"/>
      <c r="I2613" s="9">
        <f>IF($A2613="","",SUMIFS(Ventes_Encaissements!$D$6:$D$3005,Ventes_Encaissements!$B$6:$B$3005,$A2613))</f>
        <v/>
      </c>
      <c r="J2613" s="9">
        <f>IF($A2613="","",$H2613-$I2613)</f>
        <v/>
      </c>
      <c r="K2613" s="10">
        <f>IF($A2613="","",IF($I2613=0,"",_xludf.AGGREGATE(14,6,Ventes_Encaissements!$C$6:$C$3005/(Ventes_Encaissements!$B$6:$B$3005=$A2613),1)))</f>
        <v/>
      </c>
      <c r="L2613" s="11">
        <f>IF($A2613="","",COUNTIFS(Ventes_Detail!$B$6:$B$3005,$A2613))</f>
        <v/>
      </c>
      <c r="M2613" s="12" t="n"/>
      <c r="N2613" s="12">
        <f>IF($A2613="","",IF($G2613="","",IF($M2613="Oui","Litige",IF($J2613&lt;=0,"Payé",IF($I2613&gt;0,"Partiel",IF(Listes!$B$3&gt;$G2613,"En retard","À échoir"))))))</f>
        <v/>
      </c>
      <c r="O2613" s="11">
        <f>IF($A2613="","",IF(OR($G2613="", $J2613&lt;=0),0,MAX(0,Listes!$B$3-$G2613)))</f>
        <v/>
      </c>
      <c r="P2613" s="12">
        <f>IF($A2613="","",IF($J2613&lt;=0,"Payé",IF($M2613="Oui","Litige",IF($O2613=0,"À échoir",IF($O2613&lt;=30,"0-30",IF($O2613&lt;=60,"31-60",IF($O2613&lt;=90,"61-90","90+")))))))</f>
        <v/>
      </c>
    </row>
    <row r="2614">
      <c r="A2614" s="6" t="n"/>
      <c r="B2614" s="6" t="n"/>
      <c r="C2614" s="6" t="n"/>
      <c r="D2614" s="6" t="n"/>
      <c r="E2614" s="6" t="n"/>
      <c r="F2614" s="7" t="n"/>
      <c r="G2614" s="7" t="n"/>
      <c r="H2614" s="8" t="n"/>
      <c r="I2614" s="9">
        <f>IF($A2614="","",SUMIFS(Ventes_Encaissements!$D$6:$D$3005,Ventes_Encaissements!$B$6:$B$3005,$A2614))</f>
        <v/>
      </c>
      <c r="J2614" s="9">
        <f>IF($A2614="","",$H2614-$I2614)</f>
        <v/>
      </c>
      <c r="K2614" s="10">
        <f>IF($A2614="","",IF($I2614=0,"",_xludf.AGGREGATE(14,6,Ventes_Encaissements!$C$6:$C$3005/(Ventes_Encaissements!$B$6:$B$3005=$A2614),1)))</f>
        <v/>
      </c>
      <c r="L2614" s="11">
        <f>IF($A2614="","",COUNTIFS(Ventes_Detail!$B$6:$B$3005,$A2614))</f>
        <v/>
      </c>
      <c r="M2614" s="12" t="n"/>
      <c r="N2614" s="12">
        <f>IF($A2614="","",IF($G2614="","",IF($M2614="Oui","Litige",IF($J2614&lt;=0,"Payé",IF($I2614&gt;0,"Partiel",IF(Listes!$B$3&gt;$G2614,"En retard","À échoir"))))))</f>
        <v/>
      </c>
      <c r="O2614" s="11">
        <f>IF($A2614="","",IF(OR($G2614="", $J2614&lt;=0),0,MAX(0,Listes!$B$3-$G2614)))</f>
        <v/>
      </c>
      <c r="P2614" s="12">
        <f>IF($A2614="","",IF($J2614&lt;=0,"Payé",IF($M2614="Oui","Litige",IF($O2614=0,"À échoir",IF($O2614&lt;=30,"0-30",IF($O2614&lt;=60,"31-60",IF($O2614&lt;=90,"61-90","90+")))))))</f>
        <v/>
      </c>
    </row>
    <row r="2615">
      <c r="A2615" s="6" t="n"/>
      <c r="B2615" s="6" t="n"/>
      <c r="C2615" s="6" t="n"/>
      <c r="D2615" s="6" t="n"/>
      <c r="E2615" s="6" t="n"/>
      <c r="F2615" s="7" t="n"/>
      <c r="G2615" s="7" t="n"/>
      <c r="H2615" s="8" t="n"/>
      <c r="I2615" s="9">
        <f>IF($A2615="","",SUMIFS(Ventes_Encaissements!$D$6:$D$3005,Ventes_Encaissements!$B$6:$B$3005,$A2615))</f>
        <v/>
      </c>
      <c r="J2615" s="9">
        <f>IF($A2615="","",$H2615-$I2615)</f>
        <v/>
      </c>
      <c r="K2615" s="10">
        <f>IF($A2615="","",IF($I2615=0,"",_xludf.AGGREGATE(14,6,Ventes_Encaissements!$C$6:$C$3005/(Ventes_Encaissements!$B$6:$B$3005=$A2615),1)))</f>
        <v/>
      </c>
      <c r="L2615" s="11">
        <f>IF($A2615="","",COUNTIFS(Ventes_Detail!$B$6:$B$3005,$A2615))</f>
        <v/>
      </c>
      <c r="M2615" s="12" t="n"/>
      <c r="N2615" s="12">
        <f>IF($A2615="","",IF($G2615="","",IF($M2615="Oui","Litige",IF($J2615&lt;=0,"Payé",IF($I2615&gt;0,"Partiel",IF(Listes!$B$3&gt;$G2615,"En retard","À échoir"))))))</f>
        <v/>
      </c>
      <c r="O2615" s="11">
        <f>IF($A2615="","",IF(OR($G2615="", $J2615&lt;=0),0,MAX(0,Listes!$B$3-$G2615)))</f>
        <v/>
      </c>
      <c r="P2615" s="12">
        <f>IF($A2615="","",IF($J2615&lt;=0,"Payé",IF($M2615="Oui","Litige",IF($O2615=0,"À échoir",IF($O2615&lt;=30,"0-30",IF($O2615&lt;=60,"31-60",IF($O2615&lt;=90,"61-90","90+")))))))</f>
        <v/>
      </c>
    </row>
    <row r="2616">
      <c r="A2616" s="6" t="n"/>
      <c r="B2616" s="6" t="n"/>
      <c r="C2616" s="6" t="n"/>
      <c r="D2616" s="6" t="n"/>
      <c r="E2616" s="6" t="n"/>
      <c r="F2616" s="7" t="n"/>
      <c r="G2616" s="7" t="n"/>
      <c r="H2616" s="8" t="n"/>
      <c r="I2616" s="9">
        <f>IF($A2616="","",SUMIFS(Ventes_Encaissements!$D$6:$D$3005,Ventes_Encaissements!$B$6:$B$3005,$A2616))</f>
        <v/>
      </c>
      <c r="J2616" s="9">
        <f>IF($A2616="","",$H2616-$I2616)</f>
        <v/>
      </c>
      <c r="K2616" s="10">
        <f>IF($A2616="","",IF($I2616=0,"",_xludf.AGGREGATE(14,6,Ventes_Encaissements!$C$6:$C$3005/(Ventes_Encaissements!$B$6:$B$3005=$A2616),1)))</f>
        <v/>
      </c>
      <c r="L2616" s="11">
        <f>IF($A2616="","",COUNTIFS(Ventes_Detail!$B$6:$B$3005,$A2616))</f>
        <v/>
      </c>
      <c r="M2616" s="12" t="n"/>
      <c r="N2616" s="12">
        <f>IF($A2616="","",IF($G2616="","",IF($M2616="Oui","Litige",IF($J2616&lt;=0,"Payé",IF($I2616&gt;0,"Partiel",IF(Listes!$B$3&gt;$G2616,"En retard","À échoir"))))))</f>
        <v/>
      </c>
      <c r="O2616" s="11">
        <f>IF($A2616="","",IF(OR($G2616="", $J2616&lt;=0),0,MAX(0,Listes!$B$3-$G2616)))</f>
        <v/>
      </c>
      <c r="P2616" s="12">
        <f>IF($A2616="","",IF($J2616&lt;=0,"Payé",IF($M2616="Oui","Litige",IF($O2616=0,"À échoir",IF($O2616&lt;=30,"0-30",IF($O2616&lt;=60,"31-60",IF($O2616&lt;=90,"61-90","90+")))))))</f>
        <v/>
      </c>
    </row>
    <row r="2617">
      <c r="A2617" s="6" t="n"/>
      <c r="B2617" s="6" t="n"/>
      <c r="C2617" s="6" t="n"/>
      <c r="D2617" s="6" t="n"/>
      <c r="E2617" s="6" t="n"/>
      <c r="F2617" s="7" t="n"/>
      <c r="G2617" s="7" t="n"/>
      <c r="H2617" s="8" t="n"/>
      <c r="I2617" s="9">
        <f>IF($A2617="","",SUMIFS(Ventes_Encaissements!$D$6:$D$3005,Ventes_Encaissements!$B$6:$B$3005,$A2617))</f>
        <v/>
      </c>
      <c r="J2617" s="9">
        <f>IF($A2617="","",$H2617-$I2617)</f>
        <v/>
      </c>
      <c r="K2617" s="10">
        <f>IF($A2617="","",IF($I2617=0,"",_xludf.AGGREGATE(14,6,Ventes_Encaissements!$C$6:$C$3005/(Ventes_Encaissements!$B$6:$B$3005=$A2617),1)))</f>
        <v/>
      </c>
      <c r="L2617" s="11">
        <f>IF($A2617="","",COUNTIFS(Ventes_Detail!$B$6:$B$3005,$A2617))</f>
        <v/>
      </c>
      <c r="M2617" s="12" t="n"/>
      <c r="N2617" s="12">
        <f>IF($A2617="","",IF($G2617="","",IF($M2617="Oui","Litige",IF($J2617&lt;=0,"Payé",IF($I2617&gt;0,"Partiel",IF(Listes!$B$3&gt;$G2617,"En retard","À échoir"))))))</f>
        <v/>
      </c>
      <c r="O2617" s="11">
        <f>IF($A2617="","",IF(OR($G2617="", $J2617&lt;=0),0,MAX(0,Listes!$B$3-$G2617)))</f>
        <v/>
      </c>
      <c r="P2617" s="12">
        <f>IF($A2617="","",IF($J2617&lt;=0,"Payé",IF($M2617="Oui","Litige",IF($O2617=0,"À échoir",IF($O2617&lt;=30,"0-30",IF($O2617&lt;=60,"31-60",IF($O2617&lt;=90,"61-90","90+")))))))</f>
        <v/>
      </c>
    </row>
    <row r="2618">
      <c r="A2618" s="6" t="n"/>
      <c r="B2618" s="6" t="n"/>
      <c r="C2618" s="6" t="n"/>
      <c r="D2618" s="6" t="n"/>
      <c r="E2618" s="6" t="n"/>
      <c r="F2618" s="7" t="n"/>
      <c r="G2618" s="7" t="n"/>
      <c r="H2618" s="8" t="n"/>
      <c r="I2618" s="9">
        <f>IF($A2618="","",SUMIFS(Ventes_Encaissements!$D$6:$D$3005,Ventes_Encaissements!$B$6:$B$3005,$A2618))</f>
        <v/>
      </c>
      <c r="J2618" s="9">
        <f>IF($A2618="","",$H2618-$I2618)</f>
        <v/>
      </c>
      <c r="K2618" s="10">
        <f>IF($A2618="","",IF($I2618=0,"",_xludf.AGGREGATE(14,6,Ventes_Encaissements!$C$6:$C$3005/(Ventes_Encaissements!$B$6:$B$3005=$A2618),1)))</f>
        <v/>
      </c>
      <c r="L2618" s="11">
        <f>IF($A2618="","",COUNTIFS(Ventes_Detail!$B$6:$B$3005,$A2618))</f>
        <v/>
      </c>
      <c r="M2618" s="12" t="n"/>
      <c r="N2618" s="12">
        <f>IF($A2618="","",IF($G2618="","",IF($M2618="Oui","Litige",IF($J2618&lt;=0,"Payé",IF($I2618&gt;0,"Partiel",IF(Listes!$B$3&gt;$G2618,"En retard","À échoir"))))))</f>
        <v/>
      </c>
      <c r="O2618" s="11">
        <f>IF($A2618="","",IF(OR($G2618="", $J2618&lt;=0),0,MAX(0,Listes!$B$3-$G2618)))</f>
        <v/>
      </c>
      <c r="P2618" s="12">
        <f>IF($A2618="","",IF($J2618&lt;=0,"Payé",IF($M2618="Oui","Litige",IF($O2618=0,"À échoir",IF($O2618&lt;=30,"0-30",IF($O2618&lt;=60,"31-60",IF($O2618&lt;=90,"61-90","90+")))))))</f>
        <v/>
      </c>
    </row>
    <row r="2619">
      <c r="A2619" s="6" t="n"/>
      <c r="B2619" s="6" t="n"/>
      <c r="C2619" s="6" t="n"/>
      <c r="D2619" s="6" t="n"/>
      <c r="E2619" s="6" t="n"/>
      <c r="F2619" s="7" t="n"/>
      <c r="G2619" s="7" t="n"/>
      <c r="H2619" s="8" t="n"/>
      <c r="I2619" s="9">
        <f>IF($A2619="","",SUMIFS(Ventes_Encaissements!$D$6:$D$3005,Ventes_Encaissements!$B$6:$B$3005,$A2619))</f>
        <v/>
      </c>
      <c r="J2619" s="9">
        <f>IF($A2619="","",$H2619-$I2619)</f>
        <v/>
      </c>
      <c r="K2619" s="10">
        <f>IF($A2619="","",IF($I2619=0,"",_xludf.AGGREGATE(14,6,Ventes_Encaissements!$C$6:$C$3005/(Ventes_Encaissements!$B$6:$B$3005=$A2619),1)))</f>
        <v/>
      </c>
      <c r="L2619" s="11">
        <f>IF($A2619="","",COUNTIFS(Ventes_Detail!$B$6:$B$3005,$A2619))</f>
        <v/>
      </c>
      <c r="M2619" s="12" t="n"/>
      <c r="N2619" s="12">
        <f>IF($A2619="","",IF($G2619="","",IF($M2619="Oui","Litige",IF($J2619&lt;=0,"Payé",IF($I2619&gt;0,"Partiel",IF(Listes!$B$3&gt;$G2619,"En retard","À échoir"))))))</f>
        <v/>
      </c>
      <c r="O2619" s="11">
        <f>IF($A2619="","",IF(OR($G2619="", $J2619&lt;=0),0,MAX(0,Listes!$B$3-$G2619)))</f>
        <v/>
      </c>
      <c r="P2619" s="12">
        <f>IF($A2619="","",IF($J2619&lt;=0,"Payé",IF($M2619="Oui","Litige",IF($O2619=0,"À échoir",IF($O2619&lt;=30,"0-30",IF($O2619&lt;=60,"31-60",IF($O2619&lt;=90,"61-90","90+")))))))</f>
        <v/>
      </c>
    </row>
    <row r="2620">
      <c r="A2620" s="6" t="n"/>
      <c r="B2620" s="6" t="n"/>
      <c r="C2620" s="6" t="n"/>
      <c r="D2620" s="6" t="n"/>
      <c r="E2620" s="6" t="n"/>
      <c r="F2620" s="7" t="n"/>
      <c r="G2620" s="7" t="n"/>
      <c r="H2620" s="8" t="n"/>
      <c r="I2620" s="9">
        <f>IF($A2620="","",SUMIFS(Ventes_Encaissements!$D$6:$D$3005,Ventes_Encaissements!$B$6:$B$3005,$A2620))</f>
        <v/>
      </c>
      <c r="J2620" s="9">
        <f>IF($A2620="","",$H2620-$I2620)</f>
        <v/>
      </c>
      <c r="K2620" s="10">
        <f>IF($A2620="","",IF($I2620=0,"",_xludf.AGGREGATE(14,6,Ventes_Encaissements!$C$6:$C$3005/(Ventes_Encaissements!$B$6:$B$3005=$A2620),1)))</f>
        <v/>
      </c>
      <c r="L2620" s="11">
        <f>IF($A2620="","",COUNTIFS(Ventes_Detail!$B$6:$B$3005,$A2620))</f>
        <v/>
      </c>
      <c r="M2620" s="12" t="n"/>
      <c r="N2620" s="12">
        <f>IF($A2620="","",IF($G2620="","",IF($M2620="Oui","Litige",IF($J2620&lt;=0,"Payé",IF($I2620&gt;0,"Partiel",IF(Listes!$B$3&gt;$G2620,"En retard","À échoir"))))))</f>
        <v/>
      </c>
      <c r="O2620" s="11">
        <f>IF($A2620="","",IF(OR($G2620="", $J2620&lt;=0),0,MAX(0,Listes!$B$3-$G2620)))</f>
        <v/>
      </c>
      <c r="P2620" s="12">
        <f>IF($A2620="","",IF($J2620&lt;=0,"Payé",IF($M2620="Oui","Litige",IF($O2620=0,"À échoir",IF($O2620&lt;=30,"0-30",IF($O2620&lt;=60,"31-60",IF($O2620&lt;=90,"61-90","90+")))))))</f>
        <v/>
      </c>
    </row>
    <row r="2621">
      <c r="A2621" s="6" t="n"/>
      <c r="B2621" s="6" t="n"/>
      <c r="C2621" s="6" t="n"/>
      <c r="D2621" s="6" t="n"/>
      <c r="E2621" s="6" t="n"/>
      <c r="F2621" s="7" t="n"/>
      <c r="G2621" s="7" t="n"/>
      <c r="H2621" s="8" t="n"/>
      <c r="I2621" s="9">
        <f>IF($A2621="","",SUMIFS(Ventes_Encaissements!$D$6:$D$3005,Ventes_Encaissements!$B$6:$B$3005,$A2621))</f>
        <v/>
      </c>
      <c r="J2621" s="9">
        <f>IF($A2621="","",$H2621-$I2621)</f>
        <v/>
      </c>
      <c r="K2621" s="10">
        <f>IF($A2621="","",IF($I2621=0,"",_xludf.AGGREGATE(14,6,Ventes_Encaissements!$C$6:$C$3005/(Ventes_Encaissements!$B$6:$B$3005=$A2621),1)))</f>
        <v/>
      </c>
      <c r="L2621" s="11">
        <f>IF($A2621="","",COUNTIFS(Ventes_Detail!$B$6:$B$3005,$A2621))</f>
        <v/>
      </c>
      <c r="M2621" s="12" t="n"/>
      <c r="N2621" s="12">
        <f>IF($A2621="","",IF($G2621="","",IF($M2621="Oui","Litige",IF($J2621&lt;=0,"Payé",IF($I2621&gt;0,"Partiel",IF(Listes!$B$3&gt;$G2621,"En retard","À échoir"))))))</f>
        <v/>
      </c>
      <c r="O2621" s="11">
        <f>IF($A2621="","",IF(OR($G2621="", $J2621&lt;=0),0,MAX(0,Listes!$B$3-$G2621)))</f>
        <v/>
      </c>
      <c r="P2621" s="12">
        <f>IF($A2621="","",IF($J2621&lt;=0,"Payé",IF($M2621="Oui","Litige",IF($O2621=0,"À échoir",IF($O2621&lt;=30,"0-30",IF($O2621&lt;=60,"31-60",IF($O2621&lt;=90,"61-90","90+")))))))</f>
        <v/>
      </c>
    </row>
    <row r="2622">
      <c r="A2622" s="6" t="n"/>
      <c r="B2622" s="6" t="n"/>
      <c r="C2622" s="6" t="n"/>
      <c r="D2622" s="6" t="n"/>
      <c r="E2622" s="6" t="n"/>
      <c r="F2622" s="7" t="n"/>
      <c r="G2622" s="7" t="n"/>
      <c r="H2622" s="8" t="n"/>
      <c r="I2622" s="9">
        <f>IF($A2622="","",SUMIFS(Ventes_Encaissements!$D$6:$D$3005,Ventes_Encaissements!$B$6:$B$3005,$A2622))</f>
        <v/>
      </c>
      <c r="J2622" s="9">
        <f>IF($A2622="","",$H2622-$I2622)</f>
        <v/>
      </c>
      <c r="K2622" s="10">
        <f>IF($A2622="","",IF($I2622=0,"",_xludf.AGGREGATE(14,6,Ventes_Encaissements!$C$6:$C$3005/(Ventes_Encaissements!$B$6:$B$3005=$A2622),1)))</f>
        <v/>
      </c>
      <c r="L2622" s="11">
        <f>IF($A2622="","",COUNTIFS(Ventes_Detail!$B$6:$B$3005,$A2622))</f>
        <v/>
      </c>
      <c r="M2622" s="12" t="n"/>
      <c r="N2622" s="12">
        <f>IF($A2622="","",IF($G2622="","",IF($M2622="Oui","Litige",IF($J2622&lt;=0,"Payé",IF($I2622&gt;0,"Partiel",IF(Listes!$B$3&gt;$G2622,"En retard","À échoir"))))))</f>
        <v/>
      </c>
      <c r="O2622" s="11">
        <f>IF($A2622="","",IF(OR($G2622="", $J2622&lt;=0),0,MAX(0,Listes!$B$3-$G2622)))</f>
        <v/>
      </c>
      <c r="P2622" s="12">
        <f>IF($A2622="","",IF($J2622&lt;=0,"Payé",IF($M2622="Oui","Litige",IF($O2622=0,"À échoir",IF($O2622&lt;=30,"0-30",IF($O2622&lt;=60,"31-60",IF($O2622&lt;=90,"61-90","90+")))))))</f>
        <v/>
      </c>
    </row>
    <row r="2623">
      <c r="A2623" s="6" t="n"/>
      <c r="B2623" s="6" t="n"/>
      <c r="C2623" s="6" t="n"/>
      <c r="D2623" s="6" t="n"/>
      <c r="E2623" s="6" t="n"/>
      <c r="F2623" s="7" t="n"/>
      <c r="G2623" s="7" t="n"/>
      <c r="H2623" s="8" t="n"/>
      <c r="I2623" s="9">
        <f>IF($A2623="","",SUMIFS(Ventes_Encaissements!$D$6:$D$3005,Ventes_Encaissements!$B$6:$B$3005,$A2623))</f>
        <v/>
      </c>
      <c r="J2623" s="9">
        <f>IF($A2623="","",$H2623-$I2623)</f>
        <v/>
      </c>
      <c r="K2623" s="10">
        <f>IF($A2623="","",IF($I2623=0,"",_xludf.AGGREGATE(14,6,Ventes_Encaissements!$C$6:$C$3005/(Ventes_Encaissements!$B$6:$B$3005=$A2623),1)))</f>
        <v/>
      </c>
      <c r="L2623" s="11">
        <f>IF($A2623="","",COUNTIFS(Ventes_Detail!$B$6:$B$3005,$A2623))</f>
        <v/>
      </c>
      <c r="M2623" s="12" t="n"/>
      <c r="N2623" s="12">
        <f>IF($A2623="","",IF($G2623="","",IF($M2623="Oui","Litige",IF($J2623&lt;=0,"Payé",IF($I2623&gt;0,"Partiel",IF(Listes!$B$3&gt;$G2623,"En retard","À échoir"))))))</f>
        <v/>
      </c>
      <c r="O2623" s="11">
        <f>IF($A2623="","",IF(OR($G2623="", $J2623&lt;=0),0,MAX(0,Listes!$B$3-$G2623)))</f>
        <v/>
      </c>
      <c r="P2623" s="12">
        <f>IF($A2623="","",IF($J2623&lt;=0,"Payé",IF($M2623="Oui","Litige",IF($O2623=0,"À échoir",IF($O2623&lt;=30,"0-30",IF($O2623&lt;=60,"31-60",IF($O2623&lt;=90,"61-90","90+")))))))</f>
        <v/>
      </c>
    </row>
    <row r="2624">
      <c r="A2624" s="6" t="n"/>
      <c r="B2624" s="6" t="n"/>
      <c r="C2624" s="6" t="n"/>
      <c r="D2624" s="6" t="n"/>
      <c r="E2624" s="6" t="n"/>
      <c r="F2624" s="7" t="n"/>
      <c r="G2624" s="7" t="n"/>
      <c r="H2624" s="8" t="n"/>
      <c r="I2624" s="9">
        <f>IF($A2624="","",SUMIFS(Ventes_Encaissements!$D$6:$D$3005,Ventes_Encaissements!$B$6:$B$3005,$A2624))</f>
        <v/>
      </c>
      <c r="J2624" s="9">
        <f>IF($A2624="","",$H2624-$I2624)</f>
        <v/>
      </c>
      <c r="K2624" s="10">
        <f>IF($A2624="","",IF($I2624=0,"",_xludf.AGGREGATE(14,6,Ventes_Encaissements!$C$6:$C$3005/(Ventes_Encaissements!$B$6:$B$3005=$A2624),1)))</f>
        <v/>
      </c>
      <c r="L2624" s="11">
        <f>IF($A2624="","",COUNTIFS(Ventes_Detail!$B$6:$B$3005,$A2624))</f>
        <v/>
      </c>
      <c r="M2624" s="12" t="n"/>
      <c r="N2624" s="12">
        <f>IF($A2624="","",IF($G2624="","",IF($M2624="Oui","Litige",IF($J2624&lt;=0,"Payé",IF($I2624&gt;0,"Partiel",IF(Listes!$B$3&gt;$G2624,"En retard","À échoir"))))))</f>
        <v/>
      </c>
      <c r="O2624" s="11">
        <f>IF($A2624="","",IF(OR($G2624="", $J2624&lt;=0),0,MAX(0,Listes!$B$3-$G2624)))</f>
        <v/>
      </c>
      <c r="P2624" s="12">
        <f>IF($A2624="","",IF($J2624&lt;=0,"Payé",IF($M2624="Oui","Litige",IF($O2624=0,"À échoir",IF($O2624&lt;=30,"0-30",IF($O2624&lt;=60,"31-60",IF($O2624&lt;=90,"61-90","90+")))))))</f>
        <v/>
      </c>
    </row>
    <row r="2625">
      <c r="A2625" s="6" t="n"/>
      <c r="B2625" s="6" t="n"/>
      <c r="C2625" s="6" t="n"/>
      <c r="D2625" s="6" t="n"/>
      <c r="E2625" s="6" t="n"/>
      <c r="F2625" s="7" t="n"/>
      <c r="G2625" s="7" t="n"/>
      <c r="H2625" s="8" t="n"/>
      <c r="I2625" s="9">
        <f>IF($A2625="","",SUMIFS(Ventes_Encaissements!$D$6:$D$3005,Ventes_Encaissements!$B$6:$B$3005,$A2625))</f>
        <v/>
      </c>
      <c r="J2625" s="9">
        <f>IF($A2625="","",$H2625-$I2625)</f>
        <v/>
      </c>
      <c r="K2625" s="10">
        <f>IF($A2625="","",IF($I2625=0,"",_xludf.AGGREGATE(14,6,Ventes_Encaissements!$C$6:$C$3005/(Ventes_Encaissements!$B$6:$B$3005=$A2625),1)))</f>
        <v/>
      </c>
      <c r="L2625" s="11">
        <f>IF($A2625="","",COUNTIFS(Ventes_Detail!$B$6:$B$3005,$A2625))</f>
        <v/>
      </c>
      <c r="M2625" s="12" t="n"/>
      <c r="N2625" s="12">
        <f>IF($A2625="","",IF($G2625="","",IF($M2625="Oui","Litige",IF($J2625&lt;=0,"Payé",IF($I2625&gt;0,"Partiel",IF(Listes!$B$3&gt;$G2625,"En retard","À échoir"))))))</f>
        <v/>
      </c>
      <c r="O2625" s="11">
        <f>IF($A2625="","",IF(OR($G2625="", $J2625&lt;=0),0,MAX(0,Listes!$B$3-$G2625)))</f>
        <v/>
      </c>
      <c r="P2625" s="12">
        <f>IF($A2625="","",IF($J2625&lt;=0,"Payé",IF($M2625="Oui","Litige",IF($O2625=0,"À échoir",IF($O2625&lt;=30,"0-30",IF($O2625&lt;=60,"31-60",IF($O2625&lt;=90,"61-90","90+")))))))</f>
        <v/>
      </c>
    </row>
    <row r="2626">
      <c r="A2626" s="6" t="n"/>
      <c r="B2626" s="6" t="n"/>
      <c r="C2626" s="6" t="n"/>
      <c r="D2626" s="6" t="n"/>
      <c r="E2626" s="6" t="n"/>
      <c r="F2626" s="7" t="n"/>
      <c r="G2626" s="7" t="n"/>
      <c r="H2626" s="8" t="n"/>
      <c r="I2626" s="9">
        <f>IF($A2626="","",SUMIFS(Ventes_Encaissements!$D$6:$D$3005,Ventes_Encaissements!$B$6:$B$3005,$A2626))</f>
        <v/>
      </c>
      <c r="J2626" s="9">
        <f>IF($A2626="","",$H2626-$I2626)</f>
        <v/>
      </c>
      <c r="K2626" s="10">
        <f>IF($A2626="","",IF($I2626=0,"",_xludf.AGGREGATE(14,6,Ventes_Encaissements!$C$6:$C$3005/(Ventes_Encaissements!$B$6:$B$3005=$A2626),1)))</f>
        <v/>
      </c>
      <c r="L2626" s="11">
        <f>IF($A2626="","",COUNTIFS(Ventes_Detail!$B$6:$B$3005,$A2626))</f>
        <v/>
      </c>
      <c r="M2626" s="12" t="n"/>
      <c r="N2626" s="12">
        <f>IF($A2626="","",IF($G2626="","",IF($M2626="Oui","Litige",IF($J2626&lt;=0,"Payé",IF($I2626&gt;0,"Partiel",IF(Listes!$B$3&gt;$G2626,"En retard","À échoir"))))))</f>
        <v/>
      </c>
      <c r="O2626" s="11">
        <f>IF($A2626="","",IF(OR($G2626="", $J2626&lt;=0),0,MAX(0,Listes!$B$3-$G2626)))</f>
        <v/>
      </c>
      <c r="P2626" s="12">
        <f>IF($A2626="","",IF($J2626&lt;=0,"Payé",IF($M2626="Oui","Litige",IF($O2626=0,"À échoir",IF($O2626&lt;=30,"0-30",IF($O2626&lt;=60,"31-60",IF($O2626&lt;=90,"61-90","90+")))))))</f>
        <v/>
      </c>
    </row>
    <row r="2627">
      <c r="A2627" s="6" t="n"/>
      <c r="B2627" s="6" t="n"/>
      <c r="C2627" s="6" t="n"/>
      <c r="D2627" s="6" t="n"/>
      <c r="E2627" s="6" t="n"/>
      <c r="F2627" s="7" t="n"/>
      <c r="G2627" s="7" t="n"/>
      <c r="H2627" s="8" t="n"/>
      <c r="I2627" s="9">
        <f>IF($A2627="","",SUMIFS(Ventes_Encaissements!$D$6:$D$3005,Ventes_Encaissements!$B$6:$B$3005,$A2627))</f>
        <v/>
      </c>
      <c r="J2627" s="9">
        <f>IF($A2627="","",$H2627-$I2627)</f>
        <v/>
      </c>
      <c r="K2627" s="10">
        <f>IF($A2627="","",IF($I2627=0,"",_xludf.AGGREGATE(14,6,Ventes_Encaissements!$C$6:$C$3005/(Ventes_Encaissements!$B$6:$B$3005=$A2627),1)))</f>
        <v/>
      </c>
      <c r="L2627" s="11">
        <f>IF($A2627="","",COUNTIFS(Ventes_Detail!$B$6:$B$3005,$A2627))</f>
        <v/>
      </c>
      <c r="M2627" s="12" t="n"/>
      <c r="N2627" s="12">
        <f>IF($A2627="","",IF($G2627="","",IF($M2627="Oui","Litige",IF($J2627&lt;=0,"Payé",IF($I2627&gt;0,"Partiel",IF(Listes!$B$3&gt;$G2627,"En retard","À échoir"))))))</f>
        <v/>
      </c>
      <c r="O2627" s="11">
        <f>IF($A2627="","",IF(OR($G2627="", $J2627&lt;=0),0,MAX(0,Listes!$B$3-$G2627)))</f>
        <v/>
      </c>
      <c r="P2627" s="12">
        <f>IF($A2627="","",IF($J2627&lt;=0,"Payé",IF($M2627="Oui","Litige",IF($O2627=0,"À échoir",IF($O2627&lt;=30,"0-30",IF($O2627&lt;=60,"31-60",IF($O2627&lt;=90,"61-90","90+")))))))</f>
        <v/>
      </c>
    </row>
    <row r="2628">
      <c r="A2628" s="6" t="n"/>
      <c r="B2628" s="6" t="n"/>
      <c r="C2628" s="6" t="n"/>
      <c r="D2628" s="6" t="n"/>
      <c r="E2628" s="6" t="n"/>
      <c r="F2628" s="7" t="n"/>
      <c r="G2628" s="7" t="n"/>
      <c r="H2628" s="8" t="n"/>
      <c r="I2628" s="9">
        <f>IF($A2628="","",SUMIFS(Ventes_Encaissements!$D$6:$D$3005,Ventes_Encaissements!$B$6:$B$3005,$A2628))</f>
        <v/>
      </c>
      <c r="J2628" s="9">
        <f>IF($A2628="","",$H2628-$I2628)</f>
        <v/>
      </c>
      <c r="K2628" s="10">
        <f>IF($A2628="","",IF($I2628=0,"",_xludf.AGGREGATE(14,6,Ventes_Encaissements!$C$6:$C$3005/(Ventes_Encaissements!$B$6:$B$3005=$A2628),1)))</f>
        <v/>
      </c>
      <c r="L2628" s="11">
        <f>IF($A2628="","",COUNTIFS(Ventes_Detail!$B$6:$B$3005,$A2628))</f>
        <v/>
      </c>
      <c r="M2628" s="12" t="n"/>
      <c r="N2628" s="12">
        <f>IF($A2628="","",IF($G2628="","",IF($M2628="Oui","Litige",IF($J2628&lt;=0,"Payé",IF($I2628&gt;0,"Partiel",IF(Listes!$B$3&gt;$G2628,"En retard","À échoir"))))))</f>
        <v/>
      </c>
      <c r="O2628" s="11">
        <f>IF($A2628="","",IF(OR($G2628="", $J2628&lt;=0),0,MAX(0,Listes!$B$3-$G2628)))</f>
        <v/>
      </c>
      <c r="P2628" s="12">
        <f>IF($A2628="","",IF($J2628&lt;=0,"Payé",IF($M2628="Oui","Litige",IF($O2628=0,"À échoir",IF($O2628&lt;=30,"0-30",IF($O2628&lt;=60,"31-60",IF($O2628&lt;=90,"61-90","90+")))))))</f>
        <v/>
      </c>
    </row>
    <row r="2629">
      <c r="A2629" s="6" t="n"/>
      <c r="B2629" s="6" t="n"/>
      <c r="C2629" s="6" t="n"/>
      <c r="D2629" s="6" t="n"/>
      <c r="E2629" s="6" t="n"/>
      <c r="F2629" s="7" t="n"/>
      <c r="G2629" s="7" t="n"/>
      <c r="H2629" s="8" t="n"/>
      <c r="I2629" s="9">
        <f>IF($A2629="","",SUMIFS(Ventes_Encaissements!$D$6:$D$3005,Ventes_Encaissements!$B$6:$B$3005,$A2629))</f>
        <v/>
      </c>
      <c r="J2629" s="9">
        <f>IF($A2629="","",$H2629-$I2629)</f>
        <v/>
      </c>
      <c r="K2629" s="10">
        <f>IF($A2629="","",IF($I2629=0,"",_xludf.AGGREGATE(14,6,Ventes_Encaissements!$C$6:$C$3005/(Ventes_Encaissements!$B$6:$B$3005=$A2629),1)))</f>
        <v/>
      </c>
      <c r="L2629" s="11">
        <f>IF($A2629="","",COUNTIFS(Ventes_Detail!$B$6:$B$3005,$A2629))</f>
        <v/>
      </c>
      <c r="M2629" s="12" t="n"/>
      <c r="N2629" s="12">
        <f>IF($A2629="","",IF($G2629="","",IF($M2629="Oui","Litige",IF($J2629&lt;=0,"Payé",IF($I2629&gt;0,"Partiel",IF(Listes!$B$3&gt;$G2629,"En retard","À échoir"))))))</f>
        <v/>
      </c>
      <c r="O2629" s="11">
        <f>IF($A2629="","",IF(OR($G2629="", $J2629&lt;=0),0,MAX(0,Listes!$B$3-$G2629)))</f>
        <v/>
      </c>
      <c r="P2629" s="12">
        <f>IF($A2629="","",IF($J2629&lt;=0,"Payé",IF($M2629="Oui","Litige",IF($O2629=0,"À échoir",IF($O2629&lt;=30,"0-30",IF($O2629&lt;=60,"31-60",IF($O2629&lt;=90,"61-90","90+")))))))</f>
        <v/>
      </c>
    </row>
    <row r="2630">
      <c r="A2630" s="6" t="n"/>
      <c r="B2630" s="6" t="n"/>
      <c r="C2630" s="6" t="n"/>
      <c r="D2630" s="6" t="n"/>
      <c r="E2630" s="6" t="n"/>
      <c r="F2630" s="7" t="n"/>
      <c r="G2630" s="7" t="n"/>
      <c r="H2630" s="8" t="n"/>
      <c r="I2630" s="9">
        <f>IF($A2630="","",SUMIFS(Ventes_Encaissements!$D$6:$D$3005,Ventes_Encaissements!$B$6:$B$3005,$A2630))</f>
        <v/>
      </c>
      <c r="J2630" s="9">
        <f>IF($A2630="","",$H2630-$I2630)</f>
        <v/>
      </c>
      <c r="K2630" s="10">
        <f>IF($A2630="","",IF($I2630=0,"",_xludf.AGGREGATE(14,6,Ventes_Encaissements!$C$6:$C$3005/(Ventes_Encaissements!$B$6:$B$3005=$A2630),1)))</f>
        <v/>
      </c>
      <c r="L2630" s="11">
        <f>IF($A2630="","",COUNTIFS(Ventes_Detail!$B$6:$B$3005,$A2630))</f>
        <v/>
      </c>
      <c r="M2630" s="12" t="n"/>
      <c r="N2630" s="12">
        <f>IF($A2630="","",IF($G2630="","",IF($M2630="Oui","Litige",IF($J2630&lt;=0,"Payé",IF($I2630&gt;0,"Partiel",IF(Listes!$B$3&gt;$G2630,"En retard","À échoir"))))))</f>
        <v/>
      </c>
      <c r="O2630" s="11">
        <f>IF($A2630="","",IF(OR($G2630="", $J2630&lt;=0),0,MAX(0,Listes!$B$3-$G2630)))</f>
        <v/>
      </c>
      <c r="P2630" s="12">
        <f>IF($A2630="","",IF($J2630&lt;=0,"Payé",IF($M2630="Oui","Litige",IF($O2630=0,"À échoir",IF($O2630&lt;=30,"0-30",IF($O2630&lt;=60,"31-60",IF($O2630&lt;=90,"61-90","90+")))))))</f>
        <v/>
      </c>
    </row>
    <row r="2631">
      <c r="A2631" s="6" t="n"/>
      <c r="B2631" s="6" t="n"/>
      <c r="C2631" s="6" t="n"/>
      <c r="D2631" s="6" t="n"/>
      <c r="E2631" s="6" t="n"/>
      <c r="F2631" s="7" t="n"/>
      <c r="G2631" s="7" t="n"/>
      <c r="H2631" s="8" t="n"/>
      <c r="I2631" s="9">
        <f>IF($A2631="","",SUMIFS(Ventes_Encaissements!$D$6:$D$3005,Ventes_Encaissements!$B$6:$B$3005,$A2631))</f>
        <v/>
      </c>
      <c r="J2631" s="9">
        <f>IF($A2631="","",$H2631-$I2631)</f>
        <v/>
      </c>
      <c r="K2631" s="10">
        <f>IF($A2631="","",IF($I2631=0,"",_xludf.AGGREGATE(14,6,Ventes_Encaissements!$C$6:$C$3005/(Ventes_Encaissements!$B$6:$B$3005=$A2631),1)))</f>
        <v/>
      </c>
      <c r="L2631" s="11">
        <f>IF($A2631="","",COUNTIFS(Ventes_Detail!$B$6:$B$3005,$A2631))</f>
        <v/>
      </c>
      <c r="M2631" s="12" t="n"/>
      <c r="N2631" s="12">
        <f>IF($A2631="","",IF($G2631="","",IF($M2631="Oui","Litige",IF($J2631&lt;=0,"Payé",IF($I2631&gt;0,"Partiel",IF(Listes!$B$3&gt;$G2631,"En retard","À échoir"))))))</f>
        <v/>
      </c>
      <c r="O2631" s="11">
        <f>IF($A2631="","",IF(OR($G2631="", $J2631&lt;=0),0,MAX(0,Listes!$B$3-$G2631)))</f>
        <v/>
      </c>
      <c r="P2631" s="12">
        <f>IF($A2631="","",IF($J2631&lt;=0,"Payé",IF($M2631="Oui","Litige",IF($O2631=0,"À échoir",IF($O2631&lt;=30,"0-30",IF($O2631&lt;=60,"31-60",IF($O2631&lt;=90,"61-90","90+")))))))</f>
        <v/>
      </c>
    </row>
    <row r="2632">
      <c r="A2632" s="6" t="n"/>
      <c r="B2632" s="6" t="n"/>
      <c r="C2632" s="6" t="n"/>
      <c r="D2632" s="6" t="n"/>
      <c r="E2632" s="6" t="n"/>
      <c r="F2632" s="7" t="n"/>
      <c r="G2632" s="7" t="n"/>
      <c r="H2632" s="8" t="n"/>
      <c r="I2632" s="9">
        <f>IF($A2632="","",SUMIFS(Ventes_Encaissements!$D$6:$D$3005,Ventes_Encaissements!$B$6:$B$3005,$A2632))</f>
        <v/>
      </c>
      <c r="J2632" s="9">
        <f>IF($A2632="","",$H2632-$I2632)</f>
        <v/>
      </c>
      <c r="K2632" s="10">
        <f>IF($A2632="","",IF($I2632=0,"",_xludf.AGGREGATE(14,6,Ventes_Encaissements!$C$6:$C$3005/(Ventes_Encaissements!$B$6:$B$3005=$A2632),1)))</f>
        <v/>
      </c>
      <c r="L2632" s="11">
        <f>IF($A2632="","",COUNTIFS(Ventes_Detail!$B$6:$B$3005,$A2632))</f>
        <v/>
      </c>
      <c r="M2632" s="12" t="n"/>
      <c r="N2632" s="12">
        <f>IF($A2632="","",IF($G2632="","",IF($M2632="Oui","Litige",IF($J2632&lt;=0,"Payé",IF($I2632&gt;0,"Partiel",IF(Listes!$B$3&gt;$G2632,"En retard","À échoir"))))))</f>
        <v/>
      </c>
      <c r="O2632" s="11">
        <f>IF($A2632="","",IF(OR($G2632="", $J2632&lt;=0),0,MAX(0,Listes!$B$3-$G2632)))</f>
        <v/>
      </c>
      <c r="P2632" s="12">
        <f>IF($A2632="","",IF($J2632&lt;=0,"Payé",IF($M2632="Oui","Litige",IF($O2632=0,"À échoir",IF($O2632&lt;=30,"0-30",IF($O2632&lt;=60,"31-60",IF($O2632&lt;=90,"61-90","90+")))))))</f>
        <v/>
      </c>
    </row>
    <row r="2633">
      <c r="A2633" s="6" t="n"/>
      <c r="B2633" s="6" t="n"/>
      <c r="C2633" s="6" t="n"/>
      <c r="D2633" s="6" t="n"/>
      <c r="E2633" s="6" t="n"/>
      <c r="F2633" s="7" t="n"/>
      <c r="G2633" s="7" t="n"/>
      <c r="H2633" s="8" t="n"/>
      <c r="I2633" s="9">
        <f>IF($A2633="","",SUMIFS(Ventes_Encaissements!$D$6:$D$3005,Ventes_Encaissements!$B$6:$B$3005,$A2633))</f>
        <v/>
      </c>
      <c r="J2633" s="9">
        <f>IF($A2633="","",$H2633-$I2633)</f>
        <v/>
      </c>
      <c r="K2633" s="10">
        <f>IF($A2633="","",IF($I2633=0,"",_xludf.AGGREGATE(14,6,Ventes_Encaissements!$C$6:$C$3005/(Ventes_Encaissements!$B$6:$B$3005=$A2633),1)))</f>
        <v/>
      </c>
      <c r="L2633" s="11">
        <f>IF($A2633="","",COUNTIFS(Ventes_Detail!$B$6:$B$3005,$A2633))</f>
        <v/>
      </c>
      <c r="M2633" s="12" t="n"/>
      <c r="N2633" s="12">
        <f>IF($A2633="","",IF($G2633="","",IF($M2633="Oui","Litige",IF($J2633&lt;=0,"Payé",IF($I2633&gt;0,"Partiel",IF(Listes!$B$3&gt;$G2633,"En retard","À échoir"))))))</f>
        <v/>
      </c>
      <c r="O2633" s="11">
        <f>IF($A2633="","",IF(OR($G2633="", $J2633&lt;=0),0,MAX(0,Listes!$B$3-$G2633)))</f>
        <v/>
      </c>
      <c r="P2633" s="12">
        <f>IF($A2633="","",IF($J2633&lt;=0,"Payé",IF($M2633="Oui","Litige",IF($O2633=0,"À échoir",IF($O2633&lt;=30,"0-30",IF($O2633&lt;=60,"31-60",IF($O2633&lt;=90,"61-90","90+")))))))</f>
        <v/>
      </c>
    </row>
    <row r="2634">
      <c r="A2634" s="6" t="n"/>
      <c r="B2634" s="6" t="n"/>
      <c r="C2634" s="6" t="n"/>
      <c r="D2634" s="6" t="n"/>
      <c r="E2634" s="6" t="n"/>
      <c r="F2634" s="7" t="n"/>
      <c r="G2634" s="7" t="n"/>
      <c r="H2634" s="8" t="n"/>
      <c r="I2634" s="9">
        <f>IF($A2634="","",SUMIFS(Ventes_Encaissements!$D$6:$D$3005,Ventes_Encaissements!$B$6:$B$3005,$A2634))</f>
        <v/>
      </c>
      <c r="J2634" s="9">
        <f>IF($A2634="","",$H2634-$I2634)</f>
        <v/>
      </c>
      <c r="K2634" s="10">
        <f>IF($A2634="","",IF($I2634=0,"",_xludf.AGGREGATE(14,6,Ventes_Encaissements!$C$6:$C$3005/(Ventes_Encaissements!$B$6:$B$3005=$A2634),1)))</f>
        <v/>
      </c>
      <c r="L2634" s="11">
        <f>IF($A2634="","",COUNTIFS(Ventes_Detail!$B$6:$B$3005,$A2634))</f>
        <v/>
      </c>
      <c r="M2634" s="12" t="n"/>
      <c r="N2634" s="12">
        <f>IF($A2634="","",IF($G2634="","",IF($M2634="Oui","Litige",IF($J2634&lt;=0,"Payé",IF($I2634&gt;0,"Partiel",IF(Listes!$B$3&gt;$G2634,"En retard","À échoir"))))))</f>
        <v/>
      </c>
      <c r="O2634" s="11">
        <f>IF($A2634="","",IF(OR($G2634="", $J2634&lt;=0),0,MAX(0,Listes!$B$3-$G2634)))</f>
        <v/>
      </c>
      <c r="P2634" s="12">
        <f>IF($A2634="","",IF($J2634&lt;=0,"Payé",IF($M2634="Oui","Litige",IF($O2634=0,"À échoir",IF($O2634&lt;=30,"0-30",IF($O2634&lt;=60,"31-60",IF($O2634&lt;=90,"61-90","90+")))))))</f>
        <v/>
      </c>
    </row>
    <row r="2635">
      <c r="A2635" s="6" t="n"/>
      <c r="B2635" s="6" t="n"/>
      <c r="C2635" s="6" t="n"/>
      <c r="D2635" s="6" t="n"/>
      <c r="E2635" s="6" t="n"/>
      <c r="F2635" s="7" t="n"/>
      <c r="G2635" s="7" t="n"/>
      <c r="H2635" s="8" t="n"/>
      <c r="I2635" s="9">
        <f>IF($A2635="","",SUMIFS(Ventes_Encaissements!$D$6:$D$3005,Ventes_Encaissements!$B$6:$B$3005,$A2635))</f>
        <v/>
      </c>
      <c r="J2635" s="9">
        <f>IF($A2635="","",$H2635-$I2635)</f>
        <v/>
      </c>
      <c r="K2635" s="10">
        <f>IF($A2635="","",IF($I2635=0,"",_xludf.AGGREGATE(14,6,Ventes_Encaissements!$C$6:$C$3005/(Ventes_Encaissements!$B$6:$B$3005=$A2635),1)))</f>
        <v/>
      </c>
      <c r="L2635" s="11">
        <f>IF($A2635="","",COUNTIFS(Ventes_Detail!$B$6:$B$3005,$A2635))</f>
        <v/>
      </c>
      <c r="M2635" s="12" t="n"/>
      <c r="N2635" s="12">
        <f>IF($A2635="","",IF($G2635="","",IF($M2635="Oui","Litige",IF($J2635&lt;=0,"Payé",IF($I2635&gt;0,"Partiel",IF(Listes!$B$3&gt;$G2635,"En retard","À échoir"))))))</f>
        <v/>
      </c>
      <c r="O2635" s="11">
        <f>IF($A2635="","",IF(OR($G2635="", $J2635&lt;=0),0,MAX(0,Listes!$B$3-$G2635)))</f>
        <v/>
      </c>
      <c r="P2635" s="12">
        <f>IF($A2635="","",IF($J2635&lt;=0,"Payé",IF($M2635="Oui","Litige",IF($O2635=0,"À échoir",IF($O2635&lt;=30,"0-30",IF($O2635&lt;=60,"31-60",IF($O2635&lt;=90,"61-90","90+")))))))</f>
        <v/>
      </c>
    </row>
    <row r="2636">
      <c r="A2636" s="6" t="n"/>
      <c r="B2636" s="6" t="n"/>
      <c r="C2636" s="6" t="n"/>
      <c r="D2636" s="6" t="n"/>
      <c r="E2636" s="6" t="n"/>
      <c r="F2636" s="7" t="n"/>
      <c r="G2636" s="7" t="n"/>
      <c r="H2636" s="8" t="n"/>
      <c r="I2636" s="9">
        <f>IF($A2636="","",SUMIFS(Ventes_Encaissements!$D$6:$D$3005,Ventes_Encaissements!$B$6:$B$3005,$A2636))</f>
        <v/>
      </c>
      <c r="J2636" s="9">
        <f>IF($A2636="","",$H2636-$I2636)</f>
        <v/>
      </c>
      <c r="K2636" s="10">
        <f>IF($A2636="","",IF($I2636=0,"",_xludf.AGGREGATE(14,6,Ventes_Encaissements!$C$6:$C$3005/(Ventes_Encaissements!$B$6:$B$3005=$A2636),1)))</f>
        <v/>
      </c>
      <c r="L2636" s="11">
        <f>IF($A2636="","",COUNTIFS(Ventes_Detail!$B$6:$B$3005,$A2636))</f>
        <v/>
      </c>
      <c r="M2636" s="12" t="n"/>
      <c r="N2636" s="12">
        <f>IF($A2636="","",IF($G2636="","",IF($M2636="Oui","Litige",IF($J2636&lt;=0,"Payé",IF($I2636&gt;0,"Partiel",IF(Listes!$B$3&gt;$G2636,"En retard","À échoir"))))))</f>
        <v/>
      </c>
      <c r="O2636" s="11">
        <f>IF($A2636="","",IF(OR($G2636="", $J2636&lt;=0),0,MAX(0,Listes!$B$3-$G2636)))</f>
        <v/>
      </c>
      <c r="P2636" s="12">
        <f>IF($A2636="","",IF($J2636&lt;=0,"Payé",IF($M2636="Oui","Litige",IF($O2636=0,"À échoir",IF($O2636&lt;=30,"0-30",IF($O2636&lt;=60,"31-60",IF($O2636&lt;=90,"61-90","90+")))))))</f>
        <v/>
      </c>
    </row>
    <row r="2637">
      <c r="A2637" s="6" t="n"/>
      <c r="B2637" s="6" t="n"/>
      <c r="C2637" s="6" t="n"/>
      <c r="D2637" s="6" t="n"/>
      <c r="E2637" s="6" t="n"/>
      <c r="F2637" s="7" t="n"/>
      <c r="G2637" s="7" t="n"/>
      <c r="H2637" s="8" t="n"/>
      <c r="I2637" s="9">
        <f>IF($A2637="","",SUMIFS(Ventes_Encaissements!$D$6:$D$3005,Ventes_Encaissements!$B$6:$B$3005,$A2637))</f>
        <v/>
      </c>
      <c r="J2637" s="9">
        <f>IF($A2637="","",$H2637-$I2637)</f>
        <v/>
      </c>
      <c r="K2637" s="10">
        <f>IF($A2637="","",IF($I2637=0,"",_xludf.AGGREGATE(14,6,Ventes_Encaissements!$C$6:$C$3005/(Ventes_Encaissements!$B$6:$B$3005=$A2637),1)))</f>
        <v/>
      </c>
      <c r="L2637" s="11">
        <f>IF($A2637="","",COUNTIFS(Ventes_Detail!$B$6:$B$3005,$A2637))</f>
        <v/>
      </c>
      <c r="M2637" s="12" t="n"/>
      <c r="N2637" s="12">
        <f>IF($A2637="","",IF($G2637="","",IF($M2637="Oui","Litige",IF($J2637&lt;=0,"Payé",IF($I2637&gt;0,"Partiel",IF(Listes!$B$3&gt;$G2637,"En retard","À échoir"))))))</f>
        <v/>
      </c>
      <c r="O2637" s="11">
        <f>IF($A2637="","",IF(OR($G2637="", $J2637&lt;=0),0,MAX(0,Listes!$B$3-$G2637)))</f>
        <v/>
      </c>
      <c r="P2637" s="12">
        <f>IF($A2637="","",IF($J2637&lt;=0,"Payé",IF($M2637="Oui","Litige",IF($O2637=0,"À échoir",IF($O2637&lt;=30,"0-30",IF($O2637&lt;=60,"31-60",IF($O2637&lt;=90,"61-90","90+")))))))</f>
        <v/>
      </c>
    </row>
    <row r="2638">
      <c r="A2638" s="6" t="n"/>
      <c r="B2638" s="6" t="n"/>
      <c r="C2638" s="6" t="n"/>
      <c r="D2638" s="6" t="n"/>
      <c r="E2638" s="6" t="n"/>
      <c r="F2638" s="7" t="n"/>
      <c r="G2638" s="7" t="n"/>
      <c r="H2638" s="8" t="n"/>
      <c r="I2638" s="9">
        <f>IF($A2638="","",SUMIFS(Ventes_Encaissements!$D$6:$D$3005,Ventes_Encaissements!$B$6:$B$3005,$A2638))</f>
        <v/>
      </c>
      <c r="J2638" s="9">
        <f>IF($A2638="","",$H2638-$I2638)</f>
        <v/>
      </c>
      <c r="K2638" s="10">
        <f>IF($A2638="","",IF($I2638=0,"",_xludf.AGGREGATE(14,6,Ventes_Encaissements!$C$6:$C$3005/(Ventes_Encaissements!$B$6:$B$3005=$A2638),1)))</f>
        <v/>
      </c>
      <c r="L2638" s="11">
        <f>IF($A2638="","",COUNTIFS(Ventes_Detail!$B$6:$B$3005,$A2638))</f>
        <v/>
      </c>
      <c r="M2638" s="12" t="n"/>
      <c r="N2638" s="12">
        <f>IF($A2638="","",IF($G2638="","",IF($M2638="Oui","Litige",IF($J2638&lt;=0,"Payé",IF($I2638&gt;0,"Partiel",IF(Listes!$B$3&gt;$G2638,"En retard","À échoir"))))))</f>
        <v/>
      </c>
      <c r="O2638" s="11">
        <f>IF($A2638="","",IF(OR($G2638="", $J2638&lt;=0),0,MAX(0,Listes!$B$3-$G2638)))</f>
        <v/>
      </c>
      <c r="P2638" s="12">
        <f>IF($A2638="","",IF($J2638&lt;=0,"Payé",IF($M2638="Oui","Litige",IF($O2638=0,"À échoir",IF($O2638&lt;=30,"0-30",IF($O2638&lt;=60,"31-60",IF($O2638&lt;=90,"61-90","90+")))))))</f>
        <v/>
      </c>
    </row>
    <row r="2639">
      <c r="A2639" s="6" t="n"/>
      <c r="B2639" s="6" t="n"/>
      <c r="C2639" s="6" t="n"/>
      <c r="D2639" s="6" t="n"/>
      <c r="E2639" s="6" t="n"/>
      <c r="F2639" s="7" t="n"/>
      <c r="G2639" s="7" t="n"/>
      <c r="H2639" s="8" t="n"/>
      <c r="I2639" s="9">
        <f>IF($A2639="","",SUMIFS(Ventes_Encaissements!$D$6:$D$3005,Ventes_Encaissements!$B$6:$B$3005,$A2639))</f>
        <v/>
      </c>
      <c r="J2639" s="9">
        <f>IF($A2639="","",$H2639-$I2639)</f>
        <v/>
      </c>
      <c r="K2639" s="10">
        <f>IF($A2639="","",IF($I2639=0,"",_xludf.AGGREGATE(14,6,Ventes_Encaissements!$C$6:$C$3005/(Ventes_Encaissements!$B$6:$B$3005=$A2639),1)))</f>
        <v/>
      </c>
      <c r="L2639" s="11">
        <f>IF($A2639="","",COUNTIFS(Ventes_Detail!$B$6:$B$3005,$A2639))</f>
        <v/>
      </c>
      <c r="M2639" s="12" t="n"/>
      <c r="N2639" s="12">
        <f>IF($A2639="","",IF($G2639="","",IF($M2639="Oui","Litige",IF($J2639&lt;=0,"Payé",IF($I2639&gt;0,"Partiel",IF(Listes!$B$3&gt;$G2639,"En retard","À échoir"))))))</f>
        <v/>
      </c>
      <c r="O2639" s="11">
        <f>IF($A2639="","",IF(OR($G2639="", $J2639&lt;=0),0,MAX(0,Listes!$B$3-$G2639)))</f>
        <v/>
      </c>
      <c r="P2639" s="12">
        <f>IF($A2639="","",IF($J2639&lt;=0,"Payé",IF($M2639="Oui","Litige",IF($O2639=0,"À échoir",IF($O2639&lt;=30,"0-30",IF($O2639&lt;=60,"31-60",IF($O2639&lt;=90,"61-90","90+")))))))</f>
        <v/>
      </c>
    </row>
    <row r="2640">
      <c r="A2640" s="6" t="n"/>
      <c r="B2640" s="6" t="n"/>
      <c r="C2640" s="6" t="n"/>
      <c r="D2640" s="6" t="n"/>
      <c r="E2640" s="6" t="n"/>
      <c r="F2640" s="7" t="n"/>
      <c r="G2640" s="7" t="n"/>
      <c r="H2640" s="8" t="n"/>
      <c r="I2640" s="9">
        <f>IF($A2640="","",SUMIFS(Ventes_Encaissements!$D$6:$D$3005,Ventes_Encaissements!$B$6:$B$3005,$A2640))</f>
        <v/>
      </c>
      <c r="J2640" s="9">
        <f>IF($A2640="","",$H2640-$I2640)</f>
        <v/>
      </c>
      <c r="K2640" s="10">
        <f>IF($A2640="","",IF($I2640=0,"",_xludf.AGGREGATE(14,6,Ventes_Encaissements!$C$6:$C$3005/(Ventes_Encaissements!$B$6:$B$3005=$A2640),1)))</f>
        <v/>
      </c>
      <c r="L2640" s="11">
        <f>IF($A2640="","",COUNTIFS(Ventes_Detail!$B$6:$B$3005,$A2640))</f>
        <v/>
      </c>
      <c r="M2640" s="12" t="n"/>
      <c r="N2640" s="12">
        <f>IF($A2640="","",IF($G2640="","",IF($M2640="Oui","Litige",IF($J2640&lt;=0,"Payé",IF($I2640&gt;0,"Partiel",IF(Listes!$B$3&gt;$G2640,"En retard","À échoir"))))))</f>
        <v/>
      </c>
      <c r="O2640" s="11">
        <f>IF($A2640="","",IF(OR($G2640="", $J2640&lt;=0),0,MAX(0,Listes!$B$3-$G2640)))</f>
        <v/>
      </c>
      <c r="P2640" s="12">
        <f>IF($A2640="","",IF($J2640&lt;=0,"Payé",IF($M2640="Oui","Litige",IF($O2640=0,"À échoir",IF($O2640&lt;=30,"0-30",IF($O2640&lt;=60,"31-60",IF($O2640&lt;=90,"61-90","90+")))))))</f>
        <v/>
      </c>
    </row>
    <row r="2641">
      <c r="A2641" s="6" t="n"/>
      <c r="B2641" s="6" t="n"/>
      <c r="C2641" s="6" t="n"/>
      <c r="D2641" s="6" t="n"/>
      <c r="E2641" s="6" t="n"/>
      <c r="F2641" s="7" t="n"/>
      <c r="G2641" s="7" t="n"/>
      <c r="H2641" s="8" t="n"/>
      <c r="I2641" s="9">
        <f>IF($A2641="","",SUMIFS(Ventes_Encaissements!$D$6:$D$3005,Ventes_Encaissements!$B$6:$B$3005,$A2641))</f>
        <v/>
      </c>
      <c r="J2641" s="9">
        <f>IF($A2641="","",$H2641-$I2641)</f>
        <v/>
      </c>
      <c r="K2641" s="10">
        <f>IF($A2641="","",IF($I2641=0,"",_xludf.AGGREGATE(14,6,Ventes_Encaissements!$C$6:$C$3005/(Ventes_Encaissements!$B$6:$B$3005=$A2641),1)))</f>
        <v/>
      </c>
      <c r="L2641" s="11">
        <f>IF($A2641="","",COUNTIFS(Ventes_Detail!$B$6:$B$3005,$A2641))</f>
        <v/>
      </c>
      <c r="M2641" s="12" t="n"/>
      <c r="N2641" s="12">
        <f>IF($A2641="","",IF($G2641="","",IF($M2641="Oui","Litige",IF($J2641&lt;=0,"Payé",IF($I2641&gt;0,"Partiel",IF(Listes!$B$3&gt;$G2641,"En retard","À échoir"))))))</f>
        <v/>
      </c>
      <c r="O2641" s="11">
        <f>IF($A2641="","",IF(OR($G2641="", $J2641&lt;=0),0,MAX(0,Listes!$B$3-$G2641)))</f>
        <v/>
      </c>
      <c r="P2641" s="12">
        <f>IF($A2641="","",IF($J2641&lt;=0,"Payé",IF($M2641="Oui","Litige",IF($O2641=0,"À échoir",IF($O2641&lt;=30,"0-30",IF($O2641&lt;=60,"31-60",IF($O2641&lt;=90,"61-90","90+")))))))</f>
        <v/>
      </c>
    </row>
    <row r="2642">
      <c r="A2642" s="6" t="n"/>
      <c r="B2642" s="6" t="n"/>
      <c r="C2642" s="6" t="n"/>
      <c r="D2642" s="6" t="n"/>
      <c r="E2642" s="6" t="n"/>
      <c r="F2642" s="7" t="n"/>
      <c r="G2642" s="7" t="n"/>
      <c r="H2642" s="8" t="n"/>
      <c r="I2642" s="9">
        <f>IF($A2642="","",SUMIFS(Ventes_Encaissements!$D$6:$D$3005,Ventes_Encaissements!$B$6:$B$3005,$A2642))</f>
        <v/>
      </c>
      <c r="J2642" s="9">
        <f>IF($A2642="","",$H2642-$I2642)</f>
        <v/>
      </c>
      <c r="K2642" s="10">
        <f>IF($A2642="","",IF($I2642=0,"",_xludf.AGGREGATE(14,6,Ventes_Encaissements!$C$6:$C$3005/(Ventes_Encaissements!$B$6:$B$3005=$A2642),1)))</f>
        <v/>
      </c>
      <c r="L2642" s="11">
        <f>IF($A2642="","",COUNTIFS(Ventes_Detail!$B$6:$B$3005,$A2642))</f>
        <v/>
      </c>
      <c r="M2642" s="12" t="n"/>
      <c r="N2642" s="12">
        <f>IF($A2642="","",IF($G2642="","",IF($M2642="Oui","Litige",IF($J2642&lt;=0,"Payé",IF($I2642&gt;0,"Partiel",IF(Listes!$B$3&gt;$G2642,"En retard","À échoir"))))))</f>
        <v/>
      </c>
      <c r="O2642" s="11">
        <f>IF($A2642="","",IF(OR($G2642="", $J2642&lt;=0),0,MAX(0,Listes!$B$3-$G2642)))</f>
        <v/>
      </c>
      <c r="P2642" s="12">
        <f>IF($A2642="","",IF($J2642&lt;=0,"Payé",IF($M2642="Oui","Litige",IF($O2642=0,"À échoir",IF($O2642&lt;=30,"0-30",IF($O2642&lt;=60,"31-60",IF($O2642&lt;=90,"61-90","90+")))))))</f>
        <v/>
      </c>
    </row>
    <row r="2643">
      <c r="A2643" s="6" t="n"/>
      <c r="B2643" s="6" t="n"/>
      <c r="C2643" s="6" t="n"/>
      <c r="D2643" s="6" t="n"/>
      <c r="E2643" s="6" t="n"/>
      <c r="F2643" s="7" t="n"/>
      <c r="G2643" s="7" t="n"/>
      <c r="H2643" s="8" t="n"/>
      <c r="I2643" s="9">
        <f>IF($A2643="","",SUMIFS(Ventes_Encaissements!$D$6:$D$3005,Ventes_Encaissements!$B$6:$B$3005,$A2643))</f>
        <v/>
      </c>
      <c r="J2643" s="9">
        <f>IF($A2643="","",$H2643-$I2643)</f>
        <v/>
      </c>
      <c r="K2643" s="10">
        <f>IF($A2643="","",IF($I2643=0,"",_xludf.AGGREGATE(14,6,Ventes_Encaissements!$C$6:$C$3005/(Ventes_Encaissements!$B$6:$B$3005=$A2643),1)))</f>
        <v/>
      </c>
      <c r="L2643" s="11">
        <f>IF($A2643="","",COUNTIFS(Ventes_Detail!$B$6:$B$3005,$A2643))</f>
        <v/>
      </c>
      <c r="M2643" s="12" t="n"/>
      <c r="N2643" s="12">
        <f>IF($A2643="","",IF($G2643="","",IF($M2643="Oui","Litige",IF($J2643&lt;=0,"Payé",IF($I2643&gt;0,"Partiel",IF(Listes!$B$3&gt;$G2643,"En retard","À échoir"))))))</f>
        <v/>
      </c>
      <c r="O2643" s="11">
        <f>IF($A2643="","",IF(OR($G2643="", $J2643&lt;=0),0,MAX(0,Listes!$B$3-$G2643)))</f>
        <v/>
      </c>
      <c r="P2643" s="12">
        <f>IF($A2643="","",IF($J2643&lt;=0,"Payé",IF($M2643="Oui","Litige",IF($O2643=0,"À échoir",IF($O2643&lt;=30,"0-30",IF($O2643&lt;=60,"31-60",IF($O2643&lt;=90,"61-90","90+")))))))</f>
        <v/>
      </c>
    </row>
    <row r="2644">
      <c r="A2644" s="6" t="n"/>
      <c r="B2644" s="6" t="n"/>
      <c r="C2644" s="6" t="n"/>
      <c r="D2644" s="6" t="n"/>
      <c r="E2644" s="6" t="n"/>
      <c r="F2644" s="7" t="n"/>
      <c r="G2644" s="7" t="n"/>
      <c r="H2644" s="8" t="n"/>
      <c r="I2644" s="9">
        <f>IF($A2644="","",SUMIFS(Ventes_Encaissements!$D$6:$D$3005,Ventes_Encaissements!$B$6:$B$3005,$A2644))</f>
        <v/>
      </c>
      <c r="J2644" s="9">
        <f>IF($A2644="","",$H2644-$I2644)</f>
        <v/>
      </c>
      <c r="K2644" s="10">
        <f>IF($A2644="","",IF($I2644=0,"",_xludf.AGGREGATE(14,6,Ventes_Encaissements!$C$6:$C$3005/(Ventes_Encaissements!$B$6:$B$3005=$A2644),1)))</f>
        <v/>
      </c>
      <c r="L2644" s="11">
        <f>IF($A2644="","",COUNTIFS(Ventes_Detail!$B$6:$B$3005,$A2644))</f>
        <v/>
      </c>
      <c r="M2644" s="12" t="n"/>
      <c r="N2644" s="12">
        <f>IF($A2644="","",IF($G2644="","",IF($M2644="Oui","Litige",IF($J2644&lt;=0,"Payé",IF($I2644&gt;0,"Partiel",IF(Listes!$B$3&gt;$G2644,"En retard","À échoir"))))))</f>
        <v/>
      </c>
      <c r="O2644" s="11">
        <f>IF($A2644="","",IF(OR($G2644="", $J2644&lt;=0),0,MAX(0,Listes!$B$3-$G2644)))</f>
        <v/>
      </c>
      <c r="P2644" s="12">
        <f>IF($A2644="","",IF($J2644&lt;=0,"Payé",IF($M2644="Oui","Litige",IF($O2644=0,"À échoir",IF($O2644&lt;=30,"0-30",IF($O2644&lt;=60,"31-60",IF($O2644&lt;=90,"61-90","90+")))))))</f>
        <v/>
      </c>
    </row>
    <row r="2645">
      <c r="A2645" s="6" t="n"/>
      <c r="B2645" s="6" t="n"/>
      <c r="C2645" s="6" t="n"/>
      <c r="D2645" s="6" t="n"/>
      <c r="E2645" s="6" t="n"/>
      <c r="F2645" s="7" t="n"/>
      <c r="G2645" s="7" t="n"/>
      <c r="H2645" s="8" t="n"/>
      <c r="I2645" s="9">
        <f>IF($A2645="","",SUMIFS(Ventes_Encaissements!$D$6:$D$3005,Ventes_Encaissements!$B$6:$B$3005,$A2645))</f>
        <v/>
      </c>
      <c r="J2645" s="9">
        <f>IF($A2645="","",$H2645-$I2645)</f>
        <v/>
      </c>
      <c r="K2645" s="10">
        <f>IF($A2645="","",IF($I2645=0,"",_xludf.AGGREGATE(14,6,Ventes_Encaissements!$C$6:$C$3005/(Ventes_Encaissements!$B$6:$B$3005=$A2645),1)))</f>
        <v/>
      </c>
      <c r="L2645" s="11">
        <f>IF($A2645="","",COUNTIFS(Ventes_Detail!$B$6:$B$3005,$A2645))</f>
        <v/>
      </c>
      <c r="M2645" s="12" t="n"/>
      <c r="N2645" s="12">
        <f>IF($A2645="","",IF($G2645="","",IF($M2645="Oui","Litige",IF($J2645&lt;=0,"Payé",IF($I2645&gt;0,"Partiel",IF(Listes!$B$3&gt;$G2645,"En retard","À échoir"))))))</f>
        <v/>
      </c>
      <c r="O2645" s="11">
        <f>IF($A2645="","",IF(OR($G2645="", $J2645&lt;=0),0,MAX(0,Listes!$B$3-$G2645)))</f>
        <v/>
      </c>
      <c r="P2645" s="12">
        <f>IF($A2645="","",IF($J2645&lt;=0,"Payé",IF($M2645="Oui","Litige",IF($O2645=0,"À échoir",IF($O2645&lt;=30,"0-30",IF($O2645&lt;=60,"31-60",IF($O2645&lt;=90,"61-90","90+")))))))</f>
        <v/>
      </c>
    </row>
    <row r="2646">
      <c r="A2646" s="6" t="n"/>
      <c r="B2646" s="6" t="n"/>
      <c r="C2646" s="6" t="n"/>
      <c r="D2646" s="6" t="n"/>
      <c r="E2646" s="6" t="n"/>
      <c r="F2646" s="7" t="n"/>
      <c r="G2646" s="7" t="n"/>
      <c r="H2646" s="8" t="n"/>
      <c r="I2646" s="9">
        <f>IF($A2646="","",SUMIFS(Ventes_Encaissements!$D$6:$D$3005,Ventes_Encaissements!$B$6:$B$3005,$A2646))</f>
        <v/>
      </c>
      <c r="J2646" s="9">
        <f>IF($A2646="","",$H2646-$I2646)</f>
        <v/>
      </c>
      <c r="K2646" s="10">
        <f>IF($A2646="","",IF($I2646=0,"",_xludf.AGGREGATE(14,6,Ventes_Encaissements!$C$6:$C$3005/(Ventes_Encaissements!$B$6:$B$3005=$A2646),1)))</f>
        <v/>
      </c>
      <c r="L2646" s="11">
        <f>IF($A2646="","",COUNTIFS(Ventes_Detail!$B$6:$B$3005,$A2646))</f>
        <v/>
      </c>
      <c r="M2646" s="12" t="n"/>
      <c r="N2646" s="12">
        <f>IF($A2646="","",IF($G2646="","",IF($M2646="Oui","Litige",IF($J2646&lt;=0,"Payé",IF($I2646&gt;0,"Partiel",IF(Listes!$B$3&gt;$G2646,"En retard","À échoir"))))))</f>
        <v/>
      </c>
      <c r="O2646" s="11">
        <f>IF($A2646="","",IF(OR($G2646="", $J2646&lt;=0),0,MAX(0,Listes!$B$3-$G2646)))</f>
        <v/>
      </c>
      <c r="P2646" s="12">
        <f>IF($A2646="","",IF($J2646&lt;=0,"Payé",IF($M2646="Oui","Litige",IF($O2646=0,"À échoir",IF($O2646&lt;=30,"0-30",IF($O2646&lt;=60,"31-60",IF($O2646&lt;=90,"61-90","90+")))))))</f>
        <v/>
      </c>
    </row>
    <row r="2647">
      <c r="A2647" s="6" t="n"/>
      <c r="B2647" s="6" t="n"/>
      <c r="C2647" s="6" t="n"/>
      <c r="D2647" s="6" t="n"/>
      <c r="E2647" s="6" t="n"/>
      <c r="F2647" s="7" t="n"/>
      <c r="G2647" s="7" t="n"/>
      <c r="H2647" s="8" t="n"/>
      <c r="I2647" s="9">
        <f>IF($A2647="","",SUMIFS(Ventes_Encaissements!$D$6:$D$3005,Ventes_Encaissements!$B$6:$B$3005,$A2647))</f>
        <v/>
      </c>
      <c r="J2647" s="9">
        <f>IF($A2647="","",$H2647-$I2647)</f>
        <v/>
      </c>
      <c r="K2647" s="10">
        <f>IF($A2647="","",IF($I2647=0,"",_xludf.AGGREGATE(14,6,Ventes_Encaissements!$C$6:$C$3005/(Ventes_Encaissements!$B$6:$B$3005=$A2647),1)))</f>
        <v/>
      </c>
      <c r="L2647" s="11">
        <f>IF($A2647="","",COUNTIFS(Ventes_Detail!$B$6:$B$3005,$A2647))</f>
        <v/>
      </c>
      <c r="M2647" s="12" t="n"/>
      <c r="N2647" s="12">
        <f>IF($A2647="","",IF($G2647="","",IF($M2647="Oui","Litige",IF($J2647&lt;=0,"Payé",IF($I2647&gt;0,"Partiel",IF(Listes!$B$3&gt;$G2647,"En retard","À échoir"))))))</f>
        <v/>
      </c>
      <c r="O2647" s="11">
        <f>IF($A2647="","",IF(OR($G2647="", $J2647&lt;=0),0,MAX(0,Listes!$B$3-$G2647)))</f>
        <v/>
      </c>
      <c r="P2647" s="12">
        <f>IF($A2647="","",IF($J2647&lt;=0,"Payé",IF($M2647="Oui","Litige",IF($O2647=0,"À échoir",IF($O2647&lt;=30,"0-30",IF($O2647&lt;=60,"31-60",IF($O2647&lt;=90,"61-90","90+")))))))</f>
        <v/>
      </c>
    </row>
    <row r="2648">
      <c r="A2648" s="6" t="n"/>
      <c r="B2648" s="6" t="n"/>
      <c r="C2648" s="6" t="n"/>
      <c r="D2648" s="6" t="n"/>
      <c r="E2648" s="6" t="n"/>
      <c r="F2648" s="7" t="n"/>
      <c r="G2648" s="7" t="n"/>
      <c r="H2648" s="8" t="n"/>
      <c r="I2648" s="9">
        <f>IF($A2648="","",SUMIFS(Ventes_Encaissements!$D$6:$D$3005,Ventes_Encaissements!$B$6:$B$3005,$A2648))</f>
        <v/>
      </c>
      <c r="J2648" s="9">
        <f>IF($A2648="","",$H2648-$I2648)</f>
        <v/>
      </c>
      <c r="K2648" s="10">
        <f>IF($A2648="","",IF($I2648=0,"",_xludf.AGGREGATE(14,6,Ventes_Encaissements!$C$6:$C$3005/(Ventes_Encaissements!$B$6:$B$3005=$A2648),1)))</f>
        <v/>
      </c>
      <c r="L2648" s="11">
        <f>IF($A2648="","",COUNTIFS(Ventes_Detail!$B$6:$B$3005,$A2648))</f>
        <v/>
      </c>
      <c r="M2648" s="12" t="n"/>
      <c r="N2648" s="12">
        <f>IF($A2648="","",IF($G2648="","",IF($M2648="Oui","Litige",IF($J2648&lt;=0,"Payé",IF($I2648&gt;0,"Partiel",IF(Listes!$B$3&gt;$G2648,"En retard","À échoir"))))))</f>
        <v/>
      </c>
      <c r="O2648" s="11">
        <f>IF($A2648="","",IF(OR($G2648="", $J2648&lt;=0),0,MAX(0,Listes!$B$3-$G2648)))</f>
        <v/>
      </c>
      <c r="P2648" s="12">
        <f>IF($A2648="","",IF($J2648&lt;=0,"Payé",IF($M2648="Oui","Litige",IF($O2648=0,"À échoir",IF($O2648&lt;=30,"0-30",IF($O2648&lt;=60,"31-60",IF($O2648&lt;=90,"61-90","90+")))))))</f>
        <v/>
      </c>
    </row>
    <row r="2649">
      <c r="A2649" s="6" t="n"/>
      <c r="B2649" s="6" t="n"/>
      <c r="C2649" s="6" t="n"/>
      <c r="D2649" s="6" t="n"/>
      <c r="E2649" s="6" t="n"/>
      <c r="F2649" s="7" t="n"/>
      <c r="G2649" s="7" t="n"/>
      <c r="H2649" s="8" t="n"/>
      <c r="I2649" s="9">
        <f>IF($A2649="","",SUMIFS(Ventes_Encaissements!$D$6:$D$3005,Ventes_Encaissements!$B$6:$B$3005,$A2649))</f>
        <v/>
      </c>
      <c r="J2649" s="9">
        <f>IF($A2649="","",$H2649-$I2649)</f>
        <v/>
      </c>
      <c r="K2649" s="10">
        <f>IF($A2649="","",IF($I2649=0,"",_xludf.AGGREGATE(14,6,Ventes_Encaissements!$C$6:$C$3005/(Ventes_Encaissements!$B$6:$B$3005=$A2649),1)))</f>
        <v/>
      </c>
      <c r="L2649" s="11">
        <f>IF($A2649="","",COUNTIFS(Ventes_Detail!$B$6:$B$3005,$A2649))</f>
        <v/>
      </c>
      <c r="M2649" s="12" t="n"/>
      <c r="N2649" s="12">
        <f>IF($A2649="","",IF($G2649="","",IF($M2649="Oui","Litige",IF($J2649&lt;=0,"Payé",IF($I2649&gt;0,"Partiel",IF(Listes!$B$3&gt;$G2649,"En retard","À échoir"))))))</f>
        <v/>
      </c>
      <c r="O2649" s="11">
        <f>IF($A2649="","",IF(OR($G2649="", $J2649&lt;=0),0,MAX(0,Listes!$B$3-$G2649)))</f>
        <v/>
      </c>
      <c r="P2649" s="12">
        <f>IF($A2649="","",IF($J2649&lt;=0,"Payé",IF($M2649="Oui","Litige",IF($O2649=0,"À échoir",IF($O2649&lt;=30,"0-30",IF($O2649&lt;=60,"31-60",IF($O2649&lt;=90,"61-90","90+")))))))</f>
        <v/>
      </c>
    </row>
    <row r="2650">
      <c r="A2650" s="6" t="n"/>
      <c r="B2650" s="6" t="n"/>
      <c r="C2650" s="6" t="n"/>
      <c r="D2650" s="6" t="n"/>
      <c r="E2650" s="6" t="n"/>
      <c r="F2650" s="7" t="n"/>
      <c r="G2650" s="7" t="n"/>
      <c r="H2650" s="8" t="n"/>
      <c r="I2650" s="9">
        <f>IF($A2650="","",SUMIFS(Ventes_Encaissements!$D$6:$D$3005,Ventes_Encaissements!$B$6:$B$3005,$A2650))</f>
        <v/>
      </c>
      <c r="J2650" s="9">
        <f>IF($A2650="","",$H2650-$I2650)</f>
        <v/>
      </c>
      <c r="K2650" s="10">
        <f>IF($A2650="","",IF($I2650=0,"",_xludf.AGGREGATE(14,6,Ventes_Encaissements!$C$6:$C$3005/(Ventes_Encaissements!$B$6:$B$3005=$A2650),1)))</f>
        <v/>
      </c>
      <c r="L2650" s="11">
        <f>IF($A2650="","",COUNTIFS(Ventes_Detail!$B$6:$B$3005,$A2650))</f>
        <v/>
      </c>
      <c r="M2650" s="12" t="n"/>
      <c r="N2650" s="12">
        <f>IF($A2650="","",IF($G2650="","",IF($M2650="Oui","Litige",IF($J2650&lt;=0,"Payé",IF($I2650&gt;0,"Partiel",IF(Listes!$B$3&gt;$G2650,"En retard","À échoir"))))))</f>
        <v/>
      </c>
      <c r="O2650" s="11">
        <f>IF($A2650="","",IF(OR($G2650="", $J2650&lt;=0),0,MAX(0,Listes!$B$3-$G2650)))</f>
        <v/>
      </c>
      <c r="P2650" s="12">
        <f>IF($A2650="","",IF($J2650&lt;=0,"Payé",IF($M2650="Oui","Litige",IF($O2650=0,"À échoir",IF($O2650&lt;=30,"0-30",IF($O2650&lt;=60,"31-60",IF($O2650&lt;=90,"61-90","90+")))))))</f>
        <v/>
      </c>
    </row>
    <row r="2651">
      <c r="A2651" s="6" t="n"/>
      <c r="B2651" s="6" t="n"/>
      <c r="C2651" s="6" t="n"/>
      <c r="D2651" s="6" t="n"/>
      <c r="E2651" s="6" t="n"/>
      <c r="F2651" s="7" t="n"/>
      <c r="G2651" s="7" t="n"/>
      <c r="H2651" s="8" t="n"/>
      <c r="I2651" s="9">
        <f>IF($A2651="","",SUMIFS(Ventes_Encaissements!$D$6:$D$3005,Ventes_Encaissements!$B$6:$B$3005,$A2651))</f>
        <v/>
      </c>
      <c r="J2651" s="9">
        <f>IF($A2651="","",$H2651-$I2651)</f>
        <v/>
      </c>
      <c r="K2651" s="10">
        <f>IF($A2651="","",IF($I2651=0,"",_xludf.AGGREGATE(14,6,Ventes_Encaissements!$C$6:$C$3005/(Ventes_Encaissements!$B$6:$B$3005=$A2651),1)))</f>
        <v/>
      </c>
      <c r="L2651" s="11">
        <f>IF($A2651="","",COUNTIFS(Ventes_Detail!$B$6:$B$3005,$A2651))</f>
        <v/>
      </c>
      <c r="M2651" s="12" t="n"/>
      <c r="N2651" s="12">
        <f>IF($A2651="","",IF($G2651="","",IF($M2651="Oui","Litige",IF($J2651&lt;=0,"Payé",IF($I2651&gt;0,"Partiel",IF(Listes!$B$3&gt;$G2651,"En retard","À échoir"))))))</f>
        <v/>
      </c>
      <c r="O2651" s="11">
        <f>IF($A2651="","",IF(OR($G2651="", $J2651&lt;=0),0,MAX(0,Listes!$B$3-$G2651)))</f>
        <v/>
      </c>
      <c r="P2651" s="12">
        <f>IF($A2651="","",IF($J2651&lt;=0,"Payé",IF($M2651="Oui","Litige",IF($O2651=0,"À échoir",IF($O2651&lt;=30,"0-30",IF($O2651&lt;=60,"31-60",IF($O2651&lt;=90,"61-90","90+")))))))</f>
        <v/>
      </c>
    </row>
    <row r="2652">
      <c r="A2652" s="6" t="n"/>
      <c r="B2652" s="6" t="n"/>
      <c r="C2652" s="6" t="n"/>
      <c r="D2652" s="6" t="n"/>
      <c r="E2652" s="6" t="n"/>
      <c r="F2652" s="7" t="n"/>
      <c r="G2652" s="7" t="n"/>
      <c r="H2652" s="8" t="n"/>
      <c r="I2652" s="9">
        <f>IF($A2652="","",SUMIFS(Ventes_Encaissements!$D$6:$D$3005,Ventes_Encaissements!$B$6:$B$3005,$A2652))</f>
        <v/>
      </c>
      <c r="J2652" s="9">
        <f>IF($A2652="","",$H2652-$I2652)</f>
        <v/>
      </c>
      <c r="K2652" s="10">
        <f>IF($A2652="","",IF($I2652=0,"",_xludf.AGGREGATE(14,6,Ventes_Encaissements!$C$6:$C$3005/(Ventes_Encaissements!$B$6:$B$3005=$A2652),1)))</f>
        <v/>
      </c>
      <c r="L2652" s="11">
        <f>IF($A2652="","",COUNTIFS(Ventes_Detail!$B$6:$B$3005,$A2652))</f>
        <v/>
      </c>
      <c r="M2652" s="12" t="n"/>
      <c r="N2652" s="12">
        <f>IF($A2652="","",IF($G2652="","",IF($M2652="Oui","Litige",IF($J2652&lt;=0,"Payé",IF($I2652&gt;0,"Partiel",IF(Listes!$B$3&gt;$G2652,"En retard","À échoir"))))))</f>
        <v/>
      </c>
      <c r="O2652" s="11">
        <f>IF($A2652="","",IF(OR($G2652="", $J2652&lt;=0),0,MAX(0,Listes!$B$3-$G2652)))</f>
        <v/>
      </c>
      <c r="P2652" s="12">
        <f>IF($A2652="","",IF($J2652&lt;=0,"Payé",IF($M2652="Oui","Litige",IF($O2652=0,"À échoir",IF($O2652&lt;=30,"0-30",IF($O2652&lt;=60,"31-60",IF($O2652&lt;=90,"61-90","90+")))))))</f>
        <v/>
      </c>
    </row>
    <row r="2653">
      <c r="A2653" s="6" t="n"/>
      <c r="B2653" s="6" t="n"/>
      <c r="C2653" s="6" t="n"/>
      <c r="D2653" s="6" t="n"/>
      <c r="E2653" s="6" t="n"/>
      <c r="F2653" s="7" t="n"/>
      <c r="G2653" s="7" t="n"/>
      <c r="H2653" s="8" t="n"/>
      <c r="I2653" s="9">
        <f>IF($A2653="","",SUMIFS(Ventes_Encaissements!$D$6:$D$3005,Ventes_Encaissements!$B$6:$B$3005,$A2653))</f>
        <v/>
      </c>
      <c r="J2653" s="9">
        <f>IF($A2653="","",$H2653-$I2653)</f>
        <v/>
      </c>
      <c r="K2653" s="10">
        <f>IF($A2653="","",IF($I2653=0,"",_xludf.AGGREGATE(14,6,Ventes_Encaissements!$C$6:$C$3005/(Ventes_Encaissements!$B$6:$B$3005=$A2653),1)))</f>
        <v/>
      </c>
      <c r="L2653" s="11">
        <f>IF($A2653="","",COUNTIFS(Ventes_Detail!$B$6:$B$3005,$A2653))</f>
        <v/>
      </c>
      <c r="M2653" s="12" t="n"/>
      <c r="N2653" s="12">
        <f>IF($A2653="","",IF($G2653="","",IF($M2653="Oui","Litige",IF($J2653&lt;=0,"Payé",IF($I2653&gt;0,"Partiel",IF(Listes!$B$3&gt;$G2653,"En retard","À échoir"))))))</f>
        <v/>
      </c>
      <c r="O2653" s="11">
        <f>IF($A2653="","",IF(OR($G2653="", $J2653&lt;=0),0,MAX(0,Listes!$B$3-$G2653)))</f>
        <v/>
      </c>
      <c r="P2653" s="12">
        <f>IF($A2653="","",IF($J2653&lt;=0,"Payé",IF($M2653="Oui","Litige",IF($O2653=0,"À échoir",IF($O2653&lt;=30,"0-30",IF($O2653&lt;=60,"31-60",IF($O2653&lt;=90,"61-90","90+")))))))</f>
        <v/>
      </c>
    </row>
    <row r="2654">
      <c r="A2654" s="6" t="n"/>
      <c r="B2654" s="6" t="n"/>
      <c r="C2654" s="6" t="n"/>
      <c r="D2654" s="6" t="n"/>
      <c r="E2654" s="6" t="n"/>
      <c r="F2654" s="7" t="n"/>
      <c r="G2654" s="7" t="n"/>
      <c r="H2654" s="8" t="n"/>
      <c r="I2654" s="9">
        <f>IF($A2654="","",SUMIFS(Ventes_Encaissements!$D$6:$D$3005,Ventes_Encaissements!$B$6:$B$3005,$A2654))</f>
        <v/>
      </c>
      <c r="J2654" s="9">
        <f>IF($A2654="","",$H2654-$I2654)</f>
        <v/>
      </c>
      <c r="K2654" s="10">
        <f>IF($A2654="","",IF($I2654=0,"",_xludf.AGGREGATE(14,6,Ventes_Encaissements!$C$6:$C$3005/(Ventes_Encaissements!$B$6:$B$3005=$A2654),1)))</f>
        <v/>
      </c>
      <c r="L2654" s="11">
        <f>IF($A2654="","",COUNTIFS(Ventes_Detail!$B$6:$B$3005,$A2654))</f>
        <v/>
      </c>
      <c r="M2654" s="12" t="n"/>
      <c r="N2654" s="12">
        <f>IF($A2654="","",IF($G2654="","",IF($M2654="Oui","Litige",IF($J2654&lt;=0,"Payé",IF($I2654&gt;0,"Partiel",IF(Listes!$B$3&gt;$G2654,"En retard","À échoir"))))))</f>
        <v/>
      </c>
      <c r="O2654" s="11">
        <f>IF($A2654="","",IF(OR($G2654="", $J2654&lt;=0),0,MAX(0,Listes!$B$3-$G2654)))</f>
        <v/>
      </c>
      <c r="P2654" s="12">
        <f>IF($A2654="","",IF($J2654&lt;=0,"Payé",IF($M2654="Oui","Litige",IF($O2654=0,"À échoir",IF($O2654&lt;=30,"0-30",IF($O2654&lt;=60,"31-60",IF($O2654&lt;=90,"61-90","90+")))))))</f>
        <v/>
      </c>
    </row>
    <row r="2655">
      <c r="A2655" s="6" t="n"/>
      <c r="B2655" s="6" t="n"/>
      <c r="C2655" s="6" t="n"/>
      <c r="D2655" s="6" t="n"/>
      <c r="E2655" s="6" t="n"/>
      <c r="F2655" s="7" t="n"/>
      <c r="G2655" s="7" t="n"/>
      <c r="H2655" s="8" t="n"/>
      <c r="I2655" s="9">
        <f>IF($A2655="","",SUMIFS(Ventes_Encaissements!$D$6:$D$3005,Ventes_Encaissements!$B$6:$B$3005,$A2655))</f>
        <v/>
      </c>
      <c r="J2655" s="9">
        <f>IF($A2655="","",$H2655-$I2655)</f>
        <v/>
      </c>
      <c r="K2655" s="10">
        <f>IF($A2655="","",IF($I2655=0,"",_xludf.AGGREGATE(14,6,Ventes_Encaissements!$C$6:$C$3005/(Ventes_Encaissements!$B$6:$B$3005=$A2655),1)))</f>
        <v/>
      </c>
      <c r="L2655" s="11">
        <f>IF($A2655="","",COUNTIFS(Ventes_Detail!$B$6:$B$3005,$A2655))</f>
        <v/>
      </c>
      <c r="M2655" s="12" t="n"/>
      <c r="N2655" s="12">
        <f>IF($A2655="","",IF($G2655="","",IF($M2655="Oui","Litige",IF($J2655&lt;=0,"Payé",IF($I2655&gt;0,"Partiel",IF(Listes!$B$3&gt;$G2655,"En retard","À échoir"))))))</f>
        <v/>
      </c>
      <c r="O2655" s="11">
        <f>IF($A2655="","",IF(OR($G2655="", $J2655&lt;=0),0,MAX(0,Listes!$B$3-$G2655)))</f>
        <v/>
      </c>
      <c r="P2655" s="12">
        <f>IF($A2655="","",IF($J2655&lt;=0,"Payé",IF($M2655="Oui","Litige",IF($O2655=0,"À échoir",IF($O2655&lt;=30,"0-30",IF($O2655&lt;=60,"31-60",IF($O2655&lt;=90,"61-90","90+")))))))</f>
        <v/>
      </c>
    </row>
    <row r="2656">
      <c r="A2656" s="6" t="n"/>
      <c r="B2656" s="6" t="n"/>
      <c r="C2656" s="6" t="n"/>
      <c r="D2656" s="6" t="n"/>
      <c r="E2656" s="6" t="n"/>
      <c r="F2656" s="7" t="n"/>
      <c r="G2656" s="7" t="n"/>
      <c r="H2656" s="8" t="n"/>
      <c r="I2656" s="9">
        <f>IF($A2656="","",SUMIFS(Ventes_Encaissements!$D$6:$D$3005,Ventes_Encaissements!$B$6:$B$3005,$A2656))</f>
        <v/>
      </c>
      <c r="J2656" s="9">
        <f>IF($A2656="","",$H2656-$I2656)</f>
        <v/>
      </c>
      <c r="K2656" s="10">
        <f>IF($A2656="","",IF($I2656=0,"",_xludf.AGGREGATE(14,6,Ventes_Encaissements!$C$6:$C$3005/(Ventes_Encaissements!$B$6:$B$3005=$A2656),1)))</f>
        <v/>
      </c>
      <c r="L2656" s="11">
        <f>IF($A2656="","",COUNTIFS(Ventes_Detail!$B$6:$B$3005,$A2656))</f>
        <v/>
      </c>
      <c r="M2656" s="12" t="n"/>
      <c r="N2656" s="12">
        <f>IF($A2656="","",IF($G2656="","",IF($M2656="Oui","Litige",IF($J2656&lt;=0,"Payé",IF($I2656&gt;0,"Partiel",IF(Listes!$B$3&gt;$G2656,"En retard","À échoir"))))))</f>
        <v/>
      </c>
      <c r="O2656" s="11">
        <f>IF($A2656="","",IF(OR($G2656="", $J2656&lt;=0),0,MAX(0,Listes!$B$3-$G2656)))</f>
        <v/>
      </c>
      <c r="P2656" s="12">
        <f>IF($A2656="","",IF($J2656&lt;=0,"Payé",IF($M2656="Oui","Litige",IF($O2656=0,"À échoir",IF($O2656&lt;=30,"0-30",IF($O2656&lt;=60,"31-60",IF($O2656&lt;=90,"61-90","90+")))))))</f>
        <v/>
      </c>
    </row>
    <row r="2657">
      <c r="A2657" s="6" t="n"/>
      <c r="B2657" s="6" t="n"/>
      <c r="C2657" s="6" t="n"/>
      <c r="D2657" s="6" t="n"/>
      <c r="E2657" s="6" t="n"/>
      <c r="F2657" s="7" t="n"/>
      <c r="G2657" s="7" t="n"/>
      <c r="H2657" s="8" t="n"/>
      <c r="I2657" s="9">
        <f>IF($A2657="","",SUMIFS(Ventes_Encaissements!$D$6:$D$3005,Ventes_Encaissements!$B$6:$B$3005,$A2657))</f>
        <v/>
      </c>
      <c r="J2657" s="9">
        <f>IF($A2657="","",$H2657-$I2657)</f>
        <v/>
      </c>
      <c r="K2657" s="10">
        <f>IF($A2657="","",IF($I2657=0,"",_xludf.AGGREGATE(14,6,Ventes_Encaissements!$C$6:$C$3005/(Ventes_Encaissements!$B$6:$B$3005=$A2657),1)))</f>
        <v/>
      </c>
      <c r="L2657" s="11">
        <f>IF($A2657="","",COUNTIFS(Ventes_Detail!$B$6:$B$3005,$A2657))</f>
        <v/>
      </c>
      <c r="M2657" s="12" t="n"/>
      <c r="N2657" s="12">
        <f>IF($A2657="","",IF($G2657="","",IF($M2657="Oui","Litige",IF($J2657&lt;=0,"Payé",IF($I2657&gt;0,"Partiel",IF(Listes!$B$3&gt;$G2657,"En retard","À échoir"))))))</f>
        <v/>
      </c>
      <c r="O2657" s="11">
        <f>IF($A2657="","",IF(OR($G2657="", $J2657&lt;=0),0,MAX(0,Listes!$B$3-$G2657)))</f>
        <v/>
      </c>
      <c r="P2657" s="12">
        <f>IF($A2657="","",IF($J2657&lt;=0,"Payé",IF($M2657="Oui","Litige",IF($O2657=0,"À échoir",IF($O2657&lt;=30,"0-30",IF($O2657&lt;=60,"31-60",IF($O2657&lt;=90,"61-90","90+")))))))</f>
        <v/>
      </c>
    </row>
    <row r="2658">
      <c r="A2658" s="6" t="n"/>
      <c r="B2658" s="6" t="n"/>
      <c r="C2658" s="6" t="n"/>
      <c r="D2658" s="6" t="n"/>
      <c r="E2658" s="6" t="n"/>
      <c r="F2658" s="7" t="n"/>
      <c r="G2658" s="7" t="n"/>
      <c r="H2658" s="8" t="n"/>
      <c r="I2658" s="9">
        <f>IF($A2658="","",SUMIFS(Ventes_Encaissements!$D$6:$D$3005,Ventes_Encaissements!$B$6:$B$3005,$A2658))</f>
        <v/>
      </c>
      <c r="J2658" s="9">
        <f>IF($A2658="","",$H2658-$I2658)</f>
        <v/>
      </c>
      <c r="K2658" s="10">
        <f>IF($A2658="","",IF($I2658=0,"",_xludf.AGGREGATE(14,6,Ventes_Encaissements!$C$6:$C$3005/(Ventes_Encaissements!$B$6:$B$3005=$A2658),1)))</f>
        <v/>
      </c>
      <c r="L2658" s="11">
        <f>IF($A2658="","",COUNTIFS(Ventes_Detail!$B$6:$B$3005,$A2658))</f>
        <v/>
      </c>
      <c r="M2658" s="12" t="n"/>
      <c r="N2658" s="12">
        <f>IF($A2658="","",IF($G2658="","",IF($M2658="Oui","Litige",IF($J2658&lt;=0,"Payé",IF($I2658&gt;0,"Partiel",IF(Listes!$B$3&gt;$G2658,"En retard","À échoir"))))))</f>
        <v/>
      </c>
      <c r="O2658" s="11">
        <f>IF($A2658="","",IF(OR($G2658="", $J2658&lt;=0),0,MAX(0,Listes!$B$3-$G2658)))</f>
        <v/>
      </c>
      <c r="P2658" s="12">
        <f>IF($A2658="","",IF($J2658&lt;=0,"Payé",IF($M2658="Oui","Litige",IF($O2658=0,"À échoir",IF($O2658&lt;=30,"0-30",IF($O2658&lt;=60,"31-60",IF($O2658&lt;=90,"61-90","90+")))))))</f>
        <v/>
      </c>
    </row>
    <row r="2659">
      <c r="A2659" s="6" t="n"/>
      <c r="B2659" s="6" t="n"/>
      <c r="C2659" s="6" t="n"/>
      <c r="D2659" s="6" t="n"/>
      <c r="E2659" s="6" t="n"/>
      <c r="F2659" s="7" t="n"/>
      <c r="G2659" s="7" t="n"/>
      <c r="H2659" s="8" t="n"/>
      <c r="I2659" s="9">
        <f>IF($A2659="","",SUMIFS(Ventes_Encaissements!$D$6:$D$3005,Ventes_Encaissements!$B$6:$B$3005,$A2659))</f>
        <v/>
      </c>
      <c r="J2659" s="9">
        <f>IF($A2659="","",$H2659-$I2659)</f>
        <v/>
      </c>
      <c r="K2659" s="10">
        <f>IF($A2659="","",IF($I2659=0,"",_xludf.AGGREGATE(14,6,Ventes_Encaissements!$C$6:$C$3005/(Ventes_Encaissements!$B$6:$B$3005=$A2659),1)))</f>
        <v/>
      </c>
      <c r="L2659" s="11">
        <f>IF($A2659="","",COUNTIFS(Ventes_Detail!$B$6:$B$3005,$A2659))</f>
        <v/>
      </c>
      <c r="M2659" s="12" t="n"/>
      <c r="N2659" s="12">
        <f>IF($A2659="","",IF($G2659="","",IF($M2659="Oui","Litige",IF($J2659&lt;=0,"Payé",IF($I2659&gt;0,"Partiel",IF(Listes!$B$3&gt;$G2659,"En retard","À échoir"))))))</f>
        <v/>
      </c>
      <c r="O2659" s="11">
        <f>IF($A2659="","",IF(OR($G2659="", $J2659&lt;=0),0,MAX(0,Listes!$B$3-$G2659)))</f>
        <v/>
      </c>
      <c r="P2659" s="12">
        <f>IF($A2659="","",IF($J2659&lt;=0,"Payé",IF($M2659="Oui","Litige",IF($O2659=0,"À échoir",IF($O2659&lt;=30,"0-30",IF($O2659&lt;=60,"31-60",IF($O2659&lt;=90,"61-90","90+")))))))</f>
        <v/>
      </c>
    </row>
    <row r="2660">
      <c r="A2660" s="6" t="n"/>
      <c r="B2660" s="6" t="n"/>
      <c r="C2660" s="6" t="n"/>
      <c r="D2660" s="6" t="n"/>
      <c r="E2660" s="6" t="n"/>
      <c r="F2660" s="7" t="n"/>
      <c r="G2660" s="7" t="n"/>
      <c r="H2660" s="8" t="n"/>
      <c r="I2660" s="9">
        <f>IF($A2660="","",SUMIFS(Ventes_Encaissements!$D$6:$D$3005,Ventes_Encaissements!$B$6:$B$3005,$A2660))</f>
        <v/>
      </c>
      <c r="J2660" s="9">
        <f>IF($A2660="","",$H2660-$I2660)</f>
        <v/>
      </c>
      <c r="K2660" s="10">
        <f>IF($A2660="","",IF($I2660=0,"",_xludf.AGGREGATE(14,6,Ventes_Encaissements!$C$6:$C$3005/(Ventes_Encaissements!$B$6:$B$3005=$A2660),1)))</f>
        <v/>
      </c>
      <c r="L2660" s="11">
        <f>IF($A2660="","",COUNTIFS(Ventes_Detail!$B$6:$B$3005,$A2660))</f>
        <v/>
      </c>
      <c r="M2660" s="12" t="n"/>
      <c r="N2660" s="12">
        <f>IF($A2660="","",IF($G2660="","",IF($M2660="Oui","Litige",IF($J2660&lt;=0,"Payé",IF($I2660&gt;0,"Partiel",IF(Listes!$B$3&gt;$G2660,"En retard","À échoir"))))))</f>
        <v/>
      </c>
      <c r="O2660" s="11">
        <f>IF($A2660="","",IF(OR($G2660="", $J2660&lt;=0),0,MAX(0,Listes!$B$3-$G2660)))</f>
        <v/>
      </c>
      <c r="P2660" s="12">
        <f>IF($A2660="","",IF($J2660&lt;=0,"Payé",IF($M2660="Oui","Litige",IF($O2660=0,"À échoir",IF($O2660&lt;=30,"0-30",IF($O2660&lt;=60,"31-60",IF($O2660&lt;=90,"61-90","90+")))))))</f>
        <v/>
      </c>
    </row>
    <row r="2661">
      <c r="A2661" s="6" t="n"/>
      <c r="B2661" s="6" t="n"/>
      <c r="C2661" s="6" t="n"/>
      <c r="D2661" s="6" t="n"/>
      <c r="E2661" s="6" t="n"/>
      <c r="F2661" s="7" t="n"/>
      <c r="G2661" s="7" t="n"/>
      <c r="H2661" s="8" t="n"/>
      <c r="I2661" s="9">
        <f>IF($A2661="","",SUMIFS(Ventes_Encaissements!$D$6:$D$3005,Ventes_Encaissements!$B$6:$B$3005,$A2661))</f>
        <v/>
      </c>
      <c r="J2661" s="9">
        <f>IF($A2661="","",$H2661-$I2661)</f>
        <v/>
      </c>
      <c r="K2661" s="10">
        <f>IF($A2661="","",IF($I2661=0,"",_xludf.AGGREGATE(14,6,Ventes_Encaissements!$C$6:$C$3005/(Ventes_Encaissements!$B$6:$B$3005=$A2661),1)))</f>
        <v/>
      </c>
      <c r="L2661" s="11">
        <f>IF($A2661="","",COUNTIFS(Ventes_Detail!$B$6:$B$3005,$A2661))</f>
        <v/>
      </c>
      <c r="M2661" s="12" t="n"/>
      <c r="N2661" s="12">
        <f>IF($A2661="","",IF($G2661="","",IF($M2661="Oui","Litige",IF($J2661&lt;=0,"Payé",IF($I2661&gt;0,"Partiel",IF(Listes!$B$3&gt;$G2661,"En retard","À échoir"))))))</f>
        <v/>
      </c>
      <c r="O2661" s="11">
        <f>IF($A2661="","",IF(OR($G2661="", $J2661&lt;=0),0,MAX(0,Listes!$B$3-$G2661)))</f>
        <v/>
      </c>
      <c r="P2661" s="12">
        <f>IF($A2661="","",IF($J2661&lt;=0,"Payé",IF($M2661="Oui","Litige",IF($O2661=0,"À échoir",IF($O2661&lt;=30,"0-30",IF($O2661&lt;=60,"31-60",IF($O2661&lt;=90,"61-90","90+")))))))</f>
        <v/>
      </c>
    </row>
    <row r="2662">
      <c r="A2662" s="6" t="n"/>
      <c r="B2662" s="6" t="n"/>
      <c r="C2662" s="6" t="n"/>
      <c r="D2662" s="6" t="n"/>
      <c r="E2662" s="6" t="n"/>
      <c r="F2662" s="7" t="n"/>
      <c r="G2662" s="7" t="n"/>
      <c r="H2662" s="8" t="n"/>
      <c r="I2662" s="9">
        <f>IF($A2662="","",SUMIFS(Ventes_Encaissements!$D$6:$D$3005,Ventes_Encaissements!$B$6:$B$3005,$A2662))</f>
        <v/>
      </c>
      <c r="J2662" s="9">
        <f>IF($A2662="","",$H2662-$I2662)</f>
        <v/>
      </c>
      <c r="K2662" s="10">
        <f>IF($A2662="","",IF($I2662=0,"",_xludf.AGGREGATE(14,6,Ventes_Encaissements!$C$6:$C$3005/(Ventes_Encaissements!$B$6:$B$3005=$A2662),1)))</f>
        <v/>
      </c>
      <c r="L2662" s="11">
        <f>IF($A2662="","",COUNTIFS(Ventes_Detail!$B$6:$B$3005,$A2662))</f>
        <v/>
      </c>
      <c r="M2662" s="12" t="n"/>
      <c r="N2662" s="12">
        <f>IF($A2662="","",IF($G2662="","",IF($M2662="Oui","Litige",IF($J2662&lt;=0,"Payé",IF($I2662&gt;0,"Partiel",IF(Listes!$B$3&gt;$G2662,"En retard","À échoir"))))))</f>
        <v/>
      </c>
      <c r="O2662" s="11">
        <f>IF($A2662="","",IF(OR($G2662="", $J2662&lt;=0),0,MAX(0,Listes!$B$3-$G2662)))</f>
        <v/>
      </c>
      <c r="P2662" s="12">
        <f>IF($A2662="","",IF($J2662&lt;=0,"Payé",IF($M2662="Oui","Litige",IF($O2662=0,"À échoir",IF($O2662&lt;=30,"0-30",IF($O2662&lt;=60,"31-60",IF($O2662&lt;=90,"61-90","90+")))))))</f>
        <v/>
      </c>
    </row>
    <row r="2663">
      <c r="A2663" s="6" t="n"/>
      <c r="B2663" s="6" t="n"/>
      <c r="C2663" s="6" t="n"/>
      <c r="D2663" s="6" t="n"/>
      <c r="E2663" s="6" t="n"/>
      <c r="F2663" s="7" t="n"/>
      <c r="G2663" s="7" t="n"/>
      <c r="H2663" s="8" t="n"/>
      <c r="I2663" s="9">
        <f>IF($A2663="","",SUMIFS(Ventes_Encaissements!$D$6:$D$3005,Ventes_Encaissements!$B$6:$B$3005,$A2663))</f>
        <v/>
      </c>
      <c r="J2663" s="9">
        <f>IF($A2663="","",$H2663-$I2663)</f>
        <v/>
      </c>
      <c r="K2663" s="10">
        <f>IF($A2663="","",IF($I2663=0,"",_xludf.AGGREGATE(14,6,Ventes_Encaissements!$C$6:$C$3005/(Ventes_Encaissements!$B$6:$B$3005=$A2663),1)))</f>
        <v/>
      </c>
      <c r="L2663" s="11">
        <f>IF($A2663="","",COUNTIFS(Ventes_Detail!$B$6:$B$3005,$A2663))</f>
        <v/>
      </c>
      <c r="M2663" s="12" t="n"/>
      <c r="N2663" s="12">
        <f>IF($A2663="","",IF($G2663="","",IF($M2663="Oui","Litige",IF($J2663&lt;=0,"Payé",IF($I2663&gt;0,"Partiel",IF(Listes!$B$3&gt;$G2663,"En retard","À échoir"))))))</f>
        <v/>
      </c>
      <c r="O2663" s="11">
        <f>IF($A2663="","",IF(OR($G2663="", $J2663&lt;=0),0,MAX(0,Listes!$B$3-$G2663)))</f>
        <v/>
      </c>
      <c r="P2663" s="12">
        <f>IF($A2663="","",IF($J2663&lt;=0,"Payé",IF($M2663="Oui","Litige",IF($O2663=0,"À échoir",IF($O2663&lt;=30,"0-30",IF($O2663&lt;=60,"31-60",IF($O2663&lt;=90,"61-90","90+")))))))</f>
        <v/>
      </c>
    </row>
    <row r="2664">
      <c r="A2664" s="6" t="n"/>
      <c r="B2664" s="6" t="n"/>
      <c r="C2664" s="6" t="n"/>
      <c r="D2664" s="6" t="n"/>
      <c r="E2664" s="6" t="n"/>
      <c r="F2664" s="7" t="n"/>
      <c r="G2664" s="7" t="n"/>
      <c r="H2664" s="8" t="n"/>
      <c r="I2664" s="9">
        <f>IF($A2664="","",SUMIFS(Ventes_Encaissements!$D$6:$D$3005,Ventes_Encaissements!$B$6:$B$3005,$A2664))</f>
        <v/>
      </c>
      <c r="J2664" s="9">
        <f>IF($A2664="","",$H2664-$I2664)</f>
        <v/>
      </c>
      <c r="K2664" s="10">
        <f>IF($A2664="","",IF($I2664=0,"",_xludf.AGGREGATE(14,6,Ventes_Encaissements!$C$6:$C$3005/(Ventes_Encaissements!$B$6:$B$3005=$A2664),1)))</f>
        <v/>
      </c>
      <c r="L2664" s="11">
        <f>IF($A2664="","",COUNTIFS(Ventes_Detail!$B$6:$B$3005,$A2664))</f>
        <v/>
      </c>
      <c r="M2664" s="12" t="n"/>
      <c r="N2664" s="12">
        <f>IF($A2664="","",IF($G2664="","",IF($M2664="Oui","Litige",IF($J2664&lt;=0,"Payé",IF($I2664&gt;0,"Partiel",IF(Listes!$B$3&gt;$G2664,"En retard","À échoir"))))))</f>
        <v/>
      </c>
      <c r="O2664" s="11">
        <f>IF($A2664="","",IF(OR($G2664="", $J2664&lt;=0),0,MAX(0,Listes!$B$3-$G2664)))</f>
        <v/>
      </c>
      <c r="P2664" s="12">
        <f>IF($A2664="","",IF($J2664&lt;=0,"Payé",IF($M2664="Oui","Litige",IF($O2664=0,"À échoir",IF($O2664&lt;=30,"0-30",IF($O2664&lt;=60,"31-60",IF($O2664&lt;=90,"61-90","90+")))))))</f>
        <v/>
      </c>
    </row>
    <row r="2665">
      <c r="A2665" s="6" t="n"/>
      <c r="B2665" s="6" t="n"/>
      <c r="C2665" s="6" t="n"/>
      <c r="D2665" s="6" t="n"/>
      <c r="E2665" s="6" t="n"/>
      <c r="F2665" s="7" t="n"/>
      <c r="G2665" s="7" t="n"/>
      <c r="H2665" s="8" t="n"/>
      <c r="I2665" s="9">
        <f>IF($A2665="","",SUMIFS(Ventes_Encaissements!$D$6:$D$3005,Ventes_Encaissements!$B$6:$B$3005,$A2665))</f>
        <v/>
      </c>
      <c r="J2665" s="9">
        <f>IF($A2665="","",$H2665-$I2665)</f>
        <v/>
      </c>
      <c r="K2665" s="10">
        <f>IF($A2665="","",IF($I2665=0,"",_xludf.AGGREGATE(14,6,Ventes_Encaissements!$C$6:$C$3005/(Ventes_Encaissements!$B$6:$B$3005=$A2665),1)))</f>
        <v/>
      </c>
      <c r="L2665" s="11">
        <f>IF($A2665="","",COUNTIFS(Ventes_Detail!$B$6:$B$3005,$A2665))</f>
        <v/>
      </c>
      <c r="M2665" s="12" t="n"/>
      <c r="N2665" s="12">
        <f>IF($A2665="","",IF($G2665="","",IF($M2665="Oui","Litige",IF($J2665&lt;=0,"Payé",IF($I2665&gt;0,"Partiel",IF(Listes!$B$3&gt;$G2665,"En retard","À échoir"))))))</f>
        <v/>
      </c>
      <c r="O2665" s="11">
        <f>IF($A2665="","",IF(OR($G2665="", $J2665&lt;=0),0,MAX(0,Listes!$B$3-$G2665)))</f>
        <v/>
      </c>
      <c r="P2665" s="12">
        <f>IF($A2665="","",IF($J2665&lt;=0,"Payé",IF($M2665="Oui","Litige",IF($O2665=0,"À échoir",IF($O2665&lt;=30,"0-30",IF($O2665&lt;=60,"31-60",IF($O2665&lt;=90,"61-90","90+")))))))</f>
        <v/>
      </c>
    </row>
    <row r="2666">
      <c r="A2666" s="6" t="n"/>
      <c r="B2666" s="6" t="n"/>
      <c r="C2666" s="6" t="n"/>
      <c r="D2666" s="6" t="n"/>
      <c r="E2666" s="6" t="n"/>
      <c r="F2666" s="7" t="n"/>
      <c r="G2666" s="7" t="n"/>
      <c r="H2666" s="8" t="n"/>
      <c r="I2666" s="9">
        <f>IF($A2666="","",SUMIFS(Ventes_Encaissements!$D$6:$D$3005,Ventes_Encaissements!$B$6:$B$3005,$A2666))</f>
        <v/>
      </c>
      <c r="J2666" s="9">
        <f>IF($A2666="","",$H2666-$I2666)</f>
        <v/>
      </c>
      <c r="K2666" s="10">
        <f>IF($A2666="","",IF($I2666=0,"",_xludf.AGGREGATE(14,6,Ventes_Encaissements!$C$6:$C$3005/(Ventes_Encaissements!$B$6:$B$3005=$A2666),1)))</f>
        <v/>
      </c>
      <c r="L2666" s="11">
        <f>IF($A2666="","",COUNTIFS(Ventes_Detail!$B$6:$B$3005,$A2666))</f>
        <v/>
      </c>
      <c r="M2666" s="12" t="n"/>
      <c r="N2666" s="12">
        <f>IF($A2666="","",IF($G2666="","",IF($M2666="Oui","Litige",IF($J2666&lt;=0,"Payé",IF($I2666&gt;0,"Partiel",IF(Listes!$B$3&gt;$G2666,"En retard","À échoir"))))))</f>
        <v/>
      </c>
      <c r="O2666" s="11">
        <f>IF($A2666="","",IF(OR($G2666="", $J2666&lt;=0),0,MAX(0,Listes!$B$3-$G2666)))</f>
        <v/>
      </c>
      <c r="P2666" s="12">
        <f>IF($A2666="","",IF($J2666&lt;=0,"Payé",IF($M2666="Oui","Litige",IF($O2666=0,"À échoir",IF($O2666&lt;=30,"0-30",IF($O2666&lt;=60,"31-60",IF($O2666&lt;=90,"61-90","90+")))))))</f>
        <v/>
      </c>
    </row>
    <row r="2667">
      <c r="A2667" s="6" t="n"/>
      <c r="B2667" s="6" t="n"/>
      <c r="C2667" s="6" t="n"/>
      <c r="D2667" s="6" t="n"/>
      <c r="E2667" s="6" t="n"/>
      <c r="F2667" s="7" t="n"/>
      <c r="G2667" s="7" t="n"/>
      <c r="H2667" s="8" t="n"/>
      <c r="I2667" s="9">
        <f>IF($A2667="","",SUMIFS(Ventes_Encaissements!$D$6:$D$3005,Ventes_Encaissements!$B$6:$B$3005,$A2667))</f>
        <v/>
      </c>
      <c r="J2667" s="9">
        <f>IF($A2667="","",$H2667-$I2667)</f>
        <v/>
      </c>
      <c r="K2667" s="10">
        <f>IF($A2667="","",IF($I2667=0,"",_xludf.AGGREGATE(14,6,Ventes_Encaissements!$C$6:$C$3005/(Ventes_Encaissements!$B$6:$B$3005=$A2667),1)))</f>
        <v/>
      </c>
      <c r="L2667" s="11">
        <f>IF($A2667="","",COUNTIFS(Ventes_Detail!$B$6:$B$3005,$A2667))</f>
        <v/>
      </c>
      <c r="M2667" s="12" t="n"/>
      <c r="N2667" s="12">
        <f>IF($A2667="","",IF($G2667="","",IF($M2667="Oui","Litige",IF($J2667&lt;=0,"Payé",IF($I2667&gt;0,"Partiel",IF(Listes!$B$3&gt;$G2667,"En retard","À échoir"))))))</f>
        <v/>
      </c>
      <c r="O2667" s="11">
        <f>IF($A2667="","",IF(OR($G2667="", $J2667&lt;=0),0,MAX(0,Listes!$B$3-$G2667)))</f>
        <v/>
      </c>
      <c r="P2667" s="12">
        <f>IF($A2667="","",IF($J2667&lt;=0,"Payé",IF($M2667="Oui","Litige",IF($O2667=0,"À échoir",IF($O2667&lt;=30,"0-30",IF($O2667&lt;=60,"31-60",IF($O2667&lt;=90,"61-90","90+")))))))</f>
        <v/>
      </c>
    </row>
    <row r="2668">
      <c r="A2668" s="6" t="n"/>
      <c r="B2668" s="6" t="n"/>
      <c r="C2668" s="6" t="n"/>
      <c r="D2668" s="6" t="n"/>
      <c r="E2668" s="6" t="n"/>
      <c r="F2668" s="7" t="n"/>
      <c r="G2668" s="7" t="n"/>
      <c r="H2668" s="8" t="n"/>
      <c r="I2668" s="9">
        <f>IF($A2668="","",SUMIFS(Ventes_Encaissements!$D$6:$D$3005,Ventes_Encaissements!$B$6:$B$3005,$A2668))</f>
        <v/>
      </c>
      <c r="J2668" s="9">
        <f>IF($A2668="","",$H2668-$I2668)</f>
        <v/>
      </c>
      <c r="K2668" s="10">
        <f>IF($A2668="","",IF($I2668=0,"",_xludf.AGGREGATE(14,6,Ventes_Encaissements!$C$6:$C$3005/(Ventes_Encaissements!$B$6:$B$3005=$A2668),1)))</f>
        <v/>
      </c>
      <c r="L2668" s="11">
        <f>IF($A2668="","",COUNTIFS(Ventes_Detail!$B$6:$B$3005,$A2668))</f>
        <v/>
      </c>
      <c r="M2668" s="12" t="n"/>
      <c r="N2668" s="12">
        <f>IF($A2668="","",IF($G2668="","",IF($M2668="Oui","Litige",IF($J2668&lt;=0,"Payé",IF($I2668&gt;0,"Partiel",IF(Listes!$B$3&gt;$G2668,"En retard","À échoir"))))))</f>
        <v/>
      </c>
      <c r="O2668" s="11">
        <f>IF($A2668="","",IF(OR($G2668="", $J2668&lt;=0),0,MAX(0,Listes!$B$3-$G2668)))</f>
        <v/>
      </c>
      <c r="P2668" s="12">
        <f>IF($A2668="","",IF($J2668&lt;=0,"Payé",IF($M2668="Oui","Litige",IF($O2668=0,"À échoir",IF($O2668&lt;=30,"0-30",IF($O2668&lt;=60,"31-60",IF($O2668&lt;=90,"61-90","90+")))))))</f>
        <v/>
      </c>
    </row>
    <row r="2669">
      <c r="A2669" s="6" t="n"/>
      <c r="B2669" s="6" t="n"/>
      <c r="C2669" s="6" t="n"/>
      <c r="D2669" s="6" t="n"/>
      <c r="E2669" s="6" t="n"/>
      <c r="F2669" s="7" t="n"/>
      <c r="G2669" s="7" t="n"/>
      <c r="H2669" s="8" t="n"/>
      <c r="I2669" s="9">
        <f>IF($A2669="","",SUMIFS(Ventes_Encaissements!$D$6:$D$3005,Ventes_Encaissements!$B$6:$B$3005,$A2669))</f>
        <v/>
      </c>
      <c r="J2669" s="9">
        <f>IF($A2669="","",$H2669-$I2669)</f>
        <v/>
      </c>
      <c r="K2669" s="10">
        <f>IF($A2669="","",IF($I2669=0,"",_xludf.AGGREGATE(14,6,Ventes_Encaissements!$C$6:$C$3005/(Ventes_Encaissements!$B$6:$B$3005=$A2669),1)))</f>
        <v/>
      </c>
      <c r="L2669" s="11">
        <f>IF($A2669="","",COUNTIFS(Ventes_Detail!$B$6:$B$3005,$A2669))</f>
        <v/>
      </c>
      <c r="M2669" s="12" t="n"/>
      <c r="N2669" s="12">
        <f>IF($A2669="","",IF($G2669="","",IF($M2669="Oui","Litige",IF($J2669&lt;=0,"Payé",IF($I2669&gt;0,"Partiel",IF(Listes!$B$3&gt;$G2669,"En retard","À échoir"))))))</f>
        <v/>
      </c>
      <c r="O2669" s="11">
        <f>IF($A2669="","",IF(OR($G2669="", $J2669&lt;=0),0,MAX(0,Listes!$B$3-$G2669)))</f>
        <v/>
      </c>
      <c r="P2669" s="12">
        <f>IF($A2669="","",IF($J2669&lt;=0,"Payé",IF($M2669="Oui","Litige",IF($O2669=0,"À échoir",IF($O2669&lt;=30,"0-30",IF($O2669&lt;=60,"31-60",IF($O2669&lt;=90,"61-90","90+")))))))</f>
        <v/>
      </c>
    </row>
    <row r="2670">
      <c r="A2670" s="6" t="n"/>
      <c r="B2670" s="6" t="n"/>
      <c r="C2670" s="6" t="n"/>
      <c r="D2670" s="6" t="n"/>
      <c r="E2670" s="6" t="n"/>
      <c r="F2670" s="7" t="n"/>
      <c r="G2670" s="7" t="n"/>
      <c r="H2670" s="8" t="n"/>
      <c r="I2670" s="9">
        <f>IF($A2670="","",SUMIFS(Ventes_Encaissements!$D$6:$D$3005,Ventes_Encaissements!$B$6:$B$3005,$A2670))</f>
        <v/>
      </c>
      <c r="J2670" s="9">
        <f>IF($A2670="","",$H2670-$I2670)</f>
        <v/>
      </c>
      <c r="K2670" s="10">
        <f>IF($A2670="","",IF($I2670=0,"",_xludf.AGGREGATE(14,6,Ventes_Encaissements!$C$6:$C$3005/(Ventes_Encaissements!$B$6:$B$3005=$A2670),1)))</f>
        <v/>
      </c>
      <c r="L2670" s="11">
        <f>IF($A2670="","",COUNTIFS(Ventes_Detail!$B$6:$B$3005,$A2670))</f>
        <v/>
      </c>
      <c r="M2670" s="12" t="n"/>
      <c r="N2670" s="12">
        <f>IF($A2670="","",IF($G2670="","",IF($M2670="Oui","Litige",IF($J2670&lt;=0,"Payé",IF($I2670&gt;0,"Partiel",IF(Listes!$B$3&gt;$G2670,"En retard","À échoir"))))))</f>
        <v/>
      </c>
      <c r="O2670" s="11">
        <f>IF($A2670="","",IF(OR($G2670="", $J2670&lt;=0),0,MAX(0,Listes!$B$3-$G2670)))</f>
        <v/>
      </c>
      <c r="P2670" s="12">
        <f>IF($A2670="","",IF($J2670&lt;=0,"Payé",IF($M2670="Oui","Litige",IF($O2670=0,"À échoir",IF($O2670&lt;=30,"0-30",IF($O2670&lt;=60,"31-60",IF($O2670&lt;=90,"61-90","90+")))))))</f>
        <v/>
      </c>
    </row>
    <row r="2671">
      <c r="A2671" s="6" t="n"/>
      <c r="B2671" s="6" t="n"/>
      <c r="C2671" s="6" t="n"/>
      <c r="D2671" s="6" t="n"/>
      <c r="E2671" s="6" t="n"/>
      <c r="F2671" s="7" t="n"/>
      <c r="G2671" s="7" t="n"/>
      <c r="H2671" s="8" t="n"/>
      <c r="I2671" s="9">
        <f>IF($A2671="","",SUMIFS(Ventes_Encaissements!$D$6:$D$3005,Ventes_Encaissements!$B$6:$B$3005,$A2671))</f>
        <v/>
      </c>
      <c r="J2671" s="9">
        <f>IF($A2671="","",$H2671-$I2671)</f>
        <v/>
      </c>
      <c r="K2671" s="10">
        <f>IF($A2671="","",IF($I2671=0,"",_xludf.AGGREGATE(14,6,Ventes_Encaissements!$C$6:$C$3005/(Ventes_Encaissements!$B$6:$B$3005=$A2671),1)))</f>
        <v/>
      </c>
      <c r="L2671" s="11">
        <f>IF($A2671="","",COUNTIFS(Ventes_Detail!$B$6:$B$3005,$A2671))</f>
        <v/>
      </c>
      <c r="M2671" s="12" t="n"/>
      <c r="N2671" s="12">
        <f>IF($A2671="","",IF($G2671="","",IF($M2671="Oui","Litige",IF($J2671&lt;=0,"Payé",IF($I2671&gt;0,"Partiel",IF(Listes!$B$3&gt;$G2671,"En retard","À échoir"))))))</f>
        <v/>
      </c>
      <c r="O2671" s="11">
        <f>IF($A2671="","",IF(OR($G2671="", $J2671&lt;=0),0,MAX(0,Listes!$B$3-$G2671)))</f>
        <v/>
      </c>
      <c r="P2671" s="12">
        <f>IF($A2671="","",IF($J2671&lt;=0,"Payé",IF($M2671="Oui","Litige",IF($O2671=0,"À échoir",IF($O2671&lt;=30,"0-30",IF($O2671&lt;=60,"31-60",IF($O2671&lt;=90,"61-90","90+")))))))</f>
        <v/>
      </c>
    </row>
    <row r="2672">
      <c r="A2672" s="6" t="n"/>
      <c r="B2672" s="6" t="n"/>
      <c r="C2672" s="6" t="n"/>
      <c r="D2672" s="6" t="n"/>
      <c r="E2672" s="6" t="n"/>
      <c r="F2672" s="7" t="n"/>
      <c r="G2672" s="7" t="n"/>
      <c r="H2672" s="8" t="n"/>
      <c r="I2672" s="9">
        <f>IF($A2672="","",SUMIFS(Ventes_Encaissements!$D$6:$D$3005,Ventes_Encaissements!$B$6:$B$3005,$A2672))</f>
        <v/>
      </c>
      <c r="J2672" s="9">
        <f>IF($A2672="","",$H2672-$I2672)</f>
        <v/>
      </c>
      <c r="K2672" s="10">
        <f>IF($A2672="","",IF($I2672=0,"",_xludf.AGGREGATE(14,6,Ventes_Encaissements!$C$6:$C$3005/(Ventes_Encaissements!$B$6:$B$3005=$A2672),1)))</f>
        <v/>
      </c>
      <c r="L2672" s="11">
        <f>IF($A2672="","",COUNTIFS(Ventes_Detail!$B$6:$B$3005,$A2672))</f>
        <v/>
      </c>
      <c r="M2672" s="12" t="n"/>
      <c r="N2672" s="12">
        <f>IF($A2672="","",IF($G2672="","",IF($M2672="Oui","Litige",IF($J2672&lt;=0,"Payé",IF($I2672&gt;0,"Partiel",IF(Listes!$B$3&gt;$G2672,"En retard","À échoir"))))))</f>
        <v/>
      </c>
      <c r="O2672" s="11">
        <f>IF($A2672="","",IF(OR($G2672="", $J2672&lt;=0),0,MAX(0,Listes!$B$3-$G2672)))</f>
        <v/>
      </c>
      <c r="P2672" s="12">
        <f>IF($A2672="","",IF($J2672&lt;=0,"Payé",IF($M2672="Oui","Litige",IF($O2672=0,"À échoir",IF($O2672&lt;=30,"0-30",IF($O2672&lt;=60,"31-60",IF($O2672&lt;=90,"61-90","90+")))))))</f>
        <v/>
      </c>
    </row>
    <row r="2673">
      <c r="A2673" s="6" t="n"/>
      <c r="B2673" s="6" t="n"/>
      <c r="C2673" s="6" t="n"/>
      <c r="D2673" s="6" t="n"/>
      <c r="E2673" s="6" t="n"/>
      <c r="F2673" s="7" t="n"/>
      <c r="G2673" s="7" t="n"/>
      <c r="H2673" s="8" t="n"/>
      <c r="I2673" s="9">
        <f>IF($A2673="","",SUMIFS(Ventes_Encaissements!$D$6:$D$3005,Ventes_Encaissements!$B$6:$B$3005,$A2673))</f>
        <v/>
      </c>
      <c r="J2673" s="9">
        <f>IF($A2673="","",$H2673-$I2673)</f>
        <v/>
      </c>
      <c r="K2673" s="10">
        <f>IF($A2673="","",IF($I2673=0,"",_xludf.AGGREGATE(14,6,Ventes_Encaissements!$C$6:$C$3005/(Ventes_Encaissements!$B$6:$B$3005=$A2673),1)))</f>
        <v/>
      </c>
      <c r="L2673" s="11">
        <f>IF($A2673="","",COUNTIFS(Ventes_Detail!$B$6:$B$3005,$A2673))</f>
        <v/>
      </c>
      <c r="M2673" s="12" t="n"/>
      <c r="N2673" s="12">
        <f>IF($A2673="","",IF($G2673="","",IF($M2673="Oui","Litige",IF($J2673&lt;=0,"Payé",IF($I2673&gt;0,"Partiel",IF(Listes!$B$3&gt;$G2673,"En retard","À échoir"))))))</f>
        <v/>
      </c>
      <c r="O2673" s="11">
        <f>IF($A2673="","",IF(OR($G2673="", $J2673&lt;=0),0,MAX(0,Listes!$B$3-$G2673)))</f>
        <v/>
      </c>
      <c r="P2673" s="12">
        <f>IF($A2673="","",IF($J2673&lt;=0,"Payé",IF($M2673="Oui","Litige",IF($O2673=0,"À échoir",IF($O2673&lt;=30,"0-30",IF($O2673&lt;=60,"31-60",IF($O2673&lt;=90,"61-90","90+")))))))</f>
        <v/>
      </c>
    </row>
    <row r="2674">
      <c r="A2674" s="6" t="n"/>
      <c r="B2674" s="6" t="n"/>
      <c r="C2674" s="6" t="n"/>
      <c r="D2674" s="6" t="n"/>
      <c r="E2674" s="6" t="n"/>
      <c r="F2674" s="7" t="n"/>
      <c r="G2674" s="7" t="n"/>
      <c r="H2674" s="8" t="n"/>
      <c r="I2674" s="9">
        <f>IF($A2674="","",SUMIFS(Ventes_Encaissements!$D$6:$D$3005,Ventes_Encaissements!$B$6:$B$3005,$A2674))</f>
        <v/>
      </c>
      <c r="J2674" s="9">
        <f>IF($A2674="","",$H2674-$I2674)</f>
        <v/>
      </c>
      <c r="K2674" s="10">
        <f>IF($A2674="","",IF($I2674=0,"",_xludf.AGGREGATE(14,6,Ventes_Encaissements!$C$6:$C$3005/(Ventes_Encaissements!$B$6:$B$3005=$A2674),1)))</f>
        <v/>
      </c>
      <c r="L2674" s="11">
        <f>IF($A2674="","",COUNTIFS(Ventes_Detail!$B$6:$B$3005,$A2674))</f>
        <v/>
      </c>
      <c r="M2674" s="12" t="n"/>
      <c r="N2674" s="12">
        <f>IF($A2674="","",IF($G2674="","",IF($M2674="Oui","Litige",IF($J2674&lt;=0,"Payé",IF($I2674&gt;0,"Partiel",IF(Listes!$B$3&gt;$G2674,"En retard","À échoir"))))))</f>
        <v/>
      </c>
      <c r="O2674" s="11">
        <f>IF($A2674="","",IF(OR($G2674="", $J2674&lt;=0),0,MAX(0,Listes!$B$3-$G2674)))</f>
        <v/>
      </c>
      <c r="P2674" s="12">
        <f>IF($A2674="","",IF($J2674&lt;=0,"Payé",IF($M2674="Oui","Litige",IF($O2674=0,"À échoir",IF($O2674&lt;=30,"0-30",IF($O2674&lt;=60,"31-60",IF($O2674&lt;=90,"61-90","90+")))))))</f>
        <v/>
      </c>
    </row>
    <row r="2675">
      <c r="A2675" s="6" t="n"/>
      <c r="B2675" s="6" t="n"/>
      <c r="C2675" s="6" t="n"/>
      <c r="D2675" s="6" t="n"/>
      <c r="E2675" s="6" t="n"/>
      <c r="F2675" s="7" t="n"/>
      <c r="G2675" s="7" t="n"/>
      <c r="H2675" s="8" t="n"/>
      <c r="I2675" s="9">
        <f>IF($A2675="","",SUMIFS(Ventes_Encaissements!$D$6:$D$3005,Ventes_Encaissements!$B$6:$B$3005,$A2675))</f>
        <v/>
      </c>
      <c r="J2675" s="9">
        <f>IF($A2675="","",$H2675-$I2675)</f>
        <v/>
      </c>
      <c r="K2675" s="10">
        <f>IF($A2675="","",IF($I2675=0,"",_xludf.AGGREGATE(14,6,Ventes_Encaissements!$C$6:$C$3005/(Ventes_Encaissements!$B$6:$B$3005=$A2675),1)))</f>
        <v/>
      </c>
      <c r="L2675" s="11">
        <f>IF($A2675="","",COUNTIFS(Ventes_Detail!$B$6:$B$3005,$A2675))</f>
        <v/>
      </c>
      <c r="M2675" s="12" t="n"/>
      <c r="N2675" s="12">
        <f>IF($A2675="","",IF($G2675="","",IF($M2675="Oui","Litige",IF($J2675&lt;=0,"Payé",IF($I2675&gt;0,"Partiel",IF(Listes!$B$3&gt;$G2675,"En retard","À échoir"))))))</f>
        <v/>
      </c>
      <c r="O2675" s="11">
        <f>IF($A2675="","",IF(OR($G2675="", $J2675&lt;=0),0,MAX(0,Listes!$B$3-$G2675)))</f>
        <v/>
      </c>
      <c r="P2675" s="12">
        <f>IF($A2675="","",IF($J2675&lt;=0,"Payé",IF($M2675="Oui","Litige",IF($O2675=0,"À échoir",IF($O2675&lt;=30,"0-30",IF($O2675&lt;=60,"31-60",IF($O2675&lt;=90,"61-90","90+")))))))</f>
        <v/>
      </c>
    </row>
    <row r="2676">
      <c r="A2676" s="6" t="n"/>
      <c r="B2676" s="6" t="n"/>
      <c r="C2676" s="6" t="n"/>
      <c r="D2676" s="6" t="n"/>
      <c r="E2676" s="6" t="n"/>
      <c r="F2676" s="7" t="n"/>
      <c r="G2676" s="7" t="n"/>
      <c r="H2676" s="8" t="n"/>
      <c r="I2676" s="9">
        <f>IF($A2676="","",SUMIFS(Ventes_Encaissements!$D$6:$D$3005,Ventes_Encaissements!$B$6:$B$3005,$A2676))</f>
        <v/>
      </c>
      <c r="J2676" s="9">
        <f>IF($A2676="","",$H2676-$I2676)</f>
        <v/>
      </c>
      <c r="K2676" s="10">
        <f>IF($A2676="","",IF($I2676=0,"",_xludf.AGGREGATE(14,6,Ventes_Encaissements!$C$6:$C$3005/(Ventes_Encaissements!$B$6:$B$3005=$A2676),1)))</f>
        <v/>
      </c>
      <c r="L2676" s="11">
        <f>IF($A2676="","",COUNTIFS(Ventes_Detail!$B$6:$B$3005,$A2676))</f>
        <v/>
      </c>
      <c r="M2676" s="12" t="n"/>
      <c r="N2676" s="12">
        <f>IF($A2676="","",IF($G2676="","",IF($M2676="Oui","Litige",IF($J2676&lt;=0,"Payé",IF($I2676&gt;0,"Partiel",IF(Listes!$B$3&gt;$G2676,"En retard","À échoir"))))))</f>
        <v/>
      </c>
      <c r="O2676" s="11">
        <f>IF($A2676="","",IF(OR($G2676="", $J2676&lt;=0),0,MAX(0,Listes!$B$3-$G2676)))</f>
        <v/>
      </c>
      <c r="P2676" s="12">
        <f>IF($A2676="","",IF($J2676&lt;=0,"Payé",IF($M2676="Oui","Litige",IF($O2676=0,"À échoir",IF($O2676&lt;=30,"0-30",IF($O2676&lt;=60,"31-60",IF($O2676&lt;=90,"61-90","90+")))))))</f>
        <v/>
      </c>
    </row>
    <row r="2677">
      <c r="A2677" s="6" t="n"/>
      <c r="B2677" s="6" t="n"/>
      <c r="C2677" s="6" t="n"/>
      <c r="D2677" s="6" t="n"/>
      <c r="E2677" s="6" t="n"/>
      <c r="F2677" s="7" t="n"/>
      <c r="G2677" s="7" t="n"/>
      <c r="H2677" s="8" t="n"/>
      <c r="I2677" s="9">
        <f>IF($A2677="","",SUMIFS(Ventes_Encaissements!$D$6:$D$3005,Ventes_Encaissements!$B$6:$B$3005,$A2677))</f>
        <v/>
      </c>
      <c r="J2677" s="9">
        <f>IF($A2677="","",$H2677-$I2677)</f>
        <v/>
      </c>
      <c r="K2677" s="10">
        <f>IF($A2677="","",IF($I2677=0,"",_xludf.AGGREGATE(14,6,Ventes_Encaissements!$C$6:$C$3005/(Ventes_Encaissements!$B$6:$B$3005=$A2677),1)))</f>
        <v/>
      </c>
      <c r="L2677" s="11">
        <f>IF($A2677="","",COUNTIFS(Ventes_Detail!$B$6:$B$3005,$A2677))</f>
        <v/>
      </c>
      <c r="M2677" s="12" t="n"/>
      <c r="N2677" s="12">
        <f>IF($A2677="","",IF($G2677="","",IF($M2677="Oui","Litige",IF($J2677&lt;=0,"Payé",IF($I2677&gt;0,"Partiel",IF(Listes!$B$3&gt;$G2677,"En retard","À échoir"))))))</f>
        <v/>
      </c>
      <c r="O2677" s="11">
        <f>IF($A2677="","",IF(OR($G2677="", $J2677&lt;=0),0,MAX(0,Listes!$B$3-$G2677)))</f>
        <v/>
      </c>
      <c r="P2677" s="12">
        <f>IF($A2677="","",IF($J2677&lt;=0,"Payé",IF($M2677="Oui","Litige",IF($O2677=0,"À échoir",IF($O2677&lt;=30,"0-30",IF($O2677&lt;=60,"31-60",IF($O2677&lt;=90,"61-90","90+")))))))</f>
        <v/>
      </c>
    </row>
    <row r="2678">
      <c r="A2678" s="6" t="n"/>
      <c r="B2678" s="6" t="n"/>
      <c r="C2678" s="6" t="n"/>
      <c r="D2678" s="6" t="n"/>
      <c r="E2678" s="6" t="n"/>
      <c r="F2678" s="7" t="n"/>
      <c r="G2678" s="7" t="n"/>
      <c r="H2678" s="8" t="n"/>
      <c r="I2678" s="9">
        <f>IF($A2678="","",SUMIFS(Ventes_Encaissements!$D$6:$D$3005,Ventes_Encaissements!$B$6:$B$3005,$A2678))</f>
        <v/>
      </c>
      <c r="J2678" s="9">
        <f>IF($A2678="","",$H2678-$I2678)</f>
        <v/>
      </c>
      <c r="K2678" s="10">
        <f>IF($A2678="","",IF($I2678=0,"",_xludf.AGGREGATE(14,6,Ventes_Encaissements!$C$6:$C$3005/(Ventes_Encaissements!$B$6:$B$3005=$A2678),1)))</f>
        <v/>
      </c>
      <c r="L2678" s="11">
        <f>IF($A2678="","",COUNTIFS(Ventes_Detail!$B$6:$B$3005,$A2678))</f>
        <v/>
      </c>
      <c r="M2678" s="12" t="n"/>
      <c r="N2678" s="12">
        <f>IF($A2678="","",IF($G2678="","",IF($M2678="Oui","Litige",IF($J2678&lt;=0,"Payé",IF($I2678&gt;0,"Partiel",IF(Listes!$B$3&gt;$G2678,"En retard","À échoir"))))))</f>
        <v/>
      </c>
      <c r="O2678" s="11">
        <f>IF($A2678="","",IF(OR($G2678="", $J2678&lt;=0),0,MAX(0,Listes!$B$3-$G2678)))</f>
        <v/>
      </c>
      <c r="P2678" s="12">
        <f>IF($A2678="","",IF($J2678&lt;=0,"Payé",IF($M2678="Oui","Litige",IF($O2678=0,"À échoir",IF($O2678&lt;=30,"0-30",IF($O2678&lt;=60,"31-60",IF($O2678&lt;=90,"61-90","90+")))))))</f>
        <v/>
      </c>
    </row>
    <row r="2679">
      <c r="A2679" s="6" t="n"/>
      <c r="B2679" s="6" t="n"/>
      <c r="C2679" s="6" t="n"/>
      <c r="D2679" s="6" t="n"/>
      <c r="E2679" s="6" t="n"/>
      <c r="F2679" s="7" t="n"/>
      <c r="G2679" s="7" t="n"/>
      <c r="H2679" s="8" t="n"/>
      <c r="I2679" s="9">
        <f>IF($A2679="","",SUMIFS(Ventes_Encaissements!$D$6:$D$3005,Ventes_Encaissements!$B$6:$B$3005,$A2679))</f>
        <v/>
      </c>
      <c r="J2679" s="9">
        <f>IF($A2679="","",$H2679-$I2679)</f>
        <v/>
      </c>
      <c r="K2679" s="10">
        <f>IF($A2679="","",IF($I2679=0,"",_xludf.AGGREGATE(14,6,Ventes_Encaissements!$C$6:$C$3005/(Ventes_Encaissements!$B$6:$B$3005=$A2679),1)))</f>
        <v/>
      </c>
      <c r="L2679" s="11">
        <f>IF($A2679="","",COUNTIFS(Ventes_Detail!$B$6:$B$3005,$A2679))</f>
        <v/>
      </c>
      <c r="M2679" s="12" t="n"/>
      <c r="N2679" s="12">
        <f>IF($A2679="","",IF($G2679="","",IF($M2679="Oui","Litige",IF($J2679&lt;=0,"Payé",IF($I2679&gt;0,"Partiel",IF(Listes!$B$3&gt;$G2679,"En retard","À échoir"))))))</f>
        <v/>
      </c>
      <c r="O2679" s="11">
        <f>IF($A2679="","",IF(OR($G2679="", $J2679&lt;=0),0,MAX(0,Listes!$B$3-$G2679)))</f>
        <v/>
      </c>
      <c r="P2679" s="12">
        <f>IF($A2679="","",IF($J2679&lt;=0,"Payé",IF($M2679="Oui","Litige",IF($O2679=0,"À échoir",IF($O2679&lt;=30,"0-30",IF($O2679&lt;=60,"31-60",IF($O2679&lt;=90,"61-90","90+")))))))</f>
        <v/>
      </c>
    </row>
    <row r="2680">
      <c r="A2680" s="6" t="n"/>
      <c r="B2680" s="6" t="n"/>
      <c r="C2680" s="6" t="n"/>
      <c r="D2680" s="6" t="n"/>
      <c r="E2680" s="6" t="n"/>
      <c r="F2680" s="7" t="n"/>
      <c r="G2680" s="7" t="n"/>
      <c r="H2680" s="8" t="n"/>
      <c r="I2680" s="9">
        <f>IF($A2680="","",SUMIFS(Ventes_Encaissements!$D$6:$D$3005,Ventes_Encaissements!$B$6:$B$3005,$A2680))</f>
        <v/>
      </c>
      <c r="J2680" s="9">
        <f>IF($A2680="","",$H2680-$I2680)</f>
        <v/>
      </c>
      <c r="K2680" s="10">
        <f>IF($A2680="","",IF($I2680=0,"",_xludf.AGGREGATE(14,6,Ventes_Encaissements!$C$6:$C$3005/(Ventes_Encaissements!$B$6:$B$3005=$A2680),1)))</f>
        <v/>
      </c>
      <c r="L2680" s="11">
        <f>IF($A2680="","",COUNTIFS(Ventes_Detail!$B$6:$B$3005,$A2680))</f>
        <v/>
      </c>
      <c r="M2680" s="12" t="n"/>
      <c r="N2680" s="12">
        <f>IF($A2680="","",IF($G2680="","",IF($M2680="Oui","Litige",IF($J2680&lt;=0,"Payé",IF($I2680&gt;0,"Partiel",IF(Listes!$B$3&gt;$G2680,"En retard","À échoir"))))))</f>
        <v/>
      </c>
      <c r="O2680" s="11">
        <f>IF($A2680="","",IF(OR($G2680="", $J2680&lt;=0),0,MAX(0,Listes!$B$3-$G2680)))</f>
        <v/>
      </c>
      <c r="P2680" s="12">
        <f>IF($A2680="","",IF($J2680&lt;=0,"Payé",IF($M2680="Oui","Litige",IF($O2680=0,"À échoir",IF($O2680&lt;=30,"0-30",IF($O2680&lt;=60,"31-60",IF($O2680&lt;=90,"61-90","90+")))))))</f>
        <v/>
      </c>
    </row>
    <row r="2681">
      <c r="A2681" s="6" t="n"/>
      <c r="B2681" s="6" t="n"/>
      <c r="C2681" s="6" t="n"/>
      <c r="D2681" s="6" t="n"/>
      <c r="E2681" s="6" t="n"/>
      <c r="F2681" s="7" t="n"/>
      <c r="G2681" s="7" t="n"/>
      <c r="H2681" s="8" t="n"/>
      <c r="I2681" s="9">
        <f>IF($A2681="","",SUMIFS(Ventes_Encaissements!$D$6:$D$3005,Ventes_Encaissements!$B$6:$B$3005,$A2681))</f>
        <v/>
      </c>
      <c r="J2681" s="9">
        <f>IF($A2681="","",$H2681-$I2681)</f>
        <v/>
      </c>
      <c r="K2681" s="10">
        <f>IF($A2681="","",IF($I2681=0,"",_xludf.AGGREGATE(14,6,Ventes_Encaissements!$C$6:$C$3005/(Ventes_Encaissements!$B$6:$B$3005=$A2681),1)))</f>
        <v/>
      </c>
      <c r="L2681" s="11">
        <f>IF($A2681="","",COUNTIFS(Ventes_Detail!$B$6:$B$3005,$A2681))</f>
        <v/>
      </c>
      <c r="M2681" s="12" t="n"/>
      <c r="N2681" s="12">
        <f>IF($A2681="","",IF($G2681="","",IF($M2681="Oui","Litige",IF($J2681&lt;=0,"Payé",IF($I2681&gt;0,"Partiel",IF(Listes!$B$3&gt;$G2681,"En retard","À échoir"))))))</f>
        <v/>
      </c>
      <c r="O2681" s="11">
        <f>IF($A2681="","",IF(OR($G2681="", $J2681&lt;=0),0,MAX(0,Listes!$B$3-$G2681)))</f>
        <v/>
      </c>
      <c r="P2681" s="12">
        <f>IF($A2681="","",IF($J2681&lt;=0,"Payé",IF($M2681="Oui","Litige",IF($O2681=0,"À échoir",IF($O2681&lt;=30,"0-30",IF($O2681&lt;=60,"31-60",IF($O2681&lt;=90,"61-90","90+")))))))</f>
        <v/>
      </c>
    </row>
    <row r="2682">
      <c r="A2682" s="6" t="n"/>
      <c r="B2682" s="6" t="n"/>
      <c r="C2682" s="6" t="n"/>
      <c r="D2682" s="6" t="n"/>
      <c r="E2682" s="6" t="n"/>
      <c r="F2682" s="7" t="n"/>
      <c r="G2682" s="7" t="n"/>
      <c r="H2682" s="8" t="n"/>
      <c r="I2682" s="9">
        <f>IF($A2682="","",SUMIFS(Ventes_Encaissements!$D$6:$D$3005,Ventes_Encaissements!$B$6:$B$3005,$A2682))</f>
        <v/>
      </c>
      <c r="J2682" s="9">
        <f>IF($A2682="","",$H2682-$I2682)</f>
        <v/>
      </c>
      <c r="K2682" s="10">
        <f>IF($A2682="","",IF($I2682=0,"",_xludf.AGGREGATE(14,6,Ventes_Encaissements!$C$6:$C$3005/(Ventes_Encaissements!$B$6:$B$3005=$A2682),1)))</f>
        <v/>
      </c>
      <c r="L2682" s="11">
        <f>IF($A2682="","",COUNTIFS(Ventes_Detail!$B$6:$B$3005,$A2682))</f>
        <v/>
      </c>
      <c r="M2682" s="12" t="n"/>
      <c r="N2682" s="12">
        <f>IF($A2682="","",IF($G2682="","",IF($M2682="Oui","Litige",IF($J2682&lt;=0,"Payé",IF($I2682&gt;0,"Partiel",IF(Listes!$B$3&gt;$G2682,"En retard","À échoir"))))))</f>
        <v/>
      </c>
      <c r="O2682" s="11">
        <f>IF($A2682="","",IF(OR($G2682="", $J2682&lt;=0),0,MAX(0,Listes!$B$3-$G2682)))</f>
        <v/>
      </c>
      <c r="P2682" s="12">
        <f>IF($A2682="","",IF($J2682&lt;=0,"Payé",IF($M2682="Oui","Litige",IF($O2682=0,"À échoir",IF($O2682&lt;=30,"0-30",IF($O2682&lt;=60,"31-60",IF($O2682&lt;=90,"61-90","90+")))))))</f>
        <v/>
      </c>
    </row>
    <row r="2683">
      <c r="A2683" s="6" t="n"/>
      <c r="B2683" s="6" t="n"/>
      <c r="C2683" s="6" t="n"/>
      <c r="D2683" s="6" t="n"/>
      <c r="E2683" s="6" t="n"/>
      <c r="F2683" s="7" t="n"/>
      <c r="G2683" s="7" t="n"/>
      <c r="H2683" s="8" t="n"/>
      <c r="I2683" s="9">
        <f>IF($A2683="","",SUMIFS(Ventes_Encaissements!$D$6:$D$3005,Ventes_Encaissements!$B$6:$B$3005,$A2683))</f>
        <v/>
      </c>
      <c r="J2683" s="9">
        <f>IF($A2683="","",$H2683-$I2683)</f>
        <v/>
      </c>
      <c r="K2683" s="10">
        <f>IF($A2683="","",IF($I2683=0,"",_xludf.AGGREGATE(14,6,Ventes_Encaissements!$C$6:$C$3005/(Ventes_Encaissements!$B$6:$B$3005=$A2683),1)))</f>
        <v/>
      </c>
      <c r="L2683" s="11">
        <f>IF($A2683="","",COUNTIFS(Ventes_Detail!$B$6:$B$3005,$A2683))</f>
        <v/>
      </c>
      <c r="M2683" s="12" t="n"/>
      <c r="N2683" s="12">
        <f>IF($A2683="","",IF($G2683="","",IF($M2683="Oui","Litige",IF($J2683&lt;=0,"Payé",IF($I2683&gt;0,"Partiel",IF(Listes!$B$3&gt;$G2683,"En retard","À échoir"))))))</f>
        <v/>
      </c>
      <c r="O2683" s="11">
        <f>IF($A2683="","",IF(OR($G2683="", $J2683&lt;=0),0,MAX(0,Listes!$B$3-$G2683)))</f>
        <v/>
      </c>
      <c r="P2683" s="12">
        <f>IF($A2683="","",IF($J2683&lt;=0,"Payé",IF($M2683="Oui","Litige",IF($O2683=0,"À échoir",IF($O2683&lt;=30,"0-30",IF($O2683&lt;=60,"31-60",IF($O2683&lt;=90,"61-90","90+")))))))</f>
        <v/>
      </c>
    </row>
    <row r="2684">
      <c r="A2684" s="6" t="n"/>
      <c r="B2684" s="6" t="n"/>
      <c r="C2684" s="6" t="n"/>
      <c r="D2684" s="6" t="n"/>
      <c r="E2684" s="6" t="n"/>
      <c r="F2684" s="7" t="n"/>
      <c r="G2684" s="7" t="n"/>
      <c r="H2684" s="8" t="n"/>
      <c r="I2684" s="9">
        <f>IF($A2684="","",SUMIFS(Ventes_Encaissements!$D$6:$D$3005,Ventes_Encaissements!$B$6:$B$3005,$A2684))</f>
        <v/>
      </c>
      <c r="J2684" s="9">
        <f>IF($A2684="","",$H2684-$I2684)</f>
        <v/>
      </c>
      <c r="K2684" s="10">
        <f>IF($A2684="","",IF($I2684=0,"",_xludf.AGGREGATE(14,6,Ventes_Encaissements!$C$6:$C$3005/(Ventes_Encaissements!$B$6:$B$3005=$A2684),1)))</f>
        <v/>
      </c>
      <c r="L2684" s="11">
        <f>IF($A2684="","",COUNTIFS(Ventes_Detail!$B$6:$B$3005,$A2684))</f>
        <v/>
      </c>
      <c r="M2684" s="12" t="n"/>
      <c r="N2684" s="12">
        <f>IF($A2684="","",IF($G2684="","",IF($M2684="Oui","Litige",IF($J2684&lt;=0,"Payé",IF($I2684&gt;0,"Partiel",IF(Listes!$B$3&gt;$G2684,"En retard","À échoir"))))))</f>
        <v/>
      </c>
      <c r="O2684" s="11">
        <f>IF($A2684="","",IF(OR($G2684="", $J2684&lt;=0),0,MAX(0,Listes!$B$3-$G2684)))</f>
        <v/>
      </c>
      <c r="P2684" s="12">
        <f>IF($A2684="","",IF($J2684&lt;=0,"Payé",IF($M2684="Oui","Litige",IF($O2684=0,"À échoir",IF($O2684&lt;=30,"0-30",IF($O2684&lt;=60,"31-60",IF($O2684&lt;=90,"61-90","90+")))))))</f>
        <v/>
      </c>
    </row>
    <row r="2685">
      <c r="A2685" s="6" t="n"/>
      <c r="B2685" s="6" t="n"/>
      <c r="C2685" s="6" t="n"/>
      <c r="D2685" s="6" t="n"/>
      <c r="E2685" s="6" t="n"/>
      <c r="F2685" s="7" t="n"/>
      <c r="G2685" s="7" t="n"/>
      <c r="H2685" s="8" t="n"/>
      <c r="I2685" s="9">
        <f>IF($A2685="","",SUMIFS(Ventes_Encaissements!$D$6:$D$3005,Ventes_Encaissements!$B$6:$B$3005,$A2685))</f>
        <v/>
      </c>
      <c r="J2685" s="9">
        <f>IF($A2685="","",$H2685-$I2685)</f>
        <v/>
      </c>
      <c r="K2685" s="10">
        <f>IF($A2685="","",IF($I2685=0,"",_xludf.AGGREGATE(14,6,Ventes_Encaissements!$C$6:$C$3005/(Ventes_Encaissements!$B$6:$B$3005=$A2685),1)))</f>
        <v/>
      </c>
      <c r="L2685" s="11">
        <f>IF($A2685="","",COUNTIFS(Ventes_Detail!$B$6:$B$3005,$A2685))</f>
        <v/>
      </c>
      <c r="M2685" s="12" t="n"/>
      <c r="N2685" s="12">
        <f>IF($A2685="","",IF($G2685="","",IF($M2685="Oui","Litige",IF($J2685&lt;=0,"Payé",IF($I2685&gt;0,"Partiel",IF(Listes!$B$3&gt;$G2685,"En retard","À échoir"))))))</f>
        <v/>
      </c>
      <c r="O2685" s="11">
        <f>IF($A2685="","",IF(OR($G2685="", $J2685&lt;=0),0,MAX(0,Listes!$B$3-$G2685)))</f>
        <v/>
      </c>
      <c r="P2685" s="12">
        <f>IF($A2685="","",IF($J2685&lt;=0,"Payé",IF($M2685="Oui","Litige",IF($O2685=0,"À échoir",IF($O2685&lt;=30,"0-30",IF($O2685&lt;=60,"31-60",IF($O2685&lt;=90,"61-90","90+")))))))</f>
        <v/>
      </c>
    </row>
    <row r="2686">
      <c r="A2686" s="6" t="n"/>
      <c r="B2686" s="6" t="n"/>
      <c r="C2686" s="6" t="n"/>
      <c r="D2686" s="6" t="n"/>
      <c r="E2686" s="6" t="n"/>
      <c r="F2686" s="7" t="n"/>
      <c r="G2686" s="7" t="n"/>
      <c r="H2686" s="8" t="n"/>
      <c r="I2686" s="9">
        <f>IF($A2686="","",SUMIFS(Ventes_Encaissements!$D$6:$D$3005,Ventes_Encaissements!$B$6:$B$3005,$A2686))</f>
        <v/>
      </c>
      <c r="J2686" s="9">
        <f>IF($A2686="","",$H2686-$I2686)</f>
        <v/>
      </c>
      <c r="K2686" s="10">
        <f>IF($A2686="","",IF($I2686=0,"",_xludf.AGGREGATE(14,6,Ventes_Encaissements!$C$6:$C$3005/(Ventes_Encaissements!$B$6:$B$3005=$A2686),1)))</f>
        <v/>
      </c>
      <c r="L2686" s="11">
        <f>IF($A2686="","",COUNTIFS(Ventes_Detail!$B$6:$B$3005,$A2686))</f>
        <v/>
      </c>
      <c r="M2686" s="12" t="n"/>
      <c r="N2686" s="12">
        <f>IF($A2686="","",IF($G2686="","",IF($M2686="Oui","Litige",IF($J2686&lt;=0,"Payé",IF($I2686&gt;0,"Partiel",IF(Listes!$B$3&gt;$G2686,"En retard","À échoir"))))))</f>
        <v/>
      </c>
      <c r="O2686" s="11">
        <f>IF($A2686="","",IF(OR($G2686="", $J2686&lt;=0),0,MAX(0,Listes!$B$3-$G2686)))</f>
        <v/>
      </c>
      <c r="P2686" s="12">
        <f>IF($A2686="","",IF($J2686&lt;=0,"Payé",IF($M2686="Oui","Litige",IF($O2686=0,"À échoir",IF($O2686&lt;=30,"0-30",IF($O2686&lt;=60,"31-60",IF($O2686&lt;=90,"61-90","90+")))))))</f>
        <v/>
      </c>
    </row>
    <row r="2687">
      <c r="A2687" s="6" t="n"/>
      <c r="B2687" s="6" t="n"/>
      <c r="C2687" s="6" t="n"/>
      <c r="D2687" s="6" t="n"/>
      <c r="E2687" s="6" t="n"/>
      <c r="F2687" s="7" t="n"/>
      <c r="G2687" s="7" t="n"/>
      <c r="H2687" s="8" t="n"/>
      <c r="I2687" s="9">
        <f>IF($A2687="","",SUMIFS(Ventes_Encaissements!$D$6:$D$3005,Ventes_Encaissements!$B$6:$B$3005,$A2687))</f>
        <v/>
      </c>
      <c r="J2687" s="9">
        <f>IF($A2687="","",$H2687-$I2687)</f>
        <v/>
      </c>
      <c r="K2687" s="10">
        <f>IF($A2687="","",IF($I2687=0,"",_xludf.AGGREGATE(14,6,Ventes_Encaissements!$C$6:$C$3005/(Ventes_Encaissements!$B$6:$B$3005=$A2687),1)))</f>
        <v/>
      </c>
      <c r="L2687" s="11">
        <f>IF($A2687="","",COUNTIFS(Ventes_Detail!$B$6:$B$3005,$A2687))</f>
        <v/>
      </c>
      <c r="M2687" s="12" t="n"/>
      <c r="N2687" s="12">
        <f>IF($A2687="","",IF($G2687="","",IF($M2687="Oui","Litige",IF($J2687&lt;=0,"Payé",IF($I2687&gt;0,"Partiel",IF(Listes!$B$3&gt;$G2687,"En retard","À échoir"))))))</f>
        <v/>
      </c>
      <c r="O2687" s="11">
        <f>IF($A2687="","",IF(OR($G2687="", $J2687&lt;=0),0,MAX(0,Listes!$B$3-$G2687)))</f>
        <v/>
      </c>
      <c r="P2687" s="12">
        <f>IF($A2687="","",IF($J2687&lt;=0,"Payé",IF($M2687="Oui","Litige",IF($O2687=0,"À échoir",IF($O2687&lt;=30,"0-30",IF($O2687&lt;=60,"31-60",IF($O2687&lt;=90,"61-90","90+")))))))</f>
        <v/>
      </c>
    </row>
    <row r="2688">
      <c r="A2688" s="6" t="n"/>
      <c r="B2688" s="6" t="n"/>
      <c r="C2688" s="6" t="n"/>
      <c r="D2688" s="6" t="n"/>
      <c r="E2688" s="6" t="n"/>
      <c r="F2688" s="7" t="n"/>
      <c r="G2688" s="7" t="n"/>
      <c r="H2688" s="8" t="n"/>
      <c r="I2688" s="9">
        <f>IF($A2688="","",SUMIFS(Ventes_Encaissements!$D$6:$D$3005,Ventes_Encaissements!$B$6:$B$3005,$A2688))</f>
        <v/>
      </c>
      <c r="J2688" s="9">
        <f>IF($A2688="","",$H2688-$I2688)</f>
        <v/>
      </c>
      <c r="K2688" s="10">
        <f>IF($A2688="","",IF($I2688=0,"",_xludf.AGGREGATE(14,6,Ventes_Encaissements!$C$6:$C$3005/(Ventes_Encaissements!$B$6:$B$3005=$A2688),1)))</f>
        <v/>
      </c>
      <c r="L2688" s="11">
        <f>IF($A2688="","",COUNTIFS(Ventes_Detail!$B$6:$B$3005,$A2688))</f>
        <v/>
      </c>
      <c r="M2688" s="12" t="n"/>
      <c r="N2688" s="12">
        <f>IF($A2688="","",IF($G2688="","",IF($M2688="Oui","Litige",IF($J2688&lt;=0,"Payé",IF($I2688&gt;0,"Partiel",IF(Listes!$B$3&gt;$G2688,"En retard","À échoir"))))))</f>
        <v/>
      </c>
      <c r="O2688" s="11">
        <f>IF($A2688="","",IF(OR($G2688="", $J2688&lt;=0),0,MAX(0,Listes!$B$3-$G2688)))</f>
        <v/>
      </c>
      <c r="P2688" s="12">
        <f>IF($A2688="","",IF($J2688&lt;=0,"Payé",IF($M2688="Oui","Litige",IF($O2688=0,"À échoir",IF($O2688&lt;=30,"0-30",IF($O2688&lt;=60,"31-60",IF($O2688&lt;=90,"61-90","90+")))))))</f>
        <v/>
      </c>
    </row>
    <row r="2689">
      <c r="A2689" s="6" t="n"/>
      <c r="B2689" s="6" t="n"/>
      <c r="C2689" s="6" t="n"/>
      <c r="D2689" s="6" t="n"/>
      <c r="E2689" s="6" t="n"/>
      <c r="F2689" s="7" t="n"/>
      <c r="G2689" s="7" t="n"/>
      <c r="H2689" s="8" t="n"/>
      <c r="I2689" s="9">
        <f>IF($A2689="","",SUMIFS(Ventes_Encaissements!$D$6:$D$3005,Ventes_Encaissements!$B$6:$B$3005,$A2689))</f>
        <v/>
      </c>
      <c r="J2689" s="9">
        <f>IF($A2689="","",$H2689-$I2689)</f>
        <v/>
      </c>
      <c r="K2689" s="10">
        <f>IF($A2689="","",IF($I2689=0,"",_xludf.AGGREGATE(14,6,Ventes_Encaissements!$C$6:$C$3005/(Ventes_Encaissements!$B$6:$B$3005=$A2689),1)))</f>
        <v/>
      </c>
      <c r="L2689" s="11">
        <f>IF($A2689="","",COUNTIFS(Ventes_Detail!$B$6:$B$3005,$A2689))</f>
        <v/>
      </c>
      <c r="M2689" s="12" t="n"/>
      <c r="N2689" s="12">
        <f>IF($A2689="","",IF($G2689="","",IF($M2689="Oui","Litige",IF($J2689&lt;=0,"Payé",IF($I2689&gt;0,"Partiel",IF(Listes!$B$3&gt;$G2689,"En retard","À échoir"))))))</f>
        <v/>
      </c>
      <c r="O2689" s="11">
        <f>IF($A2689="","",IF(OR($G2689="", $J2689&lt;=0),0,MAX(0,Listes!$B$3-$G2689)))</f>
        <v/>
      </c>
      <c r="P2689" s="12">
        <f>IF($A2689="","",IF($J2689&lt;=0,"Payé",IF($M2689="Oui","Litige",IF($O2689=0,"À échoir",IF($O2689&lt;=30,"0-30",IF($O2689&lt;=60,"31-60",IF($O2689&lt;=90,"61-90","90+")))))))</f>
        <v/>
      </c>
    </row>
    <row r="2690">
      <c r="A2690" s="6" t="n"/>
      <c r="B2690" s="6" t="n"/>
      <c r="C2690" s="6" t="n"/>
      <c r="D2690" s="6" t="n"/>
      <c r="E2690" s="6" t="n"/>
      <c r="F2690" s="7" t="n"/>
      <c r="G2690" s="7" t="n"/>
      <c r="H2690" s="8" t="n"/>
      <c r="I2690" s="9">
        <f>IF($A2690="","",SUMIFS(Ventes_Encaissements!$D$6:$D$3005,Ventes_Encaissements!$B$6:$B$3005,$A2690))</f>
        <v/>
      </c>
      <c r="J2690" s="9">
        <f>IF($A2690="","",$H2690-$I2690)</f>
        <v/>
      </c>
      <c r="K2690" s="10">
        <f>IF($A2690="","",IF($I2690=0,"",_xludf.AGGREGATE(14,6,Ventes_Encaissements!$C$6:$C$3005/(Ventes_Encaissements!$B$6:$B$3005=$A2690),1)))</f>
        <v/>
      </c>
      <c r="L2690" s="11">
        <f>IF($A2690="","",COUNTIFS(Ventes_Detail!$B$6:$B$3005,$A2690))</f>
        <v/>
      </c>
      <c r="M2690" s="12" t="n"/>
      <c r="N2690" s="12">
        <f>IF($A2690="","",IF($G2690="","",IF($M2690="Oui","Litige",IF($J2690&lt;=0,"Payé",IF($I2690&gt;0,"Partiel",IF(Listes!$B$3&gt;$G2690,"En retard","À échoir"))))))</f>
        <v/>
      </c>
      <c r="O2690" s="11">
        <f>IF($A2690="","",IF(OR($G2690="", $J2690&lt;=0),0,MAX(0,Listes!$B$3-$G2690)))</f>
        <v/>
      </c>
      <c r="P2690" s="12">
        <f>IF($A2690="","",IF($J2690&lt;=0,"Payé",IF($M2690="Oui","Litige",IF($O2690=0,"À échoir",IF($O2690&lt;=30,"0-30",IF($O2690&lt;=60,"31-60",IF($O2690&lt;=90,"61-90","90+")))))))</f>
        <v/>
      </c>
    </row>
    <row r="2691">
      <c r="A2691" s="6" t="n"/>
      <c r="B2691" s="6" t="n"/>
      <c r="C2691" s="6" t="n"/>
      <c r="D2691" s="6" t="n"/>
      <c r="E2691" s="6" t="n"/>
      <c r="F2691" s="7" t="n"/>
      <c r="G2691" s="7" t="n"/>
      <c r="H2691" s="8" t="n"/>
      <c r="I2691" s="9">
        <f>IF($A2691="","",SUMIFS(Ventes_Encaissements!$D$6:$D$3005,Ventes_Encaissements!$B$6:$B$3005,$A2691))</f>
        <v/>
      </c>
      <c r="J2691" s="9">
        <f>IF($A2691="","",$H2691-$I2691)</f>
        <v/>
      </c>
      <c r="K2691" s="10">
        <f>IF($A2691="","",IF($I2691=0,"",_xludf.AGGREGATE(14,6,Ventes_Encaissements!$C$6:$C$3005/(Ventes_Encaissements!$B$6:$B$3005=$A2691),1)))</f>
        <v/>
      </c>
      <c r="L2691" s="11">
        <f>IF($A2691="","",COUNTIFS(Ventes_Detail!$B$6:$B$3005,$A2691))</f>
        <v/>
      </c>
      <c r="M2691" s="12" t="n"/>
      <c r="N2691" s="12">
        <f>IF($A2691="","",IF($G2691="","",IF($M2691="Oui","Litige",IF($J2691&lt;=0,"Payé",IF($I2691&gt;0,"Partiel",IF(Listes!$B$3&gt;$G2691,"En retard","À échoir"))))))</f>
        <v/>
      </c>
      <c r="O2691" s="11">
        <f>IF($A2691="","",IF(OR($G2691="", $J2691&lt;=0),0,MAX(0,Listes!$B$3-$G2691)))</f>
        <v/>
      </c>
      <c r="P2691" s="12">
        <f>IF($A2691="","",IF($J2691&lt;=0,"Payé",IF($M2691="Oui","Litige",IF($O2691=0,"À échoir",IF($O2691&lt;=30,"0-30",IF($O2691&lt;=60,"31-60",IF($O2691&lt;=90,"61-90","90+")))))))</f>
        <v/>
      </c>
    </row>
    <row r="2692">
      <c r="A2692" s="6" t="n"/>
      <c r="B2692" s="6" t="n"/>
      <c r="C2692" s="6" t="n"/>
      <c r="D2692" s="6" t="n"/>
      <c r="E2692" s="6" t="n"/>
      <c r="F2692" s="7" t="n"/>
      <c r="G2692" s="7" t="n"/>
      <c r="H2692" s="8" t="n"/>
      <c r="I2692" s="9">
        <f>IF($A2692="","",SUMIFS(Ventes_Encaissements!$D$6:$D$3005,Ventes_Encaissements!$B$6:$B$3005,$A2692))</f>
        <v/>
      </c>
      <c r="J2692" s="9">
        <f>IF($A2692="","",$H2692-$I2692)</f>
        <v/>
      </c>
      <c r="K2692" s="10">
        <f>IF($A2692="","",IF($I2692=0,"",_xludf.AGGREGATE(14,6,Ventes_Encaissements!$C$6:$C$3005/(Ventes_Encaissements!$B$6:$B$3005=$A2692),1)))</f>
        <v/>
      </c>
      <c r="L2692" s="11">
        <f>IF($A2692="","",COUNTIFS(Ventes_Detail!$B$6:$B$3005,$A2692))</f>
        <v/>
      </c>
      <c r="M2692" s="12" t="n"/>
      <c r="N2692" s="12">
        <f>IF($A2692="","",IF($G2692="","",IF($M2692="Oui","Litige",IF($J2692&lt;=0,"Payé",IF($I2692&gt;0,"Partiel",IF(Listes!$B$3&gt;$G2692,"En retard","À échoir"))))))</f>
        <v/>
      </c>
      <c r="O2692" s="11">
        <f>IF($A2692="","",IF(OR($G2692="", $J2692&lt;=0),0,MAX(0,Listes!$B$3-$G2692)))</f>
        <v/>
      </c>
      <c r="P2692" s="12">
        <f>IF($A2692="","",IF($J2692&lt;=0,"Payé",IF($M2692="Oui","Litige",IF($O2692=0,"À échoir",IF($O2692&lt;=30,"0-30",IF($O2692&lt;=60,"31-60",IF($O2692&lt;=90,"61-90","90+")))))))</f>
        <v/>
      </c>
    </row>
    <row r="2693">
      <c r="A2693" s="6" t="n"/>
      <c r="B2693" s="6" t="n"/>
      <c r="C2693" s="6" t="n"/>
      <c r="D2693" s="6" t="n"/>
      <c r="E2693" s="6" t="n"/>
      <c r="F2693" s="7" t="n"/>
      <c r="G2693" s="7" t="n"/>
      <c r="H2693" s="8" t="n"/>
      <c r="I2693" s="9">
        <f>IF($A2693="","",SUMIFS(Ventes_Encaissements!$D$6:$D$3005,Ventes_Encaissements!$B$6:$B$3005,$A2693))</f>
        <v/>
      </c>
      <c r="J2693" s="9">
        <f>IF($A2693="","",$H2693-$I2693)</f>
        <v/>
      </c>
      <c r="K2693" s="10">
        <f>IF($A2693="","",IF($I2693=0,"",_xludf.AGGREGATE(14,6,Ventes_Encaissements!$C$6:$C$3005/(Ventes_Encaissements!$B$6:$B$3005=$A2693),1)))</f>
        <v/>
      </c>
      <c r="L2693" s="11">
        <f>IF($A2693="","",COUNTIFS(Ventes_Detail!$B$6:$B$3005,$A2693))</f>
        <v/>
      </c>
      <c r="M2693" s="12" t="n"/>
      <c r="N2693" s="12">
        <f>IF($A2693="","",IF($G2693="","",IF($M2693="Oui","Litige",IF($J2693&lt;=0,"Payé",IF($I2693&gt;0,"Partiel",IF(Listes!$B$3&gt;$G2693,"En retard","À échoir"))))))</f>
        <v/>
      </c>
      <c r="O2693" s="11">
        <f>IF($A2693="","",IF(OR($G2693="", $J2693&lt;=0),0,MAX(0,Listes!$B$3-$G2693)))</f>
        <v/>
      </c>
      <c r="P2693" s="12">
        <f>IF($A2693="","",IF($J2693&lt;=0,"Payé",IF($M2693="Oui","Litige",IF($O2693=0,"À échoir",IF($O2693&lt;=30,"0-30",IF($O2693&lt;=60,"31-60",IF($O2693&lt;=90,"61-90","90+")))))))</f>
        <v/>
      </c>
    </row>
    <row r="2694">
      <c r="A2694" s="6" t="n"/>
      <c r="B2694" s="6" t="n"/>
      <c r="C2694" s="6" t="n"/>
      <c r="D2694" s="6" t="n"/>
      <c r="E2694" s="6" t="n"/>
      <c r="F2694" s="7" t="n"/>
      <c r="G2694" s="7" t="n"/>
      <c r="H2694" s="8" t="n"/>
      <c r="I2694" s="9">
        <f>IF($A2694="","",SUMIFS(Ventes_Encaissements!$D$6:$D$3005,Ventes_Encaissements!$B$6:$B$3005,$A2694))</f>
        <v/>
      </c>
      <c r="J2694" s="9">
        <f>IF($A2694="","",$H2694-$I2694)</f>
        <v/>
      </c>
      <c r="K2694" s="10">
        <f>IF($A2694="","",IF($I2694=0,"",_xludf.AGGREGATE(14,6,Ventes_Encaissements!$C$6:$C$3005/(Ventes_Encaissements!$B$6:$B$3005=$A2694),1)))</f>
        <v/>
      </c>
      <c r="L2694" s="11">
        <f>IF($A2694="","",COUNTIFS(Ventes_Detail!$B$6:$B$3005,$A2694))</f>
        <v/>
      </c>
      <c r="M2694" s="12" t="n"/>
      <c r="N2694" s="12">
        <f>IF($A2694="","",IF($G2694="","",IF($M2694="Oui","Litige",IF($J2694&lt;=0,"Payé",IF($I2694&gt;0,"Partiel",IF(Listes!$B$3&gt;$G2694,"En retard","À échoir"))))))</f>
        <v/>
      </c>
      <c r="O2694" s="11">
        <f>IF($A2694="","",IF(OR($G2694="", $J2694&lt;=0),0,MAX(0,Listes!$B$3-$G2694)))</f>
        <v/>
      </c>
      <c r="P2694" s="12">
        <f>IF($A2694="","",IF($J2694&lt;=0,"Payé",IF($M2694="Oui","Litige",IF($O2694=0,"À échoir",IF($O2694&lt;=30,"0-30",IF($O2694&lt;=60,"31-60",IF($O2694&lt;=90,"61-90","90+")))))))</f>
        <v/>
      </c>
    </row>
    <row r="2695">
      <c r="A2695" s="6" t="n"/>
      <c r="B2695" s="6" t="n"/>
      <c r="C2695" s="6" t="n"/>
      <c r="D2695" s="6" t="n"/>
      <c r="E2695" s="6" t="n"/>
      <c r="F2695" s="7" t="n"/>
      <c r="G2695" s="7" t="n"/>
      <c r="H2695" s="8" t="n"/>
      <c r="I2695" s="9">
        <f>IF($A2695="","",SUMIFS(Ventes_Encaissements!$D$6:$D$3005,Ventes_Encaissements!$B$6:$B$3005,$A2695))</f>
        <v/>
      </c>
      <c r="J2695" s="9">
        <f>IF($A2695="","",$H2695-$I2695)</f>
        <v/>
      </c>
      <c r="K2695" s="10">
        <f>IF($A2695="","",IF($I2695=0,"",_xludf.AGGREGATE(14,6,Ventes_Encaissements!$C$6:$C$3005/(Ventes_Encaissements!$B$6:$B$3005=$A2695),1)))</f>
        <v/>
      </c>
      <c r="L2695" s="11">
        <f>IF($A2695="","",COUNTIFS(Ventes_Detail!$B$6:$B$3005,$A2695))</f>
        <v/>
      </c>
      <c r="M2695" s="12" t="n"/>
      <c r="N2695" s="12">
        <f>IF($A2695="","",IF($G2695="","",IF($M2695="Oui","Litige",IF($J2695&lt;=0,"Payé",IF($I2695&gt;0,"Partiel",IF(Listes!$B$3&gt;$G2695,"En retard","À échoir"))))))</f>
        <v/>
      </c>
      <c r="O2695" s="11">
        <f>IF($A2695="","",IF(OR($G2695="", $J2695&lt;=0),0,MAX(0,Listes!$B$3-$G2695)))</f>
        <v/>
      </c>
      <c r="P2695" s="12">
        <f>IF($A2695="","",IF($J2695&lt;=0,"Payé",IF($M2695="Oui","Litige",IF($O2695=0,"À échoir",IF($O2695&lt;=30,"0-30",IF($O2695&lt;=60,"31-60",IF($O2695&lt;=90,"61-90","90+")))))))</f>
        <v/>
      </c>
    </row>
    <row r="2696">
      <c r="A2696" s="6" t="n"/>
      <c r="B2696" s="6" t="n"/>
      <c r="C2696" s="6" t="n"/>
      <c r="D2696" s="6" t="n"/>
      <c r="E2696" s="6" t="n"/>
      <c r="F2696" s="7" t="n"/>
      <c r="G2696" s="7" t="n"/>
      <c r="H2696" s="8" t="n"/>
      <c r="I2696" s="9">
        <f>IF($A2696="","",SUMIFS(Ventes_Encaissements!$D$6:$D$3005,Ventes_Encaissements!$B$6:$B$3005,$A2696))</f>
        <v/>
      </c>
      <c r="J2696" s="9">
        <f>IF($A2696="","",$H2696-$I2696)</f>
        <v/>
      </c>
      <c r="K2696" s="10">
        <f>IF($A2696="","",IF($I2696=0,"",_xludf.AGGREGATE(14,6,Ventes_Encaissements!$C$6:$C$3005/(Ventes_Encaissements!$B$6:$B$3005=$A2696),1)))</f>
        <v/>
      </c>
      <c r="L2696" s="11">
        <f>IF($A2696="","",COUNTIFS(Ventes_Detail!$B$6:$B$3005,$A2696))</f>
        <v/>
      </c>
      <c r="M2696" s="12" t="n"/>
      <c r="N2696" s="12">
        <f>IF($A2696="","",IF($G2696="","",IF($M2696="Oui","Litige",IF($J2696&lt;=0,"Payé",IF($I2696&gt;0,"Partiel",IF(Listes!$B$3&gt;$G2696,"En retard","À échoir"))))))</f>
        <v/>
      </c>
      <c r="O2696" s="11">
        <f>IF($A2696="","",IF(OR($G2696="", $J2696&lt;=0),0,MAX(0,Listes!$B$3-$G2696)))</f>
        <v/>
      </c>
      <c r="P2696" s="12">
        <f>IF($A2696="","",IF($J2696&lt;=0,"Payé",IF($M2696="Oui","Litige",IF($O2696=0,"À échoir",IF($O2696&lt;=30,"0-30",IF($O2696&lt;=60,"31-60",IF($O2696&lt;=90,"61-90","90+")))))))</f>
        <v/>
      </c>
    </row>
    <row r="2697">
      <c r="A2697" s="6" t="n"/>
      <c r="B2697" s="6" t="n"/>
      <c r="C2697" s="6" t="n"/>
      <c r="D2697" s="6" t="n"/>
      <c r="E2697" s="6" t="n"/>
      <c r="F2697" s="7" t="n"/>
      <c r="G2697" s="7" t="n"/>
      <c r="H2697" s="8" t="n"/>
      <c r="I2697" s="9">
        <f>IF($A2697="","",SUMIFS(Ventes_Encaissements!$D$6:$D$3005,Ventes_Encaissements!$B$6:$B$3005,$A2697))</f>
        <v/>
      </c>
      <c r="J2697" s="9">
        <f>IF($A2697="","",$H2697-$I2697)</f>
        <v/>
      </c>
      <c r="K2697" s="10">
        <f>IF($A2697="","",IF($I2697=0,"",_xludf.AGGREGATE(14,6,Ventes_Encaissements!$C$6:$C$3005/(Ventes_Encaissements!$B$6:$B$3005=$A2697),1)))</f>
        <v/>
      </c>
      <c r="L2697" s="11">
        <f>IF($A2697="","",COUNTIFS(Ventes_Detail!$B$6:$B$3005,$A2697))</f>
        <v/>
      </c>
      <c r="M2697" s="12" t="n"/>
      <c r="N2697" s="12">
        <f>IF($A2697="","",IF($G2697="","",IF($M2697="Oui","Litige",IF($J2697&lt;=0,"Payé",IF($I2697&gt;0,"Partiel",IF(Listes!$B$3&gt;$G2697,"En retard","À échoir"))))))</f>
        <v/>
      </c>
      <c r="O2697" s="11">
        <f>IF($A2697="","",IF(OR($G2697="", $J2697&lt;=0),0,MAX(0,Listes!$B$3-$G2697)))</f>
        <v/>
      </c>
      <c r="P2697" s="12">
        <f>IF($A2697="","",IF($J2697&lt;=0,"Payé",IF($M2697="Oui","Litige",IF($O2697=0,"À échoir",IF($O2697&lt;=30,"0-30",IF($O2697&lt;=60,"31-60",IF($O2697&lt;=90,"61-90","90+")))))))</f>
        <v/>
      </c>
    </row>
    <row r="2698">
      <c r="A2698" s="6" t="n"/>
      <c r="B2698" s="6" t="n"/>
      <c r="C2698" s="6" t="n"/>
      <c r="D2698" s="6" t="n"/>
      <c r="E2698" s="6" t="n"/>
      <c r="F2698" s="7" t="n"/>
      <c r="G2698" s="7" t="n"/>
      <c r="H2698" s="8" t="n"/>
      <c r="I2698" s="9">
        <f>IF($A2698="","",SUMIFS(Ventes_Encaissements!$D$6:$D$3005,Ventes_Encaissements!$B$6:$B$3005,$A2698))</f>
        <v/>
      </c>
      <c r="J2698" s="9">
        <f>IF($A2698="","",$H2698-$I2698)</f>
        <v/>
      </c>
      <c r="K2698" s="10">
        <f>IF($A2698="","",IF($I2698=0,"",_xludf.AGGREGATE(14,6,Ventes_Encaissements!$C$6:$C$3005/(Ventes_Encaissements!$B$6:$B$3005=$A2698),1)))</f>
        <v/>
      </c>
      <c r="L2698" s="11">
        <f>IF($A2698="","",COUNTIFS(Ventes_Detail!$B$6:$B$3005,$A2698))</f>
        <v/>
      </c>
      <c r="M2698" s="12" t="n"/>
      <c r="N2698" s="12">
        <f>IF($A2698="","",IF($G2698="","",IF($M2698="Oui","Litige",IF($J2698&lt;=0,"Payé",IF($I2698&gt;0,"Partiel",IF(Listes!$B$3&gt;$G2698,"En retard","À échoir"))))))</f>
        <v/>
      </c>
      <c r="O2698" s="11">
        <f>IF($A2698="","",IF(OR($G2698="", $J2698&lt;=0),0,MAX(0,Listes!$B$3-$G2698)))</f>
        <v/>
      </c>
      <c r="P2698" s="12">
        <f>IF($A2698="","",IF($J2698&lt;=0,"Payé",IF($M2698="Oui","Litige",IF($O2698=0,"À échoir",IF($O2698&lt;=30,"0-30",IF($O2698&lt;=60,"31-60",IF($O2698&lt;=90,"61-90","90+")))))))</f>
        <v/>
      </c>
    </row>
    <row r="2699">
      <c r="A2699" s="6" t="n"/>
      <c r="B2699" s="6" t="n"/>
      <c r="C2699" s="6" t="n"/>
      <c r="D2699" s="6" t="n"/>
      <c r="E2699" s="6" t="n"/>
      <c r="F2699" s="7" t="n"/>
      <c r="G2699" s="7" t="n"/>
      <c r="H2699" s="8" t="n"/>
      <c r="I2699" s="9">
        <f>IF($A2699="","",SUMIFS(Ventes_Encaissements!$D$6:$D$3005,Ventes_Encaissements!$B$6:$B$3005,$A2699))</f>
        <v/>
      </c>
      <c r="J2699" s="9">
        <f>IF($A2699="","",$H2699-$I2699)</f>
        <v/>
      </c>
      <c r="K2699" s="10">
        <f>IF($A2699="","",IF($I2699=0,"",_xludf.AGGREGATE(14,6,Ventes_Encaissements!$C$6:$C$3005/(Ventes_Encaissements!$B$6:$B$3005=$A2699),1)))</f>
        <v/>
      </c>
      <c r="L2699" s="11">
        <f>IF($A2699="","",COUNTIFS(Ventes_Detail!$B$6:$B$3005,$A2699))</f>
        <v/>
      </c>
      <c r="M2699" s="12" t="n"/>
      <c r="N2699" s="12">
        <f>IF($A2699="","",IF($G2699="","",IF($M2699="Oui","Litige",IF($J2699&lt;=0,"Payé",IF($I2699&gt;0,"Partiel",IF(Listes!$B$3&gt;$G2699,"En retard","À échoir"))))))</f>
        <v/>
      </c>
      <c r="O2699" s="11">
        <f>IF($A2699="","",IF(OR($G2699="", $J2699&lt;=0),0,MAX(0,Listes!$B$3-$G2699)))</f>
        <v/>
      </c>
      <c r="P2699" s="12">
        <f>IF($A2699="","",IF($J2699&lt;=0,"Payé",IF($M2699="Oui","Litige",IF($O2699=0,"À échoir",IF($O2699&lt;=30,"0-30",IF($O2699&lt;=60,"31-60",IF($O2699&lt;=90,"61-90","90+")))))))</f>
        <v/>
      </c>
    </row>
    <row r="2700">
      <c r="A2700" s="6" t="n"/>
      <c r="B2700" s="6" t="n"/>
      <c r="C2700" s="6" t="n"/>
      <c r="D2700" s="6" t="n"/>
      <c r="E2700" s="6" t="n"/>
      <c r="F2700" s="7" t="n"/>
      <c r="G2700" s="7" t="n"/>
      <c r="H2700" s="8" t="n"/>
      <c r="I2700" s="9">
        <f>IF($A2700="","",SUMIFS(Ventes_Encaissements!$D$6:$D$3005,Ventes_Encaissements!$B$6:$B$3005,$A2700))</f>
        <v/>
      </c>
      <c r="J2700" s="9">
        <f>IF($A2700="","",$H2700-$I2700)</f>
        <v/>
      </c>
      <c r="K2700" s="10">
        <f>IF($A2700="","",IF($I2700=0,"",_xludf.AGGREGATE(14,6,Ventes_Encaissements!$C$6:$C$3005/(Ventes_Encaissements!$B$6:$B$3005=$A2700),1)))</f>
        <v/>
      </c>
      <c r="L2700" s="11">
        <f>IF($A2700="","",COUNTIFS(Ventes_Detail!$B$6:$B$3005,$A2700))</f>
        <v/>
      </c>
      <c r="M2700" s="12" t="n"/>
      <c r="N2700" s="12">
        <f>IF($A2700="","",IF($G2700="","",IF($M2700="Oui","Litige",IF($J2700&lt;=0,"Payé",IF($I2700&gt;0,"Partiel",IF(Listes!$B$3&gt;$G2700,"En retard","À échoir"))))))</f>
        <v/>
      </c>
      <c r="O2700" s="11">
        <f>IF($A2700="","",IF(OR($G2700="", $J2700&lt;=0),0,MAX(0,Listes!$B$3-$G2700)))</f>
        <v/>
      </c>
      <c r="P2700" s="12">
        <f>IF($A2700="","",IF($J2700&lt;=0,"Payé",IF($M2700="Oui","Litige",IF($O2700=0,"À échoir",IF($O2700&lt;=30,"0-30",IF($O2700&lt;=60,"31-60",IF($O2700&lt;=90,"61-90","90+")))))))</f>
        <v/>
      </c>
    </row>
    <row r="2701">
      <c r="A2701" s="6" t="n"/>
      <c r="B2701" s="6" t="n"/>
      <c r="C2701" s="6" t="n"/>
      <c r="D2701" s="6" t="n"/>
      <c r="E2701" s="6" t="n"/>
      <c r="F2701" s="7" t="n"/>
      <c r="G2701" s="7" t="n"/>
      <c r="H2701" s="8" t="n"/>
      <c r="I2701" s="9">
        <f>IF($A2701="","",SUMIFS(Ventes_Encaissements!$D$6:$D$3005,Ventes_Encaissements!$B$6:$B$3005,$A2701))</f>
        <v/>
      </c>
      <c r="J2701" s="9">
        <f>IF($A2701="","",$H2701-$I2701)</f>
        <v/>
      </c>
      <c r="K2701" s="10">
        <f>IF($A2701="","",IF($I2701=0,"",_xludf.AGGREGATE(14,6,Ventes_Encaissements!$C$6:$C$3005/(Ventes_Encaissements!$B$6:$B$3005=$A2701),1)))</f>
        <v/>
      </c>
      <c r="L2701" s="11">
        <f>IF($A2701="","",COUNTIFS(Ventes_Detail!$B$6:$B$3005,$A2701))</f>
        <v/>
      </c>
      <c r="M2701" s="12" t="n"/>
      <c r="N2701" s="12">
        <f>IF($A2701="","",IF($G2701="","",IF($M2701="Oui","Litige",IF($J2701&lt;=0,"Payé",IF($I2701&gt;0,"Partiel",IF(Listes!$B$3&gt;$G2701,"En retard","À échoir"))))))</f>
        <v/>
      </c>
      <c r="O2701" s="11">
        <f>IF($A2701="","",IF(OR($G2701="", $J2701&lt;=0),0,MAX(0,Listes!$B$3-$G2701)))</f>
        <v/>
      </c>
      <c r="P2701" s="12">
        <f>IF($A2701="","",IF($J2701&lt;=0,"Payé",IF($M2701="Oui","Litige",IF($O2701=0,"À échoir",IF($O2701&lt;=30,"0-30",IF($O2701&lt;=60,"31-60",IF($O2701&lt;=90,"61-90","90+")))))))</f>
        <v/>
      </c>
    </row>
    <row r="2702">
      <c r="A2702" s="6" t="n"/>
      <c r="B2702" s="6" t="n"/>
      <c r="C2702" s="6" t="n"/>
      <c r="D2702" s="6" t="n"/>
      <c r="E2702" s="6" t="n"/>
      <c r="F2702" s="7" t="n"/>
      <c r="G2702" s="7" t="n"/>
      <c r="H2702" s="8" t="n"/>
      <c r="I2702" s="9">
        <f>IF($A2702="","",SUMIFS(Ventes_Encaissements!$D$6:$D$3005,Ventes_Encaissements!$B$6:$B$3005,$A2702))</f>
        <v/>
      </c>
      <c r="J2702" s="9">
        <f>IF($A2702="","",$H2702-$I2702)</f>
        <v/>
      </c>
      <c r="K2702" s="10">
        <f>IF($A2702="","",IF($I2702=0,"",_xludf.AGGREGATE(14,6,Ventes_Encaissements!$C$6:$C$3005/(Ventes_Encaissements!$B$6:$B$3005=$A2702),1)))</f>
        <v/>
      </c>
      <c r="L2702" s="11">
        <f>IF($A2702="","",COUNTIFS(Ventes_Detail!$B$6:$B$3005,$A2702))</f>
        <v/>
      </c>
      <c r="M2702" s="12" t="n"/>
      <c r="N2702" s="12">
        <f>IF($A2702="","",IF($G2702="","",IF($M2702="Oui","Litige",IF($J2702&lt;=0,"Payé",IF($I2702&gt;0,"Partiel",IF(Listes!$B$3&gt;$G2702,"En retard","À échoir"))))))</f>
        <v/>
      </c>
      <c r="O2702" s="11">
        <f>IF($A2702="","",IF(OR($G2702="", $J2702&lt;=0),0,MAX(0,Listes!$B$3-$G2702)))</f>
        <v/>
      </c>
      <c r="P2702" s="12">
        <f>IF($A2702="","",IF($J2702&lt;=0,"Payé",IF($M2702="Oui","Litige",IF($O2702=0,"À échoir",IF($O2702&lt;=30,"0-30",IF($O2702&lt;=60,"31-60",IF($O2702&lt;=90,"61-90","90+")))))))</f>
        <v/>
      </c>
    </row>
    <row r="2703">
      <c r="A2703" s="6" t="n"/>
      <c r="B2703" s="6" t="n"/>
      <c r="C2703" s="6" t="n"/>
      <c r="D2703" s="6" t="n"/>
      <c r="E2703" s="6" t="n"/>
      <c r="F2703" s="7" t="n"/>
      <c r="G2703" s="7" t="n"/>
      <c r="H2703" s="8" t="n"/>
      <c r="I2703" s="9">
        <f>IF($A2703="","",SUMIFS(Ventes_Encaissements!$D$6:$D$3005,Ventes_Encaissements!$B$6:$B$3005,$A2703))</f>
        <v/>
      </c>
      <c r="J2703" s="9">
        <f>IF($A2703="","",$H2703-$I2703)</f>
        <v/>
      </c>
      <c r="K2703" s="10">
        <f>IF($A2703="","",IF($I2703=0,"",_xludf.AGGREGATE(14,6,Ventes_Encaissements!$C$6:$C$3005/(Ventes_Encaissements!$B$6:$B$3005=$A2703),1)))</f>
        <v/>
      </c>
      <c r="L2703" s="11">
        <f>IF($A2703="","",COUNTIFS(Ventes_Detail!$B$6:$B$3005,$A2703))</f>
        <v/>
      </c>
      <c r="M2703" s="12" t="n"/>
      <c r="N2703" s="12">
        <f>IF($A2703="","",IF($G2703="","",IF($M2703="Oui","Litige",IF($J2703&lt;=0,"Payé",IF($I2703&gt;0,"Partiel",IF(Listes!$B$3&gt;$G2703,"En retard","À échoir"))))))</f>
        <v/>
      </c>
      <c r="O2703" s="11">
        <f>IF($A2703="","",IF(OR($G2703="", $J2703&lt;=0),0,MAX(0,Listes!$B$3-$G2703)))</f>
        <v/>
      </c>
      <c r="P2703" s="12">
        <f>IF($A2703="","",IF($J2703&lt;=0,"Payé",IF($M2703="Oui","Litige",IF($O2703=0,"À échoir",IF($O2703&lt;=30,"0-30",IF($O2703&lt;=60,"31-60",IF($O2703&lt;=90,"61-90","90+")))))))</f>
        <v/>
      </c>
    </row>
    <row r="2704">
      <c r="A2704" s="6" t="n"/>
      <c r="B2704" s="6" t="n"/>
      <c r="C2704" s="6" t="n"/>
      <c r="D2704" s="6" t="n"/>
      <c r="E2704" s="6" t="n"/>
      <c r="F2704" s="7" t="n"/>
      <c r="G2704" s="7" t="n"/>
      <c r="H2704" s="8" t="n"/>
      <c r="I2704" s="9">
        <f>IF($A2704="","",SUMIFS(Ventes_Encaissements!$D$6:$D$3005,Ventes_Encaissements!$B$6:$B$3005,$A2704))</f>
        <v/>
      </c>
      <c r="J2704" s="9">
        <f>IF($A2704="","",$H2704-$I2704)</f>
        <v/>
      </c>
      <c r="K2704" s="10">
        <f>IF($A2704="","",IF($I2704=0,"",_xludf.AGGREGATE(14,6,Ventes_Encaissements!$C$6:$C$3005/(Ventes_Encaissements!$B$6:$B$3005=$A2704),1)))</f>
        <v/>
      </c>
      <c r="L2704" s="11">
        <f>IF($A2704="","",COUNTIFS(Ventes_Detail!$B$6:$B$3005,$A2704))</f>
        <v/>
      </c>
      <c r="M2704" s="12" t="n"/>
      <c r="N2704" s="12">
        <f>IF($A2704="","",IF($G2704="","",IF($M2704="Oui","Litige",IF($J2704&lt;=0,"Payé",IF($I2704&gt;0,"Partiel",IF(Listes!$B$3&gt;$G2704,"En retard","À échoir"))))))</f>
        <v/>
      </c>
      <c r="O2704" s="11">
        <f>IF($A2704="","",IF(OR($G2704="", $J2704&lt;=0),0,MAX(0,Listes!$B$3-$G2704)))</f>
        <v/>
      </c>
      <c r="P2704" s="12">
        <f>IF($A2704="","",IF($J2704&lt;=0,"Payé",IF($M2704="Oui","Litige",IF($O2704=0,"À échoir",IF($O2704&lt;=30,"0-30",IF($O2704&lt;=60,"31-60",IF($O2704&lt;=90,"61-90","90+")))))))</f>
        <v/>
      </c>
    </row>
    <row r="2705">
      <c r="A2705" s="6" t="n"/>
      <c r="B2705" s="6" t="n"/>
      <c r="C2705" s="6" t="n"/>
      <c r="D2705" s="6" t="n"/>
      <c r="E2705" s="6" t="n"/>
      <c r="F2705" s="7" t="n"/>
      <c r="G2705" s="7" t="n"/>
      <c r="H2705" s="8" t="n"/>
      <c r="I2705" s="9">
        <f>IF($A2705="","",SUMIFS(Ventes_Encaissements!$D$6:$D$3005,Ventes_Encaissements!$B$6:$B$3005,$A2705))</f>
        <v/>
      </c>
      <c r="J2705" s="9">
        <f>IF($A2705="","",$H2705-$I2705)</f>
        <v/>
      </c>
      <c r="K2705" s="10">
        <f>IF($A2705="","",IF($I2705=0,"",_xludf.AGGREGATE(14,6,Ventes_Encaissements!$C$6:$C$3005/(Ventes_Encaissements!$B$6:$B$3005=$A2705),1)))</f>
        <v/>
      </c>
      <c r="L2705" s="11">
        <f>IF($A2705="","",COUNTIFS(Ventes_Detail!$B$6:$B$3005,$A2705))</f>
        <v/>
      </c>
      <c r="M2705" s="12" t="n"/>
      <c r="N2705" s="12">
        <f>IF($A2705="","",IF($G2705="","",IF($M2705="Oui","Litige",IF($J2705&lt;=0,"Payé",IF($I2705&gt;0,"Partiel",IF(Listes!$B$3&gt;$G2705,"En retard","À échoir"))))))</f>
        <v/>
      </c>
      <c r="O2705" s="11">
        <f>IF($A2705="","",IF(OR($G2705="", $J2705&lt;=0),0,MAX(0,Listes!$B$3-$G2705)))</f>
        <v/>
      </c>
      <c r="P2705" s="12">
        <f>IF($A2705="","",IF($J2705&lt;=0,"Payé",IF($M2705="Oui","Litige",IF($O2705=0,"À échoir",IF($O2705&lt;=30,"0-30",IF($O2705&lt;=60,"31-60",IF($O2705&lt;=90,"61-90","90+")))))))</f>
        <v/>
      </c>
    </row>
    <row r="2706">
      <c r="A2706" s="6" t="n"/>
      <c r="B2706" s="6" t="n"/>
      <c r="C2706" s="6" t="n"/>
      <c r="D2706" s="6" t="n"/>
      <c r="E2706" s="6" t="n"/>
      <c r="F2706" s="7" t="n"/>
      <c r="G2706" s="7" t="n"/>
      <c r="H2706" s="8" t="n"/>
      <c r="I2706" s="9">
        <f>IF($A2706="","",SUMIFS(Ventes_Encaissements!$D$6:$D$3005,Ventes_Encaissements!$B$6:$B$3005,$A2706))</f>
        <v/>
      </c>
      <c r="J2706" s="9">
        <f>IF($A2706="","",$H2706-$I2706)</f>
        <v/>
      </c>
      <c r="K2706" s="10">
        <f>IF($A2706="","",IF($I2706=0,"",_xludf.AGGREGATE(14,6,Ventes_Encaissements!$C$6:$C$3005/(Ventes_Encaissements!$B$6:$B$3005=$A2706),1)))</f>
        <v/>
      </c>
      <c r="L2706" s="11">
        <f>IF($A2706="","",COUNTIFS(Ventes_Detail!$B$6:$B$3005,$A2706))</f>
        <v/>
      </c>
      <c r="M2706" s="12" t="n"/>
      <c r="N2706" s="12">
        <f>IF($A2706="","",IF($G2706="","",IF($M2706="Oui","Litige",IF($J2706&lt;=0,"Payé",IF($I2706&gt;0,"Partiel",IF(Listes!$B$3&gt;$G2706,"En retard","À échoir"))))))</f>
        <v/>
      </c>
      <c r="O2706" s="11">
        <f>IF($A2706="","",IF(OR($G2706="", $J2706&lt;=0),0,MAX(0,Listes!$B$3-$G2706)))</f>
        <v/>
      </c>
      <c r="P2706" s="12">
        <f>IF($A2706="","",IF($J2706&lt;=0,"Payé",IF($M2706="Oui","Litige",IF($O2706=0,"À échoir",IF($O2706&lt;=30,"0-30",IF($O2706&lt;=60,"31-60",IF($O2706&lt;=90,"61-90","90+")))))))</f>
        <v/>
      </c>
    </row>
    <row r="2707">
      <c r="A2707" s="6" t="n"/>
      <c r="B2707" s="6" t="n"/>
      <c r="C2707" s="6" t="n"/>
      <c r="D2707" s="6" t="n"/>
      <c r="E2707" s="6" t="n"/>
      <c r="F2707" s="7" t="n"/>
      <c r="G2707" s="7" t="n"/>
      <c r="H2707" s="8" t="n"/>
      <c r="I2707" s="9">
        <f>IF($A2707="","",SUMIFS(Ventes_Encaissements!$D$6:$D$3005,Ventes_Encaissements!$B$6:$B$3005,$A2707))</f>
        <v/>
      </c>
      <c r="J2707" s="9">
        <f>IF($A2707="","",$H2707-$I2707)</f>
        <v/>
      </c>
      <c r="K2707" s="10">
        <f>IF($A2707="","",IF($I2707=0,"",_xludf.AGGREGATE(14,6,Ventes_Encaissements!$C$6:$C$3005/(Ventes_Encaissements!$B$6:$B$3005=$A2707),1)))</f>
        <v/>
      </c>
      <c r="L2707" s="11">
        <f>IF($A2707="","",COUNTIFS(Ventes_Detail!$B$6:$B$3005,$A2707))</f>
        <v/>
      </c>
      <c r="M2707" s="12" t="n"/>
      <c r="N2707" s="12">
        <f>IF($A2707="","",IF($G2707="","",IF($M2707="Oui","Litige",IF($J2707&lt;=0,"Payé",IF($I2707&gt;0,"Partiel",IF(Listes!$B$3&gt;$G2707,"En retard","À échoir"))))))</f>
        <v/>
      </c>
      <c r="O2707" s="11">
        <f>IF($A2707="","",IF(OR($G2707="", $J2707&lt;=0),0,MAX(0,Listes!$B$3-$G2707)))</f>
        <v/>
      </c>
      <c r="P2707" s="12">
        <f>IF($A2707="","",IF($J2707&lt;=0,"Payé",IF($M2707="Oui","Litige",IF($O2707=0,"À échoir",IF($O2707&lt;=30,"0-30",IF($O2707&lt;=60,"31-60",IF($O2707&lt;=90,"61-90","90+")))))))</f>
        <v/>
      </c>
    </row>
    <row r="2708">
      <c r="A2708" s="6" t="n"/>
      <c r="B2708" s="6" t="n"/>
      <c r="C2708" s="6" t="n"/>
      <c r="D2708" s="6" t="n"/>
      <c r="E2708" s="6" t="n"/>
      <c r="F2708" s="7" t="n"/>
      <c r="G2708" s="7" t="n"/>
      <c r="H2708" s="8" t="n"/>
      <c r="I2708" s="9">
        <f>IF($A2708="","",SUMIFS(Ventes_Encaissements!$D$6:$D$3005,Ventes_Encaissements!$B$6:$B$3005,$A2708))</f>
        <v/>
      </c>
      <c r="J2708" s="9">
        <f>IF($A2708="","",$H2708-$I2708)</f>
        <v/>
      </c>
      <c r="K2708" s="10">
        <f>IF($A2708="","",IF($I2708=0,"",_xludf.AGGREGATE(14,6,Ventes_Encaissements!$C$6:$C$3005/(Ventes_Encaissements!$B$6:$B$3005=$A2708),1)))</f>
        <v/>
      </c>
      <c r="L2708" s="11">
        <f>IF($A2708="","",COUNTIFS(Ventes_Detail!$B$6:$B$3005,$A2708))</f>
        <v/>
      </c>
      <c r="M2708" s="12" t="n"/>
      <c r="N2708" s="12">
        <f>IF($A2708="","",IF($G2708="","",IF($M2708="Oui","Litige",IF($J2708&lt;=0,"Payé",IF($I2708&gt;0,"Partiel",IF(Listes!$B$3&gt;$G2708,"En retard","À échoir"))))))</f>
        <v/>
      </c>
      <c r="O2708" s="11">
        <f>IF($A2708="","",IF(OR($G2708="", $J2708&lt;=0),0,MAX(0,Listes!$B$3-$G2708)))</f>
        <v/>
      </c>
      <c r="P2708" s="12">
        <f>IF($A2708="","",IF($J2708&lt;=0,"Payé",IF($M2708="Oui","Litige",IF($O2708=0,"À échoir",IF($O2708&lt;=30,"0-30",IF($O2708&lt;=60,"31-60",IF($O2708&lt;=90,"61-90","90+")))))))</f>
        <v/>
      </c>
    </row>
    <row r="2709">
      <c r="A2709" s="6" t="n"/>
      <c r="B2709" s="6" t="n"/>
      <c r="C2709" s="6" t="n"/>
      <c r="D2709" s="6" t="n"/>
      <c r="E2709" s="6" t="n"/>
      <c r="F2709" s="7" t="n"/>
      <c r="G2709" s="7" t="n"/>
      <c r="H2709" s="8" t="n"/>
      <c r="I2709" s="9">
        <f>IF($A2709="","",SUMIFS(Ventes_Encaissements!$D$6:$D$3005,Ventes_Encaissements!$B$6:$B$3005,$A2709))</f>
        <v/>
      </c>
      <c r="J2709" s="9">
        <f>IF($A2709="","",$H2709-$I2709)</f>
        <v/>
      </c>
      <c r="K2709" s="10">
        <f>IF($A2709="","",IF($I2709=0,"",_xludf.AGGREGATE(14,6,Ventes_Encaissements!$C$6:$C$3005/(Ventes_Encaissements!$B$6:$B$3005=$A2709),1)))</f>
        <v/>
      </c>
      <c r="L2709" s="11">
        <f>IF($A2709="","",COUNTIFS(Ventes_Detail!$B$6:$B$3005,$A2709))</f>
        <v/>
      </c>
      <c r="M2709" s="12" t="n"/>
      <c r="N2709" s="12">
        <f>IF($A2709="","",IF($G2709="","",IF($M2709="Oui","Litige",IF($J2709&lt;=0,"Payé",IF($I2709&gt;0,"Partiel",IF(Listes!$B$3&gt;$G2709,"En retard","À échoir"))))))</f>
        <v/>
      </c>
      <c r="O2709" s="11">
        <f>IF($A2709="","",IF(OR($G2709="", $J2709&lt;=0),0,MAX(0,Listes!$B$3-$G2709)))</f>
        <v/>
      </c>
      <c r="P2709" s="12">
        <f>IF($A2709="","",IF($J2709&lt;=0,"Payé",IF($M2709="Oui","Litige",IF($O2709=0,"À échoir",IF($O2709&lt;=30,"0-30",IF($O2709&lt;=60,"31-60",IF($O2709&lt;=90,"61-90","90+")))))))</f>
        <v/>
      </c>
    </row>
    <row r="2710">
      <c r="A2710" s="6" t="n"/>
      <c r="B2710" s="6" t="n"/>
      <c r="C2710" s="6" t="n"/>
      <c r="D2710" s="6" t="n"/>
      <c r="E2710" s="6" t="n"/>
      <c r="F2710" s="7" t="n"/>
      <c r="G2710" s="7" t="n"/>
      <c r="H2710" s="8" t="n"/>
      <c r="I2710" s="9">
        <f>IF($A2710="","",SUMIFS(Ventes_Encaissements!$D$6:$D$3005,Ventes_Encaissements!$B$6:$B$3005,$A2710))</f>
        <v/>
      </c>
      <c r="J2710" s="9">
        <f>IF($A2710="","",$H2710-$I2710)</f>
        <v/>
      </c>
      <c r="K2710" s="10">
        <f>IF($A2710="","",IF($I2710=0,"",_xludf.AGGREGATE(14,6,Ventes_Encaissements!$C$6:$C$3005/(Ventes_Encaissements!$B$6:$B$3005=$A2710),1)))</f>
        <v/>
      </c>
      <c r="L2710" s="11">
        <f>IF($A2710="","",COUNTIFS(Ventes_Detail!$B$6:$B$3005,$A2710))</f>
        <v/>
      </c>
      <c r="M2710" s="12" t="n"/>
      <c r="N2710" s="12">
        <f>IF($A2710="","",IF($G2710="","",IF($M2710="Oui","Litige",IF($J2710&lt;=0,"Payé",IF($I2710&gt;0,"Partiel",IF(Listes!$B$3&gt;$G2710,"En retard","À échoir"))))))</f>
        <v/>
      </c>
      <c r="O2710" s="11">
        <f>IF($A2710="","",IF(OR($G2710="", $J2710&lt;=0),0,MAX(0,Listes!$B$3-$G2710)))</f>
        <v/>
      </c>
      <c r="P2710" s="12">
        <f>IF($A2710="","",IF($J2710&lt;=0,"Payé",IF($M2710="Oui","Litige",IF($O2710=0,"À échoir",IF($O2710&lt;=30,"0-30",IF($O2710&lt;=60,"31-60",IF($O2710&lt;=90,"61-90","90+")))))))</f>
        <v/>
      </c>
    </row>
    <row r="2711">
      <c r="A2711" s="6" t="n"/>
      <c r="B2711" s="6" t="n"/>
      <c r="C2711" s="6" t="n"/>
      <c r="D2711" s="6" t="n"/>
      <c r="E2711" s="6" t="n"/>
      <c r="F2711" s="7" t="n"/>
      <c r="G2711" s="7" t="n"/>
      <c r="H2711" s="8" t="n"/>
      <c r="I2711" s="9">
        <f>IF($A2711="","",SUMIFS(Ventes_Encaissements!$D$6:$D$3005,Ventes_Encaissements!$B$6:$B$3005,$A2711))</f>
        <v/>
      </c>
      <c r="J2711" s="9">
        <f>IF($A2711="","",$H2711-$I2711)</f>
        <v/>
      </c>
      <c r="K2711" s="10">
        <f>IF($A2711="","",IF($I2711=0,"",_xludf.AGGREGATE(14,6,Ventes_Encaissements!$C$6:$C$3005/(Ventes_Encaissements!$B$6:$B$3005=$A2711),1)))</f>
        <v/>
      </c>
      <c r="L2711" s="11">
        <f>IF($A2711="","",COUNTIFS(Ventes_Detail!$B$6:$B$3005,$A2711))</f>
        <v/>
      </c>
      <c r="M2711" s="12" t="n"/>
      <c r="N2711" s="12">
        <f>IF($A2711="","",IF($G2711="","",IF($M2711="Oui","Litige",IF($J2711&lt;=0,"Payé",IF($I2711&gt;0,"Partiel",IF(Listes!$B$3&gt;$G2711,"En retard","À échoir"))))))</f>
        <v/>
      </c>
      <c r="O2711" s="11">
        <f>IF($A2711="","",IF(OR($G2711="", $J2711&lt;=0),0,MAX(0,Listes!$B$3-$G2711)))</f>
        <v/>
      </c>
      <c r="P2711" s="12">
        <f>IF($A2711="","",IF($J2711&lt;=0,"Payé",IF($M2711="Oui","Litige",IF($O2711=0,"À échoir",IF($O2711&lt;=30,"0-30",IF($O2711&lt;=60,"31-60",IF($O2711&lt;=90,"61-90","90+")))))))</f>
        <v/>
      </c>
    </row>
    <row r="2712">
      <c r="A2712" s="6" t="n"/>
      <c r="B2712" s="6" t="n"/>
      <c r="C2712" s="6" t="n"/>
      <c r="D2712" s="6" t="n"/>
      <c r="E2712" s="6" t="n"/>
      <c r="F2712" s="7" t="n"/>
      <c r="G2712" s="7" t="n"/>
      <c r="H2712" s="8" t="n"/>
      <c r="I2712" s="9">
        <f>IF($A2712="","",SUMIFS(Ventes_Encaissements!$D$6:$D$3005,Ventes_Encaissements!$B$6:$B$3005,$A2712))</f>
        <v/>
      </c>
      <c r="J2712" s="9">
        <f>IF($A2712="","",$H2712-$I2712)</f>
        <v/>
      </c>
      <c r="K2712" s="10">
        <f>IF($A2712="","",IF($I2712=0,"",_xludf.AGGREGATE(14,6,Ventes_Encaissements!$C$6:$C$3005/(Ventes_Encaissements!$B$6:$B$3005=$A2712),1)))</f>
        <v/>
      </c>
      <c r="L2712" s="11">
        <f>IF($A2712="","",COUNTIFS(Ventes_Detail!$B$6:$B$3005,$A2712))</f>
        <v/>
      </c>
      <c r="M2712" s="12" t="n"/>
      <c r="N2712" s="12">
        <f>IF($A2712="","",IF($G2712="","",IF($M2712="Oui","Litige",IF($J2712&lt;=0,"Payé",IF($I2712&gt;0,"Partiel",IF(Listes!$B$3&gt;$G2712,"En retard","À échoir"))))))</f>
        <v/>
      </c>
      <c r="O2712" s="11">
        <f>IF($A2712="","",IF(OR($G2712="", $J2712&lt;=0),0,MAX(0,Listes!$B$3-$G2712)))</f>
        <v/>
      </c>
      <c r="P2712" s="12">
        <f>IF($A2712="","",IF($J2712&lt;=0,"Payé",IF($M2712="Oui","Litige",IF($O2712=0,"À échoir",IF($O2712&lt;=30,"0-30",IF($O2712&lt;=60,"31-60",IF($O2712&lt;=90,"61-90","90+")))))))</f>
        <v/>
      </c>
    </row>
    <row r="2713">
      <c r="A2713" s="6" t="n"/>
      <c r="B2713" s="6" t="n"/>
      <c r="C2713" s="6" t="n"/>
      <c r="D2713" s="6" t="n"/>
      <c r="E2713" s="6" t="n"/>
      <c r="F2713" s="7" t="n"/>
      <c r="G2713" s="7" t="n"/>
      <c r="H2713" s="8" t="n"/>
      <c r="I2713" s="9">
        <f>IF($A2713="","",SUMIFS(Ventes_Encaissements!$D$6:$D$3005,Ventes_Encaissements!$B$6:$B$3005,$A2713))</f>
        <v/>
      </c>
      <c r="J2713" s="9">
        <f>IF($A2713="","",$H2713-$I2713)</f>
        <v/>
      </c>
      <c r="K2713" s="10">
        <f>IF($A2713="","",IF($I2713=0,"",_xludf.AGGREGATE(14,6,Ventes_Encaissements!$C$6:$C$3005/(Ventes_Encaissements!$B$6:$B$3005=$A2713),1)))</f>
        <v/>
      </c>
      <c r="L2713" s="11">
        <f>IF($A2713="","",COUNTIFS(Ventes_Detail!$B$6:$B$3005,$A2713))</f>
        <v/>
      </c>
      <c r="M2713" s="12" t="n"/>
      <c r="N2713" s="12">
        <f>IF($A2713="","",IF($G2713="","",IF($M2713="Oui","Litige",IF($J2713&lt;=0,"Payé",IF($I2713&gt;0,"Partiel",IF(Listes!$B$3&gt;$G2713,"En retard","À échoir"))))))</f>
        <v/>
      </c>
      <c r="O2713" s="11">
        <f>IF($A2713="","",IF(OR($G2713="", $J2713&lt;=0),0,MAX(0,Listes!$B$3-$G2713)))</f>
        <v/>
      </c>
      <c r="P2713" s="12">
        <f>IF($A2713="","",IF($J2713&lt;=0,"Payé",IF($M2713="Oui","Litige",IF($O2713=0,"À échoir",IF($O2713&lt;=30,"0-30",IF($O2713&lt;=60,"31-60",IF($O2713&lt;=90,"61-90","90+")))))))</f>
        <v/>
      </c>
    </row>
    <row r="2714">
      <c r="A2714" s="6" t="n"/>
      <c r="B2714" s="6" t="n"/>
      <c r="C2714" s="6" t="n"/>
      <c r="D2714" s="6" t="n"/>
      <c r="E2714" s="6" t="n"/>
      <c r="F2714" s="7" t="n"/>
      <c r="G2714" s="7" t="n"/>
      <c r="H2714" s="8" t="n"/>
      <c r="I2714" s="9">
        <f>IF($A2714="","",SUMIFS(Ventes_Encaissements!$D$6:$D$3005,Ventes_Encaissements!$B$6:$B$3005,$A2714))</f>
        <v/>
      </c>
      <c r="J2714" s="9">
        <f>IF($A2714="","",$H2714-$I2714)</f>
        <v/>
      </c>
      <c r="K2714" s="10">
        <f>IF($A2714="","",IF($I2714=0,"",_xludf.AGGREGATE(14,6,Ventes_Encaissements!$C$6:$C$3005/(Ventes_Encaissements!$B$6:$B$3005=$A2714),1)))</f>
        <v/>
      </c>
      <c r="L2714" s="11">
        <f>IF($A2714="","",COUNTIFS(Ventes_Detail!$B$6:$B$3005,$A2714))</f>
        <v/>
      </c>
      <c r="M2714" s="12" t="n"/>
      <c r="N2714" s="12">
        <f>IF($A2714="","",IF($G2714="","",IF($M2714="Oui","Litige",IF($J2714&lt;=0,"Payé",IF($I2714&gt;0,"Partiel",IF(Listes!$B$3&gt;$G2714,"En retard","À échoir"))))))</f>
        <v/>
      </c>
      <c r="O2714" s="11">
        <f>IF($A2714="","",IF(OR($G2714="", $J2714&lt;=0),0,MAX(0,Listes!$B$3-$G2714)))</f>
        <v/>
      </c>
      <c r="P2714" s="12">
        <f>IF($A2714="","",IF($J2714&lt;=0,"Payé",IF($M2714="Oui","Litige",IF($O2714=0,"À échoir",IF($O2714&lt;=30,"0-30",IF($O2714&lt;=60,"31-60",IF($O2714&lt;=90,"61-90","90+")))))))</f>
        <v/>
      </c>
    </row>
    <row r="2715">
      <c r="A2715" s="6" t="n"/>
      <c r="B2715" s="6" t="n"/>
      <c r="C2715" s="6" t="n"/>
      <c r="D2715" s="6" t="n"/>
      <c r="E2715" s="6" t="n"/>
      <c r="F2715" s="7" t="n"/>
      <c r="G2715" s="7" t="n"/>
      <c r="H2715" s="8" t="n"/>
      <c r="I2715" s="9">
        <f>IF($A2715="","",SUMIFS(Ventes_Encaissements!$D$6:$D$3005,Ventes_Encaissements!$B$6:$B$3005,$A2715))</f>
        <v/>
      </c>
      <c r="J2715" s="9">
        <f>IF($A2715="","",$H2715-$I2715)</f>
        <v/>
      </c>
      <c r="K2715" s="10">
        <f>IF($A2715="","",IF($I2715=0,"",_xludf.AGGREGATE(14,6,Ventes_Encaissements!$C$6:$C$3005/(Ventes_Encaissements!$B$6:$B$3005=$A2715),1)))</f>
        <v/>
      </c>
      <c r="L2715" s="11">
        <f>IF($A2715="","",COUNTIFS(Ventes_Detail!$B$6:$B$3005,$A2715))</f>
        <v/>
      </c>
      <c r="M2715" s="12" t="n"/>
      <c r="N2715" s="12">
        <f>IF($A2715="","",IF($G2715="","",IF($M2715="Oui","Litige",IF($J2715&lt;=0,"Payé",IF($I2715&gt;0,"Partiel",IF(Listes!$B$3&gt;$G2715,"En retard","À échoir"))))))</f>
        <v/>
      </c>
      <c r="O2715" s="11">
        <f>IF($A2715="","",IF(OR($G2715="", $J2715&lt;=0),0,MAX(0,Listes!$B$3-$G2715)))</f>
        <v/>
      </c>
      <c r="P2715" s="12">
        <f>IF($A2715="","",IF($J2715&lt;=0,"Payé",IF($M2715="Oui","Litige",IF($O2715=0,"À échoir",IF($O2715&lt;=30,"0-30",IF($O2715&lt;=60,"31-60",IF($O2715&lt;=90,"61-90","90+")))))))</f>
        <v/>
      </c>
    </row>
    <row r="2716">
      <c r="A2716" s="6" t="n"/>
      <c r="B2716" s="6" t="n"/>
      <c r="C2716" s="6" t="n"/>
      <c r="D2716" s="6" t="n"/>
      <c r="E2716" s="6" t="n"/>
      <c r="F2716" s="7" t="n"/>
      <c r="G2716" s="7" t="n"/>
      <c r="H2716" s="8" t="n"/>
      <c r="I2716" s="9">
        <f>IF($A2716="","",SUMIFS(Ventes_Encaissements!$D$6:$D$3005,Ventes_Encaissements!$B$6:$B$3005,$A2716))</f>
        <v/>
      </c>
      <c r="J2716" s="9">
        <f>IF($A2716="","",$H2716-$I2716)</f>
        <v/>
      </c>
      <c r="K2716" s="10">
        <f>IF($A2716="","",IF($I2716=0,"",_xludf.AGGREGATE(14,6,Ventes_Encaissements!$C$6:$C$3005/(Ventes_Encaissements!$B$6:$B$3005=$A2716),1)))</f>
        <v/>
      </c>
      <c r="L2716" s="11">
        <f>IF($A2716="","",COUNTIFS(Ventes_Detail!$B$6:$B$3005,$A2716))</f>
        <v/>
      </c>
      <c r="M2716" s="12" t="n"/>
      <c r="N2716" s="12">
        <f>IF($A2716="","",IF($G2716="","",IF($M2716="Oui","Litige",IF($J2716&lt;=0,"Payé",IF($I2716&gt;0,"Partiel",IF(Listes!$B$3&gt;$G2716,"En retard","À échoir"))))))</f>
        <v/>
      </c>
      <c r="O2716" s="11">
        <f>IF($A2716="","",IF(OR($G2716="", $J2716&lt;=0),0,MAX(0,Listes!$B$3-$G2716)))</f>
        <v/>
      </c>
      <c r="P2716" s="12">
        <f>IF($A2716="","",IF($J2716&lt;=0,"Payé",IF($M2716="Oui","Litige",IF($O2716=0,"À échoir",IF($O2716&lt;=30,"0-30",IF($O2716&lt;=60,"31-60",IF($O2716&lt;=90,"61-90","90+")))))))</f>
        <v/>
      </c>
    </row>
    <row r="2717">
      <c r="A2717" s="6" t="n"/>
      <c r="B2717" s="6" t="n"/>
      <c r="C2717" s="6" t="n"/>
      <c r="D2717" s="6" t="n"/>
      <c r="E2717" s="6" t="n"/>
      <c r="F2717" s="7" t="n"/>
      <c r="G2717" s="7" t="n"/>
      <c r="H2717" s="8" t="n"/>
      <c r="I2717" s="9">
        <f>IF($A2717="","",SUMIFS(Ventes_Encaissements!$D$6:$D$3005,Ventes_Encaissements!$B$6:$B$3005,$A2717))</f>
        <v/>
      </c>
      <c r="J2717" s="9">
        <f>IF($A2717="","",$H2717-$I2717)</f>
        <v/>
      </c>
      <c r="K2717" s="10">
        <f>IF($A2717="","",IF($I2717=0,"",_xludf.AGGREGATE(14,6,Ventes_Encaissements!$C$6:$C$3005/(Ventes_Encaissements!$B$6:$B$3005=$A2717),1)))</f>
        <v/>
      </c>
      <c r="L2717" s="11">
        <f>IF($A2717="","",COUNTIFS(Ventes_Detail!$B$6:$B$3005,$A2717))</f>
        <v/>
      </c>
      <c r="M2717" s="12" t="n"/>
      <c r="N2717" s="12">
        <f>IF($A2717="","",IF($G2717="","",IF($M2717="Oui","Litige",IF($J2717&lt;=0,"Payé",IF($I2717&gt;0,"Partiel",IF(Listes!$B$3&gt;$G2717,"En retard","À échoir"))))))</f>
        <v/>
      </c>
      <c r="O2717" s="11">
        <f>IF($A2717="","",IF(OR($G2717="", $J2717&lt;=0),0,MAX(0,Listes!$B$3-$G2717)))</f>
        <v/>
      </c>
      <c r="P2717" s="12">
        <f>IF($A2717="","",IF($J2717&lt;=0,"Payé",IF($M2717="Oui","Litige",IF($O2717=0,"À échoir",IF($O2717&lt;=30,"0-30",IF($O2717&lt;=60,"31-60",IF($O2717&lt;=90,"61-90","90+")))))))</f>
        <v/>
      </c>
    </row>
    <row r="2718">
      <c r="A2718" s="6" t="n"/>
      <c r="B2718" s="6" t="n"/>
      <c r="C2718" s="6" t="n"/>
      <c r="D2718" s="6" t="n"/>
      <c r="E2718" s="6" t="n"/>
      <c r="F2718" s="7" t="n"/>
      <c r="G2718" s="7" t="n"/>
      <c r="H2718" s="8" t="n"/>
      <c r="I2718" s="9">
        <f>IF($A2718="","",SUMIFS(Ventes_Encaissements!$D$6:$D$3005,Ventes_Encaissements!$B$6:$B$3005,$A2718))</f>
        <v/>
      </c>
      <c r="J2718" s="9">
        <f>IF($A2718="","",$H2718-$I2718)</f>
        <v/>
      </c>
      <c r="K2718" s="10">
        <f>IF($A2718="","",IF($I2718=0,"",_xludf.AGGREGATE(14,6,Ventes_Encaissements!$C$6:$C$3005/(Ventes_Encaissements!$B$6:$B$3005=$A2718),1)))</f>
        <v/>
      </c>
      <c r="L2718" s="11">
        <f>IF($A2718="","",COUNTIFS(Ventes_Detail!$B$6:$B$3005,$A2718))</f>
        <v/>
      </c>
      <c r="M2718" s="12" t="n"/>
      <c r="N2718" s="12">
        <f>IF($A2718="","",IF($G2718="","",IF($M2718="Oui","Litige",IF($J2718&lt;=0,"Payé",IF($I2718&gt;0,"Partiel",IF(Listes!$B$3&gt;$G2718,"En retard","À échoir"))))))</f>
        <v/>
      </c>
      <c r="O2718" s="11">
        <f>IF($A2718="","",IF(OR($G2718="", $J2718&lt;=0),0,MAX(0,Listes!$B$3-$G2718)))</f>
        <v/>
      </c>
      <c r="P2718" s="12">
        <f>IF($A2718="","",IF($J2718&lt;=0,"Payé",IF($M2718="Oui","Litige",IF($O2718=0,"À échoir",IF($O2718&lt;=30,"0-30",IF($O2718&lt;=60,"31-60",IF($O2718&lt;=90,"61-90","90+")))))))</f>
        <v/>
      </c>
    </row>
    <row r="2719">
      <c r="A2719" s="6" t="n"/>
      <c r="B2719" s="6" t="n"/>
      <c r="C2719" s="6" t="n"/>
      <c r="D2719" s="6" t="n"/>
      <c r="E2719" s="6" t="n"/>
      <c r="F2719" s="7" t="n"/>
      <c r="G2719" s="7" t="n"/>
      <c r="H2719" s="8" t="n"/>
      <c r="I2719" s="9">
        <f>IF($A2719="","",SUMIFS(Ventes_Encaissements!$D$6:$D$3005,Ventes_Encaissements!$B$6:$B$3005,$A2719))</f>
        <v/>
      </c>
      <c r="J2719" s="9">
        <f>IF($A2719="","",$H2719-$I2719)</f>
        <v/>
      </c>
      <c r="K2719" s="10">
        <f>IF($A2719="","",IF($I2719=0,"",_xludf.AGGREGATE(14,6,Ventes_Encaissements!$C$6:$C$3005/(Ventes_Encaissements!$B$6:$B$3005=$A2719),1)))</f>
        <v/>
      </c>
      <c r="L2719" s="11">
        <f>IF($A2719="","",COUNTIFS(Ventes_Detail!$B$6:$B$3005,$A2719))</f>
        <v/>
      </c>
      <c r="M2719" s="12" t="n"/>
      <c r="N2719" s="12">
        <f>IF($A2719="","",IF($G2719="","",IF($M2719="Oui","Litige",IF($J2719&lt;=0,"Payé",IF($I2719&gt;0,"Partiel",IF(Listes!$B$3&gt;$G2719,"En retard","À échoir"))))))</f>
        <v/>
      </c>
      <c r="O2719" s="11">
        <f>IF($A2719="","",IF(OR($G2719="", $J2719&lt;=0),0,MAX(0,Listes!$B$3-$G2719)))</f>
        <v/>
      </c>
      <c r="P2719" s="12">
        <f>IF($A2719="","",IF($J2719&lt;=0,"Payé",IF($M2719="Oui","Litige",IF($O2719=0,"À échoir",IF($O2719&lt;=30,"0-30",IF($O2719&lt;=60,"31-60",IF($O2719&lt;=90,"61-90","90+")))))))</f>
        <v/>
      </c>
    </row>
    <row r="2720">
      <c r="A2720" s="6" t="n"/>
      <c r="B2720" s="6" t="n"/>
      <c r="C2720" s="6" t="n"/>
      <c r="D2720" s="6" t="n"/>
      <c r="E2720" s="6" t="n"/>
      <c r="F2720" s="7" t="n"/>
      <c r="G2720" s="7" t="n"/>
      <c r="H2720" s="8" t="n"/>
      <c r="I2720" s="9">
        <f>IF($A2720="","",SUMIFS(Ventes_Encaissements!$D$6:$D$3005,Ventes_Encaissements!$B$6:$B$3005,$A2720))</f>
        <v/>
      </c>
      <c r="J2720" s="9">
        <f>IF($A2720="","",$H2720-$I2720)</f>
        <v/>
      </c>
      <c r="K2720" s="10">
        <f>IF($A2720="","",IF($I2720=0,"",_xludf.AGGREGATE(14,6,Ventes_Encaissements!$C$6:$C$3005/(Ventes_Encaissements!$B$6:$B$3005=$A2720),1)))</f>
        <v/>
      </c>
      <c r="L2720" s="11">
        <f>IF($A2720="","",COUNTIFS(Ventes_Detail!$B$6:$B$3005,$A2720))</f>
        <v/>
      </c>
      <c r="M2720" s="12" t="n"/>
      <c r="N2720" s="12">
        <f>IF($A2720="","",IF($G2720="","",IF($M2720="Oui","Litige",IF($J2720&lt;=0,"Payé",IF($I2720&gt;0,"Partiel",IF(Listes!$B$3&gt;$G2720,"En retard","À échoir"))))))</f>
        <v/>
      </c>
      <c r="O2720" s="11">
        <f>IF($A2720="","",IF(OR($G2720="", $J2720&lt;=0),0,MAX(0,Listes!$B$3-$G2720)))</f>
        <v/>
      </c>
      <c r="P2720" s="12">
        <f>IF($A2720="","",IF($J2720&lt;=0,"Payé",IF($M2720="Oui","Litige",IF($O2720=0,"À échoir",IF($O2720&lt;=30,"0-30",IF($O2720&lt;=60,"31-60",IF($O2720&lt;=90,"61-90","90+")))))))</f>
        <v/>
      </c>
    </row>
    <row r="2721">
      <c r="A2721" s="6" t="n"/>
      <c r="B2721" s="6" t="n"/>
      <c r="C2721" s="6" t="n"/>
      <c r="D2721" s="6" t="n"/>
      <c r="E2721" s="6" t="n"/>
      <c r="F2721" s="7" t="n"/>
      <c r="G2721" s="7" t="n"/>
      <c r="H2721" s="8" t="n"/>
      <c r="I2721" s="9">
        <f>IF($A2721="","",SUMIFS(Ventes_Encaissements!$D$6:$D$3005,Ventes_Encaissements!$B$6:$B$3005,$A2721))</f>
        <v/>
      </c>
      <c r="J2721" s="9">
        <f>IF($A2721="","",$H2721-$I2721)</f>
        <v/>
      </c>
      <c r="K2721" s="10">
        <f>IF($A2721="","",IF($I2721=0,"",_xludf.AGGREGATE(14,6,Ventes_Encaissements!$C$6:$C$3005/(Ventes_Encaissements!$B$6:$B$3005=$A2721),1)))</f>
        <v/>
      </c>
      <c r="L2721" s="11">
        <f>IF($A2721="","",COUNTIFS(Ventes_Detail!$B$6:$B$3005,$A2721))</f>
        <v/>
      </c>
      <c r="M2721" s="12" t="n"/>
      <c r="N2721" s="12">
        <f>IF($A2721="","",IF($G2721="","",IF($M2721="Oui","Litige",IF($J2721&lt;=0,"Payé",IF($I2721&gt;0,"Partiel",IF(Listes!$B$3&gt;$G2721,"En retard","À échoir"))))))</f>
        <v/>
      </c>
      <c r="O2721" s="11">
        <f>IF($A2721="","",IF(OR($G2721="", $J2721&lt;=0),0,MAX(0,Listes!$B$3-$G2721)))</f>
        <v/>
      </c>
      <c r="P2721" s="12">
        <f>IF($A2721="","",IF($J2721&lt;=0,"Payé",IF($M2721="Oui","Litige",IF($O2721=0,"À échoir",IF($O2721&lt;=30,"0-30",IF($O2721&lt;=60,"31-60",IF($O2721&lt;=90,"61-90","90+")))))))</f>
        <v/>
      </c>
    </row>
    <row r="2722">
      <c r="A2722" s="6" t="n"/>
      <c r="B2722" s="6" t="n"/>
      <c r="C2722" s="6" t="n"/>
      <c r="D2722" s="6" t="n"/>
      <c r="E2722" s="6" t="n"/>
      <c r="F2722" s="7" t="n"/>
      <c r="G2722" s="7" t="n"/>
      <c r="H2722" s="8" t="n"/>
      <c r="I2722" s="9">
        <f>IF($A2722="","",SUMIFS(Ventes_Encaissements!$D$6:$D$3005,Ventes_Encaissements!$B$6:$B$3005,$A2722))</f>
        <v/>
      </c>
      <c r="J2722" s="9">
        <f>IF($A2722="","",$H2722-$I2722)</f>
        <v/>
      </c>
      <c r="K2722" s="10">
        <f>IF($A2722="","",IF($I2722=0,"",_xludf.AGGREGATE(14,6,Ventes_Encaissements!$C$6:$C$3005/(Ventes_Encaissements!$B$6:$B$3005=$A2722),1)))</f>
        <v/>
      </c>
      <c r="L2722" s="11">
        <f>IF($A2722="","",COUNTIFS(Ventes_Detail!$B$6:$B$3005,$A2722))</f>
        <v/>
      </c>
      <c r="M2722" s="12" t="n"/>
      <c r="N2722" s="12">
        <f>IF($A2722="","",IF($G2722="","",IF($M2722="Oui","Litige",IF($J2722&lt;=0,"Payé",IF($I2722&gt;0,"Partiel",IF(Listes!$B$3&gt;$G2722,"En retard","À échoir"))))))</f>
        <v/>
      </c>
      <c r="O2722" s="11">
        <f>IF($A2722="","",IF(OR($G2722="", $J2722&lt;=0),0,MAX(0,Listes!$B$3-$G2722)))</f>
        <v/>
      </c>
      <c r="P2722" s="12">
        <f>IF($A2722="","",IF($J2722&lt;=0,"Payé",IF($M2722="Oui","Litige",IF($O2722=0,"À échoir",IF($O2722&lt;=30,"0-30",IF($O2722&lt;=60,"31-60",IF($O2722&lt;=90,"61-90","90+")))))))</f>
        <v/>
      </c>
    </row>
    <row r="2723">
      <c r="A2723" s="6" t="n"/>
      <c r="B2723" s="6" t="n"/>
      <c r="C2723" s="6" t="n"/>
      <c r="D2723" s="6" t="n"/>
      <c r="E2723" s="6" t="n"/>
      <c r="F2723" s="7" t="n"/>
      <c r="G2723" s="7" t="n"/>
      <c r="H2723" s="8" t="n"/>
      <c r="I2723" s="9">
        <f>IF($A2723="","",SUMIFS(Ventes_Encaissements!$D$6:$D$3005,Ventes_Encaissements!$B$6:$B$3005,$A2723))</f>
        <v/>
      </c>
      <c r="J2723" s="9">
        <f>IF($A2723="","",$H2723-$I2723)</f>
        <v/>
      </c>
      <c r="K2723" s="10">
        <f>IF($A2723="","",IF($I2723=0,"",_xludf.AGGREGATE(14,6,Ventes_Encaissements!$C$6:$C$3005/(Ventes_Encaissements!$B$6:$B$3005=$A2723),1)))</f>
        <v/>
      </c>
      <c r="L2723" s="11">
        <f>IF($A2723="","",COUNTIFS(Ventes_Detail!$B$6:$B$3005,$A2723))</f>
        <v/>
      </c>
      <c r="M2723" s="12" t="n"/>
      <c r="N2723" s="12">
        <f>IF($A2723="","",IF($G2723="","",IF($M2723="Oui","Litige",IF($J2723&lt;=0,"Payé",IF($I2723&gt;0,"Partiel",IF(Listes!$B$3&gt;$G2723,"En retard","À échoir"))))))</f>
        <v/>
      </c>
      <c r="O2723" s="11">
        <f>IF($A2723="","",IF(OR($G2723="", $J2723&lt;=0),0,MAX(0,Listes!$B$3-$G2723)))</f>
        <v/>
      </c>
      <c r="P2723" s="12">
        <f>IF($A2723="","",IF($J2723&lt;=0,"Payé",IF($M2723="Oui","Litige",IF($O2723=0,"À échoir",IF($O2723&lt;=30,"0-30",IF($O2723&lt;=60,"31-60",IF($O2723&lt;=90,"61-90","90+")))))))</f>
        <v/>
      </c>
    </row>
    <row r="2724">
      <c r="A2724" s="6" t="n"/>
      <c r="B2724" s="6" t="n"/>
      <c r="C2724" s="6" t="n"/>
      <c r="D2724" s="6" t="n"/>
      <c r="E2724" s="6" t="n"/>
      <c r="F2724" s="7" t="n"/>
      <c r="G2724" s="7" t="n"/>
      <c r="H2724" s="8" t="n"/>
      <c r="I2724" s="9">
        <f>IF($A2724="","",SUMIFS(Ventes_Encaissements!$D$6:$D$3005,Ventes_Encaissements!$B$6:$B$3005,$A2724))</f>
        <v/>
      </c>
      <c r="J2724" s="9">
        <f>IF($A2724="","",$H2724-$I2724)</f>
        <v/>
      </c>
      <c r="K2724" s="10">
        <f>IF($A2724="","",IF($I2724=0,"",_xludf.AGGREGATE(14,6,Ventes_Encaissements!$C$6:$C$3005/(Ventes_Encaissements!$B$6:$B$3005=$A2724),1)))</f>
        <v/>
      </c>
      <c r="L2724" s="11">
        <f>IF($A2724="","",COUNTIFS(Ventes_Detail!$B$6:$B$3005,$A2724))</f>
        <v/>
      </c>
      <c r="M2724" s="12" t="n"/>
      <c r="N2724" s="12">
        <f>IF($A2724="","",IF($G2724="","",IF($M2724="Oui","Litige",IF($J2724&lt;=0,"Payé",IF($I2724&gt;0,"Partiel",IF(Listes!$B$3&gt;$G2724,"En retard","À échoir"))))))</f>
        <v/>
      </c>
      <c r="O2724" s="11">
        <f>IF($A2724="","",IF(OR($G2724="", $J2724&lt;=0),0,MAX(0,Listes!$B$3-$G2724)))</f>
        <v/>
      </c>
      <c r="P2724" s="12">
        <f>IF($A2724="","",IF($J2724&lt;=0,"Payé",IF($M2724="Oui","Litige",IF($O2724=0,"À échoir",IF($O2724&lt;=30,"0-30",IF($O2724&lt;=60,"31-60",IF($O2724&lt;=90,"61-90","90+")))))))</f>
        <v/>
      </c>
    </row>
    <row r="2725">
      <c r="A2725" s="6" t="n"/>
      <c r="B2725" s="6" t="n"/>
      <c r="C2725" s="6" t="n"/>
      <c r="D2725" s="6" t="n"/>
      <c r="E2725" s="6" t="n"/>
      <c r="F2725" s="7" t="n"/>
      <c r="G2725" s="7" t="n"/>
      <c r="H2725" s="8" t="n"/>
      <c r="I2725" s="9">
        <f>IF($A2725="","",SUMIFS(Ventes_Encaissements!$D$6:$D$3005,Ventes_Encaissements!$B$6:$B$3005,$A2725))</f>
        <v/>
      </c>
      <c r="J2725" s="9">
        <f>IF($A2725="","",$H2725-$I2725)</f>
        <v/>
      </c>
      <c r="K2725" s="10">
        <f>IF($A2725="","",IF($I2725=0,"",_xludf.AGGREGATE(14,6,Ventes_Encaissements!$C$6:$C$3005/(Ventes_Encaissements!$B$6:$B$3005=$A2725),1)))</f>
        <v/>
      </c>
      <c r="L2725" s="11">
        <f>IF($A2725="","",COUNTIFS(Ventes_Detail!$B$6:$B$3005,$A2725))</f>
        <v/>
      </c>
      <c r="M2725" s="12" t="n"/>
      <c r="N2725" s="12">
        <f>IF($A2725="","",IF($G2725="","",IF($M2725="Oui","Litige",IF($J2725&lt;=0,"Payé",IF($I2725&gt;0,"Partiel",IF(Listes!$B$3&gt;$G2725,"En retard","À échoir"))))))</f>
        <v/>
      </c>
      <c r="O2725" s="11">
        <f>IF($A2725="","",IF(OR($G2725="", $J2725&lt;=0),0,MAX(0,Listes!$B$3-$G2725)))</f>
        <v/>
      </c>
      <c r="P2725" s="12">
        <f>IF($A2725="","",IF($J2725&lt;=0,"Payé",IF($M2725="Oui","Litige",IF($O2725=0,"À échoir",IF($O2725&lt;=30,"0-30",IF($O2725&lt;=60,"31-60",IF($O2725&lt;=90,"61-90","90+")))))))</f>
        <v/>
      </c>
    </row>
    <row r="2726">
      <c r="A2726" s="6" t="n"/>
      <c r="B2726" s="6" t="n"/>
      <c r="C2726" s="6" t="n"/>
      <c r="D2726" s="6" t="n"/>
      <c r="E2726" s="6" t="n"/>
      <c r="F2726" s="7" t="n"/>
      <c r="G2726" s="7" t="n"/>
      <c r="H2726" s="8" t="n"/>
      <c r="I2726" s="9">
        <f>IF($A2726="","",SUMIFS(Ventes_Encaissements!$D$6:$D$3005,Ventes_Encaissements!$B$6:$B$3005,$A2726))</f>
        <v/>
      </c>
      <c r="J2726" s="9">
        <f>IF($A2726="","",$H2726-$I2726)</f>
        <v/>
      </c>
      <c r="K2726" s="10">
        <f>IF($A2726="","",IF($I2726=0,"",_xludf.AGGREGATE(14,6,Ventes_Encaissements!$C$6:$C$3005/(Ventes_Encaissements!$B$6:$B$3005=$A2726),1)))</f>
        <v/>
      </c>
      <c r="L2726" s="11">
        <f>IF($A2726="","",COUNTIFS(Ventes_Detail!$B$6:$B$3005,$A2726))</f>
        <v/>
      </c>
      <c r="M2726" s="12" t="n"/>
      <c r="N2726" s="12">
        <f>IF($A2726="","",IF($G2726="","",IF($M2726="Oui","Litige",IF($J2726&lt;=0,"Payé",IF($I2726&gt;0,"Partiel",IF(Listes!$B$3&gt;$G2726,"En retard","À échoir"))))))</f>
        <v/>
      </c>
      <c r="O2726" s="11">
        <f>IF($A2726="","",IF(OR($G2726="", $J2726&lt;=0),0,MAX(0,Listes!$B$3-$G2726)))</f>
        <v/>
      </c>
      <c r="P2726" s="12">
        <f>IF($A2726="","",IF($J2726&lt;=0,"Payé",IF($M2726="Oui","Litige",IF($O2726=0,"À échoir",IF($O2726&lt;=30,"0-30",IF($O2726&lt;=60,"31-60",IF($O2726&lt;=90,"61-90","90+")))))))</f>
        <v/>
      </c>
    </row>
    <row r="2727">
      <c r="A2727" s="6" t="n"/>
      <c r="B2727" s="6" t="n"/>
      <c r="C2727" s="6" t="n"/>
      <c r="D2727" s="6" t="n"/>
      <c r="E2727" s="6" t="n"/>
      <c r="F2727" s="7" t="n"/>
      <c r="G2727" s="7" t="n"/>
      <c r="H2727" s="8" t="n"/>
      <c r="I2727" s="9">
        <f>IF($A2727="","",SUMIFS(Ventes_Encaissements!$D$6:$D$3005,Ventes_Encaissements!$B$6:$B$3005,$A2727))</f>
        <v/>
      </c>
      <c r="J2727" s="9">
        <f>IF($A2727="","",$H2727-$I2727)</f>
        <v/>
      </c>
      <c r="K2727" s="10">
        <f>IF($A2727="","",IF($I2727=0,"",_xludf.AGGREGATE(14,6,Ventes_Encaissements!$C$6:$C$3005/(Ventes_Encaissements!$B$6:$B$3005=$A2727),1)))</f>
        <v/>
      </c>
      <c r="L2727" s="11">
        <f>IF($A2727="","",COUNTIFS(Ventes_Detail!$B$6:$B$3005,$A2727))</f>
        <v/>
      </c>
      <c r="M2727" s="12" t="n"/>
      <c r="N2727" s="12">
        <f>IF($A2727="","",IF($G2727="","",IF($M2727="Oui","Litige",IF($J2727&lt;=0,"Payé",IF($I2727&gt;0,"Partiel",IF(Listes!$B$3&gt;$G2727,"En retard","À échoir"))))))</f>
        <v/>
      </c>
      <c r="O2727" s="11">
        <f>IF($A2727="","",IF(OR($G2727="", $J2727&lt;=0),0,MAX(0,Listes!$B$3-$G2727)))</f>
        <v/>
      </c>
      <c r="P2727" s="12">
        <f>IF($A2727="","",IF($J2727&lt;=0,"Payé",IF($M2727="Oui","Litige",IF($O2727=0,"À échoir",IF($O2727&lt;=30,"0-30",IF($O2727&lt;=60,"31-60",IF($O2727&lt;=90,"61-90","90+")))))))</f>
        <v/>
      </c>
    </row>
    <row r="2728">
      <c r="A2728" s="6" t="n"/>
      <c r="B2728" s="6" t="n"/>
      <c r="C2728" s="6" t="n"/>
      <c r="D2728" s="6" t="n"/>
      <c r="E2728" s="6" t="n"/>
      <c r="F2728" s="7" t="n"/>
      <c r="G2728" s="7" t="n"/>
      <c r="H2728" s="8" t="n"/>
      <c r="I2728" s="9">
        <f>IF($A2728="","",SUMIFS(Ventes_Encaissements!$D$6:$D$3005,Ventes_Encaissements!$B$6:$B$3005,$A2728))</f>
        <v/>
      </c>
      <c r="J2728" s="9">
        <f>IF($A2728="","",$H2728-$I2728)</f>
        <v/>
      </c>
      <c r="K2728" s="10">
        <f>IF($A2728="","",IF($I2728=0,"",_xludf.AGGREGATE(14,6,Ventes_Encaissements!$C$6:$C$3005/(Ventes_Encaissements!$B$6:$B$3005=$A2728),1)))</f>
        <v/>
      </c>
      <c r="L2728" s="11">
        <f>IF($A2728="","",COUNTIFS(Ventes_Detail!$B$6:$B$3005,$A2728))</f>
        <v/>
      </c>
      <c r="M2728" s="12" t="n"/>
      <c r="N2728" s="12">
        <f>IF($A2728="","",IF($G2728="","",IF($M2728="Oui","Litige",IF($J2728&lt;=0,"Payé",IF($I2728&gt;0,"Partiel",IF(Listes!$B$3&gt;$G2728,"En retard","À échoir"))))))</f>
        <v/>
      </c>
      <c r="O2728" s="11">
        <f>IF($A2728="","",IF(OR($G2728="", $J2728&lt;=0),0,MAX(0,Listes!$B$3-$G2728)))</f>
        <v/>
      </c>
      <c r="P2728" s="12">
        <f>IF($A2728="","",IF($J2728&lt;=0,"Payé",IF($M2728="Oui","Litige",IF($O2728=0,"À échoir",IF($O2728&lt;=30,"0-30",IF($O2728&lt;=60,"31-60",IF($O2728&lt;=90,"61-90","90+")))))))</f>
        <v/>
      </c>
    </row>
    <row r="2729">
      <c r="A2729" s="6" t="n"/>
      <c r="B2729" s="6" t="n"/>
      <c r="C2729" s="6" t="n"/>
      <c r="D2729" s="6" t="n"/>
      <c r="E2729" s="6" t="n"/>
      <c r="F2729" s="7" t="n"/>
      <c r="G2729" s="7" t="n"/>
      <c r="H2729" s="8" t="n"/>
      <c r="I2729" s="9">
        <f>IF($A2729="","",SUMIFS(Ventes_Encaissements!$D$6:$D$3005,Ventes_Encaissements!$B$6:$B$3005,$A2729))</f>
        <v/>
      </c>
      <c r="J2729" s="9">
        <f>IF($A2729="","",$H2729-$I2729)</f>
        <v/>
      </c>
      <c r="K2729" s="10">
        <f>IF($A2729="","",IF($I2729=0,"",_xludf.AGGREGATE(14,6,Ventes_Encaissements!$C$6:$C$3005/(Ventes_Encaissements!$B$6:$B$3005=$A2729),1)))</f>
        <v/>
      </c>
      <c r="L2729" s="11">
        <f>IF($A2729="","",COUNTIFS(Ventes_Detail!$B$6:$B$3005,$A2729))</f>
        <v/>
      </c>
      <c r="M2729" s="12" t="n"/>
      <c r="N2729" s="12">
        <f>IF($A2729="","",IF($G2729="","",IF($M2729="Oui","Litige",IF($J2729&lt;=0,"Payé",IF($I2729&gt;0,"Partiel",IF(Listes!$B$3&gt;$G2729,"En retard","À échoir"))))))</f>
        <v/>
      </c>
      <c r="O2729" s="11">
        <f>IF($A2729="","",IF(OR($G2729="", $J2729&lt;=0),0,MAX(0,Listes!$B$3-$G2729)))</f>
        <v/>
      </c>
      <c r="P2729" s="12">
        <f>IF($A2729="","",IF($J2729&lt;=0,"Payé",IF($M2729="Oui","Litige",IF($O2729=0,"À échoir",IF($O2729&lt;=30,"0-30",IF($O2729&lt;=60,"31-60",IF($O2729&lt;=90,"61-90","90+")))))))</f>
        <v/>
      </c>
    </row>
    <row r="2730">
      <c r="A2730" s="6" t="n"/>
      <c r="B2730" s="6" t="n"/>
      <c r="C2730" s="6" t="n"/>
      <c r="D2730" s="6" t="n"/>
      <c r="E2730" s="6" t="n"/>
      <c r="F2730" s="7" t="n"/>
      <c r="G2730" s="7" t="n"/>
      <c r="H2730" s="8" t="n"/>
      <c r="I2730" s="9">
        <f>IF($A2730="","",SUMIFS(Ventes_Encaissements!$D$6:$D$3005,Ventes_Encaissements!$B$6:$B$3005,$A2730))</f>
        <v/>
      </c>
      <c r="J2730" s="9">
        <f>IF($A2730="","",$H2730-$I2730)</f>
        <v/>
      </c>
      <c r="K2730" s="10">
        <f>IF($A2730="","",IF($I2730=0,"",_xludf.AGGREGATE(14,6,Ventes_Encaissements!$C$6:$C$3005/(Ventes_Encaissements!$B$6:$B$3005=$A2730),1)))</f>
        <v/>
      </c>
      <c r="L2730" s="11">
        <f>IF($A2730="","",COUNTIFS(Ventes_Detail!$B$6:$B$3005,$A2730))</f>
        <v/>
      </c>
      <c r="M2730" s="12" t="n"/>
      <c r="N2730" s="12">
        <f>IF($A2730="","",IF($G2730="","",IF($M2730="Oui","Litige",IF($J2730&lt;=0,"Payé",IF($I2730&gt;0,"Partiel",IF(Listes!$B$3&gt;$G2730,"En retard","À échoir"))))))</f>
        <v/>
      </c>
      <c r="O2730" s="11">
        <f>IF($A2730="","",IF(OR($G2730="", $J2730&lt;=0),0,MAX(0,Listes!$B$3-$G2730)))</f>
        <v/>
      </c>
      <c r="P2730" s="12">
        <f>IF($A2730="","",IF($J2730&lt;=0,"Payé",IF($M2730="Oui","Litige",IF($O2730=0,"À échoir",IF($O2730&lt;=30,"0-30",IF($O2730&lt;=60,"31-60",IF($O2730&lt;=90,"61-90","90+")))))))</f>
        <v/>
      </c>
    </row>
    <row r="2731">
      <c r="A2731" s="6" t="n"/>
      <c r="B2731" s="6" t="n"/>
      <c r="C2731" s="6" t="n"/>
      <c r="D2731" s="6" t="n"/>
      <c r="E2731" s="6" t="n"/>
      <c r="F2731" s="7" t="n"/>
      <c r="G2731" s="7" t="n"/>
      <c r="H2731" s="8" t="n"/>
      <c r="I2731" s="9">
        <f>IF($A2731="","",SUMIFS(Ventes_Encaissements!$D$6:$D$3005,Ventes_Encaissements!$B$6:$B$3005,$A2731))</f>
        <v/>
      </c>
      <c r="J2731" s="9">
        <f>IF($A2731="","",$H2731-$I2731)</f>
        <v/>
      </c>
      <c r="K2731" s="10">
        <f>IF($A2731="","",IF($I2731=0,"",_xludf.AGGREGATE(14,6,Ventes_Encaissements!$C$6:$C$3005/(Ventes_Encaissements!$B$6:$B$3005=$A2731),1)))</f>
        <v/>
      </c>
      <c r="L2731" s="11">
        <f>IF($A2731="","",COUNTIFS(Ventes_Detail!$B$6:$B$3005,$A2731))</f>
        <v/>
      </c>
      <c r="M2731" s="12" t="n"/>
      <c r="N2731" s="12">
        <f>IF($A2731="","",IF($G2731="","",IF($M2731="Oui","Litige",IF($J2731&lt;=0,"Payé",IF($I2731&gt;0,"Partiel",IF(Listes!$B$3&gt;$G2731,"En retard","À échoir"))))))</f>
        <v/>
      </c>
      <c r="O2731" s="11">
        <f>IF($A2731="","",IF(OR($G2731="", $J2731&lt;=0),0,MAX(0,Listes!$B$3-$G2731)))</f>
        <v/>
      </c>
      <c r="P2731" s="12">
        <f>IF($A2731="","",IF($J2731&lt;=0,"Payé",IF($M2731="Oui","Litige",IF($O2731=0,"À échoir",IF($O2731&lt;=30,"0-30",IF($O2731&lt;=60,"31-60",IF($O2731&lt;=90,"61-90","90+")))))))</f>
        <v/>
      </c>
    </row>
    <row r="2732">
      <c r="A2732" s="6" t="n"/>
      <c r="B2732" s="6" t="n"/>
      <c r="C2732" s="6" t="n"/>
      <c r="D2732" s="6" t="n"/>
      <c r="E2732" s="6" t="n"/>
      <c r="F2732" s="7" t="n"/>
      <c r="G2732" s="7" t="n"/>
      <c r="H2732" s="8" t="n"/>
      <c r="I2732" s="9">
        <f>IF($A2732="","",SUMIFS(Ventes_Encaissements!$D$6:$D$3005,Ventes_Encaissements!$B$6:$B$3005,$A2732))</f>
        <v/>
      </c>
      <c r="J2732" s="9">
        <f>IF($A2732="","",$H2732-$I2732)</f>
        <v/>
      </c>
      <c r="K2732" s="10">
        <f>IF($A2732="","",IF($I2732=0,"",_xludf.AGGREGATE(14,6,Ventes_Encaissements!$C$6:$C$3005/(Ventes_Encaissements!$B$6:$B$3005=$A2732),1)))</f>
        <v/>
      </c>
      <c r="L2732" s="11">
        <f>IF($A2732="","",COUNTIFS(Ventes_Detail!$B$6:$B$3005,$A2732))</f>
        <v/>
      </c>
      <c r="M2732" s="12" t="n"/>
      <c r="N2732" s="12">
        <f>IF($A2732="","",IF($G2732="","",IF($M2732="Oui","Litige",IF($J2732&lt;=0,"Payé",IF($I2732&gt;0,"Partiel",IF(Listes!$B$3&gt;$G2732,"En retard","À échoir"))))))</f>
        <v/>
      </c>
      <c r="O2732" s="11">
        <f>IF($A2732="","",IF(OR($G2732="", $J2732&lt;=0),0,MAX(0,Listes!$B$3-$G2732)))</f>
        <v/>
      </c>
      <c r="P2732" s="12">
        <f>IF($A2732="","",IF($J2732&lt;=0,"Payé",IF($M2732="Oui","Litige",IF($O2732=0,"À échoir",IF($O2732&lt;=30,"0-30",IF($O2732&lt;=60,"31-60",IF($O2732&lt;=90,"61-90","90+")))))))</f>
        <v/>
      </c>
    </row>
    <row r="2733">
      <c r="A2733" s="6" t="n"/>
      <c r="B2733" s="6" t="n"/>
      <c r="C2733" s="6" t="n"/>
      <c r="D2733" s="6" t="n"/>
      <c r="E2733" s="6" t="n"/>
      <c r="F2733" s="7" t="n"/>
      <c r="G2733" s="7" t="n"/>
      <c r="H2733" s="8" t="n"/>
      <c r="I2733" s="9">
        <f>IF($A2733="","",SUMIFS(Ventes_Encaissements!$D$6:$D$3005,Ventes_Encaissements!$B$6:$B$3005,$A2733))</f>
        <v/>
      </c>
      <c r="J2733" s="9">
        <f>IF($A2733="","",$H2733-$I2733)</f>
        <v/>
      </c>
      <c r="K2733" s="10">
        <f>IF($A2733="","",IF($I2733=0,"",_xludf.AGGREGATE(14,6,Ventes_Encaissements!$C$6:$C$3005/(Ventes_Encaissements!$B$6:$B$3005=$A2733),1)))</f>
        <v/>
      </c>
      <c r="L2733" s="11">
        <f>IF($A2733="","",COUNTIFS(Ventes_Detail!$B$6:$B$3005,$A2733))</f>
        <v/>
      </c>
      <c r="M2733" s="12" t="n"/>
      <c r="N2733" s="12">
        <f>IF($A2733="","",IF($G2733="","",IF($M2733="Oui","Litige",IF($J2733&lt;=0,"Payé",IF($I2733&gt;0,"Partiel",IF(Listes!$B$3&gt;$G2733,"En retard","À échoir"))))))</f>
        <v/>
      </c>
      <c r="O2733" s="11">
        <f>IF($A2733="","",IF(OR($G2733="", $J2733&lt;=0),0,MAX(0,Listes!$B$3-$G2733)))</f>
        <v/>
      </c>
      <c r="P2733" s="12">
        <f>IF($A2733="","",IF($J2733&lt;=0,"Payé",IF($M2733="Oui","Litige",IF($O2733=0,"À échoir",IF($O2733&lt;=30,"0-30",IF($O2733&lt;=60,"31-60",IF($O2733&lt;=90,"61-90","90+")))))))</f>
        <v/>
      </c>
    </row>
    <row r="2734">
      <c r="A2734" s="6" t="n"/>
      <c r="B2734" s="6" t="n"/>
      <c r="C2734" s="6" t="n"/>
      <c r="D2734" s="6" t="n"/>
      <c r="E2734" s="6" t="n"/>
      <c r="F2734" s="7" t="n"/>
      <c r="G2734" s="7" t="n"/>
      <c r="H2734" s="8" t="n"/>
      <c r="I2734" s="9">
        <f>IF($A2734="","",SUMIFS(Ventes_Encaissements!$D$6:$D$3005,Ventes_Encaissements!$B$6:$B$3005,$A2734))</f>
        <v/>
      </c>
      <c r="J2734" s="9">
        <f>IF($A2734="","",$H2734-$I2734)</f>
        <v/>
      </c>
      <c r="K2734" s="10">
        <f>IF($A2734="","",IF($I2734=0,"",_xludf.AGGREGATE(14,6,Ventes_Encaissements!$C$6:$C$3005/(Ventes_Encaissements!$B$6:$B$3005=$A2734),1)))</f>
        <v/>
      </c>
      <c r="L2734" s="11">
        <f>IF($A2734="","",COUNTIFS(Ventes_Detail!$B$6:$B$3005,$A2734))</f>
        <v/>
      </c>
      <c r="M2734" s="12" t="n"/>
      <c r="N2734" s="12">
        <f>IF($A2734="","",IF($G2734="","",IF($M2734="Oui","Litige",IF($J2734&lt;=0,"Payé",IF($I2734&gt;0,"Partiel",IF(Listes!$B$3&gt;$G2734,"En retard","À échoir"))))))</f>
        <v/>
      </c>
      <c r="O2734" s="11">
        <f>IF($A2734="","",IF(OR($G2734="", $J2734&lt;=0),0,MAX(0,Listes!$B$3-$G2734)))</f>
        <v/>
      </c>
      <c r="P2734" s="12">
        <f>IF($A2734="","",IF($J2734&lt;=0,"Payé",IF($M2734="Oui","Litige",IF($O2734=0,"À échoir",IF($O2734&lt;=30,"0-30",IF($O2734&lt;=60,"31-60",IF($O2734&lt;=90,"61-90","90+")))))))</f>
        <v/>
      </c>
    </row>
    <row r="2735">
      <c r="A2735" s="6" t="n"/>
      <c r="B2735" s="6" t="n"/>
      <c r="C2735" s="6" t="n"/>
      <c r="D2735" s="6" t="n"/>
      <c r="E2735" s="6" t="n"/>
      <c r="F2735" s="7" t="n"/>
      <c r="G2735" s="7" t="n"/>
      <c r="H2735" s="8" t="n"/>
      <c r="I2735" s="9">
        <f>IF($A2735="","",SUMIFS(Ventes_Encaissements!$D$6:$D$3005,Ventes_Encaissements!$B$6:$B$3005,$A2735))</f>
        <v/>
      </c>
      <c r="J2735" s="9">
        <f>IF($A2735="","",$H2735-$I2735)</f>
        <v/>
      </c>
      <c r="K2735" s="10">
        <f>IF($A2735="","",IF($I2735=0,"",_xludf.AGGREGATE(14,6,Ventes_Encaissements!$C$6:$C$3005/(Ventes_Encaissements!$B$6:$B$3005=$A2735),1)))</f>
        <v/>
      </c>
      <c r="L2735" s="11">
        <f>IF($A2735="","",COUNTIFS(Ventes_Detail!$B$6:$B$3005,$A2735))</f>
        <v/>
      </c>
      <c r="M2735" s="12" t="n"/>
      <c r="N2735" s="12">
        <f>IF($A2735="","",IF($G2735="","",IF($M2735="Oui","Litige",IF($J2735&lt;=0,"Payé",IF($I2735&gt;0,"Partiel",IF(Listes!$B$3&gt;$G2735,"En retard","À échoir"))))))</f>
        <v/>
      </c>
      <c r="O2735" s="11">
        <f>IF($A2735="","",IF(OR($G2735="", $J2735&lt;=0),0,MAX(0,Listes!$B$3-$G2735)))</f>
        <v/>
      </c>
      <c r="P2735" s="12">
        <f>IF($A2735="","",IF($J2735&lt;=0,"Payé",IF($M2735="Oui","Litige",IF($O2735=0,"À échoir",IF($O2735&lt;=30,"0-30",IF($O2735&lt;=60,"31-60",IF($O2735&lt;=90,"61-90","90+")))))))</f>
        <v/>
      </c>
    </row>
    <row r="2736">
      <c r="A2736" s="6" t="n"/>
      <c r="B2736" s="6" t="n"/>
      <c r="C2736" s="6" t="n"/>
      <c r="D2736" s="6" t="n"/>
      <c r="E2736" s="6" t="n"/>
      <c r="F2736" s="7" t="n"/>
      <c r="G2736" s="7" t="n"/>
      <c r="H2736" s="8" t="n"/>
      <c r="I2736" s="9">
        <f>IF($A2736="","",SUMIFS(Ventes_Encaissements!$D$6:$D$3005,Ventes_Encaissements!$B$6:$B$3005,$A2736))</f>
        <v/>
      </c>
      <c r="J2736" s="9">
        <f>IF($A2736="","",$H2736-$I2736)</f>
        <v/>
      </c>
      <c r="K2736" s="10">
        <f>IF($A2736="","",IF($I2736=0,"",_xludf.AGGREGATE(14,6,Ventes_Encaissements!$C$6:$C$3005/(Ventes_Encaissements!$B$6:$B$3005=$A2736),1)))</f>
        <v/>
      </c>
      <c r="L2736" s="11">
        <f>IF($A2736="","",COUNTIFS(Ventes_Detail!$B$6:$B$3005,$A2736))</f>
        <v/>
      </c>
      <c r="M2736" s="12" t="n"/>
      <c r="N2736" s="12">
        <f>IF($A2736="","",IF($G2736="","",IF($M2736="Oui","Litige",IF($J2736&lt;=0,"Payé",IF($I2736&gt;0,"Partiel",IF(Listes!$B$3&gt;$G2736,"En retard","À échoir"))))))</f>
        <v/>
      </c>
      <c r="O2736" s="11">
        <f>IF($A2736="","",IF(OR($G2736="", $J2736&lt;=0),0,MAX(0,Listes!$B$3-$G2736)))</f>
        <v/>
      </c>
      <c r="P2736" s="12">
        <f>IF($A2736="","",IF($J2736&lt;=0,"Payé",IF($M2736="Oui","Litige",IF($O2736=0,"À échoir",IF($O2736&lt;=30,"0-30",IF($O2736&lt;=60,"31-60",IF($O2736&lt;=90,"61-90","90+")))))))</f>
        <v/>
      </c>
    </row>
    <row r="2737">
      <c r="A2737" s="6" t="n"/>
      <c r="B2737" s="6" t="n"/>
      <c r="C2737" s="6" t="n"/>
      <c r="D2737" s="6" t="n"/>
      <c r="E2737" s="6" t="n"/>
      <c r="F2737" s="7" t="n"/>
      <c r="G2737" s="7" t="n"/>
      <c r="H2737" s="8" t="n"/>
      <c r="I2737" s="9">
        <f>IF($A2737="","",SUMIFS(Ventes_Encaissements!$D$6:$D$3005,Ventes_Encaissements!$B$6:$B$3005,$A2737))</f>
        <v/>
      </c>
      <c r="J2737" s="9">
        <f>IF($A2737="","",$H2737-$I2737)</f>
        <v/>
      </c>
      <c r="K2737" s="10">
        <f>IF($A2737="","",IF($I2737=0,"",_xludf.AGGREGATE(14,6,Ventes_Encaissements!$C$6:$C$3005/(Ventes_Encaissements!$B$6:$B$3005=$A2737),1)))</f>
        <v/>
      </c>
      <c r="L2737" s="11">
        <f>IF($A2737="","",COUNTIFS(Ventes_Detail!$B$6:$B$3005,$A2737))</f>
        <v/>
      </c>
      <c r="M2737" s="12" t="n"/>
      <c r="N2737" s="12">
        <f>IF($A2737="","",IF($G2737="","",IF($M2737="Oui","Litige",IF($J2737&lt;=0,"Payé",IF($I2737&gt;0,"Partiel",IF(Listes!$B$3&gt;$G2737,"En retard","À échoir"))))))</f>
        <v/>
      </c>
      <c r="O2737" s="11">
        <f>IF($A2737="","",IF(OR($G2737="", $J2737&lt;=0),0,MAX(0,Listes!$B$3-$G2737)))</f>
        <v/>
      </c>
      <c r="P2737" s="12">
        <f>IF($A2737="","",IF($J2737&lt;=0,"Payé",IF($M2737="Oui","Litige",IF($O2737=0,"À échoir",IF($O2737&lt;=30,"0-30",IF($O2737&lt;=60,"31-60",IF($O2737&lt;=90,"61-90","90+")))))))</f>
        <v/>
      </c>
    </row>
    <row r="2738">
      <c r="A2738" s="6" t="n"/>
      <c r="B2738" s="6" t="n"/>
      <c r="C2738" s="6" t="n"/>
      <c r="D2738" s="6" t="n"/>
      <c r="E2738" s="6" t="n"/>
      <c r="F2738" s="7" t="n"/>
      <c r="G2738" s="7" t="n"/>
      <c r="H2738" s="8" t="n"/>
      <c r="I2738" s="9">
        <f>IF($A2738="","",SUMIFS(Ventes_Encaissements!$D$6:$D$3005,Ventes_Encaissements!$B$6:$B$3005,$A2738))</f>
        <v/>
      </c>
      <c r="J2738" s="9">
        <f>IF($A2738="","",$H2738-$I2738)</f>
        <v/>
      </c>
      <c r="K2738" s="10">
        <f>IF($A2738="","",IF($I2738=0,"",_xludf.AGGREGATE(14,6,Ventes_Encaissements!$C$6:$C$3005/(Ventes_Encaissements!$B$6:$B$3005=$A2738),1)))</f>
        <v/>
      </c>
      <c r="L2738" s="11">
        <f>IF($A2738="","",COUNTIFS(Ventes_Detail!$B$6:$B$3005,$A2738))</f>
        <v/>
      </c>
      <c r="M2738" s="12" t="n"/>
      <c r="N2738" s="12">
        <f>IF($A2738="","",IF($G2738="","",IF($M2738="Oui","Litige",IF($J2738&lt;=0,"Payé",IF($I2738&gt;0,"Partiel",IF(Listes!$B$3&gt;$G2738,"En retard","À échoir"))))))</f>
        <v/>
      </c>
      <c r="O2738" s="11">
        <f>IF($A2738="","",IF(OR($G2738="", $J2738&lt;=0),0,MAX(0,Listes!$B$3-$G2738)))</f>
        <v/>
      </c>
      <c r="P2738" s="12">
        <f>IF($A2738="","",IF($J2738&lt;=0,"Payé",IF($M2738="Oui","Litige",IF($O2738=0,"À échoir",IF($O2738&lt;=30,"0-30",IF($O2738&lt;=60,"31-60",IF($O2738&lt;=90,"61-90","90+")))))))</f>
        <v/>
      </c>
    </row>
    <row r="2739">
      <c r="A2739" s="6" t="n"/>
      <c r="B2739" s="6" t="n"/>
      <c r="C2739" s="6" t="n"/>
      <c r="D2739" s="6" t="n"/>
      <c r="E2739" s="6" t="n"/>
      <c r="F2739" s="7" t="n"/>
      <c r="G2739" s="7" t="n"/>
      <c r="H2739" s="8" t="n"/>
      <c r="I2739" s="9">
        <f>IF($A2739="","",SUMIFS(Ventes_Encaissements!$D$6:$D$3005,Ventes_Encaissements!$B$6:$B$3005,$A2739))</f>
        <v/>
      </c>
      <c r="J2739" s="9">
        <f>IF($A2739="","",$H2739-$I2739)</f>
        <v/>
      </c>
      <c r="K2739" s="10">
        <f>IF($A2739="","",IF($I2739=0,"",_xludf.AGGREGATE(14,6,Ventes_Encaissements!$C$6:$C$3005/(Ventes_Encaissements!$B$6:$B$3005=$A2739),1)))</f>
        <v/>
      </c>
      <c r="L2739" s="11">
        <f>IF($A2739="","",COUNTIFS(Ventes_Detail!$B$6:$B$3005,$A2739))</f>
        <v/>
      </c>
      <c r="M2739" s="12" t="n"/>
      <c r="N2739" s="12">
        <f>IF($A2739="","",IF($G2739="","",IF($M2739="Oui","Litige",IF($J2739&lt;=0,"Payé",IF($I2739&gt;0,"Partiel",IF(Listes!$B$3&gt;$G2739,"En retard","À échoir"))))))</f>
        <v/>
      </c>
      <c r="O2739" s="11">
        <f>IF($A2739="","",IF(OR($G2739="", $J2739&lt;=0),0,MAX(0,Listes!$B$3-$G2739)))</f>
        <v/>
      </c>
      <c r="P2739" s="12">
        <f>IF($A2739="","",IF($J2739&lt;=0,"Payé",IF($M2739="Oui","Litige",IF($O2739=0,"À échoir",IF($O2739&lt;=30,"0-30",IF($O2739&lt;=60,"31-60",IF($O2739&lt;=90,"61-90","90+")))))))</f>
        <v/>
      </c>
    </row>
    <row r="2740">
      <c r="A2740" s="6" t="n"/>
      <c r="B2740" s="6" t="n"/>
      <c r="C2740" s="6" t="n"/>
      <c r="D2740" s="6" t="n"/>
      <c r="E2740" s="6" t="n"/>
      <c r="F2740" s="7" t="n"/>
      <c r="G2740" s="7" t="n"/>
      <c r="H2740" s="8" t="n"/>
      <c r="I2740" s="9">
        <f>IF($A2740="","",SUMIFS(Ventes_Encaissements!$D$6:$D$3005,Ventes_Encaissements!$B$6:$B$3005,$A2740))</f>
        <v/>
      </c>
      <c r="J2740" s="9">
        <f>IF($A2740="","",$H2740-$I2740)</f>
        <v/>
      </c>
      <c r="K2740" s="10">
        <f>IF($A2740="","",IF($I2740=0,"",_xludf.AGGREGATE(14,6,Ventes_Encaissements!$C$6:$C$3005/(Ventes_Encaissements!$B$6:$B$3005=$A2740),1)))</f>
        <v/>
      </c>
      <c r="L2740" s="11">
        <f>IF($A2740="","",COUNTIFS(Ventes_Detail!$B$6:$B$3005,$A2740))</f>
        <v/>
      </c>
      <c r="M2740" s="12" t="n"/>
      <c r="N2740" s="12">
        <f>IF($A2740="","",IF($G2740="","",IF($M2740="Oui","Litige",IF($J2740&lt;=0,"Payé",IF($I2740&gt;0,"Partiel",IF(Listes!$B$3&gt;$G2740,"En retard","À échoir"))))))</f>
        <v/>
      </c>
      <c r="O2740" s="11">
        <f>IF($A2740="","",IF(OR($G2740="", $J2740&lt;=0),0,MAX(0,Listes!$B$3-$G2740)))</f>
        <v/>
      </c>
      <c r="P2740" s="12">
        <f>IF($A2740="","",IF($J2740&lt;=0,"Payé",IF($M2740="Oui","Litige",IF($O2740=0,"À échoir",IF($O2740&lt;=30,"0-30",IF($O2740&lt;=60,"31-60",IF($O2740&lt;=90,"61-90","90+")))))))</f>
        <v/>
      </c>
    </row>
    <row r="2741">
      <c r="A2741" s="6" t="n"/>
      <c r="B2741" s="6" t="n"/>
      <c r="C2741" s="6" t="n"/>
      <c r="D2741" s="6" t="n"/>
      <c r="E2741" s="6" t="n"/>
      <c r="F2741" s="7" t="n"/>
      <c r="G2741" s="7" t="n"/>
      <c r="H2741" s="8" t="n"/>
      <c r="I2741" s="9">
        <f>IF($A2741="","",SUMIFS(Ventes_Encaissements!$D$6:$D$3005,Ventes_Encaissements!$B$6:$B$3005,$A2741))</f>
        <v/>
      </c>
      <c r="J2741" s="9">
        <f>IF($A2741="","",$H2741-$I2741)</f>
        <v/>
      </c>
      <c r="K2741" s="10">
        <f>IF($A2741="","",IF($I2741=0,"",_xludf.AGGREGATE(14,6,Ventes_Encaissements!$C$6:$C$3005/(Ventes_Encaissements!$B$6:$B$3005=$A2741),1)))</f>
        <v/>
      </c>
      <c r="L2741" s="11">
        <f>IF($A2741="","",COUNTIFS(Ventes_Detail!$B$6:$B$3005,$A2741))</f>
        <v/>
      </c>
      <c r="M2741" s="12" t="n"/>
      <c r="N2741" s="12">
        <f>IF($A2741="","",IF($G2741="","",IF($M2741="Oui","Litige",IF($J2741&lt;=0,"Payé",IF($I2741&gt;0,"Partiel",IF(Listes!$B$3&gt;$G2741,"En retard","À échoir"))))))</f>
        <v/>
      </c>
      <c r="O2741" s="11">
        <f>IF($A2741="","",IF(OR($G2741="", $J2741&lt;=0),0,MAX(0,Listes!$B$3-$G2741)))</f>
        <v/>
      </c>
      <c r="P2741" s="12">
        <f>IF($A2741="","",IF($J2741&lt;=0,"Payé",IF($M2741="Oui","Litige",IF($O2741=0,"À échoir",IF($O2741&lt;=30,"0-30",IF($O2741&lt;=60,"31-60",IF($O2741&lt;=90,"61-90","90+")))))))</f>
        <v/>
      </c>
    </row>
    <row r="2742">
      <c r="A2742" s="6" t="n"/>
      <c r="B2742" s="6" t="n"/>
      <c r="C2742" s="6" t="n"/>
      <c r="D2742" s="6" t="n"/>
      <c r="E2742" s="6" t="n"/>
      <c r="F2742" s="7" t="n"/>
      <c r="G2742" s="7" t="n"/>
      <c r="H2742" s="8" t="n"/>
      <c r="I2742" s="9">
        <f>IF($A2742="","",SUMIFS(Ventes_Encaissements!$D$6:$D$3005,Ventes_Encaissements!$B$6:$B$3005,$A2742))</f>
        <v/>
      </c>
      <c r="J2742" s="9">
        <f>IF($A2742="","",$H2742-$I2742)</f>
        <v/>
      </c>
      <c r="K2742" s="10">
        <f>IF($A2742="","",IF($I2742=0,"",_xludf.AGGREGATE(14,6,Ventes_Encaissements!$C$6:$C$3005/(Ventes_Encaissements!$B$6:$B$3005=$A2742),1)))</f>
        <v/>
      </c>
      <c r="L2742" s="11">
        <f>IF($A2742="","",COUNTIFS(Ventes_Detail!$B$6:$B$3005,$A2742))</f>
        <v/>
      </c>
      <c r="M2742" s="12" t="n"/>
      <c r="N2742" s="12">
        <f>IF($A2742="","",IF($G2742="","",IF($M2742="Oui","Litige",IF($J2742&lt;=0,"Payé",IF($I2742&gt;0,"Partiel",IF(Listes!$B$3&gt;$G2742,"En retard","À échoir"))))))</f>
        <v/>
      </c>
      <c r="O2742" s="11">
        <f>IF($A2742="","",IF(OR($G2742="", $J2742&lt;=0),0,MAX(0,Listes!$B$3-$G2742)))</f>
        <v/>
      </c>
      <c r="P2742" s="12">
        <f>IF($A2742="","",IF($J2742&lt;=0,"Payé",IF($M2742="Oui","Litige",IF($O2742=0,"À échoir",IF($O2742&lt;=30,"0-30",IF($O2742&lt;=60,"31-60",IF($O2742&lt;=90,"61-90","90+")))))))</f>
        <v/>
      </c>
    </row>
    <row r="2743">
      <c r="A2743" s="6" t="n"/>
      <c r="B2743" s="6" t="n"/>
      <c r="C2743" s="6" t="n"/>
      <c r="D2743" s="6" t="n"/>
      <c r="E2743" s="6" t="n"/>
      <c r="F2743" s="7" t="n"/>
      <c r="G2743" s="7" t="n"/>
      <c r="H2743" s="8" t="n"/>
      <c r="I2743" s="9">
        <f>IF($A2743="","",SUMIFS(Ventes_Encaissements!$D$6:$D$3005,Ventes_Encaissements!$B$6:$B$3005,$A2743))</f>
        <v/>
      </c>
      <c r="J2743" s="9">
        <f>IF($A2743="","",$H2743-$I2743)</f>
        <v/>
      </c>
      <c r="K2743" s="10">
        <f>IF($A2743="","",IF($I2743=0,"",_xludf.AGGREGATE(14,6,Ventes_Encaissements!$C$6:$C$3005/(Ventes_Encaissements!$B$6:$B$3005=$A2743),1)))</f>
        <v/>
      </c>
      <c r="L2743" s="11">
        <f>IF($A2743="","",COUNTIFS(Ventes_Detail!$B$6:$B$3005,$A2743))</f>
        <v/>
      </c>
      <c r="M2743" s="12" t="n"/>
      <c r="N2743" s="12">
        <f>IF($A2743="","",IF($G2743="","",IF($M2743="Oui","Litige",IF($J2743&lt;=0,"Payé",IF($I2743&gt;0,"Partiel",IF(Listes!$B$3&gt;$G2743,"En retard","À échoir"))))))</f>
        <v/>
      </c>
      <c r="O2743" s="11">
        <f>IF($A2743="","",IF(OR($G2743="", $J2743&lt;=0),0,MAX(0,Listes!$B$3-$G2743)))</f>
        <v/>
      </c>
      <c r="P2743" s="12">
        <f>IF($A2743="","",IF($J2743&lt;=0,"Payé",IF($M2743="Oui","Litige",IF($O2743=0,"À échoir",IF($O2743&lt;=30,"0-30",IF($O2743&lt;=60,"31-60",IF($O2743&lt;=90,"61-90","90+")))))))</f>
        <v/>
      </c>
    </row>
    <row r="2744">
      <c r="A2744" s="6" t="n"/>
      <c r="B2744" s="6" t="n"/>
      <c r="C2744" s="6" t="n"/>
      <c r="D2744" s="6" t="n"/>
      <c r="E2744" s="6" t="n"/>
      <c r="F2744" s="7" t="n"/>
      <c r="G2744" s="7" t="n"/>
      <c r="H2744" s="8" t="n"/>
      <c r="I2744" s="9">
        <f>IF($A2744="","",SUMIFS(Ventes_Encaissements!$D$6:$D$3005,Ventes_Encaissements!$B$6:$B$3005,$A2744))</f>
        <v/>
      </c>
      <c r="J2744" s="9">
        <f>IF($A2744="","",$H2744-$I2744)</f>
        <v/>
      </c>
      <c r="K2744" s="10">
        <f>IF($A2744="","",IF($I2744=0,"",_xludf.AGGREGATE(14,6,Ventes_Encaissements!$C$6:$C$3005/(Ventes_Encaissements!$B$6:$B$3005=$A2744),1)))</f>
        <v/>
      </c>
      <c r="L2744" s="11">
        <f>IF($A2744="","",COUNTIFS(Ventes_Detail!$B$6:$B$3005,$A2744))</f>
        <v/>
      </c>
      <c r="M2744" s="12" t="n"/>
      <c r="N2744" s="12">
        <f>IF($A2744="","",IF($G2744="","",IF($M2744="Oui","Litige",IF($J2744&lt;=0,"Payé",IF($I2744&gt;0,"Partiel",IF(Listes!$B$3&gt;$G2744,"En retard","À échoir"))))))</f>
        <v/>
      </c>
      <c r="O2744" s="11">
        <f>IF($A2744="","",IF(OR($G2744="", $J2744&lt;=0),0,MAX(0,Listes!$B$3-$G2744)))</f>
        <v/>
      </c>
      <c r="P2744" s="12">
        <f>IF($A2744="","",IF($J2744&lt;=0,"Payé",IF($M2744="Oui","Litige",IF($O2744=0,"À échoir",IF($O2744&lt;=30,"0-30",IF($O2744&lt;=60,"31-60",IF($O2744&lt;=90,"61-90","90+")))))))</f>
        <v/>
      </c>
    </row>
    <row r="2745">
      <c r="A2745" s="6" t="n"/>
      <c r="B2745" s="6" t="n"/>
      <c r="C2745" s="6" t="n"/>
      <c r="D2745" s="6" t="n"/>
      <c r="E2745" s="6" t="n"/>
      <c r="F2745" s="7" t="n"/>
      <c r="G2745" s="7" t="n"/>
      <c r="H2745" s="8" t="n"/>
      <c r="I2745" s="9">
        <f>IF($A2745="","",SUMIFS(Ventes_Encaissements!$D$6:$D$3005,Ventes_Encaissements!$B$6:$B$3005,$A2745))</f>
        <v/>
      </c>
      <c r="J2745" s="9">
        <f>IF($A2745="","",$H2745-$I2745)</f>
        <v/>
      </c>
      <c r="K2745" s="10">
        <f>IF($A2745="","",IF($I2745=0,"",_xludf.AGGREGATE(14,6,Ventes_Encaissements!$C$6:$C$3005/(Ventes_Encaissements!$B$6:$B$3005=$A2745),1)))</f>
        <v/>
      </c>
      <c r="L2745" s="11">
        <f>IF($A2745="","",COUNTIFS(Ventes_Detail!$B$6:$B$3005,$A2745))</f>
        <v/>
      </c>
      <c r="M2745" s="12" t="n"/>
      <c r="N2745" s="12">
        <f>IF($A2745="","",IF($G2745="","",IF($M2745="Oui","Litige",IF($J2745&lt;=0,"Payé",IF($I2745&gt;0,"Partiel",IF(Listes!$B$3&gt;$G2745,"En retard","À échoir"))))))</f>
        <v/>
      </c>
      <c r="O2745" s="11">
        <f>IF($A2745="","",IF(OR($G2745="", $J2745&lt;=0),0,MAX(0,Listes!$B$3-$G2745)))</f>
        <v/>
      </c>
      <c r="P2745" s="12">
        <f>IF($A2745="","",IF($J2745&lt;=0,"Payé",IF($M2745="Oui","Litige",IF($O2745=0,"À échoir",IF($O2745&lt;=30,"0-30",IF($O2745&lt;=60,"31-60",IF($O2745&lt;=90,"61-90","90+")))))))</f>
        <v/>
      </c>
    </row>
    <row r="2746">
      <c r="A2746" s="6" t="n"/>
      <c r="B2746" s="6" t="n"/>
      <c r="C2746" s="6" t="n"/>
      <c r="D2746" s="6" t="n"/>
      <c r="E2746" s="6" t="n"/>
      <c r="F2746" s="7" t="n"/>
      <c r="G2746" s="7" t="n"/>
      <c r="H2746" s="8" t="n"/>
      <c r="I2746" s="9">
        <f>IF($A2746="","",SUMIFS(Ventes_Encaissements!$D$6:$D$3005,Ventes_Encaissements!$B$6:$B$3005,$A2746))</f>
        <v/>
      </c>
      <c r="J2746" s="9">
        <f>IF($A2746="","",$H2746-$I2746)</f>
        <v/>
      </c>
      <c r="K2746" s="10">
        <f>IF($A2746="","",IF($I2746=0,"",_xludf.AGGREGATE(14,6,Ventes_Encaissements!$C$6:$C$3005/(Ventes_Encaissements!$B$6:$B$3005=$A2746),1)))</f>
        <v/>
      </c>
      <c r="L2746" s="11">
        <f>IF($A2746="","",COUNTIFS(Ventes_Detail!$B$6:$B$3005,$A2746))</f>
        <v/>
      </c>
      <c r="M2746" s="12" t="n"/>
      <c r="N2746" s="12">
        <f>IF($A2746="","",IF($G2746="","",IF($M2746="Oui","Litige",IF($J2746&lt;=0,"Payé",IF($I2746&gt;0,"Partiel",IF(Listes!$B$3&gt;$G2746,"En retard","À échoir"))))))</f>
        <v/>
      </c>
      <c r="O2746" s="11">
        <f>IF($A2746="","",IF(OR($G2746="", $J2746&lt;=0),0,MAX(0,Listes!$B$3-$G2746)))</f>
        <v/>
      </c>
      <c r="P2746" s="12">
        <f>IF($A2746="","",IF($J2746&lt;=0,"Payé",IF($M2746="Oui","Litige",IF($O2746=0,"À échoir",IF($O2746&lt;=30,"0-30",IF($O2746&lt;=60,"31-60",IF($O2746&lt;=90,"61-90","90+")))))))</f>
        <v/>
      </c>
    </row>
    <row r="2747">
      <c r="A2747" s="6" t="n"/>
      <c r="B2747" s="6" t="n"/>
      <c r="C2747" s="6" t="n"/>
      <c r="D2747" s="6" t="n"/>
      <c r="E2747" s="6" t="n"/>
      <c r="F2747" s="7" t="n"/>
      <c r="G2747" s="7" t="n"/>
      <c r="H2747" s="8" t="n"/>
      <c r="I2747" s="9">
        <f>IF($A2747="","",SUMIFS(Ventes_Encaissements!$D$6:$D$3005,Ventes_Encaissements!$B$6:$B$3005,$A2747))</f>
        <v/>
      </c>
      <c r="J2747" s="9">
        <f>IF($A2747="","",$H2747-$I2747)</f>
        <v/>
      </c>
      <c r="K2747" s="10">
        <f>IF($A2747="","",IF($I2747=0,"",_xludf.AGGREGATE(14,6,Ventes_Encaissements!$C$6:$C$3005/(Ventes_Encaissements!$B$6:$B$3005=$A2747),1)))</f>
        <v/>
      </c>
      <c r="L2747" s="11">
        <f>IF($A2747="","",COUNTIFS(Ventes_Detail!$B$6:$B$3005,$A2747))</f>
        <v/>
      </c>
      <c r="M2747" s="12" t="n"/>
      <c r="N2747" s="12">
        <f>IF($A2747="","",IF($G2747="","",IF($M2747="Oui","Litige",IF($J2747&lt;=0,"Payé",IF($I2747&gt;0,"Partiel",IF(Listes!$B$3&gt;$G2747,"En retard","À échoir"))))))</f>
        <v/>
      </c>
      <c r="O2747" s="11">
        <f>IF($A2747="","",IF(OR($G2747="", $J2747&lt;=0),0,MAX(0,Listes!$B$3-$G2747)))</f>
        <v/>
      </c>
      <c r="P2747" s="12">
        <f>IF($A2747="","",IF($J2747&lt;=0,"Payé",IF($M2747="Oui","Litige",IF($O2747=0,"À échoir",IF($O2747&lt;=30,"0-30",IF($O2747&lt;=60,"31-60",IF($O2747&lt;=90,"61-90","90+")))))))</f>
        <v/>
      </c>
    </row>
    <row r="2748">
      <c r="A2748" s="6" t="n"/>
      <c r="B2748" s="6" t="n"/>
      <c r="C2748" s="6" t="n"/>
      <c r="D2748" s="6" t="n"/>
      <c r="E2748" s="6" t="n"/>
      <c r="F2748" s="7" t="n"/>
      <c r="G2748" s="7" t="n"/>
      <c r="H2748" s="8" t="n"/>
      <c r="I2748" s="9">
        <f>IF($A2748="","",SUMIFS(Ventes_Encaissements!$D$6:$D$3005,Ventes_Encaissements!$B$6:$B$3005,$A2748))</f>
        <v/>
      </c>
      <c r="J2748" s="9">
        <f>IF($A2748="","",$H2748-$I2748)</f>
        <v/>
      </c>
      <c r="K2748" s="10">
        <f>IF($A2748="","",IF($I2748=0,"",_xludf.AGGREGATE(14,6,Ventes_Encaissements!$C$6:$C$3005/(Ventes_Encaissements!$B$6:$B$3005=$A2748),1)))</f>
        <v/>
      </c>
      <c r="L2748" s="11">
        <f>IF($A2748="","",COUNTIFS(Ventes_Detail!$B$6:$B$3005,$A2748))</f>
        <v/>
      </c>
      <c r="M2748" s="12" t="n"/>
      <c r="N2748" s="12">
        <f>IF($A2748="","",IF($G2748="","",IF($M2748="Oui","Litige",IF($J2748&lt;=0,"Payé",IF($I2748&gt;0,"Partiel",IF(Listes!$B$3&gt;$G2748,"En retard","À échoir"))))))</f>
        <v/>
      </c>
      <c r="O2748" s="11">
        <f>IF($A2748="","",IF(OR($G2748="", $J2748&lt;=0),0,MAX(0,Listes!$B$3-$G2748)))</f>
        <v/>
      </c>
      <c r="P2748" s="12">
        <f>IF($A2748="","",IF($J2748&lt;=0,"Payé",IF($M2748="Oui","Litige",IF($O2748=0,"À échoir",IF($O2748&lt;=30,"0-30",IF($O2748&lt;=60,"31-60",IF($O2748&lt;=90,"61-90","90+")))))))</f>
        <v/>
      </c>
    </row>
    <row r="2749">
      <c r="A2749" s="6" t="n"/>
      <c r="B2749" s="6" t="n"/>
      <c r="C2749" s="6" t="n"/>
      <c r="D2749" s="6" t="n"/>
      <c r="E2749" s="6" t="n"/>
      <c r="F2749" s="7" t="n"/>
      <c r="G2749" s="7" t="n"/>
      <c r="H2749" s="8" t="n"/>
      <c r="I2749" s="9">
        <f>IF($A2749="","",SUMIFS(Ventes_Encaissements!$D$6:$D$3005,Ventes_Encaissements!$B$6:$B$3005,$A2749))</f>
        <v/>
      </c>
      <c r="J2749" s="9">
        <f>IF($A2749="","",$H2749-$I2749)</f>
        <v/>
      </c>
      <c r="K2749" s="10">
        <f>IF($A2749="","",IF($I2749=0,"",_xludf.AGGREGATE(14,6,Ventes_Encaissements!$C$6:$C$3005/(Ventes_Encaissements!$B$6:$B$3005=$A2749),1)))</f>
        <v/>
      </c>
      <c r="L2749" s="11">
        <f>IF($A2749="","",COUNTIFS(Ventes_Detail!$B$6:$B$3005,$A2749))</f>
        <v/>
      </c>
      <c r="M2749" s="12" t="n"/>
      <c r="N2749" s="12">
        <f>IF($A2749="","",IF($G2749="","",IF($M2749="Oui","Litige",IF($J2749&lt;=0,"Payé",IF($I2749&gt;0,"Partiel",IF(Listes!$B$3&gt;$G2749,"En retard","À échoir"))))))</f>
        <v/>
      </c>
      <c r="O2749" s="11">
        <f>IF($A2749="","",IF(OR($G2749="", $J2749&lt;=0),0,MAX(0,Listes!$B$3-$G2749)))</f>
        <v/>
      </c>
      <c r="P2749" s="12">
        <f>IF($A2749="","",IF($J2749&lt;=0,"Payé",IF($M2749="Oui","Litige",IF($O2749=0,"À échoir",IF($O2749&lt;=30,"0-30",IF($O2749&lt;=60,"31-60",IF($O2749&lt;=90,"61-90","90+")))))))</f>
        <v/>
      </c>
    </row>
    <row r="2750">
      <c r="A2750" s="6" t="n"/>
      <c r="B2750" s="6" t="n"/>
      <c r="C2750" s="6" t="n"/>
      <c r="D2750" s="6" t="n"/>
      <c r="E2750" s="6" t="n"/>
      <c r="F2750" s="7" t="n"/>
      <c r="G2750" s="7" t="n"/>
      <c r="H2750" s="8" t="n"/>
      <c r="I2750" s="9">
        <f>IF($A2750="","",SUMIFS(Ventes_Encaissements!$D$6:$D$3005,Ventes_Encaissements!$B$6:$B$3005,$A2750))</f>
        <v/>
      </c>
      <c r="J2750" s="9">
        <f>IF($A2750="","",$H2750-$I2750)</f>
        <v/>
      </c>
      <c r="K2750" s="10">
        <f>IF($A2750="","",IF($I2750=0,"",_xludf.AGGREGATE(14,6,Ventes_Encaissements!$C$6:$C$3005/(Ventes_Encaissements!$B$6:$B$3005=$A2750),1)))</f>
        <v/>
      </c>
      <c r="L2750" s="11">
        <f>IF($A2750="","",COUNTIFS(Ventes_Detail!$B$6:$B$3005,$A2750))</f>
        <v/>
      </c>
      <c r="M2750" s="12" t="n"/>
      <c r="N2750" s="12">
        <f>IF($A2750="","",IF($G2750="","",IF($M2750="Oui","Litige",IF($J2750&lt;=0,"Payé",IF($I2750&gt;0,"Partiel",IF(Listes!$B$3&gt;$G2750,"En retard","À échoir"))))))</f>
        <v/>
      </c>
      <c r="O2750" s="11">
        <f>IF($A2750="","",IF(OR($G2750="", $J2750&lt;=0),0,MAX(0,Listes!$B$3-$G2750)))</f>
        <v/>
      </c>
      <c r="P2750" s="12">
        <f>IF($A2750="","",IF($J2750&lt;=0,"Payé",IF($M2750="Oui","Litige",IF($O2750=0,"À échoir",IF($O2750&lt;=30,"0-30",IF($O2750&lt;=60,"31-60",IF($O2750&lt;=90,"61-90","90+")))))))</f>
        <v/>
      </c>
    </row>
    <row r="2751">
      <c r="A2751" s="6" t="n"/>
      <c r="B2751" s="6" t="n"/>
      <c r="C2751" s="6" t="n"/>
      <c r="D2751" s="6" t="n"/>
      <c r="E2751" s="6" t="n"/>
      <c r="F2751" s="7" t="n"/>
      <c r="G2751" s="7" t="n"/>
      <c r="H2751" s="8" t="n"/>
      <c r="I2751" s="9">
        <f>IF($A2751="","",SUMIFS(Ventes_Encaissements!$D$6:$D$3005,Ventes_Encaissements!$B$6:$B$3005,$A2751))</f>
        <v/>
      </c>
      <c r="J2751" s="9">
        <f>IF($A2751="","",$H2751-$I2751)</f>
        <v/>
      </c>
      <c r="K2751" s="10">
        <f>IF($A2751="","",IF($I2751=0,"",_xludf.AGGREGATE(14,6,Ventes_Encaissements!$C$6:$C$3005/(Ventes_Encaissements!$B$6:$B$3005=$A2751),1)))</f>
        <v/>
      </c>
      <c r="L2751" s="11">
        <f>IF($A2751="","",COUNTIFS(Ventes_Detail!$B$6:$B$3005,$A2751))</f>
        <v/>
      </c>
      <c r="M2751" s="12" t="n"/>
      <c r="N2751" s="12">
        <f>IF($A2751="","",IF($G2751="","",IF($M2751="Oui","Litige",IF($J2751&lt;=0,"Payé",IF($I2751&gt;0,"Partiel",IF(Listes!$B$3&gt;$G2751,"En retard","À échoir"))))))</f>
        <v/>
      </c>
      <c r="O2751" s="11">
        <f>IF($A2751="","",IF(OR($G2751="", $J2751&lt;=0),0,MAX(0,Listes!$B$3-$G2751)))</f>
        <v/>
      </c>
      <c r="P2751" s="12">
        <f>IF($A2751="","",IF($J2751&lt;=0,"Payé",IF($M2751="Oui","Litige",IF($O2751=0,"À échoir",IF($O2751&lt;=30,"0-30",IF($O2751&lt;=60,"31-60",IF($O2751&lt;=90,"61-90","90+")))))))</f>
        <v/>
      </c>
    </row>
    <row r="2752">
      <c r="A2752" s="6" t="n"/>
      <c r="B2752" s="6" t="n"/>
      <c r="C2752" s="6" t="n"/>
      <c r="D2752" s="6" t="n"/>
      <c r="E2752" s="6" t="n"/>
      <c r="F2752" s="7" t="n"/>
      <c r="G2752" s="7" t="n"/>
      <c r="H2752" s="8" t="n"/>
      <c r="I2752" s="9">
        <f>IF($A2752="","",SUMIFS(Ventes_Encaissements!$D$6:$D$3005,Ventes_Encaissements!$B$6:$B$3005,$A2752))</f>
        <v/>
      </c>
      <c r="J2752" s="9">
        <f>IF($A2752="","",$H2752-$I2752)</f>
        <v/>
      </c>
      <c r="K2752" s="10">
        <f>IF($A2752="","",IF($I2752=0,"",_xludf.AGGREGATE(14,6,Ventes_Encaissements!$C$6:$C$3005/(Ventes_Encaissements!$B$6:$B$3005=$A2752),1)))</f>
        <v/>
      </c>
      <c r="L2752" s="11">
        <f>IF($A2752="","",COUNTIFS(Ventes_Detail!$B$6:$B$3005,$A2752))</f>
        <v/>
      </c>
      <c r="M2752" s="12" t="n"/>
      <c r="N2752" s="12">
        <f>IF($A2752="","",IF($G2752="","",IF($M2752="Oui","Litige",IF($J2752&lt;=0,"Payé",IF($I2752&gt;0,"Partiel",IF(Listes!$B$3&gt;$G2752,"En retard","À échoir"))))))</f>
        <v/>
      </c>
      <c r="O2752" s="11">
        <f>IF($A2752="","",IF(OR($G2752="", $J2752&lt;=0),0,MAX(0,Listes!$B$3-$G2752)))</f>
        <v/>
      </c>
      <c r="P2752" s="12">
        <f>IF($A2752="","",IF($J2752&lt;=0,"Payé",IF($M2752="Oui","Litige",IF($O2752=0,"À échoir",IF($O2752&lt;=30,"0-30",IF($O2752&lt;=60,"31-60",IF($O2752&lt;=90,"61-90","90+")))))))</f>
        <v/>
      </c>
    </row>
    <row r="2753">
      <c r="A2753" s="6" t="n"/>
      <c r="B2753" s="6" t="n"/>
      <c r="C2753" s="6" t="n"/>
      <c r="D2753" s="6" t="n"/>
      <c r="E2753" s="6" t="n"/>
      <c r="F2753" s="7" t="n"/>
      <c r="G2753" s="7" t="n"/>
      <c r="H2753" s="8" t="n"/>
      <c r="I2753" s="9">
        <f>IF($A2753="","",SUMIFS(Ventes_Encaissements!$D$6:$D$3005,Ventes_Encaissements!$B$6:$B$3005,$A2753))</f>
        <v/>
      </c>
      <c r="J2753" s="9">
        <f>IF($A2753="","",$H2753-$I2753)</f>
        <v/>
      </c>
      <c r="K2753" s="10">
        <f>IF($A2753="","",IF($I2753=0,"",_xludf.AGGREGATE(14,6,Ventes_Encaissements!$C$6:$C$3005/(Ventes_Encaissements!$B$6:$B$3005=$A2753),1)))</f>
        <v/>
      </c>
      <c r="L2753" s="11">
        <f>IF($A2753="","",COUNTIFS(Ventes_Detail!$B$6:$B$3005,$A2753))</f>
        <v/>
      </c>
      <c r="M2753" s="12" t="n"/>
      <c r="N2753" s="12">
        <f>IF($A2753="","",IF($G2753="","",IF($M2753="Oui","Litige",IF($J2753&lt;=0,"Payé",IF($I2753&gt;0,"Partiel",IF(Listes!$B$3&gt;$G2753,"En retard","À échoir"))))))</f>
        <v/>
      </c>
      <c r="O2753" s="11">
        <f>IF($A2753="","",IF(OR($G2753="", $J2753&lt;=0),0,MAX(0,Listes!$B$3-$G2753)))</f>
        <v/>
      </c>
      <c r="P2753" s="12">
        <f>IF($A2753="","",IF($J2753&lt;=0,"Payé",IF($M2753="Oui","Litige",IF($O2753=0,"À échoir",IF($O2753&lt;=30,"0-30",IF($O2753&lt;=60,"31-60",IF($O2753&lt;=90,"61-90","90+")))))))</f>
        <v/>
      </c>
    </row>
    <row r="2754">
      <c r="A2754" s="6" t="n"/>
      <c r="B2754" s="6" t="n"/>
      <c r="C2754" s="6" t="n"/>
      <c r="D2754" s="6" t="n"/>
      <c r="E2754" s="6" t="n"/>
      <c r="F2754" s="7" t="n"/>
      <c r="G2754" s="7" t="n"/>
      <c r="H2754" s="8" t="n"/>
      <c r="I2754" s="9">
        <f>IF($A2754="","",SUMIFS(Ventes_Encaissements!$D$6:$D$3005,Ventes_Encaissements!$B$6:$B$3005,$A2754))</f>
        <v/>
      </c>
      <c r="J2754" s="9">
        <f>IF($A2754="","",$H2754-$I2754)</f>
        <v/>
      </c>
      <c r="K2754" s="10">
        <f>IF($A2754="","",IF($I2754=0,"",_xludf.AGGREGATE(14,6,Ventes_Encaissements!$C$6:$C$3005/(Ventes_Encaissements!$B$6:$B$3005=$A2754),1)))</f>
        <v/>
      </c>
      <c r="L2754" s="11">
        <f>IF($A2754="","",COUNTIFS(Ventes_Detail!$B$6:$B$3005,$A2754))</f>
        <v/>
      </c>
      <c r="M2754" s="12" t="n"/>
      <c r="N2754" s="12">
        <f>IF($A2754="","",IF($G2754="","",IF($M2754="Oui","Litige",IF($J2754&lt;=0,"Payé",IF($I2754&gt;0,"Partiel",IF(Listes!$B$3&gt;$G2754,"En retard","À échoir"))))))</f>
        <v/>
      </c>
      <c r="O2754" s="11">
        <f>IF($A2754="","",IF(OR($G2754="", $J2754&lt;=0),0,MAX(0,Listes!$B$3-$G2754)))</f>
        <v/>
      </c>
      <c r="P2754" s="12">
        <f>IF($A2754="","",IF($J2754&lt;=0,"Payé",IF($M2754="Oui","Litige",IF($O2754=0,"À échoir",IF($O2754&lt;=30,"0-30",IF($O2754&lt;=60,"31-60",IF($O2754&lt;=90,"61-90","90+")))))))</f>
        <v/>
      </c>
    </row>
    <row r="2755">
      <c r="A2755" s="6" t="n"/>
      <c r="B2755" s="6" t="n"/>
      <c r="C2755" s="6" t="n"/>
      <c r="D2755" s="6" t="n"/>
      <c r="E2755" s="6" t="n"/>
      <c r="F2755" s="7" t="n"/>
      <c r="G2755" s="7" t="n"/>
      <c r="H2755" s="8" t="n"/>
      <c r="I2755" s="9">
        <f>IF($A2755="","",SUMIFS(Ventes_Encaissements!$D$6:$D$3005,Ventes_Encaissements!$B$6:$B$3005,$A2755))</f>
        <v/>
      </c>
      <c r="J2755" s="9">
        <f>IF($A2755="","",$H2755-$I2755)</f>
        <v/>
      </c>
      <c r="K2755" s="10">
        <f>IF($A2755="","",IF($I2755=0,"",_xludf.AGGREGATE(14,6,Ventes_Encaissements!$C$6:$C$3005/(Ventes_Encaissements!$B$6:$B$3005=$A2755),1)))</f>
        <v/>
      </c>
      <c r="L2755" s="11">
        <f>IF($A2755="","",COUNTIFS(Ventes_Detail!$B$6:$B$3005,$A2755))</f>
        <v/>
      </c>
      <c r="M2755" s="12" t="n"/>
      <c r="N2755" s="12">
        <f>IF($A2755="","",IF($G2755="","",IF($M2755="Oui","Litige",IF($J2755&lt;=0,"Payé",IF($I2755&gt;0,"Partiel",IF(Listes!$B$3&gt;$G2755,"En retard","À échoir"))))))</f>
        <v/>
      </c>
      <c r="O2755" s="11">
        <f>IF($A2755="","",IF(OR($G2755="", $J2755&lt;=0),0,MAX(0,Listes!$B$3-$G2755)))</f>
        <v/>
      </c>
      <c r="P2755" s="12">
        <f>IF($A2755="","",IF($J2755&lt;=0,"Payé",IF($M2755="Oui","Litige",IF($O2755=0,"À échoir",IF($O2755&lt;=30,"0-30",IF($O2755&lt;=60,"31-60",IF($O2755&lt;=90,"61-90","90+")))))))</f>
        <v/>
      </c>
    </row>
    <row r="2756">
      <c r="A2756" s="6" t="n"/>
      <c r="B2756" s="6" t="n"/>
      <c r="C2756" s="6" t="n"/>
      <c r="D2756" s="6" t="n"/>
      <c r="E2756" s="6" t="n"/>
      <c r="F2756" s="7" t="n"/>
      <c r="G2756" s="7" t="n"/>
      <c r="H2756" s="8" t="n"/>
      <c r="I2756" s="9">
        <f>IF($A2756="","",SUMIFS(Ventes_Encaissements!$D$6:$D$3005,Ventes_Encaissements!$B$6:$B$3005,$A2756))</f>
        <v/>
      </c>
      <c r="J2756" s="9">
        <f>IF($A2756="","",$H2756-$I2756)</f>
        <v/>
      </c>
      <c r="K2756" s="10">
        <f>IF($A2756="","",IF($I2756=0,"",_xludf.AGGREGATE(14,6,Ventes_Encaissements!$C$6:$C$3005/(Ventes_Encaissements!$B$6:$B$3005=$A2756),1)))</f>
        <v/>
      </c>
      <c r="L2756" s="11">
        <f>IF($A2756="","",COUNTIFS(Ventes_Detail!$B$6:$B$3005,$A2756))</f>
        <v/>
      </c>
      <c r="M2756" s="12" t="n"/>
      <c r="N2756" s="12">
        <f>IF($A2756="","",IF($G2756="","",IF($M2756="Oui","Litige",IF($J2756&lt;=0,"Payé",IF($I2756&gt;0,"Partiel",IF(Listes!$B$3&gt;$G2756,"En retard","À échoir"))))))</f>
        <v/>
      </c>
      <c r="O2756" s="11">
        <f>IF($A2756="","",IF(OR($G2756="", $J2756&lt;=0),0,MAX(0,Listes!$B$3-$G2756)))</f>
        <v/>
      </c>
      <c r="P2756" s="12">
        <f>IF($A2756="","",IF($J2756&lt;=0,"Payé",IF($M2756="Oui","Litige",IF($O2756=0,"À échoir",IF($O2756&lt;=30,"0-30",IF($O2756&lt;=60,"31-60",IF($O2756&lt;=90,"61-90","90+")))))))</f>
        <v/>
      </c>
    </row>
    <row r="2757">
      <c r="A2757" s="6" t="n"/>
      <c r="B2757" s="6" t="n"/>
      <c r="C2757" s="6" t="n"/>
      <c r="D2757" s="6" t="n"/>
      <c r="E2757" s="6" t="n"/>
      <c r="F2757" s="7" t="n"/>
      <c r="G2757" s="7" t="n"/>
      <c r="H2757" s="8" t="n"/>
      <c r="I2757" s="9">
        <f>IF($A2757="","",SUMIFS(Ventes_Encaissements!$D$6:$D$3005,Ventes_Encaissements!$B$6:$B$3005,$A2757))</f>
        <v/>
      </c>
      <c r="J2757" s="9">
        <f>IF($A2757="","",$H2757-$I2757)</f>
        <v/>
      </c>
      <c r="K2757" s="10">
        <f>IF($A2757="","",IF($I2757=0,"",_xludf.AGGREGATE(14,6,Ventes_Encaissements!$C$6:$C$3005/(Ventes_Encaissements!$B$6:$B$3005=$A2757),1)))</f>
        <v/>
      </c>
      <c r="L2757" s="11">
        <f>IF($A2757="","",COUNTIFS(Ventes_Detail!$B$6:$B$3005,$A2757))</f>
        <v/>
      </c>
      <c r="M2757" s="12" t="n"/>
      <c r="N2757" s="12">
        <f>IF($A2757="","",IF($G2757="","",IF($M2757="Oui","Litige",IF($J2757&lt;=0,"Payé",IF($I2757&gt;0,"Partiel",IF(Listes!$B$3&gt;$G2757,"En retard","À échoir"))))))</f>
        <v/>
      </c>
      <c r="O2757" s="11">
        <f>IF($A2757="","",IF(OR($G2757="", $J2757&lt;=0),0,MAX(0,Listes!$B$3-$G2757)))</f>
        <v/>
      </c>
      <c r="P2757" s="12">
        <f>IF($A2757="","",IF($J2757&lt;=0,"Payé",IF($M2757="Oui","Litige",IF($O2757=0,"À échoir",IF($O2757&lt;=30,"0-30",IF($O2757&lt;=60,"31-60",IF($O2757&lt;=90,"61-90","90+")))))))</f>
        <v/>
      </c>
    </row>
    <row r="2758">
      <c r="A2758" s="6" t="n"/>
      <c r="B2758" s="6" t="n"/>
      <c r="C2758" s="6" t="n"/>
      <c r="D2758" s="6" t="n"/>
      <c r="E2758" s="6" t="n"/>
      <c r="F2758" s="7" t="n"/>
      <c r="G2758" s="7" t="n"/>
      <c r="H2758" s="8" t="n"/>
      <c r="I2758" s="9">
        <f>IF($A2758="","",SUMIFS(Ventes_Encaissements!$D$6:$D$3005,Ventes_Encaissements!$B$6:$B$3005,$A2758))</f>
        <v/>
      </c>
      <c r="J2758" s="9">
        <f>IF($A2758="","",$H2758-$I2758)</f>
        <v/>
      </c>
      <c r="K2758" s="10">
        <f>IF($A2758="","",IF($I2758=0,"",_xludf.AGGREGATE(14,6,Ventes_Encaissements!$C$6:$C$3005/(Ventes_Encaissements!$B$6:$B$3005=$A2758),1)))</f>
        <v/>
      </c>
      <c r="L2758" s="11">
        <f>IF($A2758="","",COUNTIFS(Ventes_Detail!$B$6:$B$3005,$A2758))</f>
        <v/>
      </c>
      <c r="M2758" s="12" t="n"/>
      <c r="N2758" s="12">
        <f>IF($A2758="","",IF($G2758="","",IF($M2758="Oui","Litige",IF($J2758&lt;=0,"Payé",IF($I2758&gt;0,"Partiel",IF(Listes!$B$3&gt;$G2758,"En retard","À échoir"))))))</f>
        <v/>
      </c>
      <c r="O2758" s="11">
        <f>IF($A2758="","",IF(OR($G2758="", $J2758&lt;=0),0,MAX(0,Listes!$B$3-$G2758)))</f>
        <v/>
      </c>
      <c r="P2758" s="12">
        <f>IF($A2758="","",IF($J2758&lt;=0,"Payé",IF($M2758="Oui","Litige",IF($O2758=0,"À échoir",IF($O2758&lt;=30,"0-30",IF($O2758&lt;=60,"31-60",IF($O2758&lt;=90,"61-90","90+")))))))</f>
        <v/>
      </c>
    </row>
    <row r="2759">
      <c r="A2759" s="6" t="n"/>
      <c r="B2759" s="6" t="n"/>
      <c r="C2759" s="6" t="n"/>
      <c r="D2759" s="6" t="n"/>
      <c r="E2759" s="6" t="n"/>
      <c r="F2759" s="7" t="n"/>
      <c r="G2759" s="7" t="n"/>
      <c r="H2759" s="8" t="n"/>
      <c r="I2759" s="9">
        <f>IF($A2759="","",SUMIFS(Ventes_Encaissements!$D$6:$D$3005,Ventes_Encaissements!$B$6:$B$3005,$A2759))</f>
        <v/>
      </c>
      <c r="J2759" s="9">
        <f>IF($A2759="","",$H2759-$I2759)</f>
        <v/>
      </c>
      <c r="K2759" s="10">
        <f>IF($A2759="","",IF($I2759=0,"",_xludf.AGGREGATE(14,6,Ventes_Encaissements!$C$6:$C$3005/(Ventes_Encaissements!$B$6:$B$3005=$A2759),1)))</f>
        <v/>
      </c>
      <c r="L2759" s="11">
        <f>IF($A2759="","",COUNTIFS(Ventes_Detail!$B$6:$B$3005,$A2759))</f>
        <v/>
      </c>
      <c r="M2759" s="12" t="n"/>
      <c r="N2759" s="12">
        <f>IF($A2759="","",IF($G2759="","",IF($M2759="Oui","Litige",IF($J2759&lt;=0,"Payé",IF($I2759&gt;0,"Partiel",IF(Listes!$B$3&gt;$G2759,"En retard","À échoir"))))))</f>
        <v/>
      </c>
      <c r="O2759" s="11">
        <f>IF($A2759="","",IF(OR($G2759="", $J2759&lt;=0),0,MAX(0,Listes!$B$3-$G2759)))</f>
        <v/>
      </c>
      <c r="P2759" s="12">
        <f>IF($A2759="","",IF($J2759&lt;=0,"Payé",IF($M2759="Oui","Litige",IF($O2759=0,"À échoir",IF($O2759&lt;=30,"0-30",IF($O2759&lt;=60,"31-60",IF($O2759&lt;=90,"61-90","90+")))))))</f>
        <v/>
      </c>
    </row>
    <row r="2760">
      <c r="A2760" s="6" t="n"/>
      <c r="B2760" s="6" t="n"/>
      <c r="C2760" s="6" t="n"/>
      <c r="D2760" s="6" t="n"/>
      <c r="E2760" s="6" t="n"/>
      <c r="F2760" s="7" t="n"/>
      <c r="G2760" s="7" t="n"/>
      <c r="H2760" s="8" t="n"/>
      <c r="I2760" s="9">
        <f>IF($A2760="","",SUMIFS(Ventes_Encaissements!$D$6:$D$3005,Ventes_Encaissements!$B$6:$B$3005,$A2760))</f>
        <v/>
      </c>
      <c r="J2760" s="9">
        <f>IF($A2760="","",$H2760-$I2760)</f>
        <v/>
      </c>
      <c r="K2760" s="10">
        <f>IF($A2760="","",IF($I2760=0,"",_xludf.AGGREGATE(14,6,Ventes_Encaissements!$C$6:$C$3005/(Ventes_Encaissements!$B$6:$B$3005=$A2760),1)))</f>
        <v/>
      </c>
      <c r="L2760" s="11">
        <f>IF($A2760="","",COUNTIFS(Ventes_Detail!$B$6:$B$3005,$A2760))</f>
        <v/>
      </c>
      <c r="M2760" s="12" t="n"/>
      <c r="N2760" s="12">
        <f>IF($A2760="","",IF($G2760="","",IF($M2760="Oui","Litige",IF($J2760&lt;=0,"Payé",IF($I2760&gt;0,"Partiel",IF(Listes!$B$3&gt;$G2760,"En retard","À échoir"))))))</f>
        <v/>
      </c>
      <c r="O2760" s="11">
        <f>IF($A2760="","",IF(OR($G2760="", $J2760&lt;=0),0,MAX(0,Listes!$B$3-$G2760)))</f>
        <v/>
      </c>
      <c r="P2760" s="12">
        <f>IF($A2760="","",IF($J2760&lt;=0,"Payé",IF($M2760="Oui","Litige",IF($O2760=0,"À échoir",IF($O2760&lt;=30,"0-30",IF($O2760&lt;=60,"31-60",IF($O2760&lt;=90,"61-90","90+")))))))</f>
        <v/>
      </c>
    </row>
    <row r="2761">
      <c r="A2761" s="6" t="n"/>
      <c r="B2761" s="6" t="n"/>
      <c r="C2761" s="6" t="n"/>
      <c r="D2761" s="6" t="n"/>
      <c r="E2761" s="6" t="n"/>
      <c r="F2761" s="7" t="n"/>
      <c r="G2761" s="7" t="n"/>
      <c r="H2761" s="8" t="n"/>
      <c r="I2761" s="9">
        <f>IF($A2761="","",SUMIFS(Ventes_Encaissements!$D$6:$D$3005,Ventes_Encaissements!$B$6:$B$3005,$A2761))</f>
        <v/>
      </c>
      <c r="J2761" s="9">
        <f>IF($A2761="","",$H2761-$I2761)</f>
        <v/>
      </c>
      <c r="K2761" s="10">
        <f>IF($A2761="","",IF($I2761=0,"",_xludf.AGGREGATE(14,6,Ventes_Encaissements!$C$6:$C$3005/(Ventes_Encaissements!$B$6:$B$3005=$A2761),1)))</f>
        <v/>
      </c>
      <c r="L2761" s="11">
        <f>IF($A2761="","",COUNTIFS(Ventes_Detail!$B$6:$B$3005,$A2761))</f>
        <v/>
      </c>
      <c r="M2761" s="12" t="n"/>
      <c r="N2761" s="12">
        <f>IF($A2761="","",IF($G2761="","",IF($M2761="Oui","Litige",IF($J2761&lt;=0,"Payé",IF($I2761&gt;0,"Partiel",IF(Listes!$B$3&gt;$G2761,"En retard","À échoir"))))))</f>
        <v/>
      </c>
      <c r="O2761" s="11">
        <f>IF($A2761="","",IF(OR($G2761="", $J2761&lt;=0),0,MAX(0,Listes!$B$3-$G2761)))</f>
        <v/>
      </c>
      <c r="P2761" s="12">
        <f>IF($A2761="","",IF($J2761&lt;=0,"Payé",IF($M2761="Oui","Litige",IF($O2761=0,"À échoir",IF($O2761&lt;=30,"0-30",IF($O2761&lt;=60,"31-60",IF($O2761&lt;=90,"61-90","90+")))))))</f>
        <v/>
      </c>
    </row>
    <row r="2762">
      <c r="A2762" s="6" t="n"/>
      <c r="B2762" s="6" t="n"/>
      <c r="C2762" s="6" t="n"/>
      <c r="D2762" s="6" t="n"/>
      <c r="E2762" s="6" t="n"/>
      <c r="F2762" s="7" t="n"/>
      <c r="G2762" s="7" t="n"/>
      <c r="H2762" s="8" t="n"/>
      <c r="I2762" s="9">
        <f>IF($A2762="","",SUMIFS(Ventes_Encaissements!$D$6:$D$3005,Ventes_Encaissements!$B$6:$B$3005,$A2762))</f>
        <v/>
      </c>
      <c r="J2762" s="9">
        <f>IF($A2762="","",$H2762-$I2762)</f>
        <v/>
      </c>
      <c r="K2762" s="10">
        <f>IF($A2762="","",IF($I2762=0,"",_xludf.AGGREGATE(14,6,Ventes_Encaissements!$C$6:$C$3005/(Ventes_Encaissements!$B$6:$B$3005=$A2762),1)))</f>
        <v/>
      </c>
      <c r="L2762" s="11">
        <f>IF($A2762="","",COUNTIFS(Ventes_Detail!$B$6:$B$3005,$A2762))</f>
        <v/>
      </c>
      <c r="M2762" s="12" t="n"/>
      <c r="N2762" s="12">
        <f>IF($A2762="","",IF($G2762="","",IF($M2762="Oui","Litige",IF($J2762&lt;=0,"Payé",IF($I2762&gt;0,"Partiel",IF(Listes!$B$3&gt;$G2762,"En retard","À échoir"))))))</f>
        <v/>
      </c>
      <c r="O2762" s="11">
        <f>IF($A2762="","",IF(OR($G2762="", $J2762&lt;=0),0,MAX(0,Listes!$B$3-$G2762)))</f>
        <v/>
      </c>
      <c r="P2762" s="12">
        <f>IF($A2762="","",IF($J2762&lt;=0,"Payé",IF($M2762="Oui","Litige",IF($O2762=0,"À échoir",IF($O2762&lt;=30,"0-30",IF($O2762&lt;=60,"31-60",IF($O2762&lt;=90,"61-90","90+")))))))</f>
        <v/>
      </c>
    </row>
    <row r="2763">
      <c r="A2763" s="6" t="n"/>
      <c r="B2763" s="6" t="n"/>
      <c r="C2763" s="6" t="n"/>
      <c r="D2763" s="6" t="n"/>
      <c r="E2763" s="6" t="n"/>
      <c r="F2763" s="7" t="n"/>
      <c r="G2763" s="7" t="n"/>
      <c r="H2763" s="8" t="n"/>
      <c r="I2763" s="9">
        <f>IF($A2763="","",SUMIFS(Ventes_Encaissements!$D$6:$D$3005,Ventes_Encaissements!$B$6:$B$3005,$A2763))</f>
        <v/>
      </c>
      <c r="J2763" s="9">
        <f>IF($A2763="","",$H2763-$I2763)</f>
        <v/>
      </c>
      <c r="K2763" s="10">
        <f>IF($A2763="","",IF($I2763=0,"",_xludf.AGGREGATE(14,6,Ventes_Encaissements!$C$6:$C$3005/(Ventes_Encaissements!$B$6:$B$3005=$A2763),1)))</f>
        <v/>
      </c>
      <c r="L2763" s="11">
        <f>IF($A2763="","",COUNTIFS(Ventes_Detail!$B$6:$B$3005,$A2763))</f>
        <v/>
      </c>
      <c r="M2763" s="12" t="n"/>
      <c r="N2763" s="12">
        <f>IF($A2763="","",IF($G2763="","",IF($M2763="Oui","Litige",IF($J2763&lt;=0,"Payé",IF($I2763&gt;0,"Partiel",IF(Listes!$B$3&gt;$G2763,"En retard","À échoir"))))))</f>
        <v/>
      </c>
      <c r="O2763" s="11">
        <f>IF($A2763="","",IF(OR($G2763="", $J2763&lt;=0),0,MAX(0,Listes!$B$3-$G2763)))</f>
        <v/>
      </c>
      <c r="P2763" s="12">
        <f>IF($A2763="","",IF($J2763&lt;=0,"Payé",IF($M2763="Oui","Litige",IF($O2763=0,"À échoir",IF($O2763&lt;=30,"0-30",IF($O2763&lt;=60,"31-60",IF($O2763&lt;=90,"61-90","90+")))))))</f>
        <v/>
      </c>
    </row>
    <row r="2764">
      <c r="A2764" s="6" t="n"/>
      <c r="B2764" s="6" t="n"/>
      <c r="C2764" s="6" t="n"/>
      <c r="D2764" s="6" t="n"/>
      <c r="E2764" s="6" t="n"/>
      <c r="F2764" s="7" t="n"/>
      <c r="G2764" s="7" t="n"/>
      <c r="H2764" s="8" t="n"/>
      <c r="I2764" s="9">
        <f>IF($A2764="","",SUMIFS(Ventes_Encaissements!$D$6:$D$3005,Ventes_Encaissements!$B$6:$B$3005,$A2764))</f>
        <v/>
      </c>
      <c r="J2764" s="9">
        <f>IF($A2764="","",$H2764-$I2764)</f>
        <v/>
      </c>
      <c r="K2764" s="10">
        <f>IF($A2764="","",IF($I2764=0,"",_xludf.AGGREGATE(14,6,Ventes_Encaissements!$C$6:$C$3005/(Ventes_Encaissements!$B$6:$B$3005=$A2764),1)))</f>
        <v/>
      </c>
      <c r="L2764" s="11">
        <f>IF($A2764="","",COUNTIFS(Ventes_Detail!$B$6:$B$3005,$A2764))</f>
        <v/>
      </c>
      <c r="M2764" s="12" t="n"/>
      <c r="N2764" s="12">
        <f>IF($A2764="","",IF($G2764="","",IF($M2764="Oui","Litige",IF($J2764&lt;=0,"Payé",IF($I2764&gt;0,"Partiel",IF(Listes!$B$3&gt;$G2764,"En retard","À échoir"))))))</f>
        <v/>
      </c>
      <c r="O2764" s="11">
        <f>IF($A2764="","",IF(OR($G2764="", $J2764&lt;=0),0,MAX(0,Listes!$B$3-$G2764)))</f>
        <v/>
      </c>
      <c r="P2764" s="12">
        <f>IF($A2764="","",IF($J2764&lt;=0,"Payé",IF($M2764="Oui","Litige",IF($O2764=0,"À échoir",IF($O2764&lt;=30,"0-30",IF($O2764&lt;=60,"31-60",IF($O2764&lt;=90,"61-90","90+")))))))</f>
        <v/>
      </c>
    </row>
    <row r="2765">
      <c r="A2765" s="6" t="n"/>
      <c r="B2765" s="6" t="n"/>
      <c r="C2765" s="6" t="n"/>
      <c r="D2765" s="6" t="n"/>
      <c r="E2765" s="6" t="n"/>
      <c r="F2765" s="7" t="n"/>
      <c r="G2765" s="7" t="n"/>
      <c r="H2765" s="8" t="n"/>
      <c r="I2765" s="9">
        <f>IF($A2765="","",SUMIFS(Ventes_Encaissements!$D$6:$D$3005,Ventes_Encaissements!$B$6:$B$3005,$A2765))</f>
        <v/>
      </c>
      <c r="J2765" s="9">
        <f>IF($A2765="","",$H2765-$I2765)</f>
        <v/>
      </c>
      <c r="K2765" s="10">
        <f>IF($A2765="","",IF($I2765=0,"",_xludf.AGGREGATE(14,6,Ventes_Encaissements!$C$6:$C$3005/(Ventes_Encaissements!$B$6:$B$3005=$A2765),1)))</f>
        <v/>
      </c>
      <c r="L2765" s="11">
        <f>IF($A2765="","",COUNTIFS(Ventes_Detail!$B$6:$B$3005,$A2765))</f>
        <v/>
      </c>
      <c r="M2765" s="12" t="n"/>
      <c r="N2765" s="12">
        <f>IF($A2765="","",IF($G2765="","",IF($M2765="Oui","Litige",IF($J2765&lt;=0,"Payé",IF($I2765&gt;0,"Partiel",IF(Listes!$B$3&gt;$G2765,"En retard","À échoir"))))))</f>
        <v/>
      </c>
      <c r="O2765" s="11">
        <f>IF($A2765="","",IF(OR($G2765="", $J2765&lt;=0),0,MAX(0,Listes!$B$3-$G2765)))</f>
        <v/>
      </c>
      <c r="P2765" s="12">
        <f>IF($A2765="","",IF($J2765&lt;=0,"Payé",IF($M2765="Oui","Litige",IF($O2765=0,"À échoir",IF($O2765&lt;=30,"0-30",IF($O2765&lt;=60,"31-60",IF($O2765&lt;=90,"61-90","90+")))))))</f>
        <v/>
      </c>
    </row>
    <row r="2766">
      <c r="A2766" s="6" t="n"/>
      <c r="B2766" s="6" t="n"/>
      <c r="C2766" s="6" t="n"/>
      <c r="D2766" s="6" t="n"/>
      <c r="E2766" s="6" t="n"/>
      <c r="F2766" s="7" t="n"/>
      <c r="G2766" s="7" t="n"/>
      <c r="H2766" s="8" t="n"/>
      <c r="I2766" s="9">
        <f>IF($A2766="","",SUMIFS(Ventes_Encaissements!$D$6:$D$3005,Ventes_Encaissements!$B$6:$B$3005,$A2766))</f>
        <v/>
      </c>
      <c r="J2766" s="9">
        <f>IF($A2766="","",$H2766-$I2766)</f>
        <v/>
      </c>
      <c r="K2766" s="10">
        <f>IF($A2766="","",IF($I2766=0,"",_xludf.AGGREGATE(14,6,Ventes_Encaissements!$C$6:$C$3005/(Ventes_Encaissements!$B$6:$B$3005=$A2766),1)))</f>
        <v/>
      </c>
      <c r="L2766" s="11">
        <f>IF($A2766="","",COUNTIFS(Ventes_Detail!$B$6:$B$3005,$A2766))</f>
        <v/>
      </c>
      <c r="M2766" s="12" t="n"/>
      <c r="N2766" s="12">
        <f>IF($A2766="","",IF($G2766="","",IF($M2766="Oui","Litige",IF($J2766&lt;=0,"Payé",IF($I2766&gt;0,"Partiel",IF(Listes!$B$3&gt;$G2766,"En retard","À échoir"))))))</f>
        <v/>
      </c>
      <c r="O2766" s="11">
        <f>IF($A2766="","",IF(OR($G2766="", $J2766&lt;=0),0,MAX(0,Listes!$B$3-$G2766)))</f>
        <v/>
      </c>
      <c r="P2766" s="12">
        <f>IF($A2766="","",IF($J2766&lt;=0,"Payé",IF($M2766="Oui","Litige",IF($O2766=0,"À échoir",IF($O2766&lt;=30,"0-30",IF($O2766&lt;=60,"31-60",IF($O2766&lt;=90,"61-90","90+")))))))</f>
        <v/>
      </c>
    </row>
    <row r="2767">
      <c r="A2767" s="6" t="n"/>
      <c r="B2767" s="6" t="n"/>
      <c r="C2767" s="6" t="n"/>
      <c r="D2767" s="6" t="n"/>
      <c r="E2767" s="6" t="n"/>
      <c r="F2767" s="7" t="n"/>
      <c r="G2767" s="7" t="n"/>
      <c r="H2767" s="8" t="n"/>
      <c r="I2767" s="9">
        <f>IF($A2767="","",SUMIFS(Ventes_Encaissements!$D$6:$D$3005,Ventes_Encaissements!$B$6:$B$3005,$A2767))</f>
        <v/>
      </c>
      <c r="J2767" s="9">
        <f>IF($A2767="","",$H2767-$I2767)</f>
        <v/>
      </c>
      <c r="K2767" s="10">
        <f>IF($A2767="","",IF($I2767=0,"",_xludf.AGGREGATE(14,6,Ventes_Encaissements!$C$6:$C$3005/(Ventes_Encaissements!$B$6:$B$3005=$A2767),1)))</f>
        <v/>
      </c>
      <c r="L2767" s="11">
        <f>IF($A2767="","",COUNTIFS(Ventes_Detail!$B$6:$B$3005,$A2767))</f>
        <v/>
      </c>
      <c r="M2767" s="12" t="n"/>
      <c r="N2767" s="12">
        <f>IF($A2767="","",IF($G2767="","",IF($M2767="Oui","Litige",IF($J2767&lt;=0,"Payé",IF($I2767&gt;0,"Partiel",IF(Listes!$B$3&gt;$G2767,"En retard","À échoir"))))))</f>
        <v/>
      </c>
      <c r="O2767" s="11">
        <f>IF($A2767="","",IF(OR($G2767="", $J2767&lt;=0),0,MAX(0,Listes!$B$3-$G2767)))</f>
        <v/>
      </c>
      <c r="P2767" s="12">
        <f>IF($A2767="","",IF($J2767&lt;=0,"Payé",IF($M2767="Oui","Litige",IF($O2767=0,"À échoir",IF($O2767&lt;=30,"0-30",IF($O2767&lt;=60,"31-60",IF($O2767&lt;=90,"61-90","90+")))))))</f>
        <v/>
      </c>
    </row>
    <row r="2768">
      <c r="A2768" s="6" t="n"/>
      <c r="B2768" s="6" t="n"/>
      <c r="C2768" s="6" t="n"/>
      <c r="D2768" s="6" t="n"/>
      <c r="E2768" s="6" t="n"/>
      <c r="F2768" s="7" t="n"/>
      <c r="G2768" s="7" t="n"/>
      <c r="H2768" s="8" t="n"/>
      <c r="I2768" s="9">
        <f>IF($A2768="","",SUMIFS(Ventes_Encaissements!$D$6:$D$3005,Ventes_Encaissements!$B$6:$B$3005,$A2768))</f>
        <v/>
      </c>
      <c r="J2768" s="9">
        <f>IF($A2768="","",$H2768-$I2768)</f>
        <v/>
      </c>
      <c r="K2768" s="10">
        <f>IF($A2768="","",IF($I2768=0,"",_xludf.AGGREGATE(14,6,Ventes_Encaissements!$C$6:$C$3005/(Ventes_Encaissements!$B$6:$B$3005=$A2768),1)))</f>
        <v/>
      </c>
      <c r="L2768" s="11">
        <f>IF($A2768="","",COUNTIFS(Ventes_Detail!$B$6:$B$3005,$A2768))</f>
        <v/>
      </c>
      <c r="M2768" s="12" t="n"/>
      <c r="N2768" s="12">
        <f>IF($A2768="","",IF($G2768="","",IF($M2768="Oui","Litige",IF($J2768&lt;=0,"Payé",IF($I2768&gt;0,"Partiel",IF(Listes!$B$3&gt;$G2768,"En retard","À échoir"))))))</f>
        <v/>
      </c>
      <c r="O2768" s="11">
        <f>IF($A2768="","",IF(OR($G2768="", $J2768&lt;=0),0,MAX(0,Listes!$B$3-$G2768)))</f>
        <v/>
      </c>
      <c r="P2768" s="12">
        <f>IF($A2768="","",IF($J2768&lt;=0,"Payé",IF($M2768="Oui","Litige",IF($O2768=0,"À échoir",IF($O2768&lt;=30,"0-30",IF($O2768&lt;=60,"31-60",IF($O2768&lt;=90,"61-90","90+")))))))</f>
        <v/>
      </c>
    </row>
    <row r="2769">
      <c r="A2769" s="6" t="n"/>
      <c r="B2769" s="6" t="n"/>
      <c r="C2769" s="6" t="n"/>
      <c r="D2769" s="6" t="n"/>
      <c r="E2769" s="6" t="n"/>
      <c r="F2769" s="7" t="n"/>
      <c r="G2769" s="7" t="n"/>
      <c r="H2769" s="8" t="n"/>
      <c r="I2769" s="9">
        <f>IF($A2769="","",SUMIFS(Ventes_Encaissements!$D$6:$D$3005,Ventes_Encaissements!$B$6:$B$3005,$A2769))</f>
        <v/>
      </c>
      <c r="J2769" s="9">
        <f>IF($A2769="","",$H2769-$I2769)</f>
        <v/>
      </c>
      <c r="K2769" s="10">
        <f>IF($A2769="","",IF($I2769=0,"",_xludf.AGGREGATE(14,6,Ventes_Encaissements!$C$6:$C$3005/(Ventes_Encaissements!$B$6:$B$3005=$A2769),1)))</f>
        <v/>
      </c>
      <c r="L2769" s="11">
        <f>IF($A2769="","",COUNTIFS(Ventes_Detail!$B$6:$B$3005,$A2769))</f>
        <v/>
      </c>
      <c r="M2769" s="12" t="n"/>
      <c r="N2769" s="12">
        <f>IF($A2769="","",IF($G2769="","",IF($M2769="Oui","Litige",IF($J2769&lt;=0,"Payé",IF($I2769&gt;0,"Partiel",IF(Listes!$B$3&gt;$G2769,"En retard","À échoir"))))))</f>
        <v/>
      </c>
      <c r="O2769" s="11">
        <f>IF($A2769="","",IF(OR($G2769="", $J2769&lt;=0),0,MAX(0,Listes!$B$3-$G2769)))</f>
        <v/>
      </c>
      <c r="P2769" s="12">
        <f>IF($A2769="","",IF($J2769&lt;=0,"Payé",IF($M2769="Oui","Litige",IF($O2769=0,"À échoir",IF($O2769&lt;=30,"0-30",IF($O2769&lt;=60,"31-60",IF($O2769&lt;=90,"61-90","90+")))))))</f>
        <v/>
      </c>
    </row>
    <row r="2770">
      <c r="A2770" s="6" t="n"/>
      <c r="B2770" s="6" t="n"/>
      <c r="C2770" s="6" t="n"/>
      <c r="D2770" s="6" t="n"/>
      <c r="E2770" s="6" t="n"/>
      <c r="F2770" s="7" t="n"/>
      <c r="G2770" s="7" t="n"/>
      <c r="H2770" s="8" t="n"/>
      <c r="I2770" s="9">
        <f>IF($A2770="","",SUMIFS(Ventes_Encaissements!$D$6:$D$3005,Ventes_Encaissements!$B$6:$B$3005,$A2770))</f>
        <v/>
      </c>
      <c r="J2770" s="9">
        <f>IF($A2770="","",$H2770-$I2770)</f>
        <v/>
      </c>
      <c r="K2770" s="10">
        <f>IF($A2770="","",IF($I2770=0,"",_xludf.AGGREGATE(14,6,Ventes_Encaissements!$C$6:$C$3005/(Ventes_Encaissements!$B$6:$B$3005=$A2770),1)))</f>
        <v/>
      </c>
      <c r="L2770" s="11">
        <f>IF($A2770="","",COUNTIFS(Ventes_Detail!$B$6:$B$3005,$A2770))</f>
        <v/>
      </c>
      <c r="M2770" s="12" t="n"/>
      <c r="N2770" s="12">
        <f>IF($A2770="","",IF($G2770="","",IF($M2770="Oui","Litige",IF($J2770&lt;=0,"Payé",IF($I2770&gt;0,"Partiel",IF(Listes!$B$3&gt;$G2770,"En retard","À échoir"))))))</f>
        <v/>
      </c>
      <c r="O2770" s="11">
        <f>IF($A2770="","",IF(OR($G2770="", $J2770&lt;=0),0,MAX(0,Listes!$B$3-$G2770)))</f>
        <v/>
      </c>
      <c r="P2770" s="12">
        <f>IF($A2770="","",IF($J2770&lt;=0,"Payé",IF($M2770="Oui","Litige",IF($O2770=0,"À échoir",IF($O2770&lt;=30,"0-30",IF($O2770&lt;=60,"31-60",IF($O2770&lt;=90,"61-90","90+")))))))</f>
        <v/>
      </c>
    </row>
    <row r="2771">
      <c r="A2771" s="6" t="n"/>
      <c r="B2771" s="6" t="n"/>
      <c r="C2771" s="6" t="n"/>
      <c r="D2771" s="6" t="n"/>
      <c r="E2771" s="6" t="n"/>
      <c r="F2771" s="7" t="n"/>
      <c r="G2771" s="7" t="n"/>
      <c r="H2771" s="8" t="n"/>
      <c r="I2771" s="9">
        <f>IF($A2771="","",SUMIFS(Ventes_Encaissements!$D$6:$D$3005,Ventes_Encaissements!$B$6:$B$3005,$A2771))</f>
        <v/>
      </c>
      <c r="J2771" s="9">
        <f>IF($A2771="","",$H2771-$I2771)</f>
        <v/>
      </c>
      <c r="K2771" s="10">
        <f>IF($A2771="","",IF($I2771=0,"",_xludf.AGGREGATE(14,6,Ventes_Encaissements!$C$6:$C$3005/(Ventes_Encaissements!$B$6:$B$3005=$A2771),1)))</f>
        <v/>
      </c>
      <c r="L2771" s="11">
        <f>IF($A2771="","",COUNTIFS(Ventes_Detail!$B$6:$B$3005,$A2771))</f>
        <v/>
      </c>
      <c r="M2771" s="12" t="n"/>
      <c r="N2771" s="12">
        <f>IF($A2771="","",IF($G2771="","",IF($M2771="Oui","Litige",IF($J2771&lt;=0,"Payé",IF($I2771&gt;0,"Partiel",IF(Listes!$B$3&gt;$G2771,"En retard","À échoir"))))))</f>
        <v/>
      </c>
      <c r="O2771" s="11">
        <f>IF($A2771="","",IF(OR($G2771="", $J2771&lt;=0),0,MAX(0,Listes!$B$3-$G2771)))</f>
        <v/>
      </c>
      <c r="P2771" s="12">
        <f>IF($A2771="","",IF($J2771&lt;=0,"Payé",IF($M2771="Oui","Litige",IF($O2771=0,"À échoir",IF($O2771&lt;=30,"0-30",IF($O2771&lt;=60,"31-60",IF($O2771&lt;=90,"61-90","90+")))))))</f>
        <v/>
      </c>
    </row>
    <row r="2772">
      <c r="A2772" s="6" t="n"/>
      <c r="B2772" s="6" t="n"/>
      <c r="C2772" s="6" t="n"/>
      <c r="D2772" s="6" t="n"/>
      <c r="E2772" s="6" t="n"/>
      <c r="F2772" s="7" t="n"/>
      <c r="G2772" s="7" t="n"/>
      <c r="H2772" s="8" t="n"/>
      <c r="I2772" s="9">
        <f>IF($A2772="","",SUMIFS(Ventes_Encaissements!$D$6:$D$3005,Ventes_Encaissements!$B$6:$B$3005,$A2772))</f>
        <v/>
      </c>
      <c r="J2772" s="9">
        <f>IF($A2772="","",$H2772-$I2772)</f>
        <v/>
      </c>
      <c r="K2772" s="10">
        <f>IF($A2772="","",IF($I2772=0,"",_xludf.AGGREGATE(14,6,Ventes_Encaissements!$C$6:$C$3005/(Ventes_Encaissements!$B$6:$B$3005=$A2772),1)))</f>
        <v/>
      </c>
      <c r="L2772" s="11">
        <f>IF($A2772="","",COUNTIFS(Ventes_Detail!$B$6:$B$3005,$A2772))</f>
        <v/>
      </c>
      <c r="M2772" s="12" t="n"/>
      <c r="N2772" s="12">
        <f>IF($A2772="","",IF($G2772="","",IF($M2772="Oui","Litige",IF($J2772&lt;=0,"Payé",IF($I2772&gt;0,"Partiel",IF(Listes!$B$3&gt;$G2772,"En retard","À échoir"))))))</f>
        <v/>
      </c>
      <c r="O2772" s="11">
        <f>IF($A2772="","",IF(OR($G2772="", $J2772&lt;=0),0,MAX(0,Listes!$B$3-$G2772)))</f>
        <v/>
      </c>
      <c r="P2772" s="12">
        <f>IF($A2772="","",IF($J2772&lt;=0,"Payé",IF($M2772="Oui","Litige",IF($O2772=0,"À échoir",IF($O2772&lt;=30,"0-30",IF($O2772&lt;=60,"31-60",IF($O2772&lt;=90,"61-90","90+")))))))</f>
        <v/>
      </c>
    </row>
    <row r="2773">
      <c r="A2773" s="6" t="n"/>
      <c r="B2773" s="6" t="n"/>
      <c r="C2773" s="6" t="n"/>
      <c r="D2773" s="6" t="n"/>
      <c r="E2773" s="6" t="n"/>
      <c r="F2773" s="7" t="n"/>
      <c r="G2773" s="7" t="n"/>
      <c r="H2773" s="8" t="n"/>
      <c r="I2773" s="9">
        <f>IF($A2773="","",SUMIFS(Ventes_Encaissements!$D$6:$D$3005,Ventes_Encaissements!$B$6:$B$3005,$A2773))</f>
        <v/>
      </c>
      <c r="J2773" s="9">
        <f>IF($A2773="","",$H2773-$I2773)</f>
        <v/>
      </c>
      <c r="K2773" s="10">
        <f>IF($A2773="","",IF($I2773=0,"",_xludf.AGGREGATE(14,6,Ventes_Encaissements!$C$6:$C$3005/(Ventes_Encaissements!$B$6:$B$3005=$A2773),1)))</f>
        <v/>
      </c>
      <c r="L2773" s="11">
        <f>IF($A2773="","",COUNTIFS(Ventes_Detail!$B$6:$B$3005,$A2773))</f>
        <v/>
      </c>
      <c r="M2773" s="12" t="n"/>
      <c r="N2773" s="12">
        <f>IF($A2773="","",IF($G2773="","",IF($M2773="Oui","Litige",IF($J2773&lt;=0,"Payé",IF($I2773&gt;0,"Partiel",IF(Listes!$B$3&gt;$G2773,"En retard","À échoir"))))))</f>
        <v/>
      </c>
      <c r="O2773" s="11">
        <f>IF($A2773="","",IF(OR($G2773="", $J2773&lt;=0),0,MAX(0,Listes!$B$3-$G2773)))</f>
        <v/>
      </c>
      <c r="P2773" s="12">
        <f>IF($A2773="","",IF($J2773&lt;=0,"Payé",IF($M2773="Oui","Litige",IF($O2773=0,"À échoir",IF($O2773&lt;=30,"0-30",IF($O2773&lt;=60,"31-60",IF($O2773&lt;=90,"61-90","90+")))))))</f>
        <v/>
      </c>
    </row>
    <row r="2774">
      <c r="A2774" s="6" t="n"/>
      <c r="B2774" s="6" t="n"/>
      <c r="C2774" s="6" t="n"/>
      <c r="D2774" s="6" t="n"/>
      <c r="E2774" s="6" t="n"/>
      <c r="F2774" s="7" t="n"/>
      <c r="G2774" s="7" t="n"/>
      <c r="H2774" s="8" t="n"/>
      <c r="I2774" s="9">
        <f>IF($A2774="","",SUMIFS(Ventes_Encaissements!$D$6:$D$3005,Ventes_Encaissements!$B$6:$B$3005,$A2774))</f>
        <v/>
      </c>
      <c r="J2774" s="9">
        <f>IF($A2774="","",$H2774-$I2774)</f>
        <v/>
      </c>
      <c r="K2774" s="10">
        <f>IF($A2774="","",IF($I2774=0,"",_xludf.AGGREGATE(14,6,Ventes_Encaissements!$C$6:$C$3005/(Ventes_Encaissements!$B$6:$B$3005=$A2774),1)))</f>
        <v/>
      </c>
      <c r="L2774" s="11">
        <f>IF($A2774="","",COUNTIFS(Ventes_Detail!$B$6:$B$3005,$A2774))</f>
        <v/>
      </c>
      <c r="M2774" s="12" t="n"/>
      <c r="N2774" s="12">
        <f>IF($A2774="","",IF($G2774="","",IF($M2774="Oui","Litige",IF($J2774&lt;=0,"Payé",IF($I2774&gt;0,"Partiel",IF(Listes!$B$3&gt;$G2774,"En retard","À échoir"))))))</f>
        <v/>
      </c>
      <c r="O2774" s="11">
        <f>IF($A2774="","",IF(OR($G2774="", $J2774&lt;=0),0,MAX(0,Listes!$B$3-$G2774)))</f>
        <v/>
      </c>
      <c r="P2774" s="12">
        <f>IF($A2774="","",IF($J2774&lt;=0,"Payé",IF($M2774="Oui","Litige",IF($O2774=0,"À échoir",IF($O2774&lt;=30,"0-30",IF($O2774&lt;=60,"31-60",IF($O2774&lt;=90,"61-90","90+")))))))</f>
        <v/>
      </c>
    </row>
    <row r="2775">
      <c r="A2775" s="6" t="n"/>
      <c r="B2775" s="6" t="n"/>
      <c r="C2775" s="6" t="n"/>
      <c r="D2775" s="6" t="n"/>
      <c r="E2775" s="6" t="n"/>
      <c r="F2775" s="7" t="n"/>
      <c r="G2775" s="7" t="n"/>
      <c r="H2775" s="8" t="n"/>
      <c r="I2775" s="9">
        <f>IF($A2775="","",SUMIFS(Ventes_Encaissements!$D$6:$D$3005,Ventes_Encaissements!$B$6:$B$3005,$A2775))</f>
        <v/>
      </c>
      <c r="J2775" s="9">
        <f>IF($A2775="","",$H2775-$I2775)</f>
        <v/>
      </c>
      <c r="K2775" s="10">
        <f>IF($A2775="","",IF($I2775=0,"",_xludf.AGGREGATE(14,6,Ventes_Encaissements!$C$6:$C$3005/(Ventes_Encaissements!$B$6:$B$3005=$A2775),1)))</f>
        <v/>
      </c>
      <c r="L2775" s="11">
        <f>IF($A2775="","",COUNTIFS(Ventes_Detail!$B$6:$B$3005,$A2775))</f>
        <v/>
      </c>
      <c r="M2775" s="12" t="n"/>
      <c r="N2775" s="12">
        <f>IF($A2775="","",IF($G2775="","",IF($M2775="Oui","Litige",IF($J2775&lt;=0,"Payé",IF($I2775&gt;0,"Partiel",IF(Listes!$B$3&gt;$G2775,"En retard","À échoir"))))))</f>
        <v/>
      </c>
      <c r="O2775" s="11">
        <f>IF($A2775="","",IF(OR($G2775="", $J2775&lt;=0),0,MAX(0,Listes!$B$3-$G2775)))</f>
        <v/>
      </c>
      <c r="P2775" s="12">
        <f>IF($A2775="","",IF($J2775&lt;=0,"Payé",IF($M2775="Oui","Litige",IF($O2775=0,"À échoir",IF($O2775&lt;=30,"0-30",IF($O2775&lt;=60,"31-60",IF($O2775&lt;=90,"61-90","90+")))))))</f>
        <v/>
      </c>
    </row>
    <row r="2776">
      <c r="A2776" s="6" t="n"/>
      <c r="B2776" s="6" t="n"/>
      <c r="C2776" s="6" t="n"/>
      <c r="D2776" s="6" t="n"/>
      <c r="E2776" s="6" t="n"/>
      <c r="F2776" s="7" t="n"/>
      <c r="G2776" s="7" t="n"/>
      <c r="H2776" s="8" t="n"/>
      <c r="I2776" s="9">
        <f>IF($A2776="","",SUMIFS(Ventes_Encaissements!$D$6:$D$3005,Ventes_Encaissements!$B$6:$B$3005,$A2776))</f>
        <v/>
      </c>
      <c r="J2776" s="9">
        <f>IF($A2776="","",$H2776-$I2776)</f>
        <v/>
      </c>
      <c r="K2776" s="10">
        <f>IF($A2776="","",IF($I2776=0,"",_xludf.AGGREGATE(14,6,Ventes_Encaissements!$C$6:$C$3005/(Ventes_Encaissements!$B$6:$B$3005=$A2776),1)))</f>
        <v/>
      </c>
      <c r="L2776" s="11">
        <f>IF($A2776="","",COUNTIFS(Ventes_Detail!$B$6:$B$3005,$A2776))</f>
        <v/>
      </c>
      <c r="M2776" s="12" t="n"/>
      <c r="N2776" s="12">
        <f>IF($A2776="","",IF($G2776="","",IF($M2776="Oui","Litige",IF($J2776&lt;=0,"Payé",IF($I2776&gt;0,"Partiel",IF(Listes!$B$3&gt;$G2776,"En retard","À échoir"))))))</f>
        <v/>
      </c>
      <c r="O2776" s="11">
        <f>IF($A2776="","",IF(OR($G2776="", $J2776&lt;=0),0,MAX(0,Listes!$B$3-$G2776)))</f>
        <v/>
      </c>
      <c r="P2776" s="12">
        <f>IF($A2776="","",IF($J2776&lt;=0,"Payé",IF($M2776="Oui","Litige",IF($O2776=0,"À échoir",IF($O2776&lt;=30,"0-30",IF($O2776&lt;=60,"31-60",IF($O2776&lt;=90,"61-90","90+")))))))</f>
        <v/>
      </c>
    </row>
    <row r="2777">
      <c r="A2777" s="6" t="n"/>
      <c r="B2777" s="6" t="n"/>
      <c r="C2777" s="6" t="n"/>
      <c r="D2777" s="6" t="n"/>
      <c r="E2777" s="6" t="n"/>
      <c r="F2777" s="7" t="n"/>
      <c r="G2777" s="7" t="n"/>
      <c r="H2777" s="8" t="n"/>
      <c r="I2777" s="9">
        <f>IF($A2777="","",SUMIFS(Ventes_Encaissements!$D$6:$D$3005,Ventes_Encaissements!$B$6:$B$3005,$A2777))</f>
        <v/>
      </c>
      <c r="J2777" s="9">
        <f>IF($A2777="","",$H2777-$I2777)</f>
        <v/>
      </c>
      <c r="K2777" s="10">
        <f>IF($A2777="","",IF($I2777=0,"",_xludf.AGGREGATE(14,6,Ventes_Encaissements!$C$6:$C$3005/(Ventes_Encaissements!$B$6:$B$3005=$A2777),1)))</f>
        <v/>
      </c>
      <c r="L2777" s="11">
        <f>IF($A2777="","",COUNTIFS(Ventes_Detail!$B$6:$B$3005,$A2777))</f>
        <v/>
      </c>
      <c r="M2777" s="12" t="n"/>
      <c r="N2777" s="12">
        <f>IF($A2777="","",IF($G2777="","",IF($M2777="Oui","Litige",IF($J2777&lt;=0,"Payé",IF($I2777&gt;0,"Partiel",IF(Listes!$B$3&gt;$G2777,"En retard","À échoir"))))))</f>
        <v/>
      </c>
      <c r="O2777" s="11">
        <f>IF($A2777="","",IF(OR($G2777="", $J2777&lt;=0),0,MAX(0,Listes!$B$3-$G2777)))</f>
        <v/>
      </c>
      <c r="P2777" s="12">
        <f>IF($A2777="","",IF($J2777&lt;=0,"Payé",IF($M2777="Oui","Litige",IF($O2777=0,"À échoir",IF($O2777&lt;=30,"0-30",IF($O2777&lt;=60,"31-60",IF($O2777&lt;=90,"61-90","90+")))))))</f>
        <v/>
      </c>
    </row>
    <row r="2778">
      <c r="A2778" s="6" t="n"/>
      <c r="B2778" s="6" t="n"/>
      <c r="C2778" s="6" t="n"/>
      <c r="D2778" s="6" t="n"/>
      <c r="E2778" s="6" t="n"/>
      <c r="F2778" s="7" t="n"/>
      <c r="G2778" s="7" t="n"/>
      <c r="H2778" s="8" t="n"/>
      <c r="I2778" s="9">
        <f>IF($A2778="","",SUMIFS(Ventes_Encaissements!$D$6:$D$3005,Ventes_Encaissements!$B$6:$B$3005,$A2778))</f>
        <v/>
      </c>
      <c r="J2778" s="9">
        <f>IF($A2778="","",$H2778-$I2778)</f>
        <v/>
      </c>
      <c r="K2778" s="10">
        <f>IF($A2778="","",IF($I2778=0,"",_xludf.AGGREGATE(14,6,Ventes_Encaissements!$C$6:$C$3005/(Ventes_Encaissements!$B$6:$B$3005=$A2778),1)))</f>
        <v/>
      </c>
      <c r="L2778" s="11">
        <f>IF($A2778="","",COUNTIFS(Ventes_Detail!$B$6:$B$3005,$A2778))</f>
        <v/>
      </c>
      <c r="M2778" s="12" t="n"/>
      <c r="N2778" s="12">
        <f>IF($A2778="","",IF($G2778="","",IF($M2778="Oui","Litige",IF($J2778&lt;=0,"Payé",IF($I2778&gt;0,"Partiel",IF(Listes!$B$3&gt;$G2778,"En retard","À échoir"))))))</f>
        <v/>
      </c>
      <c r="O2778" s="11">
        <f>IF($A2778="","",IF(OR($G2778="", $J2778&lt;=0),0,MAX(0,Listes!$B$3-$G2778)))</f>
        <v/>
      </c>
      <c r="P2778" s="12">
        <f>IF($A2778="","",IF($J2778&lt;=0,"Payé",IF($M2778="Oui","Litige",IF($O2778=0,"À échoir",IF($O2778&lt;=30,"0-30",IF($O2778&lt;=60,"31-60",IF($O2778&lt;=90,"61-90","90+")))))))</f>
        <v/>
      </c>
    </row>
    <row r="2779">
      <c r="A2779" s="6" t="n"/>
      <c r="B2779" s="6" t="n"/>
      <c r="C2779" s="6" t="n"/>
      <c r="D2779" s="6" t="n"/>
      <c r="E2779" s="6" t="n"/>
      <c r="F2779" s="7" t="n"/>
      <c r="G2779" s="7" t="n"/>
      <c r="H2779" s="8" t="n"/>
      <c r="I2779" s="9">
        <f>IF($A2779="","",SUMIFS(Ventes_Encaissements!$D$6:$D$3005,Ventes_Encaissements!$B$6:$B$3005,$A2779))</f>
        <v/>
      </c>
      <c r="J2779" s="9">
        <f>IF($A2779="","",$H2779-$I2779)</f>
        <v/>
      </c>
      <c r="K2779" s="10">
        <f>IF($A2779="","",IF($I2779=0,"",_xludf.AGGREGATE(14,6,Ventes_Encaissements!$C$6:$C$3005/(Ventes_Encaissements!$B$6:$B$3005=$A2779),1)))</f>
        <v/>
      </c>
      <c r="L2779" s="11">
        <f>IF($A2779="","",COUNTIFS(Ventes_Detail!$B$6:$B$3005,$A2779))</f>
        <v/>
      </c>
      <c r="M2779" s="12" t="n"/>
      <c r="N2779" s="12">
        <f>IF($A2779="","",IF($G2779="","",IF($M2779="Oui","Litige",IF($J2779&lt;=0,"Payé",IF($I2779&gt;0,"Partiel",IF(Listes!$B$3&gt;$G2779,"En retard","À échoir"))))))</f>
        <v/>
      </c>
      <c r="O2779" s="11">
        <f>IF($A2779="","",IF(OR($G2779="", $J2779&lt;=0),0,MAX(0,Listes!$B$3-$G2779)))</f>
        <v/>
      </c>
      <c r="P2779" s="12">
        <f>IF($A2779="","",IF($J2779&lt;=0,"Payé",IF($M2779="Oui","Litige",IF($O2779=0,"À échoir",IF($O2779&lt;=30,"0-30",IF($O2779&lt;=60,"31-60",IF($O2779&lt;=90,"61-90","90+")))))))</f>
        <v/>
      </c>
    </row>
    <row r="2780">
      <c r="A2780" s="6" t="n"/>
      <c r="B2780" s="6" t="n"/>
      <c r="C2780" s="6" t="n"/>
      <c r="D2780" s="6" t="n"/>
      <c r="E2780" s="6" t="n"/>
      <c r="F2780" s="7" t="n"/>
      <c r="G2780" s="7" t="n"/>
      <c r="H2780" s="8" t="n"/>
      <c r="I2780" s="9">
        <f>IF($A2780="","",SUMIFS(Ventes_Encaissements!$D$6:$D$3005,Ventes_Encaissements!$B$6:$B$3005,$A2780))</f>
        <v/>
      </c>
      <c r="J2780" s="9">
        <f>IF($A2780="","",$H2780-$I2780)</f>
        <v/>
      </c>
      <c r="K2780" s="10">
        <f>IF($A2780="","",IF($I2780=0,"",_xludf.AGGREGATE(14,6,Ventes_Encaissements!$C$6:$C$3005/(Ventes_Encaissements!$B$6:$B$3005=$A2780),1)))</f>
        <v/>
      </c>
      <c r="L2780" s="11">
        <f>IF($A2780="","",COUNTIFS(Ventes_Detail!$B$6:$B$3005,$A2780))</f>
        <v/>
      </c>
      <c r="M2780" s="12" t="n"/>
      <c r="N2780" s="12">
        <f>IF($A2780="","",IF($G2780="","",IF($M2780="Oui","Litige",IF($J2780&lt;=0,"Payé",IF($I2780&gt;0,"Partiel",IF(Listes!$B$3&gt;$G2780,"En retard","À échoir"))))))</f>
        <v/>
      </c>
      <c r="O2780" s="11">
        <f>IF($A2780="","",IF(OR($G2780="", $J2780&lt;=0),0,MAX(0,Listes!$B$3-$G2780)))</f>
        <v/>
      </c>
      <c r="P2780" s="12">
        <f>IF($A2780="","",IF($J2780&lt;=0,"Payé",IF($M2780="Oui","Litige",IF($O2780=0,"À échoir",IF($O2780&lt;=30,"0-30",IF($O2780&lt;=60,"31-60",IF($O2780&lt;=90,"61-90","90+")))))))</f>
        <v/>
      </c>
    </row>
    <row r="2781">
      <c r="A2781" s="6" t="n"/>
      <c r="B2781" s="6" t="n"/>
      <c r="C2781" s="6" t="n"/>
      <c r="D2781" s="6" t="n"/>
      <c r="E2781" s="6" t="n"/>
      <c r="F2781" s="7" t="n"/>
      <c r="G2781" s="7" t="n"/>
      <c r="H2781" s="8" t="n"/>
      <c r="I2781" s="9">
        <f>IF($A2781="","",SUMIFS(Ventes_Encaissements!$D$6:$D$3005,Ventes_Encaissements!$B$6:$B$3005,$A2781))</f>
        <v/>
      </c>
      <c r="J2781" s="9">
        <f>IF($A2781="","",$H2781-$I2781)</f>
        <v/>
      </c>
      <c r="K2781" s="10">
        <f>IF($A2781="","",IF($I2781=0,"",_xludf.AGGREGATE(14,6,Ventes_Encaissements!$C$6:$C$3005/(Ventes_Encaissements!$B$6:$B$3005=$A2781),1)))</f>
        <v/>
      </c>
      <c r="L2781" s="11">
        <f>IF($A2781="","",COUNTIFS(Ventes_Detail!$B$6:$B$3005,$A2781))</f>
        <v/>
      </c>
      <c r="M2781" s="12" t="n"/>
      <c r="N2781" s="12">
        <f>IF($A2781="","",IF($G2781="","",IF($M2781="Oui","Litige",IF($J2781&lt;=0,"Payé",IF($I2781&gt;0,"Partiel",IF(Listes!$B$3&gt;$G2781,"En retard","À échoir"))))))</f>
        <v/>
      </c>
      <c r="O2781" s="11">
        <f>IF($A2781="","",IF(OR($G2781="", $J2781&lt;=0),0,MAX(0,Listes!$B$3-$G2781)))</f>
        <v/>
      </c>
      <c r="P2781" s="12">
        <f>IF($A2781="","",IF($J2781&lt;=0,"Payé",IF($M2781="Oui","Litige",IF($O2781=0,"À échoir",IF($O2781&lt;=30,"0-30",IF($O2781&lt;=60,"31-60",IF($O2781&lt;=90,"61-90","90+")))))))</f>
        <v/>
      </c>
    </row>
    <row r="2782">
      <c r="A2782" s="6" t="n"/>
      <c r="B2782" s="6" t="n"/>
      <c r="C2782" s="6" t="n"/>
      <c r="D2782" s="6" t="n"/>
      <c r="E2782" s="6" t="n"/>
      <c r="F2782" s="7" t="n"/>
      <c r="G2782" s="7" t="n"/>
      <c r="H2782" s="8" t="n"/>
      <c r="I2782" s="9">
        <f>IF($A2782="","",SUMIFS(Ventes_Encaissements!$D$6:$D$3005,Ventes_Encaissements!$B$6:$B$3005,$A2782))</f>
        <v/>
      </c>
      <c r="J2782" s="9">
        <f>IF($A2782="","",$H2782-$I2782)</f>
        <v/>
      </c>
      <c r="K2782" s="10">
        <f>IF($A2782="","",IF($I2782=0,"",_xludf.AGGREGATE(14,6,Ventes_Encaissements!$C$6:$C$3005/(Ventes_Encaissements!$B$6:$B$3005=$A2782),1)))</f>
        <v/>
      </c>
      <c r="L2782" s="11">
        <f>IF($A2782="","",COUNTIFS(Ventes_Detail!$B$6:$B$3005,$A2782))</f>
        <v/>
      </c>
      <c r="M2782" s="12" t="n"/>
      <c r="N2782" s="12">
        <f>IF($A2782="","",IF($G2782="","",IF($M2782="Oui","Litige",IF($J2782&lt;=0,"Payé",IF($I2782&gt;0,"Partiel",IF(Listes!$B$3&gt;$G2782,"En retard","À échoir"))))))</f>
        <v/>
      </c>
      <c r="O2782" s="11">
        <f>IF($A2782="","",IF(OR($G2782="", $J2782&lt;=0),0,MAX(0,Listes!$B$3-$G2782)))</f>
        <v/>
      </c>
      <c r="P2782" s="12">
        <f>IF($A2782="","",IF($J2782&lt;=0,"Payé",IF($M2782="Oui","Litige",IF($O2782=0,"À échoir",IF($O2782&lt;=30,"0-30",IF($O2782&lt;=60,"31-60",IF($O2782&lt;=90,"61-90","90+")))))))</f>
        <v/>
      </c>
    </row>
    <row r="2783">
      <c r="A2783" s="6" t="n"/>
      <c r="B2783" s="6" t="n"/>
      <c r="C2783" s="6" t="n"/>
      <c r="D2783" s="6" t="n"/>
      <c r="E2783" s="6" t="n"/>
      <c r="F2783" s="7" t="n"/>
      <c r="G2783" s="7" t="n"/>
      <c r="H2783" s="8" t="n"/>
      <c r="I2783" s="9">
        <f>IF($A2783="","",SUMIFS(Ventes_Encaissements!$D$6:$D$3005,Ventes_Encaissements!$B$6:$B$3005,$A2783))</f>
        <v/>
      </c>
      <c r="J2783" s="9">
        <f>IF($A2783="","",$H2783-$I2783)</f>
        <v/>
      </c>
      <c r="K2783" s="10">
        <f>IF($A2783="","",IF($I2783=0,"",_xludf.AGGREGATE(14,6,Ventes_Encaissements!$C$6:$C$3005/(Ventes_Encaissements!$B$6:$B$3005=$A2783),1)))</f>
        <v/>
      </c>
      <c r="L2783" s="11">
        <f>IF($A2783="","",COUNTIFS(Ventes_Detail!$B$6:$B$3005,$A2783))</f>
        <v/>
      </c>
      <c r="M2783" s="12" t="n"/>
      <c r="N2783" s="12">
        <f>IF($A2783="","",IF($G2783="","",IF($M2783="Oui","Litige",IF($J2783&lt;=0,"Payé",IF($I2783&gt;0,"Partiel",IF(Listes!$B$3&gt;$G2783,"En retard","À échoir"))))))</f>
        <v/>
      </c>
      <c r="O2783" s="11">
        <f>IF($A2783="","",IF(OR($G2783="", $J2783&lt;=0),0,MAX(0,Listes!$B$3-$G2783)))</f>
        <v/>
      </c>
      <c r="P2783" s="12">
        <f>IF($A2783="","",IF($J2783&lt;=0,"Payé",IF($M2783="Oui","Litige",IF($O2783=0,"À échoir",IF($O2783&lt;=30,"0-30",IF($O2783&lt;=60,"31-60",IF($O2783&lt;=90,"61-90","90+")))))))</f>
        <v/>
      </c>
    </row>
    <row r="2784">
      <c r="A2784" s="6" t="n"/>
      <c r="B2784" s="6" t="n"/>
      <c r="C2784" s="6" t="n"/>
      <c r="D2784" s="6" t="n"/>
      <c r="E2784" s="6" t="n"/>
      <c r="F2784" s="7" t="n"/>
      <c r="G2784" s="7" t="n"/>
      <c r="H2784" s="8" t="n"/>
      <c r="I2784" s="9">
        <f>IF($A2784="","",SUMIFS(Ventes_Encaissements!$D$6:$D$3005,Ventes_Encaissements!$B$6:$B$3005,$A2784))</f>
        <v/>
      </c>
      <c r="J2784" s="9">
        <f>IF($A2784="","",$H2784-$I2784)</f>
        <v/>
      </c>
      <c r="K2784" s="10">
        <f>IF($A2784="","",IF($I2784=0,"",_xludf.AGGREGATE(14,6,Ventes_Encaissements!$C$6:$C$3005/(Ventes_Encaissements!$B$6:$B$3005=$A2784),1)))</f>
        <v/>
      </c>
      <c r="L2784" s="11">
        <f>IF($A2784="","",COUNTIFS(Ventes_Detail!$B$6:$B$3005,$A2784))</f>
        <v/>
      </c>
      <c r="M2784" s="12" t="n"/>
      <c r="N2784" s="12">
        <f>IF($A2784="","",IF($G2784="","",IF($M2784="Oui","Litige",IF($J2784&lt;=0,"Payé",IF($I2784&gt;0,"Partiel",IF(Listes!$B$3&gt;$G2784,"En retard","À échoir"))))))</f>
        <v/>
      </c>
      <c r="O2784" s="11">
        <f>IF($A2784="","",IF(OR($G2784="", $J2784&lt;=0),0,MAX(0,Listes!$B$3-$G2784)))</f>
        <v/>
      </c>
      <c r="P2784" s="12">
        <f>IF($A2784="","",IF($J2784&lt;=0,"Payé",IF($M2784="Oui","Litige",IF($O2784=0,"À échoir",IF($O2784&lt;=30,"0-30",IF($O2784&lt;=60,"31-60",IF($O2784&lt;=90,"61-90","90+")))))))</f>
        <v/>
      </c>
    </row>
    <row r="2785">
      <c r="A2785" s="6" t="n"/>
      <c r="B2785" s="6" t="n"/>
      <c r="C2785" s="6" t="n"/>
      <c r="D2785" s="6" t="n"/>
      <c r="E2785" s="6" t="n"/>
      <c r="F2785" s="7" t="n"/>
      <c r="G2785" s="7" t="n"/>
      <c r="H2785" s="8" t="n"/>
      <c r="I2785" s="9">
        <f>IF($A2785="","",SUMIFS(Ventes_Encaissements!$D$6:$D$3005,Ventes_Encaissements!$B$6:$B$3005,$A2785))</f>
        <v/>
      </c>
      <c r="J2785" s="9">
        <f>IF($A2785="","",$H2785-$I2785)</f>
        <v/>
      </c>
      <c r="K2785" s="10">
        <f>IF($A2785="","",IF($I2785=0,"",_xludf.AGGREGATE(14,6,Ventes_Encaissements!$C$6:$C$3005/(Ventes_Encaissements!$B$6:$B$3005=$A2785),1)))</f>
        <v/>
      </c>
      <c r="L2785" s="11">
        <f>IF($A2785="","",COUNTIFS(Ventes_Detail!$B$6:$B$3005,$A2785))</f>
        <v/>
      </c>
      <c r="M2785" s="12" t="n"/>
      <c r="N2785" s="12">
        <f>IF($A2785="","",IF($G2785="","",IF($M2785="Oui","Litige",IF($J2785&lt;=0,"Payé",IF($I2785&gt;0,"Partiel",IF(Listes!$B$3&gt;$G2785,"En retard","À échoir"))))))</f>
        <v/>
      </c>
      <c r="O2785" s="11">
        <f>IF($A2785="","",IF(OR($G2785="", $J2785&lt;=0),0,MAX(0,Listes!$B$3-$G2785)))</f>
        <v/>
      </c>
      <c r="P2785" s="12">
        <f>IF($A2785="","",IF($J2785&lt;=0,"Payé",IF($M2785="Oui","Litige",IF($O2785=0,"À échoir",IF($O2785&lt;=30,"0-30",IF($O2785&lt;=60,"31-60",IF($O2785&lt;=90,"61-90","90+")))))))</f>
        <v/>
      </c>
    </row>
    <row r="2786">
      <c r="A2786" s="6" t="n"/>
      <c r="B2786" s="6" t="n"/>
      <c r="C2786" s="6" t="n"/>
      <c r="D2786" s="6" t="n"/>
      <c r="E2786" s="6" t="n"/>
      <c r="F2786" s="7" t="n"/>
      <c r="G2786" s="7" t="n"/>
      <c r="H2786" s="8" t="n"/>
      <c r="I2786" s="9">
        <f>IF($A2786="","",SUMIFS(Ventes_Encaissements!$D$6:$D$3005,Ventes_Encaissements!$B$6:$B$3005,$A2786))</f>
        <v/>
      </c>
      <c r="J2786" s="9">
        <f>IF($A2786="","",$H2786-$I2786)</f>
        <v/>
      </c>
      <c r="K2786" s="10">
        <f>IF($A2786="","",IF($I2786=0,"",_xludf.AGGREGATE(14,6,Ventes_Encaissements!$C$6:$C$3005/(Ventes_Encaissements!$B$6:$B$3005=$A2786),1)))</f>
        <v/>
      </c>
      <c r="L2786" s="11">
        <f>IF($A2786="","",COUNTIFS(Ventes_Detail!$B$6:$B$3005,$A2786))</f>
        <v/>
      </c>
      <c r="M2786" s="12" t="n"/>
      <c r="N2786" s="12">
        <f>IF($A2786="","",IF($G2786="","",IF($M2786="Oui","Litige",IF($J2786&lt;=0,"Payé",IF($I2786&gt;0,"Partiel",IF(Listes!$B$3&gt;$G2786,"En retard","À échoir"))))))</f>
        <v/>
      </c>
      <c r="O2786" s="11">
        <f>IF($A2786="","",IF(OR($G2786="", $J2786&lt;=0),0,MAX(0,Listes!$B$3-$G2786)))</f>
        <v/>
      </c>
      <c r="P2786" s="12">
        <f>IF($A2786="","",IF($J2786&lt;=0,"Payé",IF($M2786="Oui","Litige",IF($O2786=0,"À échoir",IF($O2786&lt;=30,"0-30",IF($O2786&lt;=60,"31-60",IF($O2786&lt;=90,"61-90","90+")))))))</f>
        <v/>
      </c>
    </row>
    <row r="2787">
      <c r="A2787" s="6" t="n"/>
      <c r="B2787" s="6" t="n"/>
      <c r="C2787" s="6" t="n"/>
      <c r="D2787" s="6" t="n"/>
      <c r="E2787" s="6" t="n"/>
      <c r="F2787" s="7" t="n"/>
      <c r="G2787" s="7" t="n"/>
      <c r="H2787" s="8" t="n"/>
      <c r="I2787" s="9">
        <f>IF($A2787="","",SUMIFS(Ventes_Encaissements!$D$6:$D$3005,Ventes_Encaissements!$B$6:$B$3005,$A2787))</f>
        <v/>
      </c>
      <c r="J2787" s="9">
        <f>IF($A2787="","",$H2787-$I2787)</f>
        <v/>
      </c>
      <c r="K2787" s="10">
        <f>IF($A2787="","",IF($I2787=0,"",_xludf.AGGREGATE(14,6,Ventes_Encaissements!$C$6:$C$3005/(Ventes_Encaissements!$B$6:$B$3005=$A2787),1)))</f>
        <v/>
      </c>
      <c r="L2787" s="11">
        <f>IF($A2787="","",COUNTIFS(Ventes_Detail!$B$6:$B$3005,$A2787))</f>
        <v/>
      </c>
      <c r="M2787" s="12" t="n"/>
      <c r="N2787" s="12">
        <f>IF($A2787="","",IF($G2787="","",IF($M2787="Oui","Litige",IF($J2787&lt;=0,"Payé",IF($I2787&gt;0,"Partiel",IF(Listes!$B$3&gt;$G2787,"En retard","À échoir"))))))</f>
        <v/>
      </c>
      <c r="O2787" s="11">
        <f>IF($A2787="","",IF(OR($G2787="", $J2787&lt;=0),0,MAX(0,Listes!$B$3-$G2787)))</f>
        <v/>
      </c>
      <c r="P2787" s="12">
        <f>IF($A2787="","",IF($J2787&lt;=0,"Payé",IF($M2787="Oui","Litige",IF($O2787=0,"À échoir",IF($O2787&lt;=30,"0-30",IF($O2787&lt;=60,"31-60",IF($O2787&lt;=90,"61-90","90+")))))))</f>
        <v/>
      </c>
    </row>
    <row r="2788">
      <c r="A2788" s="6" t="n"/>
      <c r="B2788" s="6" t="n"/>
      <c r="C2788" s="6" t="n"/>
      <c r="D2788" s="6" t="n"/>
      <c r="E2788" s="6" t="n"/>
      <c r="F2788" s="7" t="n"/>
      <c r="G2788" s="7" t="n"/>
      <c r="H2788" s="8" t="n"/>
      <c r="I2788" s="9">
        <f>IF($A2788="","",SUMIFS(Ventes_Encaissements!$D$6:$D$3005,Ventes_Encaissements!$B$6:$B$3005,$A2788))</f>
        <v/>
      </c>
      <c r="J2788" s="9">
        <f>IF($A2788="","",$H2788-$I2788)</f>
        <v/>
      </c>
      <c r="K2788" s="10">
        <f>IF($A2788="","",IF($I2788=0,"",_xludf.AGGREGATE(14,6,Ventes_Encaissements!$C$6:$C$3005/(Ventes_Encaissements!$B$6:$B$3005=$A2788),1)))</f>
        <v/>
      </c>
      <c r="L2788" s="11">
        <f>IF($A2788="","",COUNTIFS(Ventes_Detail!$B$6:$B$3005,$A2788))</f>
        <v/>
      </c>
      <c r="M2788" s="12" t="n"/>
      <c r="N2788" s="12">
        <f>IF($A2788="","",IF($G2788="","",IF($M2788="Oui","Litige",IF($J2788&lt;=0,"Payé",IF($I2788&gt;0,"Partiel",IF(Listes!$B$3&gt;$G2788,"En retard","À échoir"))))))</f>
        <v/>
      </c>
      <c r="O2788" s="11">
        <f>IF($A2788="","",IF(OR($G2788="", $J2788&lt;=0),0,MAX(0,Listes!$B$3-$G2788)))</f>
        <v/>
      </c>
      <c r="P2788" s="12">
        <f>IF($A2788="","",IF($J2788&lt;=0,"Payé",IF($M2788="Oui","Litige",IF($O2788=0,"À échoir",IF($O2788&lt;=30,"0-30",IF($O2788&lt;=60,"31-60",IF($O2788&lt;=90,"61-90","90+")))))))</f>
        <v/>
      </c>
    </row>
    <row r="2789">
      <c r="A2789" s="6" t="n"/>
      <c r="B2789" s="6" t="n"/>
      <c r="C2789" s="6" t="n"/>
      <c r="D2789" s="6" t="n"/>
      <c r="E2789" s="6" t="n"/>
      <c r="F2789" s="7" t="n"/>
      <c r="G2789" s="7" t="n"/>
      <c r="H2789" s="8" t="n"/>
      <c r="I2789" s="9">
        <f>IF($A2789="","",SUMIFS(Ventes_Encaissements!$D$6:$D$3005,Ventes_Encaissements!$B$6:$B$3005,$A2789))</f>
        <v/>
      </c>
      <c r="J2789" s="9">
        <f>IF($A2789="","",$H2789-$I2789)</f>
        <v/>
      </c>
      <c r="K2789" s="10">
        <f>IF($A2789="","",IF($I2789=0,"",_xludf.AGGREGATE(14,6,Ventes_Encaissements!$C$6:$C$3005/(Ventes_Encaissements!$B$6:$B$3005=$A2789),1)))</f>
        <v/>
      </c>
      <c r="L2789" s="11">
        <f>IF($A2789="","",COUNTIFS(Ventes_Detail!$B$6:$B$3005,$A2789))</f>
        <v/>
      </c>
      <c r="M2789" s="12" t="n"/>
      <c r="N2789" s="12">
        <f>IF($A2789="","",IF($G2789="","",IF($M2789="Oui","Litige",IF($J2789&lt;=0,"Payé",IF($I2789&gt;0,"Partiel",IF(Listes!$B$3&gt;$G2789,"En retard","À échoir"))))))</f>
        <v/>
      </c>
      <c r="O2789" s="11">
        <f>IF($A2789="","",IF(OR($G2789="", $J2789&lt;=0),0,MAX(0,Listes!$B$3-$G2789)))</f>
        <v/>
      </c>
      <c r="P2789" s="12">
        <f>IF($A2789="","",IF($J2789&lt;=0,"Payé",IF($M2789="Oui","Litige",IF($O2789=0,"À échoir",IF($O2789&lt;=30,"0-30",IF($O2789&lt;=60,"31-60",IF($O2789&lt;=90,"61-90","90+")))))))</f>
        <v/>
      </c>
    </row>
    <row r="2790">
      <c r="A2790" s="6" t="n"/>
      <c r="B2790" s="6" t="n"/>
      <c r="C2790" s="6" t="n"/>
      <c r="D2790" s="6" t="n"/>
      <c r="E2790" s="6" t="n"/>
      <c r="F2790" s="7" t="n"/>
      <c r="G2790" s="7" t="n"/>
      <c r="H2790" s="8" t="n"/>
      <c r="I2790" s="9">
        <f>IF($A2790="","",SUMIFS(Ventes_Encaissements!$D$6:$D$3005,Ventes_Encaissements!$B$6:$B$3005,$A2790))</f>
        <v/>
      </c>
      <c r="J2790" s="9">
        <f>IF($A2790="","",$H2790-$I2790)</f>
        <v/>
      </c>
      <c r="K2790" s="10">
        <f>IF($A2790="","",IF($I2790=0,"",_xludf.AGGREGATE(14,6,Ventes_Encaissements!$C$6:$C$3005/(Ventes_Encaissements!$B$6:$B$3005=$A2790),1)))</f>
        <v/>
      </c>
      <c r="L2790" s="11">
        <f>IF($A2790="","",COUNTIFS(Ventes_Detail!$B$6:$B$3005,$A2790))</f>
        <v/>
      </c>
      <c r="M2790" s="12" t="n"/>
      <c r="N2790" s="12">
        <f>IF($A2790="","",IF($G2790="","",IF($M2790="Oui","Litige",IF($J2790&lt;=0,"Payé",IF($I2790&gt;0,"Partiel",IF(Listes!$B$3&gt;$G2790,"En retard","À échoir"))))))</f>
        <v/>
      </c>
      <c r="O2790" s="11">
        <f>IF($A2790="","",IF(OR($G2790="", $J2790&lt;=0),0,MAX(0,Listes!$B$3-$G2790)))</f>
        <v/>
      </c>
      <c r="P2790" s="12">
        <f>IF($A2790="","",IF($J2790&lt;=0,"Payé",IF($M2790="Oui","Litige",IF($O2790=0,"À échoir",IF($O2790&lt;=30,"0-30",IF($O2790&lt;=60,"31-60",IF($O2790&lt;=90,"61-90","90+")))))))</f>
        <v/>
      </c>
    </row>
    <row r="2791">
      <c r="A2791" s="6" t="n"/>
      <c r="B2791" s="6" t="n"/>
      <c r="C2791" s="6" t="n"/>
      <c r="D2791" s="6" t="n"/>
      <c r="E2791" s="6" t="n"/>
      <c r="F2791" s="7" t="n"/>
      <c r="G2791" s="7" t="n"/>
      <c r="H2791" s="8" t="n"/>
      <c r="I2791" s="9">
        <f>IF($A2791="","",SUMIFS(Ventes_Encaissements!$D$6:$D$3005,Ventes_Encaissements!$B$6:$B$3005,$A2791))</f>
        <v/>
      </c>
      <c r="J2791" s="9">
        <f>IF($A2791="","",$H2791-$I2791)</f>
        <v/>
      </c>
      <c r="K2791" s="10">
        <f>IF($A2791="","",IF($I2791=0,"",_xludf.AGGREGATE(14,6,Ventes_Encaissements!$C$6:$C$3005/(Ventes_Encaissements!$B$6:$B$3005=$A2791),1)))</f>
        <v/>
      </c>
      <c r="L2791" s="11">
        <f>IF($A2791="","",COUNTIFS(Ventes_Detail!$B$6:$B$3005,$A2791))</f>
        <v/>
      </c>
      <c r="M2791" s="12" t="n"/>
      <c r="N2791" s="12">
        <f>IF($A2791="","",IF($G2791="","",IF($M2791="Oui","Litige",IF($J2791&lt;=0,"Payé",IF($I2791&gt;0,"Partiel",IF(Listes!$B$3&gt;$G2791,"En retard","À échoir"))))))</f>
        <v/>
      </c>
      <c r="O2791" s="11">
        <f>IF($A2791="","",IF(OR($G2791="", $J2791&lt;=0),0,MAX(0,Listes!$B$3-$G2791)))</f>
        <v/>
      </c>
      <c r="P2791" s="12">
        <f>IF($A2791="","",IF($J2791&lt;=0,"Payé",IF($M2791="Oui","Litige",IF($O2791=0,"À échoir",IF($O2791&lt;=30,"0-30",IF($O2791&lt;=60,"31-60",IF($O2791&lt;=90,"61-90","90+")))))))</f>
        <v/>
      </c>
    </row>
    <row r="2792">
      <c r="A2792" s="6" t="n"/>
      <c r="B2792" s="6" t="n"/>
      <c r="C2792" s="6" t="n"/>
      <c r="D2792" s="6" t="n"/>
      <c r="E2792" s="6" t="n"/>
      <c r="F2792" s="7" t="n"/>
      <c r="G2792" s="7" t="n"/>
      <c r="H2792" s="8" t="n"/>
      <c r="I2792" s="9">
        <f>IF($A2792="","",SUMIFS(Ventes_Encaissements!$D$6:$D$3005,Ventes_Encaissements!$B$6:$B$3005,$A2792))</f>
        <v/>
      </c>
      <c r="J2792" s="9">
        <f>IF($A2792="","",$H2792-$I2792)</f>
        <v/>
      </c>
      <c r="K2792" s="10">
        <f>IF($A2792="","",IF($I2792=0,"",_xludf.AGGREGATE(14,6,Ventes_Encaissements!$C$6:$C$3005/(Ventes_Encaissements!$B$6:$B$3005=$A2792),1)))</f>
        <v/>
      </c>
      <c r="L2792" s="11">
        <f>IF($A2792="","",COUNTIFS(Ventes_Detail!$B$6:$B$3005,$A2792))</f>
        <v/>
      </c>
      <c r="M2792" s="12" t="n"/>
      <c r="N2792" s="12">
        <f>IF($A2792="","",IF($G2792="","",IF($M2792="Oui","Litige",IF($J2792&lt;=0,"Payé",IF($I2792&gt;0,"Partiel",IF(Listes!$B$3&gt;$G2792,"En retard","À échoir"))))))</f>
        <v/>
      </c>
      <c r="O2792" s="11">
        <f>IF($A2792="","",IF(OR($G2792="", $J2792&lt;=0),0,MAX(0,Listes!$B$3-$G2792)))</f>
        <v/>
      </c>
      <c r="P2792" s="12">
        <f>IF($A2792="","",IF($J2792&lt;=0,"Payé",IF($M2792="Oui","Litige",IF($O2792=0,"À échoir",IF($O2792&lt;=30,"0-30",IF($O2792&lt;=60,"31-60",IF($O2792&lt;=90,"61-90","90+")))))))</f>
        <v/>
      </c>
    </row>
    <row r="2793">
      <c r="A2793" s="6" t="n"/>
      <c r="B2793" s="6" t="n"/>
      <c r="C2793" s="6" t="n"/>
      <c r="D2793" s="6" t="n"/>
      <c r="E2793" s="6" t="n"/>
      <c r="F2793" s="7" t="n"/>
      <c r="G2793" s="7" t="n"/>
      <c r="H2793" s="8" t="n"/>
      <c r="I2793" s="9">
        <f>IF($A2793="","",SUMIFS(Ventes_Encaissements!$D$6:$D$3005,Ventes_Encaissements!$B$6:$B$3005,$A2793))</f>
        <v/>
      </c>
      <c r="J2793" s="9">
        <f>IF($A2793="","",$H2793-$I2793)</f>
        <v/>
      </c>
      <c r="K2793" s="10">
        <f>IF($A2793="","",IF($I2793=0,"",_xludf.AGGREGATE(14,6,Ventes_Encaissements!$C$6:$C$3005/(Ventes_Encaissements!$B$6:$B$3005=$A2793),1)))</f>
        <v/>
      </c>
      <c r="L2793" s="11">
        <f>IF($A2793="","",COUNTIFS(Ventes_Detail!$B$6:$B$3005,$A2793))</f>
        <v/>
      </c>
      <c r="M2793" s="12" t="n"/>
      <c r="N2793" s="12">
        <f>IF($A2793="","",IF($G2793="","",IF($M2793="Oui","Litige",IF($J2793&lt;=0,"Payé",IF($I2793&gt;0,"Partiel",IF(Listes!$B$3&gt;$G2793,"En retard","À échoir"))))))</f>
        <v/>
      </c>
      <c r="O2793" s="11">
        <f>IF($A2793="","",IF(OR($G2793="", $J2793&lt;=0),0,MAX(0,Listes!$B$3-$G2793)))</f>
        <v/>
      </c>
      <c r="P2793" s="12">
        <f>IF($A2793="","",IF($J2793&lt;=0,"Payé",IF($M2793="Oui","Litige",IF($O2793=0,"À échoir",IF($O2793&lt;=30,"0-30",IF($O2793&lt;=60,"31-60",IF($O2793&lt;=90,"61-90","90+")))))))</f>
        <v/>
      </c>
    </row>
    <row r="2794">
      <c r="A2794" s="6" t="n"/>
      <c r="B2794" s="6" t="n"/>
      <c r="C2794" s="6" t="n"/>
      <c r="D2794" s="6" t="n"/>
      <c r="E2794" s="6" t="n"/>
      <c r="F2794" s="7" t="n"/>
      <c r="G2794" s="7" t="n"/>
      <c r="H2794" s="8" t="n"/>
      <c r="I2794" s="9">
        <f>IF($A2794="","",SUMIFS(Ventes_Encaissements!$D$6:$D$3005,Ventes_Encaissements!$B$6:$B$3005,$A2794))</f>
        <v/>
      </c>
      <c r="J2794" s="9">
        <f>IF($A2794="","",$H2794-$I2794)</f>
        <v/>
      </c>
      <c r="K2794" s="10">
        <f>IF($A2794="","",IF($I2794=0,"",_xludf.AGGREGATE(14,6,Ventes_Encaissements!$C$6:$C$3005/(Ventes_Encaissements!$B$6:$B$3005=$A2794),1)))</f>
        <v/>
      </c>
      <c r="L2794" s="11">
        <f>IF($A2794="","",COUNTIFS(Ventes_Detail!$B$6:$B$3005,$A2794))</f>
        <v/>
      </c>
      <c r="M2794" s="12" t="n"/>
      <c r="N2794" s="12">
        <f>IF($A2794="","",IF($G2794="","",IF($M2794="Oui","Litige",IF($J2794&lt;=0,"Payé",IF($I2794&gt;0,"Partiel",IF(Listes!$B$3&gt;$G2794,"En retard","À échoir"))))))</f>
        <v/>
      </c>
      <c r="O2794" s="11">
        <f>IF($A2794="","",IF(OR($G2794="", $J2794&lt;=0),0,MAX(0,Listes!$B$3-$G2794)))</f>
        <v/>
      </c>
      <c r="P2794" s="12">
        <f>IF($A2794="","",IF($J2794&lt;=0,"Payé",IF($M2794="Oui","Litige",IF($O2794=0,"À échoir",IF($O2794&lt;=30,"0-30",IF($O2794&lt;=60,"31-60",IF($O2794&lt;=90,"61-90","90+")))))))</f>
        <v/>
      </c>
    </row>
    <row r="2795">
      <c r="A2795" s="6" t="n"/>
      <c r="B2795" s="6" t="n"/>
      <c r="C2795" s="6" t="n"/>
      <c r="D2795" s="6" t="n"/>
      <c r="E2795" s="6" t="n"/>
      <c r="F2795" s="7" t="n"/>
      <c r="G2795" s="7" t="n"/>
      <c r="H2795" s="8" t="n"/>
      <c r="I2795" s="9">
        <f>IF($A2795="","",SUMIFS(Ventes_Encaissements!$D$6:$D$3005,Ventes_Encaissements!$B$6:$B$3005,$A2795))</f>
        <v/>
      </c>
      <c r="J2795" s="9">
        <f>IF($A2795="","",$H2795-$I2795)</f>
        <v/>
      </c>
      <c r="K2795" s="10">
        <f>IF($A2795="","",IF($I2795=0,"",_xludf.AGGREGATE(14,6,Ventes_Encaissements!$C$6:$C$3005/(Ventes_Encaissements!$B$6:$B$3005=$A2795),1)))</f>
        <v/>
      </c>
      <c r="L2795" s="11">
        <f>IF($A2795="","",COUNTIFS(Ventes_Detail!$B$6:$B$3005,$A2795))</f>
        <v/>
      </c>
      <c r="M2795" s="12" t="n"/>
      <c r="N2795" s="12">
        <f>IF($A2795="","",IF($G2795="","",IF($M2795="Oui","Litige",IF($J2795&lt;=0,"Payé",IF($I2795&gt;0,"Partiel",IF(Listes!$B$3&gt;$G2795,"En retard","À échoir"))))))</f>
        <v/>
      </c>
      <c r="O2795" s="11">
        <f>IF($A2795="","",IF(OR($G2795="", $J2795&lt;=0),0,MAX(0,Listes!$B$3-$G2795)))</f>
        <v/>
      </c>
      <c r="P2795" s="12">
        <f>IF($A2795="","",IF($J2795&lt;=0,"Payé",IF($M2795="Oui","Litige",IF($O2795=0,"À échoir",IF($O2795&lt;=30,"0-30",IF($O2795&lt;=60,"31-60",IF($O2795&lt;=90,"61-90","90+")))))))</f>
        <v/>
      </c>
    </row>
    <row r="2796">
      <c r="A2796" s="6" t="n"/>
      <c r="B2796" s="6" t="n"/>
      <c r="C2796" s="6" t="n"/>
      <c r="D2796" s="6" t="n"/>
      <c r="E2796" s="6" t="n"/>
      <c r="F2796" s="7" t="n"/>
      <c r="G2796" s="7" t="n"/>
      <c r="H2796" s="8" t="n"/>
      <c r="I2796" s="9">
        <f>IF($A2796="","",SUMIFS(Ventes_Encaissements!$D$6:$D$3005,Ventes_Encaissements!$B$6:$B$3005,$A2796))</f>
        <v/>
      </c>
      <c r="J2796" s="9">
        <f>IF($A2796="","",$H2796-$I2796)</f>
        <v/>
      </c>
      <c r="K2796" s="10">
        <f>IF($A2796="","",IF($I2796=0,"",_xludf.AGGREGATE(14,6,Ventes_Encaissements!$C$6:$C$3005/(Ventes_Encaissements!$B$6:$B$3005=$A2796),1)))</f>
        <v/>
      </c>
      <c r="L2796" s="11">
        <f>IF($A2796="","",COUNTIFS(Ventes_Detail!$B$6:$B$3005,$A2796))</f>
        <v/>
      </c>
      <c r="M2796" s="12" t="n"/>
      <c r="N2796" s="12">
        <f>IF($A2796="","",IF($G2796="","",IF($M2796="Oui","Litige",IF($J2796&lt;=0,"Payé",IF($I2796&gt;0,"Partiel",IF(Listes!$B$3&gt;$G2796,"En retard","À échoir"))))))</f>
        <v/>
      </c>
      <c r="O2796" s="11">
        <f>IF($A2796="","",IF(OR($G2796="", $J2796&lt;=0),0,MAX(0,Listes!$B$3-$G2796)))</f>
        <v/>
      </c>
      <c r="P2796" s="12">
        <f>IF($A2796="","",IF($J2796&lt;=0,"Payé",IF($M2796="Oui","Litige",IF($O2796=0,"À échoir",IF($O2796&lt;=30,"0-30",IF($O2796&lt;=60,"31-60",IF($O2796&lt;=90,"61-90","90+")))))))</f>
        <v/>
      </c>
    </row>
    <row r="2797">
      <c r="A2797" s="6" t="n"/>
      <c r="B2797" s="6" t="n"/>
      <c r="C2797" s="6" t="n"/>
      <c r="D2797" s="6" t="n"/>
      <c r="E2797" s="6" t="n"/>
      <c r="F2797" s="7" t="n"/>
      <c r="G2797" s="7" t="n"/>
      <c r="H2797" s="8" t="n"/>
      <c r="I2797" s="9">
        <f>IF($A2797="","",SUMIFS(Ventes_Encaissements!$D$6:$D$3005,Ventes_Encaissements!$B$6:$B$3005,$A2797))</f>
        <v/>
      </c>
      <c r="J2797" s="9">
        <f>IF($A2797="","",$H2797-$I2797)</f>
        <v/>
      </c>
      <c r="K2797" s="10">
        <f>IF($A2797="","",IF($I2797=0,"",_xludf.AGGREGATE(14,6,Ventes_Encaissements!$C$6:$C$3005/(Ventes_Encaissements!$B$6:$B$3005=$A2797),1)))</f>
        <v/>
      </c>
      <c r="L2797" s="11">
        <f>IF($A2797="","",COUNTIFS(Ventes_Detail!$B$6:$B$3005,$A2797))</f>
        <v/>
      </c>
      <c r="M2797" s="12" t="n"/>
      <c r="N2797" s="12">
        <f>IF($A2797="","",IF($G2797="","",IF($M2797="Oui","Litige",IF($J2797&lt;=0,"Payé",IF($I2797&gt;0,"Partiel",IF(Listes!$B$3&gt;$G2797,"En retard","À échoir"))))))</f>
        <v/>
      </c>
      <c r="O2797" s="11">
        <f>IF($A2797="","",IF(OR($G2797="", $J2797&lt;=0),0,MAX(0,Listes!$B$3-$G2797)))</f>
        <v/>
      </c>
      <c r="P2797" s="12">
        <f>IF($A2797="","",IF($J2797&lt;=0,"Payé",IF($M2797="Oui","Litige",IF($O2797=0,"À échoir",IF($O2797&lt;=30,"0-30",IF($O2797&lt;=60,"31-60",IF($O2797&lt;=90,"61-90","90+")))))))</f>
        <v/>
      </c>
    </row>
    <row r="2798">
      <c r="A2798" s="6" t="n"/>
      <c r="B2798" s="6" t="n"/>
      <c r="C2798" s="6" t="n"/>
      <c r="D2798" s="6" t="n"/>
      <c r="E2798" s="6" t="n"/>
      <c r="F2798" s="7" t="n"/>
      <c r="G2798" s="7" t="n"/>
      <c r="H2798" s="8" t="n"/>
      <c r="I2798" s="9">
        <f>IF($A2798="","",SUMIFS(Ventes_Encaissements!$D$6:$D$3005,Ventes_Encaissements!$B$6:$B$3005,$A2798))</f>
        <v/>
      </c>
      <c r="J2798" s="9">
        <f>IF($A2798="","",$H2798-$I2798)</f>
        <v/>
      </c>
      <c r="K2798" s="10">
        <f>IF($A2798="","",IF($I2798=0,"",_xludf.AGGREGATE(14,6,Ventes_Encaissements!$C$6:$C$3005/(Ventes_Encaissements!$B$6:$B$3005=$A2798),1)))</f>
        <v/>
      </c>
      <c r="L2798" s="11">
        <f>IF($A2798="","",COUNTIFS(Ventes_Detail!$B$6:$B$3005,$A2798))</f>
        <v/>
      </c>
      <c r="M2798" s="12" t="n"/>
      <c r="N2798" s="12">
        <f>IF($A2798="","",IF($G2798="","",IF($M2798="Oui","Litige",IF($J2798&lt;=0,"Payé",IF($I2798&gt;0,"Partiel",IF(Listes!$B$3&gt;$G2798,"En retard","À échoir"))))))</f>
        <v/>
      </c>
      <c r="O2798" s="11">
        <f>IF($A2798="","",IF(OR($G2798="", $J2798&lt;=0),0,MAX(0,Listes!$B$3-$G2798)))</f>
        <v/>
      </c>
      <c r="P2798" s="12">
        <f>IF($A2798="","",IF($J2798&lt;=0,"Payé",IF($M2798="Oui","Litige",IF($O2798=0,"À échoir",IF($O2798&lt;=30,"0-30",IF($O2798&lt;=60,"31-60",IF($O2798&lt;=90,"61-90","90+")))))))</f>
        <v/>
      </c>
    </row>
    <row r="2799">
      <c r="A2799" s="6" t="n"/>
      <c r="B2799" s="6" t="n"/>
      <c r="C2799" s="6" t="n"/>
      <c r="D2799" s="6" t="n"/>
      <c r="E2799" s="6" t="n"/>
      <c r="F2799" s="7" t="n"/>
      <c r="G2799" s="7" t="n"/>
      <c r="H2799" s="8" t="n"/>
      <c r="I2799" s="9">
        <f>IF($A2799="","",SUMIFS(Ventes_Encaissements!$D$6:$D$3005,Ventes_Encaissements!$B$6:$B$3005,$A2799))</f>
        <v/>
      </c>
      <c r="J2799" s="9">
        <f>IF($A2799="","",$H2799-$I2799)</f>
        <v/>
      </c>
      <c r="K2799" s="10">
        <f>IF($A2799="","",IF($I2799=0,"",_xludf.AGGREGATE(14,6,Ventes_Encaissements!$C$6:$C$3005/(Ventes_Encaissements!$B$6:$B$3005=$A2799),1)))</f>
        <v/>
      </c>
      <c r="L2799" s="11">
        <f>IF($A2799="","",COUNTIFS(Ventes_Detail!$B$6:$B$3005,$A2799))</f>
        <v/>
      </c>
      <c r="M2799" s="12" t="n"/>
      <c r="N2799" s="12">
        <f>IF($A2799="","",IF($G2799="","",IF($M2799="Oui","Litige",IF($J2799&lt;=0,"Payé",IF($I2799&gt;0,"Partiel",IF(Listes!$B$3&gt;$G2799,"En retard","À échoir"))))))</f>
        <v/>
      </c>
      <c r="O2799" s="11">
        <f>IF($A2799="","",IF(OR($G2799="", $J2799&lt;=0),0,MAX(0,Listes!$B$3-$G2799)))</f>
        <v/>
      </c>
      <c r="P2799" s="12">
        <f>IF($A2799="","",IF($J2799&lt;=0,"Payé",IF($M2799="Oui","Litige",IF($O2799=0,"À échoir",IF($O2799&lt;=30,"0-30",IF($O2799&lt;=60,"31-60",IF($O2799&lt;=90,"61-90","90+")))))))</f>
        <v/>
      </c>
    </row>
    <row r="2800">
      <c r="A2800" s="6" t="n"/>
      <c r="B2800" s="6" t="n"/>
      <c r="C2800" s="6" t="n"/>
      <c r="D2800" s="6" t="n"/>
      <c r="E2800" s="6" t="n"/>
      <c r="F2800" s="7" t="n"/>
      <c r="G2800" s="7" t="n"/>
      <c r="H2800" s="8" t="n"/>
      <c r="I2800" s="9">
        <f>IF($A2800="","",SUMIFS(Ventes_Encaissements!$D$6:$D$3005,Ventes_Encaissements!$B$6:$B$3005,$A2800))</f>
        <v/>
      </c>
      <c r="J2800" s="9">
        <f>IF($A2800="","",$H2800-$I2800)</f>
        <v/>
      </c>
      <c r="K2800" s="10">
        <f>IF($A2800="","",IF($I2800=0,"",_xludf.AGGREGATE(14,6,Ventes_Encaissements!$C$6:$C$3005/(Ventes_Encaissements!$B$6:$B$3005=$A2800),1)))</f>
        <v/>
      </c>
      <c r="L2800" s="11">
        <f>IF($A2800="","",COUNTIFS(Ventes_Detail!$B$6:$B$3005,$A2800))</f>
        <v/>
      </c>
      <c r="M2800" s="12" t="n"/>
      <c r="N2800" s="12">
        <f>IF($A2800="","",IF($G2800="","",IF($M2800="Oui","Litige",IF($J2800&lt;=0,"Payé",IF($I2800&gt;0,"Partiel",IF(Listes!$B$3&gt;$G2800,"En retard","À échoir"))))))</f>
        <v/>
      </c>
      <c r="O2800" s="11">
        <f>IF($A2800="","",IF(OR($G2800="", $J2800&lt;=0),0,MAX(0,Listes!$B$3-$G2800)))</f>
        <v/>
      </c>
      <c r="P2800" s="12">
        <f>IF($A2800="","",IF($J2800&lt;=0,"Payé",IF($M2800="Oui","Litige",IF($O2800=0,"À échoir",IF($O2800&lt;=30,"0-30",IF($O2800&lt;=60,"31-60",IF($O2800&lt;=90,"61-90","90+")))))))</f>
        <v/>
      </c>
    </row>
    <row r="2801">
      <c r="A2801" s="6" t="n"/>
      <c r="B2801" s="6" t="n"/>
      <c r="C2801" s="6" t="n"/>
      <c r="D2801" s="6" t="n"/>
      <c r="E2801" s="6" t="n"/>
      <c r="F2801" s="7" t="n"/>
      <c r="G2801" s="7" t="n"/>
      <c r="H2801" s="8" t="n"/>
      <c r="I2801" s="9">
        <f>IF($A2801="","",SUMIFS(Ventes_Encaissements!$D$6:$D$3005,Ventes_Encaissements!$B$6:$B$3005,$A2801))</f>
        <v/>
      </c>
      <c r="J2801" s="9">
        <f>IF($A2801="","",$H2801-$I2801)</f>
        <v/>
      </c>
      <c r="K2801" s="10">
        <f>IF($A2801="","",IF($I2801=0,"",_xludf.AGGREGATE(14,6,Ventes_Encaissements!$C$6:$C$3005/(Ventes_Encaissements!$B$6:$B$3005=$A2801),1)))</f>
        <v/>
      </c>
      <c r="L2801" s="11">
        <f>IF($A2801="","",COUNTIFS(Ventes_Detail!$B$6:$B$3005,$A2801))</f>
        <v/>
      </c>
      <c r="M2801" s="12" t="n"/>
      <c r="N2801" s="12">
        <f>IF($A2801="","",IF($G2801="","",IF($M2801="Oui","Litige",IF($J2801&lt;=0,"Payé",IF($I2801&gt;0,"Partiel",IF(Listes!$B$3&gt;$G2801,"En retard","À échoir"))))))</f>
        <v/>
      </c>
      <c r="O2801" s="11">
        <f>IF($A2801="","",IF(OR($G2801="", $J2801&lt;=0),0,MAX(0,Listes!$B$3-$G2801)))</f>
        <v/>
      </c>
      <c r="P2801" s="12">
        <f>IF($A2801="","",IF($J2801&lt;=0,"Payé",IF($M2801="Oui","Litige",IF($O2801=0,"À échoir",IF($O2801&lt;=30,"0-30",IF($O2801&lt;=60,"31-60",IF($O2801&lt;=90,"61-90","90+")))))))</f>
        <v/>
      </c>
    </row>
    <row r="2802">
      <c r="A2802" s="6" t="n"/>
      <c r="B2802" s="6" t="n"/>
      <c r="C2802" s="6" t="n"/>
      <c r="D2802" s="6" t="n"/>
      <c r="E2802" s="6" t="n"/>
      <c r="F2802" s="7" t="n"/>
      <c r="G2802" s="7" t="n"/>
      <c r="H2802" s="8" t="n"/>
      <c r="I2802" s="9">
        <f>IF($A2802="","",SUMIFS(Ventes_Encaissements!$D$6:$D$3005,Ventes_Encaissements!$B$6:$B$3005,$A2802))</f>
        <v/>
      </c>
      <c r="J2802" s="9">
        <f>IF($A2802="","",$H2802-$I2802)</f>
        <v/>
      </c>
      <c r="K2802" s="10">
        <f>IF($A2802="","",IF($I2802=0,"",_xludf.AGGREGATE(14,6,Ventes_Encaissements!$C$6:$C$3005/(Ventes_Encaissements!$B$6:$B$3005=$A2802),1)))</f>
        <v/>
      </c>
      <c r="L2802" s="11">
        <f>IF($A2802="","",COUNTIFS(Ventes_Detail!$B$6:$B$3005,$A2802))</f>
        <v/>
      </c>
      <c r="M2802" s="12" t="n"/>
      <c r="N2802" s="12">
        <f>IF($A2802="","",IF($G2802="","",IF($M2802="Oui","Litige",IF($J2802&lt;=0,"Payé",IF($I2802&gt;0,"Partiel",IF(Listes!$B$3&gt;$G2802,"En retard","À échoir"))))))</f>
        <v/>
      </c>
      <c r="O2802" s="11">
        <f>IF($A2802="","",IF(OR($G2802="", $J2802&lt;=0),0,MAX(0,Listes!$B$3-$G2802)))</f>
        <v/>
      </c>
      <c r="P2802" s="12">
        <f>IF($A2802="","",IF($J2802&lt;=0,"Payé",IF($M2802="Oui","Litige",IF($O2802=0,"À échoir",IF($O2802&lt;=30,"0-30",IF($O2802&lt;=60,"31-60",IF($O2802&lt;=90,"61-90","90+")))))))</f>
        <v/>
      </c>
    </row>
    <row r="2803">
      <c r="A2803" s="6" t="n"/>
      <c r="B2803" s="6" t="n"/>
      <c r="C2803" s="6" t="n"/>
      <c r="D2803" s="6" t="n"/>
      <c r="E2803" s="6" t="n"/>
      <c r="F2803" s="7" t="n"/>
      <c r="G2803" s="7" t="n"/>
      <c r="H2803" s="8" t="n"/>
      <c r="I2803" s="9">
        <f>IF($A2803="","",SUMIFS(Ventes_Encaissements!$D$6:$D$3005,Ventes_Encaissements!$B$6:$B$3005,$A2803))</f>
        <v/>
      </c>
      <c r="J2803" s="9">
        <f>IF($A2803="","",$H2803-$I2803)</f>
        <v/>
      </c>
      <c r="K2803" s="10">
        <f>IF($A2803="","",IF($I2803=0,"",_xludf.AGGREGATE(14,6,Ventes_Encaissements!$C$6:$C$3005/(Ventes_Encaissements!$B$6:$B$3005=$A2803),1)))</f>
        <v/>
      </c>
      <c r="L2803" s="11">
        <f>IF($A2803="","",COUNTIFS(Ventes_Detail!$B$6:$B$3005,$A2803))</f>
        <v/>
      </c>
      <c r="M2803" s="12" t="n"/>
      <c r="N2803" s="12">
        <f>IF($A2803="","",IF($G2803="","",IF($M2803="Oui","Litige",IF($J2803&lt;=0,"Payé",IF($I2803&gt;0,"Partiel",IF(Listes!$B$3&gt;$G2803,"En retard","À échoir"))))))</f>
        <v/>
      </c>
      <c r="O2803" s="11">
        <f>IF($A2803="","",IF(OR($G2803="", $J2803&lt;=0),0,MAX(0,Listes!$B$3-$G2803)))</f>
        <v/>
      </c>
      <c r="P2803" s="12">
        <f>IF($A2803="","",IF($J2803&lt;=0,"Payé",IF($M2803="Oui","Litige",IF($O2803=0,"À échoir",IF($O2803&lt;=30,"0-30",IF($O2803&lt;=60,"31-60",IF($O2803&lt;=90,"61-90","90+")))))))</f>
        <v/>
      </c>
    </row>
    <row r="2804">
      <c r="A2804" s="6" t="n"/>
      <c r="B2804" s="6" t="n"/>
      <c r="C2804" s="6" t="n"/>
      <c r="D2804" s="6" t="n"/>
      <c r="E2804" s="6" t="n"/>
      <c r="F2804" s="7" t="n"/>
      <c r="G2804" s="7" t="n"/>
      <c r="H2804" s="8" t="n"/>
      <c r="I2804" s="9">
        <f>IF($A2804="","",SUMIFS(Ventes_Encaissements!$D$6:$D$3005,Ventes_Encaissements!$B$6:$B$3005,$A2804))</f>
        <v/>
      </c>
      <c r="J2804" s="9">
        <f>IF($A2804="","",$H2804-$I2804)</f>
        <v/>
      </c>
      <c r="K2804" s="10">
        <f>IF($A2804="","",IF($I2804=0,"",_xludf.AGGREGATE(14,6,Ventes_Encaissements!$C$6:$C$3005/(Ventes_Encaissements!$B$6:$B$3005=$A2804),1)))</f>
        <v/>
      </c>
      <c r="L2804" s="11">
        <f>IF($A2804="","",COUNTIFS(Ventes_Detail!$B$6:$B$3005,$A2804))</f>
        <v/>
      </c>
      <c r="M2804" s="12" t="n"/>
      <c r="N2804" s="12">
        <f>IF($A2804="","",IF($G2804="","",IF($M2804="Oui","Litige",IF($J2804&lt;=0,"Payé",IF($I2804&gt;0,"Partiel",IF(Listes!$B$3&gt;$G2804,"En retard","À échoir"))))))</f>
        <v/>
      </c>
      <c r="O2804" s="11">
        <f>IF($A2804="","",IF(OR($G2804="", $J2804&lt;=0),0,MAX(0,Listes!$B$3-$G2804)))</f>
        <v/>
      </c>
      <c r="P2804" s="12">
        <f>IF($A2804="","",IF($J2804&lt;=0,"Payé",IF($M2804="Oui","Litige",IF($O2804=0,"À échoir",IF($O2804&lt;=30,"0-30",IF($O2804&lt;=60,"31-60",IF($O2804&lt;=90,"61-90","90+")))))))</f>
        <v/>
      </c>
    </row>
    <row r="2805">
      <c r="A2805" s="6" t="n"/>
      <c r="B2805" s="6" t="n"/>
      <c r="C2805" s="6" t="n"/>
      <c r="D2805" s="6" t="n"/>
      <c r="E2805" s="6" t="n"/>
      <c r="F2805" s="7" t="n"/>
      <c r="G2805" s="7" t="n"/>
      <c r="H2805" s="8" t="n"/>
      <c r="I2805" s="9">
        <f>IF($A2805="","",SUMIFS(Ventes_Encaissements!$D$6:$D$3005,Ventes_Encaissements!$B$6:$B$3005,$A2805))</f>
        <v/>
      </c>
      <c r="J2805" s="9">
        <f>IF($A2805="","",$H2805-$I2805)</f>
        <v/>
      </c>
      <c r="K2805" s="10">
        <f>IF($A2805="","",IF($I2805=0,"",_xludf.AGGREGATE(14,6,Ventes_Encaissements!$C$6:$C$3005/(Ventes_Encaissements!$B$6:$B$3005=$A2805),1)))</f>
        <v/>
      </c>
      <c r="L2805" s="11">
        <f>IF($A2805="","",COUNTIFS(Ventes_Detail!$B$6:$B$3005,$A2805))</f>
        <v/>
      </c>
      <c r="M2805" s="12" t="n"/>
      <c r="N2805" s="12">
        <f>IF($A2805="","",IF($G2805="","",IF($M2805="Oui","Litige",IF($J2805&lt;=0,"Payé",IF($I2805&gt;0,"Partiel",IF(Listes!$B$3&gt;$G2805,"En retard","À échoir"))))))</f>
        <v/>
      </c>
      <c r="O2805" s="11">
        <f>IF($A2805="","",IF(OR($G2805="", $J2805&lt;=0),0,MAX(0,Listes!$B$3-$G2805)))</f>
        <v/>
      </c>
      <c r="P2805" s="12">
        <f>IF($A2805="","",IF($J2805&lt;=0,"Payé",IF($M2805="Oui","Litige",IF($O2805=0,"À échoir",IF($O2805&lt;=30,"0-30",IF($O2805&lt;=60,"31-60",IF($O2805&lt;=90,"61-90","90+")))))))</f>
        <v/>
      </c>
    </row>
    <row r="2806">
      <c r="A2806" s="6" t="n"/>
      <c r="B2806" s="6" t="n"/>
      <c r="C2806" s="6" t="n"/>
      <c r="D2806" s="6" t="n"/>
      <c r="E2806" s="6" t="n"/>
      <c r="F2806" s="7" t="n"/>
      <c r="G2806" s="7" t="n"/>
      <c r="H2806" s="8" t="n"/>
      <c r="I2806" s="9">
        <f>IF($A2806="","",SUMIFS(Ventes_Encaissements!$D$6:$D$3005,Ventes_Encaissements!$B$6:$B$3005,$A2806))</f>
        <v/>
      </c>
      <c r="J2806" s="9">
        <f>IF($A2806="","",$H2806-$I2806)</f>
        <v/>
      </c>
      <c r="K2806" s="10">
        <f>IF($A2806="","",IF($I2806=0,"",_xludf.AGGREGATE(14,6,Ventes_Encaissements!$C$6:$C$3005/(Ventes_Encaissements!$B$6:$B$3005=$A2806),1)))</f>
        <v/>
      </c>
      <c r="L2806" s="11">
        <f>IF($A2806="","",COUNTIFS(Ventes_Detail!$B$6:$B$3005,$A2806))</f>
        <v/>
      </c>
      <c r="M2806" s="12" t="n"/>
      <c r="N2806" s="12">
        <f>IF($A2806="","",IF($G2806="","",IF($M2806="Oui","Litige",IF($J2806&lt;=0,"Payé",IF($I2806&gt;0,"Partiel",IF(Listes!$B$3&gt;$G2806,"En retard","À échoir"))))))</f>
        <v/>
      </c>
      <c r="O2806" s="11">
        <f>IF($A2806="","",IF(OR($G2806="", $J2806&lt;=0),0,MAX(0,Listes!$B$3-$G2806)))</f>
        <v/>
      </c>
      <c r="P2806" s="12">
        <f>IF($A2806="","",IF($J2806&lt;=0,"Payé",IF($M2806="Oui","Litige",IF($O2806=0,"À échoir",IF($O2806&lt;=30,"0-30",IF($O2806&lt;=60,"31-60",IF($O2806&lt;=90,"61-90","90+")))))))</f>
        <v/>
      </c>
    </row>
    <row r="2807">
      <c r="A2807" s="6" t="n"/>
      <c r="B2807" s="6" t="n"/>
      <c r="C2807" s="6" t="n"/>
      <c r="D2807" s="6" t="n"/>
      <c r="E2807" s="6" t="n"/>
      <c r="F2807" s="7" t="n"/>
      <c r="G2807" s="7" t="n"/>
      <c r="H2807" s="8" t="n"/>
      <c r="I2807" s="9">
        <f>IF($A2807="","",SUMIFS(Ventes_Encaissements!$D$6:$D$3005,Ventes_Encaissements!$B$6:$B$3005,$A2807))</f>
        <v/>
      </c>
      <c r="J2807" s="9">
        <f>IF($A2807="","",$H2807-$I2807)</f>
        <v/>
      </c>
      <c r="K2807" s="10">
        <f>IF($A2807="","",IF($I2807=0,"",_xludf.AGGREGATE(14,6,Ventes_Encaissements!$C$6:$C$3005/(Ventes_Encaissements!$B$6:$B$3005=$A2807),1)))</f>
        <v/>
      </c>
      <c r="L2807" s="11">
        <f>IF($A2807="","",COUNTIFS(Ventes_Detail!$B$6:$B$3005,$A2807))</f>
        <v/>
      </c>
      <c r="M2807" s="12" t="n"/>
      <c r="N2807" s="12">
        <f>IF($A2807="","",IF($G2807="","",IF($M2807="Oui","Litige",IF($J2807&lt;=0,"Payé",IF($I2807&gt;0,"Partiel",IF(Listes!$B$3&gt;$G2807,"En retard","À échoir"))))))</f>
        <v/>
      </c>
      <c r="O2807" s="11">
        <f>IF($A2807="","",IF(OR($G2807="", $J2807&lt;=0),0,MAX(0,Listes!$B$3-$G2807)))</f>
        <v/>
      </c>
      <c r="P2807" s="12">
        <f>IF($A2807="","",IF($J2807&lt;=0,"Payé",IF($M2807="Oui","Litige",IF($O2807=0,"À échoir",IF($O2807&lt;=30,"0-30",IF($O2807&lt;=60,"31-60",IF($O2807&lt;=90,"61-90","90+")))))))</f>
        <v/>
      </c>
    </row>
    <row r="2808">
      <c r="A2808" s="6" t="n"/>
      <c r="B2808" s="6" t="n"/>
      <c r="C2808" s="6" t="n"/>
      <c r="D2808" s="6" t="n"/>
      <c r="E2808" s="6" t="n"/>
      <c r="F2808" s="7" t="n"/>
      <c r="G2808" s="7" t="n"/>
      <c r="H2808" s="8" t="n"/>
      <c r="I2808" s="9">
        <f>IF($A2808="","",SUMIFS(Ventes_Encaissements!$D$6:$D$3005,Ventes_Encaissements!$B$6:$B$3005,$A2808))</f>
        <v/>
      </c>
      <c r="J2808" s="9">
        <f>IF($A2808="","",$H2808-$I2808)</f>
        <v/>
      </c>
      <c r="K2808" s="10">
        <f>IF($A2808="","",IF($I2808=0,"",_xludf.AGGREGATE(14,6,Ventes_Encaissements!$C$6:$C$3005/(Ventes_Encaissements!$B$6:$B$3005=$A2808),1)))</f>
        <v/>
      </c>
      <c r="L2808" s="11">
        <f>IF($A2808="","",COUNTIFS(Ventes_Detail!$B$6:$B$3005,$A2808))</f>
        <v/>
      </c>
      <c r="M2808" s="12" t="n"/>
      <c r="N2808" s="12">
        <f>IF($A2808="","",IF($G2808="","",IF($M2808="Oui","Litige",IF($J2808&lt;=0,"Payé",IF($I2808&gt;0,"Partiel",IF(Listes!$B$3&gt;$G2808,"En retard","À échoir"))))))</f>
        <v/>
      </c>
      <c r="O2808" s="11">
        <f>IF($A2808="","",IF(OR($G2808="", $J2808&lt;=0),0,MAX(0,Listes!$B$3-$G2808)))</f>
        <v/>
      </c>
      <c r="P2808" s="12">
        <f>IF($A2808="","",IF($J2808&lt;=0,"Payé",IF($M2808="Oui","Litige",IF($O2808=0,"À échoir",IF($O2808&lt;=30,"0-30",IF($O2808&lt;=60,"31-60",IF($O2808&lt;=90,"61-90","90+")))))))</f>
        <v/>
      </c>
    </row>
    <row r="2809">
      <c r="A2809" s="6" t="n"/>
      <c r="B2809" s="6" t="n"/>
      <c r="C2809" s="6" t="n"/>
      <c r="D2809" s="6" t="n"/>
      <c r="E2809" s="6" t="n"/>
      <c r="F2809" s="7" t="n"/>
      <c r="G2809" s="7" t="n"/>
      <c r="H2809" s="8" t="n"/>
      <c r="I2809" s="9">
        <f>IF($A2809="","",SUMIFS(Ventes_Encaissements!$D$6:$D$3005,Ventes_Encaissements!$B$6:$B$3005,$A2809))</f>
        <v/>
      </c>
      <c r="J2809" s="9">
        <f>IF($A2809="","",$H2809-$I2809)</f>
        <v/>
      </c>
      <c r="K2809" s="10">
        <f>IF($A2809="","",IF($I2809=0,"",_xludf.AGGREGATE(14,6,Ventes_Encaissements!$C$6:$C$3005/(Ventes_Encaissements!$B$6:$B$3005=$A2809),1)))</f>
        <v/>
      </c>
      <c r="L2809" s="11">
        <f>IF($A2809="","",COUNTIFS(Ventes_Detail!$B$6:$B$3005,$A2809))</f>
        <v/>
      </c>
      <c r="M2809" s="12" t="n"/>
      <c r="N2809" s="12">
        <f>IF($A2809="","",IF($G2809="","",IF($M2809="Oui","Litige",IF($J2809&lt;=0,"Payé",IF($I2809&gt;0,"Partiel",IF(Listes!$B$3&gt;$G2809,"En retard","À échoir"))))))</f>
        <v/>
      </c>
      <c r="O2809" s="11">
        <f>IF($A2809="","",IF(OR($G2809="", $J2809&lt;=0),0,MAX(0,Listes!$B$3-$G2809)))</f>
        <v/>
      </c>
      <c r="P2809" s="12">
        <f>IF($A2809="","",IF($J2809&lt;=0,"Payé",IF($M2809="Oui","Litige",IF($O2809=0,"À échoir",IF($O2809&lt;=30,"0-30",IF($O2809&lt;=60,"31-60",IF($O2809&lt;=90,"61-90","90+")))))))</f>
        <v/>
      </c>
    </row>
    <row r="2810">
      <c r="A2810" s="6" t="n"/>
      <c r="B2810" s="6" t="n"/>
      <c r="C2810" s="6" t="n"/>
      <c r="D2810" s="6" t="n"/>
      <c r="E2810" s="6" t="n"/>
      <c r="F2810" s="7" t="n"/>
      <c r="G2810" s="7" t="n"/>
      <c r="H2810" s="8" t="n"/>
      <c r="I2810" s="9">
        <f>IF($A2810="","",SUMIFS(Ventes_Encaissements!$D$6:$D$3005,Ventes_Encaissements!$B$6:$B$3005,$A2810))</f>
        <v/>
      </c>
      <c r="J2810" s="9">
        <f>IF($A2810="","",$H2810-$I2810)</f>
        <v/>
      </c>
      <c r="K2810" s="10">
        <f>IF($A2810="","",IF($I2810=0,"",_xludf.AGGREGATE(14,6,Ventes_Encaissements!$C$6:$C$3005/(Ventes_Encaissements!$B$6:$B$3005=$A2810),1)))</f>
        <v/>
      </c>
      <c r="L2810" s="11">
        <f>IF($A2810="","",COUNTIFS(Ventes_Detail!$B$6:$B$3005,$A2810))</f>
        <v/>
      </c>
      <c r="M2810" s="12" t="n"/>
      <c r="N2810" s="12">
        <f>IF($A2810="","",IF($G2810="","",IF($M2810="Oui","Litige",IF($J2810&lt;=0,"Payé",IF($I2810&gt;0,"Partiel",IF(Listes!$B$3&gt;$G2810,"En retard","À échoir"))))))</f>
        <v/>
      </c>
      <c r="O2810" s="11">
        <f>IF($A2810="","",IF(OR($G2810="", $J2810&lt;=0),0,MAX(0,Listes!$B$3-$G2810)))</f>
        <v/>
      </c>
      <c r="P2810" s="12">
        <f>IF($A2810="","",IF($J2810&lt;=0,"Payé",IF($M2810="Oui","Litige",IF($O2810=0,"À échoir",IF($O2810&lt;=30,"0-30",IF($O2810&lt;=60,"31-60",IF($O2810&lt;=90,"61-90","90+")))))))</f>
        <v/>
      </c>
    </row>
    <row r="2811">
      <c r="A2811" s="6" t="n"/>
      <c r="B2811" s="6" t="n"/>
      <c r="C2811" s="6" t="n"/>
      <c r="D2811" s="6" t="n"/>
      <c r="E2811" s="6" t="n"/>
      <c r="F2811" s="7" t="n"/>
      <c r="G2811" s="7" t="n"/>
      <c r="H2811" s="8" t="n"/>
      <c r="I2811" s="9">
        <f>IF($A2811="","",SUMIFS(Ventes_Encaissements!$D$6:$D$3005,Ventes_Encaissements!$B$6:$B$3005,$A2811))</f>
        <v/>
      </c>
      <c r="J2811" s="9">
        <f>IF($A2811="","",$H2811-$I2811)</f>
        <v/>
      </c>
      <c r="K2811" s="10">
        <f>IF($A2811="","",IF($I2811=0,"",_xludf.AGGREGATE(14,6,Ventes_Encaissements!$C$6:$C$3005/(Ventes_Encaissements!$B$6:$B$3005=$A2811),1)))</f>
        <v/>
      </c>
      <c r="L2811" s="11">
        <f>IF($A2811="","",COUNTIFS(Ventes_Detail!$B$6:$B$3005,$A2811))</f>
        <v/>
      </c>
      <c r="M2811" s="12" t="n"/>
      <c r="N2811" s="12">
        <f>IF($A2811="","",IF($G2811="","",IF($M2811="Oui","Litige",IF($J2811&lt;=0,"Payé",IF($I2811&gt;0,"Partiel",IF(Listes!$B$3&gt;$G2811,"En retard","À échoir"))))))</f>
        <v/>
      </c>
      <c r="O2811" s="11">
        <f>IF($A2811="","",IF(OR($G2811="", $J2811&lt;=0),0,MAX(0,Listes!$B$3-$G2811)))</f>
        <v/>
      </c>
      <c r="P2811" s="12">
        <f>IF($A2811="","",IF($J2811&lt;=0,"Payé",IF($M2811="Oui","Litige",IF($O2811=0,"À échoir",IF($O2811&lt;=30,"0-30",IF($O2811&lt;=60,"31-60",IF($O2811&lt;=90,"61-90","90+")))))))</f>
        <v/>
      </c>
    </row>
    <row r="2812">
      <c r="A2812" s="6" t="n"/>
      <c r="B2812" s="6" t="n"/>
      <c r="C2812" s="6" t="n"/>
      <c r="D2812" s="6" t="n"/>
      <c r="E2812" s="6" t="n"/>
      <c r="F2812" s="7" t="n"/>
      <c r="G2812" s="7" t="n"/>
      <c r="H2812" s="8" t="n"/>
      <c r="I2812" s="9">
        <f>IF($A2812="","",SUMIFS(Ventes_Encaissements!$D$6:$D$3005,Ventes_Encaissements!$B$6:$B$3005,$A2812))</f>
        <v/>
      </c>
      <c r="J2812" s="9">
        <f>IF($A2812="","",$H2812-$I2812)</f>
        <v/>
      </c>
      <c r="K2812" s="10">
        <f>IF($A2812="","",IF($I2812=0,"",_xludf.AGGREGATE(14,6,Ventes_Encaissements!$C$6:$C$3005/(Ventes_Encaissements!$B$6:$B$3005=$A2812),1)))</f>
        <v/>
      </c>
      <c r="L2812" s="11">
        <f>IF($A2812="","",COUNTIFS(Ventes_Detail!$B$6:$B$3005,$A2812))</f>
        <v/>
      </c>
      <c r="M2812" s="12" t="n"/>
      <c r="N2812" s="12">
        <f>IF($A2812="","",IF($G2812="","",IF($M2812="Oui","Litige",IF($J2812&lt;=0,"Payé",IF($I2812&gt;0,"Partiel",IF(Listes!$B$3&gt;$G2812,"En retard","À échoir"))))))</f>
        <v/>
      </c>
      <c r="O2812" s="11">
        <f>IF($A2812="","",IF(OR($G2812="", $J2812&lt;=0),0,MAX(0,Listes!$B$3-$G2812)))</f>
        <v/>
      </c>
      <c r="P2812" s="12">
        <f>IF($A2812="","",IF($J2812&lt;=0,"Payé",IF($M2812="Oui","Litige",IF($O2812=0,"À échoir",IF($O2812&lt;=30,"0-30",IF($O2812&lt;=60,"31-60",IF($O2812&lt;=90,"61-90","90+")))))))</f>
        <v/>
      </c>
    </row>
    <row r="2813">
      <c r="A2813" s="6" t="n"/>
      <c r="B2813" s="6" t="n"/>
      <c r="C2813" s="6" t="n"/>
      <c r="D2813" s="6" t="n"/>
      <c r="E2813" s="6" t="n"/>
      <c r="F2813" s="7" t="n"/>
      <c r="G2813" s="7" t="n"/>
      <c r="H2813" s="8" t="n"/>
      <c r="I2813" s="9">
        <f>IF($A2813="","",SUMIFS(Ventes_Encaissements!$D$6:$D$3005,Ventes_Encaissements!$B$6:$B$3005,$A2813))</f>
        <v/>
      </c>
      <c r="J2813" s="9">
        <f>IF($A2813="","",$H2813-$I2813)</f>
        <v/>
      </c>
      <c r="K2813" s="10">
        <f>IF($A2813="","",IF($I2813=0,"",_xludf.AGGREGATE(14,6,Ventes_Encaissements!$C$6:$C$3005/(Ventes_Encaissements!$B$6:$B$3005=$A2813),1)))</f>
        <v/>
      </c>
      <c r="L2813" s="11">
        <f>IF($A2813="","",COUNTIFS(Ventes_Detail!$B$6:$B$3005,$A2813))</f>
        <v/>
      </c>
      <c r="M2813" s="12" t="n"/>
      <c r="N2813" s="12">
        <f>IF($A2813="","",IF($G2813="","",IF($M2813="Oui","Litige",IF($J2813&lt;=0,"Payé",IF($I2813&gt;0,"Partiel",IF(Listes!$B$3&gt;$G2813,"En retard","À échoir"))))))</f>
        <v/>
      </c>
      <c r="O2813" s="11">
        <f>IF($A2813="","",IF(OR($G2813="", $J2813&lt;=0),0,MAX(0,Listes!$B$3-$G2813)))</f>
        <v/>
      </c>
      <c r="P2813" s="12">
        <f>IF($A2813="","",IF($J2813&lt;=0,"Payé",IF($M2813="Oui","Litige",IF($O2813=0,"À échoir",IF($O2813&lt;=30,"0-30",IF($O2813&lt;=60,"31-60",IF($O2813&lt;=90,"61-90","90+")))))))</f>
        <v/>
      </c>
    </row>
    <row r="2814">
      <c r="A2814" s="6" t="n"/>
      <c r="B2814" s="6" t="n"/>
      <c r="C2814" s="6" t="n"/>
      <c r="D2814" s="6" t="n"/>
      <c r="E2814" s="6" t="n"/>
      <c r="F2814" s="7" t="n"/>
      <c r="G2814" s="7" t="n"/>
      <c r="H2814" s="8" t="n"/>
      <c r="I2814" s="9">
        <f>IF($A2814="","",SUMIFS(Ventes_Encaissements!$D$6:$D$3005,Ventes_Encaissements!$B$6:$B$3005,$A2814))</f>
        <v/>
      </c>
      <c r="J2814" s="9">
        <f>IF($A2814="","",$H2814-$I2814)</f>
        <v/>
      </c>
      <c r="K2814" s="10">
        <f>IF($A2814="","",IF($I2814=0,"",_xludf.AGGREGATE(14,6,Ventes_Encaissements!$C$6:$C$3005/(Ventes_Encaissements!$B$6:$B$3005=$A2814),1)))</f>
        <v/>
      </c>
      <c r="L2814" s="11">
        <f>IF($A2814="","",COUNTIFS(Ventes_Detail!$B$6:$B$3005,$A2814))</f>
        <v/>
      </c>
      <c r="M2814" s="12" t="n"/>
      <c r="N2814" s="12">
        <f>IF($A2814="","",IF($G2814="","",IF($M2814="Oui","Litige",IF($J2814&lt;=0,"Payé",IF($I2814&gt;0,"Partiel",IF(Listes!$B$3&gt;$G2814,"En retard","À échoir"))))))</f>
        <v/>
      </c>
      <c r="O2814" s="11">
        <f>IF($A2814="","",IF(OR($G2814="", $J2814&lt;=0),0,MAX(0,Listes!$B$3-$G2814)))</f>
        <v/>
      </c>
      <c r="P2814" s="12">
        <f>IF($A2814="","",IF($J2814&lt;=0,"Payé",IF($M2814="Oui","Litige",IF($O2814=0,"À échoir",IF($O2814&lt;=30,"0-30",IF($O2814&lt;=60,"31-60",IF($O2814&lt;=90,"61-90","90+")))))))</f>
        <v/>
      </c>
    </row>
    <row r="2815">
      <c r="A2815" s="6" t="n"/>
      <c r="B2815" s="6" t="n"/>
      <c r="C2815" s="6" t="n"/>
      <c r="D2815" s="6" t="n"/>
      <c r="E2815" s="6" t="n"/>
      <c r="F2815" s="7" t="n"/>
      <c r="G2815" s="7" t="n"/>
      <c r="H2815" s="8" t="n"/>
      <c r="I2815" s="9">
        <f>IF($A2815="","",SUMIFS(Ventes_Encaissements!$D$6:$D$3005,Ventes_Encaissements!$B$6:$B$3005,$A2815))</f>
        <v/>
      </c>
      <c r="J2815" s="9">
        <f>IF($A2815="","",$H2815-$I2815)</f>
        <v/>
      </c>
      <c r="K2815" s="10">
        <f>IF($A2815="","",IF($I2815=0,"",_xludf.AGGREGATE(14,6,Ventes_Encaissements!$C$6:$C$3005/(Ventes_Encaissements!$B$6:$B$3005=$A2815),1)))</f>
        <v/>
      </c>
      <c r="L2815" s="11">
        <f>IF($A2815="","",COUNTIFS(Ventes_Detail!$B$6:$B$3005,$A2815))</f>
        <v/>
      </c>
      <c r="M2815" s="12" t="n"/>
      <c r="N2815" s="12">
        <f>IF($A2815="","",IF($G2815="","",IF($M2815="Oui","Litige",IF($J2815&lt;=0,"Payé",IF($I2815&gt;0,"Partiel",IF(Listes!$B$3&gt;$G2815,"En retard","À échoir"))))))</f>
        <v/>
      </c>
      <c r="O2815" s="11">
        <f>IF($A2815="","",IF(OR($G2815="", $J2815&lt;=0),0,MAX(0,Listes!$B$3-$G2815)))</f>
        <v/>
      </c>
      <c r="P2815" s="12">
        <f>IF($A2815="","",IF($J2815&lt;=0,"Payé",IF($M2815="Oui","Litige",IF($O2815=0,"À échoir",IF($O2815&lt;=30,"0-30",IF($O2815&lt;=60,"31-60",IF($O2815&lt;=90,"61-90","90+")))))))</f>
        <v/>
      </c>
    </row>
    <row r="2816">
      <c r="A2816" s="6" t="n"/>
      <c r="B2816" s="6" t="n"/>
      <c r="C2816" s="6" t="n"/>
      <c r="D2816" s="6" t="n"/>
      <c r="E2816" s="6" t="n"/>
      <c r="F2816" s="7" t="n"/>
      <c r="G2816" s="7" t="n"/>
      <c r="H2816" s="8" t="n"/>
      <c r="I2816" s="9">
        <f>IF($A2816="","",SUMIFS(Ventes_Encaissements!$D$6:$D$3005,Ventes_Encaissements!$B$6:$B$3005,$A2816))</f>
        <v/>
      </c>
      <c r="J2816" s="9">
        <f>IF($A2816="","",$H2816-$I2816)</f>
        <v/>
      </c>
      <c r="K2816" s="10">
        <f>IF($A2816="","",IF($I2816=0,"",_xludf.AGGREGATE(14,6,Ventes_Encaissements!$C$6:$C$3005/(Ventes_Encaissements!$B$6:$B$3005=$A2816),1)))</f>
        <v/>
      </c>
      <c r="L2816" s="11">
        <f>IF($A2816="","",COUNTIFS(Ventes_Detail!$B$6:$B$3005,$A2816))</f>
        <v/>
      </c>
      <c r="M2816" s="12" t="n"/>
      <c r="N2816" s="12">
        <f>IF($A2816="","",IF($G2816="","",IF($M2816="Oui","Litige",IF($J2816&lt;=0,"Payé",IF($I2816&gt;0,"Partiel",IF(Listes!$B$3&gt;$G2816,"En retard","À échoir"))))))</f>
        <v/>
      </c>
      <c r="O2816" s="11">
        <f>IF($A2816="","",IF(OR($G2816="", $J2816&lt;=0),0,MAX(0,Listes!$B$3-$G2816)))</f>
        <v/>
      </c>
      <c r="P2816" s="12">
        <f>IF($A2816="","",IF($J2816&lt;=0,"Payé",IF($M2816="Oui","Litige",IF($O2816=0,"À échoir",IF($O2816&lt;=30,"0-30",IF($O2816&lt;=60,"31-60",IF($O2816&lt;=90,"61-90","90+")))))))</f>
        <v/>
      </c>
    </row>
    <row r="2817">
      <c r="A2817" s="6" t="n"/>
      <c r="B2817" s="6" t="n"/>
      <c r="C2817" s="6" t="n"/>
      <c r="D2817" s="6" t="n"/>
      <c r="E2817" s="6" t="n"/>
      <c r="F2817" s="7" t="n"/>
      <c r="G2817" s="7" t="n"/>
      <c r="H2817" s="8" t="n"/>
      <c r="I2817" s="9">
        <f>IF($A2817="","",SUMIFS(Ventes_Encaissements!$D$6:$D$3005,Ventes_Encaissements!$B$6:$B$3005,$A2817))</f>
        <v/>
      </c>
      <c r="J2817" s="9">
        <f>IF($A2817="","",$H2817-$I2817)</f>
        <v/>
      </c>
      <c r="K2817" s="10">
        <f>IF($A2817="","",IF($I2817=0,"",_xludf.AGGREGATE(14,6,Ventes_Encaissements!$C$6:$C$3005/(Ventes_Encaissements!$B$6:$B$3005=$A2817),1)))</f>
        <v/>
      </c>
      <c r="L2817" s="11">
        <f>IF($A2817="","",COUNTIFS(Ventes_Detail!$B$6:$B$3005,$A2817))</f>
        <v/>
      </c>
      <c r="M2817" s="12" t="n"/>
      <c r="N2817" s="12">
        <f>IF($A2817="","",IF($G2817="","",IF($M2817="Oui","Litige",IF($J2817&lt;=0,"Payé",IF($I2817&gt;0,"Partiel",IF(Listes!$B$3&gt;$G2817,"En retard","À échoir"))))))</f>
        <v/>
      </c>
      <c r="O2817" s="11">
        <f>IF($A2817="","",IF(OR($G2817="", $J2817&lt;=0),0,MAX(0,Listes!$B$3-$G2817)))</f>
        <v/>
      </c>
      <c r="P2817" s="12">
        <f>IF($A2817="","",IF($J2817&lt;=0,"Payé",IF($M2817="Oui","Litige",IF($O2817=0,"À échoir",IF($O2817&lt;=30,"0-30",IF($O2817&lt;=60,"31-60",IF($O2817&lt;=90,"61-90","90+")))))))</f>
        <v/>
      </c>
    </row>
    <row r="2818">
      <c r="A2818" s="6" t="n"/>
      <c r="B2818" s="6" t="n"/>
      <c r="C2818" s="6" t="n"/>
      <c r="D2818" s="6" t="n"/>
      <c r="E2818" s="6" t="n"/>
      <c r="F2818" s="7" t="n"/>
      <c r="G2818" s="7" t="n"/>
      <c r="H2818" s="8" t="n"/>
      <c r="I2818" s="9">
        <f>IF($A2818="","",SUMIFS(Ventes_Encaissements!$D$6:$D$3005,Ventes_Encaissements!$B$6:$B$3005,$A2818))</f>
        <v/>
      </c>
      <c r="J2818" s="9">
        <f>IF($A2818="","",$H2818-$I2818)</f>
        <v/>
      </c>
      <c r="K2818" s="10">
        <f>IF($A2818="","",IF($I2818=0,"",_xludf.AGGREGATE(14,6,Ventes_Encaissements!$C$6:$C$3005/(Ventes_Encaissements!$B$6:$B$3005=$A2818),1)))</f>
        <v/>
      </c>
      <c r="L2818" s="11">
        <f>IF($A2818="","",COUNTIFS(Ventes_Detail!$B$6:$B$3005,$A2818))</f>
        <v/>
      </c>
      <c r="M2818" s="12" t="n"/>
      <c r="N2818" s="12">
        <f>IF($A2818="","",IF($G2818="","",IF($M2818="Oui","Litige",IF($J2818&lt;=0,"Payé",IF($I2818&gt;0,"Partiel",IF(Listes!$B$3&gt;$G2818,"En retard","À échoir"))))))</f>
        <v/>
      </c>
      <c r="O2818" s="11">
        <f>IF($A2818="","",IF(OR($G2818="", $J2818&lt;=0),0,MAX(0,Listes!$B$3-$G2818)))</f>
        <v/>
      </c>
      <c r="P2818" s="12">
        <f>IF($A2818="","",IF($J2818&lt;=0,"Payé",IF($M2818="Oui","Litige",IF($O2818=0,"À échoir",IF($O2818&lt;=30,"0-30",IF($O2818&lt;=60,"31-60",IF($O2818&lt;=90,"61-90","90+")))))))</f>
        <v/>
      </c>
    </row>
    <row r="2819">
      <c r="A2819" s="6" t="n"/>
      <c r="B2819" s="6" t="n"/>
      <c r="C2819" s="6" t="n"/>
      <c r="D2819" s="6" t="n"/>
      <c r="E2819" s="6" t="n"/>
      <c r="F2819" s="7" t="n"/>
      <c r="G2819" s="7" t="n"/>
      <c r="H2819" s="8" t="n"/>
      <c r="I2819" s="9">
        <f>IF($A2819="","",SUMIFS(Ventes_Encaissements!$D$6:$D$3005,Ventes_Encaissements!$B$6:$B$3005,$A2819))</f>
        <v/>
      </c>
      <c r="J2819" s="9">
        <f>IF($A2819="","",$H2819-$I2819)</f>
        <v/>
      </c>
      <c r="K2819" s="10">
        <f>IF($A2819="","",IF($I2819=0,"",_xludf.AGGREGATE(14,6,Ventes_Encaissements!$C$6:$C$3005/(Ventes_Encaissements!$B$6:$B$3005=$A2819),1)))</f>
        <v/>
      </c>
      <c r="L2819" s="11">
        <f>IF($A2819="","",COUNTIFS(Ventes_Detail!$B$6:$B$3005,$A2819))</f>
        <v/>
      </c>
      <c r="M2819" s="12" t="n"/>
      <c r="N2819" s="12">
        <f>IF($A2819="","",IF($G2819="","",IF($M2819="Oui","Litige",IF($J2819&lt;=0,"Payé",IF($I2819&gt;0,"Partiel",IF(Listes!$B$3&gt;$G2819,"En retard","À échoir"))))))</f>
        <v/>
      </c>
      <c r="O2819" s="11">
        <f>IF($A2819="","",IF(OR($G2819="", $J2819&lt;=0),0,MAX(0,Listes!$B$3-$G2819)))</f>
        <v/>
      </c>
      <c r="P2819" s="12">
        <f>IF($A2819="","",IF($J2819&lt;=0,"Payé",IF($M2819="Oui","Litige",IF($O2819=0,"À échoir",IF($O2819&lt;=30,"0-30",IF($O2819&lt;=60,"31-60",IF($O2819&lt;=90,"61-90","90+")))))))</f>
        <v/>
      </c>
    </row>
    <row r="2820">
      <c r="A2820" s="6" t="n"/>
      <c r="B2820" s="6" t="n"/>
      <c r="C2820" s="6" t="n"/>
      <c r="D2820" s="6" t="n"/>
      <c r="E2820" s="6" t="n"/>
      <c r="F2820" s="7" t="n"/>
      <c r="G2820" s="7" t="n"/>
      <c r="H2820" s="8" t="n"/>
      <c r="I2820" s="9">
        <f>IF($A2820="","",SUMIFS(Ventes_Encaissements!$D$6:$D$3005,Ventes_Encaissements!$B$6:$B$3005,$A2820))</f>
        <v/>
      </c>
      <c r="J2820" s="9">
        <f>IF($A2820="","",$H2820-$I2820)</f>
        <v/>
      </c>
      <c r="K2820" s="10">
        <f>IF($A2820="","",IF($I2820=0,"",_xludf.AGGREGATE(14,6,Ventes_Encaissements!$C$6:$C$3005/(Ventes_Encaissements!$B$6:$B$3005=$A2820),1)))</f>
        <v/>
      </c>
      <c r="L2820" s="11">
        <f>IF($A2820="","",COUNTIFS(Ventes_Detail!$B$6:$B$3005,$A2820))</f>
        <v/>
      </c>
      <c r="M2820" s="12" t="n"/>
      <c r="N2820" s="12">
        <f>IF($A2820="","",IF($G2820="","",IF($M2820="Oui","Litige",IF($J2820&lt;=0,"Payé",IF($I2820&gt;0,"Partiel",IF(Listes!$B$3&gt;$G2820,"En retard","À échoir"))))))</f>
        <v/>
      </c>
      <c r="O2820" s="11">
        <f>IF($A2820="","",IF(OR($G2820="", $J2820&lt;=0),0,MAX(0,Listes!$B$3-$G2820)))</f>
        <v/>
      </c>
      <c r="P2820" s="12">
        <f>IF($A2820="","",IF($J2820&lt;=0,"Payé",IF($M2820="Oui","Litige",IF($O2820=0,"À échoir",IF($O2820&lt;=30,"0-30",IF($O2820&lt;=60,"31-60",IF($O2820&lt;=90,"61-90","90+")))))))</f>
        <v/>
      </c>
    </row>
    <row r="2821">
      <c r="A2821" s="6" t="n"/>
      <c r="B2821" s="6" t="n"/>
      <c r="C2821" s="6" t="n"/>
      <c r="D2821" s="6" t="n"/>
      <c r="E2821" s="6" t="n"/>
      <c r="F2821" s="7" t="n"/>
      <c r="G2821" s="7" t="n"/>
      <c r="H2821" s="8" t="n"/>
      <c r="I2821" s="9">
        <f>IF($A2821="","",SUMIFS(Ventes_Encaissements!$D$6:$D$3005,Ventes_Encaissements!$B$6:$B$3005,$A2821))</f>
        <v/>
      </c>
      <c r="J2821" s="9">
        <f>IF($A2821="","",$H2821-$I2821)</f>
        <v/>
      </c>
      <c r="K2821" s="10">
        <f>IF($A2821="","",IF($I2821=0,"",_xludf.AGGREGATE(14,6,Ventes_Encaissements!$C$6:$C$3005/(Ventes_Encaissements!$B$6:$B$3005=$A2821),1)))</f>
        <v/>
      </c>
      <c r="L2821" s="11">
        <f>IF($A2821="","",COUNTIFS(Ventes_Detail!$B$6:$B$3005,$A2821))</f>
        <v/>
      </c>
      <c r="M2821" s="12" t="n"/>
      <c r="N2821" s="12">
        <f>IF($A2821="","",IF($G2821="","",IF($M2821="Oui","Litige",IF($J2821&lt;=0,"Payé",IF($I2821&gt;0,"Partiel",IF(Listes!$B$3&gt;$G2821,"En retard","À échoir"))))))</f>
        <v/>
      </c>
      <c r="O2821" s="11">
        <f>IF($A2821="","",IF(OR($G2821="", $J2821&lt;=0),0,MAX(0,Listes!$B$3-$G2821)))</f>
        <v/>
      </c>
      <c r="P2821" s="12">
        <f>IF($A2821="","",IF($J2821&lt;=0,"Payé",IF($M2821="Oui","Litige",IF($O2821=0,"À échoir",IF($O2821&lt;=30,"0-30",IF($O2821&lt;=60,"31-60",IF($O2821&lt;=90,"61-90","90+")))))))</f>
        <v/>
      </c>
    </row>
    <row r="2822">
      <c r="A2822" s="6" t="n"/>
      <c r="B2822" s="6" t="n"/>
      <c r="C2822" s="6" t="n"/>
      <c r="D2822" s="6" t="n"/>
      <c r="E2822" s="6" t="n"/>
      <c r="F2822" s="7" t="n"/>
      <c r="G2822" s="7" t="n"/>
      <c r="H2822" s="8" t="n"/>
      <c r="I2822" s="9">
        <f>IF($A2822="","",SUMIFS(Ventes_Encaissements!$D$6:$D$3005,Ventes_Encaissements!$B$6:$B$3005,$A2822))</f>
        <v/>
      </c>
      <c r="J2822" s="9">
        <f>IF($A2822="","",$H2822-$I2822)</f>
        <v/>
      </c>
      <c r="K2822" s="10">
        <f>IF($A2822="","",IF($I2822=0,"",_xludf.AGGREGATE(14,6,Ventes_Encaissements!$C$6:$C$3005/(Ventes_Encaissements!$B$6:$B$3005=$A2822),1)))</f>
        <v/>
      </c>
      <c r="L2822" s="11">
        <f>IF($A2822="","",COUNTIFS(Ventes_Detail!$B$6:$B$3005,$A2822))</f>
        <v/>
      </c>
      <c r="M2822" s="12" t="n"/>
      <c r="N2822" s="12">
        <f>IF($A2822="","",IF($G2822="","",IF($M2822="Oui","Litige",IF($J2822&lt;=0,"Payé",IF($I2822&gt;0,"Partiel",IF(Listes!$B$3&gt;$G2822,"En retard","À échoir"))))))</f>
        <v/>
      </c>
      <c r="O2822" s="11">
        <f>IF($A2822="","",IF(OR($G2822="", $J2822&lt;=0),0,MAX(0,Listes!$B$3-$G2822)))</f>
        <v/>
      </c>
      <c r="P2822" s="12">
        <f>IF($A2822="","",IF($J2822&lt;=0,"Payé",IF($M2822="Oui","Litige",IF($O2822=0,"À échoir",IF($O2822&lt;=30,"0-30",IF($O2822&lt;=60,"31-60",IF($O2822&lt;=90,"61-90","90+")))))))</f>
        <v/>
      </c>
    </row>
    <row r="2823">
      <c r="A2823" s="6" t="n"/>
      <c r="B2823" s="6" t="n"/>
      <c r="C2823" s="6" t="n"/>
      <c r="D2823" s="6" t="n"/>
      <c r="E2823" s="6" t="n"/>
      <c r="F2823" s="7" t="n"/>
      <c r="G2823" s="7" t="n"/>
      <c r="H2823" s="8" t="n"/>
      <c r="I2823" s="9">
        <f>IF($A2823="","",SUMIFS(Ventes_Encaissements!$D$6:$D$3005,Ventes_Encaissements!$B$6:$B$3005,$A2823))</f>
        <v/>
      </c>
      <c r="J2823" s="9">
        <f>IF($A2823="","",$H2823-$I2823)</f>
        <v/>
      </c>
      <c r="K2823" s="10">
        <f>IF($A2823="","",IF($I2823=0,"",_xludf.AGGREGATE(14,6,Ventes_Encaissements!$C$6:$C$3005/(Ventes_Encaissements!$B$6:$B$3005=$A2823),1)))</f>
        <v/>
      </c>
      <c r="L2823" s="11">
        <f>IF($A2823="","",COUNTIFS(Ventes_Detail!$B$6:$B$3005,$A2823))</f>
        <v/>
      </c>
      <c r="M2823" s="12" t="n"/>
      <c r="N2823" s="12">
        <f>IF($A2823="","",IF($G2823="","",IF($M2823="Oui","Litige",IF($J2823&lt;=0,"Payé",IF($I2823&gt;0,"Partiel",IF(Listes!$B$3&gt;$G2823,"En retard","À échoir"))))))</f>
        <v/>
      </c>
      <c r="O2823" s="11">
        <f>IF($A2823="","",IF(OR($G2823="", $J2823&lt;=0),0,MAX(0,Listes!$B$3-$G2823)))</f>
        <v/>
      </c>
      <c r="P2823" s="12">
        <f>IF($A2823="","",IF($J2823&lt;=0,"Payé",IF($M2823="Oui","Litige",IF($O2823=0,"À échoir",IF($O2823&lt;=30,"0-30",IF($O2823&lt;=60,"31-60",IF($O2823&lt;=90,"61-90","90+")))))))</f>
        <v/>
      </c>
    </row>
    <row r="2824">
      <c r="A2824" s="6" t="n"/>
      <c r="B2824" s="6" t="n"/>
      <c r="C2824" s="6" t="n"/>
      <c r="D2824" s="6" t="n"/>
      <c r="E2824" s="6" t="n"/>
      <c r="F2824" s="7" t="n"/>
      <c r="G2824" s="7" t="n"/>
      <c r="H2824" s="8" t="n"/>
      <c r="I2824" s="9">
        <f>IF($A2824="","",SUMIFS(Ventes_Encaissements!$D$6:$D$3005,Ventes_Encaissements!$B$6:$B$3005,$A2824))</f>
        <v/>
      </c>
      <c r="J2824" s="9">
        <f>IF($A2824="","",$H2824-$I2824)</f>
        <v/>
      </c>
      <c r="K2824" s="10">
        <f>IF($A2824="","",IF($I2824=0,"",_xludf.AGGREGATE(14,6,Ventes_Encaissements!$C$6:$C$3005/(Ventes_Encaissements!$B$6:$B$3005=$A2824),1)))</f>
        <v/>
      </c>
      <c r="L2824" s="11">
        <f>IF($A2824="","",COUNTIFS(Ventes_Detail!$B$6:$B$3005,$A2824))</f>
        <v/>
      </c>
      <c r="M2824" s="12" t="n"/>
      <c r="N2824" s="12">
        <f>IF($A2824="","",IF($G2824="","",IF($M2824="Oui","Litige",IF($J2824&lt;=0,"Payé",IF($I2824&gt;0,"Partiel",IF(Listes!$B$3&gt;$G2824,"En retard","À échoir"))))))</f>
        <v/>
      </c>
      <c r="O2824" s="11">
        <f>IF($A2824="","",IF(OR($G2824="", $J2824&lt;=0),0,MAX(0,Listes!$B$3-$G2824)))</f>
        <v/>
      </c>
      <c r="P2824" s="12">
        <f>IF($A2824="","",IF($J2824&lt;=0,"Payé",IF($M2824="Oui","Litige",IF($O2824=0,"À échoir",IF($O2824&lt;=30,"0-30",IF($O2824&lt;=60,"31-60",IF($O2824&lt;=90,"61-90","90+")))))))</f>
        <v/>
      </c>
    </row>
    <row r="2825">
      <c r="A2825" s="6" t="n"/>
      <c r="B2825" s="6" t="n"/>
      <c r="C2825" s="6" t="n"/>
      <c r="D2825" s="6" t="n"/>
      <c r="E2825" s="6" t="n"/>
      <c r="F2825" s="7" t="n"/>
      <c r="G2825" s="7" t="n"/>
      <c r="H2825" s="8" t="n"/>
      <c r="I2825" s="9">
        <f>IF($A2825="","",SUMIFS(Ventes_Encaissements!$D$6:$D$3005,Ventes_Encaissements!$B$6:$B$3005,$A2825))</f>
        <v/>
      </c>
      <c r="J2825" s="9">
        <f>IF($A2825="","",$H2825-$I2825)</f>
        <v/>
      </c>
      <c r="K2825" s="10">
        <f>IF($A2825="","",IF($I2825=0,"",_xludf.AGGREGATE(14,6,Ventes_Encaissements!$C$6:$C$3005/(Ventes_Encaissements!$B$6:$B$3005=$A2825),1)))</f>
        <v/>
      </c>
      <c r="L2825" s="11">
        <f>IF($A2825="","",COUNTIFS(Ventes_Detail!$B$6:$B$3005,$A2825))</f>
        <v/>
      </c>
      <c r="M2825" s="12" t="n"/>
      <c r="N2825" s="12">
        <f>IF($A2825="","",IF($G2825="","",IF($M2825="Oui","Litige",IF($J2825&lt;=0,"Payé",IF($I2825&gt;0,"Partiel",IF(Listes!$B$3&gt;$G2825,"En retard","À échoir"))))))</f>
        <v/>
      </c>
      <c r="O2825" s="11">
        <f>IF($A2825="","",IF(OR($G2825="", $J2825&lt;=0),0,MAX(0,Listes!$B$3-$G2825)))</f>
        <v/>
      </c>
      <c r="P2825" s="12">
        <f>IF($A2825="","",IF($J2825&lt;=0,"Payé",IF($M2825="Oui","Litige",IF($O2825=0,"À échoir",IF($O2825&lt;=30,"0-30",IF($O2825&lt;=60,"31-60",IF($O2825&lt;=90,"61-90","90+")))))))</f>
        <v/>
      </c>
    </row>
    <row r="2826">
      <c r="A2826" s="6" t="n"/>
      <c r="B2826" s="6" t="n"/>
      <c r="C2826" s="6" t="n"/>
      <c r="D2826" s="6" t="n"/>
      <c r="E2826" s="6" t="n"/>
      <c r="F2826" s="7" t="n"/>
      <c r="G2826" s="7" t="n"/>
      <c r="H2826" s="8" t="n"/>
      <c r="I2826" s="9">
        <f>IF($A2826="","",SUMIFS(Ventes_Encaissements!$D$6:$D$3005,Ventes_Encaissements!$B$6:$B$3005,$A2826))</f>
        <v/>
      </c>
      <c r="J2826" s="9">
        <f>IF($A2826="","",$H2826-$I2826)</f>
        <v/>
      </c>
      <c r="K2826" s="10">
        <f>IF($A2826="","",IF($I2826=0,"",_xludf.AGGREGATE(14,6,Ventes_Encaissements!$C$6:$C$3005/(Ventes_Encaissements!$B$6:$B$3005=$A2826),1)))</f>
        <v/>
      </c>
      <c r="L2826" s="11">
        <f>IF($A2826="","",COUNTIFS(Ventes_Detail!$B$6:$B$3005,$A2826))</f>
        <v/>
      </c>
      <c r="M2826" s="12" t="n"/>
      <c r="N2826" s="12">
        <f>IF($A2826="","",IF($G2826="","",IF($M2826="Oui","Litige",IF($J2826&lt;=0,"Payé",IF($I2826&gt;0,"Partiel",IF(Listes!$B$3&gt;$G2826,"En retard","À échoir"))))))</f>
        <v/>
      </c>
      <c r="O2826" s="11">
        <f>IF($A2826="","",IF(OR($G2826="", $J2826&lt;=0),0,MAX(0,Listes!$B$3-$G2826)))</f>
        <v/>
      </c>
      <c r="P2826" s="12">
        <f>IF($A2826="","",IF($J2826&lt;=0,"Payé",IF($M2826="Oui","Litige",IF($O2826=0,"À échoir",IF($O2826&lt;=30,"0-30",IF($O2826&lt;=60,"31-60",IF($O2826&lt;=90,"61-90","90+")))))))</f>
        <v/>
      </c>
    </row>
    <row r="2827">
      <c r="A2827" s="6" t="n"/>
      <c r="B2827" s="6" t="n"/>
      <c r="C2827" s="6" t="n"/>
      <c r="D2827" s="6" t="n"/>
      <c r="E2827" s="6" t="n"/>
      <c r="F2827" s="7" t="n"/>
      <c r="G2827" s="7" t="n"/>
      <c r="H2827" s="8" t="n"/>
      <c r="I2827" s="9">
        <f>IF($A2827="","",SUMIFS(Ventes_Encaissements!$D$6:$D$3005,Ventes_Encaissements!$B$6:$B$3005,$A2827))</f>
        <v/>
      </c>
      <c r="J2827" s="9">
        <f>IF($A2827="","",$H2827-$I2827)</f>
        <v/>
      </c>
      <c r="K2827" s="10">
        <f>IF($A2827="","",IF($I2827=0,"",_xludf.AGGREGATE(14,6,Ventes_Encaissements!$C$6:$C$3005/(Ventes_Encaissements!$B$6:$B$3005=$A2827),1)))</f>
        <v/>
      </c>
      <c r="L2827" s="11">
        <f>IF($A2827="","",COUNTIFS(Ventes_Detail!$B$6:$B$3005,$A2827))</f>
        <v/>
      </c>
      <c r="M2827" s="12" t="n"/>
      <c r="N2827" s="12">
        <f>IF($A2827="","",IF($G2827="","",IF($M2827="Oui","Litige",IF($J2827&lt;=0,"Payé",IF($I2827&gt;0,"Partiel",IF(Listes!$B$3&gt;$G2827,"En retard","À échoir"))))))</f>
        <v/>
      </c>
      <c r="O2827" s="11">
        <f>IF($A2827="","",IF(OR($G2827="", $J2827&lt;=0),0,MAX(0,Listes!$B$3-$G2827)))</f>
        <v/>
      </c>
      <c r="P2827" s="12">
        <f>IF($A2827="","",IF($J2827&lt;=0,"Payé",IF($M2827="Oui","Litige",IF($O2827=0,"À échoir",IF($O2827&lt;=30,"0-30",IF($O2827&lt;=60,"31-60",IF($O2827&lt;=90,"61-90","90+")))))))</f>
        <v/>
      </c>
    </row>
    <row r="2828">
      <c r="A2828" s="6" t="n"/>
      <c r="B2828" s="6" t="n"/>
      <c r="C2828" s="6" t="n"/>
      <c r="D2828" s="6" t="n"/>
      <c r="E2828" s="6" t="n"/>
      <c r="F2828" s="7" t="n"/>
      <c r="G2828" s="7" t="n"/>
      <c r="H2828" s="8" t="n"/>
      <c r="I2828" s="9">
        <f>IF($A2828="","",SUMIFS(Ventes_Encaissements!$D$6:$D$3005,Ventes_Encaissements!$B$6:$B$3005,$A2828))</f>
        <v/>
      </c>
      <c r="J2828" s="9">
        <f>IF($A2828="","",$H2828-$I2828)</f>
        <v/>
      </c>
      <c r="K2828" s="10">
        <f>IF($A2828="","",IF($I2828=0,"",_xludf.AGGREGATE(14,6,Ventes_Encaissements!$C$6:$C$3005/(Ventes_Encaissements!$B$6:$B$3005=$A2828),1)))</f>
        <v/>
      </c>
      <c r="L2828" s="11">
        <f>IF($A2828="","",COUNTIFS(Ventes_Detail!$B$6:$B$3005,$A2828))</f>
        <v/>
      </c>
      <c r="M2828" s="12" t="n"/>
      <c r="N2828" s="12">
        <f>IF($A2828="","",IF($G2828="","",IF($M2828="Oui","Litige",IF($J2828&lt;=0,"Payé",IF($I2828&gt;0,"Partiel",IF(Listes!$B$3&gt;$G2828,"En retard","À échoir"))))))</f>
        <v/>
      </c>
      <c r="O2828" s="11">
        <f>IF($A2828="","",IF(OR($G2828="", $J2828&lt;=0),0,MAX(0,Listes!$B$3-$G2828)))</f>
        <v/>
      </c>
      <c r="P2828" s="12">
        <f>IF($A2828="","",IF($J2828&lt;=0,"Payé",IF($M2828="Oui","Litige",IF($O2828=0,"À échoir",IF($O2828&lt;=30,"0-30",IF($O2828&lt;=60,"31-60",IF($O2828&lt;=90,"61-90","90+")))))))</f>
        <v/>
      </c>
    </row>
    <row r="2829">
      <c r="A2829" s="6" t="n"/>
      <c r="B2829" s="6" t="n"/>
      <c r="C2829" s="6" t="n"/>
      <c r="D2829" s="6" t="n"/>
      <c r="E2829" s="6" t="n"/>
      <c r="F2829" s="7" t="n"/>
      <c r="G2829" s="7" t="n"/>
      <c r="H2829" s="8" t="n"/>
      <c r="I2829" s="9">
        <f>IF($A2829="","",SUMIFS(Ventes_Encaissements!$D$6:$D$3005,Ventes_Encaissements!$B$6:$B$3005,$A2829))</f>
        <v/>
      </c>
      <c r="J2829" s="9">
        <f>IF($A2829="","",$H2829-$I2829)</f>
        <v/>
      </c>
      <c r="K2829" s="10">
        <f>IF($A2829="","",IF($I2829=0,"",_xludf.AGGREGATE(14,6,Ventes_Encaissements!$C$6:$C$3005/(Ventes_Encaissements!$B$6:$B$3005=$A2829),1)))</f>
        <v/>
      </c>
      <c r="L2829" s="11">
        <f>IF($A2829="","",COUNTIFS(Ventes_Detail!$B$6:$B$3005,$A2829))</f>
        <v/>
      </c>
      <c r="M2829" s="12" t="n"/>
      <c r="N2829" s="12">
        <f>IF($A2829="","",IF($G2829="","",IF($M2829="Oui","Litige",IF($J2829&lt;=0,"Payé",IF($I2829&gt;0,"Partiel",IF(Listes!$B$3&gt;$G2829,"En retard","À échoir"))))))</f>
        <v/>
      </c>
      <c r="O2829" s="11">
        <f>IF($A2829="","",IF(OR($G2829="", $J2829&lt;=0),0,MAX(0,Listes!$B$3-$G2829)))</f>
        <v/>
      </c>
      <c r="P2829" s="12">
        <f>IF($A2829="","",IF($J2829&lt;=0,"Payé",IF($M2829="Oui","Litige",IF($O2829=0,"À échoir",IF($O2829&lt;=30,"0-30",IF($O2829&lt;=60,"31-60",IF($O2829&lt;=90,"61-90","90+")))))))</f>
        <v/>
      </c>
    </row>
    <row r="2830">
      <c r="A2830" s="6" t="n"/>
      <c r="B2830" s="6" t="n"/>
      <c r="C2830" s="6" t="n"/>
      <c r="D2830" s="6" t="n"/>
      <c r="E2830" s="6" t="n"/>
      <c r="F2830" s="7" t="n"/>
      <c r="G2830" s="7" t="n"/>
      <c r="H2830" s="8" t="n"/>
      <c r="I2830" s="9">
        <f>IF($A2830="","",SUMIFS(Ventes_Encaissements!$D$6:$D$3005,Ventes_Encaissements!$B$6:$B$3005,$A2830))</f>
        <v/>
      </c>
      <c r="J2830" s="9">
        <f>IF($A2830="","",$H2830-$I2830)</f>
        <v/>
      </c>
      <c r="K2830" s="10">
        <f>IF($A2830="","",IF($I2830=0,"",_xludf.AGGREGATE(14,6,Ventes_Encaissements!$C$6:$C$3005/(Ventes_Encaissements!$B$6:$B$3005=$A2830),1)))</f>
        <v/>
      </c>
      <c r="L2830" s="11">
        <f>IF($A2830="","",COUNTIFS(Ventes_Detail!$B$6:$B$3005,$A2830))</f>
        <v/>
      </c>
      <c r="M2830" s="12" t="n"/>
      <c r="N2830" s="12">
        <f>IF($A2830="","",IF($G2830="","",IF($M2830="Oui","Litige",IF($J2830&lt;=0,"Payé",IF($I2830&gt;0,"Partiel",IF(Listes!$B$3&gt;$G2830,"En retard","À échoir"))))))</f>
        <v/>
      </c>
      <c r="O2830" s="11">
        <f>IF($A2830="","",IF(OR($G2830="", $J2830&lt;=0),0,MAX(0,Listes!$B$3-$G2830)))</f>
        <v/>
      </c>
      <c r="P2830" s="12">
        <f>IF($A2830="","",IF($J2830&lt;=0,"Payé",IF($M2830="Oui","Litige",IF($O2830=0,"À échoir",IF($O2830&lt;=30,"0-30",IF($O2830&lt;=60,"31-60",IF($O2830&lt;=90,"61-90","90+")))))))</f>
        <v/>
      </c>
    </row>
    <row r="2831">
      <c r="A2831" s="6" t="n"/>
      <c r="B2831" s="6" t="n"/>
      <c r="C2831" s="6" t="n"/>
      <c r="D2831" s="6" t="n"/>
      <c r="E2831" s="6" t="n"/>
      <c r="F2831" s="7" t="n"/>
      <c r="G2831" s="7" t="n"/>
      <c r="H2831" s="8" t="n"/>
      <c r="I2831" s="9">
        <f>IF($A2831="","",SUMIFS(Ventes_Encaissements!$D$6:$D$3005,Ventes_Encaissements!$B$6:$B$3005,$A2831))</f>
        <v/>
      </c>
      <c r="J2831" s="9">
        <f>IF($A2831="","",$H2831-$I2831)</f>
        <v/>
      </c>
      <c r="K2831" s="10">
        <f>IF($A2831="","",IF($I2831=0,"",_xludf.AGGREGATE(14,6,Ventes_Encaissements!$C$6:$C$3005/(Ventes_Encaissements!$B$6:$B$3005=$A2831),1)))</f>
        <v/>
      </c>
      <c r="L2831" s="11">
        <f>IF($A2831="","",COUNTIFS(Ventes_Detail!$B$6:$B$3005,$A2831))</f>
        <v/>
      </c>
      <c r="M2831" s="12" t="n"/>
      <c r="N2831" s="12">
        <f>IF($A2831="","",IF($G2831="","",IF($M2831="Oui","Litige",IF($J2831&lt;=0,"Payé",IF($I2831&gt;0,"Partiel",IF(Listes!$B$3&gt;$G2831,"En retard","À échoir"))))))</f>
        <v/>
      </c>
      <c r="O2831" s="11">
        <f>IF($A2831="","",IF(OR($G2831="", $J2831&lt;=0),0,MAX(0,Listes!$B$3-$G2831)))</f>
        <v/>
      </c>
      <c r="P2831" s="12">
        <f>IF($A2831="","",IF($J2831&lt;=0,"Payé",IF($M2831="Oui","Litige",IF($O2831=0,"À échoir",IF($O2831&lt;=30,"0-30",IF($O2831&lt;=60,"31-60",IF($O2831&lt;=90,"61-90","90+")))))))</f>
        <v/>
      </c>
    </row>
    <row r="2832">
      <c r="A2832" s="6" t="n"/>
      <c r="B2832" s="6" t="n"/>
      <c r="C2832" s="6" t="n"/>
      <c r="D2832" s="6" t="n"/>
      <c r="E2832" s="6" t="n"/>
      <c r="F2832" s="7" t="n"/>
      <c r="G2832" s="7" t="n"/>
      <c r="H2832" s="8" t="n"/>
      <c r="I2832" s="9">
        <f>IF($A2832="","",SUMIFS(Ventes_Encaissements!$D$6:$D$3005,Ventes_Encaissements!$B$6:$B$3005,$A2832))</f>
        <v/>
      </c>
      <c r="J2832" s="9">
        <f>IF($A2832="","",$H2832-$I2832)</f>
        <v/>
      </c>
      <c r="K2832" s="10">
        <f>IF($A2832="","",IF($I2832=0,"",_xludf.AGGREGATE(14,6,Ventes_Encaissements!$C$6:$C$3005/(Ventes_Encaissements!$B$6:$B$3005=$A2832),1)))</f>
        <v/>
      </c>
      <c r="L2832" s="11">
        <f>IF($A2832="","",COUNTIFS(Ventes_Detail!$B$6:$B$3005,$A2832))</f>
        <v/>
      </c>
      <c r="M2832" s="12" t="n"/>
      <c r="N2832" s="12">
        <f>IF($A2832="","",IF($G2832="","",IF($M2832="Oui","Litige",IF($J2832&lt;=0,"Payé",IF($I2832&gt;0,"Partiel",IF(Listes!$B$3&gt;$G2832,"En retard","À échoir"))))))</f>
        <v/>
      </c>
      <c r="O2832" s="11">
        <f>IF($A2832="","",IF(OR($G2832="", $J2832&lt;=0),0,MAX(0,Listes!$B$3-$G2832)))</f>
        <v/>
      </c>
      <c r="P2832" s="12">
        <f>IF($A2832="","",IF($J2832&lt;=0,"Payé",IF($M2832="Oui","Litige",IF($O2832=0,"À échoir",IF($O2832&lt;=30,"0-30",IF($O2832&lt;=60,"31-60",IF($O2832&lt;=90,"61-90","90+")))))))</f>
        <v/>
      </c>
    </row>
    <row r="2833">
      <c r="A2833" s="6" t="n"/>
      <c r="B2833" s="6" t="n"/>
      <c r="C2833" s="6" t="n"/>
      <c r="D2833" s="6" t="n"/>
      <c r="E2833" s="6" t="n"/>
      <c r="F2833" s="7" t="n"/>
      <c r="G2833" s="7" t="n"/>
      <c r="H2833" s="8" t="n"/>
      <c r="I2833" s="9">
        <f>IF($A2833="","",SUMIFS(Ventes_Encaissements!$D$6:$D$3005,Ventes_Encaissements!$B$6:$B$3005,$A2833))</f>
        <v/>
      </c>
      <c r="J2833" s="9">
        <f>IF($A2833="","",$H2833-$I2833)</f>
        <v/>
      </c>
      <c r="K2833" s="10">
        <f>IF($A2833="","",IF($I2833=0,"",_xludf.AGGREGATE(14,6,Ventes_Encaissements!$C$6:$C$3005/(Ventes_Encaissements!$B$6:$B$3005=$A2833),1)))</f>
        <v/>
      </c>
      <c r="L2833" s="11">
        <f>IF($A2833="","",COUNTIFS(Ventes_Detail!$B$6:$B$3005,$A2833))</f>
        <v/>
      </c>
      <c r="M2833" s="12" t="n"/>
      <c r="N2833" s="12">
        <f>IF($A2833="","",IF($G2833="","",IF($M2833="Oui","Litige",IF($J2833&lt;=0,"Payé",IF($I2833&gt;0,"Partiel",IF(Listes!$B$3&gt;$G2833,"En retard","À échoir"))))))</f>
        <v/>
      </c>
      <c r="O2833" s="11">
        <f>IF($A2833="","",IF(OR($G2833="", $J2833&lt;=0),0,MAX(0,Listes!$B$3-$G2833)))</f>
        <v/>
      </c>
      <c r="P2833" s="12">
        <f>IF($A2833="","",IF($J2833&lt;=0,"Payé",IF($M2833="Oui","Litige",IF($O2833=0,"À échoir",IF($O2833&lt;=30,"0-30",IF($O2833&lt;=60,"31-60",IF($O2833&lt;=90,"61-90","90+")))))))</f>
        <v/>
      </c>
    </row>
    <row r="2834">
      <c r="A2834" s="6" t="n"/>
      <c r="B2834" s="6" t="n"/>
      <c r="C2834" s="6" t="n"/>
      <c r="D2834" s="6" t="n"/>
      <c r="E2834" s="6" t="n"/>
      <c r="F2834" s="7" t="n"/>
      <c r="G2834" s="7" t="n"/>
      <c r="H2834" s="8" t="n"/>
      <c r="I2834" s="9">
        <f>IF($A2834="","",SUMIFS(Ventes_Encaissements!$D$6:$D$3005,Ventes_Encaissements!$B$6:$B$3005,$A2834))</f>
        <v/>
      </c>
      <c r="J2834" s="9">
        <f>IF($A2834="","",$H2834-$I2834)</f>
        <v/>
      </c>
      <c r="K2834" s="10">
        <f>IF($A2834="","",IF($I2834=0,"",_xludf.AGGREGATE(14,6,Ventes_Encaissements!$C$6:$C$3005/(Ventes_Encaissements!$B$6:$B$3005=$A2834),1)))</f>
        <v/>
      </c>
      <c r="L2834" s="11">
        <f>IF($A2834="","",COUNTIFS(Ventes_Detail!$B$6:$B$3005,$A2834))</f>
        <v/>
      </c>
      <c r="M2834" s="12" t="n"/>
      <c r="N2834" s="12">
        <f>IF($A2834="","",IF($G2834="","",IF($M2834="Oui","Litige",IF($J2834&lt;=0,"Payé",IF($I2834&gt;0,"Partiel",IF(Listes!$B$3&gt;$G2834,"En retard","À échoir"))))))</f>
        <v/>
      </c>
      <c r="O2834" s="11">
        <f>IF($A2834="","",IF(OR($G2834="", $J2834&lt;=0),0,MAX(0,Listes!$B$3-$G2834)))</f>
        <v/>
      </c>
      <c r="P2834" s="12">
        <f>IF($A2834="","",IF($J2834&lt;=0,"Payé",IF($M2834="Oui","Litige",IF($O2834=0,"À échoir",IF($O2834&lt;=30,"0-30",IF($O2834&lt;=60,"31-60",IF($O2834&lt;=90,"61-90","90+")))))))</f>
        <v/>
      </c>
    </row>
    <row r="2835">
      <c r="A2835" s="6" t="n"/>
      <c r="B2835" s="6" t="n"/>
      <c r="C2835" s="6" t="n"/>
      <c r="D2835" s="6" t="n"/>
      <c r="E2835" s="6" t="n"/>
      <c r="F2835" s="7" t="n"/>
      <c r="G2835" s="7" t="n"/>
      <c r="H2835" s="8" t="n"/>
      <c r="I2835" s="9">
        <f>IF($A2835="","",SUMIFS(Ventes_Encaissements!$D$6:$D$3005,Ventes_Encaissements!$B$6:$B$3005,$A2835))</f>
        <v/>
      </c>
      <c r="J2835" s="9">
        <f>IF($A2835="","",$H2835-$I2835)</f>
        <v/>
      </c>
      <c r="K2835" s="10">
        <f>IF($A2835="","",IF($I2835=0,"",_xludf.AGGREGATE(14,6,Ventes_Encaissements!$C$6:$C$3005/(Ventes_Encaissements!$B$6:$B$3005=$A2835),1)))</f>
        <v/>
      </c>
      <c r="L2835" s="11">
        <f>IF($A2835="","",COUNTIFS(Ventes_Detail!$B$6:$B$3005,$A2835))</f>
        <v/>
      </c>
      <c r="M2835" s="12" t="n"/>
      <c r="N2835" s="12">
        <f>IF($A2835="","",IF($G2835="","",IF($M2835="Oui","Litige",IF($J2835&lt;=0,"Payé",IF($I2835&gt;0,"Partiel",IF(Listes!$B$3&gt;$G2835,"En retard","À échoir"))))))</f>
        <v/>
      </c>
      <c r="O2835" s="11">
        <f>IF($A2835="","",IF(OR($G2835="", $J2835&lt;=0),0,MAX(0,Listes!$B$3-$G2835)))</f>
        <v/>
      </c>
      <c r="P2835" s="12">
        <f>IF($A2835="","",IF($J2835&lt;=0,"Payé",IF($M2835="Oui","Litige",IF($O2835=0,"À échoir",IF($O2835&lt;=30,"0-30",IF($O2835&lt;=60,"31-60",IF($O2835&lt;=90,"61-90","90+")))))))</f>
        <v/>
      </c>
    </row>
    <row r="2836">
      <c r="A2836" s="6" t="n"/>
      <c r="B2836" s="6" t="n"/>
      <c r="C2836" s="6" t="n"/>
      <c r="D2836" s="6" t="n"/>
      <c r="E2836" s="6" t="n"/>
      <c r="F2836" s="7" t="n"/>
      <c r="G2836" s="7" t="n"/>
      <c r="H2836" s="8" t="n"/>
      <c r="I2836" s="9">
        <f>IF($A2836="","",SUMIFS(Ventes_Encaissements!$D$6:$D$3005,Ventes_Encaissements!$B$6:$B$3005,$A2836))</f>
        <v/>
      </c>
      <c r="J2836" s="9">
        <f>IF($A2836="","",$H2836-$I2836)</f>
        <v/>
      </c>
      <c r="K2836" s="10">
        <f>IF($A2836="","",IF($I2836=0,"",_xludf.AGGREGATE(14,6,Ventes_Encaissements!$C$6:$C$3005/(Ventes_Encaissements!$B$6:$B$3005=$A2836),1)))</f>
        <v/>
      </c>
      <c r="L2836" s="11">
        <f>IF($A2836="","",COUNTIFS(Ventes_Detail!$B$6:$B$3005,$A2836))</f>
        <v/>
      </c>
      <c r="M2836" s="12" t="n"/>
      <c r="N2836" s="12">
        <f>IF($A2836="","",IF($G2836="","",IF($M2836="Oui","Litige",IF($J2836&lt;=0,"Payé",IF($I2836&gt;0,"Partiel",IF(Listes!$B$3&gt;$G2836,"En retard","À échoir"))))))</f>
        <v/>
      </c>
      <c r="O2836" s="11">
        <f>IF($A2836="","",IF(OR($G2836="", $J2836&lt;=0),0,MAX(0,Listes!$B$3-$G2836)))</f>
        <v/>
      </c>
      <c r="P2836" s="12">
        <f>IF($A2836="","",IF($J2836&lt;=0,"Payé",IF($M2836="Oui","Litige",IF($O2836=0,"À échoir",IF($O2836&lt;=30,"0-30",IF($O2836&lt;=60,"31-60",IF($O2836&lt;=90,"61-90","90+")))))))</f>
        <v/>
      </c>
    </row>
    <row r="2837">
      <c r="A2837" s="6" t="n"/>
      <c r="B2837" s="6" t="n"/>
      <c r="C2837" s="6" t="n"/>
      <c r="D2837" s="6" t="n"/>
      <c r="E2837" s="6" t="n"/>
      <c r="F2837" s="7" t="n"/>
      <c r="G2837" s="7" t="n"/>
      <c r="H2837" s="8" t="n"/>
      <c r="I2837" s="9">
        <f>IF($A2837="","",SUMIFS(Ventes_Encaissements!$D$6:$D$3005,Ventes_Encaissements!$B$6:$B$3005,$A2837))</f>
        <v/>
      </c>
      <c r="J2837" s="9">
        <f>IF($A2837="","",$H2837-$I2837)</f>
        <v/>
      </c>
      <c r="K2837" s="10">
        <f>IF($A2837="","",IF($I2837=0,"",_xludf.AGGREGATE(14,6,Ventes_Encaissements!$C$6:$C$3005/(Ventes_Encaissements!$B$6:$B$3005=$A2837),1)))</f>
        <v/>
      </c>
      <c r="L2837" s="11">
        <f>IF($A2837="","",COUNTIFS(Ventes_Detail!$B$6:$B$3005,$A2837))</f>
        <v/>
      </c>
      <c r="M2837" s="12" t="n"/>
      <c r="N2837" s="12">
        <f>IF($A2837="","",IF($G2837="","",IF($M2837="Oui","Litige",IF($J2837&lt;=0,"Payé",IF($I2837&gt;0,"Partiel",IF(Listes!$B$3&gt;$G2837,"En retard","À échoir"))))))</f>
        <v/>
      </c>
      <c r="O2837" s="11">
        <f>IF($A2837="","",IF(OR($G2837="", $J2837&lt;=0),0,MAX(0,Listes!$B$3-$G2837)))</f>
        <v/>
      </c>
      <c r="P2837" s="12">
        <f>IF($A2837="","",IF($J2837&lt;=0,"Payé",IF($M2837="Oui","Litige",IF($O2837=0,"À échoir",IF($O2837&lt;=30,"0-30",IF($O2837&lt;=60,"31-60",IF($O2837&lt;=90,"61-90","90+")))))))</f>
        <v/>
      </c>
    </row>
    <row r="2838">
      <c r="A2838" s="6" t="n"/>
      <c r="B2838" s="6" t="n"/>
      <c r="C2838" s="6" t="n"/>
      <c r="D2838" s="6" t="n"/>
      <c r="E2838" s="6" t="n"/>
      <c r="F2838" s="7" t="n"/>
      <c r="G2838" s="7" t="n"/>
      <c r="H2838" s="8" t="n"/>
      <c r="I2838" s="9">
        <f>IF($A2838="","",SUMIFS(Ventes_Encaissements!$D$6:$D$3005,Ventes_Encaissements!$B$6:$B$3005,$A2838))</f>
        <v/>
      </c>
      <c r="J2838" s="9">
        <f>IF($A2838="","",$H2838-$I2838)</f>
        <v/>
      </c>
      <c r="K2838" s="10">
        <f>IF($A2838="","",IF($I2838=0,"",_xludf.AGGREGATE(14,6,Ventes_Encaissements!$C$6:$C$3005/(Ventes_Encaissements!$B$6:$B$3005=$A2838),1)))</f>
        <v/>
      </c>
      <c r="L2838" s="11">
        <f>IF($A2838="","",COUNTIFS(Ventes_Detail!$B$6:$B$3005,$A2838))</f>
        <v/>
      </c>
      <c r="M2838" s="12" t="n"/>
      <c r="N2838" s="12">
        <f>IF($A2838="","",IF($G2838="","",IF($M2838="Oui","Litige",IF($J2838&lt;=0,"Payé",IF($I2838&gt;0,"Partiel",IF(Listes!$B$3&gt;$G2838,"En retard","À échoir"))))))</f>
        <v/>
      </c>
      <c r="O2838" s="11">
        <f>IF($A2838="","",IF(OR($G2838="", $J2838&lt;=0),0,MAX(0,Listes!$B$3-$G2838)))</f>
        <v/>
      </c>
      <c r="P2838" s="12">
        <f>IF($A2838="","",IF($J2838&lt;=0,"Payé",IF($M2838="Oui","Litige",IF($O2838=0,"À échoir",IF($O2838&lt;=30,"0-30",IF($O2838&lt;=60,"31-60",IF($O2838&lt;=90,"61-90","90+")))))))</f>
        <v/>
      </c>
    </row>
    <row r="2839">
      <c r="A2839" s="6" t="n"/>
      <c r="B2839" s="6" t="n"/>
      <c r="C2839" s="6" t="n"/>
      <c r="D2839" s="6" t="n"/>
      <c r="E2839" s="6" t="n"/>
      <c r="F2839" s="7" t="n"/>
      <c r="G2839" s="7" t="n"/>
      <c r="H2839" s="8" t="n"/>
      <c r="I2839" s="9">
        <f>IF($A2839="","",SUMIFS(Ventes_Encaissements!$D$6:$D$3005,Ventes_Encaissements!$B$6:$B$3005,$A2839))</f>
        <v/>
      </c>
      <c r="J2839" s="9">
        <f>IF($A2839="","",$H2839-$I2839)</f>
        <v/>
      </c>
      <c r="K2839" s="10">
        <f>IF($A2839="","",IF($I2839=0,"",_xludf.AGGREGATE(14,6,Ventes_Encaissements!$C$6:$C$3005/(Ventes_Encaissements!$B$6:$B$3005=$A2839),1)))</f>
        <v/>
      </c>
      <c r="L2839" s="11">
        <f>IF($A2839="","",COUNTIFS(Ventes_Detail!$B$6:$B$3005,$A2839))</f>
        <v/>
      </c>
      <c r="M2839" s="12" t="n"/>
      <c r="N2839" s="12">
        <f>IF($A2839="","",IF($G2839="","",IF($M2839="Oui","Litige",IF($J2839&lt;=0,"Payé",IF($I2839&gt;0,"Partiel",IF(Listes!$B$3&gt;$G2839,"En retard","À échoir"))))))</f>
        <v/>
      </c>
      <c r="O2839" s="11">
        <f>IF($A2839="","",IF(OR($G2839="", $J2839&lt;=0),0,MAX(0,Listes!$B$3-$G2839)))</f>
        <v/>
      </c>
      <c r="P2839" s="12">
        <f>IF($A2839="","",IF($J2839&lt;=0,"Payé",IF($M2839="Oui","Litige",IF($O2839=0,"À échoir",IF($O2839&lt;=30,"0-30",IF($O2839&lt;=60,"31-60",IF($O2839&lt;=90,"61-90","90+")))))))</f>
        <v/>
      </c>
    </row>
    <row r="2840">
      <c r="A2840" s="6" t="n"/>
      <c r="B2840" s="6" t="n"/>
      <c r="C2840" s="6" t="n"/>
      <c r="D2840" s="6" t="n"/>
      <c r="E2840" s="6" t="n"/>
      <c r="F2840" s="7" t="n"/>
      <c r="G2840" s="7" t="n"/>
      <c r="H2840" s="8" t="n"/>
      <c r="I2840" s="9">
        <f>IF($A2840="","",SUMIFS(Ventes_Encaissements!$D$6:$D$3005,Ventes_Encaissements!$B$6:$B$3005,$A2840))</f>
        <v/>
      </c>
      <c r="J2840" s="9">
        <f>IF($A2840="","",$H2840-$I2840)</f>
        <v/>
      </c>
      <c r="K2840" s="10">
        <f>IF($A2840="","",IF($I2840=0,"",_xludf.AGGREGATE(14,6,Ventes_Encaissements!$C$6:$C$3005/(Ventes_Encaissements!$B$6:$B$3005=$A2840),1)))</f>
        <v/>
      </c>
      <c r="L2840" s="11">
        <f>IF($A2840="","",COUNTIFS(Ventes_Detail!$B$6:$B$3005,$A2840))</f>
        <v/>
      </c>
      <c r="M2840" s="12" t="n"/>
      <c r="N2840" s="12">
        <f>IF($A2840="","",IF($G2840="","",IF($M2840="Oui","Litige",IF($J2840&lt;=0,"Payé",IF($I2840&gt;0,"Partiel",IF(Listes!$B$3&gt;$G2840,"En retard","À échoir"))))))</f>
        <v/>
      </c>
      <c r="O2840" s="11">
        <f>IF($A2840="","",IF(OR($G2840="", $J2840&lt;=0),0,MAX(0,Listes!$B$3-$G2840)))</f>
        <v/>
      </c>
      <c r="P2840" s="12">
        <f>IF($A2840="","",IF($J2840&lt;=0,"Payé",IF($M2840="Oui","Litige",IF($O2840=0,"À échoir",IF($O2840&lt;=30,"0-30",IF($O2840&lt;=60,"31-60",IF($O2840&lt;=90,"61-90","90+")))))))</f>
        <v/>
      </c>
    </row>
    <row r="2841">
      <c r="A2841" s="6" t="n"/>
      <c r="B2841" s="6" t="n"/>
      <c r="C2841" s="6" t="n"/>
      <c r="D2841" s="6" t="n"/>
      <c r="E2841" s="6" t="n"/>
      <c r="F2841" s="7" t="n"/>
      <c r="G2841" s="7" t="n"/>
      <c r="H2841" s="8" t="n"/>
      <c r="I2841" s="9">
        <f>IF($A2841="","",SUMIFS(Ventes_Encaissements!$D$6:$D$3005,Ventes_Encaissements!$B$6:$B$3005,$A2841))</f>
        <v/>
      </c>
      <c r="J2841" s="9">
        <f>IF($A2841="","",$H2841-$I2841)</f>
        <v/>
      </c>
      <c r="K2841" s="10">
        <f>IF($A2841="","",IF($I2841=0,"",_xludf.AGGREGATE(14,6,Ventes_Encaissements!$C$6:$C$3005/(Ventes_Encaissements!$B$6:$B$3005=$A2841),1)))</f>
        <v/>
      </c>
      <c r="L2841" s="11">
        <f>IF($A2841="","",COUNTIFS(Ventes_Detail!$B$6:$B$3005,$A2841))</f>
        <v/>
      </c>
      <c r="M2841" s="12" t="n"/>
      <c r="N2841" s="12">
        <f>IF($A2841="","",IF($G2841="","",IF($M2841="Oui","Litige",IF($J2841&lt;=0,"Payé",IF($I2841&gt;0,"Partiel",IF(Listes!$B$3&gt;$G2841,"En retard","À échoir"))))))</f>
        <v/>
      </c>
      <c r="O2841" s="11">
        <f>IF($A2841="","",IF(OR($G2841="", $J2841&lt;=0),0,MAX(0,Listes!$B$3-$G2841)))</f>
        <v/>
      </c>
      <c r="P2841" s="12">
        <f>IF($A2841="","",IF($J2841&lt;=0,"Payé",IF($M2841="Oui","Litige",IF($O2841=0,"À échoir",IF($O2841&lt;=30,"0-30",IF($O2841&lt;=60,"31-60",IF($O2841&lt;=90,"61-90","90+")))))))</f>
        <v/>
      </c>
    </row>
    <row r="2842">
      <c r="A2842" s="6" t="n"/>
      <c r="B2842" s="6" t="n"/>
      <c r="C2842" s="6" t="n"/>
      <c r="D2842" s="6" t="n"/>
      <c r="E2842" s="6" t="n"/>
      <c r="F2842" s="7" t="n"/>
      <c r="G2842" s="7" t="n"/>
      <c r="H2842" s="8" t="n"/>
      <c r="I2842" s="9">
        <f>IF($A2842="","",SUMIFS(Ventes_Encaissements!$D$6:$D$3005,Ventes_Encaissements!$B$6:$B$3005,$A2842))</f>
        <v/>
      </c>
      <c r="J2842" s="9">
        <f>IF($A2842="","",$H2842-$I2842)</f>
        <v/>
      </c>
      <c r="K2842" s="10">
        <f>IF($A2842="","",IF($I2842=0,"",_xludf.AGGREGATE(14,6,Ventes_Encaissements!$C$6:$C$3005/(Ventes_Encaissements!$B$6:$B$3005=$A2842),1)))</f>
        <v/>
      </c>
      <c r="L2842" s="11">
        <f>IF($A2842="","",COUNTIFS(Ventes_Detail!$B$6:$B$3005,$A2842))</f>
        <v/>
      </c>
      <c r="M2842" s="12" t="n"/>
      <c r="N2842" s="12">
        <f>IF($A2842="","",IF($G2842="","",IF($M2842="Oui","Litige",IF($J2842&lt;=0,"Payé",IF($I2842&gt;0,"Partiel",IF(Listes!$B$3&gt;$G2842,"En retard","À échoir"))))))</f>
        <v/>
      </c>
      <c r="O2842" s="11">
        <f>IF($A2842="","",IF(OR($G2842="", $J2842&lt;=0),0,MAX(0,Listes!$B$3-$G2842)))</f>
        <v/>
      </c>
      <c r="P2842" s="12">
        <f>IF($A2842="","",IF($J2842&lt;=0,"Payé",IF($M2842="Oui","Litige",IF($O2842=0,"À échoir",IF($O2842&lt;=30,"0-30",IF($O2842&lt;=60,"31-60",IF($O2842&lt;=90,"61-90","90+")))))))</f>
        <v/>
      </c>
    </row>
    <row r="2843">
      <c r="A2843" s="6" t="n"/>
      <c r="B2843" s="6" t="n"/>
      <c r="C2843" s="6" t="n"/>
      <c r="D2843" s="6" t="n"/>
      <c r="E2843" s="6" t="n"/>
      <c r="F2843" s="7" t="n"/>
      <c r="G2843" s="7" t="n"/>
      <c r="H2843" s="8" t="n"/>
      <c r="I2843" s="9">
        <f>IF($A2843="","",SUMIFS(Ventes_Encaissements!$D$6:$D$3005,Ventes_Encaissements!$B$6:$B$3005,$A2843))</f>
        <v/>
      </c>
      <c r="J2843" s="9">
        <f>IF($A2843="","",$H2843-$I2843)</f>
        <v/>
      </c>
      <c r="K2843" s="10">
        <f>IF($A2843="","",IF($I2843=0,"",_xludf.AGGREGATE(14,6,Ventes_Encaissements!$C$6:$C$3005/(Ventes_Encaissements!$B$6:$B$3005=$A2843),1)))</f>
        <v/>
      </c>
      <c r="L2843" s="11">
        <f>IF($A2843="","",COUNTIFS(Ventes_Detail!$B$6:$B$3005,$A2843))</f>
        <v/>
      </c>
      <c r="M2843" s="12" t="n"/>
      <c r="N2843" s="12">
        <f>IF($A2843="","",IF($G2843="","",IF($M2843="Oui","Litige",IF($J2843&lt;=0,"Payé",IF($I2843&gt;0,"Partiel",IF(Listes!$B$3&gt;$G2843,"En retard","À échoir"))))))</f>
        <v/>
      </c>
      <c r="O2843" s="11">
        <f>IF($A2843="","",IF(OR($G2843="", $J2843&lt;=0),0,MAX(0,Listes!$B$3-$G2843)))</f>
        <v/>
      </c>
      <c r="P2843" s="12">
        <f>IF($A2843="","",IF($J2843&lt;=0,"Payé",IF($M2843="Oui","Litige",IF($O2843=0,"À échoir",IF($O2843&lt;=30,"0-30",IF($O2843&lt;=60,"31-60",IF($O2843&lt;=90,"61-90","90+")))))))</f>
        <v/>
      </c>
    </row>
    <row r="2844">
      <c r="A2844" s="6" t="n"/>
      <c r="B2844" s="6" t="n"/>
      <c r="C2844" s="6" t="n"/>
      <c r="D2844" s="6" t="n"/>
      <c r="E2844" s="6" t="n"/>
      <c r="F2844" s="7" t="n"/>
      <c r="G2844" s="7" t="n"/>
      <c r="H2844" s="8" t="n"/>
      <c r="I2844" s="9">
        <f>IF($A2844="","",SUMIFS(Ventes_Encaissements!$D$6:$D$3005,Ventes_Encaissements!$B$6:$B$3005,$A2844))</f>
        <v/>
      </c>
      <c r="J2844" s="9">
        <f>IF($A2844="","",$H2844-$I2844)</f>
        <v/>
      </c>
      <c r="K2844" s="10">
        <f>IF($A2844="","",IF($I2844=0,"",_xludf.AGGREGATE(14,6,Ventes_Encaissements!$C$6:$C$3005/(Ventes_Encaissements!$B$6:$B$3005=$A2844),1)))</f>
        <v/>
      </c>
      <c r="L2844" s="11">
        <f>IF($A2844="","",COUNTIFS(Ventes_Detail!$B$6:$B$3005,$A2844))</f>
        <v/>
      </c>
      <c r="M2844" s="12" t="n"/>
      <c r="N2844" s="12">
        <f>IF($A2844="","",IF($G2844="","",IF($M2844="Oui","Litige",IF($J2844&lt;=0,"Payé",IF($I2844&gt;0,"Partiel",IF(Listes!$B$3&gt;$G2844,"En retard","À échoir"))))))</f>
        <v/>
      </c>
      <c r="O2844" s="11">
        <f>IF($A2844="","",IF(OR($G2844="", $J2844&lt;=0),0,MAX(0,Listes!$B$3-$G2844)))</f>
        <v/>
      </c>
      <c r="P2844" s="12">
        <f>IF($A2844="","",IF($J2844&lt;=0,"Payé",IF($M2844="Oui","Litige",IF($O2844=0,"À échoir",IF($O2844&lt;=30,"0-30",IF($O2844&lt;=60,"31-60",IF($O2844&lt;=90,"61-90","90+")))))))</f>
        <v/>
      </c>
    </row>
    <row r="2845">
      <c r="A2845" s="6" t="n"/>
      <c r="B2845" s="6" t="n"/>
      <c r="C2845" s="6" t="n"/>
      <c r="D2845" s="6" t="n"/>
      <c r="E2845" s="6" t="n"/>
      <c r="F2845" s="7" t="n"/>
      <c r="G2845" s="7" t="n"/>
      <c r="H2845" s="8" t="n"/>
      <c r="I2845" s="9">
        <f>IF($A2845="","",SUMIFS(Ventes_Encaissements!$D$6:$D$3005,Ventes_Encaissements!$B$6:$B$3005,$A2845))</f>
        <v/>
      </c>
      <c r="J2845" s="9">
        <f>IF($A2845="","",$H2845-$I2845)</f>
        <v/>
      </c>
      <c r="K2845" s="10">
        <f>IF($A2845="","",IF($I2845=0,"",_xludf.AGGREGATE(14,6,Ventes_Encaissements!$C$6:$C$3005/(Ventes_Encaissements!$B$6:$B$3005=$A2845),1)))</f>
        <v/>
      </c>
      <c r="L2845" s="11">
        <f>IF($A2845="","",COUNTIFS(Ventes_Detail!$B$6:$B$3005,$A2845))</f>
        <v/>
      </c>
      <c r="M2845" s="12" t="n"/>
      <c r="N2845" s="12">
        <f>IF($A2845="","",IF($G2845="","",IF($M2845="Oui","Litige",IF($J2845&lt;=0,"Payé",IF($I2845&gt;0,"Partiel",IF(Listes!$B$3&gt;$G2845,"En retard","À échoir"))))))</f>
        <v/>
      </c>
      <c r="O2845" s="11">
        <f>IF($A2845="","",IF(OR($G2845="", $J2845&lt;=0),0,MAX(0,Listes!$B$3-$G2845)))</f>
        <v/>
      </c>
      <c r="P2845" s="12">
        <f>IF($A2845="","",IF($J2845&lt;=0,"Payé",IF($M2845="Oui","Litige",IF($O2845=0,"À échoir",IF($O2845&lt;=30,"0-30",IF($O2845&lt;=60,"31-60",IF($O2845&lt;=90,"61-90","90+")))))))</f>
        <v/>
      </c>
    </row>
    <row r="2846">
      <c r="A2846" s="6" t="n"/>
      <c r="B2846" s="6" t="n"/>
      <c r="C2846" s="6" t="n"/>
      <c r="D2846" s="6" t="n"/>
      <c r="E2846" s="6" t="n"/>
      <c r="F2846" s="7" t="n"/>
      <c r="G2846" s="7" t="n"/>
      <c r="H2846" s="8" t="n"/>
      <c r="I2846" s="9">
        <f>IF($A2846="","",SUMIFS(Ventes_Encaissements!$D$6:$D$3005,Ventes_Encaissements!$B$6:$B$3005,$A2846))</f>
        <v/>
      </c>
      <c r="J2846" s="9">
        <f>IF($A2846="","",$H2846-$I2846)</f>
        <v/>
      </c>
      <c r="K2846" s="10">
        <f>IF($A2846="","",IF($I2846=0,"",_xludf.AGGREGATE(14,6,Ventes_Encaissements!$C$6:$C$3005/(Ventes_Encaissements!$B$6:$B$3005=$A2846),1)))</f>
        <v/>
      </c>
      <c r="L2846" s="11">
        <f>IF($A2846="","",COUNTIFS(Ventes_Detail!$B$6:$B$3005,$A2846))</f>
        <v/>
      </c>
      <c r="M2846" s="12" t="n"/>
      <c r="N2846" s="12">
        <f>IF($A2846="","",IF($G2846="","",IF($M2846="Oui","Litige",IF($J2846&lt;=0,"Payé",IF($I2846&gt;0,"Partiel",IF(Listes!$B$3&gt;$G2846,"En retard","À échoir"))))))</f>
        <v/>
      </c>
      <c r="O2846" s="11">
        <f>IF($A2846="","",IF(OR($G2846="", $J2846&lt;=0),0,MAX(0,Listes!$B$3-$G2846)))</f>
        <v/>
      </c>
      <c r="P2846" s="12">
        <f>IF($A2846="","",IF($J2846&lt;=0,"Payé",IF($M2846="Oui","Litige",IF($O2846=0,"À échoir",IF($O2846&lt;=30,"0-30",IF($O2846&lt;=60,"31-60",IF($O2846&lt;=90,"61-90","90+")))))))</f>
        <v/>
      </c>
    </row>
    <row r="2847">
      <c r="A2847" s="6" t="n"/>
      <c r="B2847" s="6" t="n"/>
      <c r="C2847" s="6" t="n"/>
      <c r="D2847" s="6" t="n"/>
      <c r="E2847" s="6" t="n"/>
      <c r="F2847" s="7" t="n"/>
      <c r="G2847" s="7" t="n"/>
      <c r="H2847" s="8" t="n"/>
      <c r="I2847" s="9">
        <f>IF($A2847="","",SUMIFS(Ventes_Encaissements!$D$6:$D$3005,Ventes_Encaissements!$B$6:$B$3005,$A2847))</f>
        <v/>
      </c>
      <c r="J2847" s="9">
        <f>IF($A2847="","",$H2847-$I2847)</f>
        <v/>
      </c>
      <c r="K2847" s="10">
        <f>IF($A2847="","",IF($I2847=0,"",_xludf.AGGREGATE(14,6,Ventes_Encaissements!$C$6:$C$3005/(Ventes_Encaissements!$B$6:$B$3005=$A2847),1)))</f>
        <v/>
      </c>
      <c r="L2847" s="11">
        <f>IF($A2847="","",COUNTIFS(Ventes_Detail!$B$6:$B$3005,$A2847))</f>
        <v/>
      </c>
      <c r="M2847" s="12" t="n"/>
      <c r="N2847" s="12">
        <f>IF($A2847="","",IF($G2847="","",IF($M2847="Oui","Litige",IF($J2847&lt;=0,"Payé",IF($I2847&gt;0,"Partiel",IF(Listes!$B$3&gt;$G2847,"En retard","À échoir"))))))</f>
        <v/>
      </c>
      <c r="O2847" s="11">
        <f>IF($A2847="","",IF(OR($G2847="", $J2847&lt;=0),0,MAX(0,Listes!$B$3-$G2847)))</f>
        <v/>
      </c>
      <c r="P2847" s="12">
        <f>IF($A2847="","",IF($J2847&lt;=0,"Payé",IF($M2847="Oui","Litige",IF($O2847=0,"À échoir",IF($O2847&lt;=30,"0-30",IF($O2847&lt;=60,"31-60",IF($O2847&lt;=90,"61-90","90+")))))))</f>
        <v/>
      </c>
    </row>
    <row r="2848">
      <c r="A2848" s="6" t="n"/>
      <c r="B2848" s="6" t="n"/>
      <c r="C2848" s="6" t="n"/>
      <c r="D2848" s="6" t="n"/>
      <c r="E2848" s="6" t="n"/>
      <c r="F2848" s="7" t="n"/>
      <c r="G2848" s="7" t="n"/>
      <c r="H2848" s="8" t="n"/>
      <c r="I2848" s="9">
        <f>IF($A2848="","",SUMIFS(Ventes_Encaissements!$D$6:$D$3005,Ventes_Encaissements!$B$6:$B$3005,$A2848))</f>
        <v/>
      </c>
      <c r="J2848" s="9">
        <f>IF($A2848="","",$H2848-$I2848)</f>
        <v/>
      </c>
      <c r="K2848" s="10">
        <f>IF($A2848="","",IF($I2848=0,"",_xludf.AGGREGATE(14,6,Ventes_Encaissements!$C$6:$C$3005/(Ventes_Encaissements!$B$6:$B$3005=$A2848),1)))</f>
        <v/>
      </c>
      <c r="L2848" s="11">
        <f>IF($A2848="","",COUNTIFS(Ventes_Detail!$B$6:$B$3005,$A2848))</f>
        <v/>
      </c>
      <c r="M2848" s="12" t="n"/>
      <c r="N2848" s="12">
        <f>IF($A2848="","",IF($G2848="","",IF($M2848="Oui","Litige",IF($J2848&lt;=0,"Payé",IF($I2848&gt;0,"Partiel",IF(Listes!$B$3&gt;$G2848,"En retard","À échoir"))))))</f>
        <v/>
      </c>
      <c r="O2848" s="11">
        <f>IF($A2848="","",IF(OR($G2848="", $J2848&lt;=0),0,MAX(0,Listes!$B$3-$G2848)))</f>
        <v/>
      </c>
      <c r="P2848" s="12">
        <f>IF($A2848="","",IF($J2848&lt;=0,"Payé",IF($M2848="Oui","Litige",IF($O2848=0,"À échoir",IF($O2848&lt;=30,"0-30",IF($O2848&lt;=60,"31-60",IF($O2848&lt;=90,"61-90","90+")))))))</f>
        <v/>
      </c>
    </row>
    <row r="2849">
      <c r="A2849" s="6" t="n"/>
      <c r="B2849" s="6" t="n"/>
      <c r="C2849" s="6" t="n"/>
      <c r="D2849" s="6" t="n"/>
      <c r="E2849" s="6" t="n"/>
      <c r="F2849" s="7" t="n"/>
      <c r="G2849" s="7" t="n"/>
      <c r="H2849" s="8" t="n"/>
      <c r="I2849" s="9">
        <f>IF($A2849="","",SUMIFS(Ventes_Encaissements!$D$6:$D$3005,Ventes_Encaissements!$B$6:$B$3005,$A2849))</f>
        <v/>
      </c>
      <c r="J2849" s="9">
        <f>IF($A2849="","",$H2849-$I2849)</f>
        <v/>
      </c>
      <c r="K2849" s="10">
        <f>IF($A2849="","",IF($I2849=0,"",_xludf.AGGREGATE(14,6,Ventes_Encaissements!$C$6:$C$3005/(Ventes_Encaissements!$B$6:$B$3005=$A2849),1)))</f>
        <v/>
      </c>
      <c r="L2849" s="11">
        <f>IF($A2849="","",COUNTIFS(Ventes_Detail!$B$6:$B$3005,$A2849))</f>
        <v/>
      </c>
      <c r="M2849" s="12" t="n"/>
      <c r="N2849" s="12">
        <f>IF($A2849="","",IF($G2849="","",IF($M2849="Oui","Litige",IF($J2849&lt;=0,"Payé",IF($I2849&gt;0,"Partiel",IF(Listes!$B$3&gt;$G2849,"En retard","À échoir"))))))</f>
        <v/>
      </c>
      <c r="O2849" s="11">
        <f>IF($A2849="","",IF(OR($G2849="", $J2849&lt;=0),0,MAX(0,Listes!$B$3-$G2849)))</f>
        <v/>
      </c>
      <c r="P2849" s="12">
        <f>IF($A2849="","",IF($J2849&lt;=0,"Payé",IF($M2849="Oui","Litige",IF($O2849=0,"À échoir",IF($O2849&lt;=30,"0-30",IF($O2849&lt;=60,"31-60",IF($O2849&lt;=90,"61-90","90+")))))))</f>
        <v/>
      </c>
    </row>
    <row r="2850">
      <c r="A2850" s="6" t="n"/>
      <c r="B2850" s="6" t="n"/>
      <c r="C2850" s="6" t="n"/>
      <c r="D2850" s="6" t="n"/>
      <c r="E2850" s="6" t="n"/>
      <c r="F2850" s="7" t="n"/>
      <c r="G2850" s="7" t="n"/>
      <c r="H2850" s="8" t="n"/>
      <c r="I2850" s="9">
        <f>IF($A2850="","",SUMIFS(Ventes_Encaissements!$D$6:$D$3005,Ventes_Encaissements!$B$6:$B$3005,$A2850))</f>
        <v/>
      </c>
      <c r="J2850" s="9">
        <f>IF($A2850="","",$H2850-$I2850)</f>
        <v/>
      </c>
      <c r="K2850" s="10">
        <f>IF($A2850="","",IF($I2850=0,"",_xludf.AGGREGATE(14,6,Ventes_Encaissements!$C$6:$C$3005/(Ventes_Encaissements!$B$6:$B$3005=$A2850),1)))</f>
        <v/>
      </c>
      <c r="L2850" s="11">
        <f>IF($A2850="","",COUNTIFS(Ventes_Detail!$B$6:$B$3005,$A2850))</f>
        <v/>
      </c>
      <c r="M2850" s="12" t="n"/>
      <c r="N2850" s="12">
        <f>IF($A2850="","",IF($G2850="","",IF($M2850="Oui","Litige",IF($J2850&lt;=0,"Payé",IF($I2850&gt;0,"Partiel",IF(Listes!$B$3&gt;$G2850,"En retard","À échoir"))))))</f>
        <v/>
      </c>
      <c r="O2850" s="11">
        <f>IF($A2850="","",IF(OR($G2850="", $J2850&lt;=0),0,MAX(0,Listes!$B$3-$G2850)))</f>
        <v/>
      </c>
      <c r="P2850" s="12">
        <f>IF($A2850="","",IF($J2850&lt;=0,"Payé",IF($M2850="Oui","Litige",IF($O2850=0,"À échoir",IF($O2850&lt;=30,"0-30",IF($O2850&lt;=60,"31-60",IF($O2850&lt;=90,"61-90","90+")))))))</f>
        <v/>
      </c>
    </row>
    <row r="2851">
      <c r="A2851" s="6" t="n"/>
      <c r="B2851" s="6" t="n"/>
      <c r="C2851" s="6" t="n"/>
      <c r="D2851" s="6" t="n"/>
      <c r="E2851" s="6" t="n"/>
      <c r="F2851" s="7" t="n"/>
      <c r="G2851" s="7" t="n"/>
      <c r="H2851" s="8" t="n"/>
      <c r="I2851" s="9">
        <f>IF($A2851="","",SUMIFS(Ventes_Encaissements!$D$6:$D$3005,Ventes_Encaissements!$B$6:$B$3005,$A2851))</f>
        <v/>
      </c>
      <c r="J2851" s="9">
        <f>IF($A2851="","",$H2851-$I2851)</f>
        <v/>
      </c>
      <c r="K2851" s="10">
        <f>IF($A2851="","",IF($I2851=0,"",_xludf.AGGREGATE(14,6,Ventes_Encaissements!$C$6:$C$3005/(Ventes_Encaissements!$B$6:$B$3005=$A2851),1)))</f>
        <v/>
      </c>
      <c r="L2851" s="11">
        <f>IF($A2851="","",COUNTIFS(Ventes_Detail!$B$6:$B$3005,$A2851))</f>
        <v/>
      </c>
      <c r="M2851" s="12" t="n"/>
      <c r="N2851" s="12">
        <f>IF($A2851="","",IF($G2851="","",IF($M2851="Oui","Litige",IF($J2851&lt;=0,"Payé",IF($I2851&gt;0,"Partiel",IF(Listes!$B$3&gt;$G2851,"En retard","À échoir"))))))</f>
        <v/>
      </c>
      <c r="O2851" s="11">
        <f>IF($A2851="","",IF(OR($G2851="", $J2851&lt;=0),0,MAX(0,Listes!$B$3-$G2851)))</f>
        <v/>
      </c>
      <c r="P2851" s="12">
        <f>IF($A2851="","",IF($J2851&lt;=0,"Payé",IF($M2851="Oui","Litige",IF($O2851=0,"À échoir",IF($O2851&lt;=30,"0-30",IF($O2851&lt;=60,"31-60",IF($O2851&lt;=90,"61-90","90+")))))))</f>
        <v/>
      </c>
    </row>
    <row r="2852">
      <c r="A2852" s="6" t="n"/>
      <c r="B2852" s="6" t="n"/>
      <c r="C2852" s="6" t="n"/>
      <c r="D2852" s="6" t="n"/>
      <c r="E2852" s="6" t="n"/>
      <c r="F2852" s="7" t="n"/>
      <c r="G2852" s="7" t="n"/>
      <c r="H2852" s="8" t="n"/>
      <c r="I2852" s="9">
        <f>IF($A2852="","",SUMIFS(Ventes_Encaissements!$D$6:$D$3005,Ventes_Encaissements!$B$6:$B$3005,$A2852))</f>
        <v/>
      </c>
      <c r="J2852" s="9">
        <f>IF($A2852="","",$H2852-$I2852)</f>
        <v/>
      </c>
      <c r="K2852" s="10">
        <f>IF($A2852="","",IF($I2852=0,"",_xludf.AGGREGATE(14,6,Ventes_Encaissements!$C$6:$C$3005/(Ventes_Encaissements!$B$6:$B$3005=$A2852),1)))</f>
        <v/>
      </c>
      <c r="L2852" s="11">
        <f>IF($A2852="","",COUNTIFS(Ventes_Detail!$B$6:$B$3005,$A2852))</f>
        <v/>
      </c>
      <c r="M2852" s="12" t="n"/>
      <c r="N2852" s="12">
        <f>IF($A2852="","",IF($G2852="","",IF($M2852="Oui","Litige",IF($J2852&lt;=0,"Payé",IF($I2852&gt;0,"Partiel",IF(Listes!$B$3&gt;$G2852,"En retard","À échoir"))))))</f>
        <v/>
      </c>
      <c r="O2852" s="11">
        <f>IF($A2852="","",IF(OR($G2852="", $J2852&lt;=0),0,MAX(0,Listes!$B$3-$G2852)))</f>
        <v/>
      </c>
      <c r="P2852" s="12">
        <f>IF($A2852="","",IF($J2852&lt;=0,"Payé",IF($M2852="Oui","Litige",IF($O2852=0,"À échoir",IF($O2852&lt;=30,"0-30",IF($O2852&lt;=60,"31-60",IF($O2852&lt;=90,"61-90","90+")))))))</f>
        <v/>
      </c>
    </row>
    <row r="2853">
      <c r="A2853" s="6" t="n"/>
      <c r="B2853" s="6" t="n"/>
      <c r="C2853" s="6" t="n"/>
      <c r="D2853" s="6" t="n"/>
      <c r="E2853" s="6" t="n"/>
      <c r="F2853" s="7" t="n"/>
      <c r="G2853" s="7" t="n"/>
      <c r="H2853" s="8" t="n"/>
      <c r="I2853" s="9">
        <f>IF($A2853="","",SUMIFS(Ventes_Encaissements!$D$6:$D$3005,Ventes_Encaissements!$B$6:$B$3005,$A2853))</f>
        <v/>
      </c>
      <c r="J2853" s="9">
        <f>IF($A2853="","",$H2853-$I2853)</f>
        <v/>
      </c>
      <c r="K2853" s="10">
        <f>IF($A2853="","",IF($I2853=0,"",_xludf.AGGREGATE(14,6,Ventes_Encaissements!$C$6:$C$3005/(Ventes_Encaissements!$B$6:$B$3005=$A2853),1)))</f>
        <v/>
      </c>
      <c r="L2853" s="11">
        <f>IF($A2853="","",COUNTIFS(Ventes_Detail!$B$6:$B$3005,$A2853))</f>
        <v/>
      </c>
      <c r="M2853" s="12" t="n"/>
      <c r="N2853" s="12">
        <f>IF($A2853="","",IF($G2853="","",IF($M2853="Oui","Litige",IF($J2853&lt;=0,"Payé",IF($I2853&gt;0,"Partiel",IF(Listes!$B$3&gt;$G2853,"En retard","À échoir"))))))</f>
        <v/>
      </c>
      <c r="O2853" s="11">
        <f>IF($A2853="","",IF(OR($G2853="", $J2853&lt;=0),0,MAX(0,Listes!$B$3-$G2853)))</f>
        <v/>
      </c>
      <c r="P2853" s="12">
        <f>IF($A2853="","",IF($J2853&lt;=0,"Payé",IF($M2853="Oui","Litige",IF($O2853=0,"À échoir",IF($O2853&lt;=30,"0-30",IF($O2853&lt;=60,"31-60",IF($O2853&lt;=90,"61-90","90+")))))))</f>
        <v/>
      </c>
    </row>
    <row r="2854">
      <c r="A2854" s="6" t="n"/>
      <c r="B2854" s="6" t="n"/>
      <c r="C2854" s="6" t="n"/>
      <c r="D2854" s="6" t="n"/>
      <c r="E2854" s="6" t="n"/>
      <c r="F2854" s="7" t="n"/>
      <c r="G2854" s="7" t="n"/>
      <c r="H2854" s="8" t="n"/>
      <c r="I2854" s="9">
        <f>IF($A2854="","",SUMIFS(Ventes_Encaissements!$D$6:$D$3005,Ventes_Encaissements!$B$6:$B$3005,$A2854))</f>
        <v/>
      </c>
      <c r="J2854" s="9">
        <f>IF($A2854="","",$H2854-$I2854)</f>
        <v/>
      </c>
      <c r="K2854" s="10">
        <f>IF($A2854="","",IF($I2854=0,"",_xludf.AGGREGATE(14,6,Ventes_Encaissements!$C$6:$C$3005/(Ventes_Encaissements!$B$6:$B$3005=$A2854),1)))</f>
        <v/>
      </c>
      <c r="L2854" s="11">
        <f>IF($A2854="","",COUNTIFS(Ventes_Detail!$B$6:$B$3005,$A2854))</f>
        <v/>
      </c>
      <c r="M2854" s="12" t="n"/>
      <c r="N2854" s="12">
        <f>IF($A2854="","",IF($G2854="","",IF($M2854="Oui","Litige",IF($J2854&lt;=0,"Payé",IF($I2854&gt;0,"Partiel",IF(Listes!$B$3&gt;$G2854,"En retard","À échoir"))))))</f>
        <v/>
      </c>
      <c r="O2854" s="11">
        <f>IF($A2854="","",IF(OR($G2854="", $J2854&lt;=0),0,MAX(0,Listes!$B$3-$G2854)))</f>
        <v/>
      </c>
      <c r="P2854" s="12">
        <f>IF($A2854="","",IF($J2854&lt;=0,"Payé",IF($M2854="Oui","Litige",IF($O2854=0,"À échoir",IF($O2854&lt;=30,"0-30",IF($O2854&lt;=60,"31-60",IF($O2854&lt;=90,"61-90","90+")))))))</f>
        <v/>
      </c>
    </row>
    <row r="2855">
      <c r="A2855" s="6" t="n"/>
      <c r="B2855" s="6" t="n"/>
      <c r="C2855" s="6" t="n"/>
      <c r="D2855" s="6" t="n"/>
      <c r="E2855" s="6" t="n"/>
      <c r="F2855" s="7" t="n"/>
      <c r="G2855" s="7" t="n"/>
      <c r="H2855" s="8" t="n"/>
      <c r="I2855" s="9">
        <f>IF($A2855="","",SUMIFS(Ventes_Encaissements!$D$6:$D$3005,Ventes_Encaissements!$B$6:$B$3005,$A2855))</f>
        <v/>
      </c>
      <c r="J2855" s="9">
        <f>IF($A2855="","",$H2855-$I2855)</f>
        <v/>
      </c>
      <c r="K2855" s="10">
        <f>IF($A2855="","",IF($I2855=0,"",_xludf.AGGREGATE(14,6,Ventes_Encaissements!$C$6:$C$3005/(Ventes_Encaissements!$B$6:$B$3005=$A2855),1)))</f>
        <v/>
      </c>
      <c r="L2855" s="11">
        <f>IF($A2855="","",COUNTIFS(Ventes_Detail!$B$6:$B$3005,$A2855))</f>
        <v/>
      </c>
      <c r="M2855" s="12" t="n"/>
      <c r="N2855" s="12">
        <f>IF($A2855="","",IF($G2855="","",IF($M2855="Oui","Litige",IF($J2855&lt;=0,"Payé",IF($I2855&gt;0,"Partiel",IF(Listes!$B$3&gt;$G2855,"En retard","À échoir"))))))</f>
        <v/>
      </c>
      <c r="O2855" s="11">
        <f>IF($A2855="","",IF(OR($G2855="", $J2855&lt;=0),0,MAX(0,Listes!$B$3-$G2855)))</f>
        <v/>
      </c>
      <c r="P2855" s="12">
        <f>IF($A2855="","",IF($J2855&lt;=0,"Payé",IF($M2855="Oui","Litige",IF($O2855=0,"À échoir",IF($O2855&lt;=30,"0-30",IF($O2855&lt;=60,"31-60",IF($O2855&lt;=90,"61-90","90+")))))))</f>
        <v/>
      </c>
    </row>
    <row r="2856">
      <c r="A2856" s="6" t="n"/>
      <c r="B2856" s="6" t="n"/>
      <c r="C2856" s="6" t="n"/>
      <c r="D2856" s="6" t="n"/>
      <c r="E2856" s="6" t="n"/>
      <c r="F2856" s="7" t="n"/>
      <c r="G2856" s="7" t="n"/>
      <c r="H2856" s="8" t="n"/>
      <c r="I2856" s="9">
        <f>IF($A2856="","",SUMIFS(Ventes_Encaissements!$D$6:$D$3005,Ventes_Encaissements!$B$6:$B$3005,$A2856))</f>
        <v/>
      </c>
      <c r="J2856" s="9">
        <f>IF($A2856="","",$H2856-$I2856)</f>
        <v/>
      </c>
      <c r="K2856" s="10">
        <f>IF($A2856="","",IF($I2856=0,"",_xludf.AGGREGATE(14,6,Ventes_Encaissements!$C$6:$C$3005/(Ventes_Encaissements!$B$6:$B$3005=$A2856),1)))</f>
        <v/>
      </c>
      <c r="L2856" s="11">
        <f>IF($A2856="","",COUNTIFS(Ventes_Detail!$B$6:$B$3005,$A2856))</f>
        <v/>
      </c>
      <c r="M2856" s="12" t="n"/>
      <c r="N2856" s="12">
        <f>IF($A2856="","",IF($G2856="","",IF($M2856="Oui","Litige",IF($J2856&lt;=0,"Payé",IF($I2856&gt;0,"Partiel",IF(Listes!$B$3&gt;$G2856,"En retard","À échoir"))))))</f>
        <v/>
      </c>
      <c r="O2856" s="11">
        <f>IF($A2856="","",IF(OR($G2856="", $J2856&lt;=0),0,MAX(0,Listes!$B$3-$G2856)))</f>
        <v/>
      </c>
      <c r="P2856" s="12">
        <f>IF($A2856="","",IF($J2856&lt;=0,"Payé",IF($M2856="Oui","Litige",IF($O2856=0,"À échoir",IF($O2856&lt;=30,"0-30",IF($O2856&lt;=60,"31-60",IF($O2856&lt;=90,"61-90","90+")))))))</f>
        <v/>
      </c>
    </row>
    <row r="2857">
      <c r="A2857" s="6" t="n"/>
      <c r="B2857" s="6" t="n"/>
      <c r="C2857" s="6" t="n"/>
      <c r="D2857" s="6" t="n"/>
      <c r="E2857" s="6" t="n"/>
      <c r="F2857" s="7" t="n"/>
      <c r="G2857" s="7" t="n"/>
      <c r="H2857" s="8" t="n"/>
      <c r="I2857" s="9">
        <f>IF($A2857="","",SUMIFS(Ventes_Encaissements!$D$6:$D$3005,Ventes_Encaissements!$B$6:$B$3005,$A2857))</f>
        <v/>
      </c>
      <c r="J2857" s="9">
        <f>IF($A2857="","",$H2857-$I2857)</f>
        <v/>
      </c>
      <c r="K2857" s="10">
        <f>IF($A2857="","",IF($I2857=0,"",_xludf.AGGREGATE(14,6,Ventes_Encaissements!$C$6:$C$3005/(Ventes_Encaissements!$B$6:$B$3005=$A2857),1)))</f>
        <v/>
      </c>
      <c r="L2857" s="11">
        <f>IF($A2857="","",COUNTIFS(Ventes_Detail!$B$6:$B$3005,$A2857))</f>
        <v/>
      </c>
      <c r="M2857" s="12" t="n"/>
      <c r="N2857" s="12">
        <f>IF($A2857="","",IF($G2857="","",IF($M2857="Oui","Litige",IF($J2857&lt;=0,"Payé",IF($I2857&gt;0,"Partiel",IF(Listes!$B$3&gt;$G2857,"En retard","À échoir"))))))</f>
        <v/>
      </c>
      <c r="O2857" s="11">
        <f>IF($A2857="","",IF(OR($G2857="", $J2857&lt;=0),0,MAX(0,Listes!$B$3-$G2857)))</f>
        <v/>
      </c>
      <c r="P2857" s="12">
        <f>IF($A2857="","",IF($J2857&lt;=0,"Payé",IF($M2857="Oui","Litige",IF($O2857=0,"À échoir",IF($O2857&lt;=30,"0-30",IF($O2857&lt;=60,"31-60",IF($O2857&lt;=90,"61-90","90+")))))))</f>
        <v/>
      </c>
    </row>
    <row r="2858">
      <c r="A2858" s="6" t="n"/>
      <c r="B2858" s="6" t="n"/>
      <c r="C2858" s="6" t="n"/>
      <c r="D2858" s="6" t="n"/>
      <c r="E2858" s="6" t="n"/>
      <c r="F2858" s="7" t="n"/>
      <c r="G2858" s="7" t="n"/>
      <c r="H2858" s="8" t="n"/>
      <c r="I2858" s="9">
        <f>IF($A2858="","",SUMIFS(Ventes_Encaissements!$D$6:$D$3005,Ventes_Encaissements!$B$6:$B$3005,$A2858))</f>
        <v/>
      </c>
      <c r="J2858" s="9">
        <f>IF($A2858="","",$H2858-$I2858)</f>
        <v/>
      </c>
      <c r="K2858" s="10">
        <f>IF($A2858="","",IF($I2858=0,"",_xludf.AGGREGATE(14,6,Ventes_Encaissements!$C$6:$C$3005/(Ventes_Encaissements!$B$6:$B$3005=$A2858),1)))</f>
        <v/>
      </c>
      <c r="L2858" s="11">
        <f>IF($A2858="","",COUNTIFS(Ventes_Detail!$B$6:$B$3005,$A2858))</f>
        <v/>
      </c>
      <c r="M2858" s="12" t="n"/>
      <c r="N2858" s="12">
        <f>IF($A2858="","",IF($G2858="","",IF($M2858="Oui","Litige",IF($J2858&lt;=0,"Payé",IF($I2858&gt;0,"Partiel",IF(Listes!$B$3&gt;$G2858,"En retard","À échoir"))))))</f>
        <v/>
      </c>
      <c r="O2858" s="11">
        <f>IF($A2858="","",IF(OR($G2858="", $J2858&lt;=0),0,MAX(0,Listes!$B$3-$G2858)))</f>
        <v/>
      </c>
      <c r="P2858" s="12">
        <f>IF($A2858="","",IF($J2858&lt;=0,"Payé",IF($M2858="Oui","Litige",IF($O2858=0,"À échoir",IF($O2858&lt;=30,"0-30",IF($O2858&lt;=60,"31-60",IF($O2858&lt;=90,"61-90","90+")))))))</f>
        <v/>
      </c>
    </row>
    <row r="2859">
      <c r="A2859" s="6" t="n"/>
      <c r="B2859" s="6" t="n"/>
      <c r="C2859" s="6" t="n"/>
      <c r="D2859" s="6" t="n"/>
      <c r="E2859" s="6" t="n"/>
      <c r="F2859" s="7" t="n"/>
      <c r="G2859" s="7" t="n"/>
      <c r="H2859" s="8" t="n"/>
      <c r="I2859" s="9">
        <f>IF($A2859="","",SUMIFS(Ventes_Encaissements!$D$6:$D$3005,Ventes_Encaissements!$B$6:$B$3005,$A2859))</f>
        <v/>
      </c>
      <c r="J2859" s="9">
        <f>IF($A2859="","",$H2859-$I2859)</f>
        <v/>
      </c>
      <c r="K2859" s="10">
        <f>IF($A2859="","",IF($I2859=0,"",_xludf.AGGREGATE(14,6,Ventes_Encaissements!$C$6:$C$3005/(Ventes_Encaissements!$B$6:$B$3005=$A2859),1)))</f>
        <v/>
      </c>
      <c r="L2859" s="11">
        <f>IF($A2859="","",COUNTIFS(Ventes_Detail!$B$6:$B$3005,$A2859))</f>
        <v/>
      </c>
      <c r="M2859" s="12" t="n"/>
      <c r="N2859" s="12">
        <f>IF($A2859="","",IF($G2859="","",IF($M2859="Oui","Litige",IF($J2859&lt;=0,"Payé",IF($I2859&gt;0,"Partiel",IF(Listes!$B$3&gt;$G2859,"En retard","À échoir"))))))</f>
        <v/>
      </c>
      <c r="O2859" s="11">
        <f>IF($A2859="","",IF(OR($G2859="", $J2859&lt;=0),0,MAX(0,Listes!$B$3-$G2859)))</f>
        <v/>
      </c>
      <c r="P2859" s="12">
        <f>IF($A2859="","",IF($J2859&lt;=0,"Payé",IF($M2859="Oui","Litige",IF($O2859=0,"À échoir",IF($O2859&lt;=30,"0-30",IF($O2859&lt;=60,"31-60",IF($O2859&lt;=90,"61-90","90+")))))))</f>
        <v/>
      </c>
    </row>
    <row r="2860">
      <c r="A2860" s="6" t="n"/>
      <c r="B2860" s="6" t="n"/>
      <c r="C2860" s="6" t="n"/>
      <c r="D2860" s="6" t="n"/>
      <c r="E2860" s="6" t="n"/>
      <c r="F2860" s="7" t="n"/>
      <c r="G2860" s="7" t="n"/>
      <c r="H2860" s="8" t="n"/>
      <c r="I2860" s="9">
        <f>IF($A2860="","",SUMIFS(Ventes_Encaissements!$D$6:$D$3005,Ventes_Encaissements!$B$6:$B$3005,$A2860))</f>
        <v/>
      </c>
      <c r="J2860" s="9">
        <f>IF($A2860="","",$H2860-$I2860)</f>
        <v/>
      </c>
      <c r="K2860" s="10">
        <f>IF($A2860="","",IF($I2860=0,"",_xludf.AGGREGATE(14,6,Ventes_Encaissements!$C$6:$C$3005/(Ventes_Encaissements!$B$6:$B$3005=$A2860),1)))</f>
        <v/>
      </c>
      <c r="L2860" s="11">
        <f>IF($A2860="","",COUNTIFS(Ventes_Detail!$B$6:$B$3005,$A2860))</f>
        <v/>
      </c>
      <c r="M2860" s="12" t="n"/>
      <c r="N2860" s="12">
        <f>IF($A2860="","",IF($G2860="","",IF($M2860="Oui","Litige",IF($J2860&lt;=0,"Payé",IF($I2860&gt;0,"Partiel",IF(Listes!$B$3&gt;$G2860,"En retard","À échoir"))))))</f>
        <v/>
      </c>
      <c r="O2860" s="11">
        <f>IF($A2860="","",IF(OR($G2860="", $J2860&lt;=0),0,MAX(0,Listes!$B$3-$G2860)))</f>
        <v/>
      </c>
      <c r="P2860" s="12">
        <f>IF($A2860="","",IF($J2860&lt;=0,"Payé",IF($M2860="Oui","Litige",IF($O2860=0,"À échoir",IF($O2860&lt;=30,"0-30",IF($O2860&lt;=60,"31-60",IF($O2860&lt;=90,"61-90","90+")))))))</f>
        <v/>
      </c>
    </row>
    <row r="2861">
      <c r="A2861" s="6" t="n"/>
      <c r="B2861" s="6" t="n"/>
      <c r="C2861" s="6" t="n"/>
      <c r="D2861" s="6" t="n"/>
      <c r="E2861" s="6" t="n"/>
      <c r="F2861" s="7" t="n"/>
      <c r="G2861" s="7" t="n"/>
      <c r="H2861" s="8" t="n"/>
      <c r="I2861" s="9">
        <f>IF($A2861="","",SUMIFS(Ventes_Encaissements!$D$6:$D$3005,Ventes_Encaissements!$B$6:$B$3005,$A2861))</f>
        <v/>
      </c>
      <c r="J2861" s="9">
        <f>IF($A2861="","",$H2861-$I2861)</f>
        <v/>
      </c>
      <c r="K2861" s="10">
        <f>IF($A2861="","",IF($I2861=0,"",_xludf.AGGREGATE(14,6,Ventes_Encaissements!$C$6:$C$3005/(Ventes_Encaissements!$B$6:$B$3005=$A2861),1)))</f>
        <v/>
      </c>
      <c r="L2861" s="11">
        <f>IF($A2861="","",COUNTIFS(Ventes_Detail!$B$6:$B$3005,$A2861))</f>
        <v/>
      </c>
      <c r="M2861" s="12" t="n"/>
      <c r="N2861" s="12">
        <f>IF($A2861="","",IF($G2861="","",IF($M2861="Oui","Litige",IF($J2861&lt;=0,"Payé",IF($I2861&gt;0,"Partiel",IF(Listes!$B$3&gt;$G2861,"En retard","À échoir"))))))</f>
        <v/>
      </c>
      <c r="O2861" s="11">
        <f>IF($A2861="","",IF(OR($G2861="", $J2861&lt;=0),0,MAX(0,Listes!$B$3-$G2861)))</f>
        <v/>
      </c>
      <c r="P2861" s="12">
        <f>IF($A2861="","",IF($J2861&lt;=0,"Payé",IF($M2861="Oui","Litige",IF($O2861=0,"À échoir",IF($O2861&lt;=30,"0-30",IF($O2861&lt;=60,"31-60",IF($O2861&lt;=90,"61-90","90+")))))))</f>
        <v/>
      </c>
    </row>
    <row r="2862">
      <c r="A2862" s="6" t="n"/>
      <c r="B2862" s="6" t="n"/>
      <c r="C2862" s="6" t="n"/>
      <c r="D2862" s="6" t="n"/>
      <c r="E2862" s="6" t="n"/>
      <c r="F2862" s="7" t="n"/>
      <c r="G2862" s="7" t="n"/>
      <c r="H2862" s="8" t="n"/>
      <c r="I2862" s="9">
        <f>IF($A2862="","",SUMIFS(Ventes_Encaissements!$D$6:$D$3005,Ventes_Encaissements!$B$6:$B$3005,$A2862))</f>
        <v/>
      </c>
      <c r="J2862" s="9">
        <f>IF($A2862="","",$H2862-$I2862)</f>
        <v/>
      </c>
      <c r="K2862" s="10">
        <f>IF($A2862="","",IF($I2862=0,"",_xludf.AGGREGATE(14,6,Ventes_Encaissements!$C$6:$C$3005/(Ventes_Encaissements!$B$6:$B$3005=$A2862),1)))</f>
        <v/>
      </c>
      <c r="L2862" s="11">
        <f>IF($A2862="","",COUNTIFS(Ventes_Detail!$B$6:$B$3005,$A2862))</f>
        <v/>
      </c>
      <c r="M2862" s="12" t="n"/>
      <c r="N2862" s="12">
        <f>IF($A2862="","",IF($G2862="","",IF($M2862="Oui","Litige",IF($J2862&lt;=0,"Payé",IF($I2862&gt;0,"Partiel",IF(Listes!$B$3&gt;$G2862,"En retard","À échoir"))))))</f>
        <v/>
      </c>
      <c r="O2862" s="11">
        <f>IF($A2862="","",IF(OR($G2862="", $J2862&lt;=0),0,MAX(0,Listes!$B$3-$G2862)))</f>
        <v/>
      </c>
      <c r="P2862" s="12">
        <f>IF($A2862="","",IF($J2862&lt;=0,"Payé",IF($M2862="Oui","Litige",IF($O2862=0,"À échoir",IF($O2862&lt;=30,"0-30",IF($O2862&lt;=60,"31-60",IF($O2862&lt;=90,"61-90","90+")))))))</f>
        <v/>
      </c>
    </row>
    <row r="2863">
      <c r="A2863" s="6" t="n"/>
      <c r="B2863" s="6" t="n"/>
      <c r="C2863" s="6" t="n"/>
      <c r="D2863" s="6" t="n"/>
      <c r="E2863" s="6" t="n"/>
      <c r="F2863" s="7" t="n"/>
      <c r="G2863" s="7" t="n"/>
      <c r="H2863" s="8" t="n"/>
      <c r="I2863" s="9">
        <f>IF($A2863="","",SUMIFS(Ventes_Encaissements!$D$6:$D$3005,Ventes_Encaissements!$B$6:$B$3005,$A2863))</f>
        <v/>
      </c>
      <c r="J2863" s="9">
        <f>IF($A2863="","",$H2863-$I2863)</f>
        <v/>
      </c>
      <c r="K2863" s="10">
        <f>IF($A2863="","",IF($I2863=0,"",_xludf.AGGREGATE(14,6,Ventes_Encaissements!$C$6:$C$3005/(Ventes_Encaissements!$B$6:$B$3005=$A2863),1)))</f>
        <v/>
      </c>
      <c r="L2863" s="11">
        <f>IF($A2863="","",COUNTIFS(Ventes_Detail!$B$6:$B$3005,$A2863))</f>
        <v/>
      </c>
      <c r="M2863" s="12" t="n"/>
      <c r="N2863" s="12">
        <f>IF($A2863="","",IF($G2863="","",IF($M2863="Oui","Litige",IF($J2863&lt;=0,"Payé",IF($I2863&gt;0,"Partiel",IF(Listes!$B$3&gt;$G2863,"En retard","À échoir"))))))</f>
        <v/>
      </c>
      <c r="O2863" s="11">
        <f>IF($A2863="","",IF(OR($G2863="", $J2863&lt;=0),0,MAX(0,Listes!$B$3-$G2863)))</f>
        <v/>
      </c>
      <c r="P2863" s="12">
        <f>IF($A2863="","",IF($J2863&lt;=0,"Payé",IF($M2863="Oui","Litige",IF($O2863=0,"À échoir",IF($O2863&lt;=30,"0-30",IF($O2863&lt;=60,"31-60",IF($O2863&lt;=90,"61-90","90+")))))))</f>
        <v/>
      </c>
    </row>
    <row r="2864">
      <c r="A2864" s="6" t="n"/>
      <c r="B2864" s="6" t="n"/>
      <c r="C2864" s="6" t="n"/>
      <c r="D2864" s="6" t="n"/>
      <c r="E2864" s="6" t="n"/>
      <c r="F2864" s="7" t="n"/>
      <c r="G2864" s="7" t="n"/>
      <c r="H2864" s="8" t="n"/>
      <c r="I2864" s="9">
        <f>IF($A2864="","",SUMIFS(Ventes_Encaissements!$D$6:$D$3005,Ventes_Encaissements!$B$6:$B$3005,$A2864))</f>
        <v/>
      </c>
      <c r="J2864" s="9">
        <f>IF($A2864="","",$H2864-$I2864)</f>
        <v/>
      </c>
      <c r="K2864" s="10">
        <f>IF($A2864="","",IF($I2864=0,"",_xludf.AGGREGATE(14,6,Ventes_Encaissements!$C$6:$C$3005/(Ventes_Encaissements!$B$6:$B$3005=$A2864),1)))</f>
        <v/>
      </c>
      <c r="L2864" s="11">
        <f>IF($A2864="","",COUNTIFS(Ventes_Detail!$B$6:$B$3005,$A2864))</f>
        <v/>
      </c>
      <c r="M2864" s="12" t="n"/>
      <c r="N2864" s="12">
        <f>IF($A2864="","",IF($G2864="","",IF($M2864="Oui","Litige",IF($J2864&lt;=0,"Payé",IF($I2864&gt;0,"Partiel",IF(Listes!$B$3&gt;$G2864,"En retard","À échoir"))))))</f>
        <v/>
      </c>
      <c r="O2864" s="11">
        <f>IF($A2864="","",IF(OR($G2864="", $J2864&lt;=0),0,MAX(0,Listes!$B$3-$G2864)))</f>
        <v/>
      </c>
      <c r="P2864" s="12">
        <f>IF($A2864="","",IF($J2864&lt;=0,"Payé",IF($M2864="Oui","Litige",IF($O2864=0,"À échoir",IF($O2864&lt;=30,"0-30",IF($O2864&lt;=60,"31-60",IF($O2864&lt;=90,"61-90","90+")))))))</f>
        <v/>
      </c>
    </row>
    <row r="2865">
      <c r="A2865" s="6" t="n"/>
      <c r="B2865" s="6" t="n"/>
      <c r="C2865" s="6" t="n"/>
      <c r="D2865" s="6" t="n"/>
      <c r="E2865" s="6" t="n"/>
      <c r="F2865" s="7" t="n"/>
      <c r="G2865" s="7" t="n"/>
      <c r="H2865" s="8" t="n"/>
      <c r="I2865" s="9">
        <f>IF($A2865="","",SUMIFS(Ventes_Encaissements!$D$6:$D$3005,Ventes_Encaissements!$B$6:$B$3005,$A2865))</f>
        <v/>
      </c>
      <c r="J2865" s="9">
        <f>IF($A2865="","",$H2865-$I2865)</f>
        <v/>
      </c>
      <c r="K2865" s="10">
        <f>IF($A2865="","",IF($I2865=0,"",_xludf.AGGREGATE(14,6,Ventes_Encaissements!$C$6:$C$3005/(Ventes_Encaissements!$B$6:$B$3005=$A2865),1)))</f>
        <v/>
      </c>
      <c r="L2865" s="11">
        <f>IF($A2865="","",COUNTIFS(Ventes_Detail!$B$6:$B$3005,$A2865))</f>
        <v/>
      </c>
      <c r="M2865" s="12" t="n"/>
      <c r="N2865" s="12">
        <f>IF($A2865="","",IF($G2865="","",IF($M2865="Oui","Litige",IF($J2865&lt;=0,"Payé",IF($I2865&gt;0,"Partiel",IF(Listes!$B$3&gt;$G2865,"En retard","À échoir"))))))</f>
        <v/>
      </c>
      <c r="O2865" s="11">
        <f>IF($A2865="","",IF(OR($G2865="", $J2865&lt;=0),0,MAX(0,Listes!$B$3-$G2865)))</f>
        <v/>
      </c>
      <c r="P2865" s="12">
        <f>IF($A2865="","",IF($J2865&lt;=0,"Payé",IF($M2865="Oui","Litige",IF($O2865=0,"À échoir",IF($O2865&lt;=30,"0-30",IF($O2865&lt;=60,"31-60",IF($O2865&lt;=90,"61-90","90+")))))))</f>
        <v/>
      </c>
    </row>
    <row r="2866">
      <c r="A2866" s="6" t="n"/>
      <c r="B2866" s="6" t="n"/>
      <c r="C2866" s="6" t="n"/>
      <c r="D2866" s="6" t="n"/>
      <c r="E2866" s="6" t="n"/>
      <c r="F2866" s="7" t="n"/>
      <c r="G2866" s="7" t="n"/>
      <c r="H2866" s="8" t="n"/>
      <c r="I2866" s="9">
        <f>IF($A2866="","",SUMIFS(Ventes_Encaissements!$D$6:$D$3005,Ventes_Encaissements!$B$6:$B$3005,$A2866))</f>
        <v/>
      </c>
      <c r="J2866" s="9">
        <f>IF($A2866="","",$H2866-$I2866)</f>
        <v/>
      </c>
      <c r="K2866" s="10">
        <f>IF($A2866="","",IF($I2866=0,"",_xludf.AGGREGATE(14,6,Ventes_Encaissements!$C$6:$C$3005/(Ventes_Encaissements!$B$6:$B$3005=$A2866),1)))</f>
        <v/>
      </c>
      <c r="L2866" s="11">
        <f>IF($A2866="","",COUNTIFS(Ventes_Detail!$B$6:$B$3005,$A2866))</f>
        <v/>
      </c>
      <c r="M2866" s="12" t="n"/>
      <c r="N2866" s="12">
        <f>IF($A2866="","",IF($G2866="","",IF($M2866="Oui","Litige",IF($J2866&lt;=0,"Payé",IF($I2866&gt;0,"Partiel",IF(Listes!$B$3&gt;$G2866,"En retard","À échoir"))))))</f>
        <v/>
      </c>
      <c r="O2866" s="11">
        <f>IF($A2866="","",IF(OR($G2866="", $J2866&lt;=0),0,MAX(0,Listes!$B$3-$G2866)))</f>
        <v/>
      </c>
      <c r="P2866" s="12">
        <f>IF($A2866="","",IF($J2866&lt;=0,"Payé",IF($M2866="Oui","Litige",IF($O2866=0,"À échoir",IF($O2866&lt;=30,"0-30",IF($O2866&lt;=60,"31-60",IF($O2866&lt;=90,"61-90","90+")))))))</f>
        <v/>
      </c>
    </row>
    <row r="2867">
      <c r="A2867" s="6" t="n"/>
      <c r="B2867" s="6" t="n"/>
      <c r="C2867" s="6" t="n"/>
      <c r="D2867" s="6" t="n"/>
      <c r="E2867" s="6" t="n"/>
      <c r="F2867" s="7" t="n"/>
      <c r="G2867" s="7" t="n"/>
      <c r="H2867" s="8" t="n"/>
      <c r="I2867" s="9">
        <f>IF($A2867="","",SUMIFS(Ventes_Encaissements!$D$6:$D$3005,Ventes_Encaissements!$B$6:$B$3005,$A2867))</f>
        <v/>
      </c>
      <c r="J2867" s="9">
        <f>IF($A2867="","",$H2867-$I2867)</f>
        <v/>
      </c>
      <c r="K2867" s="10">
        <f>IF($A2867="","",IF($I2867=0,"",_xludf.AGGREGATE(14,6,Ventes_Encaissements!$C$6:$C$3005/(Ventes_Encaissements!$B$6:$B$3005=$A2867),1)))</f>
        <v/>
      </c>
      <c r="L2867" s="11">
        <f>IF($A2867="","",COUNTIFS(Ventes_Detail!$B$6:$B$3005,$A2867))</f>
        <v/>
      </c>
      <c r="M2867" s="12" t="n"/>
      <c r="N2867" s="12">
        <f>IF($A2867="","",IF($G2867="","",IF($M2867="Oui","Litige",IF($J2867&lt;=0,"Payé",IF($I2867&gt;0,"Partiel",IF(Listes!$B$3&gt;$G2867,"En retard","À échoir"))))))</f>
        <v/>
      </c>
      <c r="O2867" s="11">
        <f>IF($A2867="","",IF(OR($G2867="", $J2867&lt;=0),0,MAX(0,Listes!$B$3-$G2867)))</f>
        <v/>
      </c>
      <c r="P2867" s="12">
        <f>IF($A2867="","",IF($J2867&lt;=0,"Payé",IF($M2867="Oui","Litige",IF($O2867=0,"À échoir",IF($O2867&lt;=30,"0-30",IF($O2867&lt;=60,"31-60",IF($O2867&lt;=90,"61-90","90+")))))))</f>
        <v/>
      </c>
    </row>
    <row r="2868">
      <c r="A2868" s="6" t="n"/>
      <c r="B2868" s="6" t="n"/>
      <c r="C2868" s="6" t="n"/>
      <c r="D2868" s="6" t="n"/>
      <c r="E2868" s="6" t="n"/>
      <c r="F2868" s="7" t="n"/>
      <c r="G2868" s="7" t="n"/>
      <c r="H2868" s="8" t="n"/>
      <c r="I2868" s="9">
        <f>IF($A2868="","",SUMIFS(Ventes_Encaissements!$D$6:$D$3005,Ventes_Encaissements!$B$6:$B$3005,$A2868))</f>
        <v/>
      </c>
      <c r="J2868" s="9">
        <f>IF($A2868="","",$H2868-$I2868)</f>
        <v/>
      </c>
      <c r="K2868" s="10">
        <f>IF($A2868="","",IF($I2868=0,"",_xludf.AGGREGATE(14,6,Ventes_Encaissements!$C$6:$C$3005/(Ventes_Encaissements!$B$6:$B$3005=$A2868),1)))</f>
        <v/>
      </c>
      <c r="L2868" s="11">
        <f>IF($A2868="","",COUNTIFS(Ventes_Detail!$B$6:$B$3005,$A2868))</f>
        <v/>
      </c>
      <c r="M2868" s="12" t="n"/>
      <c r="N2868" s="12">
        <f>IF($A2868="","",IF($G2868="","",IF($M2868="Oui","Litige",IF($J2868&lt;=0,"Payé",IF($I2868&gt;0,"Partiel",IF(Listes!$B$3&gt;$G2868,"En retard","À échoir"))))))</f>
        <v/>
      </c>
      <c r="O2868" s="11">
        <f>IF($A2868="","",IF(OR($G2868="", $J2868&lt;=0),0,MAX(0,Listes!$B$3-$G2868)))</f>
        <v/>
      </c>
      <c r="P2868" s="12">
        <f>IF($A2868="","",IF($J2868&lt;=0,"Payé",IF($M2868="Oui","Litige",IF($O2868=0,"À échoir",IF($O2868&lt;=30,"0-30",IF($O2868&lt;=60,"31-60",IF($O2868&lt;=90,"61-90","90+")))))))</f>
        <v/>
      </c>
    </row>
    <row r="2869">
      <c r="A2869" s="6" t="n"/>
      <c r="B2869" s="6" t="n"/>
      <c r="C2869" s="6" t="n"/>
      <c r="D2869" s="6" t="n"/>
      <c r="E2869" s="6" t="n"/>
      <c r="F2869" s="7" t="n"/>
      <c r="G2869" s="7" t="n"/>
      <c r="H2869" s="8" t="n"/>
      <c r="I2869" s="9">
        <f>IF($A2869="","",SUMIFS(Ventes_Encaissements!$D$6:$D$3005,Ventes_Encaissements!$B$6:$B$3005,$A2869))</f>
        <v/>
      </c>
      <c r="J2869" s="9">
        <f>IF($A2869="","",$H2869-$I2869)</f>
        <v/>
      </c>
      <c r="K2869" s="10">
        <f>IF($A2869="","",IF($I2869=0,"",_xludf.AGGREGATE(14,6,Ventes_Encaissements!$C$6:$C$3005/(Ventes_Encaissements!$B$6:$B$3005=$A2869),1)))</f>
        <v/>
      </c>
      <c r="L2869" s="11">
        <f>IF($A2869="","",COUNTIFS(Ventes_Detail!$B$6:$B$3005,$A2869))</f>
        <v/>
      </c>
      <c r="M2869" s="12" t="n"/>
      <c r="N2869" s="12">
        <f>IF($A2869="","",IF($G2869="","",IF($M2869="Oui","Litige",IF($J2869&lt;=0,"Payé",IF($I2869&gt;0,"Partiel",IF(Listes!$B$3&gt;$G2869,"En retard","À échoir"))))))</f>
        <v/>
      </c>
      <c r="O2869" s="11">
        <f>IF($A2869="","",IF(OR($G2869="", $J2869&lt;=0),0,MAX(0,Listes!$B$3-$G2869)))</f>
        <v/>
      </c>
      <c r="P2869" s="12">
        <f>IF($A2869="","",IF($J2869&lt;=0,"Payé",IF($M2869="Oui","Litige",IF($O2869=0,"À échoir",IF($O2869&lt;=30,"0-30",IF($O2869&lt;=60,"31-60",IF($O2869&lt;=90,"61-90","90+")))))))</f>
        <v/>
      </c>
    </row>
    <row r="2870">
      <c r="A2870" s="6" t="n"/>
      <c r="B2870" s="6" t="n"/>
      <c r="C2870" s="6" t="n"/>
      <c r="D2870" s="6" t="n"/>
      <c r="E2870" s="6" t="n"/>
      <c r="F2870" s="7" t="n"/>
      <c r="G2870" s="7" t="n"/>
      <c r="H2870" s="8" t="n"/>
      <c r="I2870" s="9">
        <f>IF($A2870="","",SUMIFS(Ventes_Encaissements!$D$6:$D$3005,Ventes_Encaissements!$B$6:$B$3005,$A2870))</f>
        <v/>
      </c>
      <c r="J2870" s="9">
        <f>IF($A2870="","",$H2870-$I2870)</f>
        <v/>
      </c>
      <c r="K2870" s="10">
        <f>IF($A2870="","",IF($I2870=0,"",_xludf.AGGREGATE(14,6,Ventes_Encaissements!$C$6:$C$3005/(Ventes_Encaissements!$B$6:$B$3005=$A2870),1)))</f>
        <v/>
      </c>
      <c r="L2870" s="11">
        <f>IF($A2870="","",COUNTIFS(Ventes_Detail!$B$6:$B$3005,$A2870))</f>
        <v/>
      </c>
      <c r="M2870" s="12" t="n"/>
      <c r="N2870" s="12">
        <f>IF($A2870="","",IF($G2870="","",IF($M2870="Oui","Litige",IF($J2870&lt;=0,"Payé",IF($I2870&gt;0,"Partiel",IF(Listes!$B$3&gt;$G2870,"En retard","À échoir"))))))</f>
        <v/>
      </c>
      <c r="O2870" s="11">
        <f>IF($A2870="","",IF(OR($G2870="", $J2870&lt;=0),0,MAX(0,Listes!$B$3-$G2870)))</f>
        <v/>
      </c>
      <c r="P2870" s="12">
        <f>IF($A2870="","",IF($J2870&lt;=0,"Payé",IF($M2870="Oui","Litige",IF($O2870=0,"À échoir",IF($O2870&lt;=30,"0-30",IF($O2870&lt;=60,"31-60",IF($O2870&lt;=90,"61-90","90+")))))))</f>
        <v/>
      </c>
    </row>
    <row r="2871">
      <c r="A2871" s="6" t="n"/>
      <c r="B2871" s="6" t="n"/>
      <c r="C2871" s="6" t="n"/>
      <c r="D2871" s="6" t="n"/>
      <c r="E2871" s="6" t="n"/>
      <c r="F2871" s="7" t="n"/>
      <c r="G2871" s="7" t="n"/>
      <c r="H2871" s="8" t="n"/>
      <c r="I2871" s="9">
        <f>IF($A2871="","",SUMIFS(Ventes_Encaissements!$D$6:$D$3005,Ventes_Encaissements!$B$6:$B$3005,$A2871))</f>
        <v/>
      </c>
      <c r="J2871" s="9">
        <f>IF($A2871="","",$H2871-$I2871)</f>
        <v/>
      </c>
      <c r="K2871" s="10">
        <f>IF($A2871="","",IF($I2871=0,"",_xludf.AGGREGATE(14,6,Ventes_Encaissements!$C$6:$C$3005/(Ventes_Encaissements!$B$6:$B$3005=$A2871),1)))</f>
        <v/>
      </c>
      <c r="L2871" s="11">
        <f>IF($A2871="","",COUNTIFS(Ventes_Detail!$B$6:$B$3005,$A2871))</f>
        <v/>
      </c>
      <c r="M2871" s="12" t="n"/>
      <c r="N2871" s="12">
        <f>IF($A2871="","",IF($G2871="","",IF($M2871="Oui","Litige",IF($J2871&lt;=0,"Payé",IF($I2871&gt;0,"Partiel",IF(Listes!$B$3&gt;$G2871,"En retard","À échoir"))))))</f>
        <v/>
      </c>
      <c r="O2871" s="11">
        <f>IF($A2871="","",IF(OR($G2871="", $J2871&lt;=0),0,MAX(0,Listes!$B$3-$G2871)))</f>
        <v/>
      </c>
      <c r="P2871" s="12">
        <f>IF($A2871="","",IF($J2871&lt;=0,"Payé",IF($M2871="Oui","Litige",IF($O2871=0,"À échoir",IF($O2871&lt;=30,"0-30",IF($O2871&lt;=60,"31-60",IF($O2871&lt;=90,"61-90","90+")))))))</f>
        <v/>
      </c>
    </row>
    <row r="2872">
      <c r="A2872" s="6" t="n"/>
      <c r="B2872" s="6" t="n"/>
      <c r="C2872" s="6" t="n"/>
      <c r="D2872" s="6" t="n"/>
      <c r="E2872" s="6" t="n"/>
      <c r="F2872" s="7" t="n"/>
      <c r="G2872" s="7" t="n"/>
      <c r="H2872" s="8" t="n"/>
      <c r="I2872" s="9">
        <f>IF($A2872="","",SUMIFS(Ventes_Encaissements!$D$6:$D$3005,Ventes_Encaissements!$B$6:$B$3005,$A2872))</f>
        <v/>
      </c>
      <c r="J2872" s="9">
        <f>IF($A2872="","",$H2872-$I2872)</f>
        <v/>
      </c>
      <c r="K2872" s="10">
        <f>IF($A2872="","",IF($I2872=0,"",_xludf.AGGREGATE(14,6,Ventes_Encaissements!$C$6:$C$3005/(Ventes_Encaissements!$B$6:$B$3005=$A2872),1)))</f>
        <v/>
      </c>
      <c r="L2872" s="11">
        <f>IF($A2872="","",COUNTIFS(Ventes_Detail!$B$6:$B$3005,$A2872))</f>
        <v/>
      </c>
      <c r="M2872" s="12" t="n"/>
      <c r="N2872" s="12">
        <f>IF($A2872="","",IF($G2872="","",IF($M2872="Oui","Litige",IF($J2872&lt;=0,"Payé",IF($I2872&gt;0,"Partiel",IF(Listes!$B$3&gt;$G2872,"En retard","À échoir"))))))</f>
        <v/>
      </c>
      <c r="O2872" s="11">
        <f>IF($A2872="","",IF(OR($G2872="", $J2872&lt;=0),0,MAX(0,Listes!$B$3-$G2872)))</f>
        <v/>
      </c>
      <c r="P2872" s="12">
        <f>IF($A2872="","",IF($J2872&lt;=0,"Payé",IF($M2872="Oui","Litige",IF($O2872=0,"À échoir",IF($O2872&lt;=30,"0-30",IF($O2872&lt;=60,"31-60",IF($O2872&lt;=90,"61-90","90+")))))))</f>
        <v/>
      </c>
    </row>
    <row r="2873">
      <c r="A2873" s="6" t="n"/>
      <c r="B2873" s="6" t="n"/>
      <c r="C2873" s="6" t="n"/>
      <c r="D2873" s="6" t="n"/>
      <c r="E2873" s="6" t="n"/>
      <c r="F2873" s="7" t="n"/>
      <c r="G2873" s="7" t="n"/>
      <c r="H2873" s="8" t="n"/>
      <c r="I2873" s="9">
        <f>IF($A2873="","",SUMIFS(Ventes_Encaissements!$D$6:$D$3005,Ventes_Encaissements!$B$6:$B$3005,$A2873))</f>
        <v/>
      </c>
      <c r="J2873" s="9">
        <f>IF($A2873="","",$H2873-$I2873)</f>
        <v/>
      </c>
      <c r="K2873" s="10">
        <f>IF($A2873="","",IF($I2873=0,"",_xludf.AGGREGATE(14,6,Ventes_Encaissements!$C$6:$C$3005/(Ventes_Encaissements!$B$6:$B$3005=$A2873),1)))</f>
        <v/>
      </c>
      <c r="L2873" s="11">
        <f>IF($A2873="","",COUNTIFS(Ventes_Detail!$B$6:$B$3005,$A2873))</f>
        <v/>
      </c>
      <c r="M2873" s="12" t="n"/>
      <c r="N2873" s="12">
        <f>IF($A2873="","",IF($G2873="","",IF($M2873="Oui","Litige",IF($J2873&lt;=0,"Payé",IF($I2873&gt;0,"Partiel",IF(Listes!$B$3&gt;$G2873,"En retard","À échoir"))))))</f>
        <v/>
      </c>
      <c r="O2873" s="11">
        <f>IF($A2873="","",IF(OR($G2873="", $J2873&lt;=0),0,MAX(0,Listes!$B$3-$G2873)))</f>
        <v/>
      </c>
      <c r="P2873" s="12">
        <f>IF($A2873="","",IF($J2873&lt;=0,"Payé",IF($M2873="Oui","Litige",IF($O2873=0,"À échoir",IF($O2873&lt;=30,"0-30",IF($O2873&lt;=60,"31-60",IF($O2873&lt;=90,"61-90","90+")))))))</f>
        <v/>
      </c>
    </row>
    <row r="2874">
      <c r="A2874" s="6" t="n"/>
      <c r="B2874" s="6" t="n"/>
      <c r="C2874" s="6" t="n"/>
      <c r="D2874" s="6" t="n"/>
      <c r="E2874" s="6" t="n"/>
      <c r="F2874" s="7" t="n"/>
      <c r="G2874" s="7" t="n"/>
      <c r="H2874" s="8" t="n"/>
      <c r="I2874" s="9">
        <f>IF($A2874="","",SUMIFS(Ventes_Encaissements!$D$6:$D$3005,Ventes_Encaissements!$B$6:$B$3005,$A2874))</f>
        <v/>
      </c>
      <c r="J2874" s="9">
        <f>IF($A2874="","",$H2874-$I2874)</f>
        <v/>
      </c>
      <c r="K2874" s="10">
        <f>IF($A2874="","",IF($I2874=0,"",_xludf.AGGREGATE(14,6,Ventes_Encaissements!$C$6:$C$3005/(Ventes_Encaissements!$B$6:$B$3005=$A2874),1)))</f>
        <v/>
      </c>
      <c r="L2874" s="11">
        <f>IF($A2874="","",COUNTIFS(Ventes_Detail!$B$6:$B$3005,$A2874))</f>
        <v/>
      </c>
      <c r="M2874" s="12" t="n"/>
      <c r="N2874" s="12">
        <f>IF($A2874="","",IF($G2874="","",IF($M2874="Oui","Litige",IF($J2874&lt;=0,"Payé",IF($I2874&gt;0,"Partiel",IF(Listes!$B$3&gt;$G2874,"En retard","À échoir"))))))</f>
        <v/>
      </c>
      <c r="O2874" s="11">
        <f>IF($A2874="","",IF(OR($G2874="", $J2874&lt;=0),0,MAX(0,Listes!$B$3-$G2874)))</f>
        <v/>
      </c>
      <c r="P2874" s="12">
        <f>IF($A2874="","",IF($J2874&lt;=0,"Payé",IF($M2874="Oui","Litige",IF($O2874=0,"À échoir",IF($O2874&lt;=30,"0-30",IF($O2874&lt;=60,"31-60",IF($O2874&lt;=90,"61-90","90+")))))))</f>
        <v/>
      </c>
    </row>
    <row r="2875">
      <c r="A2875" s="6" t="n"/>
      <c r="B2875" s="6" t="n"/>
      <c r="C2875" s="6" t="n"/>
      <c r="D2875" s="6" t="n"/>
      <c r="E2875" s="6" t="n"/>
      <c r="F2875" s="7" t="n"/>
      <c r="G2875" s="7" t="n"/>
      <c r="H2875" s="8" t="n"/>
      <c r="I2875" s="9">
        <f>IF($A2875="","",SUMIFS(Ventes_Encaissements!$D$6:$D$3005,Ventes_Encaissements!$B$6:$B$3005,$A2875))</f>
        <v/>
      </c>
      <c r="J2875" s="9">
        <f>IF($A2875="","",$H2875-$I2875)</f>
        <v/>
      </c>
      <c r="K2875" s="10">
        <f>IF($A2875="","",IF($I2875=0,"",_xludf.AGGREGATE(14,6,Ventes_Encaissements!$C$6:$C$3005/(Ventes_Encaissements!$B$6:$B$3005=$A2875),1)))</f>
        <v/>
      </c>
      <c r="L2875" s="11">
        <f>IF($A2875="","",COUNTIFS(Ventes_Detail!$B$6:$B$3005,$A2875))</f>
        <v/>
      </c>
      <c r="M2875" s="12" t="n"/>
      <c r="N2875" s="12">
        <f>IF($A2875="","",IF($G2875="","",IF($M2875="Oui","Litige",IF($J2875&lt;=0,"Payé",IF($I2875&gt;0,"Partiel",IF(Listes!$B$3&gt;$G2875,"En retard","À échoir"))))))</f>
        <v/>
      </c>
      <c r="O2875" s="11">
        <f>IF($A2875="","",IF(OR($G2875="", $J2875&lt;=0),0,MAX(0,Listes!$B$3-$G2875)))</f>
        <v/>
      </c>
      <c r="P2875" s="12">
        <f>IF($A2875="","",IF($J2875&lt;=0,"Payé",IF($M2875="Oui","Litige",IF($O2875=0,"À échoir",IF($O2875&lt;=30,"0-30",IF($O2875&lt;=60,"31-60",IF($O2875&lt;=90,"61-90","90+")))))))</f>
        <v/>
      </c>
    </row>
    <row r="2876">
      <c r="A2876" s="6" t="n"/>
      <c r="B2876" s="6" t="n"/>
      <c r="C2876" s="6" t="n"/>
      <c r="D2876" s="6" t="n"/>
      <c r="E2876" s="6" t="n"/>
      <c r="F2876" s="7" t="n"/>
      <c r="G2876" s="7" t="n"/>
      <c r="H2876" s="8" t="n"/>
      <c r="I2876" s="9">
        <f>IF($A2876="","",SUMIFS(Ventes_Encaissements!$D$6:$D$3005,Ventes_Encaissements!$B$6:$B$3005,$A2876))</f>
        <v/>
      </c>
      <c r="J2876" s="9">
        <f>IF($A2876="","",$H2876-$I2876)</f>
        <v/>
      </c>
      <c r="K2876" s="10">
        <f>IF($A2876="","",IF($I2876=0,"",_xludf.AGGREGATE(14,6,Ventes_Encaissements!$C$6:$C$3005/(Ventes_Encaissements!$B$6:$B$3005=$A2876),1)))</f>
        <v/>
      </c>
      <c r="L2876" s="11">
        <f>IF($A2876="","",COUNTIFS(Ventes_Detail!$B$6:$B$3005,$A2876))</f>
        <v/>
      </c>
      <c r="M2876" s="12" t="n"/>
      <c r="N2876" s="12">
        <f>IF($A2876="","",IF($G2876="","",IF($M2876="Oui","Litige",IF($J2876&lt;=0,"Payé",IF($I2876&gt;0,"Partiel",IF(Listes!$B$3&gt;$G2876,"En retard","À échoir"))))))</f>
        <v/>
      </c>
      <c r="O2876" s="11">
        <f>IF($A2876="","",IF(OR($G2876="", $J2876&lt;=0),0,MAX(0,Listes!$B$3-$G2876)))</f>
        <v/>
      </c>
      <c r="P2876" s="12">
        <f>IF($A2876="","",IF($J2876&lt;=0,"Payé",IF($M2876="Oui","Litige",IF($O2876=0,"À échoir",IF($O2876&lt;=30,"0-30",IF($O2876&lt;=60,"31-60",IF($O2876&lt;=90,"61-90","90+")))))))</f>
        <v/>
      </c>
    </row>
    <row r="2877">
      <c r="A2877" s="6" t="n"/>
      <c r="B2877" s="6" t="n"/>
      <c r="C2877" s="6" t="n"/>
      <c r="D2877" s="6" t="n"/>
      <c r="E2877" s="6" t="n"/>
      <c r="F2877" s="7" t="n"/>
      <c r="G2877" s="7" t="n"/>
      <c r="H2877" s="8" t="n"/>
      <c r="I2877" s="9">
        <f>IF($A2877="","",SUMIFS(Ventes_Encaissements!$D$6:$D$3005,Ventes_Encaissements!$B$6:$B$3005,$A2877))</f>
        <v/>
      </c>
      <c r="J2877" s="9">
        <f>IF($A2877="","",$H2877-$I2877)</f>
        <v/>
      </c>
      <c r="K2877" s="10">
        <f>IF($A2877="","",IF($I2877=0,"",_xludf.AGGREGATE(14,6,Ventes_Encaissements!$C$6:$C$3005/(Ventes_Encaissements!$B$6:$B$3005=$A2877),1)))</f>
        <v/>
      </c>
      <c r="L2877" s="11">
        <f>IF($A2877="","",COUNTIFS(Ventes_Detail!$B$6:$B$3005,$A2877))</f>
        <v/>
      </c>
      <c r="M2877" s="12" t="n"/>
      <c r="N2877" s="12">
        <f>IF($A2877="","",IF($G2877="","",IF($M2877="Oui","Litige",IF($J2877&lt;=0,"Payé",IF($I2877&gt;0,"Partiel",IF(Listes!$B$3&gt;$G2877,"En retard","À échoir"))))))</f>
        <v/>
      </c>
      <c r="O2877" s="11">
        <f>IF($A2877="","",IF(OR($G2877="", $J2877&lt;=0),0,MAX(0,Listes!$B$3-$G2877)))</f>
        <v/>
      </c>
      <c r="P2877" s="12">
        <f>IF($A2877="","",IF($J2877&lt;=0,"Payé",IF($M2877="Oui","Litige",IF($O2877=0,"À échoir",IF($O2877&lt;=30,"0-30",IF($O2877&lt;=60,"31-60",IF($O2877&lt;=90,"61-90","90+")))))))</f>
        <v/>
      </c>
    </row>
    <row r="2878">
      <c r="A2878" s="6" t="n"/>
      <c r="B2878" s="6" t="n"/>
      <c r="C2878" s="6" t="n"/>
      <c r="D2878" s="6" t="n"/>
      <c r="E2878" s="6" t="n"/>
      <c r="F2878" s="7" t="n"/>
      <c r="G2878" s="7" t="n"/>
      <c r="H2878" s="8" t="n"/>
      <c r="I2878" s="9">
        <f>IF($A2878="","",SUMIFS(Ventes_Encaissements!$D$6:$D$3005,Ventes_Encaissements!$B$6:$B$3005,$A2878))</f>
        <v/>
      </c>
      <c r="J2878" s="9">
        <f>IF($A2878="","",$H2878-$I2878)</f>
        <v/>
      </c>
      <c r="K2878" s="10">
        <f>IF($A2878="","",IF($I2878=0,"",_xludf.AGGREGATE(14,6,Ventes_Encaissements!$C$6:$C$3005/(Ventes_Encaissements!$B$6:$B$3005=$A2878),1)))</f>
        <v/>
      </c>
      <c r="L2878" s="11">
        <f>IF($A2878="","",COUNTIFS(Ventes_Detail!$B$6:$B$3005,$A2878))</f>
        <v/>
      </c>
      <c r="M2878" s="12" t="n"/>
      <c r="N2878" s="12">
        <f>IF($A2878="","",IF($G2878="","",IF($M2878="Oui","Litige",IF($J2878&lt;=0,"Payé",IF($I2878&gt;0,"Partiel",IF(Listes!$B$3&gt;$G2878,"En retard","À échoir"))))))</f>
        <v/>
      </c>
      <c r="O2878" s="11">
        <f>IF($A2878="","",IF(OR($G2878="", $J2878&lt;=0),0,MAX(0,Listes!$B$3-$G2878)))</f>
        <v/>
      </c>
      <c r="P2878" s="12">
        <f>IF($A2878="","",IF($J2878&lt;=0,"Payé",IF($M2878="Oui","Litige",IF($O2878=0,"À échoir",IF($O2878&lt;=30,"0-30",IF($O2878&lt;=60,"31-60",IF($O2878&lt;=90,"61-90","90+")))))))</f>
        <v/>
      </c>
    </row>
    <row r="2879">
      <c r="A2879" s="6" t="n"/>
      <c r="B2879" s="6" t="n"/>
      <c r="C2879" s="6" t="n"/>
      <c r="D2879" s="6" t="n"/>
      <c r="E2879" s="6" t="n"/>
      <c r="F2879" s="7" t="n"/>
      <c r="G2879" s="7" t="n"/>
      <c r="H2879" s="8" t="n"/>
      <c r="I2879" s="9">
        <f>IF($A2879="","",SUMIFS(Ventes_Encaissements!$D$6:$D$3005,Ventes_Encaissements!$B$6:$B$3005,$A2879))</f>
        <v/>
      </c>
      <c r="J2879" s="9">
        <f>IF($A2879="","",$H2879-$I2879)</f>
        <v/>
      </c>
      <c r="K2879" s="10">
        <f>IF($A2879="","",IF($I2879=0,"",_xludf.AGGREGATE(14,6,Ventes_Encaissements!$C$6:$C$3005/(Ventes_Encaissements!$B$6:$B$3005=$A2879),1)))</f>
        <v/>
      </c>
      <c r="L2879" s="11">
        <f>IF($A2879="","",COUNTIFS(Ventes_Detail!$B$6:$B$3005,$A2879))</f>
        <v/>
      </c>
      <c r="M2879" s="12" t="n"/>
      <c r="N2879" s="12">
        <f>IF($A2879="","",IF($G2879="","",IF($M2879="Oui","Litige",IF($J2879&lt;=0,"Payé",IF($I2879&gt;0,"Partiel",IF(Listes!$B$3&gt;$G2879,"En retard","À échoir"))))))</f>
        <v/>
      </c>
      <c r="O2879" s="11">
        <f>IF($A2879="","",IF(OR($G2879="", $J2879&lt;=0),0,MAX(0,Listes!$B$3-$G2879)))</f>
        <v/>
      </c>
      <c r="P2879" s="12">
        <f>IF($A2879="","",IF($J2879&lt;=0,"Payé",IF($M2879="Oui","Litige",IF($O2879=0,"À échoir",IF($O2879&lt;=30,"0-30",IF($O2879&lt;=60,"31-60",IF($O2879&lt;=90,"61-90","90+")))))))</f>
        <v/>
      </c>
    </row>
    <row r="2880">
      <c r="A2880" s="6" t="n"/>
      <c r="B2880" s="6" t="n"/>
      <c r="C2880" s="6" t="n"/>
      <c r="D2880" s="6" t="n"/>
      <c r="E2880" s="6" t="n"/>
      <c r="F2880" s="7" t="n"/>
      <c r="G2880" s="7" t="n"/>
      <c r="H2880" s="8" t="n"/>
      <c r="I2880" s="9">
        <f>IF($A2880="","",SUMIFS(Ventes_Encaissements!$D$6:$D$3005,Ventes_Encaissements!$B$6:$B$3005,$A2880))</f>
        <v/>
      </c>
      <c r="J2880" s="9">
        <f>IF($A2880="","",$H2880-$I2880)</f>
        <v/>
      </c>
      <c r="K2880" s="10">
        <f>IF($A2880="","",IF($I2880=0,"",_xludf.AGGREGATE(14,6,Ventes_Encaissements!$C$6:$C$3005/(Ventes_Encaissements!$B$6:$B$3005=$A2880),1)))</f>
        <v/>
      </c>
      <c r="L2880" s="11">
        <f>IF($A2880="","",COUNTIFS(Ventes_Detail!$B$6:$B$3005,$A2880))</f>
        <v/>
      </c>
      <c r="M2880" s="12" t="n"/>
      <c r="N2880" s="12">
        <f>IF($A2880="","",IF($G2880="","",IF($M2880="Oui","Litige",IF($J2880&lt;=0,"Payé",IF($I2880&gt;0,"Partiel",IF(Listes!$B$3&gt;$G2880,"En retard","À échoir"))))))</f>
        <v/>
      </c>
      <c r="O2880" s="11">
        <f>IF($A2880="","",IF(OR($G2880="", $J2880&lt;=0),0,MAX(0,Listes!$B$3-$G2880)))</f>
        <v/>
      </c>
      <c r="P2880" s="12">
        <f>IF($A2880="","",IF($J2880&lt;=0,"Payé",IF($M2880="Oui","Litige",IF($O2880=0,"À échoir",IF($O2880&lt;=30,"0-30",IF($O2880&lt;=60,"31-60",IF($O2880&lt;=90,"61-90","90+")))))))</f>
        <v/>
      </c>
    </row>
    <row r="2881">
      <c r="A2881" s="6" t="n"/>
      <c r="B2881" s="6" t="n"/>
      <c r="C2881" s="6" t="n"/>
      <c r="D2881" s="6" t="n"/>
      <c r="E2881" s="6" t="n"/>
      <c r="F2881" s="7" t="n"/>
      <c r="G2881" s="7" t="n"/>
      <c r="H2881" s="8" t="n"/>
      <c r="I2881" s="9">
        <f>IF($A2881="","",SUMIFS(Ventes_Encaissements!$D$6:$D$3005,Ventes_Encaissements!$B$6:$B$3005,$A2881))</f>
        <v/>
      </c>
      <c r="J2881" s="9">
        <f>IF($A2881="","",$H2881-$I2881)</f>
        <v/>
      </c>
      <c r="K2881" s="10">
        <f>IF($A2881="","",IF($I2881=0,"",_xludf.AGGREGATE(14,6,Ventes_Encaissements!$C$6:$C$3005/(Ventes_Encaissements!$B$6:$B$3005=$A2881),1)))</f>
        <v/>
      </c>
      <c r="L2881" s="11">
        <f>IF($A2881="","",COUNTIFS(Ventes_Detail!$B$6:$B$3005,$A2881))</f>
        <v/>
      </c>
      <c r="M2881" s="12" t="n"/>
      <c r="N2881" s="12">
        <f>IF($A2881="","",IF($G2881="","",IF($M2881="Oui","Litige",IF($J2881&lt;=0,"Payé",IF($I2881&gt;0,"Partiel",IF(Listes!$B$3&gt;$G2881,"En retard","À échoir"))))))</f>
        <v/>
      </c>
      <c r="O2881" s="11">
        <f>IF($A2881="","",IF(OR($G2881="", $J2881&lt;=0),0,MAX(0,Listes!$B$3-$G2881)))</f>
        <v/>
      </c>
      <c r="P2881" s="12">
        <f>IF($A2881="","",IF($J2881&lt;=0,"Payé",IF($M2881="Oui","Litige",IF($O2881=0,"À échoir",IF($O2881&lt;=30,"0-30",IF($O2881&lt;=60,"31-60",IF($O2881&lt;=90,"61-90","90+")))))))</f>
        <v/>
      </c>
    </row>
    <row r="2882">
      <c r="A2882" s="6" t="n"/>
      <c r="B2882" s="6" t="n"/>
      <c r="C2882" s="6" t="n"/>
      <c r="D2882" s="6" t="n"/>
      <c r="E2882" s="6" t="n"/>
      <c r="F2882" s="7" t="n"/>
      <c r="G2882" s="7" t="n"/>
      <c r="H2882" s="8" t="n"/>
      <c r="I2882" s="9">
        <f>IF($A2882="","",SUMIFS(Ventes_Encaissements!$D$6:$D$3005,Ventes_Encaissements!$B$6:$B$3005,$A2882))</f>
        <v/>
      </c>
      <c r="J2882" s="9">
        <f>IF($A2882="","",$H2882-$I2882)</f>
        <v/>
      </c>
      <c r="K2882" s="10">
        <f>IF($A2882="","",IF($I2882=0,"",_xludf.AGGREGATE(14,6,Ventes_Encaissements!$C$6:$C$3005/(Ventes_Encaissements!$B$6:$B$3005=$A2882),1)))</f>
        <v/>
      </c>
      <c r="L2882" s="11">
        <f>IF($A2882="","",COUNTIFS(Ventes_Detail!$B$6:$B$3005,$A2882))</f>
        <v/>
      </c>
      <c r="M2882" s="12" t="n"/>
      <c r="N2882" s="12">
        <f>IF($A2882="","",IF($G2882="","",IF($M2882="Oui","Litige",IF($J2882&lt;=0,"Payé",IF($I2882&gt;0,"Partiel",IF(Listes!$B$3&gt;$G2882,"En retard","À échoir"))))))</f>
        <v/>
      </c>
      <c r="O2882" s="11">
        <f>IF($A2882="","",IF(OR($G2882="", $J2882&lt;=0),0,MAX(0,Listes!$B$3-$G2882)))</f>
        <v/>
      </c>
      <c r="P2882" s="12">
        <f>IF($A2882="","",IF($J2882&lt;=0,"Payé",IF($M2882="Oui","Litige",IF($O2882=0,"À échoir",IF($O2882&lt;=30,"0-30",IF($O2882&lt;=60,"31-60",IF($O2882&lt;=90,"61-90","90+")))))))</f>
        <v/>
      </c>
    </row>
    <row r="2883">
      <c r="A2883" s="6" t="n"/>
      <c r="B2883" s="6" t="n"/>
      <c r="C2883" s="6" t="n"/>
      <c r="D2883" s="6" t="n"/>
      <c r="E2883" s="6" t="n"/>
      <c r="F2883" s="7" t="n"/>
      <c r="G2883" s="7" t="n"/>
      <c r="H2883" s="8" t="n"/>
      <c r="I2883" s="9">
        <f>IF($A2883="","",SUMIFS(Ventes_Encaissements!$D$6:$D$3005,Ventes_Encaissements!$B$6:$B$3005,$A2883))</f>
        <v/>
      </c>
      <c r="J2883" s="9">
        <f>IF($A2883="","",$H2883-$I2883)</f>
        <v/>
      </c>
      <c r="K2883" s="10">
        <f>IF($A2883="","",IF($I2883=0,"",_xludf.AGGREGATE(14,6,Ventes_Encaissements!$C$6:$C$3005/(Ventes_Encaissements!$B$6:$B$3005=$A2883),1)))</f>
        <v/>
      </c>
      <c r="L2883" s="11">
        <f>IF($A2883="","",COUNTIFS(Ventes_Detail!$B$6:$B$3005,$A2883))</f>
        <v/>
      </c>
      <c r="M2883" s="12" t="n"/>
      <c r="N2883" s="12">
        <f>IF($A2883="","",IF($G2883="","",IF($M2883="Oui","Litige",IF($J2883&lt;=0,"Payé",IF($I2883&gt;0,"Partiel",IF(Listes!$B$3&gt;$G2883,"En retard","À échoir"))))))</f>
        <v/>
      </c>
      <c r="O2883" s="11">
        <f>IF($A2883="","",IF(OR($G2883="", $J2883&lt;=0),0,MAX(0,Listes!$B$3-$G2883)))</f>
        <v/>
      </c>
      <c r="P2883" s="12">
        <f>IF($A2883="","",IF($J2883&lt;=0,"Payé",IF($M2883="Oui","Litige",IF($O2883=0,"À échoir",IF($O2883&lt;=30,"0-30",IF($O2883&lt;=60,"31-60",IF($O2883&lt;=90,"61-90","90+")))))))</f>
        <v/>
      </c>
    </row>
    <row r="2884">
      <c r="A2884" s="6" t="n"/>
      <c r="B2884" s="6" t="n"/>
      <c r="C2884" s="6" t="n"/>
      <c r="D2884" s="6" t="n"/>
      <c r="E2884" s="6" t="n"/>
      <c r="F2884" s="7" t="n"/>
      <c r="G2884" s="7" t="n"/>
      <c r="H2884" s="8" t="n"/>
      <c r="I2884" s="9">
        <f>IF($A2884="","",SUMIFS(Ventes_Encaissements!$D$6:$D$3005,Ventes_Encaissements!$B$6:$B$3005,$A2884))</f>
        <v/>
      </c>
      <c r="J2884" s="9">
        <f>IF($A2884="","",$H2884-$I2884)</f>
        <v/>
      </c>
      <c r="K2884" s="10">
        <f>IF($A2884="","",IF($I2884=0,"",_xludf.AGGREGATE(14,6,Ventes_Encaissements!$C$6:$C$3005/(Ventes_Encaissements!$B$6:$B$3005=$A2884),1)))</f>
        <v/>
      </c>
      <c r="L2884" s="11">
        <f>IF($A2884="","",COUNTIFS(Ventes_Detail!$B$6:$B$3005,$A2884))</f>
        <v/>
      </c>
      <c r="M2884" s="12" t="n"/>
      <c r="N2884" s="12">
        <f>IF($A2884="","",IF($G2884="","",IF($M2884="Oui","Litige",IF($J2884&lt;=0,"Payé",IF($I2884&gt;0,"Partiel",IF(Listes!$B$3&gt;$G2884,"En retard","À échoir"))))))</f>
        <v/>
      </c>
      <c r="O2884" s="11">
        <f>IF($A2884="","",IF(OR($G2884="", $J2884&lt;=0),0,MAX(0,Listes!$B$3-$G2884)))</f>
        <v/>
      </c>
      <c r="P2884" s="12">
        <f>IF($A2884="","",IF($J2884&lt;=0,"Payé",IF($M2884="Oui","Litige",IF($O2884=0,"À échoir",IF($O2884&lt;=30,"0-30",IF($O2884&lt;=60,"31-60",IF($O2884&lt;=90,"61-90","90+")))))))</f>
        <v/>
      </c>
    </row>
    <row r="2885">
      <c r="A2885" s="6" t="n"/>
      <c r="B2885" s="6" t="n"/>
      <c r="C2885" s="6" t="n"/>
      <c r="D2885" s="6" t="n"/>
      <c r="E2885" s="6" t="n"/>
      <c r="F2885" s="7" t="n"/>
      <c r="G2885" s="7" t="n"/>
      <c r="H2885" s="8" t="n"/>
      <c r="I2885" s="9">
        <f>IF($A2885="","",SUMIFS(Ventes_Encaissements!$D$6:$D$3005,Ventes_Encaissements!$B$6:$B$3005,$A2885))</f>
        <v/>
      </c>
      <c r="J2885" s="9">
        <f>IF($A2885="","",$H2885-$I2885)</f>
        <v/>
      </c>
      <c r="K2885" s="10">
        <f>IF($A2885="","",IF($I2885=0,"",_xludf.AGGREGATE(14,6,Ventes_Encaissements!$C$6:$C$3005/(Ventes_Encaissements!$B$6:$B$3005=$A2885),1)))</f>
        <v/>
      </c>
      <c r="L2885" s="11">
        <f>IF($A2885="","",COUNTIFS(Ventes_Detail!$B$6:$B$3005,$A2885))</f>
        <v/>
      </c>
      <c r="M2885" s="12" t="n"/>
      <c r="N2885" s="12">
        <f>IF($A2885="","",IF($G2885="","",IF($M2885="Oui","Litige",IF($J2885&lt;=0,"Payé",IF($I2885&gt;0,"Partiel",IF(Listes!$B$3&gt;$G2885,"En retard","À échoir"))))))</f>
        <v/>
      </c>
      <c r="O2885" s="11">
        <f>IF($A2885="","",IF(OR($G2885="", $J2885&lt;=0),0,MAX(0,Listes!$B$3-$G2885)))</f>
        <v/>
      </c>
      <c r="P2885" s="12">
        <f>IF($A2885="","",IF($J2885&lt;=0,"Payé",IF($M2885="Oui","Litige",IF($O2885=0,"À échoir",IF($O2885&lt;=30,"0-30",IF($O2885&lt;=60,"31-60",IF($O2885&lt;=90,"61-90","90+")))))))</f>
        <v/>
      </c>
    </row>
    <row r="2886">
      <c r="A2886" s="6" t="n"/>
      <c r="B2886" s="6" t="n"/>
      <c r="C2886" s="6" t="n"/>
      <c r="D2886" s="6" t="n"/>
      <c r="E2886" s="6" t="n"/>
      <c r="F2886" s="7" t="n"/>
      <c r="G2886" s="7" t="n"/>
      <c r="H2886" s="8" t="n"/>
      <c r="I2886" s="9">
        <f>IF($A2886="","",SUMIFS(Ventes_Encaissements!$D$6:$D$3005,Ventes_Encaissements!$B$6:$B$3005,$A2886))</f>
        <v/>
      </c>
      <c r="J2886" s="9">
        <f>IF($A2886="","",$H2886-$I2886)</f>
        <v/>
      </c>
      <c r="K2886" s="10">
        <f>IF($A2886="","",IF($I2886=0,"",_xludf.AGGREGATE(14,6,Ventes_Encaissements!$C$6:$C$3005/(Ventes_Encaissements!$B$6:$B$3005=$A2886),1)))</f>
        <v/>
      </c>
      <c r="L2886" s="11">
        <f>IF($A2886="","",COUNTIFS(Ventes_Detail!$B$6:$B$3005,$A2886))</f>
        <v/>
      </c>
      <c r="M2886" s="12" t="n"/>
      <c r="N2886" s="12">
        <f>IF($A2886="","",IF($G2886="","",IF($M2886="Oui","Litige",IF($J2886&lt;=0,"Payé",IF($I2886&gt;0,"Partiel",IF(Listes!$B$3&gt;$G2886,"En retard","À échoir"))))))</f>
        <v/>
      </c>
      <c r="O2886" s="11">
        <f>IF($A2886="","",IF(OR($G2886="", $J2886&lt;=0),0,MAX(0,Listes!$B$3-$G2886)))</f>
        <v/>
      </c>
      <c r="P2886" s="12">
        <f>IF($A2886="","",IF($J2886&lt;=0,"Payé",IF($M2886="Oui","Litige",IF($O2886=0,"À échoir",IF($O2886&lt;=30,"0-30",IF($O2886&lt;=60,"31-60",IF($O2886&lt;=90,"61-90","90+")))))))</f>
        <v/>
      </c>
    </row>
    <row r="2887">
      <c r="A2887" s="6" t="n"/>
      <c r="B2887" s="6" t="n"/>
      <c r="C2887" s="6" t="n"/>
      <c r="D2887" s="6" t="n"/>
      <c r="E2887" s="6" t="n"/>
      <c r="F2887" s="7" t="n"/>
      <c r="G2887" s="7" t="n"/>
      <c r="H2887" s="8" t="n"/>
      <c r="I2887" s="9">
        <f>IF($A2887="","",SUMIFS(Ventes_Encaissements!$D$6:$D$3005,Ventes_Encaissements!$B$6:$B$3005,$A2887))</f>
        <v/>
      </c>
      <c r="J2887" s="9">
        <f>IF($A2887="","",$H2887-$I2887)</f>
        <v/>
      </c>
      <c r="K2887" s="10">
        <f>IF($A2887="","",IF($I2887=0,"",_xludf.AGGREGATE(14,6,Ventes_Encaissements!$C$6:$C$3005/(Ventes_Encaissements!$B$6:$B$3005=$A2887),1)))</f>
        <v/>
      </c>
      <c r="L2887" s="11">
        <f>IF($A2887="","",COUNTIFS(Ventes_Detail!$B$6:$B$3005,$A2887))</f>
        <v/>
      </c>
      <c r="M2887" s="12" t="n"/>
      <c r="N2887" s="12">
        <f>IF($A2887="","",IF($G2887="","",IF($M2887="Oui","Litige",IF($J2887&lt;=0,"Payé",IF($I2887&gt;0,"Partiel",IF(Listes!$B$3&gt;$G2887,"En retard","À échoir"))))))</f>
        <v/>
      </c>
      <c r="O2887" s="11">
        <f>IF($A2887="","",IF(OR($G2887="", $J2887&lt;=0),0,MAX(0,Listes!$B$3-$G2887)))</f>
        <v/>
      </c>
      <c r="P2887" s="12">
        <f>IF($A2887="","",IF($J2887&lt;=0,"Payé",IF($M2887="Oui","Litige",IF($O2887=0,"À échoir",IF($O2887&lt;=30,"0-30",IF($O2887&lt;=60,"31-60",IF($O2887&lt;=90,"61-90","90+")))))))</f>
        <v/>
      </c>
    </row>
    <row r="2888">
      <c r="A2888" s="6" t="n"/>
      <c r="B2888" s="6" t="n"/>
      <c r="C2888" s="6" t="n"/>
      <c r="D2888" s="6" t="n"/>
      <c r="E2888" s="6" t="n"/>
      <c r="F2888" s="7" t="n"/>
      <c r="G2888" s="7" t="n"/>
      <c r="H2888" s="8" t="n"/>
      <c r="I2888" s="9">
        <f>IF($A2888="","",SUMIFS(Ventes_Encaissements!$D$6:$D$3005,Ventes_Encaissements!$B$6:$B$3005,$A2888))</f>
        <v/>
      </c>
      <c r="J2888" s="9">
        <f>IF($A2888="","",$H2888-$I2888)</f>
        <v/>
      </c>
      <c r="K2888" s="10">
        <f>IF($A2888="","",IF($I2888=0,"",_xludf.AGGREGATE(14,6,Ventes_Encaissements!$C$6:$C$3005/(Ventes_Encaissements!$B$6:$B$3005=$A2888),1)))</f>
        <v/>
      </c>
      <c r="L2888" s="11">
        <f>IF($A2888="","",COUNTIFS(Ventes_Detail!$B$6:$B$3005,$A2888))</f>
        <v/>
      </c>
      <c r="M2888" s="12" t="n"/>
      <c r="N2888" s="12">
        <f>IF($A2888="","",IF($G2888="","",IF($M2888="Oui","Litige",IF($J2888&lt;=0,"Payé",IF($I2888&gt;0,"Partiel",IF(Listes!$B$3&gt;$G2888,"En retard","À échoir"))))))</f>
        <v/>
      </c>
      <c r="O2888" s="11">
        <f>IF($A2888="","",IF(OR($G2888="", $J2888&lt;=0),0,MAX(0,Listes!$B$3-$G2888)))</f>
        <v/>
      </c>
      <c r="P2888" s="12">
        <f>IF($A2888="","",IF($J2888&lt;=0,"Payé",IF($M2888="Oui","Litige",IF($O2888=0,"À échoir",IF($O2888&lt;=30,"0-30",IF($O2888&lt;=60,"31-60",IF($O2888&lt;=90,"61-90","90+")))))))</f>
        <v/>
      </c>
    </row>
    <row r="2889">
      <c r="A2889" s="6" t="n"/>
      <c r="B2889" s="6" t="n"/>
      <c r="C2889" s="6" t="n"/>
      <c r="D2889" s="6" t="n"/>
      <c r="E2889" s="6" t="n"/>
      <c r="F2889" s="7" t="n"/>
      <c r="G2889" s="7" t="n"/>
      <c r="H2889" s="8" t="n"/>
      <c r="I2889" s="9">
        <f>IF($A2889="","",SUMIFS(Ventes_Encaissements!$D$6:$D$3005,Ventes_Encaissements!$B$6:$B$3005,$A2889))</f>
        <v/>
      </c>
      <c r="J2889" s="9">
        <f>IF($A2889="","",$H2889-$I2889)</f>
        <v/>
      </c>
      <c r="K2889" s="10">
        <f>IF($A2889="","",IF($I2889=0,"",_xludf.AGGREGATE(14,6,Ventes_Encaissements!$C$6:$C$3005/(Ventes_Encaissements!$B$6:$B$3005=$A2889),1)))</f>
        <v/>
      </c>
      <c r="L2889" s="11">
        <f>IF($A2889="","",COUNTIFS(Ventes_Detail!$B$6:$B$3005,$A2889))</f>
        <v/>
      </c>
      <c r="M2889" s="12" t="n"/>
      <c r="N2889" s="12">
        <f>IF($A2889="","",IF($G2889="","",IF($M2889="Oui","Litige",IF($J2889&lt;=0,"Payé",IF($I2889&gt;0,"Partiel",IF(Listes!$B$3&gt;$G2889,"En retard","À échoir"))))))</f>
        <v/>
      </c>
      <c r="O2889" s="11">
        <f>IF($A2889="","",IF(OR($G2889="", $J2889&lt;=0),0,MAX(0,Listes!$B$3-$G2889)))</f>
        <v/>
      </c>
      <c r="P2889" s="12">
        <f>IF($A2889="","",IF($J2889&lt;=0,"Payé",IF($M2889="Oui","Litige",IF($O2889=0,"À échoir",IF($O2889&lt;=30,"0-30",IF($O2889&lt;=60,"31-60",IF($O2889&lt;=90,"61-90","90+")))))))</f>
        <v/>
      </c>
    </row>
    <row r="2890">
      <c r="A2890" s="6" t="n"/>
      <c r="B2890" s="6" t="n"/>
      <c r="C2890" s="6" t="n"/>
      <c r="D2890" s="6" t="n"/>
      <c r="E2890" s="6" t="n"/>
      <c r="F2890" s="7" t="n"/>
      <c r="G2890" s="7" t="n"/>
      <c r="H2890" s="8" t="n"/>
      <c r="I2890" s="9">
        <f>IF($A2890="","",SUMIFS(Ventes_Encaissements!$D$6:$D$3005,Ventes_Encaissements!$B$6:$B$3005,$A2890))</f>
        <v/>
      </c>
      <c r="J2890" s="9">
        <f>IF($A2890="","",$H2890-$I2890)</f>
        <v/>
      </c>
      <c r="K2890" s="10">
        <f>IF($A2890="","",IF($I2890=0,"",_xludf.AGGREGATE(14,6,Ventes_Encaissements!$C$6:$C$3005/(Ventes_Encaissements!$B$6:$B$3005=$A2890),1)))</f>
        <v/>
      </c>
      <c r="L2890" s="11">
        <f>IF($A2890="","",COUNTIFS(Ventes_Detail!$B$6:$B$3005,$A2890))</f>
        <v/>
      </c>
      <c r="M2890" s="12" t="n"/>
      <c r="N2890" s="12">
        <f>IF($A2890="","",IF($G2890="","",IF($M2890="Oui","Litige",IF($J2890&lt;=0,"Payé",IF($I2890&gt;0,"Partiel",IF(Listes!$B$3&gt;$G2890,"En retard","À échoir"))))))</f>
        <v/>
      </c>
      <c r="O2890" s="11">
        <f>IF($A2890="","",IF(OR($G2890="", $J2890&lt;=0),0,MAX(0,Listes!$B$3-$G2890)))</f>
        <v/>
      </c>
      <c r="P2890" s="12">
        <f>IF($A2890="","",IF($J2890&lt;=0,"Payé",IF($M2890="Oui","Litige",IF($O2890=0,"À échoir",IF($O2890&lt;=30,"0-30",IF($O2890&lt;=60,"31-60",IF($O2890&lt;=90,"61-90","90+")))))))</f>
        <v/>
      </c>
    </row>
    <row r="2891">
      <c r="A2891" s="6" t="n"/>
      <c r="B2891" s="6" t="n"/>
      <c r="C2891" s="6" t="n"/>
      <c r="D2891" s="6" t="n"/>
      <c r="E2891" s="6" t="n"/>
      <c r="F2891" s="7" t="n"/>
      <c r="G2891" s="7" t="n"/>
      <c r="H2891" s="8" t="n"/>
      <c r="I2891" s="9">
        <f>IF($A2891="","",SUMIFS(Ventes_Encaissements!$D$6:$D$3005,Ventes_Encaissements!$B$6:$B$3005,$A2891))</f>
        <v/>
      </c>
      <c r="J2891" s="9">
        <f>IF($A2891="","",$H2891-$I2891)</f>
        <v/>
      </c>
      <c r="K2891" s="10">
        <f>IF($A2891="","",IF($I2891=0,"",_xludf.AGGREGATE(14,6,Ventes_Encaissements!$C$6:$C$3005/(Ventes_Encaissements!$B$6:$B$3005=$A2891),1)))</f>
        <v/>
      </c>
      <c r="L2891" s="11">
        <f>IF($A2891="","",COUNTIFS(Ventes_Detail!$B$6:$B$3005,$A2891))</f>
        <v/>
      </c>
      <c r="M2891" s="12" t="n"/>
      <c r="N2891" s="12">
        <f>IF($A2891="","",IF($G2891="","",IF($M2891="Oui","Litige",IF($J2891&lt;=0,"Payé",IF($I2891&gt;0,"Partiel",IF(Listes!$B$3&gt;$G2891,"En retard","À échoir"))))))</f>
        <v/>
      </c>
      <c r="O2891" s="11">
        <f>IF($A2891="","",IF(OR($G2891="", $J2891&lt;=0),0,MAX(0,Listes!$B$3-$G2891)))</f>
        <v/>
      </c>
      <c r="P2891" s="12">
        <f>IF($A2891="","",IF($J2891&lt;=0,"Payé",IF($M2891="Oui","Litige",IF($O2891=0,"À échoir",IF($O2891&lt;=30,"0-30",IF($O2891&lt;=60,"31-60",IF($O2891&lt;=90,"61-90","90+")))))))</f>
        <v/>
      </c>
    </row>
    <row r="2892">
      <c r="A2892" s="6" t="n"/>
      <c r="B2892" s="6" t="n"/>
      <c r="C2892" s="6" t="n"/>
      <c r="D2892" s="6" t="n"/>
      <c r="E2892" s="6" t="n"/>
      <c r="F2892" s="7" t="n"/>
      <c r="G2892" s="7" t="n"/>
      <c r="H2892" s="8" t="n"/>
      <c r="I2892" s="9">
        <f>IF($A2892="","",SUMIFS(Ventes_Encaissements!$D$6:$D$3005,Ventes_Encaissements!$B$6:$B$3005,$A2892))</f>
        <v/>
      </c>
      <c r="J2892" s="9">
        <f>IF($A2892="","",$H2892-$I2892)</f>
        <v/>
      </c>
      <c r="K2892" s="10">
        <f>IF($A2892="","",IF($I2892=0,"",_xludf.AGGREGATE(14,6,Ventes_Encaissements!$C$6:$C$3005/(Ventes_Encaissements!$B$6:$B$3005=$A2892),1)))</f>
        <v/>
      </c>
      <c r="L2892" s="11">
        <f>IF($A2892="","",COUNTIFS(Ventes_Detail!$B$6:$B$3005,$A2892))</f>
        <v/>
      </c>
      <c r="M2892" s="12" t="n"/>
      <c r="N2892" s="12">
        <f>IF($A2892="","",IF($G2892="","",IF($M2892="Oui","Litige",IF($J2892&lt;=0,"Payé",IF($I2892&gt;0,"Partiel",IF(Listes!$B$3&gt;$G2892,"En retard","À échoir"))))))</f>
        <v/>
      </c>
      <c r="O2892" s="11">
        <f>IF($A2892="","",IF(OR($G2892="", $J2892&lt;=0),0,MAX(0,Listes!$B$3-$G2892)))</f>
        <v/>
      </c>
      <c r="P2892" s="12">
        <f>IF($A2892="","",IF($J2892&lt;=0,"Payé",IF($M2892="Oui","Litige",IF($O2892=0,"À échoir",IF($O2892&lt;=30,"0-30",IF($O2892&lt;=60,"31-60",IF($O2892&lt;=90,"61-90","90+")))))))</f>
        <v/>
      </c>
    </row>
    <row r="2893">
      <c r="A2893" s="6" t="n"/>
      <c r="B2893" s="6" t="n"/>
      <c r="C2893" s="6" t="n"/>
      <c r="D2893" s="6" t="n"/>
      <c r="E2893" s="6" t="n"/>
      <c r="F2893" s="7" t="n"/>
      <c r="G2893" s="7" t="n"/>
      <c r="H2893" s="8" t="n"/>
      <c r="I2893" s="9">
        <f>IF($A2893="","",SUMIFS(Ventes_Encaissements!$D$6:$D$3005,Ventes_Encaissements!$B$6:$B$3005,$A2893))</f>
        <v/>
      </c>
      <c r="J2893" s="9">
        <f>IF($A2893="","",$H2893-$I2893)</f>
        <v/>
      </c>
      <c r="K2893" s="10">
        <f>IF($A2893="","",IF($I2893=0,"",_xludf.AGGREGATE(14,6,Ventes_Encaissements!$C$6:$C$3005/(Ventes_Encaissements!$B$6:$B$3005=$A2893),1)))</f>
        <v/>
      </c>
      <c r="L2893" s="11">
        <f>IF($A2893="","",COUNTIFS(Ventes_Detail!$B$6:$B$3005,$A2893))</f>
        <v/>
      </c>
      <c r="M2893" s="12" t="n"/>
      <c r="N2893" s="12">
        <f>IF($A2893="","",IF($G2893="","",IF($M2893="Oui","Litige",IF($J2893&lt;=0,"Payé",IF($I2893&gt;0,"Partiel",IF(Listes!$B$3&gt;$G2893,"En retard","À échoir"))))))</f>
        <v/>
      </c>
      <c r="O2893" s="11">
        <f>IF($A2893="","",IF(OR($G2893="", $J2893&lt;=0),0,MAX(0,Listes!$B$3-$G2893)))</f>
        <v/>
      </c>
      <c r="P2893" s="12">
        <f>IF($A2893="","",IF($J2893&lt;=0,"Payé",IF($M2893="Oui","Litige",IF($O2893=0,"À échoir",IF($O2893&lt;=30,"0-30",IF($O2893&lt;=60,"31-60",IF($O2893&lt;=90,"61-90","90+")))))))</f>
        <v/>
      </c>
    </row>
    <row r="2894">
      <c r="A2894" s="6" t="n"/>
      <c r="B2894" s="6" t="n"/>
      <c r="C2894" s="6" t="n"/>
      <c r="D2894" s="6" t="n"/>
      <c r="E2894" s="6" t="n"/>
      <c r="F2894" s="7" t="n"/>
      <c r="G2894" s="7" t="n"/>
      <c r="H2894" s="8" t="n"/>
      <c r="I2894" s="9">
        <f>IF($A2894="","",SUMIFS(Ventes_Encaissements!$D$6:$D$3005,Ventes_Encaissements!$B$6:$B$3005,$A2894))</f>
        <v/>
      </c>
      <c r="J2894" s="9">
        <f>IF($A2894="","",$H2894-$I2894)</f>
        <v/>
      </c>
      <c r="K2894" s="10">
        <f>IF($A2894="","",IF($I2894=0,"",_xludf.AGGREGATE(14,6,Ventes_Encaissements!$C$6:$C$3005/(Ventes_Encaissements!$B$6:$B$3005=$A2894),1)))</f>
        <v/>
      </c>
      <c r="L2894" s="11">
        <f>IF($A2894="","",COUNTIFS(Ventes_Detail!$B$6:$B$3005,$A2894))</f>
        <v/>
      </c>
      <c r="M2894" s="12" t="n"/>
      <c r="N2894" s="12">
        <f>IF($A2894="","",IF($G2894="","",IF($M2894="Oui","Litige",IF($J2894&lt;=0,"Payé",IF($I2894&gt;0,"Partiel",IF(Listes!$B$3&gt;$G2894,"En retard","À échoir"))))))</f>
        <v/>
      </c>
      <c r="O2894" s="11">
        <f>IF($A2894="","",IF(OR($G2894="", $J2894&lt;=0),0,MAX(0,Listes!$B$3-$G2894)))</f>
        <v/>
      </c>
      <c r="P2894" s="12">
        <f>IF($A2894="","",IF($J2894&lt;=0,"Payé",IF($M2894="Oui","Litige",IF($O2894=0,"À échoir",IF($O2894&lt;=30,"0-30",IF($O2894&lt;=60,"31-60",IF($O2894&lt;=90,"61-90","90+")))))))</f>
        <v/>
      </c>
    </row>
    <row r="2895">
      <c r="A2895" s="6" t="n"/>
      <c r="B2895" s="6" t="n"/>
      <c r="C2895" s="6" t="n"/>
      <c r="D2895" s="6" t="n"/>
      <c r="E2895" s="6" t="n"/>
      <c r="F2895" s="7" t="n"/>
      <c r="G2895" s="7" t="n"/>
      <c r="H2895" s="8" t="n"/>
      <c r="I2895" s="9">
        <f>IF($A2895="","",SUMIFS(Ventes_Encaissements!$D$6:$D$3005,Ventes_Encaissements!$B$6:$B$3005,$A2895))</f>
        <v/>
      </c>
      <c r="J2895" s="9">
        <f>IF($A2895="","",$H2895-$I2895)</f>
        <v/>
      </c>
      <c r="K2895" s="10">
        <f>IF($A2895="","",IF($I2895=0,"",_xludf.AGGREGATE(14,6,Ventes_Encaissements!$C$6:$C$3005/(Ventes_Encaissements!$B$6:$B$3005=$A2895),1)))</f>
        <v/>
      </c>
      <c r="L2895" s="11">
        <f>IF($A2895="","",COUNTIFS(Ventes_Detail!$B$6:$B$3005,$A2895))</f>
        <v/>
      </c>
      <c r="M2895" s="12" t="n"/>
      <c r="N2895" s="12">
        <f>IF($A2895="","",IF($G2895="","",IF($M2895="Oui","Litige",IF($J2895&lt;=0,"Payé",IF($I2895&gt;0,"Partiel",IF(Listes!$B$3&gt;$G2895,"En retard","À échoir"))))))</f>
        <v/>
      </c>
      <c r="O2895" s="11">
        <f>IF($A2895="","",IF(OR($G2895="", $J2895&lt;=0),0,MAX(0,Listes!$B$3-$G2895)))</f>
        <v/>
      </c>
      <c r="P2895" s="12">
        <f>IF($A2895="","",IF($J2895&lt;=0,"Payé",IF($M2895="Oui","Litige",IF($O2895=0,"À échoir",IF($O2895&lt;=30,"0-30",IF($O2895&lt;=60,"31-60",IF($O2895&lt;=90,"61-90","90+")))))))</f>
        <v/>
      </c>
    </row>
    <row r="2896">
      <c r="A2896" s="6" t="n"/>
      <c r="B2896" s="6" t="n"/>
      <c r="C2896" s="6" t="n"/>
      <c r="D2896" s="6" t="n"/>
      <c r="E2896" s="6" t="n"/>
      <c r="F2896" s="7" t="n"/>
      <c r="G2896" s="7" t="n"/>
      <c r="H2896" s="8" t="n"/>
      <c r="I2896" s="9">
        <f>IF($A2896="","",SUMIFS(Ventes_Encaissements!$D$6:$D$3005,Ventes_Encaissements!$B$6:$B$3005,$A2896))</f>
        <v/>
      </c>
      <c r="J2896" s="9">
        <f>IF($A2896="","",$H2896-$I2896)</f>
        <v/>
      </c>
      <c r="K2896" s="10">
        <f>IF($A2896="","",IF($I2896=0,"",_xludf.AGGREGATE(14,6,Ventes_Encaissements!$C$6:$C$3005/(Ventes_Encaissements!$B$6:$B$3005=$A2896),1)))</f>
        <v/>
      </c>
      <c r="L2896" s="11">
        <f>IF($A2896="","",COUNTIFS(Ventes_Detail!$B$6:$B$3005,$A2896))</f>
        <v/>
      </c>
      <c r="M2896" s="12" t="n"/>
      <c r="N2896" s="12">
        <f>IF($A2896="","",IF($G2896="","",IF($M2896="Oui","Litige",IF($J2896&lt;=0,"Payé",IF($I2896&gt;0,"Partiel",IF(Listes!$B$3&gt;$G2896,"En retard","À échoir"))))))</f>
        <v/>
      </c>
      <c r="O2896" s="11">
        <f>IF($A2896="","",IF(OR($G2896="", $J2896&lt;=0),0,MAX(0,Listes!$B$3-$G2896)))</f>
        <v/>
      </c>
      <c r="P2896" s="12">
        <f>IF($A2896="","",IF($J2896&lt;=0,"Payé",IF($M2896="Oui","Litige",IF($O2896=0,"À échoir",IF($O2896&lt;=30,"0-30",IF($O2896&lt;=60,"31-60",IF($O2896&lt;=90,"61-90","90+")))))))</f>
        <v/>
      </c>
    </row>
    <row r="2897">
      <c r="A2897" s="6" t="n"/>
      <c r="B2897" s="6" t="n"/>
      <c r="C2897" s="6" t="n"/>
      <c r="D2897" s="6" t="n"/>
      <c r="E2897" s="6" t="n"/>
      <c r="F2897" s="7" t="n"/>
      <c r="G2897" s="7" t="n"/>
      <c r="H2897" s="8" t="n"/>
      <c r="I2897" s="9">
        <f>IF($A2897="","",SUMIFS(Ventes_Encaissements!$D$6:$D$3005,Ventes_Encaissements!$B$6:$B$3005,$A2897))</f>
        <v/>
      </c>
      <c r="J2897" s="9">
        <f>IF($A2897="","",$H2897-$I2897)</f>
        <v/>
      </c>
      <c r="K2897" s="10">
        <f>IF($A2897="","",IF($I2897=0,"",_xludf.AGGREGATE(14,6,Ventes_Encaissements!$C$6:$C$3005/(Ventes_Encaissements!$B$6:$B$3005=$A2897),1)))</f>
        <v/>
      </c>
      <c r="L2897" s="11">
        <f>IF($A2897="","",COUNTIFS(Ventes_Detail!$B$6:$B$3005,$A2897))</f>
        <v/>
      </c>
      <c r="M2897" s="12" t="n"/>
      <c r="N2897" s="12">
        <f>IF($A2897="","",IF($G2897="","",IF($M2897="Oui","Litige",IF($J2897&lt;=0,"Payé",IF($I2897&gt;0,"Partiel",IF(Listes!$B$3&gt;$G2897,"En retard","À échoir"))))))</f>
        <v/>
      </c>
      <c r="O2897" s="11">
        <f>IF($A2897="","",IF(OR($G2897="", $J2897&lt;=0),0,MAX(0,Listes!$B$3-$G2897)))</f>
        <v/>
      </c>
      <c r="P2897" s="12">
        <f>IF($A2897="","",IF($J2897&lt;=0,"Payé",IF($M2897="Oui","Litige",IF($O2897=0,"À échoir",IF($O2897&lt;=30,"0-30",IF($O2897&lt;=60,"31-60",IF($O2897&lt;=90,"61-90","90+")))))))</f>
        <v/>
      </c>
    </row>
    <row r="2898">
      <c r="A2898" s="6" t="n"/>
      <c r="B2898" s="6" t="n"/>
      <c r="C2898" s="6" t="n"/>
      <c r="D2898" s="6" t="n"/>
      <c r="E2898" s="6" t="n"/>
      <c r="F2898" s="7" t="n"/>
      <c r="G2898" s="7" t="n"/>
      <c r="H2898" s="8" t="n"/>
      <c r="I2898" s="9">
        <f>IF($A2898="","",SUMIFS(Ventes_Encaissements!$D$6:$D$3005,Ventes_Encaissements!$B$6:$B$3005,$A2898))</f>
        <v/>
      </c>
      <c r="J2898" s="9">
        <f>IF($A2898="","",$H2898-$I2898)</f>
        <v/>
      </c>
      <c r="K2898" s="10">
        <f>IF($A2898="","",IF($I2898=0,"",_xludf.AGGREGATE(14,6,Ventes_Encaissements!$C$6:$C$3005/(Ventes_Encaissements!$B$6:$B$3005=$A2898),1)))</f>
        <v/>
      </c>
      <c r="L2898" s="11">
        <f>IF($A2898="","",COUNTIFS(Ventes_Detail!$B$6:$B$3005,$A2898))</f>
        <v/>
      </c>
      <c r="M2898" s="12" t="n"/>
      <c r="N2898" s="12">
        <f>IF($A2898="","",IF($G2898="","",IF($M2898="Oui","Litige",IF($J2898&lt;=0,"Payé",IF($I2898&gt;0,"Partiel",IF(Listes!$B$3&gt;$G2898,"En retard","À échoir"))))))</f>
        <v/>
      </c>
      <c r="O2898" s="11">
        <f>IF($A2898="","",IF(OR($G2898="", $J2898&lt;=0),0,MAX(0,Listes!$B$3-$G2898)))</f>
        <v/>
      </c>
      <c r="P2898" s="12">
        <f>IF($A2898="","",IF($J2898&lt;=0,"Payé",IF($M2898="Oui","Litige",IF($O2898=0,"À échoir",IF($O2898&lt;=30,"0-30",IF($O2898&lt;=60,"31-60",IF($O2898&lt;=90,"61-90","90+")))))))</f>
        <v/>
      </c>
    </row>
    <row r="2899">
      <c r="A2899" s="6" t="n"/>
      <c r="B2899" s="6" t="n"/>
      <c r="C2899" s="6" t="n"/>
      <c r="D2899" s="6" t="n"/>
      <c r="E2899" s="6" t="n"/>
      <c r="F2899" s="7" t="n"/>
      <c r="G2899" s="7" t="n"/>
      <c r="H2899" s="8" t="n"/>
      <c r="I2899" s="9">
        <f>IF($A2899="","",SUMIFS(Ventes_Encaissements!$D$6:$D$3005,Ventes_Encaissements!$B$6:$B$3005,$A2899))</f>
        <v/>
      </c>
      <c r="J2899" s="9">
        <f>IF($A2899="","",$H2899-$I2899)</f>
        <v/>
      </c>
      <c r="K2899" s="10">
        <f>IF($A2899="","",IF($I2899=0,"",_xludf.AGGREGATE(14,6,Ventes_Encaissements!$C$6:$C$3005/(Ventes_Encaissements!$B$6:$B$3005=$A2899),1)))</f>
        <v/>
      </c>
      <c r="L2899" s="11">
        <f>IF($A2899="","",COUNTIFS(Ventes_Detail!$B$6:$B$3005,$A2899))</f>
        <v/>
      </c>
      <c r="M2899" s="12" t="n"/>
      <c r="N2899" s="12">
        <f>IF($A2899="","",IF($G2899="","",IF($M2899="Oui","Litige",IF($J2899&lt;=0,"Payé",IF($I2899&gt;0,"Partiel",IF(Listes!$B$3&gt;$G2899,"En retard","À échoir"))))))</f>
        <v/>
      </c>
      <c r="O2899" s="11">
        <f>IF($A2899="","",IF(OR($G2899="", $J2899&lt;=0),0,MAX(0,Listes!$B$3-$G2899)))</f>
        <v/>
      </c>
      <c r="P2899" s="12">
        <f>IF($A2899="","",IF($J2899&lt;=0,"Payé",IF($M2899="Oui","Litige",IF($O2899=0,"À échoir",IF($O2899&lt;=30,"0-30",IF($O2899&lt;=60,"31-60",IF($O2899&lt;=90,"61-90","90+")))))))</f>
        <v/>
      </c>
    </row>
    <row r="2900">
      <c r="A2900" s="6" t="n"/>
      <c r="B2900" s="6" t="n"/>
      <c r="C2900" s="6" t="n"/>
      <c r="D2900" s="6" t="n"/>
      <c r="E2900" s="6" t="n"/>
      <c r="F2900" s="7" t="n"/>
      <c r="G2900" s="7" t="n"/>
      <c r="H2900" s="8" t="n"/>
      <c r="I2900" s="9">
        <f>IF($A2900="","",SUMIFS(Ventes_Encaissements!$D$6:$D$3005,Ventes_Encaissements!$B$6:$B$3005,$A2900))</f>
        <v/>
      </c>
      <c r="J2900" s="9">
        <f>IF($A2900="","",$H2900-$I2900)</f>
        <v/>
      </c>
      <c r="K2900" s="10">
        <f>IF($A2900="","",IF($I2900=0,"",_xludf.AGGREGATE(14,6,Ventes_Encaissements!$C$6:$C$3005/(Ventes_Encaissements!$B$6:$B$3005=$A2900),1)))</f>
        <v/>
      </c>
      <c r="L2900" s="11">
        <f>IF($A2900="","",COUNTIFS(Ventes_Detail!$B$6:$B$3005,$A2900))</f>
        <v/>
      </c>
      <c r="M2900" s="12" t="n"/>
      <c r="N2900" s="12">
        <f>IF($A2900="","",IF($G2900="","",IF($M2900="Oui","Litige",IF($J2900&lt;=0,"Payé",IF($I2900&gt;0,"Partiel",IF(Listes!$B$3&gt;$G2900,"En retard","À échoir"))))))</f>
        <v/>
      </c>
      <c r="O2900" s="11">
        <f>IF($A2900="","",IF(OR($G2900="", $J2900&lt;=0),0,MAX(0,Listes!$B$3-$G2900)))</f>
        <v/>
      </c>
      <c r="P2900" s="12">
        <f>IF($A2900="","",IF($J2900&lt;=0,"Payé",IF($M2900="Oui","Litige",IF($O2900=0,"À échoir",IF($O2900&lt;=30,"0-30",IF($O2900&lt;=60,"31-60",IF($O2900&lt;=90,"61-90","90+")))))))</f>
        <v/>
      </c>
    </row>
    <row r="2901">
      <c r="A2901" s="6" t="n"/>
      <c r="B2901" s="6" t="n"/>
      <c r="C2901" s="6" t="n"/>
      <c r="D2901" s="6" t="n"/>
      <c r="E2901" s="6" t="n"/>
      <c r="F2901" s="7" t="n"/>
      <c r="G2901" s="7" t="n"/>
      <c r="H2901" s="8" t="n"/>
      <c r="I2901" s="9">
        <f>IF($A2901="","",SUMIFS(Ventes_Encaissements!$D$6:$D$3005,Ventes_Encaissements!$B$6:$B$3005,$A2901))</f>
        <v/>
      </c>
      <c r="J2901" s="9">
        <f>IF($A2901="","",$H2901-$I2901)</f>
        <v/>
      </c>
      <c r="K2901" s="10">
        <f>IF($A2901="","",IF($I2901=0,"",_xludf.AGGREGATE(14,6,Ventes_Encaissements!$C$6:$C$3005/(Ventes_Encaissements!$B$6:$B$3005=$A2901),1)))</f>
        <v/>
      </c>
      <c r="L2901" s="11">
        <f>IF($A2901="","",COUNTIFS(Ventes_Detail!$B$6:$B$3005,$A2901))</f>
        <v/>
      </c>
      <c r="M2901" s="12" t="n"/>
      <c r="N2901" s="12">
        <f>IF($A2901="","",IF($G2901="","",IF($M2901="Oui","Litige",IF($J2901&lt;=0,"Payé",IF($I2901&gt;0,"Partiel",IF(Listes!$B$3&gt;$G2901,"En retard","À échoir"))))))</f>
        <v/>
      </c>
      <c r="O2901" s="11">
        <f>IF($A2901="","",IF(OR($G2901="", $J2901&lt;=0),0,MAX(0,Listes!$B$3-$G2901)))</f>
        <v/>
      </c>
      <c r="P2901" s="12">
        <f>IF($A2901="","",IF($J2901&lt;=0,"Payé",IF($M2901="Oui","Litige",IF($O2901=0,"À échoir",IF($O2901&lt;=30,"0-30",IF($O2901&lt;=60,"31-60",IF($O2901&lt;=90,"61-90","90+")))))))</f>
        <v/>
      </c>
    </row>
    <row r="2902">
      <c r="A2902" s="6" t="n"/>
      <c r="B2902" s="6" t="n"/>
      <c r="C2902" s="6" t="n"/>
      <c r="D2902" s="6" t="n"/>
      <c r="E2902" s="6" t="n"/>
      <c r="F2902" s="7" t="n"/>
      <c r="G2902" s="7" t="n"/>
      <c r="H2902" s="8" t="n"/>
      <c r="I2902" s="9">
        <f>IF($A2902="","",SUMIFS(Ventes_Encaissements!$D$6:$D$3005,Ventes_Encaissements!$B$6:$B$3005,$A2902))</f>
        <v/>
      </c>
      <c r="J2902" s="9">
        <f>IF($A2902="","",$H2902-$I2902)</f>
        <v/>
      </c>
      <c r="K2902" s="10">
        <f>IF($A2902="","",IF($I2902=0,"",_xludf.AGGREGATE(14,6,Ventes_Encaissements!$C$6:$C$3005/(Ventes_Encaissements!$B$6:$B$3005=$A2902),1)))</f>
        <v/>
      </c>
      <c r="L2902" s="11">
        <f>IF($A2902="","",COUNTIFS(Ventes_Detail!$B$6:$B$3005,$A2902))</f>
        <v/>
      </c>
      <c r="M2902" s="12" t="n"/>
      <c r="N2902" s="12">
        <f>IF($A2902="","",IF($G2902="","",IF($M2902="Oui","Litige",IF($J2902&lt;=0,"Payé",IF($I2902&gt;0,"Partiel",IF(Listes!$B$3&gt;$G2902,"En retard","À échoir"))))))</f>
        <v/>
      </c>
      <c r="O2902" s="11">
        <f>IF($A2902="","",IF(OR($G2902="", $J2902&lt;=0),0,MAX(0,Listes!$B$3-$G2902)))</f>
        <v/>
      </c>
      <c r="P2902" s="12">
        <f>IF($A2902="","",IF($J2902&lt;=0,"Payé",IF($M2902="Oui","Litige",IF($O2902=0,"À échoir",IF($O2902&lt;=30,"0-30",IF($O2902&lt;=60,"31-60",IF($O2902&lt;=90,"61-90","90+")))))))</f>
        <v/>
      </c>
    </row>
    <row r="2903">
      <c r="A2903" s="6" t="n"/>
      <c r="B2903" s="6" t="n"/>
      <c r="C2903" s="6" t="n"/>
      <c r="D2903" s="6" t="n"/>
      <c r="E2903" s="6" t="n"/>
      <c r="F2903" s="7" t="n"/>
      <c r="G2903" s="7" t="n"/>
      <c r="H2903" s="8" t="n"/>
      <c r="I2903" s="9">
        <f>IF($A2903="","",SUMIFS(Ventes_Encaissements!$D$6:$D$3005,Ventes_Encaissements!$B$6:$B$3005,$A2903))</f>
        <v/>
      </c>
      <c r="J2903" s="9">
        <f>IF($A2903="","",$H2903-$I2903)</f>
        <v/>
      </c>
      <c r="K2903" s="10">
        <f>IF($A2903="","",IF($I2903=0,"",_xludf.AGGREGATE(14,6,Ventes_Encaissements!$C$6:$C$3005/(Ventes_Encaissements!$B$6:$B$3005=$A2903),1)))</f>
        <v/>
      </c>
      <c r="L2903" s="11">
        <f>IF($A2903="","",COUNTIFS(Ventes_Detail!$B$6:$B$3005,$A2903))</f>
        <v/>
      </c>
      <c r="M2903" s="12" t="n"/>
      <c r="N2903" s="12">
        <f>IF($A2903="","",IF($G2903="","",IF($M2903="Oui","Litige",IF($J2903&lt;=0,"Payé",IF($I2903&gt;0,"Partiel",IF(Listes!$B$3&gt;$G2903,"En retard","À échoir"))))))</f>
        <v/>
      </c>
      <c r="O2903" s="11">
        <f>IF($A2903="","",IF(OR($G2903="", $J2903&lt;=0),0,MAX(0,Listes!$B$3-$G2903)))</f>
        <v/>
      </c>
      <c r="P2903" s="12">
        <f>IF($A2903="","",IF($J2903&lt;=0,"Payé",IF($M2903="Oui","Litige",IF($O2903=0,"À échoir",IF($O2903&lt;=30,"0-30",IF($O2903&lt;=60,"31-60",IF($O2903&lt;=90,"61-90","90+")))))))</f>
        <v/>
      </c>
    </row>
    <row r="2904">
      <c r="A2904" s="6" t="n"/>
      <c r="B2904" s="6" t="n"/>
      <c r="C2904" s="6" t="n"/>
      <c r="D2904" s="6" t="n"/>
      <c r="E2904" s="6" t="n"/>
      <c r="F2904" s="7" t="n"/>
      <c r="G2904" s="7" t="n"/>
      <c r="H2904" s="8" t="n"/>
      <c r="I2904" s="9">
        <f>IF($A2904="","",SUMIFS(Ventes_Encaissements!$D$6:$D$3005,Ventes_Encaissements!$B$6:$B$3005,$A2904))</f>
        <v/>
      </c>
      <c r="J2904" s="9">
        <f>IF($A2904="","",$H2904-$I2904)</f>
        <v/>
      </c>
      <c r="K2904" s="10">
        <f>IF($A2904="","",IF($I2904=0,"",_xludf.AGGREGATE(14,6,Ventes_Encaissements!$C$6:$C$3005/(Ventes_Encaissements!$B$6:$B$3005=$A2904),1)))</f>
        <v/>
      </c>
      <c r="L2904" s="11">
        <f>IF($A2904="","",COUNTIFS(Ventes_Detail!$B$6:$B$3005,$A2904))</f>
        <v/>
      </c>
      <c r="M2904" s="12" t="n"/>
      <c r="N2904" s="12">
        <f>IF($A2904="","",IF($G2904="","",IF($M2904="Oui","Litige",IF($J2904&lt;=0,"Payé",IF($I2904&gt;0,"Partiel",IF(Listes!$B$3&gt;$G2904,"En retard","À échoir"))))))</f>
        <v/>
      </c>
      <c r="O2904" s="11">
        <f>IF($A2904="","",IF(OR($G2904="", $J2904&lt;=0),0,MAX(0,Listes!$B$3-$G2904)))</f>
        <v/>
      </c>
      <c r="P2904" s="12">
        <f>IF($A2904="","",IF($J2904&lt;=0,"Payé",IF($M2904="Oui","Litige",IF($O2904=0,"À échoir",IF($O2904&lt;=30,"0-30",IF($O2904&lt;=60,"31-60",IF($O2904&lt;=90,"61-90","90+")))))))</f>
        <v/>
      </c>
    </row>
    <row r="2905">
      <c r="A2905" s="6" t="n"/>
      <c r="B2905" s="6" t="n"/>
      <c r="C2905" s="6" t="n"/>
      <c r="D2905" s="6" t="n"/>
      <c r="E2905" s="6" t="n"/>
      <c r="F2905" s="7" t="n"/>
      <c r="G2905" s="7" t="n"/>
      <c r="H2905" s="8" t="n"/>
      <c r="I2905" s="9">
        <f>IF($A2905="","",SUMIFS(Ventes_Encaissements!$D$6:$D$3005,Ventes_Encaissements!$B$6:$B$3005,$A2905))</f>
        <v/>
      </c>
      <c r="J2905" s="9">
        <f>IF($A2905="","",$H2905-$I2905)</f>
        <v/>
      </c>
      <c r="K2905" s="10">
        <f>IF($A2905="","",IF($I2905=0,"",_xludf.AGGREGATE(14,6,Ventes_Encaissements!$C$6:$C$3005/(Ventes_Encaissements!$B$6:$B$3005=$A2905),1)))</f>
        <v/>
      </c>
      <c r="L2905" s="11">
        <f>IF($A2905="","",COUNTIFS(Ventes_Detail!$B$6:$B$3005,$A2905))</f>
        <v/>
      </c>
      <c r="M2905" s="12" t="n"/>
      <c r="N2905" s="12">
        <f>IF($A2905="","",IF($G2905="","",IF($M2905="Oui","Litige",IF($J2905&lt;=0,"Payé",IF($I2905&gt;0,"Partiel",IF(Listes!$B$3&gt;$G2905,"En retard","À échoir"))))))</f>
        <v/>
      </c>
      <c r="O2905" s="11">
        <f>IF($A2905="","",IF(OR($G2905="", $J2905&lt;=0),0,MAX(0,Listes!$B$3-$G2905)))</f>
        <v/>
      </c>
      <c r="P2905" s="12">
        <f>IF($A2905="","",IF($J2905&lt;=0,"Payé",IF($M2905="Oui","Litige",IF($O2905=0,"À échoir",IF($O2905&lt;=30,"0-30",IF($O2905&lt;=60,"31-60",IF($O2905&lt;=90,"61-90","90+")))))))</f>
        <v/>
      </c>
    </row>
    <row r="2906">
      <c r="A2906" s="6" t="n"/>
      <c r="B2906" s="6" t="n"/>
      <c r="C2906" s="6" t="n"/>
      <c r="D2906" s="6" t="n"/>
      <c r="E2906" s="6" t="n"/>
      <c r="F2906" s="7" t="n"/>
      <c r="G2906" s="7" t="n"/>
      <c r="H2906" s="8" t="n"/>
      <c r="I2906" s="9">
        <f>IF($A2906="","",SUMIFS(Ventes_Encaissements!$D$6:$D$3005,Ventes_Encaissements!$B$6:$B$3005,$A2906))</f>
        <v/>
      </c>
      <c r="J2906" s="9">
        <f>IF($A2906="","",$H2906-$I2906)</f>
        <v/>
      </c>
      <c r="K2906" s="10">
        <f>IF($A2906="","",IF($I2906=0,"",_xludf.AGGREGATE(14,6,Ventes_Encaissements!$C$6:$C$3005/(Ventes_Encaissements!$B$6:$B$3005=$A2906),1)))</f>
        <v/>
      </c>
      <c r="L2906" s="11">
        <f>IF($A2906="","",COUNTIFS(Ventes_Detail!$B$6:$B$3005,$A2906))</f>
        <v/>
      </c>
      <c r="M2906" s="12" t="n"/>
      <c r="N2906" s="12">
        <f>IF($A2906="","",IF($G2906="","",IF($M2906="Oui","Litige",IF($J2906&lt;=0,"Payé",IF($I2906&gt;0,"Partiel",IF(Listes!$B$3&gt;$G2906,"En retard","À échoir"))))))</f>
        <v/>
      </c>
      <c r="O2906" s="11">
        <f>IF($A2906="","",IF(OR($G2906="", $J2906&lt;=0),0,MAX(0,Listes!$B$3-$G2906)))</f>
        <v/>
      </c>
      <c r="P2906" s="12">
        <f>IF($A2906="","",IF($J2906&lt;=0,"Payé",IF($M2906="Oui","Litige",IF($O2906=0,"À échoir",IF($O2906&lt;=30,"0-30",IF($O2906&lt;=60,"31-60",IF($O2906&lt;=90,"61-90","90+")))))))</f>
        <v/>
      </c>
    </row>
    <row r="2907">
      <c r="A2907" s="6" t="n"/>
      <c r="B2907" s="6" t="n"/>
      <c r="C2907" s="6" t="n"/>
      <c r="D2907" s="6" t="n"/>
      <c r="E2907" s="6" t="n"/>
      <c r="F2907" s="7" t="n"/>
      <c r="G2907" s="7" t="n"/>
      <c r="H2907" s="8" t="n"/>
      <c r="I2907" s="9">
        <f>IF($A2907="","",SUMIFS(Ventes_Encaissements!$D$6:$D$3005,Ventes_Encaissements!$B$6:$B$3005,$A2907))</f>
        <v/>
      </c>
      <c r="J2907" s="9">
        <f>IF($A2907="","",$H2907-$I2907)</f>
        <v/>
      </c>
      <c r="K2907" s="10">
        <f>IF($A2907="","",IF($I2907=0,"",_xludf.AGGREGATE(14,6,Ventes_Encaissements!$C$6:$C$3005/(Ventes_Encaissements!$B$6:$B$3005=$A2907),1)))</f>
        <v/>
      </c>
      <c r="L2907" s="11">
        <f>IF($A2907="","",COUNTIFS(Ventes_Detail!$B$6:$B$3005,$A2907))</f>
        <v/>
      </c>
      <c r="M2907" s="12" t="n"/>
      <c r="N2907" s="12">
        <f>IF($A2907="","",IF($G2907="","",IF($M2907="Oui","Litige",IF($J2907&lt;=0,"Payé",IF($I2907&gt;0,"Partiel",IF(Listes!$B$3&gt;$G2907,"En retard","À échoir"))))))</f>
        <v/>
      </c>
      <c r="O2907" s="11">
        <f>IF($A2907="","",IF(OR($G2907="", $J2907&lt;=0),0,MAX(0,Listes!$B$3-$G2907)))</f>
        <v/>
      </c>
      <c r="P2907" s="12">
        <f>IF($A2907="","",IF($J2907&lt;=0,"Payé",IF($M2907="Oui","Litige",IF($O2907=0,"À échoir",IF($O2907&lt;=30,"0-30",IF($O2907&lt;=60,"31-60",IF($O2907&lt;=90,"61-90","90+")))))))</f>
        <v/>
      </c>
    </row>
    <row r="2908">
      <c r="A2908" s="6" t="n"/>
      <c r="B2908" s="6" t="n"/>
      <c r="C2908" s="6" t="n"/>
      <c r="D2908" s="6" t="n"/>
      <c r="E2908" s="6" t="n"/>
      <c r="F2908" s="7" t="n"/>
      <c r="G2908" s="7" t="n"/>
      <c r="H2908" s="8" t="n"/>
      <c r="I2908" s="9">
        <f>IF($A2908="","",SUMIFS(Ventes_Encaissements!$D$6:$D$3005,Ventes_Encaissements!$B$6:$B$3005,$A2908))</f>
        <v/>
      </c>
      <c r="J2908" s="9">
        <f>IF($A2908="","",$H2908-$I2908)</f>
        <v/>
      </c>
      <c r="K2908" s="10">
        <f>IF($A2908="","",IF($I2908=0,"",_xludf.AGGREGATE(14,6,Ventes_Encaissements!$C$6:$C$3005/(Ventes_Encaissements!$B$6:$B$3005=$A2908),1)))</f>
        <v/>
      </c>
      <c r="L2908" s="11">
        <f>IF($A2908="","",COUNTIFS(Ventes_Detail!$B$6:$B$3005,$A2908))</f>
        <v/>
      </c>
      <c r="M2908" s="12" t="n"/>
      <c r="N2908" s="12">
        <f>IF($A2908="","",IF($G2908="","",IF($M2908="Oui","Litige",IF($J2908&lt;=0,"Payé",IF($I2908&gt;0,"Partiel",IF(Listes!$B$3&gt;$G2908,"En retard","À échoir"))))))</f>
        <v/>
      </c>
      <c r="O2908" s="11">
        <f>IF($A2908="","",IF(OR($G2908="", $J2908&lt;=0),0,MAX(0,Listes!$B$3-$G2908)))</f>
        <v/>
      </c>
      <c r="P2908" s="12">
        <f>IF($A2908="","",IF($J2908&lt;=0,"Payé",IF($M2908="Oui","Litige",IF($O2908=0,"À échoir",IF($O2908&lt;=30,"0-30",IF($O2908&lt;=60,"31-60",IF($O2908&lt;=90,"61-90","90+")))))))</f>
        <v/>
      </c>
    </row>
    <row r="2909">
      <c r="A2909" s="6" t="n"/>
      <c r="B2909" s="6" t="n"/>
      <c r="C2909" s="6" t="n"/>
      <c r="D2909" s="6" t="n"/>
      <c r="E2909" s="6" t="n"/>
      <c r="F2909" s="7" t="n"/>
      <c r="G2909" s="7" t="n"/>
      <c r="H2909" s="8" t="n"/>
      <c r="I2909" s="9">
        <f>IF($A2909="","",SUMIFS(Ventes_Encaissements!$D$6:$D$3005,Ventes_Encaissements!$B$6:$B$3005,$A2909))</f>
        <v/>
      </c>
      <c r="J2909" s="9">
        <f>IF($A2909="","",$H2909-$I2909)</f>
        <v/>
      </c>
      <c r="K2909" s="10">
        <f>IF($A2909="","",IF($I2909=0,"",_xludf.AGGREGATE(14,6,Ventes_Encaissements!$C$6:$C$3005/(Ventes_Encaissements!$B$6:$B$3005=$A2909),1)))</f>
        <v/>
      </c>
      <c r="L2909" s="11">
        <f>IF($A2909="","",COUNTIFS(Ventes_Detail!$B$6:$B$3005,$A2909))</f>
        <v/>
      </c>
      <c r="M2909" s="12" t="n"/>
      <c r="N2909" s="12">
        <f>IF($A2909="","",IF($G2909="","",IF($M2909="Oui","Litige",IF($J2909&lt;=0,"Payé",IF($I2909&gt;0,"Partiel",IF(Listes!$B$3&gt;$G2909,"En retard","À échoir"))))))</f>
        <v/>
      </c>
      <c r="O2909" s="11">
        <f>IF($A2909="","",IF(OR($G2909="", $J2909&lt;=0),0,MAX(0,Listes!$B$3-$G2909)))</f>
        <v/>
      </c>
      <c r="P2909" s="12">
        <f>IF($A2909="","",IF($J2909&lt;=0,"Payé",IF($M2909="Oui","Litige",IF($O2909=0,"À échoir",IF($O2909&lt;=30,"0-30",IF($O2909&lt;=60,"31-60",IF($O2909&lt;=90,"61-90","90+")))))))</f>
        <v/>
      </c>
    </row>
    <row r="2910">
      <c r="A2910" s="6" t="n"/>
      <c r="B2910" s="6" t="n"/>
      <c r="C2910" s="6" t="n"/>
      <c r="D2910" s="6" t="n"/>
      <c r="E2910" s="6" t="n"/>
      <c r="F2910" s="7" t="n"/>
      <c r="G2910" s="7" t="n"/>
      <c r="H2910" s="8" t="n"/>
      <c r="I2910" s="9">
        <f>IF($A2910="","",SUMIFS(Ventes_Encaissements!$D$6:$D$3005,Ventes_Encaissements!$B$6:$B$3005,$A2910))</f>
        <v/>
      </c>
      <c r="J2910" s="9">
        <f>IF($A2910="","",$H2910-$I2910)</f>
        <v/>
      </c>
      <c r="K2910" s="10">
        <f>IF($A2910="","",IF($I2910=0,"",_xludf.AGGREGATE(14,6,Ventes_Encaissements!$C$6:$C$3005/(Ventes_Encaissements!$B$6:$B$3005=$A2910),1)))</f>
        <v/>
      </c>
      <c r="L2910" s="11">
        <f>IF($A2910="","",COUNTIFS(Ventes_Detail!$B$6:$B$3005,$A2910))</f>
        <v/>
      </c>
      <c r="M2910" s="12" t="n"/>
      <c r="N2910" s="12">
        <f>IF($A2910="","",IF($G2910="","",IF($M2910="Oui","Litige",IF($J2910&lt;=0,"Payé",IF($I2910&gt;0,"Partiel",IF(Listes!$B$3&gt;$G2910,"En retard","À échoir"))))))</f>
        <v/>
      </c>
      <c r="O2910" s="11">
        <f>IF($A2910="","",IF(OR($G2910="", $J2910&lt;=0),0,MAX(0,Listes!$B$3-$G2910)))</f>
        <v/>
      </c>
      <c r="P2910" s="12">
        <f>IF($A2910="","",IF($J2910&lt;=0,"Payé",IF($M2910="Oui","Litige",IF($O2910=0,"À échoir",IF($O2910&lt;=30,"0-30",IF($O2910&lt;=60,"31-60",IF($O2910&lt;=90,"61-90","90+")))))))</f>
        <v/>
      </c>
    </row>
    <row r="2911">
      <c r="A2911" s="6" t="n"/>
      <c r="B2911" s="6" t="n"/>
      <c r="C2911" s="6" t="n"/>
      <c r="D2911" s="6" t="n"/>
      <c r="E2911" s="6" t="n"/>
      <c r="F2911" s="7" t="n"/>
      <c r="G2911" s="7" t="n"/>
      <c r="H2911" s="8" t="n"/>
      <c r="I2911" s="9">
        <f>IF($A2911="","",SUMIFS(Ventes_Encaissements!$D$6:$D$3005,Ventes_Encaissements!$B$6:$B$3005,$A2911))</f>
        <v/>
      </c>
      <c r="J2911" s="9">
        <f>IF($A2911="","",$H2911-$I2911)</f>
        <v/>
      </c>
      <c r="K2911" s="10">
        <f>IF($A2911="","",IF($I2911=0,"",_xludf.AGGREGATE(14,6,Ventes_Encaissements!$C$6:$C$3005/(Ventes_Encaissements!$B$6:$B$3005=$A2911),1)))</f>
        <v/>
      </c>
      <c r="L2911" s="11">
        <f>IF($A2911="","",COUNTIFS(Ventes_Detail!$B$6:$B$3005,$A2911))</f>
        <v/>
      </c>
      <c r="M2911" s="12" t="n"/>
      <c r="N2911" s="12">
        <f>IF($A2911="","",IF($G2911="","",IF($M2911="Oui","Litige",IF($J2911&lt;=0,"Payé",IF($I2911&gt;0,"Partiel",IF(Listes!$B$3&gt;$G2911,"En retard","À échoir"))))))</f>
        <v/>
      </c>
      <c r="O2911" s="11">
        <f>IF($A2911="","",IF(OR($G2911="", $J2911&lt;=0),0,MAX(0,Listes!$B$3-$G2911)))</f>
        <v/>
      </c>
      <c r="P2911" s="12">
        <f>IF($A2911="","",IF($J2911&lt;=0,"Payé",IF($M2911="Oui","Litige",IF($O2911=0,"À échoir",IF($O2911&lt;=30,"0-30",IF($O2911&lt;=60,"31-60",IF($O2911&lt;=90,"61-90","90+")))))))</f>
        <v/>
      </c>
    </row>
    <row r="2912">
      <c r="A2912" s="6" t="n"/>
      <c r="B2912" s="6" t="n"/>
      <c r="C2912" s="6" t="n"/>
      <c r="D2912" s="6" t="n"/>
      <c r="E2912" s="6" t="n"/>
      <c r="F2912" s="7" t="n"/>
      <c r="G2912" s="7" t="n"/>
      <c r="H2912" s="8" t="n"/>
      <c r="I2912" s="9">
        <f>IF($A2912="","",SUMIFS(Ventes_Encaissements!$D$6:$D$3005,Ventes_Encaissements!$B$6:$B$3005,$A2912))</f>
        <v/>
      </c>
      <c r="J2912" s="9">
        <f>IF($A2912="","",$H2912-$I2912)</f>
        <v/>
      </c>
      <c r="K2912" s="10">
        <f>IF($A2912="","",IF($I2912=0,"",_xludf.AGGREGATE(14,6,Ventes_Encaissements!$C$6:$C$3005/(Ventes_Encaissements!$B$6:$B$3005=$A2912),1)))</f>
        <v/>
      </c>
      <c r="L2912" s="11">
        <f>IF($A2912="","",COUNTIFS(Ventes_Detail!$B$6:$B$3005,$A2912))</f>
        <v/>
      </c>
      <c r="M2912" s="12" t="n"/>
      <c r="N2912" s="12">
        <f>IF($A2912="","",IF($G2912="","",IF($M2912="Oui","Litige",IF($J2912&lt;=0,"Payé",IF($I2912&gt;0,"Partiel",IF(Listes!$B$3&gt;$G2912,"En retard","À échoir"))))))</f>
        <v/>
      </c>
      <c r="O2912" s="11">
        <f>IF($A2912="","",IF(OR($G2912="", $J2912&lt;=0),0,MAX(0,Listes!$B$3-$G2912)))</f>
        <v/>
      </c>
      <c r="P2912" s="12">
        <f>IF($A2912="","",IF($J2912&lt;=0,"Payé",IF($M2912="Oui","Litige",IF($O2912=0,"À échoir",IF($O2912&lt;=30,"0-30",IF($O2912&lt;=60,"31-60",IF($O2912&lt;=90,"61-90","90+")))))))</f>
        <v/>
      </c>
    </row>
    <row r="2913">
      <c r="A2913" s="6" t="n"/>
      <c r="B2913" s="6" t="n"/>
      <c r="C2913" s="6" t="n"/>
      <c r="D2913" s="6" t="n"/>
      <c r="E2913" s="6" t="n"/>
      <c r="F2913" s="7" t="n"/>
      <c r="G2913" s="7" t="n"/>
      <c r="H2913" s="8" t="n"/>
      <c r="I2913" s="9">
        <f>IF($A2913="","",SUMIFS(Ventes_Encaissements!$D$6:$D$3005,Ventes_Encaissements!$B$6:$B$3005,$A2913))</f>
        <v/>
      </c>
      <c r="J2913" s="9">
        <f>IF($A2913="","",$H2913-$I2913)</f>
        <v/>
      </c>
      <c r="K2913" s="10">
        <f>IF($A2913="","",IF($I2913=0,"",_xludf.AGGREGATE(14,6,Ventes_Encaissements!$C$6:$C$3005/(Ventes_Encaissements!$B$6:$B$3005=$A2913),1)))</f>
        <v/>
      </c>
      <c r="L2913" s="11">
        <f>IF($A2913="","",COUNTIFS(Ventes_Detail!$B$6:$B$3005,$A2913))</f>
        <v/>
      </c>
      <c r="M2913" s="12" t="n"/>
      <c r="N2913" s="12">
        <f>IF($A2913="","",IF($G2913="","",IF($M2913="Oui","Litige",IF($J2913&lt;=0,"Payé",IF($I2913&gt;0,"Partiel",IF(Listes!$B$3&gt;$G2913,"En retard","À échoir"))))))</f>
        <v/>
      </c>
      <c r="O2913" s="11">
        <f>IF($A2913="","",IF(OR($G2913="", $J2913&lt;=0),0,MAX(0,Listes!$B$3-$G2913)))</f>
        <v/>
      </c>
      <c r="P2913" s="12">
        <f>IF($A2913="","",IF($J2913&lt;=0,"Payé",IF($M2913="Oui","Litige",IF($O2913=0,"À échoir",IF($O2913&lt;=30,"0-30",IF($O2913&lt;=60,"31-60",IF($O2913&lt;=90,"61-90","90+")))))))</f>
        <v/>
      </c>
    </row>
    <row r="2914">
      <c r="A2914" s="6" t="n"/>
      <c r="B2914" s="6" t="n"/>
      <c r="C2914" s="6" t="n"/>
      <c r="D2914" s="6" t="n"/>
      <c r="E2914" s="6" t="n"/>
      <c r="F2914" s="7" t="n"/>
      <c r="G2914" s="7" t="n"/>
      <c r="H2914" s="8" t="n"/>
      <c r="I2914" s="9">
        <f>IF($A2914="","",SUMIFS(Ventes_Encaissements!$D$6:$D$3005,Ventes_Encaissements!$B$6:$B$3005,$A2914))</f>
        <v/>
      </c>
      <c r="J2914" s="9">
        <f>IF($A2914="","",$H2914-$I2914)</f>
        <v/>
      </c>
      <c r="K2914" s="10">
        <f>IF($A2914="","",IF($I2914=0,"",_xludf.AGGREGATE(14,6,Ventes_Encaissements!$C$6:$C$3005/(Ventes_Encaissements!$B$6:$B$3005=$A2914),1)))</f>
        <v/>
      </c>
      <c r="L2914" s="11">
        <f>IF($A2914="","",COUNTIFS(Ventes_Detail!$B$6:$B$3005,$A2914))</f>
        <v/>
      </c>
      <c r="M2914" s="12" t="n"/>
      <c r="N2914" s="12">
        <f>IF($A2914="","",IF($G2914="","",IF($M2914="Oui","Litige",IF($J2914&lt;=0,"Payé",IF($I2914&gt;0,"Partiel",IF(Listes!$B$3&gt;$G2914,"En retard","À échoir"))))))</f>
        <v/>
      </c>
      <c r="O2914" s="11">
        <f>IF($A2914="","",IF(OR($G2914="", $J2914&lt;=0),0,MAX(0,Listes!$B$3-$G2914)))</f>
        <v/>
      </c>
      <c r="P2914" s="12">
        <f>IF($A2914="","",IF($J2914&lt;=0,"Payé",IF($M2914="Oui","Litige",IF($O2914=0,"À échoir",IF($O2914&lt;=30,"0-30",IF($O2914&lt;=60,"31-60",IF($O2914&lt;=90,"61-90","90+")))))))</f>
        <v/>
      </c>
    </row>
    <row r="2915">
      <c r="A2915" s="6" t="n"/>
      <c r="B2915" s="6" t="n"/>
      <c r="C2915" s="6" t="n"/>
      <c r="D2915" s="6" t="n"/>
      <c r="E2915" s="6" t="n"/>
      <c r="F2915" s="7" t="n"/>
      <c r="G2915" s="7" t="n"/>
      <c r="H2915" s="8" t="n"/>
      <c r="I2915" s="9">
        <f>IF($A2915="","",SUMIFS(Ventes_Encaissements!$D$6:$D$3005,Ventes_Encaissements!$B$6:$B$3005,$A2915))</f>
        <v/>
      </c>
      <c r="J2915" s="9">
        <f>IF($A2915="","",$H2915-$I2915)</f>
        <v/>
      </c>
      <c r="K2915" s="10">
        <f>IF($A2915="","",IF($I2915=0,"",_xludf.AGGREGATE(14,6,Ventes_Encaissements!$C$6:$C$3005/(Ventes_Encaissements!$B$6:$B$3005=$A2915),1)))</f>
        <v/>
      </c>
      <c r="L2915" s="11">
        <f>IF($A2915="","",COUNTIFS(Ventes_Detail!$B$6:$B$3005,$A2915))</f>
        <v/>
      </c>
      <c r="M2915" s="12" t="n"/>
      <c r="N2915" s="12">
        <f>IF($A2915="","",IF($G2915="","",IF($M2915="Oui","Litige",IF($J2915&lt;=0,"Payé",IF($I2915&gt;0,"Partiel",IF(Listes!$B$3&gt;$G2915,"En retard","À échoir"))))))</f>
        <v/>
      </c>
      <c r="O2915" s="11">
        <f>IF($A2915="","",IF(OR($G2915="", $J2915&lt;=0),0,MAX(0,Listes!$B$3-$G2915)))</f>
        <v/>
      </c>
      <c r="P2915" s="12">
        <f>IF($A2915="","",IF($J2915&lt;=0,"Payé",IF($M2915="Oui","Litige",IF($O2915=0,"À échoir",IF($O2915&lt;=30,"0-30",IF($O2915&lt;=60,"31-60",IF($O2915&lt;=90,"61-90","90+")))))))</f>
        <v/>
      </c>
    </row>
    <row r="2916">
      <c r="A2916" s="6" t="n"/>
      <c r="B2916" s="6" t="n"/>
      <c r="C2916" s="6" t="n"/>
      <c r="D2916" s="6" t="n"/>
      <c r="E2916" s="6" t="n"/>
      <c r="F2916" s="7" t="n"/>
      <c r="G2916" s="7" t="n"/>
      <c r="H2916" s="8" t="n"/>
      <c r="I2916" s="9">
        <f>IF($A2916="","",SUMIFS(Ventes_Encaissements!$D$6:$D$3005,Ventes_Encaissements!$B$6:$B$3005,$A2916))</f>
        <v/>
      </c>
      <c r="J2916" s="9">
        <f>IF($A2916="","",$H2916-$I2916)</f>
        <v/>
      </c>
      <c r="K2916" s="10">
        <f>IF($A2916="","",IF($I2916=0,"",_xludf.AGGREGATE(14,6,Ventes_Encaissements!$C$6:$C$3005/(Ventes_Encaissements!$B$6:$B$3005=$A2916),1)))</f>
        <v/>
      </c>
      <c r="L2916" s="11">
        <f>IF($A2916="","",COUNTIFS(Ventes_Detail!$B$6:$B$3005,$A2916))</f>
        <v/>
      </c>
      <c r="M2916" s="12" t="n"/>
      <c r="N2916" s="12">
        <f>IF($A2916="","",IF($G2916="","",IF($M2916="Oui","Litige",IF($J2916&lt;=0,"Payé",IF($I2916&gt;0,"Partiel",IF(Listes!$B$3&gt;$G2916,"En retard","À échoir"))))))</f>
        <v/>
      </c>
      <c r="O2916" s="11">
        <f>IF($A2916="","",IF(OR($G2916="", $J2916&lt;=0),0,MAX(0,Listes!$B$3-$G2916)))</f>
        <v/>
      </c>
      <c r="P2916" s="12">
        <f>IF($A2916="","",IF($J2916&lt;=0,"Payé",IF($M2916="Oui","Litige",IF($O2916=0,"À échoir",IF($O2916&lt;=30,"0-30",IF($O2916&lt;=60,"31-60",IF($O2916&lt;=90,"61-90","90+")))))))</f>
        <v/>
      </c>
    </row>
    <row r="2917">
      <c r="A2917" s="6" t="n"/>
      <c r="B2917" s="6" t="n"/>
      <c r="C2917" s="6" t="n"/>
      <c r="D2917" s="6" t="n"/>
      <c r="E2917" s="6" t="n"/>
      <c r="F2917" s="7" t="n"/>
      <c r="G2917" s="7" t="n"/>
      <c r="H2917" s="8" t="n"/>
      <c r="I2917" s="9">
        <f>IF($A2917="","",SUMIFS(Ventes_Encaissements!$D$6:$D$3005,Ventes_Encaissements!$B$6:$B$3005,$A2917))</f>
        <v/>
      </c>
      <c r="J2917" s="9">
        <f>IF($A2917="","",$H2917-$I2917)</f>
        <v/>
      </c>
      <c r="K2917" s="10">
        <f>IF($A2917="","",IF($I2917=0,"",_xludf.AGGREGATE(14,6,Ventes_Encaissements!$C$6:$C$3005/(Ventes_Encaissements!$B$6:$B$3005=$A2917),1)))</f>
        <v/>
      </c>
      <c r="L2917" s="11">
        <f>IF($A2917="","",COUNTIFS(Ventes_Detail!$B$6:$B$3005,$A2917))</f>
        <v/>
      </c>
      <c r="M2917" s="12" t="n"/>
      <c r="N2917" s="12">
        <f>IF($A2917="","",IF($G2917="","",IF($M2917="Oui","Litige",IF($J2917&lt;=0,"Payé",IF($I2917&gt;0,"Partiel",IF(Listes!$B$3&gt;$G2917,"En retard","À échoir"))))))</f>
        <v/>
      </c>
      <c r="O2917" s="11">
        <f>IF($A2917="","",IF(OR($G2917="", $J2917&lt;=0),0,MAX(0,Listes!$B$3-$G2917)))</f>
        <v/>
      </c>
      <c r="P2917" s="12">
        <f>IF($A2917="","",IF($J2917&lt;=0,"Payé",IF($M2917="Oui","Litige",IF($O2917=0,"À échoir",IF($O2917&lt;=30,"0-30",IF($O2917&lt;=60,"31-60",IF($O2917&lt;=90,"61-90","90+")))))))</f>
        <v/>
      </c>
    </row>
    <row r="2918">
      <c r="A2918" s="6" t="n"/>
      <c r="B2918" s="6" t="n"/>
      <c r="C2918" s="6" t="n"/>
      <c r="D2918" s="6" t="n"/>
      <c r="E2918" s="6" t="n"/>
      <c r="F2918" s="7" t="n"/>
      <c r="G2918" s="7" t="n"/>
      <c r="H2918" s="8" t="n"/>
      <c r="I2918" s="9">
        <f>IF($A2918="","",SUMIFS(Ventes_Encaissements!$D$6:$D$3005,Ventes_Encaissements!$B$6:$B$3005,$A2918))</f>
        <v/>
      </c>
      <c r="J2918" s="9">
        <f>IF($A2918="","",$H2918-$I2918)</f>
        <v/>
      </c>
      <c r="K2918" s="10">
        <f>IF($A2918="","",IF($I2918=0,"",_xludf.AGGREGATE(14,6,Ventes_Encaissements!$C$6:$C$3005/(Ventes_Encaissements!$B$6:$B$3005=$A2918),1)))</f>
        <v/>
      </c>
      <c r="L2918" s="11">
        <f>IF($A2918="","",COUNTIFS(Ventes_Detail!$B$6:$B$3005,$A2918))</f>
        <v/>
      </c>
      <c r="M2918" s="12" t="n"/>
      <c r="N2918" s="12">
        <f>IF($A2918="","",IF($G2918="","",IF($M2918="Oui","Litige",IF($J2918&lt;=0,"Payé",IF($I2918&gt;0,"Partiel",IF(Listes!$B$3&gt;$G2918,"En retard","À échoir"))))))</f>
        <v/>
      </c>
      <c r="O2918" s="11">
        <f>IF($A2918="","",IF(OR($G2918="", $J2918&lt;=0),0,MAX(0,Listes!$B$3-$G2918)))</f>
        <v/>
      </c>
      <c r="P2918" s="12">
        <f>IF($A2918="","",IF($J2918&lt;=0,"Payé",IF($M2918="Oui","Litige",IF($O2918=0,"À échoir",IF($O2918&lt;=30,"0-30",IF($O2918&lt;=60,"31-60",IF($O2918&lt;=90,"61-90","90+")))))))</f>
        <v/>
      </c>
    </row>
    <row r="2919">
      <c r="A2919" s="6" t="n"/>
      <c r="B2919" s="6" t="n"/>
      <c r="C2919" s="6" t="n"/>
      <c r="D2919" s="6" t="n"/>
      <c r="E2919" s="6" t="n"/>
      <c r="F2919" s="7" t="n"/>
      <c r="G2919" s="7" t="n"/>
      <c r="H2919" s="8" t="n"/>
      <c r="I2919" s="9">
        <f>IF($A2919="","",SUMIFS(Ventes_Encaissements!$D$6:$D$3005,Ventes_Encaissements!$B$6:$B$3005,$A2919))</f>
        <v/>
      </c>
      <c r="J2919" s="9">
        <f>IF($A2919="","",$H2919-$I2919)</f>
        <v/>
      </c>
      <c r="K2919" s="10">
        <f>IF($A2919="","",IF($I2919=0,"",_xludf.AGGREGATE(14,6,Ventes_Encaissements!$C$6:$C$3005/(Ventes_Encaissements!$B$6:$B$3005=$A2919),1)))</f>
        <v/>
      </c>
      <c r="L2919" s="11">
        <f>IF($A2919="","",COUNTIFS(Ventes_Detail!$B$6:$B$3005,$A2919))</f>
        <v/>
      </c>
      <c r="M2919" s="12" t="n"/>
      <c r="N2919" s="12">
        <f>IF($A2919="","",IF($G2919="","",IF($M2919="Oui","Litige",IF($J2919&lt;=0,"Payé",IF($I2919&gt;0,"Partiel",IF(Listes!$B$3&gt;$G2919,"En retard","À échoir"))))))</f>
        <v/>
      </c>
      <c r="O2919" s="11">
        <f>IF($A2919="","",IF(OR($G2919="", $J2919&lt;=0),0,MAX(0,Listes!$B$3-$G2919)))</f>
        <v/>
      </c>
      <c r="P2919" s="12">
        <f>IF($A2919="","",IF($J2919&lt;=0,"Payé",IF($M2919="Oui","Litige",IF($O2919=0,"À échoir",IF($O2919&lt;=30,"0-30",IF($O2919&lt;=60,"31-60",IF($O2919&lt;=90,"61-90","90+")))))))</f>
        <v/>
      </c>
    </row>
    <row r="2920">
      <c r="A2920" s="6" t="n"/>
      <c r="B2920" s="6" t="n"/>
      <c r="C2920" s="6" t="n"/>
      <c r="D2920" s="6" t="n"/>
      <c r="E2920" s="6" t="n"/>
      <c r="F2920" s="7" t="n"/>
      <c r="G2920" s="7" t="n"/>
      <c r="H2920" s="8" t="n"/>
      <c r="I2920" s="9">
        <f>IF($A2920="","",SUMIFS(Ventes_Encaissements!$D$6:$D$3005,Ventes_Encaissements!$B$6:$B$3005,$A2920))</f>
        <v/>
      </c>
      <c r="J2920" s="9">
        <f>IF($A2920="","",$H2920-$I2920)</f>
        <v/>
      </c>
      <c r="K2920" s="10">
        <f>IF($A2920="","",IF($I2920=0,"",_xludf.AGGREGATE(14,6,Ventes_Encaissements!$C$6:$C$3005/(Ventes_Encaissements!$B$6:$B$3005=$A2920),1)))</f>
        <v/>
      </c>
      <c r="L2920" s="11">
        <f>IF($A2920="","",COUNTIFS(Ventes_Detail!$B$6:$B$3005,$A2920))</f>
        <v/>
      </c>
      <c r="M2920" s="12" t="n"/>
      <c r="N2920" s="12">
        <f>IF($A2920="","",IF($G2920="","",IF($M2920="Oui","Litige",IF($J2920&lt;=0,"Payé",IF($I2920&gt;0,"Partiel",IF(Listes!$B$3&gt;$G2920,"En retard","À échoir"))))))</f>
        <v/>
      </c>
      <c r="O2920" s="11">
        <f>IF($A2920="","",IF(OR($G2920="", $J2920&lt;=0),0,MAX(0,Listes!$B$3-$G2920)))</f>
        <v/>
      </c>
      <c r="P2920" s="12">
        <f>IF($A2920="","",IF($J2920&lt;=0,"Payé",IF($M2920="Oui","Litige",IF($O2920=0,"À échoir",IF($O2920&lt;=30,"0-30",IF($O2920&lt;=60,"31-60",IF($O2920&lt;=90,"61-90","90+")))))))</f>
        <v/>
      </c>
    </row>
    <row r="2921">
      <c r="A2921" s="6" t="n"/>
      <c r="B2921" s="6" t="n"/>
      <c r="C2921" s="6" t="n"/>
      <c r="D2921" s="6" t="n"/>
      <c r="E2921" s="6" t="n"/>
      <c r="F2921" s="7" t="n"/>
      <c r="G2921" s="7" t="n"/>
      <c r="H2921" s="8" t="n"/>
      <c r="I2921" s="9">
        <f>IF($A2921="","",SUMIFS(Ventes_Encaissements!$D$6:$D$3005,Ventes_Encaissements!$B$6:$B$3005,$A2921))</f>
        <v/>
      </c>
      <c r="J2921" s="9">
        <f>IF($A2921="","",$H2921-$I2921)</f>
        <v/>
      </c>
      <c r="K2921" s="10">
        <f>IF($A2921="","",IF($I2921=0,"",_xludf.AGGREGATE(14,6,Ventes_Encaissements!$C$6:$C$3005/(Ventes_Encaissements!$B$6:$B$3005=$A2921),1)))</f>
        <v/>
      </c>
      <c r="L2921" s="11">
        <f>IF($A2921="","",COUNTIFS(Ventes_Detail!$B$6:$B$3005,$A2921))</f>
        <v/>
      </c>
      <c r="M2921" s="12" t="n"/>
      <c r="N2921" s="12">
        <f>IF($A2921="","",IF($G2921="","",IF($M2921="Oui","Litige",IF($J2921&lt;=0,"Payé",IF($I2921&gt;0,"Partiel",IF(Listes!$B$3&gt;$G2921,"En retard","À échoir"))))))</f>
        <v/>
      </c>
      <c r="O2921" s="11">
        <f>IF($A2921="","",IF(OR($G2921="", $J2921&lt;=0),0,MAX(0,Listes!$B$3-$G2921)))</f>
        <v/>
      </c>
      <c r="P2921" s="12">
        <f>IF($A2921="","",IF($J2921&lt;=0,"Payé",IF($M2921="Oui","Litige",IF($O2921=0,"À échoir",IF($O2921&lt;=30,"0-30",IF($O2921&lt;=60,"31-60",IF($O2921&lt;=90,"61-90","90+")))))))</f>
        <v/>
      </c>
    </row>
    <row r="2922">
      <c r="A2922" s="6" t="n"/>
      <c r="B2922" s="6" t="n"/>
      <c r="C2922" s="6" t="n"/>
      <c r="D2922" s="6" t="n"/>
      <c r="E2922" s="6" t="n"/>
      <c r="F2922" s="7" t="n"/>
      <c r="G2922" s="7" t="n"/>
      <c r="H2922" s="8" t="n"/>
      <c r="I2922" s="9">
        <f>IF($A2922="","",SUMIFS(Ventes_Encaissements!$D$6:$D$3005,Ventes_Encaissements!$B$6:$B$3005,$A2922))</f>
        <v/>
      </c>
      <c r="J2922" s="9">
        <f>IF($A2922="","",$H2922-$I2922)</f>
        <v/>
      </c>
      <c r="K2922" s="10">
        <f>IF($A2922="","",IF($I2922=0,"",_xludf.AGGREGATE(14,6,Ventes_Encaissements!$C$6:$C$3005/(Ventes_Encaissements!$B$6:$B$3005=$A2922),1)))</f>
        <v/>
      </c>
      <c r="L2922" s="11">
        <f>IF($A2922="","",COUNTIFS(Ventes_Detail!$B$6:$B$3005,$A2922))</f>
        <v/>
      </c>
      <c r="M2922" s="12" t="n"/>
      <c r="N2922" s="12">
        <f>IF($A2922="","",IF($G2922="","",IF($M2922="Oui","Litige",IF($J2922&lt;=0,"Payé",IF($I2922&gt;0,"Partiel",IF(Listes!$B$3&gt;$G2922,"En retard","À échoir"))))))</f>
        <v/>
      </c>
      <c r="O2922" s="11">
        <f>IF($A2922="","",IF(OR($G2922="", $J2922&lt;=0),0,MAX(0,Listes!$B$3-$G2922)))</f>
        <v/>
      </c>
      <c r="P2922" s="12">
        <f>IF($A2922="","",IF($J2922&lt;=0,"Payé",IF($M2922="Oui","Litige",IF($O2922=0,"À échoir",IF($O2922&lt;=30,"0-30",IF($O2922&lt;=60,"31-60",IF($O2922&lt;=90,"61-90","90+")))))))</f>
        <v/>
      </c>
    </row>
    <row r="2923">
      <c r="A2923" s="6" t="n"/>
      <c r="B2923" s="6" t="n"/>
      <c r="C2923" s="6" t="n"/>
      <c r="D2923" s="6" t="n"/>
      <c r="E2923" s="6" t="n"/>
      <c r="F2923" s="7" t="n"/>
      <c r="G2923" s="7" t="n"/>
      <c r="H2923" s="8" t="n"/>
      <c r="I2923" s="9">
        <f>IF($A2923="","",SUMIFS(Ventes_Encaissements!$D$6:$D$3005,Ventes_Encaissements!$B$6:$B$3005,$A2923))</f>
        <v/>
      </c>
      <c r="J2923" s="9">
        <f>IF($A2923="","",$H2923-$I2923)</f>
        <v/>
      </c>
      <c r="K2923" s="10">
        <f>IF($A2923="","",IF($I2923=0,"",_xludf.AGGREGATE(14,6,Ventes_Encaissements!$C$6:$C$3005/(Ventes_Encaissements!$B$6:$B$3005=$A2923),1)))</f>
        <v/>
      </c>
      <c r="L2923" s="11">
        <f>IF($A2923="","",COUNTIFS(Ventes_Detail!$B$6:$B$3005,$A2923))</f>
        <v/>
      </c>
      <c r="M2923" s="12" t="n"/>
      <c r="N2923" s="12">
        <f>IF($A2923="","",IF($G2923="","",IF($M2923="Oui","Litige",IF($J2923&lt;=0,"Payé",IF($I2923&gt;0,"Partiel",IF(Listes!$B$3&gt;$G2923,"En retard","À échoir"))))))</f>
        <v/>
      </c>
      <c r="O2923" s="11">
        <f>IF($A2923="","",IF(OR($G2923="", $J2923&lt;=0),0,MAX(0,Listes!$B$3-$G2923)))</f>
        <v/>
      </c>
      <c r="P2923" s="12">
        <f>IF($A2923="","",IF($J2923&lt;=0,"Payé",IF($M2923="Oui","Litige",IF($O2923=0,"À échoir",IF($O2923&lt;=30,"0-30",IF($O2923&lt;=60,"31-60",IF($O2923&lt;=90,"61-90","90+")))))))</f>
        <v/>
      </c>
    </row>
    <row r="2924">
      <c r="A2924" s="6" t="n"/>
      <c r="B2924" s="6" t="n"/>
      <c r="C2924" s="6" t="n"/>
      <c r="D2924" s="6" t="n"/>
      <c r="E2924" s="6" t="n"/>
      <c r="F2924" s="7" t="n"/>
      <c r="G2924" s="7" t="n"/>
      <c r="H2924" s="8" t="n"/>
      <c r="I2924" s="9">
        <f>IF($A2924="","",SUMIFS(Ventes_Encaissements!$D$6:$D$3005,Ventes_Encaissements!$B$6:$B$3005,$A2924))</f>
        <v/>
      </c>
      <c r="J2924" s="9">
        <f>IF($A2924="","",$H2924-$I2924)</f>
        <v/>
      </c>
      <c r="K2924" s="10">
        <f>IF($A2924="","",IF($I2924=0,"",_xludf.AGGREGATE(14,6,Ventes_Encaissements!$C$6:$C$3005/(Ventes_Encaissements!$B$6:$B$3005=$A2924),1)))</f>
        <v/>
      </c>
      <c r="L2924" s="11">
        <f>IF($A2924="","",COUNTIFS(Ventes_Detail!$B$6:$B$3005,$A2924))</f>
        <v/>
      </c>
      <c r="M2924" s="12" t="n"/>
      <c r="N2924" s="12">
        <f>IF($A2924="","",IF($G2924="","",IF($M2924="Oui","Litige",IF($J2924&lt;=0,"Payé",IF($I2924&gt;0,"Partiel",IF(Listes!$B$3&gt;$G2924,"En retard","À échoir"))))))</f>
        <v/>
      </c>
      <c r="O2924" s="11">
        <f>IF($A2924="","",IF(OR($G2924="", $J2924&lt;=0),0,MAX(0,Listes!$B$3-$G2924)))</f>
        <v/>
      </c>
      <c r="P2924" s="12">
        <f>IF($A2924="","",IF($J2924&lt;=0,"Payé",IF($M2924="Oui","Litige",IF($O2924=0,"À échoir",IF($O2924&lt;=30,"0-30",IF($O2924&lt;=60,"31-60",IF($O2924&lt;=90,"61-90","90+")))))))</f>
        <v/>
      </c>
    </row>
    <row r="2925">
      <c r="A2925" s="6" t="n"/>
      <c r="B2925" s="6" t="n"/>
      <c r="C2925" s="6" t="n"/>
      <c r="D2925" s="6" t="n"/>
      <c r="E2925" s="6" t="n"/>
      <c r="F2925" s="7" t="n"/>
      <c r="G2925" s="7" t="n"/>
      <c r="H2925" s="8" t="n"/>
      <c r="I2925" s="9">
        <f>IF($A2925="","",SUMIFS(Ventes_Encaissements!$D$6:$D$3005,Ventes_Encaissements!$B$6:$B$3005,$A2925))</f>
        <v/>
      </c>
      <c r="J2925" s="9">
        <f>IF($A2925="","",$H2925-$I2925)</f>
        <v/>
      </c>
      <c r="K2925" s="10">
        <f>IF($A2925="","",IF($I2925=0,"",_xludf.AGGREGATE(14,6,Ventes_Encaissements!$C$6:$C$3005/(Ventes_Encaissements!$B$6:$B$3005=$A2925),1)))</f>
        <v/>
      </c>
      <c r="L2925" s="11">
        <f>IF($A2925="","",COUNTIFS(Ventes_Detail!$B$6:$B$3005,$A2925))</f>
        <v/>
      </c>
      <c r="M2925" s="12" t="n"/>
      <c r="N2925" s="12">
        <f>IF($A2925="","",IF($G2925="","",IF($M2925="Oui","Litige",IF($J2925&lt;=0,"Payé",IF($I2925&gt;0,"Partiel",IF(Listes!$B$3&gt;$G2925,"En retard","À échoir"))))))</f>
        <v/>
      </c>
      <c r="O2925" s="11">
        <f>IF($A2925="","",IF(OR($G2925="", $J2925&lt;=0),0,MAX(0,Listes!$B$3-$G2925)))</f>
        <v/>
      </c>
      <c r="P2925" s="12">
        <f>IF($A2925="","",IF($J2925&lt;=0,"Payé",IF($M2925="Oui","Litige",IF($O2925=0,"À échoir",IF($O2925&lt;=30,"0-30",IF($O2925&lt;=60,"31-60",IF($O2925&lt;=90,"61-90","90+")))))))</f>
        <v/>
      </c>
    </row>
    <row r="2926">
      <c r="A2926" s="6" t="n"/>
      <c r="B2926" s="6" t="n"/>
      <c r="C2926" s="6" t="n"/>
      <c r="D2926" s="6" t="n"/>
      <c r="E2926" s="6" t="n"/>
      <c r="F2926" s="7" t="n"/>
      <c r="G2926" s="7" t="n"/>
      <c r="H2926" s="8" t="n"/>
      <c r="I2926" s="9">
        <f>IF($A2926="","",SUMIFS(Ventes_Encaissements!$D$6:$D$3005,Ventes_Encaissements!$B$6:$B$3005,$A2926))</f>
        <v/>
      </c>
      <c r="J2926" s="9">
        <f>IF($A2926="","",$H2926-$I2926)</f>
        <v/>
      </c>
      <c r="K2926" s="10">
        <f>IF($A2926="","",IF($I2926=0,"",_xludf.AGGREGATE(14,6,Ventes_Encaissements!$C$6:$C$3005/(Ventes_Encaissements!$B$6:$B$3005=$A2926),1)))</f>
        <v/>
      </c>
      <c r="L2926" s="11">
        <f>IF($A2926="","",COUNTIFS(Ventes_Detail!$B$6:$B$3005,$A2926))</f>
        <v/>
      </c>
      <c r="M2926" s="12" t="n"/>
      <c r="N2926" s="12">
        <f>IF($A2926="","",IF($G2926="","",IF($M2926="Oui","Litige",IF($J2926&lt;=0,"Payé",IF($I2926&gt;0,"Partiel",IF(Listes!$B$3&gt;$G2926,"En retard","À échoir"))))))</f>
        <v/>
      </c>
      <c r="O2926" s="11">
        <f>IF($A2926="","",IF(OR($G2926="", $J2926&lt;=0),0,MAX(0,Listes!$B$3-$G2926)))</f>
        <v/>
      </c>
      <c r="P2926" s="12">
        <f>IF($A2926="","",IF($J2926&lt;=0,"Payé",IF($M2926="Oui","Litige",IF($O2926=0,"À échoir",IF($O2926&lt;=30,"0-30",IF($O2926&lt;=60,"31-60",IF($O2926&lt;=90,"61-90","90+")))))))</f>
        <v/>
      </c>
    </row>
    <row r="2927">
      <c r="A2927" s="6" t="n"/>
      <c r="B2927" s="6" t="n"/>
      <c r="C2927" s="6" t="n"/>
      <c r="D2927" s="6" t="n"/>
      <c r="E2927" s="6" t="n"/>
      <c r="F2927" s="7" t="n"/>
      <c r="G2927" s="7" t="n"/>
      <c r="H2927" s="8" t="n"/>
      <c r="I2927" s="9">
        <f>IF($A2927="","",SUMIFS(Ventes_Encaissements!$D$6:$D$3005,Ventes_Encaissements!$B$6:$B$3005,$A2927))</f>
        <v/>
      </c>
      <c r="J2927" s="9">
        <f>IF($A2927="","",$H2927-$I2927)</f>
        <v/>
      </c>
      <c r="K2927" s="10">
        <f>IF($A2927="","",IF($I2927=0,"",_xludf.AGGREGATE(14,6,Ventes_Encaissements!$C$6:$C$3005/(Ventes_Encaissements!$B$6:$B$3005=$A2927),1)))</f>
        <v/>
      </c>
      <c r="L2927" s="11">
        <f>IF($A2927="","",COUNTIFS(Ventes_Detail!$B$6:$B$3005,$A2927))</f>
        <v/>
      </c>
      <c r="M2927" s="12" t="n"/>
      <c r="N2927" s="12">
        <f>IF($A2927="","",IF($G2927="","",IF($M2927="Oui","Litige",IF($J2927&lt;=0,"Payé",IF($I2927&gt;0,"Partiel",IF(Listes!$B$3&gt;$G2927,"En retard","À échoir"))))))</f>
        <v/>
      </c>
      <c r="O2927" s="11">
        <f>IF($A2927="","",IF(OR($G2927="", $J2927&lt;=0),0,MAX(0,Listes!$B$3-$G2927)))</f>
        <v/>
      </c>
      <c r="P2927" s="12">
        <f>IF($A2927="","",IF($J2927&lt;=0,"Payé",IF($M2927="Oui","Litige",IF($O2927=0,"À échoir",IF($O2927&lt;=30,"0-30",IF($O2927&lt;=60,"31-60",IF($O2927&lt;=90,"61-90","90+")))))))</f>
        <v/>
      </c>
    </row>
    <row r="2928">
      <c r="A2928" s="6" t="n"/>
      <c r="B2928" s="6" t="n"/>
      <c r="C2928" s="6" t="n"/>
      <c r="D2928" s="6" t="n"/>
      <c r="E2928" s="6" t="n"/>
      <c r="F2928" s="7" t="n"/>
      <c r="G2928" s="7" t="n"/>
      <c r="H2928" s="8" t="n"/>
      <c r="I2928" s="9">
        <f>IF($A2928="","",SUMIFS(Ventes_Encaissements!$D$6:$D$3005,Ventes_Encaissements!$B$6:$B$3005,$A2928))</f>
        <v/>
      </c>
      <c r="J2928" s="9">
        <f>IF($A2928="","",$H2928-$I2928)</f>
        <v/>
      </c>
      <c r="K2928" s="10">
        <f>IF($A2928="","",IF($I2928=0,"",_xludf.AGGREGATE(14,6,Ventes_Encaissements!$C$6:$C$3005/(Ventes_Encaissements!$B$6:$B$3005=$A2928),1)))</f>
        <v/>
      </c>
      <c r="L2928" s="11">
        <f>IF($A2928="","",COUNTIFS(Ventes_Detail!$B$6:$B$3005,$A2928))</f>
        <v/>
      </c>
      <c r="M2928" s="12" t="n"/>
      <c r="N2928" s="12">
        <f>IF($A2928="","",IF($G2928="","",IF($M2928="Oui","Litige",IF($J2928&lt;=0,"Payé",IF($I2928&gt;0,"Partiel",IF(Listes!$B$3&gt;$G2928,"En retard","À échoir"))))))</f>
        <v/>
      </c>
      <c r="O2928" s="11">
        <f>IF($A2928="","",IF(OR($G2928="", $J2928&lt;=0),0,MAX(0,Listes!$B$3-$G2928)))</f>
        <v/>
      </c>
      <c r="P2928" s="12">
        <f>IF($A2928="","",IF($J2928&lt;=0,"Payé",IF($M2928="Oui","Litige",IF($O2928=0,"À échoir",IF($O2928&lt;=30,"0-30",IF($O2928&lt;=60,"31-60",IF($O2928&lt;=90,"61-90","90+")))))))</f>
        <v/>
      </c>
    </row>
    <row r="2929">
      <c r="A2929" s="6" t="n"/>
      <c r="B2929" s="6" t="n"/>
      <c r="C2929" s="6" t="n"/>
      <c r="D2929" s="6" t="n"/>
      <c r="E2929" s="6" t="n"/>
      <c r="F2929" s="7" t="n"/>
      <c r="G2929" s="7" t="n"/>
      <c r="H2929" s="8" t="n"/>
      <c r="I2929" s="9">
        <f>IF($A2929="","",SUMIFS(Ventes_Encaissements!$D$6:$D$3005,Ventes_Encaissements!$B$6:$B$3005,$A2929))</f>
        <v/>
      </c>
      <c r="J2929" s="9">
        <f>IF($A2929="","",$H2929-$I2929)</f>
        <v/>
      </c>
      <c r="K2929" s="10">
        <f>IF($A2929="","",IF($I2929=0,"",_xludf.AGGREGATE(14,6,Ventes_Encaissements!$C$6:$C$3005/(Ventes_Encaissements!$B$6:$B$3005=$A2929),1)))</f>
        <v/>
      </c>
      <c r="L2929" s="11">
        <f>IF($A2929="","",COUNTIFS(Ventes_Detail!$B$6:$B$3005,$A2929))</f>
        <v/>
      </c>
      <c r="M2929" s="12" t="n"/>
      <c r="N2929" s="12">
        <f>IF($A2929="","",IF($G2929="","",IF($M2929="Oui","Litige",IF($J2929&lt;=0,"Payé",IF($I2929&gt;0,"Partiel",IF(Listes!$B$3&gt;$G2929,"En retard","À échoir"))))))</f>
        <v/>
      </c>
      <c r="O2929" s="11">
        <f>IF($A2929="","",IF(OR($G2929="", $J2929&lt;=0),0,MAX(0,Listes!$B$3-$G2929)))</f>
        <v/>
      </c>
      <c r="P2929" s="12">
        <f>IF($A2929="","",IF($J2929&lt;=0,"Payé",IF($M2929="Oui","Litige",IF($O2929=0,"À échoir",IF($O2929&lt;=30,"0-30",IF($O2929&lt;=60,"31-60",IF($O2929&lt;=90,"61-90","90+")))))))</f>
        <v/>
      </c>
    </row>
    <row r="2930">
      <c r="A2930" s="6" t="n"/>
      <c r="B2930" s="6" t="n"/>
      <c r="C2930" s="6" t="n"/>
      <c r="D2930" s="6" t="n"/>
      <c r="E2930" s="6" t="n"/>
      <c r="F2930" s="7" t="n"/>
      <c r="G2930" s="7" t="n"/>
      <c r="H2930" s="8" t="n"/>
      <c r="I2930" s="9">
        <f>IF($A2930="","",SUMIFS(Ventes_Encaissements!$D$6:$D$3005,Ventes_Encaissements!$B$6:$B$3005,$A2930))</f>
        <v/>
      </c>
      <c r="J2930" s="9">
        <f>IF($A2930="","",$H2930-$I2930)</f>
        <v/>
      </c>
      <c r="K2930" s="10">
        <f>IF($A2930="","",IF($I2930=0,"",_xludf.AGGREGATE(14,6,Ventes_Encaissements!$C$6:$C$3005/(Ventes_Encaissements!$B$6:$B$3005=$A2930),1)))</f>
        <v/>
      </c>
      <c r="L2930" s="11">
        <f>IF($A2930="","",COUNTIFS(Ventes_Detail!$B$6:$B$3005,$A2930))</f>
        <v/>
      </c>
      <c r="M2930" s="12" t="n"/>
      <c r="N2930" s="12">
        <f>IF($A2930="","",IF($G2930="","",IF($M2930="Oui","Litige",IF($J2930&lt;=0,"Payé",IF($I2930&gt;0,"Partiel",IF(Listes!$B$3&gt;$G2930,"En retard","À échoir"))))))</f>
        <v/>
      </c>
      <c r="O2930" s="11">
        <f>IF($A2930="","",IF(OR($G2930="", $J2930&lt;=0),0,MAX(0,Listes!$B$3-$G2930)))</f>
        <v/>
      </c>
      <c r="P2930" s="12">
        <f>IF($A2930="","",IF($J2930&lt;=0,"Payé",IF($M2930="Oui","Litige",IF($O2930=0,"À échoir",IF($O2930&lt;=30,"0-30",IF($O2930&lt;=60,"31-60",IF($O2930&lt;=90,"61-90","90+")))))))</f>
        <v/>
      </c>
    </row>
    <row r="2931">
      <c r="A2931" s="6" t="n"/>
      <c r="B2931" s="6" t="n"/>
      <c r="C2931" s="6" t="n"/>
      <c r="D2931" s="6" t="n"/>
      <c r="E2931" s="6" t="n"/>
      <c r="F2931" s="7" t="n"/>
      <c r="G2931" s="7" t="n"/>
      <c r="H2931" s="8" t="n"/>
      <c r="I2931" s="9">
        <f>IF($A2931="","",SUMIFS(Ventes_Encaissements!$D$6:$D$3005,Ventes_Encaissements!$B$6:$B$3005,$A2931))</f>
        <v/>
      </c>
      <c r="J2931" s="9">
        <f>IF($A2931="","",$H2931-$I2931)</f>
        <v/>
      </c>
      <c r="K2931" s="10">
        <f>IF($A2931="","",IF($I2931=0,"",_xludf.AGGREGATE(14,6,Ventes_Encaissements!$C$6:$C$3005/(Ventes_Encaissements!$B$6:$B$3005=$A2931),1)))</f>
        <v/>
      </c>
      <c r="L2931" s="11">
        <f>IF($A2931="","",COUNTIFS(Ventes_Detail!$B$6:$B$3005,$A2931))</f>
        <v/>
      </c>
      <c r="M2931" s="12" t="n"/>
      <c r="N2931" s="12">
        <f>IF($A2931="","",IF($G2931="","",IF($M2931="Oui","Litige",IF($J2931&lt;=0,"Payé",IF($I2931&gt;0,"Partiel",IF(Listes!$B$3&gt;$G2931,"En retard","À échoir"))))))</f>
        <v/>
      </c>
      <c r="O2931" s="11">
        <f>IF($A2931="","",IF(OR($G2931="", $J2931&lt;=0),0,MAX(0,Listes!$B$3-$G2931)))</f>
        <v/>
      </c>
      <c r="P2931" s="12">
        <f>IF($A2931="","",IF($J2931&lt;=0,"Payé",IF($M2931="Oui","Litige",IF($O2931=0,"À échoir",IF($O2931&lt;=30,"0-30",IF($O2931&lt;=60,"31-60",IF($O2931&lt;=90,"61-90","90+")))))))</f>
        <v/>
      </c>
    </row>
    <row r="2932">
      <c r="A2932" s="6" t="n"/>
      <c r="B2932" s="6" t="n"/>
      <c r="C2932" s="6" t="n"/>
      <c r="D2932" s="6" t="n"/>
      <c r="E2932" s="6" t="n"/>
      <c r="F2932" s="7" t="n"/>
      <c r="G2932" s="7" t="n"/>
      <c r="H2932" s="8" t="n"/>
      <c r="I2932" s="9">
        <f>IF($A2932="","",SUMIFS(Ventes_Encaissements!$D$6:$D$3005,Ventes_Encaissements!$B$6:$B$3005,$A2932))</f>
        <v/>
      </c>
      <c r="J2932" s="9">
        <f>IF($A2932="","",$H2932-$I2932)</f>
        <v/>
      </c>
      <c r="K2932" s="10">
        <f>IF($A2932="","",IF($I2932=0,"",_xludf.AGGREGATE(14,6,Ventes_Encaissements!$C$6:$C$3005/(Ventes_Encaissements!$B$6:$B$3005=$A2932),1)))</f>
        <v/>
      </c>
      <c r="L2932" s="11">
        <f>IF($A2932="","",COUNTIFS(Ventes_Detail!$B$6:$B$3005,$A2932))</f>
        <v/>
      </c>
      <c r="M2932" s="12" t="n"/>
      <c r="N2932" s="12">
        <f>IF($A2932="","",IF($G2932="","",IF($M2932="Oui","Litige",IF($J2932&lt;=0,"Payé",IF($I2932&gt;0,"Partiel",IF(Listes!$B$3&gt;$G2932,"En retard","À échoir"))))))</f>
        <v/>
      </c>
      <c r="O2932" s="11">
        <f>IF($A2932="","",IF(OR($G2932="", $J2932&lt;=0),0,MAX(0,Listes!$B$3-$G2932)))</f>
        <v/>
      </c>
      <c r="P2932" s="12">
        <f>IF($A2932="","",IF($J2932&lt;=0,"Payé",IF($M2932="Oui","Litige",IF($O2932=0,"À échoir",IF($O2932&lt;=30,"0-30",IF($O2932&lt;=60,"31-60",IF($O2932&lt;=90,"61-90","90+")))))))</f>
        <v/>
      </c>
    </row>
    <row r="2933">
      <c r="A2933" s="6" t="n"/>
      <c r="B2933" s="6" t="n"/>
      <c r="C2933" s="6" t="n"/>
      <c r="D2933" s="6" t="n"/>
      <c r="E2933" s="6" t="n"/>
      <c r="F2933" s="7" t="n"/>
      <c r="G2933" s="7" t="n"/>
      <c r="H2933" s="8" t="n"/>
      <c r="I2933" s="9">
        <f>IF($A2933="","",SUMIFS(Ventes_Encaissements!$D$6:$D$3005,Ventes_Encaissements!$B$6:$B$3005,$A2933))</f>
        <v/>
      </c>
      <c r="J2933" s="9">
        <f>IF($A2933="","",$H2933-$I2933)</f>
        <v/>
      </c>
      <c r="K2933" s="10">
        <f>IF($A2933="","",IF($I2933=0,"",_xludf.AGGREGATE(14,6,Ventes_Encaissements!$C$6:$C$3005/(Ventes_Encaissements!$B$6:$B$3005=$A2933),1)))</f>
        <v/>
      </c>
      <c r="L2933" s="11">
        <f>IF($A2933="","",COUNTIFS(Ventes_Detail!$B$6:$B$3005,$A2933))</f>
        <v/>
      </c>
      <c r="M2933" s="12" t="n"/>
      <c r="N2933" s="12">
        <f>IF($A2933="","",IF($G2933="","",IF($M2933="Oui","Litige",IF($J2933&lt;=0,"Payé",IF($I2933&gt;0,"Partiel",IF(Listes!$B$3&gt;$G2933,"En retard","À échoir"))))))</f>
        <v/>
      </c>
      <c r="O2933" s="11">
        <f>IF($A2933="","",IF(OR($G2933="", $J2933&lt;=0),0,MAX(0,Listes!$B$3-$G2933)))</f>
        <v/>
      </c>
      <c r="P2933" s="12">
        <f>IF($A2933="","",IF($J2933&lt;=0,"Payé",IF($M2933="Oui","Litige",IF($O2933=0,"À échoir",IF($O2933&lt;=30,"0-30",IF($O2933&lt;=60,"31-60",IF($O2933&lt;=90,"61-90","90+")))))))</f>
        <v/>
      </c>
    </row>
    <row r="2934">
      <c r="A2934" s="6" t="n"/>
      <c r="B2934" s="6" t="n"/>
      <c r="C2934" s="6" t="n"/>
      <c r="D2934" s="6" t="n"/>
      <c r="E2934" s="6" t="n"/>
      <c r="F2934" s="7" t="n"/>
      <c r="G2934" s="7" t="n"/>
      <c r="H2934" s="8" t="n"/>
      <c r="I2934" s="9">
        <f>IF($A2934="","",SUMIFS(Ventes_Encaissements!$D$6:$D$3005,Ventes_Encaissements!$B$6:$B$3005,$A2934))</f>
        <v/>
      </c>
      <c r="J2934" s="9">
        <f>IF($A2934="","",$H2934-$I2934)</f>
        <v/>
      </c>
      <c r="K2934" s="10">
        <f>IF($A2934="","",IF($I2934=0,"",_xludf.AGGREGATE(14,6,Ventes_Encaissements!$C$6:$C$3005/(Ventes_Encaissements!$B$6:$B$3005=$A2934),1)))</f>
        <v/>
      </c>
      <c r="L2934" s="11">
        <f>IF($A2934="","",COUNTIFS(Ventes_Detail!$B$6:$B$3005,$A2934))</f>
        <v/>
      </c>
      <c r="M2934" s="12" t="n"/>
      <c r="N2934" s="12">
        <f>IF($A2934="","",IF($G2934="","",IF($M2934="Oui","Litige",IF($J2934&lt;=0,"Payé",IF($I2934&gt;0,"Partiel",IF(Listes!$B$3&gt;$G2934,"En retard","À échoir"))))))</f>
        <v/>
      </c>
      <c r="O2934" s="11">
        <f>IF($A2934="","",IF(OR($G2934="", $J2934&lt;=0),0,MAX(0,Listes!$B$3-$G2934)))</f>
        <v/>
      </c>
      <c r="P2934" s="12">
        <f>IF($A2934="","",IF($J2934&lt;=0,"Payé",IF($M2934="Oui","Litige",IF($O2934=0,"À échoir",IF($O2934&lt;=30,"0-30",IF($O2934&lt;=60,"31-60",IF($O2934&lt;=90,"61-90","90+")))))))</f>
        <v/>
      </c>
    </row>
    <row r="2935">
      <c r="A2935" s="6" t="n"/>
      <c r="B2935" s="6" t="n"/>
      <c r="C2935" s="6" t="n"/>
      <c r="D2935" s="6" t="n"/>
      <c r="E2935" s="6" t="n"/>
      <c r="F2935" s="7" t="n"/>
      <c r="G2935" s="7" t="n"/>
      <c r="H2935" s="8" t="n"/>
      <c r="I2935" s="9">
        <f>IF($A2935="","",SUMIFS(Ventes_Encaissements!$D$6:$D$3005,Ventes_Encaissements!$B$6:$B$3005,$A2935))</f>
        <v/>
      </c>
      <c r="J2935" s="9">
        <f>IF($A2935="","",$H2935-$I2935)</f>
        <v/>
      </c>
      <c r="K2935" s="10">
        <f>IF($A2935="","",IF($I2935=0,"",_xludf.AGGREGATE(14,6,Ventes_Encaissements!$C$6:$C$3005/(Ventes_Encaissements!$B$6:$B$3005=$A2935),1)))</f>
        <v/>
      </c>
      <c r="L2935" s="11">
        <f>IF($A2935="","",COUNTIFS(Ventes_Detail!$B$6:$B$3005,$A2935))</f>
        <v/>
      </c>
      <c r="M2935" s="12" t="n"/>
      <c r="N2935" s="12">
        <f>IF($A2935="","",IF($G2935="","",IF($M2935="Oui","Litige",IF($J2935&lt;=0,"Payé",IF($I2935&gt;0,"Partiel",IF(Listes!$B$3&gt;$G2935,"En retard","À échoir"))))))</f>
        <v/>
      </c>
      <c r="O2935" s="11">
        <f>IF($A2935="","",IF(OR($G2935="", $J2935&lt;=0),0,MAX(0,Listes!$B$3-$G2935)))</f>
        <v/>
      </c>
      <c r="P2935" s="12">
        <f>IF($A2935="","",IF($J2935&lt;=0,"Payé",IF($M2935="Oui","Litige",IF($O2935=0,"À échoir",IF($O2935&lt;=30,"0-30",IF($O2935&lt;=60,"31-60",IF($O2935&lt;=90,"61-90","90+")))))))</f>
        <v/>
      </c>
    </row>
    <row r="2936">
      <c r="A2936" s="6" t="n"/>
      <c r="B2936" s="6" t="n"/>
      <c r="C2936" s="6" t="n"/>
      <c r="D2936" s="6" t="n"/>
      <c r="E2936" s="6" t="n"/>
      <c r="F2936" s="7" t="n"/>
      <c r="G2936" s="7" t="n"/>
      <c r="H2936" s="8" t="n"/>
      <c r="I2936" s="9">
        <f>IF($A2936="","",SUMIFS(Ventes_Encaissements!$D$6:$D$3005,Ventes_Encaissements!$B$6:$B$3005,$A2936))</f>
        <v/>
      </c>
      <c r="J2936" s="9">
        <f>IF($A2936="","",$H2936-$I2936)</f>
        <v/>
      </c>
      <c r="K2936" s="10">
        <f>IF($A2936="","",IF($I2936=0,"",_xludf.AGGREGATE(14,6,Ventes_Encaissements!$C$6:$C$3005/(Ventes_Encaissements!$B$6:$B$3005=$A2936),1)))</f>
        <v/>
      </c>
      <c r="L2936" s="11">
        <f>IF($A2936="","",COUNTIFS(Ventes_Detail!$B$6:$B$3005,$A2936))</f>
        <v/>
      </c>
      <c r="M2936" s="12" t="n"/>
      <c r="N2936" s="12">
        <f>IF($A2936="","",IF($G2936="","",IF($M2936="Oui","Litige",IF($J2936&lt;=0,"Payé",IF($I2936&gt;0,"Partiel",IF(Listes!$B$3&gt;$G2936,"En retard","À échoir"))))))</f>
        <v/>
      </c>
      <c r="O2936" s="11">
        <f>IF($A2936="","",IF(OR($G2936="", $J2936&lt;=0),0,MAX(0,Listes!$B$3-$G2936)))</f>
        <v/>
      </c>
      <c r="P2936" s="12">
        <f>IF($A2936="","",IF($J2936&lt;=0,"Payé",IF($M2936="Oui","Litige",IF($O2936=0,"À échoir",IF($O2936&lt;=30,"0-30",IF($O2936&lt;=60,"31-60",IF($O2936&lt;=90,"61-90","90+")))))))</f>
        <v/>
      </c>
    </row>
    <row r="2937">
      <c r="A2937" s="6" t="n"/>
      <c r="B2937" s="6" t="n"/>
      <c r="C2937" s="6" t="n"/>
      <c r="D2937" s="6" t="n"/>
      <c r="E2937" s="6" t="n"/>
      <c r="F2937" s="7" t="n"/>
      <c r="G2937" s="7" t="n"/>
      <c r="H2937" s="8" t="n"/>
      <c r="I2937" s="9">
        <f>IF($A2937="","",SUMIFS(Ventes_Encaissements!$D$6:$D$3005,Ventes_Encaissements!$B$6:$B$3005,$A2937))</f>
        <v/>
      </c>
      <c r="J2937" s="9">
        <f>IF($A2937="","",$H2937-$I2937)</f>
        <v/>
      </c>
      <c r="K2937" s="10">
        <f>IF($A2937="","",IF($I2937=0,"",_xludf.AGGREGATE(14,6,Ventes_Encaissements!$C$6:$C$3005/(Ventes_Encaissements!$B$6:$B$3005=$A2937),1)))</f>
        <v/>
      </c>
      <c r="L2937" s="11">
        <f>IF($A2937="","",COUNTIFS(Ventes_Detail!$B$6:$B$3005,$A2937))</f>
        <v/>
      </c>
      <c r="M2937" s="12" t="n"/>
      <c r="N2937" s="12">
        <f>IF($A2937="","",IF($G2937="","",IF($M2937="Oui","Litige",IF($J2937&lt;=0,"Payé",IF($I2937&gt;0,"Partiel",IF(Listes!$B$3&gt;$G2937,"En retard","À échoir"))))))</f>
        <v/>
      </c>
      <c r="O2937" s="11">
        <f>IF($A2937="","",IF(OR($G2937="", $J2937&lt;=0),0,MAX(0,Listes!$B$3-$G2937)))</f>
        <v/>
      </c>
      <c r="P2937" s="12">
        <f>IF($A2937="","",IF($J2937&lt;=0,"Payé",IF($M2937="Oui","Litige",IF($O2937=0,"À échoir",IF($O2937&lt;=30,"0-30",IF($O2937&lt;=60,"31-60",IF($O2937&lt;=90,"61-90","90+")))))))</f>
        <v/>
      </c>
    </row>
    <row r="2938">
      <c r="A2938" s="6" t="n"/>
      <c r="B2938" s="6" t="n"/>
      <c r="C2938" s="6" t="n"/>
      <c r="D2938" s="6" t="n"/>
      <c r="E2938" s="6" t="n"/>
      <c r="F2938" s="7" t="n"/>
      <c r="G2938" s="7" t="n"/>
      <c r="H2938" s="8" t="n"/>
      <c r="I2938" s="9">
        <f>IF($A2938="","",SUMIFS(Ventes_Encaissements!$D$6:$D$3005,Ventes_Encaissements!$B$6:$B$3005,$A2938))</f>
        <v/>
      </c>
      <c r="J2938" s="9">
        <f>IF($A2938="","",$H2938-$I2938)</f>
        <v/>
      </c>
      <c r="K2938" s="10">
        <f>IF($A2938="","",IF($I2938=0,"",_xludf.AGGREGATE(14,6,Ventes_Encaissements!$C$6:$C$3005/(Ventes_Encaissements!$B$6:$B$3005=$A2938),1)))</f>
        <v/>
      </c>
      <c r="L2938" s="11">
        <f>IF($A2938="","",COUNTIFS(Ventes_Detail!$B$6:$B$3005,$A2938))</f>
        <v/>
      </c>
      <c r="M2938" s="12" t="n"/>
      <c r="N2938" s="12">
        <f>IF($A2938="","",IF($G2938="","",IF($M2938="Oui","Litige",IF($J2938&lt;=0,"Payé",IF($I2938&gt;0,"Partiel",IF(Listes!$B$3&gt;$G2938,"En retard","À échoir"))))))</f>
        <v/>
      </c>
      <c r="O2938" s="11">
        <f>IF($A2938="","",IF(OR($G2938="", $J2938&lt;=0),0,MAX(0,Listes!$B$3-$G2938)))</f>
        <v/>
      </c>
      <c r="P2938" s="12">
        <f>IF($A2938="","",IF($J2938&lt;=0,"Payé",IF($M2938="Oui","Litige",IF($O2938=0,"À échoir",IF($O2938&lt;=30,"0-30",IF($O2938&lt;=60,"31-60",IF($O2938&lt;=90,"61-90","90+")))))))</f>
        <v/>
      </c>
    </row>
    <row r="2939">
      <c r="A2939" s="6" t="n"/>
      <c r="B2939" s="6" t="n"/>
      <c r="C2939" s="6" t="n"/>
      <c r="D2939" s="6" t="n"/>
      <c r="E2939" s="6" t="n"/>
      <c r="F2939" s="7" t="n"/>
      <c r="G2939" s="7" t="n"/>
      <c r="H2939" s="8" t="n"/>
      <c r="I2939" s="9">
        <f>IF($A2939="","",SUMIFS(Ventes_Encaissements!$D$6:$D$3005,Ventes_Encaissements!$B$6:$B$3005,$A2939))</f>
        <v/>
      </c>
      <c r="J2939" s="9">
        <f>IF($A2939="","",$H2939-$I2939)</f>
        <v/>
      </c>
      <c r="K2939" s="10">
        <f>IF($A2939="","",IF($I2939=0,"",_xludf.AGGREGATE(14,6,Ventes_Encaissements!$C$6:$C$3005/(Ventes_Encaissements!$B$6:$B$3005=$A2939),1)))</f>
        <v/>
      </c>
      <c r="L2939" s="11">
        <f>IF($A2939="","",COUNTIFS(Ventes_Detail!$B$6:$B$3005,$A2939))</f>
        <v/>
      </c>
      <c r="M2939" s="12" t="n"/>
      <c r="N2939" s="12">
        <f>IF($A2939="","",IF($G2939="","",IF($M2939="Oui","Litige",IF($J2939&lt;=0,"Payé",IF($I2939&gt;0,"Partiel",IF(Listes!$B$3&gt;$G2939,"En retard","À échoir"))))))</f>
        <v/>
      </c>
      <c r="O2939" s="11">
        <f>IF($A2939="","",IF(OR($G2939="", $J2939&lt;=0),0,MAX(0,Listes!$B$3-$G2939)))</f>
        <v/>
      </c>
      <c r="P2939" s="12">
        <f>IF($A2939="","",IF($J2939&lt;=0,"Payé",IF($M2939="Oui","Litige",IF($O2939=0,"À échoir",IF($O2939&lt;=30,"0-30",IF($O2939&lt;=60,"31-60",IF($O2939&lt;=90,"61-90","90+")))))))</f>
        <v/>
      </c>
    </row>
    <row r="2940">
      <c r="A2940" s="6" t="n"/>
      <c r="B2940" s="6" t="n"/>
      <c r="C2940" s="6" t="n"/>
      <c r="D2940" s="6" t="n"/>
      <c r="E2940" s="6" t="n"/>
      <c r="F2940" s="7" t="n"/>
      <c r="G2940" s="7" t="n"/>
      <c r="H2940" s="8" t="n"/>
      <c r="I2940" s="9">
        <f>IF($A2940="","",SUMIFS(Ventes_Encaissements!$D$6:$D$3005,Ventes_Encaissements!$B$6:$B$3005,$A2940))</f>
        <v/>
      </c>
      <c r="J2940" s="9">
        <f>IF($A2940="","",$H2940-$I2940)</f>
        <v/>
      </c>
      <c r="K2940" s="10">
        <f>IF($A2940="","",IF($I2940=0,"",_xludf.AGGREGATE(14,6,Ventes_Encaissements!$C$6:$C$3005/(Ventes_Encaissements!$B$6:$B$3005=$A2940),1)))</f>
        <v/>
      </c>
      <c r="L2940" s="11">
        <f>IF($A2940="","",COUNTIFS(Ventes_Detail!$B$6:$B$3005,$A2940))</f>
        <v/>
      </c>
      <c r="M2940" s="12" t="n"/>
      <c r="N2940" s="12">
        <f>IF($A2940="","",IF($G2940="","",IF($M2940="Oui","Litige",IF($J2940&lt;=0,"Payé",IF($I2940&gt;0,"Partiel",IF(Listes!$B$3&gt;$G2940,"En retard","À échoir"))))))</f>
        <v/>
      </c>
      <c r="O2940" s="11">
        <f>IF($A2940="","",IF(OR($G2940="", $J2940&lt;=0),0,MAX(0,Listes!$B$3-$G2940)))</f>
        <v/>
      </c>
      <c r="P2940" s="12">
        <f>IF($A2940="","",IF($J2940&lt;=0,"Payé",IF($M2940="Oui","Litige",IF($O2940=0,"À échoir",IF($O2940&lt;=30,"0-30",IF($O2940&lt;=60,"31-60",IF($O2940&lt;=90,"61-90","90+")))))))</f>
        <v/>
      </c>
    </row>
    <row r="2941">
      <c r="A2941" s="6" t="n"/>
      <c r="B2941" s="6" t="n"/>
      <c r="C2941" s="6" t="n"/>
      <c r="D2941" s="6" t="n"/>
      <c r="E2941" s="6" t="n"/>
      <c r="F2941" s="7" t="n"/>
      <c r="G2941" s="7" t="n"/>
      <c r="H2941" s="8" t="n"/>
      <c r="I2941" s="9">
        <f>IF($A2941="","",SUMIFS(Ventes_Encaissements!$D$6:$D$3005,Ventes_Encaissements!$B$6:$B$3005,$A2941))</f>
        <v/>
      </c>
      <c r="J2941" s="9">
        <f>IF($A2941="","",$H2941-$I2941)</f>
        <v/>
      </c>
      <c r="K2941" s="10">
        <f>IF($A2941="","",IF($I2941=0,"",_xludf.AGGREGATE(14,6,Ventes_Encaissements!$C$6:$C$3005/(Ventes_Encaissements!$B$6:$B$3005=$A2941),1)))</f>
        <v/>
      </c>
      <c r="L2941" s="11">
        <f>IF($A2941="","",COUNTIFS(Ventes_Detail!$B$6:$B$3005,$A2941))</f>
        <v/>
      </c>
      <c r="M2941" s="12" t="n"/>
      <c r="N2941" s="12">
        <f>IF($A2941="","",IF($G2941="","",IF($M2941="Oui","Litige",IF($J2941&lt;=0,"Payé",IF($I2941&gt;0,"Partiel",IF(Listes!$B$3&gt;$G2941,"En retard","À échoir"))))))</f>
        <v/>
      </c>
      <c r="O2941" s="11">
        <f>IF($A2941="","",IF(OR($G2941="", $J2941&lt;=0),0,MAX(0,Listes!$B$3-$G2941)))</f>
        <v/>
      </c>
      <c r="P2941" s="12">
        <f>IF($A2941="","",IF($J2941&lt;=0,"Payé",IF($M2941="Oui","Litige",IF($O2941=0,"À échoir",IF($O2941&lt;=30,"0-30",IF($O2941&lt;=60,"31-60",IF($O2941&lt;=90,"61-90","90+")))))))</f>
        <v/>
      </c>
    </row>
    <row r="2942">
      <c r="A2942" s="6" t="n"/>
      <c r="B2942" s="6" t="n"/>
      <c r="C2942" s="6" t="n"/>
      <c r="D2942" s="6" t="n"/>
      <c r="E2942" s="6" t="n"/>
      <c r="F2942" s="7" t="n"/>
      <c r="G2942" s="7" t="n"/>
      <c r="H2942" s="8" t="n"/>
      <c r="I2942" s="9">
        <f>IF($A2942="","",SUMIFS(Ventes_Encaissements!$D$6:$D$3005,Ventes_Encaissements!$B$6:$B$3005,$A2942))</f>
        <v/>
      </c>
      <c r="J2942" s="9">
        <f>IF($A2942="","",$H2942-$I2942)</f>
        <v/>
      </c>
      <c r="K2942" s="10">
        <f>IF($A2942="","",IF($I2942=0,"",_xludf.AGGREGATE(14,6,Ventes_Encaissements!$C$6:$C$3005/(Ventes_Encaissements!$B$6:$B$3005=$A2942),1)))</f>
        <v/>
      </c>
      <c r="L2942" s="11">
        <f>IF($A2942="","",COUNTIFS(Ventes_Detail!$B$6:$B$3005,$A2942))</f>
        <v/>
      </c>
      <c r="M2942" s="12" t="n"/>
      <c r="N2942" s="12">
        <f>IF($A2942="","",IF($G2942="","",IF($M2942="Oui","Litige",IF($J2942&lt;=0,"Payé",IF($I2942&gt;0,"Partiel",IF(Listes!$B$3&gt;$G2942,"En retard","À échoir"))))))</f>
        <v/>
      </c>
      <c r="O2942" s="11">
        <f>IF($A2942="","",IF(OR($G2942="", $J2942&lt;=0),0,MAX(0,Listes!$B$3-$G2942)))</f>
        <v/>
      </c>
      <c r="P2942" s="12">
        <f>IF($A2942="","",IF($J2942&lt;=0,"Payé",IF($M2942="Oui","Litige",IF($O2942=0,"À échoir",IF($O2942&lt;=30,"0-30",IF($O2942&lt;=60,"31-60",IF($O2942&lt;=90,"61-90","90+")))))))</f>
        <v/>
      </c>
    </row>
    <row r="2943">
      <c r="A2943" s="6" t="n"/>
      <c r="B2943" s="6" t="n"/>
      <c r="C2943" s="6" t="n"/>
      <c r="D2943" s="6" t="n"/>
      <c r="E2943" s="6" t="n"/>
      <c r="F2943" s="7" t="n"/>
      <c r="G2943" s="7" t="n"/>
      <c r="H2943" s="8" t="n"/>
      <c r="I2943" s="9">
        <f>IF($A2943="","",SUMIFS(Ventes_Encaissements!$D$6:$D$3005,Ventes_Encaissements!$B$6:$B$3005,$A2943))</f>
        <v/>
      </c>
      <c r="J2943" s="9">
        <f>IF($A2943="","",$H2943-$I2943)</f>
        <v/>
      </c>
      <c r="K2943" s="10">
        <f>IF($A2943="","",IF($I2943=0,"",_xludf.AGGREGATE(14,6,Ventes_Encaissements!$C$6:$C$3005/(Ventes_Encaissements!$B$6:$B$3005=$A2943),1)))</f>
        <v/>
      </c>
      <c r="L2943" s="11">
        <f>IF($A2943="","",COUNTIFS(Ventes_Detail!$B$6:$B$3005,$A2943))</f>
        <v/>
      </c>
      <c r="M2943" s="12" t="n"/>
      <c r="N2943" s="12">
        <f>IF($A2943="","",IF($G2943="","",IF($M2943="Oui","Litige",IF($J2943&lt;=0,"Payé",IF($I2943&gt;0,"Partiel",IF(Listes!$B$3&gt;$G2943,"En retard","À échoir"))))))</f>
        <v/>
      </c>
      <c r="O2943" s="11">
        <f>IF($A2943="","",IF(OR($G2943="", $J2943&lt;=0),0,MAX(0,Listes!$B$3-$G2943)))</f>
        <v/>
      </c>
      <c r="P2943" s="12">
        <f>IF($A2943="","",IF($J2943&lt;=0,"Payé",IF($M2943="Oui","Litige",IF($O2943=0,"À échoir",IF($O2943&lt;=30,"0-30",IF($O2943&lt;=60,"31-60",IF($O2943&lt;=90,"61-90","90+")))))))</f>
        <v/>
      </c>
    </row>
    <row r="2944">
      <c r="A2944" s="6" t="n"/>
      <c r="B2944" s="6" t="n"/>
      <c r="C2944" s="6" t="n"/>
      <c r="D2944" s="6" t="n"/>
      <c r="E2944" s="6" t="n"/>
      <c r="F2944" s="7" t="n"/>
      <c r="G2944" s="7" t="n"/>
      <c r="H2944" s="8" t="n"/>
      <c r="I2944" s="9">
        <f>IF($A2944="","",SUMIFS(Ventes_Encaissements!$D$6:$D$3005,Ventes_Encaissements!$B$6:$B$3005,$A2944))</f>
        <v/>
      </c>
      <c r="J2944" s="9">
        <f>IF($A2944="","",$H2944-$I2944)</f>
        <v/>
      </c>
      <c r="K2944" s="10">
        <f>IF($A2944="","",IF($I2944=0,"",_xludf.AGGREGATE(14,6,Ventes_Encaissements!$C$6:$C$3005/(Ventes_Encaissements!$B$6:$B$3005=$A2944),1)))</f>
        <v/>
      </c>
      <c r="L2944" s="11">
        <f>IF($A2944="","",COUNTIFS(Ventes_Detail!$B$6:$B$3005,$A2944))</f>
        <v/>
      </c>
      <c r="M2944" s="12" t="n"/>
      <c r="N2944" s="12">
        <f>IF($A2944="","",IF($G2944="","",IF($M2944="Oui","Litige",IF($J2944&lt;=0,"Payé",IF($I2944&gt;0,"Partiel",IF(Listes!$B$3&gt;$G2944,"En retard","À échoir"))))))</f>
        <v/>
      </c>
      <c r="O2944" s="11">
        <f>IF($A2944="","",IF(OR($G2944="", $J2944&lt;=0),0,MAX(0,Listes!$B$3-$G2944)))</f>
        <v/>
      </c>
      <c r="P2944" s="12">
        <f>IF($A2944="","",IF($J2944&lt;=0,"Payé",IF($M2944="Oui","Litige",IF($O2944=0,"À échoir",IF($O2944&lt;=30,"0-30",IF($O2944&lt;=60,"31-60",IF($O2944&lt;=90,"61-90","90+")))))))</f>
        <v/>
      </c>
    </row>
    <row r="2945">
      <c r="A2945" s="6" t="n"/>
      <c r="B2945" s="6" t="n"/>
      <c r="C2945" s="6" t="n"/>
      <c r="D2945" s="6" t="n"/>
      <c r="E2945" s="6" t="n"/>
      <c r="F2945" s="7" t="n"/>
      <c r="G2945" s="7" t="n"/>
      <c r="H2945" s="8" t="n"/>
      <c r="I2945" s="9">
        <f>IF($A2945="","",SUMIFS(Ventes_Encaissements!$D$6:$D$3005,Ventes_Encaissements!$B$6:$B$3005,$A2945))</f>
        <v/>
      </c>
      <c r="J2945" s="9">
        <f>IF($A2945="","",$H2945-$I2945)</f>
        <v/>
      </c>
      <c r="K2945" s="10">
        <f>IF($A2945="","",IF($I2945=0,"",_xludf.AGGREGATE(14,6,Ventes_Encaissements!$C$6:$C$3005/(Ventes_Encaissements!$B$6:$B$3005=$A2945),1)))</f>
        <v/>
      </c>
      <c r="L2945" s="11">
        <f>IF($A2945="","",COUNTIFS(Ventes_Detail!$B$6:$B$3005,$A2945))</f>
        <v/>
      </c>
      <c r="M2945" s="12" t="n"/>
      <c r="N2945" s="12">
        <f>IF($A2945="","",IF($G2945="","",IF($M2945="Oui","Litige",IF($J2945&lt;=0,"Payé",IF($I2945&gt;0,"Partiel",IF(Listes!$B$3&gt;$G2945,"En retard","À échoir"))))))</f>
        <v/>
      </c>
      <c r="O2945" s="11">
        <f>IF($A2945="","",IF(OR($G2945="", $J2945&lt;=0),0,MAX(0,Listes!$B$3-$G2945)))</f>
        <v/>
      </c>
      <c r="P2945" s="12">
        <f>IF($A2945="","",IF($J2945&lt;=0,"Payé",IF($M2945="Oui","Litige",IF($O2945=0,"À échoir",IF($O2945&lt;=30,"0-30",IF($O2945&lt;=60,"31-60",IF($O2945&lt;=90,"61-90","90+")))))))</f>
        <v/>
      </c>
    </row>
    <row r="2946">
      <c r="A2946" s="6" t="n"/>
      <c r="B2946" s="6" t="n"/>
      <c r="C2946" s="6" t="n"/>
      <c r="D2946" s="6" t="n"/>
      <c r="E2946" s="6" t="n"/>
      <c r="F2946" s="7" t="n"/>
      <c r="G2946" s="7" t="n"/>
      <c r="H2946" s="8" t="n"/>
      <c r="I2946" s="9">
        <f>IF($A2946="","",SUMIFS(Ventes_Encaissements!$D$6:$D$3005,Ventes_Encaissements!$B$6:$B$3005,$A2946))</f>
        <v/>
      </c>
      <c r="J2946" s="9">
        <f>IF($A2946="","",$H2946-$I2946)</f>
        <v/>
      </c>
      <c r="K2946" s="10">
        <f>IF($A2946="","",IF($I2946=0,"",_xludf.AGGREGATE(14,6,Ventes_Encaissements!$C$6:$C$3005/(Ventes_Encaissements!$B$6:$B$3005=$A2946),1)))</f>
        <v/>
      </c>
      <c r="L2946" s="11">
        <f>IF($A2946="","",COUNTIFS(Ventes_Detail!$B$6:$B$3005,$A2946))</f>
        <v/>
      </c>
      <c r="M2946" s="12" t="n"/>
      <c r="N2946" s="12">
        <f>IF($A2946="","",IF($G2946="","",IF($M2946="Oui","Litige",IF($J2946&lt;=0,"Payé",IF($I2946&gt;0,"Partiel",IF(Listes!$B$3&gt;$G2946,"En retard","À échoir"))))))</f>
        <v/>
      </c>
      <c r="O2946" s="11">
        <f>IF($A2946="","",IF(OR($G2946="", $J2946&lt;=0),0,MAX(0,Listes!$B$3-$G2946)))</f>
        <v/>
      </c>
      <c r="P2946" s="12">
        <f>IF($A2946="","",IF($J2946&lt;=0,"Payé",IF($M2946="Oui","Litige",IF($O2946=0,"À échoir",IF($O2946&lt;=30,"0-30",IF($O2946&lt;=60,"31-60",IF($O2946&lt;=90,"61-90","90+")))))))</f>
        <v/>
      </c>
    </row>
    <row r="2947">
      <c r="A2947" s="6" t="n"/>
      <c r="B2947" s="6" t="n"/>
      <c r="C2947" s="6" t="n"/>
      <c r="D2947" s="6" t="n"/>
      <c r="E2947" s="6" t="n"/>
      <c r="F2947" s="7" t="n"/>
      <c r="G2947" s="7" t="n"/>
      <c r="H2947" s="8" t="n"/>
      <c r="I2947" s="9">
        <f>IF($A2947="","",SUMIFS(Ventes_Encaissements!$D$6:$D$3005,Ventes_Encaissements!$B$6:$B$3005,$A2947))</f>
        <v/>
      </c>
      <c r="J2947" s="9">
        <f>IF($A2947="","",$H2947-$I2947)</f>
        <v/>
      </c>
      <c r="K2947" s="10">
        <f>IF($A2947="","",IF($I2947=0,"",_xludf.AGGREGATE(14,6,Ventes_Encaissements!$C$6:$C$3005/(Ventes_Encaissements!$B$6:$B$3005=$A2947),1)))</f>
        <v/>
      </c>
      <c r="L2947" s="11">
        <f>IF($A2947="","",COUNTIFS(Ventes_Detail!$B$6:$B$3005,$A2947))</f>
        <v/>
      </c>
      <c r="M2947" s="12" t="n"/>
      <c r="N2947" s="12">
        <f>IF($A2947="","",IF($G2947="","",IF($M2947="Oui","Litige",IF($J2947&lt;=0,"Payé",IF($I2947&gt;0,"Partiel",IF(Listes!$B$3&gt;$G2947,"En retard","À échoir"))))))</f>
        <v/>
      </c>
      <c r="O2947" s="11">
        <f>IF($A2947="","",IF(OR($G2947="", $J2947&lt;=0),0,MAX(0,Listes!$B$3-$G2947)))</f>
        <v/>
      </c>
      <c r="P2947" s="12">
        <f>IF($A2947="","",IF($J2947&lt;=0,"Payé",IF($M2947="Oui","Litige",IF($O2947=0,"À échoir",IF($O2947&lt;=30,"0-30",IF($O2947&lt;=60,"31-60",IF($O2947&lt;=90,"61-90","90+")))))))</f>
        <v/>
      </c>
    </row>
    <row r="2948">
      <c r="A2948" s="6" t="n"/>
      <c r="B2948" s="6" t="n"/>
      <c r="C2948" s="6" t="n"/>
      <c r="D2948" s="6" t="n"/>
      <c r="E2948" s="6" t="n"/>
      <c r="F2948" s="7" t="n"/>
      <c r="G2948" s="7" t="n"/>
      <c r="H2948" s="8" t="n"/>
      <c r="I2948" s="9">
        <f>IF($A2948="","",SUMIFS(Ventes_Encaissements!$D$6:$D$3005,Ventes_Encaissements!$B$6:$B$3005,$A2948))</f>
        <v/>
      </c>
      <c r="J2948" s="9">
        <f>IF($A2948="","",$H2948-$I2948)</f>
        <v/>
      </c>
      <c r="K2948" s="10">
        <f>IF($A2948="","",IF($I2948=0,"",_xludf.AGGREGATE(14,6,Ventes_Encaissements!$C$6:$C$3005/(Ventes_Encaissements!$B$6:$B$3005=$A2948),1)))</f>
        <v/>
      </c>
      <c r="L2948" s="11">
        <f>IF($A2948="","",COUNTIFS(Ventes_Detail!$B$6:$B$3005,$A2948))</f>
        <v/>
      </c>
      <c r="M2948" s="12" t="n"/>
      <c r="N2948" s="12">
        <f>IF($A2948="","",IF($G2948="","",IF($M2948="Oui","Litige",IF($J2948&lt;=0,"Payé",IF($I2948&gt;0,"Partiel",IF(Listes!$B$3&gt;$G2948,"En retard","À échoir"))))))</f>
        <v/>
      </c>
      <c r="O2948" s="11">
        <f>IF($A2948="","",IF(OR($G2948="", $J2948&lt;=0),0,MAX(0,Listes!$B$3-$G2948)))</f>
        <v/>
      </c>
      <c r="P2948" s="12">
        <f>IF($A2948="","",IF($J2948&lt;=0,"Payé",IF($M2948="Oui","Litige",IF($O2948=0,"À échoir",IF($O2948&lt;=30,"0-30",IF($O2948&lt;=60,"31-60",IF($O2948&lt;=90,"61-90","90+")))))))</f>
        <v/>
      </c>
    </row>
    <row r="2949">
      <c r="A2949" s="6" t="n"/>
      <c r="B2949" s="6" t="n"/>
      <c r="C2949" s="6" t="n"/>
      <c r="D2949" s="6" t="n"/>
      <c r="E2949" s="6" t="n"/>
      <c r="F2949" s="7" t="n"/>
      <c r="G2949" s="7" t="n"/>
      <c r="H2949" s="8" t="n"/>
      <c r="I2949" s="9">
        <f>IF($A2949="","",SUMIFS(Ventes_Encaissements!$D$6:$D$3005,Ventes_Encaissements!$B$6:$B$3005,$A2949))</f>
        <v/>
      </c>
      <c r="J2949" s="9">
        <f>IF($A2949="","",$H2949-$I2949)</f>
        <v/>
      </c>
      <c r="K2949" s="10">
        <f>IF($A2949="","",IF($I2949=0,"",_xludf.AGGREGATE(14,6,Ventes_Encaissements!$C$6:$C$3005/(Ventes_Encaissements!$B$6:$B$3005=$A2949),1)))</f>
        <v/>
      </c>
      <c r="L2949" s="11">
        <f>IF($A2949="","",COUNTIFS(Ventes_Detail!$B$6:$B$3005,$A2949))</f>
        <v/>
      </c>
      <c r="M2949" s="12" t="n"/>
      <c r="N2949" s="12">
        <f>IF($A2949="","",IF($G2949="","",IF($M2949="Oui","Litige",IF($J2949&lt;=0,"Payé",IF($I2949&gt;0,"Partiel",IF(Listes!$B$3&gt;$G2949,"En retard","À échoir"))))))</f>
        <v/>
      </c>
      <c r="O2949" s="11">
        <f>IF($A2949="","",IF(OR($G2949="", $J2949&lt;=0),0,MAX(0,Listes!$B$3-$G2949)))</f>
        <v/>
      </c>
      <c r="P2949" s="12">
        <f>IF($A2949="","",IF($J2949&lt;=0,"Payé",IF($M2949="Oui","Litige",IF($O2949=0,"À échoir",IF($O2949&lt;=30,"0-30",IF($O2949&lt;=60,"31-60",IF($O2949&lt;=90,"61-90","90+")))))))</f>
        <v/>
      </c>
    </row>
    <row r="2950">
      <c r="A2950" s="6" t="n"/>
      <c r="B2950" s="6" t="n"/>
      <c r="C2950" s="6" t="n"/>
      <c r="D2950" s="6" t="n"/>
      <c r="E2950" s="6" t="n"/>
      <c r="F2950" s="7" t="n"/>
      <c r="G2950" s="7" t="n"/>
      <c r="H2950" s="8" t="n"/>
      <c r="I2950" s="9">
        <f>IF($A2950="","",SUMIFS(Ventes_Encaissements!$D$6:$D$3005,Ventes_Encaissements!$B$6:$B$3005,$A2950))</f>
        <v/>
      </c>
      <c r="J2950" s="9">
        <f>IF($A2950="","",$H2950-$I2950)</f>
        <v/>
      </c>
      <c r="K2950" s="10">
        <f>IF($A2950="","",IF($I2950=0,"",_xludf.AGGREGATE(14,6,Ventes_Encaissements!$C$6:$C$3005/(Ventes_Encaissements!$B$6:$B$3005=$A2950),1)))</f>
        <v/>
      </c>
      <c r="L2950" s="11">
        <f>IF($A2950="","",COUNTIFS(Ventes_Detail!$B$6:$B$3005,$A2950))</f>
        <v/>
      </c>
      <c r="M2950" s="12" t="n"/>
      <c r="N2950" s="12">
        <f>IF($A2950="","",IF($G2950="","",IF($M2950="Oui","Litige",IF($J2950&lt;=0,"Payé",IF($I2950&gt;0,"Partiel",IF(Listes!$B$3&gt;$G2950,"En retard","À échoir"))))))</f>
        <v/>
      </c>
      <c r="O2950" s="11">
        <f>IF($A2950="","",IF(OR($G2950="", $J2950&lt;=0),0,MAX(0,Listes!$B$3-$G2950)))</f>
        <v/>
      </c>
      <c r="P2950" s="12">
        <f>IF($A2950="","",IF($J2950&lt;=0,"Payé",IF($M2950="Oui","Litige",IF($O2950=0,"À échoir",IF($O2950&lt;=30,"0-30",IF($O2950&lt;=60,"31-60",IF($O2950&lt;=90,"61-90","90+")))))))</f>
        <v/>
      </c>
    </row>
    <row r="2951">
      <c r="A2951" s="6" t="n"/>
      <c r="B2951" s="6" t="n"/>
      <c r="C2951" s="6" t="n"/>
      <c r="D2951" s="6" t="n"/>
      <c r="E2951" s="6" t="n"/>
      <c r="F2951" s="7" t="n"/>
      <c r="G2951" s="7" t="n"/>
      <c r="H2951" s="8" t="n"/>
      <c r="I2951" s="9">
        <f>IF($A2951="","",SUMIFS(Ventes_Encaissements!$D$6:$D$3005,Ventes_Encaissements!$B$6:$B$3005,$A2951))</f>
        <v/>
      </c>
      <c r="J2951" s="9">
        <f>IF($A2951="","",$H2951-$I2951)</f>
        <v/>
      </c>
      <c r="K2951" s="10">
        <f>IF($A2951="","",IF($I2951=0,"",_xludf.AGGREGATE(14,6,Ventes_Encaissements!$C$6:$C$3005/(Ventes_Encaissements!$B$6:$B$3005=$A2951),1)))</f>
        <v/>
      </c>
      <c r="L2951" s="11">
        <f>IF($A2951="","",COUNTIFS(Ventes_Detail!$B$6:$B$3005,$A2951))</f>
        <v/>
      </c>
      <c r="M2951" s="12" t="n"/>
      <c r="N2951" s="12">
        <f>IF($A2951="","",IF($G2951="","",IF($M2951="Oui","Litige",IF($J2951&lt;=0,"Payé",IF($I2951&gt;0,"Partiel",IF(Listes!$B$3&gt;$G2951,"En retard","À échoir"))))))</f>
        <v/>
      </c>
      <c r="O2951" s="11">
        <f>IF($A2951="","",IF(OR($G2951="", $J2951&lt;=0),0,MAX(0,Listes!$B$3-$G2951)))</f>
        <v/>
      </c>
      <c r="P2951" s="12">
        <f>IF($A2951="","",IF($J2951&lt;=0,"Payé",IF($M2951="Oui","Litige",IF($O2951=0,"À échoir",IF($O2951&lt;=30,"0-30",IF($O2951&lt;=60,"31-60",IF($O2951&lt;=90,"61-90","90+")))))))</f>
        <v/>
      </c>
    </row>
    <row r="2952">
      <c r="A2952" s="6" t="n"/>
      <c r="B2952" s="6" t="n"/>
      <c r="C2952" s="6" t="n"/>
      <c r="D2952" s="6" t="n"/>
      <c r="E2952" s="6" t="n"/>
      <c r="F2952" s="7" t="n"/>
      <c r="G2952" s="7" t="n"/>
      <c r="H2952" s="8" t="n"/>
      <c r="I2952" s="9">
        <f>IF($A2952="","",SUMIFS(Ventes_Encaissements!$D$6:$D$3005,Ventes_Encaissements!$B$6:$B$3005,$A2952))</f>
        <v/>
      </c>
      <c r="J2952" s="9">
        <f>IF($A2952="","",$H2952-$I2952)</f>
        <v/>
      </c>
      <c r="K2952" s="10">
        <f>IF($A2952="","",IF($I2952=0,"",_xludf.AGGREGATE(14,6,Ventes_Encaissements!$C$6:$C$3005/(Ventes_Encaissements!$B$6:$B$3005=$A2952),1)))</f>
        <v/>
      </c>
      <c r="L2952" s="11">
        <f>IF($A2952="","",COUNTIFS(Ventes_Detail!$B$6:$B$3005,$A2952))</f>
        <v/>
      </c>
      <c r="M2952" s="12" t="n"/>
      <c r="N2952" s="12">
        <f>IF($A2952="","",IF($G2952="","",IF($M2952="Oui","Litige",IF($J2952&lt;=0,"Payé",IF($I2952&gt;0,"Partiel",IF(Listes!$B$3&gt;$G2952,"En retard","À échoir"))))))</f>
        <v/>
      </c>
      <c r="O2952" s="11">
        <f>IF($A2952="","",IF(OR($G2952="", $J2952&lt;=0),0,MAX(0,Listes!$B$3-$G2952)))</f>
        <v/>
      </c>
      <c r="P2952" s="12">
        <f>IF($A2952="","",IF($J2952&lt;=0,"Payé",IF($M2952="Oui","Litige",IF($O2952=0,"À échoir",IF($O2952&lt;=30,"0-30",IF($O2952&lt;=60,"31-60",IF($O2952&lt;=90,"61-90","90+")))))))</f>
        <v/>
      </c>
    </row>
    <row r="2953">
      <c r="A2953" s="6" t="n"/>
      <c r="B2953" s="6" t="n"/>
      <c r="C2953" s="6" t="n"/>
      <c r="D2953" s="6" t="n"/>
      <c r="E2953" s="6" t="n"/>
      <c r="F2953" s="7" t="n"/>
      <c r="G2953" s="7" t="n"/>
      <c r="H2953" s="8" t="n"/>
      <c r="I2953" s="9">
        <f>IF($A2953="","",SUMIFS(Ventes_Encaissements!$D$6:$D$3005,Ventes_Encaissements!$B$6:$B$3005,$A2953))</f>
        <v/>
      </c>
      <c r="J2953" s="9">
        <f>IF($A2953="","",$H2953-$I2953)</f>
        <v/>
      </c>
      <c r="K2953" s="10">
        <f>IF($A2953="","",IF($I2953=0,"",_xludf.AGGREGATE(14,6,Ventes_Encaissements!$C$6:$C$3005/(Ventes_Encaissements!$B$6:$B$3005=$A2953),1)))</f>
        <v/>
      </c>
      <c r="L2953" s="11">
        <f>IF($A2953="","",COUNTIFS(Ventes_Detail!$B$6:$B$3005,$A2953))</f>
        <v/>
      </c>
      <c r="M2953" s="12" t="n"/>
      <c r="N2953" s="12">
        <f>IF($A2953="","",IF($G2953="","",IF($M2953="Oui","Litige",IF($J2953&lt;=0,"Payé",IF($I2953&gt;0,"Partiel",IF(Listes!$B$3&gt;$G2953,"En retard","À échoir"))))))</f>
        <v/>
      </c>
      <c r="O2953" s="11">
        <f>IF($A2953="","",IF(OR($G2953="", $J2953&lt;=0),0,MAX(0,Listes!$B$3-$G2953)))</f>
        <v/>
      </c>
      <c r="P2953" s="12">
        <f>IF($A2953="","",IF($J2953&lt;=0,"Payé",IF($M2953="Oui","Litige",IF($O2953=0,"À échoir",IF($O2953&lt;=30,"0-30",IF($O2953&lt;=60,"31-60",IF($O2953&lt;=90,"61-90","90+")))))))</f>
        <v/>
      </c>
    </row>
    <row r="2954">
      <c r="A2954" s="6" t="n"/>
      <c r="B2954" s="6" t="n"/>
      <c r="C2954" s="6" t="n"/>
      <c r="D2954" s="6" t="n"/>
      <c r="E2954" s="6" t="n"/>
      <c r="F2954" s="7" t="n"/>
      <c r="G2954" s="7" t="n"/>
      <c r="H2954" s="8" t="n"/>
      <c r="I2954" s="9">
        <f>IF($A2954="","",SUMIFS(Ventes_Encaissements!$D$6:$D$3005,Ventes_Encaissements!$B$6:$B$3005,$A2954))</f>
        <v/>
      </c>
      <c r="J2954" s="9">
        <f>IF($A2954="","",$H2954-$I2954)</f>
        <v/>
      </c>
      <c r="K2954" s="10">
        <f>IF($A2954="","",IF($I2954=0,"",_xludf.AGGREGATE(14,6,Ventes_Encaissements!$C$6:$C$3005/(Ventes_Encaissements!$B$6:$B$3005=$A2954),1)))</f>
        <v/>
      </c>
      <c r="L2954" s="11">
        <f>IF($A2954="","",COUNTIFS(Ventes_Detail!$B$6:$B$3005,$A2954))</f>
        <v/>
      </c>
      <c r="M2954" s="12" t="n"/>
      <c r="N2954" s="12">
        <f>IF($A2954="","",IF($G2954="","",IF($M2954="Oui","Litige",IF($J2954&lt;=0,"Payé",IF($I2954&gt;0,"Partiel",IF(Listes!$B$3&gt;$G2954,"En retard","À échoir"))))))</f>
        <v/>
      </c>
      <c r="O2954" s="11">
        <f>IF($A2954="","",IF(OR($G2954="", $J2954&lt;=0),0,MAX(0,Listes!$B$3-$G2954)))</f>
        <v/>
      </c>
      <c r="P2954" s="12">
        <f>IF($A2954="","",IF($J2954&lt;=0,"Payé",IF($M2954="Oui","Litige",IF($O2954=0,"À échoir",IF($O2954&lt;=30,"0-30",IF($O2954&lt;=60,"31-60",IF($O2954&lt;=90,"61-90","90+")))))))</f>
        <v/>
      </c>
    </row>
    <row r="2955">
      <c r="A2955" s="6" t="n"/>
      <c r="B2955" s="6" t="n"/>
      <c r="C2955" s="6" t="n"/>
      <c r="D2955" s="6" t="n"/>
      <c r="E2955" s="6" t="n"/>
      <c r="F2955" s="7" t="n"/>
      <c r="G2955" s="7" t="n"/>
      <c r="H2955" s="8" t="n"/>
      <c r="I2955" s="9">
        <f>IF($A2955="","",SUMIFS(Ventes_Encaissements!$D$6:$D$3005,Ventes_Encaissements!$B$6:$B$3005,$A2955))</f>
        <v/>
      </c>
      <c r="J2955" s="9">
        <f>IF($A2955="","",$H2955-$I2955)</f>
        <v/>
      </c>
      <c r="K2955" s="10">
        <f>IF($A2955="","",IF($I2955=0,"",_xludf.AGGREGATE(14,6,Ventes_Encaissements!$C$6:$C$3005/(Ventes_Encaissements!$B$6:$B$3005=$A2955),1)))</f>
        <v/>
      </c>
      <c r="L2955" s="11">
        <f>IF($A2955="","",COUNTIFS(Ventes_Detail!$B$6:$B$3005,$A2955))</f>
        <v/>
      </c>
      <c r="M2955" s="12" t="n"/>
      <c r="N2955" s="12">
        <f>IF($A2955="","",IF($G2955="","",IF($M2955="Oui","Litige",IF($J2955&lt;=0,"Payé",IF($I2955&gt;0,"Partiel",IF(Listes!$B$3&gt;$G2955,"En retard","À échoir"))))))</f>
        <v/>
      </c>
      <c r="O2955" s="11">
        <f>IF($A2955="","",IF(OR($G2955="", $J2955&lt;=0),0,MAX(0,Listes!$B$3-$G2955)))</f>
        <v/>
      </c>
      <c r="P2955" s="12">
        <f>IF($A2955="","",IF($J2955&lt;=0,"Payé",IF($M2955="Oui","Litige",IF($O2955=0,"À échoir",IF($O2955&lt;=30,"0-30",IF($O2955&lt;=60,"31-60",IF($O2955&lt;=90,"61-90","90+")))))))</f>
        <v/>
      </c>
    </row>
    <row r="2956">
      <c r="A2956" s="6" t="n"/>
      <c r="B2956" s="6" t="n"/>
      <c r="C2956" s="6" t="n"/>
      <c r="D2956" s="6" t="n"/>
      <c r="E2956" s="6" t="n"/>
      <c r="F2956" s="7" t="n"/>
      <c r="G2956" s="7" t="n"/>
      <c r="H2956" s="8" t="n"/>
      <c r="I2956" s="9">
        <f>IF($A2956="","",SUMIFS(Ventes_Encaissements!$D$6:$D$3005,Ventes_Encaissements!$B$6:$B$3005,$A2956))</f>
        <v/>
      </c>
      <c r="J2956" s="9">
        <f>IF($A2956="","",$H2956-$I2956)</f>
        <v/>
      </c>
      <c r="K2956" s="10">
        <f>IF($A2956="","",IF($I2956=0,"",_xludf.AGGREGATE(14,6,Ventes_Encaissements!$C$6:$C$3005/(Ventes_Encaissements!$B$6:$B$3005=$A2956),1)))</f>
        <v/>
      </c>
      <c r="L2956" s="11">
        <f>IF($A2956="","",COUNTIFS(Ventes_Detail!$B$6:$B$3005,$A2956))</f>
        <v/>
      </c>
      <c r="M2956" s="12" t="n"/>
      <c r="N2956" s="12">
        <f>IF($A2956="","",IF($G2956="","",IF($M2956="Oui","Litige",IF($J2956&lt;=0,"Payé",IF($I2956&gt;0,"Partiel",IF(Listes!$B$3&gt;$G2956,"En retard","À échoir"))))))</f>
        <v/>
      </c>
      <c r="O2956" s="11">
        <f>IF($A2956="","",IF(OR($G2956="", $J2956&lt;=0),0,MAX(0,Listes!$B$3-$G2956)))</f>
        <v/>
      </c>
      <c r="P2956" s="12">
        <f>IF($A2956="","",IF($J2956&lt;=0,"Payé",IF($M2956="Oui","Litige",IF($O2956=0,"À échoir",IF($O2956&lt;=30,"0-30",IF($O2956&lt;=60,"31-60",IF($O2956&lt;=90,"61-90","90+")))))))</f>
        <v/>
      </c>
    </row>
    <row r="2957">
      <c r="A2957" s="6" t="n"/>
      <c r="B2957" s="6" t="n"/>
      <c r="C2957" s="6" t="n"/>
      <c r="D2957" s="6" t="n"/>
      <c r="E2957" s="6" t="n"/>
      <c r="F2957" s="7" t="n"/>
      <c r="G2957" s="7" t="n"/>
      <c r="H2957" s="8" t="n"/>
      <c r="I2957" s="9">
        <f>IF($A2957="","",SUMIFS(Ventes_Encaissements!$D$6:$D$3005,Ventes_Encaissements!$B$6:$B$3005,$A2957))</f>
        <v/>
      </c>
      <c r="J2957" s="9">
        <f>IF($A2957="","",$H2957-$I2957)</f>
        <v/>
      </c>
      <c r="K2957" s="10">
        <f>IF($A2957="","",IF($I2957=0,"",_xludf.AGGREGATE(14,6,Ventes_Encaissements!$C$6:$C$3005/(Ventes_Encaissements!$B$6:$B$3005=$A2957),1)))</f>
        <v/>
      </c>
      <c r="L2957" s="11">
        <f>IF($A2957="","",COUNTIFS(Ventes_Detail!$B$6:$B$3005,$A2957))</f>
        <v/>
      </c>
      <c r="M2957" s="12" t="n"/>
      <c r="N2957" s="12">
        <f>IF($A2957="","",IF($G2957="","",IF($M2957="Oui","Litige",IF($J2957&lt;=0,"Payé",IF($I2957&gt;0,"Partiel",IF(Listes!$B$3&gt;$G2957,"En retard","À échoir"))))))</f>
        <v/>
      </c>
      <c r="O2957" s="11">
        <f>IF($A2957="","",IF(OR($G2957="", $J2957&lt;=0),0,MAX(0,Listes!$B$3-$G2957)))</f>
        <v/>
      </c>
      <c r="P2957" s="12">
        <f>IF($A2957="","",IF($J2957&lt;=0,"Payé",IF($M2957="Oui","Litige",IF($O2957=0,"À échoir",IF($O2957&lt;=30,"0-30",IF($O2957&lt;=60,"31-60",IF($O2957&lt;=90,"61-90","90+")))))))</f>
        <v/>
      </c>
    </row>
    <row r="2958">
      <c r="A2958" s="6" t="n"/>
      <c r="B2958" s="6" t="n"/>
      <c r="C2958" s="6" t="n"/>
      <c r="D2958" s="6" t="n"/>
      <c r="E2958" s="6" t="n"/>
      <c r="F2958" s="7" t="n"/>
      <c r="G2958" s="7" t="n"/>
      <c r="H2958" s="8" t="n"/>
      <c r="I2958" s="9">
        <f>IF($A2958="","",SUMIFS(Ventes_Encaissements!$D$6:$D$3005,Ventes_Encaissements!$B$6:$B$3005,$A2958))</f>
        <v/>
      </c>
      <c r="J2958" s="9">
        <f>IF($A2958="","",$H2958-$I2958)</f>
        <v/>
      </c>
      <c r="K2958" s="10">
        <f>IF($A2958="","",IF($I2958=0,"",_xludf.AGGREGATE(14,6,Ventes_Encaissements!$C$6:$C$3005/(Ventes_Encaissements!$B$6:$B$3005=$A2958),1)))</f>
        <v/>
      </c>
      <c r="L2958" s="11">
        <f>IF($A2958="","",COUNTIFS(Ventes_Detail!$B$6:$B$3005,$A2958))</f>
        <v/>
      </c>
      <c r="M2958" s="12" t="n"/>
      <c r="N2958" s="12">
        <f>IF($A2958="","",IF($G2958="","",IF($M2958="Oui","Litige",IF($J2958&lt;=0,"Payé",IF($I2958&gt;0,"Partiel",IF(Listes!$B$3&gt;$G2958,"En retard","À échoir"))))))</f>
        <v/>
      </c>
      <c r="O2958" s="11">
        <f>IF($A2958="","",IF(OR($G2958="", $J2958&lt;=0),0,MAX(0,Listes!$B$3-$G2958)))</f>
        <v/>
      </c>
      <c r="P2958" s="12">
        <f>IF($A2958="","",IF($J2958&lt;=0,"Payé",IF($M2958="Oui","Litige",IF($O2958=0,"À échoir",IF($O2958&lt;=30,"0-30",IF($O2958&lt;=60,"31-60",IF($O2958&lt;=90,"61-90","90+")))))))</f>
        <v/>
      </c>
    </row>
    <row r="2959">
      <c r="A2959" s="6" t="n"/>
      <c r="B2959" s="6" t="n"/>
      <c r="C2959" s="6" t="n"/>
      <c r="D2959" s="6" t="n"/>
      <c r="E2959" s="6" t="n"/>
      <c r="F2959" s="7" t="n"/>
      <c r="G2959" s="7" t="n"/>
      <c r="H2959" s="8" t="n"/>
      <c r="I2959" s="9">
        <f>IF($A2959="","",SUMIFS(Ventes_Encaissements!$D$6:$D$3005,Ventes_Encaissements!$B$6:$B$3005,$A2959))</f>
        <v/>
      </c>
      <c r="J2959" s="9">
        <f>IF($A2959="","",$H2959-$I2959)</f>
        <v/>
      </c>
      <c r="K2959" s="10">
        <f>IF($A2959="","",IF($I2959=0,"",_xludf.AGGREGATE(14,6,Ventes_Encaissements!$C$6:$C$3005/(Ventes_Encaissements!$B$6:$B$3005=$A2959),1)))</f>
        <v/>
      </c>
      <c r="L2959" s="11">
        <f>IF($A2959="","",COUNTIFS(Ventes_Detail!$B$6:$B$3005,$A2959))</f>
        <v/>
      </c>
      <c r="M2959" s="12" t="n"/>
      <c r="N2959" s="12">
        <f>IF($A2959="","",IF($G2959="","",IF($M2959="Oui","Litige",IF($J2959&lt;=0,"Payé",IF($I2959&gt;0,"Partiel",IF(Listes!$B$3&gt;$G2959,"En retard","À échoir"))))))</f>
        <v/>
      </c>
      <c r="O2959" s="11">
        <f>IF($A2959="","",IF(OR($G2959="", $J2959&lt;=0),0,MAX(0,Listes!$B$3-$G2959)))</f>
        <v/>
      </c>
      <c r="P2959" s="12">
        <f>IF($A2959="","",IF($J2959&lt;=0,"Payé",IF($M2959="Oui","Litige",IF($O2959=0,"À échoir",IF($O2959&lt;=30,"0-30",IF($O2959&lt;=60,"31-60",IF($O2959&lt;=90,"61-90","90+")))))))</f>
        <v/>
      </c>
    </row>
    <row r="2960">
      <c r="A2960" s="6" t="n"/>
      <c r="B2960" s="6" t="n"/>
      <c r="C2960" s="6" t="n"/>
      <c r="D2960" s="6" t="n"/>
      <c r="E2960" s="6" t="n"/>
      <c r="F2960" s="7" t="n"/>
      <c r="G2960" s="7" t="n"/>
      <c r="H2960" s="8" t="n"/>
      <c r="I2960" s="9">
        <f>IF($A2960="","",SUMIFS(Ventes_Encaissements!$D$6:$D$3005,Ventes_Encaissements!$B$6:$B$3005,$A2960))</f>
        <v/>
      </c>
      <c r="J2960" s="9">
        <f>IF($A2960="","",$H2960-$I2960)</f>
        <v/>
      </c>
      <c r="K2960" s="10">
        <f>IF($A2960="","",IF($I2960=0,"",_xludf.AGGREGATE(14,6,Ventes_Encaissements!$C$6:$C$3005/(Ventes_Encaissements!$B$6:$B$3005=$A2960),1)))</f>
        <v/>
      </c>
      <c r="L2960" s="11">
        <f>IF($A2960="","",COUNTIFS(Ventes_Detail!$B$6:$B$3005,$A2960))</f>
        <v/>
      </c>
      <c r="M2960" s="12" t="n"/>
      <c r="N2960" s="12">
        <f>IF($A2960="","",IF($G2960="","",IF($M2960="Oui","Litige",IF($J2960&lt;=0,"Payé",IF($I2960&gt;0,"Partiel",IF(Listes!$B$3&gt;$G2960,"En retard","À échoir"))))))</f>
        <v/>
      </c>
      <c r="O2960" s="11">
        <f>IF($A2960="","",IF(OR($G2960="", $J2960&lt;=0),0,MAX(0,Listes!$B$3-$G2960)))</f>
        <v/>
      </c>
      <c r="P2960" s="12">
        <f>IF($A2960="","",IF($J2960&lt;=0,"Payé",IF($M2960="Oui","Litige",IF($O2960=0,"À échoir",IF($O2960&lt;=30,"0-30",IF($O2960&lt;=60,"31-60",IF($O2960&lt;=90,"61-90","90+")))))))</f>
        <v/>
      </c>
    </row>
    <row r="2961">
      <c r="A2961" s="6" t="n"/>
      <c r="B2961" s="6" t="n"/>
      <c r="C2961" s="6" t="n"/>
      <c r="D2961" s="6" t="n"/>
      <c r="E2961" s="6" t="n"/>
      <c r="F2961" s="7" t="n"/>
      <c r="G2961" s="7" t="n"/>
      <c r="H2961" s="8" t="n"/>
      <c r="I2961" s="9">
        <f>IF($A2961="","",SUMIFS(Ventes_Encaissements!$D$6:$D$3005,Ventes_Encaissements!$B$6:$B$3005,$A2961))</f>
        <v/>
      </c>
      <c r="J2961" s="9">
        <f>IF($A2961="","",$H2961-$I2961)</f>
        <v/>
      </c>
      <c r="K2961" s="10">
        <f>IF($A2961="","",IF($I2961=0,"",_xludf.AGGREGATE(14,6,Ventes_Encaissements!$C$6:$C$3005/(Ventes_Encaissements!$B$6:$B$3005=$A2961),1)))</f>
        <v/>
      </c>
      <c r="L2961" s="11">
        <f>IF($A2961="","",COUNTIFS(Ventes_Detail!$B$6:$B$3005,$A2961))</f>
        <v/>
      </c>
      <c r="M2961" s="12" t="n"/>
      <c r="N2961" s="12">
        <f>IF($A2961="","",IF($G2961="","",IF($M2961="Oui","Litige",IF($J2961&lt;=0,"Payé",IF($I2961&gt;0,"Partiel",IF(Listes!$B$3&gt;$G2961,"En retard","À échoir"))))))</f>
        <v/>
      </c>
      <c r="O2961" s="11">
        <f>IF($A2961="","",IF(OR($G2961="", $J2961&lt;=0),0,MAX(0,Listes!$B$3-$G2961)))</f>
        <v/>
      </c>
      <c r="P2961" s="12">
        <f>IF($A2961="","",IF($J2961&lt;=0,"Payé",IF($M2961="Oui","Litige",IF($O2961=0,"À échoir",IF($O2961&lt;=30,"0-30",IF($O2961&lt;=60,"31-60",IF($O2961&lt;=90,"61-90","90+")))))))</f>
        <v/>
      </c>
    </row>
    <row r="2962">
      <c r="A2962" s="6" t="n"/>
      <c r="B2962" s="6" t="n"/>
      <c r="C2962" s="6" t="n"/>
      <c r="D2962" s="6" t="n"/>
      <c r="E2962" s="6" t="n"/>
      <c r="F2962" s="7" t="n"/>
      <c r="G2962" s="7" t="n"/>
      <c r="H2962" s="8" t="n"/>
      <c r="I2962" s="9">
        <f>IF($A2962="","",SUMIFS(Ventes_Encaissements!$D$6:$D$3005,Ventes_Encaissements!$B$6:$B$3005,$A2962))</f>
        <v/>
      </c>
      <c r="J2962" s="9">
        <f>IF($A2962="","",$H2962-$I2962)</f>
        <v/>
      </c>
      <c r="K2962" s="10">
        <f>IF($A2962="","",IF($I2962=0,"",_xludf.AGGREGATE(14,6,Ventes_Encaissements!$C$6:$C$3005/(Ventes_Encaissements!$B$6:$B$3005=$A2962),1)))</f>
        <v/>
      </c>
      <c r="L2962" s="11">
        <f>IF($A2962="","",COUNTIFS(Ventes_Detail!$B$6:$B$3005,$A2962))</f>
        <v/>
      </c>
      <c r="M2962" s="12" t="n"/>
      <c r="N2962" s="12">
        <f>IF($A2962="","",IF($G2962="","",IF($M2962="Oui","Litige",IF($J2962&lt;=0,"Payé",IF($I2962&gt;0,"Partiel",IF(Listes!$B$3&gt;$G2962,"En retard","À échoir"))))))</f>
        <v/>
      </c>
      <c r="O2962" s="11">
        <f>IF($A2962="","",IF(OR($G2962="", $J2962&lt;=0),0,MAX(0,Listes!$B$3-$G2962)))</f>
        <v/>
      </c>
      <c r="P2962" s="12">
        <f>IF($A2962="","",IF($J2962&lt;=0,"Payé",IF($M2962="Oui","Litige",IF($O2962=0,"À échoir",IF($O2962&lt;=30,"0-30",IF($O2962&lt;=60,"31-60",IF($O2962&lt;=90,"61-90","90+")))))))</f>
        <v/>
      </c>
    </row>
    <row r="2963">
      <c r="A2963" s="6" t="n"/>
      <c r="B2963" s="6" t="n"/>
      <c r="C2963" s="6" t="n"/>
      <c r="D2963" s="6" t="n"/>
      <c r="E2963" s="6" t="n"/>
      <c r="F2963" s="7" t="n"/>
      <c r="G2963" s="7" t="n"/>
      <c r="H2963" s="8" t="n"/>
      <c r="I2963" s="9">
        <f>IF($A2963="","",SUMIFS(Ventes_Encaissements!$D$6:$D$3005,Ventes_Encaissements!$B$6:$B$3005,$A2963))</f>
        <v/>
      </c>
      <c r="J2963" s="9">
        <f>IF($A2963="","",$H2963-$I2963)</f>
        <v/>
      </c>
      <c r="K2963" s="10">
        <f>IF($A2963="","",IF($I2963=0,"",_xludf.AGGREGATE(14,6,Ventes_Encaissements!$C$6:$C$3005/(Ventes_Encaissements!$B$6:$B$3005=$A2963),1)))</f>
        <v/>
      </c>
      <c r="L2963" s="11">
        <f>IF($A2963="","",COUNTIFS(Ventes_Detail!$B$6:$B$3005,$A2963))</f>
        <v/>
      </c>
      <c r="M2963" s="12" t="n"/>
      <c r="N2963" s="12">
        <f>IF($A2963="","",IF($G2963="","",IF($M2963="Oui","Litige",IF($J2963&lt;=0,"Payé",IF($I2963&gt;0,"Partiel",IF(Listes!$B$3&gt;$G2963,"En retard","À échoir"))))))</f>
        <v/>
      </c>
      <c r="O2963" s="11">
        <f>IF($A2963="","",IF(OR($G2963="", $J2963&lt;=0),0,MAX(0,Listes!$B$3-$G2963)))</f>
        <v/>
      </c>
      <c r="P2963" s="12">
        <f>IF($A2963="","",IF($J2963&lt;=0,"Payé",IF($M2963="Oui","Litige",IF($O2963=0,"À échoir",IF($O2963&lt;=30,"0-30",IF($O2963&lt;=60,"31-60",IF($O2963&lt;=90,"61-90","90+")))))))</f>
        <v/>
      </c>
    </row>
    <row r="2964">
      <c r="A2964" s="6" t="n"/>
      <c r="B2964" s="6" t="n"/>
      <c r="C2964" s="6" t="n"/>
      <c r="D2964" s="6" t="n"/>
      <c r="E2964" s="6" t="n"/>
      <c r="F2964" s="7" t="n"/>
      <c r="G2964" s="7" t="n"/>
      <c r="H2964" s="8" t="n"/>
      <c r="I2964" s="9">
        <f>IF($A2964="","",SUMIFS(Ventes_Encaissements!$D$6:$D$3005,Ventes_Encaissements!$B$6:$B$3005,$A2964))</f>
        <v/>
      </c>
      <c r="J2964" s="9">
        <f>IF($A2964="","",$H2964-$I2964)</f>
        <v/>
      </c>
      <c r="K2964" s="10">
        <f>IF($A2964="","",IF($I2964=0,"",_xludf.AGGREGATE(14,6,Ventes_Encaissements!$C$6:$C$3005/(Ventes_Encaissements!$B$6:$B$3005=$A2964),1)))</f>
        <v/>
      </c>
      <c r="L2964" s="11">
        <f>IF($A2964="","",COUNTIFS(Ventes_Detail!$B$6:$B$3005,$A2964))</f>
        <v/>
      </c>
      <c r="M2964" s="12" t="n"/>
      <c r="N2964" s="12">
        <f>IF($A2964="","",IF($G2964="","",IF($M2964="Oui","Litige",IF($J2964&lt;=0,"Payé",IF($I2964&gt;0,"Partiel",IF(Listes!$B$3&gt;$G2964,"En retard","À échoir"))))))</f>
        <v/>
      </c>
      <c r="O2964" s="11">
        <f>IF($A2964="","",IF(OR($G2964="", $J2964&lt;=0),0,MAX(0,Listes!$B$3-$G2964)))</f>
        <v/>
      </c>
      <c r="P2964" s="12">
        <f>IF($A2964="","",IF($J2964&lt;=0,"Payé",IF($M2964="Oui","Litige",IF($O2964=0,"À échoir",IF($O2964&lt;=30,"0-30",IF($O2964&lt;=60,"31-60",IF($O2964&lt;=90,"61-90","90+")))))))</f>
        <v/>
      </c>
    </row>
    <row r="2965">
      <c r="A2965" s="6" t="n"/>
      <c r="B2965" s="6" t="n"/>
      <c r="C2965" s="6" t="n"/>
      <c r="D2965" s="6" t="n"/>
      <c r="E2965" s="6" t="n"/>
      <c r="F2965" s="7" t="n"/>
      <c r="G2965" s="7" t="n"/>
      <c r="H2965" s="8" t="n"/>
      <c r="I2965" s="9">
        <f>IF($A2965="","",SUMIFS(Ventes_Encaissements!$D$6:$D$3005,Ventes_Encaissements!$B$6:$B$3005,$A2965))</f>
        <v/>
      </c>
      <c r="J2965" s="9">
        <f>IF($A2965="","",$H2965-$I2965)</f>
        <v/>
      </c>
      <c r="K2965" s="10">
        <f>IF($A2965="","",IF($I2965=0,"",_xludf.AGGREGATE(14,6,Ventes_Encaissements!$C$6:$C$3005/(Ventes_Encaissements!$B$6:$B$3005=$A2965),1)))</f>
        <v/>
      </c>
      <c r="L2965" s="11">
        <f>IF($A2965="","",COUNTIFS(Ventes_Detail!$B$6:$B$3005,$A2965))</f>
        <v/>
      </c>
      <c r="M2965" s="12" t="n"/>
      <c r="N2965" s="12">
        <f>IF($A2965="","",IF($G2965="","",IF($M2965="Oui","Litige",IF($J2965&lt;=0,"Payé",IF($I2965&gt;0,"Partiel",IF(Listes!$B$3&gt;$G2965,"En retard","À échoir"))))))</f>
        <v/>
      </c>
      <c r="O2965" s="11">
        <f>IF($A2965="","",IF(OR($G2965="", $J2965&lt;=0),0,MAX(0,Listes!$B$3-$G2965)))</f>
        <v/>
      </c>
      <c r="P2965" s="12">
        <f>IF($A2965="","",IF($J2965&lt;=0,"Payé",IF($M2965="Oui","Litige",IF($O2965=0,"À échoir",IF($O2965&lt;=30,"0-30",IF($O2965&lt;=60,"31-60",IF($O2965&lt;=90,"61-90","90+")))))))</f>
        <v/>
      </c>
    </row>
    <row r="2966">
      <c r="A2966" s="6" t="n"/>
      <c r="B2966" s="6" t="n"/>
      <c r="C2966" s="6" t="n"/>
      <c r="D2966" s="6" t="n"/>
      <c r="E2966" s="6" t="n"/>
      <c r="F2966" s="7" t="n"/>
      <c r="G2966" s="7" t="n"/>
      <c r="H2966" s="8" t="n"/>
      <c r="I2966" s="9">
        <f>IF($A2966="","",SUMIFS(Ventes_Encaissements!$D$6:$D$3005,Ventes_Encaissements!$B$6:$B$3005,$A2966))</f>
        <v/>
      </c>
      <c r="J2966" s="9">
        <f>IF($A2966="","",$H2966-$I2966)</f>
        <v/>
      </c>
      <c r="K2966" s="10">
        <f>IF($A2966="","",IF($I2966=0,"",_xludf.AGGREGATE(14,6,Ventes_Encaissements!$C$6:$C$3005/(Ventes_Encaissements!$B$6:$B$3005=$A2966),1)))</f>
        <v/>
      </c>
      <c r="L2966" s="11">
        <f>IF($A2966="","",COUNTIFS(Ventes_Detail!$B$6:$B$3005,$A2966))</f>
        <v/>
      </c>
      <c r="M2966" s="12" t="n"/>
      <c r="N2966" s="12">
        <f>IF($A2966="","",IF($G2966="","",IF($M2966="Oui","Litige",IF($J2966&lt;=0,"Payé",IF($I2966&gt;0,"Partiel",IF(Listes!$B$3&gt;$G2966,"En retard","À échoir"))))))</f>
        <v/>
      </c>
      <c r="O2966" s="11">
        <f>IF($A2966="","",IF(OR($G2966="", $J2966&lt;=0),0,MAX(0,Listes!$B$3-$G2966)))</f>
        <v/>
      </c>
      <c r="P2966" s="12">
        <f>IF($A2966="","",IF($J2966&lt;=0,"Payé",IF($M2966="Oui","Litige",IF($O2966=0,"À échoir",IF($O2966&lt;=30,"0-30",IF($O2966&lt;=60,"31-60",IF($O2966&lt;=90,"61-90","90+")))))))</f>
        <v/>
      </c>
    </row>
    <row r="2967">
      <c r="A2967" s="6" t="n"/>
      <c r="B2967" s="6" t="n"/>
      <c r="C2967" s="6" t="n"/>
      <c r="D2967" s="6" t="n"/>
      <c r="E2967" s="6" t="n"/>
      <c r="F2967" s="7" t="n"/>
      <c r="G2967" s="7" t="n"/>
      <c r="H2967" s="8" t="n"/>
      <c r="I2967" s="9">
        <f>IF($A2967="","",SUMIFS(Ventes_Encaissements!$D$6:$D$3005,Ventes_Encaissements!$B$6:$B$3005,$A2967))</f>
        <v/>
      </c>
      <c r="J2967" s="9">
        <f>IF($A2967="","",$H2967-$I2967)</f>
        <v/>
      </c>
      <c r="K2967" s="10">
        <f>IF($A2967="","",IF($I2967=0,"",_xludf.AGGREGATE(14,6,Ventes_Encaissements!$C$6:$C$3005/(Ventes_Encaissements!$B$6:$B$3005=$A2967),1)))</f>
        <v/>
      </c>
      <c r="L2967" s="11">
        <f>IF($A2967="","",COUNTIFS(Ventes_Detail!$B$6:$B$3005,$A2967))</f>
        <v/>
      </c>
      <c r="M2967" s="12" t="n"/>
      <c r="N2967" s="12">
        <f>IF($A2967="","",IF($G2967="","",IF($M2967="Oui","Litige",IF($J2967&lt;=0,"Payé",IF($I2967&gt;0,"Partiel",IF(Listes!$B$3&gt;$G2967,"En retard","À échoir"))))))</f>
        <v/>
      </c>
      <c r="O2967" s="11">
        <f>IF($A2967="","",IF(OR($G2967="", $J2967&lt;=0),0,MAX(0,Listes!$B$3-$G2967)))</f>
        <v/>
      </c>
      <c r="P2967" s="12">
        <f>IF($A2967="","",IF($J2967&lt;=0,"Payé",IF($M2967="Oui","Litige",IF($O2967=0,"À échoir",IF($O2967&lt;=30,"0-30",IF($O2967&lt;=60,"31-60",IF($O2967&lt;=90,"61-90","90+")))))))</f>
        <v/>
      </c>
    </row>
    <row r="2968">
      <c r="A2968" s="6" t="n"/>
      <c r="B2968" s="6" t="n"/>
      <c r="C2968" s="6" t="n"/>
      <c r="D2968" s="6" t="n"/>
      <c r="E2968" s="6" t="n"/>
      <c r="F2968" s="7" t="n"/>
      <c r="G2968" s="7" t="n"/>
      <c r="H2968" s="8" t="n"/>
      <c r="I2968" s="9">
        <f>IF($A2968="","",SUMIFS(Ventes_Encaissements!$D$6:$D$3005,Ventes_Encaissements!$B$6:$B$3005,$A2968))</f>
        <v/>
      </c>
      <c r="J2968" s="9">
        <f>IF($A2968="","",$H2968-$I2968)</f>
        <v/>
      </c>
      <c r="K2968" s="10">
        <f>IF($A2968="","",IF($I2968=0,"",_xludf.AGGREGATE(14,6,Ventes_Encaissements!$C$6:$C$3005/(Ventes_Encaissements!$B$6:$B$3005=$A2968),1)))</f>
        <v/>
      </c>
      <c r="L2968" s="11">
        <f>IF($A2968="","",COUNTIFS(Ventes_Detail!$B$6:$B$3005,$A2968))</f>
        <v/>
      </c>
      <c r="M2968" s="12" t="n"/>
      <c r="N2968" s="12">
        <f>IF($A2968="","",IF($G2968="","",IF($M2968="Oui","Litige",IF($J2968&lt;=0,"Payé",IF($I2968&gt;0,"Partiel",IF(Listes!$B$3&gt;$G2968,"En retard","À échoir"))))))</f>
        <v/>
      </c>
      <c r="O2968" s="11">
        <f>IF($A2968="","",IF(OR($G2968="", $J2968&lt;=0),0,MAX(0,Listes!$B$3-$G2968)))</f>
        <v/>
      </c>
      <c r="P2968" s="12">
        <f>IF($A2968="","",IF($J2968&lt;=0,"Payé",IF($M2968="Oui","Litige",IF($O2968=0,"À échoir",IF($O2968&lt;=30,"0-30",IF($O2968&lt;=60,"31-60",IF($O2968&lt;=90,"61-90","90+")))))))</f>
        <v/>
      </c>
    </row>
    <row r="2969">
      <c r="A2969" s="6" t="n"/>
      <c r="B2969" s="6" t="n"/>
      <c r="C2969" s="6" t="n"/>
      <c r="D2969" s="6" t="n"/>
      <c r="E2969" s="6" t="n"/>
      <c r="F2969" s="7" t="n"/>
      <c r="G2969" s="7" t="n"/>
      <c r="H2969" s="8" t="n"/>
      <c r="I2969" s="9">
        <f>IF($A2969="","",SUMIFS(Ventes_Encaissements!$D$6:$D$3005,Ventes_Encaissements!$B$6:$B$3005,$A2969))</f>
        <v/>
      </c>
      <c r="J2969" s="9">
        <f>IF($A2969="","",$H2969-$I2969)</f>
        <v/>
      </c>
      <c r="K2969" s="10">
        <f>IF($A2969="","",IF($I2969=0,"",_xludf.AGGREGATE(14,6,Ventes_Encaissements!$C$6:$C$3005/(Ventes_Encaissements!$B$6:$B$3005=$A2969),1)))</f>
        <v/>
      </c>
      <c r="L2969" s="11">
        <f>IF($A2969="","",COUNTIFS(Ventes_Detail!$B$6:$B$3005,$A2969))</f>
        <v/>
      </c>
      <c r="M2969" s="12" t="n"/>
      <c r="N2969" s="12">
        <f>IF($A2969="","",IF($G2969="","",IF($M2969="Oui","Litige",IF($J2969&lt;=0,"Payé",IF($I2969&gt;0,"Partiel",IF(Listes!$B$3&gt;$G2969,"En retard","À échoir"))))))</f>
        <v/>
      </c>
      <c r="O2969" s="11">
        <f>IF($A2969="","",IF(OR($G2969="", $J2969&lt;=0),0,MAX(0,Listes!$B$3-$G2969)))</f>
        <v/>
      </c>
      <c r="P2969" s="12">
        <f>IF($A2969="","",IF($J2969&lt;=0,"Payé",IF($M2969="Oui","Litige",IF($O2969=0,"À échoir",IF($O2969&lt;=30,"0-30",IF($O2969&lt;=60,"31-60",IF($O2969&lt;=90,"61-90","90+")))))))</f>
        <v/>
      </c>
    </row>
    <row r="2970">
      <c r="A2970" s="6" t="n"/>
      <c r="B2970" s="6" t="n"/>
      <c r="C2970" s="6" t="n"/>
      <c r="D2970" s="6" t="n"/>
      <c r="E2970" s="6" t="n"/>
      <c r="F2970" s="7" t="n"/>
      <c r="G2970" s="7" t="n"/>
      <c r="H2970" s="8" t="n"/>
      <c r="I2970" s="9">
        <f>IF($A2970="","",SUMIFS(Ventes_Encaissements!$D$6:$D$3005,Ventes_Encaissements!$B$6:$B$3005,$A2970))</f>
        <v/>
      </c>
      <c r="J2970" s="9">
        <f>IF($A2970="","",$H2970-$I2970)</f>
        <v/>
      </c>
      <c r="K2970" s="10">
        <f>IF($A2970="","",IF($I2970=0,"",_xludf.AGGREGATE(14,6,Ventes_Encaissements!$C$6:$C$3005/(Ventes_Encaissements!$B$6:$B$3005=$A2970),1)))</f>
        <v/>
      </c>
      <c r="L2970" s="11">
        <f>IF($A2970="","",COUNTIFS(Ventes_Detail!$B$6:$B$3005,$A2970))</f>
        <v/>
      </c>
      <c r="M2970" s="12" t="n"/>
      <c r="N2970" s="12">
        <f>IF($A2970="","",IF($G2970="","",IF($M2970="Oui","Litige",IF($J2970&lt;=0,"Payé",IF($I2970&gt;0,"Partiel",IF(Listes!$B$3&gt;$G2970,"En retard","À échoir"))))))</f>
        <v/>
      </c>
      <c r="O2970" s="11">
        <f>IF($A2970="","",IF(OR($G2970="", $J2970&lt;=0),0,MAX(0,Listes!$B$3-$G2970)))</f>
        <v/>
      </c>
      <c r="P2970" s="12">
        <f>IF($A2970="","",IF($J2970&lt;=0,"Payé",IF($M2970="Oui","Litige",IF($O2970=0,"À échoir",IF($O2970&lt;=30,"0-30",IF($O2970&lt;=60,"31-60",IF($O2970&lt;=90,"61-90","90+")))))))</f>
        <v/>
      </c>
    </row>
    <row r="2971">
      <c r="A2971" s="6" t="n"/>
      <c r="B2971" s="6" t="n"/>
      <c r="C2971" s="6" t="n"/>
      <c r="D2971" s="6" t="n"/>
      <c r="E2971" s="6" t="n"/>
      <c r="F2971" s="7" t="n"/>
      <c r="G2971" s="7" t="n"/>
      <c r="H2971" s="8" t="n"/>
      <c r="I2971" s="9">
        <f>IF($A2971="","",SUMIFS(Ventes_Encaissements!$D$6:$D$3005,Ventes_Encaissements!$B$6:$B$3005,$A2971))</f>
        <v/>
      </c>
      <c r="J2971" s="9">
        <f>IF($A2971="","",$H2971-$I2971)</f>
        <v/>
      </c>
      <c r="K2971" s="10">
        <f>IF($A2971="","",IF($I2971=0,"",_xludf.AGGREGATE(14,6,Ventes_Encaissements!$C$6:$C$3005/(Ventes_Encaissements!$B$6:$B$3005=$A2971),1)))</f>
        <v/>
      </c>
      <c r="L2971" s="11">
        <f>IF($A2971="","",COUNTIFS(Ventes_Detail!$B$6:$B$3005,$A2971))</f>
        <v/>
      </c>
      <c r="M2971" s="12" t="n"/>
      <c r="N2971" s="12">
        <f>IF($A2971="","",IF($G2971="","",IF($M2971="Oui","Litige",IF($J2971&lt;=0,"Payé",IF($I2971&gt;0,"Partiel",IF(Listes!$B$3&gt;$G2971,"En retard","À échoir"))))))</f>
        <v/>
      </c>
      <c r="O2971" s="11">
        <f>IF($A2971="","",IF(OR($G2971="", $J2971&lt;=0),0,MAX(0,Listes!$B$3-$G2971)))</f>
        <v/>
      </c>
      <c r="P2971" s="12">
        <f>IF($A2971="","",IF($J2971&lt;=0,"Payé",IF($M2971="Oui","Litige",IF($O2971=0,"À échoir",IF($O2971&lt;=30,"0-30",IF($O2971&lt;=60,"31-60",IF($O2971&lt;=90,"61-90","90+")))))))</f>
        <v/>
      </c>
    </row>
    <row r="2972">
      <c r="A2972" s="6" t="n"/>
      <c r="B2972" s="6" t="n"/>
      <c r="C2972" s="6" t="n"/>
      <c r="D2972" s="6" t="n"/>
      <c r="E2972" s="6" t="n"/>
      <c r="F2972" s="7" t="n"/>
      <c r="G2972" s="7" t="n"/>
      <c r="H2972" s="8" t="n"/>
      <c r="I2972" s="9">
        <f>IF($A2972="","",SUMIFS(Ventes_Encaissements!$D$6:$D$3005,Ventes_Encaissements!$B$6:$B$3005,$A2972))</f>
        <v/>
      </c>
      <c r="J2972" s="9">
        <f>IF($A2972="","",$H2972-$I2972)</f>
        <v/>
      </c>
      <c r="K2972" s="10">
        <f>IF($A2972="","",IF($I2972=0,"",_xludf.AGGREGATE(14,6,Ventes_Encaissements!$C$6:$C$3005/(Ventes_Encaissements!$B$6:$B$3005=$A2972),1)))</f>
        <v/>
      </c>
      <c r="L2972" s="11">
        <f>IF($A2972="","",COUNTIFS(Ventes_Detail!$B$6:$B$3005,$A2972))</f>
        <v/>
      </c>
      <c r="M2972" s="12" t="n"/>
      <c r="N2972" s="12">
        <f>IF($A2972="","",IF($G2972="","",IF($M2972="Oui","Litige",IF($J2972&lt;=0,"Payé",IF($I2972&gt;0,"Partiel",IF(Listes!$B$3&gt;$G2972,"En retard","À échoir"))))))</f>
        <v/>
      </c>
      <c r="O2972" s="11">
        <f>IF($A2972="","",IF(OR($G2972="", $J2972&lt;=0),0,MAX(0,Listes!$B$3-$G2972)))</f>
        <v/>
      </c>
      <c r="P2972" s="12">
        <f>IF($A2972="","",IF($J2972&lt;=0,"Payé",IF($M2972="Oui","Litige",IF($O2972=0,"À échoir",IF($O2972&lt;=30,"0-30",IF($O2972&lt;=60,"31-60",IF($O2972&lt;=90,"61-90","90+")))))))</f>
        <v/>
      </c>
    </row>
    <row r="2973">
      <c r="A2973" s="6" t="n"/>
      <c r="B2973" s="6" t="n"/>
      <c r="C2973" s="6" t="n"/>
      <c r="D2973" s="6" t="n"/>
      <c r="E2973" s="6" t="n"/>
      <c r="F2973" s="7" t="n"/>
      <c r="G2973" s="7" t="n"/>
      <c r="H2973" s="8" t="n"/>
      <c r="I2973" s="9">
        <f>IF($A2973="","",SUMIFS(Ventes_Encaissements!$D$6:$D$3005,Ventes_Encaissements!$B$6:$B$3005,$A2973))</f>
        <v/>
      </c>
      <c r="J2973" s="9">
        <f>IF($A2973="","",$H2973-$I2973)</f>
        <v/>
      </c>
      <c r="K2973" s="10">
        <f>IF($A2973="","",IF($I2973=0,"",_xludf.AGGREGATE(14,6,Ventes_Encaissements!$C$6:$C$3005/(Ventes_Encaissements!$B$6:$B$3005=$A2973),1)))</f>
        <v/>
      </c>
      <c r="L2973" s="11">
        <f>IF($A2973="","",COUNTIFS(Ventes_Detail!$B$6:$B$3005,$A2973))</f>
        <v/>
      </c>
      <c r="M2973" s="12" t="n"/>
      <c r="N2973" s="12">
        <f>IF($A2973="","",IF($G2973="","",IF($M2973="Oui","Litige",IF($J2973&lt;=0,"Payé",IF($I2973&gt;0,"Partiel",IF(Listes!$B$3&gt;$G2973,"En retard","À échoir"))))))</f>
        <v/>
      </c>
      <c r="O2973" s="11">
        <f>IF($A2973="","",IF(OR($G2973="", $J2973&lt;=0),0,MAX(0,Listes!$B$3-$G2973)))</f>
        <v/>
      </c>
      <c r="P2973" s="12">
        <f>IF($A2973="","",IF($J2973&lt;=0,"Payé",IF($M2973="Oui","Litige",IF($O2973=0,"À échoir",IF($O2973&lt;=30,"0-30",IF($O2973&lt;=60,"31-60",IF($O2973&lt;=90,"61-90","90+")))))))</f>
        <v/>
      </c>
    </row>
    <row r="2974">
      <c r="A2974" s="6" t="n"/>
      <c r="B2974" s="6" t="n"/>
      <c r="C2974" s="6" t="n"/>
      <c r="D2974" s="6" t="n"/>
      <c r="E2974" s="6" t="n"/>
      <c r="F2974" s="7" t="n"/>
      <c r="G2974" s="7" t="n"/>
      <c r="H2974" s="8" t="n"/>
      <c r="I2974" s="9">
        <f>IF($A2974="","",SUMIFS(Ventes_Encaissements!$D$6:$D$3005,Ventes_Encaissements!$B$6:$B$3005,$A2974))</f>
        <v/>
      </c>
      <c r="J2974" s="9">
        <f>IF($A2974="","",$H2974-$I2974)</f>
        <v/>
      </c>
      <c r="K2974" s="10">
        <f>IF($A2974="","",IF($I2974=0,"",_xludf.AGGREGATE(14,6,Ventes_Encaissements!$C$6:$C$3005/(Ventes_Encaissements!$B$6:$B$3005=$A2974),1)))</f>
        <v/>
      </c>
      <c r="L2974" s="11">
        <f>IF($A2974="","",COUNTIFS(Ventes_Detail!$B$6:$B$3005,$A2974))</f>
        <v/>
      </c>
      <c r="M2974" s="12" t="n"/>
      <c r="N2974" s="12">
        <f>IF($A2974="","",IF($G2974="","",IF($M2974="Oui","Litige",IF($J2974&lt;=0,"Payé",IF($I2974&gt;0,"Partiel",IF(Listes!$B$3&gt;$G2974,"En retard","À échoir"))))))</f>
        <v/>
      </c>
      <c r="O2974" s="11">
        <f>IF($A2974="","",IF(OR($G2974="", $J2974&lt;=0),0,MAX(0,Listes!$B$3-$G2974)))</f>
        <v/>
      </c>
      <c r="P2974" s="12">
        <f>IF($A2974="","",IF($J2974&lt;=0,"Payé",IF($M2974="Oui","Litige",IF($O2974=0,"À échoir",IF($O2974&lt;=30,"0-30",IF($O2974&lt;=60,"31-60",IF($O2974&lt;=90,"61-90","90+")))))))</f>
        <v/>
      </c>
    </row>
    <row r="2975">
      <c r="A2975" s="6" t="n"/>
      <c r="B2975" s="6" t="n"/>
      <c r="C2975" s="6" t="n"/>
      <c r="D2975" s="6" t="n"/>
      <c r="E2975" s="6" t="n"/>
      <c r="F2975" s="7" t="n"/>
      <c r="G2975" s="7" t="n"/>
      <c r="H2975" s="8" t="n"/>
      <c r="I2975" s="9">
        <f>IF($A2975="","",SUMIFS(Ventes_Encaissements!$D$6:$D$3005,Ventes_Encaissements!$B$6:$B$3005,$A2975))</f>
        <v/>
      </c>
      <c r="J2975" s="9">
        <f>IF($A2975="","",$H2975-$I2975)</f>
        <v/>
      </c>
      <c r="K2975" s="10">
        <f>IF($A2975="","",IF($I2975=0,"",_xludf.AGGREGATE(14,6,Ventes_Encaissements!$C$6:$C$3005/(Ventes_Encaissements!$B$6:$B$3005=$A2975),1)))</f>
        <v/>
      </c>
      <c r="L2975" s="11">
        <f>IF($A2975="","",COUNTIFS(Ventes_Detail!$B$6:$B$3005,$A2975))</f>
        <v/>
      </c>
      <c r="M2975" s="12" t="n"/>
      <c r="N2975" s="12">
        <f>IF($A2975="","",IF($G2975="","",IF($M2975="Oui","Litige",IF($J2975&lt;=0,"Payé",IF($I2975&gt;0,"Partiel",IF(Listes!$B$3&gt;$G2975,"En retard","À échoir"))))))</f>
        <v/>
      </c>
      <c r="O2975" s="11">
        <f>IF($A2975="","",IF(OR($G2975="", $J2975&lt;=0),0,MAX(0,Listes!$B$3-$G2975)))</f>
        <v/>
      </c>
      <c r="P2975" s="12">
        <f>IF($A2975="","",IF($J2975&lt;=0,"Payé",IF($M2975="Oui","Litige",IF($O2975=0,"À échoir",IF($O2975&lt;=30,"0-30",IF($O2975&lt;=60,"31-60",IF($O2975&lt;=90,"61-90","90+")))))))</f>
        <v/>
      </c>
    </row>
    <row r="2976">
      <c r="A2976" s="6" t="n"/>
      <c r="B2976" s="6" t="n"/>
      <c r="C2976" s="6" t="n"/>
      <c r="D2976" s="6" t="n"/>
      <c r="E2976" s="6" t="n"/>
      <c r="F2976" s="7" t="n"/>
      <c r="G2976" s="7" t="n"/>
      <c r="H2976" s="8" t="n"/>
      <c r="I2976" s="9">
        <f>IF($A2976="","",SUMIFS(Ventes_Encaissements!$D$6:$D$3005,Ventes_Encaissements!$B$6:$B$3005,$A2976))</f>
        <v/>
      </c>
      <c r="J2976" s="9">
        <f>IF($A2976="","",$H2976-$I2976)</f>
        <v/>
      </c>
      <c r="K2976" s="10">
        <f>IF($A2976="","",IF($I2976=0,"",_xludf.AGGREGATE(14,6,Ventes_Encaissements!$C$6:$C$3005/(Ventes_Encaissements!$B$6:$B$3005=$A2976),1)))</f>
        <v/>
      </c>
      <c r="L2976" s="11">
        <f>IF($A2976="","",COUNTIFS(Ventes_Detail!$B$6:$B$3005,$A2976))</f>
        <v/>
      </c>
      <c r="M2976" s="12" t="n"/>
      <c r="N2976" s="12">
        <f>IF($A2976="","",IF($G2976="","",IF($M2976="Oui","Litige",IF($J2976&lt;=0,"Payé",IF($I2976&gt;0,"Partiel",IF(Listes!$B$3&gt;$G2976,"En retard","À échoir"))))))</f>
        <v/>
      </c>
      <c r="O2976" s="11">
        <f>IF($A2976="","",IF(OR($G2976="", $J2976&lt;=0),0,MAX(0,Listes!$B$3-$G2976)))</f>
        <v/>
      </c>
      <c r="P2976" s="12">
        <f>IF($A2976="","",IF($J2976&lt;=0,"Payé",IF($M2976="Oui","Litige",IF($O2976=0,"À échoir",IF($O2976&lt;=30,"0-30",IF($O2976&lt;=60,"31-60",IF($O2976&lt;=90,"61-90","90+")))))))</f>
        <v/>
      </c>
    </row>
    <row r="2977">
      <c r="A2977" s="6" t="n"/>
      <c r="B2977" s="6" t="n"/>
      <c r="C2977" s="6" t="n"/>
      <c r="D2977" s="6" t="n"/>
      <c r="E2977" s="6" t="n"/>
      <c r="F2977" s="7" t="n"/>
      <c r="G2977" s="7" t="n"/>
      <c r="H2977" s="8" t="n"/>
      <c r="I2977" s="9">
        <f>IF($A2977="","",SUMIFS(Ventes_Encaissements!$D$6:$D$3005,Ventes_Encaissements!$B$6:$B$3005,$A2977))</f>
        <v/>
      </c>
      <c r="J2977" s="9">
        <f>IF($A2977="","",$H2977-$I2977)</f>
        <v/>
      </c>
      <c r="K2977" s="10">
        <f>IF($A2977="","",IF($I2977=0,"",_xludf.AGGREGATE(14,6,Ventes_Encaissements!$C$6:$C$3005/(Ventes_Encaissements!$B$6:$B$3005=$A2977),1)))</f>
        <v/>
      </c>
      <c r="L2977" s="11">
        <f>IF($A2977="","",COUNTIFS(Ventes_Detail!$B$6:$B$3005,$A2977))</f>
        <v/>
      </c>
      <c r="M2977" s="12" t="n"/>
      <c r="N2977" s="12">
        <f>IF($A2977="","",IF($G2977="","",IF($M2977="Oui","Litige",IF($J2977&lt;=0,"Payé",IF($I2977&gt;0,"Partiel",IF(Listes!$B$3&gt;$G2977,"En retard","À échoir"))))))</f>
        <v/>
      </c>
      <c r="O2977" s="11">
        <f>IF($A2977="","",IF(OR($G2977="", $J2977&lt;=0),0,MAX(0,Listes!$B$3-$G2977)))</f>
        <v/>
      </c>
      <c r="P2977" s="12">
        <f>IF($A2977="","",IF($J2977&lt;=0,"Payé",IF($M2977="Oui","Litige",IF($O2977=0,"À échoir",IF($O2977&lt;=30,"0-30",IF($O2977&lt;=60,"31-60",IF($O2977&lt;=90,"61-90","90+")))))))</f>
        <v/>
      </c>
    </row>
    <row r="2978">
      <c r="A2978" s="6" t="n"/>
      <c r="B2978" s="6" t="n"/>
      <c r="C2978" s="6" t="n"/>
      <c r="D2978" s="6" t="n"/>
      <c r="E2978" s="6" t="n"/>
      <c r="F2978" s="7" t="n"/>
      <c r="G2978" s="7" t="n"/>
      <c r="H2978" s="8" t="n"/>
      <c r="I2978" s="9">
        <f>IF($A2978="","",SUMIFS(Ventes_Encaissements!$D$6:$D$3005,Ventes_Encaissements!$B$6:$B$3005,$A2978))</f>
        <v/>
      </c>
      <c r="J2978" s="9">
        <f>IF($A2978="","",$H2978-$I2978)</f>
        <v/>
      </c>
      <c r="K2978" s="10">
        <f>IF($A2978="","",IF($I2978=0,"",_xludf.AGGREGATE(14,6,Ventes_Encaissements!$C$6:$C$3005/(Ventes_Encaissements!$B$6:$B$3005=$A2978),1)))</f>
        <v/>
      </c>
      <c r="L2978" s="11">
        <f>IF($A2978="","",COUNTIFS(Ventes_Detail!$B$6:$B$3005,$A2978))</f>
        <v/>
      </c>
      <c r="M2978" s="12" t="n"/>
      <c r="N2978" s="12">
        <f>IF($A2978="","",IF($G2978="","",IF($M2978="Oui","Litige",IF($J2978&lt;=0,"Payé",IF($I2978&gt;0,"Partiel",IF(Listes!$B$3&gt;$G2978,"En retard","À échoir"))))))</f>
        <v/>
      </c>
      <c r="O2978" s="11">
        <f>IF($A2978="","",IF(OR($G2978="", $J2978&lt;=0),0,MAX(0,Listes!$B$3-$G2978)))</f>
        <v/>
      </c>
      <c r="P2978" s="12">
        <f>IF($A2978="","",IF($J2978&lt;=0,"Payé",IF($M2978="Oui","Litige",IF($O2978=0,"À échoir",IF($O2978&lt;=30,"0-30",IF($O2978&lt;=60,"31-60",IF($O2978&lt;=90,"61-90","90+")))))))</f>
        <v/>
      </c>
    </row>
    <row r="2979">
      <c r="A2979" s="6" t="n"/>
      <c r="B2979" s="6" t="n"/>
      <c r="C2979" s="6" t="n"/>
      <c r="D2979" s="6" t="n"/>
      <c r="E2979" s="6" t="n"/>
      <c r="F2979" s="7" t="n"/>
      <c r="G2979" s="7" t="n"/>
      <c r="H2979" s="8" t="n"/>
      <c r="I2979" s="9">
        <f>IF($A2979="","",SUMIFS(Ventes_Encaissements!$D$6:$D$3005,Ventes_Encaissements!$B$6:$B$3005,$A2979))</f>
        <v/>
      </c>
      <c r="J2979" s="9">
        <f>IF($A2979="","",$H2979-$I2979)</f>
        <v/>
      </c>
      <c r="K2979" s="10">
        <f>IF($A2979="","",IF($I2979=0,"",_xludf.AGGREGATE(14,6,Ventes_Encaissements!$C$6:$C$3005/(Ventes_Encaissements!$B$6:$B$3005=$A2979),1)))</f>
        <v/>
      </c>
      <c r="L2979" s="11">
        <f>IF($A2979="","",COUNTIFS(Ventes_Detail!$B$6:$B$3005,$A2979))</f>
        <v/>
      </c>
      <c r="M2979" s="12" t="n"/>
      <c r="N2979" s="12">
        <f>IF($A2979="","",IF($G2979="","",IF($M2979="Oui","Litige",IF($J2979&lt;=0,"Payé",IF($I2979&gt;0,"Partiel",IF(Listes!$B$3&gt;$G2979,"En retard","À échoir"))))))</f>
        <v/>
      </c>
      <c r="O2979" s="11">
        <f>IF($A2979="","",IF(OR($G2979="", $J2979&lt;=0),0,MAX(0,Listes!$B$3-$G2979)))</f>
        <v/>
      </c>
      <c r="P2979" s="12">
        <f>IF($A2979="","",IF($J2979&lt;=0,"Payé",IF($M2979="Oui","Litige",IF($O2979=0,"À échoir",IF($O2979&lt;=30,"0-30",IF($O2979&lt;=60,"31-60",IF($O2979&lt;=90,"61-90","90+")))))))</f>
        <v/>
      </c>
    </row>
    <row r="2980">
      <c r="A2980" s="6" t="n"/>
      <c r="B2980" s="6" t="n"/>
      <c r="C2980" s="6" t="n"/>
      <c r="D2980" s="6" t="n"/>
      <c r="E2980" s="6" t="n"/>
      <c r="F2980" s="7" t="n"/>
      <c r="G2980" s="7" t="n"/>
      <c r="H2980" s="8" t="n"/>
      <c r="I2980" s="9">
        <f>IF($A2980="","",SUMIFS(Ventes_Encaissements!$D$6:$D$3005,Ventes_Encaissements!$B$6:$B$3005,$A2980))</f>
        <v/>
      </c>
      <c r="J2980" s="9">
        <f>IF($A2980="","",$H2980-$I2980)</f>
        <v/>
      </c>
      <c r="K2980" s="10">
        <f>IF($A2980="","",IF($I2980=0,"",_xludf.AGGREGATE(14,6,Ventes_Encaissements!$C$6:$C$3005/(Ventes_Encaissements!$B$6:$B$3005=$A2980),1)))</f>
        <v/>
      </c>
      <c r="L2980" s="11">
        <f>IF($A2980="","",COUNTIFS(Ventes_Detail!$B$6:$B$3005,$A2980))</f>
        <v/>
      </c>
      <c r="M2980" s="12" t="n"/>
      <c r="N2980" s="12">
        <f>IF($A2980="","",IF($G2980="","",IF($M2980="Oui","Litige",IF($J2980&lt;=0,"Payé",IF($I2980&gt;0,"Partiel",IF(Listes!$B$3&gt;$G2980,"En retard","À échoir"))))))</f>
        <v/>
      </c>
      <c r="O2980" s="11">
        <f>IF($A2980="","",IF(OR($G2980="", $J2980&lt;=0),0,MAX(0,Listes!$B$3-$G2980)))</f>
        <v/>
      </c>
      <c r="P2980" s="12">
        <f>IF($A2980="","",IF($J2980&lt;=0,"Payé",IF($M2980="Oui","Litige",IF($O2980=0,"À échoir",IF($O2980&lt;=30,"0-30",IF($O2980&lt;=60,"31-60",IF($O2980&lt;=90,"61-90","90+")))))))</f>
        <v/>
      </c>
    </row>
    <row r="2981">
      <c r="A2981" s="6" t="n"/>
      <c r="B2981" s="6" t="n"/>
      <c r="C2981" s="6" t="n"/>
      <c r="D2981" s="6" t="n"/>
      <c r="E2981" s="6" t="n"/>
      <c r="F2981" s="7" t="n"/>
      <c r="G2981" s="7" t="n"/>
      <c r="H2981" s="8" t="n"/>
      <c r="I2981" s="9">
        <f>IF($A2981="","",SUMIFS(Ventes_Encaissements!$D$6:$D$3005,Ventes_Encaissements!$B$6:$B$3005,$A2981))</f>
        <v/>
      </c>
      <c r="J2981" s="9">
        <f>IF($A2981="","",$H2981-$I2981)</f>
        <v/>
      </c>
      <c r="K2981" s="10">
        <f>IF($A2981="","",IF($I2981=0,"",_xludf.AGGREGATE(14,6,Ventes_Encaissements!$C$6:$C$3005/(Ventes_Encaissements!$B$6:$B$3005=$A2981),1)))</f>
        <v/>
      </c>
      <c r="L2981" s="11">
        <f>IF($A2981="","",COUNTIFS(Ventes_Detail!$B$6:$B$3005,$A2981))</f>
        <v/>
      </c>
      <c r="M2981" s="12" t="n"/>
      <c r="N2981" s="12">
        <f>IF($A2981="","",IF($G2981="","",IF($M2981="Oui","Litige",IF($J2981&lt;=0,"Payé",IF($I2981&gt;0,"Partiel",IF(Listes!$B$3&gt;$G2981,"En retard","À échoir"))))))</f>
        <v/>
      </c>
      <c r="O2981" s="11">
        <f>IF($A2981="","",IF(OR($G2981="", $J2981&lt;=0),0,MAX(0,Listes!$B$3-$G2981)))</f>
        <v/>
      </c>
      <c r="P2981" s="12">
        <f>IF($A2981="","",IF($J2981&lt;=0,"Payé",IF($M2981="Oui","Litige",IF($O2981=0,"À échoir",IF($O2981&lt;=30,"0-30",IF($O2981&lt;=60,"31-60",IF($O2981&lt;=90,"61-90","90+")))))))</f>
        <v/>
      </c>
    </row>
    <row r="2982">
      <c r="A2982" s="6" t="n"/>
      <c r="B2982" s="6" t="n"/>
      <c r="C2982" s="6" t="n"/>
      <c r="D2982" s="6" t="n"/>
      <c r="E2982" s="6" t="n"/>
      <c r="F2982" s="7" t="n"/>
      <c r="G2982" s="7" t="n"/>
      <c r="H2982" s="8" t="n"/>
      <c r="I2982" s="9">
        <f>IF($A2982="","",SUMIFS(Ventes_Encaissements!$D$6:$D$3005,Ventes_Encaissements!$B$6:$B$3005,$A2982))</f>
        <v/>
      </c>
      <c r="J2982" s="9">
        <f>IF($A2982="","",$H2982-$I2982)</f>
        <v/>
      </c>
      <c r="K2982" s="10">
        <f>IF($A2982="","",IF($I2982=0,"",_xludf.AGGREGATE(14,6,Ventes_Encaissements!$C$6:$C$3005/(Ventes_Encaissements!$B$6:$B$3005=$A2982),1)))</f>
        <v/>
      </c>
      <c r="L2982" s="11">
        <f>IF($A2982="","",COUNTIFS(Ventes_Detail!$B$6:$B$3005,$A2982))</f>
        <v/>
      </c>
      <c r="M2982" s="12" t="n"/>
      <c r="N2982" s="12">
        <f>IF($A2982="","",IF($G2982="","",IF($M2982="Oui","Litige",IF($J2982&lt;=0,"Payé",IF($I2982&gt;0,"Partiel",IF(Listes!$B$3&gt;$G2982,"En retard","À échoir"))))))</f>
        <v/>
      </c>
      <c r="O2982" s="11">
        <f>IF($A2982="","",IF(OR($G2982="", $J2982&lt;=0),0,MAX(0,Listes!$B$3-$G2982)))</f>
        <v/>
      </c>
      <c r="P2982" s="12">
        <f>IF($A2982="","",IF($J2982&lt;=0,"Payé",IF($M2982="Oui","Litige",IF($O2982=0,"À échoir",IF($O2982&lt;=30,"0-30",IF($O2982&lt;=60,"31-60",IF($O2982&lt;=90,"61-90","90+")))))))</f>
        <v/>
      </c>
    </row>
    <row r="2983">
      <c r="A2983" s="6" t="n"/>
      <c r="B2983" s="6" t="n"/>
      <c r="C2983" s="6" t="n"/>
      <c r="D2983" s="6" t="n"/>
      <c r="E2983" s="6" t="n"/>
      <c r="F2983" s="7" t="n"/>
      <c r="G2983" s="7" t="n"/>
      <c r="H2983" s="8" t="n"/>
      <c r="I2983" s="9">
        <f>IF($A2983="","",SUMIFS(Ventes_Encaissements!$D$6:$D$3005,Ventes_Encaissements!$B$6:$B$3005,$A2983))</f>
        <v/>
      </c>
      <c r="J2983" s="9">
        <f>IF($A2983="","",$H2983-$I2983)</f>
        <v/>
      </c>
      <c r="K2983" s="10">
        <f>IF($A2983="","",IF($I2983=0,"",_xludf.AGGREGATE(14,6,Ventes_Encaissements!$C$6:$C$3005/(Ventes_Encaissements!$B$6:$B$3005=$A2983),1)))</f>
        <v/>
      </c>
      <c r="L2983" s="11">
        <f>IF($A2983="","",COUNTIFS(Ventes_Detail!$B$6:$B$3005,$A2983))</f>
        <v/>
      </c>
      <c r="M2983" s="12" t="n"/>
      <c r="N2983" s="12">
        <f>IF($A2983="","",IF($G2983="","",IF($M2983="Oui","Litige",IF($J2983&lt;=0,"Payé",IF($I2983&gt;0,"Partiel",IF(Listes!$B$3&gt;$G2983,"En retard","À échoir"))))))</f>
        <v/>
      </c>
      <c r="O2983" s="11">
        <f>IF($A2983="","",IF(OR($G2983="", $J2983&lt;=0),0,MAX(0,Listes!$B$3-$G2983)))</f>
        <v/>
      </c>
      <c r="P2983" s="12">
        <f>IF($A2983="","",IF($J2983&lt;=0,"Payé",IF($M2983="Oui","Litige",IF($O2983=0,"À échoir",IF($O2983&lt;=30,"0-30",IF($O2983&lt;=60,"31-60",IF($O2983&lt;=90,"61-90","90+")))))))</f>
        <v/>
      </c>
    </row>
    <row r="2984">
      <c r="A2984" s="6" t="n"/>
      <c r="B2984" s="6" t="n"/>
      <c r="C2984" s="6" t="n"/>
      <c r="D2984" s="6" t="n"/>
      <c r="E2984" s="6" t="n"/>
      <c r="F2984" s="7" t="n"/>
      <c r="G2984" s="7" t="n"/>
      <c r="H2984" s="8" t="n"/>
      <c r="I2984" s="9">
        <f>IF($A2984="","",SUMIFS(Ventes_Encaissements!$D$6:$D$3005,Ventes_Encaissements!$B$6:$B$3005,$A2984))</f>
        <v/>
      </c>
      <c r="J2984" s="9">
        <f>IF($A2984="","",$H2984-$I2984)</f>
        <v/>
      </c>
      <c r="K2984" s="10">
        <f>IF($A2984="","",IF($I2984=0,"",_xludf.AGGREGATE(14,6,Ventes_Encaissements!$C$6:$C$3005/(Ventes_Encaissements!$B$6:$B$3005=$A2984),1)))</f>
        <v/>
      </c>
      <c r="L2984" s="11">
        <f>IF($A2984="","",COUNTIFS(Ventes_Detail!$B$6:$B$3005,$A2984))</f>
        <v/>
      </c>
      <c r="M2984" s="12" t="n"/>
      <c r="N2984" s="12">
        <f>IF($A2984="","",IF($G2984="","",IF($M2984="Oui","Litige",IF($J2984&lt;=0,"Payé",IF($I2984&gt;0,"Partiel",IF(Listes!$B$3&gt;$G2984,"En retard","À échoir"))))))</f>
        <v/>
      </c>
      <c r="O2984" s="11">
        <f>IF($A2984="","",IF(OR($G2984="", $J2984&lt;=0),0,MAX(0,Listes!$B$3-$G2984)))</f>
        <v/>
      </c>
      <c r="P2984" s="12">
        <f>IF($A2984="","",IF($J2984&lt;=0,"Payé",IF($M2984="Oui","Litige",IF($O2984=0,"À échoir",IF($O2984&lt;=30,"0-30",IF($O2984&lt;=60,"31-60",IF($O2984&lt;=90,"61-90","90+")))))))</f>
        <v/>
      </c>
    </row>
    <row r="2985">
      <c r="A2985" s="6" t="n"/>
      <c r="B2985" s="6" t="n"/>
      <c r="C2985" s="6" t="n"/>
      <c r="D2985" s="6" t="n"/>
      <c r="E2985" s="6" t="n"/>
      <c r="F2985" s="7" t="n"/>
      <c r="G2985" s="7" t="n"/>
      <c r="H2985" s="8" t="n"/>
      <c r="I2985" s="9">
        <f>IF($A2985="","",SUMIFS(Ventes_Encaissements!$D$6:$D$3005,Ventes_Encaissements!$B$6:$B$3005,$A2985))</f>
        <v/>
      </c>
      <c r="J2985" s="9">
        <f>IF($A2985="","",$H2985-$I2985)</f>
        <v/>
      </c>
      <c r="K2985" s="10">
        <f>IF($A2985="","",IF($I2985=0,"",_xludf.AGGREGATE(14,6,Ventes_Encaissements!$C$6:$C$3005/(Ventes_Encaissements!$B$6:$B$3005=$A2985),1)))</f>
        <v/>
      </c>
      <c r="L2985" s="11">
        <f>IF($A2985="","",COUNTIFS(Ventes_Detail!$B$6:$B$3005,$A2985))</f>
        <v/>
      </c>
      <c r="M2985" s="12" t="n"/>
      <c r="N2985" s="12">
        <f>IF($A2985="","",IF($G2985="","",IF($M2985="Oui","Litige",IF($J2985&lt;=0,"Payé",IF($I2985&gt;0,"Partiel",IF(Listes!$B$3&gt;$G2985,"En retard","À échoir"))))))</f>
        <v/>
      </c>
      <c r="O2985" s="11">
        <f>IF($A2985="","",IF(OR($G2985="", $J2985&lt;=0),0,MAX(0,Listes!$B$3-$G2985)))</f>
        <v/>
      </c>
      <c r="P2985" s="12">
        <f>IF($A2985="","",IF($J2985&lt;=0,"Payé",IF($M2985="Oui","Litige",IF($O2985=0,"À échoir",IF($O2985&lt;=30,"0-30",IF($O2985&lt;=60,"31-60",IF($O2985&lt;=90,"61-90","90+")))))))</f>
        <v/>
      </c>
    </row>
    <row r="2986">
      <c r="A2986" s="6" t="n"/>
      <c r="B2986" s="6" t="n"/>
      <c r="C2986" s="6" t="n"/>
      <c r="D2986" s="6" t="n"/>
      <c r="E2986" s="6" t="n"/>
      <c r="F2986" s="7" t="n"/>
      <c r="G2986" s="7" t="n"/>
      <c r="H2986" s="8" t="n"/>
      <c r="I2986" s="9">
        <f>IF($A2986="","",SUMIFS(Ventes_Encaissements!$D$6:$D$3005,Ventes_Encaissements!$B$6:$B$3005,$A2986))</f>
        <v/>
      </c>
      <c r="J2986" s="9">
        <f>IF($A2986="","",$H2986-$I2986)</f>
        <v/>
      </c>
      <c r="K2986" s="10">
        <f>IF($A2986="","",IF($I2986=0,"",_xludf.AGGREGATE(14,6,Ventes_Encaissements!$C$6:$C$3005/(Ventes_Encaissements!$B$6:$B$3005=$A2986),1)))</f>
        <v/>
      </c>
      <c r="L2986" s="11">
        <f>IF($A2986="","",COUNTIFS(Ventes_Detail!$B$6:$B$3005,$A2986))</f>
        <v/>
      </c>
      <c r="M2986" s="12" t="n"/>
      <c r="N2986" s="12">
        <f>IF($A2986="","",IF($G2986="","",IF($M2986="Oui","Litige",IF($J2986&lt;=0,"Payé",IF($I2986&gt;0,"Partiel",IF(Listes!$B$3&gt;$G2986,"En retard","À échoir"))))))</f>
        <v/>
      </c>
      <c r="O2986" s="11">
        <f>IF($A2986="","",IF(OR($G2986="", $J2986&lt;=0),0,MAX(0,Listes!$B$3-$G2986)))</f>
        <v/>
      </c>
      <c r="P2986" s="12">
        <f>IF($A2986="","",IF($J2986&lt;=0,"Payé",IF($M2986="Oui","Litige",IF($O2986=0,"À échoir",IF($O2986&lt;=30,"0-30",IF($O2986&lt;=60,"31-60",IF($O2986&lt;=90,"61-90","90+")))))))</f>
        <v/>
      </c>
    </row>
    <row r="2987">
      <c r="A2987" s="6" t="n"/>
      <c r="B2987" s="6" t="n"/>
      <c r="C2987" s="6" t="n"/>
      <c r="D2987" s="6" t="n"/>
      <c r="E2987" s="6" t="n"/>
      <c r="F2987" s="7" t="n"/>
      <c r="G2987" s="7" t="n"/>
      <c r="H2987" s="8" t="n"/>
      <c r="I2987" s="9">
        <f>IF($A2987="","",SUMIFS(Ventes_Encaissements!$D$6:$D$3005,Ventes_Encaissements!$B$6:$B$3005,$A2987))</f>
        <v/>
      </c>
      <c r="J2987" s="9">
        <f>IF($A2987="","",$H2987-$I2987)</f>
        <v/>
      </c>
      <c r="K2987" s="10">
        <f>IF($A2987="","",IF($I2987=0,"",_xludf.AGGREGATE(14,6,Ventes_Encaissements!$C$6:$C$3005/(Ventes_Encaissements!$B$6:$B$3005=$A2987),1)))</f>
        <v/>
      </c>
      <c r="L2987" s="11">
        <f>IF($A2987="","",COUNTIFS(Ventes_Detail!$B$6:$B$3005,$A2987))</f>
        <v/>
      </c>
      <c r="M2987" s="12" t="n"/>
      <c r="N2987" s="12">
        <f>IF($A2987="","",IF($G2987="","",IF($M2987="Oui","Litige",IF($J2987&lt;=0,"Payé",IF($I2987&gt;0,"Partiel",IF(Listes!$B$3&gt;$G2987,"En retard","À échoir"))))))</f>
        <v/>
      </c>
      <c r="O2987" s="11">
        <f>IF($A2987="","",IF(OR($G2987="", $J2987&lt;=0),0,MAX(0,Listes!$B$3-$G2987)))</f>
        <v/>
      </c>
      <c r="P2987" s="12">
        <f>IF($A2987="","",IF($J2987&lt;=0,"Payé",IF($M2987="Oui","Litige",IF($O2987=0,"À échoir",IF($O2987&lt;=30,"0-30",IF($O2987&lt;=60,"31-60",IF($O2987&lt;=90,"61-90","90+")))))))</f>
        <v/>
      </c>
    </row>
    <row r="2988">
      <c r="A2988" s="6" t="n"/>
      <c r="B2988" s="6" t="n"/>
      <c r="C2988" s="6" t="n"/>
      <c r="D2988" s="6" t="n"/>
      <c r="E2988" s="6" t="n"/>
      <c r="F2988" s="7" t="n"/>
      <c r="G2988" s="7" t="n"/>
      <c r="H2988" s="8" t="n"/>
      <c r="I2988" s="9">
        <f>IF($A2988="","",SUMIFS(Ventes_Encaissements!$D$6:$D$3005,Ventes_Encaissements!$B$6:$B$3005,$A2988))</f>
        <v/>
      </c>
      <c r="J2988" s="9">
        <f>IF($A2988="","",$H2988-$I2988)</f>
        <v/>
      </c>
      <c r="K2988" s="10">
        <f>IF($A2988="","",IF($I2988=0,"",_xludf.AGGREGATE(14,6,Ventes_Encaissements!$C$6:$C$3005/(Ventes_Encaissements!$B$6:$B$3005=$A2988),1)))</f>
        <v/>
      </c>
      <c r="L2988" s="11">
        <f>IF($A2988="","",COUNTIFS(Ventes_Detail!$B$6:$B$3005,$A2988))</f>
        <v/>
      </c>
      <c r="M2988" s="12" t="n"/>
      <c r="N2988" s="12">
        <f>IF($A2988="","",IF($G2988="","",IF($M2988="Oui","Litige",IF($J2988&lt;=0,"Payé",IF($I2988&gt;0,"Partiel",IF(Listes!$B$3&gt;$G2988,"En retard","À échoir"))))))</f>
        <v/>
      </c>
      <c r="O2988" s="11">
        <f>IF($A2988="","",IF(OR($G2988="", $J2988&lt;=0),0,MAX(0,Listes!$B$3-$G2988)))</f>
        <v/>
      </c>
      <c r="P2988" s="12">
        <f>IF($A2988="","",IF($J2988&lt;=0,"Payé",IF($M2988="Oui","Litige",IF($O2988=0,"À échoir",IF($O2988&lt;=30,"0-30",IF($O2988&lt;=60,"31-60",IF($O2988&lt;=90,"61-90","90+")))))))</f>
        <v/>
      </c>
    </row>
    <row r="2989">
      <c r="A2989" s="6" t="n"/>
      <c r="B2989" s="6" t="n"/>
      <c r="C2989" s="6" t="n"/>
      <c r="D2989" s="6" t="n"/>
      <c r="E2989" s="6" t="n"/>
      <c r="F2989" s="7" t="n"/>
      <c r="G2989" s="7" t="n"/>
      <c r="H2989" s="8" t="n"/>
      <c r="I2989" s="9">
        <f>IF($A2989="","",SUMIFS(Ventes_Encaissements!$D$6:$D$3005,Ventes_Encaissements!$B$6:$B$3005,$A2989))</f>
        <v/>
      </c>
      <c r="J2989" s="9">
        <f>IF($A2989="","",$H2989-$I2989)</f>
        <v/>
      </c>
      <c r="K2989" s="10">
        <f>IF($A2989="","",IF($I2989=0,"",_xludf.AGGREGATE(14,6,Ventes_Encaissements!$C$6:$C$3005/(Ventes_Encaissements!$B$6:$B$3005=$A2989),1)))</f>
        <v/>
      </c>
      <c r="L2989" s="11">
        <f>IF($A2989="","",COUNTIFS(Ventes_Detail!$B$6:$B$3005,$A2989))</f>
        <v/>
      </c>
      <c r="M2989" s="12" t="n"/>
      <c r="N2989" s="12">
        <f>IF($A2989="","",IF($G2989="","",IF($M2989="Oui","Litige",IF($J2989&lt;=0,"Payé",IF($I2989&gt;0,"Partiel",IF(Listes!$B$3&gt;$G2989,"En retard","À échoir"))))))</f>
        <v/>
      </c>
      <c r="O2989" s="11">
        <f>IF($A2989="","",IF(OR($G2989="", $J2989&lt;=0),0,MAX(0,Listes!$B$3-$G2989)))</f>
        <v/>
      </c>
      <c r="P2989" s="12">
        <f>IF($A2989="","",IF($J2989&lt;=0,"Payé",IF($M2989="Oui","Litige",IF($O2989=0,"À échoir",IF($O2989&lt;=30,"0-30",IF($O2989&lt;=60,"31-60",IF($O2989&lt;=90,"61-90","90+")))))))</f>
        <v/>
      </c>
    </row>
    <row r="2990">
      <c r="A2990" s="6" t="n"/>
      <c r="B2990" s="6" t="n"/>
      <c r="C2990" s="6" t="n"/>
      <c r="D2990" s="6" t="n"/>
      <c r="E2990" s="6" t="n"/>
      <c r="F2990" s="7" t="n"/>
      <c r="G2990" s="7" t="n"/>
      <c r="H2990" s="8" t="n"/>
      <c r="I2990" s="9">
        <f>IF($A2990="","",SUMIFS(Ventes_Encaissements!$D$6:$D$3005,Ventes_Encaissements!$B$6:$B$3005,$A2990))</f>
        <v/>
      </c>
      <c r="J2990" s="9">
        <f>IF($A2990="","",$H2990-$I2990)</f>
        <v/>
      </c>
      <c r="K2990" s="10">
        <f>IF($A2990="","",IF($I2990=0,"",_xludf.AGGREGATE(14,6,Ventes_Encaissements!$C$6:$C$3005/(Ventes_Encaissements!$B$6:$B$3005=$A2990),1)))</f>
        <v/>
      </c>
      <c r="L2990" s="11">
        <f>IF($A2990="","",COUNTIFS(Ventes_Detail!$B$6:$B$3005,$A2990))</f>
        <v/>
      </c>
      <c r="M2990" s="12" t="n"/>
      <c r="N2990" s="12">
        <f>IF($A2990="","",IF($G2990="","",IF($M2990="Oui","Litige",IF($J2990&lt;=0,"Payé",IF($I2990&gt;0,"Partiel",IF(Listes!$B$3&gt;$G2990,"En retard","À échoir"))))))</f>
        <v/>
      </c>
      <c r="O2990" s="11">
        <f>IF($A2990="","",IF(OR($G2990="", $J2990&lt;=0),0,MAX(0,Listes!$B$3-$G2990)))</f>
        <v/>
      </c>
      <c r="P2990" s="12">
        <f>IF($A2990="","",IF($J2990&lt;=0,"Payé",IF($M2990="Oui","Litige",IF($O2990=0,"À échoir",IF($O2990&lt;=30,"0-30",IF($O2990&lt;=60,"31-60",IF($O2990&lt;=90,"61-90","90+")))))))</f>
        <v/>
      </c>
    </row>
    <row r="2991">
      <c r="A2991" s="6" t="n"/>
      <c r="B2991" s="6" t="n"/>
      <c r="C2991" s="6" t="n"/>
      <c r="D2991" s="6" t="n"/>
      <c r="E2991" s="6" t="n"/>
      <c r="F2991" s="7" t="n"/>
      <c r="G2991" s="7" t="n"/>
      <c r="H2991" s="8" t="n"/>
      <c r="I2991" s="9">
        <f>IF($A2991="","",SUMIFS(Ventes_Encaissements!$D$6:$D$3005,Ventes_Encaissements!$B$6:$B$3005,$A2991))</f>
        <v/>
      </c>
      <c r="J2991" s="9">
        <f>IF($A2991="","",$H2991-$I2991)</f>
        <v/>
      </c>
      <c r="K2991" s="10">
        <f>IF($A2991="","",IF($I2991=0,"",_xludf.AGGREGATE(14,6,Ventes_Encaissements!$C$6:$C$3005/(Ventes_Encaissements!$B$6:$B$3005=$A2991),1)))</f>
        <v/>
      </c>
      <c r="L2991" s="11">
        <f>IF($A2991="","",COUNTIFS(Ventes_Detail!$B$6:$B$3005,$A2991))</f>
        <v/>
      </c>
      <c r="M2991" s="12" t="n"/>
      <c r="N2991" s="12">
        <f>IF($A2991="","",IF($G2991="","",IF($M2991="Oui","Litige",IF($J2991&lt;=0,"Payé",IF($I2991&gt;0,"Partiel",IF(Listes!$B$3&gt;$G2991,"En retard","À échoir"))))))</f>
        <v/>
      </c>
      <c r="O2991" s="11">
        <f>IF($A2991="","",IF(OR($G2991="", $J2991&lt;=0),0,MAX(0,Listes!$B$3-$G2991)))</f>
        <v/>
      </c>
      <c r="P2991" s="12">
        <f>IF($A2991="","",IF($J2991&lt;=0,"Payé",IF($M2991="Oui","Litige",IF($O2991=0,"À échoir",IF($O2991&lt;=30,"0-30",IF($O2991&lt;=60,"31-60",IF($O2991&lt;=90,"61-90","90+")))))))</f>
        <v/>
      </c>
    </row>
    <row r="2992">
      <c r="A2992" s="6" t="n"/>
      <c r="B2992" s="6" t="n"/>
      <c r="C2992" s="6" t="n"/>
      <c r="D2992" s="6" t="n"/>
      <c r="E2992" s="6" t="n"/>
      <c r="F2992" s="7" t="n"/>
      <c r="G2992" s="7" t="n"/>
      <c r="H2992" s="8" t="n"/>
      <c r="I2992" s="9">
        <f>IF($A2992="","",SUMIFS(Ventes_Encaissements!$D$6:$D$3005,Ventes_Encaissements!$B$6:$B$3005,$A2992))</f>
        <v/>
      </c>
      <c r="J2992" s="9">
        <f>IF($A2992="","",$H2992-$I2992)</f>
        <v/>
      </c>
      <c r="K2992" s="10">
        <f>IF($A2992="","",IF($I2992=0,"",_xludf.AGGREGATE(14,6,Ventes_Encaissements!$C$6:$C$3005/(Ventes_Encaissements!$B$6:$B$3005=$A2992),1)))</f>
        <v/>
      </c>
      <c r="L2992" s="11">
        <f>IF($A2992="","",COUNTIFS(Ventes_Detail!$B$6:$B$3005,$A2992))</f>
        <v/>
      </c>
      <c r="M2992" s="12" t="n"/>
      <c r="N2992" s="12">
        <f>IF($A2992="","",IF($G2992="","",IF($M2992="Oui","Litige",IF($J2992&lt;=0,"Payé",IF($I2992&gt;0,"Partiel",IF(Listes!$B$3&gt;$G2992,"En retard","À échoir"))))))</f>
        <v/>
      </c>
      <c r="O2992" s="11">
        <f>IF($A2992="","",IF(OR($G2992="", $J2992&lt;=0),0,MAX(0,Listes!$B$3-$G2992)))</f>
        <v/>
      </c>
      <c r="P2992" s="12">
        <f>IF($A2992="","",IF($J2992&lt;=0,"Payé",IF($M2992="Oui","Litige",IF($O2992=0,"À échoir",IF($O2992&lt;=30,"0-30",IF($O2992&lt;=60,"31-60",IF($O2992&lt;=90,"61-90","90+")))))))</f>
        <v/>
      </c>
    </row>
    <row r="2993">
      <c r="A2993" s="6" t="n"/>
      <c r="B2993" s="6" t="n"/>
      <c r="C2993" s="6" t="n"/>
      <c r="D2993" s="6" t="n"/>
      <c r="E2993" s="6" t="n"/>
      <c r="F2993" s="7" t="n"/>
      <c r="G2993" s="7" t="n"/>
      <c r="H2993" s="8" t="n"/>
      <c r="I2993" s="9">
        <f>IF($A2993="","",SUMIFS(Ventes_Encaissements!$D$6:$D$3005,Ventes_Encaissements!$B$6:$B$3005,$A2993))</f>
        <v/>
      </c>
      <c r="J2993" s="9">
        <f>IF($A2993="","",$H2993-$I2993)</f>
        <v/>
      </c>
      <c r="K2993" s="10">
        <f>IF($A2993="","",IF($I2993=0,"",_xludf.AGGREGATE(14,6,Ventes_Encaissements!$C$6:$C$3005/(Ventes_Encaissements!$B$6:$B$3005=$A2993),1)))</f>
        <v/>
      </c>
      <c r="L2993" s="11">
        <f>IF($A2993="","",COUNTIFS(Ventes_Detail!$B$6:$B$3005,$A2993))</f>
        <v/>
      </c>
      <c r="M2993" s="12" t="n"/>
      <c r="N2993" s="12">
        <f>IF($A2993="","",IF($G2993="","",IF($M2993="Oui","Litige",IF($J2993&lt;=0,"Payé",IF($I2993&gt;0,"Partiel",IF(Listes!$B$3&gt;$G2993,"En retard","À échoir"))))))</f>
        <v/>
      </c>
      <c r="O2993" s="11">
        <f>IF($A2993="","",IF(OR($G2993="", $J2993&lt;=0),0,MAX(0,Listes!$B$3-$G2993)))</f>
        <v/>
      </c>
      <c r="P2993" s="12">
        <f>IF($A2993="","",IF($J2993&lt;=0,"Payé",IF($M2993="Oui","Litige",IF($O2993=0,"À échoir",IF($O2993&lt;=30,"0-30",IF($O2993&lt;=60,"31-60",IF($O2993&lt;=90,"61-90","90+")))))))</f>
        <v/>
      </c>
    </row>
    <row r="2994">
      <c r="A2994" s="6" t="n"/>
      <c r="B2994" s="6" t="n"/>
      <c r="C2994" s="6" t="n"/>
      <c r="D2994" s="6" t="n"/>
      <c r="E2994" s="6" t="n"/>
      <c r="F2994" s="7" t="n"/>
      <c r="G2994" s="7" t="n"/>
      <c r="H2994" s="8" t="n"/>
      <c r="I2994" s="9">
        <f>IF($A2994="","",SUMIFS(Ventes_Encaissements!$D$6:$D$3005,Ventes_Encaissements!$B$6:$B$3005,$A2994))</f>
        <v/>
      </c>
      <c r="J2994" s="9">
        <f>IF($A2994="","",$H2994-$I2994)</f>
        <v/>
      </c>
      <c r="K2994" s="10">
        <f>IF($A2994="","",IF($I2994=0,"",_xludf.AGGREGATE(14,6,Ventes_Encaissements!$C$6:$C$3005/(Ventes_Encaissements!$B$6:$B$3005=$A2994),1)))</f>
        <v/>
      </c>
      <c r="L2994" s="11">
        <f>IF($A2994="","",COUNTIFS(Ventes_Detail!$B$6:$B$3005,$A2994))</f>
        <v/>
      </c>
      <c r="M2994" s="12" t="n"/>
      <c r="N2994" s="12">
        <f>IF($A2994="","",IF($G2994="","",IF($M2994="Oui","Litige",IF($J2994&lt;=0,"Payé",IF($I2994&gt;0,"Partiel",IF(Listes!$B$3&gt;$G2994,"En retard","À échoir"))))))</f>
        <v/>
      </c>
      <c r="O2994" s="11">
        <f>IF($A2994="","",IF(OR($G2994="", $J2994&lt;=0),0,MAX(0,Listes!$B$3-$G2994)))</f>
        <v/>
      </c>
      <c r="P2994" s="12">
        <f>IF($A2994="","",IF($J2994&lt;=0,"Payé",IF($M2994="Oui","Litige",IF($O2994=0,"À échoir",IF($O2994&lt;=30,"0-30",IF($O2994&lt;=60,"31-60",IF($O2994&lt;=90,"61-90","90+")))))))</f>
        <v/>
      </c>
    </row>
    <row r="2995">
      <c r="A2995" s="6" t="n"/>
      <c r="B2995" s="6" t="n"/>
      <c r="C2995" s="6" t="n"/>
      <c r="D2995" s="6" t="n"/>
      <c r="E2995" s="6" t="n"/>
      <c r="F2995" s="7" t="n"/>
      <c r="G2995" s="7" t="n"/>
      <c r="H2995" s="8" t="n"/>
      <c r="I2995" s="9">
        <f>IF($A2995="","",SUMIFS(Ventes_Encaissements!$D$6:$D$3005,Ventes_Encaissements!$B$6:$B$3005,$A2995))</f>
        <v/>
      </c>
      <c r="J2995" s="9">
        <f>IF($A2995="","",$H2995-$I2995)</f>
        <v/>
      </c>
      <c r="K2995" s="10">
        <f>IF($A2995="","",IF($I2995=0,"",_xludf.AGGREGATE(14,6,Ventes_Encaissements!$C$6:$C$3005/(Ventes_Encaissements!$B$6:$B$3005=$A2995),1)))</f>
        <v/>
      </c>
      <c r="L2995" s="11">
        <f>IF($A2995="","",COUNTIFS(Ventes_Detail!$B$6:$B$3005,$A2995))</f>
        <v/>
      </c>
      <c r="M2995" s="12" t="n"/>
      <c r="N2995" s="12">
        <f>IF($A2995="","",IF($G2995="","",IF($M2995="Oui","Litige",IF($J2995&lt;=0,"Payé",IF($I2995&gt;0,"Partiel",IF(Listes!$B$3&gt;$G2995,"En retard","À échoir"))))))</f>
        <v/>
      </c>
      <c r="O2995" s="11">
        <f>IF($A2995="","",IF(OR($G2995="", $J2995&lt;=0),0,MAX(0,Listes!$B$3-$G2995)))</f>
        <v/>
      </c>
      <c r="P2995" s="12">
        <f>IF($A2995="","",IF($J2995&lt;=0,"Payé",IF($M2995="Oui","Litige",IF($O2995=0,"À échoir",IF($O2995&lt;=30,"0-30",IF($O2995&lt;=60,"31-60",IF($O2995&lt;=90,"61-90","90+")))))))</f>
        <v/>
      </c>
    </row>
    <row r="2996">
      <c r="A2996" s="6" t="n"/>
      <c r="B2996" s="6" t="n"/>
      <c r="C2996" s="6" t="n"/>
      <c r="D2996" s="6" t="n"/>
      <c r="E2996" s="6" t="n"/>
      <c r="F2996" s="7" t="n"/>
      <c r="G2996" s="7" t="n"/>
      <c r="H2996" s="8" t="n"/>
      <c r="I2996" s="9">
        <f>IF($A2996="","",SUMIFS(Ventes_Encaissements!$D$6:$D$3005,Ventes_Encaissements!$B$6:$B$3005,$A2996))</f>
        <v/>
      </c>
      <c r="J2996" s="9">
        <f>IF($A2996="","",$H2996-$I2996)</f>
        <v/>
      </c>
      <c r="K2996" s="10">
        <f>IF($A2996="","",IF($I2996=0,"",_xludf.AGGREGATE(14,6,Ventes_Encaissements!$C$6:$C$3005/(Ventes_Encaissements!$B$6:$B$3005=$A2996),1)))</f>
        <v/>
      </c>
      <c r="L2996" s="11">
        <f>IF($A2996="","",COUNTIFS(Ventes_Detail!$B$6:$B$3005,$A2996))</f>
        <v/>
      </c>
      <c r="M2996" s="12" t="n"/>
      <c r="N2996" s="12">
        <f>IF($A2996="","",IF($G2996="","",IF($M2996="Oui","Litige",IF($J2996&lt;=0,"Payé",IF($I2996&gt;0,"Partiel",IF(Listes!$B$3&gt;$G2996,"En retard","À échoir"))))))</f>
        <v/>
      </c>
      <c r="O2996" s="11">
        <f>IF($A2996="","",IF(OR($G2996="", $J2996&lt;=0),0,MAX(0,Listes!$B$3-$G2996)))</f>
        <v/>
      </c>
      <c r="P2996" s="12">
        <f>IF($A2996="","",IF($J2996&lt;=0,"Payé",IF($M2996="Oui","Litige",IF($O2996=0,"À échoir",IF($O2996&lt;=30,"0-30",IF($O2996&lt;=60,"31-60",IF($O2996&lt;=90,"61-90","90+")))))))</f>
        <v/>
      </c>
    </row>
    <row r="2997">
      <c r="A2997" s="6" t="n"/>
      <c r="B2997" s="6" t="n"/>
      <c r="C2997" s="6" t="n"/>
      <c r="D2997" s="6" t="n"/>
      <c r="E2997" s="6" t="n"/>
      <c r="F2997" s="7" t="n"/>
      <c r="G2997" s="7" t="n"/>
      <c r="H2997" s="8" t="n"/>
      <c r="I2997" s="9">
        <f>IF($A2997="","",SUMIFS(Ventes_Encaissements!$D$6:$D$3005,Ventes_Encaissements!$B$6:$B$3005,$A2997))</f>
        <v/>
      </c>
      <c r="J2997" s="9">
        <f>IF($A2997="","",$H2997-$I2997)</f>
        <v/>
      </c>
      <c r="K2997" s="10">
        <f>IF($A2997="","",IF($I2997=0,"",_xludf.AGGREGATE(14,6,Ventes_Encaissements!$C$6:$C$3005/(Ventes_Encaissements!$B$6:$B$3005=$A2997),1)))</f>
        <v/>
      </c>
      <c r="L2997" s="11">
        <f>IF($A2997="","",COUNTIFS(Ventes_Detail!$B$6:$B$3005,$A2997))</f>
        <v/>
      </c>
      <c r="M2997" s="12" t="n"/>
      <c r="N2997" s="12">
        <f>IF($A2997="","",IF($G2997="","",IF($M2997="Oui","Litige",IF($J2997&lt;=0,"Payé",IF($I2997&gt;0,"Partiel",IF(Listes!$B$3&gt;$G2997,"En retard","À échoir"))))))</f>
        <v/>
      </c>
      <c r="O2997" s="11">
        <f>IF($A2997="","",IF(OR($G2997="", $J2997&lt;=0),0,MAX(0,Listes!$B$3-$G2997)))</f>
        <v/>
      </c>
      <c r="P2997" s="12">
        <f>IF($A2997="","",IF($J2997&lt;=0,"Payé",IF($M2997="Oui","Litige",IF($O2997=0,"À échoir",IF($O2997&lt;=30,"0-30",IF($O2997&lt;=60,"31-60",IF($O2997&lt;=90,"61-90","90+")))))))</f>
        <v/>
      </c>
    </row>
    <row r="2998">
      <c r="A2998" s="6" t="n"/>
      <c r="B2998" s="6" t="n"/>
      <c r="C2998" s="6" t="n"/>
      <c r="D2998" s="6" t="n"/>
      <c r="E2998" s="6" t="n"/>
      <c r="F2998" s="7" t="n"/>
      <c r="G2998" s="7" t="n"/>
      <c r="H2998" s="8" t="n"/>
      <c r="I2998" s="9">
        <f>IF($A2998="","",SUMIFS(Ventes_Encaissements!$D$6:$D$3005,Ventes_Encaissements!$B$6:$B$3005,$A2998))</f>
        <v/>
      </c>
      <c r="J2998" s="9">
        <f>IF($A2998="","",$H2998-$I2998)</f>
        <v/>
      </c>
      <c r="K2998" s="10">
        <f>IF($A2998="","",IF($I2998=0,"",_xludf.AGGREGATE(14,6,Ventes_Encaissements!$C$6:$C$3005/(Ventes_Encaissements!$B$6:$B$3005=$A2998),1)))</f>
        <v/>
      </c>
      <c r="L2998" s="11">
        <f>IF($A2998="","",COUNTIFS(Ventes_Detail!$B$6:$B$3005,$A2998))</f>
        <v/>
      </c>
      <c r="M2998" s="12" t="n"/>
      <c r="N2998" s="12">
        <f>IF($A2998="","",IF($G2998="","",IF($M2998="Oui","Litige",IF($J2998&lt;=0,"Payé",IF($I2998&gt;0,"Partiel",IF(Listes!$B$3&gt;$G2998,"En retard","À échoir"))))))</f>
        <v/>
      </c>
      <c r="O2998" s="11">
        <f>IF($A2998="","",IF(OR($G2998="", $J2998&lt;=0),0,MAX(0,Listes!$B$3-$G2998)))</f>
        <v/>
      </c>
      <c r="P2998" s="12">
        <f>IF($A2998="","",IF($J2998&lt;=0,"Payé",IF($M2998="Oui","Litige",IF($O2998=0,"À échoir",IF($O2998&lt;=30,"0-30",IF($O2998&lt;=60,"31-60",IF($O2998&lt;=90,"61-90","90+")))))))</f>
        <v/>
      </c>
    </row>
    <row r="2999">
      <c r="A2999" s="6" t="n"/>
      <c r="B2999" s="6" t="n"/>
      <c r="C2999" s="6" t="n"/>
      <c r="D2999" s="6" t="n"/>
      <c r="E2999" s="6" t="n"/>
      <c r="F2999" s="7" t="n"/>
      <c r="G2999" s="7" t="n"/>
      <c r="H2999" s="8" t="n"/>
      <c r="I2999" s="9">
        <f>IF($A2999="","",SUMIFS(Ventes_Encaissements!$D$6:$D$3005,Ventes_Encaissements!$B$6:$B$3005,$A2999))</f>
        <v/>
      </c>
      <c r="J2999" s="9">
        <f>IF($A2999="","",$H2999-$I2999)</f>
        <v/>
      </c>
      <c r="K2999" s="10">
        <f>IF($A2999="","",IF($I2999=0,"",_xludf.AGGREGATE(14,6,Ventes_Encaissements!$C$6:$C$3005/(Ventes_Encaissements!$B$6:$B$3005=$A2999),1)))</f>
        <v/>
      </c>
      <c r="L2999" s="11">
        <f>IF($A2999="","",COUNTIFS(Ventes_Detail!$B$6:$B$3005,$A2999))</f>
        <v/>
      </c>
      <c r="M2999" s="12" t="n"/>
      <c r="N2999" s="12">
        <f>IF($A2999="","",IF($G2999="","",IF($M2999="Oui","Litige",IF($J2999&lt;=0,"Payé",IF($I2999&gt;0,"Partiel",IF(Listes!$B$3&gt;$G2999,"En retard","À échoir"))))))</f>
        <v/>
      </c>
      <c r="O2999" s="11">
        <f>IF($A2999="","",IF(OR($G2999="", $J2999&lt;=0),0,MAX(0,Listes!$B$3-$G2999)))</f>
        <v/>
      </c>
      <c r="P2999" s="12">
        <f>IF($A2999="","",IF($J2999&lt;=0,"Payé",IF($M2999="Oui","Litige",IF($O2999=0,"À échoir",IF($O2999&lt;=30,"0-30",IF($O2999&lt;=60,"31-60",IF($O2999&lt;=90,"61-90","90+")))))))</f>
        <v/>
      </c>
    </row>
    <row r="3000">
      <c r="A3000" s="6" t="n"/>
      <c r="B3000" s="6" t="n"/>
      <c r="C3000" s="6" t="n"/>
      <c r="D3000" s="6" t="n"/>
      <c r="E3000" s="6" t="n"/>
      <c r="F3000" s="7" t="n"/>
      <c r="G3000" s="7" t="n"/>
      <c r="H3000" s="8" t="n"/>
      <c r="I3000" s="9">
        <f>IF($A3000="","",SUMIFS(Ventes_Encaissements!$D$6:$D$3005,Ventes_Encaissements!$B$6:$B$3005,$A3000))</f>
        <v/>
      </c>
      <c r="J3000" s="9">
        <f>IF($A3000="","",$H3000-$I3000)</f>
        <v/>
      </c>
      <c r="K3000" s="10">
        <f>IF($A3000="","",IF($I3000=0,"",_xludf.AGGREGATE(14,6,Ventes_Encaissements!$C$6:$C$3005/(Ventes_Encaissements!$B$6:$B$3005=$A3000),1)))</f>
        <v/>
      </c>
      <c r="L3000" s="11">
        <f>IF($A3000="","",COUNTIFS(Ventes_Detail!$B$6:$B$3005,$A3000))</f>
        <v/>
      </c>
      <c r="M3000" s="12" t="n"/>
      <c r="N3000" s="12">
        <f>IF($A3000="","",IF($G3000="","",IF($M3000="Oui","Litige",IF($J3000&lt;=0,"Payé",IF($I3000&gt;0,"Partiel",IF(Listes!$B$3&gt;$G3000,"En retard","À échoir"))))))</f>
        <v/>
      </c>
      <c r="O3000" s="11">
        <f>IF($A3000="","",IF(OR($G3000="", $J3000&lt;=0),0,MAX(0,Listes!$B$3-$G3000)))</f>
        <v/>
      </c>
      <c r="P3000" s="12">
        <f>IF($A3000="","",IF($J3000&lt;=0,"Payé",IF($M3000="Oui","Litige",IF($O3000=0,"À échoir",IF($O3000&lt;=30,"0-30",IF($O3000&lt;=60,"31-60",IF($O3000&lt;=90,"61-90","90+")))))))</f>
        <v/>
      </c>
    </row>
    <row r="3001">
      <c r="A3001" s="6" t="n"/>
      <c r="B3001" s="6" t="n"/>
      <c r="C3001" s="6" t="n"/>
      <c r="D3001" s="6" t="n"/>
      <c r="E3001" s="6" t="n"/>
      <c r="F3001" s="7" t="n"/>
      <c r="G3001" s="7" t="n"/>
      <c r="H3001" s="8" t="n"/>
      <c r="I3001" s="9">
        <f>IF($A3001="","",SUMIFS(Ventes_Encaissements!$D$6:$D$3005,Ventes_Encaissements!$B$6:$B$3005,$A3001))</f>
        <v/>
      </c>
      <c r="J3001" s="9">
        <f>IF($A3001="","",$H3001-$I3001)</f>
        <v/>
      </c>
      <c r="K3001" s="10">
        <f>IF($A3001="","",IF($I3001=0,"",_xludf.AGGREGATE(14,6,Ventes_Encaissements!$C$6:$C$3005/(Ventes_Encaissements!$B$6:$B$3005=$A3001),1)))</f>
        <v/>
      </c>
      <c r="L3001" s="11">
        <f>IF($A3001="","",COUNTIFS(Ventes_Detail!$B$6:$B$3005,$A3001))</f>
        <v/>
      </c>
      <c r="M3001" s="12" t="n"/>
      <c r="N3001" s="12">
        <f>IF($A3001="","",IF($G3001="","",IF($M3001="Oui","Litige",IF($J3001&lt;=0,"Payé",IF($I3001&gt;0,"Partiel",IF(Listes!$B$3&gt;$G3001,"En retard","À échoir"))))))</f>
        <v/>
      </c>
      <c r="O3001" s="11">
        <f>IF($A3001="","",IF(OR($G3001="", $J3001&lt;=0),0,MAX(0,Listes!$B$3-$G3001)))</f>
        <v/>
      </c>
      <c r="P3001" s="12">
        <f>IF($A3001="","",IF($J3001&lt;=0,"Payé",IF($M3001="Oui","Litige",IF($O3001=0,"À échoir",IF($O3001&lt;=30,"0-30",IF($O3001&lt;=60,"31-60",IF($O3001&lt;=90,"61-90","90+")))))))</f>
        <v/>
      </c>
    </row>
    <row r="3002">
      <c r="A3002" s="6" t="n"/>
      <c r="B3002" s="6" t="n"/>
      <c r="C3002" s="6" t="n"/>
      <c r="D3002" s="6" t="n"/>
      <c r="E3002" s="6" t="n"/>
      <c r="F3002" s="7" t="n"/>
      <c r="G3002" s="7" t="n"/>
      <c r="H3002" s="8" t="n"/>
      <c r="I3002" s="9">
        <f>IF($A3002="","",SUMIFS(Ventes_Encaissements!$D$6:$D$3005,Ventes_Encaissements!$B$6:$B$3005,$A3002))</f>
        <v/>
      </c>
      <c r="J3002" s="9">
        <f>IF($A3002="","",$H3002-$I3002)</f>
        <v/>
      </c>
      <c r="K3002" s="10">
        <f>IF($A3002="","",IF($I3002=0,"",_xludf.AGGREGATE(14,6,Ventes_Encaissements!$C$6:$C$3005/(Ventes_Encaissements!$B$6:$B$3005=$A3002),1)))</f>
        <v/>
      </c>
      <c r="L3002" s="11">
        <f>IF($A3002="","",COUNTIFS(Ventes_Detail!$B$6:$B$3005,$A3002))</f>
        <v/>
      </c>
      <c r="M3002" s="12" t="n"/>
      <c r="N3002" s="12">
        <f>IF($A3002="","",IF($G3002="","",IF($M3002="Oui","Litige",IF($J3002&lt;=0,"Payé",IF($I3002&gt;0,"Partiel",IF(Listes!$B$3&gt;$G3002,"En retard","À échoir"))))))</f>
        <v/>
      </c>
      <c r="O3002" s="11">
        <f>IF($A3002="","",IF(OR($G3002="", $J3002&lt;=0),0,MAX(0,Listes!$B$3-$G3002)))</f>
        <v/>
      </c>
      <c r="P3002" s="12">
        <f>IF($A3002="","",IF($J3002&lt;=0,"Payé",IF($M3002="Oui","Litige",IF($O3002=0,"À échoir",IF($O3002&lt;=30,"0-30",IF($O3002&lt;=60,"31-60",IF($O3002&lt;=90,"61-90","90+")))))))</f>
        <v/>
      </c>
    </row>
    <row r="3003">
      <c r="A3003" s="6" t="n"/>
      <c r="B3003" s="6" t="n"/>
      <c r="C3003" s="6" t="n"/>
      <c r="D3003" s="6" t="n"/>
      <c r="E3003" s="6" t="n"/>
      <c r="F3003" s="7" t="n"/>
      <c r="G3003" s="7" t="n"/>
      <c r="H3003" s="8" t="n"/>
      <c r="I3003" s="9">
        <f>IF($A3003="","",SUMIFS(Ventes_Encaissements!$D$6:$D$3005,Ventes_Encaissements!$B$6:$B$3005,$A3003))</f>
        <v/>
      </c>
      <c r="J3003" s="9">
        <f>IF($A3003="","",$H3003-$I3003)</f>
        <v/>
      </c>
      <c r="K3003" s="10">
        <f>IF($A3003="","",IF($I3003=0,"",_xludf.AGGREGATE(14,6,Ventes_Encaissements!$C$6:$C$3005/(Ventes_Encaissements!$B$6:$B$3005=$A3003),1)))</f>
        <v/>
      </c>
      <c r="L3003" s="11">
        <f>IF($A3003="","",COUNTIFS(Ventes_Detail!$B$6:$B$3005,$A3003))</f>
        <v/>
      </c>
      <c r="M3003" s="12" t="n"/>
      <c r="N3003" s="12">
        <f>IF($A3003="","",IF($G3003="","",IF($M3003="Oui","Litige",IF($J3003&lt;=0,"Payé",IF($I3003&gt;0,"Partiel",IF(Listes!$B$3&gt;$G3003,"En retard","À échoir"))))))</f>
        <v/>
      </c>
      <c r="O3003" s="11">
        <f>IF($A3003="","",IF(OR($G3003="", $J3003&lt;=0),0,MAX(0,Listes!$B$3-$G3003)))</f>
        <v/>
      </c>
      <c r="P3003" s="12">
        <f>IF($A3003="","",IF($J3003&lt;=0,"Payé",IF($M3003="Oui","Litige",IF($O3003=0,"À échoir",IF($O3003&lt;=30,"0-30",IF($O3003&lt;=60,"31-60",IF($O3003&lt;=90,"61-90","90+")))))))</f>
        <v/>
      </c>
    </row>
    <row r="3004">
      <c r="A3004" s="6" t="n"/>
      <c r="B3004" s="6" t="n"/>
      <c r="C3004" s="6" t="n"/>
      <c r="D3004" s="6" t="n"/>
      <c r="E3004" s="6" t="n"/>
      <c r="F3004" s="7" t="n"/>
      <c r="G3004" s="7" t="n"/>
      <c r="H3004" s="8" t="n"/>
      <c r="I3004" s="9">
        <f>IF($A3004="","",SUMIFS(Ventes_Encaissements!$D$6:$D$3005,Ventes_Encaissements!$B$6:$B$3005,$A3004))</f>
        <v/>
      </c>
      <c r="J3004" s="9">
        <f>IF($A3004="","",$H3004-$I3004)</f>
        <v/>
      </c>
      <c r="K3004" s="10">
        <f>IF($A3004="","",IF($I3004=0,"",_xludf.AGGREGATE(14,6,Ventes_Encaissements!$C$6:$C$3005/(Ventes_Encaissements!$B$6:$B$3005=$A3004),1)))</f>
        <v/>
      </c>
      <c r="L3004" s="11">
        <f>IF($A3004="","",COUNTIFS(Ventes_Detail!$B$6:$B$3005,$A3004))</f>
        <v/>
      </c>
      <c r="M3004" s="12" t="n"/>
      <c r="N3004" s="12">
        <f>IF($A3004="","",IF($G3004="","",IF($M3004="Oui","Litige",IF($J3004&lt;=0,"Payé",IF($I3004&gt;0,"Partiel",IF(Listes!$B$3&gt;$G3004,"En retard","À échoir"))))))</f>
        <v/>
      </c>
      <c r="O3004" s="11">
        <f>IF($A3004="","",IF(OR($G3004="", $J3004&lt;=0),0,MAX(0,Listes!$B$3-$G3004)))</f>
        <v/>
      </c>
      <c r="P3004" s="12">
        <f>IF($A3004="","",IF($J3004&lt;=0,"Payé",IF($M3004="Oui","Litige",IF($O3004=0,"À échoir",IF($O3004&lt;=30,"0-30",IF($O3004&lt;=60,"31-60",IF($O3004&lt;=90,"61-90","90+")))))))</f>
        <v/>
      </c>
    </row>
    <row r="3005">
      <c r="A3005" s="6" t="n"/>
      <c r="B3005" s="6" t="n"/>
      <c r="C3005" s="6" t="n"/>
      <c r="D3005" s="6" t="n"/>
      <c r="E3005" s="6" t="n"/>
      <c r="F3005" s="7" t="n"/>
      <c r="G3005" s="7" t="n"/>
      <c r="H3005" s="8" t="n"/>
      <c r="I3005" s="9">
        <f>IF($A3005="","",SUMIFS(Ventes_Encaissements!$D$6:$D$3005,Ventes_Encaissements!$B$6:$B$3005,$A3005))</f>
        <v/>
      </c>
      <c r="J3005" s="9">
        <f>IF($A3005="","",$H3005-$I3005)</f>
        <v/>
      </c>
      <c r="K3005" s="10">
        <f>IF($A3005="","",IF($I3005=0,"",_xludf.AGGREGATE(14,6,Ventes_Encaissements!$C$6:$C$3005/(Ventes_Encaissements!$B$6:$B$3005=$A3005),1)))</f>
        <v/>
      </c>
      <c r="L3005" s="11">
        <f>IF($A3005="","",COUNTIFS(Ventes_Detail!$B$6:$B$3005,$A3005))</f>
        <v/>
      </c>
      <c r="M3005" s="12" t="n"/>
      <c r="N3005" s="12">
        <f>IF($A3005="","",IF($G3005="","",IF($M3005="Oui","Litige",IF($J3005&lt;=0,"Payé",IF($I3005&gt;0,"Partiel",IF(Listes!$B$3&gt;$G3005,"En retard","À échoir"))))))</f>
        <v/>
      </c>
      <c r="O3005" s="11">
        <f>IF($A3005="","",IF(OR($G3005="", $J3005&lt;=0),0,MAX(0,Listes!$B$3-$G3005)))</f>
        <v/>
      </c>
      <c r="P3005" s="12">
        <f>IF($A3005="","",IF($J3005&lt;=0,"Payé",IF($M3005="Oui","Litige",IF($O3005=0,"À échoir",IF($O3005&lt;=30,"0-30",IF($O3005&lt;=60,"31-60",IF($O3005&lt;=90,"61-90","90+")))))))</f>
        <v/>
      </c>
    </row>
    <row r="3006"/>
  </sheetData>
  <autoFilter ref="A5:P5"/>
  <mergeCells count="4">
    <mergeCell ref="A1:P1"/>
    <mergeCell ref="A4:P4"/>
    <mergeCell ref="A3:P3"/>
    <mergeCell ref="A2:P2"/>
  </mergeCells>
  <conditionalFormatting sqref="A6:P3005">
    <cfRule type="expression" priority="1" dxfId="1">
      <formula>MOD(ROW()-6,2)=0</formula>
    </cfRule>
    <cfRule type="expression" priority="2" dxfId="0">
      <formula>$N6="En retard"</formula>
    </cfRule>
    <cfRule type="expression" priority="3" dxfId="2">
      <formula>$N6="Partiel"</formula>
    </cfRule>
    <cfRule type="expression" priority="4" dxfId="7">
      <formula>$N6="Payé"</formula>
    </cfRule>
    <cfRule type="expression" priority="5" dxfId="6">
      <formula>$N6="Litige"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05"/>
  <sheetViews>
    <sheetView showGridLines="0" workbookViewId="0">
      <pane ySplit="5" topLeftCell="A18" activePane="bottomLeft" state="frozen"/>
      <selection pane="bottomLeft" activeCell="A1" sqref="A1:I1"/>
    </sheetView>
  </sheetViews>
  <sheetFormatPr baseColWidth="10" defaultColWidth="9.140625" defaultRowHeight="15"/>
  <cols>
    <col width="18" customWidth="1" style="24" min="1" max="1"/>
    <col width="15" customWidth="1" style="24" min="2" max="4"/>
    <col width="18" customWidth="1" style="24" min="5" max="5"/>
    <col width="15" customWidth="1" style="24" min="6" max="7"/>
    <col width="40" customWidth="1" style="24" min="8" max="8"/>
    <col width="15" customWidth="1" style="24" min="9" max="9"/>
    <col hidden="1" width="15" customWidth="1" style="24" min="10" max="10"/>
  </cols>
  <sheetData>
    <row r="1" ht="21" customHeight="1" s="24">
      <c r="A1" s="23" t="inlineStr">
        <is>
          <t>Échéancier de vente — Encaissements</t>
        </is>
      </c>
    </row>
    <row r="2">
      <c r="A2" s="26" t="inlineStr">
        <is>
          <t>1 ligne = 1 paiement (acompte, partiel, solde).</t>
        </is>
      </c>
    </row>
    <row r="3">
      <c r="A3" s="25" t="inlineStr">
        <is>
          <t>Saisie (bleu) : N° facture, date, montant, banque, moyen. Calcul (gris) : Facture valide ?</t>
        </is>
      </c>
    </row>
    <row r="5" ht="30" customHeight="1" s="24">
      <c r="A5" s="22" t="inlineStr">
        <is>
          <t>ID Encaissement</t>
        </is>
      </c>
      <c r="B5" s="22" t="inlineStr">
        <is>
          <t>N° Facture</t>
        </is>
      </c>
      <c r="C5" s="22" t="inlineStr">
        <is>
          <t>Date de règlement</t>
        </is>
      </c>
      <c r="D5" s="22" t="inlineStr">
        <is>
          <t>Montant réglé (€)</t>
        </is>
      </c>
      <c r="E5" s="22" t="inlineStr">
        <is>
          <t>Banque</t>
        </is>
      </c>
      <c r="F5" s="22" t="inlineStr">
        <is>
          <t>Moyen</t>
        </is>
      </c>
      <c r="G5" s="22" t="inlineStr">
        <is>
          <t>Référence</t>
        </is>
      </c>
      <c r="H5" s="22" t="inlineStr">
        <is>
          <t>Commentaire</t>
        </is>
      </c>
      <c r="I5" s="22" t="inlineStr">
        <is>
          <t>Facture valide ?</t>
        </is>
      </c>
      <c r="J5" s="22" t="inlineStr">
        <is>
          <t>Montant arrondi (€)</t>
        </is>
      </c>
    </row>
    <row r="6">
      <c r="A6" s="6" t="n"/>
      <c r="B6" s="6" t="n"/>
      <c r="C6" s="7" t="n"/>
      <c r="D6" s="8" t="n"/>
      <c r="E6" s="6" t="n"/>
      <c r="F6" s="6" t="n"/>
      <c r="G6" s="6" t="n"/>
      <c r="H6" s="6" t="n"/>
      <c r="I6" s="12">
        <f>IF($B6="","",IF(COUNTIF(Ventes_Factures!$A$6:$A$3005,$B6)&gt;0,"OK","INCONNUE"))</f>
        <v/>
      </c>
      <c r="J6" s="9">
        <f>IF($D6="","",ROUND($D6,2))</f>
        <v/>
      </c>
    </row>
    <row r="7">
      <c r="A7" s="6" t="n"/>
      <c r="B7" s="6" t="n"/>
      <c r="C7" s="7" t="n"/>
      <c r="D7" s="8" t="n"/>
      <c r="E7" s="6" t="n"/>
      <c r="F7" s="6" t="n"/>
      <c r="G7" s="6" t="n"/>
      <c r="H7" s="6" t="n"/>
      <c r="I7" s="12">
        <f>IF($B7="","",IF(COUNTIF(Ventes_Factures!$A$6:$A$3005,$B7)&gt;0,"OK","INCONNUE"))</f>
        <v/>
      </c>
      <c r="J7" s="9">
        <f>IF($D7="","",ROUND($D7,2))</f>
        <v/>
      </c>
    </row>
    <row r="8">
      <c r="A8" s="6" t="n"/>
      <c r="B8" s="6" t="n"/>
      <c r="C8" s="7" t="n"/>
      <c r="D8" s="8" t="n"/>
      <c r="E8" s="6" t="n"/>
      <c r="F8" s="6" t="n"/>
      <c r="G8" s="6" t="n"/>
      <c r="H8" s="6" t="n"/>
      <c r="I8" s="12">
        <f>IF($B8="","",IF(COUNTIF(Ventes_Factures!$A$6:$A$3005,$B8)&gt;0,"OK","INCONNUE"))</f>
        <v/>
      </c>
      <c r="J8" s="9">
        <f>IF($D8="","",ROUND($D8,2))</f>
        <v/>
      </c>
    </row>
    <row r="9">
      <c r="A9" s="6" t="n"/>
      <c r="B9" s="6" t="n"/>
      <c r="C9" s="7" t="n"/>
      <c r="D9" s="8" t="n"/>
      <c r="E9" s="6" t="n"/>
      <c r="F9" s="6" t="n"/>
      <c r="G9" s="6" t="n"/>
      <c r="H9" s="6" t="n"/>
      <c r="I9" s="12">
        <f>IF($B9="","",IF(COUNTIF(Ventes_Factures!$A$6:$A$3005,$B9)&gt;0,"OK","INCONNUE"))</f>
        <v/>
      </c>
      <c r="J9" s="9">
        <f>IF($D9="","",ROUND($D9,2))</f>
        <v/>
      </c>
    </row>
    <row r="10">
      <c r="A10" s="6" t="n"/>
      <c r="B10" s="6" t="n"/>
      <c r="C10" s="7" t="n"/>
      <c r="D10" s="8" t="n"/>
      <c r="E10" s="6" t="n"/>
      <c r="F10" s="6" t="n"/>
      <c r="G10" s="6" t="n"/>
      <c r="H10" s="6" t="n"/>
      <c r="I10" s="12">
        <f>IF($B10="","",IF(COUNTIF(Ventes_Factures!$A$6:$A$3005,$B10)&gt;0,"OK","INCONNUE"))</f>
        <v/>
      </c>
      <c r="J10" s="9">
        <f>IF($D10="","",ROUND($D10,2))</f>
        <v/>
      </c>
    </row>
    <row r="11">
      <c r="A11" s="6" t="n"/>
      <c r="B11" s="6" t="n"/>
      <c r="C11" s="7" t="n"/>
      <c r="D11" s="8" t="n"/>
      <c r="E11" s="6" t="n"/>
      <c r="F11" s="6" t="n"/>
      <c r="G11" s="6" t="n"/>
      <c r="H11" s="6" t="n"/>
      <c r="I11" s="12">
        <f>IF($B11="","",IF(COUNTIF(Ventes_Factures!$A$6:$A$3005,$B11)&gt;0,"OK","INCONNUE"))</f>
        <v/>
      </c>
      <c r="J11" s="9">
        <f>IF($D11="","",ROUND($D11,2))</f>
        <v/>
      </c>
    </row>
    <row r="12">
      <c r="A12" s="6" t="n"/>
      <c r="B12" s="6" t="n"/>
      <c r="C12" s="7" t="n"/>
      <c r="D12" s="8" t="n"/>
      <c r="E12" s="6" t="n"/>
      <c r="F12" s="6" t="n"/>
      <c r="G12" s="6" t="n"/>
      <c r="H12" s="6" t="n"/>
      <c r="I12" s="12">
        <f>IF($B12="","",IF(COUNTIF(Ventes_Factures!$A$6:$A$3005,$B12)&gt;0,"OK","INCONNUE"))</f>
        <v/>
      </c>
      <c r="J12" s="9">
        <f>IF($D12="","",ROUND($D12,2))</f>
        <v/>
      </c>
    </row>
    <row r="13">
      <c r="A13" s="6" t="n"/>
      <c r="B13" s="6" t="n"/>
      <c r="C13" s="7" t="n"/>
      <c r="D13" s="8" t="n"/>
      <c r="E13" s="6" t="n"/>
      <c r="F13" s="6" t="n"/>
      <c r="G13" s="6" t="n"/>
      <c r="H13" s="6" t="n"/>
      <c r="I13" s="12">
        <f>IF($B13="","",IF(COUNTIF(Ventes_Factures!$A$6:$A$3005,$B13)&gt;0,"OK","INCONNUE"))</f>
        <v/>
      </c>
      <c r="J13" s="9">
        <f>IF($D13="","",ROUND($D13,2))</f>
        <v/>
      </c>
    </row>
    <row r="14">
      <c r="A14" s="6" t="n"/>
      <c r="B14" s="6" t="n"/>
      <c r="C14" s="7" t="n"/>
      <c r="D14" s="8" t="n"/>
      <c r="E14" s="6" t="n"/>
      <c r="F14" s="6" t="n"/>
      <c r="G14" s="6" t="n"/>
      <c r="H14" s="6" t="n"/>
      <c r="I14" s="12">
        <f>IF($B14="","",IF(COUNTIF(Ventes_Factures!$A$6:$A$3005,$B14)&gt;0,"OK","INCONNUE"))</f>
        <v/>
      </c>
      <c r="J14" s="9">
        <f>IF($D14="","",ROUND($D14,2))</f>
        <v/>
      </c>
    </row>
    <row r="15">
      <c r="A15" s="6" t="n"/>
      <c r="B15" s="6" t="n"/>
      <c r="C15" s="7" t="n"/>
      <c r="D15" s="8" t="n"/>
      <c r="E15" s="6" t="n"/>
      <c r="F15" s="6" t="n"/>
      <c r="G15" s="6" t="n"/>
      <c r="H15" s="6" t="n"/>
      <c r="I15" s="12">
        <f>IF($B15="","",IF(COUNTIF(Ventes_Factures!$A$6:$A$3005,$B15)&gt;0,"OK","INCONNUE"))</f>
        <v/>
      </c>
      <c r="J15" s="9">
        <f>IF($D15="","",ROUND($D15,2))</f>
        <v/>
      </c>
    </row>
    <row r="16">
      <c r="A16" s="6" t="n"/>
      <c r="B16" s="6" t="n"/>
      <c r="C16" s="7" t="n"/>
      <c r="D16" s="8" t="n"/>
      <c r="E16" s="6" t="n"/>
      <c r="F16" s="6" t="n"/>
      <c r="G16" s="6" t="n"/>
      <c r="H16" s="6" t="n"/>
      <c r="I16" s="12">
        <f>IF($B16="","",IF(COUNTIF(Ventes_Factures!$A$6:$A$3005,$B16)&gt;0,"OK","INCONNUE"))</f>
        <v/>
      </c>
      <c r="J16" s="9">
        <f>IF($D16="","",ROUND($D16,2))</f>
        <v/>
      </c>
    </row>
    <row r="17">
      <c r="A17" s="6" t="n"/>
      <c r="B17" s="6" t="n"/>
      <c r="C17" s="7" t="n"/>
      <c r="D17" s="8" t="n"/>
      <c r="E17" s="6" t="n"/>
      <c r="F17" s="6" t="n"/>
      <c r="G17" s="6" t="n"/>
      <c r="H17" s="6" t="n"/>
      <c r="I17" s="12">
        <f>IF($B17="","",IF(COUNTIF(Ventes_Factures!$A$6:$A$3005,$B17)&gt;0,"OK","INCONNUE"))</f>
        <v/>
      </c>
      <c r="J17" s="9">
        <f>IF($D17="","",ROUND($D17,2))</f>
        <v/>
      </c>
    </row>
    <row r="18">
      <c r="A18" s="6" t="n"/>
      <c r="B18" s="6" t="n"/>
      <c r="C18" s="7" t="n"/>
      <c r="D18" s="8" t="n"/>
      <c r="E18" s="6" t="n"/>
      <c r="F18" s="6" t="n"/>
      <c r="G18" s="6" t="n"/>
      <c r="H18" s="6" t="n"/>
      <c r="I18" s="12">
        <f>IF($B18="","",IF(COUNTIF(Ventes_Factures!$A$6:$A$3005,$B18)&gt;0,"OK","INCONNUE"))</f>
        <v/>
      </c>
      <c r="J18" s="9">
        <f>IF($D18="","",ROUND($D18,2))</f>
        <v/>
      </c>
    </row>
    <row r="19">
      <c r="A19" s="6" t="n"/>
      <c r="B19" s="6" t="n"/>
      <c r="C19" s="7" t="n"/>
      <c r="D19" s="8" t="n"/>
      <c r="E19" s="6" t="n"/>
      <c r="F19" s="6" t="n"/>
      <c r="G19" s="6" t="n"/>
      <c r="H19" s="6" t="n"/>
      <c r="I19" s="12">
        <f>IF($B19="","",IF(COUNTIF(Ventes_Factures!$A$6:$A$3005,$B19)&gt;0,"OK","INCONNUE"))</f>
        <v/>
      </c>
      <c r="J19" s="9">
        <f>IF($D19="","",ROUND($D19,2))</f>
        <v/>
      </c>
    </row>
    <row r="20">
      <c r="A20" s="6" t="n"/>
      <c r="B20" s="6" t="n"/>
      <c r="C20" s="7" t="n"/>
      <c r="D20" s="8" t="n"/>
      <c r="E20" s="6" t="n"/>
      <c r="F20" s="6" t="n"/>
      <c r="G20" s="6" t="n"/>
      <c r="H20" s="6" t="n"/>
      <c r="I20" s="12">
        <f>IF($B20="","",IF(COUNTIF(Ventes_Factures!$A$6:$A$3005,$B20)&gt;0,"OK","INCONNUE"))</f>
        <v/>
      </c>
      <c r="J20" s="9">
        <f>IF($D20="","",ROUND($D20,2))</f>
        <v/>
      </c>
    </row>
    <row r="21">
      <c r="A21" s="6" t="n"/>
      <c r="B21" s="6" t="n"/>
      <c r="C21" s="7" t="n"/>
      <c r="D21" s="8" t="n"/>
      <c r="E21" s="6" t="n"/>
      <c r="F21" s="6" t="n"/>
      <c r="G21" s="6" t="n"/>
      <c r="H21" s="6" t="n"/>
      <c r="I21" s="12">
        <f>IF($B21="","",IF(COUNTIF(Ventes_Factures!$A$6:$A$3005,$B21)&gt;0,"OK","INCONNUE"))</f>
        <v/>
      </c>
      <c r="J21" s="9">
        <f>IF($D21="","",ROUND($D21,2))</f>
        <v/>
      </c>
    </row>
    <row r="22">
      <c r="A22" s="6" t="n"/>
      <c r="B22" s="6" t="n"/>
      <c r="C22" s="7" t="n"/>
      <c r="D22" s="8" t="n"/>
      <c r="E22" s="6" t="n"/>
      <c r="F22" s="6" t="n"/>
      <c r="G22" s="6" t="n"/>
      <c r="H22" s="6" t="n"/>
      <c r="I22" s="12">
        <f>IF($B22="","",IF(COUNTIF(Ventes_Factures!$A$6:$A$3005,$B22)&gt;0,"OK","INCONNUE"))</f>
        <v/>
      </c>
      <c r="J22" s="9">
        <f>IF($D22="","",ROUND($D22,2))</f>
        <v/>
      </c>
    </row>
    <row r="23">
      <c r="A23" s="6" t="n"/>
      <c r="B23" s="6" t="n"/>
      <c r="C23" s="7" t="n"/>
      <c r="D23" s="8" t="n"/>
      <c r="E23" s="6" t="n"/>
      <c r="F23" s="6" t="n"/>
      <c r="G23" s="6" t="n"/>
      <c r="H23" s="6" t="n"/>
      <c r="I23" s="12">
        <f>IF($B23="","",IF(COUNTIF(Ventes_Factures!$A$6:$A$3005,$B23)&gt;0,"OK","INCONNUE"))</f>
        <v/>
      </c>
      <c r="J23" s="9">
        <f>IF($D23="","",ROUND($D23,2))</f>
        <v/>
      </c>
    </row>
    <row r="24">
      <c r="A24" s="6" t="n"/>
      <c r="B24" s="6" t="n"/>
      <c r="C24" s="7" t="n"/>
      <c r="D24" s="8" t="n"/>
      <c r="E24" s="6" t="n"/>
      <c r="F24" s="6" t="n"/>
      <c r="G24" s="6" t="n"/>
      <c r="H24" s="6" t="n"/>
      <c r="I24" s="12">
        <f>IF($B24="","",IF(COUNTIF(Ventes_Factures!$A$6:$A$3005,$B24)&gt;0,"OK","INCONNUE"))</f>
        <v/>
      </c>
      <c r="J24" s="9">
        <f>IF($D24="","",ROUND($D24,2))</f>
        <v/>
      </c>
    </row>
    <row r="25">
      <c r="A25" s="6" t="n"/>
      <c r="B25" s="6" t="n"/>
      <c r="C25" s="7" t="n"/>
      <c r="D25" s="8" t="n"/>
      <c r="E25" s="6" t="n"/>
      <c r="F25" s="6" t="n"/>
      <c r="G25" s="6" t="n"/>
      <c r="H25" s="6" t="n"/>
      <c r="I25" s="12">
        <f>IF($B25="","",IF(COUNTIF(Ventes_Factures!$A$6:$A$3005,$B25)&gt;0,"OK","INCONNUE"))</f>
        <v/>
      </c>
      <c r="J25" s="9">
        <f>IF($D25="","",ROUND($D25,2))</f>
        <v/>
      </c>
    </row>
    <row r="26">
      <c r="A26" s="6" t="n"/>
      <c r="B26" s="6" t="n"/>
      <c r="C26" s="7" t="n"/>
      <c r="D26" s="8" t="n"/>
      <c r="E26" s="6" t="n"/>
      <c r="F26" s="6" t="n"/>
      <c r="G26" s="6" t="n"/>
      <c r="H26" s="6" t="n"/>
      <c r="I26" s="12">
        <f>IF($B26="","",IF(COUNTIF(Ventes_Factures!$A$6:$A$3005,$B26)&gt;0,"OK","INCONNUE"))</f>
        <v/>
      </c>
      <c r="J26" s="9">
        <f>IF($D26="","",ROUND($D26,2))</f>
        <v/>
      </c>
    </row>
    <row r="27">
      <c r="A27" s="6" t="n"/>
      <c r="B27" s="6" t="n"/>
      <c r="C27" s="7" t="n"/>
      <c r="D27" s="8" t="n"/>
      <c r="E27" s="6" t="n"/>
      <c r="F27" s="6" t="n"/>
      <c r="G27" s="6" t="n"/>
      <c r="H27" s="6" t="n"/>
      <c r="I27" s="12">
        <f>IF($B27="","",IF(COUNTIF(Ventes_Factures!$A$6:$A$3005,$B27)&gt;0,"OK","INCONNUE"))</f>
        <v/>
      </c>
      <c r="J27" s="9">
        <f>IF($D27="","",ROUND($D27,2))</f>
        <v/>
      </c>
    </row>
    <row r="28">
      <c r="A28" s="6" t="n"/>
      <c r="B28" s="6" t="n"/>
      <c r="C28" s="7" t="n"/>
      <c r="D28" s="8" t="n"/>
      <c r="E28" s="6" t="n"/>
      <c r="F28" s="6" t="n"/>
      <c r="G28" s="6" t="n"/>
      <c r="H28" s="6" t="n"/>
      <c r="I28" s="12">
        <f>IF($B28="","",IF(COUNTIF(Ventes_Factures!$A$6:$A$3005,$B28)&gt;0,"OK","INCONNUE"))</f>
        <v/>
      </c>
      <c r="J28" s="9">
        <f>IF($D28="","",ROUND($D28,2))</f>
        <v/>
      </c>
    </row>
    <row r="29">
      <c r="A29" s="6" t="n"/>
      <c r="B29" s="6" t="n"/>
      <c r="C29" s="7" t="n"/>
      <c r="D29" s="8" t="n"/>
      <c r="E29" s="6" t="n"/>
      <c r="F29" s="6" t="n"/>
      <c r="G29" s="6" t="n"/>
      <c r="H29" s="6" t="n"/>
      <c r="I29" s="12">
        <f>IF($B29="","",IF(COUNTIF(Ventes_Factures!$A$6:$A$3005,$B29)&gt;0,"OK","INCONNUE"))</f>
        <v/>
      </c>
      <c r="J29" s="9">
        <f>IF($D29="","",ROUND($D29,2))</f>
        <v/>
      </c>
    </row>
    <row r="30">
      <c r="A30" s="6" t="n"/>
      <c r="B30" s="6" t="n"/>
      <c r="C30" s="7" t="n"/>
      <c r="D30" s="8" t="n"/>
      <c r="E30" s="6" t="n"/>
      <c r="F30" s="6" t="n"/>
      <c r="G30" s="6" t="n"/>
      <c r="H30" s="6" t="n"/>
      <c r="I30" s="12">
        <f>IF($B30="","",IF(COUNTIF(Ventes_Factures!$A$6:$A$3005,$B30)&gt;0,"OK","INCONNUE"))</f>
        <v/>
      </c>
      <c r="J30" s="9">
        <f>IF($D30="","",ROUND($D30,2))</f>
        <v/>
      </c>
    </row>
    <row r="31">
      <c r="A31" s="6" t="n"/>
      <c r="B31" s="6" t="n"/>
      <c r="C31" s="7" t="n"/>
      <c r="D31" s="8" t="n"/>
      <c r="E31" s="6" t="n"/>
      <c r="F31" s="6" t="n"/>
      <c r="G31" s="6" t="n"/>
      <c r="H31" s="6" t="n"/>
      <c r="I31" s="12">
        <f>IF($B31="","",IF(COUNTIF(Ventes_Factures!$A$6:$A$3005,$B31)&gt;0,"OK","INCONNUE"))</f>
        <v/>
      </c>
      <c r="J31" s="9">
        <f>IF($D31="","",ROUND($D31,2))</f>
        <v/>
      </c>
    </row>
    <row r="32">
      <c r="A32" s="6" t="n"/>
      <c r="B32" s="6" t="n"/>
      <c r="C32" s="7" t="n"/>
      <c r="D32" s="8" t="n"/>
      <c r="E32" s="6" t="n"/>
      <c r="F32" s="6" t="n"/>
      <c r="G32" s="6" t="n"/>
      <c r="H32" s="6" t="n"/>
      <c r="I32" s="12">
        <f>IF($B32="","",IF(COUNTIF(Ventes_Factures!$A$6:$A$3005,$B32)&gt;0,"OK","INCONNUE"))</f>
        <v/>
      </c>
      <c r="J32" s="9">
        <f>IF($D32="","",ROUND($D32,2))</f>
        <v/>
      </c>
    </row>
    <row r="33">
      <c r="A33" s="6" t="n"/>
      <c r="B33" s="6" t="n"/>
      <c r="C33" s="7" t="n"/>
      <c r="D33" s="8" t="n"/>
      <c r="E33" s="6" t="n"/>
      <c r="F33" s="6" t="n"/>
      <c r="G33" s="6" t="n"/>
      <c r="H33" s="6" t="n"/>
      <c r="I33" s="12">
        <f>IF($B33="","",IF(COUNTIF(Ventes_Factures!$A$6:$A$3005,$B33)&gt;0,"OK","INCONNUE"))</f>
        <v/>
      </c>
      <c r="J33" s="9">
        <f>IF($D33="","",ROUND($D33,2))</f>
        <v/>
      </c>
    </row>
    <row r="34">
      <c r="A34" s="6" t="n"/>
      <c r="B34" s="6" t="n"/>
      <c r="C34" s="7" t="n"/>
      <c r="D34" s="8" t="n"/>
      <c r="E34" s="6" t="n"/>
      <c r="F34" s="6" t="n"/>
      <c r="G34" s="6" t="n"/>
      <c r="H34" s="6" t="n"/>
      <c r="I34" s="12">
        <f>IF($B34="","",IF(COUNTIF(Ventes_Factures!$A$6:$A$3005,$B34)&gt;0,"OK","INCONNUE"))</f>
        <v/>
      </c>
      <c r="J34" s="9">
        <f>IF($D34="","",ROUND($D34,2))</f>
        <v/>
      </c>
    </row>
    <row r="35">
      <c r="A35" s="6" t="n"/>
      <c r="B35" s="6" t="n"/>
      <c r="C35" s="7" t="n"/>
      <c r="D35" s="8" t="n"/>
      <c r="E35" s="6" t="n"/>
      <c r="F35" s="6" t="n"/>
      <c r="G35" s="6" t="n"/>
      <c r="H35" s="6" t="n"/>
      <c r="I35" s="12">
        <f>IF($B35="","",IF(COUNTIF(Ventes_Factures!$A$6:$A$3005,$B35)&gt;0,"OK","INCONNUE"))</f>
        <v/>
      </c>
      <c r="J35" s="9">
        <f>IF($D35="","",ROUND($D35,2))</f>
        <v/>
      </c>
    </row>
    <row r="36">
      <c r="A36" s="6" t="n"/>
      <c r="B36" s="6" t="n"/>
      <c r="C36" s="7" t="n"/>
      <c r="D36" s="8" t="n"/>
      <c r="E36" s="6" t="n"/>
      <c r="F36" s="6" t="n"/>
      <c r="G36" s="6" t="n"/>
      <c r="H36" s="6" t="n"/>
      <c r="I36" s="12">
        <f>IF($B36="","",IF(COUNTIF(Ventes_Factures!$A$6:$A$3005,$B36)&gt;0,"OK","INCONNUE"))</f>
        <v/>
      </c>
      <c r="J36" s="9">
        <f>IF($D36="","",ROUND($D36,2))</f>
        <v/>
      </c>
    </row>
    <row r="37">
      <c r="A37" s="6" t="n"/>
      <c r="B37" s="6" t="n"/>
      <c r="C37" s="7" t="n"/>
      <c r="D37" s="8" t="n"/>
      <c r="E37" s="6" t="n"/>
      <c r="F37" s="6" t="n"/>
      <c r="G37" s="6" t="n"/>
      <c r="H37" s="6" t="n"/>
      <c r="I37" s="12">
        <f>IF($B37="","",IF(COUNTIF(Ventes_Factures!$A$6:$A$3005,$B37)&gt;0,"OK","INCONNUE"))</f>
        <v/>
      </c>
      <c r="J37" s="9">
        <f>IF($D37="","",ROUND($D37,2))</f>
        <v/>
      </c>
    </row>
    <row r="38">
      <c r="A38" s="6" t="n"/>
      <c r="B38" s="6" t="n"/>
      <c r="C38" s="7" t="n"/>
      <c r="D38" s="8" t="n"/>
      <c r="E38" s="6" t="n"/>
      <c r="F38" s="6" t="n"/>
      <c r="G38" s="6" t="n"/>
      <c r="H38" s="6" t="n"/>
      <c r="I38" s="12">
        <f>IF($B38="","",IF(COUNTIF(Ventes_Factures!$A$6:$A$3005,$B38)&gt;0,"OK","INCONNUE"))</f>
        <v/>
      </c>
      <c r="J38" s="9">
        <f>IF($D38="","",ROUND($D38,2))</f>
        <v/>
      </c>
    </row>
    <row r="39">
      <c r="A39" s="6" t="n"/>
      <c r="B39" s="6" t="n"/>
      <c r="C39" s="7" t="n"/>
      <c r="D39" s="8" t="n"/>
      <c r="E39" s="6" t="n"/>
      <c r="F39" s="6" t="n"/>
      <c r="G39" s="6" t="n"/>
      <c r="H39" s="6" t="n"/>
      <c r="I39" s="12">
        <f>IF($B39="","",IF(COUNTIF(Ventes_Factures!$A$6:$A$3005,$B39)&gt;0,"OK","INCONNUE"))</f>
        <v/>
      </c>
      <c r="J39" s="9">
        <f>IF($D39="","",ROUND($D39,2))</f>
        <v/>
      </c>
    </row>
    <row r="40">
      <c r="A40" s="6" t="n"/>
      <c r="B40" s="6" t="n"/>
      <c r="C40" s="7" t="n"/>
      <c r="D40" s="8" t="n"/>
      <c r="E40" s="6" t="n"/>
      <c r="F40" s="6" t="n"/>
      <c r="G40" s="6" t="n"/>
      <c r="H40" s="6" t="n"/>
      <c r="I40" s="12">
        <f>IF($B40="","",IF(COUNTIF(Ventes_Factures!$A$6:$A$3005,$B40)&gt;0,"OK","INCONNUE"))</f>
        <v/>
      </c>
      <c r="J40" s="9">
        <f>IF($D40="","",ROUND($D40,2))</f>
        <v/>
      </c>
    </row>
    <row r="41">
      <c r="A41" s="6" t="n"/>
      <c r="B41" s="6" t="n"/>
      <c r="C41" s="7" t="n"/>
      <c r="D41" s="8" t="n"/>
      <c r="E41" s="6" t="n"/>
      <c r="F41" s="6" t="n"/>
      <c r="G41" s="6" t="n"/>
      <c r="H41" s="6" t="n"/>
      <c r="I41" s="12">
        <f>IF($B41="","",IF(COUNTIF(Ventes_Factures!$A$6:$A$3005,$B41)&gt;0,"OK","INCONNUE"))</f>
        <v/>
      </c>
      <c r="J41" s="9">
        <f>IF($D41="","",ROUND($D41,2))</f>
        <v/>
      </c>
    </row>
    <row r="42">
      <c r="A42" s="6" t="n"/>
      <c r="B42" s="6" t="n"/>
      <c r="C42" s="7" t="n"/>
      <c r="D42" s="8" t="n"/>
      <c r="E42" s="6" t="n"/>
      <c r="F42" s="6" t="n"/>
      <c r="G42" s="6" t="n"/>
      <c r="H42" s="6" t="n"/>
      <c r="I42" s="12">
        <f>IF($B42="","",IF(COUNTIF(Ventes_Factures!$A$6:$A$3005,$B42)&gt;0,"OK","INCONNUE"))</f>
        <v/>
      </c>
      <c r="J42" s="9">
        <f>IF($D42="","",ROUND($D42,2))</f>
        <v/>
      </c>
    </row>
    <row r="43">
      <c r="A43" s="6" t="n"/>
      <c r="B43" s="6" t="n"/>
      <c r="C43" s="7" t="n"/>
      <c r="D43" s="8" t="n"/>
      <c r="E43" s="6" t="n"/>
      <c r="F43" s="6" t="n"/>
      <c r="G43" s="6" t="n"/>
      <c r="H43" s="6" t="n"/>
      <c r="I43" s="12">
        <f>IF($B43="","",IF(COUNTIF(Ventes_Factures!$A$6:$A$3005,$B43)&gt;0,"OK","INCONNUE"))</f>
        <v/>
      </c>
      <c r="J43" s="9">
        <f>IF($D43="","",ROUND($D43,2))</f>
        <v/>
      </c>
    </row>
    <row r="44">
      <c r="A44" s="6" t="n"/>
      <c r="B44" s="6" t="n"/>
      <c r="C44" s="7" t="n"/>
      <c r="D44" s="8" t="n"/>
      <c r="E44" s="6" t="n"/>
      <c r="F44" s="6" t="n"/>
      <c r="G44" s="6" t="n"/>
      <c r="H44" s="6" t="n"/>
      <c r="I44" s="12">
        <f>IF($B44="","",IF(COUNTIF(Ventes_Factures!$A$6:$A$3005,$B44)&gt;0,"OK","INCONNUE"))</f>
        <v/>
      </c>
      <c r="J44" s="9">
        <f>IF($D44="","",ROUND($D44,2))</f>
        <v/>
      </c>
    </row>
    <row r="45">
      <c r="A45" s="6" t="n"/>
      <c r="B45" s="6" t="n"/>
      <c r="C45" s="7" t="n"/>
      <c r="D45" s="8" t="n"/>
      <c r="E45" s="6" t="n"/>
      <c r="F45" s="6" t="n"/>
      <c r="G45" s="6" t="n"/>
      <c r="H45" s="6" t="n"/>
      <c r="I45" s="12">
        <f>IF($B45="","",IF(COUNTIF(Ventes_Factures!$A$6:$A$3005,$B45)&gt;0,"OK","INCONNUE"))</f>
        <v/>
      </c>
      <c r="J45" s="9">
        <f>IF($D45="","",ROUND($D45,2))</f>
        <v/>
      </c>
    </row>
    <row r="46">
      <c r="A46" s="6" t="n"/>
      <c r="B46" s="6" t="n"/>
      <c r="C46" s="7" t="n"/>
      <c r="D46" s="8" t="n"/>
      <c r="E46" s="6" t="n"/>
      <c r="F46" s="6" t="n"/>
      <c r="G46" s="6" t="n"/>
      <c r="H46" s="6" t="n"/>
      <c r="I46" s="12">
        <f>IF($B46="","",IF(COUNTIF(Ventes_Factures!$A$6:$A$3005,$B46)&gt;0,"OK","INCONNUE"))</f>
        <v/>
      </c>
      <c r="J46" s="9">
        <f>IF($D46="","",ROUND($D46,2))</f>
        <v/>
      </c>
    </row>
    <row r="47">
      <c r="A47" s="6" t="n"/>
      <c r="B47" s="6" t="n"/>
      <c r="C47" s="7" t="n"/>
      <c r="D47" s="8" t="n"/>
      <c r="E47" s="6" t="n"/>
      <c r="F47" s="6" t="n"/>
      <c r="G47" s="6" t="n"/>
      <c r="H47" s="6" t="n"/>
      <c r="I47" s="12">
        <f>IF($B47="","",IF(COUNTIF(Ventes_Factures!$A$6:$A$3005,$B47)&gt;0,"OK","INCONNUE"))</f>
        <v/>
      </c>
      <c r="J47" s="9">
        <f>IF($D47="","",ROUND($D47,2))</f>
        <v/>
      </c>
    </row>
    <row r="48">
      <c r="A48" s="6" t="n"/>
      <c r="B48" s="6" t="n"/>
      <c r="C48" s="7" t="n"/>
      <c r="D48" s="8" t="n"/>
      <c r="E48" s="6" t="n"/>
      <c r="F48" s="6" t="n"/>
      <c r="G48" s="6" t="n"/>
      <c r="H48" s="6" t="n"/>
      <c r="I48" s="12">
        <f>IF($B48="","",IF(COUNTIF(Ventes_Factures!$A$6:$A$3005,$B48)&gt;0,"OK","INCONNUE"))</f>
        <v/>
      </c>
      <c r="J48" s="9">
        <f>IF($D48="","",ROUND($D48,2))</f>
        <v/>
      </c>
    </row>
    <row r="49">
      <c r="A49" s="6" t="n"/>
      <c r="B49" s="6" t="n"/>
      <c r="C49" s="7" t="n"/>
      <c r="D49" s="8" t="n"/>
      <c r="E49" s="6" t="n"/>
      <c r="F49" s="6" t="n"/>
      <c r="G49" s="6" t="n"/>
      <c r="H49" s="6" t="n"/>
      <c r="I49" s="12">
        <f>IF($B49="","",IF(COUNTIF(Ventes_Factures!$A$6:$A$3005,$B49)&gt;0,"OK","INCONNUE"))</f>
        <v/>
      </c>
      <c r="J49" s="9">
        <f>IF($D49="","",ROUND($D49,2))</f>
        <v/>
      </c>
    </row>
    <row r="50">
      <c r="A50" s="6" t="n"/>
      <c r="B50" s="6" t="n"/>
      <c r="C50" s="7" t="n"/>
      <c r="D50" s="8" t="n"/>
      <c r="E50" s="6" t="n"/>
      <c r="F50" s="6" t="n"/>
      <c r="G50" s="6" t="n"/>
      <c r="H50" s="6" t="n"/>
      <c r="I50" s="12">
        <f>IF($B50="","",IF(COUNTIF(Ventes_Factures!$A$6:$A$3005,$B50)&gt;0,"OK","INCONNUE"))</f>
        <v/>
      </c>
      <c r="J50" s="9">
        <f>IF($D50="","",ROUND($D50,2))</f>
        <v/>
      </c>
    </row>
    <row r="51">
      <c r="A51" s="6" t="n"/>
      <c r="B51" s="6" t="n"/>
      <c r="C51" s="7" t="n"/>
      <c r="D51" s="8" t="n"/>
      <c r="E51" s="6" t="n"/>
      <c r="F51" s="6" t="n"/>
      <c r="G51" s="6" t="n"/>
      <c r="H51" s="6" t="n"/>
      <c r="I51" s="12">
        <f>IF($B51="","",IF(COUNTIF(Ventes_Factures!$A$6:$A$3005,$B51)&gt;0,"OK","INCONNUE"))</f>
        <v/>
      </c>
      <c r="J51" s="9">
        <f>IF($D51="","",ROUND($D51,2))</f>
        <v/>
      </c>
    </row>
    <row r="52">
      <c r="A52" s="6" t="n"/>
      <c r="B52" s="6" t="n"/>
      <c r="C52" s="7" t="n"/>
      <c r="D52" s="8" t="n"/>
      <c r="E52" s="6" t="n"/>
      <c r="F52" s="6" t="n"/>
      <c r="G52" s="6" t="n"/>
      <c r="H52" s="6" t="n"/>
      <c r="I52" s="12">
        <f>IF($B52="","",IF(COUNTIF(Ventes_Factures!$A$6:$A$3005,$B52)&gt;0,"OK","INCONNUE"))</f>
        <v/>
      </c>
      <c r="J52" s="9">
        <f>IF($D52="","",ROUND($D52,2))</f>
        <v/>
      </c>
    </row>
    <row r="53">
      <c r="A53" s="6" t="n"/>
      <c r="B53" s="6" t="n"/>
      <c r="C53" s="7" t="n"/>
      <c r="D53" s="8" t="n"/>
      <c r="E53" s="6" t="n"/>
      <c r="F53" s="6" t="n"/>
      <c r="G53" s="6" t="n"/>
      <c r="H53" s="6" t="n"/>
      <c r="I53" s="12">
        <f>IF($B53="","",IF(COUNTIF(Ventes_Factures!$A$6:$A$3005,$B53)&gt;0,"OK","INCONNUE"))</f>
        <v/>
      </c>
      <c r="J53" s="9">
        <f>IF($D53="","",ROUND($D53,2))</f>
        <v/>
      </c>
    </row>
    <row r="54">
      <c r="A54" s="6" t="n"/>
      <c r="B54" s="6" t="n"/>
      <c r="C54" s="7" t="n"/>
      <c r="D54" s="8" t="n"/>
      <c r="E54" s="6" t="n"/>
      <c r="F54" s="6" t="n"/>
      <c r="G54" s="6" t="n"/>
      <c r="H54" s="6" t="n"/>
      <c r="I54" s="12">
        <f>IF($B54="","",IF(COUNTIF(Ventes_Factures!$A$6:$A$3005,$B54)&gt;0,"OK","INCONNUE"))</f>
        <v/>
      </c>
      <c r="J54" s="9">
        <f>IF($D54="","",ROUND($D54,2))</f>
        <v/>
      </c>
    </row>
    <row r="55">
      <c r="A55" s="6" t="n"/>
      <c r="B55" s="6" t="n"/>
      <c r="C55" s="7" t="n"/>
      <c r="D55" s="8" t="n"/>
      <c r="E55" s="6" t="n"/>
      <c r="F55" s="6" t="n"/>
      <c r="G55" s="6" t="n"/>
      <c r="H55" s="6" t="n"/>
      <c r="I55" s="12">
        <f>IF($B55="","",IF(COUNTIF(Ventes_Factures!$A$6:$A$3005,$B55)&gt;0,"OK","INCONNUE"))</f>
        <v/>
      </c>
      <c r="J55" s="9">
        <f>IF($D55="","",ROUND($D55,2))</f>
        <v/>
      </c>
    </row>
    <row r="56">
      <c r="A56" s="6" t="n"/>
      <c r="B56" s="6" t="n"/>
      <c r="C56" s="7" t="n"/>
      <c r="D56" s="8" t="n"/>
      <c r="E56" s="6" t="n"/>
      <c r="F56" s="6" t="n"/>
      <c r="G56" s="6" t="n"/>
      <c r="H56" s="6" t="n"/>
      <c r="I56" s="12">
        <f>IF($B56="","",IF(COUNTIF(Ventes_Factures!$A$6:$A$3005,$B56)&gt;0,"OK","INCONNUE"))</f>
        <v/>
      </c>
      <c r="J56" s="9">
        <f>IF($D56="","",ROUND($D56,2))</f>
        <v/>
      </c>
    </row>
    <row r="57">
      <c r="A57" s="6" t="n"/>
      <c r="B57" s="6" t="n"/>
      <c r="C57" s="7" t="n"/>
      <c r="D57" s="8" t="n"/>
      <c r="E57" s="6" t="n"/>
      <c r="F57" s="6" t="n"/>
      <c r="G57" s="6" t="n"/>
      <c r="H57" s="6" t="n"/>
      <c r="I57" s="12">
        <f>IF($B57="","",IF(COUNTIF(Ventes_Factures!$A$6:$A$3005,$B57)&gt;0,"OK","INCONNUE"))</f>
        <v/>
      </c>
      <c r="J57" s="9">
        <f>IF($D57="","",ROUND($D57,2))</f>
        <v/>
      </c>
    </row>
    <row r="58">
      <c r="A58" s="6" t="n"/>
      <c r="B58" s="6" t="n"/>
      <c r="C58" s="7" t="n"/>
      <c r="D58" s="8" t="n"/>
      <c r="E58" s="6" t="n"/>
      <c r="F58" s="6" t="n"/>
      <c r="G58" s="6" t="n"/>
      <c r="H58" s="6" t="n"/>
      <c r="I58" s="12">
        <f>IF($B58="","",IF(COUNTIF(Ventes_Factures!$A$6:$A$3005,$B58)&gt;0,"OK","INCONNUE"))</f>
        <v/>
      </c>
      <c r="J58" s="9">
        <f>IF($D58="","",ROUND($D58,2))</f>
        <v/>
      </c>
    </row>
    <row r="59">
      <c r="A59" s="6" t="n"/>
      <c r="B59" s="6" t="n"/>
      <c r="C59" s="7" t="n"/>
      <c r="D59" s="8" t="n"/>
      <c r="E59" s="6" t="n"/>
      <c r="F59" s="6" t="n"/>
      <c r="G59" s="6" t="n"/>
      <c r="H59" s="6" t="n"/>
      <c r="I59" s="12">
        <f>IF($B59="","",IF(COUNTIF(Ventes_Factures!$A$6:$A$3005,$B59)&gt;0,"OK","INCONNUE"))</f>
        <v/>
      </c>
      <c r="J59" s="9">
        <f>IF($D59="","",ROUND($D59,2))</f>
        <v/>
      </c>
    </row>
    <row r="60">
      <c r="A60" s="6" t="n"/>
      <c r="B60" s="6" t="n"/>
      <c r="C60" s="7" t="n"/>
      <c r="D60" s="8" t="n"/>
      <c r="E60" s="6" t="n"/>
      <c r="F60" s="6" t="n"/>
      <c r="G60" s="6" t="n"/>
      <c r="H60" s="6" t="n"/>
      <c r="I60" s="12">
        <f>IF($B60="","",IF(COUNTIF(Ventes_Factures!$A$6:$A$3005,$B60)&gt;0,"OK","INCONNUE"))</f>
        <v/>
      </c>
      <c r="J60" s="9">
        <f>IF($D60="","",ROUND($D60,2))</f>
        <v/>
      </c>
    </row>
    <row r="61">
      <c r="A61" s="6" t="n"/>
      <c r="B61" s="6" t="n"/>
      <c r="C61" s="7" t="n"/>
      <c r="D61" s="8" t="n"/>
      <c r="E61" s="6" t="n"/>
      <c r="F61" s="6" t="n"/>
      <c r="G61" s="6" t="n"/>
      <c r="H61" s="6" t="n"/>
      <c r="I61" s="12">
        <f>IF($B61="","",IF(COUNTIF(Ventes_Factures!$A$6:$A$3005,$B61)&gt;0,"OK","INCONNUE"))</f>
        <v/>
      </c>
      <c r="J61" s="9">
        <f>IF($D61="","",ROUND($D61,2))</f>
        <v/>
      </c>
    </row>
    <row r="62">
      <c r="A62" s="6" t="n"/>
      <c r="B62" s="6" t="n"/>
      <c r="C62" s="7" t="n"/>
      <c r="D62" s="8" t="n"/>
      <c r="E62" s="6" t="n"/>
      <c r="F62" s="6" t="n"/>
      <c r="G62" s="6" t="n"/>
      <c r="H62" s="6" t="n"/>
      <c r="I62" s="12">
        <f>IF($B62="","",IF(COUNTIF(Ventes_Factures!$A$6:$A$3005,$B62)&gt;0,"OK","INCONNUE"))</f>
        <v/>
      </c>
      <c r="J62" s="9">
        <f>IF($D62="","",ROUND($D62,2))</f>
        <v/>
      </c>
    </row>
    <row r="63">
      <c r="A63" s="6" t="n"/>
      <c r="B63" s="6" t="n"/>
      <c r="C63" s="7" t="n"/>
      <c r="D63" s="8" t="n"/>
      <c r="E63" s="6" t="n"/>
      <c r="F63" s="6" t="n"/>
      <c r="G63" s="6" t="n"/>
      <c r="H63" s="6" t="n"/>
      <c r="I63" s="12">
        <f>IF($B63="","",IF(COUNTIF(Ventes_Factures!$A$6:$A$3005,$B63)&gt;0,"OK","INCONNUE"))</f>
        <v/>
      </c>
      <c r="J63" s="9">
        <f>IF($D63="","",ROUND($D63,2))</f>
        <v/>
      </c>
    </row>
    <row r="64">
      <c r="A64" s="6" t="n"/>
      <c r="B64" s="6" t="n"/>
      <c r="C64" s="7" t="n"/>
      <c r="D64" s="8" t="n"/>
      <c r="E64" s="6" t="n"/>
      <c r="F64" s="6" t="n"/>
      <c r="G64" s="6" t="n"/>
      <c r="H64" s="6" t="n"/>
      <c r="I64" s="12">
        <f>IF($B64="","",IF(COUNTIF(Ventes_Factures!$A$6:$A$3005,$B64)&gt;0,"OK","INCONNUE"))</f>
        <v/>
      </c>
      <c r="J64" s="9">
        <f>IF($D64="","",ROUND($D64,2))</f>
        <v/>
      </c>
    </row>
    <row r="65">
      <c r="A65" s="6" t="n"/>
      <c r="B65" s="6" t="n"/>
      <c r="C65" s="7" t="n"/>
      <c r="D65" s="8" t="n"/>
      <c r="E65" s="6" t="n"/>
      <c r="F65" s="6" t="n"/>
      <c r="G65" s="6" t="n"/>
      <c r="H65" s="6" t="n"/>
      <c r="I65" s="12">
        <f>IF($B65="","",IF(COUNTIF(Ventes_Factures!$A$6:$A$3005,$B65)&gt;0,"OK","INCONNUE"))</f>
        <v/>
      </c>
      <c r="J65" s="9">
        <f>IF($D65="","",ROUND($D65,2))</f>
        <v/>
      </c>
    </row>
    <row r="66">
      <c r="A66" s="6" t="n"/>
      <c r="B66" s="6" t="n"/>
      <c r="C66" s="7" t="n"/>
      <c r="D66" s="8" t="n"/>
      <c r="E66" s="6" t="n"/>
      <c r="F66" s="6" t="n"/>
      <c r="G66" s="6" t="n"/>
      <c r="H66" s="6" t="n"/>
      <c r="I66" s="12">
        <f>IF($B66="","",IF(COUNTIF(Ventes_Factures!$A$6:$A$3005,$B66)&gt;0,"OK","INCONNUE"))</f>
        <v/>
      </c>
      <c r="J66" s="9">
        <f>IF($D66="","",ROUND($D66,2))</f>
        <v/>
      </c>
    </row>
    <row r="67">
      <c r="A67" s="6" t="n"/>
      <c r="B67" s="6" t="n"/>
      <c r="C67" s="7" t="n"/>
      <c r="D67" s="8" t="n"/>
      <c r="E67" s="6" t="n"/>
      <c r="F67" s="6" t="n"/>
      <c r="G67" s="6" t="n"/>
      <c r="H67" s="6" t="n"/>
      <c r="I67" s="12">
        <f>IF($B67="","",IF(COUNTIF(Ventes_Factures!$A$6:$A$3005,$B67)&gt;0,"OK","INCONNUE"))</f>
        <v/>
      </c>
      <c r="J67" s="9">
        <f>IF($D67="","",ROUND($D67,2))</f>
        <v/>
      </c>
    </row>
    <row r="68">
      <c r="A68" s="6" t="n"/>
      <c r="B68" s="6" t="n"/>
      <c r="C68" s="7" t="n"/>
      <c r="D68" s="8" t="n"/>
      <c r="E68" s="6" t="n"/>
      <c r="F68" s="6" t="n"/>
      <c r="G68" s="6" t="n"/>
      <c r="H68" s="6" t="n"/>
      <c r="I68" s="12">
        <f>IF($B68="","",IF(COUNTIF(Ventes_Factures!$A$6:$A$3005,$B68)&gt;0,"OK","INCONNUE"))</f>
        <v/>
      </c>
      <c r="J68" s="9">
        <f>IF($D68="","",ROUND($D68,2))</f>
        <v/>
      </c>
    </row>
    <row r="69">
      <c r="A69" s="6" t="n"/>
      <c r="B69" s="6" t="n"/>
      <c r="C69" s="7" t="n"/>
      <c r="D69" s="8" t="n"/>
      <c r="E69" s="6" t="n"/>
      <c r="F69" s="6" t="n"/>
      <c r="G69" s="6" t="n"/>
      <c r="H69" s="6" t="n"/>
      <c r="I69" s="12">
        <f>IF($B69="","",IF(COUNTIF(Ventes_Factures!$A$6:$A$3005,$B69)&gt;0,"OK","INCONNUE"))</f>
        <v/>
      </c>
      <c r="J69" s="9">
        <f>IF($D69="","",ROUND($D69,2))</f>
        <v/>
      </c>
    </row>
    <row r="70">
      <c r="A70" s="6" t="n"/>
      <c r="B70" s="6" t="n"/>
      <c r="C70" s="7" t="n"/>
      <c r="D70" s="8" t="n"/>
      <c r="E70" s="6" t="n"/>
      <c r="F70" s="6" t="n"/>
      <c r="G70" s="6" t="n"/>
      <c r="H70" s="6" t="n"/>
      <c r="I70" s="12">
        <f>IF($B70="","",IF(COUNTIF(Ventes_Factures!$A$6:$A$3005,$B70)&gt;0,"OK","INCONNUE"))</f>
        <v/>
      </c>
      <c r="J70" s="9">
        <f>IF($D70="","",ROUND($D70,2))</f>
        <v/>
      </c>
    </row>
    <row r="71">
      <c r="A71" s="6" t="n"/>
      <c r="B71" s="6" t="n"/>
      <c r="C71" s="7" t="n"/>
      <c r="D71" s="8" t="n"/>
      <c r="E71" s="6" t="n"/>
      <c r="F71" s="6" t="n"/>
      <c r="G71" s="6" t="n"/>
      <c r="H71" s="6" t="n"/>
      <c r="I71" s="12">
        <f>IF($B71="","",IF(COUNTIF(Ventes_Factures!$A$6:$A$3005,$B71)&gt;0,"OK","INCONNUE"))</f>
        <v/>
      </c>
      <c r="J71" s="9">
        <f>IF($D71="","",ROUND($D71,2))</f>
        <v/>
      </c>
    </row>
    <row r="72">
      <c r="A72" s="6" t="n"/>
      <c r="B72" s="6" t="n"/>
      <c r="C72" s="7" t="n"/>
      <c r="D72" s="8" t="n"/>
      <c r="E72" s="6" t="n"/>
      <c r="F72" s="6" t="n"/>
      <c r="G72" s="6" t="n"/>
      <c r="H72" s="6" t="n"/>
      <c r="I72" s="12">
        <f>IF($B72="","",IF(COUNTIF(Ventes_Factures!$A$6:$A$3005,$B72)&gt;0,"OK","INCONNUE"))</f>
        <v/>
      </c>
      <c r="J72" s="9">
        <f>IF($D72="","",ROUND($D72,2))</f>
        <v/>
      </c>
    </row>
    <row r="73">
      <c r="A73" s="6" t="n"/>
      <c r="B73" s="6" t="n"/>
      <c r="C73" s="7" t="n"/>
      <c r="D73" s="8" t="n"/>
      <c r="E73" s="6" t="n"/>
      <c r="F73" s="6" t="n"/>
      <c r="G73" s="6" t="n"/>
      <c r="H73" s="6" t="n"/>
      <c r="I73" s="12">
        <f>IF($B73="","",IF(COUNTIF(Ventes_Factures!$A$6:$A$3005,$B73)&gt;0,"OK","INCONNUE"))</f>
        <v/>
      </c>
      <c r="J73" s="9">
        <f>IF($D73="","",ROUND($D73,2))</f>
        <v/>
      </c>
    </row>
    <row r="74">
      <c r="A74" s="6" t="n"/>
      <c r="B74" s="6" t="n"/>
      <c r="C74" s="7" t="n"/>
      <c r="D74" s="8" t="n"/>
      <c r="E74" s="6" t="n"/>
      <c r="F74" s="6" t="n"/>
      <c r="G74" s="6" t="n"/>
      <c r="H74" s="6" t="n"/>
      <c r="I74" s="12">
        <f>IF($B74="","",IF(COUNTIF(Ventes_Factures!$A$6:$A$3005,$B74)&gt;0,"OK","INCONNUE"))</f>
        <v/>
      </c>
      <c r="J74" s="9">
        <f>IF($D74="","",ROUND($D74,2))</f>
        <v/>
      </c>
    </row>
    <row r="75">
      <c r="A75" s="6" t="n"/>
      <c r="B75" s="6" t="n"/>
      <c r="C75" s="7" t="n"/>
      <c r="D75" s="8" t="n"/>
      <c r="E75" s="6" t="n"/>
      <c r="F75" s="6" t="n"/>
      <c r="G75" s="6" t="n"/>
      <c r="H75" s="6" t="n"/>
      <c r="I75" s="12">
        <f>IF($B75="","",IF(COUNTIF(Ventes_Factures!$A$6:$A$3005,$B75)&gt;0,"OK","INCONNUE"))</f>
        <v/>
      </c>
      <c r="J75" s="9">
        <f>IF($D75="","",ROUND($D75,2))</f>
        <v/>
      </c>
    </row>
    <row r="76">
      <c r="A76" s="6" t="n"/>
      <c r="B76" s="6" t="n"/>
      <c r="C76" s="7" t="n"/>
      <c r="D76" s="8" t="n"/>
      <c r="E76" s="6" t="n"/>
      <c r="F76" s="6" t="n"/>
      <c r="G76" s="6" t="n"/>
      <c r="H76" s="6" t="n"/>
      <c r="I76" s="12">
        <f>IF($B76="","",IF(COUNTIF(Ventes_Factures!$A$6:$A$3005,$B76)&gt;0,"OK","INCONNUE"))</f>
        <v/>
      </c>
      <c r="J76" s="9">
        <f>IF($D76="","",ROUND($D76,2))</f>
        <v/>
      </c>
    </row>
    <row r="77">
      <c r="A77" s="6" t="n"/>
      <c r="B77" s="6" t="n"/>
      <c r="C77" s="7" t="n"/>
      <c r="D77" s="8" t="n"/>
      <c r="E77" s="6" t="n"/>
      <c r="F77" s="6" t="n"/>
      <c r="G77" s="6" t="n"/>
      <c r="H77" s="6" t="n"/>
      <c r="I77" s="12">
        <f>IF($B77="","",IF(COUNTIF(Ventes_Factures!$A$6:$A$3005,$B77)&gt;0,"OK","INCONNUE"))</f>
        <v/>
      </c>
      <c r="J77" s="9">
        <f>IF($D77="","",ROUND($D77,2))</f>
        <v/>
      </c>
    </row>
    <row r="78">
      <c r="A78" s="6" t="n"/>
      <c r="B78" s="6" t="n"/>
      <c r="C78" s="7" t="n"/>
      <c r="D78" s="8" t="n"/>
      <c r="E78" s="6" t="n"/>
      <c r="F78" s="6" t="n"/>
      <c r="G78" s="6" t="n"/>
      <c r="H78" s="6" t="n"/>
      <c r="I78" s="12">
        <f>IF($B78="","",IF(COUNTIF(Ventes_Factures!$A$6:$A$3005,$B78)&gt;0,"OK","INCONNUE"))</f>
        <v/>
      </c>
      <c r="J78" s="9">
        <f>IF($D78="","",ROUND($D78,2))</f>
        <v/>
      </c>
    </row>
    <row r="79">
      <c r="A79" s="6" t="n"/>
      <c r="B79" s="6" t="n"/>
      <c r="C79" s="7" t="n"/>
      <c r="D79" s="8" t="n"/>
      <c r="E79" s="6" t="n"/>
      <c r="F79" s="6" t="n"/>
      <c r="G79" s="6" t="n"/>
      <c r="H79" s="6" t="n"/>
      <c r="I79" s="12">
        <f>IF($B79="","",IF(COUNTIF(Ventes_Factures!$A$6:$A$3005,$B79)&gt;0,"OK","INCONNUE"))</f>
        <v/>
      </c>
      <c r="J79" s="9">
        <f>IF($D79="","",ROUND($D79,2))</f>
        <v/>
      </c>
    </row>
    <row r="80">
      <c r="A80" s="6" t="n"/>
      <c r="B80" s="6" t="n"/>
      <c r="C80" s="7" t="n"/>
      <c r="D80" s="8" t="n"/>
      <c r="E80" s="6" t="n"/>
      <c r="F80" s="6" t="n"/>
      <c r="G80" s="6" t="n"/>
      <c r="H80" s="6" t="n"/>
      <c r="I80" s="12">
        <f>IF($B80="","",IF(COUNTIF(Ventes_Factures!$A$6:$A$3005,$B80)&gt;0,"OK","INCONNUE"))</f>
        <v/>
      </c>
      <c r="J80" s="9">
        <f>IF($D80="","",ROUND($D80,2))</f>
        <v/>
      </c>
    </row>
    <row r="81">
      <c r="A81" s="6" t="n"/>
      <c r="B81" s="6" t="n"/>
      <c r="C81" s="7" t="n"/>
      <c r="D81" s="8" t="n"/>
      <c r="E81" s="6" t="n"/>
      <c r="F81" s="6" t="n"/>
      <c r="G81" s="6" t="n"/>
      <c r="H81" s="6" t="n"/>
      <c r="I81" s="12">
        <f>IF($B81="","",IF(COUNTIF(Ventes_Factures!$A$6:$A$3005,$B81)&gt;0,"OK","INCONNUE"))</f>
        <v/>
      </c>
      <c r="J81" s="9">
        <f>IF($D81="","",ROUND($D81,2))</f>
        <v/>
      </c>
    </row>
    <row r="82">
      <c r="A82" s="6" t="n"/>
      <c r="B82" s="6" t="n"/>
      <c r="C82" s="7" t="n"/>
      <c r="D82" s="8" t="n"/>
      <c r="E82" s="6" t="n"/>
      <c r="F82" s="6" t="n"/>
      <c r="G82" s="6" t="n"/>
      <c r="H82" s="6" t="n"/>
      <c r="I82" s="12">
        <f>IF($B82="","",IF(COUNTIF(Ventes_Factures!$A$6:$A$3005,$B82)&gt;0,"OK","INCONNUE"))</f>
        <v/>
      </c>
      <c r="J82" s="9">
        <f>IF($D82="","",ROUND($D82,2))</f>
        <v/>
      </c>
    </row>
    <row r="83">
      <c r="A83" s="6" t="n"/>
      <c r="B83" s="6" t="n"/>
      <c r="C83" s="7" t="n"/>
      <c r="D83" s="8" t="n"/>
      <c r="E83" s="6" t="n"/>
      <c r="F83" s="6" t="n"/>
      <c r="G83" s="6" t="n"/>
      <c r="H83" s="6" t="n"/>
      <c r="I83" s="12">
        <f>IF($B83="","",IF(COUNTIF(Ventes_Factures!$A$6:$A$3005,$B83)&gt;0,"OK","INCONNUE"))</f>
        <v/>
      </c>
      <c r="J83" s="9">
        <f>IF($D83="","",ROUND($D83,2))</f>
        <v/>
      </c>
    </row>
    <row r="84">
      <c r="A84" s="6" t="n"/>
      <c r="B84" s="6" t="n"/>
      <c r="C84" s="7" t="n"/>
      <c r="D84" s="8" t="n"/>
      <c r="E84" s="6" t="n"/>
      <c r="F84" s="6" t="n"/>
      <c r="G84" s="6" t="n"/>
      <c r="H84" s="6" t="n"/>
      <c r="I84" s="12">
        <f>IF($B84="","",IF(COUNTIF(Ventes_Factures!$A$6:$A$3005,$B84)&gt;0,"OK","INCONNUE"))</f>
        <v/>
      </c>
      <c r="J84" s="9">
        <f>IF($D84="","",ROUND($D84,2))</f>
        <v/>
      </c>
    </row>
    <row r="85">
      <c r="A85" s="6" t="n"/>
      <c r="B85" s="6" t="n"/>
      <c r="C85" s="7" t="n"/>
      <c r="D85" s="8" t="n"/>
      <c r="E85" s="6" t="n"/>
      <c r="F85" s="6" t="n"/>
      <c r="G85" s="6" t="n"/>
      <c r="H85" s="6" t="n"/>
      <c r="I85" s="12">
        <f>IF($B85="","",IF(COUNTIF(Ventes_Factures!$A$6:$A$3005,$B85)&gt;0,"OK","INCONNUE"))</f>
        <v/>
      </c>
      <c r="J85" s="9">
        <f>IF($D85="","",ROUND($D85,2))</f>
        <v/>
      </c>
    </row>
    <row r="86">
      <c r="A86" s="6" t="n"/>
      <c r="B86" s="6" t="n"/>
      <c r="C86" s="7" t="n"/>
      <c r="D86" s="8" t="n"/>
      <c r="E86" s="6" t="n"/>
      <c r="F86" s="6" t="n"/>
      <c r="G86" s="6" t="n"/>
      <c r="H86" s="6" t="n"/>
      <c r="I86" s="12">
        <f>IF($B86="","",IF(COUNTIF(Ventes_Factures!$A$6:$A$3005,$B86)&gt;0,"OK","INCONNUE"))</f>
        <v/>
      </c>
      <c r="J86" s="9">
        <f>IF($D86="","",ROUND($D86,2))</f>
        <v/>
      </c>
    </row>
    <row r="87">
      <c r="A87" s="6" t="n"/>
      <c r="B87" s="6" t="n"/>
      <c r="C87" s="7" t="n"/>
      <c r="D87" s="8" t="n"/>
      <c r="E87" s="6" t="n"/>
      <c r="F87" s="6" t="n"/>
      <c r="G87" s="6" t="n"/>
      <c r="H87" s="6" t="n"/>
      <c r="I87" s="12">
        <f>IF($B87="","",IF(COUNTIF(Ventes_Factures!$A$6:$A$3005,$B87)&gt;0,"OK","INCONNUE"))</f>
        <v/>
      </c>
      <c r="J87" s="9">
        <f>IF($D87="","",ROUND($D87,2))</f>
        <v/>
      </c>
    </row>
    <row r="88">
      <c r="A88" s="6" t="n"/>
      <c r="B88" s="6" t="n"/>
      <c r="C88" s="7" t="n"/>
      <c r="D88" s="8" t="n"/>
      <c r="E88" s="6" t="n"/>
      <c r="F88" s="6" t="n"/>
      <c r="G88" s="6" t="n"/>
      <c r="H88" s="6" t="n"/>
      <c r="I88" s="12">
        <f>IF($B88="","",IF(COUNTIF(Ventes_Factures!$A$6:$A$3005,$B88)&gt;0,"OK","INCONNUE"))</f>
        <v/>
      </c>
      <c r="J88" s="9">
        <f>IF($D88="","",ROUND($D88,2))</f>
        <v/>
      </c>
    </row>
    <row r="89">
      <c r="A89" s="6" t="n"/>
      <c r="B89" s="6" t="n"/>
      <c r="C89" s="7" t="n"/>
      <c r="D89" s="8" t="n"/>
      <c r="E89" s="6" t="n"/>
      <c r="F89" s="6" t="n"/>
      <c r="G89" s="6" t="n"/>
      <c r="H89" s="6" t="n"/>
      <c r="I89" s="12">
        <f>IF($B89="","",IF(COUNTIF(Ventes_Factures!$A$6:$A$3005,$B89)&gt;0,"OK","INCONNUE"))</f>
        <v/>
      </c>
      <c r="J89" s="9">
        <f>IF($D89="","",ROUND($D89,2))</f>
        <v/>
      </c>
    </row>
    <row r="90">
      <c r="A90" s="6" t="n"/>
      <c r="B90" s="6" t="n"/>
      <c r="C90" s="7" t="n"/>
      <c r="D90" s="8" t="n"/>
      <c r="E90" s="6" t="n"/>
      <c r="F90" s="6" t="n"/>
      <c r="G90" s="6" t="n"/>
      <c r="H90" s="6" t="n"/>
      <c r="I90" s="12">
        <f>IF($B90="","",IF(COUNTIF(Ventes_Factures!$A$6:$A$3005,$B90)&gt;0,"OK","INCONNUE"))</f>
        <v/>
      </c>
      <c r="J90" s="9">
        <f>IF($D90="","",ROUND($D90,2))</f>
        <v/>
      </c>
    </row>
    <row r="91">
      <c r="A91" s="6" t="n"/>
      <c r="B91" s="6" t="n"/>
      <c r="C91" s="7" t="n"/>
      <c r="D91" s="8" t="n"/>
      <c r="E91" s="6" t="n"/>
      <c r="F91" s="6" t="n"/>
      <c r="G91" s="6" t="n"/>
      <c r="H91" s="6" t="n"/>
      <c r="I91" s="12">
        <f>IF($B91="","",IF(COUNTIF(Ventes_Factures!$A$6:$A$3005,$B91)&gt;0,"OK","INCONNUE"))</f>
        <v/>
      </c>
      <c r="J91" s="9">
        <f>IF($D91="","",ROUND($D91,2))</f>
        <v/>
      </c>
    </row>
    <row r="92">
      <c r="A92" s="6" t="n"/>
      <c r="B92" s="6" t="n"/>
      <c r="C92" s="7" t="n"/>
      <c r="D92" s="8" t="n"/>
      <c r="E92" s="6" t="n"/>
      <c r="F92" s="6" t="n"/>
      <c r="G92" s="6" t="n"/>
      <c r="H92" s="6" t="n"/>
      <c r="I92" s="12">
        <f>IF($B92="","",IF(COUNTIF(Ventes_Factures!$A$6:$A$3005,$B92)&gt;0,"OK","INCONNUE"))</f>
        <v/>
      </c>
      <c r="J92" s="9">
        <f>IF($D92="","",ROUND($D92,2))</f>
        <v/>
      </c>
    </row>
    <row r="93">
      <c r="A93" s="6" t="n"/>
      <c r="B93" s="6" t="n"/>
      <c r="C93" s="7" t="n"/>
      <c r="D93" s="8" t="n"/>
      <c r="E93" s="6" t="n"/>
      <c r="F93" s="6" t="n"/>
      <c r="G93" s="6" t="n"/>
      <c r="H93" s="6" t="n"/>
      <c r="I93" s="12">
        <f>IF($B93="","",IF(COUNTIF(Ventes_Factures!$A$6:$A$3005,$B93)&gt;0,"OK","INCONNUE"))</f>
        <v/>
      </c>
      <c r="J93" s="9">
        <f>IF($D93="","",ROUND($D93,2))</f>
        <v/>
      </c>
    </row>
    <row r="94">
      <c r="A94" s="6" t="n"/>
      <c r="B94" s="6" t="n"/>
      <c r="C94" s="7" t="n"/>
      <c r="D94" s="8" t="n"/>
      <c r="E94" s="6" t="n"/>
      <c r="F94" s="6" t="n"/>
      <c r="G94" s="6" t="n"/>
      <c r="H94" s="6" t="n"/>
      <c r="I94" s="12">
        <f>IF($B94="","",IF(COUNTIF(Ventes_Factures!$A$6:$A$3005,$B94)&gt;0,"OK","INCONNUE"))</f>
        <v/>
      </c>
      <c r="J94" s="9">
        <f>IF($D94="","",ROUND($D94,2))</f>
        <v/>
      </c>
    </row>
    <row r="95">
      <c r="A95" s="6" t="n"/>
      <c r="B95" s="6" t="n"/>
      <c r="C95" s="7" t="n"/>
      <c r="D95" s="8" t="n"/>
      <c r="E95" s="6" t="n"/>
      <c r="F95" s="6" t="n"/>
      <c r="G95" s="6" t="n"/>
      <c r="H95" s="6" t="n"/>
      <c r="I95" s="12">
        <f>IF($B95="","",IF(COUNTIF(Ventes_Factures!$A$6:$A$3005,$B95)&gt;0,"OK","INCONNUE"))</f>
        <v/>
      </c>
      <c r="J95" s="9">
        <f>IF($D95="","",ROUND($D95,2))</f>
        <v/>
      </c>
    </row>
    <row r="96">
      <c r="A96" s="6" t="n"/>
      <c r="B96" s="6" t="n"/>
      <c r="C96" s="7" t="n"/>
      <c r="D96" s="8" t="n"/>
      <c r="E96" s="6" t="n"/>
      <c r="F96" s="6" t="n"/>
      <c r="G96" s="6" t="n"/>
      <c r="H96" s="6" t="n"/>
      <c r="I96" s="12">
        <f>IF($B96="","",IF(COUNTIF(Ventes_Factures!$A$6:$A$3005,$B96)&gt;0,"OK","INCONNUE"))</f>
        <v/>
      </c>
      <c r="J96" s="9">
        <f>IF($D96="","",ROUND($D96,2))</f>
        <v/>
      </c>
    </row>
    <row r="97">
      <c r="A97" s="6" t="n"/>
      <c r="B97" s="6" t="n"/>
      <c r="C97" s="7" t="n"/>
      <c r="D97" s="8" t="n"/>
      <c r="E97" s="6" t="n"/>
      <c r="F97" s="6" t="n"/>
      <c r="G97" s="6" t="n"/>
      <c r="H97" s="6" t="n"/>
      <c r="I97" s="12">
        <f>IF($B97="","",IF(COUNTIF(Ventes_Factures!$A$6:$A$3005,$B97)&gt;0,"OK","INCONNUE"))</f>
        <v/>
      </c>
      <c r="J97" s="9">
        <f>IF($D97="","",ROUND($D97,2))</f>
        <v/>
      </c>
    </row>
    <row r="98">
      <c r="A98" s="6" t="n"/>
      <c r="B98" s="6" t="n"/>
      <c r="C98" s="7" t="n"/>
      <c r="D98" s="8" t="n"/>
      <c r="E98" s="6" t="n"/>
      <c r="F98" s="6" t="n"/>
      <c r="G98" s="6" t="n"/>
      <c r="H98" s="6" t="n"/>
      <c r="I98" s="12">
        <f>IF($B98="","",IF(COUNTIF(Ventes_Factures!$A$6:$A$3005,$B98)&gt;0,"OK","INCONNUE"))</f>
        <v/>
      </c>
      <c r="J98" s="9">
        <f>IF($D98="","",ROUND($D98,2))</f>
        <v/>
      </c>
    </row>
    <row r="99">
      <c r="A99" s="6" t="n"/>
      <c r="B99" s="6" t="n"/>
      <c r="C99" s="7" t="n"/>
      <c r="D99" s="8" t="n"/>
      <c r="E99" s="6" t="n"/>
      <c r="F99" s="6" t="n"/>
      <c r="G99" s="6" t="n"/>
      <c r="H99" s="6" t="n"/>
      <c r="I99" s="12">
        <f>IF($B99="","",IF(COUNTIF(Ventes_Factures!$A$6:$A$3005,$B99)&gt;0,"OK","INCONNUE"))</f>
        <v/>
      </c>
      <c r="J99" s="9">
        <f>IF($D99="","",ROUND($D99,2))</f>
        <v/>
      </c>
    </row>
    <row r="100">
      <c r="A100" s="6" t="n"/>
      <c r="B100" s="6" t="n"/>
      <c r="C100" s="7" t="n"/>
      <c r="D100" s="8" t="n"/>
      <c r="E100" s="6" t="n"/>
      <c r="F100" s="6" t="n"/>
      <c r="G100" s="6" t="n"/>
      <c r="H100" s="6" t="n"/>
      <c r="I100" s="12">
        <f>IF($B100="","",IF(COUNTIF(Ventes_Factures!$A$6:$A$3005,$B100)&gt;0,"OK","INCONNUE"))</f>
        <v/>
      </c>
      <c r="J100" s="9">
        <f>IF($D100="","",ROUND($D100,2))</f>
        <v/>
      </c>
    </row>
    <row r="101">
      <c r="A101" s="6" t="n"/>
      <c r="B101" s="6" t="n"/>
      <c r="C101" s="7" t="n"/>
      <c r="D101" s="8" t="n"/>
      <c r="E101" s="6" t="n"/>
      <c r="F101" s="6" t="n"/>
      <c r="G101" s="6" t="n"/>
      <c r="H101" s="6" t="n"/>
      <c r="I101" s="12">
        <f>IF($B101="","",IF(COUNTIF(Ventes_Factures!$A$6:$A$3005,$B101)&gt;0,"OK","INCONNUE"))</f>
        <v/>
      </c>
      <c r="J101" s="9">
        <f>IF($D101="","",ROUND($D101,2))</f>
        <v/>
      </c>
    </row>
    <row r="102">
      <c r="A102" s="6" t="n"/>
      <c r="B102" s="6" t="n"/>
      <c r="C102" s="7" t="n"/>
      <c r="D102" s="8" t="n"/>
      <c r="E102" s="6" t="n"/>
      <c r="F102" s="6" t="n"/>
      <c r="G102" s="6" t="n"/>
      <c r="H102" s="6" t="n"/>
      <c r="I102" s="12">
        <f>IF($B102="","",IF(COUNTIF(Ventes_Factures!$A$6:$A$3005,$B102)&gt;0,"OK","INCONNUE"))</f>
        <v/>
      </c>
      <c r="J102" s="9">
        <f>IF($D102="","",ROUND($D102,2))</f>
        <v/>
      </c>
    </row>
    <row r="103">
      <c r="A103" s="6" t="n"/>
      <c r="B103" s="6" t="n"/>
      <c r="C103" s="7" t="n"/>
      <c r="D103" s="8" t="n"/>
      <c r="E103" s="6" t="n"/>
      <c r="F103" s="6" t="n"/>
      <c r="G103" s="6" t="n"/>
      <c r="H103" s="6" t="n"/>
      <c r="I103" s="12">
        <f>IF($B103="","",IF(COUNTIF(Ventes_Factures!$A$6:$A$3005,$B103)&gt;0,"OK","INCONNUE"))</f>
        <v/>
      </c>
      <c r="J103" s="9">
        <f>IF($D103="","",ROUND($D103,2))</f>
        <v/>
      </c>
    </row>
    <row r="104">
      <c r="A104" s="6" t="n"/>
      <c r="B104" s="6" t="n"/>
      <c r="C104" s="7" t="n"/>
      <c r="D104" s="8" t="n"/>
      <c r="E104" s="6" t="n"/>
      <c r="F104" s="6" t="n"/>
      <c r="G104" s="6" t="n"/>
      <c r="H104" s="6" t="n"/>
      <c r="I104" s="12">
        <f>IF($B104="","",IF(COUNTIF(Ventes_Factures!$A$6:$A$3005,$B104)&gt;0,"OK","INCONNUE"))</f>
        <v/>
      </c>
      <c r="J104" s="9">
        <f>IF($D104="","",ROUND($D104,2))</f>
        <v/>
      </c>
    </row>
    <row r="105">
      <c r="A105" s="6" t="n"/>
      <c r="B105" s="6" t="n"/>
      <c r="C105" s="7" t="n"/>
      <c r="D105" s="8" t="n"/>
      <c r="E105" s="6" t="n"/>
      <c r="F105" s="6" t="n"/>
      <c r="G105" s="6" t="n"/>
      <c r="H105" s="6" t="n"/>
      <c r="I105" s="12">
        <f>IF($B105="","",IF(COUNTIF(Ventes_Factures!$A$6:$A$3005,$B105)&gt;0,"OK","INCONNUE"))</f>
        <v/>
      </c>
      <c r="J105" s="9">
        <f>IF($D105="","",ROUND($D105,2))</f>
        <v/>
      </c>
    </row>
    <row r="106">
      <c r="A106" s="6" t="n"/>
      <c r="B106" s="6" t="n"/>
      <c r="C106" s="7" t="n"/>
      <c r="D106" s="8" t="n"/>
      <c r="E106" s="6" t="n"/>
      <c r="F106" s="6" t="n"/>
      <c r="G106" s="6" t="n"/>
      <c r="H106" s="6" t="n"/>
      <c r="I106" s="12">
        <f>IF($B106="","",IF(COUNTIF(Ventes_Factures!$A$6:$A$3005,$B106)&gt;0,"OK","INCONNUE"))</f>
        <v/>
      </c>
      <c r="J106" s="9">
        <f>IF($D106="","",ROUND($D106,2))</f>
        <v/>
      </c>
    </row>
    <row r="107">
      <c r="A107" s="6" t="n"/>
      <c r="B107" s="6" t="n"/>
      <c r="C107" s="7" t="n"/>
      <c r="D107" s="8" t="n"/>
      <c r="E107" s="6" t="n"/>
      <c r="F107" s="6" t="n"/>
      <c r="G107" s="6" t="n"/>
      <c r="H107" s="6" t="n"/>
      <c r="I107" s="12">
        <f>IF($B107="","",IF(COUNTIF(Ventes_Factures!$A$6:$A$3005,$B107)&gt;0,"OK","INCONNUE"))</f>
        <v/>
      </c>
      <c r="J107" s="9">
        <f>IF($D107="","",ROUND($D107,2))</f>
        <v/>
      </c>
    </row>
    <row r="108">
      <c r="A108" s="6" t="n"/>
      <c r="B108" s="6" t="n"/>
      <c r="C108" s="7" t="n"/>
      <c r="D108" s="8" t="n"/>
      <c r="E108" s="6" t="n"/>
      <c r="F108" s="6" t="n"/>
      <c r="G108" s="6" t="n"/>
      <c r="H108" s="6" t="n"/>
      <c r="I108" s="12">
        <f>IF($B108="","",IF(COUNTIF(Ventes_Factures!$A$6:$A$3005,$B108)&gt;0,"OK","INCONNUE"))</f>
        <v/>
      </c>
      <c r="J108" s="9">
        <f>IF($D108="","",ROUND($D108,2))</f>
        <v/>
      </c>
    </row>
    <row r="109">
      <c r="A109" s="6" t="n"/>
      <c r="B109" s="6" t="n"/>
      <c r="C109" s="7" t="n"/>
      <c r="D109" s="8" t="n"/>
      <c r="E109" s="6" t="n"/>
      <c r="F109" s="6" t="n"/>
      <c r="G109" s="6" t="n"/>
      <c r="H109" s="6" t="n"/>
      <c r="I109" s="12">
        <f>IF($B109="","",IF(COUNTIF(Ventes_Factures!$A$6:$A$3005,$B109)&gt;0,"OK","INCONNUE"))</f>
        <v/>
      </c>
      <c r="J109" s="9">
        <f>IF($D109="","",ROUND($D109,2))</f>
        <v/>
      </c>
    </row>
    <row r="110">
      <c r="A110" s="6" t="n"/>
      <c r="B110" s="6" t="n"/>
      <c r="C110" s="7" t="n"/>
      <c r="D110" s="8" t="n"/>
      <c r="E110" s="6" t="n"/>
      <c r="F110" s="6" t="n"/>
      <c r="G110" s="6" t="n"/>
      <c r="H110" s="6" t="n"/>
      <c r="I110" s="12">
        <f>IF($B110="","",IF(COUNTIF(Ventes_Factures!$A$6:$A$3005,$B110)&gt;0,"OK","INCONNUE"))</f>
        <v/>
      </c>
      <c r="J110" s="9">
        <f>IF($D110="","",ROUND($D110,2))</f>
        <v/>
      </c>
    </row>
    <row r="111">
      <c r="A111" s="6" t="n"/>
      <c r="B111" s="6" t="n"/>
      <c r="C111" s="7" t="n"/>
      <c r="D111" s="8" t="n"/>
      <c r="E111" s="6" t="n"/>
      <c r="F111" s="6" t="n"/>
      <c r="G111" s="6" t="n"/>
      <c r="H111" s="6" t="n"/>
      <c r="I111" s="12">
        <f>IF($B111="","",IF(COUNTIF(Ventes_Factures!$A$6:$A$3005,$B111)&gt;0,"OK","INCONNUE"))</f>
        <v/>
      </c>
      <c r="J111" s="9">
        <f>IF($D111="","",ROUND($D111,2))</f>
        <v/>
      </c>
    </row>
    <row r="112">
      <c r="A112" s="6" t="n"/>
      <c r="B112" s="6" t="n"/>
      <c r="C112" s="7" t="n"/>
      <c r="D112" s="8" t="n"/>
      <c r="E112" s="6" t="n"/>
      <c r="F112" s="6" t="n"/>
      <c r="G112" s="6" t="n"/>
      <c r="H112" s="6" t="n"/>
      <c r="I112" s="12">
        <f>IF($B112="","",IF(COUNTIF(Ventes_Factures!$A$6:$A$3005,$B112)&gt;0,"OK","INCONNUE"))</f>
        <v/>
      </c>
      <c r="J112" s="9">
        <f>IF($D112="","",ROUND($D112,2))</f>
        <v/>
      </c>
    </row>
    <row r="113">
      <c r="A113" s="6" t="n"/>
      <c r="B113" s="6" t="n"/>
      <c r="C113" s="7" t="n"/>
      <c r="D113" s="8" t="n"/>
      <c r="E113" s="6" t="n"/>
      <c r="F113" s="6" t="n"/>
      <c r="G113" s="6" t="n"/>
      <c r="H113" s="6" t="n"/>
      <c r="I113" s="12">
        <f>IF($B113="","",IF(COUNTIF(Ventes_Factures!$A$6:$A$3005,$B113)&gt;0,"OK","INCONNUE"))</f>
        <v/>
      </c>
      <c r="J113" s="9">
        <f>IF($D113="","",ROUND($D113,2))</f>
        <v/>
      </c>
    </row>
    <row r="114">
      <c r="A114" s="6" t="n"/>
      <c r="B114" s="6" t="n"/>
      <c r="C114" s="7" t="n"/>
      <c r="D114" s="8" t="n"/>
      <c r="E114" s="6" t="n"/>
      <c r="F114" s="6" t="n"/>
      <c r="G114" s="6" t="n"/>
      <c r="H114" s="6" t="n"/>
      <c r="I114" s="12">
        <f>IF($B114="","",IF(COUNTIF(Ventes_Factures!$A$6:$A$3005,$B114)&gt;0,"OK","INCONNUE"))</f>
        <v/>
      </c>
      <c r="J114" s="9">
        <f>IF($D114="","",ROUND($D114,2))</f>
        <v/>
      </c>
    </row>
    <row r="115">
      <c r="A115" s="6" t="n"/>
      <c r="B115" s="6" t="n"/>
      <c r="C115" s="7" t="n"/>
      <c r="D115" s="8" t="n"/>
      <c r="E115" s="6" t="n"/>
      <c r="F115" s="6" t="n"/>
      <c r="G115" s="6" t="n"/>
      <c r="H115" s="6" t="n"/>
      <c r="I115" s="12">
        <f>IF($B115="","",IF(COUNTIF(Ventes_Factures!$A$6:$A$3005,$B115)&gt;0,"OK","INCONNUE"))</f>
        <v/>
      </c>
      <c r="J115" s="9">
        <f>IF($D115="","",ROUND($D115,2))</f>
        <v/>
      </c>
    </row>
    <row r="116">
      <c r="A116" s="6" t="n"/>
      <c r="B116" s="6" t="n"/>
      <c r="C116" s="7" t="n"/>
      <c r="D116" s="8" t="n"/>
      <c r="E116" s="6" t="n"/>
      <c r="F116" s="6" t="n"/>
      <c r="G116" s="6" t="n"/>
      <c r="H116" s="6" t="n"/>
      <c r="I116" s="12">
        <f>IF($B116="","",IF(COUNTIF(Ventes_Factures!$A$6:$A$3005,$B116)&gt;0,"OK","INCONNUE"))</f>
        <v/>
      </c>
      <c r="J116" s="9">
        <f>IF($D116="","",ROUND($D116,2))</f>
        <v/>
      </c>
    </row>
    <row r="117">
      <c r="A117" s="6" t="n"/>
      <c r="B117" s="6" t="n"/>
      <c r="C117" s="7" t="n"/>
      <c r="D117" s="8" t="n"/>
      <c r="E117" s="6" t="n"/>
      <c r="F117" s="6" t="n"/>
      <c r="G117" s="6" t="n"/>
      <c r="H117" s="6" t="n"/>
      <c r="I117" s="12">
        <f>IF($B117="","",IF(COUNTIF(Ventes_Factures!$A$6:$A$3005,$B117)&gt;0,"OK","INCONNUE"))</f>
        <v/>
      </c>
      <c r="J117" s="9">
        <f>IF($D117="","",ROUND($D117,2))</f>
        <v/>
      </c>
    </row>
    <row r="118">
      <c r="A118" s="6" t="n"/>
      <c r="B118" s="6" t="n"/>
      <c r="C118" s="7" t="n"/>
      <c r="D118" s="8" t="n"/>
      <c r="E118" s="6" t="n"/>
      <c r="F118" s="6" t="n"/>
      <c r="G118" s="6" t="n"/>
      <c r="H118" s="6" t="n"/>
      <c r="I118" s="12">
        <f>IF($B118="","",IF(COUNTIF(Ventes_Factures!$A$6:$A$3005,$B118)&gt;0,"OK","INCONNUE"))</f>
        <v/>
      </c>
      <c r="J118" s="9">
        <f>IF($D118="","",ROUND($D118,2))</f>
        <v/>
      </c>
    </row>
    <row r="119">
      <c r="A119" s="6" t="n"/>
      <c r="B119" s="6" t="n"/>
      <c r="C119" s="7" t="n"/>
      <c r="D119" s="8" t="n"/>
      <c r="E119" s="6" t="n"/>
      <c r="F119" s="6" t="n"/>
      <c r="G119" s="6" t="n"/>
      <c r="H119" s="6" t="n"/>
      <c r="I119" s="12">
        <f>IF($B119="","",IF(COUNTIF(Ventes_Factures!$A$6:$A$3005,$B119)&gt;0,"OK","INCONNUE"))</f>
        <v/>
      </c>
      <c r="J119" s="9">
        <f>IF($D119="","",ROUND($D119,2))</f>
        <v/>
      </c>
    </row>
    <row r="120">
      <c r="A120" s="6" t="n"/>
      <c r="B120" s="6" t="n"/>
      <c r="C120" s="7" t="n"/>
      <c r="D120" s="8" t="n"/>
      <c r="E120" s="6" t="n"/>
      <c r="F120" s="6" t="n"/>
      <c r="G120" s="6" t="n"/>
      <c r="H120" s="6" t="n"/>
      <c r="I120" s="12">
        <f>IF($B120="","",IF(COUNTIF(Ventes_Factures!$A$6:$A$3005,$B120)&gt;0,"OK","INCONNUE"))</f>
        <v/>
      </c>
      <c r="J120" s="9">
        <f>IF($D120="","",ROUND($D120,2))</f>
        <v/>
      </c>
    </row>
    <row r="121">
      <c r="A121" s="6" t="n"/>
      <c r="B121" s="6" t="n"/>
      <c r="C121" s="7" t="n"/>
      <c r="D121" s="8" t="n"/>
      <c r="E121" s="6" t="n"/>
      <c r="F121" s="6" t="n"/>
      <c r="G121" s="6" t="n"/>
      <c r="H121" s="6" t="n"/>
      <c r="I121" s="12">
        <f>IF($B121="","",IF(COUNTIF(Ventes_Factures!$A$6:$A$3005,$B121)&gt;0,"OK","INCONNUE"))</f>
        <v/>
      </c>
      <c r="J121" s="9">
        <f>IF($D121="","",ROUND($D121,2))</f>
        <v/>
      </c>
    </row>
    <row r="122">
      <c r="A122" s="6" t="n"/>
      <c r="B122" s="6" t="n"/>
      <c r="C122" s="7" t="n"/>
      <c r="D122" s="8" t="n"/>
      <c r="E122" s="6" t="n"/>
      <c r="F122" s="6" t="n"/>
      <c r="G122" s="6" t="n"/>
      <c r="H122" s="6" t="n"/>
      <c r="I122" s="12">
        <f>IF($B122="","",IF(COUNTIF(Ventes_Factures!$A$6:$A$3005,$B122)&gt;0,"OK","INCONNUE"))</f>
        <v/>
      </c>
      <c r="J122" s="9">
        <f>IF($D122="","",ROUND($D122,2))</f>
        <v/>
      </c>
    </row>
    <row r="123">
      <c r="A123" s="6" t="n"/>
      <c r="B123" s="6" t="n"/>
      <c r="C123" s="7" t="n"/>
      <c r="D123" s="8" t="n"/>
      <c r="E123" s="6" t="n"/>
      <c r="F123" s="6" t="n"/>
      <c r="G123" s="6" t="n"/>
      <c r="H123" s="6" t="n"/>
      <c r="I123" s="12">
        <f>IF($B123="","",IF(COUNTIF(Ventes_Factures!$A$6:$A$3005,$B123)&gt;0,"OK","INCONNUE"))</f>
        <v/>
      </c>
      <c r="J123" s="9">
        <f>IF($D123="","",ROUND($D123,2))</f>
        <v/>
      </c>
    </row>
    <row r="124">
      <c r="A124" s="6" t="n"/>
      <c r="B124" s="6" t="n"/>
      <c r="C124" s="7" t="n"/>
      <c r="D124" s="8" t="n"/>
      <c r="E124" s="6" t="n"/>
      <c r="F124" s="6" t="n"/>
      <c r="G124" s="6" t="n"/>
      <c r="H124" s="6" t="n"/>
      <c r="I124" s="12">
        <f>IF($B124="","",IF(COUNTIF(Ventes_Factures!$A$6:$A$3005,$B124)&gt;0,"OK","INCONNUE"))</f>
        <v/>
      </c>
      <c r="J124" s="9">
        <f>IF($D124="","",ROUND($D124,2))</f>
        <v/>
      </c>
    </row>
    <row r="125">
      <c r="A125" s="6" t="n"/>
      <c r="B125" s="6" t="n"/>
      <c r="C125" s="7" t="n"/>
      <c r="D125" s="8" t="n"/>
      <c r="E125" s="6" t="n"/>
      <c r="F125" s="6" t="n"/>
      <c r="G125" s="6" t="n"/>
      <c r="H125" s="6" t="n"/>
      <c r="I125" s="12">
        <f>IF($B125="","",IF(COUNTIF(Ventes_Factures!$A$6:$A$3005,$B125)&gt;0,"OK","INCONNUE"))</f>
        <v/>
      </c>
      <c r="J125" s="9">
        <f>IF($D125="","",ROUND($D125,2))</f>
        <v/>
      </c>
    </row>
    <row r="126">
      <c r="A126" s="6" t="n"/>
      <c r="B126" s="6" t="n"/>
      <c r="C126" s="7" t="n"/>
      <c r="D126" s="8" t="n"/>
      <c r="E126" s="6" t="n"/>
      <c r="F126" s="6" t="n"/>
      <c r="G126" s="6" t="n"/>
      <c r="H126" s="6" t="n"/>
      <c r="I126" s="12">
        <f>IF($B126="","",IF(COUNTIF(Ventes_Factures!$A$6:$A$3005,$B126)&gt;0,"OK","INCONNUE"))</f>
        <v/>
      </c>
      <c r="J126" s="9">
        <f>IF($D126="","",ROUND($D126,2))</f>
        <v/>
      </c>
    </row>
    <row r="127">
      <c r="A127" s="6" t="n"/>
      <c r="B127" s="6" t="n"/>
      <c r="C127" s="7" t="n"/>
      <c r="D127" s="8" t="n"/>
      <c r="E127" s="6" t="n"/>
      <c r="F127" s="6" t="n"/>
      <c r="G127" s="6" t="n"/>
      <c r="H127" s="6" t="n"/>
      <c r="I127" s="12">
        <f>IF($B127="","",IF(COUNTIF(Ventes_Factures!$A$6:$A$3005,$B127)&gt;0,"OK","INCONNUE"))</f>
        <v/>
      </c>
      <c r="J127" s="9">
        <f>IF($D127="","",ROUND($D127,2))</f>
        <v/>
      </c>
    </row>
    <row r="128">
      <c r="A128" s="6" t="n"/>
      <c r="B128" s="6" t="n"/>
      <c r="C128" s="7" t="n"/>
      <c r="D128" s="8" t="n"/>
      <c r="E128" s="6" t="n"/>
      <c r="F128" s="6" t="n"/>
      <c r="G128" s="6" t="n"/>
      <c r="H128" s="6" t="n"/>
      <c r="I128" s="12">
        <f>IF($B128="","",IF(COUNTIF(Ventes_Factures!$A$6:$A$3005,$B128)&gt;0,"OK","INCONNUE"))</f>
        <v/>
      </c>
      <c r="J128" s="9">
        <f>IF($D128="","",ROUND($D128,2))</f>
        <v/>
      </c>
    </row>
    <row r="129">
      <c r="A129" s="6" t="n"/>
      <c r="B129" s="6" t="n"/>
      <c r="C129" s="7" t="n"/>
      <c r="D129" s="8" t="n"/>
      <c r="E129" s="6" t="n"/>
      <c r="F129" s="6" t="n"/>
      <c r="G129" s="6" t="n"/>
      <c r="H129" s="6" t="n"/>
      <c r="I129" s="12">
        <f>IF($B129="","",IF(COUNTIF(Ventes_Factures!$A$6:$A$3005,$B129)&gt;0,"OK","INCONNUE"))</f>
        <v/>
      </c>
      <c r="J129" s="9">
        <f>IF($D129="","",ROUND($D129,2))</f>
        <v/>
      </c>
    </row>
    <row r="130">
      <c r="A130" s="6" t="n"/>
      <c r="B130" s="6" t="n"/>
      <c r="C130" s="7" t="n"/>
      <c r="D130" s="8" t="n"/>
      <c r="E130" s="6" t="n"/>
      <c r="F130" s="6" t="n"/>
      <c r="G130" s="6" t="n"/>
      <c r="H130" s="6" t="n"/>
      <c r="I130" s="12">
        <f>IF($B130="","",IF(COUNTIF(Ventes_Factures!$A$6:$A$3005,$B130)&gt;0,"OK","INCONNUE"))</f>
        <v/>
      </c>
      <c r="J130" s="9">
        <f>IF($D130="","",ROUND($D130,2))</f>
        <v/>
      </c>
    </row>
    <row r="131">
      <c r="A131" s="6" t="n"/>
      <c r="B131" s="6" t="n"/>
      <c r="C131" s="7" t="n"/>
      <c r="D131" s="8" t="n"/>
      <c r="E131" s="6" t="n"/>
      <c r="F131" s="6" t="n"/>
      <c r="G131" s="6" t="n"/>
      <c r="H131" s="6" t="n"/>
      <c r="I131" s="12">
        <f>IF($B131="","",IF(COUNTIF(Ventes_Factures!$A$6:$A$3005,$B131)&gt;0,"OK","INCONNUE"))</f>
        <v/>
      </c>
      <c r="J131" s="9">
        <f>IF($D131="","",ROUND($D131,2))</f>
        <v/>
      </c>
    </row>
    <row r="132">
      <c r="A132" s="6" t="n"/>
      <c r="B132" s="6" t="n"/>
      <c r="C132" s="7" t="n"/>
      <c r="D132" s="8" t="n"/>
      <c r="E132" s="6" t="n"/>
      <c r="F132" s="6" t="n"/>
      <c r="G132" s="6" t="n"/>
      <c r="H132" s="6" t="n"/>
      <c r="I132" s="12">
        <f>IF($B132="","",IF(COUNTIF(Ventes_Factures!$A$6:$A$3005,$B132)&gt;0,"OK","INCONNUE"))</f>
        <v/>
      </c>
      <c r="J132" s="9">
        <f>IF($D132="","",ROUND($D132,2))</f>
        <v/>
      </c>
    </row>
    <row r="133">
      <c r="A133" s="6" t="n"/>
      <c r="B133" s="6" t="n"/>
      <c r="C133" s="7" t="n"/>
      <c r="D133" s="8" t="n"/>
      <c r="E133" s="6" t="n"/>
      <c r="F133" s="6" t="n"/>
      <c r="G133" s="6" t="n"/>
      <c r="H133" s="6" t="n"/>
      <c r="I133" s="12">
        <f>IF($B133="","",IF(COUNTIF(Ventes_Factures!$A$6:$A$3005,$B133)&gt;0,"OK","INCONNUE"))</f>
        <v/>
      </c>
      <c r="J133" s="9">
        <f>IF($D133="","",ROUND($D133,2))</f>
        <v/>
      </c>
    </row>
    <row r="134">
      <c r="A134" s="6" t="n"/>
      <c r="B134" s="6" t="n"/>
      <c r="C134" s="7" t="n"/>
      <c r="D134" s="8" t="n"/>
      <c r="E134" s="6" t="n"/>
      <c r="F134" s="6" t="n"/>
      <c r="G134" s="6" t="n"/>
      <c r="H134" s="6" t="n"/>
      <c r="I134" s="12">
        <f>IF($B134="","",IF(COUNTIF(Ventes_Factures!$A$6:$A$3005,$B134)&gt;0,"OK","INCONNUE"))</f>
        <v/>
      </c>
      <c r="J134" s="9">
        <f>IF($D134="","",ROUND($D134,2))</f>
        <v/>
      </c>
    </row>
    <row r="135">
      <c r="A135" s="6" t="n"/>
      <c r="B135" s="6" t="n"/>
      <c r="C135" s="7" t="n"/>
      <c r="D135" s="8" t="n"/>
      <c r="E135" s="6" t="n"/>
      <c r="F135" s="6" t="n"/>
      <c r="G135" s="6" t="n"/>
      <c r="H135" s="6" t="n"/>
      <c r="I135" s="12">
        <f>IF($B135="","",IF(COUNTIF(Ventes_Factures!$A$6:$A$3005,$B135)&gt;0,"OK","INCONNUE"))</f>
        <v/>
      </c>
      <c r="J135" s="9">
        <f>IF($D135="","",ROUND($D135,2))</f>
        <v/>
      </c>
    </row>
    <row r="136">
      <c r="A136" s="6" t="n"/>
      <c r="B136" s="6" t="n"/>
      <c r="C136" s="7" t="n"/>
      <c r="D136" s="8" t="n"/>
      <c r="E136" s="6" t="n"/>
      <c r="F136" s="6" t="n"/>
      <c r="G136" s="6" t="n"/>
      <c r="H136" s="6" t="n"/>
      <c r="I136" s="12">
        <f>IF($B136="","",IF(COUNTIF(Ventes_Factures!$A$6:$A$3005,$B136)&gt;0,"OK","INCONNUE"))</f>
        <v/>
      </c>
      <c r="J136" s="9">
        <f>IF($D136="","",ROUND($D136,2))</f>
        <v/>
      </c>
    </row>
    <row r="137">
      <c r="A137" s="6" t="n"/>
      <c r="B137" s="6" t="n"/>
      <c r="C137" s="7" t="n"/>
      <c r="D137" s="8" t="n"/>
      <c r="E137" s="6" t="n"/>
      <c r="F137" s="6" t="n"/>
      <c r="G137" s="6" t="n"/>
      <c r="H137" s="6" t="n"/>
      <c r="I137" s="12">
        <f>IF($B137="","",IF(COUNTIF(Ventes_Factures!$A$6:$A$3005,$B137)&gt;0,"OK","INCONNUE"))</f>
        <v/>
      </c>
      <c r="J137" s="9">
        <f>IF($D137="","",ROUND($D137,2))</f>
        <v/>
      </c>
    </row>
    <row r="138">
      <c r="A138" s="6" t="n"/>
      <c r="B138" s="6" t="n"/>
      <c r="C138" s="7" t="n"/>
      <c r="D138" s="8" t="n"/>
      <c r="E138" s="6" t="n"/>
      <c r="F138" s="6" t="n"/>
      <c r="G138" s="6" t="n"/>
      <c r="H138" s="6" t="n"/>
      <c r="I138" s="12">
        <f>IF($B138="","",IF(COUNTIF(Ventes_Factures!$A$6:$A$3005,$B138)&gt;0,"OK","INCONNUE"))</f>
        <v/>
      </c>
      <c r="J138" s="9">
        <f>IF($D138="","",ROUND($D138,2))</f>
        <v/>
      </c>
    </row>
    <row r="139">
      <c r="A139" s="6" t="n"/>
      <c r="B139" s="6" t="n"/>
      <c r="C139" s="7" t="n"/>
      <c r="D139" s="8" t="n"/>
      <c r="E139" s="6" t="n"/>
      <c r="F139" s="6" t="n"/>
      <c r="G139" s="6" t="n"/>
      <c r="H139" s="6" t="n"/>
      <c r="I139" s="12">
        <f>IF($B139="","",IF(COUNTIF(Ventes_Factures!$A$6:$A$3005,$B139)&gt;0,"OK","INCONNUE"))</f>
        <v/>
      </c>
      <c r="J139" s="9">
        <f>IF($D139="","",ROUND($D139,2))</f>
        <v/>
      </c>
    </row>
    <row r="140">
      <c r="A140" s="6" t="n"/>
      <c r="B140" s="6" t="n"/>
      <c r="C140" s="7" t="n"/>
      <c r="D140" s="8" t="n"/>
      <c r="E140" s="6" t="n"/>
      <c r="F140" s="6" t="n"/>
      <c r="G140" s="6" t="n"/>
      <c r="H140" s="6" t="n"/>
      <c r="I140" s="12">
        <f>IF($B140="","",IF(COUNTIF(Ventes_Factures!$A$6:$A$3005,$B140)&gt;0,"OK","INCONNUE"))</f>
        <v/>
      </c>
      <c r="J140" s="9">
        <f>IF($D140="","",ROUND($D140,2))</f>
        <v/>
      </c>
    </row>
    <row r="141">
      <c r="A141" s="6" t="n"/>
      <c r="B141" s="6" t="n"/>
      <c r="C141" s="7" t="n"/>
      <c r="D141" s="8" t="n"/>
      <c r="E141" s="6" t="n"/>
      <c r="F141" s="6" t="n"/>
      <c r="G141" s="6" t="n"/>
      <c r="H141" s="6" t="n"/>
      <c r="I141" s="12">
        <f>IF($B141="","",IF(COUNTIF(Ventes_Factures!$A$6:$A$3005,$B141)&gt;0,"OK","INCONNUE"))</f>
        <v/>
      </c>
      <c r="J141" s="9">
        <f>IF($D141="","",ROUND($D141,2))</f>
        <v/>
      </c>
    </row>
    <row r="142">
      <c r="A142" s="6" t="n"/>
      <c r="B142" s="6" t="n"/>
      <c r="C142" s="7" t="n"/>
      <c r="D142" s="8" t="n"/>
      <c r="E142" s="6" t="n"/>
      <c r="F142" s="6" t="n"/>
      <c r="G142" s="6" t="n"/>
      <c r="H142" s="6" t="n"/>
      <c r="I142" s="12">
        <f>IF($B142="","",IF(COUNTIF(Ventes_Factures!$A$6:$A$3005,$B142)&gt;0,"OK","INCONNUE"))</f>
        <v/>
      </c>
      <c r="J142" s="9">
        <f>IF($D142="","",ROUND($D142,2))</f>
        <v/>
      </c>
    </row>
    <row r="143">
      <c r="A143" s="6" t="n"/>
      <c r="B143" s="6" t="n"/>
      <c r="C143" s="7" t="n"/>
      <c r="D143" s="8" t="n"/>
      <c r="E143" s="6" t="n"/>
      <c r="F143" s="6" t="n"/>
      <c r="G143" s="6" t="n"/>
      <c r="H143" s="6" t="n"/>
      <c r="I143" s="12">
        <f>IF($B143="","",IF(COUNTIF(Ventes_Factures!$A$6:$A$3005,$B143)&gt;0,"OK","INCONNUE"))</f>
        <v/>
      </c>
      <c r="J143" s="9">
        <f>IF($D143="","",ROUND($D143,2))</f>
        <v/>
      </c>
    </row>
    <row r="144">
      <c r="A144" s="6" t="n"/>
      <c r="B144" s="6" t="n"/>
      <c r="C144" s="7" t="n"/>
      <c r="D144" s="8" t="n"/>
      <c r="E144" s="6" t="n"/>
      <c r="F144" s="6" t="n"/>
      <c r="G144" s="6" t="n"/>
      <c r="H144" s="6" t="n"/>
      <c r="I144" s="12">
        <f>IF($B144="","",IF(COUNTIF(Ventes_Factures!$A$6:$A$3005,$B144)&gt;0,"OK","INCONNUE"))</f>
        <v/>
      </c>
      <c r="J144" s="9">
        <f>IF($D144="","",ROUND($D144,2))</f>
        <v/>
      </c>
    </row>
    <row r="145">
      <c r="A145" s="6" t="n"/>
      <c r="B145" s="6" t="n"/>
      <c r="C145" s="7" t="n"/>
      <c r="D145" s="8" t="n"/>
      <c r="E145" s="6" t="n"/>
      <c r="F145" s="6" t="n"/>
      <c r="G145" s="6" t="n"/>
      <c r="H145" s="6" t="n"/>
      <c r="I145" s="12">
        <f>IF($B145="","",IF(COUNTIF(Ventes_Factures!$A$6:$A$3005,$B145)&gt;0,"OK","INCONNUE"))</f>
        <v/>
      </c>
      <c r="J145" s="9">
        <f>IF($D145="","",ROUND($D145,2))</f>
        <v/>
      </c>
    </row>
    <row r="146">
      <c r="A146" s="6" t="n"/>
      <c r="B146" s="6" t="n"/>
      <c r="C146" s="7" t="n"/>
      <c r="D146" s="8" t="n"/>
      <c r="E146" s="6" t="n"/>
      <c r="F146" s="6" t="n"/>
      <c r="G146" s="6" t="n"/>
      <c r="H146" s="6" t="n"/>
      <c r="I146" s="12">
        <f>IF($B146="","",IF(COUNTIF(Ventes_Factures!$A$6:$A$3005,$B146)&gt;0,"OK","INCONNUE"))</f>
        <v/>
      </c>
      <c r="J146" s="9">
        <f>IF($D146="","",ROUND($D146,2))</f>
        <v/>
      </c>
    </row>
    <row r="147">
      <c r="A147" s="6" t="n"/>
      <c r="B147" s="6" t="n"/>
      <c r="C147" s="7" t="n"/>
      <c r="D147" s="8" t="n"/>
      <c r="E147" s="6" t="n"/>
      <c r="F147" s="6" t="n"/>
      <c r="G147" s="6" t="n"/>
      <c r="H147" s="6" t="n"/>
      <c r="I147" s="12">
        <f>IF($B147="","",IF(COUNTIF(Ventes_Factures!$A$6:$A$3005,$B147)&gt;0,"OK","INCONNUE"))</f>
        <v/>
      </c>
      <c r="J147" s="9">
        <f>IF($D147="","",ROUND($D147,2))</f>
        <v/>
      </c>
    </row>
    <row r="148">
      <c r="A148" s="6" t="n"/>
      <c r="B148" s="6" t="n"/>
      <c r="C148" s="7" t="n"/>
      <c r="D148" s="8" t="n"/>
      <c r="E148" s="6" t="n"/>
      <c r="F148" s="6" t="n"/>
      <c r="G148" s="6" t="n"/>
      <c r="H148" s="6" t="n"/>
      <c r="I148" s="12">
        <f>IF($B148="","",IF(COUNTIF(Ventes_Factures!$A$6:$A$3005,$B148)&gt;0,"OK","INCONNUE"))</f>
        <v/>
      </c>
      <c r="J148" s="9">
        <f>IF($D148="","",ROUND($D148,2))</f>
        <v/>
      </c>
    </row>
    <row r="149">
      <c r="A149" s="6" t="n"/>
      <c r="B149" s="6" t="n"/>
      <c r="C149" s="7" t="n"/>
      <c r="D149" s="8" t="n"/>
      <c r="E149" s="6" t="n"/>
      <c r="F149" s="6" t="n"/>
      <c r="G149" s="6" t="n"/>
      <c r="H149" s="6" t="n"/>
      <c r="I149" s="12">
        <f>IF($B149="","",IF(COUNTIF(Ventes_Factures!$A$6:$A$3005,$B149)&gt;0,"OK","INCONNUE"))</f>
        <v/>
      </c>
      <c r="J149" s="9">
        <f>IF($D149="","",ROUND($D149,2))</f>
        <v/>
      </c>
    </row>
    <row r="150">
      <c r="A150" s="6" t="n"/>
      <c r="B150" s="6" t="n"/>
      <c r="C150" s="7" t="n"/>
      <c r="D150" s="8" t="n"/>
      <c r="E150" s="6" t="n"/>
      <c r="F150" s="6" t="n"/>
      <c r="G150" s="6" t="n"/>
      <c r="H150" s="6" t="n"/>
      <c r="I150" s="12">
        <f>IF($B150="","",IF(COUNTIF(Ventes_Factures!$A$6:$A$3005,$B150)&gt;0,"OK","INCONNUE"))</f>
        <v/>
      </c>
      <c r="J150" s="9">
        <f>IF($D150="","",ROUND($D150,2))</f>
        <v/>
      </c>
    </row>
    <row r="151">
      <c r="A151" s="6" t="n"/>
      <c r="B151" s="6" t="n"/>
      <c r="C151" s="7" t="n"/>
      <c r="D151" s="8" t="n"/>
      <c r="E151" s="6" t="n"/>
      <c r="F151" s="6" t="n"/>
      <c r="G151" s="6" t="n"/>
      <c r="H151" s="6" t="n"/>
      <c r="I151" s="12">
        <f>IF($B151="","",IF(COUNTIF(Ventes_Factures!$A$6:$A$3005,$B151)&gt;0,"OK","INCONNUE"))</f>
        <v/>
      </c>
      <c r="J151" s="9">
        <f>IF($D151="","",ROUND($D151,2))</f>
        <v/>
      </c>
    </row>
    <row r="152">
      <c r="A152" s="6" t="n"/>
      <c r="B152" s="6" t="n"/>
      <c r="C152" s="7" t="n"/>
      <c r="D152" s="8" t="n"/>
      <c r="E152" s="6" t="n"/>
      <c r="F152" s="6" t="n"/>
      <c r="G152" s="6" t="n"/>
      <c r="H152" s="6" t="n"/>
      <c r="I152" s="12">
        <f>IF($B152="","",IF(COUNTIF(Ventes_Factures!$A$6:$A$3005,$B152)&gt;0,"OK","INCONNUE"))</f>
        <v/>
      </c>
      <c r="J152" s="9">
        <f>IF($D152="","",ROUND($D152,2))</f>
        <v/>
      </c>
    </row>
    <row r="153">
      <c r="A153" s="6" t="n"/>
      <c r="B153" s="6" t="n"/>
      <c r="C153" s="7" t="n"/>
      <c r="D153" s="8" t="n"/>
      <c r="E153" s="6" t="n"/>
      <c r="F153" s="6" t="n"/>
      <c r="G153" s="6" t="n"/>
      <c r="H153" s="6" t="n"/>
      <c r="I153" s="12">
        <f>IF($B153="","",IF(COUNTIF(Ventes_Factures!$A$6:$A$3005,$B153)&gt;0,"OK","INCONNUE"))</f>
        <v/>
      </c>
      <c r="J153" s="9">
        <f>IF($D153="","",ROUND($D153,2))</f>
        <v/>
      </c>
    </row>
    <row r="154">
      <c r="A154" s="6" t="n"/>
      <c r="B154" s="6" t="n"/>
      <c r="C154" s="7" t="n"/>
      <c r="D154" s="8" t="n"/>
      <c r="E154" s="6" t="n"/>
      <c r="F154" s="6" t="n"/>
      <c r="G154" s="6" t="n"/>
      <c r="H154" s="6" t="n"/>
      <c r="I154" s="12">
        <f>IF($B154="","",IF(COUNTIF(Ventes_Factures!$A$6:$A$3005,$B154)&gt;0,"OK","INCONNUE"))</f>
        <v/>
      </c>
      <c r="J154" s="9">
        <f>IF($D154="","",ROUND($D154,2))</f>
        <v/>
      </c>
    </row>
    <row r="155">
      <c r="A155" s="6" t="n"/>
      <c r="B155" s="6" t="n"/>
      <c r="C155" s="7" t="n"/>
      <c r="D155" s="8" t="n"/>
      <c r="E155" s="6" t="n"/>
      <c r="F155" s="6" t="n"/>
      <c r="G155" s="6" t="n"/>
      <c r="H155" s="6" t="n"/>
      <c r="I155" s="12">
        <f>IF($B155="","",IF(COUNTIF(Ventes_Factures!$A$6:$A$3005,$B155)&gt;0,"OK","INCONNUE"))</f>
        <v/>
      </c>
      <c r="J155" s="9">
        <f>IF($D155="","",ROUND($D155,2))</f>
        <v/>
      </c>
    </row>
    <row r="156">
      <c r="A156" s="6" t="n"/>
      <c r="B156" s="6" t="n"/>
      <c r="C156" s="7" t="n"/>
      <c r="D156" s="8" t="n"/>
      <c r="E156" s="6" t="n"/>
      <c r="F156" s="6" t="n"/>
      <c r="G156" s="6" t="n"/>
      <c r="H156" s="6" t="n"/>
      <c r="I156" s="12">
        <f>IF($B156="","",IF(COUNTIF(Ventes_Factures!$A$6:$A$3005,$B156)&gt;0,"OK","INCONNUE"))</f>
        <v/>
      </c>
      <c r="J156" s="9">
        <f>IF($D156="","",ROUND($D156,2))</f>
        <v/>
      </c>
    </row>
    <row r="157">
      <c r="A157" s="6" t="n"/>
      <c r="B157" s="6" t="n"/>
      <c r="C157" s="7" t="n"/>
      <c r="D157" s="8" t="n"/>
      <c r="E157" s="6" t="n"/>
      <c r="F157" s="6" t="n"/>
      <c r="G157" s="6" t="n"/>
      <c r="H157" s="6" t="n"/>
      <c r="I157" s="12">
        <f>IF($B157="","",IF(COUNTIF(Ventes_Factures!$A$6:$A$3005,$B157)&gt;0,"OK","INCONNUE"))</f>
        <v/>
      </c>
      <c r="J157" s="9">
        <f>IF($D157="","",ROUND($D157,2))</f>
        <v/>
      </c>
    </row>
    <row r="158">
      <c r="A158" s="6" t="n"/>
      <c r="B158" s="6" t="n"/>
      <c r="C158" s="7" t="n"/>
      <c r="D158" s="8" t="n"/>
      <c r="E158" s="6" t="n"/>
      <c r="F158" s="6" t="n"/>
      <c r="G158" s="6" t="n"/>
      <c r="H158" s="6" t="n"/>
      <c r="I158" s="12">
        <f>IF($B158="","",IF(COUNTIF(Ventes_Factures!$A$6:$A$3005,$B158)&gt;0,"OK","INCONNUE"))</f>
        <v/>
      </c>
      <c r="J158" s="9">
        <f>IF($D158="","",ROUND($D158,2))</f>
        <v/>
      </c>
    </row>
    <row r="159">
      <c r="A159" s="6" t="n"/>
      <c r="B159" s="6" t="n"/>
      <c r="C159" s="7" t="n"/>
      <c r="D159" s="8" t="n"/>
      <c r="E159" s="6" t="n"/>
      <c r="F159" s="6" t="n"/>
      <c r="G159" s="6" t="n"/>
      <c r="H159" s="6" t="n"/>
      <c r="I159" s="12">
        <f>IF($B159="","",IF(COUNTIF(Ventes_Factures!$A$6:$A$3005,$B159)&gt;0,"OK","INCONNUE"))</f>
        <v/>
      </c>
      <c r="J159" s="9">
        <f>IF($D159="","",ROUND($D159,2))</f>
        <v/>
      </c>
    </row>
    <row r="160">
      <c r="A160" s="6" t="n"/>
      <c r="B160" s="6" t="n"/>
      <c r="C160" s="7" t="n"/>
      <c r="D160" s="8" t="n"/>
      <c r="E160" s="6" t="n"/>
      <c r="F160" s="6" t="n"/>
      <c r="G160" s="6" t="n"/>
      <c r="H160" s="6" t="n"/>
      <c r="I160" s="12">
        <f>IF($B160="","",IF(COUNTIF(Ventes_Factures!$A$6:$A$3005,$B160)&gt;0,"OK","INCONNUE"))</f>
        <v/>
      </c>
      <c r="J160" s="9">
        <f>IF($D160="","",ROUND($D160,2))</f>
        <v/>
      </c>
    </row>
    <row r="161">
      <c r="A161" s="6" t="n"/>
      <c r="B161" s="6" t="n"/>
      <c r="C161" s="7" t="n"/>
      <c r="D161" s="8" t="n"/>
      <c r="E161" s="6" t="n"/>
      <c r="F161" s="6" t="n"/>
      <c r="G161" s="6" t="n"/>
      <c r="H161" s="6" t="n"/>
      <c r="I161" s="12">
        <f>IF($B161="","",IF(COUNTIF(Ventes_Factures!$A$6:$A$3005,$B161)&gt;0,"OK","INCONNUE"))</f>
        <v/>
      </c>
      <c r="J161" s="9">
        <f>IF($D161="","",ROUND($D161,2))</f>
        <v/>
      </c>
    </row>
    <row r="162">
      <c r="A162" s="6" t="n"/>
      <c r="B162" s="6" t="n"/>
      <c r="C162" s="7" t="n"/>
      <c r="D162" s="8" t="n"/>
      <c r="E162" s="6" t="n"/>
      <c r="F162" s="6" t="n"/>
      <c r="G162" s="6" t="n"/>
      <c r="H162" s="6" t="n"/>
      <c r="I162" s="12">
        <f>IF($B162="","",IF(COUNTIF(Ventes_Factures!$A$6:$A$3005,$B162)&gt;0,"OK","INCONNUE"))</f>
        <v/>
      </c>
      <c r="J162" s="9">
        <f>IF($D162="","",ROUND($D162,2))</f>
        <v/>
      </c>
    </row>
    <row r="163">
      <c r="A163" s="6" t="n"/>
      <c r="B163" s="6" t="n"/>
      <c r="C163" s="7" t="n"/>
      <c r="D163" s="8" t="n"/>
      <c r="E163" s="6" t="n"/>
      <c r="F163" s="6" t="n"/>
      <c r="G163" s="6" t="n"/>
      <c r="H163" s="6" t="n"/>
      <c r="I163" s="12">
        <f>IF($B163="","",IF(COUNTIF(Ventes_Factures!$A$6:$A$3005,$B163)&gt;0,"OK","INCONNUE"))</f>
        <v/>
      </c>
      <c r="J163" s="9">
        <f>IF($D163="","",ROUND($D163,2))</f>
        <v/>
      </c>
    </row>
    <row r="164">
      <c r="A164" s="6" t="n"/>
      <c r="B164" s="6" t="n"/>
      <c r="C164" s="7" t="n"/>
      <c r="D164" s="8" t="n"/>
      <c r="E164" s="6" t="n"/>
      <c r="F164" s="6" t="n"/>
      <c r="G164" s="6" t="n"/>
      <c r="H164" s="6" t="n"/>
      <c r="I164" s="12">
        <f>IF($B164="","",IF(COUNTIF(Ventes_Factures!$A$6:$A$3005,$B164)&gt;0,"OK","INCONNUE"))</f>
        <v/>
      </c>
      <c r="J164" s="9">
        <f>IF($D164="","",ROUND($D164,2))</f>
        <v/>
      </c>
    </row>
    <row r="165">
      <c r="A165" s="6" t="n"/>
      <c r="B165" s="6" t="n"/>
      <c r="C165" s="7" t="n"/>
      <c r="D165" s="8" t="n"/>
      <c r="E165" s="6" t="n"/>
      <c r="F165" s="6" t="n"/>
      <c r="G165" s="6" t="n"/>
      <c r="H165" s="6" t="n"/>
      <c r="I165" s="12">
        <f>IF($B165="","",IF(COUNTIF(Ventes_Factures!$A$6:$A$3005,$B165)&gt;0,"OK","INCONNUE"))</f>
        <v/>
      </c>
      <c r="J165" s="9">
        <f>IF($D165="","",ROUND($D165,2))</f>
        <v/>
      </c>
    </row>
    <row r="166">
      <c r="A166" s="6" t="n"/>
      <c r="B166" s="6" t="n"/>
      <c r="C166" s="7" t="n"/>
      <c r="D166" s="8" t="n"/>
      <c r="E166" s="6" t="n"/>
      <c r="F166" s="6" t="n"/>
      <c r="G166" s="6" t="n"/>
      <c r="H166" s="6" t="n"/>
      <c r="I166" s="12">
        <f>IF($B166="","",IF(COUNTIF(Ventes_Factures!$A$6:$A$3005,$B166)&gt;0,"OK","INCONNUE"))</f>
        <v/>
      </c>
      <c r="J166" s="9">
        <f>IF($D166="","",ROUND($D166,2))</f>
        <v/>
      </c>
    </row>
    <row r="167">
      <c r="A167" s="6" t="n"/>
      <c r="B167" s="6" t="n"/>
      <c r="C167" s="7" t="n"/>
      <c r="D167" s="8" t="n"/>
      <c r="E167" s="6" t="n"/>
      <c r="F167" s="6" t="n"/>
      <c r="G167" s="6" t="n"/>
      <c r="H167" s="6" t="n"/>
      <c r="I167" s="12">
        <f>IF($B167="","",IF(COUNTIF(Ventes_Factures!$A$6:$A$3005,$B167)&gt;0,"OK","INCONNUE"))</f>
        <v/>
      </c>
      <c r="J167" s="9">
        <f>IF($D167="","",ROUND($D167,2))</f>
        <v/>
      </c>
    </row>
    <row r="168">
      <c r="A168" s="6" t="n"/>
      <c r="B168" s="6" t="n"/>
      <c r="C168" s="7" t="n"/>
      <c r="D168" s="8" t="n"/>
      <c r="E168" s="6" t="n"/>
      <c r="F168" s="6" t="n"/>
      <c r="G168" s="6" t="n"/>
      <c r="H168" s="6" t="n"/>
      <c r="I168" s="12">
        <f>IF($B168="","",IF(COUNTIF(Ventes_Factures!$A$6:$A$3005,$B168)&gt;0,"OK","INCONNUE"))</f>
        <v/>
      </c>
      <c r="J168" s="9">
        <f>IF($D168="","",ROUND($D168,2))</f>
        <v/>
      </c>
    </row>
    <row r="169">
      <c r="A169" s="6" t="n"/>
      <c r="B169" s="6" t="n"/>
      <c r="C169" s="7" t="n"/>
      <c r="D169" s="8" t="n"/>
      <c r="E169" s="6" t="n"/>
      <c r="F169" s="6" t="n"/>
      <c r="G169" s="6" t="n"/>
      <c r="H169" s="6" t="n"/>
      <c r="I169" s="12">
        <f>IF($B169="","",IF(COUNTIF(Ventes_Factures!$A$6:$A$3005,$B169)&gt;0,"OK","INCONNUE"))</f>
        <v/>
      </c>
      <c r="J169" s="9">
        <f>IF($D169="","",ROUND($D169,2))</f>
        <v/>
      </c>
    </row>
    <row r="170">
      <c r="A170" s="6" t="n"/>
      <c r="B170" s="6" t="n"/>
      <c r="C170" s="7" t="n"/>
      <c r="D170" s="8" t="n"/>
      <c r="E170" s="6" t="n"/>
      <c r="F170" s="6" t="n"/>
      <c r="G170" s="6" t="n"/>
      <c r="H170" s="6" t="n"/>
      <c r="I170" s="12">
        <f>IF($B170="","",IF(COUNTIF(Ventes_Factures!$A$6:$A$3005,$B170)&gt;0,"OK","INCONNUE"))</f>
        <v/>
      </c>
      <c r="J170" s="9">
        <f>IF($D170="","",ROUND($D170,2))</f>
        <v/>
      </c>
    </row>
    <row r="171">
      <c r="A171" s="6" t="n"/>
      <c r="B171" s="6" t="n"/>
      <c r="C171" s="7" t="n"/>
      <c r="D171" s="8" t="n"/>
      <c r="E171" s="6" t="n"/>
      <c r="F171" s="6" t="n"/>
      <c r="G171" s="6" t="n"/>
      <c r="H171" s="6" t="n"/>
      <c r="I171" s="12">
        <f>IF($B171="","",IF(COUNTIF(Ventes_Factures!$A$6:$A$3005,$B171)&gt;0,"OK","INCONNUE"))</f>
        <v/>
      </c>
      <c r="J171" s="9">
        <f>IF($D171="","",ROUND($D171,2))</f>
        <v/>
      </c>
    </row>
    <row r="172">
      <c r="A172" s="6" t="n"/>
      <c r="B172" s="6" t="n"/>
      <c r="C172" s="7" t="n"/>
      <c r="D172" s="8" t="n"/>
      <c r="E172" s="6" t="n"/>
      <c r="F172" s="6" t="n"/>
      <c r="G172" s="6" t="n"/>
      <c r="H172" s="6" t="n"/>
      <c r="I172" s="12">
        <f>IF($B172="","",IF(COUNTIF(Ventes_Factures!$A$6:$A$3005,$B172)&gt;0,"OK","INCONNUE"))</f>
        <v/>
      </c>
      <c r="J172" s="9">
        <f>IF($D172="","",ROUND($D172,2))</f>
        <v/>
      </c>
    </row>
    <row r="173">
      <c r="A173" s="6" t="n"/>
      <c r="B173" s="6" t="n"/>
      <c r="C173" s="7" t="n"/>
      <c r="D173" s="8" t="n"/>
      <c r="E173" s="6" t="n"/>
      <c r="F173" s="6" t="n"/>
      <c r="G173" s="6" t="n"/>
      <c r="H173" s="6" t="n"/>
      <c r="I173" s="12">
        <f>IF($B173="","",IF(COUNTIF(Ventes_Factures!$A$6:$A$3005,$B173)&gt;0,"OK","INCONNUE"))</f>
        <v/>
      </c>
      <c r="J173" s="9">
        <f>IF($D173="","",ROUND($D173,2))</f>
        <v/>
      </c>
    </row>
    <row r="174">
      <c r="A174" s="6" t="n"/>
      <c r="B174" s="6" t="n"/>
      <c r="C174" s="7" t="n"/>
      <c r="D174" s="8" t="n"/>
      <c r="E174" s="6" t="n"/>
      <c r="F174" s="6" t="n"/>
      <c r="G174" s="6" t="n"/>
      <c r="H174" s="6" t="n"/>
      <c r="I174" s="12">
        <f>IF($B174="","",IF(COUNTIF(Ventes_Factures!$A$6:$A$3005,$B174)&gt;0,"OK","INCONNUE"))</f>
        <v/>
      </c>
      <c r="J174" s="9">
        <f>IF($D174="","",ROUND($D174,2))</f>
        <v/>
      </c>
    </row>
    <row r="175">
      <c r="A175" s="6" t="n"/>
      <c r="B175" s="6" t="n"/>
      <c r="C175" s="7" t="n"/>
      <c r="D175" s="8" t="n"/>
      <c r="E175" s="6" t="n"/>
      <c r="F175" s="6" t="n"/>
      <c r="G175" s="6" t="n"/>
      <c r="H175" s="6" t="n"/>
      <c r="I175" s="12">
        <f>IF($B175="","",IF(COUNTIF(Ventes_Factures!$A$6:$A$3005,$B175)&gt;0,"OK","INCONNUE"))</f>
        <v/>
      </c>
      <c r="J175" s="9">
        <f>IF($D175="","",ROUND($D175,2))</f>
        <v/>
      </c>
    </row>
    <row r="176">
      <c r="A176" s="6" t="n"/>
      <c r="B176" s="6" t="n"/>
      <c r="C176" s="7" t="n"/>
      <c r="D176" s="8" t="n"/>
      <c r="E176" s="6" t="n"/>
      <c r="F176" s="6" t="n"/>
      <c r="G176" s="6" t="n"/>
      <c r="H176" s="6" t="n"/>
      <c r="I176" s="12">
        <f>IF($B176="","",IF(COUNTIF(Ventes_Factures!$A$6:$A$3005,$B176)&gt;0,"OK","INCONNUE"))</f>
        <v/>
      </c>
      <c r="J176" s="9">
        <f>IF($D176="","",ROUND($D176,2))</f>
        <v/>
      </c>
    </row>
    <row r="177">
      <c r="A177" s="6" t="n"/>
      <c r="B177" s="6" t="n"/>
      <c r="C177" s="7" t="n"/>
      <c r="D177" s="8" t="n"/>
      <c r="E177" s="6" t="n"/>
      <c r="F177" s="6" t="n"/>
      <c r="G177" s="6" t="n"/>
      <c r="H177" s="6" t="n"/>
      <c r="I177" s="12">
        <f>IF($B177="","",IF(COUNTIF(Ventes_Factures!$A$6:$A$3005,$B177)&gt;0,"OK","INCONNUE"))</f>
        <v/>
      </c>
      <c r="J177" s="9">
        <f>IF($D177="","",ROUND($D177,2))</f>
        <v/>
      </c>
    </row>
    <row r="178">
      <c r="A178" s="6" t="n"/>
      <c r="B178" s="6" t="n"/>
      <c r="C178" s="7" t="n"/>
      <c r="D178" s="8" t="n"/>
      <c r="E178" s="6" t="n"/>
      <c r="F178" s="6" t="n"/>
      <c r="G178" s="6" t="n"/>
      <c r="H178" s="6" t="n"/>
      <c r="I178" s="12">
        <f>IF($B178="","",IF(COUNTIF(Ventes_Factures!$A$6:$A$3005,$B178)&gt;0,"OK","INCONNUE"))</f>
        <v/>
      </c>
      <c r="J178" s="9">
        <f>IF($D178="","",ROUND($D178,2))</f>
        <v/>
      </c>
    </row>
    <row r="179">
      <c r="A179" s="6" t="n"/>
      <c r="B179" s="6" t="n"/>
      <c r="C179" s="7" t="n"/>
      <c r="D179" s="8" t="n"/>
      <c r="E179" s="6" t="n"/>
      <c r="F179" s="6" t="n"/>
      <c r="G179" s="6" t="n"/>
      <c r="H179" s="6" t="n"/>
      <c r="I179" s="12">
        <f>IF($B179="","",IF(COUNTIF(Ventes_Factures!$A$6:$A$3005,$B179)&gt;0,"OK","INCONNUE"))</f>
        <v/>
      </c>
      <c r="J179" s="9">
        <f>IF($D179="","",ROUND($D179,2))</f>
        <v/>
      </c>
    </row>
    <row r="180">
      <c r="A180" s="6" t="n"/>
      <c r="B180" s="6" t="n"/>
      <c r="C180" s="7" t="n"/>
      <c r="D180" s="8" t="n"/>
      <c r="E180" s="6" t="n"/>
      <c r="F180" s="6" t="n"/>
      <c r="G180" s="6" t="n"/>
      <c r="H180" s="6" t="n"/>
      <c r="I180" s="12">
        <f>IF($B180="","",IF(COUNTIF(Ventes_Factures!$A$6:$A$3005,$B180)&gt;0,"OK","INCONNUE"))</f>
        <v/>
      </c>
      <c r="J180" s="9">
        <f>IF($D180="","",ROUND($D180,2))</f>
        <v/>
      </c>
    </row>
    <row r="181">
      <c r="A181" s="6" t="n"/>
      <c r="B181" s="6" t="n"/>
      <c r="C181" s="7" t="n"/>
      <c r="D181" s="8" t="n"/>
      <c r="E181" s="6" t="n"/>
      <c r="F181" s="6" t="n"/>
      <c r="G181" s="6" t="n"/>
      <c r="H181" s="6" t="n"/>
      <c r="I181" s="12">
        <f>IF($B181="","",IF(COUNTIF(Ventes_Factures!$A$6:$A$3005,$B181)&gt;0,"OK","INCONNUE"))</f>
        <v/>
      </c>
      <c r="J181" s="9">
        <f>IF($D181="","",ROUND($D181,2))</f>
        <v/>
      </c>
    </row>
    <row r="182">
      <c r="A182" s="6" t="n"/>
      <c r="B182" s="6" t="n"/>
      <c r="C182" s="7" t="n"/>
      <c r="D182" s="8" t="n"/>
      <c r="E182" s="6" t="n"/>
      <c r="F182" s="6" t="n"/>
      <c r="G182" s="6" t="n"/>
      <c r="H182" s="6" t="n"/>
      <c r="I182" s="12">
        <f>IF($B182="","",IF(COUNTIF(Ventes_Factures!$A$6:$A$3005,$B182)&gt;0,"OK","INCONNUE"))</f>
        <v/>
      </c>
      <c r="J182" s="9">
        <f>IF($D182="","",ROUND($D182,2))</f>
        <v/>
      </c>
    </row>
    <row r="183">
      <c r="A183" s="6" t="n"/>
      <c r="B183" s="6" t="n"/>
      <c r="C183" s="7" t="n"/>
      <c r="D183" s="8" t="n"/>
      <c r="E183" s="6" t="n"/>
      <c r="F183" s="6" t="n"/>
      <c r="G183" s="6" t="n"/>
      <c r="H183" s="6" t="n"/>
      <c r="I183" s="12">
        <f>IF($B183="","",IF(COUNTIF(Ventes_Factures!$A$6:$A$3005,$B183)&gt;0,"OK","INCONNUE"))</f>
        <v/>
      </c>
      <c r="J183" s="9">
        <f>IF($D183="","",ROUND($D183,2))</f>
        <v/>
      </c>
    </row>
    <row r="184">
      <c r="A184" s="6" t="n"/>
      <c r="B184" s="6" t="n"/>
      <c r="C184" s="7" t="n"/>
      <c r="D184" s="8" t="n"/>
      <c r="E184" s="6" t="n"/>
      <c r="F184" s="6" t="n"/>
      <c r="G184" s="6" t="n"/>
      <c r="H184" s="6" t="n"/>
      <c r="I184" s="12">
        <f>IF($B184="","",IF(COUNTIF(Ventes_Factures!$A$6:$A$3005,$B184)&gt;0,"OK","INCONNUE"))</f>
        <v/>
      </c>
      <c r="J184" s="9">
        <f>IF($D184="","",ROUND($D184,2))</f>
        <v/>
      </c>
    </row>
    <row r="185">
      <c r="A185" s="6" t="n"/>
      <c r="B185" s="6" t="n"/>
      <c r="C185" s="7" t="n"/>
      <c r="D185" s="8" t="n"/>
      <c r="E185" s="6" t="n"/>
      <c r="F185" s="6" t="n"/>
      <c r="G185" s="6" t="n"/>
      <c r="H185" s="6" t="n"/>
      <c r="I185" s="12">
        <f>IF($B185="","",IF(COUNTIF(Ventes_Factures!$A$6:$A$3005,$B185)&gt;0,"OK","INCONNUE"))</f>
        <v/>
      </c>
      <c r="J185" s="9">
        <f>IF($D185="","",ROUND($D185,2))</f>
        <v/>
      </c>
    </row>
    <row r="186">
      <c r="A186" s="6" t="n"/>
      <c r="B186" s="6" t="n"/>
      <c r="C186" s="7" t="n"/>
      <c r="D186" s="8" t="n"/>
      <c r="E186" s="6" t="n"/>
      <c r="F186" s="6" t="n"/>
      <c r="G186" s="6" t="n"/>
      <c r="H186" s="6" t="n"/>
      <c r="I186" s="12">
        <f>IF($B186="","",IF(COUNTIF(Ventes_Factures!$A$6:$A$3005,$B186)&gt;0,"OK","INCONNUE"))</f>
        <v/>
      </c>
      <c r="J186" s="9">
        <f>IF($D186="","",ROUND($D186,2))</f>
        <v/>
      </c>
    </row>
    <row r="187">
      <c r="A187" s="6" t="n"/>
      <c r="B187" s="6" t="n"/>
      <c r="C187" s="7" t="n"/>
      <c r="D187" s="8" t="n"/>
      <c r="E187" s="6" t="n"/>
      <c r="F187" s="6" t="n"/>
      <c r="G187" s="6" t="n"/>
      <c r="H187" s="6" t="n"/>
      <c r="I187" s="12">
        <f>IF($B187="","",IF(COUNTIF(Ventes_Factures!$A$6:$A$3005,$B187)&gt;0,"OK","INCONNUE"))</f>
        <v/>
      </c>
      <c r="J187" s="9">
        <f>IF($D187="","",ROUND($D187,2))</f>
        <v/>
      </c>
    </row>
    <row r="188">
      <c r="A188" s="6" t="n"/>
      <c r="B188" s="6" t="n"/>
      <c r="C188" s="7" t="n"/>
      <c r="D188" s="8" t="n"/>
      <c r="E188" s="6" t="n"/>
      <c r="F188" s="6" t="n"/>
      <c r="G188" s="6" t="n"/>
      <c r="H188" s="6" t="n"/>
      <c r="I188" s="12">
        <f>IF($B188="","",IF(COUNTIF(Ventes_Factures!$A$6:$A$3005,$B188)&gt;0,"OK","INCONNUE"))</f>
        <v/>
      </c>
      <c r="J188" s="9">
        <f>IF($D188="","",ROUND($D188,2))</f>
        <v/>
      </c>
    </row>
    <row r="189">
      <c r="A189" s="6" t="n"/>
      <c r="B189" s="6" t="n"/>
      <c r="C189" s="7" t="n"/>
      <c r="D189" s="8" t="n"/>
      <c r="E189" s="6" t="n"/>
      <c r="F189" s="6" t="n"/>
      <c r="G189" s="6" t="n"/>
      <c r="H189" s="6" t="n"/>
      <c r="I189" s="12">
        <f>IF($B189="","",IF(COUNTIF(Ventes_Factures!$A$6:$A$3005,$B189)&gt;0,"OK","INCONNUE"))</f>
        <v/>
      </c>
      <c r="J189" s="9">
        <f>IF($D189="","",ROUND($D189,2))</f>
        <v/>
      </c>
    </row>
    <row r="190">
      <c r="A190" s="6" t="n"/>
      <c r="B190" s="6" t="n"/>
      <c r="C190" s="7" t="n"/>
      <c r="D190" s="8" t="n"/>
      <c r="E190" s="6" t="n"/>
      <c r="F190" s="6" t="n"/>
      <c r="G190" s="6" t="n"/>
      <c r="H190" s="6" t="n"/>
      <c r="I190" s="12">
        <f>IF($B190="","",IF(COUNTIF(Ventes_Factures!$A$6:$A$3005,$B190)&gt;0,"OK","INCONNUE"))</f>
        <v/>
      </c>
      <c r="J190" s="9">
        <f>IF($D190="","",ROUND($D190,2))</f>
        <v/>
      </c>
    </row>
    <row r="191">
      <c r="A191" s="6" t="n"/>
      <c r="B191" s="6" t="n"/>
      <c r="C191" s="7" t="n"/>
      <c r="D191" s="8" t="n"/>
      <c r="E191" s="6" t="n"/>
      <c r="F191" s="6" t="n"/>
      <c r="G191" s="6" t="n"/>
      <c r="H191" s="6" t="n"/>
      <c r="I191" s="12">
        <f>IF($B191="","",IF(COUNTIF(Ventes_Factures!$A$6:$A$3005,$B191)&gt;0,"OK","INCONNUE"))</f>
        <v/>
      </c>
      <c r="J191" s="9">
        <f>IF($D191="","",ROUND($D191,2))</f>
        <v/>
      </c>
    </row>
    <row r="192">
      <c r="A192" s="6" t="n"/>
      <c r="B192" s="6" t="n"/>
      <c r="C192" s="7" t="n"/>
      <c r="D192" s="8" t="n"/>
      <c r="E192" s="6" t="n"/>
      <c r="F192" s="6" t="n"/>
      <c r="G192" s="6" t="n"/>
      <c r="H192" s="6" t="n"/>
      <c r="I192" s="12">
        <f>IF($B192="","",IF(COUNTIF(Ventes_Factures!$A$6:$A$3005,$B192)&gt;0,"OK","INCONNUE"))</f>
        <v/>
      </c>
      <c r="J192" s="9">
        <f>IF($D192="","",ROUND($D192,2))</f>
        <v/>
      </c>
    </row>
    <row r="193">
      <c r="A193" s="6" t="n"/>
      <c r="B193" s="6" t="n"/>
      <c r="C193" s="7" t="n"/>
      <c r="D193" s="8" t="n"/>
      <c r="E193" s="6" t="n"/>
      <c r="F193" s="6" t="n"/>
      <c r="G193" s="6" t="n"/>
      <c r="H193" s="6" t="n"/>
      <c r="I193" s="12">
        <f>IF($B193="","",IF(COUNTIF(Ventes_Factures!$A$6:$A$3005,$B193)&gt;0,"OK","INCONNUE"))</f>
        <v/>
      </c>
      <c r="J193" s="9">
        <f>IF($D193="","",ROUND($D193,2))</f>
        <v/>
      </c>
    </row>
    <row r="194">
      <c r="A194" s="6" t="n"/>
      <c r="B194" s="6" t="n"/>
      <c r="C194" s="7" t="n"/>
      <c r="D194" s="8" t="n"/>
      <c r="E194" s="6" t="n"/>
      <c r="F194" s="6" t="n"/>
      <c r="G194" s="6" t="n"/>
      <c r="H194" s="6" t="n"/>
      <c r="I194" s="12">
        <f>IF($B194="","",IF(COUNTIF(Ventes_Factures!$A$6:$A$3005,$B194)&gt;0,"OK","INCONNUE"))</f>
        <v/>
      </c>
      <c r="J194" s="9">
        <f>IF($D194="","",ROUND($D194,2))</f>
        <v/>
      </c>
    </row>
    <row r="195">
      <c r="A195" s="6" t="n"/>
      <c r="B195" s="6" t="n"/>
      <c r="C195" s="7" t="n"/>
      <c r="D195" s="8" t="n"/>
      <c r="E195" s="6" t="n"/>
      <c r="F195" s="6" t="n"/>
      <c r="G195" s="6" t="n"/>
      <c r="H195" s="6" t="n"/>
      <c r="I195" s="12">
        <f>IF($B195="","",IF(COUNTIF(Ventes_Factures!$A$6:$A$3005,$B195)&gt;0,"OK","INCONNUE"))</f>
        <v/>
      </c>
      <c r="J195" s="9">
        <f>IF($D195="","",ROUND($D195,2))</f>
        <v/>
      </c>
    </row>
    <row r="196">
      <c r="A196" s="6" t="n"/>
      <c r="B196" s="6" t="n"/>
      <c r="C196" s="7" t="n"/>
      <c r="D196" s="8" t="n"/>
      <c r="E196" s="6" t="n"/>
      <c r="F196" s="6" t="n"/>
      <c r="G196" s="6" t="n"/>
      <c r="H196" s="6" t="n"/>
      <c r="I196" s="12">
        <f>IF($B196="","",IF(COUNTIF(Ventes_Factures!$A$6:$A$3005,$B196)&gt;0,"OK","INCONNUE"))</f>
        <v/>
      </c>
      <c r="J196" s="9">
        <f>IF($D196="","",ROUND($D196,2))</f>
        <v/>
      </c>
    </row>
    <row r="197">
      <c r="A197" s="6" t="n"/>
      <c r="B197" s="6" t="n"/>
      <c r="C197" s="7" t="n"/>
      <c r="D197" s="8" t="n"/>
      <c r="E197" s="6" t="n"/>
      <c r="F197" s="6" t="n"/>
      <c r="G197" s="6" t="n"/>
      <c r="H197" s="6" t="n"/>
      <c r="I197" s="12">
        <f>IF($B197="","",IF(COUNTIF(Ventes_Factures!$A$6:$A$3005,$B197)&gt;0,"OK","INCONNUE"))</f>
        <v/>
      </c>
      <c r="J197" s="9">
        <f>IF($D197="","",ROUND($D197,2))</f>
        <v/>
      </c>
    </row>
    <row r="198">
      <c r="A198" s="6" t="n"/>
      <c r="B198" s="6" t="n"/>
      <c r="C198" s="7" t="n"/>
      <c r="D198" s="8" t="n"/>
      <c r="E198" s="6" t="n"/>
      <c r="F198" s="6" t="n"/>
      <c r="G198" s="6" t="n"/>
      <c r="H198" s="6" t="n"/>
      <c r="I198" s="12">
        <f>IF($B198="","",IF(COUNTIF(Ventes_Factures!$A$6:$A$3005,$B198)&gt;0,"OK","INCONNUE"))</f>
        <v/>
      </c>
      <c r="J198" s="9">
        <f>IF($D198="","",ROUND($D198,2))</f>
        <v/>
      </c>
    </row>
    <row r="199">
      <c r="A199" s="6" t="n"/>
      <c r="B199" s="6" t="n"/>
      <c r="C199" s="7" t="n"/>
      <c r="D199" s="8" t="n"/>
      <c r="E199" s="6" t="n"/>
      <c r="F199" s="6" t="n"/>
      <c r="G199" s="6" t="n"/>
      <c r="H199" s="6" t="n"/>
      <c r="I199" s="12">
        <f>IF($B199="","",IF(COUNTIF(Ventes_Factures!$A$6:$A$3005,$B199)&gt;0,"OK","INCONNUE"))</f>
        <v/>
      </c>
      <c r="J199" s="9">
        <f>IF($D199="","",ROUND($D199,2))</f>
        <v/>
      </c>
    </row>
    <row r="200">
      <c r="A200" s="6" t="n"/>
      <c r="B200" s="6" t="n"/>
      <c r="C200" s="7" t="n"/>
      <c r="D200" s="8" t="n"/>
      <c r="E200" s="6" t="n"/>
      <c r="F200" s="6" t="n"/>
      <c r="G200" s="6" t="n"/>
      <c r="H200" s="6" t="n"/>
      <c r="I200" s="12">
        <f>IF($B200="","",IF(COUNTIF(Ventes_Factures!$A$6:$A$3005,$B200)&gt;0,"OK","INCONNUE"))</f>
        <v/>
      </c>
      <c r="J200" s="9">
        <f>IF($D200="","",ROUND($D200,2))</f>
        <v/>
      </c>
    </row>
    <row r="201">
      <c r="A201" s="6" t="n"/>
      <c r="B201" s="6" t="n"/>
      <c r="C201" s="7" t="n"/>
      <c r="D201" s="8" t="n"/>
      <c r="E201" s="6" t="n"/>
      <c r="F201" s="6" t="n"/>
      <c r="G201" s="6" t="n"/>
      <c r="H201" s="6" t="n"/>
      <c r="I201" s="12">
        <f>IF($B201="","",IF(COUNTIF(Ventes_Factures!$A$6:$A$3005,$B201)&gt;0,"OK","INCONNUE"))</f>
        <v/>
      </c>
      <c r="J201" s="9">
        <f>IF($D201="","",ROUND($D201,2))</f>
        <v/>
      </c>
    </row>
    <row r="202">
      <c r="A202" s="6" t="n"/>
      <c r="B202" s="6" t="n"/>
      <c r="C202" s="7" t="n"/>
      <c r="D202" s="8" t="n"/>
      <c r="E202" s="6" t="n"/>
      <c r="F202" s="6" t="n"/>
      <c r="G202" s="6" t="n"/>
      <c r="H202" s="6" t="n"/>
      <c r="I202" s="12">
        <f>IF($B202="","",IF(COUNTIF(Ventes_Factures!$A$6:$A$3005,$B202)&gt;0,"OK","INCONNUE"))</f>
        <v/>
      </c>
      <c r="J202" s="9">
        <f>IF($D202="","",ROUND($D202,2))</f>
        <v/>
      </c>
    </row>
    <row r="203">
      <c r="A203" s="6" t="n"/>
      <c r="B203" s="6" t="n"/>
      <c r="C203" s="7" t="n"/>
      <c r="D203" s="8" t="n"/>
      <c r="E203" s="6" t="n"/>
      <c r="F203" s="6" t="n"/>
      <c r="G203" s="6" t="n"/>
      <c r="H203" s="6" t="n"/>
      <c r="I203" s="12">
        <f>IF($B203="","",IF(COUNTIF(Ventes_Factures!$A$6:$A$3005,$B203)&gt;0,"OK","INCONNUE"))</f>
        <v/>
      </c>
      <c r="J203" s="9">
        <f>IF($D203="","",ROUND($D203,2))</f>
        <v/>
      </c>
    </row>
    <row r="204">
      <c r="A204" s="6" t="n"/>
      <c r="B204" s="6" t="n"/>
      <c r="C204" s="7" t="n"/>
      <c r="D204" s="8" t="n"/>
      <c r="E204" s="6" t="n"/>
      <c r="F204" s="6" t="n"/>
      <c r="G204" s="6" t="n"/>
      <c r="H204" s="6" t="n"/>
      <c r="I204" s="12">
        <f>IF($B204="","",IF(COUNTIF(Ventes_Factures!$A$6:$A$3005,$B204)&gt;0,"OK","INCONNUE"))</f>
        <v/>
      </c>
      <c r="J204" s="9">
        <f>IF($D204="","",ROUND($D204,2))</f>
        <v/>
      </c>
    </row>
    <row r="205">
      <c r="A205" s="6" t="n"/>
      <c r="B205" s="6" t="n"/>
      <c r="C205" s="7" t="n"/>
      <c r="D205" s="8" t="n"/>
      <c r="E205" s="6" t="n"/>
      <c r="F205" s="6" t="n"/>
      <c r="G205" s="6" t="n"/>
      <c r="H205" s="6" t="n"/>
      <c r="I205" s="12">
        <f>IF($B205="","",IF(COUNTIF(Ventes_Factures!$A$6:$A$3005,$B205)&gt;0,"OK","INCONNUE"))</f>
        <v/>
      </c>
      <c r="J205" s="9">
        <f>IF($D205="","",ROUND($D205,2))</f>
        <v/>
      </c>
    </row>
    <row r="206">
      <c r="A206" s="6" t="n"/>
      <c r="B206" s="6" t="n"/>
      <c r="C206" s="7" t="n"/>
      <c r="D206" s="8" t="n"/>
      <c r="E206" s="6" t="n"/>
      <c r="F206" s="6" t="n"/>
      <c r="G206" s="6" t="n"/>
      <c r="H206" s="6" t="n"/>
      <c r="I206" s="12">
        <f>IF($B206="","",IF(COUNTIF(Ventes_Factures!$A$6:$A$3005,$B206)&gt;0,"OK","INCONNUE"))</f>
        <v/>
      </c>
      <c r="J206" s="9">
        <f>IF($D206="","",ROUND($D206,2))</f>
        <v/>
      </c>
    </row>
    <row r="207">
      <c r="A207" s="6" t="n"/>
      <c r="B207" s="6" t="n"/>
      <c r="C207" s="7" t="n"/>
      <c r="D207" s="8" t="n"/>
      <c r="E207" s="6" t="n"/>
      <c r="F207" s="6" t="n"/>
      <c r="G207" s="6" t="n"/>
      <c r="H207" s="6" t="n"/>
      <c r="I207" s="12">
        <f>IF($B207="","",IF(COUNTIF(Ventes_Factures!$A$6:$A$3005,$B207)&gt;0,"OK","INCONNUE"))</f>
        <v/>
      </c>
      <c r="J207" s="9">
        <f>IF($D207="","",ROUND($D207,2))</f>
        <v/>
      </c>
    </row>
    <row r="208">
      <c r="A208" s="6" t="n"/>
      <c r="B208" s="6" t="n"/>
      <c r="C208" s="7" t="n"/>
      <c r="D208" s="8" t="n"/>
      <c r="E208" s="6" t="n"/>
      <c r="F208" s="6" t="n"/>
      <c r="G208" s="6" t="n"/>
      <c r="H208" s="6" t="n"/>
      <c r="I208" s="12">
        <f>IF($B208="","",IF(COUNTIF(Ventes_Factures!$A$6:$A$3005,$B208)&gt;0,"OK","INCONNUE"))</f>
        <v/>
      </c>
      <c r="J208" s="9">
        <f>IF($D208="","",ROUND($D208,2))</f>
        <v/>
      </c>
    </row>
    <row r="209">
      <c r="A209" s="6" t="n"/>
      <c r="B209" s="6" t="n"/>
      <c r="C209" s="7" t="n"/>
      <c r="D209" s="8" t="n"/>
      <c r="E209" s="6" t="n"/>
      <c r="F209" s="6" t="n"/>
      <c r="G209" s="6" t="n"/>
      <c r="H209" s="6" t="n"/>
      <c r="I209" s="12">
        <f>IF($B209="","",IF(COUNTIF(Ventes_Factures!$A$6:$A$3005,$B209)&gt;0,"OK","INCONNUE"))</f>
        <v/>
      </c>
      <c r="J209" s="9">
        <f>IF($D209="","",ROUND($D209,2))</f>
        <v/>
      </c>
    </row>
    <row r="210">
      <c r="A210" s="6" t="n"/>
      <c r="B210" s="6" t="n"/>
      <c r="C210" s="7" t="n"/>
      <c r="D210" s="8" t="n"/>
      <c r="E210" s="6" t="n"/>
      <c r="F210" s="6" t="n"/>
      <c r="G210" s="6" t="n"/>
      <c r="H210" s="6" t="n"/>
      <c r="I210" s="12">
        <f>IF($B210="","",IF(COUNTIF(Ventes_Factures!$A$6:$A$3005,$B210)&gt;0,"OK","INCONNUE"))</f>
        <v/>
      </c>
      <c r="J210" s="9">
        <f>IF($D210="","",ROUND($D210,2))</f>
        <v/>
      </c>
    </row>
    <row r="211">
      <c r="A211" s="6" t="n"/>
      <c r="B211" s="6" t="n"/>
      <c r="C211" s="7" t="n"/>
      <c r="D211" s="8" t="n"/>
      <c r="E211" s="6" t="n"/>
      <c r="F211" s="6" t="n"/>
      <c r="G211" s="6" t="n"/>
      <c r="H211" s="6" t="n"/>
      <c r="I211" s="12">
        <f>IF($B211="","",IF(COUNTIF(Ventes_Factures!$A$6:$A$3005,$B211)&gt;0,"OK","INCONNUE"))</f>
        <v/>
      </c>
      <c r="J211" s="9">
        <f>IF($D211="","",ROUND($D211,2))</f>
        <v/>
      </c>
    </row>
    <row r="212">
      <c r="A212" s="6" t="n"/>
      <c r="B212" s="6" t="n"/>
      <c r="C212" s="7" t="n"/>
      <c r="D212" s="8" t="n"/>
      <c r="E212" s="6" t="n"/>
      <c r="F212" s="6" t="n"/>
      <c r="G212" s="6" t="n"/>
      <c r="H212" s="6" t="n"/>
      <c r="I212" s="12">
        <f>IF($B212="","",IF(COUNTIF(Ventes_Factures!$A$6:$A$3005,$B212)&gt;0,"OK","INCONNUE"))</f>
        <v/>
      </c>
      <c r="J212" s="9">
        <f>IF($D212="","",ROUND($D212,2))</f>
        <v/>
      </c>
    </row>
    <row r="213">
      <c r="A213" s="6" t="n"/>
      <c r="B213" s="6" t="n"/>
      <c r="C213" s="7" t="n"/>
      <c r="D213" s="8" t="n"/>
      <c r="E213" s="6" t="n"/>
      <c r="F213" s="6" t="n"/>
      <c r="G213" s="6" t="n"/>
      <c r="H213" s="6" t="n"/>
      <c r="I213" s="12">
        <f>IF($B213="","",IF(COUNTIF(Ventes_Factures!$A$6:$A$3005,$B213)&gt;0,"OK","INCONNUE"))</f>
        <v/>
      </c>
      <c r="J213" s="9">
        <f>IF($D213="","",ROUND($D213,2))</f>
        <v/>
      </c>
    </row>
    <row r="214">
      <c r="A214" s="6" t="n"/>
      <c r="B214" s="6" t="n"/>
      <c r="C214" s="7" t="n"/>
      <c r="D214" s="8" t="n"/>
      <c r="E214" s="6" t="n"/>
      <c r="F214" s="6" t="n"/>
      <c r="G214" s="6" t="n"/>
      <c r="H214" s="6" t="n"/>
      <c r="I214" s="12">
        <f>IF($B214="","",IF(COUNTIF(Ventes_Factures!$A$6:$A$3005,$B214)&gt;0,"OK","INCONNUE"))</f>
        <v/>
      </c>
      <c r="J214" s="9">
        <f>IF($D214="","",ROUND($D214,2))</f>
        <v/>
      </c>
    </row>
    <row r="215">
      <c r="A215" s="6" t="n"/>
      <c r="B215" s="6" t="n"/>
      <c r="C215" s="7" t="n"/>
      <c r="D215" s="8" t="n"/>
      <c r="E215" s="6" t="n"/>
      <c r="F215" s="6" t="n"/>
      <c r="G215" s="6" t="n"/>
      <c r="H215" s="6" t="n"/>
      <c r="I215" s="12">
        <f>IF($B215="","",IF(COUNTIF(Ventes_Factures!$A$6:$A$3005,$B215)&gt;0,"OK","INCONNUE"))</f>
        <v/>
      </c>
      <c r="J215" s="9">
        <f>IF($D215="","",ROUND($D215,2))</f>
        <v/>
      </c>
    </row>
    <row r="216">
      <c r="A216" s="6" t="n"/>
      <c r="B216" s="6" t="n"/>
      <c r="C216" s="7" t="n"/>
      <c r="D216" s="8" t="n"/>
      <c r="E216" s="6" t="n"/>
      <c r="F216" s="6" t="n"/>
      <c r="G216" s="6" t="n"/>
      <c r="H216" s="6" t="n"/>
      <c r="I216" s="12">
        <f>IF($B216="","",IF(COUNTIF(Ventes_Factures!$A$6:$A$3005,$B216)&gt;0,"OK","INCONNUE"))</f>
        <v/>
      </c>
      <c r="J216" s="9">
        <f>IF($D216="","",ROUND($D216,2))</f>
        <v/>
      </c>
    </row>
    <row r="217">
      <c r="A217" s="6" t="n"/>
      <c r="B217" s="6" t="n"/>
      <c r="C217" s="7" t="n"/>
      <c r="D217" s="8" t="n"/>
      <c r="E217" s="6" t="n"/>
      <c r="F217" s="6" t="n"/>
      <c r="G217" s="6" t="n"/>
      <c r="H217" s="6" t="n"/>
      <c r="I217" s="12">
        <f>IF($B217="","",IF(COUNTIF(Ventes_Factures!$A$6:$A$3005,$B217)&gt;0,"OK","INCONNUE"))</f>
        <v/>
      </c>
      <c r="J217" s="9">
        <f>IF($D217="","",ROUND($D217,2))</f>
        <v/>
      </c>
    </row>
    <row r="218">
      <c r="A218" s="6" t="n"/>
      <c r="B218" s="6" t="n"/>
      <c r="C218" s="7" t="n"/>
      <c r="D218" s="8" t="n"/>
      <c r="E218" s="6" t="n"/>
      <c r="F218" s="6" t="n"/>
      <c r="G218" s="6" t="n"/>
      <c r="H218" s="6" t="n"/>
      <c r="I218" s="12">
        <f>IF($B218="","",IF(COUNTIF(Ventes_Factures!$A$6:$A$3005,$B218)&gt;0,"OK","INCONNUE"))</f>
        <v/>
      </c>
      <c r="J218" s="9">
        <f>IF($D218="","",ROUND($D218,2))</f>
        <v/>
      </c>
    </row>
    <row r="219">
      <c r="A219" s="6" t="n"/>
      <c r="B219" s="6" t="n"/>
      <c r="C219" s="7" t="n"/>
      <c r="D219" s="8" t="n"/>
      <c r="E219" s="6" t="n"/>
      <c r="F219" s="6" t="n"/>
      <c r="G219" s="6" t="n"/>
      <c r="H219" s="6" t="n"/>
      <c r="I219" s="12">
        <f>IF($B219="","",IF(COUNTIF(Ventes_Factures!$A$6:$A$3005,$B219)&gt;0,"OK","INCONNUE"))</f>
        <v/>
      </c>
      <c r="J219" s="9">
        <f>IF($D219="","",ROUND($D219,2))</f>
        <v/>
      </c>
    </row>
    <row r="220">
      <c r="A220" s="6" t="n"/>
      <c r="B220" s="6" t="n"/>
      <c r="C220" s="7" t="n"/>
      <c r="D220" s="8" t="n"/>
      <c r="E220" s="6" t="n"/>
      <c r="F220" s="6" t="n"/>
      <c r="G220" s="6" t="n"/>
      <c r="H220" s="6" t="n"/>
      <c r="I220" s="12">
        <f>IF($B220="","",IF(COUNTIF(Ventes_Factures!$A$6:$A$3005,$B220)&gt;0,"OK","INCONNUE"))</f>
        <v/>
      </c>
      <c r="J220" s="9">
        <f>IF($D220="","",ROUND($D220,2))</f>
        <v/>
      </c>
    </row>
    <row r="221">
      <c r="A221" s="6" t="n"/>
      <c r="B221" s="6" t="n"/>
      <c r="C221" s="7" t="n"/>
      <c r="D221" s="8" t="n"/>
      <c r="E221" s="6" t="n"/>
      <c r="F221" s="6" t="n"/>
      <c r="G221" s="6" t="n"/>
      <c r="H221" s="6" t="n"/>
      <c r="I221" s="12">
        <f>IF($B221="","",IF(COUNTIF(Ventes_Factures!$A$6:$A$3005,$B221)&gt;0,"OK","INCONNUE"))</f>
        <v/>
      </c>
      <c r="J221" s="9">
        <f>IF($D221="","",ROUND($D221,2))</f>
        <v/>
      </c>
    </row>
    <row r="222">
      <c r="A222" s="6" t="n"/>
      <c r="B222" s="6" t="n"/>
      <c r="C222" s="7" t="n"/>
      <c r="D222" s="8" t="n"/>
      <c r="E222" s="6" t="n"/>
      <c r="F222" s="6" t="n"/>
      <c r="G222" s="6" t="n"/>
      <c r="H222" s="6" t="n"/>
      <c r="I222" s="12">
        <f>IF($B222="","",IF(COUNTIF(Ventes_Factures!$A$6:$A$3005,$B222)&gt;0,"OK","INCONNUE"))</f>
        <v/>
      </c>
      <c r="J222" s="9">
        <f>IF($D222="","",ROUND($D222,2))</f>
        <v/>
      </c>
    </row>
    <row r="223">
      <c r="A223" s="6" t="n"/>
      <c r="B223" s="6" t="n"/>
      <c r="C223" s="7" t="n"/>
      <c r="D223" s="8" t="n"/>
      <c r="E223" s="6" t="n"/>
      <c r="F223" s="6" t="n"/>
      <c r="G223" s="6" t="n"/>
      <c r="H223" s="6" t="n"/>
      <c r="I223" s="12">
        <f>IF($B223="","",IF(COUNTIF(Ventes_Factures!$A$6:$A$3005,$B223)&gt;0,"OK","INCONNUE"))</f>
        <v/>
      </c>
      <c r="J223" s="9">
        <f>IF($D223="","",ROUND($D223,2))</f>
        <v/>
      </c>
    </row>
    <row r="224">
      <c r="A224" s="6" t="n"/>
      <c r="B224" s="6" t="n"/>
      <c r="C224" s="7" t="n"/>
      <c r="D224" s="8" t="n"/>
      <c r="E224" s="6" t="n"/>
      <c r="F224" s="6" t="n"/>
      <c r="G224" s="6" t="n"/>
      <c r="H224" s="6" t="n"/>
      <c r="I224" s="12">
        <f>IF($B224="","",IF(COUNTIF(Ventes_Factures!$A$6:$A$3005,$B224)&gt;0,"OK","INCONNUE"))</f>
        <v/>
      </c>
      <c r="J224" s="9">
        <f>IF($D224="","",ROUND($D224,2))</f>
        <v/>
      </c>
    </row>
    <row r="225">
      <c r="A225" s="6" t="n"/>
      <c r="B225" s="6" t="n"/>
      <c r="C225" s="7" t="n"/>
      <c r="D225" s="8" t="n"/>
      <c r="E225" s="6" t="n"/>
      <c r="F225" s="6" t="n"/>
      <c r="G225" s="6" t="n"/>
      <c r="H225" s="6" t="n"/>
      <c r="I225" s="12">
        <f>IF($B225="","",IF(COUNTIF(Ventes_Factures!$A$6:$A$3005,$B225)&gt;0,"OK","INCONNUE"))</f>
        <v/>
      </c>
      <c r="J225" s="9">
        <f>IF($D225="","",ROUND($D225,2))</f>
        <v/>
      </c>
    </row>
    <row r="226">
      <c r="A226" s="6" t="n"/>
      <c r="B226" s="6" t="n"/>
      <c r="C226" s="7" t="n"/>
      <c r="D226" s="8" t="n"/>
      <c r="E226" s="6" t="n"/>
      <c r="F226" s="6" t="n"/>
      <c r="G226" s="6" t="n"/>
      <c r="H226" s="6" t="n"/>
      <c r="I226" s="12">
        <f>IF($B226="","",IF(COUNTIF(Ventes_Factures!$A$6:$A$3005,$B226)&gt;0,"OK","INCONNUE"))</f>
        <v/>
      </c>
      <c r="J226" s="9">
        <f>IF($D226="","",ROUND($D226,2))</f>
        <v/>
      </c>
    </row>
    <row r="227">
      <c r="A227" s="6" t="n"/>
      <c r="B227" s="6" t="n"/>
      <c r="C227" s="7" t="n"/>
      <c r="D227" s="8" t="n"/>
      <c r="E227" s="6" t="n"/>
      <c r="F227" s="6" t="n"/>
      <c r="G227" s="6" t="n"/>
      <c r="H227" s="6" t="n"/>
      <c r="I227" s="12">
        <f>IF($B227="","",IF(COUNTIF(Ventes_Factures!$A$6:$A$3005,$B227)&gt;0,"OK","INCONNUE"))</f>
        <v/>
      </c>
      <c r="J227" s="9">
        <f>IF($D227="","",ROUND($D227,2))</f>
        <v/>
      </c>
    </row>
    <row r="228">
      <c r="A228" s="6" t="n"/>
      <c r="B228" s="6" t="n"/>
      <c r="C228" s="7" t="n"/>
      <c r="D228" s="8" t="n"/>
      <c r="E228" s="6" t="n"/>
      <c r="F228" s="6" t="n"/>
      <c r="G228" s="6" t="n"/>
      <c r="H228" s="6" t="n"/>
      <c r="I228" s="12">
        <f>IF($B228="","",IF(COUNTIF(Ventes_Factures!$A$6:$A$3005,$B228)&gt;0,"OK","INCONNUE"))</f>
        <v/>
      </c>
      <c r="J228" s="9">
        <f>IF($D228="","",ROUND($D228,2))</f>
        <v/>
      </c>
    </row>
    <row r="229">
      <c r="A229" s="6" t="n"/>
      <c r="B229" s="6" t="n"/>
      <c r="C229" s="7" t="n"/>
      <c r="D229" s="8" t="n"/>
      <c r="E229" s="6" t="n"/>
      <c r="F229" s="6" t="n"/>
      <c r="G229" s="6" t="n"/>
      <c r="H229" s="6" t="n"/>
      <c r="I229" s="12">
        <f>IF($B229="","",IF(COUNTIF(Ventes_Factures!$A$6:$A$3005,$B229)&gt;0,"OK","INCONNUE"))</f>
        <v/>
      </c>
      <c r="J229" s="9">
        <f>IF($D229="","",ROUND($D229,2))</f>
        <v/>
      </c>
    </row>
    <row r="230">
      <c r="A230" s="6" t="n"/>
      <c r="B230" s="6" t="n"/>
      <c r="C230" s="7" t="n"/>
      <c r="D230" s="8" t="n"/>
      <c r="E230" s="6" t="n"/>
      <c r="F230" s="6" t="n"/>
      <c r="G230" s="6" t="n"/>
      <c r="H230" s="6" t="n"/>
      <c r="I230" s="12">
        <f>IF($B230="","",IF(COUNTIF(Ventes_Factures!$A$6:$A$3005,$B230)&gt;0,"OK","INCONNUE"))</f>
        <v/>
      </c>
      <c r="J230" s="9">
        <f>IF($D230="","",ROUND($D230,2))</f>
        <v/>
      </c>
    </row>
    <row r="231">
      <c r="A231" s="6" t="n"/>
      <c r="B231" s="6" t="n"/>
      <c r="C231" s="7" t="n"/>
      <c r="D231" s="8" t="n"/>
      <c r="E231" s="6" t="n"/>
      <c r="F231" s="6" t="n"/>
      <c r="G231" s="6" t="n"/>
      <c r="H231" s="6" t="n"/>
      <c r="I231" s="12">
        <f>IF($B231="","",IF(COUNTIF(Ventes_Factures!$A$6:$A$3005,$B231)&gt;0,"OK","INCONNUE"))</f>
        <v/>
      </c>
      <c r="J231" s="9">
        <f>IF($D231="","",ROUND($D231,2))</f>
        <v/>
      </c>
    </row>
    <row r="232">
      <c r="A232" s="6" t="n"/>
      <c r="B232" s="6" t="n"/>
      <c r="C232" s="7" t="n"/>
      <c r="D232" s="8" t="n"/>
      <c r="E232" s="6" t="n"/>
      <c r="F232" s="6" t="n"/>
      <c r="G232" s="6" t="n"/>
      <c r="H232" s="6" t="n"/>
      <c r="I232" s="12">
        <f>IF($B232="","",IF(COUNTIF(Ventes_Factures!$A$6:$A$3005,$B232)&gt;0,"OK","INCONNUE"))</f>
        <v/>
      </c>
      <c r="J232" s="9">
        <f>IF($D232="","",ROUND($D232,2))</f>
        <v/>
      </c>
    </row>
    <row r="233">
      <c r="A233" s="6" t="n"/>
      <c r="B233" s="6" t="n"/>
      <c r="C233" s="7" t="n"/>
      <c r="D233" s="8" t="n"/>
      <c r="E233" s="6" t="n"/>
      <c r="F233" s="6" t="n"/>
      <c r="G233" s="6" t="n"/>
      <c r="H233" s="6" t="n"/>
      <c r="I233" s="12">
        <f>IF($B233="","",IF(COUNTIF(Ventes_Factures!$A$6:$A$3005,$B233)&gt;0,"OK","INCONNUE"))</f>
        <v/>
      </c>
      <c r="J233" s="9">
        <f>IF($D233="","",ROUND($D233,2))</f>
        <v/>
      </c>
    </row>
    <row r="234">
      <c r="A234" s="6" t="n"/>
      <c r="B234" s="6" t="n"/>
      <c r="C234" s="7" t="n"/>
      <c r="D234" s="8" t="n"/>
      <c r="E234" s="6" t="n"/>
      <c r="F234" s="6" t="n"/>
      <c r="G234" s="6" t="n"/>
      <c r="H234" s="6" t="n"/>
      <c r="I234" s="12">
        <f>IF($B234="","",IF(COUNTIF(Ventes_Factures!$A$6:$A$3005,$B234)&gt;0,"OK","INCONNUE"))</f>
        <v/>
      </c>
      <c r="J234" s="9">
        <f>IF($D234="","",ROUND($D234,2))</f>
        <v/>
      </c>
    </row>
    <row r="235">
      <c r="A235" s="6" t="n"/>
      <c r="B235" s="6" t="n"/>
      <c r="C235" s="7" t="n"/>
      <c r="D235" s="8" t="n"/>
      <c r="E235" s="6" t="n"/>
      <c r="F235" s="6" t="n"/>
      <c r="G235" s="6" t="n"/>
      <c r="H235" s="6" t="n"/>
      <c r="I235" s="12">
        <f>IF($B235="","",IF(COUNTIF(Ventes_Factures!$A$6:$A$3005,$B235)&gt;0,"OK","INCONNUE"))</f>
        <v/>
      </c>
      <c r="J235" s="9">
        <f>IF($D235="","",ROUND($D235,2))</f>
        <v/>
      </c>
    </row>
    <row r="236">
      <c r="A236" s="6" t="n"/>
      <c r="B236" s="6" t="n"/>
      <c r="C236" s="7" t="n"/>
      <c r="D236" s="8" t="n"/>
      <c r="E236" s="6" t="n"/>
      <c r="F236" s="6" t="n"/>
      <c r="G236" s="6" t="n"/>
      <c r="H236" s="6" t="n"/>
      <c r="I236" s="12">
        <f>IF($B236="","",IF(COUNTIF(Ventes_Factures!$A$6:$A$3005,$B236)&gt;0,"OK","INCONNUE"))</f>
        <v/>
      </c>
      <c r="J236" s="9">
        <f>IF($D236="","",ROUND($D236,2))</f>
        <v/>
      </c>
    </row>
    <row r="237">
      <c r="A237" s="6" t="n"/>
      <c r="B237" s="6" t="n"/>
      <c r="C237" s="7" t="n"/>
      <c r="D237" s="8" t="n"/>
      <c r="E237" s="6" t="n"/>
      <c r="F237" s="6" t="n"/>
      <c r="G237" s="6" t="n"/>
      <c r="H237" s="6" t="n"/>
      <c r="I237" s="12">
        <f>IF($B237="","",IF(COUNTIF(Ventes_Factures!$A$6:$A$3005,$B237)&gt;0,"OK","INCONNUE"))</f>
        <v/>
      </c>
      <c r="J237" s="9">
        <f>IF($D237="","",ROUND($D237,2))</f>
        <v/>
      </c>
    </row>
    <row r="238">
      <c r="A238" s="6" t="n"/>
      <c r="B238" s="6" t="n"/>
      <c r="C238" s="7" t="n"/>
      <c r="D238" s="8" t="n"/>
      <c r="E238" s="6" t="n"/>
      <c r="F238" s="6" t="n"/>
      <c r="G238" s="6" t="n"/>
      <c r="H238" s="6" t="n"/>
      <c r="I238" s="12">
        <f>IF($B238="","",IF(COUNTIF(Ventes_Factures!$A$6:$A$3005,$B238)&gt;0,"OK","INCONNUE"))</f>
        <v/>
      </c>
      <c r="J238" s="9">
        <f>IF($D238="","",ROUND($D238,2))</f>
        <v/>
      </c>
    </row>
    <row r="239">
      <c r="A239" s="6" t="n"/>
      <c r="B239" s="6" t="n"/>
      <c r="C239" s="7" t="n"/>
      <c r="D239" s="8" t="n"/>
      <c r="E239" s="6" t="n"/>
      <c r="F239" s="6" t="n"/>
      <c r="G239" s="6" t="n"/>
      <c r="H239" s="6" t="n"/>
      <c r="I239" s="12">
        <f>IF($B239="","",IF(COUNTIF(Ventes_Factures!$A$6:$A$3005,$B239)&gt;0,"OK","INCONNUE"))</f>
        <v/>
      </c>
      <c r="J239" s="9">
        <f>IF($D239="","",ROUND($D239,2))</f>
        <v/>
      </c>
    </row>
    <row r="240">
      <c r="A240" s="6" t="n"/>
      <c r="B240" s="6" t="n"/>
      <c r="C240" s="7" t="n"/>
      <c r="D240" s="8" t="n"/>
      <c r="E240" s="6" t="n"/>
      <c r="F240" s="6" t="n"/>
      <c r="G240" s="6" t="n"/>
      <c r="H240" s="6" t="n"/>
      <c r="I240" s="12">
        <f>IF($B240="","",IF(COUNTIF(Ventes_Factures!$A$6:$A$3005,$B240)&gt;0,"OK","INCONNUE"))</f>
        <v/>
      </c>
      <c r="J240" s="9">
        <f>IF($D240="","",ROUND($D240,2))</f>
        <v/>
      </c>
    </row>
    <row r="241">
      <c r="A241" s="6" t="n"/>
      <c r="B241" s="6" t="n"/>
      <c r="C241" s="7" t="n"/>
      <c r="D241" s="8" t="n"/>
      <c r="E241" s="6" t="n"/>
      <c r="F241" s="6" t="n"/>
      <c r="G241" s="6" t="n"/>
      <c r="H241" s="6" t="n"/>
      <c r="I241" s="12">
        <f>IF($B241="","",IF(COUNTIF(Ventes_Factures!$A$6:$A$3005,$B241)&gt;0,"OK","INCONNUE"))</f>
        <v/>
      </c>
      <c r="J241" s="9">
        <f>IF($D241="","",ROUND($D241,2))</f>
        <v/>
      </c>
    </row>
    <row r="242">
      <c r="A242" s="6" t="n"/>
      <c r="B242" s="6" t="n"/>
      <c r="C242" s="7" t="n"/>
      <c r="D242" s="8" t="n"/>
      <c r="E242" s="6" t="n"/>
      <c r="F242" s="6" t="n"/>
      <c r="G242" s="6" t="n"/>
      <c r="H242" s="6" t="n"/>
      <c r="I242" s="12">
        <f>IF($B242="","",IF(COUNTIF(Ventes_Factures!$A$6:$A$3005,$B242)&gt;0,"OK","INCONNUE"))</f>
        <v/>
      </c>
      <c r="J242" s="9">
        <f>IF($D242="","",ROUND($D242,2))</f>
        <v/>
      </c>
    </row>
    <row r="243">
      <c r="A243" s="6" t="n"/>
      <c r="B243" s="6" t="n"/>
      <c r="C243" s="7" t="n"/>
      <c r="D243" s="8" t="n"/>
      <c r="E243" s="6" t="n"/>
      <c r="F243" s="6" t="n"/>
      <c r="G243" s="6" t="n"/>
      <c r="H243" s="6" t="n"/>
      <c r="I243" s="12">
        <f>IF($B243="","",IF(COUNTIF(Ventes_Factures!$A$6:$A$3005,$B243)&gt;0,"OK","INCONNUE"))</f>
        <v/>
      </c>
      <c r="J243" s="9">
        <f>IF($D243="","",ROUND($D243,2))</f>
        <v/>
      </c>
    </row>
    <row r="244">
      <c r="A244" s="6" t="n"/>
      <c r="B244" s="6" t="n"/>
      <c r="C244" s="7" t="n"/>
      <c r="D244" s="8" t="n"/>
      <c r="E244" s="6" t="n"/>
      <c r="F244" s="6" t="n"/>
      <c r="G244" s="6" t="n"/>
      <c r="H244" s="6" t="n"/>
      <c r="I244" s="12">
        <f>IF($B244="","",IF(COUNTIF(Ventes_Factures!$A$6:$A$3005,$B244)&gt;0,"OK","INCONNUE"))</f>
        <v/>
      </c>
      <c r="J244" s="9">
        <f>IF($D244="","",ROUND($D244,2))</f>
        <v/>
      </c>
    </row>
    <row r="245">
      <c r="A245" s="6" t="n"/>
      <c r="B245" s="6" t="n"/>
      <c r="C245" s="7" t="n"/>
      <c r="D245" s="8" t="n"/>
      <c r="E245" s="6" t="n"/>
      <c r="F245" s="6" t="n"/>
      <c r="G245" s="6" t="n"/>
      <c r="H245" s="6" t="n"/>
      <c r="I245" s="12">
        <f>IF($B245="","",IF(COUNTIF(Ventes_Factures!$A$6:$A$3005,$B245)&gt;0,"OK","INCONNUE"))</f>
        <v/>
      </c>
      <c r="J245" s="9">
        <f>IF($D245="","",ROUND($D245,2))</f>
        <v/>
      </c>
    </row>
    <row r="246">
      <c r="A246" s="6" t="n"/>
      <c r="B246" s="6" t="n"/>
      <c r="C246" s="7" t="n"/>
      <c r="D246" s="8" t="n"/>
      <c r="E246" s="6" t="n"/>
      <c r="F246" s="6" t="n"/>
      <c r="G246" s="6" t="n"/>
      <c r="H246" s="6" t="n"/>
      <c r="I246" s="12">
        <f>IF($B246="","",IF(COUNTIF(Ventes_Factures!$A$6:$A$3005,$B246)&gt;0,"OK","INCONNUE"))</f>
        <v/>
      </c>
      <c r="J246" s="9">
        <f>IF($D246="","",ROUND($D246,2))</f>
        <v/>
      </c>
    </row>
    <row r="247">
      <c r="A247" s="6" t="n"/>
      <c r="B247" s="6" t="n"/>
      <c r="C247" s="7" t="n"/>
      <c r="D247" s="8" t="n"/>
      <c r="E247" s="6" t="n"/>
      <c r="F247" s="6" t="n"/>
      <c r="G247" s="6" t="n"/>
      <c r="H247" s="6" t="n"/>
      <c r="I247" s="12">
        <f>IF($B247="","",IF(COUNTIF(Ventes_Factures!$A$6:$A$3005,$B247)&gt;0,"OK","INCONNUE"))</f>
        <v/>
      </c>
      <c r="J247" s="9">
        <f>IF($D247="","",ROUND($D247,2))</f>
        <v/>
      </c>
    </row>
    <row r="248">
      <c r="A248" s="6" t="n"/>
      <c r="B248" s="6" t="n"/>
      <c r="C248" s="7" t="n"/>
      <c r="D248" s="8" t="n"/>
      <c r="E248" s="6" t="n"/>
      <c r="F248" s="6" t="n"/>
      <c r="G248" s="6" t="n"/>
      <c r="H248" s="6" t="n"/>
      <c r="I248" s="12">
        <f>IF($B248="","",IF(COUNTIF(Ventes_Factures!$A$6:$A$3005,$B248)&gt;0,"OK","INCONNUE"))</f>
        <v/>
      </c>
      <c r="J248" s="9">
        <f>IF($D248="","",ROUND($D248,2))</f>
        <v/>
      </c>
    </row>
    <row r="249">
      <c r="A249" s="6" t="n"/>
      <c r="B249" s="6" t="n"/>
      <c r="C249" s="7" t="n"/>
      <c r="D249" s="8" t="n"/>
      <c r="E249" s="6" t="n"/>
      <c r="F249" s="6" t="n"/>
      <c r="G249" s="6" t="n"/>
      <c r="H249" s="6" t="n"/>
      <c r="I249" s="12">
        <f>IF($B249="","",IF(COUNTIF(Ventes_Factures!$A$6:$A$3005,$B249)&gt;0,"OK","INCONNUE"))</f>
        <v/>
      </c>
      <c r="J249" s="9">
        <f>IF($D249="","",ROUND($D249,2))</f>
        <v/>
      </c>
    </row>
    <row r="250">
      <c r="A250" s="6" t="n"/>
      <c r="B250" s="6" t="n"/>
      <c r="C250" s="7" t="n"/>
      <c r="D250" s="8" t="n"/>
      <c r="E250" s="6" t="n"/>
      <c r="F250" s="6" t="n"/>
      <c r="G250" s="6" t="n"/>
      <c r="H250" s="6" t="n"/>
      <c r="I250" s="12">
        <f>IF($B250="","",IF(COUNTIF(Ventes_Factures!$A$6:$A$3005,$B250)&gt;0,"OK","INCONNUE"))</f>
        <v/>
      </c>
      <c r="J250" s="9">
        <f>IF($D250="","",ROUND($D250,2))</f>
        <v/>
      </c>
    </row>
    <row r="251">
      <c r="A251" s="6" t="n"/>
      <c r="B251" s="6" t="n"/>
      <c r="C251" s="7" t="n"/>
      <c r="D251" s="8" t="n"/>
      <c r="E251" s="6" t="n"/>
      <c r="F251" s="6" t="n"/>
      <c r="G251" s="6" t="n"/>
      <c r="H251" s="6" t="n"/>
      <c r="I251" s="12">
        <f>IF($B251="","",IF(COUNTIF(Ventes_Factures!$A$6:$A$3005,$B251)&gt;0,"OK","INCONNUE"))</f>
        <v/>
      </c>
      <c r="J251" s="9">
        <f>IF($D251="","",ROUND($D251,2))</f>
        <v/>
      </c>
    </row>
    <row r="252">
      <c r="A252" s="6" t="n"/>
      <c r="B252" s="6" t="n"/>
      <c r="C252" s="7" t="n"/>
      <c r="D252" s="8" t="n"/>
      <c r="E252" s="6" t="n"/>
      <c r="F252" s="6" t="n"/>
      <c r="G252" s="6" t="n"/>
      <c r="H252" s="6" t="n"/>
      <c r="I252" s="12">
        <f>IF($B252="","",IF(COUNTIF(Ventes_Factures!$A$6:$A$3005,$B252)&gt;0,"OK","INCONNUE"))</f>
        <v/>
      </c>
      <c r="J252" s="9">
        <f>IF($D252="","",ROUND($D252,2))</f>
        <v/>
      </c>
    </row>
    <row r="253">
      <c r="A253" s="6" t="n"/>
      <c r="B253" s="6" t="n"/>
      <c r="C253" s="7" t="n"/>
      <c r="D253" s="8" t="n"/>
      <c r="E253" s="6" t="n"/>
      <c r="F253" s="6" t="n"/>
      <c r="G253" s="6" t="n"/>
      <c r="H253" s="6" t="n"/>
      <c r="I253" s="12">
        <f>IF($B253="","",IF(COUNTIF(Ventes_Factures!$A$6:$A$3005,$B253)&gt;0,"OK","INCONNUE"))</f>
        <v/>
      </c>
      <c r="J253" s="9">
        <f>IF($D253="","",ROUND($D253,2))</f>
        <v/>
      </c>
    </row>
    <row r="254">
      <c r="A254" s="6" t="n"/>
      <c r="B254" s="6" t="n"/>
      <c r="C254" s="7" t="n"/>
      <c r="D254" s="8" t="n"/>
      <c r="E254" s="6" t="n"/>
      <c r="F254" s="6" t="n"/>
      <c r="G254" s="6" t="n"/>
      <c r="H254" s="6" t="n"/>
      <c r="I254" s="12">
        <f>IF($B254="","",IF(COUNTIF(Ventes_Factures!$A$6:$A$3005,$B254)&gt;0,"OK","INCONNUE"))</f>
        <v/>
      </c>
      <c r="J254" s="9">
        <f>IF($D254="","",ROUND($D254,2))</f>
        <v/>
      </c>
    </row>
    <row r="255">
      <c r="A255" s="6" t="n"/>
      <c r="B255" s="6" t="n"/>
      <c r="C255" s="7" t="n"/>
      <c r="D255" s="8" t="n"/>
      <c r="E255" s="6" t="n"/>
      <c r="F255" s="6" t="n"/>
      <c r="G255" s="6" t="n"/>
      <c r="H255" s="6" t="n"/>
      <c r="I255" s="12">
        <f>IF($B255="","",IF(COUNTIF(Ventes_Factures!$A$6:$A$3005,$B255)&gt;0,"OK","INCONNUE"))</f>
        <v/>
      </c>
      <c r="J255" s="9">
        <f>IF($D255="","",ROUND($D255,2))</f>
        <v/>
      </c>
    </row>
    <row r="256">
      <c r="A256" s="6" t="n"/>
      <c r="B256" s="6" t="n"/>
      <c r="C256" s="7" t="n"/>
      <c r="D256" s="8" t="n"/>
      <c r="E256" s="6" t="n"/>
      <c r="F256" s="6" t="n"/>
      <c r="G256" s="6" t="n"/>
      <c r="H256" s="6" t="n"/>
      <c r="I256" s="12">
        <f>IF($B256="","",IF(COUNTIF(Ventes_Factures!$A$6:$A$3005,$B256)&gt;0,"OK","INCONNUE"))</f>
        <v/>
      </c>
      <c r="J256" s="9">
        <f>IF($D256="","",ROUND($D256,2))</f>
        <v/>
      </c>
    </row>
    <row r="257">
      <c r="A257" s="6" t="n"/>
      <c r="B257" s="6" t="n"/>
      <c r="C257" s="7" t="n"/>
      <c r="D257" s="8" t="n"/>
      <c r="E257" s="6" t="n"/>
      <c r="F257" s="6" t="n"/>
      <c r="G257" s="6" t="n"/>
      <c r="H257" s="6" t="n"/>
      <c r="I257" s="12">
        <f>IF($B257="","",IF(COUNTIF(Ventes_Factures!$A$6:$A$3005,$B257)&gt;0,"OK","INCONNUE"))</f>
        <v/>
      </c>
      <c r="J257" s="9">
        <f>IF($D257="","",ROUND($D257,2))</f>
        <v/>
      </c>
    </row>
    <row r="258">
      <c r="A258" s="6" t="n"/>
      <c r="B258" s="6" t="n"/>
      <c r="C258" s="7" t="n"/>
      <c r="D258" s="8" t="n"/>
      <c r="E258" s="6" t="n"/>
      <c r="F258" s="6" t="n"/>
      <c r="G258" s="6" t="n"/>
      <c r="H258" s="6" t="n"/>
      <c r="I258" s="12">
        <f>IF($B258="","",IF(COUNTIF(Ventes_Factures!$A$6:$A$3005,$B258)&gt;0,"OK","INCONNUE"))</f>
        <v/>
      </c>
      <c r="J258" s="9">
        <f>IF($D258="","",ROUND($D258,2))</f>
        <v/>
      </c>
    </row>
    <row r="259">
      <c r="A259" s="6" t="n"/>
      <c r="B259" s="6" t="n"/>
      <c r="C259" s="7" t="n"/>
      <c r="D259" s="8" t="n"/>
      <c r="E259" s="6" t="n"/>
      <c r="F259" s="6" t="n"/>
      <c r="G259" s="6" t="n"/>
      <c r="H259" s="6" t="n"/>
      <c r="I259" s="12">
        <f>IF($B259="","",IF(COUNTIF(Ventes_Factures!$A$6:$A$3005,$B259)&gt;0,"OK","INCONNUE"))</f>
        <v/>
      </c>
      <c r="J259" s="9">
        <f>IF($D259="","",ROUND($D259,2))</f>
        <v/>
      </c>
    </row>
    <row r="260">
      <c r="A260" s="6" t="n"/>
      <c r="B260" s="6" t="n"/>
      <c r="C260" s="7" t="n"/>
      <c r="D260" s="8" t="n"/>
      <c r="E260" s="6" t="n"/>
      <c r="F260" s="6" t="n"/>
      <c r="G260" s="6" t="n"/>
      <c r="H260" s="6" t="n"/>
      <c r="I260" s="12">
        <f>IF($B260="","",IF(COUNTIF(Ventes_Factures!$A$6:$A$3005,$B260)&gt;0,"OK","INCONNUE"))</f>
        <v/>
      </c>
      <c r="J260" s="9">
        <f>IF($D260="","",ROUND($D260,2))</f>
        <v/>
      </c>
    </row>
    <row r="261">
      <c r="A261" s="6" t="n"/>
      <c r="B261" s="6" t="n"/>
      <c r="C261" s="7" t="n"/>
      <c r="D261" s="8" t="n"/>
      <c r="E261" s="6" t="n"/>
      <c r="F261" s="6" t="n"/>
      <c r="G261" s="6" t="n"/>
      <c r="H261" s="6" t="n"/>
      <c r="I261" s="12">
        <f>IF($B261="","",IF(COUNTIF(Ventes_Factures!$A$6:$A$3005,$B261)&gt;0,"OK","INCONNUE"))</f>
        <v/>
      </c>
      <c r="J261" s="9">
        <f>IF($D261="","",ROUND($D261,2))</f>
        <v/>
      </c>
    </row>
    <row r="262">
      <c r="A262" s="6" t="n"/>
      <c r="B262" s="6" t="n"/>
      <c r="C262" s="7" t="n"/>
      <c r="D262" s="8" t="n"/>
      <c r="E262" s="6" t="n"/>
      <c r="F262" s="6" t="n"/>
      <c r="G262" s="6" t="n"/>
      <c r="H262" s="6" t="n"/>
      <c r="I262" s="12">
        <f>IF($B262="","",IF(COUNTIF(Ventes_Factures!$A$6:$A$3005,$B262)&gt;0,"OK","INCONNUE"))</f>
        <v/>
      </c>
      <c r="J262" s="9">
        <f>IF($D262="","",ROUND($D262,2))</f>
        <v/>
      </c>
    </row>
    <row r="263">
      <c r="A263" s="6" t="n"/>
      <c r="B263" s="6" t="n"/>
      <c r="C263" s="7" t="n"/>
      <c r="D263" s="8" t="n"/>
      <c r="E263" s="6" t="n"/>
      <c r="F263" s="6" t="n"/>
      <c r="G263" s="6" t="n"/>
      <c r="H263" s="6" t="n"/>
      <c r="I263" s="12">
        <f>IF($B263="","",IF(COUNTIF(Ventes_Factures!$A$6:$A$3005,$B263)&gt;0,"OK","INCONNUE"))</f>
        <v/>
      </c>
      <c r="J263" s="9">
        <f>IF($D263="","",ROUND($D263,2))</f>
        <v/>
      </c>
    </row>
    <row r="264">
      <c r="A264" s="6" t="n"/>
      <c r="B264" s="6" t="n"/>
      <c r="C264" s="7" t="n"/>
      <c r="D264" s="8" t="n"/>
      <c r="E264" s="6" t="n"/>
      <c r="F264" s="6" t="n"/>
      <c r="G264" s="6" t="n"/>
      <c r="H264" s="6" t="n"/>
      <c r="I264" s="12">
        <f>IF($B264="","",IF(COUNTIF(Ventes_Factures!$A$6:$A$3005,$B264)&gt;0,"OK","INCONNUE"))</f>
        <v/>
      </c>
      <c r="J264" s="9">
        <f>IF($D264="","",ROUND($D264,2))</f>
        <v/>
      </c>
    </row>
    <row r="265">
      <c r="A265" s="6" t="n"/>
      <c r="B265" s="6" t="n"/>
      <c r="C265" s="7" t="n"/>
      <c r="D265" s="8" t="n"/>
      <c r="E265" s="6" t="n"/>
      <c r="F265" s="6" t="n"/>
      <c r="G265" s="6" t="n"/>
      <c r="H265" s="6" t="n"/>
      <c r="I265" s="12">
        <f>IF($B265="","",IF(COUNTIF(Ventes_Factures!$A$6:$A$3005,$B265)&gt;0,"OK","INCONNUE"))</f>
        <v/>
      </c>
      <c r="J265" s="9">
        <f>IF($D265="","",ROUND($D265,2))</f>
        <v/>
      </c>
    </row>
    <row r="266">
      <c r="A266" s="6" t="n"/>
      <c r="B266" s="6" t="n"/>
      <c r="C266" s="7" t="n"/>
      <c r="D266" s="8" t="n"/>
      <c r="E266" s="6" t="n"/>
      <c r="F266" s="6" t="n"/>
      <c r="G266" s="6" t="n"/>
      <c r="H266" s="6" t="n"/>
      <c r="I266" s="12">
        <f>IF($B266="","",IF(COUNTIF(Ventes_Factures!$A$6:$A$3005,$B266)&gt;0,"OK","INCONNUE"))</f>
        <v/>
      </c>
      <c r="J266" s="9">
        <f>IF($D266="","",ROUND($D266,2))</f>
        <v/>
      </c>
    </row>
    <row r="267">
      <c r="A267" s="6" t="n"/>
      <c r="B267" s="6" t="n"/>
      <c r="C267" s="7" t="n"/>
      <c r="D267" s="8" t="n"/>
      <c r="E267" s="6" t="n"/>
      <c r="F267" s="6" t="n"/>
      <c r="G267" s="6" t="n"/>
      <c r="H267" s="6" t="n"/>
      <c r="I267" s="12">
        <f>IF($B267="","",IF(COUNTIF(Ventes_Factures!$A$6:$A$3005,$B267)&gt;0,"OK","INCONNUE"))</f>
        <v/>
      </c>
      <c r="J267" s="9">
        <f>IF($D267="","",ROUND($D267,2))</f>
        <v/>
      </c>
    </row>
    <row r="268">
      <c r="A268" s="6" t="n"/>
      <c r="B268" s="6" t="n"/>
      <c r="C268" s="7" t="n"/>
      <c r="D268" s="8" t="n"/>
      <c r="E268" s="6" t="n"/>
      <c r="F268" s="6" t="n"/>
      <c r="G268" s="6" t="n"/>
      <c r="H268" s="6" t="n"/>
      <c r="I268" s="12">
        <f>IF($B268="","",IF(COUNTIF(Ventes_Factures!$A$6:$A$3005,$B268)&gt;0,"OK","INCONNUE"))</f>
        <v/>
      </c>
      <c r="J268" s="9">
        <f>IF($D268="","",ROUND($D268,2))</f>
        <v/>
      </c>
    </row>
    <row r="269">
      <c r="A269" s="6" t="n"/>
      <c r="B269" s="6" t="n"/>
      <c r="C269" s="7" t="n"/>
      <c r="D269" s="8" t="n"/>
      <c r="E269" s="6" t="n"/>
      <c r="F269" s="6" t="n"/>
      <c r="G269" s="6" t="n"/>
      <c r="H269" s="6" t="n"/>
      <c r="I269" s="12">
        <f>IF($B269="","",IF(COUNTIF(Ventes_Factures!$A$6:$A$3005,$B269)&gt;0,"OK","INCONNUE"))</f>
        <v/>
      </c>
      <c r="J269" s="9">
        <f>IF($D269="","",ROUND($D269,2))</f>
        <v/>
      </c>
    </row>
    <row r="270">
      <c r="A270" s="6" t="n"/>
      <c r="B270" s="6" t="n"/>
      <c r="C270" s="7" t="n"/>
      <c r="D270" s="8" t="n"/>
      <c r="E270" s="6" t="n"/>
      <c r="F270" s="6" t="n"/>
      <c r="G270" s="6" t="n"/>
      <c r="H270" s="6" t="n"/>
      <c r="I270" s="12">
        <f>IF($B270="","",IF(COUNTIF(Ventes_Factures!$A$6:$A$3005,$B270)&gt;0,"OK","INCONNUE"))</f>
        <v/>
      </c>
      <c r="J270" s="9">
        <f>IF($D270="","",ROUND($D270,2))</f>
        <v/>
      </c>
    </row>
    <row r="271">
      <c r="A271" s="6" t="n"/>
      <c r="B271" s="6" t="n"/>
      <c r="C271" s="7" t="n"/>
      <c r="D271" s="8" t="n"/>
      <c r="E271" s="6" t="n"/>
      <c r="F271" s="6" t="n"/>
      <c r="G271" s="6" t="n"/>
      <c r="H271" s="6" t="n"/>
      <c r="I271" s="12">
        <f>IF($B271="","",IF(COUNTIF(Ventes_Factures!$A$6:$A$3005,$B271)&gt;0,"OK","INCONNUE"))</f>
        <v/>
      </c>
      <c r="J271" s="9">
        <f>IF($D271="","",ROUND($D271,2))</f>
        <v/>
      </c>
    </row>
    <row r="272">
      <c r="A272" s="6" t="n"/>
      <c r="B272" s="6" t="n"/>
      <c r="C272" s="7" t="n"/>
      <c r="D272" s="8" t="n"/>
      <c r="E272" s="6" t="n"/>
      <c r="F272" s="6" t="n"/>
      <c r="G272" s="6" t="n"/>
      <c r="H272" s="6" t="n"/>
      <c r="I272" s="12">
        <f>IF($B272="","",IF(COUNTIF(Ventes_Factures!$A$6:$A$3005,$B272)&gt;0,"OK","INCONNUE"))</f>
        <v/>
      </c>
      <c r="J272" s="9">
        <f>IF($D272="","",ROUND($D272,2))</f>
        <v/>
      </c>
    </row>
    <row r="273">
      <c r="A273" s="6" t="n"/>
      <c r="B273" s="6" t="n"/>
      <c r="C273" s="7" t="n"/>
      <c r="D273" s="8" t="n"/>
      <c r="E273" s="6" t="n"/>
      <c r="F273" s="6" t="n"/>
      <c r="G273" s="6" t="n"/>
      <c r="H273" s="6" t="n"/>
      <c r="I273" s="12">
        <f>IF($B273="","",IF(COUNTIF(Ventes_Factures!$A$6:$A$3005,$B273)&gt;0,"OK","INCONNUE"))</f>
        <v/>
      </c>
      <c r="J273" s="9">
        <f>IF($D273="","",ROUND($D273,2))</f>
        <v/>
      </c>
    </row>
    <row r="274">
      <c r="A274" s="6" t="n"/>
      <c r="B274" s="6" t="n"/>
      <c r="C274" s="7" t="n"/>
      <c r="D274" s="8" t="n"/>
      <c r="E274" s="6" t="n"/>
      <c r="F274" s="6" t="n"/>
      <c r="G274" s="6" t="n"/>
      <c r="H274" s="6" t="n"/>
      <c r="I274" s="12">
        <f>IF($B274="","",IF(COUNTIF(Ventes_Factures!$A$6:$A$3005,$B274)&gt;0,"OK","INCONNUE"))</f>
        <v/>
      </c>
      <c r="J274" s="9">
        <f>IF($D274="","",ROUND($D274,2))</f>
        <v/>
      </c>
    </row>
    <row r="275">
      <c r="A275" s="6" t="n"/>
      <c r="B275" s="6" t="n"/>
      <c r="C275" s="7" t="n"/>
      <c r="D275" s="8" t="n"/>
      <c r="E275" s="6" t="n"/>
      <c r="F275" s="6" t="n"/>
      <c r="G275" s="6" t="n"/>
      <c r="H275" s="6" t="n"/>
      <c r="I275" s="12">
        <f>IF($B275="","",IF(COUNTIF(Ventes_Factures!$A$6:$A$3005,$B275)&gt;0,"OK","INCONNUE"))</f>
        <v/>
      </c>
      <c r="J275" s="9">
        <f>IF($D275="","",ROUND($D275,2))</f>
        <v/>
      </c>
    </row>
    <row r="276">
      <c r="A276" s="6" t="n"/>
      <c r="B276" s="6" t="n"/>
      <c r="C276" s="7" t="n"/>
      <c r="D276" s="8" t="n"/>
      <c r="E276" s="6" t="n"/>
      <c r="F276" s="6" t="n"/>
      <c r="G276" s="6" t="n"/>
      <c r="H276" s="6" t="n"/>
      <c r="I276" s="12">
        <f>IF($B276="","",IF(COUNTIF(Ventes_Factures!$A$6:$A$3005,$B276)&gt;0,"OK","INCONNUE"))</f>
        <v/>
      </c>
      <c r="J276" s="9">
        <f>IF($D276="","",ROUND($D276,2))</f>
        <v/>
      </c>
    </row>
    <row r="277">
      <c r="A277" s="6" t="n"/>
      <c r="B277" s="6" t="n"/>
      <c r="C277" s="7" t="n"/>
      <c r="D277" s="8" t="n"/>
      <c r="E277" s="6" t="n"/>
      <c r="F277" s="6" t="n"/>
      <c r="G277" s="6" t="n"/>
      <c r="H277" s="6" t="n"/>
      <c r="I277" s="12">
        <f>IF($B277="","",IF(COUNTIF(Ventes_Factures!$A$6:$A$3005,$B277)&gt;0,"OK","INCONNUE"))</f>
        <v/>
      </c>
      <c r="J277" s="9">
        <f>IF($D277="","",ROUND($D277,2))</f>
        <v/>
      </c>
    </row>
    <row r="278">
      <c r="A278" s="6" t="n"/>
      <c r="B278" s="6" t="n"/>
      <c r="C278" s="7" t="n"/>
      <c r="D278" s="8" t="n"/>
      <c r="E278" s="6" t="n"/>
      <c r="F278" s="6" t="n"/>
      <c r="G278" s="6" t="n"/>
      <c r="H278" s="6" t="n"/>
      <c r="I278" s="12">
        <f>IF($B278="","",IF(COUNTIF(Ventes_Factures!$A$6:$A$3005,$B278)&gt;0,"OK","INCONNUE"))</f>
        <v/>
      </c>
      <c r="J278" s="9">
        <f>IF($D278="","",ROUND($D278,2))</f>
        <v/>
      </c>
    </row>
    <row r="279">
      <c r="A279" s="6" t="n"/>
      <c r="B279" s="6" t="n"/>
      <c r="C279" s="7" t="n"/>
      <c r="D279" s="8" t="n"/>
      <c r="E279" s="6" t="n"/>
      <c r="F279" s="6" t="n"/>
      <c r="G279" s="6" t="n"/>
      <c r="H279" s="6" t="n"/>
      <c r="I279" s="12">
        <f>IF($B279="","",IF(COUNTIF(Ventes_Factures!$A$6:$A$3005,$B279)&gt;0,"OK","INCONNUE"))</f>
        <v/>
      </c>
      <c r="J279" s="9">
        <f>IF($D279="","",ROUND($D279,2))</f>
        <v/>
      </c>
    </row>
    <row r="280">
      <c r="A280" s="6" t="n"/>
      <c r="B280" s="6" t="n"/>
      <c r="C280" s="7" t="n"/>
      <c r="D280" s="8" t="n"/>
      <c r="E280" s="6" t="n"/>
      <c r="F280" s="6" t="n"/>
      <c r="G280" s="6" t="n"/>
      <c r="H280" s="6" t="n"/>
      <c r="I280" s="12">
        <f>IF($B280="","",IF(COUNTIF(Ventes_Factures!$A$6:$A$3005,$B280)&gt;0,"OK","INCONNUE"))</f>
        <v/>
      </c>
      <c r="J280" s="9">
        <f>IF($D280="","",ROUND($D280,2))</f>
        <v/>
      </c>
    </row>
    <row r="281">
      <c r="A281" s="6" t="n"/>
      <c r="B281" s="6" t="n"/>
      <c r="C281" s="7" t="n"/>
      <c r="D281" s="8" t="n"/>
      <c r="E281" s="6" t="n"/>
      <c r="F281" s="6" t="n"/>
      <c r="G281" s="6" t="n"/>
      <c r="H281" s="6" t="n"/>
      <c r="I281" s="12">
        <f>IF($B281="","",IF(COUNTIF(Ventes_Factures!$A$6:$A$3005,$B281)&gt;0,"OK","INCONNUE"))</f>
        <v/>
      </c>
      <c r="J281" s="9">
        <f>IF($D281="","",ROUND($D281,2))</f>
        <v/>
      </c>
    </row>
    <row r="282">
      <c r="A282" s="6" t="n"/>
      <c r="B282" s="6" t="n"/>
      <c r="C282" s="7" t="n"/>
      <c r="D282" s="8" t="n"/>
      <c r="E282" s="6" t="n"/>
      <c r="F282" s="6" t="n"/>
      <c r="G282" s="6" t="n"/>
      <c r="H282" s="6" t="n"/>
      <c r="I282" s="12">
        <f>IF($B282="","",IF(COUNTIF(Ventes_Factures!$A$6:$A$3005,$B282)&gt;0,"OK","INCONNUE"))</f>
        <v/>
      </c>
      <c r="J282" s="9">
        <f>IF($D282="","",ROUND($D282,2))</f>
        <v/>
      </c>
    </row>
    <row r="283">
      <c r="A283" s="6" t="n"/>
      <c r="B283" s="6" t="n"/>
      <c r="C283" s="7" t="n"/>
      <c r="D283" s="8" t="n"/>
      <c r="E283" s="6" t="n"/>
      <c r="F283" s="6" t="n"/>
      <c r="G283" s="6" t="n"/>
      <c r="H283" s="6" t="n"/>
      <c r="I283" s="12">
        <f>IF($B283="","",IF(COUNTIF(Ventes_Factures!$A$6:$A$3005,$B283)&gt;0,"OK","INCONNUE"))</f>
        <v/>
      </c>
      <c r="J283" s="9">
        <f>IF($D283="","",ROUND($D283,2))</f>
        <v/>
      </c>
    </row>
    <row r="284">
      <c r="A284" s="6" t="n"/>
      <c r="B284" s="6" t="n"/>
      <c r="C284" s="7" t="n"/>
      <c r="D284" s="8" t="n"/>
      <c r="E284" s="6" t="n"/>
      <c r="F284" s="6" t="n"/>
      <c r="G284" s="6" t="n"/>
      <c r="H284" s="6" t="n"/>
      <c r="I284" s="12">
        <f>IF($B284="","",IF(COUNTIF(Ventes_Factures!$A$6:$A$3005,$B284)&gt;0,"OK","INCONNUE"))</f>
        <v/>
      </c>
      <c r="J284" s="9">
        <f>IF($D284="","",ROUND($D284,2))</f>
        <v/>
      </c>
    </row>
    <row r="285">
      <c r="A285" s="6" t="n"/>
      <c r="B285" s="6" t="n"/>
      <c r="C285" s="7" t="n"/>
      <c r="D285" s="8" t="n"/>
      <c r="E285" s="6" t="n"/>
      <c r="F285" s="6" t="n"/>
      <c r="G285" s="6" t="n"/>
      <c r="H285" s="6" t="n"/>
      <c r="I285" s="12">
        <f>IF($B285="","",IF(COUNTIF(Ventes_Factures!$A$6:$A$3005,$B285)&gt;0,"OK","INCONNUE"))</f>
        <v/>
      </c>
      <c r="J285" s="9">
        <f>IF($D285="","",ROUND($D285,2))</f>
        <v/>
      </c>
    </row>
    <row r="286">
      <c r="A286" s="6" t="n"/>
      <c r="B286" s="6" t="n"/>
      <c r="C286" s="7" t="n"/>
      <c r="D286" s="8" t="n"/>
      <c r="E286" s="6" t="n"/>
      <c r="F286" s="6" t="n"/>
      <c r="G286" s="6" t="n"/>
      <c r="H286" s="6" t="n"/>
      <c r="I286" s="12">
        <f>IF($B286="","",IF(COUNTIF(Ventes_Factures!$A$6:$A$3005,$B286)&gt;0,"OK","INCONNUE"))</f>
        <v/>
      </c>
      <c r="J286" s="9">
        <f>IF($D286="","",ROUND($D286,2))</f>
        <v/>
      </c>
    </row>
    <row r="287">
      <c r="A287" s="6" t="n"/>
      <c r="B287" s="6" t="n"/>
      <c r="C287" s="7" t="n"/>
      <c r="D287" s="8" t="n"/>
      <c r="E287" s="6" t="n"/>
      <c r="F287" s="6" t="n"/>
      <c r="G287" s="6" t="n"/>
      <c r="H287" s="6" t="n"/>
      <c r="I287" s="12">
        <f>IF($B287="","",IF(COUNTIF(Ventes_Factures!$A$6:$A$3005,$B287)&gt;0,"OK","INCONNUE"))</f>
        <v/>
      </c>
      <c r="J287" s="9">
        <f>IF($D287="","",ROUND($D287,2))</f>
        <v/>
      </c>
    </row>
    <row r="288">
      <c r="A288" s="6" t="n"/>
      <c r="B288" s="6" t="n"/>
      <c r="C288" s="7" t="n"/>
      <c r="D288" s="8" t="n"/>
      <c r="E288" s="6" t="n"/>
      <c r="F288" s="6" t="n"/>
      <c r="G288" s="6" t="n"/>
      <c r="H288" s="6" t="n"/>
      <c r="I288" s="12">
        <f>IF($B288="","",IF(COUNTIF(Ventes_Factures!$A$6:$A$3005,$B288)&gt;0,"OK","INCONNUE"))</f>
        <v/>
      </c>
      <c r="J288" s="9">
        <f>IF($D288="","",ROUND($D288,2))</f>
        <v/>
      </c>
    </row>
    <row r="289">
      <c r="A289" s="6" t="n"/>
      <c r="B289" s="6" t="n"/>
      <c r="C289" s="7" t="n"/>
      <c r="D289" s="8" t="n"/>
      <c r="E289" s="6" t="n"/>
      <c r="F289" s="6" t="n"/>
      <c r="G289" s="6" t="n"/>
      <c r="H289" s="6" t="n"/>
      <c r="I289" s="12">
        <f>IF($B289="","",IF(COUNTIF(Ventes_Factures!$A$6:$A$3005,$B289)&gt;0,"OK","INCONNUE"))</f>
        <v/>
      </c>
      <c r="J289" s="9">
        <f>IF($D289="","",ROUND($D289,2))</f>
        <v/>
      </c>
    </row>
    <row r="290">
      <c r="A290" s="6" t="n"/>
      <c r="B290" s="6" t="n"/>
      <c r="C290" s="7" t="n"/>
      <c r="D290" s="8" t="n"/>
      <c r="E290" s="6" t="n"/>
      <c r="F290" s="6" t="n"/>
      <c r="G290" s="6" t="n"/>
      <c r="H290" s="6" t="n"/>
      <c r="I290" s="12">
        <f>IF($B290="","",IF(COUNTIF(Ventes_Factures!$A$6:$A$3005,$B290)&gt;0,"OK","INCONNUE"))</f>
        <v/>
      </c>
      <c r="J290" s="9">
        <f>IF($D290="","",ROUND($D290,2))</f>
        <v/>
      </c>
    </row>
    <row r="291">
      <c r="A291" s="6" t="n"/>
      <c r="B291" s="6" t="n"/>
      <c r="C291" s="7" t="n"/>
      <c r="D291" s="8" t="n"/>
      <c r="E291" s="6" t="n"/>
      <c r="F291" s="6" t="n"/>
      <c r="G291" s="6" t="n"/>
      <c r="H291" s="6" t="n"/>
      <c r="I291" s="12">
        <f>IF($B291="","",IF(COUNTIF(Ventes_Factures!$A$6:$A$3005,$B291)&gt;0,"OK","INCONNUE"))</f>
        <v/>
      </c>
      <c r="J291" s="9">
        <f>IF($D291="","",ROUND($D291,2))</f>
        <v/>
      </c>
    </row>
    <row r="292">
      <c r="A292" s="6" t="n"/>
      <c r="B292" s="6" t="n"/>
      <c r="C292" s="7" t="n"/>
      <c r="D292" s="8" t="n"/>
      <c r="E292" s="6" t="n"/>
      <c r="F292" s="6" t="n"/>
      <c r="G292" s="6" t="n"/>
      <c r="H292" s="6" t="n"/>
      <c r="I292" s="12">
        <f>IF($B292="","",IF(COUNTIF(Ventes_Factures!$A$6:$A$3005,$B292)&gt;0,"OK","INCONNUE"))</f>
        <v/>
      </c>
      <c r="J292" s="9">
        <f>IF($D292="","",ROUND($D292,2))</f>
        <v/>
      </c>
    </row>
    <row r="293">
      <c r="A293" s="6" t="n"/>
      <c r="B293" s="6" t="n"/>
      <c r="C293" s="7" t="n"/>
      <c r="D293" s="8" t="n"/>
      <c r="E293" s="6" t="n"/>
      <c r="F293" s="6" t="n"/>
      <c r="G293" s="6" t="n"/>
      <c r="H293" s="6" t="n"/>
      <c r="I293" s="12">
        <f>IF($B293="","",IF(COUNTIF(Ventes_Factures!$A$6:$A$3005,$B293)&gt;0,"OK","INCONNUE"))</f>
        <v/>
      </c>
      <c r="J293" s="9">
        <f>IF($D293="","",ROUND($D293,2))</f>
        <v/>
      </c>
    </row>
    <row r="294">
      <c r="A294" s="6" t="n"/>
      <c r="B294" s="6" t="n"/>
      <c r="C294" s="7" t="n"/>
      <c r="D294" s="8" t="n"/>
      <c r="E294" s="6" t="n"/>
      <c r="F294" s="6" t="n"/>
      <c r="G294" s="6" t="n"/>
      <c r="H294" s="6" t="n"/>
      <c r="I294" s="12">
        <f>IF($B294="","",IF(COUNTIF(Ventes_Factures!$A$6:$A$3005,$B294)&gt;0,"OK","INCONNUE"))</f>
        <v/>
      </c>
      <c r="J294" s="9">
        <f>IF($D294="","",ROUND($D294,2))</f>
        <v/>
      </c>
    </row>
    <row r="295">
      <c r="A295" s="6" t="n"/>
      <c r="B295" s="6" t="n"/>
      <c r="C295" s="7" t="n"/>
      <c r="D295" s="8" t="n"/>
      <c r="E295" s="6" t="n"/>
      <c r="F295" s="6" t="n"/>
      <c r="G295" s="6" t="n"/>
      <c r="H295" s="6" t="n"/>
      <c r="I295" s="12">
        <f>IF($B295="","",IF(COUNTIF(Ventes_Factures!$A$6:$A$3005,$B295)&gt;0,"OK","INCONNUE"))</f>
        <v/>
      </c>
      <c r="J295" s="9">
        <f>IF($D295="","",ROUND($D295,2))</f>
        <v/>
      </c>
    </row>
    <row r="296">
      <c r="A296" s="6" t="n"/>
      <c r="B296" s="6" t="n"/>
      <c r="C296" s="7" t="n"/>
      <c r="D296" s="8" t="n"/>
      <c r="E296" s="6" t="n"/>
      <c r="F296" s="6" t="n"/>
      <c r="G296" s="6" t="n"/>
      <c r="H296" s="6" t="n"/>
      <c r="I296" s="12">
        <f>IF($B296="","",IF(COUNTIF(Ventes_Factures!$A$6:$A$3005,$B296)&gt;0,"OK","INCONNUE"))</f>
        <v/>
      </c>
      <c r="J296" s="9">
        <f>IF($D296="","",ROUND($D296,2))</f>
        <v/>
      </c>
    </row>
    <row r="297">
      <c r="A297" s="6" t="n"/>
      <c r="B297" s="6" t="n"/>
      <c r="C297" s="7" t="n"/>
      <c r="D297" s="8" t="n"/>
      <c r="E297" s="6" t="n"/>
      <c r="F297" s="6" t="n"/>
      <c r="G297" s="6" t="n"/>
      <c r="H297" s="6" t="n"/>
      <c r="I297" s="12">
        <f>IF($B297="","",IF(COUNTIF(Ventes_Factures!$A$6:$A$3005,$B297)&gt;0,"OK","INCONNUE"))</f>
        <v/>
      </c>
      <c r="J297" s="9">
        <f>IF($D297="","",ROUND($D297,2))</f>
        <v/>
      </c>
    </row>
    <row r="298">
      <c r="A298" s="6" t="n"/>
      <c r="B298" s="6" t="n"/>
      <c r="C298" s="7" t="n"/>
      <c r="D298" s="8" t="n"/>
      <c r="E298" s="6" t="n"/>
      <c r="F298" s="6" t="n"/>
      <c r="G298" s="6" t="n"/>
      <c r="H298" s="6" t="n"/>
      <c r="I298" s="12">
        <f>IF($B298="","",IF(COUNTIF(Ventes_Factures!$A$6:$A$3005,$B298)&gt;0,"OK","INCONNUE"))</f>
        <v/>
      </c>
      <c r="J298" s="9">
        <f>IF($D298="","",ROUND($D298,2))</f>
        <v/>
      </c>
    </row>
    <row r="299">
      <c r="A299" s="6" t="n"/>
      <c r="B299" s="6" t="n"/>
      <c r="C299" s="7" t="n"/>
      <c r="D299" s="8" t="n"/>
      <c r="E299" s="6" t="n"/>
      <c r="F299" s="6" t="n"/>
      <c r="G299" s="6" t="n"/>
      <c r="H299" s="6" t="n"/>
      <c r="I299" s="12">
        <f>IF($B299="","",IF(COUNTIF(Ventes_Factures!$A$6:$A$3005,$B299)&gt;0,"OK","INCONNUE"))</f>
        <v/>
      </c>
      <c r="J299" s="9">
        <f>IF($D299="","",ROUND($D299,2))</f>
        <v/>
      </c>
    </row>
    <row r="300">
      <c r="A300" s="6" t="n"/>
      <c r="B300" s="6" t="n"/>
      <c r="C300" s="7" t="n"/>
      <c r="D300" s="8" t="n"/>
      <c r="E300" s="6" t="n"/>
      <c r="F300" s="6" t="n"/>
      <c r="G300" s="6" t="n"/>
      <c r="H300" s="6" t="n"/>
      <c r="I300" s="12">
        <f>IF($B300="","",IF(COUNTIF(Ventes_Factures!$A$6:$A$3005,$B300)&gt;0,"OK","INCONNUE"))</f>
        <v/>
      </c>
      <c r="J300" s="9">
        <f>IF($D300="","",ROUND($D300,2))</f>
        <v/>
      </c>
    </row>
    <row r="301">
      <c r="A301" s="6" t="n"/>
      <c r="B301" s="6" t="n"/>
      <c r="C301" s="7" t="n"/>
      <c r="D301" s="8" t="n"/>
      <c r="E301" s="6" t="n"/>
      <c r="F301" s="6" t="n"/>
      <c r="G301" s="6" t="n"/>
      <c r="H301" s="6" t="n"/>
      <c r="I301" s="12">
        <f>IF($B301="","",IF(COUNTIF(Ventes_Factures!$A$6:$A$3005,$B301)&gt;0,"OK","INCONNUE"))</f>
        <v/>
      </c>
      <c r="J301" s="9">
        <f>IF($D301="","",ROUND($D301,2))</f>
        <v/>
      </c>
    </row>
    <row r="302">
      <c r="A302" s="6" t="n"/>
      <c r="B302" s="6" t="n"/>
      <c r="C302" s="7" t="n"/>
      <c r="D302" s="8" t="n"/>
      <c r="E302" s="6" t="n"/>
      <c r="F302" s="6" t="n"/>
      <c r="G302" s="6" t="n"/>
      <c r="H302" s="6" t="n"/>
      <c r="I302" s="12">
        <f>IF($B302="","",IF(COUNTIF(Ventes_Factures!$A$6:$A$3005,$B302)&gt;0,"OK","INCONNUE"))</f>
        <v/>
      </c>
      <c r="J302" s="9">
        <f>IF($D302="","",ROUND($D302,2))</f>
        <v/>
      </c>
    </row>
    <row r="303">
      <c r="A303" s="6" t="n"/>
      <c r="B303" s="6" t="n"/>
      <c r="C303" s="7" t="n"/>
      <c r="D303" s="8" t="n"/>
      <c r="E303" s="6" t="n"/>
      <c r="F303" s="6" t="n"/>
      <c r="G303" s="6" t="n"/>
      <c r="H303" s="6" t="n"/>
      <c r="I303" s="12">
        <f>IF($B303="","",IF(COUNTIF(Ventes_Factures!$A$6:$A$3005,$B303)&gt;0,"OK","INCONNUE"))</f>
        <v/>
      </c>
      <c r="J303" s="9">
        <f>IF($D303="","",ROUND($D303,2))</f>
        <v/>
      </c>
    </row>
    <row r="304">
      <c r="A304" s="6" t="n"/>
      <c r="B304" s="6" t="n"/>
      <c r="C304" s="7" t="n"/>
      <c r="D304" s="8" t="n"/>
      <c r="E304" s="6" t="n"/>
      <c r="F304" s="6" t="n"/>
      <c r="G304" s="6" t="n"/>
      <c r="H304" s="6" t="n"/>
      <c r="I304" s="12">
        <f>IF($B304="","",IF(COUNTIF(Ventes_Factures!$A$6:$A$3005,$B304)&gt;0,"OK","INCONNUE"))</f>
        <v/>
      </c>
      <c r="J304" s="9">
        <f>IF($D304="","",ROUND($D304,2))</f>
        <v/>
      </c>
    </row>
    <row r="305">
      <c r="A305" s="6" t="n"/>
      <c r="B305" s="6" t="n"/>
      <c r="C305" s="7" t="n"/>
      <c r="D305" s="8" t="n"/>
      <c r="E305" s="6" t="n"/>
      <c r="F305" s="6" t="n"/>
      <c r="G305" s="6" t="n"/>
      <c r="H305" s="6" t="n"/>
      <c r="I305" s="12">
        <f>IF($B305="","",IF(COUNTIF(Ventes_Factures!$A$6:$A$3005,$B305)&gt;0,"OK","INCONNUE"))</f>
        <v/>
      </c>
      <c r="J305" s="9">
        <f>IF($D305="","",ROUND($D305,2))</f>
        <v/>
      </c>
    </row>
    <row r="306">
      <c r="A306" s="6" t="n"/>
      <c r="B306" s="6" t="n"/>
      <c r="C306" s="7" t="n"/>
      <c r="D306" s="8" t="n"/>
      <c r="E306" s="6" t="n"/>
      <c r="F306" s="6" t="n"/>
      <c r="G306" s="6" t="n"/>
      <c r="H306" s="6" t="n"/>
      <c r="I306" s="12">
        <f>IF($B306="","",IF(COUNTIF(Ventes_Factures!$A$6:$A$3005,$B306)&gt;0,"OK","INCONNUE"))</f>
        <v/>
      </c>
      <c r="J306" s="9">
        <f>IF($D306="","",ROUND($D306,2))</f>
        <v/>
      </c>
    </row>
    <row r="307">
      <c r="A307" s="6" t="n"/>
      <c r="B307" s="6" t="n"/>
      <c r="C307" s="7" t="n"/>
      <c r="D307" s="8" t="n"/>
      <c r="E307" s="6" t="n"/>
      <c r="F307" s="6" t="n"/>
      <c r="G307" s="6" t="n"/>
      <c r="H307" s="6" t="n"/>
      <c r="I307" s="12">
        <f>IF($B307="","",IF(COUNTIF(Ventes_Factures!$A$6:$A$3005,$B307)&gt;0,"OK","INCONNUE"))</f>
        <v/>
      </c>
      <c r="J307" s="9">
        <f>IF($D307="","",ROUND($D307,2))</f>
        <v/>
      </c>
    </row>
    <row r="308">
      <c r="A308" s="6" t="n"/>
      <c r="B308" s="6" t="n"/>
      <c r="C308" s="7" t="n"/>
      <c r="D308" s="8" t="n"/>
      <c r="E308" s="6" t="n"/>
      <c r="F308" s="6" t="n"/>
      <c r="G308" s="6" t="n"/>
      <c r="H308" s="6" t="n"/>
      <c r="I308" s="12">
        <f>IF($B308="","",IF(COUNTIF(Ventes_Factures!$A$6:$A$3005,$B308)&gt;0,"OK","INCONNUE"))</f>
        <v/>
      </c>
      <c r="J308" s="9">
        <f>IF($D308="","",ROUND($D308,2))</f>
        <v/>
      </c>
    </row>
    <row r="309">
      <c r="A309" s="6" t="n"/>
      <c r="B309" s="6" t="n"/>
      <c r="C309" s="7" t="n"/>
      <c r="D309" s="8" t="n"/>
      <c r="E309" s="6" t="n"/>
      <c r="F309" s="6" t="n"/>
      <c r="G309" s="6" t="n"/>
      <c r="H309" s="6" t="n"/>
      <c r="I309" s="12">
        <f>IF($B309="","",IF(COUNTIF(Ventes_Factures!$A$6:$A$3005,$B309)&gt;0,"OK","INCONNUE"))</f>
        <v/>
      </c>
      <c r="J309" s="9">
        <f>IF($D309="","",ROUND($D309,2))</f>
        <v/>
      </c>
    </row>
    <row r="310">
      <c r="A310" s="6" t="n"/>
      <c r="B310" s="6" t="n"/>
      <c r="C310" s="7" t="n"/>
      <c r="D310" s="8" t="n"/>
      <c r="E310" s="6" t="n"/>
      <c r="F310" s="6" t="n"/>
      <c r="G310" s="6" t="n"/>
      <c r="H310" s="6" t="n"/>
      <c r="I310" s="12">
        <f>IF($B310="","",IF(COUNTIF(Ventes_Factures!$A$6:$A$3005,$B310)&gt;0,"OK","INCONNUE"))</f>
        <v/>
      </c>
      <c r="J310" s="9">
        <f>IF($D310="","",ROUND($D310,2))</f>
        <v/>
      </c>
    </row>
    <row r="311">
      <c r="A311" s="6" t="n"/>
      <c r="B311" s="6" t="n"/>
      <c r="C311" s="7" t="n"/>
      <c r="D311" s="8" t="n"/>
      <c r="E311" s="6" t="n"/>
      <c r="F311" s="6" t="n"/>
      <c r="G311" s="6" t="n"/>
      <c r="H311" s="6" t="n"/>
      <c r="I311" s="12">
        <f>IF($B311="","",IF(COUNTIF(Ventes_Factures!$A$6:$A$3005,$B311)&gt;0,"OK","INCONNUE"))</f>
        <v/>
      </c>
      <c r="J311" s="9">
        <f>IF($D311="","",ROUND($D311,2))</f>
        <v/>
      </c>
    </row>
    <row r="312">
      <c r="A312" s="6" t="n"/>
      <c r="B312" s="6" t="n"/>
      <c r="C312" s="7" t="n"/>
      <c r="D312" s="8" t="n"/>
      <c r="E312" s="6" t="n"/>
      <c r="F312" s="6" t="n"/>
      <c r="G312" s="6" t="n"/>
      <c r="H312" s="6" t="n"/>
      <c r="I312" s="12">
        <f>IF($B312="","",IF(COUNTIF(Ventes_Factures!$A$6:$A$3005,$B312)&gt;0,"OK","INCONNUE"))</f>
        <v/>
      </c>
      <c r="J312" s="9">
        <f>IF($D312="","",ROUND($D312,2))</f>
        <v/>
      </c>
    </row>
    <row r="313">
      <c r="A313" s="6" t="n"/>
      <c r="B313" s="6" t="n"/>
      <c r="C313" s="7" t="n"/>
      <c r="D313" s="8" t="n"/>
      <c r="E313" s="6" t="n"/>
      <c r="F313" s="6" t="n"/>
      <c r="G313" s="6" t="n"/>
      <c r="H313" s="6" t="n"/>
      <c r="I313" s="12">
        <f>IF($B313="","",IF(COUNTIF(Ventes_Factures!$A$6:$A$3005,$B313)&gt;0,"OK","INCONNUE"))</f>
        <v/>
      </c>
      <c r="J313" s="9">
        <f>IF($D313="","",ROUND($D313,2))</f>
        <v/>
      </c>
    </row>
    <row r="314">
      <c r="A314" s="6" t="n"/>
      <c r="B314" s="6" t="n"/>
      <c r="C314" s="7" t="n"/>
      <c r="D314" s="8" t="n"/>
      <c r="E314" s="6" t="n"/>
      <c r="F314" s="6" t="n"/>
      <c r="G314" s="6" t="n"/>
      <c r="H314" s="6" t="n"/>
      <c r="I314" s="12">
        <f>IF($B314="","",IF(COUNTIF(Ventes_Factures!$A$6:$A$3005,$B314)&gt;0,"OK","INCONNUE"))</f>
        <v/>
      </c>
      <c r="J314" s="9">
        <f>IF($D314="","",ROUND($D314,2))</f>
        <v/>
      </c>
    </row>
    <row r="315">
      <c r="A315" s="6" t="n"/>
      <c r="B315" s="6" t="n"/>
      <c r="C315" s="7" t="n"/>
      <c r="D315" s="8" t="n"/>
      <c r="E315" s="6" t="n"/>
      <c r="F315" s="6" t="n"/>
      <c r="G315" s="6" t="n"/>
      <c r="H315" s="6" t="n"/>
      <c r="I315" s="12">
        <f>IF($B315="","",IF(COUNTIF(Ventes_Factures!$A$6:$A$3005,$B315)&gt;0,"OK","INCONNUE"))</f>
        <v/>
      </c>
      <c r="J315" s="9">
        <f>IF($D315="","",ROUND($D315,2))</f>
        <v/>
      </c>
    </row>
    <row r="316">
      <c r="A316" s="6" t="n"/>
      <c r="B316" s="6" t="n"/>
      <c r="C316" s="7" t="n"/>
      <c r="D316" s="8" t="n"/>
      <c r="E316" s="6" t="n"/>
      <c r="F316" s="6" t="n"/>
      <c r="G316" s="6" t="n"/>
      <c r="H316" s="6" t="n"/>
      <c r="I316" s="12">
        <f>IF($B316="","",IF(COUNTIF(Ventes_Factures!$A$6:$A$3005,$B316)&gt;0,"OK","INCONNUE"))</f>
        <v/>
      </c>
      <c r="J316" s="9">
        <f>IF($D316="","",ROUND($D316,2))</f>
        <v/>
      </c>
    </row>
    <row r="317">
      <c r="A317" s="6" t="n"/>
      <c r="B317" s="6" t="n"/>
      <c r="C317" s="7" t="n"/>
      <c r="D317" s="8" t="n"/>
      <c r="E317" s="6" t="n"/>
      <c r="F317" s="6" t="n"/>
      <c r="G317" s="6" t="n"/>
      <c r="H317" s="6" t="n"/>
      <c r="I317" s="12">
        <f>IF($B317="","",IF(COUNTIF(Ventes_Factures!$A$6:$A$3005,$B317)&gt;0,"OK","INCONNUE"))</f>
        <v/>
      </c>
      <c r="J317" s="9">
        <f>IF($D317="","",ROUND($D317,2))</f>
        <v/>
      </c>
    </row>
    <row r="318">
      <c r="A318" s="6" t="n"/>
      <c r="B318" s="6" t="n"/>
      <c r="C318" s="7" t="n"/>
      <c r="D318" s="8" t="n"/>
      <c r="E318" s="6" t="n"/>
      <c r="F318" s="6" t="n"/>
      <c r="G318" s="6" t="n"/>
      <c r="H318" s="6" t="n"/>
      <c r="I318" s="12">
        <f>IF($B318="","",IF(COUNTIF(Ventes_Factures!$A$6:$A$3005,$B318)&gt;0,"OK","INCONNUE"))</f>
        <v/>
      </c>
      <c r="J318" s="9">
        <f>IF($D318="","",ROUND($D318,2))</f>
        <v/>
      </c>
    </row>
    <row r="319">
      <c r="A319" s="6" t="n"/>
      <c r="B319" s="6" t="n"/>
      <c r="C319" s="7" t="n"/>
      <c r="D319" s="8" t="n"/>
      <c r="E319" s="6" t="n"/>
      <c r="F319" s="6" t="n"/>
      <c r="G319" s="6" t="n"/>
      <c r="H319" s="6" t="n"/>
      <c r="I319" s="12">
        <f>IF($B319="","",IF(COUNTIF(Ventes_Factures!$A$6:$A$3005,$B319)&gt;0,"OK","INCONNUE"))</f>
        <v/>
      </c>
      <c r="J319" s="9">
        <f>IF($D319="","",ROUND($D319,2))</f>
        <v/>
      </c>
    </row>
    <row r="320">
      <c r="A320" s="6" t="n"/>
      <c r="B320" s="6" t="n"/>
      <c r="C320" s="7" t="n"/>
      <c r="D320" s="8" t="n"/>
      <c r="E320" s="6" t="n"/>
      <c r="F320" s="6" t="n"/>
      <c r="G320" s="6" t="n"/>
      <c r="H320" s="6" t="n"/>
      <c r="I320" s="12">
        <f>IF($B320="","",IF(COUNTIF(Ventes_Factures!$A$6:$A$3005,$B320)&gt;0,"OK","INCONNUE"))</f>
        <v/>
      </c>
      <c r="J320" s="9">
        <f>IF($D320="","",ROUND($D320,2))</f>
        <v/>
      </c>
    </row>
    <row r="321">
      <c r="A321" s="6" t="n"/>
      <c r="B321" s="6" t="n"/>
      <c r="C321" s="7" t="n"/>
      <c r="D321" s="8" t="n"/>
      <c r="E321" s="6" t="n"/>
      <c r="F321" s="6" t="n"/>
      <c r="G321" s="6" t="n"/>
      <c r="H321" s="6" t="n"/>
      <c r="I321" s="12">
        <f>IF($B321="","",IF(COUNTIF(Ventes_Factures!$A$6:$A$3005,$B321)&gt;0,"OK","INCONNUE"))</f>
        <v/>
      </c>
      <c r="J321" s="9">
        <f>IF($D321="","",ROUND($D321,2))</f>
        <v/>
      </c>
    </row>
    <row r="322">
      <c r="A322" s="6" t="n"/>
      <c r="B322" s="6" t="n"/>
      <c r="C322" s="7" t="n"/>
      <c r="D322" s="8" t="n"/>
      <c r="E322" s="6" t="n"/>
      <c r="F322" s="6" t="n"/>
      <c r="G322" s="6" t="n"/>
      <c r="H322" s="6" t="n"/>
      <c r="I322" s="12">
        <f>IF($B322="","",IF(COUNTIF(Ventes_Factures!$A$6:$A$3005,$B322)&gt;0,"OK","INCONNUE"))</f>
        <v/>
      </c>
      <c r="J322" s="9">
        <f>IF($D322="","",ROUND($D322,2))</f>
        <v/>
      </c>
    </row>
    <row r="323">
      <c r="A323" s="6" t="n"/>
      <c r="B323" s="6" t="n"/>
      <c r="C323" s="7" t="n"/>
      <c r="D323" s="8" t="n"/>
      <c r="E323" s="6" t="n"/>
      <c r="F323" s="6" t="n"/>
      <c r="G323" s="6" t="n"/>
      <c r="H323" s="6" t="n"/>
      <c r="I323" s="12">
        <f>IF($B323="","",IF(COUNTIF(Ventes_Factures!$A$6:$A$3005,$B323)&gt;0,"OK","INCONNUE"))</f>
        <v/>
      </c>
      <c r="J323" s="9">
        <f>IF($D323="","",ROUND($D323,2))</f>
        <v/>
      </c>
    </row>
    <row r="324">
      <c r="A324" s="6" t="n"/>
      <c r="B324" s="6" t="n"/>
      <c r="C324" s="7" t="n"/>
      <c r="D324" s="8" t="n"/>
      <c r="E324" s="6" t="n"/>
      <c r="F324" s="6" t="n"/>
      <c r="G324" s="6" t="n"/>
      <c r="H324" s="6" t="n"/>
      <c r="I324" s="12">
        <f>IF($B324="","",IF(COUNTIF(Ventes_Factures!$A$6:$A$3005,$B324)&gt;0,"OK","INCONNUE"))</f>
        <v/>
      </c>
      <c r="J324" s="9">
        <f>IF($D324="","",ROUND($D324,2))</f>
        <v/>
      </c>
    </row>
    <row r="325">
      <c r="A325" s="6" t="n"/>
      <c r="B325" s="6" t="n"/>
      <c r="C325" s="7" t="n"/>
      <c r="D325" s="8" t="n"/>
      <c r="E325" s="6" t="n"/>
      <c r="F325" s="6" t="n"/>
      <c r="G325" s="6" t="n"/>
      <c r="H325" s="6" t="n"/>
      <c r="I325" s="12">
        <f>IF($B325="","",IF(COUNTIF(Ventes_Factures!$A$6:$A$3005,$B325)&gt;0,"OK","INCONNUE"))</f>
        <v/>
      </c>
      <c r="J325" s="9">
        <f>IF($D325="","",ROUND($D325,2))</f>
        <v/>
      </c>
    </row>
    <row r="326">
      <c r="A326" s="6" t="n"/>
      <c r="B326" s="6" t="n"/>
      <c r="C326" s="7" t="n"/>
      <c r="D326" s="8" t="n"/>
      <c r="E326" s="6" t="n"/>
      <c r="F326" s="6" t="n"/>
      <c r="G326" s="6" t="n"/>
      <c r="H326" s="6" t="n"/>
      <c r="I326" s="12">
        <f>IF($B326="","",IF(COUNTIF(Ventes_Factures!$A$6:$A$3005,$B326)&gt;0,"OK","INCONNUE"))</f>
        <v/>
      </c>
      <c r="J326" s="9">
        <f>IF($D326="","",ROUND($D326,2))</f>
        <v/>
      </c>
    </row>
    <row r="327">
      <c r="A327" s="6" t="n"/>
      <c r="B327" s="6" t="n"/>
      <c r="C327" s="7" t="n"/>
      <c r="D327" s="8" t="n"/>
      <c r="E327" s="6" t="n"/>
      <c r="F327" s="6" t="n"/>
      <c r="G327" s="6" t="n"/>
      <c r="H327" s="6" t="n"/>
      <c r="I327" s="12">
        <f>IF($B327="","",IF(COUNTIF(Ventes_Factures!$A$6:$A$3005,$B327)&gt;0,"OK","INCONNUE"))</f>
        <v/>
      </c>
      <c r="J327" s="9">
        <f>IF($D327="","",ROUND($D327,2))</f>
        <v/>
      </c>
    </row>
    <row r="328">
      <c r="A328" s="6" t="n"/>
      <c r="B328" s="6" t="n"/>
      <c r="C328" s="7" t="n"/>
      <c r="D328" s="8" t="n"/>
      <c r="E328" s="6" t="n"/>
      <c r="F328" s="6" t="n"/>
      <c r="G328" s="6" t="n"/>
      <c r="H328" s="6" t="n"/>
      <c r="I328" s="12">
        <f>IF($B328="","",IF(COUNTIF(Ventes_Factures!$A$6:$A$3005,$B328)&gt;0,"OK","INCONNUE"))</f>
        <v/>
      </c>
      <c r="J328" s="9">
        <f>IF($D328="","",ROUND($D328,2))</f>
        <v/>
      </c>
    </row>
    <row r="329">
      <c r="A329" s="6" t="n"/>
      <c r="B329" s="6" t="n"/>
      <c r="C329" s="7" t="n"/>
      <c r="D329" s="8" t="n"/>
      <c r="E329" s="6" t="n"/>
      <c r="F329" s="6" t="n"/>
      <c r="G329" s="6" t="n"/>
      <c r="H329" s="6" t="n"/>
      <c r="I329" s="12">
        <f>IF($B329="","",IF(COUNTIF(Ventes_Factures!$A$6:$A$3005,$B329)&gt;0,"OK","INCONNUE"))</f>
        <v/>
      </c>
      <c r="J329" s="9">
        <f>IF($D329="","",ROUND($D329,2))</f>
        <v/>
      </c>
    </row>
    <row r="330">
      <c r="A330" s="6" t="n"/>
      <c r="B330" s="6" t="n"/>
      <c r="C330" s="7" t="n"/>
      <c r="D330" s="8" t="n"/>
      <c r="E330" s="6" t="n"/>
      <c r="F330" s="6" t="n"/>
      <c r="G330" s="6" t="n"/>
      <c r="H330" s="6" t="n"/>
      <c r="I330" s="12">
        <f>IF($B330="","",IF(COUNTIF(Ventes_Factures!$A$6:$A$3005,$B330)&gt;0,"OK","INCONNUE"))</f>
        <v/>
      </c>
      <c r="J330" s="9">
        <f>IF($D330="","",ROUND($D330,2))</f>
        <v/>
      </c>
    </row>
    <row r="331">
      <c r="A331" s="6" t="n"/>
      <c r="B331" s="6" t="n"/>
      <c r="C331" s="7" t="n"/>
      <c r="D331" s="8" t="n"/>
      <c r="E331" s="6" t="n"/>
      <c r="F331" s="6" t="n"/>
      <c r="G331" s="6" t="n"/>
      <c r="H331" s="6" t="n"/>
      <c r="I331" s="12">
        <f>IF($B331="","",IF(COUNTIF(Ventes_Factures!$A$6:$A$3005,$B331)&gt;0,"OK","INCONNUE"))</f>
        <v/>
      </c>
      <c r="J331" s="9">
        <f>IF($D331="","",ROUND($D331,2))</f>
        <v/>
      </c>
    </row>
    <row r="332">
      <c r="A332" s="6" t="n"/>
      <c r="B332" s="6" t="n"/>
      <c r="C332" s="7" t="n"/>
      <c r="D332" s="8" t="n"/>
      <c r="E332" s="6" t="n"/>
      <c r="F332" s="6" t="n"/>
      <c r="G332" s="6" t="n"/>
      <c r="H332" s="6" t="n"/>
      <c r="I332" s="12">
        <f>IF($B332="","",IF(COUNTIF(Ventes_Factures!$A$6:$A$3005,$B332)&gt;0,"OK","INCONNUE"))</f>
        <v/>
      </c>
      <c r="J332" s="9">
        <f>IF($D332="","",ROUND($D332,2))</f>
        <v/>
      </c>
    </row>
    <row r="333">
      <c r="A333" s="6" t="n"/>
      <c r="B333" s="6" t="n"/>
      <c r="C333" s="7" t="n"/>
      <c r="D333" s="8" t="n"/>
      <c r="E333" s="6" t="n"/>
      <c r="F333" s="6" t="n"/>
      <c r="G333" s="6" t="n"/>
      <c r="H333" s="6" t="n"/>
      <c r="I333" s="12">
        <f>IF($B333="","",IF(COUNTIF(Ventes_Factures!$A$6:$A$3005,$B333)&gt;0,"OK","INCONNUE"))</f>
        <v/>
      </c>
      <c r="J333" s="9">
        <f>IF($D333="","",ROUND($D333,2))</f>
        <v/>
      </c>
    </row>
    <row r="334">
      <c r="A334" s="6" t="n"/>
      <c r="B334" s="6" t="n"/>
      <c r="C334" s="7" t="n"/>
      <c r="D334" s="8" t="n"/>
      <c r="E334" s="6" t="n"/>
      <c r="F334" s="6" t="n"/>
      <c r="G334" s="6" t="n"/>
      <c r="H334" s="6" t="n"/>
      <c r="I334" s="12">
        <f>IF($B334="","",IF(COUNTIF(Ventes_Factures!$A$6:$A$3005,$B334)&gt;0,"OK","INCONNUE"))</f>
        <v/>
      </c>
      <c r="J334" s="9">
        <f>IF($D334="","",ROUND($D334,2))</f>
        <v/>
      </c>
    </row>
    <row r="335">
      <c r="A335" s="6" t="n"/>
      <c r="B335" s="6" t="n"/>
      <c r="C335" s="7" t="n"/>
      <c r="D335" s="8" t="n"/>
      <c r="E335" s="6" t="n"/>
      <c r="F335" s="6" t="n"/>
      <c r="G335" s="6" t="n"/>
      <c r="H335" s="6" t="n"/>
      <c r="I335" s="12">
        <f>IF($B335="","",IF(COUNTIF(Ventes_Factures!$A$6:$A$3005,$B335)&gt;0,"OK","INCONNUE"))</f>
        <v/>
      </c>
      <c r="J335" s="9">
        <f>IF($D335="","",ROUND($D335,2))</f>
        <v/>
      </c>
    </row>
    <row r="336">
      <c r="A336" s="6" t="n"/>
      <c r="B336" s="6" t="n"/>
      <c r="C336" s="7" t="n"/>
      <c r="D336" s="8" t="n"/>
      <c r="E336" s="6" t="n"/>
      <c r="F336" s="6" t="n"/>
      <c r="G336" s="6" t="n"/>
      <c r="H336" s="6" t="n"/>
      <c r="I336" s="12">
        <f>IF($B336="","",IF(COUNTIF(Ventes_Factures!$A$6:$A$3005,$B336)&gt;0,"OK","INCONNUE"))</f>
        <v/>
      </c>
      <c r="J336" s="9">
        <f>IF($D336="","",ROUND($D336,2))</f>
        <v/>
      </c>
    </row>
    <row r="337">
      <c r="A337" s="6" t="n"/>
      <c r="B337" s="6" t="n"/>
      <c r="C337" s="7" t="n"/>
      <c r="D337" s="8" t="n"/>
      <c r="E337" s="6" t="n"/>
      <c r="F337" s="6" t="n"/>
      <c r="G337" s="6" t="n"/>
      <c r="H337" s="6" t="n"/>
      <c r="I337" s="12">
        <f>IF($B337="","",IF(COUNTIF(Ventes_Factures!$A$6:$A$3005,$B337)&gt;0,"OK","INCONNUE"))</f>
        <v/>
      </c>
      <c r="J337" s="9">
        <f>IF($D337="","",ROUND($D337,2))</f>
        <v/>
      </c>
    </row>
    <row r="338">
      <c r="A338" s="6" t="n"/>
      <c r="B338" s="6" t="n"/>
      <c r="C338" s="7" t="n"/>
      <c r="D338" s="8" t="n"/>
      <c r="E338" s="6" t="n"/>
      <c r="F338" s="6" t="n"/>
      <c r="G338" s="6" t="n"/>
      <c r="H338" s="6" t="n"/>
      <c r="I338" s="12">
        <f>IF($B338="","",IF(COUNTIF(Ventes_Factures!$A$6:$A$3005,$B338)&gt;0,"OK","INCONNUE"))</f>
        <v/>
      </c>
      <c r="J338" s="9">
        <f>IF($D338="","",ROUND($D338,2))</f>
        <v/>
      </c>
    </row>
    <row r="339">
      <c r="A339" s="6" t="n"/>
      <c r="B339" s="6" t="n"/>
      <c r="C339" s="7" t="n"/>
      <c r="D339" s="8" t="n"/>
      <c r="E339" s="6" t="n"/>
      <c r="F339" s="6" t="n"/>
      <c r="G339" s="6" t="n"/>
      <c r="H339" s="6" t="n"/>
      <c r="I339" s="12">
        <f>IF($B339="","",IF(COUNTIF(Ventes_Factures!$A$6:$A$3005,$B339)&gt;0,"OK","INCONNUE"))</f>
        <v/>
      </c>
      <c r="J339" s="9">
        <f>IF($D339="","",ROUND($D339,2))</f>
        <v/>
      </c>
    </row>
    <row r="340">
      <c r="A340" s="6" t="n"/>
      <c r="B340" s="6" t="n"/>
      <c r="C340" s="7" t="n"/>
      <c r="D340" s="8" t="n"/>
      <c r="E340" s="6" t="n"/>
      <c r="F340" s="6" t="n"/>
      <c r="G340" s="6" t="n"/>
      <c r="H340" s="6" t="n"/>
      <c r="I340" s="12">
        <f>IF($B340="","",IF(COUNTIF(Ventes_Factures!$A$6:$A$3005,$B340)&gt;0,"OK","INCONNUE"))</f>
        <v/>
      </c>
      <c r="J340" s="9">
        <f>IF($D340="","",ROUND($D340,2))</f>
        <v/>
      </c>
    </row>
    <row r="341">
      <c r="A341" s="6" t="n"/>
      <c r="B341" s="6" t="n"/>
      <c r="C341" s="7" t="n"/>
      <c r="D341" s="8" t="n"/>
      <c r="E341" s="6" t="n"/>
      <c r="F341" s="6" t="n"/>
      <c r="G341" s="6" t="n"/>
      <c r="H341" s="6" t="n"/>
      <c r="I341" s="12">
        <f>IF($B341="","",IF(COUNTIF(Ventes_Factures!$A$6:$A$3005,$B341)&gt;0,"OK","INCONNUE"))</f>
        <v/>
      </c>
      <c r="J341" s="9">
        <f>IF($D341="","",ROUND($D341,2))</f>
        <v/>
      </c>
    </row>
    <row r="342">
      <c r="A342" s="6" t="n"/>
      <c r="B342" s="6" t="n"/>
      <c r="C342" s="7" t="n"/>
      <c r="D342" s="8" t="n"/>
      <c r="E342" s="6" t="n"/>
      <c r="F342" s="6" t="n"/>
      <c r="G342" s="6" t="n"/>
      <c r="H342" s="6" t="n"/>
      <c r="I342" s="12">
        <f>IF($B342="","",IF(COUNTIF(Ventes_Factures!$A$6:$A$3005,$B342)&gt;0,"OK","INCONNUE"))</f>
        <v/>
      </c>
      <c r="J342" s="9">
        <f>IF($D342="","",ROUND($D342,2))</f>
        <v/>
      </c>
    </row>
    <row r="343">
      <c r="A343" s="6" t="n"/>
      <c r="B343" s="6" t="n"/>
      <c r="C343" s="7" t="n"/>
      <c r="D343" s="8" t="n"/>
      <c r="E343" s="6" t="n"/>
      <c r="F343" s="6" t="n"/>
      <c r="G343" s="6" t="n"/>
      <c r="H343" s="6" t="n"/>
      <c r="I343" s="12">
        <f>IF($B343="","",IF(COUNTIF(Ventes_Factures!$A$6:$A$3005,$B343)&gt;0,"OK","INCONNUE"))</f>
        <v/>
      </c>
      <c r="J343" s="9">
        <f>IF($D343="","",ROUND($D343,2))</f>
        <v/>
      </c>
    </row>
    <row r="344">
      <c r="A344" s="6" t="n"/>
      <c r="B344" s="6" t="n"/>
      <c r="C344" s="7" t="n"/>
      <c r="D344" s="8" t="n"/>
      <c r="E344" s="6" t="n"/>
      <c r="F344" s="6" t="n"/>
      <c r="G344" s="6" t="n"/>
      <c r="H344" s="6" t="n"/>
      <c r="I344" s="12">
        <f>IF($B344="","",IF(COUNTIF(Ventes_Factures!$A$6:$A$3005,$B344)&gt;0,"OK","INCONNUE"))</f>
        <v/>
      </c>
      <c r="J344" s="9">
        <f>IF($D344="","",ROUND($D344,2))</f>
        <v/>
      </c>
    </row>
    <row r="345">
      <c r="A345" s="6" t="n"/>
      <c r="B345" s="6" t="n"/>
      <c r="C345" s="7" t="n"/>
      <c r="D345" s="8" t="n"/>
      <c r="E345" s="6" t="n"/>
      <c r="F345" s="6" t="n"/>
      <c r="G345" s="6" t="n"/>
      <c r="H345" s="6" t="n"/>
      <c r="I345" s="12">
        <f>IF($B345="","",IF(COUNTIF(Ventes_Factures!$A$6:$A$3005,$B345)&gt;0,"OK","INCONNUE"))</f>
        <v/>
      </c>
      <c r="J345" s="9">
        <f>IF($D345="","",ROUND($D345,2))</f>
        <v/>
      </c>
    </row>
    <row r="346">
      <c r="A346" s="6" t="n"/>
      <c r="B346" s="6" t="n"/>
      <c r="C346" s="7" t="n"/>
      <c r="D346" s="8" t="n"/>
      <c r="E346" s="6" t="n"/>
      <c r="F346" s="6" t="n"/>
      <c r="G346" s="6" t="n"/>
      <c r="H346" s="6" t="n"/>
      <c r="I346" s="12">
        <f>IF($B346="","",IF(COUNTIF(Ventes_Factures!$A$6:$A$3005,$B346)&gt;0,"OK","INCONNUE"))</f>
        <v/>
      </c>
      <c r="J346" s="9">
        <f>IF($D346="","",ROUND($D346,2))</f>
        <v/>
      </c>
    </row>
    <row r="347">
      <c r="A347" s="6" t="n"/>
      <c r="B347" s="6" t="n"/>
      <c r="C347" s="7" t="n"/>
      <c r="D347" s="8" t="n"/>
      <c r="E347" s="6" t="n"/>
      <c r="F347" s="6" t="n"/>
      <c r="G347" s="6" t="n"/>
      <c r="H347" s="6" t="n"/>
      <c r="I347" s="12">
        <f>IF($B347="","",IF(COUNTIF(Ventes_Factures!$A$6:$A$3005,$B347)&gt;0,"OK","INCONNUE"))</f>
        <v/>
      </c>
      <c r="J347" s="9">
        <f>IF($D347="","",ROUND($D347,2))</f>
        <v/>
      </c>
    </row>
    <row r="348">
      <c r="A348" s="6" t="n"/>
      <c r="B348" s="6" t="n"/>
      <c r="C348" s="7" t="n"/>
      <c r="D348" s="8" t="n"/>
      <c r="E348" s="6" t="n"/>
      <c r="F348" s="6" t="n"/>
      <c r="G348" s="6" t="n"/>
      <c r="H348" s="6" t="n"/>
      <c r="I348" s="12">
        <f>IF($B348="","",IF(COUNTIF(Ventes_Factures!$A$6:$A$3005,$B348)&gt;0,"OK","INCONNUE"))</f>
        <v/>
      </c>
      <c r="J348" s="9">
        <f>IF($D348="","",ROUND($D348,2))</f>
        <v/>
      </c>
    </row>
    <row r="349">
      <c r="A349" s="6" t="n"/>
      <c r="B349" s="6" t="n"/>
      <c r="C349" s="7" t="n"/>
      <c r="D349" s="8" t="n"/>
      <c r="E349" s="6" t="n"/>
      <c r="F349" s="6" t="n"/>
      <c r="G349" s="6" t="n"/>
      <c r="H349" s="6" t="n"/>
      <c r="I349" s="12">
        <f>IF($B349="","",IF(COUNTIF(Ventes_Factures!$A$6:$A$3005,$B349)&gt;0,"OK","INCONNUE"))</f>
        <v/>
      </c>
      <c r="J349" s="9">
        <f>IF($D349="","",ROUND($D349,2))</f>
        <v/>
      </c>
    </row>
    <row r="350">
      <c r="A350" s="6" t="n"/>
      <c r="B350" s="6" t="n"/>
      <c r="C350" s="7" t="n"/>
      <c r="D350" s="8" t="n"/>
      <c r="E350" s="6" t="n"/>
      <c r="F350" s="6" t="n"/>
      <c r="G350" s="6" t="n"/>
      <c r="H350" s="6" t="n"/>
      <c r="I350" s="12">
        <f>IF($B350="","",IF(COUNTIF(Ventes_Factures!$A$6:$A$3005,$B350)&gt;0,"OK","INCONNUE"))</f>
        <v/>
      </c>
      <c r="J350" s="9">
        <f>IF($D350="","",ROUND($D350,2))</f>
        <v/>
      </c>
    </row>
    <row r="351">
      <c r="A351" s="6" t="n"/>
      <c r="B351" s="6" t="n"/>
      <c r="C351" s="7" t="n"/>
      <c r="D351" s="8" t="n"/>
      <c r="E351" s="6" t="n"/>
      <c r="F351" s="6" t="n"/>
      <c r="G351" s="6" t="n"/>
      <c r="H351" s="6" t="n"/>
      <c r="I351" s="12">
        <f>IF($B351="","",IF(COUNTIF(Ventes_Factures!$A$6:$A$3005,$B351)&gt;0,"OK","INCONNUE"))</f>
        <v/>
      </c>
      <c r="J351" s="9">
        <f>IF($D351="","",ROUND($D351,2))</f>
        <v/>
      </c>
    </row>
    <row r="352">
      <c r="A352" s="6" t="n"/>
      <c r="B352" s="6" t="n"/>
      <c r="C352" s="7" t="n"/>
      <c r="D352" s="8" t="n"/>
      <c r="E352" s="6" t="n"/>
      <c r="F352" s="6" t="n"/>
      <c r="G352" s="6" t="n"/>
      <c r="H352" s="6" t="n"/>
      <c r="I352" s="12">
        <f>IF($B352="","",IF(COUNTIF(Ventes_Factures!$A$6:$A$3005,$B352)&gt;0,"OK","INCONNUE"))</f>
        <v/>
      </c>
      <c r="J352" s="9">
        <f>IF($D352="","",ROUND($D352,2))</f>
        <v/>
      </c>
    </row>
    <row r="353">
      <c r="A353" s="6" t="n"/>
      <c r="B353" s="6" t="n"/>
      <c r="C353" s="7" t="n"/>
      <c r="D353" s="8" t="n"/>
      <c r="E353" s="6" t="n"/>
      <c r="F353" s="6" t="n"/>
      <c r="G353" s="6" t="n"/>
      <c r="H353" s="6" t="n"/>
      <c r="I353" s="12">
        <f>IF($B353="","",IF(COUNTIF(Ventes_Factures!$A$6:$A$3005,$B353)&gt;0,"OK","INCONNUE"))</f>
        <v/>
      </c>
      <c r="J353" s="9">
        <f>IF($D353="","",ROUND($D353,2))</f>
        <v/>
      </c>
    </row>
    <row r="354">
      <c r="A354" s="6" t="n"/>
      <c r="B354" s="6" t="n"/>
      <c r="C354" s="7" t="n"/>
      <c r="D354" s="8" t="n"/>
      <c r="E354" s="6" t="n"/>
      <c r="F354" s="6" t="n"/>
      <c r="G354" s="6" t="n"/>
      <c r="H354" s="6" t="n"/>
      <c r="I354" s="12">
        <f>IF($B354="","",IF(COUNTIF(Ventes_Factures!$A$6:$A$3005,$B354)&gt;0,"OK","INCONNUE"))</f>
        <v/>
      </c>
      <c r="J354" s="9">
        <f>IF($D354="","",ROUND($D354,2))</f>
        <v/>
      </c>
    </row>
    <row r="355">
      <c r="A355" s="6" t="n"/>
      <c r="B355" s="6" t="n"/>
      <c r="C355" s="7" t="n"/>
      <c r="D355" s="8" t="n"/>
      <c r="E355" s="6" t="n"/>
      <c r="F355" s="6" t="n"/>
      <c r="G355" s="6" t="n"/>
      <c r="H355" s="6" t="n"/>
      <c r="I355" s="12">
        <f>IF($B355="","",IF(COUNTIF(Ventes_Factures!$A$6:$A$3005,$B355)&gt;0,"OK","INCONNUE"))</f>
        <v/>
      </c>
      <c r="J355" s="9">
        <f>IF($D355="","",ROUND($D355,2))</f>
        <v/>
      </c>
    </row>
    <row r="356">
      <c r="A356" s="6" t="n"/>
      <c r="B356" s="6" t="n"/>
      <c r="C356" s="7" t="n"/>
      <c r="D356" s="8" t="n"/>
      <c r="E356" s="6" t="n"/>
      <c r="F356" s="6" t="n"/>
      <c r="G356" s="6" t="n"/>
      <c r="H356" s="6" t="n"/>
      <c r="I356" s="12">
        <f>IF($B356="","",IF(COUNTIF(Ventes_Factures!$A$6:$A$3005,$B356)&gt;0,"OK","INCONNUE"))</f>
        <v/>
      </c>
      <c r="J356" s="9">
        <f>IF($D356="","",ROUND($D356,2))</f>
        <v/>
      </c>
    </row>
    <row r="357">
      <c r="A357" s="6" t="n"/>
      <c r="B357" s="6" t="n"/>
      <c r="C357" s="7" t="n"/>
      <c r="D357" s="8" t="n"/>
      <c r="E357" s="6" t="n"/>
      <c r="F357" s="6" t="n"/>
      <c r="G357" s="6" t="n"/>
      <c r="H357" s="6" t="n"/>
      <c r="I357" s="12">
        <f>IF($B357="","",IF(COUNTIF(Ventes_Factures!$A$6:$A$3005,$B357)&gt;0,"OK","INCONNUE"))</f>
        <v/>
      </c>
      <c r="J357" s="9">
        <f>IF($D357="","",ROUND($D357,2))</f>
        <v/>
      </c>
    </row>
    <row r="358">
      <c r="A358" s="6" t="n"/>
      <c r="B358" s="6" t="n"/>
      <c r="C358" s="7" t="n"/>
      <c r="D358" s="8" t="n"/>
      <c r="E358" s="6" t="n"/>
      <c r="F358" s="6" t="n"/>
      <c r="G358" s="6" t="n"/>
      <c r="H358" s="6" t="n"/>
      <c r="I358" s="12">
        <f>IF($B358="","",IF(COUNTIF(Ventes_Factures!$A$6:$A$3005,$B358)&gt;0,"OK","INCONNUE"))</f>
        <v/>
      </c>
      <c r="J358" s="9">
        <f>IF($D358="","",ROUND($D358,2))</f>
        <v/>
      </c>
    </row>
    <row r="359">
      <c r="A359" s="6" t="n"/>
      <c r="B359" s="6" t="n"/>
      <c r="C359" s="7" t="n"/>
      <c r="D359" s="8" t="n"/>
      <c r="E359" s="6" t="n"/>
      <c r="F359" s="6" t="n"/>
      <c r="G359" s="6" t="n"/>
      <c r="H359" s="6" t="n"/>
      <c r="I359" s="12">
        <f>IF($B359="","",IF(COUNTIF(Ventes_Factures!$A$6:$A$3005,$B359)&gt;0,"OK","INCONNUE"))</f>
        <v/>
      </c>
      <c r="J359" s="9">
        <f>IF($D359="","",ROUND($D359,2))</f>
        <v/>
      </c>
    </row>
    <row r="360">
      <c r="A360" s="6" t="n"/>
      <c r="B360" s="6" t="n"/>
      <c r="C360" s="7" t="n"/>
      <c r="D360" s="8" t="n"/>
      <c r="E360" s="6" t="n"/>
      <c r="F360" s="6" t="n"/>
      <c r="G360" s="6" t="n"/>
      <c r="H360" s="6" t="n"/>
      <c r="I360" s="12">
        <f>IF($B360="","",IF(COUNTIF(Ventes_Factures!$A$6:$A$3005,$B360)&gt;0,"OK","INCONNUE"))</f>
        <v/>
      </c>
      <c r="J360" s="9">
        <f>IF($D360="","",ROUND($D360,2))</f>
        <v/>
      </c>
    </row>
    <row r="361">
      <c r="A361" s="6" t="n"/>
      <c r="B361" s="6" t="n"/>
      <c r="C361" s="7" t="n"/>
      <c r="D361" s="8" t="n"/>
      <c r="E361" s="6" t="n"/>
      <c r="F361" s="6" t="n"/>
      <c r="G361" s="6" t="n"/>
      <c r="H361" s="6" t="n"/>
      <c r="I361" s="12">
        <f>IF($B361="","",IF(COUNTIF(Ventes_Factures!$A$6:$A$3005,$B361)&gt;0,"OK","INCONNUE"))</f>
        <v/>
      </c>
      <c r="J361" s="9">
        <f>IF($D361="","",ROUND($D361,2))</f>
        <v/>
      </c>
    </row>
    <row r="362">
      <c r="A362" s="6" t="n"/>
      <c r="B362" s="6" t="n"/>
      <c r="C362" s="7" t="n"/>
      <c r="D362" s="8" t="n"/>
      <c r="E362" s="6" t="n"/>
      <c r="F362" s="6" t="n"/>
      <c r="G362" s="6" t="n"/>
      <c r="H362" s="6" t="n"/>
      <c r="I362" s="12">
        <f>IF($B362="","",IF(COUNTIF(Ventes_Factures!$A$6:$A$3005,$B362)&gt;0,"OK","INCONNUE"))</f>
        <v/>
      </c>
      <c r="J362" s="9">
        <f>IF($D362="","",ROUND($D362,2))</f>
        <v/>
      </c>
    </row>
    <row r="363">
      <c r="A363" s="6" t="n"/>
      <c r="B363" s="6" t="n"/>
      <c r="C363" s="7" t="n"/>
      <c r="D363" s="8" t="n"/>
      <c r="E363" s="6" t="n"/>
      <c r="F363" s="6" t="n"/>
      <c r="G363" s="6" t="n"/>
      <c r="H363" s="6" t="n"/>
      <c r="I363" s="12">
        <f>IF($B363="","",IF(COUNTIF(Ventes_Factures!$A$6:$A$3005,$B363)&gt;0,"OK","INCONNUE"))</f>
        <v/>
      </c>
      <c r="J363" s="9">
        <f>IF($D363="","",ROUND($D363,2))</f>
        <v/>
      </c>
    </row>
    <row r="364">
      <c r="A364" s="6" t="n"/>
      <c r="B364" s="6" t="n"/>
      <c r="C364" s="7" t="n"/>
      <c r="D364" s="8" t="n"/>
      <c r="E364" s="6" t="n"/>
      <c r="F364" s="6" t="n"/>
      <c r="G364" s="6" t="n"/>
      <c r="H364" s="6" t="n"/>
      <c r="I364" s="12">
        <f>IF($B364="","",IF(COUNTIF(Ventes_Factures!$A$6:$A$3005,$B364)&gt;0,"OK","INCONNUE"))</f>
        <v/>
      </c>
      <c r="J364" s="9">
        <f>IF($D364="","",ROUND($D364,2))</f>
        <v/>
      </c>
    </row>
    <row r="365">
      <c r="A365" s="6" t="n"/>
      <c r="B365" s="6" t="n"/>
      <c r="C365" s="7" t="n"/>
      <c r="D365" s="8" t="n"/>
      <c r="E365" s="6" t="n"/>
      <c r="F365" s="6" t="n"/>
      <c r="G365" s="6" t="n"/>
      <c r="H365" s="6" t="n"/>
      <c r="I365" s="12">
        <f>IF($B365="","",IF(COUNTIF(Ventes_Factures!$A$6:$A$3005,$B365)&gt;0,"OK","INCONNUE"))</f>
        <v/>
      </c>
      <c r="J365" s="9">
        <f>IF($D365="","",ROUND($D365,2))</f>
        <v/>
      </c>
    </row>
    <row r="366">
      <c r="A366" s="6" t="n"/>
      <c r="B366" s="6" t="n"/>
      <c r="C366" s="7" t="n"/>
      <c r="D366" s="8" t="n"/>
      <c r="E366" s="6" t="n"/>
      <c r="F366" s="6" t="n"/>
      <c r="G366" s="6" t="n"/>
      <c r="H366" s="6" t="n"/>
      <c r="I366" s="12">
        <f>IF($B366="","",IF(COUNTIF(Ventes_Factures!$A$6:$A$3005,$B366)&gt;0,"OK","INCONNUE"))</f>
        <v/>
      </c>
      <c r="J366" s="9">
        <f>IF($D366="","",ROUND($D366,2))</f>
        <v/>
      </c>
    </row>
    <row r="367">
      <c r="A367" s="6" t="n"/>
      <c r="B367" s="6" t="n"/>
      <c r="C367" s="7" t="n"/>
      <c r="D367" s="8" t="n"/>
      <c r="E367" s="6" t="n"/>
      <c r="F367" s="6" t="n"/>
      <c r="G367" s="6" t="n"/>
      <c r="H367" s="6" t="n"/>
      <c r="I367" s="12">
        <f>IF($B367="","",IF(COUNTIF(Ventes_Factures!$A$6:$A$3005,$B367)&gt;0,"OK","INCONNUE"))</f>
        <v/>
      </c>
      <c r="J367" s="9">
        <f>IF($D367="","",ROUND($D367,2))</f>
        <v/>
      </c>
    </row>
    <row r="368">
      <c r="A368" s="6" t="n"/>
      <c r="B368" s="6" t="n"/>
      <c r="C368" s="7" t="n"/>
      <c r="D368" s="8" t="n"/>
      <c r="E368" s="6" t="n"/>
      <c r="F368" s="6" t="n"/>
      <c r="G368" s="6" t="n"/>
      <c r="H368" s="6" t="n"/>
      <c r="I368" s="12">
        <f>IF($B368="","",IF(COUNTIF(Ventes_Factures!$A$6:$A$3005,$B368)&gt;0,"OK","INCONNUE"))</f>
        <v/>
      </c>
      <c r="J368" s="9">
        <f>IF($D368="","",ROUND($D368,2))</f>
        <v/>
      </c>
    </row>
    <row r="369">
      <c r="A369" s="6" t="n"/>
      <c r="B369" s="6" t="n"/>
      <c r="C369" s="7" t="n"/>
      <c r="D369" s="8" t="n"/>
      <c r="E369" s="6" t="n"/>
      <c r="F369" s="6" t="n"/>
      <c r="G369" s="6" t="n"/>
      <c r="H369" s="6" t="n"/>
      <c r="I369" s="12">
        <f>IF($B369="","",IF(COUNTIF(Ventes_Factures!$A$6:$A$3005,$B369)&gt;0,"OK","INCONNUE"))</f>
        <v/>
      </c>
      <c r="J369" s="9">
        <f>IF($D369="","",ROUND($D369,2))</f>
        <v/>
      </c>
    </row>
    <row r="370">
      <c r="A370" s="6" t="n"/>
      <c r="B370" s="6" t="n"/>
      <c r="C370" s="7" t="n"/>
      <c r="D370" s="8" t="n"/>
      <c r="E370" s="6" t="n"/>
      <c r="F370" s="6" t="n"/>
      <c r="G370" s="6" t="n"/>
      <c r="H370" s="6" t="n"/>
      <c r="I370" s="12">
        <f>IF($B370="","",IF(COUNTIF(Ventes_Factures!$A$6:$A$3005,$B370)&gt;0,"OK","INCONNUE"))</f>
        <v/>
      </c>
      <c r="J370" s="9">
        <f>IF($D370="","",ROUND($D370,2))</f>
        <v/>
      </c>
    </row>
    <row r="371">
      <c r="A371" s="6" t="n"/>
      <c r="B371" s="6" t="n"/>
      <c r="C371" s="7" t="n"/>
      <c r="D371" s="8" t="n"/>
      <c r="E371" s="6" t="n"/>
      <c r="F371" s="6" t="n"/>
      <c r="G371" s="6" t="n"/>
      <c r="H371" s="6" t="n"/>
      <c r="I371" s="12">
        <f>IF($B371="","",IF(COUNTIF(Ventes_Factures!$A$6:$A$3005,$B371)&gt;0,"OK","INCONNUE"))</f>
        <v/>
      </c>
      <c r="J371" s="9">
        <f>IF($D371="","",ROUND($D371,2))</f>
        <v/>
      </c>
    </row>
    <row r="372">
      <c r="A372" s="6" t="n"/>
      <c r="B372" s="6" t="n"/>
      <c r="C372" s="7" t="n"/>
      <c r="D372" s="8" t="n"/>
      <c r="E372" s="6" t="n"/>
      <c r="F372" s="6" t="n"/>
      <c r="G372" s="6" t="n"/>
      <c r="H372" s="6" t="n"/>
      <c r="I372" s="12">
        <f>IF($B372="","",IF(COUNTIF(Ventes_Factures!$A$6:$A$3005,$B372)&gt;0,"OK","INCONNUE"))</f>
        <v/>
      </c>
      <c r="J372" s="9">
        <f>IF($D372="","",ROUND($D372,2))</f>
        <v/>
      </c>
    </row>
    <row r="373">
      <c r="A373" s="6" t="n"/>
      <c r="B373" s="6" t="n"/>
      <c r="C373" s="7" t="n"/>
      <c r="D373" s="8" t="n"/>
      <c r="E373" s="6" t="n"/>
      <c r="F373" s="6" t="n"/>
      <c r="G373" s="6" t="n"/>
      <c r="H373" s="6" t="n"/>
      <c r="I373" s="12">
        <f>IF($B373="","",IF(COUNTIF(Ventes_Factures!$A$6:$A$3005,$B373)&gt;0,"OK","INCONNUE"))</f>
        <v/>
      </c>
      <c r="J373" s="9">
        <f>IF($D373="","",ROUND($D373,2))</f>
        <v/>
      </c>
    </row>
    <row r="374">
      <c r="A374" s="6" t="n"/>
      <c r="B374" s="6" t="n"/>
      <c r="C374" s="7" t="n"/>
      <c r="D374" s="8" t="n"/>
      <c r="E374" s="6" t="n"/>
      <c r="F374" s="6" t="n"/>
      <c r="G374" s="6" t="n"/>
      <c r="H374" s="6" t="n"/>
      <c r="I374" s="12">
        <f>IF($B374="","",IF(COUNTIF(Ventes_Factures!$A$6:$A$3005,$B374)&gt;0,"OK","INCONNUE"))</f>
        <v/>
      </c>
      <c r="J374" s="9">
        <f>IF($D374="","",ROUND($D374,2))</f>
        <v/>
      </c>
    </row>
    <row r="375">
      <c r="A375" s="6" t="n"/>
      <c r="B375" s="6" t="n"/>
      <c r="C375" s="7" t="n"/>
      <c r="D375" s="8" t="n"/>
      <c r="E375" s="6" t="n"/>
      <c r="F375" s="6" t="n"/>
      <c r="G375" s="6" t="n"/>
      <c r="H375" s="6" t="n"/>
      <c r="I375" s="12">
        <f>IF($B375="","",IF(COUNTIF(Ventes_Factures!$A$6:$A$3005,$B375)&gt;0,"OK","INCONNUE"))</f>
        <v/>
      </c>
      <c r="J375" s="9">
        <f>IF($D375="","",ROUND($D375,2))</f>
        <v/>
      </c>
    </row>
    <row r="376">
      <c r="A376" s="6" t="n"/>
      <c r="B376" s="6" t="n"/>
      <c r="C376" s="7" t="n"/>
      <c r="D376" s="8" t="n"/>
      <c r="E376" s="6" t="n"/>
      <c r="F376" s="6" t="n"/>
      <c r="G376" s="6" t="n"/>
      <c r="H376" s="6" t="n"/>
      <c r="I376" s="12">
        <f>IF($B376="","",IF(COUNTIF(Ventes_Factures!$A$6:$A$3005,$B376)&gt;0,"OK","INCONNUE"))</f>
        <v/>
      </c>
      <c r="J376" s="9">
        <f>IF($D376="","",ROUND($D376,2))</f>
        <v/>
      </c>
    </row>
    <row r="377">
      <c r="A377" s="6" t="n"/>
      <c r="B377" s="6" t="n"/>
      <c r="C377" s="7" t="n"/>
      <c r="D377" s="8" t="n"/>
      <c r="E377" s="6" t="n"/>
      <c r="F377" s="6" t="n"/>
      <c r="G377" s="6" t="n"/>
      <c r="H377" s="6" t="n"/>
      <c r="I377" s="12">
        <f>IF($B377="","",IF(COUNTIF(Ventes_Factures!$A$6:$A$3005,$B377)&gt;0,"OK","INCONNUE"))</f>
        <v/>
      </c>
      <c r="J377" s="9">
        <f>IF($D377="","",ROUND($D377,2))</f>
        <v/>
      </c>
    </row>
    <row r="378">
      <c r="A378" s="6" t="n"/>
      <c r="B378" s="6" t="n"/>
      <c r="C378" s="7" t="n"/>
      <c r="D378" s="8" t="n"/>
      <c r="E378" s="6" t="n"/>
      <c r="F378" s="6" t="n"/>
      <c r="G378" s="6" t="n"/>
      <c r="H378" s="6" t="n"/>
      <c r="I378" s="12">
        <f>IF($B378="","",IF(COUNTIF(Ventes_Factures!$A$6:$A$3005,$B378)&gt;0,"OK","INCONNUE"))</f>
        <v/>
      </c>
      <c r="J378" s="9">
        <f>IF($D378="","",ROUND($D378,2))</f>
        <v/>
      </c>
    </row>
    <row r="379">
      <c r="A379" s="6" t="n"/>
      <c r="B379" s="6" t="n"/>
      <c r="C379" s="7" t="n"/>
      <c r="D379" s="8" t="n"/>
      <c r="E379" s="6" t="n"/>
      <c r="F379" s="6" t="n"/>
      <c r="G379" s="6" t="n"/>
      <c r="H379" s="6" t="n"/>
      <c r="I379" s="12">
        <f>IF($B379="","",IF(COUNTIF(Ventes_Factures!$A$6:$A$3005,$B379)&gt;0,"OK","INCONNUE"))</f>
        <v/>
      </c>
      <c r="J379" s="9">
        <f>IF($D379="","",ROUND($D379,2))</f>
        <v/>
      </c>
    </row>
    <row r="380">
      <c r="A380" s="6" t="n"/>
      <c r="B380" s="6" t="n"/>
      <c r="C380" s="7" t="n"/>
      <c r="D380" s="8" t="n"/>
      <c r="E380" s="6" t="n"/>
      <c r="F380" s="6" t="n"/>
      <c r="G380" s="6" t="n"/>
      <c r="H380" s="6" t="n"/>
      <c r="I380" s="12">
        <f>IF($B380="","",IF(COUNTIF(Ventes_Factures!$A$6:$A$3005,$B380)&gt;0,"OK","INCONNUE"))</f>
        <v/>
      </c>
      <c r="J380" s="9">
        <f>IF($D380="","",ROUND($D380,2))</f>
        <v/>
      </c>
    </row>
    <row r="381">
      <c r="A381" s="6" t="n"/>
      <c r="B381" s="6" t="n"/>
      <c r="C381" s="7" t="n"/>
      <c r="D381" s="8" t="n"/>
      <c r="E381" s="6" t="n"/>
      <c r="F381" s="6" t="n"/>
      <c r="G381" s="6" t="n"/>
      <c r="H381" s="6" t="n"/>
      <c r="I381" s="12">
        <f>IF($B381="","",IF(COUNTIF(Ventes_Factures!$A$6:$A$3005,$B381)&gt;0,"OK","INCONNUE"))</f>
        <v/>
      </c>
      <c r="J381" s="9">
        <f>IF($D381="","",ROUND($D381,2))</f>
        <v/>
      </c>
    </row>
    <row r="382">
      <c r="A382" s="6" t="n"/>
      <c r="B382" s="6" t="n"/>
      <c r="C382" s="7" t="n"/>
      <c r="D382" s="8" t="n"/>
      <c r="E382" s="6" t="n"/>
      <c r="F382" s="6" t="n"/>
      <c r="G382" s="6" t="n"/>
      <c r="H382" s="6" t="n"/>
      <c r="I382" s="12">
        <f>IF($B382="","",IF(COUNTIF(Ventes_Factures!$A$6:$A$3005,$B382)&gt;0,"OK","INCONNUE"))</f>
        <v/>
      </c>
      <c r="J382" s="9">
        <f>IF($D382="","",ROUND($D382,2))</f>
        <v/>
      </c>
    </row>
    <row r="383">
      <c r="A383" s="6" t="n"/>
      <c r="B383" s="6" t="n"/>
      <c r="C383" s="7" t="n"/>
      <c r="D383" s="8" t="n"/>
      <c r="E383" s="6" t="n"/>
      <c r="F383" s="6" t="n"/>
      <c r="G383" s="6" t="n"/>
      <c r="H383" s="6" t="n"/>
      <c r="I383" s="12">
        <f>IF($B383="","",IF(COUNTIF(Ventes_Factures!$A$6:$A$3005,$B383)&gt;0,"OK","INCONNUE"))</f>
        <v/>
      </c>
      <c r="J383" s="9">
        <f>IF($D383="","",ROUND($D383,2))</f>
        <v/>
      </c>
    </row>
    <row r="384">
      <c r="A384" s="6" t="n"/>
      <c r="B384" s="6" t="n"/>
      <c r="C384" s="7" t="n"/>
      <c r="D384" s="8" t="n"/>
      <c r="E384" s="6" t="n"/>
      <c r="F384" s="6" t="n"/>
      <c r="G384" s="6" t="n"/>
      <c r="H384" s="6" t="n"/>
      <c r="I384" s="12">
        <f>IF($B384="","",IF(COUNTIF(Ventes_Factures!$A$6:$A$3005,$B384)&gt;0,"OK","INCONNUE"))</f>
        <v/>
      </c>
      <c r="J384" s="9">
        <f>IF($D384="","",ROUND($D384,2))</f>
        <v/>
      </c>
    </row>
    <row r="385">
      <c r="A385" s="6" t="n"/>
      <c r="B385" s="6" t="n"/>
      <c r="C385" s="7" t="n"/>
      <c r="D385" s="8" t="n"/>
      <c r="E385" s="6" t="n"/>
      <c r="F385" s="6" t="n"/>
      <c r="G385" s="6" t="n"/>
      <c r="H385" s="6" t="n"/>
      <c r="I385" s="12">
        <f>IF($B385="","",IF(COUNTIF(Ventes_Factures!$A$6:$A$3005,$B385)&gt;0,"OK","INCONNUE"))</f>
        <v/>
      </c>
      <c r="J385" s="9">
        <f>IF($D385="","",ROUND($D385,2))</f>
        <v/>
      </c>
    </row>
    <row r="386">
      <c r="A386" s="6" t="n"/>
      <c r="B386" s="6" t="n"/>
      <c r="C386" s="7" t="n"/>
      <c r="D386" s="8" t="n"/>
      <c r="E386" s="6" t="n"/>
      <c r="F386" s="6" t="n"/>
      <c r="G386" s="6" t="n"/>
      <c r="H386" s="6" t="n"/>
      <c r="I386" s="12">
        <f>IF($B386="","",IF(COUNTIF(Ventes_Factures!$A$6:$A$3005,$B386)&gt;0,"OK","INCONNUE"))</f>
        <v/>
      </c>
      <c r="J386" s="9">
        <f>IF($D386="","",ROUND($D386,2))</f>
        <v/>
      </c>
    </row>
    <row r="387">
      <c r="A387" s="6" t="n"/>
      <c r="B387" s="6" t="n"/>
      <c r="C387" s="7" t="n"/>
      <c r="D387" s="8" t="n"/>
      <c r="E387" s="6" t="n"/>
      <c r="F387" s="6" t="n"/>
      <c r="G387" s="6" t="n"/>
      <c r="H387" s="6" t="n"/>
      <c r="I387" s="12">
        <f>IF($B387="","",IF(COUNTIF(Ventes_Factures!$A$6:$A$3005,$B387)&gt;0,"OK","INCONNUE"))</f>
        <v/>
      </c>
      <c r="J387" s="9">
        <f>IF($D387="","",ROUND($D387,2))</f>
        <v/>
      </c>
    </row>
    <row r="388">
      <c r="A388" s="6" t="n"/>
      <c r="B388" s="6" t="n"/>
      <c r="C388" s="7" t="n"/>
      <c r="D388" s="8" t="n"/>
      <c r="E388" s="6" t="n"/>
      <c r="F388" s="6" t="n"/>
      <c r="G388" s="6" t="n"/>
      <c r="H388" s="6" t="n"/>
      <c r="I388" s="12">
        <f>IF($B388="","",IF(COUNTIF(Ventes_Factures!$A$6:$A$3005,$B388)&gt;0,"OK","INCONNUE"))</f>
        <v/>
      </c>
      <c r="J388" s="9">
        <f>IF($D388="","",ROUND($D388,2))</f>
        <v/>
      </c>
    </row>
    <row r="389">
      <c r="A389" s="6" t="n"/>
      <c r="B389" s="6" t="n"/>
      <c r="C389" s="7" t="n"/>
      <c r="D389" s="8" t="n"/>
      <c r="E389" s="6" t="n"/>
      <c r="F389" s="6" t="n"/>
      <c r="G389" s="6" t="n"/>
      <c r="H389" s="6" t="n"/>
      <c r="I389" s="12">
        <f>IF($B389="","",IF(COUNTIF(Ventes_Factures!$A$6:$A$3005,$B389)&gt;0,"OK","INCONNUE"))</f>
        <v/>
      </c>
      <c r="J389" s="9">
        <f>IF($D389="","",ROUND($D389,2))</f>
        <v/>
      </c>
    </row>
    <row r="390">
      <c r="A390" s="6" t="n"/>
      <c r="B390" s="6" t="n"/>
      <c r="C390" s="7" t="n"/>
      <c r="D390" s="8" t="n"/>
      <c r="E390" s="6" t="n"/>
      <c r="F390" s="6" t="n"/>
      <c r="G390" s="6" t="n"/>
      <c r="H390" s="6" t="n"/>
      <c r="I390" s="12">
        <f>IF($B390="","",IF(COUNTIF(Ventes_Factures!$A$6:$A$3005,$B390)&gt;0,"OK","INCONNUE"))</f>
        <v/>
      </c>
      <c r="J390" s="9">
        <f>IF($D390="","",ROUND($D390,2))</f>
        <v/>
      </c>
    </row>
    <row r="391">
      <c r="A391" s="6" t="n"/>
      <c r="B391" s="6" t="n"/>
      <c r="C391" s="7" t="n"/>
      <c r="D391" s="8" t="n"/>
      <c r="E391" s="6" t="n"/>
      <c r="F391" s="6" t="n"/>
      <c r="G391" s="6" t="n"/>
      <c r="H391" s="6" t="n"/>
      <c r="I391" s="12">
        <f>IF($B391="","",IF(COUNTIF(Ventes_Factures!$A$6:$A$3005,$B391)&gt;0,"OK","INCONNUE"))</f>
        <v/>
      </c>
      <c r="J391" s="9">
        <f>IF($D391="","",ROUND($D391,2))</f>
        <v/>
      </c>
    </row>
    <row r="392">
      <c r="A392" s="6" t="n"/>
      <c r="B392" s="6" t="n"/>
      <c r="C392" s="7" t="n"/>
      <c r="D392" s="8" t="n"/>
      <c r="E392" s="6" t="n"/>
      <c r="F392" s="6" t="n"/>
      <c r="G392" s="6" t="n"/>
      <c r="H392" s="6" t="n"/>
      <c r="I392" s="12">
        <f>IF($B392="","",IF(COUNTIF(Ventes_Factures!$A$6:$A$3005,$B392)&gt;0,"OK","INCONNUE"))</f>
        <v/>
      </c>
      <c r="J392" s="9">
        <f>IF($D392="","",ROUND($D392,2))</f>
        <v/>
      </c>
    </row>
    <row r="393">
      <c r="A393" s="6" t="n"/>
      <c r="B393" s="6" t="n"/>
      <c r="C393" s="7" t="n"/>
      <c r="D393" s="8" t="n"/>
      <c r="E393" s="6" t="n"/>
      <c r="F393" s="6" t="n"/>
      <c r="G393" s="6" t="n"/>
      <c r="H393" s="6" t="n"/>
      <c r="I393" s="12">
        <f>IF($B393="","",IF(COUNTIF(Ventes_Factures!$A$6:$A$3005,$B393)&gt;0,"OK","INCONNUE"))</f>
        <v/>
      </c>
      <c r="J393" s="9">
        <f>IF($D393="","",ROUND($D393,2))</f>
        <v/>
      </c>
    </row>
    <row r="394">
      <c r="A394" s="6" t="n"/>
      <c r="B394" s="6" t="n"/>
      <c r="C394" s="7" t="n"/>
      <c r="D394" s="8" t="n"/>
      <c r="E394" s="6" t="n"/>
      <c r="F394" s="6" t="n"/>
      <c r="G394" s="6" t="n"/>
      <c r="H394" s="6" t="n"/>
      <c r="I394" s="12">
        <f>IF($B394="","",IF(COUNTIF(Ventes_Factures!$A$6:$A$3005,$B394)&gt;0,"OK","INCONNUE"))</f>
        <v/>
      </c>
      <c r="J394" s="9">
        <f>IF($D394="","",ROUND($D394,2))</f>
        <v/>
      </c>
    </row>
    <row r="395">
      <c r="A395" s="6" t="n"/>
      <c r="B395" s="6" t="n"/>
      <c r="C395" s="7" t="n"/>
      <c r="D395" s="8" t="n"/>
      <c r="E395" s="6" t="n"/>
      <c r="F395" s="6" t="n"/>
      <c r="G395" s="6" t="n"/>
      <c r="H395" s="6" t="n"/>
      <c r="I395" s="12">
        <f>IF($B395="","",IF(COUNTIF(Ventes_Factures!$A$6:$A$3005,$B395)&gt;0,"OK","INCONNUE"))</f>
        <v/>
      </c>
      <c r="J395" s="9">
        <f>IF($D395="","",ROUND($D395,2))</f>
        <v/>
      </c>
    </row>
    <row r="396">
      <c r="A396" s="6" t="n"/>
      <c r="B396" s="6" t="n"/>
      <c r="C396" s="7" t="n"/>
      <c r="D396" s="8" t="n"/>
      <c r="E396" s="6" t="n"/>
      <c r="F396" s="6" t="n"/>
      <c r="G396" s="6" t="n"/>
      <c r="H396" s="6" t="n"/>
      <c r="I396" s="12">
        <f>IF($B396="","",IF(COUNTIF(Ventes_Factures!$A$6:$A$3005,$B396)&gt;0,"OK","INCONNUE"))</f>
        <v/>
      </c>
      <c r="J396" s="9">
        <f>IF($D396="","",ROUND($D396,2))</f>
        <v/>
      </c>
    </row>
    <row r="397">
      <c r="A397" s="6" t="n"/>
      <c r="B397" s="6" t="n"/>
      <c r="C397" s="7" t="n"/>
      <c r="D397" s="8" t="n"/>
      <c r="E397" s="6" t="n"/>
      <c r="F397" s="6" t="n"/>
      <c r="G397" s="6" t="n"/>
      <c r="H397" s="6" t="n"/>
      <c r="I397" s="12">
        <f>IF($B397="","",IF(COUNTIF(Ventes_Factures!$A$6:$A$3005,$B397)&gt;0,"OK","INCONNUE"))</f>
        <v/>
      </c>
      <c r="J397" s="9">
        <f>IF($D397="","",ROUND($D397,2))</f>
        <v/>
      </c>
    </row>
    <row r="398">
      <c r="A398" s="6" t="n"/>
      <c r="B398" s="6" t="n"/>
      <c r="C398" s="7" t="n"/>
      <c r="D398" s="8" t="n"/>
      <c r="E398" s="6" t="n"/>
      <c r="F398" s="6" t="n"/>
      <c r="G398" s="6" t="n"/>
      <c r="H398" s="6" t="n"/>
      <c r="I398" s="12">
        <f>IF($B398="","",IF(COUNTIF(Ventes_Factures!$A$6:$A$3005,$B398)&gt;0,"OK","INCONNUE"))</f>
        <v/>
      </c>
      <c r="J398" s="9">
        <f>IF($D398="","",ROUND($D398,2))</f>
        <v/>
      </c>
    </row>
    <row r="399">
      <c r="A399" s="6" t="n"/>
      <c r="B399" s="6" t="n"/>
      <c r="C399" s="7" t="n"/>
      <c r="D399" s="8" t="n"/>
      <c r="E399" s="6" t="n"/>
      <c r="F399" s="6" t="n"/>
      <c r="G399" s="6" t="n"/>
      <c r="H399" s="6" t="n"/>
      <c r="I399" s="12">
        <f>IF($B399="","",IF(COUNTIF(Ventes_Factures!$A$6:$A$3005,$B399)&gt;0,"OK","INCONNUE"))</f>
        <v/>
      </c>
      <c r="J399" s="9">
        <f>IF($D399="","",ROUND($D399,2))</f>
        <v/>
      </c>
    </row>
    <row r="400">
      <c r="A400" s="6" t="n"/>
      <c r="B400" s="6" t="n"/>
      <c r="C400" s="7" t="n"/>
      <c r="D400" s="8" t="n"/>
      <c r="E400" s="6" t="n"/>
      <c r="F400" s="6" t="n"/>
      <c r="G400" s="6" t="n"/>
      <c r="H400" s="6" t="n"/>
      <c r="I400" s="12">
        <f>IF($B400="","",IF(COUNTIF(Ventes_Factures!$A$6:$A$3005,$B400)&gt;0,"OK","INCONNUE"))</f>
        <v/>
      </c>
      <c r="J400" s="9">
        <f>IF($D400="","",ROUND($D400,2))</f>
        <v/>
      </c>
    </row>
    <row r="401">
      <c r="A401" s="6" t="n"/>
      <c r="B401" s="6" t="n"/>
      <c r="C401" s="7" t="n"/>
      <c r="D401" s="8" t="n"/>
      <c r="E401" s="6" t="n"/>
      <c r="F401" s="6" t="n"/>
      <c r="G401" s="6" t="n"/>
      <c r="H401" s="6" t="n"/>
      <c r="I401" s="12">
        <f>IF($B401="","",IF(COUNTIF(Ventes_Factures!$A$6:$A$3005,$B401)&gt;0,"OK","INCONNUE"))</f>
        <v/>
      </c>
      <c r="J401" s="9">
        <f>IF($D401="","",ROUND($D401,2))</f>
        <v/>
      </c>
    </row>
    <row r="402">
      <c r="A402" s="6" t="n"/>
      <c r="B402" s="6" t="n"/>
      <c r="C402" s="7" t="n"/>
      <c r="D402" s="8" t="n"/>
      <c r="E402" s="6" t="n"/>
      <c r="F402" s="6" t="n"/>
      <c r="G402" s="6" t="n"/>
      <c r="H402" s="6" t="n"/>
      <c r="I402" s="12">
        <f>IF($B402="","",IF(COUNTIF(Ventes_Factures!$A$6:$A$3005,$B402)&gt;0,"OK","INCONNUE"))</f>
        <v/>
      </c>
      <c r="J402" s="9">
        <f>IF($D402="","",ROUND($D402,2))</f>
        <v/>
      </c>
    </row>
    <row r="403">
      <c r="A403" s="6" t="n"/>
      <c r="B403" s="6" t="n"/>
      <c r="C403" s="7" t="n"/>
      <c r="D403" s="8" t="n"/>
      <c r="E403" s="6" t="n"/>
      <c r="F403" s="6" t="n"/>
      <c r="G403" s="6" t="n"/>
      <c r="H403" s="6" t="n"/>
      <c r="I403" s="12">
        <f>IF($B403="","",IF(COUNTIF(Ventes_Factures!$A$6:$A$3005,$B403)&gt;0,"OK","INCONNUE"))</f>
        <v/>
      </c>
      <c r="J403" s="9">
        <f>IF($D403="","",ROUND($D403,2))</f>
        <v/>
      </c>
    </row>
    <row r="404">
      <c r="A404" s="6" t="n"/>
      <c r="B404" s="6" t="n"/>
      <c r="C404" s="7" t="n"/>
      <c r="D404" s="8" t="n"/>
      <c r="E404" s="6" t="n"/>
      <c r="F404" s="6" t="n"/>
      <c r="G404" s="6" t="n"/>
      <c r="H404" s="6" t="n"/>
      <c r="I404" s="12">
        <f>IF($B404="","",IF(COUNTIF(Ventes_Factures!$A$6:$A$3005,$B404)&gt;0,"OK","INCONNUE"))</f>
        <v/>
      </c>
      <c r="J404" s="9">
        <f>IF($D404="","",ROUND($D404,2))</f>
        <v/>
      </c>
    </row>
    <row r="405">
      <c r="A405" s="6" t="n"/>
      <c r="B405" s="6" t="n"/>
      <c r="C405" s="7" t="n"/>
      <c r="D405" s="8" t="n"/>
      <c r="E405" s="6" t="n"/>
      <c r="F405" s="6" t="n"/>
      <c r="G405" s="6" t="n"/>
      <c r="H405" s="6" t="n"/>
      <c r="I405" s="12">
        <f>IF($B405="","",IF(COUNTIF(Ventes_Factures!$A$6:$A$3005,$B405)&gt;0,"OK","INCONNUE"))</f>
        <v/>
      </c>
      <c r="J405" s="9">
        <f>IF($D405="","",ROUND($D405,2))</f>
        <v/>
      </c>
    </row>
    <row r="406">
      <c r="A406" s="6" t="n"/>
      <c r="B406" s="6" t="n"/>
      <c r="C406" s="7" t="n"/>
      <c r="D406" s="8" t="n"/>
      <c r="E406" s="6" t="n"/>
      <c r="F406" s="6" t="n"/>
      <c r="G406" s="6" t="n"/>
      <c r="H406" s="6" t="n"/>
      <c r="I406" s="12">
        <f>IF($B406="","",IF(COUNTIF(Ventes_Factures!$A$6:$A$3005,$B406)&gt;0,"OK","INCONNUE"))</f>
        <v/>
      </c>
      <c r="J406" s="9">
        <f>IF($D406="","",ROUND($D406,2))</f>
        <v/>
      </c>
    </row>
    <row r="407">
      <c r="A407" s="6" t="n"/>
      <c r="B407" s="6" t="n"/>
      <c r="C407" s="7" t="n"/>
      <c r="D407" s="8" t="n"/>
      <c r="E407" s="6" t="n"/>
      <c r="F407" s="6" t="n"/>
      <c r="G407" s="6" t="n"/>
      <c r="H407" s="6" t="n"/>
      <c r="I407" s="12">
        <f>IF($B407="","",IF(COUNTIF(Ventes_Factures!$A$6:$A$3005,$B407)&gt;0,"OK","INCONNUE"))</f>
        <v/>
      </c>
      <c r="J407" s="9">
        <f>IF($D407="","",ROUND($D407,2))</f>
        <v/>
      </c>
    </row>
    <row r="408">
      <c r="A408" s="6" t="n"/>
      <c r="B408" s="6" t="n"/>
      <c r="C408" s="7" t="n"/>
      <c r="D408" s="8" t="n"/>
      <c r="E408" s="6" t="n"/>
      <c r="F408" s="6" t="n"/>
      <c r="G408" s="6" t="n"/>
      <c r="H408" s="6" t="n"/>
      <c r="I408" s="12">
        <f>IF($B408="","",IF(COUNTIF(Ventes_Factures!$A$6:$A$3005,$B408)&gt;0,"OK","INCONNUE"))</f>
        <v/>
      </c>
      <c r="J408" s="9">
        <f>IF($D408="","",ROUND($D408,2))</f>
        <v/>
      </c>
    </row>
    <row r="409">
      <c r="A409" s="6" t="n"/>
      <c r="B409" s="6" t="n"/>
      <c r="C409" s="7" t="n"/>
      <c r="D409" s="8" t="n"/>
      <c r="E409" s="6" t="n"/>
      <c r="F409" s="6" t="n"/>
      <c r="G409" s="6" t="n"/>
      <c r="H409" s="6" t="n"/>
      <c r="I409" s="12">
        <f>IF($B409="","",IF(COUNTIF(Ventes_Factures!$A$6:$A$3005,$B409)&gt;0,"OK","INCONNUE"))</f>
        <v/>
      </c>
      <c r="J409" s="9">
        <f>IF($D409="","",ROUND($D409,2))</f>
        <v/>
      </c>
    </row>
    <row r="410">
      <c r="A410" s="6" t="n"/>
      <c r="B410" s="6" t="n"/>
      <c r="C410" s="7" t="n"/>
      <c r="D410" s="8" t="n"/>
      <c r="E410" s="6" t="n"/>
      <c r="F410" s="6" t="n"/>
      <c r="G410" s="6" t="n"/>
      <c r="H410" s="6" t="n"/>
      <c r="I410" s="12">
        <f>IF($B410="","",IF(COUNTIF(Ventes_Factures!$A$6:$A$3005,$B410)&gt;0,"OK","INCONNUE"))</f>
        <v/>
      </c>
      <c r="J410" s="9">
        <f>IF($D410="","",ROUND($D410,2))</f>
        <v/>
      </c>
    </row>
    <row r="411">
      <c r="A411" s="6" t="n"/>
      <c r="B411" s="6" t="n"/>
      <c r="C411" s="7" t="n"/>
      <c r="D411" s="8" t="n"/>
      <c r="E411" s="6" t="n"/>
      <c r="F411" s="6" t="n"/>
      <c r="G411" s="6" t="n"/>
      <c r="H411" s="6" t="n"/>
      <c r="I411" s="12">
        <f>IF($B411="","",IF(COUNTIF(Ventes_Factures!$A$6:$A$3005,$B411)&gt;0,"OK","INCONNUE"))</f>
        <v/>
      </c>
      <c r="J411" s="9">
        <f>IF($D411="","",ROUND($D411,2))</f>
        <v/>
      </c>
    </row>
    <row r="412">
      <c r="A412" s="6" t="n"/>
      <c r="B412" s="6" t="n"/>
      <c r="C412" s="7" t="n"/>
      <c r="D412" s="8" t="n"/>
      <c r="E412" s="6" t="n"/>
      <c r="F412" s="6" t="n"/>
      <c r="G412" s="6" t="n"/>
      <c r="H412" s="6" t="n"/>
      <c r="I412" s="12">
        <f>IF($B412="","",IF(COUNTIF(Ventes_Factures!$A$6:$A$3005,$B412)&gt;0,"OK","INCONNUE"))</f>
        <v/>
      </c>
      <c r="J412" s="9">
        <f>IF($D412="","",ROUND($D412,2))</f>
        <v/>
      </c>
    </row>
    <row r="413">
      <c r="A413" s="6" t="n"/>
      <c r="B413" s="6" t="n"/>
      <c r="C413" s="7" t="n"/>
      <c r="D413" s="8" t="n"/>
      <c r="E413" s="6" t="n"/>
      <c r="F413" s="6" t="n"/>
      <c r="G413" s="6" t="n"/>
      <c r="H413" s="6" t="n"/>
      <c r="I413" s="12">
        <f>IF($B413="","",IF(COUNTIF(Ventes_Factures!$A$6:$A$3005,$B413)&gt;0,"OK","INCONNUE"))</f>
        <v/>
      </c>
      <c r="J413" s="9">
        <f>IF($D413="","",ROUND($D413,2))</f>
        <v/>
      </c>
    </row>
    <row r="414">
      <c r="A414" s="6" t="n"/>
      <c r="B414" s="6" t="n"/>
      <c r="C414" s="7" t="n"/>
      <c r="D414" s="8" t="n"/>
      <c r="E414" s="6" t="n"/>
      <c r="F414" s="6" t="n"/>
      <c r="G414" s="6" t="n"/>
      <c r="H414" s="6" t="n"/>
      <c r="I414" s="12">
        <f>IF($B414="","",IF(COUNTIF(Ventes_Factures!$A$6:$A$3005,$B414)&gt;0,"OK","INCONNUE"))</f>
        <v/>
      </c>
      <c r="J414" s="9">
        <f>IF($D414="","",ROUND($D414,2))</f>
        <v/>
      </c>
    </row>
    <row r="415">
      <c r="A415" s="6" t="n"/>
      <c r="B415" s="6" t="n"/>
      <c r="C415" s="7" t="n"/>
      <c r="D415" s="8" t="n"/>
      <c r="E415" s="6" t="n"/>
      <c r="F415" s="6" t="n"/>
      <c r="G415" s="6" t="n"/>
      <c r="H415" s="6" t="n"/>
      <c r="I415" s="12">
        <f>IF($B415="","",IF(COUNTIF(Ventes_Factures!$A$6:$A$3005,$B415)&gt;0,"OK","INCONNUE"))</f>
        <v/>
      </c>
      <c r="J415" s="9">
        <f>IF($D415="","",ROUND($D415,2))</f>
        <v/>
      </c>
    </row>
    <row r="416">
      <c r="A416" s="6" t="n"/>
      <c r="B416" s="6" t="n"/>
      <c r="C416" s="7" t="n"/>
      <c r="D416" s="8" t="n"/>
      <c r="E416" s="6" t="n"/>
      <c r="F416" s="6" t="n"/>
      <c r="G416" s="6" t="n"/>
      <c r="H416" s="6" t="n"/>
      <c r="I416" s="12">
        <f>IF($B416="","",IF(COUNTIF(Ventes_Factures!$A$6:$A$3005,$B416)&gt;0,"OK","INCONNUE"))</f>
        <v/>
      </c>
      <c r="J416" s="9">
        <f>IF($D416="","",ROUND($D416,2))</f>
        <v/>
      </c>
    </row>
    <row r="417">
      <c r="A417" s="6" t="n"/>
      <c r="B417" s="6" t="n"/>
      <c r="C417" s="7" t="n"/>
      <c r="D417" s="8" t="n"/>
      <c r="E417" s="6" t="n"/>
      <c r="F417" s="6" t="n"/>
      <c r="G417" s="6" t="n"/>
      <c r="H417" s="6" t="n"/>
      <c r="I417" s="12">
        <f>IF($B417="","",IF(COUNTIF(Ventes_Factures!$A$6:$A$3005,$B417)&gt;0,"OK","INCONNUE"))</f>
        <v/>
      </c>
      <c r="J417" s="9">
        <f>IF($D417="","",ROUND($D417,2))</f>
        <v/>
      </c>
    </row>
    <row r="418">
      <c r="A418" s="6" t="n"/>
      <c r="B418" s="6" t="n"/>
      <c r="C418" s="7" t="n"/>
      <c r="D418" s="8" t="n"/>
      <c r="E418" s="6" t="n"/>
      <c r="F418" s="6" t="n"/>
      <c r="G418" s="6" t="n"/>
      <c r="H418" s="6" t="n"/>
      <c r="I418" s="12">
        <f>IF($B418="","",IF(COUNTIF(Ventes_Factures!$A$6:$A$3005,$B418)&gt;0,"OK","INCONNUE"))</f>
        <v/>
      </c>
      <c r="J418" s="9">
        <f>IF($D418="","",ROUND($D418,2))</f>
        <v/>
      </c>
    </row>
    <row r="419">
      <c r="A419" s="6" t="n"/>
      <c r="B419" s="6" t="n"/>
      <c r="C419" s="7" t="n"/>
      <c r="D419" s="8" t="n"/>
      <c r="E419" s="6" t="n"/>
      <c r="F419" s="6" t="n"/>
      <c r="G419" s="6" t="n"/>
      <c r="H419" s="6" t="n"/>
      <c r="I419" s="12">
        <f>IF($B419="","",IF(COUNTIF(Ventes_Factures!$A$6:$A$3005,$B419)&gt;0,"OK","INCONNUE"))</f>
        <v/>
      </c>
      <c r="J419" s="9">
        <f>IF($D419="","",ROUND($D419,2))</f>
        <v/>
      </c>
    </row>
    <row r="420">
      <c r="A420" s="6" t="n"/>
      <c r="B420" s="6" t="n"/>
      <c r="C420" s="7" t="n"/>
      <c r="D420" s="8" t="n"/>
      <c r="E420" s="6" t="n"/>
      <c r="F420" s="6" t="n"/>
      <c r="G420" s="6" t="n"/>
      <c r="H420" s="6" t="n"/>
      <c r="I420" s="12">
        <f>IF($B420="","",IF(COUNTIF(Ventes_Factures!$A$6:$A$3005,$B420)&gt;0,"OK","INCONNUE"))</f>
        <v/>
      </c>
      <c r="J420" s="9">
        <f>IF($D420="","",ROUND($D420,2))</f>
        <v/>
      </c>
    </row>
    <row r="421">
      <c r="A421" s="6" t="n"/>
      <c r="B421" s="6" t="n"/>
      <c r="C421" s="7" t="n"/>
      <c r="D421" s="8" t="n"/>
      <c r="E421" s="6" t="n"/>
      <c r="F421" s="6" t="n"/>
      <c r="G421" s="6" t="n"/>
      <c r="H421" s="6" t="n"/>
      <c r="I421" s="12">
        <f>IF($B421="","",IF(COUNTIF(Ventes_Factures!$A$6:$A$3005,$B421)&gt;0,"OK","INCONNUE"))</f>
        <v/>
      </c>
      <c r="J421" s="9">
        <f>IF($D421="","",ROUND($D421,2))</f>
        <v/>
      </c>
    </row>
    <row r="422">
      <c r="A422" s="6" t="n"/>
      <c r="B422" s="6" t="n"/>
      <c r="C422" s="7" t="n"/>
      <c r="D422" s="8" t="n"/>
      <c r="E422" s="6" t="n"/>
      <c r="F422" s="6" t="n"/>
      <c r="G422" s="6" t="n"/>
      <c r="H422" s="6" t="n"/>
      <c r="I422" s="12">
        <f>IF($B422="","",IF(COUNTIF(Ventes_Factures!$A$6:$A$3005,$B422)&gt;0,"OK","INCONNUE"))</f>
        <v/>
      </c>
      <c r="J422" s="9">
        <f>IF($D422="","",ROUND($D422,2))</f>
        <v/>
      </c>
    </row>
    <row r="423">
      <c r="A423" s="6" t="n"/>
      <c r="B423" s="6" t="n"/>
      <c r="C423" s="7" t="n"/>
      <c r="D423" s="8" t="n"/>
      <c r="E423" s="6" t="n"/>
      <c r="F423" s="6" t="n"/>
      <c r="G423" s="6" t="n"/>
      <c r="H423" s="6" t="n"/>
      <c r="I423" s="12">
        <f>IF($B423="","",IF(COUNTIF(Ventes_Factures!$A$6:$A$3005,$B423)&gt;0,"OK","INCONNUE"))</f>
        <v/>
      </c>
      <c r="J423" s="9">
        <f>IF($D423="","",ROUND($D423,2))</f>
        <v/>
      </c>
    </row>
    <row r="424">
      <c r="A424" s="6" t="n"/>
      <c r="B424" s="6" t="n"/>
      <c r="C424" s="7" t="n"/>
      <c r="D424" s="8" t="n"/>
      <c r="E424" s="6" t="n"/>
      <c r="F424" s="6" t="n"/>
      <c r="G424" s="6" t="n"/>
      <c r="H424" s="6" t="n"/>
      <c r="I424" s="12">
        <f>IF($B424="","",IF(COUNTIF(Ventes_Factures!$A$6:$A$3005,$B424)&gt;0,"OK","INCONNUE"))</f>
        <v/>
      </c>
      <c r="J424" s="9">
        <f>IF($D424="","",ROUND($D424,2))</f>
        <v/>
      </c>
    </row>
    <row r="425">
      <c r="A425" s="6" t="n"/>
      <c r="B425" s="6" t="n"/>
      <c r="C425" s="7" t="n"/>
      <c r="D425" s="8" t="n"/>
      <c r="E425" s="6" t="n"/>
      <c r="F425" s="6" t="n"/>
      <c r="G425" s="6" t="n"/>
      <c r="H425" s="6" t="n"/>
      <c r="I425" s="12">
        <f>IF($B425="","",IF(COUNTIF(Ventes_Factures!$A$6:$A$3005,$B425)&gt;0,"OK","INCONNUE"))</f>
        <v/>
      </c>
      <c r="J425" s="9">
        <f>IF($D425="","",ROUND($D425,2))</f>
        <v/>
      </c>
    </row>
    <row r="426">
      <c r="A426" s="6" t="n"/>
      <c r="B426" s="6" t="n"/>
      <c r="C426" s="7" t="n"/>
      <c r="D426" s="8" t="n"/>
      <c r="E426" s="6" t="n"/>
      <c r="F426" s="6" t="n"/>
      <c r="G426" s="6" t="n"/>
      <c r="H426" s="6" t="n"/>
      <c r="I426" s="12">
        <f>IF($B426="","",IF(COUNTIF(Ventes_Factures!$A$6:$A$3005,$B426)&gt;0,"OK","INCONNUE"))</f>
        <v/>
      </c>
      <c r="J426" s="9">
        <f>IF($D426="","",ROUND($D426,2))</f>
        <v/>
      </c>
    </row>
    <row r="427">
      <c r="A427" s="6" t="n"/>
      <c r="B427" s="6" t="n"/>
      <c r="C427" s="7" t="n"/>
      <c r="D427" s="8" t="n"/>
      <c r="E427" s="6" t="n"/>
      <c r="F427" s="6" t="n"/>
      <c r="G427" s="6" t="n"/>
      <c r="H427" s="6" t="n"/>
      <c r="I427" s="12">
        <f>IF($B427="","",IF(COUNTIF(Ventes_Factures!$A$6:$A$3005,$B427)&gt;0,"OK","INCONNUE"))</f>
        <v/>
      </c>
      <c r="J427" s="9">
        <f>IF($D427="","",ROUND($D427,2))</f>
        <v/>
      </c>
    </row>
    <row r="428">
      <c r="A428" s="6" t="n"/>
      <c r="B428" s="6" t="n"/>
      <c r="C428" s="7" t="n"/>
      <c r="D428" s="8" t="n"/>
      <c r="E428" s="6" t="n"/>
      <c r="F428" s="6" t="n"/>
      <c r="G428" s="6" t="n"/>
      <c r="H428" s="6" t="n"/>
      <c r="I428" s="12">
        <f>IF($B428="","",IF(COUNTIF(Ventes_Factures!$A$6:$A$3005,$B428)&gt;0,"OK","INCONNUE"))</f>
        <v/>
      </c>
      <c r="J428" s="9">
        <f>IF($D428="","",ROUND($D428,2))</f>
        <v/>
      </c>
    </row>
    <row r="429">
      <c r="A429" s="6" t="n"/>
      <c r="B429" s="6" t="n"/>
      <c r="C429" s="7" t="n"/>
      <c r="D429" s="8" t="n"/>
      <c r="E429" s="6" t="n"/>
      <c r="F429" s="6" t="n"/>
      <c r="G429" s="6" t="n"/>
      <c r="H429" s="6" t="n"/>
      <c r="I429" s="12">
        <f>IF($B429="","",IF(COUNTIF(Ventes_Factures!$A$6:$A$3005,$B429)&gt;0,"OK","INCONNUE"))</f>
        <v/>
      </c>
      <c r="J429" s="9">
        <f>IF($D429="","",ROUND($D429,2))</f>
        <v/>
      </c>
    </row>
    <row r="430">
      <c r="A430" s="6" t="n"/>
      <c r="B430" s="6" t="n"/>
      <c r="C430" s="7" t="n"/>
      <c r="D430" s="8" t="n"/>
      <c r="E430" s="6" t="n"/>
      <c r="F430" s="6" t="n"/>
      <c r="G430" s="6" t="n"/>
      <c r="H430" s="6" t="n"/>
      <c r="I430" s="12">
        <f>IF($B430="","",IF(COUNTIF(Ventes_Factures!$A$6:$A$3005,$B430)&gt;0,"OK","INCONNUE"))</f>
        <v/>
      </c>
      <c r="J430" s="9">
        <f>IF($D430="","",ROUND($D430,2))</f>
        <v/>
      </c>
    </row>
    <row r="431">
      <c r="A431" s="6" t="n"/>
      <c r="B431" s="6" t="n"/>
      <c r="C431" s="7" t="n"/>
      <c r="D431" s="8" t="n"/>
      <c r="E431" s="6" t="n"/>
      <c r="F431" s="6" t="n"/>
      <c r="G431" s="6" t="n"/>
      <c r="H431" s="6" t="n"/>
      <c r="I431" s="12">
        <f>IF($B431="","",IF(COUNTIF(Ventes_Factures!$A$6:$A$3005,$B431)&gt;0,"OK","INCONNUE"))</f>
        <v/>
      </c>
      <c r="J431" s="9">
        <f>IF($D431="","",ROUND($D431,2))</f>
        <v/>
      </c>
    </row>
    <row r="432">
      <c r="A432" s="6" t="n"/>
      <c r="B432" s="6" t="n"/>
      <c r="C432" s="7" t="n"/>
      <c r="D432" s="8" t="n"/>
      <c r="E432" s="6" t="n"/>
      <c r="F432" s="6" t="n"/>
      <c r="G432" s="6" t="n"/>
      <c r="H432" s="6" t="n"/>
      <c r="I432" s="12">
        <f>IF($B432="","",IF(COUNTIF(Ventes_Factures!$A$6:$A$3005,$B432)&gt;0,"OK","INCONNUE"))</f>
        <v/>
      </c>
      <c r="J432" s="9">
        <f>IF($D432="","",ROUND($D432,2))</f>
        <v/>
      </c>
    </row>
    <row r="433">
      <c r="A433" s="6" t="n"/>
      <c r="B433" s="6" t="n"/>
      <c r="C433" s="7" t="n"/>
      <c r="D433" s="8" t="n"/>
      <c r="E433" s="6" t="n"/>
      <c r="F433" s="6" t="n"/>
      <c r="G433" s="6" t="n"/>
      <c r="H433" s="6" t="n"/>
      <c r="I433" s="12">
        <f>IF($B433="","",IF(COUNTIF(Ventes_Factures!$A$6:$A$3005,$B433)&gt;0,"OK","INCONNUE"))</f>
        <v/>
      </c>
      <c r="J433" s="9">
        <f>IF($D433="","",ROUND($D433,2))</f>
        <v/>
      </c>
    </row>
    <row r="434">
      <c r="A434" s="6" t="n"/>
      <c r="B434" s="6" t="n"/>
      <c r="C434" s="7" t="n"/>
      <c r="D434" s="8" t="n"/>
      <c r="E434" s="6" t="n"/>
      <c r="F434" s="6" t="n"/>
      <c r="G434" s="6" t="n"/>
      <c r="H434" s="6" t="n"/>
      <c r="I434" s="12">
        <f>IF($B434="","",IF(COUNTIF(Ventes_Factures!$A$6:$A$3005,$B434)&gt;0,"OK","INCONNUE"))</f>
        <v/>
      </c>
      <c r="J434" s="9">
        <f>IF($D434="","",ROUND($D434,2))</f>
        <v/>
      </c>
    </row>
    <row r="435">
      <c r="A435" s="6" t="n"/>
      <c r="B435" s="6" t="n"/>
      <c r="C435" s="7" t="n"/>
      <c r="D435" s="8" t="n"/>
      <c r="E435" s="6" t="n"/>
      <c r="F435" s="6" t="n"/>
      <c r="G435" s="6" t="n"/>
      <c r="H435" s="6" t="n"/>
      <c r="I435" s="12">
        <f>IF($B435="","",IF(COUNTIF(Ventes_Factures!$A$6:$A$3005,$B435)&gt;0,"OK","INCONNUE"))</f>
        <v/>
      </c>
      <c r="J435" s="9">
        <f>IF($D435="","",ROUND($D435,2))</f>
        <v/>
      </c>
    </row>
    <row r="436">
      <c r="A436" s="6" t="n"/>
      <c r="B436" s="6" t="n"/>
      <c r="C436" s="7" t="n"/>
      <c r="D436" s="8" t="n"/>
      <c r="E436" s="6" t="n"/>
      <c r="F436" s="6" t="n"/>
      <c r="G436" s="6" t="n"/>
      <c r="H436" s="6" t="n"/>
      <c r="I436" s="12">
        <f>IF($B436="","",IF(COUNTIF(Ventes_Factures!$A$6:$A$3005,$B436)&gt;0,"OK","INCONNUE"))</f>
        <v/>
      </c>
      <c r="J436" s="9">
        <f>IF($D436="","",ROUND($D436,2))</f>
        <v/>
      </c>
    </row>
    <row r="437">
      <c r="A437" s="6" t="n"/>
      <c r="B437" s="6" t="n"/>
      <c r="C437" s="7" t="n"/>
      <c r="D437" s="8" t="n"/>
      <c r="E437" s="6" t="n"/>
      <c r="F437" s="6" t="n"/>
      <c r="G437" s="6" t="n"/>
      <c r="H437" s="6" t="n"/>
      <c r="I437" s="12">
        <f>IF($B437="","",IF(COUNTIF(Ventes_Factures!$A$6:$A$3005,$B437)&gt;0,"OK","INCONNUE"))</f>
        <v/>
      </c>
      <c r="J437" s="9">
        <f>IF($D437="","",ROUND($D437,2))</f>
        <v/>
      </c>
    </row>
    <row r="438">
      <c r="A438" s="6" t="n"/>
      <c r="B438" s="6" t="n"/>
      <c r="C438" s="7" t="n"/>
      <c r="D438" s="8" t="n"/>
      <c r="E438" s="6" t="n"/>
      <c r="F438" s="6" t="n"/>
      <c r="G438" s="6" t="n"/>
      <c r="H438" s="6" t="n"/>
      <c r="I438" s="12">
        <f>IF($B438="","",IF(COUNTIF(Ventes_Factures!$A$6:$A$3005,$B438)&gt;0,"OK","INCONNUE"))</f>
        <v/>
      </c>
      <c r="J438" s="9">
        <f>IF($D438="","",ROUND($D438,2))</f>
        <v/>
      </c>
    </row>
    <row r="439">
      <c r="A439" s="6" t="n"/>
      <c r="B439" s="6" t="n"/>
      <c r="C439" s="7" t="n"/>
      <c r="D439" s="8" t="n"/>
      <c r="E439" s="6" t="n"/>
      <c r="F439" s="6" t="n"/>
      <c r="G439" s="6" t="n"/>
      <c r="H439" s="6" t="n"/>
      <c r="I439" s="12">
        <f>IF($B439="","",IF(COUNTIF(Ventes_Factures!$A$6:$A$3005,$B439)&gt;0,"OK","INCONNUE"))</f>
        <v/>
      </c>
      <c r="J439" s="9">
        <f>IF($D439="","",ROUND($D439,2))</f>
        <v/>
      </c>
    </row>
    <row r="440">
      <c r="A440" s="6" t="n"/>
      <c r="B440" s="6" t="n"/>
      <c r="C440" s="7" t="n"/>
      <c r="D440" s="8" t="n"/>
      <c r="E440" s="6" t="n"/>
      <c r="F440" s="6" t="n"/>
      <c r="G440" s="6" t="n"/>
      <c r="H440" s="6" t="n"/>
      <c r="I440" s="12">
        <f>IF($B440="","",IF(COUNTIF(Ventes_Factures!$A$6:$A$3005,$B440)&gt;0,"OK","INCONNUE"))</f>
        <v/>
      </c>
      <c r="J440" s="9">
        <f>IF($D440="","",ROUND($D440,2))</f>
        <v/>
      </c>
    </row>
    <row r="441">
      <c r="A441" s="6" t="n"/>
      <c r="B441" s="6" t="n"/>
      <c r="C441" s="7" t="n"/>
      <c r="D441" s="8" t="n"/>
      <c r="E441" s="6" t="n"/>
      <c r="F441" s="6" t="n"/>
      <c r="G441" s="6" t="n"/>
      <c r="H441" s="6" t="n"/>
      <c r="I441" s="12">
        <f>IF($B441="","",IF(COUNTIF(Ventes_Factures!$A$6:$A$3005,$B441)&gt;0,"OK","INCONNUE"))</f>
        <v/>
      </c>
      <c r="J441" s="9">
        <f>IF($D441="","",ROUND($D441,2))</f>
        <v/>
      </c>
    </row>
    <row r="442">
      <c r="A442" s="6" t="n"/>
      <c r="B442" s="6" t="n"/>
      <c r="C442" s="7" t="n"/>
      <c r="D442" s="8" t="n"/>
      <c r="E442" s="6" t="n"/>
      <c r="F442" s="6" t="n"/>
      <c r="G442" s="6" t="n"/>
      <c r="H442" s="6" t="n"/>
      <c r="I442" s="12">
        <f>IF($B442="","",IF(COUNTIF(Ventes_Factures!$A$6:$A$3005,$B442)&gt;0,"OK","INCONNUE"))</f>
        <v/>
      </c>
      <c r="J442" s="9">
        <f>IF($D442="","",ROUND($D442,2))</f>
        <v/>
      </c>
    </row>
    <row r="443">
      <c r="A443" s="6" t="n"/>
      <c r="B443" s="6" t="n"/>
      <c r="C443" s="7" t="n"/>
      <c r="D443" s="8" t="n"/>
      <c r="E443" s="6" t="n"/>
      <c r="F443" s="6" t="n"/>
      <c r="G443" s="6" t="n"/>
      <c r="H443" s="6" t="n"/>
      <c r="I443" s="12">
        <f>IF($B443="","",IF(COUNTIF(Ventes_Factures!$A$6:$A$3005,$B443)&gt;0,"OK","INCONNUE"))</f>
        <v/>
      </c>
      <c r="J443" s="9">
        <f>IF($D443="","",ROUND($D443,2))</f>
        <v/>
      </c>
    </row>
    <row r="444">
      <c r="A444" s="6" t="n"/>
      <c r="B444" s="6" t="n"/>
      <c r="C444" s="7" t="n"/>
      <c r="D444" s="8" t="n"/>
      <c r="E444" s="6" t="n"/>
      <c r="F444" s="6" t="n"/>
      <c r="G444" s="6" t="n"/>
      <c r="H444" s="6" t="n"/>
      <c r="I444" s="12">
        <f>IF($B444="","",IF(COUNTIF(Ventes_Factures!$A$6:$A$3005,$B444)&gt;0,"OK","INCONNUE"))</f>
        <v/>
      </c>
      <c r="J444" s="9">
        <f>IF($D444="","",ROUND($D444,2))</f>
        <v/>
      </c>
    </row>
    <row r="445">
      <c r="A445" s="6" t="n"/>
      <c r="B445" s="6" t="n"/>
      <c r="C445" s="7" t="n"/>
      <c r="D445" s="8" t="n"/>
      <c r="E445" s="6" t="n"/>
      <c r="F445" s="6" t="n"/>
      <c r="G445" s="6" t="n"/>
      <c r="H445" s="6" t="n"/>
      <c r="I445" s="12">
        <f>IF($B445="","",IF(COUNTIF(Ventes_Factures!$A$6:$A$3005,$B445)&gt;0,"OK","INCONNUE"))</f>
        <v/>
      </c>
      <c r="J445" s="9">
        <f>IF($D445="","",ROUND($D445,2))</f>
        <v/>
      </c>
    </row>
    <row r="446">
      <c r="A446" s="6" t="n"/>
      <c r="B446" s="6" t="n"/>
      <c r="C446" s="7" t="n"/>
      <c r="D446" s="8" t="n"/>
      <c r="E446" s="6" t="n"/>
      <c r="F446" s="6" t="n"/>
      <c r="G446" s="6" t="n"/>
      <c r="H446" s="6" t="n"/>
      <c r="I446" s="12">
        <f>IF($B446="","",IF(COUNTIF(Ventes_Factures!$A$6:$A$3005,$B446)&gt;0,"OK","INCONNUE"))</f>
        <v/>
      </c>
      <c r="J446" s="9">
        <f>IF($D446="","",ROUND($D446,2))</f>
        <v/>
      </c>
    </row>
    <row r="447">
      <c r="A447" s="6" t="n"/>
      <c r="B447" s="6" t="n"/>
      <c r="C447" s="7" t="n"/>
      <c r="D447" s="8" t="n"/>
      <c r="E447" s="6" t="n"/>
      <c r="F447" s="6" t="n"/>
      <c r="G447" s="6" t="n"/>
      <c r="H447" s="6" t="n"/>
      <c r="I447" s="12">
        <f>IF($B447="","",IF(COUNTIF(Ventes_Factures!$A$6:$A$3005,$B447)&gt;0,"OK","INCONNUE"))</f>
        <v/>
      </c>
      <c r="J447" s="9">
        <f>IF($D447="","",ROUND($D447,2))</f>
        <v/>
      </c>
    </row>
    <row r="448">
      <c r="A448" s="6" t="n"/>
      <c r="B448" s="6" t="n"/>
      <c r="C448" s="7" t="n"/>
      <c r="D448" s="8" t="n"/>
      <c r="E448" s="6" t="n"/>
      <c r="F448" s="6" t="n"/>
      <c r="G448" s="6" t="n"/>
      <c r="H448" s="6" t="n"/>
      <c r="I448" s="12">
        <f>IF($B448="","",IF(COUNTIF(Ventes_Factures!$A$6:$A$3005,$B448)&gt;0,"OK","INCONNUE"))</f>
        <v/>
      </c>
      <c r="J448" s="9">
        <f>IF($D448="","",ROUND($D448,2))</f>
        <v/>
      </c>
    </row>
    <row r="449">
      <c r="A449" s="6" t="n"/>
      <c r="B449" s="6" t="n"/>
      <c r="C449" s="7" t="n"/>
      <c r="D449" s="8" t="n"/>
      <c r="E449" s="6" t="n"/>
      <c r="F449" s="6" t="n"/>
      <c r="G449" s="6" t="n"/>
      <c r="H449" s="6" t="n"/>
      <c r="I449" s="12">
        <f>IF($B449="","",IF(COUNTIF(Ventes_Factures!$A$6:$A$3005,$B449)&gt;0,"OK","INCONNUE"))</f>
        <v/>
      </c>
      <c r="J449" s="9">
        <f>IF($D449="","",ROUND($D449,2))</f>
        <v/>
      </c>
    </row>
    <row r="450">
      <c r="A450" s="6" t="n"/>
      <c r="B450" s="6" t="n"/>
      <c r="C450" s="7" t="n"/>
      <c r="D450" s="8" t="n"/>
      <c r="E450" s="6" t="n"/>
      <c r="F450" s="6" t="n"/>
      <c r="G450" s="6" t="n"/>
      <c r="H450" s="6" t="n"/>
      <c r="I450" s="12">
        <f>IF($B450="","",IF(COUNTIF(Ventes_Factures!$A$6:$A$3005,$B450)&gt;0,"OK","INCONNUE"))</f>
        <v/>
      </c>
      <c r="J450" s="9">
        <f>IF($D450="","",ROUND($D450,2))</f>
        <v/>
      </c>
    </row>
    <row r="451">
      <c r="A451" s="6" t="n"/>
      <c r="B451" s="6" t="n"/>
      <c r="C451" s="7" t="n"/>
      <c r="D451" s="8" t="n"/>
      <c r="E451" s="6" t="n"/>
      <c r="F451" s="6" t="n"/>
      <c r="G451" s="6" t="n"/>
      <c r="H451" s="6" t="n"/>
      <c r="I451" s="12">
        <f>IF($B451="","",IF(COUNTIF(Ventes_Factures!$A$6:$A$3005,$B451)&gt;0,"OK","INCONNUE"))</f>
        <v/>
      </c>
      <c r="J451" s="9">
        <f>IF($D451="","",ROUND($D451,2))</f>
        <v/>
      </c>
    </row>
    <row r="452">
      <c r="A452" s="6" t="n"/>
      <c r="B452" s="6" t="n"/>
      <c r="C452" s="7" t="n"/>
      <c r="D452" s="8" t="n"/>
      <c r="E452" s="6" t="n"/>
      <c r="F452" s="6" t="n"/>
      <c r="G452" s="6" t="n"/>
      <c r="H452" s="6" t="n"/>
      <c r="I452" s="12">
        <f>IF($B452="","",IF(COUNTIF(Ventes_Factures!$A$6:$A$3005,$B452)&gt;0,"OK","INCONNUE"))</f>
        <v/>
      </c>
      <c r="J452" s="9">
        <f>IF($D452="","",ROUND($D452,2))</f>
        <v/>
      </c>
    </row>
    <row r="453">
      <c r="A453" s="6" t="n"/>
      <c r="B453" s="6" t="n"/>
      <c r="C453" s="7" t="n"/>
      <c r="D453" s="8" t="n"/>
      <c r="E453" s="6" t="n"/>
      <c r="F453" s="6" t="n"/>
      <c r="G453" s="6" t="n"/>
      <c r="H453" s="6" t="n"/>
      <c r="I453" s="12">
        <f>IF($B453="","",IF(COUNTIF(Ventes_Factures!$A$6:$A$3005,$B453)&gt;0,"OK","INCONNUE"))</f>
        <v/>
      </c>
      <c r="J453" s="9">
        <f>IF($D453="","",ROUND($D453,2))</f>
        <v/>
      </c>
    </row>
    <row r="454">
      <c r="A454" s="6" t="n"/>
      <c r="B454" s="6" t="n"/>
      <c r="C454" s="7" t="n"/>
      <c r="D454" s="8" t="n"/>
      <c r="E454" s="6" t="n"/>
      <c r="F454" s="6" t="n"/>
      <c r="G454" s="6" t="n"/>
      <c r="H454" s="6" t="n"/>
      <c r="I454" s="12">
        <f>IF($B454="","",IF(COUNTIF(Ventes_Factures!$A$6:$A$3005,$B454)&gt;0,"OK","INCONNUE"))</f>
        <v/>
      </c>
      <c r="J454" s="9">
        <f>IF($D454="","",ROUND($D454,2))</f>
        <v/>
      </c>
    </row>
    <row r="455">
      <c r="A455" s="6" t="n"/>
      <c r="B455" s="6" t="n"/>
      <c r="C455" s="7" t="n"/>
      <c r="D455" s="8" t="n"/>
      <c r="E455" s="6" t="n"/>
      <c r="F455" s="6" t="n"/>
      <c r="G455" s="6" t="n"/>
      <c r="H455" s="6" t="n"/>
      <c r="I455" s="12">
        <f>IF($B455="","",IF(COUNTIF(Ventes_Factures!$A$6:$A$3005,$B455)&gt;0,"OK","INCONNUE"))</f>
        <v/>
      </c>
      <c r="J455" s="9">
        <f>IF($D455="","",ROUND($D455,2))</f>
        <v/>
      </c>
    </row>
    <row r="456">
      <c r="A456" s="6" t="n"/>
      <c r="B456" s="6" t="n"/>
      <c r="C456" s="7" t="n"/>
      <c r="D456" s="8" t="n"/>
      <c r="E456" s="6" t="n"/>
      <c r="F456" s="6" t="n"/>
      <c r="G456" s="6" t="n"/>
      <c r="H456" s="6" t="n"/>
      <c r="I456" s="12">
        <f>IF($B456="","",IF(COUNTIF(Ventes_Factures!$A$6:$A$3005,$B456)&gt;0,"OK","INCONNUE"))</f>
        <v/>
      </c>
      <c r="J456" s="9">
        <f>IF($D456="","",ROUND($D456,2))</f>
        <v/>
      </c>
    </row>
    <row r="457">
      <c r="A457" s="6" t="n"/>
      <c r="B457" s="6" t="n"/>
      <c r="C457" s="7" t="n"/>
      <c r="D457" s="8" t="n"/>
      <c r="E457" s="6" t="n"/>
      <c r="F457" s="6" t="n"/>
      <c r="G457" s="6" t="n"/>
      <c r="H457" s="6" t="n"/>
      <c r="I457" s="12">
        <f>IF($B457="","",IF(COUNTIF(Ventes_Factures!$A$6:$A$3005,$B457)&gt;0,"OK","INCONNUE"))</f>
        <v/>
      </c>
      <c r="J457" s="9">
        <f>IF($D457="","",ROUND($D457,2))</f>
        <v/>
      </c>
    </row>
    <row r="458">
      <c r="A458" s="6" t="n"/>
      <c r="B458" s="6" t="n"/>
      <c r="C458" s="7" t="n"/>
      <c r="D458" s="8" t="n"/>
      <c r="E458" s="6" t="n"/>
      <c r="F458" s="6" t="n"/>
      <c r="G458" s="6" t="n"/>
      <c r="H458" s="6" t="n"/>
      <c r="I458" s="12">
        <f>IF($B458="","",IF(COUNTIF(Ventes_Factures!$A$6:$A$3005,$B458)&gt;0,"OK","INCONNUE"))</f>
        <v/>
      </c>
      <c r="J458" s="9">
        <f>IF($D458="","",ROUND($D458,2))</f>
        <v/>
      </c>
    </row>
    <row r="459">
      <c r="A459" s="6" t="n"/>
      <c r="B459" s="6" t="n"/>
      <c r="C459" s="7" t="n"/>
      <c r="D459" s="8" t="n"/>
      <c r="E459" s="6" t="n"/>
      <c r="F459" s="6" t="n"/>
      <c r="G459" s="6" t="n"/>
      <c r="H459" s="6" t="n"/>
      <c r="I459" s="12">
        <f>IF($B459="","",IF(COUNTIF(Ventes_Factures!$A$6:$A$3005,$B459)&gt;0,"OK","INCONNUE"))</f>
        <v/>
      </c>
      <c r="J459" s="9">
        <f>IF($D459="","",ROUND($D459,2))</f>
        <v/>
      </c>
    </row>
    <row r="460">
      <c r="A460" s="6" t="n"/>
      <c r="B460" s="6" t="n"/>
      <c r="C460" s="7" t="n"/>
      <c r="D460" s="8" t="n"/>
      <c r="E460" s="6" t="n"/>
      <c r="F460" s="6" t="n"/>
      <c r="G460" s="6" t="n"/>
      <c r="H460" s="6" t="n"/>
      <c r="I460" s="12">
        <f>IF($B460="","",IF(COUNTIF(Ventes_Factures!$A$6:$A$3005,$B460)&gt;0,"OK","INCONNUE"))</f>
        <v/>
      </c>
      <c r="J460" s="9">
        <f>IF($D460="","",ROUND($D460,2))</f>
        <v/>
      </c>
    </row>
    <row r="461">
      <c r="A461" s="6" t="n"/>
      <c r="B461" s="6" t="n"/>
      <c r="C461" s="7" t="n"/>
      <c r="D461" s="8" t="n"/>
      <c r="E461" s="6" t="n"/>
      <c r="F461" s="6" t="n"/>
      <c r="G461" s="6" t="n"/>
      <c r="H461" s="6" t="n"/>
      <c r="I461" s="12">
        <f>IF($B461="","",IF(COUNTIF(Ventes_Factures!$A$6:$A$3005,$B461)&gt;0,"OK","INCONNUE"))</f>
        <v/>
      </c>
      <c r="J461" s="9">
        <f>IF($D461="","",ROUND($D461,2))</f>
        <v/>
      </c>
    </row>
    <row r="462">
      <c r="A462" s="6" t="n"/>
      <c r="B462" s="6" t="n"/>
      <c r="C462" s="7" t="n"/>
      <c r="D462" s="8" t="n"/>
      <c r="E462" s="6" t="n"/>
      <c r="F462" s="6" t="n"/>
      <c r="G462" s="6" t="n"/>
      <c r="H462" s="6" t="n"/>
      <c r="I462" s="12">
        <f>IF($B462="","",IF(COUNTIF(Ventes_Factures!$A$6:$A$3005,$B462)&gt;0,"OK","INCONNUE"))</f>
        <v/>
      </c>
      <c r="J462" s="9">
        <f>IF($D462="","",ROUND($D462,2))</f>
        <v/>
      </c>
    </row>
    <row r="463">
      <c r="A463" s="6" t="n"/>
      <c r="B463" s="6" t="n"/>
      <c r="C463" s="7" t="n"/>
      <c r="D463" s="8" t="n"/>
      <c r="E463" s="6" t="n"/>
      <c r="F463" s="6" t="n"/>
      <c r="G463" s="6" t="n"/>
      <c r="H463" s="6" t="n"/>
      <c r="I463" s="12">
        <f>IF($B463="","",IF(COUNTIF(Ventes_Factures!$A$6:$A$3005,$B463)&gt;0,"OK","INCONNUE"))</f>
        <v/>
      </c>
      <c r="J463" s="9">
        <f>IF($D463="","",ROUND($D463,2))</f>
        <v/>
      </c>
    </row>
    <row r="464">
      <c r="A464" s="6" t="n"/>
      <c r="B464" s="6" t="n"/>
      <c r="C464" s="7" t="n"/>
      <c r="D464" s="8" t="n"/>
      <c r="E464" s="6" t="n"/>
      <c r="F464" s="6" t="n"/>
      <c r="G464" s="6" t="n"/>
      <c r="H464" s="6" t="n"/>
      <c r="I464" s="12">
        <f>IF($B464="","",IF(COUNTIF(Ventes_Factures!$A$6:$A$3005,$B464)&gt;0,"OK","INCONNUE"))</f>
        <v/>
      </c>
      <c r="J464" s="9">
        <f>IF($D464="","",ROUND($D464,2))</f>
        <v/>
      </c>
    </row>
    <row r="465">
      <c r="A465" s="6" t="n"/>
      <c r="B465" s="6" t="n"/>
      <c r="C465" s="7" t="n"/>
      <c r="D465" s="8" t="n"/>
      <c r="E465" s="6" t="n"/>
      <c r="F465" s="6" t="n"/>
      <c r="G465" s="6" t="n"/>
      <c r="H465" s="6" t="n"/>
      <c r="I465" s="12">
        <f>IF($B465="","",IF(COUNTIF(Ventes_Factures!$A$6:$A$3005,$B465)&gt;0,"OK","INCONNUE"))</f>
        <v/>
      </c>
      <c r="J465" s="9">
        <f>IF($D465="","",ROUND($D465,2))</f>
        <v/>
      </c>
    </row>
    <row r="466">
      <c r="A466" s="6" t="n"/>
      <c r="B466" s="6" t="n"/>
      <c r="C466" s="7" t="n"/>
      <c r="D466" s="8" t="n"/>
      <c r="E466" s="6" t="n"/>
      <c r="F466" s="6" t="n"/>
      <c r="G466" s="6" t="n"/>
      <c r="H466" s="6" t="n"/>
      <c r="I466" s="12">
        <f>IF($B466="","",IF(COUNTIF(Ventes_Factures!$A$6:$A$3005,$B466)&gt;0,"OK","INCONNUE"))</f>
        <v/>
      </c>
      <c r="J466" s="9">
        <f>IF($D466="","",ROUND($D466,2))</f>
        <v/>
      </c>
    </row>
    <row r="467">
      <c r="A467" s="6" t="n"/>
      <c r="B467" s="6" t="n"/>
      <c r="C467" s="7" t="n"/>
      <c r="D467" s="8" t="n"/>
      <c r="E467" s="6" t="n"/>
      <c r="F467" s="6" t="n"/>
      <c r="G467" s="6" t="n"/>
      <c r="H467" s="6" t="n"/>
      <c r="I467" s="12">
        <f>IF($B467="","",IF(COUNTIF(Ventes_Factures!$A$6:$A$3005,$B467)&gt;0,"OK","INCONNUE"))</f>
        <v/>
      </c>
      <c r="J467" s="9">
        <f>IF($D467="","",ROUND($D467,2))</f>
        <v/>
      </c>
    </row>
    <row r="468">
      <c r="A468" s="6" t="n"/>
      <c r="B468" s="6" t="n"/>
      <c r="C468" s="7" t="n"/>
      <c r="D468" s="8" t="n"/>
      <c r="E468" s="6" t="n"/>
      <c r="F468" s="6" t="n"/>
      <c r="G468" s="6" t="n"/>
      <c r="H468" s="6" t="n"/>
      <c r="I468" s="12">
        <f>IF($B468="","",IF(COUNTIF(Ventes_Factures!$A$6:$A$3005,$B468)&gt;0,"OK","INCONNUE"))</f>
        <v/>
      </c>
      <c r="J468" s="9">
        <f>IF($D468="","",ROUND($D468,2))</f>
        <v/>
      </c>
    </row>
    <row r="469">
      <c r="A469" s="6" t="n"/>
      <c r="B469" s="6" t="n"/>
      <c r="C469" s="7" t="n"/>
      <c r="D469" s="8" t="n"/>
      <c r="E469" s="6" t="n"/>
      <c r="F469" s="6" t="n"/>
      <c r="G469" s="6" t="n"/>
      <c r="H469" s="6" t="n"/>
      <c r="I469" s="12">
        <f>IF($B469="","",IF(COUNTIF(Ventes_Factures!$A$6:$A$3005,$B469)&gt;0,"OK","INCONNUE"))</f>
        <v/>
      </c>
      <c r="J469" s="9">
        <f>IF($D469="","",ROUND($D469,2))</f>
        <v/>
      </c>
    </row>
    <row r="470">
      <c r="A470" s="6" t="n"/>
      <c r="B470" s="6" t="n"/>
      <c r="C470" s="7" t="n"/>
      <c r="D470" s="8" t="n"/>
      <c r="E470" s="6" t="n"/>
      <c r="F470" s="6" t="n"/>
      <c r="G470" s="6" t="n"/>
      <c r="H470" s="6" t="n"/>
      <c r="I470" s="12">
        <f>IF($B470="","",IF(COUNTIF(Ventes_Factures!$A$6:$A$3005,$B470)&gt;0,"OK","INCONNUE"))</f>
        <v/>
      </c>
      <c r="J470" s="9">
        <f>IF($D470="","",ROUND($D470,2))</f>
        <v/>
      </c>
    </row>
    <row r="471">
      <c r="A471" s="6" t="n"/>
      <c r="B471" s="6" t="n"/>
      <c r="C471" s="7" t="n"/>
      <c r="D471" s="8" t="n"/>
      <c r="E471" s="6" t="n"/>
      <c r="F471" s="6" t="n"/>
      <c r="G471" s="6" t="n"/>
      <c r="H471" s="6" t="n"/>
      <c r="I471" s="12">
        <f>IF($B471="","",IF(COUNTIF(Ventes_Factures!$A$6:$A$3005,$B471)&gt;0,"OK","INCONNUE"))</f>
        <v/>
      </c>
      <c r="J471" s="9">
        <f>IF($D471="","",ROUND($D471,2))</f>
        <v/>
      </c>
    </row>
    <row r="472">
      <c r="A472" s="6" t="n"/>
      <c r="B472" s="6" t="n"/>
      <c r="C472" s="7" t="n"/>
      <c r="D472" s="8" t="n"/>
      <c r="E472" s="6" t="n"/>
      <c r="F472" s="6" t="n"/>
      <c r="G472" s="6" t="n"/>
      <c r="H472" s="6" t="n"/>
      <c r="I472" s="12">
        <f>IF($B472="","",IF(COUNTIF(Ventes_Factures!$A$6:$A$3005,$B472)&gt;0,"OK","INCONNUE"))</f>
        <v/>
      </c>
      <c r="J472" s="9">
        <f>IF($D472="","",ROUND($D472,2))</f>
        <v/>
      </c>
    </row>
    <row r="473">
      <c r="A473" s="6" t="n"/>
      <c r="B473" s="6" t="n"/>
      <c r="C473" s="7" t="n"/>
      <c r="D473" s="8" t="n"/>
      <c r="E473" s="6" t="n"/>
      <c r="F473" s="6" t="n"/>
      <c r="G473" s="6" t="n"/>
      <c r="H473" s="6" t="n"/>
      <c r="I473" s="12">
        <f>IF($B473="","",IF(COUNTIF(Ventes_Factures!$A$6:$A$3005,$B473)&gt;0,"OK","INCONNUE"))</f>
        <v/>
      </c>
      <c r="J473" s="9">
        <f>IF($D473="","",ROUND($D473,2))</f>
        <v/>
      </c>
    </row>
    <row r="474">
      <c r="A474" s="6" t="n"/>
      <c r="B474" s="6" t="n"/>
      <c r="C474" s="7" t="n"/>
      <c r="D474" s="8" t="n"/>
      <c r="E474" s="6" t="n"/>
      <c r="F474" s="6" t="n"/>
      <c r="G474" s="6" t="n"/>
      <c r="H474" s="6" t="n"/>
      <c r="I474" s="12">
        <f>IF($B474="","",IF(COUNTIF(Ventes_Factures!$A$6:$A$3005,$B474)&gt;0,"OK","INCONNUE"))</f>
        <v/>
      </c>
      <c r="J474" s="9">
        <f>IF($D474="","",ROUND($D474,2))</f>
        <v/>
      </c>
    </row>
    <row r="475">
      <c r="A475" s="6" t="n"/>
      <c r="B475" s="6" t="n"/>
      <c r="C475" s="7" t="n"/>
      <c r="D475" s="8" t="n"/>
      <c r="E475" s="6" t="n"/>
      <c r="F475" s="6" t="n"/>
      <c r="G475" s="6" t="n"/>
      <c r="H475" s="6" t="n"/>
      <c r="I475" s="12">
        <f>IF($B475="","",IF(COUNTIF(Ventes_Factures!$A$6:$A$3005,$B475)&gt;0,"OK","INCONNUE"))</f>
        <v/>
      </c>
      <c r="J475" s="9">
        <f>IF($D475="","",ROUND($D475,2))</f>
        <v/>
      </c>
    </row>
    <row r="476">
      <c r="A476" s="6" t="n"/>
      <c r="B476" s="6" t="n"/>
      <c r="C476" s="7" t="n"/>
      <c r="D476" s="8" t="n"/>
      <c r="E476" s="6" t="n"/>
      <c r="F476" s="6" t="n"/>
      <c r="G476" s="6" t="n"/>
      <c r="H476" s="6" t="n"/>
      <c r="I476" s="12">
        <f>IF($B476="","",IF(COUNTIF(Ventes_Factures!$A$6:$A$3005,$B476)&gt;0,"OK","INCONNUE"))</f>
        <v/>
      </c>
      <c r="J476" s="9">
        <f>IF($D476="","",ROUND($D476,2))</f>
        <v/>
      </c>
    </row>
    <row r="477">
      <c r="A477" s="6" t="n"/>
      <c r="B477" s="6" t="n"/>
      <c r="C477" s="7" t="n"/>
      <c r="D477" s="8" t="n"/>
      <c r="E477" s="6" t="n"/>
      <c r="F477" s="6" t="n"/>
      <c r="G477" s="6" t="n"/>
      <c r="H477" s="6" t="n"/>
      <c r="I477" s="12">
        <f>IF($B477="","",IF(COUNTIF(Ventes_Factures!$A$6:$A$3005,$B477)&gt;0,"OK","INCONNUE"))</f>
        <v/>
      </c>
      <c r="J477" s="9">
        <f>IF($D477="","",ROUND($D477,2))</f>
        <v/>
      </c>
    </row>
    <row r="478">
      <c r="A478" s="6" t="n"/>
      <c r="B478" s="6" t="n"/>
      <c r="C478" s="7" t="n"/>
      <c r="D478" s="8" t="n"/>
      <c r="E478" s="6" t="n"/>
      <c r="F478" s="6" t="n"/>
      <c r="G478" s="6" t="n"/>
      <c r="H478" s="6" t="n"/>
      <c r="I478" s="12">
        <f>IF($B478="","",IF(COUNTIF(Ventes_Factures!$A$6:$A$3005,$B478)&gt;0,"OK","INCONNUE"))</f>
        <v/>
      </c>
      <c r="J478" s="9">
        <f>IF($D478="","",ROUND($D478,2))</f>
        <v/>
      </c>
    </row>
    <row r="479">
      <c r="A479" s="6" t="n"/>
      <c r="B479" s="6" t="n"/>
      <c r="C479" s="7" t="n"/>
      <c r="D479" s="8" t="n"/>
      <c r="E479" s="6" t="n"/>
      <c r="F479" s="6" t="n"/>
      <c r="G479" s="6" t="n"/>
      <c r="H479" s="6" t="n"/>
      <c r="I479" s="12">
        <f>IF($B479="","",IF(COUNTIF(Ventes_Factures!$A$6:$A$3005,$B479)&gt;0,"OK","INCONNUE"))</f>
        <v/>
      </c>
      <c r="J479" s="9">
        <f>IF($D479="","",ROUND($D479,2))</f>
        <v/>
      </c>
    </row>
    <row r="480">
      <c r="A480" s="6" t="n"/>
      <c r="B480" s="6" t="n"/>
      <c r="C480" s="7" t="n"/>
      <c r="D480" s="8" t="n"/>
      <c r="E480" s="6" t="n"/>
      <c r="F480" s="6" t="n"/>
      <c r="G480" s="6" t="n"/>
      <c r="H480" s="6" t="n"/>
      <c r="I480" s="12">
        <f>IF($B480="","",IF(COUNTIF(Ventes_Factures!$A$6:$A$3005,$B480)&gt;0,"OK","INCONNUE"))</f>
        <v/>
      </c>
      <c r="J480" s="9">
        <f>IF($D480="","",ROUND($D480,2))</f>
        <v/>
      </c>
    </row>
    <row r="481">
      <c r="A481" s="6" t="n"/>
      <c r="B481" s="6" t="n"/>
      <c r="C481" s="7" t="n"/>
      <c r="D481" s="8" t="n"/>
      <c r="E481" s="6" t="n"/>
      <c r="F481" s="6" t="n"/>
      <c r="G481" s="6" t="n"/>
      <c r="H481" s="6" t="n"/>
      <c r="I481" s="12">
        <f>IF($B481="","",IF(COUNTIF(Ventes_Factures!$A$6:$A$3005,$B481)&gt;0,"OK","INCONNUE"))</f>
        <v/>
      </c>
      <c r="J481" s="9">
        <f>IF($D481="","",ROUND($D481,2))</f>
        <v/>
      </c>
    </row>
    <row r="482">
      <c r="A482" s="6" t="n"/>
      <c r="B482" s="6" t="n"/>
      <c r="C482" s="7" t="n"/>
      <c r="D482" s="8" t="n"/>
      <c r="E482" s="6" t="n"/>
      <c r="F482" s="6" t="n"/>
      <c r="G482" s="6" t="n"/>
      <c r="H482" s="6" t="n"/>
      <c r="I482" s="12">
        <f>IF($B482="","",IF(COUNTIF(Ventes_Factures!$A$6:$A$3005,$B482)&gt;0,"OK","INCONNUE"))</f>
        <v/>
      </c>
      <c r="J482" s="9">
        <f>IF($D482="","",ROUND($D482,2))</f>
        <v/>
      </c>
    </row>
    <row r="483">
      <c r="A483" s="6" t="n"/>
      <c r="B483" s="6" t="n"/>
      <c r="C483" s="7" t="n"/>
      <c r="D483" s="8" t="n"/>
      <c r="E483" s="6" t="n"/>
      <c r="F483" s="6" t="n"/>
      <c r="G483" s="6" t="n"/>
      <c r="H483" s="6" t="n"/>
      <c r="I483" s="12">
        <f>IF($B483="","",IF(COUNTIF(Ventes_Factures!$A$6:$A$3005,$B483)&gt;0,"OK","INCONNUE"))</f>
        <v/>
      </c>
      <c r="J483" s="9">
        <f>IF($D483="","",ROUND($D483,2))</f>
        <v/>
      </c>
    </row>
    <row r="484">
      <c r="A484" s="6" t="n"/>
      <c r="B484" s="6" t="n"/>
      <c r="C484" s="7" t="n"/>
      <c r="D484" s="8" t="n"/>
      <c r="E484" s="6" t="n"/>
      <c r="F484" s="6" t="n"/>
      <c r="G484" s="6" t="n"/>
      <c r="H484" s="6" t="n"/>
      <c r="I484" s="12">
        <f>IF($B484="","",IF(COUNTIF(Ventes_Factures!$A$6:$A$3005,$B484)&gt;0,"OK","INCONNUE"))</f>
        <v/>
      </c>
      <c r="J484" s="9">
        <f>IF($D484="","",ROUND($D484,2))</f>
        <v/>
      </c>
    </row>
    <row r="485">
      <c r="A485" s="6" t="n"/>
      <c r="B485" s="6" t="n"/>
      <c r="C485" s="7" t="n"/>
      <c r="D485" s="8" t="n"/>
      <c r="E485" s="6" t="n"/>
      <c r="F485" s="6" t="n"/>
      <c r="G485" s="6" t="n"/>
      <c r="H485" s="6" t="n"/>
      <c r="I485" s="12">
        <f>IF($B485="","",IF(COUNTIF(Ventes_Factures!$A$6:$A$3005,$B485)&gt;0,"OK","INCONNUE"))</f>
        <v/>
      </c>
      <c r="J485" s="9">
        <f>IF($D485="","",ROUND($D485,2))</f>
        <v/>
      </c>
    </row>
    <row r="486">
      <c r="A486" s="6" t="n"/>
      <c r="B486" s="6" t="n"/>
      <c r="C486" s="7" t="n"/>
      <c r="D486" s="8" t="n"/>
      <c r="E486" s="6" t="n"/>
      <c r="F486" s="6" t="n"/>
      <c r="G486" s="6" t="n"/>
      <c r="H486" s="6" t="n"/>
      <c r="I486" s="12">
        <f>IF($B486="","",IF(COUNTIF(Ventes_Factures!$A$6:$A$3005,$B486)&gt;0,"OK","INCONNUE"))</f>
        <v/>
      </c>
      <c r="J486" s="9">
        <f>IF($D486="","",ROUND($D486,2))</f>
        <v/>
      </c>
    </row>
    <row r="487">
      <c r="A487" s="6" t="n"/>
      <c r="B487" s="6" t="n"/>
      <c r="C487" s="7" t="n"/>
      <c r="D487" s="8" t="n"/>
      <c r="E487" s="6" t="n"/>
      <c r="F487" s="6" t="n"/>
      <c r="G487" s="6" t="n"/>
      <c r="H487" s="6" t="n"/>
      <c r="I487" s="12">
        <f>IF($B487="","",IF(COUNTIF(Ventes_Factures!$A$6:$A$3005,$B487)&gt;0,"OK","INCONNUE"))</f>
        <v/>
      </c>
      <c r="J487" s="9">
        <f>IF($D487="","",ROUND($D487,2))</f>
        <v/>
      </c>
    </row>
    <row r="488">
      <c r="A488" s="6" t="n"/>
      <c r="B488" s="6" t="n"/>
      <c r="C488" s="7" t="n"/>
      <c r="D488" s="8" t="n"/>
      <c r="E488" s="6" t="n"/>
      <c r="F488" s="6" t="n"/>
      <c r="G488" s="6" t="n"/>
      <c r="H488" s="6" t="n"/>
      <c r="I488" s="12">
        <f>IF($B488="","",IF(COUNTIF(Ventes_Factures!$A$6:$A$3005,$B488)&gt;0,"OK","INCONNUE"))</f>
        <v/>
      </c>
      <c r="J488" s="9">
        <f>IF($D488="","",ROUND($D488,2))</f>
        <v/>
      </c>
    </row>
    <row r="489">
      <c r="A489" s="6" t="n"/>
      <c r="B489" s="6" t="n"/>
      <c r="C489" s="7" t="n"/>
      <c r="D489" s="8" t="n"/>
      <c r="E489" s="6" t="n"/>
      <c r="F489" s="6" t="n"/>
      <c r="G489" s="6" t="n"/>
      <c r="H489" s="6" t="n"/>
      <c r="I489" s="12">
        <f>IF($B489="","",IF(COUNTIF(Ventes_Factures!$A$6:$A$3005,$B489)&gt;0,"OK","INCONNUE"))</f>
        <v/>
      </c>
      <c r="J489" s="9">
        <f>IF($D489="","",ROUND($D489,2))</f>
        <v/>
      </c>
    </row>
    <row r="490">
      <c r="A490" s="6" t="n"/>
      <c r="B490" s="6" t="n"/>
      <c r="C490" s="7" t="n"/>
      <c r="D490" s="8" t="n"/>
      <c r="E490" s="6" t="n"/>
      <c r="F490" s="6" t="n"/>
      <c r="G490" s="6" t="n"/>
      <c r="H490" s="6" t="n"/>
      <c r="I490" s="12">
        <f>IF($B490="","",IF(COUNTIF(Ventes_Factures!$A$6:$A$3005,$B490)&gt;0,"OK","INCONNUE"))</f>
        <v/>
      </c>
      <c r="J490" s="9">
        <f>IF($D490="","",ROUND($D490,2))</f>
        <v/>
      </c>
    </row>
    <row r="491">
      <c r="A491" s="6" t="n"/>
      <c r="B491" s="6" t="n"/>
      <c r="C491" s="7" t="n"/>
      <c r="D491" s="8" t="n"/>
      <c r="E491" s="6" t="n"/>
      <c r="F491" s="6" t="n"/>
      <c r="G491" s="6" t="n"/>
      <c r="H491" s="6" t="n"/>
      <c r="I491" s="12">
        <f>IF($B491="","",IF(COUNTIF(Ventes_Factures!$A$6:$A$3005,$B491)&gt;0,"OK","INCONNUE"))</f>
        <v/>
      </c>
      <c r="J491" s="9">
        <f>IF($D491="","",ROUND($D491,2))</f>
        <v/>
      </c>
    </row>
    <row r="492">
      <c r="A492" s="6" t="n"/>
      <c r="B492" s="6" t="n"/>
      <c r="C492" s="7" t="n"/>
      <c r="D492" s="8" t="n"/>
      <c r="E492" s="6" t="n"/>
      <c r="F492" s="6" t="n"/>
      <c r="G492" s="6" t="n"/>
      <c r="H492" s="6" t="n"/>
      <c r="I492" s="12">
        <f>IF($B492="","",IF(COUNTIF(Ventes_Factures!$A$6:$A$3005,$B492)&gt;0,"OK","INCONNUE"))</f>
        <v/>
      </c>
      <c r="J492" s="9">
        <f>IF($D492="","",ROUND($D492,2))</f>
        <v/>
      </c>
    </row>
    <row r="493">
      <c r="A493" s="6" t="n"/>
      <c r="B493" s="6" t="n"/>
      <c r="C493" s="7" t="n"/>
      <c r="D493" s="8" t="n"/>
      <c r="E493" s="6" t="n"/>
      <c r="F493" s="6" t="n"/>
      <c r="G493" s="6" t="n"/>
      <c r="H493" s="6" t="n"/>
      <c r="I493" s="12">
        <f>IF($B493="","",IF(COUNTIF(Ventes_Factures!$A$6:$A$3005,$B493)&gt;0,"OK","INCONNUE"))</f>
        <v/>
      </c>
      <c r="J493" s="9">
        <f>IF($D493="","",ROUND($D493,2))</f>
        <v/>
      </c>
    </row>
    <row r="494">
      <c r="A494" s="6" t="n"/>
      <c r="B494" s="6" t="n"/>
      <c r="C494" s="7" t="n"/>
      <c r="D494" s="8" t="n"/>
      <c r="E494" s="6" t="n"/>
      <c r="F494" s="6" t="n"/>
      <c r="G494" s="6" t="n"/>
      <c r="H494" s="6" t="n"/>
      <c r="I494" s="12">
        <f>IF($B494="","",IF(COUNTIF(Ventes_Factures!$A$6:$A$3005,$B494)&gt;0,"OK","INCONNUE"))</f>
        <v/>
      </c>
      <c r="J494" s="9">
        <f>IF($D494="","",ROUND($D494,2))</f>
        <v/>
      </c>
    </row>
    <row r="495">
      <c r="A495" s="6" t="n"/>
      <c r="B495" s="6" t="n"/>
      <c r="C495" s="7" t="n"/>
      <c r="D495" s="8" t="n"/>
      <c r="E495" s="6" t="n"/>
      <c r="F495" s="6" t="n"/>
      <c r="G495" s="6" t="n"/>
      <c r="H495" s="6" t="n"/>
      <c r="I495" s="12">
        <f>IF($B495="","",IF(COUNTIF(Ventes_Factures!$A$6:$A$3005,$B495)&gt;0,"OK","INCONNUE"))</f>
        <v/>
      </c>
      <c r="J495" s="9">
        <f>IF($D495="","",ROUND($D495,2))</f>
        <v/>
      </c>
    </row>
    <row r="496">
      <c r="A496" s="6" t="n"/>
      <c r="B496" s="6" t="n"/>
      <c r="C496" s="7" t="n"/>
      <c r="D496" s="8" t="n"/>
      <c r="E496" s="6" t="n"/>
      <c r="F496" s="6" t="n"/>
      <c r="G496" s="6" t="n"/>
      <c r="H496" s="6" t="n"/>
      <c r="I496" s="12">
        <f>IF($B496="","",IF(COUNTIF(Ventes_Factures!$A$6:$A$3005,$B496)&gt;0,"OK","INCONNUE"))</f>
        <v/>
      </c>
      <c r="J496" s="9">
        <f>IF($D496="","",ROUND($D496,2))</f>
        <v/>
      </c>
    </row>
    <row r="497">
      <c r="A497" s="6" t="n"/>
      <c r="B497" s="6" t="n"/>
      <c r="C497" s="7" t="n"/>
      <c r="D497" s="8" t="n"/>
      <c r="E497" s="6" t="n"/>
      <c r="F497" s="6" t="n"/>
      <c r="G497" s="6" t="n"/>
      <c r="H497" s="6" t="n"/>
      <c r="I497" s="12">
        <f>IF($B497="","",IF(COUNTIF(Ventes_Factures!$A$6:$A$3005,$B497)&gt;0,"OK","INCONNUE"))</f>
        <v/>
      </c>
      <c r="J497" s="9">
        <f>IF($D497="","",ROUND($D497,2))</f>
        <v/>
      </c>
    </row>
    <row r="498">
      <c r="A498" s="6" t="n"/>
      <c r="B498" s="6" t="n"/>
      <c r="C498" s="7" t="n"/>
      <c r="D498" s="8" t="n"/>
      <c r="E498" s="6" t="n"/>
      <c r="F498" s="6" t="n"/>
      <c r="G498" s="6" t="n"/>
      <c r="H498" s="6" t="n"/>
      <c r="I498" s="12">
        <f>IF($B498="","",IF(COUNTIF(Ventes_Factures!$A$6:$A$3005,$B498)&gt;0,"OK","INCONNUE"))</f>
        <v/>
      </c>
      <c r="J498" s="9">
        <f>IF($D498="","",ROUND($D498,2))</f>
        <v/>
      </c>
    </row>
    <row r="499">
      <c r="A499" s="6" t="n"/>
      <c r="B499" s="6" t="n"/>
      <c r="C499" s="7" t="n"/>
      <c r="D499" s="8" t="n"/>
      <c r="E499" s="6" t="n"/>
      <c r="F499" s="6" t="n"/>
      <c r="G499" s="6" t="n"/>
      <c r="H499" s="6" t="n"/>
      <c r="I499" s="12">
        <f>IF($B499="","",IF(COUNTIF(Ventes_Factures!$A$6:$A$3005,$B499)&gt;0,"OK","INCONNUE"))</f>
        <v/>
      </c>
      <c r="J499" s="9">
        <f>IF($D499="","",ROUND($D499,2))</f>
        <v/>
      </c>
    </row>
    <row r="500">
      <c r="A500" s="6" t="n"/>
      <c r="B500" s="6" t="n"/>
      <c r="C500" s="7" t="n"/>
      <c r="D500" s="8" t="n"/>
      <c r="E500" s="6" t="n"/>
      <c r="F500" s="6" t="n"/>
      <c r="G500" s="6" t="n"/>
      <c r="H500" s="6" t="n"/>
      <c r="I500" s="12">
        <f>IF($B500="","",IF(COUNTIF(Ventes_Factures!$A$6:$A$3005,$B500)&gt;0,"OK","INCONNUE"))</f>
        <v/>
      </c>
      <c r="J500" s="9">
        <f>IF($D500="","",ROUND($D500,2))</f>
        <v/>
      </c>
    </row>
    <row r="501">
      <c r="A501" s="6" t="n"/>
      <c r="B501" s="6" t="n"/>
      <c r="C501" s="7" t="n"/>
      <c r="D501" s="8" t="n"/>
      <c r="E501" s="6" t="n"/>
      <c r="F501" s="6" t="n"/>
      <c r="G501" s="6" t="n"/>
      <c r="H501" s="6" t="n"/>
      <c r="I501" s="12">
        <f>IF($B501="","",IF(COUNTIF(Ventes_Factures!$A$6:$A$3005,$B501)&gt;0,"OK","INCONNUE"))</f>
        <v/>
      </c>
      <c r="J501" s="9">
        <f>IF($D501="","",ROUND($D501,2))</f>
        <v/>
      </c>
    </row>
    <row r="502">
      <c r="A502" s="6" t="n"/>
      <c r="B502" s="6" t="n"/>
      <c r="C502" s="7" t="n"/>
      <c r="D502" s="8" t="n"/>
      <c r="E502" s="6" t="n"/>
      <c r="F502" s="6" t="n"/>
      <c r="G502" s="6" t="n"/>
      <c r="H502" s="6" t="n"/>
      <c r="I502" s="12">
        <f>IF($B502="","",IF(COUNTIF(Ventes_Factures!$A$6:$A$3005,$B502)&gt;0,"OK","INCONNUE"))</f>
        <v/>
      </c>
      <c r="J502" s="9">
        <f>IF($D502="","",ROUND($D502,2))</f>
        <v/>
      </c>
    </row>
    <row r="503">
      <c r="A503" s="6" t="n"/>
      <c r="B503" s="6" t="n"/>
      <c r="C503" s="7" t="n"/>
      <c r="D503" s="8" t="n"/>
      <c r="E503" s="6" t="n"/>
      <c r="F503" s="6" t="n"/>
      <c r="G503" s="6" t="n"/>
      <c r="H503" s="6" t="n"/>
      <c r="I503" s="12">
        <f>IF($B503="","",IF(COUNTIF(Ventes_Factures!$A$6:$A$3005,$B503)&gt;0,"OK","INCONNUE"))</f>
        <v/>
      </c>
      <c r="J503" s="9">
        <f>IF($D503="","",ROUND($D503,2))</f>
        <v/>
      </c>
    </row>
    <row r="504">
      <c r="A504" s="6" t="n"/>
      <c r="B504" s="6" t="n"/>
      <c r="C504" s="7" t="n"/>
      <c r="D504" s="8" t="n"/>
      <c r="E504" s="6" t="n"/>
      <c r="F504" s="6" t="n"/>
      <c r="G504" s="6" t="n"/>
      <c r="H504" s="6" t="n"/>
      <c r="I504" s="12">
        <f>IF($B504="","",IF(COUNTIF(Ventes_Factures!$A$6:$A$3005,$B504)&gt;0,"OK","INCONNUE"))</f>
        <v/>
      </c>
      <c r="J504" s="9">
        <f>IF($D504="","",ROUND($D504,2))</f>
        <v/>
      </c>
    </row>
    <row r="505">
      <c r="A505" s="6" t="n"/>
      <c r="B505" s="6" t="n"/>
      <c r="C505" s="7" t="n"/>
      <c r="D505" s="8" t="n"/>
      <c r="E505" s="6" t="n"/>
      <c r="F505" s="6" t="n"/>
      <c r="G505" s="6" t="n"/>
      <c r="H505" s="6" t="n"/>
      <c r="I505" s="12">
        <f>IF($B505="","",IF(COUNTIF(Ventes_Factures!$A$6:$A$3005,$B505)&gt;0,"OK","INCONNUE"))</f>
        <v/>
      </c>
      <c r="J505" s="9">
        <f>IF($D505="","",ROUND($D505,2))</f>
        <v/>
      </c>
    </row>
    <row r="506">
      <c r="A506" s="6" t="n"/>
      <c r="B506" s="6" t="n"/>
      <c r="C506" s="7" t="n"/>
      <c r="D506" s="8" t="n"/>
      <c r="E506" s="6" t="n"/>
      <c r="F506" s="6" t="n"/>
      <c r="G506" s="6" t="n"/>
      <c r="H506" s="6" t="n"/>
      <c r="I506" s="12">
        <f>IF($B506="","",IF(COUNTIF(Ventes_Factures!$A$6:$A$3005,$B506)&gt;0,"OK","INCONNUE"))</f>
        <v/>
      </c>
      <c r="J506" s="9">
        <f>IF($D506="","",ROUND($D506,2))</f>
        <v/>
      </c>
    </row>
    <row r="507">
      <c r="A507" s="6" t="n"/>
      <c r="B507" s="6" t="n"/>
      <c r="C507" s="7" t="n"/>
      <c r="D507" s="8" t="n"/>
      <c r="E507" s="6" t="n"/>
      <c r="F507" s="6" t="n"/>
      <c r="G507" s="6" t="n"/>
      <c r="H507" s="6" t="n"/>
      <c r="I507" s="12">
        <f>IF($B507="","",IF(COUNTIF(Ventes_Factures!$A$6:$A$3005,$B507)&gt;0,"OK","INCONNUE"))</f>
        <v/>
      </c>
      <c r="J507" s="9">
        <f>IF($D507="","",ROUND($D507,2))</f>
        <v/>
      </c>
    </row>
    <row r="508">
      <c r="A508" s="6" t="n"/>
      <c r="B508" s="6" t="n"/>
      <c r="C508" s="7" t="n"/>
      <c r="D508" s="8" t="n"/>
      <c r="E508" s="6" t="n"/>
      <c r="F508" s="6" t="n"/>
      <c r="G508" s="6" t="n"/>
      <c r="H508" s="6" t="n"/>
      <c r="I508" s="12">
        <f>IF($B508="","",IF(COUNTIF(Ventes_Factures!$A$6:$A$3005,$B508)&gt;0,"OK","INCONNUE"))</f>
        <v/>
      </c>
      <c r="J508" s="9">
        <f>IF($D508="","",ROUND($D508,2))</f>
        <v/>
      </c>
    </row>
    <row r="509">
      <c r="A509" s="6" t="n"/>
      <c r="B509" s="6" t="n"/>
      <c r="C509" s="7" t="n"/>
      <c r="D509" s="8" t="n"/>
      <c r="E509" s="6" t="n"/>
      <c r="F509" s="6" t="n"/>
      <c r="G509" s="6" t="n"/>
      <c r="H509" s="6" t="n"/>
      <c r="I509" s="12">
        <f>IF($B509="","",IF(COUNTIF(Ventes_Factures!$A$6:$A$3005,$B509)&gt;0,"OK","INCONNUE"))</f>
        <v/>
      </c>
      <c r="J509" s="9">
        <f>IF($D509="","",ROUND($D509,2))</f>
        <v/>
      </c>
    </row>
    <row r="510">
      <c r="A510" s="6" t="n"/>
      <c r="B510" s="6" t="n"/>
      <c r="C510" s="7" t="n"/>
      <c r="D510" s="8" t="n"/>
      <c r="E510" s="6" t="n"/>
      <c r="F510" s="6" t="n"/>
      <c r="G510" s="6" t="n"/>
      <c r="H510" s="6" t="n"/>
      <c r="I510" s="12">
        <f>IF($B510="","",IF(COUNTIF(Ventes_Factures!$A$6:$A$3005,$B510)&gt;0,"OK","INCONNUE"))</f>
        <v/>
      </c>
      <c r="J510" s="9">
        <f>IF($D510="","",ROUND($D510,2))</f>
        <v/>
      </c>
    </row>
    <row r="511">
      <c r="A511" s="6" t="n"/>
      <c r="B511" s="6" t="n"/>
      <c r="C511" s="7" t="n"/>
      <c r="D511" s="8" t="n"/>
      <c r="E511" s="6" t="n"/>
      <c r="F511" s="6" t="n"/>
      <c r="G511" s="6" t="n"/>
      <c r="H511" s="6" t="n"/>
      <c r="I511" s="12">
        <f>IF($B511="","",IF(COUNTIF(Ventes_Factures!$A$6:$A$3005,$B511)&gt;0,"OK","INCONNUE"))</f>
        <v/>
      </c>
      <c r="J511" s="9">
        <f>IF($D511="","",ROUND($D511,2))</f>
        <v/>
      </c>
    </row>
    <row r="512">
      <c r="A512" s="6" t="n"/>
      <c r="B512" s="6" t="n"/>
      <c r="C512" s="7" t="n"/>
      <c r="D512" s="8" t="n"/>
      <c r="E512" s="6" t="n"/>
      <c r="F512" s="6" t="n"/>
      <c r="G512" s="6" t="n"/>
      <c r="H512" s="6" t="n"/>
      <c r="I512" s="12">
        <f>IF($B512="","",IF(COUNTIF(Ventes_Factures!$A$6:$A$3005,$B512)&gt;0,"OK","INCONNUE"))</f>
        <v/>
      </c>
      <c r="J512" s="9">
        <f>IF($D512="","",ROUND($D512,2))</f>
        <v/>
      </c>
    </row>
    <row r="513">
      <c r="A513" s="6" t="n"/>
      <c r="B513" s="6" t="n"/>
      <c r="C513" s="7" t="n"/>
      <c r="D513" s="8" t="n"/>
      <c r="E513" s="6" t="n"/>
      <c r="F513" s="6" t="n"/>
      <c r="G513" s="6" t="n"/>
      <c r="H513" s="6" t="n"/>
      <c r="I513" s="12">
        <f>IF($B513="","",IF(COUNTIF(Ventes_Factures!$A$6:$A$3005,$B513)&gt;0,"OK","INCONNUE"))</f>
        <v/>
      </c>
      <c r="J513" s="9">
        <f>IF($D513="","",ROUND($D513,2))</f>
        <v/>
      </c>
    </row>
    <row r="514">
      <c r="A514" s="6" t="n"/>
      <c r="B514" s="6" t="n"/>
      <c r="C514" s="7" t="n"/>
      <c r="D514" s="8" t="n"/>
      <c r="E514" s="6" t="n"/>
      <c r="F514" s="6" t="n"/>
      <c r="G514" s="6" t="n"/>
      <c r="H514" s="6" t="n"/>
      <c r="I514" s="12">
        <f>IF($B514="","",IF(COUNTIF(Ventes_Factures!$A$6:$A$3005,$B514)&gt;0,"OK","INCONNUE"))</f>
        <v/>
      </c>
      <c r="J514" s="9">
        <f>IF($D514="","",ROUND($D514,2))</f>
        <v/>
      </c>
    </row>
    <row r="515">
      <c r="A515" s="6" t="n"/>
      <c r="B515" s="6" t="n"/>
      <c r="C515" s="7" t="n"/>
      <c r="D515" s="8" t="n"/>
      <c r="E515" s="6" t="n"/>
      <c r="F515" s="6" t="n"/>
      <c r="G515" s="6" t="n"/>
      <c r="H515" s="6" t="n"/>
      <c r="I515" s="12">
        <f>IF($B515="","",IF(COUNTIF(Ventes_Factures!$A$6:$A$3005,$B515)&gt;0,"OK","INCONNUE"))</f>
        <v/>
      </c>
      <c r="J515" s="9">
        <f>IF($D515="","",ROUND($D515,2))</f>
        <v/>
      </c>
    </row>
    <row r="516">
      <c r="A516" s="6" t="n"/>
      <c r="B516" s="6" t="n"/>
      <c r="C516" s="7" t="n"/>
      <c r="D516" s="8" t="n"/>
      <c r="E516" s="6" t="n"/>
      <c r="F516" s="6" t="n"/>
      <c r="G516" s="6" t="n"/>
      <c r="H516" s="6" t="n"/>
      <c r="I516" s="12">
        <f>IF($B516="","",IF(COUNTIF(Ventes_Factures!$A$6:$A$3005,$B516)&gt;0,"OK","INCONNUE"))</f>
        <v/>
      </c>
      <c r="J516" s="9">
        <f>IF($D516="","",ROUND($D516,2))</f>
        <v/>
      </c>
    </row>
    <row r="517">
      <c r="A517" s="6" t="n"/>
      <c r="B517" s="6" t="n"/>
      <c r="C517" s="7" t="n"/>
      <c r="D517" s="8" t="n"/>
      <c r="E517" s="6" t="n"/>
      <c r="F517" s="6" t="n"/>
      <c r="G517" s="6" t="n"/>
      <c r="H517" s="6" t="n"/>
      <c r="I517" s="12">
        <f>IF($B517="","",IF(COUNTIF(Ventes_Factures!$A$6:$A$3005,$B517)&gt;0,"OK","INCONNUE"))</f>
        <v/>
      </c>
      <c r="J517" s="9">
        <f>IF($D517="","",ROUND($D517,2))</f>
        <v/>
      </c>
    </row>
    <row r="518">
      <c r="A518" s="6" t="n"/>
      <c r="B518" s="6" t="n"/>
      <c r="C518" s="7" t="n"/>
      <c r="D518" s="8" t="n"/>
      <c r="E518" s="6" t="n"/>
      <c r="F518" s="6" t="n"/>
      <c r="G518" s="6" t="n"/>
      <c r="H518" s="6" t="n"/>
      <c r="I518" s="12">
        <f>IF($B518="","",IF(COUNTIF(Ventes_Factures!$A$6:$A$3005,$B518)&gt;0,"OK","INCONNUE"))</f>
        <v/>
      </c>
      <c r="J518" s="9">
        <f>IF($D518="","",ROUND($D518,2))</f>
        <v/>
      </c>
    </row>
    <row r="519">
      <c r="A519" s="6" t="n"/>
      <c r="B519" s="6" t="n"/>
      <c r="C519" s="7" t="n"/>
      <c r="D519" s="8" t="n"/>
      <c r="E519" s="6" t="n"/>
      <c r="F519" s="6" t="n"/>
      <c r="G519" s="6" t="n"/>
      <c r="H519" s="6" t="n"/>
      <c r="I519" s="12">
        <f>IF($B519="","",IF(COUNTIF(Ventes_Factures!$A$6:$A$3005,$B519)&gt;0,"OK","INCONNUE"))</f>
        <v/>
      </c>
      <c r="J519" s="9">
        <f>IF($D519="","",ROUND($D519,2))</f>
        <v/>
      </c>
    </row>
    <row r="520">
      <c r="A520" s="6" t="n"/>
      <c r="B520" s="6" t="n"/>
      <c r="C520" s="7" t="n"/>
      <c r="D520" s="8" t="n"/>
      <c r="E520" s="6" t="n"/>
      <c r="F520" s="6" t="n"/>
      <c r="G520" s="6" t="n"/>
      <c r="H520" s="6" t="n"/>
      <c r="I520" s="12">
        <f>IF($B520="","",IF(COUNTIF(Ventes_Factures!$A$6:$A$3005,$B520)&gt;0,"OK","INCONNUE"))</f>
        <v/>
      </c>
      <c r="J520" s="9">
        <f>IF($D520="","",ROUND($D520,2))</f>
        <v/>
      </c>
    </row>
    <row r="521">
      <c r="A521" s="6" t="n"/>
      <c r="B521" s="6" t="n"/>
      <c r="C521" s="7" t="n"/>
      <c r="D521" s="8" t="n"/>
      <c r="E521" s="6" t="n"/>
      <c r="F521" s="6" t="n"/>
      <c r="G521" s="6" t="n"/>
      <c r="H521" s="6" t="n"/>
      <c r="I521" s="12">
        <f>IF($B521="","",IF(COUNTIF(Ventes_Factures!$A$6:$A$3005,$B521)&gt;0,"OK","INCONNUE"))</f>
        <v/>
      </c>
      <c r="J521" s="9">
        <f>IF($D521="","",ROUND($D521,2))</f>
        <v/>
      </c>
    </row>
    <row r="522">
      <c r="A522" s="6" t="n"/>
      <c r="B522" s="6" t="n"/>
      <c r="C522" s="7" t="n"/>
      <c r="D522" s="8" t="n"/>
      <c r="E522" s="6" t="n"/>
      <c r="F522" s="6" t="n"/>
      <c r="G522" s="6" t="n"/>
      <c r="H522" s="6" t="n"/>
      <c r="I522" s="12">
        <f>IF($B522="","",IF(COUNTIF(Ventes_Factures!$A$6:$A$3005,$B522)&gt;0,"OK","INCONNUE"))</f>
        <v/>
      </c>
      <c r="J522" s="9">
        <f>IF($D522="","",ROUND($D522,2))</f>
        <v/>
      </c>
    </row>
    <row r="523">
      <c r="A523" s="6" t="n"/>
      <c r="B523" s="6" t="n"/>
      <c r="C523" s="7" t="n"/>
      <c r="D523" s="8" t="n"/>
      <c r="E523" s="6" t="n"/>
      <c r="F523" s="6" t="n"/>
      <c r="G523" s="6" t="n"/>
      <c r="H523" s="6" t="n"/>
      <c r="I523" s="12">
        <f>IF($B523="","",IF(COUNTIF(Ventes_Factures!$A$6:$A$3005,$B523)&gt;0,"OK","INCONNUE"))</f>
        <v/>
      </c>
      <c r="J523" s="9">
        <f>IF($D523="","",ROUND($D523,2))</f>
        <v/>
      </c>
    </row>
    <row r="524">
      <c r="A524" s="6" t="n"/>
      <c r="B524" s="6" t="n"/>
      <c r="C524" s="7" t="n"/>
      <c r="D524" s="8" t="n"/>
      <c r="E524" s="6" t="n"/>
      <c r="F524" s="6" t="n"/>
      <c r="G524" s="6" t="n"/>
      <c r="H524" s="6" t="n"/>
      <c r="I524" s="12">
        <f>IF($B524="","",IF(COUNTIF(Ventes_Factures!$A$6:$A$3005,$B524)&gt;0,"OK","INCONNUE"))</f>
        <v/>
      </c>
      <c r="J524" s="9">
        <f>IF($D524="","",ROUND($D524,2))</f>
        <v/>
      </c>
    </row>
    <row r="525">
      <c r="A525" s="6" t="n"/>
      <c r="B525" s="6" t="n"/>
      <c r="C525" s="7" t="n"/>
      <c r="D525" s="8" t="n"/>
      <c r="E525" s="6" t="n"/>
      <c r="F525" s="6" t="n"/>
      <c r="G525" s="6" t="n"/>
      <c r="H525" s="6" t="n"/>
      <c r="I525" s="12">
        <f>IF($B525="","",IF(COUNTIF(Ventes_Factures!$A$6:$A$3005,$B525)&gt;0,"OK","INCONNUE"))</f>
        <v/>
      </c>
      <c r="J525" s="9">
        <f>IF($D525="","",ROUND($D525,2))</f>
        <v/>
      </c>
    </row>
    <row r="526">
      <c r="A526" s="6" t="n"/>
      <c r="B526" s="6" t="n"/>
      <c r="C526" s="7" t="n"/>
      <c r="D526" s="8" t="n"/>
      <c r="E526" s="6" t="n"/>
      <c r="F526" s="6" t="n"/>
      <c r="G526" s="6" t="n"/>
      <c r="H526" s="6" t="n"/>
      <c r="I526" s="12">
        <f>IF($B526="","",IF(COUNTIF(Ventes_Factures!$A$6:$A$3005,$B526)&gt;0,"OK","INCONNUE"))</f>
        <v/>
      </c>
      <c r="J526" s="9">
        <f>IF($D526="","",ROUND($D526,2))</f>
        <v/>
      </c>
    </row>
    <row r="527">
      <c r="A527" s="6" t="n"/>
      <c r="B527" s="6" t="n"/>
      <c r="C527" s="7" t="n"/>
      <c r="D527" s="8" t="n"/>
      <c r="E527" s="6" t="n"/>
      <c r="F527" s="6" t="n"/>
      <c r="G527" s="6" t="n"/>
      <c r="H527" s="6" t="n"/>
      <c r="I527" s="12">
        <f>IF($B527="","",IF(COUNTIF(Ventes_Factures!$A$6:$A$3005,$B527)&gt;0,"OK","INCONNUE"))</f>
        <v/>
      </c>
      <c r="J527" s="9">
        <f>IF($D527="","",ROUND($D527,2))</f>
        <v/>
      </c>
    </row>
    <row r="528">
      <c r="A528" s="6" t="n"/>
      <c r="B528" s="6" t="n"/>
      <c r="C528" s="7" t="n"/>
      <c r="D528" s="8" t="n"/>
      <c r="E528" s="6" t="n"/>
      <c r="F528" s="6" t="n"/>
      <c r="G528" s="6" t="n"/>
      <c r="H528" s="6" t="n"/>
      <c r="I528" s="12">
        <f>IF($B528="","",IF(COUNTIF(Ventes_Factures!$A$6:$A$3005,$B528)&gt;0,"OK","INCONNUE"))</f>
        <v/>
      </c>
      <c r="J528" s="9">
        <f>IF($D528="","",ROUND($D528,2))</f>
        <v/>
      </c>
    </row>
    <row r="529">
      <c r="A529" s="6" t="n"/>
      <c r="B529" s="6" t="n"/>
      <c r="C529" s="7" t="n"/>
      <c r="D529" s="8" t="n"/>
      <c r="E529" s="6" t="n"/>
      <c r="F529" s="6" t="n"/>
      <c r="G529" s="6" t="n"/>
      <c r="H529" s="6" t="n"/>
      <c r="I529" s="12">
        <f>IF($B529="","",IF(COUNTIF(Ventes_Factures!$A$6:$A$3005,$B529)&gt;0,"OK","INCONNUE"))</f>
        <v/>
      </c>
      <c r="J529" s="9">
        <f>IF($D529="","",ROUND($D529,2))</f>
        <v/>
      </c>
    </row>
    <row r="530">
      <c r="A530" s="6" t="n"/>
      <c r="B530" s="6" t="n"/>
      <c r="C530" s="7" t="n"/>
      <c r="D530" s="8" t="n"/>
      <c r="E530" s="6" t="n"/>
      <c r="F530" s="6" t="n"/>
      <c r="G530" s="6" t="n"/>
      <c r="H530" s="6" t="n"/>
      <c r="I530" s="12">
        <f>IF($B530="","",IF(COUNTIF(Ventes_Factures!$A$6:$A$3005,$B530)&gt;0,"OK","INCONNUE"))</f>
        <v/>
      </c>
      <c r="J530" s="9">
        <f>IF($D530="","",ROUND($D530,2))</f>
        <v/>
      </c>
    </row>
    <row r="531">
      <c r="A531" s="6" t="n"/>
      <c r="B531" s="6" t="n"/>
      <c r="C531" s="7" t="n"/>
      <c r="D531" s="8" t="n"/>
      <c r="E531" s="6" t="n"/>
      <c r="F531" s="6" t="n"/>
      <c r="G531" s="6" t="n"/>
      <c r="H531" s="6" t="n"/>
      <c r="I531" s="12">
        <f>IF($B531="","",IF(COUNTIF(Ventes_Factures!$A$6:$A$3005,$B531)&gt;0,"OK","INCONNUE"))</f>
        <v/>
      </c>
      <c r="J531" s="9">
        <f>IF($D531="","",ROUND($D531,2))</f>
        <v/>
      </c>
    </row>
    <row r="532">
      <c r="A532" s="6" t="n"/>
      <c r="B532" s="6" t="n"/>
      <c r="C532" s="7" t="n"/>
      <c r="D532" s="8" t="n"/>
      <c r="E532" s="6" t="n"/>
      <c r="F532" s="6" t="n"/>
      <c r="G532" s="6" t="n"/>
      <c r="H532" s="6" t="n"/>
      <c r="I532" s="12">
        <f>IF($B532="","",IF(COUNTIF(Ventes_Factures!$A$6:$A$3005,$B532)&gt;0,"OK","INCONNUE"))</f>
        <v/>
      </c>
      <c r="J532" s="9">
        <f>IF($D532="","",ROUND($D532,2))</f>
        <v/>
      </c>
    </row>
    <row r="533">
      <c r="A533" s="6" t="n"/>
      <c r="B533" s="6" t="n"/>
      <c r="C533" s="7" t="n"/>
      <c r="D533" s="8" t="n"/>
      <c r="E533" s="6" t="n"/>
      <c r="F533" s="6" t="n"/>
      <c r="G533" s="6" t="n"/>
      <c r="H533" s="6" t="n"/>
      <c r="I533" s="12">
        <f>IF($B533="","",IF(COUNTIF(Ventes_Factures!$A$6:$A$3005,$B533)&gt;0,"OK","INCONNUE"))</f>
        <v/>
      </c>
      <c r="J533" s="9">
        <f>IF($D533="","",ROUND($D533,2))</f>
        <v/>
      </c>
    </row>
    <row r="534">
      <c r="A534" s="6" t="n"/>
      <c r="B534" s="6" t="n"/>
      <c r="C534" s="7" t="n"/>
      <c r="D534" s="8" t="n"/>
      <c r="E534" s="6" t="n"/>
      <c r="F534" s="6" t="n"/>
      <c r="G534" s="6" t="n"/>
      <c r="H534" s="6" t="n"/>
      <c r="I534" s="12">
        <f>IF($B534="","",IF(COUNTIF(Ventes_Factures!$A$6:$A$3005,$B534)&gt;0,"OK","INCONNUE"))</f>
        <v/>
      </c>
      <c r="J534" s="9">
        <f>IF($D534="","",ROUND($D534,2))</f>
        <v/>
      </c>
    </row>
    <row r="535">
      <c r="A535" s="6" t="n"/>
      <c r="B535" s="6" t="n"/>
      <c r="C535" s="7" t="n"/>
      <c r="D535" s="8" t="n"/>
      <c r="E535" s="6" t="n"/>
      <c r="F535" s="6" t="n"/>
      <c r="G535" s="6" t="n"/>
      <c r="H535" s="6" t="n"/>
      <c r="I535" s="12">
        <f>IF($B535="","",IF(COUNTIF(Ventes_Factures!$A$6:$A$3005,$B535)&gt;0,"OK","INCONNUE"))</f>
        <v/>
      </c>
      <c r="J535" s="9">
        <f>IF($D535="","",ROUND($D535,2))</f>
        <v/>
      </c>
    </row>
    <row r="536">
      <c r="A536" s="6" t="n"/>
      <c r="B536" s="6" t="n"/>
      <c r="C536" s="7" t="n"/>
      <c r="D536" s="8" t="n"/>
      <c r="E536" s="6" t="n"/>
      <c r="F536" s="6" t="n"/>
      <c r="G536" s="6" t="n"/>
      <c r="H536" s="6" t="n"/>
      <c r="I536" s="12">
        <f>IF($B536="","",IF(COUNTIF(Ventes_Factures!$A$6:$A$3005,$B536)&gt;0,"OK","INCONNUE"))</f>
        <v/>
      </c>
      <c r="J536" s="9">
        <f>IF($D536="","",ROUND($D536,2))</f>
        <v/>
      </c>
    </row>
    <row r="537">
      <c r="A537" s="6" t="n"/>
      <c r="B537" s="6" t="n"/>
      <c r="C537" s="7" t="n"/>
      <c r="D537" s="8" t="n"/>
      <c r="E537" s="6" t="n"/>
      <c r="F537" s="6" t="n"/>
      <c r="G537" s="6" t="n"/>
      <c r="H537" s="6" t="n"/>
      <c r="I537" s="12">
        <f>IF($B537="","",IF(COUNTIF(Ventes_Factures!$A$6:$A$3005,$B537)&gt;0,"OK","INCONNUE"))</f>
        <v/>
      </c>
      <c r="J537" s="9">
        <f>IF($D537="","",ROUND($D537,2))</f>
        <v/>
      </c>
    </row>
    <row r="538">
      <c r="A538" s="6" t="n"/>
      <c r="B538" s="6" t="n"/>
      <c r="C538" s="7" t="n"/>
      <c r="D538" s="8" t="n"/>
      <c r="E538" s="6" t="n"/>
      <c r="F538" s="6" t="n"/>
      <c r="G538" s="6" t="n"/>
      <c r="H538" s="6" t="n"/>
      <c r="I538" s="12">
        <f>IF($B538="","",IF(COUNTIF(Ventes_Factures!$A$6:$A$3005,$B538)&gt;0,"OK","INCONNUE"))</f>
        <v/>
      </c>
      <c r="J538" s="9">
        <f>IF($D538="","",ROUND($D538,2))</f>
        <v/>
      </c>
    </row>
    <row r="539">
      <c r="A539" s="6" t="n"/>
      <c r="B539" s="6" t="n"/>
      <c r="C539" s="7" t="n"/>
      <c r="D539" s="8" t="n"/>
      <c r="E539" s="6" t="n"/>
      <c r="F539" s="6" t="n"/>
      <c r="G539" s="6" t="n"/>
      <c r="H539" s="6" t="n"/>
      <c r="I539" s="12">
        <f>IF($B539="","",IF(COUNTIF(Ventes_Factures!$A$6:$A$3005,$B539)&gt;0,"OK","INCONNUE"))</f>
        <v/>
      </c>
      <c r="J539" s="9">
        <f>IF($D539="","",ROUND($D539,2))</f>
        <v/>
      </c>
    </row>
    <row r="540">
      <c r="A540" s="6" t="n"/>
      <c r="B540" s="6" t="n"/>
      <c r="C540" s="7" t="n"/>
      <c r="D540" s="8" t="n"/>
      <c r="E540" s="6" t="n"/>
      <c r="F540" s="6" t="n"/>
      <c r="G540" s="6" t="n"/>
      <c r="H540" s="6" t="n"/>
      <c r="I540" s="12">
        <f>IF($B540="","",IF(COUNTIF(Ventes_Factures!$A$6:$A$3005,$B540)&gt;0,"OK","INCONNUE"))</f>
        <v/>
      </c>
      <c r="J540" s="9">
        <f>IF($D540="","",ROUND($D540,2))</f>
        <v/>
      </c>
    </row>
    <row r="541">
      <c r="A541" s="6" t="n"/>
      <c r="B541" s="6" t="n"/>
      <c r="C541" s="7" t="n"/>
      <c r="D541" s="8" t="n"/>
      <c r="E541" s="6" t="n"/>
      <c r="F541" s="6" t="n"/>
      <c r="G541" s="6" t="n"/>
      <c r="H541" s="6" t="n"/>
      <c r="I541" s="12">
        <f>IF($B541="","",IF(COUNTIF(Ventes_Factures!$A$6:$A$3005,$B541)&gt;0,"OK","INCONNUE"))</f>
        <v/>
      </c>
      <c r="J541" s="9">
        <f>IF($D541="","",ROUND($D541,2))</f>
        <v/>
      </c>
    </row>
    <row r="542">
      <c r="A542" s="6" t="n"/>
      <c r="B542" s="6" t="n"/>
      <c r="C542" s="7" t="n"/>
      <c r="D542" s="8" t="n"/>
      <c r="E542" s="6" t="n"/>
      <c r="F542" s="6" t="n"/>
      <c r="G542" s="6" t="n"/>
      <c r="H542" s="6" t="n"/>
      <c r="I542" s="12">
        <f>IF($B542="","",IF(COUNTIF(Ventes_Factures!$A$6:$A$3005,$B542)&gt;0,"OK","INCONNUE"))</f>
        <v/>
      </c>
      <c r="J542" s="9">
        <f>IF($D542="","",ROUND($D542,2))</f>
        <v/>
      </c>
    </row>
    <row r="543">
      <c r="A543" s="6" t="n"/>
      <c r="B543" s="6" t="n"/>
      <c r="C543" s="7" t="n"/>
      <c r="D543" s="8" t="n"/>
      <c r="E543" s="6" t="n"/>
      <c r="F543" s="6" t="n"/>
      <c r="G543" s="6" t="n"/>
      <c r="H543" s="6" t="n"/>
      <c r="I543" s="12">
        <f>IF($B543="","",IF(COUNTIF(Ventes_Factures!$A$6:$A$3005,$B543)&gt;0,"OK","INCONNUE"))</f>
        <v/>
      </c>
      <c r="J543" s="9">
        <f>IF($D543="","",ROUND($D543,2))</f>
        <v/>
      </c>
    </row>
    <row r="544">
      <c r="A544" s="6" t="n"/>
      <c r="B544" s="6" t="n"/>
      <c r="C544" s="7" t="n"/>
      <c r="D544" s="8" t="n"/>
      <c r="E544" s="6" t="n"/>
      <c r="F544" s="6" t="n"/>
      <c r="G544" s="6" t="n"/>
      <c r="H544" s="6" t="n"/>
      <c r="I544" s="12">
        <f>IF($B544="","",IF(COUNTIF(Ventes_Factures!$A$6:$A$3005,$B544)&gt;0,"OK","INCONNUE"))</f>
        <v/>
      </c>
      <c r="J544" s="9">
        <f>IF($D544="","",ROUND($D544,2))</f>
        <v/>
      </c>
    </row>
    <row r="545">
      <c r="A545" s="6" t="n"/>
      <c r="B545" s="6" t="n"/>
      <c r="C545" s="7" t="n"/>
      <c r="D545" s="8" t="n"/>
      <c r="E545" s="6" t="n"/>
      <c r="F545" s="6" t="n"/>
      <c r="G545" s="6" t="n"/>
      <c r="H545" s="6" t="n"/>
      <c r="I545" s="12">
        <f>IF($B545="","",IF(COUNTIF(Ventes_Factures!$A$6:$A$3005,$B545)&gt;0,"OK","INCONNUE"))</f>
        <v/>
      </c>
      <c r="J545" s="9">
        <f>IF($D545="","",ROUND($D545,2))</f>
        <v/>
      </c>
    </row>
    <row r="546">
      <c r="A546" s="6" t="n"/>
      <c r="B546" s="6" t="n"/>
      <c r="C546" s="7" t="n"/>
      <c r="D546" s="8" t="n"/>
      <c r="E546" s="6" t="n"/>
      <c r="F546" s="6" t="n"/>
      <c r="G546" s="6" t="n"/>
      <c r="H546" s="6" t="n"/>
      <c r="I546" s="12">
        <f>IF($B546="","",IF(COUNTIF(Ventes_Factures!$A$6:$A$3005,$B546)&gt;0,"OK","INCONNUE"))</f>
        <v/>
      </c>
      <c r="J546" s="9">
        <f>IF($D546="","",ROUND($D546,2))</f>
        <v/>
      </c>
    </row>
    <row r="547">
      <c r="A547" s="6" t="n"/>
      <c r="B547" s="6" t="n"/>
      <c r="C547" s="7" t="n"/>
      <c r="D547" s="8" t="n"/>
      <c r="E547" s="6" t="n"/>
      <c r="F547" s="6" t="n"/>
      <c r="G547" s="6" t="n"/>
      <c r="H547" s="6" t="n"/>
      <c r="I547" s="12">
        <f>IF($B547="","",IF(COUNTIF(Ventes_Factures!$A$6:$A$3005,$B547)&gt;0,"OK","INCONNUE"))</f>
        <v/>
      </c>
      <c r="J547" s="9">
        <f>IF($D547="","",ROUND($D547,2))</f>
        <v/>
      </c>
    </row>
    <row r="548">
      <c r="A548" s="6" t="n"/>
      <c r="B548" s="6" t="n"/>
      <c r="C548" s="7" t="n"/>
      <c r="D548" s="8" t="n"/>
      <c r="E548" s="6" t="n"/>
      <c r="F548" s="6" t="n"/>
      <c r="G548" s="6" t="n"/>
      <c r="H548" s="6" t="n"/>
      <c r="I548" s="12">
        <f>IF($B548="","",IF(COUNTIF(Ventes_Factures!$A$6:$A$3005,$B548)&gt;0,"OK","INCONNUE"))</f>
        <v/>
      </c>
      <c r="J548" s="9">
        <f>IF($D548="","",ROUND($D548,2))</f>
        <v/>
      </c>
    </row>
    <row r="549">
      <c r="A549" s="6" t="n"/>
      <c r="B549" s="6" t="n"/>
      <c r="C549" s="7" t="n"/>
      <c r="D549" s="8" t="n"/>
      <c r="E549" s="6" t="n"/>
      <c r="F549" s="6" t="n"/>
      <c r="G549" s="6" t="n"/>
      <c r="H549" s="6" t="n"/>
      <c r="I549" s="12">
        <f>IF($B549="","",IF(COUNTIF(Ventes_Factures!$A$6:$A$3005,$B549)&gt;0,"OK","INCONNUE"))</f>
        <v/>
      </c>
      <c r="J549" s="9">
        <f>IF($D549="","",ROUND($D549,2))</f>
        <v/>
      </c>
    </row>
    <row r="550">
      <c r="A550" s="6" t="n"/>
      <c r="B550" s="6" t="n"/>
      <c r="C550" s="7" t="n"/>
      <c r="D550" s="8" t="n"/>
      <c r="E550" s="6" t="n"/>
      <c r="F550" s="6" t="n"/>
      <c r="G550" s="6" t="n"/>
      <c r="H550" s="6" t="n"/>
      <c r="I550" s="12">
        <f>IF($B550="","",IF(COUNTIF(Ventes_Factures!$A$6:$A$3005,$B550)&gt;0,"OK","INCONNUE"))</f>
        <v/>
      </c>
      <c r="J550" s="9">
        <f>IF($D550="","",ROUND($D550,2))</f>
        <v/>
      </c>
    </row>
    <row r="551">
      <c r="A551" s="6" t="n"/>
      <c r="B551" s="6" t="n"/>
      <c r="C551" s="7" t="n"/>
      <c r="D551" s="8" t="n"/>
      <c r="E551" s="6" t="n"/>
      <c r="F551" s="6" t="n"/>
      <c r="G551" s="6" t="n"/>
      <c r="H551" s="6" t="n"/>
      <c r="I551" s="12">
        <f>IF($B551="","",IF(COUNTIF(Ventes_Factures!$A$6:$A$3005,$B551)&gt;0,"OK","INCONNUE"))</f>
        <v/>
      </c>
      <c r="J551" s="9">
        <f>IF($D551="","",ROUND($D551,2))</f>
        <v/>
      </c>
    </row>
    <row r="552">
      <c r="A552" s="6" t="n"/>
      <c r="B552" s="6" t="n"/>
      <c r="C552" s="7" t="n"/>
      <c r="D552" s="8" t="n"/>
      <c r="E552" s="6" t="n"/>
      <c r="F552" s="6" t="n"/>
      <c r="G552" s="6" t="n"/>
      <c r="H552" s="6" t="n"/>
      <c r="I552" s="12">
        <f>IF($B552="","",IF(COUNTIF(Ventes_Factures!$A$6:$A$3005,$B552)&gt;0,"OK","INCONNUE"))</f>
        <v/>
      </c>
      <c r="J552" s="9">
        <f>IF($D552="","",ROUND($D552,2))</f>
        <v/>
      </c>
    </row>
    <row r="553">
      <c r="A553" s="6" t="n"/>
      <c r="B553" s="6" t="n"/>
      <c r="C553" s="7" t="n"/>
      <c r="D553" s="8" t="n"/>
      <c r="E553" s="6" t="n"/>
      <c r="F553" s="6" t="n"/>
      <c r="G553" s="6" t="n"/>
      <c r="H553" s="6" t="n"/>
      <c r="I553" s="12">
        <f>IF($B553="","",IF(COUNTIF(Ventes_Factures!$A$6:$A$3005,$B553)&gt;0,"OK","INCONNUE"))</f>
        <v/>
      </c>
      <c r="J553" s="9">
        <f>IF($D553="","",ROUND($D553,2))</f>
        <v/>
      </c>
    </row>
    <row r="554">
      <c r="A554" s="6" t="n"/>
      <c r="B554" s="6" t="n"/>
      <c r="C554" s="7" t="n"/>
      <c r="D554" s="8" t="n"/>
      <c r="E554" s="6" t="n"/>
      <c r="F554" s="6" t="n"/>
      <c r="G554" s="6" t="n"/>
      <c r="H554" s="6" t="n"/>
      <c r="I554" s="12">
        <f>IF($B554="","",IF(COUNTIF(Ventes_Factures!$A$6:$A$3005,$B554)&gt;0,"OK","INCONNUE"))</f>
        <v/>
      </c>
      <c r="J554" s="9">
        <f>IF($D554="","",ROUND($D554,2))</f>
        <v/>
      </c>
    </row>
    <row r="555">
      <c r="A555" s="6" t="n"/>
      <c r="B555" s="6" t="n"/>
      <c r="C555" s="7" t="n"/>
      <c r="D555" s="8" t="n"/>
      <c r="E555" s="6" t="n"/>
      <c r="F555" s="6" t="n"/>
      <c r="G555" s="6" t="n"/>
      <c r="H555" s="6" t="n"/>
      <c r="I555" s="12">
        <f>IF($B555="","",IF(COUNTIF(Ventes_Factures!$A$6:$A$3005,$B555)&gt;0,"OK","INCONNUE"))</f>
        <v/>
      </c>
      <c r="J555" s="9">
        <f>IF($D555="","",ROUND($D555,2))</f>
        <v/>
      </c>
    </row>
    <row r="556">
      <c r="A556" s="6" t="n"/>
      <c r="B556" s="6" t="n"/>
      <c r="C556" s="7" t="n"/>
      <c r="D556" s="8" t="n"/>
      <c r="E556" s="6" t="n"/>
      <c r="F556" s="6" t="n"/>
      <c r="G556" s="6" t="n"/>
      <c r="H556" s="6" t="n"/>
      <c r="I556" s="12">
        <f>IF($B556="","",IF(COUNTIF(Ventes_Factures!$A$6:$A$3005,$B556)&gt;0,"OK","INCONNUE"))</f>
        <v/>
      </c>
      <c r="J556" s="9">
        <f>IF($D556="","",ROUND($D556,2))</f>
        <v/>
      </c>
    </row>
    <row r="557">
      <c r="A557" s="6" t="n"/>
      <c r="B557" s="6" t="n"/>
      <c r="C557" s="7" t="n"/>
      <c r="D557" s="8" t="n"/>
      <c r="E557" s="6" t="n"/>
      <c r="F557" s="6" t="n"/>
      <c r="G557" s="6" t="n"/>
      <c r="H557" s="6" t="n"/>
      <c r="I557" s="12">
        <f>IF($B557="","",IF(COUNTIF(Ventes_Factures!$A$6:$A$3005,$B557)&gt;0,"OK","INCONNUE"))</f>
        <v/>
      </c>
      <c r="J557" s="9">
        <f>IF($D557="","",ROUND($D557,2))</f>
        <v/>
      </c>
    </row>
    <row r="558">
      <c r="A558" s="6" t="n"/>
      <c r="B558" s="6" t="n"/>
      <c r="C558" s="7" t="n"/>
      <c r="D558" s="8" t="n"/>
      <c r="E558" s="6" t="n"/>
      <c r="F558" s="6" t="n"/>
      <c r="G558" s="6" t="n"/>
      <c r="H558" s="6" t="n"/>
      <c r="I558" s="12">
        <f>IF($B558="","",IF(COUNTIF(Ventes_Factures!$A$6:$A$3005,$B558)&gt;0,"OK","INCONNUE"))</f>
        <v/>
      </c>
      <c r="J558" s="9">
        <f>IF($D558="","",ROUND($D558,2))</f>
        <v/>
      </c>
    </row>
    <row r="559">
      <c r="A559" s="6" t="n"/>
      <c r="B559" s="6" t="n"/>
      <c r="C559" s="7" t="n"/>
      <c r="D559" s="8" t="n"/>
      <c r="E559" s="6" t="n"/>
      <c r="F559" s="6" t="n"/>
      <c r="G559" s="6" t="n"/>
      <c r="H559" s="6" t="n"/>
      <c r="I559" s="12">
        <f>IF($B559="","",IF(COUNTIF(Ventes_Factures!$A$6:$A$3005,$B559)&gt;0,"OK","INCONNUE"))</f>
        <v/>
      </c>
      <c r="J559" s="9">
        <f>IF($D559="","",ROUND($D559,2))</f>
        <v/>
      </c>
    </row>
    <row r="560">
      <c r="A560" s="6" t="n"/>
      <c r="B560" s="6" t="n"/>
      <c r="C560" s="7" t="n"/>
      <c r="D560" s="8" t="n"/>
      <c r="E560" s="6" t="n"/>
      <c r="F560" s="6" t="n"/>
      <c r="G560" s="6" t="n"/>
      <c r="H560" s="6" t="n"/>
      <c r="I560" s="12">
        <f>IF($B560="","",IF(COUNTIF(Ventes_Factures!$A$6:$A$3005,$B560)&gt;0,"OK","INCONNUE"))</f>
        <v/>
      </c>
      <c r="J560" s="9">
        <f>IF($D560="","",ROUND($D560,2))</f>
        <v/>
      </c>
    </row>
    <row r="561">
      <c r="A561" s="6" t="n"/>
      <c r="B561" s="6" t="n"/>
      <c r="C561" s="7" t="n"/>
      <c r="D561" s="8" t="n"/>
      <c r="E561" s="6" t="n"/>
      <c r="F561" s="6" t="n"/>
      <c r="G561" s="6" t="n"/>
      <c r="H561" s="6" t="n"/>
      <c r="I561" s="12">
        <f>IF($B561="","",IF(COUNTIF(Ventes_Factures!$A$6:$A$3005,$B561)&gt;0,"OK","INCONNUE"))</f>
        <v/>
      </c>
      <c r="J561" s="9">
        <f>IF($D561="","",ROUND($D561,2))</f>
        <v/>
      </c>
    </row>
    <row r="562">
      <c r="A562" s="6" t="n"/>
      <c r="B562" s="6" t="n"/>
      <c r="C562" s="7" t="n"/>
      <c r="D562" s="8" t="n"/>
      <c r="E562" s="6" t="n"/>
      <c r="F562" s="6" t="n"/>
      <c r="G562" s="6" t="n"/>
      <c r="H562" s="6" t="n"/>
      <c r="I562" s="12">
        <f>IF($B562="","",IF(COUNTIF(Ventes_Factures!$A$6:$A$3005,$B562)&gt;0,"OK","INCONNUE"))</f>
        <v/>
      </c>
      <c r="J562" s="9">
        <f>IF($D562="","",ROUND($D562,2))</f>
        <v/>
      </c>
    </row>
    <row r="563">
      <c r="A563" s="6" t="n"/>
      <c r="B563" s="6" t="n"/>
      <c r="C563" s="7" t="n"/>
      <c r="D563" s="8" t="n"/>
      <c r="E563" s="6" t="n"/>
      <c r="F563" s="6" t="n"/>
      <c r="G563" s="6" t="n"/>
      <c r="H563" s="6" t="n"/>
      <c r="I563" s="12">
        <f>IF($B563="","",IF(COUNTIF(Ventes_Factures!$A$6:$A$3005,$B563)&gt;0,"OK","INCONNUE"))</f>
        <v/>
      </c>
      <c r="J563" s="9">
        <f>IF($D563="","",ROUND($D563,2))</f>
        <v/>
      </c>
    </row>
    <row r="564">
      <c r="A564" s="6" t="n"/>
      <c r="B564" s="6" t="n"/>
      <c r="C564" s="7" t="n"/>
      <c r="D564" s="8" t="n"/>
      <c r="E564" s="6" t="n"/>
      <c r="F564" s="6" t="n"/>
      <c r="G564" s="6" t="n"/>
      <c r="H564" s="6" t="n"/>
      <c r="I564" s="12">
        <f>IF($B564="","",IF(COUNTIF(Ventes_Factures!$A$6:$A$3005,$B564)&gt;0,"OK","INCONNUE"))</f>
        <v/>
      </c>
      <c r="J564" s="9">
        <f>IF($D564="","",ROUND($D564,2))</f>
        <v/>
      </c>
    </row>
    <row r="565">
      <c r="A565" s="6" t="n"/>
      <c r="B565" s="6" t="n"/>
      <c r="C565" s="7" t="n"/>
      <c r="D565" s="8" t="n"/>
      <c r="E565" s="6" t="n"/>
      <c r="F565" s="6" t="n"/>
      <c r="G565" s="6" t="n"/>
      <c r="H565" s="6" t="n"/>
      <c r="I565" s="12">
        <f>IF($B565="","",IF(COUNTIF(Ventes_Factures!$A$6:$A$3005,$B565)&gt;0,"OK","INCONNUE"))</f>
        <v/>
      </c>
      <c r="J565" s="9">
        <f>IF($D565="","",ROUND($D565,2))</f>
        <v/>
      </c>
    </row>
    <row r="566">
      <c r="A566" s="6" t="n"/>
      <c r="B566" s="6" t="n"/>
      <c r="C566" s="7" t="n"/>
      <c r="D566" s="8" t="n"/>
      <c r="E566" s="6" t="n"/>
      <c r="F566" s="6" t="n"/>
      <c r="G566" s="6" t="n"/>
      <c r="H566" s="6" t="n"/>
      <c r="I566" s="12">
        <f>IF($B566="","",IF(COUNTIF(Ventes_Factures!$A$6:$A$3005,$B566)&gt;0,"OK","INCONNUE"))</f>
        <v/>
      </c>
      <c r="J566" s="9">
        <f>IF($D566="","",ROUND($D566,2))</f>
        <v/>
      </c>
    </row>
    <row r="567">
      <c r="A567" s="6" t="n"/>
      <c r="B567" s="6" t="n"/>
      <c r="C567" s="7" t="n"/>
      <c r="D567" s="8" t="n"/>
      <c r="E567" s="6" t="n"/>
      <c r="F567" s="6" t="n"/>
      <c r="G567" s="6" t="n"/>
      <c r="H567" s="6" t="n"/>
      <c r="I567" s="12">
        <f>IF($B567="","",IF(COUNTIF(Ventes_Factures!$A$6:$A$3005,$B567)&gt;0,"OK","INCONNUE"))</f>
        <v/>
      </c>
      <c r="J567" s="9">
        <f>IF($D567="","",ROUND($D567,2))</f>
        <v/>
      </c>
    </row>
    <row r="568">
      <c r="A568" s="6" t="n"/>
      <c r="B568" s="6" t="n"/>
      <c r="C568" s="7" t="n"/>
      <c r="D568" s="8" t="n"/>
      <c r="E568" s="6" t="n"/>
      <c r="F568" s="6" t="n"/>
      <c r="G568" s="6" t="n"/>
      <c r="H568" s="6" t="n"/>
      <c r="I568" s="12">
        <f>IF($B568="","",IF(COUNTIF(Ventes_Factures!$A$6:$A$3005,$B568)&gt;0,"OK","INCONNUE"))</f>
        <v/>
      </c>
      <c r="J568" s="9">
        <f>IF($D568="","",ROUND($D568,2))</f>
        <v/>
      </c>
    </row>
    <row r="569">
      <c r="A569" s="6" t="n"/>
      <c r="B569" s="6" t="n"/>
      <c r="C569" s="7" t="n"/>
      <c r="D569" s="8" t="n"/>
      <c r="E569" s="6" t="n"/>
      <c r="F569" s="6" t="n"/>
      <c r="G569" s="6" t="n"/>
      <c r="H569" s="6" t="n"/>
      <c r="I569" s="12">
        <f>IF($B569="","",IF(COUNTIF(Ventes_Factures!$A$6:$A$3005,$B569)&gt;0,"OK","INCONNUE"))</f>
        <v/>
      </c>
      <c r="J569" s="9">
        <f>IF($D569="","",ROUND($D569,2))</f>
        <v/>
      </c>
    </row>
    <row r="570">
      <c r="A570" s="6" t="n"/>
      <c r="B570" s="6" t="n"/>
      <c r="C570" s="7" t="n"/>
      <c r="D570" s="8" t="n"/>
      <c r="E570" s="6" t="n"/>
      <c r="F570" s="6" t="n"/>
      <c r="G570" s="6" t="n"/>
      <c r="H570" s="6" t="n"/>
      <c r="I570" s="12">
        <f>IF($B570="","",IF(COUNTIF(Ventes_Factures!$A$6:$A$3005,$B570)&gt;0,"OK","INCONNUE"))</f>
        <v/>
      </c>
      <c r="J570" s="9">
        <f>IF($D570="","",ROUND($D570,2))</f>
        <v/>
      </c>
    </row>
    <row r="571">
      <c r="A571" s="6" t="n"/>
      <c r="B571" s="6" t="n"/>
      <c r="C571" s="7" t="n"/>
      <c r="D571" s="8" t="n"/>
      <c r="E571" s="6" t="n"/>
      <c r="F571" s="6" t="n"/>
      <c r="G571" s="6" t="n"/>
      <c r="H571" s="6" t="n"/>
      <c r="I571" s="12">
        <f>IF($B571="","",IF(COUNTIF(Ventes_Factures!$A$6:$A$3005,$B571)&gt;0,"OK","INCONNUE"))</f>
        <v/>
      </c>
      <c r="J571" s="9">
        <f>IF($D571="","",ROUND($D571,2))</f>
        <v/>
      </c>
    </row>
    <row r="572">
      <c r="A572" s="6" t="n"/>
      <c r="B572" s="6" t="n"/>
      <c r="C572" s="7" t="n"/>
      <c r="D572" s="8" t="n"/>
      <c r="E572" s="6" t="n"/>
      <c r="F572" s="6" t="n"/>
      <c r="G572" s="6" t="n"/>
      <c r="H572" s="6" t="n"/>
      <c r="I572" s="12">
        <f>IF($B572="","",IF(COUNTIF(Ventes_Factures!$A$6:$A$3005,$B572)&gt;0,"OK","INCONNUE"))</f>
        <v/>
      </c>
      <c r="J572" s="9">
        <f>IF($D572="","",ROUND($D572,2))</f>
        <v/>
      </c>
    </row>
    <row r="573">
      <c r="A573" s="6" t="n"/>
      <c r="B573" s="6" t="n"/>
      <c r="C573" s="7" t="n"/>
      <c r="D573" s="8" t="n"/>
      <c r="E573" s="6" t="n"/>
      <c r="F573" s="6" t="n"/>
      <c r="G573" s="6" t="n"/>
      <c r="H573" s="6" t="n"/>
      <c r="I573" s="12">
        <f>IF($B573="","",IF(COUNTIF(Ventes_Factures!$A$6:$A$3005,$B573)&gt;0,"OK","INCONNUE"))</f>
        <v/>
      </c>
      <c r="J573" s="9">
        <f>IF($D573="","",ROUND($D573,2))</f>
        <v/>
      </c>
    </row>
    <row r="574">
      <c r="A574" s="6" t="n"/>
      <c r="B574" s="6" t="n"/>
      <c r="C574" s="7" t="n"/>
      <c r="D574" s="8" t="n"/>
      <c r="E574" s="6" t="n"/>
      <c r="F574" s="6" t="n"/>
      <c r="G574" s="6" t="n"/>
      <c r="H574" s="6" t="n"/>
      <c r="I574" s="12">
        <f>IF($B574="","",IF(COUNTIF(Ventes_Factures!$A$6:$A$3005,$B574)&gt;0,"OK","INCONNUE"))</f>
        <v/>
      </c>
      <c r="J574" s="9">
        <f>IF($D574="","",ROUND($D574,2))</f>
        <v/>
      </c>
    </row>
    <row r="575">
      <c r="A575" s="6" t="n"/>
      <c r="B575" s="6" t="n"/>
      <c r="C575" s="7" t="n"/>
      <c r="D575" s="8" t="n"/>
      <c r="E575" s="6" t="n"/>
      <c r="F575" s="6" t="n"/>
      <c r="G575" s="6" t="n"/>
      <c r="H575" s="6" t="n"/>
      <c r="I575" s="12">
        <f>IF($B575="","",IF(COUNTIF(Ventes_Factures!$A$6:$A$3005,$B575)&gt;0,"OK","INCONNUE"))</f>
        <v/>
      </c>
      <c r="J575" s="9">
        <f>IF($D575="","",ROUND($D575,2))</f>
        <v/>
      </c>
    </row>
    <row r="576">
      <c r="A576" s="6" t="n"/>
      <c r="B576" s="6" t="n"/>
      <c r="C576" s="7" t="n"/>
      <c r="D576" s="8" t="n"/>
      <c r="E576" s="6" t="n"/>
      <c r="F576" s="6" t="n"/>
      <c r="G576" s="6" t="n"/>
      <c r="H576" s="6" t="n"/>
      <c r="I576" s="12">
        <f>IF($B576="","",IF(COUNTIF(Ventes_Factures!$A$6:$A$3005,$B576)&gt;0,"OK","INCONNUE"))</f>
        <v/>
      </c>
      <c r="J576" s="9">
        <f>IF($D576="","",ROUND($D576,2))</f>
        <v/>
      </c>
    </row>
    <row r="577">
      <c r="A577" s="6" t="n"/>
      <c r="B577" s="6" t="n"/>
      <c r="C577" s="7" t="n"/>
      <c r="D577" s="8" t="n"/>
      <c r="E577" s="6" t="n"/>
      <c r="F577" s="6" t="n"/>
      <c r="G577" s="6" t="n"/>
      <c r="H577" s="6" t="n"/>
      <c r="I577" s="12">
        <f>IF($B577="","",IF(COUNTIF(Ventes_Factures!$A$6:$A$3005,$B577)&gt;0,"OK","INCONNUE"))</f>
        <v/>
      </c>
      <c r="J577" s="9">
        <f>IF($D577="","",ROUND($D577,2))</f>
        <v/>
      </c>
    </row>
    <row r="578">
      <c r="A578" s="6" t="n"/>
      <c r="B578" s="6" t="n"/>
      <c r="C578" s="7" t="n"/>
      <c r="D578" s="8" t="n"/>
      <c r="E578" s="6" t="n"/>
      <c r="F578" s="6" t="n"/>
      <c r="G578" s="6" t="n"/>
      <c r="H578" s="6" t="n"/>
      <c r="I578" s="12">
        <f>IF($B578="","",IF(COUNTIF(Ventes_Factures!$A$6:$A$3005,$B578)&gt;0,"OK","INCONNUE"))</f>
        <v/>
      </c>
      <c r="J578" s="9">
        <f>IF($D578="","",ROUND($D578,2))</f>
        <v/>
      </c>
    </row>
    <row r="579">
      <c r="A579" s="6" t="n"/>
      <c r="B579" s="6" t="n"/>
      <c r="C579" s="7" t="n"/>
      <c r="D579" s="8" t="n"/>
      <c r="E579" s="6" t="n"/>
      <c r="F579" s="6" t="n"/>
      <c r="G579" s="6" t="n"/>
      <c r="H579" s="6" t="n"/>
      <c r="I579" s="12">
        <f>IF($B579="","",IF(COUNTIF(Ventes_Factures!$A$6:$A$3005,$B579)&gt;0,"OK","INCONNUE"))</f>
        <v/>
      </c>
      <c r="J579" s="9">
        <f>IF($D579="","",ROUND($D579,2))</f>
        <v/>
      </c>
    </row>
    <row r="580">
      <c r="A580" s="6" t="n"/>
      <c r="B580" s="6" t="n"/>
      <c r="C580" s="7" t="n"/>
      <c r="D580" s="8" t="n"/>
      <c r="E580" s="6" t="n"/>
      <c r="F580" s="6" t="n"/>
      <c r="G580" s="6" t="n"/>
      <c r="H580" s="6" t="n"/>
      <c r="I580" s="12">
        <f>IF($B580="","",IF(COUNTIF(Ventes_Factures!$A$6:$A$3005,$B580)&gt;0,"OK","INCONNUE"))</f>
        <v/>
      </c>
      <c r="J580" s="9">
        <f>IF($D580="","",ROUND($D580,2))</f>
        <v/>
      </c>
    </row>
    <row r="581">
      <c r="A581" s="6" t="n"/>
      <c r="B581" s="6" t="n"/>
      <c r="C581" s="7" t="n"/>
      <c r="D581" s="8" t="n"/>
      <c r="E581" s="6" t="n"/>
      <c r="F581" s="6" t="n"/>
      <c r="G581" s="6" t="n"/>
      <c r="H581" s="6" t="n"/>
      <c r="I581" s="12">
        <f>IF($B581="","",IF(COUNTIF(Ventes_Factures!$A$6:$A$3005,$B581)&gt;0,"OK","INCONNUE"))</f>
        <v/>
      </c>
      <c r="J581" s="9">
        <f>IF($D581="","",ROUND($D581,2))</f>
        <v/>
      </c>
    </row>
    <row r="582">
      <c r="A582" s="6" t="n"/>
      <c r="B582" s="6" t="n"/>
      <c r="C582" s="7" t="n"/>
      <c r="D582" s="8" t="n"/>
      <c r="E582" s="6" t="n"/>
      <c r="F582" s="6" t="n"/>
      <c r="G582" s="6" t="n"/>
      <c r="H582" s="6" t="n"/>
      <c r="I582" s="12">
        <f>IF($B582="","",IF(COUNTIF(Ventes_Factures!$A$6:$A$3005,$B582)&gt;0,"OK","INCONNUE"))</f>
        <v/>
      </c>
      <c r="J582" s="9">
        <f>IF($D582="","",ROUND($D582,2))</f>
        <v/>
      </c>
    </row>
    <row r="583">
      <c r="A583" s="6" t="n"/>
      <c r="B583" s="6" t="n"/>
      <c r="C583" s="7" t="n"/>
      <c r="D583" s="8" t="n"/>
      <c r="E583" s="6" t="n"/>
      <c r="F583" s="6" t="n"/>
      <c r="G583" s="6" t="n"/>
      <c r="H583" s="6" t="n"/>
      <c r="I583" s="12">
        <f>IF($B583="","",IF(COUNTIF(Ventes_Factures!$A$6:$A$3005,$B583)&gt;0,"OK","INCONNUE"))</f>
        <v/>
      </c>
      <c r="J583" s="9">
        <f>IF($D583="","",ROUND($D583,2))</f>
        <v/>
      </c>
    </row>
    <row r="584">
      <c r="A584" s="6" t="n"/>
      <c r="B584" s="6" t="n"/>
      <c r="C584" s="7" t="n"/>
      <c r="D584" s="8" t="n"/>
      <c r="E584" s="6" t="n"/>
      <c r="F584" s="6" t="n"/>
      <c r="G584" s="6" t="n"/>
      <c r="H584" s="6" t="n"/>
      <c r="I584" s="12">
        <f>IF($B584="","",IF(COUNTIF(Ventes_Factures!$A$6:$A$3005,$B584)&gt;0,"OK","INCONNUE"))</f>
        <v/>
      </c>
      <c r="J584" s="9">
        <f>IF($D584="","",ROUND($D584,2))</f>
        <v/>
      </c>
    </row>
    <row r="585">
      <c r="A585" s="6" t="n"/>
      <c r="B585" s="6" t="n"/>
      <c r="C585" s="7" t="n"/>
      <c r="D585" s="8" t="n"/>
      <c r="E585" s="6" t="n"/>
      <c r="F585" s="6" t="n"/>
      <c r="G585" s="6" t="n"/>
      <c r="H585" s="6" t="n"/>
      <c r="I585" s="12">
        <f>IF($B585="","",IF(COUNTIF(Ventes_Factures!$A$6:$A$3005,$B585)&gt;0,"OK","INCONNUE"))</f>
        <v/>
      </c>
      <c r="J585" s="9">
        <f>IF($D585="","",ROUND($D585,2))</f>
        <v/>
      </c>
    </row>
    <row r="586">
      <c r="A586" s="6" t="n"/>
      <c r="B586" s="6" t="n"/>
      <c r="C586" s="7" t="n"/>
      <c r="D586" s="8" t="n"/>
      <c r="E586" s="6" t="n"/>
      <c r="F586" s="6" t="n"/>
      <c r="G586" s="6" t="n"/>
      <c r="H586" s="6" t="n"/>
      <c r="I586" s="12">
        <f>IF($B586="","",IF(COUNTIF(Ventes_Factures!$A$6:$A$3005,$B586)&gt;0,"OK","INCONNUE"))</f>
        <v/>
      </c>
      <c r="J586" s="9">
        <f>IF($D586="","",ROUND($D586,2))</f>
        <v/>
      </c>
    </row>
    <row r="587">
      <c r="A587" s="6" t="n"/>
      <c r="B587" s="6" t="n"/>
      <c r="C587" s="7" t="n"/>
      <c r="D587" s="8" t="n"/>
      <c r="E587" s="6" t="n"/>
      <c r="F587" s="6" t="n"/>
      <c r="G587" s="6" t="n"/>
      <c r="H587" s="6" t="n"/>
      <c r="I587" s="12">
        <f>IF($B587="","",IF(COUNTIF(Ventes_Factures!$A$6:$A$3005,$B587)&gt;0,"OK","INCONNUE"))</f>
        <v/>
      </c>
      <c r="J587" s="9">
        <f>IF($D587="","",ROUND($D587,2))</f>
        <v/>
      </c>
    </row>
    <row r="588">
      <c r="A588" s="6" t="n"/>
      <c r="B588" s="6" t="n"/>
      <c r="C588" s="7" t="n"/>
      <c r="D588" s="8" t="n"/>
      <c r="E588" s="6" t="n"/>
      <c r="F588" s="6" t="n"/>
      <c r="G588" s="6" t="n"/>
      <c r="H588" s="6" t="n"/>
      <c r="I588" s="12">
        <f>IF($B588="","",IF(COUNTIF(Ventes_Factures!$A$6:$A$3005,$B588)&gt;0,"OK","INCONNUE"))</f>
        <v/>
      </c>
      <c r="J588" s="9">
        <f>IF($D588="","",ROUND($D588,2))</f>
        <v/>
      </c>
    </row>
    <row r="589">
      <c r="A589" s="6" t="n"/>
      <c r="B589" s="6" t="n"/>
      <c r="C589" s="7" t="n"/>
      <c r="D589" s="8" t="n"/>
      <c r="E589" s="6" t="n"/>
      <c r="F589" s="6" t="n"/>
      <c r="G589" s="6" t="n"/>
      <c r="H589" s="6" t="n"/>
      <c r="I589" s="12">
        <f>IF($B589="","",IF(COUNTIF(Ventes_Factures!$A$6:$A$3005,$B589)&gt;0,"OK","INCONNUE"))</f>
        <v/>
      </c>
      <c r="J589" s="9">
        <f>IF($D589="","",ROUND($D589,2))</f>
        <v/>
      </c>
    </row>
    <row r="590">
      <c r="A590" s="6" t="n"/>
      <c r="B590" s="6" t="n"/>
      <c r="C590" s="7" t="n"/>
      <c r="D590" s="8" t="n"/>
      <c r="E590" s="6" t="n"/>
      <c r="F590" s="6" t="n"/>
      <c r="G590" s="6" t="n"/>
      <c r="H590" s="6" t="n"/>
      <c r="I590" s="12">
        <f>IF($B590="","",IF(COUNTIF(Ventes_Factures!$A$6:$A$3005,$B590)&gt;0,"OK","INCONNUE"))</f>
        <v/>
      </c>
      <c r="J590" s="9">
        <f>IF($D590="","",ROUND($D590,2))</f>
        <v/>
      </c>
    </row>
    <row r="591">
      <c r="A591" s="6" t="n"/>
      <c r="B591" s="6" t="n"/>
      <c r="C591" s="7" t="n"/>
      <c r="D591" s="8" t="n"/>
      <c r="E591" s="6" t="n"/>
      <c r="F591" s="6" t="n"/>
      <c r="G591" s="6" t="n"/>
      <c r="H591" s="6" t="n"/>
      <c r="I591" s="12">
        <f>IF($B591="","",IF(COUNTIF(Ventes_Factures!$A$6:$A$3005,$B591)&gt;0,"OK","INCONNUE"))</f>
        <v/>
      </c>
      <c r="J591" s="9">
        <f>IF($D591="","",ROUND($D591,2))</f>
        <v/>
      </c>
    </row>
    <row r="592">
      <c r="A592" s="6" t="n"/>
      <c r="B592" s="6" t="n"/>
      <c r="C592" s="7" t="n"/>
      <c r="D592" s="8" t="n"/>
      <c r="E592" s="6" t="n"/>
      <c r="F592" s="6" t="n"/>
      <c r="G592" s="6" t="n"/>
      <c r="H592" s="6" t="n"/>
      <c r="I592" s="12">
        <f>IF($B592="","",IF(COUNTIF(Ventes_Factures!$A$6:$A$3005,$B592)&gt;0,"OK","INCONNUE"))</f>
        <v/>
      </c>
      <c r="J592" s="9">
        <f>IF($D592="","",ROUND($D592,2))</f>
        <v/>
      </c>
    </row>
    <row r="593">
      <c r="A593" s="6" t="n"/>
      <c r="B593" s="6" t="n"/>
      <c r="C593" s="7" t="n"/>
      <c r="D593" s="8" t="n"/>
      <c r="E593" s="6" t="n"/>
      <c r="F593" s="6" t="n"/>
      <c r="G593" s="6" t="n"/>
      <c r="H593" s="6" t="n"/>
      <c r="I593" s="12">
        <f>IF($B593="","",IF(COUNTIF(Ventes_Factures!$A$6:$A$3005,$B593)&gt;0,"OK","INCONNUE"))</f>
        <v/>
      </c>
      <c r="J593" s="9">
        <f>IF($D593="","",ROUND($D593,2))</f>
        <v/>
      </c>
    </row>
    <row r="594">
      <c r="A594" s="6" t="n"/>
      <c r="B594" s="6" t="n"/>
      <c r="C594" s="7" t="n"/>
      <c r="D594" s="8" t="n"/>
      <c r="E594" s="6" t="n"/>
      <c r="F594" s="6" t="n"/>
      <c r="G594" s="6" t="n"/>
      <c r="H594" s="6" t="n"/>
      <c r="I594" s="12">
        <f>IF($B594="","",IF(COUNTIF(Ventes_Factures!$A$6:$A$3005,$B594)&gt;0,"OK","INCONNUE"))</f>
        <v/>
      </c>
      <c r="J594" s="9">
        <f>IF($D594="","",ROUND($D594,2))</f>
        <v/>
      </c>
    </row>
    <row r="595">
      <c r="A595" s="6" t="n"/>
      <c r="B595" s="6" t="n"/>
      <c r="C595" s="7" t="n"/>
      <c r="D595" s="8" t="n"/>
      <c r="E595" s="6" t="n"/>
      <c r="F595" s="6" t="n"/>
      <c r="G595" s="6" t="n"/>
      <c r="H595" s="6" t="n"/>
      <c r="I595" s="12">
        <f>IF($B595="","",IF(COUNTIF(Ventes_Factures!$A$6:$A$3005,$B595)&gt;0,"OK","INCONNUE"))</f>
        <v/>
      </c>
      <c r="J595" s="9">
        <f>IF($D595="","",ROUND($D595,2))</f>
        <v/>
      </c>
    </row>
    <row r="596">
      <c r="A596" s="6" t="n"/>
      <c r="B596" s="6" t="n"/>
      <c r="C596" s="7" t="n"/>
      <c r="D596" s="8" t="n"/>
      <c r="E596" s="6" t="n"/>
      <c r="F596" s="6" t="n"/>
      <c r="G596" s="6" t="n"/>
      <c r="H596" s="6" t="n"/>
      <c r="I596" s="12">
        <f>IF($B596="","",IF(COUNTIF(Ventes_Factures!$A$6:$A$3005,$B596)&gt;0,"OK","INCONNUE"))</f>
        <v/>
      </c>
      <c r="J596" s="9">
        <f>IF($D596="","",ROUND($D596,2))</f>
        <v/>
      </c>
    </row>
    <row r="597">
      <c r="A597" s="6" t="n"/>
      <c r="B597" s="6" t="n"/>
      <c r="C597" s="7" t="n"/>
      <c r="D597" s="8" t="n"/>
      <c r="E597" s="6" t="n"/>
      <c r="F597" s="6" t="n"/>
      <c r="G597" s="6" t="n"/>
      <c r="H597" s="6" t="n"/>
      <c r="I597" s="12">
        <f>IF($B597="","",IF(COUNTIF(Ventes_Factures!$A$6:$A$3005,$B597)&gt;0,"OK","INCONNUE"))</f>
        <v/>
      </c>
      <c r="J597" s="9">
        <f>IF($D597="","",ROUND($D597,2))</f>
        <v/>
      </c>
    </row>
    <row r="598">
      <c r="A598" s="6" t="n"/>
      <c r="B598" s="6" t="n"/>
      <c r="C598" s="7" t="n"/>
      <c r="D598" s="8" t="n"/>
      <c r="E598" s="6" t="n"/>
      <c r="F598" s="6" t="n"/>
      <c r="G598" s="6" t="n"/>
      <c r="H598" s="6" t="n"/>
      <c r="I598" s="12">
        <f>IF($B598="","",IF(COUNTIF(Ventes_Factures!$A$6:$A$3005,$B598)&gt;0,"OK","INCONNUE"))</f>
        <v/>
      </c>
      <c r="J598" s="9">
        <f>IF($D598="","",ROUND($D598,2))</f>
        <v/>
      </c>
    </row>
    <row r="599">
      <c r="A599" s="6" t="n"/>
      <c r="B599" s="6" t="n"/>
      <c r="C599" s="7" t="n"/>
      <c r="D599" s="8" t="n"/>
      <c r="E599" s="6" t="n"/>
      <c r="F599" s="6" t="n"/>
      <c r="G599" s="6" t="n"/>
      <c r="H599" s="6" t="n"/>
      <c r="I599" s="12">
        <f>IF($B599="","",IF(COUNTIF(Ventes_Factures!$A$6:$A$3005,$B599)&gt;0,"OK","INCONNUE"))</f>
        <v/>
      </c>
      <c r="J599" s="9">
        <f>IF($D599="","",ROUND($D599,2))</f>
        <v/>
      </c>
    </row>
    <row r="600">
      <c r="A600" s="6" t="n"/>
      <c r="B600" s="6" t="n"/>
      <c r="C600" s="7" t="n"/>
      <c r="D600" s="8" t="n"/>
      <c r="E600" s="6" t="n"/>
      <c r="F600" s="6" t="n"/>
      <c r="G600" s="6" t="n"/>
      <c r="H600" s="6" t="n"/>
      <c r="I600" s="12">
        <f>IF($B600="","",IF(COUNTIF(Ventes_Factures!$A$6:$A$3005,$B600)&gt;0,"OK","INCONNUE"))</f>
        <v/>
      </c>
      <c r="J600" s="9">
        <f>IF($D600="","",ROUND($D600,2))</f>
        <v/>
      </c>
    </row>
    <row r="601">
      <c r="A601" s="6" t="n"/>
      <c r="B601" s="6" t="n"/>
      <c r="C601" s="7" t="n"/>
      <c r="D601" s="8" t="n"/>
      <c r="E601" s="6" t="n"/>
      <c r="F601" s="6" t="n"/>
      <c r="G601" s="6" t="n"/>
      <c r="H601" s="6" t="n"/>
      <c r="I601" s="12">
        <f>IF($B601="","",IF(COUNTIF(Ventes_Factures!$A$6:$A$3005,$B601)&gt;0,"OK","INCONNUE"))</f>
        <v/>
      </c>
      <c r="J601" s="9">
        <f>IF($D601="","",ROUND($D601,2))</f>
        <v/>
      </c>
    </row>
    <row r="602">
      <c r="A602" s="6" t="n"/>
      <c r="B602" s="6" t="n"/>
      <c r="C602" s="7" t="n"/>
      <c r="D602" s="8" t="n"/>
      <c r="E602" s="6" t="n"/>
      <c r="F602" s="6" t="n"/>
      <c r="G602" s="6" t="n"/>
      <c r="H602" s="6" t="n"/>
      <c r="I602" s="12">
        <f>IF($B602="","",IF(COUNTIF(Ventes_Factures!$A$6:$A$3005,$B602)&gt;0,"OK","INCONNUE"))</f>
        <v/>
      </c>
      <c r="J602" s="9">
        <f>IF($D602="","",ROUND($D602,2))</f>
        <v/>
      </c>
    </row>
    <row r="603">
      <c r="A603" s="6" t="n"/>
      <c r="B603" s="6" t="n"/>
      <c r="C603" s="7" t="n"/>
      <c r="D603" s="8" t="n"/>
      <c r="E603" s="6" t="n"/>
      <c r="F603" s="6" t="n"/>
      <c r="G603" s="6" t="n"/>
      <c r="H603" s="6" t="n"/>
      <c r="I603" s="12">
        <f>IF($B603="","",IF(COUNTIF(Ventes_Factures!$A$6:$A$3005,$B603)&gt;0,"OK","INCONNUE"))</f>
        <v/>
      </c>
      <c r="J603" s="9">
        <f>IF($D603="","",ROUND($D603,2))</f>
        <v/>
      </c>
    </row>
    <row r="604">
      <c r="A604" s="6" t="n"/>
      <c r="B604" s="6" t="n"/>
      <c r="C604" s="7" t="n"/>
      <c r="D604" s="8" t="n"/>
      <c r="E604" s="6" t="n"/>
      <c r="F604" s="6" t="n"/>
      <c r="G604" s="6" t="n"/>
      <c r="H604" s="6" t="n"/>
      <c r="I604" s="12">
        <f>IF($B604="","",IF(COUNTIF(Ventes_Factures!$A$6:$A$3005,$B604)&gt;0,"OK","INCONNUE"))</f>
        <v/>
      </c>
      <c r="J604" s="9">
        <f>IF($D604="","",ROUND($D604,2))</f>
        <v/>
      </c>
    </row>
    <row r="605">
      <c r="A605" s="6" t="n"/>
      <c r="B605" s="6" t="n"/>
      <c r="C605" s="7" t="n"/>
      <c r="D605" s="8" t="n"/>
      <c r="E605" s="6" t="n"/>
      <c r="F605" s="6" t="n"/>
      <c r="G605" s="6" t="n"/>
      <c r="H605" s="6" t="n"/>
      <c r="I605" s="12">
        <f>IF($B605="","",IF(COUNTIF(Ventes_Factures!$A$6:$A$3005,$B605)&gt;0,"OK","INCONNUE"))</f>
        <v/>
      </c>
      <c r="J605" s="9">
        <f>IF($D605="","",ROUND($D605,2))</f>
        <v/>
      </c>
    </row>
    <row r="606">
      <c r="A606" s="6" t="n"/>
      <c r="B606" s="6" t="n"/>
      <c r="C606" s="7" t="n"/>
      <c r="D606" s="8" t="n"/>
      <c r="E606" s="6" t="n"/>
      <c r="F606" s="6" t="n"/>
      <c r="G606" s="6" t="n"/>
      <c r="H606" s="6" t="n"/>
      <c r="I606" s="12">
        <f>IF($B606="","",IF(COUNTIF(Ventes_Factures!$A$6:$A$3005,$B606)&gt;0,"OK","INCONNUE"))</f>
        <v/>
      </c>
      <c r="J606" s="9">
        <f>IF($D606="","",ROUND($D606,2))</f>
        <v/>
      </c>
    </row>
    <row r="607">
      <c r="A607" s="6" t="n"/>
      <c r="B607" s="6" t="n"/>
      <c r="C607" s="7" t="n"/>
      <c r="D607" s="8" t="n"/>
      <c r="E607" s="6" t="n"/>
      <c r="F607" s="6" t="n"/>
      <c r="G607" s="6" t="n"/>
      <c r="H607" s="6" t="n"/>
      <c r="I607" s="12">
        <f>IF($B607="","",IF(COUNTIF(Ventes_Factures!$A$6:$A$3005,$B607)&gt;0,"OK","INCONNUE"))</f>
        <v/>
      </c>
      <c r="J607" s="9">
        <f>IF($D607="","",ROUND($D607,2))</f>
        <v/>
      </c>
    </row>
    <row r="608">
      <c r="A608" s="6" t="n"/>
      <c r="B608" s="6" t="n"/>
      <c r="C608" s="7" t="n"/>
      <c r="D608" s="8" t="n"/>
      <c r="E608" s="6" t="n"/>
      <c r="F608" s="6" t="n"/>
      <c r="G608" s="6" t="n"/>
      <c r="H608" s="6" t="n"/>
      <c r="I608" s="12">
        <f>IF($B608="","",IF(COUNTIF(Ventes_Factures!$A$6:$A$3005,$B608)&gt;0,"OK","INCONNUE"))</f>
        <v/>
      </c>
      <c r="J608" s="9">
        <f>IF($D608="","",ROUND($D608,2))</f>
        <v/>
      </c>
    </row>
    <row r="609">
      <c r="A609" s="6" t="n"/>
      <c r="B609" s="6" t="n"/>
      <c r="C609" s="7" t="n"/>
      <c r="D609" s="8" t="n"/>
      <c r="E609" s="6" t="n"/>
      <c r="F609" s="6" t="n"/>
      <c r="G609" s="6" t="n"/>
      <c r="H609" s="6" t="n"/>
      <c r="I609" s="12">
        <f>IF($B609="","",IF(COUNTIF(Ventes_Factures!$A$6:$A$3005,$B609)&gt;0,"OK","INCONNUE"))</f>
        <v/>
      </c>
      <c r="J609" s="9">
        <f>IF($D609="","",ROUND($D609,2))</f>
        <v/>
      </c>
    </row>
    <row r="610">
      <c r="A610" s="6" t="n"/>
      <c r="B610" s="6" t="n"/>
      <c r="C610" s="7" t="n"/>
      <c r="D610" s="8" t="n"/>
      <c r="E610" s="6" t="n"/>
      <c r="F610" s="6" t="n"/>
      <c r="G610" s="6" t="n"/>
      <c r="H610" s="6" t="n"/>
      <c r="I610" s="12">
        <f>IF($B610="","",IF(COUNTIF(Ventes_Factures!$A$6:$A$3005,$B610)&gt;0,"OK","INCONNUE"))</f>
        <v/>
      </c>
      <c r="J610" s="9">
        <f>IF($D610="","",ROUND($D610,2))</f>
        <v/>
      </c>
    </row>
    <row r="611">
      <c r="A611" s="6" t="n"/>
      <c r="B611" s="6" t="n"/>
      <c r="C611" s="7" t="n"/>
      <c r="D611" s="8" t="n"/>
      <c r="E611" s="6" t="n"/>
      <c r="F611" s="6" t="n"/>
      <c r="G611" s="6" t="n"/>
      <c r="H611" s="6" t="n"/>
      <c r="I611" s="12">
        <f>IF($B611="","",IF(COUNTIF(Ventes_Factures!$A$6:$A$3005,$B611)&gt;0,"OK","INCONNUE"))</f>
        <v/>
      </c>
      <c r="J611" s="9">
        <f>IF($D611="","",ROUND($D611,2))</f>
        <v/>
      </c>
    </row>
    <row r="612">
      <c r="A612" s="6" t="n"/>
      <c r="B612" s="6" t="n"/>
      <c r="C612" s="7" t="n"/>
      <c r="D612" s="8" t="n"/>
      <c r="E612" s="6" t="n"/>
      <c r="F612" s="6" t="n"/>
      <c r="G612" s="6" t="n"/>
      <c r="H612" s="6" t="n"/>
      <c r="I612" s="12">
        <f>IF($B612="","",IF(COUNTIF(Ventes_Factures!$A$6:$A$3005,$B612)&gt;0,"OK","INCONNUE"))</f>
        <v/>
      </c>
      <c r="J612" s="9">
        <f>IF($D612="","",ROUND($D612,2))</f>
        <v/>
      </c>
    </row>
    <row r="613">
      <c r="A613" s="6" t="n"/>
      <c r="B613" s="6" t="n"/>
      <c r="C613" s="7" t="n"/>
      <c r="D613" s="8" t="n"/>
      <c r="E613" s="6" t="n"/>
      <c r="F613" s="6" t="n"/>
      <c r="G613" s="6" t="n"/>
      <c r="H613" s="6" t="n"/>
      <c r="I613" s="12">
        <f>IF($B613="","",IF(COUNTIF(Ventes_Factures!$A$6:$A$3005,$B613)&gt;0,"OK","INCONNUE"))</f>
        <v/>
      </c>
      <c r="J613" s="9">
        <f>IF($D613="","",ROUND($D613,2))</f>
        <v/>
      </c>
    </row>
    <row r="614">
      <c r="A614" s="6" t="n"/>
      <c r="B614" s="6" t="n"/>
      <c r="C614" s="7" t="n"/>
      <c r="D614" s="8" t="n"/>
      <c r="E614" s="6" t="n"/>
      <c r="F614" s="6" t="n"/>
      <c r="G614" s="6" t="n"/>
      <c r="H614" s="6" t="n"/>
      <c r="I614" s="12">
        <f>IF($B614="","",IF(COUNTIF(Ventes_Factures!$A$6:$A$3005,$B614)&gt;0,"OK","INCONNUE"))</f>
        <v/>
      </c>
      <c r="J614" s="9">
        <f>IF($D614="","",ROUND($D614,2))</f>
        <v/>
      </c>
    </row>
    <row r="615">
      <c r="A615" s="6" t="n"/>
      <c r="B615" s="6" t="n"/>
      <c r="C615" s="7" t="n"/>
      <c r="D615" s="8" t="n"/>
      <c r="E615" s="6" t="n"/>
      <c r="F615" s="6" t="n"/>
      <c r="G615" s="6" t="n"/>
      <c r="H615" s="6" t="n"/>
      <c r="I615" s="12">
        <f>IF($B615="","",IF(COUNTIF(Ventes_Factures!$A$6:$A$3005,$B615)&gt;0,"OK","INCONNUE"))</f>
        <v/>
      </c>
      <c r="J615" s="9">
        <f>IF($D615="","",ROUND($D615,2))</f>
        <v/>
      </c>
    </row>
    <row r="616">
      <c r="A616" s="6" t="n"/>
      <c r="B616" s="6" t="n"/>
      <c r="C616" s="7" t="n"/>
      <c r="D616" s="8" t="n"/>
      <c r="E616" s="6" t="n"/>
      <c r="F616" s="6" t="n"/>
      <c r="G616" s="6" t="n"/>
      <c r="H616" s="6" t="n"/>
      <c r="I616" s="12">
        <f>IF($B616="","",IF(COUNTIF(Ventes_Factures!$A$6:$A$3005,$B616)&gt;0,"OK","INCONNUE"))</f>
        <v/>
      </c>
      <c r="J616" s="9">
        <f>IF($D616="","",ROUND($D616,2))</f>
        <v/>
      </c>
    </row>
    <row r="617">
      <c r="A617" s="6" t="n"/>
      <c r="B617" s="6" t="n"/>
      <c r="C617" s="7" t="n"/>
      <c r="D617" s="8" t="n"/>
      <c r="E617" s="6" t="n"/>
      <c r="F617" s="6" t="n"/>
      <c r="G617" s="6" t="n"/>
      <c r="H617" s="6" t="n"/>
      <c r="I617" s="12">
        <f>IF($B617="","",IF(COUNTIF(Ventes_Factures!$A$6:$A$3005,$B617)&gt;0,"OK","INCONNUE"))</f>
        <v/>
      </c>
      <c r="J617" s="9">
        <f>IF($D617="","",ROUND($D617,2))</f>
        <v/>
      </c>
    </row>
    <row r="618">
      <c r="A618" s="6" t="n"/>
      <c r="B618" s="6" t="n"/>
      <c r="C618" s="7" t="n"/>
      <c r="D618" s="8" t="n"/>
      <c r="E618" s="6" t="n"/>
      <c r="F618" s="6" t="n"/>
      <c r="G618" s="6" t="n"/>
      <c r="H618" s="6" t="n"/>
      <c r="I618" s="12">
        <f>IF($B618="","",IF(COUNTIF(Ventes_Factures!$A$6:$A$3005,$B618)&gt;0,"OK","INCONNUE"))</f>
        <v/>
      </c>
      <c r="J618" s="9">
        <f>IF($D618="","",ROUND($D618,2))</f>
        <v/>
      </c>
    </row>
    <row r="619">
      <c r="A619" s="6" t="n"/>
      <c r="B619" s="6" t="n"/>
      <c r="C619" s="7" t="n"/>
      <c r="D619" s="8" t="n"/>
      <c r="E619" s="6" t="n"/>
      <c r="F619" s="6" t="n"/>
      <c r="G619" s="6" t="n"/>
      <c r="H619" s="6" t="n"/>
      <c r="I619" s="12">
        <f>IF($B619="","",IF(COUNTIF(Ventes_Factures!$A$6:$A$3005,$B619)&gt;0,"OK","INCONNUE"))</f>
        <v/>
      </c>
      <c r="J619" s="9">
        <f>IF($D619="","",ROUND($D619,2))</f>
        <v/>
      </c>
    </row>
    <row r="620">
      <c r="A620" s="6" t="n"/>
      <c r="B620" s="6" t="n"/>
      <c r="C620" s="7" t="n"/>
      <c r="D620" s="8" t="n"/>
      <c r="E620" s="6" t="n"/>
      <c r="F620" s="6" t="n"/>
      <c r="G620" s="6" t="n"/>
      <c r="H620" s="6" t="n"/>
      <c r="I620" s="12">
        <f>IF($B620="","",IF(COUNTIF(Ventes_Factures!$A$6:$A$3005,$B620)&gt;0,"OK","INCONNUE"))</f>
        <v/>
      </c>
      <c r="J620" s="9">
        <f>IF($D620="","",ROUND($D620,2))</f>
        <v/>
      </c>
    </row>
    <row r="621">
      <c r="A621" s="6" t="n"/>
      <c r="B621" s="6" t="n"/>
      <c r="C621" s="7" t="n"/>
      <c r="D621" s="8" t="n"/>
      <c r="E621" s="6" t="n"/>
      <c r="F621" s="6" t="n"/>
      <c r="G621" s="6" t="n"/>
      <c r="H621" s="6" t="n"/>
      <c r="I621" s="12">
        <f>IF($B621="","",IF(COUNTIF(Ventes_Factures!$A$6:$A$3005,$B621)&gt;0,"OK","INCONNUE"))</f>
        <v/>
      </c>
      <c r="J621" s="9">
        <f>IF($D621="","",ROUND($D621,2))</f>
        <v/>
      </c>
    </row>
    <row r="622">
      <c r="A622" s="6" t="n"/>
      <c r="B622" s="6" t="n"/>
      <c r="C622" s="7" t="n"/>
      <c r="D622" s="8" t="n"/>
      <c r="E622" s="6" t="n"/>
      <c r="F622" s="6" t="n"/>
      <c r="G622" s="6" t="n"/>
      <c r="H622" s="6" t="n"/>
      <c r="I622" s="12">
        <f>IF($B622="","",IF(COUNTIF(Ventes_Factures!$A$6:$A$3005,$B622)&gt;0,"OK","INCONNUE"))</f>
        <v/>
      </c>
      <c r="J622" s="9">
        <f>IF($D622="","",ROUND($D622,2))</f>
        <v/>
      </c>
    </row>
    <row r="623">
      <c r="A623" s="6" t="n"/>
      <c r="B623" s="6" t="n"/>
      <c r="C623" s="7" t="n"/>
      <c r="D623" s="8" t="n"/>
      <c r="E623" s="6" t="n"/>
      <c r="F623" s="6" t="n"/>
      <c r="G623" s="6" t="n"/>
      <c r="H623" s="6" t="n"/>
      <c r="I623" s="12">
        <f>IF($B623="","",IF(COUNTIF(Ventes_Factures!$A$6:$A$3005,$B623)&gt;0,"OK","INCONNUE"))</f>
        <v/>
      </c>
      <c r="J623" s="9">
        <f>IF($D623="","",ROUND($D623,2))</f>
        <v/>
      </c>
    </row>
    <row r="624">
      <c r="A624" s="6" t="n"/>
      <c r="B624" s="6" t="n"/>
      <c r="C624" s="7" t="n"/>
      <c r="D624" s="8" t="n"/>
      <c r="E624" s="6" t="n"/>
      <c r="F624" s="6" t="n"/>
      <c r="G624" s="6" t="n"/>
      <c r="H624" s="6" t="n"/>
      <c r="I624" s="12">
        <f>IF($B624="","",IF(COUNTIF(Ventes_Factures!$A$6:$A$3005,$B624)&gt;0,"OK","INCONNUE"))</f>
        <v/>
      </c>
      <c r="J624" s="9">
        <f>IF($D624="","",ROUND($D624,2))</f>
        <v/>
      </c>
    </row>
    <row r="625">
      <c r="A625" s="6" t="n"/>
      <c r="B625" s="6" t="n"/>
      <c r="C625" s="7" t="n"/>
      <c r="D625" s="8" t="n"/>
      <c r="E625" s="6" t="n"/>
      <c r="F625" s="6" t="n"/>
      <c r="G625" s="6" t="n"/>
      <c r="H625" s="6" t="n"/>
      <c r="I625" s="12">
        <f>IF($B625="","",IF(COUNTIF(Ventes_Factures!$A$6:$A$3005,$B625)&gt;0,"OK","INCONNUE"))</f>
        <v/>
      </c>
      <c r="J625" s="9">
        <f>IF($D625="","",ROUND($D625,2))</f>
        <v/>
      </c>
    </row>
    <row r="626">
      <c r="A626" s="6" t="n"/>
      <c r="B626" s="6" t="n"/>
      <c r="C626" s="7" t="n"/>
      <c r="D626" s="8" t="n"/>
      <c r="E626" s="6" t="n"/>
      <c r="F626" s="6" t="n"/>
      <c r="G626" s="6" t="n"/>
      <c r="H626" s="6" t="n"/>
      <c r="I626" s="12">
        <f>IF($B626="","",IF(COUNTIF(Ventes_Factures!$A$6:$A$3005,$B626)&gt;0,"OK","INCONNUE"))</f>
        <v/>
      </c>
      <c r="J626" s="9">
        <f>IF($D626="","",ROUND($D626,2))</f>
        <v/>
      </c>
    </row>
    <row r="627">
      <c r="A627" s="6" t="n"/>
      <c r="B627" s="6" t="n"/>
      <c r="C627" s="7" t="n"/>
      <c r="D627" s="8" t="n"/>
      <c r="E627" s="6" t="n"/>
      <c r="F627" s="6" t="n"/>
      <c r="G627" s="6" t="n"/>
      <c r="H627" s="6" t="n"/>
      <c r="I627" s="12">
        <f>IF($B627="","",IF(COUNTIF(Ventes_Factures!$A$6:$A$3005,$B627)&gt;0,"OK","INCONNUE"))</f>
        <v/>
      </c>
      <c r="J627" s="9">
        <f>IF($D627="","",ROUND($D627,2))</f>
        <v/>
      </c>
    </row>
    <row r="628">
      <c r="A628" s="6" t="n"/>
      <c r="B628" s="6" t="n"/>
      <c r="C628" s="7" t="n"/>
      <c r="D628" s="8" t="n"/>
      <c r="E628" s="6" t="n"/>
      <c r="F628" s="6" t="n"/>
      <c r="G628" s="6" t="n"/>
      <c r="H628" s="6" t="n"/>
      <c r="I628" s="12">
        <f>IF($B628="","",IF(COUNTIF(Ventes_Factures!$A$6:$A$3005,$B628)&gt;0,"OK","INCONNUE"))</f>
        <v/>
      </c>
      <c r="J628" s="9">
        <f>IF($D628="","",ROUND($D628,2))</f>
        <v/>
      </c>
    </row>
    <row r="629">
      <c r="A629" s="6" t="n"/>
      <c r="B629" s="6" t="n"/>
      <c r="C629" s="7" t="n"/>
      <c r="D629" s="8" t="n"/>
      <c r="E629" s="6" t="n"/>
      <c r="F629" s="6" t="n"/>
      <c r="G629" s="6" t="n"/>
      <c r="H629" s="6" t="n"/>
      <c r="I629" s="12">
        <f>IF($B629="","",IF(COUNTIF(Ventes_Factures!$A$6:$A$3005,$B629)&gt;0,"OK","INCONNUE"))</f>
        <v/>
      </c>
      <c r="J629" s="9">
        <f>IF($D629="","",ROUND($D629,2))</f>
        <v/>
      </c>
    </row>
    <row r="630">
      <c r="A630" s="6" t="n"/>
      <c r="B630" s="6" t="n"/>
      <c r="C630" s="7" t="n"/>
      <c r="D630" s="8" t="n"/>
      <c r="E630" s="6" t="n"/>
      <c r="F630" s="6" t="n"/>
      <c r="G630" s="6" t="n"/>
      <c r="H630" s="6" t="n"/>
      <c r="I630" s="12">
        <f>IF($B630="","",IF(COUNTIF(Ventes_Factures!$A$6:$A$3005,$B630)&gt;0,"OK","INCONNUE"))</f>
        <v/>
      </c>
      <c r="J630" s="9">
        <f>IF($D630="","",ROUND($D630,2))</f>
        <v/>
      </c>
    </row>
    <row r="631">
      <c r="A631" s="6" t="n"/>
      <c r="B631" s="6" t="n"/>
      <c r="C631" s="7" t="n"/>
      <c r="D631" s="8" t="n"/>
      <c r="E631" s="6" t="n"/>
      <c r="F631" s="6" t="n"/>
      <c r="G631" s="6" t="n"/>
      <c r="H631" s="6" t="n"/>
      <c r="I631" s="12">
        <f>IF($B631="","",IF(COUNTIF(Ventes_Factures!$A$6:$A$3005,$B631)&gt;0,"OK","INCONNUE"))</f>
        <v/>
      </c>
      <c r="J631" s="9">
        <f>IF($D631="","",ROUND($D631,2))</f>
        <v/>
      </c>
    </row>
    <row r="632">
      <c r="A632" s="6" t="n"/>
      <c r="B632" s="6" t="n"/>
      <c r="C632" s="7" t="n"/>
      <c r="D632" s="8" t="n"/>
      <c r="E632" s="6" t="n"/>
      <c r="F632" s="6" t="n"/>
      <c r="G632" s="6" t="n"/>
      <c r="H632" s="6" t="n"/>
      <c r="I632" s="12">
        <f>IF($B632="","",IF(COUNTIF(Ventes_Factures!$A$6:$A$3005,$B632)&gt;0,"OK","INCONNUE"))</f>
        <v/>
      </c>
      <c r="J632" s="9">
        <f>IF($D632="","",ROUND($D632,2))</f>
        <v/>
      </c>
    </row>
    <row r="633">
      <c r="A633" s="6" t="n"/>
      <c r="B633" s="6" t="n"/>
      <c r="C633" s="7" t="n"/>
      <c r="D633" s="8" t="n"/>
      <c r="E633" s="6" t="n"/>
      <c r="F633" s="6" t="n"/>
      <c r="G633" s="6" t="n"/>
      <c r="H633" s="6" t="n"/>
      <c r="I633" s="12">
        <f>IF($B633="","",IF(COUNTIF(Ventes_Factures!$A$6:$A$3005,$B633)&gt;0,"OK","INCONNUE"))</f>
        <v/>
      </c>
      <c r="J633" s="9">
        <f>IF($D633="","",ROUND($D633,2))</f>
        <v/>
      </c>
    </row>
    <row r="634">
      <c r="A634" s="6" t="n"/>
      <c r="B634" s="6" t="n"/>
      <c r="C634" s="7" t="n"/>
      <c r="D634" s="8" t="n"/>
      <c r="E634" s="6" t="n"/>
      <c r="F634" s="6" t="n"/>
      <c r="G634" s="6" t="n"/>
      <c r="H634" s="6" t="n"/>
      <c r="I634" s="12">
        <f>IF($B634="","",IF(COUNTIF(Ventes_Factures!$A$6:$A$3005,$B634)&gt;0,"OK","INCONNUE"))</f>
        <v/>
      </c>
      <c r="J634" s="9">
        <f>IF($D634="","",ROUND($D634,2))</f>
        <v/>
      </c>
    </row>
    <row r="635">
      <c r="A635" s="6" t="n"/>
      <c r="B635" s="6" t="n"/>
      <c r="C635" s="7" t="n"/>
      <c r="D635" s="8" t="n"/>
      <c r="E635" s="6" t="n"/>
      <c r="F635" s="6" t="n"/>
      <c r="G635" s="6" t="n"/>
      <c r="H635" s="6" t="n"/>
      <c r="I635" s="12">
        <f>IF($B635="","",IF(COUNTIF(Ventes_Factures!$A$6:$A$3005,$B635)&gt;0,"OK","INCONNUE"))</f>
        <v/>
      </c>
      <c r="J635" s="9">
        <f>IF($D635="","",ROUND($D635,2))</f>
        <v/>
      </c>
    </row>
    <row r="636">
      <c r="A636" s="6" t="n"/>
      <c r="B636" s="6" t="n"/>
      <c r="C636" s="7" t="n"/>
      <c r="D636" s="8" t="n"/>
      <c r="E636" s="6" t="n"/>
      <c r="F636" s="6" t="n"/>
      <c r="G636" s="6" t="n"/>
      <c r="H636" s="6" t="n"/>
      <c r="I636" s="12">
        <f>IF($B636="","",IF(COUNTIF(Ventes_Factures!$A$6:$A$3005,$B636)&gt;0,"OK","INCONNUE"))</f>
        <v/>
      </c>
      <c r="J636" s="9">
        <f>IF($D636="","",ROUND($D636,2))</f>
        <v/>
      </c>
    </row>
    <row r="637">
      <c r="A637" s="6" t="n"/>
      <c r="B637" s="6" t="n"/>
      <c r="C637" s="7" t="n"/>
      <c r="D637" s="8" t="n"/>
      <c r="E637" s="6" t="n"/>
      <c r="F637" s="6" t="n"/>
      <c r="G637" s="6" t="n"/>
      <c r="H637" s="6" t="n"/>
      <c r="I637" s="12">
        <f>IF($B637="","",IF(COUNTIF(Ventes_Factures!$A$6:$A$3005,$B637)&gt;0,"OK","INCONNUE"))</f>
        <v/>
      </c>
      <c r="J637" s="9">
        <f>IF($D637="","",ROUND($D637,2))</f>
        <v/>
      </c>
    </row>
    <row r="638">
      <c r="A638" s="6" t="n"/>
      <c r="B638" s="6" t="n"/>
      <c r="C638" s="7" t="n"/>
      <c r="D638" s="8" t="n"/>
      <c r="E638" s="6" t="n"/>
      <c r="F638" s="6" t="n"/>
      <c r="G638" s="6" t="n"/>
      <c r="H638" s="6" t="n"/>
      <c r="I638" s="12">
        <f>IF($B638="","",IF(COUNTIF(Ventes_Factures!$A$6:$A$3005,$B638)&gt;0,"OK","INCONNUE"))</f>
        <v/>
      </c>
      <c r="J638" s="9">
        <f>IF($D638="","",ROUND($D638,2))</f>
        <v/>
      </c>
    </row>
    <row r="639">
      <c r="A639" s="6" t="n"/>
      <c r="B639" s="6" t="n"/>
      <c r="C639" s="7" t="n"/>
      <c r="D639" s="8" t="n"/>
      <c r="E639" s="6" t="n"/>
      <c r="F639" s="6" t="n"/>
      <c r="G639" s="6" t="n"/>
      <c r="H639" s="6" t="n"/>
      <c r="I639" s="12">
        <f>IF($B639="","",IF(COUNTIF(Ventes_Factures!$A$6:$A$3005,$B639)&gt;0,"OK","INCONNUE"))</f>
        <v/>
      </c>
      <c r="J639" s="9">
        <f>IF($D639="","",ROUND($D639,2))</f>
        <v/>
      </c>
    </row>
    <row r="640">
      <c r="A640" s="6" t="n"/>
      <c r="B640" s="6" t="n"/>
      <c r="C640" s="7" t="n"/>
      <c r="D640" s="8" t="n"/>
      <c r="E640" s="6" t="n"/>
      <c r="F640" s="6" t="n"/>
      <c r="G640" s="6" t="n"/>
      <c r="H640" s="6" t="n"/>
      <c r="I640" s="12">
        <f>IF($B640="","",IF(COUNTIF(Ventes_Factures!$A$6:$A$3005,$B640)&gt;0,"OK","INCONNUE"))</f>
        <v/>
      </c>
      <c r="J640" s="9">
        <f>IF($D640="","",ROUND($D640,2))</f>
        <v/>
      </c>
    </row>
    <row r="641">
      <c r="A641" s="6" t="n"/>
      <c r="B641" s="6" t="n"/>
      <c r="C641" s="7" t="n"/>
      <c r="D641" s="8" t="n"/>
      <c r="E641" s="6" t="n"/>
      <c r="F641" s="6" t="n"/>
      <c r="G641" s="6" t="n"/>
      <c r="H641" s="6" t="n"/>
      <c r="I641" s="12">
        <f>IF($B641="","",IF(COUNTIF(Ventes_Factures!$A$6:$A$3005,$B641)&gt;0,"OK","INCONNUE"))</f>
        <v/>
      </c>
      <c r="J641" s="9">
        <f>IF($D641="","",ROUND($D641,2))</f>
        <v/>
      </c>
    </row>
    <row r="642">
      <c r="A642" s="6" t="n"/>
      <c r="B642" s="6" t="n"/>
      <c r="C642" s="7" t="n"/>
      <c r="D642" s="8" t="n"/>
      <c r="E642" s="6" t="n"/>
      <c r="F642" s="6" t="n"/>
      <c r="G642" s="6" t="n"/>
      <c r="H642" s="6" t="n"/>
      <c r="I642" s="12">
        <f>IF($B642="","",IF(COUNTIF(Ventes_Factures!$A$6:$A$3005,$B642)&gt;0,"OK","INCONNUE"))</f>
        <v/>
      </c>
      <c r="J642" s="9">
        <f>IF($D642="","",ROUND($D642,2))</f>
        <v/>
      </c>
    </row>
    <row r="643">
      <c r="A643" s="6" t="n"/>
      <c r="B643" s="6" t="n"/>
      <c r="C643" s="7" t="n"/>
      <c r="D643" s="8" t="n"/>
      <c r="E643" s="6" t="n"/>
      <c r="F643" s="6" t="n"/>
      <c r="G643" s="6" t="n"/>
      <c r="H643" s="6" t="n"/>
      <c r="I643" s="12">
        <f>IF($B643="","",IF(COUNTIF(Ventes_Factures!$A$6:$A$3005,$B643)&gt;0,"OK","INCONNUE"))</f>
        <v/>
      </c>
      <c r="J643" s="9">
        <f>IF($D643="","",ROUND($D643,2))</f>
        <v/>
      </c>
    </row>
    <row r="644">
      <c r="A644" s="6" t="n"/>
      <c r="B644" s="6" t="n"/>
      <c r="C644" s="7" t="n"/>
      <c r="D644" s="8" t="n"/>
      <c r="E644" s="6" t="n"/>
      <c r="F644" s="6" t="n"/>
      <c r="G644" s="6" t="n"/>
      <c r="H644" s="6" t="n"/>
      <c r="I644" s="12">
        <f>IF($B644="","",IF(COUNTIF(Ventes_Factures!$A$6:$A$3005,$B644)&gt;0,"OK","INCONNUE"))</f>
        <v/>
      </c>
      <c r="J644" s="9">
        <f>IF($D644="","",ROUND($D644,2))</f>
        <v/>
      </c>
    </row>
    <row r="645">
      <c r="A645" s="6" t="n"/>
      <c r="B645" s="6" t="n"/>
      <c r="C645" s="7" t="n"/>
      <c r="D645" s="8" t="n"/>
      <c r="E645" s="6" t="n"/>
      <c r="F645" s="6" t="n"/>
      <c r="G645" s="6" t="n"/>
      <c r="H645" s="6" t="n"/>
      <c r="I645" s="12">
        <f>IF($B645="","",IF(COUNTIF(Ventes_Factures!$A$6:$A$3005,$B645)&gt;0,"OK","INCONNUE"))</f>
        <v/>
      </c>
      <c r="J645" s="9">
        <f>IF($D645="","",ROUND($D645,2))</f>
        <v/>
      </c>
    </row>
    <row r="646">
      <c r="A646" s="6" t="n"/>
      <c r="B646" s="6" t="n"/>
      <c r="C646" s="7" t="n"/>
      <c r="D646" s="8" t="n"/>
      <c r="E646" s="6" t="n"/>
      <c r="F646" s="6" t="n"/>
      <c r="G646" s="6" t="n"/>
      <c r="H646" s="6" t="n"/>
      <c r="I646" s="12">
        <f>IF($B646="","",IF(COUNTIF(Ventes_Factures!$A$6:$A$3005,$B646)&gt;0,"OK","INCONNUE"))</f>
        <v/>
      </c>
      <c r="J646" s="9">
        <f>IF($D646="","",ROUND($D646,2))</f>
        <v/>
      </c>
    </row>
    <row r="647">
      <c r="A647" s="6" t="n"/>
      <c r="B647" s="6" t="n"/>
      <c r="C647" s="7" t="n"/>
      <c r="D647" s="8" t="n"/>
      <c r="E647" s="6" t="n"/>
      <c r="F647" s="6" t="n"/>
      <c r="G647" s="6" t="n"/>
      <c r="H647" s="6" t="n"/>
      <c r="I647" s="12">
        <f>IF($B647="","",IF(COUNTIF(Ventes_Factures!$A$6:$A$3005,$B647)&gt;0,"OK","INCONNUE"))</f>
        <v/>
      </c>
      <c r="J647" s="9">
        <f>IF($D647="","",ROUND($D647,2))</f>
        <v/>
      </c>
    </row>
    <row r="648">
      <c r="A648" s="6" t="n"/>
      <c r="B648" s="6" t="n"/>
      <c r="C648" s="7" t="n"/>
      <c r="D648" s="8" t="n"/>
      <c r="E648" s="6" t="n"/>
      <c r="F648" s="6" t="n"/>
      <c r="G648" s="6" t="n"/>
      <c r="H648" s="6" t="n"/>
      <c r="I648" s="12">
        <f>IF($B648="","",IF(COUNTIF(Ventes_Factures!$A$6:$A$3005,$B648)&gt;0,"OK","INCONNUE"))</f>
        <v/>
      </c>
      <c r="J648" s="9">
        <f>IF($D648="","",ROUND($D648,2))</f>
        <v/>
      </c>
    </row>
    <row r="649">
      <c r="A649" s="6" t="n"/>
      <c r="B649" s="6" t="n"/>
      <c r="C649" s="7" t="n"/>
      <c r="D649" s="8" t="n"/>
      <c r="E649" s="6" t="n"/>
      <c r="F649" s="6" t="n"/>
      <c r="G649" s="6" t="n"/>
      <c r="H649" s="6" t="n"/>
      <c r="I649" s="12">
        <f>IF($B649="","",IF(COUNTIF(Ventes_Factures!$A$6:$A$3005,$B649)&gt;0,"OK","INCONNUE"))</f>
        <v/>
      </c>
      <c r="J649" s="9">
        <f>IF($D649="","",ROUND($D649,2))</f>
        <v/>
      </c>
    </row>
    <row r="650">
      <c r="A650" s="6" t="n"/>
      <c r="B650" s="6" t="n"/>
      <c r="C650" s="7" t="n"/>
      <c r="D650" s="8" t="n"/>
      <c r="E650" s="6" t="n"/>
      <c r="F650" s="6" t="n"/>
      <c r="G650" s="6" t="n"/>
      <c r="H650" s="6" t="n"/>
      <c r="I650" s="12">
        <f>IF($B650="","",IF(COUNTIF(Ventes_Factures!$A$6:$A$3005,$B650)&gt;0,"OK","INCONNUE"))</f>
        <v/>
      </c>
      <c r="J650" s="9">
        <f>IF($D650="","",ROUND($D650,2))</f>
        <v/>
      </c>
    </row>
    <row r="651">
      <c r="A651" s="6" t="n"/>
      <c r="B651" s="6" t="n"/>
      <c r="C651" s="7" t="n"/>
      <c r="D651" s="8" t="n"/>
      <c r="E651" s="6" t="n"/>
      <c r="F651" s="6" t="n"/>
      <c r="G651" s="6" t="n"/>
      <c r="H651" s="6" t="n"/>
      <c r="I651" s="12">
        <f>IF($B651="","",IF(COUNTIF(Ventes_Factures!$A$6:$A$3005,$B651)&gt;0,"OK","INCONNUE"))</f>
        <v/>
      </c>
      <c r="J651" s="9">
        <f>IF($D651="","",ROUND($D651,2))</f>
        <v/>
      </c>
    </row>
    <row r="652">
      <c r="A652" s="6" t="n"/>
      <c r="B652" s="6" t="n"/>
      <c r="C652" s="7" t="n"/>
      <c r="D652" s="8" t="n"/>
      <c r="E652" s="6" t="n"/>
      <c r="F652" s="6" t="n"/>
      <c r="G652" s="6" t="n"/>
      <c r="H652" s="6" t="n"/>
      <c r="I652" s="12">
        <f>IF($B652="","",IF(COUNTIF(Ventes_Factures!$A$6:$A$3005,$B652)&gt;0,"OK","INCONNUE"))</f>
        <v/>
      </c>
      <c r="J652" s="9">
        <f>IF($D652="","",ROUND($D652,2))</f>
        <v/>
      </c>
    </row>
    <row r="653">
      <c r="A653" s="6" t="n"/>
      <c r="B653" s="6" t="n"/>
      <c r="C653" s="7" t="n"/>
      <c r="D653" s="8" t="n"/>
      <c r="E653" s="6" t="n"/>
      <c r="F653" s="6" t="n"/>
      <c r="G653" s="6" t="n"/>
      <c r="H653" s="6" t="n"/>
      <c r="I653" s="12">
        <f>IF($B653="","",IF(COUNTIF(Ventes_Factures!$A$6:$A$3005,$B653)&gt;0,"OK","INCONNUE"))</f>
        <v/>
      </c>
      <c r="J653" s="9">
        <f>IF($D653="","",ROUND($D653,2))</f>
        <v/>
      </c>
    </row>
    <row r="654">
      <c r="A654" s="6" t="n"/>
      <c r="B654" s="6" t="n"/>
      <c r="C654" s="7" t="n"/>
      <c r="D654" s="8" t="n"/>
      <c r="E654" s="6" t="n"/>
      <c r="F654" s="6" t="n"/>
      <c r="G654" s="6" t="n"/>
      <c r="H654" s="6" t="n"/>
      <c r="I654" s="12">
        <f>IF($B654="","",IF(COUNTIF(Ventes_Factures!$A$6:$A$3005,$B654)&gt;0,"OK","INCONNUE"))</f>
        <v/>
      </c>
      <c r="J654" s="9">
        <f>IF($D654="","",ROUND($D654,2))</f>
        <v/>
      </c>
    </row>
    <row r="655">
      <c r="A655" s="6" t="n"/>
      <c r="B655" s="6" t="n"/>
      <c r="C655" s="7" t="n"/>
      <c r="D655" s="8" t="n"/>
      <c r="E655" s="6" t="n"/>
      <c r="F655" s="6" t="n"/>
      <c r="G655" s="6" t="n"/>
      <c r="H655" s="6" t="n"/>
      <c r="I655" s="12">
        <f>IF($B655="","",IF(COUNTIF(Ventes_Factures!$A$6:$A$3005,$B655)&gt;0,"OK","INCONNUE"))</f>
        <v/>
      </c>
      <c r="J655" s="9">
        <f>IF($D655="","",ROUND($D655,2))</f>
        <v/>
      </c>
    </row>
    <row r="656">
      <c r="A656" s="6" t="n"/>
      <c r="B656" s="6" t="n"/>
      <c r="C656" s="7" t="n"/>
      <c r="D656" s="8" t="n"/>
      <c r="E656" s="6" t="n"/>
      <c r="F656" s="6" t="n"/>
      <c r="G656" s="6" t="n"/>
      <c r="H656" s="6" t="n"/>
      <c r="I656" s="12">
        <f>IF($B656="","",IF(COUNTIF(Ventes_Factures!$A$6:$A$3005,$B656)&gt;0,"OK","INCONNUE"))</f>
        <v/>
      </c>
      <c r="J656" s="9">
        <f>IF($D656="","",ROUND($D656,2))</f>
        <v/>
      </c>
    </row>
    <row r="657">
      <c r="A657" s="6" t="n"/>
      <c r="B657" s="6" t="n"/>
      <c r="C657" s="7" t="n"/>
      <c r="D657" s="8" t="n"/>
      <c r="E657" s="6" t="n"/>
      <c r="F657" s="6" t="n"/>
      <c r="G657" s="6" t="n"/>
      <c r="H657" s="6" t="n"/>
      <c r="I657" s="12">
        <f>IF($B657="","",IF(COUNTIF(Ventes_Factures!$A$6:$A$3005,$B657)&gt;0,"OK","INCONNUE"))</f>
        <v/>
      </c>
      <c r="J657" s="9">
        <f>IF($D657="","",ROUND($D657,2))</f>
        <v/>
      </c>
    </row>
    <row r="658">
      <c r="A658" s="6" t="n"/>
      <c r="B658" s="6" t="n"/>
      <c r="C658" s="7" t="n"/>
      <c r="D658" s="8" t="n"/>
      <c r="E658" s="6" t="n"/>
      <c r="F658" s="6" t="n"/>
      <c r="G658" s="6" t="n"/>
      <c r="H658" s="6" t="n"/>
      <c r="I658" s="12">
        <f>IF($B658="","",IF(COUNTIF(Ventes_Factures!$A$6:$A$3005,$B658)&gt;0,"OK","INCONNUE"))</f>
        <v/>
      </c>
      <c r="J658" s="9">
        <f>IF($D658="","",ROUND($D658,2))</f>
        <v/>
      </c>
    </row>
    <row r="659">
      <c r="A659" s="6" t="n"/>
      <c r="B659" s="6" t="n"/>
      <c r="C659" s="7" t="n"/>
      <c r="D659" s="8" t="n"/>
      <c r="E659" s="6" t="n"/>
      <c r="F659" s="6" t="n"/>
      <c r="G659" s="6" t="n"/>
      <c r="H659" s="6" t="n"/>
      <c r="I659" s="12">
        <f>IF($B659="","",IF(COUNTIF(Ventes_Factures!$A$6:$A$3005,$B659)&gt;0,"OK","INCONNUE"))</f>
        <v/>
      </c>
      <c r="J659" s="9">
        <f>IF($D659="","",ROUND($D659,2))</f>
        <v/>
      </c>
    </row>
    <row r="660">
      <c r="A660" s="6" t="n"/>
      <c r="B660" s="6" t="n"/>
      <c r="C660" s="7" t="n"/>
      <c r="D660" s="8" t="n"/>
      <c r="E660" s="6" t="n"/>
      <c r="F660" s="6" t="n"/>
      <c r="G660" s="6" t="n"/>
      <c r="H660" s="6" t="n"/>
      <c r="I660" s="12">
        <f>IF($B660="","",IF(COUNTIF(Ventes_Factures!$A$6:$A$3005,$B660)&gt;0,"OK","INCONNUE"))</f>
        <v/>
      </c>
      <c r="J660" s="9">
        <f>IF($D660="","",ROUND($D660,2))</f>
        <v/>
      </c>
    </row>
    <row r="661">
      <c r="A661" s="6" t="n"/>
      <c r="B661" s="6" t="n"/>
      <c r="C661" s="7" t="n"/>
      <c r="D661" s="8" t="n"/>
      <c r="E661" s="6" t="n"/>
      <c r="F661" s="6" t="n"/>
      <c r="G661" s="6" t="n"/>
      <c r="H661" s="6" t="n"/>
      <c r="I661" s="12">
        <f>IF($B661="","",IF(COUNTIF(Ventes_Factures!$A$6:$A$3005,$B661)&gt;0,"OK","INCONNUE"))</f>
        <v/>
      </c>
      <c r="J661" s="9">
        <f>IF($D661="","",ROUND($D661,2))</f>
        <v/>
      </c>
    </row>
    <row r="662">
      <c r="A662" s="6" t="n"/>
      <c r="B662" s="6" t="n"/>
      <c r="C662" s="7" t="n"/>
      <c r="D662" s="8" t="n"/>
      <c r="E662" s="6" t="n"/>
      <c r="F662" s="6" t="n"/>
      <c r="G662" s="6" t="n"/>
      <c r="H662" s="6" t="n"/>
      <c r="I662" s="12">
        <f>IF($B662="","",IF(COUNTIF(Ventes_Factures!$A$6:$A$3005,$B662)&gt;0,"OK","INCONNUE"))</f>
        <v/>
      </c>
      <c r="J662" s="9">
        <f>IF($D662="","",ROUND($D662,2))</f>
        <v/>
      </c>
    </row>
    <row r="663">
      <c r="A663" s="6" t="n"/>
      <c r="B663" s="6" t="n"/>
      <c r="C663" s="7" t="n"/>
      <c r="D663" s="8" t="n"/>
      <c r="E663" s="6" t="n"/>
      <c r="F663" s="6" t="n"/>
      <c r="G663" s="6" t="n"/>
      <c r="H663" s="6" t="n"/>
      <c r="I663" s="12">
        <f>IF($B663="","",IF(COUNTIF(Ventes_Factures!$A$6:$A$3005,$B663)&gt;0,"OK","INCONNUE"))</f>
        <v/>
      </c>
      <c r="J663" s="9">
        <f>IF($D663="","",ROUND($D663,2))</f>
        <v/>
      </c>
    </row>
    <row r="664">
      <c r="A664" s="6" t="n"/>
      <c r="B664" s="6" t="n"/>
      <c r="C664" s="7" t="n"/>
      <c r="D664" s="8" t="n"/>
      <c r="E664" s="6" t="n"/>
      <c r="F664" s="6" t="n"/>
      <c r="G664" s="6" t="n"/>
      <c r="H664" s="6" t="n"/>
      <c r="I664" s="12">
        <f>IF($B664="","",IF(COUNTIF(Ventes_Factures!$A$6:$A$3005,$B664)&gt;0,"OK","INCONNUE"))</f>
        <v/>
      </c>
      <c r="J664" s="9">
        <f>IF($D664="","",ROUND($D664,2))</f>
        <v/>
      </c>
    </row>
    <row r="665">
      <c r="A665" s="6" t="n"/>
      <c r="B665" s="6" t="n"/>
      <c r="C665" s="7" t="n"/>
      <c r="D665" s="8" t="n"/>
      <c r="E665" s="6" t="n"/>
      <c r="F665" s="6" t="n"/>
      <c r="G665" s="6" t="n"/>
      <c r="H665" s="6" t="n"/>
      <c r="I665" s="12">
        <f>IF($B665="","",IF(COUNTIF(Ventes_Factures!$A$6:$A$3005,$B665)&gt;0,"OK","INCONNUE"))</f>
        <v/>
      </c>
      <c r="J665" s="9">
        <f>IF($D665="","",ROUND($D665,2))</f>
        <v/>
      </c>
    </row>
    <row r="666">
      <c r="A666" s="6" t="n"/>
      <c r="B666" s="6" t="n"/>
      <c r="C666" s="7" t="n"/>
      <c r="D666" s="8" t="n"/>
      <c r="E666" s="6" t="n"/>
      <c r="F666" s="6" t="n"/>
      <c r="G666" s="6" t="n"/>
      <c r="H666" s="6" t="n"/>
      <c r="I666" s="12">
        <f>IF($B666="","",IF(COUNTIF(Ventes_Factures!$A$6:$A$3005,$B666)&gt;0,"OK","INCONNUE"))</f>
        <v/>
      </c>
      <c r="J666" s="9">
        <f>IF($D666="","",ROUND($D666,2))</f>
        <v/>
      </c>
    </row>
    <row r="667">
      <c r="A667" s="6" t="n"/>
      <c r="B667" s="6" t="n"/>
      <c r="C667" s="7" t="n"/>
      <c r="D667" s="8" t="n"/>
      <c r="E667" s="6" t="n"/>
      <c r="F667" s="6" t="n"/>
      <c r="G667" s="6" t="n"/>
      <c r="H667" s="6" t="n"/>
      <c r="I667" s="12">
        <f>IF($B667="","",IF(COUNTIF(Ventes_Factures!$A$6:$A$3005,$B667)&gt;0,"OK","INCONNUE"))</f>
        <v/>
      </c>
      <c r="J667" s="9">
        <f>IF($D667="","",ROUND($D667,2))</f>
        <v/>
      </c>
    </row>
    <row r="668">
      <c r="A668" s="6" t="n"/>
      <c r="B668" s="6" t="n"/>
      <c r="C668" s="7" t="n"/>
      <c r="D668" s="8" t="n"/>
      <c r="E668" s="6" t="n"/>
      <c r="F668" s="6" t="n"/>
      <c r="G668" s="6" t="n"/>
      <c r="H668" s="6" t="n"/>
      <c r="I668" s="12">
        <f>IF($B668="","",IF(COUNTIF(Ventes_Factures!$A$6:$A$3005,$B668)&gt;0,"OK","INCONNUE"))</f>
        <v/>
      </c>
      <c r="J668" s="9">
        <f>IF($D668="","",ROUND($D668,2))</f>
        <v/>
      </c>
    </row>
    <row r="669">
      <c r="A669" s="6" t="n"/>
      <c r="B669" s="6" t="n"/>
      <c r="C669" s="7" t="n"/>
      <c r="D669" s="8" t="n"/>
      <c r="E669" s="6" t="n"/>
      <c r="F669" s="6" t="n"/>
      <c r="G669" s="6" t="n"/>
      <c r="H669" s="6" t="n"/>
      <c r="I669" s="12">
        <f>IF($B669="","",IF(COUNTIF(Ventes_Factures!$A$6:$A$3005,$B669)&gt;0,"OK","INCONNUE"))</f>
        <v/>
      </c>
      <c r="J669" s="9">
        <f>IF($D669="","",ROUND($D669,2))</f>
        <v/>
      </c>
    </row>
    <row r="670">
      <c r="A670" s="6" t="n"/>
      <c r="B670" s="6" t="n"/>
      <c r="C670" s="7" t="n"/>
      <c r="D670" s="8" t="n"/>
      <c r="E670" s="6" t="n"/>
      <c r="F670" s="6" t="n"/>
      <c r="G670" s="6" t="n"/>
      <c r="H670" s="6" t="n"/>
      <c r="I670" s="12">
        <f>IF($B670="","",IF(COUNTIF(Ventes_Factures!$A$6:$A$3005,$B670)&gt;0,"OK","INCONNUE"))</f>
        <v/>
      </c>
      <c r="J670" s="9">
        <f>IF($D670="","",ROUND($D670,2))</f>
        <v/>
      </c>
    </row>
    <row r="671">
      <c r="A671" s="6" t="n"/>
      <c r="B671" s="6" t="n"/>
      <c r="C671" s="7" t="n"/>
      <c r="D671" s="8" t="n"/>
      <c r="E671" s="6" t="n"/>
      <c r="F671" s="6" t="n"/>
      <c r="G671" s="6" t="n"/>
      <c r="H671" s="6" t="n"/>
      <c r="I671" s="12">
        <f>IF($B671="","",IF(COUNTIF(Ventes_Factures!$A$6:$A$3005,$B671)&gt;0,"OK","INCONNUE"))</f>
        <v/>
      </c>
      <c r="J671" s="9">
        <f>IF($D671="","",ROUND($D671,2))</f>
        <v/>
      </c>
    </row>
    <row r="672">
      <c r="A672" s="6" t="n"/>
      <c r="B672" s="6" t="n"/>
      <c r="C672" s="7" t="n"/>
      <c r="D672" s="8" t="n"/>
      <c r="E672" s="6" t="n"/>
      <c r="F672" s="6" t="n"/>
      <c r="G672" s="6" t="n"/>
      <c r="H672" s="6" t="n"/>
      <c r="I672" s="12">
        <f>IF($B672="","",IF(COUNTIF(Ventes_Factures!$A$6:$A$3005,$B672)&gt;0,"OK","INCONNUE"))</f>
        <v/>
      </c>
      <c r="J672" s="9">
        <f>IF($D672="","",ROUND($D672,2))</f>
        <v/>
      </c>
    </row>
    <row r="673">
      <c r="A673" s="6" t="n"/>
      <c r="B673" s="6" t="n"/>
      <c r="C673" s="7" t="n"/>
      <c r="D673" s="8" t="n"/>
      <c r="E673" s="6" t="n"/>
      <c r="F673" s="6" t="n"/>
      <c r="G673" s="6" t="n"/>
      <c r="H673" s="6" t="n"/>
      <c r="I673" s="12">
        <f>IF($B673="","",IF(COUNTIF(Ventes_Factures!$A$6:$A$3005,$B673)&gt;0,"OK","INCONNUE"))</f>
        <v/>
      </c>
      <c r="J673" s="9">
        <f>IF($D673="","",ROUND($D673,2))</f>
        <v/>
      </c>
    </row>
    <row r="674">
      <c r="A674" s="6" t="n"/>
      <c r="B674" s="6" t="n"/>
      <c r="C674" s="7" t="n"/>
      <c r="D674" s="8" t="n"/>
      <c r="E674" s="6" t="n"/>
      <c r="F674" s="6" t="n"/>
      <c r="G674" s="6" t="n"/>
      <c r="H674" s="6" t="n"/>
      <c r="I674" s="12">
        <f>IF($B674="","",IF(COUNTIF(Ventes_Factures!$A$6:$A$3005,$B674)&gt;0,"OK","INCONNUE"))</f>
        <v/>
      </c>
      <c r="J674" s="9">
        <f>IF($D674="","",ROUND($D674,2))</f>
        <v/>
      </c>
    </row>
    <row r="675">
      <c r="A675" s="6" t="n"/>
      <c r="B675" s="6" t="n"/>
      <c r="C675" s="7" t="n"/>
      <c r="D675" s="8" t="n"/>
      <c r="E675" s="6" t="n"/>
      <c r="F675" s="6" t="n"/>
      <c r="G675" s="6" t="n"/>
      <c r="H675" s="6" t="n"/>
      <c r="I675" s="12">
        <f>IF($B675="","",IF(COUNTIF(Ventes_Factures!$A$6:$A$3005,$B675)&gt;0,"OK","INCONNUE"))</f>
        <v/>
      </c>
      <c r="J675" s="9">
        <f>IF($D675="","",ROUND($D675,2))</f>
        <v/>
      </c>
    </row>
    <row r="676">
      <c r="A676" s="6" t="n"/>
      <c r="B676" s="6" t="n"/>
      <c r="C676" s="7" t="n"/>
      <c r="D676" s="8" t="n"/>
      <c r="E676" s="6" t="n"/>
      <c r="F676" s="6" t="n"/>
      <c r="G676" s="6" t="n"/>
      <c r="H676" s="6" t="n"/>
      <c r="I676" s="12">
        <f>IF($B676="","",IF(COUNTIF(Ventes_Factures!$A$6:$A$3005,$B676)&gt;0,"OK","INCONNUE"))</f>
        <v/>
      </c>
      <c r="J676" s="9">
        <f>IF($D676="","",ROUND($D676,2))</f>
        <v/>
      </c>
    </row>
    <row r="677">
      <c r="A677" s="6" t="n"/>
      <c r="B677" s="6" t="n"/>
      <c r="C677" s="7" t="n"/>
      <c r="D677" s="8" t="n"/>
      <c r="E677" s="6" t="n"/>
      <c r="F677" s="6" t="n"/>
      <c r="G677" s="6" t="n"/>
      <c r="H677" s="6" t="n"/>
      <c r="I677" s="12">
        <f>IF($B677="","",IF(COUNTIF(Ventes_Factures!$A$6:$A$3005,$B677)&gt;0,"OK","INCONNUE"))</f>
        <v/>
      </c>
      <c r="J677" s="9">
        <f>IF($D677="","",ROUND($D677,2))</f>
        <v/>
      </c>
    </row>
    <row r="678">
      <c r="A678" s="6" t="n"/>
      <c r="B678" s="6" t="n"/>
      <c r="C678" s="7" t="n"/>
      <c r="D678" s="8" t="n"/>
      <c r="E678" s="6" t="n"/>
      <c r="F678" s="6" t="n"/>
      <c r="G678" s="6" t="n"/>
      <c r="H678" s="6" t="n"/>
      <c r="I678" s="12">
        <f>IF($B678="","",IF(COUNTIF(Ventes_Factures!$A$6:$A$3005,$B678)&gt;0,"OK","INCONNUE"))</f>
        <v/>
      </c>
      <c r="J678" s="9">
        <f>IF($D678="","",ROUND($D678,2))</f>
        <v/>
      </c>
    </row>
    <row r="679">
      <c r="A679" s="6" t="n"/>
      <c r="B679" s="6" t="n"/>
      <c r="C679" s="7" t="n"/>
      <c r="D679" s="8" t="n"/>
      <c r="E679" s="6" t="n"/>
      <c r="F679" s="6" t="n"/>
      <c r="G679" s="6" t="n"/>
      <c r="H679" s="6" t="n"/>
      <c r="I679" s="12">
        <f>IF($B679="","",IF(COUNTIF(Ventes_Factures!$A$6:$A$3005,$B679)&gt;0,"OK","INCONNUE"))</f>
        <v/>
      </c>
      <c r="J679" s="9">
        <f>IF($D679="","",ROUND($D679,2))</f>
        <v/>
      </c>
    </row>
    <row r="680">
      <c r="A680" s="6" t="n"/>
      <c r="B680" s="6" t="n"/>
      <c r="C680" s="7" t="n"/>
      <c r="D680" s="8" t="n"/>
      <c r="E680" s="6" t="n"/>
      <c r="F680" s="6" t="n"/>
      <c r="G680" s="6" t="n"/>
      <c r="H680" s="6" t="n"/>
      <c r="I680" s="12">
        <f>IF($B680="","",IF(COUNTIF(Ventes_Factures!$A$6:$A$3005,$B680)&gt;0,"OK","INCONNUE"))</f>
        <v/>
      </c>
      <c r="J680" s="9">
        <f>IF($D680="","",ROUND($D680,2))</f>
        <v/>
      </c>
    </row>
    <row r="681">
      <c r="A681" s="6" t="n"/>
      <c r="B681" s="6" t="n"/>
      <c r="C681" s="7" t="n"/>
      <c r="D681" s="8" t="n"/>
      <c r="E681" s="6" t="n"/>
      <c r="F681" s="6" t="n"/>
      <c r="G681" s="6" t="n"/>
      <c r="H681" s="6" t="n"/>
      <c r="I681" s="12">
        <f>IF($B681="","",IF(COUNTIF(Ventes_Factures!$A$6:$A$3005,$B681)&gt;0,"OK","INCONNUE"))</f>
        <v/>
      </c>
      <c r="J681" s="9">
        <f>IF($D681="","",ROUND($D681,2))</f>
        <v/>
      </c>
    </row>
    <row r="682">
      <c r="A682" s="6" t="n"/>
      <c r="B682" s="6" t="n"/>
      <c r="C682" s="7" t="n"/>
      <c r="D682" s="8" t="n"/>
      <c r="E682" s="6" t="n"/>
      <c r="F682" s="6" t="n"/>
      <c r="G682" s="6" t="n"/>
      <c r="H682" s="6" t="n"/>
      <c r="I682" s="12">
        <f>IF($B682="","",IF(COUNTIF(Ventes_Factures!$A$6:$A$3005,$B682)&gt;0,"OK","INCONNUE"))</f>
        <v/>
      </c>
      <c r="J682" s="9">
        <f>IF($D682="","",ROUND($D682,2))</f>
        <v/>
      </c>
    </row>
    <row r="683">
      <c r="A683" s="6" t="n"/>
      <c r="B683" s="6" t="n"/>
      <c r="C683" s="7" t="n"/>
      <c r="D683" s="8" t="n"/>
      <c r="E683" s="6" t="n"/>
      <c r="F683" s="6" t="n"/>
      <c r="G683" s="6" t="n"/>
      <c r="H683" s="6" t="n"/>
      <c r="I683" s="12">
        <f>IF($B683="","",IF(COUNTIF(Ventes_Factures!$A$6:$A$3005,$B683)&gt;0,"OK","INCONNUE"))</f>
        <v/>
      </c>
      <c r="J683" s="9">
        <f>IF($D683="","",ROUND($D683,2))</f>
        <v/>
      </c>
    </row>
    <row r="684">
      <c r="A684" s="6" t="n"/>
      <c r="B684" s="6" t="n"/>
      <c r="C684" s="7" t="n"/>
      <c r="D684" s="8" t="n"/>
      <c r="E684" s="6" t="n"/>
      <c r="F684" s="6" t="n"/>
      <c r="G684" s="6" t="n"/>
      <c r="H684" s="6" t="n"/>
      <c r="I684" s="12">
        <f>IF($B684="","",IF(COUNTIF(Ventes_Factures!$A$6:$A$3005,$B684)&gt;0,"OK","INCONNUE"))</f>
        <v/>
      </c>
      <c r="J684" s="9">
        <f>IF($D684="","",ROUND($D684,2))</f>
        <v/>
      </c>
    </row>
    <row r="685">
      <c r="A685" s="6" t="n"/>
      <c r="B685" s="6" t="n"/>
      <c r="C685" s="7" t="n"/>
      <c r="D685" s="8" t="n"/>
      <c r="E685" s="6" t="n"/>
      <c r="F685" s="6" t="n"/>
      <c r="G685" s="6" t="n"/>
      <c r="H685" s="6" t="n"/>
      <c r="I685" s="12">
        <f>IF($B685="","",IF(COUNTIF(Ventes_Factures!$A$6:$A$3005,$B685)&gt;0,"OK","INCONNUE"))</f>
        <v/>
      </c>
      <c r="J685" s="9">
        <f>IF($D685="","",ROUND($D685,2))</f>
        <v/>
      </c>
    </row>
    <row r="686">
      <c r="A686" s="6" t="n"/>
      <c r="B686" s="6" t="n"/>
      <c r="C686" s="7" t="n"/>
      <c r="D686" s="8" t="n"/>
      <c r="E686" s="6" t="n"/>
      <c r="F686" s="6" t="n"/>
      <c r="G686" s="6" t="n"/>
      <c r="H686" s="6" t="n"/>
      <c r="I686" s="12">
        <f>IF($B686="","",IF(COUNTIF(Ventes_Factures!$A$6:$A$3005,$B686)&gt;0,"OK","INCONNUE"))</f>
        <v/>
      </c>
      <c r="J686" s="9">
        <f>IF($D686="","",ROUND($D686,2))</f>
        <v/>
      </c>
    </row>
    <row r="687">
      <c r="A687" s="6" t="n"/>
      <c r="B687" s="6" t="n"/>
      <c r="C687" s="7" t="n"/>
      <c r="D687" s="8" t="n"/>
      <c r="E687" s="6" t="n"/>
      <c r="F687" s="6" t="n"/>
      <c r="G687" s="6" t="n"/>
      <c r="H687" s="6" t="n"/>
      <c r="I687" s="12">
        <f>IF($B687="","",IF(COUNTIF(Ventes_Factures!$A$6:$A$3005,$B687)&gt;0,"OK","INCONNUE"))</f>
        <v/>
      </c>
      <c r="J687" s="9">
        <f>IF($D687="","",ROUND($D687,2))</f>
        <v/>
      </c>
    </row>
    <row r="688">
      <c r="A688" s="6" t="n"/>
      <c r="B688" s="6" t="n"/>
      <c r="C688" s="7" t="n"/>
      <c r="D688" s="8" t="n"/>
      <c r="E688" s="6" t="n"/>
      <c r="F688" s="6" t="n"/>
      <c r="G688" s="6" t="n"/>
      <c r="H688" s="6" t="n"/>
      <c r="I688" s="12">
        <f>IF($B688="","",IF(COUNTIF(Ventes_Factures!$A$6:$A$3005,$B688)&gt;0,"OK","INCONNUE"))</f>
        <v/>
      </c>
      <c r="J688" s="9">
        <f>IF($D688="","",ROUND($D688,2))</f>
        <v/>
      </c>
    </row>
    <row r="689">
      <c r="A689" s="6" t="n"/>
      <c r="B689" s="6" t="n"/>
      <c r="C689" s="7" t="n"/>
      <c r="D689" s="8" t="n"/>
      <c r="E689" s="6" t="n"/>
      <c r="F689" s="6" t="n"/>
      <c r="G689" s="6" t="n"/>
      <c r="H689" s="6" t="n"/>
      <c r="I689" s="12">
        <f>IF($B689="","",IF(COUNTIF(Ventes_Factures!$A$6:$A$3005,$B689)&gt;0,"OK","INCONNUE"))</f>
        <v/>
      </c>
      <c r="J689" s="9">
        <f>IF($D689="","",ROUND($D689,2))</f>
        <v/>
      </c>
    </row>
    <row r="690">
      <c r="A690" s="6" t="n"/>
      <c r="B690" s="6" t="n"/>
      <c r="C690" s="7" t="n"/>
      <c r="D690" s="8" t="n"/>
      <c r="E690" s="6" t="n"/>
      <c r="F690" s="6" t="n"/>
      <c r="G690" s="6" t="n"/>
      <c r="H690" s="6" t="n"/>
      <c r="I690" s="12">
        <f>IF($B690="","",IF(COUNTIF(Ventes_Factures!$A$6:$A$3005,$B690)&gt;0,"OK","INCONNUE"))</f>
        <v/>
      </c>
      <c r="J690" s="9">
        <f>IF($D690="","",ROUND($D690,2))</f>
        <v/>
      </c>
    </row>
    <row r="691">
      <c r="A691" s="6" t="n"/>
      <c r="B691" s="6" t="n"/>
      <c r="C691" s="7" t="n"/>
      <c r="D691" s="8" t="n"/>
      <c r="E691" s="6" t="n"/>
      <c r="F691" s="6" t="n"/>
      <c r="G691" s="6" t="n"/>
      <c r="H691" s="6" t="n"/>
      <c r="I691" s="12">
        <f>IF($B691="","",IF(COUNTIF(Ventes_Factures!$A$6:$A$3005,$B691)&gt;0,"OK","INCONNUE"))</f>
        <v/>
      </c>
      <c r="J691" s="9">
        <f>IF($D691="","",ROUND($D691,2))</f>
        <v/>
      </c>
    </row>
    <row r="692">
      <c r="A692" s="6" t="n"/>
      <c r="B692" s="6" t="n"/>
      <c r="C692" s="7" t="n"/>
      <c r="D692" s="8" t="n"/>
      <c r="E692" s="6" t="n"/>
      <c r="F692" s="6" t="n"/>
      <c r="G692" s="6" t="n"/>
      <c r="H692" s="6" t="n"/>
      <c r="I692" s="12">
        <f>IF($B692="","",IF(COUNTIF(Ventes_Factures!$A$6:$A$3005,$B692)&gt;0,"OK","INCONNUE"))</f>
        <v/>
      </c>
      <c r="J692" s="9">
        <f>IF($D692="","",ROUND($D692,2))</f>
        <v/>
      </c>
    </row>
    <row r="693">
      <c r="A693" s="6" t="n"/>
      <c r="B693" s="6" t="n"/>
      <c r="C693" s="7" t="n"/>
      <c r="D693" s="8" t="n"/>
      <c r="E693" s="6" t="n"/>
      <c r="F693" s="6" t="n"/>
      <c r="G693" s="6" t="n"/>
      <c r="H693" s="6" t="n"/>
      <c r="I693" s="12">
        <f>IF($B693="","",IF(COUNTIF(Ventes_Factures!$A$6:$A$3005,$B693)&gt;0,"OK","INCONNUE"))</f>
        <v/>
      </c>
      <c r="J693" s="9">
        <f>IF($D693="","",ROUND($D693,2))</f>
        <v/>
      </c>
    </row>
    <row r="694">
      <c r="A694" s="6" t="n"/>
      <c r="B694" s="6" t="n"/>
      <c r="C694" s="7" t="n"/>
      <c r="D694" s="8" t="n"/>
      <c r="E694" s="6" t="n"/>
      <c r="F694" s="6" t="n"/>
      <c r="G694" s="6" t="n"/>
      <c r="H694" s="6" t="n"/>
      <c r="I694" s="12">
        <f>IF($B694="","",IF(COUNTIF(Ventes_Factures!$A$6:$A$3005,$B694)&gt;0,"OK","INCONNUE"))</f>
        <v/>
      </c>
      <c r="J694" s="9">
        <f>IF($D694="","",ROUND($D694,2))</f>
        <v/>
      </c>
    </row>
    <row r="695">
      <c r="A695" s="6" t="n"/>
      <c r="B695" s="6" t="n"/>
      <c r="C695" s="7" t="n"/>
      <c r="D695" s="8" t="n"/>
      <c r="E695" s="6" t="n"/>
      <c r="F695" s="6" t="n"/>
      <c r="G695" s="6" t="n"/>
      <c r="H695" s="6" t="n"/>
      <c r="I695" s="12">
        <f>IF($B695="","",IF(COUNTIF(Ventes_Factures!$A$6:$A$3005,$B695)&gt;0,"OK","INCONNUE"))</f>
        <v/>
      </c>
      <c r="J695" s="9">
        <f>IF($D695="","",ROUND($D695,2))</f>
        <v/>
      </c>
    </row>
    <row r="696">
      <c r="A696" s="6" t="n"/>
      <c r="B696" s="6" t="n"/>
      <c r="C696" s="7" t="n"/>
      <c r="D696" s="8" t="n"/>
      <c r="E696" s="6" t="n"/>
      <c r="F696" s="6" t="n"/>
      <c r="G696" s="6" t="n"/>
      <c r="H696" s="6" t="n"/>
      <c r="I696" s="12">
        <f>IF($B696="","",IF(COUNTIF(Ventes_Factures!$A$6:$A$3005,$B696)&gt;0,"OK","INCONNUE"))</f>
        <v/>
      </c>
      <c r="J696" s="9">
        <f>IF($D696="","",ROUND($D696,2))</f>
        <v/>
      </c>
    </row>
    <row r="697">
      <c r="A697" s="6" t="n"/>
      <c r="B697" s="6" t="n"/>
      <c r="C697" s="7" t="n"/>
      <c r="D697" s="8" t="n"/>
      <c r="E697" s="6" t="n"/>
      <c r="F697" s="6" t="n"/>
      <c r="G697" s="6" t="n"/>
      <c r="H697" s="6" t="n"/>
      <c r="I697" s="12">
        <f>IF($B697="","",IF(COUNTIF(Ventes_Factures!$A$6:$A$3005,$B697)&gt;0,"OK","INCONNUE"))</f>
        <v/>
      </c>
      <c r="J697" s="9">
        <f>IF($D697="","",ROUND($D697,2))</f>
        <v/>
      </c>
    </row>
    <row r="698">
      <c r="A698" s="6" t="n"/>
      <c r="B698" s="6" t="n"/>
      <c r="C698" s="7" t="n"/>
      <c r="D698" s="8" t="n"/>
      <c r="E698" s="6" t="n"/>
      <c r="F698" s="6" t="n"/>
      <c r="G698" s="6" t="n"/>
      <c r="H698" s="6" t="n"/>
      <c r="I698" s="12">
        <f>IF($B698="","",IF(COUNTIF(Ventes_Factures!$A$6:$A$3005,$B698)&gt;0,"OK","INCONNUE"))</f>
        <v/>
      </c>
      <c r="J698" s="9">
        <f>IF($D698="","",ROUND($D698,2))</f>
        <v/>
      </c>
    </row>
    <row r="699">
      <c r="A699" s="6" t="n"/>
      <c r="B699" s="6" t="n"/>
      <c r="C699" s="7" t="n"/>
      <c r="D699" s="8" t="n"/>
      <c r="E699" s="6" t="n"/>
      <c r="F699" s="6" t="n"/>
      <c r="G699" s="6" t="n"/>
      <c r="H699" s="6" t="n"/>
      <c r="I699" s="12">
        <f>IF($B699="","",IF(COUNTIF(Ventes_Factures!$A$6:$A$3005,$B699)&gt;0,"OK","INCONNUE"))</f>
        <v/>
      </c>
      <c r="J699" s="9">
        <f>IF($D699="","",ROUND($D699,2))</f>
        <v/>
      </c>
    </row>
    <row r="700">
      <c r="A700" s="6" t="n"/>
      <c r="B700" s="6" t="n"/>
      <c r="C700" s="7" t="n"/>
      <c r="D700" s="8" t="n"/>
      <c r="E700" s="6" t="n"/>
      <c r="F700" s="6" t="n"/>
      <c r="G700" s="6" t="n"/>
      <c r="H700" s="6" t="n"/>
      <c r="I700" s="12">
        <f>IF($B700="","",IF(COUNTIF(Ventes_Factures!$A$6:$A$3005,$B700)&gt;0,"OK","INCONNUE"))</f>
        <v/>
      </c>
      <c r="J700" s="9">
        <f>IF($D700="","",ROUND($D700,2))</f>
        <v/>
      </c>
    </row>
    <row r="701">
      <c r="A701" s="6" t="n"/>
      <c r="B701" s="6" t="n"/>
      <c r="C701" s="7" t="n"/>
      <c r="D701" s="8" t="n"/>
      <c r="E701" s="6" t="n"/>
      <c r="F701" s="6" t="n"/>
      <c r="G701" s="6" t="n"/>
      <c r="H701" s="6" t="n"/>
      <c r="I701" s="12">
        <f>IF($B701="","",IF(COUNTIF(Ventes_Factures!$A$6:$A$3005,$B701)&gt;0,"OK","INCONNUE"))</f>
        <v/>
      </c>
      <c r="J701" s="9">
        <f>IF($D701="","",ROUND($D701,2))</f>
        <v/>
      </c>
    </row>
    <row r="702">
      <c r="A702" s="6" t="n"/>
      <c r="B702" s="6" t="n"/>
      <c r="C702" s="7" t="n"/>
      <c r="D702" s="8" t="n"/>
      <c r="E702" s="6" t="n"/>
      <c r="F702" s="6" t="n"/>
      <c r="G702" s="6" t="n"/>
      <c r="H702" s="6" t="n"/>
      <c r="I702" s="12">
        <f>IF($B702="","",IF(COUNTIF(Ventes_Factures!$A$6:$A$3005,$B702)&gt;0,"OK","INCONNUE"))</f>
        <v/>
      </c>
      <c r="J702" s="9">
        <f>IF($D702="","",ROUND($D702,2))</f>
        <v/>
      </c>
    </row>
    <row r="703">
      <c r="A703" s="6" t="n"/>
      <c r="B703" s="6" t="n"/>
      <c r="C703" s="7" t="n"/>
      <c r="D703" s="8" t="n"/>
      <c r="E703" s="6" t="n"/>
      <c r="F703" s="6" t="n"/>
      <c r="G703" s="6" t="n"/>
      <c r="H703" s="6" t="n"/>
      <c r="I703" s="12">
        <f>IF($B703="","",IF(COUNTIF(Ventes_Factures!$A$6:$A$3005,$B703)&gt;0,"OK","INCONNUE"))</f>
        <v/>
      </c>
      <c r="J703" s="9">
        <f>IF($D703="","",ROUND($D703,2))</f>
        <v/>
      </c>
    </row>
    <row r="704">
      <c r="A704" s="6" t="n"/>
      <c r="B704" s="6" t="n"/>
      <c r="C704" s="7" t="n"/>
      <c r="D704" s="8" t="n"/>
      <c r="E704" s="6" t="n"/>
      <c r="F704" s="6" t="n"/>
      <c r="G704" s="6" t="n"/>
      <c r="H704" s="6" t="n"/>
      <c r="I704" s="12">
        <f>IF($B704="","",IF(COUNTIF(Ventes_Factures!$A$6:$A$3005,$B704)&gt;0,"OK","INCONNUE"))</f>
        <v/>
      </c>
      <c r="J704" s="9">
        <f>IF($D704="","",ROUND($D704,2))</f>
        <v/>
      </c>
    </row>
    <row r="705">
      <c r="A705" s="6" t="n"/>
      <c r="B705" s="6" t="n"/>
      <c r="C705" s="7" t="n"/>
      <c r="D705" s="8" t="n"/>
      <c r="E705" s="6" t="n"/>
      <c r="F705" s="6" t="n"/>
      <c r="G705" s="6" t="n"/>
      <c r="H705" s="6" t="n"/>
      <c r="I705" s="12">
        <f>IF($B705="","",IF(COUNTIF(Ventes_Factures!$A$6:$A$3005,$B705)&gt;0,"OK","INCONNUE"))</f>
        <v/>
      </c>
      <c r="J705" s="9">
        <f>IF($D705="","",ROUND($D705,2))</f>
        <v/>
      </c>
    </row>
    <row r="706">
      <c r="A706" s="6" t="n"/>
      <c r="B706" s="6" t="n"/>
      <c r="C706" s="7" t="n"/>
      <c r="D706" s="8" t="n"/>
      <c r="E706" s="6" t="n"/>
      <c r="F706" s="6" t="n"/>
      <c r="G706" s="6" t="n"/>
      <c r="H706" s="6" t="n"/>
      <c r="I706" s="12">
        <f>IF($B706="","",IF(COUNTIF(Ventes_Factures!$A$6:$A$3005,$B706)&gt;0,"OK","INCONNUE"))</f>
        <v/>
      </c>
      <c r="J706" s="9">
        <f>IF($D706="","",ROUND($D706,2))</f>
        <v/>
      </c>
    </row>
    <row r="707">
      <c r="A707" s="6" t="n"/>
      <c r="B707" s="6" t="n"/>
      <c r="C707" s="7" t="n"/>
      <c r="D707" s="8" t="n"/>
      <c r="E707" s="6" t="n"/>
      <c r="F707" s="6" t="n"/>
      <c r="G707" s="6" t="n"/>
      <c r="H707" s="6" t="n"/>
      <c r="I707" s="12">
        <f>IF($B707="","",IF(COUNTIF(Ventes_Factures!$A$6:$A$3005,$B707)&gt;0,"OK","INCONNUE"))</f>
        <v/>
      </c>
      <c r="J707" s="9">
        <f>IF($D707="","",ROUND($D707,2))</f>
        <v/>
      </c>
    </row>
    <row r="708">
      <c r="A708" s="6" t="n"/>
      <c r="B708" s="6" t="n"/>
      <c r="C708" s="7" t="n"/>
      <c r="D708" s="8" t="n"/>
      <c r="E708" s="6" t="n"/>
      <c r="F708" s="6" t="n"/>
      <c r="G708" s="6" t="n"/>
      <c r="H708" s="6" t="n"/>
      <c r="I708" s="12">
        <f>IF($B708="","",IF(COUNTIF(Ventes_Factures!$A$6:$A$3005,$B708)&gt;0,"OK","INCONNUE"))</f>
        <v/>
      </c>
      <c r="J708" s="9">
        <f>IF($D708="","",ROUND($D708,2))</f>
        <v/>
      </c>
    </row>
    <row r="709">
      <c r="A709" s="6" t="n"/>
      <c r="B709" s="6" t="n"/>
      <c r="C709" s="7" t="n"/>
      <c r="D709" s="8" t="n"/>
      <c r="E709" s="6" t="n"/>
      <c r="F709" s="6" t="n"/>
      <c r="G709" s="6" t="n"/>
      <c r="H709" s="6" t="n"/>
      <c r="I709" s="12">
        <f>IF($B709="","",IF(COUNTIF(Ventes_Factures!$A$6:$A$3005,$B709)&gt;0,"OK","INCONNUE"))</f>
        <v/>
      </c>
      <c r="J709" s="9">
        <f>IF($D709="","",ROUND($D709,2))</f>
        <v/>
      </c>
    </row>
    <row r="710">
      <c r="A710" s="6" t="n"/>
      <c r="B710" s="6" t="n"/>
      <c r="C710" s="7" t="n"/>
      <c r="D710" s="8" t="n"/>
      <c r="E710" s="6" t="n"/>
      <c r="F710" s="6" t="n"/>
      <c r="G710" s="6" t="n"/>
      <c r="H710" s="6" t="n"/>
      <c r="I710" s="12">
        <f>IF($B710="","",IF(COUNTIF(Ventes_Factures!$A$6:$A$3005,$B710)&gt;0,"OK","INCONNUE"))</f>
        <v/>
      </c>
      <c r="J710" s="9">
        <f>IF($D710="","",ROUND($D710,2))</f>
        <v/>
      </c>
    </row>
    <row r="711">
      <c r="A711" s="6" t="n"/>
      <c r="B711" s="6" t="n"/>
      <c r="C711" s="7" t="n"/>
      <c r="D711" s="8" t="n"/>
      <c r="E711" s="6" t="n"/>
      <c r="F711" s="6" t="n"/>
      <c r="G711" s="6" t="n"/>
      <c r="H711" s="6" t="n"/>
      <c r="I711" s="12">
        <f>IF($B711="","",IF(COUNTIF(Ventes_Factures!$A$6:$A$3005,$B711)&gt;0,"OK","INCONNUE"))</f>
        <v/>
      </c>
      <c r="J711" s="9">
        <f>IF($D711="","",ROUND($D711,2))</f>
        <v/>
      </c>
    </row>
    <row r="712">
      <c r="A712" s="6" t="n"/>
      <c r="B712" s="6" t="n"/>
      <c r="C712" s="7" t="n"/>
      <c r="D712" s="8" t="n"/>
      <c r="E712" s="6" t="n"/>
      <c r="F712" s="6" t="n"/>
      <c r="G712" s="6" t="n"/>
      <c r="H712" s="6" t="n"/>
      <c r="I712" s="12">
        <f>IF($B712="","",IF(COUNTIF(Ventes_Factures!$A$6:$A$3005,$B712)&gt;0,"OK","INCONNUE"))</f>
        <v/>
      </c>
      <c r="J712" s="9">
        <f>IF($D712="","",ROUND($D712,2))</f>
        <v/>
      </c>
    </row>
    <row r="713">
      <c r="A713" s="6" t="n"/>
      <c r="B713" s="6" t="n"/>
      <c r="C713" s="7" t="n"/>
      <c r="D713" s="8" t="n"/>
      <c r="E713" s="6" t="n"/>
      <c r="F713" s="6" t="n"/>
      <c r="G713" s="6" t="n"/>
      <c r="H713" s="6" t="n"/>
      <c r="I713" s="12">
        <f>IF($B713="","",IF(COUNTIF(Ventes_Factures!$A$6:$A$3005,$B713)&gt;0,"OK","INCONNUE"))</f>
        <v/>
      </c>
      <c r="J713" s="9">
        <f>IF($D713="","",ROUND($D713,2))</f>
        <v/>
      </c>
    </row>
    <row r="714">
      <c r="A714" s="6" t="n"/>
      <c r="B714" s="6" t="n"/>
      <c r="C714" s="7" t="n"/>
      <c r="D714" s="8" t="n"/>
      <c r="E714" s="6" t="n"/>
      <c r="F714" s="6" t="n"/>
      <c r="G714" s="6" t="n"/>
      <c r="H714" s="6" t="n"/>
      <c r="I714" s="12">
        <f>IF($B714="","",IF(COUNTIF(Ventes_Factures!$A$6:$A$3005,$B714)&gt;0,"OK","INCONNUE"))</f>
        <v/>
      </c>
      <c r="J714" s="9">
        <f>IF($D714="","",ROUND($D714,2))</f>
        <v/>
      </c>
    </row>
    <row r="715">
      <c r="A715" s="6" t="n"/>
      <c r="B715" s="6" t="n"/>
      <c r="C715" s="7" t="n"/>
      <c r="D715" s="8" t="n"/>
      <c r="E715" s="6" t="n"/>
      <c r="F715" s="6" t="n"/>
      <c r="G715" s="6" t="n"/>
      <c r="H715" s="6" t="n"/>
      <c r="I715" s="12">
        <f>IF($B715="","",IF(COUNTIF(Ventes_Factures!$A$6:$A$3005,$B715)&gt;0,"OK","INCONNUE"))</f>
        <v/>
      </c>
      <c r="J715" s="9">
        <f>IF($D715="","",ROUND($D715,2))</f>
        <v/>
      </c>
    </row>
    <row r="716">
      <c r="A716" s="6" t="n"/>
      <c r="B716" s="6" t="n"/>
      <c r="C716" s="7" t="n"/>
      <c r="D716" s="8" t="n"/>
      <c r="E716" s="6" t="n"/>
      <c r="F716" s="6" t="n"/>
      <c r="G716" s="6" t="n"/>
      <c r="H716" s="6" t="n"/>
      <c r="I716" s="12">
        <f>IF($B716="","",IF(COUNTIF(Ventes_Factures!$A$6:$A$3005,$B716)&gt;0,"OK","INCONNUE"))</f>
        <v/>
      </c>
      <c r="J716" s="9">
        <f>IF($D716="","",ROUND($D716,2))</f>
        <v/>
      </c>
    </row>
    <row r="717">
      <c r="A717" s="6" t="n"/>
      <c r="B717" s="6" t="n"/>
      <c r="C717" s="7" t="n"/>
      <c r="D717" s="8" t="n"/>
      <c r="E717" s="6" t="n"/>
      <c r="F717" s="6" t="n"/>
      <c r="G717" s="6" t="n"/>
      <c r="H717" s="6" t="n"/>
      <c r="I717" s="12">
        <f>IF($B717="","",IF(COUNTIF(Ventes_Factures!$A$6:$A$3005,$B717)&gt;0,"OK","INCONNUE"))</f>
        <v/>
      </c>
      <c r="J717" s="9">
        <f>IF($D717="","",ROUND($D717,2))</f>
        <v/>
      </c>
    </row>
    <row r="718">
      <c r="A718" s="6" t="n"/>
      <c r="B718" s="6" t="n"/>
      <c r="C718" s="7" t="n"/>
      <c r="D718" s="8" t="n"/>
      <c r="E718" s="6" t="n"/>
      <c r="F718" s="6" t="n"/>
      <c r="G718" s="6" t="n"/>
      <c r="H718" s="6" t="n"/>
      <c r="I718" s="12">
        <f>IF($B718="","",IF(COUNTIF(Ventes_Factures!$A$6:$A$3005,$B718)&gt;0,"OK","INCONNUE"))</f>
        <v/>
      </c>
      <c r="J718" s="9">
        <f>IF($D718="","",ROUND($D718,2))</f>
        <v/>
      </c>
    </row>
    <row r="719">
      <c r="A719" s="6" t="n"/>
      <c r="B719" s="6" t="n"/>
      <c r="C719" s="7" t="n"/>
      <c r="D719" s="8" t="n"/>
      <c r="E719" s="6" t="n"/>
      <c r="F719" s="6" t="n"/>
      <c r="G719" s="6" t="n"/>
      <c r="H719" s="6" t="n"/>
      <c r="I719" s="12">
        <f>IF($B719="","",IF(COUNTIF(Ventes_Factures!$A$6:$A$3005,$B719)&gt;0,"OK","INCONNUE"))</f>
        <v/>
      </c>
      <c r="J719" s="9">
        <f>IF($D719="","",ROUND($D719,2))</f>
        <v/>
      </c>
    </row>
    <row r="720">
      <c r="A720" s="6" t="n"/>
      <c r="B720" s="6" t="n"/>
      <c r="C720" s="7" t="n"/>
      <c r="D720" s="8" t="n"/>
      <c r="E720" s="6" t="n"/>
      <c r="F720" s="6" t="n"/>
      <c r="G720" s="6" t="n"/>
      <c r="H720" s="6" t="n"/>
      <c r="I720" s="12">
        <f>IF($B720="","",IF(COUNTIF(Ventes_Factures!$A$6:$A$3005,$B720)&gt;0,"OK","INCONNUE"))</f>
        <v/>
      </c>
      <c r="J720" s="9">
        <f>IF($D720="","",ROUND($D720,2))</f>
        <v/>
      </c>
    </row>
    <row r="721">
      <c r="A721" s="6" t="n"/>
      <c r="B721" s="6" t="n"/>
      <c r="C721" s="7" t="n"/>
      <c r="D721" s="8" t="n"/>
      <c r="E721" s="6" t="n"/>
      <c r="F721" s="6" t="n"/>
      <c r="G721" s="6" t="n"/>
      <c r="H721" s="6" t="n"/>
      <c r="I721" s="12">
        <f>IF($B721="","",IF(COUNTIF(Ventes_Factures!$A$6:$A$3005,$B721)&gt;0,"OK","INCONNUE"))</f>
        <v/>
      </c>
      <c r="J721" s="9">
        <f>IF($D721="","",ROUND($D721,2))</f>
        <v/>
      </c>
    </row>
    <row r="722">
      <c r="A722" s="6" t="n"/>
      <c r="B722" s="6" t="n"/>
      <c r="C722" s="7" t="n"/>
      <c r="D722" s="8" t="n"/>
      <c r="E722" s="6" t="n"/>
      <c r="F722" s="6" t="n"/>
      <c r="G722" s="6" t="n"/>
      <c r="H722" s="6" t="n"/>
      <c r="I722" s="12">
        <f>IF($B722="","",IF(COUNTIF(Ventes_Factures!$A$6:$A$3005,$B722)&gt;0,"OK","INCONNUE"))</f>
        <v/>
      </c>
      <c r="J722" s="9">
        <f>IF($D722="","",ROUND($D722,2))</f>
        <v/>
      </c>
    </row>
    <row r="723">
      <c r="A723" s="6" t="n"/>
      <c r="B723" s="6" t="n"/>
      <c r="C723" s="7" t="n"/>
      <c r="D723" s="8" t="n"/>
      <c r="E723" s="6" t="n"/>
      <c r="F723" s="6" t="n"/>
      <c r="G723" s="6" t="n"/>
      <c r="H723" s="6" t="n"/>
      <c r="I723" s="12">
        <f>IF($B723="","",IF(COUNTIF(Ventes_Factures!$A$6:$A$3005,$B723)&gt;0,"OK","INCONNUE"))</f>
        <v/>
      </c>
      <c r="J723" s="9">
        <f>IF($D723="","",ROUND($D723,2))</f>
        <v/>
      </c>
    </row>
    <row r="724">
      <c r="A724" s="6" t="n"/>
      <c r="B724" s="6" t="n"/>
      <c r="C724" s="7" t="n"/>
      <c r="D724" s="8" t="n"/>
      <c r="E724" s="6" t="n"/>
      <c r="F724" s="6" t="n"/>
      <c r="G724" s="6" t="n"/>
      <c r="H724" s="6" t="n"/>
      <c r="I724" s="12">
        <f>IF($B724="","",IF(COUNTIF(Ventes_Factures!$A$6:$A$3005,$B724)&gt;0,"OK","INCONNUE"))</f>
        <v/>
      </c>
      <c r="J724" s="9">
        <f>IF($D724="","",ROUND($D724,2))</f>
        <v/>
      </c>
    </row>
    <row r="725">
      <c r="A725" s="6" t="n"/>
      <c r="B725" s="6" t="n"/>
      <c r="C725" s="7" t="n"/>
      <c r="D725" s="8" t="n"/>
      <c r="E725" s="6" t="n"/>
      <c r="F725" s="6" t="n"/>
      <c r="G725" s="6" t="n"/>
      <c r="H725" s="6" t="n"/>
      <c r="I725" s="12">
        <f>IF($B725="","",IF(COUNTIF(Ventes_Factures!$A$6:$A$3005,$B725)&gt;0,"OK","INCONNUE"))</f>
        <v/>
      </c>
      <c r="J725" s="9">
        <f>IF($D725="","",ROUND($D725,2))</f>
        <v/>
      </c>
    </row>
    <row r="726">
      <c r="A726" s="6" t="n"/>
      <c r="B726" s="6" t="n"/>
      <c r="C726" s="7" t="n"/>
      <c r="D726" s="8" t="n"/>
      <c r="E726" s="6" t="n"/>
      <c r="F726" s="6" t="n"/>
      <c r="G726" s="6" t="n"/>
      <c r="H726" s="6" t="n"/>
      <c r="I726" s="12">
        <f>IF($B726="","",IF(COUNTIF(Ventes_Factures!$A$6:$A$3005,$B726)&gt;0,"OK","INCONNUE"))</f>
        <v/>
      </c>
      <c r="J726" s="9">
        <f>IF($D726="","",ROUND($D726,2))</f>
        <v/>
      </c>
    </row>
    <row r="727">
      <c r="A727" s="6" t="n"/>
      <c r="B727" s="6" t="n"/>
      <c r="C727" s="7" t="n"/>
      <c r="D727" s="8" t="n"/>
      <c r="E727" s="6" t="n"/>
      <c r="F727" s="6" t="n"/>
      <c r="G727" s="6" t="n"/>
      <c r="H727" s="6" t="n"/>
      <c r="I727" s="12">
        <f>IF($B727="","",IF(COUNTIF(Ventes_Factures!$A$6:$A$3005,$B727)&gt;0,"OK","INCONNUE"))</f>
        <v/>
      </c>
      <c r="J727" s="9">
        <f>IF($D727="","",ROUND($D727,2))</f>
        <v/>
      </c>
    </row>
    <row r="728">
      <c r="A728" s="6" t="n"/>
      <c r="B728" s="6" t="n"/>
      <c r="C728" s="7" t="n"/>
      <c r="D728" s="8" t="n"/>
      <c r="E728" s="6" t="n"/>
      <c r="F728" s="6" t="n"/>
      <c r="G728" s="6" t="n"/>
      <c r="H728" s="6" t="n"/>
      <c r="I728" s="12">
        <f>IF($B728="","",IF(COUNTIF(Ventes_Factures!$A$6:$A$3005,$B728)&gt;0,"OK","INCONNUE"))</f>
        <v/>
      </c>
      <c r="J728" s="9">
        <f>IF($D728="","",ROUND($D728,2))</f>
        <v/>
      </c>
    </row>
    <row r="729">
      <c r="A729" s="6" t="n"/>
      <c r="B729" s="6" t="n"/>
      <c r="C729" s="7" t="n"/>
      <c r="D729" s="8" t="n"/>
      <c r="E729" s="6" t="n"/>
      <c r="F729" s="6" t="n"/>
      <c r="G729" s="6" t="n"/>
      <c r="H729" s="6" t="n"/>
      <c r="I729" s="12">
        <f>IF($B729="","",IF(COUNTIF(Ventes_Factures!$A$6:$A$3005,$B729)&gt;0,"OK","INCONNUE"))</f>
        <v/>
      </c>
      <c r="J729" s="9">
        <f>IF($D729="","",ROUND($D729,2))</f>
        <v/>
      </c>
    </row>
    <row r="730">
      <c r="A730" s="6" t="n"/>
      <c r="B730" s="6" t="n"/>
      <c r="C730" s="7" t="n"/>
      <c r="D730" s="8" t="n"/>
      <c r="E730" s="6" t="n"/>
      <c r="F730" s="6" t="n"/>
      <c r="G730" s="6" t="n"/>
      <c r="H730" s="6" t="n"/>
      <c r="I730" s="12">
        <f>IF($B730="","",IF(COUNTIF(Ventes_Factures!$A$6:$A$3005,$B730)&gt;0,"OK","INCONNUE"))</f>
        <v/>
      </c>
      <c r="J730" s="9">
        <f>IF($D730="","",ROUND($D730,2))</f>
        <v/>
      </c>
    </row>
    <row r="731">
      <c r="A731" s="6" t="n"/>
      <c r="B731" s="6" t="n"/>
      <c r="C731" s="7" t="n"/>
      <c r="D731" s="8" t="n"/>
      <c r="E731" s="6" t="n"/>
      <c r="F731" s="6" t="n"/>
      <c r="G731" s="6" t="n"/>
      <c r="H731" s="6" t="n"/>
      <c r="I731" s="12">
        <f>IF($B731="","",IF(COUNTIF(Ventes_Factures!$A$6:$A$3005,$B731)&gt;0,"OK","INCONNUE"))</f>
        <v/>
      </c>
      <c r="J731" s="9">
        <f>IF($D731="","",ROUND($D731,2))</f>
        <v/>
      </c>
    </row>
    <row r="732">
      <c r="A732" s="6" t="n"/>
      <c r="B732" s="6" t="n"/>
      <c r="C732" s="7" t="n"/>
      <c r="D732" s="8" t="n"/>
      <c r="E732" s="6" t="n"/>
      <c r="F732" s="6" t="n"/>
      <c r="G732" s="6" t="n"/>
      <c r="H732" s="6" t="n"/>
      <c r="I732" s="12">
        <f>IF($B732="","",IF(COUNTIF(Ventes_Factures!$A$6:$A$3005,$B732)&gt;0,"OK","INCONNUE"))</f>
        <v/>
      </c>
      <c r="J732" s="9">
        <f>IF($D732="","",ROUND($D732,2))</f>
        <v/>
      </c>
    </row>
    <row r="733">
      <c r="A733" s="6" t="n"/>
      <c r="B733" s="6" t="n"/>
      <c r="C733" s="7" t="n"/>
      <c r="D733" s="8" t="n"/>
      <c r="E733" s="6" t="n"/>
      <c r="F733" s="6" t="n"/>
      <c r="G733" s="6" t="n"/>
      <c r="H733" s="6" t="n"/>
      <c r="I733" s="12">
        <f>IF($B733="","",IF(COUNTIF(Ventes_Factures!$A$6:$A$3005,$B733)&gt;0,"OK","INCONNUE"))</f>
        <v/>
      </c>
      <c r="J733" s="9">
        <f>IF($D733="","",ROUND($D733,2))</f>
        <v/>
      </c>
    </row>
    <row r="734">
      <c r="A734" s="6" t="n"/>
      <c r="B734" s="6" t="n"/>
      <c r="C734" s="7" t="n"/>
      <c r="D734" s="8" t="n"/>
      <c r="E734" s="6" t="n"/>
      <c r="F734" s="6" t="n"/>
      <c r="G734" s="6" t="n"/>
      <c r="H734" s="6" t="n"/>
      <c r="I734" s="12">
        <f>IF($B734="","",IF(COUNTIF(Ventes_Factures!$A$6:$A$3005,$B734)&gt;0,"OK","INCONNUE"))</f>
        <v/>
      </c>
      <c r="J734" s="9">
        <f>IF($D734="","",ROUND($D734,2))</f>
        <v/>
      </c>
    </row>
    <row r="735">
      <c r="A735" s="6" t="n"/>
      <c r="B735" s="6" t="n"/>
      <c r="C735" s="7" t="n"/>
      <c r="D735" s="8" t="n"/>
      <c r="E735" s="6" t="n"/>
      <c r="F735" s="6" t="n"/>
      <c r="G735" s="6" t="n"/>
      <c r="H735" s="6" t="n"/>
      <c r="I735" s="12">
        <f>IF($B735="","",IF(COUNTIF(Ventes_Factures!$A$6:$A$3005,$B735)&gt;0,"OK","INCONNUE"))</f>
        <v/>
      </c>
      <c r="J735" s="9">
        <f>IF($D735="","",ROUND($D735,2))</f>
        <v/>
      </c>
    </row>
    <row r="736">
      <c r="A736" s="6" t="n"/>
      <c r="B736" s="6" t="n"/>
      <c r="C736" s="7" t="n"/>
      <c r="D736" s="8" t="n"/>
      <c r="E736" s="6" t="n"/>
      <c r="F736" s="6" t="n"/>
      <c r="G736" s="6" t="n"/>
      <c r="H736" s="6" t="n"/>
      <c r="I736" s="12">
        <f>IF($B736="","",IF(COUNTIF(Ventes_Factures!$A$6:$A$3005,$B736)&gt;0,"OK","INCONNUE"))</f>
        <v/>
      </c>
      <c r="J736" s="9">
        <f>IF($D736="","",ROUND($D736,2))</f>
        <v/>
      </c>
    </row>
    <row r="737">
      <c r="A737" s="6" t="n"/>
      <c r="B737" s="6" t="n"/>
      <c r="C737" s="7" t="n"/>
      <c r="D737" s="8" t="n"/>
      <c r="E737" s="6" t="n"/>
      <c r="F737" s="6" t="n"/>
      <c r="G737" s="6" t="n"/>
      <c r="H737" s="6" t="n"/>
      <c r="I737" s="12">
        <f>IF($B737="","",IF(COUNTIF(Ventes_Factures!$A$6:$A$3005,$B737)&gt;0,"OK","INCONNUE"))</f>
        <v/>
      </c>
      <c r="J737" s="9">
        <f>IF($D737="","",ROUND($D737,2))</f>
        <v/>
      </c>
    </row>
    <row r="738">
      <c r="A738" s="6" t="n"/>
      <c r="B738" s="6" t="n"/>
      <c r="C738" s="7" t="n"/>
      <c r="D738" s="8" t="n"/>
      <c r="E738" s="6" t="n"/>
      <c r="F738" s="6" t="n"/>
      <c r="G738" s="6" t="n"/>
      <c r="H738" s="6" t="n"/>
      <c r="I738" s="12">
        <f>IF($B738="","",IF(COUNTIF(Ventes_Factures!$A$6:$A$3005,$B738)&gt;0,"OK","INCONNUE"))</f>
        <v/>
      </c>
      <c r="J738" s="9">
        <f>IF($D738="","",ROUND($D738,2))</f>
        <v/>
      </c>
    </row>
    <row r="739">
      <c r="A739" s="6" t="n"/>
      <c r="B739" s="6" t="n"/>
      <c r="C739" s="7" t="n"/>
      <c r="D739" s="8" t="n"/>
      <c r="E739" s="6" t="n"/>
      <c r="F739" s="6" t="n"/>
      <c r="G739" s="6" t="n"/>
      <c r="H739" s="6" t="n"/>
      <c r="I739" s="12">
        <f>IF($B739="","",IF(COUNTIF(Ventes_Factures!$A$6:$A$3005,$B739)&gt;0,"OK","INCONNUE"))</f>
        <v/>
      </c>
      <c r="J739" s="9">
        <f>IF($D739="","",ROUND($D739,2))</f>
        <v/>
      </c>
    </row>
    <row r="740">
      <c r="A740" s="6" t="n"/>
      <c r="B740" s="6" t="n"/>
      <c r="C740" s="7" t="n"/>
      <c r="D740" s="8" t="n"/>
      <c r="E740" s="6" t="n"/>
      <c r="F740" s="6" t="n"/>
      <c r="G740" s="6" t="n"/>
      <c r="H740" s="6" t="n"/>
      <c r="I740" s="12">
        <f>IF($B740="","",IF(COUNTIF(Ventes_Factures!$A$6:$A$3005,$B740)&gt;0,"OK","INCONNUE"))</f>
        <v/>
      </c>
      <c r="J740" s="9">
        <f>IF($D740="","",ROUND($D740,2))</f>
        <v/>
      </c>
    </row>
    <row r="741">
      <c r="A741" s="6" t="n"/>
      <c r="B741" s="6" t="n"/>
      <c r="C741" s="7" t="n"/>
      <c r="D741" s="8" t="n"/>
      <c r="E741" s="6" t="n"/>
      <c r="F741" s="6" t="n"/>
      <c r="G741" s="6" t="n"/>
      <c r="H741" s="6" t="n"/>
      <c r="I741" s="12">
        <f>IF($B741="","",IF(COUNTIF(Ventes_Factures!$A$6:$A$3005,$B741)&gt;0,"OK","INCONNUE"))</f>
        <v/>
      </c>
      <c r="J741" s="9">
        <f>IF($D741="","",ROUND($D741,2))</f>
        <v/>
      </c>
    </row>
    <row r="742">
      <c r="A742" s="6" t="n"/>
      <c r="B742" s="6" t="n"/>
      <c r="C742" s="7" t="n"/>
      <c r="D742" s="8" t="n"/>
      <c r="E742" s="6" t="n"/>
      <c r="F742" s="6" t="n"/>
      <c r="G742" s="6" t="n"/>
      <c r="H742" s="6" t="n"/>
      <c r="I742" s="12">
        <f>IF($B742="","",IF(COUNTIF(Ventes_Factures!$A$6:$A$3005,$B742)&gt;0,"OK","INCONNUE"))</f>
        <v/>
      </c>
      <c r="J742" s="9">
        <f>IF($D742="","",ROUND($D742,2))</f>
        <v/>
      </c>
    </row>
    <row r="743">
      <c r="A743" s="6" t="n"/>
      <c r="B743" s="6" t="n"/>
      <c r="C743" s="7" t="n"/>
      <c r="D743" s="8" t="n"/>
      <c r="E743" s="6" t="n"/>
      <c r="F743" s="6" t="n"/>
      <c r="G743" s="6" t="n"/>
      <c r="H743" s="6" t="n"/>
      <c r="I743" s="12">
        <f>IF($B743="","",IF(COUNTIF(Ventes_Factures!$A$6:$A$3005,$B743)&gt;0,"OK","INCONNUE"))</f>
        <v/>
      </c>
      <c r="J743" s="9">
        <f>IF($D743="","",ROUND($D743,2))</f>
        <v/>
      </c>
    </row>
    <row r="744">
      <c r="A744" s="6" t="n"/>
      <c r="B744" s="6" t="n"/>
      <c r="C744" s="7" t="n"/>
      <c r="D744" s="8" t="n"/>
      <c r="E744" s="6" t="n"/>
      <c r="F744" s="6" t="n"/>
      <c r="G744" s="6" t="n"/>
      <c r="H744" s="6" t="n"/>
      <c r="I744" s="12">
        <f>IF($B744="","",IF(COUNTIF(Ventes_Factures!$A$6:$A$3005,$B744)&gt;0,"OK","INCONNUE"))</f>
        <v/>
      </c>
      <c r="J744" s="9">
        <f>IF($D744="","",ROUND($D744,2))</f>
        <v/>
      </c>
    </row>
    <row r="745">
      <c r="A745" s="6" t="n"/>
      <c r="B745" s="6" t="n"/>
      <c r="C745" s="7" t="n"/>
      <c r="D745" s="8" t="n"/>
      <c r="E745" s="6" t="n"/>
      <c r="F745" s="6" t="n"/>
      <c r="G745" s="6" t="n"/>
      <c r="H745" s="6" t="n"/>
      <c r="I745" s="12">
        <f>IF($B745="","",IF(COUNTIF(Ventes_Factures!$A$6:$A$3005,$B745)&gt;0,"OK","INCONNUE"))</f>
        <v/>
      </c>
      <c r="J745" s="9">
        <f>IF($D745="","",ROUND($D745,2))</f>
        <v/>
      </c>
    </row>
    <row r="746">
      <c r="A746" s="6" t="n"/>
      <c r="B746" s="6" t="n"/>
      <c r="C746" s="7" t="n"/>
      <c r="D746" s="8" t="n"/>
      <c r="E746" s="6" t="n"/>
      <c r="F746" s="6" t="n"/>
      <c r="G746" s="6" t="n"/>
      <c r="H746" s="6" t="n"/>
      <c r="I746" s="12">
        <f>IF($B746="","",IF(COUNTIF(Ventes_Factures!$A$6:$A$3005,$B746)&gt;0,"OK","INCONNUE"))</f>
        <v/>
      </c>
      <c r="J746" s="9">
        <f>IF($D746="","",ROUND($D746,2))</f>
        <v/>
      </c>
    </row>
    <row r="747">
      <c r="A747" s="6" t="n"/>
      <c r="B747" s="6" t="n"/>
      <c r="C747" s="7" t="n"/>
      <c r="D747" s="8" t="n"/>
      <c r="E747" s="6" t="n"/>
      <c r="F747" s="6" t="n"/>
      <c r="G747" s="6" t="n"/>
      <c r="H747" s="6" t="n"/>
      <c r="I747" s="12">
        <f>IF($B747="","",IF(COUNTIF(Ventes_Factures!$A$6:$A$3005,$B747)&gt;0,"OK","INCONNUE"))</f>
        <v/>
      </c>
      <c r="J747" s="9">
        <f>IF($D747="","",ROUND($D747,2))</f>
        <v/>
      </c>
    </row>
    <row r="748">
      <c r="A748" s="6" t="n"/>
      <c r="B748" s="6" t="n"/>
      <c r="C748" s="7" t="n"/>
      <c r="D748" s="8" t="n"/>
      <c r="E748" s="6" t="n"/>
      <c r="F748" s="6" t="n"/>
      <c r="G748" s="6" t="n"/>
      <c r="H748" s="6" t="n"/>
      <c r="I748" s="12">
        <f>IF($B748="","",IF(COUNTIF(Ventes_Factures!$A$6:$A$3005,$B748)&gt;0,"OK","INCONNUE"))</f>
        <v/>
      </c>
      <c r="J748" s="9">
        <f>IF($D748="","",ROUND($D748,2))</f>
        <v/>
      </c>
    </row>
    <row r="749">
      <c r="A749" s="6" t="n"/>
      <c r="B749" s="6" t="n"/>
      <c r="C749" s="7" t="n"/>
      <c r="D749" s="8" t="n"/>
      <c r="E749" s="6" t="n"/>
      <c r="F749" s="6" t="n"/>
      <c r="G749" s="6" t="n"/>
      <c r="H749" s="6" t="n"/>
      <c r="I749" s="12">
        <f>IF($B749="","",IF(COUNTIF(Ventes_Factures!$A$6:$A$3005,$B749)&gt;0,"OK","INCONNUE"))</f>
        <v/>
      </c>
      <c r="J749" s="9">
        <f>IF($D749="","",ROUND($D749,2))</f>
        <v/>
      </c>
    </row>
    <row r="750">
      <c r="A750" s="6" t="n"/>
      <c r="B750" s="6" t="n"/>
      <c r="C750" s="7" t="n"/>
      <c r="D750" s="8" t="n"/>
      <c r="E750" s="6" t="n"/>
      <c r="F750" s="6" t="n"/>
      <c r="G750" s="6" t="n"/>
      <c r="H750" s="6" t="n"/>
      <c r="I750" s="12">
        <f>IF($B750="","",IF(COUNTIF(Ventes_Factures!$A$6:$A$3005,$B750)&gt;0,"OK","INCONNUE"))</f>
        <v/>
      </c>
      <c r="J750" s="9">
        <f>IF($D750="","",ROUND($D750,2))</f>
        <v/>
      </c>
    </row>
    <row r="751">
      <c r="A751" s="6" t="n"/>
      <c r="B751" s="6" t="n"/>
      <c r="C751" s="7" t="n"/>
      <c r="D751" s="8" t="n"/>
      <c r="E751" s="6" t="n"/>
      <c r="F751" s="6" t="n"/>
      <c r="G751" s="6" t="n"/>
      <c r="H751" s="6" t="n"/>
      <c r="I751" s="12">
        <f>IF($B751="","",IF(COUNTIF(Ventes_Factures!$A$6:$A$3005,$B751)&gt;0,"OK","INCONNUE"))</f>
        <v/>
      </c>
      <c r="J751" s="9">
        <f>IF($D751="","",ROUND($D751,2))</f>
        <v/>
      </c>
    </row>
    <row r="752">
      <c r="A752" s="6" t="n"/>
      <c r="B752" s="6" t="n"/>
      <c r="C752" s="7" t="n"/>
      <c r="D752" s="8" t="n"/>
      <c r="E752" s="6" t="n"/>
      <c r="F752" s="6" t="n"/>
      <c r="G752" s="6" t="n"/>
      <c r="H752" s="6" t="n"/>
      <c r="I752" s="12">
        <f>IF($B752="","",IF(COUNTIF(Ventes_Factures!$A$6:$A$3005,$B752)&gt;0,"OK","INCONNUE"))</f>
        <v/>
      </c>
      <c r="J752" s="9">
        <f>IF($D752="","",ROUND($D752,2))</f>
        <v/>
      </c>
    </row>
    <row r="753">
      <c r="A753" s="6" t="n"/>
      <c r="B753" s="6" t="n"/>
      <c r="C753" s="7" t="n"/>
      <c r="D753" s="8" t="n"/>
      <c r="E753" s="6" t="n"/>
      <c r="F753" s="6" t="n"/>
      <c r="G753" s="6" t="n"/>
      <c r="H753" s="6" t="n"/>
      <c r="I753" s="12">
        <f>IF($B753="","",IF(COUNTIF(Ventes_Factures!$A$6:$A$3005,$B753)&gt;0,"OK","INCONNUE"))</f>
        <v/>
      </c>
      <c r="J753" s="9">
        <f>IF($D753="","",ROUND($D753,2))</f>
        <v/>
      </c>
    </row>
    <row r="754">
      <c r="A754" s="6" t="n"/>
      <c r="B754" s="6" t="n"/>
      <c r="C754" s="7" t="n"/>
      <c r="D754" s="8" t="n"/>
      <c r="E754" s="6" t="n"/>
      <c r="F754" s="6" t="n"/>
      <c r="G754" s="6" t="n"/>
      <c r="H754" s="6" t="n"/>
      <c r="I754" s="12">
        <f>IF($B754="","",IF(COUNTIF(Ventes_Factures!$A$6:$A$3005,$B754)&gt;0,"OK","INCONNUE"))</f>
        <v/>
      </c>
      <c r="J754" s="9">
        <f>IF($D754="","",ROUND($D754,2))</f>
        <v/>
      </c>
    </row>
    <row r="755">
      <c r="A755" s="6" t="n"/>
      <c r="B755" s="6" t="n"/>
      <c r="C755" s="7" t="n"/>
      <c r="D755" s="8" t="n"/>
      <c r="E755" s="6" t="n"/>
      <c r="F755" s="6" t="n"/>
      <c r="G755" s="6" t="n"/>
      <c r="H755" s="6" t="n"/>
      <c r="I755" s="12">
        <f>IF($B755="","",IF(COUNTIF(Ventes_Factures!$A$6:$A$3005,$B755)&gt;0,"OK","INCONNUE"))</f>
        <v/>
      </c>
      <c r="J755" s="9">
        <f>IF($D755="","",ROUND($D755,2))</f>
        <v/>
      </c>
    </row>
    <row r="756">
      <c r="A756" s="6" t="n"/>
      <c r="B756" s="6" t="n"/>
      <c r="C756" s="7" t="n"/>
      <c r="D756" s="8" t="n"/>
      <c r="E756" s="6" t="n"/>
      <c r="F756" s="6" t="n"/>
      <c r="G756" s="6" t="n"/>
      <c r="H756" s="6" t="n"/>
      <c r="I756" s="12">
        <f>IF($B756="","",IF(COUNTIF(Ventes_Factures!$A$6:$A$3005,$B756)&gt;0,"OK","INCONNUE"))</f>
        <v/>
      </c>
      <c r="J756" s="9">
        <f>IF($D756="","",ROUND($D756,2))</f>
        <v/>
      </c>
    </row>
    <row r="757">
      <c r="A757" s="6" t="n"/>
      <c r="B757" s="6" t="n"/>
      <c r="C757" s="7" t="n"/>
      <c r="D757" s="8" t="n"/>
      <c r="E757" s="6" t="n"/>
      <c r="F757" s="6" t="n"/>
      <c r="G757" s="6" t="n"/>
      <c r="H757" s="6" t="n"/>
      <c r="I757" s="12">
        <f>IF($B757="","",IF(COUNTIF(Ventes_Factures!$A$6:$A$3005,$B757)&gt;0,"OK","INCONNUE"))</f>
        <v/>
      </c>
      <c r="J757" s="9">
        <f>IF($D757="","",ROUND($D757,2))</f>
        <v/>
      </c>
    </row>
    <row r="758">
      <c r="A758" s="6" t="n"/>
      <c r="B758" s="6" t="n"/>
      <c r="C758" s="7" t="n"/>
      <c r="D758" s="8" t="n"/>
      <c r="E758" s="6" t="n"/>
      <c r="F758" s="6" t="n"/>
      <c r="G758" s="6" t="n"/>
      <c r="H758" s="6" t="n"/>
      <c r="I758" s="12">
        <f>IF($B758="","",IF(COUNTIF(Ventes_Factures!$A$6:$A$3005,$B758)&gt;0,"OK","INCONNUE"))</f>
        <v/>
      </c>
      <c r="J758" s="9">
        <f>IF($D758="","",ROUND($D758,2))</f>
        <v/>
      </c>
    </row>
    <row r="759">
      <c r="A759" s="6" t="n"/>
      <c r="B759" s="6" t="n"/>
      <c r="C759" s="7" t="n"/>
      <c r="D759" s="8" t="n"/>
      <c r="E759" s="6" t="n"/>
      <c r="F759" s="6" t="n"/>
      <c r="G759" s="6" t="n"/>
      <c r="H759" s="6" t="n"/>
      <c r="I759" s="12">
        <f>IF($B759="","",IF(COUNTIF(Ventes_Factures!$A$6:$A$3005,$B759)&gt;0,"OK","INCONNUE"))</f>
        <v/>
      </c>
      <c r="J759" s="9">
        <f>IF($D759="","",ROUND($D759,2))</f>
        <v/>
      </c>
    </row>
    <row r="760">
      <c r="A760" s="6" t="n"/>
      <c r="B760" s="6" t="n"/>
      <c r="C760" s="7" t="n"/>
      <c r="D760" s="8" t="n"/>
      <c r="E760" s="6" t="n"/>
      <c r="F760" s="6" t="n"/>
      <c r="G760" s="6" t="n"/>
      <c r="H760" s="6" t="n"/>
      <c r="I760" s="12">
        <f>IF($B760="","",IF(COUNTIF(Ventes_Factures!$A$6:$A$3005,$B760)&gt;0,"OK","INCONNUE"))</f>
        <v/>
      </c>
      <c r="J760" s="9">
        <f>IF($D760="","",ROUND($D760,2))</f>
        <v/>
      </c>
    </row>
    <row r="761">
      <c r="A761" s="6" t="n"/>
      <c r="B761" s="6" t="n"/>
      <c r="C761" s="7" t="n"/>
      <c r="D761" s="8" t="n"/>
      <c r="E761" s="6" t="n"/>
      <c r="F761" s="6" t="n"/>
      <c r="G761" s="6" t="n"/>
      <c r="H761" s="6" t="n"/>
      <c r="I761" s="12">
        <f>IF($B761="","",IF(COUNTIF(Ventes_Factures!$A$6:$A$3005,$B761)&gt;0,"OK","INCONNUE"))</f>
        <v/>
      </c>
      <c r="J761" s="9">
        <f>IF($D761="","",ROUND($D761,2))</f>
        <v/>
      </c>
    </row>
    <row r="762">
      <c r="A762" s="6" t="n"/>
      <c r="B762" s="6" t="n"/>
      <c r="C762" s="7" t="n"/>
      <c r="D762" s="8" t="n"/>
      <c r="E762" s="6" t="n"/>
      <c r="F762" s="6" t="n"/>
      <c r="G762" s="6" t="n"/>
      <c r="H762" s="6" t="n"/>
      <c r="I762" s="12">
        <f>IF($B762="","",IF(COUNTIF(Ventes_Factures!$A$6:$A$3005,$B762)&gt;0,"OK","INCONNUE"))</f>
        <v/>
      </c>
      <c r="J762" s="9">
        <f>IF($D762="","",ROUND($D762,2))</f>
        <v/>
      </c>
    </row>
    <row r="763">
      <c r="A763" s="6" t="n"/>
      <c r="B763" s="6" t="n"/>
      <c r="C763" s="7" t="n"/>
      <c r="D763" s="8" t="n"/>
      <c r="E763" s="6" t="n"/>
      <c r="F763" s="6" t="n"/>
      <c r="G763" s="6" t="n"/>
      <c r="H763" s="6" t="n"/>
      <c r="I763" s="12">
        <f>IF($B763="","",IF(COUNTIF(Ventes_Factures!$A$6:$A$3005,$B763)&gt;0,"OK","INCONNUE"))</f>
        <v/>
      </c>
      <c r="J763" s="9">
        <f>IF($D763="","",ROUND($D763,2))</f>
        <v/>
      </c>
    </row>
    <row r="764">
      <c r="A764" s="6" t="n"/>
      <c r="B764" s="6" t="n"/>
      <c r="C764" s="7" t="n"/>
      <c r="D764" s="8" t="n"/>
      <c r="E764" s="6" t="n"/>
      <c r="F764" s="6" t="n"/>
      <c r="G764" s="6" t="n"/>
      <c r="H764" s="6" t="n"/>
      <c r="I764" s="12">
        <f>IF($B764="","",IF(COUNTIF(Ventes_Factures!$A$6:$A$3005,$B764)&gt;0,"OK","INCONNUE"))</f>
        <v/>
      </c>
      <c r="J764" s="9">
        <f>IF($D764="","",ROUND($D764,2))</f>
        <v/>
      </c>
    </row>
    <row r="765">
      <c r="A765" s="6" t="n"/>
      <c r="B765" s="6" t="n"/>
      <c r="C765" s="7" t="n"/>
      <c r="D765" s="8" t="n"/>
      <c r="E765" s="6" t="n"/>
      <c r="F765" s="6" t="n"/>
      <c r="G765" s="6" t="n"/>
      <c r="H765" s="6" t="n"/>
      <c r="I765" s="12">
        <f>IF($B765="","",IF(COUNTIF(Ventes_Factures!$A$6:$A$3005,$B765)&gt;0,"OK","INCONNUE"))</f>
        <v/>
      </c>
      <c r="J765" s="9">
        <f>IF($D765="","",ROUND($D765,2))</f>
        <v/>
      </c>
    </row>
    <row r="766">
      <c r="A766" s="6" t="n"/>
      <c r="B766" s="6" t="n"/>
      <c r="C766" s="7" t="n"/>
      <c r="D766" s="8" t="n"/>
      <c r="E766" s="6" t="n"/>
      <c r="F766" s="6" t="n"/>
      <c r="G766" s="6" t="n"/>
      <c r="H766" s="6" t="n"/>
      <c r="I766" s="12">
        <f>IF($B766="","",IF(COUNTIF(Ventes_Factures!$A$6:$A$3005,$B766)&gt;0,"OK","INCONNUE"))</f>
        <v/>
      </c>
      <c r="J766" s="9">
        <f>IF($D766="","",ROUND($D766,2))</f>
        <v/>
      </c>
    </row>
    <row r="767">
      <c r="A767" s="6" t="n"/>
      <c r="B767" s="6" t="n"/>
      <c r="C767" s="7" t="n"/>
      <c r="D767" s="8" t="n"/>
      <c r="E767" s="6" t="n"/>
      <c r="F767" s="6" t="n"/>
      <c r="G767" s="6" t="n"/>
      <c r="H767" s="6" t="n"/>
      <c r="I767" s="12">
        <f>IF($B767="","",IF(COUNTIF(Ventes_Factures!$A$6:$A$3005,$B767)&gt;0,"OK","INCONNUE"))</f>
        <v/>
      </c>
      <c r="J767" s="9">
        <f>IF($D767="","",ROUND($D767,2))</f>
        <v/>
      </c>
    </row>
    <row r="768">
      <c r="A768" s="6" t="n"/>
      <c r="B768" s="6" t="n"/>
      <c r="C768" s="7" t="n"/>
      <c r="D768" s="8" t="n"/>
      <c r="E768" s="6" t="n"/>
      <c r="F768" s="6" t="n"/>
      <c r="G768" s="6" t="n"/>
      <c r="H768" s="6" t="n"/>
      <c r="I768" s="12">
        <f>IF($B768="","",IF(COUNTIF(Ventes_Factures!$A$6:$A$3005,$B768)&gt;0,"OK","INCONNUE"))</f>
        <v/>
      </c>
      <c r="J768" s="9">
        <f>IF($D768="","",ROUND($D768,2))</f>
        <v/>
      </c>
    </row>
    <row r="769">
      <c r="A769" s="6" t="n"/>
      <c r="B769" s="6" t="n"/>
      <c r="C769" s="7" t="n"/>
      <c r="D769" s="8" t="n"/>
      <c r="E769" s="6" t="n"/>
      <c r="F769" s="6" t="n"/>
      <c r="G769" s="6" t="n"/>
      <c r="H769" s="6" t="n"/>
      <c r="I769" s="12">
        <f>IF($B769="","",IF(COUNTIF(Ventes_Factures!$A$6:$A$3005,$B769)&gt;0,"OK","INCONNUE"))</f>
        <v/>
      </c>
      <c r="J769" s="9">
        <f>IF($D769="","",ROUND($D769,2))</f>
        <v/>
      </c>
    </row>
    <row r="770">
      <c r="A770" s="6" t="n"/>
      <c r="B770" s="6" t="n"/>
      <c r="C770" s="7" t="n"/>
      <c r="D770" s="8" t="n"/>
      <c r="E770" s="6" t="n"/>
      <c r="F770" s="6" t="n"/>
      <c r="G770" s="6" t="n"/>
      <c r="H770" s="6" t="n"/>
      <c r="I770" s="12">
        <f>IF($B770="","",IF(COUNTIF(Ventes_Factures!$A$6:$A$3005,$B770)&gt;0,"OK","INCONNUE"))</f>
        <v/>
      </c>
      <c r="J770" s="9">
        <f>IF($D770="","",ROUND($D770,2))</f>
        <v/>
      </c>
    </row>
    <row r="771">
      <c r="A771" s="6" t="n"/>
      <c r="B771" s="6" t="n"/>
      <c r="C771" s="7" t="n"/>
      <c r="D771" s="8" t="n"/>
      <c r="E771" s="6" t="n"/>
      <c r="F771" s="6" t="n"/>
      <c r="G771" s="6" t="n"/>
      <c r="H771" s="6" t="n"/>
      <c r="I771" s="12">
        <f>IF($B771="","",IF(COUNTIF(Ventes_Factures!$A$6:$A$3005,$B771)&gt;0,"OK","INCONNUE"))</f>
        <v/>
      </c>
      <c r="J771" s="9">
        <f>IF($D771="","",ROUND($D771,2))</f>
        <v/>
      </c>
    </row>
    <row r="772">
      <c r="A772" s="6" t="n"/>
      <c r="B772" s="6" t="n"/>
      <c r="C772" s="7" t="n"/>
      <c r="D772" s="8" t="n"/>
      <c r="E772" s="6" t="n"/>
      <c r="F772" s="6" t="n"/>
      <c r="G772" s="6" t="n"/>
      <c r="H772" s="6" t="n"/>
      <c r="I772" s="12">
        <f>IF($B772="","",IF(COUNTIF(Ventes_Factures!$A$6:$A$3005,$B772)&gt;0,"OK","INCONNUE"))</f>
        <v/>
      </c>
      <c r="J772" s="9">
        <f>IF($D772="","",ROUND($D772,2))</f>
        <v/>
      </c>
    </row>
    <row r="773">
      <c r="A773" s="6" t="n"/>
      <c r="B773" s="6" t="n"/>
      <c r="C773" s="7" t="n"/>
      <c r="D773" s="8" t="n"/>
      <c r="E773" s="6" t="n"/>
      <c r="F773" s="6" t="n"/>
      <c r="G773" s="6" t="n"/>
      <c r="H773" s="6" t="n"/>
      <c r="I773" s="12">
        <f>IF($B773="","",IF(COUNTIF(Ventes_Factures!$A$6:$A$3005,$B773)&gt;0,"OK","INCONNUE"))</f>
        <v/>
      </c>
      <c r="J773" s="9">
        <f>IF($D773="","",ROUND($D773,2))</f>
        <v/>
      </c>
    </row>
    <row r="774">
      <c r="A774" s="6" t="n"/>
      <c r="B774" s="6" t="n"/>
      <c r="C774" s="7" t="n"/>
      <c r="D774" s="8" t="n"/>
      <c r="E774" s="6" t="n"/>
      <c r="F774" s="6" t="n"/>
      <c r="G774" s="6" t="n"/>
      <c r="H774" s="6" t="n"/>
      <c r="I774" s="12">
        <f>IF($B774="","",IF(COUNTIF(Ventes_Factures!$A$6:$A$3005,$B774)&gt;0,"OK","INCONNUE"))</f>
        <v/>
      </c>
      <c r="J774" s="9">
        <f>IF($D774="","",ROUND($D774,2))</f>
        <v/>
      </c>
    </row>
    <row r="775">
      <c r="A775" s="6" t="n"/>
      <c r="B775" s="6" t="n"/>
      <c r="C775" s="7" t="n"/>
      <c r="D775" s="8" t="n"/>
      <c r="E775" s="6" t="n"/>
      <c r="F775" s="6" t="n"/>
      <c r="G775" s="6" t="n"/>
      <c r="H775" s="6" t="n"/>
      <c r="I775" s="12">
        <f>IF($B775="","",IF(COUNTIF(Ventes_Factures!$A$6:$A$3005,$B775)&gt;0,"OK","INCONNUE"))</f>
        <v/>
      </c>
      <c r="J775" s="9">
        <f>IF($D775="","",ROUND($D775,2))</f>
        <v/>
      </c>
    </row>
    <row r="776">
      <c r="A776" s="6" t="n"/>
      <c r="B776" s="6" t="n"/>
      <c r="C776" s="7" t="n"/>
      <c r="D776" s="8" t="n"/>
      <c r="E776" s="6" t="n"/>
      <c r="F776" s="6" t="n"/>
      <c r="G776" s="6" t="n"/>
      <c r="H776" s="6" t="n"/>
      <c r="I776" s="12">
        <f>IF($B776="","",IF(COUNTIF(Ventes_Factures!$A$6:$A$3005,$B776)&gt;0,"OK","INCONNUE"))</f>
        <v/>
      </c>
      <c r="J776" s="9">
        <f>IF($D776="","",ROUND($D776,2))</f>
        <v/>
      </c>
    </row>
    <row r="777">
      <c r="A777" s="6" t="n"/>
      <c r="B777" s="6" t="n"/>
      <c r="C777" s="7" t="n"/>
      <c r="D777" s="8" t="n"/>
      <c r="E777" s="6" t="n"/>
      <c r="F777" s="6" t="n"/>
      <c r="G777" s="6" t="n"/>
      <c r="H777" s="6" t="n"/>
      <c r="I777" s="12">
        <f>IF($B777="","",IF(COUNTIF(Ventes_Factures!$A$6:$A$3005,$B777)&gt;0,"OK","INCONNUE"))</f>
        <v/>
      </c>
      <c r="J777" s="9">
        <f>IF($D777="","",ROUND($D777,2))</f>
        <v/>
      </c>
    </row>
    <row r="778">
      <c r="A778" s="6" t="n"/>
      <c r="B778" s="6" t="n"/>
      <c r="C778" s="7" t="n"/>
      <c r="D778" s="8" t="n"/>
      <c r="E778" s="6" t="n"/>
      <c r="F778" s="6" t="n"/>
      <c r="G778" s="6" t="n"/>
      <c r="H778" s="6" t="n"/>
      <c r="I778" s="12">
        <f>IF($B778="","",IF(COUNTIF(Ventes_Factures!$A$6:$A$3005,$B778)&gt;0,"OK","INCONNUE"))</f>
        <v/>
      </c>
      <c r="J778" s="9">
        <f>IF($D778="","",ROUND($D778,2))</f>
        <v/>
      </c>
    </row>
    <row r="779">
      <c r="A779" s="6" t="n"/>
      <c r="B779" s="6" t="n"/>
      <c r="C779" s="7" t="n"/>
      <c r="D779" s="8" t="n"/>
      <c r="E779" s="6" t="n"/>
      <c r="F779" s="6" t="n"/>
      <c r="G779" s="6" t="n"/>
      <c r="H779" s="6" t="n"/>
      <c r="I779" s="12">
        <f>IF($B779="","",IF(COUNTIF(Ventes_Factures!$A$6:$A$3005,$B779)&gt;0,"OK","INCONNUE"))</f>
        <v/>
      </c>
      <c r="J779" s="9">
        <f>IF($D779="","",ROUND($D779,2))</f>
        <v/>
      </c>
    </row>
    <row r="780">
      <c r="A780" s="6" t="n"/>
      <c r="B780" s="6" t="n"/>
      <c r="C780" s="7" t="n"/>
      <c r="D780" s="8" t="n"/>
      <c r="E780" s="6" t="n"/>
      <c r="F780" s="6" t="n"/>
      <c r="G780" s="6" t="n"/>
      <c r="H780" s="6" t="n"/>
      <c r="I780" s="12">
        <f>IF($B780="","",IF(COUNTIF(Ventes_Factures!$A$6:$A$3005,$B780)&gt;0,"OK","INCONNUE"))</f>
        <v/>
      </c>
      <c r="J780" s="9">
        <f>IF($D780="","",ROUND($D780,2))</f>
        <v/>
      </c>
    </row>
    <row r="781">
      <c r="A781" s="6" t="n"/>
      <c r="B781" s="6" t="n"/>
      <c r="C781" s="7" t="n"/>
      <c r="D781" s="8" t="n"/>
      <c r="E781" s="6" t="n"/>
      <c r="F781" s="6" t="n"/>
      <c r="G781" s="6" t="n"/>
      <c r="H781" s="6" t="n"/>
      <c r="I781" s="12">
        <f>IF($B781="","",IF(COUNTIF(Ventes_Factures!$A$6:$A$3005,$B781)&gt;0,"OK","INCONNUE"))</f>
        <v/>
      </c>
      <c r="J781" s="9">
        <f>IF($D781="","",ROUND($D781,2))</f>
        <v/>
      </c>
    </row>
    <row r="782">
      <c r="A782" s="6" t="n"/>
      <c r="B782" s="6" t="n"/>
      <c r="C782" s="7" t="n"/>
      <c r="D782" s="8" t="n"/>
      <c r="E782" s="6" t="n"/>
      <c r="F782" s="6" t="n"/>
      <c r="G782" s="6" t="n"/>
      <c r="H782" s="6" t="n"/>
      <c r="I782" s="12">
        <f>IF($B782="","",IF(COUNTIF(Ventes_Factures!$A$6:$A$3005,$B782)&gt;0,"OK","INCONNUE"))</f>
        <v/>
      </c>
      <c r="J782" s="9">
        <f>IF($D782="","",ROUND($D782,2))</f>
        <v/>
      </c>
    </row>
    <row r="783">
      <c r="A783" s="6" t="n"/>
      <c r="B783" s="6" t="n"/>
      <c r="C783" s="7" t="n"/>
      <c r="D783" s="8" t="n"/>
      <c r="E783" s="6" t="n"/>
      <c r="F783" s="6" t="n"/>
      <c r="G783" s="6" t="n"/>
      <c r="H783" s="6" t="n"/>
      <c r="I783" s="12">
        <f>IF($B783="","",IF(COUNTIF(Ventes_Factures!$A$6:$A$3005,$B783)&gt;0,"OK","INCONNUE"))</f>
        <v/>
      </c>
      <c r="J783" s="9">
        <f>IF($D783="","",ROUND($D783,2))</f>
        <v/>
      </c>
    </row>
    <row r="784">
      <c r="A784" s="6" t="n"/>
      <c r="B784" s="6" t="n"/>
      <c r="C784" s="7" t="n"/>
      <c r="D784" s="8" t="n"/>
      <c r="E784" s="6" t="n"/>
      <c r="F784" s="6" t="n"/>
      <c r="G784" s="6" t="n"/>
      <c r="H784" s="6" t="n"/>
      <c r="I784" s="12">
        <f>IF($B784="","",IF(COUNTIF(Ventes_Factures!$A$6:$A$3005,$B784)&gt;0,"OK","INCONNUE"))</f>
        <v/>
      </c>
      <c r="J784" s="9">
        <f>IF($D784="","",ROUND($D784,2))</f>
        <v/>
      </c>
    </row>
    <row r="785">
      <c r="A785" s="6" t="n"/>
      <c r="B785" s="6" t="n"/>
      <c r="C785" s="7" t="n"/>
      <c r="D785" s="8" t="n"/>
      <c r="E785" s="6" t="n"/>
      <c r="F785" s="6" t="n"/>
      <c r="G785" s="6" t="n"/>
      <c r="H785" s="6" t="n"/>
      <c r="I785" s="12">
        <f>IF($B785="","",IF(COUNTIF(Ventes_Factures!$A$6:$A$3005,$B785)&gt;0,"OK","INCONNUE"))</f>
        <v/>
      </c>
      <c r="J785" s="9">
        <f>IF($D785="","",ROUND($D785,2))</f>
        <v/>
      </c>
    </row>
    <row r="786">
      <c r="A786" s="6" t="n"/>
      <c r="B786" s="6" t="n"/>
      <c r="C786" s="7" t="n"/>
      <c r="D786" s="8" t="n"/>
      <c r="E786" s="6" t="n"/>
      <c r="F786" s="6" t="n"/>
      <c r="G786" s="6" t="n"/>
      <c r="H786" s="6" t="n"/>
      <c r="I786" s="12">
        <f>IF($B786="","",IF(COUNTIF(Ventes_Factures!$A$6:$A$3005,$B786)&gt;0,"OK","INCONNUE"))</f>
        <v/>
      </c>
      <c r="J786" s="9">
        <f>IF($D786="","",ROUND($D786,2))</f>
        <v/>
      </c>
    </row>
    <row r="787">
      <c r="A787" s="6" t="n"/>
      <c r="B787" s="6" t="n"/>
      <c r="C787" s="7" t="n"/>
      <c r="D787" s="8" t="n"/>
      <c r="E787" s="6" t="n"/>
      <c r="F787" s="6" t="n"/>
      <c r="G787" s="6" t="n"/>
      <c r="H787" s="6" t="n"/>
      <c r="I787" s="12">
        <f>IF($B787="","",IF(COUNTIF(Ventes_Factures!$A$6:$A$3005,$B787)&gt;0,"OK","INCONNUE"))</f>
        <v/>
      </c>
      <c r="J787" s="9">
        <f>IF($D787="","",ROUND($D787,2))</f>
        <v/>
      </c>
    </row>
    <row r="788">
      <c r="A788" s="6" t="n"/>
      <c r="B788" s="6" t="n"/>
      <c r="C788" s="7" t="n"/>
      <c r="D788" s="8" t="n"/>
      <c r="E788" s="6" t="n"/>
      <c r="F788" s="6" t="n"/>
      <c r="G788" s="6" t="n"/>
      <c r="H788" s="6" t="n"/>
      <c r="I788" s="12">
        <f>IF($B788="","",IF(COUNTIF(Ventes_Factures!$A$6:$A$3005,$B788)&gt;0,"OK","INCONNUE"))</f>
        <v/>
      </c>
      <c r="J788" s="9">
        <f>IF($D788="","",ROUND($D788,2))</f>
        <v/>
      </c>
    </row>
    <row r="789">
      <c r="A789" s="6" t="n"/>
      <c r="B789" s="6" t="n"/>
      <c r="C789" s="7" t="n"/>
      <c r="D789" s="8" t="n"/>
      <c r="E789" s="6" t="n"/>
      <c r="F789" s="6" t="n"/>
      <c r="G789" s="6" t="n"/>
      <c r="H789" s="6" t="n"/>
      <c r="I789" s="12">
        <f>IF($B789="","",IF(COUNTIF(Ventes_Factures!$A$6:$A$3005,$B789)&gt;0,"OK","INCONNUE"))</f>
        <v/>
      </c>
      <c r="J789" s="9">
        <f>IF($D789="","",ROUND($D789,2))</f>
        <v/>
      </c>
    </row>
    <row r="790">
      <c r="A790" s="6" t="n"/>
      <c r="B790" s="6" t="n"/>
      <c r="C790" s="7" t="n"/>
      <c r="D790" s="8" t="n"/>
      <c r="E790" s="6" t="n"/>
      <c r="F790" s="6" t="n"/>
      <c r="G790" s="6" t="n"/>
      <c r="H790" s="6" t="n"/>
      <c r="I790" s="12">
        <f>IF($B790="","",IF(COUNTIF(Ventes_Factures!$A$6:$A$3005,$B790)&gt;0,"OK","INCONNUE"))</f>
        <v/>
      </c>
      <c r="J790" s="9">
        <f>IF($D790="","",ROUND($D790,2))</f>
        <v/>
      </c>
    </row>
    <row r="791">
      <c r="A791" s="6" t="n"/>
      <c r="B791" s="6" t="n"/>
      <c r="C791" s="7" t="n"/>
      <c r="D791" s="8" t="n"/>
      <c r="E791" s="6" t="n"/>
      <c r="F791" s="6" t="n"/>
      <c r="G791" s="6" t="n"/>
      <c r="H791" s="6" t="n"/>
      <c r="I791" s="12">
        <f>IF($B791="","",IF(COUNTIF(Ventes_Factures!$A$6:$A$3005,$B791)&gt;0,"OK","INCONNUE"))</f>
        <v/>
      </c>
      <c r="J791" s="9">
        <f>IF($D791="","",ROUND($D791,2))</f>
        <v/>
      </c>
    </row>
    <row r="792">
      <c r="A792" s="6" t="n"/>
      <c r="B792" s="6" t="n"/>
      <c r="C792" s="7" t="n"/>
      <c r="D792" s="8" t="n"/>
      <c r="E792" s="6" t="n"/>
      <c r="F792" s="6" t="n"/>
      <c r="G792" s="6" t="n"/>
      <c r="H792" s="6" t="n"/>
      <c r="I792" s="12">
        <f>IF($B792="","",IF(COUNTIF(Ventes_Factures!$A$6:$A$3005,$B792)&gt;0,"OK","INCONNUE"))</f>
        <v/>
      </c>
      <c r="J792" s="9">
        <f>IF($D792="","",ROUND($D792,2))</f>
        <v/>
      </c>
    </row>
    <row r="793">
      <c r="A793" s="6" t="n"/>
      <c r="B793" s="6" t="n"/>
      <c r="C793" s="7" t="n"/>
      <c r="D793" s="8" t="n"/>
      <c r="E793" s="6" t="n"/>
      <c r="F793" s="6" t="n"/>
      <c r="G793" s="6" t="n"/>
      <c r="H793" s="6" t="n"/>
      <c r="I793" s="12">
        <f>IF($B793="","",IF(COUNTIF(Ventes_Factures!$A$6:$A$3005,$B793)&gt;0,"OK","INCONNUE"))</f>
        <v/>
      </c>
      <c r="J793" s="9">
        <f>IF($D793="","",ROUND($D793,2))</f>
        <v/>
      </c>
    </row>
    <row r="794">
      <c r="A794" s="6" t="n"/>
      <c r="B794" s="6" t="n"/>
      <c r="C794" s="7" t="n"/>
      <c r="D794" s="8" t="n"/>
      <c r="E794" s="6" t="n"/>
      <c r="F794" s="6" t="n"/>
      <c r="G794" s="6" t="n"/>
      <c r="H794" s="6" t="n"/>
      <c r="I794" s="12">
        <f>IF($B794="","",IF(COUNTIF(Ventes_Factures!$A$6:$A$3005,$B794)&gt;0,"OK","INCONNUE"))</f>
        <v/>
      </c>
      <c r="J794" s="9">
        <f>IF($D794="","",ROUND($D794,2))</f>
        <v/>
      </c>
    </row>
    <row r="795">
      <c r="A795" s="6" t="n"/>
      <c r="B795" s="6" t="n"/>
      <c r="C795" s="7" t="n"/>
      <c r="D795" s="8" t="n"/>
      <c r="E795" s="6" t="n"/>
      <c r="F795" s="6" t="n"/>
      <c r="G795" s="6" t="n"/>
      <c r="H795" s="6" t="n"/>
      <c r="I795" s="12">
        <f>IF($B795="","",IF(COUNTIF(Ventes_Factures!$A$6:$A$3005,$B795)&gt;0,"OK","INCONNUE"))</f>
        <v/>
      </c>
      <c r="J795" s="9">
        <f>IF($D795="","",ROUND($D795,2))</f>
        <v/>
      </c>
    </row>
    <row r="796">
      <c r="A796" s="6" t="n"/>
      <c r="B796" s="6" t="n"/>
      <c r="C796" s="7" t="n"/>
      <c r="D796" s="8" t="n"/>
      <c r="E796" s="6" t="n"/>
      <c r="F796" s="6" t="n"/>
      <c r="G796" s="6" t="n"/>
      <c r="H796" s="6" t="n"/>
      <c r="I796" s="12">
        <f>IF($B796="","",IF(COUNTIF(Ventes_Factures!$A$6:$A$3005,$B796)&gt;0,"OK","INCONNUE"))</f>
        <v/>
      </c>
      <c r="J796" s="9">
        <f>IF($D796="","",ROUND($D796,2))</f>
        <v/>
      </c>
    </row>
    <row r="797">
      <c r="A797" s="6" t="n"/>
      <c r="B797" s="6" t="n"/>
      <c r="C797" s="7" t="n"/>
      <c r="D797" s="8" t="n"/>
      <c r="E797" s="6" t="n"/>
      <c r="F797" s="6" t="n"/>
      <c r="G797" s="6" t="n"/>
      <c r="H797" s="6" t="n"/>
      <c r="I797" s="12">
        <f>IF($B797="","",IF(COUNTIF(Ventes_Factures!$A$6:$A$3005,$B797)&gt;0,"OK","INCONNUE"))</f>
        <v/>
      </c>
      <c r="J797" s="9">
        <f>IF($D797="","",ROUND($D797,2))</f>
        <v/>
      </c>
    </row>
    <row r="798">
      <c r="A798" s="6" t="n"/>
      <c r="B798" s="6" t="n"/>
      <c r="C798" s="7" t="n"/>
      <c r="D798" s="8" t="n"/>
      <c r="E798" s="6" t="n"/>
      <c r="F798" s="6" t="n"/>
      <c r="G798" s="6" t="n"/>
      <c r="H798" s="6" t="n"/>
      <c r="I798" s="12">
        <f>IF($B798="","",IF(COUNTIF(Ventes_Factures!$A$6:$A$3005,$B798)&gt;0,"OK","INCONNUE"))</f>
        <v/>
      </c>
      <c r="J798" s="9">
        <f>IF($D798="","",ROUND($D798,2))</f>
        <v/>
      </c>
    </row>
    <row r="799">
      <c r="A799" s="6" t="n"/>
      <c r="B799" s="6" t="n"/>
      <c r="C799" s="7" t="n"/>
      <c r="D799" s="8" t="n"/>
      <c r="E799" s="6" t="n"/>
      <c r="F799" s="6" t="n"/>
      <c r="G799" s="6" t="n"/>
      <c r="H799" s="6" t="n"/>
      <c r="I799" s="12">
        <f>IF($B799="","",IF(COUNTIF(Ventes_Factures!$A$6:$A$3005,$B799)&gt;0,"OK","INCONNUE"))</f>
        <v/>
      </c>
      <c r="J799" s="9">
        <f>IF($D799="","",ROUND($D799,2))</f>
        <v/>
      </c>
    </row>
    <row r="800">
      <c r="A800" s="6" t="n"/>
      <c r="B800" s="6" t="n"/>
      <c r="C800" s="7" t="n"/>
      <c r="D800" s="8" t="n"/>
      <c r="E800" s="6" t="n"/>
      <c r="F800" s="6" t="n"/>
      <c r="G800" s="6" t="n"/>
      <c r="H800" s="6" t="n"/>
      <c r="I800" s="12">
        <f>IF($B800="","",IF(COUNTIF(Ventes_Factures!$A$6:$A$3005,$B800)&gt;0,"OK","INCONNUE"))</f>
        <v/>
      </c>
      <c r="J800" s="9">
        <f>IF($D800="","",ROUND($D800,2))</f>
        <v/>
      </c>
    </row>
    <row r="801">
      <c r="A801" s="6" t="n"/>
      <c r="B801" s="6" t="n"/>
      <c r="C801" s="7" t="n"/>
      <c r="D801" s="8" t="n"/>
      <c r="E801" s="6" t="n"/>
      <c r="F801" s="6" t="n"/>
      <c r="G801" s="6" t="n"/>
      <c r="H801" s="6" t="n"/>
      <c r="I801" s="12">
        <f>IF($B801="","",IF(COUNTIF(Ventes_Factures!$A$6:$A$3005,$B801)&gt;0,"OK","INCONNUE"))</f>
        <v/>
      </c>
      <c r="J801" s="9">
        <f>IF($D801="","",ROUND($D801,2))</f>
        <v/>
      </c>
    </row>
    <row r="802">
      <c r="A802" s="6" t="n"/>
      <c r="B802" s="6" t="n"/>
      <c r="C802" s="7" t="n"/>
      <c r="D802" s="8" t="n"/>
      <c r="E802" s="6" t="n"/>
      <c r="F802" s="6" t="n"/>
      <c r="G802" s="6" t="n"/>
      <c r="H802" s="6" t="n"/>
      <c r="I802" s="12">
        <f>IF($B802="","",IF(COUNTIF(Ventes_Factures!$A$6:$A$3005,$B802)&gt;0,"OK","INCONNUE"))</f>
        <v/>
      </c>
      <c r="J802" s="9">
        <f>IF($D802="","",ROUND($D802,2))</f>
        <v/>
      </c>
    </row>
    <row r="803">
      <c r="A803" s="6" t="n"/>
      <c r="B803" s="6" t="n"/>
      <c r="C803" s="7" t="n"/>
      <c r="D803" s="8" t="n"/>
      <c r="E803" s="6" t="n"/>
      <c r="F803" s="6" t="n"/>
      <c r="G803" s="6" t="n"/>
      <c r="H803" s="6" t="n"/>
      <c r="I803" s="12">
        <f>IF($B803="","",IF(COUNTIF(Ventes_Factures!$A$6:$A$3005,$B803)&gt;0,"OK","INCONNUE"))</f>
        <v/>
      </c>
      <c r="J803" s="9">
        <f>IF($D803="","",ROUND($D803,2))</f>
        <v/>
      </c>
    </row>
    <row r="804">
      <c r="A804" s="6" t="n"/>
      <c r="B804" s="6" t="n"/>
      <c r="C804" s="7" t="n"/>
      <c r="D804" s="8" t="n"/>
      <c r="E804" s="6" t="n"/>
      <c r="F804" s="6" t="n"/>
      <c r="G804" s="6" t="n"/>
      <c r="H804" s="6" t="n"/>
      <c r="I804" s="12">
        <f>IF($B804="","",IF(COUNTIF(Ventes_Factures!$A$6:$A$3005,$B804)&gt;0,"OK","INCONNUE"))</f>
        <v/>
      </c>
      <c r="J804" s="9">
        <f>IF($D804="","",ROUND($D804,2))</f>
        <v/>
      </c>
    </row>
    <row r="805">
      <c r="A805" s="6" t="n"/>
      <c r="B805" s="6" t="n"/>
      <c r="C805" s="7" t="n"/>
      <c r="D805" s="8" t="n"/>
      <c r="E805" s="6" t="n"/>
      <c r="F805" s="6" t="n"/>
      <c r="G805" s="6" t="n"/>
      <c r="H805" s="6" t="n"/>
      <c r="I805" s="12">
        <f>IF($B805="","",IF(COUNTIF(Ventes_Factures!$A$6:$A$3005,$B805)&gt;0,"OK","INCONNUE"))</f>
        <v/>
      </c>
      <c r="J805" s="9">
        <f>IF($D805="","",ROUND($D805,2))</f>
        <v/>
      </c>
    </row>
    <row r="806">
      <c r="A806" s="6" t="n"/>
      <c r="B806" s="6" t="n"/>
      <c r="C806" s="7" t="n"/>
      <c r="D806" s="8" t="n"/>
      <c r="E806" s="6" t="n"/>
      <c r="F806" s="6" t="n"/>
      <c r="G806" s="6" t="n"/>
      <c r="H806" s="6" t="n"/>
      <c r="I806" s="12">
        <f>IF($B806="","",IF(COUNTIF(Ventes_Factures!$A$6:$A$3005,$B806)&gt;0,"OK","INCONNUE"))</f>
        <v/>
      </c>
      <c r="J806" s="9">
        <f>IF($D806="","",ROUND($D806,2))</f>
        <v/>
      </c>
    </row>
    <row r="807">
      <c r="A807" s="6" t="n"/>
      <c r="B807" s="6" t="n"/>
      <c r="C807" s="7" t="n"/>
      <c r="D807" s="8" t="n"/>
      <c r="E807" s="6" t="n"/>
      <c r="F807" s="6" t="n"/>
      <c r="G807" s="6" t="n"/>
      <c r="H807" s="6" t="n"/>
      <c r="I807" s="12">
        <f>IF($B807="","",IF(COUNTIF(Ventes_Factures!$A$6:$A$3005,$B807)&gt;0,"OK","INCONNUE"))</f>
        <v/>
      </c>
      <c r="J807" s="9">
        <f>IF($D807="","",ROUND($D807,2))</f>
        <v/>
      </c>
    </row>
    <row r="808">
      <c r="A808" s="6" t="n"/>
      <c r="B808" s="6" t="n"/>
      <c r="C808" s="7" t="n"/>
      <c r="D808" s="8" t="n"/>
      <c r="E808" s="6" t="n"/>
      <c r="F808" s="6" t="n"/>
      <c r="G808" s="6" t="n"/>
      <c r="H808" s="6" t="n"/>
      <c r="I808" s="12">
        <f>IF($B808="","",IF(COUNTIF(Ventes_Factures!$A$6:$A$3005,$B808)&gt;0,"OK","INCONNUE"))</f>
        <v/>
      </c>
      <c r="J808" s="9">
        <f>IF($D808="","",ROUND($D808,2))</f>
        <v/>
      </c>
    </row>
    <row r="809">
      <c r="A809" s="6" t="n"/>
      <c r="B809" s="6" t="n"/>
      <c r="C809" s="7" t="n"/>
      <c r="D809" s="8" t="n"/>
      <c r="E809" s="6" t="n"/>
      <c r="F809" s="6" t="n"/>
      <c r="G809" s="6" t="n"/>
      <c r="H809" s="6" t="n"/>
      <c r="I809" s="12">
        <f>IF($B809="","",IF(COUNTIF(Ventes_Factures!$A$6:$A$3005,$B809)&gt;0,"OK","INCONNUE"))</f>
        <v/>
      </c>
      <c r="J809" s="9">
        <f>IF($D809="","",ROUND($D809,2))</f>
        <v/>
      </c>
    </row>
    <row r="810">
      <c r="A810" s="6" t="n"/>
      <c r="B810" s="6" t="n"/>
      <c r="C810" s="7" t="n"/>
      <c r="D810" s="8" t="n"/>
      <c r="E810" s="6" t="n"/>
      <c r="F810" s="6" t="n"/>
      <c r="G810" s="6" t="n"/>
      <c r="H810" s="6" t="n"/>
      <c r="I810" s="12">
        <f>IF($B810="","",IF(COUNTIF(Ventes_Factures!$A$6:$A$3005,$B810)&gt;0,"OK","INCONNUE"))</f>
        <v/>
      </c>
      <c r="J810" s="9">
        <f>IF($D810="","",ROUND($D810,2))</f>
        <v/>
      </c>
    </row>
    <row r="811">
      <c r="A811" s="6" t="n"/>
      <c r="B811" s="6" t="n"/>
      <c r="C811" s="7" t="n"/>
      <c r="D811" s="8" t="n"/>
      <c r="E811" s="6" t="n"/>
      <c r="F811" s="6" t="n"/>
      <c r="G811" s="6" t="n"/>
      <c r="H811" s="6" t="n"/>
      <c r="I811" s="12">
        <f>IF($B811="","",IF(COUNTIF(Ventes_Factures!$A$6:$A$3005,$B811)&gt;0,"OK","INCONNUE"))</f>
        <v/>
      </c>
      <c r="J811" s="9">
        <f>IF($D811="","",ROUND($D811,2))</f>
        <v/>
      </c>
    </row>
    <row r="812">
      <c r="A812" s="6" t="n"/>
      <c r="B812" s="6" t="n"/>
      <c r="C812" s="7" t="n"/>
      <c r="D812" s="8" t="n"/>
      <c r="E812" s="6" t="n"/>
      <c r="F812" s="6" t="n"/>
      <c r="G812" s="6" t="n"/>
      <c r="H812" s="6" t="n"/>
      <c r="I812" s="12">
        <f>IF($B812="","",IF(COUNTIF(Ventes_Factures!$A$6:$A$3005,$B812)&gt;0,"OK","INCONNUE"))</f>
        <v/>
      </c>
      <c r="J812" s="9">
        <f>IF($D812="","",ROUND($D812,2))</f>
        <v/>
      </c>
    </row>
    <row r="813">
      <c r="A813" s="6" t="n"/>
      <c r="B813" s="6" t="n"/>
      <c r="C813" s="7" t="n"/>
      <c r="D813" s="8" t="n"/>
      <c r="E813" s="6" t="n"/>
      <c r="F813" s="6" t="n"/>
      <c r="G813" s="6" t="n"/>
      <c r="H813" s="6" t="n"/>
      <c r="I813" s="12">
        <f>IF($B813="","",IF(COUNTIF(Ventes_Factures!$A$6:$A$3005,$B813)&gt;0,"OK","INCONNUE"))</f>
        <v/>
      </c>
      <c r="J813" s="9">
        <f>IF($D813="","",ROUND($D813,2))</f>
        <v/>
      </c>
    </row>
    <row r="814">
      <c r="A814" s="6" t="n"/>
      <c r="B814" s="6" t="n"/>
      <c r="C814" s="7" t="n"/>
      <c r="D814" s="8" t="n"/>
      <c r="E814" s="6" t="n"/>
      <c r="F814" s="6" t="n"/>
      <c r="G814" s="6" t="n"/>
      <c r="H814" s="6" t="n"/>
      <c r="I814" s="12">
        <f>IF($B814="","",IF(COUNTIF(Ventes_Factures!$A$6:$A$3005,$B814)&gt;0,"OK","INCONNUE"))</f>
        <v/>
      </c>
      <c r="J814" s="9">
        <f>IF($D814="","",ROUND($D814,2))</f>
        <v/>
      </c>
    </row>
    <row r="815">
      <c r="A815" s="6" t="n"/>
      <c r="B815" s="6" t="n"/>
      <c r="C815" s="7" t="n"/>
      <c r="D815" s="8" t="n"/>
      <c r="E815" s="6" t="n"/>
      <c r="F815" s="6" t="n"/>
      <c r="G815" s="6" t="n"/>
      <c r="H815" s="6" t="n"/>
      <c r="I815" s="12">
        <f>IF($B815="","",IF(COUNTIF(Ventes_Factures!$A$6:$A$3005,$B815)&gt;0,"OK","INCONNUE"))</f>
        <v/>
      </c>
      <c r="J815" s="9">
        <f>IF($D815="","",ROUND($D815,2))</f>
        <v/>
      </c>
    </row>
    <row r="816">
      <c r="A816" s="6" t="n"/>
      <c r="B816" s="6" t="n"/>
      <c r="C816" s="7" t="n"/>
      <c r="D816" s="8" t="n"/>
      <c r="E816" s="6" t="n"/>
      <c r="F816" s="6" t="n"/>
      <c r="G816" s="6" t="n"/>
      <c r="H816" s="6" t="n"/>
      <c r="I816" s="12">
        <f>IF($B816="","",IF(COUNTIF(Ventes_Factures!$A$6:$A$3005,$B816)&gt;0,"OK","INCONNUE"))</f>
        <v/>
      </c>
      <c r="J816" s="9">
        <f>IF($D816="","",ROUND($D816,2))</f>
        <v/>
      </c>
    </row>
    <row r="817">
      <c r="A817" s="6" t="n"/>
      <c r="B817" s="6" t="n"/>
      <c r="C817" s="7" t="n"/>
      <c r="D817" s="8" t="n"/>
      <c r="E817" s="6" t="n"/>
      <c r="F817" s="6" t="n"/>
      <c r="G817" s="6" t="n"/>
      <c r="H817" s="6" t="n"/>
      <c r="I817" s="12">
        <f>IF($B817="","",IF(COUNTIF(Ventes_Factures!$A$6:$A$3005,$B817)&gt;0,"OK","INCONNUE"))</f>
        <v/>
      </c>
      <c r="J817" s="9">
        <f>IF($D817="","",ROUND($D817,2))</f>
        <v/>
      </c>
    </row>
    <row r="818">
      <c r="A818" s="6" t="n"/>
      <c r="B818" s="6" t="n"/>
      <c r="C818" s="7" t="n"/>
      <c r="D818" s="8" t="n"/>
      <c r="E818" s="6" t="n"/>
      <c r="F818" s="6" t="n"/>
      <c r="G818" s="6" t="n"/>
      <c r="H818" s="6" t="n"/>
      <c r="I818" s="12">
        <f>IF($B818="","",IF(COUNTIF(Ventes_Factures!$A$6:$A$3005,$B818)&gt;0,"OK","INCONNUE"))</f>
        <v/>
      </c>
      <c r="J818" s="9">
        <f>IF($D818="","",ROUND($D818,2))</f>
        <v/>
      </c>
    </row>
    <row r="819">
      <c r="A819" s="6" t="n"/>
      <c r="B819" s="6" t="n"/>
      <c r="C819" s="7" t="n"/>
      <c r="D819" s="8" t="n"/>
      <c r="E819" s="6" t="n"/>
      <c r="F819" s="6" t="n"/>
      <c r="G819" s="6" t="n"/>
      <c r="H819" s="6" t="n"/>
      <c r="I819" s="12">
        <f>IF($B819="","",IF(COUNTIF(Ventes_Factures!$A$6:$A$3005,$B819)&gt;0,"OK","INCONNUE"))</f>
        <v/>
      </c>
      <c r="J819" s="9">
        <f>IF($D819="","",ROUND($D819,2))</f>
        <v/>
      </c>
    </row>
    <row r="820">
      <c r="A820" s="6" t="n"/>
      <c r="B820" s="6" t="n"/>
      <c r="C820" s="7" t="n"/>
      <c r="D820" s="8" t="n"/>
      <c r="E820" s="6" t="n"/>
      <c r="F820" s="6" t="n"/>
      <c r="G820" s="6" t="n"/>
      <c r="H820" s="6" t="n"/>
      <c r="I820" s="12">
        <f>IF($B820="","",IF(COUNTIF(Ventes_Factures!$A$6:$A$3005,$B820)&gt;0,"OK","INCONNUE"))</f>
        <v/>
      </c>
      <c r="J820" s="9">
        <f>IF($D820="","",ROUND($D820,2))</f>
        <v/>
      </c>
    </row>
    <row r="821">
      <c r="A821" s="6" t="n"/>
      <c r="B821" s="6" t="n"/>
      <c r="C821" s="7" t="n"/>
      <c r="D821" s="8" t="n"/>
      <c r="E821" s="6" t="n"/>
      <c r="F821" s="6" t="n"/>
      <c r="G821" s="6" t="n"/>
      <c r="H821" s="6" t="n"/>
      <c r="I821" s="12">
        <f>IF($B821="","",IF(COUNTIF(Ventes_Factures!$A$6:$A$3005,$B821)&gt;0,"OK","INCONNUE"))</f>
        <v/>
      </c>
      <c r="J821" s="9">
        <f>IF($D821="","",ROUND($D821,2))</f>
        <v/>
      </c>
    </row>
    <row r="822">
      <c r="A822" s="6" t="n"/>
      <c r="B822" s="6" t="n"/>
      <c r="C822" s="7" t="n"/>
      <c r="D822" s="8" t="n"/>
      <c r="E822" s="6" t="n"/>
      <c r="F822" s="6" t="n"/>
      <c r="G822" s="6" t="n"/>
      <c r="H822" s="6" t="n"/>
      <c r="I822" s="12">
        <f>IF($B822="","",IF(COUNTIF(Ventes_Factures!$A$6:$A$3005,$B822)&gt;0,"OK","INCONNUE"))</f>
        <v/>
      </c>
      <c r="J822" s="9">
        <f>IF($D822="","",ROUND($D822,2))</f>
        <v/>
      </c>
    </row>
    <row r="823">
      <c r="A823" s="6" t="n"/>
      <c r="B823" s="6" t="n"/>
      <c r="C823" s="7" t="n"/>
      <c r="D823" s="8" t="n"/>
      <c r="E823" s="6" t="n"/>
      <c r="F823" s="6" t="n"/>
      <c r="G823" s="6" t="n"/>
      <c r="H823" s="6" t="n"/>
      <c r="I823" s="12">
        <f>IF($B823="","",IF(COUNTIF(Ventes_Factures!$A$6:$A$3005,$B823)&gt;0,"OK","INCONNUE"))</f>
        <v/>
      </c>
      <c r="J823" s="9">
        <f>IF($D823="","",ROUND($D823,2))</f>
        <v/>
      </c>
    </row>
    <row r="824">
      <c r="A824" s="6" t="n"/>
      <c r="B824" s="6" t="n"/>
      <c r="C824" s="7" t="n"/>
      <c r="D824" s="8" t="n"/>
      <c r="E824" s="6" t="n"/>
      <c r="F824" s="6" t="n"/>
      <c r="G824" s="6" t="n"/>
      <c r="H824" s="6" t="n"/>
      <c r="I824" s="12">
        <f>IF($B824="","",IF(COUNTIF(Ventes_Factures!$A$6:$A$3005,$B824)&gt;0,"OK","INCONNUE"))</f>
        <v/>
      </c>
      <c r="J824" s="9">
        <f>IF($D824="","",ROUND($D824,2))</f>
        <v/>
      </c>
    </row>
    <row r="825">
      <c r="A825" s="6" t="n"/>
      <c r="B825" s="6" t="n"/>
      <c r="C825" s="7" t="n"/>
      <c r="D825" s="8" t="n"/>
      <c r="E825" s="6" t="n"/>
      <c r="F825" s="6" t="n"/>
      <c r="G825" s="6" t="n"/>
      <c r="H825" s="6" t="n"/>
      <c r="I825" s="12">
        <f>IF($B825="","",IF(COUNTIF(Ventes_Factures!$A$6:$A$3005,$B825)&gt;0,"OK","INCONNUE"))</f>
        <v/>
      </c>
      <c r="J825" s="9">
        <f>IF($D825="","",ROUND($D825,2))</f>
        <v/>
      </c>
    </row>
    <row r="826">
      <c r="A826" s="6" t="n"/>
      <c r="B826" s="6" t="n"/>
      <c r="C826" s="7" t="n"/>
      <c r="D826" s="8" t="n"/>
      <c r="E826" s="6" t="n"/>
      <c r="F826" s="6" t="n"/>
      <c r="G826" s="6" t="n"/>
      <c r="H826" s="6" t="n"/>
      <c r="I826" s="12">
        <f>IF($B826="","",IF(COUNTIF(Ventes_Factures!$A$6:$A$3005,$B826)&gt;0,"OK","INCONNUE"))</f>
        <v/>
      </c>
      <c r="J826" s="9">
        <f>IF($D826="","",ROUND($D826,2))</f>
        <v/>
      </c>
    </row>
    <row r="827">
      <c r="A827" s="6" t="n"/>
      <c r="B827" s="6" t="n"/>
      <c r="C827" s="7" t="n"/>
      <c r="D827" s="8" t="n"/>
      <c r="E827" s="6" t="n"/>
      <c r="F827" s="6" t="n"/>
      <c r="G827" s="6" t="n"/>
      <c r="H827" s="6" t="n"/>
      <c r="I827" s="12">
        <f>IF($B827="","",IF(COUNTIF(Ventes_Factures!$A$6:$A$3005,$B827)&gt;0,"OK","INCONNUE"))</f>
        <v/>
      </c>
      <c r="J827" s="9">
        <f>IF($D827="","",ROUND($D827,2))</f>
        <v/>
      </c>
    </row>
    <row r="828">
      <c r="A828" s="6" t="n"/>
      <c r="B828" s="6" t="n"/>
      <c r="C828" s="7" t="n"/>
      <c r="D828" s="8" t="n"/>
      <c r="E828" s="6" t="n"/>
      <c r="F828" s="6" t="n"/>
      <c r="G828" s="6" t="n"/>
      <c r="H828" s="6" t="n"/>
      <c r="I828" s="12">
        <f>IF($B828="","",IF(COUNTIF(Ventes_Factures!$A$6:$A$3005,$B828)&gt;0,"OK","INCONNUE"))</f>
        <v/>
      </c>
      <c r="J828" s="9">
        <f>IF($D828="","",ROUND($D828,2))</f>
        <v/>
      </c>
    </row>
    <row r="829">
      <c r="A829" s="6" t="n"/>
      <c r="B829" s="6" t="n"/>
      <c r="C829" s="7" t="n"/>
      <c r="D829" s="8" t="n"/>
      <c r="E829" s="6" t="n"/>
      <c r="F829" s="6" t="n"/>
      <c r="G829" s="6" t="n"/>
      <c r="H829" s="6" t="n"/>
      <c r="I829" s="12">
        <f>IF($B829="","",IF(COUNTIF(Ventes_Factures!$A$6:$A$3005,$B829)&gt;0,"OK","INCONNUE"))</f>
        <v/>
      </c>
      <c r="J829" s="9">
        <f>IF($D829="","",ROUND($D829,2))</f>
        <v/>
      </c>
    </row>
    <row r="830">
      <c r="A830" s="6" t="n"/>
      <c r="B830" s="6" t="n"/>
      <c r="C830" s="7" t="n"/>
      <c r="D830" s="8" t="n"/>
      <c r="E830" s="6" t="n"/>
      <c r="F830" s="6" t="n"/>
      <c r="G830" s="6" t="n"/>
      <c r="H830" s="6" t="n"/>
      <c r="I830" s="12">
        <f>IF($B830="","",IF(COUNTIF(Ventes_Factures!$A$6:$A$3005,$B830)&gt;0,"OK","INCONNUE"))</f>
        <v/>
      </c>
      <c r="J830" s="9">
        <f>IF($D830="","",ROUND($D830,2))</f>
        <v/>
      </c>
    </row>
    <row r="831">
      <c r="A831" s="6" t="n"/>
      <c r="B831" s="6" t="n"/>
      <c r="C831" s="7" t="n"/>
      <c r="D831" s="8" t="n"/>
      <c r="E831" s="6" t="n"/>
      <c r="F831" s="6" t="n"/>
      <c r="G831" s="6" t="n"/>
      <c r="H831" s="6" t="n"/>
      <c r="I831" s="12">
        <f>IF($B831="","",IF(COUNTIF(Ventes_Factures!$A$6:$A$3005,$B831)&gt;0,"OK","INCONNUE"))</f>
        <v/>
      </c>
      <c r="J831" s="9">
        <f>IF($D831="","",ROUND($D831,2))</f>
        <v/>
      </c>
    </row>
    <row r="832">
      <c r="A832" s="6" t="n"/>
      <c r="B832" s="6" t="n"/>
      <c r="C832" s="7" t="n"/>
      <c r="D832" s="8" t="n"/>
      <c r="E832" s="6" t="n"/>
      <c r="F832" s="6" t="n"/>
      <c r="G832" s="6" t="n"/>
      <c r="H832" s="6" t="n"/>
      <c r="I832" s="12">
        <f>IF($B832="","",IF(COUNTIF(Ventes_Factures!$A$6:$A$3005,$B832)&gt;0,"OK","INCONNUE"))</f>
        <v/>
      </c>
      <c r="J832" s="9">
        <f>IF($D832="","",ROUND($D832,2))</f>
        <v/>
      </c>
    </row>
    <row r="833">
      <c r="A833" s="6" t="n"/>
      <c r="B833" s="6" t="n"/>
      <c r="C833" s="7" t="n"/>
      <c r="D833" s="8" t="n"/>
      <c r="E833" s="6" t="n"/>
      <c r="F833" s="6" t="n"/>
      <c r="G833" s="6" t="n"/>
      <c r="H833" s="6" t="n"/>
      <c r="I833" s="12">
        <f>IF($B833="","",IF(COUNTIF(Ventes_Factures!$A$6:$A$3005,$B833)&gt;0,"OK","INCONNUE"))</f>
        <v/>
      </c>
      <c r="J833" s="9">
        <f>IF($D833="","",ROUND($D833,2))</f>
        <v/>
      </c>
    </row>
    <row r="834">
      <c r="A834" s="6" t="n"/>
      <c r="B834" s="6" t="n"/>
      <c r="C834" s="7" t="n"/>
      <c r="D834" s="8" t="n"/>
      <c r="E834" s="6" t="n"/>
      <c r="F834" s="6" t="n"/>
      <c r="G834" s="6" t="n"/>
      <c r="H834" s="6" t="n"/>
      <c r="I834" s="12">
        <f>IF($B834="","",IF(COUNTIF(Ventes_Factures!$A$6:$A$3005,$B834)&gt;0,"OK","INCONNUE"))</f>
        <v/>
      </c>
      <c r="J834" s="9">
        <f>IF($D834="","",ROUND($D834,2))</f>
        <v/>
      </c>
    </row>
    <row r="835">
      <c r="A835" s="6" t="n"/>
      <c r="B835" s="6" t="n"/>
      <c r="C835" s="7" t="n"/>
      <c r="D835" s="8" t="n"/>
      <c r="E835" s="6" t="n"/>
      <c r="F835" s="6" t="n"/>
      <c r="G835" s="6" t="n"/>
      <c r="H835" s="6" t="n"/>
      <c r="I835" s="12">
        <f>IF($B835="","",IF(COUNTIF(Ventes_Factures!$A$6:$A$3005,$B835)&gt;0,"OK","INCONNUE"))</f>
        <v/>
      </c>
      <c r="J835" s="9">
        <f>IF($D835="","",ROUND($D835,2))</f>
        <v/>
      </c>
    </row>
    <row r="836">
      <c r="A836" s="6" t="n"/>
      <c r="B836" s="6" t="n"/>
      <c r="C836" s="7" t="n"/>
      <c r="D836" s="8" t="n"/>
      <c r="E836" s="6" t="n"/>
      <c r="F836" s="6" t="n"/>
      <c r="G836" s="6" t="n"/>
      <c r="H836" s="6" t="n"/>
      <c r="I836" s="12">
        <f>IF($B836="","",IF(COUNTIF(Ventes_Factures!$A$6:$A$3005,$B836)&gt;0,"OK","INCONNUE"))</f>
        <v/>
      </c>
      <c r="J836" s="9">
        <f>IF($D836="","",ROUND($D836,2))</f>
        <v/>
      </c>
    </row>
    <row r="837">
      <c r="A837" s="6" t="n"/>
      <c r="B837" s="6" t="n"/>
      <c r="C837" s="7" t="n"/>
      <c r="D837" s="8" t="n"/>
      <c r="E837" s="6" t="n"/>
      <c r="F837" s="6" t="n"/>
      <c r="G837" s="6" t="n"/>
      <c r="H837" s="6" t="n"/>
      <c r="I837" s="12">
        <f>IF($B837="","",IF(COUNTIF(Ventes_Factures!$A$6:$A$3005,$B837)&gt;0,"OK","INCONNUE"))</f>
        <v/>
      </c>
      <c r="J837" s="9">
        <f>IF($D837="","",ROUND($D837,2))</f>
        <v/>
      </c>
    </row>
    <row r="838">
      <c r="A838" s="6" t="n"/>
      <c r="B838" s="6" t="n"/>
      <c r="C838" s="7" t="n"/>
      <c r="D838" s="8" t="n"/>
      <c r="E838" s="6" t="n"/>
      <c r="F838" s="6" t="n"/>
      <c r="G838" s="6" t="n"/>
      <c r="H838" s="6" t="n"/>
      <c r="I838" s="12">
        <f>IF($B838="","",IF(COUNTIF(Ventes_Factures!$A$6:$A$3005,$B838)&gt;0,"OK","INCONNUE"))</f>
        <v/>
      </c>
      <c r="J838" s="9">
        <f>IF($D838="","",ROUND($D838,2))</f>
        <v/>
      </c>
    </row>
    <row r="839">
      <c r="A839" s="6" t="n"/>
      <c r="B839" s="6" t="n"/>
      <c r="C839" s="7" t="n"/>
      <c r="D839" s="8" t="n"/>
      <c r="E839" s="6" t="n"/>
      <c r="F839" s="6" t="n"/>
      <c r="G839" s="6" t="n"/>
      <c r="H839" s="6" t="n"/>
      <c r="I839" s="12">
        <f>IF($B839="","",IF(COUNTIF(Ventes_Factures!$A$6:$A$3005,$B839)&gt;0,"OK","INCONNUE"))</f>
        <v/>
      </c>
      <c r="J839" s="9">
        <f>IF($D839="","",ROUND($D839,2))</f>
        <v/>
      </c>
    </row>
    <row r="840">
      <c r="A840" s="6" t="n"/>
      <c r="B840" s="6" t="n"/>
      <c r="C840" s="7" t="n"/>
      <c r="D840" s="8" t="n"/>
      <c r="E840" s="6" t="n"/>
      <c r="F840" s="6" t="n"/>
      <c r="G840" s="6" t="n"/>
      <c r="H840" s="6" t="n"/>
      <c r="I840" s="12">
        <f>IF($B840="","",IF(COUNTIF(Ventes_Factures!$A$6:$A$3005,$B840)&gt;0,"OK","INCONNUE"))</f>
        <v/>
      </c>
      <c r="J840" s="9">
        <f>IF($D840="","",ROUND($D840,2))</f>
        <v/>
      </c>
    </row>
    <row r="841">
      <c r="A841" s="6" t="n"/>
      <c r="B841" s="6" t="n"/>
      <c r="C841" s="7" t="n"/>
      <c r="D841" s="8" t="n"/>
      <c r="E841" s="6" t="n"/>
      <c r="F841" s="6" t="n"/>
      <c r="G841" s="6" t="n"/>
      <c r="H841" s="6" t="n"/>
      <c r="I841" s="12">
        <f>IF($B841="","",IF(COUNTIF(Ventes_Factures!$A$6:$A$3005,$B841)&gt;0,"OK","INCONNUE"))</f>
        <v/>
      </c>
      <c r="J841" s="9">
        <f>IF($D841="","",ROUND($D841,2))</f>
        <v/>
      </c>
    </row>
    <row r="842">
      <c r="A842" s="6" t="n"/>
      <c r="B842" s="6" t="n"/>
      <c r="C842" s="7" t="n"/>
      <c r="D842" s="8" t="n"/>
      <c r="E842" s="6" t="n"/>
      <c r="F842" s="6" t="n"/>
      <c r="G842" s="6" t="n"/>
      <c r="H842" s="6" t="n"/>
      <c r="I842" s="12">
        <f>IF($B842="","",IF(COUNTIF(Ventes_Factures!$A$6:$A$3005,$B842)&gt;0,"OK","INCONNUE"))</f>
        <v/>
      </c>
      <c r="J842" s="9">
        <f>IF($D842="","",ROUND($D842,2))</f>
        <v/>
      </c>
    </row>
    <row r="843">
      <c r="A843" s="6" t="n"/>
      <c r="B843" s="6" t="n"/>
      <c r="C843" s="7" t="n"/>
      <c r="D843" s="8" t="n"/>
      <c r="E843" s="6" t="n"/>
      <c r="F843" s="6" t="n"/>
      <c r="G843" s="6" t="n"/>
      <c r="H843" s="6" t="n"/>
      <c r="I843" s="12">
        <f>IF($B843="","",IF(COUNTIF(Ventes_Factures!$A$6:$A$3005,$B843)&gt;0,"OK","INCONNUE"))</f>
        <v/>
      </c>
      <c r="J843" s="9">
        <f>IF($D843="","",ROUND($D843,2))</f>
        <v/>
      </c>
    </row>
    <row r="844">
      <c r="A844" s="6" t="n"/>
      <c r="B844" s="6" t="n"/>
      <c r="C844" s="7" t="n"/>
      <c r="D844" s="8" t="n"/>
      <c r="E844" s="6" t="n"/>
      <c r="F844" s="6" t="n"/>
      <c r="G844" s="6" t="n"/>
      <c r="H844" s="6" t="n"/>
      <c r="I844" s="12">
        <f>IF($B844="","",IF(COUNTIF(Ventes_Factures!$A$6:$A$3005,$B844)&gt;0,"OK","INCONNUE"))</f>
        <v/>
      </c>
      <c r="J844" s="9">
        <f>IF($D844="","",ROUND($D844,2))</f>
        <v/>
      </c>
    </row>
    <row r="845">
      <c r="A845" s="6" t="n"/>
      <c r="B845" s="6" t="n"/>
      <c r="C845" s="7" t="n"/>
      <c r="D845" s="8" t="n"/>
      <c r="E845" s="6" t="n"/>
      <c r="F845" s="6" t="n"/>
      <c r="G845" s="6" t="n"/>
      <c r="H845" s="6" t="n"/>
      <c r="I845" s="12">
        <f>IF($B845="","",IF(COUNTIF(Ventes_Factures!$A$6:$A$3005,$B845)&gt;0,"OK","INCONNUE"))</f>
        <v/>
      </c>
      <c r="J845" s="9">
        <f>IF($D845="","",ROUND($D845,2))</f>
        <v/>
      </c>
    </row>
    <row r="846">
      <c r="A846" s="6" t="n"/>
      <c r="B846" s="6" t="n"/>
      <c r="C846" s="7" t="n"/>
      <c r="D846" s="8" t="n"/>
      <c r="E846" s="6" t="n"/>
      <c r="F846" s="6" t="n"/>
      <c r="G846" s="6" t="n"/>
      <c r="H846" s="6" t="n"/>
      <c r="I846" s="12">
        <f>IF($B846="","",IF(COUNTIF(Ventes_Factures!$A$6:$A$3005,$B846)&gt;0,"OK","INCONNUE"))</f>
        <v/>
      </c>
      <c r="J846" s="9">
        <f>IF($D846="","",ROUND($D846,2))</f>
        <v/>
      </c>
    </row>
    <row r="847">
      <c r="A847" s="6" t="n"/>
      <c r="B847" s="6" t="n"/>
      <c r="C847" s="7" t="n"/>
      <c r="D847" s="8" t="n"/>
      <c r="E847" s="6" t="n"/>
      <c r="F847" s="6" t="n"/>
      <c r="G847" s="6" t="n"/>
      <c r="H847" s="6" t="n"/>
      <c r="I847" s="12">
        <f>IF($B847="","",IF(COUNTIF(Ventes_Factures!$A$6:$A$3005,$B847)&gt;0,"OK","INCONNUE"))</f>
        <v/>
      </c>
      <c r="J847" s="9">
        <f>IF($D847="","",ROUND($D847,2))</f>
        <v/>
      </c>
    </row>
    <row r="848">
      <c r="A848" s="6" t="n"/>
      <c r="B848" s="6" t="n"/>
      <c r="C848" s="7" t="n"/>
      <c r="D848" s="8" t="n"/>
      <c r="E848" s="6" t="n"/>
      <c r="F848" s="6" t="n"/>
      <c r="G848" s="6" t="n"/>
      <c r="H848" s="6" t="n"/>
      <c r="I848" s="12">
        <f>IF($B848="","",IF(COUNTIF(Ventes_Factures!$A$6:$A$3005,$B848)&gt;0,"OK","INCONNUE"))</f>
        <v/>
      </c>
      <c r="J848" s="9">
        <f>IF($D848="","",ROUND($D848,2))</f>
        <v/>
      </c>
    </row>
    <row r="849">
      <c r="A849" s="6" t="n"/>
      <c r="B849" s="6" t="n"/>
      <c r="C849" s="7" t="n"/>
      <c r="D849" s="8" t="n"/>
      <c r="E849" s="6" t="n"/>
      <c r="F849" s="6" t="n"/>
      <c r="G849" s="6" t="n"/>
      <c r="H849" s="6" t="n"/>
      <c r="I849" s="12">
        <f>IF($B849="","",IF(COUNTIF(Ventes_Factures!$A$6:$A$3005,$B849)&gt;0,"OK","INCONNUE"))</f>
        <v/>
      </c>
      <c r="J849" s="9">
        <f>IF($D849="","",ROUND($D849,2))</f>
        <v/>
      </c>
    </row>
    <row r="850">
      <c r="A850" s="6" t="n"/>
      <c r="B850" s="6" t="n"/>
      <c r="C850" s="7" t="n"/>
      <c r="D850" s="8" t="n"/>
      <c r="E850" s="6" t="n"/>
      <c r="F850" s="6" t="n"/>
      <c r="G850" s="6" t="n"/>
      <c r="H850" s="6" t="n"/>
      <c r="I850" s="12">
        <f>IF($B850="","",IF(COUNTIF(Ventes_Factures!$A$6:$A$3005,$B850)&gt;0,"OK","INCONNUE"))</f>
        <v/>
      </c>
      <c r="J850" s="9">
        <f>IF($D850="","",ROUND($D850,2))</f>
        <v/>
      </c>
    </row>
    <row r="851">
      <c r="A851" s="6" t="n"/>
      <c r="B851" s="6" t="n"/>
      <c r="C851" s="7" t="n"/>
      <c r="D851" s="8" t="n"/>
      <c r="E851" s="6" t="n"/>
      <c r="F851" s="6" t="n"/>
      <c r="G851" s="6" t="n"/>
      <c r="H851" s="6" t="n"/>
      <c r="I851" s="12">
        <f>IF($B851="","",IF(COUNTIF(Ventes_Factures!$A$6:$A$3005,$B851)&gt;0,"OK","INCONNUE"))</f>
        <v/>
      </c>
      <c r="J851" s="9">
        <f>IF($D851="","",ROUND($D851,2))</f>
        <v/>
      </c>
    </row>
    <row r="852">
      <c r="A852" s="6" t="n"/>
      <c r="B852" s="6" t="n"/>
      <c r="C852" s="7" t="n"/>
      <c r="D852" s="8" t="n"/>
      <c r="E852" s="6" t="n"/>
      <c r="F852" s="6" t="n"/>
      <c r="G852" s="6" t="n"/>
      <c r="H852" s="6" t="n"/>
      <c r="I852" s="12">
        <f>IF($B852="","",IF(COUNTIF(Ventes_Factures!$A$6:$A$3005,$B852)&gt;0,"OK","INCONNUE"))</f>
        <v/>
      </c>
      <c r="J852" s="9">
        <f>IF($D852="","",ROUND($D852,2))</f>
        <v/>
      </c>
    </row>
    <row r="853">
      <c r="A853" s="6" t="n"/>
      <c r="B853" s="6" t="n"/>
      <c r="C853" s="7" t="n"/>
      <c r="D853" s="8" t="n"/>
      <c r="E853" s="6" t="n"/>
      <c r="F853" s="6" t="n"/>
      <c r="G853" s="6" t="n"/>
      <c r="H853" s="6" t="n"/>
      <c r="I853" s="12">
        <f>IF($B853="","",IF(COUNTIF(Ventes_Factures!$A$6:$A$3005,$B853)&gt;0,"OK","INCONNUE"))</f>
        <v/>
      </c>
      <c r="J853" s="9">
        <f>IF($D853="","",ROUND($D853,2))</f>
        <v/>
      </c>
    </row>
    <row r="854">
      <c r="A854" s="6" t="n"/>
      <c r="B854" s="6" t="n"/>
      <c r="C854" s="7" t="n"/>
      <c r="D854" s="8" t="n"/>
      <c r="E854" s="6" t="n"/>
      <c r="F854" s="6" t="n"/>
      <c r="G854" s="6" t="n"/>
      <c r="H854" s="6" t="n"/>
      <c r="I854" s="12">
        <f>IF($B854="","",IF(COUNTIF(Ventes_Factures!$A$6:$A$3005,$B854)&gt;0,"OK","INCONNUE"))</f>
        <v/>
      </c>
      <c r="J854" s="9">
        <f>IF($D854="","",ROUND($D854,2))</f>
        <v/>
      </c>
    </row>
    <row r="855">
      <c r="A855" s="6" t="n"/>
      <c r="B855" s="6" t="n"/>
      <c r="C855" s="7" t="n"/>
      <c r="D855" s="8" t="n"/>
      <c r="E855" s="6" t="n"/>
      <c r="F855" s="6" t="n"/>
      <c r="G855" s="6" t="n"/>
      <c r="H855" s="6" t="n"/>
      <c r="I855" s="12">
        <f>IF($B855="","",IF(COUNTIF(Ventes_Factures!$A$6:$A$3005,$B855)&gt;0,"OK","INCONNUE"))</f>
        <v/>
      </c>
      <c r="J855" s="9">
        <f>IF($D855="","",ROUND($D855,2))</f>
        <v/>
      </c>
    </row>
    <row r="856">
      <c r="A856" s="6" t="n"/>
      <c r="B856" s="6" t="n"/>
      <c r="C856" s="7" t="n"/>
      <c r="D856" s="8" t="n"/>
      <c r="E856" s="6" t="n"/>
      <c r="F856" s="6" t="n"/>
      <c r="G856" s="6" t="n"/>
      <c r="H856" s="6" t="n"/>
      <c r="I856" s="12">
        <f>IF($B856="","",IF(COUNTIF(Ventes_Factures!$A$6:$A$3005,$B856)&gt;0,"OK","INCONNUE"))</f>
        <v/>
      </c>
      <c r="J856" s="9">
        <f>IF($D856="","",ROUND($D856,2))</f>
        <v/>
      </c>
    </row>
    <row r="857">
      <c r="A857" s="6" t="n"/>
      <c r="B857" s="6" t="n"/>
      <c r="C857" s="7" t="n"/>
      <c r="D857" s="8" t="n"/>
      <c r="E857" s="6" t="n"/>
      <c r="F857" s="6" t="n"/>
      <c r="G857" s="6" t="n"/>
      <c r="H857" s="6" t="n"/>
      <c r="I857" s="12">
        <f>IF($B857="","",IF(COUNTIF(Ventes_Factures!$A$6:$A$3005,$B857)&gt;0,"OK","INCONNUE"))</f>
        <v/>
      </c>
      <c r="J857" s="9">
        <f>IF($D857="","",ROUND($D857,2))</f>
        <v/>
      </c>
    </row>
    <row r="858">
      <c r="A858" s="6" t="n"/>
      <c r="B858" s="6" t="n"/>
      <c r="C858" s="7" t="n"/>
      <c r="D858" s="8" t="n"/>
      <c r="E858" s="6" t="n"/>
      <c r="F858" s="6" t="n"/>
      <c r="G858" s="6" t="n"/>
      <c r="H858" s="6" t="n"/>
      <c r="I858" s="12">
        <f>IF($B858="","",IF(COUNTIF(Ventes_Factures!$A$6:$A$3005,$B858)&gt;0,"OK","INCONNUE"))</f>
        <v/>
      </c>
      <c r="J858" s="9">
        <f>IF($D858="","",ROUND($D858,2))</f>
        <v/>
      </c>
    </row>
    <row r="859">
      <c r="A859" s="6" t="n"/>
      <c r="B859" s="6" t="n"/>
      <c r="C859" s="7" t="n"/>
      <c r="D859" s="8" t="n"/>
      <c r="E859" s="6" t="n"/>
      <c r="F859" s="6" t="n"/>
      <c r="G859" s="6" t="n"/>
      <c r="H859" s="6" t="n"/>
      <c r="I859" s="12">
        <f>IF($B859="","",IF(COUNTIF(Ventes_Factures!$A$6:$A$3005,$B859)&gt;0,"OK","INCONNUE"))</f>
        <v/>
      </c>
      <c r="J859" s="9">
        <f>IF($D859="","",ROUND($D859,2))</f>
        <v/>
      </c>
    </row>
    <row r="860">
      <c r="A860" s="6" t="n"/>
      <c r="B860" s="6" t="n"/>
      <c r="C860" s="7" t="n"/>
      <c r="D860" s="8" t="n"/>
      <c r="E860" s="6" t="n"/>
      <c r="F860" s="6" t="n"/>
      <c r="G860" s="6" t="n"/>
      <c r="H860" s="6" t="n"/>
      <c r="I860" s="12">
        <f>IF($B860="","",IF(COUNTIF(Ventes_Factures!$A$6:$A$3005,$B860)&gt;0,"OK","INCONNUE"))</f>
        <v/>
      </c>
      <c r="J860" s="9">
        <f>IF($D860="","",ROUND($D860,2))</f>
        <v/>
      </c>
    </row>
    <row r="861">
      <c r="A861" s="6" t="n"/>
      <c r="B861" s="6" t="n"/>
      <c r="C861" s="7" t="n"/>
      <c r="D861" s="8" t="n"/>
      <c r="E861" s="6" t="n"/>
      <c r="F861" s="6" t="n"/>
      <c r="G861" s="6" t="n"/>
      <c r="H861" s="6" t="n"/>
      <c r="I861" s="12">
        <f>IF($B861="","",IF(COUNTIF(Ventes_Factures!$A$6:$A$3005,$B861)&gt;0,"OK","INCONNUE"))</f>
        <v/>
      </c>
      <c r="J861" s="9">
        <f>IF($D861="","",ROUND($D861,2))</f>
        <v/>
      </c>
    </row>
    <row r="862">
      <c r="A862" s="6" t="n"/>
      <c r="B862" s="6" t="n"/>
      <c r="C862" s="7" t="n"/>
      <c r="D862" s="8" t="n"/>
      <c r="E862" s="6" t="n"/>
      <c r="F862" s="6" t="n"/>
      <c r="G862" s="6" t="n"/>
      <c r="H862" s="6" t="n"/>
      <c r="I862" s="12">
        <f>IF($B862="","",IF(COUNTIF(Ventes_Factures!$A$6:$A$3005,$B862)&gt;0,"OK","INCONNUE"))</f>
        <v/>
      </c>
      <c r="J862" s="9">
        <f>IF($D862="","",ROUND($D862,2))</f>
        <v/>
      </c>
    </row>
    <row r="863">
      <c r="A863" s="6" t="n"/>
      <c r="B863" s="6" t="n"/>
      <c r="C863" s="7" t="n"/>
      <c r="D863" s="8" t="n"/>
      <c r="E863" s="6" t="n"/>
      <c r="F863" s="6" t="n"/>
      <c r="G863" s="6" t="n"/>
      <c r="H863" s="6" t="n"/>
      <c r="I863" s="12">
        <f>IF($B863="","",IF(COUNTIF(Ventes_Factures!$A$6:$A$3005,$B863)&gt;0,"OK","INCONNUE"))</f>
        <v/>
      </c>
      <c r="J863" s="9">
        <f>IF($D863="","",ROUND($D863,2))</f>
        <v/>
      </c>
    </row>
    <row r="864">
      <c r="A864" s="6" t="n"/>
      <c r="B864" s="6" t="n"/>
      <c r="C864" s="7" t="n"/>
      <c r="D864" s="8" t="n"/>
      <c r="E864" s="6" t="n"/>
      <c r="F864" s="6" t="n"/>
      <c r="G864" s="6" t="n"/>
      <c r="H864" s="6" t="n"/>
      <c r="I864" s="12">
        <f>IF($B864="","",IF(COUNTIF(Ventes_Factures!$A$6:$A$3005,$B864)&gt;0,"OK","INCONNUE"))</f>
        <v/>
      </c>
      <c r="J864" s="9">
        <f>IF($D864="","",ROUND($D864,2))</f>
        <v/>
      </c>
    </row>
    <row r="865">
      <c r="A865" s="6" t="n"/>
      <c r="B865" s="6" t="n"/>
      <c r="C865" s="7" t="n"/>
      <c r="D865" s="8" t="n"/>
      <c r="E865" s="6" t="n"/>
      <c r="F865" s="6" t="n"/>
      <c r="G865" s="6" t="n"/>
      <c r="H865" s="6" t="n"/>
      <c r="I865" s="12">
        <f>IF($B865="","",IF(COUNTIF(Ventes_Factures!$A$6:$A$3005,$B865)&gt;0,"OK","INCONNUE"))</f>
        <v/>
      </c>
      <c r="J865" s="9">
        <f>IF($D865="","",ROUND($D865,2))</f>
        <v/>
      </c>
    </row>
    <row r="866">
      <c r="A866" s="6" t="n"/>
      <c r="B866" s="6" t="n"/>
      <c r="C866" s="7" t="n"/>
      <c r="D866" s="8" t="n"/>
      <c r="E866" s="6" t="n"/>
      <c r="F866" s="6" t="n"/>
      <c r="G866" s="6" t="n"/>
      <c r="H866" s="6" t="n"/>
      <c r="I866" s="12">
        <f>IF($B866="","",IF(COUNTIF(Ventes_Factures!$A$6:$A$3005,$B866)&gt;0,"OK","INCONNUE"))</f>
        <v/>
      </c>
      <c r="J866" s="9">
        <f>IF($D866="","",ROUND($D866,2))</f>
        <v/>
      </c>
    </row>
    <row r="867">
      <c r="A867" s="6" t="n"/>
      <c r="B867" s="6" t="n"/>
      <c r="C867" s="7" t="n"/>
      <c r="D867" s="8" t="n"/>
      <c r="E867" s="6" t="n"/>
      <c r="F867" s="6" t="n"/>
      <c r="G867" s="6" t="n"/>
      <c r="H867" s="6" t="n"/>
      <c r="I867" s="12">
        <f>IF($B867="","",IF(COUNTIF(Ventes_Factures!$A$6:$A$3005,$B867)&gt;0,"OK","INCONNUE"))</f>
        <v/>
      </c>
      <c r="J867" s="9">
        <f>IF($D867="","",ROUND($D867,2))</f>
        <v/>
      </c>
    </row>
    <row r="868">
      <c r="A868" s="6" t="n"/>
      <c r="B868" s="6" t="n"/>
      <c r="C868" s="7" t="n"/>
      <c r="D868" s="8" t="n"/>
      <c r="E868" s="6" t="n"/>
      <c r="F868" s="6" t="n"/>
      <c r="G868" s="6" t="n"/>
      <c r="H868" s="6" t="n"/>
      <c r="I868" s="12">
        <f>IF($B868="","",IF(COUNTIF(Ventes_Factures!$A$6:$A$3005,$B868)&gt;0,"OK","INCONNUE"))</f>
        <v/>
      </c>
      <c r="J868" s="9">
        <f>IF($D868="","",ROUND($D868,2))</f>
        <v/>
      </c>
    </row>
    <row r="869">
      <c r="A869" s="6" t="n"/>
      <c r="B869" s="6" t="n"/>
      <c r="C869" s="7" t="n"/>
      <c r="D869" s="8" t="n"/>
      <c r="E869" s="6" t="n"/>
      <c r="F869" s="6" t="n"/>
      <c r="G869" s="6" t="n"/>
      <c r="H869" s="6" t="n"/>
      <c r="I869" s="12">
        <f>IF($B869="","",IF(COUNTIF(Ventes_Factures!$A$6:$A$3005,$B869)&gt;0,"OK","INCONNUE"))</f>
        <v/>
      </c>
      <c r="J869" s="9">
        <f>IF($D869="","",ROUND($D869,2))</f>
        <v/>
      </c>
    </row>
    <row r="870">
      <c r="A870" s="6" t="n"/>
      <c r="B870" s="6" t="n"/>
      <c r="C870" s="7" t="n"/>
      <c r="D870" s="8" t="n"/>
      <c r="E870" s="6" t="n"/>
      <c r="F870" s="6" t="n"/>
      <c r="G870" s="6" t="n"/>
      <c r="H870" s="6" t="n"/>
      <c r="I870" s="12">
        <f>IF($B870="","",IF(COUNTIF(Ventes_Factures!$A$6:$A$3005,$B870)&gt;0,"OK","INCONNUE"))</f>
        <v/>
      </c>
      <c r="J870" s="9">
        <f>IF($D870="","",ROUND($D870,2))</f>
        <v/>
      </c>
    </row>
    <row r="871">
      <c r="A871" s="6" t="n"/>
      <c r="B871" s="6" t="n"/>
      <c r="C871" s="7" t="n"/>
      <c r="D871" s="8" t="n"/>
      <c r="E871" s="6" t="n"/>
      <c r="F871" s="6" t="n"/>
      <c r="G871" s="6" t="n"/>
      <c r="H871" s="6" t="n"/>
      <c r="I871" s="12">
        <f>IF($B871="","",IF(COUNTIF(Ventes_Factures!$A$6:$A$3005,$B871)&gt;0,"OK","INCONNUE"))</f>
        <v/>
      </c>
      <c r="J871" s="9">
        <f>IF($D871="","",ROUND($D871,2))</f>
        <v/>
      </c>
    </row>
    <row r="872">
      <c r="A872" s="6" t="n"/>
      <c r="B872" s="6" t="n"/>
      <c r="C872" s="7" t="n"/>
      <c r="D872" s="8" t="n"/>
      <c r="E872" s="6" t="n"/>
      <c r="F872" s="6" t="n"/>
      <c r="G872" s="6" t="n"/>
      <c r="H872" s="6" t="n"/>
      <c r="I872" s="12">
        <f>IF($B872="","",IF(COUNTIF(Ventes_Factures!$A$6:$A$3005,$B872)&gt;0,"OK","INCONNUE"))</f>
        <v/>
      </c>
      <c r="J872" s="9">
        <f>IF($D872="","",ROUND($D872,2))</f>
        <v/>
      </c>
    </row>
    <row r="873">
      <c r="A873" s="6" t="n"/>
      <c r="B873" s="6" t="n"/>
      <c r="C873" s="7" t="n"/>
      <c r="D873" s="8" t="n"/>
      <c r="E873" s="6" t="n"/>
      <c r="F873" s="6" t="n"/>
      <c r="G873" s="6" t="n"/>
      <c r="H873" s="6" t="n"/>
      <c r="I873" s="12">
        <f>IF($B873="","",IF(COUNTIF(Ventes_Factures!$A$6:$A$3005,$B873)&gt;0,"OK","INCONNUE"))</f>
        <v/>
      </c>
      <c r="J873" s="9">
        <f>IF($D873="","",ROUND($D873,2))</f>
        <v/>
      </c>
    </row>
    <row r="874">
      <c r="A874" s="6" t="n"/>
      <c r="B874" s="6" t="n"/>
      <c r="C874" s="7" t="n"/>
      <c r="D874" s="8" t="n"/>
      <c r="E874" s="6" t="n"/>
      <c r="F874" s="6" t="n"/>
      <c r="G874" s="6" t="n"/>
      <c r="H874" s="6" t="n"/>
      <c r="I874" s="12">
        <f>IF($B874="","",IF(COUNTIF(Ventes_Factures!$A$6:$A$3005,$B874)&gt;0,"OK","INCONNUE"))</f>
        <v/>
      </c>
      <c r="J874" s="9">
        <f>IF($D874="","",ROUND($D874,2))</f>
        <v/>
      </c>
    </row>
    <row r="875">
      <c r="A875" s="6" t="n"/>
      <c r="B875" s="6" t="n"/>
      <c r="C875" s="7" t="n"/>
      <c r="D875" s="8" t="n"/>
      <c r="E875" s="6" t="n"/>
      <c r="F875" s="6" t="n"/>
      <c r="G875" s="6" t="n"/>
      <c r="H875" s="6" t="n"/>
      <c r="I875" s="12">
        <f>IF($B875="","",IF(COUNTIF(Ventes_Factures!$A$6:$A$3005,$B875)&gt;0,"OK","INCONNUE"))</f>
        <v/>
      </c>
      <c r="J875" s="9">
        <f>IF($D875="","",ROUND($D875,2))</f>
        <v/>
      </c>
    </row>
    <row r="876">
      <c r="A876" s="6" t="n"/>
      <c r="B876" s="6" t="n"/>
      <c r="C876" s="7" t="n"/>
      <c r="D876" s="8" t="n"/>
      <c r="E876" s="6" t="n"/>
      <c r="F876" s="6" t="n"/>
      <c r="G876" s="6" t="n"/>
      <c r="H876" s="6" t="n"/>
      <c r="I876" s="12">
        <f>IF($B876="","",IF(COUNTIF(Ventes_Factures!$A$6:$A$3005,$B876)&gt;0,"OK","INCONNUE"))</f>
        <v/>
      </c>
      <c r="J876" s="9">
        <f>IF($D876="","",ROUND($D876,2))</f>
        <v/>
      </c>
    </row>
    <row r="877">
      <c r="A877" s="6" t="n"/>
      <c r="B877" s="6" t="n"/>
      <c r="C877" s="7" t="n"/>
      <c r="D877" s="8" t="n"/>
      <c r="E877" s="6" t="n"/>
      <c r="F877" s="6" t="n"/>
      <c r="G877" s="6" t="n"/>
      <c r="H877" s="6" t="n"/>
      <c r="I877" s="12">
        <f>IF($B877="","",IF(COUNTIF(Ventes_Factures!$A$6:$A$3005,$B877)&gt;0,"OK","INCONNUE"))</f>
        <v/>
      </c>
      <c r="J877" s="9">
        <f>IF($D877="","",ROUND($D877,2))</f>
        <v/>
      </c>
    </row>
    <row r="878">
      <c r="A878" s="6" t="n"/>
      <c r="B878" s="6" t="n"/>
      <c r="C878" s="7" t="n"/>
      <c r="D878" s="8" t="n"/>
      <c r="E878" s="6" t="n"/>
      <c r="F878" s="6" t="n"/>
      <c r="G878" s="6" t="n"/>
      <c r="H878" s="6" t="n"/>
      <c r="I878" s="12">
        <f>IF($B878="","",IF(COUNTIF(Ventes_Factures!$A$6:$A$3005,$B878)&gt;0,"OK","INCONNUE"))</f>
        <v/>
      </c>
      <c r="J878" s="9">
        <f>IF($D878="","",ROUND($D878,2))</f>
        <v/>
      </c>
    </row>
    <row r="879">
      <c r="A879" s="6" t="n"/>
      <c r="B879" s="6" t="n"/>
      <c r="C879" s="7" t="n"/>
      <c r="D879" s="8" t="n"/>
      <c r="E879" s="6" t="n"/>
      <c r="F879" s="6" t="n"/>
      <c r="G879" s="6" t="n"/>
      <c r="H879" s="6" t="n"/>
      <c r="I879" s="12">
        <f>IF($B879="","",IF(COUNTIF(Ventes_Factures!$A$6:$A$3005,$B879)&gt;0,"OK","INCONNUE"))</f>
        <v/>
      </c>
      <c r="J879" s="9">
        <f>IF($D879="","",ROUND($D879,2))</f>
        <v/>
      </c>
    </row>
    <row r="880">
      <c r="A880" s="6" t="n"/>
      <c r="B880" s="6" t="n"/>
      <c r="C880" s="7" t="n"/>
      <c r="D880" s="8" t="n"/>
      <c r="E880" s="6" t="n"/>
      <c r="F880" s="6" t="n"/>
      <c r="G880" s="6" t="n"/>
      <c r="H880" s="6" t="n"/>
      <c r="I880" s="12">
        <f>IF($B880="","",IF(COUNTIF(Ventes_Factures!$A$6:$A$3005,$B880)&gt;0,"OK","INCONNUE"))</f>
        <v/>
      </c>
      <c r="J880" s="9">
        <f>IF($D880="","",ROUND($D880,2))</f>
        <v/>
      </c>
    </row>
    <row r="881">
      <c r="A881" s="6" t="n"/>
      <c r="B881" s="6" t="n"/>
      <c r="C881" s="7" t="n"/>
      <c r="D881" s="8" t="n"/>
      <c r="E881" s="6" t="n"/>
      <c r="F881" s="6" t="n"/>
      <c r="G881" s="6" t="n"/>
      <c r="H881" s="6" t="n"/>
      <c r="I881" s="12">
        <f>IF($B881="","",IF(COUNTIF(Ventes_Factures!$A$6:$A$3005,$B881)&gt;0,"OK","INCONNUE"))</f>
        <v/>
      </c>
      <c r="J881" s="9">
        <f>IF($D881="","",ROUND($D881,2))</f>
        <v/>
      </c>
    </row>
    <row r="882">
      <c r="A882" s="6" t="n"/>
      <c r="B882" s="6" t="n"/>
      <c r="C882" s="7" t="n"/>
      <c r="D882" s="8" t="n"/>
      <c r="E882" s="6" t="n"/>
      <c r="F882" s="6" t="n"/>
      <c r="G882" s="6" t="n"/>
      <c r="H882" s="6" t="n"/>
      <c r="I882" s="12">
        <f>IF($B882="","",IF(COUNTIF(Ventes_Factures!$A$6:$A$3005,$B882)&gt;0,"OK","INCONNUE"))</f>
        <v/>
      </c>
      <c r="J882" s="9">
        <f>IF($D882="","",ROUND($D882,2))</f>
        <v/>
      </c>
    </row>
    <row r="883">
      <c r="A883" s="6" t="n"/>
      <c r="B883" s="6" t="n"/>
      <c r="C883" s="7" t="n"/>
      <c r="D883" s="8" t="n"/>
      <c r="E883" s="6" t="n"/>
      <c r="F883" s="6" t="n"/>
      <c r="G883" s="6" t="n"/>
      <c r="H883" s="6" t="n"/>
      <c r="I883" s="12">
        <f>IF($B883="","",IF(COUNTIF(Ventes_Factures!$A$6:$A$3005,$B883)&gt;0,"OK","INCONNUE"))</f>
        <v/>
      </c>
      <c r="J883" s="9">
        <f>IF($D883="","",ROUND($D883,2))</f>
        <v/>
      </c>
    </row>
    <row r="884">
      <c r="A884" s="6" t="n"/>
      <c r="B884" s="6" t="n"/>
      <c r="C884" s="7" t="n"/>
      <c r="D884" s="8" t="n"/>
      <c r="E884" s="6" t="n"/>
      <c r="F884" s="6" t="n"/>
      <c r="G884" s="6" t="n"/>
      <c r="H884" s="6" t="n"/>
      <c r="I884" s="12">
        <f>IF($B884="","",IF(COUNTIF(Ventes_Factures!$A$6:$A$3005,$B884)&gt;0,"OK","INCONNUE"))</f>
        <v/>
      </c>
      <c r="J884" s="9">
        <f>IF($D884="","",ROUND($D884,2))</f>
        <v/>
      </c>
    </row>
    <row r="885">
      <c r="A885" s="6" t="n"/>
      <c r="B885" s="6" t="n"/>
      <c r="C885" s="7" t="n"/>
      <c r="D885" s="8" t="n"/>
      <c r="E885" s="6" t="n"/>
      <c r="F885" s="6" t="n"/>
      <c r="G885" s="6" t="n"/>
      <c r="H885" s="6" t="n"/>
      <c r="I885" s="12">
        <f>IF($B885="","",IF(COUNTIF(Ventes_Factures!$A$6:$A$3005,$B885)&gt;0,"OK","INCONNUE"))</f>
        <v/>
      </c>
      <c r="J885" s="9">
        <f>IF($D885="","",ROUND($D885,2))</f>
        <v/>
      </c>
    </row>
    <row r="886">
      <c r="A886" s="6" t="n"/>
      <c r="B886" s="6" t="n"/>
      <c r="C886" s="7" t="n"/>
      <c r="D886" s="8" t="n"/>
      <c r="E886" s="6" t="n"/>
      <c r="F886" s="6" t="n"/>
      <c r="G886" s="6" t="n"/>
      <c r="H886" s="6" t="n"/>
      <c r="I886" s="12">
        <f>IF($B886="","",IF(COUNTIF(Ventes_Factures!$A$6:$A$3005,$B886)&gt;0,"OK","INCONNUE"))</f>
        <v/>
      </c>
      <c r="J886" s="9">
        <f>IF($D886="","",ROUND($D886,2))</f>
        <v/>
      </c>
    </row>
    <row r="887">
      <c r="A887" s="6" t="n"/>
      <c r="B887" s="6" t="n"/>
      <c r="C887" s="7" t="n"/>
      <c r="D887" s="8" t="n"/>
      <c r="E887" s="6" t="n"/>
      <c r="F887" s="6" t="n"/>
      <c r="G887" s="6" t="n"/>
      <c r="H887" s="6" t="n"/>
      <c r="I887" s="12">
        <f>IF($B887="","",IF(COUNTIF(Ventes_Factures!$A$6:$A$3005,$B887)&gt;0,"OK","INCONNUE"))</f>
        <v/>
      </c>
      <c r="J887" s="9">
        <f>IF($D887="","",ROUND($D887,2))</f>
        <v/>
      </c>
    </row>
    <row r="888">
      <c r="A888" s="6" t="n"/>
      <c r="B888" s="6" t="n"/>
      <c r="C888" s="7" t="n"/>
      <c r="D888" s="8" t="n"/>
      <c r="E888" s="6" t="n"/>
      <c r="F888" s="6" t="n"/>
      <c r="G888" s="6" t="n"/>
      <c r="H888" s="6" t="n"/>
      <c r="I888" s="12">
        <f>IF($B888="","",IF(COUNTIF(Ventes_Factures!$A$6:$A$3005,$B888)&gt;0,"OK","INCONNUE"))</f>
        <v/>
      </c>
      <c r="J888" s="9">
        <f>IF($D888="","",ROUND($D888,2))</f>
        <v/>
      </c>
    </row>
    <row r="889">
      <c r="A889" s="6" t="n"/>
      <c r="B889" s="6" t="n"/>
      <c r="C889" s="7" t="n"/>
      <c r="D889" s="8" t="n"/>
      <c r="E889" s="6" t="n"/>
      <c r="F889" s="6" t="n"/>
      <c r="G889" s="6" t="n"/>
      <c r="H889" s="6" t="n"/>
      <c r="I889" s="12">
        <f>IF($B889="","",IF(COUNTIF(Ventes_Factures!$A$6:$A$3005,$B889)&gt;0,"OK","INCONNUE"))</f>
        <v/>
      </c>
      <c r="J889" s="9">
        <f>IF($D889="","",ROUND($D889,2))</f>
        <v/>
      </c>
    </row>
    <row r="890">
      <c r="A890" s="6" t="n"/>
      <c r="B890" s="6" t="n"/>
      <c r="C890" s="7" t="n"/>
      <c r="D890" s="8" t="n"/>
      <c r="E890" s="6" t="n"/>
      <c r="F890" s="6" t="n"/>
      <c r="G890" s="6" t="n"/>
      <c r="H890" s="6" t="n"/>
      <c r="I890" s="12">
        <f>IF($B890="","",IF(COUNTIF(Ventes_Factures!$A$6:$A$3005,$B890)&gt;0,"OK","INCONNUE"))</f>
        <v/>
      </c>
      <c r="J890" s="9">
        <f>IF($D890="","",ROUND($D890,2))</f>
        <v/>
      </c>
    </row>
    <row r="891">
      <c r="A891" s="6" t="n"/>
      <c r="B891" s="6" t="n"/>
      <c r="C891" s="7" t="n"/>
      <c r="D891" s="8" t="n"/>
      <c r="E891" s="6" t="n"/>
      <c r="F891" s="6" t="n"/>
      <c r="G891" s="6" t="n"/>
      <c r="H891" s="6" t="n"/>
      <c r="I891" s="12">
        <f>IF($B891="","",IF(COUNTIF(Ventes_Factures!$A$6:$A$3005,$B891)&gt;0,"OK","INCONNUE"))</f>
        <v/>
      </c>
      <c r="J891" s="9">
        <f>IF($D891="","",ROUND($D891,2))</f>
        <v/>
      </c>
    </row>
    <row r="892">
      <c r="A892" s="6" t="n"/>
      <c r="B892" s="6" t="n"/>
      <c r="C892" s="7" t="n"/>
      <c r="D892" s="8" t="n"/>
      <c r="E892" s="6" t="n"/>
      <c r="F892" s="6" t="n"/>
      <c r="G892" s="6" t="n"/>
      <c r="H892" s="6" t="n"/>
      <c r="I892" s="12">
        <f>IF($B892="","",IF(COUNTIF(Ventes_Factures!$A$6:$A$3005,$B892)&gt;0,"OK","INCONNUE"))</f>
        <v/>
      </c>
      <c r="J892" s="9">
        <f>IF($D892="","",ROUND($D892,2))</f>
        <v/>
      </c>
    </row>
    <row r="893">
      <c r="A893" s="6" t="n"/>
      <c r="B893" s="6" t="n"/>
      <c r="C893" s="7" t="n"/>
      <c r="D893" s="8" t="n"/>
      <c r="E893" s="6" t="n"/>
      <c r="F893" s="6" t="n"/>
      <c r="G893" s="6" t="n"/>
      <c r="H893" s="6" t="n"/>
      <c r="I893" s="12">
        <f>IF($B893="","",IF(COUNTIF(Ventes_Factures!$A$6:$A$3005,$B893)&gt;0,"OK","INCONNUE"))</f>
        <v/>
      </c>
      <c r="J893" s="9">
        <f>IF($D893="","",ROUND($D893,2))</f>
        <v/>
      </c>
    </row>
    <row r="894">
      <c r="A894" s="6" t="n"/>
      <c r="B894" s="6" t="n"/>
      <c r="C894" s="7" t="n"/>
      <c r="D894" s="8" t="n"/>
      <c r="E894" s="6" t="n"/>
      <c r="F894" s="6" t="n"/>
      <c r="G894" s="6" t="n"/>
      <c r="H894" s="6" t="n"/>
      <c r="I894" s="12">
        <f>IF($B894="","",IF(COUNTIF(Ventes_Factures!$A$6:$A$3005,$B894)&gt;0,"OK","INCONNUE"))</f>
        <v/>
      </c>
      <c r="J894" s="9">
        <f>IF($D894="","",ROUND($D894,2))</f>
        <v/>
      </c>
    </row>
    <row r="895">
      <c r="A895" s="6" t="n"/>
      <c r="B895" s="6" t="n"/>
      <c r="C895" s="7" t="n"/>
      <c r="D895" s="8" t="n"/>
      <c r="E895" s="6" t="n"/>
      <c r="F895" s="6" t="n"/>
      <c r="G895" s="6" t="n"/>
      <c r="H895" s="6" t="n"/>
      <c r="I895" s="12">
        <f>IF($B895="","",IF(COUNTIF(Ventes_Factures!$A$6:$A$3005,$B895)&gt;0,"OK","INCONNUE"))</f>
        <v/>
      </c>
      <c r="J895" s="9">
        <f>IF($D895="","",ROUND($D895,2))</f>
        <v/>
      </c>
    </row>
    <row r="896">
      <c r="A896" s="6" t="n"/>
      <c r="B896" s="6" t="n"/>
      <c r="C896" s="7" t="n"/>
      <c r="D896" s="8" t="n"/>
      <c r="E896" s="6" t="n"/>
      <c r="F896" s="6" t="n"/>
      <c r="G896" s="6" t="n"/>
      <c r="H896" s="6" t="n"/>
      <c r="I896" s="12">
        <f>IF($B896="","",IF(COUNTIF(Ventes_Factures!$A$6:$A$3005,$B896)&gt;0,"OK","INCONNUE"))</f>
        <v/>
      </c>
      <c r="J896" s="9">
        <f>IF($D896="","",ROUND($D896,2))</f>
        <v/>
      </c>
    </row>
    <row r="897">
      <c r="A897" s="6" t="n"/>
      <c r="B897" s="6" t="n"/>
      <c r="C897" s="7" t="n"/>
      <c r="D897" s="8" t="n"/>
      <c r="E897" s="6" t="n"/>
      <c r="F897" s="6" t="n"/>
      <c r="G897" s="6" t="n"/>
      <c r="H897" s="6" t="n"/>
      <c r="I897" s="12">
        <f>IF($B897="","",IF(COUNTIF(Ventes_Factures!$A$6:$A$3005,$B897)&gt;0,"OK","INCONNUE"))</f>
        <v/>
      </c>
      <c r="J897" s="9">
        <f>IF($D897="","",ROUND($D897,2))</f>
        <v/>
      </c>
    </row>
    <row r="898">
      <c r="A898" s="6" t="n"/>
      <c r="B898" s="6" t="n"/>
      <c r="C898" s="7" t="n"/>
      <c r="D898" s="8" t="n"/>
      <c r="E898" s="6" t="n"/>
      <c r="F898" s="6" t="n"/>
      <c r="G898" s="6" t="n"/>
      <c r="H898" s="6" t="n"/>
      <c r="I898" s="12">
        <f>IF($B898="","",IF(COUNTIF(Ventes_Factures!$A$6:$A$3005,$B898)&gt;0,"OK","INCONNUE"))</f>
        <v/>
      </c>
      <c r="J898" s="9">
        <f>IF($D898="","",ROUND($D898,2))</f>
        <v/>
      </c>
    </row>
    <row r="899">
      <c r="A899" s="6" t="n"/>
      <c r="B899" s="6" t="n"/>
      <c r="C899" s="7" t="n"/>
      <c r="D899" s="8" t="n"/>
      <c r="E899" s="6" t="n"/>
      <c r="F899" s="6" t="n"/>
      <c r="G899" s="6" t="n"/>
      <c r="H899" s="6" t="n"/>
      <c r="I899" s="12">
        <f>IF($B899="","",IF(COUNTIF(Ventes_Factures!$A$6:$A$3005,$B899)&gt;0,"OK","INCONNUE"))</f>
        <v/>
      </c>
      <c r="J899" s="9">
        <f>IF($D899="","",ROUND($D899,2))</f>
        <v/>
      </c>
    </row>
    <row r="900">
      <c r="A900" s="6" t="n"/>
      <c r="B900" s="6" t="n"/>
      <c r="C900" s="7" t="n"/>
      <c r="D900" s="8" t="n"/>
      <c r="E900" s="6" t="n"/>
      <c r="F900" s="6" t="n"/>
      <c r="G900" s="6" t="n"/>
      <c r="H900" s="6" t="n"/>
      <c r="I900" s="12">
        <f>IF($B900="","",IF(COUNTIF(Ventes_Factures!$A$6:$A$3005,$B900)&gt;0,"OK","INCONNUE"))</f>
        <v/>
      </c>
      <c r="J900" s="9">
        <f>IF($D900="","",ROUND($D900,2))</f>
        <v/>
      </c>
    </row>
    <row r="901">
      <c r="A901" s="6" t="n"/>
      <c r="B901" s="6" t="n"/>
      <c r="C901" s="7" t="n"/>
      <c r="D901" s="8" t="n"/>
      <c r="E901" s="6" t="n"/>
      <c r="F901" s="6" t="n"/>
      <c r="G901" s="6" t="n"/>
      <c r="H901" s="6" t="n"/>
      <c r="I901" s="12">
        <f>IF($B901="","",IF(COUNTIF(Ventes_Factures!$A$6:$A$3005,$B901)&gt;0,"OK","INCONNUE"))</f>
        <v/>
      </c>
      <c r="J901" s="9">
        <f>IF($D901="","",ROUND($D901,2))</f>
        <v/>
      </c>
    </row>
    <row r="902">
      <c r="A902" s="6" t="n"/>
      <c r="B902" s="6" t="n"/>
      <c r="C902" s="7" t="n"/>
      <c r="D902" s="8" t="n"/>
      <c r="E902" s="6" t="n"/>
      <c r="F902" s="6" t="n"/>
      <c r="G902" s="6" t="n"/>
      <c r="H902" s="6" t="n"/>
      <c r="I902" s="12">
        <f>IF($B902="","",IF(COUNTIF(Ventes_Factures!$A$6:$A$3005,$B902)&gt;0,"OK","INCONNUE"))</f>
        <v/>
      </c>
      <c r="J902" s="9">
        <f>IF($D902="","",ROUND($D902,2))</f>
        <v/>
      </c>
    </row>
    <row r="903">
      <c r="A903" s="6" t="n"/>
      <c r="B903" s="6" t="n"/>
      <c r="C903" s="7" t="n"/>
      <c r="D903" s="8" t="n"/>
      <c r="E903" s="6" t="n"/>
      <c r="F903" s="6" t="n"/>
      <c r="G903" s="6" t="n"/>
      <c r="H903" s="6" t="n"/>
      <c r="I903" s="12">
        <f>IF($B903="","",IF(COUNTIF(Ventes_Factures!$A$6:$A$3005,$B903)&gt;0,"OK","INCONNUE"))</f>
        <v/>
      </c>
      <c r="J903" s="9">
        <f>IF($D903="","",ROUND($D903,2))</f>
        <v/>
      </c>
    </row>
    <row r="904">
      <c r="A904" s="6" t="n"/>
      <c r="B904" s="6" t="n"/>
      <c r="C904" s="7" t="n"/>
      <c r="D904" s="8" t="n"/>
      <c r="E904" s="6" t="n"/>
      <c r="F904" s="6" t="n"/>
      <c r="G904" s="6" t="n"/>
      <c r="H904" s="6" t="n"/>
      <c r="I904" s="12">
        <f>IF($B904="","",IF(COUNTIF(Ventes_Factures!$A$6:$A$3005,$B904)&gt;0,"OK","INCONNUE"))</f>
        <v/>
      </c>
      <c r="J904" s="9">
        <f>IF($D904="","",ROUND($D904,2))</f>
        <v/>
      </c>
    </row>
    <row r="905">
      <c r="A905" s="6" t="n"/>
      <c r="B905" s="6" t="n"/>
      <c r="C905" s="7" t="n"/>
      <c r="D905" s="8" t="n"/>
      <c r="E905" s="6" t="n"/>
      <c r="F905" s="6" t="n"/>
      <c r="G905" s="6" t="n"/>
      <c r="H905" s="6" t="n"/>
      <c r="I905" s="12">
        <f>IF($B905="","",IF(COUNTIF(Ventes_Factures!$A$6:$A$3005,$B905)&gt;0,"OK","INCONNUE"))</f>
        <v/>
      </c>
      <c r="J905" s="9">
        <f>IF($D905="","",ROUND($D905,2))</f>
        <v/>
      </c>
    </row>
    <row r="906">
      <c r="A906" s="6" t="n"/>
      <c r="B906" s="6" t="n"/>
      <c r="C906" s="7" t="n"/>
      <c r="D906" s="8" t="n"/>
      <c r="E906" s="6" t="n"/>
      <c r="F906" s="6" t="n"/>
      <c r="G906" s="6" t="n"/>
      <c r="H906" s="6" t="n"/>
      <c r="I906" s="12">
        <f>IF($B906="","",IF(COUNTIF(Ventes_Factures!$A$6:$A$3005,$B906)&gt;0,"OK","INCONNUE"))</f>
        <v/>
      </c>
      <c r="J906" s="9">
        <f>IF($D906="","",ROUND($D906,2))</f>
        <v/>
      </c>
    </row>
    <row r="907">
      <c r="A907" s="6" t="n"/>
      <c r="B907" s="6" t="n"/>
      <c r="C907" s="7" t="n"/>
      <c r="D907" s="8" t="n"/>
      <c r="E907" s="6" t="n"/>
      <c r="F907" s="6" t="n"/>
      <c r="G907" s="6" t="n"/>
      <c r="H907" s="6" t="n"/>
      <c r="I907" s="12">
        <f>IF($B907="","",IF(COUNTIF(Ventes_Factures!$A$6:$A$3005,$B907)&gt;0,"OK","INCONNUE"))</f>
        <v/>
      </c>
      <c r="J907" s="9">
        <f>IF($D907="","",ROUND($D907,2))</f>
        <v/>
      </c>
    </row>
    <row r="908">
      <c r="A908" s="6" t="n"/>
      <c r="B908" s="6" t="n"/>
      <c r="C908" s="7" t="n"/>
      <c r="D908" s="8" t="n"/>
      <c r="E908" s="6" t="n"/>
      <c r="F908" s="6" t="n"/>
      <c r="G908" s="6" t="n"/>
      <c r="H908" s="6" t="n"/>
      <c r="I908" s="12">
        <f>IF($B908="","",IF(COUNTIF(Ventes_Factures!$A$6:$A$3005,$B908)&gt;0,"OK","INCONNUE"))</f>
        <v/>
      </c>
      <c r="J908" s="9">
        <f>IF($D908="","",ROUND($D908,2))</f>
        <v/>
      </c>
    </row>
    <row r="909">
      <c r="A909" s="6" t="n"/>
      <c r="B909" s="6" t="n"/>
      <c r="C909" s="7" t="n"/>
      <c r="D909" s="8" t="n"/>
      <c r="E909" s="6" t="n"/>
      <c r="F909" s="6" t="n"/>
      <c r="G909" s="6" t="n"/>
      <c r="H909" s="6" t="n"/>
      <c r="I909" s="12">
        <f>IF($B909="","",IF(COUNTIF(Ventes_Factures!$A$6:$A$3005,$B909)&gt;0,"OK","INCONNUE"))</f>
        <v/>
      </c>
      <c r="J909" s="9">
        <f>IF($D909="","",ROUND($D909,2))</f>
        <v/>
      </c>
    </row>
    <row r="910">
      <c r="A910" s="6" t="n"/>
      <c r="B910" s="6" t="n"/>
      <c r="C910" s="7" t="n"/>
      <c r="D910" s="8" t="n"/>
      <c r="E910" s="6" t="n"/>
      <c r="F910" s="6" t="n"/>
      <c r="G910" s="6" t="n"/>
      <c r="H910" s="6" t="n"/>
      <c r="I910" s="12">
        <f>IF($B910="","",IF(COUNTIF(Ventes_Factures!$A$6:$A$3005,$B910)&gt;0,"OK","INCONNUE"))</f>
        <v/>
      </c>
      <c r="J910" s="9">
        <f>IF($D910="","",ROUND($D910,2))</f>
        <v/>
      </c>
    </row>
    <row r="911">
      <c r="A911" s="6" t="n"/>
      <c r="B911" s="6" t="n"/>
      <c r="C911" s="7" t="n"/>
      <c r="D911" s="8" t="n"/>
      <c r="E911" s="6" t="n"/>
      <c r="F911" s="6" t="n"/>
      <c r="G911" s="6" t="n"/>
      <c r="H911" s="6" t="n"/>
      <c r="I911" s="12">
        <f>IF($B911="","",IF(COUNTIF(Ventes_Factures!$A$6:$A$3005,$B911)&gt;0,"OK","INCONNUE"))</f>
        <v/>
      </c>
      <c r="J911" s="9">
        <f>IF($D911="","",ROUND($D911,2))</f>
        <v/>
      </c>
    </row>
    <row r="912">
      <c r="A912" s="6" t="n"/>
      <c r="B912" s="6" t="n"/>
      <c r="C912" s="7" t="n"/>
      <c r="D912" s="8" t="n"/>
      <c r="E912" s="6" t="n"/>
      <c r="F912" s="6" t="n"/>
      <c r="G912" s="6" t="n"/>
      <c r="H912" s="6" t="n"/>
      <c r="I912" s="12">
        <f>IF($B912="","",IF(COUNTIF(Ventes_Factures!$A$6:$A$3005,$B912)&gt;0,"OK","INCONNUE"))</f>
        <v/>
      </c>
      <c r="J912" s="9">
        <f>IF($D912="","",ROUND($D912,2))</f>
        <v/>
      </c>
    </row>
    <row r="913">
      <c r="A913" s="6" t="n"/>
      <c r="B913" s="6" t="n"/>
      <c r="C913" s="7" t="n"/>
      <c r="D913" s="8" t="n"/>
      <c r="E913" s="6" t="n"/>
      <c r="F913" s="6" t="n"/>
      <c r="G913" s="6" t="n"/>
      <c r="H913" s="6" t="n"/>
      <c r="I913" s="12">
        <f>IF($B913="","",IF(COUNTIF(Ventes_Factures!$A$6:$A$3005,$B913)&gt;0,"OK","INCONNUE"))</f>
        <v/>
      </c>
      <c r="J913" s="9">
        <f>IF($D913="","",ROUND($D913,2))</f>
        <v/>
      </c>
    </row>
    <row r="914">
      <c r="A914" s="6" t="n"/>
      <c r="B914" s="6" t="n"/>
      <c r="C914" s="7" t="n"/>
      <c r="D914" s="8" t="n"/>
      <c r="E914" s="6" t="n"/>
      <c r="F914" s="6" t="n"/>
      <c r="G914" s="6" t="n"/>
      <c r="H914" s="6" t="n"/>
      <c r="I914" s="12">
        <f>IF($B914="","",IF(COUNTIF(Ventes_Factures!$A$6:$A$3005,$B914)&gt;0,"OK","INCONNUE"))</f>
        <v/>
      </c>
      <c r="J914" s="9">
        <f>IF($D914="","",ROUND($D914,2))</f>
        <v/>
      </c>
    </row>
    <row r="915">
      <c r="A915" s="6" t="n"/>
      <c r="B915" s="6" t="n"/>
      <c r="C915" s="7" t="n"/>
      <c r="D915" s="8" t="n"/>
      <c r="E915" s="6" t="n"/>
      <c r="F915" s="6" t="n"/>
      <c r="G915" s="6" t="n"/>
      <c r="H915" s="6" t="n"/>
      <c r="I915" s="12">
        <f>IF($B915="","",IF(COUNTIF(Ventes_Factures!$A$6:$A$3005,$B915)&gt;0,"OK","INCONNUE"))</f>
        <v/>
      </c>
      <c r="J915" s="9">
        <f>IF($D915="","",ROUND($D915,2))</f>
        <v/>
      </c>
    </row>
    <row r="916">
      <c r="A916" s="6" t="n"/>
      <c r="B916" s="6" t="n"/>
      <c r="C916" s="7" t="n"/>
      <c r="D916" s="8" t="n"/>
      <c r="E916" s="6" t="n"/>
      <c r="F916" s="6" t="n"/>
      <c r="G916" s="6" t="n"/>
      <c r="H916" s="6" t="n"/>
      <c r="I916" s="12">
        <f>IF($B916="","",IF(COUNTIF(Ventes_Factures!$A$6:$A$3005,$B916)&gt;0,"OK","INCONNUE"))</f>
        <v/>
      </c>
      <c r="J916" s="9">
        <f>IF($D916="","",ROUND($D916,2))</f>
        <v/>
      </c>
    </row>
    <row r="917">
      <c r="A917" s="6" t="n"/>
      <c r="B917" s="6" t="n"/>
      <c r="C917" s="7" t="n"/>
      <c r="D917" s="8" t="n"/>
      <c r="E917" s="6" t="n"/>
      <c r="F917" s="6" t="n"/>
      <c r="G917" s="6" t="n"/>
      <c r="H917" s="6" t="n"/>
      <c r="I917" s="12">
        <f>IF($B917="","",IF(COUNTIF(Ventes_Factures!$A$6:$A$3005,$B917)&gt;0,"OK","INCONNUE"))</f>
        <v/>
      </c>
      <c r="J917" s="9">
        <f>IF($D917="","",ROUND($D917,2))</f>
        <v/>
      </c>
    </row>
    <row r="918">
      <c r="A918" s="6" t="n"/>
      <c r="B918" s="6" t="n"/>
      <c r="C918" s="7" t="n"/>
      <c r="D918" s="8" t="n"/>
      <c r="E918" s="6" t="n"/>
      <c r="F918" s="6" t="n"/>
      <c r="G918" s="6" t="n"/>
      <c r="H918" s="6" t="n"/>
      <c r="I918" s="12">
        <f>IF($B918="","",IF(COUNTIF(Ventes_Factures!$A$6:$A$3005,$B918)&gt;0,"OK","INCONNUE"))</f>
        <v/>
      </c>
      <c r="J918" s="9">
        <f>IF($D918="","",ROUND($D918,2))</f>
        <v/>
      </c>
    </row>
    <row r="919">
      <c r="A919" s="6" t="n"/>
      <c r="B919" s="6" t="n"/>
      <c r="C919" s="7" t="n"/>
      <c r="D919" s="8" t="n"/>
      <c r="E919" s="6" t="n"/>
      <c r="F919" s="6" t="n"/>
      <c r="G919" s="6" t="n"/>
      <c r="H919" s="6" t="n"/>
      <c r="I919" s="12">
        <f>IF($B919="","",IF(COUNTIF(Ventes_Factures!$A$6:$A$3005,$B919)&gt;0,"OK","INCONNUE"))</f>
        <v/>
      </c>
      <c r="J919" s="9">
        <f>IF($D919="","",ROUND($D919,2))</f>
        <v/>
      </c>
    </row>
    <row r="920">
      <c r="A920" s="6" t="n"/>
      <c r="B920" s="6" t="n"/>
      <c r="C920" s="7" t="n"/>
      <c r="D920" s="8" t="n"/>
      <c r="E920" s="6" t="n"/>
      <c r="F920" s="6" t="n"/>
      <c r="G920" s="6" t="n"/>
      <c r="H920" s="6" t="n"/>
      <c r="I920" s="12">
        <f>IF($B920="","",IF(COUNTIF(Ventes_Factures!$A$6:$A$3005,$B920)&gt;0,"OK","INCONNUE"))</f>
        <v/>
      </c>
      <c r="J920" s="9">
        <f>IF($D920="","",ROUND($D920,2))</f>
        <v/>
      </c>
    </row>
    <row r="921">
      <c r="A921" s="6" t="n"/>
      <c r="B921" s="6" t="n"/>
      <c r="C921" s="7" t="n"/>
      <c r="D921" s="8" t="n"/>
      <c r="E921" s="6" t="n"/>
      <c r="F921" s="6" t="n"/>
      <c r="G921" s="6" t="n"/>
      <c r="H921" s="6" t="n"/>
      <c r="I921" s="12">
        <f>IF($B921="","",IF(COUNTIF(Ventes_Factures!$A$6:$A$3005,$B921)&gt;0,"OK","INCONNUE"))</f>
        <v/>
      </c>
      <c r="J921" s="9">
        <f>IF($D921="","",ROUND($D921,2))</f>
        <v/>
      </c>
    </row>
    <row r="922">
      <c r="A922" s="6" t="n"/>
      <c r="B922" s="6" t="n"/>
      <c r="C922" s="7" t="n"/>
      <c r="D922" s="8" t="n"/>
      <c r="E922" s="6" t="n"/>
      <c r="F922" s="6" t="n"/>
      <c r="G922" s="6" t="n"/>
      <c r="H922" s="6" t="n"/>
      <c r="I922" s="12">
        <f>IF($B922="","",IF(COUNTIF(Ventes_Factures!$A$6:$A$3005,$B922)&gt;0,"OK","INCONNUE"))</f>
        <v/>
      </c>
      <c r="J922" s="9">
        <f>IF($D922="","",ROUND($D922,2))</f>
        <v/>
      </c>
    </row>
    <row r="923">
      <c r="A923" s="6" t="n"/>
      <c r="B923" s="6" t="n"/>
      <c r="C923" s="7" t="n"/>
      <c r="D923" s="8" t="n"/>
      <c r="E923" s="6" t="n"/>
      <c r="F923" s="6" t="n"/>
      <c r="G923" s="6" t="n"/>
      <c r="H923" s="6" t="n"/>
      <c r="I923" s="12">
        <f>IF($B923="","",IF(COUNTIF(Ventes_Factures!$A$6:$A$3005,$B923)&gt;0,"OK","INCONNUE"))</f>
        <v/>
      </c>
      <c r="J923" s="9">
        <f>IF($D923="","",ROUND($D923,2))</f>
        <v/>
      </c>
    </row>
    <row r="924">
      <c r="A924" s="6" t="n"/>
      <c r="B924" s="6" t="n"/>
      <c r="C924" s="7" t="n"/>
      <c r="D924" s="8" t="n"/>
      <c r="E924" s="6" t="n"/>
      <c r="F924" s="6" t="n"/>
      <c r="G924" s="6" t="n"/>
      <c r="H924" s="6" t="n"/>
      <c r="I924" s="12">
        <f>IF($B924="","",IF(COUNTIF(Ventes_Factures!$A$6:$A$3005,$B924)&gt;0,"OK","INCONNUE"))</f>
        <v/>
      </c>
      <c r="J924" s="9">
        <f>IF($D924="","",ROUND($D924,2))</f>
        <v/>
      </c>
    </row>
    <row r="925">
      <c r="A925" s="6" t="n"/>
      <c r="B925" s="6" t="n"/>
      <c r="C925" s="7" t="n"/>
      <c r="D925" s="8" t="n"/>
      <c r="E925" s="6" t="n"/>
      <c r="F925" s="6" t="n"/>
      <c r="G925" s="6" t="n"/>
      <c r="H925" s="6" t="n"/>
      <c r="I925" s="12">
        <f>IF($B925="","",IF(COUNTIF(Ventes_Factures!$A$6:$A$3005,$B925)&gt;0,"OK","INCONNUE"))</f>
        <v/>
      </c>
      <c r="J925" s="9">
        <f>IF($D925="","",ROUND($D925,2))</f>
        <v/>
      </c>
    </row>
    <row r="926">
      <c r="A926" s="6" t="n"/>
      <c r="B926" s="6" t="n"/>
      <c r="C926" s="7" t="n"/>
      <c r="D926" s="8" t="n"/>
      <c r="E926" s="6" t="n"/>
      <c r="F926" s="6" t="n"/>
      <c r="G926" s="6" t="n"/>
      <c r="H926" s="6" t="n"/>
      <c r="I926" s="12">
        <f>IF($B926="","",IF(COUNTIF(Ventes_Factures!$A$6:$A$3005,$B926)&gt;0,"OK","INCONNUE"))</f>
        <v/>
      </c>
      <c r="J926" s="9">
        <f>IF($D926="","",ROUND($D926,2))</f>
        <v/>
      </c>
    </row>
    <row r="927">
      <c r="A927" s="6" t="n"/>
      <c r="B927" s="6" t="n"/>
      <c r="C927" s="7" t="n"/>
      <c r="D927" s="8" t="n"/>
      <c r="E927" s="6" t="n"/>
      <c r="F927" s="6" t="n"/>
      <c r="G927" s="6" t="n"/>
      <c r="H927" s="6" t="n"/>
      <c r="I927" s="12">
        <f>IF($B927="","",IF(COUNTIF(Ventes_Factures!$A$6:$A$3005,$B927)&gt;0,"OK","INCONNUE"))</f>
        <v/>
      </c>
      <c r="J927" s="9">
        <f>IF($D927="","",ROUND($D927,2))</f>
        <v/>
      </c>
    </row>
    <row r="928">
      <c r="A928" s="6" t="n"/>
      <c r="B928" s="6" t="n"/>
      <c r="C928" s="7" t="n"/>
      <c r="D928" s="8" t="n"/>
      <c r="E928" s="6" t="n"/>
      <c r="F928" s="6" t="n"/>
      <c r="G928" s="6" t="n"/>
      <c r="H928" s="6" t="n"/>
      <c r="I928" s="12">
        <f>IF($B928="","",IF(COUNTIF(Ventes_Factures!$A$6:$A$3005,$B928)&gt;0,"OK","INCONNUE"))</f>
        <v/>
      </c>
      <c r="J928" s="9">
        <f>IF($D928="","",ROUND($D928,2))</f>
        <v/>
      </c>
    </row>
    <row r="929">
      <c r="A929" s="6" t="n"/>
      <c r="B929" s="6" t="n"/>
      <c r="C929" s="7" t="n"/>
      <c r="D929" s="8" t="n"/>
      <c r="E929" s="6" t="n"/>
      <c r="F929" s="6" t="n"/>
      <c r="G929" s="6" t="n"/>
      <c r="H929" s="6" t="n"/>
      <c r="I929" s="12">
        <f>IF($B929="","",IF(COUNTIF(Ventes_Factures!$A$6:$A$3005,$B929)&gt;0,"OK","INCONNUE"))</f>
        <v/>
      </c>
      <c r="J929" s="9">
        <f>IF($D929="","",ROUND($D929,2))</f>
        <v/>
      </c>
    </row>
    <row r="930">
      <c r="A930" s="6" t="n"/>
      <c r="B930" s="6" t="n"/>
      <c r="C930" s="7" t="n"/>
      <c r="D930" s="8" t="n"/>
      <c r="E930" s="6" t="n"/>
      <c r="F930" s="6" t="n"/>
      <c r="G930" s="6" t="n"/>
      <c r="H930" s="6" t="n"/>
      <c r="I930" s="12">
        <f>IF($B930="","",IF(COUNTIF(Ventes_Factures!$A$6:$A$3005,$B930)&gt;0,"OK","INCONNUE"))</f>
        <v/>
      </c>
      <c r="J930" s="9">
        <f>IF($D930="","",ROUND($D930,2))</f>
        <v/>
      </c>
    </row>
    <row r="931">
      <c r="A931" s="6" t="n"/>
      <c r="B931" s="6" t="n"/>
      <c r="C931" s="7" t="n"/>
      <c r="D931" s="8" t="n"/>
      <c r="E931" s="6" t="n"/>
      <c r="F931" s="6" t="n"/>
      <c r="G931" s="6" t="n"/>
      <c r="H931" s="6" t="n"/>
      <c r="I931" s="12">
        <f>IF($B931="","",IF(COUNTIF(Ventes_Factures!$A$6:$A$3005,$B931)&gt;0,"OK","INCONNUE"))</f>
        <v/>
      </c>
      <c r="J931" s="9">
        <f>IF($D931="","",ROUND($D931,2))</f>
        <v/>
      </c>
    </row>
    <row r="932">
      <c r="A932" s="6" t="n"/>
      <c r="B932" s="6" t="n"/>
      <c r="C932" s="7" t="n"/>
      <c r="D932" s="8" t="n"/>
      <c r="E932" s="6" t="n"/>
      <c r="F932" s="6" t="n"/>
      <c r="G932" s="6" t="n"/>
      <c r="H932" s="6" t="n"/>
      <c r="I932" s="12">
        <f>IF($B932="","",IF(COUNTIF(Ventes_Factures!$A$6:$A$3005,$B932)&gt;0,"OK","INCONNUE"))</f>
        <v/>
      </c>
      <c r="J932" s="9">
        <f>IF($D932="","",ROUND($D932,2))</f>
        <v/>
      </c>
    </row>
    <row r="933">
      <c r="A933" s="6" t="n"/>
      <c r="B933" s="6" t="n"/>
      <c r="C933" s="7" t="n"/>
      <c r="D933" s="8" t="n"/>
      <c r="E933" s="6" t="n"/>
      <c r="F933" s="6" t="n"/>
      <c r="G933" s="6" t="n"/>
      <c r="H933" s="6" t="n"/>
      <c r="I933" s="12">
        <f>IF($B933="","",IF(COUNTIF(Ventes_Factures!$A$6:$A$3005,$B933)&gt;0,"OK","INCONNUE"))</f>
        <v/>
      </c>
      <c r="J933" s="9">
        <f>IF($D933="","",ROUND($D933,2))</f>
        <v/>
      </c>
    </row>
    <row r="934">
      <c r="A934" s="6" t="n"/>
      <c r="B934" s="6" t="n"/>
      <c r="C934" s="7" t="n"/>
      <c r="D934" s="8" t="n"/>
      <c r="E934" s="6" t="n"/>
      <c r="F934" s="6" t="n"/>
      <c r="G934" s="6" t="n"/>
      <c r="H934" s="6" t="n"/>
      <c r="I934" s="12">
        <f>IF($B934="","",IF(COUNTIF(Ventes_Factures!$A$6:$A$3005,$B934)&gt;0,"OK","INCONNUE"))</f>
        <v/>
      </c>
      <c r="J934" s="9">
        <f>IF($D934="","",ROUND($D934,2))</f>
        <v/>
      </c>
    </row>
    <row r="935">
      <c r="A935" s="6" t="n"/>
      <c r="B935" s="6" t="n"/>
      <c r="C935" s="7" t="n"/>
      <c r="D935" s="8" t="n"/>
      <c r="E935" s="6" t="n"/>
      <c r="F935" s="6" t="n"/>
      <c r="G935" s="6" t="n"/>
      <c r="H935" s="6" t="n"/>
      <c r="I935" s="12">
        <f>IF($B935="","",IF(COUNTIF(Ventes_Factures!$A$6:$A$3005,$B935)&gt;0,"OK","INCONNUE"))</f>
        <v/>
      </c>
      <c r="J935" s="9">
        <f>IF($D935="","",ROUND($D935,2))</f>
        <v/>
      </c>
    </row>
    <row r="936">
      <c r="A936" s="6" t="n"/>
      <c r="B936" s="6" t="n"/>
      <c r="C936" s="7" t="n"/>
      <c r="D936" s="8" t="n"/>
      <c r="E936" s="6" t="n"/>
      <c r="F936" s="6" t="n"/>
      <c r="G936" s="6" t="n"/>
      <c r="H936" s="6" t="n"/>
      <c r="I936" s="12">
        <f>IF($B936="","",IF(COUNTIF(Ventes_Factures!$A$6:$A$3005,$B936)&gt;0,"OK","INCONNUE"))</f>
        <v/>
      </c>
      <c r="J936" s="9">
        <f>IF($D936="","",ROUND($D936,2))</f>
        <v/>
      </c>
    </row>
    <row r="937">
      <c r="A937" s="6" t="n"/>
      <c r="B937" s="6" t="n"/>
      <c r="C937" s="7" t="n"/>
      <c r="D937" s="8" t="n"/>
      <c r="E937" s="6" t="n"/>
      <c r="F937" s="6" t="n"/>
      <c r="G937" s="6" t="n"/>
      <c r="H937" s="6" t="n"/>
      <c r="I937" s="12">
        <f>IF($B937="","",IF(COUNTIF(Ventes_Factures!$A$6:$A$3005,$B937)&gt;0,"OK","INCONNUE"))</f>
        <v/>
      </c>
      <c r="J937" s="9">
        <f>IF($D937="","",ROUND($D937,2))</f>
        <v/>
      </c>
    </row>
    <row r="938">
      <c r="A938" s="6" t="n"/>
      <c r="B938" s="6" t="n"/>
      <c r="C938" s="7" t="n"/>
      <c r="D938" s="8" t="n"/>
      <c r="E938" s="6" t="n"/>
      <c r="F938" s="6" t="n"/>
      <c r="G938" s="6" t="n"/>
      <c r="H938" s="6" t="n"/>
      <c r="I938" s="12">
        <f>IF($B938="","",IF(COUNTIF(Ventes_Factures!$A$6:$A$3005,$B938)&gt;0,"OK","INCONNUE"))</f>
        <v/>
      </c>
      <c r="J938" s="9">
        <f>IF($D938="","",ROUND($D938,2))</f>
        <v/>
      </c>
    </row>
    <row r="939">
      <c r="A939" s="6" t="n"/>
      <c r="B939" s="6" t="n"/>
      <c r="C939" s="7" t="n"/>
      <c r="D939" s="8" t="n"/>
      <c r="E939" s="6" t="n"/>
      <c r="F939" s="6" t="n"/>
      <c r="G939" s="6" t="n"/>
      <c r="H939" s="6" t="n"/>
      <c r="I939" s="12">
        <f>IF($B939="","",IF(COUNTIF(Ventes_Factures!$A$6:$A$3005,$B939)&gt;0,"OK","INCONNUE"))</f>
        <v/>
      </c>
      <c r="J939" s="9">
        <f>IF($D939="","",ROUND($D939,2))</f>
        <v/>
      </c>
    </row>
    <row r="940">
      <c r="A940" s="6" t="n"/>
      <c r="B940" s="6" t="n"/>
      <c r="C940" s="7" t="n"/>
      <c r="D940" s="8" t="n"/>
      <c r="E940" s="6" t="n"/>
      <c r="F940" s="6" t="n"/>
      <c r="G940" s="6" t="n"/>
      <c r="H940" s="6" t="n"/>
      <c r="I940" s="12">
        <f>IF($B940="","",IF(COUNTIF(Ventes_Factures!$A$6:$A$3005,$B940)&gt;0,"OK","INCONNUE"))</f>
        <v/>
      </c>
      <c r="J940" s="9">
        <f>IF($D940="","",ROUND($D940,2))</f>
        <v/>
      </c>
    </row>
    <row r="941">
      <c r="A941" s="6" t="n"/>
      <c r="B941" s="6" t="n"/>
      <c r="C941" s="7" t="n"/>
      <c r="D941" s="8" t="n"/>
      <c r="E941" s="6" t="n"/>
      <c r="F941" s="6" t="n"/>
      <c r="G941" s="6" t="n"/>
      <c r="H941" s="6" t="n"/>
      <c r="I941" s="12">
        <f>IF($B941="","",IF(COUNTIF(Ventes_Factures!$A$6:$A$3005,$B941)&gt;0,"OK","INCONNUE"))</f>
        <v/>
      </c>
      <c r="J941" s="9">
        <f>IF($D941="","",ROUND($D941,2))</f>
        <v/>
      </c>
    </row>
    <row r="942">
      <c r="A942" s="6" t="n"/>
      <c r="B942" s="6" t="n"/>
      <c r="C942" s="7" t="n"/>
      <c r="D942" s="8" t="n"/>
      <c r="E942" s="6" t="n"/>
      <c r="F942" s="6" t="n"/>
      <c r="G942" s="6" t="n"/>
      <c r="H942" s="6" t="n"/>
      <c r="I942" s="12">
        <f>IF($B942="","",IF(COUNTIF(Ventes_Factures!$A$6:$A$3005,$B942)&gt;0,"OK","INCONNUE"))</f>
        <v/>
      </c>
      <c r="J942" s="9">
        <f>IF($D942="","",ROUND($D942,2))</f>
        <v/>
      </c>
    </row>
    <row r="943">
      <c r="A943" s="6" t="n"/>
      <c r="B943" s="6" t="n"/>
      <c r="C943" s="7" t="n"/>
      <c r="D943" s="8" t="n"/>
      <c r="E943" s="6" t="n"/>
      <c r="F943" s="6" t="n"/>
      <c r="G943" s="6" t="n"/>
      <c r="H943" s="6" t="n"/>
      <c r="I943" s="12">
        <f>IF($B943="","",IF(COUNTIF(Ventes_Factures!$A$6:$A$3005,$B943)&gt;0,"OK","INCONNUE"))</f>
        <v/>
      </c>
      <c r="J943" s="9">
        <f>IF($D943="","",ROUND($D943,2))</f>
        <v/>
      </c>
    </row>
    <row r="944">
      <c r="A944" s="6" t="n"/>
      <c r="B944" s="6" t="n"/>
      <c r="C944" s="7" t="n"/>
      <c r="D944" s="8" t="n"/>
      <c r="E944" s="6" t="n"/>
      <c r="F944" s="6" t="n"/>
      <c r="G944" s="6" t="n"/>
      <c r="H944" s="6" t="n"/>
      <c r="I944" s="12">
        <f>IF($B944="","",IF(COUNTIF(Ventes_Factures!$A$6:$A$3005,$B944)&gt;0,"OK","INCONNUE"))</f>
        <v/>
      </c>
      <c r="J944" s="9">
        <f>IF($D944="","",ROUND($D944,2))</f>
        <v/>
      </c>
    </row>
    <row r="945">
      <c r="A945" s="6" t="n"/>
      <c r="B945" s="6" t="n"/>
      <c r="C945" s="7" t="n"/>
      <c r="D945" s="8" t="n"/>
      <c r="E945" s="6" t="n"/>
      <c r="F945" s="6" t="n"/>
      <c r="G945" s="6" t="n"/>
      <c r="H945" s="6" t="n"/>
      <c r="I945" s="12">
        <f>IF($B945="","",IF(COUNTIF(Ventes_Factures!$A$6:$A$3005,$B945)&gt;0,"OK","INCONNUE"))</f>
        <v/>
      </c>
      <c r="J945" s="9">
        <f>IF($D945="","",ROUND($D945,2))</f>
        <v/>
      </c>
    </row>
    <row r="946">
      <c r="A946" s="6" t="n"/>
      <c r="B946" s="6" t="n"/>
      <c r="C946" s="7" t="n"/>
      <c r="D946" s="8" t="n"/>
      <c r="E946" s="6" t="n"/>
      <c r="F946" s="6" t="n"/>
      <c r="G946" s="6" t="n"/>
      <c r="H946" s="6" t="n"/>
      <c r="I946" s="12">
        <f>IF($B946="","",IF(COUNTIF(Ventes_Factures!$A$6:$A$3005,$B946)&gt;0,"OK","INCONNUE"))</f>
        <v/>
      </c>
      <c r="J946" s="9">
        <f>IF($D946="","",ROUND($D946,2))</f>
        <v/>
      </c>
    </row>
    <row r="947">
      <c r="A947" s="6" t="n"/>
      <c r="B947" s="6" t="n"/>
      <c r="C947" s="7" t="n"/>
      <c r="D947" s="8" t="n"/>
      <c r="E947" s="6" t="n"/>
      <c r="F947" s="6" t="n"/>
      <c r="G947" s="6" t="n"/>
      <c r="H947" s="6" t="n"/>
      <c r="I947" s="12">
        <f>IF($B947="","",IF(COUNTIF(Ventes_Factures!$A$6:$A$3005,$B947)&gt;0,"OK","INCONNUE"))</f>
        <v/>
      </c>
      <c r="J947" s="9">
        <f>IF($D947="","",ROUND($D947,2))</f>
        <v/>
      </c>
    </row>
    <row r="948">
      <c r="A948" s="6" t="n"/>
      <c r="B948" s="6" t="n"/>
      <c r="C948" s="7" t="n"/>
      <c r="D948" s="8" t="n"/>
      <c r="E948" s="6" t="n"/>
      <c r="F948" s="6" t="n"/>
      <c r="G948" s="6" t="n"/>
      <c r="H948" s="6" t="n"/>
      <c r="I948" s="12">
        <f>IF($B948="","",IF(COUNTIF(Ventes_Factures!$A$6:$A$3005,$B948)&gt;0,"OK","INCONNUE"))</f>
        <v/>
      </c>
      <c r="J948" s="9">
        <f>IF($D948="","",ROUND($D948,2))</f>
        <v/>
      </c>
    </row>
    <row r="949">
      <c r="A949" s="6" t="n"/>
      <c r="B949" s="6" t="n"/>
      <c r="C949" s="7" t="n"/>
      <c r="D949" s="8" t="n"/>
      <c r="E949" s="6" t="n"/>
      <c r="F949" s="6" t="n"/>
      <c r="G949" s="6" t="n"/>
      <c r="H949" s="6" t="n"/>
      <c r="I949" s="12">
        <f>IF($B949="","",IF(COUNTIF(Ventes_Factures!$A$6:$A$3005,$B949)&gt;0,"OK","INCONNUE"))</f>
        <v/>
      </c>
      <c r="J949" s="9">
        <f>IF($D949="","",ROUND($D949,2))</f>
        <v/>
      </c>
    </row>
    <row r="950">
      <c r="A950" s="6" t="n"/>
      <c r="B950" s="6" t="n"/>
      <c r="C950" s="7" t="n"/>
      <c r="D950" s="8" t="n"/>
      <c r="E950" s="6" t="n"/>
      <c r="F950" s="6" t="n"/>
      <c r="G950" s="6" t="n"/>
      <c r="H950" s="6" t="n"/>
      <c r="I950" s="12">
        <f>IF($B950="","",IF(COUNTIF(Ventes_Factures!$A$6:$A$3005,$B950)&gt;0,"OK","INCONNUE"))</f>
        <v/>
      </c>
      <c r="J950" s="9">
        <f>IF($D950="","",ROUND($D950,2))</f>
        <v/>
      </c>
    </row>
    <row r="951">
      <c r="A951" s="6" t="n"/>
      <c r="B951" s="6" t="n"/>
      <c r="C951" s="7" t="n"/>
      <c r="D951" s="8" t="n"/>
      <c r="E951" s="6" t="n"/>
      <c r="F951" s="6" t="n"/>
      <c r="G951" s="6" t="n"/>
      <c r="H951" s="6" t="n"/>
      <c r="I951" s="12">
        <f>IF($B951="","",IF(COUNTIF(Ventes_Factures!$A$6:$A$3005,$B951)&gt;0,"OK","INCONNUE"))</f>
        <v/>
      </c>
      <c r="J951" s="9">
        <f>IF($D951="","",ROUND($D951,2))</f>
        <v/>
      </c>
    </row>
    <row r="952">
      <c r="A952" s="6" t="n"/>
      <c r="B952" s="6" t="n"/>
      <c r="C952" s="7" t="n"/>
      <c r="D952" s="8" t="n"/>
      <c r="E952" s="6" t="n"/>
      <c r="F952" s="6" t="n"/>
      <c r="G952" s="6" t="n"/>
      <c r="H952" s="6" t="n"/>
      <c r="I952" s="12">
        <f>IF($B952="","",IF(COUNTIF(Ventes_Factures!$A$6:$A$3005,$B952)&gt;0,"OK","INCONNUE"))</f>
        <v/>
      </c>
      <c r="J952" s="9">
        <f>IF($D952="","",ROUND($D952,2))</f>
        <v/>
      </c>
    </row>
    <row r="953">
      <c r="A953" s="6" t="n"/>
      <c r="B953" s="6" t="n"/>
      <c r="C953" s="7" t="n"/>
      <c r="D953" s="8" t="n"/>
      <c r="E953" s="6" t="n"/>
      <c r="F953" s="6" t="n"/>
      <c r="G953" s="6" t="n"/>
      <c r="H953" s="6" t="n"/>
      <c r="I953" s="12">
        <f>IF($B953="","",IF(COUNTIF(Ventes_Factures!$A$6:$A$3005,$B953)&gt;0,"OK","INCONNUE"))</f>
        <v/>
      </c>
      <c r="J953" s="9">
        <f>IF($D953="","",ROUND($D953,2))</f>
        <v/>
      </c>
    </row>
    <row r="954">
      <c r="A954" s="6" t="n"/>
      <c r="B954" s="6" t="n"/>
      <c r="C954" s="7" t="n"/>
      <c r="D954" s="8" t="n"/>
      <c r="E954" s="6" t="n"/>
      <c r="F954" s="6" t="n"/>
      <c r="G954" s="6" t="n"/>
      <c r="H954" s="6" t="n"/>
      <c r="I954" s="12">
        <f>IF($B954="","",IF(COUNTIF(Ventes_Factures!$A$6:$A$3005,$B954)&gt;0,"OK","INCONNUE"))</f>
        <v/>
      </c>
      <c r="J954" s="9">
        <f>IF($D954="","",ROUND($D954,2))</f>
        <v/>
      </c>
    </row>
    <row r="955">
      <c r="A955" s="6" t="n"/>
      <c r="B955" s="6" t="n"/>
      <c r="C955" s="7" t="n"/>
      <c r="D955" s="8" t="n"/>
      <c r="E955" s="6" t="n"/>
      <c r="F955" s="6" t="n"/>
      <c r="G955" s="6" t="n"/>
      <c r="H955" s="6" t="n"/>
      <c r="I955" s="12">
        <f>IF($B955="","",IF(COUNTIF(Ventes_Factures!$A$6:$A$3005,$B955)&gt;0,"OK","INCONNUE"))</f>
        <v/>
      </c>
      <c r="J955" s="9">
        <f>IF($D955="","",ROUND($D955,2))</f>
        <v/>
      </c>
    </row>
    <row r="956">
      <c r="A956" s="6" t="n"/>
      <c r="B956" s="6" t="n"/>
      <c r="C956" s="7" t="n"/>
      <c r="D956" s="8" t="n"/>
      <c r="E956" s="6" t="n"/>
      <c r="F956" s="6" t="n"/>
      <c r="G956" s="6" t="n"/>
      <c r="H956" s="6" t="n"/>
      <c r="I956" s="12">
        <f>IF($B956="","",IF(COUNTIF(Ventes_Factures!$A$6:$A$3005,$B956)&gt;0,"OK","INCONNUE"))</f>
        <v/>
      </c>
      <c r="J956" s="9">
        <f>IF($D956="","",ROUND($D956,2))</f>
        <v/>
      </c>
    </row>
    <row r="957">
      <c r="A957" s="6" t="n"/>
      <c r="B957" s="6" t="n"/>
      <c r="C957" s="7" t="n"/>
      <c r="D957" s="8" t="n"/>
      <c r="E957" s="6" t="n"/>
      <c r="F957" s="6" t="n"/>
      <c r="G957" s="6" t="n"/>
      <c r="H957" s="6" t="n"/>
      <c r="I957" s="12">
        <f>IF($B957="","",IF(COUNTIF(Ventes_Factures!$A$6:$A$3005,$B957)&gt;0,"OK","INCONNUE"))</f>
        <v/>
      </c>
      <c r="J957" s="9">
        <f>IF($D957="","",ROUND($D957,2))</f>
        <v/>
      </c>
    </row>
    <row r="958">
      <c r="A958" s="6" t="n"/>
      <c r="B958" s="6" t="n"/>
      <c r="C958" s="7" t="n"/>
      <c r="D958" s="8" t="n"/>
      <c r="E958" s="6" t="n"/>
      <c r="F958" s="6" t="n"/>
      <c r="G958" s="6" t="n"/>
      <c r="H958" s="6" t="n"/>
      <c r="I958" s="12">
        <f>IF($B958="","",IF(COUNTIF(Ventes_Factures!$A$6:$A$3005,$B958)&gt;0,"OK","INCONNUE"))</f>
        <v/>
      </c>
      <c r="J958" s="9">
        <f>IF($D958="","",ROUND($D958,2))</f>
        <v/>
      </c>
    </row>
    <row r="959">
      <c r="A959" s="6" t="n"/>
      <c r="B959" s="6" t="n"/>
      <c r="C959" s="7" t="n"/>
      <c r="D959" s="8" t="n"/>
      <c r="E959" s="6" t="n"/>
      <c r="F959" s="6" t="n"/>
      <c r="G959" s="6" t="n"/>
      <c r="H959" s="6" t="n"/>
      <c r="I959" s="12">
        <f>IF($B959="","",IF(COUNTIF(Ventes_Factures!$A$6:$A$3005,$B959)&gt;0,"OK","INCONNUE"))</f>
        <v/>
      </c>
      <c r="J959" s="9">
        <f>IF($D959="","",ROUND($D959,2))</f>
        <v/>
      </c>
    </row>
    <row r="960">
      <c r="A960" s="6" t="n"/>
      <c r="B960" s="6" t="n"/>
      <c r="C960" s="7" t="n"/>
      <c r="D960" s="8" t="n"/>
      <c r="E960" s="6" t="n"/>
      <c r="F960" s="6" t="n"/>
      <c r="G960" s="6" t="n"/>
      <c r="H960" s="6" t="n"/>
      <c r="I960" s="12">
        <f>IF($B960="","",IF(COUNTIF(Ventes_Factures!$A$6:$A$3005,$B960)&gt;0,"OK","INCONNUE"))</f>
        <v/>
      </c>
      <c r="J960" s="9">
        <f>IF($D960="","",ROUND($D960,2))</f>
        <v/>
      </c>
    </row>
    <row r="961">
      <c r="A961" s="6" t="n"/>
      <c r="B961" s="6" t="n"/>
      <c r="C961" s="7" t="n"/>
      <c r="D961" s="8" t="n"/>
      <c r="E961" s="6" t="n"/>
      <c r="F961" s="6" t="n"/>
      <c r="G961" s="6" t="n"/>
      <c r="H961" s="6" t="n"/>
      <c r="I961" s="12">
        <f>IF($B961="","",IF(COUNTIF(Ventes_Factures!$A$6:$A$3005,$B961)&gt;0,"OK","INCONNUE"))</f>
        <v/>
      </c>
      <c r="J961" s="9">
        <f>IF($D961="","",ROUND($D961,2))</f>
        <v/>
      </c>
    </row>
    <row r="962">
      <c r="A962" s="6" t="n"/>
      <c r="B962" s="6" t="n"/>
      <c r="C962" s="7" t="n"/>
      <c r="D962" s="8" t="n"/>
      <c r="E962" s="6" t="n"/>
      <c r="F962" s="6" t="n"/>
      <c r="G962" s="6" t="n"/>
      <c r="H962" s="6" t="n"/>
      <c r="I962" s="12">
        <f>IF($B962="","",IF(COUNTIF(Ventes_Factures!$A$6:$A$3005,$B962)&gt;0,"OK","INCONNUE"))</f>
        <v/>
      </c>
      <c r="J962" s="9">
        <f>IF($D962="","",ROUND($D962,2))</f>
        <v/>
      </c>
    </row>
    <row r="963">
      <c r="A963" s="6" t="n"/>
      <c r="B963" s="6" t="n"/>
      <c r="C963" s="7" t="n"/>
      <c r="D963" s="8" t="n"/>
      <c r="E963" s="6" t="n"/>
      <c r="F963" s="6" t="n"/>
      <c r="G963" s="6" t="n"/>
      <c r="H963" s="6" t="n"/>
      <c r="I963" s="12">
        <f>IF($B963="","",IF(COUNTIF(Ventes_Factures!$A$6:$A$3005,$B963)&gt;0,"OK","INCONNUE"))</f>
        <v/>
      </c>
      <c r="J963" s="9">
        <f>IF($D963="","",ROUND($D963,2))</f>
        <v/>
      </c>
    </row>
    <row r="964">
      <c r="A964" s="6" t="n"/>
      <c r="B964" s="6" t="n"/>
      <c r="C964" s="7" t="n"/>
      <c r="D964" s="8" t="n"/>
      <c r="E964" s="6" t="n"/>
      <c r="F964" s="6" t="n"/>
      <c r="G964" s="6" t="n"/>
      <c r="H964" s="6" t="n"/>
      <c r="I964" s="12">
        <f>IF($B964="","",IF(COUNTIF(Ventes_Factures!$A$6:$A$3005,$B964)&gt;0,"OK","INCONNUE"))</f>
        <v/>
      </c>
      <c r="J964" s="9">
        <f>IF($D964="","",ROUND($D964,2))</f>
        <v/>
      </c>
    </row>
    <row r="965">
      <c r="A965" s="6" t="n"/>
      <c r="B965" s="6" t="n"/>
      <c r="C965" s="7" t="n"/>
      <c r="D965" s="8" t="n"/>
      <c r="E965" s="6" t="n"/>
      <c r="F965" s="6" t="n"/>
      <c r="G965" s="6" t="n"/>
      <c r="H965" s="6" t="n"/>
      <c r="I965" s="12">
        <f>IF($B965="","",IF(COUNTIF(Ventes_Factures!$A$6:$A$3005,$B965)&gt;0,"OK","INCONNUE"))</f>
        <v/>
      </c>
      <c r="J965" s="9">
        <f>IF($D965="","",ROUND($D965,2))</f>
        <v/>
      </c>
    </row>
    <row r="966">
      <c r="A966" s="6" t="n"/>
      <c r="B966" s="6" t="n"/>
      <c r="C966" s="7" t="n"/>
      <c r="D966" s="8" t="n"/>
      <c r="E966" s="6" t="n"/>
      <c r="F966" s="6" t="n"/>
      <c r="G966" s="6" t="n"/>
      <c r="H966" s="6" t="n"/>
      <c r="I966" s="12">
        <f>IF($B966="","",IF(COUNTIF(Ventes_Factures!$A$6:$A$3005,$B966)&gt;0,"OK","INCONNUE"))</f>
        <v/>
      </c>
      <c r="J966" s="9">
        <f>IF($D966="","",ROUND($D966,2))</f>
        <v/>
      </c>
    </row>
    <row r="967">
      <c r="A967" s="6" t="n"/>
      <c r="B967" s="6" t="n"/>
      <c r="C967" s="7" t="n"/>
      <c r="D967" s="8" t="n"/>
      <c r="E967" s="6" t="n"/>
      <c r="F967" s="6" t="n"/>
      <c r="G967" s="6" t="n"/>
      <c r="H967" s="6" t="n"/>
      <c r="I967" s="12">
        <f>IF($B967="","",IF(COUNTIF(Ventes_Factures!$A$6:$A$3005,$B967)&gt;0,"OK","INCONNUE"))</f>
        <v/>
      </c>
      <c r="J967" s="9">
        <f>IF($D967="","",ROUND($D967,2))</f>
        <v/>
      </c>
    </row>
    <row r="968">
      <c r="A968" s="6" t="n"/>
      <c r="B968" s="6" t="n"/>
      <c r="C968" s="7" t="n"/>
      <c r="D968" s="8" t="n"/>
      <c r="E968" s="6" t="n"/>
      <c r="F968" s="6" t="n"/>
      <c r="G968" s="6" t="n"/>
      <c r="H968" s="6" t="n"/>
      <c r="I968" s="12">
        <f>IF($B968="","",IF(COUNTIF(Ventes_Factures!$A$6:$A$3005,$B968)&gt;0,"OK","INCONNUE"))</f>
        <v/>
      </c>
      <c r="J968" s="9">
        <f>IF($D968="","",ROUND($D968,2))</f>
        <v/>
      </c>
    </row>
    <row r="969">
      <c r="A969" s="6" t="n"/>
      <c r="B969" s="6" t="n"/>
      <c r="C969" s="7" t="n"/>
      <c r="D969" s="8" t="n"/>
      <c r="E969" s="6" t="n"/>
      <c r="F969" s="6" t="n"/>
      <c r="G969" s="6" t="n"/>
      <c r="H969" s="6" t="n"/>
      <c r="I969" s="12">
        <f>IF($B969="","",IF(COUNTIF(Ventes_Factures!$A$6:$A$3005,$B969)&gt;0,"OK","INCONNUE"))</f>
        <v/>
      </c>
      <c r="J969" s="9">
        <f>IF($D969="","",ROUND($D969,2))</f>
        <v/>
      </c>
    </row>
    <row r="970">
      <c r="A970" s="6" t="n"/>
      <c r="B970" s="6" t="n"/>
      <c r="C970" s="7" t="n"/>
      <c r="D970" s="8" t="n"/>
      <c r="E970" s="6" t="n"/>
      <c r="F970" s="6" t="n"/>
      <c r="G970" s="6" t="n"/>
      <c r="H970" s="6" t="n"/>
      <c r="I970" s="12">
        <f>IF($B970="","",IF(COUNTIF(Ventes_Factures!$A$6:$A$3005,$B970)&gt;0,"OK","INCONNUE"))</f>
        <v/>
      </c>
      <c r="J970" s="9">
        <f>IF($D970="","",ROUND($D970,2))</f>
        <v/>
      </c>
    </row>
    <row r="971">
      <c r="A971" s="6" t="n"/>
      <c r="B971" s="6" t="n"/>
      <c r="C971" s="7" t="n"/>
      <c r="D971" s="8" t="n"/>
      <c r="E971" s="6" t="n"/>
      <c r="F971" s="6" t="n"/>
      <c r="G971" s="6" t="n"/>
      <c r="H971" s="6" t="n"/>
      <c r="I971" s="12">
        <f>IF($B971="","",IF(COUNTIF(Ventes_Factures!$A$6:$A$3005,$B971)&gt;0,"OK","INCONNUE"))</f>
        <v/>
      </c>
      <c r="J971" s="9">
        <f>IF($D971="","",ROUND($D971,2))</f>
        <v/>
      </c>
    </row>
    <row r="972">
      <c r="A972" s="6" t="n"/>
      <c r="B972" s="6" t="n"/>
      <c r="C972" s="7" t="n"/>
      <c r="D972" s="8" t="n"/>
      <c r="E972" s="6" t="n"/>
      <c r="F972" s="6" t="n"/>
      <c r="G972" s="6" t="n"/>
      <c r="H972" s="6" t="n"/>
      <c r="I972" s="12">
        <f>IF($B972="","",IF(COUNTIF(Ventes_Factures!$A$6:$A$3005,$B972)&gt;0,"OK","INCONNUE"))</f>
        <v/>
      </c>
      <c r="J972" s="9">
        <f>IF($D972="","",ROUND($D972,2))</f>
        <v/>
      </c>
    </row>
    <row r="973">
      <c r="A973" s="6" t="n"/>
      <c r="B973" s="6" t="n"/>
      <c r="C973" s="7" t="n"/>
      <c r="D973" s="8" t="n"/>
      <c r="E973" s="6" t="n"/>
      <c r="F973" s="6" t="n"/>
      <c r="G973" s="6" t="n"/>
      <c r="H973" s="6" t="n"/>
      <c r="I973" s="12">
        <f>IF($B973="","",IF(COUNTIF(Ventes_Factures!$A$6:$A$3005,$B973)&gt;0,"OK","INCONNUE"))</f>
        <v/>
      </c>
      <c r="J973" s="9">
        <f>IF($D973="","",ROUND($D973,2))</f>
        <v/>
      </c>
    </row>
    <row r="974">
      <c r="A974" s="6" t="n"/>
      <c r="B974" s="6" t="n"/>
      <c r="C974" s="7" t="n"/>
      <c r="D974" s="8" t="n"/>
      <c r="E974" s="6" t="n"/>
      <c r="F974" s="6" t="n"/>
      <c r="G974" s="6" t="n"/>
      <c r="H974" s="6" t="n"/>
      <c r="I974" s="12">
        <f>IF($B974="","",IF(COUNTIF(Ventes_Factures!$A$6:$A$3005,$B974)&gt;0,"OK","INCONNUE"))</f>
        <v/>
      </c>
      <c r="J974" s="9">
        <f>IF($D974="","",ROUND($D974,2))</f>
        <v/>
      </c>
    </row>
    <row r="975">
      <c r="A975" s="6" t="n"/>
      <c r="B975" s="6" t="n"/>
      <c r="C975" s="7" t="n"/>
      <c r="D975" s="8" t="n"/>
      <c r="E975" s="6" t="n"/>
      <c r="F975" s="6" t="n"/>
      <c r="G975" s="6" t="n"/>
      <c r="H975" s="6" t="n"/>
      <c r="I975" s="12">
        <f>IF($B975="","",IF(COUNTIF(Ventes_Factures!$A$6:$A$3005,$B975)&gt;0,"OK","INCONNUE"))</f>
        <v/>
      </c>
      <c r="J975" s="9">
        <f>IF($D975="","",ROUND($D975,2))</f>
        <v/>
      </c>
    </row>
    <row r="976">
      <c r="A976" s="6" t="n"/>
      <c r="B976" s="6" t="n"/>
      <c r="C976" s="7" t="n"/>
      <c r="D976" s="8" t="n"/>
      <c r="E976" s="6" t="n"/>
      <c r="F976" s="6" t="n"/>
      <c r="G976" s="6" t="n"/>
      <c r="H976" s="6" t="n"/>
      <c r="I976" s="12">
        <f>IF($B976="","",IF(COUNTIF(Ventes_Factures!$A$6:$A$3005,$B976)&gt;0,"OK","INCONNUE"))</f>
        <v/>
      </c>
      <c r="J976" s="9">
        <f>IF($D976="","",ROUND($D976,2))</f>
        <v/>
      </c>
    </row>
    <row r="977">
      <c r="A977" s="6" t="n"/>
      <c r="B977" s="6" t="n"/>
      <c r="C977" s="7" t="n"/>
      <c r="D977" s="8" t="n"/>
      <c r="E977" s="6" t="n"/>
      <c r="F977" s="6" t="n"/>
      <c r="G977" s="6" t="n"/>
      <c r="H977" s="6" t="n"/>
      <c r="I977" s="12">
        <f>IF($B977="","",IF(COUNTIF(Ventes_Factures!$A$6:$A$3005,$B977)&gt;0,"OK","INCONNUE"))</f>
        <v/>
      </c>
      <c r="J977" s="9">
        <f>IF($D977="","",ROUND($D977,2))</f>
        <v/>
      </c>
    </row>
    <row r="978">
      <c r="A978" s="6" t="n"/>
      <c r="B978" s="6" t="n"/>
      <c r="C978" s="7" t="n"/>
      <c r="D978" s="8" t="n"/>
      <c r="E978" s="6" t="n"/>
      <c r="F978" s="6" t="n"/>
      <c r="G978" s="6" t="n"/>
      <c r="H978" s="6" t="n"/>
      <c r="I978" s="12">
        <f>IF($B978="","",IF(COUNTIF(Ventes_Factures!$A$6:$A$3005,$B978)&gt;0,"OK","INCONNUE"))</f>
        <v/>
      </c>
      <c r="J978" s="9">
        <f>IF($D978="","",ROUND($D978,2))</f>
        <v/>
      </c>
    </row>
    <row r="979">
      <c r="A979" s="6" t="n"/>
      <c r="B979" s="6" t="n"/>
      <c r="C979" s="7" t="n"/>
      <c r="D979" s="8" t="n"/>
      <c r="E979" s="6" t="n"/>
      <c r="F979" s="6" t="n"/>
      <c r="G979" s="6" t="n"/>
      <c r="H979" s="6" t="n"/>
      <c r="I979" s="12">
        <f>IF($B979="","",IF(COUNTIF(Ventes_Factures!$A$6:$A$3005,$B979)&gt;0,"OK","INCONNUE"))</f>
        <v/>
      </c>
      <c r="J979" s="9">
        <f>IF($D979="","",ROUND($D979,2))</f>
        <v/>
      </c>
    </row>
    <row r="980">
      <c r="A980" s="6" t="n"/>
      <c r="B980" s="6" t="n"/>
      <c r="C980" s="7" t="n"/>
      <c r="D980" s="8" t="n"/>
      <c r="E980" s="6" t="n"/>
      <c r="F980" s="6" t="n"/>
      <c r="G980" s="6" t="n"/>
      <c r="H980" s="6" t="n"/>
      <c r="I980" s="12">
        <f>IF($B980="","",IF(COUNTIF(Ventes_Factures!$A$6:$A$3005,$B980)&gt;0,"OK","INCONNUE"))</f>
        <v/>
      </c>
      <c r="J980" s="9">
        <f>IF($D980="","",ROUND($D980,2))</f>
        <v/>
      </c>
    </row>
    <row r="981">
      <c r="A981" s="6" t="n"/>
      <c r="B981" s="6" t="n"/>
      <c r="C981" s="7" t="n"/>
      <c r="D981" s="8" t="n"/>
      <c r="E981" s="6" t="n"/>
      <c r="F981" s="6" t="n"/>
      <c r="G981" s="6" t="n"/>
      <c r="H981" s="6" t="n"/>
      <c r="I981" s="12">
        <f>IF($B981="","",IF(COUNTIF(Ventes_Factures!$A$6:$A$3005,$B981)&gt;0,"OK","INCONNUE"))</f>
        <v/>
      </c>
      <c r="J981" s="9">
        <f>IF($D981="","",ROUND($D981,2))</f>
        <v/>
      </c>
    </row>
    <row r="982">
      <c r="A982" s="6" t="n"/>
      <c r="B982" s="6" t="n"/>
      <c r="C982" s="7" t="n"/>
      <c r="D982" s="8" t="n"/>
      <c r="E982" s="6" t="n"/>
      <c r="F982" s="6" t="n"/>
      <c r="G982" s="6" t="n"/>
      <c r="H982" s="6" t="n"/>
      <c r="I982" s="12">
        <f>IF($B982="","",IF(COUNTIF(Ventes_Factures!$A$6:$A$3005,$B982)&gt;0,"OK","INCONNUE"))</f>
        <v/>
      </c>
      <c r="J982" s="9">
        <f>IF($D982="","",ROUND($D982,2))</f>
        <v/>
      </c>
    </row>
    <row r="983">
      <c r="A983" s="6" t="n"/>
      <c r="B983" s="6" t="n"/>
      <c r="C983" s="7" t="n"/>
      <c r="D983" s="8" t="n"/>
      <c r="E983" s="6" t="n"/>
      <c r="F983" s="6" t="n"/>
      <c r="G983" s="6" t="n"/>
      <c r="H983" s="6" t="n"/>
      <c r="I983" s="12">
        <f>IF($B983="","",IF(COUNTIF(Ventes_Factures!$A$6:$A$3005,$B983)&gt;0,"OK","INCONNUE"))</f>
        <v/>
      </c>
      <c r="J983" s="9">
        <f>IF($D983="","",ROUND($D983,2))</f>
        <v/>
      </c>
    </row>
    <row r="984">
      <c r="A984" s="6" t="n"/>
      <c r="B984" s="6" t="n"/>
      <c r="C984" s="7" t="n"/>
      <c r="D984" s="8" t="n"/>
      <c r="E984" s="6" t="n"/>
      <c r="F984" s="6" t="n"/>
      <c r="G984" s="6" t="n"/>
      <c r="H984" s="6" t="n"/>
      <c r="I984" s="12">
        <f>IF($B984="","",IF(COUNTIF(Ventes_Factures!$A$6:$A$3005,$B984)&gt;0,"OK","INCONNUE"))</f>
        <v/>
      </c>
      <c r="J984" s="9">
        <f>IF($D984="","",ROUND($D984,2))</f>
        <v/>
      </c>
    </row>
    <row r="985">
      <c r="A985" s="6" t="n"/>
      <c r="B985" s="6" t="n"/>
      <c r="C985" s="7" t="n"/>
      <c r="D985" s="8" t="n"/>
      <c r="E985" s="6" t="n"/>
      <c r="F985" s="6" t="n"/>
      <c r="G985" s="6" t="n"/>
      <c r="H985" s="6" t="n"/>
      <c r="I985" s="12">
        <f>IF($B985="","",IF(COUNTIF(Ventes_Factures!$A$6:$A$3005,$B985)&gt;0,"OK","INCONNUE"))</f>
        <v/>
      </c>
      <c r="J985" s="9">
        <f>IF($D985="","",ROUND($D985,2))</f>
        <v/>
      </c>
    </row>
    <row r="986">
      <c r="A986" s="6" t="n"/>
      <c r="B986" s="6" t="n"/>
      <c r="C986" s="7" t="n"/>
      <c r="D986" s="8" t="n"/>
      <c r="E986" s="6" t="n"/>
      <c r="F986" s="6" t="n"/>
      <c r="G986" s="6" t="n"/>
      <c r="H986" s="6" t="n"/>
      <c r="I986" s="12">
        <f>IF($B986="","",IF(COUNTIF(Ventes_Factures!$A$6:$A$3005,$B986)&gt;0,"OK","INCONNUE"))</f>
        <v/>
      </c>
      <c r="J986" s="9">
        <f>IF($D986="","",ROUND($D986,2))</f>
        <v/>
      </c>
    </row>
    <row r="987">
      <c r="A987" s="6" t="n"/>
      <c r="B987" s="6" t="n"/>
      <c r="C987" s="7" t="n"/>
      <c r="D987" s="8" t="n"/>
      <c r="E987" s="6" t="n"/>
      <c r="F987" s="6" t="n"/>
      <c r="G987" s="6" t="n"/>
      <c r="H987" s="6" t="n"/>
      <c r="I987" s="12">
        <f>IF($B987="","",IF(COUNTIF(Ventes_Factures!$A$6:$A$3005,$B987)&gt;0,"OK","INCONNUE"))</f>
        <v/>
      </c>
      <c r="J987" s="9">
        <f>IF($D987="","",ROUND($D987,2))</f>
        <v/>
      </c>
    </row>
    <row r="988">
      <c r="A988" s="6" t="n"/>
      <c r="B988" s="6" t="n"/>
      <c r="C988" s="7" t="n"/>
      <c r="D988" s="8" t="n"/>
      <c r="E988" s="6" t="n"/>
      <c r="F988" s="6" t="n"/>
      <c r="G988" s="6" t="n"/>
      <c r="H988" s="6" t="n"/>
      <c r="I988" s="12">
        <f>IF($B988="","",IF(COUNTIF(Ventes_Factures!$A$6:$A$3005,$B988)&gt;0,"OK","INCONNUE"))</f>
        <v/>
      </c>
      <c r="J988" s="9">
        <f>IF($D988="","",ROUND($D988,2))</f>
        <v/>
      </c>
    </row>
    <row r="989">
      <c r="A989" s="6" t="n"/>
      <c r="B989" s="6" t="n"/>
      <c r="C989" s="7" t="n"/>
      <c r="D989" s="8" t="n"/>
      <c r="E989" s="6" t="n"/>
      <c r="F989" s="6" t="n"/>
      <c r="G989" s="6" t="n"/>
      <c r="H989" s="6" t="n"/>
      <c r="I989" s="12">
        <f>IF($B989="","",IF(COUNTIF(Ventes_Factures!$A$6:$A$3005,$B989)&gt;0,"OK","INCONNUE"))</f>
        <v/>
      </c>
      <c r="J989" s="9">
        <f>IF($D989="","",ROUND($D989,2))</f>
        <v/>
      </c>
    </row>
    <row r="990">
      <c r="A990" s="6" t="n"/>
      <c r="B990" s="6" t="n"/>
      <c r="C990" s="7" t="n"/>
      <c r="D990" s="8" t="n"/>
      <c r="E990" s="6" t="n"/>
      <c r="F990" s="6" t="n"/>
      <c r="G990" s="6" t="n"/>
      <c r="H990" s="6" t="n"/>
      <c r="I990" s="12">
        <f>IF($B990="","",IF(COUNTIF(Ventes_Factures!$A$6:$A$3005,$B990)&gt;0,"OK","INCONNUE"))</f>
        <v/>
      </c>
      <c r="J990" s="9">
        <f>IF($D990="","",ROUND($D990,2))</f>
        <v/>
      </c>
    </row>
    <row r="991">
      <c r="A991" s="6" t="n"/>
      <c r="B991" s="6" t="n"/>
      <c r="C991" s="7" t="n"/>
      <c r="D991" s="8" t="n"/>
      <c r="E991" s="6" t="n"/>
      <c r="F991" s="6" t="n"/>
      <c r="G991" s="6" t="n"/>
      <c r="H991" s="6" t="n"/>
      <c r="I991" s="12">
        <f>IF($B991="","",IF(COUNTIF(Ventes_Factures!$A$6:$A$3005,$B991)&gt;0,"OK","INCONNUE"))</f>
        <v/>
      </c>
      <c r="J991" s="9">
        <f>IF($D991="","",ROUND($D991,2))</f>
        <v/>
      </c>
    </row>
    <row r="992">
      <c r="A992" s="6" t="n"/>
      <c r="B992" s="6" t="n"/>
      <c r="C992" s="7" t="n"/>
      <c r="D992" s="8" t="n"/>
      <c r="E992" s="6" t="n"/>
      <c r="F992" s="6" t="n"/>
      <c r="G992" s="6" t="n"/>
      <c r="H992" s="6" t="n"/>
      <c r="I992" s="12">
        <f>IF($B992="","",IF(COUNTIF(Ventes_Factures!$A$6:$A$3005,$B992)&gt;0,"OK","INCONNUE"))</f>
        <v/>
      </c>
      <c r="J992" s="9">
        <f>IF($D992="","",ROUND($D992,2))</f>
        <v/>
      </c>
    </row>
    <row r="993">
      <c r="A993" s="6" t="n"/>
      <c r="B993" s="6" t="n"/>
      <c r="C993" s="7" t="n"/>
      <c r="D993" s="8" t="n"/>
      <c r="E993" s="6" t="n"/>
      <c r="F993" s="6" t="n"/>
      <c r="G993" s="6" t="n"/>
      <c r="H993" s="6" t="n"/>
      <c r="I993" s="12">
        <f>IF($B993="","",IF(COUNTIF(Ventes_Factures!$A$6:$A$3005,$B993)&gt;0,"OK","INCONNUE"))</f>
        <v/>
      </c>
      <c r="J993" s="9">
        <f>IF($D993="","",ROUND($D993,2))</f>
        <v/>
      </c>
    </row>
    <row r="994">
      <c r="A994" s="6" t="n"/>
      <c r="B994" s="6" t="n"/>
      <c r="C994" s="7" t="n"/>
      <c r="D994" s="8" t="n"/>
      <c r="E994" s="6" t="n"/>
      <c r="F994" s="6" t="n"/>
      <c r="G994" s="6" t="n"/>
      <c r="H994" s="6" t="n"/>
      <c r="I994" s="12">
        <f>IF($B994="","",IF(COUNTIF(Ventes_Factures!$A$6:$A$3005,$B994)&gt;0,"OK","INCONNUE"))</f>
        <v/>
      </c>
      <c r="J994" s="9">
        <f>IF($D994="","",ROUND($D994,2))</f>
        <v/>
      </c>
    </row>
    <row r="995">
      <c r="A995" s="6" t="n"/>
      <c r="B995" s="6" t="n"/>
      <c r="C995" s="7" t="n"/>
      <c r="D995" s="8" t="n"/>
      <c r="E995" s="6" t="n"/>
      <c r="F995" s="6" t="n"/>
      <c r="G995" s="6" t="n"/>
      <c r="H995" s="6" t="n"/>
      <c r="I995" s="12">
        <f>IF($B995="","",IF(COUNTIF(Ventes_Factures!$A$6:$A$3005,$B995)&gt;0,"OK","INCONNUE"))</f>
        <v/>
      </c>
      <c r="J995" s="9">
        <f>IF($D995="","",ROUND($D995,2))</f>
        <v/>
      </c>
    </row>
    <row r="996">
      <c r="A996" s="6" t="n"/>
      <c r="B996" s="6" t="n"/>
      <c r="C996" s="7" t="n"/>
      <c r="D996" s="8" t="n"/>
      <c r="E996" s="6" t="n"/>
      <c r="F996" s="6" t="n"/>
      <c r="G996" s="6" t="n"/>
      <c r="H996" s="6" t="n"/>
      <c r="I996" s="12">
        <f>IF($B996="","",IF(COUNTIF(Ventes_Factures!$A$6:$A$3005,$B996)&gt;0,"OK","INCONNUE"))</f>
        <v/>
      </c>
      <c r="J996" s="9">
        <f>IF($D996="","",ROUND($D996,2))</f>
        <v/>
      </c>
    </row>
    <row r="997">
      <c r="A997" s="6" t="n"/>
      <c r="B997" s="6" t="n"/>
      <c r="C997" s="7" t="n"/>
      <c r="D997" s="8" t="n"/>
      <c r="E997" s="6" t="n"/>
      <c r="F997" s="6" t="n"/>
      <c r="G997" s="6" t="n"/>
      <c r="H997" s="6" t="n"/>
      <c r="I997" s="12">
        <f>IF($B997="","",IF(COUNTIF(Ventes_Factures!$A$6:$A$3005,$B997)&gt;0,"OK","INCONNUE"))</f>
        <v/>
      </c>
      <c r="J997" s="9">
        <f>IF($D997="","",ROUND($D997,2))</f>
        <v/>
      </c>
    </row>
    <row r="998">
      <c r="A998" s="6" t="n"/>
      <c r="B998" s="6" t="n"/>
      <c r="C998" s="7" t="n"/>
      <c r="D998" s="8" t="n"/>
      <c r="E998" s="6" t="n"/>
      <c r="F998" s="6" t="n"/>
      <c r="G998" s="6" t="n"/>
      <c r="H998" s="6" t="n"/>
      <c r="I998" s="12">
        <f>IF($B998="","",IF(COUNTIF(Ventes_Factures!$A$6:$A$3005,$B998)&gt;0,"OK","INCONNUE"))</f>
        <v/>
      </c>
      <c r="J998" s="9">
        <f>IF($D998="","",ROUND($D998,2))</f>
        <v/>
      </c>
    </row>
    <row r="999">
      <c r="A999" s="6" t="n"/>
      <c r="B999" s="6" t="n"/>
      <c r="C999" s="7" t="n"/>
      <c r="D999" s="8" t="n"/>
      <c r="E999" s="6" t="n"/>
      <c r="F999" s="6" t="n"/>
      <c r="G999" s="6" t="n"/>
      <c r="H999" s="6" t="n"/>
      <c r="I999" s="12">
        <f>IF($B999="","",IF(COUNTIF(Ventes_Factures!$A$6:$A$3005,$B999)&gt;0,"OK","INCONNUE"))</f>
        <v/>
      </c>
      <c r="J999" s="9">
        <f>IF($D999="","",ROUND($D999,2))</f>
        <v/>
      </c>
    </row>
    <row r="1000">
      <c r="A1000" s="6" t="n"/>
      <c r="B1000" s="6" t="n"/>
      <c r="C1000" s="7" t="n"/>
      <c r="D1000" s="8" t="n"/>
      <c r="E1000" s="6" t="n"/>
      <c r="F1000" s="6" t="n"/>
      <c r="G1000" s="6" t="n"/>
      <c r="H1000" s="6" t="n"/>
      <c r="I1000" s="12">
        <f>IF($B1000="","",IF(COUNTIF(Ventes_Factures!$A$6:$A$3005,$B1000)&gt;0,"OK","INCONNUE"))</f>
        <v/>
      </c>
      <c r="J1000" s="9">
        <f>IF($D1000="","",ROUND($D1000,2))</f>
        <v/>
      </c>
    </row>
    <row r="1001">
      <c r="A1001" s="6" t="n"/>
      <c r="B1001" s="6" t="n"/>
      <c r="C1001" s="7" t="n"/>
      <c r="D1001" s="8" t="n"/>
      <c r="E1001" s="6" t="n"/>
      <c r="F1001" s="6" t="n"/>
      <c r="G1001" s="6" t="n"/>
      <c r="H1001" s="6" t="n"/>
      <c r="I1001" s="12">
        <f>IF($B1001="","",IF(COUNTIF(Ventes_Factures!$A$6:$A$3005,$B1001)&gt;0,"OK","INCONNUE"))</f>
        <v/>
      </c>
      <c r="J1001" s="9">
        <f>IF($D1001="","",ROUND($D1001,2))</f>
        <v/>
      </c>
    </row>
    <row r="1002">
      <c r="A1002" s="6" t="n"/>
      <c r="B1002" s="6" t="n"/>
      <c r="C1002" s="7" t="n"/>
      <c r="D1002" s="8" t="n"/>
      <c r="E1002" s="6" t="n"/>
      <c r="F1002" s="6" t="n"/>
      <c r="G1002" s="6" t="n"/>
      <c r="H1002" s="6" t="n"/>
      <c r="I1002" s="12">
        <f>IF($B1002="","",IF(COUNTIF(Ventes_Factures!$A$6:$A$3005,$B1002)&gt;0,"OK","INCONNUE"))</f>
        <v/>
      </c>
      <c r="J1002" s="9">
        <f>IF($D1002="","",ROUND($D1002,2))</f>
        <v/>
      </c>
    </row>
    <row r="1003">
      <c r="A1003" s="6" t="n"/>
      <c r="B1003" s="6" t="n"/>
      <c r="C1003" s="7" t="n"/>
      <c r="D1003" s="8" t="n"/>
      <c r="E1003" s="6" t="n"/>
      <c r="F1003" s="6" t="n"/>
      <c r="G1003" s="6" t="n"/>
      <c r="H1003" s="6" t="n"/>
      <c r="I1003" s="12">
        <f>IF($B1003="","",IF(COUNTIF(Ventes_Factures!$A$6:$A$3005,$B1003)&gt;0,"OK","INCONNUE"))</f>
        <v/>
      </c>
      <c r="J1003" s="9">
        <f>IF($D1003="","",ROUND($D1003,2))</f>
        <v/>
      </c>
    </row>
    <row r="1004">
      <c r="A1004" s="6" t="n"/>
      <c r="B1004" s="6" t="n"/>
      <c r="C1004" s="7" t="n"/>
      <c r="D1004" s="8" t="n"/>
      <c r="E1004" s="6" t="n"/>
      <c r="F1004" s="6" t="n"/>
      <c r="G1004" s="6" t="n"/>
      <c r="H1004" s="6" t="n"/>
      <c r="I1004" s="12">
        <f>IF($B1004="","",IF(COUNTIF(Ventes_Factures!$A$6:$A$3005,$B1004)&gt;0,"OK","INCONNUE"))</f>
        <v/>
      </c>
      <c r="J1004" s="9">
        <f>IF($D1004="","",ROUND($D1004,2))</f>
        <v/>
      </c>
    </row>
    <row r="1005">
      <c r="A1005" s="6" t="n"/>
      <c r="B1005" s="6" t="n"/>
      <c r="C1005" s="7" t="n"/>
      <c r="D1005" s="8" t="n"/>
      <c r="E1005" s="6" t="n"/>
      <c r="F1005" s="6" t="n"/>
      <c r="G1005" s="6" t="n"/>
      <c r="H1005" s="6" t="n"/>
      <c r="I1005" s="12">
        <f>IF($B1005="","",IF(COUNTIF(Ventes_Factures!$A$6:$A$3005,$B1005)&gt;0,"OK","INCONNUE"))</f>
        <v/>
      </c>
      <c r="J1005" s="9">
        <f>IF($D1005="","",ROUND($D1005,2))</f>
        <v/>
      </c>
    </row>
    <row r="1006">
      <c r="A1006" s="6" t="n"/>
      <c r="B1006" s="6" t="n"/>
      <c r="C1006" s="7" t="n"/>
      <c r="D1006" s="8" t="n"/>
      <c r="E1006" s="6" t="n"/>
      <c r="F1006" s="6" t="n"/>
      <c r="G1006" s="6" t="n"/>
      <c r="H1006" s="6" t="n"/>
      <c r="I1006" s="12">
        <f>IF($B1006="","",IF(COUNTIF(Ventes_Factures!$A$6:$A$3005,$B1006)&gt;0,"OK","INCONNUE"))</f>
        <v/>
      </c>
      <c r="J1006" s="9">
        <f>IF($D1006="","",ROUND($D1006,2))</f>
        <v/>
      </c>
    </row>
    <row r="1007">
      <c r="A1007" s="6" t="n"/>
      <c r="B1007" s="6" t="n"/>
      <c r="C1007" s="7" t="n"/>
      <c r="D1007" s="8" t="n"/>
      <c r="E1007" s="6" t="n"/>
      <c r="F1007" s="6" t="n"/>
      <c r="G1007" s="6" t="n"/>
      <c r="H1007" s="6" t="n"/>
      <c r="I1007" s="12">
        <f>IF($B1007="","",IF(COUNTIF(Ventes_Factures!$A$6:$A$3005,$B1007)&gt;0,"OK","INCONNUE"))</f>
        <v/>
      </c>
      <c r="J1007" s="9">
        <f>IF($D1007="","",ROUND($D1007,2))</f>
        <v/>
      </c>
    </row>
    <row r="1008">
      <c r="A1008" s="6" t="n"/>
      <c r="B1008" s="6" t="n"/>
      <c r="C1008" s="7" t="n"/>
      <c r="D1008" s="8" t="n"/>
      <c r="E1008" s="6" t="n"/>
      <c r="F1008" s="6" t="n"/>
      <c r="G1008" s="6" t="n"/>
      <c r="H1008" s="6" t="n"/>
      <c r="I1008" s="12">
        <f>IF($B1008="","",IF(COUNTIF(Ventes_Factures!$A$6:$A$3005,$B1008)&gt;0,"OK","INCONNUE"))</f>
        <v/>
      </c>
      <c r="J1008" s="9">
        <f>IF($D1008="","",ROUND($D1008,2))</f>
        <v/>
      </c>
    </row>
    <row r="1009">
      <c r="A1009" s="6" t="n"/>
      <c r="B1009" s="6" t="n"/>
      <c r="C1009" s="7" t="n"/>
      <c r="D1009" s="8" t="n"/>
      <c r="E1009" s="6" t="n"/>
      <c r="F1009" s="6" t="n"/>
      <c r="G1009" s="6" t="n"/>
      <c r="H1009" s="6" t="n"/>
      <c r="I1009" s="12">
        <f>IF($B1009="","",IF(COUNTIF(Ventes_Factures!$A$6:$A$3005,$B1009)&gt;0,"OK","INCONNUE"))</f>
        <v/>
      </c>
      <c r="J1009" s="9">
        <f>IF($D1009="","",ROUND($D1009,2))</f>
        <v/>
      </c>
    </row>
    <row r="1010">
      <c r="A1010" s="6" t="n"/>
      <c r="B1010" s="6" t="n"/>
      <c r="C1010" s="7" t="n"/>
      <c r="D1010" s="8" t="n"/>
      <c r="E1010" s="6" t="n"/>
      <c r="F1010" s="6" t="n"/>
      <c r="G1010" s="6" t="n"/>
      <c r="H1010" s="6" t="n"/>
      <c r="I1010" s="12">
        <f>IF($B1010="","",IF(COUNTIF(Ventes_Factures!$A$6:$A$3005,$B1010)&gt;0,"OK","INCONNUE"))</f>
        <v/>
      </c>
      <c r="J1010" s="9">
        <f>IF($D1010="","",ROUND($D1010,2))</f>
        <v/>
      </c>
    </row>
    <row r="1011">
      <c r="A1011" s="6" t="n"/>
      <c r="B1011" s="6" t="n"/>
      <c r="C1011" s="7" t="n"/>
      <c r="D1011" s="8" t="n"/>
      <c r="E1011" s="6" t="n"/>
      <c r="F1011" s="6" t="n"/>
      <c r="G1011" s="6" t="n"/>
      <c r="H1011" s="6" t="n"/>
      <c r="I1011" s="12">
        <f>IF($B1011="","",IF(COUNTIF(Ventes_Factures!$A$6:$A$3005,$B1011)&gt;0,"OK","INCONNUE"))</f>
        <v/>
      </c>
      <c r="J1011" s="9">
        <f>IF($D1011="","",ROUND($D1011,2))</f>
        <v/>
      </c>
    </row>
    <row r="1012">
      <c r="A1012" s="6" t="n"/>
      <c r="B1012" s="6" t="n"/>
      <c r="C1012" s="7" t="n"/>
      <c r="D1012" s="8" t="n"/>
      <c r="E1012" s="6" t="n"/>
      <c r="F1012" s="6" t="n"/>
      <c r="G1012" s="6" t="n"/>
      <c r="H1012" s="6" t="n"/>
      <c r="I1012" s="12">
        <f>IF($B1012="","",IF(COUNTIF(Ventes_Factures!$A$6:$A$3005,$B1012)&gt;0,"OK","INCONNUE"))</f>
        <v/>
      </c>
      <c r="J1012" s="9">
        <f>IF($D1012="","",ROUND($D1012,2))</f>
        <v/>
      </c>
    </row>
    <row r="1013">
      <c r="A1013" s="6" t="n"/>
      <c r="B1013" s="6" t="n"/>
      <c r="C1013" s="7" t="n"/>
      <c r="D1013" s="8" t="n"/>
      <c r="E1013" s="6" t="n"/>
      <c r="F1013" s="6" t="n"/>
      <c r="G1013" s="6" t="n"/>
      <c r="H1013" s="6" t="n"/>
      <c r="I1013" s="12">
        <f>IF($B1013="","",IF(COUNTIF(Ventes_Factures!$A$6:$A$3005,$B1013)&gt;0,"OK","INCONNUE"))</f>
        <v/>
      </c>
      <c r="J1013" s="9">
        <f>IF($D1013="","",ROUND($D1013,2))</f>
        <v/>
      </c>
    </row>
    <row r="1014">
      <c r="A1014" s="6" t="n"/>
      <c r="B1014" s="6" t="n"/>
      <c r="C1014" s="7" t="n"/>
      <c r="D1014" s="8" t="n"/>
      <c r="E1014" s="6" t="n"/>
      <c r="F1014" s="6" t="n"/>
      <c r="G1014" s="6" t="n"/>
      <c r="H1014" s="6" t="n"/>
      <c r="I1014" s="12">
        <f>IF($B1014="","",IF(COUNTIF(Ventes_Factures!$A$6:$A$3005,$B1014)&gt;0,"OK","INCONNUE"))</f>
        <v/>
      </c>
      <c r="J1014" s="9">
        <f>IF($D1014="","",ROUND($D1014,2))</f>
        <v/>
      </c>
    </row>
    <row r="1015">
      <c r="A1015" s="6" t="n"/>
      <c r="B1015" s="6" t="n"/>
      <c r="C1015" s="7" t="n"/>
      <c r="D1015" s="8" t="n"/>
      <c r="E1015" s="6" t="n"/>
      <c r="F1015" s="6" t="n"/>
      <c r="G1015" s="6" t="n"/>
      <c r="H1015" s="6" t="n"/>
      <c r="I1015" s="12">
        <f>IF($B1015="","",IF(COUNTIF(Ventes_Factures!$A$6:$A$3005,$B1015)&gt;0,"OK","INCONNUE"))</f>
        <v/>
      </c>
      <c r="J1015" s="9">
        <f>IF($D1015="","",ROUND($D1015,2))</f>
        <v/>
      </c>
    </row>
    <row r="1016">
      <c r="A1016" s="6" t="n"/>
      <c r="B1016" s="6" t="n"/>
      <c r="C1016" s="7" t="n"/>
      <c r="D1016" s="8" t="n"/>
      <c r="E1016" s="6" t="n"/>
      <c r="F1016" s="6" t="n"/>
      <c r="G1016" s="6" t="n"/>
      <c r="H1016" s="6" t="n"/>
      <c r="I1016" s="12">
        <f>IF($B1016="","",IF(COUNTIF(Ventes_Factures!$A$6:$A$3005,$B1016)&gt;0,"OK","INCONNUE"))</f>
        <v/>
      </c>
      <c r="J1016" s="9">
        <f>IF($D1016="","",ROUND($D1016,2))</f>
        <v/>
      </c>
    </row>
    <row r="1017">
      <c r="A1017" s="6" t="n"/>
      <c r="B1017" s="6" t="n"/>
      <c r="C1017" s="7" t="n"/>
      <c r="D1017" s="8" t="n"/>
      <c r="E1017" s="6" t="n"/>
      <c r="F1017" s="6" t="n"/>
      <c r="G1017" s="6" t="n"/>
      <c r="H1017" s="6" t="n"/>
      <c r="I1017" s="12">
        <f>IF($B1017="","",IF(COUNTIF(Ventes_Factures!$A$6:$A$3005,$B1017)&gt;0,"OK","INCONNUE"))</f>
        <v/>
      </c>
      <c r="J1017" s="9">
        <f>IF($D1017="","",ROUND($D1017,2))</f>
        <v/>
      </c>
    </row>
    <row r="1018">
      <c r="A1018" s="6" t="n"/>
      <c r="B1018" s="6" t="n"/>
      <c r="C1018" s="7" t="n"/>
      <c r="D1018" s="8" t="n"/>
      <c r="E1018" s="6" t="n"/>
      <c r="F1018" s="6" t="n"/>
      <c r="G1018" s="6" t="n"/>
      <c r="H1018" s="6" t="n"/>
      <c r="I1018" s="12">
        <f>IF($B1018="","",IF(COUNTIF(Ventes_Factures!$A$6:$A$3005,$B1018)&gt;0,"OK","INCONNUE"))</f>
        <v/>
      </c>
      <c r="J1018" s="9">
        <f>IF($D1018="","",ROUND($D1018,2))</f>
        <v/>
      </c>
    </row>
    <row r="1019">
      <c r="A1019" s="6" t="n"/>
      <c r="B1019" s="6" t="n"/>
      <c r="C1019" s="7" t="n"/>
      <c r="D1019" s="8" t="n"/>
      <c r="E1019" s="6" t="n"/>
      <c r="F1019" s="6" t="n"/>
      <c r="G1019" s="6" t="n"/>
      <c r="H1019" s="6" t="n"/>
      <c r="I1019" s="12">
        <f>IF($B1019="","",IF(COUNTIF(Ventes_Factures!$A$6:$A$3005,$B1019)&gt;0,"OK","INCONNUE"))</f>
        <v/>
      </c>
      <c r="J1019" s="9">
        <f>IF($D1019="","",ROUND($D1019,2))</f>
        <v/>
      </c>
    </row>
    <row r="1020">
      <c r="A1020" s="6" t="n"/>
      <c r="B1020" s="6" t="n"/>
      <c r="C1020" s="7" t="n"/>
      <c r="D1020" s="8" t="n"/>
      <c r="E1020" s="6" t="n"/>
      <c r="F1020" s="6" t="n"/>
      <c r="G1020" s="6" t="n"/>
      <c r="H1020" s="6" t="n"/>
      <c r="I1020" s="12">
        <f>IF($B1020="","",IF(COUNTIF(Ventes_Factures!$A$6:$A$3005,$B1020)&gt;0,"OK","INCONNUE"))</f>
        <v/>
      </c>
      <c r="J1020" s="9">
        <f>IF($D1020="","",ROUND($D1020,2))</f>
        <v/>
      </c>
    </row>
    <row r="1021">
      <c r="A1021" s="6" t="n"/>
      <c r="B1021" s="6" t="n"/>
      <c r="C1021" s="7" t="n"/>
      <c r="D1021" s="8" t="n"/>
      <c r="E1021" s="6" t="n"/>
      <c r="F1021" s="6" t="n"/>
      <c r="G1021" s="6" t="n"/>
      <c r="H1021" s="6" t="n"/>
      <c r="I1021" s="12">
        <f>IF($B1021="","",IF(COUNTIF(Ventes_Factures!$A$6:$A$3005,$B1021)&gt;0,"OK","INCONNUE"))</f>
        <v/>
      </c>
      <c r="J1021" s="9">
        <f>IF($D1021="","",ROUND($D1021,2))</f>
        <v/>
      </c>
    </row>
    <row r="1022">
      <c r="A1022" s="6" t="n"/>
      <c r="B1022" s="6" t="n"/>
      <c r="C1022" s="7" t="n"/>
      <c r="D1022" s="8" t="n"/>
      <c r="E1022" s="6" t="n"/>
      <c r="F1022" s="6" t="n"/>
      <c r="G1022" s="6" t="n"/>
      <c r="H1022" s="6" t="n"/>
      <c r="I1022" s="12">
        <f>IF($B1022="","",IF(COUNTIF(Ventes_Factures!$A$6:$A$3005,$B1022)&gt;0,"OK","INCONNUE"))</f>
        <v/>
      </c>
      <c r="J1022" s="9">
        <f>IF($D1022="","",ROUND($D1022,2))</f>
        <v/>
      </c>
    </row>
    <row r="1023">
      <c r="A1023" s="6" t="n"/>
      <c r="B1023" s="6" t="n"/>
      <c r="C1023" s="7" t="n"/>
      <c r="D1023" s="8" t="n"/>
      <c r="E1023" s="6" t="n"/>
      <c r="F1023" s="6" t="n"/>
      <c r="G1023" s="6" t="n"/>
      <c r="H1023" s="6" t="n"/>
      <c r="I1023" s="12">
        <f>IF($B1023="","",IF(COUNTIF(Ventes_Factures!$A$6:$A$3005,$B1023)&gt;0,"OK","INCONNUE"))</f>
        <v/>
      </c>
      <c r="J1023" s="9">
        <f>IF($D1023="","",ROUND($D1023,2))</f>
        <v/>
      </c>
    </row>
    <row r="1024">
      <c r="A1024" s="6" t="n"/>
      <c r="B1024" s="6" t="n"/>
      <c r="C1024" s="7" t="n"/>
      <c r="D1024" s="8" t="n"/>
      <c r="E1024" s="6" t="n"/>
      <c r="F1024" s="6" t="n"/>
      <c r="G1024" s="6" t="n"/>
      <c r="H1024" s="6" t="n"/>
      <c r="I1024" s="12">
        <f>IF($B1024="","",IF(COUNTIF(Ventes_Factures!$A$6:$A$3005,$B1024)&gt;0,"OK","INCONNUE"))</f>
        <v/>
      </c>
      <c r="J1024" s="9">
        <f>IF($D1024="","",ROUND($D1024,2))</f>
        <v/>
      </c>
    </row>
    <row r="1025">
      <c r="A1025" s="6" t="n"/>
      <c r="B1025" s="6" t="n"/>
      <c r="C1025" s="7" t="n"/>
      <c r="D1025" s="8" t="n"/>
      <c r="E1025" s="6" t="n"/>
      <c r="F1025" s="6" t="n"/>
      <c r="G1025" s="6" t="n"/>
      <c r="H1025" s="6" t="n"/>
      <c r="I1025" s="12">
        <f>IF($B1025="","",IF(COUNTIF(Ventes_Factures!$A$6:$A$3005,$B1025)&gt;0,"OK","INCONNUE"))</f>
        <v/>
      </c>
      <c r="J1025" s="9">
        <f>IF($D1025="","",ROUND($D1025,2))</f>
        <v/>
      </c>
    </row>
    <row r="1026">
      <c r="A1026" s="6" t="n"/>
      <c r="B1026" s="6" t="n"/>
      <c r="C1026" s="7" t="n"/>
      <c r="D1026" s="8" t="n"/>
      <c r="E1026" s="6" t="n"/>
      <c r="F1026" s="6" t="n"/>
      <c r="G1026" s="6" t="n"/>
      <c r="H1026" s="6" t="n"/>
      <c r="I1026" s="12">
        <f>IF($B1026="","",IF(COUNTIF(Ventes_Factures!$A$6:$A$3005,$B1026)&gt;0,"OK","INCONNUE"))</f>
        <v/>
      </c>
      <c r="J1026" s="9">
        <f>IF($D1026="","",ROUND($D1026,2))</f>
        <v/>
      </c>
    </row>
    <row r="1027">
      <c r="A1027" s="6" t="n"/>
      <c r="B1027" s="6" t="n"/>
      <c r="C1027" s="7" t="n"/>
      <c r="D1027" s="8" t="n"/>
      <c r="E1027" s="6" t="n"/>
      <c r="F1027" s="6" t="n"/>
      <c r="G1027" s="6" t="n"/>
      <c r="H1027" s="6" t="n"/>
      <c r="I1027" s="12">
        <f>IF($B1027="","",IF(COUNTIF(Ventes_Factures!$A$6:$A$3005,$B1027)&gt;0,"OK","INCONNUE"))</f>
        <v/>
      </c>
      <c r="J1027" s="9">
        <f>IF($D1027="","",ROUND($D1027,2))</f>
        <v/>
      </c>
    </row>
    <row r="1028">
      <c r="A1028" s="6" t="n"/>
      <c r="B1028" s="6" t="n"/>
      <c r="C1028" s="7" t="n"/>
      <c r="D1028" s="8" t="n"/>
      <c r="E1028" s="6" t="n"/>
      <c r="F1028" s="6" t="n"/>
      <c r="G1028" s="6" t="n"/>
      <c r="H1028" s="6" t="n"/>
      <c r="I1028" s="12">
        <f>IF($B1028="","",IF(COUNTIF(Ventes_Factures!$A$6:$A$3005,$B1028)&gt;0,"OK","INCONNUE"))</f>
        <v/>
      </c>
      <c r="J1028" s="9">
        <f>IF($D1028="","",ROUND($D1028,2))</f>
        <v/>
      </c>
    </row>
    <row r="1029">
      <c r="A1029" s="6" t="n"/>
      <c r="B1029" s="6" t="n"/>
      <c r="C1029" s="7" t="n"/>
      <c r="D1029" s="8" t="n"/>
      <c r="E1029" s="6" t="n"/>
      <c r="F1029" s="6" t="n"/>
      <c r="G1029" s="6" t="n"/>
      <c r="H1029" s="6" t="n"/>
      <c r="I1029" s="12">
        <f>IF($B1029="","",IF(COUNTIF(Ventes_Factures!$A$6:$A$3005,$B1029)&gt;0,"OK","INCONNUE"))</f>
        <v/>
      </c>
      <c r="J1029" s="9">
        <f>IF($D1029="","",ROUND($D1029,2))</f>
        <v/>
      </c>
    </row>
    <row r="1030">
      <c r="A1030" s="6" t="n"/>
      <c r="B1030" s="6" t="n"/>
      <c r="C1030" s="7" t="n"/>
      <c r="D1030" s="8" t="n"/>
      <c r="E1030" s="6" t="n"/>
      <c r="F1030" s="6" t="n"/>
      <c r="G1030" s="6" t="n"/>
      <c r="H1030" s="6" t="n"/>
      <c r="I1030" s="12">
        <f>IF($B1030="","",IF(COUNTIF(Ventes_Factures!$A$6:$A$3005,$B1030)&gt;0,"OK","INCONNUE"))</f>
        <v/>
      </c>
      <c r="J1030" s="9">
        <f>IF($D1030="","",ROUND($D1030,2))</f>
        <v/>
      </c>
    </row>
    <row r="1031">
      <c r="A1031" s="6" t="n"/>
      <c r="B1031" s="6" t="n"/>
      <c r="C1031" s="7" t="n"/>
      <c r="D1031" s="8" t="n"/>
      <c r="E1031" s="6" t="n"/>
      <c r="F1031" s="6" t="n"/>
      <c r="G1031" s="6" t="n"/>
      <c r="H1031" s="6" t="n"/>
      <c r="I1031" s="12">
        <f>IF($B1031="","",IF(COUNTIF(Ventes_Factures!$A$6:$A$3005,$B1031)&gt;0,"OK","INCONNUE"))</f>
        <v/>
      </c>
      <c r="J1031" s="9">
        <f>IF($D1031="","",ROUND($D1031,2))</f>
        <v/>
      </c>
    </row>
    <row r="1032">
      <c r="A1032" s="6" t="n"/>
      <c r="B1032" s="6" t="n"/>
      <c r="C1032" s="7" t="n"/>
      <c r="D1032" s="8" t="n"/>
      <c r="E1032" s="6" t="n"/>
      <c r="F1032" s="6" t="n"/>
      <c r="G1032" s="6" t="n"/>
      <c r="H1032" s="6" t="n"/>
      <c r="I1032" s="12">
        <f>IF($B1032="","",IF(COUNTIF(Ventes_Factures!$A$6:$A$3005,$B1032)&gt;0,"OK","INCONNUE"))</f>
        <v/>
      </c>
      <c r="J1032" s="9">
        <f>IF($D1032="","",ROUND($D1032,2))</f>
        <v/>
      </c>
    </row>
    <row r="1033">
      <c r="A1033" s="6" t="n"/>
      <c r="B1033" s="6" t="n"/>
      <c r="C1033" s="7" t="n"/>
      <c r="D1033" s="8" t="n"/>
      <c r="E1033" s="6" t="n"/>
      <c r="F1033" s="6" t="n"/>
      <c r="G1033" s="6" t="n"/>
      <c r="H1033" s="6" t="n"/>
      <c r="I1033" s="12">
        <f>IF($B1033="","",IF(COUNTIF(Ventes_Factures!$A$6:$A$3005,$B1033)&gt;0,"OK","INCONNUE"))</f>
        <v/>
      </c>
      <c r="J1033" s="9">
        <f>IF($D1033="","",ROUND($D1033,2))</f>
        <v/>
      </c>
    </row>
    <row r="1034">
      <c r="A1034" s="6" t="n"/>
      <c r="B1034" s="6" t="n"/>
      <c r="C1034" s="7" t="n"/>
      <c r="D1034" s="8" t="n"/>
      <c r="E1034" s="6" t="n"/>
      <c r="F1034" s="6" t="n"/>
      <c r="G1034" s="6" t="n"/>
      <c r="H1034" s="6" t="n"/>
      <c r="I1034" s="12">
        <f>IF($B1034="","",IF(COUNTIF(Ventes_Factures!$A$6:$A$3005,$B1034)&gt;0,"OK","INCONNUE"))</f>
        <v/>
      </c>
      <c r="J1034" s="9">
        <f>IF($D1034="","",ROUND($D1034,2))</f>
        <v/>
      </c>
    </row>
    <row r="1035">
      <c r="A1035" s="6" t="n"/>
      <c r="B1035" s="6" t="n"/>
      <c r="C1035" s="7" t="n"/>
      <c r="D1035" s="8" t="n"/>
      <c r="E1035" s="6" t="n"/>
      <c r="F1035" s="6" t="n"/>
      <c r="G1035" s="6" t="n"/>
      <c r="H1035" s="6" t="n"/>
      <c r="I1035" s="12">
        <f>IF($B1035="","",IF(COUNTIF(Ventes_Factures!$A$6:$A$3005,$B1035)&gt;0,"OK","INCONNUE"))</f>
        <v/>
      </c>
      <c r="J1035" s="9">
        <f>IF($D1035="","",ROUND($D1035,2))</f>
        <v/>
      </c>
    </row>
    <row r="1036">
      <c r="A1036" s="6" t="n"/>
      <c r="B1036" s="6" t="n"/>
      <c r="C1036" s="7" t="n"/>
      <c r="D1036" s="8" t="n"/>
      <c r="E1036" s="6" t="n"/>
      <c r="F1036" s="6" t="n"/>
      <c r="G1036" s="6" t="n"/>
      <c r="H1036" s="6" t="n"/>
      <c r="I1036" s="12">
        <f>IF($B1036="","",IF(COUNTIF(Ventes_Factures!$A$6:$A$3005,$B1036)&gt;0,"OK","INCONNUE"))</f>
        <v/>
      </c>
      <c r="J1036" s="9">
        <f>IF($D1036="","",ROUND($D1036,2))</f>
        <v/>
      </c>
    </row>
    <row r="1037">
      <c r="A1037" s="6" t="n"/>
      <c r="B1037" s="6" t="n"/>
      <c r="C1037" s="7" t="n"/>
      <c r="D1037" s="8" t="n"/>
      <c r="E1037" s="6" t="n"/>
      <c r="F1037" s="6" t="n"/>
      <c r="G1037" s="6" t="n"/>
      <c r="H1037" s="6" t="n"/>
      <c r="I1037" s="12">
        <f>IF($B1037="","",IF(COUNTIF(Ventes_Factures!$A$6:$A$3005,$B1037)&gt;0,"OK","INCONNUE"))</f>
        <v/>
      </c>
      <c r="J1037" s="9">
        <f>IF($D1037="","",ROUND($D1037,2))</f>
        <v/>
      </c>
    </row>
    <row r="1038">
      <c r="A1038" s="6" t="n"/>
      <c r="B1038" s="6" t="n"/>
      <c r="C1038" s="7" t="n"/>
      <c r="D1038" s="8" t="n"/>
      <c r="E1038" s="6" t="n"/>
      <c r="F1038" s="6" t="n"/>
      <c r="G1038" s="6" t="n"/>
      <c r="H1038" s="6" t="n"/>
      <c r="I1038" s="12">
        <f>IF($B1038="","",IF(COUNTIF(Ventes_Factures!$A$6:$A$3005,$B1038)&gt;0,"OK","INCONNUE"))</f>
        <v/>
      </c>
      <c r="J1038" s="9">
        <f>IF($D1038="","",ROUND($D1038,2))</f>
        <v/>
      </c>
    </row>
    <row r="1039">
      <c r="A1039" s="6" t="n"/>
      <c r="B1039" s="6" t="n"/>
      <c r="C1039" s="7" t="n"/>
      <c r="D1039" s="8" t="n"/>
      <c r="E1039" s="6" t="n"/>
      <c r="F1039" s="6" t="n"/>
      <c r="G1039" s="6" t="n"/>
      <c r="H1039" s="6" t="n"/>
      <c r="I1039" s="12">
        <f>IF($B1039="","",IF(COUNTIF(Ventes_Factures!$A$6:$A$3005,$B1039)&gt;0,"OK","INCONNUE"))</f>
        <v/>
      </c>
      <c r="J1039" s="9">
        <f>IF($D1039="","",ROUND($D1039,2))</f>
        <v/>
      </c>
    </row>
    <row r="1040">
      <c r="A1040" s="6" t="n"/>
      <c r="B1040" s="6" t="n"/>
      <c r="C1040" s="7" t="n"/>
      <c r="D1040" s="8" t="n"/>
      <c r="E1040" s="6" t="n"/>
      <c r="F1040" s="6" t="n"/>
      <c r="G1040" s="6" t="n"/>
      <c r="H1040" s="6" t="n"/>
      <c r="I1040" s="12">
        <f>IF($B1040="","",IF(COUNTIF(Ventes_Factures!$A$6:$A$3005,$B1040)&gt;0,"OK","INCONNUE"))</f>
        <v/>
      </c>
      <c r="J1040" s="9">
        <f>IF($D1040="","",ROUND($D1040,2))</f>
        <v/>
      </c>
    </row>
    <row r="1041">
      <c r="A1041" s="6" t="n"/>
      <c r="B1041" s="6" t="n"/>
      <c r="C1041" s="7" t="n"/>
      <c r="D1041" s="8" t="n"/>
      <c r="E1041" s="6" t="n"/>
      <c r="F1041" s="6" t="n"/>
      <c r="G1041" s="6" t="n"/>
      <c r="H1041" s="6" t="n"/>
      <c r="I1041" s="12">
        <f>IF($B1041="","",IF(COUNTIF(Ventes_Factures!$A$6:$A$3005,$B1041)&gt;0,"OK","INCONNUE"))</f>
        <v/>
      </c>
      <c r="J1041" s="9">
        <f>IF($D1041="","",ROUND($D1041,2))</f>
        <v/>
      </c>
    </row>
    <row r="1042">
      <c r="A1042" s="6" t="n"/>
      <c r="B1042" s="6" t="n"/>
      <c r="C1042" s="7" t="n"/>
      <c r="D1042" s="8" t="n"/>
      <c r="E1042" s="6" t="n"/>
      <c r="F1042" s="6" t="n"/>
      <c r="G1042" s="6" t="n"/>
      <c r="H1042" s="6" t="n"/>
      <c r="I1042" s="12">
        <f>IF($B1042="","",IF(COUNTIF(Ventes_Factures!$A$6:$A$3005,$B1042)&gt;0,"OK","INCONNUE"))</f>
        <v/>
      </c>
      <c r="J1042" s="9">
        <f>IF($D1042="","",ROUND($D1042,2))</f>
        <v/>
      </c>
    </row>
    <row r="1043">
      <c r="A1043" s="6" t="n"/>
      <c r="B1043" s="6" t="n"/>
      <c r="C1043" s="7" t="n"/>
      <c r="D1043" s="8" t="n"/>
      <c r="E1043" s="6" t="n"/>
      <c r="F1043" s="6" t="n"/>
      <c r="G1043" s="6" t="n"/>
      <c r="H1043" s="6" t="n"/>
      <c r="I1043" s="12">
        <f>IF($B1043="","",IF(COUNTIF(Ventes_Factures!$A$6:$A$3005,$B1043)&gt;0,"OK","INCONNUE"))</f>
        <v/>
      </c>
      <c r="J1043" s="9">
        <f>IF($D1043="","",ROUND($D1043,2))</f>
        <v/>
      </c>
    </row>
    <row r="1044">
      <c r="A1044" s="6" t="n"/>
      <c r="B1044" s="6" t="n"/>
      <c r="C1044" s="7" t="n"/>
      <c r="D1044" s="8" t="n"/>
      <c r="E1044" s="6" t="n"/>
      <c r="F1044" s="6" t="n"/>
      <c r="G1044" s="6" t="n"/>
      <c r="H1044" s="6" t="n"/>
      <c r="I1044" s="12">
        <f>IF($B1044="","",IF(COUNTIF(Ventes_Factures!$A$6:$A$3005,$B1044)&gt;0,"OK","INCONNUE"))</f>
        <v/>
      </c>
      <c r="J1044" s="9">
        <f>IF($D1044="","",ROUND($D1044,2))</f>
        <v/>
      </c>
    </row>
    <row r="1045">
      <c r="A1045" s="6" t="n"/>
      <c r="B1045" s="6" t="n"/>
      <c r="C1045" s="7" t="n"/>
      <c r="D1045" s="8" t="n"/>
      <c r="E1045" s="6" t="n"/>
      <c r="F1045" s="6" t="n"/>
      <c r="G1045" s="6" t="n"/>
      <c r="H1045" s="6" t="n"/>
      <c r="I1045" s="12">
        <f>IF($B1045="","",IF(COUNTIF(Ventes_Factures!$A$6:$A$3005,$B1045)&gt;0,"OK","INCONNUE"))</f>
        <v/>
      </c>
      <c r="J1045" s="9">
        <f>IF($D1045="","",ROUND($D1045,2))</f>
        <v/>
      </c>
    </row>
    <row r="1046">
      <c r="A1046" s="6" t="n"/>
      <c r="B1046" s="6" t="n"/>
      <c r="C1046" s="7" t="n"/>
      <c r="D1046" s="8" t="n"/>
      <c r="E1046" s="6" t="n"/>
      <c r="F1046" s="6" t="n"/>
      <c r="G1046" s="6" t="n"/>
      <c r="H1046" s="6" t="n"/>
      <c r="I1046" s="12">
        <f>IF($B1046="","",IF(COUNTIF(Ventes_Factures!$A$6:$A$3005,$B1046)&gt;0,"OK","INCONNUE"))</f>
        <v/>
      </c>
      <c r="J1046" s="9">
        <f>IF($D1046="","",ROUND($D1046,2))</f>
        <v/>
      </c>
    </row>
    <row r="1047">
      <c r="A1047" s="6" t="n"/>
      <c r="B1047" s="6" t="n"/>
      <c r="C1047" s="7" t="n"/>
      <c r="D1047" s="8" t="n"/>
      <c r="E1047" s="6" t="n"/>
      <c r="F1047" s="6" t="n"/>
      <c r="G1047" s="6" t="n"/>
      <c r="H1047" s="6" t="n"/>
      <c r="I1047" s="12">
        <f>IF($B1047="","",IF(COUNTIF(Ventes_Factures!$A$6:$A$3005,$B1047)&gt;0,"OK","INCONNUE"))</f>
        <v/>
      </c>
      <c r="J1047" s="9">
        <f>IF($D1047="","",ROUND($D1047,2))</f>
        <v/>
      </c>
    </row>
    <row r="1048">
      <c r="A1048" s="6" t="n"/>
      <c r="B1048" s="6" t="n"/>
      <c r="C1048" s="7" t="n"/>
      <c r="D1048" s="8" t="n"/>
      <c r="E1048" s="6" t="n"/>
      <c r="F1048" s="6" t="n"/>
      <c r="G1048" s="6" t="n"/>
      <c r="H1048" s="6" t="n"/>
      <c r="I1048" s="12">
        <f>IF($B1048="","",IF(COUNTIF(Ventes_Factures!$A$6:$A$3005,$B1048)&gt;0,"OK","INCONNUE"))</f>
        <v/>
      </c>
      <c r="J1048" s="9">
        <f>IF($D1048="","",ROUND($D1048,2))</f>
        <v/>
      </c>
    </row>
    <row r="1049">
      <c r="A1049" s="6" t="n"/>
      <c r="B1049" s="6" t="n"/>
      <c r="C1049" s="7" t="n"/>
      <c r="D1049" s="8" t="n"/>
      <c r="E1049" s="6" t="n"/>
      <c r="F1049" s="6" t="n"/>
      <c r="G1049" s="6" t="n"/>
      <c r="H1049" s="6" t="n"/>
      <c r="I1049" s="12">
        <f>IF($B1049="","",IF(COUNTIF(Ventes_Factures!$A$6:$A$3005,$B1049)&gt;0,"OK","INCONNUE"))</f>
        <v/>
      </c>
      <c r="J1049" s="9">
        <f>IF($D1049="","",ROUND($D1049,2))</f>
        <v/>
      </c>
    </row>
    <row r="1050">
      <c r="A1050" s="6" t="n"/>
      <c r="B1050" s="6" t="n"/>
      <c r="C1050" s="7" t="n"/>
      <c r="D1050" s="8" t="n"/>
      <c r="E1050" s="6" t="n"/>
      <c r="F1050" s="6" t="n"/>
      <c r="G1050" s="6" t="n"/>
      <c r="H1050" s="6" t="n"/>
      <c r="I1050" s="12">
        <f>IF($B1050="","",IF(COUNTIF(Ventes_Factures!$A$6:$A$3005,$B1050)&gt;0,"OK","INCONNUE"))</f>
        <v/>
      </c>
      <c r="J1050" s="9">
        <f>IF($D1050="","",ROUND($D1050,2))</f>
        <v/>
      </c>
    </row>
    <row r="1051">
      <c r="A1051" s="6" t="n"/>
      <c r="B1051" s="6" t="n"/>
      <c r="C1051" s="7" t="n"/>
      <c r="D1051" s="8" t="n"/>
      <c r="E1051" s="6" t="n"/>
      <c r="F1051" s="6" t="n"/>
      <c r="G1051" s="6" t="n"/>
      <c r="H1051" s="6" t="n"/>
      <c r="I1051" s="12">
        <f>IF($B1051="","",IF(COUNTIF(Ventes_Factures!$A$6:$A$3005,$B1051)&gt;0,"OK","INCONNUE"))</f>
        <v/>
      </c>
      <c r="J1051" s="9">
        <f>IF($D1051="","",ROUND($D1051,2))</f>
        <v/>
      </c>
    </row>
    <row r="1052">
      <c r="A1052" s="6" t="n"/>
      <c r="B1052" s="6" t="n"/>
      <c r="C1052" s="7" t="n"/>
      <c r="D1052" s="8" t="n"/>
      <c r="E1052" s="6" t="n"/>
      <c r="F1052" s="6" t="n"/>
      <c r="G1052" s="6" t="n"/>
      <c r="H1052" s="6" t="n"/>
      <c r="I1052" s="12">
        <f>IF($B1052="","",IF(COUNTIF(Ventes_Factures!$A$6:$A$3005,$B1052)&gt;0,"OK","INCONNUE"))</f>
        <v/>
      </c>
      <c r="J1052" s="9">
        <f>IF($D1052="","",ROUND($D1052,2))</f>
        <v/>
      </c>
    </row>
    <row r="1053">
      <c r="A1053" s="6" t="n"/>
      <c r="B1053" s="6" t="n"/>
      <c r="C1053" s="7" t="n"/>
      <c r="D1053" s="8" t="n"/>
      <c r="E1053" s="6" t="n"/>
      <c r="F1053" s="6" t="n"/>
      <c r="G1053" s="6" t="n"/>
      <c r="H1053" s="6" t="n"/>
      <c r="I1053" s="12">
        <f>IF($B1053="","",IF(COUNTIF(Ventes_Factures!$A$6:$A$3005,$B1053)&gt;0,"OK","INCONNUE"))</f>
        <v/>
      </c>
      <c r="J1053" s="9">
        <f>IF($D1053="","",ROUND($D1053,2))</f>
        <v/>
      </c>
    </row>
    <row r="1054">
      <c r="A1054" s="6" t="n"/>
      <c r="B1054" s="6" t="n"/>
      <c r="C1054" s="7" t="n"/>
      <c r="D1054" s="8" t="n"/>
      <c r="E1054" s="6" t="n"/>
      <c r="F1054" s="6" t="n"/>
      <c r="G1054" s="6" t="n"/>
      <c r="H1054" s="6" t="n"/>
      <c r="I1054" s="12">
        <f>IF($B1054="","",IF(COUNTIF(Ventes_Factures!$A$6:$A$3005,$B1054)&gt;0,"OK","INCONNUE"))</f>
        <v/>
      </c>
      <c r="J1054" s="9">
        <f>IF($D1054="","",ROUND($D1054,2))</f>
        <v/>
      </c>
    </row>
    <row r="1055">
      <c r="A1055" s="6" t="n"/>
      <c r="B1055" s="6" t="n"/>
      <c r="C1055" s="7" t="n"/>
      <c r="D1055" s="8" t="n"/>
      <c r="E1055" s="6" t="n"/>
      <c r="F1055" s="6" t="n"/>
      <c r="G1055" s="6" t="n"/>
      <c r="H1055" s="6" t="n"/>
      <c r="I1055" s="12">
        <f>IF($B1055="","",IF(COUNTIF(Ventes_Factures!$A$6:$A$3005,$B1055)&gt;0,"OK","INCONNUE"))</f>
        <v/>
      </c>
      <c r="J1055" s="9">
        <f>IF($D1055="","",ROUND($D1055,2))</f>
        <v/>
      </c>
    </row>
    <row r="1056">
      <c r="A1056" s="6" t="n"/>
      <c r="B1056" s="6" t="n"/>
      <c r="C1056" s="7" t="n"/>
      <c r="D1056" s="8" t="n"/>
      <c r="E1056" s="6" t="n"/>
      <c r="F1056" s="6" t="n"/>
      <c r="G1056" s="6" t="n"/>
      <c r="H1056" s="6" t="n"/>
      <c r="I1056" s="12">
        <f>IF($B1056="","",IF(COUNTIF(Ventes_Factures!$A$6:$A$3005,$B1056)&gt;0,"OK","INCONNUE"))</f>
        <v/>
      </c>
      <c r="J1056" s="9">
        <f>IF($D1056="","",ROUND($D1056,2))</f>
        <v/>
      </c>
    </row>
    <row r="1057">
      <c r="A1057" s="6" t="n"/>
      <c r="B1057" s="6" t="n"/>
      <c r="C1057" s="7" t="n"/>
      <c r="D1057" s="8" t="n"/>
      <c r="E1057" s="6" t="n"/>
      <c r="F1057" s="6" t="n"/>
      <c r="G1057" s="6" t="n"/>
      <c r="H1057" s="6" t="n"/>
      <c r="I1057" s="12">
        <f>IF($B1057="","",IF(COUNTIF(Ventes_Factures!$A$6:$A$3005,$B1057)&gt;0,"OK","INCONNUE"))</f>
        <v/>
      </c>
      <c r="J1057" s="9">
        <f>IF($D1057="","",ROUND($D1057,2))</f>
        <v/>
      </c>
    </row>
    <row r="1058">
      <c r="A1058" s="6" t="n"/>
      <c r="B1058" s="6" t="n"/>
      <c r="C1058" s="7" t="n"/>
      <c r="D1058" s="8" t="n"/>
      <c r="E1058" s="6" t="n"/>
      <c r="F1058" s="6" t="n"/>
      <c r="G1058" s="6" t="n"/>
      <c r="H1058" s="6" t="n"/>
      <c r="I1058" s="12">
        <f>IF($B1058="","",IF(COUNTIF(Ventes_Factures!$A$6:$A$3005,$B1058)&gt;0,"OK","INCONNUE"))</f>
        <v/>
      </c>
      <c r="J1058" s="9">
        <f>IF($D1058="","",ROUND($D1058,2))</f>
        <v/>
      </c>
    </row>
    <row r="1059">
      <c r="A1059" s="6" t="n"/>
      <c r="B1059" s="6" t="n"/>
      <c r="C1059" s="7" t="n"/>
      <c r="D1059" s="8" t="n"/>
      <c r="E1059" s="6" t="n"/>
      <c r="F1059" s="6" t="n"/>
      <c r="G1059" s="6" t="n"/>
      <c r="H1059" s="6" t="n"/>
      <c r="I1059" s="12">
        <f>IF($B1059="","",IF(COUNTIF(Ventes_Factures!$A$6:$A$3005,$B1059)&gt;0,"OK","INCONNUE"))</f>
        <v/>
      </c>
      <c r="J1059" s="9">
        <f>IF($D1059="","",ROUND($D1059,2))</f>
        <v/>
      </c>
    </row>
    <row r="1060">
      <c r="A1060" s="6" t="n"/>
      <c r="B1060" s="6" t="n"/>
      <c r="C1060" s="7" t="n"/>
      <c r="D1060" s="8" t="n"/>
      <c r="E1060" s="6" t="n"/>
      <c r="F1060" s="6" t="n"/>
      <c r="G1060" s="6" t="n"/>
      <c r="H1060" s="6" t="n"/>
      <c r="I1060" s="12">
        <f>IF($B1060="","",IF(COUNTIF(Ventes_Factures!$A$6:$A$3005,$B1060)&gt;0,"OK","INCONNUE"))</f>
        <v/>
      </c>
      <c r="J1060" s="9">
        <f>IF($D1060="","",ROUND($D1060,2))</f>
        <v/>
      </c>
    </row>
    <row r="1061">
      <c r="A1061" s="6" t="n"/>
      <c r="B1061" s="6" t="n"/>
      <c r="C1061" s="7" t="n"/>
      <c r="D1061" s="8" t="n"/>
      <c r="E1061" s="6" t="n"/>
      <c r="F1061" s="6" t="n"/>
      <c r="G1061" s="6" t="n"/>
      <c r="H1061" s="6" t="n"/>
      <c r="I1061" s="12">
        <f>IF($B1061="","",IF(COUNTIF(Ventes_Factures!$A$6:$A$3005,$B1061)&gt;0,"OK","INCONNUE"))</f>
        <v/>
      </c>
      <c r="J1061" s="9">
        <f>IF($D1061="","",ROUND($D1061,2))</f>
        <v/>
      </c>
    </row>
    <row r="1062">
      <c r="A1062" s="6" t="n"/>
      <c r="B1062" s="6" t="n"/>
      <c r="C1062" s="7" t="n"/>
      <c r="D1062" s="8" t="n"/>
      <c r="E1062" s="6" t="n"/>
      <c r="F1062" s="6" t="n"/>
      <c r="G1062" s="6" t="n"/>
      <c r="H1062" s="6" t="n"/>
      <c r="I1062" s="12">
        <f>IF($B1062="","",IF(COUNTIF(Ventes_Factures!$A$6:$A$3005,$B1062)&gt;0,"OK","INCONNUE"))</f>
        <v/>
      </c>
      <c r="J1062" s="9">
        <f>IF($D1062="","",ROUND($D1062,2))</f>
        <v/>
      </c>
    </row>
    <row r="1063">
      <c r="A1063" s="6" t="n"/>
      <c r="B1063" s="6" t="n"/>
      <c r="C1063" s="7" t="n"/>
      <c r="D1063" s="8" t="n"/>
      <c r="E1063" s="6" t="n"/>
      <c r="F1063" s="6" t="n"/>
      <c r="G1063" s="6" t="n"/>
      <c r="H1063" s="6" t="n"/>
      <c r="I1063" s="12">
        <f>IF($B1063="","",IF(COUNTIF(Ventes_Factures!$A$6:$A$3005,$B1063)&gt;0,"OK","INCONNUE"))</f>
        <v/>
      </c>
      <c r="J1063" s="9">
        <f>IF($D1063="","",ROUND($D1063,2))</f>
        <v/>
      </c>
    </row>
    <row r="1064">
      <c r="A1064" s="6" t="n"/>
      <c r="B1064" s="6" t="n"/>
      <c r="C1064" s="7" t="n"/>
      <c r="D1064" s="8" t="n"/>
      <c r="E1064" s="6" t="n"/>
      <c r="F1064" s="6" t="n"/>
      <c r="G1064" s="6" t="n"/>
      <c r="H1064" s="6" t="n"/>
      <c r="I1064" s="12">
        <f>IF($B1064="","",IF(COUNTIF(Ventes_Factures!$A$6:$A$3005,$B1064)&gt;0,"OK","INCONNUE"))</f>
        <v/>
      </c>
      <c r="J1064" s="9">
        <f>IF($D1064="","",ROUND($D1064,2))</f>
        <v/>
      </c>
    </row>
    <row r="1065">
      <c r="A1065" s="6" t="n"/>
      <c r="B1065" s="6" t="n"/>
      <c r="C1065" s="7" t="n"/>
      <c r="D1065" s="8" t="n"/>
      <c r="E1065" s="6" t="n"/>
      <c r="F1065" s="6" t="n"/>
      <c r="G1065" s="6" t="n"/>
      <c r="H1065" s="6" t="n"/>
      <c r="I1065" s="12">
        <f>IF($B1065="","",IF(COUNTIF(Ventes_Factures!$A$6:$A$3005,$B1065)&gt;0,"OK","INCONNUE"))</f>
        <v/>
      </c>
      <c r="J1065" s="9">
        <f>IF($D1065="","",ROUND($D1065,2))</f>
        <v/>
      </c>
    </row>
    <row r="1066">
      <c r="A1066" s="6" t="n"/>
      <c r="B1066" s="6" t="n"/>
      <c r="C1066" s="7" t="n"/>
      <c r="D1066" s="8" t="n"/>
      <c r="E1066" s="6" t="n"/>
      <c r="F1066" s="6" t="n"/>
      <c r="G1066" s="6" t="n"/>
      <c r="H1066" s="6" t="n"/>
      <c r="I1066" s="12">
        <f>IF($B1066="","",IF(COUNTIF(Ventes_Factures!$A$6:$A$3005,$B1066)&gt;0,"OK","INCONNUE"))</f>
        <v/>
      </c>
      <c r="J1066" s="9">
        <f>IF($D1066="","",ROUND($D1066,2))</f>
        <v/>
      </c>
    </row>
    <row r="1067">
      <c r="A1067" s="6" t="n"/>
      <c r="B1067" s="6" t="n"/>
      <c r="C1067" s="7" t="n"/>
      <c r="D1067" s="8" t="n"/>
      <c r="E1067" s="6" t="n"/>
      <c r="F1067" s="6" t="n"/>
      <c r="G1067" s="6" t="n"/>
      <c r="H1067" s="6" t="n"/>
      <c r="I1067" s="12">
        <f>IF($B1067="","",IF(COUNTIF(Ventes_Factures!$A$6:$A$3005,$B1067)&gt;0,"OK","INCONNUE"))</f>
        <v/>
      </c>
      <c r="J1067" s="9">
        <f>IF($D1067="","",ROUND($D1067,2))</f>
        <v/>
      </c>
    </row>
    <row r="1068">
      <c r="A1068" s="6" t="n"/>
      <c r="B1068" s="6" t="n"/>
      <c r="C1068" s="7" t="n"/>
      <c r="D1068" s="8" t="n"/>
      <c r="E1068" s="6" t="n"/>
      <c r="F1068" s="6" t="n"/>
      <c r="G1068" s="6" t="n"/>
      <c r="H1068" s="6" t="n"/>
      <c r="I1068" s="12">
        <f>IF($B1068="","",IF(COUNTIF(Ventes_Factures!$A$6:$A$3005,$B1068)&gt;0,"OK","INCONNUE"))</f>
        <v/>
      </c>
      <c r="J1068" s="9">
        <f>IF($D1068="","",ROUND($D1068,2))</f>
        <v/>
      </c>
    </row>
    <row r="1069">
      <c r="A1069" s="6" t="n"/>
      <c r="B1069" s="6" t="n"/>
      <c r="C1069" s="7" t="n"/>
      <c r="D1069" s="8" t="n"/>
      <c r="E1069" s="6" t="n"/>
      <c r="F1069" s="6" t="n"/>
      <c r="G1069" s="6" t="n"/>
      <c r="H1069" s="6" t="n"/>
      <c r="I1069" s="12">
        <f>IF($B1069="","",IF(COUNTIF(Ventes_Factures!$A$6:$A$3005,$B1069)&gt;0,"OK","INCONNUE"))</f>
        <v/>
      </c>
      <c r="J1069" s="9">
        <f>IF($D1069="","",ROUND($D1069,2))</f>
        <v/>
      </c>
    </row>
    <row r="1070">
      <c r="A1070" s="6" t="n"/>
      <c r="B1070" s="6" t="n"/>
      <c r="C1070" s="7" t="n"/>
      <c r="D1070" s="8" t="n"/>
      <c r="E1070" s="6" t="n"/>
      <c r="F1070" s="6" t="n"/>
      <c r="G1070" s="6" t="n"/>
      <c r="H1070" s="6" t="n"/>
      <c r="I1070" s="12">
        <f>IF($B1070="","",IF(COUNTIF(Ventes_Factures!$A$6:$A$3005,$B1070)&gt;0,"OK","INCONNUE"))</f>
        <v/>
      </c>
      <c r="J1070" s="9">
        <f>IF($D1070="","",ROUND($D1070,2))</f>
        <v/>
      </c>
    </row>
    <row r="1071">
      <c r="A1071" s="6" t="n"/>
      <c r="B1071" s="6" t="n"/>
      <c r="C1071" s="7" t="n"/>
      <c r="D1071" s="8" t="n"/>
      <c r="E1071" s="6" t="n"/>
      <c r="F1071" s="6" t="n"/>
      <c r="G1071" s="6" t="n"/>
      <c r="H1071" s="6" t="n"/>
      <c r="I1071" s="12">
        <f>IF($B1071="","",IF(COUNTIF(Ventes_Factures!$A$6:$A$3005,$B1071)&gt;0,"OK","INCONNUE"))</f>
        <v/>
      </c>
      <c r="J1071" s="9">
        <f>IF($D1071="","",ROUND($D1071,2))</f>
        <v/>
      </c>
    </row>
    <row r="1072">
      <c r="A1072" s="6" t="n"/>
      <c r="B1072" s="6" t="n"/>
      <c r="C1072" s="7" t="n"/>
      <c r="D1072" s="8" t="n"/>
      <c r="E1072" s="6" t="n"/>
      <c r="F1072" s="6" t="n"/>
      <c r="G1072" s="6" t="n"/>
      <c r="H1072" s="6" t="n"/>
      <c r="I1072" s="12">
        <f>IF($B1072="","",IF(COUNTIF(Ventes_Factures!$A$6:$A$3005,$B1072)&gt;0,"OK","INCONNUE"))</f>
        <v/>
      </c>
      <c r="J1072" s="9">
        <f>IF($D1072="","",ROUND($D1072,2))</f>
        <v/>
      </c>
    </row>
    <row r="1073">
      <c r="A1073" s="6" t="n"/>
      <c r="B1073" s="6" t="n"/>
      <c r="C1073" s="7" t="n"/>
      <c r="D1073" s="8" t="n"/>
      <c r="E1073" s="6" t="n"/>
      <c r="F1073" s="6" t="n"/>
      <c r="G1073" s="6" t="n"/>
      <c r="H1073" s="6" t="n"/>
      <c r="I1073" s="12">
        <f>IF($B1073="","",IF(COUNTIF(Ventes_Factures!$A$6:$A$3005,$B1073)&gt;0,"OK","INCONNUE"))</f>
        <v/>
      </c>
      <c r="J1073" s="9">
        <f>IF($D1073="","",ROUND($D1073,2))</f>
        <v/>
      </c>
    </row>
    <row r="1074">
      <c r="A1074" s="6" t="n"/>
      <c r="B1074" s="6" t="n"/>
      <c r="C1074" s="7" t="n"/>
      <c r="D1074" s="8" t="n"/>
      <c r="E1074" s="6" t="n"/>
      <c r="F1074" s="6" t="n"/>
      <c r="G1074" s="6" t="n"/>
      <c r="H1074" s="6" t="n"/>
      <c r="I1074" s="12">
        <f>IF($B1074="","",IF(COUNTIF(Ventes_Factures!$A$6:$A$3005,$B1074)&gt;0,"OK","INCONNUE"))</f>
        <v/>
      </c>
      <c r="J1074" s="9">
        <f>IF($D1074="","",ROUND($D1074,2))</f>
        <v/>
      </c>
    </row>
    <row r="1075">
      <c r="A1075" s="6" t="n"/>
      <c r="B1075" s="6" t="n"/>
      <c r="C1075" s="7" t="n"/>
      <c r="D1075" s="8" t="n"/>
      <c r="E1075" s="6" t="n"/>
      <c r="F1075" s="6" t="n"/>
      <c r="G1075" s="6" t="n"/>
      <c r="H1075" s="6" t="n"/>
      <c r="I1075" s="12">
        <f>IF($B1075="","",IF(COUNTIF(Ventes_Factures!$A$6:$A$3005,$B1075)&gt;0,"OK","INCONNUE"))</f>
        <v/>
      </c>
      <c r="J1075" s="9">
        <f>IF($D1075="","",ROUND($D1075,2))</f>
        <v/>
      </c>
    </row>
    <row r="1076">
      <c r="A1076" s="6" t="n"/>
      <c r="B1076" s="6" t="n"/>
      <c r="C1076" s="7" t="n"/>
      <c r="D1076" s="8" t="n"/>
      <c r="E1076" s="6" t="n"/>
      <c r="F1076" s="6" t="n"/>
      <c r="G1076" s="6" t="n"/>
      <c r="H1076" s="6" t="n"/>
      <c r="I1076" s="12">
        <f>IF($B1076="","",IF(COUNTIF(Ventes_Factures!$A$6:$A$3005,$B1076)&gt;0,"OK","INCONNUE"))</f>
        <v/>
      </c>
      <c r="J1076" s="9">
        <f>IF($D1076="","",ROUND($D1076,2))</f>
        <v/>
      </c>
    </row>
    <row r="1077">
      <c r="A1077" s="6" t="n"/>
      <c r="B1077" s="6" t="n"/>
      <c r="C1077" s="7" t="n"/>
      <c r="D1077" s="8" t="n"/>
      <c r="E1077" s="6" t="n"/>
      <c r="F1077" s="6" t="n"/>
      <c r="G1077" s="6" t="n"/>
      <c r="H1077" s="6" t="n"/>
      <c r="I1077" s="12">
        <f>IF($B1077="","",IF(COUNTIF(Ventes_Factures!$A$6:$A$3005,$B1077)&gt;0,"OK","INCONNUE"))</f>
        <v/>
      </c>
      <c r="J1077" s="9">
        <f>IF($D1077="","",ROUND($D1077,2))</f>
        <v/>
      </c>
    </row>
    <row r="1078">
      <c r="A1078" s="6" t="n"/>
      <c r="B1078" s="6" t="n"/>
      <c r="C1078" s="7" t="n"/>
      <c r="D1078" s="8" t="n"/>
      <c r="E1078" s="6" t="n"/>
      <c r="F1078" s="6" t="n"/>
      <c r="G1078" s="6" t="n"/>
      <c r="H1078" s="6" t="n"/>
      <c r="I1078" s="12">
        <f>IF($B1078="","",IF(COUNTIF(Ventes_Factures!$A$6:$A$3005,$B1078)&gt;0,"OK","INCONNUE"))</f>
        <v/>
      </c>
      <c r="J1078" s="9">
        <f>IF($D1078="","",ROUND($D1078,2))</f>
        <v/>
      </c>
    </row>
    <row r="1079">
      <c r="A1079" s="6" t="n"/>
      <c r="B1079" s="6" t="n"/>
      <c r="C1079" s="7" t="n"/>
      <c r="D1079" s="8" t="n"/>
      <c r="E1079" s="6" t="n"/>
      <c r="F1079" s="6" t="n"/>
      <c r="G1079" s="6" t="n"/>
      <c r="H1079" s="6" t="n"/>
      <c r="I1079" s="12">
        <f>IF($B1079="","",IF(COUNTIF(Ventes_Factures!$A$6:$A$3005,$B1079)&gt;0,"OK","INCONNUE"))</f>
        <v/>
      </c>
      <c r="J1079" s="9">
        <f>IF($D1079="","",ROUND($D1079,2))</f>
        <v/>
      </c>
    </row>
    <row r="1080">
      <c r="A1080" s="6" t="n"/>
      <c r="B1080" s="6" t="n"/>
      <c r="C1080" s="7" t="n"/>
      <c r="D1080" s="8" t="n"/>
      <c r="E1080" s="6" t="n"/>
      <c r="F1080" s="6" t="n"/>
      <c r="G1080" s="6" t="n"/>
      <c r="H1080" s="6" t="n"/>
      <c r="I1080" s="12">
        <f>IF($B1080="","",IF(COUNTIF(Ventes_Factures!$A$6:$A$3005,$B1080)&gt;0,"OK","INCONNUE"))</f>
        <v/>
      </c>
      <c r="J1080" s="9">
        <f>IF($D1080="","",ROUND($D1080,2))</f>
        <v/>
      </c>
    </row>
    <row r="1081">
      <c r="A1081" s="6" t="n"/>
      <c r="B1081" s="6" t="n"/>
      <c r="C1081" s="7" t="n"/>
      <c r="D1081" s="8" t="n"/>
      <c r="E1081" s="6" t="n"/>
      <c r="F1081" s="6" t="n"/>
      <c r="G1081" s="6" t="n"/>
      <c r="H1081" s="6" t="n"/>
      <c r="I1081" s="12">
        <f>IF($B1081="","",IF(COUNTIF(Ventes_Factures!$A$6:$A$3005,$B1081)&gt;0,"OK","INCONNUE"))</f>
        <v/>
      </c>
      <c r="J1081" s="9">
        <f>IF($D1081="","",ROUND($D1081,2))</f>
        <v/>
      </c>
    </row>
    <row r="1082">
      <c r="A1082" s="6" t="n"/>
      <c r="B1082" s="6" t="n"/>
      <c r="C1082" s="7" t="n"/>
      <c r="D1082" s="8" t="n"/>
      <c r="E1082" s="6" t="n"/>
      <c r="F1082" s="6" t="n"/>
      <c r="G1082" s="6" t="n"/>
      <c r="H1082" s="6" t="n"/>
      <c r="I1082" s="12">
        <f>IF($B1082="","",IF(COUNTIF(Ventes_Factures!$A$6:$A$3005,$B1082)&gt;0,"OK","INCONNUE"))</f>
        <v/>
      </c>
      <c r="J1082" s="9">
        <f>IF($D1082="","",ROUND($D1082,2))</f>
        <v/>
      </c>
    </row>
    <row r="1083">
      <c r="A1083" s="6" t="n"/>
      <c r="B1083" s="6" t="n"/>
      <c r="C1083" s="7" t="n"/>
      <c r="D1083" s="8" t="n"/>
      <c r="E1083" s="6" t="n"/>
      <c r="F1083" s="6" t="n"/>
      <c r="G1083" s="6" t="n"/>
      <c r="H1083" s="6" t="n"/>
      <c r="I1083" s="12">
        <f>IF($B1083="","",IF(COUNTIF(Ventes_Factures!$A$6:$A$3005,$B1083)&gt;0,"OK","INCONNUE"))</f>
        <v/>
      </c>
      <c r="J1083" s="9">
        <f>IF($D1083="","",ROUND($D1083,2))</f>
        <v/>
      </c>
    </row>
    <row r="1084">
      <c r="A1084" s="6" t="n"/>
      <c r="B1084" s="6" t="n"/>
      <c r="C1084" s="7" t="n"/>
      <c r="D1084" s="8" t="n"/>
      <c r="E1084" s="6" t="n"/>
      <c r="F1084" s="6" t="n"/>
      <c r="G1084" s="6" t="n"/>
      <c r="H1084" s="6" t="n"/>
      <c r="I1084" s="12">
        <f>IF($B1084="","",IF(COUNTIF(Ventes_Factures!$A$6:$A$3005,$B1084)&gt;0,"OK","INCONNUE"))</f>
        <v/>
      </c>
      <c r="J1084" s="9">
        <f>IF($D1084="","",ROUND($D1084,2))</f>
        <v/>
      </c>
    </row>
    <row r="1085">
      <c r="A1085" s="6" t="n"/>
      <c r="B1085" s="6" t="n"/>
      <c r="C1085" s="7" t="n"/>
      <c r="D1085" s="8" t="n"/>
      <c r="E1085" s="6" t="n"/>
      <c r="F1085" s="6" t="n"/>
      <c r="G1085" s="6" t="n"/>
      <c r="H1085" s="6" t="n"/>
      <c r="I1085" s="12">
        <f>IF($B1085="","",IF(COUNTIF(Ventes_Factures!$A$6:$A$3005,$B1085)&gt;0,"OK","INCONNUE"))</f>
        <v/>
      </c>
      <c r="J1085" s="9">
        <f>IF($D1085="","",ROUND($D1085,2))</f>
        <v/>
      </c>
    </row>
    <row r="1086">
      <c r="A1086" s="6" t="n"/>
      <c r="B1086" s="6" t="n"/>
      <c r="C1086" s="7" t="n"/>
      <c r="D1086" s="8" t="n"/>
      <c r="E1086" s="6" t="n"/>
      <c r="F1086" s="6" t="n"/>
      <c r="G1086" s="6" t="n"/>
      <c r="H1086" s="6" t="n"/>
      <c r="I1086" s="12">
        <f>IF($B1086="","",IF(COUNTIF(Ventes_Factures!$A$6:$A$3005,$B1086)&gt;0,"OK","INCONNUE"))</f>
        <v/>
      </c>
      <c r="J1086" s="9">
        <f>IF($D1086="","",ROUND($D1086,2))</f>
        <v/>
      </c>
    </row>
    <row r="1087">
      <c r="A1087" s="6" t="n"/>
      <c r="B1087" s="6" t="n"/>
      <c r="C1087" s="7" t="n"/>
      <c r="D1087" s="8" t="n"/>
      <c r="E1087" s="6" t="n"/>
      <c r="F1087" s="6" t="n"/>
      <c r="G1087" s="6" t="n"/>
      <c r="H1087" s="6" t="n"/>
      <c r="I1087" s="12">
        <f>IF($B1087="","",IF(COUNTIF(Ventes_Factures!$A$6:$A$3005,$B1087)&gt;0,"OK","INCONNUE"))</f>
        <v/>
      </c>
      <c r="J1087" s="9">
        <f>IF($D1087="","",ROUND($D1087,2))</f>
        <v/>
      </c>
    </row>
    <row r="1088">
      <c r="A1088" s="6" t="n"/>
      <c r="B1088" s="6" t="n"/>
      <c r="C1088" s="7" t="n"/>
      <c r="D1088" s="8" t="n"/>
      <c r="E1088" s="6" t="n"/>
      <c r="F1088" s="6" t="n"/>
      <c r="G1088" s="6" t="n"/>
      <c r="H1088" s="6" t="n"/>
      <c r="I1088" s="12">
        <f>IF($B1088="","",IF(COUNTIF(Ventes_Factures!$A$6:$A$3005,$B1088)&gt;0,"OK","INCONNUE"))</f>
        <v/>
      </c>
      <c r="J1088" s="9">
        <f>IF($D1088="","",ROUND($D1088,2))</f>
        <v/>
      </c>
    </row>
    <row r="1089">
      <c r="A1089" s="6" t="n"/>
      <c r="B1089" s="6" t="n"/>
      <c r="C1089" s="7" t="n"/>
      <c r="D1089" s="8" t="n"/>
      <c r="E1089" s="6" t="n"/>
      <c r="F1089" s="6" t="n"/>
      <c r="G1089" s="6" t="n"/>
      <c r="H1089" s="6" t="n"/>
      <c r="I1089" s="12">
        <f>IF($B1089="","",IF(COUNTIF(Ventes_Factures!$A$6:$A$3005,$B1089)&gt;0,"OK","INCONNUE"))</f>
        <v/>
      </c>
      <c r="J1089" s="9">
        <f>IF($D1089="","",ROUND($D1089,2))</f>
        <v/>
      </c>
    </row>
    <row r="1090">
      <c r="A1090" s="6" t="n"/>
      <c r="B1090" s="6" t="n"/>
      <c r="C1090" s="7" t="n"/>
      <c r="D1090" s="8" t="n"/>
      <c r="E1090" s="6" t="n"/>
      <c r="F1090" s="6" t="n"/>
      <c r="G1090" s="6" t="n"/>
      <c r="H1090" s="6" t="n"/>
      <c r="I1090" s="12">
        <f>IF($B1090="","",IF(COUNTIF(Ventes_Factures!$A$6:$A$3005,$B1090)&gt;0,"OK","INCONNUE"))</f>
        <v/>
      </c>
      <c r="J1090" s="9">
        <f>IF($D1090="","",ROUND($D1090,2))</f>
        <v/>
      </c>
    </row>
    <row r="1091">
      <c r="A1091" s="6" t="n"/>
      <c r="B1091" s="6" t="n"/>
      <c r="C1091" s="7" t="n"/>
      <c r="D1091" s="8" t="n"/>
      <c r="E1091" s="6" t="n"/>
      <c r="F1091" s="6" t="n"/>
      <c r="G1091" s="6" t="n"/>
      <c r="H1091" s="6" t="n"/>
      <c r="I1091" s="12">
        <f>IF($B1091="","",IF(COUNTIF(Ventes_Factures!$A$6:$A$3005,$B1091)&gt;0,"OK","INCONNUE"))</f>
        <v/>
      </c>
      <c r="J1091" s="9">
        <f>IF($D1091="","",ROUND($D1091,2))</f>
        <v/>
      </c>
    </row>
    <row r="1092">
      <c r="A1092" s="6" t="n"/>
      <c r="B1092" s="6" t="n"/>
      <c r="C1092" s="7" t="n"/>
      <c r="D1092" s="8" t="n"/>
      <c r="E1092" s="6" t="n"/>
      <c r="F1092" s="6" t="n"/>
      <c r="G1092" s="6" t="n"/>
      <c r="H1092" s="6" t="n"/>
      <c r="I1092" s="12">
        <f>IF($B1092="","",IF(COUNTIF(Ventes_Factures!$A$6:$A$3005,$B1092)&gt;0,"OK","INCONNUE"))</f>
        <v/>
      </c>
      <c r="J1092" s="9">
        <f>IF($D1092="","",ROUND($D1092,2))</f>
        <v/>
      </c>
    </row>
    <row r="1093">
      <c r="A1093" s="6" t="n"/>
      <c r="B1093" s="6" t="n"/>
      <c r="C1093" s="7" t="n"/>
      <c r="D1093" s="8" t="n"/>
      <c r="E1093" s="6" t="n"/>
      <c r="F1093" s="6" t="n"/>
      <c r="G1093" s="6" t="n"/>
      <c r="H1093" s="6" t="n"/>
      <c r="I1093" s="12">
        <f>IF($B1093="","",IF(COUNTIF(Ventes_Factures!$A$6:$A$3005,$B1093)&gt;0,"OK","INCONNUE"))</f>
        <v/>
      </c>
      <c r="J1093" s="9">
        <f>IF($D1093="","",ROUND($D1093,2))</f>
        <v/>
      </c>
    </row>
    <row r="1094">
      <c r="A1094" s="6" t="n"/>
      <c r="B1094" s="6" t="n"/>
      <c r="C1094" s="7" t="n"/>
      <c r="D1094" s="8" t="n"/>
      <c r="E1094" s="6" t="n"/>
      <c r="F1094" s="6" t="n"/>
      <c r="G1094" s="6" t="n"/>
      <c r="H1094" s="6" t="n"/>
      <c r="I1094" s="12">
        <f>IF($B1094="","",IF(COUNTIF(Ventes_Factures!$A$6:$A$3005,$B1094)&gt;0,"OK","INCONNUE"))</f>
        <v/>
      </c>
      <c r="J1094" s="9">
        <f>IF($D1094="","",ROUND($D1094,2))</f>
        <v/>
      </c>
    </row>
    <row r="1095">
      <c r="A1095" s="6" t="n"/>
      <c r="B1095" s="6" t="n"/>
      <c r="C1095" s="7" t="n"/>
      <c r="D1095" s="8" t="n"/>
      <c r="E1095" s="6" t="n"/>
      <c r="F1095" s="6" t="n"/>
      <c r="G1095" s="6" t="n"/>
      <c r="H1095" s="6" t="n"/>
      <c r="I1095" s="12">
        <f>IF($B1095="","",IF(COUNTIF(Ventes_Factures!$A$6:$A$3005,$B1095)&gt;0,"OK","INCONNUE"))</f>
        <v/>
      </c>
      <c r="J1095" s="9">
        <f>IF($D1095="","",ROUND($D1095,2))</f>
        <v/>
      </c>
    </row>
    <row r="1096">
      <c r="A1096" s="6" t="n"/>
      <c r="B1096" s="6" t="n"/>
      <c r="C1096" s="7" t="n"/>
      <c r="D1096" s="8" t="n"/>
      <c r="E1096" s="6" t="n"/>
      <c r="F1096" s="6" t="n"/>
      <c r="G1096" s="6" t="n"/>
      <c r="H1096" s="6" t="n"/>
      <c r="I1096" s="12">
        <f>IF($B1096="","",IF(COUNTIF(Ventes_Factures!$A$6:$A$3005,$B1096)&gt;0,"OK","INCONNUE"))</f>
        <v/>
      </c>
      <c r="J1096" s="9">
        <f>IF($D1096="","",ROUND($D1096,2))</f>
        <v/>
      </c>
    </row>
    <row r="1097">
      <c r="A1097" s="6" t="n"/>
      <c r="B1097" s="6" t="n"/>
      <c r="C1097" s="7" t="n"/>
      <c r="D1097" s="8" t="n"/>
      <c r="E1097" s="6" t="n"/>
      <c r="F1097" s="6" t="n"/>
      <c r="G1097" s="6" t="n"/>
      <c r="H1097" s="6" t="n"/>
      <c r="I1097" s="12">
        <f>IF($B1097="","",IF(COUNTIF(Ventes_Factures!$A$6:$A$3005,$B1097)&gt;0,"OK","INCONNUE"))</f>
        <v/>
      </c>
      <c r="J1097" s="9">
        <f>IF($D1097="","",ROUND($D1097,2))</f>
        <v/>
      </c>
    </row>
    <row r="1098">
      <c r="A1098" s="6" t="n"/>
      <c r="B1098" s="6" t="n"/>
      <c r="C1098" s="7" t="n"/>
      <c r="D1098" s="8" t="n"/>
      <c r="E1098" s="6" t="n"/>
      <c r="F1098" s="6" t="n"/>
      <c r="G1098" s="6" t="n"/>
      <c r="H1098" s="6" t="n"/>
      <c r="I1098" s="12">
        <f>IF($B1098="","",IF(COUNTIF(Ventes_Factures!$A$6:$A$3005,$B1098)&gt;0,"OK","INCONNUE"))</f>
        <v/>
      </c>
      <c r="J1098" s="9">
        <f>IF($D1098="","",ROUND($D1098,2))</f>
        <v/>
      </c>
    </row>
    <row r="1099">
      <c r="A1099" s="6" t="n"/>
      <c r="B1099" s="6" t="n"/>
      <c r="C1099" s="7" t="n"/>
      <c r="D1099" s="8" t="n"/>
      <c r="E1099" s="6" t="n"/>
      <c r="F1099" s="6" t="n"/>
      <c r="G1099" s="6" t="n"/>
      <c r="H1099" s="6" t="n"/>
      <c r="I1099" s="12">
        <f>IF($B1099="","",IF(COUNTIF(Ventes_Factures!$A$6:$A$3005,$B1099)&gt;0,"OK","INCONNUE"))</f>
        <v/>
      </c>
      <c r="J1099" s="9">
        <f>IF($D1099="","",ROUND($D1099,2))</f>
        <v/>
      </c>
    </row>
    <row r="1100">
      <c r="A1100" s="6" t="n"/>
      <c r="B1100" s="6" t="n"/>
      <c r="C1100" s="7" t="n"/>
      <c r="D1100" s="8" t="n"/>
      <c r="E1100" s="6" t="n"/>
      <c r="F1100" s="6" t="n"/>
      <c r="G1100" s="6" t="n"/>
      <c r="H1100" s="6" t="n"/>
      <c r="I1100" s="12">
        <f>IF($B1100="","",IF(COUNTIF(Ventes_Factures!$A$6:$A$3005,$B1100)&gt;0,"OK","INCONNUE"))</f>
        <v/>
      </c>
      <c r="J1100" s="9">
        <f>IF($D1100="","",ROUND($D1100,2))</f>
        <v/>
      </c>
    </row>
    <row r="1101">
      <c r="A1101" s="6" t="n"/>
      <c r="B1101" s="6" t="n"/>
      <c r="C1101" s="7" t="n"/>
      <c r="D1101" s="8" t="n"/>
      <c r="E1101" s="6" t="n"/>
      <c r="F1101" s="6" t="n"/>
      <c r="G1101" s="6" t="n"/>
      <c r="H1101" s="6" t="n"/>
      <c r="I1101" s="12">
        <f>IF($B1101="","",IF(COUNTIF(Ventes_Factures!$A$6:$A$3005,$B1101)&gt;0,"OK","INCONNUE"))</f>
        <v/>
      </c>
      <c r="J1101" s="9">
        <f>IF($D1101="","",ROUND($D1101,2))</f>
        <v/>
      </c>
    </row>
    <row r="1102">
      <c r="A1102" s="6" t="n"/>
      <c r="B1102" s="6" t="n"/>
      <c r="C1102" s="7" t="n"/>
      <c r="D1102" s="8" t="n"/>
      <c r="E1102" s="6" t="n"/>
      <c r="F1102" s="6" t="n"/>
      <c r="G1102" s="6" t="n"/>
      <c r="H1102" s="6" t="n"/>
      <c r="I1102" s="12">
        <f>IF($B1102="","",IF(COUNTIF(Ventes_Factures!$A$6:$A$3005,$B1102)&gt;0,"OK","INCONNUE"))</f>
        <v/>
      </c>
      <c r="J1102" s="9">
        <f>IF($D1102="","",ROUND($D1102,2))</f>
        <v/>
      </c>
    </row>
    <row r="1103">
      <c r="A1103" s="6" t="n"/>
      <c r="B1103" s="6" t="n"/>
      <c r="C1103" s="7" t="n"/>
      <c r="D1103" s="8" t="n"/>
      <c r="E1103" s="6" t="n"/>
      <c r="F1103" s="6" t="n"/>
      <c r="G1103" s="6" t="n"/>
      <c r="H1103" s="6" t="n"/>
      <c r="I1103" s="12">
        <f>IF($B1103="","",IF(COUNTIF(Ventes_Factures!$A$6:$A$3005,$B1103)&gt;0,"OK","INCONNUE"))</f>
        <v/>
      </c>
      <c r="J1103" s="9">
        <f>IF($D1103="","",ROUND($D1103,2))</f>
        <v/>
      </c>
    </row>
    <row r="1104">
      <c r="A1104" s="6" t="n"/>
      <c r="B1104" s="6" t="n"/>
      <c r="C1104" s="7" t="n"/>
      <c r="D1104" s="8" t="n"/>
      <c r="E1104" s="6" t="n"/>
      <c r="F1104" s="6" t="n"/>
      <c r="G1104" s="6" t="n"/>
      <c r="H1104" s="6" t="n"/>
      <c r="I1104" s="12">
        <f>IF($B1104="","",IF(COUNTIF(Ventes_Factures!$A$6:$A$3005,$B1104)&gt;0,"OK","INCONNUE"))</f>
        <v/>
      </c>
      <c r="J1104" s="9">
        <f>IF($D1104="","",ROUND($D1104,2))</f>
        <v/>
      </c>
    </row>
    <row r="1105">
      <c r="A1105" s="6" t="n"/>
      <c r="B1105" s="6" t="n"/>
      <c r="C1105" s="7" t="n"/>
      <c r="D1105" s="8" t="n"/>
      <c r="E1105" s="6" t="n"/>
      <c r="F1105" s="6" t="n"/>
      <c r="G1105" s="6" t="n"/>
      <c r="H1105" s="6" t="n"/>
      <c r="I1105" s="12">
        <f>IF($B1105="","",IF(COUNTIF(Ventes_Factures!$A$6:$A$3005,$B1105)&gt;0,"OK","INCONNUE"))</f>
        <v/>
      </c>
      <c r="J1105" s="9">
        <f>IF($D1105="","",ROUND($D1105,2))</f>
        <v/>
      </c>
    </row>
    <row r="1106">
      <c r="A1106" s="6" t="n"/>
      <c r="B1106" s="6" t="n"/>
      <c r="C1106" s="7" t="n"/>
      <c r="D1106" s="8" t="n"/>
      <c r="E1106" s="6" t="n"/>
      <c r="F1106" s="6" t="n"/>
      <c r="G1106" s="6" t="n"/>
      <c r="H1106" s="6" t="n"/>
      <c r="I1106" s="12">
        <f>IF($B1106="","",IF(COUNTIF(Ventes_Factures!$A$6:$A$3005,$B1106)&gt;0,"OK","INCONNUE"))</f>
        <v/>
      </c>
      <c r="J1106" s="9">
        <f>IF($D1106="","",ROUND($D1106,2))</f>
        <v/>
      </c>
    </row>
    <row r="1107">
      <c r="A1107" s="6" t="n"/>
      <c r="B1107" s="6" t="n"/>
      <c r="C1107" s="7" t="n"/>
      <c r="D1107" s="8" t="n"/>
      <c r="E1107" s="6" t="n"/>
      <c r="F1107" s="6" t="n"/>
      <c r="G1107" s="6" t="n"/>
      <c r="H1107" s="6" t="n"/>
      <c r="I1107" s="12">
        <f>IF($B1107="","",IF(COUNTIF(Ventes_Factures!$A$6:$A$3005,$B1107)&gt;0,"OK","INCONNUE"))</f>
        <v/>
      </c>
      <c r="J1107" s="9">
        <f>IF($D1107="","",ROUND($D1107,2))</f>
        <v/>
      </c>
    </row>
    <row r="1108">
      <c r="A1108" s="6" t="n"/>
      <c r="B1108" s="6" t="n"/>
      <c r="C1108" s="7" t="n"/>
      <c r="D1108" s="8" t="n"/>
      <c r="E1108" s="6" t="n"/>
      <c r="F1108" s="6" t="n"/>
      <c r="G1108" s="6" t="n"/>
      <c r="H1108" s="6" t="n"/>
      <c r="I1108" s="12">
        <f>IF($B1108="","",IF(COUNTIF(Ventes_Factures!$A$6:$A$3005,$B1108)&gt;0,"OK","INCONNUE"))</f>
        <v/>
      </c>
      <c r="J1108" s="9">
        <f>IF($D1108="","",ROUND($D1108,2))</f>
        <v/>
      </c>
    </row>
    <row r="1109">
      <c r="A1109" s="6" t="n"/>
      <c r="B1109" s="6" t="n"/>
      <c r="C1109" s="7" t="n"/>
      <c r="D1109" s="8" t="n"/>
      <c r="E1109" s="6" t="n"/>
      <c r="F1109" s="6" t="n"/>
      <c r="G1109" s="6" t="n"/>
      <c r="H1109" s="6" t="n"/>
      <c r="I1109" s="12">
        <f>IF($B1109="","",IF(COUNTIF(Ventes_Factures!$A$6:$A$3005,$B1109)&gt;0,"OK","INCONNUE"))</f>
        <v/>
      </c>
      <c r="J1109" s="9">
        <f>IF($D1109="","",ROUND($D1109,2))</f>
        <v/>
      </c>
    </row>
    <row r="1110">
      <c r="A1110" s="6" t="n"/>
      <c r="B1110" s="6" t="n"/>
      <c r="C1110" s="7" t="n"/>
      <c r="D1110" s="8" t="n"/>
      <c r="E1110" s="6" t="n"/>
      <c r="F1110" s="6" t="n"/>
      <c r="G1110" s="6" t="n"/>
      <c r="H1110" s="6" t="n"/>
      <c r="I1110" s="12">
        <f>IF($B1110="","",IF(COUNTIF(Ventes_Factures!$A$6:$A$3005,$B1110)&gt;0,"OK","INCONNUE"))</f>
        <v/>
      </c>
      <c r="J1110" s="9">
        <f>IF($D1110="","",ROUND($D1110,2))</f>
        <v/>
      </c>
    </row>
    <row r="1111">
      <c r="A1111" s="6" t="n"/>
      <c r="B1111" s="6" t="n"/>
      <c r="C1111" s="7" t="n"/>
      <c r="D1111" s="8" t="n"/>
      <c r="E1111" s="6" t="n"/>
      <c r="F1111" s="6" t="n"/>
      <c r="G1111" s="6" t="n"/>
      <c r="H1111" s="6" t="n"/>
      <c r="I1111" s="12">
        <f>IF($B1111="","",IF(COUNTIF(Ventes_Factures!$A$6:$A$3005,$B1111)&gt;0,"OK","INCONNUE"))</f>
        <v/>
      </c>
      <c r="J1111" s="9">
        <f>IF($D1111="","",ROUND($D1111,2))</f>
        <v/>
      </c>
    </row>
    <row r="1112">
      <c r="A1112" s="6" t="n"/>
      <c r="B1112" s="6" t="n"/>
      <c r="C1112" s="7" t="n"/>
      <c r="D1112" s="8" t="n"/>
      <c r="E1112" s="6" t="n"/>
      <c r="F1112" s="6" t="n"/>
      <c r="G1112" s="6" t="n"/>
      <c r="H1112" s="6" t="n"/>
      <c r="I1112" s="12">
        <f>IF($B1112="","",IF(COUNTIF(Ventes_Factures!$A$6:$A$3005,$B1112)&gt;0,"OK","INCONNUE"))</f>
        <v/>
      </c>
      <c r="J1112" s="9">
        <f>IF($D1112="","",ROUND($D1112,2))</f>
        <v/>
      </c>
    </row>
    <row r="1113">
      <c r="A1113" s="6" t="n"/>
      <c r="B1113" s="6" t="n"/>
      <c r="C1113" s="7" t="n"/>
      <c r="D1113" s="8" t="n"/>
      <c r="E1113" s="6" t="n"/>
      <c r="F1113" s="6" t="n"/>
      <c r="G1113" s="6" t="n"/>
      <c r="H1113" s="6" t="n"/>
      <c r="I1113" s="12">
        <f>IF($B1113="","",IF(COUNTIF(Ventes_Factures!$A$6:$A$3005,$B1113)&gt;0,"OK","INCONNUE"))</f>
        <v/>
      </c>
      <c r="J1113" s="9">
        <f>IF($D1113="","",ROUND($D1113,2))</f>
        <v/>
      </c>
    </row>
    <row r="1114">
      <c r="A1114" s="6" t="n"/>
      <c r="B1114" s="6" t="n"/>
      <c r="C1114" s="7" t="n"/>
      <c r="D1114" s="8" t="n"/>
      <c r="E1114" s="6" t="n"/>
      <c r="F1114" s="6" t="n"/>
      <c r="G1114" s="6" t="n"/>
      <c r="H1114" s="6" t="n"/>
      <c r="I1114" s="12">
        <f>IF($B1114="","",IF(COUNTIF(Ventes_Factures!$A$6:$A$3005,$B1114)&gt;0,"OK","INCONNUE"))</f>
        <v/>
      </c>
      <c r="J1114" s="9">
        <f>IF($D1114="","",ROUND($D1114,2))</f>
        <v/>
      </c>
    </row>
    <row r="1115">
      <c r="A1115" s="6" t="n"/>
      <c r="B1115" s="6" t="n"/>
      <c r="C1115" s="7" t="n"/>
      <c r="D1115" s="8" t="n"/>
      <c r="E1115" s="6" t="n"/>
      <c r="F1115" s="6" t="n"/>
      <c r="G1115" s="6" t="n"/>
      <c r="H1115" s="6" t="n"/>
      <c r="I1115" s="12">
        <f>IF($B1115="","",IF(COUNTIF(Ventes_Factures!$A$6:$A$3005,$B1115)&gt;0,"OK","INCONNUE"))</f>
        <v/>
      </c>
      <c r="J1115" s="9">
        <f>IF($D1115="","",ROUND($D1115,2))</f>
        <v/>
      </c>
    </row>
    <row r="1116">
      <c r="A1116" s="6" t="n"/>
      <c r="B1116" s="6" t="n"/>
      <c r="C1116" s="7" t="n"/>
      <c r="D1116" s="8" t="n"/>
      <c r="E1116" s="6" t="n"/>
      <c r="F1116" s="6" t="n"/>
      <c r="G1116" s="6" t="n"/>
      <c r="H1116" s="6" t="n"/>
      <c r="I1116" s="12">
        <f>IF($B1116="","",IF(COUNTIF(Ventes_Factures!$A$6:$A$3005,$B1116)&gt;0,"OK","INCONNUE"))</f>
        <v/>
      </c>
      <c r="J1116" s="9">
        <f>IF($D1116="","",ROUND($D1116,2))</f>
        <v/>
      </c>
    </row>
    <row r="1117">
      <c r="A1117" s="6" t="n"/>
      <c r="B1117" s="6" t="n"/>
      <c r="C1117" s="7" t="n"/>
      <c r="D1117" s="8" t="n"/>
      <c r="E1117" s="6" t="n"/>
      <c r="F1117" s="6" t="n"/>
      <c r="G1117" s="6" t="n"/>
      <c r="H1117" s="6" t="n"/>
      <c r="I1117" s="12">
        <f>IF($B1117="","",IF(COUNTIF(Ventes_Factures!$A$6:$A$3005,$B1117)&gt;0,"OK","INCONNUE"))</f>
        <v/>
      </c>
      <c r="J1117" s="9">
        <f>IF($D1117="","",ROUND($D1117,2))</f>
        <v/>
      </c>
    </row>
    <row r="1118">
      <c r="A1118" s="6" t="n"/>
      <c r="B1118" s="6" t="n"/>
      <c r="C1118" s="7" t="n"/>
      <c r="D1118" s="8" t="n"/>
      <c r="E1118" s="6" t="n"/>
      <c r="F1118" s="6" t="n"/>
      <c r="G1118" s="6" t="n"/>
      <c r="H1118" s="6" t="n"/>
      <c r="I1118" s="12">
        <f>IF($B1118="","",IF(COUNTIF(Ventes_Factures!$A$6:$A$3005,$B1118)&gt;0,"OK","INCONNUE"))</f>
        <v/>
      </c>
      <c r="J1118" s="9">
        <f>IF($D1118="","",ROUND($D1118,2))</f>
        <v/>
      </c>
    </row>
    <row r="1119">
      <c r="A1119" s="6" t="n"/>
      <c r="B1119" s="6" t="n"/>
      <c r="C1119" s="7" t="n"/>
      <c r="D1119" s="8" t="n"/>
      <c r="E1119" s="6" t="n"/>
      <c r="F1119" s="6" t="n"/>
      <c r="G1119" s="6" t="n"/>
      <c r="H1119" s="6" t="n"/>
      <c r="I1119" s="12">
        <f>IF($B1119="","",IF(COUNTIF(Ventes_Factures!$A$6:$A$3005,$B1119)&gt;0,"OK","INCONNUE"))</f>
        <v/>
      </c>
      <c r="J1119" s="9">
        <f>IF($D1119="","",ROUND($D1119,2))</f>
        <v/>
      </c>
    </row>
    <row r="1120">
      <c r="A1120" s="6" t="n"/>
      <c r="B1120" s="6" t="n"/>
      <c r="C1120" s="7" t="n"/>
      <c r="D1120" s="8" t="n"/>
      <c r="E1120" s="6" t="n"/>
      <c r="F1120" s="6" t="n"/>
      <c r="G1120" s="6" t="n"/>
      <c r="H1120" s="6" t="n"/>
      <c r="I1120" s="12">
        <f>IF($B1120="","",IF(COUNTIF(Ventes_Factures!$A$6:$A$3005,$B1120)&gt;0,"OK","INCONNUE"))</f>
        <v/>
      </c>
      <c r="J1120" s="9">
        <f>IF($D1120="","",ROUND($D1120,2))</f>
        <v/>
      </c>
    </row>
    <row r="1121">
      <c r="A1121" s="6" t="n"/>
      <c r="B1121" s="6" t="n"/>
      <c r="C1121" s="7" t="n"/>
      <c r="D1121" s="8" t="n"/>
      <c r="E1121" s="6" t="n"/>
      <c r="F1121" s="6" t="n"/>
      <c r="G1121" s="6" t="n"/>
      <c r="H1121" s="6" t="n"/>
      <c r="I1121" s="12">
        <f>IF($B1121="","",IF(COUNTIF(Ventes_Factures!$A$6:$A$3005,$B1121)&gt;0,"OK","INCONNUE"))</f>
        <v/>
      </c>
      <c r="J1121" s="9">
        <f>IF($D1121="","",ROUND($D1121,2))</f>
        <v/>
      </c>
    </row>
    <row r="1122">
      <c r="A1122" s="6" t="n"/>
      <c r="B1122" s="6" t="n"/>
      <c r="C1122" s="7" t="n"/>
      <c r="D1122" s="8" t="n"/>
      <c r="E1122" s="6" t="n"/>
      <c r="F1122" s="6" t="n"/>
      <c r="G1122" s="6" t="n"/>
      <c r="H1122" s="6" t="n"/>
      <c r="I1122" s="12">
        <f>IF($B1122="","",IF(COUNTIF(Ventes_Factures!$A$6:$A$3005,$B1122)&gt;0,"OK","INCONNUE"))</f>
        <v/>
      </c>
      <c r="J1122" s="9">
        <f>IF($D1122="","",ROUND($D1122,2))</f>
        <v/>
      </c>
    </row>
    <row r="1123">
      <c r="A1123" s="6" t="n"/>
      <c r="B1123" s="6" t="n"/>
      <c r="C1123" s="7" t="n"/>
      <c r="D1123" s="8" t="n"/>
      <c r="E1123" s="6" t="n"/>
      <c r="F1123" s="6" t="n"/>
      <c r="G1123" s="6" t="n"/>
      <c r="H1123" s="6" t="n"/>
      <c r="I1123" s="12">
        <f>IF($B1123="","",IF(COUNTIF(Ventes_Factures!$A$6:$A$3005,$B1123)&gt;0,"OK","INCONNUE"))</f>
        <v/>
      </c>
      <c r="J1123" s="9">
        <f>IF($D1123="","",ROUND($D1123,2))</f>
        <v/>
      </c>
    </row>
    <row r="1124">
      <c r="A1124" s="6" t="n"/>
      <c r="B1124" s="6" t="n"/>
      <c r="C1124" s="7" t="n"/>
      <c r="D1124" s="8" t="n"/>
      <c r="E1124" s="6" t="n"/>
      <c r="F1124" s="6" t="n"/>
      <c r="G1124" s="6" t="n"/>
      <c r="H1124" s="6" t="n"/>
      <c r="I1124" s="12">
        <f>IF($B1124="","",IF(COUNTIF(Ventes_Factures!$A$6:$A$3005,$B1124)&gt;0,"OK","INCONNUE"))</f>
        <v/>
      </c>
      <c r="J1124" s="9">
        <f>IF($D1124="","",ROUND($D1124,2))</f>
        <v/>
      </c>
    </row>
    <row r="1125">
      <c r="A1125" s="6" t="n"/>
      <c r="B1125" s="6" t="n"/>
      <c r="C1125" s="7" t="n"/>
      <c r="D1125" s="8" t="n"/>
      <c r="E1125" s="6" t="n"/>
      <c r="F1125" s="6" t="n"/>
      <c r="G1125" s="6" t="n"/>
      <c r="H1125" s="6" t="n"/>
      <c r="I1125" s="12">
        <f>IF($B1125="","",IF(COUNTIF(Ventes_Factures!$A$6:$A$3005,$B1125)&gt;0,"OK","INCONNUE"))</f>
        <v/>
      </c>
      <c r="J1125" s="9">
        <f>IF($D1125="","",ROUND($D1125,2))</f>
        <v/>
      </c>
    </row>
    <row r="1126">
      <c r="A1126" s="6" t="n"/>
      <c r="B1126" s="6" t="n"/>
      <c r="C1126" s="7" t="n"/>
      <c r="D1126" s="8" t="n"/>
      <c r="E1126" s="6" t="n"/>
      <c r="F1126" s="6" t="n"/>
      <c r="G1126" s="6" t="n"/>
      <c r="H1126" s="6" t="n"/>
      <c r="I1126" s="12">
        <f>IF($B1126="","",IF(COUNTIF(Ventes_Factures!$A$6:$A$3005,$B1126)&gt;0,"OK","INCONNUE"))</f>
        <v/>
      </c>
      <c r="J1126" s="9">
        <f>IF($D1126="","",ROUND($D1126,2))</f>
        <v/>
      </c>
    </row>
    <row r="1127">
      <c r="A1127" s="6" t="n"/>
      <c r="B1127" s="6" t="n"/>
      <c r="C1127" s="7" t="n"/>
      <c r="D1127" s="8" t="n"/>
      <c r="E1127" s="6" t="n"/>
      <c r="F1127" s="6" t="n"/>
      <c r="G1127" s="6" t="n"/>
      <c r="H1127" s="6" t="n"/>
      <c r="I1127" s="12">
        <f>IF($B1127="","",IF(COUNTIF(Ventes_Factures!$A$6:$A$3005,$B1127)&gt;0,"OK","INCONNUE"))</f>
        <v/>
      </c>
      <c r="J1127" s="9">
        <f>IF($D1127="","",ROUND($D1127,2))</f>
        <v/>
      </c>
    </row>
    <row r="1128">
      <c r="A1128" s="6" t="n"/>
      <c r="B1128" s="6" t="n"/>
      <c r="C1128" s="7" t="n"/>
      <c r="D1128" s="8" t="n"/>
      <c r="E1128" s="6" t="n"/>
      <c r="F1128" s="6" t="n"/>
      <c r="G1128" s="6" t="n"/>
      <c r="H1128" s="6" t="n"/>
      <c r="I1128" s="12">
        <f>IF($B1128="","",IF(COUNTIF(Ventes_Factures!$A$6:$A$3005,$B1128)&gt;0,"OK","INCONNUE"))</f>
        <v/>
      </c>
      <c r="J1128" s="9">
        <f>IF($D1128="","",ROUND($D1128,2))</f>
        <v/>
      </c>
    </row>
    <row r="1129">
      <c r="A1129" s="6" t="n"/>
      <c r="B1129" s="6" t="n"/>
      <c r="C1129" s="7" t="n"/>
      <c r="D1129" s="8" t="n"/>
      <c r="E1129" s="6" t="n"/>
      <c r="F1129" s="6" t="n"/>
      <c r="G1129" s="6" t="n"/>
      <c r="H1129" s="6" t="n"/>
      <c r="I1129" s="12">
        <f>IF($B1129="","",IF(COUNTIF(Ventes_Factures!$A$6:$A$3005,$B1129)&gt;0,"OK","INCONNUE"))</f>
        <v/>
      </c>
      <c r="J1129" s="9">
        <f>IF($D1129="","",ROUND($D1129,2))</f>
        <v/>
      </c>
    </row>
    <row r="1130">
      <c r="A1130" s="6" t="n"/>
      <c r="B1130" s="6" t="n"/>
      <c r="C1130" s="7" t="n"/>
      <c r="D1130" s="8" t="n"/>
      <c r="E1130" s="6" t="n"/>
      <c r="F1130" s="6" t="n"/>
      <c r="G1130" s="6" t="n"/>
      <c r="H1130" s="6" t="n"/>
      <c r="I1130" s="12">
        <f>IF($B1130="","",IF(COUNTIF(Ventes_Factures!$A$6:$A$3005,$B1130)&gt;0,"OK","INCONNUE"))</f>
        <v/>
      </c>
      <c r="J1130" s="9">
        <f>IF($D1130="","",ROUND($D1130,2))</f>
        <v/>
      </c>
    </row>
    <row r="1131">
      <c r="A1131" s="6" t="n"/>
      <c r="B1131" s="6" t="n"/>
      <c r="C1131" s="7" t="n"/>
      <c r="D1131" s="8" t="n"/>
      <c r="E1131" s="6" t="n"/>
      <c r="F1131" s="6" t="n"/>
      <c r="G1131" s="6" t="n"/>
      <c r="H1131" s="6" t="n"/>
      <c r="I1131" s="12">
        <f>IF($B1131="","",IF(COUNTIF(Ventes_Factures!$A$6:$A$3005,$B1131)&gt;0,"OK","INCONNUE"))</f>
        <v/>
      </c>
      <c r="J1131" s="9">
        <f>IF($D1131="","",ROUND($D1131,2))</f>
        <v/>
      </c>
    </row>
    <row r="1132">
      <c r="A1132" s="6" t="n"/>
      <c r="B1132" s="6" t="n"/>
      <c r="C1132" s="7" t="n"/>
      <c r="D1132" s="8" t="n"/>
      <c r="E1132" s="6" t="n"/>
      <c r="F1132" s="6" t="n"/>
      <c r="G1132" s="6" t="n"/>
      <c r="H1132" s="6" t="n"/>
      <c r="I1132" s="12">
        <f>IF($B1132="","",IF(COUNTIF(Ventes_Factures!$A$6:$A$3005,$B1132)&gt;0,"OK","INCONNUE"))</f>
        <v/>
      </c>
      <c r="J1132" s="9">
        <f>IF($D1132="","",ROUND($D1132,2))</f>
        <v/>
      </c>
    </row>
    <row r="1133">
      <c r="A1133" s="6" t="n"/>
      <c r="B1133" s="6" t="n"/>
      <c r="C1133" s="7" t="n"/>
      <c r="D1133" s="8" t="n"/>
      <c r="E1133" s="6" t="n"/>
      <c r="F1133" s="6" t="n"/>
      <c r="G1133" s="6" t="n"/>
      <c r="H1133" s="6" t="n"/>
      <c r="I1133" s="12">
        <f>IF($B1133="","",IF(COUNTIF(Ventes_Factures!$A$6:$A$3005,$B1133)&gt;0,"OK","INCONNUE"))</f>
        <v/>
      </c>
      <c r="J1133" s="9">
        <f>IF($D1133="","",ROUND($D1133,2))</f>
        <v/>
      </c>
    </row>
    <row r="1134">
      <c r="A1134" s="6" t="n"/>
      <c r="B1134" s="6" t="n"/>
      <c r="C1134" s="7" t="n"/>
      <c r="D1134" s="8" t="n"/>
      <c r="E1134" s="6" t="n"/>
      <c r="F1134" s="6" t="n"/>
      <c r="G1134" s="6" t="n"/>
      <c r="H1134" s="6" t="n"/>
      <c r="I1134" s="12">
        <f>IF($B1134="","",IF(COUNTIF(Ventes_Factures!$A$6:$A$3005,$B1134)&gt;0,"OK","INCONNUE"))</f>
        <v/>
      </c>
      <c r="J1134" s="9">
        <f>IF($D1134="","",ROUND($D1134,2))</f>
        <v/>
      </c>
    </row>
    <row r="1135">
      <c r="A1135" s="6" t="n"/>
      <c r="B1135" s="6" t="n"/>
      <c r="C1135" s="7" t="n"/>
      <c r="D1135" s="8" t="n"/>
      <c r="E1135" s="6" t="n"/>
      <c r="F1135" s="6" t="n"/>
      <c r="G1135" s="6" t="n"/>
      <c r="H1135" s="6" t="n"/>
      <c r="I1135" s="12">
        <f>IF($B1135="","",IF(COUNTIF(Ventes_Factures!$A$6:$A$3005,$B1135)&gt;0,"OK","INCONNUE"))</f>
        <v/>
      </c>
      <c r="J1135" s="9">
        <f>IF($D1135="","",ROUND($D1135,2))</f>
        <v/>
      </c>
    </row>
    <row r="1136">
      <c r="A1136" s="6" t="n"/>
      <c r="B1136" s="6" t="n"/>
      <c r="C1136" s="7" t="n"/>
      <c r="D1136" s="8" t="n"/>
      <c r="E1136" s="6" t="n"/>
      <c r="F1136" s="6" t="n"/>
      <c r="G1136" s="6" t="n"/>
      <c r="H1136" s="6" t="n"/>
      <c r="I1136" s="12">
        <f>IF($B1136="","",IF(COUNTIF(Ventes_Factures!$A$6:$A$3005,$B1136)&gt;0,"OK","INCONNUE"))</f>
        <v/>
      </c>
      <c r="J1136" s="9">
        <f>IF($D1136="","",ROUND($D1136,2))</f>
        <v/>
      </c>
    </row>
    <row r="1137">
      <c r="A1137" s="6" t="n"/>
      <c r="B1137" s="6" t="n"/>
      <c r="C1137" s="7" t="n"/>
      <c r="D1137" s="8" t="n"/>
      <c r="E1137" s="6" t="n"/>
      <c r="F1137" s="6" t="n"/>
      <c r="G1137" s="6" t="n"/>
      <c r="H1137" s="6" t="n"/>
      <c r="I1137" s="12">
        <f>IF($B1137="","",IF(COUNTIF(Ventes_Factures!$A$6:$A$3005,$B1137)&gt;0,"OK","INCONNUE"))</f>
        <v/>
      </c>
      <c r="J1137" s="9">
        <f>IF($D1137="","",ROUND($D1137,2))</f>
        <v/>
      </c>
    </row>
    <row r="1138">
      <c r="A1138" s="6" t="n"/>
      <c r="B1138" s="6" t="n"/>
      <c r="C1138" s="7" t="n"/>
      <c r="D1138" s="8" t="n"/>
      <c r="E1138" s="6" t="n"/>
      <c r="F1138" s="6" t="n"/>
      <c r="G1138" s="6" t="n"/>
      <c r="H1138" s="6" t="n"/>
      <c r="I1138" s="12">
        <f>IF($B1138="","",IF(COUNTIF(Ventes_Factures!$A$6:$A$3005,$B1138)&gt;0,"OK","INCONNUE"))</f>
        <v/>
      </c>
      <c r="J1138" s="9">
        <f>IF($D1138="","",ROUND($D1138,2))</f>
        <v/>
      </c>
    </row>
    <row r="1139">
      <c r="A1139" s="6" t="n"/>
      <c r="B1139" s="6" t="n"/>
      <c r="C1139" s="7" t="n"/>
      <c r="D1139" s="8" t="n"/>
      <c r="E1139" s="6" t="n"/>
      <c r="F1139" s="6" t="n"/>
      <c r="G1139" s="6" t="n"/>
      <c r="H1139" s="6" t="n"/>
      <c r="I1139" s="12">
        <f>IF($B1139="","",IF(COUNTIF(Ventes_Factures!$A$6:$A$3005,$B1139)&gt;0,"OK","INCONNUE"))</f>
        <v/>
      </c>
      <c r="J1139" s="9">
        <f>IF($D1139="","",ROUND($D1139,2))</f>
        <v/>
      </c>
    </row>
    <row r="1140">
      <c r="A1140" s="6" t="n"/>
      <c r="B1140" s="6" t="n"/>
      <c r="C1140" s="7" t="n"/>
      <c r="D1140" s="8" t="n"/>
      <c r="E1140" s="6" t="n"/>
      <c r="F1140" s="6" t="n"/>
      <c r="G1140" s="6" t="n"/>
      <c r="H1140" s="6" t="n"/>
      <c r="I1140" s="12">
        <f>IF($B1140="","",IF(COUNTIF(Ventes_Factures!$A$6:$A$3005,$B1140)&gt;0,"OK","INCONNUE"))</f>
        <v/>
      </c>
      <c r="J1140" s="9">
        <f>IF($D1140="","",ROUND($D1140,2))</f>
        <v/>
      </c>
    </row>
    <row r="1141">
      <c r="A1141" s="6" t="n"/>
      <c r="B1141" s="6" t="n"/>
      <c r="C1141" s="7" t="n"/>
      <c r="D1141" s="8" t="n"/>
      <c r="E1141" s="6" t="n"/>
      <c r="F1141" s="6" t="n"/>
      <c r="G1141" s="6" t="n"/>
      <c r="H1141" s="6" t="n"/>
      <c r="I1141" s="12">
        <f>IF($B1141="","",IF(COUNTIF(Ventes_Factures!$A$6:$A$3005,$B1141)&gt;0,"OK","INCONNUE"))</f>
        <v/>
      </c>
      <c r="J1141" s="9">
        <f>IF($D1141="","",ROUND($D1141,2))</f>
        <v/>
      </c>
    </row>
    <row r="1142">
      <c r="A1142" s="6" t="n"/>
      <c r="B1142" s="6" t="n"/>
      <c r="C1142" s="7" t="n"/>
      <c r="D1142" s="8" t="n"/>
      <c r="E1142" s="6" t="n"/>
      <c r="F1142" s="6" t="n"/>
      <c r="G1142" s="6" t="n"/>
      <c r="H1142" s="6" t="n"/>
      <c r="I1142" s="12">
        <f>IF($B1142="","",IF(COUNTIF(Ventes_Factures!$A$6:$A$3005,$B1142)&gt;0,"OK","INCONNUE"))</f>
        <v/>
      </c>
      <c r="J1142" s="9">
        <f>IF($D1142="","",ROUND($D1142,2))</f>
        <v/>
      </c>
    </row>
    <row r="1143">
      <c r="A1143" s="6" t="n"/>
      <c r="B1143" s="6" t="n"/>
      <c r="C1143" s="7" t="n"/>
      <c r="D1143" s="8" t="n"/>
      <c r="E1143" s="6" t="n"/>
      <c r="F1143" s="6" t="n"/>
      <c r="G1143" s="6" t="n"/>
      <c r="H1143" s="6" t="n"/>
      <c r="I1143" s="12">
        <f>IF($B1143="","",IF(COUNTIF(Ventes_Factures!$A$6:$A$3005,$B1143)&gt;0,"OK","INCONNUE"))</f>
        <v/>
      </c>
      <c r="J1143" s="9">
        <f>IF($D1143="","",ROUND($D1143,2))</f>
        <v/>
      </c>
    </row>
    <row r="1144">
      <c r="A1144" s="6" t="n"/>
      <c r="B1144" s="6" t="n"/>
      <c r="C1144" s="7" t="n"/>
      <c r="D1144" s="8" t="n"/>
      <c r="E1144" s="6" t="n"/>
      <c r="F1144" s="6" t="n"/>
      <c r="G1144" s="6" t="n"/>
      <c r="H1144" s="6" t="n"/>
      <c r="I1144" s="12">
        <f>IF($B1144="","",IF(COUNTIF(Ventes_Factures!$A$6:$A$3005,$B1144)&gt;0,"OK","INCONNUE"))</f>
        <v/>
      </c>
      <c r="J1144" s="9">
        <f>IF($D1144="","",ROUND($D1144,2))</f>
        <v/>
      </c>
    </row>
    <row r="1145">
      <c r="A1145" s="6" t="n"/>
      <c r="B1145" s="6" t="n"/>
      <c r="C1145" s="7" t="n"/>
      <c r="D1145" s="8" t="n"/>
      <c r="E1145" s="6" t="n"/>
      <c r="F1145" s="6" t="n"/>
      <c r="G1145" s="6" t="n"/>
      <c r="H1145" s="6" t="n"/>
      <c r="I1145" s="12">
        <f>IF($B1145="","",IF(COUNTIF(Ventes_Factures!$A$6:$A$3005,$B1145)&gt;0,"OK","INCONNUE"))</f>
        <v/>
      </c>
      <c r="J1145" s="9">
        <f>IF($D1145="","",ROUND($D1145,2))</f>
        <v/>
      </c>
    </row>
    <row r="1146">
      <c r="A1146" s="6" t="n"/>
      <c r="B1146" s="6" t="n"/>
      <c r="C1146" s="7" t="n"/>
      <c r="D1146" s="8" t="n"/>
      <c r="E1146" s="6" t="n"/>
      <c r="F1146" s="6" t="n"/>
      <c r="G1146" s="6" t="n"/>
      <c r="H1146" s="6" t="n"/>
      <c r="I1146" s="12">
        <f>IF($B1146="","",IF(COUNTIF(Ventes_Factures!$A$6:$A$3005,$B1146)&gt;0,"OK","INCONNUE"))</f>
        <v/>
      </c>
      <c r="J1146" s="9">
        <f>IF($D1146="","",ROUND($D1146,2))</f>
        <v/>
      </c>
    </row>
    <row r="1147">
      <c r="A1147" s="6" t="n"/>
      <c r="B1147" s="6" t="n"/>
      <c r="C1147" s="7" t="n"/>
      <c r="D1147" s="8" t="n"/>
      <c r="E1147" s="6" t="n"/>
      <c r="F1147" s="6" t="n"/>
      <c r="G1147" s="6" t="n"/>
      <c r="H1147" s="6" t="n"/>
      <c r="I1147" s="12">
        <f>IF($B1147="","",IF(COUNTIF(Ventes_Factures!$A$6:$A$3005,$B1147)&gt;0,"OK","INCONNUE"))</f>
        <v/>
      </c>
      <c r="J1147" s="9">
        <f>IF($D1147="","",ROUND($D1147,2))</f>
        <v/>
      </c>
    </row>
    <row r="1148">
      <c r="A1148" s="6" t="n"/>
      <c r="B1148" s="6" t="n"/>
      <c r="C1148" s="7" t="n"/>
      <c r="D1148" s="8" t="n"/>
      <c r="E1148" s="6" t="n"/>
      <c r="F1148" s="6" t="n"/>
      <c r="G1148" s="6" t="n"/>
      <c r="H1148" s="6" t="n"/>
      <c r="I1148" s="12">
        <f>IF($B1148="","",IF(COUNTIF(Ventes_Factures!$A$6:$A$3005,$B1148)&gt;0,"OK","INCONNUE"))</f>
        <v/>
      </c>
      <c r="J1148" s="9">
        <f>IF($D1148="","",ROUND($D1148,2))</f>
        <v/>
      </c>
    </row>
    <row r="1149">
      <c r="A1149" s="6" t="n"/>
      <c r="B1149" s="6" t="n"/>
      <c r="C1149" s="7" t="n"/>
      <c r="D1149" s="8" t="n"/>
      <c r="E1149" s="6" t="n"/>
      <c r="F1149" s="6" t="n"/>
      <c r="G1149" s="6" t="n"/>
      <c r="H1149" s="6" t="n"/>
      <c r="I1149" s="12">
        <f>IF($B1149="","",IF(COUNTIF(Ventes_Factures!$A$6:$A$3005,$B1149)&gt;0,"OK","INCONNUE"))</f>
        <v/>
      </c>
      <c r="J1149" s="9">
        <f>IF($D1149="","",ROUND($D1149,2))</f>
        <v/>
      </c>
    </row>
    <row r="1150">
      <c r="A1150" s="6" t="n"/>
      <c r="B1150" s="6" t="n"/>
      <c r="C1150" s="7" t="n"/>
      <c r="D1150" s="8" t="n"/>
      <c r="E1150" s="6" t="n"/>
      <c r="F1150" s="6" t="n"/>
      <c r="G1150" s="6" t="n"/>
      <c r="H1150" s="6" t="n"/>
      <c r="I1150" s="12">
        <f>IF($B1150="","",IF(COUNTIF(Ventes_Factures!$A$6:$A$3005,$B1150)&gt;0,"OK","INCONNUE"))</f>
        <v/>
      </c>
      <c r="J1150" s="9">
        <f>IF($D1150="","",ROUND($D1150,2))</f>
        <v/>
      </c>
    </row>
    <row r="1151">
      <c r="A1151" s="6" t="n"/>
      <c r="B1151" s="6" t="n"/>
      <c r="C1151" s="7" t="n"/>
      <c r="D1151" s="8" t="n"/>
      <c r="E1151" s="6" t="n"/>
      <c r="F1151" s="6" t="n"/>
      <c r="G1151" s="6" t="n"/>
      <c r="H1151" s="6" t="n"/>
      <c r="I1151" s="12">
        <f>IF($B1151="","",IF(COUNTIF(Ventes_Factures!$A$6:$A$3005,$B1151)&gt;0,"OK","INCONNUE"))</f>
        <v/>
      </c>
      <c r="J1151" s="9">
        <f>IF($D1151="","",ROUND($D1151,2))</f>
        <v/>
      </c>
    </row>
    <row r="1152">
      <c r="A1152" s="6" t="n"/>
      <c r="B1152" s="6" t="n"/>
      <c r="C1152" s="7" t="n"/>
      <c r="D1152" s="8" t="n"/>
      <c r="E1152" s="6" t="n"/>
      <c r="F1152" s="6" t="n"/>
      <c r="G1152" s="6" t="n"/>
      <c r="H1152" s="6" t="n"/>
      <c r="I1152" s="12">
        <f>IF($B1152="","",IF(COUNTIF(Ventes_Factures!$A$6:$A$3005,$B1152)&gt;0,"OK","INCONNUE"))</f>
        <v/>
      </c>
      <c r="J1152" s="9">
        <f>IF($D1152="","",ROUND($D1152,2))</f>
        <v/>
      </c>
    </row>
    <row r="1153">
      <c r="A1153" s="6" t="n"/>
      <c r="B1153" s="6" t="n"/>
      <c r="C1153" s="7" t="n"/>
      <c r="D1153" s="8" t="n"/>
      <c r="E1153" s="6" t="n"/>
      <c r="F1153" s="6" t="n"/>
      <c r="G1153" s="6" t="n"/>
      <c r="H1153" s="6" t="n"/>
      <c r="I1153" s="12">
        <f>IF($B1153="","",IF(COUNTIF(Ventes_Factures!$A$6:$A$3005,$B1153)&gt;0,"OK","INCONNUE"))</f>
        <v/>
      </c>
      <c r="J1153" s="9">
        <f>IF($D1153="","",ROUND($D1153,2))</f>
        <v/>
      </c>
    </row>
    <row r="1154">
      <c r="A1154" s="6" t="n"/>
      <c r="B1154" s="6" t="n"/>
      <c r="C1154" s="7" t="n"/>
      <c r="D1154" s="8" t="n"/>
      <c r="E1154" s="6" t="n"/>
      <c r="F1154" s="6" t="n"/>
      <c r="G1154" s="6" t="n"/>
      <c r="H1154" s="6" t="n"/>
      <c r="I1154" s="12">
        <f>IF($B1154="","",IF(COUNTIF(Ventes_Factures!$A$6:$A$3005,$B1154)&gt;0,"OK","INCONNUE"))</f>
        <v/>
      </c>
      <c r="J1154" s="9">
        <f>IF($D1154="","",ROUND($D1154,2))</f>
        <v/>
      </c>
    </row>
    <row r="1155">
      <c r="A1155" s="6" t="n"/>
      <c r="B1155" s="6" t="n"/>
      <c r="C1155" s="7" t="n"/>
      <c r="D1155" s="8" t="n"/>
      <c r="E1155" s="6" t="n"/>
      <c r="F1155" s="6" t="n"/>
      <c r="G1155" s="6" t="n"/>
      <c r="H1155" s="6" t="n"/>
      <c r="I1155" s="12">
        <f>IF($B1155="","",IF(COUNTIF(Ventes_Factures!$A$6:$A$3005,$B1155)&gt;0,"OK","INCONNUE"))</f>
        <v/>
      </c>
      <c r="J1155" s="9">
        <f>IF($D1155="","",ROUND($D1155,2))</f>
        <v/>
      </c>
    </row>
    <row r="1156">
      <c r="A1156" s="6" t="n"/>
      <c r="B1156" s="6" t="n"/>
      <c r="C1156" s="7" t="n"/>
      <c r="D1156" s="8" t="n"/>
      <c r="E1156" s="6" t="n"/>
      <c r="F1156" s="6" t="n"/>
      <c r="G1156" s="6" t="n"/>
      <c r="H1156" s="6" t="n"/>
      <c r="I1156" s="12">
        <f>IF($B1156="","",IF(COUNTIF(Ventes_Factures!$A$6:$A$3005,$B1156)&gt;0,"OK","INCONNUE"))</f>
        <v/>
      </c>
      <c r="J1156" s="9">
        <f>IF($D1156="","",ROUND($D1156,2))</f>
        <v/>
      </c>
    </row>
    <row r="1157">
      <c r="A1157" s="6" t="n"/>
      <c r="B1157" s="6" t="n"/>
      <c r="C1157" s="7" t="n"/>
      <c r="D1157" s="8" t="n"/>
      <c r="E1157" s="6" t="n"/>
      <c r="F1157" s="6" t="n"/>
      <c r="G1157" s="6" t="n"/>
      <c r="H1157" s="6" t="n"/>
      <c r="I1157" s="12">
        <f>IF($B1157="","",IF(COUNTIF(Ventes_Factures!$A$6:$A$3005,$B1157)&gt;0,"OK","INCONNUE"))</f>
        <v/>
      </c>
      <c r="J1157" s="9">
        <f>IF($D1157="","",ROUND($D1157,2))</f>
        <v/>
      </c>
    </row>
    <row r="1158">
      <c r="A1158" s="6" t="n"/>
      <c r="B1158" s="6" t="n"/>
      <c r="C1158" s="7" t="n"/>
      <c r="D1158" s="8" t="n"/>
      <c r="E1158" s="6" t="n"/>
      <c r="F1158" s="6" t="n"/>
      <c r="G1158" s="6" t="n"/>
      <c r="H1158" s="6" t="n"/>
      <c r="I1158" s="12">
        <f>IF($B1158="","",IF(COUNTIF(Ventes_Factures!$A$6:$A$3005,$B1158)&gt;0,"OK","INCONNUE"))</f>
        <v/>
      </c>
      <c r="J1158" s="9">
        <f>IF($D1158="","",ROUND($D1158,2))</f>
        <v/>
      </c>
    </row>
    <row r="1159">
      <c r="A1159" s="6" t="n"/>
      <c r="B1159" s="6" t="n"/>
      <c r="C1159" s="7" t="n"/>
      <c r="D1159" s="8" t="n"/>
      <c r="E1159" s="6" t="n"/>
      <c r="F1159" s="6" t="n"/>
      <c r="G1159" s="6" t="n"/>
      <c r="H1159" s="6" t="n"/>
      <c r="I1159" s="12">
        <f>IF($B1159="","",IF(COUNTIF(Ventes_Factures!$A$6:$A$3005,$B1159)&gt;0,"OK","INCONNUE"))</f>
        <v/>
      </c>
      <c r="J1159" s="9">
        <f>IF($D1159="","",ROUND($D1159,2))</f>
        <v/>
      </c>
    </row>
    <row r="1160">
      <c r="A1160" s="6" t="n"/>
      <c r="B1160" s="6" t="n"/>
      <c r="C1160" s="7" t="n"/>
      <c r="D1160" s="8" t="n"/>
      <c r="E1160" s="6" t="n"/>
      <c r="F1160" s="6" t="n"/>
      <c r="G1160" s="6" t="n"/>
      <c r="H1160" s="6" t="n"/>
      <c r="I1160" s="12">
        <f>IF($B1160="","",IF(COUNTIF(Ventes_Factures!$A$6:$A$3005,$B1160)&gt;0,"OK","INCONNUE"))</f>
        <v/>
      </c>
      <c r="J1160" s="9">
        <f>IF($D1160="","",ROUND($D1160,2))</f>
        <v/>
      </c>
    </row>
    <row r="1161">
      <c r="A1161" s="6" t="n"/>
      <c r="B1161" s="6" t="n"/>
      <c r="C1161" s="7" t="n"/>
      <c r="D1161" s="8" t="n"/>
      <c r="E1161" s="6" t="n"/>
      <c r="F1161" s="6" t="n"/>
      <c r="G1161" s="6" t="n"/>
      <c r="H1161" s="6" t="n"/>
      <c r="I1161" s="12">
        <f>IF($B1161="","",IF(COUNTIF(Ventes_Factures!$A$6:$A$3005,$B1161)&gt;0,"OK","INCONNUE"))</f>
        <v/>
      </c>
      <c r="J1161" s="9">
        <f>IF($D1161="","",ROUND($D1161,2))</f>
        <v/>
      </c>
    </row>
    <row r="1162">
      <c r="A1162" s="6" t="n"/>
      <c r="B1162" s="6" t="n"/>
      <c r="C1162" s="7" t="n"/>
      <c r="D1162" s="8" t="n"/>
      <c r="E1162" s="6" t="n"/>
      <c r="F1162" s="6" t="n"/>
      <c r="G1162" s="6" t="n"/>
      <c r="H1162" s="6" t="n"/>
      <c r="I1162" s="12">
        <f>IF($B1162="","",IF(COUNTIF(Ventes_Factures!$A$6:$A$3005,$B1162)&gt;0,"OK","INCONNUE"))</f>
        <v/>
      </c>
      <c r="J1162" s="9">
        <f>IF($D1162="","",ROUND($D1162,2))</f>
        <v/>
      </c>
    </row>
    <row r="1163">
      <c r="A1163" s="6" t="n"/>
      <c r="B1163" s="6" t="n"/>
      <c r="C1163" s="7" t="n"/>
      <c r="D1163" s="8" t="n"/>
      <c r="E1163" s="6" t="n"/>
      <c r="F1163" s="6" t="n"/>
      <c r="G1163" s="6" t="n"/>
      <c r="H1163" s="6" t="n"/>
      <c r="I1163" s="12">
        <f>IF($B1163="","",IF(COUNTIF(Ventes_Factures!$A$6:$A$3005,$B1163)&gt;0,"OK","INCONNUE"))</f>
        <v/>
      </c>
      <c r="J1163" s="9">
        <f>IF($D1163="","",ROUND($D1163,2))</f>
        <v/>
      </c>
    </row>
    <row r="1164">
      <c r="A1164" s="6" t="n"/>
      <c r="B1164" s="6" t="n"/>
      <c r="C1164" s="7" t="n"/>
      <c r="D1164" s="8" t="n"/>
      <c r="E1164" s="6" t="n"/>
      <c r="F1164" s="6" t="n"/>
      <c r="G1164" s="6" t="n"/>
      <c r="H1164" s="6" t="n"/>
      <c r="I1164" s="12">
        <f>IF($B1164="","",IF(COUNTIF(Ventes_Factures!$A$6:$A$3005,$B1164)&gt;0,"OK","INCONNUE"))</f>
        <v/>
      </c>
      <c r="J1164" s="9">
        <f>IF($D1164="","",ROUND($D1164,2))</f>
        <v/>
      </c>
    </row>
    <row r="1165">
      <c r="A1165" s="6" t="n"/>
      <c r="B1165" s="6" t="n"/>
      <c r="C1165" s="7" t="n"/>
      <c r="D1165" s="8" t="n"/>
      <c r="E1165" s="6" t="n"/>
      <c r="F1165" s="6" t="n"/>
      <c r="G1165" s="6" t="n"/>
      <c r="H1165" s="6" t="n"/>
      <c r="I1165" s="12">
        <f>IF($B1165="","",IF(COUNTIF(Ventes_Factures!$A$6:$A$3005,$B1165)&gt;0,"OK","INCONNUE"))</f>
        <v/>
      </c>
      <c r="J1165" s="9">
        <f>IF($D1165="","",ROUND($D1165,2))</f>
        <v/>
      </c>
    </row>
    <row r="1166">
      <c r="A1166" s="6" t="n"/>
      <c r="B1166" s="6" t="n"/>
      <c r="C1166" s="7" t="n"/>
      <c r="D1166" s="8" t="n"/>
      <c r="E1166" s="6" t="n"/>
      <c r="F1166" s="6" t="n"/>
      <c r="G1166" s="6" t="n"/>
      <c r="H1166" s="6" t="n"/>
      <c r="I1166" s="12">
        <f>IF($B1166="","",IF(COUNTIF(Ventes_Factures!$A$6:$A$3005,$B1166)&gt;0,"OK","INCONNUE"))</f>
        <v/>
      </c>
      <c r="J1166" s="9">
        <f>IF($D1166="","",ROUND($D1166,2))</f>
        <v/>
      </c>
    </row>
    <row r="1167">
      <c r="A1167" s="6" t="n"/>
      <c r="B1167" s="6" t="n"/>
      <c r="C1167" s="7" t="n"/>
      <c r="D1167" s="8" t="n"/>
      <c r="E1167" s="6" t="n"/>
      <c r="F1167" s="6" t="n"/>
      <c r="G1167" s="6" t="n"/>
      <c r="H1167" s="6" t="n"/>
      <c r="I1167" s="12">
        <f>IF($B1167="","",IF(COUNTIF(Ventes_Factures!$A$6:$A$3005,$B1167)&gt;0,"OK","INCONNUE"))</f>
        <v/>
      </c>
      <c r="J1167" s="9">
        <f>IF($D1167="","",ROUND($D1167,2))</f>
        <v/>
      </c>
    </row>
    <row r="1168">
      <c r="A1168" s="6" t="n"/>
      <c r="B1168" s="6" t="n"/>
      <c r="C1168" s="7" t="n"/>
      <c r="D1168" s="8" t="n"/>
      <c r="E1168" s="6" t="n"/>
      <c r="F1168" s="6" t="n"/>
      <c r="G1168" s="6" t="n"/>
      <c r="H1168" s="6" t="n"/>
      <c r="I1168" s="12">
        <f>IF($B1168="","",IF(COUNTIF(Ventes_Factures!$A$6:$A$3005,$B1168)&gt;0,"OK","INCONNUE"))</f>
        <v/>
      </c>
      <c r="J1168" s="9">
        <f>IF($D1168="","",ROUND($D1168,2))</f>
        <v/>
      </c>
    </row>
    <row r="1169">
      <c r="A1169" s="6" t="n"/>
      <c r="B1169" s="6" t="n"/>
      <c r="C1169" s="7" t="n"/>
      <c r="D1169" s="8" t="n"/>
      <c r="E1169" s="6" t="n"/>
      <c r="F1169" s="6" t="n"/>
      <c r="G1169" s="6" t="n"/>
      <c r="H1169" s="6" t="n"/>
      <c r="I1169" s="12">
        <f>IF($B1169="","",IF(COUNTIF(Ventes_Factures!$A$6:$A$3005,$B1169)&gt;0,"OK","INCONNUE"))</f>
        <v/>
      </c>
      <c r="J1169" s="9">
        <f>IF($D1169="","",ROUND($D1169,2))</f>
        <v/>
      </c>
    </row>
    <row r="1170">
      <c r="A1170" s="6" t="n"/>
      <c r="B1170" s="6" t="n"/>
      <c r="C1170" s="7" t="n"/>
      <c r="D1170" s="8" t="n"/>
      <c r="E1170" s="6" t="n"/>
      <c r="F1170" s="6" t="n"/>
      <c r="G1170" s="6" t="n"/>
      <c r="H1170" s="6" t="n"/>
      <c r="I1170" s="12">
        <f>IF($B1170="","",IF(COUNTIF(Ventes_Factures!$A$6:$A$3005,$B1170)&gt;0,"OK","INCONNUE"))</f>
        <v/>
      </c>
      <c r="J1170" s="9">
        <f>IF($D1170="","",ROUND($D1170,2))</f>
        <v/>
      </c>
    </row>
    <row r="1171">
      <c r="A1171" s="6" t="n"/>
      <c r="B1171" s="6" t="n"/>
      <c r="C1171" s="7" t="n"/>
      <c r="D1171" s="8" t="n"/>
      <c r="E1171" s="6" t="n"/>
      <c r="F1171" s="6" t="n"/>
      <c r="G1171" s="6" t="n"/>
      <c r="H1171" s="6" t="n"/>
      <c r="I1171" s="12">
        <f>IF($B1171="","",IF(COUNTIF(Ventes_Factures!$A$6:$A$3005,$B1171)&gt;0,"OK","INCONNUE"))</f>
        <v/>
      </c>
      <c r="J1171" s="9">
        <f>IF($D1171="","",ROUND($D1171,2))</f>
        <v/>
      </c>
    </row>
    <row r="1172">
      <c r="A1172" s="6" t="n"/>
      <c r="B1172" s="6" t="n"/>
      <c r="C1172" s="7" t="n"/>
      <c r="D1172" s="8" t="n"/>
      <c r="E1172" s="6" t="n"/>
      <c r="F1172" s="6" t="n"/>
      <c r="G1172" s="6" t="n"/>
      <c r="H1172" s="6" t="n"/>
      <c r="I1172" s="12">
        <f>IF($B1172="","",IF(COUNTIF(Ventes_Factures!$A$6:$A$3005,$B1172)&gt;0,"OK","INCONNUE"))</f>
        <v/>
      </c>
      <c r="J1172" s="9">
        <f>IF($D1172="","",ROUND($D1172,2))</f>
        <v/>
      </c>
    </row>
    <row r="1173">
      <c r="A1173" s="6" t="n"/>
      <c r="B1173" s="6" t="n"/>
      <c r="C1173" s="7" t="n"/>
      <c r="D1173" s="8" t="n"/>
      <c r="E1173" s="6" t="n"/>
      <c r="F1173" s="6" t="n"/>
      <c r="G1173" s="6" t="n"/>
      <c r="H1173" s="6" t="n"/>
      <c r="I1173" s="12">
        <f>IF($B1173="","",IF(COUNTIF(Ventes_Factures!$A$6:$A$3005,$B1173)&gt;0,"OK","INCONNUE"))</f>
        <v/>
      </c>
      <c r="J1173" s="9">
        <f>IF($D1173="","",ROUND($D1173,2))</f>
        <v/>
      </c>
    </row>
    <row r="1174">
      <c r="A1174" s="6" t="n"/>
      <c r="B1174" s="6" t="n"/>
      <c r="C1174" s="7" t="n"/>
      <c r="D1174" s="8" t="n"/>
      <c r="E1174" s="6" t="n"/>
      <c r="F1174" s="6" t="n"/>
      <c r="G1174" s="6" t="n"/>
      <c r="H1174" s="6" t="n"/>
      <c r="I1174" s="12">
        <f>IF($B1174="","",IF(COUNTIF(Ventes_Factures!$A$6:$A$3005,$B1174)&gt;0,"OK","INCONNUE"))</f>
        <v/>
      </c>
      <c r="J1174" s="9">
        <f>IF($D1174="","",ROUND($D1174,2))</f>
        <v/>
      </c>
    </row>
    <row r="1175">
      <c r="A1175" s="6" t="n"/>
      <c r="B1175" s="6" t="n"/>
      <c r="C1175" s="7" t="n"/>
      <c r="D1175" s="8" t="n"/>
      <c r="E1175" s="6" t="n"/>
      <c r="F1175" s="6" t="n"/>
      <c r="G1175" s="6" t="n"/>
      <c r="H1175" s="6" t="n"/>
      <c r="I1175" s="12">
        <f>IF($B1175="","",IF(COUNTIF(Ventes_Factures!$A$6:$A$3005,$B1175)&gt;0,"OK","INCONNUE"))</f>
        <v/>
      </c>
      <c r="J1175" s="9">
        <f>IF($D1175="","",ROUND($D1175,2))</f>
        <v/>
      </c>
    </row>
    <row r="1176">
      <c r="A1176" s="6" t="n"/>
      <c r="B1176" s="6" t="n"/>
      <c r="C1176" s="7" t="n"/>
      <c r="D1176" s="8" t="n"/>
      <c r="E1176" s="6" t="n"/>
      <c r="F1176" s="6" t="n"/>
      <c r="G1176" s="6" t="n"/>
      <c r="H1176" s="6" t="n"/>
      <c r="I1176" s="12">
        <f>IF($B1176="","",IF(COUNTIF(Ventes_Factures!$A$6:$A$3005,$B1176)&gt;0,"OK","INCONNUE"))</f>
        <v/>
      </c>
      <c r="J1176" s="9">
        <f>IF($D1176="","",ROUND($D1176,2))</f>
        <v/>
      </c>
    </row>
    <row r="1177">
      <c r="A1177" s="6" t="n"/>
      <c r="B1177" s="6" t="n"/>
      <c r="C1177" s="7" t="n"/>
      <c r="D1177" s="8" t="n"/>
      <c r="E1177" s="6" t="n"/>
      <c r="F1177" s="6" t="n"/>
      <c r="G1177" s="6" t="n"/>
      <c r="H1177" s="6" t="n"/>
      <c r="I1177" s="12">
        <f>IF($B1177="","",IF(COUNTIF(Ventes_Factures!$A$6:$A$3005,$B1177)&gt;0,"OK","INCONNUE"))</f>
        <v/>
      </c>
      <c r="J1177" s="9">
        <f>IF($D1177="","",ROUND($D1177,2))</f>
        <v/>
      </c>
    </row>
    <row r="1178">
      <c r="A1178" s="6" t="n"/>
      <c r="B1178" s="6" t="n"/>
      <c r="C1178" s="7" t="n"/>
      <c r="D1178" s="8" t="n"/>
      <c r="E1178" s="6" t="n"/>
      <c r="F1178" s="6" t="n"/>
      <c r="G1178" s="6" t="n"/>
      <c r="H1178" s="6" t="n"/>
      <c r="I1178" s="12">
        <f>IF($B1178="","",IF(COUNTIF(Ventes_Factures!$A$6:$A$3005,$B1178)&gt;0,"OK","INCONNUE"))</f>
        <v/>
      </c>
      <c r="J1178" s="9">
        <f>IF($D1178="","",ROUND($D1178,2))</f>
        <v/>
      </c>
    </row>
    <row r="1179">
      <c r="A1179" s="6" t="n"/>
      <c r="B1179" s="6" t="n"/>
      <c r="C1179" s="7" t="n"/>
      <c r="D1179" s="8" t="n"/>
      <c r="E1179" s="6" t="n"/>
      <c r="F1179" s="6" t="n"/>
      <c r="G1179" s="6" t="n"/>
      <c r="H1179" s="6" t="n"/>
      <c r="I1179" s="12">
        <f>IF($B1179="","",IF(COUNTIF(Ventes_Factures!$A$6:$A$3005,$B1179)&gt;0,"OK","INCONNUE"))</f>
        <v/>
      </c>
      <c r="J1179" s="9">
        <f>IF($D1179="","",ROUND($D1179,2))</f>
        <v/>
      </c>
    </row>
    <row r="1180">
      <c r="A1180" s="6" t="n"/>
      <c r="B1180" s="6" t="n"/>
      <c r="C1180" s="7" t="n"/>
      <c r="D1180" s="8" t="n"/>
      <c r="E1180" s="6" t="n"/>
      <c r="F1180" s="6" t="n"/>
      <c r="G1180" s="6" t="n"/>
      <c r="H1180" s="6" t="n"/>
      <c r="I1180" s="12">
        <f>IF($B1180="","",IF(COUNTIF(Ventes_Factures!$A$6:$A$3005,$B1180)&gt;0,"OK","INCONNUE"))</f>
        <v/>
      </c>
      <c r="J1180" s="9">
        <f>IF($D1180="","",ROUND($D1180,2))</f>
        <v/>
      </c>
    </row>
    <row r="1181">
      <c r="A1181" s="6" t="n"/>
      <c r="B1181" s="6" t="n"/>
      <c r="C1181" s="7" t="n"/>
      <c r="D1181" s="8" t="n"/>
      <c r="E1181" s="6" t="n"/>
      <c r="F1181" s="6" t="n"/>
      <c r="G1181" s="6" t="n"/>
      <c r="H1181" s="6" t="n"/>
      <c r="I1181" s="12">
        <f>IF($B1181="","",IF(COUNTIF(Ventes_Factures!$A$6:$A$3005,$B1181)&gt;0,"OK","INCONNUE"))</f>
        <v/>
      </c>
      <c r="J1181" s="9">
        <f>IF($D1181="","",ROUND($D1181,2))</f>
        <v/>
      </c>
    </row>
    <row r="1182">
      <c r="A1182" s="6" t="n"/>
      <c r="B1182" s="6" t="n"/>
      <c r="C1182" s="7" t="n"/>
      <c r="D1182" s="8" t="n"/>
      <c r="E1182" s="6" t="n"/>
      <c r="F1182" s="6" t="n"/>
      <c r="G1182" s="6" t="n"/>
      <c r="H1182" s="6" t="n"/>
      <c r="I1182" s="12">
        <f>IF($B1182="","",IF(COUNTIF(Ventes_Factures!$A$6:$A$3005,$B1182)&gt;0,"OK","INCONNUE"))</f>
        <v/>
      </c>
      <c r="J1182" s="9">
        <f>IF($D1182="","",ROUND($D1182,2))</f>
        <v/>
      </c>
    </row>
    <row r="1183">
      <c r="A1183" s="6" t="n"/>
      <c r="B1183" s="6" t="n"/>
      <c r="C1183" s="7" t="n"/>
      <c r="D1183" s="8" t="n"/>
      <c r="E1183" s="6" t="n"/>
      <c r="F1183" s="6" t="n"/>
      <c r="G1183" s="6" t="n"/>
      <c r="H1183" s="6" t="n"/>
      <c r="I1183" s="12">
        <f>IF($B1183="","",IF(COUNTIF(Ventes_Factures!$A$6:$A$3005,$B1183)&gt;0,"OK","INCONNUE"))</f>
        <v/>
      </c>
      <c r="J1183" s="9">
        <f>IF($D1183="","",ROUND($D1183,2))</f>
        <v/>
      </c>
    </row>
    <row r="1184">
      <c r="A1184" s="6" t="n"/>
      <c r="B1184" s="6" t="n"/>
      <c r="C1184" s="7" t="n"/>
      <c r="D1184" s="8" t="n"/>
      <c r="E1184" s="6" t="n"/>
      <c r="F1184" s="6" t="n"/>
      <c r="G1184" s="6" t="n"/>
      <c r="H1184" s="6" t="n"/>
      <c r="I1184" s="12">
        <f>IF($B1184="","",IF(COUNTIF(Ventes_Factures!$A$6:$A$3005,$B1184)&gt;0,"OK","INCONNUE"))</f>
        <v/>
      </c>
      <c r="J1184" s="9">
        <f>IF($D1184="","",ROUND($D1184,2))</f>
        <v/>
      </c>
    </row>
    <row r="1185">
      <c r="A1185" s="6" t="n"/>
      <c r="B1185" s="6" t="n"/>
      <c r="C1185" s="7" t="n"/>
      <c r="D1185" s="8" t="n"/>
      <c r="E1185" s="6" t="n"/>
      <c r="F1185" s="6" t="n"/>
      <c r="G1185" s="6" t="n"/>
      <c r="H1185" s="6" t="n"/>
      <c r="I1185" s="12">
        <f>IF($B1185="","",IF(COUNTIF(Ventes_Factures!$A$6:$A$3005,$B1185)&gt;0,"OK","INCONNUE"))</f>
        <v/>
      </c>
      <c r="J1185" s="9">
        <f>IF($D1185="","",ROUND($D1185,2))</f>
        <v/>
      </c>
    </row>
    <row r="1186">
      <c r="A1186" s="6" t="n"/>
      <c r="B1186" s="6" t="n"/>
      <c r="C1186" s="7" t="n"/>
      <c r="D1186" s="8" t="n"/>
      <c r="E1186" s="6" t="n"/>
      <c r="F1186" s="6" t="n"/>
      <c r="G1186" s="6" t="n"/>
      <c r="H1186" s="6" t="n"/>
      <c r="I1186" s="12">
        <f>IF($B1186="","",IF(COUNTIF(Ventes_Factures!$A$6:$A$3005,$B1186)&gt;0,"OK","INCONNUE"))</f>
        <v/>
      </c>
      <c r="J1186" s="9">
        <f>IF($D1186="","",ROUND($D1186,2))</f>
        <v/>
      </c>
    </row>
    <row r="1187">
      <c r="A1187" s="6" t="n"/>
      <c r="B1187" s="6" t="n"/>
      <c r="C1187" s="7" t="n"/>
      <c r="D1187" s="8" t="n"/>
      <c r="E1187" s="6" t="n"/>
      <c r="F1187" s="6" t="n"/>
      <c r="G1187" s="6" t="n"/>
      <c r="H1187" s="6" t="n"/>
      <c r="I1187" s="12">
        <f>IF($B1187="","",IF(COUNTIF(Ventes_Factures!$A$6:$A$3005,$B1187)&gt;0,"OK","INCONNUE"))</f>
        <v/>
      </c>
      <c r="J1187" s="9">
        <f>IF($D1187="","",ROUND($D1187,2))</f>
        <v/>
      </c>
    </row>
    <row r="1188">
      <c r="A1188" s="6" t="n"/>
      <c r="B1188" s="6" t="n"/>
      <c r="C1188" s="7" t="n"/>
      <c r="D1188" s="8" t="n"/>
      <c r="E1188" s="6" t="n"/>
      <c r="F1188" s="6" t="n"/>
      <c r="G1188" s="6" t="n"/>
      <c r="H1188" s="6" t="n"/>
      <c r="I1188" s="12">
        <f>IF($B1188="","",IF(COUNTIF(Ventes_Factures!$A$6:$A$3005,$B1188)&gt;0,"OK","INCONNUE"))</f>
        <v/>
      </c>
      <c r="J1188" s="9">
        <f>IF($D1188="","",ROUND($D1188,2))</f>
        <v/>
      </c>
    </row>
    <row r="1189">
      <c r="A1189" s="6" t="n"/>
      <c r="B1189" s="6" t="n"/>
      <c r="C1189" s="7" t="n"/>
      <c r="D1189" s="8" t="n"/>
      <c r="E1189" s="6" t="n"/>
      <c r="F1189" s="6" t="n"/>
      <c r="G1189" s="6" t="n"/>
      <c r="H1189" s="6" t="n"/>
      <c r="I1189" s="12">
        <f>IF($B1189="","",IF(COUNTIF(Ventes_Factures!$A$6:$A$3005,$B1189)&gt;0,"OK","INCONNUE"))</f>
        <v/>
      </c>
      <c r="J1189" s="9">
        <f>IF($D1189="","",ROUND($D1189,2))</f>
        <v/>
      </c>
    </row>
    <row r="1190">
      <c r="A1190" s="6" t="n"/>
      <c r="B1190" s="6" t="n"/>
      <c r="C1190" s="7" t="n"/>
      <c r="D1190" s="8" t="n"/>
      <c r="E1190" s="6" t="n"/>
      <c r="F1190" s="6" t="n"/>
      <c r="G1190" s="6" t="n"/>
      <c r="H1190" s="6" t="n"/>
      <c r="I1190" s="12">
        <f>IF($B1190="","",IF(COUNTIF(Ventes_Factures!$A$6:$A$3005,$B1190)&gt;0,"OK","INCONNUE"))</f>
        <v/>
      </c>
      <c r="J1190" s="9">
        <f>IF($D1190="","",ROUND($D1190,2))</f>
        <v/>
      </c>
    </row>
    <row r="1191">
      <c r="A1191" s="6" t="n"/>
      <c r="B1191" s="6" t="n"/>
      <c r="C1191" s="7" t="n"/>
      <c r="D1191" s="8" t="n"/>
      <c r="E1191" s="6" t="n"/>
      <c r="F1191" s="6" t="n"/>
      <c r="G1191" s="6" t="n"/>
      <c r="H1191" s="6" t="n"/>
      <c r="I1191" s="12">
        <f>IF($B1191="","",IF(COUNTIF(Ventes_Factures!$A$6:$A$3005,$B1191)&gt;0,"OK","INCONNUE"))</f>
        <v/>
      </c>
      <c r="J1191" s="9">
        <f>IF($D1191="","",ROUND($D1191,2))</f>
        <v/>
      </c>
    </row>
    <row r="1192">
      <c r="A1192" s="6" t="n"/>
      <c r="B1192" s="6" t="n"/>
      <c r="C1192" s="7" t="n"/>
      <c r="D1192" s="8" t="n"/>
      <c r="E1192" s="6" t="n"/>
      <c r="F1192" s="6" t="n"/>
      <c r="G1192" s="6" t="n"/>
      <c r="H1192" s="6" t="n"/>
      <c r="I1192" s="12">
        <f>IF($B1192="","",IF(COUNTIF(Ventes_Factures!$A$6:$A$3005,$B1192)&gt;0,"OK","INCONNUE"))</f>
        <v/>
      </c>
      <c r="J1192" s="9">
        <f>IF($D1192="","",ROUND($D1192,2))</f>
        <v/>
      </c>
    </row>
    <row r="1193">
      <c r="A1193" s="6" t="n"/>
      <c r="B1193" s="6" t="n"/>
      <c r="C1193" s="7" t="n"/>
      <c r="D1193" s="8" t="n"/>
      <c r="E1193" s="6" t="n"/>
      <c r="F1193" s="6" t="n"/>
      <c r="G1193" s="6" t="n"/>
      <c r="H1193" s="6" t="n"/>
      <c r="I1193" s="12">
        <f>IF($B1193="","",IF(COUNTIF(Ventes_Factures!$A$6:$A$3005,$B1193)&gt;0,"OK","INCONNUE"))</f>
        <v/>
      </c>
      <c r="J1193" s="9">
        <f>IF($D1193="","",ROUND($D1193,2))</f>
        <v/>
      </c>
    </row>
    <row r="1194">
      <c r="A1194" s="6" t="n"/>
      <c r="B1194" s="6" t="n"/>
      <c r="C1194" s="7" t="n"/>
      <c r="D1194" s="8" t="n"/>
      <c r="E1194" s="6" t="n"/>
      <c r="F1194" s="6" t="n"/>
      <c r="G1194" s="6" t="n"/>
      <c r="H1194" s="6" t="n"/>
      <c r="I1194" s="12">
        <f>IF($B1194="","",IF(COUNTIF(Ventes_Factures!$A$6:$A$3005,$B1194)&gt;0,"OK","INCONNUE"))</f>
        <v/>
      </c>
      <c r="J1194" s="9">
        <f>IF($D1194="","",ROUND($D1194,2))</f>
        <v/>
      </c>
    </row>
    <row r="1195">
      <c r="A1195" s="6" t="n"/>
      <c r="B1195" s="6" t="n"/>
      <c r="C1195" s="7" t="n"/>
      <c r="D1195" s="8" t="n"/>
      <c r="E1195" s="6" t="n"/>
      <c r="F1195" s="6" t="n"/>
      <c r="G1195" s="6" t="n"/>
      <c r="H1195" s="6" t="n"/>
      <c r="I1195" s="12">
        <f>IF($B1195="","",IF(COUNTIF(Ventes_Factures!$A$6:$A$3005,$B1195)&gt;0,"OK","INCONNUE"))</f>
        <v/>
      </c>
      <c r="J1195" s="9">
        <f>IF($D1195="","",ROUND($D1195,2))</f>
        <v/>
      </c>
    </row>
    <row r="1196">
      <c r="A1196" s="6" t="n"/>
      <c r="B1196" s="6" t="n"/>
      <c r="C1196" s="7" t="n"/>
      <c r="D1196" s="8" t="n"/>
      <c r="E1196" s="6" t="n"/>
      <c r="F1196" s="6" t="n"/>
      <c r="G1196" s="6" t="n"/>
      <c r="H1196" s="6" t="n"/>
      <c r="I1196" s="12">
        <f>IF($B1196="","",IF(COUNTIF(Ventes_Factures!$A$6:$A$3005,$B1196)&gt;0,"OK","INCONNUE"))</f>
        <v/>
      </c>
      <c r="J1196" s="9">
        <f>IF($D1196="","",ROUND($D1196,2))</f>
        <v/>
      </c>
    </row>
    <row r="1197">
      <c r="A1197" s="6" t="n"/>
      <c r="B1197" s="6" t="n"/>
      <c r="C1197" s="7" t="n"/>
      <c r="D1197" s="8" t="n"/>
      <c r="E1197" s="6" t="n"/>
      <c r="F1197" s="6" t="n"/>
      <c r="G1197" s="6" t="n"/>
      <c r="H1197" s="6" t="n"/>
      <c r="I1197" s="12">
        <f>IF($B1197="","",IF(COUNTIF(Ventes_Factures!$A$6:$A$3005,$B1197)&gt;0,"OK","INCONNUE"))</f>
        <v/>
      </c>
      <c r="J1197" s="9">
        <f>IF($D1197="","",ROUND($D1197,2))</f>
        <v/>
      </c>
    </row>
    <row r="1198">
      <c r="A1198" s="6" t="n"/>
      <c r="B1198" s="6" t="n"/>
      <c r="C1198" s="7" t="n"/>
      <c r="D1198" s="8" t="n"/>
      <c r="E1198" s="6" t="n"/>
      <c r="F1198" s="6" t="n"/>
      <c r="G1198" s="6" t="n"/>
      <c r="H1198" s="6" t="n"/>
      <c r="I1198" s="12">
        <f>IF($B1198="","",IF(COUNTIF(Ventes_Factures!$A$6:$A$3005,$B1198)&gt;0,"OK","INCONNUE"))</f>
        <v/>
      </c>
      <c r="J1198" s="9">
        <f>IF($D1198="","",ROUND($D1198,2))</f>
        <v/>
      </c>
    </row>
    <row r="1199">
      <c r="A1199" s="6" t="n"/>
      <c r="B1199" s="6" t="n"/>
      <c r="C1199" s="7" t="n"/>
      <c r="D1199" s="8" t="n"/>
      <c r="E1199" s="6" t="n"/>
      <c r="F1199" s="6" t="n"/>
      <c r="G1199" s="6" t="n"/>
      <c r="H1199" s="6" t="n"/>
      <c r="I1199" s="12">
        <f>IF($B1199="","",IF(COUNTIF(Ventes_Factures!$A$6:$A$3005,$B1199)&gt;0,"OK","INCONNUE"))</f>
        <v/>
      </c>
      <c r="J1199" s="9">
        <f>IF($D1199="","",ROUND($D1199,2))</f>
        <v/>
      </c>
    </row>
    <row r="1200">
      <c r="A1200" s="6" t="n"/>
      <c r="B1200" s="6" t="n"/>
      <c r="C1200" s="7" t="n"/>
      <c r="D1200" s="8" t="n"/>
      <c r="E1200" s="6" t="n"/>
      <c r="F1200" s="6" t="n"/>
      <c r="G1200" s="6" t="n"/>
      <c r="H1200" s="6" t="n"/>
      <c r="I1200" s="12">
        <f>IF($B1200="","",IF(COUNTIF(Ventes_Factures!$A$6:$A$3005,$B1200)&gt;0,"OK","INCONNUE"))</f>
        <v/>
      </c>
      <c r="J1200" s="9">
        <f>IF($D1200="","",ROUND($D1200,2))</f>
        <v/>
      </c>
    </row>
    <row r="1201">
      <c r="A1201" s="6" t="n"/>
      <c r="B1201" s="6" t="n"/>
      <c r="C1201" s="7" t="n"/>
      <c r="D1201" s="8" t="n"/>
      <c r="E1201" s="6" t="n"/>
      <c r="F1201" s="6" t="n"/>
      <c r="G1201" s="6" t="n"/>
      <c r="H1201" s="6" t="n"/>
      <c r="I1201" s="12">
        <f>IF($B1201="","",IF(COUNTIF(Ventes_Factures!$A$6:$A$3005,$B1201)&gt;0,"OK","INCONNUE"))</f>
        <v/>
      </c>
      <c r="J1201" s="9">
        <f>IF($D1201="","",ROUND($D1201,2))</f>
        <v/>
      </c>
    </row>
    <row r="1202">
      <c r="A1202" s="6" t="n"/>
      <c r="B1202" s="6" t="n"/>
      <c r="C1202" s="7" t="n"/>
      <c r="D1202" s="8" t="n"/>
      <c r="E1202" s="6" t="n"/>
      <c r="F1202" s="6" t="n"/>
      <c r="G1202" s="6" t="n"/>
      <c r="H1202" s="6" t="n"/>
      <c r="I1202" s="12">
        <f>IF($B1202="","",IF(COUNTIF(Ventes_Factures!$A$6:$A$3005,$B1202)&gt;0,"OK","INCONNUE"))</f>
        <v/>
      </c>
      <c r="J1202" s="9">
        <f>IF($D1202="","",ROUND($D1202,2))</f>
        <v/>
      </c>
    </row>
    <row r="1203">
      <c r="A1203" s="6" t="n"/>
      <c r="B1203" s="6" t="n"/>
      <c r="C1203" s="7" t="n"/>
      <c r="D1203" s="8" t="n"/>
      <c r="E1203" s="6" t="n"/>
      <c r="F1203" s="6" t="n"/>
      <c r="G1203" s="6" t="n"/>
      <c r="H1203" s="6" t="n"/>
      <c r="I1203" s="12">
        <f>IF($B1203="","",IF(COUNTIF(Ventes_Factures!$A$6:$A$3005,$B1203)&gt;0,"OK","INCONNUE"))</f>
        <v/>
      </c>
      <c r="J1203" s="9">
        <f>IF($D1203="","",ROUND($D1203,2))</f>
        <v/>
      </c>
    </row>
    <row r="1204">
      <c r="A1204" s="6" t="n"/>
      <c r="B1204" s="6" t="n"/>
      <c r="C1204" s="7" t="n"/>
      <c r="D1204" s="8" t="n"/>
      <c r="E1204" s="6" t="n"/>
      <c r="F1204" s="6" t="n"/>
      <c r="G1204" s="6" t="n"/>
      <c r="H1204" s="6" t="n"/>
      <c r="I1204" s="12">
        <f>IF($B1204="","",IF(COUNTIF(Ventes_Factures!$A$6:$A$3005,$B1204)&gt;0,"OK","INCONNUE"))</f>
        <v/>
      </c>
      <c r="J1204" s="9">
        <f>IF($D1204="","",ROUND($D1204,2))</f>
        <v/>
      </c>
    </row>
    <row r="1205">
      <c r="A1205" s="6" t="n"/>
      <c r="B1205" s="6" t="n"/>
      <c r="C1205" s="7" t="n"/>
      <c r="D1205" s="8" t="n"/>
      <c r="E1205" s="6" t="n"/>
      <c r="F1205" s="6" t="n"/>
      <c r="G1205" s="6" t="n"/>
      <c r="H1205" s="6" t="n"/>
      <c r="I1205" s="12">
        <f>IF($B1205="","",IF(COUNTIF(Ventes_Factures!$A$6:$A$3005,$B1205)&gt;0,"OK","INCONNUE"))</f>
        <v/>
      </c>
      <c r="J1205" s="9">
        <f>IF($D1205="","",ROUND($D1205,2))</f>
        <v/>
      </c>
    </row>
    <row r="1206">
      <c r="A1206" s="6" t="n"/>
      <c r="B1206" s="6" t="n"/>
      <c r="C1206" s="7" t="n"/>
      <c r="D1206" s="8" t="n"/>
      <c r="E1206" s="6" t="n"/>
      <c r="F1206" s="6" t="n"/>
      <c r="G1206" s="6" t="n"/>
      <c r="H1206" s="6" t="n"/>
      <c r="I1206" s="12">
        <f>IF($B1206="","",IF(COUNTIF(Ventes_Factures!$A$6:$A$3005,$B1206)&gt;0,"OK","INCONNUE"))</f>
        <v/>
      </c>
      <c r="J1206" s="9">
        <f>IF($D1206="","",ROUND($D1206,2))</f>
        <v/>
      </c>
    </row>
    <row r="1207">
      <c r="A1207" s="6" t="n"/>
      <c r="B1207" s="6" t="n"/>
      <c r="C1207" s="7" t="n"/>
      <c r="D1207" s="8" t="n"/>
      <c r="E1207" s="6" t="n"/>
      <c r="F1207" s="6" t="n"/>
      <c r="G1207" s="6" t="n"/>
      <c r="H1207" s="6" t="n"/>
      <c r="I1207" s="12">
        <f>IF($B1207="","",IF(COUNTIF(Ventes_Factures!$A$6:$A$3005,$B1207)&gt;0,"OK","INCONNUE"))</f>
        <v/>
      </c>
      <c r="J1207" s="9">
        <f>IF($D1207="","",ROUND($D1207,2))</f>
        <v/>
      </c>
    </row>
    <row r="1208">
      <c r="A1208" s="6" t="n"/>
      <c r="B1208" s="6" t="n"/>
      <c r="C1208" s="7" t="n"/>
      <c r="D1208" s="8" t="n"/>
      <c r="E1208" s="6" t="n"/>
      <c r="F1208" s="6" t="n"/>
      <c r="G1208" s="6" t="n"/>
      <c r="H1208" s="6" t="n"/>
      <c r="I1208" s="12">
        <f>IF($B1208="","",IF(COUNTIF(Ventes_Factures!$A$6:$A$3005,$B1208)&gt;0,"OK","INCONNUE"))</f>
        <v/>
      </c>
      <c r="J1208" s="9">
        <f>IF($D1208="","",ROUND($D1208,2))</f>
        <v/>
      </c>
    </row>
    <row r="1209">
      <c r="A1209" s="6" t="n"/>
      <c r="B1209" s="6" t="n"/>
      <c r="C1209" s="7" t="n"/>
      <c r="D1209" s="8" t="n"/>
      <c r="E1209" s="6" t="n"/>
      <c r="F1209" s="6" t="n"/>
      <c r="G1209" s="6" t="n"/>
      <c r="H1209" s="6" t="n"/>
      <c r="I1209" s="12">
        <f>IF($B1209="","",IF(COUNTIF(Ventes_Factures!$A$6:$A$3005,$B1209)&gt;0,"OK","INCONNUE"))</f>
        <v/>
      </c>
      <c r="J1209" s="9">
        <f>IF($D1209="","",ROUND($D1209,2))</f>
        <v/>
      </c>
    </row>
    <row r="1210">
      <c r="A1210" s="6" t="n"/>
      <c r="B1210" s="6" t="n"/>
      <c r="C1210" s="7" t="n"/>
      <c r="D1210" s="8" t="n"/>
      <c r="E1210" s="6" t="n"/>
      <c r="F1210" s="6" t="n"/>
      <c r="G1210" s="6" t="n"/>
      <c r="H1210" s="6" t="n"/>
      <c r="I1210" s="12">
        <f>IF($B1210="","",IF(COUNTIF(Ventes_Factures!$A$6:$A$3005,$B1210)&gt;0,"OK","INCONNUE"))</f>
        <v/>
      </c>
      <c r="J1210" s="9">
        <f>IF($D1210="","",ROUND($D1210,2))</f>
        <v/>
      </c>
    </row>
    <row r="1211">
      <c r="A1211" s="6" t="n"/>
      <c r="B1211" s="6" t="n"/>
      <c r="C1211" s="7" t="n"/>
      <c r="D1211" s="8" t="n"/>
      <c r="E1211" s="6" t="n"/>
      <c r="F1211" s="6" t="n"/>
      <c r="G1211" s="6" t="n"/>
      <c r="H1211" s="6" t="n"/>
      <c r="I1211" s="12">
        <f>IF($B1211="","",IF(COUNTIF(Ventes_Factures!$A$6:$A$3005,$B1211)&gt;0,"OK","INCONNUE"))</f>
        <v/>
      </c>
      <c r="J1211" s="9">
        <f>IF($D1211="","",ROUND($D1211,2))</f>
        <v/>
      </c>
    </row>
    <row r="1212">
      <c r="A1212" s="6" t="n"/>
      <c r="B1212" s="6" t="n"/>
      <c r="C1212" s="7" t="n"/>
      <c r="D1212" s="8" t="n"/>
      <c r="E1212" s="6" t="n"/>
      <c r="F1212" s="6" t="n"/>
      <c r="G1212" s="6" t="n"/>
      <c r="H1212" s="6" t="n"/>
      <c r="I1212" s="12">
        <f>IF($B1212="","",IF(COUNTIF(Ventes_Factures!$A$6:$A$3005,$B1212)&gt;0,"OK","INCONNUE"))</f>
        <v/>
      </c>
      <c r="J1212" s="9">
        <f>IF($D1212="","",ROUND($D1212,2))</f>
        <v/>
      </c>
    </row>
    <row r="1213">
      <c r="A1213" s="6" t="n"/>
      <c r="B1213" s="6" t="n"/>
      <c r="C1213" s="7" t="n"/>
      <c r="D1213" s="8" t="n"/>
      <c r="E1213" s="6" t="n"/>
      <c r="F1213" s="6" t="n"/>
      <c r="G1213" s="6" t="n"/>
      <c r="H1213" s="6" t="n"/>
      <c r="I1213" s="12">
        <f>IF($B1213="","",IF(COUNTIF(Ventes_Factures!$A$6:$A$3005,$B1213)&gt;0,"OK","INCONNUE"))</f>
        <v/>
      </c>
      <c r="J1213" s="9">
        <f>IF($D1213="","",ROUND($D1213,2))</f>
        <v/>
      </c>
    </row>
    <row r="1214">
      <c r="A1214" s="6" t="n"/>
      <c r="B1214" s="6" t="n"/>
      <c r="C1214" s="7" t="n"/>
      <c r="D1214" s="8" t="n"/>
      <c r="E1214" s="6" t="n"/>
      <c r="F1214" s="6" t="n"/>
      <c r="G1214" s="6" t="n"/>
      <c r="H1214" s="6" t="n"/>
      <c r="I1214" s="12">
        <f>IF($B1214="","",IF(COUNTIF(Ventes_Factures!$A$6:$A$3005,$B1214)&gt;0,"OK","INCONNUE"))</f>
        <v/>
      </c>
      <c r="J1214" s="9">
        <f>IF($D1214="","",ROUND($D1214,2))</f>
        <v/>
      </c>
    </row>
    <row r="1215">
      <c r="A1215" s="6" t="n"/>
      <c r="B1215" s="6" t="n"/>
      <c r="C1215" s="7" t="n"/>
      <c r="D1215" s="8" t="n"/>
      <c r="E1215" s="6" t="n"/>
      <c r="F1215" s="6" t="n"/>
      <c r="G1215" s="6" t="n"/>
      <c r="H1215" s="6" t="n"/>
      <c r="I1215" s="12">
        <f>IF($B1215="","",IF(COUNTIF(Ventes_Factures!$A$6:$A$3005,$B1215)&gt;0,"OK","INCONNUE"))</f>
        <v/>
      </c>
      <c r="J1215" s="9">
        <f>IF($D1215="","",ROUND($D1215,2))</f>
        <v/>
      </c>
    </row>
    <row r="1216">
      <c r="A1216" s="6" t="n"/>
      <c r="B1216" s="6" t="n"/>
      <c r="C1216" s="7" t="n"/>
      <c r="D1216" s="8" t="n"/>
      <c r="E1216" s="6" t="n"/>
      <c r="F1216" s="6" t="n"/>
      <c r="G1216" s="6" t="n"/>
      <c r="H1216" s="6" t="n"/>
      <c r="I1216" s="12">
        <f>IF($B1216="","",IF(COUNTIF(Ventes_Factures!$A$6:$A$3005,$B1216)&gt;0,"OK","INCONNUE"))</f>
        <v/>
      </c>
      <c r="J1216" s="9">
        <f>IF($D1216="","",ROUND($D1216,2))</f>
        <v/>
      </c>
    </row>
    <row r="1217">
      <c r="A1217" s="6" t="n"/>
      <c r="B1217" s="6" t="n"/>
      <c r="C1217" s="7" t="n"/>
      <c r="D1217" s="8" t="n"/>
      <c r="E1217" s="6" t="n"/>
      <c r="F1217" s="6" t="n"/>
      <c r="G1217" s="6" t="n"/>
      <c r="H1217" s="6" t="n"/>
      <c r="I1217" s="12">
        <f>IF($B1217="","",IF(COUNTIF(Ventes_Factures!$A$6:$A$3005,$B1217)&gt;0,"OK","INCONNUE"))</f>
        <v/>
      </c>
      <c r="J1217" s="9">
        <f>IF($D1217="","",ROUND($D1217,2))</f>
        <v/>
      </c>
    </row>
    <row r="1218">
      <c r="A1218" s="6" t="n"/>
      <c r="B1218" s="6" t="n"/>
      <c r="C1218" s="7" t="n"/>
      <c r="D1218" s="8" t="n"/>
      <c r="E1218" s="6" t="n"/>
      <c r="F1218" s="6" t="n"/>
      <c r="G1218" s="6" t="n"/>
      <c r="H1218" s="6" t="n"/>
      <c r="I1218" s="12">
        <f>IF($B1218="","",IF(COUNTIF(Ventes_Factures!$A$6:$A$3005,$B1218)&gt;0,"OK","INCONNUE"))</f>
        <v/>
      </c>
      <c r="J1218" s="9">
        <f>IF($D1218="","",ROUND($D1218,2))</f>
        <v/>
      </c>
    </row>
    <row r="1219">
      <c r="A1219" s="6" t="n"/>
      <c r="B1219" s="6" t="n"/>
      <c r="C1219" s="7" t="n"/>
      <c r="D1219" s="8" t="n"/>
      <c r="E1219" s="6" t="n"/>
      <c r="F1219" s="6" t="n"/>
      <c r="G1219" s="6" t="n"/>
      <c r="H1219" s="6" t="n"/>
      <c r="I1219" s="12">
        <f>IF($B1219="","",IF(COUNTIF(Ventes_Factures!$A$6:$A$3005,$B1219)&gt;0,"OK","INCONNUE"))</f>
        <v/>
      </c>
      <c r="J1219" s="9">
        <f>IF($D1219="","",ROUND($D1219,2))</f>
        <v/>
      </c>
    </row>
    <row r="1220">
      <c r="A1220" s="6" t="n"/>
      <c r="B1220" s="6" t="n"/>
      <c r="C1220" s="7" t="n"/>
      <c r="D1220" s="8" t="n"/>
      <c r="E1220" s="6" t="n"/>
      <c r="F1220" s="6" t="n"/>
      <c r="G1220" s="6" t="n"/>
      <c r="H1220" s="6" t="n"/>
      <c r="I1220" s="12">
        <f>IF($B1220="","",IF(COUNTIF(Ventes_Factures!$A$6:$A$3005,$B1220)&gt;0,"OK","INCONNUE"))</f>
        <v/>
      </c>
      <c r="J1220" s="9">
        <f>IF($D1220="","",ROUND($D1220,2))</f>
        <v/>
      </c>
    </row>
    <row r="1221">
      <c r="A1221" s="6" t="n"/>
      <c r="B1221" s="6" t="n"/>
      <c r="C1221" s="7" t="n"/>
      <c r="D1221" s="8" t="n"/>
      <c r="E1221" s="6" t="n"/>
      <c r="F1221" s="6" t="n"/>
      <c r="G1221" s="6" t="n"/>
      <c r="H1221" s="6" t="n"/>
      <c r="I1221" s="12">
        <f>IF($B1221="","",IF(COUNTIF(Ventes_Factures!$A$6:$A$3005,$B1221)&gt;0,"OK","INCONNUE"))</f>
        <v/>
      </c>
      <c r="J1221" s="9">
        <f>IF($D1221="","",ROUND($D1221,2))</f>
        <v/>
      </c>
    </row>
    <row r="1222">
      <c r="A1222" s="6" t="n"/>
      <c r="B1222" s="6" t="n"/>
      <c r="C1222" s="7" t="n"/>
      <c r="D1222" s="8" t="n"/>
      <c r="E1222" s="6" t="n"/>
      <c r="F1222" s="6" t="n"/>
      <c r="G1222" s="6" t="n"/>
      <c r="H1222" s="6" t="n"/>
      <c r="I1222" s="12">
        <f>IF($B1222="","",IF(COUNTIF(Ventes_Factures!$A$6:$A$3005,$B1222)&gt;0,"OK","INCONNUE"))</f>
        <v/>
      </c>
      <c r="J1222" s="9">
        <f>IF($D1222="","",ROUND($D1222,2))</f>
        <v/>
      </c>
    </row>
    <row r="1223">
      <c r="A1223" s="6" t="n"/>
      <c r="B1223" s="6" t="n"/>
      <c r="C1223" s="7" t="n"/>
      <c r="D1223" s="8" t="n"/>
      <c r="E1223" s="6" t="n"/>
      <c r="F1223" s="6" t="n"/>
      <c r="G1223" s="6" t="n"/>
      <c r="H1223" s="6" t="n"/>
      <c r="I1223" s="12">
        <f>IF($B1223="","",IF(COUNTIF(Ventes_Factures!$A$6:$A$3005,$B1223)&gt;0,"OK","INCONNUE"))</f>
        <v/>
      </c>
      <c r="J1223" s="9">
        <f>IF($D1223="","",ROUND($D1223,2))</f>
        <v/>
      </c>
    </row>
    <row r="1224">
      <c r="A1224" s="6" t="n"/>
      <c r="B1224" s="6" t="n"/>
      <c r="C1224" s="7" t="n"/>
      <c r="D1224" s="8" t="n"/>
      <c r="E1224" s="6" t="n"/>
      <c r="F1224" s="6" t="n"/>
      <c r="G1224" s="6" t="n"/>
      <c r="H1224" s="6" t="n"/>
      <c r="I1224" s="12">
        <f>IF($B1224="","",IF(COUNTIF(Ventes_Factures!$A$6:$A$3005,$B1224)&gt;0,"OK","INCONNUE"))</f>
        <v/>
      </c>
      <c r="J1224" s="9">
        <f>IF($D1224="","",ROUND($D1224,2))</f>
        <v/>
      </c>
    </row>
    <row r="1225">
      <c r="A1225" s="6" t="n"/>
      <c r="B1225" s="6" t="n"/>
      <c r="C1225" s="7" t="n"/>
      <c r="D1225" s="8" t="n"/>
      <c r="E1225" s="6" t="n"/>
      <c r="F1225" s="6" t="n"/>
      <c r="G1225" s="6" t="n"/>
      <c r="H1225" s="6" t="n"/>
      <c r="I1225" s="12">
        <f>IF($B1225="","",IF(COUNTIF(Ventes_Factures!$A$6:$A$3005,$B1225)&gt;0,"OK","INCONNUE"))</f>
        <v/>
      </c>
      <c r="J1225" s="9">
        <f>IF($D1225="","",ROUND($D1225,2))</f>
        <v/>
      </c>
    </row>
    <row r="1226">
      <c r="A1226" s="6" t="n"/>
      <c r="B1226" s="6" t="n"/>
      <c r="C1226" s="7" t="n"/>
      <c r="D1226" s="8" t="n"/>
      <c r="E1226" s="6" t="n"/>
      <c r="F1226" s="6" t="n"/>
      <c r="G1226" s="6" t="n"/>
      <c r="H1226" s="6" t="n"/>
      <c r="I1226" s="12">
        <f>IF($B1226="","",IF(COUNTIF(Ventes_Factures!$A$6:$A$3005,$B1226)&gt;0,"OK","INCONNUE"))</f>
        <v/>
      </c>
      <c r="J1226" s="9">
        <f>IF($D1226="","",ROUND($D1226,2))</f>
        <v/>
      </c>
    </row>
    <row r="1227">
      <c r="A1227" s="6" t="n"/>
      <c r="B1227" s="6" t="n"/>
      <c r="C1227" s="7" t="n"/>
      <c r="D1227" s="8" t="n"/>
      <c r="E1227" s="6" t="n"/>
      <c r="F1227" s="6" t="n"/>
      <c r="G1227" s="6" t="n"/>
      <c r="H1227" s="6" t="n"/>
      <c r="I1227" s="12">
        <f>IF($B1227="","",IF(COUNTIF(Ventes_Factures!$A$6:$A$3005,$B1227)&gt;0,"OK","INCONNUE"))</f>
        <v/>
      </c>
      <c r="J1227" s="9">
        <f>IF($D1227="","",ROUND($D1227,2))</f>
        <v/>
      </c>
    </row>
    <row r="1228">
      <c r="A1228" s="6" t="n"/>
      <c r="B1228" s="6" t="n"/>
      <c r="C1228" s="7" t="n"/>
      <c r="D1228" s="8" t="n"/>
      <c r="E1228" s="6" t="n"/>
      <c r="F1228" s="6" t="n"/>
      <c r="G1228" s="6" t="n"/>
      <c r="H1228" s="6" t="n"/>
      <c r="I1228" s="12">
        <f>IF($B1228="","",IF(COUNTIF(Ventes_Factures!$A$6:$A$3005,$B1228)&gt;0,"OK","INCONNUE"))</f>
        <v/>
      </c>
      <c r="J1228" s="9">
        <f>IF($D1228="","",ROUND($D1228,2))</f>
        <v/>
      </c>
    </row>
    <row r="1229">
      <c r="A1229" s="6" t="n"/>
      <c r="B1229" s="6" t="n"/>
      <c r="C1229" s="7" t="n"/>
      <c r="D1229" s="8" t="n"/>
      <c r="E1229" s="6" t="n"/>
      <c r="F1229" s="6" t="n"/>
      <c r="G1229" s="6" t="n"/>
      <c r="H1229" s="6" t="n"/>
      <c r="I1229" s="12">
        <f>IF($B1229="","",IF(COUNTIF(Ventes_Factures!$A$6:$A$3005,$B1229)&gt;0,"OK","INCONNUE"))</f>
        <v/>
      </c>
      <c r="J1229" s="9">
        <f>IF($D1229="","",ROUND($D1229,2))</f>
        <v/>
      </c>
    </row>
    <row r="1230">
      <c r="A1230" s="6" t="n"/>
      <c r="B1230" s="6" t="n"/>
      <c r="C1230" s="7" t="n"/>
      <c r="D1230" s="8" t="n"/>
      <c r="E1230" s="6" t="n"/>
      <c r="F1230" s="6" t="n"/>
      <c r="G1230" s="6" t="n"/>
      <c r="H1230" s="6" t="n"/>
      <c r="I1230" s="12">
        <f>IF($B1230="","",IF(COUNTIF(Ventes_Factures!$A$6:$A$3005,$B1230)&gt;0,"OK","INCONNUE"))</f>
        <v/>
      </c>
      <c r="J1230" s="9">
        <f>IF($D1230="","",ROUND($D1230,2))</f>
        <v/>
      </c>
    </row>
    <row r="1231">
      <c r="A1231" s="6" t="n"/>
      <c r="B1231" s="6" t="n"/>
      <c r="C1231" s="7" t="n"/>
      <c r="D1231" s="8" t="n"/>
      <c r="E1231" s="6" t="n"/>
      <c r="F1231" s="6" t="n"/>
      <c r="G1231" s="6" t="n"/>
      <c r="H1231" s="6" t="n"/>
      <c r="I1231" s="12">
        <f>IF($B1231="","",IF(COUNTIF(Ventes_Factures!$A$6:$A$3005,$B1231)&gt;0,"OK","INCONNUE"))</f>
        <v/>
      </c>
      <c r="J1231" s="9">
        <f>IF($D1231="","",ROUND($D1231,2))</f>
        <v/>
      </c>
    </row>
    <row r="1232">
      <c r="A1232" s="6" t="n"/>
      <c r="B1232" s="6" t="n"/>
      <c r="C1232" s="7" t="n"/>
      <c r="D1232" s="8" t="n"/>
      <c r="E1232" s="6" t="n"/>
      <c r="F1232" s="6" t="n"/>
      <c r="G1232" s="6" t="n"/>
      <c r="H1232" s="6" t="n"/>
      <c r="I1232" s="12">
        <f>IF($B1232="","",IF(COUNTIF(Ventes_Factures!$A$6:$A$3005,$B1232)&gt;0,"OK","INCONNUE"))</f>
        <v/>
      </c>
      <c r="J1232" s="9">
        <f>IF($D1232="","",ROUND($D1232,2))</f>
        <v/>
      </c>
    </row>
    <row r="1233">
      <c r="A1233" s="6" t="n"/>
      <c r="B1233" s="6" t="n"/>
      <c r="C1233" s="7" t="n"/>
      <c r="D1233" s="8" t="n"/>
      <c r="E1233" s="6" t="n"/>
      <c r="F1233" s="6" t="n"/>
      <c r="G1233" s="6" t="n"/>
      <c r="H1233" s="6" t="n"/>
      <c r="I1233" s="12">
        <f>IF($B1233="","",IF(COUNTIF(Ventes_Factures!$A$6:$A$3005,$B1233)&gt;0,"OK","INCONNUE"))</f>
        <v/>
      </c>
      <c r="J1233" s="9">
        <f>IF($D1233="","",ROUND($D1233,2))</f>
        <v/>
      </c>
    </row>
    <row r="1234">
      <c r="A1234" s="6" t="n"/>
      <c r="B1234" s="6" t="n"/>
      <c r="C1234" s="7" t="n"/>
      <c r="D1234" s="8" t="n"/>
      <c r="E1234" s="6" t="n"/>
      <c r="F1234" s="6" t="n"/>
      <c r="G1234" s="6" t="n"/>
      <c r="H1234" s="6" t="n"/>
      <c r="I1234" s="12">
        <f>IF($B1234="","",IF(COUNTIF(Ventes_Factures!$A$6:$A$3005,$B1234)&gt;0,"OK","INCONNUE"))</f>
        <v/>
      </c>
      <c r="J1234" s="9">
        <f>IF($D1234="","",ROUND($D1234,2))</f>
        <v/>
      </c>
    </row>
    <row r="1235">
      <c r="A1235" s="6" t="n"/>
      <c r="B1235" s="6" t="n"/>
      <c r="C1235" s="7" t="n"/>
      <c r="D1235" s="8" t="n"/>
      <c r="E1235" s="6" t="n"/>
      <c r="F1235" s="6" t="n"/>
      <c r="G1235" s="6" t="n"/>
      <c r="H1235" s="6" t="n"/>
      <c r="I1235" s="12">
        <f>IF($B1235="","",IF(COUNTIF(Ventes_Factures!$A$6:$A$3005,$B1235)&gt;0,"OK","INCONNUE"))</f>
        <v/>
      </c>
      <c r="J1235" s="9">
        <f>IF($D1235="","",ROUND($D1235,2))</f>
        <v/>
      </c>
    </row>
    <row r="1236">
      <c r="A1236" s="6" t="n"/>
      <c r="B1236" s="6" t="n"/>
      <c r="C1236" s="7" t="n"/>
      <c r="D1236" s="8" t="n"/>
      <c r="E1236" s="6" t="n"/>
      <c r="F1236" s="6" t="n"/>
      <c r="G1236" s="6" t="n"/>
      <c r="H1236" s="6" t="n"/>
      <c r="I1236" s="12">
        <f>IF($B1236="","",IF(COUNTIF(Ventes_Factures!$A$6:$A$3005,$B1236)&gt;0,"OK","INCONNUE"))</f>
        <v/>
      </c>
      <c r="J1236" s="9">
        <f>IF($D1236="","",ROUND($D1236,2))</f>
        <v/>
      </c>
    </row>
    <row r="1237">
      <c r="A1237" s="6" t="n"/>
      <c r="B1237" s="6" t="n"/>
      <c r="C1237" s="7" t="n"/>
      <c r="D1237" s="8" t="n"/>
      <c r="E1237" s="6" t="n"/>
      <c r="F1237" s="6" t="n"/>
      <c r="G1237" s="6" t="n"/>
      <c r="H1237" s="6" t="n"/>
      <c r="I1237" s="12">
        <f>IF($B1237="","",IF(COUNTIF(Ventes_Factures!$A$6:$A$3005,$B1237)&gt;0,"OK","INCONNUE"))</f>
        <v/>
      </c>
      <c r="J1237" s="9">
        <f>IF($D1237="","",ROUND($D1237,2))</f>
        <v/>
      </c>
    </row>
    <row r="1238">
      <c r="A1238" s="6" t="n"/>
      <c r="B1238" s="6" t="n"/>
      <c r="C1238" s="7" t="n"/>
      <c r="D1238" s="8" t="n"/>
      <c r="E1238" s="6" t="n"/>
      <c r="F1238" s="6" t="n"/>
      <c r="G1238" s="6" t="n"/>
      <c r="H1238" s="6" t="n"/>
      <c r="I1238" s="12">
        <f>IF($B1238="","",IF(COUNTIF(Ventes_Factures!$A$6:$A$3005,$B1238)&gt;0,"OK","INCONNUE"))</f>
        <v/>
      </c>
      <c r="J1238" s="9">
        <f>IF($D1238="","",ROUND($D1238,2))</f>
        <v/>
      </c>
    </row>
    <row r="1239">
      <c r="A1239" s="6" t="n"/>
      <c r="B1239" s="6" t="n"/>
      <c r="C1239" s="7" t="n"/>
      <c r="D1239" s="8" t="n"/>
      <c r="E1239" s="6" t="n"/>
      <c r="F1239" s="6" t="n"/>
      <c r="G1239" s="6" t="n"/>
      <c r="H1239" s="6" t="n"/>
      <c r="I1239" s="12">
        <f>IF($B1239="","",IF(COUNTIF(Ventes_Factures!$A$6:$A$3005,$B1239)&gt;0,"OK","INCONNUE"))</f>
        <v/>
      </c>
      <c r="J1239" s="9">
        <f>IF($D1239="","",ROUND($D1239,2))</f>
        <v/>
      </c>
    </row>
    <row r="1240">
      <c r="A1240" s="6" t="n"/>
      <c r="B1240" s="6" t="n"/>
      <c r="C1240" s="7" t="n"/>
      <c r="D1240" s="8" t="n"/>
      <c r="E1240" s="6" t="n"/>
      <c r="F1240" s="6" t="n"/>
      <c r="G1240" s="6" t="n"/>
      <c r="H1240" s="6" t="n"/>
      <c r="I1240" s="12">
        <f>IF($B1240="","",IF(COUNTIF(Ventes_Factures!$A$6:$A$3005,$B1240)&gt;0,"OK","INCONNUE"))</f>
        <v/>
      </c>
      <c r="J1240" s="9">
        <f>IF($D1240="","",ROUND($D1240,2))</f>
        <v/>
      </c>
    </row>
    <row r="1241">
      <c r="A1241" s="6" t="n"/>
      <c r="B1241" s="6" t="n"/>
      <c r="C1241" s="7" t="n"/>
      <c r="D1241" s="8" t="n"/>
      <c r="E1241" s="6" t="n"/>
      <c r="F1241" s="6" t="n"/>
      <c r="G1241" s="6" t="n"/>
      <c r="H1241" s="6" t="n"/>
      <c r="I1241" s="12">
        <f>IF($B1241="","",IF(COUNTIF(Ventes_Factures!$A$6:$A$3005,$B1241)&gt;0,"OK","INCONNUE"))</f>
        <v/>
      </c>
      <c r="J1241" s="9">
        <f>IF($D1241="","",ROUND($D1241,2))</f>
        <v/>
      </c>
    </row>
    <row r="1242">
      <c r="A1242" s="6" t="n"/>
      <c r="B1242" s="6" t="n"/>
      <c r="C1242" s="7" t="n"/>
      <c r="D1242" s="8" t="n"/>
      <c r="E1242" s="6" t="n"/>
      <c r="F1242" s="6" t="n"/>
      <c r="G1242" s="6" t="n"/>
      <c r="H1242" s="6" t="n"/>
      <c r="I1242" s="12">
        <f>IF($B1242="","",IF(COUNTIF(Ventes_Factures!$A$6:$A$3005,$B1242)&gt;0,"OK","INCONNUE"))</f>
        <v/>
      </c>
      <c r="J1242" s="9">
        <f>IF($D1242="","",ROUND($D1242,2))</f>
        <v/>
      </c>
    </row>
    <row r="1243">
      <c r="A1243" s="6" t="n"/>
      <c r="B1243" s="6" t="n"/>
      <c r="C1243" s="7" t="n"/>
      <c r="D1243" s="8" t="n"/>
      <c r="E1243" s="6" t="n"/>
      <c r="F1243" s="6" t="n"/>
      <c r="G1243" s="6" t="n"/>
      <c r="H1243" s="6" t="n"/>
      <c r="I1243" s="12">
        <f>IF($B1243="","",IF(COUNTIF(Ventes_Factures!$A$6:$A$3005,$B1243)&gt;0,"OK","INCONNUE"))</f>
        <v/>
      </c>
      <c r="J1243" s="9">
        <f>IF($D1243="","",ROUND($D1243,2))</f>
        <v/>
      </c>
    </row>
    <row r="1244">
      <c r="A1244" s="6" t="n"/>
      <c r="B1244" s="6" t="n"/>
      <c r="C1244" s="7" t="n"/>
      <c r="D1244" s="8" t="n"/>
      <c r="E1244" s="6" t="n"/>
      <c r="F1244" s="6" t="n"/>
      <c r="G1244" s="6" t="n"/>
      <c r="H1244" s="6" t="n"/>
      <c r="I1244" s="12">
        <f>IF($B1244="","",IF(COUNTIF(Ventes_Factures!$A$6:$A$3005,$B1244)&gt;0,"OK","INCONNUE"))</f>
        <v/>
      </c>
      <c r="J1244" s="9">
        <f>IF($D1244="","",ROUND($D1244,2))</f>
        <v/>
      </c>
    </row>
    <row r="1245">
      <c r="A1245" s="6" t="n"/>
      <c r="B1245" s="6" t="n"/>
      <c r="C1245" s="7" t="n"/>
      <c r="D1245" s="8" t="n"/>
      <c r="E1245" s="6" t="n"/>
      <c r="F1245" s="6" t="n"/>
      <c r="G1245" s="6" t="n"/>
      <c r="H1245" s="6" t="n"/>
      <c r="I1245" s="12">
        <f>IF($B1245="","",IF(COUNTIF(Ventes_Factures!$A$6:$A$3005,$B1245)&gt;0,"OK","INCONNUE"))</f>
        <v/>
      </c>
      <c r="J1245" s="9">
        <f>IF($D1245="","",ROUND($D1245,2))</f>
        <v/>
      </c>
    </row>
    <row r="1246">
      <c r="A1246" s="6" t="n"/>
      <c r="B1246" s="6" t="n"/>
      <c r="C1246" s="7" t="n"/>
      <c r="D1246" s="8" t="n"/>
      <c r="E1246" s="6" t="n"/>
      <c r="F1246" s="6" t="n"/>
      <c r="G1246" s="6" t="n"/>
      <c r="H1246" s="6" t="n"/>
      <c r="I1246" s="12">
        <f>IF($B1246="","",IF(COUNTIF(Ventes_Factures!$A$6:$A$3005,$B1246)&gt;0,"OK","INCONNUE"))</f>
        <v/>
      </c>
      <c r="J1246" s="9">
        <f>IF($D1246="","",ROUND($D1246,2))</f>
        <v/>
      </c>
    </row>
    <row r="1247">
      <c r="A1247" s="6" t="n"/>
      <c r="B1247" s="6" t="n"/>
      <c r="C1247" s="7" t="n"/>
      <c r="D1247" s="8" t="n"/>
      <c r="E1247" s="6" t="n"/>
      <c r="F1247" s="6" t="n"/>
      <c r="G1247" s="6" t="n"/>
      <c r="H1247" s="6" t="n"/>
      <c r="I1247" s="12">
        <f>IF($B1247="","",IF(COUNTIF(Ventes_Factures!$A$6:$A$3005,$B1247)&gt;0,"OK","INCONNUE"))</f>
        <v/>
      </c>
      <c r="J1247" s="9">
        <f>IF($D1247="","",ROUND($D1247,2))</f>
        <v/>
      </c>
    </row>
    <row r="1248">
      <c r="A1248" s="6" t="n"/>
      <c r="B1248" s="6" t="n"/>
      <c r="C1248" s="7" t="n"/>
      <c r="D1248" s="8" t="n"/>
      <c r="E1248" s="6" t="n"/>
      <c r="F1248" s="6" t="n"/>
      <c r="G1248" s="6" t="n"/>
      <c r="H1248" s="6" t="n"/>
      <c r="I1248" s="12">
        <f>IF($B1248="","",IF(COUNTIF(Ventes_Factures!$A$6:$A$3005,$B1248)&gt;0,"OK","INCONNUE"))</f>
        <v/>
      </c>
      <c r="J1248" s="9">
        <f>IF($D1248="","",ROUND($D1248,2))</f>
        <v/>
      </c>
    </row>
    <row r="1249">
      <c r="A1249" s="6" t="n"/>
      <c r="B1249" s="6" t="n"/>
      <c r="C1249" s="7" t="n"/>
      <c r="D1249" s="8" t="n"/>
      <c r="E1249" s="6" t="n"/>
      <c r="F1249" s="6" t="n"/>
      <c r="G1249" s="6" t="n"/>
      <c r="H1249" s="6" t="n"/>
      <c r="I1249" s="12">
        <f>IF($B1249="","",IF(COUNTIF(Ventes_Factures!$A$6:$A$3005,$B1249)&gt;0,"OK","INCONNUE"))</f>
        <v/>
      </c>
      <c r="J1249" s="9">
        <f>IF($D1249="","",ROUND($D1249,2))</f>
        <v/>
      </c>
    </row>
    <row r="1250">
      <c r="A1250" s="6" t="n"/>
      <c r="B1250" s="6" t="n"/>
      <c r="C1250" s="7" t="n"/>
      <c r="D1250" s="8" t="n"/>
      <c r="E1250" s="6" t="n"/>
      <c r="F1250" s="6" t="n"/>
      <c r="G1250" s="6" t="n"/>
      <c r="H1250" s="6" t="n"/>
      <c r="I1250" s="12">
        <f>IF($B1250="","",IF(COUNTIF(Ventes_Factures!$A$6:$A$3005,$B1250)&gt;0,"OK","INCONNUE"))</f>
        <v/>
      </c>
      <c r="J1250" s="9">
        <f>IF($D1250="","",ROUND($D1250,2))</f>
        <v/>
      </c>
    </row>
    <row r="1251">
      <c r="A1251" s="6" t="n"/>
      <c r="B1251" s="6" t="n"/>
      <c r="C1251" s="7" t="n"/>
      <c r="D1251" s="8" t="n"/>
      <c r="E1251" s="6" t="n"/>
      <c r="F1251" s="6" t="n"/>
      <c r="G1251" s="6" t="n"/>
      <c r="H1251" s="6" t="n"/>
      <c r="I1251" s="12">
        <f>IF($B1251="","",IF(COUNTIF(Ventes_Factures!$A$6:$A$3005,$B1251)&gt;0,"OK","INCONNUE"))</f>
        <v/>
      </c>
      <c r="J1251" s="9">
        <f>IF($D1251="","",ROUND($D1251,2))</f>
        <v/>
      </c>
    </row>
    <row r="1252">
      <c r="A1252" s="6" t="n"/>
      <c r="B1252" s="6" t="n"/>
      <c r="C1252" s="7" t="n"/>
      <c r="D1252" s="8" t="n"/>
      <c r="E1252" s="6" t="n"/>
      <c r="F1252" s="6" t="n"/>
      <c r="G1252" s="6" t="n"/>
      <c r="H1252" s="6" t="n"/>
      <c r="I1252" s="12">
        <f>IF($B1252="","",IF(COUNTIF(Ventes_Factures!$A$6:$A$3005,$B1252)&gt;0,"OK","INCONNUE"))</f>
        <v/>
      </c>
      <c r="J1252" s="9">
        <f>IF($D1252="","",ROUND($D1252,2))</f>
        <v/>
      </c>
    </row>
    <row r="1253">
      <c r="A1253" s="6" t="n"/>
      <c r="B1253" s="6" t="n"/>
      <c r="C1253" s="7" t="n"/>
      <c r="D1253" s="8" t="n"/>
      <c r="E1253" s="6" t="n"/>
      <c r="F1253" s="6" t="n"/>
      <c r="G1253" s="6" t="n"/>
      <c r="H1253" s="6" t="n"/>
      <c r="I1253" s="12">
        <f>IF($B1253="","",IF(COUNTIF(Ventes_Factures!$A$6:$A$3005,$B1253)&gt;0,"OK","INCONNUE"))</f>
        <v/>
      </c>
      <c r="J1253" s="9">
        <f>IF($D1253="","",ROUND($D1253,2))</f>
        <v/>
      </c>
    </row>
    <row r="1254">
      <c r="A1254" s="6" t="n"/>
      <c r="B1254" s="6" t="n"/>
      <c r="C1254" s="7" t="n"/>
      <c r="D1254" s="8" t="n"/>
      <c r="E1254" s="6" t="n"/>
      <c r="F1254" s="6" t="n"/>
      <c r="G1254" s="6" t="n"/>
      <c r="H1254" s="6" t="n"/>
      <c r="I1254" s="12">
        <f>IF($B1254="","",IF(COUNTIF(Ventes_Factures!$A$6:$A$3005,$B1254)&gt;0,"OK","INCONNUE"))</f>
        <v/>
      </c>
      <c r="J1254" s="9">
        <f>IF($D1254="","",ROUND($D1254,2))</f>
        <v/>
      </c>
    </row>
    <row r="1255">
      <c r="A1255" s="6" t="n"/>
      <c r="B1255" s="6" t="n"/>
      <c r="C1255" s="7" t="n"/>
      <c r="D1255" s="8" t="n"/>
      <c r="E1255" s="6" t="n"/>
      <c r="F1255" s="6" t="n"/>
      <c r="G1255" s="6" t="n"/>
      <c r="H1255" s="6" t="n"/>
      <c r="I1255" s="12">
        <f>IF($B1255="","",IF(COUNTIF(Ventes_Factures!$A$6:$A$3005,$B1255)&gt;0,"OK","INCONNUE"))</f>
        <v/>
      </c>
      <c r="J1255" s="9">
        <f>IF($D1255="","",ROUND($D1255,2))</f>
        <v/>
      </c>
    </row>
    <row r="1256">
      <c r="A1256" s="6" t="n"/>
      <c r="B1256" s="6" t="n"/>
      <c r="C1256" s="7" t="n"/>
      <c r="D1256" s="8" t="n"/>
      <c r="E1256" s="6" t="n"/>
      <c r="F1256" s="6" t="n"/>
      <c r="G1256" s="6" t="n"/>
      <c r="H1256" s="6" t="n"/>
      <c r="I1256" s="12">
        <f>IF($B1256="","",IF(COUNTIF(Ventes_Factures!$A$6:$A$3005,$B1256)&gt;0,"OK","INCONNUE"))</f>
        <v/>
      </c>
      <c r="J1256" s="9">
        <f>IF($D1256="","",ROUND($D1256,2))</f>
        <v/>
      </c>
    </row>
    <row r="1257">
      <c r="A1257" s="6" t="n"/>
      <c r="B1257" s="6" t="n"/>
      <c r="C1257" s="7" t="n"/>
      <c r="D1257" s="8" t="n"/>
      <c r="E1257" s="6" t="n"/>
      <c r="F1257" s="6" t="n"/>
      <c r="G1257" s="6" t="n"/>
      <c r="H1257" s="6" t="n"/>
      <c r="I1257" s="12">
        <f>IF($B1257="","",IF(COUNTIF(Ventes_Factures!$A$6:$A$3005,$B1257)&gt;0,"OK","INCONNUE"))</f>
        <v/>
      </c>
      <c r="J1257" s="9">
        <f>IF($D1257="","",ROUND($D1257,2))</f>
        <v/>
      </c>
    </row>
    <row r="1258">
      <c r="A1258" s="6" t="n"/>
      <c r="B1258" s="6" t="n"/>
      <c r="C1258" s="7" t="n"/>
      <c r="D1258" s="8" t="n"/>
      <c r="E1258" s="6" t="n"/>
      <c r="F1258" s="6" t="n"/>
      <c r="G1258" s="6" t="n"/>
      <c r="H1258" s="6" t="n"/>
      <c r="I1258" s="12">
        <f>IF($B1258="","",IF(COUNTIF(Ventes_Factures!$A$6:$A$3005,$B1258)&gt;0,"OK","INCONNUE"))</f>
        <v/>
      </c>
      <c r="J1258" s="9">
        <f>IF($D1258="","",ROUND($D1258,2))</f>
        <v/>
      </c>
    </row>
    <row r="1259">
      <c r="A1259" s="6" t="n"/>
      <c r="B1259" s="6" t="n"/>
      <c r="C1259" s="7" t="n"/>
      <c r="D1259" s="8" t="n"/>
      <c r="E1259" s="6" t="n"/>
      <c r="F1259" s="6" t="n"/>
      <c r="G1259" s="6" t="n"/>
      <c r="H1259" s="6" t="n"/>
      <c r="I1259" s="12">
        <f>IF($B1259="","",IF(COUNTIF(Ventes_Factures!$A$6:$A$3005,$B1259)&gt;0,"OK","INCONNUE"))</f>
        <v/>
      </c>
      <c r="J1259" s="9">
        <f>IF($D1259="","",ROUND($D1259,2))</f>
        <v/>
      </c>
    </row>
    <row r="1260">
      <c r="A1260" s="6" t="n"/>
      <c r="B1260" s="6" t="n"/>
      <c r="C1260" s="7" t="n"/>
      <c r="D1260" s="8" t="n"/>
      <c r="E1260" s="6" t="n"/>
      <c r="F1260" s="6" t="n"/>
      <c r="G1260" s="6" t="n"/>
      <c r="H1260" s="6" t="n"/>
      <c r="I1260" s="12">
        <f>IF($B1260="","",IF(COUNTIF(Ventes_Factures!$A$6:$A$3005,$B1260)&gt;0,"OK","INCONNUE"))</f>
        <v/>
      </c>
      <c r="J1260" s="9">
        <f>IF($D1260="","",ROUND($D1260,2))</f>
        <v/>
      </c>
    </row>
    <row r="1261">
      <c r="A1261" s="6" t="n"/>
      <c r="B1261" s="6" t="n"/>
      <c r="C1261" s="7" t="n"/>
      <c r="D1261" s="8" t="n"/>
      <c r="E1261" s="6" t="n"/>
      <c r="F1261" s="6" t="n"/>
      <c r="G1261" s="6" t="n"/>
      <c r="H1261" s="6" t="n"/>
      <c r="I1261" s="12">
        <f>IF($B1261="","",IF(COUNTIF(Ventes_Factures!$A$6:$A$3005,$B1261)&gt;0,"OK","INCONNUE"))</f>
        <v/>
      </c>
      <c r="J1261" s="9">
        <f>IF($D1261="","",ROUND($D1261,2))</f>
        <v/>
      </c>
    </row>
    <row r="1262">
      <c r="A1262" s="6" t="n"/>
      <c r="B1262" s="6" t="n"/>
      <c r="C1262" s="7" t="n"/>
      <c r="D1262" s="8" t="n"/>
      <c r="E1262" s="6" t="n"/>
      <c r="F1262" s="6" t="n"/>
      <c r="G1262" s="6" t="n"/>
      <c r="H1262" s="6" t="n"/>
      <c r="I1262" s="12">
        <f>IF($B1262="","",IF(COUNTIF(Ventes_Factures!$A$6:$A$3005,$B1262)&gt;0,"OK","INCONNUE"))</f>
        <v/>
      </c>
      <c r="J1262" s="9">
        <f>IF($D1262="","",ROUND($D1262,2))</f>
        <v/>
      </c>
    </row>
    <row r="1263">
      <c r="A1263" s="6" t="n"/>
      <c r="B1263" s="6" t="n"/>
      <c r="C1263" s="7" t="n"/>
      <c r="D1263" s="8" t="n"/>
      <c r="E1263" s="6" t="n"/>
      <c r="F1263" s="6" t="n"/>
      <c r="G1263" s="6" t="n"/>
      <c r="H1263" s="6" t="n"/>
      <c r="I1263" s="12">
        <f>IF($B1263="","",IF(COUNTIF(Ventes_Factures!$A$6:$A$3005,$B1263)&gt;0,"OK","INCONNUE"))</f>
        <v/>
      </c>
      <c r="J1263" s="9">
        <f>IF($D1263="","",ROUND($D1263,2))</f>
        <v/>
      </c>
    </row>
    <row r="1264">
      <c r="A1264" s="6" t="n"/>
      <c r="B1264" s="6" t="n"/>
      <c r="C1264" s="7" t="n"/>
      <c r="D1264" s="8" t="n"/>
      <c r="E1264" s="6" t="n"/>
      <c r="F1264" s="6" t="n"/>
      <c r="G1264" s="6" t="n"/>
      <c r="H1264" s="6" t="n"/>
      <c r="I1264" s="12">
        <f>IF($B1264="","",IF(COUNTIF(Ventes_Factures!$A$6:$A$3005,$B1264)&gt;0,"OK","INCONNUE"))</f>
        <v/>
      </c>
      <c r="J1264" s="9">
        <f>IF($D1264="","",ROUND($D1264,2))</f>
        <v/>
      </c>
    </row>
    <row r="1265">
      <c r="A1265" s="6" t="n"/>
      <c r="B1265" s="6" t="n"/>
      <c r="C1265" s="7" t="n"/>
      <c r="D1265" s="8" t="n"/>
      <c r="E1265" s="6" t="n"/>
      <c r="F1265" s="6" t="n"/>
      <c r="G1265" s="6" t="n"/>
      <c r="H1265" s="6" t="n"/>
      <c r="I1265" s="12">
        <f>IF($B1265="","",IF(COUNTIF(Ventes_Factures!$A$6:$A$3005,$B1265)&gt;0,"OK","INCONNUE"))</f>
        <v/>
      </c>
      <c r="J1265" s="9">
        <f>IF($D1265="","",ROUND($D1265,2))</f>
        <v/>
      </c>
    </row>
    <row r="1266">
      <c r="A1266" s="6" t="n"/>
      <c r="B1266" s="6" t="n"/>
      <c r="C1266" s="7" t="n"/>
      <c r="D1266" s="8" t="n"/>
      <c r="E1266" s="6" t="n"/>
      <c r="F1266" s="6" t="n"/>
      <c r="G1266" s="6" t="n"/>
      <c r="H1266" s="6" t="n"/>
      <c r="I1266" s="12">
        <f>IF($B1266="","",IF(COUNTIF(Ventes_Factures!$A$6:$A$3005,$B1266)&gt;0,"OK","INCONNUE"))</f>
        <v/>
      </c>
      <c r="J1266" s="9">
        <f>IF($D1266="","",ROUND($D1266,2))</f>
        <v/>
      </c>
    </row>
    <row r="1267">
      <c r="A1267" s="6" t="n"/>
      <c r="B1267" s="6" t="n"/>
      <c r="C1267" s="7" t="n"/>
      <c r="D1267" s="8" t="n"/>
      <c r="E1267" s="6" t="n"/>
      <c r="F1267" s="6" t="n"/>
      <c r="G1267" s="6" t="n"/>
      <c r="H1267" s="6" t="n"/>
      <c r="I1267" s="12">
        <f>IF($B1267="","",IF(COUNTIF(Ventes_Factures!$A$6:$A$3005,$B1267)&gt;0,"OK","INCONNUE"))</f>
        <v/>
      </c>
      <c r="J1267" s="9">
        <f>IF($D1267="","",ROUND($D1267,2))</f>
        <v/>
      </c>
    </row>
    <row r="1268">
      <c r="A1268" s="6" t="n"/>
      <c r="B1268" s="6" t="n"/>
      <c r="C1268" s="7" t="n"/>
      <c r="D1268" s="8" t="n"/>
      <c r="E1268" s="6" t="n"/>
      <c r="F1268" s="6" t="n"/>
      <c r="G1268" s="6" t="n"/>
      <c r="H1268" s="6" t="n"/>
      <c r="I1268" s="12">
        <f>IF($B1268="","",IF(COUNTIF(Ventes_Factures!$A$6:$A$3005,$B1268)&gt;0,"OK","INCONNUE"))</f>
        <v/>
      </c>
      <c r="J1268" s="9">
        <f>IF($D1268="","",ROUND($D1268,2))</f>
        <v/>
      </c>
    </row>
    <row r="1269">
      <c r="A1269" s="6" t="n"/>
      <c r="B1269" s="6" t="n"/>
      <c r="C1269" s="7" t="n"/>
      <c r="D1269" s="8" t="n"/>
      <c r="E1269" s="6" t="n"/>
      <c r="F1269" s="6" t="n"/>
      <c r="G1269" s="6" t="n"/>
      <c r="H1269" s="6" t="n"/>
      <c r="I1269" s="12">
        <f>IF($B1269="","",IF(COUNTIF(Ventes_Factures!$A$6:$A$3005,$B1269)&gt;0,"OK","INCONNUE"))</f>
        <v/>
      </c>
      <c r="J1269" s="9">
        <f>IF($D1269="","",ROUND($D1269,2))</f>
        <v/>
      </c>
    </row>
    <row r="1270">
      <c r="A1270" s="6" t="n"/>
      <c r="B1270" s="6" t="n"/>
      <c r="C1270" s="7" t="n"/>
      <c r="D1270" s="8" t="n"/>
      <c r="E1270" s="6" t="n"/>
      <c r="F1270" s="6" t="n"/>
      <c r="G1270" s="6" t="n"/>
      <c r="H1270" s="6" t="n"/>
      <c r="I1270" s="12">
        <f>IF($B1270="","",IF(COUNTIF(Ventes_Factures!$A$6:$A$3005,$B1270)&gt;0,"OK","INCONNUE"))</f>
        <v/>
      </c>
      <c r="J1270" s="9">
        <f>IF($D1270="","",ROUND($D1270,2))</f>
        <v/>
      </c>
    </row>
    <row r="1271">
      <c r="A1271" s="6" t="n"/>
      <c r="B1271" s="6" t="n"/>
      <c r="C1271" s="7" t="n"/>
      <c r="D1271" s="8" t="n"/>
      <c r="E1271" s="6" t="n"/>
      <c r="F1271" s="6" t="n"/>
      <c r="G1271" s="6" t="n"/>
      <c r="H1271" s="6" t="n"/>
      <c r="I1271" s="12">
        <f>IF($B1271="","",IF(COUNTIF(Ventes_Factures!$A$6:$A$3005,$B1271)&gt;0,"OK","INCONNUE"))</f>
        <v/>
      </c>
      <c r="J1271" s="9">
        <f>IF($D1271="","",ROUND($D1271,2))</f>
        <v/>
      </c>
    </row>
    <row r="1272">
      <c r="A1272" s="6" t="n"/>
      <c r="B1272" s="6" t="n"/>
      <c r="C1272" s="7" t="n"/>
      <c r="D1272" s="8" t="n"/>
      <c r="E1272" s="6" t="n"/>
      <c r="F1272" s="6" t="n"/>
      <c r="G1272" s="6" t="n"/>
      <c r="H1272" s="6" t="n"/>
      <c r="I1272" s="12">
        <f>IF($B1272="","",IF(COUNTIF(Ventes_Factures!$A$6:$A$3005,$B1272)&gt;0,"OK","INCONNUE"))</f>
        <v/>
      </c>
      <c r="J1272" s="9">
        <f>IF($D1272="","",ROUND($D1272,2))</f>
        <v/>
      </c>
    </row>
    <row r="1273">
      <c r="A1273" s="6" t="n"/>
      <c r="B1273" s="6" t="n"/>
      <c r="C1273" s="7" t="n"/>
      <c r="D1273" s="8" t="n"/>
      <c r="E1273" s="6" t="n"/>
      <c r="F1273" s="6" t="n"/>
      <c r="G1273" s="6" t="n"/>
      <c r="H1273" s="6" t="n"/>
      <c r="I1273" s="12">
        <f>IF($B1273="","",IF(COUNTIF(Ventes_Factures!$A$6:$A$3005,$B1273)&gt;0,"OK","INCONNUE"))</f>
        <v/>
      </c>
      <c r="J1273" s="9">
        <f>IF($D1273="","",ROUND($D1273,2))</f>
        <v/>
      </c>
    </row>
    <row r="1274">
      <c r="A1274" s="6" t="n"/>
      <c r="B1274" s="6" t="n"/>
      <c r="C1274" s="7" t="n"/>
      <c r="D1274" s="8" t="n"/>
      <c r="E1274" s="6" t="n"/>
      <c r="F1274" s="6" t="n"/>
      <c r="G1274" s="6" t="n"/>
      <c r="H1274" s="6" t="n"/>
      <c r="I1274" s="12">
        <f>IF($B1274="","",IF(COUNTIF(Ventes_Factures!$A$6:$A$3005,$B1274)&gt;0,"OK","INCONNUE"))</f>
        <v/>
      </c>
      <c r="J1274" s="9">
        <f>IF($D1274="","",ROUND($D1274,2))</f>
        <v/>
      </c>
    </row>
    <row r="1275">
      <c r="A1275" s="6" t="n"/>
      <c r="B1275" s="6" t="n"/>
      <c r="C1275" s="7" t="n"/>
      <c r="D1275" s="8" t="n"/>
      <c r="E1275" s="6" t="n"/>
      <c r="F1275" s="6" t="n"/>
      <c r="G1275" s="6" t="n"/>
      <c r="H1275" s="6" t="n"/>
      <c r="I1275" s="12">
        <f>IF($B1275="","",IF(COUNTIF(Ventes_Factures!$A$6:$A$3005,$B1275)&gt;0,"OK","INCONNUE"))</f>
        <v/>
      </c>
      <c r="J1275" s="9">
        <f>IF($D1275="","",ROUND($D1275,2))</f>
        <v/>
      </c>
    </row>
    <row r="1276">
      <c r="A1276" s="6" t="n"/>
      <c r="B1276" s="6" t="n"/>
      <c r="C1276" s="7" t="n"/>
      <c r="D1276" s="8" t="n"/>
      <c r="E1276" s="6" t="n"/>
      <c r="F1276" s="6" t="n"/>
      <c r="G1276" s="6" t="n"/>
      <c r="H1276" s="6" t="n"/>
      <c r="I1276" s="12">
        <f>IF($B1276="","",IF(COUNTIF(Ventes_Factures!$A$6:$A$3005,$B1276)&gt;0,"OK","INCONNUE"))</f>
        <v/>
      </c>
      <c r="J1276" s="9">
        <f>IF($D1276="","",ROUND($D1276,2))</f>
        <v/>
      </c>
    </row>
    <row r="1277">
      <c r="A1277" s="6" t="n"/>
      <c r="B1277" s="6" t="n"/>
      <c r="C1277" s="7" t="n"/>
      <c r="D1277" s="8" t="n"/>
      <c r="E1277" s="6" t="n"/>
      <c r="F1277" s="6" t="n"/>
      <c r="G1277" s="6" t="n"/>
      <c r="H1277" s="6" t="n"/>
      <c r="I1277" s="12">
        <f>IF($B1277="","",IF(COUNTIF(Ventes_Factures!$A$6:$A$3005,$B1277)&gt;0,"OK","INCONNUE"))</f>
        <v/>
      </c>
      <c r="J1277" s="9">
        <f>IF($D1277="","",ROUND($D1277,2))</f>
        <v/>
      </c>
    </row>
    <row r="1278">
      <c r="A1278" s="6" t="n"/>
      <c r="B1278" s="6" t="n"/>
      <c r="C1278" s="7" t="n"/>
      <c r="D1278" s="8" t="n"/>
      <c r="E1278" s="6" t="n"/>
      <c r="F1278" s="6" t="n"/>
      <c r="G1278" s="6" t="n"/>
      <c r="H1278" s="6" t="n"/>
      <c r="I1278" s="12">
        <f>IF($B1278="","",IF(COUNTIF(Ventes_Factures!$A$6:$A$3005,$B1278)&gt;0,"OK","INCONNUE"))</f>
        <v/>
      </c>
      <c r="J1278" s="9">
        <f>IF($D1278="","",ROUND($D1278,2))</f>
        <v/>
      </c>
    </row>
    <row r="1279">
      <c r="A1279" s="6" t="n"/>
      <c r="B1279" s="6" t="n"/>
      <c r="C1279" s="7" t="n"/>
      <c r="D1279" s="8" t="n"/>
      <c r="E1279" s="6" t="n"/>
      <c r="F1279" s="6" t="n"/>
      <c r="G1279" s="6" t="n"/>
      <c r="H1279" s="6" t="n"/>
      <c r="I1279" s="12">
        <f>IF($B1279="","",IF(COUNTIF(Ventes_Factures!$A$6:$A$3005,$B1279)&gt;0,"OK","INCONNUE"))</f>
        <v/>
      </c>
      <c r="J1279" s="9">
        <f>IF($D1279="","",ROUND($D1279,2))</f>
        <v/>
      </c>
    </row>
    <row r="1280">
      <c r="A1280" s="6" t="n"/>
      <c r="B1280" s="6" t="n"/>
      <c r="C1280" s="7" t="n"/>
      <c r="D1280" s="8" t="n"/>
      <c r="E1280" s="6" t="n"/>
      <c r="F1280" s="6" t="n"/>
      <c r="G1280" s="6" t="n"/>
      <c r="H1280" s="6" t="n"/>
      <c r="I1280" s="12">
        <f>IF($B1280="","",IF(COUNTIF(Ventes_Factures!$A$6:$A$3005,$B1280)&gt;0,"OK","INCONNUE"))</f>
        <v/>
      </c>
      <c r="J1280" s="9">
        <f>IF($D1280="","",ROUND($D1280,2))</f>
        <v/>
      </c>
    </row>
    <row r="1281">
      <c r="A1281" s="6" t="n"/>
      <c r="B1281" s="6" t="n"/>
      <c r="C1281" s="7" t="n"/>
      <c r="D1281" s="8" t="n"/>
      <c r="E1281" s="6" t="n"/>
      <c r="F1281" s="6" t="n"/>
      <c r="G1281" s="6" t="n"/>
      <c r="H1281" s="6" t="n"/>
      <c r="I1281" s="12">
        <f>IF($B1281="","",IF(COUNTIF(Ventes_Factures!$A$6:$A$3005,$B1281)&gt;0,"OK","INCONNUE"))</f>
        <v/>
      </c>
      <c r="J1281" s="9">
        <f>IF($D1281="","",ROUND($D1281,2))</f>
        <v/>
      </c>
    </row>
    <row r="1282">
      <c r="A1282" s="6" t="n"/>
      <c r="B1282" s="6" t="n"/>
      <c r="C1282" s="7" t="n"/>
      <c r="D1282" s="8" t="n"/>
      <c r="E1282" s="6" t="n"/>
      <c r="F1282" s="6" t="n"/>
      <c r="G1282" s="6" t="n"/>
      <c r="H1282" s="6" t="n"/>
      <c r="I1282" s="12">
        <f>IF($B1282="","",IF(COUNTIF(Ventes_Factures!$A$6:$A$3005,$B1282)&gt;0,"OK","INCONNUE"))</f>
        <v/>
      </c>
      <c r="J1282" s="9">
        <f>IF($D1282="","",ROUND($D1282,2))</f>
        <v/>
      </c>
    </row>
    <row r="1283">
      <c r="A1283" s="6" t="n"/>
      <c r="B1283" s="6" t="n"/>
      <c r="C1283" s="7" t="n"/>
      <c r="D1283" s="8" t="n"/>
      <c r="E1283" s="6" t="n"/>
      <c r="F1283" s="6" t="n"/>
      <c r="G1283" s="6" t="n"/>
      <c r="H1283" s="6" t="n"/>
      <c r="I1283" s="12">
        <f>IF($B1283="","",IF(COUNTIF(Ventes_Factures!$A$6:$A$3005,$B1283)&gt;0,"OK","INCONNUE"))</f>
        <v/>
      </c>
      <c r="J1283" s="9">
        <f>IF($D1283="","",ROUND($D1283,2))</f>
        <v/>
      </c>
    </row>
    <row r="1284">
      <c r="A1284" s="6" t="n"/>
      <c r="B1284" s="6" t="n"/>
      <c r="C1284" s="7" t="n"/>
      <c r="D1284" s="8" t="n"/>
      <c r="E1284" s="6" t="n"/>
      <c r="F1284" s="6" t="n"/>
      <c r="G1284" s="6" t="n"/>
      <c r="H1284" s="6" t="n"/>
      <c r="I1284" s="12">
        <f>IF($B1284="","",IF(COUNTIF(Ventes_Factures!$A$6:$A$3005,$B1284)&gt;0,"OK","INCONNUE"))</f>
        <v/>
      </c>
      <c r="J1284" s="9">
        <f>IF($D1284="","",ROUND($D1284,2))</f>
        <v/>
      </c>
    </row>
    <row r="1285">
      <c r="A1285" s="6" t="n"/>
      <c r="B1285" s="6" t="n"/>
      <c r="C1285" s="7" t="n"/>
      <c r="D1285" s="8" t="n"/>
      <c r="E1285" s="6" t="n"/>
      <c r="F1285" s="6" t="n"/>
      <c r="G1285" s="6" t="n"/>
      <c r="H1285" s="6" t="n"/>
      <c r="I1285" s="12">
        <f>IF($B1285="","",IF(COUNTIF(Ventes_Factures!$A$6:$A$3005,$B1285)&gt;0,"OK","INCONNUE"))</f>
        <v/>
      </c>
      <c r="J1285" s="9">
        <f>IF($D1285="","",ROUND($D1285,2))</f>
        <v/>
      </c>
    </row>
    <row r="1286">
      <c r="A1286" s="6" t="n"/>
      <c r="B1286" s="6" t="n"/>
      <c r="C1286" s="7" t="n"/>
      <c r="D1286" s="8" t="n"/>
      <c r="E1286" s="6" t="n"/>
      <c r="F1286" s="6" t="n"/>
      <c r="G1286" s="6" t="n"/>
      <c r="H1286" s="6" t="n"/>
      <c r="I1286" s="12">
        <f>IF($B1286="","",IF(COUNTIF(Ventes_Factures!$A$6:$A$3005,$B1286)&gt;0,"OK","INCONNUE"))</f>
        <v/>
      </c>
      <c r="J1286" s="9">
        <f>IF($D1286="","",ROUND($D1286,2))</f>
        <v/>
      </c>
    </row>
    <row r="1287">
      <c r="A1287" s="6" t="n"/>
      <c r="B1287" s="6" t="n"/>
      <c r="C1287" s="7" t="n"/>
      <c r="D1287" s="8" t="n"/>
      <c r="E1287" s="6" t="n"/>
      <c r="F1287" s="6" t="n"/>
      <c r="G1287" s="6" t="n"/>
      <c r="H1287" s="6" t="n"/>
      <c r="I1287" s="12">
        <f>IF($B1287="","",IF(COUNTIF(Ventes_Factures!$A$6:$A$3005,$B1287)&gt;0,"OK","INCONNUE"))</f>
        <v/>
      </c>
      <c r="J1287" s="9">
        <f>IF($D1287="","",ROUND($D1287,2))</f>
        <v/>
      </c>
    </row>
    <row r="1288">
      <c r="A1288" s="6" t="n"/>
      <c r="B1288" s="6" t="n"/>
      <c r="C1288" s="7" t="n"/>
      <c r="D1288" s="8" t="n"/>
      <c r="E1288" s="6" t="n"/>
      <c r="F1288" s="6" t="n"/>
      <c r="G1288" s="6" t="n"/>
      <c r="H1288" s="6" t="n"/>
      <c r="I1288" s="12">
        <f>IF($B1288="","",IF(COUNTIF(Ventes_Factures!$A$6:$A$3005,$B1288)&gt;0,"OK","INCONNUE"))</f>
        <v/>
      </c>
      <c r="J1288" s="9">
        <f>IF($D1288="","",ROUND($D1288,2))</f>
        <v/>
      </c>
    </row>
    <row r="1289">
      <c r="A1289" s="6" t="n"/>
      <c r="B1289" s="6" t="n"/>
      <c r="C1289" s="7" t="n"/>
      <c r="D1289" s="8" t="n"/>
      <c r="E1289" s="6" t="n"/>
      <c r="F1289" s="6" t="n"/>
      <c r="G1289" s="6" t="n"/>
      <c r="H1289" s="6" t="n"/>
      <c r="I1289" s="12">
        <f>IF($B1289="","",IF(COUNTIF(Ventes_Factures!$A$6:$A$3005,$B1289)&gt;0,"OK","INCONNUE"))</f>
        <v/>
      </c>
      <c r="J1289" s="9">
        <f>IF($D1289="","",ROUND($D1289,2))</f>
        <v/>
      </c>
    </row>
    <row r="1290">
      <c r="A1290" s="6" t="n"/>
      <c r="B1290" s="6" t="n"/>
      <c r="C1290" s="7" t="n"/>
      <c r="D1290" s="8" t="n"/>
      <c r="E1290" s="6" t="n"/>
      <c r="F1290" s="6" t="n"/>
      <c r="G1290" s="6" t="n"/>
      <c r="H1290" s="6" t="n"/>
      <c r="I1290" s="12">
        <f>IF($B1290="","",IF(COUNTIF(Ventes_Factures!$A$6:$A$3005,$B1290)&gt;0,"OK","INCONNUE"))</f>
        <v/>
      </c>
      <c r="J1290" s="9">
        <f>IF($D1290="","",ROUND($D1290,2))</f>
        <v/>
      </c>
    </row>
    <row r="1291">
      <c r="A1291" s="6" t="n"/>
      <c r="B1291" s="6" t="n"/>
      <c r="C1291" s="7" t="n"/>
      <c r="D1291" s="8" t="n"/>
      <c r="E1291" s="6" t="n"/>
      <c r="F1291" s="6" t="n"/>
      <c r="G1291" s="6" t="n"/>
      <c r="H1291" s="6" t="n"/>
      <c r="I1291" s="12">
        <f>IF($B1291="","",IF(COUNTIF(Ventes_Factures!$A$6:$A$3005,$B1291)&gt;0,"OK","INCONNUE"))</f>
        <v/>
      </c>
      <c r="J1291" s="9">
        <f>IF($D1291="","",ROUND($D1291,2))</f>
        <v/>
      </c>
    </row>
    <row r="1292">
      <c r="A1292" s="6" t="n"/>
      <c r="B1292" s="6" t="n"/>
      <c r="C1292" s="7" t="n"/>
      <c r="D1292" s="8" t="n"/>
      <c r="E1292" s="6" t="n"/>
      <c r="F1292" s="6" t="n"/>
      <c r="G1292" s="6" t="n"/>
      <c r="H1292" s="6" t="n"/>
      <c r="I1292" s="12">
        <f>IF($B1292="","",IF(COUNTIF(Ventes_Factures!$A$6:$A$3005,$B1292)&gt;0,"OK","INCONNUE"))</f>
        <v/>
      </c>
      <c r="J1292" s="9">
        <f>IF($D1292="","",ROUND($D1292,2))</f>
        <v/>
      </c>
    </row>
    <row r="1293">
      <c r="A1293" s="6" t="n"/>
      <c r="B1293" s="6" t="n"/>
      <c r="C1293" s="7" t="n"/>
      <c r="D1293" s="8" t="n"/>
      <c r="E1293" s="6" t="n"/>
      <c r="F1293" s="6" t="n"/>
      <c r="G1293" s="6" t="n"/>
      <c r="H1293" s="6" t="n"/>
      <c r="I1293" s="12">
        <f>IF($B1293="","",IF(COUNTIF(Ventes_Factures!$A$6:$A$3005,$B1293)&gt;0,"OK","INCONNUE"))</f>
        <v/>
      </c>
      <c r="J1293" s="9">
        <f>IF($D1293="","",ROUND($D1293,2))</f>
        <v/>
      </c>
    </row>
    <row r="1294">
      <c r="A1294" s="6" t="n"/>
      <c r="B1294" s="6" t="n"/>
      <c r="C1294" s="7" t="n"/>
      <c r="D1294" s="8" t="n"/>
      <c r="E1294" s="6" t="n"/>
      <c r="F1294" s="6" t="n"/>
      <c r="G1294" s="6" t="n"/>
      <c r="H1294" s="6" t="n"/>
      <c r="I1294" s="12">
        <f>IF($B1294="","",IF(COUNTIF(Ventes_Factures!$A$6:$A$3005,$B1294)&gt;0,"OK","INCONNUE"))</f>
        <v/>
      </c>
      <c r="J1294" s="9">
        <f>IF($D1294="","",ROUND($D1294,2))</f>
        <v/>
      </c>
    </row>
    <row r="1295">
      <c r="A1295" s="6" t="n"/>
      <c r="B1295" s="6" t="n"/>
      <c r="C1295" s="7" t="n"/>
      <c r="D1295" s="8" t="n"/>
      <c r="E1295" s="6" t="n"/>
      <c r="F1295" s="6" t="n"/>
      <c r="G1295" s="6" t="n"/>
      <c r="H1295" s="6" t="n"/>
      <c r="I1295" s="12">
        <f>IF($B1295="","",IF(COUNTIF(Ventes_Factures!$A$6:$A$3005,$B1295)&gt;0,"OK","INCONNUE"))</f>
        <v/>
      </c>
      <c r="J1295" s="9">
        <f>IF($D1295="","",ROUND($D1295,2))</f>
        <v/>
      </c>
    </row>
    <row r="1296">
      <c r="A1296" s="6" t="n"/>
      <c r="B1296" s="6" t="n"/>
      <c r="C1296" s="7" t="n"/>
      <c r="D1296" s="8" t="n"/>
      <c r="E1296" s="6" t="n"/>
      <c r="F1296" s="6" t="n"/>
      <c r="G1296" s="6" t="n"/>
      <c r="H1296" s="6" t="n"/>
      <c r="I1296" s="12">
        <f>IF($B1296="","",IF(COUNTIF(Ventes_Factures!$A$6:$A$3005,$B1296)&gt;0,"OK","INCONNUE"))</f>
        <v/>
      </c>
      <c r="J1296" s="9">
        <f>IF($D1296="","",ROUND($D1296,2))</f>
        <v/>
      </c>
    </row>
    <row r="1297">
      <c r="A1297" s="6" t="n"/>
      <c r="B1297" s="6" t="n"/>
      <c r="C1297" s="7" t="n"/>
      <c r="D1297" s="8" t="n"/>
      <c r="E1297" s="6" t="n"/>
      <c r="F1297" s="6" t="n"/>
      <c r="G1297" s="6" t="n"/>
      <c r="H1297" s="6" t="n"/>
      <c r="I1297" s="12">
        <f>IF($B1297="","",IF(COUNTIF(Ventes_Factures!$A$6:$A$3005,$B1297)&gt;0,"OK","INCONNUE"))</f>
        <v/>
      </c>
      <c r="J1297" s="9">
        <f>IF($D1297="","",ROUND($D1297,2))</f>
        <v/>
      </c>
    </row>
    <row r="1298">
      <c r="A1298" s="6" t="n"/>
      <c r="B1298" s="6" t="n"/>
      <c r="C1298" s="7" t="n"/>
      <c r="D1298" s="8" t="n"/>
      <c r="E1298" s="6" t="n"/>
      <c r="F1298" s="6" t="n"/>
      <c r="G1298" s="6" t="n"/>
      <c r="H1298" s="6" t="n"/>
      <c r="I1298" s="12">
        <f>IF($B1298="","",IF(COUNTIF(Ventes_Factures!$A$6:$A$3005,$B1298)&gt;0,"OK","INCONNUE"))</f>
        <v/>
      </c>
      <c r="J1298" s="9">
        <f>IF($D1298="","",ROUND($D1298,2))</f>
        <v/>
      </c>
    </row>
    <row r="1299">
      <c r="A1299" s="6" t="n"/>
      <c r="B1299" s="6" t="n"/>
      <c r="C1299" s="7" t="n"/>
      <c r="D1299" s="8" t="n"/>
      <c r="E1299" s="6" t="n"/>
      <c r="F1299" s="6" t="n"/>
      <c r="G1299" s="6" t="n"/>
      <c r="H1299" s="6" t="n"/>
      <c r="I1299" s="12">
        <f>IF($B1299="","",IF(COUNTIF(Ventes_Factures!$A$6:$A$3005,$B1299)&gt;0,"OK","INCONNUE"))</f>
        <v/>
      </c>
      <c r="J1299" s="9">
        <f>IF($D1299="","",ROUND($D1299,2))</f>
        <v/>
      </c>
    </row>
    <row r="1300">
      <c r="A1300" s="6" t="n"/>
      <c r="B1300" s="6" t="n"/>
      <c r="C1300" s="7" t="n"/>
      <c r="D1300" s="8" t="n"/>
      <c r="E1300" s="6" t="n"/>
      <c r="F1300" s="6" t="n"/>
      <c r="G1300" s="6" t="n"/>
      <c r="H1300" s="6" t="n"/>
      <c r="I1300" s="12">
        <f>IF($B1300="","",IF(COUNTIF(Ventes_Factures!$A$6:$A$3005,$B1300)&gt;0,"OK","INCONNUE"))</f>
        <v/>
      </c>
      <c r="J1300" s="9">
        <f>IF($D1300="","",ROUND($D1300,2))</f>
        <v/>
      </c>
    </row>
    <row r="1301">
      <c r="A1301" s="6" t="n"/>
      <c r="B1301" s="6" t="n"/>
      <c r="C1301" s="7" t="n"/>
      <c r="D1301" s="8" t="n"/>
      <c r="E1301" s="6" t="n"/>
      <c r="F1301" s="6" t="n"/>
      <c r="G1301" s="6" t="n"/>
      <c r="H1301" s="6" t="n"/>
      <c r="I1301" s="12">
        <f>IF($B1301="","",IF(COUNTIF(Ventes_Factures!$A$6:$A$3005,$B1301)&gt;0,"OK","INCONNUE"))</f>
        <v/>
      </c>
      <c r="J1301" s="9">
        <f>IF($D1301="","",ROUND($D1301,2))</f>
        <v/>
      </c>
    </row>
    <row r="1302">
      <c r="A1302" s="6" t="n"/>
      <c r="B1302" s="6" t="n"/>
      <c r="C1302" s="7" t="n"/>
      <c r="D1302" s="8" t="n"/>
      <c r="E1302" s="6" t="n"/>
      <c r="F1302" s="6" t="n"/>
      <c r="G1302" s="6" t="n"/>
      <c r="H1302" s="6" t="n"/>
      <c r="I1302" s="12">
        <f>IF($B1302="","",IF(COUNTIF(Ventes_Factures!$A$6:$A$3005,$B1302)&gt;0,"OK","INCONNUE"))</f>
        <v/>
      </c>
      <c r="J1302" s="9">
        <f>IF($D1302="","",ROUND($D1302,2))</f>
        <v/>
      </c>
    </row>
    <row r="1303">
      <c r="A1303" s="6" t="n"/>
      <c r="B1303" s="6" t="n"/>
      <c r="C1303" s="7" t="n"/>
      <c r="D1303" s="8" t="n"/>
      <c r="E1303" s="6" t="n"/>
      <c r="F1303" s="6" t="n"/>
      <c r="G1303" s="6" t="n"/>
      <c r="H1303" s="6" t="n"/>
      <c r="I1303" s="12">
        <f>IF($B1303="","",IF(COUNTIF(Ventes_Factures!$A$6:$A$3005,$B1303)&gt;0,"OK","INCONNUE"))</f>
        <v/>
      </c>
      <c r="J1303" s="9">
        <f>IF($D1303="","",ROUND($D1303,2))</f>
        <v/>
      </c>
    </row>
    <row r="1304">
      <c r="A1304" s="6" t="n"/>
      <c r="B1304" s="6" t="n"/>
      <c r="C1304" s="7" t="n"/>
      <c r="D1304" s="8" t="n"/>
      <c r="E1304" s="6" t="n"/>
      <c r="F1304" s="6" t="n"/>
      <c r="G1304" s="6" t="n"/>
      <c r="H1304" s="6" t="n"/>
      <c r="I1304" s="12">
        <f>IF($B1304="","",IF(COUNTIF(Ventes_Factures!$A$6:$A$3005,$B1304)&gt;0,"OK","INCONNUE"))</f>
        <v/>
      </c>
      <c r="J1304" s="9">
        <f>IF($D1304="","",ROUND($D1304,2))</f>
        <v/>
      </c>
    </row>
    <row r="1305">
      <c r="A1305" s="6" t="n"/>
      <c r="B1305" s="6" t="n"/>
      <c r="C1305" s="7" t="n"/>
      <c r="D1305" s="8" t="n"/>
      <c r="E1305" s="6" t="n"/>
      <c r="F1305" s="6" t="n"/>
      <c r="G1305" s="6" t="n"/>
      <c r="H1305" s="6" t="n"/>
      <c r="I1305" s="12">
        <f>IF($B1305="","",IF(COUNTIF(Ventes_Factures!$A$6:$A$3005,$B1305)&gt;0,"OK","INCONNUE"))</f>
        <v/>
      </c>
      <c r="J1305" s="9">
        <f>IF($D1305="","",ROUND($D1305,2))</f>
        <v/>
      </c>
    </row>
    <row r="1306">
      <c r="A1306" s="6" t="n"/>
      <c r="B1306" s="6" t="n"/>
      <c r="C1306" s="7" t="n"/>
      <c r="D1306" s="8" t="n"/>
      <c r="E1306" s="6" t="n"/>
      <c r="F1306" s="6" t="n"/>
      <c r="G1306" s="6" t="n"/>
      <c r="H1306" s="6" t="n"/>
      <c r="I1306" s="12">
        <f>IF($B1306="","",IF(COUNTIF(Ventes_Factures!$A$6:$A$3005,$B1306)&gt;0,"OK","INCONNUE"))</f>
        <v/>
      </c>
      <c r="J1306" s="9">
        <f>IF($D1306="","",ROUND($D1306,2))</f>
        <v/>
      </c>
    </row>
    <row r="1307">
      <c r="A1307" s="6" t="n"/>
      <c r="B1307" s="6" t="n"/>
      <c r="C1307" s="7" t="n"/>
      <c r="D1307" s="8" t="n"/>
      <c r="E1307" s="6" t="n"/>
      <c r="F1307" s="6" t="n"/>
      <c r="G1307" s="6" t="n"/>
      <c r="H1307" s="6" t="n"/>
      <c r="I1307" s="12">
        <f>IF($B1307="","",IF(COUNTIF(Ventes_Factures!$A$6:$A$3005,$B1307)&gt;0,"OK","INCONNUE"))</f>
        <v/>
      </c>
      <c r="J1307" s="9">
        <f>IF($D1307="","",ROUND($D1307,2))</f>
        <v/>
      </c>
    </row>
    <row r="1308">
      <c r="A1308" s="6" t="n"/>
      <c r="B1308" s="6" t="n"/>
      <c r="C1308" s="7" t="n"/>
      <c r="D1308" s="8" t="n"/>
      <c r="E1308" s="6" t="n"/>
      <c r="F1308" s="6" t="n"/>
      <c r="G1308" s="6" t="n"/>
      <c r="H1308" s="6" t="n"/>
      <c r="I1308" s="12">
        <f>IF($B1308="","",IF(COUNTIF(Ventes_Factures!$A$6:$A$3005,$B1308)&gt;0,"OK","INCONNUE"))</f>
        <v/>
      </c>
      <c r="J1308" s="9">
        <f>IF($D1308="","",ROUND($D1308,2))</f>
        <v/>
      </c>
    </row>
    <row r="1309">
      <c r="A1309" s="6" t="n"/>
      <c r="B1309" s="6" t="n"/>
      <c r="C1309" s="7" t="n"/>
      <c r="D1309" s="8" t="n"/>
      <c r="E1309" s="6" t="n"/>
      <c r="F1309" s="6" t="n"/>
      <c r="G1309" s="6" t="n"/>
      <c r="H1309" s="6" t="n"/>
      <c r="I1309" s="12">
        <f>IF($B1309="","",IF(COUNTIF(Ventes_Factures!$A$6:$A$3005,$B1309)&gt;0,"OK","INCONNUE"))</f>
        <v/>
      </c>
      <c r="J1309" s="9">
        <f>IF($D1309="","",ROUND($D1309,2))</f>
        <v/>
      </c>
    </row>
    <row r="1310">
      <c r="A1310" s="6" t="n"/>
      <c r="B1310" s="6" t="n"/>
      <c r="C1310" s="7" t="n"/>
      <c r="D1310" s="8" t="n"/>
      <c r="E1310" s="6" t="n"/>
      <c r="F1310" s="6" t="n"/>
      <c r="G1310" s="6" t="n"/>
      <c r="H1310" s="6" t="n"/>
      <c r="I1310" s="12">
        <f>IF($B1310="","",IF(COUNTIF(Ventes_Factures!$A$6:$A$3005,$B1310)&gt;0,"OK","INCONNUE"))</f>
        <v/>
      </c>
      <c r="J1310" s="9">
        <f>IF($D1310="","",ROUND($D1310,2))</f>
        <v/>
      </c>
    </row>
    <row r="1311">
      <c r="A1311" s="6" t="n"/>
      <c r="B1311" s="6" t="n"/>
      <c r="C1311" s="7" t="n"/>
      <c r="D1311" s="8" t="n"/>
      <c r="E1311" s="6" t="n"/>
      <c r="F1311" s="6" t="n"/>
      <c r="G1311" s="6" t="n"/>
      <c r="H1311" s="6" t="n"/>
      <c r="I1311" s="12">
        <f>IF($B1311="","",IF(COUNTIF(Ventes_Factures!$A$6:$A$3005,$B1311)&gt;0,"OK","INCONNUE"))</f>
        <v/>
      </c>
      <c r="J1311" s="9">
        <f>IF($D1311="","",ROUND($D1311,2))</f>
        <v/>
      </c>
    </row>
    <row r="1312">
      <c r="A1312" s="6" t="n"/>
      <c r="B1312" s="6" t="n"/>
      <c r="C1312" s="7" t="n"/>
      <c r="D1312" s="8" t="n"/>
      <c r="E1312" s="6" t="n"/>
      <c r="F1312" s="6" t="n"/>
      <c r="G1312" s="6" t="n"/>
      <c r="H1312" s="6" t="n"/>
      <c r="I1312" s="12">
        <f>IF($B1312="","",IF(COUNTIF(Ventes_Factures!$A$6:$A$3005,$B1312)&gt;0,"OK","INCONNUE"))</f>
        <v/>
      </c>
      <c r="J1312" s="9">
        <f>IF($D1312="","",ROUND($D1312,2))</f>
        <v/>
      </c>
    </row>
    <row r="1313">
      <c r="A1313" s="6" t="n"/>
      <c r="B1313" s="6" t="n"/>
      <c r="C1313" s="7" t="n"/>
      <c r="D1313" s="8" t="n"/>
      <c r="E1313" s="6" t="n"/>
      <c r="F1313" s="6" t="n"/>
      <c r="G1313" s="6" t="n"/>
      <c r="H1313" s="6" t="n"/>
      <c r="I1313" s="12">
        <f>IF($B1313="","",IF(COUNTIF(Ventes_Factures!$A$6:$A$3005,$B1313)&gt;0,"OK","INCONNUE"))</f>
        <v/>
      </c>
      <c r="J1313" s="9">
        <f>IF($D1313="","",ROUND($D1313,2))</f>
        <v/>
      </c>
    </row>
    <row r="1314">
      <c r="A1314" s="6" t="n"/>
      <c r="B1314" s="6" t="n"/>
      <c r="C1314" s="7" t="n"/>
      <c r="D1314" s="8" t="n"/>
      <c r="E1314" s="6" t="n"/>
      <c r="F1314" s="6" t="n"/>
      <c r="G1314" s="6" t="n"/>
      <c r="H1314" s="6" t="n"/>
      <c r="I1314" s="12">
        <f>IF($B1314="","",IF(COUNTIF(Ventes_Factures!$A$6:$A$3005,$B1314)&gt;0,"OK","INCONNUE"))</f>
        <v/>
      </c>
      <c r="J1314" s="9">
        <f>IF($D1314="","",ROUND($D1314,2))</f>
        <v/>
      </c>
    </row>
    <row r="1315">
      <c r="A1315" s="6" t="n"/>
      <c r="B1315" s="6" t="n"/>
      <c r="C1315" s="7" t="n"/>
      <c r="D1315" s="8" t="n"/>
      <c r="E1315" s="6" t="n"/>
      <c r="F1315" s="6" t="n"/>
      <c r="G1315" s="6" t="n"/>
      <c r="H1315" s="6" t="n"/>
      <c r="I1315" s="12">
        <f>IF($B1315="","",IF(COUNTIF(Ventes_Factures!$A$6:$A$3005,$B1315)&gt;0,"OK","INCONNUE"))</f>
        <v/>
      </c>
      <c r="J1315" s="9">
        <f>IF($D1315="","",ROUND($D1315,2))</f>
        <v/>
      </c>
    </row>
    <row r="1316">
      <c r="A1316" s="6" t="n"/>
      <c r="B1316" s="6" t="n"/>
      <c r="C1316" s="7" t="n"/>
      <c r="D1316" s="8" t="n"/>
      <c r="E1316" s="6" t="n"/>
      <c r="F1316" s="6" t="n"/>
      <c r="G1316" s="6" t="n"/>
      <c r="H1316" s="6" t="n"/>
      <c r="I1316" s="12">
        <f>IF($B1316="","",IF(COUNTIF(Ventes_Factures!$A$6:$A$3005,$B1316)&gt;0,"OK","INCONNUE"))</f>
        <v/>
      </c>
      <c r="J1316" s="9">
        <f>IF($D1316="","",ROUND($D1316,2))</f>
        <v/>
      </c>
    </row>
    <row r="1317">
      <c r="A1317" s="6" t="n"/>
      <c r="B1317" s="6" t="n"/>
      <c r="C1317" s="7" t="n"/>
      <c r="D1317" s="8" t="n"/>
      <c r="E1317" s="6" t="n"/>
      <c r="F1317" s="6" t="n"/>
      <c r="G1317" s="6" t="n"/>
      <c r="H1317" s="6" t="n"/>
      <c r="I1317" s="12">
        <f>IF($B1317="","",IF(COUNTIF(Ventes_Factures!$A$6:$A$3005,$B1317)&gt;0,"OK","INCONNUE"))</f>
        <v/>
      </c>
      <c r="J1317" s="9">
        <f>IF($D1317="","",ROUND($D1317,2))</f>
        <v/>
      </c>
    </row>
    <row r="1318">
      <c r="A1318" s="6" t="n"/>
      <c r="B1318" s="6" t="n"/>
      <c r="C1318" s="7" t="n"/>
      <c r="D1318" s="8" t="n"/>
      <c r="E1318" s="6" t="n"/>
      <c r="F1318" s="6" t="n"/>
      <c r="G1318" s="6" t="n"/>
      <c r="H1318" s="6" t="n"/>
      <c r="I1318" s="12">
        <f>IF($B1318="","",IF(COUNTIF(Ventes_Factures!$A$6:$A$3005,$B1318)&gt;0,"OK","INCONNUE"))</f>
        <v/>
      </c>
      <c r="J1318" s="9">
        <f>IF($D1318="","",ROUND($D1318,2))</f>
        <v/>
      </c>
    </row>
    <row r="1319">
      <c r="A1319" s="6" t="n"/>
      <c r="B1319" s="6" t="n"/>
      <c r="C1319" s="7" t="n"/>
      <c r="D1319" s="8" t="n"/>
      <c r="E1319" s="6" t="n"/>
      <c r="F1319" s="6" t="n"/>
      <c r="G1319" s="6" t="n"/>
      <c r="H1319" s="6" t="n"/>
      <c r="I1319" s="12">
        <f>IF($B1319="","",IF(COUNTIF(Ventes_Factures!$A$6:$A$3005,$B1319)&gt;0,"OK","INCONNUE"))</f>
        <v/>
      </c>
      <c r="J1319" s="9">
        <f>IF($D1319="","",ROUND($D1319,2))</f>
        <v/>
      </c>
    </row>
    <row r="1320">
      <c r="A1320" s="6" t="n"/>
      <c r="B1320" s="6" t="n"/>
      <c r="C1320" s="7" t="n"/>
      <c r="D1320" s="8" t="n"/>
      <c r="E1320" s="6" t="n"/>
      <c r="F1320" s="6" t="n"/>
      <c r="G1320" s="6" t="n"/>
      <c r="H1320" s="6" t="n"/>
      <c r="I1320" s="12">
        <f>IF($B1320="","",IF(COUNTIF(Ventes_Factures!$A$6:$A$3005,$B1320)&gt;0,"OK","INCONNUE"))</f>
        <v/>
      </c>
      <c r="J1320" s="9">
        <f>IF($D1320="","",ROUND($D1320,2))</f>
        <v/>
      </c>
    </row>
    <row r="1321">
      <c r="A1321" s="6" t="n"/>
      <c r="B1321" s="6" t="n"/>
      <c r="C1321" s="7" t="n"/>
      <c r="D1321" s="8" t="n"/>
      <c r="E1321" s="6" t="n"/>
      <c r="F1321" s="6" t="n"/>
      <c r="G1321" s="6" t="n"/>
      <c r="H1321" s="6" t="n"/>
      <c r="I1321" s="12">
        <f>IF($B1321="","",IF(COUNTIF(Ventes_Factures!$A$6:$A$3005,$B1321)&gt;0,"OK","INCONNUE"))</f>
        <v/>
      </c>
      <c r="J1321" s="9">
        <f>IF($D1321="","",ROUND($D1321,2))</f>
        <v/>
      </c>
    </row>
    <row r="1322">
      <c r="A1322" s="6" t="n"/>
      <c r="B1322" s="6" t="n"/>
      <c r="C1322" s="7" t="n"/>
      <c r="D1322" s="8" t="n"/>
      <c r="E1322" s="6" t="n"/>
      <c r="F1322" s="6" t="n"/>
      <c r="G1322" s="6" t="n"/>
      <c r="H1322" s="6" t="n"/>
      <c r="I1322" s="12">
        <f>IF($B1322="","",IF(COUNTIF(Ventes_Factures!$A$6:$A$3005,$B1322)&gt;0,"OK","INCONNUE"))</f>
        <v/>
      </c>
      <c r="J1322" s="9">
        <f>IF($D1322="","",ROUND($D1322,2))</f>
        <v/>
      </c>
    </row>
    <row r="1323">
      <c r="A1323" s="6" t="n"/>
      <c r="B1323" s="6" t="n"/>
      <c r="C1323" s="7" t="n"/>
      <c r="D1323" s="8" t="n"/>
      <c r="E1323" s="6" t="n"/>
      <c r="F1323" s="6" t="n"/>
      <c r="G1323" s="6" t="n"/>
      <c r="H1323" s="6" t="n"/>
      <c r="I1323" s="12">
        <f>IF($B1323="","",IF(COUNTIF(Ventes_Factures!$A$6:$A$3005,$B1323)&gt;0,"OK","INCONNUE"))</f>
        <v/>
      </c>
      <c r="J1323" s="9">
        <f>IF($D1323="","",ROUND($D1323,2))</f>
        <v/>
      </c>
    </row>
    <row r="1324">
      <c r="A1324" s="6" t="n"/>
      <c r="B1324" s="6" t="n"/>
      <c r="C1324" s="7" t="n"/>
      <c r="D1324" s="8" t="n"/>
      <c r="E1324" s="6" t="n"/>
      <c r="F1324" s="6" t="n"/>
      <c r="G1324" s="6" t="n"/>
      <c r="H1324" s="6" t="n"/>
      <c r="I1324" s="12">
        <f>IF($B1324="","",IF(COUNTIF(Ventes_Factures!$A$6:$A$3005,$B1324)&gt;0,"OK","INCONNUE"))</f>
        <v/>
      </c>
      <c r="J1324" s="9">
        <f>IF($D1324="","",ROUND($D1324,2))</f>
        <v/>
      </c>
    </row>
    <row r="1325">
      <c r="A1325" s="6" t="n"/>
      <c r="B1325" s="6" t="n"/>
      <c r="C1325" s="7" t="n"/>
      <c r="D1325" s="8" t="n"/>
      <c r="E1325" s="6" t="n"/>
      <c r="F1325" s="6" t="n"/>
      <c r="G1325" s="6" t="n"/>
      <c r="H1325" s="6" t="n"/>
      <c r="I1325" s="12">
        <f>IF($B1325="","",IF(COUNTIF(Ventes_Factures!$A$6:$A$3005,$B1325)&gt;0,"OK","INCONNUE"))</f>
        <v/>
      </c>
      <c r="J1325" s="9">
        <f>IF($D1325="","",ROUND($D1325,2))</f>
        <v/>
      </c>
    </row>
    <row r="1326">
      <c r="A1326" s="6" t="n"/>
      <c r="B1326" s="6" t="n"/>
      <c r="C1326" s="7" t="n"/>
      <c r="D1326" s="8" t="n"/>
      <c r="E1326" s="6" t="n"/>
      <c r="F1326" s="6" t="n"/>
      <c r="G1326" s="6" t="n"/>
      <c r="H1326" s="6" t="n"/>
      <c r="I1326" s="12">
        <f>IF($B1326="","",IF(COUNTIF(Ventes_Factures!$A$6:$A$3005,$B1326)&gt;0,"OK","INCONNUE"))</f>
        <v/>
      </c>
      <c r="J1326" s="9">
        <f>IF($D1326="","",ROUND($D1326,2))</f>
        <v/>
      </c>
    </row>
    <row r="1327">
      <c r="A1327" s="6" t="n"/>
      <c r="B1327" s="6" t="n"/>
      <c r="C1327" s="7" t="n"/>
      <c r="D1327" s="8" t="n"/>
      <c r="E1327" s="6" t="n"/>
      <c r="F1327" s="6" t="n"/>
      <c r="G1327" s="6" t="n"/>
      <c r="H1327" s="6" t="n"/>
      <c r="I1327" s="12">
        <f>IF($B1327="","",IF(COUNTIF(Ventes_Factures!$A$6:$A$3005,$B1327)&gt;0,"OK","INCONNUE"))</f>
        <v/>
      </c>
      <c r="J1327" s="9">
        <f>IF($D1327="","",ROUND($D1327,2))</f>
        <v/>
      </c>
    </row>
    <row r="1328">
      <c r="A1328" s="6" t="n"/>
      <c r="B1328" s="6" t="n"/>
      <c r="C1328" s="7" t="n"/>
      <c r="D1328" s="8" t="n"/>
      <c r="E1328" s="6" t="n"/>
      <c r="F1328" s="6" t="n"/>
      <c r="G1328" s="6" t="n"/>
      <c r="H1328" s="6" t="n"/>
      <c r="I1328" s="12">
        <f>IF($B1328="","",IF(COUNTIF(Ventes_Factures!$A$6:$A$3005,$B1328)&gt;0,"OK","INCONNUE"))</f>
        <v/>
      </c>
      <c r="J1328" s="9">
        <f>IF($D1328="","",ROUND($D1328,2))</f>
        <v/>
      </c>
    </row>
    <row r="1329">
      <c r="A1329" s="6" t="n"/>
      <c r="B1329" s="6" t="n"/>
      <c r="C1329" s="7" t="n"/>
      <c r="D1329" s="8" t="n"/>
      <c r="E1329" s="6" t="n"/>
      <c r="F1329" s="6" t="n"/>
      <c r="G1329" s="6" t="n"/>
      <c r="H1329" s="6" t="n"/>
      <c r="I1329" s="12">
        <f>IF($B1329="","",IF(COUNTIF(Ventes_Factures!$A$6:$A$3005,$B1329)&gt;0,"OK","INCONNUE"))</f>
        <v/>
      </c>
      <c r="J1329" s="9">
        <f>IF($D1329="","",ROUND($D1329,2))</f>
        <v/>
      </c>
    </row>
    <row r="1330">
      <c r="A1330" s="6" t="n"/>
      <c r="B1330" s="6" t="n"/>
      <c r="C1330" s="7" t="n"/>
      <c r="D1330" s="8" t="n"/>
      <c r="E1330" s="6" t="n"/>
      <c r="F1330" s="6" t="n"/>
      <c r="G1330" s="6" t="n"/>
      <c r="H1330" s="6" t="n"/>
      <c r="I1330" s="12">
        <f>IF($B1330="","",IF(COUNTIF(Ventes_Factures!$A$6:$A$3005,$B1330)&gt;0,"OK","INCONNUE"))</f>
        <v/>
      </c>
      <c r="J1330" s="9">
        <f>IF($D1330="","",ROUND($D1330,2))</f>
        <v/>
      </c>
    </row>
    <row r="1331">
      <c r="A1331" s="6" t="n"/>
      <c r="B1331" s="6" t="n"/>
      <c r="C1331" s="7" t="n"/>
      <c r="D1331" s="8" t="n"/>
      <c r="E1331" s="6" t="n"/>
      <c r="F1331" s="6" t="n"/>
      <c r="G1331" s="6" t="n"/>
      <c r="H1331" s="6" t="n"/>
      <c r="I1331" s="12">
        <f>IF($B1331="","",IF(COUNTIF(Ventes_Factures!$A$6:$A$3005,$B1331)&gt;0,"OK","INCONNUE"))</f>
        <v/>
      </c>
      <c r="J1331" s="9">
        <f>IF($D1331="","",ROUND($D1331,2))</f>
        <v/>
      </c>
    </row>
    <row r="1332">
      <c r="A1332" s="6" t="n"/>
      <c r="B1332" s="6" t="n"/>
      <c r="C1332" s="7" t="n"/>
      <c r="D1332" s="8" t="n"/>
      <c r="E1332" s="6" t="n"/>
      <c r="F1332" s="6" t="n"/>
      <c r="G1332" s="6" t="n"/>
      <c r="H1332" s="6" t="n"/>
      <c r="I1332" s="12">
        <f>IF($B1332="","",IF(COUNTIF(Ventes_Factures!$A$6:$A$3005,$B1332)&gt;0,"OK","INCONNUE"))</f>
        <v/>
      </c>
      <c r="J1332" s="9">
        <f>IF($D1332="","",ROUND($D1332,2))</f>
        <v/>
      </c>
    </row>
    <row r="1333">
      <c r="A1333" s="6" t="n"/>
      <c r="B1333" s="6" t="n"/>
      <c r="C1333" s="7" t="n"/>
      <c r="D1333" s="8" t="n"/>
      <c r="E1333" s="6" t="n"/>
      <c r="F1333" s="6" t="n"/>
      <c r="G1333" s="6" t="n"/>
      <c r="H1333" s="6" t="n"/>
      <c r="I1333" s="12">
        <f>IF($B1333="","",IF(COUNTIF(Ventes_Factures!$A$6:$A$3005,$B1333)&gt;0,"OK","INCONNUE"))</f>
        <v/>
      </c>
      <c r="J1333" s="9">
        <f>IF($D1333="","",ROUND($D1333,2))</f>
        <v/>
      </c>
    </row>
    <row r="1334">
      <c r="A1334" s="6" t="n"/>
      <c r="B1334" s="6" t="n"/>
      <c r="C1334" s="7" t="n"/>
      <c r="D1334" s="8" t="n"/>
      <c r="E1334" s="6" t="n"/>
      <c r="F1334" s="6" t="n"/>
      <c r="G1334" s="6" t="n"/>
      <c r="H1334" s="6" t="n"/>
      <c r="I1334" s="12">
        <f>IF($B1334="","",IF(COUNTIF(Ventes_Factures!$A$6:$A$3005,$B1334)&gt;0,"OK","INCONNUE"))</f>
        <v/>
      </c>
      <c r="J1334" s="9">
        <f>IF($D1334="","",ROUND($D1334,2))</f>
        <v/>
      </c>
    </row>
    <row r="1335">
      <c r="A1335" s="6" t="n"/>
      <c r="B1335" s="6" t="n"/>
      <c r="C1335" s="7" t="n"/>
      <c r="D1335" s="8" t="n"/>
      <c r="E1335" s="6" t="n"/>
      <c r="F1335" s="6" t="n"/>
      <c r="G1335" s="6" t="n"/>
      <c r="H1335" s="6" t="n"/>
      <c r="I1335" s="12">
        <f>IF($B1335="","",IF(COUNTIF(Ventes_Factures!$A$6:$A$3005,$B1335)&gt;0,"OK","INCONNUE"))</f>
        <v/>
      </c>
      <c r="J1335" s="9">
        <f>IF($D1335="","",ROUND($D1335,2))</f>
        <v/>
      </c>
    </row>
    <row r="1336">
      <c r="A1336" s="6" t="n"/>
      <c r="B1336" s="6" t="n"/>
      <c r="C1336" s="7" t="n"/>
      <c r="D1336" s="8" t="n"/>
      <c r="E1336" s="6" t="n"/>
      <c r="F1336" s="6" t="n"/>
      <c r="G1336" s="6" t="n"/>
      <c r="H1336" s="6" t="n"/>
      <c r="I1336" s="12">
        <f>IF($B1336="","",IF(COUNTIF(Ventes_Factures!$A$6:$A$3005,$B1336)&gt;0,"OK","INCONNUE"))</f>
        <v/>
      </c>
      <c r="J1336" s="9">
        <f>IF($D1336="","",ROUND($D1336,2))</f>
        <v/>
      </c>
    </row>
    <row r="1337">
      <c r="A1337" s="6" t="n"/>
      <c r="B1337" s="6" t="n"/>
      <c r="C1337" s="7" t="n"/>
      <c r="D1337" s="8" t="n"/>
      <c r="E1337" s="6" t="n"/>
      <c r="F1337" s="6" t="n"/>
      <c r="G1337" s="6" t="n"/>
      <c r="H1337" s="6" t="n"/>
      <c r="I1337" s="12">
        <f>IF($B1337="","",IF(COUNTIF(Ventes_Factures!$A$6:$A$3005,$B1337)&gt;0,"OK","INCONNUE"))</f>
        <v/>
      </c>
      <c r="J1337" s="9">
        <f>IF($D1337="","",ROUND($D1337,2))</f>
        <v/>
      </c>
    </row>
    <row r="1338">
      <c r="A1338" s="6" t="n"/>
      <c r="B1338" s="6" t="n"/>
      <c r="C1338" s="7" t="n"/>
      <c r="D1338" s="8" t="n"/>
      <c r="E1338" s="6" t="n"/>
      <c r="F1338" s="6" t="n"/>
      <c r="G1338" s="6" t="n"/>
      <c r="H1338" s="6" t="n"/>
      <c r="I1338" s="12">
        <f>IF($B1338="","",IF(COUNTIF(Ventes_Factures!$A$6:$A$3005,$B1338)&gt;0,"OK","INCONNUE"))</f>
        <v/>
      </c>
      <c r="J1338" s="9">
        <f>IF($D1338="","",ROUND($D1338,2))</f>
        <v/>
      </c>
    </row>
    <row r="1339">
      <c r="A1339" s="6" t="n"/>
      <c r="B1339" s="6" t="n"/>
      <c r="C1339" s="7" t="n"/>
      <c r="D1339" s="8" t="n"/>
      <c r="E1339" s="6" t="n"/>
      <c r="F1339" s="6" t="n"/>
      <c r="G1339" s="6" t="n"/>
      <c r="H1339" s="6" t="n"/>
      <c r="I1339" s="12">
        <f>IF($B1339="","",IF(COUNTIF(Ventes_Factures!$A$6:$A$3005,$B1339)&gt;0,"OK","INCONNUE"))</f>
        <v/>
      </c>
      <c r="J1339" s="9">
        <f>IF($D1339="","",ROUND($D1339,2))</f>
        <v/>
      </c>
    </row>
    <row r="1340">
      <c r="A1340" s="6" t="n"/>
      <c r="B1340" s="6" t="n"/>
      <c r="C1340" s="7" t="n"/>
      <c r="D1340" s="8" t="n"/>
      <c r="E1340" s="6" t="n"/>
      <c r="F1340" s="6" t="n"/>
      <c r="G1340" s="6" t="n"/>
      <c r="H1340" s="6" t="n"/>
      <c r="I1340" s="12">
        <f>IF($B1340="","",IF(COUNTIF(Ventes_Factures!$A$6:$A$3005,$B1340)&gt;0,"OK","INCONNUE"))</f>
        <v/>
      </c>
      <c r="J1340" s="9">
        <f>IF($D1340="","",ROUND($D1340,2))</f>
        <v/>
      </c>
    </row>
    <row r="1341">
      <c r="A1341" s="6" t="n"/>
      <c r="B1341" s="6" t="n"/>
      <c r="C1341" s="7" t="n"/>
      <c r="D1341" s="8" t="n"/>
      <c r="E1341" s="6" t="n"/>
      <c r="F1341" s="6" t="n"/>
      <c r="G1341" s="6" t="n"/>
      <c r="H1341" s="6" t="n"/>
      <c r="I1341" s="12">
        <f>IF($B1341="","",IF(COUNTIF(Ventes_Factures!$A$6:$A$3005,$B1341)&gt;0,"OK","INCONNUE"))</f>
        <v/>
      </c>
      <c r="J1341" s="9">
        <f>IF($D1341="","",ROUND($D1341,2))</f>
        <v/>
      </c>
    </row>
    <row r="1342">
      <c r="A1342" s="6" t="n"/>
      <c r="B1342" s="6" t="n"/>
      <c r="C1342" s="7" t="n"/>
      <c r="D1342" s="8" t="n"/>
      <c r="E1342" s="6" t="n"/>
      <c r="F1342" s="6" t="n"/>
      <c r="G1342" s="6" t="n"/>
      <c r="H1342" s="6" t="n"/>
      <c r="I1342" s="12">
        <f>IF($B1342="","",IF(COUNTIF(Ventes_Factures!$A$6:$A$3005,$B1342)&gt;0,"OK","INCONNUE"))</f>
        <v/>
      </c>
      <c r="J1342" s="9">
        <f>IF($D1342="","",ROUND($D1342,2))</f>
        <v/>
      </c>
    </row>
    <row r="1343">
      <c r="A1343" s="6" t="n"/>
      <c r="B1343" s="6" t="n"/>
      <c r="C1343" s="7" t="n"/>
      <c r="D1343" s="8" t="n"/>
      <c r="E1343" s="6" t="n"/>
      <c r="F1343" s="6" t="n"/>
      <c r="G1343" s="6" t="n"/>
      <c r="H1343" s="6" t="n"/>
      <c r="I1343" s="12">
        <f>IF($B1343="","",IF(COUNTIF(Ventes_Factures!$A$6:$A$3005,$B1343)&gt;0,"OK","INCONNUE"))</f>
        <v/>
      </c>
      <c r="J1343" s="9">
        <f>IF($D1343="","",ROUND($D1343,2))</f>
        <v/>
      </c>
    </row>
    <row r="1344">
      <c r="A1344" s="6" t="n"/>
      <c r="B1344" s="6" t="n"/>
      <c r="C1344" s="7" t="n"/>
      <c r="D1344" s="8" t="n"/>
      <c r="E1344" s="6" t="n"/>
      <c r="F1344" s="6" t="n"/>
      <c r="G1344" s="6" t="n"/>
      <c r="H1344" s="6" t="n"/>
      <c r="I1344" s="12">
        <f>IF($B1344="","",IF(COUNTIF(Ventes_Factures!$A$6:$A$3005,$B1344)&gt;0,"OK","INCONNUE"))</f>
        <v/>
      </c>
      <c r="J1344" s="9">
        <f>IF($D1344="","",ROUND($D1344,2))</f>
        <v/>
      </c>
    </row>
    <row r="1345">
      <c r="A1345" s="6" t="n"/>
      <c r="B1345" s="6" t="n"/>
      <c r="C1345" s="7" t="n"/>
      <c r="D1345" s="8" t="n"/>
      <c r="E1345" s="6" t="n"/>
      <c r="F1345" s="6" t="n"/>
      <c r="G1345" s="6" t="n"/>
      <c r="H1345" s="6" t="n"/>
      <c r="I1345" s="12">
        <f>IF($B1345="","",IF(COUNTIF(Ventes_Factures!$A$6:$A$3005,$B1345)&gt;0,"OK","INCONNUE"))</f>
        <v/>
      </c>
      <c r="J1345" s="9">
        <f>IF($D1345="","",ROUND($D1345,2))</f>
        <v/>
      </c>
    </row>
    <row r="1346">
      <c r="A1346" s="6" t="n"/>
      <c r="B1346" s="6" t="n"/>
      <c r="C1346" s="7" t="n"/>
      <c r="D1346" s="8" t="n"/>
      <c r="E1346" s="6" t="n"/>
      <c r="F1346" s="6" t="n"/>
      <c r="G1346" s="6" t="n"/>
      <c r="H1346" s="6" t="n"/>
      <c r="I1346" s="12">
        <f>IF($B1346="","",IF(COUNTIF(Ventes_Factures!$A$6:$A$3005,$B1346)&gt;0,"OK","INCONNUE"))</f>
        <v/>
      </c>
      <c r="J1346" s="9">
        <f>IF($D1346="","",ROUND($D1346,2))</f>
        <v/>
      </c>
    </row>
    <row r="1347">
      <c r="A1347" s="6" t="n"/>
      <c r="B1347" s="6" t="n"/>
      <c r="C1347" s="7" t="n"/>
      <c r="D1347" s="8" t="n"/>
      <c r="E1347" s="6" t="n"/>
      <c r="F1347" s="6" t="n"/>
      <c r="G1347" s="6" t="n"/>
      <c r="H1347" s="6" t="n"/>
      <c r="I1347" s="12">
        <f>IF($B1347="","",IF(COUNTIF(Ventes_Factures!$A$6:$A$3005,$B1347)&gt;0,"OK","INCONNUE"))</f>
        <v/>
      </c>
      <c r="J1347" s="9">
        <f>IF($D1347="","",ROUND($D1347,2))</f>
        <v/>
      </c>
    </row>
    <row r="1348">
      <c r="A1348" s="6" t="n"/>
      <c r="B1348" s="6" t="n"/>
      <c r="C1348" s="7" t="n"/>
      <c r="D1348" s="8" t="n"/>
      <c r="E1348" s="6" t="n"/>
      <c r="F1348" s="6" t="n"/>
      <c r="G1348" s="6" t="n"/>
      <c r="H1348" s="6" t="n"/>
      <c r="I1348" s="12">
        <f>IF($B1348="","",IF(COUNTIF(Ventes_Factures!$A$6:$A$3005,$B1348)&gt;0,"OK","INCONNUE"))</f>
        <v/>
      </c>
      <c r="J1348" s="9">
        <f>IF($D1348="","",ROUND($D1348,2))</f>
        <v/>
      </c>
    </row>
    <row r="1349">
      <c r="A1349" s="6" t="n"/>
      <c r="B1349" s="6" t="n"/>
      <c r="C1349" s="7" t="n"/>
      <c r="D1349" s="8" t="n"/>
      <c r="E1349" s="6" t="n"/>
      <c r="F1349" s="6" t="n"/>
      <c r="G1349" s="6" t="n"/>
      <c r="H1349" s="6" t="n"/>
      <c r="I1349" s="12">
        <f>IF($B1349="","",IF(COUNTIF(Ventes_Factures!$A$6:$A$3005,$B1349)&gt;0,"OK","INCONNUE"))</f>
        <v/>
      </c>
      <c r="J1349" s="9">
        <f>IF($D1349="","",ROUND($D1349,2))</f>
        <v/>
      </c>
    </row>
    <row r="1350">
      <c r="A1350" s="6" t="n"/>
      <c r="B1350" s="6" t="n"/>
      <c r="C1350" s="7" t="n"/>
      <c r="D1350" s="8" t="n"/>
      <c r="E1350" s="6" t="n"/>
      <c r="F1350" s="6" t="n"/>
      <c r="G1350" s="6" t="n"/>
      <c r="H1350" s="6" t="n"/>
      <c r="I1350" s="12">
        <f>IF($B1350="","",IF(COUNTIF(Ventes_Factures!$A$6:$A$3005,$B1350)&gt;0,"OK","INCONNUE"))</f>
        <v/>
      </c>
      <c r="J1350" s="9">
        <f>IF($D1350="","",ROUND($D1350,2))</f>
        <v/>
      </c>
    </row>
    <row r="1351">
      <c r="A1351" s="6" t="n"/>
      <c r="B1351" s="6" t="n"/>
      <c r="C1351" s="7" t="n"/>
      <c r="D1351" s="8" t="n"/>
      <c r="E1351" s="6" t="n"/>
      <c r="F1351" s="6" t="n"/>
      <c r="G1351" s="6" t="n"/>
      <c r="H1351" s="6" t="n"/>
      <c r="I1351" s="12">
        <f>IF($B1351="","",IF(COUNTIF(Ventes_Factures!$A$6:$A$3005,$B1351)&gt;0,"OK","INCONNUE"))</f>
        <v/>
      </c>
      <c r="J1351" s="9">
        <f>IF($D1351="","",ROUND($D1351,2))</f>
        <v/>
      </c>
    </row>
    <row r="1352">
      <c r="A1352" s="6" t="n"/>
      <c r="B1352" s="6" t="n"/>
      <c r="C1352" s="7" t="n"/>
      <c r="D1352" s="8" t="n"/>
      <c r="E1352" s="6" t="n"/>
      <c r="F1352" s="6" t="n"/>
      <c r="G1352" s="6" t="n"/>
      <c r="H1352" s="6" t="n"/>
      <c r="I1352" s="12">
        <f>IF($B1352="","",IF(COUNTIF(Ventes_Factures!$A$6:$A$3005,$B1352)&gt;0,"OK","INCONNUE"))</f>
        <v/>
      </c>
      <c r="J1352" s="9">
        <f>IF($D1352="","",ROUND($D1352,2))</f>
        <v/>
      </c>
    </row>
    <row r="1353">
      <c r="A1353" s="6" t="n"/>
      <c r="B1353" s="6" t="n"/>
      <c r="C1353" s="7" t="n"/>
      <c r="D1353" s="8" t="n"/>
      <c r="E1353" s="6" t="n"/>
      <c r="F1353" s="6" t="n"/>
      <c r="G1353" s="6" t="n"/>
      <c r="H1353" s="6" t="n"/>
      <c r="I1353" s="12">
        <f>IF($B1353="","",IF(COUNTIF(Ventes_Factures!$A$6:$A$3005,$B1353)&gt;0,"OK","INCONNUE"))</f>
        <v/>
      </c>
      <c r="J1353" s="9">
        <f>IF($D1353="","",ROUND($D1353,2))</f>
        <v/>
      </c>
    </row>
    <row r="1354">
      <c r="A1354" s="6" t="n"/>
      <c r="B1354" s="6" t="n"/>
      <c r="C1354" s="7" t="n"/>
      <c r="D1354" s="8" t="n"/>
      <c r="E1354" s="6" t="n"/>
      <c r="F1354" s="6" t="n"/>
      <c r="G1354" s="6" t="n"/>
      <c r="H1354" s="6" t="n"/>
      <c r="I1354" s="12">
        <f>IF($B1354="","",IF(COUNTIF(Ventes_Factures!$A$6:$A$3005,$B1354)&gt;0,"OK","INCONNUE"))</f>
        <v/>
      </c>
      <c r="J1354" s="9">
        <f>IF($D1354="","",ROUND($D1354,2))</f>
        <v/>
      </c>
    </row>
    <row r="1355">
      <c r="A1355" s="6" t="n"/>
      <c r="B1355" s="6" t="n"/>
      <c r="C1355" s="7" t="n"/>
      <c r="D1355" s="8" t="n"/>
      <c r="E1355" s="6" t="n"/>
      <c r="F1355" s="6" t="n"/>
      <c r="G1355" s="6" t="n"/>
      <c r="H1355" s="6" t="n"/>
      <c r="I1355" s="12">
        <f>IF($B1355="","",IF(COUNTIF(Ventes_Factures!$A$6:$A$3005,$B1355)&gt;0,"OK","INCONNUE"))</f>
        <v/>
      </c>
      <c r="J1355" s="9">
        <f>IF($D1355="","",ROUND($D1355,2))</f>
        <v/>
      </c>
    </row>
    <row r="1356">
      <c r="A1356" s="6" t="n"/>
      <c r="B1356" s="6" t="n"/>
      <c r="C1356" s="7" t="n"/>
      <c r="D1356" s="8" t="n"/>
      <c r="E1356" s="6" t="n"/>
      <c r="F1356" s="6" t="n"/>
      <c r="G1356" s="6" t="n"/>
      <c r="H1356" s="6" t="n"/>
      <c r="I1356" s="12">
        <f>IF($B1356="","",IF(COUNTIF(Ventes_Factures!$A$6:$A$3005,$B1356)&gt;0,"OK","INCONNUE"))</f>
        <v/>
      </c>
      <c r="J1356" s="9">
        <f>IF($D1356="","",ROUND($D1356,2))</f>
        <v/>
      </c>
    </row>
    <row r="1357">
      <c r="A1357" s="6" t="n"/>
      <c r="B1357" s="6" t="n"/>
      <c r="C1357" s="7" t="n"/>
      <c r="D1357" s="8" t="n"/>
      <c r="E1357" s="6" t="n"/>
      <c r="F1357" s="6" t="n"/>
      <c r="G1357" s="6" t="n"/>
      <c r="H1357" s="6" t="n"/>
      <c r="I1357" s="12">
        <f>IF($B1357="","",IF(COUNTIF(Ventes_Factures!$A$6:$A$3005,$B1357)&gt;0,"OK","INCONNUE"))</f>
        <v/>
      </c>
      <c r="J1357" s="9">
        <f>IF($D1357="","",ROUND($D1357,2))</f>
        <v/>
      </c>
    </row>
    <row r="1358">
      <c r="A1358" s="6" t="n"/>
      <c r="B1358" s="6" t="n"/>
      <c r="C1358" s="7" t="n"/>
      <c r="D1358" s="8" t="n"/>
      <c r="E1358" s="6" t="n"/>
      <c r="F1358" s="6" t="n"/>
      <c r="G1358" s="6" t="n"/>
      <c r="H1358" s="6" t="n"/>
      <c r="I1358" s="12">
        <f>IF($B1358="","",IF(COUNTIF(Ventes_Factures!$A$6:$A$3005,$B1358)&gt;0,"OK","INCONNUE"))</f>
        <v/>
      </c>
      <c r="J1358" s="9">
        <f>IF($D1358="","",ROUND($D1358,2))</f>
        <v/>
      </c>
    </row>
    <row r="1359">
      <c r="A1359" s="6" t="n"/>
      <c r="B1359" s="6" t="n"/>
      <c r="C1359" s="7" t="n"/>
      <c r="D1359" s="8" t="n"/>
      <c r="E1359" s="6" t="n"/>
      <c r="F1359" s="6" t="n"/>
      <c r="G1359" s="6" t="n"/>
      <c r="H1359" s="6" t="n"/>
      <c r="I1359" s="12">
        <f>IF($B1359="","",IF(COUNTIF(Ventes_Factures!$A$6:$A$3005,$B1359)&gt;0,"OK","INCONNUE"))</f>
        <v/>
      </c>
      <c r="J1359" s="9">
        <f>IF($D1359="","",ROUND($D1359,2))</f>
        <v/>
      </c>
    </row>
    <row r="1360">
      <c r="A1360" s="6" t="n"/>
      <c r="B1360" s="6" t="n"/>
      <c r="C1360" s="7" t="n"/>
      <c r="D1360" s="8" t="n"/>
      <c r="E1360" s="6" t="n"/>
      <c r="F1360" s="6" t="n"/>
      <c r="G1360" s="6" t="n"/>
      <c r="H1360" s="6" t="n"/>
      <c r="I1360" s="12">
        <f>IF($B1360="","",IF(COUNTIF(Ventes_Factures!$A$6:$A$3005,$B1360)&gt;0,"OK","INCONNUE"))</f>
        <v/>
      </c>
      <c r="J1360" s="9">
        <f>IF($D1360="","",ROUND($D1360,2))</f>
        <v/>
      </c>
    </row>
    <row r="1361">
      <c r="A1361" s="6" t="n"/>
      <c r="B1361" s="6" t="n"/>
      <c r="C1361" s="7" t="n"/>
      <c r="D1361" s="8" t="n"/>
      <c r="E1361" s="6" t="n"/>
      <c r="F1361" s="6" t="n"/>
      <c r="G1361" s="6" t="n"/>
      <c r="H1361" s="6" t="n"/>
      <c r="I1361" s="12">
        <f>IF($B1361="","",IF(COUNTIF(Ventes_Factures!$A$6:$A$3005,$B1361)&gt;0,"OK","INCONNUE"))</f>
        <v/>
      </c>
      <c r="J1361" s="9">
        <f>IF($D1361="","",ROUND($D1361,2))</f>
        <v/>
      </c>
    </row>
    <row r="1362">
      <c r="A1362" s="6" t="n"/>
      <c r="B1362" s="6" t="n"/>
      <c r="C1362" s="7" t="n"/>
      <c r="D1362" s="8" t="n"/>
      <c r="E1362" s="6" t="n"/>
      <c r="F1362" s="6" t="n"/>
      <c r="G1362" s="6" t="n"/>
      <c r="H1362" s="6" t="n"/>
      <c r="I1362" s="12">
        <f>IF($B1362="","",IF(COUNTIF(Ventes_Factures!$A$6:$A$3005,$B1362)&gt;0,"OK","INCONNUE"))</f>
        <v/>
      </c>
      <c r="J1362" s="9">
        <f>IF($D1362="","",ROUND($D1362,2))</f>
        <v/>
      </c>
    </row>
    <row r="1363">
      <c r="A1363" s="6" t="n"/>
      <c r="B1363" s="6" t="n"/>
      <c r="C1363" s="7" t="n"/>
      <c r="D1363" s="8" t="n"/>
      <c r="E1363" s="6" t="n"/>
      <c r="F1363" s="6" t="n"/>
      <c r="G1363" s="6" t="n"/>
      <c r="H1363" s="6" t="n"/>
      <c r="I1363" s="12">
        <f>IF($B1363="","",IF(COUNTIF(Ventes_Factures!$A$6:$A$3005,$B1363)&gt;0,"OK","INCONNUE"))</f>
        <v/>
      </c>
      <c r="J1363" s="9">
        <f>IF($D1363="","",ROUND($D1363,2))</f>
        <v/>
      </c>
    </row>
    <row r="1364">
      <c r="A1364" s="6" t="n"/>
      <c r="B1364" s="6" t="n"/>
      <c r="C1364" s="7" t="n"/>
      <c r="D1364" s="8" t="n"/>
      <c r="E1364" s="6" t="n"/>
      <c r="F1364" s="6" t="n"/>
      <c r="G1364" s="6" t="n"/>
      <c r="H1364" s="6" t="n"/>
      <c r="I1364" s="12">
        <f>IF($B1364="","",IF(COUNTIF(Ventes_Factures!$A$6:$A$3005,$B1364)&gt;0,"OK","INCONNUE"))</f>
        <v/>
      </c>
      <c r="J1364" s="9">
        <f>IF($D1364="","",ROUND($D1364,2))</f>
        <v/>
      </c>
    </row>
    <row r="1365">
      <c r="A1365" s="6" t="n"/>
      <c r="B1365" s="6" t="n"/>
      <c r="C1365" s="7" t="n"/>
      <c r="D1365" s="8" t="n"/>
      <c r="E1365" s="6" t="n"/>
      <c r="F1365" s="6" t="n"/>
      <c r="G1365" s="6" t="n"/>
      <c r="H1365" s="6" t="n"/>
      <c r="I1365" s="12">
        <f>IF($B1365="","",IF(COUNTIF(Ventes_Factures!$A$6:$A$3005,$B1365)&gt;0,"OK","INCONNUE"))</f>
        <v/>
      </c>
      <c r="J1365" s="9">
        <f>IF($D1365="","",ROUND($D1365,2))</f>
        <v/>
      </c>
    </row>
    <row r="1366">
      <c r="A1366" s="6" t="n"/>
      <c r="B1366" s="6" t="n"/>
      <c r="C1366" s="7" t="n"/>
      <c r="D1366" s="8" t="n"/>
      <c r="E1366" s="6" t="n"/>
      <c r="F1366" s="6" t="n"/>
      <c r="G1366" s="6" t="n"/>
      <c r="H1366" s="6" t="n"/>
      <c r="I1366" s="12">
        <f>IF($B1366="","",IF(COUNTIF(Ventes_Factures!$A$6:$A$3005,$B1366)&gt;0,"OK","INCONNUE"))</f>
        <v/>
      </c>
      <c r="J1366" s="9">
        <f>IF($D1366="","",ROUND($D1366,2))</f>
        <v/>
      </c>
    </row>
    <row r="1367">
      <c r="A1367" s="6" t="n"/>
      <c r="B1367" s="6" t="n"/>
      <c r="C1367" s="7" t="n"/>
      <c r="D1367" s="8" t="n"/>
      <c r="E1367" s="6" t="n"/>
      <c r="F1367" s="6" t="n"/>
      <c r="G1367" s="6" t="n"/>
      <c r="H1367" s="6" t="n"/>
      <c r="I1367" s="12">
        <f>IF($B1367="","",IF(COUNTIF(Ventes_Factures!$A$6:$A$3005,$B1367)&gt;0,"OK","INCONNUE"))</f>
        <v/>
      </c>
      <c r="J1367" s="9">
        <f>IF($D1367="","",ROUND($D1367,2))</f>
        <v/>
      </c>
    </row>
    <row r="1368">
      <c r="A1368" s="6" t="n"/>
      <c r="B1368" s="6" t="n"/>
      <c r="C1368" s="7" t="n"/>
      <c r="D1368" s="8" t="n"/>
      <c r="E1368" s="6" t="n"/>
      <c r="F1368" s="6" t="n"/>
      <c r="G1368" s="6" t="n"/>
      <c r="H1368" s="6" t="n"/>
      <c r="I1368" s="12">
        <f>IF($B1368="","",IF(COUNTIF(Ventes_Factures!$A$6:$A$3005,$B1368)&gt;0,"OK","INCONNUE"))</f>
        <v/>
      </c>
      <c r="J1368" s="9">
        <f>IF($D1368="","",ROUND($D1368,2))</f>
        <v/>
      </c>
    </row>
    <row r="1369">
      <c r="A1369" s="6" t="n"/>
      <c r="B1369" s="6" t="n"/>
      <c r="C1369" s="7" t="n"/>
      <c r="D1369" s="8" t="n"/>
      <c r="E1369" s="6" t="n"/>
      <c r="F1369" s="6" t="n"/>
      <c r="G1369" s="6" t="n"/>
      <c r="H1369" s="6" t="n"/>
      <c r="I1369" s="12">
        <f>IF($B1369="","",IF(COUNTIF(Ventes_Factures!$A$6:$A$3005,$B1369)&gt;0,"OK","INCONNUE"))</f>
        <v/>
      </c>
      <c r="J1369" s="9">
        <f>IF($D1369="","",ROUND($D1369,2))</f>
        <v/>
      </c>
    </row>
    <row r="1370">
      <c r="A1370" s="6" t="n"/>
      <c r="B1370" s="6" t="n"/>
      <c r="C1370" s="7" t="n"/>
      <c r="D1370" s="8" t="n"/>
      <c r="E1370" s="6" t="n"/>
      <c r="F1370" s="6" t="n"/>
      <c r="G1370" s="6" t="n"/>
      <c r="H1370" s="6" t="n"/>
      <c r="I1370" s="12">
        <f>IF($B1370="","",IF(COUNTIF(Ventes_Factures!$A$6:$A$3005,$B1370)&gt;0,"OK","INCONNUE"))</f>
        <v/>
      </c>
      <c r="J1370" s="9">
        <f>IF($D1370="","",ROUND($D1370,2))</f>
        <v/>
      </c>
    </row>
    <row r="1371">
      <c r="A1371" s="6" t="n"/>
      <c r="B1371" s="6" t="n"/>
      <c r="C1371" s="7" t="n"/>
      <c r="D1371" s="8" t="n"/>
      <c r="E1371" s="6" t="n"/>
      <c r="F1371" s="6" t="n"/>
      <c r="G1371" s="6" t="n"/>
      <c r="H1371" s="6" t="n"/>
      <c r="I1371" s="12">
        <f>IF($B1371="","",IF(COUNTIF(Ventes_Factures!$A$6:$A$3005,$B1371)&gt;0,"OK","INCONNUE"))</f>
        <v/>
      </c>
      <c r="J1371" s="9">
        <f>IF($D1371="","",ROUND($D1371,2))</f>
        <v/>
      </c>
    </row>
    <row r="1372">
      <c r="A1372" s="6" t="n"/>
      <c r="B1372" s="6" t="n"/>
      <c r="C1372" s="7" t="n"/>
      <c r="D1372" s="8" t="n"/>
      <c r="E1372" s="6" t="n"/>
      <c r="F1372" s="6" t="n"/>
      <c r="G1372" s="6" t="n"/>
      <c r="H1372" s="6" t="n"/>
      <c r="I1372" s="12">
        <f>IF($B1372="","",IF(COUNTIF(Ventes_Factures!$A$6:$A$3005,$B1372)&gt;0,"OK","INCONNUE"))</f>
        <v/>
      </c>
      <c r="J1372" s="9">
        <f>IF($D1372="","",ROUND($D1372,2))</f>
        <v/>
      </c>
    </row>
    <row r="1373">
      <c r="A1373" s="6" t="n"/>
      <c r="B1373" s="6" t="n"/>
      <c r="C1373" s="7" t="n"/>
      <c r="D1373" s="8" t="n"/>
      <c r="E1373" s="6" t="n"/>
      <c r="F1373" s="6" t="n"/>
      <c r="G1373" s="6" t="n"/>
      <c r="H1373" s="6" t="n"/>
      <c r="I1373" s="12">
        <f>IF($B1373="","",IF(COUNTIF(Ventes_Factures!$A$6:$A$3005,$B1373)&gt;0,"OK","INCONNUE"))</f>
        <v/>
      </c>
      <c r="J1373" s="9">
        <f>IF($D1373="","",ROUND($D1373,2))</f>
        <v/>
      </c>
    </row>
    <row r="1374">
      <c r="A1374" s="6" t="n"/>
      <c r="B1374" s="6" t="n"/>
      <c r="C1374" s="7" t="n"/>
      <c r="D1374" s="8" t="n"/>
      <c r="E1374" s="6" t="n"/>
      <c r="F1374" s="6" t="n"/>
      <c r="G1374" s="6" t="n"/>
      <c r="H1374" s="6" t="n"/>
      <c r="I1374" s="12">
        <f>IF($B1374="","",IF(COUNTIF(Ventes_Factures!$A$6:$A$3005,$B1374)&gt;0,"OK","INCONNUE"))</f>
        <v/>
      </c>
      <c r="J1374" s="9">
        <f>IF($D1374="","",ROUND($D1374,2))</f>
        <v/>
      </c>
    </row>
    <row r="1375">
      <c r="A1375" s="6" t="n"/>
      <c r="B1375" s="6" t="n"/>
      <c r="C1375" s="7" t="n"/>
      <c r="D1375" s="8" t="n"/>
      <c r="E1375" s="6" t="n"/>
      <c r="F1375" s="6" t="n"/>
      <c r="G1375" s="6" t="n"/>
      <c r="H1375" s="6" t="n"/>
      <c r="I1375" s="12">
        <f>IF($B1375="","",IF(COUNTIF(Ventes_Factures!$A$6:$A$3005,$B1375)&gt;0,"OK","INCONNUE"))</f>
        <v/>
      </c>
      <c r="J1375" s="9">
        <f>IF($D1375="","",ROUND($D1375,2))</f>
        <v/>
      </c>
    </row>
    <row r="1376">
      <c r="A1376" s="6" t="n"/>
      <c r="B1376" s="6" t="n"/>
      <c r="C1376" s="7" t="n"/>
      <c r="D1376" s="8" t="n"/>
      <c r="E1376" s="6" t="n"/>
      <c r="F1376" s="6" t="n"/>
      <c r="G1376" s="6" t="n"/>
      <c r="H1376" s="6" t="n"/>
      <c r="I1376" s="12">
        <f>IF($B1376="","",IF(COUNTIF(Ventes_Factures!$A$6:$A$3005,$B1376)&gt;0,"OK","INCONNUE"))</f>
        <v/>
      </c>
      <c r="J1376" s="9">
        <f>IF($D1376="","",ROUND($D1376,2))</f>
        <v/>
      </c>
    </row>
    <row r="1377">
      <c r="A1377" s="6" t="n"/>
      <c r="B1377" s="6" t="n"/>
      <c r="C1377" s="7" t="n"/>
      <c r="D1377" s="8" t="n"/>
      <c r="E1377" s="6" t="n"/>
      <c r="F1377" s="6" t="n"/>
      <c r="G1377" s="6" t="n"/>
      <c r="H1377" s="6" t="n"/>
      <c r="I1377" s="12">
        <f>IF($B1377="","",IF(COUNTIF(Ventes_Factures!$A$6:$A$3005,$B1377)&gt;0,"OK","INCONNUE"))</f>
        <v/>
      </c>
      <c r="J1377" s="9">
        <f>IF($D1377="","",ROUND($D1377,2))</f>
        <v/>
      </c>
    </row>
    <row r="1378">
      <c r="A1378" s="6" t="n"/>
      <c r="B1378" s="6" t="n"/>
      <c r="C1378" s="7" t="n"/>
      <c r="D1378" s="8" t="n"/>
      <c r="E1378" s="6" t="n"/>
      <c r="F1378" s="6" t="n"/>
      <c r="G1378" s="6" t="n"/>
      <c r="H1378" s="6" t="n"/>
      <c r="I1378" s="12">
        <f>IF($B1378="","",IF(COUNTIF(Ventes_Factures!$A$6:$A$3005,$B1378)&gt;0,"OK","INCONNUE"))</f>
        <v/>
      </c>
      <c r="J1378" s="9">
        <f>IF($D1378="","",ROUND($D1378,2))</f>
        <v/>
      </c>
    </row>
    <row r="1379">
      <c r="A1379" s="6" t="n"/>
      <c r="B1379" s="6" t="n"/>
      <c r="C1379" s="7" t="n"/>
      <c r="D1379" s="8" t="n"/>
      <c r="E1379" s="6" t="n"/>
      <c r="F1379" s="6" t="n"/>
      <c r="G1379" s="6" t="n"/>
      <c r="H1379" s="6" t="n"/>
      <c r="I1379" s="12">
        <f>IF($B1379="","",IF(COUNTIF(Ventes_Factures!$A$6:$A$3005,$B1379)&gt;0,"OK","INCONNUE"))</f>
        <v/>
      </c>
      <c r="J1379" s="9">
        <f>IF($D1379="","",ROUND($D1379,2))</f>
        <v/>
      </c>
    </row>
    <row r="1380">
      <c r="A1380" s="6" t="n"/>
      <c r="B1380" s="6" t="n"/>
      <c r="C1380" s="7" t="n"/>
      <c r="D1380" s="8" t="n"/>
      <c r="E1380" s="6" t="n"/>
      <c r="F1380" s="6" t="n"/>
      <c r="G1380" s="6" t="n"/>
      <c r="H1380" s="6" t="n"/>
      <c r="I1380" s="12">
        <f>IF($B1380="","",IF(COUNTIF(Ventes_Factures!$A$6:$A$3005,$B1380)&gt;0,"OK","INCONNUE"))</f>
        <v/>
      </c>
      <c r="J1380" s="9">
        <f>IF($D1380="","",ROUND($D1380,2))</f>
        <v/>
      </c>
    </row>
    <row r="1381">
      <c r="A1381" s="6" t="n"/>
      <c r="B1381" s="6" t="n"/>
      <c r="C1381" s="7" t="n"/>
      <c r="D1381" s="8" t="n"/>
      <c r="E1381" s="6" t="n"/>
      <c r="F1381" s="6" t="n"/>
      <c r="G1381" s="6" t="n"/>
      <c r="H1381" s="6" t="n"/>
      <c r="I1381" s="12">
        <f>IF($B1381="","",IF(COUNTIF(Ventes_Factures!$A$6:$A$3005,$B1381)&gt;0,"OK","INCONNUE"))</f>
        <v/>
      </c>
      <c r="J1381" s="9">
        <f>IF($D1381="","",ROUND($D1381,2))</f>
        <v/>
      </c>
    </row>
    <row r="1382">
      <c r="A1382" s="6" t="n"/>
      <c r="B1382" s="6" t="n"/>
      <c r="C1382" s="7" t="n"/>
      <c r="D1382" s="8" t="n"/>
      <c r="E1382" s="6" t="n"/>
      <c r="F1382" s="6" t="n"/>
      <c r="G1382" s="6" t="n"/>
      <c r="H1382" s="6" t="n"/>
      <c r="I1382" s="12">
        <f>IF($B1382="","",IF(COUNTIF(Ventes_Factures!$A$6:$A$3005,$B1382)&gt;0,"OK","INCONNUE"))</f>
        <v/>
      </c>
      <c r="J1382" s="9">
        <f>IF($D1382="","",ROUND($D1382,2))</f>
        <v/>
      </c>
    </row>
    <row r="1383">
      <c r="A1383" s="6" t="n"/>
      <c r="B1383" s="6" t="n"/>
      <c r="C1383" s="7" t="n"/>
      <c r="D1383" s="8" t="n"/>
      <c r="E1383" s="6" t="n"/>
      <c r="F1383" s="6" t="n"/>
      <c r="G1383" s="6" t="n"/>
      <c r="H1383" s="6" t="n"/>
      <c r="I1383" s="12">
        <f>IF($B1383="","",IF(COUNTIF(Ventes_Factures!$A$6:$A$3005,$B1383)&gt;0,"OK","INCONNUE"))</f>
        <v/>
      </c>
      <c r="J1383" s="9">
        <f>IF($D1383="","",ROUND($D1383,2))</f>
        <v/>
      </c>
    </row>
    <row r="1384">
      <c r="A1384" s="6" t="n"/>
      <c r="B1384" s="6" t="n"/>
      <c r="C1384" s="7" t="n"/>
      <c r="D1384" s="8" t="n"/>
      <c r="E1384" s="6" t="n"/>
      <c r="F1384" s="6" t="n"/>
      <c r="G1384" s="6" t="n"/>
      <c r="H1384" s="6" t="n"/>
      <c r="I1384" s="12">
        <f>IF($B1384="","",IF(COUNTIF(Ventes_Factures!$A$6:$A$3005,$B1384)&gt;0,"OK","INCONNUE"))</f>
        <v/>
      </c>
      <c r="J1384" s="9">
        <f>IF($D1384="","",ROUND($D1384,2))</f>
        <v/>
      </c>
    </row>
    <row r="1385">
      <c r="A1385" s="6" t="n"/>
      <c r="B1385" s="6" t="n"/>
      <c r="C1385" s="7" t="n"/>
      <c r="D1385" s="8" t="n"/>
      <c r="E1385" s="6" t="n"/>
      <c r="F1385" s="6" t="n"/>
      <c r="G1385" s="6" t="n"/>
      <c r="H1385" s="6" t="n"/>
      <c r="I1385" s="12">
        <f>IF($B1385="","",IF(COUNTIF(Ventes_Factures!$A$6:$A$3005,$B1385)&gt;0,"OK","INCONNUE"))</f>
        <v/>
      </c>
      <c r="J1385" s="9">
        <f>IF($D1385="","",ROUND($D1385,2))</f>
        <v/>
      </c>
    </row>
    <row r="1386">
      <c r="A1386" s="6" t="n"/>
      <c r="B1386" s="6" t="n"/>
      <c r="C1386" s="7" t="n"/>
      <c r="D1386" s="8" t="n"/>
      <c r="E1386" s="6" t="n"/>
      <c r="F1386" s="6" t="n"/>
      <c r="G1386" s="6" t="n"/>
      <c r="H1386" s="6" t="n"/>
      <c r="I1386" s="12">
        <f>IF($B1386="","",IF(COUNTIF(Ventes_Factures!$A$6:$A$3005,$B1386)&gt;0,"OK","INCONNUE"))</f>
        <v/>
      </c>
      <c r="J1386" s="9">
        <f>IF($D1386="","",ROUND($D1386,2))</f>
        <v/>
      </c>
    </row>
    <row r="1387">
      <c r="A1387" s="6" t="n"/>
      <c r="B1387" s="6" t="n"/>
      <c r="C1387" s="7" t="n"/>
      <c r="D1387" s="8" t="n"/>
      <c r="E1387" s="6" t="n"/>
      <c r="F1387" s="6" t="n"/>
      <c r="G1387" s="6" t="n"/>
      <c r="H1387" s="6" t="n"/>
      <c r="I1387" s="12">
        <f>IF($B1387="","",IF(COUNTIF(Ventes_Factures!$A$6:$A$3005,$B1387)&gt;0,"OK","INCONNUE"))</f>
        <v/>
      </c>
      <c r="J1387" s="9">
        <f>IF($D1387="","",ROUND($D1387,2))</f>
        <v/>
      </c>
    </row>
    <row r="1388">
      <c r="A1388" s="6" t="n"/>
      <c r="B1388" s="6" t="n"/>
      <c r="C1388" s="7" t="n"/>
      <c r="D1388" s="8" t="n"/>
      <c r="E1388" s="6" t="n"/>
      <c r="F1388" s="6" t="n"/>
      <c r="G1388" s="6" t="n"/>
      <c r="H1388" s="6" t="n"/>
      <c r="I1388" s="12">
        <f>IF($B1388="","",IF(COUNTIF(Ventes_Factures!$A$6:$A$3005,$B1388)&gt;0,"OK","INCONNUE"))</f>
        <v/>
      </c>
      <c r="J1388" s="9">
        <f>IF($D1388="","",ROUND($D1388,2))</f>
        <v/>
      </c>
    </row>
    <row r="1389">
      <c r="A1389" s="6" t="n"/>
      <c r="B1389" s="6" t="n"/>
      <c r="C1389" s="7" t="n"/>
      <c r="D1389" s="8" t="n"/>
      <c r="E1389" s="6" t="n"/>
      <c r="F1389" s="6" t="n"/>
      <c r="G1389" s="6" t="n"/>
      <c r="H1389" s="6" t="n"/>
      <c r="I1389" s="12">
        <f>IF($B1389="","",IF(COUNTIF(Ventes_Factures!$A$6:$A$3005,$B1389)&gt;0,"OK","INCONNUE"))</f>
        <v/>
      </c>
      <c r="J1389" s="9">
        <f>IF($D1389="","",ROUND($D1389,2))</f>
        <v/>
      </c>
    </row>
    <row r="1390">
      <c r="A1390" s="6" t="n"/>
      <c r="B1390" s="6" t="n"/>
      <c r="C1390" s="7" t="n"/>
      <c r="D1390" s="8" t="n"/>
      <c r="E1390" s="6" t="n"/>
      <c r="F1390" s="6" t="n"/>
      <c r="G1390" s="6" t="n"/>
      <c r="H1390" s="6" t="n"/>
      <c r="I1390" s="12">
        <f>IF($B1390="","",IF(COUNTIF(Ventes_Factures!$A$6:$A$3005,$B1390)&gt;0,"OK","INCONNUE"))</f>
        <v/>
      </c>
      <c r="J1390" s="9">
        <f>IF($D1390="","",ROUND($D1390,2))</f>
        <v/>
      </c>
    </row>
    <row r="1391">
      <c r="A1391" s="6" t="n"/>
      <c r="B1391" s="6" t="n"/>
      <c r="C1391" s="7" t="n"/>
      <c r="D1391" s="8" t="n"/>
      <c r="E1391" s="6" t="n"/>
      <c r="F1391" s="6" t="n"/>
      <c r="G1391" s="6" t="n"/>
      <c r="H1391" s="6" t="n"/>
      <c r="I1391" s="12">
        <f>IF($B1391="","",IF(COUNTIF(Ventes_Factures!$A$6:$A$3005,$B1391)&gt;0,"OK","INCONNUE"))</f>
        <v/>
      </c>
      <c r="J1391" s="9">
        <f>IF($D1391="","",ROUND($D1391,2))</f>
        <v/>
      </c>
    </row>
    <row r="1392">
      <c r="A1392" s="6" t="n"/>
      <c r="B1392" s="6" t="n"/>
      <c r="C1392" s="7" t="n"/>
      <c r="D1392" s="8" t="n"/>
      <c r="E1392" s="6" t="n"/>
      <c r="F1392" s="6" t="n"/>
      <c r="G1392" s="6" t="n"/>
      <c r="H1392" s="6" t="n"/>
      <c r="I1392" s="12">
        <f>IF($B1392="","",IF(COUNTIF(Ventes_Factures!$A$6:$A$3005,$B1392)&gt;0,"OK","INCONNUE"))</f>
        <v/>
      </c>
      <c r="J1392" s="9">
        <f>IF($D1392="","",ROUND($D1392,2))</f>
        <v/>
      </c>
    </row>
    <row r="1393">
      <c r="A1393" s="6" t="n"/>
      <c r="B1393" s="6" t="n"/>
      <c r="C1393" s="7" t="n"/>
      <c r="D1393" s="8" t="n"/>
      <c r="E1393" s="6" t="n"/>
      <c r="F1393" s="6" t="n"/>
      <c r="G1393" s="6" t="n"/>
      <c r="H1393" s="6" t="n"/>
      <c r="I1393" s="12">
        <f>IF($B1393="","",IF(COUNTIF(Ventes_Factures!$A$6:$A$3005,$B1393)&gt;0,"OK","INCONNUE"))</f>
        <v/>
      </c>
      <c r="J1393" s="9">
        <f>IF($D1393="","",ROUND($D1393,2))</f>
        <v/>
      </c>
    </row>
    <row r="1394">
      <c r="A1394" s="6" t="n"/>
      <c r="B1394" s="6" t="n"/>
      <c r="C1394" s="7" t="n"/>
      <c r="D1394" s="8" t="n"/>
      <c r="E1394" s="6" t="n"/>
      <c r="F1394" s="6" t="n"/>
      <c r="G1394" s="6" t="n"/>
      <c r="H1394" s="6" t="n"/>
      <c r="I1394" s="12">
        <f>IF($B1394="","",IF(COUNTIF(Ventes_Factures!$A$6:$A$3005,$B1394)&gt;0,"OK","INCONNUE"))</f>
        <v/>
      </c>
      <c r="J1394" s="9">
        <f>IF($D1394="","",ROUND($D1394,2))</f>
        <v/>
      </c>
    </row>
    <row r="1395">
      <c r="A1395" s="6" t="n"/>
      <c r="B1395" s="6" t="n"/>
      <c r="C1395" s="7" t="n"/>
      <c r="D1395" s="8" t="n"/>
      <c r="E1395" s="6" t="n"/>
      <c r="F1395" s="6" t="n"/>
      <c r="G1395" s="6" t="n"/>
      <c r="H1395" s="6" t="n"/>
      <c r="I1395" s="12">
        <f>IF($B1395="","",IF(COUNTIF(Ventes_Factures!$A$6:$A$3005,$B1395)&gt;0,"OK","INCONNUE"))</f>
        <v/>
      </c>
      <c r="J1395" s="9">
        <f>IF($D1395="","",ROUND($D1395,2))</f>
        <v/>
      </c>
    </row>
    <row r="1396">
      <c r="A1396" s="6" t="n"/>
      <c r="B1396" s="6" t="n"/>
      <c r="C1396" s="7" t="n"/>
      <c r="D1396" s="8" t="n"/>
      <c r="E1396" s="6" t="n"/>
      <c r="F1396" s="6" t="n"/>
      <c r="G1396" s="6" t="n"/>
      <c r="H1396" s="6" t="n"/>
      <c r="I1396" s="12">
        <f>IF($B1396="","",IF(COUNTIF(Ventes_Factures!$A$6:$A$3005,$B1396)&gt;0,"OK","INCONNUE"))</f>
        <v/>
      </c>
      <c r="J1396" s="9">
        <f>IF($D1396="","",ROUND($D1396,2))</f>
        <v/>
      </c>
    </row>
    <row r="1397">
      <c r="A1397" s="6" t="n"/>
      <c r="B1397" s="6" t="n"/>
      <c r="C1397" s="7" t="n"/>
      <c r="D1397" s="8" t="n"/>
      <c r="E1397" s="6" t="n"/>
      <c r="F1397" s="6" t="n"/>
      <c r="G1397" s="6" t="n"/>
      <c r="H1397" s="6" t="n"/>
      <c r="I1397" s="12">
        <f>IF($B1397="","",IF(COUNTIF(Ventes_Factures!$A$6:$A$3005,$B1397)&gt;0,"OK","INCONNUE"))</f>
        <v/>
      </c>
      <c r="J1397" s="9">
        <f>IF($D1397="","",ROUND($D1397,2))</f>
        <v/>
      </c>
    </row>
    <row r="1398">
      <c r="A1398" s="6" t="n"/>
      <c r="B1398" s="6" t="n"/>
      <c r="C1398" s="7" t="n"/>
      <c r="D1398" s="8" t="n"/>
      <c r="E1398" s="6" t="n"/>
      <c r="F1398" s="6" t="n"/>
      <c r="G1398" s="6" t="n"/>
      <c r="H1398" s="6" t="n"/>
      <c r="I1398" s="12">
        <f>IF($B1398="","",IF(COUNTIF(Ventes_Factures!$A$6:$A$3005,$B1398)&gt;0,"OK","INCONNUE"))</f>
        <v/>
      </c>
      <c r="J1398" s="9">
        <f>IF($D1398="","",ROUND($D1398,2))</f>
        <v/>
      </c>
    </row>
    <row r="1399">
      <c r="A1399" s="6" t="n"/>
      <c r="B1399" s="6" t="n"/>
      <c r="C1399" s="7" t="n"/>
      <c r="D1399" s="8" t="n"/>
      <c r="E1399" s="6" t="n"/>
      <c r="F1399" s="6" t="n"/>
      <c r="G1399" s="6" t="n"/>
      <c r="H1399" s="6" t="n"/>
      <c r="I1399" s="12">
        <f>IF($B1399="","",IF(COUNTIF(Ventes_Factures!$A$6:$A$3005,$B1399)&gt;0,"OK","INCONNUE"))</f>
        <v/>
      </c>
      <c r="J1399" s="9">
        <f>IF($D1399="","",ROUND($D1399,2))</f>
        <v/>
      </c>
    </row>
    <row r="1400">
      <c r="A1400" s="6" t="n"/>
      <c r="B1400" s="6" t="n"/>
      <c r="C1400" s="7" t="n"/>
      <c r="D1400" s="8" t="n"/>
      <c r="E1400" s="6" t="n"/>
      <c r="F1400" s="6" t="n"/>
      <c r="G1400" s="6" t="n"/>
      <c r="H1400" s="6" t="n"/>
      <c r="I1400" s="12">
        <f>IF($B1400="","",IF(COUNTIF(Ventes_Factures!$A$6:$A$3005,$B1400)&gt;0,"OK","INCONNUE"))</f>
        <v/>
      </c>
      <c r="J1400" s="9">
        <f>IF($D1400="","",ROUND($D1400,2))</f>
        <v/>
      </c>
    </row>
    <row r="1401">
      <c r="A1401" s="6" t="n"/>
      <c r="B1401" s="6" t="n"/>
      <c r="C1401" s="7" t="n"/>
      <c r="D1401" s="8" t="n"/>
      <c r="E1401" s="6" t="n"/>
      <c r="F1401" s="6" t="n"/>
      <c r="G1401" s="6" t="n"/>
      <c r="H1401" s="6" t="n"/>
      <c r="I1401" s="12">
        <f>IF($B1401="","",IF(COUNTIF(Ventes_Factures!$A$6:$A$3005,$B1401)&gt;0,"OK","INCONNUE"))</f>
        <v/>
      </c>
      <c r="J1401" s="9">
        <f>IF($D1401="","",ROUND($D1401,2))</f>
        <v/>
      </c>
    </row>
    <row r="1402">
      <c r="A1402" s="6" t="n"/>
      <c r="B1402" s="6" t="n"/>
      <c r="C1402" s="7" t="n"/>
      <c r="D1402" s="8" t="n"/>
      <c r="E1402" s="6" t="n"/>
      <c r="F1402" s="6" t="n"/>
      <c r="G1402" s="6" t="n"/>
      <c r="H1402" s="6" t="n"/>
      <c r="I1402" s="12">
        <f>IF($B1402="","",IF(COUNTIF(Ventes_Factures!$A$6:$A$3005,$B1402)&gt;0,"OK","INCONNUE"))</f>
        <v/>
      </c>
      <c r="J1402" s="9">
        <f>IF($D1402="","",ROUND($D1402,2))</f>
        <v/>
      </c>
    </row>
    <row r="1403">
      <c r="A1403" s="6" t="n"/>
      <c r="B1403" s="6" t="n"/>
      <c r="C1403" s="7" t="n"/>
      <c r="D1403" s="8" t="n"/>
      <c r="E1403" s="6" t="n"/>
      <c r="F1403" s="6" t="n"/>
      <c r="G1403" s="6" t="n"/>
      <c r="H1403" s="6" t="n"/>
      <c r="I1403" s="12">
        <f>IF($B1403="","",IF(COUNTIF(Ventes_Factures!$A$6:$A$3005,$B1403)&gt;0,"OK","INCONNUE"))</f>
        <v/>
      </c>
      <c r="J1403" s="9">
        <f>IF($D1403="","",ROUND($D1403,2))</f>
        <v/>
      </c>
    </row>
    <row r="1404">
      <c r="A1404" s="6" t="n"/>
      <c r="B1404" s="6" t="n"/>
      <c r="C1404" s="7" t="n"/>
      <c r="D1404" s="8" t="n"/>
      <c r="E1404" s="6" t="n"/>
      <c r="F1404" s="6" t="n"/>
      <c r="G1404" s="6" t="n"/>
      <c r="H1404" s="6" t="n"/>
      <c r="I1404" s="12">
        <f>IF($B1404="","",IF(COUNTIF(Ventes_Factures!$A$6:$A$3005,$B1404)&gt;0,"OK","INCONNUE"))</f>
        <v/>
      </c>
      <c r="J1404" s="9">
        <f>IF($D1404="","",ROUND($D1404,2))</f>
        <v/>
      </c>
    </row>
    <row r="1405">
      <c r="A1405" s="6" t="n"/>
      <c r="B1405" s="6" t="n"/>
      <c r="C1405" s="7" t="n"/>
      <c r="D1405" s="8" t="n"/>
      <c r="E1405" s="6" t="n"/>
      <c r="F1405" s="6" t="n"/>
      <c r="G1405" s="6" t="n"/>
      <c r="H1405" s="6" t="n"/>
      <c r="I1405" s="12">
        <f>IF($B1405="","",IF(COUNTIF(Ventes_Factures!$A$6:$A$3005,$B1405)&gt;0,"OK","INCONNUE"))</f>
        <v/>
      </c>
      <c r="J1405" s="9">
        <f>IF($D1405="","",ROUND($D1405,2))</f>
        <v/>
      </c>
    </row>
    <row r="1406">
      <c r="A1406" s="6" t="n"/>
      <c r="B1406" s="6" t="n"/>
      <c r="C1406" s="7" t="n"/>
      <c r="D1406" s="8" t="n"/>
      <c r="E1406" s="6" t="n"/>
      <c r="F1406" s="6" t="n"/>
      <c r="G1406" s="6" t="n"/>
      <c r="H1406" s="6" t="n"/>
      <c r="I1406" s="12">
        <f>IF($B1406="","",IF(COUNTIF(Ventes_Factures!$A$6:$A$3005,$B1406)&gt;0,"OK","INCONNUE"))</f>
        <v/>
      </c>
      <c r="J1406" s="9">
        <f>IF($D1406="","",ROUND($D1406,2))</f>
        <v/>
      </c>
    </row>
    <row r="1407">
      <c r="A1407" s="6" t="n"/>
      <c r="B1407" s="6" t="n"/>
      <c r="C1407" s="7" t="n"/>
      <c r="D1407" s="8" t="n"/>
      <c r="E1407" s="6" t="n"/>
      <c r="F1407" s="6" t="n"/>
      <c r="G1407" s="6" t="n"/>
      <c r="H1407" s="6" t="n"/>
      <c r="I1407" s="12">
        <f>IF($B1407="","",IF(COUNTIF(Ventes_Factures!$A$6:$A$3005,$B1407)&gt;0,"OK","INCONNUE"))</f>
        <v/>
      </c>
      <c r="J1407" s="9">
        <f>IF($D1407="","",ROUND($D1407,2))</f>
        <v/>
      </c>
    </row>
    <row r="1408">
      <c r="A1408" s="6" t="n"/>
      <c r="B1408" s="6" t="n"/>
      <c r="C1408" s="7" t="n"/>
      <c r="D1408" s="8" t="n"/>
      <c r="E1408" s="6" t="n"/>
      <c r="F1408" s="6" t="n"/>
      <c r="G1408" s="6" t="n"/>
      <c r="H1408" s="6" t="n"/>
      <c r="I1408" s="12">
        <f>IF($B1408="","",IF(COUNTIF(Ventes_Factures!$A$6:$A$3005,$B1408)&gt;0,"OK","INCONNUE"))</f>
        <v/>
      </c>
      <c r="J1408" s="9">
        <f>IF($D1408="","",ROUND($D1408,2))</f>
        <v/>
      </c>
    </row>
    <row r="1409">
      <c r="A1409" s="6" t="n"/>
      <c r="B1409" s="6" t="n"/>
      <c r="C1409" s="7" t="n"/>
      <c r="D1409" s="8" t="n"/>
      <c r="E1409" s="6" t="n"/>
      <c r="F1409" s="6" t="n"/>
      <c r="G1409" s="6" t="n"/>
      <c r="H1409" s="6" t="n"/>
      <c r="I1409" s="12">
        <f>IF($B1409="","",IF(COUNTIF(Ventes_Factures!$A$6:$A$3005,$B1409)&gt;0,"OK","INCONNUE"))</f>
        <v/>
      </c>
      <c r="J1409" s="9">
        <f>IF($D1409="","",ROUND($D1409,2))</f>
        <v/>
      </c>
    </row>
    <row r="1410">
      <c r="A1410" s="6" t="n"/>
      <c r="B1410" s="6" t="n"/>
      <c r="C1410" s="7" t="n"/>
      <c r="D1410" s="8" t="n"/>
      <c r="E1410" s="6" t="n"/>
      <c r="F1410" s="6" t="n"/>
      <c r="G1410" s="6" t="n"/>
      <c r="H1410" s="6" t="n"/>
      <c r="I1410" s="12">
        <f>IF($B1410="","",IF(COUNTIF(Ventes_Factures!$A$6:$A$3005,$B1410)&gt;0,"OK","INCONNUE"))</f>
        <v/>
      </c>
      <c r="J1410" s="9">
        <f>IF($D1410="","",ROUND($D1410,2))</f>
        <v/>
      </c>
    </row>
    <row r="1411">
      <c r="A1411" s="6" t="n"/>
      <c r="B1411" s="6" t="n"/>
      <c r="C1411" s="7" t="n"/>
      <c r="D1411" s="8" t="n"/>
      <c r="E1411" s="6" t="n"/>
      <c r="F1411" s="6" t="n"/>
      <c r="G1411" s="6" t="n"/>
      <c r="H1411" s="6" t="n"/>
      <c r="I1411" s="12">
        <f>IF($B1411="","",IF(COUNTIF(Ventes_Factures!$A$6:$A$3005,$B1411)&gt;0,"OK","INCONNUE"))</f>
        <v/>
      </c>
      <c r="J1411" s="9">
        <f>IF($D1411="","",ROUND($D1411,2))</f>
        <v/>
      </c>
    </row>
    <row r="1412">
      <c r="A1412" s="6" t="n"/>
      <c r="B1412" s="6" t="n"/>
      <c r="C1412" s="7" t="n"/>
      <c r="D1412" s="8" t="n"/>
      <c r="E1412" s="6" t="n"/>
      <c r="F1412" s="6" t="n"/>
      <c r="G1412" s="6" t="n"/>
      <c r="H1412" s="6" t="n"/>
      <c r="I1412" s="12">
        <f>IF($B1412="","",IF(COUNTIF(Ventes_Factures!$A$6:$A$3005,$B1412)&gt;0,"OK","INCONNUE"))</f>
        <v/>
      </c>
      <c r="J1412" s="9">
        <f>IF($D1412="","",ROUND($D1412,2))</f>
        <v/>
      </c>
    </row>
    <row r="1413">
      <c r="A1413" s="6" t="n"/>
      <c r="B1413" s="6" t="n"/>
      <c r="C1413" s="7" t="n"/>
      <c r="D1413" s="8" t="n"/>
      <c r="E1413" s="6" t="n"/>
      <c r="F1413" s="6" t="n"/>
      <c r="G1413" s="6" t="n"/>
      <c r="H1413" s="6" t="n"/>
      <c r="I1413" s="12">
        <f>IF($B1413="","",IF(COUNTIF(Ventes_Factures!$A$6:$A$3005,$B1413)&gt;0,"OK","INCONNUE"))</f>
        <v/>
      </c>
      <c r="J1413" s="9">
        <f>IF($D1413="","",ROUND($D1413,2))</f>
        <v/>
      </c>
    </row>
    <row r="1414">
      <c r="A1414" s="6" t="n"/>
      <c r="B1414" s="6" t="n"/>
      <c r="C1414" s="7" t="n"/>
      <c r="D1414" s="8" t="n"/>
      <c r="E1414" s="6" t="n"/>
      <c r="F1414" s="6" t="n"/>
      <c r="G1414" s="6" t="n"/>
      <c r="H1414" s="6" t="n"/>
      <c r="I1414" s="12">
        <f>IF($B1414="","",IF(COUNTIF(Ventes_Factures!$A$6:$A$3005,$B1414)&gt;0,"OK","INCONNUE"))</f>
        <v/>
      </c>
      <c r="J1414" s="9">
        <f>IF($D1414="","",ROUND($D1414,2))</f>
        <v/>
      </c>
    </row>
    <row r="1415">
      <c r="A1415" s="6" t="n"/>
      <c r="B1415" s="6" t="n"/>
      <c r="C1415" s="7" t="n"/>
      <c r="D1415" s="8" t="n"/>
      <c r="E1415" s="6" t="n"/>
      <c r="F1415" s="6" t="n"/>
      <c r="G1415" s="6" t="n"/>
      <c r="H1415" s="6" t="n"/>
      <c r="I1415" s="12">
        <f>IF($B1415="","",IF(COUNTIF(Ventes_Factures!$A$6:$A$3005,$B1415)&gt;0,"OK","INCONNUE"))</f>
        <v/>
      </c>
      <c r="J1415" s="9">
        <f>IF($D1415="","",ROUND($D1415,2))</f>
        <v/>
      </c>
    </row>
    <row r="1416">
      <c r="A1416" s="6" t="n"/>
      <c r="B1416" s="6" t="n"/>
      <c r="C1416" s="7" t="n"/>
      <c r="D1416" s="8" t="n"/>
      <c r="E1416" s="6" t="n"/>
      <c r="F1416" s="6" t="n"/>
      <c r="G1416" s="6" t="n"/>
      <c r="H1416" s="6" t="n"/>
      <c r="I1416" s="12">
        <f>IF($B1416="","",IF(COUNTIF(Ventes_Factures!$A$6:$A$3005,$B1416)&gt;0,"OK","INCONNUE"))</f>
        <v/>
      </c>
      <c r="J1416" s="9">
        <f>IF($D1416="","",ROUND($D1416,2))</f>
        <v/>
      </c>
    </row>
    <row r="1417">
      <c r="A1417" s="6" t="n"/>
      <c r="B1417" s="6" t="n"/>
      <c r="C1417" s="7" t="n"/>
      <c r="D1417" s="8" t="n"/>
      <c r="E1417" s="6" t="n"/>
      <c r="F1417" s="6" t="n"/>
      <c r="G1417" s="6" t="n"/>
      <c r="H1417" s="6" t="n"/>
      <c r="I1417" s="12">
        <f>IF($B1417="","",IF(COUNTIF(Ventes_Factures!$A$6:$A$3005,$B1417)&gt;0,"OK","INCONNUE"))</f>
        <v/>
      </c>
      <c r="J1417" s="9">
        <f>IF($D1417="","",ROUND($D1417,2))</f>
        <v/>
      </c>
    </row>
    <row r="1418">
      <c r="A1418" s="6" t="n"/>
      <c r="B1418" s="6" t="n"/>
      <c r="C1418" s="7" t="n"/>
      <c r="D1418" s="8" t="n"/>
      <c r="E1418" s="6" t="n"/>
      <c r="F1418" s="6" t="n"/>
      <c r="G1418" s="6" t="n"/>
      <c r="H1418" s="6" t="n"/>
      <c r="I1418" s="12">
        <f>IF($B1418="","",IF(COUNTIF(Ventes_Factures!$A$6:$A$3005,$B1418)&gt;0,"OK","INCONNUE"))</f>
        <v/>
      </c>
      <c r="J1418" s="9">
        <f>IF($D1418="","",ROUND($D1418,2))</f>
        <v/>
      </c>
    </row>
    <row r="1419">
      <c r="A1419" s="6" t="n"/>
      <c r="B1419" s="6" t="n"/>
      <c r="C1419" s="7" t="n"/>
      <c r="D1419" s="8" t="n"/>
      <c r="E1419" s="6" t="n"/>
      <c r="F1419" s="6" t="n"/>
      <c r="G1419" s="6" t="n"/>
      <c r="H1419" s="6" t="n"/>
      <c r="I1419" s="12">
        <f>IF($B1419="","",IF(COUNTIF(Ventes_Factures!$A$6:$A$3005,$B1419)&gt;0,"OK","INCONNUE"))</f>
        <v/>
      </c>
      <c r="J1419" s="9">
        <f>IF($D1419="","",ROUND($D1419,2))</f>
        <v/>
      </c>
    </row>
    <row r="1420">
      <c r="A1420" s="6" t="n"/>
      <c r="B1420" s="6" t="n"/>
      <c r="C1420" s="7" t="n"/>
      <c r="D1420" s="8" t="n"/>
      <c r="E1420" s="6" t="n"/>
      <c r="F1420" s="6" t="n"/>
      <c r="G1420" s="6" t="n"/>
      <c r="H1420" s="6" t="n"/>
      <c r="I1420" s="12">
        <f>IF($B1420="","",IF(COUNTIF(Ventes_Factures!$A$6:$A$3005,$B1420)&gt;0,"OK","INCONNUE"))</f>
        <v/>
      </c>
      <c r="J1420" s="9">
        <f>IF($D1420="","",ROUND($D1420,2))</f>
        <v/>
      </c>
    </row>
    <row r="1421">
      <c r="A1421" s="6" t="n"/>
      <c r="B1421" s="6" t="n"/>
      <c r="C1421" s="7" t="n"/>
      <c r="D1421" s="8" t="n"/>
      <c r="E1421" s="6" t="n"/>
      <c r="F1421" s="6" t="n"/>
      <c r="G1421" s="6" t="n"/>
      <c r="H1421" s="6" t="n"/>
      <c r="I1421" s="12">
        <f>IF($B1421="","",IF(COUNTIF(Ventes_Factures!$A$6:$A$3005,$B1421)&gt;0,"OK","INCONNUE"))</f>
        <v/>
      </c>
      <c r="J1421" s="9">
        <f>IF($D1421="","",ROUND($D1421,2))</f>
        <v/>
      </c>
    </row>
    <row r="1422">
      <c r="A1422" s="6" t="n"/>
      <c r="B1422" s="6" t="n"/>
      <c r="C1422" s="7" t="n"/>
      <c r="D1422" s="8" t="n"/>
      <c r="E1422" s="6" t="n"/>
      <c r="F1422" s="6" t="n"/>
      <c r="G1422" s="6" t="n"/>
      <c r="H1422" s="6" t="n"/>
      <c r="I1422" s="12">
        <f>IF($B1422="","",IF(COUNTIF(Ventes_Factures!$A$6:$A$3005,$B1422)&gt;0,"OK","INCONNUE"))</f>
        <v/>
      </c>
      <c r="J1422" s="9">
        <f>IF($D1422="","",ROUND($D1422,2))</f>
        <v/>
      </c>
    </row>
    <row r="1423">
      <c r="A1423" s="6" t="n"/>
      <c r="B1423" s="6" t="n"/>
      <c r="C1423" s="7" t="n"/>
      <c r="D1423" s="8" t="n"/>
      <c r="E1423" s="6" t="n"/>
      <c r="F1423" s="6" t="n"/>
      <c r="G1423" s="6" t="n"/>
      <c r="H1423" s="6" t="n"/>
      <c r="I1423" s="12">
        <f>IF($B1423="","",IF(COUNTIF(Ventes_Factures!$A$6:$A$3005,$B1423)&gt;0,"OK","INCONNUE"))</f>
        <v/>
      </c>
      <c r="J1423" s="9">
        <f>IF($D1423="","",ROUND($D1423,2))</f>
        <v/>
      </c>
    </row>
    <row r="1424">
      <c r="A1424" s="6" t="n"/>
      <c r="B1424" s="6" t="n"/>
      <c r="C1424" s="7" t="n"/>
      <c r="D1424" s="8" t="n"/>
      <c r="E1424" s="6" t="n"/>
      <c r="F1424" s="6" t="n"/>
      <c r="G1424" s="6" t="n"/>
      <c r="H1424" s="6" t="n"/>
      <c r="I1424" s="12">
        <f>IF($B1424="","",IF(COUNTIF(Ventes_Factures!$A$6:$A$3005,$B1424)&gt;0,"OK","INCONNUE"))</f>
        <v/>
      </c>
      <c r="J1424" s="9">
        <f>IF($D1424="","",ROUND($D1424,2))</f>
        <v/>
      </c>
    </row>
    <row r="1425">
      <c r="A1425" s="6" t="n"/>
      <c r="B1425" s="6" t="n"/>
      <c r="C1425" s="7" t="n"/>
      <c r="D1425" s="8" t="n"/>
      <c r="E1425" s="6" t="n"/>
      <c r="F1425" s="6" t="n"/>
      <c r="G1425" s="6" t="n"/>
      <c r="H1425" s="6" t="n"/>
      <c r="I1425" s="12">
        <f>IF($B1425="","",IF(COUNTIF(Ventes_Factures!$A$6:$A$3005,$B1425)&gt;0,"OK","INCONNUE"))</f>
        <v/>
      </c>
      <c r="J1425" s="9">
        <f>IF($D1425="","",ROUND($D1425,2))</f>
        <v/>
      </c>
    </row>
    <row r="1426">
      <c r="A1426" s="6" t="n"/>
      <c r="B1426" s="6" t="n"/>
      <c r="C1426" s="7" t="n"/>
      <c r="D1426" s="8" t="n"/>
      <c r="E1426" s="6" t="n"/>
      <c r="F1426" s="6" t="n"/>
      <c r="G1426" s="6" t="n"/>
      <c r="H1426" s="6" t="n"/>
      <c r="I1426" s="12">
        <f>IF($B1426="","",IF(COUNTIF(Ventes_Factures!$A$6:$A$3005,$B1426)&gt;0,"OK","INCONNUE"))</f>
        <v/>
      </c>
      <c r="J1426" s="9">
        <f>IF($D1426="","",ROUND($D1426,2))</f>
        <v/>
      </c>
    </row>
    <row r="1427">
      <c r="A1427" s="6" t="n"/>
      <c r="B1427" s="6" t="n"/>
      <c r="C1427" s="7" t="n"/>
      <c r="D1427" s="8" t="n"/>
      <c r="E1427" s="6" t="n"/>
      <c r="F1427" s="6" t="n"/>
      <c r="G1427" s="6" t="n"/>
      <c r="H1427" s="6" t="n"/>
      <c r="I1427" s="12">
        <f>IF($B1427="","",IF(COUNTIF(Ventes_Factures!$A$6:$A$3005,$B1427)&gt;0,"OK","INCONNUE"))</f>
        <v/>
      </c>
      <c r="J1427" s="9">
        <f>IF($D1427="","",ROUND($D1427,2))</f>
        <v/>
      </c>
    </row>
    <row r="1428">
      <c r="A1428" s="6" t="n"/>
      <c r="B1428" s="6" t="n"/>
      <c r="C1428" s="7" t="n"/>
      <c r="D1428" s="8" t="n"/>
      <c r="E1428" s="6" t="n"/>
      <c r="F1428" s="6" t="n"/>
      <c r="G1428" s="6" t="n"/>
      <c r="H1428" s="6" t="n"/>
      <c r="I1428" s="12">
        <f>IF($B1428="","",IF(COUNTIF(Ventes_Factures!$A$6:$A$3005,$B1428)&gt;0,"OK","INCONNUE"))</f>
        <v/>
      </c>
      <c r="J1428" s="9">
        <f>IF($D1428="","",ROUND($D1428,2))</f>
        <v/>
      </c>
    </row>
    <row r="1429">
      <c r="A1429" s="6" t="n"/>
      <c r="B1429" s="6" t="n"/>
      <c r="C1429" s="7" t="n"/>
      <c r="D1429" s="8" t="n"/>
      <c r="E1429" s="6" t="n"/>
      <c r="F1429" s="6" t="n"/>
      <c r="G1429" s="6" t="n"/>
      <c r="H1429" s="6" t="n"/>
      <c r="I1429" s="12">
        <f>IF($B1429="","",IF(COUNTIF(Ventes_Factures!$A$6:$A$3005,$B1429)&gt;0,"OK","INCONNUE"))</f>
        <v/>
      </c>
      <c r="J1429" s="9">
        <f>IF($D1429="","",ROUND($D1429,2))</f>
        <v/>
      </c>
    </row>
    <row r="1430">
      <c r="A1430" s="6" t="n"/>
      <c r="B1430" s="6" t="n"/>
      <c r="C1430" s="7" t="n"/>
      <c r="D1430" s="8" t="n"/>
      <c r="E1430" s="6" t="n"/>
      <c r="F1430" s="6" t="n"/>
      <c r="G1430" s="6" t="n"/>
      <c r="H1430" s="6" t="n"/>
      <c r="I1430" s="12">
        <f>IF($B1430="","",IF(COUNTIF(Ventes_Factures!$A$6:$A$3005,$B1430)&gt;0,"OK","INCONNUE"))</f>
        <v/>
      </c>
      <c r="J1430" s="9">
        <f>IF($D1430="","",ROUND($D1430,2))</f>
        <v/>
      </c>
    </row>
    <row r="1431">
      <c r="A1431" s="6" t="n"/>
      <c r="B1431" s="6" t="n"/>
      <c r="C1431" s="7" t="n"/>
      <c r="D1431" s="8" t="n"/>
      <c r="E1431" s="6" t="n"/>
      <c r="F1431" s="6" t="n"/>
      <c r="G1431" s="6" t="n"/>
      <c r="H1431" s="6" t="n"/>
      <c r="I1431" s="12">
        <f>IF($B1431="","",IF(COUNTIF(Ventes_Factures!$A$6:$A$3005,$B1431)&gt;0,"OK","INCONNUE"))</f>
        <v/>
      </c>
      <c r="J1431" s="9">
        <f>IF($D1431="","",ROUND($D1431,2))</f>
        <v/>
      </c>
    </row>
    <row r="1432">
      <c r="A1432" s="6" t="n"/>
      <c r="B1432" s="6" t="n"/>
      <c r="C1432" s="7" t="n"/>
      <c r="D1432" s="8" t="n"/>
      <c r="E1432" s="6" t="n"/>
      <c r="F1432" s="6" t="n"/>
      <c r="G1432" s="6" t="n"/>
      <c r="H1432" s="6" t="n"/>
      <c r="I1432" s="12">
        <f>IF($B1432="","",IF(COUNTIF(Ventes_Factures!$A$6:$A$3005,$B1432)&gt;0,"OK","INCONNUE"))</f>
        <v/>
      </c>
      <c r="J1432" s="9">
        <f>IF($D1432="","",ROUND($D1432,2))</f>
        <v/>
      </c>
    </row>
    <row r="1433">
      <c r="A1433" s="6" t="n"/>
      <c r="B1433" s="6" t="n"/>
      <c r="C1433" s="7" t="n"/>
      <c r="D1433" s="8" t="n"/>
      <c r="E1433" s="6" t="n"/>
      <c r="F1433" s="6" t="n"/>
      <c r="G1433" s="6" t="n"/>
      <c r="H1433" s="6" t="n"/>
      <c r="I1433" s="12">
        <f>IF($B1433="","",IF(COUNTIF(Ventes_Factures!$A$6:$A$3005,$B1433)&gt;0,"OK","INCONNUE"))</f>
        <v/>
      </c>
      <c r="J1433" s="9">
        <f>IF($D1433="","",ROUND($D1433,2))</f>
        <v/>
      </c>
    </row>
    <row r="1434">
      <c r="A1434" s="6" t="n"/>
      <c r="B1434" s="6" t="n"/>
      <c r="C1434" s="7" t="n"/>
      <c r="D1434" s="8" t="n"/>
      <c r="E1434" s="6" t="n"/>
      <c r="F1434" s="6" t="n"/>
      <c r="G1434" s="6" t="n"/>
      <c r="H1434" s="6" t="n"/>
      <c r="I1434" s="12">
        <f>IF($B1434="","",IF(COUNTIF(Ventes_Factures!$A$6:$A$3005,$B1434)&gt;0,"OK","INCONNUE"))</f>
        <v/>
      </c>
      <c r="J1434" s="9">
        <f>IF($D1434="","",ROUND($D1434,2))</f>
        <v/>
      </c>
    </row>
    <row r="1435">
      <c r="A1435" s="6" t="n"/>
      <c r="B1435" s="6" t="n"/>
      <c r="C1435" s="7" t="n"/>
      <c r="D1435" s="8" t="n"/>
      <c r="E1435" s="6" t="n"/>
      <c r="F1435" s="6" t="n"/>
      <c r="G1435" s="6" t="n"/>
      <c r="H1435" s="6" t="n"/>
      <c r="I1435" s="12">
        <f>IF($B1435="","",IF(COUNTIF(Ventes_Factures!$A$6:$A$3005,$B1435)&gt;0,"OK","INCONNUE"))</f>
        <v/>
      </c>
      <c r="J1435" s="9">
        <f>IF($D1435="","",ROUND($D1435,2))</f>
        <v/>
      </c>
    </row>
    <row r="1436">
      <c r="A1436" s="6" t="n"/>
      <c r="B1436" s="6" t="n"/>
      <c r="C1436" s="7" t="n"/>
      <c r="D1436" s="8" t="n"/>
      <c r="E1436" s="6" t="n"/>
      <c r="F1436" s="6" t="n"/>
      <c r="G1436" s="6" t="n"/>
      <c r="H1436" s="6" t="n"/>
      <c r="I1436" s="12">
        <f>IF($B1436="","",IF(COUNTIF(Ventes_Factures!$A$6:$A$3005,$B1436)&gt;0,"OK","INCONNUE"))</f>
        <v/>
      </c>
      <c r="J1436" s="9">
        <f>IF($D1436="","",ROUND($D1436,2))</f>
        <v/>
      </c>
    </row>
    <row r="1437">
      <c r="A1437" s="6" t="n"/>
      <c r="B1437" s="6" t="n"/>
      <c r="C1437" s="7" t="n"/>
      <c r="D1437" s="8" t="n"/>
      <c r="E1437" s="6" t="n"/>
      <c r="F1437" s="6" t="n"/>
      <c r="G1437" s="6" t="n"/>
      <c r="H1437" s="6" t="n"/>
      <c r="I1437" s="12">
        <f>IF($B1437="","",IF(COUNTIF(Ventes_Factures!$A$6:$A$3005,$B1437)&gt;0,"OK","INCONNUE"))</f>
        <v/>
      </c>
      <c r="J1437" s="9">
        <f>IF($D1437="","",ROUND($D1437,2))</f>
        <v/>
      </c>
    </row>
    <row r="1438">
      <c r="A1438" s="6" t="n"/>
      <c r="B1438" s="6" t="n"/>
      <c r="C1438" s="7" t="n"/>
      <c r="D1438" s="8" t="n"/>
      <c r="E1438" s="6" t="n"/>
      <c r="F1438" s="6" t="n"/>
      <c r="G1438" s="6" t="n"/>
      <c r="H1438" s="6" t="n"/>
      <c r="I1438" s="12">
        <f>IF($B1438="","",IF(COUNTIF(Ventes_Factures!$A$6:$A$3005,$B1438)&gt;0,"OK","INCONNUE"))</f>
        <v/>
      </c>
      <c r="J1438" s="9">
        <f>IF($D1438="","",ROUND($D1438,2))</f>
        <v/>
      </c>
    </row>
    <row r="1439">
      <c r="A1439" s="6" t="n"/>
      <c r="B1439" s="6" t="n"/>
      <c r="C1439" s="7" t="n"/>
      <c r="D1439" s="8" t="n"/>
      <c r="E1439" s="6" t="n"/>
      <c r="F1439" s="6" t="n"/>
      <c r="G1439" s="6" t="n"/>
      <c r="H1439" s="6" t="n"/>
      <c r="I1439" s="12">
        <f>IF($B1439="","",IF(COUNTIF(Ventes_Factures!$A$6:$A$3005,$B1439)&gt;0,"OK","INCONNUE"))</f>
        <v/>
      </c>
      <c r="J1439" s="9">
        <f>IF($D1439="","",ROUND($D1439,2))</f>
        <v/>
      </c>
    </row>
    <row r="1440">
      <c r="A1440" s="6" t="n"/>
      <c r="B1440" s="6" t="n"/>
      <c r="C1440" s="7" t="n"/>
      <c r="D1440" s="8" t="n"/>
      <c r="E1440" s="6" t="n"/>
      <c r="F1440" s="6" t="n"/>
      <c r="G1440" s="6" t="n"/>
      <c r="H1440" s="6" t="n"/>
      <c r="I1440" s="12">
        <f>IF($B1440="","",IF(COUNTIF(Ventes_Factures!$A$6:$A$3005,$B1440)&gt;0,"OK","INCONNUE"))</f>
        <v/>
      </c>
      <c r="J1440" s="9">
        <f>IF($D1440="","",ROUND($D1440,2))</f>
        <v/>
      </c>
    </row>
    <row r="1441">
      <c r="A1441" s="6" t="n"/>
      <c r="B1441" s="6" t="n"/>
      <c r="C1441" s="7" t="n"/>
      <c r="D1441" s="8" t="n"/>
      <c r="E1441" s="6" t="n"/>
      <c r="F1441" s="6" t="n"/>
      <c r="G1441" s="6" t="n"/>
      <c r="H1441" s="6" t="n"/>
      <c r="I1441" s="12">
        <f>IF($B1441="","",IF(COUNTIF(Ventes_Factures!$A$6:$A$3005,$B1441)&gt;0,"OK","INCONNUE"))</f>
        <v/>
      </c>
      <c r="J1441" s="9">
        <f>IF($D1441="","",ROUND($D1441,2))</f>
        <v/>
      </c>
    </row>
    <row r="1442">
      <c r="A1442" s="6" t="n"/>
      <c r="B1442" s="6" t="n"/>
      <c r="C1442" s="7" t="n"/>
      <c r="D1442" s="8" t="n"/>
      <c r="E1442" s="6" t="n"/>
      <c r="F1442" s="6" t="n"/>
      <c r="G1442" s="6" t="n"/>
      <c r="H1442" s="6" t="n"/>
      <c r="I1442" s="12">
        <f>IF($B1442="","",IF(COUNTIF(Ventes_Factures!$A$6:$A$3005,$B1442)&gt;0,"OK","INCONNUE"))</f>
        <v/>
      </c>
      <c r="J1442" s="9">
        <f>IF($D1442="","",ROUND($D1442,2))</f>
        <v/>
      </c>
    </row>
    <row r="1443">
      <c r="A1443" s="6" t="n"/>
      <c r="B1443" s="6" t="n"/>
      <c r="C1443" s="7" t="n"/>
      <c r="D1443" s="8" t="n"/>
      <c r="E1443" s="6" t="n"/>
      <c r="F1443" s="6" t="n"/>
      <c r="G1443" s="6" t="n"/>
      <c r="H1443" s="6" t="n"/>
      <c r="I1443" s="12">
        <f>IF($B1443="","",IF(COUNTIF(Ventes_Factures!$A$6:$A$3005,$B1443)&gt;0,"OK","INCONNUE"))</f>
        <v/>
      </c>
      <c r="J1443" s="9">
        <f>IF($D1443="","",ROUND($D1443,2))</f>
        <v/>
      </c>
    </row>
    <row r="1444">
      <c r="A1444" s="6" t="n"/>
      <c r="B1444" s="6" t="n"/>
      <c r="C1444" s="7" t="n"/>
      <c r="D1444" s="8" t="n"/>
      <c r="E1444" s="6" t="n"/>
      <c r="F1444" s="6" t="n"/>
      <c r="G1444" s="6" t="n"/>
      <c r="H1444" s="6" t="n"/>
      <c r="I1444" s="12">
        <f>IF($B1444="","",IF(COUNTIF(Ventes_Factures!$A$6:$A$3005,$B1444)&gt;0,"OK","INCONNUE"))</f>
        <v/>
      </c>
      <c r="J1444" s="9">
        <f>IF($D1444="","",ROUND($D1444,2))</f>
        <v/>
      </c>
    </row>
    <row r="1445">
      <c r="A1445" s="6" t="n"/>
      <c r="B1445" s="6" t="n"/>
      <c r="C1445" s="7" t="n"/>
      <c r="D1445" s="8" t="n"/>
      <c r="E1445" s="6" t="n"/>
      <c r="F1445" s="6" t="n"/>
      <c r="G1445" s="6" t="n"/>
      <c r="H1445" s="6" t="n"/>
      <c r="I1445" s="12">
        <f>IF($B1445="","",IF(COUNTIF(Ventes_Factures!$A$6:$A$3005,$B1445)&gt;0,"OK","INCONNUE"))</f>
        <v/>
      </c>
      <c r="J1445" s="9">
        <f>IF($D1445="","",ROUND($D1445,2))</f>
        <v/>
      </c>
    </row>
    <row r="1446">
      <c r="A1446" s="6" t="n"/>
      <c r="B1446" s="6" t="n"/>
      <c r="C1446" s="7" t="n"/>
      <c r="D1446" s="8" t="n"/>
      <c r="E1446" s="6" t="n"/>
      <c r="F1446" s="6" t="n"/>
      <c r="G1446" s="6" t="n"/>
      <c r="H1446" s="6" t="n"/>
      <c r="I1446" s="12">
        <f>IF($B1446="","",IF(COUNTIF(Ventes_Factures!$A$6:$A$3005,$B1446)&gt;0,"OK","INCONNUE"))</f>
        <v/>
      </c>
      <c r="J1446" s="9">
        <f>IF($D1446="","",ROUND($D1446,2))</f>
        <v/>
      </c>
    </row>
    <row r="1447">
      <c r="A1447" s="6" t="n"/>
      <c r="B1447" s="6" t="n"/>
      <c r="C1447" s="7" t="n"/>
      <c r="D1447" s="8" t="n"/>
      <c r="E1447" s="6" t="n"/>
      <c r="F1447" s="6" t="n"/>
      <c r="G1447" s="6" t="n"/>
      <c r="H1447" s="6" t="n"/>
      <c r="I1447" s="12">
        <f>IF($B1447="","",IF(COUNTIF(Ventes_Factures!$A$6:$A$3005,$B1447)&gt;0,"OK","INCONNUE"))</f>
        <v/>
      </c>
      <c r="J1447" s="9">
        <f>IF($D1447="","",ROUND($D1447,2))</f>
        <v/>
      </c>
    </row>
    <row r="1448">
      <c r="A1448" s="6" t="n"/>
      <c r="B1448" s="6" t="n"/>
      <c r="C1448" s="7" t="n"/>
      <c r="D1448" s="8" t="n"/>
      <c r="E1448" s="6" t="n"/>
      <c r="F1448" s="6" t="n"/>
      <c r="G1448" s="6" t="n"/>
      <c r="H1448" s="6" t="n"/>
      <c r="I1448" s="12">
        <f>IF($B1448="","",IF(COUNTIF(Ventes_Factures!$A$6:$A$3005,$B1448)&gt;0,"OK","INCONNUE"))</f>
        <v/>
      </c>
      <c r="J1448" s="9">
        <f>IF($D1448="","",ROUND($D1448,2))</f>
        <v/>
      </c>
    </row>
    <row r="1449">
      <c r="A1449" s="6" t="n"/>
      <c r="B1449" s="6" t="n"/>
      <c r="C1449" s="7" t="n"/>
      <c r="D1449" s="8" t="n"/>
      <c r="E1449" s="6" t="n"/>
      <c r="F1449" s="6" t="n"/>
      <c r="G1449" s="6" t="n"/>
      <c r="H1449" s="6" t="n"/>
      <c r="I1449" s="12">
        <f>IF($B1449="","",IF(COUNTIF(Ventes_Factures!$A$6:$A$3005,$B1449)&gt;0,"OK","INCONNUE"))</f>
        <v/>
      </c>
      <c r="J1449" s="9">
        <f>IF($D1449="","",ROUND($D1449,2))</f>
        <v/>
      </c>
    </row>
    <row r="1450">
      <c r="A1450" s="6" t="n"/>
      <c r="B1450" s="6" t="n"/>
      <c r="C1450" s="7" t="n"/>
      <c r="D1450" s="8" t="n"/>
      <c r="E1450" s="6" t="n"/>
      <c r="F1450" s="6" t="n"/>
      <c r="G1450" s="6" t="n"/>
      <c r="H1450" s="6" t="n"/>
      <c r="I1450" s="12">
        <f>IF($B1450="","",IF(COUNTIF(Ventes_Factures!$A$6:$A$3005,$B1450)&gt;0,"OK","INCONNUE"))</f>
        <v/>
      </c>
      <c r="J1450" s="9">
        <f>IF($D1450="","",ROUND($D1450,2))</f>
        <v/>
      </c>
    </row>
    <row r="1451">
      <c r="A1451" s="6" t="n"/>
      <c r="B1451" s="6" t="n"/>
      <c r="C1451" s="7" t="n"/>
      <c r="D1451" s="8" t="n"/>
      <c r="E1451" s="6" t="n"/>
      <c r="F1451" s="6" t="n"/>
      <c r="G1451" s="6" t="n"/>
      <c r="H1451" s="6" t="n"/>
      <c r="I1451" s="12">
        <f>IF($B1451="","",IF(COUNTIF(Ventes_Factures!$A$6:$A$3005,$B1451)&gt;0,"OK","INCONNUE"))</f>
        <v/>
      </c>
      <c r="J1451" s="9">
        <f>IF($D1451="","",ROUND($D1451,2))</f>
        <v/>
      </c>
    </row>
    <row r="1452">
      <c r="A1452" s="6" t="n"/>
      <c r="B1452" s="6" t="n"/>
      <c r="C1452" s="7" t="n"/>
      <c r="D1452" s="8" t="n"/>
      <c r="E1452" s="6" t="n"/>
      <c r="F1452" s="6" t="n"/>
      <c r="G1452" s="6" t="n"/>
      <c r="H1452" s="6" t="n"/>
      <c r="I1452" s="12">
        <f>IF($B1452="","",IF(COUNTIF(Ventes_Factures!$A$6:$A$3005,$B1452)&gt;0,"OK","INCONNUE"))</f>
        <v/>
      </c>
      <c r="J1452" s="9">
        <f>IF($D1452="","",ROUND($D1452,2))</f>
        <v/>
      </c>
    </row>
    <row r="1453">
      <c r="A1453" s="6" t="n"/>
      <c r="B1453" s="6" t="n"/>
      <c r="C1453" s="7" t="n"/>
      <c r="D1453" s="8" t="n"/>
      <c r="E1453" s="6" t="n"/>
      <c r="F1453" s="6" t="n"/>
      <c r="G1453" s="6" t="n"/>
      <c r="H1453" s="6" t="n"/>
      <c r="I1453" s="12">
        <f>IF($B1453="","",IF(COUNTIF(Ventes_Factures!$A$6:$A$3005,$B1453)&gt;0,"OK","INCONNUE"))</f>
        <v/>
      </c>
      <c r="J1453" s="9">
        <f>IF($D1453="","",ROUND($D1453,2))</f>
        <v/>
      </c>
    </row>
    <row r="1454">
      <c r="A1454" s="6" t="n"/>
      <c r="B1454" s="6" t="n"/>
      <c r="C1454" s="7" t="n"/>
      <c r="D1454" s="8" t="n"/>
      <c r="E1454" s="6" t="n"/>
      <c r="F1454" s="6" t="n"/>
      <c r="G1454" s="6" t="n"/>
      <c r="H1454" s="6" t="n"/>
      <c r="I1454" s="12">
        <f>IF($B1454="","",IF(COUNTIF(Ventes_Factures!$A$6:$A$3005,$B1454)&gt;0,"OK","INCONNUE"))</f>
        <v/>
      </c>
      <c r="J1454" s="9">
        <f>IF($D1454="","",ROUND($D1454,2))</f>
        <v/>
      </c>
    </row>
    <row r="1455">
      <c r="A1455" s="6" t="n"/>
      <c r="B1455" s="6" t="n"/>
      <c r="C1455" s="7" t="n"/>
      <c r="D1455" s="8" t="n"/>
      <c r="E1455" s="6" t="n"/>
      <c r="F1455" s="6" t="n"/>
      <c r="G1455" s="6" t="n"/>
      <c r="H1455" s="6" t="n"/>
      <c r="I1455" s="12">
        <f>IF($B1455="","",IF(COUNTIF(Ventes_Factures!$A$6:$A$3005,$B1455)&gt;0,"OK","INCONNUE"))</f>
        <v/>
      </c>
      <c r="J1455" s="9">
        <f>IF($D1455="","",ROUND($D1455,2))</f>
        <v/>
      </c>
    </row>
    <row r="1456">
      <c r="A1456" s="6" t="n"/>
      <c r="B1456" s="6" t="n"/>
      <c r="C1456" s="7" t="n"/>
      <c r="D1456" s="8" t="n"/>
      <c r="E1456" s="6" t="n"/>
      <c r="F1456" s="6" t="n"/>
      <c r="G1456" s="6" t="n"/>
      <c r="H1456" s="6" t="n"/>
      <c r="I1456" s="12">
        <f>IF($B1456="","",IF(COUNTIF(Ventes_Factures!$A$6:$A$3005,$B1456)&gt;0,"OK","INCONNUE"))</f>
        <v/>
      </c>
      <c r="J1456" s="9">
        <f>IF($D1456="","",ROUND($D1456,2))</f>
        <v/>
      </c>
    </row>
    <row r="1457">
      <c r="A1457" s="6" t="n"/>
      <c r="B1457" s="6" t="n"/>
      <c r="C1457" s="7" t="n"/>
      <c r="D1457" s="8" t="n"/>
      <c r="E1457" s="6" t="n"/>
      <c r="F1457" s="6" t="n"/>
      <c r="G1457" s="6" t="n"/>
      <c r="H1457" s="6" t="n"/>
      <c r="I1457" s="12">
        <f>IF($B1457="","",IF(COUNTIF(Ventes_Factures!$A$6:$A$3005,$B1457)&gt;0,"OK","INCONNUE"))</f>
        <v/>
      </c>
      <c r="J1457" s="9">
        <f>IF($D1457="","",ROUND($D1457,2))</f>
        <v/>
      </c>
    </row>
    <row r="1458">
      <c r="A1458" s="6" t="n"/>
      <c r="B1458" s="6" t="n"/>
      <c r="C1458" s="7" t="n"/>
      <c r="D1458" s="8" t="n"/>
      <c r="E1458" s="6" t="n"/>
      <c r="F1458" s="6" t="n"/>
      <c r="G1458" s="6" t="n"/>
      <c r="H1458" s="6" t="n"/>
      <c r="I1458" s="12">
        <f>IF($B1458="","",IF(COUNTIF(Ventes_Factures!$A$6:$A$3005,$B1458)&gt;0,"OK","INCONNUE"))</f>
        <v/>
      </c>
      <c r="J1458" s="9">
        <f>IF($D1458="","",ROUND($D1458,2))</f>
        <v/>
      </c>
    </row>
    <row r="1459">
      <c r="A1459" s="6" t="n"/>
      <c r="B1459" s="6" t="n"/>
      <c r="C1459" s="7" t="n"/>
      <c r="D1459" s="8" t="n"/>
      <c r="E1459" s="6" t="n"/>
      <c r="F1459" s="6" t="n"/>
      <c r="G1459" s="6" t="n"/>
      <c r="H1459" s="6" t="n"/>
      <c r="I1459" s="12">
        <f>IF($B1459="","",IF(COUNTIF(Ventes_Factures!$A$6:$A$3005,$B1459)&gt;0,"OK","INCONNUE"))</f>
        <v/>
      </c>
      <c r="J1459" s="9">
        <f>IF($D1459="","",ROUND($D1459,2))</f>
        <v/>
      </c>
    </row>
    <row r="1460">
      <c r="A1460" s="6" t="n"/>
      <c r="B1460" s="6" t="n"/>
      <c r="C1460" s="7" t="n"/>
      <c r="D1460" s="8" t="n"/>
      <c r="E1460" s="6" t="n"/>
      <c r="F1460" s="6" t="n"/>
      <c r="G1460" s="6" t="n"/>
      <c r="H1460" s="6" t="n"/>
      <c r="I1460" s="12">
        <f>IF($B1460="","",IF(COUNTIF(Ventes_Factures!$A$6:$A$3005,$B1460)&gt;0,"OK","INCONNUE"))</f>
        <v/>
      </c>
      <c r="J1460" s="9">
        <f>IF($D1460="","",ROUND($D1460,2))</f>
        <v/>
      </c>
    </row>
    <row r="1461">
      <c r="A1461" s="6" t="n"/>
      <c r="B1461" s="6" t="n"/>
      <c r="C1461" s="7" t="n"/>
      <c r="D1461" s="8" t="n"/>
      <c r="E1461" s="6" t="n"/>
      <c r="F1461" s="6" t="n"/>
      <c r="G1461" s="6" t="n"/>
      <c r="H1461" s="6" t="n"/>
      <c r="I1461" s="12">
        <f>IF($B1461="","",IF(COUNTIF(Ventes_Factures!$A$6:$A$3005,$B1461)&gt;0,"OK","INCONNUE"))</f>
        <v/>
      </c>
      <c r="J1461" s="9">
        <f>IF($D1461="","",ROUND($D1461,2))</f>
        <v/>
      </c>
    </row>
    <row r="1462">
      <c r="A1462" s="6" t="n"/>
      <c r="B1462" s="6" t="n"/>
      <c r="C1462" s="7" t="n"/>
      <c r="D1462" s="8" t="n"/>
      <c r="E1462" s="6" t="n"/>
      <c r="F1462" s="6" t="n"/>
      <c r="G1462" s="6" t="n"/>
      <c r="H1462" s="6" t="n"/>
      <c r="I1462" s="12">
        <f>IF($B1462="","",IF(COUNTIF(Ventes_Factures!$A$6:$A$3005,$B1462)&gt;0,"OK","INCONNUE"))</f>
        <v/>
      </c>
      <c r="J1462" s="9">
        <f>IF($D1462="","",ROUND($D1462,2))</f>
        <v/>
      </c>
    </row>
    <row r="1463">
      <c r="A1463" s="6" t="n"/>
      <c r="B1463" s="6" t="n"/>
      <c r="C1463" s="7" t="n"/>
      <c r="D1463" s="8" t="n"/>
      <c r="E1463" s="6" t="n"/>
      <c r="F1463" s="6" t="n"/>
      <c r="G1463" s="6" t="n"/>
      <c r="H1463" s="6" t="n"/>
      <c r="I1463" s="12">
        <f>IF($B1463="","",IF(COUNTIF(Ventes_Factures!$A$6:$A$3005,$B1463)&gt;0,"OK","INCONNUE"))</f>
        <v/>
      </c>
      <c r="J1463" s="9">
        <f>IF($D1463="","",ROUND($D1463,2))</f>
        <v/>
      </c>
    </row>
    <row r="1464">
      <c r="A1464" s="6" t="n"/>
      <c r="B1464" s="6" t="n"/>
      <c r="C1464" s="7" t="n"/>
      <c r="D1464" s="8" t="n"/>
      <c r="E1464" s="6" t="n"/>
      <c r="F1464" s="6" t="n"/>
      <c r="G1464" s="6" t="n"/>
      <c r="H1464" s="6" t="n"/>
      <c r="I1464" s="12">
        <f>IF($B1464="","",IF(COUNTIF(Ventes_Factures!$A$6:$A$3005,$B1464)&gt;0,"OK","INCONNUE"))</f>
        <v/>
      </c>
      <c r="J1464" s="9">
        <f>IF($D1464="","",ROUND($D1464,2))</f>
        <v/>
      </c>
    </row>
    <row r="1465">
      <c r="A1465" s="6" t="n"/>
      <c r="B1465" s="6" t="n"/>
      <c r="C1465" s="7" t="n"/>
      <c r="D1465" s="8" t="n"/>
      <c r="E1465" s="6" t="n"/>
      <c r="F1465" s="6" t="n"/>
      <c r="G1465" s="6" t="n"/>
      <c r="H1465" s="6" t="n"/>
      <c r="I1465" s="12">
        <f>IF($B1465="","",IF(COUNTIF(Ventes_Factures!$A$6:$A$3005,$B1465)&gt;0,"OK","INCONNUE"))</f>
        <v/>
      </c>
      <c r="J1465" s="9">
        <f>IF($D1465="","",ROUND($D1465,2))</f>
        <v/>
      </c>
    </row>
    <row r="1466">
      <c r="A1466" s="6" t="n"/>
      <c r="B1466" s="6" t="n"/>
      <c r="C1466" s="7" t="n"/>
      <c r="D1466" s="8" t="n"/>
      <c r="E1466" s="6" t="n"/>
      <c r="F1466" s="6" t="n"/>
      <c r="G1466" s="6" t="n"/>
      <c r="H1466" s="6" t="n"/>
      <c r="I1466" s="12">
        <f>IF($B1466="","",IF(COUNTIF(Ventes_Factures!$A$6:$A$3005,$B1466)&gt;0,"OK","INCONNUE"))</f>
        <v/>
      </c>
      <c r="J1466" s="9">
        <f>IF($D1466="","",ROUND($D1466,2))</f>
        <v/>
      </c>
    </row>
    <row r="1467">
      <c r="A1467" s="6" t="n"/>
      <c r="B1467" s="6" t="n"/>
      <c r="C1467" s="7" t="n"/>
      <c r="D1467" s="8" t="n"/>
      <c r="E1467" s="6" t="n"/>
      <c r="F1467" s="6" t="n"/>
      <c r="G1467" s="6" t="n"/>
      <c r="H1467" s="6" t="n"/>
      <c r="I1467" s="12">
        <f>IF($B1467="","",IF(COUNTIF(Ventes_Factures!$A$6:$A$3005,$B1467)&gt;0,"OK","INCONNUE"))</f>
        <v/>
      </c>
      <c r="J1467" s="9">
        <f>IF($D1467="","",ROUND($D1467,2))</f>
        <v/>
      </c>
    </row>
    <row r="1468">
      <c r="A1468" s="6" t="n"/>
      <c r="B1468" s="6" t="n"/>
      <c r="C1468" s="7" t="n"/>
      <c r="D1468" s="8" t="n"/>
      <c r="E1468" s="6" t="n"/>
      <c r="F1468" s="6" t="n"/>
      <c r="G1468" s="6" t="n"/>
      <c r="H1468" s="6" t="n"/>
      <c r="I1468" s="12">
        <f>IF($B1468="","",IF(COUNTIF(Ventes_Factures!$A$6:$A$3005,$B1468)&gt;0,"OK","INCONNUE"))</f>
        <v/>
      </c>
      <c r="J1468" s="9">
        <f>IF($D1468="","",ROUND($D1468,2))</f>
        <v/>
      </c>
    </row>
    <row r="1469">
      <c r="A1469" s="6" t="n"/>
      <c r="B1469" s="6" t="n"/>
      <c r="C1469" s="7" t="n"/>
      <c r="D1469" s="8" t="n"/>
      <c r="E1469" s="6" t="n"/>
      <c r="F1469" s="6" t="n"/>
      <c r="G1469" s="6" t="n"/>
      <c r="H1469" s="6" t="n"/>
      <c r="I1469" s="12">
        <f>IF($B1469="","",IF(COUNTIF(Ventes_Factures!$A$6:$A$3005,$B1469)&gt;0,"OK","INCONNUE"))</f>
        <v/>
      </c>
      <c r="J1469" s="9">
        <f>IF($D1469="","",ROUND($D1469,2))</f>
        <v/>
      </c>
    </row>
    <row r="1470">
      <c r="A1470" s="6" t="n"/>
      <c r="B1470" s="6" t="n"/>
      <c r="C1470" s="7" t="n"/>
      <c r="D1470" s="8" t="n"/>
      <c r="E1470" s="6" t="n"/>
      <c r="F1470" s="6" t="n"/>
      <c r="G1470" s="6" t="n"/>
      <c r="H1470" s="6" t="n"/>
      <c r="I1470" s="12">
        <f>IF($B1470="","",IF(COUNTIF(Ventes_Factures!$A$6:$A$3005,$B1470)&gt;0,"OK","INCONNUE"))</f>
        <v/>
      </c>
      <c r="J1470" s="9">
        <f>IF($D1470="","",ROUND($D1470,2))</f>
        <v/>
      </c>
    </row>
    <row r="1471">
      <c r="A1471" s="6" t="n"/>
      <c r="B1471" s="6" t="n"/>
      <c r="C1471" s="7" t="n"/>
      <c r="D1471" s="8" t="n"/>
      <c r="E1471" s="6" t="n"/>
      <c r="F1471" s="6" t="n"/>
      <c r="G1471" s="6" t="n"/>
      <c r="H1471" s="6" t="n"/>
      <c r="I1471" s="12">
        <f>IF($B1471="","",IF(COUNTIF(Ventes_Factures!$A$6:$A$3005,$B1471)&gt;0,"OK","INCONNUE"))</f>
        <v/>
      </c>
      <c r="J1471" s="9">
        <f>IF($D1471="","",ROUND($D1471,2))</f>
        <v/>
      </c>
    </row>
    <row r="1472">
      <c r="A1472" s="6" t="n"/>
      <c r="B1472" s="6" t="n"/>
      <c r="C1472" s="7" t="n"/>
      <c r="D1472" s="8" t="n"/>
      <c r="E1472" s="6" t="n"/>
      <c r="F1472" s="6" t="n"/>
      <c r="G1472" s="6" t="n"/>
      <c r="H1472" s="6" t="n"/>
      <c r="I1472" s="12">
        <f>IF($B1472="","",IF(COUNTIF(Ventes_Factures!$A$6:$A$3005,$B1472)&gt;0,"OK","INCONNUE"))</f>
        <v/>
      </c>
      <c r="J1472" s="9">
        <f>IF($D1472="","",ROUND($D1472,2))</f>
        <v/>
      </c>
    </row>
    <row r="1473">
      <c r="A1473" s="6" t="n"/>
      <c r="B1473" s="6" t="n"/>
      <c r="C1473" s="7" t="n"/>
      <c r="D1473" s="8" t="n"/>
      <c r="E1473" s="6" t="n"/>
      <c r="F1473" s="6" t="n"/>
      <c r="G1473" s="6" t="n"/>
      <c r="H1473" s="6" t="n"/>
      <c r="I1473" s="12">
        <f>IF($B1473="","",IF(COUNTIF(Ventes_Factures!$A$6:$A$3005,$B1473)&gt;0,"OK","INCONNUE"))</f>
        <v/>
      </c>
      <c r="J1473" s="9">
        <f>IF($D1473="","",ROUND($D1473,2))</f>
        <v/>
      </c>
    </row>
    <row r="1474">
      <c r="A1474" s="6" t="n"/>
      <c r="B1474" s="6" t="n"/>
      <c r="C1474" s="7" t="n"/>
      <c r="D1474" s="8" t="n"/>
      <c r="E1474" s="6" t="n"/>
      <c r="F1474" s="6" t="n"/>
      <c r="G1474" s="6" t="n"/>
      <c r="H1474" s="6" t="n"/>
      <c r="I1474" s="12">
        <f>IF($B1474="","",IF(COUNTIF(Ventes_Factures!$A$6:$A$3005,$B1474)&gt;0,"OK","INCONNUE"))</f>
        <v/>
      </c>
      <c r="J1474" s="9">
        <f>IF($D1474="","",ROUND($D1474,2))</f>
        <v/>
      </c>
    </row>
    <row r="1475">
      <c r="A1475" s="6" t="n"/>
      <c r="B1475" s="6" t="n"/>
      <c r="C1475" s="7" t="n"/>
      <c r="D1475" s="8" t="n"/>
      <c r="E1475" s="6" t="n"/>
      <c r="F1475" s="6" t="n"/>
      <c r="G1475" s="6" t="n"/>
      <c r="H1475" s="6" t="n"/>
      <c r="I1475" s="12">
        <f>IF($B1475="","",IF(COUNTIF(Ventes_Factures!$A$6:$A$3005,$B1475)&gt;0,"OK","INCONNUE"))</f>
        <v/>
      </c>
      <c r="J1475" s="9">
        <f>IF($D1475="","",ROUND($D1475,2))</f>
        <v/>
      </c>
    </row>
    <row r="1476">
      <c r="A1476" s="6" t="n"/>
      <c r="B1476" s="6" t="n"/>
      <c r="C1476" s="7" t="n"/>
      <c r="D1476" s="8" t="n"/>
      <c r="E1476" s="6" t="n"/>
      <c r="F1476" s="6" t="n"/>
      <c r="G1476" s="6" t="n"/>
      <c r="H1476" s="6" t="n"/>
      <c r="I1476" s="12">
        <f>IF($B1476="","",IF(COUNTIF(Ventes_Factures!$A$6:$A$3005,$B1476)&gt;0,"OK","INCONNUE"))</f>
        <v/>
      </c>
      <c r="J1476" s="9">
        <f>IF($D1476="","",ROUND($D1476,2))</f>
        <v/>
      </c>
    </row>
    <row r="1477">
      <c r="A1477" s="6" t="n"/>
      <c r="B1477" s="6" t="n"/>
      <c r="C1477" s="7" t="n"/>
      <c r="D1477" s="8" t="n"/>
      <c r="E1477" s="6" t="n"/>
      <c r="F1477" s="6" t="n"/>
      <c r="G1477" s="6" t="n"/>
      <c r="H1477" s="6" t="n"/>
      <c r="I1477" s="12">
        <f>IF($B1477="","",IF(COUNTIF(Ventes_Factures!$A$6:$A$3005,$B1477)&gt;0,"OK","INCONNUE"))</f>
        <v/>
      </c>
      <c r="J1477" s="9">
        <f>IF($D1477="","",ROUND($D1477,2))</f>
        <v/>
      </c>
    </row>
    <row r="1478">
      <c r="A1478" s="6" t="n"/>
      <c r="B1478" s="6" t="n"/>
      <c r="C1478" s="7" t="n"/>
      <c r="D1478" s="8" t="n"/>
      <c r="E1478" s="6" t="n"/>
      <c r="F1478" s="6" t="n"/>
      <c r="G1478" s="6" t="n"/>
      <c r="H1478" s="6" t="n"/>
      <c r="I1478" s="12">
        <f>IF($B1478="","",IF(COUNTIF(Ventes_Factures!$A$6:$A$3005,$B1478)&gt;0,"OK","INCONNUE"))</f>
        <v/>
      </c>
      <c r="J1478" s="9">
        <f>IF($D1478="","",ROUND($D1478,2))</f>
        <v/>
      </c>
    </row>
    <row r="1479">
      <c r="A1479" s="6" t="n"/>
      <c r="B1479" s="6" t="n"/>
      <c r="C1479" s="7" t="n"/>
      <c r="D1479" s="8" t="n"/>
      <c r="E1479" s="6" t="n"/>
      <c r="F1479" s="6" t="n"/>
      <c r="G1479" s="6" t="n"/>
      <c r="H1479" s="6" t="n"/>
      <c r="I1479" s="12">
        <f>IF($B1479="","",IF(COUNTIF(Ventes_Factures!$A$6:$A$3005,$B1479)&gt;0,"OK","INCONNUE"))</f>
        <v/>
      </c>
      <c r="J1479" s="9">
        <f>IF($D1479="","",ROUND($D1479,2))</f>
        <v/>
      </c>
    </row>
    <row r="1480">
      <c r="A1480" s="6" t="n"/>
      <c r="B1480" s="6" t="n"/>
      <c r="C1480" s="7" t="n"/>
      <c r="D1480" s="8" t="n"/>
      <c r="E1480" s="6" t="n"/>
      <c r="F1480" s="6" t="n"/>
      <c r="G1480" s="6" t="n"/>
      <c r="H1480" s="6" t="n"/>
      <c r="I1480" s="12">
        <f>IF($B1480="","",IF(COUNTIF(Ventes_Factures!$A$6:$A$3005,$B1480)&gt;0,"OK","INCONNUE"))</f>
        <v/>
      </c>
      <c r="J1480" s="9">
        <f>IF($D1480="","",ROUND($D1480,2))</f>
        <v/>
      </c>
    </row>
    <row r="1481">
      <c r="A1481" s="6" t="n"/>
      <c r="B1481" s="6" t="n"/>
      <c r="C1481" s="7" t="n"/>
      <c r="D1481" s="8" t="n"/>
      <c r="E1481" s="6" t="n"/>
      <c r="F1481" s="6" t="n"/>
      <c r="G1481" s="6" t="n"/>
      <c r="H1481" s="6" t="n"/>
      <c r="I1481" s="12">
        <f>IF($B1481="","",IF(COUNTIF(Ventes_Factures!$A$6:$A$3005,$B1481)&gt;0,"OK","INCONNUE"))</f>
        <v/>
      </c>
      <c r="J1481" s="9">
        <f>IF($D1481="","",ROUND($D1481,2))</f>
        <v/>
      </c>
    </row>
    <row r="1482">
      <c r="A1482" s="6" t="n"/>
      <c r="B1482" s="6" t="n"/>
      <c r="C1482" s="7" t="n"/>
      <c r="D1482" s="8" t="n"/>
      <c r="E1482" s="6" t="n"/>
      <c r="F1482" s="6" t="n"/>
      <c r="G1482" s="6" t="n"/>
      <c r="H1482" s="6" t="n"/>
      <c r="I1482" s="12">
        <f>IF($B1482="","",IF(COUNTIF(Ventes_Factures!$A$6:$A$3005,$B1482)&gt;0,"OK","INCONNUE"))</f>
        <v/>
      </c>
      <c r="J1482" s="9">
        <f>IF($D1482="","",ROUND($D1482,2))</f>
        <v/>
      </c>
    </row>
    <row r="1483">
      <c r="A1483" s="6" t="n"/>
      <c r="B1483" s="6" t="n"/>
      <c r="C1483" s="7" t="n"/>
      <c r="D1483" s="8" t="n"/>
      <c r="E1483" s="6" t="n"/>
      <c r="F1483" s="6" t="n"/>
      <c r="G1483" s="6" t="n"/>
      <c r="H1483" s="6" t="n"/>
      <c r="I1483" s="12">
        <f>IF($B1483="","",IF(COUNTIF(Ventes_Factures!$A$6:$A$3005,$B1483)&gt;0,"OK","INCONNUE"))</f>
        <v/>
      </c>
      <c r="J1483" s="9">
        <f>IF($D1483="","",ROUND($D1483,2))</f>
        <v/>
      </c>
    </row>
    <row r="1484">
      <c r="A1484" s="6" t="n"/>
      <c r="B1484" s="6" t="n"/>
      <c r="C1484" s="7" t="n"/>
      <c r="D1484" s="8" t="n"/>
      <c r="E1484" s="6" t="n"/>
      <c r="F1484" s="6" t="n"/>
      <c r="G1484" s="6" t="n"/>
      <c r="H1484" s="6" t="n"/>
      <c r="I1484" s="12">
        <f>IF($B1484="","",IF(COUNTIF(Ventes_Factures!$A$6:$A$3005,$B1484)&gt;0,"OK","INCONNUE"))</f>
        <v/>
      </c>
      <c r="J1484" s="9">
        <f>IF($D1484="","",ROUND($D1484,2))</f>
        <v/>
      </c>
    </row>
    <row r="1485">
      <c r="A1485" s="6" t="n"/>
      <c r="B1485" s="6" t="n"/>
      <c r="C1485" s="7" t="n"/>
      <c r="D1485" s="8" t="n"/>
      <c r="E1485" s="6" t="n"/>
      <c r="F1485" s="6" t="n"/>
      <c r="G1485" s="6" t="n"/>
      <c r="H1485" s="6" t="n"/>
      <c r="I1485" s="12">
        <f>IF($B1485="","",IF(COUNTIF(Ventes_Factures!$A$6:$A$3005,$B1485)&gt;0,"OK","INCONNUE"))</f>
        <v/>
      </c>
      <c r="J1485" s="9">
        <f>IF($D1485="","",ROUND($D1485,2))</f>
        <v/>
      </c>
    </row>
    <row r="1486">
      <c r="A1486" s="6" t="n"/>
      <c r="B1486" s="6" t="n"/>
      <c r="C1486" s="7" t="n"/>
      <c r="D1486" s="8" t="n"/>
      <c r="E1486" s="6" t="n"/>
      <c r="F1486" s="6" t="n"/>
      <c r="G1486" s="6" t="n"/>
      <c r="H1486" s="6" t="n"/>
      <c r="I1486" s="12">
        <f>IF($B1486="","",IF(COUNTIF(Ventes_Factures!$A$6:$A$3005,$B1486)&gt;0,"OK","INCONNUE"))</f>
        <v/>
      </c>
      <c r="J1486" s="9">
        <f>IF($D1486="","",ROUND($D1486,2))</f>
        <v/>
      </c>
    </row>
    <row r="1487">
      <c r="A1487" s="6" t="n"/>
      <c r="B1487" s="6" t="n"/>
      <c r="C1487" s="7" t="n"/>
      <c r="D1487" s="8" t="n"/>
      <c r="E1487" s="6" t="n"/>
      <c r="F1487" s="6" t="n"/>
      <c r="G1487" s="6" t="n"/>
      <c r="H1487" s="6" t="n"/>
      <c r="I1487" s="12">
        <f>IF($B1487="","",IF(COUNTIF(Ventes_Factures!$A$6:$A$3005,$B1487)&gt;0,"OK","INCONNUE"))</f>
        <v/>
      </c>
      <c r="J1487" s="9">
        <f>IF($D1487="","",ROUND($D1487,2))</f>
        <v/>
      </c>
    </row>
    <row r="1488">
      <c r="A1488" s="6" t="n"/>
      <c r="B1488" s="6" t="n"/>
      <c r="C1488" s="7" t="n"/>
      <c r="D1488" s="8" t="n"/>
      <c r="E1488" s="6" t="n"/>
      <c r="F1488" s="6" t="n"/>
      <c r="G1488" s="6" t="n"/>
      <c r="H1488" s="6" t="n"/>
      <c r="I1488" s="12">
        <f>IF($B1488="","",IF(COUNTIF(Ventes_Factures!$A$6:$A$3005,$B1488)&gt;0,"OK","INCONNUE"))</f>
        <v/>
      </c>
      <c r="J1488" s="9">
        <f>IF($D1488="","",ROUND($D1488,2))</f>
        <v/>
      </c>
    </row>
    <row r="1489">
      <c r="A1489" s="6" t="n"/>
      <c r="B1489" s="6" t="n"/>
      <c r="C1489" s="7" t="n"/>
      <c r="D1489" s="8" t="n"/>
      <c r="E1489" s="6" t="n"/>
      <c r="F1489" s="6" t="n"/>
      <c r="G1489" s="6" t="n"/>
      <c r="H1489" s="6" t="n"/>
      <c r="I1489" s="12">
        <f>IF($B1489="","",IF(COUNTIF(Ventes_Factures!$A$6:$A$3005,$B1489)&gt;0,"OK","INCONNUE"))</f>
        <v/>
      </c>
      <c r="J1489" s="9">
        <f>IF($D1489="","",ROUND($D1489,2))</f>
        <v/>
      </c>
    </row>
    <row r="1490">
      <c r="A1490" s="6" t="n"/>
      <c r="B1490" s="6" t="n"/>
      <c r="C1490" s="7" t="n"/>
      <c r="D1490" s="8" t="n"/>
      <c r="E1490" s="6" t="n"/>
      <c r="F1490" s="6" t="n"/>
      <c r="G1490" s="6" t="n"/>
      <c r="H1490" s="6" t="n"/>
      <c r="I1490" s="12">
        <f>IF($B1490="","",IF(COUNTIF(Ventes_Factures!$A$6:$A$3005,$B1490)&gt;0,"OK","INCONNUE"))</f>
        <v/>
      </c>
      <c r="J1490" s="9">
        <f>IF($D1490="","",ROUND($D1490,2))</f>
        <v/>
      </c>
    </row>
    <row r="1491">
      <c r="A1491" s="6" t="n"/>
      <c r="B1491" s="6" t="n"/>
      <c r="C1491" s="7" t="n"/>
      <c r="D1491" s="8" t="n"/>
      <c r="E1491" s="6" t="n"/>
      <c r="F1491" s="6" t="n"/>
      <c r="G1491" s="6" t="n"/>
      <c r="H1491" s="6" t="n"/>
      <c r="I1491" s="12">
        <f>IF($B1491="","",IF(COUNTIF(Ventes_Factures!$A$6:$A$3005,$B1491)&gt;0,"OK","INCONNUE"))</f>
        <v/>
      </c>
      <c r="J1491" s="9">
        <f>IF($D1491="","",ROUND($D1491,2))</f>
        <v/>
      </c>
    </row>
    <row r="1492">
      <c r="A1492" s="6" t="n"/>
      <c r="B1492" s="6" t="n"/>
      <c r="C1492" s="7" t="n"/>
      <c r="D1492" s="8" t="n"/>
      <c r="E1492" s="6" t="n"/>
      <c r="F1492" s="6" t="n"/>
      <c r="G1492" s="6" t="n"/>
      <c r="H1492" s="6" t="n"/>
      <c r="I1492" s="12">
        <f>IF($B1492="","",IF(COUNTIF(Ventes_Factures!$A$6:$A$3005,$B1492)&gt;0,"OK","INCONNUE"))</f>
        <v/>
      </c>
      <c r="J1492" s="9">
        <f>IF($D1492="","",ROUND($D1492,2))</f>
        <v/>
      </c>
    </row>
    <row r="1493">
      <c r="A1493" s="6" t="n"/>
      <c r="B1493" s="6" t="n"/>
      <c r="C1493" s="7" t="n"/>
      <c r="D1493" s="8" t="n"/>
      <c r="E1493" s="6" t="n"/>
      <c r="F1493" s="6" t="n"/>
      <c r="G1493" s="6" t="n"/>
      <c r="H1493" s="6" t="n"/>
      <c r="I1493" s="12">
        <f>IF($B1493="","",IF(COUNTIF(Ventes_Factures!$A$6:$A$3005,$B1493)&gt;0,"OK","INCONNUE"))</f>
        <v/>
      </c>
      <c r="J1493" s="9">
        <f>IF($D1493="","",ROUND($D1493,2))</f>
        <v/>
      </c>
    </row>
    <row r="1494">
      <c r="A1494" s="6" t="n"/>
      <c r="B1494" s="6" t="n"/>
      <c r="C1494" s="7" t="n"/>
      <c r="D1494" s="8" t="n"/>
      <c r="E1494" s="6" t="n"/>
      <c r="F1494" s="6" t="n"/>
      <c r="G1494" s="6" t="n"/>
      <c r="H1494" s="6" t="n"/>
      <c r="I1494" s="12">
        <f>IF($B1494="","",IF(COUNTIF(Ventes_Factures!$A$6:$A$3005,$B1494)&gt;0,"OK","INCONNUE"))</f>
        <v/>
      </c>
      <c r="J1494" s="9">
        <f>IF($D1494="","",ROUND($D1494,2))</f>
        <v/>
      </c>
    </row>
    <row r="1495">
      <c r="A1495" s="6" t="n"/>
      <c r="B1495" s="6" t="n"/>
      <c r="C1495" s="7" t="n"/>
      <c r="D1495" s="8" t="n"/>
      <c r="E1495" s="6" t="n"/>
      <c r="F1495" s="6" t="n"/>
      <c r="G1495" s="6" t="n"/>
      <c r="H1495" s="6" t="n"/>
      <c r="I1495" s="12">
        <f>IF($B1495="","",IF(COUNTIF(Ventes_Factures!$A$6:$A$3005,$B1495)&gt;0,"OK","INCONNUE"))</f>
        <v/>
      </c>
      <c r="J1495" s="9">
        <f>IF($D1495="","",ROUND($D1495,2))</f>
        <v/>
      </c>
    </row>
    <row r="1496">
      <c r="A1496" s="6" t="n"/>
      <c r="B1496" s="6" t="n"/>
      <c r="C1496" s="7" t="n"/>
      <c r="D1496" s="8" t="n"/>
      <c r="E1496" s="6" t="n"/>
      <c r="F1496" s="6" t="n"/>
      <c r="G1496" s="6" t="n"/>
      <c r="H1496" s="6" t="n"/>
      <c r="I1496" s="12">
        <f>IF($B1496="","",IF(COUNTIF(Ventes_Factures!$A$6:$A$3005,$B1496)&gt;0,"OK","INCONNUE"))</f>
        <v/>
      </c>
      <c r="J1496" s="9">
        <f>IF($D1496="","",ROUND($D1496,2))</f>
        <v/>
      </c>
    </row>
    <row r="1497">
      <c r="A1497" s="6" t="n"/>
      <c r="B1497" s="6" t="n"/>
      <c r="C1497" s="7" t="n"/>
      <c r="D1497" s="8" t="n"/>
      <c r="E1497" s="6" t="n"/>
      <c r="F1497" s="6" t="n"/>
      <c r="G1497" s="6" t="n"/>
      <c r="H1497" s="6" t="n"/>
      <c r="I1497" s="12">
        <f>IF($B1497="","",IF(COUNTIF(Ventes_Factures!$A$6:$A$3005,$B1497)&gt;0,"OK","INCONNUE"))</f>
        <v/>
      </c>
      <c r="J1497" s="9">
        <f>IF($D1497="","",ROUND($D1497,2))</f>
        <v/>
      </c>
    </row>
    <row r="1498">
      <c r="A1498" s="6" t="n"/>
      <c r="B1498" s="6" t="n"/>
      <c r="C1498" s="7" t="n"/>
      <c r="D1498" s="8" t="n"/>
      <c r="E1498" s="6" t="n"/>
      <c r="F1498" s="6" t="n"/>
      <c r="G1498" s="6" t="n"/>
      <c r="H1498" s="6" t="n"/>
      <c r="I1498" s="12">
        <f>IF($B1498="","",IF(COUNTIF(Ventes_Factures!$A$6:$A$3005,$B1498)&gt;0,"OK","INCONNUE"))</f>
        <v/>
      </c>
      <c r="J1498" s="9">
        <f>IF($D1498="","",ROUND($D1498,2))</f>
        <v/>
      </c>
    </row>
    <row r="1499">
      <c r="A1499" s="6" t="n"/>
      <c r="B1499" s="6" t="n"/>
      <c r="C1499" s="7" t="n"/>
      <c r="D1499" s="8" t="n"/>
      <c r="E1499" s="6" t="n"/>
      <c r="F1499" s="6" t="n"/>
      <c r="G1499" s="6" t="n"/>
      <c r="H1499" s="6" t="n"/>
      <c r="I1499" s="12">
        <f>IF($B1499="","",IF(COUNTIF(Ventes_Factures!$A$6:$A$3005,$B1499)&gt;0,"OK","INCONNUE"))</f>
        <v/>
      </c>
      <c r="J1499" s="9">
        <f>IF($D1499="","",ROUND($D1499,2))</f>
        <v/>
      </c>
    </row>
    <row r="1500">
      <c r="A1500" s="6" t="n"/>
      <c r="B1500" s="6" t="n"/>
      <c r="C1500" s="7" t="n"/>
      <c r="D1500" s="8" t="n"/>
      <c r="E1500" s="6" t="n"/>
      <c r="F1500" s="6" t="n"/>
      <c r="G1500" s="6" t="n"/>
      <c r="H1500" s="6" t="n"/>
      <c r="I1500" s="12">
        <f>IF($B1500="","",IF(COUNTIF(Ventes_Factures!$A$6:$A$3005,$B1500)&gt;0,"OK","INCONNUE"))</f>
        <v/>
      </c>
      <c r="J1500" s="9">
        <f>IF($D1500="","",ROUND($D1500,2))</f>
        <v/>
      </c>
    </row>
    <row r="1501">
      <c r="A1501" s="6" t="n"/>
      <c r="B1501" s="6" t="n"/>
      <c r="C1501" s="7" t="n"/>
      <c r="D1501" s="8" t="n"/>
      <c r="E1501" s="6" t="n"/>
      <c r="F1501" s="6" t="n"/>
      <c r="G1501" s="6" t="n"/>
      <c r="H1501" s="6" t="n"/>
      <c r="I1501" s="12">
        <f>IF($B1501="","",IF(COUNTIF(Ventes_Factures!$A$6:$A$3005,$B1501)&gt;0,"OK","INCONNUE"))</f>
        <v/>
      </c>
      <c r="J1501" s="9">
        <f>IF($D1501="","",ROUND($D1501,2))</f>
        <v/>
      </c>
    </row>
    <row r="1502">
      <c r="A1502" s="6" t="n"/>
      <c r="B1502" s="6" t="n"/>
      <c r="C1502" s="7" t="n"/>
      <c r="D1502" s="8" t="n"/>
      <c r="E1502" s="6" t="n"/>
      <c r="F1502" s="6" t="n"/>
      <c r="G1502" s="6" t="n"/>
      <c r="H1502" s="6" t="n"/>
      <c r="I1502" s="12">
        <f>IF($B1502="","",IF(COUNTIF(Ventes_Factures!$A$6:$A$3005,$B1502)&gt;0,"OK","INCONNUE"))</f>
        <v/>
      </c>
      <c r="J1502" s="9">
        <f>IF($D1502="","",ROUND($D1502,2))</f>
        <v/>
      </c>
    </row>
    <row r="1503">
      <c r="A1503" s="6" t="n"/>
      <c r="B1503" s="6" t="n"/>
      <c r="C1503" s="7" t="n"/>
      <c r="D1503" s="8" t="n"/>
      <c r="E1503" s="6" t="n"/>
      <c r="F1503" s="6" t="n"/>
      <c r="G1503" s="6" t="n"/>
      <c r="H1503" s="6" t="n"/>
      <c r="I1503" s="12">
        <f>IF($B1503="","",IF(COUNTIF(Ventes_Factures!$A$6:$A$3005,$B1503)&gt;0,"OK","INCONNUE"))</f>
        <v/>
      </c>
      <c r="J1503" s="9">
        <f>IF($D1503="","",ROUND($D1503,2))</f>
        <v/>
      </c>
    </row>
    <row r="1504">
      <c r="A1504" s="6" t="n"/>
      <c r="B1504" s="6" t="n"/>
      <c r="C1504" s="7" t="n"/>
      <c r="D1504" s="8" t="n"/>
      <c r="E1504" s="6" t="n"/>
      <c r="F1504" s="6" t="n"/>
      <c r="G1504" s="6" t="n"/>
      <c r="H1504" s="6" t="n"/>
      <c r="I1504" s="12">
        <f>IF($B1504="","",IF(COUNTIF(Ventes_Factures!$A$6:$A$3005,$B1504)&gt;0,"OK","INCONNUE"))</f>
        <v/>
      </c>
      <c r="J1504" s="9">
        <f>IF($D1504="","",ROUND($D1504,2))</f>
        <v/>
      </c>
    </row>
    <row r="1505">
      <c r="A1505" s="6" t="n"/>
      <c r="B1505" s="6" t="n"/>
      <c r="C1505" s="7" t="n"/>
      <c r="D1505" s="8" t="n"/>
      <c r="E1505" s="6" t="n"/>
      <c r="F1505" s="6" t="n"/>
      <c r="G1505" s="6" t="n"/>
      <c r="H1505" s="6" t="n"/>
      <c r="I1505" s="12">
        <f>IF($B1505="","",IF(COUNTIF(Ventes_Factures!$A$6:$A$3005,$B1505)&gt;0,"OK","INCONNUE"))</f>
        <v/>
      </c>
      <c r="J1505" s="9">
        <f>IF($D1505="","",ROUND($D1505,2))</f>
        <v/>
      </c>
    </row>
    <row r="1506">
      <c r="A1506" s="6" t="n"/>
      <c r="B1506" s="6" t="n"/>
      <c r="C1506" s="7" t="n"/>
      <c r="D1506" s="8" t="n"/>
      <c r="E1506" s="6" t="n"/>
      <c r="F1506" s="6" t="n"/>
      <c r="G1506" s="6" t="n"/>
      <c r="H1506" s="6" t="n"/>
      <c r="I1506" s="12">
        <f>IF($B1506="","",IF(COUNTIF(Ventes_Factures!$A$6:$A$3005,$B1506)&gt;0,"OK","INCONNUE"))</f>
        <v/>
      </c>
      <c r="J1506" s="9">
        <f>IF($D1506="","",ROUND($D1506,2))</f>
        <v/>
      </c>
    </row>
    <row r="1507">
      <c r="A1507" s="6" t="n"/>
      <c r="B1507" s="6" t="n"/>
      <c r="C1507" s="7" t="n"/>
      <c r="D1507" s="8" t="n"/>
      <c r="E1507" s="6" t="n"/>
      <c r="F1507" s="6" t="n"/>
      <c r="G1507" s="6" t="n"/>
      <c r="H1507" s="6" t="n"/>
      <c r="I1507" s="12">
        <f>IF($B1507="","",IF(COUNTIF(Ventes_Factures!$A$6:$A$3005,$B1507)&gt;0,"OK","INCONNUE"))</f>
        <v/>
      </c>
      <c r="J1507" s="9">
        <f>IF($D1507="","",ROUND($D1507,2))</f>
        <v/>
      </c>
    </row>
    <row r="1508">
      <c r="A1508" s="6" t="n"/>
      <c r="B1508" s="6" t="n"/>
      <c r="C1508" s="7" t="n"/>
      <c r="D1508" s="8" t="n"/>
      <c r="E1508" s="6" t="n"/>
      <c r="F1508" s="6" t="n"/>
      <c r="G1508" s="6" t="n"/>
      <c r="H1508" s="6" t="n"/>
      <c r="I1508" s="12">
        <f>IF($B1508="","",IF(COUNTIF(Ventes_Factures!$A$6:$A$3005,$B1508)&gt;0,"OK","INCONNUE"))</f>
        <v/>
      </c>
      <c r="J1508" s="9">
        <f>IF($D1508="","",ROUND($D1508,2))</f>
        <v/>
      </c>
    </row>
    <row r="1509">
      <c r="A1509" s="6" t="n"/>
      <c r="B1509" s="6" t="n"/>
      <c r="C1509" s="7" t="n"/>
      <c r="D1509" s="8" t="n"/>
      <c r="E1509" s="6" t="n"/>
      <c r="F1509" s="6" t="n"/>
      <c r="G1509" s="6" t="n"/>
      <c r="H1509" s="6" t="n"/>
      <c r="I1509" s="12">
        <f>IF($B1509="","",IF(COUNTIF(Ventes_Factures!$A$6:$A$3005,$B1509)&gt;0,"OK","INCONNUE"))</f>
        <v/>
      </c>
      <c r="J1509" s="9">
        <f>IF($D1509="","",ROUND($D1509,2))</f>
        <v/>
      </c>
    </row>
    <row r="1510">
      <c r="A1510" s="6" t="n"/>
      <c r="B1510" s="6" t="n"/>
      <c r="C1510" s="7" t="n"/>
      <c r="D1510" s="8" t="n"/>
      <c r="E1510" s="6" t="n"/>
      <c r="F1510" s="6" t="n"/>
      <c r="G1510" s="6" t="n"/>
      <c r="H1510" s="6" t="n"/>
      <c r="I1510" s="12">
        <f>IF($B1510="","",IF(COUNTIF(Ventes_Factures!$A$6:$A$3005,$B1510)&gt;0,"OK","INCONNUE"))</f>
        <v/>
      </c>
      <c r="J1510" s="9">
        <f>IF($D1510="","",ROUND($D1510,2))</f>
        <v/>
      </c>
    </row>
    <row r="1511">
      <c r="A1511" s="6" t="n"/>
      <c r="B1511" s="6" t="n"/>
      <c r="C1511" s="7" t="n"/>
      <c r="D1511" s="8" t="n"/>
      <c r="E1511" s="6" t="n"/>
      <c r="F1511" s="6" t="n"/>
      <c r="G1511" s="6" t="n"/>
      <c r="H1511" s="6" t="n"/>
      <c r="I1511" s="12">
        <f>IF($B1511="","",IF(COUNTIF(Ventes_Factures!$A$6:$A$3005,$B1511)&gt;0,"OK","INCONNUE"))</f>
        <v/>
      </c>
      <c r="J1511" s="9">
        <f>IF($D1511="","",ROUND($D1511,2))</f>
        <v/>
      </c>
    </row>
    <row r="1512">
      <c r="A1512" s="6" t="n"/>
      <c r="B1512" s="6" t="n"/>
      <c r="C1512" s="7" t="n"/>
      <c r="D1512" s="8" t="n"/>
      <c r="E1512" s="6" t="n"/>
      <c r="F1512" s="6" t="n"/>
      <c r="G1512" s="6" t="n"/>
      <c r="H1512" s="6" t="n"/>
      <c r="I1512" s="12">
        <f>IF($B1512="","",IF(COUNTIF(Ventes_Factures!$A$6:$A$3005,$B1512)&gt;0,"OK","INCONNUE"))</f>
        <v/>
      </c>
      <c r="J1512" s="9">
        <f>IF($D1512="","",ROUND($D1512,2))</f>
        <v/>
      </c>
    </row>
    <row r="1513">
      <c r="A1513" s="6" t="n"/>
      <c r="B1513" s="6" t="n"/>
      <c r="C1513" s="7" t="n"/>
      <c r="D1513" s="8" t="n"/>
      <c r="E1513" s="6" t="n"/>
      <c r="F1513" s="6" t="n"/>
      <c r="G1513" s="6" t="n"/>
      <c r="H1513" s="6" t="n"/>
      <c r="I1513" s="12">
        <f>IF($B1513="","",IF(COUNTIF(Ventes_Factures!$A$6:$A$3005,$B1513)&gt;0,"OK","INCONNUE"))</f>
        <v/>
      </c>
      <c r="J1513" s="9">
        <f>IF($D1513="","",ROUND($D1513,2))</f>
        <v/>
      </c>
    </row>
    <row r="1514">
      <c r="A1514" s="6" t="n"/>
      <c r="B1514" s="6" t="n"/>
      <c r="C1514" s="7" t="n"/>
      <c r="D1514" s="8" t="n"/>
      <c r="E1514" s="6" t="n"/>
      <c r="F1514" s="6" t="n"/>
      <c r="G1514" s="6" t="n"/>
      <c r="H1514" s="6" t="n"/>
      <c r="I1514" s="12">
        <f>IF($B1514="","",IF(COUNTIF(Ventes_Factures!$A$6:$A$3005,$B1514)&gt;0,"OK","INCONNUE"))</f>
        <v/>
      </c>
      <c r="J1514" s="9">
        <f>IF($D1514="","",ROUND($D1514,2))</f>
        <v/>
      </c>
    </row>
    <row r="1515">
      <c r="A1515" s="6" t="n"/>
      <c r="B1515" s="6" t="n"/>
      <c r="C1515" s="7" t="n"/>
      <c r="D1515" s="8" t="n"/>
      <c r="E1515" s="6" t="n"/>
      <c r="F1515" s="6" t="n"/>
      <c r="G1515" s="6" t="n"/>
      <c r="H1515" s="6" t="n"/>
      <c r="I1515" s="12">
        <f>IF($B1515="","",IF(COUNTIF(Ventes_Factures!$A$6:$A$3005,$B1515)&gt;0,"OK","INCONNUE"))</f>
        <v/>
      </c>
      <c r="J1515" s="9">
        <f>IF($D1515="","",ROUND($D1515,2))</f>
        <v/>
      </c>
    </row>
    <row r="1516">
      <c r="A1516" s="6" t="n"/>
      <c r="B1516" s="6" t="n"/>
      <c r="C1516" s="7" t="n"/>
      <c r="D1516" s="8" t="n"/>
      <c r="E1516" s="6" t="n"/>
      <c r="F1516" s="6" t="n"/>
      <c r="G1516" s="6" t="n"/>
      <c r="H1516" s="6" t="n"/>
      <c r="I1516" s="12">
        <f>IF($B1516="","",IF(COUNTIF(Ventes_Factures!$A$6:$A$3005,$B1516)&gt;0,"OK","INCONNUE"))</f>
        <v/>
      </c>
      <c r="J1516" s="9">
        <f>IF($D1516="","",ROUND($D1516,2))</f>
        <v/>
      </c>
    </row>
    <row r="1517">
      <c r="A1517" s="6" t="n"/>
      <c r="B1517" s="6" t="n"/>
      <c r="C1517" s="7" t="n"/>
      <c r="D1517" s="8" t="n"/>
      <c r="E1517" s="6" t="n"/>
      <c r="F1517" s="6" t="n"/>
      <c r="G1517" s="6" t="n"/>
      <c r="H1517" s="6" t="n"/>
      <c r="I1517" s="12">
        <f>IF($B1517="","",IF(COUNTIF(Ventes_Factures!$A$6:$A$3005,$B1517)&gt;0,"OK","INCONNUE"))</f>
        <v/>
      </c>
      <c r="J1517" s="9">
        <f>IF($D1517="","",ROUND($D1517,2))</f>
        <v/>
      </c>
    </row>
    <row r="1518">
      <c r="A1518" s="6" t="n"/>
      <c r="B1518" s="6" t="n"/>
      <c r="C1518" s="7" t="n"/>
      <c r="D1518" s="8" t="n"/>
      <c r="E1518" s="6" t="n"/>
      <c r="F1518" s="6" t="n"/>
      <c r="G1518" s="6" t="n"/>
      <c r="H1518" s="6" t="n"/>
      <c r="I1518" s="12">
        <f>IF($B1518="","",IF(COUNTIF(Ventes_Factures!$A$6:$A$3005,$B1518)&gt;0,"OK","INCONNUE"))</f>
        <v/>
      </c>
      <c r="J1518" s="9">
        <f>IF($D1518="","",ROUND($D1518,2))</f>
        <v/>
      </c>
    </row>
    <row r="1519">
      <c r="A1519" s="6" t="n"/>
      <c r="B1519" s="6" t="n"/>
      <c r="C1519" s="7" t="n"/>
      <c r="D1519" s="8" t="n"/>
      <c r="E1519" s="6" t="n"/>
      <c r="F1519" s="6" t="n"/>
      <c r="G1519" s="6" t="n"/>
      <c r="H1519" s="6" t="n"/>
      <c r="I1519" s="12">
        <f>IF($B1519="","",IF(COUNTIF(Ventes_Factures!$A$6:$A$3005,$B1519)&gt;0,"OK","INCONNUE"))</f>
        <v/>
      </c>
      <c r="J1519" s="9">
        <f>IF($D1519="","",ROUND($D1519,2))</f>
        <v/>
      </c>
    </row>
    <row r="1520">
      <c r="A1520" s="6" t="n"/>
      <c r="B1520" s="6" t="n"/>
      <c r="C1520" s="7" t="n"/>
      <c r="D1520" s="8" t="n"/>
      <c r="E1520" s="6" t="n"/>
      <c r="F1520" s="6" t="n"/>
      <c r="G1520" s="6" t="n"/>
      <c r="H1520" s="6" t="n"/>
      <c r="I1520" s="12">
        <f>IF($B1520="","",IF(COUNTIF(Ventes_Factures!$A$6:$A$3005,$B1520)&gt;0,"OK","INCONNUE"))</f>
        <v/>
      </c>
      <c r="J1520" s="9">
        <f>IF($D1520="","",ROUND($D1520,2))</f>
        <v/>
      </c>
    </row>
    <row r="1521">
      <c r="A1521" s="6" t="n"/>
      <c r="B1521" s="6" t="n"/>
      <c r="C1521" s="7" t="n"/>
      <c r="D1521" s="8" t="n"/>
      <c r="E1521" s="6" t="n"/>
      <c r="F1521" s="6" t="n"/>
      <c r="G1521" s="6" t="n"/>
      <c r="H1521" s="6" t="n"/>
      <c r="I1521" s="12">
        <f>IF($B1521="","",IF(COUNTIF(Ventes_Factures!$A$6:$A$3005,$B1521)&gt;0,"OK","INCONNUE"))</f>
        <v/>
      </c>
      <c r="J1521" s="9">
        <f>IF($D1521="","",ROUND($D1521,2))</f>
        <v/>
      </c>
    </row>
    <row r="1522">
      <c r="A1522" s="6" t="n"/>
      <c r="B1522" s="6" t="n"/>
      <c r="C1522" s="7" t="n"/>
      <c r="D1522" s="8" t="n"/>
      <c r="E1522" s="6" t="n"/>
      <c r="F1522" s="6" t="n"/>
      <c r="G1522" s="6" t="n"/>
      <c r="H1522" s="6" t="n"/>
      <c r="I1522" s="12">
        <f>IF($B1522="","",IF(COUNTIF(Ventes_Factures!$A$6:$A$3005,$B1522)&gt;0,"OK","INCONNUE"))</f>
        <v/>
      </c>
      <c r="J1522" s="9">
        <f>IF($D1522="","",ROUND($D1522,2))</f>
        <v/>
      </c>
    </row>
    <row r="1523">
      <c r="A1523" s="6" t="n"/>
      <c r="B1523" s="6" t="n"/>
      <c r="C1523" s="7" t="n"/>
      <c r="D1523" s="8" t="n"/>
      <c r="E1523" s="6" t="n"/>
      <c r="F1523" s="6" t="n"/>
      <c r="G1523" s="6" t="n"/>
      <c r="H1523" s="6" t="n"/>
      <c r="I1523" s="12">
        <f>IF($B1523="","",IF(COUNTIF(Ventes_Factures!$A$6:$A$3005,$B1523)&gt;0,"OK","INCONNUE"))</f>
        <v/>
      </c>
      <c r="J1523" s="9">
        <f>IF($D1523="","",ROUND($D1523,2))</f>
        <v/>
      </c>
    </row>
    <row r="1524">
      <c r="A1524" s="6" t="n"/>
      <c r="B1524" s="6" t="n"/>
      <c r="C1524" s="7" t="n"/>
      <c r="D1524" s="8" t="n"/>
      <c r="E1524" s="6" t="n"/>
      <c r="F1524" s="6" t="n"/>
      <c r="G1524" s="6" t="n"/>
      <c r="H1524" s="6" t="n"/>
      <c r="I1524" s="12">
        <f>IF($B1524="","",IF(COUNTIF(Ventes_Factures!$A$6:$A$3005,$B1524)&gt;0,"OK","INCONNUE"))</f>
        <v/>
      </c>
      <c r="J1524" s="9">
        <f>IF($D1524="","",ROUND($D1524,2))</f>
        <v/>
      </c>
    </row>
    <row r="1525">
      <c r="A1525" s="6" t="n"/>
      <c r="B1525" s="6" t="n"/>
      <c r="C1525" s="7" t="n"/>
      <c r="D1525" s="8" t="n"/>
      <c r="E1525" s="6" t="n"/>
      <c r="F1525" s="6" t="n"/>
      <c r="G1525" s="6" t="n"/>
      <c r="H1525" s="6" t="n"/>
      <c r="I1525" s="12">
        <f>IF($B1525="","",IF(COUNTIF(Ventes_Factures!$A$6:$A$3005,$B1525)&gt;0,"OK","INCONNUE"))</f>
        <v/>
      </c>
      <c r="J1525" s="9">
        <f>IF($D1525="","",ROUND($D1525,2))</f>
        <v/>
      </c>
    </row>
    <row r="1526">
      <c r="A1526" s="6" t="n"/>
      <c r="B1526" s="6" t="n"/>
      <c r="C1526" s="7" t="n"/>
      <c r="D1526" s="8" t="n"/>
      <c r="E1526" s="6" t="n"/>
      <c r="F1526" s="6" t="n"/>
      <c r="G1526" s="6" t="n"/>
      <c r="H1526" s="6" t="n"/>
      <c r="I1526" s="12">
        <f>IF($B1526="","",IF(COUNTIF(Ventes_Factures!$A$6:$A$3005,$B1526)&gt;0,"OK","INCONNUE"))</f>
        <v/>
      </c>
      <c r="J1526" s="9">
        <f>IF($D1526="","",ROUND($D1526,2))</f>
        <v/>
      </c>
    </row>
    <row r="1527">
      <c r="A1527" s="6" t="n"/>
      <c r="B1527" s="6" t="n"/>
      <c r="C1527" s="7" t="n"/>
      <c r="D1527" s="8" t="n"/>
      <c r="E1527" s="6" t="n"/>
      <c r="F1527" s="6" t="n"/>
      <c r="G1527" s="6" t="n"/>
      <c r="H1527" s="6" t="n"/>
      <c r="I1527" s="12">
        <f>IF($B1527="","",IF(COUNTIF(Ventes_Factures!$A$6:$A$3005,$B1527)&gt;0,"OK","INCONNUE"))</f>
        <v/>
      </c>
      <c r="J1527" s="9">
        <f>IF($D1527="","",ROUND($D1527,2))</f>
        <v/>
      </c>
    </row>
    <row r="1528">
      <c r="A1528" s="6" t="n"/>
      <c r="B1528" s="6" t="n"/>
      <c r="C1528" s="7" t="n"/>
      <c r="D1528" s="8" t="n"/>
      <c r="E1528" s="6" t="n"/>
      <c r="F1528" s="6" t="n"/>
      <c r="G1528" s="6" t="n"/>
      <c r="H1528" s="6" t="n"/>
      <c r="I1528" s="12">
        <f>IF($B1528="","",IF(COUNTIF(Ventes_Factures!$A$6:$A$3005,$B1528)&gt;0,"OK","INCONNUE"))</f>
        <v/>
      </c>
      <c r="J1528" s="9">
        <f>IF($D1528="","",ROUND($D1528,2))</f>
        <v/>
      </c>
    </row>
    <row r="1529">
      <c r="A1529" s="6" t="n"/>
      <c r="B1529" s="6" t="n"/>
      <c r="C1529" s="7" t="n"/>
      <c r="D1529" s="8" t="n"/>
      <c r="E1529" s="6" t="n"/>
      <c r="F1529" s="6" t="n"/>
      <c r="G1529" s="6" t="n"/>
      <c r="H1529" s="6" t="n"/>
      <c r="I1529" s="12">
        <f>IF($B1529="","",IF(COUNTIF(Ventes_Factures!$A$6:$A$3005,$B1529)&gt;0,"OK","INCONNUE"))</f>
        <v/>
      </c>
      <c r="J1529" s="9">
        <f>IF($D1529="","",ROUND($D1529,2))</f>
        <v/>
      </c>
    </row>
    <row r="1530">
      <c r="A1530" s="6" t="n"/>
      <c r="B1530" s="6" t="n"/>
      <c r="C1530" s="7" t="n"/>
      <c r="D1530" s="8" t="n"/>
      <c r="E1530" s="6" t="n"/>
      <c r="F1530" s="6" t="n"/>
      <c r="G1530" s="6" t="n"/>
      <c r="H1530" s="6" t="n"/>
      <c r="I1530" s="12">
        <f>IF($B1530="","",IF(COUNTIF(Ventes_Factures!$A$6:$A$3005,$B1530)&gt;0,"OK","INCONNUE"))</f>
        <v/>
      </c>
      <c r="J1530" s="9">
        <f>IF($D1530="","",ROUND($D1530,2))</f>
        <v/>
      </c>
    </row>
    <row r="1531">
      <c r="A1531" s="6" t="n"/>
      <c r="B1531" s="6" t="n"/>
      <c r="C1531" s="7" t="n"/>
      <c r="D1531" s="8" t="n"/>
      <c r="E1531" s="6" t="n"/>
      <c r="F1531" s="6" t="n"/>
      <c r="G1531" s="6" t="n"/>
      <c r="H1531" s="6" t="n"/>
      <c r="I1531" s="12">
        <f>IF($B1531="","",IF(COUNTIF(Ventes_Factures!$A$6:$A$3005,$B1531)&gt;0,"OK","INCONNUE"))</f>
        <v/>
      </c>
      <c r="J1531" s="9">
        <f>IF($D1531="","",ROUND($D1531,2))</f>
        <v/>
      </c>
    </row>
    <row r="1532">
      <c r="A1532" s="6" t="n"/>
      <c r="B1532" s="6" t="n"/>
      <c r="C1532" s="7" t="n"/>
      <c r="D1532" s="8" t="n"/>
      <c r="E1532" s="6" t="n"/>
      <c r="F1532" s="6" t="n"/>
      <c r="G1532" s="6" t="n"/>
      <c r="H1532" s="6" t="n"/>
      <c r="I1532" s="12">
        <f>IF($B1532="","",IF(COUNTIF(Ventes_Factures!$A$6:$A$3005,$B1532)&gt;0,"OK","INCONNUE"))</f>
        <v/>
      </c>
      <c r="J1532" s="9">
        <f>IF($D1532="","",ROUND($D1532,2))</f>
        <v/>
      </c>
    </row>
    <row r="1533">
      <c r="A1533" s="6" t="n"/>
      <c r="B1533" s="6" t="n"/>
      <c r="C1533" s="7" t="n"/>
      <c r="D1533" s="8" t="n"/>
      <c r="E1533" s="6" t="n"/>
      <c r="F1533" s="6" t="n"/>
      <c r="G1533" s="6" t="n"/>
      <c r="H1533" s="6" t="n"/>
      <c r="I1533" s="12">
        <f>IF($B1533="","",IF(COUNTIF(Ventes_Factures!$A$6:$A$3005,$B1533)&gt;0,"OK","INCONNUE"))</f>
        <v/>
      </c>
      <c r="J1533" s="9">
        <f>IF($D1533="","",ROUND($D1533,2))</f>
        <v/>
      </c>
    </row>
    <row r="1534">
      <c r="A1534" s="6" t="n"/>
      <c r="B1534" s="6" t="n"/>
      <c r="C1534" s="7" t="n"/>
      <c r="D1534" s="8" t="n"/>
      <c r="E1534" s="6" t="n"/>
      <c r="F1534" s="6" t="n"/>
      <c r="G1534" s="6" t="n"/>
      <c r="H1534" s="6" t="n"/>
      <c r="I1534" s="12">
        <f>IF($B1534="","",IF(COUNTIF(Ventes_Factures!$A$6:$A$3005,$B1534)&gt;0,"OK","INCONNUE"))</f>
        <v/>
      </c>
      <c r="J1534" s="9">
        <f>IF($D1534="","",ROUND($D1534,2))</f>
        <v/>
      </c>
    </row>
    <row r="1535">
      <c r="A1535" s="6" t="n"/>
      <c r="B1535" s="6" t="n"/>
      <c r="C1535" s="7" t="n"/>
      <c r="D1535" s="8" t="n"/>
      <c r="E1535" s="6" t="n"/>
      <c r="F1535" s="6" t="n"/>
      <c r="G1535" s="6" t="n"/>
      <c r="H1535" s="6" t="n"/>
      <c r="I1535" s="12">
        <f>IF($B1535="","",IF(COUNTIF(Ventes_Factures!$A$6:$A$3005,$B1535)&gt;0,"OK","INCONNUE"))</f>
        <v/>
      </c>
      <c r="J1535" s="9">
        <f>IF($D1535="","",ROUND($D1535,2))</f>
        <v/>
      </c>
    </row>
    <row r="1536">
      <c r="A1536" s="6" t="n"/>
      <c r="B1536" s="6" t="n"/>
      <c r="C1536" s="7" t="n"/>
      <c r="D1536" s="8" t="n"/>
      <c r="E1536" s="6" t="n"/>
      <c r="F1536" s="6" t="n"/>
      <c r="G1536" s="6" t="n"/>
      <c r="H1536" s="6" t="n"/>
      <c r="I1536" s="12">
        <f>IF($B1536="","",IF(COUNTIF(Ventes_Factures!$A$6:$A$3005,$B1536)&gt;0,"OK","INCONNUE"))</f>
        <v/>
      </c>
      <c r="J1536" s="9">
        <f>IF($D1536="","",ROUND($D1536,2))</f>
        <v/>
      </c>
    </row>
    <row r="1537">
      <c r="A1537" s="6" t="n"/>
      <c r="B1537" s="6" t="n"/>
      <c r="C1537" s="7" t="n"/>
      <c r="D1537" s="8" t="n"/>
      <c r="E1537" s="6" t="n"/>
      <c r="F1537" s="6" t="n"/>
      <c r="G1537" s="6" t="n"/>
      <c r="H1537" s="6" t="n"/>
      <c r="I1537" s="12">
        <f>IF($B1537="","",IF(COUNTIF(Ventes_Factures!$A$6:$A$3005,$B1537)&gt;0,"OK","INCONNUE"))</f>
        <v/>
      </c>
      <c r="J1537" s="9">
        <f>IF($D1537="","",ROUND($D1537,2))</f>
        <v/>
      </c>
    </row>
    <row r="1538">
      <c r="A1538" s="6" t="n"/>
      <c r="B1538" s="6" t="n"/>
      <c r="C1538" s="7" t="n"/>
      <c r="D1538" s="8" t="n"/>
      <c r="E1538" s="6" t="n"/>
      <c r="F1538" s="6" t="n"/>
      <c r="G1538" s="6" t="n"/>
      <c r="H1538" s="6" t="n"/>
      <c r="I1538" s="12">
        <f>IF($B1538="","",IF(COUNTIF(Ventes_Factures!$A$6:$A$3005,$B1538)&gt;0,"OK","INCONNUE"))</f>
        <v/>
      </c>
      <c r="J1538" s="9">
        <f>IF($D1538="","",ROUND($D1538,2))</f>
        <v/>
      </c>
    </row>
    <row r="1539">
      <c r="A1539" s="6" t="n"/>
      <c r="B1539" s="6" t="n"/>
      <c r="C1539" s="7" t="n"/>
      <c r="D1539" s="8" t="n"/>
      <c r="E1539" s="6" t="n"/>
      <c r="F1539" s="6" t="n"/>
      <c r="G1539" s="6" t="n"/>
      <c r="H1539" s="6" t="n"/>
      <c r="I1539" s="12">
        <f>IF($B1539="","",IF(COUNTIF(Ventes_Factures!$A$6:$A$3005,$B1539)&gt;0,"OK","INCONNUE"))</f>
        <v/>
      </c>
      <c r="J1539" s="9">
        <f>IF($D1539="","",ROUND($D1539,2))</f>
        <v/>
      </c>
    </row>
    <row r="1540">
      <c r="A1540" s="6" t="n"/>
      <c r="B1540" s="6" t="n"/>
      <c r="C1540" s="7" t="n"/>
      <c r="D1540" s="8" t="n"/>
      <c r="E1540" s="6" t="n"/>
      <c r="F1540" s="6" t="n"/>
      <c r="G1540" s="6" t="n"/>
      <c r="H1540" s="6" t="n"/>
      <c r="I1540" s="12">
        <f>IF($B1540="","",IF(COUNTIF(Ventes_Factures!$A$6:$A$3005,$B1540)&gt;0,"OK","INCONNUE"))</f>
        <v/>
      </c>
      <c r="J1540" s="9">
        <f>IF($D1540="","",ROUND($D1540,2))</f>
        <v/>
      </c>
    </row>
    <row r="1541">
      <c r="A1541" s="6" t="n"/>
      <c r="B1541" s="6" t="n"/>
      <c r="C1541" s="7" t="n"/>
      <c r="D1541" s="8" t="n"/>
      <c r="E1541" s="6" t="n"/>
      <c r="F1541" s="6" t="n"/>
      <c r="G1541" s="6" t="n"/>
      <c r="H1541" s="6" t="n"/>
      <c r="I1541" s="12">
        <f>IF($B1541="","",IF(COUNTIF(Ventes_Factures!$A$6:$A$3005,$B1541)&gt;0,"OK","INCONNUE"))</f>
        <v/>
      </c>
      <c r="J1541" s="9">
        <f>IF($D1541="","",ROUND($D1541,2))</f>
        <v/>
      </c>
    </row>
    <row r="1542">
      <c r="A1542" s="6" t="n"/>
      <c r="B1542" s="6" t="n"/>
      <c r="C1542" s="7" t="n"/>
      <c r="D1542" s="8" t="n"/>
      <c r="E1542" s="6" t="n"/>
      <c r="F1542" s="6" t="n"/>
      <c r="G1542" s="6" t="n"/>
      <c r="H1542" s="6" t="n"/>
      <c r="I1542" s="12">
        <f>IF($B1542="","",IF(COUNTIF(Ventes_Factures!$A$6:$A$3005,$B1542)&gt;0,"OK","INCONNUE"))</f>
        <v/>
      </c>
      <c r="J1542" s="9">
        <f>IF($D1542="","",ROUND($D1542,2))</f>
        <v/>
      </c>
    </row>
    <row r="1543">
      <c r="A1543" s="6" t="n"/>
      <c r="B1543" s="6" t="n"/>
      <c r="C1543" s="7" t="n"/>
      <c r="D1543" s="8" t="n"/>
      <c r="E1543" s="6" t="n"/>
      <c r="F1543" s="6" t="n"/>
      <c r="G1543" s="6" t="n"/>
      <c r="H1543" s="6" t="n"/>
      <c r="I1543" s="12">
        <f>IF($B1543="","",IF(COUNTIF(Ventes_Factures!$A$6:$A$3005,$B1543)&gt;0,"OK","INCONNUE"))</f>
        <v/>
      </c>
      <c r="J1543" s="9">
        <f>IF($D1543="","",ROUND($D1543,2))</f>
        <v/>
      </c>
    </row>
    <row r="1544">
      <c r="A1544" s="6" t="n"/>
      <c r="B1544" s="6" t="n"/>
      <c r="C1544" s="7" t="n"/>
      <c r="D1544" s="8" t="n"/>
      <c r="E1544" s="6" t="n"/>
      <c r="F1544" s="6" t="n"/>
      <c r="G1544" s="6" t="n"/>
      <c r="H1544" s="6" t="n"/>
      <c r="I1544" s="12">
        <f>IF($B1544="","",IF(COUNTIF(Ventes_Factures!$A$6:$A$3005,$B1544)&gt;0,"OK","INCONNUE"))</f>
        <v/>
      </c>
      <c r="J1544" s="9">
        <f>IF($D1544="","",ROUND($D1544,2))</f>
        <v/>
      </c>
    </row>
    <row r="1545">
      <c r="A1545" s="6" t="n"/>
      <c r="B1545" s="6" t="n"/>
      <c r="C1545" s="7" t="n"/>
      <c r="D1545" s="8" t="n"/>
      <c r="E1545" s="6" t="n"/>
      <c r="F1545" s="6" t="n"/>
      <c r="G1545" s="6" t="n"/>
      <c r="H1545" s="6" t="n"/>
      <c r="I1545" s="12">
        <f>IF($B1545="","",IF(COUNTIF(Ventes_Factures!$A$6:$A$3005,$B1545)&gt;0,"OK","INCONNUE"))</f>
        <v/>
      </c>
      <c r="J1545" s="9">
        <f>IF($D1545="","",ROUND($D1545,2))</f>
        <v/>
      </c>
    </row>
    <row r="1546">
      <c r="A1546" s="6" t="n"/>
      <c r="B1546" s="6" t="n"/>
      <c r="C1546" s="7" t="n"/>
      <c r="D1546" s="8" t="n"/>
      <c r="E1546" s="6" t="n"/>
      <c r="F1546" s="6" t="n"/>
      <c r="G1546" s="6" t="n"/>
      <c r="H1546" s="6" t="n"/>
      <c r="I1546" s="12">
        <f>IF($B1546="","",IF(COUNTIF(Ventes_Factures!$A$6:$A$3005,$B1546)&gt;0,"OK","INCONNUE"))</f>
        <v/>
      </c>
      <c r="J1546" s="9">
        <f>IF($D1546="","",ROUND($D1546,2))</f>
        <v/>
      </c>
    </row>
    <row r="1547">
      <c r="A1547" s="6" t="n"/>
      <c r="B1547" s="6" t="n"/>
      <c r="C1547" s="7" t="n"/>
      <c r="D1547" s="8" t="n"/>
      <c r="E1547" s="6" t="n"/>
      <c r="F1547" s="6" t="n"/>
      <c r="G1547" s="6" t="n"/>
      <c r="H1547" s="6" t="n"/>
      <c r="I1547" s="12">
        <f>IF($B1547="","",IF(COUNTIF(Ventes_Factures!$A$6:$A$3005,$B1547)&gt;0,"OK","INCONNUE"))</f>
        <v/>
      </c>
      <c r="J1547" s="9">
        <f>IF($D1547="","",ROUND($D1547,2))</f>
        <v/>
      </c>
    </row>
    <row r="1548">
      <c r="A1548" s="6" t="n"/>
      <c r="B1548" s="6" t="n"/>
      <c r="C1548" s="7" t="n"/>
      <c r="D1548" s="8" t="n"/>
      <c r="E1548" s="6" t="n"/>
      <c r="F1548" s="6" t="n"/>
      <c r="G1548" s="6" t="n"/>
      <c r="H1548" s="6" t="n"/>
      <c r="I1548" s="12">
        <f>IF($B1548="","",IF(COUNTIF(Ventes_Factures!$A$6:$A$3005,$B1548)&gt;0,"OK","INCONNUE"))</f>
        <v/>
      </c>
      <c r="J1548" s="9">
        <f>IF($D1548="","",ROUND($D1548,2))</f>
        <v/>
      </c>
    </row>
    <row r="1549">
      <c r="A1549" s="6" t="n"/>
      <c r="B1549" s="6" t="n"/>
      <c r="C1549" s="7" t="n"/>
      <c r="D1549" s="8" t="n"/>
      <c r="E1549" s="6" t="n"/>
      <c r="F1549" s="6" t="n"/>
      <c r="G1549" s="6" t="n"/>
      <c r="H1549" s="6" t="n"/>
      <c r="I1549" s="12">
        <f>IF($B1549="","",IF(COUNTIF(Ventes_Factures!$A$6:$A$3005,$B1549)&gt;0,"OK","INCONNUE"))</f>
        <v/>
      </c>
      <c r="J1549" s="9">
        <f>IF($D1549="","",ROUND($D1549,2))</f>
        <v/>
      </c>
    </row>
    <row r="1550">
      <c r="A1550" s="6" t="n"/>
      <c r="B1550" s="6" t="n"/>
      <c r="C1550" s="7" t="n"/>
      <c r="D1550" s="8" t="n"/>
      <c r="E1550" s="6" t="n"/>
      <c r="F1550" s="6" t="n"/>
      <c r="G1550" s="6" t="n"/>
      <c r="H1550" s="6" t="n"/>
      <c r="I1550" s="12">
        <f>IF($B1550="","",IF(COUNTIF(Ventes_Factures!$A$6:$A$3005,$B1550)&gt;0,"OK","INCONNUE"))</f>
        <v/>
      </c>
      <c r="J1550" s="9">
        <f>IF($D1550="","",ROUND($D1550,2))</f>
        <v/>
      </c>
    </row>
    <row r="1551">
      <c r="A1551" s="6" t="n"/>
      <c r="B1551" s="6" t="n"/>
      <c r="C1551" s="7" t="n"/>
      <c r="D1551" s="8" t="n"/>
      <c r="E1551" s="6" t="n"/>
      <c r="F1551" s="6" t="n"/>
      <c r="G1551" s="6" t="n"/>
      <c r="H1551" s="6" t="n"/>
      <c r="I1551" s="12">
        <f>IF($B1551="","",IF(COUNTIF(Ventes_Factures!$A$6:$A$3005,$B1551)&gt;0,"OK","INCONNUE"))</f>
        <v/>
      </c>
      <c r="J1551" s="9">
        <f>IF($D1551="","",ROUND($D1551,2))</f>
        <v/>
      </c>
    </row>
    <row r="1552">
      <c r="A1552" s="6" t="n"/>
      <c r="B1552" s="6" t="n"/>
      <c r="C1552" s="7" t="n"/>
      <c r="D1552" s="8" t="n"/>
      <c r="E1552" s="6" t="n"/>
      <c r="F1552" s="6" t="n"/>
      <c r="G1552" s="6" t="n"/>
      <c r="H1552" s="6" t="n"/>
      <c r="I1552" s="12">
        <f>IF($B1552="","",IF(COUNTIF(Ventes_Factures!$A$6:$A$3005,$B1552)&gt;0,"OK","INCONNUE"))</f>
        <v/>
      </c>
      <c r="J1552" s="9">
        <f>IF($D1552="","",ROUND($D1552,2))</f>
        <v/>
      </c>
    </row>
    <row r="1553">
      <c r="A1553" s="6" t="n"/>
      <c r="B1553" s="6" t="n"/>
      <c r="C1553" s="7" t="n"/>
      <c r="D1553" s="8" t="n"/>
      <c r="E1553" s="6" t="n"/>
      <c r="F1553" s="6" t="n"/>
      <c r="G1553" s="6" t="n"/>
      <c r="H1553" s="6" t="n"/>
      <c r="I1553" s="12">
        <f>IF($B1553="","",IF(COUNTIF(Ventes_Factures!$A$6:$A$3005,$B1553)&gt;0,"OK","INCONNUE"))</f>
        <v/>
      </c>
      <c r="J1553" s="9">
        <f>IF($D1553="","",ROUND($D1553,2))</f>
        <v/>
      </c>
    </row>
    <row r="1554">
      <c r="A1554" s="6" t="n"/>
      <c r="B1554" s="6" t="n"/>
      <c r="C1554" s="7" t="n"/>
      <c r="D1554" s="8" t="n"/>
      <c r="E1554" s="6" t="n"/>
      <c r="F1554" s="6" t="n"/>
      <c r="G1554" s="6" t="n"/>
      <c r="H1554" s="6" t="n"/>
      <c r="I1554" s="12">
        <f>IF($B1554="","",IF(COUNTIF(Ventes_Factures!$A$6:$A$3005,$B1554)&gt;0,"OK","INCONNUE"))</f>
        <v/>
      </c>
      <c r="J1554" s="9">
        <f>IF($D1554="","",ROUND($D1554,2))</f>
        <v/>
      </c>
    </row>
    <row r="1555">
      <c r="A1555" s="6" t="n"/>
      <c r="B1555" s="6" t="n"/>
      <c r="C1555" s="7" t="n"/>
      <c r="D1555" s="8" t="n"/>
      <c r="E1555" s="6" t="n"/>
      <c r="F1555" s="6" t="n"/>
      <c r="G1555" s="6" t="n"/>
      <c r="H1555" s="6" t="n"/>
      <c r="I1555" s="12">
        <f>IF($B1555="","",IF(COUNTIF(Ventes_Factures!$A$6:$A$3005,$B1555)&gt;0,"OK","INCONNUE"))</f>
        <v/>
      </c>
      <c r="J1555" s="9">
        <f>IF($D1555="","",ROUND($D1555,2))</f>
        <v/>
      </c>
    </row>
    <row r="1556">
      <c r="A1556" s="6" t="n"/>
      <c r="B1556" s="6" t="n"/>
      <c r="C1556" s="7" t="n"/>
      <c r="D1556" s="8" t="n"/>
      <c r="E1556" s="6" t="n"/>
      <c r="F1556" s="6" t="n"/>
      <c r="G1556" s="6" t="n"/>
      <c r="H1556" s="6" t="n"/>
      <c r="I1556" s="12">
        <f>IF($B1556="","",IF(COUNTIF(Ventes_Factures!$A$6:$A$3005,$B1556)&gt;0,"OK","INCONNUE"))</f>
        <v/>
      </c>
      <c r="J1556" s="9">
        <f>IF($D1556="","",ROUND($D1556,2))</f>
        <v/>
      </c>
    </row>
    <row r="1557">
      <c r="A1557" s="6" t="n"/>
      <c r="B1557" s="6" t="n"/>
      <c r="C1557" s="7" t="n"/>
      <c r="D1557" s="8" t="n"/>
      <c r="E1557" s="6" t="n"/>
      <c r="F1557" s="6" t="n"/>
      <c r="G1557" s="6" t="n"/>
      <c r="H1557" s="6" t="n"/>
      <c r="I1557" s="12">
        <f>IF($B1557="","",IF(COUNTIF(Ventes_Factures!$A$6:$A$3005,$B1557)&gt;0,"OK","INCONNUE"))</f>
        <v/>
      </c>
      <c r="J1557" s="9">
        <f>IF($D1557="","",ROUND($D1557,2))</f>
        <v/>
      </c>
    </row>
    <row r="1558">
      <c r="A1558" s="6" t="n"/>
      <c r="B1558" s="6" t="n"/>
      <c r="C1558" s="7" t="n"/>
      <c r="D1558" s="8" t="n"/>
      <c r="E1558" s="6" t="n"/>
      <c r="F1558" s="6" t="n"/>
      <c r="G1558" s="6" t="n"/>
      <c r="H1558" s="6" t="n"/>
      <c r="I1558" s="12">
        <f>IF($B1558="","",IF(COUNTIF(Ventes_Factures!$A$6:$A$3005,$B1558)&gt;0,"OK","INCONNUE"))</f>
        <v/>
      </c>
      <c r="J1558" s="9">
        <f>IF($D1558="","",ROUND($D1558,2))</f>
        <v/>
      </c>
    </row>
    <row r="1559">
      <c r="A1559" s="6" t="n"/>
      <c r="B1559" s="6" t="n"/>
      <c r="C1559" s="7" t="n"/>
      <c r="D1559" s="8" t="n"/>
      <c r="E1559" s="6" t="n"/>
      <c r="F1559" s="6" t="n"/>
      <c r="G1559" s="6" t="n"/>
      <c r="H1559" s="6" t="n"/>
      <c r="I1559" s="12">
        <f>IF($B1559="","",IF(COUNTIF(Ventes_Factures!$A$6:$A$3005,$B1559)&gt;0,"OK","INCONNUE"))</f>
        <v/>
      </c>
      <c r="J1559" s="9">
        <f>IF($D1559="","",ROUND($D1559,2))</f>
        <v/>
      </c>
    </row>
    <row r="1560">
      <c r="A1560" s="6" t="n"/>
      <c r="B1560" s="6" t="n"/>
      <c r="C1560" s="7" t="n"/>
      <c r="D1560" s="8" t="n"/>
      <c r="E1560" s="6" t="n"/>
      <c r="F1560" s="6" t="n"/>
      <c r="G1560" s="6" t="n"/>
      <c r="H1560" s="6" t="n"/>
      <c r="I1560" s="12">
        <f>IF($B1560="","",IF(COUNTIF(Ventes_Factures!$A$6:$A$3005,$B1560)&gt;0,"OK","INCONNUE"))</f>
        <v/>
      </c>
      <c r="J1560" s="9">
        <f>IF($D1560="","",ROUND($D1560,2))</f>
        <v/>
      </c>
    </row>
    <row r="1561">
      <c r="A1561" s="6" t="n"/>
      <c r="B1561" s="6" t="n"/>
      <c r="C1561" s="7" t="n"/>
      <c r="D1561" s="8" t="n"/>
      <c r="E1561" s="6" t="n"/>
      <c r="F1561" s="6" t="n"/>
      <c r="G1561" s="6" t="n"/>
      <c r="H1561" s="6" t="n"/>
      <c r="I1561" s="12">
        <f>IF($B1561="","",IF(COUNTIF(Ventes_Factures!$A$6:$A$3005,$B1561)&gt;0,"OK","INCONNUE"))</f>
        <v/>
      </c>
      <c r="J1561" s="9">
        <f>IF($D1561="","",ROUND($D1561,2))</f>
        <v/>
      </c>
    </row>
    <row r="1562">
      <c r="A1562" s="6" t="n"/>
      <c r="B1562" s="6" t="n"/>
      <c r="C1562" s="7" t="n"/>
      <c r="D1562" s="8" t="n"/>
      <c r="E1562" s="6" t="n"/>
      <c r="F1562" s="6" t="n"/>
      <c r="G1562" s="6" t="n"/>
      <c r="H1562" s="6" t="n"/>
      <c r="I1562" s="12">
        <f>IF($B1562="","",IF(COUNTIF(Ventes_Factures!$A$6:$A$3005,$B1562)&gt;0,"OK","INCONNUE"))</f>
        <v/>
      </c>
      <c r="J1562" s="9">
        <f>IF($D1562="","",ROUND($D1562,2))</f>
        <v/>
      </c>
    </row>
    <row r="1563">
      <c r="A1563" s="6" t="n"/>
      <c r="B1563" s="6" t="n"/>
      <c r="C1563" s="7" t="n"/>
      <c r="D1563" s="8" t="n"/>
      <c r="E1563" s="6" t="n"/>
      <c r="F1563" s="6" t="n"/>
      <c r="G1563" s="6" t="n"/>
      <c r="H1563" s="6" t="n"/>
      <c r="I1563" s="12">
        <f>IF($B1563="","",IF(COUNTIF(Ventes_Factures!$A$6:$A$3005,$B1563)&gt;0,"OK","INCONNUE"))</f>
        <v/>
      </c>
      <c r="J1563" s="9">
        <f>IF($D1563="","",ROUND($D1563,2))</f>
        <v/>
      </c>
    </row>
    <row r="1564">
      <c r="A1564" s="6" t="n"/>
      <c r="B1564" s="6" t="n"/>
      <c r="C1564" s="7" t="n"/>
      <c r="D1564" s="8" t="n"/>
      <c r="E1564" s="6" t="n"/>
      <c r="F1564" s="6" t="n"/>
      <c r="G1564" s="6" t="n"/>
      <c r="H1564" s="6" t="n"/>
      <c r="I1564" s="12">
        <f>IF($B1564="","",IF(COUNTIF(Ventes_Factures!$A$6:$A$3005,$B1564)&gt;0,"OK","INCONNUE"))</f>
        <v/>
      </c>
      <c r="J1564" s="9">
        <f>IF($D1564="","",ROUND($D1564,2))</f>
        <v/>
      </c>
    </row>
    <row r="1565">
      <c r="A1565" s="6" t="n"/>
      <c r="B1565" s="6" t="n"/>
      <c r="C1565" s="7" t="n"/>
      <c r="D1565" s="8" t="n"/>
      <c r="E1565" s="6" t="n"/>
      <c r="F1565" s="6" t="n"/>
      <c r="G1565" s="6" t="n"/>
      <c r="H1565" s="6" t="n"/>
      <c r="I1565" s="12">
        <f>IF($B1565="","",IF(COUNTIF(Ventes_Factures!$A$6:$A$3005,$B1565)&gt;0,"OK","INCONNUE"))</f>
        <v/>
      </c>
      <c r="J1565" s="9">
        <f>IF($D1565="","",ROUND($D1565,2))</f>
        <v/>
      </c>
    </row>
    <row r="1566">
      <c r="A1566" s="6" t="n"/>
      <c r="B1566" s="6" t="n"/>
      <c r="C1566" s="7" t="n"/>
      <c r="D1566" s="8" t="n"/>
      <c r="E1566" s="6" t="n"/>
      <c r="F1566" s="6" t="n"/>
      <c r="G1566" s="6" t="n"/>
      <c r="H1566" s="6" t="n"/>
      <c r="I1566" s="12">
        <f>IF($B1566="","",IF(COUNTIF(Ventes_Factures!$A$6:$A$3005,$B1566)&gt;0,"OK","INCONNUE"))</f>
        <v/>
      </c>
      <c r="J1566" s="9">
        <f>IF($D1566="","",ROUND($D1566,2))</f>
        <v/>
      </c>
    </row>
    <row r="1567">
      <c r="A1567" s="6" t="n"/>
      <c r="B1567" s="6" t="n"/>
      <c r="C1567" s="7" t="n"/>
      <c r="D1567" s="8" t="n"/>
      <c r="E1567" s="6" t="n"/>
      <c r="F1567" s="6" t="n"/>
      <c r="G1567" s="6" t="n"/>
      <c r="H1567" s="6" t="n"/>
      <c r="I1567" s="12">
        <f>IF($B1567="","",IF(COUNTIF(Ventes_Factures!$A$6:$A$3005,$B1567)&gt;0,"OK","INCONNUE"))</f>
        <v/>
      </c>
      <c r="J1567" s="9">
        <f>IF($D1567="","",ROUND($D1567,2))</f>
        <v/>
      </c>
    </row>
    <row r="1568">
      <c r="A1568" s="6" t="n"/>
      <c r="B1568" s="6" t="n"/>
      <c r="C1568" s="7" t="n"/>
      <c r="D1568" s="8" t="n"/>
      <c r="E1568" s="6" t="n"/>
      <c r="F1568" s="6" t="n"/>
      <c r="G1568" s="6" t="n"/>
      <c r="H1568" s="6" t="n"/>
      <c r="I1568" s="12">
        <f>IF($B1568="","",IF(COUNTIF(Ventes_Factures!$A$6:$A$3005,$B1568)&gt;0,"OK","INCONNUE"))</f>
        <v/>
      </c>
      <c r="J1568" s="9">
        <f>IF($D1568="","",ROUND($D1568,2))</f>
        <v/>
      </c>
    </row>
    <row r="1569">
      <c r="A1569" s="6" t="n"/>
      <c r="B1569" s="6" t="n"/>
      <c r="C1569" s="7" t="n"/>
      <c r="D1569" s="8" t="n"/>
      <c r="E1569" s="6" t="n"/>
      <c r="F1569" s="6" t="n"/>
      <c r="G1569" s="6" t="n"/>
      <c r="H1569" s="6" t="n"/>
      <c r="I1569" s="12">
        <f>IF($B1569="","",IF(COUNTIF(Ventes_Factures!$A$6:$A$3005,$B1569)&gt;0,"OK","INCONNUE"))</f>
        <v/>
      </c>
      <c r="J1569" s="9">
        <f>IF($D1569="","",ROUND($D1569,2))</f>
        <v/>
      </c>
    </row>
    <row r="1570">
      <c r="A1570" s="6" t="n"/>
      <c r="B1570" s="6" t="n"/>
      <c r="C1570" s="7" t="n"/>
      <c r="D1570" s="8" t="n"/>
      <c r="E1570" s="6" t="n"/>
      <c r="F1570" s="6" t="n"/>
      <c r="G1570" s="6" t="n"/>
      <c r="H1570" s="6" t="n"/>
      <c r="I1570" s="12">
        <f>IF($B1570="","",IF(COUNTIF(Ventes_Factures!$A$6:$A$3005,$B1570)&gt;0,"OK","INCONNUE"))</f>
        <v/>
      </c>
      <c r="J1570" s="9">
        <f>IF($D1570="","",ROUND($D1570,2))</f>
        <v/>
      </c>
    </row>
    <row r="1571">
      <c r="A1571" s="6" t="n"/>
      <c r="B1571" s="6" t="n"/>
      <c r="C1571" s="7" t="n"/>
      <c r="D1571" s="8" t="n"/>
      <c r="E1571" s="6" t="n"/>
      <c r="F1571" s="6" t="n"/>
      <c r="G1571" s="6" t="n"/>
      <c r="H1571" s="6" t="n"/>
      <c r="I1571" s="12">
        <f>IF($B1571="","",IF(COUNTIF(Ventes_Factures!$A$6:$A$3005,$B1571)&gt;0,"OK","INCONNUE"))</f>
        <v/>
      </c>
      <c r="J1571" s="9">
        <f>IF($D1571="","",ROUND($D1571,2))</f>
        <v/>
      </c>
    </row>
    <row r="1572">
      <c r="A1572" s="6" t="n"/>
      <c r="B1572" s="6" t="n"/>
      <c r="C1572" s="7" t="n"/>
      <c r="D1572" s="8" t="n"/>
      <c r="E1572" s="6" t="n"/>
      <c r="F1572" s="6" t="n"/>
      <c r="G1572" s="6" t="n"/>
      <c r="H1572" s="6" t="n"/>
      <c r="I1572" s="12">
        <f>IF($B1572="","",IF(COUNTIF(Ventes_Factures!$A$6:$A$3005,$B1572)&gt;0,"OK","INCONNUE"))</f>
        <v/>
      </c>
      <c r="J1572" s="9">
        <f>IF($D1572="","",ROUND($D1572,2))</f>
        <v/>
      </c>
    </row>
    <row r="1573">
      <c r="A1573" s="6" t="n"/>
      <c r="B1573" s="6" t="n"/>
      <c r="C1573" s="7" t="n"/>
      <c r="D1573" s="8" t="n"/>
      <c r="E1573" s="6" t="n"/>
      <c r="F1573" s="6" t="n"/>
      <c r="G1573" s="6" t="n"/>
      <c r="H1573" s="6" t="n"/>
      <c r="I1573" s="12">
        <f>IF($B1573="","",IF(COUNTIF(Ventes_Factures!$A$6:$A$3005,$B1573)&gt;0,"OK","INCONNUE"))</f>
        <v/>
      </c>
      <c r="J1573" s="9">
        <f>IF($D1573="","",ROUND($D1573,2))</f>
        <v/>
      </c>
    </row>
    <row r="1574">
      <c r="A1574" s="6" t="n"/>
      <c r="B1574" s="6" t="n"/>
      <c r="C1574" s="7" t="n"/>
      <c r="D1574" s="8" t="n"/>
      <c r="E1574" s="6" t="n"/>
      <c r="F1574" s="6" t="n"/>
      <c r="G1574" s="6" t="n"/>
      <c r="H1574" s="6" t="n"/>
      <c r="I1574" s="12">
        <f>IF($B1574="","",IF(COUNTIF(Ventes_Factures!$A$6:$A$3005,$B1574)&gt;0,"OK","INCONNUE"))</f>
        <v/>
      </c>
      <c r="J1574" s="9">
        <f>IF($D1574="","",ROUND($D1574,2))</f>
        <v/>
      </c>
    </row>
    <row r="1575">
      <c r="A1575" s="6" t="n"/>
      <c r="B1575" s="6" t="n"/>
      <c r="C1575" s="7" t="n"/>
      <c r="D1575" s="8" t="n"/>
      <c r="E1575" s="6" t="n"/>
      <c r="F1575" s="6" t="n"/>
      <c r="G1575" s="6" t="n"/>
      <c r="H1575" s="6" t="n"/>
      <c r="I1575" s="12">
        <f>IF($B1575="","",IF(COUNTIF(Ventes_Factures!$A$6:$A$3005,$B1575)&gt;0,"OK","INCONNUE"))</f>
        <v/>
      </c>
      <c r="J1575" s="9">
        <f>IF($D1575="","",ROUND($D1575,2))</f>
        <v/>
      </c>
    </row>
    <row r="1576">
      <c r="A1576" s="6" t="n"/>
      <c r="B1576" s="6" t="n"/>
      <c r="C1576" s="7" t="n"/>
      <c r="D1576" s="8" t="n"/>
      <c r="E1576" s="6" t="n"/>
      <c r="F1576" s="6" t="n"/>
      <c r="G1576" s="6" t="n"/>
      <c r="H1576" s="6" t="n"/>
      <c r="I1576" s="12">
        <f>IF($B1576="","",IF(COUNTIF(Ventes_Factures!$A$6:$A$3005,$B1576)&gt;0,"OK","INCONNUE"))</f>
        <v/>
      </c>
      <c r="J1576" s="9">
        <f>IF($D1576="","",ROUND($D1576,2))</f>
        <v/>
      </c>
    </row>
    <row r="1577">
      <c r="A1577" s="6" t="n"/>
      <c r="B1577" s="6" t="n"/>
      <c r="C1577" s="7" t="n"/>
      <c r="D1577" s="8" t="n"/>
      <c r="E1577" s="6" t="n"/>
      <c r="F1577" s="6" t="n"/>
      <c r="G1577" s="6" t="n"/>
      <c r="H1577" s="6" t="n"/>
      <c r="I1577" s="12">
        <f>IF($B1577="","",IF(COUNTIF(Ventes_Factures!$A$6:$A$3005,$B1577)&gt;0,"OK","INCONNUE"))</f>
        <v/>
      </c>
      <c r="J1577" s="9">
        <f>IF($D1577="","",ROUND($D1577,2))</f>
        <v/>
      </c>
    </row>
    <row r="1578">
      <c r="A1578" s="6" t="n"/>
      <c r="B1578" s="6" t="n"/>
      <c r="C1578" s="7" t="n"/>
      <c r="D1578" s="8" t="n"/>
      <c r="E1578" s="6" t="n"/>
      <c r="F1578" s="6" t="n"/>
      <c r="G1578" s="6" t="n"/>
      <c r="H1578" s="6" t="n"/>
      <c r="I1578" s="12">
        <f>IF($B1578="","",IF(COUNTIF(Ventes_Factures!$A$6:$A$3005,$B1578)&gt;0,"OK","INCONNUE"))</f>
        <v/>
      </c>
      <c r="J1578" s="9">
        <f>IF($D1578="","",ROUND($D1578,2))</f>
        <v/>
      </c>
    </row>
    <row r="1579">
      <c r="A1579" s="6" t="n"/>
      <c r="B1579" s="6" t="n"/>
      <c r="C1579" s="7" t="n"/>
      <c r="D1579" s="8" t="n"/>
      <c r="E1579" s="6" t="n"/>
      <c r="F1579" s="6" t="n"/>
      <c r="G1579" s="6" t="n"/>
      <c r="H1579" s="6" t="n"/>
      <c r="I1579" s="12">
        <f>IF($B1579="","",IF(COUNTIF(Ventes_Factures!$A$6:$A$3005,$B1579)&gt;0,"OK","INCONNUE"))</f>
        <v/>
      </c>
      <c r="J1579" s="9">
        <f>IF($D1579="","",ROUND($D1579,2))</f>
        <v/>
      </c>
    </row>
    <row r="1580">
      <c r="A1580" s="6" t="n"/>
      <c r="B1580" s="6" t="n"/>
      <c r="C1580" s="7" t="n"/>
      <c r="D1580" s="8" t="n"/>
      <c r="E1580" s="6" t="n"/>
      <c r="F1580" s="6" t="n"/>
      <c r="G1580" s="6" t="n"/>
      <c r="H1580" s="6" t="n"/>
      <c r="I1580" s="12">
        <f>IF($B1580="","",IF(COUNTIF(Ventes_Factures!$A$6:$A$3005,$B1580)&gt;0,"OK","INCONNUE"))</f>
        <v/>
      </c>
      <c r="J1580" s="9">
        <f>IF($D1580="","",ROUND($D1580,2))</f>
        <v/>
      </c>
    </row>
    <row r="1581">
      <c r="A1581" s="6" t="n"/>
      <c r="B1581" s="6" t="n"/>
      <c r="C1581" s="7" t="n"/>
      <c r="D1581" s="8" t="n"/>
      <c r="E1581" s="6" t="n"/>
      <c r="F1581" s="6" t="n"/>
      <c r="G1581" s="6" t="n"/>
      <c r="H1581" s="6" t="n"/>
      <c r="I1581" s="12">
        <f>IF($B1581="","",IF(COUNTIF(Ventes_Factures!$A$6:$A$3005,$B1581)&gt;0,"OK","INCONNUE"))</f>
        <v/>
      </c>
      <c r="J1581" s="9">
        <f>IF($D1581="","",ROUND($D1581,2))</f>
        <v/>
      </c>
    </row>
    <row r="1582">
      <c r="A1582" s="6" t="n"/>
      <c r="B1582" s="6" t="n"/>
      <c r="C1582" s="7" t="n"/>
      <c r="D1582" s="8" t="n"/>
      <c r="E1582" s="6" t="n"/>
      <c r="F1582" s="6" t="n"/>
      <c r="G1582" s="6" t="n"/>
      <c r="H1582" s="6" t="n"/>
      <c r="I1582" s="12">
        <f>IF($B1582="","",IF(COUNTIF(Ventes_Factures!$A$6:$A$3005,$B1582)&gt;0,"OK","INCONNUE"))</f>
        <v/>
      </c>
      <c r="J1582" s="9">
        <f>IF($D1582="","",ROUND($D1582,2))</f>
        <v/>
      </c>
    </row>
    <row r="1583">
      <c r="A1583" s="6" t="n"/>
      <c r="B1583" s="6" t="n"/>
      <c r="C1583" s="7" t="n"/>
      <c r="D1583" s="8" t="n"/>
      <c r="E1583" s="6" t="n"/>
      <c r="F1583" s="6" t="n"/>
      <c r="G1583" s="6" t="n"/>
      <c r="H1583" s="6" t="n"/>
      <c r="I1583" s="12">
        <f>IF($B1583="","",IF(COUNTIF(Ventes_Factures!$A$6:$A$3005,$B1583)&gt;0,"OK","INCONNUE"))</f>
        <v/>
      </c>
      <c r="J1583" s="9">
        <f>IF($D1583="","",ROUND($D1583,2))</f>
        <v/>
      </c>
    </row>
    <row r="1584">
      <c r="A1584" s="6" t="n"/>
      <c r="B1584" s="6" t="n"/>
      <c r="C1584" s="7" t="n"/>
      <c r="D1584" s="8" t="n"/>
      <c r="E1584" s="6" t="n"/>
      <c r="F1584" s="6" t="n"/>
      <c r="G1584" s="6" t="n"/>
      <c r="H1584" s="6" t="n"/>
      <c r="I1584" s="12">
        <f>IF($B1584="","",IF(COUNTIF(Ventes_Factures!$A$6:$A$3005,$B1584)&gt;0,"OK","INCONNUE"))</f>
        <v/>
      </c>
      <c r="J1584" s="9">
        <f>IF($D1584="","",ROUND($D1584,2))</f>
        <v/>
      </c>
    </row>
    <row r="1585">
      <c r="A1585" s="6" t="n"/>
      <c r="B1585" s="6" t="n"/>
      <c r="C1585" s="7" t="n"/>
      <c r="D1585" s="8" t="n"/>
      <c r="E1585" s="6" t="n"/>
      <c r="F1585" s="6" t="n"/>
      <c r="G1585" s="6" t="n"/>
      <c r="H1585" s="6" t="n"/>
      <c r="I1585" s="12">
        <f>IF($B1585="","",IF(COUNTIF(Ventes_Factures!$A$6:$A$3005,$B1585)&gt;0,"OK","INCONNUE"))</f>
        <v/>
      </c>
      <c r="J1585" s="9">
        <f>IF($D1585="","",ROUND($D1585,2))</f>
        <v/>
      </c>
    </row>
    <row r="1586">
      <c r="A1586" s="6" t="n"/>
      <c r="B1586" s="6" t="n"/>
      <c r="C1586" s="7" t="n"/>
      <c r="D1586" s="8" t="n"/>
      <c r="E1586" s="6" t="n"/>
      <c r="F1586" s="6" t="n"/>
      <c r="G1586" s="6" t="n"/>
      <c r="H1586" s="6" t="n"/>
      <c r="I1586" s="12">
        <f>IF($B1586="","",IF(COUNTIF(Ventes_Factures!$A$6:$A$3005,$B1586)&gt;0,"OK","INCONNUE"))</f>
        <v/>
      </c>
      <c r="J1586" s="9">
        <f>IF($D1586="","",ROUND($D1586,2))</f>
        <v/>
      </c>
    </row>
    <row r="1587">
      <c r="A1587" s="6" t="n"/>
      <c r="B1587" s="6" t="n"/>
      <c r="C1587" s="7" t="n"/>
      <c r="D1587" s="8" t="n"/>
      <c r="E1587" s="6" t="n"/>
      <c r="F1587" s="6" t="n"/>
      <c r="G1587" s="6" t="n"/>
      <c r="H1587" s="6" t="n"/>
      <c r="I1587" s="12">
        <f>IF($B1587="","",IF(COUNTIF(Ventes_Factures!$A$6:$A$3005,$B1587)&gt;0,"OK","INCONNUE"))</f>
        <v/>
      </c>
      <c r="J1587" s="9">
        <f>IF($D1587="","",ROUND($D1587,2))</f>
        <v/>
      </c>
    </row>
    <row r="1588">
      <c r="A1588" s="6" t="n"/>
      <c r="B1588" s="6" t="n"/>
      <c r="C1588" s="7" t="n"/>
      <c r="D1588" s="8" t="n"/>
      <c r="E1588" s="6" t="n"/>
      <c r="F1588" s="6" t="n"/>
      <c r="G1588" s="6" t="n"/>
      <c r="H1588" s="6" t="n"/>
      <c r="I1588" s="12">
        <f>IF($B1588="","",IF(COUNTIF(Ventes_Factures!$A$6:$A$3005,$B1588)&gt;0,"OK","INCONNUE"))</f>
        <v/>
      </c>
      <c r="J1588" s="9">
        <f>IF($D1588="","",ROUND($D1588,2))</f>
        <v/>
      </c>
    </row>
    <row r="1589">
      <c r="A1589" s="6" t="n"/>
      <c r="B1589" s="6" t="n"/>
      <c r="C1589" s="7" t="n"/>
      <c r="D1589" s="8" t="n"/>
      <c r="E1589" s="6" t="n"/>
      <c r="F1589" s="6" t="n"/>
      <c r="G1589" s="6" t="n"/>
      <c r="H1589" s="6" t="n"/>
      <c r="I1589" s="12">
        <f>IF($B1589="","",IF(COUNTIF(Ventes_Factures!$A$6:$A$3005,$B1589)&gt;0,"OK","INCONNUE"))</f>
        <v/>
      </c>
      <c r="J1589" s="9">
        <f>IF($D1589="","",ROUND($D1589,2))</f>
        <v/>
      </c>
    </row>
    <row r="1590">
      <c r="A1590" s="6" t="n"/>
      <c r="B1590" s="6" t="n"/>
      <c r="C1590" s="7" t="n"/>
      <c r="D1590" s="8" t="n"/>
      <c r="E1590" s="6" t="n"/>
      <c r="F1590" s="6" t="n"/>
      <c r="G1590" s="6" t="n"/>
      <c r="H1590" s="6" t="n"/>
      <c r="I1590" s="12">
        <f>IF($B1590="","",IF(COUNTIF(Ventes_Factures!$A$6:$A$3005,$B1590)&gt;0,"OK","INCONNUE"))</f>
        <v/>
      </c>
      <c r="J1590" s="9">
        <f>IF($D1590="","",ROUND($D1590,2))</f>
        <v/>
      </c>
    </row>
    <row r="1591">
      <c r="A1591" s="6" t="n"/>
      <c r="B1591" s="6" t="n"/>
      <c r="C1591" s="7" t="n"/>
      <c r="D1591" s="8" t="n"/>
      <c r="E1591" s="6" t="n"/>
      <c r="F1591" s="6" t="n"/>
      <c r="G1591" s="6" t="n"/>
      <c r="H1591" s="6" t="n"/>
      <c r="I1591" s="12">
        <f>IF($B1591="","",IF(COUNTIF(Ventes_Factures!$A$6:$A$3005,$B1591)&gt;0,"OK","INCONNUE"))</f>
        <v/>
      </c>
      <c r="J1591" s="9">
        <f>IF($D1591="","",ROUND($D1591,2))</f>
        <v/>
      </c>
    </row>
    <row r="1592">
      <c r="A1592" s="6" t="n"/>
      <c r="B1592" s="6" t="n"/>
      <c r="C1592" s="7" t="n"/>
      <c r="D1592" s="8" t="n"/>
      <c r="E1592" s="6" t="n"/>
      <c r="F1592" s="6" t="n"/>
      <c r="G1592" s="6" t="n"/>
      <c r="H1592" s="6" t="n"/>
      <c r="I1592" s="12">
        <f>IF($B1592="","",IF(COUNTIF(Ventes_Factures!$A$6:$A$3005,$B1592)&gt;0,"OK","INCONNUE"))</f>
        <v/>
      </c>
      <c r="J1592" s="9">
        <f>IF($D1592="","",ROUND($D1592,2))</f>
        <v/>
      </c>
    </row>
    <row r="1593">
      <c r="A1593" s="6" t="n"/>
      <c r="B1593" s="6" t="n"/>
      <c r="C1593" s="7" t="n"/>
      <c r="D1593" s="8" t="n"/>
      <c r="E1593" s="6" t="n"/>
      <c r="F1593" s="6" t="n"/>
      <c r="G1593" s="6" t="n"/>
      <c r="H1593" s="6" t="n"/>
      <c r="I1593" s="12">
        <f>IF($B1593="","",IF(COUNTIF(Ventes_Factures!$A$6:$A$3005,$B1593)&gt;0,"OK","INCONNUE"))</f>
        <v/>
      </c>
      <c r="J1593" s="9">
        <f>IF($D1593="","",ROUND($D1593,2))</f>
        <v/>
      </c>
    </row>
    <row r="1594">
      <c r="A1594" s="6" t="n"/>
      <c r="B1594" s="6" t="n"/>
      <c r="C1594" s="7" t="n"/>
      <c r="D1594" s="8" t="n"/>
      <c r="E1594" s="6" t="n"/>
      <c r="F1594" s="6" t="n"/>
      <c r="G1594" s="6" t="n"/>
      <c r="H1594" s="6" t="n"/>
      <c r="I1594" s="12">
        <f>IF($B1594="","",IF(COUNTIF(Ventes_Factures!$A$6:$A$3005,$B1594)&gt;0,"OK","INCONNUE"))</f>
        <v/>
      </c>
      <c r="J1594" s="9">
        <f>IF($D1594="","",ROUND($D1594,2))</f>
        <v/>
      </c>
    </row>
    <row r="1595">
      <c r="A1595" s="6" t="n"/>
      <c r="B1595" s="6" t="n"/>
      <c r="C1595" s="7" t="n"/>
      <c r="D1595" s="8" t="n"/>
      <c r="E1595" s="6" t="n"/>
      <c r="F1595" s="6" t="n"/>
      <c r="G1595" s="6" t="n"/>
      <c r="H1595" s="6" t="n"/>
      <c r="I1595" s="12">
        <f>IF($B1595="","",IF(COUNTIF(Ventes_Factures!$A$6:$A$3005,$B1595)&gt;0,"OK","INCONNUE"))</f>
        <v/>
      </c>
      <c r="J1595" s="9">
        <f>IF($D1595="","",ROUND($D1595,2))</f>
        <v/>
      </c>
    </row>
    <row r="1596">
      <c r="A1596" s="6" t="n"/>
      <c r="B1596" s="6" t="n"/>
      <c r="C1596" s="7" t="n"/>
      <c r="D1596" s="8" t="n"/>
      <c r="E1596" s="6" t="n"/>
      <c r="F1596" s="6" t="n"/>
      <c r="G1596" s="6" t="n"/>
      <c r="H1596" s="6" t="n"/>
      <c r="I1596" s="12">
        <f>IF($B1596="","",IF(COUNTIF(Ventes_Factures!$A$6:$A$3005,$B1596)&gt;0,"OK","INCONNUE"))</f>
        <v/>
      </c>
      <c r="J1596" s="9">
        <f>IF($D1596="","",ROUND($D1596,2))</f>
        <v/>
      </c>
    </row>
    <row r="1597">
      <c r="A1597" s="6" t="n"/>
      <c r="B1597" s="6" t="n"/>
      <c r="C1597" s="7" t="n"/>
      <c r="D1597" s="8" t="n"/>
      <c r="E1597" s="6" t="n"/>
      <c r="F1597" s="6" t="n"/>
      <c r="G1597" s="6" t="n"/>
      <c r="H1597" s="6" t="n"/>
      <c r="I1597" s="12">
        <f>IF($B1597="","",IF(COUNTIF(Ventes_Factures!$A$6:$A$3005,$B1597)&gt;0,"OK","INCONNUE"))</f>
        <v/>
      </c>
      <c r="J1597" s="9">
        <f>IF($D1597="","",ROUND($D1597,2))</f>
        <v/>
      </c>
    </row>
    <row r="1598">
      <c r="A1598" s="6" t="n"/>
      <c r="B1598" s="6" t="n"/>
      <c r="C1598" s="7" t="n"/>
      <c r="D1598" s="8" t="n"/>
      <c r="E1598" s="6" t="n"/>
      <c r="F1598" s="6" t="n"/>
      <c r="G1598" s="6" t="n"/>
      <c r="H1598" s="6" t="n"/>
      <c r="I1598" s="12">
        <f>IF($B1598="","",IF(COUNTIF(Ventes_Factures!$A$6:$A$3005,$B1598)&gt;0,"OK","INCONNUE"))</f>
        <v/>
      </c>
      <c r="J1598" s="9">
        <f>IF($D1598="","",ROUND($D1598,2))</f>
        <v/>
      </c>
    </row>
    <row r="1599">
      <c r="A1599" s="6" t="n"/>
      <c r="B1599" s="6" t="n"/>
      <c r="C1599" s="7" t="n"/>
      <c r="D1599" s="8" t="n"/>
      <c r="E1599" s="6" t="n"/>
      <c r="F1599" s="6" t="n"/>
      <c r="G1599" s="6" t="n"/>
      <c r="H1599" s="6" t="n"/>
      <c r="I1599" s="12">
        <f>IF($B1599="","",IF(COUNTIF(Ventes_Factures!$A$6:$A$3005,$B1599)&gt;0,"OK","INCONNUE"))</f>
        <v/>
      </c>
      <c r="J1599" s="9">
        <f>IF($D1599="","",ROUND($D1599,2))</f>
        <v/>
      </c>
    </row>
    <row r="1600">
      <c r="A1600" s="6" t="n"/>
      <c r="B1600" s="6" t="n"/>
      <c r="C1600" s="7" t="n"/>
      <c r="D1600" s="8" t="n"/>
      <c r="E1600" s="6" t="n"/>
      <c r="F1600" s="6" t="n"/>
      <c r="G1600" s="6" t="n"/>
      <c r="H1600" s="6" t="n"/>
      <c r="I1600" s="12">
        <f>IF($B1600="","",IF(COUNTIF(Ventes_Factures!$A$6:$A$3005,$B1600)&gt;0,"OK","INCONNUE"))</f>
        <v/>
      </c>
      <c r="J1600" s="9">
        <f>IF($D1600="","",ROUND($D1600,2))</f>
        <v/>
      </c>
    </row>
    <row r="1601">
      <c r="A1601" s="6" t="n"/>
      <c r="B1601" s="6" t="n"/>
      <c r="C1601" s="7" t="n"/>
      <c r="D1601" s="8" t="n"/>
      <c r="E1601" s="6" t="n"/>
      <c r="F1601" s="6" t="n"/>
      <c r="G1601" s="6" t="n"/>
      <c r="H1601" s="6" t="n"/>
      <c r="I1601" s="12">
        <f>IF($B1601="","",IF(COUNTIF(Ventes_Factures!$A$6:$A$3005,$B1601)&gt;0,"OK","INCONNUE"))</f>
        <v/>
      </c>
      <c r="J1601" s="9">
        <f>IF($D1601="","",ROUND($D1601,2))</f>
        <v/>
      </c>
    </row>
    <row r="1602">
      <c r="A1602" s="6" t="n"/>
      <c r="B1602" s="6" t="n"/>
      <c r="C1602" s="7" t="n"/>
      <c r="D1602" s="8" t="n"/>
      <c r="E1602" s="6" t="n"/>
      <c r="F1602" s="6" t="n"/>
      <c r="G1602" s="6" t="n"/>
      <c r="H1602" s="6" t="n"/>
      <c r="I1602" s="12">
        <f>IF($B1602="","",IF(COUNTIF(Ventes_Factures!$A$6:$A$3005,$B1602)&gt;0,"OK","INCONNUE"))</f>
        <v/>
      </c>
      <c r="J1602" s="9">
        <f>IF($D1602="","",ROUND($D1602,2))</f>
        <v/>
      </c>
    </row>
    <row r="1603">
      <c r="A1603" s="6" t="n"/>
      <c r="B1603" s="6" t="n"/>
      <c r="C1603" s="7" t="n"/>
      <c r="D1603" s="8" t="n"/>
      <c r="E1603" s="6" t="n"/>
      <c r="F1603" s="6" t="n"/>
      <c r="G1603" s="6" t="n"/>
      <c r="H1603" s="6" t="n"/>
      <c r="I1603" s="12">
        <f>IF($B1603="","",IF(COUNTIF(Ventes_Factures!$A$6:$A$3005,$B1603)&gt;0,"OK","INCONNUE"))</f>
        <v/>
      </c>
      <c r="J1603" s="9">
        <f>IF($D1603="","",ROUND($D1603,2))</f>
        <v/>
      </c>
    </row>
    <row r="1604">
      <c r="A1604" s="6" t="n"/>
      <c r="B1604" s="6" t="n"/>
      <c r="C1604" s="7" t="n"/>
      <c r="D1604" s="8" t="n"/>
      <c r="E1604" s="6" t="n"/>
      <c r="F1604" s="6" t="n"/>
      <c r="G1604" s="6" t="n"/>
      <c r="H1604" s="6" t="n"/>
      <c r="I1604" s="12">
        <f>IF($B1604="","",IF(COUNTIF(Ventes_Factures!$A$6:$A$3005,$B1604)&gt;0,"OK","INCONNUE"))</f>
        <v/>
      </c>
      <c r="J1604" s="9">
        <f>IF($D1604="","",ROUND($D1604,2))</f>
        <v/>
      </c>
    </row>
    <row r="1605">
      <c r="A1605" s="6" t="n"/>
      <c r="B1605" s="6" t="n"/>
      <c r="C1605" s="7" t="n"/>
      <c r="D1605" s="8" t="n"/>
      <c r="E1605" s="6" t="n"/>
      <c r="F1605" s="6" t="n"/>
      <c r="G1605" s="6" t="n"/>
      <c r="H1605" s="6" t="n"/>
      <c r="I1605" s="12">
        <f>IF($B1605="","",IF(COUNTIF(Ventes_Factures!$A$6:$A$3005,$B1605)&gt;0,"OK","INCONNUE"))</f>
        <v/>
      </c>
      <c r="J1605" s="9">
        <f>IF($D1605="","",ROUND($D1605,2))</f>
        <v/>
      </c>
    </row>
    <row r="1606">
      <c r="A1606" s="6" t="n"/>
      <c r="B1606" s="6" t="n"/>
      <c r="C1606" s="7" t="n"/>
      <c r="D1606" s="8" t="n"/>
      <c r="E1606" s="6" t="n"/>
      <c r="F1606" s="6" t="n"/>
      <c r="G1606" s="6" t="n"/>
      <c r="H1606" s="6" t="n"/>
      <c r="I1606" s="12">
        <f>IF($B1606="","",IF(COUNTIF(Ventes_Factures!$A$6:$A$3005,$B1606)&gt;0,"OK","INCONNUE"))</f>
        <v/>
      </c>
      <c r="J1606" s="9">
        <f>IF($D1606="","",ROUND($D1606,2))</f>
        <v/>
      </c>
    </row>
    <row r="1607">
      <c r="A1607" s="6" t="n"/>
      <c r="B1607" s="6" t="n"/>
      <c r="C1607" s="7" t="n"/>
      <c r="D1607" s="8" t="n"/>
      <c r="E1607" s="6" t="n"/>
      <c r="F1607" s="6" t="n"/>
      <c r="G1607" s="6" t="n"/>
      <c r="H1607" s="6" t="n"/>
      <c r="I1607" s="12">
        <f>IF($B1607="","",IF(COUNTIF(Ventes_Factures!$A$6:$A$3005,$B1607)&gt;0,"OK","INCONNUE"))</f>
        <v/>
      </c>
      <c r="J1607" s="9">
        <f>IF($D1607="","",ROUND($D1607,2))</f>
        <v/>
      </c>
    </row>
    <row r="1608">
      <c r="A1608" s="6" t="n"/>
      <c r="B1608" s="6" t="n"/>
      <c r="C1608" s="7" t="n"/>
      <c r="D1608" s="8" t="n"/>
      <c r="E1608" s="6" t="n"/>
      <c r="F1608" s="6" t="n"/>
      <c r="G1608" s="6" t="n"/>
      <c r="H1608" s="6" t="n"/>
      <c r="I1608" s="12">
        <f>IF($B1608="","",IF(COUNTIF(Ventes_Factures!$A$6:$A$3005,$B1608)&gt;0,"OK","INCONNUE"))</f>
        <v/>
      </c>
      <c r="J1608" s="9">
        <f>IF($D1608="","",ROUND($D1608,2))</f>
        <v/>
      </c>
    </row>
    <row r="1609">
      <c r="A1609" s="6" t="n"/>
      <c r="B1609" s="6" t="n"/>
      <c r="C1609" s="7" t="n"/>
      <c r="D1609" s="8" t="n"/>
      <c r="E1609" s="6" t="n"/>
      <c r="F1609" s="6" t="n"/>
      <c r="G1609" s="6" t="n"/>
      <c r="H1609" s="6" t="n"/>
      <c r="I1609" s="12">
        <f>IF($B1609="","",IF(COUNTIF(Ventes_Factures!$A$6:$A$3005,$B1609)&gt;0,"OK","INCONNUE"))</f>
        <v/>
      </c>
      <c r="J1609" s="9">
        <f>IF($D1609="","",ROUND($D1609,2))</f>
        <v/>
      </c>
    </row>
    <row r="1610">
      <c r="A1610" s="6" t="n"/>
      <c r="B1610" s="6" t="n"/>
      <c r="C1610" s="7" t="n"/>
      <c r="D1610" s="8" t="n"/>
      <c r="E1610" s="6" t="n"/>
      <c r="F1610" s="6" t="n"/>
      <c r="G1610" s="6" t="n"/>
      <c r="H1610" s="6" t="n"/>
      <c r="I1610" s="12">
        <f>IF($B1610="","",IF(COUNTIF(Ventes_Factures!$A$6:$A$3005,$B1610)&gt;0,"OK","INCONNUE"))</f>
        <v/>
      </c>
      <c r="J1610" s="9">
        <f>IF($D1610="","",ROUND($D1610,2))</f>
        <v/>
      </c>
    </row>
    <row r="1611">
      <c r="A1611" s="6" t="n"/>
      <c r="B1611" s="6" t="n"/>
      <c r="C1611" s="7" t="n"/>
      <c r="D1611" s="8" t="n"/>
      <c r="E1611" s="6" t="n"/>
      <c r="F1611" s="6" t="n"/>
      <c r="G1611" s="6" t="n"/>
      <c r="H1611" s="6" t="n"/>
      <c r="I1611" s="12">
        <f>IF($B1611="","",IF(COUNTIF(Ventes_Factures!$A$6:$A$3005,$B1611)&gt;0,"OK","INCONNUE"))</f>
        <v/>
      </c>
      <c r="J1611" s="9">
        <f>IF($D1611="","",ROUND($D1611,2))</f>
        <v/>
      </c>
    </row>
    <row r="1612">
      <c r="A1612" s="6" t="n"/>
      <c r="B1612" s="6" t="n"/>
      <c r="C1612" s="7" t="n"/>
      <c r="D1612" s="8" t="n"/>
      <c r="E1612" s="6" t="n"/>
      <c r="F1612" s="6" t="n"/>
      <c r="G1612" s="6" t="n"/>
      <c r="H1612" s="6" t="n"/>
      <c r="I1612" s="12">
        <f>IF($B1612="","",IF(COUNTIF(Ventes_Factures!$A$6:$A$3005,$B1612)&gt;0,"OK","INCONNUE"))</f>
        <v/>
      </c>
      <c r="J1612" s="9">
        <f>IF($D1612="","",ROUND($D1612,2))</f>
        <v/>
      </c>
    </row>
    <row r="1613">
      <c r="A1613" s="6" t="n"/>
      <c r="B1613" s="6" t="n"/>
      <c r="C1613" s="7" t="n"/>
      <c r="D1613" s="8" t="n"/>
      <c r="E1613" s="6" t="n"/>
      <c r="F1613" s="6" t="n"/>
      <c r="G1613" s="6" t="n"/>
      <c r="H1613" s="6" t="n"/>
      <c r="I1613" s="12">
        <f>IF($B1613="","",IF(COUNTIF(Ventes_Factures!$A$6:$A$3005,$B1613)&gt;0,"OK","INCONNUE"))</f>
        <v/>
      </c>
      <c r="J1613" s="9">
        <f>IF($D1613="","",ROUND($D1613,2))</f>
        <v/>
      </c>
    </row>
    <row r="1614">
      <c r="A1614" s="6" t="n"/>
      <c r="B1614" s="6" t="n"/>
      <c r="C1614" s="7" t="n"/>
      <c r="D1614" s="8" t="n"/>
      <c r="E1614" s="6" t="n"/>
      <c r="F1614" s="6" t="n"/>
      <c r="G1614" s="6" t="n"/>
      <c r="H1614" s="6" t="n"/>
      <c r="I1614" s="12">
        <f>IF($B1614="","",IF(COUNTIF(Ventes_Factures!$A$6:$A$3005,$B1614)&gt;0,"OK","INCONNUE"))</f>
        <v/>
      </c>
      <c r="J1614" s="9">
        <f>IF($D1614="","",ROUND($D1614,2))</f>
        <v/>
      </c>
    </row>
    <row r="1615">
      <c r="A1615" s="6" t="n"/>
      <c r="B1615" s="6" t="n"/>
      <c r="C1615" s="7" t="n"/>
      <c r="D1615" s="8" t="n"/>
      <c r="E1615" s="6" t="n"/>
      <c r="F1615" s="6" t="n"/>
      <c r="G1615" s="6" t="n"/>
      <c r="H1615" s="6" t="n"/>
      <c r="I1615" s="12">
        <f>IF($B1615="","",IF(COUNTIF(Ventes_Factures!$A$6:$A$3005,$B1615)&gt;0,"OK","INCONNUE"))</f>
        <v/>
      </c>
      <c r="J1615" s="9">
        <f>IF($D1615="","",ROUND($D1615,2))</f>
        <v/>
      </c>
    </row>
    <row r="1616">
      <c r="A1616" s="6" t="n"/>
      <c r="B1616" s="6" t="n"/>
      <c r="C1616" s="7" t="n"/>
      <c r="D1616" s="8" t="n"/>
      <c r="E1616" s="6" t="n"/>
      <c r="F1616" s="6" t="n"/>
      <c r="G1616" s="6" t="n"/>
      <c r="H1616" s="6" t="n"/>
      <c r="I1616" s="12">
        <f>IF($B1616="","",IF(COUNTIF(Ventes_Factures!$A$6:$A$3005,$B1616)&gt;0,"OK","INCONNUE"))</f>
        <v/>
      </c>
      <c r="J1616" s="9">
        <f>IF($D1616="","",ROUND($D1616,2))</f>
        <v/>
      </c>
    </row>
    <row r="1617">
      <c r="A1617" s="6" t="n"/>
      <c r="B1617" s="6" t="n"/>
      <c r="C1617" s="7" t="n"/>
      <c r="D1617" s="8" t="n"/>
      <c r="E1617" s="6" t="n"/>
      <c r="F1617" s="6" t="n"/>
      <c r="G1617" s="6" t="n"/>
      <c r="H1617" s="6" t="n"/>
      <c r="I1617" s="12">
        <f>IF($B1617="","",IF(COUNTIF(Ventes_Factures!$A$6:$A$3005,$B1617)&gt;0,"OK","INCONNUE"))</f>
        <v/>
      </c>
      <c r="J1617" s="9">
        <f>IF($D1617="","",ROUND($D1617,2))</f>
        <v/>
      </c>
    </row>
    <row r="1618">
      <c r="A1618" s="6" t="n"/>
      <c r="B1618" s="6" t="n"/>
      <c r="C1618" s="7" t="n"/>
      <c r="D1618" s="8" t="n"/>
      <c r="E1618" s="6" t="n"/>
      <c r="F1618" s="6" t="n"/>
      <c r="G1618" s="6" t="n"/>
      <c r="H1618" s="6" t="n"/>
      <c r="I1618" s="12">
        <f>IF($B1618="","",IF(COUNTIF(Ventes_Factures!$A$6:$A$3005,$B1618)&gt;0,"OK","INCONNUE"))</f>
        <v/>
      </c>
      <c r="J1618" s="9">
        <f>IF($D1618="","",ROUND($D1618,2))</f>
        <v/>
      </c>
    </row>
    <row r="1619">
      <c r="A1619" s="6" t="n"/>
      <c r="B1619" s="6" t="n"/>
      <c r="C1619" s="7" t="n"/>
      <c r="D1619" s="8" t="n"/>
      <c r="E1619" s="6" t="n"/>
      <c r="F1619" s="6" t="n"/>
      <c r="G1619" s="6" t="n"/>
      <c r="H1619" s="6" t="n"/>
      <c r="I1619" s="12">
        <f>IF($B1619="","",IF(COUNTIF(Ventes_Factures!$A$6:$A$3005,$B1619)&gt;0,"OK","INCONNUE"))</f>
        <v/>
      </c>
      <c r="J1619" s="9">
        <f>IF($D1619="","",ROUND($D1619,2))</f>
        <v/>
      </c>
    </row>
    <row r="1620">
      <c r="A1620" s="6" t="n"/>
      <c r="B1620" s="6" t="n"/>
      <c r="C1620" s="7" t="n"/>
      <c r="D1620" s="8" t="n"/>
      <c r="E1620" s="6" t="n"/>
      <c r="F1620" s="6" t="n"/>
      <c r="G1620" s="6" t="n"/>
      <c r="H1620" s="6" t="n"/>
      <c r="I1620" s="12">
        <f>IF($B1620="","",IF(COUNTIF(Ventes_Factures!$A$6:$A$3005,$B1620)&gt;0,"OK","INCONNUE"))</f>
        <v/>
      </c>
      <c r="J1620" s="9">
        <f>IF($D1620="","",ROUND($D1620,2))</f>
        <v/>
      </c>
    </row>
    <row r="1621">
      <c r="A1621" s="6" t="n"/>
      <c r="B1621" s="6" t="n"/>
      <c r="C1621" s="7" t="n"/>
      <c r="D1621" s="8" t="n"/>
      <c r="E1621" s="6" t="n"/>
      <c r="F1621" s="6" t="n"/>
      <c r="G1621" s="6" t="n"/>
      <c r="H1621" s="6" t="n"/>
      <c r="I1621" s="12">
        <f>IF($B1621="","",IF(COUNTIF(Ventes_Factures!$A$6:$A$3005,$B1621)&gt;0,"OK","INCONNUE"))</f>
        <v/>
      </c>
      <c r="J1621" s="9">
        <f>IF($D1621="","",ROUND($D1621,2))</f>
        <v/>
      </c>
    </row>
    <row r="1622">
      <c r="A1622" s="6" t="n"/>
      <c r="B1622" s="6" t="n"/>
      <c r="C1622" s="7" t="n"/>
      <c r="D1622" s="8" t="n"/>
      <c r="E1622" s="6" t="n"/>
      <c r="F1622" s="6" t="n"/>
      <c r="G1622" s="6" t="n"/>
      <c r="H1622" s="6" t="n"/>
      <c r="I1622" s="12">
        <f>IF($B1622="","",IF(COUNTIF(Ventes_Factures!$A$6:$A$3005,$B1622)&gt;0,"OK","INCONNUE"))</f>
        <v/>
      </c>
      <c r="J1622" s="9">
        <f>IF($D1622="","",ROUND($D1622,2))</f>
        <v/>
      </c>
    </row>
    <row r="1623">
      <c r="A1623" s="6" t="n"/>
      <c r="B1623" s="6" t="n"/>
      <c r="C1623" s="7" t="n"/>
      <c r="D1623" s="8" t="n"/>
      <c r="E1623" s="6" t="n"/>
      <c r="F1623" s="6" t="n"/>
      <c r="G1623" s="6" t="n"/>
      <c r="H1623" s="6" t="n"/>
      <c r="I1623" s="12">
        <f>IF($B1623="","",IF(COUNTIF(Ventes_Factures!$A$6:$A$3005,$B1623)&gt;0,"OK","INCONNUE"))</f>
        <v/>
      </c>
      <c r="J1623" s="9">
        <f>IF($D1623="","",ROUND($D1623,2))</f>
        <v/>
      </c>
    </row>
    <row r="1624">
      <c r="A1624" s="6" t="n"/>
      <c r="B1624" s="6" t="n"/>
      <c r="C1624" s="7" t="n"/>
      <c r="D1624" s="8" t="n"/>
      <c r="E1624" s="6" t="n"/>
      <c r="F1624" s="6" t="n"/>
      <c r="G1624" s="6" t="n"/>
      <c r="H1624" s="6" t="n"/>
      <c r="I1624" s="12">
        <f>IF($B1624="","",IF(COUNTIF(Ventes_Factures!$A$6:$A$3005,$B1624)&gt;0,"OK","INCONNUE"))</f>
        <v/>
      </c>
      <c r="J1624" s="9">
        <f>IF($D1624="","",ROUND($D1624,2))</f>
        <v/>
      </c>
    </row>
    <row r="1625">
      <c r="A1625" s="6" t="n"/>
      <c r="B1625" s="6" t="n"/>
      <c r="C1625" s="7" t="n"/>
      <c r="D1625" s="8" t="n"/>
      <c r="E1625" s="6" t="n"/>
      <c r="F1625" s="6" t="n"/>
      <c r="G1625" s="6" t="n"/>
      <c r="H1625" s="6" t="n"/>
      <c r="I1625" s="12">
        <f>IF($B1625="","",IF(COUNTIF(Ventes_Factures!$A$6:$A$3005,$B1625)&gt;0,"OK","INCONNUE"))</f>
        <v/>
      </c>
      <c r="J1625" s="9">
        <f>IF($D1625="","",ROUND($D1625,2))</f>
        <v/>
      </c>
    </row>
    <row r="1626">
      <c r="A1626" s="6" t="n"/>
      <c r="B1626" s="6" t="n"/>
      <c r="C1626" s="7" t="n"/>
      <c r="D1626" s="8" t="n"/>
      <c r="E1626" s="6" t="n"/>
      <c r="F1626" s="6" t="n"/>
      <c r="G1626" s="6" t="n"/>
      <c r="H1626" s="6" t="n"/>
      <c r="I1626" s="12">
        <f>IF($B1626="","",IF(COUNTIF(Ventes_Factures!$A$6:$A$3005,$B1626)&gt;0,"OK","INCONNUE"))</f>
        <v/>
      </c>
      <c r="J1626" s="9">
        <f>IF($D1626="","",ROUND($D1626,2))</f>
        <v/>
      </c>
    </row>
    <row r="1627">
      <c r="A1627" s="6" t="n"/>
      <c r="B1627" s="6" t="n"/>
      <c r="C1627" s="7" t="n"/>
      <c r="D1627" s="8" t="n"/>
      <c r="E1627" s="6" t="n"/>
      <c r="F1627" s="6" t="n"/>
      <c r="G1627" s="6" t="n"/>
      <c r="H1627" s="6" t="n"/>
      <c r="I1627" s="12">
        <f>IF($B1627="","",IF(COUNTIF(Ventes_Factures!$A$6:$A$3005,$B1627)&gt;0,"OK","INCONNUE"))</f>
        <v/>
      </c>
      <c r="J1627" s="9">
        <f>IF($D1627="","",ROUND($D1627,2))</f>
        <v/>
      </c>
    </row>
    <row r="1628">
      <c r="A1628" s="6" t="n"/>
      <c r="B1628" s="6" t="n"/>
      <c r="C1628" s="7" t="n"/>
      <c r="D1628" s="8" t="n"/>
      <c r="E1628" s="6" t="n"/>
      <c r="F1628" s="6" t="n"/>
      <c r="G1628" s="6" t="n"/>
      <c r="H1628" s="6" t="n"/>
      <c r="I1628" s="12">
        <f>IF($B1628="","",IF(COUNTIF(Ventes_Factures!$A$6:$A$3005,$B1628)&gt;0,"OK","INCONNUE"))</f>
        <v/>
      </c>
      <c r="J1628" s="9">
        <f>IF($D1628="","",ROUND($D1628,2))</f>
        <v/>
      </c>
    </row>
    <row r="1629">
      <c r="A1629" s="6" t="n"/>
      <c r="B1629" s="6" t="n"/>
      <c r="C1629" s="7" t="n"/>
      <c r="D1629" s="8" t="n"/>
      <c r="E1629" s="6" t="n"/>
      <c r="F1629" s="6" t="n"/>
      <c r="G1629" s="6" t="n"/>
      <c r="H1629" s="6" t="n"/>
      <c r="I1629" s="12">
        <f>IF($B1629="","",IF(COUNTIF(Ventes_Factures!$A$6:$A$3005,$B1629)&gt;0,"OK","INCONNUE"))</f>
        <v/>
      </c>
      <c r="J1629" s="9">
        <f>IF($D1629="","",ROUND($D1629,2))</f>
        <v/>
      </c>
    </row>
    <row r="1630">
      <c r="A1630" s="6" t="n"/>
      <c r="B1630" s="6" t="n"/>
      <c r="C1630" s="7" t="n"/>
      <c r="D1630" s="8" t="n"/>
      <c r="E1630" s="6" t="n"/>
      <c r="F1630" s="6" t="n"/>
      <c r="G1630" s="6" t="n"/>
      <c r="H1630" s="6" t="n"/>
      <c r="I1630" s="12">
        <f>IF($B1630="","",IF(COUNTIF(Ventes_Factures!$A$6:$A$3005,$B1630)&gt;0,"OK","INCONNUE"))</f>
        <v/>
      </c>
      <c r="J1630" s="9">
        <f>IF($D1630="","",ROUND($D1630,2))</f>
        <v/>
      </c>
    </row>
    <row r="1631">
      <c r="A1631" s="6" t="n"/>
      <c r="B1631" s="6" t="n"/>
      <c r="C1631" s="7" t="n"/>
      <c r="D1631" s="8" t="n"/>
      <c r="E1631" s="6" t="n"/>
      <c r="F1631" s="6" t="n"/>
      <c r="G1631" s="6" t="n"/>
      <c r="H1631" s="6" t="n"/>
      <c r="I1631" s="12">
        <f>IF($B1631="","",IF(COUNTIF(Ventes_Factures!$A$6:$A$3005,$B1631)&gt;0,"OK","INCONNUE"))</f>
        <v/>
      </c>
      <c r="J1631" s="9">
        <f>IF($D1631="","",ROUND($D1631,2))</f>
        <v/>
      </c>
    </row>
    <row r="1632">
      <c r="A1632" s="6" t="n"/>
      <c r="B1632" s="6" t="n"/>
      <c r="C1632" s="7" t="n"/>
      <c r="D1632" s="8" t="n"/>
      <c r="E1632" s="6" t="n"/>
      <c r="F1632" s="6" t="n"/>
      <c r="G1632" s="6" t="n"/>
      <c r="H1632" s="6" t="n"/>
      <c r="I1632" s="12">
        <f>IF($B1632="","",IF(COUNTIF(Ventes_Factures!$A$6:$A$3005,$B1632)&gt;0,"OK","INCONNUE"))</f>
        <v/>
      </c>
      <c r="J1632" s="9">
        <f>IF($D1632="","",ROUND($D1632,2))</f>
        <v/>
      </c>
    </row>
    <row r="1633">
      <c r="A1633" s="6" t="n"/>
      <c r="B1633" s="6" t="n"/>
      <c r="C1633" s="7" t="n"/>
      <c r="D1633" s="8" t="n"/>
      <c r="E1633" s="6" t="n"/>
      <c r="F1633" s="6" t="n"/>
      <c r="G1633" s="6" t="n"/>
      <c r="H1633" s="6" t="n"/>
      <c r="I1633" s="12">
        <f>IF($B1633="","",IF(COUNTIF(Ventes_Factures!$A$6:$A$3005,$B1633)&gt;0,"OK","INCONNUE"))</f>
        <v/>
      </c>
      <c r="J1633" s="9">
        <f>IF($D1633="","",ROUND($D1633,2))</f>
        <v/>
      </c>
    </row>
    <row r="1634">
      <c r="A1634" s="6" t="n"/>
      <c r="B1634" s="6" t="n"/>
      <c r="C1634" s="7" t="n"/>
      <c r="D1634" s="8" t="n"/>
      <c r="E1634" s="6" t="n"/>
      <c r="F1634" s="6" t="n"/>
      <c r="G1634" s="6" t="n"/>
      <c r="H1634" s="6" t="n"/>
      <c r="I1634" s="12">
        <f>IF($B1634="","",IF(COUNTIF(Ventes_Factures!$A$6:$A$3005,$B1634)&gt;0,"OK","INCONNUE"))</f>
        <v/>
      </c>
      <c r="J1634" s="9">
        <f>IF($D1634="","",ROUND($D1634,2))</f>
        <v/>
      </c>
    </row>
    <row r="1635">
      <c r="A1635" s="6" t="n"/>
      <c r="B1635" s="6" t="n"/>
      <c r="C1635" s="7" t="n"/>
      <c r="D1635" s="8" t="n"/>
      <c r="E1635" s="6" t="n"/>
      <c r="F1635" s="6" t="n"/>
      <c r="G1635" s="6" t="n"/>
      <c r="H1635" s="6" t="n"/>
      <c r="I1635" s="12">
        <f>IF($B1635="","",IF(COUNTIF(Ventes_Factures!$A$6:$A$3005,$B1635)&gt;0,"OK","INCONNUE"))</f>
        <v/>
      </c>
      <c r="J1635" s="9">
        <f>IF($D1635="","",ROUND($D1635,2))</f>
        <v/>
      </c>
    </row>
    <row r="1636">
      <c r="A1636" s="6" t="n"/>
      <c r="B1636" s="6" t="n"/>
      <c r="C1636" s="7" t="n"/>
      <c r="D1636" s="8" t="n"/>
      <c r="E1636" s="6" t="n"/>
      <c r="F1636" s="6" t="n"/>
      <c r="G1636" s="6" t="n"/>
      <c r="H1636" s="6" t="n"/>
      <c r="I1636" s="12">
        <f>IF($B1636="","",IF(COUNTIF(Ventes_Factures!$A$6:$A$3005,$B1636)&gt;0,"OK","INCONNUE"))</f>
        <v/>
      </c>
      <c r="J1636" s="9">
        <f>IF($D1636="","",ROUND($D1636,2))</f>
        <v/>
      </c>
    </row>
    <row r="1637">
      <c r="A1637" s="6" t="n"/>
      <c r="B1637" s="6" t="n"/>
      <c r="C1637" s="7" t="n"/>
      <c r="D1637" s="8" t="n"/>
      <c r="E1637" s="6" t="n"/>
      <c r="F1637" s="6" t="n"/>
      <c r="G1637" s="6" t="n"/>
      <c r="H1637" s="6" t="n"/>
      <c r="I1637" s="12">
        <f>IF($B1637="","",IF(COUNTIF(Ventes_Factures!$A$6:$A$3005,$B1637)&gt;0,"OK","INCONNUE"))</f>
        <v/>
      </c>
      <c r="J1637" s="9">
        <f>IF($D1637="","",ROUND($D1637,2))</f>
        <v/>
      </c>
    </row>
    <row r="1638">
      <c r="A1638" s="6" t="n"/>
      <c r="B1638" s="6" t="n"/>
      <c r="C1638" s="7" t="n"/>
      <c r="D1638" s="8" t="n"/>
      <c r="E1638" s="6" t="n"/>
      <c r="F1638" s="6" t="n"/>
      <c r="G1638" s="6" t="n"/>
      <c r="H1638" s="6" t="n"/>
      <c r="I1638" s="12">
        <f>IF($B1638="","",IF(COUNTIF(Ventes_Factures!$A$6:$A$3005,$B1638)&gt;0,"OK","INCONNUE"))</f>
        <v/>
      </c>
      <c r="J1638" s="9">
        <f>IF($D1638="","",ROUND($D1638,2))</f>
        <v/>
      </c>
    </row>
    <row r="1639">
      <c r="A1639" s="6" t="n"/>
      <c r="B1639" s="6" t="n"/>
      <c r="C1639" s="7" t="n"/>
      <c r="D1639" s="8" t="n"/>
      <c r="E1639" s="6" t="n"/>
      <c r="F1639" s="6" t="n"/>
      <c r="G1639" s="6" t="n"/>
      <c r="H1639" s="6" t="n"/>
      <c r="I1639" s="12">
        <f>IF($B1639="","",IF(COUNTIF(Ventes_Factures!$A$6:$A$3005,$B1639)&gt;0,"OK","INCONNUE"))</f>
        <v/>
      </c>
      <c r="J1639" s="9">
        <f>IF($D1639="","",ROUND($D1639,2))</f>
        <v/>
      </c>
    </row>
    <row r="1640">
      <c r="A1640" s="6" t="n"/>
      <c r="B1640" s="6" t="n"/>
      <c r="C1640" s="7" t="n"/>
      <c r="D1640" s="8" t="n"/>
      <c r="E1640" s="6" t="n"/>
      <c r="F1640" s="6" t="n"/>
      <c r="G1640" s="6" t="n"/>
      <c r="H1640" s="6" t="n"/>
      <c r="I1640" s="12">
        <f>IF($B1640="","",IF(COUNTIF(Ventes_Factures!$A$6:$A$3005,$B1640)&gt;0,"OK","INCONNUE"))</f>
        <v/>
      </c>
      <c r="J1640" s="9">
        <f>IF($D1640="","",ROUND($D1640,2))</f>
        <v/>
      </c>
    </row>
    <row r="1641">
      <c r="A1641" s="6" t="n"/>
      <c r="B1641" s="6" t="n"/>
      <c r="C1641" s="7" t="n"/>
      <c r="D1641" s="8" t="n"/>
      <c r="E1641" s="6" t="n"/>
      <c r="F1641" s="6" t="n"/>
      <c r="G1641" s="6" t="n"/>
      <c r="H1641" s="6" t="n"/>
      <c r="I1641" s="12">
        <f>IF($B1641="","",IF(COUNTIF(Ventes_Factures!$A$6:$A$3005,$B1641)&gt;0,"OK","INCONNUE"))</f>
        <v/>
      </c>
      <c r="J1641" s="9">
        <f>IF($D1641="","",ROUND($D1641,2))</f>
        <v/>
      </c>
    </row>
    <row r="1642">
      <c r="A1642" s="6" t="n"/>
      <c r="B1642" s="6" t="n"/>
      <c r="C1642" s="7" t="n"/>
      <c r="D1642" s="8" t="n"/>
      <c r="E1642" s="6" t="n"/>
      <c r="F1642" s="6" t="n"/>
      <c r="G1642" s="6" t="n"/>
      <c r="H1642" s="6" t="n"/>
      <c r="I1642" s="12">
        <f>IF($B1642="","",IF(COUNTIF(Ventes_Factures!$A$6:$A$3005,$B1642)&gt;0,"OK","INCONNUE"))</f>
        <v/>
      </c>
      <c r="J1642" s="9">
        <f>IF($D1642="","",ROUND($D1642,2))</f>
        <v/>
      </c>
    </row>
    <row r="1643">
      <c r="A1643" s="6" t="n"/>
      <c r="B1643" s="6" t="n"/>
      <c r="C1643" s="7" t="n"/>
      <c r="D1643" s="8" t="n"/>
      <c r="E1643" s="6" t="n"/>
      <c r="F1643" s="6" t="n"/>
      <c r="G1643" s="6" t="n"/>
      <c r="H1643" s="6" t="n"/>
      <c r="I1643" s="12">
        <f>IF($B1643="","",IF(COUNTIF(Ventes_Factures!$A$6:$A$3005,$B1643)&gt;0,"OK","INCONNUE"))</f>
        <v/>
      </c>
      <c r="J1643" s="9">
        <f>IF($D1643="","",ROUND($D1643,2))</f>
        <v/>
      </c>
    </row>
    <row r="1644">
      <c r="A1644" s="6" t="n"/>
      <c r="B1644" s="6" t="n"/>
      <c r="C1644" s="7" t="n"/>
      <c r="D1644" s="8" t="n"/>
      <c r="E1644" s="6" t="n"/>
      <c r="F1644" s="6" t="n"/>
      <c r="G1644" s="6" t="n"/>
      <c r="H1644" s="6" t="n"/>
      <c r="I1644" s="12">
        <f>IF($B1644="","",IF(COUNTIF(Ventes_Factures!$A$6:$A$3005,$B1644)&gt;0,"OK","INCONNUE"))</f>
        <v/>
      </c>
      <c r="J1644" s="9">
        <f>IF($D1644="","",ROUND($D1644,2))</f>
        <v/>
      </c>
    </row>
    <row r="1645">
      <c r="A1645" s="6" t="n"/>
      <c r="B1645" s="6" t="n"/>
      <c r="C1645" s="7" t="n"/>
      <c r="D1645" s="8" t="n"/>
      <c r="E1645" s="6" t="n"/>
      <c r="F1645" s="6" t="n"/>
      <c r="G1645" s="6" t="n"/>
      <c r="H1645" s="6" t="n"/>
      <c r="I1645" s="12">
        <f>IF($B1645="","",IF(COUNTIF(Ventes_Factures!$A$6:$A$3005,$B1645)&gt;0,"OK","INCONNUE"))</f>
        <v/>
      </c>
      <c r="J1645" s="9">
        <f>IF($D1645="","",ROUND($D1645,2))</f>
        <v/>
      </c>
    </row>
    <row r="1646">
      <c r="A1646" s="6" t="n"/>
      <c r="B1646" s="6" t="n"/>
      <c r="C1646" s="7" t="n"/>
      <c r="D1646" s="8" t="n"/>
      <c r="E1646" s="6" t="n"/>
      <c r="F1646" s="6" t="n"/>
      <c r="G1646" s="6" t="n"/>
      <c r="H1646" s="6" t="n"/>
      <c r="I1646" s="12">
        <f>IF($B1646="","",IF(COUNTIF(Ventes_Factures!$A$6:$A$3005,$B1646)&gt;0,"OK","INCONNUE"))</f>
        <v/>
      </c>
      <c r="J1646" s="9">
        <f>IF($D1646="","",ROUND($D1646,2))</f>
        <v/>
      </c>
    </row>
    <row r="1647">
      <c r="A1647" s="6" t="n"/>
      <c r="B1647" s="6" t="n"/>
      <c r="C1647" s="7" t="n"/>
      <c r="D1647" s="8" t="n"/>
      <c r="E1647" s="6" t="n"/>
      <c r="F1647" s="6" t="n"/>
      <c r="G1647" s="6" t="n"/>
      <c r="H1647" s="6" t="n"/>
      <c r="I1647" s="12">
        <f>IF($B1647="","",IF(COUNTIF(Ventes_Factures!$A$6:$A$3005,$B1647)&gt;0,"OK","INCONNUE"))</f>
        <v/>
      </c>
      <c r="J1647" s="9">
        <f>IF($D1647="","",ROUND($D1647,2))</f>
        <v/>
      </c>
    </row>
    <row r="1648">
      <c r="A1648" s="6" t="n"/>
      <c r="B1648" s="6" t="n"/>
      <c r="C1648" s="7" t="n"/>
      <c r="D1648" s="8" t="n"/>
      <c r="E1648" s="6" t="n"/>
      <c r="F1648" s="6" t="n"/>
      <c r="G1648" s="6" t="n"/>
      <c r="H1648" s="6" t="n"/>
      <c r="I1648" s="12">
        <f>IF($B1648="","",IF(COUNTIF(Ventes_Factures!$A$6:$A$3005,$B1648)&gt;0,"OK","INCONNUE"))</f>
        <v/>
      </c>
      <c r="J1648" s="9">
        <f>IF($D1648="","",ROUND($D1648,2))</f>
        <v/>
      </c>
    </row>
    <row r="1649">
      <c r="A1649" s="6" t="n"/>
      <c r="B1649" s="6" t="n"/>
      <c r="C1649" s="7" t="n"/>
      <c r="D1649" s="8" t="n"/>
      <c r="E1649" s="6" t="n"/>
      <c r="F1649" s="6" t="n"/>
      <c r="G1649" s="6" t="n"/>
      <c r="H1649" s="6" t="n"/>
      <c r="I1649" s="12">
        <f>IF($B1649="","",IF(COUNTIF(Ventes_Factures!$A$6:$A$3005,$B1649)&gt;0,"OK","INCONNUE"))</f>
        <v/>
      </c>
      <c r="J1649" s="9">
        <f>IF($D1649="","",ROUND($D1649,2))</f>
        <v/>
      </c>
    </row>
    <row r="1650">
      <c r="A1650" s="6" t="n"/>
      <c r="B1650" s="6" t="n"/>
      <c r="C1650" s="7" t="n"/>
      <c r="D1650" s="8" t="n"/>
      <c r="E1650" s="6" t="n"/>
      <c r="F1650" s="6" t="n"/>
      <c r="G1650" s="6" t="n"/>
      <c r="H1650" s="6" t="n"/>
      <c r="I1650" s="12">
        <f>IF($B1650="","",IF(COUNTIF(Ventes_Factures!$A$6:$A$3005,$B1650)&gt;0,"OK","INCONNUE"))</f>
        <v/>
      </c>
      <c r="J1650" s="9">
        <f>IF($D1650="","",ROUND($D1650,2))</f>
        <v/>
      </c>
    </row>
    <row r="1651">
      <c r="A1651" s="6" t="n"/>
      <c r="B1651" s="6" t="n"/>
      <c r="C1651" s="7" t="n"/>
      <c r="D1651" s="8" t="n"/>
      <c r="E1651" s="6" t="n"/>
      <c r="F1651" s="6" t="n"/>
      <c r="G1651" s="6" t="n"/>
      <c r="H1651" s="6" t="n"/>
      <c r="I1651" s="12">
        <f>IF($B1651="","",IF(COUNTIF(Ventes_Factures!$A$6:$A$3005,$B1651)&gt;0,"OK","INCONNUE"))</f>
        <v/>
      </c>
      <c r="J1651" s="9">
        <f>IF($D1651="","",ROUND($D1651,2))</f>
        <v/>
      </c>
    </row>
    <row r="1652">
      <c r="A1652" s="6" t="n"/>
      <c r="B1652" s="6" t="n"/>
      <c r="C1652" s="7" t="n"/>
      <c r="D1652" s="8" t="n"/>
      <c r="E1652" s="6" t="n"/>
      <c r="F1652" s="6" t="n"/>
      <c r="G1652" s="6" t="n"/>
      <c r="H1652" s="6" t="n"/>
      <c r="I1652" s="12">
        <f>IF($B1652="","",IF(COUNTIF(Ventes_Factures!$A$6:$A$3005,$B1652)&gt;0,"OK","INCONNUE"))</f>
        <v/>
      </c>
      <c r="J1652" s="9">
        <f>IF($D1652="","",ROUND($D1652,2))</f>
        <v/>
      </c>
    </row>
    <row r="1653">
      <c r="A1653" s="6" t="n"/>
      <c r="B1653" s="6" t="n"/>
      <c r="C1653" s="7" t="n"/>
      <c r="D1653" s="8" t="n"/>
      <c r="E1653" s="6" t="n"/>
      <c r="F1653" s="6" t="n"/>
      <c r="G1653" s="6" t="n"/>
      <c r="H1653" s="6" t="n"/>
      <c r="I1653" s="12">
        <f>IF($B1653="","",IF(COUNTIF(Ventes_Factures!$A$6:$A$3005,$B1653)&gt;0,"OK","INCONNUE"))</f>
        <v/>
      </c>
      <c r="J1653" s="9">
        <f>IF($D1653="","",ROUND($D1653,2))</f>
        <v/>
      </c>
    </row>
    <row r="1654">
      <c r="A1654" s="6" t="n"/>
      <c r="B1654" s="6" t="n"/>
      <c r="C1654" s="7" t="n"/>
      <c r="D1654" s="8" t="n"/>
      <c r="E1654" s="6" t="n"/>
      <c r="F1654" s="6" t="n"/>
      <c r="G1654" s="6" t="n"/>
      <c r="H1654" s="6" t="n"/>
      <c r="I1654" s="12">
        <f>IF($B1654="","",IF(COUNTIF(Ventes_Factures!$A$6:$A$3005,$B1654)&gt;0,"OK","INCONNUE"))</f>
        <v/>
      </c>
      <c r="J1654" s="9">
        <f>IF($D1654="","",ROUND($D1654,2))</f>
        <v/>
      </c>
    </row>
    <row r="1655">
      <c r="A1655" s="6" t="n"/>
      <c r="B1655" s="6" t="n"/>
      <c r="C1655" s="7" t="n"/>
      <c r="D1655" s="8" t="n"/>
      <c r="E1655" s="6" t="n"/>
      <c r="F1655" s="6" t="n"/>
      <c r="G1655" s="6" t="n"/>
      <c r="H1655" s="6" t="n"/>
      <c r="I1655" s="12">
        <f>IF($B1655="","",IF(COUNTIF(Ventes_Factures!$A$6:$A$3005,$B1655)&gt;0,"OK","INCONNUE"))</f>
        <v/>
      </c>
      <c r="J1655" s="9">
        <f>IF($D1655="","",ROUND($D1655,2))</f>
        <v/>
      </c>
    </row>
    <row r="1656">
      <c r="A1656" s="6" t="n"/>
      <c r="B1656" s="6" t="n"/>
      <c r="C1656" s="7" t="n"/>
      <c r="D1656" s="8" t="n"/>
      <c r="E1656" s="6" t="n"/>
      <c r="F1656" s="6" t="n"/>
      <c r="G1656" s="6" t="n"/>
      <c r="H1656" s="6" t="n"/>
      <c r="I1656" s="12">
        <f>IF($B1656="","",IF(COUNTIF(Ventes_Factures!$A$6:$A$3005,$B1656)&gt;0,"OK","INCONNUE"))</f>
        <v/>
      </c>
      <c r="J1656" s="9">
        <f>IF($D1656="","",ROUND($D1656,2))</f>
        <v/>
      </c>
    </row>
    <row r="1657">
      <c r="A1657" s="6" t="n"/>
      <c r="B1657" s="6" t="n"/>
      <c r="C1657" s="7" t="n"/>
      <c r="D1657" s="8" t="n"/>
      <c r="E1657" s="6" t="n"/>
      <c r="F1657" s="6" t="n"/>
      <c r="G1657" s="6" t="n"/>
      <c r="H1657" s="6" t="n"/>
      <c r="I1657" s="12">
        <f>IF($B1657="","",IF(COUNTIF(Ventes_Factures!$A$6:$A$3005,$B1657)&gt;0,"OK","INCONNUE"))</f>
        <v/>
      </c>
      <c r="J1657" s="9">
        <f>IF($D1657="","",ROUND($D1657,2))</f>
        <v/>
      </c>
    </row>
    <row r="1658">
      <c r="A1658" s="6" t="n"/>
      <c r="B1658" s="6" t="n"/>
      <c r="C1658" s="7" t="n"/>
      <c r="D1658" s="8" t="n"/>
      <c r="E1658" s="6" t="n"/>
      <c r="F1658" s="6" t="n"/>
      <c r="G1658" s="6" t="n"/>
      <c r="H1658" s="6" t="n"/>
      <c r="I1658" s="12">
        <f>IF($B1658="","",IF(COUNTIF(Ventes_Factures!$A$6:$A$3005,$B1658)&gt;0,"OK","INCONNUE"))</f>
        <v/>
      </c>
      <c r="J1658" s="9">
        <f>IF($D1658="","",ROUND($D1658,2))</f>
        <v/>
      </c>
    </row>
    <row r="1659">
      <c r="A1659" s="6" t="n"/>
      <c r="B1659" s="6" t="n"/>
      <c r="C1659" s="7" t="n"/>
      <c r="D1659" s="8" t="n"/>
      <c r="E1659" s="6" t="n"/>
      <c r="F1659" s="6" t="n"/>
      <c r="G1659" s="6" t="n"/>
      <c r="H1659" s="6" t="n"/>
      <c r="I1659" s="12">
        <f>IF($B1659="","",IF(COUNTIF(Ventes_Factures!$A$6:$A$3005,$B1659)&gt;0,"OK","INCONNUE"))</f>
        <v/>
      </c>
      <c r="J1659" s="9">
        <f>IF($D1659="","",ROUND($D1659,2))</f>
        <v/>
      </c>
    </row>
    <row r="1660">
      <c r="A1660" s="6" t="n"/>
      <c r="B1660" s="6" t="n"/>
      <c r="C1660" s="7" t="n"/>
      <c r="D1660" s="8" t="n"/>
      <c r="E1660" s="6" t="n"/>
      <c r="F1660" s="6" t="n"/>
      <c r="G1660" s="6" t="n"/>
      <c r="H1660" s="6" t="n"/>
      <c r="I1660" s="12">
        <f>IF($B1660="","",IF(COUNTIF(Ventes_Factures!$A$6:$A$3005,$B1660)&gt;0,"OK","INCONNUE"))</f>
        <v/>
      </c>
      <c r="J1660" s="9">
        <f>IF($D1660="","",ROUND($D1660,2))</f>
        <v/>
      </c>
    </row>
    <row r="1661">
      <c r="A1661" s="6" t="n"/>
      <c r="B1661" s="6" t="n"/>
      <c r="C1661" s="7" t="n"/>
      <c r="D1661" s="8" t="n"/>
      <c r="E1661" s="6" t="n"/>
      <c r="F1661" s="6" t="n"/>
      <c r="G1661" s="6" t="n"/>
      <c r="H1661" s="6" t="n"/>
      <c r="I1661" s="12">
        <f>IF($B1661="","",IF(COUNTIF(Ventes_Factures!$A$6:$A$3005,$B1661)&gt;0,"OK","INCONNUE"))</f>
        <v/>
      </c>
      <c r="J1661" s="9">
        <f>IF($D1661="","",ROUND($D1661,2))</f>
        <v/>
      </c>
    </row>
    <row r="1662">
      <c r="A1662" s="6" t="n"/>
      <c r="B1662" s="6" t="n"/>
      <c r="C1662" s="7" t="n"/>
      <c r="D1662" s="8" t="n"/>
      <c r="E1662" s="6" t="n"/>
      <c r="F1662" s="6" t="n"/>
      <c r="G1662" s="6" t="n"/>
      <c r="H1662" s="6" t="n"/>
      <c r="I1662" s="12">
        <f>IF($B1662="","",IF(COUNTIF(Ventes_Factures!$A$6:$A$3005,$B1662)&gt;0,"OK","INCONNUE"))</f>
        <v/>
      </c>
      <c r="J1662" s="9">
        <f>IF($D1662="","",ROUND($D1662,2))</f>
        <v/>
      </c>
    </row>
    <row r="1663">
      <c r="A1663" s="6" t="n"/>
      <c r="B1663" s="6" t="n"/>
      <c r="C1663" s="7" t="n"/>
      <c r="D1663" s="8" t="n"/>
      <c r="E1663" s="6" t="n"/>
      <c r="F1663" s="6" t="n"/>
      <c r="G1663" s="6" t="n"/>
      <c r="H1663" s="6" t="n"/>
      <c r="I1663" s="12">
        <f>IF($B1663="","",IF(COUNTIF(Ventes_Factures!$A$6:$A$3005,$B1663)&gt;0,"OK","INCONNUE"))</f>
        <v/>
      </c>
      <c r="J1663" s="9">
        <f>IF($D1663="","",ROUND($D1663,2))</f>
        <v/>
      </c>
    </row>
    <row r="1664">
      <c r="A1664" s="6" t="n"/>
      <c r="B1664" s="6" t="n"/>
      <c r="C1664" s="7" t="n"/>
      <c r="D1664" s="8" t="n"/>
      <c r="E1664" s="6" t="n"/>
      <c r="F1664" s="6" t="n"/>
      <c r="G1664" s="6" t="n"/>
      <c r="H1664" s="6" t="n"/>
      <c r="I1664" s="12">
        <f>IF($B1664="","",IF(COUNTIF(Ventes_Factures!$A$6:$A$3005,$B1664)&gt;0,"OK","INCONNUE"))</f>
        <v/>
      </c>
      <c r="J1664" s="9">
        <f>IF($D1664="","",ROUND($D1664,2))</f>
        <v/>
      </c>
    </row>
    <row r="1665">
      <c r="A1665" s="6" t="n"/>
      <c r="B1665" s="6" t="n"/>
      <c r="C1665" s="7" t="n"/>
      <c r="D1665" s="8" t="n"/>
      <c r="E1665" s="6" t="n"/>
      <c r="F1665" s="6" t="n"/>
      <c r="G1665" s="6" t="n"/>
      <c r="H1665" s="6" t="n"/>
      <c r="I1665" s="12">
        <f>IF($B1665="","",IF(COUNTIF(Ventes_Factures!$A$6:$A$3005,$B1665)&gt;0,"OK","INCONNUE"))</f>
        <v/>
      </c>
      <c r="J1665" s="9">
        <f>IF($D1665="","",ROUND($D1665,2))</f>
        <v/>
      </c>
    </row>
    <row r="1666">
      <c r="A1666" s="6" t="n"/>
      <c r="B1666" s="6" t="n"/>
      <c r="C1666" s="7" t="n"/>
      <c r="D1666" s="8" t="n"/>
      <c r="E1666" s="6" t="n"/>
      <c r="F1666" s="6" t="n"/>
      <c r="G1666" s="6" t="n"/>
      <c r="H1666" s="6" t="n"/>
      <c r="I1666" s="12">
        <f>IF($B1666="","",IF(COUNTIF(Ventes_Factures!$A$6:$A$3005,$B1666)&gt;0,"OK","INCONNUE"))</f>
        <v/>
      </c>
      <c r="J1666" s="9">
        <f>IF($D1666="","",ROUND($D1666,2))</f>
        <v/>
      </c>
    </row>
    <row r="1667">
      <c r="A1667" s="6" t="n"/>
      <c r="B1667" s="6" t="n"/>
      <c r="C1667" s="7" t="n"/>
      <c r="D1667" s="8" t="n"/>
      <c r="E1667" s="6" t="n"/>
      <c r="F1667" s="6" t="n"/>
      <c r="G1667" s="6" t="n"/>
      <c r="H1667" s="6" t="n"/>
      <c r="I1667" s="12">
        <f>IF($B1667="","",IF(COUNTIF(Ventes_Factures!$A$6:$A$3005,$B1667)&gt;0,"OK","INCONNUE"))</f>
        <v/>
      </c>
      <c r="J1667" s="9">
        <f>IF($D1667="","",ROUND($D1667,2))</f>
        <v/>
      </c>
    </row>
    <row r="1668">
      <c r="A1668" s="6" t="n"/>
      <c r="B1668" s="6" t="n"/>
      <c r="C1668" s="7" t="n"/>
      <c r="D1668" s="8" t="n"/>
      <c r="E1668" s="6" t="n"/>
      <c r="F1668" s="6" t="n"/>
      <c r="G1668" s="6" t="n"/>
      <c r="H1668" s="6" t="n"/>
      <c r="I1668" s="12">
        <f>IF($B1668="","",IF(COUNTIF(Ventes_Factures!$A$6:$A$3005,$B1668)&gt;0,"OK","INCONNUE"))</f>
        <v/>
      </c>
      <c r="J1668" s="9">
        <f>IF($D1668="","",ROUND($D1668,2))</f>
        <v/>
      </c>
    </row>
    <row r="1669">
      <c r="A1669" s="6" t="n"/>
      <c r="B1669" s="6" t="n"/>
      <c r="C1669" s="7" t="n"/>
      <c r="D1669" s="8" t="n"/>
      <c r="E1669" s="6" t="n"/>
      <c r="F1669" s="6" t="n"/>
      <c r="G1669" s="6" t="n"/>
      <c r="H1669" s="6" t="n"/>
      <c r="I1669" s="12">
        <f>IF($B1669="","",IF(COUNTIF(Ventes_Factures!$A$6:$A$3005,$B1669)&gt;0,"OK","INCONNUE"))</f>
        <v/>
      </c>
      <c r="J1669" s="9">
        <f>IF($D1669="","",ROUND($D1669,2))</f>
        <v/>
      </c>
    </row>
    <row r="1670">
      <c r="A1670" s="6" t="n"/>
      <c r="B1670" s="6" t="n"/>
      <c r="C1670" s="7" t="n"/>
      <c r="D1670" s="8" t="n"/>
      <c r="E1670" s="6" t="n"/>
      <c r="F1670" s="6" t="n"/>
      <c r="G1670" s="6" t="n"/>
      <c r="H1670" s="6" t="n"/>
      <c r="I1670" s="12">
        <f>IF($B1670="","",IF(COUNTIF(Ventes_Factures!$A$6:$A$3005,$B1670)&gt;0,"OK","INCONNUE"))</f>
        <v/>
      </c>
      <c r="J1670" s="9">
        <f>IF($D1670="","",ROUND($D1670,2))</f>
        <v/>
      </c>
    </row>
    <row r="1671">
      <c r="A1671" s="6" t="n"/>
      <c r="B1671" s="6" t="n"/>
      <c r="C1671" s="7" t="n"/>
      <c r="D1671" s="8" t="n"/>
      <c r="E1671" s="6" t="n"/>
      <c r="F1671" s="6" t="n"/>
      <c r="G1671" s="6" t="n"/>
      <c r="H1671" s="6" t="n"/>
      <c r="I1671" s="12">
        <f>IF($B1671="","",IF(COUNTIF(Ventes_Factures!$A$6:$A$3005,$B1671)&gt;0,"OK","INCONNUE"))</f>
        <v/>
      </c>
      <c r="J1671" s="9">
        <f>IF($D1671="","",ROUND($D1671,2))</f>
        <v/>
      </c>
    </row>
    <row r="1672">
      <c r="A1672" s="6" t="n"/>
      <c r="B1672" s="6" t="n"/>
      <c r="C1672" s="7" t="n"/>
      <c r="D1672" s="8" t="n"/>
      <c r="E1672" s="6" t="n"/>
      <c r="F1672" s="6" t="n"/>
      <c r="G1672" s="6" t="n"/>
      <c r="H1672" s="6" t="n"/>
      <c r="I1672" s="12">
        <f>IF($B1672="","",IF(COUNTIF(Ventes_Factures!$A$6:$A$3005,$B1672)&gt;0,"OK","INCONNUE"))</f>
        <v/>
      </c>
      <c r="J1672" s="9">
        <f>IF($D1672="","",ROUND($D1672,2))</f>
        <v/>
      </c>
    </row>
    <row r="1673">
      <c r="A1673" s="6" t="n"/>
      <c r="B1673" s="6" t="n"/>
      <c r="C1673" s="7" t="n"/>
      <c r="D1673" s="8" t="n"/>
      <c r="E1673" s="6" t="n"/>
      <c r="F1673" s="6" t="n"/>
      <c r="G1673" s="6" t="n"/>
      <c r="H1673" s="6" t="n"/>
      <c r="I1673" s="12">
        <f>IF($B1673="","",IF(COUNTIF(Ventes_Factures!$A$6:$A$3005,$B1673)&gt;0,"OK","INCONNUE"))</f>
        <v/>
      </c>
      <c r="J1673" s="9">
        <f>IF($D1673="","",ROUND($D1673,2))</f>
        <v/>
      </c>
    </row>
    <row r="1674">
      <c r="A1674" s="6" t="n"/>
      <c r="B1674" s="6" t="n"/>
      <c r="C1674" s="7" t="n"/>
      <c r="D1674" s="8" t="n"/>
      <c r="E1674" s="6" t="n"/>
      <c r="F1674" s="6" t="n"/>
      <c r="G1674" s="6" t="n"/>
      <c r="H1674" s="6" t="n"/>
      <c r="I1674" s="12">
        <f>IF($B1674="","",IF(COUNTIF(Ventes_Factures!$A$6:$A$3005,$B1674)&gt;0,"OK","INCONNUE"))</f>
        <v/>
      </c>
      <c r="J1674" s="9">
        <f>IF($D1674="","",ROUND($D1674,2))</f>
        <v/>
      </c>
    </row>
    <row r="1675">
      <c r="A1675" s="6" t="n"/>
      <c r="B1675" s="6" t="n"/>
      <c r="C1675" s="7" t="n"/>
      <c r="D1675" s="8" t="n"/>
      <c r="E1675" s="6" t="n"/>
      <c r="F1675" s="6" t="n"/>
      <c r="G1675" s="6" t="n"/>
      <c r="H1675" s="6" t="n"/>
      <c r="I1675" s="12">
        <f>IF($B1675="","",IF(COUNTIF(Ventes_Factures!$A$6:$A$3005,$B1675)&gt;0,"OK","INCONNUE"))</f>
        <v/>
      </c>
      <c r="J1675" s="9">
        <f>IF($D1675="","",ROUND($D1675,2))</f>
        <v/>
      </c>
    </row>
    <row r="1676">
      <c r="A1676" s="6" t="n"/>
      <c r="B1676" s="6" t="n"/>
      <c r="C1676" s="7" t="n"/>
      <c r="D1676" s="8" t="n"/>
      <c r="E1676" s="6" t="n"/>
      <c r="F1676" s="6" t="n"/>
      <c r="G1676" s="6" t="n"/>
      <c r="H1676" s="6" t="n"/>
      <c r="I1676" s="12">
        <f>IF($B1676="","",IF(COUNTIF(Ventes_Factures!$A$6:$A$3005,$B1676)&gt;0,"OK","INCONNUE"))</f>
        <v/>
      </c>
      <c r="J1676" s="9">
        <f>IF($D1676="","",ROUND($D1676,2))</f>
        <v/>
      </c>
    </row>
    <row r="1677">
      <c r="A1677" s="6" t="n"/>
      <c r="B1677" s="6" t="n"/>
      <c r="C1677" s="7" t="n"/>
      <c r="D1677" s="8" t="n"/>
      <c r="E1677" s="6" t="n"/>
      <c r="F1677" s="6" t="n"/>
      <c r="G1677" s="6" t="n"/>
      <c r="H1677" s="6" t="n"/>
      <c r="I1677" s="12">
        <f>IF($B1677="","",IF(COUNTIF(Ventes_Factures!$A$6:$A$3005,$B1677)&gt;0,"OK","INCONNUE"))</f>
        <v/>
      </c>
      <c r="J1677" s="9">
        <f>IF($D1677="","",ROUND($D1677,2))</f>
        <v/>
      </c>
    </row>
    <row r="1678">
      <c r="A1678" s="6" t="n"/>
      <c r="B1678" s="6" t="n"/>
      <c r="C1678" s="7" t="n"/>
      <c r="D1678" s="8" t="n"/>
      <c r="E1678" s="6" t="n"/>
      <c r="F1678" s="6" t="n"/>
      <c r="G1678" s="6" t="n"/>
      <c r="H1678" s="6" t="n"/>
      <c r="I1678" s="12">
        <f>IF($B1678="","",IF(COUNTIF(Ventes_Factures!$A$6:$A$3005,$B1678)&gt;0,"OK","INCONNUE"))</f>
        <v/>
      </c>
      <c r="J1678" s="9">
        <f>IF($D1678="","",ROUND($D1678,2))</f>
        <v/>
      </c>
    </row>
    <row r="1679">
      <c r="A1679" s="6" t="n"/>
      <c r="B1679" s="6" t="n"/>
      <c r="C1679" s="7" t="n"/>
      <c r="D1679" s="8" t="n"/>
      <c r="E1679" s="6" t="n"/>
      <c r="F1679" s="6" t="n"/>
      <c r="G1679" s="6" t="n"/>
      <c r="H1679" s="6" t="n"/>
      <c r="I1679" s="12">
        <f>IF($B1679="","",IF(COUNTIF(Ventes_Factures!$A$6:$A$3005,$B1679)&gt;0,"OK","INCONNUE"))</f>
        <v/>
      </c>
      <c r="J1679" s="9">
        <f>IF($D1679="","",ROUND($D1679,2))</f>
        <v/>
      </c>
    </row>
    <row r="1680">
      <c r="A1680" s="6" t="n"/>
      <c r="B1680" s="6" t="n"/>
      <c r="C1680" s="7" t="n"/>
      <c r="D1680" s="8" t="n"/>
      <c r="E1680" s="6" t="n"/>
      <c r="F1680" s="6" t="n"/>
      <c r="G1680" s="6" t="n"/>
      <c r="H1680" s="6" t="n"/>
      <c r="I1680" s="12">
        <f>IF($B1680="","",IF(COUNTIF(Ventes_Factures!$A$6:$A$3005,$B1680)&gt;0,"OK","INCONNUE"))</f>
        <v/>
      </c>
      <c r="J1680" s="9">
        <f>IF($D1680="","",ROUND($D1680,2))</f>
        <v/>
      </c>
    </row>
    <row r="1681">
      <c r="A1681" s="6" t="n"/>
      <c r="B1681" s="6" t="n"/>
      <c r="C1681" s="7" t="n"/>
      <c r="D1681" s="8" t="n"/>
      <c r="E1681" s="6" t="n"/>
      <c r="F1681" s="6" t="n"/>
      <c r="G1681" s="6" t="n"/>
      <c r="H1681" s="6" t="n"/>
      <c r="I1681" s="12">
        <f>IF($B1681="","",IF(COUNTIF(Ventes_Factures!$A$6:$A$3005,$B1681)&gt;0,"OK","INCONNUE"))</f>
        <v/>
      </c>
      <c r="J1681" s="9">
        <f>IF($D1681="","",ROUND($D1681,2))</f>
        <v/>
      </c>
    </row>
    <row r="1682">
      <c r="A1682" s="6" t="n"/>
      <c r="B1682" s="6" t="n"/>
      <c r="C1682" s="7" t="n"/>
      <c r="D1682" s="8" t="n"/>
      <c r="E1682" s="6" t="n"/>
      <c r="F1682" s="6" t="n"/>
      <c r="G1682" s="6" t="n"/>
      <c r="H1682" s="6" t="n"/>
      <c r="I1682" s="12">
        <f>IF($B1682="","",IF(COUNTIF(Ventes_Factures!$A$6:$A$3005,$B1682)&gt;0,"OK","INCONNUE"))</f>
        <v/>
      </c>
      <c r="J1682" s="9">
        <f>IF($D1682="","",ROUND($D1682,2))</f>
        <v/>
      </c>
    </row>
    <row r="1683">
      <c r="A1683" s="6" t="n"/>
      <c r="B1683" s="6" t="n"/>
      <c r="C1683" s="7" t="n"/>
      <c r="D1683" s="8" t="n"/>
      <c r="E1683" s="6" t="n"/>
      <c r="F1683" s="6" t="n"/>
      <c r="G1683" s="6" t="n"/>
      <c r="H1683" s="6" t="n"/>
      <c r="I1683" s="12">
        <f>IF($B1683="","",IF(COUNTIF(Ventes_Factures!$A$6:$A$3005,$B1683)&gt;0,"OK","INCONNUE"))</f>
        <v/>
      </c>
      <c r="J1683" s="9">
        <f>IF($D1683="","",ROUND($D1683,2))</f>
        <v/>
      </c>
    </row>
    <row r="1684">
      <c r="A1684" s="6" t="n"/>
      <c r="B1684" s="6" t="n"/>
      <c r="C1684" s="7" t="n"/>
      <c r="D1684" s="8" t="n"/>
      <c r="E1684" s="6" t="n"/>
      <c r="F1684" s="6" t="n"/>
      <c r="G1684" s="6" t="n"/>
      <c r="H1684" s="6" t="n"/>
      <c r="I1684" s="12">
        <f>IF($B1684="","",IF(COUNTIF(Ventes_Factures!$A$6:$A$3005,$B1684)&gt;0,"OK","INCONNUE"))</f>
        <v/>
      </c>
      <c r="J1684" s="9">
        <f>IF($D1684="","",ROUND($D1684,2))</f>
        <v/>
      </c>
    </row>
    <row r="1685">
      <c r="A1685" s="6" t="n"/>
      <c r="B1685" s="6" t="n"/>
      <c r="C1685" s="7" t="n"/>
      <c r="D1685" s="8" t="n"/>
      <c r="E1685" s="6" t="n"/>
      <c r="F1685" s="6" t="n"/>
      <c r="G1685" s="6" t="n"/>
      <c r="H1685" s="6" t="n"/>
      <c r="I1685" s="12">
        <f>IF($B1685="","",IF(COUNTIF(Ventes_Factures!$A$6:$A$3005,$B1685)&gt;0,"OK","INCONNUE"))</f>
        <v/>
      </c>
      <c r="J1685" s="9">
        <f>IF($D1685="","",ROUND($D1685,2))</f>
        <v/>
      </c>
    </row>
    <row r="1686">
      <c r="A1686" s="6" t="n"/>
      <c r="B1686" s="6" t="n"/>
      <c r="C1686" s="7" t="n"/>
      <c r="D1686" s="8" t="n"/>
      <c r="E1686" s="6" t="n"/>
      <c r="F1686" s="6" t="n"/>
      <c r="G1686" s="6" t="n"/>
      <c r="H1686" s="6" t="n"/>
      <c r="I1686" s="12">
        <f>IF($B1686="","",IF(COUNTIF(Ventes_Factures!$A$6:$A$3005,$B1686)&gt;0,"OK","INCONNUE"))</f>
        <v/>
      </c>
      <c r="J1686" s="9">
        <f>IF($D1686="","",ROUND($D1686,2))</f>
        <v/>
      </c>
    </row>
    <row r="1687">
      <c r="A1687" s="6" t="n"/>
      <c r="B1687" s="6" t="n"/>
      <c r="C1687" s="7" t="n"/>
      <c r="D1687" s="8" t="n"/>
      <c r="E1687" s="6" t="n"/>
      <c r="F1687" s="6" t="n"/>
      <c r="G1687" s="6" t="n"/>
      <c r="H1687" s="6" t="n"/>
      <c r="I1687" s="12">
        <f>IF($B1687="","",IF(COUNTIF(Ventes_Factures!$A$6:$A$3005,$B1687)&gt;0,"OK","INCONNUE"))</f>
        <v/>
      </c>
      <c r="J1687" s="9">
        <f>IF($D1687="","",ROUND($D1687,2))</f>
        <v/>
      </c>
    </row>
    <row r="1688">
      <c r="A1688" s="6" t="n"/>
      <c r="B1688" s="6" t="n"/>
      <c r="C1688" s="7" t="n"/>
      <c r="D1688" s="8" t="n"/>
      <c r="E1688" s="6" t="n"/>
      <c r="F1688" s="6" t="n"/>
      <c r="G1688" s="6" t="n"/>
      <c r="H1688" s="6" t="n"/>
      <c r="I1688" s="12">
        <f>IF($B1688="","",IF(COUNTIF(Ventes_Factures!$A$6:$A$3005,$B1688)&gt;0,"OK","INCONNUE"))</f>
        <v/>
      </c>
      <c r="J1688" s="9">
        <f>IF($D1688="","",ROUND($D1688,2))</f>
        <v/>
      </c>
    </row>
    <row r="1689">
      <c r="A1689" s="6" t="n"/>
      <c r="B1689" s="6" t="n"/>
      <c r="C1689" s="7" t="n"/>
      <c r="D1689" s="8" t="n"/>
      <c r="E1689" s="6" t="n"/>
      <c r="F1689" s="6" t="n"/>
      <c r="G1689" s="6" t="n"/>
      <c r="H1689" s="6" t="n"/>
      <c r="I1689" s="12">
        <f>IF($B1689="","",IF(COUNTIF(Ventes_Factures!$A$6:$A$3005,$B1689)&gt;0,"OK","INCONNUE"))</f>
        <v/>
      </c>
      <c r="J1689" s="9">
        <f>IF($D1689="","",ROUND($D1689,2))</f>
        <v/>
      </c>
    </row>
    <row r="1690">
      <c r="A1690" s="6" t="n"/>
      <c r="B1690" s="6" t="n"/>
      <c r="C1690" s="7" t="n"/>
      <c r="D1690" s="8" t="n"/>
      <c r="E1690" s="6" t="n"/>
      <c r="F1690" s="6" t="n"/>
      <c r="G1690" s="6" t="n"/>
      <c r="H1690" s="6" t="n"/>
      <c r="I1690" s="12">
        <f>IF($B1690="","",IF(COUNTIF(Ventes_Factures!$A$6:$A$3005,$B1690)&gt;0,"OK","INCONNUE"))</f>
        <v/>
      </c>
      <c r="J1690" s="9">
        <f>IF($D1690="","",ROUND($D1690,2))</f>
        <v/>
      </c>
    </row>
    <row r="1691">
      <c r="A1691" s="6" t="n"/>
      <c r="B1691" s="6" t="n"/>
      <c r="C1691" s="7" t="n"/>
      <c r="D1691" s="8" t="n"/>
      <c r="E1691" s="6" t="n"/>
      <c r="F1691" s="6" t="n"/>
      <c r="G1691" s="6" t="n"/>
      <c r="H1691" s="6" t="n"/>
      <c r="I1691" s="12">
        <f>IF($B1691="","",IF(COUNTIF(Ventes_Factures!$A$6:$A$3005,$B1691)&gt;0,"OK","INCONNUE"))</f>
        <v/>
      </c>
      <c r="J1691" s="9">
        <f>IF($D1691="","",ROUND($D1691,2))</f>
        <v/>
      </c>
    </row>
    <row r="1692">
      <c r="A1692" s="6" t="n"/>
      <c r="B1692" s="6" t="n"/>
      <c r="C1692" s="7" t="n"/>
      <c r="D1692" s="8" t="n"/>
      <c r="E1692" s="6" t="n"/>
      <c r="F1692" s="6" t="n"/>
      <c r="G1692" s="6" t="n"/>
      <c r="H1692" s="6" t="n"/>
      <c r="I1692" s="12">
        <f>IF($B1692="","",IF(COUNTIF(Ventes_Factures!$A$6:$A$3005,$B1692)&gt;0,"OK","INCONNUE"))</f>
        <v/>
      </c>
      <c r="J1692" s="9">
        <f>IF($D1692="","",ROUND($D1692,2))</f>
        <v/>
      </c>
    </row>
    <row r="1693">
      <c r="A1693" s="6" t="n"/>
      <c r="B1693" s="6" t="n"/>
      <c r="C1693" s="7" t="n"/>
      <c r="D1693" s="8" t="n"/>
      <c r="E1693" s="6" t="n"/>
      <c r="F1693" s="6" t="n"/>
      <c r="G1693" s="6" t="n"/>
      <c r="H1693" s="6" t="n"/>
      <c r="I1693" s="12">
        <f>IF($B1693="","",IF(COUNTIF(Ventes_Factures!$A$6:$A$3005,$B1693)&gt;0,"OK","INCONNUE"))</f>
        <v/>
      </c>
      <c r="J1693" s="9">
        <f>IF($D1693="","",ROUND($D1693,2))</f>
        <v/>
      </c>
    </row>
    <row r="1694">
      <c r="A1694" s="6" t="n"/>
      <c r="B1694" s="6" t="n"/>
      <c r="C1694" s="7" t="n"/>
      <c r="D1694" s="8" t="n"/>
      <c r="E1694" s="6" t="n"/>
      <c r="F1694" s="6" t="n"/>
      <c r="G1694" s="6" t="n"/>
      <c r="H1694" s="6" t="n"/>
      <c r="I1694" s="12">
        <f>IF($B1694="","",IF(COUNTIF(Ventes_Factures!$A$6:$A$3005,$B1694)&gt;0,"OK","INCONNUE"))</f>
        <v/>
      </c>
      <c r="J1694" s="9">
        <f>IF($D1694="","",ROUND($D1694,2))</f>
        <v/>
      </c>
    </row>
    <row r="1695">
      <c r="A1695" s="6" t="n"/>
      <c r="B1695" s="6" t="n"/>
      <c r="C1695" s="7" t="n"/>
      <c r="D1695" s="8" t="n"/>
      <c r="E1695" s="6" t="n"/>
      <c r="F1695" s="6" t="n"/>
      <c r="G1695" s="6" t="n"/>
      <c r="H1695" s="6" t="n"/>
      <c r="I1695" s="12">
        <f>IF($B1695="","",IF(COUNTIF(Ventes_Factures!$A$6:$A$3005,$B1695)&gt;0,"OK","INCONNUE"))</f>
        <v/>
      </c>
      <c r="J1695" s="9">
        <f>IF($D1695="","",ROUND($D1695,2))</f>
        <v/>
      </c>
    </row>
    <row r="1696">
      <c r="A1696" s="6" t="n"/>
      <c r="B1696" s="6" t="n"/>
      <c r="C1696" s="7" t="n"/>
      <c r="D1696" s="8" t="n"/>
      <c r="E1696" s="6" t="n"/>
      <c r="F1696" s="6" t="n"/>
      <c r="G1696" s="6" t="n"/>
      <c r="H1696" s="6" t="n"/>
      <c r="I1696" s="12">
        <f>IF($B1696="","",IF(COUNTIF(Ventes_Factures!$A$6:$A$3005,$B1696)&gt;0,"OK","INCONNUE"))</f>
        <v/>
      </c>
      <c r="J1696" s="9">
        <f>IF($D1696="","",ROUND($D1696,2))</f>
        <v/>
      </c>
    </row>
    <row r="1697">
      <c r="A1697" s="6" t="n"/>
      <c r="B1697" s="6" t="n"/>
      <c r="C1697" s="7" t="n"/>
      <c r="D1697" s="8" t="n"/>
      <c r="E1697" s="6" t="n"/>
      <c r="F1697" s="6" t="n"/>
      <c r="G1697" s="6" t="n"/>
      <c r="H1697" s="6" t="n"/>
      <c r="I1697" s="12">
        <f>IF($B1697="","",IF(COUNTIF(Ventes_Factures!$A$6:$A$3005,$B1697)&gt;0,"OK","INCONNUE"))</f>
        <v/>
      </c>
      <c r="J1697" s="9">
        <f>IF($D1697="","",ROUND($D1697,2))</f>
        <v/>
      </c>
    </row>
    <row r="1698">
      <c r="A1698" s="6" t="n"/>
      <c r="B1698" s="6" t="n"/>
      <c r="C1698" s="7" t="n"/>
      <c r="D1698" s="8" t="n"/>
      <c r="E1698" s="6" t="n"/>
      <c r="F1698" s="6" t="n"/>
      <c r="G1698" s="6" t="n"/>
      <c r="H1698" s="6" t="n"/>
      <c r="I1698" s="12">
        <f>IF($B1698="","",IF(COUNTIF(Ventes_Factures!$A$6:$A$3005,$B1698)&gt;0,"OK","INCONNUE"))</f>
        <v/>
      </c>
      <c r="J1698" s="9">
        <f>IF($D1698="","",ROUND($D1698,2))</f>
        <v/>
      </c>
    </row>
    <row r="1699">
      <c r="A1699" s="6" t="n"/>
      <c r="B1699" s="6" t="n"/>
      <c r="C1699" s="7" t="n"/>
      <c r="D1699" s="8" t="n"/>
      <c r="E1699" s="6" t="n"/>
      <c r="F1699" s="6" t="n"/>
      <c r="G1699" s="6" t="n"/>
      <c r="H1699" s="6" t="n"/>
      <c r="I1699" s="12">
        <f>IF($B1699="","",IF(COUNTIF(Ventes_Factures!$A$6:$A$3005,$B1699)&gt;0,"OK","INCONNUE"))</f>
        <v/>
      </c>
      <c r="J1699" s="9">
        <f>IF($D1699="","",ROUND($D1699,2))</f>
        <v/>
      </c>
    </row>
    <row r="1700">
      <c r="A1700" s="6" t="n"/>
      <c r="B1700" s="6" t="n"/>
      <c r="C1700" s="7" t="n"/>
      <c r="D1700" s="8" t="n"/>
      <c r="E1700" s="6" t="n"/>
      <c r="F1700" s="6" t="n"/>
      <c r="G1700" s="6" t="n"/>
      <c r="H1700" s="6" t="n"/>
      <c r="I1700" s="12">
        <f>IF($B1700="","",IF(COUNTIF(Ventes_Factures!$A$6:$A$3005,$B1700)&gt;0,"OK","INCONNUE"))</f>
        <v/>
      </c>
      <c r="J1700" s="9">
        <f>IF($D1700="","",ROUND($D1700,2))</f>
        <v/>
      </c>
    </row>
    <row r="1701">
      <c r="A1701" s="6" t="n"/>
      <c r="B1701" s="6" t="n"/>
      <c r="C1701" s="7" t="n"/>
      <c r="D1701" s="8" t="n"/>
      <c r="E1701" s="6" t="n"/>
      <c r="F1701" s="6" t="n"/>
      <c r="G1701" s="6" t="n"/>
      <c r="H1701" s="6" t="n"/>
      <c r="I1701" s="12">
        <f>IF($B1701="","",IF(COUNTIF(Ventes_Factures!$A$6:$A$3005,$B1701)&gt;0,"OK","INCONNUE"))</f>
        <v/>
      </c>
      <c r="J1701" s="9">
        <f>IF($D1701="","",ROUND($D1701,2))</f>
        <v/>
      </c>
    </row>
    <row r="1702">
      <c r="A1702" s="6" t="n"/>
      <c r="B1702" s="6" t="n"/>
      <c r="C1702" s="7" t="n"/>
      <c r="D1702" s="8" t="n"/>
      <c r="E1702" s="6" t="n"/>
      <c r="F1702" s="6" t="n"/>
      <c r="G1702" s="6" t="n"/>
      <c r="H1702" s="6" t="n"/>
      <c r="I1702" s="12">
        <f>IF($B1702="","",IF(COUNTIF(Ventes_Factures!$A$6:$A$3005,$B1702)&gt;0,"OK","INCONNUE"))</f>
        <v/>
      </c>
      <c r="J1702" s="9">
        <f>IF($D1702="","",ROUND($D1702,2))</f>
        <v/>
      </c>
    </row>
    <row r="1703">
      <c r="A1703" s="6" t="n"/>
      <c r="B1703" s="6" t="n"/>
      <c r="C1703" s="7" t="n"/>
      <c r="D1703" s="8" t="n"/>
      <c r="E1703" s="6" t="n"/>
      <c r="F1703" s="6" t="n"/>
      <c r="G1703" s="6" t="n"/>
      <c r="H1703" s="6" t="n"/>
      <c r="I1703" s="12">
        <f>IF($B1703="","",IF(COUNTIF(Ventes_Factures!$A$6:$A$3005,$B1703)&gt;0,"OK","INCONNUE"))</f>
        <v/>
      </c>
      <c r="J1703" s="9">
        <f>IF($D1703="","",ROUND($D1703,2))</f>
        <v/>
      </c>
    </row>
    <row r="1704">
      <c r="A1704" s="6" t="n"/>
      <c r="B1704" s="6" t="n"/>
      <c r="C1704" s="7" t="n"/>
      <c r="D1704" s="8" t="n"/>
      <c r="E1704" s="6" t="n"/>
      <c r="F1704" s="6" t="n"/>
      <c r="G1704" s="6" t="n"/>
      <c r="H1704" s="6" t="n"/>
      <c r="I1704" s="12">
        <f>IF($B1704="","",IF(COUNTIF(Ventes_Factures!$A$6:$A$3005,$B1704)&gt;0,"OK","INCONNUE"))</f>
        <v/>
      </c>
      <c r="J1704" s="9">
        <f>IF($D1704="","",ROUND($D1704,2))</f>
        <v/>
      </c>
    </row>
    <row r="1705">
      <c r="A1705" s="6" t="n"/>
      <c r="B1705" s="6" t="n"/>
      <c r="C1705" s="7" t="n"/>
      <c r="D1705" s="8" t="n"/>
      <c r="E1705" s="6" t="n"/>
      <c r="F1705" s="6" t="n"/>
      <c r="G1705" s="6" t="n"/>
      <c r="H1705" s="6" t="n"/>
      <c r="I1705" s="12">
        <f>IF($B1705="","",IF(COUNTIF(Ventes_Factures!$A$6:$A$3005,$B1705)&gt;0,"OK","INCONNUE"))</f>
        <v/>
      </c>
      <c r="J1705" s="9">
        <f>IF($D1705="","",ROUND($D1705,2))</f>
        <v/>
      </c>
    </row>
    <row r="1706">
      <c r="A1706" s="6" t="n"/>
      <c r="B1706" s="6" t="n"/>
      <c r="C1706" s="7" t="n"/>
      <c r="D1706" s="8" t="n"/>
      <c r="E1706" s="6" t="n"/>
      <c r="F1706" s="6" t="n"/>
      <c r="G1706" s="6" t="n"/>
      <c r="H1706" s="6" t="n"/>
      <c r="I1706" s="12">
        <f>IF($B1706="","",IF(COUNTIF(Ventes_Factures!$A$6:$A$3005,$B1706)&gt;0,"OK","INCONNUE"))</f>
        <v/>
      </c>
      <c r="J1706" s="9">
        <f>IF($D1706="","",ROUND($D1706,2))</f>
        <v/>
      </c>
    </row>
    <row r="1707">
      <c r="A1707" s="6" t="n"/>
      <c r="B1707" s="6" t="n"/>
      <c r="C1707" s="7" t="n"/>
      <c r="D1707" s="8" t="n"/>
      <c r="E1707" s="6" t="n"/>
      <c r="F1707" s="6" t="n"/>
      <c r="G1707" s="6" t="n"/>
      <c r="H1707" s="6" t="n"/>
      <c r="I1707" s="12">
        <f>IF($B1707="","",IF(COUNTIF(Ventes_Factures!$A$6:$A$3005,$B1707)&gt;0,"OK","INCONNUE"))</f>
        <v/>
      </c>
      <c r="J1707" s="9">
        <f>IF($D1707="","",ROUND($D1707,2))</f>
        <v/>
      </c>
    </row>
    <row r="1708">
      <c r="A1708" s="6" t="n"/>
      <c r="B1708" s="6" t="n"/>
      <c r="C1708" s="7" t="n"/>
      <c r="D1708" s="8" t="n"/>
      <c r="E1708" s="6" t="n"/>
      <c r="F1708" s="6" t="n"/>
      <c r="G1708" s="6" t="n"/>
      <c r="H1708" s="6" t="n"/>
      <c r="I1708" s="12">
        <f>IF($B1708="","",IF(COUNTIF(Ventes_Factures!$A$6:$A$3005,$B1708)&gt;0,"OK","INCONNUE"))</f>
        <v/>
      </c>
      <c r="J1708" s="9">
        <f>IF($D1708="","",ROUND($D1708,2))</f>
        <v/>
      </c>
    </row>
    <row r="1709">
      <c r="A1709" s="6" t="n"/>
      <c r="B1709" s="6" t="n"/>
      <c r="C1709" s="7" t="n"/>
      <c r="D1709" s="8" t="n"/>
      <c r="E1709" s="6" t="n"/>
      <c r="F1709" s="6" t="n"/>
      <c r="G1709" s="6" t="n"/>
      <c r="H1709" s="6" t="n"/>
      <c r="I1709" s="12">
        <f>IF($B1709="","",IF(COUNTIF(Ventes_Factures!$A$6:$A$3005,$B1709)&gt;0,"OK","INCONNUE"))</f>
        <v/>
      </c>
      <c r="J1709" s="9">
        <f>IF($D1709="","",ROUND($D1709,2))</f>
        <v/>
      </c>
    </row>
    <row r="1710">
      <c r="A1710" s="6" t="n"/>
      <c r="B1710" s="6" t="n"/>
      <c r="C1710" s="7" t="n"/>
      <c r="D1710" s="8" t="n"/>
      <c r="E1710" s="6" t="n"/>
      <c r="F1710" s="6" t="n"/>
      <c r="G1710" s="6" t="n"/>
      <c r="H1710" s="6" t="n"/>
      <c r="I1710" s="12">
        <f>IF($B1710="","",IF(COUNTIF(Ventes_Factures!$A$6:$A$3005,$B1710)&gt;0,"OK","INCONNUE"))</f>
        <v/>
      </c>
      <c r="J1710" s="9">
        <f>IF($D1710="","",ROUND($D1710,2))</f>
        <v/>
      </c>
    </row>
    <row r="1711">
      <c r="A1711" s="6" t="n"/>
      <c r="B1711" s="6" t="n"/>
      <c r="C1711" s="7" t="n"/>
      <c r="D1711" s="8" t="n"/>
      <c r="E1711" s="6" t="n"/>
      <c r="F1711" s="6" t="n"/>
      <c r="G1711" s="6" t="n"/>
      <c r="H1711" s="6" t="n"/>
      <c r="I1711" s="12">
        <f>IF($B1711="","",IF(COUNTIF(Ventes_Factures!$A$6:$A$3005,$B1711)&gt;0,"OK","INCONNUE"))</f>
        <v/>
      </c>
      <c r="J1711" s="9">
        <f>IF($D1711="","",ROUND($D1711,2))</f>
        <v/>
      </c>
    </row>
    <row r="1712">
      <c r="A1712" s="6" t="n"/>
      <c r="B1712" s="6" t="n"/>
      <c r="C1712" s="7" t="n"/>
      <c r="D1712" s="8" t="n"/>
      <c r="E1712" s="6" t="n"/>
      <c r="F1712" s="6" t="n"/>
      <c r="G1712" s="6" t="n"/>
      <c r="H1712" s="6" t="n"/>
      <c r="I1712" s="12">
        <f>IF($B1712="","",IF(COUNTIF(Ventes_Factures!$A$6:$A$3005,$B1712)&gt;0,"OK","INCONNUE"))</f>
        <v/>
      </c>
      <c r="J1712" s="9">
        <f>IF($D1712="","",ROUND($D1712,2))</f>
        <v/>
      </c>
    </row>
    <row r="1713">
      <c r="A1713" s="6" t="n"/>
      <c r="B1713" s="6" t="n"/>
      <c r="C1713" s="7" t="n"/>
      <c r="D1713" s="8" t="n"/>
      <c r="E1713" s="6" t="n"/>
      <c r="F1713" s="6" t="n"/>
      <c r="G1713" s="6" t="n"/>
      <c r="H1713" s="6" t="n"/>
      <c r="I1713" s="12">
        <f>IF($B1713="","",IF(COUNTIF(Ventes_Factures!$A$6:$A$3005,$B1713)&gt;0,"OK","INCONNUE"))</f>
        <v/>
      </c>
      <c r="J1713" s="9">
        <f>IF($D1713="","",ROUND($D1713,2))</f>
        <v/>
      </c>
    </row>
    <row r="1714">
      <c r="A1714" s="6" t="n"/>
      <c r="B1714" s="6" t="n"/>
      <c r="C1714" s="7" t="n"/>
      <c r="D1714" s="8" t="n"/>
      <c r="E1714" s="6" t="n"/>
      <c r="F1714" s="6" t="n"/>
      <c r="G1714" s="6" t="n"/>
      <c r="H1714" s="6" t="n"/>
      <c r="I1714" s="12">
        <f>IF($B1714="","",IF(COUNTIF(Ventes_Factures!$A$6:$A$3005,$B1714)&gt;0,"OK","INCONNUE"))</f>
        <v/>
      </c>
      <c r="J1714" s="9">
        <f>IF($D1714="","",ROUND($D1714,2))</f>
        <v/>
      </c>
    </row>
    <row r="1715">
      <c r="A1715" s="6" t="n"/>
      <c r="B1715" s="6" t="n"/>
      <c r="C1715" s="7" t="n"/>
      <c r="D1715" s="8" t="n"/>
      <c r="E1715" s="6" t="n"/>
      <c r="F1715" s="6" t="n"/>
      <c r="G1715" s="6" t="n"/>
      <c r="H1715" s="6" t="n"/>
      <c r="I1715" s="12">
        <f>IF($B1715="","",IF(COUNTIF(Ventes_Factures!$A$6:$A$3005,$B1715)&gt;0,"OK","INCONNUE"))</f>
        <v/>
      </c>
      <c r="J1715" s="9">
        <f>IF($D1715="","",ROUND($D1715,2))</f>
        <v/>
      </c>
    </row>
    <row r="1716">
      <c r="A1716" s="6" t="n"/>
      <c r="B1716" s="6" t="n"/>
      <c r="C1716" s="7" t="n"/>
      <c r="D1716" s="8" t="n"/>
      <c r="E1716" s="6" t="n"/>
      <c r="F1716" s="6" t="n"/>
      <c r="G1716" s="6" t="n"/>
      <c r="H1716" s="6" t="n"/>
      <c r="I1716" s="12">
        <f>IF($B1716="","",IF(COUNTIF(Ventes_Factures!$A$6:$A$3005,$B1716)&gt;0,"OK","INCONNUE"))</f>
        <v/>
      </c>
      <c r="J1716" s="9">
        <f>IF($D1716="","",ROUND($D1716,2))</f>
        <v/>
      </c>
    </row>
    <row r="1717">
      <c r="A1717" s="6" t="n"/>
      <c r="B1717" s="6" t="n"/>
      <c r="C1717" s="7" t="n"/>
      <c r="D1717" s="8" t="n"/>
      <c r="E1717" s="6" t="n"/>
      <c r="F1717" s="6" t="n"/>
      <c r="G1717" s="6" t="n"/>
      <c r="H1717" s="6" t="n"/>
      <c r="I1717" s="12">
        <f>IF($B1717="","",IF(COUNTIF(Ventes_Factures!$A$6:$A$3005,$B1717)&gt;0,"OK","INCONNUE"))</f>
        <v/>
      </c>
      <c r="J1717" s="9">
        <f>IF($D1717="","",ROUND($D1717,2))</f>
        <v/>
      </c>
    </row>
    <row r="1718">
      <c r="A1718" s="6" t="n"/>
      <c r="B1718" s="6" t="n"/>
      <c r="C1718" s="7" t="n"/>
      <c r="D1718" s="8" t="n"/>
      <c r="E1718" s="6" t="n"/>
      <c r="F1718" s="6" t="n"/>
      <c r="G1718" s="6" t="n"/>
      <c r="H1718" s="6" t="n"/>
      <c r="I1718" s="12">
        <f>IF($B1718="","",IF(COUNTIF(Ventes_Factures!$A$6:$A$3005,$B1718)&gt;0,"OK","INCONNUE"))</f>
        <v/>
      </c>
      <c r="J1718" s="9">
        <f>IF($D1718="","",ROUND($D1718,2))</f>
        <v/>
      </c>
    </row>
    <row r="1719">
      <c r="A1719" s="6" t="n"/>
      <c r="B1719" s="6" t="n"/>
      <c r="C1719" s="7" t="n"/>
      <c r="D1719" s="8" t="n"/>
      <c r="E1719" s="6" t="n"/>
      <c r="F1719" s="6" t="n"/>
      <c r="G1719" s="6" t="n"/>
      <c r="H1719" s="6" t="n"/>
      <c r="I1719" s="12">
        <f>IF($B1719="","",IF(COUNTIF(Ventes_Factures!$A$6:$A$3005,$B1719)&gt;0,"OK","INCONNUE"))</f>
        <v/>
      </c>
      <c r="J1719" s="9">
        <f>IF($D1719="","",ROUND($D1719,2))</f>
        <v/>
      </c>
    </row>
    <row r="1720">
      <c r="A1720" s="6" t="n"/>
      <c r="B1720" s="6" t="n"/>
      <c r="C1720" s="7" t="n"/>
      <c r="D1720" s="8" t="n"/>
      <c r="E1720" s="6" t="n"/>
      <c r="F1720" s="6" t="n"/>
      <c r="G1720" s="6" t="n"/>
      <c r="H1720" s="6" t="n"/>
      <c r="I1720" s="12">
        <f>IF($B1720="","",IF(COUNTIF(Ventes_Factures!$A$6:$A$3005,$B1720)&gt;0,"OK","INCONNUE"))</f>
        <v/>
      </c>
      <c r="J1720" s="9">
        <f>IF($D1720="","",ROUND($D1720,2))</f>
        <v/>
      </c>
    </row>
    <row r="1721">
      <c r="A1721" s="6" t="n"/>
      <c r="B1721" s="6" t="n"/>
      <c r="C1721" s="7" t="n"/>
      <c r="D1721" s="8" t="n"/>
      <c r="E1721" s="6" t="n"/>
      <c r="F1721" s="6" t="n"/>
      <c r="G1721" s="6" t="n"/>
      <c r="H1721" s="6" t="n"/>
      <c r="I1721" s="12">
        <f>IF($B1721="","",IF(COUNTIF(Ventes_Factures!$A$6:$A$3005,$B1721)&gt;0,"OK","INCONNUE"))</f>
        <v/>
      </c>
      <c r="J1721" s="9">
        <f>IF($D1721="","",ROUND($D1721,2))</f>
        <v/>
      </c>
    </row>
    <row r="1722">
      <c r="A1722" s="6" t="n"/>
      <c r="B1722" s="6" t="n"/>
      <c r="C1722" s="7" t="n"/>
      <c r="D1722" s="8" t="n"/>
      <c r="E1722" s="6" t="n"/>
      <c r="F1722" s="6" t="n"/>
      <c r="G1722" s="6" t="n"/>
      <c r="H1722" s="6" t="n"/>
      <c r="I1722" s="12">
        <f>IF($B1722="","",IF(COUNTIF(Ventes_Factures!$A$6:$A$3005,$B1722)&gt;0,"OK","INCONNUE"))</f>
        <v/>
      </c>
      <c r="J1722" s="9">
        <f>IF($D1722="","",ROUND($D1722,2))</f>
        <v/>
      </c>
    </row>
    <row r="1723">
      <c r="A1723" s="6" t="n"/>
      <c r="B1723" s="6" t="n"/>
      <c r="C1723" s="7" t="n"/>
      <c r="D1723" s="8" t="n"/>
      <c r="E1723" s="6" t="n"/>
      <c r="F1723" s="6" t="n"/>
      <c r="G1723" s="6" t="n"/>
      <c r="H1723" s="6" t="n"/>
      <c r="I1723" s="12">
        <f>IF($B1723="","",IF(COUNTIF(Ventes_Factures!$A$6:$A$3005,$B1723)&gt;0,"OK","INCONNUE"))</f>
        <v/>
      </c>
      <c r="J1723" s="9">
        <f>IF($D1723="","",ROUND($D1723,2))</f>
        <v/>
      </c>
    </row>
    <row r="1724">
      <c r="A1724" s="6" t="n"/>
      <c r="B1724" s="6" t="n"/>
      <c r="C1724" s="7" t="n"/>
      <c r="D1724" s="8" t="n"/>
      <c r="E1724" s="6" t="n"/>
      <c r="F1724" s="6" t="n"/>
      <c r="G1724" s="6" t="n"/>
      <c r="H1724" s="6" t="n"/>
      <c r="I1724" s="12">
        <f>IF($B1724="","",IF(COUNTIF(Ventes_Factures!$A$6:$A$3005,$B1724)&gt;0,"OK","INCONNUE"))</f>
        <v/>
      </c>
      <c r="J1724" s="9">
        <f>IF($D1724="","",ROUND($D1724,2))</f>
        <v/>
      </c>
    </row>
    <row r="1725">
      <c r="A1725" s="6" t="n"/>
      <c r="B1725" s="6" t="n"/>
      <c r="C1725" s="7" t="n"/>
      <c r="D1725" s="8" t="n"/>
      <c r="E1725" s="6" t="n"/>
      <c r="F1725" s="6" t="n"/>
      <c r="G1725" s="6" t="n"/>
      <c r="H1725" s="6" t="n"/>
      <c r="I1725" s="12">
        <f>IF($B1725="","",IF(COUNTIF(Ventes_Factures!$A$6:$A$3005,$B1725)&gt;0,"OK","INCONNUE"))</f>
        <v/>
      </c>
      <c r="J1725" s="9">
        <f>IF($D1725="","",ROUND($D1725,2))</f>
        <v/>
      </c>
    </row>
    <row r="1726">
      <c r="A1726" s="6" t="n"/>
      <c r="B1726" s="6" t="n"/>
      <c r="C1726" s="7" t="n"/>
      <c r="D1726" s="8" t="n"/>
      <c r="E1726" s="6" t="n"/>
      <c r="F1726" s="6" t="n"/>
      <c r="G1726" s="6" t="n"/>
      <c r="H1726" s="6" t="n"/>
      <c r="I1726" s="12">
        <f>IF($B1726="","",IF(COUNTIF(Ventes_Factures!$A$6:$A$3005,$B1726)&gt;0,"OK","INCONNUE"))</f>
        <v/>
      </c>
      <c r="J1726" s="9">
        <f>IF($D1726="","",ROUND($D1726,2))</f>
        <v/>
      </c>
    </row>
    <row r="1727">
      <c r="A1727" s="6" t="n"/>
      <c r="B1727" s="6" t="n"/>
      <c r="C1727" s="7" t="n"/>
      <c r="D1727" s="8" t="n"/>
      <c r="E1727" s="6" t="n"/>
      <c r="F1727" s="6" t="n"/>
      <c r="G1727" s="6" t="n"/>
      <c r="H1727" s="6" t="n"/>
      <c r="I1727" s="12">
        <f>IF($B1727="","",IF(COUNTIF(Ventes_Factures!$A$6:$A$3005,$B1727)&gt;0,"OK","INCONNUE"))</f>
        <v/>
      </c>
      <c r="J1727" s="9">
        <f>IF($D1727="","",ROUND($D1727,2))</f>
        <v/>
      </c>
    </row>
    <row r="1728">
      <c r="A1728" s="6" t="n"/>
      <c r="B1728" s="6" t="n"/>
      <c r="C1728" s="7" t="n"/>
      <c r="D1728" s="8" t="n"/>
      <c r="E1728" s="6" t="n"/>
      <c r="F1728" s="6" t="n"/>
      <c r="G1728" s="6" t="n"/>
      <c r="H1728" s="6" t="n"/>
      <c r="I1728" s="12">
        <f>IF($B1728="","",IF(COUNTIF(Ventes_Factures!$A$6:$A$3005,$B1728)&gt;0,"OK","INCONNUE"))</f>
        <v/>
      </c>
      <c r="J1728" s="9">
        <f>IF($D1728="","",ROUND($D1728,2))</f>
        <v/>
      </c>
    </row>
    <row r="1729">
      <c r="A1729" s="6" t="n"/>
      <c r="B1729" s="6" t="n"/>
      <c r="C1729" s="7" t="n"/>
      <c r="D1729" s="8" t="n"/>
      <c r="E1729" s="6" t="n"/>
      <c r="F1729" s="6" t="n"/>
      <c r="G1729" s="6" t="n"/>
      <c r="H1729" s="6" t="n"/>
      <c r="I1729" s="12">
        <f>IF($B1729="","",IF(COUNTIF(Ventes_Factures!$A$6:$A$3005,$B1729)&gt;0,"OK","INCONNUE"))</f>
        <v/>
      </c>
      <c r="J1729" s="9">
        <f>IF($D1729="","",ROUND($D1729,2))</f>
        <v/>
      </c>
    </row>
    <row r="1730">
      <c r="A1730" s="6" t="n"/>
      <c r="B1730" s="6" t="n"/>
      <c r="C1730" s="7" t="n"/>
      <c r="D1730" s="8" t="n"/>
      <c r="E1730" s="6" t="n"/>
      <c r="F1730" s="6" t="n"/>
      <c r="G1730" s="6" t="n"/>
      <c r="H1730" s="6" t="n"/>
      <c r="I1730" s="12">
        <f>IF($B1730="","",IF(COUNTIF(Ventes_Factures!$A$6:$A$3005,$B1730)&gt;0,"OK","INCONNUE"))</f>
        <v/>
      </c>
      <c r="J1730" s="9">
        <f>IF($D1730="","",ROUND($D1730,2))</f>
        <v/>
      </c>
    </row>
    <row r="1731">
      <c r="A1731" s="6" t="n"/>
      <c r="B1731" s="6" t="n"/>
      <c r="C1731" s="7" t="n"/>
      <c r="D1731" s="8" t="n"/>
      <c r="E1731" s="6" t="n"/>
      <c r="F1731" s="6" t="n"/>
      <c r="G1731" s="6" t="n"/>
      <c r="H1731" s="6" t="n"/>
      <c r="I1731" s="12">
        <f>IF($B1731="","",IF(COUNTIF(Ventes_Factures!$A$6:$A$3005,$B1731)&gt;0,"OK","INCONNUE"))</f>
        <v/>
      </c>
      <c r="J1731" s="9">
        <f>IF($D1731="","",ROUND($D1731,2))</f>
        <v/>
      </c>
    </row>
    <row r="1732">
      <c r="A1732" s="6" t="n"/>
      <c r="B1732" s="6" t="n"/>
      <c r="C1732" s="7" t="n"/>
      <c r="D1732" s="8" t="n"/>
      <c r="E1732" s="6" t="n"/>
      <c r="F1732" s="6" t="n"/>
      <c r="G1732" s="6" t="n"/>
      <c r="H1732" s="6" t="n"/>
      <c r="I1732" s="12">
        <f>IF($B1732="","",IF(COUNTIF(Ventes_Factures!$A$6:$A$3005,$B1732)&gt;0,"OK","INCONNUE"))</f>
        <v/>
      </c>
      <c r="J1732" s="9">
        <f>IF($D1732="","",ROUND($D1732,2))</f>
        <v/>
      </c>
    </row>
    <row r="1733">
      <c r="A1733" s="6" t="n"/>
      <c r="B1733" s="6" t="n"/>
      <c r="C1733" s="7" t="n"/>
      <c r="D1733" s="8" t="n"/>
      <c r="E1733" s="6" t="n"/>
      <c r="F1733" s="6" t="n"/>
      <c r="G1733" s="6" t="n"/>
      <c r="H1733" s="6" t="n"/>
      <c r="I1733" s="12">
        <f>IF($B1733="","",IF(COUNTIF(Ventes_Factures!$A$6:$A$3005,$B1733)&gt;0,"OK","INCONNUE"))</f>
        <v/>
      </c>
      <c r="J1733" s="9">
        <f>IF($D1733="","",ROUND($D1733,2))</f>
        <v/>
      </c>
    </row>
    <row r="1734">
      <c r="A1734" s="6" t="n"/>
      <c r="B1734" s="6" t="n"/>
      <c r="C1734" s="7" t="n"/>
      <c r="D1734" s="8" t="n"/>
      <c r="E1734" s="6" t="n"/>
      <c r="F1734" s="6" t="n"/>
      <c r="G1734" s="6" t="n"/>
      <c r="H1734" s="6" t="n"/>
      <c r="I1734" s="12">
        <f>IF($B1734="","",IF(COUNTIF(Ventes_Factures!$A$6:$A$3005,$B1734)&gt;0,"OK","INCONNUE"))</f>
        <v/>
      </c>
      <c r="J1734" s="9">
        <f>IF($D1734="","",ROUND($D1734,2))</f>
        <v/>
      </c>
    </row>
    <row r="1735">
      <c r="A1735" s="6" t="n"/>
      <c r="B1735" s="6" t="n"/>
      <c r="C1735" s="7" t="n"/>
      <c r="D1735" s="8" t="n"/>
      <c r="E1735" s="6" t="n"/>
      <c r="F1735" s="6" t="n"/>
      <c r="G1735" s="6" t="n"/>
      <c r="H1735" s="6" t="n"/>
      <c r="I1735" s="12">
        <f>IF($B1735="","",IF(COUNTIF(Ventes_Factures!$A$6:$A$3005,$B1735)&gt;0,"OK","INCONNUE"))</f>
        <v/>
      </c>
      <c r="J1735" s="9">
        <f>IF($D1735="","",ROUND($D1735,2))</f>
        <v/>
      </c>
    </row>
    <row r="1736">
      <c r="A1736" s="6" t="n"/>
      <c r="B1736" s="6" t="n"/>
      <c r="C1736" s="7" t="n"/>
      <c r="D1736" s="8" t="n"/>
      <c r="E1736" s="6" t="n"/>
      <c r="F1736" s="6" t="n"/>
      <c r="G1736" s="6" t="n"/>
      <c r="H1736" s="6" t="n"/>
      <c r="I1736" s="12">
        <f>IF($B1736="","",IF(COUNTIF(Ventes_Factures!$A$6:$A$3005,$B1736)&gt;0,"OK","INCONNUE"))</f>
        <v/>
      </c>
      <c r="J1736" s="9">
        <f>IF($D1736="","",ROUND($D1736,2))</f>
        <v/>
      </c>
    </row>
    <row r="1737">
      <c r="A1737" s="6" t="n"/>
      <c r="B1737" s="6" t="n"/>
      <c r="C1737" s="7" t="n"/>
      <c r="D1737" s="8" t="n"/>
      <c r="E1737" s="6" t="n"/>
      <c r="F1737" s="6" t="n"/>
      <c r="G1737" s="6" t="n"/>
      <c r="H1737" s="6" t="n"/>
      <c r="I1737" s="12">
        <f>IF($B1737="","",IF(COUNTIF(Ventes_Factures!$A$6:$A$3005,$B1737)&gt;0,"OK","INCONNUE"))</f>
        <v/>
      </c>
      <c r="J1737" s="9">
        <f>IF($D1737="","",ROUND($D1737,2))</f>
        <v/>
      </c>
    </row>
    <row r="1738">
      <c r="A1738" s="6" t="n"/>
      <c r="B1738" s="6" t="n"/>
      <c r="C1738" s="7" t="n"/>
      <c r="D1738" s="8" t="n"/>
      <c r="E1738" s="6" t="n"/>
      <c r="F1738" s="6" t="n"/>
      <c r="G1738" s="6" t="n"/>
      <c r="H1738" s="6" t="n"/>
      <c r="I1738" s="12">
        <f>IF($B1738="","",IF(COUNTIF(Ventes_Factures!$A$6:$A$3005,$B1738)&gt;0,"OK","INCONNUE"))</f>
        <v/>
      </c>
      <c r="J1738" s="9">
        <f>IF($D1738="","",ROUND($D1738,2))</f>
        <v/>
      </c>
    </row>
    <row r="1739">
      <c r="A1739" s="6" t="n"/>
      <c r="B1739" s="6" t="n"/>
      <c r="C1739" s="7" t="n"/>
      <c r="D1739" s="8" t="n"/>
      <c r="E1739" s="6" t="n"/>
      <c r="F1739" s="6" t="n"/>
      <c r="G1739" s="6" t="n"/>
      <c r="H1739" s="6" t="n"/>
      <c r="I1739" s="12">
        <f>IF($B1739="","",IF(COUNTIF(Ventes_Factures!$A$6:$A$3005,$B1739)&gt;0,"OK","INCONNUE"))</f>
        <v/>
      </c>
      <c r="J1739" s="9">
        <f>IF($D1739="","",ROUND($D1739,2))</f>
        <v/>
      </c>
    </row>
    <row r="1740">
      <c r="A1740" s="6" t="n"/>
      <c r="B1740" s="6" t="n"/>
      <c r="C1740" s="7" t="n"/>
      <c r="D1740" s="8" t="n"/>
      <c r="E1740" s="6" t="n"/>
      <c r="F1740" s="6" t="n"/>
      <c r="G1740" s="6" t="n"/>
      <c r="H1740" s="6" t="n"/>
      <c r="I1740" s="12">
        <f>IF($B1740="","",IF(COUNTIF(Ventes_Factures!$A$6:$A$3005,$B1740)&gt;0,"OK","INCONNUE"))</f>
        <v/>
      </c>
      <c r="J1740" s="9">
        <f>IF($D1740="","",ROUND($D1740,2))</f>
        <v/>
      </c>
    </row>
    <row r="1741">
      <c r="A1741" s="6" t="n"/>
      <c r="B1741" s="6" t="n"/>
      <c r="C1741" s="7" t="n"/>
      <c r="D1741" s="8" t="n"/>
      <c r="E1741" s="6" t="n"/>
      <c r="F1741" s="6" t="n"/>
      <c r="G1741" s="6" t="n"/>
      <c r="H1741" s="6" t="n"/>
      <c r="I1741" s="12">
        <f>IF($B1741="","",IF(COUNTIF(Ventes_Factures!$A$6:$A$3005,$B1741)&gt;0,"OK","INCONNUE"))</f>
        <v/>
      </c>
      <c r="J1741" s="9">
        <f>IF($D1741="","",ROUND($D1741,2))</f>
        <v/>
      </c>
    </row>
    <row r="1742">
      <c r="A1742" s="6" t="n"/>
      <c r="B1742" s="6" t="n"/>
      <c r="C1742" s="7" t="n"/>
      <c r="D1742" s="8" t="n"/>
      <c r="E1742" s="6" t="n"/>
      <c r="F1742" s="6" t="n"/>
      <c r="G1742" s="6" t="n"/>
      <c r="H1742" s="6" t="n"/>
      <c r="I1742" s="12">
        <f>IF($B1742="","",IF(COUNTIF(Ventes_Factures!$A$6:$A$3005,$B1742)&gt;0,"OK","INCONNUE"))</f>
        <v/>
      </c>
      <c r="J1742" s="9">
        <f>IF($D1742="","",ROUND($D1742,2))</f>
        <v/>
      </c>
    </row>
    <row r="1743">
      <c r="A1743" s="6" t="n"/>
      <c r="B1743" s="6" t="n"/>
      <c r="C1743" s="7" t="n"/>
      <c r="D1743" s="8" t="n"/>
      <c r="E1743" s="6" t="n"/>
      <c r="F1743" s="6" t="n"/>
      <c r="G1743" s="6" t="n"/>
      <c r="H1743" s="6" t="n"/>
      <c r="I1743" s="12">
        <f>IF($B1743="","",IF(COUNTIF(Ventes_Factures!$A$6:$A$3005,$B1743)&gt;0,"OK","INCONNUE"))</f>
        <v/>
      </c>
      <c r="J1743" s="9">
        <f>IF($D1743="","",ROUND($D1743,2))</f>
        <v/>
      </c>
    </row>
    <row r="1744">
      <c r="A1744" s="6" t="n"/>
      <c r="B1744" s="6" t="n"/>
      <c r="C1744" s="7" t="n"/>
      <c r="D1744" s="8" t="n"/>
      <c r="E1744" s="6" t="n"/>
      <c r="F1744" s="6" t="n"/>
      <c r="G1744" s="6" t="n"/>
      <c r="H1744" s="6" t="n"/>
      <c r="I1744" s="12">
        <f>IF($B1744="","",IF(COUNTIF(Ventes_Factures!$A$6:$A$3005,$B1744)&gt;0,"OK","INCONNUE"))</f>
        <v/>
      </c>
      <c r="J1744" s="9">
        <f>IF($D1744="","",ROUND($D1744,2))</f>
        <v/>
      </c>
    </row>
    <row r="1745">
      <c r="A1745" s="6" t="n"/>
      <c r="B1745" s="6" t="n"/>
      <c r="C1745" s="7" t="n"/>
      <c r="D1745" s="8" t="n"/>
      <c r="E1745" s="6" t="n"/>
      <c r="F1745" s="6" t="n"/>
      <c r="G1745" s="6" t="n"/>
      <c r="H1745" s="6" t="n"/>
      <c r="I1745" s="12">
        <f>IF($B1745="","",IF(COUNTIF(Ventes_Factures!$A$6:$A$3005,$B1745)&gt;0,"OK","INCONNUE"))</f>
        <v/>
      </c>
      <c r="J1745" s="9">
        <f>IF($D1745="","",ROUND($D1745,2))</f>
        <v/>
      </c>
    </row>
    <row r="1746">
      <c r="A1746" s="6" t="n"/>
      <c r="B1746" s="6" t="n"/>
      <c r="C1746" s="7" t="n"/>
      <c r="D1746" s="8" t="n"/>
      <c r="E1746" s="6" t="n"/>
      <c r="F1746" s="6" t="n"/>
      <c r="G1746" s="6" t="n"/>
      <c r="H1746" s="6" t="n"/>
      <c r="I1746" s="12">
        <f>IF($B1746="","",IF(COUNTIF(Ventes_Factures!$A$6:$A$3005,$B1746)&gt;0,"OK","INCONNUE"))</f>
        <v/>
      </c>
      <c r="J1746" s="9">
        <f>IF($D1746="","",ROUND($D1746,2))</f>
        <v/>
      </c>
    </row>
    <row r="1747">
      <c r="A1747" s="6" t="n"/>
      <c r="B1747" s="6" t="n"/>
      <c r="C1747" s="7" t="n"/>
      <c r="D1747" s="8" t="n"/>
      <c r="E1747" s="6" t="n"/>
      <c r="F1747" s="6" t="n"/>
      <c r="G1747" s="6" t="n"/>
      <c r="H1747" s="6" t="n"/>
      <c r="I1747" s="12">
        <f>IF($B1747="","",IF(COUNTIF(Ventes_Factures!$A$6:$A$3005,$B1747)&gt;0,"OK","INCONNUE"))</f>
        <v/>
      </c>
      <c r="J1747" s="9">
        <f>IF($D1747="","",ROUND($D1747,2))</f>
        <v/>
      </c>
    </row>
    <row r="1748">
      <c r="A1748" s="6" t="n"/>
      <c r="B1748" s="6" t="n"/>
      <c r="C1748" s="7" t="n"/>
      <c r="D1748" s="8" t="n"/>
      <c r="E1748" s="6" t="n"/>
      <c r="F1748" s="6" t="n"/>
      <c r="G1748" s="6" t="n"/>
      <c r="H1748" s="6" t="n"/>
      <c r="I1748" s="12">
        <f>IF($B1748="","",IF(COUNTIF(Ventes_Factures!$A$6:$A$3005,$B1748)&gt;0,"OK","INCONNUE"))</f>
        <v/>
      </c>
      <c r="J1748" s="9">
        <f>IF($D1748="","",ROUND($D1748,2))</f>
        <v/>
      </c>
    </row>
    <row r="1749">
      <c r="A1749" s="6" t="n"/>
      <c r="B1749" s="6" t="n"/>
      <c r="C1749" s="7" t="n"/>
      <c r="D1749" s="8" t="n"/>
      <c r="E1749" s="6" t="n"/>
      <c r="F1749" s="6" t="n"/>
      <c r="G1749" s="6" t="n"/>
      <c r="H1749" s="6" t="n"/>
      <c r="I1749" s="12">
        <f>IF($B1749="","",IF(COUNTIF(Ventes_Factures!$A$6:$A$3005,$B1749)&gt;0,"OK","INCONNUE"))</f>
        <v/>
      </c>
      <c r="J1749" s="9">
        <f>IF($D1749="","",ROUND($D1749,2))</f>
        <v/>
      </c>
    </row>
    <row r="1750">
      <c r="A1750" s="6" t="n"/>
      <c r="B1750" s="6" t="n"/>
      <c r="C1750" s="7" t="n"/>
      <c r="D1750" s="8" t="n"/>
      <c r="E1750" s="6" t="n"/>
      <c r="F1750" s="6" t="n"/>
      <c r="G1750" s="6" t="n"/>
      <c r="H1750" s="6" t="n"/>
      <c r="I1750" s="12">
        <f>IF($B1750="","",IF(COUNTIF(Ventes_Factures!$A$6:$A$3005,$B1750)&gt;0,"OK","INCONNUE"))</f>
        <v/>
      </c>
      <c r="J1750" s="9">
        <f>IF($D1750="","",ROUND($D1750,2))</f>
        <v/>
      </c>
    </row>
    <row r="1751">
      <c r="A1751" s="6" t="n"/>
      <c r="B1751" s="6" t="n"/>
      <c r="C1751" s="7" t="n"/>
      <c r="D1751" s="8" t="n"/>
      <c r="E1751" s="6" t="n"/>
      <c r="F1751" s="6" t="n"/>
      <c r="G1751" s="6" t="n"/>
      <c r="H1751" s="6" t="n"/>
      <c r="I1751" s="12">
        <f>IF($B1751="","",IF(COUNTIF(Ventes_Factures!$A$6:$A$3005,$B1751)&gt;0,"OK","INCONNUE"))</f>
        <v/>
      </c>
      <c r="J1751" s="9">
        <f>IF($D1751="","",ROUND($D1751,2))</f>
        <v/>
      </c>
    </row>
    <row r="1752">
      <c r="A1752" s="6" t="n"/>
      <c r="B1752" s="6" t="n"/>
      <c r="C1752" s="7" t="n"/>
      <c r="D1752" s="8" t="n"/>
      <c r="E1752" s="6" t="n"/>
      <c r="F1752" s="6" t="n"/>
      <c r="G1752" s="6" t="n"/>
      <c r="H1752" s="6" t="n"/>
      <c r="I1752" s="12">
        <f>IF($B1752="","",IF(COUNTIF(Ventes_Factures!$A$6:$A$3005,$B1752)&gt;0,"OK","INCONNUE"))</f>
        <v/>
      </c>
      <c r="J1752" s="9">
        <f>IF($D1752="","",ROUND($D1752,2))</f>
        <v/>
      </c>
    </row>
    <row r="1753">
      <c r="A1753" s="6" t="n"/>
      <c r="B1753" s="6" t="n"/>
      <c r="C1753" s="7" t="n"/>
      <c r="D1753" s="8" t="n"/>
      <c r="E1753" s="6" t="n"/>
      <c r="F1753" s="6" t="n"/>
      <c r="G1753" s="6" t="n"/>
      <c r="H1753" s="6" t="n"/>
      <c r="I1753" s="12">
        <f>IF($B1753="","",IF(COUNTIF(Ventes_Factures!$A$6:$A$3005,$B1753)&gt;0,"OK","INCONNUE"))</f>
        <v/>
      </c>
      <c r="J1753" s="9">
        <f>IF($D1753="","",ROUND($D1753,2))</f>
        <v/>
      </c>
    </row>
    <row r="1754">
      <c r="A1754" s="6" t="n"/>
      <c r="B1754" s="6" t="n"/>
      <c r="C1754" s="7" t="n"/>
      <c r="D1754" s="8" t="n"/>
      <c r="E1754" s="6" t="n"/>
      <c r="F1754" s="6" t="n"/>
      <c r="G1754" s="6" t="n"/>
      <c r="H1754" s="6" t="n"/>
      <c r="I1754" s="12">
        <f>IF($B1754="","",IF(COUNTIF(Ventes_Factures!$A$6:$A$3005,$B1754)&gt;0,"OK","INCONNUE"))</f>
        <v/>
      </c>
      <c r="J1754" s="9">
        <f>IF($D1754="","",ROUND($D1754,2))</f>
        <v/>
      </c>
    </row>
    <row r="1755">
      <c r="A1755" s="6" t="n"/>
      <c r="B1755" s="6" t="n"/>
      <c r="C1755" s="7" t="n"/>
      <c r="D1755" s="8" t="n"/>
      <c r="E1755" s="6" t="n"/>
      <c r="F1755" s="6" t="n"/>
      <c r="G1755" s="6" t="n"/>
      <c r="H1755" s="6" t="n"/>
      <c r="I1755" s="12">
        <f>IF($B1755="","",IF(COUNTIF(Ventes_Factures!$A$6:$A$3005,$B1755)&gt;0,"OK","INCONNUE"))</f>
        <v/>
      </c>
      <c r="J1755" s="9">
        <f>IF($D1755="","",ROUND($D1755,2))</f>
        <v/>
      </c>
    </row>
    <row r="1756">
      <c r="A1756" s="6" t="n"/>
      <c r="B1756" s="6" t="n"/>
      <c r="C1756" s="7" t="n"/>
      <c r="D1756" s="8" t="n"/>
      <c r="E1756" s="6" t="n"/>
      <c r="F1756" s="6" t="n"/>
      <c r="G1756" s="6" t="n"/>
      <c r="H1756" s="6" t="n"/>
      <c r="I1756" s="12">
        <f>IF($B1756="","",IF(COUNTIF(Ventes_Factures!$A$6:$A$3005,$B1756)&gt;0,"OK","INCONNUE"))</f>
        <v/>
      </c>
      <c r="J1756" s="9">
        <f>IF($D1756="","",ROUND($D1756,2))</f>
        <v/>
      </c>
    </row>
    <row r="1757">
      <c r="A1757" s="6" t="n"/>
      <c r="B1757" s="6" t="n"/>
      <c r="C1757" s="7" t="n"/>
      <c r="D1757" s="8" t="n"/>
      <c r="E1757" s="6" t="n"/>
      <c r="F1757" s="6" t="n"/>
      <c r="G1757" s="6" t="n"/>
      <c r="H1757" s="6" t="n"/>
      <c r="I1757" s="12">
        <f>IF($B1757="","",IF(COUNTIF(Ventes_Factures!$A$6:$A$3005,$B1757)&gt;0,"OK","INCONNUE"))</f>
        <v/>
      </c>
      <c r="J1757" s="9">
        <f>IF($D1757="","",ROUND($D1757,2))</f>
        <v/>
      </c>
    </row>
    <row r="1758">
      <c r="A1758" s="6" t="n"/>
      <c r="B1758" s="6" t="n"/>
      <c r="C1758" s="7" t="n"/>
      <c r="D1758" s="8" t="n"/>
      <c r="E1758" s="6" t="n"/>
      <c r="F1758" s="6" t="n"/>
      <c r="G1758" s="6" t="n"/>
      <c r="H1758" s="6" t="n"/>
      <c r="I1758" s="12">
        <f>IF($B1758="","",IF(COUNTIF(Ventes_Factures!$A$6:$A$3005,$B1758)&gt;0,"OK","INCONNUE"))</f>
        <v/>
      </c>
      <c r="J1758" s="9">
        <f>IF($D1758="","",ROUND($D1758,2))</f>
        <v/>
      </c>
    </row>
    <row r="1759">
      <c r="A1759" s="6" t="n"/>
      <c r="B1759" s="6" t="n"/>
      <c r="C1759" s="7" t="n"/>
      <c r="D1759" s="8" t="n"/>
      <c r="E1759" s="6" t="n"/>
      <c r="F1759" s="6" t="n"/>
      <c r="G1759" s="6" t="n"/>
      <c r="H1759" s="6" t="n"/>
      <c r="I1759" s="12">
        <f>IF($B1759="","",IF(COUNTIF(Ventes_Factures!$A$6:$A$3005,$B1759)&gt;0,"OK","INCONNUE"))</f>
        <v/>
      </c>
      <c r="J1759" s="9">
        <f>IF($D1759="","",ROUND($D1759,2))</f>
        <v/>
      </c>
    </row>
    <row r="1760">
      <c r="A1760" s="6" t="n"/>
      <c r="B1760" s="6" t="n"/>
      <c r="C1760" s="7" t="n"/>
      <c r="D1760" s="8" t="n"/>
      <c r="E1760" s="6" t="n"/>
      <c r="F1760" s="6" t="n"/>
      <c r="G1760" s="6" t="n"/>
      <c r="H1760" s="6" t="n"/>
      <c r="I1760" s="12">
        <f>IF($B1760="","",IF(COUNTIF(Ventes_Factures!$A$6:$A$3005,$B1760)&gt;0,"OK","INCONNUE"))</f>
        <v/>
      </c>
      <c r="J1760" s="9">
        <f>IF($D1760="","",ROUND($D1760,2))</f>
        <v/>
      </c>
    </row>
    <row r="1761">
      <c r="A1761" s="6" t="n"/>
      <c r="B1761" s="6" t="n"/>
      <c r="C1761" s="7" t="n"/>
      <c r="D1761" s="8" t="n"/>
      <c r="E1761" s="6" t="n"/>
      <c r="F1761" s="6" t="n"/>
      <c r="G1761" s="6" t="n"/>
      <c r="H1761" s="6" t="n"/>
      <c r="I1761" s="12">
        <f>IF($B1761="","",IF(COUNTIF(Ventes_Factures!$A$6:$A$3005,$B1761)&gt;0,"OK","INCONNUE"))</f>
        <v/>
      </c>
      <c r="J1761" s="9">
        <f>IF($D1761="","",ROUND($D1761,2))</f>
        <v/>
      </c>
    </row>
    <row r="1762">
      <c r="A1762" s="6" t="n"/>
      <c r="B1762" s="6" t="n"/>
      <c r="C1762" s="7" t="n"/>
      <c r="D1762" s="8" t="n"/>
      <c r="E1762" s="6" t="n"/>
      <c r="F1762" s="6" t="n"/>
      <c r="G1762" s="6" t="n"/>
      <c r="H1762" s="6" t="n"/>
      <c r="I1762" s="12">
        <f>IF($B1762="","",IF(COUNTIF(Ventes_Factures!$A$6:$A$3005,$B1762)&gt;0,"OK","INCONNUE"))</f>
        <v/>
      </c>
      <c r="J1762" s="9">
        <f>IF($D1762="","",ROUND($D1762,2))</f>
        <v/>
      </c>
    </row>
    <row r="1763">
      <c r="A1763" s="6" t="n"/>
      <c r="B1763" s="6" t="n"/>
      <c r="C1763" s="7" t="n"/>
      <c r="D1763" s="8" t="n"/>
      <c r="E1763" s="6" t="n"/>
      <c r="F1763" s="6" t="n"/>
      <c r="G1763" s="6" t="n"/>
      <c r="H1763" s="6" t="n"/>
      <c r="I1763" s="12">
        <f>IF($B1763="","",IF(COUNTIF(Ventes_Factures!$A$6:$A$3005,$B1763)&gt;0,"OK","INCONNUE"))</f>
        <v/>
      </c>
      <c r="J1763" s="9">
        <f>IF($D1763="","",ROUND($D1763,2))</f>
        <v/>
      </c>
    </row>
    <row r="1764">
      <c r="A1764" s="6" t="n"/>
      <c r="B1764" s="6" t="n"/>
      <c r="C1764" s="7" t="n"/>
      <c r="D1764" s="8" t="n"/>
      <c r="E1764" s="6" t="n"/>
      <c r="F1764" s="6" t="n"/>
      <c r="G1764" s="6" t="n"/>
      <c r="H1764" s="6" t="n"/>
      <c r="I1764" s="12">
        <f>IF($B1764="","",IF(COUNTIF(Ventes_Factures!$A$6:$A$3005,$B1764)&gt;0,"OK","INCONNUE"))</f>
        <v/>
      </c>
      <c r="J1764" s="9">
        <f>IF($D1764="","",ROUND($D1764,2))</f>
        <v/>
      </c>
    </row>
    <row r="1765">
      <c r="A1765" s="6" t="n"/>
      <c r="B1765" s="6" t="n"/>
      <c r="C1765" s="7" t="n"/>
      <c r="D1765" s="8" t="n"/>
      <c r="E1765" s="6" t="n"/>
      <c r="F1765" s="6" t="n"/>
      <c r="G1765" s="6" t="n"/>
      <c r="H1765" s="6" t="n"/>
      <c r="I1765" s="12">
        <f>IF($B1765="","",IF(COUNTIF(Ventes_Factures!$A$6:$A$3005,$B1765)&gt;0,"OK","INCONNUE"))</f>
        <v/>
      </c>
      <c r="J1765" s="9">
        <f>IF($D1765="","",ROUND($D1765,2))</f>
        <v/>
      </c>
    </row>
    <row r="1766">
      <c r="A1766" s="6" t="n"/>
      <c r="B1766" s="6" t="n"/>
      <c r="C1766" s="7" t="n"/>
      <c r="D1766" s="8" t="n"/>
      <c r="E1766" s="6" t="n"/>
      <c r="F1766" s="6" t="n"/>
      <c r="G1766" s="6" t="n"/>
      <c r="H1766" s="6" t="n"/>
      <c r="I1766" s="12">
        <f>IF($B1766="","",IF(COUNTIF(Ventes_Factures!$A$6:$A$3005,$B1766)&gt;0,"OK","INCONNUE"))</f>
        <v/>
      </c>
      <c r="J1766" s="9">
        <f>IF($D1766="","",ROUND($D1766,2))</f>
        <v/>
      </c>
    </row>
    <row r="1767">
      <c r="A1767" s="6" t="n"/>
      <c r="B1767" s="6" t="n"/>
      <c r="C1767" s="7" t="n"/>
      <c r="D1767" s="8" t="n"/>
      <c r="E1767" s="6" t="n"/>
      <c r="F1767" s="6" t="n"/>
      <c r="G1767" s="6" t="n"/>
      <c r="H1767" s="6" t="n"/>
      <c r="I1767" s="12">
        <f>IF($B1767="","",IF(COUNTIF(Ventes_Factures!$A$6:$A$3005,$B1767)&gt;0,"OK","INCONNUE"))</f>
        <v/>
      </c>
      <c r="J1767" s="9">
        <f>IF($D1767="","",ROUND($D1767,2))</f>
        <v/>
      </c>
    </row>
    <row r="1768">
      <c r="A1768" s="6" t="n"/>
      <c r="B1768" s="6" t="n"/>
      <c r="C1768" s="7" t="n"/>
      <c r="D1768" s="8" t="n"/>
      <c r="E1768" s="6" t="n"/>
      <c r="F1768" s="6" t="n"/>
      <c r="G1768" s="6" t="n"/>
      <c r="H1768" s="6" t="n"/>
      <c r="I1768" s="12">
        <f>IF($B1768="","",IF(COUNTIF(Ventes_Factures!$A$6:$A$3005,$B1768)&gt;0,"OK","INCONNUE"))</f>
        <v/>
      </c>
      <c r="J1768" s="9">
        <f>IF($D1768="","",ROUND($D1768,2))</f>
        <v/>
      </c>
    </row>
    <row r="1769">
      <c r="A1769" s="6" t="n"/>
      <c r="B1769" s="6" t="n"/>
      <c r="C1769" s="7" t="n"/>
      <c r="D1769" s="8" t="n"/>
      <c r="E1769" s="6" t="n"/>
      <c r="F1769" s="6" t="n"/>
      <c r="G1769" s="6" t="n"/>
      <c r="H1769" s="6" t="n"/>
      <c r="I1769" s="12">
        <f>IF($B1769="","",IF(COUNTIF(Ventes_Factures!$A$6:$A$3005,$B1769)&gt;0,"OK","INCONNUE"))</f>
        <v/>
      </c>
      <c r="J1769" s="9">
        <f>IF($D1769="","",ROUND($D1769,2))</f>
        <v/>
      </c>
    </row>
    <row r="1770">
      <c r="A1770" s="6" t="n"/>
      <c r="B1770" s="6" t="n"/>
      <c r="C1770" s="7" t="n"/>
      <c r="D1770" s="8" t="n"/>
      <c r="E1770" s="6" t="n"/>
      <c r="F1770" s="6" t="n"/>
      <c r="G1770" s="6" t="n"/>
      <c r="H1770" s="6" t="n"/>
      <c r="I1770" s="12">
        <f>IF($B1770="","",IF(COUNTIF(Ventes_Factures!$A$6:$A$3005,$B1770)&gt;0,"OK","INCONNUE"))</f>
        <v/>
      </c>
      <c r="J1770" s="9">
        <f>IF($D1770="","",ROUND($D1770,2))</f>
        <v/>
      </c>
    </row>
    <row r="1771">
      <c r="A1771" s="6" t="n"/>
      <c r="B1771" s="6" t="n"/>
      <c r="C1771" s="7" t="n"/>
      <c r="D1771" s="8" t="n"/>
      <c r="E1771" s="6" t="n"/>
      <c r="F1771" s="6" t="n"/>
      <c r="G1771" s="6" t="n"/>
      <c r="H1771" s="6" t="n"/>
      <c r="I1771" s="12">
        <f>IF($B1771="","",IF(COUNTIF(Ventes_Factures!$A$6:$A$3005,$B1771)&gt;0,"OK","INCONNUE"))</f>
        <v/>
      </c>
      <c r="J1771" s="9">
        <f>IF($D1771="","",ROUND($D1771,2))</f>
        <v/>
      </c>
    </row>
    <row r="1772">
      <c r="A1772" s="6" t="n"/>
      <c r="B1772" s="6" t="n"/>
      <c r="C1772" s="7" t="n"/>
      <c r="D1772" s="8" t="n"/>
      <c r="E1772" s="6" t="n"/>
      <c r="F1772" s="6" t="n"/>
      <c r="G1772" s="6" t="n"/>
      <c r="H1772" s="6" t="n"/>
      <c r="I1772" s="12">
        <f>IF($B1772="","",IF(COUNTIF(Ventes_Factures!$A$6:$A$3005,$B1772)&gt;0,"OK","INCONNUE"))</f>
        <v/>
      </c>
      <c r="J1772" s="9">
        <f>IF($D1772="","",ROUND($D1772,2))</f>
        <v/>
      </c>
    </row>
    <row r="1773">
      <c r="A1773" s="6" t="n"/>
      <c r="B1773" s="6" t="n"/>
      <c r="C1773" s="7" t="n"/>
      <c r="D1773" s="8" t="n"/>
      <c r="E1773" s="6" t="n"/>
      <c r="F1773" s="6" t="n"/>
      <c r="G1773" s="6" t="n"/>
      <c r="H1773" s="6" t="n"/>
      <c r="I1773" s="12">
        <f>IF($B1773="","",IF(COUNTIF(Ventes_Factures!$A$6:$A$3005,$B1773)&gt;0,"OK","INCONNUE"))</f>
        <v/>
      </c>
      <c r="J1773" s="9">
        <f>IF($D1773="","",ROUND($D1773,2))</f>
        <v/>
      </c>
    </row>
    <row r="1774">
      <c r="A1774" s="6" t="n"/>
      <c r="B1774" s="6" t="n"/>
      <c r="C1774" s="7" t="n"/>
      <c r="D1774" s="8" t="n"/>
      <c r="E1774" s="6" t="n"/>
      <c r="F1774" s="6" t="n"/>
      <c r="G1774" s="6" t="n"/>
      <c r="H1774" s="6" t="n"/>
      <c r="I1774" s="12">
        <f>IF($B1774="","",IF(COUNTIF(Ventes_Factures!$A$6:$A$3005,$B1774)&gt;0,"OK","INCONNUE"))</f>
        <v/>
      </c>
      <c r="J1774" s="9">
        <f>IF($D1774="","",ROUND($D1774,2))</f>
        <v/>
      </c>
    </row>
    <row r="1775">
      <c r="A1775" s="6" t="n"/>
      <c r="B1775" s="6" t="n"/>
      <c r="C1775" s="7" t="n"/>
      <c r="D1775" s="8" t="n"/>
      <c r="E1775" s="6" t="n"/>
      <c r="F1775" s="6" t="n"/>
      <c r="G1775" s="6" t="n"/>
      <c r="H1775" s="6" t="n"/>
      <c r="I1775" s="12">
        <f>IF($B1775="","",IF(COUNTIF(Ventes_Factures!$A$6:$A$3005,$B1775)&gt;0,"OK","INCONNUE"))</f>
        <v/>
      </c>
      <c r="J1775" s="9">
        <f>IF($D1775="","",ROUND($D1775,2))</f>
        <v/>
      </c>
    </row>
    <row r="1776">
      <c r="A1776" s="6" t="n"/>
      <c r="B1776" s="6" t="n"/>
      <c r="C1776" s="7" t="n"/>
      <c r="D1776" s="8" t="n"/>
      <c r="E1776" s="6" t="n"/>
      <c r="F1776" s="6" t="n"/>
      <c r="G1776" s="6" t="n"/>
      <c r="H1776" s="6" t="n"/>
      <c r="I1776" s="12">
        <f>IF($B1776="","",IF(COUNTIF(Ventes_Factures!$A$6:$A$3005,$B1776)&gt;0,"OK","INCONNUE"))</f>
        <v/>
      </c>
      <c r="J1776" s="9">
        <f>IF($D1776="","",ROUND($D1776,2))</f>
        <v/>
      </c>
    </row>
    <row r="1777">
      <c r="A1777" s="6" t="n"/>
      <c r="B1777" s="6" t="n"/>
      <c r="C1777" s="7" t="n"/>
      <c r="D1777" s="8" t="n"/>
      <c r="E1777" s="6" t="n"/>
      <c r="F1777" s="6" t="n"/>
      <c r="G1777" s="6" t="n"/>
      <c r="H1777" s="6" t="n"/>
      <c r="I1777" s="12">
        <f>IF($B1777="","",IF(COUNTIF(Ventes_Factures!$A$6:$A$3005,$B1777)&gt;0,"OK","INCONNUE"))</f>
        <v/>
      </c>
      <c r="J1777" s="9">
        <f>IF($D1777="","",ROUND($D1777,2))</f>
        <v/>
      </c>
    </row>
    <row r="1778">
      <c r="A1778" s="6" t="n"/>
      <c r="B1778" s="6" t="n"/>
      <c r="C1778" s="7" t="n"/>
      <c r="D1778" s="8" t="n"/>
      <c r="E1778" s="6" t="n"/>
      <c r="F1778" s="6" t="n"/>
      <c r="G1778" s="6" t="n"/>
      <c r="H1778" s="6" t="n"/>
      <c r="I1778" s="12">
        <f>IF($B1778="","",IF(COUNTIF(Ventes_Factures!$A$6:$A$3005,$B1778)&gt;0,"OK","INCONNUE"))</f>
        <v/>
      </c>
      <c r="J1778" s="9">
        <f>IF($D1778="","",ROUND($D1778,2))</f>
        <v/>
      </c>
    </row>
    <row r="1779">
      <c r="A1779" s="6" t="n"/>
      <c r="B1779" s="6" t="n"/>
      <c r="C1779" s="7" t="n"/>
      <c r="D1779" s="8" t="n"/>
      <c r="E1779" s="6" t="n"/>
      <c r="F1779" s="6" t="n"/>
      <c r="G1779" s="6" t="n"/>
      <c r="H1779" s="6" t="n"/>
      <c r="I1779" s="12">
        <f>IF($B1779="","",IF(COUNTIF(Ventes_Factures!$A$6:$A$3005,$B1779)&gt;0,"OK","INCONNUE"))</f>
        <v/>
      </c>
      <c r="J1779" s="9">
        <f>IF($D1779="","",ROUND($D1779,2))</f>
        <v/>
      </c>
    </row>
    <row r="1780">
      <c r="A1780" s="6" t="n"/>
      <c r="B1780" s="6" t="n"/>
      <c r="C1780" s="7" t="n"/>
      <c r="D1780" s="8" t="n"/>
      <c r="E1780" s="6" t="n"/>
      <c r="F1780" s="6" t="n"/>
      <c r="G1780" s="6" t="n"/>
      <c r="H1780" s="6" t="n"/>
      <c r="I1780" s="12">
        <f>IF($B1780="","",IF(COUNTIF(Ventes_Factures!$A$6:$A$3005,$B1780)&gt;0,"OK","INCONNUE"))</f>
        <v/>
      </c>
      <c r="J1780" s="9">
        <f>IF($D1780="","",ROUND($D1780,2))</f>
        <v/>
      </c>
    </row>
    <row r="1781">
      <c r="A1781" s="6" t="n"/>
      <c r="B1781" s="6" t="n"/>
      <c r="C1781" s="7" t="n"/>
      <c r="D1781" s="8" t="n"/>
      <c r="E1781" s="6" t="n"/>
      <c r="F1781" s="6" t="n"/>
      <c r="G1781" s="6" t="n"/>
      <c r="H1781" s="6" t="n"/>
      <c r="I1781" s="12">
        <f>IF($B1781="","",IF(COUNTIF(Ventes_Factures!$A$6:$A$3005,$B1781)&gt;0,"OK","INCONNUE"))</f>
        <v/>
      </c>
      <c r="J1781" s="9">
        <f>IF($D1781="","",ROUND($D1781,2))</f>
        <v/>
      </c>
    </row>
    <row r="1782">
      <c r="A1782" s="6" t="n"/>
      <c r="B1782" s="6" t="n"/>
      <c r="C1782" s="7" t="n"/>
      <c r="D1782" s="8" t="n"/>
      <c r="E1782" s="6" t="n"/>
      <c r="F1782" s="6" t="n"/>
      <c r="G1782" s="6" t="n"/>
      <c r="H1782" s="6" t="n"/>
      <c r="I1782" s="12">
        <f>IF($B1782="","",IF(COUNTIF(Ventes_Factures!$A$6:$A$3005,$B1782)&gt;0,"OK","INCONNUE"))</f>
        <v/>
      </c>
      <c r="J1782" s="9">
        <f>IF($D1782="","",ROUND($D1782,2))</f>
        <v/>
      </c>
    </row>
    <row r="1783">
      <c r="A1783" s="6" t="n"/>
      <c r="B1783" s="6" t="n"/>
      <c r="C1783" s="7" t="n"/>
      <c r="D1783" s="8" t="n"/>
      <c r="E1783" s="6" t="n"/>
      <c r="F1783" s="6" t="n"/>
      <c r="G1783" s="6" t="n"/>
      <c r="H1783" s="6" t="n"/>
      <c r="I1783" s="12">
        <f>IF($B1783="","",IF(COUNTIF(Ventes_Factures!$A$6:$A$3005,$B1783)&gt;0,"OK","INCONNUE"))</f>
        <v/>
      </c>
      <c r="J1783" s="9">
        <f>IF($D1783="","",ROUND($D1783,2))</f>
        <v/>
      </c>
    </row>
    <row r="1784">
      <c r="A1784" s="6" t="n"/>
      <c r="B1784" s="6" t="n"/>
      <c r="C1784" s="7" t="n"/>
      <c r="D1784" s="8" t="n"/>
      <c r="E1784" s="6" t="n"/>
      <c r="F1784" s="6" t="n"/>
      <c r="G1784" s="6" t="n"/>
      <c r="H1784" s="6" t="n"/>
      <c r="I1784" s="12">
        <f>IF($B1784="","",IF(COUNTIF(Ventes_Factures!$A$6:$A$3005,$B1784)&gt;0,"OK","INCONNUE"))</f>
        <v/>
      </c>
      <c r="J1784" s="9">
        <f>IF($D1784="","",ROUND($D1784,2))</f>
        <v/>
      </c>
    </row>
    <row r="1785">
      <c r="A1785" s="6" t="n"/>
      <c r="B1785" s="6" t="n"/>
      <c r="C1785" s="7" t="n"/>
      <c r="D1785" s="8" t="n"/>
      <c r="E1785" s="6" t="n"/>
      <c r="F1785" s="6" t="n"/>
      <c r="G1785" s="6" t="n"/>
      <c r="H1785" s="6" t="n"/>
      <c r="I1785" s="12">
        <f>IF($B1785="","",IF(COUNTIF(Ventes_Factures!$A$6:$A$3005,$B1785)&gt;0,"OK","INCONNUE"))</f>
        <v/>
      </c>
      <c r="J1785" s="9">
        <f>IF($D1785="","",ROUND($D1785,2))</f>
        <v/>
      </c>
    </row>
    <row r="1786">
      <c r="A1786" s="6" t="n"/>
      <c r="B1786" s="6" t="n"/>
      <c r="C1786" s="7" t="n"/>
      <c r="D1786" s="8" t="n"/>
      <c r="E1786" s="6" t="n"/>
      <c r="F1786" s="6" t="n"/>
      <c r="G1786" s="6" t="n"/>
      <c r="H1786" s="6" t="n"/>
      <c r="I1786" s="12">
        <f>IF($B1786="","",IF(COUNTIF(Ventes_Factures!$A$6:$A$3005,$B1786)&gt;0,"OK","INCONNUE"))</f>
        <v/>
      </c>
      <c r="J1786" s="9">
        <f>IF($D1786="","",ROUND($D1786,2))</f>
        <v/>
      </c>
    </row>
    <row r="1787">
      <c r="A1787" s="6" t="n"/>
      <c r="B1787" s="6" t="n"/>
      <c r="C1787" s="7" t="n"/>
      <c r="D1787" s="8" t="n"/>
      <c r="E1787" s="6" t="n"/>
      <c r="F1787" s="6" t="n"/>
      <c r="G1787" s="6" t="n"/>
      <c r="H1787" s="6" t="n"/>
      <c r="I1787" s="12">
        <f>IF($B1787="","",IF(COUNTIF(Ventes_Factures!$A$6:$A$3005,$B1787)&gt;0,"OK","INCONNUE"))</f>
        <v/>
      </c>
      <c r="J1787" s="9">
        <f>IF($D1787="","",ROUND($D1787,2))</f>
        <v/>
      </c>
    </row>
    <row r="1788">
      <c r="A1788" s="6" t="n"/>
      <c r="B1788" s="6" t="n"/>
      <c r="C1788" s="7" t="n"/>
      <c r="D1788" s="8" t="n"/>
      <c r="E1788" s="6" t="n"/>
      <c r="F1788" s="6" t="n"/>
      <c r="G1788" s="6" t="n"/>
      <c r="H1788" s="6" t="n"/>
      <c r="I1788" s="12">
        <f>IF($B1788="","",IF(COUNTIF(Ventes_Factures!$A$6:$A$3005,$B1788)&gt;0,"OK","INCONNUE"))</f>
        <v/>
      </c>
      <c r="J1788" s="9">
        <f>IF($D1788="","",ROUND($D1788,2))</f>
        <v/>
      </c>
    </row>
    <row r="1789">
      <c r="A1789" s="6" t="n"/>
      <c r="B1789" s="6" t="n"/>
      <c r="C1789" s="7" t="n"/>
      <c r="D1789" s="8" t="n"/>
      <c r="E1789" s="6" t="n"/>
      <c r="F1789" s="6" t="n"/>
      <c r="G1789" s="6" t="n"/>
      <c r="H1789" s="6" t="n"/>
      <c r="I1789" s="12">
        <f>IF($B1789="","",IF(COUNTIF(Ventes_Factures!$A$6:$A$3005,$B1789)&gt;0,"OK","INCONNUE"))</f>
        <v/>
      </c>
      <c r="J1789" s="9">
        <f>IF($D1789="","",ROUND($D1789,2))</f>
        <v/>
      </c>
    </row>
    <row r="1790">
      <c r="A1790" s="6" t="n"/>
      <c r="B1790" s="6" t="n"/>
      <c r="C1790" s="7" t="n"/>
      <c r="D1790" s="8" t="n"/>
      <c r="E1790" s="6" t="n"/>
      <c r="F1790" s="6" t="n"/>
      <c r="G1790" s="6" t="n"/>
      <c r="H1790" s="6" t="n"/>
      <c r="I1790" s="12">
        <f>IF($B1790="","",IF(COUNTIF(Ventes_Factures!$A$6:$A$3005,$B1790)&gt;0,"OK","INCONNUE"))</f>
        <v/>
      </c>
      <c r="J1790" s="9">
        <f>IF($D1790="","",ROUND($D1790,2))</f>
        <v/>
      </c>
    </row>
    <row r="1791">
      <c r="A1791" s="6" t="n"/>
      <c r="B1791" s="6" t="n"/>
      <c r="C1791" s="7" t="n"/>
      <c r="D1791" s="8" t="n"/>
      <c r="E1791" s="6" t="n"/>
      <c r="F1791" s="6" t="n"/>
      <c r="G1791" s="6" t="n"/>
      <c r="H1791" s="6" t="n"/>
      <c r="I1791" s="12">
        <f>IF($B1791="","",IF(COUNTIF(Ventes_Factures!$A$6:$A$3005,$B1791)&gt;0,"OK","INCONNUE"))</f>
        <v/>
      </c>
      <c r="J1791" s="9">
        <f>IF($D1791="","",ROUND($D1791,2))</f>
        <v/>
      </c>
    </row>
    <row r="1792">
      <c r="A1792" s="6" t="n"/>
      <c r="B1792" s="6" t="n"/>
      <c r="C1792" s="7" t="n"/>
      <c r="D1792" s="8" t="n"/>
      <c r="E1792" s="6" t="n"/>
      <c r="F1792" s="6" t="n"/>
      <c r="G1792" s="6" t="n"/>
      <c r="H1792" s="6" t="n"/>
      <c r="I1792" s="12">
        <f>IF($B1792="","",IF(COUNTIF(Ventes_Factures!$A$6:$A$3005,$B1792)&gt;0,"OK","INCONNUE"))</f>
        <v/>
      </c>
      <c r="J1792" s="9">
        <f>IF($D1792="","",ROUND($D1792,2))</f>
        <v/>
      </c>
    </row>
    <row r="1793">
      <c r="A1793" s="6" t="n"/>
      <c r="B1793" s="6" t="n"/>
      <c r="C1793" s="7" t="n"/>
      <c r="D1793" s="8" t="n"/>
      <c r="E1793" s="6" t="n"/>
      <c r="F1793" s="6" t="n"/>
      <c r="G1793" s="6" t="n"/>
      <c r="H1793" s="6" t="n"/>
      <c r="I1793" s="12">
        <f>IF($B1793="","",IF(COUNTIF(Ventes_Factures!$A$6:$A$3005,$B1793)&gt;0,"OK","INCONNUE"))</f>
        <v/>
      </c>
      <c r="J1793" s="9">
        <f>IF($D1793="","",ROUND($D1793,2))</f>
        <v/>
      </c>
    </row>
    <row r="1794">
      <c r="A1794" s="6" t="n"/>
      <c r="B1794" s="6" t="n"/>
      <c r="C1794" s="7" t="n"/>
      <c r="D1794" s="8" t="n"/>
      <c r="E1794" s="6" t="n"/>
      <c r="F1794" s="6" t="n"/>
      <c r="G1794" s="6" t="n"/>
      <c r="H1794" s="6" t="n"/>
      <c r="I1794" s="12">
        <f>IF($B1794="","",IF(COUNTIF(Ventes_Factures!$A$6:$A$3005,$B1794)&gt;0,"OK","INCONNUE"))</f>
        <v/>
      </c>
      <c r="J1794" s="9">
        <f>IF($D1794="","",ROUND($D1794,2))</f>
        <v/>
      </c>
    </row>
    <row r="1795">
      <c r="A1795" s="6" t="n"/>
      <c r="B1795" s="6" t="n"/>
      <c r="C1795" s="7" t="n"/>
      <c r="D1795" s="8" t="n"/>
      <c r="E1795" s="6" t="n"/>
      <c r="F1795" s="6" t="n"/>
      <c r="G1795" s="6" t="n"/>
      <c r="H1795" s="6" t="n"/>
      <c r="I1795" s="12">
        <f>IF($B1795="","",IF(COUNTIF(Ventes_Factures!$A$6:$A$3005,$B1795)&gt;0,"OK","INCONNUE"))</f>
        <v/>
      </c>
      <c r="J1795" s="9">
        <f>IF($D1795="","",ROUND($D1795,2))</f>
        <v/>
      </c>
    </row>
    <row r="1796">
      <c r="A1796" s="6" t="n"/>
      <c r="B1796" s="6" t="n"/>
      <c r="C1796" s="7" t="n"/>
      <c r="D1796" s="8" t="n"/>
      <c r="E1796" s="6" t="n"/>
      <c r="F1796" s="6" t="n"/>
      <c r="G1796" s="6" t="n"/>
      <c r="H1796" s="6" t="n"/>
      <c r="I1796" s="12">
        <f>IF($B1796="","",IF(COUNTIF(Ventes_Factures!$A$6:$A$3005,$B1796)&gt;0,"OK","INCONNUE"))</f>
        <v/>
      </c>
      <c r="J1796" s="9">
        <f>IF($D1796="","",ROUND($D1796,2))</f>
        <v/>
      </c>
    </row>
    <row r="1797">
      <c r="A1797" s="6" t="n"/>
      <c r="B1797" s="6" t="n"/>
      <c r="C1797" s="7" t="n"/>
      <c r="D1797" s="8" t="n"/>
      <c r="E1797" s="6" t="n"/>
      <c r="F1797" s="6" t="n"/>
      <c r="G1797" s="6" t="n"/>
      <c r="H1797" s="6" t="n"/>
      <c r="I1797" s="12">
        <f>IF($B1797="","",IF(COUNTIF(Ventes_Factures!$A$6:$A$3005,$B1797)&gt;0,"OK","INCONNUE"))</f>
        <v/>
      </c>
      <c r="J1797" s="9">
        <f>IF($D1797="","",ROUND($D1797,2))</f>
        <v/>
      </c>
    </row>
    <row r="1798">
      <c r="A1798" s="6" t="n"/>
      <c r="B1798" s="6" t="n"/>
      <c r="C1798" s="7" t="n"/>
      <c r="D1798" s="8" t="n"/>
      <c r="E1798" s="6" t="n"/>
      <c r="F1798" s="6" t="n"/>
      <c r="G1798" s="6" t="n"/>
      <c r="H1798" s="6" t="n"/>
      <c r="I1798" s="12">
        <f>IF($B1798="","",IF(COUNTIF(Ventes_Factures!$A$6:$A$3005,$B1798)&gt;0,"OK","INCONNUE"))</f>
        <v/>
      </c>
      <c r="J1798" s="9">
        <f>IF($D1798="","",ROUND($D1798,2))</f>
        <v/>
      </c>
    </row>
    <row r="1799">
      <c r="A1799" s="6" t="n"/>
      <c r="B1799" s="6" t="n"/>
      <c r="C1799" s="7" t="n"/>
      <c r="D1799" s="8" t="n"/>
      <c r="E1799" s="6" t="n"/>
      <c r="F1799" s="6" t="n"/>
      <c r="G1799" s="6" t="n"/>
      <c r="H1799" s="6" t="n"/>
      <c r="I1799" s="12">
        <f>IF($B1799="","",IF(COUNTIF(Ventes_Factures!$A$6:$A$3005,$B1799)&gt;0,"OK","INCONNUE"))</f>
        <v/>
      </c>
      <c r="J1799" s="9">
        <f>IF($D1799="","",ROUND($D1799,2))</f>
        <v/>
      </c>
    </row>
    <row r="1800">
      <c r="A1800" s="6" t="n"/>
      <c r="B1800" s="6" t="n"/>
      <c r="C1800" s="7" t="n"/>
      <c r="D1800" s="8" t="n"/>
      <c r="E1800" s="6" t="n"/>
      <c r="F1800" s="6" t="n"/>
      <c r="G1800" s="6" t="n"/>
      <c r="H1800" s="6" t="n"/>
      <c r="I1800" s="12">
        <f>IF($B1800="","",IF(COUNTIF(Ventes_Factures!$A$6:$A$3005,$B1800)&gt;0,"OK","INCONNUE"))</f>
        <v/>
      </c>
      <c r="J1800" s="9">
        <f>IF($D1800="","",ROUND($D1800,2))</f>
        <v/>
      </c>
    </row>
    <row r="1801">
      <c r="A1801" s="6" t="n"/>
      <c r="B1801" s="6" t="n"/>
      <c r="C1801" s="7" t="n"/>
      <c r="D1801" s="8" t="n"/>
      <c r="E1801" s="6" t="n"/>
      <c r="F1801" s="6" t="n"/>
      <c r="G1801" s="6" t="n"/>
      <c r="H1801" s="6" t="n"/>
      <c r="I1801" s="12">
        <f>IF($B1801="","",IF(COUNTIF(Ventes_Factures!$A$6:$A$3005,$B1801)&gt;0,"OK","INCONNUE"))</f>
        <v/>
      </c>
      <c r="J1801" s="9">
        <f>IF($D1801="","",ROUND($D1801,2))</f>
        <v/>
      </c>
    </row>
    <row r="1802">
      <c r="A1802" s="6" t="n"/>
      <c r="B1802" s="6" t="n"/>
      <c r="C1802" s="7" t="n"/>
      <c r="D1802" s="8" t="n"/>
      <c r="E1802" s="6" t="n"/>
      <c r="F1802" s="6" t="n"/>
      <c r="G1802" s="6" t="n"/>
      <c r="H1802" s="6" t="n"/>
      <c r="I1802" s="12">
        <f>IF($B1802="","",IF(COUNTIF(Ventes_Factures!$A$6:$A$3005,$B1802)&gt;0,"OK","INCONNUE"))</f>
        <v/>
      </c>
      <c r="J1802" s="9">
        <f>IF($D1802="","",ROUND($D1802,2))</f>
        <v/>
      </c>
    </row>
    <row r="1803">
      <c r="A1803" s="6" t="n"/>
      <c r="B1803" s="6" t="n"/>
      <c r="C1803" s="7" t="n"/>
      <c r="D1803" s="8" t="n"/>
      <c r="E1803" s="6" t="n"/>
      <c r="F1803" s="6" t="n"/>
      <c r="G1803" s="6" t="n"/>
      <c r="H1803" s="6" t="n"/>
      <c r="I1803" s="12">
        <f>IF($B1803="","",IF(COUNTIF(Ventes_Factures!$A$6:$A$3005,$B1803)&gt;0,"OK","INCONNUE"))</f>
        <v/>
      </c>
      <c r="J1803" s="9">
        <f>IF($D1803="","",ROUND($D1803,2))</f>
        <v/>
      </c>
    </row>
    <row r="1804">
      <c r="A1804" s="6" t="n"/>
      <c r="B1804" s="6" t="n"/>
      <c r="C1804" s="7" t="n"/>
      <c r="D1804" s="8" t="n"/>
      <c r="E1804" s="6" t="n"/>
      <c r="F1804" s="6" t="n"/>
      <c r="G1804" s="6" t="n"/>
      <c r="H1804" s="6" t="n"/>
      <c r="I1804" s="12">
        <f>IF($B1804="","",IF(COUNTIF(Ventes_Factures!$A$6:$A$3005,$B1804)&gt;0,"OK","INCONNUE"))</f>
        <v/>
      </c>
      <c r="J1804" s="9">
        <f>IF($D1804="","",ROUND($D1804,2))</f>
        <v/>
      </c>
    </row>
    <row r="1805">
      <c r="A1805" s="6" t="n"/>
      <c r="B1805" s="6" t="n"/>
      <c r="C1805" s="7" t="n"/>
      <c r="D1805" s="8" t="n"/>
      <c r="E1805" s="6" t="n"/>
      <c r="F1805" s="6" t="n"/>
      <c r="G1805" s="6" t="n"/>
      <c r="H1805" s="6" t="n"/>
      <c r="I1805" s="12">
        <f>IF($B1805="","",IF(COUNTIF(Ventes_Factures!$A$6:$A$3005,$B1805)&gt;0,"OK","INCONNUE"))</f>
        <v/>
      </c>
      <c r="J1805" s="9">
        <f>IF($D1805="","",ROUND($D1805,2))</f>
        <v/>
      </c>
    </row>
    <row r="1806">
      <c r="A1806" s="6" t="n"/>
      <c r="B1806" s="6" t="n"/>
      <c r="C1806" s="7" t="n"/>
      <c r="D1806" s="8" t="n"/>
      <c r="E1806" s="6" t="n"/>
      <c r="F1806" s="6" t="n"/>
      <c r="G1806" s="6" t="n"/>
      <c r="H1806" s="6" t="n"/>
      <c r="I1806" s="12">
        <f>IF($B1806="","",IF(COUNTIF(Ventes_Factures!$A$6:$A$3005,$B1806)&gt;0,"OK","INCONNUE"))</f>
        <v/>
      </c>
      <c r="J1806" s="9">
        <f>IF($D1806="","",ROUND($D1806,2))</f>
        <v/>
      </c>
    </row>
    <row r="1807">
      <c r="A1807" s="6" t="n"/>
      <c r="B1807" s="6" t="n"/>
      <c r="C1807" s="7" t="n"/>
      <c r="D1807" s="8" t="n"/>
      <c r="E1807" s="6" t="n"/>
      <c r="F1807" s="6" t="n"/>
      <c r="G1807" s="6" t="n"/>
      <c r="H1807" s="6" t="n"/>
      <c r="I1807" s="12">
        <f>IF($B1807="","",IF(COUNTIF(Ventes_Factures!$A$6:$A$3005,$B1807)&gt;0,"OK","INCONNUE"))</f>
        <v/>
      </c>
      <c r="J1807" s="9">
        <f>IF($D1807="","",ROUND($D1807,2))</f>
        <v/>
      </c>
    </row>
    <row r="1808">
      <c r="A1808" s="6" t="n"/>
      <c r="B1808" s="6" t="n"/>
      <c r="C1808" s="7" t="n"/>
      <c r="D1808" s="8" t="n"/>
      <c r="E1808" s="6" t="n"/>
      <c r="F1808" s="6" t="n"/>
      <c r="G1808" s="6" t="n"/>
      <c r="H1808" s="6" t="n"/>
      <c r="I1808" s="12">
        <f>IF($B1808="","",IF(COUNTIF(Ventes_Factures!$A$6:$A$3005,$B1808)&gt;0,"OK","INCONNUE"))</f>
        <v/>
      </c>
      <c r="J1808" s="9">
        <f>IF($D1808="","",ROUND($D1808,2))</f>
        <v/>
      </c>
    </row>
    <row r="1809">
      <c r="A1809" s="6" t="n"/>
      <c r="B1809" s="6" t="n"/>
      <c r="C1809" s="7" t="n"/>
      <c r="D1809" s="8" t="n"/>
      <c r="E1809" s="6" t="n"/>
      <c r="F1809" s="6" t="n"/>
      <c r="G1809" s="6" t="n"/>
      <c r="H1809" s="6" t="n"/>
      <c r="I1809" s="12">
        <f>IF($B1809="","",IF(COUNTIF(Ventes_Factures!$A$6:$A$3005,$B1809)&gt;0,"OK","INCONNUE"))</f>
        <v/>
      </c>
      <c r="J1809" s="9">
        <f>IF($D1809="","",ROUND($D1809,2))</f>
        <v/>
      </c>
    </row>
    <row r="1810">
      <c r="A1810" s="6" t="n"/>
      <c r="B1810" s="6" t="n"/>
      <c r="C1810" s="7" t="n"/>
      <c r="D1810" s="8" t="n"/>
      <c r="E1810" s="6" t="n"/>
      <c r="F1810" s="6" t="n"/>
      <c r="G1810" s="6" t="n"/>
      <c r="H1810" s="6" t="n"/>
      <c r="I1810" s="12">
        <f>IF($B1810="","",IF(COUNTIF(Ventes_Factures!$A$6:$A$3005,$B1810)&gt;0,"OK","INCONNUE"))</f>
        <v/>
      </c>
      <c r="J1810" s="9">
        <f>IF($D1810="","",ROUND($D1810,2))</f>
        <v/>
      </c>
    </row>
    <row r="1811">
      <c r="A1811" s="6" t="n"/>
      <c r="B1811" s="6" t="n"/>
      <c r="C1811" s="7" t="n"/>
      <c r="D1811" s="8" t="n"/>
      <c r="E1811" s="6" t="n"/>
      <c r="F1811" s="6" t="n"/>
      <c r="G1811" s="6" t="n"/>
      <c r="H1811" s="6" t="n"/>
      <c r="I1811" s="12">
        <f>IF($B1811="","",IF(COUNTIF(Ventes_Factures!$A$6:$A$3005,$B1811)&gt;0,"OK","INCONNUE"))</f>
        <v/>
      </c>
      <c r="J1811" s="9">
        <f>IF($D1811="","",ROUND($D1811,2))</f>
        <v/>
      </c>
    </row>
    <row r="1812">
      <c r="A1812" s="6" t="n"/>
      <c r="B1812" s="6" t="n"/>
      <c r="C1812" s="7" t="n"/>
      <c r="D1812" s="8" t="n"/>
      <c r="E1812" s="6" t="n"/>
      <c r="F1812" s="6" t="n"/>
      <c r="G1812" s="6" t="n"/>
      <c r="H1812" s="6" t="n"/>
      <c r="I1812" s="12">
        <f>IF($B1812="","",IF(COUNTIF(Ventes_Factures!$A$6:$A$3005,$B1812)&gt;0,"OK","INCONNUE"))</f>
        <v/>
      </c>
      <c r="J1812" s="9">
        <f>IF($D1812="","",ROUND($D1812,2))</f>
        <v/>
      </c>
    </row>
    <row r="1813">
      <c r="A1813" s="6" t="n"/>
      <c r="B1813" s="6" t="n"/>
      <c r="C1813" s="7" t="n"/>
      <c r="D1813" s="8" t="n"/>
      <c r="E1813" s="6" t="n"/>
      <c r="F1813" s="6" t="n"/>
      <c r="G1813" s="6" t="n"/>
      <c r="H1813" s="6" t="n"/>
      <c r="I1813" s="12">
        <f>IF($B1813="","",IF(COUNTIF(Ventes_Factures!$A$6:$A$3005,$B1813)&gt;0,"OK","INCONNUE"))</f>
        <v/>
      </c>
      <c r="J1813" s="9">
        <f>IF($D1813="","",ROUND($D1813,2))</f>
        <v/>
      </c>
    </row>
    <row r="1814">
      <c r="A1814" s="6" t="n"/>
      <c r="B1814" s="6" t="n"/>
      <c r="C1814" s="7" t="n"/>
      <c r="D1814" s="8" t="n"/>
      <c r="E1814" s="6" t="n"/>
      <c r="F1814" s="6" t="n"/>
      <c r="G1814" s="6" t="n"/>
      <c r="H1814" s="6" t="n"/>
      <c r="I1814" s="12">
        <f>IF($B1814="","",IF(COUNTIF(Ventes_Factures!$A$6:$A$3005,$B1814)&gt;0,"OK","INCONNUE"))</f>
        <v/>
      </c>
      <c r="J1814" s="9">
        <f>IF($D1814="","",ROUND($D1814,2))</f>
        <v/>
      </c>
    </row>
    <row r="1815">
      <c r="A1815" s="6" t="n"/>
      <c r="B1815" s="6" t="n"/>
      <c r="C1815" s="7" t="n"/>
      <c r="D1815" s="8" t="n"/>
      <c r="E1815" s="6" t="n"/>
      <c r="F1815" s="6" t="n"/>
      <c r="G1815" s="6" t="n"/>
      <c r="H1815" s="6" t="n"/>
      <c r="I1815" s="12">
        <f>IF($B1815="","",IF(COUNTIF(Ventes_Factures!$A$6:$A$3005,$B1815)&gt;0,"OK","INCONNUE"))</f>
        <v/>
      </c>
      <c r="J1815" s="9">
        <f>IF($D1815="","",ROUND($D1815,2))</f>
        <v/>
      </c>
    </row>
    <row r="1816">
      <c r="A1816" s="6" t="n"/>
      <c r="B1816" s="6" t="n"/>
      <c r="C1816" s="7" t="n"/>
      <c r="D1816" s="8" t="n"/>
      <c r="E1816" s="6" t="n"/>
      <c r="F1816" s="6" t="n"/>
      <c r="G1816" s="6" t="n"/>
      <c r="H1816" s="6" t="n"/>
      <c r="I1816" s="12">
        <f>IF($B1816="","",IF(COUNTIF(Ventes_Factures!$A$6:$A$3005,$B1816)&gt;0,"OK","INCONNUE"))</f>
        <v/>
      </c>
      <c r="J1816" s="9">
        <f>IF($D1816="","",ROUND($D1816,2))</f>
        <v/>
      </c>
    </row>
    <row r="1817">
      <c r="A1817" s="6" t="n"/>
      <c r="B1817" s="6" t="n"/>
      <c r="C1817" s="7" t="n"/>
      <c r="D1817" s="8" t="n"/>
      <c r="E1817" s="6" t="n"/>
      <c r="F1817" s="6" t="n"/>
      <c r="G1817" s="6" t="n"/>
      <c r="H1817" s="6" t="n"/>
      <c r="I1817" s="12">
        <f>IF($B1817="","",IF(COUNTIF(Ventes_Factures!$A$6:$A$3005,$B1817)&gt;0,"OK","INCONNUE"))</f>
        <v/>
      </c>
      <c r="J1817" s="9">
        <f>IF($D1817="","",ROUND($D1817,2))</f>
        <v/>
      </c>
    </row>
    <row r="1818">
      <c r="A1818" s="6" t="n"/>
      <c r="B1818" s="6" t="n"/>
      <c r="C1818" s="7" t="n"/>
      <c r="D1818" s="8" t="n"/>
      <c r="E1818" s="6" t="n"/>
      <c r="F1818" s="6" t="n"/>
      <c r="G1818" s="6" t="n"/>
      <c r="H1818" s="6" t="n"/>
      <c r="I1818" s="12">
        <f>IF($B1818="","",IF(COUNTIF(Ventes_Factures!$A$6:$A$3005,$B1818)&gt;0,"OK","INCONNUE"))</f>
        <v/>
      </c>
      <c r="J1818" s="9">
        <f>IF($D1818="","",ROUND($D1818,2))</f>
        <v/>
      </c>
    </row>
    <row r="1819">
      <c r="A1819" s="6" t="n"/>
      <c r="B1819" s="6" t="n"/>
      <c r="C1819" s="7" t="n"/>
      <c r="D1819" s="8" t="n"/>
      <c r="E1819" s="6" t="n"/>
      <c r="F1819" s="6" t="n"/>
      <c r="G1819" s="6" t="n"/>
      <c r="H1819" s="6" t="n"/>
      <c r="I1819" s="12">
        <f>IF($B1819="","",IF(COUNTIF(Ventes_Factures!$A$6:$A$3005,$B1819)&gt;0,"OK","INCONNUE"))</f>
        <v/>
      </c>
      <c r="J1819" s="9">
        <f>IF($D1819="","",ROUND($D1819,2))</f>
        <v/>
      </c>
    </row>
    <row r="1820">
      <c r="A1820" s="6" t="n"/>
      <c r="B1820" s="6" t="n"/>
      <c r="C1820" s="7" t="n"/>
      <c r="D1820" s="8" t="n"/>
      <c r="E1820" s="6" t="n"/>
      <c r="F1820" s="6" t="n"/>
      <c r="G1820" s="6" t="n"/>
      <c r="H1820" s="6" t="n"/>
      <c r="I1820" s="12">
        <f>IF($B1820="","",IF(COUNTIF(Ventes_Factures!$A$6:$A$3005,$B1820)&gt;0,"OK","INCONNUE"))</f>
        <v/>
      </c>
      <c r="J1820" s="9">
        <f>IF($D1820="","",ROUND($D1820,2))</f>
        <v/>
      </c>
    </row>
    <row r="1821">
      <c r="A1821" s="6" t="n"/>
      <c r="B1821" s="6" t="n"/>
      <c r="C1821" s="7" t="n"/>
      <c r="D1821" s="8" t="n"/>
      <c r="E1821" s="6" t="n"/>
      <c r="F1821" s="6" t="n"/>
      <c r="G1821" s="6" t="n"/>
      <c r="H1821" s="6" t="n"/>
      <c r="I1821" s="12">
        <f>IF($B1821="","",IF(COUNTIF(Ventes_Factures!$A$6:$A$3005,$B1821)&gt;0,"OK","INCONNUE"))</f>
        <v/>
      </c>
      <c r="J1821" s="9">
        <f>IF($D1821="","",ROUND($D1821,2))</f>
        <v/>
      </c>
    </row>
    <row r="1822">
      <c r="A1822" s="6" t="n"/>
      <c r="B1822" s="6" t="n"/>
      <c r="C1822" s="7" t="n"/>
      <c r="D1822" s="8" t="n"/>
      <c r="E1822" s="6" t="n"/>
      <c r="F1822" s="6" t="n"/>
      <c r="G1822" s="6" t="n"/>
      <c r="H1822" s="6" t="n"/>
      <c r="I1822" s="12">
        <f>IF($B1822="","",IF(COUNTIF(Ventes_Factures!$A$6:$A$3005,$B1822)&gt;0,"OK","INCONNUE"))</f>
        <v/>
      </c>
      <c r="J1822" s="9">
        <f>IF($D1822="","",ROUND($D1822,2))</f>
        <v/>
      </c>
    </row>
    <row r="1823">
      <c r="A1823" s="6" t="n"/>
      <c r="B1823" s="6" t="n"/>
      <c r="C1823" s="7" t="n"/>
      <c r="D1823" s="8" t="n"/>
      <c r="E1823" s="6" t="n"/>
      <c r="F1823" s="6" t="n"/>
      <c r="G1823" s="6" t="n"/>
      <c r="H1823" s="6" t="n"/>
      <c r="I1823" s="12">
        <f>IF($B1823="","",IF(COUNTIF(Ventes_Factures!$A$6:$A$3005,$B1823)&gt;0,"OK","INCONNUE"))</f>
        <v/>
      </c>
      <c r="J1823" s="9">
        <f>IF($D1823="","",ROUND($D1823,2))</f>
        <v/>
      </c>
    </row>
    <row r="1824">
      <c r="A1824" s="6" t="n"/>
      <c r="B1824" s="6" t="n"/>
      <c r="C1824" s="7" t="n"/>
      <c r="D1824" s="8" t="n"/>
      <c r="E1824" s="6" t="n"/>
      <c r="F1824" s="6" t="n"/>
      <c r="G1824" s="6" t="n"/>
      <c r="H1824" s="6" t="n"/>
      <c r="I1824" s="12">
        <f>IF($B1824="","",IF(COUNTIF(Ventes_Factures!$A$6:$A$3005,$B1824)&gt;0,"OK","INCONNUE"))</f>
        <v/>
      </c>
      <c r="J1824" s="9">
        <f>IF($D1824="","",ROUND($D1824,2))</f>
        <v/>
      </c>
    </row>
    <row r="1825">
      <c r="A1825" s="6" t="n"/>
      <c r="B1825" s="6" t="n"/>
      <c r="C1825" s="7" t="n"/>
      <c r="D1825" s="8" t="n"/>
      <c r="E1825" s="6" t="n"/>
      <c r="F1825" s="6" t="n"/>
      <c r="G1825" s="6" t="n"/>
      <c r="H1825" s="6" t="n"/>
      <c r="I1825" s="12">
        <f>IF($B1825="","",IF(COUNTIF(Ventes_Factures!$A$6:$A$3005,$B1825)&gt;0,"OK","INCONNUE"))</f>
        <v/>
      </c>
      <c r="J1825" s="9">
        <f>IF($D1825="","",ROUND($D1825,2))</f>
        <v/>
      </c>
    </row>
    <row r="1826">
      <c r="A1826" s="6" t="n"/>
      <c r="B1826" s="6" t="n"/>
      <c r="C1826" s="7" t="n"/>
      <c r="D1826" s="8" t="n"/>
      <c r="E1826" s="6" t="n"/>
      <c r="F1826" s="6" t="n"/>
      <c r="G1826" s="6" t="n"/>
      <c r="H1826" s="6" t="n"/>
      <c r="I1826" s="12">
        <f>IF($B1826="","",IF(COUNTIF(Ventes_Factures!$A$6:$A$3005,$B1826)&gt;0,"OK","INCONNUE"))</f>
        <v/>
      </c>
      <c r="J1826" s="9">
        <f>IF($D1826="","",ROUND($D1826,2))</f>
        <v/>
      </c>
    </row>
    <row r="1827">
      <c r="A1827" s="6" t="n"/>
      <c r="B1827" s="6" t="n"/>
      <c r="C1827" s="7" t="n"/>
      <c r="D1827" s="8" t="n"/>
      <c r="E1827" s="6" t="n"/>
      <c r="F1827" s="6" t="n"/>
      <c r="G1827" s="6" t="n"/>
      <c r="H1827" s="6" t="n"/>
      <c r="I1827" s="12">
        <f>IF($B1827="","",IF(COUNTIF(Ventes_Factures!$A$6:$A$3005,$B1827)&gt;0,"OK","INCONNUE"))</f>
        <v/>
      </c>
      <c r="J1827" s="9">
        <f>IF($D1827="","",ROUND($D1827,2))</f>
        <v/>
      </c>
    </row>
    <row r="1828">
      <c r="A1828" s="6" t="n"/>
      <c r="B1828" s="6" t="n"/>
      <c r="C1828" s="7" t="n"/>
      <c r="D1828" s="8" t="n"/>
      <c r="E1828" s="6" t="n"/>
      <c r="F1828" s="6" t="n"/>
      <c r="G1828" s="6" t="n"/>
      <c r="H1828" s="6" t="n"/>
      <c r="I1828" s="12">
        <f>IF($B1828="","",IF(COUNTIF(Ventes_Factures!$A$6:$A$3005,$B1828)&gt;0,"OK","INCONNUE"))</f>
        <v/>
      </c>
      <c r="J1828" s="9">
        <f>IF($D1828="","",ROUND($D1828,2))</f>
        <v/>
      </c>
    </row>
    <row r="1829">
      <c r="A1829" s="6" t="n"/>
      <c r="B1829" s="6" t="n"/>
      <c r="C1829" s="7" t="n"/>
      <c r="D1829" s="8" t="n"/>
      <c r="E1829" s="6" t="n"/>
      <c r="F1829" s="6" t="n"/>
      <c r="G1829" s="6" t="n"/>
      <c r="H1829" s="6" t="n"/>
      <c r="I1829" s="12">
        <f>IF($B1829="","",IF(COUNTIF(Ventes_Factures!$A$6:$A$3005,$B1829)&gt;0,"OK","INCONNUE"))</f>
        <v/>
      </c>
      <c r="J1829" s="9">
        <f>IF($D1829="","",ROUND($D1829,2))</f>
        <v/>
      </c>
    </row>
    <row r="1830">
      <c r="A1830" s="6" t="n"/>
      <c r="B1830" s="6" t="n"/>
      <c r="C1830" s="7" t="n"/>
      <c r="D1830" s="8" t="n"/>
      <c r="E1830" s="6" t="n"/>
      <c r="F1830" s="6" t="n"/>
      <c r="G1830" s="6" t="n"/>
      <c r="H1830" s="6" t="n"/>
      <c r="I1830" s="12">
        <f>IF($B1830="","",IF(COUNTIF(Ventes_Factures!$A$6:$A$3005,$B1830)&gt;0,"OK","INCONNUE"))</f>
        <v/>
      </c>
      <c r="J1830" s="9">
        <f>IF($D1830="","",ROUND($D1830,2))</f>
        <v/>
      </c>
    </row>
    <row r="1831">
      <c r="A1831" s="6" t="n"/>
      <c r="B1831" s="6" t="n"/>
      <c r="C1831" s="7" t="n"/>
      <c r="D1831" s="8" t="n"/>
      <c r="E1831" s="6" t="n"/>
      <c r="F1831" s="6" t="n"/>
      <c r="G1831" s="6" t="n"/>
      <c r="H1831" s="6" t="n"/>
      <c r="I1831" s="12">
        <f>IF($B1831="","",IF(COUNTIF(Ventes_Factures!$A$6:$A$3005,$B1831)&gt;0,"OK","INCONNUE"))</f>
        <v/>
      </c>
      <c r="J1831" s="9">
        <f>IF($D1831="","",ROUND($D1831,2))</f>
        <v/>
      </c>
    </row>
    <row r="1832">
      <c r="A1832" s="6" t="n"/>
      <c r="B1832" s="6" t="n"/>
      <c r="C1832" s="7" t="n"/>
      <c r="D1832" s="8" t="n"/>
      <c r="E1832" s="6" t="n"/>
      <c r="F1832" s="6" t="n"/>
      <c r="G1832" s="6" t="n"/>
      <c r="H1832" s="6" t="n"/>
      <c r="I1832" s="12">
        <f>IF($B1832="","",IF(COUNTIF(Ventes_Factures!$A$6:$A$3005,$B1832)&gt;0,"OK","INCONNUE"))</f>
        <v/>
      </c>
      <c r="J1832" s="9">
        <f>IF($D1832="","",ROUND($D1832,2))</f>
        <v/>
      </c>
    </row>
    <row r="1833">
      <c r="A1833" s="6" t="n"/>
      <c r="B1833" s="6" t="n"/>
      <c r="C1833" s="7" t="n"/>
      <c r="D1833" s="8" t="n"/>
      <c r="E1833" s="6" t="n"/>
      <c r="F1833" s="6" t="n"/>
      <c r="G1833" s="6" t="n"/>
      <c r="H1833" s="6" t="n"/>
      <c r="I1833" s="12">
        <f>IF($B1833="","",IF(COUNTIF(Ventes_Factures!$A$6:$A$3005,$B1833)&gt;0,"OK","INCONNUE"))</f>
        <v/>
      </c>
      <c r="J1833" s="9">
        <f>IF($D1833="","",ROUND($D1833,2))</f>
        <v/>
      </c>
    </row>
    <row r="1834">
      <c r="A1834" s="6" t="n"/>
      <c r="B1834" s="6" t="n"/>
      <c r="C1834" s="7" t="n"/>
      <c r="D1834" s="8" t="n"/>
      <c r="E1834" s="6" t="n"/>
      <c r="F1834" s="6" t="n"/>
      <c r="G1834" s="6" t="n"/>
      <c r="H1834" s="6" t="n"/>
      <c r="I1834" s="12">
        <f>IF($B1834="","",IF(COUNTIF(Ventes_Factures!$A$6:$A$3005,$B1834)&gt;0,"OK","INCONNUE"))</f>
        <v/>
      </c>
      <c r="J1834" s="9">
        <f>IF($D1834="","",ROUND($D1834,2))</f>
        <v/>
      </c>
    </row>
    <row r="1835">
      <c r="A1835" s="6" t="n"/>
      <c r="B1835" s="6" t="n"/>
      <c r="C1835" s="7" t="n"/>
      <c r="D1835" s="8" t="n"/>
      <c r="E1835" s="6" t="n"/>
      <c r="F1835" s="6" t="n"/>
      <c r="G1835" s="6" t="n"/>
      <c r="H1835" s="6" t="n"/>
      <c r="I1835" s="12">
        <f>IF($B1835="","",IF(COUNTIF(Ventes_Factures!$A$6:$A$3005,$B1835)&gt;0,"OK","INCONNUE"))</f>
        <v/>
      </c>
      <c r="J1835" s="9">
        <f>IF($D1835="","",ROUND($D1835,2))</f>
        <v/>
      </c>
    </row>
    <row r="1836">
      <c r="A1836" s="6" t="n"/>
      <c r="B1836" s="6" t="n"/>
      <c r="C1836" s="7" t="n"/>
      <c r="D1836" s="8" t="n"/>
      <c r="E1836" s="6" t="n"/>
      <c r="F1836" s="6" t="n"/>
      <c r="G1836" s="6" t="n"/>
      <c r="H1836" s="6" t="n"/>
      <c r="I1836" s="12">
        <f>IF($B1836="","",IF(COUNTIF(Ventes_Factures!$A$6:$A$3005,$B1836)&gt;0,"OK","INCONNUE"))</f>
        <v/>
      </c>
      <c r="J1836" s="9">
        <f>IF($D1836="","",ROUND($D1836,2))</f>
        <v/>
      </c>
    </row>
    <row r="1837">
      <c r="A1837" s="6" t="n"/>
      <c r="B1837" s="6" t="n"/>
      <c r="C1837" s="7" t="n"/>
      <c r="D1837" s="8" t="n"/>
      <c r="E1837" s="6" t="n"/>
      <c r="F1837" s="6" t="n"/>
      <c r="G1837" s="6" t="n"/>
      <c r="H1837" s="6" t="n"/>
      <c r="I1837" s="12">
        <f>IF($B1837="","",IF(COUNTIF(Ventes_Factures!$A$6:$A$3005,$B1837)&gt;0,"OK","INCONNUE"))</f>
        <v/>
      </c>
      <c r="J1837" s="9">
        <f>IF($D1837="","",ROUND($D1837,2))</f>
        <v/>
      </c>
    </row>
    <row r="1838">
      <c r="A1838" s="6" t="n"/>
      <c r="B1838" s="6" t="n"/>
      <c r="C1838" s="7" t="n"/>
      <c r="D1838" s="8" t="n"/>
      <c r="E1838" s="6" t="n"/>
      <c r="F1838" s="6" t="n"/>
      <c r="G1838" s="6" t="n"/>
      <c r="H1838" s="6" t="n"/>
      <c r="I1838" s="12">
        <f>IF($B1838="","",IF(COUNTIF(Ventes_Factures!$A$6:$A$3005,$B1838)&gt;0,"OK","INCONNUE"))</f>
        <v/>
      </c>
      <c r="J1838" s="9">
        <f>IF($D1838="","",ROUND($D1838,2))</f>
        <v/>
      </c>
    </row>
    <row r="1839">
      <c r="A1839" s="6" t="n"/>
      <c r="B1839" s="6" t="n"/>
      <c r="C1839" s="7" t="n"/>
      <c r="D1839" s="8" t="n"/>
      <c r="E1839" s="6" t="n"/>
      <c r="F1839" s="6" t="n"/>
      <c r="G1839" s="6" t="n"/>
      <c r="H1839" s="6" t="n"/>
      <c r="I1839" s="12">
        <f>IF($B1839="","",IF(COUNTIF(Ventes_Factures!$A$6:$A$3005,$B1839)&gt;0,"OK","INCONNUE"))</f>
        <v/>
      </c>
      <c r="J1839" s="9">
        <f>IF($D1839="","",ROUND($D1839,2))</f>
        <v/>
      </c>
    </row>
    <row r="1840">
      <c r="A1840" s="6" t="n"/>
      <c r="B1840" s="6" t="n"/>
      <c r="C1840" s="7" t="n"/>
      <c r="D1840" s="8" t="n"/>
      <c r="E1840" s="6" t="n"/>
      <c r="F1840" s="6" t="n"/>
      <c r="G1840" s="6" t="n"/>
      <c r="H1840" s="6" t="n"/>
      <c r="I1840" s="12">
        <f>IF($B1840="","",IF(COUNTIF(Ventes_Factures!$A$6:$A$3005,$B1840)&gt;0,"OK","INCONNUE"))</f>
        <v/>
      </c>
      <c r="J1840" s="9">
        <f>IF($D1840="","",ROUND($D1840,2))</f>
        <v/>
      </c>
    </row>
    <row r="1841">
      <c r="A1841" s="6" t="n"/>
      <c r="B1841" s="6" t="n"/>
      <c r="C1841" s="7" t="n"/>
      <c r="D1841" s="8" t="n"/>
      <c r="E1841" s="6" t="n"/>
      <c r="F1841" s="6" t="n"/>
      <c r="G1841" s="6" t="n"/>
      <c r="H1841" s="6" t="n"/>
      <c r="I1841" s="12">
        <f>IF($B1841="","",IF(COUNTIF(Ventes_Factures!$A$6:$A$3005,$B1841)&gt;0,"OK","INCONNUE"))</f>
        <v/>
      </c>
      <c r="J1841" s="9">
        <f>IF($D1841="","",ROUND($D1841,2))</f>
        <v/>
      </c>
    </row>
    <row r="1842">
      <c r="A1842" s="6" t="n"/>
      <c r="B1842" s="6" t="n"/>
      <c r="C1842" s="7" t="n"/>
      <c r="D1842" s="8" t="n"/>
      <c r="E1842" s="6" t="n"/>
      <c r="F1842" s="6" t="n"/>
      <c r="G1842" s="6" t="n"/>
      <c r="H1842" s="6" t="n"/>
      <c r="I1842" s="12">
        <f>IF($B1842="","",IF(COUNTIF(Ventes_Factures!$A$6:$A$3005,$B1842)&gt;0,"OK","INCONNUE"))</f>
        <v/>
      </c>
      <c r="J1842" s="9">
        <f>IF($D1842="","",ROUND($D1842,2))</f>
        <v/>
      </c>
    </row>
    <row r="1843">
      <c r="A1843" s="6" t="n"/>
      <c r="B1843" s="6" t="n"/>
      <c r="C1843" s="7" t="n"/>
      <c r="D1843" s="8" t="n"/>
      <c r="E1843" s="6" t="n"/>
      <c r="F1843" s="6" t="n"/>
      <c r="G1843" s="6" t="n"/>
      <c r="H1843" s="6" t="n"/>
      <c r="I1843" s="12">
        <f>IF($B1843="","",IF(COUNTIF(Ventes_Factures!$A$6:$A$3005,$B1843)&gt;0,"OK","INCONNUE"))</f>
        <v/>
      </c>
      <c r="J1843" s="9">
        <f>IF($D1843="","",ROUND($D1843,2))</f>
        <v/>
      </c>
    </row>
    <row r="1844">
      <c r="A1844" s="6" t="n"/>
      <c r="B1844" s="6" t="n"/>
      <c r="C1844" s="7" t="n"/>
      <c r="D1844" s="8" t="n"/>
      <c r="E1844" s="6" t="n"/>
      <c r="F1844" s="6" t="n"/>
      <c r="G1844" s="6" t="n"/>
      <c r="H1844" s="6" t="n"/>
      <c r="I1844" s="12">
        <f>IF($B1844="","",IF(COUNTIF(Ventes_Factures!$A$6:$A$3005,$B1844)&gt;0,"OK","INCONNUE"))</f>
        <v/>
      </c>
      <c r="J1844" s="9">
        <f>IF($D1844="","",ROUND($D1844,2))</f>
        <v/>
      </c>
    </row>
    <row r="1845">
      <c r="A1845" s="6" t="n"/>
      <c r="B1845" s="6" t="n"/>
      <c r="C1845" s="7" t="n"/>
      <c r="D1845" s="8" t="n"/>
      <c r="E1845" s="6" t="n"/>
      <c r="F1845" s="6" t="n"/>
      <c r="G1845" s="6" t="n"/>
      <c r="H1845" s="6" t="n"/>
      <c r="I1845" s="12">
        <f>IF($B1845="","",IF(COUNTIF(Ventes_Factures!$A$6:$A$3005,$B1845)&gt;0,"OK","INCONNUE"))</f>
        <v/>
      </c>
      <c r="J1845" s="9">
        <f>IF($D1845="","",ROUND($D1845,2))</f>
        <v/>
      </c>
    </row>
    <row r="1846">
      <c r="A1846" s="6" t="n"/>
      <c r="B1846" s="6" t="n"/>
      <c r="C1846" s="7" t="n"/>
      <c r="D1846" s="8" t="n"/>
      <c r="E1846" s="6" t="n"/>
      <c r="F1846" s="6" t="n"/>
      <c r="G1846" s="6" t="n"/>
      <c r="H1846" s="6" t="n"/>
      <c r="I1846" s="12">
        <f>IF($B1846="","",IF(COUNTIF(Ventes_Factures!$A$6:$A$3005,$B1846)&gt;0,"OK","INCONNUE"))</f>
        <v/>
      </c>
      <c r="J1846" s="9">
        <f>IF($D1846="","",ROUND($D1846,2))</f>
        <v/>
      </c>
    </row>
    <row r="1847">
      <c r="A1847" s="6" t="n"/>
      <c r="B1847" s="6" t="n"/>
      <c r="C1847" s="7" t="n"/>
      <c r="D1847" s="8" t="n"/>
      <c r="E1847" s="6" t="n"/>
      <c r="F1847" s="6" t="n"/>
      <c r="G1847" s="6" t="n"/>
      <c r="H1847" s="6" t="n"/>
      <c r="I1847" s="12">
        <f>IF($B1847="","",IF(COUNTIF(Ventes_Factures!$A$6:$A$3005,$B1847)&gt;0,"OK","INCONNUE"))</f>
        <v/>
      </c>
      <c r="J1847" s="9">
        <f>IF($D1847="","",ROUND($D1847,2))</f>
        <v/>
      </c>
    </row>
    <row r="1848">
      <c r="A1848" s="6" t="n"/>
      <c r="B1848" s="6" t="n"/>
      <c r="C1848" s="7" t="n"/>
      <c r="D1848" s="8" t="n"/>
      <c r="E1848" s="6" t="n"/>
      <c r="F1848" s="6" t="n"/>
      <c r="G1848" s="6" t="n"/>
      <c r="H1848" s="6" t="n"/>
      <c r="I1848" s="12">
        <f>IF($B1848="","",IF(COUNTIF(Ventes_Factures!$A$6:$A$3005,$B1848)&gt;0,"OK","INCONNUE"))</f>
        <v/>
      </c>
      <c r="J1848" s="9">
        <f>IF($D1848="","",ROUND($D1848,2))</f>
        <v/>
      </c>
    </row>
    <row r="1849">
      <c r="A1849" s="6" t="n"/>
      <c r="B1849" s="6" t="n"/>
      <c r="C1849" s="7" t="n"/>
      <c r="D1849" s="8" t="n"/>
      <c r="E1849" s="6" t="n"/>
      <c r="F1849" s="6" t="n"/>
      <c r="G1849" s="6" t="n"/>
      <c r="H1849" s="6" t="n"/>
      <c r="I1849" s="12">
        <f>IF($B1849="","",IF(COUNTIF(Ventes_Factures!$A$6:$A$3005,$B1849)&gt;0,"OK","INCONNUE"))</f>
        <v/>
      </c>
      <c r="J1849" s="9">
        <f>IF($D1849="","",ROUND($D1849,2))</f>
        <v/>
      </c>
    </row>
    <row r="1850">
      <c r="A1850" s="6" t="n"/>
      <c r="B1850" s="6" t="n"/>
      <c r="C1850" s="7" t="n"/>
      <c r="D1850" s="8" t="n"/>
      <c r="E1850" s="6" t="n"/>
      <c r="F1850" s="6" t="n"/>
      <c r="G1850" s="6" t="n"/>
      <c r="H1850" s="6" t="n"/>
      <c r="I1850" s="12">
        <f>IF($B1850="","",IF(COUNTIF(Ventes_Factures!$A$6:$A$3005,$B1850)&gt;0,"OK","INCONNUE"))</f>
        <v/>
      </c>
      <c r="J1850" s="9">
        <f>IF($D1850="","",ROUND($D1850,2))</f>
        <v/>
      </c>
    </row>
    <row r="1851">
      <c r="A1851" s="6" t="n"/>
      <c r="B1851" s="6" t="n"/>
      <c r="C1851" s="7" t="n"/>
      <c r="D1851" s="8" t="n"/>
      <c r="E1851" s="6" t="n"/>
      <c r="F1851" s="6" t="n"/>
      <c r="G1851" s="6" t="n"/>
      <c r="H1851" s="6" t="n"/>
      <c r="I1851" s="12">
        <f>IF($B1851="","",IF(COUNTIF(Ventes_Factures!$A$6:$A$3005,$B1851)&gt;0,"OK","INCONNUE"))</f>
        <v/>
      </c>
      <c r="J1851" s="9">
        <f>IF($D1851="","",ROUND($D1851,2))</f>
        <v/>
      </c>
    </row>
    <row r="1852">
      <c r="A1852" s="6" t="n"/>
      <c r="B1852" s="6" t="n"/>
      <c r="C1852" s="7" t="n"/>
      <c r="D1852" s="8" t="n"/>
      <c r="E1852" s="6" t="n"/>
      <c r="F1852" s="6" t="n"/>
      <c r="G1852" s="6" t="n"/>
      <c r="H1852" s="6" t="n"/>
      <c r="I1852" s="12">
        <f>IF($B1852="","",IF(COUNTIF(Ventes_Factures!$A$6:$A$3005,$B1852)&gt;0,"OK","INCONNUE"))</f>
        <v/>
      </c>
      <c r="J1852" s="9">
        <f>IF($D1852="","",ROUND($D1852,2))</f>
        <v/>
      </c>
    </row>
    <row r="1853">
      <c r="A1853" s="6" t="n"/>
      <c r="B1853" s="6" t="n"/>
      <c r="C1853" s="7" t="n"/>
      <c r="D1853" s="8" t="n"/>
      <c r="E1853" s="6" t="n"/>
      <c r="F1853" s="6" t="n"/>
      <c r="G1853" s="6" t="n"/>
      <c r="H1853" s="6" t="n"/>
      <c r="I1853" s="12">
        <f>IF($B1853="","",IF(COUNTIF(Ventes_Factures!$A$6:$A$3005,$B1853)&gt;0,"OK","INCONNUE"))</f>
        <v/>
      </c>
      <c r="J1853" s="9">
        <f>IF($D1853="","",ROUND($D1853,2))</f>
        <v/>
      </c>
    </row>
    <row r="1854">
      <c r="A1854" s="6" t="n"/>
      <c r="B1854" s="6" t="n"/>
      <c r="C1854" s="7" t="n"/>
      <c r="D1854" s="8" t="n"/>
      <c r="E1854" s="6" t="n"/>
      <c r="F1854" s="6" t="n"/>
      <c r="G1854" s="6" t="n"/>
      <c r="H1854" s="6" t="n"/>
      <c r="I1854" s="12">
        <f>IF($B1854="","",IF(COUNTIF(Ventes_Factures!$A$6:$A$3005,$B1854)&gt;0,"OK","INCONNUE"))</f>
        <v/>
      </c>
      <c r="J1854" s="9">
        <f>IF($D1854="","",ROUND($D1854,2))</f>
        <v/>
      </c>
    </row>
    <row r="1855">
      <c r="A1855" s="6" t="n"/>
      <c r="B1855" s="6" t="n"/>
      <c r="C1855" s="7" t="n"/>
      <c r="D1855" s="8" t="n"/>
      <c r="E1855" s="6" t="n"/>
      <c r="F1855" s="6" t="n"/>
      <c r="G1855" s="6" t="n"/>
      <c r="H1855" s="6" t="n"/>
      <c r="I1855" s="12">
        <f>IF($B1855="","",IF(COUNTIF(Ventes_Factures!$A$6:$A$3005,$B1855)&gt;0,"OK","INCONNUE"))</f>
        <v/>
      </c>
      <c r="J1855" s="9">
        <f>IF($D1855="","",ROUND($D1855,2))</f>
        <v/>
      </c>
    </row>
    <row r="1856">
      <c r="A1856" s="6" t="n"/>
      <c r="B1856" s="6" t="n"/>
      <c r="C1856" s="7" t="n"/>
      <c r="D1856" s="8" t="n"/>
      <c r="E1856" s="6" t="n"/>
      <c r="F1856" s="6" t="n"/>
      <c r="G1856" s="6" t="n"/>
      <c r="H1856" s="6" t="n"/>
      <c r="I1856" s="12">
        <f>IF($B1856="","",IF(COUNTIF(Ventes_Factures!$A$6:$A$3005,$B1856)&gt;0,"OK","INCONNUE"))</f>
        <v/>
      </c>
      <c r="J1856" s="9">
        <f>IF($D1856="","",ROUND($D1856,2))</f>
        <v/>
      </c>
    </row>
    <row r="1857">
      <c r="A1857" s="6" t="n"/>
      <c r="B1857" s="6" t="n"/>
      <c r="C1857" s="7" t="n"/>
      <c r="D1857" s="8" t="n"/>
      <c r="E1857" s="6" t="n"/>
      <c r="F1857" s="6" t="n"/>
      <c r="G1857" s="6" t="n"/>
      <c r="H1857" s="6" t="n"/>
      <c r="I1857" s="12">
        <f>IF($B1857="","",IF(COUNTIF(Ventes_Factures!$A$6:$A$3005,$B1857)&gt;0,"OK","INCONNUE"))</f>
        <v/>
      </c>
      <c r="J1857" s="9">
        <f>IF($D1857="","",ROUND($D1857,2))</f>
        <v/>
      </c>
    </row>
    <row r="1858">
      <c r="A1858" s="6" t="n"/>
      <c r="B1858" s="6" t="n"/>
      <c r="C1858" s="7" t="n"/>
      <c r="D1858" s="8" t="n"/>
      <c r="E1858" s="6" t="n"/>
      <c r="F1858" s="6" t="n"/>
      <c r="G1858" s="6" t="n"/>
      <c r="H1858" s="6" t="n"/>
      <c r="I1858" s="12">
        <f>IF($B1858="","",IF(COUNTIF(Ventes_Factures!$A$6:$A$3005,$B1858)&gt;0,"OK","INCONNUE"))</f>
        <v/>
      </c>
      <c r="J1858" s="9">
        <f>IF($D1858="","",ROUND($D1858,2))</f>
        <v/>
      </c>
    </row>
    <row r="1859">
      <c r="A1859" s="6" t="n"/>
      <c r="B1859" s="6" t="n"/>
      <c r="C1859" s="7" t="n"/>
      <c r="D1859" s="8" t="n"/>
      <c r="E1859" s="6" t="n"/>
      <c r="F1859" s="6" t="n"/>
      <c r="G1859" s="6" t="n"/>
      <c r="H1859" s="6" t="n"/>
      <c r="I1859" s="12">
        <f>IF($B1859="","",IF(COUNTIF(Ventes_Factures!$A$6:$A$3005,$B1859)&gt;0,"OK","INCONNUE"))</f>
        <v/>
      </c>
      <c r="J1859" s="9">
        <f>IF($D1859="","",ROUND($D1859,2))</f>
        <v/>
      </c>
    </row>
    <row r="1860">
      <c r="A1860" s="6" t="n"/>
      <c r="B1860" s="6" t="n"/>
      <c r="C1860" s="7" t="n"/>
      <c r="D1860" s="8" t="n"/>
      <c r="E1860" s="6" t="n"/>
      <c r="F1860" s="6" t="n"/>
      <c r="G1860" s="6" t="n"/>
      <c r="H1860" s="6" t="n"/>
      <c r="I1860" s="12">
        <f>IF($B1860="","",IF(COUNTIF(Ventes_Factures!$A$6:$A$3005,$B1860)&gt;0,"OK","INCONNUE"))</f>
        <v/>
      </c>
      <c r="J1860" s="9">
        <f>IF($D1860="","",ROUND($D1860,2))</f>
        <v/>
      </c>
    </row>
    <row r="1861">
      <c r="A1861" s="6" t="n"/>
      <c r="B1861" s="6" t="n"/>
      <c r="C1861" s="7" t="n"/>
      <c r="D1861" s="8" t="n"/>
      <c r="E1861" s="6" t="n"/>
      <c r="F1861" s="6" t="n"/>
      <c r="G1861" s="6" t="n"/>
      <c r="H1861" s="6" t="n"/>
      <c r="I1861" s="12">
        <f>IF($B1861="","",IF(COUNTIF(Ventes_Factures!$A$6:$A$3005,$B1861)&gt;0,"OK","INCONNUE"))</f>
        <v/>
      </c>
      <c r="J1861" s="9">
        <f>IF($D1861="","",ROUND($D1861,2))</f>
        <v/>
      </c>
    </row>
    <row r="1862">
      <c r="A1862" s="6" t="n"/>
      <c r="B1862" s="6" t="n"/>
      <c r="C1862" s="7" t="n"/>
      <c r="D1862" s="8" t="n"/>
      <c r="E1862" s="6" t="n"/>
      <c r="F1862" s="6" t="n"/>
      <c r="G1862" s="6" t="n"/>
      <c r="H1862" s="6" t="n"/>
      <c r="I1862" s="12">
        <f>IF($B1862="","",IF(COUNTIF(Ventes_Factures!$A$6:$A$3005,$B1862)&gt;0,"OK","INCONNUE"))</f>
        <v/>
      </c>
      <c r="J1862" s="9">
        <f>IF($D1862="","",ROUND($D1862,2))</f>
        <v/>
      </c>
    </row>
    <row r="1863">
      <c r="A1863" s="6" t="n"/>
      <c r="B1863" s="6" t="n"/>
      <c r="C1863" s="7" t="n"/>
      <c r="D1863" s="8" t="n"/>
      <c r="E1863" s="6" t="n"/>
      <c r="F1863" s="6" t="n"/>
      <c r="G1863" s="6" t="n"/>
      <c r="H1863" s="6" t="n"/>
      <c r="I1863" s="12">
        <f>IF($B1863="","",IF(COUNTIF(Ventes_Factures!$A$6:$A$3005,$B1863)&gt;0,"OK","INCONNUE"))</f>
        <v/>
      </c>
      <c r="J1863" s="9">
        <f>IF($D1863="","",ROUND($D1863,2))</f>
        <v/>
      </c>
    </row>
    <row r="1864">
      <c r="A1864" s="6" t="n"/>
      <c r="B1864" s="6" t="n"/>
      <c r="C1864" s="7" t="n"/>
      <c r="D1864" s="8" t="n"/>
      <c r="E1864" s="6" t="n"/>
      <c r="F1864" s="6" t="n"/>
      <c r="G1864" s="6" t="n"/>
      <c r="H1864" s="6" t="n"/>
      <c r="I1864" s="12">
        <f>IF($B1864="","",IF(COUNTIF(Ventes_Factures!$A$6:$A$3005,$B1864)&gt;0,"OK","INCONNUE"))</f>
        <v/>
      </c>
      <c r="J1864" s="9">
        <f>IF($D1864="","",ROUND($D1864,2))</f>
        <v/>
      </c>
    </row>
    <row r="1865">
      <c r="A1865" s="6" t="n"/>
      <c r="B1865" s="6" t="n"/>
      <c r="C1865" s="7" t="n"/>
      <c r="D1865" s="8" t="n"/>
      <c r="E1865" s="6" t="n"/>
      <c r="F1865" s="6" t="n"/>
      <c r="G1865" s="6" t="n"/>
      <c r="H1865" s="6" t="n"/>
      <c r="I1865" s="12">
        <f>IF($B1865="","",IF(COUNTIF(Ventes_Factures!$A$6:$A$3005,$B1865)&gt;0,"OK","INCONNUE"))</f>
        <v/>
      </c>
      <c r="J1865" s="9">
        <f>IF($D1865="","",ROUND($D1865,2))</f>
        <v/>
      </c>
    </row>
    <row r="1866">
      <c r="A1866" s="6" t="n"/>
      <c r="B1866" s="6" t="n"/>
      <c r="C1866" s="7" t="n"/>
      <c r="D1866" s="8" t="n"/>
      <c r="E1866" s="6" t="n"/>
      <c r="F1866" s="6" t="n"/>
      <c r="G1866" s="6" t="n"/>
      <c r="H1866" s="6" t="n"/>
      <c r="I1866" s="12">
        <f>IF($B1866="","",IF(COUNTIF(Ventes_Factures!$A$6:$A$3005,$B1866)&gt;0,"OK","INCONNUE"))</f>
        <v/>
      </c>
      <c r="J1866" s="9">
        <f>IF($D1866="","",ROUND($D1866,2))</f>
        <v/>
      </c>
    </row>
    <row r="1867">
      <c r="A1867" s="6" t="n"/>
      <c r="B1867" s="6" t="n"/>
      <c r="C1867" s="7" t="n"/>
      <c r="D1867" s="8" t="n"/>
      <c r="E1867" s="6" t="n"/>
      <c r="F1867" s="6" t="n"/>
      <c r="G1867" s="6" t="n"/>
      <c r="H1867" s="6" t="n"/>
      <c r="I1867" s="12">
        <f>IF($B1867="","",IF(COUNTIF(Ventes_Factures!$A$6:$A$3005,$B1867)&gt;0,"OK","INCONNUE"))</f>
        <v/>
      </c>
      <c r="J1867" s="9">
        <f>IF($D1867="","",ROUND($D1867,2))</f>
        <v/>
      </c>
    </row>
    <row r="1868">
      <c r="A1868" s="6" t="n"/>
      <c r="B1868" s="6" t="n"/>
      <c r="C1868" s="7" t="n"/>
      <c r="D1868" s="8" t="n"/>
      <c r="E1868" s="6" t="n"/>
      <c r="F1868" s="6" t="n"/>
      <c r="G1868" s="6" t="n"/>
      <c r="H1868" s="6" t="n"/>
      <c r="I1868" s="12">
        <f>IF($B1868="","",IF(COUNTIF(Ventes_Factures!$A$6:$A$3005,$B1868)&gt;0,"OK","INCONNUE"))</f>
        <v/>
      </c>
      <c r="J1868" s="9">
        <f>IF($D1868="","",ROUND($D1868,2))</f>
        <v/>
      </c>
    </row>
    <row r="1869">
      <c r="A1869" s="6" t="n"/>
      <c r="B1869" s="6" t="n"/>
      <c r="C1869" s="7" t="n"/>
      <c r="D1869" s="8" t="n"/>
      <c r="E1869" s="6" t="n"/>
      <c r="F1869" s="6" t="n"/>
      <c r="G1869" s="6" t="n"/>
      <c r="H1869" s="6" t="n"/>
      <c r="I1869" s="12">
        <f>IF($B1869="","",IF(COUNTIF(Ventes_Factures!$A$6:$A$3005,$B1869)&gt;0,"OK","INCONNUE"))</f>
        <v/>
      </c>
      <c r="J1869" s="9">
        <f>IF($D1869="","",ROUND($D1869,2))</f>
        <v/>
      </c>
    </row>
    <row r="1870">
      <c r="A1870" s="6" t="n"/>
      <c r="B1870" s="6" t="n"/>
      <c r="C1870" s="7" t="n"/>
      <c r="D1870" s="8" t="n"/>
      <c r="E1870" s="6" t="n"/>
      <c r="F1870" s="6" t="n"/>
      <c r="G1870" s="6" t="n"/>
      <c r="H1870" s="6" t="n"/>
      <c r="I1870" s="12">
        <f>IF($B1870="","",IF(COUNTIF(Ventes_Factures!$A$6:$A$3005,$B1870)&gt;0,"OK","INCONNUE"))</f>
        <v/>
      </c>
      <c r="J1870" s="9">
        <f>IF($D1870="","",ROUND($D1870,2))</f>
        <v/>
      </c>
    </row>
    <row r="1871">
      <c r="A1871" s="6" t="n"/>
      <c r="B1871" s="6" t="n"/>
      <c r="C1871" s="7" t="n"/>
      <c r="D1871" s="8" t="n"/>
      <c r="E1871" s="6" t="n"/>
      <c r="F1871" s="6" t="n"/>
      <c r="G1871" s="6" t="n"/>
      <c r="H1871" s="6" t="n"/>
      <c r="I1871" s="12">
        <f>IF($B1871="","",IF(COUNTIF(Ventes_Factures!$A$6:$A$3005,$B1871)&gt;0,"OK","INCONNUE"))</f>
        <v/>
      </c>
      <c r="J1871" s="9">
        <f>IF($D1871="","",ROUND($D1871,2))</f>
        <v/>
      </c>
    </row>
    <row r="1872">
      <c r="A1872" s="6" t="n"/>
      <c r="B1872" s="6" t="n"/>
      <c r="C1872" s="7" t="n"/>
      <c r="D1872" s="8" t="n"/>
      <c r="E1872" s="6" t="n"/>
      <c r="F1872" s="6" t="n"/>
      <c r="G1872" s="6" t="n"/>
      <c r="H1872" s="6" t="n"/>
      <c r="I1872" s="12">
        <f>IF($B1872="","",IF(COUNTIF(Ventes_Factures!$A$6:$A$3005,$B1872)&gt;0,"OK","INCONNUE"))</f>
        <v/>
      </c>
      <c r="J1872" s="9">
        <f>IF($D1872="","",ROUND($D1872,2))</f>
        <v/>
      </c>
    </row>
    <row r="1873">
      <c r="A1873" s="6" t="n"/>
      <c r="B1873" s="6" t="n"/>
      <c r="C1873" s="7" t="n"/>
      <c r="D1873" s="8" t="n"/>
      <c r="E1873" s="6" t="n"/>
      <c r="F1873" s="6" t="n"/>
      <c r="G1873" s="6" t="n"/>
      <c r="H1873" s="6" t="n"/>
      <c r="I1873" s="12">
        <f>IF($B1873="","",IF(COUNTIF(Ventes_Factures!$A$6:$A$3005,$B1873)&gt;0,"OK","INCONNUE"))</f>
        <v/>
      </c>
      <c r="J1873" s="9">
        <f>IF($D1873="","",ROUND($D1873,2))</f>
        <v/>
      </c>
    </row>
    <row r="1874">
      <c r="A1874" s="6" t="n"/>
      <c r="B1874" s="6" t="n"/>
      <c r="C1874" s="7" t="n"/>
      <c r="D1874" s="8" t="n"/>
      <c r="E1874" s="6" t="n"/>
      <c r="F1874" s="6" t="n"/>
      <c r="G1874" s="6" t="n"/>
      <c r="H1874" s="6" t="n"/>
      <c r="I1874" s="12">
        <f>IF($B1874="","",IF(COUNTIF(Ventes_Factures!$A$6:$A$3005,$B1874)&gt;0,"OK","INCONNUE"))</f>
        <v/>
      </c>
      <c r="J1874" s="9">
        <f>IF($D1874="","",ROUND($D1874,2))</f>
        <v/>
      </c>
    </row>
    <row r="1875">
      <c r="A1875" s="6" t="n"/>
      <c r="B1875" s="6" t="n"/>
      <c r="C1875" s="7" t="n"/>
      <c r="D1875" s="8" t="n"/>
      <c r="E1875" s="6" t="n"/>
      <c r="F1875" s="6" t="n"/>
      <c r="G1875" s="6" t="n"/>
      <c r="H1875" s="6" t="n"/>
      <c r="I1875" s="12">
        <f>IF($B1875="","",IF(COUNTIF(Ventes_Factures!$A$6:$A$3005,$B1875)&gt;0,"OK","INCONNUE"))</f>
        <v/>
      </c>
      <c r="J1875" s="9">
        <f>IF($D1875="","",ROUND($D1875,2))</f>
        <v/>
      </c>
    </row>
    <row r="1876">
      <c r="A1876" s="6" t="n"/>
      <c r="B1876" s="6" t="n"/>
      <c r="C1876" s="7" t="n"/>
      <c r="D1876" s="8" t="n"/>
      <c r="E1876" s="6" t="n"/>
      <c r="F1876" s="6" t="n"/>
      <c r="G1876" s="6" t="n"/>
      <c r="H1876" s="6" t="n"/>
      <c r="I1876" s="12">
        <f>IF($B1876="","",IF(COUNTIF(Ventes_Factures!$A$6:$A$3005,$B1876)&gt;0,"OK","INCONNUE"))</f>
        <v/>
      </c>
      <c r="J1876" s="9">
        <f>IF($D1876="","",ROUND($D1876,2))</f>
        <v/>
      </c>
    </row>
    <row r="1877">
      <c r="A1877" s="6" t="n"/>
      <c r="B1877" s="6" t="n"/>
      <c r="C1877" s="7" t="n"/>
      <c r="D1877" s="8" t="n"/>
      <c r="E1877" s="6" t="n"/>
      <c r="F1877" s="6" t="n"/>
      <c r="G1877" s="6" t="n"/>
      <c r="H1877" s="6" t="n"/>
      <c r="I1877" s="12">
        <f>IF($B1877="","",IF(COUNTIF(Ventes_Factures!$A$6:$A$3005,$B1877)&gt;0,"OK","INCONNUE"))</f>
        <v/>
      </c>
      <c r="J1877" s="9">
        <f>IF($D1877="","",ROUND($D1877,2))</f>
        <v/>
      </c>
    </row>
    <row r="1878">
      <c r="A1878" s="6" t="n"/>
      <c r="B1878" s="6" t="n"/>
      <c r="C1878" s="7" t="n"/>
      <c r="D1878" s="8" t="n"/>
      <c r="E1878" s="6" t="n"/>
      <c r="F1878" s="6" t="n"/>
      <c r="G1878" s="6" t="n"/>
      <c r="H1878" s="6" t="n"/>
      <c r="I1878" s="12">
        <f>IF($B1878="","",IF(COUNTIF(Ventes_Factures!$A$6:$A$3005,$B1878)&gt;0,"OK","INCONNUE"))</f>
        <v/>
      </c>
      <c r="J1878" s="9">
        <f>IF($D1878="","",ROUND($D1878,2))</f>
        <v/>
      </c>
    </row>
    <row r="1879">
      <c r="A1879" s="6" t="n"/>
      <c r="B1879" s="6" t="n"/>
      <c r="C1879" s="7" t="n"/>
      <c r="D1879" s="8" t="n"/>
      <c r="E1879" s="6" t="n"/>
      <c r="F1879" s="6" t="n"/>
      <c r="G1879" s="6" t="n"/>
      <c r="H1879" s="6" t="n"/>
      <c r="I1879" s="12">
        <f>IF($B1879="","",IF(COUNTIF(Ventes_Factures!$A$6:$A$3005,$B1879)&gt;0,"OK","INCONNUE"))</f>
        <v/>
      </c>
      <c r="J1879" s="9">
        <f>IF($D1879="","",ROUND($D1879,2))</f>
        <v/>
      </c>
    </row>
    <row r="1880">
      <c r="A1880" s="6" t="n"/>
      <c r="B1880" s="6" t="n"/>
      <c r="C1880" s="7" t="n"/>
      <c r="D1880" s="8" t="n"/>
      <c r="E1880" s="6" t="n"/>
      <c r="F1880" s="6" t="n"/>
      <c r="G1880" s="6" t="n"/>
      <c r="H1880" s="6" t="n"/>
      <c r="I1880" s="12">
        <f>IF($B1880="","",IF(COUNTIF(Ventes_Factures!$A$6:$A$3005,$B1880)&gt;0,"OK","INCONNUE"))</f>
        <v/>
      </c>
      <c r="J1880" s="9">
        <f>IF($D1880="","",ROUND($D1880,2))</f>
        <v/>
      </c>
    </row>
    <row r="1881">
      <c r="A1881" s="6" t="n"/>
      <c r="B1881" s="6" t="n"/>
      <c r="C1881" s="7" t="n"/>
      <c r="D1881" s="8" t="n"/>
      <c r="E1881" s="6" t="n"/>
      <c r="F1881" s="6" t="n"/>
      <c r="G1881" s="6" t="n"/>
      <c r="H1881" s="6" t="n"/>
      <c r="I1881" s="12">
        <f>IF($B1881="","",IF(COUNTIF(Ventes_Factures!$A$6:$A$3005,$B1881)&gt;0,"OK","INCONNUE"))</f>
        <v/>
      </c>
      <c r="J1881" s="9">
        <f>IF($D1881="","",ROUND($D1881,2))</f>
        <v/>
      </c>
    </row>
    <row r="1882">
      <c r="A1882" s="6" t="n"/>
      <c r="B1882" s="6" t="n"/>
      <c r="C1882" s="7" t="n"/>
      <c r="D1882" s="8" t="n"/>
      <c r="E1882" s="6" t="n"/>
      <c r="F1882" s="6" t="n"/>
      <c r="G1882" s="6" t="n"/>
      <c r="H1882" s="6" t="n"/>
      <c r="I1882" s="12">
        <f>IF($B1882="","",IF(COUNTIF(Ventes_Factures!$A$6:$A$3005,$B1882)&gt;0,"OK","INCONNUE"))</f>
        <v/>
      </c>
      <c r="J1882" s="9">
        <f>IF($D1882="","",ROUND($D1882,2))</f>
        <v/>
      </c>
    </row>
    <row r="1883">
      <c r="A1883" s="6" t="n"/>
      <c r="B1883" s="6" t="n"/>
      <c r="C1883" s="7" t="n"/>
      <c r="D1883" s="8" t="n"/>
      <c r="E1883" s="6" t="n"/>
      <c r="F1883" s="6" t="n"/>
      <c r="G1883" s="6" t="n"/>
      <c r="H1883" s="6" t="n"/>
      <c r="I1883" s="12">
        <f>IF($B1883="","",IF(COUNTIF(Ventes_Factures!$A$6:$A$3005,$B1883)&gt;0,"OK","INCONNUE"))</f>
        <v/>
      </c>
      <c r="J1883" s="9">
        <f>IF($D1883="","",ROUND($D1883,2))</f>
        <v/>
      </c>
    </row>
    <row r="1884">
      <c r="A1884" s="6" t="n"/>
      <c r="B1884" s="6" t="n"/>
      <c r="C1884" s="7" t="n"/>
      <c r="D1884" s="8" t="n"/>
      <c r="E1884" s="6" t="n"/>
      <c r="F1884" s="6" t="n"/>
      <c r="G1884" s="6" t="n"/>
      <c r="H1884" s="6" t="n"/>
      <c r="I1884" s="12">
        <f>IF($B1884="","",IF(COUNTIF(Ventes_Factures!$A$6:$A$3005,$B1884)&gt;0,"OK","INCONNUE"))</f>
        <v/>
      </c>
      <c r="J1884" s="9">
        <f>IF($D1884="","",ROUND($D1884,2))</f>
        <v/>
      </c>
    </row>
    <row r="1885">
      <c r="A1885" s="6" t="n"/>
      <c r="B1885" s="6" t="n"/>
      <c r="C1885" s="7" t="n"/>
      <c r="D1885" s="8" t="n"/>
      <c r="E1885" s="6" t="n"/>
      <c r="F1885" s="6" t="n"/>
      <c r="G1885" s="6" t="n"/>
      <c r="H1885" s="6" t="n"/>
      <c r="I1885" s="12">
        <f>IF($B1885="","",IF(COUNTIF(Ventes_Factures!$A$6:$A$3005,$B1885)&gt;0,"OK","INCONNUE"))</f>
        <v/>
      </c>
      <c r="J1885" s="9">
        <f>IF($D1885="","",ROUND($D1885,2))</f>
        <v/>
      </c>
    </row>
    <row r="1886">
      <c r="A1886" s="6" t="n"/>
      <c r="B1886" s="6" t="n"/>
      <c r="C1886" s="7" t="n"/>
      <c r="D1886" s="8" t="n"/>
      <c r="E1886" s="6" t="n"/>
      <c r="F1886" s="6" t="n"/>
      <c r="G1886" s="6" t="n"/>
      <c r="H1886" s="6" t="n"/>
      <c r="I1886" s="12">
        <f>IF($B1886="","",IF(COUNTIF(Ventes_Factures!$A$6:$A$3005,$B1886)&gt;0,"OK","INCONNUE"))</f>
        <v/>
      </c>
      <c r="J1886" s="9">
        <f>IF($D1886="","",ROUND($D1886,2))</f>
        <v/>
      </c>
    </row>
    <row r="1887">
      <c r="A1887" s="6" t="n"/>
      <c r="B1887" s="6" t="n"/>
      <c r="C1887" s="7" t="n"/>
      <c r="D1887" s="8" t="n"/>
      <c r="E1887" s="6" t="n"/>
      <c r="F1887" s="6" t="n"/>
      <c r="G1887" s="6" t="n"/>
      <c r="H1887" s="6" t="n"/>
      <c r="I1887" s="12">
        <f>IF($B1887="","",IF(COUNTIF(Ventes_Factures!$A$6:$A$3005,$B1887)&gt;0,"OK","INCONNUE"))</f>
        <v/>
      </c>
      <c r="J1887" s="9">
        <f>IF($D1887="","",ROUND($D1887,2))</f>
        <v/>
      </c>
    </row>
    <row r="1888">
      <c r="A1888" s="6" t="n"/>
      <c r="B1888" s="6" t="n"/>
      <c r="C1888" s="7" t="n"/>
      <c r="D1888" s="8" t="n"/>
      <c r="E1888" s="6" t="n"/>
      <c r="F1888" s="6" t="n"/>
      <c r="G1888" s="6" t="n"/>
      <c r="H1888" s="6" t="n"/>
      <c r="I1888" s="12">
        <f>IF($B1888="","",IF(COUNTIF(Ventes_Factures!$A$6:$A$3005,$B1888)&gt;0,"OK","INCONNUE"))</f>
        <v/>
      </c>
      <c r="J1888" s="9">
        <f>IF($D1888="","",ROUND($D1888,2))</f>
        <v/>
      </c>
    </row>
    <row r="1889">
      <c r="A1889" s="6" t="n"/>
      <c r="B1889" s="6" t="n"/>
      <c r="C1889" s="7" t="n"/>
      <c r="D1889" s="8" t="n"/>
      <c r="E1889" s="6" t="n"/>
      <c r="F1889" s="6" t="n"/>
      <c r="G1889" s="6" t="n"/>
      <c r="H1889" s="6" t="n"/>
      <c r="I1889" s="12">
        <f>IF($B1889="","",IF(COUNTIF(Ventes_Factures!$A$6:$A$3005,$B1889)&gt;0,"OK","INCONNUE"))</f>
        <v/>
      </c>
      <c r="J1889" s="9">
        <f>IF($D1889="","",ROUND($D1889,2))</f>
        <v/>
      </c>
    </row>
    <row r="1890">
      <c r="A1890" s="6" t="n"/>
      <c r="B1890" s="6" t="n"/>
      <c r="C1890" s="7" t="n"/>
      <c r="D1890" s="8" t="n"/>
      <c r="E1890" s="6" t="n"/>
      <c r="F1890" s="6" t="n"/>
      <c r="G1890" s="6" t="n"/>
      <c r="H1890" s="6" t="n"/>
      <c r="I1890" s="12">
        <f>IF($B1890="","",IF(COUNTIF(Ventes_Factures!$A$6:$A$3005,$B1890)&gt;0,"OK","INCONNUE"))</f>
        <v/>
      </c>
      <c r="J1890" s="9">
        <f>IF($D1890="","",ROUND($D1890,2))</f>
        <v/>
      </c>
    </row>
    <row r="1891">
      <c r="A1891" s="6" t="n"/>
      <c r="B1891" s="6" t="n"/>
      <c r="C1891" s="7" t="n"/>
      <c r="D1891" s="8" t="n"/>
      <c r="E1891" s="6" t="n"/>
      <c r="F1891" s="6" t="n"/>
      <c r="G1891" s="6" t="n"/>
      <c r="H1891" s="6" t="n"/>
      <c r="I1891" s="12">
        <f>IF($B1891="","",IF(COUNTIF(Ventes_Factures!$A$6:$A$3005,$B1891)&gt;0,"OK","INCONNUE"))</f>
        <v/>
      </c>
      <c r="J1891" s="9">
        <f>IF($D1891="","",ROUND($D1891,2))</f>
        <v/>
      </c>
    </row>
    <row r="1892">
      <c r="A1892" s="6" t="n"/>
      <c r="B1892" s="6" t="n"/>
      <c r="C1892" s="7" t="n"/>
      <c r="D1892" s="8" t="n"/>
      <c r="E1892" s="6" t="n"/>
      <c r="F1892" s="6" t="n"/>
      <c r="G1892" s="6" t="n"/>
      <c r="H1892" s="6" t="n"/>
      <c r="I1892" s="12">
        <f>IF($B1892="","",IF(COUNTIF(Ventes_Factures!$A$6:$A$3005,$B1892)&gt;0,"OK","INCONNUE"))</f>
        <v/>
      </c>
      <c r="J1892" s="9">
        <f>IF($D1892="","",ROUND($D1892,2))</f>
        <v/>
      </c>
    </row>
    <row r="1893">
      <c r="A1893" s="6" t="n"/>
      <c r="B1893" s="6" t="n"/>
      <c r="C1893" s="7" t="n"/>
      <c r="D1893" s="8" t="n"/>
      <c r="E1893" s="6" t="n"/>
      <c r="F1893" s="6" t="n"/>
      <c r="G1893" s="6" t="n"/>
      <c r="H1893" s="6" t="n"/>
      <c r="I1893" s="12">
        <f>IF($B1893="","",IF(COUNTIF(Ventes_Factures!$A$6:$A$3005,$B1893)&gt;0,"OK","INCONNUE"))</f>
        <v/>
      </c>
      <c r="J1893" s="9">
        <f>IF($D1893="","",ROUND($D1893,2))</f>
        <v/>
      </c>
    </row>
    <row r="1894">
      <c r="A1894" s="6" t="n"/>
      <c r="B1894" s="6" t="n"/>
      <c r="C1894" s="7" t="n"/>
      <c r="D1894" s="8" t="n"/>
      <c r="E1894" s="6" t="n"/>
      <c r="F1894" s="6" t="n"/>
      <c r="G1894" s="6" t="n"/>
      <c r="H1894" s="6" t="n"/>
      <c r="I1894" s="12">
        <f>IF($B1894="","",IF(COUNTIF(Ventes_Factures!$A$6:$A$3005,$B1894)&gt;0,"OK","INCONNUE"))</f>
        <v/>
      </c>
      <c r="J1894" s="9">
        <f>IF($D1894="","",ROUND($D1894,2))</f>
        <v/>
      </c>
    </row>
    <row r="1895">
      <c r="A1895" s="6" t="n"/>
      <c r="B1895" s="6" t="n"/>
      <c r="C1895" s="7" t="n"/>
      <c r="D1895" s="8" t="n"/>
      <c r="E1895" s="6" t="n"/>
      <c r="F1895" s="6" t="n"/>
      <c r="G1895" s="6" t="n"/>
      <c r="H1895" s="6" t="n"/>
      <c r="I1895" s="12">
        <f>IF($B1895="","",IF(COUNTIF(Ventes_Factures!$A$6:$A$3005,$B1895)&gt;0,"OK","INCONNUE"))</f>
        <v/>
      </c>
      <c r="J1895" s="9">
        <f>IF($D1895="","",ROUND($D1895,2))</f>
        <v/>
      </c>
    </row>
    <row r="1896">
      <c r="A1896" s="6" t="n"/>
      <c r="B1896" s="6" t="n"/>
      <c r="C1896" s="7" t="n"/>
      <c r="D1896" s="8" t="n"/>
      <c r="E1896" s="6" t="n"/>
      <c r="F1896" s="6" t="n"/>
      <c r="G1896" s="6" t="n"/>
      <c r="H1896" s="6" t="n"/>
      <c r="I1896" s="12">
        <f>IF($B1896="","",IF(COUNTIF(Ventes_Factures!$A$6:$A$3005,$B1896)&gt;0,"OK","INCONNUE"))</f>
        <v/>
      </c>
      <c r="J1896" s="9">
        <f>IF($D1896="","",ROUND($D1896,2))</f>
        <v/>
      </c>
    </row>
    <row r="1897">
      <c r="A1897" s="6" t="n"/>
      <c r="B1897" s="6" t="n"/>
      <c r="C1897" s="7" t="n"/>
      <c r="D1897" s="8" t="n"/>
      <c r="E1897" s="6" t="n"/>
      <c r="F1897" s="6" t="n"/>
      <c r="G1897" s="6" t="n"/>
      <c r="H1897" s="6" t="n"/>
      <c r="I1897" s="12">
        <f>IF($B1897="","",IF(COUNTIF(Ventes_Factures!$A$6:$A$3005,$B1897)&gt;0,"OK","INCONNUE"))</f>
        <v/>
      </c>
      <c r="J1897" s="9">
        <f>IF($D1897="","",ROUND($D1897,2))</f>
        <v/>
      </c>
    </row>
    <row r="1898">
      <c r="A1898" s="6" t="n"/>
      <c r="B1898" s="6" t="n"/>
      <c r="C1898" s="7" t="n"/>
      <c r="D1898" s="8" t="n"/>
      <c r="E1898" s="6" t="n"/>
      <c r="F1898" s="6" t="n"/>
      <c r="G1898" s="6" t="n"/>
      <c r="H1898" s="6" t="n"/>
      <c r="I1898" s="12">
        <f>IF($B1898="","",IF(COUNTIF(Ventes_Factures!$A$6:$A$3005,$B1898)&gt;0,"OK","INCONNUE"))</f>
        <v/>
      </c>
      <c r="J1898" s="9">
        <f>IF($D1898="","",ROUND($D1898,2))</f>
        <v/>
      </c>
    </row>
    <row r="1899">
      <c r="A1899" s="6" t="n"/>
      <c r="B1899" s="6" t="n"/>
      <c r="C1899" s="7" t="n"/>
      <c r="D1899" s="8" t="n"/>
      <c r="E1899" s="6" t="n"/>
      <c r="F1899" s="6" t="n"/>
      <c r="G1899" s="6" t="n"/>
      <c r="H1899" s="6" t="n"/>
      <c r="I1899" s="12">
        <f>IF($B1899="","",IF(COUNTIF(Ventes_Factures!$A$6:$A$3005,$B1899)&gt;0,"OK","INCONNUE"))</f>
        <v/>
      </c>
      <c r="J1899" s="9">
        <f>IF($D1899="","",ROUND($D1899,2))</f>
        <v/>
      </c>
    </row>
    <row r="1900">
      <c r="A1900" s="6" t="n"/>
      <c r="B1900" s="6" t="n"/>
      <c r="C1900" s="7" t="n"/>
      <c r="D1900" s="8" t="n"/>
      <c r="E1900" s="6" t="n"/>
      <c r="F1900" s="6" t="n"/>
      <c r="G1900" s="6" t="n"/>
      <c r="H1900" s="6" t="n"/>
      <c r="I1900" s="12">
        <f>IF($B1900="","",IF(COUNTIF(Ventes_Factures!$A$6:$A$3005,$B1900)&gt;0,"OK","INCONNUE"))</f>
        <v/>
      </c>
      <c r="J1900" s="9">
        <f>IF($D1900="","",ROUND($D1900,2))</f>
        <v/>
      </c>
    </row>
    <row r="1901">
      <c r="A1901" s="6" t="n"/>
      <c r="B1901" s="6" t="n"/>
      <c r="C1901" s="7" t="n"/>
      <c r="D1901" s="8" t="n"/>
      <c r="E1901" s="6" t="n"/>
      <c r="F1901" s="6" t="n"/>
      <c r="G1901" s="6" t="n"/>
      <c r="H1901" s="6" t="n"/>
      <c r="I1901" s="12">
        <f>IF($B1901="","",IF(COUNTIF(Ventes_Factures!$A$6:$A$3005,$B1901)&gt;0,"OK","INCONNUE"))</f>
        <v/>
      </c>
      <c r="J1901" s="9">
        <f>IF($D1901="","",ROUND($D1901,2))</f>
        <v/>
      </c>
    </row>
    <row r="1902">
      <c r="A1902" s="6" t="n"/>
      <c r="B1902" s="6" t="n"/>
      <c r="C1902" s="7" t="n"/>
      <c r="D1902" s="8" t="n"/>
      <c r="E1902" s="6" t="n"/>
      <c r="F1902" s="6" t="n"/>
      <c r="G1902" s="6" t="n"/>
      <c r="H1902" s="6" t="n"/>
      <c r="I1902" s="12">
        <f>IF($B1902="","",IF(COUNTIF(Ventes_Factures!$A$6:$A$3005,$B1902)&gt;0,"OK","INCONNUE"))</f>
        <v/>
      </c>
      <c r="J1902" s="9">
        <f>IF($D1902="","",ROUND($D1902,2))</f>
        <v/>
      </c>
    </row>
    <row r="1903">
      <c r="A1903" s="6" t="n"/>
      <c r="B1903" s="6" t="n"/>
      <c r="C1903" s="7" t="n"/>
      <c r="D1903" s="8" t="n"/>
      <c r="E1903" s="6" t="n"/>
      <c r="F1903" s="6" t="n"/>
      <c r="G1903" s="6" t="n"/>
      <c r="H1903" s="6" t="n"/>
      <c r="I1903" s="12">
        <f>IF($B1903="","",IF(COUNTIF(Ventes_Factures!$A$6:$A$3005,$B1903)&gt;0,"OK","INCONNUE"))</f>
        <v/>
      </c>
      <c r="J1903" s="9">
        <f>IF($D1903="","",ROUND($D1903,2))</f>
        <v/>
      </c>
    </row>
    <row r="1904">
      <c r="A1904" s="6" t="n"/>
      <c r="B1904" s="6" t="n"/>
      <c r="C1904" s="7" t="n"/>
      <c r="D1904" s="8" t="n"/>
      <c r="E1904" s="6" t="n"/>
      <c r="F1904" s="6" t="n"/>
      <c r="G1904" s="6" t="n"/>
      <c r="H1904" s="6" t="n"/>
      <c r="I1904" s="12">
        <f>IF($B1904="","",IF(COUNTIF(Ventes_Factures!$A$6:$A$3005,$B1904)&gt;0,"OK","INCONNUE"))</f>
        <v/>
      </c>
      <c r="J1904" s="9">
        <f>IF($D1904="","",ROUND($D1904,2))</f>
        <v/>
      </c>
    </row>
    <row r="1905">
      <c r="A1905" s="6" t="n"/>
      <c r="B1905" s="6" t="n"/>
      <c r="C1905" s="7" t="n"/>
      <c r="D1905" s="8" t="n"/>
      <c r="E1905" s="6" t="n"/>
      <c r="F1905" s="6" t="n"/>
      <c r="G1905" s="6" t="n"/>
      <c r="H1905" s="6" t="n"/>
      <c r="I1905" s="12">
        <f>IF($B1905="","",IF(COUNTIF(Ventes_Factures!$A$6:$A$3005,$B1905)&gt;0,"OK","INCONNUE"))</f>
        <v/>
      </c>
      <c r="J1905" s="9">
        <f>IF($D1905="","",ROUND($D1905,2))</f>
        <v/>
      </c>
    </row>
    <row r="1906">
      <c r="A1906" s="6" t="n"/>
      <c r="B1906" s="6" t="n"/>
      <c r="C1906" s="7" t="n"/>
      <c r="D1906" s="8" t="n"/>
      <c r="E1906" s="6" t="n"/>
      <c r="F1906" s="6" t="n"/>
      <c r="G1906" s="6" t="n"/>
      <c r="H1906" s="6" t="n"/>
      <c r="I1906" s="12">
        <f>IF($B1906="","",IF(COUNTIF(Ventes_Factures!$A$6:$A$3005,$B1906)&gt;0,"OK","INCONNUE"))</f>
        <v/>
      </c>
      <c r="J1906" s="9">
        <f>IF($D1906="","",ROUND($D1906,2))</f>
        <v/>
      </c>
    </row>
    <row r="1907">
      <c r="A1907" s="6" t="n"/>
      <c r="B1907" s="6" t="n"/>
      <c r="C1907" s="7" t="n"/>
      <c r="D1907" s="8" t="n"/>
      <c r="E1907" s="6" t="n"/>
      <c r="F1907" s="6" t="n"/>
      <c r="G1907" s="6" t="n"/>
      <c r="H1907" s="6" t="n"/>
      <c r="I1907" s="12">
        <f>IF($B1907="","",IF(COUNTIF(Ventes_Factures!$A$6:$A$3005,$B1907)&gt;0,"OK","INCONNUE"))</f>
        <v/>
      </c>
      <c r="J1907" s="9">
        <f>IF($D1907="","",ROUND($D1907,2))</f>
        <v/>
      </c>
    </row>
    <row r="1908">
      <c r="A1908" s="6" t="n"/>
      <c r="B1908" s="6" t="n"/>
      <c r="C1908" s="7" t="n"/>
      <c r="D1908" s="8" t="n"/>
      <c r="E1908" s="6" t="n"/>
      <c r="F1908" s="6" t="n"/>
      <c r="G1908" s="6" t="n"/>
      <c r="H1908" s="6" t="n"/>
      <c r="I1908" s="12">
        <f>IF($B1908="","",IF(COUNTIF(Ventes_Factures!$A$6:$A$3005,$B1908)&gt;0,"OK","INCONNUE"))</f>
        <v/>
      </c>
      <c r="J1908" s="9">
        <f>IF($D1908="","",ROUND($D1908,2))</f>
        <v/>
      </c>
    </row>
    <row r="1909">
      <c r="A1909" s="6" t="n"/>
      <c r="B1909" s="6" t="n"/>
      <c r="C1909" s="7" t="n"/>
      <c r="D1909" s="8" t="n"/>
      <c r="E1909" s="6" t="n"/>
      <c r="F1909" s="6" t="n"/>
      <c r="G1909" s="6" t="n"/>
      <c r="H1909" s="6" t="n"/>
      <c r="I1909" s="12">
        <f>IF($B1909="","",IF(COUNTIF(Ventes_Factures!$A$6:$A$3005,$B1909)&gt;0,"OK","INCONNUE"))</f>
        <v/>
      </c>
      <c r="J1909" s="9">
        <f>IF($D1909="","",ROUND($D1909,2))</f>
        <v/>
      </c>
    </row>
    <row r="1910">
      <c r="A1910" s="6" t="n"/>
      <c r="B1910" s="6" t="n"/>
      <c r="C1910" s="7" t="n"/>
      <c r="D1910" s="8" t="n"/>
      <c r="E1910" s="6" t="n"/>
      <c r="F1910" s="6" t="n"/>
      <c r="G1910" s="6" t="n"/>
      <c r="H1910" s="6" t="n"/>
      <c r="I1910" s="12">
        <f>IF($B1910="","",IF(COUNTIF(Ventes_Factures!$A$6:$A$3005,$B1910)&gt;0,"OK","INCONNUE"))</f>
        <v/>
      </c>
      <c r="J1910" s="9">
        <f>IF($D1910="","",ROUND($D1910,2))</f>
        <v/>
      </c>
    </row>
    <row r="1911">
      <c r="A1911" s="6" t="n"/>
      <c r="B1911" s="6" t="n"/>
      <c r="C1911" s="7" t="n"/>
      <c r="D1911" s="8" t="n"/>
      <c r="E1911" s="6" t="n"/>
      <c r="F1911" s="6" t="n"/>
      <c r="G1911" s="6" t="n"/>
      <c r="H1911" s="6" t="n"/>
      <c r="I1911" s="12">
        <f>IF($B1911="","",IF(COUNTIF(Ventes_Factures!$A$6:$A$3005,$B1911)&gt;0,"OK","INCONNUE"))</f>
        <v/>
      </c>
      <c r="J1911" s="9">
        <f>IF($D1911="","",ROUND($D1911,2))</f>
        <v/>
      </c>
    </row>
    <row r="1912">
      <c r="A1912" s="6" t="n"/>
      <c r="B1912" s="6" t="n"/>
      <c r="C1912" s="7" t="n"/>
      <c r="D1912" s="8" t="n"/>
      <c r="E1912" s="6" t="n"/>
      <c r="F1912" s="6" t="n"/>
      <c r="G1912" s="6" t="n"/>
      <c r="H1912" s="6" t="n"/>
      <c r="I1912" s="12">
        <f>IF($B1912="","",IF(COUNTIF(Ventes_Factures!$A$6:$A$3005,$B1912)&gt;0,"OK","INCONNUE"))</f>
        <v/>
      </c>
      <c r="J1912" s="9">
        <f>IF($D1912="","",ROUND($D1912,2))</f>
        <v/>
      </c>
    </row>
    <row r="1913">
      <c r="A1913" s="6" t="n"/>
      <c r="B1913" s="6" t="n"/>
      <c r="C1913" s="7" t="n"/>
      <c r="D1913" s="8" t="n"/>
      <c r="E1913" s="6" t="n"/>
      <c r="F1913" s="6" t="n"/>
      <c r="G1913" s="6" t="n"/>
      <c r="H1913" s="6" t="n"/>
      <c r="I1913" s="12">
        <f>IF($B1913="","",IF(COUNTIF(Ventes_Factures!$A$6:$A$3005,$B1913)&gt;0,"OK","INCONNUE"))</f>
        <v/>
      </c>
      <c r="J1913" s="9">
        <f>IF($D1913="","",ROUND($D1913,2))</f>
        <v/>
      </c>
    </row>
    <row r="1914">
      <c r="A1914" s="6" t="n"/>
      <c r="B1914" s="6" t="n"/>
      <c r="C1914" s="7" t="n"/>
      <c r="D1914" s="8" t="n"/>
      <c r="E1914" s="6" t="n"/>
      <c r="F1914" s="6" t="n"/>
      <c r="G1914" s="6" t="n"/>
      <c r="H1914" s="6" t="n"/>
      <c r="I1914" s="12">
        <f>IF($B1914="","",IF(COUNTIF(Ventes_Factures!$A$6:$A$3005,$B1914)&gt;0,"OK","INCONNUE"))</f>
        <v/>
      </c>
      <c r="J1914" s="9">
        <f>IF($D1914="","",ROUND($D1914,2))</f>
        <v/>
      </c>
    </row>
    <row r="1915">
      <c r="A1915" s="6" t="n"/>
      <c r="B1915" s="6" t="n"/>
      <c r="C1915" s="7" t="n"/>
      <c r="D1915" s="8" t="n"/>
      <c r="E1915" s="6" t="n"/>
      <c r="F1915" s="6" t="n"/>
      <c r="G1915" s="6" t="n"/>
      <c r="H1915" s="6" t="n"/>
      <c r="I1915" s="12">
        <f>IF($B1915="","",IF(COUNTIF(Ventes_Factures!$A$6:$A$3005,$B1915)&gt;0,"OK","INCONNUE"))</f>
        <v/>
      </c>
      <c r="J1915" s="9">
        <f>IF($D1915="","",ROUND($D1915,2))</f>
        <v/>
      </c>
    </row>
    <row r="1916">
      <c r="A1916" s="6" t="n"/>
      <c r="B1916" s="6" t="n"/>
      <c r="C1916" s="7" t="n"/>
      <c r="D1916" s="8" t="n"/>
      <c r="E1916" s="6" t="n"/>
      <c r="F1916" s="6" t="n"/>
      <c r="G1916" s="6" t="n"/>
      <c r="H1916" s="6" t="n"/>
      <c r="I1916" s="12">
        <f>IF($B1916="","",IF(COUNTIF(Ventes_Factures!$A$6:$A$3005,$B1916)&gt;0,"OK","INCONNUE"))</f>
        <v/>
      </c>
      <c r="J1916" s="9">
        <f>IF($D1916="","",ROUND($D1916,2))</f>
        <v/>
      </c>
    </row>
    <row r="1917">
      <c r="A1917" s="6" t="n"/>
      <c r="B1917" s="6" t="n"/>
      <c r="C1917" s="7" t="n"/>
      <c r="D1917" s="8" t="n"/>
      <c r="E1917" s="6" t="n"/>
      <c r="F1917" s="6" t="n"/>
      <c r="G1917" s="6" t="n"/>
      <c r="H1917" s="6" t="n"/>
      <c r="I1917" s="12">
        <f>IF($B1917="","",IF(COUNTIF(Ventes_Factures!$A$6:$A$3005,$B1917)&gt;0,"OK","INCONNUE"))</f>
        <v/>
      </c>
      <c r="J1917" s="9">
        <f>IF($D1917="","",ROUND($D1917,2))</f>
        <v/>
      </c>
    </row>
    <row r="1918">
      <c r="A1918" s="6" t="n"/>
      <c r="B1918" s="6" t="n"/>
      <c r="C1918" s="7" t="n"/>
      <c r="D1918" s="8" t="n"/>
      <c r="E1918" s="6" t="n"/>
      <c r="F1918" s="6" t="n"/>
      <c r="G1918" s="6" t="n"/>
      <c r="H1918" s="6" t="n"/>
      <c r="I1918" s="12">
        <f>IF($B1918="","",IF(COUNTIF(Ventes_Factures!$A$6:$A$3005,$B1918)&gt;0,"OK","INCONNUE"))</f>
        <v/>
      </c>
      <c r="J1918" s="9">
        <f>IF($D1918="","",ROUND($D1918,2))</f>
        <v/>
      </c>
    </row>
    <row r="1919">
      <c r="A1919" s="6" t="n"/>
      <c r="B1919" s="6" t="n"/>
      <c r="C1919" s="7" t="n"/>
      <c r="D1919" s="8" t="n"/>
      <c r="E1919" s="6" t="n"/>
      <c r="F1919" s="6" t="n"/>
      <c r="G1919" s="6" t="n"/>
      <c r="H1919" s="6" t="n"/>
      <c r="I1919" s="12">
        <f>IF($B1919="","",IF(COUNTIF(Ventes_Factures!$A$6:$A$3005,$B1919)&gt;0,"OK","INCONNUE"))</f>
        <v/>
      </c>
      <c r="J1919" s="9">
        <f>IF($D1919="","",ROUND($D1919,2))</f>
        <v/>
      </c>
    </row>
    <row r="1920">
      <c r="A1920" s="6" t="n"/>
      <c r="B1920" s="6" t="n"/>
      <c r="C1920" s="7" t="n"/>
      <c r="D1920" s="8" t="n"/>
      <c r="E1920" s="6" t="n"/>
      <c r="F1920" s="6" t="n"/>
      <c r="G1920" s="6" t="n"/>
      <c r="H1920" s="6" t="n"/>
      <c r="I1920" s="12">
        <f>IF($B1920="","",IF(COUNTIF(Ventes_Factures!$A$6:$A$3005,$B1920)&gt;0,"OK","INCONNUE"))</f>
        <v/>
      </c>
      <c r="J1920" s="9">
        <f>IF($D1920="","",ROUND($D1920,2))</f>
        <v/>
      </c>
    </row>
    <row r="1921">
      <c r="A1921" s="6" t="n"/>
      <c r="B1921" s="6" t="n"/>
      <c r="C1921" s="7" t="n"/>
      <c r="D1921" s="8" t="n"/>
      <c r="E1921" s="6" t="n"/>
      <c r="F1921" s="6" t="n"/>
      <c r="G1921" s="6" t="n"/>
      <c r="H1921" s="6" t="n"/>
      <c r="I1921" s="12">
        <f>IF($B1921="","",IF(COUNTIF(Ventes_Factures!$A$6:$A$3005,$B1921)&gt;0,"OK","INCONNUE"))</f>
        <v/>
      </c>
      <c r="J1921" s="9">
        <f>IF($D1921="","",ROUND($D1921,2))</f>
        <v/>
      </c>
    </row>
    <row r="1922">
      <c r="A1922" s="6" t="n"/>
      <c r="B1922" s="6" t="n"/>
      <c r="C1922" s="7" t="n"/>
      <c r="D1922" s="8" t="n"/>
      <c r="E1922" s="6" t="n"/>
      <c r="F1922" s="6" t="n"/>
      <c r="G1922" s="6" t="n"/>
      <c r="H1922" s="6" t="n"/>
      <c r="I1922" s="12">
        <f>IF($B1922="","",IF(COUNTIF(Ventes_Factures!$A$6:$A$3005,$B1922)&gt;0,"OK","INCONNUE"))</f>
        <v/>
      </c>
      <c r="J1922" s="9">
        <f>IF($D1922="","",ROUND($D1922,2))</f>
        <v/>
      </c>
    </row>
    <row r="1923">
      <c r="A1923" s="6" t="n"/>
      <c r="B1923" s="6" t="n"/>
      <c r="C1923" s="7" t="n"/>
      <c r="D1923" s="8" t="n"/>
      <c r="E1923" s="6" t="n"/>
      <c r="F1923" s="6" t="n"/>
      <c r="G1923" s="6" t="n"/>
      <c r="H1923" s="6" t="n"/>
      <c r="I1923" s="12">
        <f>IF($B1923="","",IF(COUNTIF(Ventes_Factures!$A$6:$A$3005,$B1923)&gt;0,"OK","INCONNUE"))</f>
        <v/>
      </c>
      <c r="J1923" s="9">
        <f>IF($D1923="","",ROUND($D1923,2))</f>
        <v/>
      </c>
    </row>
    <row r="1924">
      <c r="A1924" s="6" t="n"/>
      <c r="B1924" s="6" t="n"/>
      <c r="C1924" s="7" t="n"/>
      <c r="D1924" s="8" t="n"/>
      <c r="E1924" s="6" t="n"/>
      <c r="F1924" s="6" t="n"/>
      <c r="G1924" s="6" t="n"/>
      <c r="H1924" s="6" t="n"/>
      <c r="I1924" s="12">
        <f>IF($B1924="","",IF(COUNTIF(Ventes_Factures!$A$6:$A$3005,$B1924)&gt;0,"OK","INCONNUE"))</f>
        <v/>
      </c>
      <c r="J1924" s="9">
        <f>IF($D1924="","",ROUND($D1924,2))</f>
        <v/>
      </c>
    </row>
    <row r="1925">
      <c r="A1925" s="6" t="n"/>
      <c r="B1925" s="6" t="n"/>
      <c r="C1925" s="7" t="n"/>
      <c r="D1925" s="8" t="n"/>
      <c r="E1925" s="6" t="n"/>
      <c r="F1925" s="6" t="n"/>
      <c r="G1925" s="6" t="n"/>
      <c r="H1925" s="6" t="n"/>
      <c r="I1925" s="12">
        <f>IF($B1925="","",IF(COUNTIF(Ventes_Factures!$A$6:$A$3005,$B1925)&gt;0,"OK","INCONNUE"))</f>
        <v/>
      </c>
      <c r="J1925" s="9">
        <f>IF($D1925="","",ROUND($D1925,2))</f>
        <v/>
      </c>
    </row>
    <row r="1926">
      <c r="A1926" s="6" t="n"/>
      <c r="B1926" s="6" t="n"/>
      <c r="C1926" s="7" t="n"/>
      <c r="D1926" s="8" t="n"/>
      <c r="E1926" s="6" t="n"/>
      <c r="F1926" s="6" t="n"/>
      <c r="G1926" s="6" t="n"/>
      <c r="H1926" s="6" t="n"/>
      <c r="I1926" s="12">
        <f>IF($B1926="","",IF(COUNTIF(Ventes_Factures!$A$6:$A$3005,$B1926)&gt;0,"OK","INCONNUE"))</f>
        <v/>
      </c>
      <c r="J1926" s="9">
        <f>IF($D1926="","",ROUND($D1926,2))</f>
        <v/>
      </c>
    </row>
    <row r="1927">
      <c r="A1927" s="6" t="n"/>
      <c r="B1927" s="6" t="n"/>
      <c r="C1927" s="7" t="n"/>
      <c r="D1927" s="8" t="n"/>
      <c r="E1927" s="6" t="n"/>
      <c r="F1927" s="6" t="n"/>
      <c r="G1927" s="6" t="n"/>
      <c r="H1927" s="6" t="n"/>
      <c r="I1927" s="12">
        <f>IF($B1927="","",IF(COUNTIF(Ventes_Factures!$A$6:$A$3005,$B1927)&gt;0,"OK","INCONNUE"))</f>
        <v/>
      </c>
      <c r="J1927" s="9">
        <f>IF($D1927="","",ROUND($D1927,2))</f>
        <v/>
      </c>
    </row>
    <row r="1928">
      <c r="A1928" s="6" t="n"/>
      <c r="B1928" s="6" t="n"/>
      <c r="C1928" s="7" t="n"/>
      <c r="D1928" s="8" t="n"/>
      <c r="E1928" s="6" t="n"/>
      <c r="F1928" s="6" t="n"/>
      <c r="G1928" s="6" t="n"/>
      <c r="H1928" s="6" t="n"/>
      <c r="I1928" s="12">
        <f>IF($B1928="","",IF(COUNTIF(Ventes_Factures!$A$6:$A$3005,$B1928)&gt;0,"OK","INCONNUE"))</f>
        <v/>
      </c>
      <c r="J1928" s="9">
        <f>IF($D1928="","",ROUND($D1928,2))</f>
        <v/>
      </c>
    </row>
    <row r="1929">
      <c r="A1929" s="6" t="n"/>
      <c r="B1929" s="6" t="n"/>
      <c r="C1929" s="7" t="n"/>
      <c r="D1929" s="8" t="n"/>
      <c r="E1929" s="6" t="n"/>
      <c r="F1929" s="6" t="n"/>
      <c r="G1929" s="6" t="n"/>
      <c r="H1929" s="6" t="n"/>
      <c r="I1929" s="12">
        <f>IF($B1929="","",IF(COUNTIF(Ventes_Factures!$A$6:$A$3005,$B1929)&gt;0,"OK","INCONNUE"))</f>
        <v/>
      </c>
      <c r="J1929" s="9">
        <f>IF($D1929="","",ROUND($D1929,2))</f>
        <v/>
      </c>
    </row>
    <row r="1930">
      <c r="A1930" s="6" t="n"/>
      <c r="B1930" s="6" t="n"/>
      <c r="C1930" s="7" t="n"/>
      <c r="D1930" s="8" t="n"/>
      <c r="E1930" s="6" t="n"/>
      <c r="F1930" s="6" t="n"/>
      <c r="G1930" s="6" t="n"/>
      <c r="H1930" s="6" t="n"/>
      <c r="I1930" s="12">
        <f>IF($B1930="","",IF(COUNTIF(Ventes_Factures!$A$6:$A$3005,$B1930)&gt;0,"OK","INCONNUE"))</f>
        <v/>
      </c>
      <c r="J1930" s="9">
        <f>IF($D1930="","",ROUND($D1930,2))</f>
        <v/>
      </c>
    </row>
    <row r="1931">
      <c r="A1931" s="6" t="n"/>
      <c r="B1931" s="6" t="n"/>
      <c r="C1931" s="7" t="n"/>
      <c r="D1931" s="8" t="n"/>
      <c r="E1931" s="6" t="n"/>
      <c r="F1931" s="6" t="n"/>
      <c r="G1931" s="6" t="n"/>
      <c r="H1931" s="6" t="n"/>
      <c r="I1931" s="12">
        <f>IF($B1931="","",IF(COUNTIF(Ventes_Factures!$A$6:$A$3005,$B1931)&gt;0,"OK","INCONNUE"))</f>
        <v/>
      </c>
      <c r="J1931" s="9">
        <f>IF($D1931="","",ROUND($D1931,2))</f>
        <v/>
      </c>
    </row>
    <row r="1932">
      <c r="A1932" s="6" t="n"/>
      <c r="B1932" s="6" t="n"/>
      <c r="C1932" s="7" t="n"/>
      <c r="D1932" s="8" t="n"/>
      <c r="E1932" s="6" t="n"/>
      <c r="F1932" s="6" t="n"/>
      <c r="G1932" s="6" t="n"/>
      <c r="H1932" s="6" t="n"/>
      <c r="I1932" s="12">
        <f>IF($B1932="","",IF(COUNTIF(Ventes_Factures!$A$6:$A$3005,$B1932)&gt;0,"OK","INCONNUE"))</f>
        <v/>
      </c>
      <c r="J1932" s="9">
        <f>IF($D1932="","",ROUND($D1932,2))</f>
        <v/>
      </c>
    </row>
    <row r="1933">
      <c r="A1933" s="6" t="n"/>
      <c r="B1933" s="6" t="n"/>
      <c r="C1933" s="7" t="n"/>
      <c r="D1933" s="8" t="n"/>
      <c r="E1933" s="6" t="n"/>
      <c r="F1933" s="6" t="n"/>
      <c r="G1933" s="6" t="n"/>
      <c r="H1933" s="6" t="n"/>
      <c r="I1933" s="12">
        <f>IF($B1933="","",IF(COUNTIF(Ventes_Factures!$A$6:$A$3005,$B1933)&gt;0,"OK","INCONNUE"))</f>
        <v/>
      </c>
      <c r="J1933" s="9">
        <f>IF($D1933="","",ROUND($D1933,2))</f>
        <v/>
      </c>
    </row>
    <row r="1934">
      <c r="A1934" s="6" t="n"/>
      <c r="B1934" s="6" t="n"/>
      <c r="C1934" s="7" t="n"/>
      <c r="D1934" s="8" t="n"/>
      <c r="E1934" s="6" t="n"/>
      <c r="F1934" s="6" t="n"/>
      <c r="G1934" s="6" t="n"/>
      <c r="H1934" s="6" t="n"/>
      <c r="I1934" s="12">
        <f>IF($B1934="","",IF(COUNTIF(Ventes_Factures!$A$6:$A$3005,$B1934)&gt;0,"OK","INCONNUE"))</f>
        <v/>
      </c>
      <c r="J1934" s="9">
        <f>IF($D1934="","",ROUND($D1934,2))</f>
        <v/>
      </c>
    </row>
    <row r="1935">
      <c r="A1935" s="6" t="n"/>
      <c r="B1935" s="6" t="n"/>
      <c r="C1935" s="7" t="n"/>
      <c r="D1935" s="8" t="n"/>
      <c r="E1935" s="6" t="n"/>
      <c r="F1935" s="6" t="n"/>
      <c r="G1935" s="6" t="n"/>
      <c r="H1935" s="6" t="n"/>
      <c r="I1935" s="12">
        <f>IF($B1935="","",IF(COUNTIF(Ventes_Factures!$A$6:$A$3005,$B1935)&gt;0,"OK","INCONNUE"))</f>
        <v/>
      </c>
      <c r="J1935" s="9">
        <f>IF($D1935="","",ROUND($D1935,2))</f>
        <v/>
      </c>
    </row>
    <row r="1936">
      <c r="A1936" s="6" t="n"/>
      <c r="B1936" s="6" t="n"/>
      <c r="C1936" s="7" t="n"/>
      <c r="D1936" s="8" t="n"/>
      <c r="E1936" s="6" t="n"/>
      <c r="F1936" s="6" t="n"/>
      <c r="G1936" s="6" t="n"/>
      <c r="H1936" s="6" t="n"/>
      <c r="I1936" s="12">
        <f>IF($B1936="","",IF(COUNTIF(Ventes_Factures!$A$6:$A$3005,$B1936)&gt;0,"OK","INCONNUE"))</f>
        <v/>
      </c>
      <c r="J1936" s="9">
        <f>IF($D1936="","",ROUND($D1936,2))</f>
        <v/>
      </c>
    </row>
    <row r="1937">
      <c r="A1937" s="6" t="n"/>
      <c r="B1937" s="6" t="n"/>
      <c r="C1937" s="7" t="n"/>
      <c r="D1937" s="8" t="n"/>
      <c r="E1937" s="6" t="n"/>
      <c r="F1937" s="6" t="n"/>
      <c r="G1937" s="6" t="n"/>
      <c r="H1937" s="6" t="n"/>
      <c r="I1937" s="12">
        <f>IF($B1937="","",IF(COUNTIF(Ventes_Factures!$A$6:$A$3005,$B1937)&gt;0,"OK","INCONNUE"))</f>
        <v/>
      </c>
      <c r="J1937" s="9">
        <f>IF($D1937="","",ROUND($D1937,2))</f>
        <v/>
      </c>
    </row>
    <row r="1938">
      <c r="A1938" s="6" t="n"/>
      <c r="B1938" s="6" t="n"/>
      <c r="C1938" s="7" t="n"/>
      <c r="D1938" s="8" t="n"/>
      <c r="E1938" s="6" t="n"/>
      <c r="F1938" s="6" t="n"/>
      <c r="G1938" s="6" t="n"/>
      <c r="H1938" s="6" t="n"/>
      <c r="I1938" s="12">
        <f>IF($B1938="","",IF(COUNTIF(Ventes_Factures!$A$6:$A$3005,$B1938)&gt;0,"OK","INCONNUE"))</f>
        <v/>
      </c>
      <c r="J1938" s="9">
        <f>IF($D1938="","",ROUND($D1938,2))</f>
        <v/>
      </c>
    </row>
    <row r="1939">
      <c r="A1939" s="6" t="n"/>
      <c r="B1939" s="6" t="n"/>
      <c r="C1939" s="7" t="n"/>
      <c r="D1939" s="8" t="n"/>
      <c r="E1939" s="6" t="n"/>
      <c r="F1939" s="6" t="n"/>
      <c r="G1939" s="6" t="n"/>
      <c r="H1939" s="6" t="n"/>
      <c r="I1939" s="12">
        <f>IF($B1939="","",IF(COUNTIF(Ventes_Factures!$A$6:$A$3005,$B1939)&gt;0,"OK","INCONNUE"))</f>
        <v/>
      </c>
      <c r="J1939" s="9">
        <f>IF($D1939="","",ROUND($D1939,2))</f>
        <v/>
      </c>
    </row>
    <row r="1940">
      <c r="A1940" s="6" t="n"/>
      <c r="B1940" s="6" t="n"/>
      <c r="C1940" s="7" t="n"/>
      <c r="D1940" s="8" t="n"/>
      <c r="E1940" s="6" t="n"/>
      <c r="F1940" s="6" t="n"/>
      <c r="G1940" s="6" t="n"/>
      <c r="H1940" s="6" t="n"/>
      <c r="I1940" s="12">
        <f>IF($B1940="","",IF(COUNTIF(Ventes_Factures!$A$6:$A$3005,$B1940)&gt;0,"OK","INCONNUE"))</f>
        <v/>
      </c>
      <c r="J1940" s="9">
        <f>IF($D1940="","",ROUND($D1940,2))</f>
        <v/>
      </c>
    </row>
    <row r="1941">
      <c r="A1941" s="6" t="n"/>
      <c r="B1941" s="6" t="n"/>
      <c r="C1941" s="7" t="n"/>
      <c r="D1941" s="8" t="n"/>
      <c r="E1941" s="6" t="n"/>
      <c r="F1941" s="6" t="n"/>
      <c r="G1941" s="6" t="n"/>
      <c r="H1941" s="6" t="n"/>
      <c r="I1941" s="12">
        <f>IF($B1941="","",IF(COUNTIF(Ventes_Factures!$A$6:$A$3005,$B1941)&gt;0,"OK","INCONNUE"))</f>
        <v/>
      </c>
      <c r="J1941" s="9">
        <f>IF($D1941="","",ROUND($D1941,2))</f>
        <v/>
      </c>
    </row>
    <row r="1942">
      <c r="A1942" s="6" t="n"/>
      <c r="B1942" s="6" t="n"/>
      <c r="C1942" s="7" t="n"/>
      <c r="D1942" s="8" t="n"/>
      <c r="E1942" s="6" t="n"/>
      <c r="F1942" s="6" t="n"/>
      <c r="G1942" s="6" t="n"/>
      <c r="H1942" s="6" t="n"/>
      <c r="I1942" s="12">
        <f>IF($B1942="","",IF(COUNTIF(Ventes_Factures!$A$6:$A$3005,$B1942)&gt;0,"OK","INCONNUE"))</f>
        <v/>
      </c>
      <c r="J1942" s="9">
        <f>IF($D1942="","",ROUND($D1942,2))</f>
        <v/>
      </c>
    </row>
    <row r="1943">
      <c r="A1943" s="6" t="n"/>
      <c r="B1943" s="6" t="n"/>
      <c r="C1943" s="7" t="n"/>
      <c r="D1943" s="8" t="n"/>
      <c r="E1943" s="6" t="n"/>
      <c r="F1943" s="6" t="n"/>
      <c r="G1943" s="6" t="n"/>
      <c r="H1943" s="6" t="n"/>
      <c r="I1943" s="12">
        <f>IF($B1943="","",IF(COUNTIF(Ventes_Factures!$A$6:$A$3005,$B1943)&gt;0,"OK","INCONNUE"))</f>
        <v/>
      </c>
      <c r="J1943" s="9">
        <f>IF($D1943="","",ROUND($D1943,2))</f>
        <v/>
      </c>
    </row>
    <row r="1944">
      <c r="A1944" s="6" t="n"/>
      <c r="B1944" s="6" t="n"/>
      <c r="C1944" s="7" t="n"/>
      <c r="D1944" s="8" t="n"/>
      <c r="E1944" s="6" t="n"/>
      <c r="F1944" s="6" t="n"/>
      <c r="G1944" s="6" t="n"/>
      <c r="H1944" s="6" t="n"/>
      <c r="I1944" s="12">
        <f>IF($B1944="","",IF(COUNTIF(Ventes_Factures!$A$6:$A$3005,$B1944)&gt;0,"OK","INCONNUE"))</f>
        <v/>
      </c>
      <c r="J1944" s="9">
        <f>IF($D1944="","",ROUND($D1944,2))</f>
        <v/>
      </c>
    </row>
    <row r="1945">
      <c r="A1945" s="6" t="n"/>
      <c r="B1945" s="6" t="n"/>
      <c r="C1945" s="7" t="n"/>
      <c r="D1945" s="8" t="n"/>
      <c r="E1945" s="6" t="n"/>
      <c r="F1945" s="6" t="n"/>
      <c r="G1945" s="6" t="n"/>
      <c r="H1945" s="6" t="n"/>
      <c r="I1945" s="12">
        <f>IF($B1945="","",IF(COUNTIF(Ventes_Factures!$A$6:$A$3005,$B1945)&gt;0,"OK","INCONNUE"))</f>
        <v/>
      </c>
      <c r="J1945" s="9">
        <f>IF($D1945="","",ROUND($D1945,2))</f>
        <v/>
      </c>
    </row>
    <row r="1946">
      <c r="A1946" s="6" t="n"/>
      <c r="B1946" s="6" t="n"/>
      <c r="C1946" s="7" t="n"/>
      <c r="D1946" s="8" t="n"/>
      <c r="E1946" s="6" t="n"/>
      <c r="F1946" s="6" t="n"/>
      <c r="G1946" s="6" t="n"/>
      <c r="H1946" s="6" t="n"/>
      <c r="I1946" s="12">
        <f>IF($B1946="","",IF(COUNTIF(Ventes_Factures!$A$6:$A$3005,$B1946)&gt;0,"OK","INCONNUE"))</f>
        <v/>
      </c>
      <c r="J1946" s="9">
        <f>IF($D1946="","",ROUND($D1946,2))</f>
        <v/>
      </c>
    </row>
    <row r="1947">
      <c r="A1947" s="6" t="n"/>
      <c r="B1947" s="6" t="n"/>
      <c r="C1947" s="7" t="n"/>
      <c r="D1947" s="8" t="n"/>
      <c r="E1947" s="6" t="n"/>
      <c r="F1947" s="6" t="n"/>
      <c r="G1947" s="6" t="n"/>
      <c r="H1947" s="6" t="n"/>
      <c r="I1947" s="12">
        <f>IF($B1947="","",IF(COUNTIF(Ventes_Factures!$A$6:$A$3005,$B1947)&gt;0,"OK","INCONNUE"))</f>
        <v/>
      </c>
      <c r="J1947" s="9">
        <f>IF($D1947="","",ROUND($D1947,2))</f>
        <v/>
      </c>
    </row>
    <row r="1948">
      <c r="A1948" s="6" t="n"/>
      <c r="B1948" s="6" t="n"/>
      <c r="C1948" s="7" t="n"/>
      <c r="D1948" s="8" t="n"/>
      <c r="E1948" s="6" t="n"/>
      <c r="F1948" s="6" t="n"/>
      <c r="G1948" s="6" t="n"/>
      <c r="H1948" s="6" t="n"/>
      <c r="I1948" s="12">
        <f>IF($B1948="","",IF(COUNTIF(Ventes_Factures!$A$6:$A$3005,$B1948)&gt;0,"OK","INCONNUE"))</f>
        <v/>
      </c>
      <c r="J1948" s="9">
        <f>IF($D1948="","",ROUND($D1948,2))</f>
        <v/>
      </c>
    </row>
    <row r="1949">
      <c r="A1949" s="6" t="n"/>
      <c r="B1949" s="6" t="n"/>
      <c r="C1949" s="7" t="n"/>
      <c r="D1949" s="8" t="n"/>
      <c r="E1949" s="6" t="n"/>
      <c r="F1949" s="6" t="n"/>
      <c r="G1949" s="6" t="n"/>
      <c r="H1949" s="6" t="n"/>
      <c r="I1949" s="12">
        <f>IF($B1949="","",IF(COUNTIF(Ventes_Factures!$A$6:$A$3005,$B1949)&gt;0,"OK","INCONNUE"))</f>
        <v/>
      </c>
      <c r="J1949" s="9">
        <f>IF($D1949="","",ROUND($D1949,2))</f>
        <v/>
      </c>
    </row>
    <row r="1950">
      <c r="A1950" s="6" t="n"/>
      <c r="B1950" s="6" t="n"/>
      <c r="C1950" s="7" t="n"/>
      <c r="D1950" s="8" t="n"/>
      <c r="E1950" s="6" t="n"/>
      <c r="F1950" s="6" t="n"/>
      <c r="G1950" s="6" t="n"/>
      <c r="H1950" s="6" t="n"/>
      <c r="I1950" s="12">
        <f>IF($B1950="","",IF(COUNTIF(Ventes_Factures!$A$6:$A$3005,$B1950)&gt;0,"OK","INCONNUE"))</f>
        <v/>
      </c>
      <c r="J1950" s="9">
        <f>IF($D1950="","",ROUND($D1950,2))</f>
        <v/>
      </c>
    </row>
    <row r="1951">
      <c r="A1951" s="6" t="n"/>
      <c r="B1951" s="6" t="n"/>
      <c r="C1951" s="7" t="n"/>
      <c r="D1951" s="8" t="n"/>
      <c r="E1951" s="6" t="n"/>
      <c r="F1951" s="6" t="n"/>
      <c r="G1951" s="6" t="n"/>
      <c r="H1951" s="6" t="n"/>
      <c r="I1951" s="12">
        <f>IF($B1951="","",IF(COUNTIF(Ventes_Factures!$A$6:$A$3005,$B1951)&gt;0,"OK","INCONNUE"))</f>
        <v/>
      </c>
      <c r="J1951" s="9">
        <f>IF($D1951="","",ROUND($D1951,2))</f>
        <v/>
      </c>
    </row>
    <row r="1952">
      <c r="A1952" s="6" t="n"/>
      <c r="B1952" s="6" t="n"/>
      <c r="C1952" s="7" t="n"/>
      <c r="D1952" s="8" t="n"/>
      <c r="E1952" s="6" t="n"/>
      <c r="F1952" s="6" t="n"/>
      <c r="G1952" s="6" t="n"/>
      <c r="H1952" s="6" t="n"/>
      <c r="I1952" s="12">
        <f>IF($B1952="","",IF(COUNTIF(Ventes_Factures!$A$6:$A$3005,$B1952)&gt;0,"OK","INCONNUE"))</f>
        <v/>
      </c>
      <c r="J1952" s="9">
        <f>IF($D1952="","",ROUND($D1952,2))</f>
        <v/>
      </c>
    </row>
    <row r="1953">
      <c r="A1953" s="6" t="n"/>
      <c r="B1953" s="6" t="n"/>
      <c r="C1953" s="7" t="n"/>
      <c r="D1953" s="8" t="n"/>
      <c r="E1953" s="6" t="n"/>
      <c r="F1953" s="6" t="n"/>
      <c r="G1953" s="6" t="n"/>
      <c r="H1953" s="6" t="n"/>
      <c r="I1953" s="12">
        <f>IF($B1953="","",IF(COUNTIF(Ventes_Factures!$A$6:$A$3005,$B1953)&gt;0,"OK","INCONNUE"))</f>
        <v/>
      </c>
      <c r="J1953" s="9">
        <f>IF($D1953="","",ROUND($D1953,2))</f>
        <v/>
      </c>
    </row>
    <row r="1954">
      <c r="A1954" s="6" t="n"/>
      <c r="B1954" s="6" t="n"/>
      <c r="C1954" s="7" t="n"/>
      <c r="D1954" s="8" t="n"/>
      <c r="E1954" s="6" t="n"/>
      <c r="F1954" s="6" t="n"/>
      <c r="G1954" s="6" t="n"/>
      <c r="H1954" s="6" t="n"/>
      <c r="I1954" s="12">
        <f>IF($B1954="","",IF(COUNTIF(Ventes_Factures!$A$6:$A$3005,$B1954)&gt;0,"OK","INCONNUE"))</f>
        <v/>
      </c>
      <c r="J1954" s="9">
        <f>IF($D1954="","",ROUND($D1954,2))</f>
        <v/>
      </c>
    </row>
    <row r="1955">
      <c r="A1955" s="6" t="n"/>
      <c r="B1955" s="6" t="n"/>
      <c r="C1955" s="7" t="n"/>
      <c r="D1955" s="8" t="n"/>
      <c r="E1955" s="6" t="n"/>
      <c r="F1955" s="6" t="n"/>
      <c r="G1955" s="6" t="n"/>
      <c r="H1955" s="6" t="n"/>
      <c r="I1955" s="12">
        <f>IF($B1955="","",IF(COUNTIF(Ventes_Factures!$A$6:$A$3005,$B1955)&gt;0,"OK","INCONNUE"))</f>
        <v/>
      </c>
      <c r="J1955" s="9">
        <f>IF($D1955="","",ROUND($D1955,2))</f>
        <v/>
      </c>
    </row>
    <row r="1956">
      <c r="A1956" s="6" t="n"/>
      <c r="B1956" s="6" t="n"/>
      <c r="C1956" s="7" t="n"/>
      <c r="D1956" s="8" t="n"/>
      <c r="E1956" s="6" t="n"/>
      <c r="F1956" s="6" t="n"/>
      <c r="G1956" s="6" t="n"/>
      <c r="H1956" s="6" t="n"/>
      <c r="I1956" s="12">
        <f>IF($B1956="","",IF(COUNTIF(Ventes_Factures!$A$6:$A$3005,$B1956)&gt;0,"OK","INCONNUE"))</f>
        <v/>
      </c>
      <c r="J1956" s="9">
        <f>IF($D1956="","",ROUND($D1956,2))</f>
        <v/>
      </c>
    </row>
    <row r="1957">
      <c r="A1957" s="6" t="n"/>
      <c r="B1957" s="6" t="n"/>
      <c r="C1957" s="7" t="n"/>
      <c r="D1957" s="8" t="n"/>
      <c r="E1957" s="6" t="n"/>
      <c r="F1957" s="6" t="n"/>
      <c r="G1957" s="6" t="n"/>
      <c r="H1957" s="6" t="n"/>
      <c r="I1957" s="12">
        <f>IF($B1957="","",IF(COUNTIF(Ventes_Factures!$A$6:$A$3005,$B1957)&gt;0,"OK","INCONNUE"))</f>
        <v/>
      </c>
      <c r="J1957" s="9">
        <f>IF($D1957="","",ROUND($D1957,2))</f>
        <v/>
      </c>
    </row>
    <row r="1958">
      <c r="A1958" s="6" t="n"/>
      <c r="B1958" s="6" t="n"/>
      <c r="C1958" s="7" t="n"/>
      <c r="D1958" s="8" t="n"/>
      <c r="E1958" s="6" t="n"/>
      <c r="F1958" s="6" t="n"/>
      <c r="G1958" s="6" t="n"/>
      <c r="H1958" s="6" t="n"/>
      <c r="I1958" s="12">
        <f>IF($B1958="","",IF(COUNTIF(Ventes_Factures!$A$6:$A$3005,$B1958)&gt;0,"OK","INCONNUE"))</f>
        <v/>
      </c>
      <c r="J1958" s="9">
        <f>IF($D1958="","",ROUND($D1958,2))</f>
        <v/>
      </c>
    </row>
    <row r="1959">
      <c r="A1959" s="6" t="n"/>
      <c r="B1959" s="6" t="n"/>
      <c r="C1959" s="7" t="n"/>
      <c r="D1959" s="8" t="n"/>
      <c r="E1959" s="6" t="n"/>
      <c r="F1959" s="6" t="n"/>
      <c r="G1959" s="6" t="n"/>
      <c r="H1959" s="6" t="n"/>
      <c r="I1959" s="12">
        <f>IF($B1959="","",IF(COUNTIF(Ventes_Factures!$A$6:$A$3005,$B1959)&gt;0,"OK","INCONNUE"))</f>
        <v/>
      </c>
      <c r="J1959" s="9">
        <f>IF($D1959="","",ROUND($D1959,2))</f>
        <v/>
      </c>
    </row>
    <row r="1960">
      <c r="A1960" s="6" t="n"/>
      <c r="B1960" s="6" t="n"/>
      <c r="C1960" s="7" t="n"/>
      <c r="D1960" s="8" t="n"/>
      <c r="E1960" s="6" t="n"/>
      <c r="F1960" s="6" t="n"/>
      <c r="G1960" s="6" t="n"/>
      <c r="H1960" s="6" t="n"/>
      <c r="I1960" s="12">
        <f>IF($B1960="","",IF(COUNTIF(Ventes_Factures!$A$6:$A$3005,$B1960)&gt;0,"OK","INCONNUE"))</f>
        <v/>
      </c>
      <c r="J1960" s="9">
        <f>IF($D1960="","",ROUND($D1960,2))</f>
        <v/>
      </c>
    </row>
    <row r="1961">
      <c r="A1961" s="6" t="n"/>
      <c r="B1961" s="6" t="n"/>
      <c r="C1961" s="7" t="n"/>
      <c r="D1961" s="8" t="n"/>
      <c r="E1961" s="6" t="n"/>
      <c r="F1961" s="6" t="n"/>
      <c r="G1961" s="6" t="n"/>
      <c r="H1961" s="6" t="n"/>
      <c r="I1961" s="12">
        <f>IF($B1961="","",IF(COUNTIF(Ventes_Factures!$A$6:$A$3005,$B1961)&gt;0,"OK","INCONNUE"))</f>
        <v/>
      </c>
      <c r="J1961" s="9">
        <f>IF($D1961="","",ROUND($D1961,2))</f>
        <v/>
      </c>
    </row>
    <row r="1962">
      <c r="A1962" s="6" t="n"/>
      <c r="B1962" s="6" t="n"/>
      <c r="C1962" s="7" t="n"/>
      <c r="D1962" s="8" t="n"/>
      <c r="E1962" s="6" t="n"/>
      <c r="F1962" s="6" t="n"/>
      <c r="G1962" s="6" t="n"/>
      <c r="H1962" s="6" t="n"/>
      <c r="I1962" s="12">
        <f>IF($B1962="","",IF(COUNTIF(Ventes_Factures!$A$6:$A$3005,$B1962)&gt;0,"OK","INCONNUE"))</f>
        <v/>
      </c>
      <c r="J1962" s="9">
        <f>IF($D1962="","",ROUND($D1962,2))</f>
        <v/>
      </c>
    </row>
    <row r="1963">
      <c r="A1963" s="6" t="n"/>
      <c r="B1963" s="6" t="n"/>
      <c r="C1963" s="7" t="n"/>
      <c r="D1963" s="8" t="n"/>
      <c r="E1963" s="6" t="n"/>
      <c r="F1963" s="6" t="n"/>
      <c r="G1963" s="6" t="n"/>
      <c r="H1963" s="6" t="n"/>
      <c r="I1963" s="12">
        <f>IF($B1963="","",IF(COUNTIF(Ventes_Factures!$A$6:$A$3005,$B1963)&gt;0,"OK","INCONNUE"))</f>
        <v/>
      </c>
      <c r="J1963" s="9">
        <f>IF($D1963="","",ROUND($D1963,2))</f>
        <v/>
      </c>
    </row>
    <row r="1964">
      <c r="A1964" s="6" t="n"/>
      <c r="B1964" s="6" t="n"/>
      <c r="C1964" s="7" t="n"/>
      <c r="D1964" s="8" t="n"/>
      <c r="E1964" s="6" t="n"/>
      <c r="F1964" s="6" t="n"/>
      <c r="G1964" s="6" t="n"/>
      <c r="H1964" s="6" t="n"/>
      <c r="I1964" s="12">
        <f>IF($B1964="","",IF(COUNTIF(Ventes_Factures!$A$6:$A$3005,$B1964)&gt;0,"OK","INCONNUE"))</f>
        <v/>
      </c>
      <c r="J1964" s="9">
        <f>IF($D1964="","",ROUND($D1964,2))</f>
        <v/>
      </c>
    </row>
    <row r="1965">
      <c r="A1965" s="6" t="n"/>
      <c r="B1965" s="6" t="n"/>
      <c r="C1965" s="7" t="n"/>
      <c r="D1965" s="8" t="n"/>
      <c r="E1965" s="6" t="n"/>
      <c r="F1965" s="6" t="n"/>
      <c r="G1965" s="6" t="n"/>
      <c r="H1965" s="6" t="n"/>
      <c r="I1965" s="12">
        <f>IF($B1965="","",IF(COUNTIF(Ventes_Factures!$A$6:$A$3005,$B1965)&gt;0,"OK","INCONNUE"))</f>
        <v/>
      </c>
      <c r="J1965" s="9">
        <f>IF($D1965="","",ROUND($D1965,2))</f>
        <v/>
      </c>
    </row>
    <row r="1966">
      <c r="A1966" s="6" t="n"/>
      <c r="B1966" s="6" t="n"/>
      <c r="C1966" s="7" t="n"/>
      <c r="D1966" s="8" t="n"/>
      <c r="E1966" s="6" t="n"/>
      <c r="F1966" s="6" t="n"/>
      <c r="G1966" s="6" t="n"/>
      <c r="H1966" s="6" t="n"/>
      <c r="I1966" s="12">
        <f>IF($B1966="","",IF(COUNTIF(Ventes_Factures!$A$6:$A$3005,$B1966)&gt;0,"OK","INCONNUE"))</f>
        <v/>
      </c>
      <c r="J1966" s="9">
        <f>IF($D1966="","",ROUND($D1966,2))</f>
        <v/>
      </c>
    </row>
    <row r="1967">
      <c r="A1967" s="6" t="n"/>
      <c r="B1967" s="6" t="n"/>
      <c r="C1967" s="7" t="n"/>
      <c r="D1967" s="8" t="n"/>
      <c r="E1967" s="6" t="n"/>
      <c r="F1967" s="6" t="n"/>
      <c r="G1967" s="6" t="n"/>
      <c r="H1967" s="6" t="n"/>
      <c r="I1967" s="12">
        <f>IF($B1967="","",IF(COUNTIF(Ventes_Factures!$A$6:$A$3005,$B1967)&gt;0,"OK","INCONNUE"))</f>
        <v/>
      </c>
      <c r="J1967" s="9">
        <f>IF($D1967="","",ROUND($D1967,2))</f>
        <v/>
      </c>
    </row>
    <row r="1968">
      <c r="A1968" s="6" t="n"/>
      <c r="B1968" s="6" t="n"/>
      <c r="C1968" s="7" t="n"/>
      <c r="D1968" s="8" t="n"/>
      <c r="E1968" s="6" t="n"/>
      <c r="F1968" s="6" t="n"/>
      <c r="G1968" s="6" t="n"/>
      <c r="H1968" s="6" t="n"/>
      <c r="I1968" s="12">
        <f>IF($B1968="","",IF(COUNTIF(Ventes_Factures!$A$6:$A$3005,$B1968)&gt;0,"OK","INCONNUE"))</f>
        <v/>
      </c>
      <c r="J1968" s="9">
        <f>IF($D1968="","",ROUND($D1968,2))</f>
        <v/>
      </c>
    </row>
    <row r="1969">
      <c r="A1969" s="6" t="n"/>
      <c r="B1969" s="6" t="n"/>
      <c r="C1969" s="7" t="n"/>
      <c r="D1969" s="8" t="n"/>
      <c r="E1969" s="6" t="n"/>
      <c r="F1969" s="6" t="n"/>
      <c r="G1969" s="6" t="n"/>
      <c r="H1969" s="6" t="n"/>
      <c r="I1969" s="12">
        <f>IF($B1969="","",IF(COUNTIF(Ventes_Factures!$A$6:$A$3005,$B1969)&gt;0,"OK","INCONNUE"))</f>
        <v/>
      </c>
      <c r="J1969" s="9">
        <f>IF($D1969="","",ROUND($D1969,2))</f>
        <v/>
      </c>
    </row>
    <row r="1970">
      <c r="A1970" s="6" t="n"/>
      <c r="B1970" s="6" t="n"/>
      <c r="C1970" s="7" t="n"/>
      <c r="D1970" s="8" t="n"/>
      <c r="E1970" s="6" t="n"/>
      <c r="F1970" s="6" t="n"/>
      <c r="G1970" s="6" t="n"/>
      <c r="H1970" s="6" t="n"/>
      <c r="I1970" s="12">
        <f>IF($B1970="","",IF(COUNTIF(Ventes_Factures!$A$6:$A$3005,$B1970)&gt;0,"OK","INCONNUE"))</f>
        <v/>
      </c>
      <c r="J1970" s="9">
        <f>IF($D1970="","",ROUND($D1970,2))</f>
        <v/>
      </c>
    </row>
    <row r="1971">
      <c r="A1971" s="6" t="n"/>
      <c r="B1971" s="6" t="n"/>
      <c r="C1971" s="7" t="n"/>
      <c r="D1971" s="8" t="n"/>
      <c r="E1971" s="6" t="n"/>
      <c r="F1971" s="6" t="n"/>
      <c r="G1971" s="6" t="n"/>
      <c r="H1971" s="6" t="n"/>
      <c r="I1971" s="12">
        <f>IF($B1971="","",IF(COUNTIF(Ventes_Factures!$A$6:$A$3005,$B1971)&gt;0,"OK","INCONNUE"))</f>
        <v/>
      </c>
      <c r="J1971" s="9">
        <f>IF($D1971="","",ROUND($D1971,2))</f>
        <v/>
      </c>
    </row>
    <row r="1972">
      <c r="A1972" s="6" t="n"/>
      <c r="B1972" s="6" t="n"/>
      <c r="C1972" s="7" t="n"/>
      <c r="D1972" s="8" t="n"/>
      <c r="E1972" s="6" t="n"/>
      <c r="F1972" s="6" t="n"/>
      <c r="G1972" s="6" t="n"/>
      <c r="H1972" s="6" t="n"/>
      <c r="I1972" s="12">
        <f>IF($B1972="","",IF(COUNTIF(Ventes_Factures!$A$6:$A$3005,$B1972)&gt;0,"OK","INCONNUE"))</f>
        <v/>
      </c>
      <c r="J1972" s="9">
        <f>IF($D1972="","",ROUND($D1972,2))</f>
        <v/>
      </c>
    </row>
    <row r="1973">
      <c r="A1973" s="6" t="n"/>
      <c r="B1973" s="6" t="n"/>
      <c r="C1973" s="7" t="n"/>
      <c r="D1973" s="8" t="n"/>
      <c r="E1973" s="6" t="n"/>
      <c r="F1973" s="6" t="n"/>
      <c r="G1973" s="6" t="n"/>
      <c r="H1973" s="6" t="n"/>
      <c r="I1973" s="12">
        <f>IF($B1973="","",IF(COUNTIF(Ventes_Factures!$A$6:$A$3005,$B1973)&gt;0,"OK","INCONNUE"))</f>
        <v/>
      </c>
      <c r="J1973" s="9">
        <f>IF($D1973="","",ROUND($D1973,2))</f>
        <v/>
      </c>
    </row>
    <row r="1974">
      <c r="A1974" s="6" t="n"/>
      <c r="B1974" s="6" t="n"/>
      <c r="C1974" s="7" t="n"/>
      <c r="D1974" s="8" t="n"/>
      <c r="E1974" s="6" t="n"/>
      <c r="F1974" s="6" t="n"/>
      <c r="G1974" s="6" t="n"/>
      <c r="H1974" s="6" t="n"/>
      <c r="I1974" s="12">
        <f>IF($B1974="","",IF(COUNTIF(Ventes_Factures!$A$6:$A$3005,$B1974)&gt;0,"OK","INCONNUE"))</f>
        <v/>
      </c>
      <c r="J1974" s="9">
        <f>IF($D1974="","",ROUND($D1974,2))</f>
        <v/>
      </c>
    </row>
    <row r="1975">
      <c r="A1975" s="6" t="n"/>
      <c r="B1975" s="6" t="n"/>
      <c r="C1975" s="7" t="n"/>
      <c r="D1975" s="8" t="n"/>
      <c r="E1975" s="6" t="n"/>
      <c r="F1975" s="6" t="n"/>
      <c r="G1975" s="6" t="n"/>
      <c r="H1975" s="6" t="n"/>
      <c r="I1975" s="12">
        <f>IF($B1975="","",IF(COUNTIF(Ventes_Factures!$A$6:$A$3005,$B1975)&gt;0,"OK","INCONNUE"))</f>
        <v/>
      </c>
      <c r="J1975" s="9">
        <f>IF($D1975="","",ROUND($D1975,2))</f>
        <v/>
      </c>
    </row>
    <row r="1976">
      <c r="A1976" s="6" t="n"/>
      <c r="B1976" s="6" t="n"/>
      <c r="C1976" s="7" t="n"/>
      <c r="D1976" s="8" t="n"/>
      <c r="E1976" s="6" t="n"/>
      <c r="F1976" s="6" t="n"/>
      <c r="G1976" s="6" t="n"/>
      <c r="H1976" s="6" t="n"/>
      <c r="I1976" s="12">
        <f>IF($B1976="","",IF(COUNTIF(Ventes_Factures!$A$6:$A$3005,$B1976)&gt;0,"OK","INCONNUE"))</f>
        <v/>
      </c>
      <c r="J1976" s="9">
        <f>IF($D1976="","",ROUND($D1976,2))</f>
        <v/>
      </c>
    </row>
    <row r="1977">
      <c r="A1977" s="6" t="n"/>
      <c r="B1977" s="6" t="n"/>
      <c r="C1977" s="7" t="n"/>
      <c r="D1977" s="8" t="n"/>
      <c r="E1977" s="6" t="n"/>
      <c r="F1977" s="6" t="n"/>
      <c r="G1977" s="6" t="n"/>
      <c r="H1977" s="6" t="n"/>
      <c r="I1977" s="12">
        <f>IF($B1977="","",IF(COUNTIF(Ventes_Factures!$A$6:$A$3005,$B1977)&gt;0,"OK","INCONNUE"))</f>
        <v/>
      </c>
      <c r="J1977" s="9">
        <f>IF($D1977="","",ROUND($D1977,2))</f>
        <v/>
      </c>
    </row>
    <row r="1978">
      <c r="A1978" s="6" t="n"/>
      <c r="B1978" s="6" t="n"/>
      <c r="C1978" s="7" t="n"/>
      <c r="D1978" s="8" t="n"/>
      <c r="E1978" s="6" t="n"/>
      <c r="F1978" s="6" t="n"/>
      <c r="G1978" s="6" t="n"/>
      <c r="H1978" s="6" t="n"/>
      <c r="I1978" s="12">
        <f>IF($B1978="","",IF(COUNTIF(Ventes_Factures!$A$6:$A$3005,$B1978)&gt;0,"OK","INCONNUE"))</f>
        <v/>
      </c>
      <c r="J1978" s="9">
        <f>IF($D1978="","",ROUND($D1978,2))</f>
        <v/>
      </c>
    </row>
    <row r="1979">
      <c r="A1979" s="6" t="n"/>
      <c r="B1979" s="6" t="n"/>
      <c r="C1979" s="7" t="n"/>
      <c r="D1979" s="8" t="n"/>
      <c r="E1979" s="6" t="n"/>
      <c r="F1979" s="6" t="n"/>
      <c r="G1979" s="6" t="n"/>
      <c r="H1979" s="6" t="n"/>
      <c r="I1979" s="12">
        <f>IF($B1979="","",IF(COUNTIF(Ventes_Factures!$A$6:$A$3005,$B1979)&gt;0,"OK","INCONNUE"))</f>
        <v/>
      </c>
      <c r="J1979" s="9">
        <f>IF($D1979="","",ROUND($D1979,2))</f>
        <v/>
      </c>
    </row>
    <row r="1980">
      <c r="A1980" s="6" t="n"/>
      <c r="B1980" s="6" t="n"/>
      <c r="C1980" s="7" t="n"/>
      <c r="D1980" s="8" t="n"/>
      <c r="E1980" s="6" t="n"/>
      <c r="F1980" s="6" t="n"/>
      <c r="G1980" s="6" t="n"/>
      <c r="H1980" s="6" t="n"/>
      <c r="I1980" s="12">
        <f>IF($B1980="","",IF(COUNTIF(Ventes_Factures!$A$6:$A$3005,$B1980)&gt;0,"OK","INCONNUE"))</f>
        <v/>
      </c>
      <c r="J1980" s="9">
        <f>IF($D1980="","",ROUND($D1980,2))</f>
        <v/>
      </c>
    </row>
    <row r="1981">
      <c r="A1981" s="6" t="n"/>
      <c r="B1981" s="6" t="n"/>
      <c r="C1981" s="7" t="n"/>
      <c r="D1981" s="8" t="n"/>
      <c r="E1981" s="6" t="n"/>
      <c r="F1981" s="6" t="n"/>
      <c r="G1981" s="6" t="n"/>
      <c r="H1981" s="6" t="n"/>
      <c r="I1981" s="12">
        <f>IF($B1981="","",IF(COUNTIF(Ventes_Factures!$A$6:$A$3005,$B1981)&gt;0,"OK","INCONNUE"))</f>
        <v/>
      </c>
      <c r="J1981" s="9">
        <f>IF($D1981="","",ROUND($D1981,2))</f>
        <v/>
      </c>
    </row>
    <row r="1982">
      <c r="A1982" s="6" t="n"/>
      <c r="B1982" s="6" t="n"/>
      <c r="C1982" s="7" t="n"/>
      <c r="D1982" s="8" t="n"/>
      <c r="E1982" s="6" t="n"/>
      <c r="F1982" s="6" t="n"/>
      <c r="G1982" s="6" t="n"/>
      <c r="H1982" s="6" t="n"/>
      <c r="I1982" s="12">
        <f>IF($B1982="","",IF(COUNTIF(Ventes_Factures!$A$6:$A$3005,$B1982)&gt;0,"OK","INCONNUE"))</f>
        <v/>
      </c>
      <c r="J1982" s="9">
        <f>IF($D1982="","",ROUND($D1982,2))</f>
        <v/>
      </c>
    </row>
    <row r="1983">
      <c r="A1983" s="6" t="n"/>
      <c r="B1983" s="6" t="n"/>
      <c r="C1983" s="7" t="n"/>
      <c r="D1983" s="8" t="n"/>
      <c r="E1983" s="6" t="n"/>
      <c r="F1983" s="6" t="n"/>
      <c r="G1983" s="6" t="n"/>
      <c r="H1983" s="6" t="n"/>
      <c r="I1983" s="12">
        <f>IF($B1983="","",IF(COUNTIF(Ventes_Factures!$A$6:$A$3005,$B1983)&gt;0,"OK","INCONNUE"))</f>
        <v/>
      </c>
      <c r="J1983" s="9">
        <f>IF($D1983="","",ROUND($D1983,2))</f>
        <v/>
      </c>
    </row>
    <row r="1984">
      <c r="A1984" s="6" t="n"/>
      <c r="B1984" s="6" t="n"/>
      <c r="C1984" s="7" t="n"/>
      <c r="D1984" s="8" t="n"/>
      <c r="E1984" s="6" t="n"/>
      <c r="F1984" s="6" t="n"/>
      <c r="G1984" s="6" t="n"/>
      <c r="H1984" s="6" t="n"/>
      <c r="I1984" s="12">
        <f>IF($B1984="","",IF(COUNTIF(Ventes_Factures!$A$6:$A$3005,$B1984)&gt;0,"OK","INCONNUE"))</f>
        <v/>
      </c>
      <c r="J1984" s="9">
        <f>IF($D1984="","",ROUND($D1984,2))</f>
        <v/>
      </c>
    </row>
    <row r="1985">
      <c r="A1985" s="6" t="n"/>
      <c r="B1985" s="6" t="n"/>
      <c r="C1985" s="7" t="n"/>
      <c r="D1985" s="8" t="n"/>
      <c r="E1985" s="6" t="n"/>
      <c r="F1985" s="6" t="n"/>
      <c r="G1985" s="6" t="n"/>
      <c r="H1985" s="6" t="n"/>
      <c r="I1985" s="12">
        <f>IF($B1985="","",IF(COUNTIF(Ventes_Factures!$A$6:$A$3005,$B1985)&gt;0,"OK","INCONNUE"))</f>
        <v/>
      </c>
      <c r="J1985" s="9">
        <f>IF($D1985="","",ROUND($D1985,2))</f>
        <v/>
      </c>
    </row>
    <row r="1986">
      <c r="A1986" s="6" t="n"/>
      <c r="B1986" s="6" t="n"/>
      <c r="C1986" s="7" t="n"/>
      <c r="D1986" s="8" t="n"/>
      <c r="E1986" s="6" t="n"/>
      <c r="F1986" s="6" t="n"/>
      <c r="G1986" s="6" t="n"/>
      <c r="H1986" s="6" t="n"/>
      <c r="I1986" s="12">
        <f>IF($B1986="","",IF(COUNTIF(Ventes_Factures!$A$6:$A$3005,$B1986)&gt;0,"OK","INCONNUE"))</f>
        <v/>
      </c>
      <c r="J1986" s="9">
        <f>IF($D1986="","",ROUND($D1986,2))</f>
        <v/>
      </c>
    </row>
    <row r="1987">
      <c r="A1987" s="6" t="n"/>
      <c r="B1987" s="6" t="n"/>
      <c r="C1987" s="7" t="n"/>
      <c r="D1987" s="8" t="n"/>
      <c r="E1987" s="6" t="n"/>
      <c r="F1987" s="6" t="n"/>
      <c r="G1987" s="6" t="n"/>
      <c r="H1987" s="6" t="n"/>
      <c r="I1987" s="12">
        <f>IF($B1987="","",IF(COUNTIF(Ventes_Factures!$A$6:$A$3005,$B1987)&gt;0,"OK","INCONNUE"))</f>
        <v/>
      </c>
      <c r="J1987" s="9">
        <f>IF($D1987="","",ROUND($D1987,2))</f>
        <v/>
      </c>
    </row>
    <row r="1988">
      <c r="A1988" s="6" t="n"/>
      <c r="B1988" s="6" t="n"/>
      <c r="C1988" s="7" t="n"/>
      <c r="D1988" s="8" t="n"/>
      <c r="E1988" s="6" t="n"/>
      <c r="F1988" s="6" t="n"/>
      <c r="G1988" s="6" t="n"/>
      <c r="H1988" s="6" t="n"/>
      <c r="I1988" s="12">
        <f>IF($B1988="","",IF(COUNTIF(Ventes_Factures!$A$6:$A$3005,$B1988)&gt;0,"OK","INCONNUE"))</f>
        <v/>
      </c>
      <c r="J1988" s="9">
        <f>IF($D1988="","",ROUND($D1988,2))</f>
        <v/>
      </c>
    </row>
    <row r="1989">
      <c r="A1989" s="6" t="n"/>
      <c r="B1989" s="6" t="n"/>
      <c r="C1989" s="7" t="n"/>
      <c r="D1989" s="8" t="n"/>
      <c r="E1989" s="6" t="n"/>
      <c r="F1989" s="6" t="n"/>
      <c r="G1989" s="6" t="n"/>
      <c r="H1989" s="6" t="n"/>
      <c r="I1989" s="12">
        <f>IF($B1989="","",IF(COUNTIF(Ventes_Factures!$A$6:$A$3005,$B1989)&gt;0,"OK","INCONNUE"))</f>
        <v/>
      </c>
      <c r="J1989" s="9">
        <f>IF($D1989="","",ROUND($D1989,2))</f>
        <v/>
      </c>
    </row>
    <row r="1990">
      <c r="A1990" s="6" t="n"/>
      <c r="B1990" s="6" t="n"/>
      <c r="C1990" s="7" t="n"/>
      <c r="D1990" s="8" t="n"/>
      <c r="E1990" s="6" t="n"/>
      <c r="F1990" s="6" t="n"/>
      <c r="G1990" s="6" t="n"/>
      <c r="H1990" s="6" t="n"/>
      <c r="I1990" s="12">
        <f>IF($B1990="","",IF(COUNTIF(Ventes_Factures!$A$6:$A$3005,$B1990)&gt;0,"OK","INCONNUE"))</f>
        <v/>
      </c>
      <c r="J1990" s="9">
        <f>IF($D1990="","",ROUND($D1990,2))</f>
        <v/>
      </c>
    </row>
    <row r="1991">
      <c r="A1991" s="6" t="n"/>
      <c r="B1991" s="6" t="n"/>
      <c r="C1991" s="7" t="n"/>
      <c r="D1991" s="8" t="n"/>
      <c r="E1991" s="6" t="n"/>
      <c r="F1991" s="6" t="n"/>
      <c r="G1991" s="6" t="n"/>
      <c r="H1991" s="6" t="n"/>
      <c r="I1991" s="12">
        <f>IF($B1991="","",IF(COUNTIF(Ventes_Factures!$A$6:$A$3005,$B1991)&gt;0,"OK","INCONNUE"))</f>
        <v/>
      </c>
      <c r="J1991" s="9">
        <f>IF($D1991="","",ROUND($D1991,2))</f>
        <v/>
      </c>
    </row>
    <row r="1992">
      <c r="A1992" s="6" t="n"/>
      <c r="B1992" s="6" t="n"/>
      <c r="C1992" s="7" t="n"/>
      <c r="D1992" s="8" t="n"/>
      <c r="E1992" s="6" t="n"/>
      <c r="F1992" s="6" t="n"/>
      <c r="G1992" s="6" t="n"/>
      <c r="H1992" s="6" t="n"/>
      <c r="I1992" s="12">
        <f>IF($B1992="","",IF(COUNTIF(Ventes_Factures!$A$6:$A$3005,$B1992)&gt;0,"OK","INCONNUE"))</f>
        <v/>
      </c>
      <c r="J1992" s="9">
        <f>IF($D1992="","",ROUND($D1992,2))</f>
        <v/>
      </c>
    </row>
    <row r="1993">
      <c r="A1993" s="6" t="n"/>
      <c r="B1993" s="6" t="n"/>
      <c r="C1993" s="7" t="n"/>
      <c r="D1993" s="8" t="n"/>
      <c r="E1993" s="6" t="n"/>
      <c r="F1993" s="6" t="n"/>
      <c r="G1993" s="6" t="n"/>
      <c r="H1993" s="6" t="n"/>
      <c r="I1993" s="12">
        <f>IF($B1993="","",IF(COUNTIF(Ventes_Factures!$A$6:$A$3005,$B1993)&gt;0,"OK","INCONNUE"))</f>
        <v/>
      </c>
      <c r="J1993" s="9">
        <f>IF($D1993="","",ROUND($D1993,2))</f>
        <v/>
      </c>
    </row>
    <row r="1994">
      <c r="A1994" s="6" t="n"/>
      <c r="B1994" s="6" t="n"/>
      <c r="C1994" s="7" t="n"/>
      <c r="D1994" s="8" t="n"/>
      <c r="E1994" s="6" t="n"/>
      <c r="F1994" s="6" t="n"/>
      <c r="G1994" s="6" t="n"/>
      <c r="H1994" s="6" t="n"/>
      <c r="I1994" s="12">
        <f>IF($B1994="","",IF(COUNTIF(Ventes_Factures!$A$6:$A$3005,$B1994)&gt;0,"OK","INCONNUE"))</f>
        <v/>
      </c>
      <c r="J1994" s="9">
        <f>IF($D1994="","",ROUND($D1994,2))</f>
        <v/>
      </c>
    </row>
    <row r="1995">
      <c r="A1995" s="6" t="n"/>
      <c r="B1995" s="6" t="n"/>
      <c r="C1995" s="7" t="n"/>
      <c r="D1995" s="8" t="n"/>
      <c r="E1995" s="6" t="n"/>
      <c r="F1995" s="6" t="n"/>
      <c r="G1995" s="6" t="n"/>
      <c r="H1995" s="6" t="n"/>
      <c r="I1995" s="12">
        <f>IF($B1995="","",IF(COUNTIF(Ventes_Factures!$A$6:$A$3005,$B1995)&gt;0,"OK","INCONNUE"))</f>
        <v/>
      </c>
      <c r="J1995" s="9">
        <f>IF($D1995="","",ROUND($D1995,2))</f>
        <v/>
      </c>
    </row>
    <row r="1996">
      <c r="A1996" s="6" t="n"/>
      <c r="B1996" s="6" t="n"/>
      <c r="C1996" s="7" t="n"/>
      <c r="D1996" s="8" t="n"/>
      <c r="E1996" s="6" t="n"/>
      <c r="F1996" s="6" t="n"/>
      <c r="G1996" s="6" t="n"/>
      <c r="H1996" s="6" t="n"/>
      <c r="I1996" s="12">
        <f>IF($B1996="","",IF(COUNTIF(Ventes_Factures!$A$6:$A$3005,$B1996)&gt;0,"OK","INCONNUE"))</f>
        <v/>
      </c>
      <c r="J1996" s="9">
        <f>IF($D1996="","",ROUND($D1996,2))</f>
        <v/>
      </c>
    </row>
    <row r="1997">
      <c r="A1997" s="6" t="n"/>
      <c r="B1997" s="6" t="n"/>
      <c r="C1997" s="7" t="n"/>
      <c r="D1997" s="8" t="n"/>
      <c r="E1997" s="6" t="n"/>
      <c r="F1997" s="6" t="n"/>
      <c r="G1997" s="6" t="n"/>
      <c r="H1997" s="6" t="n"/>
      <c r="I1997" s="12">
        <f>IF($B1997="","",IF(COUNTIF(Ventes_Factures!$A$6:$A$3005,$B1997)&gt;0,"OK","INCONNUE"))</f>
        <v/>
      </c>
      <c r="J1997" s="9">
        <f>IF($D1997="","",ROUND($D1997,2))</f>
        <v/>
      </c>
    </row>
    <row r="1998">
      <c r="A1998" s="6" t="n"/>
      <c r="B1998" s="6" t="n"/>
      <c r="C1998" s="7" t="n"/>
      <c r="D1998" s="8" t="n"/>
      <c r="E1998" s="6" t="n"/>
      <c r="F1998" s="6" t="n"/>
      <c r="G1998" s="6" t="n"/>
      <c r="H1998" s="6" t="n"/>
      <c r="I1998" s="12">
        <f>IF($B1998="","",IF(COUNTIF(Ventes_Factures!$A$6:$A$3005,$B1998)&gt;0,"OK","INCONNUE"))</f>
        <v/>
      </c>
      <c r="J1998" s="9">
        <f>IF($D1998="","",ROUND($D1998,2))</f>
        <v/>
      </c>
    </row>
    <row r="1999">
      <c r="A1999" s="6" t="n"/>
      <c r="B1999" s="6" t="n"/>
      <c r="C1999" s="7" t="n"/>
      <c r="D1999" s="8" t="n"/>
      <c r="E1999" s="6" t="n"/>
      <c r="F1999" s="6" t="n"/>
      <c r="G1999" s="6" t="n"/>
      <c r="H1999" s="6" t="n"/>
      <c r="I1999" s="12">
        <f>IF($B1999="","",IF(COUNTIF(Ventes_Factures!$A$6:$A$3005,$B1999)&gt;0,"OK","INCONNUE"))</f>
        <v/>
      </c>
      <c r="J1999" s="9">
        <f>IF($D1999="","",ROUND($D1999,2))</f>
        <v/>
      </c>
    </row>
    <row r="2000">
      <c r="A2000" s="6" t="n"/>
      <c r="B2000" s="6" t="n"/>
      <c r="C2000" s="7" t="n"/>
      <c r="D2000" s="8" t="n"/>
      <c r="E2000" s="6" t="n"/>
      <c r="F2000" s="6" t="n"/>
      <c r="G2000" s="6" t="n"/>
      <c r="H2000" s="6" t="n"/>
      <c r="I2000" s="12">
        <f>IF($B2000="","",IF(COUNTIF(Ventes_Factures!$A$6:$A$3005,$B2000)&gt;0,"OK","INCONNUE"))</f>
        <v/>
      </c>
      <c r="J2000" s="9">
        <f>IF($D2000="","",ROUND($D2000,2))</f>
        <v/>
      </c>
    </row>
    <row r="2001">
      <c r="A2001" s="6" t="n"/>
      <c r="B2001" s="6" t="n"/>
      <c r="C2001" s="7" t="n"/>
      <c r="D2001" s="8" t="n"/>
      <c r="E2001" s="6" t="n"/>
      <c r="F2001" s="6" t="n"/>
      <c r="G2001" s="6" t="n"/>
      <c r="H2001" s="6" t="n"/>
      <c r="I2001" s="12">
        <f>IF($B2001="","",IF(COUNTIF(Ventes_Factures!$A$6:$A$3005,$B2001)&gt;0,"OK","INCONNUE"))</f>
        <v/>
      </c>
      <c r="J2001" s="9">
        <f>IF($D2001="","",ROUND($D2001,2))</f>
        <v/>
      </c>
    </row>
    <row r="2002">
      <c r="A2002" s="6" t="n"/>
      <c r="B2002" s="6" t="n"/>
      <c r="C2002" s="7" t="n"/>
      <c r="D2002" s="8" t="n"/>
      <c r="E2002" s="6" t="n"/>
      <c r="F2002" s="6" t="n"/>
      <c r="G2002" s="6" t="n"/>
      <c r="H2002" s="6" t="n"/>
      <c r="I2002" s="12">
        <f>IF($B2002="","",IF(COUNTIF(Ventes_Factures!$A$6:$A$3005,$B2002)&gt;0,"OK","INCONNUE"))</f>
        <v/>
      </c>
      <c r="J2002" s="9">
        <f>IF($D2002="","",ROUND($D2002,2))</f>
        <v/>
      </c>
    </row>
    <row r="2003">
      <c r="A2003" s="6" t="n"/>
      <c r="B2003" s="6" t="n"/>
      <c r="C2003" s="7" t="n"/>
      <c r="D2003" s="8" t="n"/>
      <c r="E2003" s="6" t="n"/>
      <c r="F2003" s="6" t="n"/>
      <c r="G2003" s="6" t="n"/>
      <c r="H2003" s="6" t="n"/>
      <c r="I2003" s="12">
        <f>IF($B2003="","",IF(COUNTIF(Ventes_Factures!$A$6:$A$3005,$B2003)&gt;0,"OK","INCONNUE"))</f>
        <v/>
      </c>
      <c r="J2003" s="9">
        <f>IF($D2003="","",ROUND($D2003,2))</f>
        <v/>
      </c>
    </row>
    <row r="2004">
      <c r="A2004" s="6" t="n"/>
      <c r="B2004" s="6" t="n"/>
      <c r="C2004" s="7" t="n"/>
      <c r="D2004" s="8" t="n"/>
      <c r="E2004" s="6" t="n"/>
      <c r="F2004" s="6" t="n"/>
      <c r="G2004" s="6" t="n"/>
      <c r="H2004" s="6" t="n"/>
      <c r="I2004" s="12">
        <f>IF($B2004="","",IF(COUNTIF(Ventes_Factures!$A$6:$A$3005,$B2004)&gt;0,"OK","INCONNUE"))</f>
        <v/>
      </c>
      <c r="J2004" s="9">
        <f>IF($D2004="","",ROUND($D2004,2))</f>
        <v/>
      </c>
    </row>
    <row r="2005">
      <c r="A2005" s="6" t="n"/>
      <c r="B2005" s="6" t="n"/>
      <c r="C2005" s="7" t="n"/>
      <c r="D2005" s="8" t="n"/>
      <c r="E2005" s="6" t="n"/>
      <c r="F2005" s="6" t="n"/>
      <c r="G2005" s="6" t="n"/>
      <c r="H2005" s="6" t="n"/>
      <c r="I2005" s="12">
        <f>IF($B2005="","",IF(COUNTIF(Ventes_Factures!$A$6:$A$3005,$B2005)&gt;0,"OK","INCONNUE"))</f>
        <v/>
      </c>
      <c r="J2005" s="9">
        <f>IF($D2005="","",ROUND($D2005,2))</f>
        <v/>
      </c>
    </row>
    <row r="2006">
      <c r="A2006" s="6" t="n"/>
      <c r="B2006" s="6" t="n"/>
      <c r="C2006" s="7" t="n"/>
      <c r="D2006" s="8" t="n"/>
      <c r="E2006" s="6" t="n"/>
      <c r="F2006" s="6" t="n"/>
      <c r="G2006" s="6" t="n"/>
      <c r="H2006" s="6" t="n"/>
      <c r="I2006" s="12">
        <f>IF($B2006="","",IF(COUNTIF(Ventes_Factures!$A$6:$A$3005,$B2006)&gt;0,"OK","INCONNUE"))</f>
        <v/>
      </c>
      <c r="J2006" s="9">
        <f>IF($D2006="","",ROUND($D2006,2))</f>
        <v/>
      </c>
    </row>
    <row r="2007">
      <c r="A2007" s="6" t="n"/>
      <c r="B2007" s="6" t="n"/>
      <c r="C2007" s="7" t="n"/>
      <c r="D2007" s="8" t="n"/>
      <c r="E2007" s="6" t="n"/>
      <c r="F2007" s="6" t="n"/>
      <c r="G2007" s="6" t="n"/>
      <c r="H2007" s="6" t="n"/>
      <c r="I2007" s="12">
        <f>IF($B2007="","",IF(COUNTIF(Ventes_Factures!$A$6:$A$3005,$B2007)&gt;0,"OK","INCONNUE"))</f>
        <v/>
      </c>
      <c r="J2007" s="9">
        <f>IF($D2007="","",ROUND($D2007,2))</f>
        <v/>
      </c>
    </row>
    <row r="2008">
      <c r="A2008" s="6" t="n"/>
      <c r="B2008" s="6" t="n"/>
      <c r="C2008" s="7" t="n"/>
      <c r="D2008" s="8" t="n"/>
      <c r="E2008" s="6" t="n"/>
      <c r="F2008" s="6" t="n"/>
      <c r="G2008" s="6" t="n"/>
      <c r="H2008" s="6" t="n"/>
      <c r="I2008" s="12">
        <f>IF($B2008="","",IF(COUNTIF(Ventes_Factures!$A$6:$A$3005,$B2008)&gt;0,"OK","INCONNUE"))</f>
        <v/>
      </c>
      <c r="J2008" s="9">
        <f>IF($D2008="","",ROUND($D2008,2))</f>
        <v/>
      </c>
    </row>
    <row r="2009">
      <c r="A2009" s="6" t="n"/>
      <c r="B2009" s="6" t="n"/>
      <c r="C2009" s="7" t="n"/>
      <c r="D2009" s="8" t="n"/>
      <c r="E2009" s="6" t="n"/>
      <c r="F2009" s="6" t="n"/>
      <c r="G2009" s="6" t="n"/>
      <c r="H2009" s="6" t="n"/>
      <c r="I2009" s="12">
        <f>IF($B2009="","",IF(COUNTIF(Ventes_Factures!$A$6:$A$3005,$B2009)&gt;0,"OK","INCONNUE"))</f>
        <v/>
      </c>
      <c r="J2009" s="9">
        <f>IF($D2009="","",ROUND($D2009,2))</f>
        <v/>
      </c>
    </row>
    <row r="2010">
      <c r="A2010" s="6" t="n"/>
      <c r="B2010" s="6" t="n"/>
      <c r="C2010" s="7" t="n"/>
      <c r="D2010" s="8" t="n"/>
      <c r="E2010" s="6" t="n"/>
      <c r="F2010" s="6" t="n"/>
      <c r="G2010" s="6" t="n"/>
      <c r="H2010" s="6" t="n"/>
      <c r="I2010" s="12">
        <f>IF($B2010="","",IF(COUNTIF(Ventes_Factures!$A$6:$A$3005,$B2010)&gt;0,"OK","INCONNUE"))</f>
        <v/>
      </c>
      <c r="J2010" s="9">
        <f>IF($D2010="","",ROUND($D2010,2))</f>
        <v/>
      </c>
    </row>
    <row r="2011">
      <c r="A2011" s="6" t="n"/>
      <c r="B2011" s="6" t="n"/>
      <c r="C2011" s="7" t="n"/>
      <c r="D2011" s="8" t="n"/>
      <c r="E2011" s="6" t="n"/>
      <c r="F2011" s="6" t="n"/>
      <c r="G2011" s="6" t="n"/>
      <c r="H2011" s="6" t="n"/>
      <c r="I2011" s="12">
        <f>IF($B2011="","",IF(COUNTIF(Ventes_Factures!$A$6:$A$3005,$B2011)&gt;0,"OK","INCONNUE"))</f>
        <v/>
      </c>
      <c r="J2011" s="9">
        <f>IF($D2011="","",ROUND($D2011,2))</f>
        <v/>
      </c>
    </row>
    <row r="2012">
      <c r="A2012" s="6" t="n"/>
      <c r="B2012" s="6" t="n"/>
      <c r="C2012" s="7" t="n"/>
      <c r="D2012" s="8" t="n"/>
      <c r="E2012" s="6" t="n"/>
      <c r="F2012" s="6" t="n"/>
      <c r="G2012" s="6" t="n"/>
      <c r="H2012" s="6" t="n"/>
      <c r="I2012" s="12">
        <f>IF($B2012="","",IF(COUNTIF(Ventes_Factures!$A$6:$A$3005,$B2012)&gt;0,"OK","INCONNUE"))</f>
        <v/>
      </c>
      <c r="J2012" s="9">
        <f>IF($D2012="","",ROUND($D2012,2))</f>
        <v/>
      </c>
    </row>
    <row r="2013">
      <c r="A2013" s="6" t="n"/>
      <c r="B2013" s="6" t="n"/>
      <c r="C2013" s="7" t="n"/>
      <c r="D2013" s="8" t="n"/>
      <c r="E2013" s="6" t="n"/>
      <c r="F2013" s="6" t="n"/>
      <c r="G2013" s="6" t="n"/>
      <c r="H2013" s="6" t="n"/>
      <c r="I2013" s="12">
        <f>IF($B2013="","",IF(COUNTIF(Ventes_Factures!$A$6:$A$3005,$B2013)&gt;0,"OK","INCONNUE"))</f>
        <v/>
      </c>
      <c r="J2013" s="9">
        <f>IF($D2013="","",ROUND($D2013,2))</f>
        <v/>
      </c>
    </row>
    <row r="2014">
      <c r="A2014" s="6" t="n"/>
      <c r="B2014" s="6" t="n"/>
      <c r="C2014" s="7" t="n"/>
      <c r="D2014" s="8" t="n"/>
      <c r="E2014" s="6" t="n"/>
      <c r="F2014" s="6" t="n"/>
      <c r="G2014" s="6" t="n"/>
      <c r="H2014" s="6" t="n"/>
      <c r="I2014" s="12">
        <f>IF($B2014="","",IF(COUNTIF(Ventes_Factures!$A$6:$A$3005,$B2014)&gt;0,"OK","INCONNUE"))</f>
        <v/>
      </c>
      <c r="J2014" s="9">
        <f>IF($D2014="","",ROUND($D2014,2))</f>
        <v/>
      </c>
    </row>
    <row r="2015">
      <c r="A2015" s="6" t="n"/>
      <c r="B2015" s="6" t="n"/>
      <c r="C2015" s="7" t="n"/>
      <c r="D2015" s="8" t="n"/>
      <c r="E2015" s="6" t="n"/>
      <c r="F2015" s="6" t="n"/>
      <c r="G2015" s="6" t="n"/>
      <c r="H2015" s="6" t="n"/>
      <c r="I2015" s="12">
        <f>IF($B2015="","",IF(COUNTIF(Ventes_Factures!$A$6:$A$3005,$B2015)&gt;0,"OK","INCONNUE"))</f>
        <v/>
      </c>
      <c r="J2015" s="9">
        <f>IF($D2015="","",ROUND($D2015,2))</f>
        <v/>
      </c>
    </row>
    <row r="2016">
      <c r="A2016" s="6" t="n"/>
      <c r="B2016" s="6" t="n"/>
      <c r="C2016" s="7" t="n"/>
      <c r="D2016" s="8" t="n"/>
      <c r="E2016" s="6" t="n"/>
      <c r="F2016" s="6" t="n"/>
      <c r="G2016" s="6" t="n"/>
      <c r="H2016" s="6" t="n"/>
      <c r="I2016" s="12">
        <f>IF($B2016="","",IF(COUNTIF(Ventes_Factures!$A$6:$A$3005,$B2016)&gt;0,"OK","INCONNUE"))</f>
        <v/>
      </c>
      <c r="J2016" s="9">
        <f>IF($D2016="","",ROUND($D2016,2))</f>
        <v/>
      </c>
    </row>
    <row r="2017">
      <c r="A2017" s="6" t="n"/>
      <c r="B2017" s="6" t="n"/>
      <c r="C2017" s="7" t="n"/>
      <c r="D2017" s="8" t="n"/>
      <c r="E2017" s="6" t="n"/>
      <c r="F2017" s="6" t="n"/>
      <c r="G2017" s="6" t="n"/>
      <c r="H2017" s="6" t="n"/>
      <c r="I2017" s="12">
        <f>IF($B2017="","",IF(COUNTIF(Ventes_Factures!$A$6:$A$3005,$B2017)&gt;0,"OK","INCONNUE"))</f>
        <v/>
      </c>
      <c r="J2017" s="9">
        <f>IF($D2017="","",ROUND($D2017,2))</f>
        <v/>
      </c>
    </row>
    <row r="2018">
      <c r="A2018" s="6" t="n"/>
      <c r="B2018" s="6" t="n"/>
      <c r="C2018" s="7" t="n"/>
      <c r="D2018" s="8" t="n"/>
      <c r="E2018" s="6" t="n"/>
      <c r="F2018" s="6" t="n"/>
      <c r="G2018" s="6" t="n"/>
      <c r="H2018" s="6" t="n"/>
      <c r="I2018" s="12">
        <f>IF($B2018="","",IF(COUNTIF(Ventes_Factures!$A$6:$A$3005,$B2018)&gt;0,"OK","INCONNUE"))</f>
        <v/>
      </c>
      <c r="J2018" s="9">
        <f>IF($D2018="","",ROUND($D2018,2))</f>
        <v/>
      </c>
    </row>
    <row r="2019">
      <c r="A2019" s="6" t="n"/>
      <c r="B2019" s="6" t="n"/>
      <c r="C2019" s="7" t="n"/>
      <c r="D2019" s="8" t="n"/>
      <c r="E2019" s="6" t="n"/>
      <c r="F2019" s="6" t="n"/>
      <c r="G2019" s="6" t="n"/>
      <c r="H2019" s="6" t="n"/>
      <c r="I2019" s="12">
        <f>IF($B2019="","",IF(COUNTIF(Ventes_Factures!$A$6:$A$3005,$B2019)&gt;0,"OK","INCONNUE"))</f>
        <v/>
      </c>
      <c r="J2019" s="9">
        <f>IF($D2019="","",ROUND($D2019,2))</f>
        <v/>
      </c>
    </row>
    <row r="2020">
      <c r="A2020" s="6" t="n"/>
      <c r="B2020" s="6" t="n"/>
      <c r="C2020" s="7" t="n"/>
      <c r="D2020" s="8" t="n"/>
      <c r="E2020" s="6" t="n"/>
      <c r="F2020" s="6" t="n"/>
      <c r="G2020" s="6" t="n"/>
      <c r="H2020" s="6" t="n"/>
      <c r="I2020" s="12">
        <f>IF($B2020="","",IF(COUNTIF(Ventes_Factures!$A$6:$A$3005,$B2020)&gt;0,"OK","INCONNUE"))</f>
        <v/>
      </c>
      <c r="J2020" s="9">
        <f>IF($D2020="","",ROUND($D2020,2))</f>
        <v/>
      </c>
    </row>
    <row r="2021">
      <c r="A2021" s="6" t="n"/>
      <c r="B2021" s="6" t="n"/>
      <c r="C2021" s="7" t="n"/>
      <c r="D2021" s="8" t="n"/>
      <c r="E2021" s="6" t="n"/>
      <c r="F2021" s="6" t="n"/>
      <c r="G2021" s="6" t="n"/>
      <c r="H2021" s="6" t="n"/>
      <c r="I2021" s="12">
        <f>IF($B2021="","",IF(COUNTIF(Ventes_Factures!$A$6:$A$3005,$B2021)&gt;0,"OK","INCONNUE"))</f>
        <v/>
      </c>
      <c r="J2021" s="9">
        <f>IF($D2021="","",ROUND($D2021,2))</f>
        <v/>
      </c>
    </row>
    <row r="2022">
      <c r="A2022" s="6" t="n"/>
      <c r="B2022" s="6" t="n"/>
      <c r="C2022" s="7" t="n"/>
      <c r="D2022" s="8" t="n"/>
      <c r="E2022" s="6" t="n"/>
      <c r="F2022" s="6" t="n"/>
      <c r="G2022" s="6" t="n"/>
      <c r="H2022" s="6" t="n"/>
      <c r="I2022" s="12">
        <f>IF($B2022="","",IF(COUNTIF(Ventes_Factures!$A$6:$A$3005,$B2022)&gt;0,"OK","INCONNUE"))</f>
        <v/>
      </c>
      <c r="J2022" s="9">
        <f>IF($D2022="","",ROUND($D2022,2))</f>
        <v/>
      </c>
    </row>
    <row r="2023">
      <c r="A2023" s="6" t="n"/>
      <c r="B2023" s="6" t="n"/>
      <c r="C2023" s="7" t="n"/>
      <c r="D2023" s="8" t="n"/>
      <c r="E2023" s="6" t="n"/>
      <c r="F2023" s="6" t="n"/>
      <c r="G2023" s="6" t="n"/>
      <c r="H2023" s="6" t="n"/>
      <c r="I2023" s="12">
        <f>IF($B2023="","",IF(COUNTIF(Ventes_Factures!$A$6:$A$3005,$B2023)&gt;0,"OK","INCONNUE"))</f>
        <v/>
      </c>
      <c r="J2023" s="9">
        <f>IF($D2023="","",ROUND($D2023,2))</f>
        <v/>
      </c>
    </row>
    <row r="2024">
      <c r="A2024" s="6" t="n"/>
      <c r="B2024" s="6" t="n"/>
      <c r="C2024" s="7" t="n"/>
      <c r="D2024" s="8" t="n"/>
      <c r="E2024" s="6" t="n"/>
      <c r="F2024" s="6" t="n"/>
      <c r="G2024" s="6" t="n"/>
      <c r="H2024" s="6" t="n"/>
      <c r="I2024" s="12">
        <f>IF($B2024="","",IF(COUNTIF(Ventes_Factures!$A$6:$A$3005,$B2024)&gt;0,"OK","INCONNUE"))</f>
        <v/>
      </c>
      <c r="J2024" s="9">
        <f>IF($D2024="","",ROUND($D2024,2))</f>
        <v/>
      </c>
    </row>
    <row r="2025">
      <c r="A2025" s="6" t="n"/>
      <c r="B2025" s="6" t="n"/>
      <c r="C2025" s="7" t="n"/>
      <c r="D2025" s="8" t="n"/>
      <c r="E2025" s="6" t="n"/>
      <c r="F2025" s="6" t="n"/>
      <c r="G2025" s="6" t="n"/>
      <c r="H2025" s="6" t="n"/>
      <c r="I2025" s="12">
        <f>IF($B2025="","",IF(COUNTIF(Ventes_Factures!$A$6:$A$3005,$B2025)&gt;0,"OK","INCONNUE"))</f>
        <v/>
      </c>
      <c r="J2025" s="9">
        <f>IF($D2025="","",ROUND($D2025,2))</f>
        <v/>
      </c>
    </row>
    <row r="2026">
      <c r="A2026" s="6" t="n"/>
      <c r="B2026" s="6" t="n"/>
      <c r="C2026" s="7" t="n"/>
      <c r="D2026" s="8" t="n"/>
      <c r="E2026" s="6" t="n"/>
      <c r="F2026" s="6" t="n"/>
      <c r="G2026" s="6" t="n"/>
      <c r="H2026" s="6" t="n"/>
      <c r="I2026" s="12">
        <f>IF($B2026="","",IF(COUNTIF(Ventes_Factures!$A$6:$A$3005,$B2026)&gt;0,"OK","INCONNUE"))</f>
        <v/>
      </c>
      <c r="J2026" s="9">
        <f>IF($D2026="","",ROUND($D2026,2))</f>
        <v/>
      </c>
    </row>
    <row r="2027">
      <c r="A2027" s="6" t="n"/>
      <c r="B2027" s="6" t="n"/>
      <c r="C2027" s="7" t="n"/>
      <c r="D2027" s="8" t="n"/>
      <c r="E2027" s="6" t="n"/>
      <c r="F2027" s="6" t="n"/>
      <c r="G2027" s="6" t="n"/>
      <c r="H2027" s="6" t="n"/>
      <c r="I2027" s="12">
        <f>IF($B2027="","",IF(COUNTIF(Ventes_Factures!$A$6:$A$3005,$B2027)&gt;0,"OK","INCONNUE"))</f>
        <v/>
      </c>
      <c r="J2027" s="9">
        <f>IF($D2027="","",ROUND($D2027,2))</f>
        <v/>
      </c>
    </row>
    <row r="2028">
      <c r="A2028" s="6" t="n"/>
      <c r="B2028" s="6" t="n"/>
      <c r="C2028" s="7" t="n"/>
      <c r="D2028" s="8" t="n"/>
      <c r="E2028" s="6" t="n"/>
      <c r="F2028" s="6" t="n"/>
      <c r="G2028" s="6" t="n"/>
      <c r="H2028" s="6" t="n"/>
      <c r="I2028" s="12">
        <f>IF($B2028="","",IF(COUNTIF(Ventes_Factures!$A$6:$A$3005,$B2028)&gt;0,"OK","INCONNUE"))</f>
        <v/>
      </c>
      <c r="J2028" s="9">
        <f>IF($D2028="","",ROUND($D2028,2))</f>
        <v/>
      </c>
    </row>
    <row r="2029">
      <c r="A2029" s="6" t="n"/>
      <c r="B2029" s="6" t="n"/>
      <c r="C2029" s="7" t="n"/>
      <c r="D2029" s="8" t="n"/>
      <c r="E2029" s="6" t="n"/>
      <c r="F2029" s="6" t="n"/>
      <c r="G2029" s="6" t="n"/>
      <c r="H2029" s="6" t="n"/>
      <c r="I2029" s="12">
        <f>IF($B2029="","",IF(COUNTIF(Ventes_Factures!$A$6:$A$3005,$B2029)&gt;0,"OK","INCONNUE"))</f>
        <v/>
      </c>
      <c r="J2029" s="9">
        <f>IF($D2029="","",ROUND($D2029,2))</f>
        <v/>
      </c>
    </row>
    <row r="2030">
      <c r="A2030" s="6" t="n"/>
      <c r="B2030" s="6" t="n"/>
      <c r="C2030" s="7" t="n"/>
      <c r="D2030" s="8" t="n"/>
      <c r="E2030" s="6" t="n"/>
      <c r="F2030" s="6" t="n"/>
      <c r="G2030" s="6" t="n"/>
      <c r="H2030" s="6" t="n"/>
      <c r="I2030" s="12">
        <f>IF($B2030="","",IF(COUNTIF(Ventes_Factures!$A$6:$A$3005,$B2030)&gt;0,"OK","INCONNUE"))</f>
        <v/>
      </c>
      <c r="J2030" s="9">
        <f>IF($D2030="","",ROUND($D2030,2))</f>
        <v/>
      </c>
    </row>
    <row r="2031">
      <c r="A2031" s="6" t="n"/>
      <c r="B2031" s="6" t="n"/>
      <c r="C2031" s="7" t="n"/>
      <c r="D2031" s="8" t="n"/>
      <c r="E2031" s="6" t="n"/>
      <c r="F2031" s="6" t="n"/>
      <c r="G2031" s="6" t="n"/>
      <c r="H2031" s="6" t="n"/>
      <c r="I2031" s="12">
        <f>IF($B2031="","",IF(COUNTIF(Ventes_Factures!$A$6:$A$3005,$B2031)&gt;0,"OK","INCONNUE"))</f>
        <v/>
      </c>
      <c r="J2031" s="9">
        <f>IF($D2031="","",ROUND($D2031,2))</f>
        <v/>
      </c>
    </row>
    <row r="2032">
      <c r="A2032" s="6" t="n"/>
      <c r="B2032" s="6" t="n"/>
      <c r="C2032" s="7" t="n"/>
      <c r="D2032" s="8" t="n"/>
      <c r="E2032" s="6" t="n"/>
      <c r="F2032" s="6" t="n"/>
      <c r="G2032" s="6" t="n"/>
      <c r="H2032" s="6" t="n"/>
      <c r="I2032" s="12">
        <f>IF($B2032="","",IF(COUNTIF(Ventes_Factures!$A$6:$A$3005,$B2032)&gt;0,"OK","INCONNUE"))</f>
        <v/>
      </c>
      <c r="J2032" s="9">
        <f>IF($D2032="","",ROUND($D2032,2))</f>
        <v/>
      </c>
    </row>
    <row r="2033">
      <c r="A2033" s="6" t="n"/>
      <c r="B2033" s="6" t="n"/>
      <c r="C2033" s="7" t="n"/>
      <c r="D2033" s="8" t="n"/>
      <c r="E2033" s="6" t="n"/>
      <c r="F2033" s="6" t="n"/>
      <c r="G2033" s="6" t="n"/>
      <c r="H2033" s="6" t="n"/>
      <c r="I2033" s="12">
        <f>IF($B2033="","",IF(COUNTIF(Ventes_Factures!$A$6:$A$3005,$B2033)&gt;0,"OK","INCONNUE"))</f>
        <v/>
      </c>
      <c r="J2033" s="9">
        <f>IF($D2033="","",ROUND($D2033,2))</f>
        <v/>
      </c>
    </row>
    <row r="2034">
      <c r="A2034" s="6" t="n"/>
      <c r="B2034" s="6" t="n"/>
      <c r="C2034" s="7" t="n"/>
      <c r="D2034" s="8" t="n"/>
      <c r="E2034" s="6" t="n"/>
      <c r="F2034" s="6" t="n"/>
      <c r="G2034" s="6" t="n"/>
      <c r="H2034" s="6" t="n"/>
      <c r="I2034" s="12">
        <f>IF($B2034="","",IF(COUNTIF(Ventes_Factures!$A$6:$A$3005,$B2034)&gt;0,"OK","INCONNUE"))</f>
        <v/>
      </c>
      <c r="J2034" s="9">
        <f>IF($D2034="","",ROUND($D2034,2))</f>
        <v/>
      </c>
    </row>
    <row r="2035">
      <c r="A2035" s="6" t="n"/>
      <c r="B2035" s="6" t="n"/>
      <c r="C2035" s="7" t="n"/>
      <c r="D2035" s="8" t="n"/>
      <c r="E2035" s="6" t="n"/>
      <c r="F2035" s="6" t="n"/>
      <c r="G2035" s="6" t="n"/>
      <c r="H2035" s="6" t="n"/>
      <c r="I2035" s="12">
        <f>IF($B2035="","",IF(COUNTIF(Ventes_Factures!$A$6:$A$3005,$B2035)&gt;0,"OK","INCONNUE"))</f>
        <v/>
      </c>
      <c r="J2035" s="9">
        <f>IF($D2035="","",ROUND($D2035,2))</f>
        <v/>
      </c>
    </row>
    <row r="2036">
      <c r="A2036" s="6" t="n"/>
      <c r="B2036" s="6" t="n"/>
      <c r="C2036" s="7" t="n"/>
      <c r="D2036" s="8" t="n"/>
      <c r="E2036" s="6" t="n"/>
      <c r="F2036" s="6" t="n"/>
      <c r="G2036" s="6" t="n"/>
      <c r="H2036" s="6" t="n"/>
      <c r="I2036" s="12">
        <f>IF($B2036="","",IF(COUNTIF(Ventes_Factures!$A$6:$A$3005,$B2036)&gt;0,"OK","INCONNUE"))</f>
        <v/>
      </c>
      <c r="J2036" s="9">
        <f>IF($D2036="","",ROUND($D2036,2))</f>
        <v/>
      </c>
    </row>
    <row r="2037">
      <c r="A2037" s="6" t="n"/>
      <c r="B2037" s="6" t="n"/>
      <c r="C2037" s="7" t="n"/>
      <c r="D2037" s="8" t="n"/>
      <c r="E2037" s="6" t="n"/>
      <c r="F2037" s="6" t="n"/>
      <c r="G2037" s="6" t="n"/>
      <c r="H2037" s="6" t="n"/>
      <c r="I2037" s="12">
        <f>IF($B2037="","",IF(COUNTIF(Ventes_Factures!$A$6:$A$3005,$B2037)&gt;0,"OK","INCONNUE"))</f>
        <v/>
      </c>
      <c r="J2037" s="9">
        <f>IF($D2037="","",ROUND($D2037,2))</f>
        <v/>
      </c>
    </row>
    <row r="2038">
      <c r="A2038" s="6" t="n"/>
      <c r="B2038" s="6" t="n"/>
      <c r="C2038" s="7" t="n"/>
      <c r="D2038" s="8" t="n"/>
      <c r="E2038" s="6" t="n"/>
      <c r="F2038" s="6" t="n"/>
      <c r="G2038" s="6" t="n"/>
      <c r="H2038" s="6" t="n"/>
      <c r="I2038" s="12">
        <f>IF($B2038="","",IF(COUNTIF(Ventes_Factures!$A$6:$A$3005,$B2038)&gt;0,"OK","INCONNUE"))</f>
        <v/>
      </c>
      <c r="J2038" s="9">
        <f>IF($D2038="","",ROUND($D2038,2))</f>
        <v/>
      </c>
    </row>
    <row r="2039">
      <c r="A2039" s="6" t="n"/>
      <c r="B2039" s="6" t="n"/>
      <c r="C2039" s="7" t="n"/>
      <c r="D2039" s="8" t="n"/>
      <c r="E2039" s="6" t="n"/>
      <c r="F2039" s="6" t="n"/>
      <c r="G2039" s="6" t="n"/>
      <c r="H2039" s="6" t="n"/>
      <c r="I2039" s="12">
        <f>IF($B2039="","",IF(COUNTIF(Ventes_Factures!$A$6:$A$3005,$B2039)&gt;0,"OK","INCONNUE"))</f>
        <v/>
      </c>
      <c r="J2039" s="9">
        <f>IF($D2039="","",ROUND($D2039,2))</f>
        <v/>
      </c>
    </row>
    <row r="2040">
      <c r="A2040" s="6" t="n"/>
      <c r="B2040" s="6" t="n"/>
      <c r="C2040" s="7" t="n"/>
      <c r="D2040" s="8" t="n"/>
      <c r="E2040" s="6" t="n"/>
      <c r="F2040" s="6" t="n"/>
      <c r="G2040" s="6" t="n"/>
      <c r="H2040" s="6" t="n"/>
      <c r="I2040" s="12">
        <f>IF($B2040="","",IF(COUNTIF(Ventes_Factures!$A$6:$A$3005,$B2040)&gt;0,"OK","INCONNUE"))</f>
        <v/>
      </c>
      <c r="J2040" s="9">
        <f>IF($D2040="","",ROUND($D2040,2))</f>
        <v/>
      </c>
    </row>
    <row r="2041">
      <c r="A2041" s="6" t="n"/>
      <c r="B2041" s="6" t="n"/>
      <c r="C2041" s="7" t="n"/>
      <c r="D2041" s="8" t="n"/>
      <c r="E2041" s="6" t="n"/>
      <c r="F2041" s="6" t="n"/>
      <c r="G2041" s="6" t="n"/>
      <c r="H2041" s="6" t="n"/>
      <c r="I2041" s="12">
        <f>IF($B2041="","",IF(COUNTIF(Ventes_Factures!$A$6:$A$3005,$B2041)&gt;0,"OK","INCONNUE"))</f>
        <v/>
      </c>
      <c r="J2041" s="9">
        <f>IF($D2041="","",ROUND($D2041,2))</f>
        <v/>
      </c>
    </row>
    <row r="2042">
      <c r="A2042" s="6" t="n"/>
      <c r="B2042" s="6" t="n"/>
      <c r="C2042" s="7" t="n"/>
      <c r="D2042" s="8" t="n"/>
      <c r="E2042" s="6" t="n"/>
      <c r="F2042" s="6" t="n"/>
      <c r="G2042" s="6" t="n"/>
      <c r="H2042" s="6" t="n"/>
      <c r="I2042" s="12">
        <f>IF($B2042="","",IF(COUNTIF(Ventes_Factures!$A$6:$A$3005,$B2042)&gt;0,"OK","INCONNUE"))</f>
        <v/>
      </c>
      <c r="J2042" s="9">
        <f>IF($D2042="","",ROUND($D2042,2))</f>
        <v/>
      </c>
    </row>
    <row r="2043">
      <c r="A2043" s="6" t="n"/>
      <c r="B2043" s="6" t="n"/>
      <c r="C2043" s="7" t="n"/>
      <c r="D2043" s="8" t="n"/>
      <c r="E2043" s="6" t="n"/>
      <c r="F2043" s="6" t="n"/>
      <c r="G2043" s="6" t="n"/>
      <c r="H2043" s="6" t="n"/>
      <c r="I2043" s="12">
        <f>IF($B2043="","",IF(COUNTIF(Ventes_Factures!$A$6:$A$3005,$B2043)&gt;0,"OK","INCONNUE"))</f>
        <v/>
      </c>
      <c r="J2043" s="9">
        <f>IF($D2043="","",ROUND($D2043,2))</f>
        <v/>
      </c>
    </row>
    <row r="2044">
      <c r="A2044" s="6" t="n"/>
      <c r="B2044" s="6" t="n"/>
      <c r="C2044" s="7" t="n"/>
      <c r="D2044" s="8" t="n"/>
      <c r="E2044" s="6" t="n"/>
      <c r="F2044" s="6" t="n"/>
      <c r="G2044" s="6" t="n"/>
      <c r="H2044" s="6" t="n"/>
      <c r="I2044" s="12">
        <f>IF($B2044="","",IF(COUNTIF(Ventes_Factures!$A$6:$A$3005,$B2044)&gt;0,"OK","INCONNUE"))</f>
        <v/>
      </c>
      <c r="J2044" s="9">
        <f>IF($D2044="","",ROUND($D2044,2))</f>
        <v/>
      </c>
    </row>
    <row r="2045">
      <c r="A2045" s="6" t="n"/>
      <c r="B2045" s="6" t="n"/>
      <c r="C2045" s="7" t="n"/>
      <c r="D2045" s="8" t="n"/>
      <c r="E2045" s="6" t="n"/>
      <c r="F2045" s="6" t="n"/>
      <c r="G2045" s="6" t="n"/>
      <c r="H2045" s="6" t="n"/>
      <c r="I2045" s="12">
        <f>IF($B2045="","",IF(COUNTIF(Ventes_Factures!$A$6:$A$3005,$B2045)&gt;0,"OK","INCONNUE"))</f>
        <v/>
      </c>
      <c r="J2045" s="9">
        <f>IF($D2045="","",ROUND($D2045,2))</f>
        <v/>
      </c>
    </row>
    <row r="2046">
      <c r="A2046" s="6" t="n"/>
      <c r="B2046" s="6" t="n"/>
      <c r="C2046" s="7" t="n"/>
      <c r="D2046" s="8" t="n"/>
      <c r="E2046" s="6" t="n"/>
      <c r="F2046" s="6" t="n"/>
      <c r="G2046" s="6" t="n"/>
      <c r="H2046" s="6" t="n"/>
      <c r="I2046" s="12">
        <f>IF($B2046="","",IF(COUNTIF(Ventes_Factures!$A$6:$A$3005,$B2046)&gt;0,"OK","INCONNUE"))</f>
        <v/>
      </c>
      <c r="J2046" s="9">
        <f>IF($D2046="","",ROUND($D2046,2))</f>
        <v/>
      </c>
    </row>
    <row r="2047">
      <c r="A2047" s="6" t="n"/>
      <c r="B2047" s="6" t="n"/>
      <c r="C2047" s="7" t="n"/>
      <c r="D2047" s="8" t="n"/>
      <c r="E2047" s="6" t="n"/>
      <c r="F2047" s="6" t="n"/>
      <c r="G2047" s="6" t="n"/>
      <c r="H2047" s="6" t="n"/>
      <c r="I2047" s="12">
        <f>IF($B2047="","",IF(COUNTIF(Ventes_Factures!$A$6:$A$3005,$B2047)&gt;0,"OK","INCONNUE"))</f>
        <v/>
      </c>
      <c r="J2047" s="9">
        <f>IF($D2047="","",ROUND($D2047,2))</f>
        <v/>
      </c>
    </row>
    <row r="2048">
      <c r="A2048" s="6" t="n"/>
      <c r="B2048" s="6" t="n"/>
      <c r="C2048" s="7" t="n"/>
      <c r="D2048" s="8" t="n"/>
      <c r="E2048" s="6" t="n"/>
      <c r="F2048" s="6" t="n"/>
      <c r="G2048" s="6" t="n"/>
      <c r="H2048" s="6" t="n"/>
      <c r="I2048" s="12">
        <f>IF($B2048="","",IF(COUNTIF(Ventes_Factures!$A$6:$A$3005,$B2048)&gt;0,"OK","INCONNUE"))</f>
        <v/>
      </c>
      <c r="J2048" s="9">
        <f>IF($D2048="","",ROUND($D2048,2))</f>
        <v/>
      </c>
    </row>
    <row r="2049">
      <c r="A2049" s="6" t="n"/>
      <c r="B2049" s="6" t="n"/>
      <c r="C2049" s="7" t="n"/>
      <c r="D2049" s="8" t="n"/>
      <c r="E2049" s="6" t="n"/>
      <c r="F2049" s="6" t="n"/>
      <c r="G2049" s="6" t="n"/>
      <c r="H2049" s="6" t="n"/>
      <c r="I2049" s="12">
        <f>IF($B2049="","",IF(COUNTIF(Ventes_Factures!$A$6:$A$3005,$B2049)&gt;0,"OK","INCONNUE"))</f>
        <v/>
      </c>
      <c r="J2049" s="9">
        <f>IF($D2049="","",ROUND($D2049,2))</f>
        <v/>
      </c>
    </row>
    <row r="2050">
      <c r="A2050" s="6" t="n"/>
      <c r="B2050" s="6" t="n"/>
      <c r="C2050" s="7" t="n"/>
      <c r="D2050" s="8" t="n"/>
      <c r="E2050" s="6" t="n"/>
      <c r="F2050" s="6" t="n"/>
      <c r="G2050" s="6" t="n"/>
      <c r="H2050" s="6" t="n"/>
      <c r="I2050" s="12">
        <f>IF($B2050="","",IF(COUNTIF(Ventes_Factures!$A$6:$A$3005,$B2050)&gt;0,"OK","INCONNUE"))</f>
        <v/>
      </c>
      <c r="J2050" s="9">
        <f>IF($D2050="","",ROUND($D2050,2))</f>
        <v/>
      </c>
    </row>
    <row r="2051">
      <c r="A2051" s="6" t="n"/>
      <c r="B2051" s="6" t="n"/>
      <c r="C2051" s="7" t="n"/>
      <c r="D2051" s="8" t="n"/>
      <c r="E2051" s="6" t="n"/>
      <c r="F2051" s="6" t="n"/>
      <c r="G2051" s="6" t="n"/>
      <c r="H2051" s="6" t="n"/>
      <c r="I2051" s="12">
        <f>IF($B2051="","",IF(COUNTIF(Ventes_Factures!$A$6:$A$3005,$B2051)&gt;0,"OK","INCONNUE"))</f>
        <v/>
      </c>
      <c r="J2051" s="9">
        <f>IF($D2051="","",ROUND($D2051,2))</f>
        <v/>
      </c>
    </row>
    <row r="2052">
      <c r="A2052" s="6" t="n"/>
      <c r="B2052" s="6" t="n"/>
      <c r="C2052" s="7" t="n"/>
      <c r="D2052" s="8" t="n"/>
      <c r="E2052" s="6" t="n"/>
      <c r="F2052" s="6" t="n"/>
      <c r="G2052" s="6" t="n"/>
      <c r="H2052" s="6" t="n"/>
      <c r="I2052" s="12">
        <f>IF($B2052="","",IF(COUNTIF(Ventes_Factures!$A$6:$A$3005,$B2052)&gt;0,"OK","INCONNUE"))</f>
        <v/>
      </c>
      <c r="J2052" s="9">
        <f>IF($D2052="","",ROUND($D2052,2))</f>
        <v/>
      </c>
    </row>
    <row r="2053">
      <c r="A2053" s="6" t="n"/>
      <c r="B2053" s="6" t="n"/>
      <c r="C2053" s="7" t="n"/>
      <c r="D2053" s="8" t="n"/>
      <c r="E2053" s="6" t="n"/>
      <c r="F2053" s="6" t="n"/>
      <c r="G2053" s="6" t="n"/>
      <c r="H2053" s="6" t="n"/>
      <c r="I2053" s="12">
        <f>IF($B2053="","",IF(COUNTIF(Ventes_Factures!$A$6:$A$3005,$B2053)&gt;0,"OK","INCONNUE"))</f>
        <v/>
      </c>
      <c r="J2053" s="9">
        <f>IF($D2053="","",ROUND($D2053,2))</f>
        <v/>
      </c>
    </row>
    <row r="2054">
      <c r="A2054" s="6" t="n"/>
      <c r="B2054" s="6" t="n"/>
      <c r="C2054" s="7" t="n"/>
      <c r="D2054" s="8" t="n"/>
      <c r="E2054" s="6" t="n"/>
      <c r="F2054" s="6" t="n"/>
      <c r="G2054" s="6" t="n"/>
      <c r="H2054" s="6" t="n"/>
      <c r="I2054" s="12">
        <f>IF($B2054="","",IF(COUNTIF(Ventes_Factures!$A$6:$A$3005,$B2054)&gt;0,"OK","INCONNUE"))</f>
        <v/>
      </c>
      <c r="J2054" s="9">
        <f>IF($D2054="","",ROUND($D2054,2))</f>
        <v/>
      </c>
    </row>
    <row r="2055">
      <c r="A2055" s="6" t="n"/>
      <c r="B2055" s="6" t="n"/>
      <c r="C2055" s="7" t="n"/>
      <c r="D2055" s="8" t="n"/>
      <c r="E2055" s="6" t="n"/>
      <c r="F2055" s="6" t="n"/>
      <c r="G2055" s="6" t="n"/>
      <c r="H2055" s="6" t="n"/>
      <c r="I2055" s="12">
        <f>IF($B2055="","",IF(COUNTIF(Ventes_Factures!$A$6:$A$3005,$B2055)&gt;0,"OK","INCONNUE"))</f>
        <v/>
      </c>
      <c r="J2055" s="9">
        <f>IF($D2055="","",ROUND($D2055,2))</f>
        <v/>
      </c>
    </row>
    <row r="2056">
      <c r="A2056" s="6" t="n"/>
      <c r="B2056" s="6" t="n"/>
      <c r="C2056" s="7" t="n"/>
      <c r="D2056" s="8" t="n"/>
      <c r="E2056" s="6" t="n"/>
      <c r="F2056" s="6" t="n"/>
      <c r="G2056" s="6" t="n"/>
      <c r="H2056" s="6" t="n"/>
      <c r="I2056" s="12">
        <f>IF($B2056="","",IF(COUNTIF(Ventes_Factures!$A$6:$A$3005,$B2056)&gt;0,"OK","INCONNUE"))</f>
        <v/>
      </c>
      <c r="J2056" s="9">
        <f>IF($D2056="","",ROUND($D2056,2))</f>
        <v/>
      </c>
    </row>
    <row r="2057">
      <c r="A2057" s="6" t="n"/>
      <c r="B2057" s="6" t="n"/>
      <c r="C2057" s="7" t="n"/>
      <c r="D2057" s="8" t="n"/>
      <c r="E2057" s="6" t="n"/>
      <c r="F2057" s="6" t="n"/>
      <c r="G2057" s="6" t="n"/>
      <c r="H2057" s="6" t="n"/>
      <c r="I2057" s="12">
        <f>IF($B2057="","",IF(COUNTIF(Ventes_Factures!$A$6:$A$3005,$B2057)&gt;0,"OK","INCONNUE"))</f>
        <v/>
      </c>
      <c r="J2057" s="9">
        <f>IF($D2057="","",ROUND($D2057,2))</f>
        <v/>
      </c>
    </row>
    <row r="2058">
      <c r="A2058" s="6" t="n"/>
      <c r="B2058" s="6" t="n"/>
      <c r="C2058" s="7" t="n"/>
      <c r="D2058" s="8" t="n"/>
      <c r="E2058" s="6" t="n"/>
      <c r="F2058" s="6" t="n"/>
      <c r="G2058" s="6" t="n"/>
      <c r="H2058" s="6" t="n"/>
      <c r="I2058" s="12">
        <f>IF($B2058="","",IF(COUNTIF(Ventes_Factures!$A$6:$A$3005,$B2058)&gt;0,"OK","INCONNUE"))</f>
        <v/>
      </c>
      <c r="J2058" s="9">
        <f>IF($D2058="","",ROUND($D2058,2))</f>
        <v/>
      </c>
    </row>
    <row r="2059">
      <c r="A2059" s="6" t="n"/>
      <c r="B2059" s="6" t="n"/>
      <c r="C2059" s="7" t="n"/>
      <c r="D2059" s="8" t="n"/>
      <c r="E2059" s="6" t="n"/>
      <c r="F2059" s="6" t="n"/>
      <c r="G2059" s="6" t="n"/>
      <c r="H2059" s="6" t="n"/>
      <c r="I2059" s="12">
        <f>IF($B2059="","",IF(COUNTIF(Ventes_Factures!$A$6:$A$3005,$B2059)&gt;0,"OK","INCONNUE"))</f>
        <v/>
      </c>
      <c r="J2059" s="9">
        <f>IF($D2059="","",ROUND($D2059,2))</f>
        <v/>
      </c>
    </row>
    <row r="2060">
      <c r="A2060" s="6" t="n"/>
      <c r="B2060" s="6" t="n"/>
      <c r="C2060" s="7" t="n"/>
      <c r="D2060" s="8" t="n"/>
      <c r="E2060" s="6" t="n"/>
      <c r="F2060" s="6" t="n"/>
      <c r="G2060" s="6" t="n"/>
      <c r="H2060" s="6" t="n"/>
      <c r="I2060" s="12">
        <f>IF($B2060="","",IF(COUNTIF(Ventes_Factures!$A$6:$A$3005,$B2060)&gt;0,"OK","INCONNUE"))</f>
        <v/>
      </c>
      <c r="J2060" s="9">
        <f>IF($D2060="","",ROUND($D2060,2))</f>
        <v/>
      </c>
    </row>
    <row r="2061">
      <c r="A2061" s="6" t="n"/>
      <c r="B2061" s="6" t="n"/>
      <c r="C2061" s="7" t="n"/>
      <c r="D2061" s="8" t="n"/>
      <c r="E2061" s="6" t="n"/>
      <c r="F2061" s="6" t="n"/>
      <c r="G2061" s="6" t="n"/>
      <c r="H2061" s="6" t="n"/>
      <c r="I2061" s="12">
        <f>IF($B2061="","",IF(COUNTIF(Ventes_Factures!$A$6:$A$3005,$B2061)&gt;0,"OK","INCONNUE"))</f>
        <v/>
      </c>
      <c r="J2061" s="9">
        <f>IF($D2061="","",ROUND($D2061,2))</f>
        <v/>
      </c>
    </row>
    <row r="2062">
      <c r="A2062" s="6" t="n"/>
      <c r="B2062" s="6" t="n"/>
      <c r="C2062" s="7" t="n"/>
      <c r="D2062" s="8" t="n"/>
      <c r="E2062" s="6" t="n"/>
      <c r="F2062" s="6" t="n"/>
      <c r="G2062" s="6" t="n"/>
      <c r="H2062" s="6" t="n"/>
      <c r="I2062" s="12">
        <f>IF($B2062="","",IF(COUNTIF(Ventes_Factures!$A$6:$A$3005,$B2062)&gt;0,"OK","INCONNUE"))</f>
        <v/>
      </c>
      <c r="J2062" s="9">
        <f>IF($D2062="","",ROUND($D2062,2))</f>
        <v/>
      </c>
    </row>
    <row r="2063">
      <c r="A2063" s="6" t="n"/>
      <c r="B2063" s="6" t="n"/>
      <c r="C2063" s="7" t="n"/>
      <c r="D2063" s="8" t="n"/>
      <c r="E2063" s="6" t="n"/>
      <c r="F2063" s="6" t="n"/>
      <c r="G2063" s="6" t="n"/>
      <c r="H2063" s="6" t="n"/>
      <c r="I2063" s="12">
        <f>IF($B2063="","",IF(COUNTIF(Ventes_Factures!$A$6:$A$3005,$B2063)&gt;0,"OK","INCONNUE"))</f>
        <v/>
      </c>
      <c r="J2063" s="9">
        <f>IF($D2063="","",ROUND($D2063,2))</f>
        <v/>
      </c>
    </row>
    <row r="2064">
      <c r="A2064" s="6" t="n"/>
      <c r="B2064" s="6" t="n"/>
      <c r="C2064" s="7" t="n"/>
      <c r="D2064" s="8" t="n"/>
      <c r="E2064" s="6" t="n"/>
      <c r="F2064" s="6" t="n"/>
      <c r="G2064" s="6" t="n"/>
      <c r="H2064" s="6" t="n"/>
      <c r="I2064" s="12">
        <f>IF($B2064="","",IF(COUNTIF(Ventes_Factures!$A$6:$A$3005,$B2064)&gt;0,"OK","INCONNUE"))</f>
        <v/>
      </c>
      <c r="J2064" s="9">
        <f>IF($D2064="","",ROUND($D2064,2))</f>
        <v/>
      </c>
    </row>
    <row r="2065">
      <c r="A2065" s="6" t="n"/>
      <c r="B2065" s="6" t="n"/>
      <c r="C2065" s="7" t="n"/>
      <c r="D2065" s="8" t="n"/>
      <c r="E2065" s="6" t="n"/>
      <c r="F2065" s="6" t="n"/>
      <c r="G2065" s="6" t="n"/>
      <c r="H2065" s="6" t="n"/>
      <c r="I2065" s="12">
        <f>IF($B2065="","",IF(COUNTIF(Ventes_Factures!$A$6:$A$3005,$B2065)&gt;0,"OK","INCONNUE"))</f>
        <v/>
      </c>
      <c r="J2065" s="9">
        <f>IF($D2065="","",ROUND($D2065,2))</f>
        <v/>
      </c>
    </row>
    <row r="2066">
      <c r="A2066" s="6" t="n"/>
      <c r="B2066" s="6" t="n"/>
      <c r="C2066" s="7" t="n"/>
      <c r="D2066" s="8" t="n"/>
      <c r="E2066" s="6" t="n"/>
      <c r="F2066" s="6" t="n"/>
      <c r="G2066" s="6" t="n"/>
      <c r="H2066" s="6" t="n"/>
      <c r="I2066" s="12">
        <f>IF($B2066="","",IF(COUNTIF(Ventes_Factures!$A$6:$A$3005,$B2066)&gt;0,"OK","INCONNUE"))</f>
        <v/>
      </c>
      <c r="J2066" s="9">
        <f>IF($D2066="","",ROUND($D2066,2))</f>
        <v/>
      </c>
    </row>
    <row r="2067">
      <c r="A2067" s="6" t="n"/>
      <c r="B2067" s="6" t="n"/>
      <c r="C2067" s="7" t="n"/>
      <c r="D2067" s="8" t="n"/>
      <c r="E2067" s="6" t="n"/>
      <c r="F2067" s="6" t="n"/>
      <c r="G2067" s="6" t="n"/>
      <c r="H2067" s="6" t="n"/>
      <c r="I2067" s="12">
        <f>IF($B2067="","",IF(COUNTIF(Ventes_Factures!$A$6:$A$3005,$B2067)&gt;0,"OK","INCONNUE"))</f>
        <v/>
      </c>
      <c r="J2067" s="9">
        <f>IF($D2067="","",ROUND($D2067,2))</f>
        <v/>
      </c>
    </row>
    <row r="2068">
      <c r="A2068" s="6" t="n"/>
      <c r="B2068" s="6" t="n"/>
      <c r="C2068" s="7" t="n"/>
      <c r="D2068" s="8" t="n"/>
      <c r="E2068" s="6" t="n"/>
      <c r="F2068" s="6" t="n"/>
      <c r="G2068" s="6" t="n"/>
      <c r="H2068" s="6" t="n"/>
      <c r="I2068" s="12">
        <f>IF($B2068="","",IF(COUNTIF(Ventes_Factures!$A$6:$A$3005,$B2068)&gt;0,"OK","INCONNUE"))</f>
        <v/>
      </c>
      <c r="J2068" s="9">
        <f>IF($D2068="","",ROUND($D2068,2))</f>
        <v/>
      </c>
    </row>
    <row r="2069">
      <c r="A2069" s="6" t="n"/>
      <c r="B2069" s="6" t="n"/>
      <c r="C2069" s="7" t="n"/>
      <c r="D2069" s="8" t="n"/>
      <c r="E2069" s="6" t="n"/>
      <c r="F2069" s="6" t="n"/>
      <c r="G2069" s="6" t="n"/>
      <c r="H2069" s="6" t="n"/>
      <c r="I2069" s="12">
        <f>IF($B2069="","",IF(COUNTIF(Ventes_Factures!$A$6:$A$3005,$B2069)&gt;0,"OK","INCONNUE"))</f>
        <v/>
      </c>
      <c r="J2069" s="9">
        <f>IF($D2069="","",ROUND($D2069,2))</f>
        <v/>
      </c>
    </row>
    <row r="2070">
      <c r="A2070" s="6" t="n"/>
      <c r="B2070" s="6" t="n"/>
      <c r="C2070" s="7" t="n"/>
      <c r="D2070" s="8" t="n"/>
      <c r="E2070" s="6" t="n"/>
      <c r="F2070" s="6" t="n"/>
      <c r="G2070" s="6" t="n"/>
      <c r="H2070" s="6" t="n"/>
      <c r="I2070" s="12">
        <f>IF($B2070="","",IF(COUNTIF(Ventes_Factures!$A$6:$A$3005,$B2070)&gt;0,"OK","INCONNUE"))</f>
        <v/>
      </c>
      <c r="J2070" s="9">
        <f>IF($D2070="","",ROUND($D2070,2))</f>
        <v/>
      </c>
    </row>
    <row r="2071">
      <c r="A2071" s="6" t="n"/>
      <c r="B2071" s="6" t="n"/>
      <c r="C2071" s="7" t="n"/>
      <c r="D2071" s="8" t="n"/>
      <c r="E2071" s="6" t="n"/>
      <c r="F2071" s="6" t="n"/>
      <c r="G2071" s="6" t="n"/>
      <c r="H2071" s="6" t="n"/>
      <c r="I2071" s="12">
        <f>IF($B2071="","",IF(COUNTIF(Ventes_Factures!$A$6:$A$3005,$B2071)&gt;0,"OK","INCONNUE"))</f>
        <v/>
      </c>
      <c r="J2071" s="9">
        <f>IF($D2071="","",ROUND($D2071,2))</f>
        <v/>
      </c>
    </row>
    <row r="2072">
      <c r="A2072" s="6" t="n"/>
      <c r="B2072" s="6" t="n"/>
      <c r="C2072" s="7" t="n"/>
      <c r="D2072" s="8" t="n"/>
      <c r="E2072" s="6" t="n"/>
      <c r="F2072" s="6" t="n"/>
      <c r="G2072" s="6" t="n"/>
      <c r="H2072" s="6" t="n"/>
      <c r="I2072" s="12">
        <f>IF($B2072="","",IF(COUNTIF(Ventes_Factures!$A$6:$A$3005,$B2072)&gt;0,"OK","INCONNUE"))</f>
        <v/>
      </c>
      <c r="J2072" s="9">
        <f>IF($D2072="","",ROUND($D2072,2))</f>
        <v/>
      </c>
    </row>
    <row r="2073">
      <c r="A2073" s="6" t="n"/>
      <c r="B2073" s="6" t="n"/>
      <c r="C2073" s="7" t="n"/>
      <c r="D2073" s="8" t="n"/>
      <c r="E2073" s="6" t="n"/>
      <c r="F2073" s="6" t="n"/>
      <c r="G2073" s="6" t="n"/>
      <c r="H2073" s="6" t="n"/>
      <c r="I2073" s="12">
        <f>IF($B2073="","",IF(COUNTIF(Ventes_Factures!$A$6:$A$3005,$B2073)&gt;0,"OK","INCONNUE"))</f>
        <v/>
      </c>
      <c r="J2073" s="9">
        <f>IF($D2073="","",ROUND($D2073,2))</f>
        <v/>
      </c>
    </row>
    <row r="2074">
      <c r="A2074" s="6" t="n"/>
      <c r="B2074" s="6" t="n"/>
      <c r="C2074" s="7" t="n"/>
      <c r="D2074" s="8" t="n"/>
      <c r="E2074" s="6" t="n"/>
      <c r="F2074" s="6" t="n"/>
      <c r="G2074" s="6" t="n"/>
      <c r="H2074" s="6" t="n"/>
      <c r="I2074" s="12">
        <f>IF($B2074="","",IF(COUNTIF(Ventes_Factures!$A$6:$A$3005,$B2074)&gt;0,"OK","INCONNUE"))</f>
        <v/>
      </c>
      <c r="J2074" s="9">
        <f>IF($D2074="","",ROUND($D2074,2))</f>
        <v/>
      </c>
    </row>
    <row r="2075">
      <c r="A2075" s="6" t="n"/>
      <c r="B2075" s="6" t="n"/>
      <c r="C2075" s="7" t="n"/>
      <c r="D2075" s="8" t="n"/>
      <c r="E2075" s="6" t="n"/>
      <c r="F2075" s="6" t="n"/>
      <c r="G2075" s="6" t="n"/>
      <c r="H2075" s="6" t="n"/>
      <c r="I2075" s="12">
        <f>IF($B2075="","",IF(COUNTIF(Ventes_Factures!$A$6:$A$3005,$B2075)&gt;0,"OK","INCONNUE"))</f>
        <v/>
      </c>
      <c r="J2075" s="9">
        <f>IF($D2075="","",ROUND($D2075,2))</f>
        <v/>
      </c>
    </row>
    <row r="2076">
      <c r="A2076" s="6" t="n"/>
      <c r="B2076" s="6" t="n"/>
      <c r="C2076" s="7" t="n"/>
      <c r="D2076" s="8" t="n"/>
      <c r="E2076" s="6" t="n"/>
      <c r="F2076" s="6" t="n"/>
      <c r="G2076" s="6" t="n"/>
      <c r="H2076" s="6" t="n"/>
      <c r="I2076" s="12">
        <f>IF($B2076="","",IF(COUNTIF(Ventes_Factures!$A$6:$A$3005,$B2076)&gt;0,"OK","INCONNUE"))</f>
        <v/>
      </c>
      <c r="J2076" s="9">
        <f>IF($D2076="","",ROUND($D2076,2))</f>
        <v/>
      </c>
    </row>
    <row r="2077">
      <c r="A2077" s="6" t="n"/>
      <c r="B2077" s="6" t="n"/>
      <c r="C2077" s="7" t="n"/>
      <c r="D2077" s="8" t="n"/>
      <c r="E2077" s="6" t="n"/>
      <c r="F2077" s="6" t="n"/>
      <c r="G2077" s="6" t="n"/>
      <c r="H2077" s="6" t="n"/>
      <c r="I2077" s="12">
        <f>IF($B2077="","",IF(COUNTIF(Ventes_Factures!$A$6:$A$3005,$B2077)&gt;0,"OK","INCONNUE"))</f>
        <v/>
      </c>
      <c r="J2077" s="9">
        <f>IF($D2077="","",ROUND($D2077,2))</f>
        <v/>
      </c>
    </row>
    <row r="2078">
      <c r="A2078" s="6" t="n"/>
      <c r="B2078" s="6" t="n"/>
      <c r="C2078" s="7" t="n"/>
      <c r="D2078" s="8" t="n"/>
      <c r="E2078" s="6" t="n"/>
      <c r="F2078" s="6" t="n"/>
      <c r="G2078" s="6" t="n"/>
      <c r="H2078" s="6" t="n"/>
      <c r="I2078" s="12">
        <f>IF($B2078="","",IF(COUNTIF(Ventes_Factures!$A$6:$A$3005,$B2078)&gt;0,"OK","INCONNUE"))</f>
        <v/>
      </c>
      <c r="J2078" s="9">
        <f>IF($D2078="","",ROUND($D2078,2))</f>
        <v/>
      </c>
    </row>
    <row r="2079">
      <c r="A2079" s="6" t="n"/>
      <c r="B2079" s="6" t="n"/>
      <c r="C2079" s="7" t="n"/>
      <c r="D2079" s="8" t="n"/>
      <c r="E2079" s="6" t="n"/>
      <c r="F2079" s="6" t="n"/>
      <c r="G2079" s="6" t="n"/>
      <c r="H2079" s="6" t="n"/>
      <c r="I2079" s="12">
        <f>IF($B2079="","",IF(COUNTIF(Ventes_Factures!$A$6:$A$3005,$B2079)&gt;0,"OK","INCONNUE"))</f>
        <v/>
      </c>
      <c r="J2079" s="9">
        <f>IF($D2079="","",ROUND($D2079,2))</f>
        <v/>
      </c>
    </row>
    <row r="2080">
      <c r="A2080" s="6" t="n"/>
      <c r="B2080" s="6" t="n"/>
      <c r="C2080" s="7" t="n"/>
      <c r="D2080" s="8" t="n"/>
      <c r="E2080" s="6" t="n"/>
      <c r="F2080" s="6" t="n"/>
      <c r="G2080" s="6" t="n"/>
      <c r="H2080" s="6" t="n"/>
      <c r="I2080" s="12">
        <f>IF($B2080="","",IF(COUNTIF(Ventes_Factures!$A$6:$A$3005,$B2080)&gt;0,"OK","INCONNUE"))</f>
        <v/>
      </c>
      <c r="J2080" s="9">
        <f>IF($D2080="","",ROUND($D2080,2))</f>
        <v/>
      </c>
    </row>
    <row r="2081">
      <c r="A2081" s="6" t="n"/>
      <c r="B2081" s="6" t="n"/>
      <c r="C2081" s="7" t="n"/>
      <c r="D2081" s="8" t="n"/>
      <c r="E2081" s="6" t="n"/>
      <c r="F2081" s="6" t="n"/>
      <c r="G2081" s="6" t="n"/>
      <c r="H2081" s="6" t="n"/>
      <c r="I2081" s="12">
        <f>IF($B2081="","",IF(COUNTIF(Ventes_Factures!$A$6:$A$3005,$B2081)&gt;0,"OK","INCONNUE"))</f>
        <v/>
      </c>
      <c r="J2081" s="9">
        <f>IF($D2081="","",ROUND($D2081,2))</f>
        <v/>
      </c>
    </row>
    <row r="2082">
      <c r="A2082" s="6" t="n"/>
      <c r="B2082" s="6" t="n"/>
      <c r="C2082" s="7" t="n"/>
      <c r="D2082" s="8" t="n"/>
      <c r="E2082" s="6" t="n"/>
      <c r="F2082" s="6" t="n"/>
      <c r="G2082" s="6" t="n"/>
      <c r="H2082" s="6" t="n"/>
      <c r="I2082" s="12">
        <f>IF($B2082="","",IF(COUNTIF(Ventes_Factures!$A$6:$A$3005,$B2082)&gt;0,"OK","INCONNUE"))</f>
        <v/>
      </c>
      <c r="J2082" s="9">
        <f>IF($D2082="","",ROUND($D2082,2))</f>
        <v/>
      </c>
    </row>
    <row r="2083">
      <c r="A2083" s="6" t="n"/>
      <c r="B2083" s="6" t="n"/>
      <c r="C2083" s="7" t="n"/>
      <c r="D2083" s="8" t="n"/>
      <c r="E2083" s="6" t="n"/>
      <c r="F2083" s="6" t="n"/>
      <c r="G2083" s="6" t="n"/>
      <c r="H2083" s="6" t="n"/>
      <c r="I2083" s="12">
        <f>IF($B2083="","",IF(COUNTIF(Ventes_Factures!$A$6:$A$3005,$B2083)&gt;0,"OK","INCONNUE"))</f>
        <v/>
      </c>
      <c r="J2083" s="9">
        <f>IF($D2083="","",ROUND($D2083,2))</f>
        <v/>
      </c>
    </row>
    <row r="2084">
      <c r="A2084" s="6" t="n"/>
      <c r="B2084" s="6" t="n"/>
      <c r="C2084" s="7" t="n"/>
      <c r="D2084" s="8" t="n"/>
      <c r="E2084" s="6" t="n"/>
      <c r="F2084" s="6" t="n"/>
      <c r="G2084" s="6" t="n"/>
      <c r="H2084" s="6" t="n"/>
      <c r="I2084" s="12">
        <f>IF($B2084="","",IF(COUNTIF(Ventes_Factures!$A$6:$A$3005,$B2084)&gt;0,"OK","INCONNUE"))</f>
        <v/>
      </c>
      <c r="J2084" s="9">
        <f>IF($D2084="","",ROUND($D2084,2))</f>
        <v/>
      </c>
    </row>
    <row r="2085">
      <c r="A2085" s="6" t="n"/>
      <c r="B2085" s="6" t="n"/>
      <c r="C2085" s="7" t="n"/>
      <c r="D2085" s="8" t="n"/>
      <c r="E2085" s="6" t="n"/>
      <c r="F2085" s="6" t="n"/>
      <c r="G2085" s="6" t="n"/>
      <c r="H2085" s="6" t="n"/>
      <c r="I2085" s="12">
        <f>IF($B2085="","",IF(COUNTIF(Ventes_Factures!$A$6:$A$3005,$B2085)&gt;0,"OK","INCONNUE"))</f>
        <v/>
      </c>
      <c r="J2085" s="9">
        <f>IF($D2085="","",ROUND($D2085,2))</f>
        <v/>
      </c>
    </row>
    <row r="2086">
      <c r="A2086" s="6" t="n"/>
      <c r="B2086" s="6" t="n"/>
      <c r="C2086" s="7" t="n"/>
      <c r="D2086" s="8" t="n"/>
      <c r="E2086" s="6" t="n"/>
      <c r="F2086" s="6" t="n"/>
      <c r="G2086" s="6" t="n"/>
      <c r="H2086" s="6" t="n"/>
      <c r="I2086" s="12">
        <f>IF($B2086="","",IF(COUNTIF(Ventes_Factures!$A$6:$A$3005,$B2086)&gt;0,"OK","INCONNUE"))</f>
        <v/>
      </c>
      <c r="J2086" s="9">
        <f>IF($D2086="","",ROUND($D2086,2))</f>
        <v/>
      </c>
    </row>
    <row r="2087">
      <c r="A2087" s="6" t="n"/>
      <c r="B2087" s="6" t="n"/>
      <c r="C2087" s="7" t="n"/>
      <c r="D2087" s="8" t="n"/>
      <c r="E2087" s="6" t="n"/>
      <c r="F2087" s="6" t="n"/>
      <c r="G2087" s="6" t="n"/>
      <c r="H2087" s="6" t="n"/>
      <c r="I2087" s="12">
        <f>IF($B2087="","",IF(COUNTIF(Ventes_Factures!$A$6:$A$3005,$B2087)&gt;0,"OK","INCONNUE"))</f>
        <v/>
      </c>
      <c r="J2087" s="9">
        <f>IF($D2087="","",ROUND($D2087,2))</f>
        <v/>
      </c>
    </row>
    <row r="2088">
      <c r="A2088" s="6" t="n"/>
      <c r="B2088" s="6" t="n"/>
      <c r="C2088" s="7" t="n"/>
      <c r="D2088" s="8" t="n"/>
      <c r="E2088" s="6" t="n"/>
      <c r="F2088" s="6" t="n"/>
      <c r="G2088" s="6" t="n"/>
      <c r="H2088" s="6" t="n"/>
      <c r="I2088" s="12">
        <f>IF($B2088="","",IF(COUNTIF(Ventes_Factures!$A$6:$A$3005,$B2088)&gt;0,"OK","INCONNUE"))</f>
        <v/>
      </c>
      <c r="J2088" s="9">
        <f>IF($D2088="","",ROUND($D2088,2))</f>
        <v/>
      </c>
    </row>
    <row r="2089">
      <c r="A2089" s="6" t="n"/>
      <c r="B2089" s="6" t="n"/>
      <c r="C2089" s="7" t="n"/>
      <c r="D2089" s="8" t="n"/>
      <c r="E2089" s="6" t="n"/>
      <c r="F2089" s="6" t="n"/>
      <c r="G2089" s="6" t="n"/>
      <c r="H2089" s="6" t="n"/>
      <c r="I2089" s="12">
        <f>IF($B2089="","",IF(COUNTIF(Ventes_Factures!$A$6:$A$3005,$B2089)&gt;0,"OK","INCONNUE"))</f>
        <v/>
      </c>
      <c r="J2089" s="9">
        <f>IF($D2089="","",ROUND($D2089,2))</f>
        <v/>
      </c>
    </row>
    <row r="2090">
      <c r="A2090" s="6" t="n"/>
      <c r="B2090" s="6" t="n"/>
      <c r="C2090" s="7" t="n"/>
      <c r="D2090" s="8" t="n"/>
      <c r="E2090" s="6" t="n"/>
      <c r="F2090" s="6" t="n"/>
      <c r="G2090" s="6" t="n"/>
      <c r="H2090" s="6" t="n"/>
      <c r="I2090" s="12">
        <f>IF($B2090="","",IF(COUNTIF(Ventes_Factures!$A$6:$A$3005,$B2090)&gt;0,"OK","INCONNUE"))</f>
        <v/>
      </c>
      <c r="J2090" s="9">
        <f>IF($D2090="","",ROUND($D2090,2))</f>
        <v/>
      </c>
    </row>
    <row r="2091">
      <c r="A2091" s="6" t="n"/>
      <c r="B2091" s="6" t="n"/>
      <c r="C2091" s="7" t="n"/>
      <c r="D2091" s="8" t="n"/>
      <c r="E2091" s="6" t="n"/>
      <c r="F2091" s="6" t="n"/>
      <c r="G2091" s="6" t="n"/>
      <c r="H2091" s="6" t="n"/>
      <c r="I2091" s="12">
        <f>IF($B2091="","",IF(COUNTIF(Ventes_Factures!$A$6:$A$3005,$B2091)&gt;0,"OK","INCONNUE"))</f>
        <v/>
      </c>
      <c r="J2091" s="9">
        <f>IF($D2091="","",ROUND($D2091,2))</f>
        <v/>
      </c>
    </row>
    <row r="2092">
      <c r="A2092" s="6" t="n"/>
      <c r="B2092" s="6" t="n"/>
      <c r="C2092" s="7" t="n"/>
      <c r="D2092" s="8" t="n"/>
      <c r="E2092" s="6" t="n"/>
      <c r="F2092" s="6" t="n"/>
      <c r="G2092" s="6" t="n"/>
      <c r="H2092" s="6" t="n"/>
      <c r="I2092" s="12">
        <f>IF($B2092="","",IF(COUNTIF(Ventes_Factures!$A$6:$A$3005,$B2092)&gt;0,"OK","INCONNUE"))</f>
        <v/>
      </c>
      <c r="J2092" s="9">
        <f>IF($D2092="","",ROUND($D2092,2))</f>
        <v/>
      </c>
    </row>
    <row r="2093">
      <c r="A2093" s="6" t="n"/>
      <c r="B2093" s="6" t="n"/>
      <c r="C2093" s="7" t="n"/>
      <c r="D2093" s="8" t="n"/>
      <c r="E2093" s="6" t="n"/>
      <c r="F2093" s="6" t="n"/>
      <c r="G2093" s="6" t="n"/>
      <c r="H2093" s="6" t="n"/>
      <c r="I2093" s="12">
        <f>IF($B2093="","",IF(COUNTIF(Ventes_Factures!$A$6:$A$3005,$B2093)&gt;0,"OK","INCONNUE"))</f>
        <v/>
      </c>
      <c r="J2093" s="9">
        <f>IF($D2093="","",ROUND($D2093,2))</f>
        <v/>
      </c>
    </row>
    <row r="2094">
      <c r="A2094" s="6" t="n"/>
      <c r="B2094" s="6" t="n"/>
      <c r="C2094" s="7" t="n"/>
      <c r="D2094" s="8" t="n"/>
      <c r="E2094" s="6" t="n"/>
      <c r="F2094" s="6" t="n"/>
      <c r="G2094" s="6" t="n"/>
      <c r="H2094" s="6" t="n"/>
      <c r="I2094" s="12">
        <f>IF($B2094="","",IF(COUNTIF(Ventes_Factures!$A$6:$A$3005,$B2094)&gt;0,"OK","INCONNUE"))</f>
        <v/>
      </c>
      <c r="J2094" s="9">
        <f>IF($D2094="","",ROUND($D2094,2))</f>
        <v/>
      </c>
    </row>
    <row r="2095">
      <c r="A2095" s="6" t="n"/>
      <c r="B2095" s="6" t="n"/>
      <c r="C2095" s="7" t="n"/>
      <c r="D2095" s="8" t="n"/>
      <c r="E2095" s="6" t="n"/>
      <c r="F2095" s="6" t="n"/>
      <c r="G2095" s="6" t="n"/>
      <c r="H2095" s="6" t="n"/>
      <c r="I2095" s="12">
        <f>IF($B2095="","",IF(COUNTIF(Ventes_Factures!$A$6:$A$3005,$B2095)&gt;0,"OK","INCONNUE"))</f>
        <v/>
      </c>
      <c r="J2095" s="9">
        <f>IF($D2095="","",ROUND($D2095,2))</f>
        <v/>
      </c>
    </row>
    <row r="2096">
      <c r="A2096" s="6" t="n"/>
      <c r="B2096" s="6" t="n"/>
      <c r="C2096" s="7" t="n"/>
      <c r="D2096" s="8" t="n"/>
      <c r="E2096" s="6" t="n"/>
      <c r="F2096" s="6" t="n"/>
      <c r="G2096" s="6" t="n"/>
      <c r="H2096" s="6" t="n"/>
      <c r="I2096" s="12">
        <f>IF($B2096="","",IF(COUNTIF(Ventes_Factures!$A$6:$A$3005,$B2096)&gt;0,"OK","INCONNUE"))</f>
        <v/>
      </c>
      <c r="J2096" s="9">
        <f>IF($D2096="","",ROUND($D2096,2))</f>
        <v/>
      </c>
    </row>
    <row r="2097">
      <c r="A2097" s="6" t="n"/>
      <c r="B2097" s="6" t="n"/>
      <c r="C2097" s="7" t="n"/>
      <c r="D2097" s="8" t="n"/>
      <c r="E2097" s="6" t="n"/>
      <c r="F2097" s="6" t="n"/>
      <c r="G2097" s="6" t="n"/>
      <c r="H2097" s="6" t="n"/>
      <c r="I2097" s="12">
        <f>IF($B2097="","",IF(COUNTIF(Ventes_Factures!$A$6:$A$3005,$B2097)&gt;0,"OK","INCONNUE"))</f>
        <v/>
      </c>
      <c r="J2097" s="9">
        <f>IF($D2097="","",ROUND($D2097,2))</f>
        <v/>
      </c>
    </row>
    <row r="2098">
      <c r="A2098" s="6" t="n"/>
      <c r="B2098" s="6" t="n"/>
      <c r="C2098" s="7" t="n"/>
      <c r="D2098" s="8" t="n"/>
      <c r="E2098" s="6" t="n"/>
      <c r="F2098" s="6" t="n"/>
      <c r="G2098" s="6" t="n"/>
      <c r="H2098" s="6" t="n"/>
      <c r="I2098" s="12">
        <f>IF($B2098="","",IF(COUNTIF(Ventes_Factures!$A$6:$A$3005,$B2098)&gt;0,"OK","INCONNUE"))</f>
        <v/>
      </c>
      <c r="J2098" s="9">
        <f>IF($D2098="","",ROUND($D2098,2))</f>
        <v/>
      </c>
    </row>
    <row r="2099">
      <c r="A2099" s="6" t="n"/>
      <c r="B2099" s="6" t="n"/>
      <c r="C2099" s="7" t="n"/>
      <c r="D2099" s="8" t="n"/>
      <c r="E2099" s="6" t="n"/>
      <c r="F2099" s="6" t="n"/>
      <c r="G2099" s="6" t="n"/>
      <c r="H2099" s="6" t="n"/>
      <c r="I2099" s="12">
        <f>IF($B2099="","",IF(COUNTIF(Ventes_Factures!$A$6:$A$3005,$B2099)&gt;0,"OK","INCONNUE"))</f>
        <v/>
      </c>
      <c r="J2099" s="9">
        <f>IF($D2099="","",ROUND($D2099,2))</f>
        <v/>
      </c>
    </row>
    <row r="2100">
      <c r="A2100" s="6" t="n"/>
      <c r="B2100" s="6" t="n"/>
      <c r="C2100" s="7" t="n"/>
      <c r="D2100" s="8" t="n"/>
      <c r="E2100" s="6" t="n"/>
      <c r="F2100" s="6" t="n"/>
      <c r="G2100" s="6" t="n"/>
      <c r="H2100" s="6" t="n"/>
      <c r="I2100" s="12">
        <f>IF($B2100="","",IF(COUNTIF(Ventes_Factures!$A$6:$A$3005,$B2100)&gt;0,"OK","INCONNUE"))</f>
        <v/>
      </c>
      <c r="J2100" s="9">
        <f>IF($D2100="","",ROUND($D2100,2))</f>
        <v/>
      </c>
    </row>
    <row r="2101">
      <c r="A2101" s="6" t="n"/>
      <c r="B2101" s="6" t="n"/>
      <c r="C2101" s="7" t="n"/>
      <c r="D2101" s="8" t="n"/>
      <c r="E2101" s="6" t="n"/>
      <c r="F2101" s="6" t="n"/>
      <c r="G2101" s="6" t="n"/>
      <c r="H2101" s="6" t="n"/>
      <c r="I2101" s="12">
        <f>IF($B2101="","",IF(COUNTIF(Ventes_Factures!$A$6:$A$3005,$B2101)&gt;0,"OK","INCONNUE"))</f>
        <v/>
      </c>
      <c r="J2101" s="9">
        <f>IF($D2101="","",ROUND($D2101,2))</f>
        <v/>
      </c>
    </row>
    <row r="2102">
      <c r="A2102" s="6" t="n"/>
      <c r="B2102" s="6" t="n"/>
      <c r="C2102" s="7" t="n"/>
      <c r="D2102" s="8" t="n"/>
      <c r="E2102" s="6" t="n"/>
      <c r="F2102" s="6" t="n"/>
      <c r="G2102" s="6" t="n"/>
      <c r="H2102" s="6" t="n"/>
      <c r="I2102" s="12">
        <f>IF($B2102="","",IF(COUNTIF(Ventes_Factures!$A$6:$A$3005,$B2102)&gt;0,"OK","INCONNUE"))</f>
        <v/>
      </c>
      <c r="J2102" s="9">
        <f>IF($D2102="","",ROUND($D2102,2))</f>
        <v/>
      </c>
    </row>
    <row r="2103">
      <c r="A2103" s="6" t="n"/>
      <c r="B2103" s="6" t="n"/>
      <c r="C2103" s="7" t="n"/>
      <c r="D2103" s="8" t="n"/>
      <c r="E2103" s="6" t="n"/>
      <c r="F2103" s="6" t="n"/>
      <c r="G2103" s="6" t="n"/>
      <c r="H2103" s="6" t="n"/>
      <c r="I2103" s="12">
        <f>IF($B2103="","",IF(COUNTIF(Ventes_Factures!$A$6:$A$3005,$B2103)&gt;0,"OK","INCONNUE"))</f>
        <v/>
      </c>
      <c r="J2103" s="9">
        <f>IF($D2103="","",ROUND($D2103,2))</f>
        <v/>
      </c>
    </row>
    <row r="2104">
      <c r="A2104" s="6" t="n"/>
      <c r="B2104" s="6" t="n"/>
      <c r="C2104" s="7" t="n"/>
      <c r="D2104" s="8" t="n"/>
      <c r="E2104" s="6" t="n"/>
      <c r="F2104" s="6" t="n"/>
      <c r="G2104" s="6" t="n"/>
      <c r="H2104" s="6" t="n"/>
      <c r="I2104" s="12">
        <f>IF($B2104="","",IF(COUNTIF(Ventes_Factures!$A$6:$A$3005,$B2104)&gt;0,"OK","INCONNUE"))</f>
        <v/>
      </c>
      <c r="J2104" s="9">
        <f>IF($D2104="","",ROUND($D2104,2))</f>
        <v/>
      </c>
    </row>
    <row r="2105">
      <c r="A2105" s="6" t="n"/>
      <c r="B2105" s="6" t="n"/>
      <c r="C2105" s="7" t="n"/>
      <c r="D2105" s="8" t="n"/>
      <c r="E2105" s="6" t="n"/>
      <c r="F2105" s="6" t="n"/>
      <c r="G2105" s="6" t="n"/>
      <c r="H2105" s="6" t="n"/>
      <c r="I2105" s="12">
        <f>IF($B2105="","",IF(COUNTIF(Ventes_Factures!$A$6:$A$3005,$B2105)&gt;0,"OK","INCONNUE"))</f>
        <v/>
      </c>
      <c r="J2105" s="9">
        <f>IF($D2105="","",ROUND($D2105,2))</f>
        <v/>
      </c>
    </row>
    <row r="2106">
      <c r="A2106" s="6" t="n"/>
      <c r="B2106" s="6" t="n"/>
      <c r="C2106" s="7" t="n"/>
      <c r="D2106" s="8" t="n"/>
      <c r="E2106" s="6" t="n"/>
      <c r="F2106" s="6" t="n"/>
      <c r="G2106" s="6" t="n"/>
      <c r="H2106" s="6" t="n"/>
      <c r="I2106" s="12">
        <f>IF($B2106="","",IF(COUNTIF(Ventes_Factures!$A$6:$A$3005,$B2106)&gt;0,"OK","INCONNUE"))</f>
        <v/>
      </c>
      <c r="J2106" s="9">
        <f>IF($D2106="","",ROUND($D2106,2))</f>
        <v/>
      </c>
    </row>
    <row r="2107">
      <c r="A2107" s="6" t="n"/>
      <c r="B2107" s="6" t="n"/>
      <c r="C2107" s="7" t="n"/>
      <c r="D2107" s="8" t="n"/>
      <c r="E2107" s="6" t="n"/>
      <c r="F2107" s="6" t="n"/>
      <c r="G2107" s="6" t="n"/>
      <c r="H2107" s="6" t="n"/>
      <c r="I2107" s="12">
        <f>IF($B2107="","",IF(COUNTIF(Ventes_Factures!$A$6:$A$3005,$B2107)&gt;0,"OK","INCONNUE"))</f>
        <v/>
      </c>
      <c r="J2107" s="9">
        <f>IF($D2107="","",ROUND($D2107,2))</f>
        <v/>
      </c>
    </row>
    <row r="2108">
      <c r="A2108" s="6" t="n"/>
      <c r="B2108" s="6" t="n"/>
      <c r="C2108" s="7" t="n"/>
      <c r="D2108" s="8" t="n"/>
      <c r="E2108" s="6" t="n"/>
      <c r="F2108" s="6" t="n"/>
      <c r="G2108" s="6" t="n"/>
      <c r="H2108" s="6" t="n"/>
      <c r="I2108" s="12">
        <f>IF($B2108="","",IF(COUNTIF(Ventes_Factures!$A$6:$A$3005,$B2108)&gt;0,"OK","INCONNUE"))</f>
        <v/>
      </c>
      <c r="J2108" s="9">
        <f>IF($D2108="","",ROUND($D2108,2))</f>
        <v/>
      </c>
    </row>
    <row r="2109">
      <c r="A2109" s="6" t="n"/>
      <c r="B2109" s="6" t="n"/>
      <c r="C2109" s="7" t="n"/>
      <c r="D2109" s="8" t="n"/>
      <c r="E2109" s="6" t="n"/>
      <c r="F2109" s="6" t="n"/>
      <c r="G2109" s="6" t="n"/>
      <c r="H2109" s="6" t="n"/>
      <c r="I2109" s="12">
        <f>IF($B2109="","",IF(COUNTIF(Ventes_Factures!$A$6:$A$3005,$B2109)&gt;0,"OK","INCONNUE"))</f>
        <v/>
      </c>
      <c r="J2109" s="9">
        <f>IF($D2109="","",ROUND($D2109,2))</f>
        <v/>
      </c>
    </row>
    <row r="2110">
      <c r="A2110" s="6" t="n"/>
      <c r="B2110" s="6" t="n"/>
      <c r="C2110" s="7" t="n"/>
      <c r="D2110" s="8" t="n"/>
      <c r="E2110" s="6" t="n"/>
      <c r="F2110" s="6" t="n"/>
      <c r="G2110" s="6" t="n"/>
      <c r="H2110" s="6" t="n"/>
      <c r="I2110" s="12">
        <f>IF($B2110="","",IF(COUNTIF(Ventes_Factures!$A$6:$A$3005,$B2110)&gt;0,"OK","INCONNUE"))</f>
        <v/>
      </c>
      <c r="J2110" s="9">
        <f>IF($D2110="","",ROUND($D2110,2))</f>
        <v/>
      </c>
    </row>
    <row r="2111">
      <c r="A2111" s="6" t="n"/>
      <c r="B2111" s="6" t="n"/>
      <c r="C2111" s="7" t="n"/>
      <c r="D2111" s="8" t="n"/>
      <c r="E2111" s="6" t="n"/>
      <c r="F2111" s="6" t="n"/>
      <c r="G2111" s="6" t="n"/>
      <c r="H2111" s="6" t="n"/>
      <c r="I2111" s="12">
        <f>IF($B2111="","",IF(COUNTIF(Ventes_Factures!$A$6:$A$3005,$B2111)&gt;0,"OK","INCONNUE"))</f>
        <v/>
      </c>
      <c r="J2111" s="9">
        <f>IF($D2111="","",ROUND($D2111,2))</f>
        <v/>
      </c>
    </row>
    <row r="2112">
      <c r="A2112" s="6" t="n"/>
      <c r="B2112" s="6" t="n"/>
      <c r="C2112" s="7" t="n"/>
      <c r="D2112" s="8" t="n"/>
      <c r="E2112" s="6" t="n"/>
      <c r="F2112" s="6" t="n"/>
      <c r="G2112" s="6" t="n"/>
      <c r="H2112" s="6" t="n"/>
      <c r="I2112" s="12">
        <f>IF($B2112="","",IF(COUNTIF(Ventes_Factures!$A$6:$A$3005,$B2112)&gt;0,"OK","INCONNUE"))</f>
        <v/>
      </c>
      <c r="J2112" s="9">
        <f>IF($D2112="","",ROUND($D2112,2))</f>
        <v/>
      </c>
    </row>
    <row r="2113">
      <c r="A2113" s="6" t="n"/>
      <c r="B2113" s="6" t="n"/>
      <c r="C2113" s="7" t="n"/>
      <c r="D2113" s="8" t="n"/>
      <c r="E2113" s="6" t="n"/>
      <c r="F2113" s="6" t="n"/>
      <c r="G2113" s="6" t="n"/>
      <c r="H2113" s="6" t="n"/>
      <c r="I2113" s="12">
        <f>IF($B2113="","",IF(COUNTIF(Ventes_Factures!$A$6:$A$3005,$B2113)&gt;0,"OK","INCONNUE"))</f>
        <v/>
      </c>
      <c r="J2113" s="9">
        <f>IF($D2113="","",ROUND($D2113,2))</f>
        <v/>
      </c>
    </row>
    <row r="2114">
      <c r="A2114" s="6" t="n"/>
      <c r="B2114" s="6" t="n"/>
      <c r="C2114" s="7" t="n"/>
      <c r="D2114" s="8" t="n"/>
      <c r="E2114" s="6" t="n"/>
      <c r="F2114" s="6" t="n"/>
      <c r="G2114" s="6" t="n"/>
      <c r="H2114" s="6" t="n"/>
      <c r="I2114" s="12">
        <f>IF($B2114="","",IF(COUNTIF(Ventes_Factures!$A$6:$A$3005,$B2114)&gt;0,"OK","INCONNUE"))</f>
        <v/>
      </c>
      <c r="J2114" s="9">
        <f>IF($D2114="","",ROUND($D2114,2))</f>
        <v/>
      </c>
    </row>
    <row r="2115">
      <c r="A2115" s="6" t="n"/>
      <c r="B2115" s="6" t="n"/>
      <c r="C2115" s="7" t="n"/>
      <c r="D2115" s="8" t="n"/>
      <c r="E2115" s="6" t="n"/>
      <c r="F2115" s="6" t="n"/>
      <c r="G2115" s="6" t="n"/>
      <c r="H2115" s="6" t="n"/>
      <c r="I2115" s="12">
        <f>IF($B2115="","",IF(COUNTIF(Ventes_Factures!$A$6:$A$3005,$B2115)&gt;0,"OK","INCONNUE"))</f>
        <v/>
      </c>
      <c r="J2115" s="9">
        <f>IF($D2115="","",ROUND($D2115,2))</f>
        <v/>
      </c>
    </row>
    <row r="2116">
      <c r="A2116" s="6" t="n"/>
      <c r="B2116" s="6" t="n"/>
      <c r="C2116" s="7" t="n"/>
      <c r="D2116" s="8" t="n"/>
      <c r="E2116" s="6" t="n"/>
      <c r="F2116" s="6" t="n"/>
      <c r="G2116" s="6" t="n"/>
      <c r="H2116" s="6" t="n"/>
      <c r="I2116" s="12">
        <f>IF($B2116="","",IF(COUNTIF(Ventes_Factures!$A$6:$A$3005,$B2116)&gt;0,"OK","INCONNUE"))</f>
        <v/>
      </c>
      <c r="J2116" s="9">
        <f>IF($D2116="","",ROUND($D2116,2))</f>
        <v/>
      </c>
    </row>
    <row r="2117">
      <c r="A2117" s="6" t="n"/>
      <c r="B2117" s="6" t="n"/>
      <c r="C2117" s="7" t="n"/>
      <c r="D2117" s="8" t="n"/>
      <c r="E2117" s="6" t="n"/>
      <c r="F2117" s="6" t="n"/>
      <c r="G2117" s="6" t="n"/>
      <c r="H2117" s="6" t="n"/>
      <c r="I2117" s="12">
        <f>IF($B2117="","",IF(COUNTIF(Ventes_Factures!$A$6:$A$3005,$B2117)&gt;0,"OK","INCONNUE"))</f>
        <v/>
      </c>
      <c r="J2117" s="9">
        <f>IF($D2117="","",ROUND($D2117,2))</f>
        <v/>
      </c>
    </row>
    <row r="2118">
      <c r="A2118" s="6" t="n"/>
      <c r="B2118" s="6" t="n"/>
      <c r="C2118" s="7" t="n"/>
      <c r="D2118" s="8" t="n"/>
      <c r="E2118" s="6" t="n"/>
      <c r="F2118" s="6" t="n"/>
      <c r="G2118" s="6" t="n"/>
      <c r="H2118" s="6" t="n"/>
      <c r="I2118" s="12">
        <f>IF($B2118="","",IF(COUNTIF(Ventes_Factures!$A$6:$A$3005,$B2118)&gt;0,"OK","INCONNUE"))</f>
        <v/>
      </c>
      <c r="J2118" s="9">
        <f>IF($D2118="","",ROUND($D2118,2))</f>
        <v/>
      </c>
    </row>
    <row r="2119">
      <c r="A2119" s="6" t="n"/>
      <c r="B2119" s="6" t="n"/>
      <c r="C2119" s="7" t="n"/>
      <c r="D2119" s="8" t="n"/>
      <c r="E2119" s="6" t="n"/>
      <c r="F2119" s="6" t="n"/>
      <c r="G2119" s="6" t="n"/>
      <c r="H2119" s="6" t="n"/>
      <c r="I2119" s="12">
        <f>IF($B2119="","",IF(COUNTIF(Ventes_Factures!$A$6:$A$3005,$B2119)&gt;0,"OK","INCONNUE"))</f>
        <v/>
      </c>
      <c r="J2119" s="9">
        <f>IF($D2119="","",ROUND($D2119,2))</f>
        <v/>
      </c>
    </row>
    <row r="2120">
      <c r="A2120" s="6" t="n"/>
      <c r="B2120" s="6" t="n"/>
      <c r="C2120" s="7" t="n"/>
      <c r="D2120" s="8" t="n"/>
      <c r="E2120" s="6" t="n"/>
      <c r="F2120" s="6" t="n"/>
      <c r="G2120" s="6" t="n"/>
      <c r="H2120" s="6" t="n"/>
      <c r="I2120" s="12">
        <f>IF($B2120="","",IF(COUNTIF(Ventes_Factures!$A$6:$A$3005,$B2120)&gt;0,"OK","INCONNUE"))</f>
        <v/>
      </c>
      <c r="J2120" s="9">
        <f>IF($D2120="","",ROUND($D2120,2))</f>
        <v/>
      </c>
    </row>
    <row r="2121">
      <c r="A2121" s="6" t="n"/>
      <c r="B2121" s="6" t="n"/>
      <c r="C2121" s="7" t="n"/>
      <c r="D2121" s="8" t="n"/>
      <c r="E2121" s="6" t="n"/>
      <c r="F2121" s="6" t="n"/>
      <c r="G2121" s="6" t="n"/>
      <c r="H2121" s="6" t="n"/>
      <c r="I2121" s="12">
        <f>IF($B2121="","",IF(COUNTIF(Ventes_Factures!$A$6:$A$3005,$B2121)&gt;0,"OK","INCONNUE"))</f>
        <v/>
      </c>
      <c r="J2121" s="9">
        <f>IF($D2121="","",ROUND($D2121,2))</f>
        <v/>
      </c>
    </row>
    <row r="2122">
      <c r="A2122" s="6" t="n"/>
      <c r="B2122" s="6" t="n"/>
      <c r="C2122" s="7" t="n"/>
      <c r="D2122" s="8" t="n"/>
      <c r="E2122" s="6" t="n"/>
      <c r="F2122" s="6" t="n"/>
      <c r="G2122" s="6" t="n"/>
      <c r="H2122" s="6" t="n"/>
      <c r="I2122" s="12">
        <f>IF($B2122="","",IF(COUNTIF(Ventes_Factures!$A$6:$A$3005,$B2122)&gt;0,"OK","INCONNUE"))</f>
        <v/>
      </c>
      <c r="J2122" s="9">
        <f>IF($D2122="","",ROUND($D2122,2))</f>
        <v/>
      </c>
    </row>
    <row r="2123">
      <c r="A2123" s="6" t="n"/>
      <c r="B2123" s="6" t="n"/>
      <c r="C2123" s="7" t="n"/>
      <c r="D2123" s="8" t="n"/>
      <c r="E2123" s="6" t="n"/>
      <c r="F2123" s="6" t="n"/>
      <c r="G2123" s="6" t="n"/>
      <c r="H2123" s="6" t="n"/>
      <c r="I2123" s="12">
        <f>IF($B2123="","",IF(COUNTIF(Ventes_Factures!$A$6:$A$3005,$B2123)&gt;0,"OK","INCONNUE"))</f>
        <v/>
      </c>
      <c r="J2123" s="9">
        <f>IF($D2123="","",ROUND($D2123,2))</f>
        <v/>
      </c>
    </row>
    <row r="2124">
      <c r="A2124" s="6" t="n"/>
      <c r="B2124" s="6" t="n"/>
      <c r="C2124" s="7" t="n"/>
      <c r="D2124" s="8" t="n"/>
      <c r="E2124" s="6" t="n"/>
      <c r="F2124" s="6" t="n"/>
      <c r="G2124" s="6" t="n"/>
      <c r="H2124" s="6" t="n"/>
      <c r="I2124" s="12">
        <f>IF($B2124="","",IF(COUNTIF(Ventes_Factures!$A$6:$A$3005,$B2124)&gt;0,"OK","INCONNUE"))</f>
        <v/>
      </c>
      <c r="J2124" s="9">
        <f>IF($D2124="","",ROUND($D2124,2))</f>
        <v/>
      </c>
    </row>
    <row r="2125">
      <c r="A2125" s="6" t="n"/>
      <c r="B2125" s="6" t="n"/>
      <c r="C2125" s="7" t="n"/>
      <c r="D2125" s="8" t="n"/>
      <c r="E2125" s="6" t="n"/>
      <c r="F2125" s="6" t="n"/>
      <c r="G2125" s="6" t="n"/>
      <c r="H2125" s="6" t="n"/>
      <c r="I2125" s="12">
        <f>IF($B2125="","",IF(COUNTIF(Ventes_Factures!$A$6:$A$3005,$B2125)&gt;0,"OK","INCONNUE"))</f>
        <v/>
      </c>
      <c r="J2125" s="9">
        <f>IF($D2125="","",ROUND($D2125,2))</f>
        <v/>
      </c>
    </row>
    <row r="2126">
      <c r="A2126" s="6" t="n"/>
      <c r="B2126" s="6" t="n"/>
      <c r="C2126" s="7" t="n"/>
      <c r="D2126" s="8" t="n"/>
      <c r="E2126" s="6" t="n"/>
      <c r="F2126" s="6" t="n"/>
      <c r="G2126" s="6" t="n"/>
      <c r="H2126" s="6" t="n"/>
      <c r="I2126" s="12">
        <f>IF($B2126="","",IF(COUNTIF(Ventes_Factures!$A$6:$A$3005,$B2126)&gt;0,"OK","INCONNUE"))</f>
        <v/>
      </c>
      <c r="J2126" s="9">
        <f>IF($D2126="","",ROUND($D2126,2))</f>
        <v/>
      </c>
    </row>
    <row r="2127">
      <c r="A2127" s="6" t="n"/>
      <c r="B2127" s="6" t="n"/>
      <c r="C2127" s="7" t="n"/>
      <c r="D2127" s="8" t="n"/>
      <c r="E2127" s="6" t="n"/>
      <c r="F2127" s="6" t="n"/>
      <c r="G2127" s="6" t="n"/>
      <c r="H2127" s="6" t="n"/>
      <c r="I2127" s="12">
        <f>IF($B2127="","",IF(COUNTIF(Ventes_Factures!$A$6:$A$3005,$B2127)&gt;0,"OK","INCONNUE"))</f>
        <v/>
      </c>
      <c r="J2127" s="9">
        <f>IF($D2127="","",ROUND($D2127,2))</f>
        <v/>
      </c>
    </row>
    <row r="2128">
      <c r="A2128" s="6" t="n"/>
      <c r="B2128" s="6" t="n"/>
      <c r="C2128" s="7" t="n"/>
      <c r="D2128" s="8" t="n"/>
      <c r="E2128" s="6" t="n"/>
      <c r="F2128" s="6" t="n"/>
      <c r="G2128" s="6" t="n"/>
      <c r="H2128" s="6" t="n"/>
      <c r="I2128" s="12">
        <f>IF($B2128="","",IF(COUNTIF(Ventes_Factures!$A$6:$A$3005,$B2128)&gt;0,"OK","INCONNUE"))</f>
        <v/>
      </c>
      <c r="J2128" s="9">
        <f>IF($D2128="","",ROUND($D2128,2))</f>
        <v/>
      </c>
    </row>
    <row r="2129">
      <c r="A2129" s="6" t="n"/>
      <c r="B2129" s="6" t="n"/>
      <c r="C2129" s="7" t="n"/>
      <c r="D2129" s="8" t="n"/>
      <c r="E2129" s="6" t="n"/>
      <c r="F2129" s="6" t="n"/>
      <c r="G2129" s="6" t="n"/>
      <c r="H2129" s="6" t="n"/>
      <c r="I2129" s="12">
        <f>IF($B2129="","",IF(COUNTIF(Ventes_Factures!$A$6:$A$3005,$B2129)&gt;0,"OK","INCONNUE"))</f>
        <v/>
      </c>
      <c r="J2129" s="9">
        <f>IF($D2129="","",ROUND($D2129,2))</f>
        <v/>
      </c>
    </row>
    <row r="2130">
      <c r="A2130" s="6" t="n"/>
      <c r="B2130" s="6" t="n"/>
      <c r="C2130" s="7" t="n"/>
      <c r="D2130" s="8" t="n"/>
      <c r="E2130" s="6" t="n"/>
      <c r="F2130" s="6" t="n"/>
      <c r="G2130" s="6" t="n"/>
      <c r="H2130" s="6" t="n"/>
      <c r="I2130" s="12">
        <f>IF($B2130="","",IF(COUNTIF(Ventes_Factures!$A$6:$A$3005,$B2130)&gt;0,"OK","INCONNUE"))</f>
        <v/>
      </c>
      <c r="J2130" s="9">
        <f>IF($D2130="","",ROUND($D2130,2))</f>
        <v/>
      </c>
    </row>
    <row r="2131">
      <c r="A2131" s="6" t="n"/>
      <c r="B2131" s="6" t="n"/>
      <c r="C2131" s="7" t="n"/>
      <c r="D2131" s="8" t="n"/>
      <c r="E2131" s="6" t="n"/>
      <c r="F2131" s="6" t="n"/>
      <c r="G2131" s="6" t="n"/>
      <c r="H2131" s="6" t="n"/>
      <c r="I2131" s="12">
        <f>IF($B2131="","",IF(COUNTIF(Ventes_Factures!$A$6:$A$3005,$B2131)&gt;0,"OK","INCONNUE"))</f>
        <v/>
      </c>
      <c r="J2131" s="9">
        <f>IF($D2131="","",ROUND($D2131,2))</f>
        <v/>
      </c>
    </row>
    <row r="2132">
      <c r="A2132" s="6" t="n"/>
      <c r="B2132" s="6" t="n"/>
      <c r="C2132" s="7" t="n"/>
      <c r="D2132" s="8" t="n"/>
      <c r="E2132" s="6" t="n"/>
      <c r="F2132" s="6" t="n"/>
      <c r="G2132" s="6" t="n"/>
      <c r="H2132" s="6" t="n"/>
      <c r="I2132" s="12">
        <f>IF($B2132="","",IF(COUNTIF(Ventes_Factures!$A$6:$A$3005,$B2132)&gt;0,"OK","INCONNUE"))</f>
        <v/>
      </c>
      <c r="J2132" s="9">
        <f>IF($D2132="","",ROUND($D2132,2))</f>
        <v/>
      </c>
    </row>
    <row r="2133">
      <c r="A2133" s="6" t="n"/>
      <c r="B2133" s="6" t="n"/>
      <c r="C2133" s="7" t="n"/>
      <c r="D2133" s="8" t="n"/>
      <c r="E2133" s="6" t="n"/>
      <c r="F2133" s="6" t="n"/>
      <c r="G2133" s="6" t="n"/>
      <c r="H2133" s="6" t="n"/>
      <c r="I2133" s="12">
        <f>IF($B2133="","",IF(COUNTIF(Ventes_Factures!$A$6:$A$3005,$B2133)&gt;0,"OK","INCONNUE"))</f>
        <v/>
      </c>
      <c r="J2133" s="9">
        <f>IF($D2133="","",ROUND($D2133,2))</f>
        <v/>
      </c>
    </row>
    <row r="2134">
      <c r="A2134" s="6" t="n"/>
      <c r="B2134" s="6" t="n"/>
      <c r="C2134" s="7" t="n"/>
      <c r="D2134" s="8" t="n"/>
      <c r="E2134" s="6" t="n"/>
      <c r="F2134" s="6" t="n"/>
      <c r="G2134" s="6" t="n"/>
      <c r="H2134" s="6" t="n"/>
      <c r="I2134" s="12">
        <f>IF($B2134="","",IF(COUNTIF(Ventes_Factures!$A$6:$A$3005,$B2134)&gt;0,"OK","INCONNUE"))</f>
        <v/>
      </c>
      <c r="J2134" s="9">
        <f>IF($D2134="","",ROUND($D2134,2))</f>
        <v/>
      </c>
    </row>
    <row r="2135">
      <c r="A2135" s="6" t="n"/>
      <c r="B2135" s="6" t="n"/>
      <c r="C2135" s="7" t="n"/>
      <c r="D2135" s="8" t="n"/>
      <c r="E2135" s="6" t="n"/>
      <c r="F2135" s="6" t="n"/>
      <c r="G2135" s="6" t="n"/>
      <c r="H2135" s="6" t="n"/>
      <c r="I2135" s="12">
        <f>IF($B2135="","",IF(COUNTIF(Ventes_Factures!$A$6:$A$3005,$B2135)&gt;0,"OK","INCONNUE"))</f>
        <v/>
      </c>
      <c r="J2135" s="9">
        <f>IF($D2135="","",ROUND($D2135,2))</f>
        <v/>
      </c>
    </row>
    <row r="2136">
      <c r="A2136" s="6" t="n"/>
      <c r="B2136" s="6" t="n"/>
      <c r="C2136" s="7" t="n"/>
      <c r="D2136" s="8" t="n"/>
      <c r="E2136" s="6" t="n"/>
      <c r="F2136" s="6" t="n"/>
      <c r="G2136" s="6" t="n"/>
      <c r="H2136" s="6" t="n"/>
      <c r="I2136" s="12">
        <f>IF($B2136="","",IF(COUNTIF(Ventes_Factures!$A$6:$A$3005,$B2136)&gt;0,"OK","INCONNUE"))</f>
        <v/>
      </c>
      <c r="J2136" s="9">
        <f>IF($D2136="","",ROUND($D2136,2))</f>
        <v/>
      </c>
    </row>
    <row r="2137">
      <c r="A2137" s="6" t="n"/>
      <c r="B2137" s="6" t="n"/>
      <c r="C2137" s="7" t="n"/>
      <c r="D2137" s="8" t="n"/>
      <c r="E2137" s="6" t="n"/>
      <c r="F2137" s="6" t="n"/>
      <c r="G2137" s="6" t="n"/>
      <c r="H2137" s="6" t="n"/>
      <c r="I2137" s="12">
        <f>IF($B2137="","",IF(COUNTIF(Ventes_Factures!$A$6:$A$3005,$B2137)&gt;0,"OK","INCONNUE"))</f>
        <v/>
      </c>
      <c r="J2137" s="9">
        <f>IF($D2137="","",ROUND($D2137,2))</f>
        <v/>
      </c>
    </row>
    <row r="2138">
      <c r="A2138" s="6" t="n"/>
      <c r="B2138" s="6" t="n"/>
      <c r="C2138" s="7" t="n"/>
      <c r="D2138" s="8" t="n"/>
      <c r="E2138" s="6" t="n"/>
      <c r="F2138" s="6" t="n"/>
      <c r="G2138" s="6" t="n"/>
      <c r="H2138" s="6" t="n"/>
      <c r="I2138" s="12">
        <f>IF($B2138="","",IF(COUNTIF(Ventes_Factures!$A$6:$A$3005,$B2138)&gt;0,"OK","INCONNUE"))</f>
        <v/>
      </c>
      <c r="J2138" s="9">
        <f>IF($D2138="","",ROUND($D2138,2))</f>
        <v/>
      </c>
    </row>
    <row r="2139">
      <c r="A2139" s="6" t="n"/>
      <c r="B2139" s="6" t="n"/>
      <c r="C2139" s="7" t="n"/>
      <c r="D2139" s="8" t="n"/>
      <c r="E2139" s="6" t="n"/>
      <c r="F2139" s="6" t="n"/>
      <c r="G2139" s="6" t="n"/>
      <c r="H2139" s="6" t="n"/>
      <c r="I2139" s="12">
        <f>IF($B2139="","",IF(COUNTIF(Ventes_Factures!$A$6:$A$3005,$B2139)&gt;0,"OK","INCONNUE"))</f>
        <v/>
      </c>
      <c r="J2139" s="9">
        <f>IF($D2139="","",ROUND($D2139,2))</f>
        <v/>
      </c>
    </row>
    <row r="2140">
      <c r="A2140" s="6" t="n"/>
      <c r="B2140" s="6" t="n"/>
      <c r="C2140" s="7" t="n"/>
      <c r="D2140" s="8" t="n"/>
      <c r="E2140" s="6" t="n"/>
      <c r="F2140" s="6" t="n"/>
      <c r="G2140" s="6" t="n"/>
      <c r="H2140" s="6" t="n"/>
      <c r="I2140" s="12">
        <f>IF($B2140="","",IF(COUNTIF(Ventes_Factures!$A$6:$A$3005,$B2140)&gt;0,"OK","INCONNUE"))</f>
        <v/>
      </c>
      <c r="J2140" s="9">
        <f>IF($D2140="","",ROUND($D2140,2))</f>
        <v/>
      </c>
    </row>
    <row r="2141">
      <c r="A2141" s="6" t="n"/>
      <c r="B2141" s="6" t="n"/>
      <c r="C2141" s="7" t="n"/>
      <c r="D2141" s="8" t="n"/>
      <c r="E2141" s="6" t="n"/>
      <c r="F2141" s="6" t="n"/>
      <c r="G2141" s="6" t="n"/>
      <c r="H2141" s="6" t="n"/>
      <c r="I2141" s="12">
        <f>IF($B2141="","",IF(COUNTIF(Ventes_Factures!$A$6:$A$3005,$B2141)&gt;0,"OK","INCONNUE"))</f>
        <v/>
      </c>
      <c r="J2141" s="9">
        <f>IF($D2141="","",ROUND($D2141,2))</f>
        <v/>
      </c>
    </row>
    <row r="2142">
      <c r="A2142" s="6" t="n"/>
      <c r="B2142" s="6" t="n"/>
      <c r="C2142" s="7" t="n"/>
      <c r="D2142" s="8" t="n"/>
      <c r="E2142" s="6" t="n"/>
      <c r="F2142" s="6" t="n"/>
      <c r="G2142" s="6" t="n"/>
      <c r="H2142" s="6" t="n"/>
      <c r="I2142" s="12">
        <f>IF($B2142="","",IF(COUNTIF(Ventes_Factures!$A$6:$A$3005,$B2142)&gt;0,"OK","INCONNUE"))</f>
        <v/>
      </c>
      <c r="J2142" s="9">
        <f>IF($D2142="","",ROUND($D2142,2))</f>
        <v/>
      </c>
    </row>
    <row r="2143">
      <c r="A2143" s="6" t="n"/>
      <c r="B2143" s="6" t="n"/>
      <c r="C2143" s="7" t="n"/>
      <c r="D2143" s="8" t="n"/>
      <c r="E2143" s="6" t="n"/>
      <c r="F2143" s="6" t="n"/>
      <c r="G2143" s="6" t="n"/>
      <c r="H2143" s="6" t="n"/>
      <c r="I2143" s="12">
        <f>IF($B2143="","",IF(COUNTIF(Ventes_Factures!$A$6:$A$3005,$B2143)&gt;0,"OK","INCONNUE"))</f>
        <v/>
      </c>
      <c r="J2143" s="9">
        <f>IF($D2143="","",ROUND($D2143,2))</f>
        <v/>
      </c>
    </row>
    <row r="2144">
      <c r="A2144" s="6" t="n"/>
      <c r="B2144" s="6" t="n"/>
      <c r="C2144" s="7" t="n"/>
      <c r="D2144" s="8" t="n"/>
      <c r="E2144" s="6" t="n"/>
      <c r="F2144" s="6" t="n"/>
      <c r="G2144" s="6" t="n"/>
      <c r="H2144" s="6" t="n"/>
      <c r="I2144" s="12">
        <f>IF($B2144="","",IF(COUNTIF(Ventes_Factures!$A$6:$A$3005,$B2144)&gt;0,"OK","INCONNUE"))</f>
        <v/>
      </c>
      <c r="J2144" s="9">
        <f>IF($D2144="","",ROUND($D2144,2))</f>
        <v/>
      </c>
    </row>
    <row r="2145">
      <c r="A2145" s="6" t="n"/>
      <c r="B2145" s="6" t="n"/>
      <c r="C2145" s="7" t="n"/>
      <c r="D2145" s="8" t="n"/>
      <c r="E2145" s="6" t="n"/>
      <c r="F2145" s="6" t="n"/>
      <c r="G2145" s="6" t="n"/>
      <c r="H2145" s="6" t="n"/>
      <c r="I2145" s="12">
        <f>IF($B2145="","",IF(COUNTIF(Ventes_Factures!$A$6:$A$3005,$B2145)&gt;0,"OK","INCONNUE"))</f>
        <v/>
      </c>
      <c r="J2145" s="9">
        <f>IF($D2145="","",ROUND($D2145,2))</f>
        <v/>
      </c>
    </row>
    <row r="2146">
      <c r="A2146" s="6" t="n"/>
      <c r="B2146" s="6" t="n"/>
      <c r="C2146" s="7" t="n"/>
      <c r="D2146" s="8" t="n"/>
      <c r="E2146" s="6" t="n"/>
      <c r="F2146" s="6" t="n"/>
      <c r="G2146" s="6" t="n"/>
      <c r="H2146" s="6" t="n"/>
      <c r="I2146" s="12">
        <f>IF($B2146="","",IF(COUNTIF(Ventes_Factures!$A$6:$A$3005,$B2146)&gt;0,"OK","INCONNUE"))</f>
        <v/>
      </c>
      <c r="J2146" s="9">
        <f>IF($D2146="","",ROUND($D2146,2))</f>
        <v/>
      </c>
    </row>
    <row r="2147">
      <c r="A2147" s="6" t="n"/>
      <c r="B2147" s="6" t="n"/>
      <c r="C2147" s="7" t="n"/>
      <c r="D2147" s="8" t="n"/>
      <c r="E2147" s="6" t="n"/>
      <c r="F2147" s="6" t="n"/>
      <c r="G2147" s="6" t="n"/>
      <c r="H2147" s="6" t="n"/>
      <c r="I2147" s="12">
        <f>IF($B2147="","",IF(COUNTIF(Ventes_Factures!$A$6:$A$3005,$B2147)&gt;0,"OK","INCONNUE"))</f>
        <v/>
      </c>
      <c r="J2147" s="9">
        <f>IF($D2147="","",ROUND($D2147,2))</f>
        <v/>
      </c>
    </row>
    <row r="2148">
      <c r="A2148" s="6" t="n"/>
      <c r="B2148" s="6" t="n"/>
      <c r="C2148" s="7" t="n"/>
      <c r="D2148" s="8" t="n"/>
      <c r="E2148" s="6" t="n"/>
      <c r="F2148" s="6" t="n"/>
      <c r="G2148" s="6" t="n"/>
      <c r="H2148" s="6" t="n"/>
      <c r="I2148" s="12">
        <f>IF($B2148="","",IF(COUNTIF(Ventes_Factures!$A$6:$A$3005,$B2148)&gt;0,"OK","INCONNUE"))</f>
        <v/>
      </c>
      <c r="J2148" s="9">
        <f>IF($D2148="","",ROUND($D2148,2))</f>
        <v/>
      </c>
    </row>
    <row r="2149">
      <c r="A2149" s="6" t="n"/>
      <c r="B2149" s="6" t="n"/>
      <c r="C2149" s="7" t="n"/>
      <c r="D2149" s="8" t="n"/>
      <c r="E2149" s="6" t="n"/>
      <c r="F2149" s="6" t="n"/>
      <c r="G2149" s="6" t="n"/>
      <c r="H2149" s="6" t="n"/>
      <c r="I2149" s="12">
        <f>IF($B2149="","",IF(COUNTIF(Ventes_Factures!$A$6:$A$3005,$B2149)&gt;0,"OK","INCONNUE"))</f>
        <v/>
      </c>
      <c r="J2149" s="9">
        <f>IF($D2149="","",ROUND($D2149,2))</f>
        <v/>
      </c>
    </row>
    <row r="2150">
      <c r="A2150" s="6" t="n"/>
      <c r="B2150" s="6" t="n"/>
      <c r="C2150" s="7" t="n"/>
      <c r="D2150" s="8" t="n"/>
      <c r="E2150" s="6" t="n"/>
      <c r="F2150" s="6" t="n"/>
      <c r="G2150" s="6" t="n"/>
      <c r="H2150" s="6" t="n"/>
      <c r="I2150" s="12">
        <f>IF($B2150="","",IF(COUNTIF(Ventes_Factures!$A$6:$A$3005,$B2150)&gt;0,"OK","INCONNUE"))</f>
        <v/>
      </c>
      <c r="J2150" s="9">
        <f>IF($D2150="","",ROUND($D2150,2))</f>
        <v/>
      </c>
    </row>
    <row r="2151">
      <c r="A2151" s="6" t="n"/>
      <c r="B2151" s="6" t="n"/>
      <c r="C2151" s="7" t="n"/>
      <c r="D2151" s="8" t="n"/>
      <c r="E2151" s="6" t="n"/>
      <c r="F2151" s="6" t="n"/>
      <c r="G2151" s="6" t="n"/>
      <c r="H2151" s="6" t="n"/>
      <c r="I2151" s="12">
        <f>IF($B2151="","",IF(COUNTIF(Ventes_Factures!$A$6:$A$3005,$B2151)&gt;0,"OK","INCONNUE"))</f>
        <v/>
      </c>
      <c r="J2151" s="9">
        <f>IF($D2151="","",ROUND($D2151,2))</f>
        <v/>
      </c>
    </row>
    <row r="2152">
      <c r="A2152" s="6" t="n"/>
      <c r="B2152" s="6" t="n"/>
      <c r="C2152" s="7" t="n"/>
      <c r="D2152" s="8" t="n"/>
      <c r="E2152" s="6" t="n"/>
      <c r="F2152" s="6" t="n"/>
      <c r="G2152" s="6" t="n"/>
      <c r="H2152" s="6" t="n"/>
      <c r="I2152" s="12">
        <f>IF($B2152="","",IF(COUNTIF(Ventes_Factures!$A$6:$A$3005,$B2152)&gt;0,"OK","INCONNUE"))</f>
        <v/>
      </c>
      <c r="J2152" s="9">
        <f>IF($D2152="","",ROUND($D2152,2))</f>
        <v/>
      </c>
    </row>
    <row r="2153">
      <c r="A2153" s="6" t="n"/>
      <c r="B2153" s="6" t="n"/>
      <c r="C2153" s="7" t="n"/>
      <c r="D2153" s="8" t="n"/>
      <c r="E2153" s="6" t="n"/>
      <c r="F2153" s="6" t="n"/>
      <c r="G2153" s="6" t="n"/>
      <c r="H2153" s="6" t="n"/>
      <c r="I2153" s="12">
        <f>IF($B2153="","",IF(COUNTIF(Ventes_Factures!$A$6:$A$3005,$B2153)&gt;0,"OK","INCONNUE"))</f>
        <v/>
      </c>
      <c r="J2153" s="9">
        <f>IF($D2153="","",ROUND($D2153,2))</f>
        <v/>
      </c>
    </row>
    <row r="2154">
      <c r="A2154" s="6" t="n"/>
      <c r="B2154" s="6" t="n"/>
      <c r="C2154" s="7" t="n"/>
      <c r="D2154" s="8" t="n"/>
      <c r="E2154" s="6" t="n"/>
      <c r="F2154" s="6" t="n"/>
      <c r="G2154" s="6" t="n"/>
      <c r="H2154" s="6" t="n"/>
      <c r="I2154" s="12">
        <f>IF($B2154="","",IF(COUNTIF(Ventes_Factures!$A$6:$A$3005,$B2154)&gt;0,"OK","INCONNUE"))</f>
        <v/>
      </c>
      <c r="J2154" s="9">
        <f>IF($D2154="","",ROUND($D2154,2))</f>
        <v/>
      </c>
    </row>
    <row r="2155">
      <c r="A2155" s="6" t="n"/>
      <c r="B2155" s="6" t="n"/>
      <c r="C2155" s="7" t="n"/>
      <c r="D2155" s="8" t="n"/>
      <c r="E2155" s="6" t="n"/>
      <c r="F2155" s="6" t="n"/>
      <c r="G2155" s="6" t="n"/>
      <c r="H2155" s="6" t="n"/>
      <c r="I2155" s="12">
        <f>IF($B2155="","",IF(COUNTIF(Ventes_Factures!$A$6:$A$3005,$B2155)&gt;0,"OK","INCONNUE"))</f>
        <v/>
      </c>
      <c r="J2155" s="9">
        <f>IF($D2155="","",ROUND($D2155,2))</f>
        <v/>
      </c>
    </row>
    <row r="2156">
      <c r="A2156" s="6" t="n"/>
      <c r="B2156" s="6" t="n"/>
      <c r="C2156" s="7" t="n"/>
      <c r="D2156" s="8" t="n"/>
      <c r="E2156" s="6" t="n"/>
      <c r="F2156" s="6" t="n"/>
      <c r="G2156" s="6" t="n"/>
      <c r="H2156" s="6" t="n"/>
      <c r="I2156" s="12">
        <f>IF($B2156="","",IF(COUNTIF(Ventes_Factures!$A$6:$A$3005,$B2156)&gt;0,"OK","INCONNUE"))</f>
        <v/>
      </c>
      <c r="J2156" s="9">
        <f>IF($D2156="","",ROUND($D2156,2))</f>
        <v/>
      </c>
    </row>
    <row r="2157">
      <c r="A2157" s="6" t="n"/>
      <c r="B2157" s="6" t="n"/>
      <c r="C2157" s="7" t="n"/>
      <c r="D2157" s="8" t="n"/>
      <c r="E2157" s="6" t="n"/>
      <c r="F2157" s="6" t="n"/>
      <c r="G2157" s="6" t="n"/>
      <c r="H2157" s="6" t="n"/>
      <c r="I2157" s="12">
        <f>IF($B2157="","",IF(COUNTIF(Ventes_Factures!$A$6:$A$3005,$B2157)&gt;0,"OK","INCONNUE"))</f>
        <v/>
      </c>
      <c r="J2157" s="9">
        <f>IF($D2157="","",ROUND($D2157,2))</f>
        <v/>
      </c>
    </row>
    <row r="2158">
      <c r="A2158" s="6" t="n"/>
      <c r="B2158" s="6" t="n"/>
      <c r="C2158" s="7" t="n"/>
      <c r="D2158" s="8" t="n"/>
      <c r="E2158" s="6" t="n"/>
      <c r="F2158" s="6" t="n"/>
      <c r="G2158" s="6" t="n"/>
      <c r="H2158" s="6" t="n"/>
      <c r="I2158" s="12">
        <f>IF($B2158="","",IF(COUNTIF(Ventes_Factures!$A$6:$A$3005,$B2158)&gt;0,"OK","INCONNUE"))</f>
        <v/>
      </c>
      <c r="J2158" s="9">
        <f>IF($D2158="","",ROUND($D2158,2))</f>
        <v/>
      </c>
    </row>
    <row r="2159">
      <c r="A2159" s="6" t="n"/>
      <c r="B2159" s="6" t="n"/>
      <c r="C2159" s="7" t="n"/>
      <c r="D2159" s="8" t="n"/>
      <c r="E2159" s="6" t="n"/>
      <c r="F2159" s="6" t="n"/>
      <c r="G2159" s="6" t="n"/>
      <c r="H2159" s="6" t="n"/>
      <c r="I2159" s="12">
        <f>IF($B2159="","",IF(COUNTIF(Ventes_Factures!$A$6:$A$3005,$B2159)&gt;0,"OK","INCONNUE"))</f>
        <v/>
      </c>
      <c r="J2159" s="9">
        <f>IF($D2159="","",ROUND($D2159,2))</f>
        <v/>
      </c>
    </row>
    <row r="2160">
      <c r="A2160" s="6" t="n"/>
      <c r="B2160" s="6" t="n"/>
      <c r="C2160" s="7" t="n"/>
      <c r="D2160" s="8" t="n"/>
      <c r="E2160" s="6" t="n"/>
      <c r="F2160" s="6" t="n"/>
      <c r="G2160" s="6" t="n"/>
      <c r="H2160" s="6" t="n"/>
      <c r="I2160" s="12">
        <f>IF($B2160="","",IF(COUNTIF(Ventes_Factures!$A$6:$A$3005,$B2160)&gt;0,"OK","INCONNUE"))</f>
        <v/>
      </c>
      <c r="J2160" s="9">
        <f>IF($D2160="","",ROUND($D2160,2))</f>
        <v/>
      </c>
    </row>
    <row r="2161">
      <c r="A2161" s="6" t="n"/>
      <c r="B2161" s="6" t="n"/>
      <c r="C2161" s="7" t="n"/>
      <c r="D2161" s="8" t="n"/>
      <c r="E2161" s="6" t="n"/>
      <c r="F2161" s="6" t="n"/>
      <c r="G2161" s="6" t="n"/>
      <c r="H2161" s="6" t="n"/>
      <c r="I2161" s="12">
        <f>IF($B2161="","",IF(COUNTIF(Ventes_Factures!$A$6:$A$3005,$B2161)&gt;0,"OK","INCONNUE"))</f>
        <v/>
      </c>
      <c r="J2161" s="9">
        <f>IF($D2161="","",ROUND($D2161,2))</f>
        <v/>
      </c>
    </row>
    <row r="2162">
      <c r="A2162" s="6" t="n"/>
      <c r="B2162" s="6" t="n"/>
      <c r="C2162" s="7" t="n"/>
      <c r="D2162" s="8" t="n"/>
      <c r="E2162" s="6" t="n"/>
      <c r="F2162" s="6" t="n"/>
      <c r="G2162" s="6" t="n"/>
      <c r="H2162" s="6" t="n"/>
      <c r="I2162" s="12">
        <f>IF($B2162="","",IF(COUNTIF(Ventes_Factures!$A$6:$A$3005,$B2162)&gt;0,"OK","INCONNUE"))</f>
        <v/>
      </c>
      <c r="J2162" s="9">
        <f>IF($D2162="","",ROUND($D2162,2))</f>
        <v/>
      </c>
    </row>
    <row r="2163">
      <c r="A2163" s="6" t="n"/>
      <c r="B2163" s="6" t="n"/>
      <c r="C2163" s="7" t="n"/>
      <c r="D2163" s="8" t="n"/>
      <c r="E2163" s="6" t="n"/>
      <c r="F2163" s="6" t="n"/>
      <c r="G2163" s="6" t="n"/>
      <c r="H2163" s="6" t="n"/>
      <c r="I2163" s="12">
        <f>IF($B2163="","",IF(COUNTIF(Ventes_Factures!$A$6:$A$3005,$B2163)&gt;0,"OK","INCONNUE"))</f>
        <v/>
      </c>
      <c r="J2163" s="9">
        <f>IF($D2163="","",ROUND($D2163,2))</f>
        <v/>
      </c>
    </row>
    <row r="2164">
      <c r="A2164" s="6" t="n"/>
      <c r="B2164" s="6" t="n"/>
      <c r="C2164" s="7" t="n"/>
      <c r="D2164" s="8" t="n"/>
      <c r="E2164" s="6" t="n"/>
      <c r="F2164" s="6" t="n"/>
      <c r="G2164" s="6" t="n"/>
      <c r="H2164" s="6" t="n"/>
      <c r="I2164" s="12">
        <f>IF($B2164="","",IF(COUNTIF(Ventes_Factures!$A$6:$A$3005,$B2164)&gt;0,"OK","INCONNUE"))</f>
        <v/>
      </c>
      <c r="J2164" s="9">
        <f>IF($D2164="","",ROUND($D2164,2))</f>
        <v/>
      </c>
    </row>
    <row r="2165">
      <c r="A2165" s="6" t="n"/>
      <c r="B2165" s="6" t="n"/>
      <c r="C2165" s="7" t="n"/>
      <c r="D2165" s="8" t="n"/>
      <c r="E2165" s="6" t="n"/>
      <c r="F2165" s="6" t="n"/>
      <c r="G2165" s="6" t="n"/>
      <c r="H2165" s="6" t="n"/>
      <c r="I2165" s="12">
        <f>IF($B2165="","",IF(COUNTIF(Ventes_Factures!$A$6:$A$3005,$B2165)&gt;0,"OK","INCONNUE"))</f>
        <v/>
      </c>
      <c r="J2165" s="9">
        <f>IF($D2165="","",ROUND($D2165,2))</f>
        <v/>
      </c>
    </row>
    <row r="2166">
      <c r="A2166" s="6" t="n"/>
      <c r="B2166" s="6" t="n"/>
      <c r="C2166" s="7" t="n"/>
      <c r="D2166" s="8" t="n"/>
      <c r="E2166" s="6" t="n"/>
      <c r="F2166" s="6" t="n"/>
      <c r="G2166" s="6" t="n"/>
      <c r="H2166" s="6" t="n"/>
      <c r="I2166" s="12">
        <f>IF($B2166="","",IF(COUNTIF(Ventes_Factures!$A$6:$A$3005,$B2166)&gt;0,"OK","INCONNUE"))</f>
        <v/>
      </c>
      <c r="J2166" s="9">
        <f>IF($D2166="","",ROUND($D2166,2))</f>
        <v/>
      </c>
    </row>
    <row r="2167">
      <c r="A2167" s="6" t="n"/>
      <c r="B2167" s="6" t="n"/>
      <c r="C2167" s="7" t="n"/>
      <c r="D2167" s="8" t="n"/>
      <c r="E2167" s="6" t="n"/>
      <c r="F2167" s="6" t="n"/>
      <c r="G2167" s="6" t="n"/>
      <c r="H2167" s="6" t="n"/>
      <c r="I2167" s="12">
        <f>IF($B2167="","",IF(COUNTIF(Ventes_Factures!$A$6:$A$3005,$B2167)&gt;0,"OK","INCONNUE"))</f>
        <v/>
      </c>
      <c r="J2167" s="9">
        <f>IF($D2167="","",ROUND($D2167,2))</f>
        <v/>
      </c>
    </row>
    <row r="2168">
      <c r="A2168" s="6" t="n"/>
      <c r="B2168" s="6" t="n"/>
      <c r="C2168" s="7" t="n"/>
      <c r="D2168" s="8" t="n"/>
      <c r="E2168" s="6" t="n"/>
      <c r="F2168" s="6" t="n"/>
      <c r="G2168" s="6" t="n"/>
      <c r="H2168" s="6" t="n"/>
      <c r="I2168" s="12">
        <f>IF($B2168="","",IF(COUNTIF(Ventes_Factures!$A$6:$A$3005,$B2168)&gt;0,"OK","INCONNUE"))</f>
        <v/>
      </c>
      <c r="J2168" s="9">
        <f>IF($D2168="","",ROUND($D2168,2))</f>
        <v/>
      </c>
    </row>
    <row r="2169">
      <c r="A2169" s="6" t="n"/>
      <c r="B2169" s="6" t="n"/>
      <c r="C2169" s="7" t="n"/>
      <c r="D2169" s="8" t="n"/>
      <c r="E2169" s="6" t="n"/>
      <c r="F2169" s="6" t="n"/>
      <c r="G2169" s="6" t="n"/>
      <c r="H2169" s="6" t="n"/>
      <c r="I2169" s="12">
        <f>IF($B2169="","",IF(COUNTIF(Ventes_Factures!$A$6:$A$3005,$B2169)&gt;0,"OK","INCONNUE"))</f>
        <v/>
      </c>
      <c r="J2169" s="9">
        <f>IF($D2169="","",ROUND($D2169,2))</f>
        <v/>
      </c>
    </row>
    <row r="2170">
      <c r="A2170" s="6" t="n"/>
      <c r="B2170" s="6" t="n"/>
      <c r="C2170" s="7" t="n"/>
      <c r="D2170" s="8" t="n"/>
      <c r="E2170" s="6" t="n"/>
      <c r="F2170" s="6" t="n"/>
      <c r="G2170" s="6" t="n"/>
      <c r="H2170" s="6" t="n"/>
      <c r="I2170" s="12">
        <f>IF($B2170="","",IF(COUNTIF(Ventes_Factures!$A$6:$A$3005,$B2170)&gt;0,"OK","INCONNUE"))</f>
        <v/>
      </c>
      <c r="J2170" s="9">
        <f>IF($D2170="","",ROUND($D2170,2))</f>
        <v/>
      </c>
    </row>
    <row r="2171">
      <c r="A2171" s="6" t="n"/>
      <c r="B2171" s="6" t="n"/>
      <c r="C2171" s="7" t="n"/>
      <c r="D2171" s="8" t="n"/>
      <c r="E2171" s="6" t="n"/>
      <c r="F2171" s="6" t="n"/>
      <c r="G2171" s="6" t="n"/>
      <c r="H2171" s="6" t="n"/>
      <c r="I2171" s="12">
        <f>IF($B2171="","",IF(COUNTIF(Ventes_Factures!$A$6:$A$3005,$B2171)&gt;0,"OK","INCONNUE"))</f>
        <v/>
      </c>
      <c r="J2171" s="9">
        <f>IF($D2171="","",ROUND($D2171,2))</f>
        <v/>
      </c>
    </row>
    <row r="2172">
      <c r="A2172" s="6" t="n"/>
      <c r="B2172" s="6" t="n"/>
      <c r="C2172" s="7" t="n"/>
      <c r="D2172" s="8" t="n"/>
      <c r="E2172" s="6" t="n"/>
      <c r="F2172" s="6" t="n"/>
      <c r="G2172" s="6" t="n"/>
      <c r="H2172" s="6" t="n"/>
      <c r="I2172" s="12">
        <f>IF($B2172="","",IF(COUNTIF(Ventes_Factures!$A$6:$A$3005,$B2172)&gt;0,"OK","INCONNUE"))</f>
        <v/>
      </c>
      <c r="J2172" s="9">
        <f>IF($D2172="","",ROUND($D2172,2))</f>
        <v/>
      </c>
    </row>
    <row r="2173">
      <c r="A2173" s="6" t="n"/>
      <c r="B2173" s="6" t="n"/>
      <c r="C2173" s="7" t="n"/>
      <c r="D2173" s="8" t="n"/>
      <c r="E2173" s="6" t="n"/>
      <c r="F2173" s="6" t="n"/>
      <c r="G2173" s="6" t="n"/>
      <c r="H2173" s="6" t="n"/>
      <c r="I2173" s="12">
        <f>IF($B2173="","",IF(COUNTIF(Ventes_Factures!$A$6:$A$3005,$B2173)&gt;0,"OK","INCONNUE"))</f>
        <v/>
      </c>
      <c r="J2173" s="9">
        <f>IF($D2173="","",ROUND($D2173,2))</f>
        <v/>
      </c>
    </row>
    <row r="2174">
      <c r="A2174" s="6" t="n"/>
      <c r="B2174" s="6" t="n"/>
      <c r="C2174" s="7" t="n"/>
      <c r="D2174" s="8" t="n"/>
      <c r="E2174" s="6" t="n"/>
      <c r="F2174" s="6" t="n"/>
      <c r="G2174" s="6" t="n"/>
      <c r="H2174" s="6" t="n"/>
      <c r="I2174" s="12">
        <f>IF($B2174="","",IF(COUNTIF(Ventes_Factures!$A$6:$A$3005,$B2174)&gt;0,"OK","INCONNUE"))</f>
        <v/>
      </c>
      <c r="J2174" s="9">
        <f>IF($D2174="","",ROUND($D2174,2))</f>
        <v/>
      </c>
    </row>
    <row r="2175">
      <c r="A2175" s="6" t="n"/>
      <c r="B2175" s="6" t="n"/>
      <c r="C2175" s="7" t="n"/>
      <c r="D2175" s="8" t="n"/>
      <c r="E2175" s="6" t="n"/>
      <c r="F2175" s="6" t="n"/>
      <c r="G2175" s="6" t="n"/>
      <c r="H2175" s="6" t="n"/>
      <c r="I2175" s="12">
        <f>IF($B2175="","",IF(COUNTIF(Ventes_Factures!$A$6:$A$3005,$B2175)&gt;0,"OK","INCONNUE"))</f>
        <v/>
      </c>
      <c r="J2175" s="9">
        <f>IF($D2175="","",ROUND($D2175,2))</f>
        <v/>
      </c>
    </row>
    <row r="2176">
      <c r="A2176" s="6" t="n"/>
      <c r="B2176" s="6" t="n"/>
      <c r="C2176" s="7" t="n"/>
      <c r="D2176" s="8" t="n"/>
      <c r="E2176" s="6" t="n"/>
      <c r="F2176" s="6" t="n"/>
      <c r="G2176" s="6" t="n"/>
      <c r="H2176" s="6" t="n"/>
      <c r="I2176" s="12">
        <f>IF($B2176="","",IF(COUNTIF(Ventes_Factures!$A$6:$A$3005,$B2176)&gt;0,"OK","INCONNUE"))</f>
        <v/>
      </c>
      <c r="J2176" s="9">
        <f>IF($D2176="","",ROUND($D2176,2))</f>
        <v/>
      </c>
    </row>
    <row r="2177">
      <c r="A2177" s="6" t="n"/>
      <c r="B2177" s="6" t="n"/>
      <c r="C2177" s="7" t="n"/>
      <c r="D2177" s="8" t="n"/>
      <c r="E2177" s="6" t="n"/>
      <c r="F2177" s="6" t="n"/>
      <c r="G2177" s="6" t="n"/>
      <c r="H2177" s="6" t="n"/>
      <c r="I2177" s="12">
        <f>IF($B2177="","",IF(COUNTIF(Ventes_Factures!$A$6:$A$3005,$B2177)&gt;0,"OK","INCONNUE"))</f>
        <v/>
      </c>
      <c r="J2177" s="9">
        <f>IF($D2177="","",ROUND($D2177,2))</f>
        <v/>
      </c>
    </row>
    <row r="2178">
      <c r="A2178" s="6" t="n"/>
      <c r="B2178" s="6" t="n"/>
      <c r="C2178" s="7" t="n"/>
      <c r="D2178" s="8" t="n"/>
      <c r="E2178" s="6" t="n"/>
      <c r="F2178" s="6" t="n"/>
      <c r="G2178" s="6" t="n"/>
      <c r="H2178" s="6" t="n"/>
      <c r="I2178" s="12">
        <f>IF($B2178="","",IF(COUNTIF(Ventes_Factures!$A$6:$A$3005,$B2178)&gt;0,"OK","INCONNUE"))</f>
        <v/>
      </c>
      <c r="J2178" s="9">
        <f>IF($D2178="","",ROUND($D2178,2))</f>
        <v/>
      </c>
    </row>
    <row r="2179">
      <c r="A2179" s="6" t="n"/>
      <c r="B2179" s="6" t="n"/>
      <c r="C2179" s="7" t="n"/>
      <c r="D2179" s="8" t="n"/>
      <c r="E2179" s="6" t="n"/>
      <c r="F2179" s="6" t="n"/>
      <c r="G2179" s="6" t="n"/>
      <c r="H2179" s="6" t="n"/>
      <c r="I2179" s="12">
        <f>IF($B2179="","",IF(COUNTIF(Ventes_Factures!$A$6:$A$3005,$B2179)&gt;0,"OK","INCONNUE"))</f>
        <v/>
      </c>
      <c r="J2179" s="9">
        <f>IF($D2179="","",ROUND($D2179,2))</f>
        <v/>
      </c>
    </row>
    <row r="2180">
      <c r="A2180" s="6" t="n"/>
      <c r="B2180" s="6" t="n"/>
      <c r="C2180" s="7" t="n"/>
      <c r="D2180" s="8" t="n"/>
      <c r="E2180" s="6" t="n"/>
      <c r="F2180" s="6" t="n"/>
      <c r="G2180" s="6" t="n"/>
      <c r="H2180" s="6" t="n"/>
      <c r="I2180" s="12">
        <f>IF($B2180="","",IF(COUNTIF(Ventes_Factures!$A$6:$A$3005,$B2180)&gt;0,"OK","INCONNUE"))</f>
        <v/>
      </c>
      <c r="J2180" s="9">
        <f>IF($D2180="","",ROUND($D2180,2))</f>
        <v/>
      </c>
    </row>
    <row r="2181">
      <c r="A2181" s="6" t="n"/>
      <c r="B2181" s="6" t="n"/>
      <c r="C2181" s="7" t="n"/>
      <c r="D2181" s="8" t="n"/>
      <c r="E2181" s="6" t="n"/>
      <c r="F2181" s="6" t="n"/>
      <c r="G2181" s="6" t="n"/>
      <c r="H2181" s="6" t="n"/>
      <c r="I2181" s="12">
        <f>IF($B2181="","",IF(COUNTIF(Ventes_Factures!$A$6:$A$3005,$B2181)&gt;0,"OK","INCONNUE"))</f>
        <v/>
      </c>
      <c r="J2181" s="9">
        <f>IF($D2181="","",ROUND($D2181,2))</f>
        <v/>
      </c>
    </row>
    <row r="2182">
      <c r="A2182" s="6" t="n"/>
      <c r="B2182" s="6" t="n"/>
      <c r="C2182" s="7" t="n"/>
      <c r="D2182" s="8" t="n"/>
      <c r="E2182" s="6" t="n"/>
      <c r="F2182" s="6" t="n"/>
      <c r="G2182" s="6" t="n"/>
      <c r="H2182" s="6" t="n"/>
      <c r="I2182" s="12">
        <f>IF($B2182="","",IF(COUNTIF(Ventes_Factures!$A$6:$A$3005,$B2182)&gt;0,"OK","INCONNUE"))</f>
        <v/>
      </c>
      <c r="J2182" s="9">
        <f>IF($D2182="","",ROUND($D2182,2))</f>
        <v/>
      </c>
    </row>
    <row r="2183">
      <c r="A2183" s="6" t="n"/>
      <c r="B2183" s="6" t="n"/>
      <c r="C2183" s="7" t="n"/>
      <c r="D2183" s="8" t="n"/>
      <c r="E2183" s="6" t="n"/>
      <c r="F2183" s="6" t="n"/>
      <c r="G2183" s="6" t="n"/>
      <c r="H2183" s="6" t="n"/>
      <c r="I2183" s="12">
        <f>IF($B2183="","",IF(COUNTIF(Ventes_Factures!$A$6:$A$3005,$B2183)&gt;0,"OK","INCONNUE"))</f>
        <v/>
      </c>
      <c r="J2183" s="9">
        <f>IF($D2183="","",ROUND($D2183,2))</f>
        <v/>
      </c>
    </row>
    <row r="2184">
      <c r="A2184" s="6" t="n"/>
      <c r="B2184" s="6" t="n"/>
      <c r="C2184" s="7" t="n"/>
      <c r="D2184" s="8" t="n"/>
      <c r="E2184" s="6" t="n"/>
      <c r="F2184" s="6" t="n"/>
      <c r="G2184" s="6" t="n"/>
      <c r="H2184" s="6" t="n"/>
      <c r="I2184" s="12">
        <f>IF($B2184="","",IF(COUNTIF(Ventes_Factures!$A$6:$A$3005,$B2184)&gt;0,"OK","INCONNUE"))</f>
        <v/>
      </c>
      <c r="J2184" s="9">
        <f>IF($D2184="","",ROUND($D2184,2))</f>
        <v/>
      </c>
    </row>
    <row r="2185">
      <c r="A2185" s="6" t="n"/>
      <c r="B2185" s="6" t="n"/>
      <c r="C2185" s="7" t="n"/>
      <c r="D2185" s="8" t="n"/>
      <c r="E2185" s="6" t="n"/>
      <c r="F2185" s="6" t="n"/>
      <c r="G2185" s="6" t="n"/>
      <c r="H2185" s="6" t="n"/>
      <c r="I2185" s="12">
        <f>IF($B2185="","",IF(COUNTIF(Ventes_Factures!$A$6:$A$3005,$B2185)&gt;0,"OK","INCONNUE"))</f>
        <v/>
      </c>
      <c r="J2185" s="9">
        <f>IF($D2185="","",ROUND($D2185,2))</f>
        <v/>
      </c>
    </row>
    <row r="2186">
      <c r="A2186" s="6" t="n"/>
      <c r="B2186" s="6" t="n"/>
      <c r="C2186" s="7" t="n"/>
      <c r="D2186" s="8" t="n"/>
      <c r="E2186" s="6" t="n"/>
      <c r="F2186" s="6" t="n"/>
      <c r="G2186" s="6" t="n"/>
      <c r="H2186" s="6" t="n"/>
      <c r="I2186" s="12">
        <f>IF($B2186="","",IF(COUNTIF(Ventes_Factures!$A$6:$A$3005,$B2186)&gt;0,"OK","INCONNUE"))</f>
        <v/>
      </c>
      <c r="J2186" s="9">
        <f>IF($D2186="","",ROUND($D2186,2))</f>
        <v/>
      </c>
    </row>
    <row r="2187">
      <c r="A2187" s="6" t="n"/>
      <c r="B2187" s="6" t="n"/>
      <c r="C2187" s="7" t="n"/>
      <c r="D2187" s="8" t="n"/>
      <c r="E2187" s="6" t="n"/>
      <c r="F2187" s="6" t="n"/>
      <c r="G2187" s="6" t="n"/>
      <c r="H2187" s="6" t="n"/>
      <c r="I2187" s="12">
        <f>IF($B2187="","",IF(COUNTIF(Ventes_Factures!$A$6:$A$3005,$B2187)&gt;0,"OK","INCONNUE"))</f>
        <v/>
      </c>
      <c r="J2187" s="9">
        <f>IF($D2187="","",ROUND($D2187,2))</f>
        <v/>
      </c>
    </row>
    <row r="2188">
      <c r="A2188" s="6" t="n"/>
      <c r="B2188" s="6" t="n"/>
      <c r="C2188" s="7" t="n"/>
      <c r="D2188" s="8" t="n"/>
      <c r="E2188" s="6" t="n"/>
      <c r="F2188" s="6" t="n"/>
      <c r="G2188" s="6" t="n"/>
      <c r="H2188" s="6" t="n"/>
      <c r="I2188" s="12">
        <f>IF($B2188="","",IF(COUNTIF(Ventes_Factures!$A$6:$A$3005,$B2188)&gt;0,"OK","INCONNUE"))</f>
        <v/>
      </c>
      <c r="J2188" s="9">
        <f>IF($D2188="","",ROUND($D2188,2))</f>
        <v/>
      </c>
    </row>
    <row r="2189">
      <c r="A2189" s="6" t="n"/>
      <c r="B2189" s="6" t="n"/>
      <c r="C2189" s="7" t="n"/>
      <c r="D2189" s="8" t="n"/>
      <c r="E2189" s="6" t="n"/>
      <c r="F2189" s="6" t="n"/>
      <c r="G2189" s="6" t="n"/>
      <c r="H2189" s="6" t="n"/>
      <c r="I2189" s="12">
        <f>IF($B2189="","",IF(COUNTIF(Ventes_Factures!$A$6:$A$3005,$B2189)&gt;0,"OK","INCONNUE"))</f>
        <v/>
      </c>
      <c r="J2189" s="9">
        <f>IF($D2189="","",ROUND($D2189,2))</f>
        <v/>
      </c>
    </row>
    <row r="2190">
      <c r="A2190" s="6" t="n"/>
      <c r="B2190" s="6" t="n"/>
      <c r="C2190" s="7" t="n"/>
      <c r="D2190" s="8" t="n"/>
      <c r="E2190" s="6" t="n"/>
      <c r="F2190" s="6" t="n"/>
      <c r="G2190" s="6" t="n"/>
      <c r="H2190" s="6" t="n"/>
      <c r="I2190" s="12">
        <f>IF($B2190="","",IF(COUNTIF(Ventes_Factures!$A$6:$A$3005,$B2190)&gt;0,"OK","INCONNUE"))</f>
        <v/>
      </c>
      <c r="J2190" s="9">
        <f>IF($D2190="","",ROUND($D2190,2))</f>
        <v/>
      </c>
    </row>
    <row r="2191">
      <c r="A2191" s="6" t="n"/>
      <c r="B2191" s="6" t="n"/>
      <c r="C2191" s="7" t="n"/>
      <c r="D2191" s="8" t="n"/>
      <c r="E2191" s="6" t="n"/>
      <c r="F2191" s="6" t="n"/>
      <c r="G2191" s="6" t="n"/>
      <c r="H2191" s="6" t="n"/>
      <c r="I2191" s="12">
        <f>IF($B2191="","",IF(COUNTIF(Ventes_Factures!$A$6:$A$3005,$B2191)&gt;0,"OK","INCONNUE"))</f>
        <v/>
      </c>
      <c r="J2191" s="9">
        <f>IF($D2191="","",ROUND($D2191,2))</f>
        <v/>
      </c>
    </row>
    <row r="2192">
      <c r="A2192" s="6" t="n"/>
      <c r="B2192" s="6" t="n"/>
      <c r="C2192" s="7" t="n"/>
      <c r="D2192" s="8" t="n"/>
      <c r="E2192" s="6" t="n"/>
      <c r="F2192" s="6" t="n"/>
      <c r="G2192" s="6" t="n"/>
      <c r="H2192" s="6" t="n"/>
      <c r="I2192" s="12">
        <f>IF($B2192="","",IF(COUNTIF(Ventes_Factures!$A$6:$A$3005,$B2192)&gt;0,"OK","INCONNUE"))</f>
        <v/>
      </c>
      <c r="J2192" s="9">
        <f>IF($D2192="","",ROUND($D2192,2))</f>
        <v/>
      </c>
    </row>
    <row r="2193">
      <c r="A2193" s="6" t="n"/>
      <c r="B2193" s="6" t="n"/>
      <c r="C2193" s="7" t="n"/>
      <c r="D2193" s="8" t="n"/>
      <c r="E2193" s="6" t="n"/>
      <c r="F2193" s="6" t="n"/>
      <c r="G2193" s="6" t="n"/>
      <c r="H2193" s="6" t="n"/>
      <c r="I2193" s="12">
        <f>IF($B2193="","",IF(COUNTIF(Ventes_Factures!$A$6:$A$3005,$B2193)&gt;0,"OK","INCONNUE"))</f>
        <v/>
      </c>
      <c r="J2193" s="9">
        <f>IF($D2193="","",ROUND($D2193,2))</f>
        <v/>
      </c>
    </row>
    <row r="2194">
      <c r="A2194" s="6" t="n"/>
      <c r="B2194" s="6" t="n"/>
      <c r="C2194" s="7" t="n"/>
      <c r="D2194" s="8" t="n"/>
      <c r="E2194" s="6" t="n"/>
      <c r="F2194" s="6" t="n"/>
      <c r="G2194" s="6" t="n"/>
      <c r="H2194" s="6" t="n"/>
      <c r="I2194" s="12">
        <f>IF($B2194="","",IF(COUNTIF(Ventes_Factures!$A$6:$A$3005,$B2194)&gt;0,"OK","INCONNUE"))</f>
        <v/>
      </c>
      <c r="J2194" s="9">
        <f>IF($D2194="","",ROUND($D2194,2))</f>
        <v/>
      </c>
    </row>
    <row r="2195">
      <c r="A2195" s="6" t="n"/>
      <c r="B2195" s="6" t="n"/>
      <c r="C2195" s="7" t="n"/>
      <c r="D2195" s="8" t="n"/>
      <c r="E2195" s="6" t="n"/>
      <c r="F2195" s="6" t="n"/>
      <c r="G2195" s="6" t="n"/>
      <c r="H2195" s="6" t="n"/>
      <c r="I2195" s="12">
        <f>IF($B2195="","",IF(COUNTIF(Ventes_Factures!$A$6:$A$3005,$B2195)&gt;0,"OK","INCONNUE"))</f>
        <v/>
      </c>
      <c r="J2195" s="9">
        <f>IF($D2195="","",ROUND($D2195,2))</f>
        <v/>
      </c>
    </row>
    <row r="2196">
      <c r="A2196" s="6" t="n"/>
      <c r="B2196" s="6" t="n"/>
      <c r="C2196" s="7" t="n"/>
      <c r="D2196" s="8" t="n"/>
      <c r="E2196" s="6" t="n"/>
      <c r="F2196" s="6" t="n"/>
      <c r="G2196" s="6" t="n"/>
      <c r="H2196" s="6" t="n"/>
      <c r="I2196" s="12">
        <f>IF($B2196="","",IF(COUNTIF(Ventes_Factures!$A$6:$A$3005,$B2196)&gt;0,"OK","INCONNUE"))</f>
        <v/>
      </c>
      <c r="J2196" s="9">
        <f>IF($D2196="","",ROUND($D2196,2))</f>
        <v/>
      </c>
    </row>
    <row r="2197">
      <c r="A2197" s="6" t="n"/>
      <c r="B2197" s="6" t="n"/>
      <c r="C2197" s="7" t="n"/>
      <c r="D2197" s="8" t="n"/>
      <c r="E2197" s="6" t="n"/>
      <c r="F2197" s="6" t="n"/>
      <c r="G2197" s="6" t="n"/>
      <c r="H2197" s="6" t="n"/>
      <c r="I2197" s="12">
        <f>IF($B2197="","",IF(COUNTIF(Ventes_Factures!$A$6:$A$3005,$B2197)&gt;0,"OK","INCONNUE"))</f>
        <v/>
      </c>
      <c r="J2197" s="9">
        <f>IF($D2197="","",ROUND($D2197,2))</f>
        <v/>
      </c>
    </row>
    <row r="2198">
      <c r="A2198" s="6" t="n"/>
      <c r="B2198" s="6" t="n"/>
      <c r="C2198" s="7" t="n"/>
      <c r="D2198" s="8" t="n"/>
      <c r="E2198" s="6" t="n"/>
      <c r="F2198" s="6" t="n"/>
      <c r="G2198" s="6" t="n"/>
      <c r="H2198" s="6" t="n"/>
      <c r="I2198" s="12">
        <f>IF($B2198="","",IF(COUNTIF(Ventes_Factures!$A$6:$A$3005,$B2198)&gt;0,"OK","INCONNUE"))</f>
        <v/>
      </c>
      <c r="J2198" s="9">
        <f>IF($D2198="","",ROUND($D2198,2))</f>
        <v/>
      </c>
    </row>
    <row r="2199">
      <c r="A2199" s="6" t="n"/>
      <c r="B2199" s="6" t="n"/>
      <c r="C2199" s="7" t="n"/>
      <c r="D2199" s="8" t="n"/>
      <c r="E2199" s="6" t="n"/>
      <c r="F2199" s="6" t="n"/>
      <c r="G2199" s="6" t="n"/>
      <c r="H2199" s="6" t="n"/>
      <c r="I2199" s="12">
        <f>IF($B2199="","",IF(COUNTIF(Ventes_Factures!$A$6:$A$3005,$B2199)&gt;0,"OK","INCONNUE"))</f>
        <v/>
      </c>
      <c r="J2199" s="9">
        <f>IF($D2199="","",ROUND($D2199,2))</f>
        <v/>
      </c>
    </row>
    <row r="2200">
      <c r="A2200" s="6" t="n"/>
      <c r="B2200" s="6" t="n"/>
      <c r="C2200" s="7" t="n"/>
      <c r="D2200" s="8" t="n"/>
      <c r="E2200" s="6" t="n"/>
      <c r="F2200" s="6" t="n"/>
      <c r="G2200" s="6" t="n"/>
      <c r="H2200" s="6" t="n"/>
      <c r="I2200" s="12">
        <f>IF($B2200="","",IF(COUNTIF(Ventes_Factures!$A$6:$A$3005,$B2200)&gt;0,"OK","INCONNUE"))</f>
        <v/>
      </c>
      <c r="J2200" s="9">
        <f>IF($D2200="","",ROUND($D2200,2))</f>
        <v/>
      </c>
    </row>
    <row r="2201">
      <c r="A2201" s="6" t="n"/>
      <c r="B2201" s="6" t="n"/>
      <c r="C2201" s="7" t="n"/>
      <c r="D2201" s="8" t="n"/>
      <c r="E2201" s="6" t="n"/>
      <c r="F2201" s="6" t="n"/>
      <c r="G2201" s="6" t="n"/>
      <c r="H2201" s="6" t="n"/>
      <c r="I2201" s="12">
        <f>IF($B2201="","",IF(COUNTIF(Ventes_Factures!$A$6:$A$3005,$B2201)&gt;0,"OK","INCONNUE"))</f>
        <v/>
      </c>
      <c r="J2201" s="9">
        <f>IF($D2201="","",ROUND($D2201,2))</f>
        <v/>
      </c>
    </row>
    <row r="2202">
      <c r="A2202" s="6" t="n"/>
      <c r="B2202" s="6" t="n"/>
      <c r="C2202" s="7" t="n"/>
      <c r="D2202" s="8" t="n"/>
      <c r="E2202" s="6" t="n"/>
      <c r="F2202" s="6" t="n"/>
      <c r="G2202" s="6" t="n"/>
      <c r="H2202" s="6" t="n"/>
      <c r="I2202" s="12">
        <f>IF($B2202="","",IF(COUNTIF(Ventes_Factures!$A$6:$A$3005,$B2202)&gt;0,"OK","INCONNUE"))</f>
        <v/>
      </c>
      <c r="J2202" s="9">
        <f>IF($D2202="","",ROUND($D2202,2))</f>
        <v/>
      </c>
    </row>
    <row r="2203">
      <c r="A2203" s="6" t="n"/>
      <c r="B2203" s="6" t="n"/>
      <c r="C2203" s="7" t="n"/>
      <c r="D2203" s="8" t="n"/>
      <c r="E2203" s="6" t="n"/>
      <c r="F2203" s="6" t="n"/>
      <c r="G2203" s="6" t="n"/>
      <c r="H2203" s="6" t="n"/>
      <c r="I2203" s="12">
        <f>IF($B2203="","",IF(COUNTIF(Ventes_Factures!$A$6:$A$3005,$B2203)&gt;0,"OK","INCONNUE"))</f>
        <v/>
      </c>
      <c r="J2203" s="9">
        <f>IF($D2203="","",ROUND($D2203,2))</f>
        <v/>
      </c>
    </row>
    <row r="2204">
      <c r="A2204" s="6" t="n"/>
      <c r="B2204" s="6" t="n"/>
      <c r="C2204" s="7" t="n"/>
      <c r="D2204" s="8" t="n"/>
      <c r="E2204" s="6" t="n"/>
      <c r="F2204" s="6" t="n"/>
      <c r="G2204" s="6" t="n"/>
      <c r="H2204" s="6" t="n"/>
      <c r="I2204" s="12">
        <f>IF($B2204="","",IF(COUNTIF(Ventes_Factures!$A$6:$A$3005,$B2204)&gt;0,"OK","INCONNUE"))</f>
        <v/>
      </c>
      <c r="J2204" s="9">
        <f>IF($D2204="","",ROUND($D2204,2))</f>
        <v/>
      </c>
    </row>
    <row r="2205">
      <c r="A2205" s="6" t="n"/>
      <c r="B2205" s="6" t="n"/>
      <c r="C2205" s="7" t="n"/>
      <c r="D2205" s="8" t="n"/>
      <c r="E2205" s="6" t="n"/>
      <c r="F2205" s="6" t="n"/>
      <c r="G2205" s="6" t="n"/>
      <c r="H2205" s="6" t="n"/>
      <c r="I2205" s="12">
        <f>IF($B2205="","",IF(COUNTIF(Ventes_Factures!$A$6:$A$3005,$B2205)&gt;0,"OK","INCONNUE"))</f>
        <v/>
      </c>
      <c r="J2205" s="9">
        <f>IF($D2205="","",ROUND($D2205,2))</f>
        <v/>
      </c>
    </row>
    <row r="2206">
      <c r="A2206" s="6" t="n"/>
      <c r="B2206" s="6" t="n"/>
      <c r="C2206" s="7" t="n"/>
      <c r="D2206" s="8" t="n"/>
      <c r="E2206" s="6" t="n"/>
      <c r="F2206" s="6" t="n"/>
      <c r="G2206" s="6" t="n"/>
      <c r="H2206" s="6" t="n"/>
      <c r="I2206" s="12">
        <f>IF($B2206="","",IF(COUNTIF(Ventes_Factures!$A$6:$A$3005,$B2206)&gt;0,"OK","INCONNUE"))</f>
        <v/>
      </c>
      <c r="J2206" s="9">
        <f>IF($D2206="","",ROUND($D2206,2))</f>
        <v/>
      </c>
    </row>
    <row r="2207">
      <c r="A2207" s="6" t="n"/>
      <c r="B2207" s="6" t="n"/>
      <c r="C2207" s="7" t="n"/>
      <c r="D2207" s="8" t="n"/>
      <c r="E2207" s="6" t="n"/>
      <c r="F2207" s="6" t="n"/>
      <c r="G2207" s="6" t="n"/>
      <c r="H2207" s="6" t="n"/>
      <c r="I2207" s="12">
        <f>IF($B2207="","",IF(COUNTIF(Ventes_Factures!$A$6:$A$3005,$B2207)&gt;0,"OK","INCONNUE"))</f>
        <v/>
      </c>
      <c r="J2207" s="9">
        <f>IF($D2207="","",ROUND($D2207,2))</f>
        <v/>
      </c>
    </row>
    <row r="2208">
      <c r="A2208" s="6" t="n"/>
      <c r="B2208" s="6" t="n"/>
      <c r="C2208" s="7" t="n"/>
      <c r="D2208" s="8" t="n"/>
      <c r="E2208" s="6" t="n"/>
      <c r="F2208" s="6" t="n"/>
      <c r="G2208" s="6" t="n"/>
      <c r="H2208" s="6" t="n"/>
      <c r="I2208" s="12">
        <f>IF($B2208="","",IF(COUNTIF(Ventes_Factures!$A$6:$A$3005,$B2208)&gt;0,"OK","INCONNUE"))</f>
        <v/>
      </c>
      <c r="J2208" s="9">
        <f>IF($D2208="","",ROUND($D2208,2))</f>
        <v/>
      </c>
    </row>
    <row r="2209">
      <c r="A2209" s="6" t="n"/>
      <c r="B2209" s="6" t="n"/>
      <c r="C2209" s="7" t="n"/>
      <c r="D2209" s="8" t="n"/>
      <c r="E2209" s="6" t="n"/>
      <c r="F2209" s="6" t="n"/>
      <c r="G2209" s="6" t="n"/>
      <c r="H2209" s="6" t="n"/>
      <c r="I2209" s="12">
        <f>IF($B2209="","",IF(COUNTIF(Ventes_Factures!$A$6:$A$3005,$B2209)&gt;0,"OK","INCONNUE"))</f>
        <v/>
      </c>
      <c r="J2209" s="9">
        <f>IF($D2209="","",ROUND($D2209,2))</f>
        <v/>
      </c>
    </row>
    <row r="2210">
      <c r="A2210" s="6" t="n"/>
      <c r="B2210" s="6" t="n"/>
      <c r="C2210" s="7" t="n"/>
      <c r="D2210" s="8" t="n"/>
      <c r="E2210" s="6" t="n"/>
      <c r="F2210" s="6" t="n"/>
      <c r="G2210" s="6" t="n"/>
      <c r="H2210" s="6" t="n"/>
      <c r="I2210" s="12">
        <f>IF($B2210="","",IF(COUNTIF(Ventes_Factures!$A$6:$A$3005,$B2210)&gt;0,"OK","INCONNUE"))</f>
        <v/>
      </c>
      <c r="J2210" s="9">
        <f>IF($D2210="","",ROUND($D2210,2))</f>
        <v/>
      </c>
    </row>
    <row r="2211">
      <c r="A2211" s="6" t="n"/>
      <c r="B2211" s="6" t="n"/>
      <c r="C2211" s="7" t="n"/>
      <c r="D2211" s="8" t="n"/>
      <c r="E2211" s="6" t="n"/>
      <c r="F2211" s="6" t="n"/>
      <c r="G2211" s="6" t="n"/>
      <c r="H2211" s="6" t="n"/>
      <c r="I2211" s="12">
        <f>IF($B2211="","",IF(COUNTIF(Ventes_Factures!$A$6:$A$3005,$B2211)&gt;0,"OK","INCONNUE"))</f>
        <v/>
      </c>
      <c r="J2211" s="9">
        <f>IF($D2211="","",ROUND($D2211,2))</f>
        <v/>
      </c>
    </row>
    <row r="2212">
      <c r="A2212" s="6" t="n"/>
      <c r="B2212" s="6" t="n"/>
      <c r="C2212" s="7" t="n"/>
      <c r="D2212" s="8" t="n"/>
      <c r="E2212" s="6" t="n"/>
      <c r="F2212" s="6" t="n"/>
      <c r="G2212" s="6" t="n"/>
      <c r="H2212" s="6" t="n"/>
      <c r="I2212" s="12">
        <f>IF($B2212="","",IF(COUNTIF(Ventes_Factures!$A$6:$A$3005,$B2212)&gt;0,"OK","INCONNUE"))</f>
        <v/>
      </c>
      <c r="J2212" s="9">
        <f>IF($D2212="","",ROUND($D2212,2))</f>
        <v/>
      </c>
    </row>
    <row r="2213">
      <c r="A2213" s="6" t="n"/>
      <c r="B2213" s="6" t="n"/>
      <c r="C2213" s="7" t="n"/>
      <c r="D2213" s="8" t="n"/>
      <c r="E2213" s="6" t="n"/>
      <c r="F2213" s="6" t="n"/>
      <c r="G2213" s="6" t="n"/>
      <c r="H2213" s="6" t="n"/>
      <c r="I2213" s="12">
        <f>IF($B2213="","",IF(COUNTIF(Ventes_Factures!$A$6:$A$3005,$B2213)&gt;0,"OK","INCONNUE"))</f>
        <v/>
      </c>
      <c r="J2213" s="9">
        <f>IF($D2213="","",ROUND($D2213,2))</f>
        <v/>
      </c>
    </row>
    <row r="2214">
      <c r="A2214" s="6" t="n"/>
      <c r="B2214" s="6" t="n"/>
      <c r="C2214" s="7" t="n"/>
      <c r="D2214" s="8" t="n"/>
      <c r="E2214" s="6" t="n"/>
      <c r="F2214" s="6" t="n"/>
      <c r="G2214" s="6" t="n"/>
      <c r="H2214" s="6" t="n"/>
      <c r="I2214" s="12">
        <f>IF($B2214="","",IF(COUNTIF(Ventes_Factures!$A$6:$A$3005,$B2214)&gt;0,"OK","INCONNUE"))</f>
        <v/>
      </c>
      <c r="J2214" s="9">
        <f>IF($D2214="","",ROUND($D2214,2))</f>
        <v/>
      </c>
    </row>
    <row r="2215">
      <c r="A2215" s="6" t="n"/>
      <c r="B2215" s="6" t="n"/>
      <c r="C2215" s="7" t="n"/>
      <c r="D2215" s="8" t="n"/>
      <c r="E2215" s="6" t="n"/>
      <c r="F2215" s="6" t="n"/>
      <c r="G2215" s="6" t="n"/>
      <c r="H2215" s="6" t="n"/>
      <c r="I2215" s="12">
        <f>IF($B2215="","",IF(COUNTIF(Ventes_Factures!$A$6:$A$3005,$B2215)&gt;0,"OK","INCONNUE"))</f>
        <v/>
      </c>
      <c r="J2215" s="9">
        <f>IF($D2215="","",ROUND($D2215,2))</f>
        <v/>
      </c>
    </row>
    <row r="2216">
      <c r="A2216" s="6" t="n"/>
      <c r="B2216" s="6" t="n"/>
      <c r="C2216" s="7" t="n"/>
      <c r="D2216" s="8" t="n"/>
      <c r="E2216" s="6" t="n"/>
      <c r="F2216" s="6" t="n"/>
      <c r="G2216" s="6" t="n"/>
      <c r="H2216" s="6" t="n"/>
      <c r="I2216" s="12">
        <f>IF($B2216="","",IF(COUNTIF(Ventes_Factures!$A$6:$A$3005,$B2216)&gt;0,"OK","INCONNUE"))</f>
        <v/>
      </c>
      <c r="J2216" s="9">
        <f>IF($D2216="","",ROUND($D2216,2))</f>
        <v/>
      </c>
    </row>
    <row r="2217">
      <c r="A2217" s="6" t="n"/>
      <c r="B2217" s="6" t="n"/>
      <c r="C2217" s="7" t="n"/>
      <c r="D2217" s="8" t="n"/>
      <c r="E2217" s="6" t="n"/>
      <c r="F2217" s="6" t="n"/>
      <c r="G2217" s="6" t="n"/>
      <c r="H2217" s="6" t="n"/>
      <c r="I2217" s="12">
        <f>IF($B2217="","",IF(COUNTIF(Ventes_Factures!$A$6:$A$3005,$B2217)&gt;0,"OK","INCONNUE"))</f>
        <v/>
      </c>
      <c r="J2217" s="9">
        <f>IF($D2217="","",ROUND($D2217,2))</f>
        <v/>
      </c>
    </row>
    <row r="2218">
      <c r="A2218" s="6" t="n"/>
      <c r="B2218" s="6" t="n"/>
      <c r="C2218" s="7" t="n"/>
      <c r="D2218" s="8" t="n"/>
      <c r="E2218" s="6" t="n"/>
      <c r="F2218" s="6" t="n"/>
      <c r="G2218" s="6" t="n"/>
      <c r="H2218" s="6" t="n"/>
      <c r="I2218" s="12">
        <f>IF($B2218="","",IF(COUNTIF(Ventes_Factures!$A$6:$A$3005,$B2218)&gt;0,"OK","INCONNUE"))</f>
        <v/>
      </c>
      <c r="J2218" s="9">
        <f>IF($D2218="","",ROUND($D2218,2))</f>
        <v/>
      </c>
    </row>
    <row r="2219">
      <c r="A2219" s="6" t="n"/>
      <c r="B2219" s="6" t="n"/>
      <c r="C2219" s="7" t="n"/>
      <c r="D2219" s="8" t="n"/>
      <c r="E2219" s="6" t="n"/>
      <c r="F2219" s="6" t="n"/>
      <c r="G2219" s="6" t="n"/>
      <c r="H2219" s="6" t="n"/>
      <c r="I2219" s="12">
        <f>IF($B2219="","",IF(COUNTIF(Ventes_Factures!$A$6:$A$3005,$B2219)&gt;0,"OK","INCONNUE"))</f>
        <v/>
      </c>
      <c r="J2219" s="9">
        <f>IF($D2219="","",ROUND($D2219,2))</f>
        <v/>
      </c>
    </row>
    <row r="2220">
      <c r="A2220" s="6" t="n"/>
      <c r="B2220" s="6" t="n"/>
      <c r="C2220" s="7" t="n"/>
      <c r="D2220" s="8" t="n"/>
      <c r="E2220" s="6" t="n"/>
      <c r="F2220" s="6" t="n"/>
      <c r="G2220" s="6" t="n"/>
      <c r="H2220" s="6" t="n"/>
      <c r="I2220" s="12">
        <f>IF($B2220="","",IF(COUNTIF(Ventes_Factures!$A$6:$A$3005,$B2220)&gt;0,"OK","INCONNUE"))</f>
        <v/>
      </c>
      <c r="J2220" s="9">
        <f>IF($D2220="","",ROUND($D2220,2))</f>
        <v/>
      </c>
    </row>
    <row r="2221">
      <c r="A2221" s="6" t="n"/>
      <c r="B2221" s="6" t="n"/>
      <c r="C2221" s="7" t="n"/>
      <c r="D2221" s="8" t="n"/>
      <c r="E2221" s="6" t="n"/>
      <c r="F2221" s="6" t="n"/>
      <c r="G2221" s="6" t="n"/>
      <c r="H2221" s="6" t="n"/>
      <c r="I2221" s="12">
        <f>IF($B2221="","",IF(COUNTIF(Ventes_Factures!$A$6:$A$3005,$B2221)&gt;0,"OK","INCONNUE"))</f>
        <v/>
      </c>
      <c r="J2221" s="9">
        <f>IF($D2221="","",ROUND($D2221,2))</f>
        <v/>
      </c>
    </row>
    <row r="2222">
      <c r="A2222" s="6" t="n"/>
      <c r="B2222" s="6" t="n"/>
      <c r="C2222" s="7" t="n"/>
      <c r="D2222" s="8" t="n"/>
      <c r="E2222" s="6" t="n"/>
      <c r="F2222" s="6" t="n"/>
      <c r="G2222" s="6" t="n"/>
      <c r="H2222" s="6" t="n"/>
      <c r="I2222" s="12">
        <f>IF($B2222="","",IF(COUNTIF(Ventes_Factures!$A$6:$A$3005,$B2222)&gt;0,"OK","INCONNUE"))</f>
        <v/>
      </c>
      <c r="J2222" s="9">
        <f>IF($D2222="","",ROUND($D2222,2))</f>
        <v/>
      </c>
    </row>
    <row r="2223">
      <c r="A2223" s="6" t="n"/>
      <c r="B2223" s="6" t="n"/>
      <c r="C2223" s="7" t="n"/>
      <c r="D2223" s="8" t="n"/>
      <c r="E2223" s="6" t="n"/>
      <c r="F2223" s="6" t="n"/>
      <c r="G2223" s="6" t="n"/>
      <c r="H2223" s="6" t="n"/>
      <c r="I2223" s="12">
        <f>IF($B2223="","",IF(COUNTIF(Ventes_Factures!$A$6:$A$3005,$B2223)&gt;0,"OK","INCONNUE"))</f>
        <v/>
      </c>
      <c r="J2223" s="9">
        <f>IF($D2223="","",ROUND($D2223,2))</f>
        <v/>
      </c>
    </row>
    <row r="2224">
      <c r="A2224" s="6" t="n"/>
      <c r="B2224" s="6" t="n"/>
      <c r="C2224" s="7" t="n"/>
      <c r="D2224" s="8" t="n"/>
      <c r="E2224" s="6" t="n"/>
      <c r="F2224" s="6" t="n"/>
      <c r="G2224" s="6" t="n"/>
      <c r="H2224" s="6" t="n"/>
      <c r="I2224" s="12">
        <f>IF($B2224="","",IF(COUNTIF(Ventes_Factures!$A$6:$A$3005,$B2224)&gt;0,"OK","INCONNUE"))</f>
        <v/>
      </c>
      <c r="J2224" s="9">
        <f>IF($D2224="","",ROUND($D2224,2))</f>
        <v/>
      </c>
    </row>
    <row r="2225">
      <c r="A2225" s="6" t="n"/>
      <c r="B2225" s="6" t="n"/>
      <c r="C2225" s="7" t="n"/>
      <c r="D2225" s="8" t="n"/>
      <c r="E2225" s="6" t="n"/>
      <c r="F2225" s="6" t="n"/>
      <c r="G2225" s="6" t="n"/>
      <c r="H2225" s="6" t="n"/>
      <c r="I2225" s="12">
        <f>IF($B2225="","",IF(COUNTIF(Ventes_Factures!$A$6:$A$3005,$B2225)&gt;0,"OK","INCONNUE"))</f>
        <v/>
      </c>
      <c r="J2225" s="9">
        <f>IF($D2225="","",ROUND($D2225,2))</f>
        <v/>
      </c>
    </row>
    <row r="2226">
      <c r="A2226" s="6" t="n"/>
      <c r="B2226" s="6" t="n"/>
      <c r="C2226" s="7" t="n"/>
      <c r="D2226" s="8" t="n"/>
      <c r="E2226" s="6" t="n"/>
      <c r="F2226" s="6" t="n"/>
      <c r="G2226" s="6" t="n"/>
      <c r="H2226" s="6" t="n"/>
      <c r="I2226" s="12">
        <f>IF($B2226="","",IF(COUNTIF(Ventes_Factures!$A$6:$A$3005,$B2226)&gt;0,"OK","INCONNUE"))</f>
        <v/>
      </c>
      <c r="J2226" s="9">
        <f>IF($D2226="","",ROUND($D2226,2))</f>
        <v/>
      </c>
    </row>
    <row r="2227">
      <c r="A2227" s="6" t="n"/>
      <c r="B2227" s="6" t="n"/>
      <c r="C2227" s="7" t="n"/>
      <c r="D2227" s="8" t="n"/>
      <c r="E2227" s="6" t="n"/>
      <c r="F2227" s="6" t="n"/>
      <c r="G2227" s="6" t="n"/>
      <c r="H2227" s="6" t="n"/>
      <c r="I2227" s="12">
        <f>IF($B2227="","",IF(COUNTIF(Ventes_Factures!$A$6:$A$3005,$B2227)&gt;0,"OK","INCONNUE"))</f>
        <v/>
      </c>
      <c r="J2227" s="9">
        <f>IF($D2227="","",ROUND($D2227,2))</f>
        <v/>
      </c>
    </row>
    <row r="2228">
      <c r="A2228" s="6" t="n"/>
      <c r="B2228" s="6" t="n"/>
      <c r="C2228" s="7" t="n"/>
      <c r="D2228" s="8" t="n"/>
      <c r="E2228" s="6" t="n"/>
      <c r="F2228" s="6" t="n"/>
      <c r="G2228" s="6" t="n"/>
      <c r="H2228" s="6" t="n"/>
      <c r="I2228" s="12">
        <f>IF($B2228="","",IF(COUNTIF(Ventes_Factures!$A$6:$A$3005,$B2228)&gt;0,"OK","INCONNUE"))</f>
        <v/>
      </c>
      <c r="J2228" s="9">
        <f>IF($D2228="","",ROUND($D2228,2))</f>
        <v/>
      </c>
    </row>
    <row r="2229">
      <c r="A2229" s="6" t="n"/>
      <c r="B2229" s="6" t="n"/>
      <c r="C2229" s="7" t="n"/>
      <c r="D2229" s="8" t="n"/>
      <c r="E2229" s="6" t="n"/>
      <c r="F2229" s="6" t="n"/>
      <c r="G2229" s="6" t="n"/>
      <c r="H2229" s="6" t="n"/>
      <c r="I2229" s="12">
        <f>IF($B2229="","",IF(COUNTIF(Ventes_Factures!$A$6:$A$3005,$B2229)&gt;0,"OK","INCONNUE"))</f>
        <v/>
      </c>
      <c r="J2229" s="9">
        <f>IF($D2229="","",ROUND($D2229,2))</f>
        <v/>
      </c>
    </row>
    <row r="2230">
      <c r="A2230" s="6" t="n"/>
      <c r="B2230" s="6" t="n"/>
      <c r="C2230" s="7" t="n"/>
      <c r="D2230" s="8" t="n"/>
      <c r="E2230" s="6" t="n"/>
      <c r="F2230" s="6" t="n"/>
      <c r="G2230" s="6" t="n"/>
      <c r="H2230" s="6" t="n"/>
      <c r="I2230" s="12">
        <f>IF($B2230="","",IF(COUNTIF(Ventes_Factures!$A$6:$A$3005,$B2230)&gt;0,"OK","INCONNUE"))</f>
        <v/>
      </c>
      <c r="J2230" s="9">
        <f>IF($D2230="","",ROUND($D2230,2))</f>
        <v/>
      </c>
    </row>
    <row r="2231">
      <c r="A2231" s="6" t="n"/>
      <c r="B2231" s="6" t="n"/>
      <c r="C2231" s="7" t="n"/>
      <c r="D2231" s="8" t="n"/>
      <c r="E2231" s="6" t="n"/>
      <c r="F2231" s="6" t="n"/>
      <c r="G2231" s="6" t="n"/>
      <c r="H2231" s="6" t="n"/>
      <c r="I2231" s="12">
        <f>IF($B2231="","",IF(COUNTIF(Ventes_Factures!$A$6:$A$3005,$B2231)&gt;0,"OK","INCONNUE"))</f>
        <v/>
      </c>
      <c r="J2231" s="9">
        <f>IF($D2231="","",ROUND($D2231,2))</f>
        <v/>
      </c>
    </row>
    <row r="2232">
      <c r="A2232" s="6" t="n"/>
      <c r="B2232" s="6" t="n"/>
      <c r="C2232" s="7" t="n"/>
      <c r="D2232" s="8" t="n"/>
      <c r="E2232" s="6" t="n"/>
      <c r="F2232" s="6" t="n"/>
      <c r="G2232" s="6" t="n"/>
      <c r="H2232" s="6" t="n"/>
      <c r="I2232" s="12">
        <f>IF($B2232="","",IF(COUNTIF(Ventes_Factures!$A$6:$A$3005,$B2232)&gt;0,"OK","INCONNUE"))</f>
        <v/>
      </c>
      <c r="J2232" s="9">
        <f>IF($D2232="","",ROUND($D2232,2))</f>
        <v/>
      </c>
    </row>
    <row r="2233">
      <c r="A2233" s="6" t="n"/>
      <c r="B2233" s="6" t="n"/>
      <c r="C2233" s="7" t="n"/>
      <c r="D2233" s="8" t="n"/>
      <c r="E2233" s="6" t="n"/>
      <c r="F2233" s="6" t="n"/>
      <c r="G2233" s="6" t="n"/>
      <c r="H2233" s="6" t="n"/>
      <c r="I2233" s="12">
        <f>IF($B2233="","",IF(COUNTIF(Ventes_Factures!$A$6:$A$3005,$B2233)&gt;0,"OK","INCONNUE"))</f>
        <v/>
      </c>
      <c r="J2233" s="9">
        <f>IF($D2233="","",ROUND($D2233,2))</f>
        <v/>
      </c>
    </row>
    <row r="2234">
      <c r="A2234" s="6" t="n"/>
      <c r="B2234" s="6" t="n"/>
      <c r="C2234" s="7" t="n"/>
      <c r="D2234" s="8" t="n"/>
      <c r="E2234" s="6" t="n"/>
      <c r="F2234" s="6" t="n"/>
      <c r="G2234" s="6" t="n"/>
      <c r="H2234" s="6" t="n"/>
      <c r="I2234" s="12">
        <f>IF($B2234="","",IF(COUNTIF(Ventes_Factures!$A$6:$A$3005,$B2234)&gt;0,"OK","INCONNUE"))</f>
        <v/>
      </c>
      <c r="J2234" s="9">
        <f>IF($D2234="","",ROUND($D2234,2))</f>
        <v/>
      </c>
    </row>
    <row r="2235">
      <c r="A2235" s="6" t="n"/>
      <c r="B2235" s="6" t="n"/>
      <c r="C2235" s="7" t="n"/>
      <c r="D2235" s="8" t="n"/>
      <c r="E2235" s="6" t="n"/>
      <c r="F2235" s="6" t="n"/>
      <c r="G2235" s="6" t="n"/>
      <c r="H2235" s="6" t="n"/>
      <c r="I2235" s="12">
        <f>IF($B2235="","",IF(COUNTIF(Ventes_Factures!$A$6:$A$3005,$B2235)&gt;0,"OK","INCONNUE"))</f>
        <v/>
      </c>
      <c r="J2235" s="9">
        <f>IF($D2235="","",ROUND($D2235,2))</f>
        <v/>
      </c>
    </row>
    <row r="2236">
      <c r="A2236" s="6" t="n"/>
      <c r="B2236" s="6" t="n"/>
      <c r="C2236" s="7" t="n"/>
      <c r="D2236" s="8" t="n"/>
      <c r="E2236" s="6" t="n"/>
      <c r="F2236" s="6" t="n"/>
      <c r="G2236" s="6" t="n"/>
      <c r="H2236" s="6" t="n"/>
      <c r="I2236" s="12">
        <f>IF($B2236="","",IF(COUNTIF(Ventes_Factures!$A$6:$A$3005,$B2236)&gt;0,"OK","INCONNUE"))</f>
        <v/>
      </c>
      <c r="J2236" s="9">
        <f>IF($D2236="","",ROUND($D2236,2))</f>
        <v/>
      </c>
    </row>
    <row r="2237">
      <c r="A2237" s="6" t="n"/>
      <c r="B2237" s="6" t="n"/>
      <c r="C2237" s="7" t="n"/>
      <c r="D2237" s="8" t="n"/>
      <c r="E2237" s="6" t="n"/>
      <c r="F2237" s="6" t="n"/>
      <c r="G2237" s="6" t="n"/>
      <c r="H2237" s="6" t="n"/>
      <c r="I2237" s="12">
        <f>IF($B2237="","",IF(COUNTIF(Ventes_Factures!$A$6:$A$3005,$B2237)&gt;0,"OK","INCONNUE"))</f>
        <v/>
      </c>
      <c r="J2237" s="9">
        <f>IF($D2237="","",ROUND($D2237,2))</f>
        <v/>
      </c>
    </row>
    <row r="2238">
      <c r="A2238" s="6" t="n"/>
      <c r="B2238" s="6" t="n"/>
      <c r="C2238" s="7" t="n"/>
      <c r="D2238" s="8" t="n"/>
      <c r="E2238" s="6" t="n"/>
      <c r="F2238" s="6" t="n"/>
      <c r="G2238" s="6" t="n"/>
      <c r="H2238" s="6" t="n"/>
      <c r="I2238" s="12">
        <f>IF($B2238="","",IF(COUNTIF(Ventes_Factures!$A$6:$A$3005,$B2238)&gt;0,"OK","INCONNUE"))</f>
        <v/>
      </c>
      <c r="J2238" s="9">
        <f>IF($D2238="","",ROUND($D2238,2))</f>
        <v/>
      </c>
    </row>
    <row r="2239">
      <c r="A2239" s="6" t="n"/>
      <c r="B2239" s="6" t="n"/>
      <c r="C2239" s="7" t="n"/>
      <c r="D2239" s="8" t="n"/>
      <c r="E2239" s="6" t="n"/>
      <c r="F2239" s="6" t="n"/>
      <c r="G2239" s="6" t="n"/>
      <c r="H2239" s="6" t="n"/>
      <c r="I2239" s="12">
        <f>IF($B2239="","",IF(COUNTIF(Ventes_Factures!$A$6:$A$3005,$B2239)&gt;0,"OK","INCONNUE"))</f>
        <v/>
      </c>
      <c r="J2239" s="9">
        <f>IF($D2239="","",ROUND($D2239,2))</f>
        <v/>
      </c>
    </row>
    <row r="2240">
      <c r="A2240" s="6" t="n"/>
      <c r="B2240" s="6" t="n"/>
      <c r="C2240" s="7" t="n"/>
      <c r="D2240" s="8" t="n"/>
      <c r="E2240" s="6" t="n"/>
      <c r="F2240" s="6" t="n"/>
      <c r="G2240" s="6" t="n"/>
      <c r="H2240" s="6" t="n"/>
      <c r="I2240" s="12">
        <f>IF($B2240="","",IF(COUNTIF(Ventes_Factures!$A$6:$A$3005,$B2240)&gt;0,"OK","INCONNUE"))</f>
        <v/>
      </c>
      <c r="J2240" s="9">
        <f>IF($D2240="","",ROUND($D2240,2))</f>
        <v/>
      </c>
    </row>
    <row r="2241">
      <c r="A2241" s="6" t="n"/>
      <c r="B2241" s="6" t="n"/>
      <c r="C2241" s="7" t="n"/>
      <c r="D2241" s="8" t="n"/>
      <c r="E2241" s="6" t="n"/>
      <c r="F2241" s="6" t="n"/>
      <c r="G2241" s="6" t="n"/>
      <c r="H2241" s="6" t="n"/>
      <c r="I2241" s="12">
        <f>IF($B2241="","",IF(COUNTIF(Ventes_Factures!$A$6:$A$3005,$B2241)&gt;0,"OK","INCONNUE"))</f>
        <v/>
      </c>
      <c r="J2241" s="9">
        <f>IF($D2241="","",ROUND($D2241,2))</f>
        <v/>
      </c>
    </row>
    <row r="2242">
      <c r="A2242" s="6" t="n"/>
      <c r="B2242" s="6" t="n"/>
      <c r="C2242" s="7" t="n"/>
      <c r="D2242" s="8" t="n"/>
      <c r="E2242" s="6" t="n"/>
      <c r="F2242" s="6" t="n"/>
      <c r="G2242" s="6" t="n"/>
      <c r="H2242" s="6" t="n"/>
      <c r="I2242" s="12">
        <f>IF($B2242="","",IF(COUNTIF(Ventes_Factures!$A$6:$A$3005,$B2242)&gt;0,"OK","INCONNUE"))</f>
        <v/>
      </c>
      <c r="J2242" s="9">
        <f>IF($D2242="","",ROUND($D2242,2))</f>
        <v/>
      </c>
    </row>
    <row r="2243">
      <c r="A2243" s="6" t="n"/>
      <c r="B2243" s="6" t="n"/>
      <c r="C2243" s="7" t="n"/>
      <c r="D2243" s="8" t="n"/>
      <c r="E2243" s="6" t="n"/>
      <c r="F2243" s="6" t="n"/>
      <c r="G2243" s="6" t="n"/>
      <c r="H2243" s="6" t="n"/>
      <c r="I2243" s="12">
        <f>IF($B2243="","",IF(COUNTIF(Ventes_Factures!$A$6:$A$3005,$B2243)&gt;0,"OK","INCONNUE"))</f>
        <v/>
      </c>
      <c r="J2243" s="9">
        <f>IF($D2243="","",ROUND($D2243,2))</f>
        <v/>
      </c>
    </row>
    <row r="2244">
      <c r="A2244" s="6" t="n"/>
      <c r="B2244" s="6" t="n"/>
      <c r="C2244" s="7" t="n"/>
      <c r="D2244" s="8" t="n"/>
      <c r="E2244" s="6" t="n"/>
      <c r="F2244" s="6" t="n"/>
      <c r="G2244" s="6" t="n"/>
      <c r="H2244" s="6" t="n"/>
      <c r="I2244" s="12">
        <f>IF($B2244="","",IF(COUNTIF(Ventes_Factures!$A$6:$A$3005,$B2244)&gt;0,"OK","INCONNUE"))</f>
        <v/>
      </c>
      <c r="J2244" s="9">
        <f>IF($D2244="","",ROUND($D2244,2))</f>
        <v/>
      </c>
    </row>
    <row r="2245">
      <c r="A2245" s="6" t="n"/>
      <c r="B2245" s="6" t="n"/>
      <c r="C2245" s="7" t="n"/>
      <c r="D2245" s="8" t="n"/>
      <c r="E2245" s="6" t="n"/>
      <c r="F2245" s="6" t="n"/>
      <c r="G2245" s="6" t="n"/>
      <c r="H2245" s="6" t="n"/>
      <c r="I2245" s="12">
        <f>IF($B2245="","",IF(COUNTIF(Ventes_Factures!$A$6:$A$3005,$B2245)&gt;0,"OK","INCONNUE"))</f>
        <v/>
      </c>
      <c r="J2245" s="9">
        <f>IF($D2245="","",ROUND($D2245,2))</f>
        <v/>
      </c>
    </row>
    <row r="2246">
      <c r="A2246" s="6" t="n"/>
      <c r="B2246" s="6" t="n"/>
      <c r="C2246" s="7" t="n"/>
      <c r="D2246" s="8" t="n"/>
      <c r="E2246" s="6" t="n"/>
      <c r="F2246" s="6" t="n"/>
      <c r="G2246" s="6" t="n"/>
      <c r="H2246" s="6" t="n"/>
      <c r="I2246" s="12">
        <f>IF($B2246="","",IF(COUNTIF(Ventes_Factures!$A$6:$A$3005,$B2246)&gt;0,"OK","INCONNUE"))</f>
        <v/>
      </c>
      <c r="J2246" s="9">
        <f>IF($D2246="","",ROUND($D2246,2))</f>
        <v/>
      </c>
    </row>
    <row r="2247">
      <c r="A2247" s="6" t="n"/>
      <c r="B2247" s="6" t="n"/>
      <c r="C2247" s="7" t="n"/>
      <c r="D2247" s="8" t="n"/>
      <c r="E2247" s="6" t="n"/>
      <c r="F2247" s="6" t="n"/>
      <c r="G2247" s="6" t="n"/>
      <c r="H2247" s="6" t="n"/>
      <c r="I2247" s="12">
        <f>IF($B2247="","",IF(COUNTIF(Ventes_Factures!$A$6:$A$3005,$B2247)&gt;0,"OK","INCONNUE"))</f>
        <v/>
      </c>
      <c r="J2247" s="9">
        <f>IF($D2247="","",ROUND($D2247,2))</f>
        <v/>
      </c>
    </row>
    <row r="2248">
      <c r="A2248" s="6" t="n"/>
      <c r="B2248" s="6" t="n"/>
      <c r="C2248" s="7" t="n"/>
      <c r="D2248" s="8" t="n"/>
      <c r="E2248" s="6" t="n"/>
      <c r="F2248" s="6" t="n"/>
      <c r="G2248" s="6" t="n"/>
      <c r="H2248" s="6" t="n"/>
      <c r="I2248" s="12">
        <f>IF($B2248="","",IF(COUNTIF(Ventes_Factures!$A$6:$A$3005,$B2248)&gt;0,"OK","INCONNUE"))</f>
        <v/>
      </c>
      <c r="J2248" s="9">
        <f>IF($D2248="","",ROUND($D2248,2))</f>
        <v/>
      </c>
    </row>
    <row r="2249">
      <c r="A2249" s="6" t="n"/>
      <c r="B2249" s="6" t="n"/>
      <c r="C2249" s="7" t="n"/>
      <c r="D2249" s="8" t="n"/>
      <c r="E2249" s="6" t="n"/>
      <c r="F2249" s="6" t="n"/>
      <c r="G2249" s="6" t="n"/>
      <c r="H2249" s="6" t="n"/>
      <c r="I2249" s="12">
        <f>IF($B2249="","",IF(COUNTIF(Ventes_Factures!$A$6:$A$3005,$B2249)&gt;0,"OK","INCONNUE"))</f>
        <v/>
      </c>
      <c r="J2249" s="9">
        <f>IF($D2249="","",ROUND($D2249,2))</f>
        <v/>
      </c>
    </row>
    <row r="2250">
      <c r="A2250" s="6" t="n"/>
      <c r="B2250" s="6" t="n"/>
      <c r="C2250" s="7" t="n"/>
      <c r="D2250" s="8" t="n"/>
      <c r="E2250" s="6" t="n"/>
      <c r="F2250" s="6" t="n"/>
      <c r="G2250" s="6" t="n"/>
      <c r="H2250" s="6" t="n"/>
      <c r="I2250" s="12">
        <f>IF($B2250="","",IF(COUNTIF(Ventes_Factures!$A$6:$A$3005,$B2250)&gt;0,"OK","INCONNUE"))</f>
        <v/>
      </c>
      <c r="J2250" s="9">
        <f>IF($D2250="","",ROUND($D2250,2))</f>
        <v/>
      </c>
    </row>
    <row r="2251">
      <c r="A2251" s="6" t="n"/>
      <c r="B2251" s="6" t="n"/>
      <c r="C2251" s="7" t="n"/>
      <c r="D2251" s="8" t="n"/>
      <c r="E2251" s="6" t="n"/>
      <c r="F2251" s="6" t="n"/>
      <c r="G2251" s="6" t="n"/>
      <c r="H2251" s="6" t="n"/>
      <c r="I2251" s="12">
        <f>IF($B2251="","",IF(COUNTIF(Ventes_Factures!$A$6:$A$3005,$B2251)&gt;0,"OK","INCONNUE"))</f>
        <v/>
      </c>
      <c r="J2251" s="9">
        <f>IF($D2251="","",ROUND($D2251,2))</f>
        <v/>
      </c>
    </row>
    <row r="2252">
      <c r="A2252" s="6" t="n"/>
      <c r="B2252" s="6" t="n"/>
      <c r="C2252" s="7" t="n"/>
      <c r="D2252" s="8" t="n"/>
      <c r="E2252" s="6" t="n"/>
      <c r="F2252" s="6" t="n"/>
      <c r="G2252" s="6" t="n"/>
      <c r="H2252" s="6" t="n"/>
      <c r="I2252" s="12">
        <f>IF($B2252="","",IF(COUNTIF(Ventes_Factures!$A$6:$A$3005,$B2252)&gt;0,"OK","INCONNUE"))</f>
        <v/>
      </c>
      <c r="J2252" s="9">
        <f>IF($D2252="","",ROUND($D2252,2))</f>
        <v/>
      </c>
    </row>
    <row r="2253">
      <c r="A2253" s="6" t="n"/>
      <c r="B2253" s="6" t="n"/>
      <c r="C2253" s="7" t="n"/>
      <c r="D2253" s="8" t="n"/>
      <c r="E2253" s="6" t="n"/>
      <c r="F2253" s="6" t="n"/>
      <c r="G2253" s="6" t="n"/>
      <c r="H2253" s="6" t="n"/>
      <c r="I2253" s="12">
        <f>IF($B2253="","",IF(COUNTIF(Ventes_Factures!$A$6:$A$3005,$B2253)&gt;0,"OK","INCONNUE"))</f>
        <v/>
      </c>
      <c r="J2253" s="9">
        <f>IF($D2253="","",ROUND($D2253,2))</f>
        <v/>
      </c>
    </row>
    <row r="2254">
      <c r="A2254" s="6" t="n"/>
      <c r="B2254" s="6" t="n"/>
      <c r="C2254" s="7" t="n"/>
      <c r="D2254" s="8" t="n"/>
      <c r="E2254" s="6" t="n"/>
      <c r="F2254" s="6" t="n"/>
      <c r="G2254" s="6" t="n"/>
      <c r="H2254" s="6" t="n"/>
      <c r="I2254" s="12">
        <f>IF($B2254="","",IF(COUNTIF(Ventes_Factures!$A$6:$A$3005,$B2254)&gt;0,"OK","INCONNUE"))</f>
        <v/>
      </c>
      <c r="J2254" s="9">
        <f>IF($D2254="","",ROUND($D2254,2))</f>
        <v/>
      </c>
    </row>
    <row r="2255">
      <c r="A2255" s="6" t="n"/>
      <c r="B2255" s="6" t="n"/>
      <c r="C2255" s="7" t="n"/>
      <c r="D2255" s="8" t="n"/>
      <c r="E2255" s="6" t="n"/>
      <c r="F2255" s="6" t="n"/>
      <c r="G2255" s="6" t="n"/>
      <c r="H2255" s="6" t="n"/>
      <c r="I2255" s="12">
        <f>IF($B2255="","",IF(COUNTIF(Ventes_Factures!$A$6:$A$3005,$B2255)&gt;0,"OK","INCONNUE"))</f>
        <v/>
      </c>
      <c r="J2255" s="9">
        <f>IF($D2255="","",ROUND($D2255,2))</f>
        <v/>
      </c>
    </row>
    <row r="2256">
      <c r="A2256" s="6" t="n"/>
      <c r="B2256" s="6" t="n"/>
      <c r="C2256" s="7" t="n"/>
      <c r="D2256" s="8" t="n"/>
      <c r="E2256" s="6" t="n"/>
      <c r="F2256" s="6" t="n"/>
      <c r="G2256" s="6" t="n"/>
      <c r="H2256" s="6" t="n"/>
      <c r="I2256" s="12">
        <f>IF($B2256="","",IF(COUNTIF(Ventes_Factures!$A$6:$A$3005,$B2256)&gt;0,"OK","INCONNUE"))</f>
        <v/>
      </c>
      <c r="J2256" s="9">
        <f>IF($D2256="","",ROUND($D2256,2))</f>
        <v/>
      </c>
    </row>
    <row r="2257">
      <c r="A2257" s="6" t="n"/>
      <c r="B2257" s="6" t="n"/>
      <c r="C2257" s="7" t="n"/>
      <c r="D2257" s="8" t="n"/>
      <c r="E2257" s="6" t="n"/>
      <c r="F2257" s="6" t="n"/>
      <c r="G2257" s="6" t="n"/>
      <c r="H2257" s="6" t="n"/>
      <c r="I2257" s="12">
        <f>IF($B2257="","",IF(COUNTIF(Ventes_Factures!$A$6:$A$3005,$B2257)&gt;0,"OK","INCONNUE"))</f>
        <v/>
      </c>
      <c r="J2257" s="9">
        <f>IF($D2257="","",ROUND($D2257,2))</f>
        <v/>
      </c>
    </row>
    <row r="2258">
      <c r="A2258" s="6" t="n"/>
      <c r="B2258" s="6" t="n"/>
      <c r="C2258" s="7" t="n"/>
      <c r="D2258" s="8" t="n"/>
      <c r="E2258" s="6" t="n"/>
      <c r="F2258" s="6" t="n"/>
      <c r="G2258" s="6" t="n"/>
      <c r="H2258" s="6" t="n"/>
      <c r="I2258" s="12">
        <f>IF($B2258="","",IF(COUNTIF(Ventes_Factures!$A$6:$A$3005,$B2258)&gt;0,"OK","INCONNUE"))</f>
        <v/>
      </c>
      <c r="J2258" s="9">
        <f>IF($D2258="","",ROUND($D2258,2))</f>
        <v/>
      </c>
    </row>
    <row r="2259">
      <c r="A2259" s="6" t="n"/>
      <c r="B2259" s="6" t="n"/>
      <c r="C2259" s="7" t="n"/>
      <c r="D2259" s="8" t="n"/>
      <c r="E2259" s="6" t="n"/>
      <c r="F2259" s="6" t="n"/>
      <c r="G2259" s="6" t="n"/>
      <c r="H2259" s="6" t="n"/>
      <c r="I2259" s="12">
        <f>IF($B2259="","",IF(COUNTIF(Ventes_Factures!$A$6:$A$3005,$B2259)&gt;0,"OK","INCONNUE"))</f>
        <v/>
      </c>
      <c r="J2259" s="9">
        <f>IF($D2259="","",ROUND($D2259,2))</f>
        <v/>
      </c>
    </row>
    <row r="2260">
      <c r="A2260" s="6" t="n"/>
      <c r="B2260" s="6" t="n"/>
      <c r="C2260" s="7" t="n"/>
      <c r="D2260" s="8" t="n"/>
      <c r="E2260" s="6" t="n"/>
      <c r="F2260" s="6" t="n"/>
      <c r="G2260" s="6" t="n"/>
      <c r="H2260" s="6" t="n"/>
      <c r="I2260" s="12">
        <f>IF($B2260="","",IF(COUNTIF(Ventes_Factures!$A$6:$A$3005,$B2260)&gt;0,"OK","INCONNUE"))</f>
        <v/>
      </c>
      <c r="J2260" s="9">
        <f>IF($D2260="","",ROUND($D2260,2))</f>
        <v/>
      </c>
    </row>
    <row r="2261">
      <c r="A2261" s="6" t="n"/>
      <c r="B2261" s="6" t="n"/>
      <c r="C2261" s="7" t="n"/>
      <c r="D2261" s="8" t="n"/>
      <c r="E2261" s="6" t="n"/>
      <c r="F2261" s="6" t="n"/>
      <c r="G2261" s="6" t="n"/>
      <c r="H2261" s="6" t="n"/>
      <c r="I2261" s="12">
        <f>IF($B2261="","",IF(COUNTIF(Ventes_Factures!$A$6:$A$3005,$B2261)&gt;0,"OK","INCONNUE"))</f>
        <v/>
      </c>
      <c r="J2261" s="9">
        <f>IF($D2261="","",ROUND($D2261,2))</f>
        <v/>
      </c>
    </row>
    <row r="2262">
      <c r="A2262" s="6" t="n"/>
      <c r="B2262" s="6" t="n"/>
      <c r="C2262" s="7" t="n"/>
      <c r="D2262" s="8" t="n"/>
      <c r="E2262" s="6" t="n"/>
      <c r="F2262" s="6" t="n"/>
      <c r="G2262" s="6" t="n"/>
      <c r="H2262" s="6" t="n"/>
      <c r="I2262" s="12">
        <f>IF($B2262="","",IF(COUNTIF(Ventes_Factures!$A$6:$A$3005,$B2262)&gt;0,"OK","INCONNUE"))</f>
        <v/>
      </c>
      <c r="J2262" s="9">
        <f>IF($D2262="","",ROUND($D2262,2))</f>
        <v/>
      </c>
    </row>
    <row r="2263">
      <c r="A2263" s="6" t="n"/>
      <c r="B2263" s="6" t="n"/>
      <c r="C2263" s="7" t="n"/>
      <c r="D2263" s="8" t="n"/>
      <c r="E2263" s="6" t="n"/>
      <c r="F2263" s="6" t="n"/>
      <c r="G2263" s="6" t="n"/>
      <c r="H2263" s="6" t="n"/>
      <c r="I2263" s="12">
        <f>IF($B2263="","",IF(COUNTIF(Ventes_Factures!$A$6:$A$3005,$B2263)&gt;0,"OK","INCONNUE"))</f>
        <v/>
      </c>
      <c r="J2263" s="9">
        <f>IF($D2263="","",ROUND($D2263,2))</f>
        <v/>
      </c>
    </row>
    <row r="2264">
      <c r="A2264" s="6" t="n"/>
      <c r="B2264" s="6" t="n"/>
      <c r="C2264" s="7" t="n"/>
      <c r="D2264" s="8" t="n"/>
      <c r="E2264" s="6" t="n"/>
      <c r="F2264" s="6" t="n"/>
      <c r="G2264" s="6" t="n"/>
      <c r="H2264" s="6" t="n"/>
      <c r="I2264" s="12">
        <f>IF($B2264="","",IF(COUNTIF(Ventes_Factures!$A$6:$A$3005,$B2264)&gt;0,"OK","INCONNUE"))</f>
        <v/>
      </c>
      <c r="J2264" s="9">
        <f>IF($D2264="","",ROUND($D2264,2))</f>
        <v/>
      </c>
    </row>
    <row r="2265">
      <c r="A2265" s="6" t="n"/>
      <c r="B2265" s="6" t="n"/>
      <c r="C2265" s="7" t="n"/>
      <c r="D2265" s="8" t="n"/>
      <c r="E2265" s="6" t="n"/>
      <c r="F2265" s="6" t="n"/>
      <c r="G2265" s="6" t="n"/>
      <c r="H2265" s="6" t="n"/>
      <c r="I2265" s="12">
        <f>IF($B2265="","",IF(COUNTIF(Ventes_Factures!$A$6:$A$3005,$B2265)&gt;0,"OK","INCONNUE"))</f>
        <v/>
      </c>
      <c r="J2265" s="9">
        <f>IF($D2265="","",ROUND($D2265,2))</f>
        <v/>
      </c>
    </row>
    <row r="2266">
      <c r="A2266" s="6" t="n"/>
      <c r="B2266" s="6" t="n"/>
      <c r="C2266" s="7" t="n"/>
      <c r="D2266" s="8" t="n"/>
      <c r="E2266" s="6" t="n"/>
      <c r="F2266" s="6" t="n"/>
      <c r="G2266" s="6" t="n"/>
      <c r="H2266" s="6" t="n"/>
      <c r="I2266" s="12">
        <f>IF($B2266="","",IF(COUNTIF(Ventes_Factures!$A$6:$A$3005,$B2266)&gt;0,"OK","INCONNUE"))</f>
        <v/>
      </c>
      <c r="J2266" s="9">
        <f>IF($D2266="","",ROUND($D2266,2))</f>
        <v/>
      </c>
    </row>
    <row r="2267">
      <c r="A2267" s="6" t="n"/>
      <c r="B2267" s="6" t="n"/>
      <c r="C2267" s="7" t="n"/>
      <c r="D2267" s="8" t="n"/>
      <c r="E2267" s="6" t="n"/>
      <c r="F2267" s="6" t="n"/>
      <c r="G2267" s="6" t="n"/>
      <c r="H2267" s="6" t="n"/>
      <c r="I2267" s="12">
        <f>IF($B2267="","",IF(COUNTIF(Ventes_Factures!$A$6:$A$3005,$B2267)&gt;0,"OK","INCONNUE"))</f>
        <v/>
      </c>
      <c r="J2267" s="9">
        <f>IF($D2267="","",ROUND($D2267,2))</f>
        <v/>
      </c>
    </row>
    <row r="2268">
      <c r="A2268" s="6" t="n"/>
      <c r="B2268" s="6" t="n"/>
      <c r="C2268" s="7" t="n"/>
      <c r="D2268" s="8" t="n"/>
      <c r="E2268" s="6" t="n"/>
      <c r="F2268" s="6" t="n"/>
      <c r="G2268" s="6" t="n"/>
      <c r="H2268" s="6" t="n"/>
      <c r="I2268" s="12">
        <f>IF($B2268="","",IF(COUNTIF(Ventes_Factures!$A$6:$A$3005,$B2268)&gt;0,"OK","INCONNUE"))</f>
        <v/>
      </c>
      <c r="J2268" s="9">
        <f>IF($D2268="","",ROUND($D2268,2))</f>
        <v/>
      </c>
    </row>
    <row r="2269">
      <c r="A2269" s="6" t="n"/>
      <c r="B2269" s="6" t="n"/>
      <c r="C2269" s="7" t="n"/>
      <c r="D2269" s="8" t="n"/>
      <c r="E2269" s="6" t="n"/>
      <c r="F2269" s="6" t="n"/>
      <c r="G2269" s="6" t="n"/>
      <c r="H2269" s="6" t="n"/>
      <c r="I2269" s="12">
        <f>IF($B2269="","",IF(COUNTIF(Ventes_Factures!$A$6:$A$3005,$B2269)&gt;0,"OK","INCONNUE"))</f>
        <v/>
      </c>
      <c r="J2269" s="9">
        <f>IF($D2269="","",ROUND($D2269,2))</f>
        <v/>
      </c>
    </row>
    <row r="2270">
      <c r="A2270" s="6" t="n"/>
      <c r="B2270" s="6" t="n"/>
      <c r="C2270" s="7" t="n"/>
      <c r="D2270" s="8" t="n"/>
      <c r="E2270" s="6" t="n"/>
      <c r="F2270" s="6" t="n"/>
      <c r="G2270" s="6" t="n"/>
      <c r="H2270" s="6" t="n"/>
      <c r="I2270" s="12">
        <f>IF($B2270="","",IF(COUNTIF(Ventes_Factures!$A$6:$A$3005,$B2270)&gt;0,"OK","INCONNUE"))</f>
        <v/>
      </c>
      <c r="J2270" s="9">
        <f>IF($D2270="","",ROUND($D2270,2))</f>
        <v/>
      </c>
    </row>
    <row r="2271">
      <c r="A2271" s="6" t="n"/>
      <c r="B2271" s="6" t="n"/>
      <c r="C2271" s="7" t="n"/>
      <c r="D2271" s="8" t="n"/>
      <c r="E2271" s="6" t="n"/>
      <c r="F2271" s="6" t="n"/>
      <c r="G2271" s="6" t="n"/>
      <c r="H2271" s="6" t="n"/>
      <c r="I2271" s="12">
        <f>IF($B2271="","",IF(COUNTIF(Ventes_Factures!$A$6:$A$3005,$B2271)&gt;0,"OK","INCONNUE"))</f>
        <v/>
      </c>
      <c r="J2271" s="9">
        <f>IF($D2271="","",ROUND($D2271,2))</f>
        <v/>
      </c>
    </row>
    <row r="2272">
      <c r="A2272" s="6" t="n"/>
      <c r="B2272" s="6" t="n"/>
      <c r="C2272" s="7" t="n"/>
      <c r="D2272" s="8" t="n"/>
      <c r="E2272" s="6" t="n"/>
      <c r="F2272" s="6" t="n"/>
      <c r="G2272" s="6" t="n"/>
      <c r="H2272" s="6" t="n"/>
      <c r="I2272" s="12">
        <f>IF($B2272="","",IF(COUNTIF(Ventes_Factures!$A$6:$A$3005,$B2272)&gt;0,"OK","INCONNUE"))</f>
        <v/>
      </c>
      <c r="J2272" s="9">
        <f>IF($D2272="","",ROUND($D2272,2))</f>
        <v/>
      </c>
    </row>
    <row r="2273">
      <c r="A2273" s="6" t="n"/>
      <c r="B2273" s="6" t="n"/>
      <c r="C2273" s="7" t="n"/>
      <c r="D2273" s="8" t="n"/>
      <c r="E2273" s="6" t="n"/>
      <c r="F2273" s="6" t="n"/>
      <c r="G2273" s="6" t="n"/>
      <c r="H2273" s="6" t="n"/>
      <c r="I2273" s="12">
        <f>IF($B2273="","",IF(COUNTIF(Ventes_Factures!$A$6:$A$3005,$B2273)&gt;0,"OK","INCONNUE"))</f>
        <v/>
      </c>
      <c r="J2273" s="9">
        <f>IF($D2273="","",ROUND($D2273,2))</f>
        <v/>
      </c>
    </row>
    <row r="2274">
      <c r="A2274" s="6" t="n"/>
      <c r="B2274" s="6" t="n"/>
      <c r="C2274" s="7" t="n"/>
      <c r="D2274" s="8" t="n"/>
      <c r="E2274" s="6" t="n"/>
      <c r="F2274" s="6" t="n"/>
      <c r="G2274" s="6" t="n"/>
      <c r="H2274" s="6" t="n"/>
      <c r="I2274" s="12">
        <f>IF($B2274="","",IF(COUNTIF(Ventes_Factures!$A$6:$A$3005,$B2274)&gt;0,"OK","INCONNUE"))</f>
        <v/>
      </c>
      <c r="J2274" s="9">
        <f>IF($D2274="","",ROUND($D2274,2))</f>
        <v/>
      </c>
    </row>
    <row r="2275">
      <c r="A2275" s="6" t="n"/>
      <c r="B2275" s="6" t="n"/>
      <c r="C2275" s="7" t="n"/>
      <c r="D2275" s="8" t="n"/>
      <c r="E2275" s="6" t="n"/>
      <c r="F2275" s="6" t="n"/>
      <c r="G2275" s="6" t="n"/>
      <c r="H2275" s="6" t="n"/>
      <c r="I2275" s="12">
        <f>IF($B2275="","",IF(COUNTIF(Ventes_Factures!$A$6:$A$3005,$B2275)&gt;0,"OK","INCONNUE"))</f>
        <v/>
      </c>
      <c r="J2275" s="9">
        <f>IF($D2275="","",ROUND($D2275,2))</f>
        <v/>
      </c>
    </row>
    <row r="2276">
      <c r="A2276" s="6" t="n"/>
      <c r="B2276" s="6" t="n"/>
      <c r="C2276" s="7" t="n"/>
      <c r="D2276" s="8" t="n"/>
      <c r="E2276" s="6" t="n"/>
      <c r="F2276" s="6" t="n"/>
      <c r="G2276" s="6" t="n"/>
      <c r="H2276" s="6" t="n"/>
      <c r="I2276" s="12">
        <f>IF($B2276="","",IF(COUNTIF(Ventes_Factures!$A$6:$A$3005,$B2276)&gt;0,"OK","INCONNUE"))</f>
        <v/>
      </c>
      <c r="J2276" s="9">
        <f>IF($D2276="","",ROUND($D2276,2))</f>
        <v/>
      </c>
    </row>
    <row r="2277">
      <c r="A2277" s="6" t="n"/>
      <c r="B2277" s="6" t="n"/>
      <c r="C2277" s="7" t="n"/>
      <c r="D2277" s="8" t="n"/>
      <c r="E2277" s="6" t="n"/>
      <c r="F2277" s="6" t="n"/>
      <c r="G2277" s="6" t="n"/>
      <c r="H2277" s="6" t="n"/>
      <c r="I2277" s="12">
        <f>IF($B2277="","",IF(COUNTIF(Ventes_Factures!$A$6:$A$3005,$B2277)&gt;0,"OK","INCONNUE"))</f>
        <v/>
      </c>
      <c r="J2277" s="9">
        <f>IF($D2277="","",ROUND($D2277,2))</f>
        <v/>
      </c>
    </row>
    <row r="2278">
      <c r="A2278" s="6" t="n"/>
      <c r="B2278" s="6" t="n"/>
      <c r="C2278" s="7" t="n"/>
      <c r="D2278" s="8" t="n"/>
      <c r="E2278" s="6" t="n"/>
      <c r="F2278" s="6" t="n"/>
      <c r="G2278" s="6" t="n"/>
      <c r="H2278" s="6" t="n"/>
      <c r="I2278" s="12">
        <f>IF($B2278="","",IF(COUNTIF(Ventes_Factures!$A$6:$A$3005,$B2278)&gt;0,"OK","INCONNUE"))</f>
        <v/>
      </c>
      <c r="J2278" s="9">
        <f>IF($D2278="","",ROUND($D2278,2))</f>
        <v/>
      </c>
    </row>
    <row r="2279">
      <c r="A2279" s="6" t="n"/>
      <c r="B2279" s="6" t="n"/>
      <c r="C2279" s="7" t="n"/>
      <c r="D2279" s="8" t="n"/>
      <c r="E2279" s="6" t="n"/>
      <c r="F2279" s="6" t="n"/>
      <c r="G2279" s="6" t="n"/>
      <c r="H2279" s="6" t="n"/>
      <c r="I2279" s="12">
        <f>IF($B2279="","",IF(COUNTIF(Ventes_Factures!$A$6:$A$3005,$B2279)&gt;0,"OK","INCONNUE"))</f>
        <v/>
      </c>
      <c r="J2279" s="9">
        <f>IF($D2279="","",ROUND($D2279,2))</f>
        <v/>
      </c>
    </row>
    <row r="2280">
      <c r="A2280" s="6" t="n"/>
      <c r="B2280" s="6" t="n"/>
      <c r="C2280" s="7" t="n"/>
      <c r="D2280" s="8" t="n"/>
      <c r="E2280" s="6" t="n"/>
      <c r="F2280" s="6" t="n"/>
      <c r="G2280" s="6" t="n"/>
      <c r="H2280" s="6" t="n"/>
      <c r="I2280" s="12">
        <f>IF($B2280="","",IF(COUNTIF(Ventes_Factures!$A$6:$A$3005,$B2280)&gt;0,"OK","INCONNUE"))</f>
        <v/>
      </c>
      <c r="J2280" s="9">
        <f>IF($D2280="","",ROUND($D2280,2))</f>
        <v/>
      </c>
    </row>
    <row r="2281">
      <c r="A2281" s="6" t="n"/>
      <c r="B2281" s="6" t="n"/>
      <c r="C2281" s="7" t="n"/>
      <c r="D2281" s="8" t="n"/>
      <c r="E2281" s="6" t="n"/>
      <c r="F2281" s="6" t="n"/>
      <c r="G2281" s="6" t="n"/>
      <c r="H2281" s="6" t="n"/>
      <c r="I2281" s="12">
        <f>IF($B2281="","",IF(COUNTIF(Ventes_Factures!$A$6:$A$3005,$B2281)&gt;0,"OK","INCONNUE"))</f>
        <v/>
      </c>
      <c r="J2281" s="9">
        <f>IF($D2281="","",ROUND($D2281,2))</f>
        <v/>
      </c>
    </row>
    <row r="2282">
      <c r="A2282" s="6" t="n"/>
      <c r="B2282" s="6" t="n"/>
      <c r="C2282" s="7" t="n"/>
      <c r="D2282" s="8" t="n"/>
      <c r="E2282" s="6" t="n"/>
      <c r="F2282" s="6" t="n"/>
      <c r="G2282" s="6" t="n"/>
      <c r="H2282" s="6" t="n"/>
      <c r="I2282" s="12">
        <f>IF($B2282="","",IF(COUNTIF(Ventes_Factures!$A$6:$A$3005,$B2282)&gt;0,"OK","INCONNUE"))</f>
        <v/>
      </c>
      <c r="J2282" s="9">
        <f>IF($D2282="","",ROUND($D2282,2))</f>
        <v/>
      </c>
    </row>
    <row r="2283">
      <c r="A2283" s="6" t="n"/>
      <c r="B2283" s="6" t="n"/>
      <c r="C2283" s="7" t="n"/>
      <c r="D2283" s="8" t="n"/>
      <c r="E2283" s="6" t="n"/>
      <c r="F2283" s="6" t="n"/>
      <c r="G2283" s="6" t="n"/>
      <c r="H2283" s="6" t="n"/>
      <c r="I2283" s="12">
        <f>IF($B2283="","",IF(COUNTIF(Ventes_Factures!$A$6:$A$3005,$B2283)&gt;0,"OK","INCONNUE"))</f>
        <v/>
      </c>
      <c r="J2283" s="9">
        <f>IF($D2283="","",ROUND($D2283,2))</f>
        <v/>
      </c>
    </row>
    <row r="2284">
      <c r="A2284" s="6" t="n"/>
      <c r="B2284" s="6" t="n"/>
      <c r="C2284" s="7" t="n"/>
      <c r="D2284" s="8" t="n"/>
      <c r="E2284" s="6" t="n"/>
      <c r="F2284" s="6" t="n"/>
      <c r="G2284" s="6" t="n"/>
      <c r="H2284" s="6" t="n"/>
      <c r="I2284" s="12">
        <f>IF($B2284="","",IF(COUNTIF(Ventes_Factures!$A$6:$A$3005,$B2284)&gt;0,"OK","INCONNUE"))</f>
        <v/>
      </c>
      <c r="J2284" s="9">
        <f>IF($D2284="","",ROUND($D2284,2))</f>
        <v/>
      </c>
    </row>
    <row r="2285">
      <c r="A2285" s="6" t="n"/>
      <c r="B2285" s="6" t="n"/>
      <c r="C2285" s="7" t="n"/>
      <c r="D2285" s="8" t="n"/>
      <c r="E2285" s="6" t="n"/>
      <c r="F2285" s="6" t="n"/>
      <c r="G2285" s="6" t="n"/>
      <c r="H2285" s="6" t="n"/>
      <c r="I2285" s="12">
        <f>IF($B2285="","",IF(COUNTIF(Ventes_Factures!$A$6:$A$3005,$B2285)&gt;0,"OK","INCONNUE"))</f>
        <v/>
      </c>
      <c r="J2285" s="9">
        <f>IF($D2285="","",ROUND($D2285,2))</f>
        <v/>
      </c>
    </row>
    <row r="2286">
      <c r="A2286" s="6" t="n"/>
      <c r="B2286" s="6" t="n"/>
      <c r="C2286" s="7" t="n"/>
      <c r="D2286" s="8" t="n"/>
      <c r="E2286" s="6" t="n"/>
      <c r="F2286" s="6" t="n"/>
      <c r="G2286" s="6" t="n"/>
      <c r="H2286" s="6" t="n"/>
      <c r="I2286" s="12">
        <f>IF($B2286="","",IF(COUNTIF(Ventes_Factures!$A$6:$A$3005,$B2286)&gt;0,"OK","INCONNUE"))</f>
        <v/>
      </c>
      <c r="J2286" s="9">
        <f>IF($D2286="","",ROUND($D2286,2))</f>
        <v/>
      </c>
    </row>
    <row r="2287">
      <c r="A2287" s="6" t="n"/>
      <c r="B2287" s="6" t="n"/>
      <c r="C2287" s="7" t="n"/>
      <c r="D2287" s="8" t="n"/>
      <c r="E2287" s="6" t="n"/>
      <c r="F2287" s="6" t="n"/>
      <c r="G2287" s="6" t="n"/>
      <c r="H2287" s="6" t="n"/>
      <c r="I2287" s="12">
        <f>IF($B2287="","",IF(COUNTIF(Ventes_Factures!$A$6:$A$3005,$B2287)&gt;0,"OK","INCONNUE"))</f>
        <v/>
      </c>
      <c r="J2287" s="9">
        <f>IF($D2287="","",ROUND($D2287,2))</f>
        <v/>
      </c>
    </row>
    <row r="2288">
      <c r="A2288" s="6" t="n"/>
      <c r="B2288" s="6" t="n"/>
      <c r="C2288" s="7" t="n"/>
      <c r="D2288" s="8" t="n"/>
      <c r="E2288" s="6" t="n"/>
      <c r="F2288" s="6" t="n"/>
      <c r="G2288" s="6" t="n"/>
      <c r="H2288" s="6" t="n"/>
      <c r="I2288" s="12">
        <f>IF($B2288="","",IF(COUNTIF(Ventes_Factures!$A$6:$A$3005,$B2288)&gt;0,"OK","INCONNUE"))</f>
        <v/>
      </c>
      <c r="J2288" s="9">
        <f>IF($D2288="","",ROUND($D2288,2))</f>
        <v/>
      </c>
    </row>
    <row r="2289">
      <c r="A2289" s="6" t="n"/>
      <c r="B2289" s="6" t="n"/>
      <c r="C2289" s="7" t="n"/>
      <c r="D2289" s="8" t="n"/>
      <c r="E2289" s="6" t="n"/>
      <c r="F2289" s="6" t="n"/>
      <c r="G2289" s="6" t="n"/>
      <c r="H2289" s="6" t="n"/>
      <c r="I2289" s="12">
        <f>IF($B2289="","",IF(COUNTIF(Ventes_Factures!$A$6:$A$3005,$B2289)&gt;0,"OK","INCONNUE"))</f>
        <v/>
      </c>
      <c r="J2289" s="9">
        <f>IF($D2289="","",ROUND($D2289,2))</f>
        <v/>
      </c>
    </row>
    <row r="2290">
      <c r="A2290" s="6" t="n"/>
      <c r="B2290" s="6" t="n"/>
      <c r="C2290" s="7" t="n"/>
      <c r="D2290" s="8" t="n"/>
      <c r="E2290" s="6" t="n"/>
      <c r="F2290" s="6" t="n"/>
      <c r="G2290" s="6" t="n"/>
      <c r="H2290" s="6" t="n"/>
      <c r="I2290" s="12">
        <f>IF($B2290="","",IF(COUNTIF(Ventes_Factures!$A$6:$A$3005,$B2290)&gt;0,"OK","INCONNUE"))</f>
        <v/>
      </c>
      <c r="J2290" s="9">
        <f>IF($D2290="","",ROUND($D2290,2))</f>
        <v/>
      </c>
    </row>
    <row r="2291">
      <c r="A2291" s="6" t="n"/>
      <c r="B2291" s="6" t="n"/>
      <c r="C2291" s="7" t="n"/>
      <c r="D2291" s="8" t="n"/>
      <c r="E2291" s="6" t="n"/>
      <c r="F2291" s="6" t="n"/>
      <c r="G2291" s="6" t="n"/>
      <c r="H2291" s="6" t="n"/>
      <c r="I2291" s="12">
        <f>IF($B2291="","",IF(COUNTIF(Ventes_Factures!$A$6:$A$3005,$B2291)&gt;0,"OK","INCONNUE"))</f>
        <v/>
      </c>
      <c r="J2291" s="9">
        <f>IF($D2291="","",ROUND($D2291,2))</f>
        <v/>
      </c>
    </row>
    <row r="2292">
      <c r="A2292" s="6" t="n"/>
      <c r="B2292" s="6" t="n"/>
      <c r="C2292" s="7" t="n"/>
      <c r="D2292" s="8" t="n"/>
      <c r="E2292" s="6" t="n"/>
      <c r="F2292" s="6" t="n"/>
      <c r="G2292" s="6" t="n"/>
      <c r="H2292" s="6" t="n"/>
      <c r="I2292" s="12">
        <f>IF($B2292="","",IF(COUNTIF(Ventes_Factures!$A$6:$A$3005,$B2292)&gt;0,"OK","INCONNUE"))</f>
        <v/>
      </c>
      <c r="J2292" s="9">
        <f>IF($D2292="","",ROUND($D2292,2))</f>
        <v/>
      </c>
    </row>
    <row r="2293">
      <c r="A2293" s="6" t="n"/>
      <c r="B2293" s="6" t="n"/>
      <c r="C2293" s="7" t="n"/>
      <c r="D2293" s="8" t="n"/>
      <c r="E2293" s="6" t="n"/>
      <c r="F2293" s="6" t="n"/>
      <c r="G2293" s="6" t="n"/>
      <c r="H2293" s="6" t="n"/>
      <c r="I2293" s="12">
        <f>IF($B2293="","",IF(COUNTIF(Ventes_Factures!$A$6:$A$3005,$B2293)&gt;0,"OK","INCONNUE"))</f>
        <v/>
      </c>
      <c r="J2293" s="9">
        <f>IF($D2293="","",ROUND($D2293,2))</f>
        <v/>
      </c>
    </row>
    <row r="2294">
      <c r="A2294" s="6" t="n"/>
      <c r="B2294" s="6" t="n"/>
      <c r="C2294" s="7" t="n"/>
      <c r="D2294" s="8" t="n"/>
      <c r="E2294" s="6" t="n"/>
      <c r="F2294" s="6" t="n"/>
      <c r="G2294" s="6" t="n"/>
      <c r="H2294" s="6" t="n"/>
      <c r="I2294" s="12">
        <f>IF($B2294="","",IF(COUNTIF(Ventes_Factures!$A$6:$A$3005,$B2294)&gt;0,"OK","INCONNUE"))</f>
        <v/>
      </c>
      <c r="J2294" s="9">
        <f>IF($D2294="","",ROUND($D2294,2))</f>
        <v/>
      </c>
    </row>
    <row r="2295">
      <c r="A2295" s="6" t="n"/>
      <c r="B2295" s="6" t="n"/>
      <c r="C2295" s="7" t="n"/>
      <c r="D2295" s="8" t="n"/>
      <c r="E2295" s="6" t="n"/>
      <c r="F2295" s="6" t="n"/>
      <c r="G2295" s="6" t="n"/>
      <c r="H2295" s="6" t="n"/>
      <c r="I2295" s="12">
        <f>IF($B2295="","",IF(COUNTIF(Ventes_Factures!$A$6:$A$3005,$B2295)&gt;0,"OK","INCONNUE"))</f>
        <v/>
      </c>
      <c r="J2295" s="9">
        <f>IF($D2295="","",ROUND($D2295,2))</f>
        <v/>
      </c>
    </row>
    <row r="2296">
      <c r="A2296" s="6" t="n"/>
      <c r="B2296" s="6" t="n"/>
      <c r="C2296" s="7" t="n"/>
      <c r="D2296" s="8" t="n"/>
      <c r="E2296" s="6" t="n"/>
      <c r="F2296" s="6" t="n"/>
      <c r="G2296" s="6" t="n"/>
      <c r="H2296" s="6" t="n"/>
      <c r="I2296" s="12">
        <f>IF($B2296="","",IF(COUNTIF(Ventes_Factures!$A$6:$A$3005,$B2296)&gt;0,"OK","INCONNUE"))</f>
        <v/>
      </c>
      <c r="J2296" s="9">
        <f>IF($D2296="","",ROUND($D2296,2))</f>
        <v/>
      </c>
    </row>
    <row r="2297">
      <c r="A2297" s="6" t="n"/>
      <c r="B2297" s="6" t="n"/>
      <c r="C2297" s="7" t="n"/>
      <c r="D2297" s="8" t="n"/>
      <c r="E2297" s="6" t="n"/>
      <c r="F2297" s="6" t="n"/>
      <c r="G2297" s="6" t="n"/>
      <c r="H2297" s="6" t="n"/>
      <c r="I2297" s="12">
        <f>IF($B2297="","",IF(COUNTIF(Ventes_Factures!$A$6:$A$3005,$B2297)&gt;0,"OK","INCONNUE"))</f>
        <v/>
      </c>
      <c r="J2297" s="9">
        <f>IF($D2297="","",ROUND($D2297,2))</f>
        <v/>
      </c>
    </row>
    <row r="2298">
      <c r="A2298" s="6" t="n"/>
      <c r="B2298" s="6" t="n"/>
      <c r="C2298" s="7" t="n"/>
      <c r="D2298" s="8" t="n"/>
      <c r="E2298" s="6" t="n"/>
      <c r="F2298" s="6" t="n"/>
      <c r="G2298" s="6" t="n"/>
      <c r="H2298" s="6" t="n"/>
      <c r="I2298" s="12">
        <f>IF($B2298="","",IF(COUNTIF(Ventes_Factures!$A$6:$A$3005,$B2298)&gt;0,"OK","INCONNUE"))</f>
        <v/>
      </c>
      <c r="J2298" s="9">
        <f>IF($D2298="","",ROUND($D2298,2))</f>
        <v/>
      </c>
    </row>
    <row r="2299">
      <c r="A2299" s="6" t="n"/>
      <c r="B2299" s="6" t="n"/>
      <c r="C2299" s="7" t="n"/>
      <c r="D2299" s="8" t="n"/>
      <c r="E2299" s="6" t="n"/>
      <c r="F2299" s="6" t="n"/>
      <c r="G2299" s="6" t="n"/>
      <c r="H2299" s="6" t="n"/>
      <c r="I2299" s="12">
        <f>IF($B2299="","",IF(COUNTIF(Ventes_Factures!$A$6:$A$3005,$B2299)&gt;0,"OK","INCONNUE"))</f>
        <v/>
      </c>
      <c r="J2299" s="9">
        <f>IF($D2299="","",ROUND($D2299,2))</f>
        <v/>
      </c>
    </row>
    <row r="2300">
      <c r="A2300" s="6" t="n"/>
      <c r="B2300" s="6" t="n"/>
      <c r="C2300" s="7" t="n"/>
      <c r="D2300" s="8" t="n"/>
      <c r="E2300" s="6" t="n"/>
      <c r="F2300" s="6" t="n"/>
      <c r="G2300" s="6" t="n"/>
      <c r="H2300" s="6" t="n"/>
      <c r="I2300" s="12">
        <f>IF($B2300="","",IF(COUNTIF(Ventes_Factures!$A$6:$A$3005,$B2300)&gt;0,"OK","INCONNUE"))</f>
        <v/>
      </c>
      <c r="J2300" s="9">
        <f>IF($D2300="","",ROUND($D2300,2))</f>
        <v/>
      </c>
    </row>
    <row r="2301">
      <c r="A2301" s="6" t="n"/>
      <c r="B2301" s="6" t="n"/>
      <c r="C2301" s="7" t="n"/>
      <c r="D2301" s="8" t="n"/>
      <c r="E2301" s="6" t="n"/>
      <c r="F2301" s="6" t="n"/>
      <c r="G2301" s="6" t="n"/>
      <c r="H2301" s="6" t="n"/>
      <c r="I2301" s="12">
        <f>IF($B2301="","",IF(COUNTIF(Ventes_Factures!$A$6:$A$3005,$B2301)&gt;0,"OK","INCONNUE"))</f>
        <v/>
      </c>
      <c r="J2301" s="9">
        <f>IF($D2301="","",ROUND($D2301,2))</f>
        <v/>
      </c>
    </row>
    <row r="2302">
      <c r="A2302" s="6" t="n"/>
      <c r="B2302" s="6" t="n"/>
      <c r="C2302" s="7" t="n"/>
      <c r="D2302" s="8" t="n"/>
      <c r="E2302" s="6" t="n"/>
      <c r="F2302" s="6" t="n"/>
      <c r="G2302" s="6" t="n"/>
      <c r="H2302" s="6" t="n"/>
      <c r="I2302" s="12">
        <f>IF($B2302="","",IF(COUNTIF(Ventes_Factures!$A$6:$A$3005,$B2302)&gt;0,"OK","INCONNUE"))</f>
        <v/>
      </c>
      <c r="J2302" s="9">
        <f>IF($D2302="","",ROUND($D2302,2))</f>
        <v/>
      </c>
    </row>
    <row r="2303">
      <c r="A2303" s="6" t="n"/>
      <c r="B2303" s="6" t="n"/>
      <c r="C2303" s="7" t="n"/>
      <c r="D2303" s="8" t="n"/>
      <c r="E2303" s="6" t="n"/>
      <c r="F2303" s="6" t="n"/>
      <c r="G2303" s="6" t="n"/>
      <c r="H2303" s="6" t="n"/>
      <c r="I2303" s="12">
        <f>IF($B2303="","",IF(COUNTIF(Ventes_Factures!$A$6:$A$3005,$B2303)&gt;0,"OK","INCONNUE"))</f>
        <v/>
      </c>
      <c r="J2303" s="9">
        <f>IF($D2303="","",ROUND($D2303,2))</f>
        <v/>
      </c>
    </row>
    <row r="2304">
      <c r="A2304" s="6" t="n"/>
      <c r="B2304" s="6" t="n"/>
      <c r="C2304" s="7" t="n"/>
      <c r="D2304" s="8" t="n"/>
      <c r="E2304" s="6" t="n"/>
      <c r="F2304" s="6" t="n"/>
      <c r="G2304" s="6" t="n"/>
      <c r="H2304" s="6" t="n"/>
      <c r="I2304" s="12">
        <f>IF($B2304="","",IF(COUNTIF(Ventes_Factures!$A$6:$A$3005,$B2304)&gt;0,"OK","INCONNUE"))</f>
        <v/>
      </c>
      <c r="J2304" s="9">
        <f>IF($D2304="","",ROUND($D2304,2))</f>
        <v/>
      </c>
    </row>
    <row r="2305">
      <c r="A2305" s="6" t="n"/>
      <c r="B2305" s="6" t="n"/>
      <c r="C2305" s="7" t="n"/>
      <c r="D2305" s="8" t="n"/>
      <c r="E2305" s="6" t="n"/>
      <c r="F2305" s="6" t="n"/>
      <c r="G2305" s="6" t="n"/>
      <c r="H2305" s="6" t="n"/>
      <c r="I2305" s="12">
        <f>IF($B2305="","",IF(COUNTIF(Ventes_Factures!$A$6:$A$3005,$B2305)&gt;0,"OK","INCONNUE"))</f>
        <v/>
      </c>
      <c r="J2305" s="9">
        <f>IF($D2305="","",ROUND($D2305,2))</f>
        <v/>
      </c>
    </row>
    <row r="2306">
      <c r="A2306" s="6" t="n"/>
      <c r="B2306" s="6" t="n"/>
      <c r="C2306" s="7" t="n"/>
      <c r="D2306" s="8" t="n"/>
      <c r="E2306" s="6" t="n"/>
      <c r="F2306" s="6" t="n"/>
      <c r="G2306" s="6" t="n"/>
      <c r="H2306" s="6" t="n"/>
      <c r="I2306" s="12">
        <f>IF($B2306="","",IF(COUNTIF(Ventes_Factures!$A$6:$A$3005,$B2306)&gt;0,"OK","INCONNUE"))</f>
        <v/>
      </c>
      <c r="J2306" s="9">
        <f>IF($D2306="","",ROUND($D2306,2))</f>
        <v/>
      </c>
    </row>
    <row r="2307">
      <c r="A2307" s="6" t="n"/>
      <c r="B2307" s="6" t="n"/>
      <c r="C2307" s="7" t="n"/>
      <c r="D2307" s="8" t="n"/>
      <c r="E2307" s="6" t="n"/>
      <c r="F2307" s="6" t="n"/>
      <c r="G2307" s="6" t="n"/>
      <c r="H2307" s="6" t="n"/>
      <c r="I2307" s="12">
        <f>IF($B2307="","",IF(COUNTIF(Ventes_Factures!$A$6:$A$3005,$B2307)&gt;0,"OK","INCONNUE"))</f>
        <v/>
      </c>
      <c r="J2307" s="9">
        <f>IF($D2307="","",ROUND($D2307,2))</f>
        <v/>
      </c>
    </row>
    <row r="2308">
      <c r="A2308" s="6" t="n"/>
      <c r="B2308" s="6" t="n"/>
      <c r="C2308" s="7" t="n"/>
      <c r="D2308" s="8" t="n"/>
      <c r="E2308" s="6" t="n"/>
      <c r="F2308" s="6" t="n"/>
      <c r="G2308" s="6" t="n"/>
      <c r="H2308" s="6" t="n"/>
      <c r="I2308" s="12">
        <f>IF($B2308="","",IF(COUNTIF(Ventes_Factures!$A$6:$A$3005,$B2308)&gt;0,"OK","INCONNUE"))</f>
        <v/>
      </c>
      <c r="J2308" s="9">
        <f>IF($D2308="","",ROUND($D2308,2))</f>
        <v/>
      </c>
    </row>
    <row r="2309">
      <c r="A2309" s="6" t="n"/>
      <c r="B2309" s="6" t="n"/>
      <c r="C2309" s="7" t="n"/>
      <c r="D2309" s="8" t="n"/>
      <c r="E2309" s="6" t="n"/>
      <c r="F2309" s="6" t="n"/>
      <c r="G2309" s="6" t="n"/>
      <c r="H2309" s="6" t="n"/>
      <c r="I2309" s="12">
        <f>IF($B2309="","",IF(COUNTIF(Ventes_Factures!$A$6:$A$3005,$B2309)&gt;0,"OK","INCONNUE"))</f>
        <v/>
      </c>
      <c r="J2309" s="9">
        <f>IF($D2309="","",ROUND($D2309,2))</f>
        <v/>
      </c>
    </row>
    <row r="2310">
      <c r="A2310" s="6" t="n"/>
      <c r="B2310" s="6" t="n"/>
      <c r="C2310" s="7" t="n"/>
      <c r="D2310" s="8" t="n"/>
      <c r="E2310" s="6" t="n"/>
      <c r="F2310" s="6" t="n"/>
      <c r="G2310" s="6" t="n"/>
      <c r="H2310" s="6" t="n"/>
      <c r="I2310" s="12">
        <f>IF($B2310="","",IF(COUNTIF(Ventes_Factures!$A$6:$A$3005,$B2310)&gt;0,"OK","INCONNUE"))</f>
        <v/>
      </c>
      <c r="J2310" s="9">
        <f>IF($D2310="","",ROUND($D2310,2))</f>
        <v/>
      </c>
    </row>
    <row r="2311">
      <c r="A2311" s="6" t="n"/>
      <c r="B2311" s="6" t="n"/>
      <c r="C2311" s="7" t="n"/>
      <c r="D2311" s="8" t="n"/>
      <c r="E2311" s="6" t="n"/>
      <c r="F2311" s="6" t="n"/>
      <c r="G2311" s="6" t="n"/>
      <c r="H2311" s="6" t="n"/>
      <c r="I2311" s="12">
        <f>IF($B2311="","",IF(COUNTIF(Ventes_Factures!$A$6:$A$3005,$B2311)&gt;0,"OK","INCONNUE"))</f>
        <v/>
      </c>
      <c r="J2311" s="9">
        <f>IF($D2311="","",ROUND($D2311,2))</f>
        <v/>
      </c>
    </row>
    <row r="2312">
      <c r="A2312" s="6" t="n"/>
      <c r="B2312" s="6" t="n"/>
      <c r="C2312" s="7" t="n"/>
      <c r="D2312" s="8" t="n"/>
      <c r="E2312" s="6" t="n"/>
      <c r="F2312" s="6" t="n"/>
      <c r="G2312" s="6" t="n"/>
      <c r="H2312" s="6" t="n"/>
      <c r="I2312" s="12">
        <f>IF($B2312="","",IF(COUNTIF(Ventes_Factures!$A$6:$A$3005,$B2312)&gt;0,"OK","INCONNUE"))</f>
        <v/>
      </c>
      <c r="J2312" s="9">
        <f>IF($D2312="","",ROUND($D2312,2))</f>
        <v/>
      </c>
    </row>
    <row r="2313">
      <c r="A2313" s="6" t="n"/>
      <c r="B2313" s="6" t="n"/>
      <c r="C2313" s="7" t="n"/>
      <c r="D2313" s="8" t="n"/>
      <c r="E2313" s="6" t="n"/>
      <c r="F2313" s="6" t="n"/>
      <c r="G2313" s="6" t="n"/>
      <c r="H2313" s="6" t="n"/>
      <c r="I2313" s="12">
        <f>IF($B2313="","",IF(COUNTIF(Ventes_Factures!$A$6:$A$3005,$B2313)&gt;0,"OK","INCONNUE"))</f>
        <v/>
      </c>
      <c r="J2313" s="9">
        <f>IF($D2313="","",ROUND($D2313,2))</f>
        <v/>
      </c>
    </row>
    <row r="2314">
      <c r="A2314" s="6" t="n"/>
      <c r="B2314" s="6" t="n"/>
      <c r="C2314" s="7" t="n"/>
      <c r="D2314" s="8" t="n"/>
      <c r="E2314" s="6" t="n"/>
      <c r="F2314" s="6" t="n"/>
      <c r="G2314" s="6" t="n"/>
      <c r="H2314" s="6" t="n"/>
      <c r="I2314" s="12">
        <f>IF($B2314="","",IF(COUNTIF(Ventes_Factures!$A$6:$A$3005,$B2314)&gt;0,"OK","INCONNUE"))</f>
        <v/>
      </c>
      <c r="J2314" s="9">
        <f>IF($D2314="","",ROUND($D2314,2))</f>
        <v/>
      </c>
    </row>
    <row r="2315">
      <c r="A2315" s="6" t="n"/>
      <c r="B2315" s="6" t="n"/>
      <c r="C2315" s="7" t="n"/>
      <c r="D2315" s="8" t="n"/>
      <c r="E2315" s="6" t="n"/>
      <c r="F2315" s="6" t="n"/>
      <c r="G2315" s="6" t="n"/>
      <c r="H2315" s="6" t="n"/>
      <c r="I2315" s="12">
        <f>IF($B2315="","",IF(COUNTIF(Ventes_Factures!$A$6:$A$3005,$B2315)&gt;0,"OK","INCONNUE"))</f>
        <v/>
      </c>
      <c r="J2315" s="9">
        <f>IF($D2315="","",ROUND($D2315,2))</f>
        <v/>
      </c>
    </row>
    <row r="2316">
      <c r="A2316" s="6" t="n"/>
      <c r="B2316" s="6" t="n"/>
      <c r="C2316" s="7" t="n"/>
      <c r="D2316" s="8" t="n"/>
      <c r="E2316" s="6" t="n"/>
      <c r="F2316" s="6" t="n"/>
      <c r="G2316" s="6" t="n"/>
      <c r="H2316" s="6" t="n"/>
      <c r="I2316" s="12">
        <f>IF($B2316="","",IF(COUNTIF(Ventes_Factures!$A$6:$A$3005,$B2316)&gt;0,"OK","INCONNUE"))</f>
        <v/>
      </c>
      <c r="J2316" s="9">
        <f>IF($D2316="","",ROUND($D2316,2))</f>
        <v/>
      </c>
    </row>
    <row r="2317">
      <c r="A2317" s="6" t="n"/>
      <c r="B2317" s="6" t="n"/>
      <c r="C2317" s="7" t="n"/>
      <c r="D2317" s="8" t="n"/>
      <c r="E2317" s="6" t="n"/>
      <c r="F2317" s="6" t="n"/>
      <c r="G2317" s="6" t="n"/>
      <c r="H2317" s="6" t="n"/>
      <c r="I2317" s="12">
        <f>IF($B2317="","",IF(COUNTIF(Ventes_Factures!$A$6:$A$3005,$B2317)&gt;0,"OK","INCONNUE"))</f>
        <v/>
      </c>
      <c r="J2317" s="9">
        <f>IF($D2317="","",ROUND($D2317,2))</f>
        <v/>
      </c>
    </row>
    <row r="2318">
      <c r="A2318" s="6" t="n"/>
      <c r="B2318" s="6" t="n"/>
      <c r="C2318" s="7" t="n"/>
      <c r="D2318" s="8" t="n"/>
      <c r="E2318" s="6" t="n"/>
      <c r="F2318" s="6" t="n"/>
      <c r="G2318" s="6" t="n"/>
      <c r="H2318" s="6" t="n"/>
      <c r="I2318" s="12">
        <f>IF($B2318="","",IF(COUNTIF(Ventes_Factures!$A$6:$A$3005,$B2318)&gt;0,"OK","INCONNUE"))</f>
        <v/>
      </c>
      <c r="J2318" s="9">
        <f>IF($D2318="","",ROUND($D2318,2))</f>
        <v/>
      </c>
    </row>
    <row r="2319">
      <c r="A2319" s="6" t="n"/>
      <c r="B2319" s="6" t="n"/>
      <c r="C2319" s="7" t="n"/>
      <c r="D2319" s="8" t="n"/>
      <c r="E2319" s="6" t="n"/>
      <c r="F2319" s="6" t="n"/>
      <c r="G2319" s="6" t="n"/>
      <c r="H2319" s="6" t="n"/>
      <c r="I2319" s="12">
        <f>IF($B2319="","",IF(COUNTIF(Ventes_Factures!$A$6:$A$3005,$B2319)&gt;0,"OK","INCONNUE"))</f>
        <v/>
      </c>
      <c r="J2319" s="9">
        <f>IF($D2319="","",ROUND($D2319,2))</f>
        <v/>
      </c>
    </row>
    <row r="2320">
      <c r="A2320" s="6" t="n"/>
      <c r="B2320" s="6" t="n"/>
      <c r="C2320" s="7" t="n"/>
      <c r="D2320" s="8" t="n"/>
      <c r="E2320" s="6" t="n"/>
      <c r="F2320" s="6" t="n"/>
      <c r="G2320" s="6" t="n"/>
      <c r="H2320" s="6" t="n"/>
      <c r="I2320" s="12">
        <f>IF($B2320="","",IF(COUNTIF(Ventes_Factures!$A$6:$A$3005,$B2320)&gt;0,"OK","INCONNUE"))</f>
        <v/>
      </c>
      <c r="J2320" s="9">
        <f>IF($D2320="","",ROUND($D2320,2))</f>
        <v/>
      </c>
    </row>
    <row r="2321">
      <c r="A2321" s="6" t="n"/>
      <c r="B2321" s="6" t="n"/>
      <c r="C2321" s="7" t="n"/>
      <c r="D2321" s="8" t="n"/>
      <c r="E2321" s="6" t="n"/>
      <c r="F2321" s="6" t="n"/>
      <c r="G2321" s="6" t="n"/>
      <c r="H2321" s="6" t="n"/>
      <c r="I2321" s="12">
        <f>IF($B2321="","",IF(COUNTIF(Ventes_Factures!$A$6:$A$3005,$B2321)&gt;0,"OK","INCONNUE"))</f>
        <v/>
      </c>
      <c r="J2321" s="9">
        <f>IF($D2321="","",ROUND($D2321,2))</f>
        <v/>
      </c>
    </row>
    <row r="2322">
      <c r="A2322" s="6" t="n"/>
      <c r="B2322" s="6" t="n"/>
      <c r="C2322" s="7" t="n"/>
      <c r="D2322" s="8" t="n"/>
      <c r="E2322" s="6" t="n"/>
      <c r="F2322" s="6" t="n"/>
      <c r="G2322" s="6" t="n"/>
      <c r="H2322" s="6" t="n"/>
      <c r="I2322" s="12">
        <f>IF($B2322="","",IF(COUNTIF(Ventes_Factures!$A$6:$A$3005,$B2322)&gt;0,"OK","INCONNUE"))</f>
        <v/>
      </c>
      <c r="J2322" s="9">
        <f>IF($D2322="","",ROUND($D2322,2))</f>
        <v/>
      </c>
    </row>
    <row r="2323">
      <c r="A2323" s="6" t="n"/>
      <c r="B2323" s="6" t="n"/>
      <c r="C2323" s="7" t="n"/>
      <c r="D2323" s="8" t="n"/>
      <c r="E2323" s="6" t="n"/>
      <c r="F2323" s="6" t="n"/>
      <c r="G2323" s="6" t="n"/>
      <c r="H2323" s="6" t="n"/>
      <c r="I2323" s="12">
        <f>IF($B2323="","",IF(COUNTIF(Ventes_Factures!$A$6:$A$3005,$B2323)&gt;0,"OK","INCONNUE"))</f>
        <v/>
      </c>
      <c r="J2323" s="9">
        <f>IF($D2323="","",ROUND($D2323,2))</f>
        <v/>
      </c>
    </row>
    <row r="2324">
      <c r="A2324" s="6" t="n"/>
      <c r="B2324" s="6" t="n"/>
      <c r="C2324" s="7" t="n"/>
      <c r="D2324" s="8" t="n"/>
      <c r="E2324" s="6" t="n"/>
      <c r="F2324" s="6" t="n"/>
      <c r="G2324" s="6" t="n"/>
      <c r="H2324" s="6" t="n"/>
      <c r="I2324" s="12">
        <f>IF($B2324="","",IF(COUNTIF(Ventes_Factures!$A$6:$A$3005,$B2324)&gt;0,"OK","INCONNUE"))</f>
        <v/>
      </c>
      <c r="J2324" s="9">
        <f>IF($D2324="","",ROUND($D2324,2))</f>
        <v/>
      </c>
    </row>
    <row r="2325">
      <c r="A2325" s="6" t="n"/>
      <c r="B2325" s="6" t="n"/>
      <c r="C2325" s="7" t="n"/>
      <c r="D2325" s="8" t="n"/>
      <c r="E2325" s="6" t="n"/>
      <c r="F2325" s="6" t="n"/>
      <c r="G2325" s="6" t="n"/>
      <c r="H2325" s="6" t="n"/>
      <c r="I2325" s="12">
        <f>IF($B2325="","",IF(COUNTIF(Ventes_Factures!$A$6:$A$3005,$B2325)&gt;0,"OK","INCONNUE"))</f>
        <v/>
      </c>
      <c r="J2325" s="9">
        <f>IF($D2325="","",ROUND($D2325,2))</f>
        <v/>
      </c>
    </row>
    <row r="2326">
      <c r="A2326" s="6" t="n"/>
      <c r="B2326" s="6" t="n"/>
      <c r="C2326" s="7" t="n"/>
      <c r="D2326" s="8" t="n"/>
      <c r="E2326" s="6" t="n"/>
      <c r="F2326" s="6" t="n"/>
      <c r="G2326" s="6" t="n"/>
      <c r="H2326" s="6" t="n"/>
      <c r="I2326" s="12">
        <f>IF($B2326="","",IF(COUNTIF(Ventes_Factures!$A$6:$A$3005,$B2326)&gt;0,"OK","INCONNUE"))</f>
        <v/>
      </c>
      <c r="J2326" s="9">
        <f>IF($D2326="","",ROUND($D2326,2))</f>
        <v/>
      </c>
    </row>
    <row r="2327">
      <c r="A2327" s="6" t="n"/>
      <c r="B2327" s="6" t="n"/>
      <c r="C2327" s="7" t="n"/>
      <c r="D2327" s="8" t="n"/>
      <c r="E2327" s="6" t="n"/>
      <c r="F2327" s="6" t="n"/>
      <c r="G2327" s="6" t="n"/>
      <c r="H2327" s="6" t="n"/>
      <c r="I2327" s="12">
        <f>IF($B2327="","",IF(COUNTIF(Ventes_Factures!$A$6:$A$3005,$B2327)&gt;0,"OK","INCONNUE"))</f>
        <v/>
      </c>
      <c r="J2327" s="9">
        <f>IF($D2327="","",ROUND($D2327,2))</f>
        <v/>
      </c>
    </row>
    <row r="2328">
      <c r="A2328" s="6" t="n"/>
      <c r="B2328" s="6" t="n"/>
      <c r="C2328" s="7" t="n"/>
      <c r="D2328" s="8" t="n"/>
      <c r="E2328" s="6" t="n"/>
      <c r="F2328" s="6" t="n"/>
      <c r="G2328" s="6" t="n"/>
      <c r="H2328" s="6" t="n"/>
      <c r="I2328" s="12">
        <f>IF($B2328="","",IF(COUNTIF(Ventes_Factures!$A$6:$A$3005,$B2328)&gt;0,"OK","INCONNUE"))</f>
        <v/>
      </c>
      <c r="J2328" s="9">
        <f>IF($D2328="","",ROUND($D2328,2))</f>
        <v/>
      </c>
    </row>
    <row r="2329">
      <c r="A2329" s="6" t="n"/>
      <c r="B2329" s="6" t="n"/>
      <c r="C2329" s="7" t="n"/>
      <c r="D2329" s="8" t="n"/>
      <c r="E2329" s="6" t="n"/>
      <c r="F2329" s="6" t="n"/>
      <c r="G2329" s="6" t="n"/>
      <c r="H2329" s="6" t="n"/>
      <c r="I2329" s="12">
        <f>IF($B2329="","",IF(COUNTIF(Ventes_Factures!$A$6:$A$3005,$B2329)&gt;0,"OK","INCONNUE"))</f>
        <v/>
      </c>
      <c r="J2329" s="9">
        <f>IF($D2329="","",ROUND($D2329,2))</f>
        <v/>
      </c>
    </row>
    <row r="2330">
      <c r="A2330" s="6" t="n"/>
      <c r="B2330" s="6" t="n"/>
      <c r="C2330" s="7" t="n"/>
      <c r="D2330" s="8" t="n"/>
      <c r="E2330" s="6" t="n"/>
      <c r="F2330" s="6" t="n"/>
      <c r="G2330" s="6" t="n"/>
      <c r="H2330" s="6" t="n"/>
      <c r="I2330" s="12">
        <f>IF($B2330="","",IF(COUNTIF(Ventes_Factures!$A$6:$A$3005,$B2330)&gt;0,"OK","INCONNUE"))</f>
        <v/>
      </c>
      <c r="J2330" s="9">
        <f>IF($D2330="","",ROUND($D2330,2))</f>
        <v/>
      </c>
    </row>
    <row r="2331">
      <c r="A2331" s="6" t="n"/>
      <c r="B2331" s="6" t="n"/>
      <c r="C2331" s="7" t="n"/>
      <c r="D2331" s="8" t="n"/>
      <c r="E2331" s="6" t="n"/>
      <c r="F2331" s="6" t="n"/>
      <c r="G2331" s="6" t="n"/>
      <c r="H2331" s="6" t="n"/>
      <c r="I2331" s="12">
        <f>IF($B2331="","",IF(COUNTIF(Ventes_Factures!$A$6:$A$3005,$B2331)&gt;0,"OK","INCONNUE"))</f>
        <v/>
      </c>
      <c r="J2331" s="9">
        <f>IF($D2331="","",ROUND($D2331,2))</f>
        <v/>
      </c>
    </row>
    <row r="2332">
      <c r="A2332" s="6" t="n"/>
      <c r="B2332" s="6" t="n"/>
      <c r="C2332" s="7" t="n"/>
      <c r="D2332" s="8" t="n"/>
      <c r="E2332" s="6" t="n"/>
      <c r="F2332" s="6" t="n"/>
      <c r="G2332" s="6" t="n"/>
      <c r="H2332" s="6" t="n"/>
      <c r="I2332" s="12">
        <f>IF($B2332="","",IF(COUNTIF(Ventes_Factures!$A$6:$A$3005,$B2332)&gt;0,"OK","INCONNUE"))</f>
        <v/>
      </c>
      <c r="J2332" s="9">
        <f>IF($D2332="","",ROUND($D2332,2))</f>
        <v/>
      </c>
    </row>
    <row r="2333">
      <c r="A2333" s="6" t="n"/>
      <c r="B2333" s="6" t="n"/>
      <c r="C2333" s="7" t="n"/>
      <c r="D2333" s="8" t="n"/>
      <c r="E2333" s="6" t="n"/>
      <c r="F2333" s="6" t="n"/>
      <c r="G2333" s="6" t="n"/>
      <c r="H2333" s="6" t="n"/>
      <c r="I2333" s="12">
        <f>IF($B2333="","",IF(COUNTIF(Ventes_Factures!$A$6:$A$3005,$B2333)&gt;0,"OK","INCONNUE"))</f>
        <v/>
      </c>
      <c r="J2333" s="9">
        <f>IF($D2333="","",ROUND($D2333,2))</f>
        <v/>
      </c>
    </row>
    <row r="2334">
      <c r="A2334" s="6" t="n"/>
      <c r="B2334" s="6" t="n"/>
      <c r="C2334" s="7" t="n"/>
      <c r="D2334" s="8" t="n"/>
      <c r="E2334" s="6" t="n"/>
      <c r="F2334" s="6" t="n"/>
      <c r="G2334" s="6" t="n"/>
      <c r="H2334" s="6" t="n"/>
      <c r="I2334" s="12">
        <f>IF($B2334="","",IF(COUNTIF(Ventes_Factures!$A$6:$A$3005,$B2334)&gt;0,"OK","INCONNUE"))</f>
        <v/>
      </c>
      <c r="J2334" s="9">
        <f>IF($D2334="","",ROUND($D2334,2))</f>
        <v/>
      </c>
    </row>
    <row r="2335">
      <c r="A2335" s="6" t="n"/>
      <c r="B2335" s="6" t="n"/>
      <c r="C2335" s="7" t="n"/>
      <c r="D2335" s="8" t="n"/>
      <c r="E2335" s="6" t="n"/>
      <c r="F2335" s="6" t="n"/>
      <c r="G2335" s="6" t="n"/>
      <c r="H2335" s="6" t="n"/>
      <c r="I2335" s="12">
        <f>IF($B2335="","",IF(COUNTIF(Ventes_Factures!$A$6:$A$3005,$B2335)&gt;0,"OK","INCONNUE"))</f>
        <v/>
      </c>
      <c r="J2335" s="9">
        <f>IF($D2335="","",ROUND($D2335,2))</f>
        <v/>
      </c>
    </row>
    <row r="2336">
      <c r="A2336" s="6" t="n"/>
      <c r="B2336" s="6" t="n"/>
      <c r="C2336" s="7" t="n"/>
      <c r="D2336" s="8" t="n"/>
      <c r="E2336" s="6" t="n"/>
      <c r="F2336" s="6" t="n"/>
      <c r="G2336" s="6" t="n"/>
      <c r="H2336" s="6" t="n"/>
      <c r="I2336" s="12">
        <f>IF($B2336="","",IF(COUNTIF(Ventes_Factures!$A$6:$A$3005,$B2336)&gt;0,"OK","INCONNUE"))</f>
        <v/>
      </c>
      <c r="J2336" s="9">
        <f>IF($D2336="","",ROUND($D2336,2))</f>
        <v/>
      </c>
    </row>
    <row r="2337">
      <c r="A2337" s="6" t="n"/>
      <c r="B2337" s="6" t="n"/>
      <c r="C2337" s="7" t="n"/>
      <c r="D2337" s="8" t="n"/>
      <c r="E2337" s="6" t="n"/>
      <c r="F2337" s="6" t="n"/>
      <c r="G2337" s="6" t="n"/>
      <c r="H2337" s="6" t="n"/>
      <c r="I2337" s="12">
        <f>IF($B2337="","",IF(COUNTIF(Ventes_Factures!$A$6:$A$3005,$B2337)&gt;0,"OK","INCONNUE"))</f>
        <v/>
      </c>
      <c r="J2337" s="9">
        <f>IF($D2337="","",ROUND($D2337,2))</f>
        <v/>
      </c>
    </row>
    <row r="2338">
      <c r="A2338" s="6" t="n"/>
      <c r="B2338" s="6" t="n"/>
      <c r="C2338" s="7" t="n"/>
      <c r="D2338" s="8" t="n"/>
      <c r="E2338" s="6" t="n"/>
      <c r="F2338" s="6" t="n"/>
      <c r="G2338" s="6" t="n"/>
      <c r="H2338" s="6" t="n"/>
      <c r="I2338" s="12">
        <f>IF($B2338="","",IF(COUNTIF(Ventes_Factures!$A$6:$A$3005,$B2338)&gt;0,"OK","INCONNUE"))</f>
        <v/>
      </c>
      <c r="J2338" s="9">
        <f>IF($D2338="","",ROUND($D2338,2))</f>
        <v/>
      </c>
    </row>
    <row r="2339">
      <c r="A2339" s="6" t="n"/>
      <c r="B2339" s="6" t="n"/>
      <c r="C2339" s="7" t="n"/>
      <c r="D2339" s="8" t="n"/>
      <c r="E2339" s="6" t="n"/>
      <c r="F2339" s="6" t="n"/>
      <c r="G2339" s="6" t="n"/>
      <c r="H2339" s="6" t="n"/>
      <c r="I2339" s="12">
        <f>IF($B2339="","",IF(COUNTIF(Ventes_Factures!$A$6:$A$3005,$B2339)&gt;0,"OK","INCONNUE"))</f>
        <v/>
      </c>
      <c r="J2339" s="9">
        <f>IF($D2339="","",ROUND($D2339,2))</f>
        <v/>
      </c>
    </row>
    <row r="2340">
      <c r="A2340" s="6" t="n"/>
      <c r="B2340" s="6" t="n"/>
      <c r="C2340" s="7" t="n"/>
      <c r="D2340" s="8" t="n"/>
      <c r="E2340" s="6" t="n"/>
      <c r="F2340" s="6" t="n"/>
      <c r="G2340" s="6" t="n"/>
      <c r="H2340" s="6" t="n"/>
      <c r="I2340" s="12">
        <f>IF($B2340="","",IF(COUNTIF(Ventes_Factures!$A$6:$A$3005,$B2340)&gt;0,"OK","INCONNUE"))</f>
        <v/>
      </c>
      <c r="J2340" s="9">
        <f>IF($D2340="","",ROUND($D2340,2))</f>
        <v/>
      </c>
    </row>
    <row r="2341">
      <c r="A2341" s="6" t="n"/>
      <c r="B2341" s="6" t="n"/>
      <c r="C2341" s="7" t="n"/>
      <c r="D2341" s="8" t="n"/>
      <c r="E2341" s="6" t="n"/>
      <c r="F2341" s="6" t="n"/>
      <c r="G2341" s="6" t="n"/>
      <c r="H2341" s="6" t="n"/>
      <c r="I2341" s="12">
        <f>IF($B2341="","",IF(COUNTIF(Ventes_Factures!$A$6:$A$3005,$B2341)&gt;0,"OK","INCONNUE"))</f>
        <v/>
      </c>
      <c r="J2341" s="9">
        <f>IF($D2341="","",ROUND($D2341,2))</f>
        <v/>
      </c>
    </row>
    <row r="2342">
      <c r="A2342" s="6" t="n"/>
      <c r="B2342" s="6" t="n"/>
      <c r="C2342" s="7" t="n"/>
      <c r="D2342" s="8" t="n"/>
      <c r="E2342" s="6" t="n"/>
      <c r="F2342" s="6" t="n"/>
      <c r="G2342" s="6" t="n"/>
      <c r="H2342" s="6" t="n"/>
      <c r="I2342" s="12">
        <f>IF($B2342="","",IF(COUNTIF(Ventes_Factures!$A$6:$A$3005,$B2342)&gt;0,"OK","INCONNUE"))</f>
        <v/>
      </c>
      <c r="J2342" s="9">
        <f>IF($D2342="","",ROUND($D2342,2))</f>
        <v/>
      </c>
    </row>
    <row r="2343">
      <c r="A2343" s="6" t="n"/>
      <c r="B2343" s="6" t="n"/>
      <c r="C2343" s="7" t="n"/>
      <c r="D2343" s="8" t="n"/>
      <c r="E2343" s="6" t="n"/>
      <c r="F2343" s="6" t="n"/>
      <c r="G2343" s="6" t="n"/>
      <c r="H2343" s="6" t="n"/>
      <c r="I2343" s="12">
        <f>IF($B2343="","",IF(COUNTIF(Ventes_Factures!$A$6:$A$3005,$B2343)&gt;0,"OK","INCONNUE"))</f>
        <v/>
      </c>
      <c r="J2343" s="9">
        <f>IF($D2343="","",ROUND($D2343,2))</f>
        <v/>
      </c>
    </row>
    <row r="2344">
      <c r="A2344" s="6" t="n"/>
      <c r="B2344" s="6" t="n"/>
      <c r="C2344" s="7" t="n"/>
      <c r="D2344" s="8" t="n"/>
      <c r="E2344" s="6" t="n"/>
      <c r="F2344" s="6" t="n"/>
      <c r="G2344" s="6" t="n"/>
      <c r="H2344" s="6" t="n"/>
      <c r="I2344" s="12">
        <f>IF($B2344="","",IF(COUNTIF(Ventes_Factures!$A$6:$A$3005,$B2344)&gt;0,"OK","INCONNUE"))</f>
        <v/>
      </c>
      <c r="J2344" s="9">
        <f>IF($D2344="","",ROUND($D2344,2))</f>
        <v/>
      </c>
    </row>
    <row r="2345">
      <c r="A2345" s="6" t="n"/>
      <c r="B2345" s="6" t="n"/>
      <c r="C2345" s="7" t="n"/>
      <c r="D2345" s="8" t="n"/>
      <c r="E2345" s="6" t="n"/>
      <c r="F2345" s="6" t="n"/>
      <c r="G2345" s="6" t="n"/>
      <c r="H2345" s="6" t="n"/>
      <c r="I2345" s="12">
        <f>IF($B2345="","",IF(COUNTIF(Ventes_Factures!$A$6:$A$3005,$B2345)&gt;0,"OK","INCONNUE"))</f>
        <v/>
      </c>
      <c r="J2345" s="9">
        <f>IF($D2345="","",ROUND($D2345,2))</f>
        <v/>
      </c>
    </row>
    <row r="2346">
      <c r="A2346" s="6" t="n"/>
      <c r="B2346" s="6" t="n"/>
      <c r="C2346" s="7" t="n"/>
      <c r="D2346" s="8" t="n"/>
      <c r="E2346" s="6" t="n"/>
      <c r="F2346" s="6" t="n"/>
      <c r="G2346" s="6" t="n"/>
      <c r="H2346" s="6" t="n"/>
      <c r="I2346" s="12">
        <f>IF($B2346="","",IF(COUNTIF(Ventes_Factures!$A$6:$A$3005,$B2346)&gt;0,"OK","INCONNUE"))</f>
        <v/>
      </c>
      <c r="J2346" s="9">
        <f>IF($D2346="","",ROUND($D2346,2))</f>
        <v/>
      </c>
    </row>
    <row r="2347">
      <c r="A2347" s="6" t="n"/>
      <c r="B2347" s="6" t="n"/>
      <c r="C2347" s="7" t="n"/>
      <c r="D2347" s="8" t="n"/>
      <c r="E2347" s="6" t="n"/>
      <c r="F2347" s="6" t="n"/>
      <c r="G2347" s="6" t="n"/>
      <c r="H2347" s="6" t="n"/>
      <c r="I2347" s="12">
        <f>IF($B2347="","",IF(COUNTIF(Ventes_Factures!$A$6:$A$3005,$B2347)&gt;0,"OK","INCONNUE"))</f>
        <v/>
      </c>
      <c r="J2347" s="9">
        <f>IF($D2347="","",ROUND($D2347,2))</f>
        <v/>
      </c>
    </row>
    <row r="2348">
      <c r="A2348" s="6" t="n"/>
      <c r="B2348" s="6" t="n"/>
      <c r="C2348" s="7" t="n"/>
      <c r="D2348" s="8" t="n"/>
      <c r="E2348" s="6" t="n"/>
      <c r="F2348" s="6" t="n"/>
      <c r="G2348" s="6" t="n"/>
      <c r="H2348" s="6" t="n"/>
      <c r="I2348" s="12">
        <f>IF($B2348="","",IF(COUNTIF(Ventes_Factures!$A$6:$A$3005,$B2348)&gt;0,"OK","INCONNUE"))</f>
        <v/>
      </c>
      <c r="J2348" s="9">
        <f>IF($D2348="","",ROUND($D2348,2))</f>
        <v/>
      </c>
    </row>
    <row r="2349">
      <c r="A2349" s="6" t="n"/>
      <c r="B2349" s="6" t="n"/>
      <c r="C2349" s="7" t="n"/>
      <c r="D2349" s="8" t="n"/>
      <c r="E2349" s="6" t="n"/>
      <c r="F2349" s="6" t="n"/>
      <c r="G2349" s="6" t="n"/>
      <c r="H2349" s="6" t="n"/>
      <c r="I2349" s="12">
        <f>IF($B2349="","",IF(COUNTIF(Ventes_Factures!$A$6:$A$3005,$B2349)&gt;0,"OK","INCONNUE"))</f>
        <v/>
      </c>
      <c r="J2349" s="9">
        <f>IF($D2349="","",ROUND($D2349,2))</f>
        <v/>
      </c>
    </row>
    <row r="2350">
      <c r="A2350" s="6" t="n"/>
      <c r="B2350" s="6" t="n"/>
      <c r="C2350" s="7" t="n"/>
      <c r="D2350" s="8" t="n"/>
      <c r="E2350" s="6" t="n"/>
      <c r="F2350" s="6" t="n"/>
      <c r="G2350" s="6" t="n"/>
      <c r="H2350" s="6" t="n"/>
      <c r="I2350" s="12">
        <f>IF($B2350="","",IF(COUNTIF(Ventes_Factures!$A$6:$A$3005,$B2350)&gt;0,"OK","INCONNUE"))</f>
        <v/>
      </c>
      <c r="J2350" s="9">
        <f>IF($D2350="","",ROUND($D2350,2))</f>
        <v/>
      </c>
    </row>
    <row r="2351">
      <c r="A2351" s="6" t="n"/>
      <c r="B2351" s="6" t="n"/>
      <c r="C2351" s="7" t="n"/>
      <c r="D2351" s="8" t="n"/>
      <c r="E2351" s="6" t="n"/>
      <c r="F2351" s="6" t="n"/>
      <c r="G2351" s="6" t="n"/>
      <c r="H2351" s="6" t="n"/>
      <c r="I2351" s="12">
        <f>IF($B2351="","",IF(COUNTIF(Ventes_Factures!$A$6:$A$3005,$B2351)&gt;0,"OK","INCONNUE"))</f>
        <v/>
      </c>
      <c r="J2351" s="9">
        <f>IF($D2351="","",ROUND($D2351,2))</f>
        <v/>
      </c>
    </row>
    <row r="2352">
      <c r="A2352" s="6" t="n"/>
      <c r="B2352" s="6" t="n"/>
      <c r="C2352" s="7" t="n"/>
      <c r="D2352" s="8" t="n"/>
      <c r="E2352" s="6" t="n"/>
      <c r="F2352" s="6" t="n"/>
      <c r="G2352" s="6" t="n"/>
      <c r="H2352" s="6" t="n"/>
      <c r="I2352" s="12">
        <f>IF($B2352="","",IF(COUNTIF(Ventes_Factures!$A$6:$A$3005,$B2352)&gt;0,"OK","INCONNUE"))</f>
        <v/>
      </c>
      <c r="J2352" s="9">
        <f>IF($D2352="","",ROUND($D2352,2))</f>
        <v/>
      </c>
    </row>
    <row r="2353">
      <c r="A2353" s="6" t="n"/>
      <c r="B2353" s="6" t="n"/>
      <c r="C2353" s="7" t="n"/>
      <c r="D2353" s="8" t="n"/>
      <c r="E2353" s="6" t="n"/>
      <c r="F2353" s="6" t="n"/>
      <c r="G2353" s="6" t="n"/>
      <c r="H2353" s="6" t="n"/>
      <c r="I2353" s="12">
        <f>IF($B2353="","",IF(COUNTIF(Ventes_Factures!$A$6:$A$3005,$B2353)&gt;0,"OK","INCONNUE"))</f>
        <v/>
      </c>
      <c r="J2353" s="9">
        <f>IF($D2353="","",ROUND($D2353,2))</f>
        <v/>
      </c>
    </row>
    <row r="2354">
      <c r="A2354" s="6" t="n"/>
      <c r="B2354" s="6" t="n"/>
      <c r="C2354" s="7" t="n"/>
      <c r="D2354" s="8" t="n"/>
      <c r="E2354" s="6" t="n"/>
      <c r="F2354" s="6" t="n"/>
      <c r="G2354" s="6" t="n"/>
      <c r="H2354" s="6" t="n"/>
      <c r="I2354" s="12">
        <f>IF($B2354="","",IF(COUNTIF(Ventes_Factures!$A$6:$A$3005,$B2354)&gt;0,"OK","INCONNUE"))</f>
        <v/>
      </c>
      <c r="J2354" s="9">
        <f>IF($D2354="","",ROUND($D2354,2))</f>
        <v/>
      </c>
    </row>
    <row r="2355">
      <c r="A2355" s="6" t="n"/>
      <c r="B2355" s="6" t="n"/>
      <c r="C2355" s="7" t="n"/>
      <c r="D2355" s="8" t="n"/>
      <c r="E2355" s="6" t="n"/>
      <c r="F2355" s="6" t="n"/>
      <c r="G2355" s="6" t="n"/>
      <c r="H2355" s="6" t="n"/>
      <c r="I2355" s="12">
        <f>IF($B2355="","",IF(COUNTIF(Ventes_Factures!$A$6:$A$3005,$B2355)&gt;0,"OK","INCONNUE"))</f>
        <v/>
      </c>
      <c r="J2355" s="9">
        <f>IF($D2355="","",ROUND($D2355,2))</f>
        <v/>
      </c>
    </row>
    <row r="2356">
      <c r="A2356" s="6" t="n"/>
      <c r="B2356" s="6" t="n"/>
      <c r="C2356" s="7" t="n"/>
      <c r="D2356" s="8" t="n"/>
      <c r="E2356" s="6" t="n"/>
      <c r="F2356" s="6" t="n"/>
      <c r="G2356" s="6" t="n"/>
      <c r="H2356" s="6" t="n"/>
      <c r="I2356" s="12">
        <f>IF($B2356="","",IF(COUNTIF(Ventes_Factures!$A$6:$A$3005,$B2356)&gt;0,"OK","INCONNUE"))</f>
        <v/>
      </c>
      <c r="J2356" s="9">
        <f>IF($D2356="","",ROUND($D2356,2))</f>
        <v/>
      </c>
    </row>
    <row r="2357">
      <c r="A2357" s="6" t="n"/>
      <c r="B2357" s="6" t="n"/>
      <c r="C2357" s="7" t="n"/>
      <c r="D2357" s="8" t="n"/>
      <c r="E2357" s="6" t="n"/>
      <c r="F2357" s="6" t="n"/>
      <c r="G2357" s="6" t="n"/>
      <c r="H2357" s="6" t="n"/>
      <c r="I2357" s="12">
        <f>IF($B2357="","",IF(COUNTIF(Ventes_Factures!$A$6:$A$3005,$B2357)&gt;0,"OK","INCONNUE"))</f>
        <v/>
      </c>
      <c r="J2357" s="9">
        <f>IF($D2357="","",ROUND($D2357,2))</f>
        <v/>
      </c>
    </row>
    <row r="2358">
      <c r="A2358" s="6" t="n"/>
      <c r="B2358" s="6" t="n"/>
      <c r="C2358" s="7" t="n"/>
      <c r="D2358" s="8" t="n"/>
      <c r="E2358" s="6" t="n"/>
      <c r="F2358" s="6" t="n"/>
      <c r="G2358" s="6" t="n"/>
      <c r="H2358" s="6" t="n"/>
      <c r="I2358" s="12">
        <f>IF($B2358="","",IF(COUNTIF(Ventes_Factures!$A$6:$A$3005,$B2358)&gt;0,"OK","INCONNUE"))</f>
        <v/>
      </c>
      <c r="J2358" s="9">
        <f>IF($D2358="","",ROUND($D2358,2))</f>
        <v/>
      </c>
    </row>
    <row r="2359">
      <c r="A2359" s="6" t="n"/>
      <c r="B2359" s="6" t="n"/>
      <c r="C2359" s="7" t="n"/>
      <c r="D2359" s="8" t="n"/>
      <c r="E2359" s="6" t="n"/>
      <c r="F2359" s="6" t="n"/>
      <c r="G2359" s="6" t="n"/>
      <c r="H2359" s="6" t="n"/>
      <c r="I2359" s="12">
        <f>IF($B2359="","",IF(COUNTIF(Ventes_Factures!$A$6:$A$3005,$B2359)&gt;0,"OK","INCONNUE"))</f>
        <v/>
      </c>
      <c r="J2359" s="9">
        <f>IF($D2359="","",ROUND($D2359,2))</f>
        <v/>
      </c>
    </row>
    <row r="2360">
      <c r="A2360" s="6" t="n"/>
      <c r="B2360" s="6" t="n"/>
      <c r="C2360" s="7" t="n"/>
      <c r="D2360" s="8" t="n"/>
      <c r="E2360" s="6" t="n"/>
      <c r="F2360" s="6" t="n"/>
      <c r="G2360" s="6" t="n"/>
      <c r="H2360" s="6" t="n"/>
      <c r="I2360" s="12">
        <f>IF($B2360="","",IF(COUNTIF(Ventes_Factures!$A$6:$A$3005,$B2360)&gt;0,"OK","INCONNUE"))</f>
        <v/>
      </c>
      <c r="J2360" s="9">
        <f>IF($D2360="","",ROUND($D2360,2))</f>
        <v/>
      </c>
    </row>
    <row r="2361">
      <c r="A2361" s="6" t="n"/>
      <c r="B2361" s="6" t="n"/>
      <c r="C2361" s="7" t="n"/>
      <c r="D2361" s="8" t="n"/>
      <c r="E2361" s="6" t="n"/>
      <c r="F2361" s="6" t="n"/>
      <c r="G2361" s="6" t="n"/>
      <c r="H2361" s="6" t="n"/>
      <c r="I2361" s="12">
        <f>IF($B2361="","",IF(COUNTIF(Ventes_Factures!$A$6:$A$3005,$B2361)&gt;0,"OK","INCONNUE"))</f>
        <v/>
      </c>
      <c r="J2361" s="9">
        <f>IF($D2361="","",ROUND($D2361,2))</f>
        <v/>
      </c>
    </row>
    <row r="2362">
      <c r="A2362" s="6" t="n"/>
      <c r="B2362" s="6" t="n"/>
      <c r="C2362" s="7" t="n"/>
      <c r="D2362" s="8" t="n"/>
      <c r="E2362" s="6" t="n"/>
      <c r="F2362" s="6" t="n"/>
      <c r="G2362" s="6" t="n"/>
      <c r="H2362" s="6" t="n"/>
      <c r="I2362" s="12">
        <f>IF($B2362="","",IF(COUNTIF(Ventes_Factures!$A$6:$A$3005,$B2362)&gt;0,"OK","INCONNUE"))</f>
        <v/>
      </c>
      <c r="J2362" s="9">
        <f>IF($D2362="","",ROUND($D2362,2))</f>
        <v/>
      </c>
    </row>
    <row r="2363">
      <c r="A2363" s="6" t="n"/>
      <c r="B2363" s="6" t="n"/>
      <c r="C2363" s="7" t="n"/>
      <c r="D2363" s="8" t="n"/>
      <c r="E2363" s="6" t="n"/>
      <c r="F2363" s="6" t="n"/>
      <c r="G2363" s="6" t="n"/>
      <c r="H2363" s="6" t="n"/>
      <c r="I2363" s="12">
        <f>IF($B2363="","",IF(COUNTIF(Ventes_Factures!$A$6:$A$3005,$B2363)&gt;0,"OK","INCONNUE"))</f>
        <v/>
      </c>
      <c r="J2363" s="9">
        <f>IF($D2363="","",ROUND($D2363,2))</f>
        <v/>
      </c>
    </row>
    <row r="2364">
      <c r="A2364" s="6" t="n"/>
      <c r="B2364" s="6" t="n"/>
      <c r="C2364" s="7" t="n"/>
      <c r="D2364" s="8" t="n"/>
      <c r="E2364" s="6" t="n"/>
      <c r="F2364" s="6" t="n"/>
      <c r="G2364" s="6" t="n"/>
      <c r="H2364" s="6" t="n"/>
      <c r="I2364" s="12">
        <f>IF($B2364="","",IF(COUNTIF(Ventes_Factures!$A$6:$A$3005,$B2364)&gt;0,"OK","INCONNUE"))</f>
        <v/>
      </c>
      <c r="J2364" s="9">
        <f>IF($D2364="","",ROUND($D2364,2))</f>
        <v/>
      </c>
    </row>
    <row r="2365">
      <c r="A2365" s="6" t="n"/>
      <c r="B2365" s="6" t="n"/>
      <c r="C2365" s="7" t="n"/>
      <c r="D2365" s="8" t="n"/>
      <c r="E2365" s="6" t="n"/>
      <c r="F2365" s="6" t="n"/>
      <c r="G2365" s="6" t="n"/>
      <c r="H2365" s="6" t="n"/>
      <c r="I2365" s="12">
        <f>IF($B2365="","",IF(COUNTIF(Ventes_Factures!$A$6:$A$3005,$B2365)&gt;0,"OK","INCONNUE"))</f>
        <v/>
      </c>
      <c r="J2365" s="9">
        <f>IF($D2365="","",ROUND($D2365,2))</f>
        <v/>
      </c>
    </row>
    <row r="2366">
      <c r="A2366" s="6" t="n"/>
      <c r="B2366" s="6" t="n"/>
      <c r="C2366" s="7" t="n"/>
      <c r="D2366" s="8" t="n"/>
      <c r="E2366" s="6" t="n"/>
      <c r="F2366" s="6" t="n"/>
      <c r="G2366" s="6" t="n"/>
      <c r="H2366" s="6" t="n"/>
      <c r="I2366" s="12">
        <f>IF($B2366="","",IF(COUNTIF(Ventes_Factures!$A$6:$A$3005,$B2366)&gt;0,"OK","INCONNUE"))</f>
        <v/>
      </c>
      <c r="J2366" s="9">
        <f>IF($D2366="","",ROUND($D2366,2))</f>
        <v/>
      </c>
    </row>
    <row r="2367">
      <c r="A2367" s="6" t="n"/>
      <c r="B2367" s="6" t="n"/>
      <c r="C2367" s="7" t="n"/>
      <c r="D2367" s="8" t="n"/>
      <c r="E2367" s="6" t="n"/>
      <c r="F2367" s="6" t="n"/>
      <c r="G2367" s="6" t="n"/>
      <c r="H2367" s="6" t="n"/>
      <c r="I2367" s="12">
        <f>IF($B2367="","",IF(COUNTIF(Ventes_Factures!$A$6:$A$3005,$B2367)&gt;0,"OK","INCONNUE"))</f>
        <v/>
      </c>
      <c r="J2367" s="9">
        <f>IF($D2367="","",ROUND($D2367,2))</f>
        <v/>
      </c>
    </row>
    <row r="2368">
      <c r="A2368" s="6" t="n"/>
      <c r="B2368" s="6" t="n"/>
      <c r="C2368" s="7" t="n"/>
      <c r="D2368" s="8" t="n"/>
      <c r="E2368" s="6" t="n"/>
      <c r="F2368" s="6" t="n"/>
      <c r="G2368" s="6" t="n"/>
      <c r="H2368" s="6" t="n"/>
      <c r="I2368" s="12">
        <f>IF($B2368="","",IF(COUNTIF(Ventes_Factures!$A$6:$A$3005,$B2368)&gt;0,"OK","INCONNUE"))</f>
        <v/>
      </c>
      <c r="J2368" s="9">
        <f>IF($D2368="","",ROUND($D2368,2))</f>
        <v/>
      </c>
    </row>
    <row r="2369">
      <c r="A2369" s="6" t="n"/>
      <c r="B2369" s="6" t="n"/>
      <c r="C2369" s="7" t="n"/>
      <c r="D2369" s="8" t="n"/>
      <c r="E2369" s="6" t="n"/>
      <c r="F2369" s="6" t="n"/>
      <c r="G2369" s="6" t="n"/>
      <c r="H2369" s="6" t="n"/>
      <c r="I2369" s="12">
        <f>IF($B2369="","",IF(COUNTIF(Ventes_Factures!$A$6:$A$3005,$B2369)&gt;0,"OK","INCONNUE"))</f>
        <v/>
      </c>
      <c r="J2369" s="9">
        <f>IF($D2369="","",ROUND($D2369,2))</f>
        <v/>
      </c>
    </row>
    <row r="2370">
      <c r="A2370" s="6" t="n"/>
      <c r="B2370" s="6" t="n"/>
      <c r="C2370" s="7" t="n"/>
      <c r="D2370" s="8" t="n"/>
      <c r="E2370" s="6" t="n"/>
      <c r="F2370" s="6" t="n"/>
      <c r="G2370" s="6" t="n"/>
      <c r="H2370" s="6" t="n"/>
      <c r="I2370" s="12">
        <f>IF($B2370="","",IF(COUNTIF(Ventes_Factures!$A$6:$A$3005,$B2370)&gt;0,"OK","INCONNUE"))</f>
        <v/>
      </c>
      <c r="J2370" s="9">
        <f>IF($D2370="","",ROUND($D2370,2))</f>
        <v/>
      </c>
    </row>
    <row r="2371">
      <c r="A2371" s="6" t="n"/>
      <c r="B2371" s="6" t="n"/>
      <c r="C2371" s="7" t="n"/>
      <c r="D2371" s="8" t="n"/>
      <c r="E2371" s="6" t="n"/>
      <c r="F2371" s="6" t="n"/>
      <c r="G2371" s="6" t="n"/>
      <c r="H2371" s="6" t="n"/>
      <c r="I2371" s="12">
        <f>IF($B2371="","",IF(COUNTIF(Ventes_Factures!$A$6:$A$3005,$B2371)&gt;0,"OK","INCONNUE"))</f>
        <v/>
      </c>
      <c r="J2371" s="9">
        <f>IF($D2371="","",ROUND($D2371,2))</f>
        <v/>
      </c>
    </row>
    <row r="2372">
      <c r="A2372" s="6" t="n"/>
      <c r="B2372" s="6" t="n"/>
      <c r="C2372" s="7" t="n"/>
      <c r="D2372" s="8" t="n"/>
      <c r="E2372" s="6" t="n"/>
      <c r="F2372" s="6" t="n"/>
      <c r="G2372" s="6" t="n"/>
      <c r="H2372" s="6" t="n"/>
      <c r="I2372" s="12">
        <f>IF($B2372="","",IF(COUNTIF(Ventes_Factures!$A$6:$A$3005,$B2372)&gt;0,"OK","INCONNUE"))</f>
        <v/>
      </c>
      <c r="J2372" s="9">
        <f>IF($D2372="","",ROUND($D2372,2))</f>
        <v/>
      </c>
    </row>
    <row r="2373">
      <c r="A2373" s="6" t="n"/>
      <c r="B2373" s="6" t="n"/>
      <c r="C2373" s="7" t="n"/>
      <c r="D2373" s="8" t="n"/>
      <c r="E2373" s="6" t="n"/>
      <c r="F2373" s="6" t="n"/>
      <c r="G2373" s="6" t="n"/>
      <c r="H2373" s="6" t="n"/>
      <c r="I2373" s="12">
        <f>IF($B2373="","",IF(COUNTIF(Ventes_Factures!$A$6:$A$3005,$B2373)&gt;0,"OK","INCONNUE"))</f>
        <v/>
      </c>
      <c r="J2373" s="9">
        <f>IF($D2373="","",ROUND($D2373,2))</f>
        <v/>
      </c>
    </row>
    <row r="2374">
      <c r="A2374" s="6" t="n"/>
      <c r="B2374" s="6" t="n"/>
      <c r="C2374" s="7" t="n"/>
      <c r="D2374" s="8" t="n"/>
      <c r="E2374" s="6" t="n"/>
      <c r="F2374" s="6" t="n"/>
      <c r="G2374" s="6" t="n"/>
      <c r="H2374" s="6" t="n"/>
      <c r="I2374" s="12">
        <f>IF($B2374="","",IF(COUNTIF(Ventes_Factures!$A$6:$A$3005,$B2374)&gt;0,"OK","INCONNUE"))</f>
        <v/>
      </c>
      <c r="J2374" s="9">
        <f>IF($D2374="","",ROUND($D2374,2))</f>
        <v/>
      </c>
    </row>
    <row r="2375">
      <c r="A2375" s="6" t="n"/>
      <c r="B2375" s="6" t="n"/>
      <c r="C2375" s="7" t="n"/>
      <c r="D2375" s="8" t="n"/>
      <c r="E2375" s="6" t="n"/>
      <c r="F2375" s="6" t="n"/>
      <c r="G2375" s="6" t="n"/>
      <c r="H2375" s="6" t="n"/>
      <c r="I2375" s="12">
        <f>IF($B2375="","",IF(COUNTIF(Ventes_Factures!$A$6:$A$3005,$B2375)&gt;0,"OK","INCONNUE"))</f>
        <v/>
      </c>
      <c r="J2375" s="9">
        <f>IF($D2375="","",ROUND($D2375,2))</f>
        <v/>
      </c>
    </row>
    <row r="2376">
      <c r="A2376" s="6" t="n"/>
      <c r="B2376" s="6" t="n"/>
      <c r="C2376" s="7" t="n"/>
      <c r="D2376" s="8" t="n"/>
      <c r="E2376" s="6" t="n"/>
      <c r="F2376" s="6" t="n"/>
      <c r="G2376" s="6" t="n"/>
      <c r="H2376" s="6" t="n"/>
      <c r="I2376" s="12">
        <f>IF($B2376="","",IF(COUNTIF(Ventes_Factures!$A$6:$A$3005,$B2376)&gt;0,"OK","INCONNUE"))</f>
        <v/>
      </c>
      <c r="J2376" s="9">
        <f>IF($D2376="","",ROUND($D2376,2))</f>
        <v/>
      </c>
    </row>
    <row r="2377">
      <c r="A2377" s="6" t="n"/>
      <c r="B2377" s="6" t="n"/>
      <c r="C2377" s="7" t="n"/>
      <c r="D2377" s="8" t="n"/>
      <c r="E2377" s="6" t="n"/>
      <c r="F2377" s="6" t="n"/>
      <c r="G2377" s="6" t="n"/>
      <c r="H2377" s="6" t="n"/>
      <c r="I2377" s="12">
        <f>IF($B2377="","",IF(COUNTIF(Ventes_Factures!$A$6:$A$3005,$B2377)&gt;0,"OK","INCONNUE"))</f>
        <v/>
      </c>
      <c r="J2377" s="9">
        <f>IF($D2377="","",ROUND($D2377,2))</f>
        <v/>
      </c>
    </row>
    <row r="2378">
      <c r="A2378" s="6" t="n"/>
      <c r="B2378" s="6" t="n"/>
      <c r="C2378" s="7" t="n"/>
      <c r="D2378" s="8" t="n"/>
      <c r="E2378" s="6" t="n"/>
      <c r="F2378" s="6" t="n"/>
      <c r="G2378" s="6" t="n"/>
      <c r="H2378" s="6" t="n"/>
      <c r="I2378" s="12">
        <f>IF($B2378="","",IF(COUNTIF(Ventes_Factures!$A$6:$A$3005,$B2378)&gt;0,"OK","INCONNUE"))</f>
        <v/>
      </c>
      <c r="J2378" s="9">
        <f>IF($D2378="","",ROUND($D2378,2))</f>
        <v/>
      </c>
    </row>
    <row r="2379">
      <c r="A2379" s="6" t="n"/>
      <c r="B2379" s="6" t="n"/>
      <c r="C2379" s="7" t="n"/>
      <c r="D2379" s="8" t="n"/>
      <c r="E2379" s="6" t="n"/>
      <c r="F2379" s="6" t="n"/>
      <c r="G2379" s="6" t="n"/>
      <c r="H2379" s="6" t="n"/>
      <c r="I2379" s="12">
        <f>IF($B2379="","",IF(COUNTIF(Ventes_Factures!$A$6:$A$3005,$B2379)&gt;0,"OK","INCONNUE"))</f>
        <v/>
      </c>
      <c r="J2379" s="9">
        <f>IF($D2379="","",ROUND($D2379,2))</f>
        <v/>
      </c>
    </row>
    <row r="2380">
      <c r="A2380" s="6" t="n"/>
      <c r="B2380" s="6" t="n"/>
      <c r="C2380" s="7" t="n"/>
      <c r="D2380" s="8" t="n"/>
      <c r="E2380" s="6" t="n"/>
      <c r="F2380" s="6" t="n"/>
      <c r="G2380" s="6" t="n"/>
      <c r="H2380" s="6" t="n"/>
      <c r="I2380" s="12">
        <f>IF($B2380="","",IF(COUNTIF(Ventes_Factures!$A$6:$A$3005,$B2380)&gt;0,"OK","INCONNUE"))</f>
        <v/>
      </c>
      <c r="J2380" s="9">
        <f>IF($D2380="","",ROUND($D2380,2))</f>
        <v/>
      </c>
    </row>
    <row r="2381">
      <c r="A2381" s="6" t="n"/>
      <c r="B2381" s="6" t="n"/>
      <c r="C2381" s="7" t="n"/>
      <c r="D2381" s="8" t="n"/>
      <c r="E2381" s="6" t="n"/>
      <c r="F2381" s="6" t="n"/>
      <c r="G2381" s="6" t="n"/>
      <c r="H2381" s="6" t="n"/>
      <c r="I2381" s="12">
        <f>IF($B2381="","",IF(COUNTIF(Ventes_Factures!$A$6:$A$3005,$B2381)&gt;0,"OK","INCONNUE"))</f>
        <v/>
      </c>
      <c r="J2381" s="9">
        <f>IF($D2381="","",ROUND($D2381,2))</f>
        <v/>
      </c>
    </row>
    <row r="2382">
      <c r="A2382" s="6" t="n"/>
      <c r="B2382" s="6" t="n"/>
      <c r="C2382" s="7" t="n"/>
      <c r="D2382" s="8" t="n"/>
      <c r="E2382" s="6" t="n"/>
      <c r="F2382" s="6" t="n"/>
      <c r="G2382" s="6" t="n"/>
      <c r="H2382" s="6" t="n"/>
      <c r="I2382" s="12">
        <f>IF($B2382="","",IF(COUNTIF(Ventes_Factures!$A$6:$A$3005,$B2382)&gt;0,"OK","INCONNUE"))</f>
        <v/>
      </c>
      <c r="J2382" s="9">
        <f>IF($D2382="","",ROUND($D2382,2))</f>
        <v/>
      </c>
    </row>
    <row r="2383">
      <c r="A2383" s="6" t="n"/>
      <c r="B2383" s="6" t="n"/>
      <c r="C2383" s="7" t="n"/>
      <c r="D2383" s="8" t="n"/>
      <c r="E2383" s="6" t="n"/>
      <c r="F2383" s="6" t="n"/>
      <c r="G2383" s="6" t="n"/>
      <c r="H2383" s="6" t="n"/>
      <c r="I2383" s="12">
        <f>IF($B2383="","",IF(COUNTIF(Ventes_Factures!$A$6:$A$3005,$B2383)&gt;0,"OK","INCONNUE"))</f>
        <v/>
      </c>
      <c r="J2383" s="9">
        <f>IF($D2383="","",ROUND($D2383,2))</f>
        <v/>
      </c>
    </row>
    <row r="2384">
      <c r="A2384" s="6" t="n"/>
      <c r="B2384" s="6" t="n"/>
      <c r="C2384" s="7" t="n"/>
      <c r="D2384" s="8" t="n"/>
      <c r="E2384" s="6" t="n"/>
      <c r="F2384" s="6" t="n"/>
      <c r="G2384" s="6" t="n"/>
      <c r="H2384" s="6" t="n"/>
      <c r="I2384" s="12">
        <f>IF($B2384="","",IF(COUNTIF(Ventes_Factures!$A$6:$A$3005,$B2384)&gt;0,"OK","INCONNUE"))</f>
        <v/>
      </c>
      <c r="J2384" s="9">
        <f>IF($D2384="","",ROUND($D2384,2))</f>
        <v/>
      </c>
    </row>
    <row r="2385">
      <c r="A2385" s="6" t="n"/>
      <c r="B2385" s="6" t="n"/>
      <c r="C2385" s="7" t="n"/>
      <c r="D2385" s="8" t="n"/>
      <c r="E2385" s="6" t="n"/>
      <c r="F2385" s="6" t="n"/>
      <c r="G2385" s="6" t="n"/>
      <c r="H2385" s="6" t="n"/>
      <c r="I2385" s="12">
        <f>IF($B2385="","",IF(COUNTIF(Ventes_Factures!$A$6:$A$3005,$B2385)&gt;0,"OK","INCONNUE"))</f>
        <v/>
      </c>
      <c r="J2385" s="9">
        <f>IF($D2385="","",ROUND($D2385,2))</f>
        <v/>
      </c>
    </row>
    <row r="2386">
      <c r="A2386" s="6" t="n"/>
      <c r="B2386" s="6" t="n"/>
      <c r="C2386" s="7" t="n"/>
      <c r="D2386" s="8" t="n"/>
      <c r="E2386" s="6" t="n"/>
      <c r="F2386" s="6" t="n"/>
      <c r="G2386" s="6" t="n"/>
      <c r="H2386" s="6" t="n"/>
      <c r="I2386" s="12">
        <f>IF($B2386="","",IF(COUNTIF(Ventes_Factures!$A$6:$A$3005,$B2386)&gt;0,"OK","INCONNUE"))</f>
        <v/>
      </c>
      <c r="J2386" s="9">
        <f>IF($D2386="","",ROUND($D2386,2))</f>
        <v/>
      </c>
    </row>
    <row r="2387">
      <c r="A2387" s="6" t="n"/>
      <c r="B2387" s="6" t="n"/>
      <c r="C2387" s="7" t="n"/>
      <c r="D2387" s="8" t="n"/>
      <c r="E2387" s="6" t="n"/>
      <c r="F2387" s="6" t="n"/>
      <c r="G2387" s="6" t="n"/>
      <c r="H2387" s="6" t="n"/>
      <c r="I2387" s="12">
        <f>IF($B2387="","",IF(COUNTIF(Ventes_Factures!$A$6:$A$3005,$B2387)&gt;0,"OK","INCONNUE"))</f>
        <v/>
      </c>
      <c r="J2387" s="9">
        <f>IF($D2387="","",ROUND($D2387,2))</f>
        <v/>
      </c>
    </row>
    <row r="2388">
      <c r="A2388" s="6" t="n"/>
      <c r="B2388" s="6" t="n"/>
      <c r="C2388" s="7" t="n"/>
      <c r="D2388" s="8" t="n"/>
      <c r="E2388" s="6" t="n"/>
      <c r="F2388" s="6" t="n"/>
      <c r="G2388" s="6" t="n"/>
      <c r="H2388" s="6" t="n"/>
      <c r="I2388" s="12">
        <f>IF($B2388="","",IF(COUNTIF(Ventes_Factures!$A$6:$A$3005,$B2388)&gt;0,"OK","INCONNUE"))</f>
        <v/>
      </c>
      <c r="J2388" s="9">
        <f>IF($D2388="","",ROUND($D2388,2))</f>
        <v/>
      </c>
    </row>
    <row r="2389">
      <c r="A2389" s="6" t="n"/>
      <c r="B2389" s="6" t="n"/>
      <c r="C2389" s="7" t="n"/>
      <c r="D2389" s="8" t="n"/>
      <c r="E2389" s="6" t="n"/>
      <c r="F2389" s="6" t="n"/>
      <c r="G2389" s="6" t="n"/>
      <c r="H2389" s="6" t="n"/>
      <c r="I2389" s="12">
        <f>IF($B2389="","",IF(COUNTIF(Ventes_Factures!$A$6:$A$3005,$B2389)&gt;0,"OK","INCONNUE"))</f>
        <v/>
      </c>
      <c r="J2389" s="9">
        <f>IF($D2389="","",ROUND($D2389,2))</f>
        <v/>
      </c>
    </row>
    <row r="2390">
      <c r="A2390" s="6" t="n"/>
      <c r="B2390" s="6" t="n"/>
      <c r="C2390" s="7" t="n"/>
      <c r="D2390" s="8" t="n"/>
      <c r="E2390" s="6" t="n"/>
      <c r="F2390" s="6" t="n"/>
      <c r="G2390" s="6" t="n"/>
      <c r="H2390" s="6" t="n"/>
      <c r="I2390" s="12">
        <f>IF($B2390="","",IF(COUNTIF(Ventes_Factures!$A$6:$A$3005,$B2390)&gt;0,"OK","INCONNUE"))</f>
        <v/>
      </c>
      <c r="J2390" s="9">
        <f>IF($D2390="","",ROUND($D2390,2))</f>
        <v/>
      </c>
    </row>
    <row r="2391">
      <c r="A2391" s="6" t="n"/>
      <c r="B2391" s="6" t="n"/>
      <c r="C2391" s="7" t="n"/>
      <c r="D2391" s="8" t="n"/>
      <c r="E2391" s="6" t="n"/>
      <c r="F2391" s="6" t="n"/>
      <c r="G2391" s="6" t="n"/>
      <c r="H2391" s="6" t="n"/>
      <c r="I2391" s="12">
        <f>IF($B2391="","",IF(COUNTIF(Ventes_Factures!$A$6:$A$3005,$B2391)&gt;0,"OK","INCONNUE"))</f>
        <v/>
      </c>
      <c r="J2391" s="9">
        <f>IF($D2391="","",ROUND($D2391,2))</f>
        <v/>
      </c>
    </row>
    <row r="2392">
      <c r="A2392" s="6" t="n"/>
      <c r="B2392" s="6" t="n"/>
      <c r="C2392" s="7" t="n"/>
      <c r="D2392" s="8" t="n"/>
      <c r="E2392" s="6" t="n"/>
      <c r="F2392" s="6" t="n"/>
      <c r="G2392" s="6" t="n"/>
      <c r="H2392" s="6" t="n"/>
      <c r="I2392" s="12">
        <f>IF($B2392="","",IF(COUNTIF(Ventes_Factures!$A$6:$A$3005,$B2392)&gt;0,"OK","INCONNUE"))</f>
        <v/>
      </c>
      <c r="J2392" s="9">
        <f>IF($D2392="","",ROUND($D2392,2))</f>
        <v/>
      </c>
    </row>
    <row r="2393">
      <c r="A2393" s="6" t="n"/>
      <c r="B2393" s="6" t="n"/>
      <c r="C2393" s="7" t="n"/>
      <c r="D2393" s="8" t="n"/>
      <c r="E2393" s="6" t="n"/>
      <c r="F2393" s="6" t="n"/>
      <c r="G2393" s="6" t="n"/>
      <c r="H2393" s="6" t="n"/>
      <c r="I2393" s="12">
        <f>IF($B2393="","",IF(COUNTIF(Ventes_Factures!$A$6:$A$3005,$B2393)&gt;0,"OK","INCONNUE"))</f>
        <v/>
      </c>
      <c r="J2393" s="9">
        <f>IF($D2393="","",ROUND($D2393,2))</f>
        <v/>
      </c>
    </row>
    <row r="2394">
      <c r="A2394" s="6" t="n"/>
      <c r="B2394" s="6" t="n"/>
      <c r="C2394" s="7" t="n"/>
      <c r="D2394" s="8" t="n"/>
      <c r="E2394" s="6" t="n"/>
      <c r="F2394" s="6" t="n"/>
      <c r="G2394" s="6" t="n"/>
      <c r="H2394" s="6" t="n"/>
      <c r="I2394" s="12">
        <f>IF($B2394="","",IF(COUNTIF(Ventes_Factures!$A$6:$A$3005,$B2394)&gt;0,"OK","INCONNUE"))</f>
        <v/>
      </c>
      <c r="J2394" s="9">
        <f>IF($D2394="","",ROUND($D2394,2))</f>
        <v/>
      </c>
    </row>
    <row r="2395">
      <c r="A2395" s="6" t="n"/>
      <c r="B2395" s="6" t="n"/>
      <c r="C2395" s="7" t="n"/>
      <c r="D2395" s="8" t="n"/>
      <c r="E2395" s="6" t="n"/>
      <c r="F2395" s="6" t="n"/>
      <c r="G2395" s="6" t="n"/>
      <c r="H2395" s="6" t="n"/>
      <c r="I2395" s="12">
        <f>IF($B2395="","",IF(COUNTIF(Ventes_Factures!$A$6:$A$3005,$B2395)&gt;0,"OK","INCONNUE"))</f>
        <v/>
      </c>
      <c r="J2395" s="9">
        <f>IF($D2395="","",ROUND($D2395,2))</f>
        <v/>
      </c>
    </row>
    <row r="2396">
      <c r="A2396" s="6" t="n"/>
      <c r="B2396" s="6" t="n"/>
      <c r="C2396" s="7" t="n"/>
      <c r="D2396" s="8" t="n"/>
      <c r="E2396" s="6" t="n"/>
      <c r="F2396" s="6" t="n"/>
      <c r="G2396" s="6" t="n"/>
      <c r="H2396" s="6" t="n"/>
      <c r="I2396" s="12">
        <f>IF($B2396="","",IF(COUNTIF(Ventes_Factures!$A$6:$A$3005,$B2396)&gt;0,"OK","INCONNUE"))</f>
        <v/>
      </c>
      <c r="J2396" s="9">
        <f>IF($D2396="","",ROUND($D2396,2))</f>
        <v/>
      </c>
    </row>
    <row r="2397">
      <c r="A2397" s="6" t="n"/>
      <c r="B2397" s="6" t="n"/>
      <c r="C2397" s="7" t="n"/>
      <c r="D2397" s="8" t="n"/>
      <c r="E2397" s="6" t="n"/>
      <c r="F2397" s="6" t="n"/>
      <c r="G2397" s="6" t="n"/>
      <c r="H2397" s="6" t="n"/>
      <c r="I2397" s="12">
        <f>IF($B2397="","",IF(COUNTIF(Ventes_Factures!$A$6:$A$3005,$B2397)&gt;0,"OK","INCONNUE"))</f>
        <v/>
      </c>
      <c r="J2397" s="9">
        <f>IF($D2397="","",ROUND($D2397,2))</f>
        <v/>
      </c>
    </row>
    <row r="2398">
      <c r="A2398" s="6" t="n"/>
      <c r="B2398" s="6" t="n"/>
      <c r="C2398" s="7" t="n"/>
      <c r="D2398" s="8" t="n"/>
      <c r="E2398" s="6" t="n"/>
      <c r="F2398" s="6" t="n"/>
      <c r="G2398" s="6" t="n"/>
      <c r="H2398" s="6" t="n"/>
      <c r="I2398" s="12">
        <f>IF($B2398="","",IF(COUNTIF(Ventes_Factures!$A$6:$A$3005,$B2398)&gt;0,"OK","INCONNUE"))</f>
        <v/>
      </c>
      <c r="J2398" s="9">
        <f>IF($D2398="","",ROUND($D2398,2))</f>
        <v/>
      </c>
    </row>
    <row r="2399">
      <c r="A2399" s="6" t="n"/>
      <c r="B2399" s="6" t="n"/>
      <c r="C2399" s="7" t="n"/>
      <c r="D2399" s="8" t="n"/>
      <c r="E2399" s="6" t="n"/>
      <c r="F2399" s="6" t="n"/>
      <c r="G2399" s="6" t="n"/>
      <c r="H2399" s="6" t="n"/>
      <c r="I2399" s="12">
        <f>IF($B2399="","",IF(COUNTIF(Ventes_Factures!$A$6:$A$3005,$B2399)&gt;0,"OK","INCONNUE"))</f>
        <v/>
      </c>
      <c r="J2399" s="9">
        <f>IF($D2399="","",ROUND($D2399,2))</f>
        <v/>
      </c>
    </row>
    <row r="2400">
      <c r="A2400" s="6" t="n"/>
      <c r="B2400" s="6" t="n"/>
      <c r="C2400" s="7" t="n"/>
      <c r="D2400" s="8" t="n"/>
      <c r="E2400" s="6" t="n"/>
      <c r="F2400" s="6" t="n"/>
      <c r="G2400" s="6" t="n"/>
      <c r="H2400" s="6" t="n"/>
      <c r="I2400" s="12">
        <f>IF($B2400="","",IF(COUNTIF(Ventes_Factures!$A$6:$A$3005,$B2400)&gt;0,"OK","INCONNUE"))</f>
        <v/>
      </c>
      <c r="J2400" s="9">
        <f>IF($D2400="","",ROUND($D2400,2))</f>
        <v/>
      </c>
    </row>
    <row r="2401">
      <c r="A2401" s="6" t="n"/>
      <c r="B2401" s="6" t="n"/>
      <c r="C2401" s="7" t="n"/>
      <c r="D2401" s="8" t="n"/>
      <c r="E2401" s="6" t="n"/>
      <c r="F2401" s="6" t="n"/>
      <c r="G2401" s="6" t="n"/>
      <c r="H2401" s="6" t="n"/>
      <c r="I2401" s="12">
        <f>IF($B2401="","",IF(COUNTIF(Ventes_Factures!$A$6:$A$3005,$B2401)&gt;0,"OK","INCONNUE"))</f>
        <v/>
      </c>
      <c r="J2401" s="9">
        <f>IF($D2401="","",ROUND($D2401,2))</f>
        <v/>
      </c>
    </row>
    <row r="2402">
      <c r="A2402" s="6" t="n"/>
      <c r="B2402" s="6" t="n"/>
      <c r="C2402" s="7" t="n"/>
      <c r="D2402" s="8" t="n"/>
      <c r="E2402" s="6" t="n"/>
      <c r="F2402" s="6" t="n"/>
      <c r="G2402" s="6" t="n"/>
      <c r="H2402" s="6" t="n"/>
      <c r="I2402" s="12">
        <f>IF($B2402="","",IF(COUNTIF(Ventes_Factures!$A$6:$A$3005,$B2402)&gt;0,"OK","INCONNUE"))</f>
        <v/>
      </c>
      <c r="J2402" s="9">
        <f>IF($D2402="","",ROUND($D2402,2))</f>
        <v/>
      </c>
    </row>
    <row r="2403">
      <c r="A2403" s="6" t="n"/>
      <c r="B2403" s="6" t="n"/>
      <c r="C2403" s="7" t="n"/>
      <c r="D2403" s="8" t="n"/>
      <c r="E2403" s="6" t="n"/>
      <c r="F2403" s="6" t="n"/>
      <c r="G2403" s="6" t="n"/>
      <c r="H2403" s="6" t="n"/>
      <c r="I2403" s="12">
        <f>IF($B2403="","",IF(COUNTIF(Ventes_Factures!$A$6:$A$3005,$B2403)&gt;0,"OK","INCONNUE"))</f>
        <v/>
      </c>
      <c r="J2403" s="9">
        <f>IF($D2403="","",ROUND($D2403,2))</f>
        <v/>
      </c>
    </row>
    <row r="2404">
      <c r="A2404" s="6" t="n"/>
      <c r="B2404" s="6" t="n"/>
      <c r="C2404" s="7" t="n"/>
      <c r="D2404" s="8" t="n"/>
      <c r="E2404" s="6" t="n"/>
      <c r="F2404" s="6" t="n"/>
      <c r="G2404" s="6" t="n"/>
      <c r="H2404" s="6" t="n"/>
      <c r="I2404" s="12">
        <f>IF($B2404="","",IF(COUNTIF(Ventes_Factures!$A$6:$A$3005,$B2404)&gt;0,"OK","INCONNUE"))</f>
        <v/>
      </c>
      <c r="J2404" s="9">
        <f>IF($D2404="","",ROUND($D2404,2))</f>
        <v/>
      </c>
    </row>
    <row r="2405">
      <c r="A2405" s="6" t="n"/>
      <c r="B2405" s="6" t="n"/>
      <c r="C2405" s="7" t="n"/>
      <c r="D2405" s="8" t="n"/>
      <c r="E2405" s="6" t="n"/>
      <c r="F2405" s="6" t="n"/>
      <c r="G2405" s="6" t="n"/>
      <c r="H2405" s="6" t="n"/>
      <c r="I2405" s="12">
        <f>IF($B2405="","",IF(COUNTIF(Ventes_Factures!$A$6:$A$3005,$B2405)&gt;0,"OK","INCONNUE"))</f>
        <v/>
      </c>
      <c r="J2405" s="9">
        <f>IF($D2405="","",ROUND($D2405,2))</f>
        <v/>
      </c>
    </row>
    <row r="2406">
      <c r="A2406" s="6" t="n"/>
      <c r="B2406" s="6" t="n"/>
      <c r="C2406" s="7" t="n"/>
      <c r="D2406" s="8" t="n"/>
      <c r="E2406" s="6" t="n"/>
      <c r="F2406" s="6" t="n"/>
      <c r="G2406" s="6" t="n"/>
      <c r="H2406" s="6" t="n"/>
      <c r="I2406" s="12">
        <f>IF($B2406="","",IF(COUNTIF(Ventes_Factures!$A$6:$A$3005,$B2406)&gt;0,"OK","INCONNUE"))</f>
        <v/>
      </c>
      <c r="J2406" s="9">
        <f>IF($D2406="","",ROUND($D2406,2))</f>
        <v/>
      </c>
    </row>
    <row r="2407">
      <c r="A2407" s="6" t="n"/>
      <c r="B2407" s="6" t="n"/>
      <c r="C2407" s="7" t="n"/>
      <c r="D2407" s="8" t="n"/>
      <c r="E2407" s="6" t="n"/>
      <c r="F2407" s="6" t="n"/>
      <c r="G2407" s="6" t="n"/>
      <c r="H2407" s="6" t="n"/>
      <c r="I2407" s="12">
        <f>IF($B2407="","",IF(COUNTIF(Ventes_Factures!$A$6:$A$3005,$B2407)&gt;0,"OK","INCONNUE"))</f>
        <v/>
      </c>
      <c r="J2407" s="9">
        <f>IF($D2407="","",ROUND($D2407,2))</f>
        <v/>
      </c>
    </row>
    <row r="2408">
      <c r="A2408" s="6" t="n"/>
      <c r="B2408" s="6" t="n"/>
      <c r="C2408" s="7" t="n"/>
      <c r="D2408" s="8" t="n"/>
      <c r="E2408" s="6" t="n"/>
      <c r="F2408" s="6" t="n"/>
      <c r="G2408" s="6" t="n"/>
      <c r="H2408" s="6" t="n"/>
      <c r="I2408" s="12">
        <f>IF($B2408="","",IF(COUNTIF(Ventes_Factures!$A$6:$A$3005,$B2408)&gt;0,"OK","INCONNUE"))</f>
        <v/>
      </c>
      <c r="J2408" s="9">
        <f>IF($D2408="","",ROUND($D2408,2))</f>
        <v/>
      </c>
    </row>
    <row r="2409">
      <c r="A2409" s="6" t="n"/>
      <c r="B2409" s="6" t="n"/>
      <c r="C2409" s="7" t="n"/>
      <c r="D2409" s="8" t="n"/>
      <c r="E2409" s="6" t="n"/>
      <c r="F2409" s="6" t="n"/>
      <c r="G2409" s="6" t="n"/>
      <c r="H2409" s="6" t="n"/>
      <c r="I2409" s="12">
        <f>IF($B2409="","",IF(COUNTIF(Ventes_Factures!$A$6:$A$3005,$B2409)&gt;0,"OK","INCONNUE"))</f>
        <v/>
      </c>
      <c r="J2409" s="9">
        <f>IF($D2409="","",ROUND($D2409,2))</f>
        <v/>
      </c>
    </row>
    <row r="2410">
      <c r="A2410" s="6" t="n"/>
      <c r="B2410" s="6" t="n"/>
      <c r="C2410" s="7" t="n"/>
      <c r="D2410" s="8" t="n"/>
      <c r="E2410" s="6" t="n"/>
      <c r="F2410" s="6" t="n"/>
      <c r="G2410" s="6" t="n"/>
      <c r="H2410" s="6" t="n"/>
      <c r="I2410" s="12">
        <f>IF($B2410="","",IF(COUNTIF(Ventes_Factures!$A$6:$A$3005,$B2410)&gt;0,"OK","INCONNUE"))</f>
        <v/>
      </c>
      <c r="J2410" s="9">
        <f>IF($D2410="","",ROUND($D2410,2))</f>
        <v/>
      </c>
    </row>
    <row r="2411">
      <c r="A2411" s="6" t="n"/>
      <c r="B2411" s="6" t="n"/>
      <c r="C2411" s="7" t="n"/>
      <c r="D2411" s="8" t="n"/>
      <c r="E2411" s="6" t="n"/>
      <c r="F2411" s="6" t="n"/>
      <c r="G2411" s="6" t="n"/>
      <c r="H2411" s="6" t="n"/>
      <c r="I2411" s="12">
        <f>IF($B2411="","",IF(COUNTIF(Ventes_Factures!$A$6:$A$3005,$B2411)&gt;0,"OK","INCONNUE"))</f>
        <v/>
      </c>
      <c r="J2411" s="9">
        <f>IF($D2411="","",ROUND($D2411,2))</f>
        <v/>
      </c>
    </row>
    <row r="2412">
      <c r="A2412" s="6" t="n"/>
      <c r="B2412" s="6" t="n"/>
      <c r="C2412" s="7" t="n"/>
      <c r="D2412" s="8" t="n"/>
      <c r="E2412" s="6" t="n"/>
      <c r="F2412" s="6" t="n"/>
      <c r="G2412" s="6" t="n"/>
      <c r="H2412" s="6" t="n"/>
      <c r="I2412" s="12">
        <f>IF($B2412="","",IF(COUNTIF(Ventes_Factures!$A$6:$A$3005,$B2412)&gt;0,"OK","INCONNUE"))</f>
        <v/>
      </c>
      <c r="J2412" s="9">
        <f>IF($D2412="","",ROUND($D2412,2))</f>
        <v/>
      </c>
    </row>
    <row r="2413">
      <c r="A2413" s="6" t="n"/>
      <c r="B2413" s="6" t="n"/>
      <c r="C2413" s="7" t="n"/>
      <c r="D2413" s="8" t="n"/>
      <c r="E2413" s="6" t="n"/>
      <c r="F2413" s="6" t="n"/>
      <c r="G2413" s="6" t="n"/>
      <c r="H2413" s="6" t="n"/>
      <c r="I2413" s="12">
        <f>IF($B2413="","",IF(COUNTIF(Ventes_Factures!$A$6:$A$3005,$B2413)&gt;0,"OK","INCONNUE"))</f>
        <v/>
      </c>
      <c r="J2413" s="9">
        <f>IF($D2413="","",ROUND($D2413,2))</f>
        <v/>
      </c>
    </row>
    <row r="2414">
      <c r="A2414" s="6" t="n"/>
      <c r="B2414" s="6" t="n"/>
      <c r="C2414" s="7" t="n"/>
      <c r="D2414" s="8" t="n"/>
      <c r="E2414" s="6" t="n"/>
      <c r="F2414" s="6" t="n"/>
      <c r="G2414" s="6" t="n"/>
      <c r="H2414" s="6" t="n"/>
      <c r="I2414" s="12">
        <f>IF($B2414="","",IF(COUNTIF(Ventes_Factures!$A$6:$A$3005,$B2414)&gt;0,"OK","INCONNUE"))</f>
        <v/>
      </c>
      <c r="J2414" s="9">
        <f>IF($D2414="","",ROUND($D2414,2))</f>
        <v/>
      </c>
    </row>
    <row r="2415">
      <c r="A2415" s="6" t="n"/>
      <c r="B2415" s="6" t="n"/>
      <c r="C2415" s="7" t="n"/>
      <c r="D2415" s="8" t="n"/>
      <c r="E2415" s="6" t="n"/>
      <c r="F2415" s="6" t="n"/>
      <c r="G2415" s="6" t="n"/>
      <c r="H2415" s="6" t="n"/>
      <c r="I2415" s="12">
        <f>IF($B2415="","",IF(COUNTIF(Ventes_Factures!$A$6:$A$3005,$B2415)&gt;0,"OK","INCONNUE"))</f>
        <v/>
      </c>
      <c r="J2415" s="9">
        <f>IF($D2415="","",ROUND($D2415,2))</f>
        <v/>
      </c>
    </row>
    <row r="2416">
      <c r="A2416" s="6" t="n"/>
      <c r="B2416" s="6" t="n"/>
      <c r="C2416" s="7" t="n"/>
      <c r="D2416" s="8" t="n"/>
      <c r="E2416" s="6" t="n"/>
      <c r="F2416" s="6" t="n"/>
      <c r="G2416" s="6" t="n"/>
      <c r="H2416" s="6" t="n"/>
      <c r="I2416" s="12">
        <f>IF($B2416="","",IF(COUNTIF(Ventes_Factures!$A$6:$A$3005,$B2416)&gt;0,"OK","INCONNUE"))</f>
        <v/>
      </c>
      <c r="J2416" s="9">
        <f>IF($D2416="","",ROUND($D2416,2))</f>
        <v/>
      </c>
    </row>
    <row r="2417">
      <c r="A2417" s="6" t="n"/>
      <c r="B2417" s="6" t="n"/>
      <c r="C2417" s="7" t="n"/>
      <c r="D2417" s="8" t="n"/>
      <c r="E2417" s="6" t="n"/>
      <c r="F2417" s="6" t="n"/>
      <c r="G2417" s="6" t="n"/>
      <c r="H2417" s="6" t="n"/>
      <c r="I2417" s="12">
        <f>IF($B2417="","",IF(COUNTIF(Ventes_Factures!$A$6:$A$3005,$B2417)&gt;0,"OK","INCONNUE"))</f>
        <v/>
      </c>
      <c r="J2417" s="9">
        <f>IF($D2417="","",ROUND($D2417,2))</f>
        <v/>
      </c>
    </row>
    <row r="2418">
      <c r="A2418" s="6" t="n"/>
      <c r="B2418" s="6" t="n"/>
      <c r="C2418" s="7" t="n"/>
      <c r="D2418" s="8" t="n"/>
      <c r="E2418" s="6" t="n"/>
      <c r="F2418" s="6" t="n"/>
      <c r="G2418" s="6" t="n"/>
      <c r="H2418" s="6" t="n"/>
      <c r="I2418" s="12">
        <f>IF($B2418="","",IF(COUNTIF(Ventes_Factures!$A$6:$A$3005,$B2418)&gt;0,"OK","INCONNUE"))</f>
        <v/>
      </c>
      <c r="J2418" s="9">
        <f>IF($D2418="","",ROUND($D2418,2))</f>
        <v/>
      </c>
    </row>
    <row r="2419">
      <c r="A2419" s="6" t="n"/>
      <c r="B2419" s="6" t="n"/>
      <c r="C2419" s="7" t="n"/>
      <c r="D2419" s="8" t="n"/>
      <c r="E2419" s="6" t="n"/>
      <c r="F2419" s="6" t="n"/>
      <c r="G2419" s="6" t="n"/>
      <c r="H2419" s="6" t="n"/>
      <c r="I2419" s="12">
        <f>IF($B2419="","",IF(COUNTIF(Ventes_Factures!$A$6:$A$3005,$B2419)&gt;0,"OK","INCONNUE"))</f>
        <v/>
      </c>
      <c r="J2419" s="9">
        <f>IF($D2419="","",ROUND($D2419,2))</f>
        <v/>
      </c>
    </row>
    <row r="2420">
      <c r="A2420" s="6" t="n"/>
      <c r="B2420" s="6" t="n"/>
      <c r="C2420" s="7" t="n"/>
      <c r="D2420" s="8" t="n"/>
      <c r="E2420" s="6" t="n"/>
      <c r="F2420" s="6" t="n"/>
      <c r="G2420" s="6" t="n"/>
      <c r="H2420" s="6" t="n"/>
      <c r="I2420" s="12">
        <f>IF($B2420="","",IF(COUNTIF(Ventes_Factures!$A$6:$A$3005,$B2420)&gt;0,"OK","INCONNUE"))</f>
        <v/>
      </c>
      <c r="J2420" s="9">
        <f>IF($D2420="","",ROUND($D2420,2))</f>
        <v/>
      </c>
    </row>
    <row r="2421">
      <c r="A2421" s="6" t="n"/>
      <c r="B2421" s="6" t="n"/>
      <c r="C2421" s="7" t="n"/>
      <c r="D2421" s="8" t="n"/>
      <c r="E2421" s="6" t="n"/>
      <c r="F2421" s="6" t="n"/>
      <c r="G2421" s="6" t="n"/>
      <c r="H2421" s="6" t="n"/>
      <c r="I2421" s="12">
        <f>IF($B2421="","",IF(COUNTIF(Ventes_Factures!$A$6:$A$3005,$B2421)&gt;0,"OK","INCONNUE"))</f>
        <v/>
      </c>
      <c r="J2421" s="9">
        <f>IF($D2421="","",ROUND($D2421,2))</f>
        <v/>
      </c>
    </row>
    <row r="2422">
      <c r="A2422" s="6" t="n"/>
      <c r="B2422" s="6" t="n"/>
      <c r="C2422" s="7" t="n"/>
      <c r="D2422" s="8" t="n"/>
      <c r="E2422" s="6" t="n"/>
      <c r="F2422" s="6" t="n"/>
      <c r="G2422" s="6" t="n"/>
      <c r="H2422" s="6" t="n"/>
      <c r="I2422" s="12">
        <f>IF($B2422="","",IF(COUNTIF(Ventes_Factures!$A$6:$A$3005,$B2422)&gt;0,"OK","INCONNUE"))</f>
        <v/>
      </c>
      <c r="J2422" s="9">
        <f>IF($D2422="","",ROUND($D2422,2))</f>
        <v/>
      </c>
    </row>
    <row r="2423">
      <c r="A2423" s="6" t="n"/>
      <c r="B2423" s="6" t="n"/>
      <c r="C2423" s="7" t="n"/>
      <c r="D2423" s="8" t="n"/>
      <c r="E2423" s="6" t="n"/>
      <c r="F2423" s="6" t="n"/>
      <c r="G2423" s="6" t="n"/>
      <c r="H2423" s="6" t="n"/>
      <c r="I2423" s="12">
        <f>IF($B2423="","",IF(COUNTIF(Ventes_Factures!$A$6:$A$3005,$B2423)&gt;0,"OK","INCONNUE"))</f>
        <v/>
      </c>
      <c r="J2423" s="9">
        <f>IF($D2423="","",ROUND($D2423,2))</f>
        <v/>
      </c>
    </row>
    <row r="2424">
      <c r="A2424" s="6" t="n"/>
      <c r="B2424" s="6" t="n"/>
      <c r="C2424" s="7" t="n"/>
      <c r="D2424" s="8" t="n"/>
      <c r="E2424" s="6" t="n"/>
      <c r="F2424" s="6" t="n"/>
      <c r="G2424" s="6" t="n"/>
      <c r="H2424" s="6" t="n"/>
      <c r="I2424" s="12">
        <f>IF($B2424="","",IF(COUNTIF(Ventes_Factures!$A$6:$A$3005,$B2424)&gt;0,"OK","INCONNUE"))</f>
        <v/>
      </c>
      <c r="J2424" s="9">
        <f>IF($D2424="","",ROUND($D2424,2))</f>
        <v/>
      </c>
    </row>
    <row r="2425">
      <c r="A2425" s="6" t="n"/>
      <c r="B2425" s="6" t="n"/>
      <c r="C2425" s="7" t="n"/>
      <c r="D2425" s="8" t="n"/>
      <c r="E2425" s="6" t="n"/>
      <c r="F2425" s="6" t="n"/>
      <c r="G2425" s="6" t="n"/>
      <c r="H2425" s="6" t="n"/>
      <c r="I2425" s="12">
        <f>IF($B2425="","",IF(COUNTIF(Ventes_Factures!$A$6:$A$3005,$B2425)&gt;0,"OK","INCONNUE"))</f>
        <v/>
      </c>
      <c r="J2425" s="9">
        <f>IF($D2425="","",ROUND($D2425,2))</f>
        <v/>
      </c>
    </row>
    <row r="2426">
      <c r="A2426" s="6" t="n"/>
      <c r="B2426" s="6" t="n"/>
      <c r="C2426" s="7" t="n"/>
      <c r="D2426" s="8" t="n"/>
      <c r="E2426" s="6" t="n"/>
      <c r="F2426" s="6" t="n"/>
      <c r="G2426" s="6" t="n"/>
      <c r="H2426" s="6" t="n"/>
      <c r="I2426" s="12">
        <f>IF($B2426="","",IF(COUNTIF(Ventes_Factures!$A$6:$A$3005,$B2426)&gt;0,"OK","INCONNUE"))</f>
        <v/>
      </c>
      <c r="J2426" s="9">
        <f>IF($D2426="","",ROUND($D2426,2))</f>
        <v/>
      </c>
    </row>
    <row r="2427">
      <c r="A2427" s="6" t="n"/>
      <c r="B2427" s="6" t="n"/>
      <c r="C2427" s="7" t="n"/>
      <c r="D2427" s="8" t="n"/>
      <c r="E2427" s="6" t="n"/>
      <c r="F2427" s="6" t="n"/>
      <c r="G2427" s="6" t="n"/>
      <c r="H2427" s="6" t="n"/>
      <c r="I2427" s="12">
        <f>IF($B2427="","",IF(COUNTIF(Ventes_Factures!$A$6:$A$3005,$B2427)&gt;0,"OK","INCONNUE"))</f>
        <v/>
      </c>
      <c r="J2427" s="9">
        <f>IF($D2427="","",ROUND($D2427,2))</f>
        <v/>
      </c>
    </row>
    <row r="2428">
      <c r="A2428" s="6" t="n"/>
      <c r="B2428" s="6" t="n"/>
      <c r="C2428" s="7" t="n"/>
      <c r="D2428" s="8" t="n"/>
      <c r="E2428" s="6" t="n"/>
      <c r="F2428" s="6" t="n"/>
      <c r="G2428" s="6" t="n"/>
      <c r="H2428" s="6" t="n"/>
      <c r="I2428" s="12">
        <f>IF($B2428="","",IF(COUNTIF(Ventes_Factures!$A$6:$A$3005,$B2428)&gt;0,"OK","INCONNUE"))</f>
        <v/>
      </c>
      <c r="J2428" s="9">
        <f>IF($D2428="","",ROUND($D2428,2))</f>
        <v/>
      </c>
    </row>
    <row r="2429">
      <c r="A2429" s="6" t="n"/>
      <c r="B2429" s="6" t="n"/>
      <c r="C2429" s="7" t="n"/>
      <c r="D2429" s="8" t="n"/>
      <c r="E2429" s="6" t="n"/>
      <c r="F2429" s="6" t="n"/>
      <c r="G2429" s="6" t="n"/>
      <c r="H2429" s="6" t="n"/>
      <c r="I2429" s="12">
        <f>IF($B2429="","",IF(COUNTIF(Ventes_Factures!$A$6:$A$3005,$B2429)&gt;0,"OK","INCONNUE"))</f>
        <v/>
      </c>
      <c r="J2429" s="9">
        <f>IF($D2429="","",ROUND($D2429,2))</f>
        <v/>
      </c>
    </row>
    <row r="2430">
      <c r="A2430" s="6" t="n"/>
      <c r="B2430" s="6" t="n"/>
      <c r="C2430" s="7" t="n"/>
      <c r="D2430" s="8" t="n"/>
      <c r="E2430" s="6" t="n"/>
      <c r="F2430" s="6" t="n"/>
      <c r="G2430" s="6" t="n"/>
      <c r="H2430" s="6" t="n"/>
      <c r="I2430" s="12">
        <f>IF($B2430="","",IF(COUNTIF(Ventes_Factures!$A$6:$A$3005,$B2430)&gt;0,"OK","INCONNUE"))</f>
        <v/>
      </c>
      <c r="J2430" s="9">
        <f>IF($D2430="","",ROUND($D2430,2))</f>
        <v/>
      </c>
    </row>
    <row r="2431">
      <c r="A2431" s="6" t="n"/>
      <c r="B2431" s="6" t="n"/>
      <c r="C2431" s="7" t="n"/>
      <c r="D2431" s="8" t="n"/>
      <c r="E2431" s="6" t="n"/>
      <c r="F2431" s="6" t="n"/>
      <c r="G2431" s="6" t="n"/>
      <c r="H2431" s="6" t="n"/>
      <c r="I2431" s="12">
        <f>IF($B2431="","",IF(COUNTIF(Ventes_Factures!$A$6:$A$3005,$B2431)&gt;0,"OK","INCONNUE"))</f>
        <v/>
      </c>
      <c r="J2431" s="9">
        <f>IF($D2431="","",ROUND($D2431,2))</f>
        <v/>
      </c>
    </row>
    <row r="2432">
      <c r="A2432" s="6" t="n"/>
      <c r="B2432" s="6" t="n"/>
      <c r="C2432" s="7" t="n"/>
      <c r="D2432" s="8" t="n"/>
      <c r="E2432" s="6" t="n"/>
      <c r="F2432" s="6" t="n"/>
      <c r="G2432" s="6" t="n"/>
      <c r="H2432" s="6" t="n"/>
      <c r="I2432" s="12">
        <f>IF($B2432="","",IF(COUNTIF(Ventes_Factures!$A$6:$A$3005,$B2432)&gt;0,"OK","INCONNUE"))</f>
        <v/>
      </c>
      <c r="J2432" s="9">
        <f>IF($D2432="","",ROUND($D2432,2))</f>
        <v/>
      </c>
    </row>
    <row r="2433">
      <c r="A2433" s="6" t="n"/>
      <c r="B2433" s="6" t="n"/>
      <c r="C2433" s="7" t="n"/>
      <c r="D2433" s="8" t="n"/>
      <c r="E2433" s="6" t="n"/>
      <c r="F2433" s="6" t="n"/>
      <c r="G2433" s="6" t="n"/>
      <c r="H2433" s="6" t="n"/>
      <c r="I2433" s="12">
        <f>IF($B2433="","",IF(COUNTIF(Ventes_Factures!$A$6:$A$3005,$B2433)&gt;0,"OK","INCONNUE"))</f>
        <v/>
      </c>
      <c r="J2433" s="9">
        <f>IF($D2433="","",ROUND($D2433,2))</f>
        <v/>
      </c>
    </row>
    <row r="2434">
      <c r="A2434" s="6" t="n"/>
      <c r="B2434" s="6" t="n"/>
      <c r="C2434" s="7" t="n"/>
      <c r="D2434" s="8" t="n"/>
      <c r="E2434" s="6" t="n"/>
      <c r="F2434" s="6" t="n"/>
      <c r="G2434" s="6" t="n"/>
      <c r="H2434" s="6" t="n"/>
      <c r="I2434" s="12">
        <f>IF($B2434="","",IF(COUNTIF(Ventes_Factures!$A$6:$A$3005,$B2434)&gt;0,"OK","INCONNUE"))</f>
        <v/>
      </c>
      <c r="J2434" s="9">
        <f>IF($D2434="","",ROUND($D2434,2))</f>
        <v/>
      </c>
    </row>
    <row r="2435">
      <c r="A2435" s="6" t="n"/>
      <c r="B2435" s="6" t="n"/>
      <c r="C2435" s="7" t="n"/>
      <c r="D2435" s="8" t="n"/>
      <c r="E2435" s="6" t="n"/>
      <c r="F2435" s="6" t="n"/>
      <c r="G2435" s="6" t="n"/>
      <c r="H2435" s="6" t="n"/>
      <c r="I2435" s="12">
        <f>IF($B2435="","",IF(COUNTIF(Ventes_Factures!$A$6:$A$3005,$B2435)&gt;0,"OK","INCONNUE"))</f>
        <v/>
      </c>
      <c r="J2435" s="9">
        <f>IF($D2435="","",ROUND($D2435,2))</f>
        <v/>
      </c>
    </row>
    <row r="2436">
      <c r="A2436" s="6" t="n"/>
      <c r="B2436" s="6" t="n"/>
      <c r="C2436" s="7" t="n"/>
      <c r="D2436" s="8" t="n"/>
      <c r="E2436" s="6" t="n"/>
      <c r="F2436" s="6" t="n"/>
      <c r="G2436" s="6" t="n"/>
      <c r="H2436" s="6" t="n"/>
      <c r="I2436" s="12">
        <f>IF($B2436="","",IF(COUNTIF(Ventes_Factures!$A$6:$A$3005,$B2436)&gt;0,"OK","INCONNUE"))</f>
        <v/>
      </c>
      <c r="J2436" s="9">
        <f>IF($D2436="","",ROUND($D2436,2))</f>
        <v/>
      </c>
    </row>
    <row r="2437">
      <c r="A2437" s="6" t="n"/>
      <c r="B2437" s="6" t="n"/>
      <c r="C2437" s="7" t="n"/>
      <c r="D2437" s="8" t="n"/>
      <c r="E2437" s="6" t="n"/>
      <c r="F2437" s="6" t="n"/>
      <c r="G2437" s="6" t="n"/>
      <c r="H2437" s="6" t="n"/>
      <c r="I2437" s="12">
        <f>IF($B2437="","",IF(COUNTIF(Ventes_Factures!$A$6:$A$3005,$B2437)&gt;0,"OK","INCONNUE"))</f>
        <v/>
      </c>
      <c r="J2437" s="9">
        <f>IF($D2437="","",ROUND($D2437,2))</f>
        <v/>
      </c>
    </row>
    <row r="2438">
      <c r="A2438" s="6" t="n"/>
      <c r="B2438" s="6" t="n"/>
      <c r="C2438" s="7" t="n"/>
      <c r="D2438" s="8" t="n"/>
      <c r="E2438" s="6" t="n"/>
      <c r="F2438" s="6" t="n"/>
      <c r="G2438" s="6" t="n"/>
      <c r="H2438" s="6" t="n"/>
      <c r="I2438" s="12">
        <f>IF($B2438="","",IF(COUNTIF(Ventes_Factures!$A$6:$A$3005,$B2438)&gt;0,"OK","INCONNUE"))</f>
        <v/>
      </c>
      <c r="J2438" s="9">
        <f>IF($D2438="","",ROUND($D2438,2))</f>
        <v/>
      </c>
    </row>
    <row r="2439">
      <c r="A2439" s="6" t="n"/>
      <c r="B2439" s="6" t="n"/>
      <c r="C2439" s="7" t="n"/>
      <c r="D2439" s="8" t="n"/>
      <c r="E2439" s="6" t="n"/>
      <c r="F2439" s="6" t="n"/>
      <c r="G2439" s="6" t="n"/>
      <c r="H2439" s="6" t="n"/>
      <c r="I2439" s="12">
        <f>IF($B2439="","",IF(COUNTIF(Ventes_Factures!$A$6:$A$3005,$B2439)&gt;0,"OK","INCONNUE"))</f>
        <v/>
      </c>
      <c r="J2439" s="9">
        <f>IF($D2439="","",ROUND($D2439,2))</f>
        <v/>
      </c>
    </row>
    <row r="2440">
      <c r="A2440" s="6" t="n"/>
      <c r="B2440" s="6" t="n"/>
      <c r="C2440" s="7" t="n"/>
      <c r="D2440" s="8" t="n"/>
      <c r="E2440" s="6" t="n"/>
      <c r="F2440" s="6" t="n"/>
      <c r="G2440" s="6" t="n"/>
      <c r="H2440" s="6" t="n"/>
      <c r="I2440" s="12">
        <f>IF($B2440="","",IF(COUNTIF(Ventes_Factures!$A$6:$A$3005,$B2440)&gt;0,"OK","INCONNUE"))</f>
        <v/>
      </c>
      <c r="J2440" s="9">
        <f>IF($D2440="","",ROUND($D2440,2))</f>
        <v/>
      </c>
    </row>
    <row r="2441">
      <c r="A2441" s="6" t="n"/>
      <c r="B2441" s="6" t="n"/>
      <c r="C2441" s="7" t="n"/>
      <c r="D2441" s="8" t="n"/>
      <c r="E2441" s="6" t="n"/>
      <c r="F2441" s="6" t="n"/>
      <c r="G2441" s="6" t="n"/>
      <c r="H2441" s="6" t="n"/>
      <c r="I2441" s="12">
        <f>IF($B2441="","",IF(COUNTIF(Ventes_Factures!$A$6:$A$3005,$B2441)&gt;0,"OK","INCONNUE"))</f>
        <v/>
      </c>
      <c r="J2441" s="9">
        <f>IF($D2441="","",ROUND($D2441,2))</f>
        <v/>
      </c>
    </row>
    <row r="2442">
      <c r="A2442" s="6" t="n"/>
      <c r="B2442" s="6" t="n"/>
      <c r="C2442" s="7" t="n"/>
      <c r="D2442" s="8" t="n"/>
      <c r="E2442" s="6" t="n"/>
      <c r="F2442" s="6" t="n"/>
      <c r="G2442" s="6" t="n"/>
      <c r="H2442" s="6" t="n"/>
      <c r="I2442" s="12">
        <f>IF($B2442="","",IF(COUNTIF(Ventes_Factures!$A$6:$A$3005,$B2442)&gt;0,"OK","INCONNUE"))</f>
        <v/>
      </c>
      <c r="J2442" s="9">
        <f>IF($D2442="","",ROUND($D2442,2))</f>
        <v/>
      </c>
    </row>
    <row r="2443">
      <c r="A2443" s="6" t="n"/>
      <c r="B2443" s="6" t="n"/>
      <c r="C2443" s="7" t="n"/>
      <c r="D2443" s="8" t="n"/>
      <c r="E2443" s="6" t="n"/>
      <c r="F2443" s="6" t="n"/>
      <c r="G2443" s="6" t="n"/>
      <c r="H2443" s="6" t="n"/>
      <c r="I2443" s="12">
        <f>IF($B2443="","",IF(COUNTIF(Ventes_Factures!$A$6:$A$3005,$B2443)&gt;0,"OK","INCONNUE"))</f>
        <v/>
      </c>
      <c r="J2443" s="9">
        <f>IF($D2443="","",ROUND($D2443,2))</f>
        <v/>
      </c>
    </row>
    <row r="2444">
      <c r="A2444" s="6" t="n"/>
      <c r="B2444" s="6" t="n"/>
      <c r="C2444" s="7" t="n"/>
      <c r="D2444" s="8" t="n"/>
      <c r="E2444" s="6" t="n"/>
      <c r="F2444" s="6" t="n"/>
      <c r="G2444" s="6" t="n"/>
      <c r="H2444" s="6" t="n"/>
      <c r="I2444" s="12">
        <f>IF($B2444="","",IF(COUNTIF(Ventes_Factures!$A$6:$A$3005,$B2444)&gt;0,"OK","INCONNUE"))</f>
        <v/>
      </c>
      <c r="J2444" s="9">
        <f>IF($D2444="","",ROUND($D2444,2))</f>
        <v/>
      </c>
    </row>
    <row r="2445">
      <c r="A2445" s="6" t="n"/>
      <c r="B2445" s="6" t="n"/>
      <c r="C2445" s="7" t="n"/>
      <c r="D2445" s="8" t="n"/>
      <c r="E2445" s="6" t="n"/>
      <c r="F2445" s="6" t="n"/>
      <c r="G2445" s="6" t="n"/>
      <c r="H2445" s="6" t="n"/>
      <c r="I2445" s="12">
        <f>IF($B2445="","",IF(COUNTIF(Ventes_Factures!$A$6:$A$3005,$B2445)&gt;0,"OK","INCONNUE"))</f>
        <v/>
      </c>
      <c r="J2445" s="9">
        <f>IF($D2445="","",ROUND($D2445,2))</f>
        <v/>
      </c>
    </row>
    <row r="2446">
      <c r="A2446" s="6" t="n"/>
      <c r="B2446" s="6" t="n"/>
      <c r="C2446" s="7" t="n"/>
      <c r="D2446" s="8" t="n"/>
      <c r="E2446" s="6" t="n"/>
      <c r="F2446" s="6" t="n"/>
      <c r="G2446" s="6" t="n"/>
      <c r="H2446" s="6" t="n"/>
      <c r="I2446" s="12">
        <f>IF($B2446="","",IF(COUNTIF(Ventes_Factures!$A$6:$A$3005,$B2446)&gt;0,"OK","INCONNUE"))</f>
        <v/>
      </c>
      <c r="J2446" s="9">
        <f>IF($D2446="","",ROUND($D2446,2))</f>
        <v/>
      </c>
    </row>
    <row r="2447">
      <c r="A2447" s="6" t="n"/>
      <c r="B2447" s="6" t="n"/>
      <c r="C2447" s="7" t="n"/>
      <c r="D2447" s="8" t="n"/>
      <c r="E2447" s="6" t="n"/>
      <c r="F2447" s="6" t="n"/>
      <c r="G2447" s="6" t="n"/>
      <c r="H2447" s="6" t="n"/>
      <c r="I2447" s="12">
        <f>IF($B2447="","",IF(COUNTIF(Ventes_Factures!$A$6:$A$3005,$B2447)&gt;0,"OK","INCONNUE"))</f>
        <v/>
      </c>
      <c r="J2447" s="9">
        <f>IF($D2447="","",ROUND($D2447,2))</f>
        <v/>
      </c>
    </row>
    <row r="2448">
      <c r="A2448" s="6" t="n"/>
      <c r="B2448" s="6" t="n"/>
      <c r="C2448" s="7" t="n"/>
      <c r="D2448" s="8" t="n"/>
      <c r="E2448" s="6" t="n"/>
      <c r="F2448" s="6" t="n"/>
      <c r="G2448" s="6" t="n"/>
      <c r="H2448" s="6" t="n"/>
      <c r="I2448" s="12">
        <f>IF($B2448="","",IF(COUNTIF(Ventes_Factures!$A$6:$A$3005,$B2448)&gt;0,"OK","INCONNUE"))</f>
        <v/>
      </c>
      <c r="J2448" s="9">
        <f>IF($D2448="","",ROUND($D2448,2))</f>
        <v/>
      </c>
    </row>
    <row r="2449">
      <c r="A2449" s="6" t="n"/>
      <c r="B2449" s="6" t="n"/>
      <c r="C2449" s="7" t="n"/>
      <c r="D2449" s="8" t="n"/>
      <c r="E2449" s="6" t="n"/>
      <c r="F2449" s="6" t="n"/>
      <c r="G2449" s="6" t="n"/>
      <c r="H2449" s="6" t="n"/>
      <c r="I2449" s="12">
        <f>IF($B2449="","",IF(COUNTIF(Ventes_Factures!$A$6:$A$3005,$B2449)&gt;0,"OK","INCONNUE"))</f>
        <v/>
      </c>
      <c r="J2449" s="9">
        <f>IF($D2449="","",ROUND($D2449,2))</f>
        <v/>
      </c>
    </row>
    <row r="2450">
      <c r="A2450" s="6" t="n"/>
      <c r="B2450" s="6" t="n"/>
      <c r="C2450" s="7" t="n"/>
      <c r="D2450" s="8" t="n"/>
      <c r="E2450" s="6" t="n"/>
      <c r="F2450" s="6" t="n"/>
      <c r="G2450" s="6" t="n"/>
      <c r="H2450" s="6" t="n"/>
      <c r="I2450" s="12">
        <f>IF($B2450="","",IF(COUNTIF(Ventes_Factures!$A$6:$A$3005,$B2450)&gt;0,"OK","INCONNUE"))</f>
        <v/>
      </c>
      <c r="J2450" s="9">
        <f>IF($D2450="","",ROUND($D2450,2))</f>
        <v/>
      </c>
    </row>
    <row r="2451">
      <c r="A2451" s="6" t="n"/>
      <c r="B2451" s="6" t="n"/>
      <c r="C2451" s="7" t="n"/>
      <c r="D2451" s="8" t="n"/>
      <c r="E2451" s="6" t="n"/>
      <c r="F2451" s="6" t="n"/>
      <c r="G2451" s="6" t="n"/>
      <c r="H2451" s="6" t="n"/>
      <c r="I2451" s="12">
        <f>IF($B2451="","",IF(COUNTIF(Ventes_Factures!$A$6:$A$3005,$B2451)&gt;0,"OK","INCONNUE"))</f>
        <v/>
      </c>
      <c r="J2451" s="9">
        <f>IF($D2451="","",ROUND($D2451,2))</f>
        <v/>
      </c>
    </row>
    <row r="2452">
      <c r="A2452" s="6" t="n"/>
      <c r="B2452" s="6" t="n"/>
      <c r="C2452" s="7" t="n"/>
      <c r="D2452" s="8" t="n"/>
      <c r="E2452" s="6" t="n"/>
      <c r="F2452" s="6" t="n"/>
      <c r="G2452" s="6" t="n"/>
      <c r="H2452" s="6" t="n"/>
      <c r="I2452" s="12">
        <f>IF($B2452="","",IF(COUNTIF(Ventes_Factures!$A$6:$A$3005,$B2452)&gt;0,"OK","INCONNUE"))</f>
        <v/>
      </c>
      <c r="J2452" s="9">
        <f>IF($D2452="","",ROUND($D2452,2))</f>
        <v/>
      </c>
    </row>
    <row r="2453">
      <c r="A2453" s="6" t="n"/>
      <c r="B2453" s="6" t="n"/>
      <c r="C2453" s="7" t="n"/>
      <c r="D2453" s="8" t="n"/>
      <c r="E2453" s="6" t="n"/>
      <c r="F2453" s="6" t="n"/>
      <c r="G2453" s="6" t="n"/>
      <c r="H2453" s="6" t="n"/>
      <c r="I2453" s="12">
        <f>IF($B2453="","",IF(COUNTIF(Ventes_Factures!$A$6:$A$3005,$B2453)&gt;0,"OK","INCONNUE"))</f>
        <v/>
      </c>
      <c r="J2453" s="9">
        <f>IF($D2453="","",ROUND($D2453,2))</f>
        <v/>
      </c>
    </row>
    <row r="2454">
      <c r="A2454" s="6" t="n"/>
      <c r="B2454" s="6" t="n"/>
      <c r="C2454" s="7" t="n"/>
      <c r="D2454" s="8" t="n"/>
      <c r="E2454" s="6" t="n"/>
      <c r="F2454" s="6" t="n"/>
      <c r="G2454" s="6" t="n"/>
      <c r="H2454" s="6" t="n"/>
      <c r="I2454" s="12">
        <f>IF($B2454="","",IF(COUNTIF(Ventes_Factures!$A$6:$A$3005,$B2454)&gt;0,"OK","INCONNUE"))</f>
        <v/>
      </c>
      <c r="J2454" s="9">
        <f>IF($D2454="","",ROUND($D2454,2))</f>
        <v/>
      </c>
    </row>
    <row r="2455">
      <c r="A2455" s="6" t="n"/>
      <c r="B2455" s="6" t="n"/>
      <c r="C2455" s="7" t="n"/>
      <c r="D2455" s="8" t="n"/>
      <c r="E2455" s="6" t="n"/>
      <c r="F2455" s="6" t="n"/>
      <c r="G2455" s="6" t="n"/>
      <c r="H2455" s="6" t="n"/>
      <c r="I2455" s="12">
        <f>IF($B2455="","",IF(COUNTIF(Ventes_Factures!$A$6:$A$3005,$B2455)&gt;0,"OK","INCONNUE"))</f>
        <v/>
      </c>
      <c r="J2455" s="9">
        <f>IF($D2455="","",ROUND($D2455,2))</f>
        <v/>
      </c>
    </row>
    <row r="2456">
      <c r="A2456" s="6" t="n"/>
      <c r="B2456" s="6" t="n"/>
      <c r="C2456" s="7" t="n"/>
      <c r="D2456" s="8" t="n"/>
      <c r="E2456" s="6" t="n"/>
      <c r="F2456" s="6" t="n"/>
      <c r="G2456" s="6" t="n"/>
      <c r="H2456" s="6" t="n"/>
      <c r="I2456" s="12">
        <f>IF($B2456="","",IF(COUNTIF(Ventes_Factures!$A$6:$A$3005,$B2456)&gt;0,"OK","INCONNUE"))</f>
        <v/>
      </c>
      <c r="J2456" s="9">
        <f>IF($D2456="","",ROUND($D2456,2))</f>
        <v/>
      </c>
    </row>
    <row r="2457">
      <c r="A2457" s="6" t="n"/>
      <c r="B2457" s="6" t="n"/>
      <c r="C2457" s="7" t="n"/>
      <c r="D2457" s="8" t="n"/>
      <c r="E2457" s="6" t="n"/>
      <c r="F2457" s="6" t="n"/>
      <c r="G2457" s="6" t="n"/>
      <c r="H2457" s="6" t="n"/>
      <c r="I2457" s="12">
        <f>IF($B2457="","",IF(COUNTIF(Ventes_Factures!$A$6:$A$3005,$B2457)&gt;0,"OK","INCONNUE"))</f>
        <v/>
      </c>
      <c r="J2457" s="9">
        <f>IF($D2457="","",ROUND($D2457,2))</f>
        <v/>
      </c>
    </row>
    <row r="2458">
      <c r="A2458" s="6" t="n"/>
      <c r="B2458" s="6" t="n"/>
      <c r="C2458" s="7" t="n"/>
      <c r="D2458" s="8" t="n"/>
      <c r="E2458" s="6" t="n"/>
      <c r="F2458" s="6" t="n"/>
      <c r="G2458" s="6" t="n"/>
      <c r="H2458" s="6" t="n"/>
      <c r="I2458" s="12">
        <f>IF($B2458="","",IF(COUNTIF(Ventes_Factures!$A$6:$A$3005,$B2458)&gt;0,"OK","INCONNUE"))</f>
        <v/>
      </c>
      <c r="J2458" s="9">
        <f>IF($D2458="","",ROUND($D2458,2))</f>
        <v/>
      </c>
    </row>
    <row r="2459">
      <c r="A2459" s="6" t="n"/>
      <c r="B2459" s="6" t="n"/>
      <c r="C2459" s="7" t="n"/>
      <c r="D2459" s="8" t="n"/>
      <c r="E2459" s="6" t="n"/>
      <c r="F2459" s="6" t="n"/>
      <c r="G2459" s="6" t="n"/>
      <c r="H2459" s="6" t="n"/>
      <c r="I2459" s="12">
        <f>IF($B2459="","",IF(COUNTIF(Ventes_Factures!$A$6:$A$3005,$B2459)&gt;0,"OK","INCONNUE"))</f>
        <v/>
      </c>
      <c r="J2459" s="9">
        <f>IF($D2459="","",ROUND($D2459,2))</f>
        <v/>
      </c>
    </row>
    <row r="2460">
      <c r="A2460" s="6" t="n"/>
      <c r="B2460" s="6" t="n"/>
      <c r="C2460" s="7" t="n"/>
      <c r="D2460" s="8" t="n"/>
      <c r="E2460" s="6" t="n"/>
      <c r="F2460" s="6" t="n"/>
      <c r="G2460" s="6" t="n"/>
      <c r="H2460" s="6" t="n"/>
      <c r="I2460" s="12">
        <f>IF($B2460="","",IF(COUNTIF(Ventes_Factures!$A$6:$A$3005,$B2460)&gt;0,"OK","INCONNUE"))</f>
        <v/>
      </c>
      <c r="J2460" s="9">
        <f>IF($D2460="","",ROUND($D2460,2))</f>
        <v/>
      </c>
    </row>
    <row r="2461">
      <c r="A2461" s="6" t="n"/>
      <c r="B2461" s="6" t="n"/>
      <c r="C2461" s="7" t="n"/>
      <c r="D2461" s="8" t="n"/>
      <c r="E2461" s="6" t="n"/>
      <c r="F2461" s="6" t="n"/>
      <c r="G2461" s="6" t="n"/>
      <c r="H2461" s="6" t="n"/>
      <c r="I2461" s="12">
        <f>IF($B2461="","",IF(COUNTIF(Ventes_Factures!$A$6:$A$3005,$B2461)&gt;0,"OK","INCONNUE"))</f>
        <v/>
      </c>
      <c r="J2461" s="9">
        <f>IF($D2461="","",ROUND($D2461,2))</f>
        <v/>
      </c>
    </row>
    <row r="2462">
      <c r="A2462" s="6" t="n"/>
      <c r="B2462" s="6" t="n"/>
      <c r="C2462" s="7" t="n"/>
      <c r="D2462" s="8" t="n"/>
      <c r="E2462" s="6" t="n"/>
      <c r="F2462" s="6" t="n"/>
      <c r="G2462" s="6" t="n"/>
      <c r="H2462" s="6" t="n"/>
      <c r="I2462" s="12">
        <f>IF($B2462="","",IF(COUNTIF(Ventes_Factures!$A$6:$A$3005,$B2462)&gt;0,"OK","INCONNUE"))</f>
        <v/>
      </c>
      <c r="J2462" s="9">
        <f>IF($D2462="","",ROUND($D2462,2))</f>
        <v/>
      </c>
    </row>
    <row r="2463">
      <c r="A2463" s="6" t="n"/>
      <c r="B2463" s="6" t="n"/>
      <c r="C2463" s="7" t="n"/>
      <c r="D2463" s="8" t="n"/>
      <c r="E2463" s="6" t="n"/>
      <c r="F2463" s="6" t="n"/>
      <c r="G2463" s="6" t="n"/>
      <c r="H2463" s="6" t="n"/>
      <c r="I2463" s="12">
        <f>IF($B2463="","",IF(COUNTIF(Ventes_Factures!$A$6:$A$3005,$B2463)&gt;0,"OK","INCONNUE"))</f>
        <v/>
      </c>
      <c r="J2463" s="9">
        <f>IF($D2463="","",ROUND($D2463,2))</f>
        <v/>
      </c>
    </row>
    <row r="2464">
      <c r="A2464" s="6" t="n"/>
      <c r="B2464" s="6" t="n"/>
      <c r="C2464" s="7" t="n"/>
      <c r="D2464" s="8" t="n"/>
      <c r="E2464" s="6" t="n"/>
      <c r="F2464" s="6" t="n"/>
      <c r="G2464" s="6" t="n"/>
      <c r="H2464" s="6" t="n"/>
      <c r="I2464" s="12">
        <f>IF($B2464="","",IF(COUNTIF(Ventes_Factures!$A$6:$A$3005,$B2464)&gt;0,"OK","INCONNUE"))</f>
        <v/>
      </c>
      <c r="J2464" s="9">
        <f>IF($D2464="","",ROUND($D2464,2))</f>
        <v/>
      </c>
    </row>
    <row r="2465">
      <c r="A2465" s="6" t="n"/>
      <c r="B2465" s="6" t="n"/>
      <c r="C2465" s="7" t="n"/>
      <c r="D2465" s="8" t="n"/>
      <c r="E2465" s="6" t="n"/>
      <c r="F2465" s="6" t="n"/>
      <c r="G2465" s="6" t="n"/>
      <c r="H2465" s="6" t="n"/>
      <c r="I2465" s="12">
        <f>IF($B2465="","",IF(COUNTIF(Ventes_Factures!$A$6:$A$3005,$B2465)&gt;0,"OK","INCONNUE"))</f>
        <v/>
      </c>
      <c r="J2465" s="9">
        <f>IF($D2465="","",ROUND($D2465,2))</f>
        <v/>
      </c>
    </row>
    <row r="2466">
      <c r="A2466" s="6" t="n"/>
      <c r="B2466" s="6" t="n"/>
      <c r="C2466" s="7" t="n"/>
      <c r="D2466" s="8" t="n"/>
      <c r="E2466" s="6" t="n"/>
      <c r="F2466" s="6" t="n"/>
      <c r="G2466" s="6" t="n"/>
      <c r="H2466" s="6" t="n"/>
      <c r="I2466" s="12">
        <f>IF($B2466="","",IF(COUNTIF(Ventes_Factures!$A$6:$A$3005,$B2466)&gt;0,"OK","INCONNUE"))</f>
        <v/>
      </c>
      <c r="J2466" s="9">
        <f>IF($D2466="","",ROUND($D2466,2))</f>
        <v/>
      </c>
    </row>
    <row r="2467">
      <c r="A2467" s="6" t="n"/>
      <c r="B2467" s="6" t="n"/>
      <c r="C2467" s="7" t="n"/>
      <c r="D2467" s="8" t="n"/>
      <c r="E2467" s="6" t="n"/>
      <c r="F2467" s="6" t="n"/>
      <c r="G2467" s="6" t="n"/>
      <c r="H2467" s="6" t="n"/>
      <c r="I2467" s="12">
        <f>IF($B2467="","",IF(COUNTIF(Ventes_Factures!$A$6:$A$3005,$B2467)&gt;0,"OK","INCONNUE"))</f>
        <v/>
      </c>
      <c r="J2467" s="9">
        <f>IF($D2467="","",ROUND($D2467,2))</f>
        <v/>
      </c>
    </row>
    <row r="2468">
      <c r="A2468" s="6" t="n"/>
      <c r="B2468" s="6" t="n"/>
      <c r="C2468" s="7" t="n"/>
      <c r="D2468" s="8" t="n"/>
      <c r="E2468" s="6" t="n"/>
      <c r="F2468" s="6" t="n"/>
      <c r="G2468" s="6" t="n"/>
      <c r="H2468" s="6" t="n"/>
      <c r="I2468" s="12">
        <f>IF($B2468="","",IF(COUNTIF(Ventes_Factures!$A$6:$A$3005,$B2468)&gt;0,"OK","INCONNUE"))</f>
        <v/>
      </c>
      <c r="J2468" s="9">
        <f>IF($D2468="","",ROUND($D2468,2))</f>
        <v/>
      </c>
    </row>
    <row r="2469">
      <c r="A2469" s="6" t="n"/>
      <c r="B2469" s="6" t="n"/>
      <c r="C2469" s="7" t="n"/>
      <c r="D2469" s="8" t="n"/>
      <c r="E2469" s="6" t="n"/>
      <c r="F2469" s="6" t="n"/>
      <c r="G2469" s="6" t="n"/>
      <c r="H2469" s="6" t="n"/>
      <c r="I2469" s="12">
        <f>IF($B2469="","",IF(COUNTIF(Ventes_Factures!$A$6:$A$3005,$B2469)&gt;0,"OK","INCONNUE"))</f>
        <v/>
      </c>
      <c r="J2469" s="9">
        <f>IF($D2469="","",ROUND($D2469,2))</f>
        <v/>
      </c>
    </row>
    <row r="2470">
      <c r="A2470" s="6" t="n"/>
      <c r="B2470" s="6" t="n"/>
      <c r="C2470" s="7" t="n"/>
      <c r="D2470" s="8" t="n"/>
      <c r="E2470" s="6" t="n"/>
      <c r="F2470" s="6" t="n"/>
      <c r="G2470" s="6" t="n"/>
      <c r="H2470" s="6" t="n"/>
      <c r="I2470" s="12">
        <f>IF($B2470="","",IF(COUNTIF(Ventes_Factures!$A$6:$A$3005,$B2470)&gt;0,"OK","INCONNUE"))</f>
        <v/>
      </c>
      <c r="J2470" s="9">
        <f>IF($D2470="","",ROUND($D2470,2))</f>
        <v/>
      </c>
    </row>
    <row r="2471">
      <c r="A2471" s="6" t="n"/>
      <c r="B2471" s="6" t="n"/>
      <c r="C2471" s="7" t="n"/>
      <c r="D2471" s="8" t="n"/>
      <c r="E2471" s="6" t="n"/>
      <c r="F2471" s="6" t="n"/>
      <c r="G2471" s="6" t="n"/>
      <c r="H2471" s="6" t="n"/>
      <c r="I2471" s="12">
        <f>IF($B2471="","",IF(COUNTIF(Ventes_Factures!$A$6:$A$3005,$B2471)&gt;0,"OK","INCONNUE"))</f>
        <v/>
      </c>
      <c r="J2471" s="9">
        <f>IF($D2471="","",ROUND($D2471,2))</f>
        <v/>
      </c>
    </row>
    <row r="2472">
      <c r="A2472" s="6" t="n"/>
      <c r="B2472" s="6" t="n"/>
      <c r="C2472" s="7" t="n"/>
      <c r="D2472" s="8" t="n"/>
      <c r="E2472" s="6" t="n"/>
      <c r="F2472" s="6" t="n"/>
      <c r="G2472" s="6" t="n"/>
      <c r="H2472" s="6" t="n"/>
      <c r="I2472" s="12">
        <f>IF($B2472="","",IF(COUNTIF(Ventes_Factures!$A$6:$A$3005,$B2472)&gt;0,"OK","INCONNUE"))</f>
        <v/>
      </c>
      <c r="J2472" s="9">
        <f>IF($D2472="","",ROUND($D2472,2))</f>
        <v/>
      </c>
    </row>
    <row r="2473">
      <c r="A2473" s="6" t="n"/>
      <c r="B2473" s="6" t="n"/>
      <c r="C2473" s="7" t="n"/>
      <c r="D2473" s="8" t="n"/>
      <c r="E2473" s="6" t="n"/>
      <c r="F2473" s="6" t="n"/>
      <c r="G2473" s="6" t="n"/>
      <c r="H2473" s="6" t="n"/>
      <c r="I2473" s="12">
        <f>IF($B2473="","",IF(COUNTIF(Ventes_Factures!$A$6:$A$3005,$B2473)&gt;0,"OK","INCONNUE"))</f>
        <v/>
      </c>
      <c r="J2473" s="9">
        <f>IF($D2473="","",ROUND($D2473,2))</f>
        <v/>
      </c>
    </row>
    <row r="2474">
      <c r="A2474" s="6" t="n"/>
      <c r="B2474" s="6" t="n"/>
      <c r="C2474" s="7" t="n"/>
      <c r="D2474" s="8" t="n"/>
      <c r="E2474" s="6" t="n"/>
      <c r="F2474" s="6" t="n"/>
      <c r="G2474" s="6" t="n"/>
      <c r="H2474" s="6" t="n"/>
      <c r="I2474" s="12">
        <f>IF($B2474="","",IF(COUNTIF(Ventes_Factures!$A$6:$A$3005,$B2474)&gt;0,"OK","INCONNUE"))</f>
        <v/>
      </c>
      <c r="J2474" s="9">
        <f>IF($D2474="","",ROUND($D2474,2))</f>
        <v/>
      </c>
    </row>
    <row r="2475">
      <c r="A2475" s="6" t="n"/>
      <c r="B2475" s="6" t="n"/>
      <c r="C2475" s="7" t="n"/>
      <c r="D2475" s="8" t="n"/>
      <c r="E2475" s="6" t="n"/>
      <c r="F2475" s="6" t="n"/>
      <c r="G2475" s="6" t="n"/>
      <c r="H2475" s="6" t="n"/>
      <c r="I2475" s="12">
        <f>IF($B2475="","",IF(COUNTIF(Ventes_Factures!$A$6:$A$3005,$B2475)&gt;0,"OK","INCONNUE"))</f>
        <v/>
      </c>
      <c r="J2475" s="9">
        <f>IF($D2475="","",ROUND($D2475,2))</f>
        <v/>
      </c>
    </row>
    <row r="2476">
      <c r="A2476" s="6" t="n"/>
      <c r="B2476" s="6" t="n"/>
      <c r="C2476" s="7" t="n"/>
      <c r="D2476" s="8" t="n"/>
      <c r="E2476" s="6" t="n"/>
      <c r="F2476" s="6" t="n"/>
      <c r="G2476" s="6" t="n"/>
      <c r="H2476" s="6" t="n"/>
      <c r="I2476" s="12">
        <f>IF($B2476="","",IF(COUNTIF(Ventes_Factures!$A$6:$A$3005,$B2476)&gt;0,"OK","INCONNUE"))</f>
        <v/>
      </c>
      <c r="J2476" s="9">
        <f>IF($D2476="","",ROUND($D2476,2))</f>
        <v/>
      </c>
    </row>
    <row r="2477">
      <c r="A2477" s="6" t="n"/>
      <c r="B2477" s="6" t="n"/>
      <c r="C2477" s="7" t="n"/>
      <c r="D2477" s="8" t="n"/>
      <c r="E2477" s="6" t="n"/>
      <c r="F2477" s="6" t="n"/>
      <c r="G2477" s="6" t="n"/>
      <c r="H2477" s="6" t="n"/>
      <c r="I2477" s="12">
        <f>IF($B2477="","",IF(COUNTIF(Ventes_Factures!$A$6:$A$3005,$B2477)&gt;0,"OK","INCONNUE"))</f>
        <v/>
      </c>
      <c r="J2477" s="9">
        <f>IF($D2477="","",ROUND($D2477,2))</f>
        <v/>
      </c>
    </row>
    <row r="2478">
      <c r="A2478" s="6" t="n"/>
      <c r="B2478" s="6" t="n"/>
      <c r="C2478" s="7" t="n"/>
      <c r="D2478" s="8" t="n"/>
      <c r="E2478" s="6" t="n"/>
      <c r="F2478" s="6" t="n"/>
      <c r="G2478" s="6" t="n"/>
      <c r="H2478" s="6" t="n"/>
      <c r="I2478" s="12">
        <f>IF($B2478="","",IF(COUNTIF(Ventes_Factures!$A$6:$A$3005,$B2478)&gt;0,"OK","INCONNUE"))</f>
        <v/>
      </c>
      <c r="J2478" s="9">
        <f>IF($D2478="","",ROUND($D2478,2))</f>
        <v/>
      </c>
    </row>
    <row r="2479">
      <c r="A2479" s="6" t="n"/>
      <c r="B2479" s="6" t="n"/>
      <c r="C2479" s="7" t="n"/>
      <c r="D2479" s="8" t="n"/>
      <c r="E2479" s="6" t="n"/>
      <c r="F2479" s="6" t="n"/>
      <c r="G2479" s="6" t="n"/>
      <c r="H2479" s="6" t="n"/>
      <c r="I2479" s="12">
        <f>IF($B2479="","",IF(COUNTIF(Ventes_Factures!$A$6:$A$3005,$B2479)&gt;0,"OK","INCONNUE"))</f>
        <v/>
      </c>
      <c r="J2479" s="9">
        <f>IF($D2479="","",ROUND($D2479,2))</f>
        <v/>
      </c>
    </row>
    <row r="2480">
      <c r="A2480" s="6" t="n"/>
      <c r="B2480" s="6" t="n"/>
      <c r="C2480" s="7" t="n"/>
      <c r="D2480" s="8" t="n"/>
      <c r="E2480" s="6" t="n"/>
      <c r="F2480" s="6" t="n"/>
      <c r="G2480" s="6" t="n"/>
      <c r="H2480" s="6" t="n"/>
      <c r="I2480" s="12">
        <f>IF($B2480="","",IF(COUNTIF(Ventes_Factures!$A$6:$A$3005,$B2480)&gt;0,"OK","INCONNUE"))</f>
        <v/>
      </c>
      <c r="J2480" s="9">
        <f>IF($D2480="","",ROUND($D2480,2))</f>
        <v/>
      </c>
    </row>
    <row r="2481">
      <c r="A2481" s="6" t="n"/>
      <c r="B2481" s="6" t="n"/>
      <c r="C2481" s="7" t="n"/>
      <c r="D2481" s="8" t="n"/>
      <c r="E2481" s="6" t="n"/>
      <c r="F2481" s="6" t="n"/>
      <c r="G2481" s="6" t="n"/>
      <c r="H2481" s="6" t="n"/>
      <c r="I2481" s="12">
        <f>IF($B2481="","",IF(COUNTIF(Ventes_Factures!$A$6:$A$3005,$B2481)&gt;0,"OK","INCONNUE"))</f>
        <v/>
      </c>
      <c r="J2481" s="9">
        <f>IF($D2481="","",ROUND($D2481,2))</f>
        <v/>
      </c>
    </row>
    <row r="2482">
      <c r="A2482" s="6" t="n"/>
      <c r="B2482" s="6" t="n"/>
      <c r="C2482" s="7" t="n"/>
      <c r="D2482" s="8" t="n"/>
      <c r="E2482" s="6" t="n"/>
      <c r="F2482" s="6" t="n"/>
      <c r="G2482" s="6" t="n"/>
      <c r="H2482" s="6" t="n"/>
      <c r="I2482" s="12">
        <f>IF($B2482="","",IF(COUNTIF(Ventes_Factures!$A$6:$A$3005,$B2482)&gt;0,"OK","INCONNUE"))</f>
        <v/>
      </c>
      <c r="J2482" s="9">
        <f>IF($D2482="","",ROUND($D2482,2))</f>
        <v/>
      </c>
    </row>
    <row r="2483">
      <c r="A2483" s="6" t="n"/>
      <c r="B2483" s="6" t="n"/>
      <c r="C2483" s="7" t="n"/>
      <c r="D2483" s="8" t="n"/>
      <c r="E2483" s="6" t="n"/>
      <c r="F2483" s="6" t="n"/>
      <c r="G2483" s="6" t="n"/>
      <c r="H2483" s="6" t="n"/>
      <c r="I2483" s="12">
        <f>IF($B2483="","",IF(COUNTIF(Ventes_Factures!$A$6:$A$3005,$B2483)&gt;0,"OK","INCONNUE"))</f>
        <v/>
      </c>
      <c r="J2483" s="9">
        <f>IF($D2483="","",ROUND($D2483,2))</f>
        <v/>
      </c>
    </row>
    <row r="2484">
      <c r="A2484" s="6" t="n"/>
      <c r="B2484" s="6" t="n"/>
      <c r="C2484" s="7" t="n"/>
      <c r="D2484" s="8" t="n"/>
      <c r="E2484" s="6" t="n"/>
      <c r="F2484" s="6" t="n"/>
      <c r="G2484" s="6" t="n"/>
      <c r="H2484" s="6" t="n"/>
      <c r="I2484" s="12">
        <f>IF($B2484="","",IF(COUNTIF(Ventes_Factures!$A$6:$A$3005,$B2484)&gt;0,"OK","INCONNUE"))</f>
        <v/>
      </c>
      <c r="J2484" s="9">
        <f>IF($D2484="","",ROUND($D2484,2))</f>
        <v/>
      </c>
    </row>
    <row r="2485">
      <c r="A2485" s="6" t="n"/>
      <c r="B2485" s="6" t="n"/>
      <c r="C2485" s="7" t="n"/>
      <c r="D2485" s="8" t="n"/>
      <c r="E2485" s="6" t="n"/>
      <c r="F2485" s="6" t="n"/>
      <c r="G2485" s="6" t="n"/>
      <c r="H2485" s="6" t="n"/>
      <c r="I2485" s="12">
        <f>IF($B2485="","",IF(COUNTIF(Ventes_Factures!$A$6:$A$3005,$B2485)&gt;0,"OK","INCONNUE"))</f>
        <v/>
      </c>
      <c r="J2485" s="9">
        <f>IF($D2485="","",ROUND($D2485,2))</f>
        <v/>
      </c>
    </row>
    <row r="2486">
      <c r="A2486" s="6" t="n"/>
      <c r="B2486" s="6" t="n"/>
      <c r="C2486" s="7" t="n"/>
      <c r="D2486" s="8" t="n"/>
      <c r="E2486" s="6" t="n"/>
      <c r="F2486" s="6" t="n"/>
      <c r="G2486" s="6" t="n"/>
      <c r="H2486" s="6" t="n"/>
      <c r="I2486" s="12">
        <f>IF($B2486="","",IF(COUNTIF(Ventes_Factures!$A$6:$A$3005,$B2486)&gt;0,"OK","INCONNUE"))</f>
        <v/>
      </c>
      <c r="J2486" s="9">
        <f>IF($D2486="","",ROUND($D2486,2))</f>
        <v/>
      </c>
    </row>
    <row r="2487">
      <c r="A2487" s="6" t="n"/>
      <c r="B2487" s="6" t="n"/>
      <c r="C2487" s="7" t="n"/>
      <c r="D2487" s="8" t="n"/>
      <c r="E2487" s="6" t="n"/>
      <c r="F2487" s="6" t="n"/>
      <c r="G2487" s="6" t="n"/>
      <c r="H2487" s="6" t="n"/>
      <c r="I2487" s="12">
        <f>IF($B2487="","",IF(COUNTIF(Ventes_Factures!$A$6:$A$3005,$B2487)&gt;0,"OK","INCONNUE"))</f>
        <v/>
      </c>
      <c r="J2487" s="9">
        <f>IF($D2487="","",ROUND($D2487,2))</f>
        <v/>
      </c>
    </row>
    <row r="2488">
      <c r="A2488" s="6" t="n"/>
      <c r="B2488" s="6" t="n"/>
      <c r="C2488" s="7" t="n"/>
      <c r="D2488" s="8" t="n"/>
      <c r="E2488" s="6" t="n"/>
      <c r="F2488" s="6" t="n"/>
      <c r="G2488" s="6" t="n"/>
      <c r="H2488" s="6" t="n"/>
      <c r="I2488" s="12">
        <f>IF($B2488="","",IF(COUNTIF(Ventes_Factures!$A$6:$A$3005,$B2488)&gt;0,"OK","INCONNUE"))</f>
        <v/>
      </c>
      <c r="J2488" s="9">
        <f>IF($D2488="","",ROUND($D2488,2))</f>
        <v/>
      </c>
    </row>
    <row r="2489">
      <c r="A2489" s="6" t="n"/>
      <c r="B2489" s="6" t="n"/>
      <c r="C2489" s="7" t="n"/>
      <c r="D2489" s="8" t="n"/>
      <c r="E2489" s="6" t="n"/>
      <c r="F2489" s="6" t="n"/>
      <c r="G2489" s="6" t="n"/>
      <c r="H2489" s="6" t="n"/>
      <c r="I2489" s="12">
        <f>IF($B2489="","",IF(COUNTIF(Ventes_Factures!$A$6:$A$3005,$B2489)&gt;0,"OK","INCONNUE"))</f>
        <v/>
      </c>
      <c r="J2489" s="9">
        <f>IF($D2489="","",ROUND($D2489,2))</f>
        <v/>
      </c>
    </row>
    <row r="2490">
      <c r="A2490" s="6" t="n"/>
      <c r="B2490" s="6" t="n"/>
      <c r="C2490" s="7" t="n"/>
      <c r="D2490" s="8" t="n"/>
      <c r="E2490" s="6" t="n"/>
      <c r="F2490" s="6" t="n"/>
      <c r="G2490" s="6" t="n"/>
      <c r="H2490" s="6" t="n"/>
      <c r="I2490" s="12">
        <f>IF($B2490="","",IF(COUNTIF(Ventes_Factures!$A$6:$A$3005,$B2490)&gt;0,"OK","INCONNUE"))</f>
        <v/>
      </c>
      <c r="J2490" s="9">
        <f>IF($D2490="","",ROUND($D2490,2))</f>
        <v/>
      </c>
    </row>
    <row r="2491">
      <c r="A2491" s="6" t="n"/>
      <c r="B2491" s="6" t="n"/>
      <c r="C2491" s="7" t="n"/>
      <c r="D2491" s="8" t="n"/>
      <c r="E2491" s="6" t="n"/>
      <c r="F2491" s="6" t="n"/>
      <c r="G2491" s="6" t="n"/>
      <c r="H2491" s="6" t="n"/>
      <c r="I2491" s="12">
        <f>IF($B2491="","",IF(COUNTIF(Ventes_Factures!$A$6:$A$3005,$B2491)&gt;0,"OK","INCONNUE"))</f>
        <v/>
      </c>
      <c r="J2491" s="9">
        <f>IF($D2491="","",ROUND($D2491,2))</f>
        <v/>
      </c>
    </row>
    <row r="2492">
      <c r="A2492" s="6" t="n"/>
      <c r="B2492" s="6" t="n"/>
      <c r="C2492" s="7" t="n"/>
      <c r="D2492" s="8" t="n"/>
      <c r="E2492" s="6" t="n"/>
      <c r="F2492" s="6" t="n"/>
      <c r="G2492" s="6" t="n"/>
      <c r="H2492" s="6" t="n"/>
      <c r="I2492" s="12">
        <f>IF($B2492="","",IF(COUNTIF(Ventes_Factures!$A$6:$A$3005,$B2492)&gt;0,"OK","INCONNUE"))</f>
        <v/>
      </c>
      <c r="J2492" s="9">
        <f>IF($D2492="","",ROUND($D2492,2))</f>
        <v/>
      </c>
    </row>
    <row r="2493">
      <c r="A2493" s="6" t="n"/>
      <c r="B2493" s="6" t="n"/>
      <c r="C2493" s="7" t="n"/>
      <c r="D2493" s="8" t="n"/>
      <c r="E2493" s="6" t="n"/>
      <c r="F2493" s="6" t="n"/>
      <c r="G2493" s="6" t="n"/>
      <c r="H2493" s="6" t="n"/>
      <c r="I2493" s="12">
        <f>IF($B2493="","",IF(COUNTIF(Ventes_Factures!$A$6:$A$3005,$B2493)&gt;0,"OK","INCONNUE"))</f>
        <v/>
      </c>
      <c r="J2493" s="9">
        <f>IF($D2493="","",ROUND($D2493,2))</f>
        <v/>
      </c>
    </row>
    <row r="2494">
      <c r="A2494" s="6" t="n"/>
      <c r="B2494" s="6" t="n"/>
      <c r="C2494" s="7" t="n"/>
      <c r="D2494" s="8" t="n"/>
      <c r="E2494" s="6" t="n"/>
      <c r="F2494" s="6" t="n"/>
      <c r="G2494" s="6" t="n"/>
      <c r="H2494" s="6" t="n"/>
      <c r="I2494" s="12">
        <f>IF($B2494="","",IF(COUNTIF(Ventes_Factures!$A$6:$A$3005,$B2494)&gt;0,"OK","INCONNUE"))</f>
        <v/>
      </c>
      <c r="J2494" s="9">
        <f>IF($D2494="","",ROUND($D2494,2))</f>
        <v/>
      </c>
    </row>
    <row r="2495">
      <c r="A2495" s="6" t="n"/>
      <c r="B2495" s="6" t="n"/>
      <c r="C2495" s="7" t="n"/>
      <c r="D2495" s="8" t="n"/>
      <c r="E2495" s="6" t="n"/>
      <c r="F2495" s="6" t="n"/>
      <c r="G2495" s="6" t="n"/>
      <c r="H2495" s="6" t="n"/>
      <c r="I2495" s="12">
        <f>IF($B2495="","",IF(COUNTIF(Ventes_Factures!$A$6:$A$3005,$B2495)&gt;0,"OK","INCONNUE"))</f>
        <v/>
      </c>
      <c r="J2495" s="9">
        <f>IF($D2495="","",ROUND($D2495,2))</f>
        <v/>
      </c>
    </row>
    <row r="2496">
      <c r="A2496" s="6" t="n"/>
      <c r="B2496" s="6" t="n"/>
      <c r="C2496" s="7" t="n"/>
      <c r="D2496" s="8" t="n"/>
      <c r="E2496" s="6" t="n"/>
      <c r="F2496" s="6" t="n"/>
      <c r="G2496" s="6" t="n"/>
      <c r="H2496" s="6" t="n"/>
      <c r="I2496" s="12">
        <f>IF($B2496="","",IF(COUNTIF(Ventes_Factures!$A$6:$A$3005,$B2496)&gt;0,"OK","INCONNUE"))</f>
        <v/>
      </c>
      <c r="J2496" s="9">
        <f>IF($D2496="","",ROUND($D2496,2))</f>
        <v/>
      </c>
    </row>
    <row r="2497">
      <c r="A2497" s="6" t="n"/>
      <c r="B2497" s="6" t="n"/>
      <c r="C2497" s="7" t="n"/>
      <c r="D2497" s="8" t="n"/>
      <c r="E2497" s="6" t="n"/>
      <c r="F2497" s="6" t="n"/>
      <c r="G2497" s="6" t="n"/>
      <c r="H2497" s="6" t="n"/>
      <c r="I2497" s="12">
        <f>IF($B2497="","",IF(COUNTIF(Ventes_Factures!$A$6:$A$3005,$B2497)&gt;0,"OK","INCONNUE"))</f>
        <v/>
      </c>
      <c r="J2497" s="9">
        <f>IF($D2497="","",ROUND($D2497,2))</f>
        <v/>
      </c>
    </row>
    <row r="2498">
      <c r="A2498" s="6" t="n"/>
      <c r="B2498" s="6" t="n"/>
      <c r="C2498" s="7" t="n"/>
      <c r="D2498" s="8" t="n"/>
      <c r="E2498" s="6" t="n"/>
      <c r="F2498" s="6" t="n"/>
      <c r="G2498" s="6" t="n"/>
      <c r="H2498" s="6" t="n"/>
      <c r="I2498" s="12">
        <f>IF($B2498="","",IF(COUNTIF(Ventes_Factures!$A$6:$A$3005,$B2498)&gt;0,"OK","INCONNUE"))</f>
        <v/>
      </c>
      <c r="J2498" s="9">
        <f>IF($D2498="","",ROUND($D2498,2))</f>
        <v/>
      </c>
    </row>
    <row r="2499">
      <c r="A2499" s="6" t="n"/>
      <c r="B2499" s="6" t="n"/>
      <c r="C2499" s="7" t="n"/>
      <c r="D2499" s="8" t="n"/>
      <c r="E2499" s="6" t="n"/>
      <c r="F2499" s="6" t="n"/>
      <c r="G2499" s="6" t="n"/>
      <c r="H2499" s="6" t="n"/>
      <c r="I2499" s="12">
        <f>IF($B2499="","",IF(COUNTIF(Ventes_Factures!$A$6:$A$3005,$B2499)&gt;0,"OK","INCONNUE"))</f>
        <v/>
      </c>
      <c r="J2499" s="9">
        <f>IF($D2499="","",ROUND($D2499,2))</f>
        <v/>
      </c>
    </row>
    <row r="2500">
      <c r="A2500" s="6" t="n"/>
      <c r="B2500" s="6" t="n"/>
      <c r="C2500" s="7" t="n"/>
      <c r="D2500" s="8" t="n"/>
      <c r="E2500" s="6" t="n"/>
      <c r="F2500" s="6" t="n"/>
      <c r="G2500" s="6" t="n"/>
      <c r="H2500" s="6" t="n"/>
      <c r="I2500" s="12">
        <f>IF($B2500="","",IF(COUNTIF(Ventes_Factures!$A$6:$A$3005,$B2500)&gt;0,"OK","INCONNUE"))</f>
        <v/>
      </c>
      <c r="J2500" s="9">
        <f>IF($D2500="","",ROUND($D2500,2))</f>
        <v/>
      </c>
    </row>
    <row r="2501">
      <c r="A2501" s="6" t="n"/>
      <c r="B2501" s="6" t="n"/>
      <c r="C2501" s="7" t="n"/>
      <c r="D2501" s="8" t="n"/>
      <c r="E2501" s="6" t="n"/>
      <c r="F2501" s="6" t="n"/>
      <c r="G2501" s="6" t="n"/>
      <c r="H2501" s="6" t="n"/>
      <c r="I2501" s="12">
        <f>IF($B2501="","",IF(COUNTIF(Ventes_Factures!$A$6:$A$3005,$B2501)&gt;0,"OK","INCONNUE"))</f>
        <v/>
      </c>
      <c r="J2501" s="9">
        <f>IF($D2501="","",ROUND($D2501,2))</f>
        <v/>
      </c>
    </row>
    <row r="2502">
      <c r="A2502" s="6" t="n"/>
      <c r="B2502" s="6" t="n"/>
      <c r="C2502" s="7" t="n"/>
      <c r="D2502" s="8" t="n"/>
      <c r="E2502" s="6" t="n"/>
      <c r="F2502" s="6" t="n"/>
      <c r="G2502" s="6" t="n"/>
      <c r="H2502" s="6" t="n"/>
      <c r="I2502" s="12">
        <f>IF($B2502="","",IF(COUNTIF(Ventes_Factures!$A$6:$A$3005,$B2502)&gt;0,"OK","INCONNUE"))</f>
        <v/>
      </c>
      <c r="J2502" s="9">
        <f>IF($D2502="","",ROUND($D2502,2))</f>
        <v/>
      </c>
    </row>
    <row r="2503">
      <c r="A2503" s="6" t="n"/>
      <c r="B2503" s="6" t="n"/>
      <c r="C2503" s="7" t="n"/>
      <c r="D2503" s="8" t="n"/>
      <c r="E2503" s="6" t="n"/>
      <c r="F2503" s="6" t="n"/>
      <c r="G2503" s="6" t="n"/>
      <c r="H2503" s="6" t="n"/>
      <c r="I2503" s="12">
        <f>IF($B2503="","",IF(COUNTIF(Ventes_Factures!$A$6:$A$3005,$B2503)&gt;0,"OK","INCONNUE"))</f>
        <v/>
      </c>
      <c r="J2503" s="9">
        <f>IF($D2503="","",ROUND($D2503,2))</f>
        <v/>
      </c>
    </row>
    <row r="2504">
      <c r="A2504" s="6" t="n"/>
      <c r="B2504" s="6" t="n"/>
      <c r="C2504" s="7" t="n"/>
      <c r="D2504" s="8" t="n"/>
      <c r="E2504" s="6" t="n"/>
      <c r="F2504" s="6" t="n"/>
      <c r="G2504" s="6" t="n"/>
      <c r="H2504" s="6" t="n"/>
      <c r="I2504" s="12">
        <f>IF($B2504="","",IF(COUNTIF(Ventes_Factures!$A$6:$A$3005,$B2504)&gt;0,"OK","INCONNUE"))</f>
        <v/>
      </c>
      <c r="J2504" s="9">
        <f>IF($D2504="","",ROUND($D2504,2))</f>
        <v/>
      </c>
    </row>
    <row r="2505">
      <c r="A2505" s="6" t="n"/>
      <c r="B2505" s="6" t="n"/>
      <c r="C2505" s="7" t="n"/>
      <c r="D2505" s="8" t="n"/>
      <c r="E2505" s="6" t="n"/>
      <c r="F2505" s="6" t="n"/>
      <c r="G2505" s="6" t="n"/>
      <c r="H2505" s="6" t="n"/>
      <c r="I2505" s="12">
        <f>IF($B2505="","",IF(COUNTIF(Ventes_Factures!$A$6:$A$3005,$B2505)&gt;0,"OK","INCONNUE"))</f>
        <v/>
      </c>
      <c r="J2505" s="9">
        <f>IF($D2505="","",ROUND($D2505,2))</f>
        <v/>
      </c>
    </row>
    <row r="2506">
      <c r="A2506" s="6" t="n"/>
      <c r="B2506" s="6" t="n"/>
      <c r="C2506" s="7" t="n"/>
      <c r="D2506" s="8" t="n"/>
      <c r="E2506" s="6" t="n"/>
      <c r="F2506" s="6" t="n"/>
      <c r="G2506" s="6" t="n"/>
      <c r="H2506" s="6" t="n"/>
      <c r="I2506" s="12">
        <f>IF($B2506="","",IF(COUNTIF(Ventes_Factures!$A$6:$A$3005,$B2506)&gt;0,"OK","INCONNUE"))</f>
        <v/>
      </c>
      <c r="J2506" s="9">
        <f>IF($D2506="","",ROUND($D2506,2))</f>
        <v/>
      </c>
    </row>
    <row r="2507">
      <c r="A2507" s="6" t="n"/>
      <c r="B2507" s="6" t="n"/>
      <c r="C2507" s="7" t="n"/>
      <c r="D2507" s="8" t="n"/>
      <c r="E2507" s="6" t="n"/>
      <c r="F2507" s="6" t="n"/>
      <c r="G2507" s="6" t="n"/>
      <c r="H2507" s="6" t="n"/>
      <c r="I2507" s="12">
        <f>IF($B2507="","",IF(COUNTIF(Ventes_Factures!$A$6:$A$3005,$B2507)&gt;0,"OK","INCONNUE"))</f>
        <v/>
      </c>
      <c r="J2507" s="9">
        <f>IF($D2507="","",ROUND($D2507,2))</f>
        <v/>
      </c>
    </row>
    <row r="2508">
      <c r="A2508" s="6" t="n"/>
      <c r="B2508" s="6" t="n"/>
      <c r="C2508" s="7" t="n"/>
      <c r="D2508" s="8" t="n"/>
      <c r="E2508" s="6" t="n"/>
      <c r="F2508" s="6" t="n"/>
      <c r="G2508" s="6" t="n"/>
      <c r="H2508" s="6" t="n"/>
      <c r="I2508" s="12">
        <f>IF($B2508="","",IF(COUNTIF(Ventes_Factures!$A$6:$A$3005,$B2508)&gt;0,"OK","INCONNUE"))</f>
        <v/>
      </c>
      <c r="J2508" s="9">
        <f>IF($D2508="","",ROUND($D2508,2))</f>
        <v/>
      </c>
    </row>
    <row r="2509">
      <c r="A2509" s="6" t="n"/>
      <c r="B2509" s="6" t="n"/>
      <c r="C2509" s="7" t="n"/>
      <c r="D2509" s="8" t="n"/>
      <c r="E2509" s="6" t="n"/>
      <c r="F2509" s="6" t="n"/>
      <c r="G2509" s="6" t="n"/>
      <c r="H2509" s="6" t="n"/>
      <c r="I2509" s="12">
        <f>IF($B2509="","",IF(COUNTIF(Ventes_Factures!$A$6:$A$3005,$B2509)&gt;0,"OK","INCONNUE"))</f>
        <v/>
      </c>
      <c r="J2509" s="9">
        <f>IF($D2509="","",ROUND($D2509,2))</f>
        <v/>
      </c>
    </row>
    <row r="2510">
      <c r="A2510" s="6" t="n"/>
      <c r="B2510" s="6" t="n"/>
      <c r="C2510" s="7" t="n"/>
      <c r="D2510" s="8" t="n"/>
      <c r="E2510" s="6" t="n"/>
      <c r="F2510" s="6" t="n"/>
      <c r="G2510" s="6" t="n"/>
      <c r="H2510" s="6" t="n"/>
      <c r="I2510" s="12">
        <f>IF($B2510="","",IF(COUNTIF(Ventes_Factures!$A$6:$A$3005,$B2510)&gt;0,"OK","INCONNUE"))</f>
        <v/>
      </c>
      <c r="J2510" s="9">
        <f>IF($D2510="","",ROUND($D2510,2))</f>
        <v/>
      </c>
    </row>
    <row r="2511">
      <c r="A2511" s="6" t="n"/>
      <c r="B2511" s="6" t="n"/>
      <c r="C2511" s="7" t="n"/>
      <c r="D2511" s="8" t="n"/>
      <c r="E2511" s="6" t="n"/>
      <c r="F2511" s="6" t="n"/>
      <c r="G2511" s="6" t="n"/>
      <c r="H2511" s="6" t="n"/>
      <c r="I2511" s="12">
        <f>IF($B2511="","",IF(COUNTIF(Ventes_Factures!$A$6:$A$3005,$B2511)&gt;0,"OK","INCONNUE"))</f>
        <v/>
      </c>
      <c r="J2511" s="9">
        <f>IF($D2511="","",ROUND($D2511,2))</f>
        <v/>
      </c>
    </row>
    <row r="2512">
      <c r="A2512" s="6" t="n"/>
      <c r="B2512" s="6" t="n"/>
      <c r="C2512" s="7" t="n"/>
      <c r="D2512" s="8" t="n"/>
      <c r="E2512" s="6" t="n"/>
      <c r="F2512" s="6" t="n"/>
      <c r="G2512" s="6" t="n"/>
      <c r="H2512" s="6" t="n"/>
      <c r="I2512" s="12">
        <f>IF($B2512="","",IF(COUNTIF(Ventes_Factures!$A$6:$A$3005,$B2512)&gt;0,"OK","INCONNUE"))</f>
        <v/>
      </c>
      <c r="J2512" s="9">
        <f>IF($D2512="","",ROUND($D2512,2))</f>
        <v/>
      </c>
    </row>
    <row r="2513">
      <c r="A2513" s="6" t="n"/>
      <c r="B2513" s="6" t="n"/>
      <c r="C2513" s="7" t="n"/>
      <c r="D2513" s="8" t="n"/>
      <c r="E2513" s="6" t="n"/>
      <c r="F2513" s="6" t="n"/>
      <c r="G2513" s="6" t="n"/>
      <c r="H2513" s="6" t="n"/>
      <c r="I2513" s="12">
        <f>IF($B2513="","",IF(COUNTIF(Ventes_Factures!$A$6:$A$3005,$B2513)&gt;0,"OK","INCONNUE"))</f>
        <v/>
      </c>
      <c r="J2513" s="9">
        <f>IF($D2513="","",ROUND($D2513,2))</f>
        <v/>
      </c>
    </row>
    <row r="2514">
      <c r="A2514" s="6" t="n"/>
      <c r="B2514" s="6" t="n"/>
      <c r="C2514" s="7" t="n"/>
      <c r="D2514" s="8" t="n"/>
      <c r="E2514" s="6" t="n"/>
      <c r="F2514" s="6" t="n"/>
      <c r="G2514" s="6" t="n"/>
      <c r="H2514" s="6" t="n"/>
      <c r="I2514" s="12">
        <f>IF($B2514="","",IF(COUNTIF(Ventes_Factures!$A$6:$A$3005,$B2514)&gt;0,"OK","INCONNUE"))</f>
        <v/>
      </c>
      <c r="J2514" s="9">
        <f>IF($D2514="","",ROUND($D2514,2))</f>
        <v/>
      </c>
    </row>
    <row r="2515">
      <c r="A2515" s="6" t="n"/>
      <c r="B2515" s="6" t="n"/>
      <c r="C2515" s="7" t="n"/>
      <c r="D2515" s="8" t="n"/>
      <c r="E2515" s="6" t="n"/>
      <c r="F2515" s="6" t="n"/>
      <c r="G2515" s="6" t="n"/>
      <c r="H2515" s="6" t="n"/>
      <c r="I2515" s="12">
        <f>IF($B2515="","",IF(COUNTIF(Ventes_Factures!$A$6:$A$3005,$B2515)&gt;0,"OK","INCONNUE"))</f>
        <v/>
      </c>
      <c r="J2515" s="9">
        <f>IF($D2515="","",ROUND($D2515,2))</f>
        <v/>
      </c>
    </row>
    <row r="2516">
      <c r="A2516" s="6" t="n"/>
      <c r="B2516" s="6" t="n"/>
      <c r="C2516" s="7" t="n"/>
      <c r="D2516" s="8" t="n"/>
      <c r="E2516" s="6" t="n"/>
      <c r="F2516" s="6" t="n"/>
      <c r="G2516" s="6" t="n"/>
      <c r="H2516" s="6" t="n"/>
      <c r="I2516" s="12">
        <f>IF($B2516="","",IF(COUNTIF(Ventes_Factures!$A$6:$A$3005,$B2516)&gt;0,"OK","INCONNUE"))</f>
        <v/>
      </c>
      <c r="J2516" s="9">
        <f>IF($D2516="","",ROUND($D2516,2))</f>
        <v/>
      </c>
    </row>
    <row r="2517">
      <c r="A2517" s="6" t="n"/>
      <c r="B2517" s="6" t="n"/>
      <c r="C2517" s="7" t="n"/>
      <c r="D2517" s="8" t="n"/>
      <c r="E2517" s="6" t="n"/>
      <c r="F2517" s="6" t="n"/>
      <c r="G2517" s="6" t="n"/>
      <c r="H2517" s="6" t="n"/>
      <c r="I2517" s="12">
        <f>IF($B2517="","",IF(COUNTIF(Ventes_Factures!$A$6:$A$3005,$B2517)&gt;0,"OK","INCONNUE"))</f>
        <v/>
      </c>
      <c r="J2517" s="9">
        <f>IF($D2517="","",ROUND($D2517,2))</f>
        <v/>
      </c>
    </row>
    <row r="2518">
      <c r="A2518" s="6" t="n"/>
      <c r="B2518" s="6" t="n"/>
      <c r="C2518" s="7" t="n"/>
      <c r="D2518" s="8" t="n"/>
      <c r="E2518" s="6" t="n"/>
      <c r="F2518" s="6" t="n"/>
      <c r="G2518" s="6" t="n"/>
      <c r="H2518" s="6" t="n"/>
      <c r="I2518" s="12">
        <f>IF($B2518="","",IF(COUNTIF(Ventes_Factures!$A$6:$A$3005,$B2518)&gt;0,"OK","INCONNUE"))</f>
        <v/>
      </c>
      <c r="J2518" s="9">
        <f>IF($D2518="","",ROUND($D2518,2))</f>
        <v/>
      </c>
    </row>
    <row r="2519">
      <c r="A2519" s="6" t="n"/>
      <c r="B2519" s="6" t="n"/>
      <c r="C2519" s="7" t="n"/>
      <c r="D2519" s="8" t="n"/>
      <c r="E2519" s="6" t="n"/>
      <c r="F2519" s="6" t="n"/>
      <c r="G2519" s="6" t="n"/>
      <c r="H2519" s="6" t="n"/>
      <c r="I2519" s="12">
        <f>IF($B2519="","",IF(COUNTIF(Ventes_Factures!$A$6:$A$3005,$B2519)&gt;0,"OK","INCONNUE"))</f>
        <v/>
      </c>
      <c r="J2519" s="9">
        <f>IF($D2519="","",ROUND($D2519,2))</f>
        <v/>
      </c>
    </row>
    <row r="2520">
      <c r="A2520" s="6" t="n"/>
      <c r="B2520" s="6" t="n"/>
      <c r="C2520" s="7" t="n"/>
      <c r="D2520" s="8" t="n"/>
      <c r="E2520" s="6" t="n"/>
      <c r="F2520" s="6" t="n"/>
      <c r="G2520" s="6" t="n"/>
      <c r="H2520" s="6" t="n"/>
      <c r="I2520" s="12">
        <f>IF($B2520="","",IF(COUNTIF(Ventes_Factures!$A$6:$A$3005,$B2520)&gt;0,"OK","INCONNUE"))</f>
        <v/>
      </c>
      <c r="J2520" s="9">
        <f>IF($D2520="","",ROUND($D2520,2))</f>
        <v/>
      </c>
    </row>
    <row r="2521">
      <c r="A2521" s="6" t="n"/>
      <c r="B2521" s="6" t="n"/>
      <c r="C2521" s="7" t="n"/>
      <c r="D2521" s="8" t="n"/>
      <c r="E2521" s="6" t="n"/>
      <c r="F2521" s="6" t="n"/>
      <c r="G2521" s="6" t="n"/>
      <c r="H2521" s="6" t="n"/>
      <c r="I2521" s="12">
        <f>IF($B2521="","",IF(COUNTIF(Ventes_Factures!$A$6:$A$3005,$B2521)&gt;0,"OK","INCONNUE"))</f>
        <v/>
      </c>
      <c r="J2521" s="9">
        <f>IF($D2521="","",ROUND($D2521,2))</f>
        <v/>
      </c>
    </row>
    <row r="2522">
      <c r="A2522" s="6" t="n"/>
      <c r="B2522" s="6" t="n"/>
      <c r="C2522" s="7" t="n"/>
      <c r="D2522" s="8" t="n"/>
      <c r="E2522" s="6" t="n"/>
      <c r="F2522" s="6" t="n"/>
      <c r="G2522" s="6" t="n"/>
      <c r="H2522" s="6" t="n"/>
      <c r="I2522" s="12">
        <f>IF($B2522="","",IF(COUNTIF(Ventes_Factures!$A$6:$A$3005,$B2522)&gt;0,"OK","INCONNUE"))</f>
        <v/>
      </c>
      <c r="J2522" s="9">
        <f>IF($D2522="","",ROUND($D2522,2))</f>
        <v/>
      </c>
    </row>
    <row r="2523">
      <c r="A2523" s="6" t="n"/>
      <c r="B2523" s="6" t="n"/>
      <c r="C2523" s="7" t="n"/>
      <c r="D2523" s="8" t="n"/>
      <c r="E2523" s="6" t="n"/>
      <c r="F2523" s="6" t="n"/>
      <c r="G2523" s="6" t="n"/>
      <c r="H2523" s="6" t="n"/>
      <c r="I2523" s="12">
        <f>IF($B2523="","",IF(COUNTIF(Ventes_Factures!$A$6:$A$3005,$B2523)&gt;0,"OK","INCONNUE"))</f>
        <v/>
      </c>
      <c r="J2523" s="9">
        <f>IF($D2523="","",ROUND($D2523,2))</f>
        <v/>
      </c>
    </row>
    <row r="2524">
      <c r="A2524" s="6" t="n"/>
      <c r="B2524" s="6" t="n"/>
      <c r="C2524" s="7" t="n"/>
      <c r="D2524" s="8" t="n"/>
      <c r="E2524" s="6" t="n"/>
      <c r="F2524" s="6" t="n"/>
      <c r="G2524" s="6" t="n"/>
      <c r="H2524" s="6" t="n"/>
      <c r="I2524" s="12">
        <f>IF($B2524="","",IF(COUNTIF(Ventes_Factures!$A$6:$A$3005,$B2524)&gt;0,"OK","INCONNUE"))</f>
        <v/>
      </c>
      <c r="J2524" s="9">
        <f>IF($D2524="","",ROUND($D2524,2))</f>
        <v/>
      </c>
    </row>
    <row r="2525">
      <c r="A2525" s="6" t="n"/>
      <c r="B2525" s="6" t="n"/>
      <c r="C2525" s="7" t="n"/>
      <c r="D2525" s="8" t="n"/>
      <c r="E2525" s="6" t="n"/>
      <c r="F2525" s="6" t="n"/>
      <c r="G2525" s="6" t="n"/>
      <c r="H2525" s="6" t="n"/>
      <c r="I2525" s="12">
        <f>IF($B2525="","",IF(COUNTIF(Ventes_Factures!$A$6:$A$3005,$B2525)&gt;0,"OK","INCONNUE"))</f>
        <v/>
      </c>
      <c r="J2525" s="9">
        <f>IF($D2525="","",ROUND($D2525,2))</f>
        <v/>
      </c>
    </row>
    <row r="2526">
      <c r="A2526" s="6" t="n"/>
      <c r="B2526" s="6" t="n"/>
      <c r="C2526" s="7" t="n"/>
      <c r="D2526" s="8" t="n"/>
      <c r="E2526" s="6" t="n"/>
      <c r="F2526" s="6" t="n"/>
      <c r="G2526" s="6" t="n"/>
      <c r="H2526" s="6" t="n"/>
      <c r="I2526" s="12">
        <f>IF($B2526="","",IF(COUNTIF(Ventes_Factures!$A$6:$A$3005,$B2526)&gt;0,"OK","INCONNUE"))</f>
        <v/>
      </c>
      <c r="J2526" s="9">
        <f>IF($D2526="","",ROUND($D2526,2))</f>
        <v/>
      </c>
    </row>
    <row r="2527">
      <c r="A2527" s="6" t="n"/>
      <c r="B2527" s="6" t="n"/>
      <c r="C2527" s="7" t="n"/>
      <c r="D2527" s="8" t="n"/>
      <c r="E2527" s="6" t="n"/>
      <c r="F2527" s="6" t="n"/>
      <c r="G2527" s="6" t="n"/>
      <c r="H2527" s="6" t="n"/>
      <c r="I2527" s="12">
        <f>IF($B2527="","",IF(COUNTIF(Ventes_Factures!$A$6:$A$3005,$B2527)&gt;0,"OK","INCONNUE"))</f>
        <v/>
      </c>
      <c r="J2527" s="9">
        <f>IF($D2527="","",ROUND($D2527,2))</f>
        <v/>
      </c>
    </row>
    <row r="2528">
      <c r="A2528" s="6" t="n"/>
      <c r="B2528" s="6" t="n"/>
      <c r="C2528" s="7" t="n"/>
      <c r="D2528" s="8" t="n"/>
      <c r="E2528" s="6" t="n"/>
      <c r="F2528" s="6" t="n"/>
      <c r="G2528" s="6" t="n"/>
      <c r="H2528" s="6" t="n"/>
      <c r="I2528" s="12">
        <f>IF($B2528="","",IF(COUNTIF(Ventes_Factures!$A$6:$A$3005,$B2528)&gt;0,"OK","INCONNUE"))</f>
        <v/>
      </c>
      <c r="J2528" s="9">
        <f>IF($D2528="","",ROUND($D2528,2))</f>
        <v/>
      </c>
    </row>
    <row r="2529">
      <c r="A2529" s="6" t="n"/>
      <c r="B2529" s="6" t="n"/>
      <c r="C2529" s="7" t="n"/>
      <c r="D2529" s="8" t="n"/>
      <c r="E2529" s="6" t="n"/>
      <c r="F2529" s="6" t="n"/>
      <c r="G2529" s="6" t="n"/>
      <c r="H2529" s="6" t="n"/>
      <c r="I2529" s="12">
        <f>IF($B2529="","",IF(COUNTIF(Ventes_Factures!$A$6:$A$3005,$B2529)&gt;0,"OK","INCONNUE"))</f>
        <v/>
      </c>
      <c r="J2529" s="9">
        <f>IF($D2529="","",ROUND($D2529,2))</f>
        <v/>
      </c>
    </row>
    <row r="2530">
      <c r="A2530" s="6" t="n"/>
      <c r="B2530" s="6" t="n"/>
      <c r="C2530" s="7" t="n"/>
      <c r="D2530" s="8" t="n"/>
      <c r="E2530" s="6" t="n"/>
      <c r="F2530" s="6" t="n"/>
      <c r="G2530" s="6" t="n"/>
      <c r="H2530" s="6" t="n"/>
      <c r="I2530" s="12">
        <f>IF($B2530="","",IF(COUNTIF(Ventes_Factures!$A$6:$A$3005,$B2530)&gt;0,"OK","INCONNUE"))</f>
        <v/>
      </c>
      <c r="J2530" s="9">
        <f>IF($D2530="","",ROUND($D2530,2))</f>
        <v/>
      </c>
    </row>
    <row r="2531">
      <c r="A2531" s="6" t="n"/>
      <c r="B2531" s="6" t="n"/>
      <c r="C2531" s="7" t="n"/>
      <c r="D2531" s="8" t="n"/>
      <c r="E2531" s="6" t="n"/>
      <c r="F2531" s="6" t="n"/>
      <c r="G2531" s="6" t="n"/>
      <c r="H2531" s="6" t="n"/>
      <c r="I2531" s="12">
        <f>IF($B2531="","",IF(COUNTIF(Ventes_Factures!$A$6:$A$3005,$B2531)&gt;0,"OK","INCONNUE"))</f>
        <v/>
      </c>
      <c r="J2531" s="9">
        <f>IF($D2531="","",ROUND($D2531,2))</f>
        <v/>
      </c>
    </row>
    <row r="2532">
      <c r="A2532" s="6" t="n"/>
      <c r="B2532" s="6" t="n"/>
      <c r="C2532" s="7" t="n"/>
      <c r="D2532" s="8" t="n"/>
      <c r="E2532" s="6" t="n"/>
      <c r="F2532" s="6" t="n"/>
      <c r="G2532" s="6" t="n"/>
      <c r="H2532" s="6" t="n"/>
      <c r="I2532" s="12">
        <f>IF($B2532="","",IF(COUNTIF(Ventes_Factures!$A$6:$A$3005,$B2532)&gt;0,"OK","INCONNUE"))</f>
        <v/>
      </c>
      <c r="J2532" s="9">
        <f>IF($D2532="","",ROUND($D2532,2))</f>
        <v/>
      </c>
    </row>
    <row r="2533">
      <c r="A2533" s="6" t="n"/>
      <c r="B2533" s="6" t="n"/>
      <c r="C2533" s="7" t="n"/>
      <c r="D2533" s="8" t="n"/>
      <c r="E2533" s="6" t="n"/>
      <c r="F2533" s="6" t="n"/>
      <c r="G2533" s="6" t="n"/>
      <c r="H2533" s="6" t="n"/>
      <c r="I2533" s="12">
        <f>IF($B2533="","",IF(COUNTIF(Ventes_Factures!$A$6:$A$3005,$B2533)&gt;0,"OK","INCONNUE"))</f>
        <v/>
      </c>
      <c r="J2533" s="9">
        <f>IF($D2533="","",ROUND($D2533,2))</f>
        <v/>
      </c>
    </row>
    <row r="2534">
      <c r="A2534" s="6" t="n"/>
      <c r="B2534" s="6" t="n"/>
      <c r="C2534" s="7" t="n"/>
      <c r="D2534" s="8" t="n"/>
      <c r="E2534" s="6" t="n"/>
      <c r="F2534" s="6" t="n"/>
      <c r="G2534" s="6" t="n"/>
      <c r="H2534" s="6" t="n"/>
      <c r="I2534" s="12">
        <f>IF($B2534="","",IF(COUNTIF(Ventes_Factures!$A$6:$A$3005,$B2534)&gt;0,"OK","INCONNUE"))</f>
        <v/>
      </c>
      <c r="J2534" s="9">
        <f>IF($D2534="","",ROUND($D2534,2))</f>
        <v/>
      </c>
    </row>
    <row r="2535">
      <c r="A2535" s="6" t="n"/>
      <c r="B2535" s="6" t="n"/>
      <c r="C2535" s="7" t="n"/>
      <c r="D2535" s="8" t="n"/>
      <c r="E2535" s="6" t="n"/>
      <c r="F2535" s="6" t="n"/>
      <c r="G2535" s="6" t="n"/>
      <c r="H2535" s="6" t="n"/>
      <c r="I2535" s="12">
        <f>IF($B2535="","",IF(COUNTIF(Ventes_Factures!$A$6:$A$3005,$B2535)&gt;0,"OK","INCONNUE"))</f>
        <v/>
      </c>
      <c r="J2535" s="9">
        <f>IF($D2535="","",ROUND($D2535,2))</f>
        <v/>
      </c>
    </row>
    <row r="2536">
      <c r="A2536" s="6" t="n"/>
      <c r="B2536" s="6" t="n"/>
      <c r="C2536" s="7" t="n"/>
      <c r="D2536" s="8" t="n"/>
      <c r="E2536" s="6" t="n"/>
      <c r="F2536" s="6" t="n"/>
      <c r="G2536" s="6" t="n"/>
      <c r="H2536" s="6" t="n"/>
      <c r="I2536" s="12">
        <f>IF($B2536="","",IF(COUNTIF(Ventes_Factures!$A$6:$A$3005,$B2536)&gt;0,"OK","INCONNUE"))</f>
        <v/>
      </c>
      <c r="J2536" s="9">
        <f>IF($D2536="","",ROUND($D2536,2))</f>
        <v/>
      </c>
    </row>
    <row r="2537">
      <c r="A2537" s="6" t="n"/>
      <c r="B2537" s="6" t="n"/>
      <c r="C2537" s="7" t="n"/>
      <c r="D2537" s="8" t="n"/>
      <c r="E2537" s="6" t="n"/>
      <c r="F2537" s="6" t="n"/>
      <c r="G2537" s="6" t="n"/>
      <c r="H2537" s="6" t="n"/>
      <c r="I2537" s="12">
        <f>IF($B2537="","",IF(COUNTIF(Ventes_Factures!$A$6:$A$3005,$B2537)&gt;0,"OK","INCONNUE"))</f>
        <v/>
      </c>
      <c r="J2537" s="9">
        <f>IF($D2537="","",ROUND($D2537,2))</f>
        <v/>
      </c>
    </row>
    <row r="2538">
      <c r="A2538" s="6" t="n"/>
      <c r="B2538" s="6" t="n"/>
      <c r="C2538" s="7" t="n"/>
      <c r="D2538" s="8" t="n"/>
      <c r="E2538" s="6" t="n"/>
      <c r="F2538" s="6" t="n"/>
      <c r="G2538" s="6" t="n"/>
      <c r="H2538" s="6" t="n"/>
      <c r="I2538" s="12">
        <f>IF($B2538="","",IF(COUNTIF(Ventes_Factures!$A$6:$A$3005,$B2538)&gt;0,"OK","INCONNUE"))</f>
        <v/>
      </c>
      <c r="J2538" s="9">
        <f>IF($D2538="","",ROUND($D2538,2))</f>
        <v/>
      </c>
    </row>
    <row r="2539">
      <c r="A2539" s="6" t="n"/>
      <c r="B2539" s="6" t="n"/>
      <c r="C2539" s="7" t="n"/>
      <c r="D2539" s="8" t="n"/>
      <c r="E2539" s="6" t="n"/>
      <c r="F2539" s="6" t="n"/>
      <c r="G2539" s="6" t="n"/>
      <c r="H2539" s="6" t="n"/>
      <c r="I2539" s="12">
        <f>IF($B2539="","",IF(COUNTIF(Ventes_Factures!$A$6:$A$3005,$B2539)&gt;0,"OK","INCONNUE"))</f>
        <v/>
      </c>
      <c r="J2539" s="9">
        <f>IF($D2539="","",ROUND($D2539,2))</f>
        <v/>
      </c>
    </row>
    <row r="2540">
      <c r="A2540" s="6" t="n"/>
      <c r="B2540" s="6" t="n"/>
      <c r="C2540" s="7" t="n"/>
      <c r="D2540" s="8" t="n"/>
      <c r="E2540" s="6" t="n"/>
      <c r="F2540" s="6" t="n"/>
      <c r="G2540" s="6" t="n"/>
      <c r="H2540" s="6" t="n"/>
      <c r="I2540" s="12">
        <f>IF($B2540="","",IF(COUNTIF(Ventes_Factures!$A$6:$A$3005,$B2540)&gt;0,"OK","INCONNUE"))</f>
        <v/>
      </c>
      <c r="J2540" s="9">
        <f>IF($D2540="","",ROUND($D2540,2))</f>
        <v/>
      </c>
    </row>
    <row r="2541">
      <c r="A2541" s="6" t="n"/>
      <c r="B2541" s="6" t="n"/>
      <c r="C2541" s="7" t="n"/>
      <c r="D2541" s="8" t="n"/>
      <c r="E2541" s="6" t="n"/>
      <c r="F2541" s="6" t="n"/>
      <c r="G2541" s="6" t="n"/>
      <c r="H2541" s="6" t="n"/>
      <c r="I2541" s="12">
        <f>IF($B2541="","",IF(COUNTIF(Ventes_Factures!$A$6:$A$3005,$B2541)&gt;0,"OK","INCONNUE"))</f>
        <v/>
      </c>
      <c r="J2541" s="9">
        <f>IF($D2541="","",ROUND($D2541,2))</f>
        <v/>
      </c>
    </row>
    <row r="2542">
      <c r="A2542" s="6" t="n"/>
      <c r="B2542" s="6" t="n"/>
      <c r="C2542" s="7" t="n"/>
      <c r="D2542" s="8" t="n"/>
      <c r="E2542" s="6" t="n"/>
      <c r="F2542" s="6" t="n"/>
      <c r="G2542" s="6" t="n"/>
      <c r="H2542" s="6" t="n"/>
      <c r="I2542" s="12">
        <f>IF($B2542="","",IF(COUNTIF(Ventes_Factures!$A$6:$A$3005,$B2542)&gt;0,"OK","INCONNUE"))</f>
        <v/>
      </c>
      <c r="J2542" s="9">
        <f>IF($D2542="","",ROUND($D2542,2))</f>
        <v/>
      </c>
    </row>
    <row r="2543">
      <c r="A2543" s="6" t="n"/>
      <c r="B2543" s="6" t="n"/>
      <c r="C2543" s="7" t="n"/>
      <c r="D2543" s="8" t="n"/>
      <c r="E2543" s="6" t="n"/>
      <c r="F2543" s="6" t="n"/>
      <c r="G2543" s="6" t="n"/>
      <c r="H2543" s="6" t="n"/>
      <c r="I2543" s="12">
        <f>IF($B2543="","",IF(COUNTIF(Ventes_Factures!$A$6:$A$3005,$B2543)&gt;0,"OK","INCONNUE"))</f>
        <v/>
      </c>
      <c r="J2543" s="9">
        <f>IF($D2543="","",ROUND($D2543,2))</f>
        <v/>
      </c>
    </row>
    <row r="2544">
      <c r="A2544" s="6" t="n"/>
      <c r="B2544" s="6" t="n"/>
      <c r="C2544" s="7" t="n"/>
      <c r="D2544" s="8" t="n"/>
      <c r="E2544" s="6" t="n"/>
      <c r="F2544" s="6" t="n"/>
      <c r="G2544" s="6" t="n"/>
      <c r="H2544" s="6" t="n"/>
      <c r="I2544" s="12">
        <f>IF($B2544="","",IF(COUNTIF(Ventes_Factures!$A$6:$A$3005,$B2544)&gt;0,"OK","INCONNUE"))</f>
        <v/>
      </c>
      <c r="J2544" s="9">
        <f>IF($D2544="","",ROUND($D2544,2))</f>
        <v/>
      </c>
    </row>
    <row r="2545">
      <c r="A2545" s="6" t="n"/>
      <c r="B2545" s="6" t="n"/>
      <c r="C2545" s="7" t="n"/>
      <c r="D2545" s="8" t="n"/>
      <c r="E2545" s="6" t="n"/>
      <c r="F2545" s="6" t="n"/>
      <c r="G2545" s="6" t="n"/>
      <c r="H2545" s="6" t="n"/>
      <c r="I2545" s="12">
        <f>IF($B2545="","",IF(COUNTIF(Ventes_Factures!$A$6:$A$3005,$B2545)&gt;0,"OK","INCONNUE"))</f>
        <v/>
      </c>
      <c r="J2545" s="9">
        <f>IF($D2545="","",ROUND($D2545,2))</f>
        <v/>
      </c>
    </row>
    <row r="2546">
      <c r="A2546" s="6" t="n"/>
      <c r="B2546" s="6" t="n"/>
      <c r="C2546" s="7" t="n"/>
      <c r="D2546" s="8" t="n"/>
      <c r="E2546" s="6" t="n"/>
      <c r="F2546" s="6" t="n"/>
      <c r="G2546" s="6" t="n"/>
      <c r="H2546" s="6" t="n"/>
      <c r="I2546" s="12">
        <f>IF($B2546="","",IF(COUNTIF(Ventes_Factures!$A$6:$A$3005,$B2546)&gt;0,"OK","INCONNUE"))</f>
        <v/>
      </c>
      <c r="J2546" s="9">
        <f>IF($D2546="","",ROUND($D2546,2))</f>
        <v/>
      </c>
    </row>
    <row r="2547">
      <c r="A2547" s="6" t="n"/>
      <c r="B2547" s="6" t="n"/>
      <c r="C2547" s="7" t="n"/>
      <c r="D2547" s="8" t="n"/>
      <c r="E2547" s="6" t="n"/>
      <c r="F2547" s="6" t="n"/>
      <c r="G2547" s="6" t="n"/>
      <c r="H2547" s="6" t="n"/>
      <c r="I2547" s="12">
        <f>IF($B2547="","",IF(COUNTIF(Ventes_Factures!$A$6:$A$3005,$B2547)&gt;0,"OK","INCONNUE"))</f>
        <v/>
      </c>
      <c r="J2547" s="9">
        <f>IF($D2547="","",ROUND($D2547,2))</f>
        <v/>
      </c>
    </row>
    <row r="2548">
      <c r="A2548" s="6" t="n"/>
      <c r="B2548" s="6" t="n"/>
      <c r="C2548" s="7" t="n"/>
      <c r="D2548" s="8" t="n"/>
      <c r="E2548" s="6" t="n"/>
      <c r="F2548" s="6" t="n"/>
      <c r="G2548" s="6" t="n"/>
      <c r="H2548" s="6" t="n"/>
      <c r="I2548" s="12">
        <f>IF($B2548="","",IF(COUNTIF(Ventes_Factures!$A$6:$A$3005,$B2548)&gt;0,"OK","INCONNUE"))</f>
        <v/>
      </c>
      <c r="J2548" s="9">
        <f>IF($D2548="","",ROUND($D2548,2))</f>
        <v/>
      </c>
    </row>
    <row r="2549">
      <c r="A2549" s="6" t="n"/>
      <c r="B2549" s="6" t="n"/>
      <c r="C2549" s="7" t="n"/>
      <c r="D2549" s="8" t="n"/>
      <c r="E2549" s="6" t="n"/>
      <c r="F2549" s="6" t="n"/>
      <c r="G2549" s="6" t="n"/>
      <c r="H2549" s="6" t="n"/>
      <c r="I2549" s="12">
        <f>IF($B2549="","",IF(COUNTIF(Ventes_Factures!$A$6:$A$3005,$B2549)&gt;0,"OK","INCONNUE"))</f>
        <v/>
      </c>
      <c r="J2549" s="9">
        <f>IF($D2549="","",ROUND($D2549,2))</f>
        <v/>
      </c>
    </row>
    <row r="2550">
      <c r="A2550" s="6" t="n"/>
      <c r="B2550" s="6" t="n"/>
      <c r="C2550" s="7" t="n"/>
      <c r="D2550" s="8" t="n"/>
      <c r="E2550" s="6" t="n"/>
      <c r="F2550" s="6" t="n"/>
      <c r="G2550" s="6" t="n"/>
      <c r="H2550" s="6" t="n"/>
      <c r="I2550" s="12">
        <f>IF($B2550="","",IF(COUNTIF(Ventes_Factures!$A$6:$A$3005,$B2550)&gt;0,"OK","INCONNUE"))</f>
        <v/>
      </c>
      <c r="J2550" s="9">
        <f>IF($D2550="","",ROUND($D2550,2))</f>
        <v/>
      </c>
    </row>
    <row r="2551">
      <c r="A2551" s="6" t="n"/>
      <c r="B2551" s="6" t="n"/>
      <c r="C2551" s="7" t="n"/>
      <c r="D2551" s="8" t="n"/>
      <c r="E2551" s="6" t="n"/>
      <c r="F2551" s="6" t="n"/>
      <c r="G2551" s="6" t="n"/>
      <c r="H2551" s="6" t="n"/>
      <c r="I2551" s="12">
        <f>IF($B2551="","",IF(COUNTIF(Ventes_Factures!$A$6:$A$3005,$B2551)&gt;0,"OK","INCONNUE"))</f>
        <v/>
      </c>
      <c r="J2551" s="9">
        <f>IF($D2551="","",ROUND($D2551,2))</f>
        <v/>
      </c>
    </row>
    <row r="2552">
      <c r="A2552" s="6" t="n"/>
      <c r="B2552" s="6" t="n"/>
      <c r="C2552" s="7" t="n"/>
      <c r="D2552" s="8" t="n"/>
      <c r="E2552" s="6" t="n"/>
      <c r="F2552" s="6" t="n"/>
      <c r="G2552" s="6" t="n"/>
      <c r="H2552" s="6" t="n"/>
      <c r="I2552" s="12">
        <f>IF($B2552="","",IF(COUNTIF(Ventes_Factures!$A$6:$A$3005,$B2552)&gt;0,"OK","INCONNUE"))</f>
        <v/>
      </c>
      <c r="J2552" s="9">
        <f>IF($D2552="","",ROUND($D2552,2))</f>
        <v/>
      </c>
    </row>
    <row r="2553">
      <c r="A2553" s="6" t="n"/>
      <c r="B2553" s="6" t="n"/>
      <c r="C2553" s="7" t="n"/>
      <c r="D2553" s="8" t="n"/>
      <c r="E2553" s="6" t="n"/>
      <c r="F2553" s="6" t="n"/>
      <c r="G2553" s="6" t="n"/>
      <c r="H2553" s="6" t="n"/>
      <c r="I2553" s="12">
        <f>IF($B2553="","",IF(COUNTIF(Ventes_Factures!$A$6:$A$3005,$B2553)&gt;0,"OK","INCONNUE"))</f>
        <v/>
      </c>
      <c r="J2553" s="9">
        <f>IF($D2553="","",ROUND($D2553,2))</f>
        <v/>
      </c>
    </row>
    <row r="2554">
      <c r="A2554" s="6" t="n"/>
      <c r="B2554" s="6" t="n"/>
      <c r="C2554" s="7" t="n"/>
      <c r="D2554" s="8" t="n"/>
      <c r="E2554" s="6" t="n"/>
      <c r="F2554" s="6" t="n"/>
      <c r="G2554" s="6" t="n"/>
      <c r="H2554" s="6" t="n"/>
      <c r="I2554" s="12">
        <f>IF($B2554="","",IF(COUNTIF(Ventes_Factures!$A$6:$A$3005,$B2554)&gt;0,"OK","INCONNUE"))</f>
        <v/>
      </c>
      <c r="J2554" s="9">
        <f>IF($D2554="","",ROUND($D2554,2))</f>
        <v/>
      </c>
    </row>
    <row r="2555">
      <c r="A2555" s="6" t="n"/>
      <c r="B2555" s="6" t="n"/>
      <c r="C2555" s="7" t="n"/>
      <c r="D2555" s="8" t="n"/>
      <c r="E2555" s="6" t="n"/>
      <c r="F2555" s="6" t="n"/>
      <c r="G2555" s="6" t="n"/>
      <c r="H2555" s="6" t="n"/>
      <c r="I2555" s="12">
        <f>IF($B2555="","",IF(COUNTIF(Ventes_Factures!$A$6:$A$3005,$B2555)&gt;0,"OK","INCONNUE"))</f>
        <v/>
      </c>
      <c r="J2555" s="9">
        <f>IF($D2555="","",ROUND($D2555,2))</f>
        <v/>
      </c>
    </row>
    <row r="2556">
      <c r="A2556" s="6" t="n"/>
      <c r="B2556" s="6" t="n"/>
      <c r="C2556" s="7" t="n"/>
      <c r="D2556" s="8" t="n"/>
      <c r="E2556" s="6" t="n"/>
      <c r="F2556" s="6" t="n"/>
      <c r="G2556" s="6" t="n"/>
      <c r="H2556" s="6" t="n"/>
      <c r="I2556" s="12">
        <f>IF($B2556="","",IF(COUNTIF(Ventes_Factures!$A$6:$A$3005,$B2556)&gt;0,"OK","INCONNUE"))</f>
        <v/>
      </c>
      <c r="J2556" s="9">
        <f>IF($D2556="","",ROUND($D2556,2))</f>
        <v/>
      </c>
    </row>
    <row r="2557">
      <c r="A2557" s="6" t="n"/>
      <c r="B2557" s="6" t="n"/>
      <c r="C2557" s="7" t="n"/>
      <c r="D2557" s="8" t="n"/>
      <c r="E2557" s="6" t="n"/>
      <c r="F2557" s="6" t="n"/>
      <c r="G2557" s="6" t="n"/>
      <c r="H2557" s="6" t="n"/>
      <c r="I2557" s="12">
        <f>IF($B2557="","",IF(COUNTIF(Ventes_Factures!$A$6:$A$3005,$B2557)&gt;0,"OK","INCONNUE"))</f>
        <v/>
      </c>
      <c r="J2557" s="9">
        <f>IF($D2557="","",ROUND($D2557,2))</f>
        <v/>
      </c>
    </row>
    <row r="2558">
      <c r="A2558" s="6" t="n"/>
      <c r="B2558" s="6" t="n"/>
      <c r="C2558" s="7" t="n"/>
      <c r="D2558" s="8" t="n"/>
      <c r="E2558" s="6" t="n"/>
      <c r="F2558" s="6" t="n"/>
      <c r="G2558" s="6" t="n"/>
      <c r="H2558" s="6" t="n"/>
      <c r="I2558" s="12">
        <f>IF($B2558="","",IF(COUNTIF(Ventes_Factures!$A$6:$A$3005,$B2558)&gt;0,"OK","INCONNUE"))</f>
        <v/>
      </c>
      <c r="J2558" s="9">
        <f>IF($D2558="","",ROUND($D2558,2))</f>
        <v/>
      </c>
    </row>
    <row r="2559">
      <c r="A2559" s="6" t="n"/>
      <c r="B2559" s="6" t="n"/>
      <c r="C2559" s="7" t="n"/>
      <c r="D2559" s="8" t="n"/>
      <c r="E2559" s="6" t="n"/>
      <c r="F2559" s="6" t="n"/>
      <c r="G2559" s="6" t="n"/>
      <c r="H2559" s="6" t="n"/>
      <c r="I2559" s="12">
        <f>IF($B2559="","",IF(COUNTIF(Ventes_Factures!$A$6:$A$3005,$B2559)&gt;0,"OK","INCONNUE"))</f>
        <v/>
      </c>
      <c r="J2559" s="9">
        <f>IF($D2559="","",ROUND($D2559,2))</f>
        <v/>
      </c>
    </row>
    <row r="2560">
      <c r="A2560" s="6" t="n"/>
      <c r="B2560" s="6" t="n"/>
      <c r="C2560" s="7" t="n"/>
      <c r="D2560" s="8" t="n"/>
      <c r="E2560" s="6" t="n"/>
      <c r="F2560" s="6" t="n"/>
      <c r="G2560" s="6" t="n"/>
      <c r="H2560" s="6" t="n"/>
      <c r="I2560" s="12">
        <f>IF($B2560="","",IF(COUNTIF(Ventes_Factures!$A$6:$A$3005,$B2560)&gt;0,"OK","INCONNUE"))</f>
        <v/>
      </c>
      <c r="J2560" s="9">
        <f>IF($D2560="","",ROUND($D2560,2))</f>
        <v/>
      </c>
    </row>
    <row r="2561">
      <c r="A2561" s="6" t="n"/>
      <c r="B2561" s="6" t="n"/>
      <c r="C2561" s="7" t="n"/>
      <c r="D2561" s="8" t="n"/>
      <c r="E2561" s="6" t="n"/>
      <c r="F2561" s="6" t="n"/>
      <c r="G2561" s="6" t="n"/>
      <c r="H2561" s="6" t="n"/>
      <c r="I2561" s="12">
        <f>IF($B2561="","",IF(COUNTIF(Ventes_Factures!$A$6:$A$3005,$B2561)&gt;0,"OK","INCONNUE"))</f>
        <v/>
      </c>
      <c r="J2561" s="9">
        <f>IF($D2561="","",ROUND($D2561,2))</f>
        <v/>
      </c>
    </row>
    <row r="2562">
      <c r="A2562" s="6" t="n"/>
      <c r="B2562" s="6" t="n"/>
      <c r="C2562" s="7" t="n"/>
      <c r="D2562" s="8" t="n"/>
      <c r="E2562" s="6" t="n"/>
      <c r="F2562" s="6" t="n"/>
      <c r="G2562" s="6" t="n"/>
      <c r="H2562" s="6" t="n"/>
      <c r="I2562" s="12">
        <f>IF($B2562="","",IF(COUNTIF(Ventes_Factures!$A$6:$A$3005,$B2562)&gt;0,"OK","INCONNUE"))</f>
        <v/>
      </c>
      <c r="J2562" s="9">
        <f>IF($D2562="","",ROUND($D2562,2))</f>
        <v/>
      </c>
    </row>
    <row r="2563">
      <c r="A2563" s="6" t="n"/>
      <c r="B2563" s="6" t="n"/>
      <c r="C2563" s="7" t="n"/>
      <c r="D2563" s="8" t="n"/>
      <c r="E2563" s="6" t="n"/>
      <c r="F2563" s="6" t="n"/>
      <c r="G2563" s="6" t="n"/>
      <c r="H2563" s="6" t="n"/>
      <c r="I2563" s="12">
        <f>IF($B2563="","",IF(COUNTIF(Ventes_Factures!$A$6:$A$3005,$B2563)&gt;0,"OK","INCONNUE"))</f>
        <v/>
      </c>
      <c r="J2563" s="9">
        <f>IF($D2563="","",ROUND($D2563,2))</f>
        <v/>
      </c>
    </row>
    <row r="2564">
      <c r="A2564" s="6" t="n"/>
      <c r="B2564" s="6" t="n"/>
      <c r="C2564" s="7" t="n"/>
      <c r="D2564" s="8" t="n"/>
      <c r="E2564" s="6" t="n"/>
      <c r="F2564" s="6" t="n"/>
      <c r="G2564" s="6" t="n"/>
      <c r="H2564" s="6" t="n"/>
      <c r="I2564" s="12">
        <f>IF($B2564="","",IF(COUNTIF(Ventes_Factures!$A$6:$A$3005,$B2564)&gt;0,"OK","INCONNUE"))</f>
        <v/>
      </c>
      <c r="J2564" s="9">
        <f>IF($D2564="","",ROUND($D2564,2))</f>
        <v/>
      </c>
    </row>
    <row r="2565">
      <c r="A2565" s="6" t="n"/>
      <c r="B2565" s="6" t="n"/>
      <c r="C2565" s="7" t="n"/>
      <c r="D2565" s="8" t="n"/>
      <c r="E2565" s="6" t="n"/>
      <c r="F2565" s="6" t="n"/>
      <c r="G2565" s="6" t="n"/>
      <c r="H2565" s="6" t="n"/>
      <c r="I2565" s="12">
        <f>IF($B2565="","",IF(COUNTIF(Ventes_Factures!$A$6:$A$3005,$B2565)&gt;0,"OK","INCONNUE"))</f>
        <v/>
      </c>
      <c r="J2565" s="9">
        <f>IF($D2565="","",ROUND($D2565,2))</f>
        <v/>
      </c>
    </row>
    <row r="2566">
      <c r="A2566" s="6" t="n"/>
      <c r="B2566" s="6" t="n"/>
      <c r="C2566" s="7" t="n"/>
      <c r="D2566" s="8" t="n"/>
      <c r="E2566" s="6" t="n"/>
      <c r="F2566" s="6" t="n"/>
      <c r="G2566" s="6" t="n"/>
      <c r="H2566" s="6" t="n"/>
      <c r="I2566" s="12">
        <f>IF($B2566="","",IF(COUNTIF(Ventes_Factures!$A$6:$A$3005,$B2566)&gt;0,"OK","INCONNUE"))</f>
        <v/>
      </c>
      <c r="J2566" s="9">
        <f>IF($D2566="","",ROUND($D2566,2))</f>
        <v/>
      </c>
    </row>
    <row r="2567">
      <c r="A2567" s="6" t="n"/>
      <c r="B2567" s="6" t="n"/>
      <c r="C2567" s="7" t="n"/>
      <c r="D2567" s="8" t="n"/>
      <c r="E2567" s="6" t="n"/>
      <c r="F2567" s="6" t="n"/>
      <c r="G2567" s="6" t="n"/>
      <c r="H2567" s="6" t="n"/>
      <c r="I2567" s="12">
        <f>IF($B2567="","",IF(COUNTIF(Ventes_Factures!$A$6:$A$3005,$B2567)&gt;0,"OK","INCONNUE"))</f>
        <v/>
      </c>
      <c r="J2567" s="9">
        <f>IF($D2567="","",ROUND($D2567,2))</f>
        <v/>
      </c>
    </row>
    <row r="2568">
      <c r="A2568" s="6" t="n"/>
      <c r="B2568" s="6" t="n"/>
      <c r="C2568" s="7" t="n"/>
      <c r="D2568" s="8" t="n"/>
      <c r="E2568" s="6" t="n"/>
      <c r="F2568" s="6" t="n"/>
      <c r="G2568" s="6" t="n"/>
      <c r="H2568" s="6" t="n"/>
      <c r="I2568" s="12">
        <f>IF($B2568="","",IF(COUNTIF(Ventes_Factures!$A$6:$A$3005,$B2568)&gt;0,"OK","INCONNUE"))</f>
        <v/>
      </c>
      <c r="J2568" s="9">
        <f>IF($D2568="","",ROUND($D2568,2))</f>
        <v/>
      </c>
    </row>
    <row r="2569">
      <c r="A2569" s="6" t="n"/>
      <c r="B2569" s="6" t="n"/>
      <c r="C2569" s="7" t="n"/>
      <c r="D2569" s="8" t="n"/>
      <c r="E2569" s="6" t="n"/>
      <c r="F2569" s="6" t="n"/>
      <c r="G2569" s="6" t="n"/>
      <c r="H2569" s="6" t="n"/>
      <c r="I2569" s="12">
        <f>IF($B2569="","",IF(COUNTIF(Ventes_Factures!$A$6:$A$3005,$B2569)&gt;0,"OK","INCONNUE"))</f>
        <v/>
      </c>
      <c r="J2569" s="9">
        <f>IF($D2569="","",ROUND($D2569,2))</f>
        <v/>
      </c>
    </row>
    <row r="2570">
      <c r="A2570" s="6" t="n"/>
      <c r="B2570" s="6" t="n"/>
      <c r="C2570" s="7" t="n"/>
      <c r="D2570" s="8" t="n"/>
      <c r="E2570" s="6" t="n"/>
      <c r="F2570" s="6" t="n"/>
      <c r="G2570" s="6" t="n"/>
      <c r="H2570" s="6" t="n"/>
      <c r="I2570" s="12">
        <f>IF($B2570="","",IF(COUNTIF(Ventes_Factures!$A$6:$A$3005,$B2570)&gt;0,"OK","INCONNUE"))</f>
        <v/>
      </c>
      <c r="J2570" s="9">
        <f>IF($D2570="","",ROUND($D2570,2))</f>
        <v/>
      </c>
    </row>
    <row r="2571">
      <c r="A2571" s="6" t="n"/>
      <c r="B2571" s="6" t="n"/>
      <c r="C2571" s="7" t="n"/>
      <c r="D2571" s="8" t="n"/>
      <c r="E2571" s="6" t="n"/>
      <c r="F2571" s="6" t="n"/>
      <c r="G2571" s="6" t="n"/>
      <c r="H2571" s="6" t="n"/>
      <c r="I2571" s="12">
        <f>IF($B2571="","",IF(COUNTIF(Ventes_Factures!$A$6:$A$3005,$B2571)&gt;0,"OK","INCONNUE"))</f>
        <v/>
      </c>
      <c r="J2571" s="9">
        <f>IF($D2571="","",ROUND($D2571,2))</f>
        <v/>
      </c>
    </row>
    <row r="2572">
      <c r="A2572" s="6" t="n"/>
      <c r="B2572" s="6" t="n"/>
      <c r="C2572" s="7" t="n"/>
      <c r="D2572" s="8" t="n"/>
      <c r="E2572" s="6" t="n"/>
      <c r="F2572" s="6" t="n"/>
      <c r="G2572" s="6" t="n"/>
      <c r="H2572" s="6" t="n"/>
      <c r="I2572" s="12">
        <f>IF($B2572="","",IF(COUNTIF(Ventes_Factures!$A$6:$A$3005,$B2572)&gt;0,"OK","INCONNUE"))</f>
        <v/>
      </c>
      <c r="J2572" s="9">
        <f>IF($D2572="","",ROUND($D2572,2))</f>
        <v/>
      </c>
    </row>
    <row r="2573">
      <c r="A2573" s="6" t="n"/>
      <c r="B2573" s="6" t="n"/>
      <c r="C2573" s="7" t="n"/>
      <c r="D2573" s="8" t="n"/>
      <c r="E2573" s="6" t="n"/>
      <c r="F2573" s="6" t="n"/>
      <c r="G2573" s="6" t="n"/>
      <c r="H2573" s="6" t="n"/>
      <c r="I2573" s="12">
        <f>IF($B2573="","",IF(COUNTIF(Ventes_Factures!$A$6:$A$3005,$B2573)&gt;0,"OK","INCONNUE"))</f>
        <v/>
      </c>
      <c r="J2573" s="9">
        <f>IF($D2573="","",ROUND($D2573,2))</f>
        <v/>
      </c>
    </row>
    <row r="2574">
      <c r="A2574" s="6" t="n"/>
      <c r="B2574" s="6" t="n"/>
      <c r="C2574" s="7" t="n"/>
      <c r="D2574" s="8" t="n"/>
      <c r="E2574" s="6" t="n"/>
      <c r="F2574" s="6" t="n"/>
      <c r="G2574" s="6" t="n"/>
      <c r="H2574" s="6" t="n"/>
      <c r="I2574" s="12">
        <f>IF($B2574="","",IF(COUNTIF(Ventes_Factures!$A$6:$A$3005,$B2574)&gt;0,"OK","INCONNUE"))</f>
        <v/>
      </c>
      <c r="J2574" s="9">
        <f>IF($D2574="","",ROUND($D2574,2))</f>
        <v/>
      </c>
    </row>
    <row r="2575">
      <c r="A2575" s="6" t="n"/>
      <c r="B2575" s="6" t="n"/>
      <c r="C2575" s="7" t="n"/>
      <c r="D2575" s="8" t="n"/>
      <c r="E2575" s="6" t="n"/>
      <c r="F2575" s="6" t="n"/>
      <c r="G2575" s="6" t="n"/>
      <c r="H2575" s="6" t="n"/>
      <c r="I2575" s="12">
        <f>IF($B2575="","",IF(COUNTIF(Ventes_Factures!$A$6:$A$3005,$B2575)&gt;0,"OK","INCONNUE"))</f>
        <v/>
      </c>
      <c r="J2575" s="9">
        <f>IF($D2575="","",ROUND($D2575,2))</f>
        <v/>
      </c>
    </row>
    <row r="2576">
      <c r="A2576" s="6" t="n"/>
      <c r="B2576" s="6" t="n"/>
      <c r="C2576" s="7" t="n"/>
      <c r="D2576" s="8" t="n"/>
      <c r="E2576" s="6" t="n"/>
      <c r="F2576" s="6" t="n"/>
      <c r="G2576" s="6" t="n"/>
      <c r="H2576" s="6" t="n"/>
      <c r="I2576" s="12">
        <f>IF($B2576="","",IF(COUNTIF(Ventes_Factures!$A$6:$A$3005,$B2576)&gt;0,"OK","INCONNUE"))</f>
        <v/>
      </c>
      <c r="J2576" s="9">
        <f>IF($D2576="","",ROUND($D2576,2))</f>
        <v/>
      </c>
    </row>
    <row r="2577">
      <c r="A2577" s="6" t="n"/>
      <c r="B2577" s="6" t="n"/>
      <c r="C2577" s="7" t="n"/>
      <c r="D2577" s="8" t="n"/>
      <c r="E2577" s="6" t="n"/>
      <c r="F2577" s="6" t="n"/>
      <c r="G2577" s="6" t="n"/>
      <c r="H2577" s="6" t="n"/>
      <c r="I2577" s="12">
        <f>IF($B2577="","",IF(COUNTIF(Ventes_Factures!$A$6:$A$3005,$B2577)&gt;0,"OK","INCONNUE"))</f>
        <v/>
      </c>
      <c r="J2577" s="9">
        <f>IF($D2577="","",ROUND($D2577,2))</f>
        <v/>
      </c>
    </row>
    <row r="2578">
      <c r="A2578" s="6" t="n"/>
      <c r="B2578" s="6" t="n"/>
      <c r="C2578" s="7" t="n"/>
      <c r="D2578" s="8" t="n"/>
      <c r="E2578" s="6" t="n"/>
      <c r="F2578" s="6" t="n"/>
      <c r="G2578" s="6" t="n"/>
      <c r="H2578" s="6" t="n"/>
      <c r="I2578" s="12">
        <f>IF($B2578="","",IF(COUNTIF(Ventes_Factures!$A$6:$A$3005,$B2578)&gt;0,"OK","INCONNUE"))</f>
        <v/>
      </c>
      <c r="J2578" s="9">
        <f>IF($D2578="","",ROUND($D2578,2))</f>
        <v/>
      </c>
    </row>
    <row r="2579">
      <c r="A2579" s="6" t="n"/>
      <c r="B2579" s="6" t="n"/>
      <c r="C2579" s="7" t="n"/>
      <c r="D2579" s="8" t="n"/>
      <c r="E2579" s="6" t="n"/>
      <c r="F2579" s="6" t="n"/>
      <c r="G2579" s="6" t="n"/>
      <c r="H2579" s="6" t="n"/>
      <c r="I2579" s="12">
        <f>IF($B2579="","",IF(COUNTIF(Ventes_Factures!$A$6:$A$3005,$B2579)&gt;0,"OK","INCONNUE"))</f>
        <v/>
      </c>
      <c r="J2579" s="9">
        <f>IF($D2579="","",ROUND($D2579,2))</f>
        <v/>
      </c>
    </row>
    <row r="2580">
      <c r="A2580" s="6" t="n"/>
      <c r="B2580" s="6" t="n"/>
      <c r="C2580" s="7" t="n"/>
      <c r="D2580" s="8" t="n"/>
      <c r="E2580" s="6" t="n"/>
      <c r="F2580" s="6" t="n"/>
      <c r="G2580" s="6" t="n"/>
      <c r="H2580" s="6" t="n"/>
      <c r="I2580" s="12">
        <f>IF($B2580="","",IF(COUNTIF(Ventes_Factures!$A$6:$A$3005,$B2580)&gt;0,"OK","INCONNUE"))</f>
        <v/>
      </c>
      <c r="J2580" s="9">
        <f>IF($D2580="","",ROUND($D2580,2))</f>
        <v/>
      </c>
    </row>
    <row r="2581">
      <c r="A2581" s="6" t="n"/>
      <c r="B2581" s="6" t="n"/>
      <c r="C2581" s="7" t="n"/>
      <c r="D2581" s="8" t="n"/>
      <c r="E2581" s="6" t="n"/>
      <c r="F2581" s="6" t="n"/>
      <c r="G2581" s="6" t="n"/>
      <c r="H2581" s="6" t="n"/>
      <c r="I2581" s="12">
        <f>IF($B2581="","",IF(COUNTIF(Ventes_Factures!$A$6:$A$3005,$B2581)&gt;0,"OK","INCONNUE"))</f>
        <v/>
      </c>
      <c r="J2581" s="9">
        <f>IF($D2581="","",ROUND($D2581,2))</f>
        <v/>
      </c>
    </row>
    <row r="2582">
      <c r="A2582" s="6" t="n"/>
      <c r="B2582" s="6" t="n"/>
      <c r="C2582" s="7" t="n"/>
      <c r="D2582" s="8" t="n"/>
      <c r="E2582" s="6" t="n"/>
      <c r="F2582" s="6" t="n"/>
      <c r="G2582" s="6" t="n"/>
      <c r="H2582" s="6" t="n"/>
      <c r="I2582" s="12">
        <f>IF($B2582="","",IF(COUNTIF(Ventes_Factures!$A$6:$A$3005,$B2582)&gt;0,"OK","INCONNUE"))</f>
        <v/>
      </c>
      <c r="J2582" s="9">
        <f>IF($D2582="","",ROUND($D2582,2))</f>
        <v/>
      </c>
    </row>
    <row r="2583">
      <c r="A2583" s="6" t="n"/>
      <c r="B2583" s="6" t="n"/>
      <c r="C2583" s="7" t="n"/>
      <c r="D2583" s="8" t="n"/>
      <c r="E2583" s="6" t="n"/>
      <c r="F2583" s="6" t="n"/>
      <c r="G2583" s="6" t="n"/>
      <c r="H2583" s="6" t="n"/>
      <c r="I2583" s="12">
        <f>IF($B2583="","",IF(COUNTIF(Ventes_Factures!$A$6:$A$3005,$B2583)&gt;0,"OK","INCONNUE"))</f>
        <v/>
      </c>
      <c r="J2583" s="9">
        <f>IF($D2583="","",ROUND($D2583,2))</f>
        <v/>
      </c>
    </row>
    <row r="2584">
      <c r="A2584" s="6" t="n"/>
      <c r="B2584" s="6" t="n"/>
      <c r="C2584" s="7" t="n"/>
      <c r="D2584" s="8" t="n"/>
      <c r="E2584" s="6" t="n"/>
      <c r="F2584" s="6" t="n"/>
      <c r="G2584" s="6" t="n"/>
      <c r="H2584" s="6" t="n"/>
      <c r="I2584" s="12">
        <f>IF($B2584="","",IF(COUNTIF(Ventes_Factures!$A$6:$A$3005,$B2584)&gt;0,"OK","INCONNUE"))</f>
        <v/>
      </c>
      <c r="J2584" s="9">
        <f>IF($D2584="","",ROUND($D2584,2))</f>
        <v/>
      </c>
    </row>
    <row r="2585">
      <c r="A2585" s="6" t="n"/>
      <c r="B2585" s="6" t="n"/>
      <c r="C2585" s="7" t="n"/>
      <c r="D2585" s="8" t="n"/>
      <c r="E2585" s="6" t="n"/>
      <c r="F2585" s="6" t="n"/>
      <c r="G2585" s="6" t="n"/>
      <c r="H2585" s="6" t="n"/>
      <c r="I2585" s="12">
        <f>IF($B2585="","",IF(COUNTIF(Ventes_Factures!$A$6:$A$3005,$B2585)&gt;0,"OK","INCONNUE"))</f>
        <v/>
      </c>
      <c r="J2585" s="9">
        <f>IF($D2585="","",ROUND($D2585,2))</f>
        <v/>
      </c>
    </row>
    <row r="2586">
      <c r="A2586" s="6" t="n"/>
      <c r="B2586" s="6" t="n"/>
      <c r="C2586" s="7" t="n"/>
      <c r="D2586" s="8" t="n"/>
      <c r="E2586" s="6" t="n"/>
      <c r="F2586" s="6" t="n"/>
      <c r="G2586" s="6" t="n"/>
      <c r="H2586" s="6" t="n"/>
      <c r="I2586" s="12">
        <f>IF($B2586="","",IF(COUNTIF(Ventes_Factures!$A$6:$A$3005,$B2586)&gt;0,"OK","INCONNUE"))</f>
        <v/>
      </c>
      <c r="J2586" s="9">
        <f>IF($D2586="","",ROUND($D2586,2))</f>
        <v/>
      </c>
    </row>
    <row r="2587">
      <c r="A2587" s="6" t="n"/>
      <c r="B2587" s="6" t="n"/>
      <c r="C2587" s="7" t="n"/>
      <c r="D2587" s="8" t="n"/>
      <c r="E2587" s="6" t="n"/>
      <c r="F2587" s="6" t="n"/>
      <c r="G2587" s="6" t="n"/>
      <c r="H2587" s="6" t="n"/>
      <c r="I2587" s="12">
        <f>IF($B2587="","",IF(COUNTIF(Ventes_Factures!$A$6:$A$3005,$B2587)&gt;0,"OK","INCONNUE"))</f>
        <v/>
      </c>
      <c r="J2587" s="9">
        <f>IF($D2587="","",ROUND($D2587,2))</f>
        <v/>
      </c>
    </row>
    <row r="2588">
      <c r="A2588" s="6" t="n"/>
      <c r="B2588" s="6" t="n"/>
      <c r="C2588" s="7" t="n"/>
      <c r="D2588" s="8" t="n"/>
      <c r="E2588" s="6" t="n"/>
      <c r="F2588" s="6" t="n"/>
      <c r="G2588" s="6" t="n"/>
      <c r="H2588" s="6" t="n"/>
      <c r="I2588" s="12">
        <f>IF($B2588="","",IF(COUNTIF(Ventes_Factures!$A$6:$A$3005,$B2588)&gt;0,"OK","INCONNUE"))</f>
        <v/>
      </c>
      <c r="J2588" s="9">
        <f>IF($D2588="","",ROUND($D2588,2))</f>
        <v/>
      </c>
    </row>
    <row r="2589">
      <c r="A2589" s="6" t="n"/>
      <c r="B2589" s="6" t="n"/>
      <c r="C2589" s="7" t="n"/>
      <c r="D2589" s="8" t="n"/>
      <c r="E2589" s="6" t="n"/>
      <c r="F2589" s="6" t="n"/>
      <c r="G2589" s="6" t="n"/>
      <c r="H2589" s="6" t="n"/>
      <c r="I2589" s="12">
        <f>IF($B2589="","",IF(COUNTIF(Ventes_Factures!$A$6:$A$3005,$B2589)&gt;0,"OK","INCONNUE"))</f>
        <v/>
      </c>
      <c r="J2589" s="9">
        <f>IF($D2589="","",ROUND($D2589,2))</f>
        <v/>
      </c>
    </row>
    <row r="2590">
      <c r="A2590" s="6" t="n"/>
      <c r="B2590" s="6" t="n"/>
      <c r="C2590" s="7" t="n"/>
      <c r="D2590" s="8" t="n"/>
      <c r="E2590" s="6" t="n"/>
      <c r="F2590" s="6" t="n"/>
      <c r="G2590" s="6" t="n"/>
      <c r="H2590" s="6" t="n"/>
      <c r="I2590" s="12">
        <f>IF($B2590="","",IF(COUNTIF(Ventes_Factures!$A$6:$A$3005,$B2590)&gt;0,"OK","INCONNUE"))</f>
        <v/>
      </c>
      <c r="J2590" s="9">
        <f>IF($D2590="","",ROUND($D2590,2))</f>
        <v/>
      </c>
    </row>
    <row r="2591">
      <c r="A2591" s="6" t="n"/>
      <c r="B2591" s="6" t="n"/>
      <c r="C2591" s="7" t="n"/>
      <c r="D2591" s="8" t="n"/>
      <c r="E2591" s="6" t="n"/>
      <c r="F2591" s="6" t="n"/>
      <c r="G2591" s="6" t="n"/>
      <c r="H2591" s="6" t="n"/>
      <c r="I2591" s="12">
        <f>IF($B2591="","",IF(COUNTIF(Ventes_Factures!$A$6:$A$3005,$B2591)&gt;0,"OK","INCONNUE"))</f>
        <v/>
      </c>
      <c r="J2591" s="9">
        <f>IF($D2591="","",ROUND($D2591,2))</f>
        <v/>
      </c>
    </row>
    <row r="2592">
      <c r="A2592" s="6" t="n"/>
      <c r="B2592" s="6" t="n"/>
      <c r="C2592" s="7" t="n"/>
      <c r="D2592" s="8" t="n"/>
      <c r="E2592" s="6" t="n"/>
      <c r="F2592" s="6" t="n"/>
      <c r="G2592" s="6" t="n"/>
      <c r="H2592" s="6" t="n"/>
      <c r="I2592" s="12">
        <f>IF($B2592="","",IF(COUNTIF(Ventes_Factures!$A$6:$A$3005,$B2592)&gt;0,"OK","INCONNUE"))</f>
        <v/>
      </c>
      <c r="J2592" s="9">
        <f>IF($D2592="","",ROUND($D2592,2))</f>
        <v/>
      </c>
    </row>
    <row r="2593">
      <c r="A2593" s="6" t="n"/>
      <c r="B2593" s="6" t="n"/>
      <c r="C2593" s="7" t="n"/>
      <c r="D2593" s="8" t="n"/>
      <c r="E2593" s="6" t="n"/>
      <c r="F2593" s="6" t="n"/>
      <c r="G2593" s="6" t="n"/>
      <c r="H2593" s="6" t="n"/>
      <c r="I2593" s="12">
        <f>IF($B2593="","",IF(COUNTIF(Ventes_Factures!$A$6:$A$3005,$B2593)&gt;0,"OK","INCONNUE"))</f>
        <v/>
      </c>
      <c r="J2593" s="9">
        <f>IF($D2593="","",ROUND($D2593,2))</f>
        <v/>
      </c>
    </row>
    <row r="2594">
      <c r="A2594" s="6" t="n"/>
      <c r="B2594" s="6" t="n"/>
      <c r="C2594" s="7" t="n"/>
      <c r="D2594" s="8" t="n"/>
      <c r="E2594" s="6" t="n"/>
      <c r="F2594" s="6" t="n"/>
      <c r="G2594" s="6" t="n"/>
      <c r="H2594" s="6" t="n"/>
      <c r="I2594" s="12">
        <f>IF($B2594="","",IF(COUNTIF(Ventes_Factures!$A$6:$A$3005,$B2594)&gt;0,"OK","INCONNUE"))</f>
        <v/>
      </c>
      <c r="J2594" s="9">
        <f>IF($D2594="","",ROUND($D2594,2))</f>
        <v/>
      </c>
    </row>
    <row r="2595">
      <c r="A2595" s="6" t="n"/>
      <c r="B2595" s="6" t="n"/>
      <c r="C2595" s="7" t="n"/>
      <c r="D2595" s="8" t="n"/>
      <c r="E2595" s="6" t="n"/>
      <c r="F2595" s="6" t="n"/>
      <c r="G2595" s="6" t="n"/>
      <c r="H2595" s="6" t="n"/>
      <c r="I2595" s="12">
        <f>IF($B2595="","",IF(COUNTIF(Ventes_Factures!$A$6:$A$3005,$B2595)&gt;0,"OK","INCONNUE"))</f>
        <v/>
      </c>
      <c r="J2595" s="9">
        <f>IF($D2595="","",ROUND($D2595,2))</f>
        <v/>
      </c>
    </row>
    <row r="2596">
      <c r="A2596" s="6" t="n"/>
      <c r="B2596" s="6" t="n"/>
      <c r="C2596" s="7" t="n"/>
      <c r="D2596" s="8" t="n"/>
      <c r="E2596" s="6" t="n"/>
      <c r="F2596" s="6" t="n"/>
      <c r="G2596" s="6" t="n"/>
      <c r="H2596" s="6" t="n"/>
      <c r="I2596" s="12">
        <f>IF($B2596="","",IF(COUNTIF(Ventes_Factures!$A$6:$A$3005,$B2596)&gt;0,"OK","INCONNUE"))</f>
        <v/>
      </c>
      <c r="J2596" s="9">
        <f>IF($D2596="","",ROUND($D2596,2))</f>
        <v/>
      </c>
    </row>
    <row r="2597">
      <c r="A2597" s="6" t="n"/>
      <c r="B2597" s="6" t="n"/>
      <c r="C2597" s="7" t="n"/>
      <c r="D2597" s="8" t="n"/>
      <c r="E2597" s="6" t="n"/>
      <c r="F2597" s="6" t="n"/>
      <c r="G2597" s="6" t="n"/>
      <c r="H2597" s="6" t="n"/>
      <c r="I2597" s="12">
        <f>IF($B2597="","",IF(COUNTIF(Ventes_Factures!$A$6:$A$3005,$B2597)&gt;0,"OK","INCONNUE"))</f>
        <v/>
      </c>
      <c r="J2597" s="9">
        <f>IF($D2597="","",ROUND($D2597,2))</f>
        <v/>
      </c>
    </row>
    <row r="2598">
      <c r="A2598" s="6" t="n"/>
      <c r="B2598" s="6" t="n"/>
      <c r="C2598" s="7" t="n"/>
      <c r="D2598" s="8" t="n"/>
      <c r="E2598" s="6" t="n"/>
      <c r="F2598" s="6" t="n"/>
      <c r="G2598" s="6" t="n"/>
      <c r="H2598" s="6" t="n"/>
      <c r="I2598" s="12">
        <f>IF($B2598="","",IF(COUNTIF(Ventes_Factures!$A$6:$A$3005,$B2598)&gt;0,"OK","INCONNUE"))</f>
        <v/>
      </c>
      <c r="J2598" s="9">
        <f>IF($D2598="","",ROUND($D2598,2))</f>
        <v/>
      </c>
    </row>
    <row r="2599">
      <c r="A2599" s="6" t="n"/>
      <c r="B2599" s="6" t="n"/>
      <c r="C2599" s="7" t="n"/>
      <c r="D2599" s="8" t="n"/>
      <c r="E2599" s="6" t="n"/>
      <c r="F2599" s="6" t="n"/>
      <c r="G2599" s="6" t="n"/>
      <c r="H2599" s="6" t="n"/>
      <c r="I2599" s="12">
        <f>IF($B2599="","",IF(COUNTIF(Ventes_Factures!$A$6:$A$3005,$B2599)&gt;0,"OK","INCONNUE"))</f>
        <v/>
      </c>
      <c r="J2599" s="9">
        <f>IF($D2599="","",ROUND($D2599,2))</f>
        <v/>
      </c>
    </row>
    <row r="2600">
      <c r="A2600" s="6" t="n"/>
      <c r="B2600" s="6" t="n"/>
      <c r="C2600" s="7" t="n"/>
      <c r="D2600" s="8" t="n"/>
      <c r="E2600" s="6" t="n"/>
      <c r="F2600" s="6" t="n"/>
      <c r="G2600" s="6" t="n"/>
      <c r="H2600" s="6" t="n"/>
      <c r="I2600" s="12">
        <f>IF($B2600="","",IF(COUNTIF(Ventes_Factures!$A$6:$A$3005,$B2600)&gt;0,"OK","INCONNUE"))</f>
        <v/>
      </c>
      <c r="J2600" s="9">
        <f>IF($D2600="","",ROUND($D2600,2))</f>
        <v/>
      </c>
    </row>
    <row r="2601">
      <c r="A2601" s="6" t="n"/>
      <c r="B2601" s="6" t="n"/>
      <c r="C2601" s="7" t="n"/>
      <c r="D2601" s="8" t="n"/>
      <c r="E2601" s="6" t="n"/>
      <c r="F2601" s="6" t="n"/>
      <c r="G2601" s="6" t="n"/>
      <c r="H2601" s="6" t="n"/>
      <c r="I2601" s="12">
        <f>IF($B2601="","",IF(COUNTIF(Ventes_Factures!$A$6:$A$3005,$B2601)&gt;0,"OK","INCONNUE"))</f>
        <v/>
      </c>
      <c r="J2601" s="9">
        <f>IF($D2601="","",ROUND($D2601,2))</f>
        <v/>
      </c>
    </row>
    <row r="2602">
      <c r="A2602" s="6" t="n"/>
      <c r="B2602" s="6" t="n"/>
      <c r="C2602" s="7" t="n"/>
      <c r="D2602" s="8" t="n"/>
      <c r="E2602" s="6" t="n"/>
      <c r="F2602" s="6" t="n"/>
      <c r="G2602" s="6" t="n"/>
      <c r="H2602" s="6" t="n"/>
      <c r="I2602" s="12">
        <f>IF($B2602="","",IF(COUNTIF(Ventes_Factures!$A$6:$A$3005,$B2602)&gt;0,"OK","INCONNUE"))</f>
        <v/>
      </c>
      <c r="J2602" s="9">
        <f>IF($D2602="","",ROUND($D2602,2))</f>
        <v/>
      </c>
    </row>
    <row r="2603">
      <c r="A2603" s="6" t="n"/>
      <c r="B2603" s="6" t="n"/>
      <c r="C2603" s="7" t="n"/>
      <c r="D2603" s="8" t="n"/>
      <c r="E2603" s="6" t="n"/>
      <c r="F2603" s="6" t="n"/>
      <c r="G2603" s="6" t="n"/>
      <c r="H2603" s="6" t="n"/>
      <c r="I2603" s="12">
        <f>IF($B2603="","",IF(COUNTIF(Ventes_Factures!$A$6:$A$3005,$B2603)&gt;0,"OK","INCONNUE"))</f>
        <v/>
      </c>
      <c r="J2603" s="9">
        <f>IF($D2603="","",ROUND($D2603,2))</f>
        <v/>
      </c>
    </row>
    <row r="2604">
      <c r="A2604" s="6" t="n"/>
      <c r="B2604" s="6" t="n"/>
      <c r="C2604" s="7" t="n"/>
      <c r="D2604" s="8" t="n"/>
      <c r="E2604" s="6" t="n"/>
      <c r="F2604" s="6" t="n"/>
      <c r="G2604" s="6" t="n"/>
      <c r="H2604" s="6" t="n"/>
      <c r="I2604" s="12">
        <f>IF($B2604="","",IF(COUNTIF(Ventes_Factures!$A$6:$A$3005,$B2604)&gt;0,"OK","INCONNUE"))</f>
        <v/>
      </c>
      <c r="J2604" s="9">
        <f>IF($D2604="","",ROUND($D2604,2))</f>
        <v/>
      </c>
    </row>
    <row r="2605">
      <c r="A2605" s="6" t="n"/>
      <c r="B2605" s="6" t="n"/>
      <c r="C2605" s="7" t="n"/>
      <c r="D2605" s="8" t="n"/>
      <c r="E2605" s="6" t="n"/>
      <c r="F2605" s="6" t="n"/>
      <c r="G2605" s="6" t="n"/>
      <c r="H2605" s="6" t="n"/>
      <c r="I2605" s="12">
        <f>IF($B2605="","",IF(COUNTIF(Ventes_Factures!$A$6:$A$3005,$B2605)&gt;0,"OK","INCONNUE"))</f>
        <v/>
      </c>
      <c r="J2605" s="9">
        <f>IF($D2605="","",ROUND($D2605,2))</f>
        <v/>
      </c>
    </row>
    <row r="2606">
      <c r="A2606" s="6" t="n"/>
      <c r="B2606" s="6" t="n"/>
      <c r="C2606" s="7" t="n"/>
      <c r="D2606" s="8" t="n"/>
      <c r="E2606" s="6" t="n"/>
      <c r="F2606" s="6" t="n"/>
      <c r="G2606" s="6" t="n"/>
      <c r="H2606" s="6" t="n"/>
      <c r="I2606" s="12">
        <f>IF($B2606="","",IF(COUNTIF(Ventes_Factures!$A$6:$A$3005,$B2606)&gt;0,"OK","INCONNUE"))</f>
        <v/>
      </c>
      <c r="J2606" s="9">
        <f>IF($D2606="","",ROUND($D2606,2))</f>
        <v/>
      </c>
    </row>
    <row r="2607">
      <c r="A2607" s="6" t="n"/>
      <c r="B2607" s="6" t="n"/>
      <c r="C2607" s="7" t="n"/>
      <c r="D2607" s="8" t="n"/>
      <c r="E2607" s="6" t="n"/>
      <c r="F2607" s="6" t="n"/>
      <c r="G2607" s="6" t="n"/>
      <c r="H2607" s="6" t="n"/>
      <c r="I2607" s="12">
        <f>IF($B2607="","",IF(COUNTIF(Ventes_Factures!$A$6:$A$3005,$B2607)&gt;0,"OK","INCONNUE"))</f>
        <v/>
      </c>
      <c r="J2607" s="9">
        <f>IF($D2607="","",ROUND($D2607,2))</f>
        <v/>
      </c>
    </row>
    <row r="2608">
      <c r="A2608" s="6" t="n"/>
      <c r="B2608" s="6" t="n"/>
      <c r="C2608" s="7" t="n"/>
      <c r="D2608" s="8" t="n"/>
      <c r="E2608" s="6" t="n"/>
      <c r="F2608" s="6" t="n"/>
      <c r="G2608" s="6" t="n"/>
      <c r="H2608" s="6" t="n"/>
      <c r="I2608" s="12">
        <f>IF($B2608="","",IF(COUNTIF(Ventes_Factures!$A$6:$A$3005,$B2608)&gt;0,"OK","INCONNUE"))</f>
        <v/>
      </c>
      <c r="J2608" s="9">
        <f>IF($D2608="","",ROUND($D2608,2))</f>
        <v/>
      </c>
    </row>
    <row r="2609">
      <c r="A2609" s="6" t="n"/>
      <c r="B2609" s="6" t="n"/>
      <c r="C2609" s="7" t="n"/>
      <c r="D2609" s="8" t="n"/>
      <c r="E2609" s="6" t="n"/>
      <c r="F2609" s="6" t="n"/>
      <c r="G2609" s="6" t="n"/>
      <c r="H2609" s="6" t="n"/>
      <c r="I2609" s="12">
        <f>IF($B2609="","",IF(COUNTIF(Ventes_Factures!$A$6:$A$3005,$B2609)&gt;0,"OK","INCONNUE"))</f>
        <v/>
      </c>
      <c r="J2609" s="9">
        <f>IF($D2609="","",ROUND($D2609,2))</f>
        <v/>
      </c>
    </row>
    <row r="2610">
      <c r="A2610" s="6" t="n"/>
      <c r="B2610" s="6" t="n"/>
      <c r="C2610" s="7" t="n"/>
      <c r="D2610" s="8" t="n"/>
      <c r="E2610" s="6" t="n"/>
      <c r="F2610" s="6" t="n"/>
      <c r="G2610" s="6" t="n"/>
      <c r="H2610" s="6" t="n"/>
      <c r="I2610" s="12">
        <f>IF($B2610="","",IF(COUNTIF(Ventes_Factures!$A$6:$A$3005,$B2610)&gt;0,"OK","INCONNUE"))</f>
        <v/>
      </c>
      <c r="J2610" s="9">
        <f>IF($D2610="","",ROUND($D2610,2))</f>
        <v/>
      </c>
    </row>
    <row r="2611">
      <c r="A2611" s="6" t="n"/>
      <c r="B2611" s="6" t="n"/>
      <c r="C2611" s="7" t="n"/>
      <c r="D2611" s="8" t="n"/>
      <c r="E2611" s="6" t="n"/>
      <c r="F2611" s="6" t="n"/>
      <c r="G2611" s="6" t="n"/>
      <c r="H2611" s="6" t="n"/>
      <c r="I2611" s="12">
        <f>IF($B2611="","",IF(COUNTIF(Ventes_Factures!$A$6:$A$3005,$B2611)&gt;0,"OK","INCONNUE"))</f>
        <v/>
      </c>
      <c r="J2611" s="9">
        <f>IF($D2611="","",ROUND($D2611,2))</f>
        <v/>
      </c>
    </row>
    <row r="2612">
      <c r="A2612" s="6" t="n"/>
      <c r="B2612" s="6" t="n"/>
      <c r="C2612" s="7" t="n"/>
      <c r="D2612" s="8" t="n"/>
      <c r="E2612" s="6" t="n"/>
      <c r="F2612" s="6" t="n"/>
      <c r="G2612" s="6" t="n"/>
      <c r="H2612" s="6" t="n"/>
      <c r="I2612" s="12">
        <f>IF($B2612="","",IF(COUNTIF(Ventes_Factures!$A$6:$A$3005,$B2612)&gt;0,"OK","INCONNUE"))</f>
        <v/>
      </c>
      <c r="J2612" s="9">
        <f>IF($D2612="","",ROUND($D2612,2))</f>
        <v/>
      </c>
    </row>
    <row r="2613">
      <c r="A2613" s="6" t="n"/>
      <c r="B2613" s="6" t="n"/>
      <c r="C2613" s="7" t="n"/>
      <c r="D2613" s="8" t="n"/>
      <c r="E2613" s="6" t="n"/>
      <c r="F2613" s="6" t="n"/>
      <c r="G2613" s="6" t="n"/>
      <c r="H2613" s="6" t="n"/>
      <c r="I2613" s="12">
        <f>IF($B2613="","",IF(COUNTIF(Ventes_Factures!$A$6:$A$3005,$B2613)&gt;0,"OK","INCONNUE"))</f>
        <v/>
      </c>
      <c r="J2613" s="9">
        <f>IF($D2613="","",ROUND($D2613,2))</f>
        <v/>
      </c>
    </row>
    <row r="2614">
      <c r="A2614" s="6" t="n"/>
      <c r="B2614" s="6" t="n"/>
      <c r="C2614" s="7" t="n"/>
      <c r="D2614" s="8" t="n"/>
      <c r="E2614" s="6" t="n"/>
      <c r="F2614" s="6" t="n"/>
      <c r="G2614" s="6" t="n"/>
      <c r="H2614" s="6" t="n"/>
      <c r="I2614" s="12">
        <f>IF($B2614="","",IF(COUNTIF(Ventes_Factures!$A$6:$A$3005,$B2614)&gt;0,"OK","INCONNUE"))</f>
        <v/>
      </c>
      <c r="J2614" s="9">
        <f>IF($D2614="","",ROUND($D2614,2))</f>
        <v/>
      </c>
    </row>
    <row r="2615">
      <c r="A2615" s="6" t="n"/>
      <c r="B2615" s="6" t="n"/>
      <c r="C2615" s="7" t="n"/>
      <c r="D2615" s="8" t="n"/>
      <c r="E2615" s="6" t="n"/>
      <c r="F2615" s="6" t="n"/>
      <c r="G2615" s="6" t="n"/>
      <c r="H2615" s="6" t="n"/>
      <c r="I2615" s="12">
        <f>IF($B2615="","",IF(COUNTIF(Ventes_Factures!$A$6:$A$3005,$B2615)&gt;0,"OK","INCONNUE"))</f>
        <v/>
      </c>
      <c r="J2615" s="9">
        <f>IF($D2615="","",ROUND($D2615,2))</f>
        <v/>
      </c>
    </row>
    <row r="2616">
      <c r="A2616" s="6" t="n"/>
      <c r="B2616" s="6" t="n"/>
      <c r="C2616" s="7" t="n"/>
      <c r="D2616" s="8" t="n"/>
      <c r="E2616" s="6" t="n"/>
      <c r="F2616" s="6" t="n"/>
      <c r="G2616" s="6" t="n"/>
      <c r="H2616" s="6" t="n"/>
      <c r="I2616" s="12">
        <f>IF($B2616="","",IF(COUNTIF(Ventes_Factures!$A$6:$A$3005,$B2616)&gt;0,"OK","INCONNUE"))</f>
        <v/>
      </c>
      <c r="J2616" s="9">
        <f>IF($D2616="","",ROUND($D2616,2))</f>
        <v/>
      </c>
    </row>
    <row r="2617">
      <c r="A2617" s="6" t="n"/>
      <c r="B2617" s="6" t="n"/>
      <c r="C2617" s="7" t="n"/>
      <c r="D2617" s="8" t="n"/>
      <c r="E2617" s="6" t="n"/>
      <c r="F2617" s="6" t="n"/>
      <c r="G2617" s="6" t="n"/>
      <c r="H2617" s="6" t="n"/>
      <c r="I2617" s="12">
        <f>IF($B2617="","",IF(COUNTIF(Ventes_Factures!$A$6:$A$3005,$B2617)&gt;0,"OK","INCONNUE"))</f>
        <v/>
      </c>
      <c r="J2617" s="9">
        <f>IF($D2617="","",ROUND($D2617,2))</f>
        <v/>
      </c>
    </row>
    <row r="2618">
      <c r="A2618" s="6" t="n"/>
      <c r="B2618" s="6" t="n"/>
      <c r="C2618" s="7" t="n"/>
      <c r="D2618" s="8" t="n"/>
      <c r="E2618" s="6" t="n"/>
      <c r="F2618" s="6" t="n"/>
      <c r="G2618" s="6" t="n"/>
      <c r="H2618" s="6" t="n"/>
      <c r="I2618" s="12">
        <f>IF($B2618="","",IF(COUNTIF(Ventes_Factures!$A$6:$A$3005,$B2618)&gt;0,"OK","INCONNUE"))</f>
        <v/>
      </c>
      <c r="J2618" s="9">
        <f>IF($D2618="","",ROUND($D2618,2))</f>
        <v/>
      </c>
    </row>
    <row r="2619">
      <c r="A2619" s="6" t="n"/>
      <c r="B2619" s="6" t="n"/>
      <c r="C2619" s="7" t="n"/>
      <c r="D2619" s="8" t="n"/>
      <c r="E2619" s="6" t="n"/>
      <c r="F2619" s="6" t="n"/>
      <c r="G2619" s="6" t="n"/>
      <c r="H2619" s="6" t="n"/>
      <c r="I2619" s="12">
        <f>IF($B2619="","",IF(COUNTIF(Ventes_Factures!$A$6:$A$3005,$B2619)&gt;0,"OK","INCONNUE"))</f>
        <v/>
      </c>
      <c r="J2619" s="9">
        <f>IF($D2619="","",ROUND($D2619,2))</f>
        <v/>
      </c>
    </row>
    <row r="2620">
      <c r="A2620" s="6" t="n"/>
      <c r="B2620" s="6" t="n"/>
      <c r="C2620" s="7" t="n"/>
      <c r="D2620" s="8" t="n"/>
      <c r="E2620" s="6" t="n"/>
      <c r="F2620" s="6" t="n"/>
      <c r="G2620" s="6" t="n"/>
      <c r="H2620" s="6" t="n"/>
      <c r="I2620" s="12">
        <f>IF($B2620="","",IF(COUNTIF(Ventes_Factures!$A$6:$A$3005,$B2620)&gt;0,"OK","INCONNUE"))</f>
        <v/>
      </c>
      <c r="J2620" s="9">
        <f>IF($D2620="","",ROUND($D2620,2))</f>
        <v/>
      </c>
    </row>
    <row r="2621">
      <c r="A2621" s="6" t="n"/>
      <c r="B2621" s="6" t="n"/>
      <c r="C2621" s="7" t="n"/>
      <c r="D2621" s="8" t="n"/>
      <c r="E2621" s="6" t="n"/>
      <c r="F2621" s="6" t="n"/>
      <c r="G2621" s="6" t="n"/>
      <c r="H2621" s="6" t="n"/>
      <c r="I2621" s="12">
        <f>IF($B2621="","",IF(COUNTIF(Ventes_Factures!$A$6:$A$3005,$B2621)&gt;0,"OK","INCONNUE"))</f>
        <v/>
      </c>
      <c r="J2621" s="9">
        <f>IF($D2621="","",ROUND($D2621,2))</f>
        <v/>
      </c>
    </row>
    <row r="2622">
      <c r="A2622" s="6" t="n"/>
      <c r="B2622" s="6" t="n"/>
      <c r="C2622" s="7" t="n"/>
      <c r="D2622" s="8" t="n"/>
      <c r="E2622" s="6" t="n"/>
      <c r="F2622" s="6" t="n"/>
      <c r="G2622" s="6" t="n"/>
      <c r="H2622" s="6" t="n"/>
      <c r="I2622" s="12">
        <f>IF($B2622="","",IF(COUNTIF(Ventes_Factures!$A$6:$A$3005,$B2622)&gt;0,"OK","INCONNUE"))</f>
        <v/>
      </c>
      <c r="J2622" s="9">
        <f>IF($D2622="","",ROUND($D2622,2))</f>
        <v/>
      </c>
    </row>
    <row r="2623">
      <c r="A2623" s="6" t="n"/>
      <c r="B2623" s="6" t="n"/>
      <c r="C2623" s="7" t="n"/>
      <c r="D2623" s="8" t="n"/>
      <c r="E2623" s="6" t="n"/>
      <c r="F2623" s="6" t="n"/>
      <c r="G2623" s="6" t="n"/>
      <c r="H2623" s="6" t="n"/>
      <c r="I2623" s="12">
        <f>IF($B2623="","",IF(COUNTIF(Ventes_Factures!$A$6:$A$3005,$B2623)&gt;0,"OK","INCONNUE"))</f>
        <v/>
      </c>
      <c r="J2623" s="9">
        <f>IF($D2623="","",ROUND($D2623,2))</f>
        <v/>
      </c>
    </row>
    <row r="2624">
      <c r="A2624" s="6" t="n"/>
      <c r="B2624" s="6" t="n"/>
      <c r="C2624" s="7" t="n"/>
      <c r="D2624" s="8" t="n"/>
      <c r="E2624" s="6" t="n"/>
      <c r="F2624" s="6" t="n"/>
      <c r="G2624" s="6" t="n"/>
      <c r="H2624" s="6" t="n"/>
      <c r="I2624" s="12">
        <f>IF($B2624="","",IF(COUNTIF(Ventes_Factures!$A$6:$A$3005,$B2624)&gt;0,"OK","INCONNUE"))</f>
        <v/>
      </c>
      <c r="J2624" s="9">
        <f>IF($D2624="","",ROUND($D2624,2))</f>
        <v/>
      </c>
    </row>
    <row r="2625">
      <c r="A2625" s="6" t="n"/>
      <c r="B2625" s="6" t="n"/>
      <c r="C2625" s="7" t="n"/>
      <c r="D2625" s="8" t="n"/>
      <c r="E2625" s="6" t="n"/>
      <c r="F2625" s="6" t="n"/>
      <c r="G2625" s="6" t="n"/>
      <c r="H2625" s="6" t="n"/>
      <c r="I2625" s="12">
        <f>IF($B2625="","",IF(COUNTIF(Ventes_Factures!$A$6:$A$3005,$B2625)&gt;0,"OK","INCONNUE"))</f>
        <v/>
      </c>
      <c r="J2625" s="9">
        <f>IF($D2625="","",ROUND($D2625,2))</f>
        <v/>
      </c>
    </row>
    <row r="2626">
      <c r="A2626" s="6" t="n"/>
      <c r="B2626" s="6" t="n"/>
      <c r="C2626" s="7" t="n"/>
      <c r="D2626" s="8" t="n"/>
      <c r="E2626" s="6" t="n"/>
      <c r="F2626" s="6" t="n"/>
      <c r="G2626" s="6" t="n"/>
      <c r="H2626" s="6" t="n"/>
      <c r="I2626" s="12">
        <f>IF($B2626="","",IF(COUNTIF(Ventes_Factures!$A$6:$A$3005,$B2626)&gt;0,"OK","INCONNUE"))</f>
        <v/>
      </c>
      <c r="J2626" s="9">
        <f>IF($D2626="","",ROUND($D2626,2))</f>
        <v/>
      </c>
    </row>
    <row r="2627">
      <c r="A2627" s="6" t="n"/>
      <c r="B2627" s="6" t="n"/>
      <c r="C2627" s="7" t="n"/>
      <c r="D2627" s="8" t="n"/>
      <c r="E2627" s="6" t="n"/>
      <c r="F2627" s="6" t="n"/>
      <c r="G2627" s="6" t="n"/>
      <c r="H2627" s="6" t="n"/>
      <c r="I2627" s="12">
        <f>IF($B2627="","",IF(COUNTIF(Ventes_Factures!$A$6:$A$3005,$B2627)&gt;0,"OK","INCONNUE"))</f>
        <v/>
      </c>
      <c r="J2627" s="9">
        <f>IF($D2627="","",ROUND($D2627,2))</f>
        <v/>
      </c>
    </row>
    <row r="2628">
      <c r="A2628" s="6" t="n"/>
      <c r="B2628" s="6" t="n"/>
      <c r="C2628" s="7" t="n"/>
      <c r="D2628" s="8" t="n"/>
      <c r="E2628" s="6" t="n"/>
      <c r="F2628" s="6" t="n"/>
      <c r="G2628" s="6" t="n"/>
      <c r="H2628" s="6" t="n"/>
      <c r="I2628" s="12">
        <f>IF($B2628="","",IF(COUNTIF(Ventes_Factures!$A$6:$A$3005,$B2628)&gt;0,"OK","INCONNUE"))</f>
        <v/>
      </c>
      <c r="J2628" s="9">
        <f>IF($D2628="","",ROUND($D2628,2))</f>
        <v/>
      </c>
    </row>
    <row r="2629">
      <c r="A2629" s="6" t="n"/>
      <c r="B2629" s="6" t="n"/>
      <c r="C2629" s="7" t="n"/>
      <c r="D2629" s="8" t="n"/>
      <c r="E2629" s="6" t="n"/>
      <c r="F2629" s="6" t="n"/>
      <c r="G2629" s="6" t="n"/>
      <c r="H2629" s="6" t="n"/>
      <c r="I2629" s="12">
        <f>IF($B2629="","",IF(COUNTIF(Ventes_Factures!$A$6:$A$3005,$B2629)&gt;0,"OK","INCONNUE"))</f>
        <v/>
      </c>
      <c r="J2629" s="9">
        <f>IF($D2629="","",ROUND($D2629,2))</f>
        <v/>
      </c>
    </row>
    <row r="2630">
      <c r="A2630" s="6" t="n"/>
      <c r="B2630" s="6" t="n"/>
      <c r="C2630" s="7" t="n"/>
      <c r="D2630" s="8" t="n"/>
      <c r="E2630" s="6" t="n"/>
      <c r="F2630" s="6" t="n"/>
      <c r="G2630" s="6" t="n"/>
      <c r="H2630" s="6" t="n"/>
      <c r="I2630" s="12">
        <f>IF($B2630="","",IF(COUNTIF(Ventes_Factures!$A$6:$A$3005,$B2630)&gt;0,"OK","INCONNUE"))</f>
        <v/>
      </c>
      <c r="J2630" s="9">
        <f>IF($D2630="","",ROUND($D2630,2))</f>
        <v/>
      </c>
    </row>
    <row r="2631">
      <c r="A2631" s="6" t="n"/>
      <c r="B2631" s="6" t="n"/>
      <c r="C2631" s="7" t="n"/>
      <c r="D2631" s="8" t="n"/>
      <c r="E2631" s="6" t="n"/>
      <c r="F2631" s="6" t="n"/>
      <c r="G2631" s="6" t="n"/>
      <c r="H2631" s="6" t="n"/>
      <c r="I2631" s="12">
        <f>IF($B2631="","",IF(COUNTIF(Ventes_Factures!$A$6:$A$3005,$B2631)&gt;0,"OK","INCONNUE"))</f>
        <v/>
      </c>
      <c r="J2631" s="9">
        <f>IF($D2631="","",ROUND($D2631,2))</f>
        <v/>
      </c>
    </row>
    <row r="2632">
      <c r="A2632" s="6" t="n"/>
      <c r="B2632" s="6" t="n"/>
      <c r="C2632" s="7" t="n"/>
      <c r="D2632" s="8" t="n"/>
      <c r="E2632" s="6" t="n"/>
      <c r="F2632" s="6" t="n"/>
      <c r="G2632" s="6" t="n"/>
      <c r="H2632" s="6" t="n"/>
      <c r="I2632" s="12">
        <f>IF($B2632="","",IF(COUNTIF(Ventes_Factures!$A$6:$A$3005,$B2632)&gt;0,"OK","INCONNUE"))</f>
        <v/>
      </c>
      <c r="J2632" s="9">
        <f>IF($D2632="","",ROUND($D2632,2))</f>
        <v/>
      </c>
    </row>
    <row r="2633">
      <c r="A2633" s="6" t="n"/>
      <c r="B2633" s="6" t="n"/>
      <c r="C2633" s="7" t="n"/>
      <c r="D2633" s="8" t="n"/>
      <c r="E2633" s="6" t="n"/>
      <c r="F2633" s="6" t="n"/>
      <c r="G2633" s="6" t="n"/>
      <c r="H2633" s="6" t="n"/>
      <c r="I2633" s="12">
        <f>IF($B2633="","",IF(COUNTIF(Ventes_Factures!$A$6:$A$3005,$B2633)&gt;0,"OK","INCONNUE"))</f>
        <v/>
      </c>
      <c r="J2633" s="9">
        <f>IF($D2633="","",ROUND($D2633,2))</f>
        <v/>
      </c>
    </row>
    <row r="2634">
      <c r="A2634" s="6" t="n"/>
      <c r="B2634" s="6" t="n"/>
      <c r="C2634" s="7" t="n"/>
      <c r="D2634" s="8" t="n"/>
      <c r="E2634" s="6" t="n"/>
      <c r="F2634" s="6" t="n"/>
      <c r="G2634" s="6" t="n"/>
      <c r="H2634" s="6" t="n"/>
      <c r="I2634" s="12">
        <f>IF($B2634="","",IF(COUNTIF(Ventes_Factures!$A$6:$A$3005,$B2634)&gt;0,"OK","INCONNUE"))</f>
        <v/>
      </c>
      <c r="J2634" s="9">
        <f>IF($D2634="","",ROUND($D2634,2))</f>
        <v/>
      </c>
    </row>
    <row r="2635">
      <c r="A2635" s="6" t="n"/>
      <c r="B2635" s="6" t="n"/>
      <c r="C2635" s="7" t="n"/>
      <c r="D2635" s="8" t="n"/>
      <c r="E2635" s="6" t="n"/>
      <c r="F2635" s="6" t="n"/>
      <c r="G2635" s="6" t="n"/>
      <c r="H2635" s="6" t="n"/>
      <c r="I2635" s="12">
        <f>IF($B2635="","",IF(COUNTIF(Ventes_Factures!$A$6:$A$3005,$B2635)&gt;0,"OK","INCONNUE"))</f>
        <v/>
      </c>
      <c r="J2635" s="9">
        <f>IF($D2635="","",ROUND($D2635,2))</f>
        <v/>
      </c>
    </row>
    <row r="2636">
      <c r="A2636" s="6" t="n"/>
      <c r="B2636" s="6" t="n"/>
      <c r="C2636" s="7" t="n"/>
      <c r="D2636" s="8" t="n"/>
      <c r="E2636" s="6" t="n"/>
      <c r="F2636" s="6" t="n"/>
      <c r="G2636" s="6" t="n"/>
      <c r="H2636" s="6" t="n"/>
      <c r="I2636" s="12">
        <f>IF($B2636="","",IF(COUNTIF(Ventes_Factures!$A$6:$A$3005,$B2636)&gt;0,"OK","INCONNUE"))</f>
        <v/>
      </c>
      <c r="J2636" s="9">
        <f>IF($D2636="","",ROUND($D2636,2))</f>
        <v/>
      </c>
    </row>
    <row r="2637">
      <c r="A2637" s="6" t="n"/>
      <c r="B2637" s="6" t="n"/>
      <c r="C2637" s="7" t="n"/>
      <c r="D2637" s="8" t="n"/>
      <c r="E2637" s="6" t="n"/>
      <c r="F2637" s="6" t="n"/>
      <c r="G2637" s="6" t="n"/>
      <c r="H2637" s="6" t="n"/>
      <c r="I2637" s="12">
        <f>IF($B2637="","",IF(COUNTIF(Ventes_Factures!$A$6:$A$3005,$B2637)&gt;0,"OK","INCONNUE"))</f>
        <v/>
      </c>
      <c r="J2637" s="9">
        <f>IF($D2637="","",ROUND($D2637,2))</f>
        <v/>
      </c>
    </row>
    <row r="2638">
      <c r="A2638" s="6" t="n"/>
      <c r="B2638" s="6" t="n"/>
      <c r="C2638" s="7" t="n"/>
      <c r="D2638" s="8" t="n"/>
      <c r="E2638" s="6" t="n"/>
      <c r="F2638" s="6" t="n"/>
      <c r="G2638" s="6" t="n"/>
      <c r="H2638" s="6" t="n"/>
      <c r="I2638" s="12">
        <f>IF($B2638="","",IF(COUNTIF(Ventes_Factures!$A$6:$A$3005,$B2638)&gt;0,"OK","INCONNUE"))</f>
        <v/>
      </c>
      <c r="J2638" s="9">
        <f>IF($D2638="","",ROUND($D2638,2))</f>
        <v/>
      </c>
    </row>
    <row r="2639">
      <c r="A2639" s="6" t="n"/>
      <c r="B2639" s="6" t="n"/>
      <c r="C2639" s="7" t="n"/>
      <c r="D2639" s="8" t="n"/>
      <c r="E2639" s="6" t="n"/>
      <c r="F2639" s="6" t="n"/>
      <c r="G2639" s="6" t="n"/>
      <c r="H2639" s="6" t="n"/>
      <c r="I2639" s="12">
        <f>IF($B2639="","",IF(COUNTIF(Ventes_Factures!$A$6:$A$3005,$B2639)&gt;0,"OK","INCONNUE"))</f>
        <v/>
      </c>
      <c r="J2639" s="9">
        <f>IF($D2639="","",ROUND($D2639,2))</f>
        <v/>
      </c>
    </row>
    <row r="2640">
      <c r="A2640" s="6" t="n"/>
      <c r="B2640" s="6" t="n"/>
      <c r="C2640" s="7" t="n"/>
      <c r="D2640" s="8" t="n"/>
      <c r="E2640" s="6" t="n"/>
      <c r="F2640" s="6" t="n"/>
      <c r="G2640" s="6" t="n"/>
      <c r="H2640" s="6" t="n"/>
      <c r="I2640" s="12">
        <f>IF($B2640="","",IF(COUNTIF(Ventes_Factures!$A$6:$A$3005,$B2640)&gt;0,"OK","INCONNUE"))</f>
        <v/>
      </c>
      <c r="J2640" s="9">
        <f>IF($D2640="","",ROUND($D2640,2))</f>
        <v/>
      </c>
    </row>
    <row r="2641">
      <c r="A2641" s="6" t="n"/>
      <c r="B2641" s="6" t="n"/>
      <c r="C2641" s="7" t="n"/>
      <c r="D2641" s="8" t="n"/>
      <c r="E2641" s="6" t="n"/>
      <c r="F2641" s="6" t="n"/>
      <c r="G2641" s="6" t="n"/>
      <c r="H2641" s="6" t="n"/>
      <c r="I2641" s="12">
        <f>IF($B2641="","",IF(COUNTIF(Ventes_Factures!$A$6:$A$3005,$B2641)&gt;0,"OK","INCONNUE"))</f>
        <v/>
      </c>
      <c r="J2641" s="9">
        <f>IF($D2641="","",ROUND($D2641,2))</f>
        <v/>
      </c>
    </row>
    <row r="2642">
      <c r="A2642" s="6" t="n"/>
      <c r="B2642" s="6" t="n"/>
      <c r="C2642" s="7" t="n"/>
      <c r="D2642" s="8" t="n"/>
      <c r="E2642" s="6" t="n"/>
      <c r="F2642" s="6" t="n"/>
      <c r="G2642" s="6" t="n"/>
      <c r="H2642" s="6" t="n"/>
      <c r="I2642" s="12">
        <f>IF($B2642="","",IF(COUNTIF(Ventes_Factures!$A$6:$A$3005,$B2642)&gt;0,"OK","INCONNUE"))</f>
        <v/>
      </c>
      <c r="J2642" s="9">
        <f>IF($D2642="","",ROUND($D2642,2))</f>
        <v/>
      </c>
    </row>
    <row r="2643">
      <c r="A2643" s="6" t="n"/>
      <c r="B2643" s="6" t="n"/>
      <c r="C2643" s="7" t="n"/>
      <c r="D2643" s="8" t="n"/>
      <c r="E2643" s="6" t="n"/>
      <c r="F2643" s="6" t="n"/>
      <c r="G2643" s="6" t="n"/>
      <c r="H2643" s="6" t="n"/>
      <c r="I2643" s="12">
        <f>IF($B2643="","",IF(COUNTIF(Ventes_Factures!$A$6:$A$3005,$B2643)&gt;0,"OK","INCONNUE"))</f>
        <v/>
      </c>
      <c r="J2643" s="9">
        <f>IF($D2643="","",ROUND($D2643,2))</f>
        <v/>
      </c>
    </row>
    <row r="2644">
      <c r="A2644" s="6" t="n"/>
      <c r="B2644" s="6" t="n"/>
      <c r="C2644" s="7" t="n"/>
      <c r="D2644" s="8" t="n"/>
      <c r="E2644" s="6" t="n"/>
      <c r="F2644" s="6" t="n"/>
      <c r="G2644" s="6" t="n"/>
      <c r="H2644" s="6" t="n"/>
      <c r="I2644" s="12">
        <f>IF($B2644="","",IF(COUNTIF(Ventes_Factures!$A$6:$A$3005,$B2644)&gt;0,"OK","INCONNUE"))</f>
        <v/>
      </c>
      <c r="J2644" s="9">
        <f>IF($D2644="","",ROUND($D2644,2))</f>
        <v/>
      </c>
    </row>
    <row r="2645">
      <c r="A2645" s="6" t="n"/>
      <c r="B2645" s="6" t="n"/>
      <c r="C2645" s="7" t="n"/>
      <c r="D2645" s="8" t="n"/>
      <c r="E2645" s="6" t="n"/>
      <c r="F2645" s="6" t="n"/>
      <c r="G2645" s="6" t="n"/>
      <c r="H2645" s="6" t="n"/>
      <c r="I2645" s="12">
        <f>IF($B2645="","",IF(COUNTIF(Ventes_Factures!$A$6:$A$3005,$B2645)&gt;0,"OK","INCONNUE"))</f>
        <v/>
      </c>
      <c r="J2645" s="9">
        <f>IF($D2645="","",ROUND($D2645,2))</f>
        <v/>
      </c>
    </row>
    <row r="2646">
      <c r="A2646" s="6" t="n"/>
      <c r="B2646" s="6" t="n"/>
      <c r="C2646" s="7" t="n"/>
      <c r="D2646" s="8" t="n"/>
      <c r="E2646" s="6" t="n"/>
      <c r="F2646" s="6" t="n"/>
      <c r="G2646" s="6" t="n"/>
      <c r="H2646" s="6" t="n"/>
      <c r="I2646" s="12">
        <f>IF($B2646="","",IF(COUNTIF(Ventes_Factures!$A$6:$A$3005,$B2646)&gt;0,"OK","INCONNUE"))</f>
        <v/>
      </c>
      <c r="J2646" s="9">
        <f>IF($D2646="","",ROUND($D2646,2))</f>
        <v/>
      </c>
    </row>
    <row r="2647">
      <c r="A2647" s="6" t="n"/>
      <c r="B2647" s="6" t="n"/>
      <c r="C2647" s="7" t="n"/>
      <c r="D2647" s="8" t="n"/>
      <c r="E2647" s="6" t="n"/>
      <c r="F2647" s="6" t="n"/>
      <c r="G2647" s="6" t="n"/>
      <c r="H2647" s="6" t="n"/>
      <c r="I2647" s="12">
        <f>IF($B2647="","",IF(COUNTIF(Ventes_Factures!$A$6:$A$3005,$B2647)&gt;0,"OK","INCONNUE"))</f>
        <v/>
      </c>
      <c r="J2647" s="9">
        <f>IF($D2647="","",ROUND($D2647,2))</f>
        <v/>
      </c>
    </row>
    <row r="2648">
      <c r="A2648" s="6" t="n"/>
      <c r="B2648" s="6" t="n"/>
      <c r="C2648" s="7" t="n"/>
      <c r="D2648" s="8" t="n"/>
      <c r="E2648" s="6" t="n"/>
      <c r="F2648" s="6" t="n"/>
      <c r="G2648" s="6" t="n"/>
      <c r="H2648" s="6" t="n"/>
      <c r="I2648" s="12">
        <f>IF($B2648="","",IF(COUNTIF(Ventes_Factures!$A$6:$A$3005,$B2648)&gt;0,"OK","INCONNUE"))</f>
        <v/>
      </c>
      <c r="J2648" s="9">
        <f>IF($D2648="","",ROUND($D2648,2))</f>
        <v/>
      </c>
    </row>
    <row r="2649">
      <c r="A2649" s="6" t="n"/>
      <c r="B2649" s="6" t="n"/>
      <c r="C2649" s="7" t="n"/>
      <c r="D2649" s="8" t="n"/>
      <c r="E2649" s="6" t="n"/>
      <c r="F2649" s="6" t="n"/>
      <c r="G2649" s="6" t="n"/>
      <c r="H2649" s="6" t="n"/>
      <c r="I2649" s="12">
        <f>IF($B2649="","",IF(COUNTIF(Ventes_Factures!$A$6:$A$3005,$B2649)&gt;0,"OK","INCONNUE"))</f>
        <v/>
      </c>
      <c r="J2649" s="9">
        <f>IF($D2649="","",ROUND($D2649,2))</f>
        <v/>
      </c>
    </row>
    <row r="2650">
      <c r="A2650" s="6" t="n"/>
      <c r="B2650" s="6" t="n"/>
      <c r="C2650" s="7" t="n"/>
      <c r="D2650" s="8" t="n"/>
      <c r="E2650" s="6" t="n"/>
      <c r="F2650" s="6" t="n"/>
      <c r="G2650" s="6" t="n"/>
      <c r="H2650" s="6" t="n"/>
      <c r="I2650" s="12">
        <f>IF($B2650="","",IF(COUNTIF(Ventes_Factures!$A$6:$A$3005,$B2650)&gt;0,"OK","INCONNUE"))</f>
        <v/>
      </c>
      <c r="J2650" s="9">
        <f>IF($D2650="","",ROUND($D2650,2))</f>
        <v/>
      </c>
    </row>
    <row r="2651">
      <c r="A2651" s="6" t="n"/>
      <c r="B2651" s="6" t="n"/>
      <c r="C2651" s="7" t="n"/>
      <c r="D2651" s="8" t="n"/>
      <c r="E2651" s="6" t="n"/>
      <c r="F2651" s="6" t="n"/>
      <c r="G2651" s="6" t="n"/>
      <c r="H2651" s="6" t="n"/>
      <c r="I2651" s="12">
        <f>IF($B2651="","",IF(COUNTIF(Ventes_Factures!$A$6:$A$3005,$B2651)&gt;0,"OK","INCONNUE"))</f>
        <v/>
      </c>
      <c r="J2651" s="9">
        <f>IF($D2651="","",ROUND($D2651,2))</f>
        <v/>
      </c>
    </row>
    <row r="2652">
      <c r="A2652" s="6" t="n"/>
      <c r="B2652" s="6" t="n"/>
      <c r="C2652" s="7" t="n"/>
      <c r="D2652" s="8" t="n"/>
      <c r="E2652" s="6" t="n"/>
      <c r="F2652" s="6" t="n"/>
      <c r="G2652" s="6" t="n"/>
      <c r="H2652" s="6" t="n"/>
      <c r="I2652" s="12">
        <f>IF($B2652="","",IF(COUNTIF(Ventes_Factures!$A$6:$A$3005,$B2652)&gt;0,"OK","INCONNUE"))</f>
        <v/>
      </c>
      <c r="J2652" s="9">
        <f>IF($D2652="","",ROUND($D2652,2))</f>
        <v/>
      </c>
    </row>
    <row r="2653">
      <c r="A2653" s="6" t="n"/>
      <c r="B2653" s="6" t="n"/>
      <c r="C2653" s="7" t="n"/>
      <c r="D2653" s="8" t="n"/>
      <c r="E2653" s="6" t="n"/>
      <c r="F2653" s="6" t="n"/>
      <c r="G2653" s="6" t="n"/>
      <c r="H2653" s="6" t="n"/>
      <c r="I2653" s="12">
        <f>IF($B2653="","",IF(COUNTIF(Ventes_Factures!$A$6:$A$3005,$B2653)&gt;0,"OK","INCONNUE"))</f>
        <v/>
      </c>
      <c r="J2653" s="9">
        <f>IF($D2653="","",ROUND($D2653,2))</f>
        <v/>
      </c>
    </row>
    <row r="2654">
      <c r="A2654" s="6" t="n"/>
      <c r="B2654" s="6" t="n"/>
      <c r="C2654" s="7" t="n"/>
      <c r="D2654" s="8" t="n"/>
      <c r="E2654" s="6" t="n"/>
      <c r="F2654" s="6" t="n"/>
      <c r="G2654" s="6" t="n"/>
      <c r="H2654" s="6" t="n"/>
      <c r="I2654" s="12">
        <f>IF($B2654="","",IF(COUNTIF(Ventes_Factures!$A$6:$A$3005,$B2654)&gt;0,"OK","INCONNUE"))</f>
        <v/>
      </c>
      <c r="J2654" s="9">
        <f>IF($D2654="","",ROUND($D2654,2))</f>
        <v/>
      </c>
    </row>
    <row r="2655">
      <c r="A2655" s="6" t="n"/>
      <c r="B2655" s="6" t="n"/>
      <c r="C2655" s="7" t="n"/>
      <c r="D2655" s="8" t="n"/>
      <c r="E2655" s="6" t="n"/>
      <c r="F2655" s="6" t="n"/>
      <c r="G2655" s="6" t="n"/>
      <c r="H2655" s="6" t="n"/>
      <c r="I2655" s="12">
        <f>IF($B2655="","",IF(COUNTIF(Ventes_Factures!$A$6:$A$3005,$B2655)&gt;0,"OK","INCONNUE"))</f>
        <v/>
      </c>
      <c r="J2655" s="9">
        <f>IF($D2655="","",ROUND($D2655,2))</f>
        <v/>
      </c>
    </row>
    <row r="2656">
      <c r="A2656" s="6" t="n"/>
      <c r="B2656" s="6" t="n"/>
      <c r="C2656" s="7" t="n"/>
      <c r="D2656" s="8" t="n"/>
      <c r="E2656" s="6" t="n"/>
      <c r="F2656" s="6" t="n"/>
      <c r="G2656" s="6" t="n"/>
      <c r="H2656" s="6" t="n"/>
      <c r="I2656" s="12">
        <f>IF($B2656="","",IF(COUNTIF(Ventes_Factures!$A$6:$A$3005,$B2656)&gt;0,"OK","INCONNUE"))</f>
        <v/>
      </c>
      <c r="J2656" s="9">
        <f>IF($D2656="","",ROUND($D2656,2))</f>
        <v/>
      </c>
    </row>
    <row r="2657">
      <c r="A2657" s="6" t="n"/>
      <c r="B2657" s="6" t="n"/>
      <c r="C2657" s="7" t="n"/>
      <c r="D2657" s="8" t="n"/>
      <c r="E2657" s="6" t="n"/>
      <c r="F2657" s="6" t="n"/>
      <c r="G2657" s="6" t="n"/>
      <c r="H2657" s="6" t="n"/>
      <c r="I2657" s="12">
        <f>IF($B2657="","",IF(COUNTIF(Ventes_Factures!$A$6:$A$3005,$B2657)&gt;0,"OK","INCONNUE"))</f>
        <v/>
      </c>
      <c r="J2657" s="9">
        <f>IF($D2657="","",ROUND($D2657,2))</f>
        <v/>
      </c>
    </row>
    <row r="2658">
      <c r="A2658" s="6" t="n"/>
      <c r="B2658" s="6" t="n"/>
      <c r="C2658" s="7" t="n"/>
      <c r="D2658" s="8" t="n"/>
      <c r="E2658" s="6" t="n"/>
      <c r="F2658" s="6" t="n"/>
      <c r="G2658" s="6" t="n"/>
      <c r="H2658" s="6" t="n"/>
      <c r="I2658" s="12">
        <f>IF($B2658="","",IF(COUNTIF(Ventes_Factures!$A$6:$A$3005,$B2658)&gt;0,"OK","INCONNUE"))</f>
        <v/>
      </c>
      <c r="J2658" s="9">
        <f>IF($D2658="","",ROUND($D2658,2))</f>
        <v/>
      </c>
    </row>
    <row r="2659">
      <c r="A2659" s="6" t="n"/>
      <c r="B2659" s="6" t="n"/>
      <c r="C2659" s="7" t="n"/>
      <c r="D2659" s="8" t="n"/>
      <c r="E2659" s="6" t="n"/>
      <c r="F2659" s="6" t="n"/>
      <c r="G2659" s="6" t="n"/>
      <c r="H2659" s="6" t="n"/>
      <c r="I2659" s="12">
        <f>IF($B2659="","",IF(COUNTIF(Ventes_Factures!$A$6:$A$3005,$B2659)&gt;0,"OK","INCONNUE"))</f>
        <v/>
      </c>
      <c r="J2659" s="9">
        <f>IF($D2659="","",ROUND($D2659,2))</f>
        <v/>
      </c>
    </row>
    <row r="2660">
      <c r="A2660" s="6" t="n"/>
      <c r="B2660" s="6" t="n"/>
      <c r="C2660" s="7" t="n"/>
      <c r="D2660" s="8" t="n"/>
      <c r="E2660" s="6" t="n"/>
      <c r="F2660" s="6" t="n"/>
      <c r="G2660" s="6" t="n"/>
      <c r="H2660" s="6" t="n"/>
      <c r="I2660" s="12">
        <f>IF($B2660="","",IF(COUNTIF(Ventes_Factures!$A$6:$A$3005,$B2660)&gt;0,"OK","INCONNUE"))</f>
        <v/>
      </c>
      <c r="J2660" s="9">
        <f>IF($D2660="","",ROUND($D2660,2))</f>
        <v/>
      </c>
    </row>
    <row r="2661">
      <c r="A2661" s="6" t="n"/>
      <c r="B2661" s="6" t="n"/>
      <c r="C2661" s="7" t="n"/>
      <c r="D2661" s="8" t="n"/>
      <c r="E2661" s="6" t="n"/>
      <c r="F2661" s="6" t="n"/>
      <c r="G2661" s="6" t="n"/>
      <c r="H2661" s="6" t="n"/>
      <c r="I2661" s="12">
        <f>IF($B2661="","",IF(COUNTIF(Ventes_Factures!$A$6:$A$3005,$B2661)&gt;0,"OK","INCONNUE"))</f>
        <v/>
      </c>
      <c r="J2661" s="9">
        <f>IF($D2661="","",ROUND($D2661,2))</f>
        <v/>
      </c>
    </row>
    <row r="2662">
      <c r="A2662" s="6" t="n"/>
      <c r="B2662" s="6" t="n"/>
      <c r="C2662" s="7" t="n"/>
      <c r="D2662" s="8" t="n"/>
      <c r="E2662" s="6" t="n"/>
      <c r="F2662" s="6" t="n"/>
      <c r="G2662" s="6" t="n"/>
      <c r="H2662" s="6" t="n"/>
      <c r="I2662" s="12">
        <f>IF($B2662="","",IF(COUNTIF(Ventes_Factures!$A$6:$A$3005,$B2662)&gt;0,"OK","INCONNUE"))</f>
        <v/>
      </c>
      <c r="J2662" s="9">
        <f>IF($D2662="","",ROUND($D2662,2))</f>
        <v/>
      </c>
    </row>
    <row r="2663">
      <c r="A2663" s="6" t="n"/>
      <c r="B2663" s="6" t="n"/>
      <c r="C2663" s="7" t="n"/>
      <c r="D2663" s="8" t="n"/>
      <c r="E2663" s="6" t="n"/>
      <c r="F2663" s="6" t="n"/>
      <c r="G2663" s="6" t="n"/>
      <c r="H2663" s="6" t="n"/>
      <c r="I2663" s="12">
        <f>IF($B2663="","",IF(COUNTIF(Ventes_Factures!$A$6:$A$3005,$B2663)&gt;0,"OK","INCONNUE"))</f>
        <v/>
      </c>
      <c r="J2663" s="9">
        <f>IF($D2663="","",ROUND($D2663,2))</f>
        <v/>
      </c>
    </row>
    <row r="2664">
      <c r="A2664" s="6" t="n"/>
      <c r="B2664" s="6" t="n"/>
      <c r="C2664" s="7" t="n"/>
      <c r="D2664" s="8" t="n"/>
      <c r="E2664" s="6" t="n"/>
      <c r="F2664" s="6" t="n"/>
      <c r="G2664" s="6" t="n"/>
      <c r="H2664" s="6" t="n"/>
      <c r="I2664" s="12">
        <f>IF($B2664="","",IF(COUNTIF(Ventes_Factures!$A$6:$A$3005,$B2664)&gt;0,"OK","INCONNUE"))</f>
        <v/>
      </c>
      <c r="J2664" s="9">
        <f>IF($D2664="","",ROUND($D2664,2))</f>
        <v/>
      </c>
    </row>
    <row r="2665">
      <c r="A2665" s="6" t="n"/>
      <c r="B2665" s="6" t="n"/>
      <c r="C2665" s="7" t="n"/>
      <c r="D2665" s="8" t="n"/>
      <c r="E2665" s="6" t="n"/>
      <c r="F2665" s="6" t="n"/>
      <c r="G2665" s="6" t="n"/>
      <c r="H2665" s="6" t="n"/>
      <c r="I2665" s="12">
        <f>IF($B2665="","",IF(COUNTIF(Ventes_Factures!$A$6:$A$3005,$B2665)&gt;0,"OK","INCONNUE"))</f>
        <v/>
      </c>
      <c r="J2665" s="9">
        <f>IF($D2665="","",ROUND($D2665,2))</f>
        <v/>
      </c>
    </row>
    <row r="2666">
      <c r="A2666" s="6" t="n"/>
      <c r="B2666" s="6" t="n"/>
      <c r="C2666" s="7" t="n"/>
      <c r="D2666" s="8" t="n"/>
      <c r="E2666" s="6" t="n"/>
      <c r="F2666" s="6" t="n"/>
      <c r="G2666" s="6" t="n"/>
      <c r="H2666" s="6" t="n"/>
      <c r="I2666" s="12">
        <f>IF($B2666="","",IF(COUNTIF(Ventes_Factures!$A$6:$A$3005,$B2666)&gt;0,"OK","INCONNUE"))</f>
        <v/>
      </c>
      <c r="J2666" s="9">
        <f>IF($D2666="","",ROUND($D2666,2))</f>
        <v/>
      </c>
    </row>
    <row r="2667">
      <c r="A2667" s="6" t="n"/>
      <c r="B2667" s="6" t="n"/>
      <c r="C2667" s="7" t="n"/>
      <c r="D2667" s="8" t="n"/>
      <c r="E2667" s="6" t="n"/>
      <c r="F2667" s="6" t="n"/>
      <c r="G2667" s="6" t="n"/>
      <c r="H2667" s="6" t="n"/>
      <c r="I2667" s="12">
        <f>IF($B2667="","",IF(COUNTIF(Ventes_Factures!$A$6:$A$3005,$B2667)&gt;0,"OK","INCONNUE"))</f>
        <v/>
      </c>
      <c r="J2667" s="9">
        <f>IF($D2667="","",ROUND($D2667,2))</f>
        <v/>
      </c>
    </row>
    <row r="2668">
      <c r="A2668" s="6" t="n"/>
      <c r="B2668" s="6" t="n"/>
      <c r="C2668" s="7" t="n"/>
      <c r="D2668" s="8" t="n"/>
      <c r="E2668" s="6" t="n"/>
      <c r="F2668" s="6" t="n"/>
      <c r="G2668" s="6" t="n"/>
      <c r="H2668" s="6" t="n"/>
      <c r="I2668" s="12">
        <f>IF($B2668="","",IF(COUNTIF(Ventes_Factures!$A$6:$A$3005,$B2668)&gt;0,"OK","INCONNUE"))</f>
        <v/>
      </c>
      <c r="J2668" s="9">
        <f>IF($D2668="","",ROUND($D2668,2))</f>
        <v/>
      </c>
    </row>
    <row r="2669">
      <c r="A2669" s="6" t="n"/>
      <c r="B2669" s="6" t="n"/>
      <c r="C2669" s="7" t="n"/>
      <c r="D2669" s="8" t="n"/>
      <c r="E2669" s="6" t="n"/>
      <c r="F2669" s="6" t="n"/>
      <c r="G2669" s="6" t="n"/>
      <c r="H2669" s="6" t="n"/>
      <c r="I2669" s="12">
        <f>IF($B2669="","",IF(COUNTIF(Ventes_Factures!$A$6:$A$3005,$B2669)&gt;0,"OK","INCONNUE"))</f>
        <v/>
      </c>
      <c r="J2669" s="9">
        <f>IF($D2669="","",ROUND($D2669,2))</f>
        <v/>
      </c>
    </row>
    <row r="2670">
      <c r="A2670" s="6" t="n"/>
      <c r="B2670" s="6" t="n"/>
      <c r="C2670" s="7" t="n"/>
      <c r="D2670" s="8" t="n"/>
      <c r="E2670" s="6" t="n"/>
      <c r="F2670" s="6" t="n"/>
      <c r="G2670" s="6" t="n"/>
      <c r="H2670" s="6" t="n"/>
      <c r="I2670" s="12">
        <f>IF($B2670="","",IF(COUNTIF(Ventes_Factures!$A$6:$A$3005,$B2670)&gt;0,"OK","INCONNUE"))</f>
        <v/>
      </c>
      <c r="J2670" s="9">
        <f>IF($D2670="","",ROUND($D2670,2))</f>
        <v/>
      </c>
    </row>
    <row r="2671">
      <c r="A2671" s="6" t="n"/>
      <c r="B2671" s="6" t="n"/>
      <c r="C2671" s="7" t="n"/>
      <c r="D2671" s="8" t="n"/>
      <c r="E2671" s="6" t="n"/>
      <c r="F2671" s="6" t="n"/>
      <c r="G2671" s="6" t="n"/>
      <c r="H2671" s="6" t="n"/>
      <c r="I2671" s="12">
        <f>IF($B2671="","",IF(COUNTIF(Ventes_Factures!$A$6:$A$3005,$B2671)&gt;0,"OK","INCONNUE"))</f>
        <v/>
      </c>
      <c r="J2671" s="9">
        <f>IF($D2671="","",ROUND($D2671,2))</f>
        <v/>
      </c>
    </row>
    <row r="2672">
      <c r="A2672" s="6" t="n"/>
      <c r="B2672" s="6" t="n"/>
      <c r="C2672" s="7" t="n"/>
      <c r="D2672" s="8" t="n"/>
      <c r="E2672" s="6" t="n"/>
      <c r="F2672" s="6" t="n"/>
      <c r="G2672" s="6" t="n"/>
      <c r="H2672" s="6" t="n"/>
      <c r="I2672" s="12">
        <f>IF($B2672="","",IF(COUNTIF(Ventes_Factures!$A$6:$A$3005,$B2672)&gt;0,"OK","INCONNUE"))</f>
        <v/>
      </c>
      <c r="J2672" s="9">
        <f>IF($D2672="","",ROUND($D2672,2))</f>
        <v/>
      </c>
    </row>
    <row r="2673">
      <c r="A2673" s="6" t="n"/>
      <c r="B2673" s="6" t="n"/>
      <c r="C2673" s="7" t="n"/>
      <c r="D2673" s="8" t="n"/>
      <c r="E2673" s="6" t="n"/>
      <c r="F2673" s="6" t="n"/>
      <c r="G2673" s="6" t="n"/>
      <c r="H2673" s="6" t="n"/>
      <c r="I2673" s="12">
        <f>IF($B2673="","",IF(COUNTIF(Ventes_Factures!$A$6:$A$3005,$B2673)&gt;0,"OK","INCONNUE"))</f>
        <v/>
      </c>
      <c r="J2673" s="9">
        <f>IF($D2673="","",ROUND($D2673,2))</f>
        <v/>
      </c>
    </row>
    <row r="2674">
      <c r="A2674" s="6" t="n"/>
      <c r="B2674" s="6" t="n"/>
      <c r="C2674" s="7" t="n"/>
      <c r="D2674" s="8" t="n"/>
      <c r="E2674" s="6" t="n"/>
      <c r="F2674" s="6" t="n"/>
      <c r="G2674" s="6" t="n"/>
      <c r="H2674" s="6" t="n"/>
      <c r="I2674" s="12">
        <f>IF($B2674="","",IF(COUNTIF(Ventes_Factures!$A$6:$A$3005,$B2674)&gt;0,"OK","INCONNUE"))</f>
        <v/>
      </c>
      <c r="J2674" s="9">
        <f>IF($D2674="","",ROUND($D2674,2))</f>
        <v/>
      </c>
    </row>
    <row r="2675">
      <c r="A2675" s="6" t="n"/>
      <c r="B2675" s="6" t="n"/>
      <c r="C2675" s="7" t="n"/>
      <c r="D2675" s="8" t="n"/>
      <c r="E2675" s="6" t="n"/>
      <c r="F2675" s="6" t="n"/>
      <c r="G2675" s="6" t="n"/>
      <c r="H2675" s="6" t="n"/>
      <c r="I2675" s="12">
        <f>IF($B2675="","",IF(COUNTIF(Ventes_Factures!$A$6:$A$3005,$B2675)&gt;0,"OK","INCONNUE"))</f>
        <v/>
      </c>
      <c r="J2675" s="9">
        <f>IF($D2675="","",ROUND($D2675,2))</f>
        <v/>
      </c>
    </row>
    <row r="2676">
      <c r="A2676" s="6" t="n"/>
      <c r="B2676" s="6" t="n"/>
      <c r="C2676" s="7" t="n"/>
      <c r="D2676" s="8" t="n"/>
      <c r="E2676" s="6" t="n"/>
      <c r="F2676" s="6" t="n"/>
      <c r="G2676" s="6" t="n"/>
      <c r="H2676" s="6" t="n"/>
      <c r="I2676" s="12">
        <f>IF($B2676="","",IF(COUNTIF(Ventes_Factures!$A$6:$A$3005,$B2676)&gt;0,"OK","INCONNUE"))</f>
        <v/>
      </c>
      <c r="J2676" s="9">
        <f>IF($D2676="","",ROUND($D2676,2))</f>
        <v/>
      </c>
    </row>
    <row r="2677">
      <c r="A2677" s="6" t="n"/>
      <c r="B2677" s="6" t="n"/>
      <c r="C2677" s="7" t="n"/>
      <c r="D2677" s="8" t="n"/>
      <c r="E2677" s="6" t="n"/>
      <c r="F2677" s="6" t="n"/>
      <c r="G2677" s="6" t="n"/>
      <c r="H2677" s="6" t="n"/>
      <c r="I2677" s="12">
        <f>IF($B2677="","",IF(COUNTIF(Ventes_Factures!$A$6:$A$3005,$B2677)&gt;0,"OK","INCONNUE"))</f>
        <v/>
      </c>
      <c r="J2677" s="9">
        <f>IF($D2677="","",ROUND($D2677,2))</f>
        <v/>
      </c>
    </row>
    <row r="2678">
      <c r="A2678" s="6" t="n"/>
      <c r="B2678" s="6" t="n"/>
      <c r="C2678" s="7" t="n"/>
      <c r="D2678" s="8" t="n"/>
      <c r="E2678" s="6" t="n"/>
      <c r="F2678" s="6" t="n"/>
      <c r="G2678" s="6" t="n"/>
      <c r="H2678" s="6" t="n"/>
      <c r="I2678" s="12">
        <f>IF($B2678="","",IF(COUNTIF(Ventes_Factures!$A$6:$A$3005,$B2678)&gt;0,"OK","INCONNUE"))</f>
        <v/>
      </c>
      <c r="J2678" s="9">
        <f>IF($D2678="","",ROUND($D2678,2))</f>
        <v/>
      </c>
    </row>
    <row r="2679">
      <c r="A2679" s="6" t="n"/>
      <c r="B2679" s="6" t="n"/>
      <c r="C2679" s="7" t="n"/>
      <c r="D2679" s="8" t="n"/>
      <c r="E2679" s="6" t="n"/>
      <c r="F2679" s="6" t="n"/>
      <c r="G2679" s="6" t="n"/>
      <c r="H2679" s="6" t="n"/>
      <c r="I2679" s="12">
        <f>IF($B2679="","",IF(COUNTIF(Ventes_Factures!$A$6:$A$3005,$B2679)&gt;0,"OK","INCONNUE"))</f>
        <v/>
      </c>
      <c r="J2679" s="9">
        <f>IF($D2679="","",ROUND($D2679,2))</f>
        <v/>
      </c>
    </row>
    <row r="2680">
      <c r="A2680" s="6" t="n"/>
      <c r="B2680" s="6" t="n"/>
      <c r="C2680" s="7" t="n"/>
      <c r="D2680" s="8" t="n"/>
      <c r="E2680" s="6" t="n"/>
      <c r="F2680" s="6" t="n"/>
      <c r="G2680" s="6" t="n"/>
      <c r="H2680" s="6" t="n"/>
      <c r="I2680" s="12">
        <f>IF($B2680="","",IF(COUNTIF(Ventes_Factures!$A$6:$A$3005,$B2680)&gt;0,"OK","INCONNUE"))</f>
        <v/>
      </c>
      <c r="J2680" s="9">
        <f>IF($D2680="","",ROUND($D2680,2))</f>
        <v/>
      </c>
    </row>
    <row r="2681">
      <c r="A2681" s="6" t="n"/>
      <c r="B2681" s="6" t="n"/>
      <c r="C2681" s="7" t="n"/>
      <c r="D2681" s="8" t="n"/>
      <c r="E2681" s="6" t="n"/>
      <c r="F2681" s="6" t="n"/>
      <c r="G2681" s="6" t="n"/>
      <c r="H2681" s="6" t="n"/>
      <c r="I2681" s="12">
        <f>IF($B2681="","",IF(COUNTIF(Ventes_Factures!$A$6:$A$3005,$B2681)&gt;0,"OK","INCONNUE"))</f>
        <v/>
      </c>
      <c r="J2681" s="9">
        <f>IF($D2681="","",ROUND($D2681,2))</f>
        <v/>
      </c>
    </row>
    <row r="2682">
      <c r="A2682" s="6" t="n"/>
      <c r="B2682" s="6" t="n"/>
      <c r="C2682" s="7" t="n"/>
      <c r="D2682" s="8" t="n"/>
      <c r="E2682" s="6" t="n"/>
      <c r="F2682" s="6" t="n"/>
      <c r="G2682" s="6" t="n"/>
      <c r="H2682" s="6" t="n"/>
      <c r="I2682" s="12">
        <f>IF($B2682="","",IF(COUNTIF(Ventes_Factures!$A$6:$A$3005,$B2682)&gt;0,"OK","INCONNUE"))</f>
        <v/>
      </c>
      <c r="J2682" s="9">
        <f>IF($D2682="","",ROUND($D2682,2))</f>
        <v/>
      </c>
    </row>
    <row r="2683">
      <c r="A2683" s="6" t="n"/>
      <c r="B2683" s="6" t="n"/>
      <c r="C2683" s="7" t="n"/>
      <c r="D2683" s="8" t="n"/>
      <c r="E2683" s="6" t="n"/>
      <c r="F2683" s="6" t="n"/>
      <c r="G2683" s="6" t="n"/>
      <c r="H2683" s="6" t="n"/>
      <c r="I2683" s="12">
        <f>IF($B2683="","",IF(COUNTIF(Ventes_Factures!$A$6:$A$3005,$B2683)&gt;0,"OK","INCONNUE"))</f>
        <v/>
      </c>
      <c r="J2683" s="9">
        <f>IF($D2683="","",ROUND($D2683,2))</f>
        <v/>
      </c>
    </row>
    <row r="2684">
      <c r="A2684" s="6" t="n"/>
      <c r="B2684" s="6" t="n"/>
      <c r="C2684" s="7" t="n"/>
      <c r="D2684" s="8" t="n"/>
      <c r="E2684" s="6" t="n"/>
      <c r="F2684" s="6" t="n"/>
      <c r="G2684" s="6" t="n"/>
      <c r="H2684" s="6" t="n"/>
      <c r="I2684" s="12">
        <f>IF($B2684="","",IF(COUNTIF(Ventes_Factures!$A$6:$A$3005,$B2684)&gt;0,"OK","INCONNUE"))</f>
        <v/>
      </c>
      <c r="J2684" s="9">
        <f>IF($D2684="","",ROUND($D2684,2))</f>
        <v/>
      </c>
    </row>
    <row r="2685">
      <c r="A2685" s="6" t="n"/>
      <c r="B2685" s="6" t="n"/>
      <c r="C2685" s="7" t="n"/>
      <c r="D2685" s="8" t="n"/>
      <c r="E2685" s="6" t="n"/>
      <c r="F2685" s="6" t="n"/>
      <c r="G2685" s="6" t="n"/>
      <c r="H2685" s="6" t="n"/>
      <c r="I2685" s="12">
        <f>IF($B2685="","",IF(COUNTIF(Ventes_Factures!$A$6:$A$3005,$B2685)&gt;0,"OK","INCONNUE"))</f>
        <v/>
      </c>
      <c r="J2685" s="9">
        <f>IF($D2685="","",ROUND($D2685,2))</f>
        <v/>
      </c>
    </row>
    <row r="2686">
      <c r="A2686" s="6" t="n"/>
      <c r="B2686" s="6" t="n"/>
      <c r="C2686" s="7" t="n"/>
      <c r="D2686" s="8" t="n"/>
      <c r="E2686" s="6" t="n"/>
      <c r="F2686" s="6" t="n"/>
      <c r="G2686" s="6" t="n"/>
      <c r="H2686" s="6" t="n"/>
      <c r="I2686" s="12">
        <f>IF($B2686="","",IF(COUNTIF(Ventes_Factures!$A$6:$A$3005,$B2686)&gt;0,"OK","INCONNUE"))</f>
        <v/>
      </c>
      <c r="J2686" s="9">
        <f>IF($D2686="","",ROUND($D2686,2))</f>
        <v/>
      </c>
    </row>
    <row r="2687">
      <c r="A2687" s="6" t="n"/>
      <c r="B2687" s="6" t="n"/>
      <c r="C2687" s="7" t="n"/>
      <c r="D2687" s="8" t="n"/>
      <c r="E2687" s="6" t="n"/>
      <c r="F2687" s="6" t="n"/>
      <c r="G2687" s="6" t="n"/>
      <c r="H2687" s="6" t="n"/>
      <c r="I2687" s="12">
        <f>IF($B2687="","",IF(COUNTIF(Ventes_Factures!$A$6:$A$3005,$B2687)&gt;0,"OK","INCONNUE"))</f>
        <v/>
      </c>
      <c r="J2687" s="9">
        <f>IF($D2687="","",ROUND($D2687,2))</f>
        <v/>
      </c>
    </row>
    <row r="2688">
      <c r="A2688" s="6" t="n"/>
      <c r="B2688" s="6" t="n"/>
      <c r="C2688" s="7" t="n"/>
      <c r="D2688" s="8" t="n"/>
      <c r="E2688" s="6" t="n"/>
      <c r="F2688" s="6" t="n"/>
      <c r="G2688" s="6" t="n"/>
      <c r="H2688" s="6" t="n"/>
      <c r="I2688" s="12">
        <f>IF($B2688="","",IF(COUNTIF(Ventes_Factures!$A$6:$A$3005,$B2688)&gt;0,"OK","INCONNUE"))</f>
        <v/>
      </c>
      <c r="J2688" s="9">
        <f>IF($D2688="","",ROUND($D2688,2))</f>
        <v/>
      </c>
    </row>
    <row r="2689">
      <c r="A2689" s="6" t="n"/>
      <c r="B2689" s="6" t="n"/>
      <c r="C2689" s="7" t="n"/>
      <c r="D2689" s="8" t="n"/>
      <c r="E2689" s="6" t="n"/>
      <c r="F2689" s="6" t="n"/>
      <c r="G2689" s="6" t="n"/>
      <c r="H2689" s="6" t="n"/>
      <c r="I2689" s="12">
        <f>IF($B2689="","",IF(COUNTIF(Ventes_Factures!$A$6:$A$3005,$B2689)&gt;0,"OK","INCONNUE"))</f>
        <v/>
      </c>
      <c r="J2689" s="9">
        <f>IF($D2689="","",ROUND($D2689,2))</f>
        <v/>
      </c>
    </row>
    <row r="2690">
      <c r="A2690" s="6" t="n"/>
      <c r="B2690" s="6" t="n"/>
      <c r="C2690" s="7" t="n"/>
      <c r="D2690" s="8" t="n"/>
      <c r="E2690" s="6" t="n"/>
      <c r="F2690" s="6" t="n"/>
      <c r="G2690" s="6" t="n"/>
      <c r="H2690" s="6" t="n"/>
      <c r="I2690" s="12">
        <f>IF($B2690="","",IF(COUNTIF(Ventes_Factures!$A$6:$A$3005,$B2690)&gt;0,"OK","INCONNUE"))</f>
        <v/>
      </c>
      <c r="J2690" s="9">
        <f>IF($D2690="","",ROUND($D2690,2))</f>
        <v/>
      </c>
    </row>
    <row r="2691">
      <c r="A2691" s="6" t="n"/>
      <c r="B2691" s="6" t="n"/>
      <c r="C2691" s="7" t="n"/>
      <c r="D2691" s="8" t="n"/>
      <c r="E2691" s="6" t="n"/>
      <c r="F2691" s="6" t="n"/>
      <c r="G2691" s="6" t="n"/>
      <c r="H2691" s="6" t="n"/>
      <c r="I2691" s="12">
        <f>IF($B2691="","",IF(COUNTIF(Ventes_Factures!$A$6:$A$3005,$B2691)&gt;0,"OK","INCONNUE"))</f>
        <v/>
      </c>
      <c r="J2691" s="9">
        <f>IF($D2691="","",ROUND($D2691,2))</f>
        <v/>
      </c>
    </row>
    <row r="2692">
      <c r="A2692" s="6" t="n"/>
      <c r="B2692" s="6" t="n"/>
      <c r="C2692" s="7" t="n"/>
      <c r="D2692" s="8" t="n"/>
      <c r="E2692" s="6" t="n"/>
      <c r="F2692" s="6" t="n"/>
      <c r="G2692" s="6" t="n"/>
      <c r="H2692" s="6" t="n"/>
      <c r="I2692" s="12">
        <f>IF($B2692="","",IF(COUNTIF(Ventes_Factures!$A$6:$A$3005,$B2692)&gt;0,"OK","INCONNUE"))</f>
        <v/>
      </c>
      <c r="J2692" s="9">
        <f>IF($D2692="","",ROUND($D2692,2))</f>
        <v/>
      </c>
    </row>
    <row r="2693">
      <c r="A2693" s="6" t="n"/>
      <c r="B2693" s="6" t="n"/>
      <c r="C2693" s="7" t="n"/>
      <c r="D2693" s="8" t="n"/>
      <c r="E2693" s="6" t="n"/>
      <c r="F2693" s="6" t="n"/>
      <c r="G2693" s="6" t="n"/>
      <c r="H2693" s="6" t="n"/>
      <c r="I2693" s="12">
        <f>IF($B2693="","",IF(COUNTIF(Ventes_Factures!$A$6:$A$3005,$B2693)&gt;0,"OK","INCONNUE"))</f>
        <v/>
      </c>
      <c r="J2693" s="9">
        <f>IF($D2693="","",ROUND($D2693,2))</f>
        <v/>
      </c>
    </row>
    <row r="2694">
      <c r="A2694" s="6" t="n"/>
      <c r="B2694" s="6" t="n"/>
      <c r="C2694" s="7" t="n"/>
      <c r="D2694" s="8" t="n"/>
      <c r="E2694" s="6" t="n"/>
      <c r="F2694" s="6" t="n"/>
      <c r="G2694" s="6" t="n"/>
      <c r="H2694" s="6" t="n"/>
      <c r="I2694" s="12">
        <f>IF($B2694="","",IF(COUNTIF(Ventes_Factures!$A$6:$A$3005,$B2694)&gt;0,"OK","INCONNUE"))</f>
        <v/>
      </c>
      <c r="J2694" s="9">
        <f>IF($D2694="","",ROUND($D2694,2))</f>
        <v/>
      </c>
    </row>
    <row r="2695">
      <c r="A2695" s="6" t="n"/>
      <c r="B2695" s="6" t="n"/>
      <c r="C2695" s="7" t="n"/>
      <c r="D2695" s="8" t="n"/>
      <c r="E2695" s="6" t="n"/>
      <c r="F2695" s="6" t="n"/>
      <c r="G2695" s="6" t="n"/>
      <c r="H2695" s="6" t="n"/>
      <c r="I2695" s="12">
        <f>IF($B2695="","",IF(COUNTIF(Ventes_Factures!$A$6:$A$3005,$B2695)&gt;0,"OK","INCONNUE"))</f>
        <v/>
      </c>
      <c r="J2695" s="9">
        <f>IF($D2695="","",ROUND($D2695,2))</f>
        <v/>
      </c>
    </row>
    <row r="2696">
      <c r="A2696" s="6" t="n"/>
      <c r="B2696" s="6" t="n"/>
      <c r="C2696" s="7" t="n"/>
      <c r="D2696" s="8" t="n"/>
      <c r="E2696" s="6" t="n"/>
      <c r="F2696" s="6" t="n"/>
      <c r="G2696" s="6" t="n"/>
      <c r="H2696" s="6" t="n"/>
      <c r="I2696" s="12">
        <f>IF($B2696="","",IF(COUNTIF(Ventes_Factures!$A$6:$A$3005,$B2696)&gt;0,"OK","INCONNUE"))</f>
        <v/>
      </c>
      <c r="J2696" s="9">
        <f>IF($D2696="","",ROUND($D2696,2))</f>
        <v/>
      </c>
    </row>
    <row r="2697">
      <c r="A2697" s="6" t="n"/>
      <c r="B2697" s="6" t="n"/>
      <c r="C2697" s="7" t="n"/>
      <c r="D2697" s="8" t="n"/>
      <c r="E2697" s="6" t="n"/>
      <c r="F2697" s="6" t="n"/>
      <c r="G2697" s="6" t="n"/>
      <c r="H2697" s="6" t="n"/>
      <c r="I2697" s="12">
        <f>IF($B2697="","",IF(COUNTIF(Ventes_Factures!$A$6:$A$3005,$B2697)&gt;0,"OK","INCONNUE"))</f>
        <v/>
      </c>
      <c r="J2697" s="9">
        <f>IF($D2697="","",ROUND($D2697,2))</f>
        <v/>
      </c>
    </row>
    <row r="2698">
      <c r="A2698" s="6" t="n"/>
      <c r="B2698" s="6" t="n"/>
      <c r="C2698" s="7" t="n"/>
      <c r="D2698" s="8" t="n"/>
      <c r="E2698" s="6" t="n"/>
      <c r="F2698" s="6" t="n"/>
      <c r="G2698" s="6" t="n"/>
      <c r="H2698" s="6" t="n"/>
      <c r="I2698" s="12">
        <f>IF($B2698="","",IF(COUNTIF(Ventes_Factures!$A$6:$A$3005,$B2698)&gt;0,"OK","INCONNUE"))</f>
        <v/>
      </c>
      <c r="J2698" s="9">
        <f>IF($D2698="","",ROUND($D2698,2))</f>
        <v/>
      </c>
    </row>
    <row r="2699">
      <c r="A2699" s="6" t="n"/>
      <c r="B2699" s="6" t="n"/>
      <c r="C2699" s="7" t="n"/>
      <c r="D2699" s="8" t="n"/>
      <c r="E2699" s="6" t="n"/>
      <c r="F2699" s="6" t="n"/>
      <c r="G2699" s="6" t="n"/>
      <c r="H2699" s="6" t="n"/>
      <c r="I2699" s="12">
        <f>IF($B2699="","",IF(COUNTIF(Ventes_Factures!$A$6:$A$3005,$B2699)&gt;0,"OK","INCONNUE"))</f>
        <v/>
      </c>
      <c r="J2699" s="9">
        <f>IF($D2699="","",ROUND($D2699,2))</f>
        <v/>
      </c>
    </row>
    <row r="2700">
      <c r="A2700" s="6" t="n"/>
      <c r="B2700" s="6" t="n"/>
      <c r="C2700" s="7" t="n"/>
      <c r="D2700" s="8" t="n"/>
      <c r="E2700" s="6" t="n"/>
      <c r="F2700" s="6" t="n"/>
      <c r="G2700" s="6" t="n"/>
      <c r="H2700" s="6" t="n"/>
      <c r="I2700" s="12">
        <f>IF($B2700="","",IF(COUNTIF(Ventes_Factures!$A$6:$A$3005,$B2700)&gt;0,"OK","INCONNUE"))</f>
        <v/>
      </c>
      <c r="J2700" s="9">
        <f>IF($D2700="","",ROUND($D2700,2))</f>
        <v/>
      </c>
    </row>
    <row r="2701">
      <c r="A2701" s="6" t="n"/>
      <c r="B2701" s="6" t="n"/>
      <c r="C2701" s="7" t="n"/>
      <c r="D2701" s="8" t="n"/>
      <c r="E2701" s="6" t="n"/>
      <c r="F2701" s="6" t="n"/>
      <c r="G2701" s="6" t="n"/>
      <c r="H2701" s="6" t="n"/>
      <c r="I2701" s="12">
        <f>IF($B2701="","",IF(COUNTIF(Ventes_Factures!$A$6:$A$3005,$B2701)&gt;0,"OK","INCONNUE"))</f>
        <v/>
      </c>
      <c r="J2701" s="9">
        <f>IF($D2701="","",ROUND($D2701,2))</f>
        <v/>
      </c>
    </row>
    <row r="2702">
      <c r="A2702" s="6" t="n"/>
      <c r="B2702" s="6" t="n"/>
      <c r="C2702" s="7" t="n"/>
      <c r="D2702" s="8" t="n"/>
      <c r="E2702" s="6" t="n"/>
      <c r="F2702" s="6" t="n"/>
      <c r="G2702" s="6" t="n"/>
      <c r="H2702" s="6" t="n"/>
      <c r="I2702" s="12">
        <f>IF($B2702="","",IF(COUNTIF(Ventes_Factures!$A$6:$A$3005,$B2702)&gt;0,"OK","INCONNUE"))</f>
        <v/>
      </c>
      <c r="J2702" s="9">
        <f>IF($D2702="","",ROUND($D2702,2))</f>
        <v/>
      </c>
    </row>
    <row r="2703">
      <c r="A2703" s="6" t="n"/>
      <c r="B2703" s="6" t="n"/>
      <c r="C2703" s="7" t="n"/>
      <c r="D2703" s="8" t="n"/>
      <c r="E2703" s="6" t="n"/>
      <c r="F2703" s="6" t="n"/>
      <c r="G2703" s="6" t="n"/>
      <c r="H2703" s="6" t="n"/>
      <c r="I2703" s="12">
        <f>IF($B2703="","",IF(COUNTIF(Ventes_Factures!$A$6:$A$3005,$B2703)&gt;0,"OK","INCONNUE"))</f>
        <v/>
      </c>
      <c r="J2703" s="9">
        <f>IF($D2703="","",ROUND($D2703,2))</f>
        <v/>
      </c>
    </row>
    <row r="2704">
      <c r="A2704" s="6" t="n"/>
      <c r="B2704" s="6" t="n"/>
      <c r="C2704" s="7" t="n"/>
      <c r="D2704" s="8" t="n"/>
      <c r="E2704" s="6" t="n"/>
      <c r="F2704" s="6" t="n"/>
      <c r="G2704" s="6" t="n"/>
      <c r="H2704" s="6" t="n"/>
      <c r="I2704" s="12">
        <f>IF($B2704="","",IF(COUNTIF(Ventes_Factures!$A$6:$A$3005,$B2704)&gt;0,"OK","INCONNUE"))</f>
        <v/>
      </c>
      <c r="J2704" s="9">
        <f>IF($D2704="","",ROUND($D2704,2))</f>
        <v/>
      </c>
    </row>
    <row r="2705">
      <c r="A2705" s="6" t="n"/>
      <c r="B2705" s="6" t="n"/>
      <c r="C2705" s="7" t="n"/>
      <c r="D2705" s="8" t="n"/>
      <c r="E2705" s="6" t="n"/>
      <c r="F2705" s="6" t="n"/>
      <c r="G2705" s="6" t="n"/>
      <c r="H2705" s="6" t="n"/>
      <c r="I2705" s="12">
        <f>IF($B2705="","",IF(COUNTIF(Ventes_Factures!$A$6:$A$3005,$B2705)&gt;0,"OK","INCONNUE"))</f>
        <v/>
      </c>
      <c r="J2705" s="9">
        <f>IF($D2705="","",ROUND($D2705,2))</f>
        <v/>
      </c>
    </row>
    <row r="2706">
      <c r="A2706" s="6" t="n"/>
      <c r="B2706" s="6" t="n"/>
      <c r="C2706" s="7" t="n"/>
      <c r="D2706" s="8" t="n"/>
      <c r="E2706" s="6" t="n"/>
      <c r="F2706" s="6" t="n"/>
      <c r="G2706" s="6" t="n"/>
      <c r="H2706" s="6" t="n"/>
      <c r="I2706" s="12">
        <f>IF($B2706="","",IF(COUNTIF(Ventes_Factures!$A$6:$A$3005,$B2706)&gt;0,"OK","INCONNUE"))</f>
        <v/>
      </c>
      <c r="J2706" s="9">
        <f>IF($D2706="","",ROUND($D2706,2))</f>
        <v/>
      </c>
    </row>
    <row r="2707">
      <c r="A2707" s="6" t="n"/>
      <c r="B2707" s="6" t="n"/>
      <c r="C2707" s="7" t="n"/>
      <c r="D2707" s="8" t="n"/>
      <c r="E2707" s="6" t="n"/>
      <c r="F2707" s="6" t="n"/>
      <c r="G2707" s="6" t="n"/>
      <c r="H2707" s="6" t="n"/>
      <c r="I2707" s="12">
        <f>IF($B2707="","",IF(COUNTIF(Ventes_Factures!$A$6:$A$3005,$B2707)&gt;0,"OK","INCONNUE"))</f>
        <v/>
      </c>
      <c r="J2707" s="9">
        <f>IF($D2707="","",ROUND($D2707,2))</f>
        <v/>
      </c>
    </row>
    <row r="2708">
      <c r="A2708" s="6" t="n"/>
      <c r="B2708" s="6" t="n"/>
      <c r="C2708" s="7" t="n"/>
      <c r="D2708" s="8" t="n"/>
      <c r="E2708" s="6" t="n"/>
      <c r="F2708" s="6" t="n"/>
      <c r="G2708" s="6" t="n"/>
      <c r="H2708" s="6" t="n"/>
      <c r="I2708" s="12">
        <f>IF($B2708="","",IF(COUNTIF(Ventes_Factures!$A$6:$A$3005,$B2708)&gt;0,"OK","INCONNUE"))</f>
        <v/>
      </c>
      <c r="J2708" s="9">
        <f>IF($D2708="","",ROUND($D2708,2))</f>
        <v/>
      </c>
    </row>
    <row r="2709">
      <c r="A2709" s="6" t="n"/>
      <c r="B2709" s="6" t="n"/>
      <c r="C2709" s="7" t="n"/>
      <c r="D2709" s="8" t="n"/>
      <c r="E2709" s="6" t="n"/>
      <c r="F2709" s="6" t="n"/>
      <c r="G2709" s="6" t="n"/>
      <c r="H2709" s="6" t="n"/>
      <c r="I2709" s="12">
        <f>IF($B2709="","",IF(COUNTIF(Ventes_Factures!$A$6:$A$3005,$B2709)&gt;0,"OK","INCONNUE"))</f>
        <v/>
      </c>
      <c r="J2709" s="9">
        <f>IF($D2709="","",ROUND($D2709,2))</f>
        <v/>
      </c>
    </row>
    <row r="2710">
      <c r="A2710" s="6" t="n"/>
      <c r="B2710" s="6" t="n"/>
      <c r="C2710" s="7" t="n"/>
      <c r="D2710" s="8" t="n"/>
      <c r="E2710" s="6" t="n"/>
      <c r="F2710" s="6" t="n"/>
      <c r="G2710" s="6" t="n"/>
      <c r="H2710" s="6" t="n"/>
      <c r="I2710" s="12">
        <f>IF($B2710="","",IF(COUNTIF(Ventes_Factures!$A$6:$A$3005,$B2710)&gt;0,"OK","INCONNUE"))</f>
        <v/>
      </c>
      <c r="J2710" s="9">
        <f>IF($D2710="","",ROUND($D2710,2))</f>
        <v/>
      </c>
    </row>
    <row r="2711">
      <c r="A2711" s="6" t="n"/>
      <c r="B2711" s="6" t="n"/>
      <c r="C2711" s="7" t="n"/>
      <c r="D2711" s="8" t="n"/>
      <c r="E2711" s="6" t="n"/>
      <c r="F2711" s="6" t="n"/>
      <c r="G2711" s="6" t="n"/>
      <c r="H2711" s="6" t="n"/>
      <c r="I2711" s="12">
        <f>IF($B2711="","",IF(COUNTIF(Ventes_Factures!$A$6:$A$3005,$B2711)&gt;0,"OK","INCONNUE"))</f>
        <v/>
      </c>
      <c r="J2711" s="9">
        <f>IF($D2711="","",ROUND($D2711,2))</f>
        <v/>
      </c>
    </row>
    <row r="2712">
      <c r="A2712" s="6" t="n"/>
      <c r="B2712" s="6" t="n"/>
      <c r="C2712" s="7" t="n"/>
      <c r="D2712" s="8" t="n"/>
      <c r="E2712" s="6" t="n"/>
      <c r="F2712" s="6" t="n"/>
      <c r="G2712" s="6" t="n"/>
      <c r="H2712" s="6" t="n"/>
      <c r="I2712" s="12">
        <f>IF($B2712="","",IF(COUNTIF(Ventes_Factures!$A$6:$A$3005,$B2712)&gt;0,"OK","INCONNUE"))</f>
        <v/>
      </c>
      <c r="J2712" s="9">
        <f>IF($D2712="","",ROUND($D2712,2))</f>
        <v/>
      </c>
    </row>
    <row r="2713">
      <c r="A2713" s="6" t="n"/>
      <c r="B2713" s="6" t="n"/>
      <c r="C2713" s="7" t="n"/>
      <c r="D2713" s="8" t="n"/>
      <c r="E2713" s="6" t="n"/>
      <c r="F2713" s="6" t="n"/>
      <c r="G2713" s="6" t="n"/>
      <c r="H2713" s="6" t="n"/>
      <c r="I2713" s="12">
        <f>IF($B2713="","",IF(COUNTIF(Ventes_Factures!$A$6:$A$3005,$B2713)&gt;0,"OK","INCONNUE"))</f>
        <v/>
      </c>
      <c r="J2713" s="9">
        <f>IF($D2713="","",ROUND($D2713,2))</f>
        <v/>
      </c>
    </row>
    <row r="2714">
      <c r="A2714" s="6" t="n"/>
      <c r="B2714" s="6" t="n"/>
      <c r="C2714" s="7" t="n"/>
      <c r="D2714" s="8" t="n"/>
      <c r="E2714" s="6" t="n"/>
      <c r="F2714" s="6" t="n"/>
      <c r="G2714" s="6" t="n"/>
      <c r="H2714" s="6" t="n"/>
      <c r="I2714" s="12">
        <f>IF($B2714="","",IF(COUNTIF(Ventes_Factures!$A$6:$A$3005,$B2714)&gt;0,"OK","INCONNUE"))</f>
        <v/>
      </c>
      <c r="J2714" s="9">
        <f>IF($D2714="","",ROUND($D2714,2))</f>
        <v/>
      </c>
    </row>
    <row r="2715">
      <c r="A2715" s="6" t="n"/>
      <c r="B2715" s="6" t="n"/>
      <c r="C2715" s="7" t="n"/>
      <c r="D2715" s="8" t="n"/>
      <c r="E2715" s="6" t="n"/>
      <c r="F2715" s="6" t="n"/>
      <c r="G2715" s="6" t="n"/>
      <c r="H2715" s="6" t="n"/>
      <c r="I2715" s="12">
        <f>IF($B2715="","",IF(COUNTIF(Ventes_Factures!$A$6:$A$3005,$B2715)&gt;0,"OK","INCONNUE"))</f>
        <v/>
      </c>
      <c r="J2715" s="9">
        <f>IF($D2715="","",ROUND($D2715,2))</f>
        <v/>
      </c>
    </row>
    <row r="2716">
      <c r="A2716" s="6" t="n"/>
      <c r="B2716" s="6" t="n"/>
      <c r="C2716" s="7" t="n"/>
      <c r="D2716" s="8" t="n"/>
      <c r="E2716" s="6" t="n"/>
      <c r="F2716" s="6" t="n"/>
      <c r="G2716" s="6" t="n"/>
      <c r="H2716" s="6" t="n"/>
      <c r="I2716" s="12">
        <f>IF($B2716="","",IF(COUNTIF(Ventes_Factures!$A$6:$A$3005,$B2716)&gt;0,"OK","INCONNUE"))</f>
        <v/>
      </c>
      <c r="J2716" s="9">
        <f>IF($D2716="","",ROUND($D2716,2))</f>
        <v/>
      </c>
    </row>
    <row r="2717">
      <c r="A2717" s="6" t="n"/>
      <c r="B2717" s="6" t="n"/>
      <c r="C2717" s="7" t="n"/>
      <c r="D2717" s="8" t="n"/>
      <c r="E2717" s="6" t="n"/>
      <c r="F2717" s="6" t="n"/>
      <c r="G2717" s="6" t="n"/>
      <c r="H2717" s="6" t="n"/>
      <c r="I2717" s="12">
        <f>IF($B2717="","",IF(COUNTIF(Ventes_Factures!$A$6:$A$3005,$B2717)&gt;0,"OK","INCONNUE"))</f>
        <v/>
      </c>
      <c r="J2717" s="9">
        <f>IF($D2717="","",ROUND($D2717,2))</f>
        <v/>
      </c>
    </row>
    <row r="2718">
      <c r="A2718" s="6" t="n"/>
      <c r="B2718" s="6" t="n"/>
      <c r="C2718" s="7" t="n"/>
      <c r="D2718" s="8" t="n"/>
      <c r="E2718" s="6" t="n"/>
      <c r="F2718" s="6" t="n"/>
      <c r="G2718" s="6" t="n"/>
      <c r="H2718" s="6" t="n"/>
      <c r="I2718" s="12">
        <f>IF($B2718="","",IF(COUNTIF(Ventes_Factures!$A$6:$A$3005,$B2718)&gt;0,"OK","INCONNUE"))</f>
        <v/>
      </c>
      <c r="J2718" s="9">
        <f>IF($D2718="","",ROUND($D2718,2))</f>
        <v/>
      </c>
    </row>
    <row r="2719">
      <c r="A2719" s="6" t="n"/>
      <c r="B2719" s="6" t="n"/>
      <c r="C2719" s="7" t="n"/>
      <c r="D2719" s="8" t="n"/>
      <c r="E2719" s="6" t="n"/>
      <c r="F2719" s="6" t="n"/>
      <c r="G2719" s="6" t="n"/>
      <c r="H2719" s="6" t="n"/>
      <c r="I2719" s="12">
        <f>IF($B2719="","",IF(COUNTIF(Ventes_Factures!$A$6:$A$3005,$B2719)&gt;0,"OK","INCONNUE"))</f>
        <v/>
      </c>
      <c r="J2719" s="9">
        <f>IF($D2719="","",ROUND($D2719,2))</f>
        <v/>
      </c>
    </row>
    <row r="2720">
      <c r="A2720" s="6" t="n"/>
      <c r="B2720" s="6" t="n"/>
      <c r="C2720" s="7" t="n"/>
      <c r="D2720" s="8" t="n"/>
      <c r="E2720" s="6" t="n"/>
      <c r="F2720" s="6" t="n"/>
      <c r="G2720" s="6" t="n"/>
      <c r="H2720" s="6" t="n"/>
      <c r="I2720" s="12">
        <f>IF($B2720="","",IF(COUNTIF(Ventes_Factures!$A$6:$A$3005,$B2720)&gt;0,"OK","INCONNUE"))</f>
        <v/>
      </c>
      <c r="J2720" s="9">
        <f>IF($D2720="","",ROUND($D2720,2))</f>
        <v/>
      </c>
    </row>
    <row r="2721">
      <c r="A2721" s="6" t="n"/>
      <c r="B2721" s="6" t="n"/>
      <c r="C2721" s="7" t="n"/>
      <c r="D2721" s="8" t="n"/>
      <c r="E2721" s="6" t="n"/>
      <c r="F2721" s="6" t="n"/>
      <c r="G2721" s="6" t="n"/>
      <c r="H2721" s="6" t="n"/>
      <c r="I2721" s="12">
        <f>IF($B2721="","",IF(COUNTIF(Ventes_Factures!$A$6:$A$3005,$B2721)&gt;0,"OK","INCONNUE"))</f>
        <v/>
      </c>
      <c r="J2721" s="9">
        <f>IF($D2721="","",ROUND($D2721,2))</f>
        <v/>
      </c>
    </row>
    <row r="2722">
      <c r="A2722" s="6" t="n"/>
      <c r="B2722" s="6" t="n"/>
      <c r="C2722" s="7" t="n"/>
      <c r="D2722" s="8" t="n"/>
      <c r="E2722" s="6" t="n"/>
      <c r="F2722" s="6" t="n"/>
      <c r="G2722" s="6" t="n"/>
      <c r="H2722" s="6" t="n"/>
      <c r="I2722" s="12">
        <f>IF($B2722="","",IF(COUNTIF(Ventes_Factures!$A$6:$A$3005,$B2722)&gt;0,"OK","INCONNUE"))</f>
        <v/>
      </c>
      <c r="J2722" s="9">
        <f>IF($D2722="","",ROUND($D2722,2))</f>
        <v/>
      </c>
    </row>
    <row r="2723">
      <c r="A2723" s="6" t="n"/>
      <c r="B2723" s="6" t="n"/>
      <c r="C2723" s="7" t="n"/>
      <c r="D2723" s="8" t="n"/>
      <c r="E2723" s="6" t="n"/>
      <c r="F2723" s="6" t="n"/>
      <c r="G2723" s="6" t="n"/>
      <c r="H2723" s="6" t="n"/>
      <c r="I2723" s="12">
        <f>IF($B2723="","",IF(COUNTIF(Ventes_Factures!$A$6:$A$3005,$B2723)&gt;0,"OK","INCONNUE"))</f>
        <v/>
      </c>
      <c r="J2723" s="9">
        <f>IF($D2723="","",ROUND($D2723,2))</f>
        <v/>
      </c>
    </row>
    <row r="2724">
      <c r="A2724" s="6" t="n"/>
      <c r="B2724" s="6" t="n"/>
      <c r="C2724" s="7" t="n"/>
      <c r="D2724" s="8" t="n"/>
      <c r="E2724" s="6" t="n"/>
      <c r="F2724" s="6" t="n"/>
      <c r="G2724" s="6" t="n"/>
      <c r="H2724" s="6" t="n"/>
      <c r="I2724" s="12">
        <f>IF($B2724="","",IF(COUNTIF(Ventes_Factures!$A$6:$A$3005,$B2724)&gt;0,"OK","INCONNUE"))</f>
        <v/>
      </c>
      <c r="J2724" s="9">
        <f>IF($D2724="","",ROUND($D2724,2))</f>
        <v/>
      </c>
    </row>
    <row r="2725">
      <c r="A2725" s="6" t="n"/>
      <c r="B2725" s="6" t="n"/>
      <c r="C2725" s="7" t="n"/>
      <c r="D2725" s="8" t="n"/>
      <c r="E2725" s="6" t="n"/>
      <c r="F2725" s="6" t="n"/>
      <c r="G2725" s="6" t="n"/>
      <c r="H2725" s="6" t="n"/>
      <c r="I2725" s="12">
        <f>IF($B2725="","",IF(COUNTIF(Ventes_Factures!$A$6:$A$3005,$B2725)&gt;0,"OK","INCONNUE"))</f>
        <v/>
      </c>
      <c r="J2725" s="9">
        <f>IF($D2725="","",ROUND($D2725,2))</f>
        <v/>
      </c>
    </row>
    <row r="2726">
      <c r="A2726" s="6" t="n"/>
      <c r="B2726" s="6" t="n"/>
      <c r="C2726" s="7" t="n"/>
      <c r="D2726" s="8" t="n"/>
      <c r="E2726" s="6" t="n"/>
      <c r="F2726" s="6" t="n"/>
      <c r="G2726" s="6" t="n"/>
      <c r="H2726" s="6" t="n"/>
      <c r="I2726" s="12">
        <f>IF($B2726="","",IF(COUNTIF(Ventes_Factures!$A$6:$A$3005,$B2726)&gt;0,"OK","INCONNUE"))</f>
        <v/>
      </c>
      <c r="J2726" s="9">
        <f>IF($D2726="","",ROUND($D2726,2))</f>
        <v/>
      </c>
    </row>
    <row r="2727">
      <c r="A2727" s="6" t="n"/>
      <c r="B2727" s="6" t="n"/>
      <c r="C2727" s="7" t="n"/>
      <c r="D2727" s="8" t="n"/>
      <c r="E2727" s="6" t="n"/>
      <c r="F2727" s="6" t="n"/>
      <c r="G2727" s="6" t="n"/>
      <c r="H2727" s="6" t="n"/>
      <c r="I2727" s="12">
        <f>IF($B2727="","",IF(COUNTIF(Ventes_Factures!$A$6:$A$3005,$B2727)&gt;0,"OK","INCONNUE"))</f>
        <v/>
      </c>
      <c r="J2727" s="9">
        <f>IF($D2727="","",ROUND($D2727,2))</f>
        <v/>
      </c>
    </row>
    <row r="2728">
      <c r="A2728" s="6" t="n"/>
      <c r="B2728" s="6" t="n"/>
      <c r="C2728" s="7" t="n"/>
      <c r="D2728" s="8" t="n"/>
      <c r="E2728" s="6" t="n"/>
      <c r="F2728" s="6" t="n"/>
      <c r="G2728" s="6" t="n"/>
      <c r="H2728" s="6" t="n"/>
      <c r="I2728" s="12">
        <f>IF($B2728="","",IF(COUNTIF(Ventes_Factures!$A$6:$A$3005,$B2728)&gt;0,"OK","INCONNUE"))</f>
        <v/>
      </c>
      <c r="J2728" s="9">
        <f>IF($D2728="","",ROUND($D2728,2))</f>
        <v/>
      </c>
    </row>
    <row r="2729">
      <c r="A2729" s="6" t="n"/>
      <c r="B2729" s="6" t="n"/>
      <c r="C2729" s="7" t="n"/>
      <c r="D2729" s="8" t="n"/>
      <c r="E2729" s="6" t="n"/>
      <c r="F2729" s="6" t="n"/>
      <c r="G2729" s="6" t="n"/>
      <c r="H2729" s="6" t="n"/>
      <c r="I2729" s="12">
        <f>IF($B2729="","",IF(COUNTIF(Ventes_Factures!$A$6:$A$3005,$B2729)&gt;0,"OK","INCONNUE"))</f>
        <v/>
      </c>
      <c r="J2729" s="9">
        <f>IF($D2729="","",ROUND($D2729,2))</f>
        <v/>
      </c>
    </row>
    <row r="2730">
      <c r="A2730" s="6" t="n"/>
      <c r="B2730" s="6" t="n"/>
      <c r="C2730" s="7" t="n"/>
      <c r="D2730" s="8" t="n"/>
      <c r="E2730" s="6" t="n"/>
      <c r="F2730" s="6" t="n"/>
      <c r="G2730" s="6" t="n"/>
      <c r="H2730" s="6" t="n"/>
      <c r="I2730" s="12">
        <f>IF($B2730="","",IF(COUNTIF(Ventes_Factures!$A$6:$A$3005,$B2730)&gt;0,"OK","INCONNUE"))</f>
        <v/>
      </c>
      <c r="J2730" s="9">
        <f>IF($D2730="","",ROUND($D2730,2))</f>
        <v/>
      </c>
    </row>
    <row r="2731">
      <c r="A2731" s="6" t="n"/>
      <c r="B2731" s="6" t="n"/>
      <c r="C2731" s="7" t="n"/>
      <c r="D2731" s="8" t="n"/>
      <c r="E2731" s="6" t="n"/>
      <c r="F2731" s="6" t="n"/>
      <c r="G2731" s="6" t="n"/>
      <c r="H2731" s="6" t="n"/>
      <c r="I2731" s="12">
        <f>IF($B2731="","",IF(COUNTIF(Ventes_Factures!$A$6:$A$3005,$B2731)&gt;0,"OK","INCONNUE"))</f>
        <v/>
      </c>
      <c r="J2731" s="9">
        <f>IF($D2731="","",ROUND($D2731,2))</f>
        <v/>
      </c>
    </row>
    <row r="2732">
      <c r="A2732" s="6" t="n"/>
      <c r="B2732" s="6" t="n"/>
      <c r="C2732" s="7" t="n"/>
      <c r="D2732" s="8" t="n"/>
      <c r="E2732" s="6" t="n"/>
      <c r="F2732" s="6" t="n"/>
      <c r="G2732" s="6" t="n"/>
      <c r="H2732" s="6" t="n"/>
      <c r="I2732" s="12">
        <f>IF($B2732="","",IF(COUNTIF(Ventes_Factures!$A$6:$A$3005,$B2732)&gt;0,"OK","INCONNUE"))</f>
        <v/>
      </c>
      <c r="J2732" s="9">
        <f>IF($D2732="","",ROUND($D2732,2))</f>
        <v/>
      </c>
    </row>
    <row r="2733">
      <c r="A2733" s="6" t="n"/>
      <c r="B2733" s="6" t="n"/>
      <c r="C2733" s="7" t="n"/>
      <c r="D2733" s="8" t="n"/>
      <c r="E2733" s="6" t="n"/>
      <c r="F2733" s="6" t="n"/>
      <c r="G2733" s="6" t="n"/>
      <c r="H2733" s="6" t="n"/>
      <c r="I2733" s="12">
        <f>IF($B2733="","",IF(COUNTIF(Ventes_Factures!$A$6:$A$3005,$B2733)&gt;0,"OK","INCONNUE"))</f>
        <v/>
      </c>
      <c r="J2733" s="9">
        <f>IF($D2733="","",ROUND($D2733,2))</f>
        <v/>
      </c>
    </row>
    <row r="2734">
      <c r="A2734" s="6" t="n"/>
      <c r="B2734" s="6" t="n"/>
      <c r="C2734" s="7" t="n"/>
      <c r="D2734" s="8" t="n"/>
      <c r="E2734" s="6" t="n"/>
      <c r="F2734" s="6" t="n"/>
      <c r="G2734" s="6" t="n"/>
      <c r="H2734" s="6" t="n"/>
      <c r="I2734" s="12">
        <f>IF($B2734="","",IF(COUNTIF(Ventes_Factures!$A$6:$A$3005,$B2734)&gt;0,"OK","INCONNUE"))</f>
        <v/>
      </c>
      <c r="J2734" s="9">
        <f>IF($D2734="","",ROUND($D2734,2))</f>
        <v/>
      </c>
    </row>
    <row r="2735">
      <c r="A2735" s="6" t="n"/>
      <c r="B2735" s="6" t="n"/>
      <c r="C2735" s="7" t="n"/>
      <c r="D2735" s="8" t="n"/>
      <c r="E2735" s="6" t="n"/>
      <c r="F2735" s="6" t="n"/>
      <c r="G2735" s="6" t="n"/>
      <c r="H2735" s="6" t="n"/>
      <c r="I2735" s="12">
        <f>IF($B2735="","",IF(COUNTIF(Ventes_Factures!$A$6:$A$3005,$B2735)&gt;0,"OK","INCONNUE"))</f>
        <v/>
      </c>
      <c r="J2735" s="9">
        <f>IF($D2735="","",ROUND($D2735,2))</f>
        <v/>
      </c>
    </row>
    <row r="2736">
      <c r="A2736" s="6" t="n"/>
      <c r="B2736" s="6" t="n"/>
      <c r="C2736" s="7" t="n"/>
      <c r="D2736" s="8" t="n"/>
      <c r="E2736" s="6" t="n"/>
      <c r="F2736" s="6" t="n"/>
      <c r="G2736" s="6" t="n"/>
      <c r="H2736" s="6" t="n"/>
      <c r="I2736" s="12">
        <f>IF($B2736="","",IF(COUNTIF(Ventes_Factures!$A$6:$A$3005,$B2736)&gt;0,"OK","INCONNUE"))</f>
        <v/>
      </c>
      <c r="J2736" s="9">
        <f>IF($D2736="","",ROUND($D2736,2))</f>
        <v/>
      </c>
    </row>
    <row r="2737">
      <c r="A2737" s="6" t="n"/>
      <c r="B2737" s="6" t="n"/>
      <c r="C2737" s="7" t="n"/>
      <c r="D2737" s="8" t="n"/>
      <c r="E2737" s="6" t="n"/>
      <c r="F2737" s="6" t="n"/>
      <c r="G2737" s="6" t="n"/>
      <c r="H2737" s="6" t="n"/>
      <c r="I2737" s="12">
        <f>IF($B2737="","",IF(COUNTIF(Ventes_Factures!$A$6:$A$3005,$B2737)&gt;0,"OK","INCONNUE"))</f>
        <v/>
      </c>
      <c r="J2737" s="9">
        <f>IF($D2737="","",ROUND($D2737,2))</f>
        <v/>
      </c>
    </row>
    <row r="2738">
      <c r="A2738" s="6" t="n"/>
      <c r="B2738" s="6" t="n"/>
      <c r="C2738" s="7" t="n"/>
      <c r="D2738" s="8" t="n"/>
      <c r="E2738" s="6" t="n"/>
      <c r="F2738" s="6" t="n"/>
      <c r="G2738" s="6" t="n"/>
      <c r="H2738" s="6" t="n"/>
      <c r="I2738" s="12">
        <f>IF($B2738="","",IF(COUNTIF(Ventes_Factures!$A$6:$A$3005,$B2738)&gt;0,"OK","INCONNUE"))</f>
        <v/>
      </c>
      <c r="J2738" s="9">
        <f>IF($D2738="","",ROUND($D2738,2))</f>
        <v/>
      </c>
    </row>
    <row r="2739">
      <c r="A2739" s="6" t="n"/>
      <c r="B2739" s="6" t="n"/>
      <c r="C2739" s="7" t="n"/>
      <c r="D2739" s="8" t="n"/>
      <c r="E2739" s="6" t="n"/>
      <c r="F2739" s="6" t="n"/>
      <c r="G2739" s="6" t="n"/>
      <c r="H2739" s="6" t="n"/>
      <c r="I2739" s="12">
        <f>IF($B2739="","",IF(COUNTIF(Ventes_Factures!$A$6:$A$3005,$B2739)&gt;0,"OK","INCONNUE"))</f>
        <v/>
      </c>
      <c r="J2739" s="9">
        <f>IF($D2739="","",ROUND($D2739,2))</f>
        <v/>
      </c>
    </row>
    <row r="2740">
      <c r="A2740" s="6" t="n"/>
      <c r="B2740" s="6" t="n"/>
      <c r="C2740" s="7" t="n"/>
      <c r="D2740" s="8" t="n"/>
      <c r="E2740" s="6" t="n"/>
      <c r="F2740" s="6" t="n"/>
      <c r="G2740" s="6" t="n"/>
      <c r="H2740" s="6" t="n"/>
      <c r="I2740" s="12">
        <f>IF($B2740="","",IF(COUNTIF(Ventes_Factures!$A$6:$A$3005,$B2740)&gt;0,"OK","INCONNUE"))</f>
        <v/>
      </c>
      <c r="J2740" s="9">
        <f>IF($D2740="","",ROUND($D2740,2))</f>
        <v/>
      </c>
    </row>
    <row r="2741">
      <c r="A2741" s="6" t="n"/>
      <c r="B2741" s="6" t="n"/>
      <c r="C2741" s="7" t="n"/>
      <c r="D2741" s="8" t="n"/>
      <c r="E2741" s="6" t="n"/>
      <c r="F2741" s="6" t="n"/>
      <c r="G2741" s="6" t="n"/>
      <c r="H2741" s="6" t="n"/>
      <c r="I2741" s="12">
        <f>IF($B2741="","",IF(COUNTIF(Ventes_Factures!$A$6:$A$3005,$B2741)&gt;0,"OK","INCONNUE"))</f>
        <v/>
      </c>
      <c r="J2741" s="9">
        <f>IF($D2741="","",ROUND($D2741,2))</f>
        <v/>
      </c>
    </row>
    <row r="2742">
      <c r="A2742" s="6" t="n"/>
      <c r="B2742" s="6" t="n"/>
      <c r="C2742" s="7" t="n"/>
      <c r="D2742" s="8" t="n"/>
      <c r="E2742" s="6" t="n"/>
      <c r="F2742" s="6" t="n"/>
      <c r="G2742" s="6" t="n"/>
      <c r="H2742" s="6" t="n"/>
      <c r="I2742" s="12">
        <f>IF($B2742="","",IF(COUNTIF(Ventes_Factures!$A$6:$A$3005,$B2742)&gt;0,"OK","INCONNUE"))</f>
        <v/>
      </c>
      <c r="J2742" s="9">
        <f>IF($D2742="","",ROUND($D2742,2))</f>
        <v/>
      </c>
    </row>
    <row r="2743">
      <c r="A2743" s="6" t="n"/>
      <c r="B2743" s="6" t="n"/>
      <c r="C2743" s="7" t="n"/>
      <c r="D2743" s="8" t="n"/>
      <c r="E2743" s="6" t="n"/>
      <c r="F2743" s="6" t="n"/>
      <c r="G2743" s="6" t="n"/>
      <c r="H2743" s="6" t="n"/>
      <c r="I2743" s="12">
        <f>IF($B2743="","",IF(COUNTIF(Ventes_Factures!$A$6:$A$3005,$B2743)&gt;0,"OK","INCONNUE"))</f>
        <v/>
      </c>
      <c r="J2743" s="9">
        <f>IF($D2743="","",ROUND($D2743,2))</f>
        <v/>
      </c>
    </row>
    <row r="2744">
      <c r="A2744" s="6" t="n"/>
      <c r="B2744" s="6" t="n"/>
      <c r="C2744" s="7" t="n"/>
      <c r="D2744" s="8" t="n"/>
      <c r="E2744" s="6" t="n"/>
      <c r="F2744" s="6" t="n"/>
      <c r="G2744" s="6" t="n"/>
      <c r="H2744" s="6" t="n"/>
      <c r="I2744" s="12">
        <f>IF($B2744="","",IF(COUNTIF(Ventes_Factures!$A$6:$A$3005,$B2744)&gt;0,"OK","INCONNUE"))</f>
        <v/>
      </c>
      <c r="J2744" s="9">
        <f>IF($D2744="","",ROUND($D2744,2))</f>
        <v/>
      </c>
    </row>
    <row r="2745">
      <c r="A2745" s="6" t="n"/>
      <c r="B2745" s="6" t="n"/>
      <c r="C2745" s="7" t="n"/>
      <c r="D2745" s="8" t="n"/>
      <c r="E2745" s="6" t="n"/>
      <c r="F2745" s="6" t="n"/>
      <c r="G2745" s="6" t="n"/>
      <c r="H2745" s="6" t="n"/>
      <c r="I2745" s="12">
        <f>IF($B2745="","",IF(COUNTIF(Ventes_Factures!$A$6:$A$3005,$B2745)&gt;0,"OK","INCONNUE"))</f>
        <v/>
      </c>
      <c r="J2745" s="9">
        <f>IF($D2745="","",ROUND($D2745,2))</f>
        <v/>
      </c>
    </row>
    <row r="2746">
      <c r="A2746" s="6" t="n"/>
      <c r="B2746" s="6" t="n"/>
      <c r="C2746" s="7" t="n"/>
      <c r="D2746" s="8" t="n"/>
      <c r="E2746" s="6" t="n"/>
      <c r="F2746" s="6" t="n"/>
      <c r="G2746" s="6" t="n"/>
      <c r="H2746" s="6" t="n"/>
      <c r="I2746" s="12">
        <f>IF($B2746="","",IF(COUNTIF(Ventes_Factures!$A$6:$A$3005,$B2746)&gt;0,"OK","INCONNUE"))</f>
        <v/>
      </c>
      <c r="J2746" s="9">
        <f>IF($D2746="","",ROUND($D2746,2))</f>
        <v/>
      </c>
    </row>
    <row r="2747">
      <c r="A2747" s="6" t="n"/>
      <c r="B2747" s="6" t="n"/>
      <c r="C2747" s="7" t="n"/>
      <c r="D2747" s="8" t="n"/>
      <c r="E2747" s="6" t="n"/>
      <c r="F2747" s="6" t="n"/>
      <c r="G2747" s="6" t="n"/>
      <c r="H2747" s="6" t="n"/>
      <c r="I2747" s="12">
        <f>IF($B2747="","",IF(COUNTIF(Ventes_Factures!$A$6:$A$3005,$B2747)&gt;0,"OK","INCONNUE"))</f>
        <v/>
      </c>
      <c r="J2747" s="9">
        <f>IF($D2747="","",ROUND($D2747,2))</f>
        <v/>
      </c>
    </row>
    <row r="2748">
      <c r="A2748" s="6" t="n"/>
      <c r="B2748" s="6" t="n"/>
      <c r="C2748" s="7" t="n"/>
      <c r="D2748" s="8" t="n"/>
      <c r="E2748" s="6" t="n"/>
      <c r="F2748" s="6" t="n"/>
      <c r="G2748" s="6" t="n"/>
      <c r="H2748" s="6" t="n"/>
      <c r="I2748" s="12">
        <f>IF($B2748="","",IF(COUNTIF(Ventes_Factures!$A$6:$A$3005,$B2748)&gt;0,"OK","INCONNUE"))</f>
        <v/>
      </c>
      <c r="J2748" s="9">
        <f>IF($D2748="","",ROUND($D2748,2))</f>
        <v/>
      </c>
    </row>
    <row r="2749">
      <c r="A2749" s="6" t="n"/>
      <c r="B2749" s="6" t="n"/>
      <c r="C2749" s="7" t="n"/>
      <c r="D2749" s="8" t="n"/>
      <c r="E2749" s="6" t="n"/>
      <c r="F2749" s="6" t="n"/>
      <c r="G2749" s="6" t="n"/>
      <c r="H2749" s="6" t="n"/>
      <c r="I2749" s="12">
        <f>IF($B2749="","",IF(COUNTIF(Ventes_Factures!$A$6:$A$3005,$B2749)&gt;0,"OK","INCONNUE"))</f>
        <v/>
      </c>
      <c r="J2749" s="9">
        <f>IF($D2749="","",ROUND($D2749,2))</f>
        <v/>
      </c>
    </row>
    <row r="2750">
      <c r="A2750" s="6" t="n"/>
      <c r="B2750" s="6" t="n"/>
      <c r="C2750" s="7" t="n"/>
      <c r="D2750" s="8" t="n"/>
      <c r="E2750" s="6" t="n"/>
      <c r="F2750" s="6" t="n"/>
      <c r="G2750" s="6" t="n"/>
      <c r="H2750" s="6" t="n"/>
      <c r="I2750" s="12">
        <f>IF($B2750="","",IF(COUNTIF(Ventes_Factures!$A$6:$A$3005,$B2750)&gt;0,"OK","INCONNUE"))</f>
        <v/>
      </c>
      <c r="J2750" s="9">
        <f>IF($D2750="","",ROUND($D2750,2))</f>
        <v/>
      </c>
    </row>
    <row r="2751">
      <c r="A2751" s="6" t="n"/>
      <c r="B2751" s="6" t="n"/>
      <c r="C2751" s="7" t="n"/>
      <c r="D2751" s="8" t="n"/>
      <c r="E2751" s="6" t="n"/>
      <c r="F2751" s="6" t="n"/>
      <c r="G2751" s="6" t="n"/>
      <c r="H2751" s="6" t="n"/>
      <c r="I2751" s="12">
        <f>IF($B2751="","",IF(COUNTIF(Ventes_Factures!$A$6:$A$3005,$B2751)&gt;0,"OK","INCONNUE"))</f>
        <v/>
      </c>
      <c r="J2751" s="9">
        <f>IF($D2751="","",ROUND($D2751,2))</f>
        <v/>
      </c>
    </row>
    <row r="2752">
      <c r="A2752" s="6" t="n"/>
      <c r="B2752" s="6" t="n"/>
      <c r="C2752" s="7" t="n"/>
      <c r="D2752" s="8" t="n"/>
      <c r="E2752" s="6" t="n"/>
      <c r="F2752" s="6" t="n"/>
      <c r="G2752" s="6" t="n"/>
      <c r="H2752" s="6" t="n"/>
      <c r="I2752" s="12">
        <f>IF($B2752="","",IF(COUNTIF(Ventes_Factures!$A$6:$A$3005,$B2752)&gt;0,"OK","INCONNUE"))</f>
        <v/>
      </c>
      <c r="J2752" s="9">
        <f>IF($D2752="","",ROUND($D2752,2))</f>
        <v/>
      </c>
    </row>
    <row r="2753">
      <c r="A2753" s="6" t="n"/>
      <c r="B2753" s="6" t="n"/>
      <c r="C2753" s="7" t="n"/>
      <c r="D2753" s="8" t="n"/>
      <c r="E2753" s="6" t="n"/>
      <c r="F2753" s="6" t="n"/>
      <c r="G2753" s="6" t="n"/>
      <c r="H2753" s="6" t="n"/>
      <c r="I2753" s="12">
        <f>IF($B2753="","",IF(COUNTIF(Ventes_Factures!$A$6:$A$3005,$B2753)&gt;0,"OK","INCONNUE"))</f>
        <v/>
      </c>
      <c r="J2753" s="9">
        <f>IF($D2753="","",ROUND($D2753,2))</f>
        <v/>
      </c>
    </row>
    <row r="2754">
      <c r="A2754" s="6" t="n"/>
      <c r="B2754" s="6" t="n"/>
      <c r="C2754" s="7" t="n"/>
      <c r="D2754" s="8" t="n"/>
      <c r="E2754" s="6" t="n"/>
      <c r="F2754" s="6" t="n"/>
      <c r="G2754" s="6" t="n"/>
      <c r="H2754" s="6" t="n"/>
      <c r="I2754" s="12">
        <f>IF($B2754="","",IF(COUNTIF(Ventes_Factures!$A$6:$A$3005,$B2754)&gt;0,"OK","INCONNUE"))</f>
        <v/>
      </c>
      <c r="J2754" s="9">
        <f>IF($D2754="","",ROUND($D2754,2))</f>
        <v/>
      </c>
    </row>
    <row r="2755">
      <c r="A2755" s="6" t="n"/>
      <c r="B2755" s="6" t="n"/>
      <c r="C2755" s="7" t="n"/>
      <c r="D2755" s="8" t="n"/>
      <c r="E2755" s="6" t="n"/>
      <c r="F2755" s="6" t="n"/>
      <c r="G2755" s="6" t="n"/>
      <c r="H2755" s="6" t="n"/>
      <c r="I2755" s="12">
        <f>IF($B2755="","",IF(COUNTIF(Ventes_Factures!$A$6:$A$3005,$B2755)&gt;0,"OK","INCONNUE"))</f>
        <v/>
      </c>
      <c r="J2755" s="9">
        <f>IF($D2755="","",ROUND($D2755,2))</f>
        <v/>
      </c>
    </row>
    <row r="2756">
      <c r="A2756" s="6" t="n"/>
      <c r="B2756" s="6" t="n"/>
      <c r="C2756" s="7" t="n"/>
      <c r="D2756" s="8" t="n"/>
      <c r="E2756" s="6" t="n"/>
      <c r="F2756" s="6" t="n"/>
      <c r="G2756" s="6" t="n"/>
      <c r="H2756" s="6" t="n"/>
      <c r="I2756" s="12">
        <f>IF($B2756="","",IF(COUNTIF(Ventes_Factures!$A$6:$A$3005,$B2756)&gt;0,"OK","INCONNUE"))</f>
        <v/>
      </c>
      <c r="J2756" s="9">
        <f>IF($D2756="","",ROUND($D2756,2))</f>
        <v/>
      </c>
    </row>
    <row r="2757">
      <c r="A2757" s="6" t="n"/>
      <c r="B2757" s="6" t="n"/>
      <c r="C2757" s="7" t="n"/>
      <c r="D2757" s="8" t="n"/>
      <c r="E2757" s="6" t="n"/>
      <c r="F2757" s="6" t="n"/>
      <c r="G2757" s="6" t="n"/>
      <c r="H2757" s="6" t="n"/>
      <c r="I2757" s="12">
        <f>IF($B2757="","",IF(COUNTIF(Ventes_Factures!$A$6:$A$3005,$B2757)&gt;0,"OK","INCONNUE"))</f>
        <v/>
      </c>
      <c r="J2757" s="9">
        <f>IF($D2757="","",ROUND($D2757,2))</f>
        <v/>
      </c>
    </row>
    <row r="2758">
      <c r="A2758" s="6" t="n"/>
      <c r="B2758" s="6" t="n"/>
      <c r="C2758" s="7" t="n"/>
      <c r="D2758" s="8" t="n"/>
      <c r="E2758" s="6" t="n"/>
      <c r="F2758" s="6" t="n"/>
      <c r="G2758" s="6" t="n"/>
      <c r="H2758" s="6" t="n"/>
      <c r="I2758" s="12">
        <f>IF($B2758="","",IF(COUNTIF(Ventes_Factures!$A$6:$A$3005,$B2758)&gt;0,"OK","INCONNUE"))</f>
        <v/>
      </c>
      <c r="J2758" s="9">
        <f>IF($D2758="","",ROUND($D2758,2))</f>
        <v/>
      </c>
    </row>
    <row r="2759">
      <c r="A2759" s="6" t="n"/>
      <c r="B2759" s="6" t="n"/>
      <c r="C2759" s="7" t="n"/>
      <c r="D2759" s="8" t="n"/>
      <c r="E2759" s="6" t="n"/>
      <c r="F2759" s="6" t="n"/>
      <c r="G2759" s="6" t="n"/>
      <c r="H2759" s="6" t="n"/>
      <c r="I2759" s="12">
        <f>IF($B2759="","",IF(COUNTIF(Ventes_Factures!$A$6:$A$3005,$B2759)&gt;0,"OK","INCONNUE"))</f>
        <v/>
      </c>
      <c r="J2759" s="9">
        <f>IF($D2759="","",ROUND($D2759,2))</f>
        <v/>
      </c>
    </row>
    <row r="2760">
      <c r="A2760" s="6" t="n"/>
      <c r="B2760" s="6" t="n"/>
      <c r="C2760" s="7" t="n"/>
      <c r="D2760" s="8" t="n"/>
      <c r="E2760" s="6" t="n"/>
      <c r="F2760" s="6" t="n"/>
      <c r="G2760" s="6" t="n"/>
      <c r="H2760" s="6" t="n"/>
      <c r="I2760" s="12">
        <f>IF($B2760="","",IF(COUNTIF(Ventes_Factures!$A$6:$A$3005,$B2760)&gt;0,"OK","INCONNUE"))</f>
        <v/>
      </c>
      <c r="J2760" s="9">
        <f>IF($D2760="","",ROUND($D2760,2))</f>
        <v/>
      </c>
    </row>
    <row r="2761">
      <c r="A2761" s="6" t="n"/>
      <c r="B2761" s="6" t="n"/>
      <c r="C2761" s="7" t="n"/>
      <c r="D2761" s="8" t="n"/>
      <c r="E2761" s="6" t="n"/>
      <c r="F2761" s="6" t="n"/>
      <c r="G2761" s="6" t="n"/>
      <c r="H2761" s="6" t="n"/>
      <c r="I2761" s="12">
        <f>IF($B2761="","",IF(COUNTIF(Ventes_Factures!$A$6:$A$3005,$B2761)&gt;0,"OK","INCONNUE"))</f>
        <v/>
      </c>
      <c r="J2761" s="9">
        <f>IF($D2761="","",ROUND($D2761,2))</f>
        <v/>
      </c>
    </row>
    <row r="2762">
      <c r="A2762" s="6" t="n"/>
      <c r="B2762" s="6" t="n"/>
      <c r="C2762" s="7" t="n"/>
      <c r="D2762" s="8" t="n"/>
      <c r="E2762" s="6" t="n"/>
      <c r="F2762" s="6" t="n"/>
      <c r="G2762" s="6" t="n"/>
      <c r="H2762" s="6" t="n"/>
      <c r="I2762" s="12">
        <f>IF($B2762="","",IF(COUNTIF(Ventes_Factures!$A$6:$A$3005,$B2762)&gt;0,"OK","INCONNUE"))</f>
        <v/>
      </c>
      <c r="J2762" s="9">
        <f>IF($D2762="","",ROUND($D2762,2))</f>
        <v/>
      </c>
    </row>
    <row r="2763">
      <c r="A2763" s="6" t="n"/>
      <c r="B2763" s="6" t="n"/>
      <c r="C2763" s="7" t="n"/>
      <c r="D2763" s="8" t="n"/>
      <c r="E2763" s="6" t="n"/>
      <c r="F2763" s="6" t="n"/>
      <c r="G2763" s="6" t="n"/>
      <c r="H2763" s="6" t="n"/>
      <c r="I2763" s="12">
        <f>IF($B2763="","",IF(COUNTIF(Ventes_Factures!$A$6:$A$3005,$B2763)&gt;0,"OK","INCONNUE"))</f>
        <v/>
      </c>
      <c r="J2763" s="9">
        <f>IF($D2763="","",ROUND($D2763,2))</f>
        <v/>
      </c>
    </row>
    <row r="2764">
      <c r="A2764" s="6" t="n"/>
      <c r="B2764" s="6" t="n"/>
      <c r="C2764" s="7" t="n"/>
      <c r="D2764" s="8" t="n"/>
      <c r="E2764" s="6" t="n"/>
      <c r="F2764" s="6" t="n"/>
      <c r="G2764" s="6" t="n"/>
      <c r="H2764" s="6" t="n"/>
      <c r="I2764" s="12">
        <f>IF($B2764="","",IF(COUNTIF(Ventes_Factures!$A$6:$A$3005,$B2764)&gt;0,"OK","INCONNUE"))</f>
        <v/>
      </c>
      <c r="J2764" s="9">
        <f>IF($D2764="","",ROUND($D2764,2))</f>
        <v/>
      </c>
    </row>
    <row r="2765">
      <c r="A2765" s="6" t="n"/>
      <c r="B2765" s="6" t="n"/>
      <c r="C2765" s="7" t="n"/>
      <c r="D2765" s="8" t="n"/>
      <c r="E2765" s="6" t="n"/>
      <c r="F2765" s="6" t="n"/>
      <c r="G2765" s="6" t="n"/>
      <c r="H2765" s="6" t="n"/>
      <c r="I2765" s="12">
        <f>IF($B2765="","",IF(COUNTIF(Ventes_Factures!$A$6:$A$3005,$B2765)&gt;0,"OK","INCONNUE"))</f>
        <v/>
      </c>
      <c r="J2765" s="9">
        <f>IF($D2765="","",ROUND($D2765,2))</f>
        <v/>
      </c>
    </row>
    <row r="2766">
      <c r="A2766" s="6" t="n"/>
      <c r="B2766" s="6" t="n"/>
      <c r="C2766" s="7" t="n"/>
      <c r="D2766" s="8" t="n"/>
      <c r="E2766" s="6" t="n"/>
      <c r="F2766" s="6" t="n"/>
      <c r="G2766" s="6" t="n"/>
      <c r="H2766" s="6" t="n"/>
      <c r="I2766" s="12">
        <f>IF($B2766="","",IF(COUNTIF(Ventes_Factures!$A$6:$A$3005,$B2766)&gt;0,"OK","INCONNUE"))</f>
        <v/>
      </c>
      <c r="J2766" s="9">
        <f>IF($D2766="","",ROUND($D2766,2))</f>
        <v/>
      </c>
    </row>
    <row r="2767">
      <c r="A2767" s="6" t="n"/>
      <c r="B2767" s="6" t="n"/>
      <c r="C2767" s="7" t="n"/>
      <c r="D2767" s="8" t="n"/>
      <c r="E2767" s="6" t="n"/>
      <c r="F2767" s="6" t="n"/>
      <c r="G2767" s="6" t="n"/>
      <c r="H2767" s="6" t="n"/>
      <c r="I2767" s="12">
        <f>IF($B2767="","",IF(COUNTIF(Ventes_Factures!$A$6:$A$3005,$B2767)&gt;0,"OK","INCONNUE"))</f>
        <v/>
      </c>
      <c r="J2767" s="9">
        <f>IF($D2767="","",ROUND($D2767,2))</f>
        <v/>
      </c>
    </row>
    <row r="2768">
      <c r="A2768" s="6" t="n"/>
      <c r="B2768" s="6" t="n"/>
      <c r="C2768" s="7" t="n"/>
      <c r="D2768" s="8" t="n"/>
      <c r="E2768" s="6" t="n"/>
      <c r="F2768" s="6" t="n"/>
      <c r="G2768" s="6" t="n"/>
      <c r="H2768" s="6" t="n"/>
      <c r="I2768" s="12">
        <f>IF($B2768="","",IF(COUNTIF(Ventes_Factures!$A$6:$A$3005,$B2768)&gt;0,"OK","INCONNUE"))</f>
        <v/>
      </c>
      <c r="J2768" s="9">
        <f>IF($D2768="","",ROUND($D2768,2))</f>
        <v/>
      </c>
    </row>
    <row r="2769">
      <c r="A2769" s="6" t="n"/>
      <c r="B2769" s="6" t="n"/>
      <c r="C2769" s="7" t="n"/>
      <c r="D2769" s="8" t="n"/>
      <c r="E2769" s="6" t="n"/>
      <c r="F2769" s="6" t="n"/>
      <c r="G2769" s="6" t="n"/>
      <c r="H2769" s="6" t="n"/>
      <c r="I2769" s="12">
        <f>IF($B2769="","",IF(COUNTIF(Ventes_Factures!$A$6:$A$3005,$B2769)&gt;0,"OK","INCONNUE"))</f>
        <v/>
      </c>
      <c r="J2769" s="9">
        <f>IF($D2769="","",ROUND($D2769,2))</f>
        <v/>
      </c>
    </row>
    <row r="2770">
      <c r="A2770" s="6" t="n"/>
      <c r="B2770" s="6" t="n"/>
      <c r="C2770" s="7" t="n"/>
      <c r="D2770" s="8" t="n"/>
      <c r="E2770" s="6" t="n"/>
      <c r="F2770" s="6" t="n"/>
      <c r="G2770" s="6" t="n"/>
      <c r="H2770" s="6" t="n"/>
      <c r="I2770" s="12">
        <f>IF($B2770="","",IF(COUNTIF(Ventes_Factures!$A$6:$A$3005,$B2770)&gt;0,"OK","INCONNUE"))</f>
        <v/>
      </c>
      <c r="J2770" s="9">
        <f>IF($D2770="","",ROUND($D2770,2))</f>
        <v/>
      </c>
    </row>
    <row r="2771">
      <c r="A2771" s="6" t="n"/>
      <c r="B2771" s="6" t="n"/>
      <c r="C2771" s="7" t="n"/>
      <c r="D2771" s="8" t="n"/>
      <c r="E2771" s="6" t="n"/>
      <c r="F2771" s="6" t="n"/>
      <c r="G2771" s="6" t="n"/>
      <c r="H2771" s="6" t="n"/>
      <c r="I2771" s="12">
        <f>IF($B2771="","",IF(COUNTIF(Ventes_Factures!$A$6:$A$3005,$B2771)&gt;0,"OK","INCONNUE"))</f>
        <v/>
      </c>
      <c r="J2771" s="9">
        <f>IF($D2771="","",ROUND($D2771,2))</f>
        <v/>
      </c>
    </row>
    <row r="2772">
      <c r="A2772" s="6" t="n"/>
      <c r="B2772" s="6" t="n"/>
      <c r="C2772" s="7" t="n"/>
      <c r="D2772" s="8" t="n"/>
      <c r="E2772" s="6" t="n"/>
      <c r="F2772" s="6" t="n"/>
      <c r="G2772" s="6" t="n"/>
      <c r="H2772" s="6" t="n"/>
      <c r="I2772" s="12">
        <f>IF($B2772="","",IF(COUNTIF(Ventes_Factures!$A$6:$A$3005,$B2772)&gt;0,"OK","INCONNUE"))</f>
        <v/>
      </c>
      <c r="J2772" s="9">
        <f>IF($D2772="","",ROUND($D2772,2))</f>
        <v/>
      </c>
    </row>
    <row r="2773">
      <c r="A2773" s="6" t="n"/>
      <c r="B2773" s="6" t="n"/>
      <c r="C2773" s="7" t="n"/>
      <c r="D2773" s="8" t="n"/>
      <c r="E2773" s="6" t="n"/>
      <c r="F2773" s="6" t="n"/>
      <c r="G2773" s="6" t="n"/>
      <c r="H2773" s="6" t="n"/>
      <c r="I2773" s="12">
        <f>IF($B2773="","",IF(COUNTIF(Ventes_Factures!$A$6:$A$3005,$B2773)&gt;0,"OK","INCONNUE"))</f>
        <v/>
      </c>
      <c r="J2773" s="9">
        <f>IF($D2773="","",ROUND($D2773,2))</f>
        <v/>
      </c>
    </row>
    <row r="2774">
      <c r="A2774" s="6" t="n"/>
      <c r="B2774" s="6" t="n"/>
      <c r="C2774" s="7" t="n"/>
      <c r="D2774" s="8" t="n"/>
      <c r="E2774" s="6" t="n"/>
      <c r="F2774" s="6" t="n"/>
      <c r="G2774" s="6" t="n"/>
      <c r="H2774" s="6" t="n"/>
      <c r="I2774" s="12">
        <f>IF($B2774="","",IF(COUNTIF(Ventes_Factures!$A$6:$A$3005,$B2774)&gt;0,"OK","INCONNUE"))</f>
        <v/>
      </c>
      <c r="J2774" s="9">
        <f>IF($D2774="","",ROUND($D2774,2))</f>
        <v/>
      </c>
    </row>
    <row r="2775">
      <c r="A2775" s="6" t="n"/>
      <c r="B2775" s="6" t="n"/>
      <c r="C2775" s="7" t="n"/>
      <c r="D2775" s="8" t="n"/>
      <c r="E2775" s="6" t="n"/>
      <c r="F2775" s="6" t="n"/>
      <c r="G2775" s="6" t="n"/>
      <c r="H2775" s="6" t="n"/>
      <c r="I2775" s="12">
        <f>IF($B2775="","",IF(COUNTIF(Ventes_Factures!$A$6:$A$3005,$B2775)&gt;0,"OK","INCONNUE"))</f>
        <v/>
      </c>
      <c r="J2775" s="9">
        <f>IF($D2775="","",ROUND($D2775,2))</f>
        <v/>
      </c>
    </row>
    <row r="2776">
      <c r="A2776" s="6" t="n"/>
      <c r="B2776" s="6" t="n"/>
      <c r="C2776" s="7" t="n"/>
      <c r="D2776" s="8" t="n"/>
      <c r="E2776" s="6" t="n"/>
      <c r="F2776" s="6" t="n"/>
      <c r="G2776" s="6" t="n"/>
      <c r="H2776" s="6" t="n"/>
      <c r="I2776" s="12">
        <f>IF($B2776="","",IF(COUNTIF(Ventes_Factures!$A$6:$A$3005,$B2776)&gt;0,"OK","INCONNUE"))</f>
        <v/>
      </c>
      <c r="J2776" s="9">
        <f>IF($D2776="","",ROUND($D2776,2))</f>
        <v/>
      </c>
    </row>
    <row r="2777">
      <c r="A2777" s="6" t="n"/>
      <c r="B2777" s="6" t="n"/>
      <c r="C2777" s="7" t="n"/>
      <c r="D2777" s="8" t="n"/>
      <c r="E2777" s="6" t="n"/>
      <c r="F2777" s="6" t="n"/>
      <c r="G2777" s="6" t="n"/>
      <c r="H2777" s="6" t="n"/>
      <c r="I2777" s="12">
        <f>IF($B2777="","",IF(COUNTIF(Ventes_Factures!$A$6:$A$3005,$B2777)&gt;0,"OK","INCONNUE"))</f>
        <v/>
      </c>
      <c r="J2777" s="9">
        <f>IF($D2777="","",ROUND($D2777,2))</f>
        <v/>
      </c>
    </row>
    <row r="2778">
      <c r="A2778" s="6" t="n"/>
      <c r="B2778" s="6" t="n"/>
      <c r="C2778" s="7" t="n"/>
      <c r="D2778" s="8" t="n"/>
      <c r="E2778" s="6" t="n"/>
      <c r="F2778" s="6" t="n"/>
      <c r="G2778" s="6" t="n"/>
      <c r="H2778" s="6" t="n"/>
      <c r="I2778" s="12">
        <f>IF($B2778="","",IF(COUNTIF(Ventes_Factures!$A$6:$A$3005,$B2778)&gt;0,"OK","INCONNUE"))</f>
        <v/>
      </c>
      <c r="J2778" s="9">
        <f>IF($D2778="","",ROUND($D2778,2))</f>
        <v/>
      </c>
    </row>
    <row r="2779">
      <c r="A2779" s="6" t="n"/>
      <c r="B2779" s="6" t="n"/>
      <c r="C2779" s="7" t="n"/>
      <c r="D2779" s="8" t="n"/>
      <c r="E2779" s="6" t="n"/>
      <c r="F2779" s="6" t="n"/>
      <c r="G2779" s="6" t="n"/>
      <c r="H2779" s="6" t="n"/>
      <c r="I2779" s="12">
        <f>IF($B2779="","",IF(COUNTIF(Ventes_Factures!$A$6:$A$3005,$B2779)&gt;0,"OK","INCONNUE"))</f>
        <v/>
      </c>
      <c r="J2779" s="9">
        <f>IF($D2779="","",ROUND($D2779,2))</f>
        <v/>
      </c>
    </row>
    <row r="2780">
      <c r="A2780" s="6" t="n"/>
      <c r="B2780" s="6" t="n"/>
      <c r="C2780" s="7" t="n"/>
      <c r="D2780" s="8" t="n"/>
      <c r="E2780" s="6" t="n"/>
      <c r="F2780" s="6" t="n"/>
      <c r="G2780" s="6" t="n"/>
      <c r="H2780" s="6" t="n"/>
      <c r="I2780" s="12">
        <f>IF($B2780="","",IF(COUNTIF(Ventes_Factures!$A$6:$A$3005,$B2780)&gt;0,"OK","INCONNUE"))</f>
        <v/>
      </c>
      <c r="J2780" s="9">
        <f>IF($D2780="","",ROUND($D2780,2))</f>
        <v/>
      </c>
    </row>
    <row r="2781">
      <c r="A2781" s="6" t="n"/>
      <c r="B2781" s="6" t="n"/>
      <c r="C2781" s="7" t="n"/>
      <c r="D2781" s="8" t="n"/>
      <c r="E2781" s="6" t="n"/>
      <c r="F2781" s="6" t="n"/>
      <c r="G2781" s="6" t="n"/>
      <c r="H2781" s="6" t="n"/>
      <c r="I2781" s="12">
        <f>IF($B2781="","",IF(COUNTIF(Ventes_Factures!$A$6:$A$3005,$B2781)&gt;0,"OK","INCONNUE"))</f>
        <v/>
      </c>
      <c r="J2781" s="9">
        <f>IF($D2781="","",ROUND($D2781,2))</f>
        <v/>
      </c>
    </row>
    <row r="2782">
      <c r="A2782" s="6" t="n"/>
      <c r="B2782" s="6" t="n"/>
      <c r="C2782" s="7" t="n"/>
      <c r="D2782" s="8" t="n"/>
      <c r="E2782" s="6" t="n"/>
      <c r="F2782" s="6" t="n"/>
      <c r="G2782" s="6" t="n"/>
      <c r="H2782" s="6" t="n"/>
      <c r="I2782" s="12">
        <f>IF($B2782="","",IF(COUNTIF(Ventes_Factures!$A$6:$A$3005,$B2782)&gt;0,"OK","INCONNUE"))</f>
        <v/>
      </c>
      <c r="J2782" s="9">
        <f>IF($D2782="","",ROUND($D2782,2))</f>
        <v/>
      </c>
    </row>
    <row r="2783">
      <c r="A2783" s="6" t="n"/>
      <c r="B2783" s="6" t="n"/>
      <c r="C2783" s="7" t="n"/>
      <c r="D2783" s="8" t="n"/>
      <c r="E2783" s="6" t="n"/>
      <c r="F2783" s="6" t="n"/>
      <c r="G2783" s="6" t="n"/>
      <c r="H2783" s="6" t="n"/>
      <c r="I2783" s="12">
        <f>IF($B2783="","",IF(COUNTIF(Ventes_Factures!$A$6:$A$3005,$B2783)&gt;0,"OK","INCONNUE"))</f>
        <v/>
      </c>
      <c r="J2783" s="9">
        <f>IF($D2783="","",ROUND($D2783,2))</f>
        <v/>
      </c>
    </row>
    <row r="2784">
      <c r="A2784" s="6" t="n"/>
      <c r="B2784" s="6" t="n"/>
      <c r="C2784" s="7" t="n"/>
      <c r="D2784" s="8" t="n"/>
      <c r="E2784" s="6" t="n"/>
      <c r="F2784" s="6" t="n"/>
      <c r="G2784" s="6" t="n"/>
      <c r="H2784" s="6" t="n"/>
      <c r="I2784" s="12">
        <f>IF($B2784="","",IF(COUNTIF(Ventes_Factures!$A$6:$A$3005,$B2784)&gt;0,"OK","INCONNUE"))</f>
        <v/>
      </c>
      <c r="J2784" s="9">
        <f>IF($D2784="","",ROUND($D2784,2))</f>
        <v/>
      </c>
    </row>
    <row r="2785">
      <c r="A2785" s="6" t="n"/>
      <c r="B2785" s="6" t="n"/>
      <c r="C2785" s="7" t="n"/>
      <c r="D2785" s="8" t="n"/>
      <c r="E2785" s="6" t="n"/>
      <c r="F2785" s="6" t="n"/>
      <c r="G2785" s="6" t="n"/>
      <c r="H2785" s="6" t="n"/>
      <c r="I2785" s="12">
        <f>IF($B2785="","",IF(COUNTIF(Ventes_Factures!$A$6:$A$3005,$B2785)&gt;0,"OK","INCONNUE"))</f>
        <v/>
      </c>
      <c r="J2785" s="9">
        <f>IF($D2785="","",ROUND($D2785,2))</f>
        <v/>
      </c>
    </row>
    <row r="2786">
      <c r="A2786" s="6" t="n"/>
      <c r="B2786" s="6" t="n"/>
      <c r="C2786" s="7" t="n"/>
      <c r="D2786" s="8" t="n"/>
      <c r="E2786" s="6" t="n"/>
      <c r="F2786" s="6" t="n"/>
      <c r="G2786" s="6" t="n"/>
      <c r="H2786" s="6" t="n"/>
      <c r="I2786" s="12">
        <f>IF($B2786="","",IF(COUNTIF(Ventes_Factures!$A$6:$A$3005,$B2786)&gt;0,"OK","INCONNUE"))</f>
        <v/>
      </c>
      <c r="J2786" s="9">
        <f>IF($D2786="","",ROUND($D2786,2))</f>
        <v/>
      </c>
    </row>
    <row r="2787">
      <c r="A2787" s="6" t="n"/>
      <c r="B2787" s="6" t="n"/>
      <c r="C2787" s="7" t="n"/>
      <c r="D2787" s="8" t="n"/>
      <c r="E2787" s="6" t="n"/>
      <c r="F2787" s="6" t="n"/>
      <c r="G2787" s="6" t="n"/>
      <c r="H2787" s="6" t="n"/>
      <c r="I2787" s="12">
        <f>IF($B2787="","",IF(COUNTIF(Ventes_Factures!$A$6:$A$3005,$B2787)&gt;0,"OK","INCONNUE"))</f>
        <v/>
      </c>
      <c r="J2787" s="9">
        <f>IF($D2787="","",ROUND($D2787,2))</f>
        <v/>
      </c>
    </row>
    <row r="2788">
      <c r="A2788" s="6" t="n"/>
      <c r="B2788" s="6" t="n"/>
      <c r="C2788" s="7" t="n"/>
      <c r="D2788" s="8" t="n"/>
      <c r="E2788" s="6" t="n"/>
      <c r="F2788" s="6" t="n"/>
      <c r="G2788" s="6" t="n"/>
      <c r="H2788" s="6" t="n"/>
      <c r="I2788" s="12">
        <f>IF($B2788="","",IF(COUNTIF(Ventes_Factures!$A$6:$A$3005,$B2788)&gt;0,"OK","INCONNUE"))</f>
        <v/>
      </c>
      <c r="J2788" s="9">
        <f>IF($D2788="","",ROUND($D2788,2))</f>
        <v/>
      </c>
    </row>
    <row r="2789">
      <c r="A2789" s="6" t="n"/>
      <c r="B2789" s="6" t="n"/>
      <c r="C2789" s="7" t="n"/>
      <c r="D2789" s="8" t="n"/>
      <c r="E2789" s="6" t="n"/>
      <c r="F2789" s="6" t="n"/>
      <c r="G2789" s="6" t="n"/>
      <c r="H2789" s="6" t="n"/>
      <c r="I2789" s="12">
        <f>IF($B2789="","",IF(COUNTIF(Ventes_Factures!$A$6:$A$3005,$B2789)&gt;0,"OK","INCONNUE"))</f>
        <v/>
      </c>
      <c r="J2789" s="9">
        <f>IF($D2789="","",ROUND($D2789,2))</f>
        <v/>
      </c>
    </row>
    <row r="2790">
      <c r="A2790" s="6" t="n"/>
      <c r="B2790" s="6" t="n"/>
      <c r="C2790" s="7" t="n"/>
      <c r="D2790" s="8" t="n"/>
      <c r="E2790" s="6" t="n"/>
      <c r="F2790" s="6" t="n"/>
      <c r="G2790" s="6" t="n"/>
      <c r="H2790" s="6" t="n"/>
      <c r="I2790" s="12">
        <f>IF($B2790="","",IF(COUNTIF(Ventes_Factures!$A$6:$A$3005,$B2790)&gt;0,"OK","INCONNUE"))</f>
        <v/>
      </c>
      <c r="J2790" s="9">
        <f>IF($D2790="","",ROUND($D2790,2))</f>
        <v/>
      </c>
    </row>
    <row r="2791">
      <c r="A2791" s="6" t="n"/>
      <c r="B2791" s="6" t="n"/>
      <c r="C2791" s="7" t="n"/>
      <c r="D2791" s="8" t="n"/>
      <c r="E2791" s="6" t="n"/>
      <c r="F2791" s="6" t="n"/>
      <c r="G2791" s="6" t="n"/>
      <c r="H2791" s="6" t="n"/>
      <c r="I2791" s="12">
        <f>IF($B2791="","",IF(COUNTIF(Ventes_Factures!$A$6:$A$3005,$B2791)&gt;0,"OK","INCONNUE"))</f>
        <v/>
      </c>
      <c r="J2791" s="9">
        <f>IF($D2791="","",ROUND($D2791,2))</f>
        <v/>
      </c>
    </row>
    <row r="2792">
      <c r="A2792" s="6" t="n"/>
      <c r="B2792" s="6" t="n"/>
      <c r="C2792" s="7" t="n"/>
      <c r="D2792" s="8" t="n"/>
      <c r="E2792" s="6" t="n"/>
      <c r="F2792" s="6" t="n"/>
      <c r="G2792" s="6" t="n"/>
      <c r="H2792" s="6" t="n"/>
      <c r="I2792" s="12">
        <f>IF($B2792="","",IF(COUNTIF(Ventes_Factures!$A$6:$A$3005,$B2792)&gt;0,"OK","INCONNUE"))</f>
        <v/>
      </c>
      <c r="J2792" s="9">
        <f>IF($D2792="","",ROUND($D2792,2))</f>
        <v/>
      </c>
    </row>
    <row r="2793">
      <c r="A2793" s="6" t="n"/>
      <c r="B2793" s="6" t="n"/>
      <c r="C2793" s="7" t="n"/>
      <c r="D2793" s="8" t="n"/>
      <c r="E2793" s="6" t="n"/>
      <c r="F2793" s="6" t="n"/>
      <c r="G2793" s="6" t="n"/>
      <c r="H2793" s="6" t="n"/>
      <c r="I2793" s="12">
        <f>IF($B2793="","",IF(COUNTIF(Ventes_Factures!$A$6:$A$3005,$B2793)&gt;0,"OK","INCONNUE"))</f>
        <v/>
      </c>
      <c r="J2793" s="9">
        <f>IF($D2793="","",ROUND($D2793,2))</f>
        <v/>
      </c>
    </row>
    <row r="2794">
      <c r="A2794" s="6" t="n"/>
      <c r="B2794" s="6" t="n"/>
      <c r="C2794" s="7" t="n"/>
      <c r="D2794" s="8" t="n"/>
      <c r="E2794" s="6" t="n"/>
      <c r="F2794" s="6" t="n"/>
      <c r="G2794" s="6" t="n"/>
      <c r="H2794" s="6" t="n"/>
      <c r="I2794" s="12">
        <f>IF($B2794="","",IF(COUNTIF(Ventes_Factures!$A$6:$A$3005,$B2794)&gt;0,"OK","INCONNUE"))</f>
        <v/>
      </c>
      <c r="J2794" s="9">
        <f>IF($D2794="","",ROUND($D2794,2))</f>
        <v/>
      </c>
    </row>
    <row r="2795">
      <c r="A2795" s="6" t="n"/>
      <c r="B2795" s="6" t="n"/>
      <c r="C2795" s="7" t="n"/>
      <c r="D2795" s="8" t="n"/>
      <c r="E2795" s="6" t="n"/>
      <c r="F2795" s="6" t="n"/>
      <c r="G2795" s="6" t="n"/>
      <c r="H2795" s="6" t="n"/>
      <c r="I2795" s="12">
        <f>IF($B2795="","",IF(COUNTIF(Ventes_Factures!$A$6:$A$3005,$B2795)&gt;0,"OK","INCONNUE"))</f>
        <v/>
      </c>
      <c r="J2795" s="9">
        <f>IF($D2795="","",ROUND($D2795,2))</f>
        <v/>
      </c>
    </row>
    <row r="2796">
      <c r="A2796" s="6" t="n"/>
      <c r="B2796" s="6" t="n"/>
      <c r="C2796" s="7" t="n"/>
      <c r="D2796" s="8" t="n"/>
      <c r="E2796" s="6" t="n"/>
      <c r="F2796" s="6" t="n"/>
      <c r="G2796" s="6" t="n"/>
      <c r="H2796" s="6" t="n"/>
      <c r="I2796" s="12">
        <f>IF($B2796="","",IF(COUNTIF(Ventes_Factures!$A$6:$A$3005,$B2796)&gt;0,"OK","INCONNUE"))</f>
        <v/>
      </c>
      <c r="J2796" s="9">
        <f>IF($D2796="","",ROUND($D2796,2))</f>
        <v/>
      </c>
    </row>
    <row r="2797">
      <c r="A2797" s="6" t="n"/>
      <c r="B2797" s="6" t="n"/>
      <c r="C2797" s="7" t="n"/>
      <c r="D2797" s="8" t="n"/>
      <c r="E2797" s="6" t="n"/>
      <c r="F2797" s="6" t="n"/>
      <c r="G2797" s="6" t="n"/>
      <c r="H2797" s="6" t="n"/>
      <c r="I2797" s="12">
        <f>IF($B2797="","",IF(COUNTIF(Ventes_Factures!$A$6:$A$3005,$B2797)&gt;0,"OK","INCONNUE"))</f>
        <v/>
      </c>
      <c r="J2797" s="9">
        <f>IF($D2797="","",ROUND($D2797,2))</f>
        <v/>
      </c>
    </row>
    <row r="2798">
      <c r="A2798" s="6" t="n"/>
      <c r="B2798" s="6" t="n"/>
      <c r="C2798" s="7" t="n"/>
      <c r="D2798" s="8" t="n"/>
      <c r="E2798" s="6" t="n"/>
      <c r="F2798" s="6" t="n"/>
      <c r="G2798" s="6" t="n"/>
      <c r="H2798" s="6" t="n"/>
      <c r="I2798" s="12">
        <f>IF($B2798="","",IF(COUNTIF(Ventes_Factures!$A$6:$A$3005,$B2798)&gt;0,"OK","INCONNUE"))</f>
        <v/>
      </c>
      <c r="J2798" s="9">
        <f>IF($D2798="","",ROUND($D2798,2))</f>
        <v/>
      </c>
    </row>
    <row r="2799">
      <c r="A2799" s="6" t="n"/>
      <c r="B2799" s="6" t="n"/>
      <c r="C2799" s="7" t="n"/>
      <c r="D2799" s="8" t="n"/>
      <c r="E2799" s="6" t="n"/>
      <c r="F2799" s="6" t="n"/>
      <c r="G2799" s="6" t="n"/>
      <c r="H2799" s="6" t="n"/>
      <c r="I2799" s="12">
        <f>IF($B2799="","",IF(COUNTIF(Ventes_Factures!$A$6:$A$3005,$B2799)&gt;0,"OK","INCONNUE"))</f>
        <v/>
      </c>
      <c r="J2799" s="9">
        <f>IF($D2799="","",ROUND($D2799,2))</f>
        <v/>
      </c>
    </row>
    <row r="2800">
      <c r="A2800" s="6" t="n"/>
      <c r="B2800" s="6" t="n"/>
      <c r="C2800" s="7" t="n"/>
      <c r="D2800" s="8" t="n"/>
      <c r="E2800" s="6" t="n"/>
      <c r="F2800" s="6" t="n"/>
      <c r="G2800" s="6" t="n"/>
      <c r="H2800" s="6" t="n"/>
      <c r="I2800" s="12">
        <f>IF($B2800="","",IF(COUNTIF(Ventes_Factures!$A$6:$A$3005,$B2800)&gt;0,"OK","INCONNUE"))</f>
        <v/>
      </c>
      <c r="J2800" s="9">
        <f>IF($D2800="","",ROUND($D2800,2))</f>
        <v/>
      </c>
    </row>
    <row r="2801">
      <c r="A2801" s="6" t="n"/>
      <c r="B2801" s="6" t="n"/>
      <c r="C2801" s="7" t="n"/>
      <c r="D2801" s="8" t="n"/>
      <c r="E2801" s="6" t="n"/>
      <c r="F2801" s="6" t="n"/>
      <c r="G2801" s="6" t="n"/>
      <c r="H2801" s="6" t="n"/>
      <c r="I2801" s="12">
        <f>IF($B2801="","",IF(COUNTIF(Ventes_Factures!$A$6:$A$3005,$B2801)&gt;0,"OK","INCONNUE"))</f>
        <v/>
      </c>
      <c r="J2801" s="9">
        <f>IF($D2801="","",ROUND($D2801,2))</f>
        <v/>
      </c>
    </row>
    <row r="2802">
      <c r="A2802" s="6" t="n"/>
      <c r="B2802" s="6" t="n"/>
      <c r="C2802" s="7" t="n"/>
      <c r="D2802" s="8" t="n"/>
      <c r="E2802" s="6" t="n"/>
      <c r="F2802" s="6" t="n"/>
      <c r="G2802" s="6" t="n"/>
      <c r="H2802" s="6" t="n"/>
      <c r="I2802" s="12">
        <f>IF($B2802="","",IF(COUNTIF(Ventes_Factures!$A$6:$A$3005,$B2802)&gt;0,"OK","INCONNUE"))</f>
        <v/>
      </c>
      <c r="J2802" s="9">
        <f>IF($D2802="","",ROUND($D2802,2))</f>
        <v/>
      </c>
    </row>
    <row r="2803">
      <c r="A2803" s="6" t="n"/>
      <c r="B2803" s="6" t="n"/>
      <c r="C2803" s="7" t="n"/>
      <c r="D2803" s="8" t="n"/>
      <c r="E2803" s="6" t="n"/>
      <c r="F2803" s="6" t="n"/>
      <c r="G2803" s="6" t="n"/>
      <c r="H2803" s="6" t="n"/>
      <c r="I2803" s="12">
        <f>IF($B2803="","",IF(COUNTIF(Ventes_Factures!$A$6:$A$3005,$B2803)&gt;0,"OK","INCONNUE"))</f>
        <v/>
      </c>
      <c r="J2803" s="9">
        <f>IF($D2803="","",ROUND($D2803,2))</f>
        <v/>
      </c>
    </row>
    <row r="2804">
      <c r="A2804" s="6" t="n"/>
      <c r="B2804" s="6" t="n"/>
      <c r="C2804" s="7" t="n"/>
      <c r="D2804" s="8" t="n"/>
      <c r="E2804" s="6" t="n"/>
      <c r="F2804" s="6" t="n"/>
      <c r="G2804" s="6" t="n"/>
      <c r="H2804" s="6" t="n"/>
      <c r="I2804" s="12">
        <f>IF($B2804="","",IF(COUNTIF(Ventes_Factures!$A$6:$A$3005,$B2804)&gt;0,"OK","INCONNUE"))</f>
        <v/>
      </c>
      <c r="J2804" s="9">
        <f>IF($D2804="","",ROUND($D2804,2))</f>
        <v/>
      </c>
    </row>
    <row r="2805">
      <c r="A2805" s="6" t="n"/>
      <c r="B2805" s="6" t="n"/>
      <c r="C2805" s="7" t="n"/>
      <c r="D2805" s="8" t="n"/>
      <c r="E2805" s="6" t="n"/>
      <c r="F2805" s="6" t="n"/>
      <c r="G2805" s="6" t="n"/>
      <c r="H2805" s="6" t="n"/>
      <c r="I2805" s="12">
        <f>IF($B2805="","",IF(COUNTIF(Ventes_Factures!$A$6:$A$3005,$B2805)&gt;0,"OK","INCONNUE"))</f>
        <v/>
      </c>
      <c r="J2805" s="9">
        <f>IF($D2805="","",ROUND($D2805,2))</f>
        <v/>
      </c>
    </row>
    <row r="2806">
      <c r="A2806" s="6" t="n"/>
      <c r="B2806" s="6" t="n"/>
      <c r="C2806" s="7" t="n"/>
      <c r="D2806" s="8" t="n"/>
      <c r="E2806" s="6" t="n"/>
      <c r="F2806" s="6" t="n"/>
      <c r="G2806" s="6" t="n"/>
      <c r="H2806" s="6" t="n"/>
      <c r="I2806" s="12">
        <f>IF($B2806="","",IF(COUNTIF(Ventes_Factures!$A$6:$A$3005,$B2806)&gt;0,"OK","INCONNUE"))</f>
        <v/>
      </c>
      <c r="J2806" s="9">
        <f>IF($D2806="","",ROUND($D2806,2))</f>
        <v/>
      </c>
    </row>
    <row r="2807">
      <c r="A2807" s="6" t="n"/>
      <c r="B2807" s="6" t="n"/>
      <c r="C2807" s="7" t="n"/>
      <c r="D2807" s="8" t="n"/>
      <c r="E2807" s="6" t="n"/>
      <c r="F2807" s="6" t="n"/>
      <c r="G2807" s="6" t="n"/>
      <c r="H2807" s="6" t="n"/>
      <c r="I2807" s="12">
        <f>IF($B2807="","",IF(COUNTIF(Ventes_Factures!$A$6:$A$3005,$B2807)&gt;0,"OK","INCONNUE"))</f>
        <v/>
      </c>
      <c r="J2807" s="9">
        <f>IF($D2807="","",ROUND($D2807,2))</f>
        <v/>
      </c>
    </row>
    <row r="2808">
      <c r="A2808" s="6" t="n"/>
      <c r="B2808" s="6" t="n"/>
      <c r="C2808" s="7" t="n"/>
      <c r="D2808" s="8" t="n"/>
      <c r="E2808" s="6" t="n"/>
      <c r="F2808" s="6" t="n"/>
      <c r="G2808" s="6" t="n"/>
      <c r="H2808" s="6" t="n"/>
      <c r="I2808" s="12">
        <f>IF($B2808="","",IF(COUNTIF(Ventes_Factures!$A$6:$A$3005,$B2808)&gt;0,"OK","INCONNUE"))</f>
        <v/>
      </c>
      <c r="J2808" s="9">
        <f>IF($D2808="","",ROUND($D2808,2))</f>
        <v/>
      </c>
    </row>
    <row r="2809">
      <c r="A2809" s="6" t="n"/>
      <c r="B2809" s="6" t="n"/>
      <c r="C2809" s="7" t="n"/>
      <c r="D2809" s="8" t="n"/>
      <c r="E2809" s="6" t="n"/>
      <c r="F2809" s="6" t="n"/>
      <c r="G2809" s="6" t="n"/>
      <c r="H2809" s="6" t="n"/>
      <c r="I2809" s="12">
        <f>IF($B2809="","",IF(COUNTIF(Ventes_Factures!$A$6:$A$3005,$B2809)&gt;0,"OK","INCONNUE"))</f>
        <v/>
      </c>
      <c r="J2809" s="9">
        <f>IF($D2809="","",ROUND($D2809,2))</f>
        <v/>
      </c>
    </row>
    <row r="2810">
      <c r="A2810" s="6" t="n"/>
      <c r="B2810" s="6" t="n"/>
      <c r="C2810" s="7" t="n"/>
      <c r="D2810" s="8" t="n"/>
      <c r="E2810" s="6" t="n"/>
      <c r="F2810" s="6" t="n"/>
      <c r="G2810" s="6" t="n"/>
      <c r="H2810" s="6" t="n"/>
      <c r="I2810" s="12">
        <f>IF($B2810="","",IF(COUNTIF(Ventes_Factures!$A$6:$A$3005,$B2810)&gt;0,"OK","INCONNUE"))</f>
        <v/>
      </c>
      <c r="J2810" s="9">
        <f>IF($D2810="","",ROUND($D2810,2))</f>
        <v/>
      </c>
    </row>
    <row r="2811">
      <c r="A2811" s="6" t="n"/>
      <c r="B2811" s="6" t="n"/>
      <c r="C2811" s="7" t="n"/>
      <c r="D2811" s="8" t="n"/>
      <c r="E2811" s="6" t="n"/>
      <c r="F2811" s="6" t="n"/>
      <c r="G2811" s="6" t="n"/>
      <c r="H2811" s="6" t="n"/>
      <c r="I2811" s="12">
        <f>IF($B2811="","",IF(COUNTIF(Ventes_Factures!$A$6:$A$3005,$B2811)&gt;0,"OK","INCONNUE"))</f>
        <v/>
      </c>
      <c r="J2811" s="9">
        <f>IF($D2811="","",ROUND($D2811,2))</f>
        <v/>
      </c>
    </row>
    <row r="2812">
      <c r="A2812" s="6" t="n"/>
      <c r="B2812" s="6" t="n"/>
      <c r="C2812" s="7" t="n"/>
      <c r="D2812" s="8" t="n"/>
      <c r="E2812" s="6" t="n"/>
      <c r="F2812" s="6" t="n"/>
      <c r="G2812" s="6" t="n"/>
      <c r="H2812" s="6" t="n"/>
      <c r="I2812" s="12">
        <f>IF($B2812="","",IF(COUNTIF(Ventes_Factures!$A$6:$A$3005,$B2812)&gt;0,"OK","INCONNUE"))</f>
        <v/>
      </c>
      <c r="J2812" s="9">
        <f>IF($D2812="","",ROUND($D2812,2))</f>
        <v/>
      </c>
    </row>
    <row r="2813">
      <c r="A2813" s="6" t="n"/>
      <c r="B2813" s="6" t="n"/>
      <c r="C2813" s="7" t="n"/>
      <c r="D2813" s="8" t="n"/>
      <c r="E2813" s="6" t="n"/>
      <c r="F2813" s="6" t="n"/>
      <c r="G2813" s="6" t="n"/>
      <c r="H2813" s="6" t="n"/>
      <c r="I2813" s="12">
        <f>IF($B2813="","",IF(COUNTIF(Ventes_Factures!$A$6:$A$3005,$B2813)&gt;0,"OK","INCONNUE"))</f>
        <v/>
      </c>
      <c r="J2813" s="9">
        <f>IF($D2813="","",ROUND($D2813,2))</f>
        <v/>
      </c>
    </row>
    <row r="2814">
      <c r="A2814" s="6" t="n"/>
      <c r="B2814" s="6" t="n"/>
      <c r="C2814" s="7" t="n"/>
      <c r="D2814" s="8" t="n"/>
      <c r="E2814" s="6" t="n"/>
      <c r="F2814" s="6" t="n"/>
      <c r="G2814" s="6" t="n"/>
      <c r="H2814" s="6" t="n"/>
      <c r="I2814" s="12">
        <f>IF($B2814="","",IF(COUNTIF(Ventes_Factures!$A$6:$A$3005,$B2814)&gt;0,"OK","INCONNUE"))</f>
        <v/>
      </c>
      <c r="J2814" s="9">
        <f>IF($D2814="","",ROUND($D2814,2))</f>
        <v/>
      </c>
    </row>
    <row r="2815">
      <c r="A2815" s="6" t="n"/>
      <c r="B2815" s="6" t="n"/>
      <c r="C2815" s="7" t="n"/>
      <c r="D2815" s="8" t="n"/>
      <c r="E2815" s="6" t="n"/>
      <c r="F2815" s="6" t="n"/>
      <c r="G2815" s="6" t="n"/>
      <c r="H2815" s="6" t="n"/>
      <c r="I2815" s="12">
        <f>IF($B2815="","",IF(COUNTIF(Ventes_Factures!$A$6:$A$3005,$B2815)&gt;0,"OK","INCONNUE"))</f>
        <v/>
      </c>
      <c r="J2815" s="9">
        <f>IF($D2815="","",ROUND($D2815,2))</f>
        <v/>
      </c>
    </row>
    <row r="2816">
      <c r="A2816" s="6" t="n"/>
      <c r="B2816" s="6" t="n"/>
      <c r="C2816" s="7" t="n"/>
      <c r="D2816" s="8" t="n"/>
      <c r="E2816" s="6" t="n"/>
      <c r="F2816" s="6" t="n"/>
      <c r="G2816" s="6" t="n"/>
      <c r="H2816" s="6" t="n"/>
      <c r="I2816" s="12">
        <f>IF($B2816="","",IF(COUNTIF(Ventes_Factures!$A$6:$A$3005,$B2816)&gt;0,"OK","INCONNUE"))</f>
        <v/>
      </c>
      <c r="J2816" s="9">
        <f>IF($D2816="","",ROUND($D2816,2))</f>
        <v/>
      </c>
    </row>
    <row r="2817">
      <c r="A2817" s="6" t="n"/>
      <c r="B2817" s="6" t="n"/>
      <c r="C2817" s="7" t="n"/>
      <c r="D2817" s="8" t="n"/>
      <c r="E2817" s="6" t="n"/>
      <c r="F2817" s="6" t="n"/>
      <c r="G2817" s="6" t="n"/>
      <c r="H2817" s="6" t="n"/>
      <c r="I2817" s="12">
        <f>IF($B2817="","",IF(COUNTIF(Ventes_Factures!$A$6:$A$3005,$B2817)&gt;0,"OK","INCONNUE"))</f>
        <v/>
      </c>
      <c r="J2817" s="9">
        <f>IF($D2817="","",ROUND($D2817,2))</f>
        <v/>
      </c>
    </row>
    <row r="2818">
      <c r="A2818" s="6" t="n"/>
      <c r="B2818" s="6" t="n"/>
      <c r="C2818" s="7" t="n"/>
      <c r="D2818" s="8" t="n"/>
      <c r="E2818" s="6" t="n"/>
      <c r="F2818" s="6" t="n"/>
      <c r="G2818" s="6" t="n"/>
      <c r="H2818" s="6" t="n"/>
      <c r="I2818" s="12">
        <f>IF($B2818="","",IF(COUNTIF(Ventes_Factures!$A$6:$A$3005,$B2818)&gt;0,"OK","INCONNUE"))</f>
        <v/>
      </c>
      <c r="J2818" s="9">
        <f>IF($D2818="","",ROUND($D2818,2))</f>
        <v/>
      </c>
    </row>
    <row r="2819">
      <c r="A2819" s="6" t="n"/>
      <c r="B2819" s="6" t="n"/>
      <c r="C2819" s="7" t="n"/>
      <c r="D2819" s="8" t="n"/>
      <c r="E2819" s="6" t="n"/>
      <c r="F2819" s="6" t="n"/>
      <c r="G2819" s="6" t="n"/>
      <c r="H2819" s="6" t="n"/>
      <c r="I2819" s="12">
        <f>IF($B2819="","",IF(COUNTIF(Ventes_Factures!$A$6:$A$3005,$B2819)&gt;0,"OK","INCONNUE"))</f>
        <v/>
      </c>
      <c r="J2819" s="9">
        <f>IF($D2819="","",ROUND($D2819,2))</f>
        <v/>
      </c>
    </row>
    <row r="2820">
      <c r="A2820" s="6" t="n"/>
      <c r="B2820" s="6" t="n"/>
      <c r="C2820" s="7" t="n"/>
      <c r="D2820" s="8" t="n"/>
      <c r="E2820" s="6" t="n"/>
      <c r="F2820" s="6" t="n"/>
      <c r="G2820" s="6" t="n"/>
      <c r="H2820" s="6" t="n"/>
      <c r="I2820" s="12">
        <f>IF($B2820="","",IF(COUNTIF(Ventes_Factures!$A$6:$A$3005,$B2820)&gt;0,"OK","INCONNUE"))</f>
        <v/>
      </c>
      <c r="J2820" s="9">
        <f>IF($D2820="","",ROUND($D2820,2))</f>
        <v/>
      </c>
    </row>
    <row r="2821">
      <c r="A2821" s="6" t="n"/>
      <c r="B2821" s="6" t="n"/>
      <c r="C2821" s="7" t="n"/>
      <c r="D2821" s="8" t="n"/>
      <c r="E2821" s="6" t="n"/>
      <c r="F2821" s="6" t="n"/>
      <c r="G2821" s="6" t="n"/>
      <c r="H2821" s="6" t="n"/>
      <c r="I2821" s="12">
        <f>IF($B2821="","",IF(COUNTIF(Ventes_Factures!$A$6:$A$3005,$B2821)&gt;0,"OK","INCONNUE"))</f>
        <v/>
      </c>
      <c r="J2821" s="9">
        <f>IF($D2821="","",ROUND($D2821,2))</f>
        <v/>
      </c>
    </row>
    <row r="2822">
      <c r="A2822" s="6" t="n"/>
      <c r="B2822" s="6" t="n"/>
      <c r="C2822" s="7" t="n"/>
      <c r="D2822" s="8" t="n"/>
      <c r="E2822" s="6" t="n"/>
      <c r="F2822" s="6" t="n"/>
      <c r="G2822" s="6" t="n"/>
      <c r="H2822" s="6" t="n"/>
      <c r="I2822" s="12">
        <f>IF($B2822="","",IF(COUNTIF(Ventes_Factures!$A$6:$A$3005,$B2822)&gt;0,"OK","INCONNUE"))</f>
        <v/>
      </c>
      <c r="J2822" s="9">
        <f>IF($D2822="","",ROUND($D2822,2))</f>
        <v/>
      </c>
    </row>
    <row r="2823">
      <c r="A2823" s="6" t="n"/>
      <c r="B2823" s="6" t="n"/>
      <c r="C2823" s="7" t="n"/>
      <c r="D2823" s="8" t="n"/>
      <c r="E2823" s="6" t="n"/>
      <c r="F2823" s="6" t="n"/>
      <c r="G2823" s="6" t="n"/>
      <c r="H2823" s="6" t="n"/>
      <c r="I2823" s="12">
        <f>IF($B2823="","",IF(COUNTIF(Ventes_Factures!$A$6:$A$3005,$B2823)&gt;0,"OK","INCONNUE"))</f>
        <v/>
      </c>
      <c r="J2823" s="9">
        <f>IF($D2823="","",ROUND($D2823,2))</f>
        <v/>
      </c>
    </row>
    <row r="2824">
      <c r="A2824" s="6" t="n"/>
      <c r="B2824" s="6" t="n"/>
      <c r="C2824" s="7" t="n"/>
      <c r="D2824" s="8" t="n"/>
      <c r="E2824" s="6" t="n"/>
      <c r="F2824" s="6" t="n"/>
      <c r="G2824" s="6" t="n"/>
      <c r="H2824" s="6" t="n"/>
      <c r="I2824" s="12">
        <f>IF($B2824="","",IF(COUNTIF(Ventes_Factures!$A$6:$A$3005,$B2824)&gt;0,"OK","INCONNUE"))</f>
        <v/>
      </c>
      <c r="J2824" s="9">
        <f>IF($D2824="","",ROUND($D2824,2))</f>
        <v/>
      </c>
    </row>
    <row r="2825">
      <c r="A2825" s="6" t="n"/>
      <c r="B2825" s="6" t="n"/>
      <c r="C2825" s="7" t="n"/>
      <c r="D2825" s="8" t="n"/>
      <c r="E2825" s="6" t="n"/>
      <c r="F2825" s="6" t="n"/>
      <c r="G2825" s="6" t="n"/>
      <c r="H2825" s="6" t="n"/>
      <c r="I2825" s="12">
        <f>IF($B2825="","",IF(COUNTIF(Ventes_Factures!$A$6:$A$3005,$B2825)&gt;0,"OK","INCONNUE"))</f>
        <v/>
      </c>
      <c r="J2825" s="9">
        <f>IF($D2825="","",ROUND($D2825,2))</f>
        <v/>
      </c>
    </row>
    <row r="2826">
      <c r="A2826" s="6" t="n"/>
      <c r="B2826" s="6" t="n"/>
      <c r="C2826" s="7" t="n"/>
      <c r="D2826" s="8" t="n"/>
      <c r="E2826" s="6" t="n"/>
      <c r="F2826" s="6" t="n"/>
      <c r="G2826" s="6" t="n"/>
      <c r="H2826" s="6" t="n"/>
      <c r="I2826" s="12">
        <f>IF($B2826="","",IF(COUNTIF(Ventes_Factures!$A$6:$A$3005,$B2826)&gt;0,"OK","INCONNUE"))</f>
        <v/>
      </c>
      <c r="J2826" s="9">
        <f>IF($D2826="","",ROUND($D2826,2))</f>
        <v/>
      </c>
    </row>
    <row r="2827">
      <c r="A2827" s="6" t="n"/>
      <c r="B2827" s="6" t="n"/>
      <c r="C2827" s="7" t="n"/>
      <c r="D2827" s="8" t="n"/>
      <c r="E2827" s="6" t="n"/>
      <c r="F2827" s="6" t="n"/>
      <c r="G2827" s="6" t="n"/>
      <c r="H2827" s="6" t="n"/>
      <c r="I2827" s="12">
        <f>IF($B2827="","",IF(COUNTIF(Ventes_Factures!$A$6:$A$3005,$B2827)&gt;0,"OK","INCONNUE"))</f>
        <v/>
      </c>
      <c r="J2827" s="9">
        <f>IF($D2827="","",ROUND($D2827,2))</f>
        <v/>
      </c>
    </row>
    <row r="2828">
      <c r="A2828" s="6" t="n"/>
      <c r="B2828" s="6" t="n"/>
      <c r="C2828" s="7" t="n"/>
      <c r="D2828" s="8" t="n"/>
      <c r="E2828" s="6" t="n"/>
      <c r="F2828" s="6" t="n"/>
      <c r="G2828" s="6" t="n"/>
      <c r="H2828" s="6" t="n"/>
      <c r="I2828" s="12">
        <f>IF($B2828="","",IF(COUNTIF(Ventes_Factures!$A$6:$A$3005,$B2828)&gt;0,"OK","INCONNUE"))</f>
        <v/>
      </c>
      <c r="J2828" s="9">
        <f>IF($D2828="","",ROUND($D2828,2))</f>
        <v/>
      </c>
    </row>
    <row r="2829">
      <c r="A2829" s="6" t="n"/>
      <c r="B2829" s="6" t="n"/>
      <c r="C2829" s="7" t="n"/>
      <c r="D2829" s="8" t="n"/>
      <c r="E2829" s="6" t="n"/>
      <c r="F2829" s="6" t="n"/>
      <c r="G2829" s="6" t="n"/>
      <c r="H2829" s="6" t="n"/>
      <c r="I2829" s="12">
        <f>IF($B2829="","",IF(COUNTIF(Ventes_Factures!$A$6:$A$3005,$B2829)&gt;0,"OK","INCONNUE"))</f>
        <v/>
      </c>
      <c r="J2829" s="9">
        <f>IF($D2829="","",ROUND($D2829,2))</f>
        <v/>
      </c>
    </row>
    <row r="2830">
      <c r="A2830" s="6" t="n"/>
      <c r="B2830" s="6" t="n"/>
      <c r="C2830" s="7" t="n"/>
      <c r="D2830" s="8" t="n"/>
      <c r="E2830" s="6" t="n"/>
      <c r="F2830" s="6" t="n"/>
      <c r="G2830" s="6" t="n"/>
      <c r="H2830" s="6" t="n"/>
      <c r="I2830" s="12">
        <f>IF($B2830="","",IF(COUNTIF(Ventes_Factures!$A$6:$A$3005,$B2830)&gt;0,"OK","INCONNUE"))</f>
        <v/>
      </c>
      <c r="J2830" s="9">
        <f>IF($D2830="","",ROUND($D2830,2))</f>
        <v/>
      </c>
    </row>
    <row r="2831">
      <c r="A2831" s="6" t="n"/>
      <c r="B2831" s="6" t="n"/>
      <c r="C2831" s="7" t="n"/>
      <c r="D2831" s="8" t="n"/>
      <c r="E2831" s="6" t="n"/>
      <c r="F2831" s="6" t="n"/>
      <c r="G2831" s="6" t="n"/>
      <c r="H2831" s="6" t="n"/>
      <c r="I2831" s="12">
        <f>IF($B2831="","",IF(COUNTIF(Ventes_Factures!$A$6:$A$3005,$B2831)&gt;0,"OK","INCONNUE"))</f>
        <v/>
      </c>
      <c r="J2831" s="9">
        <f>IF($D2831="","",ROUND($D2831,2))</f>
        <v/>
      </c>
    </row>
    <row r="2832">
      <c r="A2832" s="6" t="n"/>
      <c r="B2832" s="6" t="n"/>
      <c r="C2832" s="7" t="n"/>
      <c r="D2832" s="8" t="n"/>
      <c r="E2832" s="6" t="n"/>
      <c r="F2832" s="6" t="n"/>
      <c r="G2832" s="6" t="n"/>
      <c r="H2832" s="6" t="n"/>
      <c r="I2832" s="12">
        <f>IF($B2832="","",IF(COUNTIF(Ventes_Factures!$A$6:$A$3005,$B2832)&gt;0,"OK","INCONNUE"))</f>
        <v/>
      </c>
      <c r="J2832" s="9">
        <f>IF($D2832="","",ROUND($D2832,2))</f>
        <v/>
      </c>
    </row>
    <row r="2833">
      <c r="A2833" s="6" t="n"/>
      <c r="B2833" s="6" t="n"/>
      <c r="C2833" s="7" t="n"/>
      <c r="D2833" s="8" t="n"/>
      <c r="E2833" s="6" t="n"/>
      <c r="F2833" s="6" t="n"/>
      <c r="G2833" s="6" t="n"/>
      <c r="H2833" s="6" t="n"/>
      <c r="I2833" s="12">
        <f>IF($B2833="","",IF(COUNTIF(Ventes_Factures!$A$6:$A$3005,$B2833)&gt;0,"OK","INCONNUE"))</f>
        <v/>
      </c>
      <c r="J2833" s="9">
        <f>IF($D2833="","",ROUND($D2833,2))</f>
        <v/>
      </c>
    </row>
    <row r="2834">
      <c r="A2834" s="6" t="n"/>
      <c r="B2834" s="6" t="n"/>
      <c r="C2834" s="7" t="n"/>
      <c r="D2834" s="8" t="n"/>
      <c r="E2834" s="6" t="n"/>
      <c r="F2834" s="6" t="n"/>
      <c r="G2834" s="6" t="n"/>
      <c r="H2834" s="6" t="n"/>
      <c r="I2834" s="12">
        <f>IF($B2834="","",IF(COUNTIF(Ventes_Factures!$A$6:$A$3005,$B2834)&gt;0,"OK","INCONNUE"))</f>
        <v/>
      </c>
      <c r="J2834" s="9">
        <f>IF($D2834="","",ROUND($D2834,2))</f>
        <v/>
      </c>
    </row>
    <row r="2835">
      <c r="A2835" s="6" t="n"/>
      <c r="B2835" s="6" t="n"/>
      <c r="C2835" s="7" t="n"/>
      <c r="D2835" s="8" t="n"/>
      <c r="E2835" s="6" t="n"/>
      <c r="F2835" s="6" t="n"/>
      <c r="G2835" s="6" t="n"/>
      <c r="H2835" s="6" t="n"/>
      <c r="I2835" s="12">
        <f>IF($B2835="","",IF(COUNTIF(Ventes_Factures!$A$6:$A$3005,$B2835)&gt;0,"OK","INCONNUE"))</f>
        <v/>
      </c>
      <c r="J2835" s="9">
        <f>IF($D2835="","",ROUND($D2835,2))</f>
        <v/>
      </c>
    </row>
    <row r="2836">
      <c r="A2836" s="6" t="n"/>
      <c r="B2836" s="6" t="n"/>
      <c r="C2836" s="7" t="n"/>
      <c r="D2836" s="8" t="n"/>
      <c r="E2836" s="6" t="n"/>
      <c r="F2836" s="6" t="n"/>
      <c r="G2836" s="6" t="n"/>
      <c r="H2836" s="6" t="n"/>
      <c r="I2836" s="12">
        <f>IF($B2836="","",IF(COUNTIF(Ventes_Factures!$A$6:$A$3005,$B2836)&gt;0,"OK","INCONNUE"))</f>
        <v/>
      </c>
      <c r="J2836" s="9">
        <f>IF($D2836="","",ROUND($D2836,2))</f>
        <v/>
      </c>
    </row>
    <row r="2837">
      <c r="A2837" s="6" t="n"/>
      <c r="B2837" s="6" t="n"/>
      <c r="C2837" s="7" t="n"/>
      <c r="D2837" s="8" t="n"/>
      <c r="E2837" s="6" t="n"/>
      <c r="F2837" s="6" t="n"/>
      <c r="G2837" s="6" t="n"/>
      <c r="H2837" s="6" t="n"/>
      <c r="I2837" s="12">
        <f>IF($B2837="","",IF(COUNTIF(Ventes_Factures!$A$6:$A$3005,$B2837)&gt;0,"OK","INCONNUE"))</f>
        <v/>
      </c>
      <c r="J2837" s="9">
        <f>IF($D2837="","",ROUND($D2837,2))</f>
        <v/>
      </c>
    </row>
    <row r="2838">
      <c r="A2838" s="6" t="n"/>
      <c r="B2838" s="6" t="n"/>
      <c r="C2838" s="7" t="n"/>
      <c r="D2838" s="8" t="n"/>
      <c r="E2838" s="6" t="n"/>
      <c r="F2838" s="6" t="n"/>
      <c r="G2838" s="6" t="n"/>
      <c r="H2838" s="6" t="n"/>
      <c r="I2838" s="12">
        <f>IF($B2838="","",IF(COUNTIF(Ventes_Factures!$A$6:$A$3005,$B2838)&gt;0,"OK","INCONNUE"))</f>
        <v/>
      </c>
      <c r="J2838" s="9">
        <f>IF($D2838="","",ROUND($D2838,2))</f>
        <v/>
      </c>
    </row>
    <row r="2839">
      <c r="A2839" s="6" t="n"/>
      <c r="B2839" s="6" t="n"/>
      <c r="C2839" s="7" t="n"/>
      <c r="D2839" s="8" t="n"/>
      <c r="E2839" s="6" t="n"/>
      <c r="F2839" s="6" t="n"/>
      <c r="G2839" s="6" t="n"/>
      <c r="H2839" s="6" t="n"/>
      <c r="I2839" s="12">
        <f>IF($B2839="","",IF(COUNTIF(Ventes_Factures!$A$6:$A$3005,$B2839)&gt;0,"OK","INCONNUE"))</f>
        <v/>
      </c>
      <c r="J2839" s="9">
        <f>IF($D2839="","",ROUND($D2839,2))</f>
        <v/>
      </c>
    </row>
    <row r="2840">
      <c r="A2840" s="6" t="n"/>
      <c r="B2840" s="6" t="n"/>
      <c r="C2840" s="7" t="n"/>
      <c r="D2840" s="8" t="n"/>
      <c r="E2840" s="6" t="n"/>
      <c r="F2840" s="6" t="n"/>
      <c r="G2840" s="6" t="n"/>
      <c r="H2840" s="6" t="n"/>
      <c r="I2840" s="12">
        <f>IF($B2840="","",IF(COUNTIF(Ventes_Factures!$A$6:$A$3005,$B2840)&gt;0,"OK","INCONNUE"))</f>
        <v/>
      </c>
      <c r="J2840" s="9">
        <f>IF($D2840="","",ROUND($D2840,2))</f>
        <v/>
      </c>
    </row>
    <row r="2841">
      <c r="A2841" s="6" t="n"/>
      <c r="B2841" s="6" t="n"/>
      <c r="C2841" s="7" t="n"/>
      <c r="D2841" s="8" t="n"/>
      <c r="E2841" s="6" t="n"/>
      <c r="F2841" s="6" t="n"/>
      <c r="G2841" s="6" t="n"/>
      <c r="H2841" s="6" t="n"/>
      <c r="I2841" s="12">
        <f>IF($B2841="","",IF(COUNTIF(Ventes_Factures!$A$6:$A$3005,$B2841)&gt;0,"OK","INCONNUE"))</f>
        <v/>
      </c>
      <c r="J2841" s="9">
        <f>IF($D2841="","",ROUND($D2841,2))</f>
        <v/>
      </c>
    </row>
    <row r="2842">
      <c r="A2842" s="6" t="n"/>
      <c r="B2842" s="6" t="n"/>
      <c r="C2842" s="7" t="n"/>
      <c r="D2842" s="8" t="n"/>
      <c r="E2842" s="6" t="n"/>
      <c r="F2842" s="6" t="n"/>
      <c r="G2842" s="6" t="n"/>
      <c r="H2842" s="6" t="n"/>
      <c r="I2842" s="12">
        <f>IF($B2842="","",IF(COUNTIF(Ventes_Factures!$A$6:$A$3005,$B2842)&gt;0,"OK","INCONNUE"))</f>
        <v/>
      </c>
      <c r="J2842" s="9">
        <f>IF($D2842="","",ROUND($D2842,2))</f>
        <v/>
      </c>
    </row>
    <row r="2843">
      <c r="A2843" s="6" t="n"/>
      <c r="B2843" s="6" t="n"/>
      <c r="C2843" s="7" t="n"/>
      <c r="D2843" s="8" t="n"/>
      <c r="E2843" s="6" t="n"/>
      <c r="F2843" s="6" t="n"/>
      <c r="G2843" s="6" t="n"/>
      <c r="H2843" s="6" t="n"/>
      <c r="I2843" s="12">
        <f>IF($B2843="","",IF(COUNTIF(Ventes_Factures!$A$6:$A$3005,$B2843)&gt;0,"OK","INCONNUE"))</f>
        <v/>
      </c>
      <c r="J2843" s="9">
        <f>IF($D2843="","",ROUND($D2843,2))</f>
        <v/>
      </c>
    </row>
    <row r="2844">
      <c r="A2844" s="6" t="n"/>
      <c r="B2844" s="6" t="n"/>
      <c r="C2844" s="7" t="n"/>
      <c r="D2844" s="8" t="n"/>
      <c r="E2844" s="6" t="n"/>
      <c r="F2844" s="6" t="n"/>
      <c r="G2844" s="6" t="n"/>
      <c r="H2844" s="6" t="n"/>
      <c r="I2844" s="12">
        <f>IF($B2844="","",IF(COUNTIF(Ventes_Factures!$A$6:$A$3005,$B2844)&gt;0,"OK","INCONNUE"))</f>
        <v/>
      </c>
      <c r="J2844" s="9">
        <f>IF($D2844="","",ROUND($D2844,2))</f>
        <v/>
      </c>
    </row>
    <row r="2845">
      <c r="A2845" s="6" t="n"/>
      <c r="B2845" s="6" t="n"/>
      <c r="C2845" s="7" t="n"/>
      <c r="D2845" s="8" t="n"/>
      <c r="E2845" s="6" t="n"/>
      <c r="F2845" s="6" t="n"/>
      <c r="G2845" s="6" t="n"/>
      <c r="H2845" s="6" t="n"/>
      <c r="I2845" s="12">
        <f>IF($B2845="","",IF(COUNTIF(Ventes_Factures!$A$6:$A$3005,$B2845)&gt;0,"OK","INCONNUE"))</f>
        <v/>
      </c>
      <c r="J2845" s="9">
        <f>IF($D2845="","",ROUND($D2845,2))</f>
        <v/>
      </c>
    </row>
    <row r="2846">
      <c r="A2846" s="6" t="n"/>
      <c r="B2846" s="6" t="n"/>
      <c r="C2846" s="7" t="n"/>
      <c r="D2846" s="8" t="n"/>
      <c r="E2846" s="6" t="n"/>
      <c r="F2846" s="6" t="n"/>
      <c r="G2846" s="6" t="n"/>
      <c r="H2846" s="6" t="n"/>
      <c r="I2846" s="12">
        <f>IF($B2846="","",IF(COUNTIF(Ventes_Factures!$A$6:$A$3005,$B2846)&gt;0,"OK","INCONNUE"))</f>
        <v/>
      </c>
      <c r="J2846" s="9">
        <f>IF($D2846="","",ROUND($D2846,2))</f>
        <v/>
      </c>
    </row>
    <row r="2847">
      <c r="A2847" s="6" t="n"/>
      <c r="B2847" s="6" t="n"/>
      <c r="C2847" s="7" t="n"/>
      <c r="D2847" s="8" t="n"/>
      <c r="E2847" s="6" t="n"/>
      <c r="F2847" s="6" t="n"/>
      <c r="G2847" s="6" t="n"/>
      <c r="H2847" s="6" t="n"/>
      <c r="I2847" s="12">
        <f>IF($B2847="","",IF(COUNTIF(Ventes_Factures!$A$6:$A$3005,$B2847)&gt;0,"OK","INCONNUE"))</f>
        <v/>
      </c>
      <c r="J2847" s="9">
        <f>IF($D2847="","",ROUND($D2847,2))</f>
        <v/>
      </c>
    </row>
    <row r="2848">
      <c r="A2848" s="6" t="n"/>
      <c r="B2848" s="6" t="n"/>
      <c r="C2848" s="7" t="n"/>
      <c r="D2848" s="8" t="n"/>
      <c r="E2848" s="6" t="n"/>
      <c r="F2848" s="6" t="n"/>
      <c r="G2848" s="6" t="n"/>
      <c r="H2848" s="6" t="n"/>
      <c r="I2848" s="12">
        <f>IF($B2848="","",IF(COUNTIF(Ventes_Factures!$A$6:$A$3005,$B2848)&gt;0,"OK","INCONNUE"))</f>
        <v/>
      </c>
      <c r="J2848" s="9">
        <f>IF($D2848="","",ROUND($D2848,2))</f>
        <v/>
      </c>
    </row>
    <row r="2849">
      <c r="A2849" s="6" t="n"/>
      <c r="B2849" s="6" t="n"/>
      <c r="C2849" s="7" t="n"/>
      <c r="D2849" s="8" t="n"/>
      <c r="E2849" s="6" t="n"/>
      <c r="F2849" s="6" t="n"/>
      <c r="G2849" s="6" t="n"/>
      <c r="H2849" s="6" t="n"/>
      <c r="I2849" s="12">
        <f>IF($B2849="","",IF(COUNTIF(Ventes_Factures!$A$6:$A$3005,$B2849)&gt;0,"OK","INCONNUE"))</f>
        <v/>
      </c>
      <c r="J2849" s="9">
        <f>IF($D2849="","",ROUND($D2849,2))</f>
        <v/>
      </c>
    </row>
    <row r="2850">
      <c r="A2850" s="6" t="n"/>
      <c r="B2850" s="6" t="n"/>
      <c r="C2850" s="7" t="n"/>
      <c r="D2850" s="8" t="n"/>
      <c r="E2850" s="6" t="n"/>
      <c r="F2850" s="6" t="n"/>
      <c r="G2850" s="6" t="n"/>
      <c r="H2850" s="6" t="n"/>
      <c r="I2850" s="12">
        <f>IF($B2850="","",IF(COUNTIF(Ventes_Factures!$A$6:$A$3005,$B2850)&gt;0,"OK","INCONNUE"))</f>
        <v/>
      </c>
      <c r="J2850" s="9">
        <f>IF($D2850="","",ROUND($D2850,2))</f>
        <v/>
      </c>
    </row>
    <row r="2851">
      <c r="A2851" s="6" t="n"/>
      <c r="B2851" s="6" t="n"/>
      <c r="C2851" s="7" t="n"/>
      <c r="D2851" s="8" t="n"/>
      <c r="E2851" s="6" t="n"/>
      <c r="F2851" s="6" t="n"/>
      <c r="G2851" s="6" t="n"/>
      <c r="H2851" s="6" t="n"/>
      <c r="I2851" s="12">
        <f>IF($B2851="","",IF(COUNTIF(Ventes_Factures!$A$6:$A$3005,$B2851)&gt;0,"OK","INCONNUE"))</f>
        <v/>
      </c>
      <c r="J2851" s="9">
        <f>IF($D2851="","",ROUND($D2851,2))</f>
        <v/>
      </c>
    </row>
    <row r="2852">
      <c r="A2852" s="6" t="n"/>
      <c r="B2852" s="6" t="n"/>
      <c r="C2852" s="7" t="n"/>
      <c r="D2852" s="8" t="n"/>
      <c r="E2852" s="6" t="n"/>
      <c r="F2852" s="6" t="n"/>
      <c r="G2852" s="6" t="n"/>
      <c r="H2852" s="6" t="n"/>
      <c r="I2852" s="12">
        <f>IF($B2852="","",IF(COUNTIF(Ventes_Factures!$A$6:$A$3005,$B2852)&gt;0,"OK","INCONNUE"))</f>
        <v/>
      </c>
      <c r="J2852" s="9">
        <f>IF($D2852="","",ROUND($D2852,2))</f>
        <v/>
      </c>
    </row>
    <row r="2853">
      <c r="A2853" s="6" t="n"/>
      <c r="B2853" s="6" t="n"/>
      <c r="C2853" s="7" t="n"/>
      <c r="D2853" s="8" t="n"/>
      <c r="E2853" s="6" t="n"/>
      <c r="F2853" s="6" t="n"/>
      <c r="G2853" s="6" t="n"/>
      <c r="H2853" s="6" t="n"/>
      <c r="I2853" s="12">
        <f>IF($B2853="","",IF(COUNTIF(Ventes_Factures!$A$6:$A$3005,$B2853)&gt;0,"OK","INCONNUE"))</f>
        <v/>
      </c>
      <c r="J2853" s="9">
        <f>IF($D2853="","",ROUND($D2853,2))</f>
        <v/>
      </c>
    </row>
    <row r="2854">
      <c r="A2854" s="6" t="n"/>
      <c r="B2854" s="6" t="n"/>
      <c r="C2854" s="7" t="n"/>
      <c r="D2854" s="8" t="n"/>
      <c r="E2854" s="6" t="n"/>
      <c r="F2854" s="6" t="n"/>
      <c r="G2854" s="6" t="n"/>
      <c r="H2854" s="6" t="n"/>
      <c r="I2854" s="12">
        <f>IF($B2854="","",IF(COUNTIF(Ventes_Factures!$A$6:$A$3005,$B2854)&gt;0,"OK","INCONNUE"))</f>
        <v/>
      </c>
      <c r="J2854" s="9">
        <f>IF($D2854="","",ROUND($D2854,2))</f>
        <v/>
      </c>
    </row>
    <row r="2855">
      <c r="A2855" s="6" t="n"/>
      <c r="B2855" s="6" t="n"/>
      <c r="C2855" s="7" t="n"/>
      <c r="D2855" s="8" t="n"/>
      <c r="E2855" s="6" t="n"/>
      <c r="F2855" s="6" t="n"/>
      <c r="G2855" s="6" t="n"/>
      <c r="H2855" s="6" t="n"/>
      <c r="I2855" s="12">
        <f>IF($B2855="","",IF(COUNTIF(Ventes_Factures!$A$6:$A$3005,$B2855)&gt;0,"OK","INCONNUE"))</f>
        <v/>
      </c>
      <c r="J2855" s="9">
        <f>IF($D2855="","",ROUND($D2855,2))</f>
        <v/>
      </c>
    </row>
    <row r="2856">
      <c r="A2856" s="6" t="n"/>
      <c r="B2856" s="6" t="n"/>
      <c r="C2856" s="7" t="n"/>
      <c r="D2856" s="8" t="n"/>
      <c r="E2856" s="6" t="n"/>
      <c r="F2856" s="6" t="n"/>
      <c r="G2856" s="6" t="n"/>
      <c r="H2856" s="6" t="n"/>
      <c r="I2856" s="12">
        <f>IF($B2856="","",IF(COUNTIF(Ventes_Factures!$A$6:$A$3005,$B2856)&gt;0,"OK","INCONNUE"))</f>
        <v/>
      </c>
      <c r="J2856" s="9">
        <f>IF($D2856="","",ROUND($D2856,2))</f>
        <v/>
      </c>
    </row>
    <row r="2857">
      <c r="A2857" s="6" t="n"/>
      <c r="B2857" s="6" t="n"/>
      <c r="C2857" s="7" t="n"/>
      <c r="D2857" s="8" t="n"/>
      <c r="E2857" s="6" t="n"/>
      <c r="F2857" s="6" t="n"/>
      <c r="G2857" s="6" t="n"/>
      <c r="H2857" s="6" t="n"/>
      <c r="I2857" s="12">
        <f>IF($B2857="","",IF(COUNTIF(Ventes_Factures!$A$6:$A$3005,$B2857)&gt;0,"OK","INCONNUE"))</f>
        <v/>
      </c>
      <c r="J2857" s="9">
        <f>IF($D2857="","",ROUND($D2857,2))</f>
        <v/>
      </c>
    </row>
    <row r="2858">
      <c r="A2858" s="6" t="n"/>
      <c r="B2858" s="6" t="n"/>
      <c r="C2858" s="7" t="n"/>
      <c r="D2858" s="8" t="n"/>
      <c r="E2858" s="6" t="n"/>
      <c r="F2858" s="6" t="n"/>
      <c r="G2858" s="6" t="n"/>
      <c r="H2858" s="6" t="n"/>
      <c r="I2858" s="12">
        <f>IF($B2858="","",IF(COUNTIF(Ventes_Factures!$A$6:$A$3005,$B2858)&gt;0,"OK","INCONNUE"))</f>
        <v/>
      </c>
      <c r="J2858" s="9">
        <f>IF($D2858="","",ROUND($D2858,2))</f>
        <v/>
      </c>
    </row>
    <row r="2859">
      <c r="A2859" s="6" t="n"/>
      <c r="B2859" s="6" t="n"/>
      <c r="C2859" s="7" t="n"/>
      <c r="D2859" s="8" t="n"/>
      <c r="E2859" s="6" t="n"/>
      <c r="F2859" s="6" t="n"/>
      <c r="G2859" s="6" t="n"/>
      <c r="H2859" s="6" t="n"/>
      <c r="I2859" s="12">
        <f>IF($B2859="","",IF(COUNTIF(Ventes_Factures!$A$6:$A$3005,$B2859)&gt;0,"OK","INCONNUE"))</f>
        <v/>
      </c>
      <c r="J2859" s="9">
        <f>IF($D2859="","",ROUND($D2859,2))</f>
        <v/>
      </c>
    </row>
    <row r="2860">
      <c r="A2860" s="6" t="n"/>
      <c r="B2860" s="6" t="n"/>
      <c r="C2860" s="7" t="n"/>
      <c r="D2860" s="8" t="n"/>
      <c r="E2860" s="6" t="n"/>
      <c r="F2860" s="6" t="n"/>
      <c r="G2860" s="6" t="n"/>
      <c r="H2860" s="6" t="n"/>
      <c r="I2860" s="12">
        <f>IF($B2860="","",IF(COUNTIF(Ventes_Factures!$A$6:$A$3005,$B2860)&gt;0,"OK","INCONNUE"))</f>
        <v/>
      </c>
      <c r="J2860" s="9">
        <f>IF($D2860="","",ROUND($D2860,2))</f>
        <v/>
      </c>
    </row>
    <row r="2861">
      <c r="A2861" s="6" t="n"/>
      <c r="B2861" s="6" t="n"/>
      <c r="C2861" s="7" t="n"/>
      <c r="D2861" s="8" t="n"/>
      <c r="E2861" s="6" t="n"/>
      <c r="F2861" s="6" t="n"/>
      <c r="G2861" s="6" t="n"/>
      <c r="H2861" s="6" t="n"/>
      <c r="I2861" s="12">
        <f>IF($B2861="","",IF(COUNTIF(Ventes_Factures!$A$6:$A$3005,$B2861)&gt;0,"OK","INCONNUE"))</f>
        <v/>
      </c>
      <c r="J2861" s="9">
        <f>IF($D2861="","",ROUND($D2861,2))</f>
        <v/>
      </c>
    </row>
    <row r="2862">
      <c r="A2862" s="6" t="n"/>
      <c r="B2862" s="6" t="n"/>
      <c r="C2862" s="7" t="n"/>
      <c r="D2862" s="8" t="n"/>
      <c r="E2862" s="6" t="n"/>
      <c r="F2862" s="6" t="n"/>
      <c r="G2862" s="6" t="n"/>
      <c r="H2862" s="6" t="n"/>
      <c r="I2862" s="12">
        <f>IF($B2862="","",IF(COUNTIF(Ventes_Factures!$A$6:$A$3005,$B2862)&gt;0,"OK","INCONNUE"))</f>
        <v/>
      </c>
      <c r="J2862" s="9">
        <f>IF($D2862="","",ROUND($D2862,2))</f>
        <v/>
      </c>
    </row>
    <row r="2863">
      <c r="A2863" s="6" t="n"/>
      <c r="B2863" s="6" t="n"/>
      <c r="C2863" s="7" t="n"/>
      <c r="D2863" s="8" t="n"/>
      <c r="E2863" s="6" t="n"/>
      <c r="F2863" s="6" t="n"/>
      <c r="G2863" s="6" t="n"/>
      <c r="H2863" s="6" t="n"/>
      <c r="I2863" s="12">
        <f>IF($B2863="","",IF(COUNTIF(Ventes_Factures!$A$6:$A$3005,$B2863)&gt;0,"OK","INCONNUE"))</f>
        <v/>
      </c>
      <c r="J2863" s="9">
        <f>IF($D2863="","",ROUND($D2863,2))</f>
        <v/>
      </c>
    </row>
    <row r="2864">
      <c r="A2864" s="6" t="n"/>
      <c r="B2864" s="6" t="n"/>
      <c r="C2864" s="7" t="n"/>
      <c r="D2864" s="8" t="n"/>
      <c r="E2864" s="6" t="n"/>
      <c r="F2864" s="6" t="n"/>
      <c r="G2864" s="6" t="n"/>
      <c r="H2864" s="6" t="n"/>
      <c r="I2864" s="12">
        <f>IF($B2864="","",IF(COUNTIF(Ventes_Factures!$A$6:$A$3005,$B2864)&gt;0,"OK","INCONNUE"))</f>
        <v/>
      </c>
      <c r="J2864" s="9">
        <f>IF($D2864="","",ROUND($D2864,2))</f>
        <v/>
      </c>
    </row>
    <row r="2865">
      <c r="A2865" s="6" t="n"/>
      <c r="B2865" s="6" t="n"/>
      <c r="C2865" s="7" t="n"/>
      <c r="D2865" s="8" t="n"/>
      <c r="E2865" s="6" t="n"/>
      <c r="F2865" s="6" t="n"/>
      <c r="G2865" s="6" t="n"/>
      <c r="H2865" s="6" t="n"/>
      <c r="I2865" s="12">
        <f>IF($B2865="","",IF(COUNTIF(Ventes_Factures!$A$6:$A$3005,$B2865)&gt;0,"OK","INCONNUE"))</f>
        <v/>
      </c>
      <c r="J2865" s="9">
        <f>IF($D2865="","",ROUND($D2865,2))</f>
        <v/>
      </c>
    </row>
    <row r="2866">
      <c r="A2866" s="6" t="n"/>
      <c r="B2866" s="6" t="n"/>
      <c r="C2866" s="7" t="n"/>
      <c r="D2866" s="8" t="n"/>
      <c r="E2866" s="6" t="n"/>
      <c r="F2866" s="6" t="n"/>
      <c r="G2866" s="6" t="n"/>
      <c r="H2866" s="6" t="n"/>
      <c r="I2866" s="12">
        <f>IF($B2866="","",IF(COUNTIF(Ventes_Factures!$A$6:$A$3005,$B2866)&gt;0,"OK","INCONNUE"))</f>
        <v/>
      </c>
      <c r="J2866" s="9">
        <f>IF($D2866="","",ROUND($D2866,2))</f>
        <v/>
      </c>
    </row>
    <row r="2867">
      <c r="A2867" s="6" t="n"/>
      <c r="B2867" s="6" t="n"/>
      <c r="C2867" s="7" t="n"/>
      <c r="D2867" s="8" t="n"/>
      <c r="E2867" s="6" t="n"/>
      <c r="F2867" s="6" t="n"/>
      <c r="G2867" s="6" t="n"/>
      <c r="H2867" s="6" t="n"/>
      <c r="I2867" s="12">
        <f>IF($B2867="","",IF(COUNTIF(Ventes_Factures!$A$6:$A$3005,$B2867)&gt;0,"OK","INCONNUE"))</f>
        <v/>
      </c>
      <c r="J2867" s="9">
        <f>IF($D2867="","",ROUND($D2867,2))</f>
        <v/>
      </c>
    </row>
    <row r="2868">
      <c r="A2868" s="6" t="n"/>
      <c r="B2868" s="6" t="n"/>
      <c r="C2868" s="7" t="n"/>
      <c r="D2868" s="8" t="n"/>
      <c r="E2868" s="6" t="n"/>
      <c r="F2868" s="6" t="n"/>
      <c r="G2868" s="6" t="n"/>
      <c r="H2868" s="6" t="n"/>
      <c r="I2868" s="12">
        <f>IF($B2868="","",IF(COUNTIF(Ventes_Factures!$A$6:$A$3005,$B2868)&gt;0,"OK","INCONNUE"))</f>
        <v/>
      </c>
      <c r="J2868" s="9">
        <f>IF($D2868="","",ROUND($D2868,2))</f>
        <v/>
      </c>
    </row>
    <row r="2869">
      <c r="A2869" s="6" t="n"/>
      <c r="B2869" s="6" t="n"/>
      <c r="C2869" s="7" t="n"/>
      <c r="D2869" s="8" t="n"/>
      <c r="E2869" s="6" t="n"/>
      <c r="F2869" s="6" t="n"/>
      <c r="G2869" s="6" t="n"/>
      <c r="H2869" s="6" t="n"/>
      <c r="I2869" s="12">
        <f>IF($B2869="","",IF(COUNTIF(Ventes_Factures!$A$6:$A$3005,$B2869)&gt;0,"OK","INCONNUE"))</f>
        <v/>
      </c>
      <c r="J2869" s="9">
        <f>IF($D2869="","",ROUND($D2869,2))</f>
        <v/>
      </c>
    </row>
    <row r="2870">
      <c r="A2870" s="6" t="n"/>
      <c r="B2870" s="6" t="n"/>
      <c r="C2870" s="7" t="n"/>
      <c r="D2870" s="8" t="n"/>
      <c r="E2870" s="6" t="n"/>
      <c r="F2870" s="6" t="n"/>
      <c r="G2870" s="6" t="n"/>
      <c r="H2870" s="6" t="n"/>
      <c r="I2870" s="12">
        <f>IF($B2870="","",IF(COUNTIF(Ventes_Factures!$A$6:$A$3005,$B2870)&gt;0,"OK","INCONNUE"))</f>
        <v/>
      </c>
      <c r="J2870" s="9">
        <f>IF($D2870="","",ROUND($D2870,2))</f>
        <v/>
      </c>
    </row>
    <row r="2871">
      <c r="A2871" s="6" t="n"/>
      <c r="B2871" s="6" t="n"/>
      <c r="C2871" s="7" t="n"/>
      <c r="D2871" s="8" t="n"/>
      <c r="E2871" s="6" t="n"/>
      <c r="F2871" s="6" t="n"/>
      <c r="G2871" s="6" t="n"/>
      <c r="H2871" s="6" t="n"/>
      <c r="I2871" s="12">
        <f>IF($B2871="","",IF(COUNTIF(Ventes_Factures!$A$6:$A$3005,$B2871)&gt;0,"OK","INCONNUE"))</f>
        <v/>
      </c>
      <c r="J2871" s="9">
        <f>IF($D2871="","",ROUND($D2871,2))</f>
        <v/>
      </c>
    </row>
    <row r="2872">
      <c r="A2872" s="6" t="n"/>
      <c r="B2872" s="6" t="n"/>
      <c r="C2872" s="7" t="n"/>
      <c r="D2872" s="8" t="n"/>
      <c r="E2872" s="6" t="n"/>
      <c r="F2872" s="6" t="n"/>
      <c r="G2872" s="6" t="n"/>
      <c r="H2872" s="6" t="n"/>
      <c r="I2872" s="12">
        <f>IF($B2872="","",IF(COUNTIF(Ventes_Factures!$A$6:$A$3005,$B2872)&gt;0,"OK","INCONNUE"))</f>
        <v/>
      </c>
      <c r="J2872" s="9">
        <f>IF($D2872="","",ROUND($D2872,2))</f>
        <v/>
      </c>
    </row>
    <row r="2873">
      <c r="A2873" s="6" t="n"/>
      <c r="B2873" s="6" t="n"/>
      <c r="C2873" s="7" t="n"/>
      <c r="D2873" s="8" t="n"/>
      <c r="E2873" s="6" t="n"/>
      <c r="F2873" s="6" t="n"/>
      <c r="G2873" s="6" t="n"/>
      <c r="H2873" s="6" t="n"/>
      <c r="I2873" s="12">
        <f>IF($B2873="","",IF(COUNTIF(Ventes_Factures!$A$6:$A$3005,$B2873)&gt;0,"OK","INCONNUE"))</f>
        <v/>
      </c>
      <c r="J2873" s="9">
        <f>IF($D2873="","",ROUND($D2873,2))</f>
        <v/>
      </c>
    </row>
    <row r="2874">
      <c r="A2874" s="6" t="n"/>
      <c r="B2874" s="6" t="n"/>
      <c r="C2874" s="7" t="n"/>
      <c r="D2874" s="8" t="n"/>
      <c r="E2874" s="6" t="n"/>
      <c r="F2874" s="6" t="n"/>
      <c r="G2874" s="6" t="n"/>
      <c r="H2874" s="6" t="n"/>
      <c r="I2874" s="12">
        <f>IF($B2874="","",IF(COUNTIF(Ventes_Factures!$A$6:$A$3005,$B2874)&gt;0,"OK","INCONNUE"))</f>
        <v/>
      </c>
      <c r="J2874" s="9">
        <f>IF($D2874="","",ROUND($D2874,2))</f>
        <v/>
      </c>
    </row>
    <row r="2875">
      <c r="A2875" s="6" t="n"/>
      <c r="B2875" s="6" t="n"/>
      <c r="C2875" s="7" t="n"/>
      <c r="D2875" s="8" t="n"/>
      <c r="E2875" s="6" t="n"/>
      <c r="F2875" s="6" t="n"/>
      <c r="G2875" s="6" t="n"/>
      <c r="H2875" s="6" t="n"/>
      <c r="I2875" s="12">
        <f>IF($B2875="","",IF(COUNTIF(Ventes_Factures!$A$6:$A$3005,$B2875)&gt;0,"OK","INCONNUE"))</f>
        <v/>
      </c>
      <c r="J2875" s="9">
        <f>IF($D2875="","",ROUND($D2875,2))</f>
        <v/>
      </c>
    </row>
    <row r="2876">
      <c r="A2876" s="6" t="n"/>
      <c r="B2876" s="6" t="n"/>
      <c r="C2876" s="7" t="n"/>
      <c r="D2876" s="8" t="n"/>
      <c r="E2876" s="6" t="n"/>
      <c r="F2876" s="6" t="n"/>
      <c r="G2876" s="6" t="n"/>
      <c r="H2876" s="6" t="n"/>
      <c r="I2876" s="12">
        <f>IF($B2876="","",IF(COUNTIF(Ventes_Factures!$A$6:$A$3005,$B2876)&gt;0,"OK","INCONNUE"))</f>
        <v/>
      </c>
      <c r="J2876" s="9">
        <f>IF($D2876="","",ROUND($D2876,2))</f>
        <v/>
      </c>
    </row>
    <row r="2877">
      <c r="A2877" s="6" t="n"/>
      <c r="B2877" s="6" t="n"/>
      <c r="C2877" s="7" t="n"/>
      <c r="D2877" s="8" t="n"/>
      <c r="E2877" s="6" t="n"/>
      <c r="F2877" s="6" t="n"/>
      <c r="G2877" s="6" t="n"/>
      <c r="H2877" s="6" t="n"/>
      <c r="I2877" s="12">
        <f>IF($B2877="","",IF(COUNTIF(Ventes_Factures!$A$6:$A$3005,$B2877)&gt;0,"OK","INCONNUE"))</f>
        <v/>
      </c>
      <c r="J2877" s="9">
        <f>IF($D2877="","",ROUND($D2877,2))</f>
        <v/>
      </c>
    </row>
    <row r="2878">
      <c r="A2878" s="6" t="n"/>
      <c r="B2878" s="6" t="n"/>
      <c r="C2878" s="7" t="n"/>
      <c r="D2878" s="8" t="n"/>
      <c r="E2878" s="6" t="n"/>
      <c r="F2878" s="6" t="n"/>
      <c r="G2878" s="6" t="n"/>
      <c r="H2878" s="6" t="n"/>
      <c r="I2878" s="12">
        <f>IF($B2878="","",IF(COUNTIF(Ventes_Factures!$A$6:$A$3005,$B2878)&gt;0,"OK","INCONNUE"))</f>
        <v/>
      </c>
      <c r="J2878" s="9">
        <f>IF($D2878="","",ROUND($D2878,2))</f>
        <v/>
      </c>
    </row>
    <row r="2879">
      <c r="A2879" s="6" t="n"/>
      <c r="B2879" s="6" t="n"/>
      <c r="C2879" s="7" t="n"/>
      <c r="D2879" s="8" t="n"/>
      <c r="E2879" s="6" t="n"/>
      <c r="F2879" s="6" t="n"/>
      <c r="G2879" s="6" t="n"/>
      <c r="H2879" s="6" t="n"/>
      <c r="I2879" s="12">
        <f>IF($B2879="","",IF(COUNTIF(Ventes_Factures!$A$6:$A$3005,$B2879)&gt;0,"OK","INCONNUE"))</f>
        <v/>
      </c>
      <c r="J2879" s="9">
        <f>IF($D2879="","",ROUND($D2879,2))</f>
        <v/>
      </c>
    </row>
    <row r="2880">
      <c r="A2880" s="6" t="n"/>
      <c r="B2880" s="6" t="n"/>
      <c r="C2880" s="7" t="n"/>
      <c r="D2880" s="8" t="n"/>
      <c r="E2880" s="6" t="n"/>
      <c r="F2880" s="6" t="n"/>
      <c r="G2880" s="6" t="n"/>
      <c r="H2880" s="6" t="n"/>
      <c r="I2880" s="12">
        <f>IF($B2880="","",IF(COUNTIF(Ventes_Factures!$A$6:$A$3005,$B2880)&gt;0,"OK","INCONNUE"))</f>
        <v/>
      </c>
      <c r="J2880" s="9">
        <f>IF($D2880="","",ROUND($D2880,2))</f>
        <v/>
      </c>
    </row>
    <row r="2881">
      <c r="A2881" s="6" t="n"/>
      <c r="B2881" s="6" t="n"/>
      <c r="C2881" s="7" t="n"/>
      <c r="D2881" s="8" t="n"/>
      <c r="E2881" s="6" t="n"/>
      <c r="F2881" s="6" t="n"/>
      <c r="G2881" s="6" t="n"/>
      <c r="H2881" s="6" t="n"/>
      <c r="I2881" s="12">
        <f>IF($B2881="","",IF(COUNTIF(Ventes_Factures!$A$6:$A$3005,$B2881)&gt;0,"OK","INCONNUE"))</f>
        <v/>
      </c>
      <c r="J2881" s="9">
        <f>IF($D2881="","",ROUND($D2881,2))</f>
        <v/>
      </c>
    </row>
    <row r="2882">
      <c r="A2882" s="6" t="n"/>
      <c r="B2882" s="6" t="n"/>
      <c r="C2882" s="7" t="n"/>
      <c r="D2882" s="8" t="n"/>
      <c r="E2882" s="6" t="n"/>
      <c r="F2882" s="6" t="n"/>
      <c r="G2882" s="6" t="n"/>
      <c r="H2882" s="6" t="n"/>
      <c r="I2882" s="12">
        <f>IF($B2882="","",IF(COUNTIF(Ventes_Factures!$A$6:$A$3005,$B2882)&gt;0,"OK","INCONNUE"))</f>
        <v/>
      </c>
      <c r="J2882" s="9">
        <f>IF($D2882="","",ROUND($D2882,2))</f>
        <v/>
      </c>
    </row>
    <row r="2883">
      <c r="A2883" s="6" t="n"/>
      <c r="B2883" s="6" t="n"/>
      <c r="C2883" s="7" t="n"/>
      <c r="D2883" s="8" t="n"/>
      <c r="E2883" s="6" t="n"/>
      <c r="F2883" s="6" t="n"/>
      <c r="G2883" s="6" t="n"/>
      <c r="H2883" s="6" t="n"/>
      <c r="I2883" s="12">
        <f>IF($B2883="","",IF(COUNTIF(Ventes_Factures!$A$6:$A$3005,$B2883)&gt;0,"OK","INCONNUE"))</f>
        <v/>
      </c>
      <c r="J2883" s="9">
        <f>IF($D2883="","",ROUND($D2883,2))</f>
        <v/>
      </c>
    </row>
    <row r="2884">
      <c r="A2884" s="6" t="n"/>
      <c r="B2884" s="6" t="n"/>
      <c r="C2884" s="7" t="n"/>
      <c r="D2884" s="8" t="n"/>
      <c r="E2884" s="6" t="n"/>
      <c r="F2884" s="6" t="n"/>
      <c r="G2884" s="6" t="n"/>
      <c r="H2884" s="6" t="n"/>
      <c r="I2884" s="12">
        <f>IF($B2884="","",IF(COUNTIF(Ventes_Factures!$A$6:$A$3005,$B2884)&gt;0,"OK","INCONNUE"))</f>
        <v/>
      </c>
      <c r="J2884" s="9">
        <f>IF($D2884="","",ROUND($D2884,2))</f>
        <v/>
      </c>
    </row>
    <row r="2885">
      <c r="A2885" s="6" t="n"/>
      <c r="B2885" s="6" t="n"/>
      <c r="C2885" s="7" t="n"/>
      <c r="D2885" s="8" t="n"/>
      <c r="E2885" s="6" t="n"/>
      <c r="F2885" s="6" t="n"/>
      <c r="G2885" s="6" t="n"/>
      <c r="H2885" s="6" t="n"/>
      <c r="I2885" s="12">
        <f>IF($B2885="","",IF(COUNTIF(Ventes_Factures!$A$6:$A$3005,$B2885)&gt;0,"OK","INCONNUE"))</f>
        <v/>
      </c>
      <c r="J2885" s="9">
        <f>IF($D2885="","",ROUND($D2885,2))</f>
        <v/>
      </c>
    </row>
    <row r="2886">
      <c r="A2886" s="6" t="n"/>
      <c r="B2886" s="6" t="n"/>
      <c r="C2886" s="7" t="n"/>
      <c r="D2886" s="8" t="n"/>
      <c r="E2886" s="6" t="n"/>
      <c r="F2886" s="6" t="n"/>
      <c r="G2886" s="6" t="n"/>
      <c r="H2886" s="6" t="n"/>
      <c r="I2886" s="12">
        <f>IF($B2886="","",IF(COUNTIF(Ventes_Factures!$A$6:$A$3005,$B2886)&gt;0,"OK","INCONNUE"))</f>
        <v/>
      </c>
      <c r="J2886" s="9">
        <f>IF($D2886="","",ROUND($D2886,2))</f>
        <v/>
      </c>
    </row>
    <row r="2887">
      <c r="A2887" s="6" t="n"/>
      <c r="B2887" s="6" t="n"/>
      <c r="C2887" s="7" t="n"/>
      <c r="D2887" s="8" t="n"/>
      <c r="E2887" s="6" t="n"/>
      <c r="F2887" s="6" t="n"/>
      <c r="G2887" s="6" t="n"/>
      <c r="H2887" s="6" t="n"/>
      <c r="I2887" s="12">
        <f>IF($B2887="","",IF(COUNTIF(Ventes_Factures!$A$6:$A$3005,$B2887)&gt;0,"OK","INCONNUE"))</f>
        <v/>
      </c>
      <c r="J2887" s="9">
        <f>IF($D2887="","",ROUND($D2887,2))</f>
        <v/>
      </c>
    </row>
    <row r="2888">
      <c r="A2888" s="6" t="n"/>
      <c r="B2888" s="6" t="n"/>
      <c r="C2888" s="7" t="n"/>
      <c r="D2888" s="8" t="n"/>
      <c r="E2888" s="6" t="n"/>
      <c r="F2888" s="6" t="n"/>
      <c r="G2888" s="6" t="n"/>
      <c r="H2888" s="6" t="n"/>
      <c r="I2888" s="12">
        <f>IF($B2888="","",IF(COUNTIF(Ventes_Factures!$A$6:$A$3005,$B2888)&gt;0,"OK","INCONNUE"))</f>
        <v/>
      </c>
      <c r="J2888" s="9">
        <f>IF($D2888="","",ROUND($D2888,2))</f>
        <v/>
      </c>
    </row>
    <row r="2889">
      <c r="A2889" s="6" t="n"/>
      <c r="B2889" s="6" t="n"/>
      <c r="C2889" s="7" t="n"/>
      <c r="D2889" s="8" t="n"/>
      <c r="E2889" s="6" t="n"/>
      <c r="F2889" s="6" t="n"/>
      <c r="G2889" s="6" t="n"/>
      <c r="H2889" s="6" t="n"/>
      <c r="I2889" s="12">
        <f>IF($B2889="","",IF(COUNTIF(Ventes_Factures!$A$6:$A$3005,$B2889)&gt;0,"OK","INCONNUE"))</f>
        <v/>
      </c>
      <c r="J2889" s="9">
        <f>IF($D2889="","",ROUND($D2889,2))</f>
        <v/>
      </c>
    </row>
    <row r="2890">
      <c r="A2890" s="6" t="n"/>
      <c r="B2890" s="6" t="n"/>
      <c r="C2890" s="7" t="n"/>
      <c r="D2890" s="8" t="n"/>
      <c r="E2890" s="6" t="n"/>
      <c r="F2890" s="6" t="n"/>
      <c r="G2890" s="6" t="n"/>
      <c r="H2890" s="6" t="n"/>
      <c r="I2890" s="12">
        <f>IF($B2890="","",IF(COUNTIF(Ventes_Factures!$A$6:$A$3005,$B2890)&gt;0,"OK","INCONNUE"))</f>
        <v/>
      </c>
      <c r="J2890" s="9">
        <f>IF($D2890="","",ROUND($D2890,2))</f>
        <v/>
      </c>
    </row>
    <row r="2891">
      <c r="A2891" s="6" t="n"/>
      <c r="B2891" s="6" t="n"/>
      <c r="C2891" s="7" t="n"/>
      <c r="D2891" s="8" t="n"/>
      <c r="E2891" s="6" t="n"/>
      <c r="F2891" s="6" t="n"/>
      <c r="G2891" s="6" t="n"/>
      <c r="H2891" s="6" t="n"/>
      <c r="I2891" s="12">
        <f>IF($B2891="","",IF(COUNTIF(Ventes_Factures!$A$6:$A$3005,$B2891)&gt;0,"OK","INCONNUE"))</f>
        <v/>
      </c>
      <c r="J2891" s="9">
        <f>IF($D2891="","",ROUND($D2891,2))</f>
        <v/>
      </c>
    </row>
    <row r="2892">
      <c r="A2892" s="6" t="n"/>
      <c r="B2892" s="6" t="n"/>
      <c r="C2892" s="7" t="n"/>
      <c r="D2892" s="8" t="n"/>
      <c r="E2892" s="6" t="n"/>
      <c r="F2892" s="6" t="n"/>
      <c r="G2892" s="6" t="n"/>
      <c r="H2892" s="6" t="n"/>
      <c r="I2892" s="12">
        <f>IF($B2892="","",IF(COUNTIF(Ventes_Factures!$A$6:$A$3005,$B2892)&gt;0,"OK","INCONNUE"))</f>
        <v/>
      </c>
      <c r="J2892" s="9">
        <f>IF($D2892="","",ROUND($D2892,2))</f>
        <v/>
      </c>
    </row>
    <row r="2893">
      <c r="A2893" s="6" t="n"/>
      <c r="B2893" s="6" t="n"/>
      <c r="C2893" s="7" t="n"/>
      <c r="D2893" s="8" t="n"/>
      <c r="E2893" s="6" t="n"/>
      <c r="F2893" s="6" t="n"/>
      <c r="G2893" s="6" t="n"/>
      <c r="H2893" s="6" t="n"/>
      <c r="I2893" s="12">
        <f>IF($B2893="","",IF(COUNTIF(Ventes_Factures!$A$6:$A$3005,$B2893)&gt;0,"OK","INCONNUE"))</f>
        <v/>
      </c>
      <c r="J2893" s="9">
        <f>IF($D2893="","",ROUND($D2893,2))</f>
        <v/>
      </c>
    </row>
    <row r="2894">
      <c r="A2894" s="6" t="n"/>
      <c r="B2894" s="6" t="n"/>
      <c r="C2894" s="7" t="n"/>
      <c r="D2894" s="8" t="n"/>
      <c r="E2894" s="6" t="n"/>
      <c r="F2894" s="6" t="n"/>
      <c r="G2894" s="6" t="n"/>
      <c r="H2894" s="6" t="n"/>
      <c r="I2894" s="12">
        <f>IF($B2894="","",IF(COUNTIF(Ventes_Factures!$A$6:$A$3005,$B2894)&gt;0,"OK","INCONNUE"))</f>
        <v/>
      </c>
      <c r="J2894" s="9">
        <f>IF($D2894="","",ROUND($D2894,2))</f>
        <v/>
      </c>
    </row>
    <row r="2895">
      <c r="A2895" s="6" t="n"/>
      <c r="B2895" s="6" t="n"/>
      <c r="C2895" s="7" t="n"/>
      <c r="D2895" s="8" t="n"/>
      <c r="E2895" s="6" t="n"/>
      <c r="F2895" s="6" t="n"/>
      <c r="G2895" s="6" t="n"/>
      <c r="H2895" s="6" t="n"/>
      <c r="I2895" s="12">
        <f>IF($B2895="","",IF(COUNTIF(Ventes_Factures!$A$6:$A$3005,$B2895)&gt;0,"OK","INCONNUE"))</f>
        <v/>
      </c>
      <c r="J2895" s="9">
        <f>IF($D2895="","",ROUND($D2895,2))</f>
        <v/>
      </c>
    </row>
    <row r="2896">
      <c r="A2896" s="6" t="n"/>
      <c r="B2896" s="6" t="n"/>
      <c r="C2896" s="7" t="n"/>
      <c r="D2896" s="8" t="n"/>
      <c r="E2896" s="6" t="n"/>
      <c r="F2896" s="6" t="n"/>
      <c r="G2896" s="6" t="n"/>
      <c r="H2896" s="6" t="n"/>
      <c r="I2896" s="12">
        <f>IF($B2896="","",IF(COUNTIF(Ventes_Factures!$A$6:$A$3005,$B2896)&gt;0,"OK","INCONNUE"))</f>
        <v/>
      </c>
      <c r="J2896" s="9">
        <f>IF($D2896="","",ROUND($D2896,2))</f>
        <v/>
      </c>
    </row>
    <row r="2897">
      <c r="A2897" s="6" t="n"/>
      <c r="B2897" s="6" t="n"/>
      <c r="C2897" s="7" t="n"/>
      <c r="D2897" s="8" t="n"/>
      <c r="E2897" s="6" t="n"/>
      <c r="F2897" s="6" t="n"/>
      <c r="G2897" s="6" t="n"/>
      <c r="H2897" s="6" t="n"/>
      <c r="I2897" s="12">
        <f>IF($B2897="","",IF(COUNTIF(Ventes_Factures!$A$6:$A$3005,$B2897)&gt;0,"OK","INCONNUE"))</f>
        <v/>
      </c>
      <c r="J2897" s="9">
        <f>IF($D2897="","",ROUND($D2897,2))</f>
        <v/>
      </c>
    </row>
    <row r="2898">
      <c r="A2898" s="6" t="n"/>
      <c r="B2898" s="6" t="n"/>
      <c r="C2898" s="7" t="n"/>
      <c r="D2898" s="8" t="n"/>
      <c r="E2898" s="6" t="n"/>
      <c r="F2898" s="6" t="n"/>
      <c r="G2898" s="6" t="n"/>
      <c r="H2898" s="6" t="n"/>
      <c r="I2898" s="12">
        <f>IF($B2898="","",IF(COUNTIF(Ventes_Factures!$A$6:$A$3005,$B2898)&gt;0,"OK","INCONNUE"))</f>
        <v/>
      </c>
      <c r="J2898" s="9">
        <f>IF($D2898="","",ROUND($D2898,2))</f>
        <v/>
      </c>
    </row>
    <row r="2899">
      <c r="A2899" s="6" t="n"/>
      <c r="B2899" s="6" t="n"/>
      <c r="C2899" s="7" t="n"/>
      <c r="D2899" s="8" t="n"/>
      <c r="E2899" s="6" t="n"/>
      <c r="F2899" s="6" t="n"/>
      <c r="G2899" s="6" t="n"/>
      <c r="H2899" s="6" t="n"/>
      <c r="I2899" s="12">
        <f>IF($B2899="","",IF(COUNTIF(Ventes_Factures!$A$6:$A$3005,$B2899)&gt;0,"OK","INCONNUE"))</f>
        <v/>
      </c>
      <c r="J2899" s="9">
        <f>IF($D2899="","",ROUND($D2899,2))</f>
        <v/>
      </c>
    </row>
    <row r="2900">
      <c r="A2900" s="6" t="n"/>
      <c r="B2900" s="6" t="n"/>
      <c r="C2900" s="7" t="n"/>
      <c r="D2900" s="8" t="n"/>
      <c r="E2900" s="6" t="n"/>
      <c r="F2900" s="6" t="n"/>
      <c r="G2900" s="6" t="n"/>
      <c r="H2900" s="6" t="n"/>
      <c r="I2900" s="12">
        <f>IF($B2900="","",IF(COUNTIF(Ventes_Factures!$A$6:$A$3005,$B2900)&gt;0,"OK","INCONNUE"))</f>
        <v/>
      </c>
      <c r="J2900" s="9">
        <f>IF($D2900="","",ROUND($D2900,2))</f>
        <v/>
      </c>
    </row>
    <row r="2901">
      <c r="A2901" s="6" t="n"/>
      <c r="B2901" s="6" t="n"/>
      <c r="C2901" s="7" t="n"/>
      <c r="D2901" s="8" t="n"/>
      <c r="E2901" s="6" t="n"/>
      <c r="F2901" s="6" t="n"/>
      <c r="G2901" s="6" t="n"/>
      <c r="H2901" s="6" t="n"/>
      <c r="I2901" s="12">
        <f>IF($B2901="","",IF(COUNTIF(Ventes_Factures!$A$6:$A$3005,$B2901)&gt;0,"OK","INCONNUE"))</f>
        <v/>
      </c>
      <c r="J2901" s="9">
        <f>IF($D2901="","",ROUND($D2901,2))</f>
        <v/>
      </c>
    </row>
    <row r="2902">
      <c r="A2902" s="6" t="n"/>
      <c r="B2902" s="6" t="n"/>
      <c r="C2902" s="7" t="n"/>
      <c r="D2902" s="8" t="n"/>
      <c r="E2902" s="6" t="n"/>
      <c r="F2902" s="6" t="n"/>
      <c r="G2902" s="6" t="n"/>
      <c r="H2902" s="6" t="n"/>
      <c r="I2902" s="12">
        <f>IF($B2902="","",IF(COUNTIF(Ventes_Factures!$A$6:$A$3005,$B2902)&gt;0,"OK","INCONNUE"))</f>
        <v/>
      </c>
      <c r="J2902" s="9">
        <f>IF($D2902="","",ROUND($D2902,2))</f>
        <v/>
      </c>
    </row>
    <row r="2903">
      <c r="A2903" s="6" t="n"/>
      <c r="B2903" s="6" t="n"/>
      <c r="C2903" s="7" t="n"/>
      <c r="D2903" s="8" t="n"/>
      <c r="E2903" s="6" t="n"/>
      <c r="F2903" s="6" t="n"/>
      <c r="G2903" s="6" t="n"/>
      <c r="H2903" s="6" t="n"/>
      <c r="I2903" s="12">
        <f>IF($B2903="","",IF(COUNTIF(Ventes_Factures!$A$6:$A$3005,$B2903)&gt;0,"OK","INCONNUE"))</f>
        <v/>
      </c>
      <c r="J2903" s="9">
        <f>IF($D2903="","",ROUND($D2903,2))</f>
        <v/>
      </c>
    </row>
    <row r="2904">
      <c r="A2904" s="6" t="n"/>
      <c r="B2904" s="6" t="n"/>
      <c r="C2904" s="7" t="n"/>
      <c r="D2904" s="8" t="n"/>
      <c r="E2904" s="6" t="n"/>
      <c r="F2904" s="6" t="n"/>
      <c r="G2904" s="6" t="n"/>
      <c r="H2904" s="6" t="n"/>
      <c r="I2904" s="12">
        <f>IF($B2904="","",IF(COUNTIF(Ventes_Factures!$A$6:$A$3005,$B2904)&gt;0,"OK","INCONNUE"))</f>
        <v/>
      </c>
      <c r="J2904" s="9">
        <f>IF($D2904="","",ROUND($D2904,2))</f>
        <v/>
      </c>
    </row>
    <row r="2905">
      <c r="A2905" s="6" t="n"/>
      <c r="B2905" s="6" t="n"/>
      <c r="C2905" s="7" t="n"/>
      <c r="D2905" s="8" t="n"/>
      <c r="E2905" s="6" t="n"/>
      <c r="F2905" s="6" t="n"/>
      <c r="G2905" s="6" t="n"/>
      <c r="H2905" s="6" t="n"/>
      <c r="I2905" s="12">
        <f>IF($B2905="","",IF(COUNTIF(Ventes_Factures!$A$6:$A$3005,$B2905)&gt;0,"OK","INCONNUE"))</f>
        <v/>
      </c>
      <c r="J2905" s="9">
        <f>IF($D2905="","",ROUND($D2905,2))</f>
        <v/>
      </c>
    </row>
    <row r="2906">
      <c r="A2906" s="6" t="n"/>
      <c r="B2906" s="6" t="n"/>
      <c r="C2906" s="7" t="n"/>
      <c r="D2906" s="8" t="n"/>
      <c r="E2906" s="6" t="n"/>
      <c r="F2906" s="6" t="n"/>
      <c r="G2906" s="6" t="n"/>
      <c r="H2906" s="6" t="n"/>
      <c r="I2906" s="12">
        <f>IF($B2906="","",IF(COUNTIF(Ventes_Factures!$A$6:$A$3005,$B2906)&gt;0,"OK","INCONNUE"))</f>
        <v/>
      </c>
      <c r="J2906" s="9">
        <f>IF($D2906="","",ROUND($D2906,2))</f>
        <v/>
      </c>
    </row>
    <row r="2907">
      <c r="A2907" s="6" t="n"/>
      <c r="B2907" s="6" t="n"/>
      <c r="C2907" s="7" t="n"/>
      <c r="D2907" s="8" t="n"/>
      <c r="E2907" s="6" t="n"/>
      <c r="F2907" s="6" t="n"/>
      <c r="G2907" s="6" t="n"/>
      <c r="H2907" s="6" t="n"/>
      <c r="I2907" s="12">
        <f>IF($B2907="","",IF(COUNTIF(Ventes_Factures!$A$6:$A$3005,$B2907)&gt;0,"OK","INCONNUE"))</f>
        <v/>
      </c>
      <c r="J2907" s="9">
        <f>IF($D2907="","",ROUND($D2907,2))</f>
        <v/>
      </c>
    </row>
    <row r="2908">
      <c r="A2908" s="6" t="n"/>
      <c r="B2908" s="6" t="n"/>
      <c r="C2908" s="7" t="n"/>
      <c r="D2908" s="8" t="n"/>
      <c r="E2908" s="6" t="n"/>
      <c r="F2908" s="6" t="n"/>
      <c r="G2908" s="6" t="n"/>
      <c r="H2908" s="6" t="n"/>
      <c r="I2908" s="12">
        <f>IF($B2908="","",IF(COUNTIF(Ventes_Factures!$A$6:$A$3005,$B2908)&gt;0,"OK","INCONNUE"))</f>
        <v/>
      </c>
      <c r="J2908" s="9">
        <f>IF($D2908="","",ROUND($D2908,2))</f>
        <v/>
      </c>
    </row>
    <row r="2909">
      <c r="A2909" s="6" t="n"/>
      <c r="B2909" s="6" t="n"/>
      <c r="C2909" s="7" t="n"/>
      <c r="D2909" s="8" t="n"/>
      <c r="E2909" s="6" t="n"/>
      <c r="F2909" s="6" t="n"/>
      <c r="G2909" s="6" t="n"/>
      <c r="H2909" s="6" t="n"/>
      <c r="I2909" s="12">
        <f>IF($B2909="","",IF(COUNTIF(Ventes_Factures!$A$6:$A$3005,$B2909)&gt;0,"OK","INCONNUE"))</f>
        <v/>
      </c>
      <c r="J2909" s="9">
        <f>IF($D2909="","",ROUND($D2909,2))</f>
        <v/>
      </c>
    </row>
    <row r="2910">
      <c r="A2910" s="6" t="n"/>
      <c r="B2910" s="6" t="n"/>
      <c r="C2910" s="7" t="n"/>
      <c r="D2910" s="8" t="n"/>
      <c r="E2910" s="6" t="n"/>
      <c r="F2910" s="6" t="n"/>
      <c r="G2910" s="6" t="n"/>
      <c r="H2910" s="6" t="n"/>
      <c r="I2910" s="12">
        <f>IF($B2910="","",IF(COUNTIF(Ventes_Factures!$A$6:$A$3005,$B2910)&gt;0,"OK","INCONNUE"))</f>
        <v/>
      </c>
      <c r="J2910" s="9">
        <f>IF($D2910="","",ROUND($D2910,2))</f>
        <v/>
      </c>
    </row>
    <row r="2911">
      <c r="A2911" s="6" t="n"/>
      <c r="B2911" s="6" t="n"/>
      <c r="C2911" s="7" t="n"/>
      <c r="D2911" s="8" t="n"/>
      <c r="E2911" s="6" t="n"/>
      <c r="F2911" s="6" t="n"/>
      <c r="G2911" s="6" t="n"/>
      <c r="H2911" s="6" t="n"/>
      <c r="I2911" s="12">
        <f>IF($B2911="","",IF(COUNTIF(Ventes_Factures!$A$6:$A$3005,$B2911)&gt;0,"OK","INCONNUE"))</f>
        <v/>
      </c>
      <c r="J2911" s="9">
        <f>IF($D2911="","",ROUND($D2911,2))</f>
        <v/>
      </c>
    </row>
    <row r="2912">
      <c r="A2912" s="6" t="n"/>
      <c r="B2912" s="6" t="n"/>
      <c r="C2912" s="7" t="n"/>
      <c r="D2912" s="8" t="n"/>
      <c r="E2912" s="6" t="n"/>
      <c r="F2912" s="6" t="n"/>
      <c r="G2912" s="6" t="n"/>
      <c r="H2912" s="6" t="n"/>
      <c r="I2912" s="12">
        <f>IF($B2912="","",IF(COUNTIF(Ventes_Factures!$A$6:$A$3005,$B2912)&gt;0,"OK","INCONNUE"))</f>
        <v/>
      </c>
      <c r="J2912" s="9">
        <f>IF($D2912="","",ROUND($D2912,2))</f>
        <v/>
      </c>
    </row>
    <row r="2913">
      <c r="A2913" s="6" t="n"/>
      <c r="B2913" s="6" t="n"/>
      <c r="C2913" s="7" t="n"/>
      <c r="D2913" s="8" t="n"/>
      <c r="E2913" s="6" t="n"/>
      <c r="F2913" s="6" t="n"/>
      <c r="G2913" s="6" t="n"/>
      <c r="H2913" s="6" t="n"/>
      <c r="I2913" s="12">
        <f>IF($B2913="","",IF(COUNTIF(Ventes_Factures!$A$6:$A$3005,$B2913)&gt;0,"OK","INCONNUE"))</f>
        <v/>
      </c>
      <c r="J2913" s="9">
        <f>IF($D2913="","",ROUND($D2913,2))</f>
        <v/>
      </c>
    </row>
    <row r="2914">
      <c r="A2914" s="6" t="n"/>
      <c r="B2914" s="6" t="n"/>
      <c r="C2914" s="7" t="n"/>
      <c r="D2914" s="8" t="n"/>
      <c r="E2914" s="6" t="n"/>
      <c r="F2914" s="6" t="n"/>
      <c r="G2914" s="6" t="n"/>
      <c r="H2914" s="6" t="n"/>
      <c r="I2914" s="12">
        <f>IF($B2914="","",IF(COUNTIF(Ventes_Factures!$A$6:$A$3005,$B2914)&gt;0,"OK","INCONNUE"))</f>
        <v/>
      </c>
      <c r="J2914" s="9">
        <f>IF($D2914="","",ROUND($D2914,2))</f>
        <v/>
      </c>
    </row>
    <row r="2915">
      <c r="A2915" s="6" t="n"/>
      <c r="B2915" s="6" t="n"/>
      <c r="C2915" s="7" t="n"/>
      <c r="D2915" s="8" t="n"/>
      <c r="E2915" s="6" t="n"/>
      <c r="F2915" s="6" t="n"/>
      <c r="G2915" s="6" t="n"/>
      <c r="H2915" s="6" t="n"/>
      <c r="I2915" s="12">
        <f>IF($B2915="","",IF(COUNTIF(Ventes_Factures!$A$6:$A$3005,$B2915)&gt;0,"OK","INCONNUE"))</f>
        <v/>
      </c>
      <c r="J2915" s="9">
        <f>IF($D2915="","",ROUND($D2915,2))</f>
        <v/>
      </c>
    </row>
    <row r="2916">
      <c r="A2916" s="6" t="n"/>
      <c r="B2916" s="6" t="n"/>
      <c r="C2916" s="7" t="n"/>
      <c r="D2916" s="8" t="n"/>
      <c r="E2916" s="6" t="n"/>
      <c r="F2916" s="6" t="n"/>
      <c r="G2916" s="6" t="n"/>
      <c r="H2916" s="6" t="n"/>
      <c r="I2916" s="12">
        <f>IF($B2916="","",IF(COUNTIF(Ventes_Factures!$A$6:$A$3005,$B2916)&gt;0,"OK","INCONNUE"))</f>
        <v/>
      </c>
      <c r="J2916" s="9">
        <f>IF($D2916="","",ROUND($D2916,2))</f>
        <v/>
      </c>
    </row>
    <row r="2917">
      <c r="A2917" s="6" t="n"/>
      <c r="B2917" s="6" t="n"/>
      <c r="C2917" s="7" t="n"/>
      <c r="D2917" s="8" t="n"/>
      <c r="E2917" s="6" t="n"/>
      <c r="F2917" s="6" t="n"/>
      <c r="G2917" s="6" t="n"/>
      <c r="H2917" s="6" t="n"/>
      <c r="I2917" s="12">
        <f>IF($B2917="","",IF(COUNTIF(Ventes_Factures!$A$6:$A$3005,$B2917)&gt;0,"OK","INCONNUE"))</f>
        <v/>
      </c>
      <c r="J2917" s="9">
        <f>IF($D2917="","",ROUND($D2917,2))</f>
        <v/>
      </c>
    </row>
    <row r="2918">
      <c r="A2918" s="6" t="n"/>
      <c r="B2918" s="6" t="n"/>
      <c r="C2918" s="7" t="n"/>
      <c r="D2918" s="8" t="n"/>
      <c r="E2918" s="6" t="n"/>
      <c r="F2918" s="6" t="n"/>
      <c r="G2918" s="6" t="n"/>
      <c r="H2918" s="6" t="n"/>
      <c r="I2918" s="12">
        <f>IF($B2918="","",IF(COUNTIF(Ventes_Factures!$A$6:$A$3005,$B2918)&gt;0,"OK","INCONNUE"))</f>
        <v/>
      </c>
      <c r="J2918" s="9">
        <f>IF($D2918="","",ROUND($D2918,2))</f>
        <v/>
      </c>
    </row>
    <row r="2919">
      <c r="A2919" s="6" t="n"/>
      <c r="B2919" s="6" t="n"/>
      <c r="C2919" s="7" t="n"/>
      <c r="D2919" s="8" t="n"/>
      <c r="E2919" s="6" t="n"/>
      <c r="F2919" s="6" t="n"/>
      <c r="G2919" s="6" t="n"/>
      <c r="H2919" s="6" t="n"/>
      <c r="I2919" s="12">
        <f>IF($B2919="","",IF(COUNTIF(Ventes_Factures!$A$6:$A$3005,$B2919)&gt;0,"OK","INCONNUE"))</f>
        <v/>
      </c>
      <c r="J2919" s="9">
        <f>IF($D2919="","",ROUND($D2919,2))</f>
        <v/>
      </c>
    </row>
    <row r="2920">
      <c r="A2920" s="6" t="n"/>
      <c r="B2920" s="6" t="n"/>
      <c r="C2920" s="7" t="n"/>
      <c r="D2920" s="8" t="n"/>
      <c r="E2920" s="6" t="n"/>
      <c r="F2920" s="6" t="n"/>
      <c r="G2920" s="6" t="n"/>
      <c r="H2920" s="6" t="n"/>
      <c r="I2920" s="12">
        <f>IF($B2920="","",IF(COUNTIF(Ventes_Factures!$A$6:$A$3005,$B2920)&gt;0,"OK","INCONNUE"))</f>
        <v/>
      </c>
      <c r="J2920" s="9">
        <f>IF($D2920="","",ROUND($D2920,2))</f>
        <v/>
      </c>
    </row>
    <row r="2921">
      <c r="A2921" s="6" t="n"/>
      <c r="B2921" s="6" t="n"/>
      <c r="C2921" s="7" t="n"/>
      <c r="D2921" s="8" t="n"/>
      <c r="E2921" s="6" t="n"/>
      <c r="F2921" s="6" t="n"/>
      <c r="G2921" s="6" t="n"/>
      <c r="H2921" s="6" t="n"/>
      <c r="I2921" s="12">
        <f>IF($B2921="","",IF(COUNTIF(Ventes_Factures!$A$6:$A$3005,$B2921)&gt;0,"OK","INCONNUE"))</f>
        <v/>
      </c>
      <c r="J2921" s="9">
        <f>IF($D2921="","",ROUND($D2921,2))</f>
        <v/>
      </c>
    </row>
    <row r="2922">
      <c r="A2922" s="6" t="n"/>
      <c r="B2922" s="6" t="n"/>
      <c r="C2922" s="7" t="n"/>
      <c r="D2922" s="8" t="n"/>
      <c r="E2922" s="6" t="n"/>
      <c r="F2922" s="6" t="n"/>
      <c r="G2922" s="6" t="n"/>
      <c r="H2922" s="6" t="n"/>
      <c r="I2922" s="12">
        <f>IF($B2922="","",IF(COUNTIF(Ventes_Factures!$A$6:$A$3005,$B2922)&gt;0,"OK","INCONNUE"))</f>
        <v/>
      </c>
      <c r="J2922" s="9">
        <f>IF($D2922="","",ROUND($D2922,2))</f>
        <v/>
      </c>
    </row>
    <row r="2923">
      <c r="A2923" s="6" t="n"/>
      <c r="B2923" s="6" t="n"/>
      <c r="C2923" s="7" t="n"/>
      <c r="D2923" s="8" t="n"/>
      <c r="E2923" s="6" t="n"/>
      <c r="F2923" s="6" t="n"/>
      <c r="G2923" s="6" t="n"/>
      <c r="H2923" s="6" t="n"/>
      <c r="I2923" s="12">
        <f>IF($B2923="","",IF(COUNTIF(Ventes_Factures!$A$6:$A$3005,$B2923)&gt;0,"OK","INCONNUE"))</f>
        <v/>
      </c>
      <c r="J2923" s="9">
        <f>IF($D2923="","",ROUND($D2923,2))</f>
        <v/>
      </c>
    </row>
    <row r="2924">
      <c r="A2924" s="6" t="n"/>
      <c r="B2924" s="6" t="n"/>
      <c r="C2924" s="7" t="n"/>
      <c r="D2924" s="8" t="n"/>
      <c r="E2924" s="6" t="n"/>
      <c r="F2924" s="6" t="n"/>
      <c r="G2924" s="6" t="n"/>
      <c r="H2924" s="6" t="n"/>
      <c r="I2924" s="12">
        <f>IF($B2924="","",IF(COUNTIF(Ventes_Factures!$A$6:$A$3005,$B2924)&gt;0,"OK","INCONNUE"))</f>
        <v/>
      </c>
      <c r="J2924" s="9">
        <f>IF($D2924="","",ROUND($D2924,2))</f>
        <v/>
      </c>
    </row>
    <row r="2925">
      <c r="A2925" s="6" t="n"/>
      <c r="B2925" s="6" t="n"/>
      <c r="C2925" s="7" t="n"/>
      <c r="D2925" s="8" t="n"/>
      <c r="E2925" s="6" t="n"/>
      <c r="F2925" s="6" t="n"/>
      <c r="G2925" s="6" t="n"/>
      <c r="H2925" s="6" t="n"/>
      <c r="I2925" s="12">
        <f>IF($B2925="","",IF(COUNTIF(Ventes_Factures!$A$6:$A$3005,$B2925)&gt;0,"OK","INCONNUE"))</f>
        <v/>
      </c>
      <c r="J2925" s="9">
        <f>IF($D2925="","",ROUND($D2925,2))</f>
        <v/>
      </c>
    </row>
    <row r="2926">
      <c r="A2926" s="6" t="n"/>
      <c r="B2926" s="6" t="n"/>
      <c r="C2926" s="7" t="n"/>
      <c r="D2926" s="8" t="n"/>
      <c r="E2926" s="6" t="n"/>
      <c r="F2926" s="6" t="n"/>
      <c r="G2926" s="6" t="n"/>
      <c r="H2926" s="6" t="n"/>
      <c r="I2926" s="12">
        <f>IF($B2926="","",IF(COUNTIF(Ventes_Factures!$A$6:$A$3005,$B2926)&gt;0,"OK","INCONNUE"))</f>
        <v/>
      </c>
      <c r="J2926" s="9">
        <f>IF($D2926="","",ROUND($D2926,2))</f>
        <v/>
      </c>
    </row>
    <row r="2927">
      <c r="A2927" s="6" t="n"/>
      <c r="B2927" s="6" t="n"/>
      <c r="C2927" s="7" t="n"/>
      <c r="D2927" s="8" t="n"/>
      <c r="E2927" s="6" t="n"/>
      <c r="F2927" s="6" t="n"/>
      <c r="G2927" s="6" t="n"/>
      <c r="H2927" s="6" t="n"/>
      <c r="I2927" s="12">
        <f>IF($B2927="","",IF(COUNTIF(Ventes_Factures!$A$6:$A$3005,$B2927)&gt;0,"OK","INCONNUE"))</f>
        <v/>
      </c>
      <c r="J2927" s="9">
        <f>IF($D2927="","",ROUND($D2927,2))</f>
        <v/>
      </c>
    </row>
    <row r="2928">
      <c r="A2928" s="6" t="n"/>
      <c r="B2928" s="6" t="n"/>
      <c r="C2928" s="7" t="n"/>
      <c r="D2928" s="8" t="n"/>
      <c r="E2928" s="6" t="n"/>
      <c r="F2928" s="6" t="n"/>
      <c r="G2928" s="6" t="n"/>
      <c r="H2928" s="6" t="n"/>
      <c r="I2928" s="12">
        <f>IF($B2928="","",IF(COUNTIF(Ventes_Factures!$A$6:$A$3005,$B2928)&gt;0,"OK","INCONNUE"))</f>
        <v/>
      </c>
      <c r="J2928" s="9">
        <f>IF($D2928="","",ROUND($D2928,2))</f>
        <v/>
      </c>
    </row>
    <row r="2929">
      <c r="A2929" s="6" t="n"/>
      <c r="B2929" s="6" t="n"/>
      <c r="C2929" s="7" t="n"/>
      <c r="D2929" s="8" t="n"/>
      <c r="E2929" s="6" t="n"/>
      <c r="F2929" s="6" t="n"/>
      <c r="G2929" s="6" t="n"/>
      <c r="H2929" s="6" t="n"/>
      <c r="I2929" s="12">
        <f>IF($B2929="","",IF(COUNTIF(Ventes_Factures!$A$6:$A$3005,$B2929)&gt;0,"OK","INCONNUE"))</f>
        <v/>
      </c>
      <c r="J2929" s="9">
        <f>IF($D2929="","",ROUND($D2929,2))</f>
        <v/>
      </c>
    </row>
    <row r="2930">
      <c r="A2930" s="6" t="n"/>
      <c r="B2930" s="6" t="n"/>
      <c r="C2930" s="7" t="n"/>
      <c r="D2930" s="8" t="n"/>
      <c r="E2930" s="6" t="n"/>
      <c r="F2930" s="6" t="n"/>
      <c r="G2930" s="6" t="n"/>
      <c r="H2930" s="6" t="n"/>
      <c r="I2930" s="12">
        <f>IF($B2930="","",IF(COUNTIF(Ventes_Factures!$A$6:$A$3005,$B2930)&gt;0,"OK","INCONNUE"))</f>
        <v/>
      </c>
      <c r="J2930" s="9">
        <f>IF($D2930="","",ROUND($D2930,2))</f>
        <v/>
      </c>
    </row>
    <row r="2931">
      <c r="A2931" s="6" t="n"/>
      <c r="B2931" s="6" t="n"/>
      <c r="C2931" s="7" t="n"/>
      <c r="D2931" s="8" t="n"/>
      <c r="E2931" s="6" t="n"/>
      <c r="F2931" s="6" t="n"/>
      <c r="G2931" s="6" t="n"/>
      <c r="H2931" s="6" t="n"/>
      <c r="I2931" s="12">
        <f>IF($B2931="","",IF(COUNTIF(Ventes_Factures!$A$6:$A$3005,$B2931)&gt;0,"OK","INCONNUE"))</f>
        <v/>
      </c>
      <c r="J2931" s="9">
        <f>IF($D2931="","",ROUND($D2931,2))</f>
        <v/>
      </c>
    </row>
    <row r="2932">
      <c r="A2932" s="6" t="n"/>
      <c r="B2932" s="6" t="n"/>
      <c r="C2932" s="7" t="n"/>
      <c r="D2932" s="8" t="n"/>
      <c r="E2932" s="6" t="n"/>
      <c r="F2932" s="6" t="n"/>
      <c r="G2932" s="6" t="n"/>
      <c r="H2932" s="6" t="n"/>
      <c r="I2932" s="12">
        <f>IF($B2932="","",IF(COUNTIF(Ventes_Factures!$A$6:$A$3005,$B2932)&gt;0,"OK","INCONNUE"))</f>
        <v/>
      </c>
      <c r="J2932" s="9">
        <f>IF($D2932="","",ROUND($D2932,2))</f>
        <v/>
      </c>
    </row>
    <row r="2933">
      <c r="A2933" s="6" t="n"/>
      <c r="B2933" s="6" t="n"/>
      <c r="C2933" s="7" t="n"/>
      <c r="D2933" s="8" t="n"/>
      <c r="E2933" s="6" t="n"/>
      <c r="F2933" s="6" t="n"/>
      <c r="G2933" s="6" t="n"/>
      <c r="H2933" s="6" t="n"/>
      <c r="I2933" s="12">
        <f>IF($B2933="","",IF(COUNTIF(Ventes_Factures!$A$6:$A$3005,$B2933)&gt;0,"OK","INCONNUE"))</f>
        <v/>
      </c>
      <c r="J2933" s="9">
        <f>IF($D2933="","",ROUND($D2933,2))</f>
        <v/>
      </c>
    </row>
    <row r="2934">
      <c r="A2934" s="6" t="n"/>
      <c r="B2934" s="6" t="n"/>
      <c r="C2934" s="7" t="n"/>
      <c r="D2934" s="8" t="n"/>
      <c r="E2934" s="6" t="n"/>
      <c r="F2934" s="6" t="n"/>
      <c r="G2934" s="6" t="n"/>
      <c r="H2934" s="6" t="n"/>
      <c r="I2934" s="12">
        <f>IF($B2934="","",IF(COUNTIF(Ventes_Factures!$A$6:$A$3005,$B2934)&gt;0,"OK","INCONNUE"))</f>
        <v/>
      </c>
      <c r="J2934" s="9">
        <f>IF($D2934="","",ROUND($D2934,2))</f>
        <v/>
      </c>
    </row>
    <row r="2935">
      <c r="A2935" s="6" t="n"/>
      <c r="B2935" s="6" t="n"/>
      <c r="C2935" s="7" t="n"/>
      <c r="D2935" s="8" t="n"/>
      <c r="E2935" s="6" t="n"/>
      <c r="F2935" s="6" t="n"/>
      <c r="G2935" s="6" t="n"/>
      <c r="H2935" s="6" t="n"/>
      <c r="I2935" s="12">
        <f>IF($B2935="","",IF(COUNTIF(Ventes_Factures!$A$6:$A$3005,$B2935)&gt;0,"OK","INCONNUE"))</f>
        <v/>
      </c>
      <c r="J2935" s="9">
        <f>IF($D2935="","",ROUND($D2935,2))</f>
        <v/>
      </c>
    </row>
    <row r="2936">
      <c r="A2936" s="6" t="n"/>
      <c r="B2936" s="6" t="n"/>
      <c r="C2936" s="7" t="n"/>
      <c r="D2936" s="8" t="n"/>
      <c r="E2936" s="6" t="n"/>
      <c r="F2936" s="6" t="n"/>
      <c r="G2936" s="6" t="n"/>
      <c r="H2936" s="6" t="n"/>
      <c r="I2936" s="12">
        <f>IF($B2936="","",IF(COUNTIF(Ventes_Factures!$A$6:$A$3005,$B2936)&gt;0,"OK","INCONNUE"))</f>
        <v/>
      </c>
      <c r="J2936" s="9">
        <f>IF($D2936="","",ROUND($D2936,2))</f>
        <v/>
      </c>
    </row>
    <row r="2937">
      <c r="A2937" s="6" t="n"/>
      <c r="B2937" s="6" t="n"/>
      <c r="C2937" s="7" t="n"/>
      <c r="D2937" s="8" t="n"/>
      <c r="E2937" s="6" t="n"/>
      <c r="F2937" s="6" t="n"/>
      <c r="G2937" s="6" t="n"/>
      <c r="H2937" s="6" t="n"/>
      <c r="I2937" s="12">
        <f>IF($B2937="","",IF(COUNTIF(Ventes_Factures!$A$6:$A$3005,$B2937)&gt;0,"OK","INCONNUE"))</f>
        <v/>
      </c>
      <c r="J2937" s="9">
        <f>IF($D2937="","",ROUND($D2937,2))</f>
        <v/>
      </c>
    </row>
    <row r="2938">
      <c r="A2938" s="6" t="n"/>
      <c r="B2938" s="6" t="n"/>
      <c r="C2938" s="7" t="n"/>
      <c r="D2938" s="8" t="n"/>
      <c r="E2938" s="6" t="n"/>
      <c r="F2938" s="6" t="n"/>
      <c r="G2938" s="6" t="n"/>
      <c r="H2938" s="6" t="n"/>
      <c r="I2938" s="12">
        <f>IF($B2938="","",IF(COUNTIF(Ventes_Factures!$A$6:$A$3005,$B2938)&gt;0,"OK","INCONNUE"))</f>
        <v/>
      </c>
      <c r="J2938" s="9">
        <f>IF($D2938="","",ROUND($D2938,2))</f>
        <v/>
      </c>
    </row>
    <row r="2939">
      <c r="A2939" s="6" t="n"/>
      <c r="B2939" s="6" t="n"/>
      <c r="C2939" s="7" t="n"/>
      <c r="D2939" s="8" t="n"/>
      <c r="E2939" s="6" t="n"/>
      <c r="F2939" s="6" t="n"/>
      <c r="G2939" s="6" t="n"/>
      <c r="H2939" s="6" t="n"/>
      <c r="I2939" s="12">
        <f>IF($B2939="","",IF(COUNTIF(Ventes_Factures!$A$6:$A$3005,$B2939)&gt;0,"OK","INCONNUE"))</f>
        <v/>
      </c>
      <c r="J2939" s="9">
        <f>IF($D2939="","",ROUND($D2939,2))</f>
        <v/>
      </c>
    </row>
    <row r="2940">
      <c r="A2940" s="6" t="n"/>
      <c r="B2940" s="6" t="n"/>
      <c r="C2940" s="7" t="n"/>
      <c r="D2940" s="8" t="n"/>
      <c r="E2940" s="6" t="n"/>
      <c r="F2940" s="6" t="n"/>
      <c r="G2940" s="6" t="n"/>
      <c r="H2940" s="6" t="n"/>
      <c r="I2940" s="12">
        <f>IF($B2940="","",IF(COUNTIF(Ventes_Factures!$A$6:$A$3005,$B2940)&gt;0,"OK","INCONNUE"))</f>
        <v/>
      </c>
      <c r="J2940" s="9">
        <f>IF($D2940="","",ROUND($D2940,2))</f>
        <v/>
      </c>
    </row>
    <row r="2941">
      <c r="A2941" s="6" t="n"/>
      <c r="B2941" s="6" t="n"/>
      <c r="C2941" s="7" t="n"/>
      <c r="D2941" s="8" t="n"/>
      <c r="E2941" s="6" t="n"/>
      <c r="F2941" s="6" t="n"/>
      <c r="G2941" s="6" t="n"/>
      <c r="H2941" s="6" t="n"/>
      <c r="I2941" s="12">
        <f>IF($B2941="","",IF(COUNTIF(Ventes_Factures!$A$6:$A$3005,$B2941)&gt;0,"OK","INCONNUE"))</f>
        <v/>
      </c>
      <c r="J2941" s="9">
        <f>IF($D2941="","",ROUND($D2941,2))</f>
        <v/>
      </c>
    </row>
    <row r="2942">
      <c r="A2942" s="6" t="n"/>
      <c r="B2942" s="6" t="n"/>
      <c r="C2942" s="7" t="n"/>
      <c r="D2942" s="8" t="n"/>
      <c r="E2942" s="6" t="n"/>
      <c r="F2942" s="6" t="n"/>
      <c r="G2942" s="6" t="n"/>
      <c r="H2942" s="6" t="n"/>
      <c r="I2942" s="12">
        <f>IF($B2942="","",IF(COUNTIF(Ventes_Factures!$A$6:$A$3005,$B2942)&gt;0,"OK","INCONNUE"))</f>
        <v/>
      </c>
      <c r="J2942" s="9">
        <f>IF($D2942="","",ROUND($D2942,2))</f>
        <v/>
      </c>
    </row>
    <row r="2943">
      <c r="A2943" s="6" t="n"/>
      <c r="B2943" s="6" t="n"/>
      <c r="C2943" s="7" t="n"/>
      <c r="D2943" s="8" t="n"/>
      <c r="E2943" s="6" t="n"/>
      <c r="F2943" s="6" t="n"/>
      <c r="G2943" s="6" t="n"/>
      <c r="H2943" s="6" t="n"/>
      <c r="I2943" s="12">
        <f>IF($B2943="","",IF(COUNTIF(Ventes_Factures!$A$6:$A$3005,$B2943)&gt;0,"OK","INCONNUE"))</f>
        <v/>
      </c>
      <c r="J2943" s="9">
        <f>IF($D2943="","",ROUND($D2943,2))</f>
        <v/>
      </c>
    </row>
    <row r="2944">
      <c r="A2944" s="6" t="n"/>
      <c r="B2944" s="6" t="n"/>
      <c r="C2944" s="7" t="n"/>
      <c r="D2944" s="8" t="n"/>
      <c r="E2944" s="6" t="n"/>
      <c r="F2944" s="6" t="n"/>
      <c r="G2944" s="6" t="n"/>
      <c r="H2944" s="6" t="n"/>
      <c r="I2944" s="12">
        <f>IF($B2944="","",IF(COUNTIF(Ventes_Factures!$A$6:$A$3005,$B2944)&gt;0,"OK","INCONNUE"))</f>
        <v/>
      </c>
      <c r="J2944" s="9">
        <f>IF($D2944="","",ROUND($D2944,2))</f>
        <v/>
      </c>
    </row>
    <row r="2945">
      <c r="A2945" s="6" t="n"/>
      <c r="B2945" s="6" t="n"/>
      <c r="C2945" s="7" t="n"/>
      <c r="D2945" s="8" t="n"/>
      <c r="E2945" s="6" t="n"/>
      <c r="F2945" s="6" t="n"/>
      <c r="G2945" s="6" t="n"/>
      <c r="H2945" s="6" t="n"/>
      <c r="I2945" s="12">
        <f>IF($B2945="","",IF(COUNTIF(Ventes_Factures!$A$6:$A$3005,$B2945)&gt;0,"OK","INCONNUE"))</f>
        <v/>
      </c>
      <c r="J2945" s="9">
        <f>IF($D2945="","",ROUND($D2945,2))</f>
        <v/>
      </c>
    </row>
    <row r="2946">
      <c r="A2946" s="6" t="n"/>
      <c r="B2946" s="6" t="n"/>
      <c r="C2946" s="7" t="n"/>
      <c r="D2946" s="8" t="n"/>
      <c r="E2946" s="6" t="n"/>
      <c r="F2946" s="6" t="n"/>
      <c r="G2946" s="6" t="n"/>
      <c r="H2946" s="6" t="n"/>
      <c r="I2946" s="12">
        <f>IF($B2946="","",IF(COUNTIF(Ventes_Factures!$A$6:$A$3005,$B2946)&gt;0,"OK","INCONNUE"))</f>
        <v/>
      </c>
      <c r="J2946" s="9">
        <f>IF($D2946="","",ROUND($D2946,2))</f>
        <v/>
      </c>
    </row>
    <row r="2947">
      <c r="A2947" s="6" t="n"/>
      <c r="B2947" s="6" t="n"/>
      <c r="C2947" s="7" t="n"/>
      <c r="D2947" s="8" t="n"/>
      <c r="E2947" s="6" t="n"/>
      <c r="F2947" s="6" t="n"/>
      <c r="G2947" s="6" t="n"/>
      <c r="H2947" s="6" t="n"/>
      <c r="I2947" s="12">
        <f>IF($B2947="","",IF(COUNTIF(Ventes_Factures!$A$6:$A$3005,$B2947)&gt;0,"OK","INCONNUE"))</f>
        <v/>
      </c>
      <c r="J2947" s="9">
        <f>IF($D2947="","",ROUND($D2947,2))</f>
        <v/>
      </c>
    </row>
    <row r="2948">
      <c r="A2948" s="6" t="n"/>
      <c r="B2948" s="6" t="n"/>
      <c r="C2948" s="7" t="n"/>
      <c r="D2948" s="8" t="n"/>
      <c r="E2948" s="6" t="n"/>
      <c r="F2948" s="6" t="n"/>
      <c r="G2948" s="6" t="n"/>
      <c r="H2948" s="6" t="n"/>
      <c r="I2948" s="12">
        <f>IF($B2948="","",IF(COUNTIF(Ventes_Factures!$A$6:$A$3005,$B2948)&gt;0,"OK","INCONNUE"))</f>
        <v/>
      </c>
      <c r="J2948" s="9">
        <f>IF($D2948="","",ROUND($D2948,2))</f>
        <v/>
      </c>
    </row>
    <row r="2949">
      <c r="A2949" s="6" t="n"/>
      <c r="B2949" s="6" t="n"/>
      <c r="C2949" s="7" t="n"/>
      <c r="D2949" s="8" t="n"/>
      <c r="E2949" s="6" t="n"/>
      <c r="F2949" s="6" t="n"/>
      <c r="G2949" s="6" t="n"/>
      <c r="H2949" s="6" t="n"/>
      <c r="I2949" s="12">
        <f>IF($B2949="","",IF(COUNTIF(Ventes_Factures!$A$6:$A$3005,$B2949)&gt;0,"OK","INCONNUE"))</f>
        <v/>
      </c>
      <c r="J2949" s="9">
        <f>IF($D2949="","",ROUND($D2949,2))</f>
        <v/>
      </c>
    </row>
    <row r="2950">
      <c r="A2950" s="6" t="n"/>
      <c r="B2950" s="6" t="n"/>
      <c r="C2950" s="7" t="n"/>
      <c r="D2950" s="8" t="n"/>
      <c r="E2950" s="6" t="n"/>
      <c r="F2950" s="6" t="n"/>
      <c r="G2950" s="6" t="n"/>
      <c r="H2950" s="6" t="n"/>
      <c r="I2950" s="12">
        <f>IF($B2950="","",IF(COUNTIF(Ventes_Factures!$A$6:$A$3005,$B2950)&gt;0,"OK","INCONNUE"))</f>
        <v/>
      </c>
      <c r="J2950" s="9">
        <f>IF($D2950="","",ROUND($D2950,2))</f>
        <v/>
      </c>
    </row>
    <row r="2951">
      <c r="A2951" s="6" t="n"/>
      <c r="B2951" s="6" t="n"/>
      <c r="C2951" s="7" t="n"/>
      <c r="D2951" s="8" t="n"/>
      <c r="E2951" s="6" t="n"/>
      <c r="F2951" s="6" t="n"/>
      <c r="G2951" s="6" t="n"/>
      <c r="H2951" s="6" t="n"/>
      <c r="I2951" s="12">
        <f>IF($B2951="","",IF(COUNTIF(Ventes_Factures!$A$6:$A$3005,$B2951)&gt;0,"OK","INCONNUE"))</f>
        <v/>
      </c>
      <c r="J2951" s="9">
        <f>IF($D2951="","",ROUND($D2951,2))</f>
        <v/>
      </c>
    </row>
    <row r="2952">
      <c r="A2952" s="6" t="n"/>
      <c r="B2952" s="6" t="n"/>
      <c r="C2952" s="7" t="n"/>
      <c r="D2952" s="8" t="n"/>
      <c r="E2952" s="6" t="n"/>
      <c r="F2952" s="6" t="n"/>
      <c r="G2952" s="6" t="n"/>
      <c r="H2952" s="6" t="n"/>
      <c r="I2952" s="12">
        <f>IF($B2952="","",IF(COUNTIF(Ventes_Factures!$A$6:$A$3005,$B2952)&gt;0,"OK","INCONNUE"))</f>
        <v/>
      </c>
      <c r="J2952" s="9">
        <f>IF($D2952="","",ROUND($D2952,2))</f>
        <v/>
      </c>
    </row>
    <row r="2953">
      <c r="A2953" s="6" t="n"/>
      <c r="B2953" s="6" t="n"/>
      <c r="C2953" s="7" t="n"/>
      <c r="D2953" s="8" t="n"/>
      <c r="E2953" s="6" t="n"/>
      <c r="F2953" s="6" t="n"/>
      <c r="G2953" s="6" t="n"/>
      <c r="H2953" s="6" t="n"/>
      <c r="I2953" s="12">
        <f>IF($B2953="","",IF(COUNTIF(Ventes_Factures!$A$6:$A$3005,$B2953)&gt;0,"OK","INCONNUE"))</f>
        <v/>
      </c>
      <c r="J2953" s="9">
        <f>IF($D2953="","",ROUND($D2953,2))</f>
        <v/>
      </c>
    </row>
    <row r="2954">
      <c r="A2954" s="6" t="n"/>
      <c r="B2954" s="6" t="n"/>
      <c r="C2954" s="7" t="n"/>
      <c r="D2954" s="8" t="n"/>
      <c r="E2954" s="6" t="n"/>
      <c r="F2954" s="6" t="n"/>
      <c r="G2954" s="6" t="n"/>
      <c r="H2954" s="6" t="n"/>
      <c r="I2954" s="12">
        <f>IF($B2954="","",IF(COUNTIF(Ventes_Factures!$A$6:$A$3005,$B2954)&gt;0,"OK","INCONNUE"))</f>
        <v/>
      </c>
      <c r="J2954" s="9">
        <f>IF($D2954="","",ROUND($D2954,2))</f>
        <v/>
      </c>
    </row>
    <row r="2955">
      <c r="A2955" s="6" t="n"/>
      <c r="B2955" s="6" t="n"/>
      <c r="C2955" s="7" t="n"/>
      <c r="D2955" s="8" t="n"/>
      <c r="E2955" s="6" t="n"/>
      <c r="F2955" s="6" t="n"/>
      <c r="G2955" s="6" t="n"/>
      <c r="H2955" s="6" t="n"/>
      <c r="I2955" s="12">
        <f>IF($B2955="","",IF(COUNTIF(Ventes_Factures!$A$6:$A$3005,$B2955)&gt;0,"OK","INCONNUE"))</f>
        <v/>
      </c>
      <c r="J2955" s="9">
        <f>IF($D2955="","",ROUND($D2955,2))</f>
        <v/>
      </c>
    </row>
    <row r="2956">
      <c r="A2956" s="6" t="n"/>
      <c r="B2956" s="6" t="n"/>
      <c r="C2956" s="7" t="n"/>
      <c r="D2956" s="8" t="n"/>
      <c r="E2956" s="6" t="n"/>
      <c r="F2956" s="6" t="n"/>
      <c r="G2956" s="6" t="n"/>
      <c r="H2956" s="6" t="n"/>
      <c r="I2956" s="12">
        <f>IF($B2956="","",IF(COUNTIF(Ventes_Factures!$A$6:$A$3005,$B2956)&gt;0,"OK","INCONNUE"))</f>
        <v/>
      </c>
      <c r="J2956" s="9">
        <f>IF($D2956="","",ROUND($D2956,2))</f>
        <v/>
      </c>
    </row>
    <row r="2957">
      <c r="A2957" s="6" t="n"/>
      <c r="B2957" s="6" t="n"/>
      <c r="C2957" s="7" t="n"/>
      <c r="D2957" s="8" t="n"/>
      <c r="E2957" s="6" t="n"/>
      <c r="F2957" s="6" t="n"/>
      <c r="G2957" s="6" t="n"/>
      <c r="H2957" s="6" t="n"/>
      <c r="I2957" s="12">
        <f>IF($B2957="","",IF(COUNTIF(Ventes_Factures!$A$6:$A$3005,$B2957)&gt;0,"OK","INCONNUE"))</f>
        <v/>
      </c>
      <c r="J2957" s="9">
        <f>IF($D2957="","",ROUND($D2957,2))</f>
        <v/>
      </c>
    </row>
    <row r="2958">
      <c r="A2958" s="6" t="n"/>
      <c r="B2958" s="6" t="n"/>
      <c r="C2958" s="7" t="n"/>
      <c r="D2958" s="8" t="n"/>
      <c r="E2958" s="6" t="n"/>
      <c r="F2958" s="6" t="n"/>
      <c r="G2958" s="6" t="n"/>
      <c r="H2958" s="6" t="n"/>
      <c r="I2958" s="12">
        <f>IF($B2958="","",IF(COUNTIF(Ventes_Factures!$A$6:$A$3005,$B2958)&gt;0,"OK","INCONNUE"))</f>
        <v/>
      </c>
      <c r="J2958" s="9">
        <f>IF($D2958="","",ROUND($D2958,2))</f>
        <v/>
      </c>
    </row>
    <row r="2959">
      <c r="A2959" s="6" t="n"/>
      <c r="B2959" s="6" t="n"/>
      <c r="C2959" s="7" t="n"/>
      <c r="D2959" s="8" t="n"/>
      <c r="E2959" s="6" t="n"/>
      <c r="F2959" s="6" t="n"/>
      <c r="G2959" s="6" t="n"/>
      <c r="H2959" s="6" t="n"/>
      <c r="I2959" s="12">
        <f>IF($B2959="","",IF(COUNTIF(Ventes_Factures!$A$6:$A$3005,$B2959)&gt;0,"OK","INCONNUE"))</f>
        <v/>
      </c>
      <c r="J2959" s="9">
        <f>IF($D2959="","",ROUND($D2959,2))</f>
        <v/>
      </c>
    </row>
    <row r="2960">
      <c r="A2960" s="6" t="n"/>
      <c r="B2960" s="6" t="n"/>
      <c r="C2960" s="7" t="n"/>
      <c r="D2960" s="8" t="n"/>
      <c r="E2960" s="6" t="n"/>
      <c r="F2960" s="6" t="n"/>
      <c r="G2960" s="6" t="n"/>
      <c r="H2960" s="6" t="n"/>
      <c r="I2960" s="12">
        <f>IF($B2960="","",IF(COUNTIF(Ventes_Factures!$A$6:$A$3005,$B2960)&gt;0,"OK","INCONNUE"))</f>
        <v/>
      </c>
      <c r="J2960" s="9">
        <f>IF($D2960="","",ROUND($D2960,2))</f>
        <v/>
      </c>
    </row>
    <row r="2961">
      <c r="A2961" s="6" t="n"/>
      <c r="B2961" s="6" t="n"/>
      <c r="C2961" s="7" t="n"/>
      <c r="D2961" s="8" t="n"/>
      <c r="E2961" s="6" t="n"/>
      <c r="F2961" s="6" t="n"/>
      <c r="G2961" s="6" t="n"/>
      <c r="H2961" s="6" t="n"/>
      <c r="I2961" s="12">
        <f>IF($B2961="","",IF(COUNTIF(Ventes_Factures!$A$6:$A$3005,$B2961)&gt;0,"OK","INCONNUE"))</f>
        <v/>
      </c>
      <c r="J2961" s="9">
        <f>IF($D2961="","",ROUND($D2961,2))</f>
        <v/>
      </c>
    </row>
    <row r="2962">
      <c r="A2962" s="6" t="n"/>
      <c r="B2962" s="6" t="n"/>
      <c r="C2962" s="7" t="n"/>
      <c r="D2962" s="8" t="n"/>
      <c r="E2962" s="6" t="n"/>
      <c r="F2962" s="6" t="n"/>
      <c r="G2962" s="6" t="n"/>
      <c r="H2962" s="6" t="n"/>
      <c r="I2962" s="12">
        <f>IF($B2962="","",IF(COUNTIF(Ventes_Factures!$A$6:$A$3005,$B2962)&gt;0,"OK","INCONNUE"))</f>
        <v/>
      </c>
      <c r="J2962" s="9">
        <f>IF($D2962="","",ROUND($D2962,2))</f>
        <v/>
      </c>
    </row>
    <row r="2963">
      <c r="A2963" s="6" t="n"/>
      <c r="B2963" s="6" t="n"/>
      <c r="C2963" s="7" t="n"/>
      <c r="D2963" s="8" t="n"/>
      <c r="E2963" s="6" t="n"/>
      <c r="F2963" s="6" t="n"/>
      <c r="G2963" s="6" t="n"/>
      <c r="H2963" s="6" t="n"/>
      <c r="I2963" s="12">
        <f>IF($B2963="","",IF(COUNTIF(Ventes_Factures!$A$6:$A$3005,$B2963)&gt;0,"OK","INCONNUE"))</f>
        <v/>
      </c>
      <c r="J2963" s="9">
        <f>IF($D2963="","",ROUND($D2963,2))</f>
        <v/>
      </c>
    </row>
    <row r="2964">
      <c r="A2964" s="6" t="n"/>
      <c r="B2964" s="6" t="n"/>
      <c r="C2964" s="7" t="n"/>
      <c r="D2964" s="8" t="n"/>
      <c r="E2964" s="6" t="n"/>
      <c r="F2964" s="6" t="n"/>
      <c r="G2964" s="6" t="n"/>
      <c r="H2964" s="6" t="n"/>
      <c r="I2964" s="12">
        <f>IF($B2964="","",IF(COUNTIF(Ventes_Factures!$A$6:$A$3005,$B2964)&gt;0,"OK","INCONNUE"))</f>
        <v/>
      </c>
      <c r="J2964" s="9">
        <f>IF($D2964="","",ROUND($D2964,2))</f>
        <v/>
      </c>
    </row>
    <row r="2965">
      <c r="A2965" s="6" t="n"/>
      <c r="B2965" s="6" t="n"/>
      <c r="C2965" s="7" t="n"/>
      <c r="D2965" s="8" t="n"/>
      <c r="E2965" s="6" t="n"/>
      <c r="F2965" s="6" t="n"/>
      <c r="G2965" s="6" t="n"/>
      <c r="H2965" s="6" t="n"/>
      <c r="I2965" s="12">
        <f>IF($B2965="","",IF(COUNTIF(Ventes_Factures!$A$6:$A$3005,$B2965)&gt;0,"OK","INCONNUE"))</f>
        <v/>
      </c>
      <c r="J2965" s="9">
        <f>IF($D2965="","",ROUND($D2965,2))</f>
        <v/>
      </c>
    </row>
    <row r="2966">
      <c r="A2966" s="6" t="n"/>
      <c r="B2966" s="6" t="n"/>
      <c r="C2966" s="7" t="n"/>
      <c r="D2966" s="8" t="n"/>
      <c r="E2966" s="6" t="n"/>
      <c r="F2966" s="6" t="n"/>
      <c r="G2966" s="6" t="n"/>
      <c r="H2966" s="6" t="n"/>
      <c r="I2966" s="12">
        <f>IF($B2966="","",IF(COUNTIF(Ventes_Factures!$A$6:$A$3005,$B2966)&gt;0,"OK","INCONNUE"))</f>
        <v/>
      </c>
      <c r="J2966" s="9">
        <f>IF($D2966="","",ROUND($D2966,2))</f>
        <v/>
      </c>
    </row>
    <row r="2967">
      <c r="A2967" s="6" t="n"/>
      <c r="B2967" s="6" t="n"/>
      <c r="C2967" s="7" t="n"/>
      <c r="D2967" s="8" t="n"/>
      <c r="E2967" s="6" t="n"/>
      <c r="F2967" s="6" t="n"/>
      <c r="G2967" s="6" t="n"/>
      <c r="H2967" s="6" t="n"/>
      <c r="I2967" s="12">
        <f>IF($B2967="","",IF(COUNTIF(Ventes_Factures!$A$6:$A$3005,$B2967)&gt;0,"OK","INCONNUE"))</f>
        <v/>
      </c>
      <c r="J2967" s="9">
        <f>IF($D2967="","",ROUND($D2967,2))</f>
        <v/>
      </c>
    </row>
    <row r="2968">
      <c r="A2968" s="6" t="n"/>
      <c r="B2968" s="6" t="n"/>
      <c r="C2968" s="7" t="n"/>
      <c r="D2968" s="8" t="n"/>
      <c r="E2968" s="6" t="n"/>
      <c r="F2968" s="6" t="n"/>
      <c r="G2968" s="6" t="n"/>
      <c r="H2968" s="6" t="n"/>
      <c r="I2968" s="12">
        <f>IF($B2968="","",IF(COUNTIF(Ventes_Factures!$A$6:$A$3005,$B2968)&gt;0,"OK","INCONNUE"))</f>
        <v/>
      </c>
      <c r="J2968" s="9">
        <f>IF($D2968="","",ROUND($D2968,2))</f>
        <v/>
      </c>
    </row>
    <row r="2969">
      <c r="A2969" s="6" t="n"/>
      <c r="B2969" s="6" t="n"/>
      <c r="C2969" s="7" t="n"/>
      <c r="D2969" s="8" t="n"/>
      <c r="E2969" s="6" t="n"/>
      <c r="F2969" s="6" t="n"/>
      <c r="G2969" s="6" t="n"/>
      <c r="H2969" s="6" t="n"/>
      <c r="I2969" s="12">
        <f>IF($B2969="","",IF(COUNTIF(Ventes_Factures!$A$6:$A$3005,$B2969)&gt;0,"OK","INCONNUE"))</f>
        <v/>
      </c>
      <c r="J2969" s="9">
        <f>IF($D2969="","",ROUND($D2969,2))</f>
        <v/>
      </c>
    </row>
    <row r="2970">
      <c r="A2970" s="6" t="n"/>
      <c r="B2970" s="6" t="n"/>
      <c r="C2970" s="7" t="n"/>
      <c r="D2970" s="8" t="n"/>
      <c r="E2970" s="6" t="n"/>
      <c r="F2970" s="6" t="n"/>
      <c r="G2970" s="6" t="n"/>
      <c r="H2970" s="6" t="n"/>
      <c r="I2970" s="12">
        <f>IF($B2970="","",IF(COUNTIF(Ventes_Factures!$A$6:$A$3005,$B2970)&gt;0,"OK","INCONNUE"))</f>
        <v/>
      </c>
      <c r="J2970" s="9">
        <f>IF($D2970="","",ROUND($D2970,2))</f>
        <v/>
      </c>
    </row>
    <row r="2971">
      <c r="A2971" s="6" t="n"/>
      <c r="B2971" s="6" t="n"/>
      <c r="C2971" s="7" t="n"/>
      <c r="D2971" s="8" t="n"/>
      <c r="E2971" s="6" t="n"/>
      <c r="F2971" s="6" t="n"/>
      <c r="G2971" s="6" t="n"/>
      <c r="H2971" s="6" t="n"/>
      <c r="I2971" s="12">
        <f>IF($B2971="","",IF(COUNTIF(Ventes_Factures!$A$6:$A$3005,$B2971)&gt;0,"OK","INCONNUE"))</f>
        <v/>
      </c>
      <c r="J2971" s="9">
        <f>IF($D2971="","",ROUND($D2971,2))</f>
        <v/>
      </c>
    </row>
    <row r="2972">
      <c r="A2972" s="6" t="n"/>
      <c r="B2972" s="6" t="n"/>
      <c r="C2972" s="7" t="n"/>
      <c r="D2972" s="8" t="n"/>
      <c r="E2972" s="6" t="n"/>
      <c r="F2972" s="6" t="n"/>
      <c r="G2972" s="6" t="n"/>
      <c r="H2972" s="6" t="n"/>
      <c r="I2972" s="12">
        <f>IF($B2972="","",IF(COUNTIF(Ventes_Factures!$A$6:$A$3005,$B2972)&gt;0,"OK","INCONNUE"))</f>
        <v/>
      </c>
      <c r="J2972" s="9">
        <f>IF($D2972="","",ROUND($D2972,2))</f>
        <v/>
      </c>
    </row>
    <row r="2973">
      <c r="A2973" s="6" t="n"/>
      <c r="B2973" s="6" t="n"/>
      <c r="C2973" s="7" t="n"/>
      <c r="D2973" s="8" t="n"/>
      <c r="E2973" s="6" t="n"/>
      <c r="F2973" s="6" t="n"/>
      <c r="G2973" s="6" t="n"/>
      <c r="H2973" s="6" t="n"/>
      <c r="I2973" s="12">
        <f>IF($B2973="","",IF(COUNTIF(Ventes_Factures!$A$6:$A$3005,$B2973)&gt;0,"OK","INCONNUE"))</f>
        <v/>
      </c>
      <c r="J2973" s="9">
        <f>IF($D2973="","",ROUND($D2973,2))</f>
        <v/>
      </c>
    </row>
    <row r="2974">
      <c r="A2974" s="6" t="n"/>
      <c r="B2974" s="6" t="n"/>
      <c r="C2974" s="7" t="n"/>
      <c r="D2974" s="8" t="n"/>
      <c r="E2974" s="6" t="n"/>
      <c r="F2974" s="6" t="n"/>
      <c r="G2974" s="6" t="n"/>
      <c r="H2974" s="6" t="n"/>
      <c r="I2974" s="12">
        <f>IF($B2974="","",IF(COUNTIF(Ventes_Factures!$A$6:$A$3005,$B2974)&gt;0,"OK","INCONNUE"))</f>
        <v/>
      </c>
      <c r="J2974" s="9">
        <f>IF($D2974="","",ROUND($D2974,2))</f>
        <v/>
      </c>
    </row>
    <row r="2975">
      <c r="A2975" s="6" t="n"/>
      <c r="B2975" s="6" t="n"/>
      <c r="C2975" s="7" t="n"/>
      <c r="D2975" s="8" t="n"/>
      <c r="E2975" s="6" t="n"/>
      <c r="F2975" s="6" t="n"/>
      <c r="G2975" s="6" t="n"/>
      <c r="H2975" s="6" t="n"/>
      <c r="I2975" s="12">
        <f>IF($B2975="","",IF(COUNTIF(Ventes_Factures!$A$6:$A$3005,$B2975)&gt;0,"OK","INCONNUE"))</f>
        <v/>
      </c>
      <c r="J2975" s="9">
        <f>IF($D2975="","",ROUND($D2975,2))</f>
        <v/>
      </c>
    </row>
    <row r="2976">
      <c r="A2976" s="6" t="n"/>
      <c r="B2976" s="6" t="n"/>
      <c r="C2976" s="7" t="n"/>
      <c r="D2976" s="8" t="n"/>
      <c r="E2976" s="6" t="n"/>
      <c r="F2976" s="6" t="n"/>
      <c r="G2976" s="6" t="n"/>
      <c r="H2976" s="6" t="n"/>
      <c r="I2976" s="12">
        <f>IF($B2976="","",IF(COUNTIF(Ventes_Factures!$A$6:$A$3005,$B2976)&gt;0,"OK","INCONNUE"))</f>
        <v/>
      </c>
      <c r="J2976" s="9">
        <f>IF($D2976="","",ROUND($D2976,2))</f>
        <v/>
      </c>
    </row>
    <row r="2977">
      <c r="A2977" s="6" t="n"/>
      <c r="B2977" s="6" t="n"/>
      <c r="C2977" s="7" t="n"/>
      <c r="D2977" s="8" t="n"/>
      <c r="E2977" s="6" t="n"/>
      <c r="F2977" s="6" t="n"/>
      <c r="G2977" s="6" t="n"/>
      <c r="H2977" s="6" t="n"/>
      <c r="I2977" s="12">
        <f>IF($B2977="","",IF(COUNTIF(Ventes_Factures!$A$6:$A$3005,$B2977)&gt;0,"OK","INCONNUE"))</f>
        <v/>
      </c>
      <c r="J2977" s="9">
        <f>IF($D2977="","",ROUND($D2977,2))</f>
        <v/>
      </c>
    </row>
    <row r="2978">
      <c r="A2978" s="6" t="n"/>
      <c r="B2978" s="6" t="n"/>
      <c r="C2978" s="7" t="n"/>
      <c r="D2978" s="8" t="n"/>
      <c r="E2978" s="6" t="n"/>
      <c r="F2978" s="6" t="n"/>
      <c r="G2978" s="6" t="n"/>
      <c r="H2978" s="6" t="n"/>
      <c r="I2978" s="12">
        <f>IF($B2978="","",IF(COUNTIF(Ventes_Factures!$A$6:$A$3005,$B2978)&gt;0,"OK","INCONNUE"))</f>
        <v/>
      </c>
      <c r="J2978" s="9">
        <f>IF($D2978="","",ROUND($D2978,2))</f>
        <v/>
      </c>
    </row>
    <row r="2979">
      <c r="A2979" s="6" t="n"/>
      <c r="B2979" s="6" t="n"/>
      <c r="C2979" s="7" t="n"/>
      <c r="D2979" s="8" t="n"/>
      <c r="E2979" s="6" t="n"/>
      <c r="F2979" s="6" t="n"/>
      <c r="G2979" s="6" t="n"/>
      <c r="H2979" s="6" t="n"/>
      <c r="I2979" s="12">
        <f>IF($B2979="","",IF(COUNTIF(Ventes_Factures!$A$6:$A$3005,$B2979)&gt;0,"OK","INCONNUE"))</f>
        <v/>
      </c>
      <c r="J2979" s="9">
        <f>IF($D2979="","",ROUND($D2979,2))</f>
        <v/>
      </c>
    </row>
    <row r="2980">
      <c r="A2980" s="6" t="n"/>
      <c r="B2980" s="6" t="n"/>
      <c r="C2980" s="7" t="n"/>
      <c r="D2980" s="8" t="n"/>
      <c r="E2980" s="6" t="n"/>
      <c r="F2980" s="6" t="n"/>
      <c r="G2980" s="6" t="n"/>
      <c r="H2980" s="6" t="n"/>
      <c r="I2980" s="12">
        <f>IF($B2980="","",IF(COUNTIF(Ventes_Factures!$A$6:$A$3005,$B2980)&gt;0,"OK","INCONNUE"))</f>
        <v/>
      </c>
      <c r="J2980" s="9">
        <f>IF($D2980="","",ROUND($D2980,2))</f>
        <v/>
      </c>
    </row>
    <row r="2981">
      <c r="A2981" s="6" t="n"/>
      <c r="B2981" s="6" t="n"/>
      <c r="C2981" s="7" t="n"/>
      <c r="D2981" s="8" t="n"/>
      <c r="E2981" s="6" t="n"/>
      <c r="F2981" s="6" t="n"/>
      <c r="G2981" s="6" t="n"/>
      <c r="H2981" s="6" t="n"/>
      <c r="I2981" s="12">
        <f>IF($B2981="","",IF(COUNTIF(Ventes_Factures!$A$6:$A$3005,$B2981)&gt;0,"OK","INCONNUE"))</f>
        <v/>
      </c>
      <c r="J2981" s="9">
        <f>IF($D2981="","",ROUND($D2981,2))</f>
        <v/>
      </c>
    </row>
    <row r="2982">
      <c r="A2982" s="6" t="n"/>
      <c r="B2982" s="6" t="n"/>
      <c r="C2982" s="7" t="n"/>
      <c r="D2982" s="8" t="n"/>
      <c r="E2982" s="6" t="n"/>
      <c r="F2982" s="6" t="n"/>
      <c r="G2982" s="6" t="n"/>
      <c r="H2982" s="6" t="n"/>
      <c r="I2982" s="12">
        <f>IF($B2982="","",IF(COUNTIF(Ventes_Factures!$A$6:$A$3005,$B2982)&gt;0,"OK","INCONNUE"))</f>
        <v/>
      </c>
      <c r="J2982" s="9">
        <f>IF($D2982="","",ROUND($D2982,2))</f>
        <v/>
      </c>
    </row>
    <row r="2983">
      <c r="A2983" s="6" t="n"/>
      <c r="B2983" s="6" t="n"/>
      <c r="C2983" s="7" t="n"/>
      <c r="D2983" s="8" t="n"/>
      <c r="E2983" s="6" t="n"/>
      <c r="F2983" s="6" t="n"/>
      <c r="G2983" s="6" t="n"/>
      <c r="H2983" s="6" t="n"/>
      <c r="I2983" s="12">
        <f>IF($B2983="","",IF(COUNTIF(Ventes_Factures!$A$6:$A$3005,$B2983)&gt;0,"OK","INCONNUE"))</f>
        <v/>
      </c>
      <c r="J2983" s="9">
        <f>IF($D2983="","",ROUND($D2983,2))</f>
        <v/>
      </c>
    </row>
    <row r="2984">
      <c r="A2984" s="6" t="n"/>
      <c r="B2984" s="6" t="n"/>
      <c r="C2984" s="7" t="n"/>
      <c r="D2984" s="8" t="n"/>
      <c r="E2984" s="6" t="n"/>
      <c r="F2984" s="6" t="n"/>
      <c r="G2984" s="6" t="n"/>
      <c r="H2984" s="6" t="n"/>
      <c r="I2984" s="12">
        <f>IF($B2984="","",IF(COUNTIF(Ventes_Factures!$A$6:$A$3005,$B2984)&gt;0,"OK","INCONNUE"))</f>
        <v/>
      </c>
      <c r="J2984" s="9">
        <f>IF($D2984="","",ROUND($D2984,2))</f>
        <v/>
      </c>
    </row>
    <row r="2985">
      <c r="A2985" s="6" t="n"/>
      <c r="B2985" s="6" t="n"/>
      <c r="C2985" s="7" t="n"/>
      <c r="D2985" s="8" t="n"/>
      <c r="E2985" s="6" t="n"/>
      <c r="F2985" s="6" t="n"/>
      <c r="G2985" s="6" t="n"/>
      <c r="H2985" s="6" t="n"/>
      <c r="I2985" s="12">
        <f>IF($B2985="","",IF(COUNTIF(Ventes_Factures!$A$6:$A$3005,$B2985)&gt;0,"OK","INCONNUE"))</f>
        <v/>
      </c>
      <c r="J2985" s="9">
        <f>IF($D2985="","",ROUND($D2985,2))</f>
        <v/>
      </c>
    </row>
    <row r="2986">
      <c r="A2986" s="6" t="n"/>
      <c r="B2986" s="6" t="n"/>
      <c r="C2986" s="7" t="n"/>
      <c r="D2986" s="8" t="n"/>
      <c r="E2986" s="6" t="n"/>
      <c r="F2986" s="6" t="n"/>
      <c r="G2986" s="6" t="n"/>
      <c r="H2986" s="6" t="n"/>
      <c r="I2986" s="12">
        <f>IF($B2986="","",IF(COUNTIF(Ventes_Factures!$A$6:$A$3005,$B2986)&gt;0,"OK","INCONNUE"))</f>
        <v/>
      </c>
      <c r="J2986" s="9">
        <f>IF($D2986="","",ROUND($D2986,2))</f>
        <v/>
      </c>
    </row>
    <row r="2987">
      <c r="A2987" s="6" t="n"/>
      <c r="B2987" s="6" t="n"/>
      <c r="C2987" s="7" t="n"/>
      <c r="D2987" s="8" t="n"/>
      <c r="E2987" s="6" t="n"/>
      <c r="F2987" s="6" t="n"/>
      <c r="G2987" s="6" t="n"/>
      <c r="H2987" s="6" t="n"/>
      <c r="I2987" s="12">
        <f>IF($B2987="","",IF(COUNTIF(Ventes_Factures!$A$6:$A$3005,$B2987)&gt;0,"OK","INCONNUE"))</f>
        <v/>
      </c>
      <c r="J2987" s="9">
        <f>IF($D2987="","",ROUND($D2987,2))</f>
        <v/>
      </c>
    </row>
    <row r="2988">
      <c r="A2988" s="6" t="n"/>
      <c r="B2988" s="6" t="n"/>
      <c r="C2988" s="7" t="n"/>
      <c r="D2988" s="8" t="n"/>
      <c r="E2988" s="6" t="n"/>
      <c r="F2988" s="6" t="n"/>
      <c r="G2988" s="6" t="n"/>
      <c r="H2988" s="6" t="n"/>
      <c r="I2988" s="12">
        <f>IF($B2988="","",IF(COUNTIF(Ventes_Factures!$A$6:$A$3005,$B2988)&gt;0,"OK","INCONNUE"))</f>
        <v/>
      </c>
      <c r="J2988" s="9">
        <f>IF($D2988="","",ROUND($D2988,2))</f>
        <v/>
      </c>
    </row>
    <row r="2989">
      <c r="A2989" s="6" t="n"/>
      <c r="B2989" s="6" t="n"/>
      <c r="C2989" s="7" t="n"/>
      <c r="D2989" s="8" t="n"/>
      <c r="E2989" s="6" t="n"/>
      <c r="F2989" s="6" t="n"/>
      <c r="G2989" s="6" t="n"/>
      <c r="H2989" s="6" t="n"/>
      <c r="I2989" s="12">
        <f>IF($B2989="","",IF(COUNTIF(Ventes_Factures!$A$6:$A$3005,$B2989)&gt;0,"OK","INCONNUE"))</f>
        <v/>
      </c>
      <c r="J2989" s="9">
        <f>IF($D2989="","",ROUND($D2989,2))</f>
        <v/>
      </c>
    </row>
    <row r="2990">
      <c r="A2990" s="6" t="n"/>
      <c r="B2990" s="6" t="n"/>
      <c r="C2990" s="7" t="n"/>
      <c r="D2990" s="8" t="n"/>
      <c r="E2990" s="6" t="n"/>
      <c r="F2990" s="6" t="n"/>
      <c r="G2990" s="6" t="n"/>
      <c r="H2990" s="6" t="n"/>
      <c r="I2990" s="12">
        <f>IF($B2990="","",IF(COUNTIF(Ventes_Factures!$A$6:$A$3005,$B2990)&gt;0,"OK","INCONNUE"))</f>
        <v/>
      </c>
      <c r="J2990" s="9">
        <f>IF($D2990="","",ROUND($D2990,2))</f>
        <v/>
      </c>
    </row>
    <row r="2991">
      <c r="A2991" s="6" t="n"/>
      <c r="B2991" s="6" t="n"/>
      <c r="C2991" s="7" t="n"/>
      <c r="D2991" s="8" t="n"/>
      <c r="E2991" s="6" t="n"/>
      <c r="F2991" s="6" t="n"/>
      <c r="G2991" s="6" t="n"/>
      <c r="H2991" s="6" t="n"/>
      <c r="I2991" s="12">
        <f>IF($B2991="","",IF(COUNTIF(Ventes_Factures!$A$6:$A$3005,$B2991)&gt;0,"OK","INCONNUE"))</f>
        <v/>
      </c>
      <c r="J2991" s="9">
        <f>IF($D2991="","",ROUND($D2991,2))</f>
        <v/>
      </c>
    </row>
    <row r="2992">
      <c r="A2992" s="6" t="n"/>
      <c r="B2992" s="6" t="n"/>
      <c r="C2992" s="7" t="n"/>
      <c r="D2992" s="8" t="n"/>
      <c r="E2992" s="6" t="n"/>
      <c r="F2992" s="6" t="n"/>
      <c r="G2992" s="6" t="n"/>
      <c r="H2992" s="6" t="n"/>
      <c r="I2992" s="12">
        <f>IF($B2992="","",IF(COUNTIF(Ventes_Factures!$A$6:$A$3005,$B2992)&gt;0,"OK","INCONNUE"))</f>
        <v/>
      </c>
      <c r="J2992" s="9">
        <f>IF($D2992="","",ROUND($D2992,2))</f>
        <v/>
      </c>
    </row>
    <row r="2993">
      <c r="A2993" s="6" t="n"/>
      <c r="B2993" s="6" t="n"/>
      <c r="C2993" s="7" t="n"/>
      <c r="D2993" s="8" t="n"/>
      <c r="E2993" s="6" t="n"/>
      <c r="F2993" s="6" t="n"/>
      <c r="G2993" s="6" t="n"/>
      <c r="H2993" s="6" t="n"/>
      <c r="I2993" s="12">
        <f>IF($B2993="","",IF(COUNTIF(Ventes_Factures!$A$6:$A$3005,$B2993)&gt;0,"OK","INCONNUE"))</f>
        <v/>
      </c>
      <c r="J2993" s="9">
        <f>IF($D2993="","",ROUND($D2993,2))</f>
        <v/>
      </c>
    </row>
    <row r="2994">
      <c r="A2994" s="6" t="n"/>
      <c r="B2994" s="6" t="n"/>
      <c r="C2994" s="7" t="n"/>
      <c r="D2994" s="8" t="n"/>
      <c r="E2994" s="6" t="n"/>
      <c r="F2994" s="6" t="n"/>
      <c r="G2994" s="6" t="n"/>
      <c r="H2994" s="6" t="n"/>
      <c r="I2994" s="12">
        <f>IF($B2994="","",IF(COUNTIF(Ventes_Factures!$A$6:$A$3005,$B2994)&gt;0,"OK","INCONNUE"))</f>
        <v/>
      </c>
      <c r="J2994" s="9">
        <f>IF($D2994="","",ROUND($D2994,2))</f>
        <v/>
      </c>
    </row>
    <row r="2995">
      <c r="A2995" s="6" t="n"/>
      <c r="B2995" s="6" t="n"/>
      <c r="C2995" s="7" t="n"/>
      <c r="D2995" s="8" t="n"/>
      <c r="E2995" s="6" t="n"/>
      <c r="F2995" s="6" t="n"/>
      <c r="G2995" s="6" t="n"/>
      <c r="H2995" s="6" t="n"/>
      <c r="I2995" s="12">
        <f>IF($B2995="","",IF(COUNTIF(Ventes_Factures!$A$6:$A$3005,$B2995)&gt;0,"OK","INCONNUE"))</f>
        <v/>
      </c>
      <c r="J2995" s="9">
        <f>IF($D2995="","",ROUND($D2995,2))</f>
        <v/>
      </c>
    </row>
    <row r="2996">
      <c r="A2996" s="6" t="n"/>
      <c r="B2996" s="6" t="n"/>
      <c r="C2996" s="7" t="n"/>
      <c r="D2996" s="8" t="n"/>
      <c r="E2996" s="6" t="n"/>
      <c r="F2996" s="6" t="n"/>
      <c r="G2996" s="6" t="n"/>
      <c r="H2996" s="6" t="n"/>
      <c r="I2996" s="12">
        <f>IF($B2996="","",IF(COUNTIF(Ventes_Factures!$A$6:$A$3005,$B2996)&gt;0,"OK","INCONNUE"))</f>
        <v/>
      </c>
      <c r="J2996" s="9">
        <f>IF($D2996="","",ROUND($D2996,2))</f>
        <v/>
      </c>
    </row>
    <row r="2997">
      <c r="A2997" s="6" t="n"/>
      <c r="B2997" s="6" t="n"/>
      <c r="C2997" s="7" t="n"/>
      <c r="D2997" s="8" t="n"/>
      <c r="E2997" s="6" t="n"/>
      <c r="F2997" s="6" t="n"/>
      <c r="G2997" s="6" t="n"/>
      <c r="H2997" s="6" t="n"/>
      <c r="I2997" s="12">
        <f>IF($B2997="","",IF(COUNTIF(Ventes_Factures!$A$6:$A$3005,$B2997)&gt;0,"OK","INCONNUE"))</f>
        <v/>
      </c>
      <c r="J2997" s="9">
        <f>IF($D2997="","",ROUND($D2997,2))</f>
        <v/>
      </c>
    </row>
    <row r="2998">
      <c r="A2998" s="6" t="n"/>
      <c r="B2998" s="6" t="n"/>
      <c r="C2998" s="7" t="n"/>
      <c r="D2998" s="8" t="n"/>
      <c r="E2998" s="6" t="n"/>
      <c r="F2998" s="6" t="n"/>
      <c r="G2998" s="6" t="n"/>
      <c r="H2998" s="6" t="n"/>
      <c r="I2998" s="12">
        <f>IF($B2998="","",IF(COUNTIF(Ventes_Factures!$A$6:$A$3005,$B2998)&gt;0,"OK","INCONNUE"))</f>
        <v/>
      </c>
      <c r="J2998" s="9">
        <f>IF($D2998="","",ROUND($D2998,2))</f>
        <v/>
      </c>
    </row>
    <row r="2999">
      <c r="A2999" s="6" t="n"/>
      <c r="B2999" s="6" t="n"/>
      <c r="C2999" s="7" t="n"/>
      <c r="D2999" s="8" t="n"/>
      <c r="E2999" s="6" t="n"/>
      <c r="F2999" s="6" t="n"/>
      <c r="G2999" s="6" t="n"/>
      <c r="H2999" s="6" t="n"/>
      <c r="I2999" s="12">
        <f>IF($B2999="","",IF(COUNTIF(Ventes_Factures!$A$6:$A$3005,$B2999)&gt;0,"OK","INCONNUE"))</f>
        <v/>
      </c>
      <c r="J2999" s="9">
        <f>IF($D2999="","",ROUND($D2999,2))</f>
        <v/>
      </c>
    </row>
    <row r="3000">
      <c r="A3000" s="6" t="n"/>
      <c r="B3000" s="6" t="n"/>
      <c r="C3000" s="7" t="n"/>
      <c r="D3000" s="8" t="n"/>
      <c r="E3000" s="6" t="n"/>
      <c r="F3000" s="6" t="n"/>
      <c r="G3000" s="6" t="n"/>
      <c r="H3000" s="6" t="n"/>
      <c r="I3000" s="12">
        <f>IF($B3000="","",IF(COUNTIF(Ventes_Factures!$A$6:$A$3005,$B3000)&gt;0,"OK","INCONNUE"))</f>
        <v/>
      </c>
      <c r="J3000" s="9">
        <f>IF($D3000="","",ROUND($D3000,2))</f>
        <v/>
      </c>
    </row>
    <row r="3001">
      <c r="A3001" s="6" t="n"/>
      <c r="B3001" s="6" t="n"/>
      <c r="C3001" s="7" t="n"/>
      <c r="D3001" s="8" t="n"/>
      <c r="E3001" s="6" t="n"/>
      <c r="F3001" s="6" t="n"/>
      <c r="G3001" s="6" t="n"/>
      <c r="H3001" s="6" t="n"/>
      <c r="I3001" s="12">
        <f>IF($B3001="","",IF(COUNTIF(Ventes_Factures!$A$6:$A$3005,$B3001)&gt;0,"OK","INCONNUE"))</f>
        <v/>
      </c>
      <c r="J3001" s="9">
        <f>IF($D3001="","",ROUND($D3001,2))</f>
        <v/>
      </c>
    </row>
    <row r="3002">
      <c r="A3002" s="6" t="n"/>
      <c r="B3002" s="6" t="n"/>
      <c r="C3002" s="7" t="n"/>
      <c r="D3002" s="8" t="n"/>
      <c r="E3002" s="6" t="n"/>
      <c r="F3002" s="6" t="n"/>
      <c r="G3002" s="6" t="n"/>
      <c r="H3002" s="6" t="n"/>
      <c r="I3002" s="12">
        <f>IF($B3002="","",IF(COUNTIF(Ventes_Factures!$A$6:$A$3005,$B3002)&gt;0,"OK","INCONNUE"))</f>
        <v/>
      </c>
      <c r="J3002" s="9">
        <f>IF($D3002="","",ROUND($D3002,2))</f>
        <v/>
      </c>
    </row>
    <row r="3003">
      <c r="A3003" s="6" t="n"/>
      <c r="B3003" s="6" t="n"/>
      <c r="C3003" s="7" t="n"/>
      <c r="D3003" s="8" t="n"/>
      <c r="E3003" s="6" t="n"/>
      <c r="F3003" s="6" t="n"/>
      <c r="G3003" s="6" t="n"/>
      <c r="H3003" s="6" t="n"/>
      <c r="I3003" s="12">
        <f>IF($B3003="","",IF(COUNTIF(Ventes_Factures!$A$6:$A$3005,$B3003)&gt;0,"OK","INCONNUE"))</f>
        <v/>
      </c>
      <c r="J3003" s="9">
        <f>IF($D3003="","",ROUND($D3003,2))</f>
        <v/>
      </c>
    </row>
    <row r="3004">
      <c r="A3004" s="6" t="n"/>
      <c r="B3004" s="6" t="n"/>
      <c r="C3004" s="7" t="n"/>
      <c r="D3004" s="8" t="n"/>
      <c r="E3004" s="6" t="n"/>
      <c r="F3004" s="6" t="n"/>
      <c r="G3004" s="6" t="n"/>
      <c r="H3004" s="6" t="n"/>
      <c r="I3004" s="12">
        <f>IF($B3004="","",IF(COUNTIF(Ventes_Factures!$A$6:$A$3005,$B3004)&gt;0,"OK","INCONNUE"))</f>
        <v/>
      </c>
      <c r="J3004" s="9">
        <f>IF($D3004="","",ROUND($D3004,2))</f>
        <v/>
      </c>
    </row>
    <row r="3005">
      <c r="A3005" s="6" t="n"/>
      <c r="B3005" s="6" t="n"/>
      <c r="C3005" s="7" t="n"/>
      <c r="D3005" s="8" t="n"/>
      <c r="E3005" s="6" t="n"/>
      <c r="F3005" s="6" t="n"/>
      <c r="G3005" s="6" t="n"/>
      <c r="H3005" s="6" t="n"/>
      <c r="I3005" s="12">
        <f>IF($B3005="","",IF(COUNTIF(Ventes_Factures!$A$6:$A$3005,$B3005)&gt;0,"OK","INCONNUE"))</f>
        <v/>
      </c>
      <c r="J3005" s="9">
        <f>IF($D3005="","",ROUND($D3005,2))</f>
        <v/>
      </c>
    </row>
  </sheetData>
  <autoFilter ref="A5:J5"/>
  <mergeCells count="3">
    <mergeCell ref="A1:I1"/>
    <mergeCell ref="A3:I3"/>
    <mergeCell ref="A2:I2"/>
  </mergeCells>
  <conditionalFormatting sqref="A6:I3005">
    <cfRule type="expression" priority="1" dxfId="1">
      <formula>MOD(ROW()-6,2)=0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05"/>
  <sheetViews>
    <sheetView showGridLines="0" workbookViewId="0">
      <pane ySplit="5" topLeftCell="A6" activePane="bottomLeft" state="frozen"/>
      <selection pane="bottomLeft" activeCell="A1" sqref="A1:K1"/>
    </sheetView>
  </sheetViews>
  <sheetFormatPr baseColWidth="10" defaultColWidth="9.140625" defaultRowHeight="15"/>
  <cols>
    <col width="15" customWidth="1" style="24" min="1" max="4"/>
    <col width="40" customWidth="1" style="24" min="5" max="5"/>
    <col width="15" customWidth="1" style="24" min="6" max="8"/>
    <col width="18" customWidth="1" style="24" min="9" max="9"/>
    <col width="15" customWidth="1" style="24" min="10" max="10"/>
    <col width="40" customWidth="1" style="24" min="11" max="11"/>
    <col width="15" customWidth="1" style="24" min="13" max="14"/>
  </cols>
  <sheetData>
    <row r="1" ht="21" customHeight="1" s="24">
      <c r="A1" s="23" t="inlineStr">
        <is>
          <t>Consolidation bancaire — Test de rapprochement (Niveau 1)</t>
        </is>
      </c>
      <c r="M1" s="18" t="inlineStr">
        <is>
          <t>Résumé</t>
        </is>
      </c>
    </row>
    <row r="2">
      <c r="A2" s="26" t="inlineStr">
        <is>
          <t>But : coller/coller les mouvements du relevé bancaire (entrées) et vérifier s'ils correspondent à des encaissements saisis.</t>
        </is>
      </c>
      <c r="M2" s="3" t="inlineStr">
        <is>
          <t>Entrées</t>
        </is>
      </c>
      <c r="N2" s="15">
        <f>COUNTIF($G$6:$G$3005,"&gt;0")</f>
        <v/>
      </c>
    </row>
    <row r="3">
      <c r="A3" s="25" t="inlineStr">
        <is>
          <t>Matching : Banque + Montant (entrée) + Date opération ± 3 jours → Match / À vérifier / Non trouvé.</t>
        </is>
      </c>
      <c r="M3" s="3" t="inlineStr">
        <is>
          <t>Match</t>
        </is>
      </c>
      <c r="N3" s="15">
        <f>COUNTIF($I$6:$I$3005,"Match")</f>
        <v/>
      </c>
    </row>
    <row r="4" ht="30" customHeight="1" s="24">
      <c r="M4" s="3" t="inlineStr">
        <is>
          <t>À vérifier</t>
        </is>
      </c>
      <c r="N4" s="15">
        <f>COUNTIF($I$6:$I$3005,"À vérifier")</f>
        <v/>
      </c>
    </row>
    <row r="5" ht="30" customHeight="1" s="24">
      <c r="A5" s="22" t="inlineStr">
        <is>
          <t>ID Mouvement</t>
        </is>
      </c>
      <c r="B5" s="22" t="inlineStr">
        <is>
          <t>Banque / Compte</t>
        </is>
      </c>
      <c r="C5" s="22" t="inlineStr">
        <is>
          <t>Date opération</t>
        </is>
      </c>
      <c r="D5" s="22" t="inlineStr">
        <is>
          <t>Date valeur</t>
        </is>
      </c>
      <c r="E5" s="22" t="inlineStr">
        <is>
          <t>Libellé</t>
        </is>
      </c>
      <c r="F5" s="22" t="inlineStr">
        <is>
          <t>Montant (±)</t>
        </is>
      </c>
      <c r="G5" s="22" t="inlineStr">
        <is>
          <t>Montant entrée (+)</t>
        </is>
      </c>
      <c r="H5" s="22" t="inlineStr">
        <is>
          <t>Candidats</t>
        </is>
      </c>
      <c r="I5" s="22" t="inlineStr">
        <is>
          <t>Statut</t>
        </is>
      </c>
      <c r="J5" s="22" t="inlineStr">
        <is>
          <t>N° Facture (si match)</t>
        </is>
      </c>
      <c r="K5" s="22" t="inlineStr">
        <is>
          <t>Commentaire</t>
        </is>
      </c>
      <c r="M5" s="22" t="inlineStr">
        <is>
          <t>Non trouvé</t>
        </is>
      </c>
      <c r="N5" s="22">
        <f>COUNTIF($I$6:$I$3005,"Non trouvé")</f>
        <v/>
      </c>
    </row>
    <row r="6">
      <c r="A6" s="6" t="n"/>
      <c r="B6" s="6" t="n"/>
      <c r="C6" s="19" t="n"/>
      <c r="D6" s="19" t="n"/>
      <c r="E6" s="6" t="n"/>
      <c r="F6" s="20" t="n"/>
      <c r="G6" s="9">
        <f>IF($F6="","",IF($F6&gt;0,ROUND($F6,2),""))</f>
        <v/>
      </c>
      <c r="H6" s="12">
        <f>IF(OR($B6="",$C6="",$G6=""),"",COUNTIFS(Ventes_Encaissements!$E$6:$E$3005,$B6,Ventes_Encaissements!$J$6:$J$3005,$G6,Ventes_Encaissements!$C$6:$C$3005,"&gt;="&amp;($C6-3),Ventes_Encaissements!$C$6:$C$3005,"&lt;="&amp;($C6+3)))</f>
        <v/>
      </c>
      <c r="I6" s="12">
        <f>IF($H6="","",IF($H6=0,"Non trouvé",IF($H6=1,"Match","À vérifier")))</f>
        <v/>
      </c>
      <c r="J6" s="21">
        <f>IF($I6&lt;&gt;"Match","",INDEX(Ventes_Encaissements!$B$6:$B$3005,_xludf.AGGREGATE(15,6,(ROW(Ventes_Encaissements!$B$6:$B$3005)-ROW(Ventes_Encaissements!$B$6)+1)/((Ventes_Encaissements!$E$6:$E$3005=$B6)*(Ventes_Encaissements!$J$6:$J$3005=$G6)*(Ventes_Encaissements!$C$6:$C$3005&gt;=$C6-3)*(Ventes_Encaissements!$C$6:$C$3005&lt;=$C6+3)),1)))</f>
        <v/>
      </c>
      <c r="K6" s="6" t="n"/>
    </row>
    <row r="7">
      <c r="A7" s="6" t="n"/>
      <c r="B7" s="6" t="n"/>
      <c r="C7" s="19" t="n"/>
      <c r="D7" s="19" t="n"/>
      <c r="E7" s="6" t="n"/>
      <c r="F7" s="20" t="n"/>
      <c r="G7" s="9">
        <f>IF($F7="","",IF($F7&gt;0,ROUND($F7,2),""))</f>
        <v/>
      </c>
      <c r="H7" s="12">
        <f>IF(OR($B7="",$C7="",$G7=""),"",COUNTIFS(Ventes_Encaissements!$E$6:$E$3005,$B7,Ventes_Encaissements!$J$6:$J$3005,$G7,Ventes_Encaissements!$C$6:$C$3005,"&gt;="&amp;($C7-3),Ventes_Encaissements!$C$6:$C$3005,"&lt;="&amp;($C7+3)))</f>
        <v/>
      </c>
      <c r="I7" s="12">
        <f>IF($H7="","",IF($H7=0,"Non trouvé",IF($H7=1,"Match","À vérifier")))</f>
        <v/>
      </c>
      <c r="J7" s="21">
        <f>IF($I7&lt;&gt;"Match","",INDEX(Ventes_Encaissements!$B$6:$B$3005,_xludf.AGGREGATE(15,6,(ROW(Ventes_Encaissements!$B$6:$B$3005)-ROW(Ventes_Encaissements!$B$6)+1)/((Ventes_Encaissements!$E$6:$E$3005=$B7)*(Ventes_Encaissements!$J$6:$J$3005=$G7)*(Ventes_Encaissements!$C$6:$C$3005&gt;=$C7-3)*(Ventes_Encaissements!$C$6:$C$3005&lt;=$C7+3)),1)))</f>
        <v/>
      </c>
      <c r="K7" s="6" t="n"/>
    </row>
    <row r="8">
      <c r="A8" s="6" t="n"/>
      <c r="B8" s="6" t="n"/>
      <c r="C8" s="19" t="n"/>
      <c r="D8" s="19" t="n"/>
      <c r="E8" s="6" t="n"/>
      <c r="F8" s="20" t="n"/>
      <c r="G8" s="9">
        <f>IF($F8="","",IF($F8&gt;0,ROUND($F8,2),""))</f>
        <v/>
      </c>
      <c r="H8" s="12">
        <f>IF(OR($B8="",$C8="",$G8=""),"",COUNTIFS(Ventes_Encaissements!$E$6:$E$3005,$B8,Ventes_Encaissements!$J$6:$J$3005,$G8,Ventes_Encaissements!$C$6:$C$3005,"&gt;="&amp;($C8-3),Ventes_Encaissements!$C$6:$C$3005,"&lt;="&amp;($C8+3)))</f>
        <v/>
      </c>
      <c r="I8" s="12">
        <f>IF($H8="","",IF($H8=0,"Non trouvé",IF($H8=1,"Match","À vérifier")))</f>
        <v/>
      </c>
      <c r="J8" s="21">
        <f>IF($I8&lt;&gt;"Match","",INDEX(Ventes_Encaissements!$B$6:$B$3005,_xludf.AGGREGATE(15,6,(ROW(Ventes_Encaissements!$B$6:$B$3005)-ROW(Ventes_Encaissements!$B$6)+1)/((Ventes_Encaissements!$E$6:$E$3005=$B8)*(Ventes_Encaissements!$J$6:$J$3005=$G8)*(Ventes_Encaissements!$C$6:$C$3005&gt;=$C8-3)*(Ventes_Encaissements!$C$6:$C$3005&lt;=$C8+3)),1)))</f>
        <v/>
      </c>
      <c r="K8" s="6" t="n"/>
    </row>
    <row r="9">
      <c r="A9" s="6" t="n"/>
      <c r="B9" s="6" t="n"/>
      <c r="C9" s="19" t="n"/>
      <c r="D9" s="19" t="n"/>
      <c r="E9" s="6" t="n"/>
      <c r="F9" s="20" t="n"/>
      <c r="G9" s="9">
        <f>IF($F9="","",IF($F9&gt;0,ROUND($F9,2),""))</f>
        <v/>
      </c>
      <c r="H9" s="12">
        <f>IF(OR($B9="",$C9="",$G9=""),"",COUNTIFS(Ventes_Encaissements!$E$6:$E$3005,$B9,Ventes_Encaissements!$J$6:$J$3005,$G9,Ventes_Encaissements!$C$6:$C$3005,"&gt;="&amp;($C9-3),Ventes_Encaissements!$C$6:$C$3005,"&lt;="&amp;($C9+3)))</f>
        <v/>
      </c>
      <c r="I9" s="12">
        <f>IF($H9="","",IF($H9=0,"Non trouvé",IF($H9=1,"Match","À vérifier")))</f>
        <v/>
      </c>
      <c r="J9" s="21">
        <f>IF($I9&lt;&gt;"Match","",INDEX(Ventes_Encaissements!$B$6:$B$3005,_xludf.AGGREGATE(15,6,(ROW(Ventes_Encaissements!$B$6:$B$3005)-ROW(Ventes_Encaissements!$B$6)+1)/((Ventes_Encaissements!$E$6:$E$3005=$B9)*(Ventes_Encaissements!$J$6:$J$3005=$G9)*(Ventes_Encaissements!$C$6:$C$3005&gt;=$C9-3)*(Ventes_Encaissements!$C$6:$C$3005&lt;=$C9+3)),1)))</f>
        <v/>
      </c>
      <c r="K9" s="6" t="n"/>
    </row>
    <row r="10">
      <c r="A10" s="6" t="n"/>
      <c r="B10" s="6" t="n"/>
      <c r="C10" s="19" t="n"/>
      <c r="D10" s="19" t="n"/>
      <c r="E10" s="6" t="n"/>
      <c r="F10" s="20" t="n"/>
      <c r="G10" s="9">
        <f>IF($F10="","",IF($F10&gt;0,ROUND($F10,2),""))</f>
        <v/>
      </c>
      <c r="H10" s="12">
        <f>IF(OR($B10="",$C10="",$G10=""),"",COUNTIFS(Ventes_Encaissements!$E$6:$E$3005,$B10,Ventes_Encaissements!$J$6:$J$3005,$G10,Ventes_Encaissements!$C$6:$C$3005,"&gt;="&amp;($C10-3),Ventes_Encaissements!$C$6:$C$3005,"&lt;="&amp;($C10+3)))</f>
        <v/>
      </c>
      <c r="I10" s="12">
        <f>IF($H10="","",IF($H10=0,"Non trouvé",IF($H10=1,"Match","À vérifier")))</f>
        <v/>
      </c>
      <c r="J10" s="21">
        <f>IF($I10&lt;&gt;"Match","",INDEX(Ventes_Encaissements!$B$6:$B$3005,_xludf.AGGREGATE(15,6,(ROW(Ventes_Encaissements!$B$6:$B$3005)-ROW(Ventes_Encaissements!$B$6)+1)/((Ventes_Encaissements!$E$6:$E$3005=$B10)*(Ventes_Encaissements!$J$6:$J$3005=$G10)*(Ventes_Encaissements!$C$6:$C$3005&gt;=$C10-3)*(Ventes_Encaissements!$C$6:$C$3005&lt;=$C10+3)),1)))</f>
        <v/>
      </c>
      <c r="K10" s="6" t="n"/>
    </row>
    <row r="11">
      <c r="A11" s="6" t="n"/>
      <c r="B11" s="6" t="n"/>
      <c r="C11" s="19" t="n"/>
      <c r="D11" s="19" t="n"/>
      <c r="E11" s="6" t="n"/>
      <c r="F11" s="20" t="n"/>
      <c r="G11" s="9">
        <f>IF($F11="","",IF($F11&gt;0,ROUND($F11,2),""))</f>
        <v/>
      </c>
      <c r="H11" s="12">
        <f>IF(OR($B11="",$C11="",$G11=""),"",COUNTIFS(Ventes_Encaissements!$E$6:$E$3005,$B11,Ventes_Encaissements!$J$6:$J$3005,$G11,Ventes_Encaissements!$C$6:$C$3005,"&gt;="&amp;($C11-3),Ventes_Encaissements!$C$6:$C$3005,"&lt;="&amp;($C11+3)))</f>
        <v/>
      </c>
      <c r="I11" s="12">
        <f>IF($H11="","",IF($H11=0,"Non trouvé",IF($H11=1,"Match","À vérifier")))</f>
        <v/>
      </c>
      <c r="J11" s="21">
        <f>IF($I11&lt;&gt;"Match","",INDEX(Ventes_Encaissements!$B$6:$B$3005,_xludf.AGGREGATE(15,6,(ROW(Ventes_Encaissements!$B$6:$B$3005)-ROW(Ventes_Encaissements!$B$6)+1)/((Ventes_Encaissements!$E$6:$E$3005=$B11)*(Ventes_Encaissements!$J$6:$J$3005=$G11)*(Ventes_Encaissements!$C$6:$C$3005&gt;=$C11-3)*(Ventes_Encaissements!$C$6:$C$3005&lt;=$C11+3)),1)))</f>
        <v/>
      </c>
      <c r="K11" s="6" t="n"/>
    </row>
    <row r="12">
      <c r="A12" s="6" t="n"/>
      <c r="B12" s="6" t="n"/>
      <c r="C12" s="19" t="n"/>
      <c r="D12" s="19" t="n"/>
      <c r="E12" s="6" t="n"/>
      <c r="F12" s="20" t="n"/>
      <c r="G12" s="9">
        <f>IF($F12="","",IF($F12&gt;0,ROUND($F12,2),""))</f>
        <v/>
      </c>
      <c r="H12" s="12">
        <f>IF(OR($B12="",$C12="",$G12=""),"",COUNTIFS(Ventes_Encaissements!$E$6:$E$3005,$B12,Ventes_Encaissements!$J$6:$J$3005,$G12,Ventes_Encaissements!$C$6:$C$3005,"&gt;="&amp;($C12-3),Ventes_Encaissements!$C$6:$C$3005,"&lt;="&amp;($C12+3)))</f>
        <v/>
      </c>
      <c r="I12" s="12">
        <f>IF($H12="","",IF($H12=0,"Non trouvé",IF($H12=1,"Match","À vérifier")))</f>
        <v/>
      </c>
      <c r="J12" s="21">
        <f>IF($I12&lt;&gt;"Match","",INDEX(Ventes_Encaissements!$B$6:$B$3005,_xludf.AGGREGATE(15,6,(ROW(Ventes_Encaissements!$B$6:$B$3005)-ROW(Ventes_Encaissements!$B$6)+1)/((Ventes_Encaissements!$E$6:$E$3005=$B12)*(Ventes_Encaissements!$J$6:$J$3005=$G12)*(Ventes_Encaissements!$C$6:$C$3005&gt;=$C12-3)*(Ventes_Encaissements!$C$6:$C$3005&lt;=$C12+3)),1)))</f>
        <v/>
      </c>
      <c r="K12" s="6" t="n"/>
    </row>
    <row r="13">
      <c r="A13" s="6" t="n"/>
      <c r="B13" s="6" t="n"/>
      <c r="C13" s="19" t="n"/>
      <c r="D13" s="19" t="n"/>
      <c r="E13" s="6" t="n"/>
      <c r="F13" s="20" t="n"/>
      <c r="G13" s="9">
        <f>IF($F13="","",IF($F13&gt;0,ROUND($F13,2),""))</f>
        <v/>
      </c>
      <c r="H13" s="12">
        <f>IF(OR($B13="",$C13="",$G13=""),"",COUNTIFS(Ventes_Encaissements!$E$6:$E$3005,$B13,Ventes_Encaissements!$J$6:$J$3005,$G13,Ventes_Encaissements!$C$6:$C$3005,"&gt;="&amp;($C13-3),Ventes_Encaissements!$C$6:$C$3005,"&lt;="&amp;($C13+3)))</f>
        <v/>
      </c>
      <c r="I13" s="12">
        <f>IF($H13="","",IF($H13=0,"Non trouvé",IF($H13=1,"Match","À vérifier")))</f>
        <v/>
      </c>
      <c r="J13" s="21">
        <f>IF($I13&lt;&gt;"Match","",INDEX(Ventes_Encaissements!$B$6:$B$3005,_xludf.AGGREGATE(15,6,(ROW(Ventes_Encaissements!$B$6:$B$3005)-ROW(Ventes_Encaissements!$B$6)+1)/((Ventes_Encaissements!$E$6:$E$3005=$B13)*(Ventes_Encaissements!$J$6:$J$3005=$G13)*(Ventes_Encaissements!$C$6:$C$3005&gt;=$C13-3)*(Ventes_Encaissements!$C$6:$C$3005&lt;=$C13+3)),1)))</f>
        <v/>
      </c>
      <c r="K13" s="6" t="n"/>
    </row>
    <row r="14">
      <c r="A14" s="6" t="n"/>
      <c r="B14" s="6" t="n"/>
      <c r="C14" s="19" t="n"/>
      <c r="D14" s="19" t="n"/>
      <c r="E14" s="6" t="n"/>
      <c r="F14" s="20" t="n"/>
      <c r="G14" s="9">
        <f>IF($F14="","",IF($F14&gt;0,ROUND($F14,2),""))</f>
        <v/>
      </c>
      <c r="H14" s="12">
        <f>IF(OR($B14="",$C14="",$G14=""),"",COUNTIFS(Ventes_Encaissements!$E$6:$E$3005,$B14,Ventes_Encaissements!$J$6:$J$3005,$G14,Ventes_Encaissements!$C$6:$C$3005,"&gt;="&amp;($C14-3),Ventes_Encaissements!$C$6:$C$3005,"&lt;="&amp;($C14+3)))</f>
        <v/>
      </c>
      <c r="I14" s="12">
        <f>IF($H14="","",IF($H14=0,"Non trouvé",IF($H14=1,"Match","À vérifier")))</f>
        <v/>
      </c>
      <c r="J14" s="21">
        <f>IF($I14&lt;&gt;"Match","",INDEX(Ventes_Encaissements!$B$6:$B$3005,_xludf.AGGREGATE(15,6,(ROW(Ventes_Encaissements!$B$6:$B$3005)-ROW(Ventes_Encaissements!$B$6)+1)/((Ventes_Encaissements!$E$6:$E$3005=$B14)*(Ventes_Encaissements!$J$6:$J$3005=$G14)*(Ventes_Encaissements!$C$6:$C$3005&gt;=$C14-3)*(Ventes_Encaissements!$C$6:$C$3005&lt;=$C14+3)),1)))</f>
        <v/>
      </c>
      <c r="K14" s="6" t="n"/>
    </row>
    <row r="15">
      <c r="A15" s="6" t="n"/>
      <c r="B15" s="6" t="n"/>
      <c r="C15" s="19" t="n"/>
      <c r="D15" s="19" t="n"/>
      <c r="E15" s="6" t="n"/>
      <c r="F15" s="20" t="n"/>
      <c r="G15" s="9">
        <f>IF($F15="","",IF($F15&gt;0,ROUND($F15,2),""))</f>
        <v/>
      </c>
      <c r="H15" s="12">
        <f>IF(OR($B15="",$C15="",$G15=""),"",COUNTIFS(Ventes_Encaissements!$E$6:$E$3005,$B15,Ventes_Encaissements!$J$6:$J$3005,$G15,Ventes_Encaissements!$C$6:$C$3005,"&gt;="&amp;($C15-3),Ventes_Encaissements!$C$6:$C$3005,"&lt;="&amp;($C15+3)))</f>
        <v/>
      </c>
      <c r="I15" s="12">
        <f>IF($H15="","",IF($H15=0,"Non trouvé",IF($H15=1,"Match","À vérifier")))</f>
        <v/>
      </c>
      <c r="J15" s="21">
        <f>IF($I15&lt;&gt;"Match","",INDEX(Ventes_Encaissements!$B$6:$B$3005,_xludf.AGGREGATE(15,6,(ROW(Ventes_Encaissements!$B$6:$B$3005)-ROW(Ventes_Encaissements!$B$6)+1)/((Ventes_Encaissements!$E$6:$E$3005=$B15)*(Ventes_Encaissements!$J$6:$J$3005=$G15)*(Ventes_Encaissements!$C$6:$C$3005&gt;=$C15-3)*(Ventes_Encaissements!$C$6:$C$3005&lt;=$C15+3)),1)))</f>
        <v/>
      </c>
      <c r="K15" s="6" t="n"/>
    </row>
    <row r="16">
      <c r="A16" s="6" t="n"/>
      <c r="B16" s="6" t="n"/>
      <c r="C16" s="19" t="n"/>
      <c r="D16" s="19" t="n"/>
      <c r="E16" s="6" t="n"/>
      <c r="F16" s="20" t="n"/>
      <c r="G16" s="9">
        <f>IF($F16="","",IF($F16&gt;0,ROUND($F16,2),""))</f>
        <v/>
      </c>
      <c r="H16" s="12">
        <f>IF(OR($B16="",$C16="",$G16=""),"",COUNTIFS(Ventes_Encaissements!$E$6:$E$3005,$B16,Ventes_Encaissements!$J$6:$J$3005,$G16,Ventes_Encaissements!$C$6:$C$3005,"&gt;="&amp;($C16-3),Ventes_Encaissements!$C$6:$C$3005,"&lt;="&amp;($C16+3)))</f>
        <v/>
      </c>
      <c r="I16" s="12">
        <f>IF($H16="","",IF($H16=0,"Non trouvé",IF($H16=1,"Match","À vérifier")))</f>
        <v/>
      </c>
      <c r="J16" s="21">
        <f>IF($I16&lt;&gt;"Match","",INDEX(Ventes_Encaissements!$B$6:$B$3005,_xludf.AGGREGATE(15,6,(ROW(Ventes_Encaissements!$B$6:$B$3005)-ROW(Ventes_Encaissements!$B$6)+1)/((Ventes_Encaissements!$E$6:$E$3005=$B16)*(Ventes_Encaissements!$J$6:$J$3005=$G16)*(Ventes_Encaissements!$C$6:$C$3005&gt;=$C16-3)*(Ventes_Encaissements!$C$6:$C$3005&lt;=$C16+3)),1)))</f>
        <v/>
      </c>
      <c r="K16" s="6" t="n"/>
    </row>
    <row r="17">
      <c r="A17" s="6" t="n"/>
      <c r="B17" s="6" t="n"/>
      <c r="C17" s="19" t="n"/>
      <c r="D17" s="19" t="n"/>
      <c r="E17" s="6" t="n"/>
      <c r="F17" s="20" t="n"/>
      <c r="G17" s="9">
        <f>IF($F17="","",IF($F17&gt;0,ROUND($F17,2),""))</f>
        <v/>
      </c>
      <c r="H17" s="12">
        <f>IF(OR($B17="",$C17="",$G17=""),"",COUNTIFS(Ventes_Encaissements!$E$6:$E$3005,$B17,Ventes_Encaissements!$J$6:$J$3005,$G17,Ventes_Encaissements!$C$6:$C$3005,"&gt;="&amp;($C17-3),Ventes_Encaissements!$C$6:$C$3005,"&lt;="&amp;($C17+3)))</f>
        <v/>
      </c>
      <c r="I17" s="12">
        <f>IF($H17="","",IF($H17=0,"Non trouvé",IF($H17=1,"Match","À vérifier")))</f>
        <v/>
      </c>
      <c r="J17" s="21">
        <f>IF($I17&lt;&gt;"Match","",INDEX(Ventes_Encaissements!$B$6:$B$3005,_xludf.AGGREGATE(15,6,(ROW(Ventes_Encaissements!$B$6:$B$3005)-ROW(Ventes_Encaissements!$B$6)+1)/((Ventes_Encaissements!$E$6:$E$3005=$B17)*(Ventes_Encaissements!$J$6:$J$3005=$G17)*(Ventes_Encaissements!$C$6:$C$3005&gt;=$C17-3)*(Ventes_Encaissements!$C$6:$C$3005&lt;=$C17+3)),1)))</f>
        <v/>
      </c>
      <c r="K17" s="6" t="n"/>
    </row>
    <row r="18">
      <c r="A18" s="6" t="n"/>
      <c r="B18" s="6" t="n"/>
      <c r="C18" s="19" t="n"/>
      <c r="D18" s="19" t="n"/>
      <c r="E18" s="6" t="n"/>
      <c r="F18" s="20" t="n"/>
      <c r="G18" s="9">
        <f>IF($F18="","",IF($F18&gt;0,ROUND($F18,2),""))</f>
        <v/>
      </c>
      <c r="H18" s="12">
        <f>IF(OR($B18="",$C18="",$G18=""),"",COUNTIFS(Ventes_Encaissements!$E$6:$E$3005,$B18,Ventes_Encaissements!$J$6:$J$3005,$G18,Ventes_Encaissements!$C$6:$C$3005,"&gt;="&amp;($C18-3),Ventes_Encaissements!$C$6:$C$3005,"&lt;="&amp;($C18+3)))</f>
        <v/>
      </c>
      <c r="I18" s="12">
        <f>IF($H18="","",IF($H18=0,"Non trouvé",IF($H18=1,"Match","À vérifier")))</f>
        <v/>
      </c>
      <c r="J18" s="21">
        <f>IF($I18&lt;&gt;"Match","",INDEX(Ventes_Encaissements!$B$6:$B$3005,_xludf.AGGREGATE(15,6,(ROW(Ventes_Encaissements!$B$6:$B$3005)-ROW(Ventes_Encaissements!$B$6)+1)/((Ventes_Encaissements!$E$6:$E$3005=$B18)*(Ventes_Encaissements!$J$6:$J$3005=$G18)*(Ventes_Encaissements!$C$6:$C$3005&gt;=$C18-3)*(Ventes_Encaissements!$C$6:$C$3005&lt;=$C18+3)),1)))</f>
        <v/>
      </c>
      <c r="K18" s="6" t="n"/>
    </row>
    <row r="19">
      <c r="A19" s="6" t="n"/>
      <c r="B19" s="6" t="n"/>
      <c r="C19" s="19" t="n"/>
      <c r="D19" s="19" t="n"/>
      <c r="E19" s="6" t="n"/>
      <c r="F19" s="20" t="n"/>
      <c r="G19" s="9">
        <f>IF($F19="","",IF($F19&gt;0,ROUND($F19,2),""))</f>
        <v/>
      </c>
      <c r="H19" s="12">
        <f>IF(OR($B19="",$C19="",$G19=""),"",COUNTIFS(Ventes_Encaissements!$E$6:$E$3005,$B19,Ventes_Encaissements!$J$6:$J$3005,$G19,Ventes_Encaissements!$C$6:$C$3005,"&gt;="&amp;($C19-3),Ventes_Encaissements!$C$6:$C$3005,"&lt;="&amp;($C19+3)))</f>
        <v/>
      </c>
      <c r="I19" s="12">
        <f>IF($H19="","",IF($H19=0,"Non trouvé",IF($H19=1,"Match","À vérifier")))</f>
        <v/>
      </c>
      <c r="J19" s="21">
        <f>IF($I19&lt;&gt;"Match","",INDEX(Ventes_Encaissements!$B$6:$B$3005,_xludf.AGGREGATE(15,6,(ROW(Ventes_Encaissements!$B$6:$B$3005)-ROW(Ventes_Encaissements!$B$6)+1)/((Ventes_Encaissements!$E$6:$E$3005=$B19)*(Ventes_Encaissements!$J$6:$J$3005=$G19)*(Ventes_Encaissements!$C$6:$C$3005&gt;=$C19-3)*(Ventes_Encaissements!$C$6:$C$3005&lt;=$C19+3)),1)))</f>
        <v/>
      </c>
      <c r="K19" s="6" t="n"/>
    </row>
    <row r="20">
      <c r="A20" s="6" t="n"/>
      <c r="B20" s="6" t="n"/>
      <c r="C20" s="19" t="n"/>
      <c r="D20" s="19" t="n"/>
      <c r="E20" s="6" t="n"/>
      <c r="F20" s="20" t="n"/>
      <c r="G20" s="9">
        <f>IF($F20="","",IF($F20&gt;0,ROUND($F20,2),""))</f>
        <v/>
      </c>
      <c r="H20" s="12">
        <f>IF(OR($B20="",$C20="",$G20=""),"",COUNTIFS(Ventes_Encaissements!$E$6:$E$3005,$B20,Ventes_Encaissements!$J$6:$J$3005,$G20,Ventes_Encaissements!$C$6:$C$3005,"&gt;="&amp;($C20-3),Ventes_Encaissements!$C$6:$C$3005,"&lt;="&amp;($C20+3)))</f>
        <v/>
      </c>
      <c r="I20" s="12">
        <f>IF($H20="","",IF($H20=0,"Non trouvé",IF($H20=1,"Match","À vérifier")))</f>
        <v/>
      </c>
      <c r="J20" s="21">
        <f>IF($I20&lt;&gt;"Match","",INDEX(Ventes_Encaissements!$B$6:$B$3005,_xludf.AGGREGATE(15,6,(ROW(Ventes_Encaissements!$B$6:$B$3005)-ROW(Ventes_Encaissements!$B$6)+1)/((Ventes_Encaissements!$E$6:$E$3005=$B20)*(Ventes_Encaissements!$J$6:$J$3005=$G20)*(Ventes_Encaissements!$C$6:$C$3005&gt;=$C20-3)*(Ventes_Encaissements!$C$6:$C$3005&lt;=$C20+3)),1)))</f>
        <v/>
      </c>
      <c r="K20" s="6" t="n"/>
    </row>
    <row r="21">
      <c r="A21" s="6" t="n"/>
      <c r="B21" s="6" t="n"/>
      <c r="C21" s="19" t="n"/>
      <c r="D21" s="19" t="n"/>
      <c r="E21" s="6" t="n"/>
      <c r="F21" s="20" t="n"/>
      <c r="G21" s="9">
        <f>IF($F21="","",IF($F21&gt;0,ROUND($F21,2),""))</f>
        <v/>
      </c>
      <c r="H21" s="12">
        <f>IF(OR($B21="",$C21="",$G21=""),"",COUNTIFS(Ventes_Encaissements!$E$6:$E$3005,$B21,Ventes_Encaissements!$J$6:$J$3005,$G21,Ventes_Encaissements!$C$6:$C$3005,"&gt;="&amp;($C21-3),Ventes_Encaissements!$C$6:$C$3005,"&lt;="&amp;($C21+3)))</f>
        <v/>
      </c>
      <c r="I21" s="12">
        <f>IF($H21="","",IF($H21=0,"Non trouvé",IF($H21=1,"Match","À vérifier")))</f>
        <v/>
      </c>
      <c r="J21" s="21">
        <f>IF($I21&lt;&gt;"Match","",INDEX(Ventes_Encaissements!$B$6:$B$3005,_xludf.AGGREGATE(15,6,(ROW(Ventes_Encaissements!$B$6:$B$3005)-ROW(Ventes_Encaissements!$B$6)+1)/((Ventes_Encaissements!$E$6:$E$3005=$B21)*(Ventes_Encaissements!$J$6:$J$3005=$G21)*(Ventes_Encaissements!$C$6:$C$3005&gt;=$C21-3)*(Ventes_Encaissements!$C$6:$C$3005&lt;=$C21+3)),1)))</f>
        <v/>
      </c>
      <c r="K21" s="6" t="n"/>
    </row>
    <row r="22">
      <c r="A22" s="6" t="n"/>
      <c r="B22" s="6" t="n"/>
      <c r="C22" s="19" t="n"/>
      <c r="D22" s="19" t="n"/>
      <c r="E22" s="6" t="n"/>
      <c r="F22" s="20" t="n"/>
      <c r="G22" s="9">
        <f>IF($F22="","",IF($F22&gt;0,ROUND($F22,2),""))</f>
        <v/>
      </c>
      <c r="H22" s="12">
        <f>IF(OR($B22="",$C22="",$G22=""),"",COUNTIFS(Ventes_Encaissements!$E$6:$E$3005,$B22,Ventes_Encaissements!$J$6:$J$3005,$G22,Ventes_Encaissements!$C$6:$C$3005,"&gt;="&amp;($C22-3),Ventes_Encaissements!$C$6:$C$3005,"&lt;="&amp;($C22+3)))</f>
        <v/>
      </c>
      <c r="I22" s="12">
        <f>IF($H22="","",IF($H22=0,"Non trouvé",IF($H22=1,"Match","À vérifier")))</f>
        <v/>
      </c>
      <c r="J22" s="21">
        <f>IF($I22&lt;&gt;"Match","",INDEX(Ventes_Encaissements!$B$6:$B$3005,_xludf.AGGREGATE(15,6,(ROW(Ventes_Encaissements!$B$6:$B$3005)-ROW(Ventes_Encaissements!$B$6)+1)/((Ventes_Encaissements!$E$6:$E$3005=$B22)*(Ventes_Encaissements!$J$6:$J$3005=$G22)*(Ventes_Encaissements!$C$6:$C$3005&gt;=$C22-3)*(Ventes_Encaissements!$C$6:$C$3005&lt;=$C22+3)),1)))</f>
        <v/>
      </c>
      <c r="K22" s="6" t="n"/>
    </row>
    <row r="23">
      <c r="A23" s="6" t="n"/>
      <c r="B23" s="6" t="n"/>
      <c r="C23" s="19" t="n"/>
      <c r="D23" s="19" t="n"/>
      <c r="E23" s="6" t="n"/>
      <c r="F23" s="20" t="n"/>
      <c r="G23" s="9">
        <f>IF($F23="","",IF($F23&gt;0,ROUND($F23,2),""))</f>
        <v/>
      </c>
      <c r="H23" s="12">
        <f>IF(OR($B23="",$C23="",$G23=""),"",COUNTIFS(Ventes_Encaissements!$E$6:$E$3005,$B23,Ventes_Encaissements!$J$6:$J$3005,$G23,Ventes_Encaissements!$C$6:$C$3005,"&gt;="&amp;($C23-3),Ventes_Encaissements!$C$6:$C$3005,"&lt;="&amp;($C23+3)))</f>
        <v/>
      </c>
      <c r="I23" s="12">
        <f>IF($H23="","",IF($H23=0,"Non trouvé",IF($H23=1,"Match","À vérifier")))</f>
        <v/>
      </c>
      <c r="J23" s="21">
        <f>IF($I23&lt;&gt;"Match","",INDEX(Ventes_Encaissements!$B$6:$B$3005,_xludf.AGGREGATE(15,6,(ROW(Ventes_Encaissements!$B$6:$B$3005)-ROW(Ventes_Encaissements!$B$6)+1)/((Ventes_Encaissements!$E$6:$E$3005=$B23)*(Ventes_Encaissements!$J$6:$J$3005=$G23)*(Ventes_Encaissements!$C$6:$C$3005&gt;=$C23-3)*(Ventes_Encaissements!$C$6:$C$3005&lt;=$C23+3)),1)))</f>
        <v/>
      </c>
      <c r="K23" s="6" t="n"/>
    </row>
    <row r="24">
      <c r="A24" s="6" t="n"/>
      <c r="B24" s="6" t="n"/>
      <c r="C24" s="19" t="n"/>
      <c r="D24" s="19" t="n"/>
      <c r="E24" s="6" t="n"/>
      <c r="F24" s="20" t="n"/>
      <c r="G24" s="9">
        <f>IF($F24="","",IF($F24&gt;0,ROUND($F24,2),""))</f>
        <v/>
      </c>
      <c r="H24" s="12">
        <f>IF(OR($B24="",$C24="",$G24=""),"",COUNTIFS(Ventes_Encaissements!$E$6:$E$3005,$B24,Ventes_Encaissements!$J$6:$J$3005,$G24,Ventes_Encaissements!$C$6:$C$3005,"&gt;="&amp;($C24-3),Ventes_Encaissements!$C$6:$C$3005,"&lt;="&amp;($C24+3)))</f>
        <v/>
      </c>
      <c r="I24" s="12">
        <f>IF($H24="","",IF($H24=0,"Non trouvé",IF($H24=1,"Match","À vérifier")))</f>
        <v/>
      </c>
      <c r="J24" s="21">
        <f>IF($I24&lt;&gt;"Match","",INDEX(Ventes_Encaissements!$B$6:$B$3005,_xludf.AGGREGATE(15,6,(ROW(Ventes_Encaissements!$B$6:$B$3005)-ROW(Ventes_Encaissements!$B$6)+1)/((Ventes_Encaissements!$E$6:$E$3005=$B24)*(Ventes_Encaissements!$J$6:$J$3005=$G24)*(Ventes_Encaissements!$C$6:$C$3005&gt;=$C24-3)*(Ventes_Encaissements!$C$6:$C$3005&lt;=$C24+3)),1)))</f>
        <v/>
      </c>
      <c r="K24" s="6" t="n"/>
    </row>
    <row r="25">
      <c r="A25" s="6" t="n"/>
      <c r="B25" s="6" t="n"/>
      <c r="C25" s="19" t="n"/>
      <c r="D25" s="19" t="n"/>
      <c r="E25" s="6" t="n"/>
      <c r="F25" s="20" t="n"/>
      <c r="G25" s="9">
        <f>IF($F25="","",IF($F25&gt;0,ROUND($F25,2),""))</f>
        <v/>
      </c>
      <c r="H25" s="12">
        <f>IF(OR($B25="",$C25="",$G25=""),"",COUNTIFS(Ventes_Encaissements!$E$6:$E$3005,$B25,Ventes_Encaissements!$J$6:$J$3005,$G25,Ventes_Encaissements!$C$6:$C$3005,"&gt;="&amp;($C25-3),Ventes_Encaissements!$C$6:$C$3005,"&lt;="&amp;($C25+3)))</f>
        <v/>
      </c>
      <c r="I25" s="12">
        <f>IF($H25="","",IF($H25=0,"Non trouvé",IF($H25=1,"Match","À vérifier")))</f>
        <v/>
      </c>
      <c r="J25" s="21">
        <f>IF($I25&lt;&gt;"Match","",INDEX(Ventes_Encaissements!$B$6:$B$3005,_xludf.AGGREGATE(15,6,(ROW(Ventes_Encaissements!$B$6:$B$3005)-ROW(Ventes_Encaissements!$B$6)+1)/((Ventes_Encaissements!$E$6:$E$3005=$B25)*(Ventes_Encaissements!$J$6:$J$3005=$G25)*(Ventes_Encaissements!$C$6:$C$3005&gt;=$C25-3)*(Ventes_Encaissements!$C$6:$C$3005&lt;=$C25+3)),1)))</f>
        <v/>
      </c>
      <c r="K25" s="6" t="n"/>
    </row>
    <row r="26">
      <c r="A26" s="6" t="n"/>
      <c r="B26" s="6" t="n"/>
      <c r="C26" s="19" t="n"/>
      <c r="D26" s="19" t="n"/>
      <c r="E26" s="6" t="n"/>
      <c r="F26" s="20" t="n"/>
      <c r="G26" s="9">
        <f>IF($F26="","",IF($F26&gt;0,ROUND($F26,2),""))</f>
        <v/>
      </c>
      <c r="H26" s="12">
        <f>IF(OR($B26="",$C26="",$G26=""),"",COUNTIFS(Ventes_Encaissements!$E$6:$E$3005,$B26,Ventes_Encaissements!$J$6:$J$3005,$G26,Ventes_Encaissements!$C$6:$C$3005,"&gt;="&amp;($C26-3),Ventes_Encaissements!$C$6:$C$3005,"&lt;="&amp;($C26+3)))</f>
        <v/>
      </c>
      <c r="I26" s="12">
        <f>IF($H26="","",IF($H26=0,"Non trouvé",IF($H26=1,"Match","À vérifier")))</f>
        <v/>
      </c>
      <c r="J26" s="21">
        <f>IF($I26&lt;&gt;"Match","",INDEX(Ventes_Encaissements!$B$6:$B$3005,_xludf.AGGREGATE(15,6,(ROW(Ventes_Encaissements!$B$6:$B$3005)-ROW(Ventes_Encaissements!$B$6)+1)/((Ventes_Encaissements!$E$6:$E$3005=$B26)*(Ventes_Encaissements!$J$6:$J$3005=$G26)*(Ventes_Encaissements!$C$6:$C$3005&gt;=$C26-3)*(Ventes_Encaissements!$C$6:$C$3005&lt;=$C26+3)),1)))</f>
        <v/>
      </c>
      <c r="K26" s="6" t="n"/>
    </row>
    <row r="27">
      <c r="A27" s="6" t="n"/>
      <c r="B27" s="6" t="n"/>
      <c r="C27" s="19" t="n"/>
      <c r="D27" s="19" t="n"/>
      <c r="E27" s="6" t="n"/>
      <c r="F27" s="20" t="n"/>
      <c r="G27" s="9">
        <f>IF($F27="","",IF($F27&gt;0,ROUND($F27,2),""))</f>
        <v/>
      </c>
      <c r="H27" s="12">
        <f>IF(OR($B27="",$C27="",$G27=""),"",COUNTIFS(Ventes_Encaissements!$E$6:$E$3005,$B27,Ventes_Encaissements!$J$6:$J$3005,$G27,Ventes_Encaissements!$C$6:$C$3005,"&gt;="&amp;($C27-3),Ventes_Encaissements!$C$6:$C$3005,"&lt;="&amp;($C27+3)))</f>
        <v/>
      </c>
      <c r="I27" s="12">
        <f>IF($H27="","",IF($H27=0,"Non trouvé",IF($H27=1,"Match","À vérifier")))</f>
        <v/>
      </c>
      <c r="J27" s="21">
        <f>IF($I27&lt;&gt;"Match","",INDEX(Ventes_Encaissements!$B$6:$B$3005,_xludf.AGGREGATE(15,6,(ROW(Ventes_Encaissements!$B$6:$B$3005)-ROW(Ventes_Encaissements!$B$6)+1)/((Ventes_Encaissements!$E$6:$E$3005=$B27)*(Ventes_Encaissements!$J$6:$J$3005=$G27)*(Ventes_Encaissements!$C$6:$C$3005&gt;=$C27-3)*(Ventes_Encaissements!$C$6:$C$3005&lt;=$C27+3)),1)))</f>
        <v/>
      </c>
      <c r="K27" s="6" t="n"/>
    </row>
    <row r="28">
      <c r="A28" s="6" t="n"/>
      <c r="B28" s="6" t="n"/>
      <c r="C28" s="19" t="n"/>
      <c r="D28" s="19" t="n"/>
      <c r="E28" s="6" t="n"/>
      <c r="F28" s="20" t="n"/>
      <c r="G28" s="9">
        <f>IF($F28="","",IF($F28&gt;0,ROUND($F28,2),""))</f>
        <v/>
      </c>
      <c r="H28" s="12">
        <f>IF(OR($B28="",$C28="",$G28=""),"",COUNTIFS(Ventes_Encaissements!$E$6:$E$3005,$B28,Ventes_Encaissements!$J$6:$J$3005,$G28,Ventes_Encaissements!$C$6:$C$3005,"&gt;="&amp;($C28-3),Ventes_Encaissements!$C$6:$C$3005,"&lt;="&amp;($C28+3)))</f>
        <v/>
      </c>
      <c r="I28" s="12">
        <f>IF($H28="","",IF($H28=0,"Non trouvé",IF($H28=1,"Match","À vérifier")))</f>
        <v/>
      </c>
      <c r="J28" s="21">
        <f>IF($I28&lt;&gt;"Match","",INDEX(Ventes_Encaissements!$B$6:$B$3005,_xludf.AGGREGATE(15,6,(ROW(Ventes_Encaissements!$B$6:$B$3005)-ROW(Ventes_Encaissements!$B$6)+1)/((Ventes_Encaissements!$E$6:$E$3005=$B28)*(Ventes_Encaissements!$J$6:$J$3005=$G28)*(Ventes_Encaissements!$C$6:$C$3005&gt;=$C28-3)*(Ventes_Encaissements!$C$6:$C$3005&lt;=$C28+3)),1)))</f>
        <v/>
      </c>
      <c r="K28" s="6" t="n"/>
    </row>
    <row r="29">
      <c r="A29" s="6" t="n"/>
      <c r="B29" s="6" t="n"/>
      <c r="C29" s="19" t="n"/>
      <c r="D29" s="19" t="n"/>
      <c r="E29" s="6" t="n"/>
      <c r="F29" s="20" t="n"/>
      <c r="G29" s="9">
        <f>IF($F29="","",IF($F29&gt;0,ROUND($F29,2),""))</f>
        <v/>
      </c>
      <c r="H29" s="12">
        <f>IF(OR($B29="",$C29="",$G29=""),"",COUNTIFS(Ventes_Encaissements!$E$6:$E$3005,$B29,Ventes_Encaissements!$J$6:$J$3005,$G29,Ventes_Encaissements!$C$6:$C$3005,"&gt;="&amp;($C29-3),Ventes_Encaissements!$C$6:$C$3005,"&lt;="&amp;($C29+3)))</f>
        <v/>
      </c>
      <c r="I29" s="12">
        <f>IF($H29="","",IF($H29=0,"Non trouvé",IF($H29=1,"Match","À vérifier")))</f>
        <v/>
      </c>
      <c r="J29" s="21">
        <f>IF($I29&lt;&gt;"Match","",INDEX(Ventes_Encaissements!$B$6:$B$3005,_xludf.AGGREGATE(15,6,(ROW(Ventes_Encaissements!$B$6:$B$3005)-ROW(Ventes_Encaissements!$B$6)+1)/((Ventes_Encaissements!$E$6:$E$3005=$B29)*(Ventes_Encaissements!$J$6:$J$3005=$G29)*(Ventes_Encaissements!$C$6:$C$3005&gt;=$C29-3)*(Ventes_Encaissements!$C$6:$C$3005&lt;=$C29+3)),1)))</f>
        <v/>
      </c>
      <c r="K29" s="6" t="n"/>
    </row>
    <row r="30">
      <c r="A30" s="6" t="n"/>
      <c r="B30" s="6" t="n"/>
      <c r="C30" s="19" t="n"/>
      <c r="D30" s="19" t="n"/>
      <c r="E30" s="6" t="n"/>
      <c r="F30" s="20" t="n"/>
      <c r="G30" s="9">
        <f>IF($F30="","",IF($F30&gt;0,ROUND($F30,2),""))</f>
        <v/>
      </c>
      <c r="H30" s="12">
        <f>IF(OR($B30="",$C30="",$G30=""),"",COUNTIFS(Ventes_Encaissements!$E$6:$E$3005,$B30,Ventes_Encaissements!$J$6:$J$3005,$G30,Ventes_Encaissements!$C$6:$C$3005,"&gt;="&amp;($C30-3),Ventes_Encaissements!$C$6:$C$3005,"&lt;="&amp;($C30+3)))</f>
        <v/>
      </c>
      <c r="I30" s="12">
        <f>IF($H30="","",IF($H30=0,"Non trouvé",IF($H30=1,"Match","À vérifier")))</f>
        <v/>
      </c>
      <c r="J30" s="21">
        <f>IF($I30&lt;&gt;"Match","",INDEX(Ventes_Encaissements!$B$6:$B$3005,_xludf.AGGREGATE(15,6,(ROW(Ventes_Encaissements!$B$6:$B$3005)-ROW(Ventes_Encaissements!$B$6)+1)/((Ventes_Encaissements!$E$6:$E$3005=$B30)*(Ventes_Encaissements!$J$6:$J$3005=$G30)*(Ventes_Encaissements!$C$6:$C$3005&gt;=$C30-3)*(Ventes_Encaissements!$C$6:$C$3005&lt;=$C30+3)),1)))</f>
        <v/>
      </c>
      <c r="K30" s="6" t="n"/>
    </row>
    <row r="31">
      <c r="A31" s="6" t="n"/>
      <c r="B31" s="6" t="n"/>
      <c r="C31" s="19" t="n"/>
      <c r="D31" s="19" t="n"/>
      <c r="E31" s="6" t="n"/>
      <c r="F31" s="20" t="n"/>
      <c r="G31" s="9">
        <f>IF($F31="","",IF($F31&gt;0,ROUND($F31,2),""))</f>
        <v/>
      </c>
      <c r="H31" s="12">
        <f>IF(OR($B31="",$C31="",$G31=""),"",COUNTIFS(Ventes_Encaissements!$E$6:$E$3005,$B31,Ventes_Encaissements!$J$6:$J$3005,$G31,Ventes_Encaissements!$C$6:$C$3005,"&gt;="&amp;($C31-3),Ventes_Encaissements!$C$6:$C$3005,"&lt;="&amp;($C31+3)))</f>
        <v/>
      </c>
      <c r="I31" s="12">
        <f>IF($H31="","",IF($H31=0,"Non trouvé",IF($H31=1,"Match","À vérifier")))</f>
        <v/>
      </c>
      <c r="J31" s="21">
        <f>IF($I31&lt;&gt;"Match","",INDEX(Ventes_Encaissements!$B$6:$B$3005,_xludf.AGGREGATE(15,6,(ROW(Ventes_Encaissements!$B$6:$B$3005)-ROW(Ventes_Encaissements!$B$6)+1)/((Ventes_Encaissements!$E$6:$E$3005=$B31)*(Ventes_Encaissements!$J$6:$J$3005=$G31)*(Ventes_Encaissements!$C$6:$C$3005&gt;=$C31-3)*(Ventes_Encaissements!$C$6:$C$3005&lt;=$C31+3)),1)))</f>
        <v/>
      </c>
      <c r="K31" s="6" t="n"/>
    </row>
    <row r="32">
      <c r="A32" s="6" t="n"/>
      <c r="B32" s="6" t="n"/>
      <c r="C32" s="19" t="n"/>
      <c r="D32" s="19" t="n"/>
      <c r="E32" s="6" t="n"/>
      <c r="F32" s="20" t="n"/>
      <c r="G32" s="9">
        <f>IF($F32="","",IF($F32&gt;0,ROUND($F32,2),""))</f>
        <v/>
      </c>
      <c r="H32" s="12">
        <f>IF(OR($B32="",$C32="",$G32=""),"",COUNTIFS(Ventes_Encaissements!$E$6:$E$3005,$B32,Ventes_Encaissements!$J$6:$J$3005,$G32,Ventes_Encaissements!$C$6:$C$3005,"&gt;="&amp;($C32-3),Ventes_Encaissements!$C$6:$C$3005,"&lt;="&amp;($C32+3)))</f>
        <v/>
      </c>
      <c r="I32" s="12">
        <f>IF($H32="","",IF($H32=0,"Non trouvé",IF($H32=1,"Match","À vérifier")))</f>
        <v/>
      </c>
      <c r="J32" s="21">
        <f>IF($I32&lt;&gt;"Match","",INDEX(Ventes_Encaissements!$B$6:$B$3005,_xludf.AGGREGATE(15,6,(ROW(Ventes_Encaissements!$B$6:$B$3005)-ROW(Ventes_Encaissements!$B$6)+1)/((Ventes_Encaissements!$E$6:$E$3005=$B32)*(Ventes_Encaissements!$J$6:$J$3005=$G32)*(Ventes_Encaissements!$C$6:$C$3005&gt;=$C32-3)*(Ventes_Encaissements!$C$6:$C$3005&lt;=$C32+3)),1)))</f>
        <v/>
      </c>
      <c r="K32" s="6" t="n"/>
    </row>
    <row r="33">
      <c r="A33" s="6" t="n"/>
      <c r="B33" s="6" t="n"/>
      <c r="C33" s="19" t="n"/>
      <c r="D33" s="19" t="n"/>
      <c r="E33" s="6" t="n"/>
      <c r="F33" s="20" t="n"/>
      <c r="G33" s="9">
        <f>IF($F33="","",IF($F33&gt;0,ROUND($F33,2),""))</f>
        <v/>
      </c>
      <c r="H33" s="12">
        <f>IF(OR($B33="",$C33="",$G33=""),"",COUNTIFS(Ventes_Encaissements!$E$6:$E$3005,$B33,Ventes_Encaissements!$J$6:$J$3005,$G33,Ventes_Encaissements!$C$6:$C$3005,"&gt;="&amp;($C33-3),Ventes_Encaissements!$C$6:$C$3005,"&lt;="&amp;($C33+3)))</f>
        <v/>
      </c>
      <c r="I33" s="12">
        <f>IF($H33="","",IF($H33=0,"Non trouvé",IF($H33=1,"Match","À vérifier")))</f>
        <v/>
      </c>
      <c r="J33" s="21">
        <f>IF($I33&lt;&gt;"Match","",INDEX(Ventes_Encaissements!$B$6:$B$3005,_xludf.AGGREGATE(15,6,(ROW(Ventes_Encaissements!$B$6:$B$3005)-ROW(Ventes_Encaissements!$B$6)+1)/((Ventes_Encaissements!$E$6:$E$3005=$B33)*(Ventes_Encaissements!$J$6:$J$3005=$G33)*(Ventes_Encaissements!$C$6:$C$3005&gt;=$C33-3)*(Ventes_Encaissements!$C$6:$C$3005&lt;=$C33+3)),1)))</f>
        <v/>
      </c>
      <c r="K33" s="6" t="n"/>
    </row>
    <row r="34">
      <c r="A34" s="6" t="n"/>
      <c r="B34" s="6" t="n"/>
      <c r="C34" s="19" t="n"/>
      <c r="D34" s="19" t="n"/>
      <c r="E34" s="6" t="n"/>
      <c r="F34" s="20" t="n"/>
      <c r="G34" s="9">
        <f>IF($F34="","",IF($F34&gt;0,ROUND($F34,2),""))</f>
        <v/>
      </c>
      <c r="H34" s="12">
        <f>IF(OR($B34="",$C34="",$G34=""),"",COUNTIFS(Ventes_Encaissements!$E$6:$E$3005,$B34,Ventes_Encaissements!$J$6:$J$3005,$G34,Ventes_Encaissements!$C$6:$C$3005,"&gt;="&amp;($C34-3),Ventes_Encaissements!$C$6:$C$3005,"&lt;="&amp;($C34+3)))</f>
        <v/>
      </c>
      <c r="I34" s="12">
        <f>IF($H34="","",IF($H34=0,"Non trouvé",IF($H34=1,"Match","À vérifier")))</f>
        <v/>
      </c>
      <c r="J34" s="21">
        <f>IF($I34&lt;&gt;"Match","",INDEX(Ventes_Encaissements!$B$6:$B$3005,_xludf.AGGREGATE(15,6,(ROW(Ventes_Encaissements!$B$6:$B$3005)-ROW(Ventes_Encaissements!$B$6)+1)/((Ventes_Encaissements!$E$6:$E$3005=$B34)*(Ventes_Encaissements!$J$6:$J$3005=$G34)*(Ventes_Encaissements!$C$6:$C$3005&gt;=$C34-3)*(Ventes_Encaissements!$C$6:$C$3005&lt;=$C34+3)),1)))</f>
        <v/>
      </c>
      <c r="K34" s="6" t="n"/>
    </row>
    <row r="35">
      <c r="A35" s="6" t="n"/>
      <c r="B35" s="6" t="n"/>
      <c r="C35" s="19" t="n"/>
      <c r="D35" s="19" t="n"/>
      <c r="E35" s="6" t="n"/>
      <c r="F35" s="20" t="n"/>
      <c r="G35" s="9">
        <f>IF($F35="","",IF($F35&gt;0,ROUND($F35,2),""))</f>
        <v/>
      </c>
      <c r="H35" s="12">
        <f>IF(OR($B35="",$C35="",$G35=""),"",COUNTIFS(Ventes_Encaissements!$E$6:$E$3005,$B35,Ventes_Encaissements!$J$6:$J$3005,$G35,Ventes_Encaissements!$C$6:$C$3005,"&gt;="&amp;($C35-3),Ventes_Encaissements!$C$6:$C$3005,"&lt;="&amp;($C35+3)))</f>
        <v/>
      </c>
      <c r="I35" s="12">
        <f>IF($H35="","",IF($H35=0,"Non trouvé",IF($H35=1,"Match","À vérifier")))</f>
        <v/>
      </c>
      <c r="J35" s="21">
        <f>IF($I35&lt;&gt;"Match","",INDEX(Ventes_Encaissements!$B$6:$B$3005,_xludf.AGGREGATE(15,6,(ROW(Ventes_Encaissements!$B$6:$B$3005)-ROW(Ventes_Encaissements!$B$6)+1)/((Ventes_Encaissements!$E$6:$E$3005=$B35)*(Ventes_Encaissements!$J$6:$J$3005=$G35)*(Ventes_Encaissements!$C$6:$C$3005&gt;=$C35-3)*(Ventes_Encaissements!$C$6:$C$3005&lt;=$C35+3)),1)))</f>
        <v/>
      </c>
      <c r="K35" s="6" t="n"/>
    </row>
    <row r="36">
      <c r="A36" s="6" t="n"/>
      <c r="B36" s="6" t="n"/>
      <c r="C36" s="19" t="n"/>
      <c r="D36" s="19" t="n"/>
      <c r="E36" s="6" t="n"/>
      <c r="F36" s="20" t="n"/>
      <c r="G36" s="9">
        <f>IF($F36="","",IF($F36&gt;0,ROUND($F36,2),""))</f>
        <v/>
      </c>
      <c r="H36" s="12">
        <f>IF(OR($B36="",$C36="",$G36=""),"",COUNTIFS(Ventes_Encaissements!$E$6:$E$3005,$B36,Ventes_Encaissements!$J$6:$J$3005,$G36,Ventes_Encaissements!$C$6:$C$3005,"&gt;="&amp;($C36-3),Ventes_Encaissements!$C$6:$C$3005,"&lt;="&amp;($C36+3)))</f>
        <v/>
      </c>
      <c r="I36" s="12">
        <f>IF($H36="","",IF($H36=0,"Non trouvé",IF($H36=1,"Match","À vérifier")))</f>
        <v/>
      </c>
      <c r="J36" s="21">
        <f>IF($I36&lt;&gt;"Match","",INDEX(Ventes_Encaissements!$B$6:$B$3005,_xludf.AGGREGATE(15,6,(ROW(Ventes_Encaissements!$B$6:$B$3005)-ROW(Ventes_Encaissements!$B$6)+1)/((Ventes_Encaissements!$E$6:$E$3005=$B36)*(Ventes_Encaissements!$J$6:$J$3005=$G36)*(Ventes_Encaissements!$C$6:$C$3005&gt;=$C36-3)*(Ventes_Encaissements!$C$6:$C$3005&lt;=$C36+3)),1)))</f>
        <v/>
      </c>
      <c r="K36" s="6" t="n"/>
    </row>
    <row r="37">
      <c r="A37" s="6" t="n"/>
      <c r="B37" s="6" t="n"/>
      <c r="C37" s="19" t="n"/>
      <c r="D37" s="19" t="n"/>
      <c r="E37" s="6" t="n"/>
      <c r="F37" s="20" t="n"/>
      <c r="G37" s="9">
        <f>IF($F37="","",IF($F37&gt;0,ROUND($F37,2),""))</f>
        <v/>
      </c>
      <c r="H37" s="12">
        <f>IF(OR($B37="",$C37="",$G37=""),"",COUNTIFS(Ventes_Encaissements!$E$6:$E$3005,$B37,Ventes_Encaissements!$J$6:$J$3005,$G37,Ventes_Encaissements!$C$6:$C$3005,"&gt;="&amp;($C37-3),Ventes_Encaissements!$C$6:$C$3005,"&lt;="&amp;($C37+3)))</f>
        <v/>
      </c>
      <c r="I37" s="12">
        <f>IF($H37="","",IF($H37=0,"Non trouvé",IF($H37=1,"Match","À vérifier")))</f>
        <v/>
      </c>
      <c r="J37" s="21">
        <f>IF($I37&lt;&gt;"Match","",INDEX(Ventes_Encaissements!$B$6:$B$3005,_xludf.AGGREGATE(15,6,(ROW(Ventes_Encaissements!$B$6:$B$3005)-ROW(Ventes_Encaissements!$B$6)+1)/((Ventes_Encaissements!$E$6:$E$3005=$B37)*(Ventes_Encaissements!$J$6:$J$3005=$G37)*(Ventes_Encaissements!$C$6:$C$3005&gt;=$C37-3)*(Ventes_Encaissements!$C$6:$C$3005&lt;=$C37+3)),1)))</f>
        <v/>
      </c>
      <c r="K37" s="6" t="n"/>
    </row>
    <row r="38">
      <c r="A38" s="6" t="n"/>
      <c r="B38" s="6" t="n"/>
      <c r="C38" s="19" t="n"/>
      <c r="D38" s="19" t="n"/>
      <c r="E38" s="6" t="n"/>
      <c r="F38" s="20" t="n"/>
      <c r="G38" s="9">
        <f>IF($F38="","",IF($F38&gt;0,ROUND($F38,2),""))</f>
        <v/>
      </c>
      <c r="H38" s="12">
        <f>IF(OR($B38="",$C38="",$G38=""),"",COUNTIFS(Ventes_Encaissements!$E$6:$E$3005,$B38,Ventes_Encaissements!$J$6:$J$3005,$G38,Ventes_Encaissements!$C$6:$C$3005,"&gt;="&amp;($C38-3),Ventes_Encaissements!$C$6:$C$3005,"&lt;="&amp;($C38+3)))</f>
        <v/>
      </c>
      <c r="I38" s="12">
        <f>IF($H38="","",IF($H38=0,"Non trouvé",IF($H38=1,"Match","À vérifier")))</f>
        <v/>
      </c>
      <c r="J38" s="21">
        <f>IF($I38&lt;&gt;"Match","",INDEX(Ventes_Encaissements!$B$6:$B$3005,_xludf.AGGREGATE(15,6,(ROW(Ventes_Encaissements!$B$6:$B$3005)-ROW(Ventes_Encaissements!$B$6)+1)/((Ventes_Encaissements!$E$6:$E$3005=$B38)*(Ventes_Encaissements!$J$6:$J$3005=$G38)*(Ventes_Encaissements!$C$6:$C$3005&gt;=$C38-3)*(Ventes_Encaissements!$C$6:$C$3005&lt;=$C38+3)),1)))</f>
        <v/>
      </c>
      <c r="K38" s="6" t="n"/>
    </row>
    <row r="39">
      <c r="A39" s="6" t="n"/>
      <c r="B39" s="6" t="n"/>
      <c r="C39" s="19" t="n"/>
      <c r="D39" s="19" t="n"/>
      <c r="E39" s="6" t="n"/>
      <c r="F39" s="20" t="n"/>
      <c r="G39" s="9">
        <f>IF($F39="","",IF($F39&gt;0,ROUND($F39,2),""))</f>
        <v/>
      </c>
      <c r="H39" s="12">
        <f>IF(OR($B39="",$C39="",$G39=""),"",COUNTIFS(Ventes_Encaissements!$E$6:$E$3005,$B39,Ventes_Encaissements!$J$6:$J$3005,$G39,Ventes_Encaissements!$C$6:$C$3005,"&gt;="&amp;($C39-3),Ventes_Encaissements!$C$6:$C$3005,"&lt;="&amp;($C39+3)))</f>
        <v/>
      </c>
      <c r="I39" s="12">
        <f>IF($H39="","",IF($H39=0,"Non trouvé",IF($H39=1,"Match","À vérifier")))</f>
        <v/>
      </c>
      <c r="J39" s="21">
        <f>IF($I39&lt;&gt;"Match","",INDEX(Ventes_Encaissements!$B$6:$B$3005,_xludf.AGGREGATE(15,6,(ROW(Ventes_Encaissements!$B$6:$B$3005)-ROW(Ventes_Encaissements!$B$6)+1)/((Ventes_Encaissements!$E$6:$E$3005=$B39)*(Ventes_Encaissements!$J$6:$J$3005=$G39)*(Ventes_Encaissements!$C$6:$C$3005&gt;=$C39-3)*(Ventes_Encaissements!$C$6:$C$3005&lt;=$C39+3)),1)))</f>
        <v/>
      </c>
      <c r="K39" s="6" t="n"/>
    </row>
    <row r="40">
      <c r="A40" s="6" t="n"/>
      <c r="B40" s="6" t="n"/>
      <c r="C40" s="19" t="n"/>
      <c r="D40" s="19" t="n"/>
      <c r="E40" s="6" t="n"/>
      <c r="F40" s="20" t="n"/>
      <c r="G40" s="9">
        <f>IF($F40="","",IF($F40&gt;0,ROUND($F40,2),""))</f>
        <v/>
      </c>
      <c r="H40" s="12">
        <f>IF(OR($B40="",$C40="",$G40=""),"",COUNTIFS(Ventes_Encaissements!$E$6:$E$3005,$B40,Ventes_Encaissements!$J$6:$J$3005,$G40,Ventes_Encaissements!$C$6:$C$3005,"&gt;="&amp;($C40-3),Ventes_Encaissements!$C$6:$C$3005,"&lt;="&amp;($C40+3)))</f>
        <v/>
      </c>
      <c r="I40" s="12">
        <f>IF($H40="","",IF($H40=0,"Non trouvé",IF($H40=1,"Match","À vérifier")))</f>
        <v/>
      </c>
      <c r="J40" s="21">
        <f>IF($I40&lt;&gt;"Match","",INDEX(Ventes_Encaissements!$B$6:$B$3005,_xludf.AGGREGATE(15,6,(ROW(Ventes_Encaissements!$B$6:$B$3005)-ROW(Ventes_Encaissements!$B$6)+1)/((Ventes_Encaissements!$E$6:$E$3005=$B40)*(Ventes_Encaissements!$J$6:$J$3005=$G40)*(Ventes_Encaissements!$C$6:$C$3005&gt;=$C40-3)*(Ventes_Encaissements!$C$6:$C$3005&lt;=$C40+3)),1)))</f>
        <v/>
      </c>
      <c r="K40" s="6" t="n"/>
    </row>
    <row r="41">
      <c r="A41" s="6" t="n"/>
      <c r="B41" s="6" t="n"/>
      <c r="C41" s="19" t="n"/>
      <c r="D41" s="19" t="n"/>
      <c r="E41" s="6" t="n"/>
      <c r="F41" s="20" t="n"/>
      <c r="G41" s="9">
        <f>IF($F41="","",IF($F41&gt;0,ROUND($F41,2),""))</f>
        <v/>
      </c>
      <c r="H41" s="12">
        <f>IF(OR($B41="",$C41="",$G41=""),"",COUNTIFS(Ventes_Encaissements!$E$6:$E$3005,$B41,Ventes_Encaissements!$J$6:$J$3005,$G41,Ventes_Encaissements!$C$6:$C$3005,"&gt;="&amp;($C41-3),Ventes_Encaissements!$C$6:$C$3005,"&lt;="&amp;($C41+3)))</f>
        <v/>
      </c>
      <c r="I41" s="12">
        <f>IF($H41="","",IF($H41=0,"Non trouvé",IF($H41=1,"Match","À vérifier")))</f>
        <v/>
      </c>
      <c r="J41" s="21">
        <f>IF($I41&lt;&gt;"Match","",INDEX(Ventes_Encaissements!$B$6:$B$3005,_xludf.AGGREGATE(15,6,(ROW(Ventes_Encaissements!$B$6:$B$3005)-ROW(Ventes_Encaissements!$B$6)+1)/((Ventes_Encaissements!$E$6:$E$3005=$B41)*(Ventes_Encaissements!$J$6:$J$3005=$G41)*(Ventes_Encaissements!$C$6:$C$3005&gt;=$C41-3)*(Ventes_Encaissements!$C$6:$C$3005&lt;=$C41+3)),1)))</f>
        <v/>
      </c>
      <c r="K41" s="6" t="n"/>
    </row>
    <row r="42">
      <c r="A42" s="6" t="n"/>
      <c r="B42" s="6" t="n"/>
      <c r="C42" s="19" t="n"/>
      <c r="D42" s="19" t="n"/>
      <c r="E42" s="6" t="n"/>
      <c r="F42" s="20" t="n"/>
      <c r="G42" s="9">
        <f>IF($F42="","",IF($F42&gt;0,ROUND($F42,2),""))</f>
        <v/>
      </c>
      <c r="H42" s="12">
        <f>IF(OR($B42="",$C42="",$G42=""),"",COUNTIFS(Ventes_Encaissements!$E$6:$E$3005,$B42,Ventes_Encaissements!$J$6:$J$3005,$G42,Ventes_Encaissements!$C$6:$C$3005,"&gt;="&amp;($C42-3),Ventes_Encaissements!$C$6:$C$3005,"&lt;="&amp;($C42+3)))</f>
        <v/>
      </c>
      <c r="I42" s="12">
        <f>IF($H42="","",IF($H42=0,"Non trouvé",IF($H42=1,"Match","À vérifier")))</f>
        <v/>
      </c>
      <c r="J42" s="21">
        <f>IF($I42&lt;&gt;"Match","",INDEX(Ventes_Encaissements!$B$6:$B$3005,_xludf.AGGREGATE(15,6,(ROW(Ventes_Encaissements!$B$6:$B$3005)-ROW(Ventes_Encaissements!$B$6)+1)/((Ventes_Encaissements!$E$6:$E$3005=$B42)*(Ventes_Encaissements!$J$6:$J$3005=$G42)*(Ventes_Encaissements!$C$6:$C$3005&gt;=$C42-3)*(Ventes_Encaissements!$C$6:$C$3005&lt;=$C42+3)),1)))</f>
        <v/>
      </c>
      <c r="K42" s="6" t="n"/>
    </row>
    <row r="43">
      <c r="A43" s="6" t="n"/>
      <c r="B43" s="6" t="n"/>
      <c r="C43" s="19" t="n"/>
      <c r="D43" s="19" t="n"/>
      <c r="E43" s="6" t="n"/>
      <c r="F43" s="20" t="n"/>
      <c r="G43" s="9">
        <f>IF($F43="","",IF($F43&gt;0,ROUND($F43,2),""))</f>
        <v/>
      </c>
      <c r="H43" s="12">
        <f>IF(OR($B43="",$C43="",$G43=""),"",COUNTIFS(Ventes_Encaissements!$E$6:$E$3005,$B43,Ventes_Encaissements!$J$6:$J$3005,$G43,Ventes_Encaissements!$C$6:$C$3005,"&gt;="&amp;($C43-3),Ventes_Encaissements!$C$6:$C$3005,"&lt;="&amp;($C43+3)))</f>
        <v/>
      </c>
      <c r="I43" s="12">
        <f>IF($H43="","",IF($H43=0,"Non trouvé",IF($H43=1,"Match","À vérifier")))</f>
        <v/>
      </c>
      <c r="J43" s="21">
        <f>IF($I43&lt;&gt;"Match","",INDEX(Ventes_Encaissements!$B$6:$B$3005,_xludf.AGGREGATE(15,6,(ROW(Ventes_Encaissements!$B$6:$B$3005)-ROW(Ventes_Encaissements!$B$6)+1)/((Ventes_Encaissements!$E$6:$E$3005=$B43)*(Ventes_Encaissements!$J$6:$J$3005=$G43)*(Ventes_Encaissements!$C$6:$C$3005&gt;=$C43-3)*(Ventes_Encaissements!$C$6:$C$3005&lt;=$C43+3)),1)))</f>
        <v/>
      </c>
      <c r="K43" s="6" t="n"/>
    </row>
    <row r="44">
      <c r="A44" s="6" t="n"/>
      <c r="B44" s="6" t="n"/>
      <c r="C44" s="19" t="n"/>
      <c r="D44" s="19" t="n"/>
      <c r="E44" s="6" t="n"/>
      <c r="F44" s="20" t="n"/>
      <c r="G44" s="9">
        <f>IF($F44="","",IF($F44&gt;0,ROUND($F44,2),""))</f>
        <v/>
      </c>
      <c r="H44" s="12">
        <f>IF(OR($B44="",$C44="",$G44=""),"",COUNTIFS(Ventes_Encaissements!$E$6:$E$3005,$B44,Ventes_Encaissements!$J$6:$J$3005,$G44,Ventes_Encaissements!$C$6:$C$3005,"&gt;="&amp;($C44-3),Ventes_Encaissements!$C$6:$C$3005,"&lt;="&amp;($C44+3)))</f>
        <v/>
      </c>
      <c r="I44" s="12">
        <f>IF($H44="","",IF($H44=0,"Non trouvé",IF($H44=1,"Match","À vérifier")))</f>
        <v/>
      </c>
      <c r="J44" s="21">
        <f>IF($I44&lt;&gt;"Match","",INDEX(Ventes_Encaissements!$B$6:$B$3005,_xludf.AGGREGATE(15,6,(ROW(Ventes_Encaissements!$B$6:$B$3005)-ROW(Ventes_Encaissements!$B$6)+1)/((Ventes_Encaissements!$E$6:$E$3005=$B44)*(Ventes_Encaissements!$J$6:$J$3005=$G44)*(Ventes_Encaissements!$C$6:$C$3005&gt;=$C44-3)*(Ventes_Encaissements!$C$6:$C$3005&lt;=$C44+3)),1)))</f>
        <v/>
      </c>
      <c r="K44" s="6" t="n"/>
    </row>
    <row r="45">
      <c r="A45" s="6" t="n"/>
      <c r="B45" s="6" t="n"/>
      <c r="C45" s="19" t="n"/>
      <c r="D45" s="19" t="n"/>
      <c r="E45" s="6" t="n"/>
      <c r="F45" s="20" t="n"/>
      <c r="G45" s="9">
        <f>IF($F45="","",IF($F45&gt;0,ROUND($F45,2),""))</f>
        <v/>
      </c>
      <c r="H45" s="12">
        <f>IF(OR($B45="",$C45="",$G45=""),"",COUNTIFS(Ventes_Encaissements!$E$6:$E$3005,$B45,Ventes_Encaissements!$J$6:$J$3005,$G45,Ventes_Encaissements!$C$6:$C$3005,"&gt;="&amp;($C45-3),Ventes_Encaissements!$C$6:$C$3005,"&lt;="&amp;($C45+3)))</f>
        <v/>
      </c>
      <c r="I45" s="12">
        <f>IF($H45="","",IF($H45=0,"Non trouvé",IF($H45=1,"Match","À vérifier")))</f>
        <v/>
      </c>
      <c r="J45" s="21">
        <f>IF($I45&lt;&gt;"Match","",INDEX(Ventes_Encaissements!$B$6:$B$3005,_xludf.AGGREGATE(15,6,(ROW(Ventes_Encaissements!$B$6:$B$3005)-ROW(Ventes_Encaissements!$B$6)+1)/((Ventes_Encaissements!$E$6:$E$3005=$B45)*(Ventes_Encaissements!$J$6:$J$3005=$G45)*(Ventes_Encaissements!$C$6:$C$3005&gt;=$C45-3)*(Ventes_Encaissements!$C$6:$C$3005&lt;=$C45+3)),1)))</f>
        <v/>
      </c>
      <c r="K45" s="6" t="n"/>
    </row>
    <row r="46">
      <c r="A46" s="6" t="n"/>
      <c r="B46" s="6" t="n"/>
      <c r="C46" s="19" t="n"/>
      <c r="D46" s="19" t="n"/>
      <c r="E46" s="6" t="n"/>
      <c r="F46" s="20" t="n"/>
      <c r="G46" s="9">
        <f>IF($F46="","",IF($F46&gt;0,ROUND($F46,2),""))</f>
        <v/>
      </c>
      <c r="H46" s="12">
        <f>IF(OR($B46="",$C46="",$G46=""),"",COUNTIFS(Ventes_Encaissements!$E$6:$E$3005,$B46,Ventes_Encaissements!$J$6:$J$3005,$G46,Ventes_Encaissements!$C$6:$C$3005,"&gt;="&amp;($C46-3),Ventes_Encaissements!$C$6:$C$3005,"&lt;="&amp;($C46+3)))</f>
        <v/>
      </c>
      <c r="I46" s="12">
        <f>IF($H46="","",IF($H46=0,"Non trouvé",IF($H46=1,"Match","À vérifier")))</f>
        <v/>
      </c>
      <c r="J46" s="21">
        <f>IF($I46&lt;&gt;"Match","",INDEX(Ventes_Encaissements!$B$6:$B$3005,_xludf.AGGREGATE(15,6,(ROW(Ventes_Encaissements!$B$6:$B$3005)-ROW(Ventes_Encaissements!$B$6)+1)/((Ventes_Encaissements!$E$6:$E$3005=$B46)*(Ventes_Encaissements!$J$6:$J$3005=$G46)*(Ventes_Encaissements!$C$6:$C$3005&gt;=$C46-3)*(Ventes_Encaissements!$C$6:$C$3005&lt;=$C46+3)),1)))</f>
        <v/>
      </c>
      <c r="K46" s="6" t="n"/>
    </row>
    <row r="47">
      <c r="A47" s="6" t="n"/>
      <c r="B47" s="6" t="n"/>
      <c r="C47" s="19" t="n"/>
      <c r="D47" s="19" t="n"/>
      <c r="E47" s="6" t="n"/>
      <c r="F47" s="20" t="n"/>
      <c r="G47" s="9">
        <f>IF($F47="","",IF($F47&gt;0,ROUND($F47,2),""))</f>
        <v/>
      </c>
      <c r="H47" s="12">
        <f>IF(OR($B47="",$C47="",$G47=""),"",COUNTIFS(Ventes_Encaissements!$E$6:$E$3005,$B47,Ventes_Encaissements!$J$6:$J$3005,$G47,Ventes_Encaissements!$C$6:$C$3005,"&gt;="&amp;($C47-3),Ventes_Encaissements!$C$6:$C$3005,"&lt;="&amp;($C47+3)))</f>
        <v/>
      </c>
      <c r="I47" s="12">
        <f>IF($H47="","",IF($H47=0,"Non trouvé",IF($H47=1,"Match","À vérifier")))</f>
        <v/>
      </c>
      <c r="J47" s="21">
        <f>IF($I47&lt;&gt;"Match","",INDEX(Ventes_Encaissements!$B$6:$B$3005,_xludf.AGGREGATE(15,6,(ROW(Ventes_Encaissements!$B$6:$B$3005)-ROW(Ventes_Encaissements!$B$6)+1)/((Ventes_Encaissements!$E$6:$E$3005=$B47)*(Ventes_Encaissements!$J$6:$J$3005=$G47)*(Ventes_Encaissements!$C$6:$C$3005&gt;=$C47-3)*(Ventes_Encaissements!$C$6:$C$3005&lt;=$C47+3)),1)))</f>
        <v/>
      </c>
      <c r="K47" s="6" t="n"/>
    </row>
    <row r="48">
      <c r="A48" s="6" t="n"/>
      <c r="B48" s="6" t="n"/>
      <c r="C48" s="19" t="n"/>
      <c r="D48" s="19" t="n"/>
      <c r="E48" s="6" t="n"/>
      <c r="F48" s="20" t="n"/>
      <c r="G48" s="9">
        <f>IF($F48="","",IF($F48&gt;0,ROUND($F48,2),""))</f>
        <v/>
      </c>
      <c r="H48" s="12">
        <f>IF(OR($B48="",$C48="",$G48=""),"",COUNTIFS(Ventes_Encaissements!$E$6:$E$3005,$B48,Ventes_Encaissements!$J$6:$J$3005,$G48,Ventes_Encaissements!$C$6:$C$3005,"&gt;="&amp;($C48-3),Ventes_Encaissements!$C$6:$C$3005,"&lt;="&amp;($C48+3)))</f>
        <v/>
      </c>
      <c r="I48" s="12">
        <f>IF($H48="","",IF($H48=0,"Non trouvé",IF($H48=1,"Match","À vérifier")))</f>
        <v/>
      </c>
      <c r="J48" s="21">
        <f>IF($I48&lt;&gt;"Match","",INDEX(Ventes_Encaissements!$B$6:$B$3005,_xludf.AGGREGATE(15,6,(ROW(Ventes_Encaissements!$B$6:$B$3005)-ROW(Ventes_Encaissements!$B$6)+1)/((Ventes_Encaissements!$E$6:$E$3005=$B48)*(Ventes_Encaissements!$J$6:$J$3005=$G48)*(Ventes_Encaissements!$C$6:$C$3005&gt;=$C48-3)*(Ventes_Encaissements!$C$6:$C$3005&lt;=$C48+3)),1)))</f>
        <v/>
      </c>
      <c r="K48" s="6" t="n"/>
    </row>
    <row r="49">
      <c r="A49" s="6" t="n"/>
      <c r="B49" s="6" t="n"/>
      <c r="C49" s="19" t="n"/>
      <c r="D49" s="19" t="n"/>
      <c r="E49" s="6" t="n"/>
      <c r="F49" s="20" t="n"/>
      <c r="G49" s="9">
        <f>IF($F49="","",IF($F49&gt;0,ROUND($F49,2),""))</f>
        <v/>
      </c>
      <c r="H49" s="12">
        <f>IF(OR($B49="",$C49="",$G49=""),"",COUNTIFS(Ventes_Encaissements!$E$6:$E$3005,$B49,Ventes_Encaissements!$J$6:$J$3005,$G49,Ventes_Encaissements!$C$6:$C$3005,"&gt;="&amp;($C49-3),Ventes_Encaissements!$C$6:$C$3005,"&lt;="&amp;($C49+3)))</f>
        <v/>
      </c>
      <c r="I49" s="12">
        <f>IF($H49="","",IF($H49=0,"Non trouvé",IF($H49=1,"Match","À vérifier")))</f>
        <v/>
      </c>
      <c r="J49" s="21">
        <f>IF($I49&lt;&gt;"Match","",INDEX(Ventes_Encaissements!$B$6:$B$3005,_xludf.AGGREGATE(15,6,(ROW(Ventes_Encaissements!$B$6:$B$3005)-ROW(Ventes_Encaissements!$B$6)+1)/((Ventes_Encaissements!$E$6:$E$3005=$B49)*(Ventes_Encaissements!$J$6:$J$3005=$G49)*(Ventes_Encaissements!$C$6:$C$3005&gt;=$C49-3)*(Ventes_Encaissements!$C$6:$C$3005&lt;=$C49+3)),1)))</f>
        <v/>
      </c>
      <c r="K49" s="6" t="n"/>
    </row>
    <row r="50">
      <c r="A50" s="6" t="n"/>
      <c r="B50" s="6" t="n"/>
      <c r="C50" s="19" t="n"/>
      <c r="D50" s="19" t="n"/>
      <c r="E50" s="6" t="n"/>
      <c r="F50" s="20" t="n"/>
      <c r="G50" s="9">
        <f>IF($F50="","",IF($F50&gt;0,ROUND($F50,2),""))</f>
        <v/>
      </c>
      <c r="H50" s="12">
        <f>IF(OR($B50="",$C50="",$G50=""),"",COUNTIFS(Ventes_Encaissements!$E$6:$E$3005,$B50,Ventes_Encaissements!$J$6:$J$3005,$G50,Ventes_Encaissements!$C$6:$C$3005,"&gt;="&amp;($C50-3),Ventes_Encaissements!$C$6:$C$3005,"&lt;="&amp;($C50+3)))</f>
        <v/>
      </c>
      <c r="I50" s="12">
        <f>IF($H50="","",IF($H50=0,"Non trouvé",IF($H50=1,"Match","À vérifier")))</f>
        <v/>
      </c>
      <c r="J50" s="21">
        <f>IF($I50&lt;&gt;"Match","",INDEX(Ventes_Encaissements!$B$6:$B$3005,_xludf.AGGREGATE(15,6,(ROW(Ventes_Encaissements!$B$6:$B$3005)-ROW(Ventes_Encaissements!$B$6)+1)/((Ventes_Encaissements!$E$6:$E$3005=$B50)*(Ventes_Encaissements!$J$6:$J$3005=$G50)*(Ventes_Encaissements!$C$6:$C$3005&gt;=$C50-3)*(Ventes_Encaissements!$C$6:$C$3005&lt;=$C50+3)),1)))</f>
        <v/>
      </c>
      <c r="K50" s="6" t="n"/>
    </row>
    <row r="51">
      <c r="A51" s="6" t="n"/>
      <c r="B51" s="6" t="n"/>
      <c r="C51" s="19" t="n"/>
      <c r="D51" s="19" t="n"/>
      <c r="E51" s="6" t="n"/>
      <c r="F51" s="20" t="n"/>
      <c r="G51" s="9">
        <f>IF($F51="","",IF($F51&gt;0,ROUND($F51,2),""))</f>
        <v/>
      </c>
      <c r="H51" s="12">
        <f>IF(OR($B51="",$C51="",$G51=""),"",COUNTIFS(Ventes_Encaissements!$E$6:$E$3005,$B51,Ventes_Encaissements!$J$6:$J$3005,$G51,Ventes_Encaissements!$C$6:$C$3005,"&gt;="&amp;($C51-3),Ventes_Encaissements!$C$6:$C$3005,"&lt;="&amp;($C51+3)))</f>
        <v/>
      </c>
      <c r="I51" s="12">
        <f>IF($H51="","",IF($H51=0,"Non trouvé",IF($H51=1,"Match","À vérifier")))</f>
        <v/>
      </c>
      <c r="J51" s="21">
        <f>IF($I51&lt;&gt;"Match","",INDEX(Ventes_Encaissements!$B$6:$B$3005,_xludf.AGGREGATE(15,6,(ROW(Ventes_Encaissements!$B$6:$B$3005)-ROW(Ventes_Encaissements!$B$6)+1)/((Ventes_Encaissements!$E$6:$E$3005=$B51)*(Ventes_Encaissements!$J$6:$J$3005=$G51)*(Ventes_Encaissements!$C$6:$C$3005&gt;=$C51-3)*(Ventes_Encaissements!$C$6:$C$3005&lt;=$C51+3)),1)))</f>
        <v/>
      </c>
      <c r="K51" s="6" t="n"/>
    </row>
    <row r="52">
      <c r="A52" s="6" t="n"/>
      <c r="B52" s="6" t="n"/>
      <c r="C52" s="19" t="n"/>
      <c r="D52" s="19" t="n"/>
      <c r="E52" s="6" t="n"/>
      <c r="F52" s="20" t="n"/>
      <c r="G52" s="9">
        <f>IF($F52="","",IF($F52&gt;0,ROUND($F52,2),""))</f>
        <v/>
      </c>
      <c r="H52" s="12">
        <f>IF(OR($B52="",$C52="",$G52=""),"",COUNTIFS(Ventes_Encaissements!$E$6:$E$3005,$B52,Ventes_Encaissements!$J$6:$J$3005,$G52,Ventes_Encaissements!$C$6:$C$3005,"&gt;="&amp;($C52-3),Ventes_Encaissements!$C$6:$C$3005,"&lt;="&amp;($C52+3)))</f>
        <v/>
      </c>
      <c r="I52" s="12">
        <f>IF($H52="","",IF($H52=0,"Non trouvé",IF($H52=1,"Match","À vérifier")))</f>
        <v/>
      </c>
      <c r="J52" s="21">
        <f>IF($I52&lt;&gt;"Match","",INDEX(Ventes_Encaissements!$B$6:$B$3005,_xludf.AGGREGATE(15,6,(ROW(Ventes_Encaissements!$B$6:$B$3005)-ROW(Ventes_Encaissements!$B$6)+1)/((Ventes_Encaissements!$E$6:$E$3005=$B52)*(Ventes_Encaissements!$J$6:$J$3005=$G52)*(Ventes_Encaissements!$C$6:$C$3005&gt;=$C52-3)*(Ventes_Encaissements!$C$6:$C$3005&lt;=$C52+3)),1)))</f>
        <v/>
      </c>
      <c r="K52" s="6" t="n"/>
    </row>
    <row r="53">
      <c r="A53" s="6" t="n"/>
      <c r="B53" s="6" t="n"/>
      <c r="C53" s="19" t="n"/>
      <c r="D53" s="19" t="n"/>
      <c r="E53" s="6" t="n"/>
      <c r="F53" s="20" t="n"/>
      <c r="G53" s="9">
        <f>IF($F53="","",IF($F53&gt;0,ROUND($F53,2),""))</f>
        <v/>
      </c>
      <c r="H53" s="12">
        <f>IF(OR($B53="",$C53="",$G53=""),"",COUNTIFS(Ventes_Encaissements!$E$6:$E$3005,$B53,Ventes_Encaissements!$J$6:$J$3005,$G53,Ventes_Encaissements!$C$6:$C$3005,"&gt;="&amp;($C53-3),Ventes_Encaissements!$C$6:$C$3005,"&lt;="&amp;($C53+3)))</f>
        <v/>
      </c>
      <c r="I53" s="12">
        <f>IF($H53="","",IF($H53=0,"Non trouvé",IF($H53=1,"Match","À vérifier")))</f>
        <v/>
      </c>
      <c r="J53" s="21">
        <f>IF($I53&lt;&gt;"Match","",INDEX(Ventes_Encaissements!$B$6:$B$3005,_xludf.AGGREGATE(15,6,(ROW(Ventes_Encaissements!$B$6:$B$3005)-ROW(Ventes_Encaissements!$B$6)+1)/((Ventes_Encaissements!$E$6:$E$3005=$B53)*(Ventes_Encaissements!$J$6:$J$3005=$G53)*(Ventes_Encaissements!$C$6:$C$3005&gt;=$C53-3)*(Ventes_Encaissements!$C$6:$C$3005&lt;=$C53+3)),1)))</f>
        <v/>
      </c>
      <c r="K53" s="6" t="n"/>
    </row>
    <row r="54">
      <c r="A54" s="6" t="n"/>
      <c r="B54" s="6" t="n"/>
      <c r="C54" s="19" t="n"/>
      <c r="D54" s="19" t="n"/>
      <c r="E54" s="6" t="n"/>
      <c r="F54" s="20" t="n"/>
      <c r="G54" s="9">
        <f>IF($F54="","",IF($F54&gt;0,ROUND($F54,2),""))</f>
        <v/>
      </c>
      <c r="H54" s="12">
        <f>IF(OR($B54="",$C54="",$G54=""),"",COUNTIFS(Ventes_Encaissements!$E$6:$E$3005,$B54,Ventes_Encaissements!$J$6:$J$3005,$G54,Ventes_Encaissements!$C$6:$C$3005,"&gt;="&amp;($C54-3),Ventes_Encaissements!$C$6:$C$3005,"&lt;="&amp;($C54+3)))</f>
        <v/>
      </c>
      <c r="I54" s="12">
        <f>IF($H54="","",IF($H54=0,"Non trouvé",IF($H54=1,"Match","À vérifier")))</f>
        <v/>
      </c>
      <c r="J54" s="21">
        <f>IF($I54&lt;&gt;"Match","",INDEX(Ventes_Encaissements!$B$6:$B$3005,_xludf.AGGREGATE(15,6,(ROW(Ventes_Encaissements!$B$6:$B$3005)-ROW(Ventes_Encaissements!$B$6)+1)/((Ventes_Encaissements!$E$6:$E$3005=$B54)*(Ventes_Encaissements!$J$6:$J$3005=$G54)*(Ventes_Encaissements!$C$6:$C$3005&gt;=$C54-3)*(Ventes_Encaissements!$C$6:$C$3005&lt;=$C54+3)),1)))</f>
        <v/>
      </c>
      <c r="K54" s="6" t="n"/>
    </row>
    <row r="55">
      <c r="A55" s="6" t="n"/>
      <c r="B55" s="6" t="n"/>
      <c r="C55" s="19" t="n"/>
      <c r="D55" s="19" t="n"/>
      <c r="E55" s="6" t="n"/>
      <c r="F55" s="20" t="n"/>
      <c r="G55" s="9">
        <f>IF($F55="","",IF($F55&gt;0,ROUND($F55,2),""))</f>
        <v/>
      </c>
      <c r="H55" s="12">
        <f>IF(OR($B55="",$C55="",$G55=""),"",COUNTIFS(Ventes_Encaissements!$E$6:$E$3005,$B55,Ventes_Encaissements!$J$6:$J$3005,$G55,Ventes_Encaissements!$C$6:$C$3005,"&gt;="&amp;($C55-3),Ventes_Encaissements!$C$6:$C$3005,"&lt;="&amp;($C55+3)))</f>
        <v/>
      </c>
      <c r="I55" s="12">
        <f>IF($H55="","",IF($H55=0,"Non trouvé",IF($H55=1,"Match","À vérifier")))</f>
        <v/>
      </c>
      <c r="J55" s="21">
        <f>IF($I55&lt;&gt;"Match","",INDEX(Ventes_Encaissements!$B$6:$B$3005,_xludf.AGGREGATE(15,6,(ROW(Ventes_Encaissements!$B$6:$B$3005)-ROW(Ventes_Encaissements!$B$6)+1)/((Ventes_Encaissements!$E$6:$E$3005=$B55)*(Ventes_Encaissements!$J$6:$J$3005=$G55)*(Ventes_Encaissements!$C$6:$C$3005&gt;=$C55-3)*(Ventes_Encaissements!$C$6:$C$3005&lt;=$C55+3)),1)))</f>
        <v/>
      </c>
      <c r="K55" s="6" t="n"/>
    </row>
    <row r="56">
      <c r="A56" s="6" t="n"/>
      <c r="B56" s="6" t="n"/>
      <c r="C56" s="19" t="n"/>
      <c r="D56" s="19" t="n"/>
      <c r="E56" s="6" t="n"/>
      <c r="F56" s="20" t="n"/>
      <c r="G56" s="9">
        <f>IF($F56="","",IF($F56&gt;0,ROUND($F56,2),""))</f>
        <v/>
      </c>
      <c r="H56" s="12">
        <f>IF(OR($B56="",$C56="",$G56=""),"",COUNTIFS(Ventes_Encaissements!$E$6:$E$3005,$B56,Ventes_Encaissements!$J$6:$J$3005,$G56,Ventes_Encaissements!$C$6:$C$3005,"&gt;="&amp;($C56-3),Ventes_Encaissements!$C$6:$C$3005,"&lt;="&amp;($C56+3)))</f>
        <v/>
      </c>
      <c r="I56" s="12">
        <f>IF($H56="","",IF($H56=0,"Non trouvé",IF($H56=1,"Match","À vérifier")))</f>
        <v/>
      </c>
      <c r="J56" s="21">
        <f>IF($I56&lt;&gt;"Match","",INDEX(Ventes_Encaissements!$B$6:$B$3005,_xludf.AGGREGATE(15,6,(ROW(Ventes_Encaissements!$B$6:$B$3005)-ROW(Ventes_Encaissements!$B$6)+1)/((Ventes_Encaissements!$E$6:$E$3005=$B56)*(Ventes_Encaissements!$J$6:$J$3005=$G56)*(Ventes_Encaissements!$C$6:$C$3005&gt;=$C56-3)*(Ventes_Encaissements!$C$6:$C$3005&lt;=$C56+3)),1)))</f>
        <v/>
      </c>
      <c r="K56" s="6" t="n"/>
    </row>
    <row r="57">
      <c r="A57" s="6" t="n"/>
      <c r="B57" s="6" t="n"/>
      <c r="C57" s="19" t="n"/>
      <c r="D57" s="19" t="n"/>
      <c r="E57" s="6" t="n"/>
      <c r="F57" s="20" t="n"/>
      <c r="G57" s="9">
        <f>IF($F57="","",IF($F57&gt;0,ROUND($F57,2),""))</f>
        <v/>
      </c>
      <c r="H57" s="12">
        <f>IF(OR($B57="",$C57="",$G57=""),"",COUNTIFS(Ventes_Encaissements!$E$6:$E$3005,$B57,Ventes_Encaissements!$J$6:$J$3005,$G57,Ventes_Encaissements!$C$6:$C$3005,"&gt;="&amp;($C57-3),Ventes_Encaissements!$C$6:$C$3005,"&lt;="&amp;($C57+3)))</f>
        <v/>
      </c>
      <c r="I57" s="12">
        <f>IF($H57="","",IF($H57=0,"Non trouvé",IF($H57=1,"Match","À vérifier")))</f>
        <v/>
      </c>
      <c r="J57" s="21">
        <f>IF($I57&lt;&gt;"Match","",INDEX(Ventes_Encaissements!$B$6:$B$3005,_xludf.AGGREGATE(15,6,(ROW(Ventes_Encaissements!$B$6:$B$3005)-ROW(Ventes_Encaissements!$B$6)+1)/((Ventes_Encaissements!$E$6:$E$3005=$B57)*(Ventes_Encaissements!$J$6:$J$3005=$G57)*(Ventes_Encaissements!$C$6:$C$3005&gt;=$C57-3)*(Ventes_Encaissements!$C$6:$C$3005&lt;=$C57+3)),1)))</f>
        <v/>
      </c>
      <c r="K57" s="6" t="n"/>
    </row>
    <row r="58">
      <c r="A58" s="6" t="n"/>
      <c r="B58" s="6" t="n"/>
      <c r="C58" s="19" t="n"/>
      <c r="D58" s="19" t="n"/>
      <c r="E58" s="6" t="n"/>
      <c r="F58" s="20" t="n"/>
      <c r="G58" s="9">
        <f>IF($F58="","",IF($F58&gt;0,ROUND($F58,2),""))</f>
        <v/>
      </c>
      <c r="H58" s="12">
        <f>IF(OR($B58="",$C58="",$G58=""),"",COUNTIFS(Ventes_Encaissements!$E$6:$E$3005,$B58,Ventes_Encaissements!$J$6:$J$3005,$G58,Ventes_Encaissements!$C$6:$C$3005,"&gt;="&amp;($C58-3),Ventes_Encaissements!$C$6:$C$3005,"&lt;="&amp;($C58+3)))</f>
        <v/>
      </c>
      <c r="I58" s="12">
        <f>IF($H58="","",IF($H58=0,"Non trouvé",IF($H58=1,"Match","À vérifier")))</f>
        <v/>
      </c>
      <c r="J58" s="21">
        <f>IF($I58&lt;&gt;"Match","",INDEX(Ventes_Encaissements!$B$6:$B$3005,_xludf.AGGREGATE(15,6,(ROW(Ventes_Encaissements!$B$6:$B$3005)-ROW(Ventes_Encaissements!$B$6)+1)/((Ventes_Encaissements!$E$6:$E$3005=$B58)*(Ventes_Encaissements!$J$6:$J$3005=$G58)*(Ventes_Encaissements!$C$6:$C$3005&gt;=$C58-3)*(Ventes_Encaissements!$C$6:$C$3005&lt;=$C58+3)),1)))</f>
        <v/>
      </c>
      <c r="K58" s="6" t="n"/>
    </row>
    <row r="59">
      <c r="A59" s="6" t="n"/>
      <c r="B59" s="6" t="n"/>
      <c r="C59" s="19" t="n"/>
      <c r="D59" s="19" t="n"/>
      <c r="E59" s="6" t="n"/>
      <c r="F59" s="20" t="n"/>
      <c r="G59" s="9">
        <f>IF($F59="","",IF($F59&gt;0,ROUND($F59,2),""))</f>
        <v/>
      </c>
      <c r="H59" s="12">
        <f>IF(OR($B59="",$C59="",$G59=""),"",COUNTIFS(Ventes_Encaissements!$E$6:$E$3005,$B59,Ventes_Encaissements!$J$6:$J$3005,$G59,Ventes_Encaissements!$C$6:$C$3005,"&gt;="&amp;($C59-3),Ventes_Encaissements!$C$6:$C$3005,"&lt;="&amp;($C59+3)))</f>
        <v/>
      </c>
      <c r="I59" s="12">
        <f>IF($H59="","",IF($H59=0,"Non trouvé",IF($H59=1,"Match","À vérifier")))</f>
        <v/>
      </c>
      <c r="J59" s="21">
        <f>IF($I59&lt;&gt;"Match","",INDEX(Ventes_Encaissements!$B$6:$B$3005,_xludf.AGGREGATE(15,6,(ROW(Ventes_Encaissements!$B$6:$B$3005)-ROW(Ventes_Encaissements!$B$6)+1)/((Ventes_Encaissements!$E$6:$E$3005=$B59)*(Ventes_Encaissements!$J$6:$J$3005=$G59)*(Ventes_Encaissements!$C$6:$C$3005&gt;=$C59-3)*(Ventes_Encaissements!$C$6:$C$3005&lt;=$C59+3)),1)))</f>
        <v/>
      </c>
      <c r="K59" s="6" t="n"/>
    </row>
    <row r="60">
      <c r="A60" s="6" t="n"/>
      <c r="B60" s="6" t="n"/>
      <c r="C60" s="19" t="n"/>
      <c r="D60" s="19" t="n"/>
      <c r="E60" s="6" t="n"/>
      <c r="F60" s="20" t="n"/>
      <c r="G60" s="9">
        <f>IF($F60="","",IF($F60&gt;0,ROUND($F60,2),""))</f>
        <v/>
      </c>
      <c r="H60" s="12">
        <f>IF(OR($B60="",$C60="",$G60=""),"",COUNTIFS(Ventes_Encaissements!$E$6:$E$3005,$B60,Ventes_Encaissements!$J$6:$J$3005,$G60,Ventes_Encaissements!$C$6:$C$3005,"&gt;="&amp;($C60-3),Ventes_Encaissements!$C$6:$C$3005,"&lt;="&amp;($C60+3)))</f>
        <v/>
      </c>
      <c r="I60" s="12">
        <f>IF($H60="","",IF($H60=0,"Non trouvé",IF($H60=1,"Match","À vérifier")))</f>
        <v/>
      </c>
      <c r="J60" s="21">
        <f>IF($I60&lt;&gt;"Match","",INDEX(Ventes_Encaissements!$B$6:$B$3005,_xludf.AGGREGATE(15,6,(ROW(Ventes_Encaissements!$B$6:$B$3005)-ROW(Ventes_Encaissements!$B$6)+1)/((Ventes_Encaissements!$E$6:$E$3005=$B60)*(Ventes_Encaissements!$J$6:$J$3005=$G60)*(Ventes_Encaissements!$C$6:$C$3005&gt;=$C60-3)*(Ventes_Encaissements!$C$6:$C$3005&lt;=$C60+3)),1)))</f>
        <v/>
      </c>
      <c r="K60" s="6" t="n"/>
    </row>
    <row r="61">
      <c r="A61" s="6" t="n"/>
      <c r="B61" s="6" t="n"/>
      <c r="C61" s="19" t="n"/>
      <c r="D61" s="19" t="n"/>
      <c r="E61" s="6" t="n"/>
      <c r="F61" s="20" t="n"/>
      <c r="G61" s="9">
        <f>IF($F61="","",IF($F61&gt;0,ROUND($F61,2),""))</f>
        <v/>
      </c>
      <c r="H61" s="12">
        <f>IF(OR($B61="",$C61="",$G61=""),"",COUNTIFS(Ventes_Encaissements!$E$6:$E$3005,$B61,Ventes_Encaissements!$J$6:$J$3005,$G61,Ventes_Encaissements!$C$6:$C$3005,"&gt;="&amp;($C61-3),Ventes_Encaissements!$C$6:$C$3005,"&lt;="&amp;($C61+3)))</f>
        <v/>
      </c>
      <c r="I61" s="12">
        <f>IF($H61="","",IF($H61=0,"Non trouvé",IF($H61=1,"Match","À vérifier")))</f>
        <v/>
      </c>
      <c r="J61" s="21">
        <f>IF($I61&lt;&gt;"Match","",INDEX(Ventes_Encaissements!$B$6:$B$3005,_xludf.AGGREGATE(15,6,(ROW(Ventes_Encaissements!$B$6:$B$3005)-ROW(Ventes_Encaissements!$B$6)+1)/((Ventes_Encaissements!$E$6:$E$3005=$B61)*(Ventes_Encaissements!$J$6:$J$3005=$G61)*(Ventes_Encaissements!$C$6:$C$3005&gt;=$C61-3)*(Ventes_Encaissements!$C$6:$C$3005&lt;=$C61+3)),1)))</f>
        <v/>
      </c>
      <c r="K61" s="6" t="n"/>
    </row>
    <row r="62">
      <c r="A62" s="6" t="n"/>
      <c r="B62" s="6" t="n"/>
      <c r="C62" s="19" t="n"/>
      <c r="D62" s="19" t="n"/>
      <c r="E62" s="6" t="n"/>
      <c r="F62" s="20" t="n"/>
      <c r="G62" s="9">
        <f>IF($F62="","",IF($F62&gt;0,ROUND($F62,2),""))</f>
        <v/>
      </c>
      <c r="H62" s="12">
        <f>IF(OR($B62="",$C62="",$G62=""),"",COUNTIFS(Ventes_Encaissements!$E$6:$E$3005,$B62,Ventes_Encaissements!$J$6:$J$3005,$G62,Ventes_Encaissements!$C$6:$C$3005,"&gt;="&amp;($C62-3),Ventes_Encaissements!$C$6:$C$3005,"&lt;="&amp;($C62+3)))</f>
        <v/>
      </c>
      <c r="I62" s="12">
        <f>IF($H62="","",IF($H62=0,"Non trouvé",IF($H62=1,"Match","À vérifier")))</f>
        <v/>
      </c>
      <c r="J62" s="21">
        <f>IF($I62&lt;&gt;"Match","",INDEX(Ventes_Encaissements!$B$6:$B$3005,_xludf.AGGREGATE(15,6,(ROW(Ventes_Encaissements!$B$6:$B$3005)-ROW(Ventes_Encaissements!$B$6)+1)/((Ventes_Encaissements!$E$6:$E$3005=$B62)*(Ventes_Encaissements!$J$6:$J$3005=$G62)*(Ventes_Encaissements!$C$6:$C$3005&gt;=$C62-3)*(Ventes_Encaissements!$C$6:$C$3005&lt;=$C62+3)),1)))</f>
        <v/>
      </c>
      <c r="K62" s="6" t="n"/>
    </row>
    <row r="63">
      <c r="A63" s="6" t="n"/>
      <c r="B63" s="6" t="n"/>
      <c r="C63" s="19" t="n"/>
      <c r="D63" s="19" t="n"/>
      <c r="E63" s="6" t="n"/>
      <c r="F63" s="20" t="n"/>
      <c r="G63" s="9">
        <f>IF($F63="","",IF($F63&gt;0,ROUND($F63,2),""))</f>
        <v/>
      </c>
      <c r="H63" s="12">
        <f>IF(OR($B63="",$C63="",$G63=""),"",COUNTIFS(Ventes_Encaissements!$E$6:$E$3005,$B63,Ventes_Encaissements!$J$6:$J$3005,$G63,Ventes_Encaissements!$C$6:$C$3005,"&gt;="&amp;($C63-3),Ventes_Encaissements!$C$6:$C$3005,"&lt;="&amp;($C63+3)))</f>
        <v/>
      </c>
      <c r="I63" s="12">
        <f>IF($H63="","",IF($H63=0,"Non trouvé",IF($H63=1,"Match","À vérifier")))</f>
        <v/>
      </c>
      <c r="J63" s="21">
        <f>IF($I63&lt;&gt;"Match","",INDEX(Ventes_Encaissements!$B$6:$B$3005,_xludf.AGGREGATE(15,6,(ROW(Ventes_Encaissements!$B$6:$B$3005)-ROW(Ventes_Encaissements!$B$6)+1)/((Ventes_Encaissements!$E$6:$E$3005=$B63)*(Ventes_Encaissements!$J$6:$J$3005=$G63)*(Ventes_Encaissements!$C$6:$C$3005&gt;=$C63-3)*(Ventes_Encaissements!$C$6:$C$3005&lt;=$C63+3)),1)))</f>
        <v/>
      </c>
      <c r="K63" s="6" t="n"/>
    </row>
    <row r="64">
      <c r="A64" s="6" t="n"/>
      <c r="B64" s="6" t="n"/>
      <c r="C64" s="19" t="n"/>
      <c r="D64" s="19" t="n"/>
      <c r="E64" s="6" t="n"/>
      <c r="F64" s="20" t="n"/>
      <c r="G64" s="9">
        <f>IF($F64="","",IF($F64&gt;0,ROUND($F64,2),""))</f>
        <v/>
      </c>
      <c r="H64" s="12">
        <f>IF(OR($B64="",$C64="",$G64=""),"",COUNTIFS(Ventes_Encaissements!$E$6:$E$3005,$B64,Ventes_Encaissements!$J$6:$J$3005,$G64,Ventes_Encaissements!$C$6:$C$3005,"&gt;="&amp;($C64-3),Ventes_Encaissements!$C$6:$C$3005,"&lt;="&amp;($C64+3)))</f>
        <v/>
      </c>
      <c r="I64" s="12">
        <f>IF($H64="","",IF($H64=0,"Non trouvé",IF($H64=1,"Match","À vérifier")))</f>
        <v/>
      </c>
      <c r="J64" s="21">
        <f>IF($I64&lt;&gt;"Match","",INDEX(Ventes_Encaissements!$B$6:$B$3005,_xludf.AGGREGATE(15,6,(ROW(Ventes_Encaissements!$B$6:$B$3005)-ROW(Ventes_Encaissements!$B$6)+1)/((Ventes_Encaissements!$E$6:$E$3005=$B64)*(Ventes_Encaissements!$J$6:$J$3005=$G64)*(Ventes_Encaissements!$C$6:$C$3005&gt;=$C64-3)*(Ventes_Encaissements!$C$6:$C$3005&lt;=$C64+3)),1)))</f>
        <v/>
      </c>
      <c r="K64" s="6" t="n"/>
    </row>
    <row r="65">
      <c r="A65" s="6" t="n"/>
      <c r="B65" s="6" t="n"/>
      <c r="C65" s="19" t="n"/>
      <c r="D65" s="19" t="n"/>
      <c r="E65" s="6" t="n"/>
      <c r="F65" s="20" t="n"/>
      <c r="G65" s="9">
        <f>IF($F65="","",IF($F65&gt;0,ROUND($F65,2),""))</f>
        <v/>
      </c>
      <c r="H65" s="12">
        <f>IF(OR($B65="",$C65="",$G65=""),"",COUNTIFS(Ventes_Encaissements!$E$6:$E$3005,$B65,Ventes_Encaissements!$J$6:$J$3005,$G65,Ventes_Encaissements!$C$6:$C$3005,"&gt;="&amp;($C65-3),Ventes_Encaissements!$C$6:$C$3005,"&lt;="&amp;($C65+3)))</f>
        <v/>
      </c>
      <c r="I65" s="12">
        <f>IF($H65="","",IF($H65=0,"Non trouvé",IF($H65=1,"Match","À vérifier")))</f>
        <v/>
      </c>
      <c r="J65" s="21">
        <f>IF($I65&lt;&gt;"Match","",INDEX(Ventes_Encaissements!$B$6:$B$3005,_xludf.AGGREGATE(15,6,(ROW(Ventes_Encaissements!$B$6:$B$3005)-ROW(Ventes_Encaissements!$B$6)+1)/((Ventes_Encaissements!$E$6:$E$3005=$B65)*(Ventes_Encaissements!$J$6:$J$3005=$G65)*(Ventes_Encaissements!$C$6:$C$3005&gt;=$C65-3)*(Ventes_Encaissements!$C$6:$C$3005&lt;=$C65+3)),1)))</f>
        <v/>
      </c>
      <c r="K65" s="6" t="n"/>
    </row>
    <row r="66">
      <c r="A66" s="6" t="n"/>
      <c r="B66" s="6" t="n"/>
      <c r="C66" s="19" t="n"/>
      <c r="D66" s="19" t="n"/>
      <c r="E66" s="6" t="n"/>
      <c r="F66" s="20" t="n"/>
      <c r="G66" s="9">
        <f>IF($F66="","",IF($F66&gt;0,ROUND($F66,2),""))</f>
        <v/>
      </c>
      <c r="H66" s="12">
        <f>IF(OR($B66="",$C66="",$G66=""),"",COUNTIFS(Ventes_Encaissements!$E$6:$E$3005,$B66,Ventes_Encaissements!$J$6:$J$3005,$G66,Ventes_Encaissements!$C$6:$C$3005,"&gt;="&amp;($C66-3),Ventes_Encaissements!$C$6:$C$3005,"&lt;="&amp;($C66+3)))</f>
        <v/>
      </c>
      <c r="I66" s="12">
        <f>IF($H66="","",IF($H66=0,"Non trouvé",IF($H66=1,"Match","À vérifier")))</f>
        <v/>
      </c>
      <c r="J66" s="21">
        <f>IF($I66&lt;&gt;"Match","",INDEX(Ventes_Encaissements!$B$6:$B$3005,_xludf.AGGREGATE(15,6,(ROW(Ventes_Encaissements!$B$6:$B$3005)-ROW(Ventes_Encaissements!$B$6)+1)/((Ventes_Encaissements!$E$6:$E$3005=$B66)*(Ventes_Encaissements!$J$6:$J$3005=$G66)*(Ventes_Encaissements!$C$6:$C$3005&gt;=$C66-3)*(Ventes_Encaissements!$C$6:$C$3005&lt;=$C66+3)),1)))</f>
        <v/>
      </c>
      <c r="K66" s="6" t="n"/>
    </row>
    <row r="67">
      <c r="A67" s="6" t="n"/>
      <c r="B67" s="6" t="n"/>
      <c r="C67" s="19" t="n"/>
      <c r="D67" s="19" t="n"/>
      <c r="E67" s="6" t="n"/>
      <c r="F67" s="20" t="n"/>
      <c r="G67" s="9">
        <f>IF($F67="","",IF($F67&gt;0,ROUND($F67,2),""))</f>
        <v/>
      </c>
      <c r="H67" s="12">
        <f>IF(OR($B67="",$C67="",$G67=""),"",COUNTIFS(Ventes_Encaissements!$E$6:$E$3005,$B67,Ventes_Encaissements!$J$6:$J$3005,$G67,Ventes_Encaissements!$C$6:$C$3005,"&gt;="&amp;($C67-3),Ventes_Encaissements!$C$6:$C$3005,"&lt;="&amp;($C67+3)))</f>
        <v/>
      </c>
      <c r="I67" s="12">
        <f>IF($H67="","",IF($H67=0,"Non trouvé",IF($H67=1,"Match","À vérifier")))</f>
        <v/>
      </c>
      <c r="J67" s="21">
        <f>IF($I67&lt;&gt;"Match","",INDEX(Ventes_Encaissements!$B$6:$B$3005,_xludf.AGGREGATE(15,6,(ROW(Ventes_Encaissements!$B$6:$B$3005)-ROW(Ventes_Encaissements!$B$6)+1)/((Ventes_Encaissements!$E$6:$E$3005=$B67)*(Ventes_Encaissements!$J$6:$J$3005=$G67)*(Ventes_Encaissements!$C$6:$C$3005&gt;=$C67-3)*(Ventes_Encaissements!$C$6:$C$3005&lt;=$C67+3)),1)))</f>
        <v/>
      </c>
      <c r="K67" s="6" t="n"/>
    </row>
    <row r="68">
      <c r="A68" s="6" t="n"/>
      <c r="B68" s="6" t="n"/>
      <c r="C68" s="19" t="n"/>
      <c r="D68" s="19" t="n"/>
      <c r="E68" s="6" t="n"/>
      <c r="F68" s="20" t="n"/>
      <c r="G68" s="9">
        <f>IF($F68="","",IF($F68&gt;0,ROUND($F68,2),""))</f>
        <v/>
      </c>
      <c r="H68" s="12">
        <f>IF(OR($B68="",$C68="",$G68=""),"",COUNTIFS(Ventes_Encaissements!$E$6:$E$3005,$B68,Ventes_Encaissements!$J$6:$J$3005,$G68,Ventes_Encaissements!$C$6:$C$3005,"&gt;="&amp;($C68-3),Ventes_Encaissements!$C$6:$C$3005,"&lt;="&amp;($C68+3)))</f>
        <v/>
      </c>
      <c r="I68" s="12">
        <f>IF($H68="","",IF($H68=0,"Non trouvé",IF($H68=1,"Match","À vérifier")))</f>
        <v/>
      </c>
      <c r="J68" s="21">
        <f>IF($I68&lt;&gt;"Match","",INDEX(Ventes_Encaissements!$B$6:$B$3005,_xludf.AGGREGATE(15,6,(ROW(Ventes_Encaissements!$B$6:$B$3005)-ROW(Ventes_Encaissements!$B$6)+1)/((Ventes_Encaissements!$E$6:$E$3005=$B68)*(Ventes_Encaissements!$J$6:$J$3005=$G68)*(Ventes_Encaissements!$C$6:$C$3005&gt;=$C68-3)*(Ventes_Encaissements!$C$6:$C$3005&lt;=$C68+3)),1)))</f>
        <v/>
      </c>
      <c r="K68" s="6" t="n"/>
    </row>
    <row r="69">
      <c r="A69" s="6" t="n"/>
      <c r="B69" s="6" t="n"/>
      <c r="C69" s="19" t="n"/>
      <c r="D69" s="19" t="n"/>
      <c r="E69" s="6" t="n"/>
      <c r="F69" s="20" t="n"/>
      <c r="G69" s="9">
        <f>IF($F69="","",IF($F69&gt;0,ROUND($F69,2),""))</f>
        <v/>
      </c>
      <c r="H69" s="12">
        <f>IF(OR($B69="",$C69="",$G69=""),"",COUNTIFS(Ventes_Encaissements!$E$6:$E$3005,$B69,Ventes_Encaissements!$J$6:$J$3005,$G69,Ventes_Encaissements!$C$6:$C$3005,"&gt;="&amp;($C69-3),Ventes_Encaissements!$C$6:$C$3005,"&lt;="&amp;($C69+3)))</f>
        <v/>
      </c>
      <c r="I69" s="12">
        <f>IF($H69="","",IF($H69=0,"Non trouvé",IF($H69=1,"Match","À vérifier")))</f>
        <v/>
      </c>
      <c r="J69" s="21">
        <f>IF($I69&lt;&gt;"Match","",INDEX(Ventes_Encaissements!$B$6:$B$3005,_xludf.AGGREGATE(15,6,(ROW(Ventes_Encaissements!$B$6:$B$3005)-ROW(Ventes_Encaissements!$B$6)+1)/((Ventes_Encaissements!$E$6:$E$3005=$B69)*(Ventes_Encaissements!$J$6:$J$3005=$G69)*(Ventes_Encaissements!$C$6:$C$3005&gt;=$C69-3)*(Ventes_Encaissements!$C$6:$C$3005&lt;=$C69+3)),1)))</f>
        <v/>
      </c>
      <c r="K69" s="6" t="n"/>
    </row>
    <row r="70">
      <c r="A70" s="6" t="n"/>
      <c r="B70" s="6" t="n"/>
      <c r="C70" s="19" t="n"/>
      <c r="D70" s="19" t="n"/>
      <c r="E70" s="6" t="n"/>
      <c r="F70" s="20" t="n"/>
      <c r="G70" s="9">
        <f>IF($F70="","",IF($F70&gt;0,ROUND($F70,2),""))</f>
        <v/>
      </c>
      <c r="H70" s="12">
        <f>IF(OR($B70="",$C70="",$G70=""),"",COUNTIFS(Ventes_Encaissements!$E$6:$E$3005,$B70,Ventes_Encaissements!$J$6:$J$3005,$G70,Ventes_Encaissements!$C$6:$C$3005,"&gt;="&amp;($C70-3),Ventes_Encaissements!$C$6:$C$3005,"&lt;="&amp;($C70+3)))</f>
        <v/>
      </c>
      <c r="I70" s="12">
        <f>IF($H70="","",IF($H70=0,"Non trouvé",IF($H70=1,"Match","À vérifier")))</f>
        <v/>
      </c>
      <c r="J70" s="21">
        <f>IF($I70&lt;&gt;"Match","",INDEX(Ventes_Encaissements!$B$6:$B$3005,_xludf.AGGREGATE(15,6,(ROW(Ventes_Encaissements!$B$6:$B$3005)-ROW(Ventes_Encaissements!$B$6)+1)/((Ventes_Encaissements!$E$6:$E$3005=$B70)*(Ventes_Encaissements!$J$6:$J$3005=$G70)*(Ventes_Encaissements!$C$6:$C$3005&gt;=$C70-3)*(Ventes_Encaissements!$C$6:$C$3005&lt;=$C70+3)),1)))</f>
        <v/>
      </c>
      <c r="K70" s="6" t="n"/>
    </row>
    <row r="71">
      <c r="A71" s="6" t="n"/>
      <c r="B71" s="6" t="n"/>
      <c r="C71" s="19" t="n"/>
      <c r="D71" s="19" t="n"/>
      <c r="E71" s="6" t="n"/>
      <c r="F71" s="20" t="n"/>
      <c r="G71" s="9">
        <f>IF($F71="","",IF($F71&gt;0,ROUND($F71,2),""))</f>
        <v/>
      </c>
      <c r="H71" s="12">
        <f>IF(OR($B71="",$C71="",$G71=""),"",COUNTIFS(Ventes_Encaissements!$E$6:$E$3005,$B71,Ventes_Encaissements!$J$6:$J$3005,$G71,Ventes_Encaissements!$C$6:$C$3005,"&gt;="&amp;($C71-3),Ventes_Encaissements!$C$6:$C$3005,"&lt;="&amp;($C71+3)))</f>
        <v/>
      </c>
      <c r="I71" s="12">
        <f>IF($H71="","",IF($H71=0,"Non trouvé",IF($H71=1,"Match","À vérifier")))</f>
        <v/>
      </c>
      <c r="J71" s="21">
        <f>IF($I71&lt;&gt;"Match","",INDEX(Ventes_Encaissements!$B$6:$B$3005,_xludf.AGGREGATE(15,6,(ROW(Ventes_Encaissements!$B$6:$B$3005)-ROW(Ventes_Encaissements!$B$6)+1)/((Ventes_Encaissements!$E$6:$E$3005=$B71)*(Ventes_Encaissements!$J$6:$J$3005=$G71)*(Ventes_Encaissements!$C$6:$C$3005&gt;=$C71-3)*(Ventes_Encaissements!$C$6:$C$3005&lt;=$C71+3)),1)))</f>
        <v/>
      </c>
      <c r="K71" s="6" t="n"/>
    </row>
    <row r="72">
      <c r="A72" s="6" t="n"/>
      <c r="B72" s="6" t="n"/>
      <c r="C72" s="19" t="n"/>
      <c r="D72" s="19" t="n"/>
      <c r="E72" s="6" t="n"/>
      <c r="F72" s="20" t="n"/>
      <c r="G72" s="9">
        <f>IF($F72="","",IF($F72&gt;0,ROUND($F72,2),""))</f>
        <v/>
      </c>
      <c r="H72" s="12">
        <f>IF(OR($B72="",$C72="",$G72=""),"",COUNTIFS(Ventes_Encaissements!$E$6:$E$3005,$B72,Ventes_Encaissements!$J$6:$J$3005,$G72,Ventes_Encaissements!$C$6:$C$3005,"&gt;="&amp;($C72-3),Ventes_Encaissements!$C$6:$C$3005,"&lt;="&amp;($C72+3)))</f>
        <v/>
      </c>
      <c r="I72" s="12">
        <f>IF($H72="","",IF($H72=0,"Non trouvé",IF($H72=1,"Match","À vérifier")))</f>
        <v/>
      </c>
      <c r="J72" s="21">
        <f>IF($I72&lt;&gt;"Match","",INDEX(Ventes_Encaissements!$B$6:$B$3005,_xludf.AGGREGATE(15,6,(ROW(Ventes_Encaissements!$B$6:$B$3005)-ROW(Ventes_Encaissements!$B$6)+1)/((Ventes_Encaissements!$E$6:$E$3005=$B72)*(Ventes_Encaissements!$J$6:$J$3005=$G72)*(Ventes_Encaissements!$C$6:$C$3005&gt;=$C72-3)*(Ventes_Encaissements!$C$6:$C$3005&lt;=$C72+3)),1)))</f>
        <v/>
      </c>
      <c r="K72" s="6" t="n"/>
    </row>
    <row r="73">
      <c r="A73" s="6" t="n"/>
      <c r="B73" s="6" t="n"/>
      <c r="C73" s="19" t="n"/>
      <c r="D73" s="19" t="n"/>
      <c r="E73" s="6" t="n"/>
      <c r="F73" s="20" t="n"/>
      <c r="G73" s="9">
        <f>IF($F73="","",IF($F73&gt;0,ROUND($F73,2),""))</f>
        <v/>
      </c>
      <c r="H73" s="12">
        <f>IF(OR($B73="",$C73="",$G73=""),"",COUNTIFS(Ventes_Encaissements!$E$6:$E$3005,$B73,Ventes_Encaissements!$J$6:$J$3005,$G73,Ventes_Encaissements!$C$6:$C$3005,"&gt;="&amp;($C73-3),Ventes_Encaissements!$C$6:$C$3005,"&lt;="&amp;($C73+3)))</f>
        <v/>
      </c>
      <c r="I73" s="12">
        <f>IF($H73="","",IF($H73=0,"Non trouvé",IF($H73=1,"Match","À vérifier")))</f>
        <v/>
      </c>
      <c r="J73" s="21">
        <f>IF($I73&lt;&gt;"Match","",INDEX(Ventes_Encaissements!$B$6:$B$3005,_xludf.AGGREGATE(15,6,(ROW(Ventes_Encaissements!$B$6:$B$3005)-ROW(Ventes_Encaissements!$B$6)+1)/((Ventes_Encaissements!$E$6:$E$3005=$B73)*(Ventes_Encaissements!$J$6:$J$3005=$G73)*(Ventes_Encaissements!$C$6:$C$3005&gt;=$C73-3)*(Ventes_Encaissements!$C$6:$C$3005&lt;=$C73+3)),1)))</f>
        <v/>
      </c>
      <c r="K73" s="6" t="n"/>
    </row>
    <row r="74">
      <c r="A74" s="6" t="n"/>
      <c r="B74" s="6" t="n"/>
      <c r="C74" s="19" t="n"/>
      <c r="D74" s="19" t="n"/>
      <c r="E74" s="6" t="n"/>
      <c r="F74" s="20" t="n"/>
      <c r="G74" s="9">
        <f>IF($F74="","",IF($F74&gt;0,ROUND($F74,2),""))</f>
        <v/>
      </c>
      <c r="H74" s="12">
        <f>IF(OR($B74="",$C74="",$G74=""),"",COUNTIFS(Ventes_Encaissements!$E$6:$E$3005,$B74,Ventes_Encaissements!$J$6:$J$3005,$G74,Ventes_Encaissements!$C$6:$C$3005,"&gt;="&amp;($C74-3),Ventes_Encaissements!$C$6:$C$3005,"&lt;="&amp;($C74+3)))</f>
        <v/>
      </c>
      <c r="I74" s="12">
        <f>IF($H74="","",IF($H74=0,"Non trouvé",IF($H74=1,"Match","À vérifier")))</f>
        <v/>
      </c>
      <c r="J74" s="21">
        <f>IF($I74&lt;&gt;"Match","",INDEX(Ventes_Encaissements!$B$6:$B$3005,_xludf.AGGREGATE(15,6,(ROW(Ventes_Encaissements!$B$6:$B$3005)-ROW(Ventes_Encaissements!$B$6)+1)/((Ventes_Encaissements!$E$6:$E$3005=$B74)*(Ventes_Encaissements!$J$6:$J$3005=$G74)*(Ventes_Encaissements!$C$6:$C$3005&gt;=$C74-3)*(Ventes_Encaissements!$C$6:$C$3005&lt;=$C74+3)),1)))</f>
        <v/>
      </c>
      <c r="K74" s="6" t="n"/>
    </row>
    <row r="75">
      <c r="A75" s="6" t="n"/>
      <c r="B75" s="6" t="n"/>
      <c r="C75" s="19" t="n"/>
      <c r="D75" s="19" t="n"/>
      <c r="E75" s="6" t="n"/>
      <c r="F75" s="20" t="n"/>
      <c r="G75" s="9">
        <f>IF($F75="","",IF($F75&gt;0,ROUND($F75,2),""))</f>
        <v/>
      </c>
      <c r="H75" s="12">
        <f>IF(OR($B75="",$C75="",$G75=""),"",COUNTIFS(Ventes_Encaissements!$E$6:$E$3005,$B75,Ventes_Encaissements!$J$6:$J$3005,$G75,Ventes_Encaissements!$C$6:$C$3005,"&gt;="&amp;($C75-3),Ventes_Encaissements!$C$6:$C$3005,"&lt;="&amp;($C75+3)))</f>
        <v/>
      </c>
      <c r="I75" s="12">
        <f>IF($H75="","",IF($H75=0,"Non trouvé",IF($H75=1,"Match","À vérifier")))</f>
        <v/>
      </c>
      <c r="J75" s="21">
        <f>IF($I75&lt;&gt;"Match","",INDEX(Ventes_Encaissements!$B$6:$B$3005,_xludf.AGGREGATE(15,6,(ROW(Ventes_Encaissements!$B$6:$B$3005)-ROW(Ventes_Encaissements!$B$6)+1)/((Ventes_Encaissements!$E$6:$E$3005=$B75)*(Ventes_Encaissements!$J$6:$J$3005=$G75)*(Ventes_Encaissements!$C$6:$C$3005&gt;=$C75-3)*(Ventes_Encaissements!$C$6:$C$3005&lt;=$C75+3)),1)))</f>
        <v/>
      </c>
      <c r="K75" s="6" t="n"/>
    </row>
    <row r="76">
      <c r="A76" s="6" t="n"/>
      <c r="B76" s="6" t="n"/>
      <c r="C76" s="19" t="n"/>
      <c r="D76" s="19" t="n"/>
      <c r="E76" s="6" t="n"/>
      <c r="F76" s="20" t="n"/>
      <c r="G76" s="9">
        <f>IF($F76="","",IF($F76&gt;0,ROUND($F76,2),""))</f>
        <v/>
      </c>
      <c r="H76" s="12">
        <f>IF(OR($B76="",$C76="",$G76=""),"",COUNTIFS(Ventes_Encaissements!$E$6:$E$3005,$B76,Ventes_Encaissements!$J$6:$J$3005,$G76,Ventes_Encaissements!$C$6:$C$3005,"&gt;="&amp;($C76-3),Ventes_Encaissements!$C$6:$C$3005,"&lt;="&amp;($C76+3)))</f>
        <v/>
      </c>
      <c r="I76" s="12">
        <f>IF($H76="","",IF($H76=0,"Non trouvé",IF($H76=1,"Match","À vérifier")))</f>
        <v/>
      </c>
      <c r="J76" s="21">
        <f>IF($I76&lt;&gt;"Match","",INDEX(Ventes_Encaissements!$B$6:$B$3005,_xludf.AGGREGATE(15,6,(ROW(Ventes_Encaissements!$B$6:$B$3005)-ROW(Ventes_Encaissements!$B$6)+1)/((Ventes_Encaissements!$E$6:$E$3005=$B76)*(Ventes_Encaissements!$J$6:$J$3005=$G76)*(Ventes_Encaissements!$C$6:$C$3005&gt;=$C76-3)*(Ventes_Encaissements!$C$6:$C$3005&lt;=$C76+3)),1)))</f>
        <v/>
      </c>
      <c r="K76" s="6" t="n"/>
    </row>
    <row r="77">
      <c r="A77" s="6" t="n"/>
      <c r="B77" s="6" t="n"/>
      <c r="C77" s="19" t="n"/>
      <c r="D77" s="19" t="n"/>
      <c r="E77" s="6" t="n"/>
      <c r="F77" s="20" t="n"/>
      <c r="G77" s="9">
        <f>IF($F77="","",IF($F77&gt;0,ROUND($F77,2),""))</f>
        <v/>
      </c>
      <c r="H77" s="12">
        <f>IF(OR($B77="",$C77="",$G77=""),"",COUNTIFS(Ventes_Encaissements!$E$6:$E$3005,$B77,Ventes_Encaissements!$J$6:$J$3005,$G77,Ventes_Encaissements!$C$6:$C$3005,"&gt;="&amp;($C77-3),Ventes_Encaissements!$C$6:$C$3005,"&lt;="&amp;($C77+3)))</f>
        <v/>
      </c>
      <c r="I77" s="12">
        <f>IF($H77="","",IF($H77=0,"Non trouvé",IF($H77=1,"Match","À vérifier")))</f>
        <v/>
      </c>
      <c r="J77" s="21">
        <f>IF($I77&lt;&gt;"Match","",INDEX(Ventes_Encaissements!$B$6:$B$3005,_xludf.AGGREGATE(15,6,(ROW(Ventes_Encaissements!$B$6:$B$3005)-ROW(Ventes_Encaissements!$B$6)+1)/((Ventes_Encaissements!$E$6:$E$3005=$B77)*(Ventes_Encaissements!$J$6:$J$3005=$G77)*(Ventes_Encaissements!$C$6:$C$3005&gt;=$C77-3)*(Ventes_Encaissements!$C$6:$C$3005&lt;=$C77+3)),1)))</f>
        <v/>
      </c>
      <c r="K77" s="6" t="n"/>
    </row>
    <row r="78">
      <c r="A78" s="6" t="n"/>
      <c r="B78" s="6" t="n"/>
      <c r="C78" s="19" t="n"/>
      <c r="D78" s="19" t="n"/>
      <c r="E78" s="6" t="n"/>
      <c r="F78" s="20" t="n"/>
      <c r="G78" s="9">
        <f>IF($F78="","",IF($F78&gt;0,ROUND($F78,2),""))</f>
        <v/>
      </c>
      <c r="H78" s="12">
        <f>IF(OR($B78="",$C78="",$G78=""),"",COUNTIFS(Ventes_Encaissements!$E$6:$E$3005,$B78,Ventes_Encaissements!$J$6:$J$3005,$G78,Ventes_Encaissements!$C$6:$C$3005,"&gt;="&amp;($C78-3),Ventes_Encaissements!$C$6:$C$3005,"&lt;="&amp;($C78+3)))</f>
        <v/>
      </c>
      <c r="I78" s="12">
        <f>IF($H78="","",IF($H78=0,"Non trouvé",IF($H78=1,"Match","À vérifier")))</f>
        <v/>
      </c>
      <c r="J78" s="21">
        <f>IF($I78&lt;&gt;"Match","",INDEX(Ventes_Encaissements!$B$6:$B$3005,_xludf.AGGREGATE(15,6,(ROW(Ventes_Encaissements!$B$6:$B$3005)-ROW(Ventes_Encaissements!$B$6)+1)/((Ventes_Encaissements!$E$6:$E$3005=$B78)*(Ventes_Encaissements!$J$6:$J$3005=$G78)*(Ventes_Encaissements!$C$6:$C$3005&gt;=$C78-3)*(Ventes_Encaissements!$C$6:$C$3005&lt;=$C78+3)),1)))</f>
        <v/>
      </c>
      <c r="K78" s="6" t="n"/>
    </row>
    <row r="79">
      <c r="A79" s="6" t="n"/>
      <c r="B79" s="6" t="n"/>
      <c r="C79" s="19" t="n"/>
      <c r="D79" s="19" t="n"/>
      <c r="E79" s="6" t="n"/>
      <c r="F79" s="20" t="n"/>
      <c r="G79" s="9">
        <f>IF($F79="","",IF($F79&gt;0,ROUND($F79,2),""))</f>
        <v/>
      </c>
      <c r="H79" s="12">
        <f>IF(OR($B79="",$C79="",$G79=""),"",COUNTIFS(Ventes_Encaissements!$E$6:$E$3005,$B79,Ventes_Encaissements!$J$6:$J$3005,$G79,Ventes_Encaissements!$C$6:$C$3005,"&gt;="&amp;($C79-3),Ventes_Encaissements!$C$6:$C$3005,"&lt;="&amp;($C79+3)))</f>
        <v/>
      </c>
      <c r="I79" s="12">
        <f>IF($H79="","",IF($H79=0,"Non trouvé",IF($H79=1,"Match","À vérifier")))</f>
        <v/>
      </c>
      <c r="J79" s="21">
        <f>IF($I79&lt;&gt;"Match","",INDEX(Ventes_Encaissements!$B$6:$B$3005,_xludf.AGGREGATE(15,6,(ROW(Ventes_Encaissements!$B$6:$B$3005)-ROW(Ventes_Encaissements!$B$6)+1)/((Ventes_Encaissements!$E$6:$E$3005=$B79)*(Ventes_Encaissements!$J$6:$J$3005=$G79)*(Ventes_Encaissements!$C$6:$C$3005&gt;=$C79-3)*(Ventes_Encaissements!$C$6:$C$3005&lt;=$C79+3)),1)))</f>
        <v/>
      </c>
      <c r="K79" s="6" t="n"/>
    </row>
    <row r="80">
      <c r="A80" s="6" t="n"/>
      <c r="B80" s="6" t="n"/>
      <c r="C80" s="19" t="n"/>
      <c r="D80" s="19" t="n"/>
      <c r="E80" s="6" t="n"/>
      <c r="F80" s="20" t="n"/>
      <c r="G80" s="9">
        <f>IF($F80="","",IF($F80&gt;0,ROUND($F80,2),""))</f>
        <v/>
      </c>
      <c r="H80" s="12">
        <f>IF(OR($B80="",$C80="",$G80=""),"",COUNTIFS(Ventes_Encaissements!$E$6:$E$3005,$B80,Ventes_Encaissements!$J$6:$J$3005,$G80,Ventes_Encaissements!$C$6:$C$3005,"&gt;="&amp;($C80-3),Ventes_Encaissements!$C$6:$C$3005,"&lt;="&amp;($C80+3)))</f>
        <v/>
      </c>
      <c r="I80" s="12">
        <f>IF($H80="","",IF($H80=0,"Non trouvé",IF($H80=1,"Match","À vérifier")))</f>
        <v/>
      </c>
      <c r="J80" s="21">
        <f>IF($I80&lt;&gt;"Match","",INDEX(Ventes_Encaissements!$B$6:$B$3005,_xludf.AGGREGATE(15,6,(ROW(Ventes_Encaissements!$B$6:$B$3005)-ROW(Ventes_Encaissements!$B$6)+1)/((Ventes_Encaissements!$E$6:$E$3005=$B80)*(Ventes_Encaissements!$J$6:$J$3005=$G80)*(Ventes_Encaissements!$C$6:$C$3005&gt;=$C80-3)*(Ventes_Encaissements!$C$6:$C$3005&lt;=$C80+3)),1)))</f>
        <v/>
      </c>
      <c r="K80" s="6" t="n"/>
    </row>
    <row r="81">
      <c r="A81" s="6" t="n"/>
      <c r="B81" s="6" t="n"/>
      <c r="C81" s="19" t="n"/>
      <c r="D81" s="19" t="n"/>
      <c r="E81" s="6" t="n"/>
      <c r="F81" s="20" t="n"/>
      <c r="G81" s="9">
        <f>IF($F81="","",IF($F81&gt;0,ROUND($F81,2),""))</f>
        <v/>
      </c>
      <c r="H81" s="12">
        <f>IF(OR($B81="",$C81="",$G81=""),"",COUNTIFS(Ventes_Encaissements!$E$6:$E$3005,$B81,Ventes_Encaissements!$J$6:$J$3005,$G81,Ventes_Encaissements!$C$6:$C$3005,"&gt;="&amp;($C81-3),Ventes_Encaissements!$C$6:$C$3005,"&lt;="&amp;($C81+3)))</f>
        <v/>
      </c>
      <c r="I81" s="12">
        <f>IF($H81="","",IF($H81=0,"Non trouvé",IF($H81=1,"Match","À vérifier")))</f>
        <v/>
      </c>
      <c r="J81" s="21">
        <f>IF($I81&lt;&gt;"Match","",INDEX(Ventes_Encaissements!$B$6:$B$3005,_xludf.AGGREGATE(15,6,(ROW(Ventes_Encaissements!$B$6:$B$3005)-ROW(Ventes_Encaissements!$B$6)+1)/((Ventes_Encaissements!$E$6:$E$3005=$B81)*(Ventes_Encaissements!$J$6:$J$3005=$G81)*(Ventes_Encaissements!$C$6:$C$3005&gt;=$C81-3)*(Ventes_Encaissements!$C$6:$C$3005&lt;=$C81+3)),1)))</f>
        <v/>
      </c>
      <c r="K81" s="6" t="n"/>
    </row>
    <row r="82">
      <c r="A82" s="6" t="n"/>
      <c r="B82" s="6" t="n"/>
      <c r="C82" s="19" t="n"/>
      <c r="D82" s="19" t="n"/>
      <c r="E82" s="6" t="n"/>
      <c r="F82" s="20" t="n"/>
      <c r="G82" s="9">
        <f>IF($F82="","",IF($F82&gt;0,ROUND($F82,2),""))</f>
        <v/>
      </c>
      <c r="H82" s="12">
        <f>IF(OR($B82="",$C82="",$G82=""),"",COUNTIFS(Ventes_Encaissements!$E$6:$E$3005,$B82,Ventes_Encaissements!$J$6:$J$3005,$G82,Ventes_Encaissements!$C$6:$C$3005,"&gt;="&amp;($C82-3),Ventes_Encaissements!$C$6:$C$3005,"&lt;="&amp;($C82+3)))</f>
        <v/>
      </c>
      <c r="I82" s="12">
        <f>IF($H82="","",IF($H82=0,"Non trouvé",IF($H82=1,"Match","À vérifier")))</f>
        <v/>
      </c>
      <c r="J82" s="21">
        <f>IF($I82&lt;&gt;"Match","",INDEX(Ventes_Encaissements!$B$6:$B$3005,_xludf.AGGREGATE(15,6,(ROW(Ventes_Encaissements!$B$6:$B$3005)-ROW(Ventes_Encaissements!$B$6)+1)/((Ventes_Encaissements!$E$6:$E$3005=$B82)*(Ventes_Encaissements!$J$6:$J$3005=$G82)*(Ventes_Encaissements!$C$6:$C$3005&gt;=$C82-3)*(Ventes_Encaissements!$C$6:$C$3005&lt;=$C82+3)),1)))</f>
        <v/>
      </c>
      <c r="K82" s="6" t="n"/>
    </row>
    <row r="83">
      <c r="A83" s="6" t="n"/>
      <c r="B83" s="6" t="n"/>
      <c r="C83" s="19" t="n"/>
      <c r="D83" s="19" t="n"/>
      <c r="E83" s="6" t="n"/>
      <c r="F83" s="20" t="n"/>
      <c r="G83" s="9">
        <f>IF($F83="","",IF($F83&gt;0,ROUND($F83,2),""))</f>
        <v/>
      </c>
      <c r="H83" s="12">
        <f>IF(OR($B83="",$C83="",$G83=""),"",COUNTIFS(Ventes_Encaissements!$E$6:$E$3005,$B83,Ventes_Encaissements!$J$6:$J$3005,$G83,Ventes_Encaissements!$C$6:$C$3005,"&gt;="&amp;($C83-3),Ventes_Encaissements!$C$6:$C$3005,"&lt;="&amp;($C83+3)))</f>
        <v/>
      </c>
      <c r="I83" s="12">
        <f>IF($H83="","",IF($H83=0,"Non trouvé",IF($H83=1,"Match","À vérifier")))</f>
        <v/>
      </c>
      <c r="J83" s="21">
        <f>IF($I83&lt;&gt;"Match","",INDEX(Ventes_Encaissements!$B$6:$B$3005,_xludf.AGGREGATE(15,6,(ROW(Ventes_Encaissements!$B$6:$B$3005)-ROW(Ventes_Encaissements!$B$6)+1)/((Ventes_Encaissements!$E$6:$E$3005=$B83)*(Ventes_Encaissements!$J$6:$J$3005=$G83)*(Ventes_Encaissements!$C$6:$C$3005&gt;=$C83-3)*(Ventes_Encaissements!$C$6:$C$3005&lt;=$C83+3)),1)))</f>
        <v/>
      </c>
      <c r="K83" s="6" t="n"/>
    </row>
    <row r="84">
      <c r="A84" s="6" t="n"/>
      <c r="B84" s="6" t="n"/>
      <c r="C84" s="19" t="n"/>
      <c r="D84" s="19" t="n"/>
      <c r="E84" s="6" t="n"/>
      <c r="F84" s="20" t="n"/>
      <c r="G84" s="9">
        <f>IF($F84="","",IF($F84&gt;0,ROUND($F84,2),""))</f>
        <v/>
      </c>
      <c r="H84" s="12">
        <f>IF(OR($B84="",$C84="",$G84=""),"",COUNTIFS(Ventes_Encaissements!$E$6:$E$3005,$B84,Ventes_Encaissements!$J$6:$J$3005,$G84,Ventes_Encaissements!$C$6:$C$3005,"&gt;="&amp;($C84-3),Ventes_Encaissements!$C$6:$C$3005,"&lt;="&amp;($C84+3)))</f>
        <v/>
      </c>
      <c r="I84" s="12">
        <f>IF($H84="","",IF($H84=0,"Non trouvé",IF($H84=1,"Match","À vérifier")))</f>
        <v/>
      </c>
      <c r="J84" s="21">
        <f>IF($I84&lt;&gt;"Match","",INDEX(Ventes_Encaissements!$B$6:$B$3005,_xludf.AGGREGATE(15,6,(ROW(Ventes_Encaissements!$B$6:$B$3005)-ROW(Ventes_Encaissements!$B$6)+1)/((Ventes_Encaissements!$E$6:$E$3005=$B84)*(Ventes_Encaissements!$J$6:$J$3005=$G84)*(Ventes_Encaissements!$C$6:$C$3005&gt;=$C84-3)*(Ventes_Encaissements!$C$6:$C$3005&lt;=$C84+3)),1)))</f>
        <v/>
      </c>
      <c r="K84" s="6" t="n"/>
    </row>
    <row r="85">
      <c r="A85" s="6" t="n"/>
      <c r="B85" s="6" t="n"/>
      <c r="C85" s="19" t="n"/>
      <c r="D85" s="19" t="n"/>
      <c r="E85" s="6" t="n"/>
      <c r="F85" s="20" t="n"/>
      <c r="G85" s="9">
        <f>IF($F85="","",IF($F85&gt;0,ROUND($F85,2),""))</f>
        <v/>
      </c>
      <c r="H85" s="12">
        <f>IF(OR($B85="",$C85="",$G85=""),"",COUNTIFS(Ventes_Encaissements!$E$6:$E$3005,$B85,Ventes_Encaissements!$J$6:$J$3005,$G85,Ventes_Encaissements!$C$6:$C$3005,"&gt;="&amp;($C85-3),Ventes_Encaissements!$C$6:$C$3005,"&lt;="&amp;($C85+3)))</f>
        <v/>
      </c>
      <c r="I85" s="12">
        <f>IF($H85="","",IF($H85=0,"Non trouvé",IF($H85=1,"Match","À vérifier")))</f>
        <v/>
      </c>
      <c r="J85" s="21">
        <f>IF($I85&lt;&gt;"Match","",INDEX(Ventes_Encaissements!$B$6:$B$3005,_xludf.AGGREGATE(15,6,(ROW(Ventes_Encaissements!$B$6:$B$3005)-ROW(Ventes_Encaissements!$B$6)+1)/((Ventes_Encaissements!$E$6:$E$3005=$B85)*(Ventes_Encaissements!$J$6:$J$3005=$G85)*(Ventes_Encaissements!$C$6:$C$3005&gt;=$C85-3)*(Ventes_Encaissements!$C$6:$C$3005&lt;=$C85+3)),1)))</f>
        <v/>
      </c>
      <c r="K85" s="6" t="n"/>
    </row>
    <row r="86">
      <c r="A86" s="6" t="n"/>
      <c r="B86" s="6" t="n"/>
      <c r="C86" s="19" t="n"/>
      <c r="D86" s="19" t="n"/>
      <c r="E86" s="6" t="n"/>
      <c r="F86" s="20" t="n"/>
      <c r="G86" s="9">
        <f>IF($F86="","",IF($F86&gt;0,ROUND($F86,2),""))</f>
        <v/>
      </c>
      <c r="H86" s="12">
        <f>IF(OR($B86="",$C86="",$G86=""),"",COUNTIFS(Ventes_Encaissements!$E$6:$E$3005,$B86,Ventes_Encaissements!$J$6:$J$3005,$G86,Ventes_Encaissements!$C$6:$C$3005,"&gt;="&amp;($C86-3),Ventes_Encaissements!$C$6:$C$3005,"&lt;="&amp;($C86+3)))</f>
        <v/>
      </c>
      <c r="I86" s="12">
        <f>IF($H86="","",IF($H86=0,"Non trouvé",IF($H86=1,"Match","À vérifier")))</f>
        <v/>
      </c>
      <c r="J86" s="21">
        <f>IF($I86&lt;&gt;"Match","",INDEX(Ventes_Encaissements!$B$6:$B$3005,_xludf.AGGREGATE(15,6,(ROW(Ventes_Encaissements!$B$6:$B$3005)-ROW(Ventes_Encaissements!$B$6)+1)/((Ventes_Encaissements!$E$6:$E$3005=$B86)*(Ventes_Encaissements!$J$6:$J$3005=$G86)*(Ventes_Encaissements!$C$6:$C$3005&gt;=$C86-3)*(Ventes_Encaissements!$C$6:$C$3005&lt;=$C86+3)),1)))</f>
        <v/>
      </c>
      <c r="K86" s="6" t="n"/>
    </row>
    <row r="87">
      <c r="A87" s="6" t="n"/>
      <c r="B87" s="6" t="n"/>
      <c r="C87" s="19" t="n"/>
      <c r="D87" s="19" t="n"/>
      <c r="E87" s="6" t="n"/>
      <c r="F87" s="20" t="n"/>
      <c r="G87" s="9">
        <f>IF($F87="","",IF($F87&gt;0,ROUND($F87,2),""))</f>
        <v/>
      </c>
      <c r="H87" s="12">
        <f>IF(OR($B87="",$C87="",$G87=""),"",COUNTIFS(Ventes_Encaissements!$E$6:$E$3005,$B87,Ventes_Encaissements!$J$6:$J$3005,$G87,Ventes_Encaissements!$C$6:$C$3005,"&gt;="&amp;($C87-3),Ventes_Encaissements!$C$6:$C$3005,"&lt;="&amp;($C87+3)))</f>
        <v/>
      </c>
      <c r="I87" s="12">
        <f>IF($H87="","",IF($H87=0,"Non trouvé",IF($H87=1,"Match","À vérifier")))</f>
        <v/>
      </c>
      <c r="J87" s="21">
        <f>IF($I87&lt;&gt;"Match","",INDEX(Ventes_Encaissements!$B$6:$B$3005,_xludf.AGGREGATE(15,6,(ROW(Ventes_Encaissements!$B$6:$B$3005)-ROW(Ventes_Encaissements!$B$6)+1)/((Ventes_Encaissements!$E$6:$E$3005=$B87)*(Ventes_Encaissements!$J$6:$J$3005=$G87)*(Ventes_Encaissements!$C$6:$C$3005&gt;=$C87-3)*(Ventes_Encaissements!$C$6:$C$3005&lt;=$C87+3)),1)))</f>
        <v/>
      </c>
      <c r="K87" s="6" t="n"/>
    </row>
    <row r="88">
      <c r="A88" s="6" t="n"/>
      <c r="B88" s="6" t="n"/>
      <c r="C88" s="19" t="n"/>
      <c r="D88" s="19" t="n"/>
      <c r="E88" s="6" t="n"/>
      <c r="F88" s="20" t="n"/>
      <c r="G88" s="9">
        <f>IF($F88="","",IF($F88&gt;0,ROUND($F88,2),""))</f>
        <v/>
      </c>
      <c r="H88" s="12">
        <f>IF(OR($B88="",$C88="",$G88=""),"",COUNTIFS(Ventes_Encaissements!$E$6:$E$3005,$B88,Ventes_Encaissements!$J$6:$J$3005,$G88,Ventes_Encaissements!$C$6:$C$3005,"&gt;="&amp;($C88-3),Ventes_Encaissements!$C$6:$C$3005,"&lt;="&amp;($C88+3)))</f>
        <v/>
      </c>
      <c r="I88" s="12">
        <f>IF($H88="","",IF($H88=0,"Non trouvé",IF($H88=1,"Match","À vérifier")))</f>
        <v/>
      </c>
      <c r="J88" s="21">
        <f>IF($I88&lt;&gt;"Match","",INDEX(Ventes_Encaissements!$B$6:$B$3005,_xludf.AGGREGATE(15,6,(ROW(Ventes_Encaissements!$B$6:$B$3005)-ROW(Ventes_Encaissements!$B$6)+1)/((Ventes_Encaissements!$E$6:$E$3005=$B88)*(Ventes_Encaissements!$J$6:$J$3005=$G88)*(Ventes_Encaissements!$C$6:$C$3005&gt;=$C88-3)*(Ventes_Encaissements!$C$6:$C$3005&lt;=$C88+3)),1)))</f>
        <v/>
      </c>
      <c r="K88" s="6" t="n"/>
    </row>
    <row r="89">
      <c r="A89" s="6" t="n"/>
      <c r="B89" s="6" t="n"/>
      <c r="C89" s="19" t="n"/>
      <c r="D89" s="19" t="n"/>
      <c r="E89" s="6" t="n"/>
      <c r="F89" s="20" t="n"/>
      <c r="G89" s="9">
        <f>IF($F89="","",IF($F89&gt;0,ROUND($F89,2),""))</f>
        <v/>
      </c>
      <c r="H89" s="12">
        <f>IF(OR($B89="",$C89="",$G89=""),"",COUNTIFS(Ventes_Encaissements!$E$6:$E$3005,$B89,Ventes_Encaissements!$J$6:$J$3005,$G89,Ventes_Encaissements!$C$6:$C$3005,"&gt;="&amp;($C89-3),Ventes_Encaissements!$C$6:$C$3005,"&lt;="&amp;($C89+3)))</f>
        <v/>
      </c>
      <c r="I89" s="12">
        <f>IF($H89="","",IF($H89=0,"Non trouvé",IF($H89=1,"Match","À vérifier")))</f>
        <v/>
      </c>
      <c r="J89" s="21">
        <f>IF($I89&lt;&gt;"Match","",INDEX(Ventes_Encaissements!$B$6:$B$3005,_xludf.AGGREGATE(15,6,(ROW(Ventes_Encaissements!$B$6:$B$3005)-ROW(Ventes_Encaissements!$B$6)+1)/((Ventes_Encaissements!$E$6:$E$3005=$B89)*(Ventes_Encaissements!$J$6:$J$3005=$G89)*(Ventes_Encaissements!$C$6:$C$3005&gt;=$C89-3)*(Ventes_Encaissements!$C$6:$C$3005&lt;=$C89+3)),1)))</f>
        <v/>
      </c>
      <c r="K89" s="6" t="n"/>
    </row>
    <row r="90">
      <c r="A90" s="6" t="n"/>
      <c r="B90" s="6" t="n"/>
      <c r="C90" s="19" t="n"/>
      <c r="D90" s="19" t="n"/>
      <c r="E90" s="6" t="n"/>
      <c r="F90" s="20" t="n"/>
      <c r="G90" s="9">
        <f>IF($F90="","",IF($F90&gt;0,ROUND($F90,2),""))</f>
        <v/>
      </c>
      <c r="H90" s="12">
        <f>IF(OR($B90="",$C90="",$G90=""),"",COUNTIFS(Ventes_Encaissements!$E$6:$E$3005,$B90,Ventes_Encaissements!$J$6:$J$3005,$G90,Ventes_Encaissements!$C$6:$C$3005,"&gt;="&amp;($C90-3),Ventes_Encaissements!$C$6:$C$3005,"&lt;="&amp;($C90+3)))</f>
        <v/>
      </c>
      <c r="I90" s="12">
        <f>IF($H90="","",IF($H90=0,"Non trouvé",IF($H90=1,"Match","À vérifier")))</f>
        <v/>
      </c>
      <c r="J90" s="21">
        <f>IF($I90&lt;&gt;"Match","",INDEX(Ventes_Encaissements!$B$6:$B$3005,_xludf.AGGREGATE(15,6,(ROW(Ventes_Encaissements!$B$6:$B$3005)-ROW(Ventes_Encaissements!$B$6)+1)/((Ventes_Encaissements!$E$6:$E$3005=$B90)*(Ventes_Encaissements!$J$6:$J$3005=$G90)*(Ventes_Encaissements!$C$6:$C$3005&gt;=$C90-3)*(Ventes_Encaissements!$C$6:$C$3005&lt;=$C90+3)),1)))</f>
        <v/>
      </c>
      <c r="K90" s="6" t="n"/>
    </row>
    <row r="91">
      <c r="A91" s="6" t="n"/>
      <c r="B91" s="6" t="n"/>
      <c r="C91" s="19" t="n"/>
      <c r="D91" s="19" t="n"/>
      <c r="E91" s="6" t="n"/>
      <c r="F91" s="20" t="n"/>
      <c r="G91" s="9">
        <f>IF($F91="","",IF($F91&gt;0,ROUND($F91,2),""))</f>
        <v/>
      </c>
      <c r="H91" s="12">
        <f>IF(OR($B91="",$C91="",$G91=""),"",COUNTIFS(Ventes_Encaissements!$E$6:$E$3005,$B91,Ventes_Encaissements!$J$6:$J$3005,$G91,Ventes_Encaissements!$C$6:$C$3005,"&gt;="&amp;($C91-3),Ventes_Encaissements!$C$6:$C$3005,"&lt;="&amp;($C91+3)))</f>
        <v/>
      </c>
      <c r="I91" s="12">
        <f>IF($H91="","",IF($H91=0,"Non trouvé",IF($H91=1,"Match","À vérifier")))</f>
        <v/>
      </c>
      <c r="J91" s="21">
        <f>IF($I91&lt;&gt;"Match","",INDEX(Ventes_Encaissements!$B$6:$B$3005,_xludf.AGGREGATE(15,6,(ROW(Ventes_Encaissements!$B$6:$B$3005)-ROW(Ventes_Encaissements!$B$6)+1)/((Ventes_Encaissements!$E$6:$E$3005=$B91)*(Ventes_Encaissements!$J$6:$J$3005=$G91)*(Ventes_Encaissements!$C$6:$C$3005&gt;=$C91-3)*(Ventes_Encaissements!$C$6:$C$3005&lt;=$C91+3)),1)))</f>
        <v/>
      </c>
      <c r="K91" s="6" t="n"/>
    </row>
    <row r="92">
      <c r="A92" s="6" t="n"/>
      <c r="B92" s="6" t="n"/>
      <c r="C92" s="19" t="n"/>
      <c r="D92" s="19" t="n"/>
      <c r="E92" s="6" t="n"/>
      <c r="F92" s="20" t="n"/>
      <c r="G92" s="9">
        <f>IF($F92="","",IF($F92&gt;0,ROUND($F92,2),""))</f>
        <v/>
      </c>
      <c r="H92" s="12">
        <f>IF(OR($B92="",$C92="",$G92=""),"",COUNTIFS(Ventes_Encaissements!$E$6:$E$3005,$B92,Ventes_Encaissements!$J$6:$J$3005,$G92,Ventes_Encaissements!$C$6:$C$3005,"&gt;="&amp;($C92-3),Ventes_Encaissements!$C$6:$C$3005,"&lt;="&amp;($C92+3)))</f>
        <v/>
      </c>
      <c r="I92" s="12">
        <f>IF($H92="","",IF($H92=0,"Non trouvé",IF($H92=1,"Match","À vérifier")))</f>
        <v/>
      </c>
      <c r="J92" s="21">
        <f>IF($I92&lt;&gt;"Match","",INDEX(Ventes_Encaissements!$B$6:$B$3005,_xludf.AGGREGATE(15,6,(ROW(Ventes_Encaissements!$B$6:$B$3005)-ROW(Ventes_Encaissements!$B$6)+1)/((Ventes_Encaissements!$E$6:$E$3005=$B92)*(Ventes_Encaissements!$J$6:$J$3005=$G92)*(Ventes_Encaissements!$C$6:$C$3005&gt;=$C92-3)*(Ventes_Encaissements!$C$6:$C$3005&lt;=$C92+3)),1)))</f>
        <v/>
      </c>
      <c r="K92" s="6" t="n"/>
    </row>
    <row r="93">
      <c r="A93" s="6" t="n"/>
      <c r="B93" s="6" t="n"/>
      <c r="C93" s="19" t="n"/>
      <c r="D93" s="19" t="n"/>
      <c r="E93" s="6" t="n"/>
      <c r="F93" s="20" t="n"/>
      <c r="G93" s="9">
        <f>IF($F93="","",IF($F93&gt;0,ROUND($F93,2),""))</f>
        <v/>
      </c>
      <c r="H93" s="12">
        <f>IF(OR($B93="",$C93="",$G93=""),"",COUNTIFS(Ventes_Encaissements!$E$6:$E$3005,$B93,Ventes_Encaissements!$J$6:$J$3005,$G93,Ventes_Encaissements!$C$6:$C$3005,"&gt;="&amp;($C93-3),Ventes_Encaissements!$C$6:$C$3005,"&lt;="&amp;($C93+3)))</f>
        <v/>
      </c>
      <c r="I93" s="12">
        <f>IF($H93="","",IF($H93=0,"Non trouvé",IF($H93=1,"Match","À vérifier")))</f>
        <v/>
      </c>
      <c r="J93" s="21">
        <f>IF($I93&lt;&gt;"Match","",INDEX(Ventes_Encaissements!$B$6:$B$3005,_xludf.AGGREGATE(15,6,(ROW(Ventes_Encaissements!$B$6:$B$3005)-ROW(Ventes_Encaissements!$B$6)+1)/((Ventes_Encaissements!$E$6:$E$3005=$B93)*(Ventes_Encaissements!$J$6:$J$3005=$G93)*(Ventes_Encaissements!$C$6:$C$3005&gt;=$C93-3)*(Ventes_Encaissements!$C$6:$C$3005&lt;=$C93+3)),1)))</f>
        <v/>
      </c>
      <c r="K93" s="6" t="n"/>
    </row>
    <row r="94">
      <c r="A94" s="6" t="n"/>
      <c r="B94" s="6" t="n"/>
      <c r="C94" s="19" t="n"/>
      <c r="D94" s="19" t="n"/>
      <c r="E94" s="6" t="n"/>
      <c r="F94" s="20" t="n"/>
      <c r="G94" s="9">
        <f>IF($F94="","",IF($F94&gt;0,ROUND($F94,2),""))</f>
        <v/>
      </c>
      <c r="H94" s="12">
        <f>IF(OR($B94="",$C94="",$G94=""),"",COUNTIFS(Ventes_Encaissements!$E$6:$E$3005,$B94,Ventes_Encaissements!$J$6:$J$3005,$G94,Ventes_Encaissements!$C$6:$C$3005,"&gt;="&amp;($C94-3),Ventes_Encaissements!$C$6:$C$3005,"&lt;="&amp;($C94+3)))</f>
        <v/>
      </c>
      <c r="I94" s="12">
        <f>IF($H94="","",IF($H94=0,"Non trouvé",IF($H94=1,"Match","À vérifier")))</f>
        <v/>
      </c>
      <c r="J94" s="21">
        <f>IF($I94&lt;&gt;"Match","",INDEX(Ventes_Encaissements!$B$6:$B$3005,_xludf.AGGREGATE(15,6,(ROW(Ventes_Encaissements!$B$6:$B$3005)-ROW(Ventes_Encaissements!$B$6)+1)/((Ventes_Encaissements!$E$6:$E$3005=$B94)*(Ventes_Encaissements!$J$6:$J$3005=$G94)*(Ventes_Encaissements!$C$6:$C$3005&gt;=$C94-3)*(Ventes_Encaissements!$C$6:$C$3005&lt;=$C94+3)),1)))</f>
        <v/>
      </c>
      <c r="K94" s="6" t="n"/>
    </row>
    <row r="95">
      <c r="A95" s="6" t="n"/>
      <c r="B95" s="6" t="n"/>
      <c r="C95" s="19" t="n"/>
      <c r="D95" s="19" t="n"/>
      <c r="E95" s="6" t="n"/>
      <c r="F95" s="20" t="n"/>
      <c r="G95" s="9">
        <f>IF($F95="","",IF($F95&gt;0,ROUND($F95,2),""))</f>
        <v/>
      </c>
      <c r="H95" s="12">
        <f>IF(OR($B95="",$C95="",$G95=""),"",COUNTIFS(Ventes_Encaissements!$E$6:$E$3005,$B95,Ventes_Encaissements!$J$6:$J$3005,$G95,Ventes_Encaissements!$C$6:$C$3005,"&gt;="&amp;($C95-3),Ventes_Encaissements!$C$6:$C$3005,"&lt;="&amp;($C95+3)))</f>
        <v/>
      </c>
      <c r="I95" s="12">
        <f>IF($H95="","",IF($H95=0,"Non trouvé",IF($H95=1,"Match","À vérifier")))</f>
        <v/>
      </c>
      <c r="J95" s="21">
        <f>IF($I95&lt;&gt;"Match","",INDEX(Ventes_Encaissements!$B$6:$B$3005,_xludf.AGGREGATE(15,6,(ROW(Ventes_Encaissements!$B$6:$B$3005)-ROW(Ventes_Encaissements!$B$6)+1)/((Ventes_Encaissements!$E$6:$E$3005=$B95)*(Ventes_Encaissements!$J$6:$J$3005=$G95)*(Ventes_Encaissements!$C$6:$C$3005&gt;=$C95-3)*(Ventes_Encaissements!$C$6:$C$3005&lt;=$C95+3)),1)))</f>
        <v/>
      </c>
      <c r="K95" s="6" t="n"/>
    </row>
    <row r="96">
      <c r="A96" s="6" t="n"/>
      <c r="B96" s="6" t="n"/>
      <c r="C96" s="19" t="n"/>
      <c r="D96" s="19" t="n"/>
      <c r="E96" s="6" t="n"/>
      <c r="F96" s="20" t="n"/>
      <c r="G96" s="9">
        <f>IF($F96="","",IF($F96&gt;0,ROUND($F96,2),""))</f>
        <v/>
      </c>
      <c r="H96" s="12">
        <f>IF(OR($B96="",$C96="",$G96=""),"",COUNTIFS(Ventes_Encaissements!$E$6:$E$3005,$B96,Ventes_Encaissements!$J$6:$J$3005,$G96,Ventes_Encaissements!$C$6:$C$3005,"&gt;="&amp;($C96-3),Ventes_Encaissements!$C$6:$C$3005,"&lt;="&amp;($C96+3)))</f>
        <v/>
      </c>
      <c r="I96" s="12">
        <f>IF($H96="","",IF($H96=0,"Non trouvé",IF($H96=1,"Match","À vérifier")))</f>
        <v/>
      </c>
      <c r="J96" s="21">
        <f>IF($I96&lt;&gt;"Match","",INDEX(Ventes_Encaissements!$B$6:$B$3005,_xludf.AGGREGATE(15,6,(ROW(Ventes_Encaissements!$B$6:$B$3005)-ROW(Ventes_Encaissements!$B$6)+1)/((Ventes_Encaissements!$E$6:$E$3005=$B96)*(Ventes_Encaissements!$J$6:$J$3005=$G96)*(Ventes_Encaissements!$C$6:$C$3005&gt;=$C96-3)*(Ventes_Encaissements!$C$6:$C$3005&lt;=$C96+3)),1)))</f>
        <v/>
      </c>
      <c r="K96" s="6" t="n"/>
    </row>
    <row r="97">
      <c r="A97" s="6" t="n"/>
      <c r="B97" s="6" t="n"/>
      <c r="C97" s="19" t="n"/>
      <c r="D97" s="19" t="n"/>
      <c r="E97" s="6" t="n"/>
      <c r="F97" s="20" t="n"/>
      <c r="G97" s="9">
        <f>IF($F97="","",IF($F97&gt;0,ROUND($F97,2),""))</f>
        <v/>
      </c>
      <c r="H97" s="12">
        <f>IF(OR($B97="",$C97="",$G97=""),"",COUNTIFS(Ventes_Encaissements!$E$6:$E$3005,$B97,Ventes_Encaissements!$J$6:$J$3005,$G97,Ventes_Encaissements!$C$6:$C$3005,"&gt;="&amp;($C97-3),Ventes_Encaissements!$C$6:$C$3005,"&lt;="&amp;($C97+3)))</f>
        <v/>
      </c>
      <c r="I97" s="12">
        <f>IF($H97="","",IF($H97=0,"Non trouvé",IF($H97=1,"Match","À vérifier")))</f>
        <v/>
      </c>
      <c r="J97" s="21">
        <f>IF($I97&lt;&gt;"Match","",INDEX(Ventes_Encaissements!$B$6:$B$3005,_xludf.AGGREGATE(15,6,(ROW(Ventes_Encaissements!$B$6:$B$3005)-ROW(Ventes_Encaissements!$B$6)+1)/((Ventes_Encaissements!$E$6:$E$3005=$B97)*(Ventes_Encaissements!$J$6:$J$3005=$G97)*(Ventes_Encaissements!$C$6:$C$3005&gt;=$C97-3)*(Ventes_Encaissements!$C$6:$C$3005&lt;=$C97+3)),1)))</f>
        <v/>
      </c>
      <c r="K97" s="6" t="n"/>
    </row>
    <row r="98">
      <c r="A98" s="6" t="n"/>
      <c r="B98" s="6" t="n"/>
      <c r="C98" s="19" t="n"/>
      <c r="D98" s="19" t="n"/>
      <c r="E98" s="6" t="n"/>
      <c r="F98" s="20" t="n"/>
      <c r="G98" s="9">
        <f>IF($F98="","",IF($F98&gt;0,ROUND($F98,2),""))</f>
        <v/>
      </c>
      <c r="H98" s="12">
        <f>IF(OR($B98="",$C98="",$G98=""),"",COUNTIFS(Ventes_Encaissements!$E$6:$E$3005,$B98,Ventes_Encaissements!$J$6:$J$3005,$G98,Ventes_Encaissements!$C$6:$C$3005,"&gt;="&amp;($C98-3),Ventes_Encaissements!$C$6:$C$3005,"&lt;="&amp;($C98+3)))</f>
        <v/>
      </c>
      <c r="I98" s="12">
        <f>IF($H98="","",IF($H98=0,"Non trouvé",IF($H98=1,"Match","À vérifier")))</f>
        <v/>
      </c>
      <c r="J98" s="21">
        <f>IF($I98&lt;&gt;"Match","",INDEX(Ventes_Encaissements!$B$6:$B$3005,_xludf.AGGREGATE(15,6,(ROW(Ventes_Encaissements!$B$6:$B$3005)-ROW(Ventes_Encaissements!$B$6)+1)/((Ventes_Encaissements!$E$6:$E$3005=$B98)*(Ventes_Encaissements!$J$6:$J$3005=$G98)*(Ventes_Encaissements!$C$6:$C$3005&gt;=$C98-3)*(Ventes_Encaissements!$C$6:$C$3005&lt;=$C98+3)),1)))</f>
        <v/>
      </c>
      <c r="K98" s="6" t="n"/>
    </row>
    <row r="99">
      <c r="A99" s="6" t="n"/>
      <c r="B99" s="6" t="n"/>
      <c r="C99" s="19" t="n"/>
      <c r="D99" s="19" t="n"/>
      <c r="E99" s="6" t="n"/>
      <c r="F99" s="20" t="n"/>
      <c r="G99" s="9">
        <f>IF($F99="","",IF($F99&gt;0,ROUND($F99,2),""))</f>
        <v/>
      </c>
      <c r="H99" s="12">
        <f>IF(OR($B99="",$C99="",$G99=""),"",COUNTIFS(Ventes_Encaissements!$E$6:$E$3005,$B99,Ventes_Encaissements!$J$6:$J$3005,$G99,Ventes_Encaissements!$C$6:$C$3005,"&gt;="&amp;($C99-3),Ventes_Encaissements!$C$6:$C$3005,"&lt;="&amp;($C99+3)))</f>
        <v/>
      </c>
      <c r="I99" s="12">
        <f>IF($H99="","",IF($H99=0,"Non trouvé",IF($H99=1,"Match","À vérifier")))</f>
        <v/>
      </c>
      <c r="J99" s="21">
        <f>IF($I99&lt;&gt;"Match","",INDEX(Ventes_Encaissements!$B$6:$B$3005,_xludf.AGGREGATE(15,6,(ROW(Ventes_Encaissements!$B$6:$B$3005)-ROW(Ventes_Encaissements!$B$6)+1)/((Ventes_Encaissements!$E$6:$E$3005=$B99)*(Ventes_Encaissements!$J$6:$J$3005=$G99)*(Ventes_Encaissements!$C$6:$C$3005&gt;=$C99-3)*(Ventes_Encaissements!$C$6:$C$3005&lt;=$C99+3)),1)))</f>
        <v/>
      </c>
      <c r="K99" s="6" t="n"/>
    </row>
    <row r="100">
      <c r="A100" s="6" t="n"/>
      <c r="B100" s="6" t="n"/>
      <c r="C100" s="19" t="n"/>
      <c r="D100" s="19" t="n"/>
      <c r="E100" s="6" t="n"/>
      <c r="F100" s="20" t="n"/>
      <c r="G100" s="9">
        <f>IF($F100="","",IF($F100&gt;0,ROUND($F100,2),""))</f>
        <v/>
      </c>
      <c r="H100" s="12">
        <f>IF(OR($B100="",$C100="",$G100=""),"",COUNTIFS(Ventes_Encaissements!$E$6:$E$3005,$B100,Ventes_Encaissements!$J$6:$J$3005,$G100,Ventes_Encaissements!$C$6:$C$3005,"&gt;="&amp;($C100-3),Ventes_Encaissements!$C$6:$C$3005,"&lt;="&amp;($C100+3)))</f>
        <v/>
      </c>
      <c r="I100" s="12">
        <f>IF($H100="","",IF($H100=0,"Non trouvé",IF($H100=1,"Match","À vérifier")))</f>
        <v/>
      </c>
      <c r="J100" s="21">
        <f>IF($I100&lt;&gt;"Match","",INDEX(Ventes_Encaissements!$B$6:$B$3005,_xludf.AGGREGATE(15,6,(ROW(Ventes_Encaissements!$B$6:$B$3005)-ROW(Ventes_Encaissements!$B$6)+1)/((Ventes_Encaissements!$E$6:$E$3005=$B100)*(Ventes_Encaissements!$J$6:$J$3005=$G100)*(Ventes_Encaissements!$C$6:$C$3005&gt;=$C100-3)*(Ventes_Encaissements!$C$6:$C$3005&lt;=$C100+3)),1)))</f>
        <v/>
      </c>
      <c r="K100" s="6" t="n"/>
    </row>
    <row r="101">
      <c r="A101" s="6" t="n"/>
      <c r="B101" s="6" t="n"/>
      <c r="C101" s="19" t="n"/>
      <c r="D101" s="19" t="n"/>
      <c r="E101" s="6" t="n"/>
      <c r="F101" s="20" t="n"/>
      <c r="G101" s="9">
        <f>IF($F101="","",IF($F101&gt;0,ROUND($F101,2),""))</f>
        <v/>
      </c>
      <c r="H101" s="12">
        <f>IF(OR($B101="",$C101="",$G101=""),"",COUNTIFS(Ventes_Encaissements!$E$6:$E$3005,$B101,Ventes_Encaissements!$J$6:$J$3005,$G101,Ventes_Encaissements!$C$6:$C$3005,"&gt;="&amp;($C101-3),Ventes_Encaissements!$C$6:$C$3005,"&lt;="&amp;($C101+3)))</f>
        <v/>
      </c>
      <c r="I101" s="12">
        <f>IF($H101="","",IF($H101=0,"Non trouvé",IF($H101=1,"Match","À vérifier")))</f>
        <v/>
      </c>
      <c r="J101" s="21">
        <f>IF($I101&lt;&gt;"Match","",INDEX(Ventes_Encaissements!$B$6:$B$3005,_xludf.AGGREGATE(15,6,(ROW(Ventes_Encaissements!$B$6:$B$3005)-ROW(Ventes_Encaissements!$B$6)+1)/((Ventes_Encaissements!$E$6:$E$3005=$B101)*(Ventes_Encaissements!$J$6:$J$3005=$G101)*(Ventes_Encaissements!$C$6:$C$3005&gt;=$C101-3)*(Ventes_Encaissements!$C$6:$C$3005&lt;=$C101+3)),1)))</f>
        <v/>
      </c>
      <c r="K101" s="6" t="n"/>
    </row>
    <row r="102">
      <c r="A102" s="6" t="n"/>
      <c r="B102" s="6" t="n"/>
      <c r="C102" s="19" t="n"/>
      <c r="D102" s="19" t="n"/>
      <c r="E102" s="6" t="n"/>
      <c r="F102" s="20" t="n"/>
      <c r="G102" s="9">
        <f>IF($F102="","",IF($F102&gt;0,ROUND($F102,2),""))</f>
        <v/>
      </c>
      <c r="H102" s="12">
        <f>IF(OR($B102="",$C102="",$G102=""),"",COUNTIFS(Ventes_Encaissements!$E$6:$E$3005,$B102,Ventes_Encaissements!$J$6:$J$3005,$G102,Ventes_Encaissements!$C$6:$C$3005,"&gt;="&amp;($C102-3),Ventes_Encaissements!$C$6:$C$3005,"&lt;="&amp;($C102+3)))</f>
        <v/>
      </c>
      <c r="I102" s="12">
        <f>IF($H102="","",IF($H102=0,"Non trouvé",IF($H102=1,"Match","À vérifier")))</f>
        <v/>
      </c>
      <c r="J102" s="21">
        <f>IF($I102&lt;&gt;"Match","",INDEX(Ventes_Encaissements!$B$6:$B$3005,_xludf.AGGREGATE(15,6,(ROW(Ventes_Encaissements!$B$6:$B$3005)-ROW(Ventes_Encaissements!$B$6)+1)/((Ventes_Encaissements!$E$6:$E$3005=$B102)*(Ventes_Encaissements!$J$6:$J$3005=$G102)*(Ventes_Encaissements!$C$6:$C$3005&gt;=$C102-3)*(Ventes_Encaissements!$C$6:$C$3005&lt;=$C102+3)),1)))</f>
        <v/>
      </c>
      <c r="K102" s="6" t="n"/>
    </row>
    <row r="103">
      <c r="A103" s="6" t="n"/>
      <c r="B103" s="6" t="n"/>
      <c r="C103" s="19" t="n"/>
      <c r="D103" s="19" t="n"/>
      <c r="E103" s="6" t="n"/>
      <c r="F103" s="20" t="n"/>
      <c r="G103" s="9">
        <f>IF($F103="","",IF($F103&gt;0,ROUND($F103,2),""))</f>
        <v/>
      </c>
      <c r="H103" s="12">
        <f>IF(OR($B103="",$C103="",$G103=""),"",COUNTIFS(Ventes_Encaissements!$E$6:$E$3005,$B103,Ventes_Encaissements!$J$6:$J$3005,$G103,Ventes_Encaissements!$C$6:$C$3005,"&gt;="&amp;($C103-3),Ventes_Encaissements!$C$6:$C$3005,"&lt;="&amp;($C103+3)))</f>
        <v/>
      </c>
      <c r="I103" s="12">
        <f>IF($H103="","",IF($H103=0,"Non trouvé",IF($H103=1,"Match","À vérifier")))</f>
        <v/>
      </c>
      <c r="J103" s="21">
        <f>IF($I103&lt;&gt;"Match","",INDEX(Ventes_Encaissements!$B$6:$B$3005,_xludf.AGGREGATE(15,6,(ROW(Ventes_Encaissements!$B$6:$B$3005)-ROW(Ventes_Encaissements!$B$6)+1)/((Ventes_Encaissements!$E$6:$E$3005=$B103)*(Ventes_Encaissements!$J$6:$J$3005=$G103)*(Ventes_Encaissements!$C$6:$C$3005&gt;=$C103-3)*(Ventes_Encaissements!$C$6:$C$3005&lt;=$C103+3)),1)))</f>
        <v/>
      </c>
      <c r="K103" s="6" t="n"/>
    </row>
    <row r="104">
      <c r="A104" s="6" t="n"/>
      <c r="B104" s="6" t="n"/>
      <c r="C104" s="19" t="n"/>
      <c r="D104" s="19" t="n"/>
      <c r="E104" s="6" t="n"/>
      <c r="F104" s="20" t="n"/>
      <c r="G104" s="9">
        <f>IF($F104="","",IF($F104&gt;0,ROUND($F104,2),""))</f>
        <v/>
      </c>
      <c r="H104" s="12">
        <f>IF(OR($B104="",$C104="",$G104=""),"",COUNTIFS(Ventes_Encaissements!$E$6:$E$3005,$B104,Ventes_Encaissements!$J$6:$J$3005,$G104,Ventes_Encaissements!$C$6:$C$3005,"&gt;="&amp;($C104-3),Ventes_Encaissements!$C$6:$C$3005,"&lt;="&amp;($C104+3)))</f>
        <v/>
      </c>
      <c r="I104" s="12">
        <f>IF($H104="","",IF($H104=0,"Non trouvé",IF($H104=1,"Match","À vérifier")))</f>
        <v/>
      </c>
      <c r="J104" s="21">
        <f>IF($I104&lt;&gt;"Match","",INDEX(Ventes_Encaissements!$B$6:$B$3005,_xludf.AGGREGATE(15,6,(ROW(Ventes_Encaissements!$B$6:$B$3005)-ROW(Ventes_Encaissements!$B$6)+1)/((Ventes_Encaissements!$E$6:$E$3005=$B104)*(Ventes_Encaissements!$J$6:$J$3005=$G104)*(Ventes_Encaissements!$C$6:$C$3005&gt;=$C104-3)*(Ventes_Encaissements!$C$6:$C$3005&lt;=$C104+3)),1)))</f>
        <v/>
      </c>
      <c r="K104" s="6" t="n"/>
    </row>
    <row r="105">
      <c r="A105" s="6" t="n"/>
      <c r="B105" s="6" t="n"/>
      <c r="C105" s="19" t="n"/>
      <c r="D105" s="19" t="n"/>
      <c r="E105" s="6" t="n"/>
      <c r="F105" s="20" t="n"/>
      <c r="G105" s="9">
        <f>IF($F105="","",IF($F105&gt;0,ROUND($F105,2),""))</f>
        <v/>
      </c>
      <c r="H105" s="12">
        <f>IF(OR($B105="",$C105="",$G105=""),"",COUNTIFS(Ventes_Encaissements!$E$6:$E$3005,$B105,Ventes_Encaissements!$J$6:$J$3005,$G105,Ventes_Encaissements!$C$6:$C$3005,"&gt;="&amp;($C105-3),Ventes_Encaissements!$C$6:$C$3005,"&lt;="&amp;($C105+3)))</f>
        <v/>
      </c>
      <c r="I105" s="12">
        <f>IF($H105="","",IF($H105=0,"Non trouvé",IF($H105=1,"Match","À vérifier")))</f>
        <v/>
      </c>
      <c r="J105" s="21">
        <f>IF($I105&lt;&gt;"Match","",INDEX(Ventes_Encaissements!$B$6:$B$3005,_xludf.AGGREGATE(15,6,(ROW(Ventes_Encaissements!$B$6:$B$3005)-ROW(Ventes_Encaissements!$B$6)+1)/((Ventes_Encaissements!$E$6:$E$3005=$B105)*(Ventes_Encaissements!$J$6:$J$3005=$G105)*(Ventes_Encaissements!$C$6:$C$3005&gt;=$C105-3)*(Ventes_Encaissements!$C$6:$C$3005&lt;=$C105+3)),1)))</f>
        <v/>
      </c>
      <c r="K105" s="6" t="n"/>
    </row>
    <row r="106">
      <c r="A106" s="6" t="n"/>
      <c r="B106" s="6" t="n"/>
      <c r="C106" s="19" t="n"/>
      <c r="D106" s="19" t="n"/>
      <c r="E106" s="6" t="n"/>
      <c r="F106" s="20" t="n"/>
      <c r="G106" s="9">
        <f>IF($F106="","",IF($F106&gt;0,ROUND($F106,2),""))</f>
        <v/>
      </c>
      <c r="H106" s="12">
        <f>IF(OR($B106="",$C106="",$G106=""),"",COUNTIFS(Ventes_Encaissements!$E$6:$E$3005,$B106,Ventes_Encaissements!$J$6:$J$3005,$G106,Ventes_Encaissements!$C$6:$C$3005,"&gt;="&amp;($C106-3),Ventes_Encaissements!$C$6:$C$3005,"&lt;="&amp;($C106+3)))</f>
        <v/>
      </c>
      <c r="I106" s="12">
        <f>IF($H106="","",IF($H106=0,"Non trouvé",IF($H106=1,"Match","À vérifier")))</f>
        <v/>
      </c>
      <c r="J106" s="21">
        <f>IF($I106&lt;&gt;"Match","",INDEX(Ventes_Encaissements!$B$6:$B$3005,_xludf.AGGREGATE(15,6,(ROW(Ventes_Encaissements!$B$6:$B$3005)-ROW(Ventes_Encaissements!$B$6)+1)/((Ventes_Encaissements!$E$6:$E$3005=$B106)*(Ventes_Encaissements!$J$6:$J$3005=$G106)*(Ventes_Encaissements!$C$6:$C$3005&gt;=$C106-3)*(Ventes_Encaissements!$C$6:$C$3005&lt;=$C106+3)),1)))</f>
        <v/>
      </c>
      <c r="K106" s="6" t="n"/>
    </row>
    <row r="107">
      <c r="A107" s="6" t="n"/>
      <c r="B107" s="6" t="n"/>
      <c r="C107" s="19" t="n"/>
      <c r="D107" s="19" t="n"/>
      <c r="E107" s="6" t="n"/>
      <c r="F107" s="20" t="n"/>
      <c r="G107" s="9">
        <f>IF($F107="","",IF($F107&gt;0,ROUND($F107,2),""))</f>
        <v/>
      </c>
      <c r="H107" s="12">
        <f>IF(OR($B107="",$C107="",$G107=""),"",COUNTIFS(Ventes_Encaissements!$E$6:$E$3005,$B107,Ventes_Encaissements!$J$6:$J$3005,$G107,Ventes_Encaissements!$C$6:$C$3005,"&gt;="&amp;($C107-3),Ventes_Encaissements!$C$6:$C$3005,"&lt;="&amp;($C107+3)))</f>
        <v/>
      </c>
      <c r="I107" s="12">
        <f>IF($H107="","",IF($H107=0,"Non trouvé",IF($H107=1,"Match","À vérifier")))</f>
        <v/>
      </c>
      <c r="J107" s="21">
        <f>IF($I107&lt;&gt;"Match","",INDEX(Ventes_Encaissements!$B$6:$B$3005,_xludf.AGGREGATE(15,6,(ROW(Ventes_Encaissements!$B$6:$B$3005)-ROW(Ventes_Encaissements!$B$6)+1)/((Ventes_Encaissements!$E$6:$E$3005=$B107)*(Ventes_Encaissements!$J$6:$J$3005=$G107)*(Ventes_Encaissements!$C$6:$C$3005&gt;=$C107-3)*(Ventes_Encaissements!$C$6:$C$3005&lt;=$C107+3)),1)))</f>
        <v/>
      </c>
      <c r="K107" s="6" t="n"/>
    </row>
    <row r="108">
      <c r="A108" s="6" t="n"/>
      <c r="B108" s="6" t="n"/>
      <c r="C108" s="19" t="n"/>
      <c r="D108" s="19" t="n"/>
      <c r="E108" s="6" t="n"/>
      <c r="F108" s="20" t="n"/>
      <c r="G108" s="9">
        <f>IF($F108="","",IF($F108&gt;0,ROUND($F108,2),""))</f>
        <v/>
      </c>
      <c r="H108" s="12">
        <f>IF(OR($B108="",$C108="",$G108=""),"",COUNTIFS(Ventes_Encaissements!$E$6:$E$3005,$B108,Ventes_Encaissements!$J$6:$J$3005,$G108,Ventes_Encaissements!$C$6:$C$3005,"&gt;="&amp;($C108-3),Ventes_Encaissements!$C$6:$C$3005,"&lt;="&amp;($C108+3)))</f>
        <v/>
      </c>
      <c r="I108" s="12">
        <f>IF($H108="","",IF($H108=0,"Non trouvé",IF($H108=1,"Match","À vérifier")))</f>
        <v/>
      </c>
      <c r="J108" s="21">
        <f>IF($I108&lt;&gt;"Match","",INDEX(Ventes_Encaissements!$B$6:$B$3005,_xludf.AGGREGATE(15,6,(ROW(Ventes_Encaissements!$B$6:$B$3005)-ROW(Ventes_Encaissements!$B$6)+1)/((Ventes_Encaissements!$E$6:$E$3005=$B108)*(Ventes_Encaissements!$J$6:$J$3005=$G108)*(Ventes_Encaissements!$C$6:$C$3005&gt;=$C108-3)*(Ventes_Encaissements!$C$6:$C$3005&lt;=$C108+3)),1)))</f>
        <v/>
      </c>
      <c r="K108" s="6" t="n"/>
    </row>
    <row r="109">
      <c r="A109" s="6" t="n"/>
      <c r="B109" s="6" t="n"/>
      <c r="C109" s="19" t="n"/>
      <c r="D109" s="19" t="n"/>
      <c r="E109" s="6" t="n"/>
      <c r="F109" s="20" t="n"/>
      <c r="G109" s="9">
        <f>IF($F109="","",IF($F109&gt;0,ROUND($F109,2),""))</f>
        <v/>
      </c>
      <c r="H109" s="12">
        <f>IF(OR($B109="",$C109="",$G109=""),"",COUNTIFS(Ventes_Encaissements!$E$6:$E$3005,$B109,Ventes_Encaissements!$J$6:$J$3005,$G109,Ventes_Encaissements!$C$6:$C$3005,"&gt;="&amp;($C109-3),Ventes_Encaissements!$C$6:$C$3005,"&lt;="&amp;($C109+3)))</f>
        <v/>
      </c>
      <c r="I109" s="12">
        <f>IF($H109="","",IF($H109=0,"Non trouvé",IF($H109=1,"Match","À vérifier")))</f>
        <v/>
      </c>
      <c r="J109" s="21">
        <f>IF($I109&lt;&gt;"Match","",INDEX(Ventes_Encaissements!$B$6:$B$3005,_xludf.AGGREGATE(15,6,(ROW(Ventes_Encaissements!$B$6:$B$3005)-ROW(Ventes_Encaissements!$B$6)+1)/((Ventes_Encaissements!$E$6:$E$3005=$B109)*(Ventes_Encaissements!$J$6:$J$3005=$G109)*(Ventes_Encaissements!$C$6:$C$3005&gt;=$C109-3)*(Ventes_Encaissements!$C$6:$C$3005&lt;=$C109+3)),1)))</f>
        <v/>
      </c>
      <c r="K109" s="6" t="n"/>
    </row>
    <row r="110">
      <c r="A110" s="6" t="n"/>
      <c r="B110" s="6" t="n"/>
      <c r="C110" s="19" t="n"/>
      <c r="D110" s="19" t="n"/>
      <c r="E110" s="6" t="n"/>
      <c r="F110" s="20" t="n"/>
      <c r="G110" s="9">
        <f>IF($F110="","",IF($F110&gt;0,ROUND($F110,2),""))</f>
        <v/>
      </c>
      <c r="H110" s="12">
        <f>IF(OR($B110="",$C110="",$G110=""),"",COUNTIFS(Ventes_Encaissements!$E$6:$E$3005,$B110,Ventes_Encaissements!$J$6:$J$3005,$G110,Ventes_Encaissements!$C$6:$C$3005,"&gt;="&amp;($C110-3),Ventes_Encaissements!$C$6:$C$3005,"&lt;="&amp;($C110+3)))</f>
        <v/>
      </c>
      <c r="I110" s="12">
        <f>IF($H110="","",IF($H110=0,"Non trouvé",IF($H110=1,"Match","À vérifier")))</f>
        <v/>
      </c>
      <c r="J110" s="21">
        <f>IF($I110&lt;&gt;"Match","",INDEX(Ventes_Encaissements!$B$6:$B$3005,_xludf.AGGREGATE(15,6,(ROW(Ventes_Encaissements!$B$6:$B$3005)-ROW(Ventes_Encaissements!$B$6)+1)/((Ventes_Encaissements!$E$6:$E$3005=$B110)*(Ventes_Encaissements!$J$6:$J$3005=$G110)*(Ventes_Encaissements!$C$6:$C$3005&gt;=$C110-3)*(Ventes_Encaissements!$C$6:$C$3005&lt;=$C110+3)),1)))</f>
        <v/>
      </c>
      <c r="K110" s="6" t="n"/>
    </row>
    <row r="111">
      <c r="A111" s="6" t="n"/>
      <c r="B111" s="6" t="n"/>
      <c r="C111" s="19" t="n"/>
      <c r="D111" s="19" t="n"/>
      <c r="E111" s="6" t="n"/>
      <c r="F111" s="20" t="n"/>
      <c r="G111" s="9">
        <f>IF($F111="","",IF($F111&gt;0,ROUND($F111,2),""))</f>
        <v/>
      </c>
      <c r="H111" s="12">
        <f>IF(OR($B111="",$C111="",$G111=""),"",COUNTIFS(Ventes_Encaissements!$E$6:$E$3005,$B111,Ventes_Encaissements!$J$6:$J$3005,$G111,Ventes_Encaissements!$C$6:$C$3005,"&gt;="&amp;($C111-3),Ventes_Encaissements!$C$6:$C$3005,"&lt;="&amp;($C111+3)))</f>
        <v/>
      </c>
      <c r="I111" s="12">
        <f>IF($H111="","",IF($H111=0,"Non trouvé",IF($H111=1,"Match","À vérifier")))</f>
        <v/>
      </c>
      <c r="J111" s="21">
        <f>IF($I111&lt;&gt;"Match","",INDEX(Ventes_Encaissements!$B$6:$B$3005,_xludf.AGGREGATE(15,6,(ROW(Ventes_Encaissements!$B$6:$B$3005)-ROW(Ventes_Encaissements!$B$6)+1)/((Ventes_Encaissements!$E$6:$E$3005=$B111)*(Ventes_Encaissements!$J$6:$J$3005=$G111)*(Ventes_Encaissements!$C$6:$C$3005&gt;=$C111-3)*(Ventes_Encaissements!$C$6:$C$3005&lt;=$C111+3)),1)))</f>
        <v/>
      </c>
      <c r="K111" s="6" t="n"/>
    </row>
    <row r="112">
      <c r="A112" s="6" t="n"/>
      <c r="B112" s="6" t="n"/>
      <c r="C112" s="19" t="n"/>
      <c r="D112" s="19" t="n"/>
      <c r="E112" s="6" t="n"/>
      <c r="F112" s="20" t="n"/>
      <c r="G112" s="9">
        <f>IF($F112="","",IF($F112&gt;0,ROUND($F112,2),""))</f>
        <v/>
      </c>
      <c r="H112" s="12">
        <f>IF(OR($B112="",$C112="",$G112=""),"",COUNTIFS(Ventes_Encaissements!$E$6:$E$3005,$B112,Ventes_Encaissements!$J$6:$J$3005,$G112,Ventes_Encaissements!$C$6:$C$3005,"&gt;="&amp;($C112-3),Ventes_Encaissements!$C$6:$C$3005,"&lt;="&amp;($C112+3)))</f>
        <v/>
      </c>
      <c r="I112" s="12">
        <f>IF($H112="","",IF($H112=0,"Non trouvé",IF($H112=1,"Match","À vérifier")))</f>
        <v/>
      </c>
      <c r="J112" s="21">
        <f>IF($I112&lt;&gt;"Match","",INDEX(Ventes_Encaissements!$B$6:$B$3005,_xludf.AGGREGATE(15,6,(ROW(Ventes_Encaissements!$B$6:$B$3005)-ROW(Ventes_Encaissements!$B$6)+1)/((Ventes_Encaissements!$E$6:$E$3005=$B112)*(Ventes_Encaissements!$J$6:$J$3005=$G112)*(Ventes_Encaissements!$C$6:$C$3005&gt;=$C112-3)*(Ventes_Encaissements!$C$6:$C$3005&lt;=$C112+3)),1)))</f>
        <v/>
      </c>
      <c r="K112" s="6" t="n"/>
    </row>
    <row r="113">
      <c r="A113" s="6" t="n"/>
      <c r="B113" s="6" t="n"/>
      <c r="C113" s="19" t="n"/>
      <c r="D113" s="19" t="n"/>
      <c r="E113" s="6" t="n"/>
      <c r="F113" s="20" t="n"/>
      <c r="G113" s="9">
        <f>IF($F113="","",IF($F113&gt;0,ROUND($F113,2),""))</f>
        <v/>
      </c>
      <c r="H113" s="12">
        <f>IF(OR($B113="",$C113="",$G113=""),"",COUNTIFS(Ventes_Encaissements!$E$6:$E$3005,$B113,Ventes_Encaissements!$J$6:$J$3005,$G113,Ventes_Encaissements!$C$6:$C$3005,"&gt;="&amp;($C113-3),Ventes_Encaissements!$C$6:$C$3005,"&lt;="&amp;($C113+3)))</f>
        <v/>
      </c>
      <c r="I113" s="12">
        <f>IF($H113="","",IF($H113=0,"Non trouvé",IF($H113=1,"Match","À vérifier")))</f>
        <v/>
      </c>
      <c r="J113" s="21">
        <f>IF($I113&lt;&gt;"Match","",INDEX(Ventes_Encaissements!$B$6:$B$3005,_xludf.AGGREGATE(15,6,(ROW(Ventes_Encaissements!$B$6:$B$3005)-ROW(Ventes_Encaissements!$B$6)+1)/((Ventes_Encaissements!$E$6:$E$3005=$B113)*(Ventes_Encaissements!$J$6:$J$3005=$G113)*(Ventes_Encaissements!$C$6:$C$3005&gt;=$C113-3)*(Ventes_Encaissements!$C$6:$C$3005&lt;=$C113+3)),1)))</f>
        <v/>
      </c>
      <c r="K113" s="6" t="n"/>
    </row>
    <row r="114">
      <c r="A114" s="6" t="n"/>
      <c r="B114" s="6" t="n"/>
      <c r="C114" s="19" t="n"/>
      <c r="D114" s="19" t="n"/>
      <c r="E114" s="6" t="n"/>
      <c r="F114" s="20" t="n"/>
      <c r="G114" s="9">
        <f>IF($F114="","",IF($F114&gt;0,ROUND($F114,2),""))</f>
        <v/>
      </c>
      <c r="H114" s="12">
        <f>IF(OR($B114="",$C114="",$G114=""),"",COUNTIFS(Ventes_Encaissements!$E$6:$E$3005,$B114,Ventes_Encaissements!$J$6:$J$3005,$G114,Ventes_Encaissements!$C$6:$C$3005,"&gt;="&amp;($C114-3),Ventes_Encaissements!$C$6:$C$3005,"&lt;="&amp;($C114+3)))</f>
        <v/>
      </c>
      <c r="I114" s="12">
        <f>IF($H114="","",IF($H114=0,"Non trouvé",IF($H114=1,"Match","À vérifier")))</f>
        <v/>
      </c>
      <c r="J114" s="21">
        <f>IF($I114&lt;&gt;"Match","",INDEX(Ventes_Encaissements!$B$6:$B$3005,_xludf.AGGREGATE(15,6,(ROW(Ventes_Encaissements!$B$6:$B$3005)-ROW(Ventes_Encaissements!$B$6)+1)/((Ventes_Encaissements!$E$6:$E$3005=$B114)*(Ventes_Encaissements!$J$6:$J$3005=$G114)*(Ventes_Encaissements!$C$6:$C$3005&gt;=$C114-3)*(Ventes_Encaissements!$C$6:$C$3005&lt;=$C114+3)),1)))</f>
        <v/>
      </c>
      <c r="K114" s="6" t="n"/>
    </row>
    <row r="115">
      <c r="A115" s="6" t="n"/>
      <c r="B115" s="6" t="n"/>
      <c r="C115" s="19" t="n"/>
      <c r="D115" s="19" t="n"/>
      <c r="E115" s="6" t="n"/>
      <c r="F115" s="20" t="n"/>
      <c r="G115" s="9">
        <f>IF($F115="","",IF($F115&gt;0,ROUND($F115,2),""))</f>
        <v/>
      </c>
      <c r="H115" s="12">
        <f>IF(OR($B115="",$C115="",$G115=""),"",COUNTIFS(Ventes_Encaissements!$E$6:$E$3005,$B115,Ventes_Encaissements!$J$6:$J$3005,$G115,Ventes_Encaissements!$C$6:$C$3005,"&gt;="&amp;($C115-3),Ventes_Encaissements!$C$6:$C$3005,"&lt;="&amp;($C115+3)))</f>
        <v/>
      </c>
      <c r="I115" s="12">
        <f>IF($H115="","",IF($H115=0,"Non trouvé",IF($H115=1,"Match","À vérifier")))</f>
        <v/>
      </c>
      <c r="J115" s="21">
        <f>IF($I115&lt;&gt;"Match","",INDEX(Ventes_Encaissements!$B$6:$B$3005,_xludf.AGGREGATE(15,6,(ROW(Ventes_Encaissements!$B$6:$B$3005)-ROW(Ventes_Encaissements!$B$6)+1)/((Ventes_Encaissements!$E$6:$E$3005=$B115)*(Ventes_Encaissements!$J$6:$J$3005=$G115)*(Ventes_Encaissements!$C$6:$C$3005&gt;=$C115-3)*(Ventes_Encaissements!$C$6:$C$3005&lt;=$C115+3)),1)))</f>
        <v/>
      </c>
      <c r="K115" s="6" t="n"/>
    </row>
    <row r="116">
      <c r="A116" s="6" t="n"/>
      <c r="B116" s="6" t="n"/>
      <c r="C116" s="19" t="n"/>
      <c r="D116" s="19" t="n"/>
      <c r="E116" s="6" t="n"/>
      <c r="F116" s="20" t="n"/>
      <c r="G116" s="9">
        <f>IF($F116="","",IF($F116&gt;0,ROUND($F116,2),""))</f>
        <v/>
      </c>
      <c r="H116" s="12">
        <f>IF(OR($B116="",$C116="",$G116=""),"",COUNTIFS(Ventes_Encaissements!$E$6:$E$3005,$B116,Ventes_Encaissements!$J$6:$J$3005,$G116,Ventes_Encaissements!$C$6:$C$3005,"&gt;="&amp;($C116-3),Ventes_Encaissements!$C$6:$C$3005,"&lt;="&amp;($C116+3)))</f>
        <v/>
      </c>
      <c r="I116" s="12">
        <f>IF($H116="","",IF($H116=0,"Non trouvé",IF($H116=1,"Match","À vérifier")))</f>
        <v/>
      </c>
      <c r="J116" s="21">
        <f>IF($I116&lt;&gt;"Match","",INDEX(Ventes_Encaissements!$B$6:$B$3005,_xludf.AGGREGATE(15,6,(ROW(Ventes_Encaissements!$B$6:$B$3005)-ROW(Ventes_Encaissements!$B$6)+1)/((Ventes_Encaissements!$E$6:$E$3005=$B116)*(Ventes_Encaissements!$J$6:$J$3005=$G116)*(Ventes_Encaissements!$C$6:$C$3005&gt;=$C116-3)*(Ventes_Encaissements!$C$6:$C$3005&lt;=$C116+3)),1)))</f>
        <v/>
      </c>
      <c r="K116" s="6" t="n"/>
    </row>
    <row r="117">
      <c r="A117" s="6" t="n"/>
      <c r="B117" s="6" t="n"/>
      <c r="C117" s="19" t="n"/>
      <c r="D117" s="19" t="n"/>
      <c r="E117" s="6" t="n"/>
      <c r="F117" s="20" t="n"/>
      <c r="G117" s="9">
        <f>IF($F117="","",IF($F117&gt;0,ROUND($F117,2),""))</f>
        <v/>
      </c>
      <c r="H117" s="12">
        <f>IF(OR($B117="",$C117="",$G117=""),"",COUNTIFS(Ventes_Encaissements!$E$6:$E$3005,$B117,Ventes_Encaissements!$J$6:$J$3005,$G117,Ventes_Encaissements!$C$6:$C$3005,"&gt;="&amp;($C117-3),Ventes_Encaissements!$C$6:$C$3005,"&lt;="&amp;($C117+3)))</f>
        <v/>
      </c>
      <c r="I117" s="12">
        <f>IF($H117="","",IF($H117=0,"Non trouvé",IF($H117=1,"Match","À vérifier")))</f>
        <v/>
      </c>
      <c r="J117" s="21">
        <f>IF($I117&lt;&gt;"Match","",INDEX(Ventes_Encaissements!$B$6:$B$3005,_xludf.AGGREGATE(15,6,(ROW(Ventes_Encaissements!$B$6:$B$3005)-ROW(Ventes_Encaissements!$B$6)+1)/((Ventes_Encaissements!$E$6:$E$3005=$B117)*(Ventes_Encaissements!$J$6:$J$3005=$G117)*(Ventes_Encaissements!$C$6:$C$3005&gt;=$C117-3)*(Ventes_Encaissements!$C$6:$C$3005&lt;=$C117+3)),1)))</f>
        <v/>
      </c>
      <c r="K117" s="6" t="n"/>
    </row>
    <row r="118">
      <c r="A118" s="6" t="n"/>
      <c r="B118" s="6" t="n"/>
      <c r="C118" s="19" t="n"/>
      <c r="D118" s="19" t="n"/>
      <c r="E118" s="6" t="n"/>
      <c r="F118" s="20" t="n"/>
      <c r="G118" s="9">
        <f>IF($F118="","",IF($F118&gt;0,ROUND($F118,2),""))</f>
        <v/>
      </c>
      <c r="H118" s="12">
        <f>IF(OR($B118="",$C118="",$G118=""),"",COUNTIFS(Ventes_Encaissements!$E$6:$E$3005,$B118,Ventes_Encaissements!$J$6:$J$3005,$G118,Ventes_Encaissements!$C$6:$C$3005,"&gt;="&amp;($C118-3),Ventes_Encaissements!$C$6:$C$3005,"&lt;="&amp;($C118+3)))</f>
        <v/>
      </c>
      <c r="I118" s="12">
        <f>IF($H118="","",IF($H118=0,"Non trouvé",IF($H118=1,"Match","À vérifier")))</f>
        <v/>
      </c>
      <c r="J118" s="21">
        <f>IF($I118&lt;&gt;"Match","",INDEX(Ventes_Encaissements!$B$6:$B$3005,_xludf.AGGREGATE(15,6,(ROW(Ventes_Encaissements!$B$6:$B$3005)-ROW(Ventes_Encaissements!$B$6)+1)/((Ventes_Encaissements!$E$6:$E$3005=$B118)*(Ventes_Encaissements!$J$6:$J$3005=$G118)*(Ventes_Encaissements!$C$6:$C$3005&gt;=$C118-3)*(Ventes_Encaissements!$C$6:$C$3005&lt;=$C118+3)),1)))</f>
        <v/>
      </c>
      <c r="K118" s="6" t="n"/>
    </row>
    <row r="119">
      <c r="A119" s="6" t="n"/>
      <c r="B119" s="6" t="n"/>
      <c r="C119" s="19" t="n"/>
      <c r="D119" s="19" t="n"/>
      <c r="E119" s="6" t="n"/>
      <c r="F119" s="20" t="n"/>
      <c r="G119" s="9">
        <f>IF($F119="","",IF($F119&gt;0,ROUND($F119,2),""))</f>
        <v/>
      </c>
      <c r="H119" s="12">
        <f>IF(OR($B119="",$C119="",$G119=""),"",COUNTIFS(Ventes_Encaissements!$E$6:$E$3005,$B119,Ventes_Encaissements!$J$6:$J$3005,$G119,Ventes_Encaissements!$C$6:$C$3005,"&gt;="&amp;($C119-3),Ventes_Encaissements!$C$6:$C$3005,"&lt;="&amp;($C119+3)))</f>
        <v/>
      </c>
      <c r="I119" s="12">
        <f>IF($H119="","",IF($H119=0,"Non trouvé",IF($H119=1,"Match","À vérifier")))</f>
        <v/>
      </c>
      <c r="J119" s="21">
        <f>IF($I119&lt;&gt;"Match","",INDEX(Ventes_Encaissements!$B$6:$B$3005,_xludf.AGGREGATE(15,6,(ROW(Ventes_Encaissements!$B$6:$B$3005)-ROW(Ventes_Encaissements!$B$6)+1)/((Ventes_Encaissements!$E$6:$E$3005=$B119)*(Ventes_Encaissements!$J$6:$J$3005=$G119)*(Ventes_Encaissements!$C$6:$C$3005&gt;=$C119-3)*(Ventes_Encaissements!$C$6:$C$3005&lt;=$C119+3)),1)))</f>
        <v/>
      </c>
      <c r="K119" s="6" t="n"/>
    </row>
    <row r="120">
      <c r="A120" s="6" t="n"/>
      <c r="B120" s="6" t="n"/>
      <c r="C120" s="19" t="n"/>
      <c r="D120" s="19" t="n"/>
      <c r="E120" s="6" t="n"/>
      <c r="F120" s="20" t="n"/>
      <c r="G120" s="9">
        <f>IF($F120="","",IF($F120&gt;0,ROUND($F120,2),""))</f>
        <v/>
      </c>
      <c r="H120" s="12">
        <f>IF(OR($B120="",$C120="",$G120=""),"",COUNTIFS(Ventes_Encaissements!$E$6:$E$3005,$B120,Ventes_Encaissements!$J$6:$J$3005,$G120,Ventes_Encaissements!$C$6:$C$3005,"&gt;="&amp;($C120-3),Ventes_Encaissements!$C$6:$C$3005,"&lt;="&amp;($C120+3)))</f>
        <v/>
      </c>
      <c r="I120" s="12">
        <f>IF($H120="","",IF($H120=0,"Non trouvé",IF($H120=1,"Match","À vérifier")))</f>
        <v/>
      </c>
      <c r="J120" s="21">
        <f>IF($I120&lt;&gt;"Match","",INDEX(Ventes_Encaissements!$B$6:$B$3005,_xludf.AGGREGATE(15,6,(ROW(Ventes_Encaissements!$B$6:$B$3005)-ROW(Ventes_Encaissements!$B$6)+1)/((Ventes_Encaissements!$E$6:$E$3005=$B120)*(Ventes_Encaissements!$J$6:$J$3005=$G120)*(Ventes_Encaissements!$C$6:$C$3005&gt;=$C120-3)*(Ventes_Encaissements!$C$6:$C$3005&lt;=$C120+3)),1)))</f>
        <v/>
      </c>
      <c r="K120" s="6" t="n"/>
    </row>
    <row r="121">
      <c r="A121" s="6" t="n"/>
      <c r="B121" s="6" t="n"/>
      <c r="C121" s="19" t="n"/>
      <c r="D121" s="19" t="n"/>
      <c r="E121" s="6" t="n"/>
      <c r="F121" s="20" t="n"/>
      <c r="G121" s="9">
        <f>IF($F121="","",IF($F121&gt;0,ROUND($F121,2),""))</f>
        <v/>
      </c>
      <c r="H121" s="12">
        <f>IF(OR($B121="",$C121="",$G121=""),"",COUNTIFS(Ventes_Encaissements!$E$6:$E$3005,$B121,Ventes_Encaissements!$J$6:$J$3005,$G121,Ventes_Encaissements!$C$6:$C$3005,"&gt;="&amp;($C121-3),Ventes_Encaissements!$C$6:$C$3005,"&lt;="&amp;($C121+3)))</f>
        <v/>
      </c>
      <c r="I121" s="12">
        <f>IF($H121="","",IF($H121=0,"Non trouvé",IF($H121=1,"Match","À vérifier")))</f>
        <v/>
      </c>
      <c r="J121" s="21">
        <f>IF($I121&lt;&gt;"Match","",INDEX(Ventes_Encaissements!$B$6:$B$3005,_xludf.AGGREGATE(15,6,(ROW(Ventes_Encaissements!$B$6:$B$3005)-ROW(Ventes_Encaissements!$B$6)+1)/((Ventes_Encaissements!$E$6:$E$3005=$B121)*(Ventes_Encaissements!$J$6:$J$3005=$G121)*(Ventes_Encaissements!$C$6:$C$3005&gt;=$C121-3)*(Ventes_Encaissements!$C$6:$C$3005&lt;=$C121+3)),1)))</f>
        <v/>
      </c>
      <c r="K121" s="6" t="n"/>
    </row>
    <row r="122">
      <c r="A122" s="6" t="n"/>
      <c r="B122" s="6" t="n"/>
      <c r="C122" s="19" t="n"/>
      <c r="D122" s="19" t="n"/>
      <c r="E122" s="6" t="n"/>
      <c r="F122" s="20" t="n"/>
      <c r="G122" s="9">
        <f>IF($F122="","",IF($F122&gt;0,ROUND($F122,2),""))</f>
        <v/>
      </c>
      <c r="H122" s="12">
        <f>IF(OR($B122="",$C122="",$G122=""),"",COUNTIFS(Ventes_Encaissements!$E$6:$E$3005,$B122,Ventes_Encaissements!$J$6:$J$3005,$G122,Ventes_Encaissements!$C$6:$C$3005,"&gt;="&amp;($C122-3),Ventes_Encaissements!$C$6:$C$3005,"&lt;="&amp;($C122+3)))</f>
        <v/>
      </c>
      <c r="I122" s="12">
        <f>IF($H122="","",IF($H122=0,"Non trouvé",IF($H122=1,"Match","À vérifier")))</f>
        <v/>
      </c>
      <c r="J122" s="21">
        <f>IF($I122&lt;&gt;"Match","",INDEX(Ventes_Encaissements!$B$6:$B$3005,_xludf.AGGREGATE(15,6,(ROW(Ventes_Encaissements!$B$6:$B$3005)-ROW(Ventes_Encaissements!$B$6)+1)/((Ventes_Encaissements!$E$6:$E$3005=$B122)*(Ventes_Encaissements!$J$6:$J$3005=$G122)*(Ventes_Encaissements!$C$6:$C$3005&gt;=$C122-3)*(Ventes_Encaissements!$C$6:$C$3005&lt;=$C122+3)),1)))</f>
        <v/>
      </c>
      <c r="K122" s="6" t="n"/>
    </row>
    <row r="123">
      <c r="A123" s="6" t="n"/>
      <c r="B123" s="6" t="n"/>
      <c r="C123" s="19" t="n"/>
      <c r="D123" s="19" t="n"/>
      <c r="E123" s="6" t="n"/>
      <c r="F123" s="20" t="n"/>
      <c r="G123" s="9">
        <f>IF($F123="","",IF($F123&gt;0,ROUND($F123,2),""))</f>
        <v/>
      </c>
      <c r="H123" s="12">
        <f>IF(OR($B123="",$C123="",$G123=""),"",COUNTIFS(Ventes_Encaissements!$E$6:$E$3005,$B123,Ventes_Encaissements!$J$6:$J$3005,$G123,Ventes_Encaissements!$C$6:$C$3005,"&gt;="&amp;($C123-3),Ventes_Encaissements!$C$6:$C$3005,"&lt;="&amp;($C123+3)))</f>
        <v/>
      </c>
      <c r="I123" s="12">
        <f>IF($H123="","",IF($H123=0,"Non trouvé",IF($H123=1,"Match","À vérifier")))</f>
        <v/>
      </c>
      <c r="J123" s="21">
        <f>IF($I123&lt;&gt;"Match","",INDEX(Ventes_Encaissements!$B$6:$B$3005,_xludf.AGGREGATE(15,6,(ROW(Ventes_Encaissements!$B$6:$B$3005)-ROW(Ventes_Encaissements!$B$6)+1)/((Ventes_Encaissements!$E$6:$E$3005=$B123)*(Ventes_Encaissements!$J$6:$J$3005=$G123)*(Ventes_Encaissements!$C$6:$C$3005&gt;=$C123-3)*(Ventes_Encaissements!$C$6:$C$3005&lt;=$C123+3)),1)))</f>
        <v/>
      </c>
      <c r="K123" s="6" t="n"/>
    </row>
    <row r="124">
      <c r="A124" s="6" t="n"/>
      <c r="B124" s="6" t="n"/>
      <c r="C124" s="19" t="n"/>
      <c r="D124" s="19" t="n"/>
      <c r="E124" s="6" t="n"/>
      <c r="F124" s="20" t="n"/>
      <c r="G124" s="9">
        <f>IF($F124="","",IF($F124&gt;0,ROUND($F124,2),""))</f>
        <v/>
      </c>
      <c r="H124" s="12">
        <f>IF(OR($B124="",$C124="",$G124=""),"",COUNTIFS(Ventes_Encaissements!$E$6:$E$3005,$B124,Ventes_Encaissements!$J$6:$J$3005,$G124,Ventes_Encaissements!$C$6:$C$3005,"&gt;="&amp;($C124-3),Ventes_Encaissements!$C$6:$C$3005,"&lt;="&amp;($C124+3)))</f>
        <v/>
      </c>
      <c r="I124" s="12">
        <f>IF($H124="","",IF($H124=0,"Non trouvé",IF($H124=1,"Match","À vérifier")))</f>
        <v/>
      </c>
      <c r="J124" s="21">
        <f>IF($I124&lt;&gt;"Match","",INDEX(Ventes_Encaissements!$B$6:$B$3005,_xludf.AGGREGATE(15,6,(ROW(Ventes_Encaissements!$B$6:$B$3005)-ROW(Ventes_Encaissements!$B$6)+1)/((Ventes_Encaissements!$E$6:$E$3005=$B124)*(Ventes_Encaissements!$J$6:$J$3005=$G124)*(Ventes_Encaissements!$C$6:$C$3005&gt;=$C124-3)*(Ventes_Encaissements!$C$6:$C$3005&lt;=$C124+3)),1)))</f>
        <v/>
      </c>
      <c r="K124" s="6" t="n"/>
    </row>
    <row r="125">
      <c r="A125" s="6" t="n"/>
      <c r="B125" s="6" t="n"/>
      <c r="C125" s="19" t="n"/>
      <c r="D125" s="19" t="n"/>
      <c r="E125" s="6" t="n"/>
      <c r="F125" s="20" t="n"/>
      <c r="G125" s="9">
        <f>IF($F125="","",IF($F125&gt;0,ROUND($F125,2),""))</f>
        <v/>
      </c>
      <c r="H125" s="12">
        <f>IF(OR($B125="",$C125="",$G125=""),"",COUNTIFS(Ventes_Encaissements!$E$6:$E$3005,$B125,Ventes_Encaissements!$J$6:$J$3005,$G125,Ventes_Encaissements!$C$6:$C$3005,"&gt;="&amp;($C125-3),Ventes_Encaissements!$C$6:$C$3005,"&lt;="&amp;($C125+3)))</f>
        <v/>
      </c>
      <c r="I125" s="12">
        <f>IF($H125="","",IF($H125=0,"Non trouvé",IF($H125=1,"Match","À vérifier")))</f>
        <v/>
      </c>
      <c r="J125" s="21">
        <f>IF($I125&lt;&gt;"Match","",INDEX(Ventes_Encaissements!$B$6:$B$3005,_xludf.AGGREGATE(15,6,(ROW(Ventes_Encaissements!$B$6:$B$3005)-ROW(Ventes_Encaissements!$B$6)+1)/((Ventes_Encaissements!$E$6:$E$3005=$B125)*(Ventes_Encaissements!$J$6:$J$3005=$G125)*(Ventes_Encaissements!$C$6:$C$3005&gt;=$C125-3)*(Ventes_Encaissements!$C$6:$C$3005&lt;=$C125+3)),1)))</f>
        <v/>
      </c>
      <c r="K125" s="6" t="n"/>
    </row>
    <row r="126">
      <c r="A126" s="6" t="n"/>
      <c r="B126" s="6" t="n"/>
      <c r="C126" s="19" t="n"/>
      <c r="D126" s="19" t="n"/>
      <c r="E126" s="6" t="n"/>
      <c r="F126" s="20" t="n"/>
      <c r="G126" s="9">
        <f>IF($F126="","",IF($F126&gt;0,ROUND($F126,2),""))</f>
        <v/>
      </c>
      <c r="H126" s="12">
        <f>IF(OR($B126="",$C126="",$G126=""),"",COUNTIFS(Ventes_Encaissements!$E$6:$E$3005,$B126,Ventes_Encaissements!$J$6:$J$3005,$G126,Ventes_Encaissements!$C$6:$C$3005,"&gt;="&amp;($C126-3),Ventes_Encaissements!$C$6:$C$3005,"&lt;="&amp;($C126+3)))</f>
        <v/>
      </c>
      <c r="I126" s="12">
        <f>IF($H126="","",IF($H126=0,"Non trouvé",IF($H126=1,"Match","À vérifier")))</f>
        <v/>
      </c>
      <c r="J126" s="21">
        <f>IF($I126&lt;&gt;"Match","",INDEX(Ventes_Encaissements!$B$6:$B$3005,_xludf.AGGREGATE(15,6,(ROW(Ventes_Encaissements!$B$6:$B$3005)-ROW(Ventes_Encaissements!$B$6)+1)/((Ventes_Encaissements!$E$6:$E$3005=$B126)*(Ventes_Encaissements!$J$6:$J$3005=$G126)*(Ventes_Encaissements!$C$6:$C$3005&gt;=$C126-3)*(Ventes_Encaissements!$C$6:$C$3005&lt;=$C126+3)),1)))</f>
        <v/>
      </c>
      <c r="K126" s="6" t="n"/>
    </row>
    <row r="127">
      <c r="A127" s="6" t="n"/>
      <c r="B127" s="6" t="n"/>
      <c r="C127" s="19" t="n"/>
      <c r="D127" s="19" t="n"/>
      <c r="E127" s="6" t="n"/>
      <c r="F127" s="20" t="n"/>
      <c r="G127" s="9">
        <f>IF($F127="","",IF($F127&gt;0,ROUND($F127,2),""))</f>
        <v/>
      </c>
      <c r="H127" s="12">
        <f>IF(OR($B127="",$C127="",$G127=""),"",COUNTIFS(Ventes_Encaissements!$E$6:$E$3005,$B127,Ventes_Encaissements!$J$6:$J$3005,$G127,Ventes_Encaissements!$C$6:$C$3005,"&gt;="&amp;($C127-3),Ventes_Encaissements!$C$6:$C$3005,"&lt;="&amp;($C127+3)))</f>
        <v/>
      </c>
      <c r="I127" s="12">
        <f>IF($H127="","",IF($H127=0,"Non trouvé",IF($H127=1,"Match","À vérifier")))</f>
        <v/>
      </c>
      <c r="J127" s="21">
        <f>IF($I127&lt;&gt;"Match","",INDEX(Ventes_Encaissements!$B$6:$B$3005,_xludf.AGGREGATE(15,6,(ROW(Ventes_Encaissements!$B$6:$B$3005)-ROW(Ventes_Encaissements!$B$6)+1)/((Ventes_Encaissements!$E$6:$E$3005=$B127)*(Ventes_Encaissements!$J$6:$J$3005=$G127)*(Ventes_Encaissements!$C$6:$C$3005&gt;=$C127-3)*(Ventes_Encaissements!$C$6:$C$3005&lt;=$C127+3)),1)))</f>
        <v/>
      </c>
      <c r="K127" s="6" t="n"/>
    </row>
    <row r="128">
      <c r="A128" s="6" t="n"/>
      <c r="B128" s="6" t="n"/>
      <c r="C128" s="19" t="n"/>
      <c r="D128" s="19" t="n"/>
      <c r="E128" s="6" t="n"/>
      <c r="F128" s="20" t="n"/>
      <c r="G128" s="9">
        <f>IF($F128="","",IF($F128&gt;0,ROUND($F128,2),""))</f>
        <v/>
      </c>
      <c r="H128" s="12">
        <f>IF(OR($B128="",$C128="",$G128=""),"",COUNTIFS(Ventes_Encaissements!$E$6:$E$3005,$B128,Ventes_Encaissements!$J$6:$J$3005,$G128,Ventes_Encaissements!$C$6:$C$3005,"&gt;="&amp;($C128-3),Ventes_Encaissements!$C$6:$C$3005,"&lt;="&amp;($C128+3)))</f>
        <v/>
      </c>
      <c r="I128" s="12">
        <f>IF($H128="","",IF($H128=0,"Non trouvé",IF($H128=1,"Match","À vérifier")))</f>
        <v/>
      </c>
      <c r="J128" s="21">
        <f>IF($I128&lt;&gt;"Match","",INDEX(Ventes_Encaissements!$B$6:$B$3005,_xludf.AGGREGATE(15,6,(ROW(Ventes_Encaissements!$B$6:$B$3005)-ROW(Ventes_Encaissements!$B$6)+1)/((Ventes_Encaissements!$E$6:$E$3005=$B128)*(Ventes_Encaissements!$J$6:$J$3005=$G128)*(Ventes_Encaissements!$C$6:$C$3005&gt;=$C128-3)*(Ventes_Encaissements!$C$6:$C$3005&lt;=$C128+3)),1)))</f>
        <v/>
      </c>
      <c r="K128" s="6" t="n"/>
    </row>
    <row r="129">
      <c r="A129" s="6" t="n"/>
      <c r="B129" s="6" t="n"/>
      <c r="C129" s="19" t="n"/>
      <c r="D129" s="19" t="n"/>
      <c r="E129" s="6" t="n"/>
      <c r="F129" s="20" t="n"/>
      <c r="G129" s="9">
        <f>IF($F129="","",IF($F129&gt;0,ROUND($F129,2),""))</f>
        <v/>
      </c>
      <c r="H129" s="12">
        <f>IF(OR($B129="",$C129="",$G129=""),"",COUNTIFS(Ventes_Encaissements!$E$6:$E$3005,$B129,Ventes_Encaissements!$J$6:$J$3005,$G129,Ventes_Encaissements!$C$6:$C$3005,"&gt;="&amp;($C129-3),Ventes_Encaissements!$C$6:$C$3005,"&lt;="&amp;($C129+3)))</f>
        <v/>
      </c>
      <c r="I129" s="12">
        <f>IF($H129="","",IF($H129=0,"Non trouvé",IF($H129=1,"Match","À vérifier")))</f>
        <v/>
      </c>
      <c r="J129" s="21">
        <f>IF($I129&lt;&gt;"Match","",INDEX(Ventes_Encaissements!$B$6:$B$3005,_xludf.AGGREGATE(15,6,(ROW(Ventes_Encaissements!$B$6:$B$3005)-ROW(Ventes_Encaissements!$B$6)+1)/((Ventes_Encaissements!$E$6:$E$3005=$B129)*(Ventes_Encaissements!$J$6:$J$3005=$G129)*(Ventes_Encaissements!$C$6:$C$3005&gt;=$C129-3)*(Ventes_Encaissements!$C$6:$C$3005&lt;=$C129+3)),1)))</f>
        <v/>
      </c>
      <c r="K129" s="6" t="n"/>
    </row>
    <row r="130">
      <c r="A130" s="6" t="n"/>
      <c r="B130" s="6" t="n"/>
      <c r="C130" s="19" t="n"/>
      <c r="D130" s="19" t="n"/>
      <c r="E130" s="6" t="n"/>
      <c r="F130" s="20" t="n"/>
      <c r="G130" s="9">
        <f>IF($F130="","",IF($F130&gt;0,ROUND($F130,2),""))</f>
        <v/>
      </c>
      <c r="H130" s="12">
        <f>IF(OR($B130="",$C130="",$G130=""),"",COUNTIFS(Ventes_Encaissements!$E$6:$E$3005,$B130,Ventes_Encaissements!$J$6:$J$3005,$G130,Ventes_Encaissements!$C$6:$C$3005,"&gt;="&amp;($C130-3),Ventes_Encaissements!$C$6:$C$3005,"&lt;="&amp;($C130+3)))</f>
        <v/>
      </c>
      <c r="I130" s="12">
        <f>IF($H130="","",IF($H130=0,"Non trouvé",IF($H130=1,"Match","À vérifier")))</f>
        <v/>
      </c>
      <c r="J130" s="21">
        <f>IF($I130&lt;&gt;"Match","",INDEX(Ventes_Encaissements!$B$6:$B$3005,_xludf.AGGREGATE(15,6,(ROW(Ventes_Encaissements!$B$6:$B$3005)-ROW(Ventes_Encaissements!$B$6)+1)/((Ventes_Encaissements!$E$6:$E$3005=$B130)*(Ventes_Encaissements!$J$6:$J$3005=$G130)*(Ventes_Encaissements!$C$6:$C$3005&gt;=$C130-3)*(Ventes_Encaissements!$C$6:$C$3005&lt;=$C130+3)),1)))</f>
        <v/>
      </c>
      <c r="K130" s="6" t="n"/>
    </row>
    <row r="131">
      <c r="A131" s="6" t="n"/>
      <c r="B131" s="6" t="n"/>
      <c r="C131" s="19" t="n"/>
      <c r="D131" s="19" t="n"/>
      <c r="E131" s="6" t="n"/>
      <c r="F131" s="20" t="n"/>
      <c r="G131" s="9">
        <f>IF($F131="","",IF($F131&gt;0,ROUND($F131,2),""))</f>
        <v/>
      </c>
      <c r="H131" s="12">
        <f>IF(OR($B131="",$C131="",$G131=""),"",COUNTIFS(Ventes_Encaissements!$E$6:$E$3005,$B131,Ventes_Encaissements!$J$6:$J$3005,$G131,Ventes_Encaissements!$C$6:$C$3005,"&gt;="&amp;($C131-3),Ventes_Encaissements!$C$6:$C$3005,"&lt;="&amp;($C131+3)))</f>
        <v/>
      </c>
      <c r="I131" s="12">
        <f>IF($H131="","",IF($H131=0,"Non trouvé",IF($H131=1,"Match","À vérifier")))</f>
        <v/>
      </c>
      <c r="J131" s="21">
        <f>IF($I131&lt;&gt;"Match","",INDEX(Ventes_Encaissements!$B$6:$B$3005,_xludf.AGGREGATE(15,6,(ROW(Ventes_Encaissements!$B$6:$B$3005)-ROW(Ventes_Encaissements!$B$6)+1)/((Ventes_Encaissements!$E$6:$E$3005=$B131)*(Ventes_Encaissements!$J$6:$J$3005=$G131)*(Ventes_Encaissements!$C$6:$C$3005&gt;=$C131-3)*(Ventes_Encaissements!$C$6:$C$3005&lt;=$C131+3)),1)))</f>
        <v/>
      </c>
      <c r="K131" s="6" t="n"/>
    </row>
    <row r="132">
      <c r="A132" s="6" t="n"/>
      <c r="B132" s="6" t="n"/>
      <c r="C132" s="19" t="n"/>
      <c r="D132" s="19" t="n"/>
      <c r="E132" s="6" t="n"/>
      <c r="F132" s="20" t="n"/>
      <c r="G132" s="9">
        <f>IF($F132="","",IF($F132&gt;0,ROUND($F132,2),""))</f>
        <v/>
      </c>
      <c r="H132" s="12">
        <f>IF(OR($B132="",$C132="",$G132=""),"",COUNTIFS(Ventes_Encaissements!$E$6:$E$3005,$B132,Ventes_Encaissements!$J$6:$J$3005,$G132,Ventes_Encaissements!$C$6:$C$3005,"&gt;="&amp;($C132-3),Ventes_Encaissements!$C$6:$C$3005,"&lt;="&amp;($C132+3)))</f>
        <v/>
      </c>
      <c r="I132" s="12">
        <f>IF($H132="","",IF($H132=0,"Non trouvé",IF($H132=1,"Match","À vérifier")))</f>
        <v/>
      </c>
      <c r="J132" s="21">
        <f>IF($I132&lt;&gt;"Match","",INDEX(Ventes_Encaissements!$B$6:$B$3005,_xludf.AGGREGATE(15,6,(ROW(Ventes_Encaissements!$B$6:$B$3005)-ROW(Ventes_Encaissements!$B$6)+1)/((Ventes_Encaissements!$E$6:$E$3005=$B132)*(Ventes_Encaissements!$J$6:$J$3005=$G132)*(Ventes_Encaissements!$C$6:$C$3005&gt;=$C132-3)*(Ventes_Encaissements!$C$6:$C$3005&lt;=$C132+3)),1)))</f>
        <v/>
      </c>
      <c r="K132" s="6" t="n"/>
    </row>
    <row r="133">
      <c r="A133" s="6" t="n"/>
      <c r="B133" s="6" t="n"/>
      <c r="C133" s="19" t="n"/>
      <c r="D133" s="19" t="n"/>
      <c r="E133" s="6" t="n"/>
      <c r="F133" s="20" t="n"/>
      <c r="G133" s="9">
        <f>IF($F133="","",IF($F133&gt;0,ROUND($F133,2),""))</f>
        <v/>
      </c>
      <c r="H133" s="12">
        <f>IF(OR($B133="",$C133="",$G133=""),"",COUNTIFS(Ventes_Encaissements!$E$6:$E$3005,$B133,Ventes_Encaissements!$J$6:$J$3005,$G133,Ventes_Encaissements!$C$6:$C$3005,"&gt;="&amp;($C133-3),Ventes_Encaissements!$C$6:$C$3005,"&lt;="&amp;($C133+3)))</f>
        <v/>
      </c>
      <c r="I133" s="12">
        <f>IF($H133="","",IF($H133=0,"Non trouvé",IF($H133=1,"Match","À vérifier")))</f>
        <v/>
      </c>
      <c r="J133" s="21">
        <f>IF($I133&lt;&gt;"Match","",INDEX(Ventes_Encaissements!$B$6:$B$3005,_xludf.AGGREGATE(15,6,(ROW(Ventes_Encaissements!$B$6:$B$3005)-ROW(Ventes_Encaissements!$B$6)+1)/((Ventes_Encaissements!$E$6:$E$3005=$B133)*(Ventes_Encaissements!$J$6:$J$3005=$G133)*(Ventes_Encaissements!$C$6:$C$3005&gt;=$C133-3)*(Ventes_Encaissements!$C$6:$C$3005&lt;=$C133+3)),1)))</f>
        <v/>
      </c>
      <c r="K133" s="6" t="n"/>
    </row>
    <row r="134">
      <c r="A134" s="6" t="n"/>
      <c r="B134" s="6" t="n"/>
      <c r="C134" s="19" t="n"/>
      <c r="D134" s="19" t="n"/>
      <c r="E134" s="6" t="n"/>
      <c r="F134" s="20" t="n"/>
      <c r="G134" s="9">
        <f>IF($F134="","",IF($F134&gt;0,ROUND($F134,2),""))</f>
        <v/>
      </c>
      <c r="H134" s="12">
        <f>IF(OR($B134="",$C134="",$G134=""),"",COUNTIFS(Ventes_Encaissements!$E$6:$E$3005,$B134,Ventes_Encaissements!$J$6:$J$3005,$G134,Ventes_Encaissements!$C$6:$C$3005,"&gt;="&amp;($C134-3),Ventes_Encaissements!$C$6:$C$3005,"&lt;="&amp;($C134+3)))</f>
        <v/>
      </c>
      <c r="I134" s="12">
        <f>IF($H134="","",IF($H134=0,"Non trouvé",IF($H134=1,"Match","À vérifier")))</f>
        <v/>
      </c>
      <c r="J134" s="21">
        <f>IF($I134&lt;&gt;"Match","",INDEX(Ventes_Encaissements!$B$6:$B$3005,_xludf.AGGREGATE(15,6,(ROW(Ventes_Encaissements!$B$6:$B$3005)-ROW(Ventes_Encaissements!$B$6)+1)/((Ventes_Encaissements!$E$6:$E$3005=$B134)*(Ventes_Encaissements!$J$6:$J$3005=$G134)*(Ventes_Encaissements!$C$6:$C$3005&gt;=$C134-3)*(Ventes_Encaissements!$C$6:$C$3005&lt;=$C134+3)),1)))</f>
        <v/>
      </c>
      <c r="K134" s="6" t="n"/>
    </row>
    <row r="135">
      <c r="A135" s="6" t="n"/>
      <c r="B135" s="6" t="n"/>
      <c r="C135" s="19" t="n"/>
      <c r="D135" s="19" t="n"/>
      <c r="E135" s="6" t="n"/>
      <c r="F135" s="20" t="n"/>
      <c r="G135" s="9">
        <f>IF($F135="","",IF($F135&gt;0,ROUND($F135,2),""))</f>
        <v/>
      </c>
      <c r="H135" s="12">
        <f>IF(OR($B135="",$C135="",$G135=""),"",COUNTIFS(Ventes_Encaissements!$E$6:$E$3005,$B135,Ventes_Encaissements!$J$6:$J$3005,$G135,Ventes_Encaissements!$C$6:$C$3005,"&gt;="&amp;($C135-3),Ventes_Encaissements!$C$6:$C$3005,"&lt;="&amp;($C135+3)))</f>
        <v/>
      </c>
      <c r="I135" s="12">
        <f>IF($H135="","",IF($H135=0,"Non trouvé",IF($H135=1,"Match","À vérifier")))</f>
        <v/>
      </c>
      <c r="J135" s="21">
        <f>IF($I135&lt;&gt;"Match","",INDEX(Ventes_Encaissements!$B$6:$B$3005,_xludf.AGGREGATE(15,6,(ROW(Ventes_Encaissements!$B$6:$B$3005)-ROW(Ventes_Encaissements!$B$6)+1)/((Ventes_Encaissements!$E$6:$E$3005=$B135)*(Ventes_Encaissements!$J$6:$J$3005=$G135)*(Ventes_Encaissements!$C$6:$C$3005&gt;=$C135-3)*(Ventes_Encaissements!$C$6:$C$3005&lt;=$C135+3)),1)))</f>
        <v/>
      </c>
      <c r="K135" s="6" t="n"/>
    </row>
    <row r="136">
      <c r="A136" s="6" t="n"/>
      <c r="B136" s="6" t="n"/>
      <c r="C136" s="19" t="n"/>
      <c r="D136" s="19" t="n"/>
      <c r="E136" s="6" t="n"/>
      <c r="F136" s="20" t="n"/>
      <c r="G136" s="9">
        <f>IF($F136="","",IF($F136&gt;0,ROUND($F136,2),""))</f>
        <v/>
      </c>
      <c r="H136" s="12">
        <f>IF(OR($B136="",$C136="",$G136=""),"",COUNTIFS(Ventes_Encaissements!$E$6:$E$3005,$B136,Ventes_Encaissements!$J$6:$J$3005,$G136,Ventes_Encaissements!$C$6:$C$3005,"&gt;="&amp;($C136-3),Ventes_Encaissements!$C$6:$C$3005,"&lt;="&amp;($C136+3)))</f>
        <v/>
      </c>
      <c r="I136" s="12">
        <f>IF($H136="","",IF($H136=0,"Non trouvé",IF($H136=1,"Match","À vérifier")))</f>
        <v/>
      </c>
      <c r="J136" s="21">
        <f>IF($I136&lt;&gt;"Match","",INDEX(Ventes_Encaissements!$B$6:$B$3005,_xludf.AGGREGATE(15,6,(ROW(Ventes_Encaissements!$B$6:$B$3005)-ROW(Ventes_Encaissements!$B$6)+1)/((Ventes_Encaissements!$E$6:$E$3005=$B136)*(Ventes_Encaissements!$J$6:$J$3005=$G136)*(Ventes_Encaissements!$C$6:$C$3005&gt;=$C136-3)*(Ventes_Encaissements!$C$6:$C$3005&lt;=$C136+3)),1)))</f>
        <v/>
      </c>
      <c r="K136" s="6" t="n"/>
    </row>
    <row r="137">
      <c r="A137" s="6" t="n"/>
      <c r="B137" s="6" t="n"/>
      <c r="C137" s="19" t="n"/>
      <c r="D137" s="19" t="n"/>
      <c r="E137" s="6" t="n"/>
      <c r="F137" s="20" t="n"/>
      <c r="G137" s="9">
        <f>IF($F137="","",IF($F137&gt;0,ROUND($F137,2),""))</f>
        <v/>
      </c>
      <c r="H137" s="12">
        <f>IF(OR($B137="",$C137="",$G137=""),"",COUNTIFS(Ventes_Encaissements!$E$6:$E$3005,$B137,Ventes_Encaissements!$J$6:$J$3005,$G137,Ventes_Encaissements!$C$6:$C$3005,"&gt;="&amp;($C137-3),Ventes_Encaissements!$C$6:$C$3005,"&lt;="&amp;($C137+3)))</f>
        <v/>
      </c>
      <c r="I137" s="12">
        <f>IF($H137="","",IF($H137=0,"Non trouvé",IF($H137=1,"Match","À vérifier")))</f>
        <v/>
      </c>
      <c r="J137" s="21">
        <f>IF($I137&lt;&gt;"Match","",INDEX(Ventes_Encaissements!$B$6:$B$3005,_xludf.AGGREGATE(15,6,(ROW(Ventes_Encaissements!$B$6:$B$3005)-ROW(Ventes_Encaissements!$B$6)+1)/((Ventes_Encaissements!$E$6:$E$3005=$B137)*(Ventes_Encaissements!$J$6:$J$3005=$G137)*(Ventes_Encaissements!$C$6:$C$3005&gt;=$C137-3)*(Ventes_Encaissements!$C$6:$C$3005&lt;=$C137+3)),1)))</f>
        <v/>
      </c>
      <c r="K137" s="6" t="n"/>
    </row>
    <row r="138">
      <c r="A138" s="6" t="n"/>
      <c r="B138" s="6" t="n"/>
      <c r="C138" s="19" t="n"/>
      <c r="D138" s="19" t="n"/>
      <c r="E138" s="6" t="n"/>
      <c r="F138" s="20" t="n"/>
      <c r="G138" s="9">
        <f>IF($F138="","",IF($F138&gt;0,ROUND($F138,2),""))</f>
        <v/>
      </c>
      <c r="H138" s="12">
        <f>IF(OR($B138="",$C138="",$G138=""),"",COUNTIFS(Ventes_Encaissements!$E$6:$E$3005,$B138,Ventes_Encaissements!$J$6:$J$3005,$G138,Ventes_Encaissements!$C$6:$C$3005,"&gt;="&amp;($C138-3),Ventes_Encaissements!$C$6:$C$3005,"&lt;="&amp;($C138+3)))</f>
        <v/>
      </c>
      <c r="I138" s="12">
        <f>IF($H138="","",IF($H138=0,"Non trouvé",IF($H138=1,"Match","À vérifier")))</f>
        <v/>
      </c>
      <c r="J138" s="21">
        <f>IF($I138&lt;&gt;"Match","",INDEX(Ventes_Encaissements!$B$6:$B$3005,_xludf.AGGREGATE(15,6,(ROW(Ventes_Encaissements!$B$6:$B$3005)-ROW(Ventes_Encaissements!$B$6)+1)/((Ventes_Encaissements!$E$6:$E$3005=$B138)*(Ventes_Encaissements!$J$6:$J$3005=$G138)*(Ventes_Encaissements!$C$6:$C$3005&gt;=$C138-3)*(Ventes_Encaissements!$C$6:$C$3005&lt;=$C138+3)),1)))</f>
        <v/>
      </c>
      <c r="K138" s="6" t="n"/>
    </row>
    <row r="139">
      <c r="A139" s="6" t="n"/>
      <c r="B139" s="6" t="n"/>
      <c r="C139" s="19" t="n"/>
      <c r="D139" s="19" t="n"/>
      <c r="E139" s="6" t="n"/>
      <c r="F139" s="20" t="n"/>
      <c r="G139" s="9">
        <f>IF($F139="","",IF($F139&gt;0,ROUND($F139,2),""))</f>
        <v/>
      </c>
      <c r="H139" s="12">
        <f>IF(OR($B139="",$C139="",$G139=""),"",COUNTIFS(Ventes_Encaissements!$E$6:$E$3005,$B139,Ventes_Encaissements!$J$6:$J$3005,$G139,Ventes_Encaissements!$C$6:$C$3005,"&gt;="&amp;($C139-3),Ventes_Encaissements!$C$6:$C$3005,"&lt;="&amp;($C139+3)))</f>
        <v/>
      </c>
      <c r="I139" s="12">
        <f>IF($H139="","",IF($H139=0,"Non trouvé",IF($H139=1,"Match","À vérifier")))</f>
        <v/>
      </c>
      <c r="J139" s="21">
        <f>IF($I139&lt;&gt;"Match","",INDEX(Ventes_Encaissements!$B$6:$B$3005,_xludf.AGGREGATE(15,6,(ROW(Ventes_Encaissements!$B$6:$B$3005)-ROW(Ventes_Encaissements!$B$6)+1)/((Ventes_Encaissements!$E$6:$E$3005=$B139)*(Ventes_Encaissements!$J$6:$J$3005=$G139)*(Ventes_Encaissements!$C$6:$C$3005&gt;=$C139-3)*(Ventes_Encaissements!$C$6:$C$3005&lt;=$C139+3)),1)))</f>
        <v/>
      </c>
      <c r="K139" s="6" t="n"/>
    </row>
    <row r="140">
      <c r="A140" s="6" t="n"/>
      <c r="B140" s="6" t="n"/>
      <c r="C140" s="19" t="n"/>
      <c r="D140" s="19" t="n"/>
      <c r="E140" s="6" t="n"/>
      <c r="F140" s="20" t="n"/>
      <c r="G140" s="9">
        <f>IF($F140="","",IF($F140&gt;0,ROUND($F140,2),""))</f>
        <v/>
      </c>
      <c r="H140" s="12">
        <f>IF(OR($B140="",$C140="",$G140=""),"",COUNTIFS(Ventes_Encaissements!$E$6:$E$3005,$B140,Ventes_Encaissements!$J$6:$J$3005,$G140,Ventes_Encaissements!$C$6:$C$3005,"&gt;="&amp;($C140-3),Ventes_Encaissements!$C$6:$C$3005,"&lt;="&amp;($C140+3)))</f>
        <v/>
      </c>
      <c r="I140" s="12">
        <f>IF($H140="","",IF($H140=0,"Non trouvé",IF($H140=1,"Match","À vérifier")))</f>
        <v/>
      </c>
      <c r="J140" s="21">
        <f>IF($I140&lt;&gt;"Match","",INDEX(Ventes_Encaissements!$B$6:$B$3005,_xludf.AGGREGATE(15,6,(ROW(Ventes_Encaissements!$B$6:$B$3005)-ROW(Ventes_Encaissements!$B$6)+1)/((Ventes_Encaissements!$E$6:$E$3005=$B140)*(Ventes_Encaissements!$J$6:$J$3005=$G140)*(Ventes_Encaissements!$C$6:$C$3005&gt;=$C140-3)*(Ventes_Encaissements!$C$6:$C$3005&lt;=$C140+3)),1)))</f>
        <v/>
      </c>
      <c r="K140" s="6" t="n"/>
    </row>
    <row r="141">
      <c r="A141" s="6" t="n"/>
      <c r="B141" s="6" t="n"/>
      <c r="C141" s="19" t="n"/>
      <c r="D141" s="19" t="n"/>
      <c r="E141" s="6" t="n"/>
      <c r="F141" s="20" t="n"/>
      <c r="G141" s="9">
        <f>IF($F141="","",IF($F141&gt;0,ROUND($F141,2),""))</f>
        <v/>
      </c>
      <c r="H141" s="12">
        <f>IF(OR($B141="",$C141="",$G141=""),"",COUNTIFS(Ventes_Encaissements!$E$6:$E$3005,$B141,Ventes_Encaissements!$J$6:$J$3005,$G141,Ventes_Encaissements!$C$6:$C$3005,"&gt;="&amp;($C141-3),Ventes_Encaissements!$C$6:$C$3005,"&lt;="&amp;($C141+3)))</f>
        <v/>
      </c>
      <c r="I141" s="12">
        <f>IF($H141="","",IF($H141=0,"Non trouvé",IF($H141=1,"Match","À vérifier")))</f>
        <v/>
      </c>
      <c r="J141" s="21">
        <f>IF($I141&lt;&gt;"Match","",INDEX(Ventes_Encaissements!$B$6:$B$3005,_xludf.AGGREGATE(15,6,(ROW(Ventes_Encaissements!$B$6:$B$3005)-ROW(Ventes_Encaissements!$B$6)+1)/((Ventes_Encaissements!$E$6:$E$3005=$B141)*(Ventes_Encaissements!$J$6:$J$3005=$G141)*(Ventes_Encaissements!$C$6:$C$3005&gt;=$C141-3)*(Ventes_Encaissements!$C$6:$C$3005&lt;=$C141+3)),1)))</f>
        <v/>
      </c>
      <c r="K141" s="6" t="n"/>
    </row>
    <row r="142">
      <c r="A142" s="6" t="n"/>
      <c r="B142" s="6" t="n"/>
      <c r="C142" s="19" t="n"/>
      <c r="D142" s="19" t="n"/>
      <c r="E142" s="6" t="n"/>
      <c r="F142" s="20" t="n"/>
      <c r="G142" s="9">
        <f>IF($F142="","",IF($F142&gt;0,ROUND($F142,2),""))</f>
        <v/>
      </c>
      <c r="H142" s="12">
        <f>IF(OR($B142="",$C142="",$G142=""),"",COUNTIFS(Ventes_Encaissements!$E$6:$E$3005,$B142,Ventes_Encaissements!$J$6:$J$3005,$G142,Ventes_Encaissements!$C$6:$C$3005,"&gt;="&amp;($C142-3),Ventes_Encaissements!$C$6:$C$3005,"&lt;="&amp;($C142+3)))</f>
        <v/>
      </c>
      <c r="I142" s="12">
        <f>IF($H142="","",IF($H142=0,"Non trouvé",IF($H142=1,"Match","À vérifier")))</f>
        <v/>
      </c>
      <c r="J142" s="21">
        <f>IF($I142&lt;&gt;"Match","",INDEX(Ventes_Encaissements!$B$6:$B$3005,_xludf.AGGREGATE(15,6,(ROW(Ventes_Encaissements!$B$6:$B$3005)-ROW(Ventes_Encaissements!$B$6)+1)/((Ventes_Encaissements!$E$6:$E$3005=$B142)*(Ventes_Encaissements!$J$6:$J$3005=$G142)*(Ventes_Encaissements!$C$6:$C$3005&gt;=$C142-3)*(Ventes_Encaissements!$C$6:$C$3005&lt;=$C142+3)),1)))</f>
        <v/>
      </c>
      <c r="K142" s="6" t="n"/>
    </row>
    <row r="143">
      <c r="A143" s="6" t="n"/>
      <c r="B143" s="6" t="n"/>
      <c r="C143" s="19" t="n"/>
      <c r="D143" s="19" t="n"/>
      <c r="E143" s="6" t="n"/>
      <c r="F143" s="20" t="n"/>
      <c r="G143" s="9">
        <f>IF($F143="","",IF($F143&gt;0,ROUND($F143,2),""))</f>
        <v/>
      </c>
      <c r="H143" s="12">
        <f>IF(OR($B143="",$C143="",$G143=""),"",COUNTIFS(Ventes_Encaissements!$E$6:$E$3005,$B143,Ventes_Encaissements!$J$6:$J$3005,$G143,Ventes_Encaissements!$C$6:$C$3005,"&gt;="&amp;($C143-3),Ventes_Encaissements!$C$6:$C$3005,"&lt;="&amp;($C143+3)))</f>
        <v/>
      </c>
      <c r="I143" s="12">
        <f>IF($H143="","",IF($H143=0,"Non trouvé",IF($H143=1,"Match","À vérifier")))</f>
        <v/>
      </c>
      <c r="J143" s="21">
        <f>IF($I143&lt;&gt;"Match","",INDEX(Ventes_Encaissements!$B$6:$B$3005,_xludf.AGGREGATE(15,6,(ROW(Ventes_Encaissements!$B$6:$B$3005)-ROW(Ventes_Encaissements!$B$6)+1)/((Ventes_Encaissements!$E$6:$E$3005=$B143)*(Ventes_Encaissements!$J$6:$J$3005=$G143)*(Ventes_Encaissements!$C$6:$C$3005&gt;=$C143-3)*(Ventes_Encaissements!$C$6:$C$3005&lt;=$C143+3)),1)))</f>
        <v/>
      </c>
      <c r="K143" s="6" t="n"/>
    </row>
    <row r="144">
      <c r="A144" s="6" t="n"/>
      <c r="B144" s="6" t="n"/>
      <c r="C144" s="19" t="n"/>
      <c r="D144" s="19" t="n"/>
      <c r="E144" s="6" t="n"/>
      <c r="F144" s="20" t="n"/>
      <c r="G144" s="9">
        <f>IF($F144="","",IF($F144&gt;0,ROUND($F144,2),""))</f>
        <v/>
      </c>
      <c r="H144" s="12">
        <f>IF(OR($B144="",$C144="",$G144=""),"",COUNTIFS(Ventes_Encaissements!$E$6:$E$3005,$B144,Ventes_Encaissements!$J$6:$J$3005,$G144,Ventes_Encaissements!$C$6:$C$3005,"&gt;="&amp;($C144-3),Ventes_Encaissements!$C$6:$C$3005,"&lt;="&amp;($C144+3)))</f>
        <v/>
      </c>
      <c r="I144" s="12">
        <f>IF($H144="","",IF($H144=0,"Non trouvé",IF($H144=1,"Match","À vérifier")))</f>
        <v/>
      </c>
      <c r="J144" s="21">
        <f>IF($I144&lt;&gt;"Match","",INDEX(Ventes_Encaissements!$B$6:$B$3005,_xludf.AGGREGATE(15,6,(ROW(Ventes_Encaissements!$B$6:$B$3005)-ROW(Ventes_Encaissements!$B$6)+1)/((Ventes_Encaissements!$E$6:$E$3005=$B144)*(Ventes_Encaissements!$J$6:$J$3005=$G144)*(Ventes_Encaissements!$C$6:$C$3005&gt;=$C144-3)*(Ventes_Encaissements!$C$6:$C$3005&lt;=$C144+3)),1)))</f>
        <v/>
      </c>
      <c r="K144" s="6" t="n"/>
    </row>
    <row r="145">
      <c r="A145" s="6" t="n"/>
      <c r="B145" s="6" t="n"/>
      <c r="C145" s="19" t="n"/>
      <c r="D145" s="19" t="n"/>
      <c r="E145" s="6" t="n"/>
      <c r="F145" s="20" t="n"/>
      <c r="G145" s="9">
        <f>IF($F145="","",IF($F145&gt;0,ROUND($F145,2),""))</f>
        <v/>
      </c>
      <c r="H145" s="12">
        <f>IF(OR($B145="",$C145="",$G145=""),"",COUNTIFS(Ventes_Encaissements!$E$6:$E$3005,$B145,Ventes_Encaissements!$J$6:$J$3005,$G145,Ventes_Encaissements!$C$6:$C$3005,"&gt;="&amp;($C145-3),Ventes_Encaissements!$C$6:$C$3005,"&lt;="&amp;($C145+3)))</f>
        <v/>
      </c>
      <c r="I145" s="12">
        <f>IF($H145="","",IF($H145=0,"Non trouvé",IF($H145=1,"Match","À vérifier")))</f>
        <v/>
      </c>
      <c r="J145" s="21">
        <f>IF($I145&lt;&gt;"Match","",INDEX(Ventes_Encaissements!$B$6:$B$3005,_xludf.AGGREGATE(15,6,(ROW(Ventes_Encaissements!$B$6:$B$3005)-ROW(Ventes_Encaissements!$B$6)+1)/((Ventes_Encaissements!$E$6:$E$3005=$B145)*(Ventes_Encaissements!$J$6:$J$3005=$G145)*(Ventes_Encaissements!$C$6:$C$3005&gt;=$C145-3)*(Ventes_Encaissements!$C$6:$C$3005&lt;=$C145+3)),1)))</f>
        <v/>
      </c>
      <c r="K145" s="6" t="n"/>
    </row>
    <row r="146">
      <c r="A146" s="6" t="n"/>
      <c r="B146" s="6" t="n"/>
      <c r="C146" s="19" t="n"/>
      <c r="D146" s="19" t="n"/>
      <c r="E146" s="6" t="n"/>
      <c r="F146" s="20" t="n"/>
      <c r="G146" s="9">
        <f>IF($F146="","",IF($F146&gt;0,ROUND($F146,2),""))</f>
        <v/>
      </c>
      <c r="H146" s="12">
        <f>IF(OR($B146="",$C146="",$G146=""),"",COUNTIFS(Ventes_Encaissements!$E$6:$E$3005,$B146,Ventes_Encaissements!$J$6:$J$3005,$G146,Ventes_Encaissements!$C$6:$C$3005,"&gt;="&amp;($C146-3),Ventes_Encaissements!$C$6:$C$3005,"&lt;="&amp;($C146+3)))</f>
        <v/>
      </c>
      <c r="I146" s="12">
        <f>IF($H146="","",IF($H146=0,"Non trouvé",IF($H146=1,"Match","À vérifier")))</f>
        <v/>
      </c>
      <c r="J146" s="21">
        <f>IF($I146&lt;&gt;"Match","",INDEX(Ventes_Encaissements!$B$6:$B$3005,_xludf.AGGREGATE(15,6,(ROW(Ventes_Encaissements!$B$6:$B$3005)-ROW(Ventes_Encaissements!$B$6)+1)/((Ventes_Encaissements!$E$6:$E$3005=$B146)*(Ventes_Encaissements!$J$6:$J$3005=$G146)*(Ventes_Encaissements!$C$6:$C$3005&gt;=$C146-3)*(Ventes_Encaissements!$C$6:$C$3005&lt;=$C146+3)),1)))</f>
        <v/>
      </c>
      <c r="K146" s="6" t="n"/>
    </row>
    <row r="147">
      <c r="A147" s="6" t="n"/>
      <c r="B147" s="6" t="n"/>
      <c r="C147" s="19" t="n"/>
      <c r="D147" s="19" t="n"/>
      <c r="E147" s="6" t="n"/>
      <c r="F147" s="20" t="n"/>
      <c r="G147" s="9">
        <f>IF($F147="","",IF($F147&gt;0,ROUND($F147,2),""))</f>
        <v/>
      </c>
      <c r="H147" s="12">
        <f>IF(OR($B147="",$C147="",$G147=""),"",COUNTIFS(Ventes_Encaissements!$E$6:$E$3005,$B147,Ventes_Encaissements!$J$6:$J$3005,$G147,Ventes_Encaissements!$C$6:$C$3005,"&gt;="&amp;($C147-3),Ventes_Encaissements!$C$6:$C$3005,"&lt;="&amp;($C147+3)))</f>
        <v/>
      </c>
      <c r="I147" s="12">
        <f>IF($H147="","",IF($H147=0,"Non trouvé",IF($H147=1,"Match","À vérifier")))</f>
        <v/>
      </c>
      <c r="J147" s="21">
        <f>IF($I147&lt;&gt;"Match","",INDEX(Ventes_Encaissements!$B$6:$B$3005,_xludf.AGGREGATE(15,6,(ROW(Ventes_Encaissements!$B$6:$B$3005)-ROW(Ventes_Encaissements!$B$6)+1)/((Ventes_Encaissements!$E$6:$E$3005=$B147)*(Ventes_Encaissements!$J$6:$J$3005=$G147)*(Ventes_Encaissements!$C$6:$C$3005&gt;=$C147-3)*(Ventes_Encaissements!$C$6:$C$3005&lt;=$C147+3)),1)))</f>
        <v/>
      </c>
      <c r="K147" s="6" t="n"/>
    </row>
    <row r="148">
      <c r="A148" s="6" t="n"/>
      <c r="B148" s="6" t="n"/>
      <c r="C148" s="19" t="n"/>
      <c r="D148" s="19" t="n"/>
      <c r="E148" s="6" t="n"/>
      <c r="F148" s="20" t="n"/>
      <c r="G148" s="9">
        <f>IF($F148="","",IF($F148&gt;0,ROUND($F148,2),""))</f>
        <v/>
      </c>
      <c r="H148" s="12">
        <f>IF(OR($B148="",$C148="",$G148=""),"",COUNTIFS(Ventes_Encaissements!$E$6:$E$3005,$B148,Ventes_Encaissements!$J$6:$J$3005,$G148,Ventes_Encaissements!$C$6:$C$3005,"&gt;="&amp;($C148-3),Ventes_Encaissements!$C$6:$C$3005,"&lt;="&amp;($C148+3)))</f>
        <v/>
      </c>
      <c r="I148" s="12">
        <f>IF($H148="","",IF($H148=0,"Non trouvé",IF($H148=1,"Match","À vérifier")))</f>
        <v/>
      </c>
      <c r="J148" s="21">
        <f>IF($I148&lt;&gt;"Match","",INDEX(Ventes_Encaissements!$B$6:$B$3005,_xludf.AGGREGATE(15,6,(ROW(Ventes_Encaissements!$B$6:$B$3005)-ROW(Ventes_Encaissements!$B$6)+1)/((Ventes_Encaissements!$E$6:$E$3005=$B148)*(Ventes_Encaissements!$J$6:$J$3005=$G148)*(Ventes_Encaissements!$C$6:$C$3005&gt;=$C148-3)*(Ventes_Encaissements!$C$6:$C$3005&lt;=$C148+3)),1)))</f>
        <v/>
      </c>
      <c r="K148" s="6" t="n"/>
    </row>
    <row r="149">
      <c r="A149" s="6" t="n"/>
      <c r="B149" s="6" t="n"/>
      <c r="C149" s="19" t="n"/>
      <c r="D149" s="19" t="n"/>
      <c r="E149" s="6" t="n"/>
      <c r="F149" s="20" t="n"/>
      <c r="G149" s="9">
        <f>IF($F149="","",IF($F149&gt;0,ROUND($F149,2),""))</f>
        <v/>
      </c>
      <c r="H149" s="12">
        <f>IF(OR($B149="",$C149="",$G149=""),"",COUNTIFS(Ventes_Encaissements!$E$6:$E$3005,$B149,Ventes_Encaissements!$J$6:$J$3005,$G149,Ventes_Encaissements!$C$6:$C$3005,"&gt;="&amp;($C149-3),Ventes_Encaissements!$C$6:$C$3005,"&lt;="&amp;($C149+3)))</f>
        <v/>
      </c>
      <c r="I149" s="12">
        <f>IF($H149="","",IF($H149=0,"Non trouvé",IF($H149=1,"Match","À vérifier")))</f>
        <v/>
      </c>
      <c r="J149" s="21">
        <f>IF($I149&lt;&gt;"Match","",INDEX(Ventes_Encaissements!$B$6:$B$3005,_xludf.AGGREGATE(15,6,(ROW(Ventes_Encaissements!$B$6:$B$3005)-ROW(Ventes_Encaissements!$B$6)+1)/((Ventes_Encaissements!$E$6:$E$3005=$B149)*(Ventes_Encaissements!$J$6:$J$3005=$G149)*(Ventes_Encaissements!$C$6:$C$3005&gt;=$C149-3)*(Ventes_Encaissements!$C$6:$C$3005&lt;=$C149+3)),1)))</f>
        <v/>
      </c>
      <c r="K149" s="6" t="n"/>
    </row>
    <row r="150">
      <c r="A150" s="6" t="n"/>
      <c r="B150" s="6" t="n"/>
      <c r="C150" s="19" t="n"/>
      <c r="D150" s="19" t="n"/>
      <c r="E150" s="6" t="n"/>
      <c r="F150" s="20" t="n"/>
      <c r="G150" s="9">
        <f>IF($F150="","",IF($F150&gt;0,ROUND($F150,2),""))</f>
        <v/>
      </c>
      <c r="H150" s="12">
        <f>IF(OR($B150="",$C150="",$G150=""),"",COUNTIFS(Ventes_Encaissements!$E$6:$E$3005,$B150,Ventes_Encaissements!$J$6:$J$3005,$G150,Ventes_Encaissements!$C$6:$C$3005,"&gt;="&amp;($C150-3),Ventes_Encaissements!$C$6:$C$3005,"&lt;="&amp;($C150+3)))</f>
        <v/>
      </c>
      <c r="I150" s="12">
        <f>IF($H150="","",IF($H150=0,"Non trouvé",IF($H150=1,"Match","À vérifier")))</f>
        <v/>
      </c>
      <c r="J150" s="21">
        <f>IF($I150&lt;&gt;"Match","",INDEX(Ventes_Encaissements!$B$6:$B$3005,_xludf.AGGREGATE(15,6,(ROW(Ventes_Encaissements!$B$6:$B$3005)-ROW(Ventes_Encaissements!$B$6)+1)/((Ventes_Encaissements!$E$6:$E$3005=$B150)*(Ventes_Encaissements!$J$6:$J$3005=$G150)*(Ventes_Encaissements!$C$6:$C$3005&gt;=$C150-3)*(Ventes_Encaissements!$C$6:$C$3005&lt;=$C150+3)),1)))</f>
        <v/>
      </c>
      <c r="K150" s="6" t="n"/>
    </row>
    <row r="151">
      <c r="A151" s="6" t="n"/>
      <c r="B151" s="6" t="n"/>
      <c r="C151" s="19" t="n"/>
      <c r="D151" s="19" t="n"/>
      <c r="E151" s="6" t="n"/>
      <c r="F151" s="20" t="n"/>
      <c r="G151" s="9">
        <f>IF($F151="","",IF($F151&gt;0,ROUND($F151,2),""))</f>
        <v/>
      </c>
      <c r="H151" s="12">
        <f>IF(OR($B151="",$C151="",$G151=""),"",COUNTIFS(Ventes_Encaissements!$E$6:$E$3005,$B151,Ventes_Encaissements!$J$6:$J$3005,$G151,Ventes_Encaissements!$C$6:$C$3005,"&gt;="&amp;($C151-3),Ventes_Encaissements!$C$6:$C$3005,"&lt;="&amp;($C151+3)))</f>
        <v/>
      </c>
      <c r="I151" s="12">
        <f>IF($H151="","",IF($H151=0,"Non trouvé",IF($H151=1,"Match","À vérifier")))</f>
        <v/>
      </c>
      <c r="J151" s="21">
        <f>IF($I151&lt;&gt;"Match","",INDEX(Ventes_Encaissements!$B$6:$B$3005,_xludf.AGGREGATE(15,6,(ROW(Ventes_Encaissements!$B$6:$B$3005)-ROW(Ventes_Encaissements!$B$6)+1)/((Ventes_Encaissements!$E$6:$E$3005=$B151)*(Ventes_Encaissements!$J$6:$J$3005=$G151)*(Ventes_Encaissements!$C$6:$C$3005&gt;=$C151-3)*(Ventes_Encaissements!$C$6:$C$3005&lt;=$C151+3)),1)))</f>
        <v/>
      </c>
      <c r="K151" s="6" t="n"/>
    </row>
    <row r="152">
      <c r="A152" s="6" t="n"/>
      <c r="B152" s="6" t="n"/>
      <c r="C152" s="19" t="n"/>
      <c r="D152" s="19" t="n"/>
      <c r="E152" s="6" t="n"/>
      <c r="F152" s="20" t="n"/>
      <c r="G152" s="9">
        <f>IF($F152="","",IF($F152&gt;0,ROUND($F152,2),""))</f>
        <v/>
      </c>
      <c r="H152" s="12">
        <f>IF(OR($B152="",$C152="",$G152=""),"",COUNTIFS(Ventes_Encaissements!$E$6:$E$3005,$B152,Ventes_Encaissements!$J$6:$J$3005,$G152,Ventes_Encaissements!$C$6:$C$3005,"&gt;="&amp;($C152-3),Ventes_Encaissements!$C$6:$C$3005,"&lt;="&amp;($C152+3)))</f>
        <v/>
      </c>
      <c r="I152" s="12">
        <f>IF($H152="","",IF($H152=0,"Non trouvé",IF($H152=1,"Match","À vérifier")))</f>
        <v/>
      </c>
      <c r="J152" s="21">
        <f>IF($I152&lt;&gt;"Match","",INDEX(Ventes_Encaissements!$B$6:$B$3005,_xludf.AGGREGATE(15,6,(ROW(Ventes_Encaissements!$B$6:$B$3005)-ROW(Ventes_Encaissements!$B$6)+1)/((Ventes_Encaissements!$E$6:$E$3005=$B152)*(Ventes_Encaissements!$J$6:$J$3005=$G152)*(Ventes_Encaissements!$C$6:$C$3005&gt;=$C152-3)*(Ventes_Encaissements!$C$6:$C$3005&lt;=$C152+3)),1)))</f>
        <v/>
      </c>
      <c r="K152" s="6" t="n"/>
    </row>
    <row r="153">
      <c r="A153" s="6" t="n"/>
      <c r="B153" s="6" t="n"/>
      <c r="C153" s="19" t="n"/>
      <c r="D153" s="19" t="n"/>
      <c r="E153" s="6" t="n"/>
      <c r="F153" s="20" t="n"/>
      <c r="G153" s="9">
        <f>IF($F153="","",IF($F153&gt;0,ROUND($F153,2),""))</f>
        <v/>
      </c>
      <c r="H153" s="12">
        <f>IF(OR($B153="",$C153="",$G153=""),"",COUNTIFS(Ventes_Encaissements!$E$6:$E$3005,$B153,Ventes_Encaissements!$J$6:$J$3005,$G153,Ventes_Encaissements!$C$6:$C$3005,"&gt;="&amp;($C153-3),Ventes_Encaissements!$C$6:$C$3005,"&lt;="&amp;($C153+3)))</f>
        <v/>
      </c>
      <c r="I153" s="12">
        <f>IF($H153="","",IF($H153=0,"Non trouvé",IF($H153=1,"Match","À vérifier")))</f>
        <v/>
      </c>
      <c r="J153" s="21">
        <f>IF($I153&lt;&gt;"Match","",INDEX(Ventes_Encaissements!$B$6:$B$3005,_xludf.AGGREGATE(15,6,(ROW(Ventes_Encaissements!$B$6:$B$3005)-ROW(Ventes_Encaissements!$B$6)+1)/((Ventes_Encaissements!$E$6:$E$3005=$B153)*(Ventes_Encaissements!$J$6:$J$3005=$G153)*(Ventes_Encaissements!$C$6:$C$3005&gt;=$C153-3)*(Ventes_Encaissements!$C$6:$C$3005&lt;=$C153+3)),1)))</f>
        <v/>
      </c>
      <c r="K153" s="6" t="n"/>
    </row>
    <row r="154">
      <c r="A154" s="6" t="n"/>
      <c r="B154" s="6" t="n"/>
      <c r="C154" s="19" t="n"/>
      <c r="D154" s="19" t="n"/>
      <c r="E154" s="6" t="n"/>
      <c r="F154" s="20" t="n"/>
      <c r="G154" s="9">
        <f>IF($F154="","",IF($F154&gt;0,ROUND($F154,2),""))</f>
        <v/>
      </c>
      <c r="H154" s="12">
        <f>IF(OR($B154="",$C154="",$G154=""),"",COUNTIFS(Ventes_Encaissements!$E$6:$E$3005,$B154,Ventes_Encaissements!$J$6:$J$3005,$G154,Ventes_Encaissements!$C$6:$C$3005,"&gt;="&amp;($C154-3),Ventes_Encaissements!$C$6:$C$3005,"&lt;="&amp;($C154+3)))</f>
        <v/>
      </c>
      <c r="I154" s="12">
        <f>IF($H154="","",IF($H154=0,"Non trouvé",IF($H154=1,"Match","À vérifier")))</f>
        <v/>
      </c>
      <c r="J154" s="21">
        <f>IF($I154&lt;&gt;"Match","",INDEX(Ventes_Encaissements!$B$6:$B$3005,_xludf.AGGREGATE(15,6,(ROW(Ventes_Encaissements!$B$6:$B$3005)-ROW(Ventes_Encaissements!$B$6)+1)/((Ventes_Encaissements!$E$6:$E$3005=$B154)*(Ventes_Encaissements!$J$6:$J$3005=$G154)*(Ventes_Encaissements!$C$6:$C$3005&gt;=$C154-3)*(Ventes_Encaissements!$C$6:$C$3005&lt;=$C154+3)),1)))</f>
        <v/>
      </c>
      <c r="K154" s="6" t="n"/>
    </row>
    <row r="155">
      <c r="A155" s="6" t="n"/>
      <c r="B155" s="6" t="n"/>
      <c r="C155" s="19" t="n"/>
      <c r="D155" s="19" t="n"/>
      <c r="E155" s="6" t="n"/>
      <c r="F155" s="20" t="n"/>
      <c r="G155" s="9">
        <f>IF($F155="","",IF($F155&gt;0,ROUND($F155,2),""))</f>
        <v/>
      </c>
      <c r="H155" s="12">
        <f>IF(OR($B155="",$C155="",$G155=""),"",COUNTIFS(Ventes_Encaissements!$E$6:$E$3005,$B155,Ventes_Encaissements!$J$6:$J$3005,$G155,Ventes_Encaissements!$C$6:$C$3005,"&gt;="&amp;($C155-3),Ventes_Encaissements!$C$6:$C$3005,"&lt;="&amp;($C155+3)))</f>
        <v/>
      </c>
      <c r="I155" s="12">
        <f>IF($H155="","",IF($H155=0,"Non trouvé",IF($H155=1,"Match","À vérifier")))</f>
        <v/>
      </c>
      <c r="J155" s="21">
        <f>IF($I155&lt;&gt;"Match","",INDEX(Ventes_Encaissements!$B$6:$B$3005,_xludf.AGGREGATE(15,6,(ROW(Ventes_Encaissements!$B$6:$B$3005)-ROW(Ventes_Encaissements!$B$6)+1)/((Ventes_Encaissements!$E$6:$E$3005=$B155)*(Ventes_Encaissements!$J$6:$J$3005=$G155)*(Ventes_Encaissements!$C$6:$C$3005&gt;=$C155-3)*(Ventes_Encaissements!$C$6:$C$3005&lt;=$C155+3)),1)))</f>
        <v/>
      </c>
      <c r="K155" s="6" t="n"/>
    </row>
    <row r="156">
      <c r="A156" s="6" t="n"/>
      <c r="B156" s="6" t="n"/>
      <c r="C156" s="19" t="n"/>
      <c r="D156" s="19" t="n"/>
      <c r="E156" s="6" t="n"/>
      <c r="F156" s="20" t="n"/>
      <c r="G156" s="9">
        <f>IF($F156="","",IF($F156&gt;0,ROUND($F156,2),""))</f>
        <v/>
      </c>
      <c r="H156" s="12">
        <f>IF(OR($B156="",$C156="",$G156=""),"",COUNTIFS(Ventes_Encaissements!$E$6:$E$3005,$B156,Ventes_Encaissements!$J$6:$J$3005,$G156,Ventes_Encaissements!$C$6:$C$3005,"&gt;="&amp;($C156-3),Ventes_Encaissements!$C$6:$C$3005,"&lt;="&amp;($C156+3)))</f>
        <v/>
      </c>
      <c r="I156" s="12">
        <f>IF($H156="","",IF($H156=0,"Non trouvé",IF($H156=1,"Match","À vérifier")))</f>
        <v/>
      </c>
      <c r="J156" s="21">
        <f>IF($I156&lt;&gt;"Match","",INDEX(Ventes_Encaissements!$B$6:$B$3005,_xludf.AGGREGATE(15,6,(ROW(Ventes_Encaissements!$B$6:$B$3005)-ROW(Ventes_Encaissements!$B$6)+1)/((Ventes_Encaissements!$E$6:$E$3005=$B156)*(Ventes_Encaissements!$J$6:$J$3005=$G156)*(Ventes_Encaissements!$C$6:$C$3005&gt;=$C156-3)*(Ventes_Encaissements!$C$6:$C$3005&lt;=$C156+3)),1)))</f>
        <v/>
      </c>
      <c r="K156" s="6" t="n"/>
    </row>
    <row r="157">
      <c r="A157" s="6" t="n"/>
      <c r="B157" s="6" t="n"/>
      <c r="C157" s="19" t="n"/>
      <c r="D157" s="19" t="n"/>
      <c r="E157" s="6" t="n"/>
      <c r="F157" s="20" t="n"/>
      <c r="G157" s="9">
        <f>IF($F157="","",IF($F157&gt;0,ROUND($F157,2),""))</f>
        <v/>
      </c>
      <c r="H157" s="12">
        <f>IF(OR($B157="",$C157="",$G157=""),"",COUNTIFS(Ventes_Encaissements!$E$6:$E$3005,$B157,Ventes_Encaissements!$J$6:$J$3005,$G157,Ventes_Encaissements!$C$6:$C$3005,"&gt;="&amp;($C157-3),Ventes_Encaissements!$C$6:$C$3005,"&lt;="&amp;($C157+3)))</f>
        <v/>
      </c>
      <c r="I157" s="12">
        <f>IF($H157="","",IF($H157=0,"Non trouvé",IF($H157=1,"Match","À vérifier")))</f>
        <v/>
      </c>
      <c r="J157" s="21">
        <f>IF($I157&lt;&gt;"Match","",INDEX(Ventes_Encaissements!$B$6:$B$3005,_xludf.AGGREGATE(15,6,(ROW(Ventes_Encaissements!$B$6:$B$3005)-ROW(Ventes_Encaissements!$B$6)+1)/((Ventes_Encaissements!$E$6:$E$3005=$B157)*(Ventes_Encaissements!$J$6:$J$3005=$G157)*(Ventes_Encaissements!$C$6:$C$3005&gt;=$C157-3)*(Ventes_Encaissements!$C$6:$C$3005&lt;=$C157+3)),1)))</f>
        <v/>
      </c>
      <c r="K157" s="6" t="n"/>
    </row>
    <row r="158">
      <c r="A158" s="6" t="n"/>
      <c r="B158" s="6" t="n"/>
      <c r="C158" s="19" t="n"/>
      <c r="D158" s="19" t="n"/>
      <c r="E158" s="6" t="n"/>
      <c r="F158" s="20" t="n"/>
      <c r="G158" s="9">
        <f>IF($F158="","",IF($F158&gt;0,ROUND($F158,2),""))</f>
        <v/>
      </c>
      <c r="H158" s="12">
        <f>IF(OR($B158="",$C158="",$G158=""),"",COUNTIFS(Ventes_Encaissements!$E$6:$E$3005,$B158,Ventes_Encaissements!$J$6:$J$3005,$G158,Ventes_Encaissements!$C$6:$C$3005,"&gt;="&amp;($C158-3),Ventes_Encaissements!$C$6:$C$3005,"&lt;="&amp;($C158+3)))</f>
        <v/>
      </c>
      <c r="I158" s="12">
        <f>IF($H158="","",IF($H158=0,"Non trouvé",IF($H158=1,"Match","À vérifier")))</f>
        <v/>
      </c>
      <c r="J158" s="21">
        <f>IF($I158&lt;&gt;"Match","",INDEX(Ventes_Encaissements!$B$6:$B$3005,_xludf.AGGREGATE(15,6,(ROW(Ventes_Encaissements!$B$6:$B$3005)-ROW(Ventes_Encaissements!$B$6)+1)/((Ventes_Encaissements!$E$6:$E$3005=$B158)*(Ventes_Encaissements!$J$6:$J$3005=$G158)*(Ventes_Encaissements!$C$6:$C$3005&gt;=$C158-3)*(Ventes_Encaissements!$C$6:$C$3005&lt;=$C158+3)),1)))</f>
        <v/>
      </c>
      <c r="K158" s="6" t="n"/>
    </row>
    <row r="159">
      <c r="A159" s="6" t="n"/>
      <c r="B159" s="6" t="n"/>
      <c r="C159" s="19" t="n"/>
      <c r="D159" s="19" t="n"/>
      <c r="E159" s="6" t="n"/>
      <c r="F159" s="20" t="n"/>
      <c r="G159" s="9">
        <f>IF($F159="","",IF($F159&gt;0,ROUND($F159,2),""))</f>
        <v/>
      </c>
      <c r="H159" s="12">
        <f>IF(OR($B159="",$C159="",$G159=""),"",COUNTIFS(Ventes_Encaissements!$E$6:$E$3005,$B159,Ventes_Encaissements!$J$6:$J$3005,$G159,Ventes_Encaissements!$C$6:$C$3005,"&gt;="&amp;($C159-3),Ventes_Encaissements!$C$6:$C$3005,"&lt;="&amp;($C159+3)))</f>
        <v/>
      </c>
      <c r="I159" s="12">
        <f>IF($H159="","",IF($H159=0,"Non trouvé",IF($H159=1,"Match","À vérifier")))</f>
        <v/>
      </c>
      <c r="J159" s="21">
        <f>IF($I159&lt;&gt;"Match","",INDEX(Ventes_Encaissements!$B$6:$B$3005,_xludf.AGGREGATE(15,6,(ROW(Ventes_Encaissements!$B$6:$B$3005)-ROW(Ventes_Encaissements!$B$6)+1)/((Ventes_Encaissements!$E$6:$E$3005=$B159)*(Ventes_Encaissements!$J$6:$J$3005=$G159)*(Ventes_Encaissements!$C$6:$C$3005&gt;=$C159-3)*(Ventes_Encaissements!$C$6:$C$3005&lt;=$C159+3)),1)))</f>
        <v/>
      </c>
      <c r="K159" s="6" t="n"/>
    </row>
    <row r="160">
      <c r="A160" s="6" t="n"/>
      <c r="B160" s="6" t="n"/>
      <c r="C160" s="19" t="n"/>
      <c r="D160" s="19" t="n"/>
      <c r="E160" s="6" t="n"/>
      <c r="F160" s="20" t="n"/>
      <c r="G160" s="9">
        <f>IF($F160="","",IF($F160&gt;0,ROUND($F160,2),""))</f>
        <v/>
      </c>
      <c r="H160" s="12">
        <f>IF(OR($B160="",$C160="",$G160=""),"",COUNTIFS(Ventes_Encaissements!$E$6:$E$3005,$B160,Ventes_Encaissements!$J$6:$J$3005,$G160,Ventes_Encaissements!$C$6:$C$3005,"&gt;="&amp;($C160-3),Ventes_Encaissements!$C$6:$C$3005,"&lt;="&amp;($C160+3)))</f>
        <v/>
      </c>
      <c r="I160" s="12">
        <f>IF($H160="","",IF($H160=0,"Non trouvé",IF($H160=1,"Match","À vérifier")))</f>
        <v/>
      </c>
      <c r="J160" s="21">
        <f>IF($I160&lt;&gt;"Match","",INDEX(Ventes_Encaissements!$B$6:$B$3005,_xludf.AGGREGATE(15,6,(ROW(Ventes_Encaissements!$B$6:$B$3005)-ROW(Ventes_Encaissements!$B$6)+1)/((Ventes_Encaissements!$E$6:$E$3005=$B160)*(Ventes_Encaissements!$J$6:$J$3005=$G160)*(Ventes_Encaissements!$C$6:$C$3005&gt;=$C160-3)*(Ventes_Encaissements!$C$6:$C$3005&lt;=$C160+3)),1)))</f>
        <v/>
      </c>
      <c r="K160" s="6" t="n"/>
    </row>
    <row r="161">
      <c r="A161" s="6" t="n"/>
      <c r="B161" s="6" t="n"/>
      <c r="C161" s="19" t="n"/>
      <c r="D161" s="19" t="n"/>
      <c r="E161" s="6" t="n"/>
      <c r="F161" s="20" t="n"/>
      <c r="G161" s="9">
        <f>IF($F161="","",IF($F161&gt;0,ROUND($F161,2),""))</f>
        <v/>
      </c>
      <c r="H161" s="12">
        <f>IF(OR($B161="",$C161="",$G161=""),"",COUNTIFS(Ventes_Encaissements!$E$6:$E$3005,$B161,Ventes_Encaissements!$J$6:$J$3005,$G161,Ventes_Encaissements!$C$6:$C$3005,"&gt;="&amp;($C161-3),Ventes_Encaissements!$C$6:$C$3005,"&lt;="&amp;($C161+3)))</f>
        <v/>
      </c>
      <c r="I161" s="12">
        <f>IF($H161="","",IF($H161=0,"Non trouvé",IF($H161=1,"Match","À vérifier")))</f>
        <v/>
      </c>
      <c r="J161" s="21">
        <f>IF($I161&lt;&gt;"Match","",INDEX(Ventes_Encaissements!$B$6:$B$3005,_xludf.AGGREGATE(15,6,(ROW(Ventes_Encaissements!$B$6:$B$3005)-ROW(Ventes_Encaissements!$B$6)+1)/((Ventes_Encaissements!$E$6:$E$3005=$B161)*(Ventes_Encaissements!$J$6:$J$3005=$G161)*(Ventes_Encaissements!$C$6:$C$3005&gt;=$C161-3)*(Ventes_Encaissements!$C$6:$C$3005&lt;=$C161+3)),1)))</f>
        <v/>
      </c>
      <c r="K161" s="6" t="n"/>
    </row>
    <row r="162">
      <c r="A162" s="6" t="n"/>
      <c r="B162" s="6" t="n"/>
      <c r="C162" s="19" t="n"/>
      <c r="D162" s="19" t="n"/>
      <c r="E162" s="6" t="n"/>
      <c r="F162" s="20" t="n"/>
      <c r="G162" s="9">
        <f>IF($F162="","",IF($F162&gt;0,ROUND($F162,2),""))</f>
        <v/>
      </c>
      <c r="H162" s="12">
        <f>IF(OR($B162="",$C162="",$G162=""),"",COUNTIFS(Ventes_Encaissements!$E$6:$E$3005,$B162,Ventes_Encaissements!$J$6:$J$3005,$G162,Ventes_Encaissements!$C$6:$C$3005,"&gt;="&amp;($C162-3),Ventes_Encaissements!$C$6:$C$3005,"&lt;="&amp;($C162+3)))</f>
        <v/>
      </c>
      <c r="I162" s="12">
        <f>IF($H162="","",IF($H162=0,"Non trouvé",IF($H162=1,"Match","À vérifier")))</f>
        <v/>
      </c>
      <c r="J162" s="21">
        <f>IF($I162&lt;&gt;"Match","",INDEX(Ventes_Encaissements!$B$6:$B$3005,_xludf.AGGREGATE(15,6,(ROW(Ventes_Encaissements!$B$6:$B$3005)-ROW(Ventes_Encaissements!$B$6)+1)/((Ventes_Encaissements!$E$6:$E$3005=$B162)*(Ventes_Encaissements!$J$6:$J$3005=$G162)*(Ventes_Encaissements!$C$6:$C$3005&gt;=$C162-3)*(Ventes_Encaissements!$C$6:$C$3005&lt;=$C162+3)),1)))</f>
        <v/>
      </c>
      <c r="K162" s="6" t="n"/>
    </row>
    <row r="163">
      <c r="A163" s="6" t="n"/>
      <c r="B163" s="6" t="n"/>
      <c r="C163" s="19" t="n"/>
      <c r="D163" s="19" t="n"/>
      <c r="E163" s="6" t="n"/>
      <c r="F163" s="20" t="n"/>
      <c r="G163" s="9">
        <f>IF($F163="","",IF($F163&gt;0,ROUND($F163,2),""))</f>
        <v/>
      </c>
      <c r="H163" s="12">
        <f>IF(OR($B163="",$C163="",$G163=""),"",COUNTIFS(Ventes_Encaissements!$E$6:$E$3005,$B163,Ventes_Encaissements!$J$6:$J$3005,$G163,Ventes_Encaissements!$C$6:$C$3005,"&gt;="&amp;($C163-3),Ventes_Encaissements!$C$6:$C$3005,"&lt;="&amp;($C163+3)))</f>
        <v/>
      </c>
      <c r="I163" s="12">
        <f>IF($H163="","",IF($H163=0,"Non trouvé",IF($H163=1,"Match","À vérifier")))</f>
        <v/>
      </c>
      <c r="J163" s="21">
        <f>IF($I163&lt;&gt;"Match","",INDEX(Ventes_Encaissements!$B$6:$B$3005,_xludf.AGGREGATE(15,6,(ROW(Ventes_Encaissements!$B$6:$B$3005)-ROW(Ventes_Encaissements!$B$6)+1)/((Ventes_Encaissements!$E$6:$E$3005=$B163)*(Ventes_Encaissements!$J$6:$J$3005=$G163)*(Ventes_Encaissements!$C$6:$C$3005&gt;=$C163-3)*(Ventes_Encaissements!$C$6:$C$3005&lt;=$C163+3)),1)))</f>
        <v/>
      </c>
      <c r="K163" s="6" t="n"/>
    </row>
    <row r="164">
      <c r="A164" s="6" t="n"/>
      <c r="B164" s="6" t="n"/>
      <c r="C164" s="19" t="n"/>
      <c r="D164" s="19" t="n"/>
      <c r="E164" s="6" t="n"/>
      <c r="F164" s="20" t="n"/>
      <c r="G164" s="9">
        <f>IF($F164="","",IF($F164&gt;0,ROUND($F164,2),""))</f>
        <v/>
      </c>
      <c r="H164" s="12">
        <f>IF(OR($B164="",$C164="",$G164=""),"",COUNTIFS(Ventes_Encaissements!$E$6:$E$3005,$B164,Ventes_Encaissements!$J$6:$J$3005,$G164,Ventes_Encaissements!$C$6:$C$3005,"&gt;="&amp;($C164-3),Ventes_Encaissements!$C$6:$C$3005,"&lt;="&amp;($C164+3)))</f>
        <v/>
      </c>
      <c r="I164" s="12">
        <f>IF($H164="","",IF($H164=0,"Non trouvé",IF($H164=1,"Match","À vérifier")))</f>
        <v/>
      </c>
      <c r="J164" s="21">
        <f>IF($I164&lt;&gt;"Match","",INDEX(Ventes_Encaissements!$B$6:$B$3005,_xludf.AGGREGATE(15,6,(ROW(Ventes_Encaissements!$B$6:$B$3005)-ROW(Ventes_Encaissements!$B$6)+1)/((Ventes_Encaissements!$E$6:$E$3005=$B164)*(Ventes_Encaissements!$J$6:$J$3005=$G164)*(Ventes_Encaissements!$C$6:$C$3005&gt;=$C164-3)*(Ventes_Encaissements!$C$6:$C$3005&lt;=$C164+3)),1)))</f>
        <v/>
      </c>
      <c r="K164" s="6" t="n"/>
    </row>
    <row r="165">
      <c r="A165" s="6" t="n"/>
      <c r="B165" s="6" t="n"/>
      <c r="C165" s="19" t="n"/>
      <c r="D165" s="19" t="n"/>
      <c r="E165" s="6" t="n"/>
      <c r="F165" s="20" t="n"/>
      <c r="G165" s="9">
        <f>IF($F165="","",IF($F165&gt;0,ROUND($F165,2),""))</f>
        <v/>
      </c>
      <c r="H165" s="12">
        <f>IF(OR($B165="",$C165="",$G165=""),"",COUNTIFS(Ventes_Encaissements!$E$6:$E$3005,$B165,Ventes_Encaissements!$J$6:$J$3005,$G165,Ventes_Encaissements!$C$6:$C$3005,"&gt;="&amp;($C165-3),Ventes_Encaissements!$C$6:$C$3005,"&lt;="&amp;($C165+3)))</f>
        <v/>
      </c>
      <c r="I165" s="12">
        <f>IF($H165="","",IF($H165=0,"Non trouvé",IF($H165=1,"Match","À vérifier")))</f>
        <v/>
      </c>
      <c r="J165" s="21">
        <f>IF($I165&lt;&gt;"Match","",INDEX(Ventes_Encaissements!$B$6:$B$3005,_xludf.AGGREGATE(15,6,(ROW(Ventes_Encaissements!$B$6:$B$3005)-ROW(Ventes_Encaissements!$B$6)+1)/((Ventes_Encaissements!$E$6:$E$3005=$B165)*(Ventes_Encaissements!$J$6:$J$3005=$G165)*(Ventes_Encaissements!$C$6:$C$3005&gt;=$C165-3)*(Ventes_Encaissements!$C$6:$C$3005&lt;=$C165+3)),1)))</f>
        <v/>
      </c>
      <c r="K165" s="6" t="n"/>
    </row>
    <row r="166">
      <c r="A166" s="6" t="n"/>
      <c r="B166" s="6" t="n"/>
      <c r="C166" s="19" t="n"/>
      <c r="D166" s="19" t="n"/>
      <c r="E166" s="6" t="n"/>
      <c r="F166" s="20" t="n"/>
      <c r="G166" s="9">
        <f>IF($F166="","",IF($F166&gt;0,ROUND($F166,2),""))</f>
        <v/>
      </c>
      <c r="H166" s="12">
        <f>IF(OR($B166="",$C166="",$G166=""),"",COUNTIFS(Ventes_Encaissements!$E$6:$E$3005,$B166,Ventes_Encaissements!$J$6:$J$3005,$G166,Ventes_Encaissements!$C$6:$C$3005,"&gt;="&amp;($C166-3),Ventes_Encaissements!$C$6:$C$3005,"&lt;="&amp;($C166+3)))</f>
        <v/>
      </c>
      <c r="I166" s="12">
        <f>IF($H166="","",IF($H166=0,"Non trouvé",IF($H166=1,"Match","À vérifier")))</f>
        <v/>
      </c>
      <c r="J166" s="21">
        <f>IF($I166&lt;&gt;"Match","",INDEX(Ventes_Encaissements!$B$6:$B$3005,_xludf.AGGREGATE(15,6,(ROW(Ventes_Encaissements!$B$6:$B$3005)-ROW(Ventes_Encaissements!$B$6)+1)/((Ventes_Encaissements!$E$6:$E$3005=$B166)*(Ventes_Encaissements!$J$6:$J$3005=$G166)*(Ventes_Encaissements!$C$6:$C$3005&gt;=$C166-3)*(Ventes_Encaissements!$C$6:$C$3005&lt;=$C166+3)),1)))</f>
        <v/>
      </c>
      <c r="K166" s="6" t="n"/>
    </row>
    <row r="167">
      <c r="A167" s="6" t="n"/>
      <c r="B167" s="6" t="n"/>
      <c r="C167" s="19" t="n"/>
      <c r="D167" s="19" t="n"/>
      <c r="E167" s="6" t="n"/>
      <c r="F167" s="20" t="n"/>
      <c r="G167" s="9">
        <f>IF($F167="","",IF($F167&gt;0,ROUND($F167,2),""))</f>
        <v/>
      </c>
      <c r="H167" s="12">
        <f>IF(OR($B167="",$C167="",$G167=""),"",COUNTIFS(Ventes_Encaissements!$E$6:$E$3005,$B167,Ventes_Encaissements!$J$6:$J$3005,$G167,Ventes_Encaissements!$C$6:$C$3005,"&gt;="&amp;($C167-3),Ventes_Encaissements!$C$6:$C$3005,"&lt;="&amp;($C167+3)))</f>
        <v/>
      </c>
      <c r="I167" s="12">
        <f>IF($H167="","",IF($H167=0,"Non trouvé",IF($H167=1,"Match","À vérifier")))</f>
        <v/>
      </c>
      <c r="J167" s="21">
        <f>IF($I167&lt;&gt;"Match","",INDEX(Ventes_Encaissements!$B$6:$B$3005,_xludf.AGGREGATE(15,6,(ROW(Ventes_Encaissements!$B$6:$B$3005)-ROW(Ventes_Encaissements!$B$6)+1)/((Ventes_Encaissements!$E$6:$E$3005=$B167)*(Ventes_Encaissements!$J$6:$J$3005=$G167)*(Ventes_Encaissements!$C$6:$C$3005&gt;=$C167-3)*(Ventes_Encaissements!$C$6:$C$3005&lt;=$C167+3)),1)))</f>
        <v/>
      </c>
      <c r="K167" s="6" t="n"/>
    </row>
    <row r="168">
      <c r="A168" s="6" t="n"/>
      <c r="B168" s="6" t="n"/>
      <c r="C168" s="19" t="n"/>
      <c r="D168" s="19" t="n"/>
      <c r="E168" s="6" t="n"/>
      <c r="F168" s="20" t="n"/>
      <c r="G168" s="9">
        <f>IF($F168="","",IF($F168&gt;0,ROUND($F168,2),""))</f>
        <v/>
      </c>
      <c r="H168" s="12">
        <f>IF(OR($B168="",$C168="",$G168=""),"",COUNTIFS(Ventes_Encaissements!$E$6:$E$3005,$B168,Ventes_Encaissements!$J$6:$J$3005,$G168,Ventes_Encaissements!$C$6:$C$3005,"&gt;="&amp;($C168-3),Ventes_Encaissements!$C$6:$C$3005,"&lt;="&amp;($C168+3)))</f>
        <v/>
      </c>
      <c r="I168" s="12">
        <f>IF($H168="","",IF($H168=0,"Non trouvé",IF($H168=1,"Match","À vérifier")))</f>
        <v/>
      </c>
      <c r="J168" s="21">
        <f>IF($I168&lt;&gt;"Match","",INDEX(Ventes_Encaissements!$B$6:$B$3005,_xludf.AGGREGATE(15,6,(ROW(Ventes_Encaissements!$B$6:$B$3005)-ROW(Ventes_Encaissements!$B$6)+1)/((Ventes_Encaissements!$E$6:$E$3005=$B168)*(Ventes_Encaissements!$J$6:$J$3005=$G168)*(Ventes_Encaissements!$C$6:$C$3005&gt;=$C168-3)*(Ventes_Encaissements!$C$6:$C$3005&lt;=$C168+3)),1)))</f>
        <v/>
      </c>
      <c r="K168" s="6" t="n"/>
    </row>
    <row r="169">
      <c r="A169" s="6" t="n"/>
      <c r="B169" s="6" t="n"/>
      <c r="C169" s="19" t="n"/>
      <c r="D169" s="19" t="n"/>
      <c r="E169" s="6" t="n"/>
      <c r="F169" s="20" t="n"/>
      <c r="G169" s="9">
        <f>IF($F169="","",IF($F169&gt;0,ROUND($F169,2),""))</f>
        <v/>
      </c>
      <c r="H169" s="12">
        <f>IF(OR($B169="",$C169="",$G169=""),"",COUNTIFS(Ventes_Encaissements!$E$6:$E$3005,$B169,Ventes_Encaissements!$J$6:$J$3005,$G169,Ventes_Encaissements!$C$6:$C$3005,"&gt;="&amp;($C169-3),Ventes_Encaissements!$C$6:$C$3005,"&lt;="&amp;($C169+3)))</f>
        <v/>
      </c>
      <c r="I169" s="12">
        <f>IF($H169="","",IF($H169=0,"Non trouvé",IF($H169=1,"Match","À vérifier")))</f>
        <v/>
      </c>
      <c r="J169" s="21">
        <f>IF($I169&lt;&gt;"Match","",INDEX(Ventes_Encaissements!$B$6:$B$3005,_xludf.AGGREGATE(15,6,(ROW(Ventes_Encaissements!$B$6:$B$3005)-ROW(Ventes_Encaissements!$B$6)+1)/((Ventes_Encaissements!$E$6:$E$3005=$B169)*(Ventes_Encaissements!$J$6:$J$3005=$G169)*(Ventes_Encaissements!$C$6:$C$3005&gt;=$C169-3)*(Ventes_Encaissements!$C$6:$C$3005&lt;=$C169+3)),1)))</f>
        <v/>
      </c>
      <c r="K169" s="6" t="n"/>
    </row>
    <row r="170">
      <c r="A170" s="6" t="n"/>
      <c r="B170" s="6" t="n"/>
      <c r="C170" s="19" t="n"/>
      <c r="D170" s="19" t="n"/>
      <c r="E170" s="6" t="n"/>
      <c r="F170" s="20" t="n"/>
      <c r="G170" s="9">
        <f>IF($F170="","",IF($F170&gt;0,ROUND($F170,2),""))</f>
        <v/>
      </c>
      <c r="H170" s="12">
        <f>IF(OR($B170="",$C170="",$G170=""),"",COUNTIFS(Ventes_Encaissements!$E$6:$E$3005,$B170,Ventes_Encaissements!$J$6:$J$3005,$G170,Ventes_Encaissements!$C$6:$C$3005,"&gt;="&amp;($C170-3),Ventes_Encaissements!$C$6:$C$3005,"&lt;="&amp;($C170+3)))</f>
        <v/>
      </c>
      <c r="I170" s="12">
        <f>IF($H170="","",IF($H170=0,"Non trouvé",IF($H170=1,"Match","À vérifier")))</f>
        <v/>
      </c>
      <c r="J170" s="21">
        <f>IF($I170&lt;&gt;"Match","",INDEX(Ventes_Encaissements!$B$6:$B$3005,_xludf.AGGREGATE(15,6,(ROW(Ventes_Encaissements!$B$6:$B$3005)-ROW(Ventes_Encaissements!$B$6)+1)/((Ventes_Encaissements!$E$6:$E$3005=$B170)*(Ventes_Encaissements!$J$6:$J$3005=$G170)*(Ventes_Encaissements!$C$6:$C$3005&gt;=$C170-3)*(Ventes_Encaissements!$C$6:$C$3005&lt;=$C170+3)),1)))</f>
        <v/>
      </c>
      <c r="K170" s="6" t="n"/>
    </row>
    <row r="171">
      <c r="A171" s="6" t="n"/>
      <c r="B171" s="6" t="n"/>
      <c r="C171" s="19" t="n"/>
      <c r="D171" s="19" t="n"/>
      <c r="E171" s="6" t="n"/>
      <c r="F171" s="20" t="n"/>
      <c r="G171" s="9">
        <f>IF($F171="","",IF($F171&gt;0,ROUND($F171,2),""))</f>
        <v/>
      </c>
      <c r="H171" s="12">
        <f>IF(OR($B171="",$C171="",$G171=""),"",COUNTIFS(Ventes_Encaissements!$E$6:$E$3005,$B171,Ventes_Encaissements!$J$6:$J$3005,$G171,Ventes_Encaissements!$C$6:$C$3005,"&gt;="&amp;($C171-3),Ventes_Encaissements!$C$6:$C$3005,"&lt;="&amp;($C171+3)))</f>
        <v/>
      </c>
      <c r="I171" s="12">
        <f>IF($H171="","",IF($H171=0,"Non trouvé",IF($H171=1,"Match","À vérifier")))</f>
        <v/>
      </c>
      <c r="J171" s="21">
        <f>IF($I171&lt;&gt;"Match","",INDEX(Ventes_Encaissements!$B$6:$B$3005,_xludf.AGGREGATE(15,6,(ROW(Ventes_Encaissements!$B$6:$B$3005)-ROW(Ventes_Encaissements!$B$6)+1)/((Ventes_Encaissements!$E$6:$E$3005=$B171)*(Ventes_Encaissements!$J$6:$J$3005=$G171)*(Ventes_Encaissements!$C$6:$C$3005&gt;=$C171-3)*(Ventes_Encaissements!$C$6:$C$3005&lt;=$C171+3)),1)))</f>
        <v/>
      </c>
      <c r="K171" s="6" t="n"/>
    </row>
    <row r="172">
      <c r="A172" s="6" t="n"/>
      <c r="B172" s="6" t="n"/>
      <c r="C172" s="19" t="n"/>
      <c r="D172" s="19" t="n"/>
      <c r="E172" s="6" t="n"/>
      <c r="F172" s="20" t="n"/>
      <c r="G172" s="9">
        <f>IF($F172="","",IF($F172&gt;0,ROUND($F172,2),""))</f>
        <v/>
      </c>
      <c r="H172" s="12">
        <f>IF(OR($B172="",$C172="",$G172=""),"",COUNTIFS(Ventes_Encaissements!$E$6:$E$3005,$B172,Ventes_Encaissements!$J$6:$J$3005,$G172,Ventes_Encaissements!$C$6:$C$3005,"&gt;="&amp;($C172-3),Ventes_Encaissements!$C$6:$C$3005,"&lt;="&amp;($C172+3)))</f>
        <v/>
      </c>
      <c r="I172" s="12">
        <f>IF($H172="","",IF($H172=0,"Non trouvé",IF($H172=1,"Match","À vérifier")))</f>
        <v/>
      </c>
      <c r="J172" s="21">
        <f>IF($I172&lt;&gt;"Match","",INDEX(Ventes_Encaissements!$B$6:$B$3005,_xludf.AGGREGATE(15,6,(ROW(Ventes_Encaissements!$B$6:$B$3005)-ROW(Ventes_Encaissements!$B$6)+1)/((Ventes_Encaissements!$E$6:$E$3005=$B172)*(Ventes_Encaissements!$J$6:$J$3005=$G172)*(Ventes_Encaissements!$C$6:$C$3005&gt;=$C172-3)*(Ventes_Encaissements!$C$6:$C$3005&lt;=$C172+3)),1)))</f>
        <v/>
      </c>
      <c r="K172" s="6" t="n"/>
    </row>
    <row r="173">
      <c r="A173" s="6" t="n"/>
      <c r="B173" s="6" t="n"/>
      <c r="C173" s="19" t="n"/>
      <c r="D173" s="19" t="n"/>
      <c r="E173" s="6" t="n"/>
      <c r="F173" s="20" t="n"/>
      <c r="G173" s="9">
        <f>IF($F173="","",IF($F173&gt;0,ROUND($F173,2),""))</f>
        <v/>
      </c>
      <c r="H173" s="12">
        <f>IF(OR($B173="",$C173="",$G173=""),"",COUNTIFS(Ventes_Encaissements!$E$6:$E$3005,$B173,Ventes_Encaissements!$J$6:$J$3005,$G173,Ventes_Encaissements!$C$6:$C$3005,"&gt;="&amp;($C173-3),Ventes_Encaissements!$C$6:$C$3005,"&lt;="&amp;($C173+3)))</f>
        <v/>
      </c>
      <c r="I173" s="12">
        <f>IF($H173="","",IF($H173=0,"Non trouvé",IF($H173=1,"Match","À vérifier")))</f>
        <v/>
      </c>
      <c r="J173" s="21">
        <f>IF($I173&lt;&gt;"Match","",INDEX(Ventes_Encaissements!$B$6:$B$3005,_xludf.AGGREGATE(15,6,(ROW(Ventes_Encaissements!$B$6:$B$3005)-ROW(Ventes_Encaissements!$B$6)+1)/((Ventes_Encaissements!$E$6:$E$3005=$B173)*(Ventes_Encaissements!$J$6:$J$3005=$G173)*(Ventes_Encaissements!$C$6:$C$3005&gt;=$C173-3)*(Ventes_Encaissements!$C$6:$C$3005&lt;=$C173+3)),1)))</f>
        <v/>
      </c>
      <c r="K173" s="6" t="n"/>
    </row>
    <row r="174">
      <c r="A174" s="6" t="n"/>
      <c r="B174" s="6" t="n"/>
      <c r="C174" s="19" t="n"/>
      <c r="D174" s="19" t="n"/>
      <c r="E174" s="6" t="n"/>
      <c r="F174" s="20" t="n"/>
      <c r="G174" s="9">
        <f>IF($F174="","",IF($F174&gt;0,ROUND($F174,2),""))</f>
        <v/>
      </c>
      <c r="H174" s="12">
        <f>IF(OR($B174="",$C174="",$G174=""),"",COUNTIFS(Ventes_Encaissements!$E$6:$E$3005,$B174,Ventes_Encaissements!$J$6:$J$3005,$G174,Ventes_Encaissements!$C$6:$C$3005,"&gt;="&amp;($C174-3),Ventes_Encaissements!$C$6:$C$3005,"&lt;="&amp;($C174+3)))</f>
        <v/>
      </c>
      <c r="I174" s="12">
        <f>IF($H174="","",IF($H174=0,"Non trouvé",IF($H174=1,"Match","À vérifier")))</f>
        <v/>
      </c>
      <c r="J174" s="21">
        <f>IF($I174&lt;&gt;"Match","",INDEX(Ventes_Encaissements!$B$6:$B$3005,_xludf.AGGREGATE(15,6,(ROW(Ventes_Encaissements!$B$6:$B$3005)-ROW(Ventes_Encaissements!$B$6)+1)/((Ventes_Encaissements!$E$6:$E$3005=$B174)*(Ventes_Encaissements!$J$6:$J$3005=$G174)*(Ventes_Encaissements!$C$6:$C$3005&gt;=$C174-3)*(Ventes_Encaissements!$C$6:$C$3005&lt;=$C174+3)),1)))</f>
        <v/>
      </c>
      <c r="K174" s="6" t="n"/>
    </row>
    <row r="175">
      <c r="A175" s="6" t="n"/>
      <c r="B175" s="6" t="n"/>
      <c r="C175" s="19" t="n"/>
      <c r="D175" s="19" t="n"/>
      <c r="E175" s="6" t="n"/>
      <c r="F175" s="20" t="n"/>
      <c r="G175" s="9">
        <f>IF($F175="","",IF($F175&gt;0,ROUND($F175,2),""))</f>
        <v/>
      </c>
      <c r="H175" s="12">
        <f>IF(OR($B175="",$C175="",$G175=""),"",COUNTIFS(Ventes_Encaissements!$E$6:$E$3005,$B175,Ventes_Encaissements!$J$6:$J$3005,$G175,Ventes_Encaissements!$C$6:$C$3005,"&gt;="&amp;($C175-3),Ventes_Encaissements!$C$6:$C$3005,"&lt;="&amp;($C175+3)))</f>
        <v/>
      </c>
      <c r="I175" s="12">
        <f>IF($H175="","",IF($H175=0,"Non trouvé",IF($H175=1,"Match","À vérifier")))</f>
        <v/>
      </c>
      <c r="J175" s="21">
        <f>IF($I175&lt;&gt;"Match","",INDEX(Ventes_Encaissements!$B$6:$B$3005,_xludf.AGGREGATE(15,6,(ROW(Ventes_Encaissements!$B$6:$B$3005)-ROW(Ventes_Encaissements!$B$6)+1)/((Ventes_Encaissements!$E$6:$E$3005=$B175)*(Ventes_Encaissements!$J$6:$J$3005=$G175)*(Ventes_Encaissements!$C$6:$C$3005&gt;=$C175-3)*(Ventes_Encaissements!$C$6:$C$3005&lt;=$C175+3)),1)))</f>
        <v/>
      </c>
      <c r="K175" s="6" t="n"/>
    </row>
    <row r="176">
      <c r="A176" s="6" t="n"/>
      <c r="B176" s="6" t="n"/>
      <c r="C176" s="19" t="n"/>
      <c r="D176" s="19" t="n"/>
      <c r="E176" s="6" t="n"/>
      <c r="F176" s="20" t="n"/>
      <c r="G176" s="9">
        <f>IF($F176="","",IF($F176&gt;0,ROUND($F176,2),""))</f>
        <v/>
      </c>
      <c r="H176" s="12">
        <f>IF(OR($B176="",$C176="",$G176=""),"",COUNTIFS(Ventes_Encaissements!$E$6:$E$3005,$B176,Ventes_Encaissements!$J$6:$J$3005,$G176,Ventes_Encaissements!$C$6:$C$3005,"&gt;="&amp;($C176-3),Ventes_Encaissements!$C$6:$C$3005,"&lt;="&amp;($C176+3)))</f>
        <v/>
      </c>
      <c r="I176" s="12">
        <f>IF($H176="","",IF($H176=0,"Non trouvé",IF($H176=1,"Match","À vérifier")))</f>
        <v/>
      </c>
      <c r="J176" s="21">
        <f>IF($I176&lt;&gt;"Match","",INDEX(Ventes_Encaissements!$B$6:$B$3005,_xludf.AGGREGATE(15,6,(ROW(Ventes_Encaissements!$B$6:$B$3005)-ROW(Ventes_Encaissements!$B$6)+1)/((Ventes_Encaissements!$E$6:$E$3005=$B176)*(Ventes_Encaissements!$J$6:$J$3005=$G176)*(Ventes_Encaissements!$C$6:$C$3005&gt;=$C176-3)*(Ventes_Encaissements!$C$6:$C$3005&lt;=$C176+3)),1)))</f>
        <v/>
      </c>
      <c r="K176" s="6" t="n"/>
    </row>
    <row r="177">
      <c r="A177" s="6" t="n"/>
      <c r="B177" s="6" t="n"/>
      <c r="C177" s="19" t="n"/>
      <c r="D177" s="19" t="n"/>
      <c r="E177" s="6" t="n"/>
      <c r="F177" s="20" t="n"/>
      <c r="G177" s="9">
        <f>IF($F177="","",IF($F177&gt;0,ROUND($F177,2),""))</f>
        <v/>
      </c>
      <c r="H177" s="12">
        <f>IF(OR($B177="",$C177="",$G177=""),"",COUNTIFS(Ventes_Encaissements!$E$6:$E$3005,$B177,Ventes_Encaissements!$J$6:$J$3005,$G177,Ventes_Encaissements!$C$6:$C$3005,"&gt;="&amp;($C177-3),Ventes_Encaissements!$C$6:$C$3005,"&lt;="&amp;($C177+3)))</f>
        <v/>
      </c>
      <c r="I177" s="12">
        <f>IF($H177="","",IF($H177=0,"Non trouvé",IF($H177=1,"Match","À vérifier")))</f>
        <v/>
      </c>
      <c r="J177" s="21">
        <f>IF($I177&lt;&gt;"Match","",INDEX(Ventes_Encaissements!$B$6:$B$3005,_xludf.AGGREGATE(15,6,(ROW(Ventes_Encaissements!$B$6:$B$3005)-ROW(Ventes_Encaissements!$B$6)+1)/((Ventes_Encaissements!$E$6:$E$3005=$B177)*(Ventes_Encaissements!$J$6:$J$3005=$G177)*(Ventes_Encaissements!$C$6:$C$3005&gt;=$C177-3)*(Ventes_Encaissements!$C$6:$C$3005&lt;=$C177+3)),1)))</f>
        <v/>
      </c>
      <c r="K177" s="6" t="n"/>
    </row>
    <row r="178">
      <c r="A178" s="6" t="n"/>
      <c r="B178" s="6" t="n"/>
      <c r="C178" s="19" t="n"/>
      <c r="D178" s="19" t="n"/>
      <c r="E178" s="6" t="n"/>
      <c r="F178" s="20" t="n"/>
      <c r="G178" s="9">
        <f>IF($F178="","",IF($F178&gt;0,ROUND($F178,2),""))</f>
        <v/>
      </c>
      <c r="H178" s="12">
        <f>IF(OR($B178="",$C178="",$G178=""),"",COUNTIFS(Ventes_Encaissements!$E$6:$E$3005,$B178,Ventes_Encaissements!$J$6:$J$3005,$G178,Ventes_Encaissements!$C$6:$C$3005,"&gt;="&amp;($C178-3),Ventes_Encaissements!$C$6:$C$3005,"&lt;="&amp;($C178+3)))</f>
        <v/>
      </c>
      <c r="I178" s="12">
        <f>IF($H178="","",IF($H178=0,"Non trouvé",IF($H178=1,"Match","À vérifier")))</f>
        <v/>
      </c>
      <c r="J178" s="21">
        <f>IF($I178&lt;&gt;"Match","",INDEX(Ventes_Encaissements!$B$6:$B$3005,_xludf.AGGREGATE(15,6,(ROW(Ventes_Encaissements!$B$6:$B$3005)-ROW(Ventes_Encaissements!$B$6)+1)/((Ventes_Encaissements!$E$6:$E$3005=$B178)*(Ventes_Encaissements!$J$6:$J$3005=$G178)*(Ventes_Encaissements!$C$6:$C$3005&gt;=$C178-3)*(Ventes_Encaissements!$C$6:$C$3005&lt;=$C178+3)),1)))</f>
        <v/>
      </c>
      <c r="K178" s="6" t="n"/>
    </row>
    <row r="179">
      <c r="A179" s="6" t="n"/>
      <c r="B179" s="6" t="n"/>
      <c r="C179" s="19" t="n"/>
      <c r="D179" s="19" t="n"/>
      <c r="E179" s="6" t="n"/>
      <c r="F179" s="20" t="n"/>
      <c r="G179" s="9">
        <f>IF($F179="","",IF($F179&gt;0,ROUND($F179,2),""))</f>
        <v/>
      </c>
      <c r="H179" s="12">
        <f>IF(OR($B179="",$C179="",$G179=""),"",COUNTIFS(Ventes_Encaissements!$E$6:$E$3005,$B179,Ventes_Encaissements!$J$6:$J$3005,$G179,Ventes_Encaissements!$C$6:$C$3005,"&gt;="&amp;($C179-3),Ventes_Encaissements!$C$6:$C$3005,"&lt;="&amp;($C179+3)))</f>
        <v/>
      </c>
      <c r="I179" s="12">
        <f>IF($H179="","",IF($H179=0,"Non trouvé",IF($H179=1,"Match","À vérifier")))</f>
        <v/>
      </c>
      <c r="J179" s="21">
        <f>IF($I179&lt;&gt;"Match","",INDEX(Ventes_Encaissements!$B$6:$B$3005,_xludf.AGGREGATE(15,6,(ROW(Ventes_Encaissements!$B$6:$B$3005)-ROW(Ventes_Encaissements!$B$6)+1)/((Ventes_Encaissements!$E$6:$E$3005=$B179)*(Ventes_Encaissements!$J$6:$J$3005=$G179)*(Ventes_Encaissements!$C$6:$C$3005&gt;=$C179-3)*(Ventes_Encaissements!$C$6:$C$3005&lt;=$C179+3)),1)))</f>
        <v/>
      </c>
      <c r="K179" s="6" t="n"/>
    </row>
    <row r="180">
      <c r="A180" s="6" t="n"/>
      <c r="B180" s="6" t="n"/>
      <c r="C180" s="19" t="n"/>
      <c r="D180" s="19" t="n"/>
      <c r="E180" s="6" t="n"/>
      <c r="F180" s="20" t="n"/>
      <c r="G180" s="9">
        <f>IF($F180="","",IF($F180&gt;0,ROUND($F180,2),""))</f>
        <v/>
      </c>
      <c r="H180" s="12">
        <f>IF(OR($B180="",$C180="",$G180=""),"",COUNTIFS(Ventes_Encaissements!$E$6:$E$3005,$B180,Ventes_Encaissements!$J$6:$J$3005,$G180,Ventes_Encaissements!$C$6:$C$3005,"&gt;="&amp;($C180-3),Ventes_Encaissements!$C$6:$C$3005,"&lt;="&amp;($C180+3)))</f>
        <v/>
      </c>
      <c r="I180" s="12">
        <f>IF($H180="","",IF($H180=0,"Non trouvé",IF($H180=1,"Match","À vérifier")))</f>
        <v/>
      </c>
      <c r="J180" s="21">
        <f>IF($I180&lt;&gt;"Match","",INDEX(Ventes_Encaissements!$B$6:$B$3005,_xludf.AGGREGATE(15,6,(ROW(Ventes_Encaissements!$B$6:$B$3005)-ROW(Ventes_Encaissements!$B$6)+1)/((Ventes_Encaissements!$E$6:$E$3005=$B180)*(Ventes_Encaissements!$J$6:$J$3005=$G180)*(Ventes_Encaissements!$C$6:$C$3005&gt;=$C180-3)*(Ventes_Encaissements!$C$6:$C$3005&lt;=$C180+3)),1)))</f>
        <v/>
      </c>
      <c r="K180" s="6" t="n"/>
    </row>
    <row r="181">
      <c r="A181" s="6" t="n"/>
      <c r="B181" s="6" t="n"/>
      <c r="C181" s="19" t="n"/>
      <c r="D181" s="19" t="n"/>
      <c r="E181" s="6" t="n"/>
      <c r="F181" s="20" t="n"/>
      <c r="G181" s="9">
        <f>IF($F181="","",IF($F181&gt;0,ROUND($F181,2),""))</f>
        <v/>
      </c>
      <c r="H181" s="12">
        <f>IF(OR($B181="",$C181="",$G181=""),"",COUNTIFS(Ventes_Encaissements!$E$6:$E$3005,$B181,Ventes_Encaissements!$J$6:$J$3005,$G181,Ventes_Encaissements!$C$6:$C$3005,"&gt;="&amp;($C181-3),Ventes_Encaissements!$C$6:$C$3005,"&lt;="&amp;($C181+3)))</f>
        <v/>
      </c>
      <c r="I181" s="12">
        <f>IF($H181="","",IF($H181=0,"Non trouvé",IF($H181=1,"Match","À vérifier")))</f>
        <v/>
      </c>
      <c r="J181" s="21">
        <f>IF($I181&lt;&gt;"Match","",INDEX(Ventes_Encaissements!$B$6:$B$3005,_xludf.AGGREGATE(15,6,(ROW(Ventes_Encaissements!$B$6:$B$3005)-ROW(Ventes_Encaissements!$B$6)+1)/((Ventes_Encaissements!$E$6:$E$3005=$B181)*(Ventes_Encaissements!$J$6:$J$3005=$G181)*(Ventes_Encaissements!$C$6:$C$3005&gt;=$C181-3)*(Ventes_Encaissements!$C$6:$C$3005&lt;=$C181+3)),1)))</f>
        <v/>
      </c>
      <c r="K181" s="6" t="n"/>
    </row>
    <row r="182">
      <c r="A182" s="6" t="n"/>
      <c r="B182" s="6" t="n"/>
      <c r="C182" s="19" t="n"/>
      <c r="D182" s="19" t="n"/>
      <c r="E182" s="6" t="n"/>
      <c r="F182" s="20" t="n"/>
      <c r="G182" s="9">
        <f>IF($F182="","",IF($F182&gt;0,ROUND($F182,2),""))</f>
        <v/>
      </c>
      <c r="H182" s="12">
        <f>IF(OR($B182="",$C182="",$G182=""),"",COUNTIFS(Ventes_Encaissements!$E$6:$E$3005,$B182,Ventes_Encaissements!$J$6:$J$3005,$G182,Ventes_Encaissements!$C$6:$C$3005,"&gt;="&amp;($C182-3),Ventes_Encaissements!$C$6:$C$3005,"&lt;="&amp;($C182+3)))</f>
        <v/>
      </c>
      <c r="I182" s="12">
        <f>IF($H182="","",IF($H182=0,"Non trouvé",IF($H182=1,"Match","À vérifier")))</f>
        <v/>
      </c>
      <c r="J182" s="21">
        <f>IF($I182&lt;&gt;"Match","",INDEX(Ventes_Encaissements!$B$6:$B$3005,_xludf.AGGREGATE(15,6,(ROW(Ventes_Encaissements!$B$6:$B$3005)-ROW(Ventes_Encaissements!$B$6)+1)/((Ventes_Encaissements!$E$6:$E$3005=$B182)*(Ventes_Encaissements!$J$6:$J$3005=$G182)*(Ventes_Encaissements!$C$6:$C$3005&gt;=$C182-3)*(Ventes_Encaissements!$C$6:$C$3005&lt;=$C182+3)),1)))</f>
        <v/>
      </c>
      <c r="K182" s="6" t="n"/>
    </row>
    <row r="183">
      <c r="A183" s="6" t="n"/>
      <c r="B183" s="6" t="n"/>
      <c r="C183" s="19" t="n"/>
      <c r="D183" s="19" t="n"/>
      <c r="E183" s="6" t="n"/>
      <c r="F183" s="20" t="n"/>
      <c r="G183" s="9">
        <f>IF($F183="","",IF($F183&gt;0,ROUND($F183,2),""))</f>
        <v/>
      </c>
      <c r="H183" s="12">
        <f>IF(OR($B183="",$C183="",$G183=""),"",COUNTIFS(Ventes_Encaissements!$E$6:$E$3005,$B183,Ventes_Encaissements!$J$6:$J$3005,$G183,Ventes_Encaissements!$C$6:$C$3005,"&gt;="&amp;($C183-3),Ventes_Encaissements!$C$6:$C$3005,"&lt;="&amp;($C183+3)))</f>
        <v/>
      </c>
      <c r="I183" s="12">
        <f>IF($H183="","",IF($H183=0,"Non trouvé",IF($H183=1,"Match","À vérifier")))</f>
        <v/>
      </c>
      <c r="J183" s="21">
        <f>IF($I183&lt;&gt;"Match","",INDEX(Ventes_Encaissements!$B$6:$B$3005,_xludf.AGGREGATE(15,6,(ROW(Ventes_Encaissements!$B$6:$B$3005)-ROW(Ventes_Encaissements!$B$6)+1)/((Ventes_Encaissements!$E$6:$E$3005=$B183)*(Ventes_Encaissements!$J$6:$J$3005=$G183)*(Ventes_Encaissements!$C$6:$C$3005&gt;=$C183-3)*(Ventes_Encaissements!$C$6:$C$3005&lt;=$C183+3)),1)))</f>
        <v/>
      </c>
      <c r="K183" s="6" t="n"/>
    </row>
    <row r="184">
      <c r="A184" s="6" t="n"/>
      <c r="B184" s="6" t="n"/>
      <c r="C184" s="19" t="n"/>
      <c r="D184" s="19" t="n"/>
      <c r="E184" s="6" t="n"/>
      <c r="F184" s="20" t="n"/>
      <c r="G184" s="9">
        <f>IF($F184="","",IF($F184&gt;0,ROUND($F184,2),""))</f>
        <v/>
      </c>
      <c r="H184" s="12">
        <f>IF(OR($B184="",$C184="",$G184=""),"",COUNTIFS(Ventes_Encaissements!$E$6:$E$3005,$B184,Ventes_Encaissements!$J$6:$J$3005,$G184,Ventes_Encaissements!$C$6:$C$3005,"&gt;="&amp;($C184-3),Ventes_Encaissements!$C$6:$C$3005,"&lt;="&amp;($C184+3)))</f>
        <v/>
      </c>
      <c r="I184" s="12">
        <f>IF($H184="","",IF($H184=0,"Non trouvé",IF($H184=1,"Match","À vérifier")))</f>
        <v/>
      </c>
      <c r="J184" s="21">
        <f>IF($I184&lt;&gt;"Match","",INDEX(Ventes_Encaissements!$B$6:$B$3005,_xludf.AGGREGATE(15,6,(ROW(Ventes_Encaissements!$B$6:$B$3005)-ROW(Ventes_Encaissements!$B$6)+1)/((Ventes_Encaissements!$E$6:$E$3005=$B184)*(Ventes_Encaissements!$J$6:$J$3005=$G184)*(Ventes_Encaissements!$C$6:$C$3005&gt;=$C184-3)*(Ventes_Encaissements!$C$6:$C$3005&lt;=$C184+3)),1)))</f>
        <v/>
      </c>
      <c r="K184" s="6" t="n"/>
    </row>
    <row r="185">
      <c r="A185" s="6" t="n"/>
      <c r="B185" s="6" t="n"/>
      <c r="C185" s="19" t="n"/>
      <c r="D185" s="19" t="n"/>
      <c r="E185" s="6" t="n"/>
      <c r="F185" s="20" t="n"/>
      <c r="G185" s="9">
        <f>IF($F185="","",IF($F185&gt;0,ROUND($F185,2),""))</f>
        <v/>
      </c>
      <c r="H185" s="12">
        <f>IF(OR($B185="",$C185="",$G185=""),"",COUNTIFS(Ventes_Encaissements!$E$6:$E$3005,$B185,Ventes_Encaissements!$J$6:$J$3005,$G185,Ventes_Encaissements!$C$6:$C$3005,"&gt;="&amp;($C185-3),Ventes_Encaissements!$C$6:$C$3005,"&lt;="&amp;($C185+3)))</f>
        <v/>
      </c>
      <c r="I185" s="12">
        <f>IF($H185="","",IF($H185=0,"Non trouvé",IF($H185=1,"Match","À vérifier")))</f>
        <v/>
      </c>
      <c r="J185" s="21">
        <f>IF($I185&lt;&gt;"Match","",INDEX(Ventes_Encaissements!$B$6:$B$3005,_xludf.AGGREGATE(15,6,(ROW(Ventes_Encaissements!$B$6:$B$3005)-ROW(Ventes_Encaissements!$B$6)+1)/((Ventes_Encaissements!$E$6:$E$3005=$B185)*(Ventes_Encaissements!$J$6:$J$3005=$G185)*(Ventes_Encaissements!$C$6:$C$3005&gt;=$C185-3)*(Ventes_Encaissements!$C$6:$C$3005&lt;=$C185+3)),1)))</f>
        <v/>
      </c>
      <c r="K185" s="6" t="n"/>
    </row>
    <row r="186">
      <c r="A186" s="6" t="n"/>
      <c r="B186" s="6" t="n"/>
      <c r="C186" s="19" t="n"/>
      <c r="D186" s="19" t="n"/>
      <c r="E186" s="6" t="n"/>
      <c r="F186" s="20" t="n"/>
      <c r="G186" s="9">
        <f>IF($F186="","",IF($F186&gt;0,ROUND($F186,2),""))</f>
        <v/>
      </c>
      <c r="H186" s="12">
        <f>IF(OR($B186="",$C186="",$G186=""),"",COUNTIFS(Ventes_Encaissements!$E$6:$E$3005,$B186,Ventes_Encaissements!$J$6:$J$3005,$G186,Ventes_Encaissements!$C$6:$C$3005,"&gt;="&amp;($C186-3),Ventes_Encaissements!$C$6:$C$3005,"&lt;="&amp;($C186+3)))</f>
        <v/>
      </c>
      <c r="I186" s="12">
        <f>IF($H186="","",IF($H186=0,"Non trouvé",IF($H186=1,"Match","À vérifier")))</f>
        <v/>
      </c>
      <c r="J186" s="21">
        <f>IF($I186&lt;&gt;"Match","",INDEX(Ventes_Encaissements!$B$6:$B$3005,_xludf.AGGREGATE(15,6,(ROW(Ventes_Encaissements!$B$6:$B$3005)-ROW(Ventes_Encaissements!$B$6)+1)/((Ventes_Encaissements!$E$6:$E$3005=$B186)*(Ventes_Encaissements!$J$6:$J$3005=$G186)*(Ventes_Encaissements!$C$6:$C$3005&gt;=$C186-3)*(Ventes_Encaissements!$C$6:$C$3005&lt;=$C186+3)),1)))</f>
        <v/>
      </c>
      <c r="K186" s="6" t="n"/>
    </row>
    <row r="187">
      <c r="A187" s="6" t="n"/>
      <c r="B187" s="6" t="n"/>
      <c r="C187" s="19" t="n"/>
      <c r="D187" s="19" t="n"/>
      <c r="E187" s="6" t="n"/>
      <c r="F187" s="20" t="n"/>
      <c r="G187" s="9">
        <f>IF($F187="","",IF($F187&gt;0,ROUND($F187,2),""))</f>
        <v/>
      </c>
      <c r="H187" s="12">
        <f>IF(OR($B187="",$C187="",$G187=""),"",COUNTIFS(Ventes_Encaissements!$E$6:$E$3005,$B187,Ventes_Encaissements!$J$6:$J$3005,$G187,Ventes_Encaissements!$C$6:$C$3005,"&gt;="&amp;($C187-3),Ventes_Encaissements!$C$6:$C$3005,"&lt;="&amp;($C187+3)))</f>
        <v/>
      </c>
      <c r="I187" s="12">
        <f>IF($H187="","",IF($H187=0,"Non trouvé",IF($H187=1,"Match","À vérifier")))</f>
        <v/>
      </c>
      <c r="J187" s="21">
        <f>IF($I187&lt;&gt;"Match","",INDEX(Ventes_Encaissements!$B$6:$B$3005,_xludf.AGGREGATE(15,6,(ROW(Ventes_Encaissements!$B$6:$B$3005)-ROW(Ventes_Encaissements!$B$6)+1)/((Ventes_Encaissements!$E$6:$E$3005=$B187)*(Ventes_Encaissements!$J$6:$J$3005=$G187)*(Ventes_Encaissements!$C$6:$C$3005&gt;=$C187-3)*(Ventes_Encaissements!$C$6:$C$3005&lt;=$C187+3)),1)))</f>
        <v/>
      </c>
      <c r="K187" s="6" t="n"/>
    </row>
    <row r="188">
      <c r="A188" s="6" t="n"/>
      <c r="B188" s="6" t="n"/>
      <c r="C188" s="19" t="n"/>
      <c r="D188" s="19" t="n"/>
      <c r="E188" s="6" t="n"/>
      <c r="F188" s="20" t="n"/>
      <c r="G188" s="9">
        <f>IF($F188="","",IF($F188&gt;0,ROUND($F188,2),""))</f>
        <v/>
      </c>
      <c r="H188" s="12">
        <f>IF(OR($B188="",$C188="",$G188=""),"",COUNTIFS(Ventes_Encaissements!$E$6:$E$3005,$B188,Ventes_Encaissements!$J$6:$J$3005,$G188,Ventes_Encaissements!$C$6:$C$3005,"&gt;="&amp;($C188-3),Ventes_Encaissements!$C$6:$C$3005,"&lt;="&amp;($C188+3)))</f>
        <v/>
      </c>
      <c r="I188" s="12">
        <f>IF($H188="","",IF($H188=0,"Non trouvé",IF($H188=1,"Match","À vérifier")))</f>
        <v/>
      </c>
      <c r="J188" s="21">
        <f>IF($I188&lt;&gt;"Match","",INDEX(Ventes_Encaissements!$B$6:$B$3005,_xludf.AGGREGATE(15,6,(ROW(Ventes_Encaissements!$B$6:$B$3005)-ROW(Ventes_Encaissements!$B$6)+1)/((Ventes_Encaissements!$E$6:$E$3005=$B188)*(Ventes_Encaissements!$J$6:$J$3005=$G188)*(Ventes_Encaissements!$C$6:$C$3005&gt;=$C188-3)*(Ventes_Encaissements!$C$6:$C$3005&lt;=$C188+3)),1)))</f>
        <v/>
      </c>
      <c r="K188" s="6" t="n"/>
    </row>
    <row r="189">
      <c r="A189" s="6" t="n"/>
      <c r="B189" s="6" t="n"/>
      <c r="C189" s="19" t="n"/>
      <c r="D189" s="19" t="n"/>
      <c r="E189" s="6" t="n"/>
      <c r="F189" s="20" t="n"/>
      <c r="G189" s="9">
        <f>IF($F189="","",IF($F189&gt;0,ROUND($F189,2),""))</f>
        <v/>
      </c>
      <c r="H189" s="12">
        <f>IF(OR($B189="",$C189="",$G189=""),"",COUNTIFS(Ventes_Encaissements!$E$6:$E$3005,$B189,Ventes_Encaissements!$J$6:$J$3005,$G189,Ventes_Encaissements!$C$6:$C$3005,"&gt;="&amp;($C189-3),Ventes_Encaissements!$C$6:$C$3005,"&lt;="&amp;($C189+3)))</f>
        <v/>
      </c>
      <c r="I189" s="12">
        <f>IF($H189="","",IF($H189=0,"Non trouvé",IF($H189=1,"Match","À vérifier")))</f>
        <v/>
      </c>
      <c r="J189" s="21">
        <f>IF($I189&lt;&gt;"Match","",INDEX(Ventes_Encaissements!$B$6:$B$3005,_xludf.AGGREGATE(15,6,(ROW(Ventes_Encaissements!$B$6:$B$3005)-ROW(Ventes_Encaissements!$B$6)+1)/((Ventes_Encaissements!$E$6:$E$3005=$B189)*(Ventes_Encaissements!$J$6:$J$3005=$G189)*(Ventes_Encaissements!$C$6:$C$3005&gt;=$C189-3)*(Ventes_Encaissements!$C$6:$C$3005&lt;=$C189+3)),1)))</f>
        <v/>
      </c>
      <c r="K189" s="6" t="n"/>
    </row>
    <row r="190">
      <c r="A190" s="6" t="n"/>
      <c r="B190" s="6" t="n"/>
      <c r="C190" s="19" t="n"/>
      <c r="D190" s="19" t="n"/>
      <c r="E190" s="6" t="n"/>
      <c r="F190" s="20" t="n"/>
      <c r="G190" s="9">
        <f>IF($F190="","",IF($F190&gt;0,ROUND($F190,2),""))</f>
        <v/>
      </c>
      <c r="H190" s="12">
        <f>IF(OR($B190="",$C190="",$G190=""),"",COUNTIFS(Ventes_Encaissements!$E$6:$E$3005,$B190,Ventes_Encaissements!$J$6:$J$3005,$G190,Ventes_Encaissements!$C$6:$C$3005,"&gt;="&amp;($C190-3),Ventes_Encaissements!$C$6:$C$3005,"&lt;="&amp;($C190+3)))</f>
        <v/>
      </c>
      <c r="I190" s="12">
        <f>IF($H190="","",IF($H190=0,"Non trouvé",IF($H190=1,"Match","À vérifier")))</f>
        <v/>
      </c>
      <c r="J190" s="21">
        <f>IF($I190&lt;&gt;"Match","",INDEX(Ventes_Encaissements!$B$6:$B$3005,_xludf.AGGREGATE(15,6,(ROW(Ventes_Encaissements!$B$6:$B$3005)-ROW(Ventes_Encaissements!$B$6)+1)/((Ventes_Encaissements!$E$6:$E$3005=$B190)*(Ventes_Encaissements!$J$6:$J$3005=$G190)*(Ventes_Encaissements!$C$6:$C$3005&gt;=$C190-3)*(Ventes_Encaissements!$C$6:$C$3005&lt;=$C190+3)),1)))</f>
        <v/>
      </c>
      <c r="K190" s="6" t="n"/>
    </row>
    <row r="191">
      <c r="A191" s="6" t="n"/>
      <c r="B191" s="6" t="n"/>
      <c r="C191" s="19" t="n"/>
      <c r="D191" s="19" t="n"/>
      <c r="E191" s="6" t="n"/>
      <c r="F191" s="20" t="n"/>
      <c r="G191" s="9">
        <f>IF($F191="","",IF($F191&gt;0,ROUND($F191,2),""))</f>
        <v/>
      </c>
      <c r="H191" s="12">
        <f>IF(OR($B191="",$C191="",$G191=""),"",COUNTIFS(Ventes_Encaissements!$E$6:$E$3005,$B191,Ventes_Encaissements!$J$6:$J$3005,$G191,Ventes_Encaissements!$C$6:$C$3005,"&gt;="&amp;($C191-3),Ventes_Encaissements!$C$6:$C$3005,"&lt;="&amp;($C191+3)))</f>
        <v/>
      </c>
      <c r="I191" s="12">
        <f>IF($H191="","",IF($H191=0,"Non trouvé",IF($H191=1,"Match","À vérifier")))</f>
        <v/>
      </c>
      <c r="J191" s="21">
        <f>IF($I191&lt;&gt;"Match","",INDEX(Ventes_Encaissements!$B$6:$B$3005,_xludf.AGGREGATE(15,6,(ROW(Ventes_Encaissements!$B$6:$B$3005)-ROW(Ventes_Encaissements!$B$6)+1)/((Ventes_Encaissements!$E$6:$E$3005=$B191)*(Ventes_Encaissements!$J$6:$J$3005=$G191)*(Ventes_Encaissements!$C$6:$C$3005&gt;=$C191-3)*(Ventes_Encaissements!$C$6:$C$3005&lt;=$C191+3)),1)))</f>
        <v/>
      </c>
      <c r="K191" s="6" t="n"/>
    </row>
    <row r="192">
      <c r="A192" s="6" t="n"/>
      <c r="B192" s="6" t="n"/>
      <c r="C192" s="19" t="n"/>
      <c r="D192" s="19" t="n"/>
      <c r="E192" s="6" t="n"/>
      <c r="F192" s="20" t="n"/>
      <c r="G192" s="9">
        <f>IF($F192="","",IF($F192&gt;0,ROUND($F192,2),""))</f>
        <v/>
      </c>
      <c r="H192" s="12">
        <f>IF(OR($B192="",$C192="",$G192=""),"",COUNTIFS(Ventes_Encaissements!$E$6:$E$3005,$B192,Ventes_Encaissements!$J$6:$J$3005,$G192,Ventes_Encaissements!$C$6:$C$3005,"&gt;="&amp;($C192-3),Ventes_Encaissements!$C$6:$C$3005,"&lt;="&amp;($C192+3)))</f>
        <v/>
      </c>
      <c r="I192" s="12">
        <f>IF($H192="","",IF($H192=0,"Non trouvé",IF($H192=1,"Match","À vérifier")))</f>
        <v/>
      </c>
      <c r="J192" s="21">
        <f>IF($I192&lt;&gt;"Match","",INDEX(Ventes_Encaissements!$B$6:$B$3005,_xludf.AGGREGATE(15,6,(ROW(Ventes_Encaissements!$B$6:$B$3005)-ROW(Ventes_Encaissements!$B$6)+1)/((Ventes_Encaissements!$E$6:$E$3005=$B192)*(Ventes_Encaissements!$J$6:$J$3005=$G192)*(Ventes_Encaissements!$C$6:$C$3005&gt;=$C192-3)*(Ventes_Encaissements!$C$6:$C$3005&lt;=$C192+3)),1)))</f>
        <v/>
      </c>
      <c r="K192" s="6" t="n"/>
    </row>
    <row r="193">
      <c r="A193" s="6" t="n"/>
      <c r="B193" s="6" t="n"/>
      <c r="C193" s="19" t="n"/>
      <c r="D193" s="19" t="n"/>
      <c r="E193" s="6" t="n"/>
      <c r="F193" s="20" t="n"/>
      <c r="G193" s="9">
        <f>IF($F193="","",IF($F193&gt;0,ROUND($F193,2),""))</f>
        <v/>
      </c>
      <c r="H193" s="12">
        <f>IF(OR($B193="",$C193="",$G193=""),"",COUNTIFS(Ventes_Encaissements!$E$6:$E$3005,$B193,Ventes_Encaissements!$J$6:$J$3005,$G193,Ventes_Encaissements!$C$6:$C$3005,"&gt;="&amp;($C193-3),Ventes_Encaissements!$C$6:$C$3005,"&lt;="&amp;($C193+3)))</f>
        <v/>
      </c>
      <c r="I193" s="12">
        <f>IF($H193="","",IF($H193=0,"Non trouvé",IF($H193=1,"Match","À vérifier")))</f>
        <v/>
      </c>
      <c r="J193" s="21">
        <f>IF($I193&lt;&gt;"Match","",INDEX(Ventes_Encaissements!$B$6:$B$3005,_xludf.AGGREGATE(15,6,(ROW(Ventes_Encaissements!$B$6:$B$3005)-ROW(Ventes_Encaissements!$B$6)+1)/((Ventes_Encaissements!$E$6:$E$3005=$B193)*(Ventes_Encaissements!$J$6:$J$3005=$G193)*(Ventes_Encaissements!$C$6:$C$3005&gt;=$C193-3)*(Ventes_Encaissements!$C$6:$C$3005&lt;=$C193+3)),1)))</f>
        <v/>
      </c>
      <c r="K193" s="6" t="n"/>
    </row>
    <row r="194">
      <c r="A194" s="6" t="n"/>
      <c r="B194" s="6" t="n"/>
      <c r="C194" s="19" t="n"/>
      <c r="D194" s="19" t="n"/>
      <c r="E194" s="6" t="n"/>
      <c r="F194" s="20" t="n"/>
      <c r="G194" s="9">
        <f>IF($F194="","",IF($F194&gt;0,ROUND($F194,2),""))</f>
        <v/>
      </c>
      <c r="H194" s="12">
        <f>IF(OR($B194="",$C194="",$G194=""),"",COUNTIFS(Ventes_Encaissements!$E$6:$E$3005,$B194,Ventes_Encaissements!$J$6:$J$3005,$G194,Ventes_Encaissements!$C$6:$C$3005,"&gt;="&amp;($C194-3),Ventes_Encaissements!$C$6:$C$3005,"&lt;="&amp;($C194+3)))</f>
        <v/>
      </c>
      <c r="I194" s="12">
        <f>IF($H194="","",IF($H194=0,"Non trouvé",IF($H194=1,"Match","À vérifier")))</f>
        <v/>
      </c>
      <c r="J194" s="21">
        <f>IF($I194&lt;&gt;"Match","",INDEX(Ventes_Encaissements!$B$6:$B$3005,_xludf.AGGREGATE(15,6,(ROW(Ventes_Encaissements!$B$6:$B$3005)-ROW(Ventes_Encaissements!$B$6)+1)/((Ventes_Encaissements!$E$6:$E$3005=$B194)*(Ventes_Encaissements!$J$6:$J$3005=$G194)*(Ventes_Encaissements!$C$6:$C$3005&gt;=$C194-3)*(Ventes_Encaissements!$C$6:$C$3005&lt;=$C194+3)),1)))</f>
        <v/>
      </c>
      <c r="K194" s="6" t="n"/>
    </row>
    <row r="195">
      <c r="A195" s="6" t="n"/>
      <c r="B195" s="6" t="n"/>
      <c r="C195" s="19" t="n"/>
      <c r="D195" s="19" t="n"/>
      <c r="E195" s="6" t="n"/>
      <c r="F195" s="20" t="n"/>
      <c r="G195" s="9">
        <f>IF($F195="","",IF($F195&gt;0,ROUND($F195,2),""))</f>
        <v/>
      </c>
      <c r="H195" s="12">
        <f>IF(OR($B195="",$C195="",$G195=""),"",COUNTIFS(Ventes_Encaissements!$E$6:$E$3005,$B195,Ventes_Encaissements!$J$6:$J$3005,$G195,Ventes_Encaissements!$C$6:$C$3005,"&gt;="&amp;($C195-3),Ventes_Encaissements!$C$6:$C$3005,"&lt;="&amp;($C195+3)))</f>
        <v/>
      </c>
      <c r="I195" s="12">
        <f>IF($H195="","",IF($H195=0,"Non trouvé",IF($H195=1,"Match","À vérifier")))</f>
        <v/>
      </c>
      <c r="J195" s="21">
        <f>IF($I195&lt;&gt;"Match","",INDEX(Ventes_Encaissements!$B$6:$B$3005,_xludf.AGGREGATE(15,6,(ROW(Ventes_Encaissements!$B$6:$B$3005)-ROW(Ventes_Encaissements!$B$6)+1)/((Ventes_Encaissements!$E$6:$E$3005=$B195)*(Ventes_Encaissements!$J$6:$J$3005=$G195)*(Ventes_Encaissements!$C$6:$C$3005&gt;=$C195-3)*(Ventes_Encaissements!$C$6:$C$3005&lt;=$C195+3)),1)))</f>
        <v/>
      </c>
      <c r="K195" s="6" t="n"/>
    </row>
    <row r="196">
      <c r="A196" s="6" t="n"/>
      <c r="B196" s="6" t="n"/>
      <c r="C196" s="19" t="n"/>
      <c r="D196" s="19" t="n"/>
      <c r="E196" s="6" t="n"/>
      <c r="F196" s="20" t="n"/>
      <c r="G196" s="9">
        <f>IF($F196="","",IF($F196&gt;0,ROUND($F196,2),""))</f>
        <v/>
      </c>
      <c r="H196" s="12">
        <f>IF(OR($B196="",$C196="",$G196=""),"",COUNTIFS(Ventes_Encaissements!$E$6:$E$3005,$B196,Ventes_Encaissements!$J$6:$J$3005,$G196,Ventes_Encaissements!$C$6:$C$3005,"&gt;="&amp;($C196-3),Ventes_Encaissements!$C$6:$C$3005,"&lt;="&amp;($C196+3)))</f>
        <v/>
      </c>
      <c r="I196" s="12">
        <f>IF($H196="","",IF($H196=0,"Non trouvé",IF($H196=1,"Match","À vérifier")))</f>
        <v/>
      </c>
      <c r="J196" s="21">
        <f>IF($I196&lt;&gt;"Match","",INDEX(Ventes_Encaissements!$B$6:$B$3005,_xludf.AGGREGATE(15,6,(ROW(Ventes_Encaissements!$B$6:$B$3005)-ROW(Ventes_Encaissements!$B$6)+1)/((Ventes_Encaissements!$E$6:$E$3005=$B196)*(Ventes_Encaissements!$J$6:$J$3005=$G196)*(Ventes_Encaissements!$C$6:$C$3005&gt;=$C196-3)*(Ventes_Encaissements!$C$6:$C$3005&lt;=$C196+3)),1)))</f>
        <v/>
      </c>
      <c r="K196" s="6" t="n"/>
    </row>
    <row r="197">
      <c r="A197" s="6" t="n"/>
      <c r="B197" s="6" t="n"/>
      <c r="C197" s="19" t="n"/>
      <c r="D197" s="19" t="n"/>
      <c r="E197" s="6" t="n"/>
      <c r="F197" s="20" t="n"/>
      <c r="G197" s="9">
        <f>IF($F197="","",IF($F197&gt;0,ROUND($F197,2),""))</f>
        <v/>
      </c>
      <c r="H197" s="12">
        <f>IF(OR($B197="",$C197="",$G197=""),"",COUNTIFS(Ventes_Encaissements!$E$6:$E$3005,$B197,Ventes_Encaissements!$J$6:$J$3005,$G197,Ventes_Encaissements!$C$6:$C$3005,"&gt;="&amp;($C197-3),Ventes_Encaissements!$C$6:$C$3005,"&lt;="&amp;($C197+3)))</f>
        <v/>
      </c>
      <c r="I197" s="12">
        <f>IF($H197="","",IF($H197=0,"Non trouvé",IF($H197=1,"Match","À vérifier")))</f>
        <v/>
      </c>
      <c r="J197" s="21">
        <f>IF($I197&lt;&gt;"Match","",INDEX(Ventes_Encaissements!$B$6:$B$3005,_xludf.AGGREGATE(15,6,(ROW(Ventes_Encaissements!$B$6:$B$3005)-ROW(Ventes_Encaissements!$B$6)+1)/((Ventes_Encaissements!$E$6:$E$3005=$B197)*(Ventes_Encaissements!$J$6:$J$3005=$G197)*(Ventes_Encaissements!$C$6:$C$3005&gt;=$C197-3)*(Ventes_Encaissements!$C$6:$C$3005&lt;=$C197+3)),1)))</f>
        <v/>
      </c>
      <c r="K197" s="6" t="n"/>
    </row>
    <row r="198">
      <c r="A198" s="6" t="n"/>
      <c r="B198" s="6" t="n"/>
      <c r="C198" s="19" t="n"/>
      <c r="D198" s="19" t="n"/>
      <c r="E198" s="6" t="n"/>
      <c r="F198" s="20" t="n"/>
      <c r="G198" s="9">
        <f>IF($F198="","",IF($F198&gt;0,ROUND($F198,2),""))</f>
        <v/>
      </c>
      <c r="H198" s="12">
        <f>IF(OR($B198="",$C198="",$G198=""),"",COUNTIFS(Ventes_Encaissements!$E$6:$E$3005,$B198,Ventes_Encaissements!$J$6:$J$3005,$G198,Ventes_Encaissements!$C$6:$C$3005,"&gt;="&amp;($C198-3),Ventes_Encaissements!$C$6:$C$3005,"&lt;="&amp;($C198+3)))</f>
        <v/>
      </c>
      <c r="I198" s="12">
        <f>IF($H198="","",IF($H198=0,"Non trouvé",IF($H198=1,"Match","À vérifier")))</f>
        <v/>
      </c>
      <c r="J198" s="21">
        <f>IF($I198&lt;&gt;"Match","",INDEX(Ventes_Encaissements!$B$6:$B$3005,_xludf.AGGREGATE(15,6,(ROW(Ventes_Encaissements!$B$6:$B$3005)-ROW(Ventes_Encaissements!$B$6)+1)/((Ventes_Encaissements!$E$6:$E$3005=$B198)*(Ventes_Encaissements!$J$6:$J$3005=$G198)*(Ventes_Encaissements!$C$6:$C$3005&gt;=$C198-3)*(Ventes_Encaissements!$C$6:$C$3005&lt;=$C198+3)),1)))</f>
        <v/>
      </c>
      <c r="K198" s="6" t="n"/>
    </row>
    <row r="199">
      <c r="A199" s="6" t="n"/>
      <c r="B199" s="6" t="n"/>
      <c r="C199" s="19" t="n"/>
      <c r="D199" s="19" t="n"/>
      <c r="E199" s="6" t="n"/>
      <c r="F199" s="20" t="n"/>
      <c r="G199" s="9">
        <f>IF($F199="","",IF($F199&gt;0,ROUND($F199,2),""))</f>
        <v/>
      </c>
      <c r="H199" s="12">
        <f>IF(OR($B199="",$C199="",$G199=""),"",COUNTIFS(Ventes_Encaissements!$E$6:$E$3005,$B199,Ventes_Encaissements!$J$6:$J$3005,$G199,Ventes_Encaissements!$C$6:$C$3005,"&gt;="&amp;($C199-3),Ventes_Encaissements!$C$6:$C$3005,"&lt;="&amp;($C199+3)))</f>
        <v/>
      </c>
      <c r="I199" s="12">
        <f>IF($H199="","",IF($H199=0,"Non trouvé",IF($H199=1,"Match","À vérifier")))</f>
        <v/>
      </c>
      <c r="J199" s="21">
        <f>IF($I199&lt;&gt;"Match","",INDEX(Ventes_Encaissements!$B$6:$B$3005,_xludf.AGGREGATE(15,6,(ROW(Ventes_Encaissements!$B$6:$B$3005)-ROW(Ventes_Encaissements!$B$6)+1)/((Ventes_Encaissements!$E$6:$E$3005=$B199)*(Ventes_Encaissements!$J$6:$J$3005=$G199)*(Ventes_Encaissements!$C$6:$C$3005&gt;=$C199-3)*(Ventes_Encaissements!$C$6:$C$3005&lt;=$C199+3)),1)))</f>
        <v/>
      </c>
      <c r="K199" s="6" t="n"/>
    </row>
    <row r="200">
      <c r="A200" s="6" t="n"/>
      <c r="B200" s="6" t="n"/>
      <c r="C200" s="19" t="n"/>
      <c r="D200" s="19" t="n"/>
      <c r="E200" s="6" t="n"/>
      <c r="F200" s="20" t="n"/>
      <c r="G200" s="9">
        <f>IF($F200="","",IF($F200&gt;0,ROUND($F200,2),""))</f>
        <v/>
      </c>
      <c r="H200" s="12">
        <f>IF(OR($B200="",$C200="",$G200=""),"",COUNTIFS(Ventes_Encaissements!$E$6:$E$3005,$B200,Ventes_Encaissements!$J$6:$J$3005,$G200,Ventes_Encaissements!$C$6:$C$3005,"&gt;="&amp;($C200-3),Ventes_Encaissements!$C$6:$C$3005,"&lt;="&amp;($C200+3)))</f>
        <v/>
      </c>
      <c r="I200" s="12">
        <f>IF($H200="","",IF($H200=0,"Non trouvé",IF($H200=1,"Match","À vérifier")))</f>
        <v/>
      </c>
      <c r="J200" s="21">
        <f>IF($I200&lt;&gt;"Match","",INDEX(Ventes_Encaissements!$B$6:$B$3005,_xludf.AGGREGATE(15,6,(ROW(Ventes_Encaissements!$B$6:$B$3005)-ROW(Ventes_Encaissements!$B$6)+1)/((Ventes_Encaissements!$E$6:$E$3005=$B200)*(Ventes_Encaissements!$J$6:$J$3005=$G200)*(Ventes_Encaissements!$C$6:$C$3005&gt;=$C200-3)*(Ventes_Encaissements!$C$6:$C$3005&lt;=$C200+3)),1)))</f>
        <v/>
      </c>
      <c r="K200" s="6" t="n"/>
    </row>
    <row r="201">
      <c r="A201" s="6" t="n"/>
      <c r="B201" s="6" t="n"/>
      <c r="C201" s="19" t="n"/>
      <c r="D201" s="19" t="n"/>
      <c r="E201" s="6" t="n"/>
      <c r="F201" s="20" t="n"/>
      <c r="G201" s="9">
        <f>IF($F201="","",IF($F201&gt;0,ROUND($F201,2),""))</f>
        <v/>
      </c>
      <c r="H201" s="12">
        <f>IF(OR($B201="",$C201="",$G201=""),"",COUNTIFS(Ventes_Encaissements!$E$6:$E$3005,$B201,Ventes_Encaissements!$J$6:$J$3005,$G201,Ventes_Encaissements!$C$6:$C$3005,"&gt;="&amp;($C201-3),Ventes_Encaissements!$C$6:$C$3005,"&lt;="&amp;($C201+3)))</f>
        <v/>
      </c>
      <c r="I201" s="12">
        <f>IF($H201="","",IF($H201=0,"Non trouvé",IF($H201=1,"Match","À vérifier")))</f>
        <v/>
      </c>
      <c r="J201" s="21">
        <f>IF($I201&lt;&gt;"Match","",INDEX(Ventes_Encaissements!$B$6:$B$3005,_xludf.AGGREGATE(15,6,(ROW(Ventes_Encaissements!$B$6:$B$3005)-ROW(Ventes_Encaissements!$B$6)+1)/((Ventes_Encaissements!$E$6:$E$3005=$B201)*(Ventes_Encaissements!$J$6:$J$3005=$G201)*(Ventes_Encaissements!$C$6:$C$3005&gt;=$C201-3)*(Ventes_Encaissements!$C$6:$C$3005&lt;=$C201+3)),1)))</f>
        <v/>
      </c>
      <c r="K201" s="6" t="n"/>
    </row>
    <row r="202">
      <c r="A202" s="6" t="n"/>
      <c r="B202" s="6" t="n"/>
      <c r="C202" s="19" t="n"/>
      <c r="D202" s="19" t="n"/>
      <c r="E202" s="6" t="n"/>
      <c r="F202" s="20" t="n"/>
      <c r="G202" s="9">
        <f>IF($F202="","",IF($F202&gt;0,ROUND($F202,2),""))</f>
        <v/>
      </c>
      <c r="H202" s="12">
        <f>IF(OR($B202="",$C202="",$G202=""),"",COUNTIFS(Ventes_Encaissements!$E$6:$E$3005,$B202,Ventes_Encaissements!$J$6:$J$3005,$G202,Ventes_Encaissements!$C$6:$C$3005,"&gt;="&amp;($C202-3),Ventes_Encaissements!$C$6:$C$3005,"&lt;="&amp;($C202+3)))</f>
        <v/>
      </c>
      <c r="I202" s="12">
        <f>IF($H202="","",IF($H202=0,"Non trouvé",IF($H202=1,"Match","À vérifier")))</f>
        <v/>
      </c>
      <c r="J202" s="21">
        <f>IF($I202&lt;&gt;"Match","",INDEX(Ventes_Encaissements!$B$6:$B$3005,_xludf.AGGREGATE(15,6,(ROW(Ventes_Encaissements!$B$6:$B$3005)-ROW(Ventes_Encaissements!$B$6)+1)/((Ventes_Encaissements!$E$6:$E$3005=$B202)*(Ventes_Encaissements!$J$6:$J$3005=$G202)*(Ventes_Encaissements!$C$6:$C$3005&gt;=$C202-3)*(Ventes_Encaissements!$C$6:$C$3005&lt;=$C202+3)),1)))</f>
        <v/>
      </c>
      <c r="K202" s="6" t="n"/>
    </row>
    <row r="203">
      <c r="A203" s="6" t="n"/>
      <c r="B203" s="6" t="n"/>
      <c r="C203" s="19" t="n"/>
      <c r="D203" s="19" t="n"/>
      <c r="E203" s="6" t="n"/>
      <c r="F203" s="20" t="n"/>
      <c r="G203" s="9">
        <f>IF($F203="","",IF($F203&gt;0,ROUND($F203,2),""))</f>
        <v/>
      </c>
      <c r="H203" s="12">
        <f>IF(OR($B203="",$C203="",$G203=""),"",COUNTIFS(Ventes_Encaissements!$E$6:$E$3005,$B203,Ventes_Encaissements!$J$6:$J$3005,$G203,Ventes_Encaissements!$C$6:$C$3005,"&gt;="&amp;($C203-3),Ventes_Encaissements!$C$6:$C$3005,"&lt;="&amp;($C203+3)))</f>
        <v/>
      </c>
      <c r="I203" s="12">
        <f>IF($H203="","",IF($H203=0,"Non trouvé",IF($H203=1,"Match","À vérifier")))</f>
        <v/>
      </c>
      <c r="J203" s="21">
        <f>IF($I203&lt;&gt;"Match","",INDEX(Ventes_Encaissements!$B$6:$B$3005,_xludf.AGGREGATE(15,6,(ROW(Ventes_Encaissements!$B$6:$B$3005)-ROW(Ventes_Encaissements!$B$6)+1)/((Ventes_Encaissements!$E$6:$E$3005=$B203)*(Ventes_Encaissements!$J$6:$J$3005=$G203)*(Ventes_Encaissements!$C$6:$C$3005&gt;=$C203-3)*(Ventes_Encaissements!$C$6:$C$3005&lt;=$C203+3)),1)))</f>
        <v/>
      </c>
      <c r="K203" s="6" t="n"/>
    </row>
    <row r="204">
      <c r="A204" s="6" t="n"/>
      <c r="B204" s="6" t="n"/>
      <c r="C204" s="19" t="n"/>
      <c r="D204" s="19" t="n"/>
      <c r="E204" s="6" t="n"/>
      <c r="F204" s="20" t="n"/>
      <c r="G204" s="9">
        <f>IF($F204="","",IF($F204&gt;0,ROUND($F204,2),""))</f>
        <v/>
      </c>
      <c r="H204" s="12">
        <f>IF(OR($B204="",$C204="",$G204=""),"",COUNTIFS(Ventes_Encaissements!$E$6:$E$3005,$B204,Ventes_Encaissements!$J$6:$J$3005,$G204,Ventes_Encaissements!$C$6:$C$3005,"&gt;="&amp;($C204-3),Ventes_Encaissements!$C$6:$C$3005,"&lt;="&amp;($C204+3)))</f>
        <v/>
      </c>
      <c r="I204" s="12">
        <f>IF($H204="","",IF($H204=0,"Non trouvé",IF($H204=1,"Match","À vérifier")))</f>
        <v/>
      </c>
      <c r="J204" s="21">
        <f>IF($I204&lt;&gt;"Match","",INDEX(Ventes_Encaissements!$B$6:$B$3005,_xludf.AGGREGATE(15,6,(ROW(Ventes_Encaissements!$B$6:$B$3005)-ROW(Ventes_Encaissements!$B$6)+1)/((Ventes_Encaissements!$E$6:$E$3005=$B204)*(Ventes_Encaissements!$J$6:$J$3005=$G204)*(Ventes_Encaissements!$C$6:$C$3005&gt;=$C204-3)*(Ventes_Encaissements!$C$6:$C$3005&lt;=$C204+3)),1)))</f>
        <v/>
      </c>
      <c r="K204" s="6" t="n"/>
    </row>
    <row r="205">
      <c r="A205" s="6" t="n"/>
      <c r="B205" s="6" t="n"/>
      <c r="C205" s="19" t="n"/>
      <c r="D205" s="19" t="n"/>
      <c r="E205" s="6" t="n"/>
      <c r="F205" s="20" t="n"/>
      <c r="G205" s="9">
        <f>IF($F205="","",IF($F205&gt;0,ROUND($F205,2),""))</f>
        <v/>
      </c>
      <c r="H205" s="12">
        <f>IF(OR($B205="",$C205="",$G205=""),"",COUNTIFS(Ventes_Encaissements!$E$6:$E$3005,$B205,Ventes_Encaissements!$J$6:$J$3005,$G205,Ventes_Encaissements!$C$6:$C$3005,"&gt;="&amp;($C205-3),Ventes_Encaissements!$C$6:$C$3005,"&lt;="&amp;($C205+3)))</f>
        <v/>
      </c>
      <c r="I205" s="12">
        <f>IF($H205="","",IF($H205=0,"Non trouvé",IF($H205=1,"Match","À vérifier")))</f>
        <v/>
      </c>
      <c r="J205" s="21">
        <f>IF($I205&lt;&gt;"Match","",INDEX(Ventes_Encaissements!$B$6:$B$3005,_xludf.AGGREGATE(15,6,(ROW(Ventes_Encaissements!$B$6:$B$3005)-ROW(Ventes_Encaissements!$B$6)+1)/((Ventes_Encaissements!$E$6:$E$3005=$B205)*(Ventes_Encaissements!$J$6:$J$3005=$G205)*(Ventes_Encaissements!$C$6:$C$3005&gt;=$C205-3)*(Ventes_Encaissements!$C$6:$C$3005&lt;=$C205+3)),1)))</f>
        <v/>
      </c>
      <c r="K205" s="6" t="n"/>
    </row>
    <row r="206">
      <c r="A206" s="6" t="n"/>
      <c r="B206" s="6" t="n"/>
      <c r="C206" s="19" t="n"/>
      <c r="D206" s="19" t="n"/>
      <c r="E206" s="6" t="n"/>
      <c r="F206" s="20" t="n"/>
      <c r="G206" s="9">
        <f>IF($F206="","",IF($F206&gt;0,ROUND($F206,2),""))</f>
        <v/>
      </c>
      <c r="H206" s="12">
        <f>IF(OR($B206="",$C206="",$G206=""),"",COUNTIFS(Ventes_Encaissements!$E$6:$E$3005,$B206,Ventes_Encaissements!$J$6:$J$3005,$G206,Ventes_Encaissements!$C$6:$C$3005,"&gt;="&amp;($C206-3),Ventes_Encaissements!$C$6:$C$3005,"&lt;="&amp;($C206+3)))</f>
        <v/>
      </c>
      <c r="I206" s="12">
        <f>IF($H206="","",IF($H206=0,"Non trouvé",IF($H206=1,"Match","À vérifier")))</f>
        <v/>
      </c>
      <c r="J206" s="21">
        <f>IF($I206&lt;&gt;"Match","",INDEX(Ventes_Encaissements!$B$6:$B$3005,_xludf.AGGREGATE(15,6,(ROW(Ventes_Encaissements!$B$6:$B$3005)-ROW(Ventes_Encaissements!$B$6)+1)/((Ventes_Encaissements!$E$6:$E$3005=$B206)*(Ventes_Encaissements!$J$6:$J$3005=$G206)*(Ventes_Encaissements!$C$6:$C$3005&gt;=$C206-3)*(Ventes_Encaissements!$C$6:$C$3005&lt;=$C206+3)),1)))</f>
        <v/>
      </c>
      <c r="K206" s="6" t="n"/>
    </row>
    <row r="207">
      <c r="A207" s="6" t="n"/>
      <c r="B207" s="6" t="n"/>
      <c r="C207" s="19" t="n"/>
      <c r="D207" s="19" t="n"/>
      <c r="E207" s="6" t="n"/>
      <c r="F207" s="20" t="n"/>
      <c r="G207" s="9">
        <f>IF($F207="","",IF($F207&gt;0,ROUND($F207,2),""))</f>
        <v/>
      </c>
      <c r="H207" s="12">
        <f>IF(OR($B207="",$C207="",$G207=""),"",COUNTIFS(Ventes_Encaissements!$E$6:$E$3005,$B207,Ventes_Encaissements!$J$6:$J$3005,$G207,Ventes_Encaissements!$C$6:$C$3005,"&gt;="&amp;($C207-3),Ventes_Encaissements!$C$6:$C$3005,"&lt;="&amp;($C207+3)))</f>
        <v/>
      </c>
      <c r="I207" s="12">
        <f>IF($H207="","",IF($H207=0,"Non trouvé",IF($H207=1,"Match","À vérifier")))</f>
        <v/>
      </c>
      <c r="J207" s="21">
        <f>IF($I207&lt;&gt;"Match","",INDEX(Ventes_Encaissements!$B$6:$B$3005,_xludf.AGGREGATE(15,6,(ROW(Ventes_Encaissements!$B$6:$B$3005)-ROW(Ventes_Encaissements!$B$6)+1)/((Ventes_Encaissements!$E$6:$E$3005=$B207)*(Ventes_Encaissements!$J$6:$J$3005=$G207)*(Ventes_Encaissements!$C$6:$C$3005&gt;=$C207-3)*(Ventes_Encaissements!$C$6:$C$3005&lt;=$C207+3)),1)))</f>
        <v/>
      </c>
      <c r="K207" s="6" t="n"/>
    </row>
    <row r="208">
      <c r="A208" s="6" t="n"/>
      <c r="B208" s="6" t="n"/>
      <c r="C208" s="19" t="n"/>
      <c r="D208" s="19" t="n"/>
      <c r="E208" s="6" t="n"/>
      <c r="F208" s="20" t="n"/>
      <c r="G208" s="9">
        <f>IF($F208="","",IF($F208&gt;0,ROUND($F208,2),""))</f>
        <v/>
      </c>
      <c r="H208" s="12">
        <f>IF(OR($B208="",$C208="",$G208=""),"",COUNTIFS(Ventes_Encaissements!$E$6:$E$3005,$B208,Ventes_Encaissements!$J$6:$J$3005,$G208,Ventes_Encaissements!$C$6:$C$3005,"&gt;="&amp;($C208-3),Ventes_Encaissements!$C$6:$C$3005,"&lt;="&amp;($C208+3)))</f>
        <v/>
      </c>
      <c r="I208" s="12">
        <f>IF($H208="","",IF($H208=0,"Non trouvé",IF($H208=1,"Match","À vérifier")))</f>
        <v/>
      </c>
      <c r="J208" s="21">
        <f>IF($I208&lt;&gt;"Match","",INDEX(Ventes_Encaissements!$B$6:$B$3005,_xludf.AGGREGATE(15,6,(ROW(Ventes_Encaissements!$B$6:$B$3005)-ROW(Ventes_Encaissements!$B$6)+1)/((Ventes_Encaissements!$E$6:$E$3005=$B208)*(Ventes_Encaissements!$J$6:$J$3005=$G208)*(Ventes_Encaissements!$C$6:$C$3005&gt;=$C208-3)*(Ventes_Encaissements!$C$6:$C$3005&lt;=$C208+3)),1)))</f>
        <v/>
      </c>
      <c r="K208" s="6" t="n"/>
    </row>
    <row r="209">
      <c r="A209" s="6" t="n"/>
      <c r="B209" s="6" t="n"/>
      <c r="C209" s="19" t="n"/>
      <c r="D209" s="19" t="n"/>
      <c r="E209" s="6" t="n"/>
      <c r="F209" s="20" t="n"/>
      <c r="G209" s="9">
        <f>IF($F209="","",IF($F209&gt;0,ROUND($F209,2),""))</f>
        <v/>
      </c>
      <c r="H209" s="12">
        <f>IF(OR($B209="",$C209="",$G209=""),"",COUNTIFS(Ventes_Encaissements!$E$6:$E$3005,$B209,Ventes_Encaissements!$J$6:$J$3005,$G209,Ventes_Encaissements!$C$6:$C$3005,"&gt;="&amp;($C209-3),Ventes_Encaissements!$C$6:$C$3005,"&lt;="&amp;($C209+3)))</f>
        <v/>
      </c>
      <c r="I209" s="12">
        <f>IF($H209="","",IF($H209=0,"Non trouvé",IF($H209=1,"Match","À vérifier")))</f>
        <v/>
      </c>
      <c r="J209" s="21">
        <f>IF($I209&lt;&gt;"Match","",INDEX(Ventes_Encaissements!$B$6:$B$3005,_xludf.AGGREGATE(15,6,(ROW(Ventes_Encaissements!$B$6:$B$3005)-ROW(Ventes_Encaissements!$B$6)+1)/((Ventes_Encaissements!$E$6:$E$3005=$B209)*(Ventes_Encaissements!$J$6:$J$3005=$G209)*(Ventes_Encaissements!$C$6:$C$3005&gt;=$C209-3)*(Ventes_Encaissements!$C$6:$C$3005&lt;=$C209+3)),1)))</f>
        <v/>
      </c>
      <c r="K209" s="6" t="n"/>
    </row>
    <row r="210">
      <c r="A210" s="6" t="n"/>
      <c r="B210" s="6" t="n"/>
      <c r="C210" s="19" t="n"/>
      <c r="D210" s="19" t="n"/>
      <c r="E210" s="6" t="n"/>
      <c r="F210" s="20" t="n"/>
      <c r="G210" s="9">
        <f>IF($F210="","",IF($F210&gt;0,ROUND($F210,2),""))</f>
        <v/>
      </c>
      <c r="H210" s="12">
        <f>IF(OR($B210="",$C210="",$G210=""),"",COUNTIFS(Ventes_Encaissements!$E$6:$E$3005,$B210,Ventes_Encaissements!$J$6:$J$3005,$G210,Ventes_Encaissements!$C$6:$C$3005,"&gt;="&amp;($C210-3),Ventes_Encaissements!$C$6:$C$3005,"&lt;="&amp;($C210+3)))</f>
        <v/>
      </c>
      <c r="I210" s="12">
        <f>IF($H210="","",IF($H210=0,"Non trouvé",IF($H210=1,"Match","À vérifier")))</f>
        <v/>
      </c>
      <c r="J210" s="21">
        <f>IF($I210&lt;&gt;"Match","",INDEX(Ventes_Encaissements!$B$6:$B$3005,_xludf.AGGREGATE(15,6,(ROW(Ventes_Encaissements!$B$6:$B$3005)-ROW(Ventes_Encaissements!$B$6)+1)/((Ventes_Encaissements!$E$6:$E$3005=$B210)*(Ventes_Encaissements!$J$6:$J$3005=$G210)*(Ventes_Encaissements!$C$6:$C$3005&gt;=$C210-3)*(Ventes_Encaissements!$C$6:$C$3005&lt;=$C210+3)),1)))</f>
        <v/>
      </c>
      <c r="K210" s="6" t="n"/>
    </row>
    <row r="211">
      <c r="A211" s="6" t="n"/>
      <c r="B211" s="6" t="n"/>
      <c r="C211" s="19" t="n"/>
      <c r="D211" s="19" t="n"/>
      <c r="E211" s="6" t="n"/>
      <c r="F211" s="20" t="n"/>
      <c r="G211" s="9">
        <f>IF($F211="","",IF($F211&gt;0,ROUND($F211,2),""))</f>
        <v/>
      </c>
      <c r="H211" s="12">
        <f>IF(OR($B211="",$C211="",$G211=""),"",COUNTIFS(Ventes_Encaissements!$E$6:$E$3005,$B211,Ventes_Encaissements!$J$6:$J$3005,$G211,Ventes_Encaissements!$C$6:$C$3005,"&gt;="&amp;($C211-3),Ventes_Encaissements!$C$6:$C$3005,"&lt;="&amp;($C211+3)))</f>
        <v/>
      </c>
      <c r="I211" s="12">
        <f>IF($H211="","",IF($H211=0,"Non trouvé",IF($H211=1,"Match","À vérifier")))</f>
        <v/>
      </c>
      <c r="J211" s="21">
        <f>IF($I211&lt;&gt;"Match","",INDEX(Ventes_Encaissements!$B$6:$B$3005,_xludf.AGGREGATE(15,6,(ROW(Ventes_Encaissements!$B$6:$B$3005)-ROW(Ventes_Encaissements!$B$6)+1)/((Ventes_Encaissements!$E$6:$E$3005=$B211)*(Ventes_Encaissements!$J$6:$J$3005=$G211)*(Ventes_Encaissements!$C$6:$C$3005&gt;=$C211-3)*(Ventes_Encaissements!$C$6:$C$3005&lt;=$C211+3)),1)))</f>
        <v/>
      </c>
      <c r="K211" s="6" t="n"/>
    </row>
    <row r="212">
      <c r="A212" s="6" t="n"/>
      <c r="B212" s="6" t="n"/>
      <c r="C212" s="19" t="n"/>
      <c r="D212" s="19" t="n"/>
      <c r="E212" s="6" t="n"/>
      <c r="F212" s="20" t="n"/>
      <c r="G212" s="9">
        <f>IF($F212="","",IF($F212&gt;0,ROUND($F212,2),""))</f>
        <v/>
      </c>
      <c r="H212" s="12">
        <f>IF(OR($B212="",$C212="",$G212=""),"",COUNTIFS(Ventes_Encaissements!$E$6:$E$3005,$B212,Ventes_Encaissements!$J$6:$J$3005,$G212,Ventes_Encaissements!$C$6:$C$3005,"&gt;="&amp;($C212-3),Ventes_Encaissements!$C$6:$C$3005,"&lt;="&amp;($C212+3)))</f>
        <v/>
      </c>
      <c r="I212" s="12">
        <f>IF($H212="","",IF($H212=0,"Non trouvé",IF($H212=1,"Match","À vérifier")))</f>
        <v/>
      </c>
      <c r="J212" s="21">
        <f>IF($I212&lt;&gt;"Match","",INDEX(Ventes_Encaissements!$B$6:$B$3005,_xludf.AGGREGATE(15,6,(ROW(Ventes_Encaissements!$B$6:$B$3005)-ROW(Ventes_Encaissements!$B$6)+1)/((Ventes_Encaissements!$E$6:$E$3005=$B212)*(Ventes_Encaissements!$J$6:$J$3005=$G212)*(Ventes_Encaissements!$C$6:$C$3005&gt;=$C212-3)*(Ventes_Encaissements!$C$6:$C$3005&lt;=$C212+3)),1)))</f>
        <v/>
      </c>
      <c r="K212" s="6" t="n"/>
    </row>
    <row r="213">
      <c r="A213" s="6" t="n"/>
      <c r="B213" s="6" t="n"/>
      <c r="C213" s="19" t="n"/>
      <c r="D213" s="19" t="n"/>
      <c r="E213" s="6" t="n"/>
      <c r="F213" s="20" t="n"/>
      <c r="G213" s="9">
        <f>IF($F213="","",IF($F213&gt;0,ROUND($F213,2),""))</f>
        <v/>
      </c>
      <c r="H213" s="12">
        <f>IF(OR($B213="",$C213="",$G213=""),"",COUNTIFS(Ventes_Encaissements!$E$6:$E$3005,$B213,Ventes_Encaissements!$J$6:$J$3005,$G213,Ventes_Encaissements!$C$6:$C$3005,"&gt;="&amp;($C213-3),Ventes_Encaissements!$C$6:$C$3005,"&lt;="&amp;($C213+3)))</f>
        <v/>
      </c>
      <c r="I213" s="12">
        <f>IF($H213="","",IF($H213=0,"Non trouvé",IF($H213=1,"Match","À vérifier")))</f>
        <v/>
      </c>
      <c r="J213" s="21">
        <f>IF($I213&lt;&gt;"Match","",INDEX(Ventes_Encaissements!$B$6:$B$3005,_xludf.AGGREGATE(15,6,(ROW(Ventes_Encaissements!$B$6:$B$3005)-ROW(Ventes_Encaissements!$B$6)+1)/((Ventes_Encaissements!$E$6:$E$3005=$B213)*(Ventes_Encaissements!$J$6:$J$3005=$G213)*(Ventes_Encaissements!$C$6:$C$3005&gt;=$C213-3)*(Ventes_Encaissements!$C$6:$C$3005&lt;=$C213+3)),1)))</f>
        <v/>
      </c>
      <c r="K213" s="6" t="n"/>
    </row>
    <row r="214">
      <c r="A214" s="6" t="n"/>
      <c r="B214" s="6" t="n"/>
      <c r="C214" s="19" t="n"/>
      <c r="D214" s="19" t="n"/>
      <c r="E214" s="6" t="n"/>
      <c r="F214" s="20" t="n"/>
      <c r="G214" s="9">
        <f>IF($F214="","",IF($F214&gt;0,ROUND($F214,2),""))</f>
        <v/>
      </c>
      <c r="H214" s="12">
        <f>IF(OR($B214="",$C214="",$G214=""),"",COUNTIFS(Ventes_Encaissements!$E$6:$E$3005,$B214,Ventes_Encaissements!$J$6:$J$3005,$G214,Ventes_Encaissements!$C$6:$C$3005,"&gt;="&amp;($C214-3),Ventes_Encaissements!$C$6:$C$3005,"&lt;="&amp;($C214+3)))</f>
        <v/>
      </c>
      <c r="I214" s="12">
        <f>IF($H214="","",IF($H214=0,"Non trouvé",IF($H214=1,"Match","À vérifier")))</f>
        <v/>
      </c>
      <c r="J214" s="21">
        <f>IF($I214&lt;&gt;"Match","",INDEX(Ventes_Encaissements!$B$6:$B$3005,_xludf.AGGREGATE(15,6,(ROW(Ventes_Encaissements!$B$6:$B$3005)-ROW(Ventes_Encaissements!$B$6)+1)/((Ventes_Encaissements!$E$6:$E$3005=$B214)*(Ventes_Encaissements!$J$6:$J$3005=$G214)*(Ventes_Encaissements!$C$6:$C$3005&gt;=$C214-3)*(Ventes_Encaissements!$C$6:$C$3005&lt;=$C214+3)),1)))</f>
        <v/>
      </c>
      <c r="K214" s="6" t="n"/>
    </row>
    <row r="215">
      <c r="A215" s="6" t="n"/>
      <c r="B215" s="6" t="n"/>
      <c r="C215" s="19" t="n"/>
      <c r="D215" s="19" t="n"/>
      <c r="E215" s="6" t="n"/>
      <c r="F215" s="20" t="n"/>
      <c r="G215" s="9">
        <f>IF($F215="","",IF($F215&gt;0,ROUND($F215,2),""))</f>
        <v/>
      </c>
      <c r="H215" s="12">
        <f>IF(OR($B215="",$C215="",$G215=""),"",COUNTIFS(Ventes_Encaissements!$E$6:$E$3005,$B215,Ventes_Encaissements!$J$6:$J$3005,$G215,Ventes_Encaissements!$C$6:$C$3005,"&gt;="&amp;($C215-3),Ventes_Encaissements!$C$6:$C$3005,"&lt;="&amp;($C215+3)))</f>
        <v/>
      </c>
      <c r="I215" s="12">
        <f>IF($H215="","",IF($H215=0,"Non trouvé",IF($H215=1,"Match","À vérifier")))</f>
        <v/>
      </c>
      <c r="J215" s="21">
        <f>IF($I215&lt;&gt;"Match","",INDEX(Ventes_Encaissements!$B$6:$B$3005,_xludf.AGGREGATE(15,6,(ROW(Ventes_Encaissements!$B$6:$B$3005)-ROW(Ventes_Encaissements!$B$6)+1)/((Ventes_Encaissements!$E$6:$E$3005=$B215)*(Ventes_Encaissements!$J$6:$J$3005=$G215)*(Ventes_Encaissements!$C$6:$C$3005&gt;=$C215-3)*(Ventes_Encaissements!$C$6:$C$3005&lt;=$C215+3)),1)))</f>
        <v/>
      </c>
      <c r="K215" s="6" t="n"/>
    </row>
    <row r="216">
      <c r="A216" s="6" t="n"/>
      <c r="B216" s="6" t="n"/>
      <c r="C216" s="19" t="n"/>
      <c r="D216" s="19" t="n"/>
      <c r="E216" s="6" t="n"/>
      <c r="F216" s="20" t="n"/>
      <c r="G216" s="9">
        <f>IF($F216="","",IF($F216&gt;0,ROUND($F216,2),""))</f>
        <v/>
      </c>
      <c r="H216" s="12">
        <f>IF(OR($B216="",$C216="",$G216=""),"",COUNTIFS(Ventes_Encaissements!$E$6:$E$3005,$B216,Ventes_Encaissements!$J$6:$J$3005,$G216,Ventes_Encaissements!$C$6:$C$3005,"&gt;="&amp;($C216-3),Ventes_Encaissements!$C$6:$C$3005,"&lt;="&amp;($C216+3)))</f>
        <v/>
      </c>
      <c r="I216" s="12">
        <f>IF($H216="","",IF($H216=0,"Non trouvé",IF($H216=1,"Match","À vérifier")))</f>
        <v/>
      </c>
      <c r="J216" s="21">
        <f>IF($I216&lt;&gt;"Match","",INDEX(Ventes_Encaissements!$B$6:$B$3005,_xludf.AGGREGATE(15,6,(ROW(Ventes_Encaissements!$B$6:$B$3005)-ROW(Ventes_Encaissements!$B$6)+1)/((Ventes_Encaissements!$E$6:$E$3005=$B216)*(Ventes_Encaissements!$J$6:$J$3005=$G216)*(Ventes_Encaissements!$C$6:$C$3005&gt;=$C216-3)*(Ventes_Encaissements!$C$6:$C$3005&lt;=$C216+3)),1)))</f>
        <v/>
      </c>
      <c r="K216" s="6" t="n"/>
    </row>
    <row r="217">
      <c r="A217" s="6" t="n"/>
      <c r="B217" s="6" t="n"/>
      <c r="C217" s="19" t="n"/>
      <c r="D217" s="19" t="n"/>
      <c r="E217" s="6" t="n"/>
      <c r="F217" s="20" t="n"/>
      <c r="G217" s="9">
        <f>IF($F217="","",IF($F217&gt;0,ROUND($F217,2),""))</f>
        <v/>
      </c>
      <c r="H217" s="12">
        <f>IF(OR($B217="",$C217="",$G217=""),"",COUNTIFS(Ventes_Encaissements!$E$6:$E$3005,$B217,Ventes_Encaissements!$J$6:$J$3005,$G217,Ventes_Encaissements!$C$6:$C$3005,"&gt;="&amp;($C217-3),Ventes_Encaissements!$C$6:$C$3005,"&lt;="&amp;($C217+3)))</f>
        <v/>
      </c>
      <c r="I217" s="12">
        <f>IF($H217="","",IF($H217=0,"Non trouvé",IF($H217=1,"Match","À vérifier")))</f>
        <v/>
      </c>
      <c r="J217" s="21">
        <f>IF($I217&lt;&gt;"Match","",INDEX(Ventes_Encaissements!$B$6:$B$3005,_xludf.AGGREGATE(15,6,(ROW(Ventes_Encaissements!$B$6:$B$3005)-ROW(Ventes_Encaissements!$B$6)+1)/((Ventes_Encaissements!$E$6:$E$3005=$B217)*(Ventes_Encaissements!$J$6:$J$3005=$G217)*(Ventes_Encaissements!$C$6:$C$3005&gt;=$C217-3)*(Ventes_Encaissements!$C$6:$C$3005&lt;=$C217+3)),1)))</f>
        <v/>
      </c>
      <c r="K217" s="6" t="n"/>
    </row>
    <row r="218">
      <c r="A218" s="6" t="n"/>
      <c r="B218" s="6" t="n"/>
      <c r="C218" s="19" t="n"/>
      <c r="D218" s="19" t="n"/>
      <c r="E218" s="6" t="n"/>
      <c r="F218" s="20" t="n"/>
      <c r="G218" s="9">
        <f>IF($F218="","",IF($F218&gt;0,ROUND($F218,2),""))</f>
        <v/>
      </c>
      <c r="H218" s="12">
        <f>IF(OR($B218="",$C218="",$G218=""),"",COUNTIFS(Ventes_Encaissements!$E$6:$E$3005,$B218,Ventes_Encaissements!$J$6:$J$3005,$G218,Ventes_Encaissements!$C$6:$C$3005,"&gt;="&amp;($C218-3),Ventes_Encaissements!$C$6:$C$3005,"&lt;="&amp;($C218+3)))</f>
        <v/>
      </c>
      <c r="I218" s="12">
        <f>IF($H218="","",IF($H218=0,"Non trouvé",IF($H218=1,"Match","À vérifier")))</f>
        <v/>
      </c>
      <c r="J218" s="21">
        <f>IF($I218&lt;&gt;"Match","",INDEX(Ventes_Encaissements!$B$6:$B$3005,_xludf.AGGREGATE(15,6,(ROW(Ventes_Encaissements!$B$6:$B$3005)-ROW(Ventes_Encaissements!$B$6)+1)/((Ventes_Encaissements!$E$6:$E$3005=$B218)*(Ventes_Encaissements!$J$6:$J$3005=$G218)*(Ventes_Encaissements!$C$6:$C$3005&gt;=$C218-3)*(Ventes_Encaissements!$C$6:$C$3005&lt;=$C218+3)),1)))</f>
        <v/>
      </c>
      <c r="K218" s="6" t="n"/>
    </row>
    <row r="219">
      <c r="A219" s="6" t="n"/>
      <c r="B219" s="6" t="n"/>
      <c r="C219" s="19" t="n"/>
      <c r="D219" s="19" t="n"/>
      <c r="E219" s="6" t="n"/>
      <c r="F219" s="20" t="n"/>
      <c r="G219" s="9">
        <f>IF($F219="","",IF($F219&gt;0,ROUND($F219,2),""))</f>
        <v/>
      </c>
      <c r="H219" s="12">
        <f>IF(OR($B219="",$C219="",$G219=""),"",COUNTIFS(Ventes_Encaissements!$E$6:$E$3005,$B219,Ventes_Encaissements!$J$6:$J$3005,$G219,Ventes_Encaissements!$C$6:$C$3005,"&gt;="&amp;($C219-3),Ventes_Encaissements!$C$6:$C$3005,"&lt;="&amp;($C219+3)))</f>
        <v/>
      </c>
      <c r="I219" s="12">
        <f>IF($H219="","",IF($H219=0,"Non trouvé",IF($H219=1,"Match","À vérifier")))</f>
        <v/>
      </c>
      <c r="J219" s="21">
        <f>IF($I219&lt;&gt;"Match","",INDEX(Ventes_Encaissements!$B$6:$B$3005,_xludf.AGGREGATE(15,6,(ROW(Ventes_Encaissements!$B$6:$B$3005)-ROW(Ventes_Encaissements!$B$6)+1)/((Ventes_Encaissements!$E$6:$E$3005=$B219)*(Ventes_Encaissements!$J$6:$J$3005=$G219)*(Ventes_Encaissements!$C$6:$C$3005&gt;=$C219-3)*(Ventes_Encaissements!$C$6:$C$3005&lt;=$C219+3)),1)))</f>
        <v/>
      </c>
      <c r="K219" s="6" t="n"/>
    </row>
    <row r="220">
      <c r="A220" s="6" t="n"/>
      <c r="B220" s="6" t="n"/>
      <c r="C220" s="19" t="n"/>
      <c r="D220" s="19" t="n"/>
      <c r="E220" s="6" t="n"/>
      <c r="F220" s="20" t="n"/>
      <c r="G220" s="9">
        <f>IF($F220="","",IF($F220&gt;0,ROUND($F220,2),""))</f>
        <v/>
      </c>
      <c r="H220" s="12">
        <f>IF(OR($B220="",$C220="",$G220=""),"",COUNTIFS(Ventes_Encaissements!$E$6:$E$3005,$B220,Ventes_Encaissements!$J$6:$J$3005,$G220,Ventes_Encaissements!$C$6:$C$3005,"&gt;="&amp;($C220-3),Ventes_Encaissements!$C$6:$C$3005,"&lt;="&amp;($C220+3)))</f>
        <v/>
      </c>
      <c r="I220" s="12">
        <f>IF($H220="","",IF($H220=0,"Non trouvé",IF($H220=1,"Match","À vérifier")))</f>
        <v/>
      </c>
      <c r="J220" s="21">
        <f>IF($I220&lt;&gt;"Match","",INDEX(Ventes_Encaissements!$B$6:$B$3005,_xludf.AGGREGATE(15,6,(ROW(Ventes_Encaissements!$B$6:$B$3005)-ROW(Ventes_Encaissements!$B$6)+1)/((Ventes_Encaissements!$E$6:$E$3005=$B220)*(Ventes_Encaissements!$J$6:$J$3005=$G220)*(Ventes_Encaissements!$C$6:$C$3005&gt;=$C220-3)*(Ventes_Encaissements!$C$6:$C$3005&lt;=$C220+3)),1)))</f>
        <v/>
      </c>
      <c r="K220" s="6" t="n"/>
    </row>
    <row r="221">
      <c r="A221" s="6" t="n"/>
      <c r="B221" s="6" t="n"/>
      <c r="C221" s="19" t="n"/>
      <c r="D221" s="19" t="n"/>
      <c r="E221" s="6" t="n"/>
      <c r="F221" s="20" t="n"/>
      <c r="G221" s="9">
        <f>IF($F221="","",IF($F221&gt;0,ROUND($F221,2),""))</f>
        <v/>
      </c>
      <c r="H221" s="12">
        <f>IF(OR($B221="",$C221="",$G221=""),"",COUNTIFS(Ventes_Encaissements!$E$6:$E$3005,$B221,Ventes_Encaissements!$J$6:$J$3005,$G221,Ventes_Encaissements!$C$6:$C$3005,"&gt;="&amp;($C221-3),Ventes_Encaissements!$C$6:$C$3005,"&lt;="&amp;($C221+3)))</f>
        <v/>
      </c>
      <c r="I221" s="12">
        <f>IF($H221="","",IF($H221=0,"Non trouvé",IF($H221=1,"Match","À vérifier")))</f>
        <v/>
      </c>
      <c r="J221" s="21">
        <f>IF($I221&lt;&gt;"Match","",INDEX(Ventes_Encaissements!$B$6:$B$3005,_xludf.AGGREGATE(15,6,(ROW(Ventes_Encaissements!$B$6:$B$3005)-ROW(Ventes_Encaissements!$B$6)+1)/((Ventes_Encaissements!$E$6:$E$3005=$B221)*(Ventes_Encaissements!$J$6:$J$3005=$G221)*(Ventes_Encaissements!$C$6:$C$3005&gt;=$C221-3)*(Ventes_Encaissements!$C$6:$C$3005&lt;=$C221+3)),1)))</f>
        <v/>
      </c>
      <c r="K221" s="6" t="n"/>
    </row>
    <row r="222">
      <c r="A222" s="6" t="n"/>
      <c r="B222" s="6" t="n"/>
      <c r="C222" s="19" t="n"/>
      <c r="D222" s="19" t="n"/>
      <c r="E222" s="6" t="n"/>
      <c r="F222" s="20" t="n"/>
      <c r="G222" s="9">
        <f>IF($F222="","",IF($F222&gt;0,ROUND($F222,2),""))</f>
        <v/>
      </c>
      <c r="H222" s="12">
        <f>IF(OR($B222="",$C222="",$G222=""),"",COUNTIFS(Ventes_Encaissements!$E$6:$E$3005,$B222,Ventes_Encaissements!$J$6:$J$3005,$G222,Ventes_Encaissements!$C$6:$C$3005,"&gt;="&amp;($C222-3),Ventes_Encaissements!$C$6:$C$3005,"&lt;="&amp;($C222+3)))</f>
        <v/>
      </c>
      <c r="I222" s="12">
        <f>IF($H222="","",IF($H222=0,"Non trouvé",IF($H222=1,"Match","À vérifier")))</f>
        <v/>
      </c>
      <c r="J222" s="21">
        <f>IF($I222&lt;&gt;"Match","",INDEX(Ventes_Encaissements!$B$6:$B$3005,_xludf.AGGREGATE(15,6,(ROW(Ventes_Encaissements!$B$6:$B$3005)-ROW(Ventes_Encaissements!$B$6)+1)/((Ventes_Encaissements!$E$6:$E$3005=$B222)*(Ventes_Encaissements!$J$6:$J$3005=$G222)*(Ventes_Encaissements!$C$6:$C$3005&gt;=$C222-3)*(Ventes_Encaissements!$C$6:$C$3005&lt;=$C222+3)),1)))</f>
        <v/>
      </c>
      <c r="K222" s="6" t="n"/>
    </row>
    <row r="223">
      <c r="A223" s="6" t="n"/>
      <c r="B223" s="6" t="n"/>
      <c r="C223" s="19" t="n"/>
      <c r="D223" s="19" t="n"/>
      <c r="E223" s="6" t="n"/>
      <c r="F223" s="20" t="n"/>
      <c r="G223" s="9">
        <f>IF($F223="","",IF($F223&gt;0,ROUND($F223,2),""))</f>
        <v/>
      </c>
      <c r="H223" s="12">
        <f>IF(OR($B223="",$C223="",$G223=""),"",COUNTIFS(Ventes_Encaissements!$E$6:$E$3005,$B223,Ventes_Encaissements!$J$6:$J$3005,$G223,Ventes_Encaissements!$C$6:$C$3005,"&gt;="&amp;($C223-3),Ventes_Encaissements!$C$6:$C$3005,"&lt;="&amp;($C223+3)))</f>
        <v/>
      </c>
      <c r="I223" s="12">
        <f>IF($H223="","",IF($H223=0,"Non trouvé",IF($H223=1,"Match","À vérifier")))</f>
        <v/>
      </c>
      <c r="J223" s="21">
        <f>IF($I223&lt;&gt;"Match","",INDEX(Ventes_Encaissements!$B$6:$B$3005,_xludf.AGGREGATE(15,6,(ROW(Ventes_Encaissements!$B$6:$B$3005)-ROW(Ventes_Encaissements!$B$6)+1)/((Ventes_Encaissements!$E$6:$E$3005=$B223)*(Ventes_Encaissements!$J$6:$J$3005=$G223)*(Ventes_Encaissements!$C$6:$C$3005&gt;=$C223-3)*(Ventes_Encaissements!$C$6:$C$3005&lt;=$C223+3)),1)))</f>
        <v/>
      </c>
      <c r="K223" s="6" t="n"/>
    </row>
    <row r="224">
      <c r="A224" s="6" t="n"/>
      <c r="B224" s="6" t="n"/>
      <c r="C224" s="19" t="n"/>
      <c r="D224" s="19" t="n"/>
      <c r="E224" s="6" t="n"/>
      <c r="F224" s="20" t="n"/>
      <c r="G224" s="9">
        <f>IF($F224="","",IF($F224&gt;0,ROUND($F224,2),""))</f>
        <v/>
      </c>
      <c r="H224" s="12">
        <f>IF(OR($B224="",$C224="",$G224=""),"",COUNTIFS(Ventes_Encaissements!$E$6:$E$3005,$B224,Ventes_Encaissements!$J$6:$J$3005,$G224,Ventes_Encaissements!$C$6:$C$3005,"&gt;="&amp;($C224-3),Ventes_Encaissements!$C$6:$C$3005,"&lt;="&amp;($C224+3)))</f>
        <v/>
      </c>
      <c r="I224" s="12">
        <f>IF($H224="","",IF($H224=0,"Non trouvé",IF($H224=1,"Match","À vérifier")))</f>
        <v/>
      </c>
      <c r="J224" s="21">
        <f>IF($I224&lt;&gt;"Match","",INDEX(Ventes_Encaissements!$B$6:$B$3005,_xludf.AGGREGATE(15,6,(ROW(Ventes_Encaissements!$B$6:$B$3005)-ROW(Ventes_Encaissements!$B$6)+1)/((Ventes_Encaissements!$E$6:$E$3005=$B224)*(Ventes_Encaissements!$J$6:$J$3005=$G224)*(Ventes_Encaissements!$C$6:$C$3005&gt;=$C224-3)*(Ventes_Encaissements!$C$6:$C$3005&lt;=$C224+3)),1)))</f>
        <v/>
      </c>
      <c r="K224" s="6" t="n"/>
    </row>
    <row r="225">
      <c r="A225" s="6" t="n"/>
      <c r="B225" s="6" t="n"/>
      <c r="C225" s="19" t="n"/>
      <c r="D225" s="19" t="n"/>
      <c r="E225" s="6" t="n"/>
      <c r="F225" s="20" t="n"/>
      <c r="G225" s="9">
        <f>IF($F225="","",IF($F225&gt;0,ROUND($F225,2),""))</f>
        <v/>
      </c>
      <c r="H225" s="12">
        <f>IF(OR($B225="",$C225="",$G225=""),"",COUNTIFS(Ventes_Encaissements!$E$6:$E$3005,$B225,Ventes_Encaissements!$J$6:$J$3005,$G225,Ventes_Encaissements!$C$6:$C$3005,"&gt;="&amp;($C225-3),Ventes_Encaissements!$C$6:$C$3005,"&lt;="&amp;($C225+3)))</f>
        <v/>
      </c>
      <c r="I225" s="12">
        <f>IF($H225="","",IF($H225=0,"Non trouvé",IF($H225=1,"Match","À vérifier")))</f>
        <v/>
      </c>
      <c r="J225" s="21">
        <f>IF($I225&lt;&gt;"Match","",INDEX(Ventes_Encaissements!$B$6:$B$3005,_xludf.AGGREGATE(15,6,(ROW(Ventes_Encaissements!$B$6:$B$3005)-ROW(Ventes_Encaissements!$B$6)+1)/((Ventes_Encaissements!$E$6:$E$3005=$B225)*(Ventes_Encaissements!$J$6:$J$3005=$G225)*(Ventes_Encaissements!$C$6:$C$3005&gt;=$C225-3)*(Ventes_Encaissements!$C$6:$C$3005&lt;=$C225+3)),1)))</f>
        <v/>
      </c>
      <c r="K225" s="6" t="n"/>
    </row>
    <row r="226">
      <c r="A226" s="6" t="n"/>
      <c r="B226" s="6" t="n"/>
      <c r="C226" s="19" t="n"/>
      <c r="D226" s="19" t="n"/>
      <c r="E226" s="6" t="n"/>
      <c r="F226" s="20" t="n"/>
      <c r="G226" s="9">
        <f>IF($F226="","",IF($F226&gt;0,ROUND($F226,2),""))</f>
        <v/>
      </c>
      <c r="H226" s="12">
        <f>IF(OR($B226="",$C226="",$G226=""),"",COUNTIFS(Ventes_Encaissements!$E$6:$E$3005,$B226,Ventes_Encaissements!$J$6:$J$3005,$G226,Ventes_Encaissements!$C$6:$C$3005,"&gt;="&amp;($C226-3),Ventes_Encaissements!$C$6:$C$3005,"&lt;="&amp;($C226+3)))</f>
        <v/>
      </c>
      <c r="I226" s="12">
        <f>IF($H226="","",IF($H226=0,"Non trouvé",IF($H226=1,"Match","À vérifier")))</f>
        <v/>
      </c>
      <c r="J226" s="21">
        <f>IF($I226&lt;&gt;"Match","",INDEX(Ventes_Encaissements!$B$6:$B$3005,_xludf.AGGREGATE(15,6,(ROW(Ventes_Encaissements!$B$6:$B$3005)-ROW(Ventes_Encaissements!$B$6)+1)/((Ventes_Encaissements!$E$6:$E$3005=$B226)*(Ventes_Encaissements!$J$6:$J$3005=$G226)*(Ventes_Encaissements!$C$6:$C$3005&gt;=$C226-3)*(Ventes_Encaissements!$C$6:$C$3005&lt;=$C226+3)),1)))</f>
        <v/>
      </c>
      <c r="K226" s="6" t="n"/>
    </row>
    <row r="227">
      <c r="A227" s="6" t="n"/>
      <c r="B227" s="6" t="n"/>
      <c r="C227" s="19" t="n"/>
      <c r="D227" s="19" t="n"/>
      <c r="E227" s="6" t="n"/>
      <c r="F227" s="20" t="n"/>
      <c r="G227" s="9">
        <f>IF($F227="","",IF($F227&gt;0,ROUND($F227,2),""))</f>
        <v/>
      </c>
      <c r="H227" s="12">
        <f>IF(OR($B227="",$C227="",$G227=""),"",COUNTIFS(Ventes_Encaissements!$E$6:$E$3005,$B227,Ventes_Encaissements!$J$6:$J$3005,$G227,Ventes_Encaissements!$C$6:$C$3005,"&gt;="&amp;($C227-3),Ventes_Encaissements!$C$6:$C$3005,"&lt;="&amp;($C227+3)))</f>
        <v/>
      </c>
      <c r="I227" s="12">
        <f>IF($H227="","",IF($H227=0,"Non trouvé",IF($H227=1,"Match","À vérifier")))</f>
        <v/>
      </c>
      <c r="J227" s="21">
        <f>IF($I227&lt;&gt;"Match","",INDEX(Ventes_Encaissements!$B$6:$B$3005,_xludf.AGGREGATE(15,6,(ROW(Ventes_Encaissements!$B$6:$B$3005)-ROW(Ventes_Encaissements!$B$6)+1)/((Ventes_Encaissements!$E$6:$E$3005=$B227)*(Ventes_Encaissements!$J$6:$J$3005=$G227)*(Ventes_Encaissements!$C$6:$C$3005&gt;=$C227-3)*(Ventes_Encaissements!$C$6:$C$3005&lt;=$C227+3)),1)))</f>
        <v/>
      </c>
      <c r="K227" s="6" t="n"/>
    </row>
    <row r="228">
      <c r="A228" s="6" t="n"/>
      <c r="B228" s="6" t="n"/>
      <c r="C228" s="19" t="n"/>
      <c r="D228" s="19" t="n"/>
      <c r="E228" s="6" t="n"/>
      <c r="F228" s="20" t="n"/>
      <c r="G228" s="9">
        <f>IF($F228="","",IF($F228&gt;0,ROUND($F228,2),""))</f>
        <v/>
      </c>
      <c r="H228" s="12">
        <f>IF(OR($B228="",$C228="",$G228=""),"",COUNTIFS(Ventes_Encaissements!$E$6:$E$3005,$B228,Ventes_Encaissements!$J$6:$J$3005,$G228,Ventes_Encaissements!$C$6:$C$3005,"&gt;="&amp;($C228-3),Ventes_Encaissements!$C$6:$C$3005,"&lt;="&amp;($C228+3)))</f>
        <v/>
      </c>
      <c r="I228" s="12">
        <f>IF($H228="","",IF($H228=0,"Non trouvé",IF($H228=1,"Match","À vérifier")))</f>
        <v/>
      </c>
      <c r="J228" s="21">
        <f>IF($I228&lt;&gt;"Match","",INDEX(Ventes_Encaissements!$B$6:$B$3005,_xludf.AGGREGATE(15,6,(ROW(Ventes_Encaissements!$B$6:$B$3005)-ROW(Ventes_Encaissements!$B$6)+1)/((Ventes_Encaissements!$E$6:$E$3005=$B228)*(Ventes_Encaissements!$J$6:$J$3005=$G228)*(Ventes_Encaissements!$C$6:$C$3005&gt;=$C228-3)*(Ventes_Encaissements!$C$6:$C$3005&lt;=$C228+3)),1)))</f>
        <v/>
      </c>
      <c r="K228" s="6" t="n"/>
    </row>
    <row r="229">
      <c r="A229" s="6" t="n"/>
      <c r="B229" s="6" t="n"/>
      <c r="C229" s="19" t="n"/>
      <c r="D229" s="19" t="n"/>
      <c r="E229" s="6" t="n"/>
      <c r="F229" s="20" t="n"/>
      <c r="G229" s="9">
        <f>IF($F229="","",IF($F229&gt;0,ROUND($F229,2),""))</f>
        <v/>
      </c>
      <c r="H229" s="12">
        <f>IF(OR($B229="",$C229="",$G229=""),"",COUNTIFS(Ventes_Encaissements!$E$6:$E$3005,$B229,Ventes_Encaissements!$J$6:$J$3005,$G229,Ventes_Encaissements!$C$6:$C$3005,"&gt;="&amp;($C229-3),Ventes_Encaissements!$C$6:$C$3005,"&lt;="&amp;($C229+3)))</f>
        <v/>
      </c>
      <c r="I229" s="12">
        <f>IF($H229="","",IF($H229=0,"Non trouvé",IF($H229=1,"Match","À vérifier")))</f>
        <v/>
      </c>
      <c r="J229" s="21">
        <f>IF($I229&lt;&gt;"Match","",INDEX(Ventes_Encaissements!$B$6:$B$3005,_xludf.AGGREGATE(15,6,(ROW(Ventes_Encaissements!$B$6:$B$3005)-ROW(Ventes_Encaissements!$B$6)+1)/((Ventes_Encaissements!$E$6:$E$3005=$B229)*(Ventes_Encaissements!$J$6:$J$3005=$G229)*(Ventes_Encaissements!$C$6:$C$3005&gt;=$C229-3)*(Ventes_Encaissements!$C$6:$C$3005&lt;=$C229+3)),1)))</f>
        <v/>
      </c>
      <c r="K229" s="6" t="n"/>
    </row>
    <row r="230">
      <c r="A230" s="6" t="n"/>
      <c r="B230" s="6" t="n"/>
      <c r="C230" s="19" t="n"/>
      <c r="D230" s="19" t="n"/>
      <c r="E230" s="6" t="n"/>
      <c r="F230" s="20" t="n"/>
      <c r="G230" s="9">
        <f>IF($F230="","",IF($F230&gt;0,ROUND($F230,2),""))</f>
        <v/>
      </c>
      <c r="H230" s="12">
        <f>IF(OR($B230="",$C230="",$G230=""),"",COUNTIFS(Ventes_Encaissements!$E$6:$E$3005,$B230,Ventes_Encaissements!$J$6:$J$3005,$G230,Ventes_Encaissements!$C$6:$C$3005,"&gt;="&amp;($C230-3),Ventes_Encaissements!$C$6:$C$3005,"&lt;="&amp;($C230+3)))</f>
        <v/>
      </c>
      <c r="I230" s="12">
        <f>IF($H230="","",IF($H230=0,"Non trouvé",IF($H230=1,"Match","À vérifier")))</f>
        <v/>
      </c>
      <c r="J230" s="21">
        <f>IF($I230&lt;&gt;"Match","",INDEX(Ventes_Encaissements!$B$6:$B$3005,_xludf.AGGREGATE(15,6,(ROW(Ventes_Encaissements!$B$6:$B$3005)-ROW(Ventes_Encaissements!$B$6)+1)/((Ventes_Encaissements!$E$6:$E$3005=$B230)*(Ventes_Encaissements!$J$6:$J$3005=$G230)*(Ventes_Encaissements!$C$6:$C$3005&gt;=$C230-3)*(Ventes_Encaissements!$C$6:$C$3005&lt;=$C230+3)),1)))</f>
        <v/>
      </c>
      <c r="K230" s="6" t="n"/>
    </row>
    <row r="231">
      <c r="A231" s="6" t="n"/>
      <c r="B231" s="6" t="n"/>
      <c r="C231" s="19" t="n"/>
      <c r="D231" s="19" t="n"/>
      <c r="E231" s="6" t="n"/>
      <c r="F231" s="20" t="n"/>
      <c r="G231" s="9">
        <f>IF($F231="","",IF($F231&gt;0,ROUND($F231,2),""))</f>
        <v/>
      </c>
      <c r="H231" s="12">
        <f>IF(OR($B231="",$C231="",$G231=""),"",COUNTIFS(Ventes_Encaissements!$E$6:$E$3005,$B231,Ventes_Encaissements!$J$6:$J$3005,$G231,Ventes_Encaissements!$C$6:$C$3005,"&gt;="&amp;($C231-3),Ventes_Encaissements!$C$6:$C$3005,"&lt;="&amp;($C231+3)))</f>
        <v/>
      </c>
      <c r="I231" s="12">
        <f>IF($H231="","",IF($H231=0,"Non trouvé",IF($H231=1,"Match","À vérifier")))</f>
        <v/>
      </c>
      <c r="J231" s="21">
        <f>IF($I231&lt;&gt;"Match","",INDEX(Ventes_Encaissements!$B$6:$B$3005,_xludf.AGGREGATE(15,6,(ROW(Ventes_Encaissements!$B$6:$B$3005)-ROW(Ventes_Encaissements!$B$6)+1)/((Ventes_Encaissements!$E$6:$E$3005=$B231)*(Ventes_Encaissements!$J$6:$J$3005=$G231)*(Ventes_Encaissements!$C$6:$C$3005&gt;=$C231-3)*(Ventes_Encaissements!$C$6:$C$3005&lt;=$C231+3)),1)))</f>
        <v/>
      </c>
      <c r="K231" s="6" t="n"/>
    </row>
    <row r="232">
      <c r="A232" s="6" t="n"/>
      <c r="B232" s="6" t="n"/>
      <c r="C232" s="19" t="n"/>
      <c r="D232" s="19" t="n"/>
      <c r="E232" s="6" t="n"/>
      <c r="F232" s="20" t="n"/>
      <c r="G232" s="9">
        <f>IF($F232="","",IF($F232&gt;0,ROUND($F232,2),""))</f>
        <v/>
      </c>
      <c r="H232" s="12">
        <f>IF(OR($B232="",$C232="",$G232=""),"",COUNTIFS(Ventes_Encaissements!$E$6:$E$3005,$B232,Ventes_Encaissements!$J$6:$J$3005,$G232,Ventes_Encaissements!$C$6:$C$3005,"&gt;="&amp;($C232-3),Ventes_Encaissements!$C$6:$C$3005,"&lt;="&amp;($C232+3)))</f>
        <v/>
      </c>
      <c r="I232" s="12">
        <f>IF($H232="","",IF($H232=0,"Non trouvé",IF($H232=1,"Match","À vérifier")))</f>
        <v/>
      </c>
      <c r="J232" s="21">
        <f>IF($I232&lt;&gt;"Match","",INDEX(Ventes_Encaissements!$B$6:$B$3005,_xludf.AGGREGATE(15,6,(ROW(Ventes_Encaissements!$B$6:$B$3005)-ROW(Ventes_Encaissements!$B$6)+1)/((Ventes_Encaissements!$E$6:$E$3005=$B232)*(Ventes_Encaissements!$J$6:$J$3005=$G232)*(Ventes_Encaissements!$C$6:$C$3005&gt;=$C232-3)*(Ventes_Encaissements!$C$6:$C$3005&lt;=$C232+3)),1)))</f>
        <v/>
      </c>
      <c r="K232" s="6" t="n"/>
    </row>
    <row r="233">
      <c r="A233" s="6" t="n"/>
      <c r="B233" s="6" t="n"/>
      <c r="C233" s="19" t="n"/>
      <c r="D233" s="19" t="n"/>
      <c r="E233" s="6" t="n"/>
      <c r="F233" s="20" t="n"/>
      <c r="G233" s="9">
        <f>IF($F233="","",IF($F233&gt;0,ROUND($F233,2),""))</f>
        <v/>
      </c>
      <c r="H233" s="12">
        <f>IF(OR($B233="",$C233="",$G233=""),"",COUNTIFS(Ventes_Encaissements!$E$6:$E$3005,$B233,Ventes_Encaissements!$J$6:$J$3005,$G233,Ventes_Encaissements!$C$6:$C$3005,"&gt;="&amp;($C233-3),Ventes_Encaissements!$C$6:$C$3005,"&lt;="&amp;($C233+3)))</f>
        <v/>
      </c>
      <c r="I233" s="12">
        <f>IF($H233="","",IF($H233=0,"Non trouvé",IF($H233=1,"Match","À vérifier")))</f>
        <v/>
      </c>
      <c r="J233" s="21">
        <f>IF($I233&lt;&gt;"Match","",INDEX(Ventes_Encaissements!$B$6:$B$3005,_xludf.AGGREGATE(15,6,(ROW(Ventes_Encaissements!$B$6:$B$3005)-ROW(Ventes_Encaissements!$B$6)+1)/((Ventes_Encaissements!$E$6:$E$3005=$B233)*(Ventes_Encaissements!$J$6:$J$3005=$G233)*(Ventes_Encaissements!$C$6:$C$3005&gt;=$C233-3)*(Ventes_Encaissements!$C$6:$C$3005&lt;=$C233+3)),1)))</f>
        <v/>
      </c>
      <c r="K233" s="6" t="n"/>
    </row>
    <row r="234">
      <c r="A234" s="6" t="n"/>
      <c r="B234" s="6" t="n"/>
      <c r="C234" s="19" t="n"/>
      <c r="D234" s="19" t="n"/>
      <c r="E234" s="6" t="n"/>
      <c r="F234" s="20" t="n"/>
      <c r="G234" s="9">
        <f>IF($F234="","",IF($F234&gt;0,ROUND($F234,2),""))</f>
        <v/>
      </c>
      <c r="H234" s="12">
        <f>IF(OR($B234="",$C234="",$G234=""),"",COUNTIFS(Ventes_Encaissements!$E$6:$E$3005,$B234,Ventes_Encaissements!$J$6:$J$3005,$G234,Ventes_Encaissements!$C$6:$C$3005,"&gt;="&amp;($C234-3),Ventes_Encaissements!$C$6:$C$3005,"&lt;="&amp;($C234+3)))</f>
        <v/>
      </c>
      <c r="I234" s="12">
        <f>IF($H234="","",IF($H234=0,"Non trouvé",IF($H234=1,"Match","À vérifier")))</f>
        <v/>
      </c>
      <c r="J234" s="21">
        <f>IF($I234&lt;&gt;"Match","",INDEX(Ventes_Encaissements!$B$6:$B$3005,_xludf.AGGREGATE(15,6,(ROW(Ventes_Encaissements!$B$6:$B$3005)-ROW(Ventes_Encaissements!$B$6)+1)/((Ventes_Encaissements!$E$6:$E$3005=$B234)*(Ventes_Encaissements!$J$6:$J$3005=$G234)*(Ventes_Encaissements!$C$6:$C$3005&gt;=$C234-3)*(Ventes_Encaissements!$C$6:$C$3005&lt;=$C234+3)),1)))</f>
        <v/>
      </c>
      <c r="K234" s="6" t="n"/>
    </row>
    <row r="235">
      <c r="A235" s="6" t="n"/>
      <c r="B235" s="6" t="n"/>
      <c r="C235" s="19" t="n"/>
      <c r="D235" s="19" t="n"/>
      <c r="E235" s="6" t="n"/>
      <c r="F235" s="20" t="n"/>
      <c r="G235" s="9">
        <f>IF($F235="","",IF($F235&gt;0,ROUND($F235,2),""))</f>
        <v/>
      </c>
      <c r="H235" s="12">
        <f>IF(OR($B235="",$C235="",$G235=""),"",COUNTIFS(Ventes_Encaissements!$E$6:$E$3005,$B235,Ventes_Encaissements!$J$6:$J$3005,$G235,Ventes_Encaissements!$C$6:$C$3005,"&gt;="&amp;($C235-3),Ventes_Encaissements!$C$6:$C$3005,"&lt;="&amp;($C235+3)))</f>
        <v/>
      </c>
      <c r="I235" s="12">
        <f>IF($H235="","",IF($H235=0,"Non trouvé",IF($H235=1,"Match","À vérifier")))</f>
        <v/>
      </c>
      <c r="J235" s="21">
        <f>IF($I235&lt;&gt;"Match","",INDEX(Ventes_Encaissements!$B$6:$B$3005,_xludf.AGGREGATE(15,6,(ROW(Ventes_Encaissements!$B$6:$B$3005)-ROW(Ventes_Encaissements!$B$6)+1)/((Ventes_Encaissements!$E$6:$E$3005=$B235)*(Ventes_Encaissements!$J$6:$J$3005=$G235)*(Ventes_Encaissements!$C$6:$C$3005&gt;=$C235-3)*(Ventes_Encaissements!$C$6:$C$3005&lt;=$C235+3)),1)))</f>
        <v/>
      </c>
      <c r="K235" s="6" t="n"/>
    </row>
    <row r="236">
      <c r="A236" s="6" t="n"/>
      <c r="B236" s="6" t="n"/>
      <c r="C236" s="19" t="n"/>
      <c r="D236" s="19" t="n"/>
      <c r="E236" s="6" t="n"/>
      <c r="F236" s="20" t="n"/>
      <c r="G236" s="9">
        <f>IF($F236="","",IF($F236&gt;0,ROUND($F236,2),""))</f>
        <v/>
      </c>
      <c r="H236" s="12">
        <f>IF(OR($B236="",$C236="",$G236=""),"",COUNTIFS(Ventes_Encaissements!$E$6:$E$3005,$B236,Ventes_Encaissements!$J$6:$J$3005,$G236,Ventes_Encaissements!$C$6:$C$3005,"&gt;="&amp;($C236-3),Ventes_Encaissements!$C$6:$C$3005,"&lt;="&amp;($C236+3)))</f>
        <v/>
      </c>
      <c r="I236" s="12">
        <f>IF($H236="","",IF($H236=0,"Non trouvé",IF($H236=1,"Match","À vérifier")))</f>
        <v/>
      </c>
      <c r="J236" s="21">
        <f>IF($I236&lt;&gt;"Match","",INDEX(Ventes_Encaissements!$B$6:$B$3005,_xludf.AGGREGATE(15,6,(ROW(Ventes_Encaissements!$B$6:$B$3005)-ROW(Ventes_Encaissements!$B$6)+1)/((Ventes_Encaissements!$E$6:$E$3005=$B236)*(Ventes_Encaissements!$J$6:$J$3005=$G236)*(Ventes_Encaissements!$C$6:$C$3005&gt;=$C236-3)*(Ventes_Encaissements!$C$6:$C$3005&lt;=$C236+3)),1)))</f>
        <v/>
      </c>
      <c r="K236" s="6" t="n"/>
    </row>
    <row r="237">
      <c r="A237" s="6" t="n"/>
      <c r="B237" s="6" t="n"/>
      <c r="C237" s="19" t="n"/>
      <c r="D237" s="19" t="n"/>
      <c r="E237" s="6" t="n"/>
      <c r="F237" s="20" t="n"/>
      <c r="G237" s="9">
        <f>IF($F237="","",IF($F237&gt;0,ROUND($F237,2),""))</f>
        <v/>
      </c>
      <c r="H237" s="12">
        <f>IF(OR($B237="",$C237="",$G237=""),"",COUNTIFS(Ventes_Encaissements!$E$6:$E$3005,$B237,Ventes_Encaissements!$J$6:$J$3005,$G237,Ventes_Encaissements!$C$6:$C$3005,"&gt;="&amp;($C237-3),Ventes_Encaissements!$C$6:$C$3005,"&lt;="&amp;($C237+3)))</f>
        <v/>
      </c>
      <c r="I237" s="12">
        <f>IF($H237="","",IF($H237=0,"Non trouvé",IF($H237=1,"Match","À vérifier")))</f>
        <v/>
      </c>
      <c r="J237" s="21">
        <f>IF($I237&lt;&gt;"Match","",INDEX(Ventes_Encaissements!$B$6:$B$3005,_xludf.AGGREGATE(15,6,(ROW(Ventes_Encaissements!$B$6:$B$3005)-ROW(Ventes_Encaissements!$B$6)+1)/((Ventes_Encaissements!$E$6:$E$3005=$B237)*(Ventes_Encaissements!$J$6:$J$3005=$G237)*(Ventes_Encaissements!$C$6:$C$3005&gt;=$C237-3)*(Ventes_Encaissements!$C$6:$C$3005&lt;=$C237+3)),1)))</f>
        <v/>
      </c>
      <c r="K237" s="6" t="n"/>
    </row>
    <row r="238">
      <c r="A238" s="6" t="n"/>
      <c r="B238" s="6" t="n"/>
      <c r="C238" s="19" t="n"/>
      <c r="D238" s="19" t="n"/>
      <c r="E238" s="6" t="n"/>
      <c r="F238" s="20" t="n"/>
      <c r="G238" s="9">
        <f>IF($F238="","",IF($F238&gt;0,ROUND($F238,2),""))</f>
        <v/>
      </c>
      <c r="H238" s="12">
        <f>IF(OR($B238="",$C238="",$G238=""),"",COUNTIFS(Ventes_Encaissements!$E$6:$E$3005,$B238,Ventes_Encaissements!$J$6:$J$3005,$G238,Ventes_Encaissements!$C$6:$C$3005,"&gt;="&amp;($C238-3),Ventes_Encaissements!$C$6:$C$3005,"&lt;="&amp;($C238+3)))</f>
        <v/>
      </c>
      <c r="I238" s="12">
        <f>IF($H238="","",IF($H238=0,"Non trouvé",IF($H238=1,"Match","À vérifier")))</f>
        <v/>
      </c>
      <c r="J238" s="21">
        <f>IF($I238&lt;&gt;"Match","",INDEX(Ventes_Encaissements!$B$6:$B$3005,_xludf.AGGREGATE(15,6,(ROW(Ventes_Encaissements!$B$6:$B$3005)-ROW(Ventes_Encaissements!$B$6)+1)/((Ventes_Encaissements!$E$6:$E$3005=$B238)*(Ventes_Encaissements!$J$6:$J$3005=$G238)*(Ventes_Encaissements!$C$6:$C$3005&gt;=$C238-3)*(Ventes_Encaissements!$C$6:$C$3005&lt;=$C238+3)),1)))</f>
        <v/>
      </c>
      <c r="K238" s="6" t="n"/>
    </row>
    <row r="239">
      <c r="A239" s="6" t="n"/>
      <c r="B239" s="6" t="n"/>
      <c r="C239" s="19" t="n"/>
      <c r="D239" s="19" t="n"/>
      <c r="E239" s="6" t="n"/>
      <c r="F239" s="20" t="n"/>
      <c r="G239" s="9">
        <f>IF($F239="","",IF($F239&gt;0,ROUND($F239,2),""))</f>
        <v/>
      </c>
      <c r="H239" s="12">
        <f>IF(OR($B239="",$C239="",$G239=""),"",COUNTIFS(Ventes_Encaissements!$E$6:$E$3005,$B239,Ventes_Encaissements!$J$6:$J$3005,$G239,Ventes_Encaissements!$C$6:$C$3005,"&gt;="&amp;($C239-3),Ventes_Encaissements!$C$6:$C$3005,"&lt;="&amp;($C239+3)))</f>
        <v/>
      </c>
      <c r="I239" s="12">
        <f>IF($H239="","",IF($H239=0,"Non trouvé",IF($H239=1,"Match","À vérifier")))</f>
        <v/>
      </c>
      <c r="J239" s="21">
        <f>IF($I239&lt;&gt;"Match","",INDEX(Ventes_Encaissements!$B$6:$B$3005,_xludf.AGGREGATE(15,6,(ROW(Ventes_Encaissements!$B$6:$B$3005)-ROW(Ventes_Encaissements!$B$6)+1)/((Ventes_Encaissements!$E$6:$E$3005=$B239)*(Ventes_Encaissements!$J$6:$J$3005=$G239)*(Ventes_Encaissements!$C$6:$C$3005&gt;=$C239-3)*(Ventes_Encaissements!$C$6:$C$3005&lt;=$C239+3)),1)))</f>
        <v/>
      </c>
      <c r="K239" s="6" t="n"/>
    </row>
    <row r="240">
      <c r="A240" s="6" t="n"/>
      <c r="B240" s="6" t="n"/>
      <c r="C240" s="19" t="n"/>
      <c r="D240" s="19" t="n"/>
      <c r="E240" s="6" t="n"/>
      <c r="F240" s="20" t="n"/>
      <c r="G240" s="9">
        <f>IF($F240="","",IF($F240&gt;0,ROUND($F240,2),""))</f>
        <v/>
      </c>
      <c r="H240" s="12">
        <f>IF(OR($B240="",$C240="",$G240=""),"",COUNTIFS(Ventes_Encaissements!$E$6:$E$3005,$B240,Ventes_Encaissements!$J$6:$J$3005,$G240,Ventes_Encaissements!$C$6:$C$3005,"&gt;="&amp;($C240-3),Ventes_Encaissements!$C$6:$C$3005,"&lt;="&amp;($C240+3)))</f>
        <v/>
      </c>
      <c r="I240" s="12">
        <f>IF($H240="","",IF($H240=0,"Non trouvé",IF($H240=1,"Match","À vérifier")))</f>
        <v/>
      </c>
      <c r="J240" s="21">
        <f>IF($I240&lt;&gt;"Match","",INDEX(Ventes_Encaissements!$B$6:$B$3005,_xludf.AGGREGATE(15,6,(ROW(Ventes_Encaissements!$B$6:$B$3005)-ROW(Ventes_Encaissements!$B$6)+1)/((Ventes_Encaissements!$E$6:$E$3005=$B240)*(Ventes_Encaissements!$J$6:$J$3005=$G240)*(Ventes_Encaissements!$C$6:$C$3005&gt;=$C240-3)*(Ventes_Encaissements!$C$6:$C$3005&lt;=$C240+3)),1)))</f>
        <v/>
      </c>
      <c r="K240" s="6" t="n"/>
    </row>
    <row r="241">
      <c r="A241" s="6" t="n"/>
      <c r="B241" s="6" t="n"/>
      <c r="C241" s="19" t="n"/>
      <c r="D241" s="19" t="n"/>
      <c r="E241" s="6" t="n"/>
      <c r="F241" s="20" t="n"/>
      <c r="G241" s="9">
        <f>IF($F241="","",IF($F241&gt;0,ROUND($F241,2),""))</f>
        <v/>
      </c>
      <c r="H241" s="12">
        <f>IF(OR($B241="",$C241="",$G241=""),"",COUNTIFS(Ventes_Encaissements!$E$6:$E$3005,$B241,Ventes_Encaissements!$J$6:$J$3005,$G241,Ventes_Encaissements!$C$6:$C$3005,"&gt;="&amp;($C241-3),Ventes_Encaissements!$C$6:$C$3005,"&lt;="&amp;($C241+3)))</f>
        <v/>
      </c>
      <c r="I241" s="12">
        <f>IF($H241="","",IF($H241=0,"Non trouvé",IF($H241=1,"Match","À vérifier")))</f>
        <v/>
      </c>
      <c r="J241" s="21">
        <f>IF($I241&lt;&gt;"Match","",INDEX(Ventes_Encaissements!$B$6:$B$3005,_xludf.AGGREGATE(15,6,(ROW(Ventes_Encaissements!$B$6:$B$3005)-ROW(Ventes_Encaissements!$B$6)+1)/((Ventes_Encaissements!$E$6:$E$3005=$B241)*(Ventes_Encaissements!$J$6:$J$3005=$G241)*(Ventes_Encaissements!$C$6:$C$3005&gt;=$C241-3)*(Ventes_Encaissements!$C$6:$C$3005&lt;=$C241+3)),1)))</f>
        <v/>
      </c>
      <c r="K241" s="6" t="n"/>
    </row>
    <row r="242">
      <c r="A242" s="6" t="n"/>
      <c r="B242" s="6" t="n"/>
      <c r="C242" s="19" t="n"/>
      <c r="D242" s="19" t="n"/>
      <c r="E242" s="6" t="n"/>
      <c r="F242" s="20" t="n"/>
      <c r="G242" s="9">
        <f>IF($F242="","",IF($F242&gt;0,ROUND($F242,2),""))</f>
        <v/>
      </c>
      <c r="H242" s="12">
        <f>IF(OR($B242="",$C242="",$G242=""),"",COUNTIFS(Ventes_Encaissements!$E$6:$E$3005,$B242,Ventes_Encaissements!$J$6:$J$3005,$G242,Ventes_Encaissements!$C$6:$C$3005,"&gt;="&amp;($C242-3),Ventes_Encaissements!$C$6:$C$3005,"&lt;="&amp;($C242+3)))</f>
        <v/>
      </c>
      <c r="I242" s="12">
        <f>IF($H242="","",IF($H242=0,"Non trouvé",IF($H242=1,"Match","À vérifier")))</f>
        <v/>
      </c>
      <c r="J242" s="21">
        <f>IF($I242&lt;&gt;"Match","",INDEX(Ventes_Encaissements!$B$6:$B$3005,_xludf.AGGREGATE(15,6,(ROW(Ventes_Encaissements!$B$6:$B$3005)-ROW(Ventes_Encaissements!$B$6)+1)/((Ventes_Encaissements!$E$6:$E$3005=$B242)*(Ventes_Encaissements!$J$6:$J$3005=$G242)*(Ventes_Encaissements!$C$6:$C$3005&gt;=$C242-3)*(Ventes_Encaissements!$C$6:$C$3005&lt;=$C242+3)),1)))</f>
        <v/>
      </c>
      <c r="K242" s="6" t="n"/>
    </row>
    <row r="243">
      <c r="A243" s="6" t="n"/>
      <c r="B243" s="6" t="n"/>
      <c r="C243" s="19" t="n"/>
      <c r="D243" s="19" t="n"/>
      <c r="E243" s="6" t="n"/>
      <c r="F243" s="20" t="n"/>
      <c r="G243" s="9">
        <f>IF($F243="","",IF($F243&gt;0,ROUND($F243,2),""))</f>
        <v/>
      </c>
      <c r="H243" s="12">
        <f>IF(OR($B243="",$C243="",$G243=""),"",COUNTIFS(Ventes_Encaissements!$E$6:$E$3005,$B243,Ventes_Encaissements!$J$6:$J$3005,$G243,Ventes_Encaissements!$C$6:$C$3005,"&gt;="&amp;($C243-3),Ventes_Encaissements!$C$6:$C$3005,"&lt;="&amp;($C243+3)))</f>
        <v/>
      </c>
      <c r="I243" s="12">
        <f>IF($H243="","",IF($H243=0,"Non trouvé",IF($H243=1,"Match","À vérifier")))</f>
        <v/>
      </c>
      <c r="J243" s="21">
        <f>IF($I243&lt;&gt;"Match","",INDEX(Ventes_Encaissements!$B$6:$B$3005,_xludf.AGGREGATE(15,6,(ROW(Ventes_Encaissements!$B$6:$B$3005)-ROW(Ventes_Encaissements!$B$6)+1)/((Ventes_Encaissements!$E$6:$E$3005=$B243)*(Ventes_Encaissements!$J$6:$J$3005=$G243)*(Ventes_Encaissements!$C$6:$C$3005&gt;=$C243-3)*(Ventes_Encaissements!$C$6:$C$3005&lt;=$C243+3)),1)))</f>
        <v/>
      </c>
      <c r="K243" s="6" t="n"/>
    </row>
    <row r="244">
      <c r="A244" s="6" t="n"/>
      <c r="B244" s="6" t="n"/>
      <c r="C244" s="19" t="n"/>
      <c r="D244" s="19" t="n"/>
      <c r="E244" s="6" t="n"/>
      <c r="F244" s="20" t="n"/>
      <c r="G244" s="9">
        <f>IF($F244="","",IF($F244&gt;0,ROUND($F244,2),""))</f>
        <v/>
      </c>
      <c r="H244" s="12">
        <f>IF(OR($B244="",$C244="",$G244=""),"",COUNTIFS(Ventes_Encaissements!$E$6:$E$3005,$B244,Ventes_Encaissements!$J$6:$J$3005,$G244,Ventes_Encaissements!$C$6:$C$3005,"&gt;="&amp;($C244-3),Ventes_Encaissements!$C$6:$C$3005,"&lt;="&amp;($C244+3)))</f>
        <v/>
      </c>
      <c r="I244" s="12">
        <f>IF($H244="","",IF($H244=0,"Non trouvé",IF($H244=1,"Match","À vérifier")))</f>
        <v/>
      </c>
      <c r="J244" s="21">
        <f>IF($I244&lt;&gt;"Match","",INDEX(Ventes_Encaissements!$B$6:$B$3005,_xludf.AGGREGATE(15,6,(ROW(Ventes_Encaissements!$B$6:$B$3005)-ROW(Ventes_Encaissements!$B$6)+1)/((Ventes_Encaissements!$E$6:$E$3005=$B244)*(Ventes_Encaissements!$J$6:$J$3005=$G244)*(Ventes_Encaissements!$C$6:$C$3005&gt;=$C244-3)*(Ventes_Encaissements!$C$6:$C$3005&lt;=$C244+3)),1)))</f>
        <v/>
      </c>
      <c r="K244" s="6" t="n"/>
    </row>
    <row r="245">
      <c r="A245" s="6" t="n"/>
      <c r="B245" s="6" t="n"/>
      <c r="C245" s="19" t="n"/>
      <c r="D245" s="19" t="n"/>
      <c r="E245" s="6" t="n"/>
      <c r="F245" s="20" t="n"/>
      <c r="G245" s="9">
        <f>IF($F245="","",IF($F245&gt;0,ROUND($F245,2),""))</f>
        <v/>
      </c>
      <c r="H245" s="12">
        <f>IF(OR($B245="",$C245="",$G245=""),"",COUNTIFS(Ventes_Encaissements!$E$6:$E$3005,$B245,Ventes_Encaissements!$J$6:$J$3005,$G245,Ventes_Encaissements!$C$6:$C$3005,"&gt;="&amp;($C245-3),Ventes_Encaissements!$C$6:$C$3005,"&lt;="&amp;($C245+3)))</f>
        <v/>
      </c>
      <c r="I245" s="12">
        <f>IF($H245="","",IF($H245=0,"Non trouvé",IF($H245=1,"Match","À vérifier")))</f>
        <v/>
      </c>
      <c r="J245" s="21">
        <f>IF($I245&lt;&gt;"Match","",INDEX(Ventes_Encaissements!$B$6:$B$3005,_xludf.AGGREGATE(15,6,(ROW(Ventes_Encaissements!$B$6:$B$3005)-ROW(Ventes_Encaissements!$B$6)+1)/((Ventes_Encaissements!$E$6:$E$3005=$B245)*(Ventes_Encaissements!$J$6:$J$3005=$G245)*(Ventes_Encaissements!$C$6:$C$3005&gt;=$C245-3)*(Ventes_Encaissements!$C$6:$C$3005&lt;=$C245+3)),1)))</f>
        <v/>
      </c>
      <c r="K245" s="6" t="n"/>
    </row>
    <row r="246">
      <c r="A246" s="6" t="n"/>
      <c r="B246" s="6" t="n"/>
      <c r="C246" s="19" t="n"/>
      <c r="D246" s="19" t="n"/>
      <c r="E246" s="6" t="n"/>
      <c r="F246" s="20" t="n"/>
      <c r="G246" s="9">
        <f>IF($F246="","",IF($F246&gt;0,ROUND($F246,2),""))</f>
        <v/>
      </c>
      <c r="H246" s="12">
        <f>IF(OR($B246="",$C246="",$G246=""),"",COUNTIFS(Ventes_Encaissements!$E$6:$E$3005,$B246,Ventes_Encaissements!$J$6:$J$3005,$G246,Ventes_Encaissements!$C$6:$C$3005,"&gt;="&amp;($C246-3),Ventes_Encaissements!$C$6:$C$3005,"&lt;="&amp;($C246+3)))</f>
        <v/>
      </c>
      <c r="I246" s="12">
        <f>IF($H246="","",IF($H246=0,"Non trouvé",IF($H246=1,"Match","À vérifier")))</f>
        <v/>
      </c>
      <c r="J246" s="21">
        <f>IF($I246&lt;&gt;"Match","",INDEX(Ventes_Encaissements!$B$6:$B$3005,_xludf.AGGREGATE(15,6,(ROW(Ventes_Encaissements!$B$6:$B$3005)-ROW(Ventes_Encaissements!$B$6)+1)/((Ventes_Encaissements!$E$6:$E$3005=$B246)*(Ventes_Encaissements!$J$6:$J$3005=$G246)*(Ventes_Encaissements!$C$6:$C$3005&gt;=$C246-3)*(Ventes_Encaissements!$C$6:$C$3005&lt;=$C246+3)),1)))</f>
        <v/>
      </c>
      <c r="K246" s="6" t="n"/>
    </row>
    <row r="247">
      <c r="A247" s="6" t="n"/>
      <c r="B247" s="6" t="n"/>
      <c r="C247" s="19" t="n"/>
      <c r="D247" s="19" t="n"/>
      <c r="E247" s="6" t="n"/>
      <c r="F247" s="20" t="n"/>
      <c r="G247" s="9">
        <f>IF($F247="","",IF($F247&gt;0,ROUND($F247,2),""))</f>
        <v/>
      </c>
      <c r="H247" s="12">
        <f>IF(OR($B247="",$C247="",$G247=""),"",COUNTIFS(Ventes_Encaissements!$E$6:$E$3005,$B247,Ventes_Encaissements!$J$6:$J$3005,$G247,Ventes_Encaissements!$C$6:$C$3005,"&gt;="&amp;($C247-3),Ventes_Encaissements!$C$6:$C$3005,"&lt;="&amp;($C247+3)))</f>
        <v/>
      </c>
      <c r="I247" s="12">
        <f>IF($H247="","",IF($H247=0,"Non trouvé",IF($H247=1,"Match","À vérifier")))</f>
        <v/>
      </c>
      <c r="J247" s="21">
        <f>IF($I247&lt;&gt;"Match","",INDEX(Ventes_Encaissements!$B$6:$B$3005,_xludf.AGGREGATE(15,6,(ROW(Ventes_Encaissements!$B$6:$B$3005)-ROW(Ventes_Encaissements!$B$6)+1)/((Ventes_Encaissements!$E$6:$E$3005=$B247)*(Ventes_Encaissements!$J$6:$J$3005=$G247)*(Ventes_Encaissements!$C$6:$C$3005&gt;=$C247-3)*(Ventes_Encaissements!$C$6:$C$3005&lt;=$C247+3)),1)))</f>
        <v/>
      </c>
      <c r="K247" s="6" t="n"/>
    </row>
    <row r="248">
      <c r="A248" s="6" t="n"/>
      <c r="B248" s="6" t="n"/>
      <c r="C248" s="19" t="n"/>
      <c r="D248" s="19" t="n"/>
      <c r="E248" s="6" t="n"/>
      <c r="F248" s="20" t="n"/>
      <c r="G248" s="9">
        <f>IF($F248="","",IF($F248&gt;0,ROUND($F248,2),""))</f>
        <v/>
      </c>
      <c r="H248" s="12">
        <f>IF(OR($B248="",$C248="",$G248=""),"",COUNTIFS(Ventes_Encaissements!$E$6:$E$3005,$B248,Ventes_Encaissements!$J$6:$J$3005,$G248,Ventes_Encaissements!$C$6:$C$3005,"&gt;="&amp;($C248-3),Ventes_Encaissements!$C$6:$C$3005,"&lt;="&amp;($C248+3)))</f>
        <v/>
      </c>
      <c r="I248" s="12">
        <f>IF($H248="","",IF($H248=0,"Non trouvé",IF($H248=1,"Match","À vérifier")))</f>
        <v/>
      </c>
      <c r="J248" s="21">
        <f>IF($I248&lt;&gt;"Match","",INDEX(Ventes_Encaissements!$B$6:$B$3005,_xludf.AGGREGATE(15,6,(ROW(Ventes_Encaissements!$B$6:$B$3005)-ROW(Ventes_Encaissements!$B$6)+1)/((Ventes_Encaissements!$E$6:$E$3005=$B248)*(Ventes_Encaissements!$J$6:$J$3005=$G248)*(Ventes_Encaissements!$C$6:$C$3005&gt;=$C248-3)*(Ventes_Encaissements!$C$6:$C$3005&lt;=$C248+3)),1)))</f>
        <v/>
      </c>
      <c r="K248" s="6" t="n"/>
    </row>
    <row r="249">
      <c r="A249" s="6" t="n"/>
      <c r="B249" s="6" t="n"/>
      <c r="C249" s="19" t="n"/>
      <c r="D249" s="19" t="n"/>
      <c r="E249" s="6" t="n"/>
      <c r="F249" s="20" t="n"/>
      <c r="G249" s="9">
        <f>IF($F249="","",IF($F249&gt;0,ROUND($F249,2),""))</f>
        <v/>
      </c>
      <c r="H249" s="12">
        <f>IF(OR($B249="",$C249="",$G249=""),"",COUNTIFS(Ventes_Encaissements!$E$6:$E$3005,$B249,Ventes_Encaissements!$J$6:$J$3005,$G249,Ventes_Encaissements!$C$6:$C$3005,"&gt;="&amp;($C249-3),Ventes_Encaissements!$C$6:$C$3005,"&lt;="&amp;($C249+3)))</f>
        <v/>
      </c>
      <c r="I249" s="12">
        <f>IF($H249="","",IF($H249=0,"Non trouvé",IF($H249=1,"Match","À vérifier")))</f>
        <v/>
      </c>
      <c r="J249" s="21">
        <f>IF($I249&lt;&gt;"Match","",INDEX(Ventes_Encaissements!$B$6:$B$3005,_xludf.AGGREGATE(15,6,(ROW(Ventes_Encaissements!$B$6:$B$3005)-ROW(Ventes_Encaissements!$B$6)+1)/((Ventes_Encaissements!$E$6:$E$3005=$B249)*(Ventes_Encaissements!$J$6:$J$3005=$G249)*(Ventes_Encaissements!$C$6:$C$3005&gt;=$C249-3)*(Ventes_Encaissements!$C$6:$C$3005&lt;=$C249+3)),1)))</f>
        <v/>
      </c>
      <c r="K249" s="6" t="n"/>
    </row>
    <row r="250">
      <c r="A250" s="6" t="n"/>
      <c r="B250" s="6" t="n"/>
      <c r="C250" s="19" t="n"/>
      <c r="D250" s="19" t="n"/>
      <c r="E250" s="6" t="n"/>
      <c r="F250" s="20" t="n"/>
      <c r="G250" s="9">
        <f>IF($F250="","",IF($F250&gt;0,ROUND($F250,2),""))</f>
        <v/>
      </c>
      <c r="H250" s="12">
        <f>IF(OR($B250="",$C250="",$G250=""),"",COUNTIFS(Ventes_Encaissements!$E$6:$E$3005,$B250,Ventes_Encaissements!$J$6:$J$3005,$G250,Ventes_Encaissements!$C$6:$C$3005,"&gt;="&amp;($C250-3),Ventes_Encaissements!$C$6:$C$3005,"&lt;="&amp;($C250+3)))</f>
        <v/>
      </c>
      <c r="I250" s="12">
        <f>IF($H250="","",IF($H250=0,"Non trouvé",IF($H250=1,"Match","À vérifier")))</f>
        <v/>
      </c>
      <c r="J250" s="21">
        <f>IF($I250&lt;&gt;"Match","",INDEX(Ventes_Encaissements!$B$6:$B$3005,_xludf.AGGREGATE(15,6,(ROW(Ventes_Encaissements!$B$6:$B$3005)-ROW(Ventes_Encaissements!$B$6)+1)/((Ventes_Encaissements!$E$6:$E$3005=$B250)*(Ventes_Encaissements!$J$6:$J$3005=$G250)*(Ventes_Encaissements!$C$6:$C$3005&gt;=$C250-3)*(Ventes_Encaissements!$C$6:$C$3005&lt;=$C250+3)),1)))</f>
        <v/>
      </c>
      <c r="K250" s="6" t="n"/>
    </row>
    <row r="251">
      <c r="A251" s="6" t="n"/>
      <c r="B251" s="6" t="n"/>
      <c r="C251" s="19" t="n"/>
      <c r="D251" s="19" t="n"/>
      <c r="E251" s="6" t="n"/>
      <c r="F251" s="20" t="n"/>
      <c r="G251" s="9">
        <f>IF($F251="","",IF($F251&gt;0,ROUND($F251,2),""))</f>
        <v/>
      </c>
      <c r="H251" s="12">
        <f>IF(OR($B251="",$C251="",$G251=""),"",COUNTIFS(Ventes_Encaissements!$E$6:$E$3005,$B251,Ventes_Encaissements!$J$6:$J$3005,$G251,Ventes_Encaissements!$C$6:$C$3005,"&gt;="&amp;($C251-3),Ventes_Encaissements!$C$6:$C$3005,"&lt;="&amp;($C251+3)))</f>
        <v/>
      </c>
      <c r="I251" s="12">
        <f>IF($H251="","",IF($H251=0,"Non trouvé",IF($H251=1,"Match","À vérifier")))</f>
        <v/>
      </c>
      <c r="J251" s="21">
        <f>IF($I251&lt;&gt;"Match","",INDEX(Ventes_Encaissements!$B$6:$B$3005,_xludf.AGGREGATE(15,6,(ROW(Ventes_Encaissements!$B$6:$B$3005)-ROW(Ventes_Encaissements!$B$6)+1)/((Ventes_Encaissements!$E$6:$E$3005=$B251)*(Ventes_Encaissements!$J$6:$J$3005=$G251)*(Ventes_Encaissements!$C$6:$C$3005&gt;=$C251-3)*(Ventes_Encaissements!$C$6:$C$3005&lt;=$C251+3)),1)))</f>
        <v/>
      </c>
      <c r="K251" s="6" t="n"/>
    </row>
    <row r="252">
      <c r="A252" s="6" t="n"/>
      <c r="B252" s="6" t="n"/>
      <c r="C252" s="19" t="n"/>
      <c r="D252" s="19" t="n"/>
      <c r="E252" s="6" t="n"/>
      <c r="F252" s="20" t="n"/>
      <c r="G252" s="9">
        <f>IF($F252="","",IF($F252&gt;0,ROUND($F252,2),""))</f>
        <v/>
      </c>
      <c r="H252" s="12">
        <f>IF(OR($B252="",$C252="",$G252=""),"",COUNTIFS(Ventes_Encaissements!$E$6:$E$3005,$B252,Ventes_Encaissements!$J$6:$J$3005,$G252,Ventes_Encaissements!$C$6:$C$3005,"&gt;="&amp;($C252-3),Ventes_Encaissements!$C$6:$C$3005,"&lt;="&amp;($C252+3)))</f>
        <v/>
      </c>
      <c r="I252" s="12">
        <f>IF($H252="","",IF($H252=0,"Non trouvé",IF($H252=1,"Match","À vérifier")))</f>
        <v/>
      </c>
      <c r="J252" s="21">
        <f>IF($I252&lt;&gt;"Match","",INDEX(Ventes_Encaissements!$B$6:$B$3005,_xludf.AGGREGATE(15,6,(ROW(Ventes_Encaissements!$B$6:$B$3005)-ROW(Ventes_Encaissements!$B$6)+1)/((Ventes_Encaissements!$E$6:$E$3005=$B252)*(Ventes_Encaissements!$J$6:$J$3005=$G252)*(Ventes_Encaissements!$C$6:$C$3005&gt;=$C252-3)*(Ventes_Encaissements!$C$6:$C$3005&lt;=$C252+3)),1)))</f>
        <v/>
      </c>
      <c r="K252" s="6" t="n"/>
    </row>
    <row r="253">
      <c r="A253" s="6" t="n"/>
      <c r="B253" s="6" t="n"/>
      <c r="C253" s="19" t="n"/>
      <c r="D253" s="19" t="n"/>
      <c r="E253" s="6" t="n"/>
      <c r="F253" s="20" t="n"/>
      <c r="G253" s="9">
        <f>IF($F253="","",IF($F253&gt;0,ROUND($F253,2),""))</f>
        <v/>
      </c>
      <c r="H253" s="12">
        <f>IF(OR($B253="",$C253="",$G253=""),"",COUNTIFS(Ventes_Encaissements!$E$6:$E$3005,$B253,Ventes_Encaissements!$J$6:$J$3005,$G253,Ventes_Encaissements!$C$6:$C$3005,"&gt;="&amp;($C253-3),Ventes_Encaissements!$C$6:$C$3005,"&lt;="&amp;($C253+3)))</f>
        <v/>
      </c>
      <c r="I253" s="12">
        <f>IF($H253="","",IF($H253=0,"Non trouvé",IF($H253=1,"Match","À vérifier")))</f>
        <v/>
      </c>
      <c r="J253" s="21">
        <f>IF($I253&lt;&gt;"Match","",INDEX(Ventes_Encaissements!$B$6:$B$3005,_xludf.AGGREGATE(15,6,(ROW(Ventes_Encaissements!$B$6:$B$3005)-ROW(Ventes_Encaissements!$B$6)+1)/((Ventes_Encaissements!$E$6:$E$3005=$B253)*(Ventes_Encaissements!$J$6:$J$3005=$G253)*(Ventes_Encaissements!$C$6:$C$3005&gt;=$C253-3)*(Ventes_Encaissements!$C$6:$C$3005&lt;=$C253+3)),1)))</f>
        <v/>
      </c>
      <c r="K253" s="6" t="n"/>
    </row>
    <row r="254">
      <c r="A254" s="6" t="n"/>
      <c r="B254" s="6" t="n"/>
      <c r="C254" s="19" t="n"/>
      <c r="D254" s="19" t="n"/>
      <c r="E254" s="6" t="n"/>
      <c r="F254" s="20" t="n"/>
      <c r="G254" s="9">
        <f>IF($F254="","",IF($F254&gt;0,ROUND($F254,2),""))</f>
        <v/>
      </c>
      <c r="H254" s="12">
        <f>IF(OR($B254="",$C254="",$G254=""),"",COUNTIFS(Ventes_Encaissements!$E$6:$E$3005,$B254,Ventes_Encaissements!$J$6:$J$3005,$G254,Ventes_Encaissements!$C$6:$C$3005,"&gt;="&amp;($C254-3),Ventes_Encaissements!$C$6:$C$3005,"&lt;="&amp;($C254+3)))</f>
        <v/>
      </c>
      <c r="I254" s="12">
        <f>IF($H254="","",IF($H254=0,"Non trouvé",IF($H254=1,"Match","À vérifier")))</f>
        <v/>
      </c>
      <c r="J254" s="21">
        <f>IF($I254&lt;&gt;"Match","",INDEX(Ventes_Encaissements!$B$6:$B$3005,_xludf.AGGREGATE(15,6,(ROW(Ventes_Encaissements!$B$6:$B$3005)-ROW(Ventes_Encaissements!$B$6)+1)/((Ventes_Encaissements!$E$6:$E$3005=$B254)*(Ventes_Encaissements!$J$6:$J$3005=$G254)*(Ventes_Encaissements!$C$6:$C$3005&gt;=$C254-3)*(Ventes_Encaissements!$C$6:$C$3005&lt;=$C254+3)),1)))</f>
        <v/>
      </c>
      <c r="K254" s="6" t="n"/>
    </row>
    <row r="255">
      <c r="A255" s="6" t="n"/>
      <c r="B255" s="6" t="n"/>
      <c r="C255" s="19" t="n"/>
      <c r="D255" s="19" t="n"/>
      <c r="E255" s="6" t="n"/>
      <c r="F255" s="20" t="n"/>
      <c r="G255" s="9">
        <f>IF($F255="","",IF($F255&gt;0,ROUND($F255,2),""))</f>
        <v/>
      </c>
      <c r="H255" s="12">
        <f>IF(OR($B255="",$C255="",$G255=""),"",COUNTIFS(Ventes_Encaissements!$E$6:$E$3005,$B255,Ventes_Encaissements!$J$6:$J$3005,$G255,Ventes_Encaissements!$C$6:$C$3005,"&gt;="&amp;($C255-3),Ventes_Encaissements!$C$6:$C$3005,"&lt;="&amp;($C255+3)))</f>
        <v/>
      </c>
      <c r="I255" s="12">
        <f>IF($H255="","",IF($H255=0,"Non trouvé",IF($H255=1,"Match","À vérifier")))</f>
        <v/>
      </c>
      <c r="J255" s="21">
        <f>IF($I255&lt;&gt;"Match","",INDEX(Ventes_Encaissements!$B$6:$B$3005,_xludf.AGGREGATE(15,6,(ROW(Ventes_Encaissements!$B$6:$B$3005)-ROW(Ventes_Encaissements!$B$6)+1)/((Ventes_Encaissements!$E$6:$E$3005=$B255)*(Ventes_Encaissements!$J$6:$J$3005=$G255)*(Ventes_Encaissements!$C$6:$C$3005&gt;=$C255-3)*(Ventes_Encaissements!$C$6:$C$3005&lt;=$C255+3)),1)))</f>
        <v/>
      </c>
      <c r="K255" s="6" t="n"/>
    </row>
    <row r="256">
      <c r="A256" s="6" t="n"/>
      <c r="B256" s="6" t="n"/>
      <c r="C256" s="19" t="n"/>
      <c r="D256" s="19" t="n"/>
      <c r="E256" s="6" t="n"/>
      <c r="F256" s="20" t="n"/>
      <c r="G256" s="9">
        <f>IF($F256="","",IF($F256&gt;0,ROUND($F256,2),""))</f>
        <v/>
      </c>
      <c r="H256" s="12">
        <f>IF(OR($B256="",$C256="",$G256=""),"",COUNTIFS(Ventes_Encaissements!$E$6:$E$3005,$B256,Ventes_Encaissements!$J$6:$J$3005,$G256,Ventes_Encaissements!$C$6:$C$3005,"&gt;="&amp;($C256-3),Ventes_Encaissements!$C$6:$C$3005,"&lt;="&amp;($C256+3)))</f>
        <v/>
      </c>
      <c r="I256" s="12">
        <f>IF($H256="","",IF($H256=0,"Non trouvé",IF($H256=1,"Match","À vérifier")))</f>
        <v/>
      </c>
      <c r="J256" s="21">
        <f>IF($I256&lt;&gt;"Match","",INDEX(Ventes_Encaissements!$B$6:$B$3005,_xludf.AGGREGATE(15,6,(ROW(Ventes_Encaissements!$B$6:$B$3005)-ROW(Ventes_Encaissements!$B$6)+1)/((Ventes_Encaissements!$E$6:$E$3005=$B256)*(Ventes_Encaissements!$J$6:$J$3005=$G256)*(Ventes_Encaissements!$C$6:$C$3005&gt;=$C256-3)*(Ventes_Encaissements!$C$6:$C$3005&lt;=$C256+3)),1)))</f>
        <v/>
      </c>
      <c r="K256" s="6" t="n"/>
    </row>
    <row r="257">
      <c r="A257" s="6" t="n"/>
      <c r="B257" s="6" t="n"/>
      <c r="C257" s="19" t="n"/>
      <c r="D257" s="19" t="n"/>
      <c r="E257" s="6" t="n"/>
      <c r="F257" s="20" t="n"/>
      <c r="G257" s="9">
        <f>IF($F257="","",IF($F257&gt;0,ROUND($F257,2),""))</f>
        <v/>
      </c>
      <c r="H257" s="12">
        <f>IF(OR($B257="",$C257="",$G257=""),"",COUNTIFS(Ventes_Encaissements!$E$6:$E$3005,$B257,Ventes_Encaissements!$J$6:$J$3005,$G257,Ventes_Encaissements!$C$6:$C$3005,"&gt;="&amp;($C257-3),Ventes_Encaissements!$C$6:$C$3005,"&lt;="&amp;($C257+3)))</f>
        <v/>
      </c>
      <c r="I257" s="12">
        <f>IF($H257="","",IF($H257=0,"Non trouvé",IF($H257=1,"Match","À vérifier")))</f>
        <v/>
      </c>
      <c r="J257" s="21">
        <f>IF($I257&lt;&gt;"Match","",INDEX(Ventes_Encaissements!$B$6:$B$3005,_xludf.AGGREGATE(15,6,(ROW(Ventes_Encaissements!$B$6:$B$3005)-ROW(Ventes_Encaissements!$B$6)+1)/((Ventes_Encaissements!$E$6:$E$3005=$B257)*(Ventes_Encaissements!$J$6:$J$3005=$G257)*(Ventes_Encaissements!$C$6:$C$3005&gt;=$C257-3)*(Ventes_Encaissements!$C$6:$C$3005&lt;=$C257+3)),1)))</f>
        <v/>
      </c>
      <c r="K257" s="6" t="n"/>
    </row>
    <row r="258">
      <c r="A258" s="6" t="n"/>
      <c r="B258" s="6" t="n"/>
      <c r="C258" s="19" t="n"/>
      <c r="D258" s="19" t="n"/>
      <c r="E258" s="6" t="n"/>
      <c r="F258" s="20" t="n"/>
      <c r="G258" s="9">
        <f>IF($F258="","",IF($F258&gt;0,ROUND($F258,2),""))</f>
        <v/>
      </c>
      <c r="H258" s="12">
        <f>IF(OR($B258="",$C258="",$G258=""),"",COUNTIFS(Ventes_Encaissements!$E$6:$E$3005,$B258,Ventes_Encaissements!$J$6:$J$3005,$G258,Ventes_Encaissements!$C$6:$C$3005,"&gt;="&amp;($C258-3),Ventes_Encaissements!$C$6:$C$3005,"&lt;="&amp;($C258+3)))</f>
        <v/>
      </c>
      <c r="I258" s="12">
        <f>IF($H258="","",IF($H258=0,"Non trouvé",IF($H258=1,"Match","À vérifier")))</f>
        <v/>
      </c>
      <c r="J258" s="21">
        <f>IF($I258&lt;&gt;"Match","",INDEX(Ventes_Encaissements!$B$6:$B$3005,_xludf.AGGREGATE(15,6,(ROW(Ventes_Encaissements!$B$6:$B$3005)-ROW(Ventes_Encaissements!$B$6)+1)/((Ventes_Encaissements!$E$6:$E$3005=$B258)*(Ventes_Encaissements!$J$6:$J$3005=$G258)*(Ventes_Encaissements!$C$6:$C$3005&gt;=$C258-3)*(Ventes_Encaissements!$C$6:$C$3005&lt;=$C258+3)),1)))</f>
        <v/>
      </c>
      <c r="K258" s="6" t="n"/>
    </row>
    <row r="259">
      <c r="A259" s="6" t="n"/>
      <c r="B259" s="6" t="n"/>
      <c r="C259" s="19" t="n"/>
      <c r="D259" s="19" t="n"/>
      <c r="E259" s="6" t="n"/>
      <c r="F259" s="20" t="n"/>
      <c r="G259" s="9">
        <f>IF($F259="","",IF($F259&gt;0,ROUND($F259,2),""))</f>
        <v/>
      </c>
      <c r="H259" s="12">
        <f>IF(OR($B259="",$C259="",$G259=""),"",COUNTIFS(Ventes_Encaissements!$E$6:$E$3005,$B259,Ventes_Encaissements!$J$6:$J$3005,$G259,Ventes_Encaissements!$C$6:$C$3005,"&gt;="&amp;($C259-3),Ventes_Encaissements!$C$6:$C$3005,"&lt;="&amp;($C259+3)))</f>
        <v/>
      </c>
      <c r="I259" s="12">
        <f>IF($H259="","",IF($H259=0,"Non trouvé",IF($H259=1,"Match","À vérifier")))</f>
        <v/>
      </c>
      <c r="J259" s="21">
        <f>IF($I259&lt;&gt;"Match","",INDEX(Ventes_Encaissements!$B$6:$B$3005,_xludf.AGGREGATE(15,6,(ROW(Ventes_Encaissements!$B$6:$B$3005)-ROW(Ventes_Encaissements!$B$6)+1)/((Ventes_Encaissements!$E$6:$E$3005=$B259)*(Ventes_Encaissements!$J$6:$J$3005=$G259)*(Ventes_Encaissements!$C$6:$C$3005&gt;=$C259-3)*(Ventes_Encaissements!$C$6:$C$3005&lt;=$C259+3)),1)))</f>
        <v/>
      </c>
      <c r="K259" s="6" t="n"/>
    </row>
    <row r="260">
      <c r="A260" s="6" t="n"/>
      <c r="B260" s="6" t="n"/>
      <c r="C260" s="19" t="n"/>
      <c r="D260" s="19" t="n"/>
      <c r="E260" s="6" t="n"/>
      <c r="F260" s="20" t="n"/>
      <c r="G260" s="9">
        <f>IF($F260="","",IF($F260&gt;0,ROUND($F260,2),""))</f>
        <v/>
      </c>
      <c r="H260" s="12">
        <f>IF(OR($B260="",$C260="",$G260=""),"",COUNTIFS(Ventes_Encaissements!$E$6:$E$3005,$B260,Ventes_Encaissements!$J$6:$J$3005,$G260,Ventes_Encaissements!$C$6:$C$3005,"&gt;="&amp;($C260-3),Ventes_Encaissements!$C$6:$C$3005,"&lt;="&amp;($C260+3)))</f>
        <v/>
      </c>
      <c r="I260" s="12">
        <f>IF($H260="","",IF($H260=0,"Non trouvé",IF($H260=1,"Match","À vérifier")))</f>
        <v/>
      </c>
      <c r="J260" s="21">
        <f>IF($I260&lt;&gt;"Match","",INDEX(Ventes_Encaissements!$B$6:$B$3005,_xludf.AGGREGATE(15,6,(ROW(Ventes_Encaissements!$B$6:$B$3005)-ROW(Ventes_Encaissements!$B$6)+1)/((Ventes_Encaissements!$E$6:$E$3005=$B260)*(Ventes_Encaissements!$J$6:$J$3005=$G260)*(Ventes_Encaissements!$C$6:$C$3005&gt;=$C260-3)*(Ventes_Encaissements!$C$6:$C$3005&lt;=$C260+3)),1)))</f>
        <v/>
      </c>
      <c r="K260" s="6" t="n"/>
    </row>
    <row r="261">
      <c r="A261" s="6" t="n"/>
      <c r="B261" s="6" t="n"/>
      <c r="C261" s="19" t="n"/>
      <c r="D261" s="19" t="n"/>
      <c r="E261" s="6" t="n"/>
      <c r="F261" s="20" t="n"/>
      <c r="G261" s="9">
        <f>IF($F261="","",IF($F261&gt;0,ROUND($F261,2),""))</f>
        <v/>
      </c>
      <c r="H261" s="12">
        <f>IF(OR($B261="",$C261="",$G261=""),"",COUNTIFS(Ventes_Encaissements!$E$6:$E$3005,$B261,Ventes_Encaissements!$J$6:$J$3005,$G261,Ventes_Encaissements!$C$6:$C$3005,"&gt;="&amp;($C261-3),Ventes_Encaissements!$C$6:$C$3005,"&lt;="&amp;($C261+3)))</f>
        <v/>
      </c>
      <c r="I261" s="12">
        <f>IF($H261="","",IF($H261=0,"Non trouvé",IF($H261=1,"Match","À vérifier")))</f>
        <v/>
      </c>
      <c r="J261" s="21">
        <f>IF($I261&lt;&gt;"Match","",INDEX(Ventes_Encaissements!$B$6:$B$3005,_xludf.AGGREGATE(15,6,(ROW(Ventes_Encaissements!$B$6:$B$3005)-ROW(Ventes_Encaissements!$B$6)+1)/((Ventes_Encaissements!$E$6:$E$3005=$B261)*(Ventes_Encaissements!$J$6:$J$3005=$G261)*(Ventes_Encaissements!$C$6:$C$3005&gt;=$C261-3)*(Ventes_Encaissements!$C$6:$C$3005&lt;=$C261+3)),1)))</f>
        <v/>
      </c>
      <c r="K261" s="6" t="n"/>
    </row>
    <row r="262">
      <c r="A262" s="6" t="n"/>
      <c r="B262" s="6" t="n"/>
      <c r="C262" s="19" t="n"/>
      <c r="D262" s="19" t="n"/>
      <c r="E262" s="6" t="n"/>
      <c r="F262" s="20" t="n"/>
      <c r="G262" s="9">
        <f>IF($F262="","",IF($F262&gt;0,ROUND($F262,2),""))</f>
        <v/>
      </c>
      <c r="H262" s="12">
        <f>IF(OR($B262="",$C262="",$G262=""),"",COUNTIFS(Ventes_Encaissements!$E$6:$E$3005,$B262,Ventes_Encaissements!$J$6:$J$3005,$G262,Ventes_Encaissements!$C$6:$C$3005,"&gt;="&amp;($C262-3),Ventes_Encaissements!$C$6:$C$3005,"&lt;="&amp;($C262+3)))</f>
        <v/>
      </c>
      <c r="I262" s="12">
        <f>IF($H262="","",IF($H262=0,"Non trouvé",IF($H262=1,"Match","À vérifier")))</f>
        <v/>
      </c>
      <c r="J262" s="21">
        <f>IF($I262&lt;&gt;"Match","",INDEX(Ventes_Encaissements!$B$6:$B$3005,_xludf.AGGREGATE(15,6,(ROW(Ventes_Encaissements!$B$6:$B$3005)-ROW(Ventes_Encaissements!$B$6)+1)/((Ventes_Encaissements!$E$6:$E$3005=$B262)*(Ventes_Encaissements!$J$6:$J$3005=$G262)*(Ventes_Encaissements!$C$6:$C$3005&gt;=$C262-3)*(Ventes_Encaissements!$C$6:$C$3005&lt;=$C262+3)),1)))</f>
        <v/>
      </c>
      <c r="K262" s="6" t="n"/>
    </row>
    <row r="263">
      <c r="A263" s="6" t="n"/>
      <c r="B263" s="6" t="n"/>
      <c r="C263" s="19" t="n"/>
      <c r="D263" s="19" t="n"/>
      <c r="E263" s="6" t="n"/>
      <c r="F263" s="20" t="n"/>
      <c r="G263" s="9">
        <f>IF($F263="","",IF($F263&gt;0,ROUND($F263,2),""))</f>
        <v/>
      </c>
      <c r="H263" s="12">
        <f>IF(OR($B263="",$C263="",$G263=""),"",COUNTIFS(Ventes_Encaissements!$E$6:$E$3005,$B263,Ventes_Encaissements!$J$6:$J$3005,$G263,Ventes_Encaissements!$C$6:$C$3005,"&gt;="&amp;($C263-3),Ventes_Encaissements!$C$6:$C$3005,"&lt;="&amp;($C263+3)))</f>
        <v/>
      </c>
      <c r="I263" s="12">
        <f>IF($H263="","",IF($H263=0,"Non trouvé",IF($H263=1,"Match","À vérifier")))</f>
        <v/>
      </c>
      <c r="J263" s="21">
        <f>IF($I263&lt;&gt;"Match","",INDEX(Ventes_Encaissements!$B$6:$B$3005,_xludf.AGGREGATE(15,6,(ROW(Ventes_Encaissements!$B$6:$B$3005)-ROW(Ventes_Encaissements!$B$6)+1)/((Ventes_Encaissements!$E$6:$E$3005=$B263)*(Ventes_Encaissements!$J$6:$J$3005=$G263)*(Ventes_Encaissements!$C$6:$C$3005&gt;=$C263-3)*(Ventes_Encaissements!$C$6:$C$3005&lt;=$C263+3)),1)))</f>
        <v/>
      </c>
      <c r="K263" s="6" t="n"/>
    </row>
    <row r="264">
      <c r="A264" s="6" t="n"/>
      <c r="B264" s="6" t="n"/>
      <c r="C264" s="19" t="n"/>
      <c r="D264" s="19" t="n"/>
      <c r="E264" s="6" t="n"/>
      <c r="F264" s="20" t="n"/>
      <c r="G264" s="9">
        <f>IF($F264="","",IF($F264&gt;0,ROUND($F264,2),""))</f>
        <v/>
      </c>
      <c r="H264" s="12">
        <f>IF(OR($B264="",$C264="",$G264=""),"",COUNTIFS(Ventes_Encaissements!$E$6:$E$3005,$B264,Ventes_Encaissements!$J$6:$J$3005,$G264,Ventes_Encaissements!$C$6:$C$3005,"&gt;="&amp;($C264-3),Ventes_Encaissements!$C$6:$C$3005,"&lt;="&amp;($C264+3)))</f>
        <v/>
      </c>
      <c r="I264" s="12">
        <f>IF($H264="","",IF($H264=0,"Non trouvé",IF($H264=1,"Match","À vérifier")))</f>
        <v/>
      </c>
      <c r="J264" s="21">
        <f>IF($I264&lt;&gt;"Match","",INDEX(Ventes_Encaissements!$B$6:$B$3005,_xludf.AGGREGATE(15,6,(ROW(Ventes_Encaissements!$B$6:$B$3005)-ROW(Ventes_Encaissements!$B$6)+1)/((Ventes_Encaissements!$E$6:$E$3005=$B264)*(Ventes_Encaissements!$J$6:$J$3005=$G264)*(Ventes_Encaissements!$C$6:$C$3005&gt;=$C264-3)*(Ventes_Encaissements!$C$6:$C$3005&lt;=$C264+3)),1)))</f>
        <v/>
      </c>
      <c r="K264" s="6" t="n"/>
    </row>
    <row r="265">
      <c r="A265" s="6" t="n"/>
      <c r="B265" s="6" t="n"/>
      <c r="C265" s="19" t="n"/>
      <c r="D265" s="19" t="n"/>
      <c r="E265" s="6" t="n"/>
      <c r="F265" s="20" t="n"/>
      <c r="G265" s="9">
        <f>IF($F265="","",IF($F265&gt;0,ROUND($F265,2),""))</f>
        <v/>
      </c>
      <c r="H265" s="12">
        <f>IF(OR($B265="",$C265="",$G265=""),"",COUNTIFS(Ventes_Encaissements!$E$6:$E$3005,$B265,Ventes_Encaissements!$J$6:$J$3005,$G265,Ventes_Encaissements!$C$6:$C$3005,"&gt;="&amp;($C265-3),Ventes_Encaissements!$C$6:$C$3005,"&lt;="&amp;($C265+3)))</f>
        <v/>
      </c>
      <c r="I265" s="12">
        <f>IF($H265="","",IF($H265=0,"Non trouvé",IF($H265=1,"Match","À vérifier")))</f>
        <v/>
      </c>
      <c r="J265" s="21">
        <f>IF($I265&lt;&gt;"Match","",INDEX(Ventes_Encaissements!$B$6:$B$3005,_xludf.AGGREGATE(15,6,(ROW(Ventes_Encaissements!$B$6:$B$3005)-ROW(Ventes_Encaissements!$B$6)+1)/((Ventes_Encaissements!$E$6:$E$3005=$B265)*(Ventes_Encaissements!$J$6:$J$3005=$G265)*(Ventes_Encaissements!$C$6:$C$3005&gt;=$C265-3)*(Ventes_Encaissements!$C$6:$C$3005&lt;=$C265+3)),1)))</f>
        <v/>
      </c>
      <c r="K265" s="6" t="n"/>
    </row>
    <row r="266">
      <c r="A266" s="6" t="n"/>
      <c r="B266" s="6" t="n"/>
      <c r="C266" s="19" t="n"/>
      <c r="D266" s="19" t="n"/>
      <c r="E266" s="6" t="n"/>
      <c r="F266" s="20" t="n"/>
      <c r="G266" s="9">
        <f>IF($F266="","",IF($F266&gt;0,ROUND($F266,2),""))</f>
        <v/>
      </c>
      <c r="H266" s="12">
        <f>IF(OR($B266="",$C266="",$G266=""),"",COUNTIFS(Ventes_Encaissements!$E$6:$E$3005,$B266,Ventes_Encaissements!$J$6:$J$3005,$G266,Ventes_Encaissements!$C$6:$C$3005,"&gt;="&amp;($C266-3),Ventes_Encaissements!$C$6:$C$3005,"&lt;="&amp;($C266+3)))</f>
        <v/>
      </c>
      <c r="I266" s="12">
        <f>IF($H266="","",IF($H266=0,"Non trouvé",IF($H266=1,"Match","À vérifier")))</f>
        <v/>
      </c>
      <c r="J266" s="21">
        <f>IF($I266&lt;&gt;"Match","",INDEX(Ventes_Encaissements!$B$6:$B$3005,_xludf.AGGREGATE(15,6,(ROW(Ventes_Encaissements!$B$6:$B$3005)-ROW(Ventes_Encaissements!$B$6)+1)/((Ventes_Encaissements!$E$6:$E$3005=$B266)*(Ventes_Encaissements!$J$6:$J$3005=$G266)*(Ventes_Encaissements!$C$6:$C$3005&gt;=$C266-3)*(Ventes_Encaissements!$C$6:$C$3005&lt;=$C266+3)),1)))</f>
        <v/>
      </c>
      <c r="K266" s="6" t="n"/>
    </row>
    <row r="267">
      <c r="A267" s="6" t="n"/>
      <c r="B267" s="6" t="n"/>
      <c r="C267" s="19" t="n"/>
      <c r="D267" s="19" t="n"/>
      <c r="E267" s="6" t="n"/>
      <c r="F267" s="20" t="n"/>
      <c r="G267" s="9">
        <f>IF($F267="","",IF($F267&gt;0,ROUND($F267,2),""))</f>
        <v/>
      </c>
      <c r="H267" s="12">
        <f>IF(OR($B267="",$C267="",$G267=""),"",COUNTIFS(Ventes_Encaissements!$E$6:$E$3005,$B267,Ventes_Encaissements!$J$6:$J$3005,$G267,Ventes_Encaissements!$C$6:$C$3005,"&gt;="&amp;($C267-3),Ventes_Encaissements!$C$6:$C$3005,"&lt;="&amp;($C267+3)))</f>
        <v/>
      </c>
      <c r="I267" s="12">
        <f>IF($H267="","",IF($H267=0,"Non trouvé",IF($H267=1,"Match","À vérifier")))</f>
        <v/>
      </c>
      <c r="J267" s="21">
        <f>IF($I267&lt;&gt;"Match","",INDEX(Ventes_Encaissements!$B$6:$B$3005,_xludf.AGGREGATE(15,6,(ROW(Ventes_Encaissements!$B$6:$B$3005)-ROW(Ventes_Encaissements!$B$6)+1)/((Ventes_Encaissements!$E$6:$E$3005=$B267)*(Ventes_Encaissements!$J$6:$J$3005=$G267)*(Ventes_Encaissements!$C$6:$C$3005&gt;=$C267-3)*(Ventes_Encaissements!$C$6:$C$3005&lt;=$C267+3)),1)))</f>
        <v/>
      </c>
      <c r="K267" s="6" t="n"/>
    </row>
    <row r="268">
      <c r="A268" s="6" t="n"/>
      <c r="B268" s="6" t="n"/>
      <c r="C268" s="19" t="n"/>
      <c r="D268" s="19" t="n"/>
      <c r="E268" s="6" t="n"/>
      <c r="F268" s="20" t="n"/>
      <c r="G268" s="9">
        <f>IF($F268="","",IF($F268&gt;0,ROUND($F268,2),""))</f>
        <v/>
      </c>
      <c r="H268" s="12">
        <f>IF(OR($B268="",$C268="",$G268=""),"",COUNTIFS(Ventes_Encaissements!$E$6:$E$3005,$B268,Ventes_Encaissements!$J$6:$J$3005,$G268,Ventes_Encaissements!$C$6:$C$3005,"&gt;="&amp;($C268-3),Ventes_Encaissements!$C$6:$C$3005,"&lt;="&amp;($C268+3)))</f>
        <v/>
      </c>
      <c r="I268" s="12">
        <f>IF($H268="","",IF($H268=0,"Non trouvé",IF($H268=1,"Match","À vérifier")))</f>
        <v/>
      </c>
      <c r="J268" s="21">
        <f>IF($I268&lt;&gt;"Match","",INDEX(Ventes_Encaissements!$B$6:$B$3005,_xludf.AGGREGATE(15,6,(ROW(Ventes_Encaissements!$B$6:$B$3005)-ROW(Ventes_Encaissements!$B$6)+1)/((Ventes_Encaissements!$E$6:$E$3005=$B268)*(Ventes_Encaissements!$J$6:$J$3005=$G268)*(Ventes_Encaissements!$C$6:$C$3005&gt;=$C268-3)*(Ventes_Encaissements!$C$6:$C$3005&lt;=$C268+3)),1)))</f>
        <v/>
      </c>
      <c r="K268" s="6" t="n"/>
    </row>
    <row r="269">
      <c r="A269" s="6" t="n"/>
      <c r="B269" s="6" t="n"/>
      <c r="C269" s="19" t="n"/>
      <c r="D269" s="19" t="n"/>
      <c r="E269" s="6" t="n"/>
      <c r="F269" s="20" t="n"/>
      <c r="G269" s="9">
        <f>IF($F269="","",IF($F269&gt;0,ROUND($F269,2),""))</f>
        <v/>
      </c>
      <c r="H269" s="12">
        <f>IF(OR($B269="",$C269="",$G269=""),"",COUNTIFS(Ventes_Encaissements!$E$6:$E$3005,$B269,Ventes_Encaissements!$J$6:$J$3005,$G269,Ventes_Encaissements!$C$6:$C$3005,"&gt;="&amp;($C269-3),Ventes_Encaissements!$C$6:$C$3005,"&lt;="&amp;($C269+3)))</f>
        <v/>
      </c>
      <c r="I269" s="12">
        <f>IF($H269="","",IF($H269=0,"Non trouvé",IF($H269=1,"Match","À vérifier")))</f>
        <v/>
      </c>
      <c r="J269" s="21">
        <f>IF($I269&lt;&gt;"Match","",INDEX(Ventes_Encaissements!$B$6:$B$3005,_xludf.AGGREGATE(15,6,(ROW(Ventes_Encaissements!$B$6:$B$3005)-ROW(Ventes_Encaissements!$B$6)+1)/((Ventes_Encaissements!$E$6:$E$3005=$B269)*(Ventes_Encaissements!$J$6:$J$3005=$G269)*(Ventes_Encaissements!$C$6:$C$3005&gt;=$C269-3)*(Ventes_Encaissements!$C$6:$C$3005&lt;=$C269+3)),1)))</f>
        <v/>
      </c>
      <c r="K269" s="6" t="n"/>
    </row>
    <row r="270">
      <c r="A270" s="6" t="n"/>
      <c r="B270" s="6" t="n"/>
      <c r="C270" s="19" t="n"/>
      <c r="D270" s="19" t="n"/>
      <c r="E270" s="6" t="n"/>
      <c r="F270" s="20" t="n"/>
      <c r="G270" s="9">
        <f>IF($F270="","",IF($F270&gt;0,ROUND($F270,2),""))</f>
        <v/>
      </c>
      <c r="H270" s="12">
        <f>IF(OR($B270="",$C270="",$G270=""),"",COUNTIFS(Ventes_Encaissements!$E$6:$E$3005,$B270,Ventes_Encaissements!$J$6:$J$3005,$G270,Ventes_Encaissements!$C$6:$C$3005,"&gt;="&amp;($C270-3),Ventes_Encaissements!$C$6:$C$3005,"&lt;="&amp;($C270+3)))</f>
        <v/>
      </c>
      <c r="I270" s="12">
        <f>IF($H270="","",IF($H270=0,"Non trouvé",IF($H270=1,"Match","À vérifier")))</f>
        <v/>
      </c>
      <c r="J270" s="21">
        <f>IF($I270&lt;&gt;"Match","",INDEX(Ventes_Encaissements!$B$6:$B$3005,_xludf.AGGREGATE(15,6,(ROW(Ventes_Encaissements!$B$6:$B$3005)-ROW(Ventes_Encaissements!$B$6)+1)/((Ventes_Encaissements!$E$6:$E$3005=$B270)*(Ventes_Encaissements!$J$6:$J$3005=$G270)*(Ventes_Encaissements!$C$6:$C$3005&gt;=$C270-3)*(Ventes_Encaissements!$C$6:$C$3005&lt;=$C270+3)),1)))</f>
        <v/>
      </c>
      <c r="K270" s="6" t="n"/>
    </row>
    <row r="271">
      <c r="A271" s="6" t="n"/>
      <c r="B271" s="6" t="n"/>
      <c r="C271" s="19" t="n"/>
      <c r="D271" s="19" t="n"/>
      <c r="E271" s="6" t="n"/>
      <c r="F271" s="20" t="n"/>
      <c r="G271" s="9">
        <f>IF($F271="","",IF($F271&gt;0,ROUND($F271,2),""))</f>
        <v/>
      </c>
      <c r="H271" s="12">
        <f>IF(OR($B271="",$C271="",$G271=""),"",COUNTIFS(Ventes_Encaissements!$E$6:$E$3005,$B271,Ventes_Encaissements!$J$6:$J$3005,$G271,Ventes_Encaissements!$C$6:$C$3005,"&gt;="&amp;($C271-3),Ventes_Encaissements!$C$6:$C$3005,"&lt;="&amp;($C271+3)))</f>
        <v/>
      </c>
      <c r="I271" s="12">
        <f>IF($H271="","",IF($H271=0,"Non trouvé",IF($H271=1,"Match","À vérifier")))</f>
        <v/>
      </c>
      <c r="J271" s="21">
        <f>IF($I271&lt;&gt;"Match","",INDEX(Ventes_Encaissements!$B$6:$B$3005,_xludf.AGGREGATE(15,6,(ROW(Ventes_Encaissements!$B$6:$B$3005)-ROW(Ventes_Encaissements!$B$6)+1)/((Ventes_Encaissements!$E$6:$E$3005=$B271)*(Ventes_Encaissements!$J$6:$J$3005=$G271)*(Ventes_Encaissements!$C$6:$C$3005&gt;=$C271-3)*(Ventes_Encaissements!$C$6:$C$3005&lt;=$C271+3)),1)))</f>
        <v/>
      </c>
      <c r="K271" s="6" t="n"/>
    </row>
    <row r="272">
      <c r="A272" s="6" t="n"/>
      <c r="B272" s="6" t="n"/>
      <c r="C272" s="19" t="n"/>
      <c r="D272" s="19" t="n"/>
      <c r="E272" s="6" t="n"/>
      <c r="F272" s="20" t="n"/>
      <c r="G272" s="9">
        <f>IF($F272="","",IF($F272&gt;0,ROUND($F272,2),""))</f>
        <v/>
      </c>
      <c r="H272" s="12">
        <f>IF(OR($B272="",$C272="",$G272=""),"",COUNTIFS(Ventes_Encaissements!$E$6:$E$3005,$B272,Ventes_Encaissements!$J$6:$J$3005,$G272,Ventes_Encaissements!$C$6:$C$3005,"&gt;="&amp;($C272-3),Ventes_Encaissements!$C$6:$C$3005,"&lt;="&amp;($C272+3)))</f>
        <v/>
      </c>
      <c r="I272" s="12">
        <f>IF($H272="","",IF($H272=0,"Non trouvé",IF($H272=1,"Match","À vérifier")))</f>
        <v/>
      </c>
      <c r="J272" s="21">
        <f>IF($I272&lt;&gt;"Match","",INDEX(Ventes_Encaissements!$B$6:$B$3005,_xludf.AGGREGATE(15,6,(ROW(Ventes_Encaissements!$B$6:$B$3005)-ROW(Ventes_Encaissements!$B$6)+1)/((Ventes_Encaissements!$E$6:$E$3005=$B272)*(Ventes_Encaissements!$J$6:$J$3005=$G272)*(Ventes_Encaissements!$C$6:$C$3005&gt;=$C272-3)*(Ventes_Encaissements!$C$6:$C$3005&lt;=$C272+3)),1)))</f>
        <v/>
      </c>
      <c r="K272" s="6" t="n"/>
    </row>
    <row r="273">
      <c r="A273" s="6" t="n"/>
      <c r="B273" s="6" t="n"/>
      <c r="C273" s="19" t="n"/>
      <c r="D273" s="19" t="n"/>
      <c r="E273" s="6" t="n"/>
      <c r="F273" s="20" t="n"/>
      <c r="G273" s="9">
        <f>IF($F273="","",IF($F273&gt;0,ROUND($F273,2),""))</f>
        <v/>
      </c>
      <c r="H273" s="12">
        <f>IF(OR($B273="",$C273="",$G273=""),"",COUNTIFS(Ventes_Encaissements!$E$6:$E$3005,$B273,Ventes_Encaissements!$J$6:$J$3005,$G273,Ventes_Encaissements!$C$6:$C$3005,"&gt;="&amp;($C273-3),Ventes_Encaissements!$C$6:$C$3005,"&lt;="&amp;($C273+3)))</f>
        <v/>
      </c>
      <c r="I273" s="12">
        <f>IF($H273="","",IF($H273=0,"Non trouvé",IF($H273=1,"Match","À vérifier")))</f>
        <v/>
      </c>
      <c r="J273" s="21">
        <f>IF($I273&lt;&gt;"Match","",INDEX(Ventes_Encaissements!$B$6:$B$3005,_xludf.AGGREGATE(15,6,(ROW(Ventes_Encaissements!$B$6:$B$3005)-ROW(Ventes_Encaissements!$B$6)+1)/((Ventes_Encaissements!$E$6:$E$3005=$B273)*(Ventes_Encaissements!$J$6:$J$3005=$G273)*(Ventes_Encaissements!$C$6:$C$3005&gt;=$C273-3)*(Ventes_Encaissements!$C$6:$C$3005&lt;=$C273+3)),1)))</f>
        <v/>
      </c>
      <c r="K273" s="6" t="n"/>
    </row>
    <row r="274">
      <c r="A274" s="6" t="n"/>
      <c r="B274" s="6" t="n"/>
      <c r="C274" s="19" t="n"/>
      <c r="D274" s="19" t="n"/>
      <c r="E274" s="6" t="n"/>
      <c r="F274" s="20" t="n"/>
      <c r="G274" s="9">
        <f>IF($F274="","",IF($F274&gt;0,ROUND($F274,2),""))</f>
        <v/>
      </c>
      <c r="H274" s="12">
        <f>IF(OR($B274="",$C274="",$G274=""),"",COUNTIFS(Ventes_Encaissements!$E$6:$E$3005,$B274,Ventes_Encaissements!$J$6:$J$3005,$G274,Ventes_Encaissements!$C$6:$C$3005,"&gt;="&amp;($C274-3),Ventes_Encaissements!$C$6:$C$3005,"&lt;="&amp;($C274+3)))</f>
        <v/>
      </c>
      <c r="I274" s="12">
        <f>IF($H274="","",IF($H274=0,"Non trouvé",IF($H274=1,"Match","À vérifier")))</f>
        <v/>
      </c>
      <c r="J274" s="21">
        <f>IF($I274&lt;&gt;"Match","",INDEX(Ventes_Encaissements!$B$6:$B$3005,_xludf.AGGREGATE(15,6,(ROW(Ventes_Encaissements!$B$6:$B$3005)-ROW(Ventes_Encaissements!$B$6)+1)/((Ventes_Encaissements!$E$6:$E$3005=$B274)*(Ventes_Encaissements!$J$6:$J$3005=$G274)*(Ventes_Encaissements!$C$6:$C$3005&gt;=$C274-3)*(Ventes_Encaissements!$C$6:$C$3005&lt;=$C274+3)),1)))</f>
        <v/>
      </c>
      <c r="K274" s="6" t="n"/>
    </row>
    <row r="275">
      <c r="A275" s="6" t="n"/>
      <c r="B275" s="6" t="n"/>
      <c r="C275" s="19" t="n"/>
      <c r="D275" s="19" t="n"/>
      <c r="E275" s="6" t="n"/>
      <c r="F275" s="20" t="n"/>
      <c r="G275" s="9">
        <f>IF($F275="","",IF($F275&gt;0,ROUND($F275,2),""))</f>
        <v/>
      </c>
      <c r="H275" s="12">
        <f>IF(OR($B275="",$C275="",$G275=""),"",COUNTIFS(Ventes_Encaissements!$E$6:$E$3005,$B275,Ventes_Encaissements!$J$6:$J$3005,$G275,Ventes_Encaissements!$C$6:$C$3005,"&gt;="&amp;($C275-3),Ventes_Encaissements!$C$6:$C$3005,"&lt;="&amp;($C275+3)))</f>
        <v/>
      </c>
      <c r="I275" s="12">
        <f>IF($H275="","",IF($H275=0,"Non trouvé",IF($H275=1,"Match","À vérifier")))</f>
        <v/>
      </c>
      <c r="J275" s="21">
        <f>IF($I275&lt;&gt;"Match","",INDEX(Ventes_Encaissements!$B$6:$B$3005,_xludf.AGGREGATE(15,6,(ROW(Ventes_Encaissements!$B$6:$B$3005)-ROW(Ventes_Encaissements!$B$6)+1)/((Ventes_Encaissements!$E$6:$E$3005=$B275)*(Ventes_Encaissements!$J$6:$J$3005=$G275)*(Ventes_Encaissements!$C$6:$C$3005&gt;=$C275-3)*(Ventes_Encaissements!$C$6:$C$3005&lt;=$C275+3)),1)))</f>
        <v/>
      </c>
      <c r="K275" s="6" t="n"/>
    </row>
    <row r="276">
      <c r="A276" s="6" t="n"/>
      <c r="B276" s="6" t="n"/>
      <c r="C276" s="19" t="n"/>
      <c r="D276" s="19" t="n"/>
      <c r="E276" s="6" t="n"/>
      <c r="F276" s="20" t="n"/>
      <c r="G276" s="9">
        <f>IF($F276="","",IF($F276&gt;0,ROUND($F276,2),""))</f>
        <v/>
      </c>
      <c r="H276" s="12">
        <f>IF(OR($B276="",$C276="",$G276=""),"",COUNTIFS(Ventes_Encaissements!$E$6:$E$3005,$B276,Ventes_Encaissements!$J$6:$J$3005,$G276,Ventes_Encaissements!$C$6:$C$3005,"&gt;="&amp;($C276-3),Ventes_Encaissements!$C$6:$C$3005,"&lt;="&amp;($C276+3)))</f>
        <v/>
      </c>
      <c r="I276" s="12">
        <f>IF($H276="","",IF($H276=0,"Non trouvé",IF($H276=1,"Match","À vérifier")))</f>
        <v/>
      </c>
      <c r="J276" s="21">
        <f>IF($I276&lt;&gt;"Match","",INDEX(Ventes_Encaissements!$B$6:$B$3005,_xludf.AGGREGATE(15,6,(ROW(Ventes_Encaissements!$B$6:$B$3005)-ROW(Ventes_Encaissements!$B$6)+1)/((Ventes_Encaissements!$E$6:$E$3005=$B276)*(Ventes_Encaissements!$J$6:$J$3005=$G276)*(Ventes_Encaissements!$C$6:$C$3005&gt;=$C276-3)*(Ventes_Encaissements!$C$6:$C$3005&lt;=$C276+3)),1)))</f>
        <v/>
      </c>
      <c r="K276" s="6" t="n"/>
    </row>
    <row r="277">
      <c r="A277" s="6" t="n"/>
      <c r="B277" s="6" t="n"/>
      <c r="C277" s="19" t="n"/>
      <c r="D277" s="19" t="n"/>
      <c r="E277" s="6" t="n"/>
      <c r="F277" s="20" t="n"/>
      <c r="G277" s="9">
        <f>IF($F277="","",IF($F277&gt;0,ROUND($F277,2),""))</f>
        <v/>
      </c>
      <c r="H277" s="12">
        <f>IF(OR($B277="",$C277="",$G277=""),"",COUNTIFS(Ventes_Encaissements!$E$6:$E$3005,$B277,Ventes_Encaissements!$J$6:$J$3005,$G277,Ventes_Encaissements!$C$6:$C$3005,"&gt;="&amp;($C277-3),Ventes_Encaissements!$C$6:$C$3005,"&lt;="&amp;($C277+3)))</f>
        <v/>
      </c>
      <c r="I277" s="12">
        <f>IF($H277="","",IF($H277=0,"Non trouvé",IF($H277=1,"Match","À vérifier")))</f>
        <v/>
      </c>
      <c r="J277" s="21">
        <f>IF($I277&lt;&gt;"Match","",INDEX(Ventes_Encaissements!$B$6:$B$3005,_xludf.AGGREGATE(15,6,(ROW(Ventes_Encaissements!$B$6:$B$3005)-ROW(Ventes_Encaissements!$B$6)+1)/((Ventes_Encaissements!$E$6:$E$3005=$B277)*(Ventes_Encaissements!$J$6:$J$3005=$G277)*(Ventes_Encaissements!$C$6:$C$3005&gt;=$C277-3)*(Ventes_Encaissements!$C$6:$C$3005&lt;=$C277+3)),1)))</f>
        <v/>
      </c>
      <c r="K277" s="6" t="n"/>
    </row>
    <row r="278">
      <c r="A278" s="6" t="n"/>
      <c r="B278" s="6" t="n"/>
      <c r="C278" s="19" t="n"/>
      <c r="D278" s="19" t="n"/>
      <c r="E278" s="6" t="n"/>
      <c r="F278" s="20" t="n"/>
      <c r="G278" s="9">
        <f>IF($F278="","",IF($F278&gt;0,ROUND($F278,2),""))</f>
        <v/>
      </c>
      <c r="H278" s="12">
        <f>IF(OR($B278="",$C278="",$G278=""),"",COUNTIFS(Ventes_Encaissements!$E$6:$E$3005,$B278,Ventes_Encaissements!$J$6:$J$3005,$G278,Ventes_Encaissements!$C$6:$C$3005,"&gt;="&amp;($C278-3),Ventes_Encaissements!$C$6:$C$3005,"&lt;="&amp;($C278+3)))</f>
        <v/>
      </c>
      <c r="I278" s="12">
        <f>IF($H278="","",IF($H278=0,"Non trouvé",IF($H278=1,"Match","À vérifier")))</f>
        <v/>
      </c>
      <c r="J278" s="21">
        <f>IF($I278&lt;&gt;"Match","",INDEX(Ventes_Encaissements!$B$6:$B$3005,_xludf.AGGREGATE(15,6,(ROW(Ventes_Encaissements!$B$6:$B$3005)-ROW(Ventes_Encaissements!$B$6)+1)/((Ventes_Encaissements!$E$6:$E$3005=$B278)*(Ventes_Encaissements!$J$6:$J$3005=$G278)*(Ventes_Encaissements!$C$6:$C$3005&gt;=$C278-3)*(Ventes_Encaissements!$C$6:$C$3005&lt;=$C278+3)),1)))</f>
        <v/>
      </c>
      <c r="K278" s="6" t="n"/>
    </row>
    <row r="279">
      <c r="A279" s="6" t="n"/>
      <c r="B279" s="6" t="n"/>
      <c r="C279" s="19" t="n"/>
      <c r="D279" s="19" t="n"/>
      <c r="E279" s="6" t="n"/>
      <c r="F279" s="20" t="n"/>
      <c r="G279" s="9">
        <f>IF($F279="","",IF($F279&gt;0,ROUND($F279,2),""))</f>
        <v/>
      </c>
      <c r="H279" s="12">
        <f>IF(OR($B279="",$C279="",$G279=""),"",COUNTIFS(Ventes_Encaissements!$E$6:$E$3005,$B279,Ventes_Encaissements!$J$6:$J$3005,$G279,Ventes_Encaissements!$C$6:$C$3005,"&gt;="&amp;($C279-3),Ventes_Encaissements!$C$6:$C$3005,"&lt;="&amp;($C279+3)))</f>
        <v/>
      </c>
      <c r="I279" s="12">
        <f>IF($H279="","",IF($H279=0,"Non trouvé",IF($H279=1,"Match","À vérifier")))</f>
        <v/>
      </c>
      <c r="J279" s="21">
        <f>IF($I279&lt;&gt;"Match","",INDEX(Ventes_Encaissements!$B$6:$B$3005,_xludf.AGGREGATE(15,6,(ROW(Ventes_Encaissements!$B$6:$B$3005)-ROW(Ventes_Encaissements!$B$6)+1)/((Ventes_Encaissements!$E$6:$E$3005=$B279)*(Ventes_Encaissements!$J$6:$J$3005=$G279)*(Ventes_Encaissements!$C$6:$C$3005&gt;=$C279-3)*(Ventes_Encaissements!$C$6:$C$3005&lt;=$C279+3)),1)))</f>
        <v/>
      </c>
      <c r="K279" s="6" t="n"/>
    </row>
    <row r="280">
      <c r="A280" s="6" t="n"/>
      <c r="B280" s="6" t="n"/>
      <c r="C280" s="19" t="n"/>
      <c r="D280" s="19" t="n"/>
      <c r="E280" s="6" t="n"/>
      <c r="F280" s="20" t="n"/>
      <c r="G280" s="9">
        <f>IF($F280="","",IF($F280&gt;0,ROUND($F280,2),""))</f>
        <v/>
      </c>
      <c r="H280" s="12">
        <f>IF(OR($B280="",$C280="",$G280=""),"",COUNTIFS(Ventes_Encaissements!$E$6:$E$3005,$B280,Ventes_Encaissements!$J$6:$J$3005,$G280,Ventes_Encaissements!$C$6:$C$3005,"&gt;="&amp;($C280-3),Ventes_Encaissements!$C$6:$C$3005,"&lt;="&amp;($C280+3)))</f>
        <v/>
      </c>
      <c r="I280" s="12">
        <f>IF($H280="","",IF($H280=0,"Non trouvé",IF($H280=1,"Match","À vérifier")))</f>
        <v/>
      </c>
      <c r="J280" s="21">
        <f>IF($I280&lt;&gt;"Match","",INDEX(Ventes_Encaissements!$B$6:$B$3005,_xludf.AGGREGATE(15,6,(ROW(Ventes_Encaissements!$B$6:$B$3005)-ROW(Ventes_Encaissements!$B$6)+1)/((Ventes_Encaissements!$E$6:$E$3005=$B280)*(Ventes_Encaissements!$J$6:$J$3005=$G280)*(Ventes_Encaissements!$C$6:$C$3005&gt;=$C280-3)*(Ventes_Encaissements!$C$6:$C$3005&lt;=$C280+3)),1)))</f>
        <v/>
      </c>
      <c r="K280" s="6" t="n"/>
    </row>
    <row r="281">
      <c r="A281" s="6" t="n"/>
      <c r="B281" s="6" t="n"/>
      <c r="C281" s="19" t="n"/>
      <c r="D281" s="19" t="n"/>
      <c r="E281" s="6" t="n"/>
      <c r="F281" s="20" t="n"/>
      <c r="G281" s="9">
        <f>IF($F281="","",IF($F281&gt;0,ROUND($F281,2),""))</f>
        <v/>
      </c>
      <c r="H281" s="12">
        <f>IF(OR($B281="",$C281="",$G281=""),"",COUNTIFS(Ventes_Encaissements!$E$6:$E$3005,$B281,Ventes_Encaissements!$J$6:$J$3005,$G281,Ventes_Encaissements!$C$6:$C$3005,"&gt;="&amp;($C281-3),Ventes_Encaissements!$C$6:$C$3005,"&lt;="&amp;($C281+3)))</f>
        <v/>
      </c>
      <c r="I281" s="12">
        <f>IF($H281="","",IF($H281=0,"Non trouvé",IF($H281=1,"Match","À vérifier")))</f>
        <v/>
      </c>
      <c r="J281" s="21">
        <f>IF($I281&lt;&gt;"Match","",INDEX(Ventes_Encaissements!$B$6:$B$3005,_xludf.AGGREGATE(15,6,(ROW(Ventes_Encaissements!$B$6:$B$3005)-ROW(Ventes_Encaissements!$B$6)+1)/((Ventes_Encaissements!$E$6:$E$3005=$B281)*(Ventes_Encaissements!$J$6:$J$3005=$G281)*(Ventes_Encaissements!$C$6:$C$3005&gt;=$C281-3)*(Ventes_Encaissements!$C$6:$C$3005&lt;=$C281+3)),1)))</f>
        <v/>
      </c>
      <c r="K281" s="6" t="n"/>
    </row>
    <row r="282">
      <c r="A282" s="6" t="n"/>
      <c r="B282" s="6" t="n"/>
      <c r="C282" s="19" t="n"/>
      <c r="D282" s="19" t="n"/>
      <c r="E282" s="6" t="n"/>
      <c r="F282" s="20" t="n"/>
      <c r="G282" s="9">
        <f>IF($F282="","",IF($F282&gt;0,ROUND($F282,2),""))</f>
        <v/>
      </c>
      <c r="H282" s="12">
        <f>IF(OR($B282="",$C282="",$G282=""),"",COUNTIFS(Ventes_Encaissements!$E$6:$E$3005,$B282,Ventes_Encaissements!$J$6:$J$3005,$G282,Ventes_Encaissements!$C$6:$C$3005,"&gt;="&amp;($C282-3),Ventes_Encaissements!$C$6:$C$3005,"&lt;="&amp;($C282+3)))</f>
        <v/>
      </c>
      <c r="I282" s="12">
        <f>IF($H282="","",IF($H282=0,"Non trouvé",IF($H282=1,"Match","À vérifier")))</f>
        <v/>
      </c>
      <c r="J282" s="21">
        <f>IF($I282&lt;&gt;"Match","",INDEX(Ventes_Encaissements!$B$6:$B$3005,_xludf.AGGREGATE(15,6,(ROW(Ventes_Encaissements!$B$6:$B$3005)-ROW(Ventes_Encaissements!$B$6)+1)/((Ventes_Encaissements!$E$6:$E$3005=$B282)*(Ventes_Encaissements!$J$6:$J$3005=$G282)*(Ventes_Encaissements!$C$6:$C$3005&gt;=$C282-3)*(Ventes_Encaissements!$C$6:$C$3005&lt;=$C282+3)),1)))</f>
        <v/>
      </c>
      <c r="K282" s="6" t="n"/>
    </row>
    <row r="283">
      <c r="A283" s="6" t="n"/>
      <c r="B283" s="6" t="n"/>
      <c r="C283" s="19" t="n"/>
      <c r="D283" s="19" t="n"/>
      <c r="E283" s="6" t="n"/>
      <c r="F283" s="20" t="n"/>
      <c r="G283" s="9">
        <f>IF($F283="","",IF($F283&gt;0,ROUND($F283,2),""))</f>
        <v/>
      </c>
      <c r="H283" s="12">
        <f>IF(OR($B283="",$C283="",$G283=""),"",COUNTIFS(Ventes_Encaissements!$E$6:$E$3005,$B283,Ventes_Encaissements!$J$6:$J$3005,$G283,Ventes_Encaissements!$C$6:$C$3005,"&gt;="&amp;($C283-3),Ventes_Encaissements!$C$6:$C$3005,"&lt;="&amp;($C283+3)))</f>
        <v/>
      </c>
      <c r="I283" s="12">
        <f>IF($H283="","",IF($H283=0,"Non trouvé",IF($H283=1,"Match","À vérifier")))</f>
        <v/>
      </c>
      <c r="J283" s="21">
        <f>IF($I283&lt;&gt;"Match","",INDEX(Ventes_Encaissements!$B$6:$B$3005,_xludf.AGGREGATE(15,6,(ROW(Ventes_Encaissements!$B$6:$B$3005)-ROW(Ventes_Encaissements!$B$6)+1)/((Ventes_Encaissements!$E$6:$E$3005=$B283)*(Ventes_Encaissements!$J$6:$J$3005=$G283)*(Ventes_Encaissements!$C$6:$C$3005&gt;=$C283-3)*(Ventes_Encaissements!$C$6:$C$3005&lt;=$C283+3)),1)))</f>
        <v/>
      </c>
      <c r="K283" s="6" t="n"/>
    </row>
    <row r="284">
      <c r="A284" s="6" t="n"/>
      <c r="B284" s="6" t="n"/>
      <c r="C284" s="19" t="n"/>
      <c r="D284" s="19" t="n"/>
      <c r="E284" s="6" t="n"/>
      <c r="F284" s="20" t="n"/>
      <c r="G284" s="9">
        <f>IF($F284="","",IF($F284&gt;0,ROUND($F284,2),""))</f>
        <v/>
      </c>
      <c r="H284" s="12">
        <f>IF(OR($B284="",$C284="",$G284=""),"",COUNTIFS(Ventes_Encaissements!$E$6:$E$3005,$B284,Ventes_Encaissements!$J$6:$J$3005,$G284,Ventes_Encaissements!$C$6:$C$3005,"&gt;="&amp;($C284-3),Ventes_Encaissements!$C$6:$C$3005,"&lt;="&amp;($C284+3)))</f>
        <v/>
      </c>
      <c r="I284" s="12">
        <f>IF($H284="","",IF($H284=0,"Non trouvé",IF($H284=1,"Match","À vérifier")))</f>
        <v/>
      </c>
      <c r="J284" s="21">
        <f>IF($I284&lt;&gt;"Match","",INDEX(Ventes_Encaissements!$B$6:$B$3005,_xludf.AGGREGATE(15,6,(ROW(Ventes_Encaissements!$B$6:$B$3005)-ROW(Ventes_Encaissements!$B$6)+1)/((Ventes_Encaissements!$E$6:$E$3005=$B284)*(Ventes_Encaissements!$J$6:$J$3005=$G284)*(Ventes_Encaissements!$C$6:$C$3005&gt;=$C284-3)*(Ventes_Encaissements!$C$6:$C$3005&lt;=$C284+3)),1)))</f>
        <v/>
      </c>
      <c r="K284" s="6" t="n"/>
    </row>
    <row r="285">
      <c r="A285" s="6" t="n"/>
      <c r="B285" s="6" t="n"/>
      <c r="C285" s="19" t="n"/>
      <c r="D285" s="19" t="n"/>
      <c r="E285" s="6" t="n"/>
      <c r="F285" s="20" t="n"/>
      <c r="G285" s="9">
        <f>IF($F285="","",IF($F285&gt;0,ROUND($F285,2),""))</f>
        <v/>
      </c>
      <c r="H285" s="12">
        <f>IF(OR($B285="",$C285="",$G285=""),"",COUNTIFS(Ventes_Encaissements!$E$6:$E$3005,$B285,Ventes_Encaissements!$J$6:$J$3005,$G285,Ventes_Encaissements!$C$6:$C$3005,"&gt;="&amp;($C285-3),Ventes_Encaissements!$C$6:$C$3005,"&lt;="&amp;($C285+3)))</f>
        <v/>
      </c>
      <c r="I285" s="12">
        <f>IF($H285="","",IF($H285=0,"Non trouvé",IF($H285=1,"Match","À vérifier")))</f>
        <v/>
      </c>
      <c r="J285" s="21">
        <f>IF($I285&lt;&gt;"Match","",INDEX(Ventes_Encaissements!$B$6:$B$3005,_xludf.AGGREGATE(15,6,(ROW(Ventes_Encaissements!$B$6:$B$3005)-ROW(Ventes_Encaissements!$B$6)+1)/((Ventes_Encaissements!$E$6:$E$3005=$B285)*(Ventes_Encaissements!$J$6:$J$3005=$G285)*(Ventes_Encaissements!$C$6:$C$3005&gt;=$C285-3)*(Ventes_Encaissements!$C$6:$C$3005&lt;=$C285+3)),1)))</f>
        <v/>
      </c>
      <c r="K285" s="6" t="n"/>
    </row>
    <row r="286">
      <c r="A286" s="6" t="n"/>
      <c r="B286" s="6" t="n"/>
      <c r="C286" s="19" t="n"/>
      <c r="D286" s="19" t="n"/>
      <c r="E286" s="6" t="n"/>
      <c r="F286" s="20" t="n"/>
      <c r="G286" s="9">
        <f>IF($F286="","",IF($F286&gt;0,ROUND($F286,2),""))</f>
        <v/>
      </c>
      <c r="H286" s="12">
        <f>IF(OR($B286="",$C286="",$G286=""),"",COUNTIFS(Ventes_Encaissements!$E$6:$E$3005,$B286,Ventes_Encaissements!$J$6:$J$3005,$G286,Ventes_Encaissements!$C$6:$C$3005,"&gt;="&amp;($C286-3),Ventes_Encaissements!$C$6:$C$3005,"&lt;="&amp;($C286+3)))</f>
        <v/>
      </c>
      <c r="I286" s="12">
        <f>IF($H286="","",IF($H286=0,"Non trouvé",IF($H286=1,"Match","À vérifier")))</f>
        <v/>
      </c>
      <c r="J286" s="21">
        <f>IF($I286&lt;&gt;"Match","",INDEX(Ventes_Encaissements!$B$6:$B$3005,_xludf.AGGREGATE(15,6,(ROW(Ventes_Encaissements!$B$6:$B$3005)-ROW(Ventes_Encaissements!$B$6)+1)/((Ventes_Encaissements!$E$6:$E$3005=$B286)*(Ventes_Encaissements!$J$6:$J$3005=$G286)*(Ventes_Encaissements!$C$6:$C$3005&gt;=$C286-3)*(Ventes_Encaissements!$C$6:$C$3005&lt;=$C286+3)),1)))</f>
        <v/>
      </c>
      <c r="K286" s="6" t="n"/>
    </row>
    <row r="287">
      <c r="A287" s="6" t="n"/>
      <c r="B287" s="6" t="n"/>
      <c r="C287" s="19" t="n"/>
      <c r="D287" s="19" t="n"/>
      <c r="E287" s="6" t="n"/>
      <c r="F287" s="20" t="n"/>
      <c r="G287" s="9">
        <f>IF($F287="","",IF($F287&gt;0,ROUND($F287,2),""))</f>
        <v/>
      </c>
      <c r="H287" s="12">
        <f>IF(OR($B287="",$C287="",$G287=""),"",COUNTIFS(Ventes_Encaissements!$E$6:$E$3005,$B287,Ventes_Encaissements!$J$6:$J$3005,$G287,Ventes_Encaissements!$C$6:$C$3005,"&gt;="&amp;($C287-3),Ventes_Encaissements!$C$6:$C$3005,"&lt;="&amp;($C287+3)))</f>
        <v/>
      </c>
      <c r="I287" s="12">
        <f>IF($H287="","",IF($H287=0,"Non trouvé",IF($H287=1,"Match","À vérifier")))</f>
        <v/>
      </c>
      <c r="J287" s="21">
        <f>IF($I287&lt;&gt;"Match","",INDEX(Ventes_Encaissements!$B$6:$B$3005,_xludf.AGGREGATE(15,6,(ROW(Ventes_Encaissements!$B$6:$B$3005)-ROW(Ventes_Encaissements!$B$6)+1)/((Ventes_Encaissements!$E$6:$E$3005=$B287)*(Ventes_Encaissements!$J$6:$J$3005=$G287)*(Ventes_Encaissements!$C$6:$C$3005&gt;=$C287-3)*(Ventes_Encaissements!$C$6:$C$3005&lt;=$C287+3)),1)))</f>
        <v/>
      </c>
      <c r="K287" s="6" t="n"/>
    </row>
    <row r="288">
      <c r="A288" s="6" t="n"/>
      <c r="B288" s="6" t="n"/>
      <c r="C288" s="19" t="n"/>
      <c r="D288" s="19" t="n"/>
      <c r="E288" s="6" t="n"/>
      <c r="F288" s="20" t="n"/>
      <c r="G288" s="9">
        <f>IF($F288="","",IF($F288&gt;0,ROUND($F288,2),""))</f>
        <v/>
      </c>
      <c r="H288" s="12">
        <f>IF(OR($B288="",$C288="",$G288=""),"",COUNTIFS(Ventes_Encaissements!$E$6:$E$3005,$B288,Ventes_Encaissements!$J$6:$J$3005,$G288,Ventes_Encaissements!$C$6:$C$3005,"&gt;="&amp;($C288-3),Ventes_Encaissements!$C$6:$C$3005,"&lt;="&amp;($C288+3)))</f>
        <v/>
      </c>
      <c r="I288" s="12">
        <f>IF($H288="","",IF($H288=0,"Non trouvé",IF($H288=1,"Match","À vérifier")))</f>
        <v/>
      </c>
      <c r="J288" s="21">
        <f>IF($I288&lt;&gt;"Match","",INDEX(Ventes_Encaissements!$B$6:$B$3005,_xludf.AGGREGATE(15,6,(ROW(Ventes_Encaissements!$B$6:$B$3005)-ROW(Ventes_Encaissements!$B$6)+1)/((Ventes_Encaissements!$E$6:$E$3005=$B288)*(Ventes_Encaissements!$J$6:$J$3005=$G288)*(Ventes_Encaissements!$C$6:$C$3005&gt;=$C288-3)*(Ventes_Encaissements!$C$6:$C$3005&lt;=$C288+3)),1)))</f>
        <v/>
      </c>
      <c r="K288" s="6" t="n"/>
    </row>
    <row r="289">
      <c r="A289" s="6" t="n"/>
      <c r="B289" s="6" t="n"/>
      <c r="C289" s="19" t="n"/>
      <c r="D289" s="19" t="n"/>
      <c r="E289" s="6" t="n"/>
      <c r="F289" s="20" t="n"/>
      <c r="G289" s="9">
        <f>IF($F289="","",IF($F289&gt;0,ROUND($F289,2),""))</f>
        <v/>
      </c>
      <c r="H289" s="12">
        <f>IF(OR($B289="",$C289="",$G289=""),"",COUNTIFS(Ventes_Encaissements!$E$6:$E$3005,$B289,Ventes_Encaissements!$J$6:$J$3005,$G289,Ventes_Encaissements!$C$6:$C$3005,"&gt;="&amp;($C289-3),Ventes_Encaissements!$C$6:$C$3005,"&lt;="&amp;($C289+3)))</f>
        <v/>
      </c>
      <c r="I289" s="12">
        <f>IF($H289="","",IF($H289=0,"Non trouvé",IF($H289=1,"Match","À vérifier")))</f>
        <v/>
      </c>
      <c r="J289" s="21">
        <f>IF($I289&lt;&gt;"Match","",INDEX(Ventes_Encaissements!$B$6:$B$3005,_xludf.AGGREGATE(15,6,(ROW(Ventes_Encaissements!$B$6:$B$3005)-ROW(Ventes_Encaissements!$B$6)+1)/((Ventes_Encaissements!$E$6:$E$3005=$B289)*(Ventes_Encaissements!$J$6:$J$3005=$G289)*(Ventes_Encaissements!$C$6:$C$3005&gt;=$C289-3)*(Ventes_Encaissements!$C$6:$C$3005&lt;=$C289+3)),1)))</f>
        <v/>
      </c>
      <c r="K289" s="6" t="n"/>
    </row>
    <row r="290">
      <c r="A290" s="6" t="n"/>
      <c r="B290" s="6" t="n"/>
      <c r="C290" s="19" t="n"/>
      <c r="D290" s="19" t="n"/>
      <c r="E290" s="6" t="n"/>
      <c r="F290" s="20" t="n"/>
      <c r="G290" s="9">
        <f>IF($F290="","",IF($F290&gt;0,ROUND($F290,2),""))</f>
        <v/>
      </c>
      <c r="H290" s="12">
        <f>IF(OR($B290="",$C290="",$G290=""),"",COUNTIFS(Ventes_Encaissements!$E$6:$E$3005,$B290,Ventes_Encaissements!$J$6:$J$3005,$G290,Ventes_Encaissements!$C$6:$C$3005,"&gt;="&amp;($C290-3),Ventes_Encaissements!$C$6:$C$3005,"&lt;="&amp;($C290+3)))</f>
        <v/>
      </c>
      <c r="I290" s="12">
        <f>IF($H290="","",IF($H290=0,"Non trouvé",IF($H290=1,"Match","À vérifier")))</f>
        <v/>
      </c>
      <c r="J290" s="21">
        <f>IF($I290&lt;&gt;"Match","",INDEX(Ventes_Encaissements!$B$6:$B$3005,_xludf.AGGREGATE(15,6,(ROW(Ventes_Encaissements!$B$6:$B$3005)-ROW(Ventes_Encaissements!$B$6)+1)/((Ventes_Encaissements!$E$6:$E$3005=$B290)*(Ventes_Encaissements!$J$6:$J$3005=$G290)*(Ventes_Encaissements!$C$6:$C$3005&gt;=$C290-3)*(Ventes_Encaissements!$C$6:$C$3005&lt;=$C290+3)),1)))</f>
        <v/>
      </c>
      <c r="K290" s="6" t="n"/>
    </row>
    <row r="291">
      <c r="A291" s="6" t="n"/>
      <c r="B291" s="6" t="n"/>
      <c r="C291" s="19" t="n"/>
      <c r="D291" s="19" t="n"/>
      <c r="E291" s="6" t="n"/>
      <c r="F291" s="20" t="n"/>
      <c r="G291" s="9">
        <f>IF($F291="","",IF($F291&gt;0,ROUND($F291,2),""))</f>
        <v/>
      </c>
      <c r="H291" s="12">
        <f>IF(OR($B291="",$C291="",$G291=""),"",COUNTIFS(Ventes_Encaissements!$E$6:$E$3005,$B291,Ventes_Encaissements!$J$6:$J$3005,$G291,Ventes_Encaissements!$C$6:$C$3005,"&gt;="&amp;($C291-3),Ventes_Encaissements!$C$6:$C$3005,"&lt;="&amp;($C291+3)))</f>
        <v/>
      </c>
      <c r="I291" s="12">
        <f>IF($H291="","",IF($H291=0,"Non trouvé",IF($H291=1,"Match","À vérifier")))</f>
        <v/>
      </c>
      <c r="J291" s="21">
        <f>IF($I291&lt;&gt;"Match","",INDEX(Ventes_Encaissements!$B$6:$B$3005,_xludf.AGGREGATE(15,6,(ROW(Ventes_Encaissements!$B$6:$B$3005)-ROW(Ventes_Encaissements!$B$6)+1)/((Ventes_Encaissements!$E$6:$E$3005=$B291)*(Ventes_Encaissements!$J$6:$J$3005=$G291)*(Ventes_Encaissements!$C$6:$C$3005&gt;=$C291-3)*(Ventes_Encaissements!$C$6:$C$3005&lt;=$C291+3)),1)))</f>
        <v/>
      </c>
      <c r="K291" s="6" t="n"/>
    </row>
    <row r="292">
      <c r="A292" s="6" t="n"/>
      <c r="B292" s="6" t="n"/>
      <c r="C292" s="19" t="n"/>
      <c r="D292" s="19" t="n"/>
      <c r="E292" s="6" t="n"/>
      <c r="F292" s="20" t="n"/>
      <c r="G292" s="9">
        <f>IF($F292="","",IF($F292&gt;0,ROUND($F292,2),""))</f>
        <v/>
      </c>
      <c r="H292" s="12">
        <f>IF(OR($B292="",$C292="",$G292=""),"",COUNTIFS(Ventes_Encaissements!$E$6:$E$3005,$B292,Ventes_Encaissements!$J$6:$J$3005,$G292,Ventes_Encaissements!$C$6:$C$3005,"&gt;="&amp;($C292-3),Ventes_Encaissements!$C$6:$C$3005,"&lt;="&amp;($C292+3)))</f>
        <v/>
      </c>
      <c r="I292" s="12">
        <f>IF($H292="","",IF($H292=0,"Non trouvé",IF($H292=1,"Match","À vérifier")))</f>
        <v/>
      </c>
      <c r="J292" s="21">
        <f>IF($I292&lt;&gt;"Match","",INDEX(Ventes_Encaissements!$B$6:$B$3005,_xludf.AGGREGATE(15,6,(ROW(Ventes_Encaissements!$B$6:$B$3005)-ROW(Ventes_Encaissements!$B$6)+1)/((Ventes_Encaissements!$E$6:$E$3005=$B292)*(Ventes_Encaissements!$J$6:$J$3005=$G292)*(Ventes_Encaissements!$C$6:$C$3005&gt;=$C292-3)*(Ventes_Encaissements!$C$6:$C$3005&lt;=$C292+3)),1)))</f>
        <v/>
      </c>
      <c r="K292" s="6" t="n"/>
    </row>
    <row r="293">
      <c r="A293" s="6" t="n"/>
      <c r="B293" s="6" t="n"/>
      <c r="C293" s="19" t="n"/>
      <c r="D293" s="19" t="n"/>
      <c r="E293" s="6" t="n"/>
      <c r="F293" s="20" t="n"/>
      <c r="G293" s="9">
        <f>IF($F293="","",IF($F293&gt;0,ROUND($F293,2),""))</f>
        <v/>
      </c>
      <c r="H293" s="12">
        <f>IF(OR($B293="",$C293="",$G293=""),"",COUNTIFS(Ventes_Encaissements!$E$6:$E$3005,$B293,Ventes_Encaissements!$J$6:$J$3005,$G293,Ventes_Encaissements!$C$6:$C$3005,"&gt;="&amp;($C293-3),Ventes_Encaissements!$C$6:$C$3005,"&lt;="&amp;($C293+3)))</f>
        <v/>
      </c>
      <c r="I293" s="12">
        <f>IF($H293="","",IF($H293=0,"Non trouvé",IF($H293=1,"Match","À vérifier")))</f>
        <v/>
      </c>
      <c r="J293" s="21">
        <f>IF($I293&lt;&gt;"Match","",INDEX(Ventes_Encaissements!$B$6:$B$3005,_xludf.AGGREGATE(15,6,(ROW(Ventes_Encaissements!$B$6:$B$3005)-ROW(Ventes_Encaissements!$B$6)+1)/((Ventes_Encaissements!$E$6:$E$3005=$B293)*(Ventes_Encaissements!$J$6:$J$3005=$G293)*(Ventes_Encaissements!$C$6:$C$3005&gt;=$C293-3)*(Ventes_Encaissements!$C$6:$C$3005&lt;=$C293+3)),1)))</f>
        <v/>
      </c>
      <c r="K293" s="6" t="n"/>
    </row>
    <row r="294">
      <c r="A294" s="6" t="n"/>
      <c r="B294" s="6" t="n"/>
      <c r="C294" s="19" t="n"/>
      <c r="D294" s="19" t="n"/>
      <c r="E294" s="6" t="n"/>
      <c r="F294" s="20" t="n"/>
      <c r="G294" s="9">
        <f>IF($F294="","",IF($F294&gt;0,ROUND($F294,2),""))</f>
        <v/>
      </c>
      <c r="H294" s="12">
        <f>IF(OR($B294="",$C294="",$G294=""),"",COUNTIFS(Ventes_Encaissements!$E$6:$E$3005,$B294,Ventes_Encaissements!$J$6:$J$3005,$G294,Ventes_Encaissements!$C$6:$C$3005,"&gt;="&amp;($C294-3),Ventes_Encaissements!$C$6:$C$3005,"&lt;="&amp;($C294+3)))</f>
        <v/>
      </c>
      <c r="I294" s="12">
        <f>IF($H294="","",IF($H294=0,"Non trouvé",IF($H294=1,"Match","À vérifier")))</f>
        <v/>
      </c>
      <c r="J294" s="21">
        <f>IF($I294&lt;&gt;"Match","",INDEX(Ventes_Encaissements!$B$6:$B$3005,_xludf.AGGREGATE(15,6,(ROW(Ventes_Encaissements!$B$6:$B$3005)-ROW(Ventes_Encaissements!$B$6)+1)/((Ventes_Encaissements!$E$6:$E$3005=$B294)*(Ventes_Encaissements!$J$6:$J$3005=$G294)*(Ventes_Encaissements!$C$6:$C$3005&gt;=$C294-3)*(Ventes_Encaissements!$C$6:$C$3005&lt;=$C294+3)),1)))</f>
        <v/>
      </c>
      <c r="K294" s="6" t="n"/>
    </row>
    <row r="295">
      <c r="A295" s="6" t="n"/>
      <c r="B295" s="6" t="n"/>
      <c r="C295" s="19" t="n"/>
      <c r="D295" s="19" t="n"/>
      <c r="E295" s="6" t="n"/>
      <c r="F295" s="20" t="n"/>
      <c r="G295" s="9">
        <f>IF($F295="","",IF($F295&gt;0,ROUND($F295,2),""))</f>
        <v/>
      </c>
      <c r="H295" s="12">
        <f>IF(OR($B295="",$C295="",$G295=""),"",COUNTIFS(Ventes_Encaissements!$E$6:$E$3005,$B295,Ventes_Encaissements!$J$6:$J$3005,$G295,Ventes_Encaissements!$C$6:$C$3005,"&gt;="&amp;($C295-3),Ventes_Encaissements!$C$6:$C$3005,"&lt;="&amp;($C295+3)))</f>
        <v/>
      </c>
      <c r="I295" s="12">
        <f>IF($H295="","",IF($H295=0,"Non trouvé",IF($H295=1,"Match","À vérifier")))</f>
        <v/>
      </c>
      <c r="J295" s="21">
        <f>IF($I295&lt;&gt;"Match","",INDEX(Ventes_Encaissements!$B$6:$B$3005,_xludf.AGGREGATE(15,6,(ROW(Ventes_Encaissements!$B$6:$B$3005)-ROW(Ventes_Encaissements!$B$6)+1)/((Ventes_Encaissements!$E$6:$E$3005=$B295)*(Ventes_Encaissements!$J$6:$J$3005=$G295)*(Ventes_Encaissements!$C$6:$C$3005&gt;=$C295-3)*(Ventes_Encaissements!$C$6:$C$3005&lt;=$C295+3)),1)))</f>
        <v/>
      </c>
      <c r="K295" s="6" t="n"/>
    </row>
    <row r="296">
      <c r="A296" s="6" t="n"/>
      <c r="B296" s="6" t="n"/>
      <c r="C296" s="19" t="n"/>
      <c r="D296" s="19" t="n"/>
      <c r="E296" s="6" t="n"/>
      <c r="F296" s="20" t="n"/>
      <c r="G296" s="9">
        <f>IF($F296="","",IF($F296&gt;0,ROUND($F296,2),""))</f>
        <v/>
      </c>
      <c r="H296" s="12">
        <f>IF(OR($B296="",$C296="",$G296=""),"",COUNTIFS(Ventes_Encaissements!$E$6:$E$3005,$B296,Ventes_Encaissements!$J$6:$J$3005,$G296,Ventes_Encaissements!$C$6:$C$3005,"&gt;="&amp;($C296-3),Ventes_Encaissements!$C$6:$C$3005,"&lt;="&amp;($C296+3)))</f>
        <v/>
      </c>
      <c r="I296" s="12">
        <f>IF($H296="","",IF($H296=0,"Non trouvé",IF($H296=1,"Match","À vérifier")))</f>
        <v/>
      </c>
      <c r="J296" s="21">
        <f>IF($I296&lt;&gt;"Match","",INDEX(Ventes_Encaissements!$B$6:$B$3005,_xludf.AGGREGATE(15,6,(ROW(Ventes_Encaissements!$B$6:$B$3005)-ROW(Ventes_Encaissements!$B$6)+1)/((Ventes_Encaissements!$E$6:$E$3005=$B296)*(Ventes_Encaissements!$J$6:$J$3005=$G296)*(Ventes_Encaissements!$C$6:$C$3005&gt;=$C296-3)*(Ventes_Encaissements!$C$6:$C$3005&lt;=$C296+3)),1)))</f>
        <v/>
      </c>
      <c r="K296" s="6" t="n"/>
    </row>
    <row r="297">
      <c r="A297" s="6" t="n"/>
      <c r="B297" s="6" t="n"/>
      <c r="C297" s="19" t="n"/>
      <c r="D297" s="19" t="n"/>
      <c r="E297" s="6" t="n"/>
      <c r="F297" s="20" t="n"/>
      <c r="G297" s="9">
        <f>IF($F297="","",IF($F297&gt;0,ROUND($F297,2),""))</f>
        <v/>
      </c>
      <c r="H297" s="12">
        <f>IF(OR($B297="",$C297="",$G297=""),"",COUNTIFS(Ventes_Encaissements!$E$6:$E$3005,$B297,Ventes_Encaissements!$J$6:$J$3005,$G297,Ventes_Encaissements!$C$6:$C$3005,"&gt;="&amp;($C297-3),Ventes_Encaissements!$C$6:$C$3005,"&lt;="&amp;($C297+3)))</f>
        <v/>
      </c>
      <c r="I297" s="12">
        <f>IF($H297="","",IF($H297=0,"Non trouvé",IF($H297=1,"Match","À vérifier")))</f>
        <v/>
      </c>
      <c r="J297" s="21">
        <f>IF($I297&lt;&gt;"Match","",INDEX(Ventes_Encaissements!$B$6:$B$3005,_xludf.AGGREGATE(15,6,(ROW(Ventes_Encaissements!$B$6:$B$3005)-ROW(Ventes_Encaissements!$B$6)+1)/((Ventes_Encaissements!$E$6:$E$3005=$B297)*(Ventes_Encaissements!$J$6:$J$3005=$G297)*(Ventes_Encaissements!$C$6:$C$3005&gt;=$C297-3)*(Ventes_Encaissements!$C$6:$C$3005&lt;=$C297+3)),1)))</f>
        <v/>
      </c>
      <c r="K297" s="6" t="n"/>
    </row>
    <row r="298">
      <c r="A298" s="6" t="n"/>
      <c r="B298" s="6" t="n"/>
      <c r="C298" s="19" t="n"/>
      <c r="D298" s="19" t="n"/>
      <c r="E298" s="6" t="n"/>
      <c r="F298" s="20" t="n"/>
      <c r="G298" s="9">
        <f>IF($F298="","",IF($F298&gt;0,ROUND($F298,2),""))</f>
        <v/>
      </c>
      <c r="H298" s="12">
        <f>IF(OR($B298="",$C298="",$G298=""),"",COUNTIFS(Ventes_Encaissements!$E$6:$E$3005,$B298,Ventes_Encaissements!$J$6:$J$3005,$G298,Ventes_Encaissements!$C$6:$C$3005,"&gt;="&amp;($C298-3),Ventes_Encaissements!$C$6:$C$3005,"&lt;="&amp;($C298+3)))</f>
        <v/>
      </c>
      <c r="I298" s="12">
        <f>IF($H298="","",IF($H298=0,"Non trouvé",IF($H298=1,"Match","À vérifier")))</f>
        <v/>
      </c>
      <c r="J298" s="21">
        <f>IF($I298&lt;&gt;"Match","",INDEX(Ventes_Encaissements!$B$6:$B$3005,_xludf.AGGREGATE(15,6,(ROW(Ventes_Encaissements!$B$6:$B$3005)-ROW(Ventes_Encaissements!$B$6)+1)/((Ventes_Encaissements!$E$6:$E$3005=$B298)*(Ventes_Encaissements!$J$6:$J$3005=$G298)*(Ventes_Encaissements!$C$6:$C$3005&gt;=$C298-3)*(Ventes_Encaissements!$C$6:$C$3005&lt;=$C298+3)),1)))</f>
        <v/>
      </c>
      <c r="K298" s="6" t="n"/>
    </row>
    <row r="299">
      <c r="A299" s="6" t="n"/>
      <c r="B299" s="6" t="n"/>
      <c r="C299" s="19" t="n"/>
      <c r="D299" s="19" t="n"/>
      <c r="E299" s="6" t="n"/>
      <c r="F299" s="20" t="n"/>
      <c r="G299" s="9">
        <f>IF($F299="","",IF($F299&gt;0,ROUND($F299,2),""))</f>
        <v/>
      </c>
      <c r="H299" s="12">
        <f>IF(OR($B299="",$C299="",$G299=""),"",COUNTIFS(Ventes_Encaissements!$E$6:$E$3005,$B299,Ventes_Encaissements!$J$6:$J$3005,$G299,Ventes_Encaissements!$C$6:$C$3005,"&gt;="&amp;($C299-3),Ventes_Encaissements!$C$6:$C$3005,"&lt;="&amp;($C299+3)))</f>
        <v/>
      </c>
      <c r="I299" s="12">
        <f>IF($H299="","",IF($H299=0,"Non trouvé",IF($H299=1,"Match","À vérifier")))</f>
        <v/>
      </c>
      <c r="J299" s="21">
        <f>IF($I299&lt;&gt;"Match","",INDEX(Ventes_Encaissements!$B$6:$B$3005,_xludf.AGGREGATE(15,6,(ROW(Ventes_Encaissements!$B$6:$B$3005)-ROW(Ventes_Encaissements!$B$6)+1)/((Ventes_Encaissements!$E$6:$E$3005=$B299)*(Ventes_Encaissements!$J$6:$J$3005=$G299)*(Ventes_Encaissements!$C$6:$C$3005&gt;=$C299-3)*(Ventes_Encaissements!$C$6:$C$3005&lt;=$C299+3)),1)))</f>
        <v/>
      </c>
      <c r="K299" s="6" t="n"/>
    </row>
    <row r="300">
      <c r="A300" s="6" t="n"/>
      <c r="B300" s="6" t="n"/>
      <c r="C300" s="19" t="n"/>
      <c r="D300" s="19" t="n"/>
      <c r="E300" s="6" t="n"/>
      <c r="F300" s="20" t="n"/>
      <c r="G300" s="9">
        <f>IF($F300="","",IF($F300&gt;0,ROUND($F300,2),""))</f>
        <v/>
      </c>
      <c r="H300" s="12">
        <f>IF(OR($B300="",$C300="",$G300=""),"",COUNTIFS(Ventes_Encaissements!$E$6:$E$3005,$B300,Ventes_Encaissements!$J$6:$J$3005,$G300,Ventes_Encaissements!$C$6:$C$3005,"&gt;="&amp;($C300-3),Ventes_Encaissements!$C$6:$C$3005,"&lt;="&amp;($C300+3)))</f>
        <v/>
      </c>
      <c r="I300" s="12">
        <f>IF($H300="","",IF($H300=0,"Non trouvé",IF($H300=1,"Match","À vérifier")))</f>
        <v/>
      </c>
      <c r="J300" s="21">
        <f>IF($I300&lt;&gt;"Match","",INDEX(Ventes_Encaissements!$B$6:$B$3005,_xludf.AGGREGATE(15,6,(ROW(Ventes_Encaissements!$B$6:$B$3005)-ROW(Ventes_Encaissements!$B$6)+1)/((Ventes_Encaissements!$E$6:$E$3005=$B300)*(Ventes_Encaissements!$J$6:$J$3005=$G300)*(Ventes_Encaissements!$C$6:$C$3005&gt;=$C300-3)*(Ventes_Encaissements!$C$6:$C$3005&lt;=$C300+3)),1)))</f>
        <v/>
      </c>
      <c r="K300" s="6" t="n"/>
    </row>
    <row r="301">
      <c r="A301" s="6" t="n"/>
      <c r="B301" s="6" t="n"/>
      <c r="C301" s="19" t="n"/>
      <c r="D301" s="19" t="n"/>
      <c r="E301" s="6" t="n"/>
      <c r="F301" s="20" t="n"/>
      <c r="G301" s="9">
        <f>IF($F301="","",IF($F301&gt;0,ROUND($F301,2),""))</f>
        <v/>
      </c>
      <c r="H301" s="12">
        <f>IF(OR($B301="",$C301="",$G301=""),"",COUNTIFS(Ventes_Encaissements!$E$6:$E$3005,$B301,Ventes_Encaissements!$J$6:$J$3005,$G301,Ventes_Encaissements!$C$6:$C$3005,"&gt;="&amp;($C301-3),Ventes_Encaissements!$C$6:$C$3005,"&lt;="&amp;($C301+3)))</f>
        <v/>
      </c>
      <c r="I301" s="12">
        <f>IF($H301="","",IF($H301=0,"Non trouvé",IF($H301=1,"Match","À vérifier")))</f>
        <v/>
      </c>
      <c r="J301" s="21">
        <f>IF($I301&lt;&gt;"Match","",INDEX(Ventes_Encaissements!$B$6:$B$3005,_xludf.AGGREGATE(15,6,(ROW(Ventes_Encaissements!$B$6:$B$3005)-ROW(Ventes_Encaissements!$B$6)+1)/((Ventes_Encaissements!$E$6:$E$3005=$B301)*(Ventes_Encaissements!$J$6:$J$3005=$G301)*(Ventes_Encaissements!$C$6:$C$3005&gt;=$C301-3)*(Ventes_Encaissements!$C$6:$C$3005&lt;=$C301+3)),1)))</f>
        <v/>
      </c>
      <c r="K301" s="6" t="n"/>
    </row>
    <row r="302">
      <c r="A302" s="6" t="n"/>
      <c r="B302" s="6" t="n"/>
      <c r="C302" s="19" t="n"/>
      <c r="D302" s="19" t="n"/>
      <c r="E302" s="6" t="n"/>
      <c r="F302" s="20" t="n"/>
      <c r="G302" s="9">
        <f>IF($F302="","",IF($F302&gt;0,ROUND($F302,2),""))</f>
        <v/>
      </c>
      <c r="H302" s="12">
        <f>IF(OR($B302="",$C302="",$G302=""),"",COUNTIFS(Ventes_Encaissements!$E$6:$E$3005,$B302,Ventes_Encaissements!$J$6:$J$3005,$G302,Ventes_Encaissements!$C$6:$C$3005,"&gt;="&amp;($C302-3),Ventes_Encaissements!$C$6:$C$3005,"&lt;="&amp;($C302+3)))</f>
        <v/>
      </c>
      <c r="I302" s="12">
        <f>IF($H302="","",IF($H302=0,"Non trouvé",IF($H302=1,"Match","À vérifier")))</f>
        <v/>
      </c>
      <c r="J302" s="21">
        <f>IF($I302&lt;&gt;"Match","",INDEX(Ventes_Encaissements!$B$6:$B$3005,_xludf.AGGREGATE(15,6,(ROW(Ventes_Encaissements!$B$6:$B$3005)-ROW(Ventes_Encaissements!$B$6)+1)/((Ventes_Encaissements!$E$6:$E$3005=$B302)*(Ventes_Encaissements!$J$6:$J$3005=$G302)*(Ventes_Encaissements!$C$6:$C$3005&gt;=$C302-3)*(Ventes_Encaissements!$C$6:$C$3005&lt;=$C302+3)),1)))</f>
        <v/>
      </c>
      <c r="K302" s="6" t="n"/>
    </row>
    <row r="303">
      <c r="A303" s="6" t="n"/>
      <c r="B303" s="6" t="n"/>
      <c r="C303" s="19" t="n"/>
      <c r="D303" s="19" t="n"/>
      <c r="E303" s="6" t="n"/>
      <c r="F303" s="20" t="n"/>
      <c r="G303" s="9">
        <f>IF($F303="","",IF($F303&gt;0,ROUND($F303,2),""))</f>
        <v/>
      </c>
      <c r="H303" s="12">
        <f>IF(OR($B303="",$C303="",$G303=""),"",COUNTIFS(Ventes_Encaissements!$E$6:$E$3005,$B303,Ventes_Encaissements!$J$6:$J$3005,$G303,Ventes_Encaissements!$C$6:$C$3005,"&gt;="&amp;($C303-3),Ventes_Encaissements!$C$6:$C$3005,"&lt;="&amp;($C303+3)))</f>
        <v/>
      </c>
      <c r="I303" s="12">
        <f>IF($H303="","",IF($H303=0,"Non trouvé",IF($H303=1,"Match","À vérifier")))</f>
        <v/>
      </c>
      <c r="J303" s="21">
        <f>IF($I303&lt;&gt;"Match","",INDEX(Ventes_Encaissements!$B$6:$B$3005,_xludf.AGGREGATE(15,6,(ROW(Ventes_Encaissements!$B$6:$B$3005)-ROW(Ventes_Encaissements!$B$6)+1)/((Ventes_Encaissements!$E$6:$E$3005=$B303)*(Ventes_Encaissements!$J$6:$J$3005=$G303)*(Ventes_Encaissements!$C$6:$C$3005&gt;=$C303-3)*(Ventes_Encaissements!$C$6:$C$3005&lt;=$C303+3)),1)))</f>
        <v/>
      </c>
      <c r="K303" s="6" t="n"/>
    </row>
    <row r="304">
      <c r="A304" s="6" t="n"/>
      <c r="B304" s="6" t="n"/>
      <c r="C304" s="19" t="n"/>
      <c r="D304" s="19" t="n"/>
      <c r="E304" s="6" t="n"/>
      <c r="F304" s="20" t="n"/>
      <c r="G304" s="9">
        <f>IF($F304="","",IF($F304&gt;0,ROUND($F304,2),""))</f>
        <v/>
      </c>
      <c r="H304" s="12">
        <f>IF(OR($B304="",$C304="",$G304=""),"",COUNTIFS(Ventes_Encaissements!$E$6:$E$3005,$B304,Ventes_Encaissements!$J$6:$J$3005,$G304,Ventes_Encaissements!$C$6:$C$3005,"&gt;="&amp;($C304-3),Ventes_Encaissements!$C$6:$C$3005,"&lt;="&amp;($C304+3)))</f>
        <v/>
      </c>
      <c r="I304" s="12">
        <f>IF($H304="","",IF($H304=0,"Non trouvé",IF($H304=1,"Match","À vérifier")))</f>
        <v/>
      </c>
      <c r="J304" s="21">
        <f>IF($I304&lt;&gt;"Match","",INDEX(Ventes_Encaissements!$B$6:$B$3005,_xludf.AGGREGATE(15,6,(ROW(Ventes_Encaissements!$B$6:$B$3005)-ROW(Ventes_Encaissements!$B$6)+1)/((Ventes_Encaissements!$E$6:$E$3005=$B304)*(Ventes_Encaissements!$J$6:$J$3005=$G304)*(Ventes_Encaissements!$C$6:$C$3005&gt;=$C304-3)*(Ventes_Encaissements!$C$6:$C$3005&lt;=$C304+3)),1)))</f>
        <v/>
      </c>
      <c r="K304" s="6" t="n"/>
    </row>
    <row r="305">
      <c r="A305" s="6" t="n"/>
      <c r="B305" s="6" t="n"/>
      <c r="C305" s="19" t="n"/>
      <c r="D305" s="19" t="n"/>
      <c r="E305" s="6" t="n"/>
      <c r="F305" s="20" t="n"/>
      <c r="G305" s="9">
        <f>IF($F305="","",IF($F305&gt;0,ROUND($F305,2),""))</f>
        <v/>
      </c>
      <c r="H305" s="12">
        <f>IF(OR($B305="",$C305="",$G305=""),"",COUNTIFS(Ventes_Encaissements!$E$6:$E$3005,$B305,Ventes_Encaissements!$J$6:$J$3005,$G305,Ventes_Encaissements!$C$6:$C$3005,"&gt;="&amp;($C305-3),Ventes_Encaissements!$C$6:$C$3005,"&lt;="&amp;($C305+3)))</f>
        <v/>
      </c>
      <c r="I305" s="12">
        <f>IF($H305="","",IF($H305=0,"Non trouvé",IF($H305=1,"Match","À vérifier")))</f>
        <v/>
      </c>
      <c r="J305" s="21">
        <f>IF($I305&lt;&gt;"Match","",INDEX(Ventes_Encaissements!$B$6:$B$3005,_xludf.AGGREGATE(15,6,(ROW(Ventes_Encaissements!$B$6:$B$3005)-ROW(Ventes_Encaissements!$B$6)+1)/((Ventes_Encaissements!$E$6:$E$3005=$B305)*(Ventes_Encaissements!$J$6:$J$3005=$G305)*(Ventes_Encaissements!$C$6:$C$3005&gt;=$C305-3)*(Ventes_Encaissements!$C$6:$C$3005&lt;=$C305+3)),1)))</f>
        <v/>
      </c>
      <c r="K305" s="6" t="n"/>
    </row>
    <row r="306">
      <c r="A306" s="6" t="n"/>
      <c r="B306" s="6" t="n"/>
      <c r="C306" s="19" t="n"/>
      <c r="D306" s="19" t="n"/>
      <c r="E306" s="6" t="n"/>
      <c r="F306" s="20" t="n"/>
      <c r="G306" s="9">
        <f>IF($F306="","",IF($F306&gt;0,ROUND($F306,2),""))</f>
        <v/>
      </c>
      <c r="H306" s="12">
        <f>IF(OR($B306="",$C306="",$G306=""),"",COUNTIFS(Ventes_Encaissements!$E$6:$E$3005,$B306,Ventes_Encaissements!$J$6:$J$3005,$G306,Ventes_Encaissements!$C$6:$C$3005,"&gt;="&amp;($C306-3),Ventes_Encaissements!$C$6:$C$3005,"&lt;="&amp;($C306+3)))</f>
        <v/>
      </c>
      <c r="I306" s="12">
        <f>IF($H306="","",IF($H306=0,"Non trouvé",IF($H306=1,"Match","À vérifier")))</f>
        <v/>
      </c>
      <c r="J306" s="21">
        <f>IF($I306&lt;&gt;"Match","",INDEX(Ventes_Encaissements!$B$6:$B$3005,_xludf.AGGREGATE(15,6,(ROW(Ventes_Encaissements!$B$6:$B$3005)-ROW(Ventes_Encaissements!$B$6)+1)/((Ventes_Encaissements!$E$6:$E$3005=$B306)*(Ventes_Encaissements!$J$6:$J$3005=$G306)*(Ventes_Encaissements!$C$6:$C$3005&gt;=$C306-3)*(Ventes_Encaissements!$C$6:$C$3005&lt;=$C306+3)),1)))</f>
        <v/>
      </c>
      <c r="K306" s="6" t="n"/>
    </row>
    <row r="307">
      <c r="A307" s="6" t="n"/>
      <c r="B307" s="6" t="n"/>
      <c r="C307" s="19" t="n"/>
      <c r="D307" s="19" t="n"/>
      <c r="E307" s="6" t="n"/>
      <c r="F307" s="20" t="n"/>
      <c r="G307" s="9">
        <f>IF($F307="","",IF($F307&gt;0,ROUND($F307,2),""))</f>
        <v/>
      </c>
      <c r="H307" s="12">
        <f>IF(OR($B307="",$C307="",$G307=""),"",COUNTIFS(Ventes_Encaissements!$E$6:$E$3005,$B307,Ventes_Encaissements!$J$6:$J$3005,$G307,Ventes_Encaissements!$C$6:$C$3005,"&gt;="&amp;($C307-3),Ventes_Encaissements!$C$6:$C$3005,"&lt;="&amp;($C307+3)))</f>
        <v/>
      </c>
      <c r="I307" s="12">
        <f>IF($H307="","",IF($H307=0,"Non trouvé",IF($H307=1,"Match","À vérifier")))</f>
        <v/>
      </c>
      <c r="J307" s="21">
        <f>IF($I307&lt;&gt;"Match","",INDEX(Ventes_Encaissements!$B$6:$B$3005,_xludf.AGGREGATE(15,6,(ROW(Ventes_Encaissements!$B$6:$B$3005)-ROW(Ventes_Encaissements!$B$6)+1)/((Ventes_Encaissements!$E$6:$E$3005=$B307)*(Ventes_Encaissements!$J$6:$J$3005=$G307)*(Ventes_Encaissements!$C$6:$C$3005&gt;=$C307-3)*(Ventes_Encaissements!$C$6:$C$3005&lt;=$C307+3)),1)))</f>
        <v/>
      </c>
      <c r="K307" s="6" t="n"/>
    </row>
    <row r="308">
      <c r="A308" s="6" t="n"/>
      <c r="B308" s="6" t="n"/>
      <c r="C308" s="19" t="n"/>
      <c r="D308" s="19" t="n"/>
      <c r="E308" s="6" t="n"/>
      <c r="F308" s="20" t="n"/>
      <c r="G308" s="9">
        <f>IF($F308="","",IF($F308&gt;0,ROUND($F308,2),""))</f>
        <v/>
      </c>
      <c r="H308" s="12">
        <f>IF(OR($B308="",$C308="",$G308=""),"",COUNTIFS(Ventes_Encaissements!$E$6:$E$3005,$B308,Ventes_Encaissements!$J$6:$J$3005,$G308,Ventes_Encaissements!$C$6:$C$3005,"&gt;="&amp;($C308-3),Ventes_Encaissements!$C$6:$C$3005,"&lt;="&amp;($C308+3)))</f>
        <v/>
      </c>
      <c r="I308" s="12">
        <f>IF($H308="","",IF($H308=0,"Non trouvé",IF($H308=1,"Match","À vérifier")))</f>
        <v/>
      </c>
      <c r="J308" s="21">
        <f>IF($I308&lt;&gt;"Match","",INDEX(Ventes_Encaissements!$B$6:$B$3005,_xludf.AGGREGATE(15,6,(ROW(Ventes_Encaissements!$B$6:$B$3005)-ROW(Ventes_Encaissements!$B$6)+1)/((Ventes_Encaissements!$E$6:$E$3005=$B308)*(Ventes_Encaissements!$J$6:$J$3005=$G308)*(Ventes_Encaissements!$C$6:$C$3005&gt;=$C308-3)*(Ventes_Encaissements!$C$6:$C$3005&lt;=$C308+3)),1)))</f>
        <v/>
      </c>
      <c r="K308" s="6" t="n"/>
    </row>
    <row r="309">
      <c r="A309" s="6" t="n"/>
      <c r="B309" s="6" t="n"/>
      <c r="C309" s="19" t="n"/>
      <c r="D309" s="19" t="n"/>
      <c r="E309" s="6" t="n"/>
      <c r="F309" s="20" t="n"/>
      <c r="G309" s="9">
        <f>IF($F309="","",IF($F309&gt;0,ROUND($F309,2),""))</f>
        <v/>
      </c>
      <c r="H309" s="12">
        <f>IF(OR($B309="",$C309="",$G309=""),"",COUNTIFS(Ventes_Encaissements!$E$6:$E$3005,$B309,Ventes_Encaissements!$J$6:$J$3005,$G309,Ventes_Encaissements!$C$6:$C$3005,"&gt;="&amp;($C309-3),Ventes_Encaissements!$C$6:$C$3005,"&lt;="&amp;($C309+3)))</f>
        <v/>
      </c>
      <c r="I309" s="12">
        <f>IF($H309="","",IF($H309=0,"Non trouvé",IF($H309=1,"Match","À vérifier")))</f>
        <v/>
      </c>
      <c r="J309" s="21">
        <f>IF($I309&lt;&gt;"Match","",INDEX(Ventes_Encaissements!$B$6:$B$3005,_xludf.AGGREGATE(15,6,(ROW(Ventes_Encaissements!$B$6:$B$3005)-ROW(Ventes_Encaissements!$B$6)+1)/((Ventes_Encaissements!$E$6:$E$3005=$B309)*(Ventes_Encaissements!$J$6:$J$3005=$G309)*(Ventes_Encaissements!$C$6:$C$3005&gt;=$C309-3)*(Ventes_Encaissements!$C$6:$C$3005&lt;=$C309+3)),1)))</f>
        <v/>
      </c>
      <c r="K309" s="6" t="n"/>
    </row>
    <row r="310">
      <c r="A310" s="6" t="n"/>
      <c r="B310" s="6" t="n"/>
      <c r="C310" s="19" t="n"/>
      <c r="D310" s="19" t="n"/>
      <c r="E310" s="6" t="n"/>
      <c r="F310" s="20" t="n"/>
      <c r="G310" s="9">
        <f>IF($F310="","",IF($F310&gt;0,ROUND($F310,2),""))</f>
        <v/>
      </c>
      <c r="H310" s="12">
        <f>IF(OR($B310="",$C310="",$G310=""),"",COUNTIFS(Ventes_Encaissements!$E$6:$E$3005,$B310,Ventes_Encaissements!$J$6:$J$3005,$G310,Ventes_Encaissements!$C$6:$C$3005,"&gt;="&amp;($C310-3),Ventes_Encaissements!$C$6:$C$3005,"&lt;="&amp;($C310+3)))</f>
        <v/>
      </c>
      <c r="I310" s="12">
        <f>IF($H310="","",IF($H310=0,"Non trouvé",IF($H310=1,"Match","À vérifier")))</f>
        <v/>
      </c>
      <c r="J310" s="21">
        <f>IF($I310&lt;&gt;"Match","",INDEX(Ventes_Encaissements!$B$6:$B$3005,_xludf.AGGREGATE(15,6,(ROW(Ventes_Encaissements!$B$6:$B$3005)-ROW(Ventes_Encaissements!$B$6)+1)/((Ventes_Encaissements!$E$6:$E$3005=$B310)*(Ventes_Encaissements!$J$6:$J$3005=$G310)*(Ventes_Encaissements!$C$6:$C$3005&gt;=$C310-3)*(Ventes_Encaissements!$C$6:$C$3005&lt;=$C310+3)),1)))</f>
        <v/>
      </c>
      <c r="K310" s="6" t="n"/>
    </row>
    <row r="311">
      <c r="A311" s="6" t="n"/>
      <c r="B311" s="6" t="n"/>
      <c r="C311" s="19" t="n"/>
      <c r="D311" s="19" t="n"/>
      <c r="E311" s="6" t="n"/>
      <c r="F311" s="20" t="n"/>
      <c r="G311" s="9">
        <f>IF($F311="","",IF($F311&gt;0,ROUND($F311,2),""))</f>
        <v/>
      </c>
      <c r="H311" s="12">
        <f>IF(OR($B311="",$C311="",$G311=""),"",COUNTIFS(Ventes_Encaissements!$E$6:$E$3005,$B311,Ventes_Encaissements!$J$6:$J$3005,$G311,Ventes_Encaissements!$C$6:$C$3005,"&gt;="&amp;($C311-3),Ventes_Encaissements!$C$6:$C$3005,"&lt;="&amp;($C311+3)))</f>
        <v/>
      </c>
      <c r="I311" s="12">
        <f>IF($H311="","",IF($H311=0,"Non trouvé",IF($H311=1,"Match","À vérifier")))</f>
        <v/>
      </c>
      <c r="J311" s="21">
        <f>IF($I311&lt;&gt;"Match","",INDEX(Ventes_Encaissements!$B$6:$B$3005,_xludf.AGGREGATE(15,6,(ROW(Ventes_Encaissements!$B$6:$B$3005)-ROW(Ventes_Encaissements!$B$6)+1)/((Ventes_Encaissements!$E$6:$E$3005=$B311)*(Ventes_Encaissements!$J$6:$J$3005=$G311)*(Ventes_Encaissements!$C$6:$C$3005&gt;=$C311-3)*(Ventes_Encaissements!$C$6:$C$3005&lt;=$C311+3)),1)))</f>
        <v/>
      </c>
      <c r="K311" s="6" t="n"/>
    </row>
    <row r="312">
      <c r="A312" s="6" t="n"/>
      <c r="B312" s="6" t="n"/>
      <c r="C312" s="19" t="n"/>
      <c r="D312" s="19" t="n"/>
      <c r="E312" s="6" t="n"/>
      <c r="F312" s="20" t="n"/>
      <c r="G312" s="9">
        <f>IF($F312="","",IF($F312&gt;0,ROUND($F312,2),""))</f>
        <v/>
      </c>
      <c r="H312" s="12">
        <f>IF(OR($B312="",$C312="",$G312=""),"",COUNTIFS(Ventes_Encaissements!$E$6:$E$3005,$B312,Ventes_Encaissements!$J$6:$J$3005,$G312,Ventes_Encaissements!$C$6:$C$3005,"&gt;="&amp;($C312-3),Ventes_Encaissements!$C$6:$C$3005,"&lt;="&amp;($C312+3)))</f>
        <v/>
      </c>
      <c r="I312" s="12">
        <f>IF($H312="","",IF($H312=0,"Non trouvé",IF($H312=1,"Match","À vérifier")))</f>
        <v/>
      </c>
      <c r="J312" s="21">
        <f>IF($I312&lt;&gt;"Match","",INDEX(Ventes_Encaissements!$B$6:$B$3005,_xludf.AGGREGATE(15,6,(ROW(Ventes_Encaissements!$B$6:$B$3005)-ROW(Ventes_Encaissements!$B$6)+1)/((Ventes_Encaissements!$E$6:$E$3005=$B312)*(Ventes_Encaissements!$J$6:$J$3005=$G312)*(Ventes_Encaissements!$C$6:$C$3005&gt;=$C312-3)*(Ventes_Encaissements!$C$6:$C$3005&lt;=$C312+3)),1)))</f>
        <v/>
      </c>
      <c r="K312" s="6" t="n"/>
    </row>
    <row r="313">
      <c r="A313" s="6" t="n"/>
      <c r="B313" s="6" t="n"/>
      <c r="C313" s="19" t="n"/>
      <c r="D313" s="19" t="n"/>
      <c r="E313" s="6" t="n"/>
      <c r="F313" s="20" t="n"/>
      <c r="G313" s="9">
        <f>IF($F313="","",IF($F313&gt;0,ROUND($F313,2),""))</f>
        <v/>
      </c>
      <c r="H313" s="12">
        <f>IF(OR($B313="",$C313="",$G313=""),"",COUNTIFS(Ventes_Encaissements!$E$6:$E$3005,$B313,Ventes_Encaissements!$J$6:$J$3005,$G313,Ventes_Encaissements!$C$6:$C$3005,"&gt;="&amp;($C313-3),Ventes_Encaissements!$C$6:$C$3005,"&lt;="&amp;($C313+3)))</f>
        <v/>
      </c>
      <c r="I313" s="12">
        <f>IF($H313="","",IF($H313=0,"Non trouvé",IF($H313=1,"Match","À vérifier")))</f>
        <v/>
      </c>
      <c r="J313" s="21">
        <f>IF($I313&lt;&gt;"Match","",INDEX(Ventes_Encaissements!$B$6:$B$3005,_xludf.AGGREGATE(15,6,(ROW(Ventes_Encaissements!$B$6:$B$3005)-ROW(Ventes_Encaissements!$B$6)+1)/((Ventes_Encaissements!$E$6:$E$3005=$B313)*(Ventes_Encaissements!$J$6:$J$3005=$G313)*(Ventes_Encaissements!$C$6:$C$3005&gt;=$C313-3)*(Ventes_Encaissements!$C$6:$C$3005&lt;=$C313+3)),1)))</f>
        <v/>
      </c>
      <c r="K313" s="6" t="n"/>
    </row>
    <row r="314">
      <c r="A314" s="6" t="n"/>
      <c r="B314" s="6" t="n"/>
      <c r="C314" s="19" t="n"/>
      <c r="D314" s="19" t="n"/>
      <c r="E314" s="6" t="n"/>
      <c r="F314" s="20" t="n"/>
      <c r="G314" s="9">
        <f>IF($F314="","",IF($F314&gt;0,ROUND($F314,2),""))</f>
        <v/>
      </c>
      <c r="H314" s="12">
        <f>IF(OR($B314="",$C314="",$G314=""),"",COUNTIFS(Ventes_Encaissements!$E$6:$E$3005,$B314,Ventes_Encaissements!$J$6:$J$3005,$G314,Ventes_Encaissements!$C$6:$C$3005,"&gt;="&amp;($C314-3),Ventes_Encaissements!$C$6:$C$3005,"&lt;="&amp;($C314+3)))</f>
        <v/>
      </c>
      <c r="I314" s="12">
        <f>IF($H314="","",IF($H314=0,"Non trouvé",IF($H314=1,"Match","À vérifier")))</f>
        <v/>
      </c>
      <c r="J314" s="21">
        <f>IF($I314&lt;&gt;"Match","",INDEX(Ventes_Encaissements!$B$6:$B$3005,_xludf.AGGREGATE(15,6,(ROW(Ventes_Encaissements!$B$6:$B$3005)-ROW(Ventes_Encaissements!$B$6)+1)/((Ventes_Encaissements!$E$6:$E$3005=$B314)*(Ventes_Encaissements!$J$6:$J$3005=$G314)*(Ventes_Encaissements!$C$6:$C$3005&gt;=$C314-3)*(Ventes_Encaissements!$C$6:$C$3005&lt;=$C314+3)),1)))</f>
        <v/>
      </c>
      <c r="K314" s="6" t="n"/>
    </row>
    <row r="315">
      <c r="A315" s="6" t="n"/>
      <c r="B315" s="6" t="n"/>
      <c r="C315" s="19" t="n"/>
      <c r="D315" s="19" t="n"/>
      <c r="E315" s="6" t="n"/>
      <c r="F315" s="20" t="n"/>
      <c r="G315" s="9">
        <f>IF($F315="","",IF($F315&gt;0,ROUND($F315,2),""))</f>
        <v/>
      </c>
      <c r="H315" s="12">
        <f>IF(OR($B315="",$C315="",$G315=""),"",COUNTIFS(Ventes_Encaissements!$E$6:$E$3005,$B315,Ventes_Encaissements!$J$6:$J$3005,$G315,Ventes_Encaissements!$C$6:$C$3005,"&gt;="&amp;($C315-3),Ventes_Encaissements!$C$6:$C$3005,"&lt;="&amp;($C315+3)))</f>
        <v/>
      </c>
      <c r="I315" s="12">
        <f>IF($H315="","",IF($H315=0,"Non trouvé",IF($H315=1,"Match","À vérifier")))</f>
        <v/>
      </c>
      <c r="J315" s="21">
        <f>IF($I315&lt;&gt;"Match","",INDEX(Ventes_Encaissements!$B$6:$B$3005,_xludf.AGGREGATE(15,6,(ROW(Ventes_Encaissements!$B$6:$B$3005)-ROW(Ventes_Encaissements!$B$6)+1)/((Ventes_Encaissements!$E$6:$E$3005=$B315)*(Ventes_Encaissements!$J$6:$J$3005=$G315)*(Ventes_Encaissements!$C$6:$C$3005&gt;=$C315-3)*(Ventes_Encaissements!$C$6:$C$3005&lt;=$C315+3)),1)))</f>
        <v/>
      </c>
      <c r="K315" s="6" t="n"/>
    </row>
    <row r="316">
      <c r="A316" s="6" t="n"/>
      <c r="B316" s="6" t="n"/>
      <c r="C316" s="19" t="n"/>
      <c r="D316" s="19" t="n"/>
      <c r="E316" s="6" t="n"/>
      <c r="F316" s="20" t="n"/>
      <c r="G316" s="9">
        <f>IF($F316="","",IF($F316&gt;0,ROUND($F316,2),""))</f>
        <v/>
      </c>
      <c r="H316" s="12">
        <f>IF(OR($B316="",$C316="",$G316=""),"",COUNTIFS(Ventes_Encaissements!$E$6:$E$3005,$B316,Ventes_Encaissements!$J$6:$J$3005,$G316,Ventes_Encaissements!$C$6:$C$3005,"&gt;="&amp;($C316-3),Ventes_Encaissements!$C$6:$C$3005,"&lt;="&amp;($C316+3)))</f>
        <v/>
      </c>
      <c r="I316" s="12">
        <f>IF($H316="","",IF($H316=0,"Non trouvé",IF($H316=1,"Match","À vérifier")))</f>
        <v/>
      </c>
      <c r="J316" s="21">
        <f>IF($I316&lt;&gt;"Match","",INDEX(Ventes_Encaissements!$B$6:$B$3005,_xludf.AGGREGATE(15,6,(ROW(Ventes_Encaissements!$B$6:$B$3005)-ROW(Ventes_Encaissements!$B$6)+1)/((Ventes_Encaissements!$E$6:$E$3005=$B316)*(Ventes_Encaissements!$J$6:$J$3005=$G316)*(Ventes_Encaissements!$C$6:$C$3005&gt;=$C316-3)*(Ventes_Encaissements!$C$6:$C$3005&lt;=$C316+3)),1)))</f>
        <v/>
      </c>
      <c r="K316" s="6" t="n"/>
    </row>
    <row r="317">
      <c r="A317" s="6" t="n"/>
      <c r="B317" s="6" t="n"/>
      <c r="C317" s="19" t="n"/>
      <c r="D317" s="19" t="n"/>
      <c r="E317" s="6" t="n"/>
      <c r="F317" s="20" t="n"/>
      <c r="G317" s="9">
        <f>IF($F317="","",IF($F317&gt;0,ROUND($F317,2),""))</f>
        <v/>
      </c>
      <c r="H317" s="12">
        <f>IF(OR($B317="",$C317="",$G317=""),"",COUNTIFS(Ventes_Encaissements!$E$6:$E$3005,$B317,Ventes_Encaissements!$J$6:$J$3005,$G317,Ventes_Encaissements!$C$6:$C$3005,"&gt;="&amp;($C317-3),Ventes_Encaissements!$C$6:$C$3005,"&lt;="&amp;($C317+3)))</f>
        <v/>
      </c>
      <c r="I317" s="12">
        <f>IF($H317="","",IF($H317=0,"Non trouvé",IF($H317=1,"Match","À vérifier")))</f>
        <v/>
      </c>
      <c r="J317" s="21">
        <f>IF($I317&lt;&gt;"Match","",INDEX(Ventes_Encaissements!$B$6:$B$3005,_xludf.AGGREGATE(15,6,(ROW(Ventes_Encaissements!$B$6:$B$3005)-ROW(Ventes_Encaissements!$B$6)+1)/((Ventes_Encaissements!$E$6:$E$3005=$B317)*(Ventes_Encaissements!$J$6:$J$3005=$G317)*(Ventes_Encaissements!$C$6:$C$3005&gt;=$C317-3)*(Ventes_Encaissements!$C$6:$C$3005&lt;=$C317+3)),1)))</f>
        <v/>
      </c>
      <c r="K317" s="6" t="n"/>
    </row>
    <row r="318">
      <c r="A318" s="6" t="n"/>
      <c r="B318" s="6" t="n"/>
      <c r="C318" s="19" t="n"/>
      <c r="D318" s="19" t="n"/>
      <c r="E318" s="6" t="n"/>
      <c r="F318" s="20" t="n"/>
      <c r="G318" s="9">
        <f>IF($F318="","",IF($F318&gt;0,ROUND($F318,2),""))</f>
        <v/>
      </c>
      <c r="H318" s="12">
        <f>IF(OR($B318="",$C318="",$G318=""),"",COUNTIFS(Ventes_Encaissements!$E$6:$E$3005,$B318,Ventes_Encaissements!$J$6:$J$3005,$G318,Ventes_Encaissements!$C$6:$C$3005,"&gt;="&amp;($C318-3),Ventes_Encaissements!$C$6:$C$3005,"&lt;="&amp;($C318+3)))</f>
        <v/>
      </c>
      <c r="I318" s="12">
        <f>IF($H318="","",IF($H318=0,"Non trouvé",IF($H318=1,"Match","À vérifier")))</f>
        <v/>
      </c>
      <c r="J318" s="21">
        <f>IF($I318&lt;&gt;"Match","",INDEX(Ventes_Encaissements!$B$6:$B$3005,_xludf.AGGREGATE(15,6,(ROW(Ventes_Encaissements!$B$6:$B$3005)-ROW(Ventes_Encaissements!$B$6)+1)/((Ventes_Encaissements!$E$6:$E$3005=$B318)*(Ventes_Encaissements!$J$6:$J$3005=$G318)*(Ventes_Encaissements!$C$6:$C$3005&gt;=$C318-3)*(Ventes_Encaissements!$C$6:$C$3005&lt;=$C318+3)),1)))</f>
        <v/>
      </c>
      <c r="K318" s="6" t="n"/>
    </row>
    <row r="319">
      <c r="A319" s="6" t="n"/>
      <c r="B319" s="6" t="n"/>
      <c r="C319" s="19" t="n"/>
      <c r="D319" s="19" t="n"/>
      <c r="E319" s="6" t="n"/>
      <c r="F319" s="20" t="n"/>
      <c r="G319" s="9">
        <f>IF($F319="","",IF($F319&gt;0,ROUND($F319,2),""))</f>
        <v/>
      </c>
      <c r="H319" s="12">
        <f>IF(OR($B319="",$C319="",$G319=""),"",COUNTIFS(Ventes_Encaissements!$E$6:$E$3005,$B319,Ventes_Encaissements!$J$6:$J$3005,$G319,Ventes_Encaissements!$C$6:$C$3005,"&gt;="&amp;($C319-3),Ventes_Encaissements!$C$6:$C$3005,"&lt;="&amp;($C319+3)))</f>
        <v/>
      </c>
      <c r="I319" s="12">
        <f>IF($H319="","",IF($H319=0,"Non trouvé",IF($H319=1,"Match","À vérifier")))</f>
        <v/>
      </c>
      <c r="J319" s="21">
        <f>IF($I319&lt;&gt;"Match","",INDEX(Ventes_Encaissements!$B$6:$B$3005,_xludf.AGGREGATE(15,6,(ROW(Ventes_Encaissements!$B$6:$B$3005)-ROW(Ventes_Encaissements!$B$6)+1)/((Ventes_Encaissements!$E$6:$E$3005=$B319)*(Ventes_Encaissements!$J$6:$J$3005=$G319)*(Ventes_Encaissements!$C$6:$C$3005&gt;=$C319-3)*(Ventes_Encaissements!$C$6:$C$3005&lt;=$C319+3)),1)))</f>
        <v/>
      </c>
      <c r="K319" s="6" t="n"/>
    </row>
    <row r="320">
      <c r="A320" s="6" t="n"/>
      <c r="B320" s="6" t="n"/>
      <c r="C320" s="19" t="n"/>
      <c r="D320" s="19" t="n"/>
      <c r="E320" s="6" t="n"/>
      <c r="F320" s="20" t="n"/>
      <c r="G320" s="9">
        <f>IF($F320="","",IF($F320&gt;0,ROUND($F320,2),""))</f>
        <v/>
      </c>
      <c r="H320" s="12">
        <f>IF(OR($B320="",$C320="",$G320=""),"",COUNTIFS(Ventes_Encaissements!$E$6:$E$3005,$B320,Ventes_Encaissements!$J$6:$J$3005,$G320,Ventes_Encaissements!$C$6:$C$3005,"&gt;="&amp;($C320-3),Ventes_Encaissements!$C$6:$C$3005,"&lt;="&amp;($C320+3)))</f>
        <v/>
      </c>
      <c r="I320" s="12">
        <f>IF($H320="","",IF($H320=0,"Non trouvé",IF($H320=1,"Match","À vérifier")))</f>
        <v/>
      </c>
      <c r="J320" s="21">
        <f>IF($I320&lt;&gt;"Match","",INDEX(Ventes_Encaissements!$B$6:$B$3005,_xludf.AGGREGATE(15,6,(ROW(Ventes_Encaissements!$B$6:$B$3005)-ROW(Ventes_Encaissements!$B$6)+1)/((Ventes_Encaissements!$E$6:$E$3005=$B320)*(Ventes_Encaissements!$J$6:$J$3005=$G320)*(Ventes_Encaissements!$C$6:$C$3005&gt;=$C320-3)*(Ventes_Encaissements!$C$6:$C$3005&lt;=$C320+3)),1)))</f>
        <v/>
      </c>
      <c r="K320" s="6" t="n"/>
    </row>
    <row r="321">
      <c r="A321" s="6" t="n"/>
      <c r="B321" s="6" t="n"/>
      <c r="C321" s="19" t="n"/>
      <c r="D321" s="19" t="n"/>
      <c r="E321" s="6" t="n"/>
      <c r="F321" s="20" t="n"/>
      <c r="G321" s="9">
        <f>IF($F321="","",IF($F321&gt;0,ROUND($F321,2),""))</f>
        <v/>
      </c>
      <c r="H321" s="12">
        <f>IF(OR($B321="",$C321="",$G321=""),"",COUNTIFS(Ventes_Encaissements!$E$6:$E$3005,$B321,Ventes_Encaissements!$J$6:$J$3005,$G321,Ventes_Encaissements!$C$6:$C$3005,"&gt;="&amp;($C321-3),Ventes_Encaissements!$C$6:$C$3005,"&lt;="&amp;($C321+3)))</f>
        <v/>
      </c>
      <c r="I321" s="12">
        <f>IF($H321="","",IF($H321=0,"Non trouvé",IF($H321=1,"Match","À vérifier")))</f>
        <v/>
      </c>
      <c r="J321" s="21">
        <f>IF($I321&lt;&gt;"Match","",INDEX(Ventes_Encaissements!$B$6:$B$3005,_xludf.AGGREGATE(15,6,(ROW(Ventes_Encaissements!$B$6:$B$3005)-ROW(Ventes_Encaissements!$B$6)+1)/((Ventes_Encaissements!$E$6:$E$3005=$B321)*(Ventes_Encaissements!$J$6:$J$3005=$G321)*(Ventes_Encaissements!$C$6:$C$3005&gt;=$C321-3)*(Ventes_Encaissements!$C$6:$C$3005&lt;=$C321+3)),1)))</f>
        <v/>
      </c>
      <c r="K321" s="6" t="n"/>
    </row>
    <row r="322">
      <c r="A322" s="6" t="n"/>
      <c r="B322" s="6" t="n"/>
      <c r="C322" s="19" t="n"/>
      <c r="D322" s="19" t="n"/>
      <c r="E322" s="6" t="n"/>
      <c r="F322" s="20" t="n"/>
      <c r="G322" s="9">
        <f>IF($F322="","",IF($F322&gt;0,ROUND($F322,2),""))</f>
        <v/>
      </c>
      <c r="H322" s="12">
        <f>IF(OR($B322="",$C322="",$G322=""),"",COUNTIFS(Ventes_Encaissements!$E$6:$E$3005,$B322,Ventes_Encaissements!$J$6:$J$3005,$G322,Ventes_Encaissements!$C$6:$C$3005,"&gt;="&amp;($C322-3),Ventes_Encaissements!$C$6:$C$3005,"&lt;="&amp;($C322+3)))</f>
        <v/>
      </c>
      <c r="I322" s="12">
        <f>IF($H322="","",IF($H322=0,"Non trouvé",IF($H322=1,"Match","À vérifier")))</f>
        <v/>
      </c>
      <c r="J322" s="21">
        <f>IF($I322&lt;&gt;"Match","",INDEX(Ventes_Encaissements!$B$6:$B$3005,_xludf.AGGREGATE(15,6,(ROW(Ventes_Encaissements!$B$6:$B$3005)-ROW(Ventes_Encaissements!$B$6)+1)/((Ventes_Encaissements!$E$6:$E$3005=$B322)*(Ventes_Encaissements!$J$6:$J$3005=$G322)*(Ventes_Encaissements!$C$6:$C$3005&gt;=$C322-3)*(Ventes_Encaissements!$C$6:$C$3005&lt;=$C322+3)),1)))</f>
        <v/>
      </c>
      <c r="K322" s="6" t="n"/>
    </row>
    <row r="323">
      <c r="A323" s="6" t="n"/>
      <c r="B323" s="6" t="n"/>
      <c r="C323" s="19" t="n"/>
      <c r="D323" s="19" t="n"/>
      <c r="E323" s="6" t="n"/>
      <c r="F323" s="20" t="n"/>
      <c r="G323" s="9">
        <f>IF($F323="","",IF($F323&gt;0,ROUND($F323,2),""))</f>
        <v/>
      </c>
      <c r="H323" s="12">
        <f>IF(OR($B323="",$C323="",$G323=""),"",COUNTIFS(Ventes_Encaissements!$E$6:$E$3005,$B323,Ventes_Encaissements!$J$6:$J$3005,$G323,Ventes_Encaissements!$C$6:$C$3005,"&gt;="&amp;($C323-3),Ventes_Encaissements!$C$6:$C$3005,"&lt;="&amp;($C323+3)))</f>
        <v/>
      </c>
      <c r="I323" s="12">
        <f>IF($H323="","",IF($H323=0,"Non trouvé",IF($H323=1,"Match","À vérifier")))</f>
        <v/>
      </c>
      <c r="J323" s="21">
        <f>IF($I323&lt;&gt;"Match","",INDEX(Ventes_Encaissements!$B$6:$B$3005,_xludf.AGGREGATE(15,6,(ROW(Ventes_Encaissements!$B$6:$B$3005)-ROW(Ventes_Encaissements!$B$6)+1)/((Ventes_Encaissements!$E$6:$E$3005=$B323)*(Ventes_Encaissements!$J$6:$J$3005=$G323)*(Ventes_Encaissements!$C$6:$C$3005&gt;=$C323-3)*(Ventes_Encaissements!$C$6:$C$3005&lt;=$C323+3)),1)))</f>
        <v/>
      </c>
      <c r="K323" s="6" t="n"/>
    </row>
    <row r="324">
      <c r="A324" s="6" t="n"/>
      <c r="B324" s="6" t="n"/>
      <c r="C324" s="19" t="n"/>
      <c r="D324" s="19" t="n"/>
      <c r="E324" s="6" t="n"/>
      <c r="F324" s="20" t="n"/>
      <c r="G324" s="9">
        <f>IF($F324="","",IF($F324&gt;0,ROUND($F324,2),""))</f>
        <v/>
      </c>
      <c r="H324" s="12">
        <f>IF(OR($B324="",$C324="",$G324=""),"",COUNTIFS(Ventes_Encaissements!$E$6:$E$3005,$B324,Ventes_Encaissements!$J$6:$J$3005,$G324,Ventes_Encaissements!$C$6:$C$3005,"&gt;="&amp;($C324-3),Ventes_Encaissements!$C$6:$C$3005,"&lt;="&amp;($C324+3)))</f>
        <v/>
      </c>
      <c r="I324" s="12">
        <f>IF($H324="","",IF($H324=0,"Non trouvé",IF($H324=1,"Match","À vérifier")))</f>
        <v/>
      </c>
      <c r="J324" s="21">
        <f>IF($I324&lt;&gt;"Match","",INDEX(Ventes_Encaissements!$B$6:$B$3005,_xludf.AGGREGATE(15,6,(ROW(Ventes_Encaissements!$B$6:$B$3005)-ROW(Ventes_Encaissements!$B$6)+1)/((Ventes_Encaissements!$E$6:$E$3005=$B324)*(Ventes_Encaissements!$J$6:$J$3005=$G324)*(Ventes_Encaissements!$C$6:$C$3005&gt;=$C324-3)*(Ventes_Encaissements!$C$6:$C$3005&lt;=$C324+3)),1)))</f>
        <v/>
      </c>
      <c r="K324" s="6" t="n"/>
    </row>
    <row r="325">
      <c r="A325" s="6" t="n"/>
      <c r="B325" s="6" t="n"/>
      <c r="C325" s="19" t="n"/>
      <c r="D325" s="19" t="n"/>
      <c r="E325" s="6" t="n"/>
      <c r="F325" s="20" t="n"/>
      <c r="G325" s="9">
        <f>IF($F325="","",IF($F325&gt;0,ROUND($F325,2),""))</f>
        <v/>
      </c>
      <c r="H325" s="12">
        <f>IF(OR($B325="",$C325="",$G325=""),"",COUNTIFS(Ventes_Encaissements!$E$6:$E$3005,$B325,Ventes_Encaissements!$J$6:$J$3005,$G325,Ventes_Encaissements!$C$6:$C$3005,"&gt;="&amp;($C325-3),Ventes_Encaissements!$C$6:$C$3005,"&lt;="&amp;($C325+3)))</f>
        <v/>
      </c>
      <c r="I325" s="12">
        <f>IF($H325="","",IF($H325=0,"Non trouvé",IF($H325=1,"Match","À vérifier")))</f>
        <v/>
      </c>
      <c r="J325" s="21">
        <f>IF($I325&lt;&gt;"Match","",INDEX(Ventes_Encaissements!$B$6:$B$3005,_xludf.AGGREGATE(15,6,(ROW(Ventes_Encaissements!$B$6:$B$3005)-ROW(Ventes_Encaissements!$B$6)+1)/((Ventes_Encaissements!$E$6:$E$3005=$B325)*(Ventes_Encaissements!$J$6:$J$3005=$G325)*(Ventes_Encaissements!$C$6:$C$3005&gt;=$C325-3)*(Ventes_Encaissements!$C$6:$C$3005&lt;=$C325+3)),1)))</f>
        <v/>
      </c>
      <c r="K325" s="6" t="n"/>
    </row>
    <row r="326">
      <c r="A326" s="6" t="n"/>
      <c r="B326" s="6" t="n"/>
      <c r="C326" s="19" t="n"/>
      <c r="D326" s="19" t="n"/>
      <c r="E326" s="6" t="n"/>
      <c r="F326" s="20" t="n"/>
      <c r="G326" s="9">
        <f>IF($F326="","",IF($F326&gt;0,ROUND($F326,2),""))</f>
        <v/>
      </c>
      <c r="H326" s="12">
        <f>IF(OR($B326="",$C326="",$G326=""),"",COUNTIFS(Ventes_Encaissements!$E$6:$E$3005,$B326,Ventes_Encaissements!$J$6:$J$3005,$G326,Ventes_Encaissements!$C$6:$C$3005,"&gt;="&amp;($C326-3),Ventes_Encaissements!$C$6:$C$3005,"&lt;="&amp;($C326+3)))</f>
        <v/>
      </c>
      <c r="I326" s="12">
        <f>IF($H326="","",IF($H326=0,"Non trouvé",IF($H326=1,"Match","À vérifier")))</f>
        <v/>
      </c>
      <c r="J326" s="21">
        <f>IF($I326&lt;&gt;"Match","",INDEX(Ventes_Encaissements!$B$6:$B$3005,_xludf.AGGREGATE(15,6,(ROW(Ventes_Encaissements!$B$6:$B$3005)-ROW(Ventes_Encaissements!$B$6)+1)/((Ventes_Encaissements!$E$6:$E$3005=$B326)*(Ventes_Encaissements!$J$6:$J$3005=$G326)*(Ventes_Encaissements!$C$6:$C$3005&gt;=$C326-3)*(Ventes_Encaissements!$C$6:$C$3005&lt;=$C326+3)),1)))</f>
        <v/>
      </c>
      <c r="K326" s="6" t="n"/>
    </row>
    <row r="327">
      <c r="A327" s="6" t="n"/>
      <c r="B327" s="6" t="n"/>
      <c r="C327" s="19" t="n"/>
      <c r="D327" s="19" t="n"/>
      <c r="E327" s="6" t="n"/>
      <c r="F327" s="20" t="n"/>
      <c r="G327" s="9">
        <f>IF($F327="","",IF($F327&gt;0,ROUND($F327,2),""))</f>
        <v/>
      </c>
      <c r="H327" s="12">
        <f>IF(OR($B327="",$C327="",$G327=""),"",COUNTIFS(Ventes_Encaissements!$E$6:$E$3005,$B327,Ventes_Encaissements!$J$6:$J$3005,$G327,Ventes_Encaissements!$C$6:$C$3005,"&gt;="&amp;($C327-3),Ventes_Encaissements!$C$6:$C$3005,"&lt;="&amp;($C327+3)))</f>
        <v/>
      </c>
      <c r="I327" s="12">
        <f>IF($H327="","",IF($H327=0,"Non trouvé",IF($H327=1,"Match","À vérifier")))</f>
        <v/>
      </c>
      <c r="J327" s="21">
        <f>IF($I327&lt;&gt;"Match","",INDEX(Ventes_Encaissements!$B$6:$B$3005,_xludf.AGGREGATE(15,6,(ROW(Ventes_Encaissements!$B$6:$B$3005)-ROW(Ventes_Encaissements!$B$6)+1)/((Ventes_Encaissements!$E$6:$E$3005=$B327)*(Ventes_Encaissements!$J$6:$J$3005=$G327)*(Ventes_Encaissements!$C$6:$C$3005&gt;=$C327-3)*(Ventes_Encaissements!$C$6:$C$3005&lt;=$C327+3)),1)))</f>
        <v/>
      </c>
      <c r="K327" s="6" t="n"/>
    </row>
    <row r="328">
      <c r="A328" s="6" t="n"/>
      <c r="B328" s="6" t="n"/>
      <c r="C328" s="19" t="n"/>
      <c r="D328" s="19" t="n"/>
      <c r="E328" s="6" t="n"/>
      <c r="F328" s="20" t="n"/>
      <c r="G328" s="9">
        <f>IF($F328="","",IF($F328&gt;0,ROUND($F328,2),""))</f>
        <v/>
      </c>
      <c r="H328" s="12">
        <f>IF(OR($B328="",$C328="",$G328=""),"",COUNTIFS(Ventes_Encaissements!$E$6:$E$3005,$B328,Ventes_Encaissements!$J$6:$J$3005,$G328,Ventes_Encaissements!$C$6:$C$3005,"&gt;="&amp;($C328-3),Ventes_Encaissements!$C$6:$C$3005,"&lt;="&amp;($C328+3)))</f>
        <v/>
      </c>
      <c r="I328" s="12">
        <f>IF($H328="","",IF($H328=0,"Non trouvé",IF($H328=1,"Match","À vérifier")))</f>
        <v/>
      </c>
      <c r="J328" s="21">
        <f>IF($I328&lt;&gt;"Match","",INDEX(Ventes_Encaissements!$B$6:$B$3005,_xludf.AGGREGATE(15,6,(ROW(Ventes_Encaissements!$B$6:$B$3005)-ROW(Ventes_Encaissements!$B$6)+1)/((Ventes_Encaissements!$E$6:$E$3005=$B328)*(Ventes_Encaissements!$J$6:$J$3005=$G328)*(Ventes_Encaissements!$C$6:$C$3005&gt;=$C328-3)*(Ventes_Encaissements!$C$6:$C$3005&lt;=$C328+3)),1)))</f>
        <v/>
      </c>
      <c r="K328" s="6" t="n"/>
    </row>
    <row r="329">
      <c r="A329" s="6" t="n"/>
      <c r="B329" s="6" t="n"/>
      <c r="C329" s="19" t="n"/>
      <c r="D329" s="19" t="n"/>
      <c r="E329" s="6" t="n"/>
      <c r="F329" s="20" t="n"/>
      <c r="G329" s="9">
        <f>IF($F329="","",IF($F329&gt;0,ROUND($F329,2),""))</f>
        <v/>
      </c>
      <c r="H329" s="12">
        <f>IF(OR($B329="",$C329="",$G329=""),"",COUNTIFS(Ventes_Encaissements!$E$6:$E$3005,$B329,Ventes_Encaissements!$J$6:$J$3005,$G329,Ventes_Encaissements!$C$6:$C$3005,"&gt;="&amp;($C329-3),Ventes_Encaissements!$C$6:$C$3005,"&lt;="&amp;($C329+3)))</f>
        <v/>
      </c>
      <c r="I329" s="12">
        <f>IF($H329="","",IF($H329=0,"Non trouvé",IF($H329=1,"Match","À vérifier")))</f>
        <v/>
      </c>
      <c r="J329" s="21">
        <f>IF($I329&lt;&gt;"Match","",INDEX(Ventes_Encaissements!$B$6:$B$3005,_xludf.AGGREGATE(15,6,(ROW(Ventes_Encaissements!$B$6:$B$3005)-ROW(Ventes_Encaissements!$B$6)+1)/((Ventes_Encaissements!$E$6:$E$3005=$B329)*(Ventes_Encaissements!$J$6:$J$3005=$G329)*(Ventes_Encaissements!$C$6:$C$3005&gt;=$C329-3)*(Ventes_Encaissements!$C$6:$C$3005&lt;=$C329+3)),1)))</f>
        <v/>
      </c>
      <c r="K329" s="6" t="n"/>
    </row>
    <row r="330">
      <c r="A330" s="6" t="n"/>
      <c r="B330" s="6" t="n"/>
      <c r="C330" s="19" t="n"/>
      <c r="D330" s="19" t="n"/>
      <c r="E330" s="6" t="n"/>
      <c r="F330" s="20" t="n"/>
      <c r="G330" s="9">
        <f>IF($F330="","",IF($F330&gt;0,ROUND($F330,2),""))</f>
        <v/>
      </c>
      <c r="H330" s="12">
        <f>IF(OR($B330="",$C330="",$G330=""),"",COUNTIFS(Ventes_Encaissements!$E$6:$E$3005,$B330,Ventes_Encaissements!$J$6:$J$3005,$G330,Ventes_Encaissements!$C$6:$C$3005,"&gt;="&amp;($C330-3),Ventes_Encaissements!$C$6:$C$3005,"&lt;="&amp;($C330+3)))</f>
        <v/>
      </c>
      <c r="I330" s="12">
        <f>IF($H330="","",IF($H330=0,"Non trouvé",IF($H330=1,"Match","À vérifier")))</f>
        <v/>
      </c>
      <c r="J330" s="21">
        <f>IF($I330&lt;&gt;"Match","",INDEX(Ventes_Encaissements!$B$6:$B$3005,_xludf.AGGREGATE(15,6,(ROW(Ventes_Encaissements!$B$6:$B$3005)-ROW(Ventes_Encaissements!$B$6)+1)/((Ventes_Encaissements!$E$6:$E$3005=$B330)*(Ventes_Encaissements!$J$6:$J$3005=$G330)*(Ventes_Encaissements!$C$6:$C$3005&gt;=$C330-3)*(Ventes_Encaissements!$C$6:$C$3005&lt;=$C330+3)),1)))</f>
        <v/>
      </c>
      <c r="K330" s="6" t="n"/>
    </row>
    <row r="331">
      <c r="A331" s="6" t="n"/>
      <c r="B331" s="6" t="n"/>
      <c r="C331" s="19" t="n"/>
      <c r="D331" s="19" t="n"/>
      <c r="E331" s="6" t="n"/>
      <c r="F331" s="20" t="n"/>
      <c r="G331" s="9">
        <f>IF($F331="","",IF($F331&gt;0,ROUND($F331,2),""))</f>
        <v/>
      </c>
      <c r="H331" s="12">
        <f>IF(OR($B331="",$C331="",$G331=""),"",COUNTIFS(Ventes_Encaissements!$E$6:$E$3005,$B331,Ventes_Encaissements!$J$6:$J$3005,$G331,Ventes_Encaissements!$C$6:$C$3005,"&gt;="&amp;($C331-3),Ventes_Encaissements!$C$6:$C$3005,"&lt;="&amp;($C331+3)))</f>
        <v/>
      </c>
      <c r="I331" s="12">
        <f>IF($H331="","",IF($H331=0,"Non trouvé",IF($H331=1,"Match","À vérifier")))</f>
        <v/>
      </c>
      <c r="J331" s="21">
        <f>IF($I331&lt;&gt;"Match","",INDEX(Ventes_Encaissements!$B$6:$B$3005,_xludf.AGGREGATE(15,6,(ROW(Ventes_Encaissements!$B$6:$B$3005)-ROW(Ventes_Encaissements!$B$6)+1)/((Ventes_Encaissements!$E$6:$E$3005=$B331)*(Ventes_Encaissements!$J$6:$J$3005=$G331)*(Ventes_Encaissements!$C$6:$C$3005&gt;=$C331-3)*(Ventes_Encaissements!$C$6:$C$3005&lt;=$C331+3)),1)))</f>
        <v/>
      </c>
      <c r="K331" s="6" t="n"/>
    </row>
    <row r="332">
      <c r="A332" s="6" t="n"/>
      <c r="B332" s="6" t="n"/>
      <c r="C332" s="19" t="n"/>
      <c r="D332" s="19" t="n"/>
      <c r="E332" s="6" t="n"/>
      <c r="F332" s="20" t="n"/>
      <c r="G332" s="9">
        <f>IF($F332="","",IF($F332&gt;0,ROUND($F332,2),""))</f>
        <v/>
      </c>
      <c r="H332" s="12">
        <f>IF(OR($B332="",$C332="",$G332=""),"",COUNTIFS(Ventes_Encaissements!$E$6:$E$3005,$B332,Ventes_Encaissements!$J$6:$J$3005,$G332,Ventes_Encaissements!$C$6:$C$3005,"&gt;="&amp;($C332-3),Ventes_Encaissements!$C$6:$C$3005,"&lt;="&amp;($C332+3)))</f>
        <v/>
      </c>
      <c r="I332" s="12">
        <f>IF($H332="","",IF($H332=0,"Non trouvé",IF($H332=1,"Match","À vérifier")))</f>
        <v/>
      </c>
      <c r="J332" s="21">
        <f>IF($I332&lt;&gt;"Match","",INDEX(Ventes_Encaissements!$B$6:$B$3005,_xludf.AGGREGATE(15,6,(ROW(Ventes_Encaissements!$B$6:$B$3005)-ROW(Ventes_Encaissements!$B$6)+1)/((Ventes_Encaissements!$E$6:$E$3005=$B332)*(Ventes_Encaissements!$J$6:$J$3005=$G332)*(Ventes_Encaissements!$C$6:$C$3005&gt;=$C332-3)*(Ventes_Encaissements!$C$6:$C$3005&lt;=$C332+3)),1)))</f>
        <v/>
      </c>
      <c r="K332" s="6" t="n"/>
    </row>
    <row r="333">
      <c r="A333" s="6" t="n"/>
      <c r="B333" s="6" t="n"/>
      <c r="C333" s="19" t="n"/>
      <c r="D333" s="19" t="n"/>
      <c r="E333" s="6" t="n"/>
      <c r="F333" s="20" t="n"/>
      <c r="G333" s="9">
        <f>IF($F333="","",IF($F333&gt;0,ROUND($F333,2),""))</f>
        <v/>
      </c>
      <c r="H333" s="12">
        <f>IF(OR($B333="",$C333="",$G333=""),"",COUNTIFS(Ventes_Encaissements!$E$6:$E$3005,$B333,Ventes_Encaissements!$J$6:$J$3005,$G333,Ventes_Encaissements!$C$6:$C$3005,"&gt;="&amp;($C333-3),Ventes_Encaissements!$C$6:$C$3005,"&lt;="&amp;($C333+3)))</f>
        <v/>
      </c>
      <c r="I333" s="12">
        <f>IF($H333="","",IF($H333=0,"Non trouvé",IF($H333=1,"Match","À vérifier")))</f>
        <v/>
      </c>
      <c r="J333" s="21">
        <f>IF($I333&lt;&gt;"Match","",INDEX(Ventes_Encaissements!$B$6:$B$3005,_xludf.AGGREGATE(15,6,(ROW(Ventes_Encaissements!$B$6:$B$3005)-ROW(Ventes_Encaissements!$B$6)+1)/((Ventes_Encaissements!$E$6:$E$3005=$B333)*(Ventes_Encaissements!$J$6:$J$3005=$G333)*(Ventes_Encaissements!$C$6:$C$3005&gt;=$C333-3)*(Ventes_Encaissements!$C$6:$C$3005&lt;=$C333+3)),1)))</f>
        <v/>
      </c>
      <c r="K333" s="6" t="n"/>
    </row>
    <row r="334">
      <c r="A334" s="6" t="n"/>
      <c r="B334" s="6" t="n"/>
      <c r="C334" s="19" t="n"/>
      <c r="D334" s="19" t="n"/>
      <c r="E334" s="6" t="n"/>
      <c r="F334" s="20" t="n"/>
      <c r="G334" s="9">
        <f>IF($F334="","",IF($F334&gt;0,ROUND($F334,2),""))</f>
        <v/>
      </c>
      <c r="H334" s="12">
        <f>IF(OR($B334="",$C334="",$G334=""),"",COUNTIFS(Ventes_Encaissements!$E$6:$E$3005,$B334,Ventes_Encaissements!$J$6:$J$3005,$G334,Ventes_Encaissements!$C$6:$C$3005,"&gt;="&amp;($C334-3),Ventes_Encaissements!$C$6:$C$3005,"&lt;="&amp;($C334+3)))</f>
        <v/>
      </c>
      <c r="I334" s="12">
        <f>IF($H334="","",IF($H334=0,"Non trouvé",IF($H334=1,"Match","À vérifier")))</f>
        <v/>
      </c>
      <c r="J334" s="21">
        <f>IF($I334&lt;&gt;"Match","",INDEX(Ventes_Encaissements!$B$6:$B$3005,_xludf.AGGREGATE(15,6,(ROW(Ventes_Encaissements!$B$6:$B$3005)-ROW(Ventes_Encaissements!$B$6)+1)/((Ventes_Encaissements!$E$6:$E$3005=$B334)*(Ventes_Encaissements!$J$6:$J$3005=$G334)*(Ventes_Encaissements!$C$6:$C$3005&gt;=$C334-3)*(Ventes_Encaissements!$C$6:$C$3005&lt;=$C334+3)),1)))</f>
        <v/>
      </c>
      <c r="K334" s="6" t="n"/>
    </row>
    <row r="335">
      <c r="A335" s="6" t="n"/>
      <c r="B335" s="6" t="n"/>
      <c r="C335" s="19" t="n"/>
      <c r="D335" s="19" t="n"/>
      <c r="E335" s="6" t="n"/>
      <c r="F335" s="20" t="n"/>
      <c r="G335" s="9">
        <f>IF($F335="","",IF($F335&gt;0,ROUND($F335,2),""))</f>
        <v/>
      </c>
      <c r="H335" s="12">
        <f>IF(OR($B335="",$C335="",$G335=""),"",COUNTIFS(Ventes_Encaissements!$E$6:$E$3005,$B335,Ventes_Encaissements!$J$6:$J$3005,$G335,Ventes_Encaissements!$C$6:$C$3005,"&gt;="&amp;($C335-3),Ventes_Encaissements!$C$6:$C$3005,"&lt;="&amp;($C335+3)))</f>
        <v/>
      </c>
      <c r="I335" s="12">
        <f>IF($H335="","",IF($H335=0,"Non trouvé",IF($H335=1,"Match","À vérifier")))</f>
        <v/>
      </c>
      <c r="J335" s="21">
        <f>IF($I335&lt;&gt;"Match","",INDEX(Ventes_Encaissements!$B$6:$B$3005,_xludf.AGGREGATE(15,6,(ROW(Ventes_Encaissements!$B$6:$B$3005)-ROW(Ventes_Encaissements!$B$6)+1)/((Ventes_Encaissements!$E$6:$E$3005=$B335)*(Ventes_Encaissements!$J$6:$J$3005=$G335)*(Ventes_Encaissements!$C$6:$C$3005&gt;=$C335-3)*(Ventes_Encaissements!$C$6:$C$3005&lt;=$C335+3)),1)))</f>
        <v/>
      </c>
      <c r="K335" s="6" t="n"/>
    </row>
    <row r="336">
      <c r="A336" s="6" t="n"/>
      <c r="B336" s="6" t="n"/>
      <c r="C336" s="19" t="n"/>
      <c r="D336" s="19" t="n"/>
      <c r="E336" s="6" t="n"/>
      <c r="F336" s="20" t="n"/>
      <c r="G336" s="9">
        <f>IF($F336="","",IF($F336&gt;0,ROUND($F336,2),""))</f>
        <v/>
      </c>
      <c r="H336" s="12">
        <f>IF(OR($B336="",$C336="",$G336=""),"",COUNTIFS(Ventes_Encaissements!$E$6:$E$3005,$B336,Ventes_Encaissements!$J$6:$J$3005,$G336,Ventes_Encaissements!$C$6:$C$3005,"&gt;="&amp;($C336-3),Ventes_Encaissements!$C$6:$C$3005,"&lt;="&amp;($C336+3)))</f>
        <v/>
      </c>
      <c r="I336" s="12">
        <f>IF($H336="","",IF($H336=0,"Non trouvé",IF($H336=1,"Match","À vérifier")))</f>
        <v/>
      </c>
      <c r="J336" s="21">
        <f>IF($I336&lt;&gt;"Match","",INDEX(Ventes_Encaissements!$B$6:$B$3005,_xludf.AGGREGATE(15,6,(ROW(Ventes_Encaissements!$B$6:$B$3005)-ROW(Ventes_Encaissements!$B$6)+1)/((Ventes_Encaissements!$E$6:$E$3005=$B336)*(Ventes_Encaissements!$J$6:$J$3005=$G336)*(Ventes_Encaissements!$C$6:$C$3005&gt;=$C336-3)*(Ventes_Encaissements!$C$6:$C$3005&lt;=$C336+3)),1)))</f>
        <v/>
      </c>
      <c r="K336" s="6" t="n"/>
    </row>
    <row r="337">
      <c r="A337" s="6" t="n"/>
      <c r="B337" s="6" t="n"/>
      <c r="C337" s="19" t="n"/>
      <c r="D337" s="19" t="n"/>
      <c r="E337" s="6" t="n"/>
      <c r="F337" s="20" t="n"/>
      <c r="G337" s="9">
        <f>IF($F337="","",IF($F337&gt;0,ROUND($F337,2),""))</f>
        <v/>
      </c>
      <c r="H337" s="12">
        <f>IF(OR($B337="",$C337="",$G337=""),"",COUNTIFS(Ventes_Encaissements!$E$6:$E$3005,$B337,Ventes_Encaissements!$J$6:$J$3005,$G337,Ventes_Encaissements!$C$6:$C$3005,"&gt;="&amp;($C337-3),Ventes_Encaissements!$C$6:$C$3005,"&lt;="&amp;($C337+3)))</f>
        <v/>
      </c>
      <c r="I337" s="12">
        <f>IF($H337="","",IF($H337=0,"Non trouvé",IF($H337=1,"Match","À vérifier")))</f>
        <v/>
      </c>
      <c r="J337" s="21">
        <f>IF($I337&lt;&gt;"Match","",INDEX(Ventes_Encaissements!$B$6:$B$3005,_xludf.AGGREGATE(15,6,(ROW(Ventes_Encaissements!$B$6:$B$3005)-ROW(Ventes_Encaissements!$B$6)+1)/((Ventes_Encaissements!$E$6:$E$3005=$B337)*(Ventes_Encaissements!$J$6:$J$3005=$G337)*(Ventes_Encaissements!$C$6:$C$3005&gt;=$C337-3)*(Ventes_Encaissements!$C$6:$C$3005&lt;=$C337+3)),1)))</f>
        <v/>
      </c>
      <c r="K337" s="6" t="n"/>
    </row>
    <row r="338">
      <c r="A338" s="6" t="n"/>
      <c r="B338" s="6" t="n"/>
      <c r="C338" s="19" t="n"/>
      <c r="D338" s="19" t="n"/>
      <c r="E338" s="6" t="n"/>
      <c r="F338" s="20" t="n"/>
      <c r="G338" s="9">
        <f>IF($F338="","",IF($F338&gt;0,ROUND($F338,2),""))</f>
        <v/>
      </c>
      <c r="H338" s="12">
        <f>IF(OR($B338="",$C338="",$G338=""),"",COUNTIFS(Ventes_Encaissements!$E$6:$E$3005,$B338,Ventes_Encaissements!$J$6:$J$3005,$G338,Ventes_Encaissements!$C$6:$C$3005,"&gt;="&amp;($C338-3),Ventes_Encaissements!$C$6:$C$3005,"&lt;="&amp;($C338+3)))</f>
        <v/>
      </c>
      <c r="I338" s="12">
        <f>IF($H338="","",IF($H338=0,"Non trouvé",IF($H338=1,"Match","À vérifier")))</f>
        <v/>
      </c>
      <c r="J338" s="21">
        <f>IF($I338&lt;&gt;"Match","",INDEX(Ventes_Encaissements!$B$6:$B$3005,_xludf.AGGREGATE(15,6,(ROW(Ventes_Encaissements!$B$6:$B$3005)-ROW(Ventes_Encaissements!$B$6)+1)/((Ventes_Encaissements!$E$6:$E$3005=$B338)*(Ventes_Encaissements!$J$6:$J$3005=$G338)*(Ventes_Encaissements!$C$6:$C$3005&gt;=$C338-3)*(Ventes_Encaissements!$C$6:$C$3005&lt;=$C338+3)),1)))</f>
        <v/>
      </c>
      <c r="K338" s="6" t="n"/>
    </row>
    <row r="339">
      <c r="A339" s="6" t="n"/>
      <c r="B339" s="6" t="n"/>
      <c r="C339" s="19" t="n"/>
      <c r="D339" s="19" t="n"/>
      <c r="E339" s="6" t="n"/>
      <c r="F339" s="20" t="n"/>
      <c r="G339" s="9">
        <f>IF($F339="","",IF($F339&gt;0,ROUND($F339,2),""))</f>
        <v/>
      </c>
      <c r="H339" s="12">
        <f>IF(OR($B339="",$C339="",$G339=""),"",COUNTIFS(Ventes_Encaissements!$E$6:$E$3005,$B339,Ventes_Encaissements!$J$6:$J$3005,$G339,Ventes_Encaissements!$C$6:$C$3005,"&gt;="&amp;($C339-3),Ventes_Encaissements!$C$6:$C$3005,"&lt;="&amp;($C339+3)))</f>
        <v/>
      </c>
      <c r="I339" s="12">
        <f>IF($H339="","",IF($H339=0,"Non trouvé",IF($H339=1,"Match","À vérifier")))</f>
        <v/>
      </c>
      <c r="J339" s="21">
        <f>IF($I339&lt;&gt;"Match","",INDEX(Ventes_Encaissements!$B$6:$B$3005,_xludf.AGGREGATE(15,6,(ROW(Ventes_Encaissements!$B$6:$B$3005)-ROW(Ventes_Encaissements!$B$6)+1)/((Ventes_Encaissements!$E$6:$E$3005=$B339)*(Ventes_Encaissements!$J$6:$J$3005=$G339)*(Ventes_Encaissements!$C$6:$C$3005&gt;=$C339-3)*(Ventes_Encaissements!$C$6:$C$3005&lt;=$C339+3)),1)))</f>
        <v/>
      </c>
      <c r="K339" s="6" t="n"/>
    </row>
    <row r="340">
      <c r="A340" s="6" t="n"/>
      <c r="B340" s="6" t="n"/>
      <c r="C340" s="19" t="n"/>
      <c r="D340" s="19" t="n"/>
      <c r="E340" s="6" t="n"/>
      <c r="F340" s="20" t="n"/>
      <c r="G340" s="9">
        <f>IF($F340="","",IF($F340&gt;0,ROUND($F340,2),""))</f>
        <v/>
      </c>
      <c r="H340" s="12">
        <f>IF(OR($B340="",$C340="",$G340=""),"",COUNTIFS(Ventes_Encaissements!$E$6:$E$3005,$B340,Ventes_Encaissements!$J$6:$J$3005,$G340,Ventes_Encaissements!$C$6:$C$3005,"&gt;="&amp;($C340-3),Ventes_Encaissements!$C$6:$C$3005,"&lt;="&amp;($C340+3)))</f>
        <v/>
      </c>
      <c r="I340" s="12">
        <f>IF($H340="","",IF($H340=0,"Non trouvé",IF($H340=1,"Match","À vérifier")))</f>
        <v/>
      </c>
      <c r="J340" s="21">
        <f>IF($I340&lt;&gt;"Match","",INDEX(Ventes_Encaissements!$B$6:$B$3005,_xludf.AGGREGATE(15,6,(ROW(Ventes_Encaissements!$B$6:$B$3005)-ROW(Ventes_Encaissements!$B$6)+1)/((Ventes_Encaissements!$E$6:$E$3005=$B340)*(Ventes_Encaissements!$J$6:$J$3005=$G340)*(Ventes_Encaissements!$C$6:$C$3005&gt;=$C340-3)*(Ventes_Encaissements!$C$6:$C$3005&lt;=$C340+3)),1)))</f>
        <v/>
      </c>
      <c r="K340" s="6" t="n"/>
    </row>
    <row r="341">
      <c r="A341" s="6" t="n"/>
      <c r="B341" s="6" t="n"/>
      <c r="C341" s="19" t="n"/>
      <c r="D341" s="19" t="n"/>
      <c r="E341" s="6" t="n"/>
      <c r="F341" s="20" t="n"/>
      <c r="G341" s="9">
        <f>IF($F341="","",IF($F341&gt;0,ROUND($F341,2),""))</f>
        <v/>
      </c>
      <c r="H341" s="12">
        <f>IF(OR($B341="",$C341="",$G341=""),"",COUNTIFS(Ventes_Encaissements!$E$6:$E$3005,$B341,Ventes_Encaissements!$J$6:$J$3005,$G341,Ventes_Encaissements!$C$6:$C$3005,"&gt;="&amp;($C341-3),Ventes_Encaissements!$C$6:$C$3005,"&lt;="&amp;($C341+3)))</f>
        <v/>
      </c>
      <c r="I341" s="12">
        <f>IF($H341="","",IF($H341=0,"Non trouvé",IF($H341=1,"Match","À vérifier")))</f>
        <v/>
      </c>
      <c r="J341" s="21">
        <f>IF($I341&lt;&gt;"Match","",INDEX(Ventes_Encaissements!$B$6:$B$3005,_xludf.AGGREGATE(15,6,(ROW(Ventes_Encaissements!$B$6:$B$3005)-ROW(Ventes_Encaissements!$B$6)+1)/((Ventes_Encaissements!$E$6:$E$3005=$B341)*(Ventes_Encaissements!$J$6:$J$3005=$G341)*(Ventes_Encaissements!$C$6:$C$3005&gt;=$C341-3)*(Ventes_Encaissements!$C$6:$C$3005&lt;=$C341+3)),1)))</f>
        <v/>
      </c>
      <c r="K341" s="6" t="n"/>
    </row>
    <row r="342">
      <c r="A342" s="6" t="n"/>
      <c r="B342" s="6" t="n"/>
      <c r="C342" s="19" t="n"/>
      <c r="D342" s="19" t="n"/>
      <c r="E342" s="6" t="n"/>
      <c r="F342" s="20" t="n"/>
      <c r="G342" s="9">
        <f>IF($F342="","",IF($F342&gt;0,ROUND($F342,2),""))</f>
        <v/>
      </c>
      <c r="H342" s="12">
        <f>IF(OR($B342="",$C342="",$G342=""),"",COUNTIFS(Ventes_Encaissements!$E$6:$E$3005,$B342,Ventes_Encaissements!$J$6:$J$3005,$G342,Ventes_Encaissements!$C$6:$C$3005,"&gt;="&amp;($C342-3),Ventes_Encaissements!$C$6:$C$3005,"&lt;="&amp;($C342+3)))</f>
        <v/>
      </c>
      <c r="I342" s="12">
        <f>IF($H342="","",IF($H342=0,"Non trouvé",IF($H342=1,"Match","À vérifier")))</f>
        <v/>
      </c>
      <c r="J342" s="21">
        <f>IF($I342&lt;&gt;"Match","",INDEX(Ventes_Encaissements!$B$6:$B$3005,_xludf.AGGREGATE(15,6,(ROW(Ventes_Encaissements!$B$6:$B$3005)-ROW(Ventes_Encaissements!$B$6)+1)/((Ventes_Encaissements!$E$6:$E$3005=$B342)*(Ventes_Encaissements!$J$6:$J$3005=$G342)*(Ventes_Encaissements!$C$6:$C$3005&gt;=$C342-3)*(Ventes_Encaissements!$C$6:$C$3005&lt;=$C342+3)),1)))</f>
        <v/>
      </c>
      <c r="K342" s="6" t="n"/>
    </row>
    <row r="343">
      <c r="A343" s="6" t="n"/>
      <c r="B343" s="6" t="n"/>
      <c r="C343" s="19" t="n"/>
      <c r="D343" s="19" t="n"/>
      <c r="E343" s="6" t="n"/>
      <c r="F343" s="20" t="n"/>
      <c r="G343" s="9">
        <f>IF($F343="","",IF($F343&gt;0,ROUND($F343,2),""))</f>
        <v/>
      </c>
      <c r="H343" s="12">
        <f>IF(OR($B343="",$C343="",$G343=""),"",COUNTIFS(Ventes_Encaissements!$E$6:$E$3005,$B343,Ventes_Encaissements!$J$6:$J$3005,$G343,Ventes_Encaissements!$C$6:$C$3005,"&gt;="&amp;($C343-3),Ventes_Encaissements!$C$6:$C$3005,"&lt;="&amp;($C343+3)))</f>
        <v/>
      </c>
      <c r="I343" s="12">
        <f>IF($H343="","",IF($H343=0,"Non trouvé",IF($H343=1,"Match","À vérifier")))</f>
        <v/>
      </c>
      <c r="J343" s="21">
        <f>IF($I343&lt;&gt;"Match","",INDEX(Ventes_Encaissements!$B$6:$B$3005,_xludf.AGGREGATE(15,6,(ROW(Ventes_Encaissements!$B$6:$B$3005)-ROW(Ventes_Encaissements!$B$6)+1)/((Ventes_Encaissements!$E$6:$E$3005=$B343)*(Ventes_Encaissements!$J$6:$J$3005=$G343)*(Ventes_Encaissements!$C$6:$C$3005&gt;=$C343-3)*(Ventes_Encaissements!$C$6:$C$3005&lt;=$C343+3)),1)))</f>
        <v/>
      </c>
      <c r="K343" s="6" t="n"/>
    </row>
    <row r="344">
      <c r="A344" s="6" t="n"/>
      <c r="B344" s="6" t="n"/>
      <c r="C344" s="19" t="n"/>
      <c r="D344" s="19" t="n"/>
      <c r="E344" s="6" t="n"/>
      <c r="F344" s="20" t="n"/>
      <c r="G344" s="9">
        <f>IF($F344="","",IF($F344&gt;0,ROUND($F344,2),""))</f>
        <v/>
      </c>
      <c r="H344" s="12">
        <f>IF(OR($B344="",$C344="",$G344=""),"",COUNTIFS(Ventes_Encaissements!$E$6:$E$3005,$B344,Ventes_Encaissements!$J$6:$J$3005,$G344,Ventes_Encaissements!$C$6:$C$3005,"&gt;="&amp;($C344-3),Ventes_Encaissements!$C$6:$C$3005,"&lt;="&amp;($C344+3)))</f>
        <v/>
      </c>
      <c r="I344" s="12">
        <f>IF($H344="","",IF($H344=0,"Non trouvé",IF($H344=1,"Match","À vérifier")))</f>
        <v/>
      </c>
      <c r="J344" s="21">
        <f>IF($I344&lt;&gt;"Match","",INDEX(Ventes_Encaissements!$B$6:$B$3005,_xludf.AGGREGATE(15,6,(ROW(Ventes_Encaissements!$B$6:$B$3005)-ROW(Ventes_Encaissements!$B$6)+1)/((Ventes_Encaissements!$E$6:$E$3005=$B344)*(Ventes_Encaissements!$J$6:$J$3005=$G344)*(Ventes_Encaissements!$C$6:$C$3005&gt;=$C344-3)*(Ventes_Encaissements!$C$6:$C$3005&lt;=$C344+3)),1)))</f>
        <v/>
      </c>
      <c r="K344" s="6" t="n"/>
    </row>
    <row r="345">
      <c r="A345" s="6" t="n"/>
      <c r="B345" s="6" t="n"/>
      <c r="C345" s="19" t="n"/>
      <c r="D345" s="19" t="n"/>
      <c r="E345" s="6" t="n"/>
      <c r="F345" s="20" t="n"/>
      <c r="G345" s="9">
        <f>IF($F345="","",IF($F345&gt;0,ROUND($F345,2),""))</f>
        <v/>
      </c>
      <c r="H345" s="12">
        <f>IF(OR($B345="",$C345="",$G345=""),"",COUNTIFS(Ventes_Encaissements!$E$6:$E$3005,$B345,Ventes_Encaissements!$J$6:$J$3005,$G345,Ventes_Encaissements!$C$6:$C$3005,"&gt;="&amp;($C345-3),Ventes_Encaissements!$C$6:$C$3005,"&lt;="&amp;($C345+3)))</f>
        <v/>
      </c>
      <c r="I345" s="12">
        <f>IF($H345="","",IF($H345=0,"Non trouvé",IF($H345=1,"Match","À vérifier")))</f>
        <v/>
      </c>
      <c r="J345" s="21">
        <f>IF($I345&lt;&gt;"Match","",INDEX(Ventes_Encaissements!$B$6:$B$3005,_xludf.AGGREGATE(15,6,(ROW(Ventes_Encaissements!$B$6:$B$3005)-ROW(Ventes_Encaissements!$B$6)+1)/((Ventes_Encaissements!$E$6:$E$3005=$B345)*(Ventes_Encaissements!$J$6:$J$3005=$G345)*(Ventes_Encaissements!$C$6:$C$3005&gt;=$C345-3)*(Ventes_Encaissements!$C$6:$C$3005&lt;=$C345+3)),1)))</f>
        <v/>
      </c>
      <c r="K345" s="6" t="n"/>
    </row>
    <row r="346">
      <c r="A346" s="6" t="n"/>
      <c r="B346" s="6" t="n"/>
      <c r="C346" s="19" t="n"/>
      <c r="D346" s="19" t="n"/>
      <c r="E346" s="6" t="n"/>
      <c r="F346" s="20" t="n"/>
      <c r="G346" s="9">
        <f>IF($F346="","",IF($F346&gt;0,ROUND($F346,2),""))</f>
        <v/>
      </c>
      <c r="H346" s="12">
        <f>IF(OR($B346="",$C346="",$G346=""),"",COUNTIFS(Ventes_Encaissements!$E$6:$E$3005,$B346,Ventes_Encaissements!$J$6:$J$3005,$G346,Ventes_Encaissements!$C$6:$C$3005,"&gt;="&amp;($C346-3),Ventes_Encaissements!$C$6:$C$3005,"&lt;="&amp;($C346+3)))</f>
        <v/>
      </c>
      <c r="I346" s="12">
        <f>IF($H346="","",IF($H346=0,"Non trouvé",IF($H346=1,"Match","À vérifier")))</f>
        <v/>
      </c>
      <c r="J346" s="21">
        <f>IF($I346&lt;&gt;"Match","",INDEX(Ventes_Encaissements!$B$6:$B$3005,_xludf.AGGREGATE(15,6,(ROW(Ventes_Encaissements!$B$6:$B$3005)-ROW(Ventes_Encaissements!$B$6)+1)/((Ventes_Encaissements!$E$6:$E$3005=$B346)*(Ventes_Encaissements!$J$6:$J$3005=$G346)*(Ventes_Encaissements!$C$6:$C$3005&gt;=$C346-3)*(Ventes_Encaissements!$C$6:$C$3005&lt;=$C346+3)),1)))</f>
        <v/>
      </c>
      <c r="K346" s="6" t="n"/>
    </row>
    <row r="347">
      <c r="A347" s="6" t="n"/>
      <c r="B347" s="6" t="n"/>
      <c r="C347" s="19" t="n"/>
      <c r="D347" s="19" t="n"/>
      <c r="E347" s="6" t="n"/>
      <c r="F347" s="20" t="n"/>
      <c r="G347" s="9">
        <f>IF($F347="","",IF($F347&gt;0,ROUND($F347,2),""))</f>
        <v/>
      </c>
      <c r="H347" s="12">
        <f>IF(OR($B347="",$C347="",$G347=""),"",COUNTIFS(Ventes_Encaissements!$E$6:$E$3005,$B347,Ventes_Encaissements!$J$6:$J$3005,$G347,Ventes_Encaissements!$C$6:$C$3005,"&gt;="&amp;($C347-3),Ventes_Encaissements!$C$6:$C$3005,"&lt;="&amp;($C347+3)))</f>
        <v/>
      </c>
      <c r="I347" s="12">
        <f>IF($H347="","",IF($H347=0,"Non trouvé",IF($H347=1,"Match","À vérifier")))</f>
        <v/>
      </c>
      <c r="J347" s="21">
        <f>IF($I347&lt;&gt;"Match","",INDEX(Ventes_Encaissements!$B$6:$B$3005,_xludf.AGGREGATE(15,6,(ROW(Ventes_Encaissements!$B$6:$B$3005)-ROW(Ventes_Encaissements!$B$6)+1)/((Ventes_Encaissements!$E$6:$E$3005=$B347)*(Ventes_Encaissements!$J$6:$J$3005=$G347)*(Ventes_Encaissements!$C$6:$C$3005&gt;=$C347-3)*(Ventes_Encaissements!$C$6:$C$3005&lt;=$C347+3)),1)))</f>
        <v/>
      </c>
      <c r="K347" s="6" t="n"/>
    </row>
    <row r="348">
      <c r="A348" s="6" t="n"/>
      <c r="B348" s="6" t="n"/>
      <c r="C348" s="19" t="n"/>
      <c r="D348" s="19" t="n"/>
      <c r="E348" s="6" t="n"/>
      <c r="F348" s="20" t="n"/>
      <c r="G348" s="9">
        <f>IF($F348="","",IF($F348&gt;0,ROUND($F348,2),""))</f>
        <v/>
      </c>
      <c r="H348" s="12">
        <f>IF(OR($B348="",$C348="",$G348=""),"",COUNTIFS(Ventes_Encaissements!$E$6:$E$3005,$B348,Ventes_Encaissements!$J$6:$J$3005,$G348,Ventes_Encaissements!$C$6:$C$3005,"&gt;="&amp;($C348-3),Ventes_Encaissements!$C$6:$C$3005,"&lt;="&amp;($C348+3)))</f>
        <v/>
      </c>
      <c r="I348" s="12">
        <f>IF($H348="","",IF($H348=0,"Non trouvé",IF($H348=1,"Match","À vérifier")))</f>
        <v/>
      </c>
      <c r="J348" s="21">
        <f>IF($I348&lt;&gt;"Match","",INDEX(Ventes_Encaissements!$B$6:$B$3005,_xludf.AGGREGATE(15,6,(ROW(Ventes_Encaissements!$B$6:$B$3005)-ROW(Ventes_Encaissements!$B$6)+1)/((Ventes_Encaissements!$E$6:$E$3005=$B348)*(Ventes_Encaissements!$J$6:$J$3005=$G348)*(Ventes_Encaissements!$C$6:$C$3005&gt;=$C348-3)*(Ventes_Encaissements!$C$6:$C$3005&lt;=$C348+3)),1)))</f>
        <v/>
      </c>
      <c r="K348" s="6" t="n"/>
    </row>
    <row r="349">
      <c r="A349" s="6" t="n"/>
      <c r="B349" s="6" t="n"/>
      <c r="C349" s="19" t="n"/>
      <c r="D349" s="19" t="n"/>
      <c r="E349" s="6" t="n"/>
      <c r="F349" s="20" t="n"/>
      <c r="G349" s="9">
        <f>IF($F349="","",IF($F349&gt;0,ROUND($F349,2),""))</f>
        <v/>
      </c>
      <c r="H349" s="12">
        <f>IF(OR($B349="",$C349="",$G349=""),"",COUNTIFS(Ventes_Encaissements!$E$6:$E$3005,$B349,Ventes_Encaissements!$J$6:$J$3005,$G349,Ventes_Encaissements!$C$6:$C$3005,"&gt;="&amp;($C349-3),Ventes_Encaissements!$C$6:$C$3005,"&lt;="&amp;($C349+3)))</f>
        <v/>
      </c>
      <c r="I349" s="12">
        <f>IF($H349="","",IF($H349=0,"Non trouvé",IF($H349=1,"Match","À vérifier")))</f>
        <v/>
      </c>
      <c r="J349" s="21">
        <f>IF($I349&lt;&gt;"Match","",INDEX(Ventes_Encaissements!$B$6:$B$3005,_xludf.AGGREGATE(15,6,(ROW(Ventes_Encaissements!$B$6:$B$3005)-ROW(Ventes_Encaissements!$B$6)+1)/((Ventes_Encaissements!$E$6:$E$3005=$B349)*(Ventes_Encaissements!$J$6:$J$3005=$G349)*(Ventes_Encaissements!$C$6:$C$3005&gt;=$C349-3)*(Ventes_Encaissements!$C$6:$C$3005&lt;=$C349+3)),1)))</f>
        <v/>
      </c>
      <c r="K349" s="6" t="n"/>
    </row>
    <row r="350">
      <c r="A350" s="6" t="n"/>
      <c r="B350" s="6" t="n"/>
      <c r="C350" s="19" t="n"/>
      <c r="D350" s="19" t="n"/>
      <c r="E350" s="6" t="n"/>
      <c r="F350" s="20" t="n"/>
      <c r="G350" s="9">
        <f>IF($F350="","",IF($F350&gt;0,ROUND($F350,2),""))</f>
        <v/>
      </c>
      <c r="H350" s="12">
        <f>IF(OR($B350="",$C350="",$G350=""),"",COUNTIFS(Ventes_Encaissements!$E$6:$E$3005,$B350,Ventes_Encaissements!$J$6:$J$3005,$G350,Ventes_Encaissements!$C$6:$C$3005,"&gt;="&amp;($C350-3),Ventes_Encaissements!$C$6:$C$3005,"&lt;="&amp;($C350+3)))</f>
        <v/>
      </c>
      <c r="I350" s="12">
        <f>IF($H350="","",IF($H350=0,"Non trouvé",IF($H350=1,"Match","À vérifier")))</f>
        <v/>
      </c>
      <c r="J350" s="21">
        <f>IF($I350&lt;&gt;"Match","",INDEX(Ventes_Encaissements!$B$6:$B$3005,_xludf.AGGREGATE(15,6,(ROW(Ventes_Encaissements!$B$6:$B$3005)-ROW(Ventes_Encaissements!$B$6)+1)/((Ventes_Encaissements!$E$6:$E$3005=$B350)*(Ventes_Encaissements!$J$6:$J$3005=$G350)*(Ventes_Encaissements!$C$6:$C$3005&gt;=$C350-3)*(Ventes_Encaissements!$C$6:$C$3005&lt;=$C350+3)),1)))</f>
        <v/>
      </c>
      <c r="K350" s="6" t="n"/>
    </row>
    <row r="351">
      <c r="A351" s="6" t="n"/>
      <c r="B351" s="6" t="n"/>
      <c r="C351" s="19" t="n"/>
      <c r="D351" s="19" t="n"/>
      <c r="E351" s="6" t="n"/>
      <c r="F351" s="20" t="n"/>
      <c r="G351" s="9">
        <f>IF($F351="","",IF($F351&gt;0,ROUND($F351,2),""))</f>
        <v/>
      </c>
      <c r="H351" s="12">
        <f>IF(OR($B351="",$C351="",$G351=""),"",COUNTIFS(Ventes_Encaissements!$E$6:$E$3005,$B351,Ventes_Encaissements!$J$6:$J$3005,$G351,Ventes_Encaissements!$C$6:$C$3005,"&gt;="&amp;($C351-3),Ventes_Encaissements!$C$6:$C$3005,"&lt;="&amp;($C351+3)))</f>
        <v/>
      </c>
      <c r="I351" s="12">
        <f>IF($H351="","",IF($H351=0,"Non trouvé",IF($H351=1,"Match","À vérifier")))</f>
        <v/>
      </c>
      <c r="J351" s="21">
        <f>IF($I351&lt;&gt;"Match","",INDEX(Ventes_Encaissements!$B$6:$B$3005,_xludf.AGGREGATE(15,6,(ROW(Ventes_Encaissements!$B$6:$B$3005)-ROW(Ventes_Encaissements!$B$6)+1)/((Ventes_Encaissements!$E$6:$E$3005=$B351)*(Ventes_Encaissements!$J$6:$J$3005=$G351)*(Ventes_Encaissements!$C$6:$C$3005&gt;=$C351-3)*(Ventes_Encaissements!$C$6:$C$3005&lt;=$C351+3)),1)))</f>
        <v/>
      </c>
      <c r="K351" s="6" t="n"/>
    </row>
    <row r="352">
      <c r="A352" s="6" t="n"/>
      <c r="B352" s="6" t="n"/>
      <c r="C352" s="19" t="n"/>
      <c r="D352" s="19" t="n"/>
      <c r="E352" s="6" t="n"/>
      <c r="F352" s="20" t="n"/>
      <c r="G352" s="9">
        <f>IF($F352="","",IF($F352&gt;0,ROUND($F352,2),""))</f>
        <v/>
      </c>
      <c r="H352" s="12">
        <f>IF(OR($B352="",$C352="",$G352=""),"",COUNTIFS(Ventes_Encaissements!$E$6:$E$3005,$B352,Ventes_Encaissements!$J$6:$J$3005,$G352,Ventes_Encaissements!$C$6:$C$3005,"&gt;="&amp;($C352-3),Ventes_Encaissements!$C$6:$C$3005,"&lt;="&amp;($C352+3)))</f>
        <v/>
      </c>
      <c r="I352" s="12">
        <f>IF($H352="","",IF($H352=0,"Non trouvé",IF($H352=1,"Match","À vérifier")))</f>
        <v/>
      </c>
      <c r="J352" s="21">
        <f>IF($I352&lt;&gt;"Match","",INDEX(Ventes_Encaissements!$B$6:$B$3005,_xludf.AGGREGATE(15,6,(ROW(Ventes_Encaissements!$B$6:$B$3005)-ROW(Ventes_Encaissements!$B$6)+1)/((Ventes_Encaissements!$E$6:$E$3005=$B352)*(Ventes_Encaissements!$J$6:$J$3005=$G352)*(Ventes_Encaissements!$C$6:$C$3005&gt;=$C352-3)*(Ventes_Encaissements!$C$6:$C$3005&lt;=$C352+3)),1)))</f>
        <v/>
      </c>
      <c r="K352" s="6" t="n"/>
    </row>
    <row r="353">
      <c r="A353" s="6" t="n"/>
      <c r="B353" s="6" t="n"/>
      <c r="C353" s="19" t="n"/>
      <c r="D353" s="19" t="n"/>
      <c r="E353" s="6" t="n"/>
      <c r="F353" s="20" t="n"/>
      <c r="G353" s="9">
        <f>IF($F353="","",IF($F353&gt;0,ROUND($F353,2),""))</f>
        <v/>
      </c>
      <c r="H353" s="12">
        <f>IF(OR($B353="",$C353="",$G353=""),"",COUNTIFS(Ventes_Encaissements!$E$6:$E$3005,$B353,Ventes_Encaissements!$J$6:$J$3005,$G353,Ventes_Encaissements!$C$6:$C$3005,"&gt;="&amp;($C353-3),Ventes_Encaissements!$C$6:$C$3005,"&lt;="&amp;($C353+3)))</f>
        <v/>
      </c>
      <c r="I353" s="12">
        <f>IF($H353="","",IF($H353=0,"Non trouvé",IF($H353=1,"Match","À vérifier")))</f>
        <v/>
      </c>
      <c r="J353" s="21">
        <f>IF($I353&lt;&gt;"Match","",INDEX(Ventes_Encaissements!$B$6:$B$3005,_xludf.AGGREGATE(15,6,(ROW(Ventes_Encaissements!$B$6:$B$3005)-ROW(Ventes_Encaissements!$B$6)+1)/((Ventes_Encaissements!$E$6:$E$3005=$B353)*(Ventes_Encaissements!$J$6:$J$3005=$G353)*(Ventes_Encaissements!$C$6:$C$3005&gt;=$C353-3)*(Ventes_Encaissements!$C$6:$C$3005&lt;=$C353+3)),1)))</f>
        <v/>
      </c>
      <c r="K353" s="6" t="n"/>
    </row>
    <row r="354">
      <c r="A354" s="6" t="n"/>
      <c r="B354" s="6" t="n"/>
      <c r="C354" s="19" t="n"/>
      <c r="D354" s="19" t="n"/>
      <c r="E354" s="6" t="n"/>
      <c r="F354" s="20" t="n"/>
      <c r="G354" s="9">
        <f>IF($F354="","",IF($F354&gt;0,ROUND($F354,2),""))</f>
        <v/>
      </c>
      <c r="H354" s="12">
        <f>IF(OR($B354="",$C354="",$G354=""),"",COUNTIFS(Ventes_Encaissements!$E$6:$E$3005,$B354,Ventes_Encaissements!$J$6:$J$3005,$G354,Ventes_Encaissements!$C$6:$C$3005,"&gt;="&amp;($C354-3),Ventes_Encaissements!$C$6:$C$3005,"&lt;="&amp;($C354+3)))</f>
        <v/>
      </c>
      <c r="I354" s="12">
        <f>IF($H354="","",IF($H354=0,"Non trouvé",IF($H354=1,"Match","À vérifier")))</f>
        <v/>
      </c>
      <c r="J354" s="21">
        <f>IF($I354&lt;&gt;"Match","",INDEX(Ventes_Encaissements!$B$6:$B$3005,_xludf.AGGREGATE(15,6,(ROW(Ventes_Encaissements!$B$6:$B$3005)-ROW(Ventes_Encaissements!$B$6)+1)/((Ventes_Encaissements!$E$6:$E$3005=$B354)*(Ventes_Encaissements!$J$6:$J$3005=$G354)*(Ventes_Encaissements!$C$6:$C$3005&gt;=$C354-3)*(Ventes_Encaissements!$C$6:$C$3005&lt;=$C354+3)),1)))</f>
        <v/>
      </c>
      <c r="K354" s="6" t="n"/>
    </row>
    <row r="355">
      <c r="A355" s="6" t="n"/>
      <c r="B355" s="6" t="n"/>
      <c r="C355" s="19" t="n"/>
      <c r="D355" s="19" t="n"/>
      <c r="E355" s="6" t="n"/>
      <c r="F355" s="20" t="n"/>
      <c r="G355" s="9">
        <f>IF($F355="","",IF($F355&gt;0,ROUND($F355,2),""))</f>
        <v/>
      </c>
      <c r="H355" s="12">
        <f>IF(OR($B355="",$C355="",$G355=""),"",COUNTIFS(Ventes_Encaissements!$E$6:$E$3005,$B355,Ventes_Encaissements!$J$6:$J$3005,$G355,Ventes_Encaissements!$C$6:$C$3005,"&gt;="&amp;($C355-3),Ventes_Encaissements!$C$6:$C$3005,"&lt;="&amp;($C355+3)))</f>
        <v/>
      </c>
      <c r="I355" s="12">
        <f>IF($H355="","",IF($H355=0,"Non trouvé",IF($H355=1,"Match","À vérifier")))</f>
        <v/>
      </c>
      <c r="J355" s="21">
        <f>IF($I355&lt;&gt;"Match","",INDEX(Ventes_Encaissements!$B$6:$B$3005,_xludf.AGGREGATE(15,6,(ROW(Ventes_Encaissements!$B$6:$B$3005)-ROW(Ventes_Encaissements!$B$6)+1)/((Ventes_Encaissements!$E$6:$E$3005=$B355)*(Ventes_Encaissements!$J$6:$J$3005=$G355)*(Ventes_Encaissements!$C$6:$C$3005&gt;=$C355-3)*(Ventes_Encaissements!$C$6:$C$3005&lt;=$C355+3)),1)))</f>
        <v/>
      </c>
      <c r="K355" s="6" t="n"/>
    </row>
    <row r="356">
      <c r="A356" s="6" t="n"/>
      <c r="B356" s="6" t="n"/>
      <c r="C356" s="19" t="n"/>
      <c r="D356" s="19" t="n"/>
      <c r="E356" s="6" t="n"/>
      <c r="F356" s="20" t="n"/>
      <c r="G356" s="9">
        <f>IF($F356="","",IF($F356&gt;0,ROUND($F356,2),""))</f>
        <v/>
      </c>
      <c r="H356" s="12">
        <f>IF(OR($B356="",$C356="",$G356=""),"",COUNTIFS(Ventes_Encaissements!$E$6:$E$3005,$B356,Ventes_Encaissements!$J$6:$J$3005,$G356,Ventes_Encaissements!$C$6:$C$3005,"&gt;="&amp;($C356-3),Ventes_Encaissements!$C$6:$C$3005,"&lt;="&amp;($C356+3)))</f>
        <v/>
      </c>
      <c r="I356" s="12">
        <f>IF($H356="","",IF($H356=0,"Non trouvé",IF($H356=1,"Match","À vérifier")))</f>
        <v/>
      </c>
      <c r="J356" s="21">
        <f>IF($I356&lt;&gt;"Match","",INDEX(Ventes_Encaissements!$B$6:$B$3005,_xludf.AGGREGATE(15,6,(ROW(Ventes_Encaissements!$B$6:$B$3005)-ROW(Ventes_Encaissements!$B$6)+1)/((Ventes_Encaissements!$E$6:$E$3005=$B356)*(Ventes_Encaissements!$J$6:$J$3005=$G356)*(Ventes_Encaissements!$C$6:$C$3005&gt;=$C356-3)*(Ventes_Encaissements!$C$6:$C$3005&lt;=$C356+3)),1)))</f>
        <v/>
      </c>
      <c r="K356" s="6" t="n"/>
    </row>
    <row r="357">
      <c r="A357" s="6" t="n"/>
      <c r="B357" s="6" t="n"/>
      <c r="C357" s="19" t="n"/>
      <c r="D357" s="19" t="n"/>
      <c r="E357" s="6" t="n"/>
      <c r="F357" s="20" t="n"/>
      <c r="G357" s="9">
        <f>IF($F357="","",IF($F357&gt;0,ROUND($F357,2),""))</f>
        <v/>
      </c>
      <c r="H357" s="12">
        <f>IF(OR($B357="",$C357="",$G357=""),"",COUNTIFS(Ventes_Encaissements!$E$6:$E$3005,$B357,Ventes_Encaissements!$J$6:$J$3005,$G357,Ventes_Encaissements!$C$6:$C$3005,"&gt;="&amp;($C357-3),Ventes_Encaissements!$C$6:$C$3005,"&lt;="&amp;($C357+3)))</f>
        <v/>
      </c>
      <c r="I357" s="12">
        <f>IF($H357="","",IF($H357=0,"Non trouvé",IF($H357=1,"Match","À vérifier")))</f>
        <v/>
      </c>
      <c r="J357" s="21">
        <f>IF($I357&lt;&gt;"Match","",INDEX(Ventes_Encaissements!$B$6:$B$3005,_xludf.AGGREGATE(15,6,(ROW(Ventes_Encaissements!$B$6:$B$3005)-ROW(Ventes_Encaissements!$B$6)+1)/((Ventes_Encaissements!$E$6:$E$3005=$B357)*(Ventes_Encaissements!$J$6:$J$3005=$G357)*(Ventes_Encaissements!$C$6:$C$3005&gt;=$C357-3)*(Ventes_Encaissements!$C$6:$C$3005&lt;=$C357+3)),1)))</f>
        <v/>
      </c>
      <c r="K357" s="6" t="n"/>
    </row>
    <row r="358">
      <c r="A358" s="6" t="n"/>
      <c r="B358" s="6" t="n"/>
      <c r="C358" s="19" t="n"/>
      <c r="D358" s="19" t="n"/>
      <c r="E358" s="6" t="n"/>
      <c r="F358" s="20" t="n"/>
      <c r="G358" s="9">
        <f>IF($F358="","",IF($F358&gt;0,ROUND($F358,2),""))</f>
        <v/>
      </c>
      <c r="H358" s="12">
        <f>IF(OR($B358="",$C358="",$G358=""),"",COUNTIFS(Ventes_Encaissements!$E$6:$E$3005,$B358,Ventes_Encaissements!$J$6:$J$3005,$G358,Ventes_Encaissements!$C$6:$C$3005,"&gt;="&amp;($C358-3),Ventes_Encaissements!$C$6:$C$3005,"&lt;="&amp;($C358+3)))</f>
        <v/>
      </c>
      <c r="I358" s="12">
        <f>IF($H358="","",IF($H358=0,"Non trouvé",IF($H358=1,"Match","À vérifier")))</f>
        <v/>
      </c>
      <c r="J358" s="21">
        <f>IF($I358&lt;&gt;"Match","",INDEX(Ventes_Encaissements!$B$6:$B$3005,_xludf.AGGREGATE(15,6,(ROW(Ventes_Encaissements!$B$6:$B$3005)-ROW(Ventes_Encaissements!$B$6)+1)/((Ventes_Encaissements!$E$6:$E$3005=$B358)*(Ventes_Encaissements!$J$6:$J$3005=$G358)*(Ventes_Encaissements!$C$6:$C$3005&gt;=$C358-3)*(Ventes_Encaissements!$C$6:$C$3005&lt;=$C358+3)),1)))</f>
        <v/>
      </c>
      <c r="K358" s="6" t="n"/>
    </row>
    <row r="359">
      <c r="A359" s="6" t="n"/>
      <c r="B359" s="6" t="n"/>
      <c r="C359" s="19" t="n"/>
      <c r="D359" s="19" t="n"/>
      <c r="E359" s="6" t="n"/>
      <c r="F359" s="20" t="n"/>
      <c r="G359" s="9">
        <f>IF($F359="","",IF($F359&gt;0,ROUND($F359,2),""))</f>
        <v/>
      </c>
      <c r="H359" s="12">
        <f>IF(OR($B359="",$C359="",$G359=""),"",COUNTIFS(Ventes_Encaissements!$E$6:$E$3005,$B359,Ventes_Encaissements!$J$6:$J$3005,$G359,Ventes_Encaissements!$C$6:$C$3005,"&gt;="&amp;($C359-3),Ventes_Encaissements!$C$6:$C$3005,"&lt;="&amp;($C359+3)))</f>
        <v/>
      </c>
      <c r="I359" s="12">
        <f>IF($H359="","",IF($H359=0,"Non trouvé",IF($H359=1,"Match","À vérifier")))</f>
        <v/>
      </c>
      <c r="J359" s="21">
        <f>IF($I359&lt;&gt;"Match","",INDEX(Ventes_Encaissements!$B$6:$B$3005,_xludf.AGGREGATE(15,6,(ROW(Ventes_Encaissements!$B$6:$B$3005)-ROW(Ventes_Encaissements!$B$6)+1)/((Ventes_Encaissements!$E$6:$E$3005=$B359)*(Ventes_Encaissements!$J$6:$J$3005=$G359)*(Ventes_Encaissements!$C$6:$C$3005&gt;=$C359-3)*(Ventes_Encaissements!$C$6:$C$3005&lt;=$C359+3)),1)))</f>
        <v/>
      </c>
      <c r="K359" s="6" t="n"/>
    </row>
    <row r="360">
      <c r="A360" s="6" t="n"/>
      <c r="B360" s="6" t="n"/>
      <c r="C360" s="19" t="n"/>
      <c r="D360" s="19" t="n"/>
      <c r="E360" s="6" t="n"/>
      <c r="F360" s="20" t="n"/>
      <c r="G360" s="9">
        <f>IF($F360="","",IF($F360&gt;0,ROUND($F360,2),""))</f>
        <v/>
      </c>
      <c r="H360" s="12">
        <f>IF(OR($B360="",$C360="",$G360=""),"",COUNTIFS(Ventes_Encaissements!$E$6:$E$3005,$B360,Ventes_Encaissements!$J$6:$J$3005,$G360,Ventes_Encaissements!$C$6:$C$3005,"&gt;="&amp;($C360-3),Ventes_Encaissements!$C$6:$C$3005,"&lt;="&amp;($C360+3)))</f>
        <v/>
      </c>
      <c r="I360" s="12">
        <f>IF($H360="","",IF($H360=0,"Non trouvé",IF($H360=1,"Match","À vérifier")))</f>
        <v/>
      </c>
      <c r="J360" s="21">
        <f>IF($I360&lt;&gt;"Match","",INDEX(Ventes_Encaissements!$B$6:$B$3005,_xludf.AGGREGATE(15,6,(ROW(Ventes_Encaissements!$B$6:$B$3005)-ROW(Ventes_Encaissements!$B$6)+1)/((Ventes_Encaissements!$E$6:$E$3005=$B360)*(Ventes_Encaissements!$J$6:$J$3005=$G360)*(Ventes_Encaissements!$C$6:$C$3005&gt;=$C360-3)*(Ventes_Encaissements!$C$6:$C$3005&lt;=$C360+3)),1)))</f>
        <v/>
      </c>
      <c r="K360" s="6" t="n"/>
    </row>
    <row r="361">
      <c r="A361" s="6" t="n"/>
      <c r="B361" s="6" t="n"/>
      <c r="C361" s="19" t="n"/>
      <c r="D361" s="19" t="n"/>
      <c r="E361" s="6" t="n"/>
      <c r="F361" s="20" t="n"/>
      <c r="G361" s="9">
        <f>IF($F361="","",IF($F361&gt;0,ROUND($F361,2),""))</f>
        <v/>
      </c>
      <c r="H361" s="12">
        <f>IF(OR($B361="",$C361="",$G361=""),"",COUNTIFS(Ventes_Encaissements!$E$6:$E$3005,$B361,Ventes_Encaissements!$J$6:$J$3005,$G361,Ventes_Encaissements!$C$6:$C$3005,"&gt;="&amp;($C361-3),Ventes_Encaissements!$C$6:$C$3005,"&lt;="&amp;($C361+3)))</f>
        <v/>
      </c>
      <c r="I361" s="12">
        <f>IF($H361="","",IF($H361=0,"Non trouvé",IF($H361=1,"Match","À vérifier")))</f>
        <v/>
      </c>
      <c r="J361" s="21">
        <f>IF($I361&lt;&gt;"Match","",INDEX(Ventes_Encaissements!$B$6:$B$3005,_xludf.AGGREGATE(15,6,(ROW(Ventes_Encaissements!$B$6:$B$3005)-ROW(Ventes_Encaissements!$B$6)+1)/((Ventes_Encaissements!$E$6:$E$3005=$B361)*(Ventes_Encaissements!$J$6:$J$3005=$G361)*(Ventes_Encaissements!$C$6:$C$3005&gt;=$C361-3)*(Ventes_Encaissements!$C$6:$C$3005&lt;=$C361+3)),1)))</f>
        <v/>
      </c>
      <c r="K361" s="6" t="n"/>
    </row>
    <row r="362">
      <c r="A362" s="6" t="n"/>
      <c r="B362" s="6" t="n"/>
      <c r="C362" s="19" t="n"/>
      <c r="D362" s="19" t="n"/>
      <c r="E362" s="6" t="n"/>
      <c r="F362" s="20" t="n"/>
      <c r="G362" s="9">
        <f>IF($F362="","",IF($F362&gt;0,ROUND($F362,2),""))</f>
        <v/>
      </c>
      <c r="H362" s="12">
        <f>IF(OR($B362="",$C362="",$G362=""),"",COUNTIFS(Ventes_Encaissements!$E$6:$E$3005,$B362,Ventes_Encaissements!$J$6:$J$3005,$G362,Ventes_Encaissements!$C$6:$C$3005,"&gt;="&amp;($C362-3),Ventes_Encaissements!$C$6:$C$3005,"&lt;="&amp;($C362+3)))</f>
        <v/>
      </c>
      <c r="I362" s="12">
        <f>IF($H362="","",IF($H362=0,"Non trouvé",IF($H362=1,"Match","À vérifier")))</f>
        <v/>
      </c>
      <c r="J362" s="21">
        <f>IF($I362&lt;&gt;"Match","",INDEX(Ventes_Encaissements!$B$6:$B$3005,_xludf.AGGREGATE(15,6,(ROW(Ventes_Encaissements!$B$6:$B$3005)-ROW(Ventes_Encaissements!$B$6)+1)/((Ventes_Encaissements!$E$6:$E$3005=$B362)*(Ventes_Encaissements!$J$6:$J$3005=$G362)*(Ventes_Encaissements!$C$6:$C$3005&gt;=$C362-3)*(Ventes_Encaissements!$C$6:$C$3005&lt;=$C362+3)),1)))</f>
        <v/>
      </c>
      <c r="K362" s="6" t="n"/>
    </row>
    <row r="363">
      <c r="A363" s="6" t="n"/>
      <c r="B363" s="6" t="n"/>
      <c r="C363" s="19" t="n"/>
      <c r="D363" s="19" t="n"/>
      <c r="E363" s="6" t="n"/>
      <c r="F363" s="20" t="n"/>
      <c r="G363" s="9">
        <f>IF($F363="","",IF($F363&gt;0,ROUND($F363,2),""))</f>
        <v/>
      </c>
      <c r="H363" s="12">
        <f>IF(OR($B363="",$C363="",$G363=""),"",COUNTIFS(Ventes_Encaissements!$E$6:$E$3005,$B363,Ventes_Encaissements!$J$6:$J$3005,$G363,Ventes_Encaissements!$C$6:$C$3005,"&gt;="&amp;($C363-3),Ventes_Encaissements!$C$6:$C$3005,"&lt;="&amp;($C363+3)))</f>
        <v/>
      </c>
      <c r="I363" s="12">
        <f>IF($H363="","",IF($H363=0,"Non trouvé",IF($H363=1,"Match","À vérifier")))</f>
        <v/>
      </c>
      <c r="J363" s="21">
        <f>IF($I363&lt;&gt;"Match","",INDEX(Ventes_Encaissements!$B$6:$B$3005,_xludf.AGGREGATE(15,6,(ROW(Ventes_Encaissements!$B$6:$B$3005)-ROW(Ventes_Encaissements!$B$6)+1)/((Ventes_Encaissements!$E$6:$E$3005=$B363)*(Ventes_Encaissements!$J$6:$J$3005=$G363)*(Ventes_Encaissements!$C$6:$C$3005&gt;=$C363-3)*(Ventes_Encaissements!$C$6:$C$3005&lt;=$C363+3)),1)))</f>
        <v/>
      </c>
      <c r="K363" s="6" t="n"/>
    </row>
    <row r="364">
      <c r="A364" s="6" t="n"/>
      <c r="B364" s="6" t="n"/>
      <c r="C364" s="19" t="n"/>
      <c r="D364" s="19" t="n"/>
      <c r="E364" s="6" t="n"/>
      <c r="F364" s="20" t="n"/>
      <c r="G364" s="9">
        <f>IF($F364="","",IF($F364&gt;0,ROUND($F364,2),""))</f>
        <v/>
      </c>
      <c r="H364" s="12">
        <f>IF(OR($B364="",$C364="",$G364=""),"",COUNTIFS(Ventes_Encaissements!$E$6:$E$3005,$B364,Ventes_Encaissements!$J$6:$J$3005,$G364,Ventes_Encaissements!$C$6:$C$3005,"&gt;="&amp;($C364-3),Ventes_Encaissements!$C$6:$C$3005,"&lt;="&amp;($C364+3)))</f>
        <v/>
      </c>
      <c r="I364" s="12">
        <f>IF($H364="","",IF($H364=0,"Non trouvé",IF($H364=1,"Match","À vérifier")))</f>
        <v/>
      </c>
      <c r="J364" s="21">
        <f>IF($I364&lt;&gt;"Match","",INDEX(Ventes_Encaissements!$B$6:$B$3005,_xludf.AGGREGATE(15,6,(ROW(Ventes_Encaissements!$B$6:$B$3005)-ROW(Ventes_Encaissements!$B$6)+1)/((Ventes_Encaissements!$E$6:$E$3005=$B364)*(Ventes_Encaissements!$J$6:$J$3005=$G364)*(Ventes_Encaissements!$C$6:$C$3005&gt;=$C364-3)*(Ventes_Encaissements!$C$6:$C$3005&lt;=$C364+3)),1)))</f>
        <v/>
      </c>
      <c r="K364" s="6" t="n"/>
    </row>
    <row r="365">
      <c r="A365" s="6" t="n"/>
      <c r="B365" s="6" t="n"/>
      <c r="C365" s="19" t="n"/>
      <c r="D365" s="19" t="n"/>
      <c r="E365" s="6" t="n"/>
      <c r="F365" s="20" t="n"/>
      <c r="G365" s="9">
        <f>IF($F365="","",IF($F365&gt;0,ROUND($F365,2),""))</f>
        <v/>
      </c>
      <c r="H365" s="12">
        <f>IF(OR($B365="",$C365="",$G365=""),"",COUNTIFS(Ventes_Encaissements!$E$6:$E$3005,$B365,Ventes_Encaissements!$J$6:$J$3005,$G365,Ventes_Encaissements!$C$6:$C$3005,"&gt;="&amp;($C365-3),Ventes_Encaissements!$C$6:$C$3005,"&lt;="&amp;($C365+3)))</f>
        <v/>
      </c>
      <c r="I365" s="12">
        <f>IF($H365="","",IF($H365=0,"Non trouvé",IF($H365=1,"Match","À vérifier")))</f>
        <v/>
      </c>
      <c r="J365" s="21">
        <f>IF($I365&lt;&gt;"Match","",INDEX(Ventes_Encaissements!$B$6:$B$3005,_xludf.AGGREGATE(15,6,(ROW(Ventes_Encaissements!$B$6:$B$3005)-ROW(Ventes_Encaissements!$B$6)+1)/((Ventes_Encaissements!$E$6:$E$3005=$B365)*(Ventes_Encaissements!$J$6:$J$3005=$G365)*(Ventes_Encaissements!$C$6:$C$3005&gt;=$C365-3)*(Ventes_Encaissements!$C$6:$C$3005&lt;=$C365+3)),1)))</f>
        <v/>
      </c>
      <c r="K365" s="6" t="n"/>
    </row>
    <row r="366">
      <c r="A366" s="6" t="n"/>
      <c r="B366" s="6" t="n"/>
      <c r="C366" s="19" t="n"/>
      <c r="D366" s="19" t="n"/>
      <c r="E366" s="6" t="n"/>
      <c r="F366" s="20" t="n"/>
      <c r="G366" s="9">
        <f>IF($F366="","",IF($F366&gt;0,ROUND($F366,2),""))</f>
        <v/>
      </c>
      <c r="H366" s="12">
        <f>IF(OR($B366="",$C366="",$G366=""),"",COUNTIFS(Ventes_Encaissements!$E$6:$E$3005,$B366,Ventes_Encaissements!$J$6:$J$3005,$G366,Ventes_Encaissements!$C$6:$C$3005,"&gt;="&amp;($C366-3),Ventes_Encaissements!$C$6:$C$3005,"&lt;="&amp;($C366+3)))</f>
        <v/>
      </c>
      <c r="I366" s="12">
        <f>IF($H366="","",IF($H366=0,"Non trouvé",IF($H366=1,"Match","À vérifier")))</f>
        <v/>
      </c>
      <c r="J366" s="21">
        <f>IF($I366&lt;&gt;"Match","",INDEX(Ventes_Encaissements!$B$6:$B$3005,_xludf.AGGREGATE(15,6,(ROW(Ventes_Encaissements!$B$6:$B$3005)-ROW(Ventes_Encaissements!$B$6)+1)/((Ventes_Encaissements!$E$6:$E$3005=$B366)*(Ventes_Encaissements!$J$6:$J$3005=$G366)*(Ventes_Encaissements!$C$6:$C$3005&gt;=$C366-3)*(Ventes_Encaissements!$C$6:$C$3005&lt;=$C366+3)),1)))</f>
        <v/>
      </c>
      <c r="K366" s="6" t="n"/>
    </row>
    <row r="367">
      <c r="A367" s="6" t="n"/>
      <c r="B367" s="6" t="n"/>
      <c r="C367" s="19" t="n"/>
      <c r="D367" s="19" t="n"/>
      <c r="E367" s="6" t="n"/>
      <c r="F367" s="20" t="n"/>
      <c r="G367" s="9">
        <f>IF($F367="","",IF($F367&gt;0,ROUND($F367,2),""))</f>
        <v/>
      </c>
      <c r="H367" s="12">
        <f>IF(OR($B367="",$C367="",$G367=""),"",COUNTIFS(Ventes_Encaissements!$E$6:$E$3005,$B367,Ventes_Encaissements!$J$6:$J$3005,$G367,Ventes_Encaissements!$C$6:$C$3005,"&gt;="&amp;($C367-3),Ventes_Encaissements!$C$6:$C$3005,"&lt;="&amp;($C367+3)))</f>
        <v/>
      </c>
      <c r="I367" s="12">
        <f>IF($H367="","",IF($H367=0,"Non trouvé",IF($H367=1,"Match","À vérifier")))</f>
        <v/>
      </c>
      <c r="J367" s="21">
        <f>IF($I367&lt;&gt;"Match","",INDEX(Ventes_Encaissements!$B$6:$B$3005,_xludf.AGGREGATE(15,6,(ROW(Ventes_Encaissements!$B$6:$B$3005)-ROW(Ventes_Encaissements!$B$6)+1)/((Ventes_Encaissements!$E$6:$E$3005=$B367)*(Ventes_Encaissements!$J$6:$J$3005=$G367)*(Ventes_Encaissements!$C$6:$C$3005&gt;=$C367-3)*(Ventes_Encaissements!$C$6:$C$3005&lt;=$C367+3)),1)))</f>
        <v/>
      </c>
      <c r="K367" s="6" t="n"/>
    </row>
    <row r="368">
      <c r="A368" s="6" t="n"/>
      <c r="B368" s="6" t="n"/>
      <c r="C368" s="19" t="n"/>
      <c r="D368" s="19" t="n"/>
      <c r="E368" s="6" t="n"/>
      <c r="F368" s="20" t="n"/>
      <c r="G368" s="9">
        <f>IF($F368="","",IF($F368&gt;0,ROUND($F368,2),""))</f>
        <v/>
      </c>
      <c r="H368" s="12">
        <f>IF(OR($B368="",$C368="",$G368=""),"",COUNTIFS(Ventes_Encaissements!$E$6:$E$3005,$B368,Ventes_Encaissements!$J$6:$J$3005,$G368,Ventes_Encaissements!$C$6:$C$3005,"&gt;="&amp;($C368-3),Ventes_Encaissements!$C$6:$C$3005,"&lt;="&amp;($C368+3)))</f>
        <v/>
      </c>
      <c r="I368" s="12">
        <f>IF($H368="","",IF($H368=0,"Non trouvé",IF($H368=1,"Match","À vérifier")))</f>
        <v/>
      </c>
      <c r="J368" s="21">
        <f>IF($I368&lt;&gt;"Match","",INDEX(Ventes_Encaissements!$B$6:$B$3005,_xludf.AGGREGATE(15,6,(ROW(Ventes_Encaissements!$B$6:$B$3005)-ROW(Ventes_Encaissements!$B$6)+1)/((Ventes_Encaissements!$E$6:$E$3005=$B368)*(Ventes_Encaissements!$J$6:$J$3005=$G368)*(Ventes_Encaissements!$C$6:$C$3005&gt;=$C368-3)*(Ventes_Encaissements!$C$6:$C$3005&lt;=$C368+3)),1)))</f>
        <v/>
      </c>
      <c r="K368" s="6" t="n"/>
    </row>
    <row r="369">
      <c r="A369" s="6" t="n"/>
      <c r="B369" s="6" t="n"/>
      <c r="C369" s="19" t="n"/>
      <c r="D369" s="19" t="n"/>
      <c r="E369" s="6" t="n"/>
      <c r="F369" s="20" t="n"/>
      <c r="G369" s="9">
        <f>IF($F369="","",IF($F369&gt;0,ROUND($F369,2),""))</f>
        <v/>
      </c>
      <c r="H369" s="12">
        <f>IF(OR($B369="",$C369="",$G369=""),"",COUNTIFS(Ventes_Encaissements!$E$6:$E$3005,$B369,Ventes_Encaissements!$J$6:$J$3005,$G369,Ventes_Encaissements!$C$6:$C$3005,"&gt;="&amp;($C369-3),Ventes_Encaissements!$C$6:$C$3005,"&lt;="&amp;($C369+3)))</f>
        <v/>
      </c>
      <c r="I369" s="12">
        <f>IF($H369="","",IF($H369=0,"Non trouvé",IF($H369=1,"Match","À vérifier")))</f>
        <v/>
      </c>
      <c r="J369" s="21">
        <f>IF($I369&lt;&gt;"Match","",INDEX(Ventes_Encaissements!$B$6:$B$3005,_xludf.AGGREGATE(15,6,(ROW(Ventes_Encaissements!$B$6:$B$3005)-ROW(Ventes_Encaissements!$B$6)+1)/((Ventes_Encaissements!$E$6:$E$3005=$B369)*(Ventes_Encaissements!$J$6:$J$3005=$G369)*(Ventes_Encaissements!$C$6:$C$3005&gt;=$C369-3)*(Ventes_Encaissements!$C$6:$C$3005&lt;=$C369+3)),1)))</f>
        <v/>
      </c>
      <c r="K369" s="6" t="n"/>
    </row>
    <row r="370">
      <c r="A370" s="6" t="n"/>
      <c r="B370" s="6" t="n"/>
      <c r="C370" s="19" t="n"/>
      <c r="D370" s="19" t="n"/>
      <c r="E370" s="6" t="n"/>
      <c r="F370" s="20" t="n"/>
      <c r="G370" s="9">
        <f>IF($F370="","",IF($F370&gt;0,ROUND($F370,2),""))</f>
        <v/>
      </c>
      <c r="H370" s="12">
        <f>IF(OR($B370="",$C370="",$G370=""),"",COUNTIFS(Ventes_Encaissements!$E$6:$E$3005,$B370,Ventes_Encaissements!$J$6:$J$3005,$G370,Ventes_Encaissements!$C$6:$C$3005,"&gt;="&amp;($C370-3),Ventes_Encaissements!$C$6:$C$3005,"&lt;="&amp;($C370+3)))</f>
        <v/>
      </c>
      <c r="I370" s="12">
        <f>IF($H370="","",IF($H370=0,"Non trouvé",IF($H370=1,"Match","À vérifier")))</f>
        <v/>
      </c>
      <c r="J370" s="21">
        <f>IF($I370&lt;&gt;"Match","",INDEX(Ventes_Encaissements!$B$6:$B$3005,_xludf.AGGREGATE(15,6,(ROW(Ventes_Encaissements!$B$6:$B$3005)-ROW(Ventes_Encaissements!$B$6)+1)/((Ventes_Encaissements!$E$6:$E$3005=$B370)*(Ventes_Encaissements!$J$6:$J$3005=$G370)*(Ventes_Encaissements!$C$6:$C$3005&gt;=$C370-3)*(Ventes_Encaissements!$C$6:$C$3005&lt;=$C370+3)),1)))</f>
        <v/>
      </c>
      <c r="K370" s="6" t="n"/>
    </row>
    <row r="371">
      <c r="A371" s="6" t="n"/>
      <c r="B371" s="6" t="n"/>
      <c r="C371" s="19" t="n"/>
      <c r="D371" s="19" t="n"/>
      <c r="E371" s="6" t="n"/>
      <c r="F371" s="20" t="n"/>
      <c r="G371" s="9">
        <f>IF($F371="","",IF($F371&gt;0,ROUND($F371,2),""))</f>
        <v/>
      </c>
      <c r="H371" s="12">
        <f>IF(OR($B371="",$C371="",$G371=""),"",COUNTIFS(Ventes_Encaissements!$E$6:$E$3005,$B371,Ventes_Encaissements!$J$6:$J$3005,$G371,Ventes_Encaissements!$C$6:$C$3005,"&gt;="&amp;($C371-3),Ventes_Encaissements!$C$6:$C$3005,"&lt;="&amp;($C371+3)))</f>
        <v/>
      </c>
      <c r="I371" s="12">
        <f>IF($H371="","",IF($H371=0,"Non trouvé",IF($H371=1,"Match","À vérifier")))</f>
        <v/>
      </c>
      <c r="J371" s="21">
        <f>IF($I371&lt;&gt;"Match","",INDEX(Ventes_Encaissements!$B$6:$B$3005,_xludf.AGGREGATE(15,6,(ROW(Ventes_Encaissements!$B$6:$B$3005)-ROW(Ventes_Encaissements!$B$6)+1)/((Ventes_Encaissements!$E$6:$E$3005=$B371)*(Ventes_Encaissements!$J$6:$J$3005=$G371)*(Ventes_Encaissements!$C$6:$C$3005&gt;=$C371-3)*(Ventes_Encaissements!$C$6:$C$3005&lt;=$C371+3)),1)))</f>
        <v/>
      </c>
      <c r="K371" s="6" t="n"/>
    </row>
    <row r="372">
      <c r="A372" s="6" t="n"/>
      <c r="B372" s="6" t="n"/>
      <c r="C372" s="19" t="n"/>
      <c r="D372" s="19" t="n"/>
      <c r="E372" s="6" t="n"/>
      <c r="F372" s="20" t="n"/>
      <c r="G372" s="9">
        <f>IF($F372="","",IF($F372&gt;0,ROUND($F372,2),""))</f>
        <v/>
      </c>
      <c r="H372" s="12">
        <f>IF(OR($B372="",$C372="",$G372=""),"",COUNTIFS(Ventes_Encaissements!$E$6:$E$3005,$B372,Ventes_Encaissements!$J$6:$J$3005,$G372,Ventes_Encaissements!$C$6:$C$3005,"&gt;="&amp;($C372-3),Ventes_Encaissements!$C$6:$C$3005,"&lt;="&amp;($C372+3)))</f>
        <v/>
      </c>
      <c r="I372" s="12">
        <f>IF($H372="","",IF($H372=0,"Non trouvé",IF($H372=1,"Match","À vérifier")))</f>
        <v/>
      </c>
      <c r="J372" s="21">
        <f>IF($I372&lt;&gt;"Match","",INDEX(Ventes_Encaissements!$B$6:$B$3005,_xludf.AGGREGATE(15,6,(ROW(Ventes_Encaissements!$B$6:$B$3005)-ROW(Ventes_Encaissements!$B$6)+1)/((Ventes_Encaissements!$E$6:$E$3005=$B372)*(Ventes_Encaissements!$J$6:$J$3005=$G372)*(Ventes_Encaissements!$C$6:$C$3005&gt;=$C372-3)*(Ventes_Encaissements!$C$6:$C$3005&lt;=$C372+3)),1)))</f>
        <v/>
      </c>
      <c r="K372" s="6" t="n"/>
    </row>
    <row r="373">
      <c r="A373" s="6" t="n"/>
      <c r="B373" s="6" t="n"/>
      <c r="C373" s="19" t="n"/>
      <c r="D373" s="19" t="n"/>
      <c r="E373" s="6" t="n"/>
      <c r="F373" s="20" t="n"/>
      <c r="G373" s="9">
        <f>IF($F373="","",IF($F373&gt;0,ROUND($F373,2),""))</f>
        <v/>
      </c>
      <c r="H373" s="12">
        <f>IF(OR($B373="",$C373="",$G373=""),"",COUNTIFS(Ventes_Encaissements!$E$6:$E$3005,$B373,Ventes_Encaissements!$J$6:$J$3005,$G373,Ventes_Encaissements!$C$6:$C$3005,"&gt;="&amp;($C373-3),Ventes_Encaissements!$C$6:$C$3005,"&lt;="&amp;($C373+3)))</f>
        <v/>
      </c>
      <c r="I373" s="12">
        <f>IF($H373="","",IF($H373=0,"Non trouvé",IF($H373=1,"Match","À vérifier")))</f>
        <v/>
      </c>
      <c r="J373" s="21">
        <f>IF($I373&lt;&gt;"Match","",INDEX(Ventes_Encaissements!$B$6:$B$3005,_xludf.AGGREGATE(15,6,(ROW(Ventes_Encaissements!$B$6:$B$3005)-ROW(Ventes_Encaissements!$B$6)+1)/((Ventes_Encaissements!$E$6:$E$3005=$B373)*(Ventes_Encaissements!$J$6:$J$3005=$G373)*(Ventes_Encaissements!$C$6:$C$3005&gt;=$C373-3)*(Ventes_Encaissements!$C$6:$C$3005&lt;=$C373+3)),1)))</f>
        <v/>
      </c>
      <c r="K373" s="6" t="n"/>
    </row>
    <row r="374">
      <c r="A374" s="6" t="n"/>
      <c r="B374" s="6" t="n"/>
      <c r="C374" s="19" t="n"/>
      <c r="D374" s="19" t="n"/>
      <c r="E374" s="6" t="n"/>
      <c r="F374" s="20" t="n"/>
      <c r="G374" s="9">
        <f>IF($F374="","",IF($F374&gt;0,ROUND($F374,2),""))</f>
        <v/>
      </c>
      <c r="H374" s="12">
        <f>IF(OR($B374="",$C374="",$G374=""),"",COUNTIFS(Ventes_Encaissements!$E$6:$E$3005,$B374,Ventes_Encaissements!$J$6:$J$3005,$G374,Ventes_Encaissements!$C$6:$C$3005,"&gt;="&amp;($C374-3),Ventes_Encaissements!$C$6:$C$3005,"&lt;="&amp;($C374+3)))</f>
        <v/>
      </c>
      <c r="I374" s="12">
        <f>IF($H374="","",IF($H374=0,"Non trouvé",IF($H374=1,"Match","À vérifier")))</f>
        <v/>
      </c>
      <c r="J374" s="21">
        <f>IF($I374&lt;&gt;"Match","",INDEX(Ventes_Encaissements!$B$6:$B$3005,_xludf.AGGREGATE(15,6,(ROW(Ventes_Encaissements!$B$6:$B$3005)-ROW(Ventes_Encaissements!$B$6)+1)/((Ventes_Encaissements!$E$6:$E$3005=$B374)*(Ventes_Encaissements!$J$6:$J$3005=$G374)*(Ventes_Encaissements!$C$6:$C$3005&gt;=$C374-3)*(Ventes_Encaissements!$C$6:$C$3005&lt;=$C374+3)),1)))</f>
        <v/>
      </c>
      <c r="K374" s="6" t="n"/>
    </row>
    <row r="375">
      <c r="A375" s="6" t="n"/>
      <c r="B375" s="6" t="n"/>
      <c r="C375" s="19" t="n"/>
      <c r="D375" s="19" t="n"/>
      <c r="E375" s="6" t="n"/>
      <c r="F375" s="20" t="n"/>
      <c r="G375" s="9">
        <f>IF($F375="","",IF($F375&gt;0,ROUND($F375,2),""))</f>
        <v/>
      </c>
      <c r="H375" s="12">
        <f>IF(OR($B375="",$C375="",$G375=""),"",COUNTIFS(Ventes_Encaissements!$E$6:$E$3005,$B375,Ventes_Encaissements!$J$6:$J$3005,$G375,Ventes_Encaissements!$C$6:$C$3005,"&gt;="&amp;($C375-3),Ventes_Encaissements!$C$6:$C$3005,"&lt;="&amp;($C375+3)))</f>
        <v/>
      </c>
      <c r="I375" s="12">
        <f>IF($H375="","",IF($H375=0,"Non trouvé",IF($H375=1,"Match","À vérifier")))</f>
        <v/>
      </c>
      <c r="J375" s="21">
        <f>IF($I375&lt;&gt;"Match","",INDEX(Ventes_Encaissements!$B$6:$B$3005,_xludf.AGGREGATE(15,6,(ROW(Ventes_Encaissements!$B$6:$B$3005)-ROW(Ventes_Encaissements!$B$6)+1)/((Ventes_Encaissements!$E$6:$E$3005=$B375)*(Ventes_Encaissements!$J$6:$J$3005=$G375)*(Ventes_Encaissements!$C$6:$C$3005&gt;=$C375-3)*(Ventes_Encaissements!$C$6:$C$3005&lt;=$C375+3)),1)))</f>
        <v/>
      </c>
      <c r="K375" s="6" t="n"/>
    </row>
    <row r="376">
      <c r="A376" s="6" t="n"/>
      <c r="B376" s="6" t="n"/>
      <c r="C376" s="19" t="n"/>
      <c r="D376" s="19" t="n"/>
      <c r="E376" s="6" t="n"/>
      <c r="F376" s="20" t="n"/>
      <c r="G376" s="9">
        <f>IF($F376="","",IF($F376&gt;0,ROUND($F376,2),""))</f>
        <v/>
      </c>
      <c r="H376" s="12">
        <f>IF(OR($B376="",$C376="",$G376=""),"",COUNTIFS(Ventes_Encaissements!$E$6:$E$3005,$B376,Ventes_Encaissements!$J$6:$J$3005,$G376,Ventes_Encaissements!$C$6:$C$3005,"&gt;="&amp;($C376-3),Ventes_Encaissements!$C$6:$C$3005,"&lt;="&amp;($C376+3)))</f>
        <v/>
      </c>
      <c r="I376" s="12">
        <f>IF($H376="","",IF($H376=0,"Non trouvé",IF($H376=1,"Match","À vérifier")))</f>
        <v/>
      </c>
      <c r="J376" s="21">
        <f>IF($I376&lt;&gt;"Match","",INDEX(Ventes_Encaissements!$B$6:$B$3005,_xludf.AGGREGATE(15,6,(ROW(Ventes_Encaissements!$B$6:$B$3005)-ROW(Ventes_Encaissements!$B$6)+1)/((Ventes_Encaissements!$E$6:$E$3005=$B376)*(Ventes_Encaissements!$J$6:$J$3005=$G376)*(Ventes_Encaissements!$C$6:$C$3005&gt;=$C376-3)*(Ventes_Encaissements!$C$6:$C$3005&lt;=$C376+3)),1)))</f>
        <v/>
      </c>
      <c r="K376" s="6" t="n"/>
    </row>
    <row r="377">
      <c r="A377" s="6" t="n"/>
      <c r="B377" s="6" t="n"/>
      <c r="C377" s="19" t="n"/>
      <c r="D377" s="19" t="n"/>
      <c r="E377" s="6" t="n"/>
      <c r="F377" s="20" t="n"/>
      <c r="G377" s="9">
        <f>IF($F377="","",IF($F377&gt;0,ROUND($F377,2),""))</f>
        <v/>
      </c>
      <c r="H377" s="12">
        <f>IF(OR($B377="",$C377="",$G377=""),"",COUNTIFS(Ventes_Encaissements!$E$6:$E$3005,$B377,Ventes_Encaissements!$J$6:$J$3005,$G377,Ventes_Encaissements!$C$6:$C$3005,"&gt;="&amp;($C377-3),Ventes_Encaissements!$C$6:$C$3005,"&lt;="&amp;($C377+3)))</f>
        <v/>
      </c>
      <c r="I377" s="12">
        <f>IF($H377="","",IF($H377=0,"Non trouvé",IF($H377=1,"Match","À vérifier")))</f>
        <v/>
      </c>
      <c r="J377" s="21">
        <f>IF($I377&lt;&gt;"Match","",INDEX(Ventes_Encaissements!$B$6:$B$3005,_xludf.AGGREGATE(15,6,(ROW(Ventes_Encaissements!$B$6:$B$3005)-ROW(Ventes_Encaissements!$B$6)+1)/((Ventes_Encaissements!$E$6:$E$3005=$B377)*(Ventes_Encaissements!$J$6:$J$3005=$G377)*(Ventes_Encaissements!$C$6:$C$3005&gt;=$C377-3)*(Ventes_Encaissements!$C$6:$C$3005&lt;=$C377+3)),1)))</f>
        <v/>
      </c>
      <c r="K377" s="6" t="n"/>
    </row>
    <row r="378">
      <c r="A378" s="6" t="n"/>
      <c r="B378" s="6" t="n"/>
      <c r="C378" s="19" t="n"/>
      <c r="D378" s="19" t="n"/>
      <c r="E378" s="6" t="n"/>
      <c r="F378" s="20" t="n"/>
      <c r="G378" s="9">
        <f>IF($F378="","",IF($F378&gt;0,ROUND($F378,2),""))</f>
        <v/>
      </c>
      <c r="H378" s="12">
        <f>IF(OR($B378="",$C378="",$G378=""),"",COUNTIFS(Ventes_Encaissements!$E$6:$E$3005,$B378,Ventes_Encaissements!$J$6:$J$3005,$G378,Ventes_Encaissements!$C$6:$C$3005,"&gt;="&amp;($C378-3),Ventes_Encaissements!$C$6:$C$3005,"&lt;="&amp;($C378+3)))</f>
        <v/>
      </c>
      <c r="I378" s="12">
        <f>IF($H378="","",IF($H378=0,"Non trouvé",IF($H378=1,"Match","À vérifier")))</f>
        <v/>
      </c>
      <c r="J378" s="21">
        <f>IF($I378&lt;&gt;"Match","",INDEX(Ventes_Encaissements!$B$6:$B$3005,_xludf.AGGREGATE(15,6,(ROW(Ventes_Encaissements!$B$6:$B$3005)-ROW(Ventes_Encaissements!$B$6)+1)/((Ventes_Encaissements!$E$6:$E$3005=$B378)*(Ventes_Encaissements!$J$6:$J$3005=$G378)*(Ventes_Encaissements!$C$6:$C$3005&gt;=$C378-3)*(Ventes_Encaissements!$C$6:$C$3005&lt;=$C378+3)),1)))</f>
        <v/>
      </c>
      <c r="K378" s="6" t="n"/>
    </row>
    <row r="379">
      <c r="A379" s="6" t="n"/>
      <c r="B379" s="6" t="n"/>
      <c r="C379" s="19" t="n"/>
      <c r="D379" s="19" t="n"/>
      <c r="E379" s="6" t="n"/>
      <c r="F379" s="20" t="n"/>
      <c r="G379" s="9">
        <f>IF($F379="","",IF($F379&gt;0,ROUND($F379,2),""))</f>
        <v/>
      </c>
      <c r="H379" s="12">
        <f>IF(OR($B379="",$C379="",$G379=""),"",COUNTIFS(Ventes_Encaissements!$E$6:$E$3005,$B379,Ventes_Encaissements!$J$6:$J$3005,$G379,Ventes_Encaissements!$C$6:$C$3005,"&gt;="&amp;($C379-3),Ventes_Encaissements!$C$6:$C$3005,"&lt;="&amp;($C379+3)))</f>
        <v/>
      </c>
      <c r="I379" s="12">
        <f>IF($H379="","",IF($H379=0,"Non trouvé",IF($H379=1,"Match","À vérifier")))</f>
        <v/>
      </c>
      <c r="J379" s="21">
        <f>IF($I379&lt;&gt;"Match","",INDEX(Ventes_Encaissements!$B$6:$B$3005,_xludf.AGGREGATE(15,6,(ROW(Ventes_Encaissements!$B$6:$B$3005)-ROW(Ventes_Encaissements!$B$6)+1)/((Ventes_Encaissements!$E$6:$E$3005=$B379)*(Ventes_Encaissements!$J$6:$J$3005=$G379)*(Ventes_Encaissements!$C$6:$C$3005&gt;=$C379-3)*(Ventes_Encaissements!$C$6:$C$3005&lt;=$C379+3)),1)))</f>
        <v/>
      </c>
      <c r="K379" s="6" t="n"/>
    </row>
    <row r="380">
      <c r="A380" s="6" t="n"/>
      <c r="B380" s="6" t="n"/>
      <c r="C380" s="19" t="n"/>
      <c r="D380" s="19" t="n"/>
      <c r="E380" s="6" t="n"/>
      <c r="F380" s="20" t="n"/>
      <c r="G380" s="9">
        <f>IF($F380="","",IF($F380&gt;0,ROUND($F380,2),""))</f>
        <v/>
      </c>
      <c r="H380" s="12">
        <f>IF(OR($B380="",$C380="",$G380=""),"",COUNTIFS(Ventes_Encaissements!$E$6:$E$3005,$B380,Ventes_Encaissements!$J$6:$J$3005,$G380,Ventes_Encaissements!$C$6:$C$3005,"&gt;="&amp;($C380-3),Ventes_Encaissements!$C$6:$C$3005,"&lt;="&amp;($C380+3)))</f>
        <v/>
      </c>
      <c r="I380" s="12">
        <f>IF($H380="","",IF($H380=0,"Non trouvé",IF($H380=1,"Match","À vérifier")))</f>
        <v/>
      </c>
      <c r="J380" s="21">
        <f>IF($I380&lt;&gt;"Match","",INDEX(Ventes_Encaissements!$B$6:$B$3005,_xludf.AGGREGATE(15,6,(ROW(Ventes_Encaissements!$B$6:$B$3005)-ROW(Ventes_Encaissements!$B$6)+1)/((Ventes_Encaissements!$E$6:$E$3005=$B380)*(Ventes_Encaissements!$J$6:$J$3005=$G380)*(Ventes_Encaissements!$C$6:$C$3005&gt;=$C380-3)*(Ventes_Encaissements!$C$6:$C$3005&lt;=$C380+3)),1)))</f>
        <v/>
      </c>
      <c r="K380" s="6" t="n"/>
    </row>
    <row r="381">
      <c r="A381" s="6" t="n"/>
      <c r="B381" s="6" t="n"/>
      <c r="C381" s="19" t="n"/>
      <c r="D381" s="19" t="n"/>
      <c r="E381" s="6" t="n"/>
      <c r="F381" s="20" t="n"/>
      <c r="G381" s="9">
        <f>IF($F381="","",IF($F381&gt;0,ROUND($F381,2),""))</f>
        <v/>
      </c>
      <c r="H381" s="12">
        <f>IF(OR($B381="",$C381="",$G381=""),"",COUNTIFS(Ventes_Encaissements!$E$6:$E$3005,$B381,Ventes_Encaissements!$J$6:$J$3005,$G381,Ventes_Encaissements!$C$6:$C$3005,"&gt;="&amp;($C381-3),Ventes_Encaissements!$C$6:$C$3005,"&lt;="&amp;($C381+3)))</f>
        <v/>
      </c>
      <c r="I381" s="12">
        <f>IF($H381="","",IF($H381=0,"Non trouvé",IF($H381=1,"Match","À vérifier")))</f>
        <v/>
      </c>
      <c r="J381" s="21">
        <f>IF($I381&lt;&gt;"Match","",INDEX(Ventes_Encaissements!$B$6:$B$3005,_xludf.AGGREGATE(15,6,(ROW(Ventes_Encaissements!$B$6:$B$3005)-ROW(Ventes_Encaissements!$B$6)+1)/((Ventes_Encaissements!$E$6:$E$3005=$B381)*(Ventes_Encaissements!$J$6:$J$3005=$G381)*(Ventes_Encaissements!$C$6:$C$3005&gt;=$C381-3)*(Ventes_Encaissements!$C$6:$C$3005&lt;=$C381+3)),1)))</f>
        <v/>
      </c>
      <c r="K381" s="6" t="n"/>
    </row>
    <row r="382">
      <c r="A382" s="6" t="n"/>
      <c r="B382" s="6" t="n"/>
      <c r="C382" s="19" t="n"/>
      <c r="D382" s="19" t="n"/>
      <c r="E382" s="6" t="n"/>
      <c r="F382" s="20" t="n"/>
      <c r="G382" s="9">
        <f>IF($F382="","",IF($F382&gt;0,ROUND($F382,2),""))</f>
        <v/>
      </c>
      <c r="H382" s="12">
        <f>IF(OR($B382="",$C382="",$G382=""),"",COUNTIFS(Ventes_Encaissements!$E$6:$E$3005,$B382,Ventes_Encaissements!$J$6:$J$3005,$G382,Ventes_Encaissements!$C$6:$C$3005,"&gt;="&amp;($C382-3),Ventes_Encaissements!$C$6:$C$3005,"&lt;="&amp;($C382+3)))</f>
        <v/>
      </c>
      <c r="I382" s="12">
        <f>IF($H382="","",IF($H382=0,"Non trouvé",IF($H382=1,"Match","À vérifier")))</f>
        <v/>
      </c>
      <c r="J382" s="21">
        <f>IF($I382&lt;&gt;"Match","",INDEX(Ventes_Encaissements!$B$6:$B$3005,_xludf.AGGREGATE(15,6,(ROW(Ventes_Encaissements!$B$6:$B$3005)-ROW(Ventes_Encaissements!$B$6)+1)/((Ventes_Encaissements!$E$6:$E$3005=$B382)*(Ventes_Encaissements!$J$6:$J$3005=$G382)*(Ventes_Encaissements!$C$6:$C$3005&gt;=$C382-3)*(Ventes_Encaissements!$C$6:$C$3005&lt;=$C382+3)),1)))</f>
        <v/>
      </c>
      <c r="K382" s="6" t="n"/>
    </row>
    <row r="383">
      <c r="A383" s="6" t="n"/>
      <c r="B383" s="6" t="n"/>
      <c r="C383" s="19" t="n"/>
      <c r="D383" s="19" t="n"/>
      <c r="E383" s="6" t="n"/>
      <c r="F383" s="20" t="n"/>
      <c r="G383" s="9">
        <f>IF($F383="","",IF($F383&gt;0,ROUND($F383,2),""))</f>
        <v/>
      </c>
      <c r="H383" s="12">
        <f>IF(OR($B383="",$C383="",$G383=""),"",COUNTIFS(Ventes_Encaissements!$E$6:$E$3005,$B383,Ventes_Encaissements!$J$6:$J$3005,$G383,Ventes_Encaissements!$C$6:$C$3005,"&gt;="&amp;($C383-3),Ventes_Encaissements!$C$6:$C$3005,"&lt;="&amp;($C383+3)))</f>
        <v/>
      </c>
      <c r="I383" s="12">
        <f>IF($H383="","",IF($H383=0,"Non trouvé",IF($H383=1,"Match","À vérifier")))</f>
        <v/>
      </c>
      <c r="J383" s="21">
        <f>IF($I383&lt;&gt;"Match","",INDEX(Ventes_Encaissements!$B$6:$B$3005,_xludf.AGGREGATE(15,6,(ROW(Ventes_Encaissements!$B$6:$B$3005)-ROW(Ventes_Encaissements!$B$6)+1)/((Ventes_Encaissements!$E$6:$E$3005=$B383)*(Ventes_Encaissements!$J$6:$J$3005=$G383)*(Ventes_Encaissements!$C$6:$C$3005&gt;=$C383-3)*(Ventes_Encaissements!$C$6:$C$3005&lt;=$C383+3)),1)))</f>
        <v/>
      </c>
      <c r="K383" s="6" t="n"/>
    </row>
    <row r="384">
      <c r="A384" s="6" t="n"/>
      <c r="B384" s="6" t="n"/>
      <c r="C384" s="19" t="n"/>
      <c r="D384" s="19" t="n"/>
      <c r="E384" s="6" t="n"/>
      <c r="F384" s="20" t="n"/>
      <c r="G384" s="9">
        <f>IF($F384="","",IF($F384&gt;0,ROUND($F384,2),""))</f>
        <v/>
      </c>
      <c r="H384" s="12">
        <f>IF(OR($B384="",$C384="",$G384=""),"",COUNTIFS(Ventes_Encaissements!$E$6:$E$3005,$B384,Ventes_Encaissements!$J$6:$J$3005,$G384,Ventes_Encaissements!$C$6:$C$3005,"&gt;="&amp;($C384-3),Ventes_Encaissements!$C$6:$C$3005,"&lt;="&amp;($C384+3)))</f>
        <v/>
      </c>
      <c r="I384" s="12">
        <f>IF($H384="","",IF($H384=0,"Non trouvé",IF($H384=1,"Match","À vérifier")))</f>
        <v/>
      </c>
      <c r="J384" s="21">
        <f>IF($I384&lt;&gt;"Match","",INDEX(Ventes_Encaissements!$B$6:$B$3005,_xludf.AGGREGATE(15,6,(ROW(Ventes_Encaissements!$B$6:$B$3005)-ROW(Ventes_Encaissements!$B$6)+1)/((Ventes_Encaissements!$E$6:$E$3005=$B384)*(Ventes_Encaissements!$J$6:$J$3005=$G384)*(Ventes_Encaissements!$C$6:$C$3005&gt;=$C384-3)*(Ventes_Encaissements!$C$6:$C$3005&lt;=$C384+3)),1)))</f>
        <v/>
      </c>
      <c r="K384" s="6" t="n"/>
    </row>
    <row r="385">
      <c r="A385" s="6" t="n"/>
      <c r="B385" s="6" t="n"/>
      <c r="C385" s="19" t="n"/>
      <c r="D385" s="19" t="n"/>
      <c r="E385" s="6" t="n"/>
      <c r="F385" s="20" t="n"/>
      <c r="G385" s="9">
        <f>IF($F385="","",IF($F385&gt;0,ROUND($F385,2),""))</f>
        <v/>
      </c>
      <c r="H385" s="12">
        <f>IF(OR($B385="",$C385="",$G385=""),"",COUNTIFS(Ventes_Encaissements!$E$6:$E$3005,$B385,Ventes_Encaissements!$J$6:$J$3005,$G385,Ventes_Encaissements!$C$6:$C$3005,"&gt;="&amp;($C385-3),Ventes_Encaissements!$C$6:$C$3005,"&lt;="&amp;($C385+3)))</f>
        <v/>
      </c>
      <c r="I385" s="12">
        <f>IF($H385="","",IF($H385=0,"Non trouvé",IF($H385=1,"Match","À vérifier")))</f>
        <v/>
      </c>
      <c r="J385" s="21">
        <f>IF($I385&lt;&gt;"Match","",INDEX(Ventes_Encaissements!$B$6:$B$3005,_xludf.AGGREGATE(15,6,(ROW(Ventes_Encaissements!$B$6:$B$3005)-ROW(Ventes_Encaissements!$B$6)+1)/((Ventes_Encaissements!$E$6:$E$3005=$B385)*(Ventes_Encaissements!$J$6:$J$3005=$G385)*(Ventes_Encaissements!$C$6:$C$3005&gt;=$C385-3)*(Ventes_Encaissements!$C$6:$C$3005&lt;=$C385+3)),1)))</f>
        <v/>
      </c>
      <c r="K385" s="6" t="n"/>
    </row>
    <row r="386">
      <c r="A386" s="6" t="n"/>
      <c r="B386" s="6" t="n"/>
      <c r="C386" s="19" t="n"/>
      <c r="D386" s="19" t="n"/>
      <c r="E386" s="6" t="n"/>
      <c r="F386" s="20" t="n"/>
      <c r="G386" s="9">
        <f>IF($F386="","",IF($F386&gt;0,ROUND($F386,2),""))</f>
        <v/>
      </c>
      <c r="H386" s="12">
        <f>IF(OR($B386="",$C386="",$G386=""),"",COUNTIFS(Ventes_Encaissements!$E$6:$E$3005,$B386,Ventes_Encaissements!$J$6:$J$3005,$G386,Ventes_Encaissements!$C$6:$C$3005,"&gt;="&amp;($C386-3),Ventes_Encaissements!$C$6:$C$3005,"&lt;="&amp;($C386+3)))</f>
        <v/>
      </c>
      <c r="I386" s="12">
        <f>IF($H386="","",IF($H386=0,"Non trouvé",IF($H386=1,"Match","À vérifier")))</f>
        <v/>
      </c>
      <c r="J386" s="21">
        <f>IF($I386&lt;&gt;"Match","",INDEX(Ventes_Encaissements!$B$6:$B$3005,_xludf.AGGREGATE(15,6,(ROW(Ventes_Encaissements!$B$6:$B$3005)-ROW(Ventes_Encaissements!$B$6)+1)/((Ventes_Encaissements!$E$6:$E$3005=$B386)*(Ventes_Encaissements!$J$6:$J$3005=$G386)*(Ventes_Encaissements!$C$6:$C$3005&gt;=$C386-3)*(Ventes_Encaissements!$C$6:$C$3005&lt;=$C386+3)),1)))</f>
        <v/>
      </c>
      <c r="K386" s="6" t="n"/>
    </row>
    <row r="387">
      <c r="A387" s="6" t="n"/>
      <c r="B387" s="6" t="n"/>
      <c r="C387" s="19" t="n"/>
      <c r="D387" s="19" t="n"/>
      <c r="E387" s="6" t="n"/>
      <c r="F387" s="20" t="n"/>
      <c r="G387" s="9">
        <f>IF($F387="","",IF($F387&gt;0,ROUND($F387,2),""))</f>
        <v/>
      </c>
      <c r="H387" s="12">
        <f>IF(OR($B387="",$C387="",$G387=""),"",COUNTIFS(Ventes_Encaissements!$E$6:$E$3005,$B387,Ventes_Encaissements!$J$6:$J$3005,$G387,Ventes_Encaissements!$C$6:$C$3005,"&gt;="&amp;($C387-3),Ventes_Encaissements!$C$6:$C$3005,"&lt;="&amp;($C387+3)))</f>
        <v/>
      </c>
      <c r="I387" s="12">
        <f>IF($H387="","",IF($H387=0,"Non trouvé",IF($H387=1,"Match","À vérifier")))</f>
        <v/>
      </c>
      <c r="J387" s="21">
        <f>IF($I387&lt;&gt;"Match","",INDEX(Ventes_Encaissements!$B$6:$B$3005,_xludf.AGGREGATE(15,6,(ROW(Ventes_Encaissements!$B$6:$B$3005)-ROW(Ventes_Encaissements!$B$6)+1)/((Ventes_Encaissements!$E$6:$E$3005=$B387)*(Ventes_Encaissements!$J$6:$J$3005=$G387)*(Ventes_Encaissements!$C$6:$C$3005&gt;=$C387-3)*(Ventes_Encaissements!$C$6:$C$3005&lt;=$C387+3)),1)))</f>
        <v/>
      </c>
      <c r="K387" s="6" t="n"/>
    </row>
    <row r="388">
      <c r="A388" s="6" t="n"/>
      <c r="B388" s="6" t="n"/>
      <c r="C388" s="19" t="n"/>
      <c r="D388" s="19" t="n"/>
      <c r="E388" s="6" t="n"/>
      <c r="F388" s="20" t="n"/>
      <c r="G388" s="9">
        <f>IF($F388="","",IF($F388&gt;0,ROUND($F388,2),""))</f>
        <v/>
      </c>
      <c r="H388" s="12">
        <f>IF(OR($B388="",$C388="",$G388=""),"",COUNTIFS(Ventes_Encaissements!$E$6:$E$3005,$B388,Ventes_Encaissements!$J$6:$J$3005,$G388,Ventes_Encaissements!$C$6:$C$3005,"&gt;="&amp;($C388-3),Ventes_Encaissements!$C$6:$C$3005,"&lt;="&amp;($C388+3)))</f>
        <v/>
      </c>
      <c r="I388" s="12">
        <f>IF($H388="","",IF($H388=0,"Non trouvé",IF($H388=1,"Match","À vérifier")))</f>
        <v/>
      </c>
      <c r="J388" s="21">
        <f>IF($I388&lt;&gt;"Match","",INDEX(Ventes_Encaissements!$B$6:$B$3005,_xludf.AGGREGATE(15,6,(ROW(Ventes_Encaissements!$B$6:$B$3005)-ROW(Ventes_Encaissements!$B$6)+1)/((Ventes_Encaissements!$E$6:$E$3005=$B388)*(Ventes_Encaissements!$J$6:$J$3005=$G388)*(Ventes_Encaissements!$C$6:$C$3005&gt;=$C388-3)*(Ventes_Encaissements!$C$6:$C$3005&lt;=$C388+3)),1)))</f>
        <v/>
      </c>
      <c r="K388" s="6" t="n"/>
    </row>
    <row r="389">
      <c r="A389" s="6" t="n"/>
      <c r="B389" s="6" t="n"/>
      <c r="C389" s="19" t="n"/>
      <c r="D389" s="19" t="n"/>
      <c r="E389" s="6" t="n"/>
      <c r="F389" s="20" t="n"/>
      <c r="G389" s="9">
        <f>IF($F389="","",IF($F389&gt;0,ROUND($F389,2),""))</f>
        <v/>
      </c>
      <c r="H389" s="12">
        <f>IF(OR($B389="",$C389="",$G389=""),"",COUNTIFS(Ventes_Encaissements!$E$6:$E$3005,$B389,Ventes_Encaissements!$J$6:$J$3005,$G389,Ventes_Encaissements!$C$6:$C$3005,"&gt;="&amp;($C389-3),Ventes_Encaissements!$C$6:$C$3005,"&lt;="&amp;($C389+3)))</f>
        <v/>
      </c>
      <c r="I389" s="12">
        <f>IF($H389="","",IF($H389=0,"Non trouvé",IF($H389=1,"Match","À vérifier")))</f>
        <v/>
      </c>
      <c r="J389" s="21">
        <f>IF($I389&lt;&gt;"Match","",INDEX(Ventes_Encaissements!$B$6:$B$3005,_xludf.AGGREGATE(15,6,(ROW(Ventes_Encaissements!$B$6:$B$3005)-ROW(Ventes_Encaissements!$B$6)+1)/((Ventes_Encaissements!$E$6:$E$3005=$B389)*(Ventes_Encaissements!$J$6:$J$3005=$G389)*(Ventes_Encaissements!$C$6:$C$3005&gt;=$C389-3)*(Ventes_Encaissements!$C$6:$C$3005&lt;=$C389+3)),1)))</f>
        <v/>
      </c>
      <c r="K389" s="6" t="n"/>
    </row>
    <row r="390">
      <c r="A390" s="6" t="n"/>
      <c r="B390" s="6" t="n"/>
      <c r="C390" s="19" t="n"/>
      <c r="D390" s="19" t="n"/>
      <c r="E390" s="6" t="n"/>
      <c r="F390" s="20" t="n"/>
      <c r="G390" s="9">
        <f>IF($F390="","",IF($F390&gt;0,ROUND($F390,2),""))</f>
        <v/>
      </c>
      <c r="H390" s="12">
        <f>IF(OR($B390="",$C390="",$G390=""),"",COUNTIFS(Ventes_Encaissements!$E$6:$E$3005,$B390,Ventes_Encaissements!$J$6:$J$3005,$G390,Ventes_Encaissements!$C$6:$C$3005,"&gt;="&amp;($C390-3),Ventes_Encaissements!$C$6:$C$3005,"&lt;="&amp;($C390+3)))</f>
        <v/>
      </c>
      <c r="I390" s="12">
        <f>IF($H390="","",IF($H390=0,"Non trouvé",IF($H390=1,"Match","À vérifier")))</f>
        <v/>
      </c>
      <c r="J390" s="21">
        <f>IF($I390&lt;&gt;"Match","",INDEX(Ventes_Encaissements!$B$6:$B$3005,_xludf.AGGREGATE(15,6,(ROW(Ventes_Encaissements!$B$6:$B$3005)-ROW(Ventes_Encaissements!$B$6)+1)/((Ventes_Encaissements!$E$6:$E$3005=$B390)*(Ventes_Encaissements!$J$6:$J$3005=$G390)*(Ventes_Encaissements!$C$6:$C$3005&gt;=$C390-3)*(Ventes_Encaissements!$C$6:$C$3005&lt;=$C390+3)),1)))</f>
        <v/>
      </c>
      <c r="K390" s="6" t="n"/>
    </row>
    <row r="391">
      <c r="A391" s="6" t="n"/>
      <c r="B391" s="6" t="n"/>
      <c r="C391" s="19" t="n"/>
      <c r="D391" s="19" t="n"/>
      <c r="E391" s="6" t="n"/>
      <c r="F391" s="20" t="n"/>
      <c r="G391" s="9">
        <f>IF($F391="","",IF($F391&gt;0,ROUND($F391,2),""))</f>
        <v/>
      </c>
      <c r="H391" s="12">
        <f>IF(OR($B391="",$C391="",$G391=""),"",COUNTIFS(Ventes_Encaissements!$E$6:$E$3005,$B391,Ventes_Encaissements!$J$6:$J$3005,$G391,Ventes_Encaissements!$C$6:$C$3005,"&gt;="&amp;($C391-3),Ventes_Encaissements!$C$6:$C$3005,"&lt;="&amp;($C391+3)))</f>
        <v/>
      </c>
      <c r="I391" s="12">
        <f>IF($H391="","",IF($H391=0,"Non trouvé",IF($H391=1,"Match","À vérifier")))</f>
        <v/>
      </c>
      <c r="J391" s="21">
        <f>IF($I391&lt;&gt;"Match","",INDEX(Ventes_Encaissements!$B$6:$B$3005,_xludf.AGGREGATE(15,6,(ROW(Ventes_Encaissements!$B$6:$B$3005)-ROW(Ventes_Encaissements!$B$6)+1)/((Ventes_Encaissements!$E$6:$E$3005=$B391)*(Ventes_Encaissements!$J$6:$J$3005=$G391)*(Ventes_Encaissements!$C$6:$C$3005&gt;=$C391-3)*(Ventes_Encaissements!$C$6:$C$3005&lt;=$C391+3)),1)))</f>
        <v/>
      </c>
      <c r="K391" s="6" t="n"/>
    </row>
    <row r="392">
      <c r="A392" s="6" t="n"/>
      <c r="B392" s="6" t="n"/>
      <c r="C392" s="19" t="n"/>
      <c r="D392" s="19" t="n"/>
      <c r="E392" s="6" t="n"/>
      <c r="F392" s="20" t="n"/>
      <c r="G392" s="9">
        <f>IF($F392="","",IF($F392&gt;0,ROUND($F392,2),""))</f>
        <v/>
      </c>
      <c r="H392" s="12">
        <f>IF(OR($B392="",$C392="",$G392=""),"",COUNTIFS(Ventes_Encaissements!$E$6:$E$3005,$B392,Ventes_Encaissements!$J$6:$J$3005,$G392,Ventes_Encaissements!$C$6:$C$3005,"&gt;="&amp;($C392-3),Ventes_Encaissements!$C$6:$C$3005,"&lt;="&amp;($C392+3)))</f>
        <v/>
      </c>
      <c r="I392" s="12">
        <f>IF($H392="","",IF($H392=0,"Non trouvé",IF($H392=1,"Match","À vérifier")))</f>
        <v/>
      </c>
      <c r="J392" s="21">
        <f>IF($I392&lt;&gt;"Match","",INDEX(Ventes_Encaissements!$B$6:$B$3005,_xludf.AGGREGATE(15,6,(ROW(Ventes_Encaissements!$B$6:$B$3005)-ROW(Ventes_Encaissements!$B$6)+1)/((Ventes_Encaissements!$E$6:$E$3005=$B392)*(Ventes_Encaissements!$J$6:$J$3005=$G392)*(Ventes_Encaissements!$C$6:$C$3005&gt;=$C392-3)*(Ventes_Encaissements!$C$6:$C$3005&lt;=$C392+3)),1)))</f>
        <v/>
      </c>
      <c r="K392" s="6" t="n"/>
    </row>
    <row r="393">
      <c r="A393" s="6" t="n"/>
      <c r="B393" s="6" t="n"/>
      <c r="C393" s="19" t="n"/>
      <c r="D393" s="19" t="n"/>
      <c r="E393" s="6" t="n"/>
      <c r="F393" s="20" t="n"/>
      <c r="G393" s="9">
        <f>IF($F393="","",IF($F393&gt;0,ROUND($F393,2),""))</f>
        <v/>
      </c>
      <c r="H393" s="12">
        <f>IF(OR($B393="",$C393="",$G393=""),"",COUNTIFS(Ventes_Encaissements!$E$6:$E$3005,$B393,Ventes_Encaissements!$J$6:$J$3005,$G393,Ventes_Encaissements!$C$6:$C$3005,"&gt;="&amp;($C393-3),Ventes_Encaissements!$C$6:$C$3005,"&lt;="&amp;($C393+3)))</f>
        <v/>
      </c>
      <c r="I393" s="12">
        <f>IF($H393="","",IF($H393=0,"Non trouvé",IF($H393=1,"Match","À vérifier")))</f>
        <v/>
      </c>
      <c r="J393" s="21">
        <f>IF($I393&lt;&gt;"Match","",INDEX(Ventes_Encaissements!$B$6:$B$3005,_xludf.AGGREGATE(15,6,(ROW(Ventes_Encaissements!$B$6:$B$3005)-ROW(Ventes_Encaissements!$B$6)+1)/((Ventes_Encaissements!$E$6:$E$3005=$B393)*(Ventes_Encaissements!$J$6:$J$3005=$G393)*(Ventes_Encaissements!$C$6:$C$3005&gt;=$C393-3)*(Ventes_Encaissements!$C$6:$C$3005&lt;=$C393+3)),1)))</f>
        <v/>
      </c>
      <c r="K393" s="6" t="n"/>
    </row>
    <row r="394">
      <c r="A394" s="6" t="n"/>
      <c r="B394" s="6" t="n"/>
      <c r="C394" s="19" t="n"/>
      <c r="D394" s="19" t="n"/>
      <c r="E394" s="6" t="n"/>
      <c r="F394" s="20" t="n"/>
      <c r="G394" s="9">
        <f>IF($F394="","",IF($F394&gt;0,ROUND($F394,2),""))</f>
        <v/>
      </c>
      <c r="H394" s="12">
        <f>IF(OR($B394="",$C394="",$G394=""),"",COUNTIFS(Ventes_Encaissements!$E$6:$E$3005,$B394,Ventes_Encaissements!$J$6:$J$3005,$G394,Ventes_Encaissements!$C$6:$C$3005,"&gt;="&amp;($C394-3),Ventes_Encaissements!$C$6:$C$3005,"&lt;="&amp;($C394+3)))</f>
        <v/>
      </c>
      <c r="I394" s="12">
        <f>IF($H394="","",IF($H394=0,"Non trouvé",IF($H394=1,"Match","À vérifier")))</f>
        <v/>
      </c>
      <c r="J394" s="21">
        <f>IF($I394&lt;&gt;"Match","",INDEX(Ventes_Encaissements!$B$6:$B$3005,_xludf.AGGREGATE(15,6,(ROW(Ventes_Encaissements!$B$6:$B$3005)-ROW(Ventes_Encaissements!$B$6)+1)/((Ventes_Encaissements!$E$6:$E$3005=$B394)*(Ventes_Encaissements!$J$6:$J$3005=$G394)*(Ventes_Encaissements!$C$6:$C$3005&gt;=$C394-3)*(Ventes_Encaissements!$C$6:$C$3005&lt;=$C394+3)),1)))</f>
        <v/>
      </c>
      <c r="K394" s="6" t="n"/>
    </row>
    <row r="395">
      <c r="A395" s="6" t="n"/>
      <c r="B395" s="6" t="n"/>
      <c r="C395" s="19" t="n"/>
      <c r="D395" s="19" t="n"/>
      <c r="E395" s="6" t="n"/>
      <c r="F395" s="20" t="n"/>
      <c r="G395" s="9">
        <f>IF($F395="","",IF($F395&gt;0,ROUND($F395,2),""))</f>
        <v/>
      </c>
      <c r="H395" s="12">
        <f>IF(OR($B395="",$C395="",$G395=""),"",COUNTIFS(Ventes_Encaissements!$E$6:$E$3005,$B395,Ventes_Encaissements!$J$6:$J$3005,$G395,Ventes_Encaissements!$C$6:$C$3005,"&gt;="&amp;($C395-3),Ventes_Encaissements!$C$6:$C$3005,"&lt;="&amp;($C395+3)))</f>
        <v/>
      </c>
      <c r="I395" s="12">
        <f>IF($H395="","",IF($H395=0,"Non trouvé",IF($H395=1,"Match","À vérifier")))</f>
        <v/>
      </c>
      <c r="J395" s="21">
        <f>IF($I395&lt;&gt;"Match","",INDEX(Ventes_Encaissements!$B$6:$B$3005,_xludf.AGGREGATE(15,6,(ROW(Ventes_Encaissements!$B$6:$B$3005)-ROW(Ventes_Encaissements!$B$6)+1)/((Ventes_Encaissements!$E$6:$E$3005=$B395)*(Ventes_Encaissements!$J$6:$J$3005=$G395)*(Ventes_Encaissements!$C$6:$C$3005&gt;=$C395-3)*(Ventes_Encaissements!$C$6:$C$3005&lt;=$C395+3)),1)))</f>
        <v/>
      </c>
      <c r="K395" s="6" t="n"/>
    </row>
    <row r="396">
      <c r="A396" s="6" t="n"/>
      <c r="B396" s="6" t="n"/>
      <c r="C396" s="19" t="n"/>
      <c r="D396" s="19" t="n"/>
      <c r="E396" s="6" t="n"/>
      <c r="F396" s="20" t="n"/>
      <c r="G396" s="9">
        <f>IF($F396="","",IF($F396&gt;0,ROUND($F396,2),""))</f>
        <v/>
      </c>
      <c r="H396" s="12">
        <f>IF(OR($B396="",$C396="",$G396=""),"",COUNTIFS(Ventes_Encaissements!$E$6:$E$3005,$B396,Ventes_Encaissements!$J$6:$J$3005,$G396,Ventes_Encaissements!$C$6:$C$3005,"&gt;="&amp;($C396-3),Ventes_Encaissements!$C$6:$C$3005,"&lt;="&amp;($C396+3)))</f>
        <v/>
      </c>
      <c r="I396" s="12">
        <f>IF($H396="","",IF($H396=0,"Non trouvé",IF($H396=1,"Match","À vérifier")))</f>
        <v/>
      </c>
      <c r="J396" s="21">
        <f>IF($I396&lt;&gt;"Match","",INDEX(Ventes_Encaissements!$B$6:$B$3005,_xludf.AGGREGATE(15,6,(ROW(Ventes_Encaissements!$B$6:$B$3005)-ROW(Ventes_Encaissements!$B$6)+1)/((Ventes_Encaissements!$E$6:$E$3005=$B396)*(Ventes_Encaissements!$J$6:$J$3005=$G396)*(Ventes_Encaissements!$C$6:$C$3005&gt;=$C396-3)*(Ventes_Encaissements!$C$6:$C$3005&lt;=$C396+3)),1)))</f>
        <v/>
      </c>
      <c r="K396" s="6" t="n"/>
    </row>
    <row r="397">
      <c r="A397" s="6" t="n"/>
      <c r="B397" s="6" t="n"/>
      <c r="C397" s="19" t="n"/>
      <c r="D397" s="19" t="n"/>
      <c r="E397" s="6" t="n"/>
      <c r="F397" s="20" t="n"/>
      <c r="G397" s="9">
        <f>IF($F397="","",IF($F397&gt;0,ROUND($F397,2),""))</f>
        <v/>
      </c>
      <c r="H397" s="12">
        <f>IF(OR($B397="",$C397="",$G397=""),"",COUNTIFS(Ventes_Encaissements!$E$6:$E$3005,$B397,Ventes_Encaissements!$J$6:$J$3005,$G397,Ventes_Encaissements!$C$6:$C$3005,"&gt;="&amp;($C397-3),Ventes_Encaissements!$C$6:$C$3005,"&lt;="&amp;($C397+3)))</f>
        <v/>
      </c>
      <c r="I397" s="12">
        <f>IF($H397="","",IF($H397=0,"Non trouvé",IF($H397=1,"Match","À vérifier")))</f>
        <v/>
      </c>
      <c r="J397" s="21">
        <f>IF($I397&lt;&gt;"Match","",INDEX(Ventes_Encaissements!$B$6:$B$3005,_xludf.AGGREGATE(15,6,(ROW(Ventes_Encaissements!$B$6:$B$3005)-ROW(Ventes_Encaissements!$B$6)+1)/((Ventes_Encaissements!$E$6:$E$3005=$B397)*(Ventes_Encaissements!$J$6:$J$3005=$G397)*(Ventes_Encaissements!$C$6:$C$3005&gt;=$C397-3)*(Ventes_Encaissements!$C$6:$C$3005&lt;=$C397+3)),1)))</f>
        <v/>
      </c>
      <c r="K397" s="6" t="n"/>
    </row>
    <row r="398">
      <c r="A398" s="6" t="n"/>
      <c r="B398" s="6" t="n"/>
      <c r="C398" s="19" t="n"/>
      <c r="D398" s="19" t="n"/>
      <c r="E398" s="6" t="n"/>
      <c r="F398" s="20" t="n"/>
      <c r="G398" s="9">
        <f>IF($F398="","",IF($F398&gt;0,ROUND($F398,2),""))</f>
        <v/>
      </c>
      <c r="H398" s="12">
        <f>IF(OR($B398="",$C398="",$G398=""),"",COUNTIFS(Ventes_Encaissements!$E$6:$E$3005,$B398,Ventes_Encaissements!$J$6:$J$3005,$G398,Ventes_Encaissements!$C$6:$C$3005,"&gt;="&amp;($C398-3),Ventes_Encaissements!$C$6:$C$3005,"&lt;="&amp;($C398+3)))</f>
        <v/>
      </c>
      <c r="I398" s="12">
        <f>IF($H398="","",IF($H398=0,"Non trouvé",IF($H398=1,"Match","À vérifier")))</f>
        <v/>
      </c>
      <c r="J398" s="21">
        <f>IF($I398&lt;&gt;"Match","",INDEX(Ventes_Encaissements!$B$6:$B$3005,_xludf.AGGREGATE(15,6,(ROW(Ventes_Encaissements!$B$6:$B$3005)-ROW(Ventes_Encaissements!$B$6)+1)/((Ventes_Encaissements!$E$6:$E$3005=$B398)*(Ventes_Encaissements!$J$6:$J$3005=$G398)*(Ventes_Encaissements!$C$6:$C$3005&gt;=$C398-3)*(Ventes_Encaissements!$C$6:$C$3005&lt;=$C398+3)),1)))</f>
        <v/>
      </c>
      <c r="K398" s="6" t="n"/>
    </row>
    <row r="399">
      <c r="A399" s="6" t="n"/>
      <c r="B399" s="6" t="n"/>
      <c r="C399" s="19" t="n"/>
      <c r="D399" s="19" t="n"/>
      <c r="E399" s="6" t="n"/>
      <c r="F399" s="20" t="n"/>
      <c r="G399" s="9">
        <f>IF($F399="","",IF($F399&gt;0,ROUND($F399,2),""))</f>
        <v/>
      </c>
      <c r="H399" s="12">
        <f>IF(OR($B399="",$C399="",$G399=""),"",COUNTIFS(Ventes_Encaissements!$E$6:$E$3005,$B399,Ventes_Encaissements!$J$6:$J$3005,$G399,Ventes_Encaissements!$C$6:$C$3005,"&gt;="&amp;($C399-3),Ventes_Encaissements!$C$6:$C$3005,"&lt;="&amp;($C399+3)))</f>
        <v/>
      </c>
      <c r="I399" s="12">
        <f>IF($H399="","",IF($H399=0,"Non trouvé",IF($H399=1,"Match","À vérifier")))</f>
        <v/>
      </c>
      <c r="J399" s="21">
        <f>IF($I399&lt;&gt;"Match","",INDEX(Ventes_Encaissements!$B$6:$B$3005,_xludf.AGGREGATE(15,6,(ROW(Ventes_Encaissements!$B$6:$B$3005)-ROW(Ventes_Encaissements!$B$6)+1)/((Ventes_Encaissements!$E$6:$E$3005=$B399)*(Ventes_Encaissements!$J$6:$J$3005=$G399)*(Ventes_Encaissements!$C$6:$C$3005&gt;=$C399-3)*(Ventes_Encaissements!$C$6:$C$3005&lt;=$C399+3)),1)))</f>
        <v/>
      </c>
      <c r="K399" s="6" t="n"/>
    </row>
    <row r="400">
      <c r="A400" s="6" t="n"/>
      <c r="B400" s="6" t="n"/>
      <c r="C400" s="19" t="n"/>
      <c r="D400" s="19" t="n"/>
      <c r="E400" s="6" t="n"/>
      <c r="F400" s="20" t="n"/>
      <c r="G400" s="9">
        <f>IF($F400="","",IF($F400&gt;0,ROUND($F400,2),""))</f>
        <v/>
      </c>
      <c r="H400" s="12">
        <f>IF(OR($B400="",$C400="",$G400=""),"",COUNTIFS(Ventes_Encaissements!$E$6:$E$3005,$B400,Ventes_Encaissements!$J$6:$J$3005,$G400,Ventes_Encaissements!$C$6:$C$3005,"&gt;="&amp;($C400-3),Ventes_Encaissements!$C$6:$C$3005,"&lt;="&amp;($C400+3)))</f>
        <v/>
      </c>
      <c r="I400" s="12">
        <f>IF($H400="","",IF($H400=0,"Non trouvé",IF($H400=1,"Match","À vérifier")))</f>
        <v/>
      </c>
      <c r="J400" s="21">
        <f>IF($I400&lt;&gt;"Match","",INDEX(Ventes_Encaissements!$B$6:$B$3005,_xludf.AGGREGATE(15,6,(ROW(Ventes_Encaissements!$B$6:$B$3005)-ROW(Ventes_Encaissements!$B$6)+1)/((Ventes_Encaissements!$E$6:$E$3005=$B400)*(Ventes_Encaissements!$J$6:$J$3005=$G400)*(Ventes_Encaissements!$C$6:$C$3005&gt;=$C400-3)*(Ventes_Encaissements!$C$6:$C$3005&lt;=$C400+3)),1)))</f>
        <v/>
      </c>
      <c r="K400" s="6" t="n"/>
    </row>
    <row r="401">
      <c r="A401" s="6" t="n"/>
      <c r="B401" s="6" t="n"/>
      <c r="C401" s="19" t="n"/>
      <c r="D401" s="19" t="n"/>
      <c r="E401" s="6" t="n"/>
      <c r="F401" s="20" t="n"/>
      <c r="G401" s="9">
        <f>IF($F401="","",IF($F401&gt;0,ROUND($F401,2),""))</f>
        <v/>
      </c>
      <c r="H401" s="12">
        <f>IF(OR($B401="",$C401="",$G401=""),"",COUNTIFS(Ventes_Encaissements!$E$6:$E$3005,$B401,Ventes_Encaissements!$J$6:$J$3005,$G401,Ventes_Encaissements!$C$6:$C$3005,"&gt;="&amp;($C401-3),Ventes_Encaissements!$C$6:$C$3005,"&lt;="&amp;($C401+3)))</f>
        <v/>
      </c>
      <c r="I401" s="12">
        <f>IF($H401="","",IF($H401=0,"Non trouvé",IF($H401=1,"Match","À vérifier")))</f>
        <v/>
      </c>
      <c r="J401" s="21">
        <f>IF($I401&lt;&gt;"Match","",INDEX(Ventes_Encaissements!$B$6:$B$3005,_xludf.AGGREGATE(15,6,(ROW(Ventes_Encaissements!$B$6:$B$3005)-ROW(Ventes_Encaissements!$B$6)+1)/((Ventes_Encaissements!$E$6:$E$3005=$B401)*(Ventes_Encaissements!$J$6:$J$3005=$G401)*(Ventes_Encaissements!$C$6:$C$3005&gt;=$C401-3)*(Ventes_Encaissements!$C$6:$C$3005&lt;=$C401+3)),1)))</f>
        <v/>
      </c>
      <c r="K401" s="6" t="n"/>
    </row>
    <row r="402">
      <c r="A402" s="6" t="n"/>
      <c r="B402" s="6" t="n"/>
      <c r="C402" s="19" t="n"/>
      <c r="D402" s="19" t="n"/>
      <c r="E402" s="6" t="n"/>
      <c r="F402" s="20" t="n"/>
      <c r="G402" s="9">
        <f>IF($F402="","",IF($F402&gt;0,ROUND($F402,2),""))</f>
        <v/>
      </c>
      <c r="H402" s="12">
        <f>IF(OR($B402="",$C402="",$G402=""),"",COUNTIFS(Ventes_Encaissements!$E$6:$E$3005,$B402,Ventes_Encaissements!$J$6:$J$3005,$G402,Ventes_Encaissements!$C$6:$C$3005,"&gt;="&amp;($C402-3),Ventes_Encaissements!$C$6:$C$3005,"&lt;="&amp;($C402+3)))</f>
        <v/>
      </c>
      <c r="I402" s="12">
        <f>IF($H402="","",IF($H402=0,"Non trouvé",IF($H402=1,"Match","À vérifier")))</f>
        <v/>
      </c>
      <c r="J402" s="21">
        <f>IF($I402&lt;&gt;"Match","",INDEX(Ventes_Encaissements!$B$6:$B$3005,_xludf.AGGREGATE(15,6,(ROW(Ventes_Encaissements!$B$6:$B$3005)-ROW(Ventes_Encaissements!$B$6)+1)/((Ventes_Encaissements!$E$6:$E$3005=$B402)*(Ventes_Encaissements!$J$6:$J$3005=$G402)*(Ventes_Encaissements!$C$6:$C$3005&gt;=$C402-3)*(Ventes_Encaissements!$C$6:$C$3005&lt;=$C402+3)),1)))</f>
        <v/>
      </c>
      <c r="K402" s="6" t="n"/>
    </row>
    <row r="403">
      <c r="A403" s="6" t="n"/>
      <c r="B403" s="6" t="n"/>
      <c r="C403" s="19" t="n"/>
      <c r="D403" s="19" t="n"/>
      <c r="E403" s="6" t="n"/>
      <c r="F403" s="20" t="n"/>
      <c r="G403" s="9">
        <f>IF($F403="","",IF($F403&gt;0,ROUND($F403,2),""))</f>
        <v/>
      </c>
      <c r="H403" s="12">
        <f>IF(OR($B403="",$C403="",$G403=""),"",COUNTIFS(Ventes_Encaissements!$E$6:$E$3005,$B403,Ventes_Encaissements!$J$6:$J$3005,$G403,Ventes_Encaissements!$C$6:$C$3005,"&gt;="&amp;($C403-3),Ventes_Encaissements!$C$6:$C$3005,"&lt;="&amp;($C403+3)))</f>
        <v/>
      </c>
      <c r="I403" s="12">
        <f>IF($H403="","",IF($H403=0,"Non trouvé",IF($H403=1,"Match","À vérifier")))</f>
        <v/>
      </c>
      <c r="J403" s="21">
        <f>IF($I403&lt;&gt;"Match","",INDEX(Ventes_Encaissements!$B$6:$B$3005,_xludf.AGGREGATE(15,6,(ROW(Ventes_Encaissements!$B$6:$B$3005)-ROW(Ventes_Encaissements!$B$6)+1)/((Ventes_Encaissements!$E$6:$E$3005=$B403)*(Ventes_Encaissements!$J$6:$J$3005=$G403)*(Ventes_Encaissements!$C$6:$C$3005&gt;=$C403-3)*(Ventes_Encaissements!$C$6:$C$3005&lt;=$C403+3)),1)))</f>
        <v/>
      </c>
      <c r="K403" s="6" t="n"/>
    </row>
    <row r="404">
      <c r="A404" s="6" t="n"/>
      <c r="B404" s="6" t="n"/>
      <c r="C404" s="19" t="n"/>
      <c r="D404" s="19" t="n"/>
      <c r="E404" s="6" t="n"/>
      <c r="F404" s="20" t="n"/>
      <c r="G404" s="9">
        <f>IF($F404="","",IF($F404&gt;0,ROUND($F404,2),""))</f>
        <v/>
      </c>
      <c r="H404" s="12">
        <f>IF(OR($B404="",$C404="",$G404=""),"",COUNTIFS(Ventes_Encaissements!$E$6:$E$3005,$B404,Ventes_Encaissements!$J$6:$J$3005,$G404,Ventes_Encaissements!$C$6:$C$3005,"&gt;="&amp;($C404-3),Ventes_Encaissements!$C$6:$C$3005,"&lt;="&amp;($C404+3)))</f>
        <v/>
      </c>
      <c r="I404" s="12">
        <f>IF($H404="","",IF($H404=0,"Non trouvé",IF($H404=1,"Match","À vérifier")))</f>
        <v/>
      </c>
      <c r="J404" s="21">
        <f>IF($I404&lt;&gt;"Match","",INDEX(Ventes_Encaissements!$B$6:$B$3005,_xludf.AGGREGATE(15,6,(ROW(Ventes_Encaissements!$B$6:$B$3005)-ROW(Ventes_Encaissements!$B$6)+1)/((Ventes_Encaissements!$E$6:$E$3005=$B404)*(Ventes_Encaissements!$J$6:$J$3005=$G404)*(Ventes_Encaissements!$C$6:$C$3005&gt;=$C404-3)*(Ventes_Encaissements!$C$6:$C$3005&lt;=$C404+3)),1)))</f>
        <v/>
      </c>
      <c r="K404" s="6" t="n"/>
    </row>
    <row r="405">
      <c r="A405" s="6" t="n"/>
      <c r="B405" s="6" t="n"/>
      <c r="C405" s="19" t="n"/>
      <c r="D405" s="19" t="n"/>
      <c r="E405" s="6" t="n"/>
      <c r="F405" s="20" t="n"/>
      <c r="G405" s="9">
        <f>IF($F405="","",IF($F405&gt;0,ROUND($F405,2),""))</f>
        <v/>
      </c>
      <c r="H405" s="12">
        <f>IF(OR($B405="",$C405="",$G405=""),"",COUNTIFS(Ventes_Encaissements!$E$6:$E$3005,$B405,Ventes_Encaissements!$J$6:$J$3005,$G405,Ventes_Encaissements!$C$6:$C$3005,"&gt;="&amp;($C405-3),Ventes_Encaissements!$C$6:$C$3005,"&lt;="&amp;($C405+3)))</f>
        <v/>
      </c>
      <c r="I405" s="12">
        <f>IF($H405="","",IF($H405=0,"Non trouvé",IF($H405=1,"Match","À vérifier")))</f>
        <v/>
      </c>
      <c r="J405" s="21">
        <f>IF($I405&lt;&gt;"Match","",INDEX(Ventes_Encaissements!$B$6:$B$3005,_xludf.AGGREGATE(15,6,(ROW(Ventes_Encaissements!$B$6:$B$3005)-ROW(Ventes_Encaissements!$B$6)+1)/((Ventes_Encaissements!$E$6:$E$3005=$B405)*(Ventes_Encaissements!$J$6:$J$3005=$G405)*(Ventes_Encaissements!$C$6:$C$3005&gt;=$C405-3)*(Ventes_Encaissements!$C$6:$C$3005&lt;=$C405+3)),1)))</f>
        <v/>
      </c>
      <c r="K405" s="6" t="n"/>
    </row>
    <row r="406">
      <c r="A406" s="6" t="n"/>
      <c r="B406" s="6" t="n"/>
      <c r="C406" s="19" t="n"/>
      <c r="D406" s="19" t="n"/>
      <c r="E406" s="6" t="n"/>
      <c r="F406" s="20" t="n"/>
      <c r="G406" s="9">
        <f>IF($F406="","",IF($F406&gt;0,ROUND($F406,2),""))</f>
        <v/>
      </c>
      <c r="H406" s="12">
        <f>IF(OR($B406="",$C406="",$G406=""),"",COUNTIFS(Ventes_Encaissements!$E$6:$E$3005,$B406,Ventes_Encaissements!$J$6:$J$3005,$G406,Ventes_Encaissements!$C$6:$C$3005,"&gt;="&amp;($C406-3),Ventes_Encaissements!$C$6:$C$3005,"&lt;="&amp;($C406+3)))</f>
        <v/>
      </c>
      <c r="I406" s="12">
        <f>IF($H406="","",IF($H406=0,"Non trouvé",IF($H406=1,"Match","À vérifier")))</f>
        <v/>
      </c>
      <c r="J406" s="21">
        <f>IF($I406&lt;&gt;"Match","",INDEX(Ventes_Encaissements!$B$6:$B$3005,_xludf.AGGREGATE(15,6,(ROW(Ventes_Encaissements!$B$6:$B$3005)-ROW(Ventes_Encaissements!$B$6)+1)/((Ventes_Encaissements!$E$6:$E$3005=$B406)*(Ventes_Encaissements!$J$6:$J$3005=$G406)*(Ventes_Encaissements!$C$6:$C$3005&gt;=$C406-3)*(Ventes_Encaissements!$C$6:$C$3005&lt;=$C406+3)),1)))</f>
        <v/>
      </c>
      <c r="K406" s="6" t="n"/>
    </row>
    <row r="407">
      <c r="A407" s="6" t="n"/>
      <c r="B407" s="6" t="n"/>
      <c r="C407" s="19" t="n"/>
      <c r="D407" s="19" t="n"/>
      <c r="E407" s="6" t="n"/>
      <c r="F407" s="20" t="n"/>
      <c r="G407" s="9">
        <f>IF($F407="","",IF($F407&gt;0,ROUND($F407,2),""))</f>
        <v/>
      </c>
      <c r="H407" s="12">
        <f>IF(OR($B407="",$C407="",$G407=""),"",COUNTIFS(Ventes_Encaissements!$E$6:$E$3005,$B407,Ventes_Encaissements!$J$6:$J$3005,$G407,Ventes_Encaissements!$C$6:$C$3005,"&gt;="&amp;($C407-3),Ventes_Encaissements!$C$6:$C$3005,"&lt;="&amp;($C407+3)))</f>
        <v/>
      </c>
      <c r="I407" s="12">
        <f>IF($H407="","",IF($H407=0,"Non trouvé",IF($H407=1,"Match","À vérifier")))</f>
        <v/>
      </c>
      <c r="J407" s="21">
        <f>IF($I407&lt;&gt;"Match","",INDEX(Ventes_Encaissements!$B$6:$B$3005,_xludf.AGGREGATE(15,6,(ROW(Ventes_Encaissements!$B$6:$B$3005)-ROW(Ventes_Encaissements!$B$6)+1)/((Ventes_Encaissements!$E$6:$E$3005=$B407)*(Ventes_Encaissements!$J$6:$J$3005=$G407)*(Ventes_Encaissements!$C$6:$C$3005&gt;=$C407-3)*(Ventes_Encaissements!$C$6:$C$3005&lt;=$C407+3)),1)))</f>
        <v/>
      </c>
      <c r="K407" s="6" t="n"/>
    </row>
    <row r="408">
      <c r="A408" s="6" t="n"/>
      <c r="B408" s="6" t="n"/>
      <c r="C408" s="19" t="n"/>
      <c r="D408" s="19" t="n"/>
      <c r="E408" s="6" t="n"/>
      <c r="F408" s="20" t="n"/>
      <c r="G408" s="9">
        <f>IF($F408="","",IF($F408&gt;0,ROUND($F408,2),""))</f>
        <v/>
      </c>
      <c r="H408" s="12">
        <f>IF(OR($B408="",$C408="",$G408=""),"",COUNTIFS(Ventes_Encaissements!$E$6:$E$3005,$B408,Ventes_Encaissements!$J$6:$J$3005,$G408,Ventes_Encaissements!$C$6:$C$3005,"&gt;="&amp;($C408-3),Ventes_Encaissements!$C$6:$C$3005,"&lt;="&amp;($C408+3)))</f>
        <v/>
      </c>
      <c r="I408" s="12">
        <f>IF($H408="","",IF($H408=0,"Non trouvé",IF($H408=1,"Match","À vérifier")))</f>
        <v/>
      </c>
      <c r="J408" s="21">
        <f>IF($I408&lt;&gt;"Match","",INDEX(Ventes_Encaissements!$B$6:$B$3005,_xludf.AGGREGATE(15,6,(ROW(Ventes_Encaissements!$B$6:$B$3005)-ROW(Ventes_Encaissements!$B$6)+1)/((Ventes_Encaissements!$E$6:$E$3005=$B408)*(Ventes_Encaissements!$J$6:$J$3005=$G408)*(Ventes_Encaissements!$C$6:$C$3005&gt;=$C408-3)*(Ventes_Encaissements!$C$6:$C$3005&lt;=$C408+3)),1)))</f>
        <v/>
      </c>
      <c r="K408" s="6" t="n"/>
    </row>
    <row r="409">
      <c r="A409" s="6" t="n"/>
      <c r="B409" s="6" t="n"/>
      <c r="C409" s="19" t="n"/>
      <c r="D409" s="19" t="n"/>
      <c r="E409" s="6" t="n"/>
      <c r="F409" s="20" t="n"/>
      <c r="G409" s="9">
        <f>IF($F409="","",IF($F409&gt;0,ROUND($F409,2),""))</f>
        <v/>
      </c>
      <c r="H409" s="12">
        <f>IF(OR($B409="",$C409="",$G409=""),"",COUNTIFS(Ventes_Encaissements!$E$6:$E$3005,$B409,Ventes_Encaissements!$J$6:$J$3005,$G409,Ventes_Encaissements!$C$6:$C$3005,"&gt;="&amp;($C409-3),Ventes_Encaissements!$C$6:$C$3005,"&lt;="&amp;($C409+3)))</f>
        <v/>
      </c>
      <c r="I409" s="12">
        <f>IF($H409="","",IF($H409=0,"Non trouvé",IF($H409=1,"Match","À vérifier")))</f>
        <v/>
      </c>
      <c r="J409" s="21">
        <f>IF($I409&lt;&gt;"Match","",INDEX(Ventes_Encaissements!$B$6:$B$3005,_xludf.AGGREGATE(15,6,(ROW(Ventes_Encaissements!$B$6:$B$3005)-ROW(Ventes_Encaissements!$B$6)+1)/((Ventes_Encaissements!$E$6:$E$3005=$B409)*(Ventes_Encaissements!$J$6:$J$3005=$G409)*(Ventes_Encaissements!$C$6:$C$3005&gt;=$C409-3)*(Ventes_Encaissements!$C$6:$C$3005&lt;=$C409+3)),1)))</f>
        <v/>
      </c>
      <c r="K409" s="6" t="n"/>
    </row>
    <row r="410">
      <c r="A410" s="6" t="n"/>
      <c r="B410" s="6" t="n"/>
      <c r="C410" s="19" t="n"/>
      <c r="D410" s="19" t="n"/>
      <c r="E410" s="6" t="n"/>
      <c r="F410" s="20" t="n"/>
      <c r="G410" s="9">
        <f>IF($F410="","",IF($F410&gt;0,ROUND($F410,2),""))</f>
        <v/>
      </c>
      <c r="H410" s="12">
        <f>IF(OR($B410="",$C410="",$G410=""),"",COUNTIFS(Ventes_Encaissements!$E$6:$E$3005,$B410,Ventes_Encaissements!$J$6:$J$3005,$G410,Ventes_Encaissements!$C$6:$C$3005,"&gt;="&amp;($C410-3),Ventes_Encaissements!$C$6:$C$3005,"&lt;="&amp;($C410+3)))</f>
        <v/>
      </c>
      <c r="I410" s="12">
        <f>IF($H410="","",IF($H410=0,"Non trouvé",IF($H410=1,"Match","À vérifier")))</f>
        <v/>
      </c>
      <c r="J410" s="21">
        <f>IF($I410&lt;&gt;"Match","",INDEX(Ventes_Encaissements!$B$6:$B$3005,_xludf.AGGREGATE(15,6,(ROW(Ventes_Encaissements!$B$6:$B$3005)-ROW(Ventes_Encaissements!$B$6)+1)/((Ventes_Encaissements!$E$6:$E$3005=$B410)*(Ventes_Encaissements!$J$6:$J$3005=$G410)*(Ventes_Encaissements!$C$6:$C$3005&gt;=$C410-3)*(Ventes_Encaissements!$C$6:$C$3005&lt;=$C410+3)),1)))</f>
        <v/>
      </c>
      <c r="K410" s="6" t="n"/>
    </row>
    <row r="411">
      <c r="A411" s="6" t="n"/>
      <c r="B411" s="6" t="n"/>
      <c r="C411" s="19" t="n"/>
      <c r="D411" s="19" t="n"/>
      <c r="E411" s="6" t="n"/>
      <c r="F411" s="20" t="n"/>
      <c r="G411" s="9">
        <f>IF($F411="","",IF($F411&gt;0,ROUND($F411,2),""))</f>
        <v/>
      </c>
      <c r="H411" s="12">
        <f>IF(OR($B411="",$C411="",$G411=""),"",COUNTIFS(Ventes_Encaissements!$E$6:$E$3005,$B411,Ventes_Encaissements!$J$6:$J$3005,$G411,Ventes_Encaissements!$C$6:$C$3005,"&gt;="&amp;($C411-3),Ventes_Encaissements!$C$6:$C$3005,"&lt;="&amp;($C411+3)))</f>
        <v/>
      </c>
      <c r="I411" s="12">
        <f>IF($H411="","",IF($H411=0,"Non trouvé",IF($H411=1,"Match","À vérifier")))</f>
        <v/>
      </c>
      <c r="J411" s="21">
        <f>IF($I411&lt;&gt;"Match","",INDEX(Ventes_Encaissements!$B$6:$B$3005,_xludf.AGGREGATE(15,6,(ROW(Ventes_Encaissements!$B$6:$B$3005)-ROW(Ventes_Encaissements!$B$6)+1)/((Ventes_Encaissements!$E$6:$E$3005=$B411)*(Ventes_Encaissements!$J$6:$J$3005=$G411)*(Ventes_Encaissements!$C$6:$C$3005&gt;=$C411-3)*(Ventes_Encaissements!$C$6:$C$3005&lt;=$C411+3)),1)))</f>
        <v/>
      </c>
      <c r="K411" s="6" t="n"/>
    </row>
    <row r="412">
      <c r="A412" s="6" t="n"/>
      <c r="B412" s="6" t="n"/>
      <c r="C412" s="19" t="n"/>
      <c r="D412" s="19" t="n"/>
      <c r="E412" s="6" t="n"/>
      <c r="F412" s="20" t="n"/>
      <c r="G412" s="9">
        <f>IF($F412="","",IF($F412&gt;0,ROUND($F412,2),""))</f>
        <v/>
      </c>
      <c r="H412" s="12">
        <f>IF(OR($B412="",$C412="",$G412=""),"",COUNTIFS(Ventes_Encaissements!$E$6:$E$3005,$B412,Ventes_Encaissements!$J$6:$J$3005,$G412,Ventes_Encaissements!$C$6:$C$3005,"&gt;="&amp;($C412-3),Ventes_Encaissements!$C$6:$C$3005,"&lt;="&amp;($C412+3)))</f>
        <v/>
      </c>
      <c r="I412" s="12">
        <f>IF($H412="","",IF($H412=0,"Non trouvé",IF($H412=1,"Match","À vérifier")))</f>
        <v/>
      </c>
      <c r="J412" s="21">
        <f>IF($I412&lt;&gt;"Match","",INDEX(Ventes_Encaissements!$B$6:$B$3005,_xludf.AGGREGATE(15,6,(ROW(Ventes_Encaissements!$B$6:$B$3005)-ROW(Ventes_Encaissements!$B$6)+1)/((Ventes_Encaissements!$E$6:$E$3005=$B412)*(Ventes_Encaissements!$J$6:$J$3005=$G412)*(Ventes_Encaissements!$C$6:$C$3005&gt;=$C412-3)*(Ventes_Encaissements!$C$6:$C$3005&lt;=$C412+3)),1)))</f>
        <v/>
      </c>
      <c r="K412" s="6" t="n"/>
    </row>
    <row r="413">
      <c r="A413" s="6" t="n"/>
      <c r="B413" s="6" t="n"/>
      <c r="C413" s="19" t="n"/>
      <c r="D413" s="19" t="n"/>
      <c r="E413" s="6" t="n"/>
      <c r="F413" s="20" t="n"/>
      <c r="G413" s="9">
        <f>IF($F413="","",IF($F413&gt;0,ROUND($F413,2),""))</f>
        <v/>
      </c>
      <c r="H413" s="12">
        <f>IF(OR($B413="",$C413="",$G413=""),"",COUNTIFS(Ventes_Encaissements!$E$6:$E$3005,$B413,Ventes_Encaissements!$J$6:$J$3005,$G413,Ventes_Encaissements!$C$6:$C$3005,"&gt;="&amp;($C413-3),Ventes_Encaissements!$C$6:$C$3005,"&lt;="&amp;($C413+3)))</f>
        <v/>
      </c>
      <c r="I413" s="12">
        <f>IF($H413="","",IF($H413=0,"Non trouvé",IF($H413=1,"Match","À vérifier")))</f>
        <v/>
      </c>
      <c r="J413" s="21">
        <f>IF($I413&lt;&gt;"Match","",INDEX(Ventes_Encaissements!$B$6:$B$3005,_xludf.AGGREGATE(15,6,(ROW(Ventes_Encaissements!$B$6:$B$3005)-ROW(Ventes_Encaissements!$B$6)+1)/((Ventes_Encaissements!$E$6:$E$3005=$B413)*(Ventes_Encaissements!$J$6:$J$3005=$G413)*(Ventes_Encaissements!$C$6:$C$3005&gt;=$C413-3)*(Ventes_Encaissements!$C$6:$C$3005&lt;=$C413+3)),1)))</f>
        <v/>
      </c>
      <c r="K413" s="6" t="n"/>
    </row>
    <row r="414">
      <c r="A414" s="6" t="n"/>
      <c r="B414" s="6" t="n"/>
      <c r="C414" s="19" t="n"/>
      <c r="D414" s="19" t="n"/>
      <c r="E414" s="6" t="n"/>
      <c r="F414" s="20" t="n"/>
      <c r="G414" s="9">
        <f>IF($F414="","",IF($F414&gt;0,ROUND($F414,2),""))</f>
        <v/>
      </c>
      <c r="H414" s="12">
        <f>IF(OR($B414="",$C414="",$G414=""),"",COUNTIFS(Ventes_Encaissements!$E$6:$E$3005,$B414,Ventes_Encaissements!$J$6:$J$3005,$G414,Ventes_Encaissements!$C$6:$C$3005,"&gt;="&amp;($C414-3),Ventes_Encaissements!$C$6:$C$3005,"&lt;="&amp;($C414+3)))</f>
        <v/>
      </c>
      <c r="I414" s="12">
        <f>IF($H414="","",IF($H414=0,"Non trouvé",IF($H414=1,"Match","À vérifier")))</f>
        <v/>
      </c>
      <c r="J414" s="21">
        <f>IF($I414&lt;&gt;"Match","",INDEX(Ventes_Encaissements!$B$6:$B$3005,_xludf.AGGREGATE(15,6,(ROW(Ventes_Encaissements!$B$6:$B$3005)-ROW(Ventes_Encaissements!$B$6)+1)/((Ventes_Encaissements!$E$6:$E$3005=$B414)*(Ventes_Encaissements!$J$6:$J$3005=$G414)*(Ventes_Encaissements!$C$6:$C$3005&gt;=$C414-3)*(Ventes_Encaissements!$C$6:$C$3005&lt;=$C414+3)),1)))</f>
        <v/>
      </c>
      <c r="K414" s="6" t="n"/>
    </row>
    <row r="415">
      <c r="A415" s="6" t="n"/>
      <c r="B415" s="6" t="n"/>
      <c r="C415" s="19" t="n"/>
      <c r="D415" s="19" t="n"/>
      <c r="E415" s="6" t="n"/>
      <c r="F415" s="20" t="n"/>
      <c r="G415" s="9">
        <f>IF($F415="","",IF($F415&gt;0,ROUND($F415,2),""))</f>
        <v/>
      </c>
      <c r="H415" s="12">
        <f>IF(OR($B415="",$C415="",$G415=""),"",COUNTIFS(Ventes_Encaissements!$E$6:$E$3005,$B415,Ventes_Encaissements!$J$6:$J$3005,$G415,Ventes_Encaissements!$C$6:$C$3005,"&gt;="&amp;($C415-3),Ventes_Encaissements!$C$6:$C$3005,"&lt;="&amp;($C415+3)))</f>
        <v/>
      </c>
      <c r="I415" s="12">
        <f>IF($H415="","",IF($H415=0,"Non trouvé",IF($H415=1,"Match","À vérifier")))</f>
        <v/>
      </c>
      <c r="J415" s="21">
        <f>IF($I415&lt;&gt;"Match","",INDEX(Ventes_Encaissements!$B$6:$B$3005,_xludf.AGGREGATE(15,6,(ROW(Ventes_Encaissements!$B$6:$B$3005)-ROW(Ventes_Encaissements!$B$6)+1)/((Ventes_Encaissements!$E$6:$E$3005=$B415)*(Ventes_Encaissements!$J$6:$J$3005=$G415)*(Ventes_Encaissements!$C$6:$C$3005&gt;=$C415-3)*(Ventes_Encaissements!$C$6:$C$3005&lt;=$C415+3)),1)))</f>
        <v/>
      </c>
      <c r="K415" s="6" t="n"/>
    </row>
    <row r="416">
      <c r="A416" s="6" t="n"/>
      <c r="B416" s="6" t="n"/>
      <c r="C416" s="19" t="n"/>
      <c r="D416" s="19" t="n"/>
      <c r="E416" s="6" t="n"/>
      <c r="F416" s="20" t="n"/>
      <c r="G416" s="9">
        <f>IF($F416="","",IF($F416&gt;0,ROUND($F416,2),""))</f>
        <v/>
      </c>
      <c r="H416" s="12">
        <f>IF(OR($B416="",$C416="",$G416=""),"",COUNTIFS(Ventes_Encaissements!$E$6:$E$3005,$B416,Ventes_Encaissements!$J$6:$J$3005,$G416,Ventes_Encaissements!$C$6:$C$3005,"&gt;="&amp;($C416-3),Ventes_Encaissements!$C$6:$C$3005,"&lt;="&amp;($C416+3)))</f>
        <v/>
      </c>
      <c r="I416" s="12">
        <f>IF($H416="","",IF($H416=0,"Non trouvé",IF($H416=1,"Match","À vérifier")))</f>
        <v/>
      </c>
      <c r="J416" s="21">
        <f>IF($I416&lt;&gt;"Match","",INDEX(Ventes_Encaissements!$B$6:$B$3005,_xludf.AGGREGATE(15,6,(ROW(Ventes_Encaissements!$B$6:$B$3005)-ROW(Ventes_Encaissements!$B$6)+1)/((Ventes_Encaissements!$E$6:$E$3005=$B416)*(Ventes_Encaissements!$J$6:$J$3005=$G416)*(Ventes_Encaissements!$C$6:$C$3005&gt;=$C416-3)*(Ventes_Encaissements!$C$6:$C$3005&lt;=$C416+3)),1)))</f>
        <v/>
      </c>
      <c r="K416" s="6" t="n"/>
    </row>
    <row r="417">
      <c r="A417" s="6" t="n"/>
      <c r="B417" s="6" t="n"/>
      <c r="C417" s="19" t="n"/>
      <c r="D417" s="19" t="n"/>
      <c r="E417" s="6" t="n"/>
      <c r="F417" s="20" t="n"/>
      <c r="G417" s="9">
        <f>IF($F417="","",IF($F417&gt;0,ROUND($F417,2),""))</f>
        <v/>
      </c>
      <c r="H417" s="12">
        <f>IF(OR($B417="",$C417="",$G417=""),"",COUNTIFS(Ventes_Encaissements!$E$6:$E$3005,$B417,Ventes_Encaissements!$J$6:$J$3005,$G417,Ventes_Encaissements!$C$6:$C$3005,"&gt;="&amp;($C417-3),Ventes_Encaissements!$C$6:$C$3005,"&lt;="&amp;($C417+3)))</f>
        <v/>
      </c>
      <c r="I417" s="12">
        <f>IF($H417="","",IF($H417=0,"Non trouvé",IF($H417=1,"Match","À vérifier")))</f>
        <v/>
      </c>
      <c r="J417" s="21">
        <f>IF($I417&lt;&gt;"Match","",INDEX(Ventes_Encaissements!$B$6:$B$3005,_xludf.AGGREGATE(15,6,(ROW(Ventes_Encaissements!$B$6:$B$3005)-ROW(Ventes_Encaissements!$B$6)+1)/((Ventes_Encaissements!$E$6:$E$3005=$B417)*(Ventes_Encaissements!$J$6:$J$3005=$G417)*(Ventes_Encaissements!$C$6:$C$3005&gt;=$C417-3)*(Ventes_Encaissements!$C$6:$C$3005&lt;=$C417+3)),1)))</f>
        <v/>
      </c>
      <c r="K417" s="6" t="n"/>
    </row>
    <row r="418">
      <c r="A418" s="6" t="n"/>
      <c r="B418" s="6" t="n"/>
      <c r="C418" s="19" t="n"/>
      <c r="D418" s="19" t="n"/>
      <c r="E418" s="6" t="n"/>
      <c r="F418" s="20" t="n"/>
      <c r="G418" s="9">
        <f>IF($F418="","",IF($F418&gt;0,ROUND($F418,2),""))</f>
        <v/>
      </c>
      <c r="H418" s="12">
        <f>IF(OR($B418="",$C418="",$G418=""),"",COUNTIFS(Ventes_Encaissements!$E$6:$E$3005,$B418,Ventes_Encaissements!$J$6:$J$3005,$G418,Ventes_Encaissements!$C$6:$C$3005,"&gt;="&amp;($C418-3),Ventes_Encaissements!$C$6:$C$3005,"&lt;="&amp;($C418+3)))</f>
        <v/>
      </c>
      <c r="I418" s="12">
        <f>IF($H418="","",IF($H418=0,"Non trouvé",IF($H418=1,"Match","À vérifier")))</f>
        <v/>
      </c>
      <c r="J418" s="21">
        <f>IF($I418&lt;&gt;"Match","",INDEX(Ventes_Encaissements!$B$6:$B$3005,_xludf.AGGREGATE(15,6,(ROW(Ventes_Encaissements!$B$6:$B$3005)-ROW(Ventes_Encaissements!$B$6)+1)/((Ventes_Encaissements!$E$6:$E$3005=$B418)*(Ventes_Encaissements!$J$6:$J$3005=$G418)*(Ventes_Encaissements!$C$6:$C$3005&gt;=$C418-3)*(Ventes_Encaissements!$C$6:$C$3005&lt;=$C418+3)),1)))</f>
        <v/>
      </c>
      <c r="K418" s="6" t="n"/>
    </row>
    <row r="419">
      <c r="A419" s="6" t="n"/>
      <c r="B419" s="6" t="n"/>
      <c r="C419" s="19" t="n"/>
      <c r="D419" s="19" t="n"/>
      <c r="E419" s="6" t="n"/>
      <c r="F419" s="20" t="n"/>
      <c r="G419" s="9">
        <f>IF($F419="","",IF($F419&gt;0,ROUND($F419,2),""))</f>
        <v/>
      </c>
      <c r="H419" s="12">
        <f>IF(OR($B419="",$C419="",$G419=""),"",COUNTIFS(Ventes_Encaissements!$E$6:$E$3005,$B419,Ventes_Encaissements!$J$6:$J$3005,$G419,Ventes_Encaissements!$C$6:$C$3005,"&gt;="&amp;($C419-3),Ventes_Encaissements!$C$6:$C$3005,"&lt;="&amp;($C419+3)))</f>
        <v/>
      </c>
      <c r="I419" s="12">
        <f>IF($H419="","",IF($H419=0,"Non trouvé",IF($H419=1,"Match","À vérifier")))</f>
        <v/>
      </c>
      <c r="J419" s="21">
        <f>IF($I419&lt;&gt;"Match","",INDEX(Ventes_Encaissements!$B$6:$B$3005,_xludf.AGGREGATE(15,6,(ROW(Ventes_Encaissements!$B$6:$B$3005)-ROW(Ventes_Encaissements!$B$6)+1)/((Ventes_Encaissements!$E$6:$E$3005=$B419)*(Ventes_Encaissements!$J$6:$J$3005=$G419)*(Ventes_Encaissements!$C$6:$C$3005&gt;=$C419-3)*(Ventes_Encaissements!$C$6:$C$3005&lt;=$C419+3)),1)))</f>
        <v/>
      </c>
      <c r="K419" s="6" t="n"/>
    </row>
    <row r="420">
      <c r="A420" s="6" t="n"/>
      <c r="B420" s="6" t="n"/>
      <c r="C420" s="19" t="n"/>
      <c r="D420" s="19" t="n"/>
      <c r="E420" s="6" t="n"/>
      <c r="F420" s="20" t="n"/>
      <c r="G420" s="9">
        <f>IF($F420="","",IF($F420&gt;0,ROUND($F420,2),""))</f>
        <v/>
      </c>
      <c r="H420" s="12">
        <f>IF(OR($B420="",$C420="",$G420=""),"",COUNTIFS(Ventes_Encaissements!$E$6:$E$3005,$B420,Ventes_Encaissements!$J$6:$J$3005,$G420,Ventes_Encaissements!$C$6:$C$3005,"&gt;="&amp;($C420-3),Ventes_Encaissements!$C$6:$C$3005,"&lt;="&amp;($C420+3)))</f>
        <v/>
      </c>
      <c r="I420" s="12">
        <f>IF($H420="","",IF($H420=0,"Non trouvé",IF($H420=1,"Match","À vérifier")))</f>
        <v/>
      </c>
      <c r="J420" s="21">
        <f>IF($I420&lt;&gt;"Match","",INDEX(Ventes_Encaissements!$B$6:$B$3005,_xludf.AGGREGATE(15,6,(ROW(Ventes_Encaissements!$B$6:$B$3005)-ROW(Ventes_Encaissements!$B$6)+1)/((Ventes_Encaissements!$E$6:$E$3005=$B420)*(Ventes_Encaissements!$J$6:$J$3005=$G420)*(Ventes_Encaissements!$C$6:$C$3005&gt;=$C420-3)*(Ventes_Encaissements!$C$6:$C$3005&lt;=$C420+3)),1)))</f>
        <v/>
      </c>
      <c r="K420" s="6" t="n"/>
    </row>
    <row r="421">
      <c r="A421" s="6" t="n"/>
      <c r="B421" s="6" t="n"/>
      <c r="C421" s="19" t="n"/>
      <c r="D421" s="19" t="n"/>
      <c r="E421" s="6" t="n"/>
      <c r="F421" s="20" t="n"/>
      <c r="G421" s="9">
        <f>IF($F421="","",IF($F421&gt;0,ROUND($F421,2),""))</f>
        <v/>
      </c>
      <c r="H421" s="12">
        <f>IF(OR($B421="",$C421="",$G421=""),"",COUNTIFS(Ventes_Encaissements!$E$6:$E$3005,$B421,Ventes_Encaissements!$J$6:$J$3005,$G421,Ventes_Encaissements!$C$6:$C$3005,"&gt;="&amp;($C421-3),Ventes_Encaissements!$C$6:$C$3005,"&lt;="&amp;($C421+3)))</f>
        <v/>
      </c>
      <c r="I421" s="12">
        <f>IF($H421="","",IF($H421=0,"Non trouvé",IF($H421=1,"Match","À vérifier")))</f>
        <v/>
      </c>
      <c r="J421" s="21">
        <f>IF($I421&lt;&gt;"Match","",INDEX(Ventes_Encaissements!$B$6:$B$3005,_xludf.AGGREGATE(15,6,(ROW(Ventes_Encaissements!$B$6:$B$3005)-ROW(Ventes_Encaissements!$B$6)+1)/((Ventes_Encaissements!$E$6:$E$3005=$B421)*(Ventes_Encaissements!$J$6:$J$3005=$G421)*(Ventes_Encaissements!$C$6:$C$3005&gt;=$C421-3)*(Ventes_Encaissements!$C$6:$C$3005&lt;=$C421+3)),1)))</f>
        <v/>
      </c>
      <c r="K421" s="6" t="n"/>
    </row>
    <row r="422">
      <c r="A422" s="6" t="n"/>
      <c r="B422" s="6" t="n"/>
      <c r="C422" s="19" t="n"/>
      <c r="D422" s="19" t="n"/>
      <c r="E422" s="6" t="n"/>
      <c r="F422" s="20" t="n"/>
      <c r="G422" s="9">
        <f>IF($F422="","",IF($F422&gt;0,ROUND($F422,2),""))</f>
        <v/>
      </c>
      <c r="H422" s="12">
        <f>IF(OR($B422="",$C422="",$G422=""),"",COUNTIFS(Ventes_Encaissements!$E$6:$E$3005,$B422,Ventes_Encaissements!$J$6:$J$3005,$G422,Ventes_Encaissements!$C$6:$C$3005,"&gt;="&amp;($C422-3),Ventes_Encaissements!$C$6:$C$3005,"&lt;="&amp;($C422+3)))</f>
        <v/>
      </c>
      <c r="I422" s="12">
        <f>IF($H422="","",IF($H422=0,"Non trouvé",IF($H422=1,"Match","À vérifier")))</f>
        <v/>
      </c>
      <c r="J422" s="21">
        <f>IF($I422&lt;&gt;"Match","",INDEX(Ventes_Encaissements!$B$6:$B$3005,_xludf.AGGREGATE(15,6,(ROW(Ventes_Encaissements!$B$6:$B$3005)-ROW(Ventes_Encaissements!$B$6)+1)/((Ventes_Encaissements!$E$6:$E$3005=$B422)*(Ventes_Encaissements!$J$6:$J$3005=$G422)*(Ventes_Encaissements!$C$6:$C$3005&gt;=$C422-3)*(Ventes_Encaissements!$C$6:$C$3005&lt;=$C422+3)),1)))</f>
        <v/>
      </c>
      <c r="K422" s="6" t="n"/>
    </row>
    <row r="423">
      <c r="A423" s="6" t="n"/>
      <c r="B423" s="6" t="n"/>
      <c r="C423" s="19" t="n"/>
      <c r="D423" s="19" t="n"/>
      <c r="E423" s="6" t="n"/>
      <c r="F423" s="20" t="n"/>
      <c r="G423" s="9">
        <f>IF($F423="","",IF($F423&gt;0,ROUND($F423,2),""))</f>
        <v/>
      </c>
      <c r="H423" s="12">
        <f>IF(OR($B423="",$C423="",$G423=""),"",COUNTIFS(Ventes_Encaissements!$E$6:$E$3005,$B423,Ventes_Encaissements!$J$6:$J$3005,$G423,Ventes_Encaissements!$C$6:$C$3005,"&gt;="&amp;($C423-3),Ventes_Encaissements!$C$6:$C$3005,"&lt;="&amp;($C423+3)))</f>
        <v/>
      </c>
      <c r="I423" s="12">
        <f>IF($H423="","",IF($H423=0,"Non trouvé",IF($H423=1,"Match","À vérifier")))</f>
        <v/>
      </c>
      <c r="J423" s="21">
        <f>IF($I423&lt;&gt;"Match","",INDEX(Ventes_Encaissements!$B$6:$B$3005,_xludf.AGGREGATE(15,6,(ROW(Ventes_Encaissements!$B$6:$B$3005)-ROW(Ventes_Encaissements!$B$6)+1)/((Ventes_Encaissements!$E$6:$E$3005=$B423)*(Ventes_Encaissements!$J$6:$J$3005=$G423)*(Ventes_Encaissements!$C$6:$C$3005&gt;=$C423-3)*(Ventes_Encaissements!$C$6:$C$3005&lt;=$C423+3)),1)))</f>
        <v/>
      </c>
      <c r="K423" s="6" t="n"/>
    </row>
    <row r="424">
      <c r="A424" s="6" t="n"/>
      <c r="B424" s="6" t="n"/>
      <c r="C424" s="19" t="n"/>
      <c r="D424" s="19" t="n"/>
      <c r="E424" s="6" t="n"/>
      <c r="F424" s="20" t="n"/>
      <c r="G424" s="9">
        <f>IF($F424="","",IF($F424&gt;0,ROUND($F424,2),""))</f>
        <v/>
      </c>
      <c r="H424" s="12">
        <f>IF(OR($B424="",$C424="",$G424=""),"",COUNTIFS(Ventes_Encaissements!$E$6:$E$3005,$B424,Ventes_Encaissements!$J$6:$J$3005,$G424,Ventes_Encaissements!$C$6:$C$3005,"&gt;="&amp;($C424-3),Ventes_Encaissements!$C$6:$C$3005,"&lt;="&amp;($C424+3)))</f>
        <v/>
      </c>
      <c r="I424" s="12">
        <f>IF($H424="","",IF($H424=0,"Non trouvé",IF($H424=1,"Match","À vérifier")))</f>
        <v/>
      </c>
      <c r="J424" s="21">
        <f>IF($I424&lt;&gt;"Match","",INDEX(Ventes_Encaissements!$B$6:$B$3005,_xludf.AGGREGATE(15,6,(ROW(Ventes_Encaissements!$B$6:$B$3005)-ROW(Ventes_Encaissements!$B$6)+1)/((Ventes_Encaissements!$E$6:$E$3005=$B424)*(Ventes_Encaissements!$J$6:$J$3005=$G424)*(Ventes_Encaissements!$C$6:$C$3005&gt;=$C424-3)*(Ventes_Encaissements!$C$6:$C$3005&lt;=$C424+3)),1)))</f>
        <v/>
      </c>
      <c r="K424" s="6" t="n"/>
    </row>
    <row r="425">
      <c r="A425" s="6" t="n"/>
      <c r="B425" s="6" t="n"/>
      <c r="C425" s="19" t="n"/>
      <c r="D425" s="19" t="n"/>
      <c r="E425" s="6" t="n"/>
      <c r="F425" s="20" t="n"/>
      <c r="G425" s="9">
        <f>IF($F425="","",IF($F425&gt;0,ROUND($F425,2),""))</f>
        <v/>
      </c>
      <c r="H425" s="12">
        <f>IF(OR($B425="",$C425="",$G425=""),"",COUNTIFS(Ventes_Encaissements!$E$6:$E$3005,$B425,Ventes_Encaissements!$J$6:$J$3005,$G425,Ventes_Encaissements!$C$6:$C$3005,"&gt;="&amp;($C425-3),Ventes_Encaissements!$C$6:$C$3005,"&lt;="&amp;($C425+3)))</f>
        <v/>
      </c>
      <c r="I425" s="12">
        <f>IF($H425="","",IF($H425=0,"Non trouvé",IF($H425=1,"Match","À vérifier")))</f>
        <v/>
      </c>
      <c r="J425" s="21">
        <f>IF($I425&lt;&gt;"Match","",INDEX(Ventes_Encaissements!$B$6:$B$3005,_xludf.AGGREGATE(15,6,(ROW(Ventes_Encaissements!$B$6:$B$3005)-ROW(Ventes_Encaissements!$B$6)+1)/((Ventes_Encaissements!$E$6:$E$3005=$B425)*(Ventes_Encaissements!$J$6:$J$3005=$G425)*(Ventes_Encaissements!$C$6:$C$3005&gt;=$C425-3)*(Ventes_Encaissements!$C$6:$C$3005&lt;=$C425+3)),1)))</f>
        <v/>
      </c>
      <c r="K425" s="6" t="n"/>
    </row>
    <row r="426">
      <c r="A426" s="6" t="n"/>
      <c r="B426" s="6" t="n"/>
      <c r="C426" s="19" t="n"/>
      <c r="D426" s="19" t="n"/>
      <c r="E426" s="6" t="n"/>
      <c r="F426" s="20" t="n"/>
      <c r="G426" s="9">
        <f>IF($F426="","",IF($F426&gt;0,ROUND($F426,2),""))</f>
        <v/>
      </c>
      <c r="H426" s="12">
        <f>IF(OR($B426="",$C426="",$G426=""),"",COUNTIFS(Ventes_Encaissements!$E$6:$E$3005,$B426,Ventes_Encaissements!$J$6:$J$3005,$G426,Ventes_Encaissements!$C$6:$C$3005,"&gt;="&amp;($C426-3),Ventes_Encaissements!$C$6:$C$3005,"&lt;="&amp;($C426+3)))</f>
        <v/>
      </c>
      <c r="I426" s="12">
        <f>IF($H426="","",IF($H426=0,"Non trouvé",IF($H426=1,"Match","À vérifier")))</f>
        <v/>
      </c>
      <c r="J426" s="21">
        <f>IF($I426&lt;&gt;"Match","",INDEX(Ventes_Encaissements!$B$6:$B$3005,_xludf.AGGREGATE(15,6,(ROW(Ventes_Encaissements!$B$6:$B$3005)-ROW(Ventes_Encaissements!$B$6)+1)/((Ventes_Encaissements!$E$6:$E$3005=$B426)*(Ventes_Encaissements!$J$6:$J$3005=$G426)*(Ventes_Encaissements!$C$6:$C$3005&gt;=$C426-3)*(Ventes_Encaissements!$C$6:$C$3005&lt;=$C426+3)),1)))</f>
        <v/>
      </c>
      <c r="K426" s="6" t="n"/>
    </row>
    <row r="427">
      <c r="A427" s="6" t="n"/>
      <c r="B427" s="6" t="n"/>
      <c r="C427" s="19" t="n"/>
      <c r="D427" s="19" t="n"/>
      <c r="E427" s="6" t="n"/>
      <c r="F427" s="20" t="n"/>
      <c r="G427" s="9">
        <f>IF($F427="","",IF($F427&gt;0,ROUND($F427,2),""))</f>
        <v/>
      </c>
      <c r="H427" s="12">
        <f>IF(OR($B427="",$C427="",$G427=""),"",COUNTIFS(Ventes_Encaissements!$E$6:$E$3005,$B427,Ventes_Encaissements!$J$6:$J$3005,$G427,Ventes_Encaissements!$C$6:$C$3005,"&gt;="&amp;($C427-3),Ventes_Encaissements!$C$6:$C$3005,"&lt;="&amp;($C427+3)))</f>
        <v/>
      </c>
      <c r="I427" s="12">
        <f>IF($H427="","",IF($H427=0,"Non trouvé",IF($H427=1,"Match","À vérifier")))</f>
        <v/>
      </c>
      <c r="J427" s="21">
        <f>IF($I427&lt;&gt;"Match","",INDEX(Ventes_Encaissements!$B$6:$B$3005,_xludf.AGGREGATE(15,6,(ROW(Ventes_Encaissements!$B$6:$B$3005)-ROW(Ventes_Encaissements!$B$6)+1)/((Ventes_Encaissements!$E$6:$E$3005=$B427)*(Ventes_Encaissements!$J$6:$J$3005=$G427)*(Ventes_Encaissements!$C$6:$C$3005&gt;=$C427-3)*(Ventes_Encaissements!$C$6:$C$3005&lt;=$C427+3)),1)))</f>
        <v/>
      </c>
      <c r="K427" s="6" t="n"/>
    </row>
    <row r="428">
      <c r="A428" s="6" t="n"/>
      <c r="B428" s="6" t="n"/>
      <c r="C428" s="19" t="n"/>
      <c r="D428" s="19" t="n"/>
      <c r="E428" s="6" t="n"/>
      <c r="F428" s="20" t="n"/>
      <c r="G428" s="9">
        <f>IF($F428="","",IF($F428&gt;0,ROUND($F428,2),""))</f>
        <v/>
      </c>
      <c r="H428" s="12">
        <f>IF(OR($B428="",$C428="",$G428=""),"",COUNTIFS(Ventes_Encaissements!$E$6:$E$3005,$B428,Ventes_Encaissements!$J$6:$J$3005,$G428,Ventes_Encaissements!$C$6:$C$3005,"&gt;="&amp;($C428-3),Ventes_Encaissements!$C$6:$C$3005,"&lt;="&amp;($C428+3)))</f>
        <v/>
      </c>
      <c r="I428" s="12">
        <f>IF($H428="","",IF($H428=0,"Non trouvé",IF($H428=1,"Match","À vérifier")))</f>
        <v/>
      </c>
      <c r="J428" s="21">
        <f>IF($I428&lt;&gt;"Match","",INDEX(Ventes_Encaissements!$B$6:$B$3005,_xludf.AGGREGATE(15,6,(ROW(Ventes_Encaissements!$B$6:$B$3005)-ROW(Ventes_Encaissements!$B$6)+1)/((Ventes_Encaissements!$E$6:$E$3005=$B428)*(Ventes_Encaissements!$J$6:$J$3005=$G428)*(Ventes_Encaissements!$C$6:$C$3005&gt;=$C428-3)*(Ventes_Encaissements!$C$6:$C$3005&lt;=$C428+3)),1)))</f>
        <v/>
      </c>
      <c r="K428" s="6" t="n"/>
    </row>
    <row r="429">
      <c r="A429" s="6" t="n"/>
      <c r="B429" s="6" t="n"/>
      <c r="C429" s="19" t="n"/>
      <c r="D429" s="19" t="n"/>
      <c r="E429" s="6" t="n"/>
      <c r="F429" s="20" t="n"/>
      <c r="G429" s="9">
        <f>IF($F429="","",IF($F429&gt;0,ROUND($F429,2),""))</f>
        <v/>
      </c>
      <c r="H429" s="12">
        <f>IF(OR($B429="",$C429="",$G429=""),"",COUNTIFS(Ventes_Encaissements!$E$6:$E$3005,$B429,Ventes_Encaissements!$J$6:$J$3005,$G429,Ventes_Encaissements!$C$6:$C$3005,"&gt;="&amp;($C429-3),Ventes_Encaissements!$C$6:$C$3005,"&lt;="&amp;($C429+3)))</f>
        <v/>
      </c>
      <c r="I429" s="12">
        <f>IF($H429="","",IF($H429=0,"Non trouvé",IF($H429=1,"Match","À vérifier")))</f>
        <v/>
      </c>
      <c r="J429" s="21">
        <f>IF($I429&lt;&gt;"Match","",INDEX(Ventes_Encaissements!$B$6:$B$3005,_xludf.AGGREGATE(15,6,(ROW(Ventes_Encaissements!$B$6:$B$3005)-ROW(Ventes_Encaissements!$B$6)+1)/((Ventes_Encaissements!$E$6:$E$3005=$B429)*(Ventes_Encaissements!$J$6:$J$3005=$G429)*(Ventes_Encaissements!$C$6:$C$3005&gt;=$C429-3)*(Ventes_Encaissements!$C$6:$C$3005&lt;=$C429+3)),1)))</f>
        <v/>
      </c>
      <c r="K429" s="6" t="n"/>
    </row>
    <row r="430">
      <c r="A430" s="6" t="n"/>
      <c r="B430" s="6" t="n"/>
      <c r="C430" s="19" t="n"/>
      <c r="D430" s="19" t="n"/>
      <c r="E430" s="6" t="n"/>
      <c r="F430" s="20" t="n"/>
      <c r="G430" s="9">
        <f>IF($F430="","",IF($F430&gt;0,ROUND($F430,2),""))</f>
        <v/>
      </c>
      <c r="H430" s="12">
        <f>IF(OR($B430="",$C430="",$G430=""),"",COUNTIFS(Ventes_Encaissements!$E$6:$E$3005,$B430,Ventes_Encaissements!$J$6:$J$3005,$G430,Ventes_Encaissements!$C$6:$C$3005,"&gt;="&amp;($C430-3),Ventes_Encaissements!$C$6:$C$3005,"&lt;="&amp;($C430+3)))</f>
        <v/>
      </c>
      <c r="I430" s="12">
        <f>IF($H430="","",IF($H430=0,"Non trouvé",IF($H430=1,"Match","À vérifier")))</f>
        <v/>
      </c>
      <c r="J430" s="21">
        <f>IF($I430&lt;&gt;"Match","",INDEX(Ventes_Encaissements!$B$6:$B$3005,_xludf.AGGREGATE(15,6,(ROW(Ventes_Encaissements!$B$6:$B$3005)-ROW(Ventes_Encaissements!$B$6)+1)/((Ventes_Encaissements!$E$6:$E$3005=$B430)*(Ventes_Encaissements!$J$6:$J$3005=$G430)*(Ventes_Encaissements!$C$6:$C$3005&gt;=$C430-3)*(Ventes_Encaissements!$C$6:$C$3005&lt;=$C430+3)),1)))</f>
        <v/>
      </c>
      <c r="K430" s="6" t="n"/>
    </row>
    <row r="431">
      <c r="A431" s="6" t="n"/>
      <c r="B431" s="6" t="n"/>
      <c r="C431" s="19" t="n"/>
      <c r="D431" s="19" t="n"/>
      <c r="E431" s="6" t="n"/>
      <c r="F431" s="20" t="n"/>
      <c r="G431" s="9">
        <f>IF($F431="","",IF($F431&gt;0,ROUND($F431,2),""))</f>
        <v/>
      </c>
      <c r="H431" s="12">
        <f>IF(OR($B431="",$C431="",$G431=""),"",COUNTIFS(Ventes_Encaissements!$E$6:$E$3005,$B431,Ventes_Encaissements!$J$6:$J$3005,$G431,Ventes_Encaissements!$C$6:$C$3005,"&gt;="&amp;($C431-3),Ventes_Encaissements!$C$6:$C$3005,"&lt;="&amp;($C431+3)))</f>
        <v/>
      </c>
      <c r="I431" s="12">
        <f>IF($H431="","",IF($H431=0,"Non trouvé",IF($H431=1,"Match","À vérifier")))</f>
        <v/>
      </c>
      <c r="J431" s="21">
        <f>IF($I431&lt;&gt;"Match","",INDEX(Ventes_Encaissements!$B$6:$B$3005,_xludf.AGGREGATE(15,6,(ROW(Ventes_Encaissements!$B$6:$B$3005)-ROW(Ventes_Encaissements!$B$6)+1)/((Ventes_Encaissements!$E$6:$E$3005=$B431)*(Ventes_Encaissements!$J$6:$J$3005=$G431)*(Ventes_Encaissements!$C$6:$C$3005&gt;=$C431-3)*(Ventes_Encaissements!$C$6:$C$3005&lt;=$C431+3)),1)))</f>
        <v/>
      </c>
      <c r="K431" s="6" t="n"/>
    </row>
    <row r="432">
      <c r="A432" s="6" t="n"/>
      <c r="B432" s="6" t="n"/>
      <c r="C432" s="19" t="n"/>
      <c r="D432" s="19" t="n"/>
      <c r="E432" s="6" t="n"/>
      <c r="F432" s="20" t="n"/>
      <c r="G432" s="9">
        <f>IF($F432="","",IF($F432&gt;0,ROUND($F432,2),""))</f>
        <v/>
      </c>
      <c r="H432" s="12">
        <f>IF(OR($B432="",$C432="",$G432=""),"",COUNTIFS(Ventes_Encaissements!$E$6:$E$3005,$B432,Ventes_Encaissements!$J$6:$J$3005,$G432,Ventes_Encaissements!$C$6:$C$3005,"&gt;="&amp;($C432-3),Ventes_Encaissements!$C$6:$C$3005,"&lt;="&amp;($C432+3)))</f>
        <v/>
      </c>
      <c r="I432" s="12">
        <f>IF($H432="","",IF($H432=0,"Non trouvé",IF($H432=1,"Match","À vérifier")))</f>
        <v/>
      </c>
      <c r="J432" s="21">
        <f>IF($I432&lt;&gt;"Match","",INDEX(Ventes_Encaissements!$B$6:$B$3005,_xludf.AGGREGATE(15,6,(ROW(Ventes_Encaissements!$B$6:$B$3005)-ROW(Ventes_Encaissements!$B$6)+1)/((Ventes_Encaissements!$E$6:$E$3005=$B432)*(Ventes_Encaissements!$J$6:$J$3005=$G432)*(Ventes_Encaissements!$C$6:$C$3005&gt;=$C432-3)*(Ventes_Encaissements!$C$6:$C$3005&lt;=$C432+3)),1)))</f>
        <v/>
      </c>
      <c r="K432" s="6" t="n"/>
    </row>
    <row r="433">
      <c r="A433" s="6" t="n"/>
      <c r="B433" s="6" t="n"/>
      <c r="C433" s="19" t="n"/>
      <c r="D433" s="19" t="n"/>
      <c r="E433" s="6" t="n"/>
      <c r="F433" s="20" t="n"/>
      <c r="G433" s="9">
        <f>IF($F433="","",IF($F433&gt;0,ROUND($F433,2),""))</f>
        <v/>
      </c>
      <c r="H433" s="12">
        <f>IF(OR($B433="",$C433="",$G433=""),"",COUNTIFS(Ventes_Encaissements!$E$6:$E$3005,$B433,Ventes_Encaissements!$J$6:$J$3005,$G433,Ventes_Encaissements!$C$6:$C$3005,"&gt;="&amp;($C433-3),Ventes_Encaissements!$C$6:$C$3005,"&lt;="&amp;($C433+3)))</f>
        <v/>
      </c>
      <c r="I433" s="12">
        <f>IF($H433="","",IF($H433=0,"Non trouvé",IF($H433=1,"Match","À vérifier")))</f>
        <v/>
      </c>
      <c r="J433" s="21">
        <f>IF($I433&lt;&gt;"Match","",INDEX(Ventes_Encaissements!$B$6:$B$3005,_xludf.AGGREGATE(15,6,(ROW(Ventes_Encaissements!$B$6:$B$3005)-ROW(Ventes_Encaissements!$B$6)+1)/((Ventes_Encaissements!$E$6:$E$3005=$B433)*(Ventes_Encaissements!$J$6:$J$3005=$G433)*(Ventes_Encaissements!$C$6:$C$3005&gt;=$C433-3)*(Ventes_Encaissements!$C$6:$C$3005&lt;=$C433+3)),1)))</f>
        <v/>
      </c>
      <c r="K433" s="6" t="n"/>
    </row>
    <row r="434">
      <c r="A434" s="6" t="n"/>
      <c r="B434" s="6" t="n"/>
      <c r="C434" s="19" t="n"/>
      <c r="D434" s="19" t="n"/>
      <c r="E434" s="6" t="n"/>
      <c r="F434" s="20" t="n"/>
      <c r="G434" s="9">
        <f>IF($F434="","",IF($F434&gt;0,ROUND($F434,2),""))</f>
        <v/>
      </c>
      <c r="H434" s="12">
        <f>IF(OR($B434="",$C434="",$G434=""),"",COUNTIFS(Ventes_Encaissements!$E$6:$E$3005,$B434,Ventes_Encaissements!$J$6:$J$3005,$G434,Ventes_Encaissements!$C$6:$C$3005,"&gt;="&amp;($C434-3),Ventes_Encaissements!$C$6:$C$3005,"&lt;="&amp;($C434+3)))</f>
        <v/>
      </c>
      <c r="I434" s="12">
        <f>IF($H434="","",IF($H434=0,"Non trouvé",IF($H434=1,"Match","À vérifier")))</f>
        <v/>
      </c>
      <c r="J434" s="21">
        <f>IF($I434&lt;&gt;"Match","",INDEX(Ventes_Encaissements!$B$6:$B$3005,_xludf.AGGREGATE(15,6,(ROW(Ventes_Encaissements!$B$6:$B$3005)-ROW(Ventes_Encaissements!$B$6)+1)/((Ventes_Encaissements!$E$6:$E$3005=$B434)*(Ventes_Encaissements!$J$6:$J$3005=$G434)*(Ventes_Encaissements!$C$6:$C$3005&gt;=$C434-3)*(Ventes_Encaissements!$C$6:$C$3005&lt;=$C434+3)),1)))</f>
        <v/>
      </c>
      <c r="K434" s="6" t="n"/>
    </row>
    <row r="435">
      <c r="A435" s="6" t="n"/>
      <c r="B435" s="6" t="n"/>
      <c r="C435" s="19" t="n"/>
      <c r="D435" s="19" t="n"/>
      <c r="E435" s="6" t="n"/>
      <c r="F435" s="20" t="n"/>
      <c r="G435" s="9">
        <f>IF($F435="","",IF($F435&gt;0,ROUND($F435,2),""))</f>
        <v/>
      </c>
      <c r="H435" s="12">
        <f>IF(OR($B435="",$C435="",$G435=""),"",COUNTIFS(Ventes_Encaissements!$E$6:$E$3005,$B435,Ventes_Encaissements!$J$6:$J$3005,$G435,Ventes_Encaissements!$C$6:$C$3005,"&gt;="&amp;($C435-3),Ventes_Encaissements!$C$6:$C$3005,"&lt;="&amp;($C435+3)))</f>
        <v/>
      </c>
      <c r="I435" s="12">
        <f>IF($H435="","",IF($H435=0,"Non trouvé",IF($H435=1,"Match","À vérifier")))</f>
        <v/>
      </c>
      <c r="J435" s="21">
        <f>IF($I435&lt;&gt;"Match","",INDEX(Ventes_Encaissements!$B$6:$B$3005,_xludf.AGGREGATE(15,6,(ROW(Ventes_Encaissements!$B$6:$B$3005)-ROW(Ventes_Encaissements!$B$6)+1)/((Ventes_Encaissements!$E$6:$E$3005=$B435)*(Ventes_Encaissements!$J$6:$J$3005=$G435)*(Ventes_Encaissements!$C$6:$C$3005&gt;=$C435-3)*(Ventes_Encaissements!$C$6:$C$3005&lt;=$C435+3)),1)))</f>
        <v/>
      </c>
      <c r="K435" s="6" t="n"/>
    </row>
    <row r="436">
      <c r="A436" s="6" t="n"/>
      <c r="B436" s="6" t="n"/>
      <c r="C436" s="19" t="n"/>
      <c r="D436" s="19" t="n"/>
      <c r="E436" s="6" t="n"/>
      <c r="F436" s="20" t="n"/>
      <c r="G436" s="9">
        <f>IF($F436="","",IF($F436&gt;0,ROUND($F436,2),""))</f>
        <v/>
      </c>
      <c r="H436" s="12">
        <f>IF(OR($B436="",$C436="",$G436=""),"",COUNTIFS(Ventes_Encaissements!$E$6:$E$3005,$B436,Ventes_Encaissements!$J$6:$J$3005,$G436,Ventes_Encaissements!$C$6:$C$3005,"&gt;="&amp;($C436-3),Ventes_Encaissements!$C$6:$C$3005,"&lt;="&amp;($C436+3)))</f>
        <v/>
      </c>
      <c r="I436" s="12">
        <f>IF($H436="","",IF($H436=0,"Non trouvé",IF($H436=1,"Match","À vérifier")))</f>
        <v/>
      </c>
      <c r="J436" s="21">
        <f>IF($I436&lt;&gt;"Match","",INDEX(Ventes_Encaissements!$B$6:$B$3005,_xludf.AGGREGATE(15,6,(ROW(Ventes_Encaissements!$B$6:$B$3005)-ROW(Ventes_Encaissements!$B$6)+1)/((Ventes_Encaissements!$E$6:$E$3005=$B436)*(Ventes_Encaissements!$J$6:$J$3005=$G436)*(Ventes_Encaissements!$C$6:$C$3005&gt;=$C436-3)*(Ventes_Encaissements!$C$6:$C$3005&lt;=$C436+3)),1)))</f>
        <v/>
      </c>
      <c r="K436" s="6" t="n"/>
    </row>
    <row r="437">
      <c r="A437" s="6" t="n"/>
      <c r="B437" s="6" t="n"/>
      <c r="C437" s="19" t="n"/>
      <c r="D437" s="19" t="n"/>
      <c r="E437" s="6" t="n"/>
      <c r="F437" s="20" t="n"/>
      <c r="G437" s="9">
        <f>IF($F437="","",IF($F437&gt;0,ROUND($F437,2),""))</f>
        <v/>
      </c>
      <c r="H437" s="12">
        <f>IF(OR($B437="",$C437="",$G437=""),"",COUNTIFS(Ventes_Encaissements!$E$6:$E$3005,$B437,Ventes_Encaissements!$J$6:$J$3005,$G437,Ventes_Encaissements!$C$6:$C$3005,"&gt;="&amp;($C437-3),Ventes_Encaissements!$C$6:$C$3005,"&lt;="&amp;($C437+3)))</f>
        <v/>
      </c>
      <c r="I437" s="12">
        <f>IF($H437="","",IF($H437=0,"Non trouvé",IF($H437=1,"Match","À vérifier")))</f>
        <v/>
      </c>
      <c r="J437" s="21">
        <f>IF($I437&lt;&gt;"Match","",INDEX(Ventes_Encaissements!$B$6:$B$3005,_xludf.AGGREGATE(15,6,(ROW(Ventes_Encaissements!$B$6:$B$3005)-ROW(Ventes_Encaissements!$B$6)+1)/((Ventes_Encaissements!$E$6:$E$3005=$B437)*(Ventes_Encaissements!$J$6:$J$3005=$G437)*(Ventes_Encaissements!$C$6:$C$3005&gt;=$C437-3)*(Ventes_Encaissements!$C$6:$C$3005&lt;=$C437+3)),1)))</f>
        <v/>
      </c>
      <c r="K437" s="6" t="n"/>
    </row>
    <row r="438">
      <c r="A438" s="6" t="n"/>
      <c r="B438" s="6" t="n"/>
      <c r="C438" s="19" t="n"/>
      <c r="D438" s="19" t="n"/>
      <c r="E438" s="6" t="n"/>
      <c r="F438" s="20" t="n"/>
      <c r="G438" s="9">
        <f>IF($F438="","",IF($F438&gt;0,ROUND($F438,2),""))</f>
        <v/>
      </c>
      <c r="H438" s="12">
        <f>IF(OR($B438="",$C438="",$G438=""),"",COUNTIFS(Ventes_Encaissements!$E$6:$E$3005,$B438,Ventes_Encaissements!$J$6:$J$3005,$G438,Ventes_Encaissements!$C$6:$C$3005,"&gt;="&amp;($C438-3),Ventes_Encaissements!$C$6:$C$3005,"&lt;="&amp;($C438+3)))</f>
        <v/>
      </c>
      <c r="I438" s="12">
        <f>IF($H438="","",IF($H438=0,"Non trouvé",IF($H438=1,"Match","À vérifier")))</f>
        <v/>
      </c>
      <c r="J438" s="21">
        <f>IF($I438&lt;&gt;"Match","",INDEX(Ventes_Encaissements!$B$6:$B$3005,_xludf.AGGREGATE(15,6,(ROW(Ventes_Encaissements!$B$6:$B$3005)-ROW(Ventes_Encaissements!$B$6)+1)/((Ventes_Encaissements!$E$6:$E$3005=$B438)*(Ventes_Encaissements!$J$6:$J$3005=$G438)*(Ventes_Encaissements!$C$6:$C$3005&gt;=$C438-3)*(Ventes_Encaissements!$C$6:$C$3005&lt;=$C438+3)),1)))</f>
        <v/>
      </c>
      <c r="K438" s="6" t="n"/>
    </row>
    <row r="439">
      <c r="A439" s="6" t="n"/>
      <c r="B439" s="6" t="n"/>
      <c r="C439" s="19" t="n"/>
      <c r="D439" s="19" t="n"/>
      <c r="E439" s="6" t="n"/>
      <c r="F439" s="20" t="n"/>
      <c r="G439" s="9">
        <f>IF($F439="","",IF($F439&gt;0,ROUND($F439,2),""))</f>
        <v/>
      </c>
      <c r="H439" s="12">
        <f>IF(OR($B439="",$C439="",$G439=""),"",COUNTIFS(Ventes_Encaissements!$E$6:$E$3005,$B439,Ventes_Encaissements!$J$6:$J$3005,$G439,Ventes_Encaissements!$C$6:$C$3005,"&gt;="&amp;($C439-3),Ventes_Encaissements!$C$6:$C$3005,"&lt;="&amp;($C439+3)))</f>
        <v/>
      </c>
      <c r="I439" s="12">
        <f>IF($H439="","",IF($H439=0,"Non trouvé",IF($H439=1,"Match","À vérifier")))</f>
        <v/>
      </c>
      <c r="J439" s="21">
        <f>IF($I439&lt;&gt;"Match","",INDEX(Ventes_Encaissements!$B$6:$B$3005,_xludf.AGGREGATE(15,6,(ROW(Ventes_Encaissements!$B$6:$B$3005)-ROW(Ventes_Encaissements!$B$6)+1)/((Ventes_Encaissements!$E$6:$E$3005=$B439)*(Ventes_Encaissements!$J$6:$J$3005=$G439)*(Ventes_Encaissements!$C$6:$C$3005&gt;=$C439-3)*(Ventes_Encaissements!$C$6:$C$3005&lt;=$C439+3)),1)))</f>
        <v/>
      </c>
      <c r="K439" s="6" t="n"/>
    </row>
    <row r="440">
      <c r="A440" s="6" t="n"/>
      <c r="B440" s="6" t="n"/>
      <c r="C440" s="19" t="n"/>
      <c r="D440" s="19" t="n"/>
      <c r="E440" s="6" t="n"/>
      <c r="F440" s="20" t="n"/>
      <c r="G440" s="9">
        <f>IF($F440="","",IF($F440&gt;0,ROUND($F440,2),""))</f>
        <v/>
      </c>
      <c r="H440" s="12">
        <f>IF(OR($B440="",$C440="",$G440=""),"",COUNTIFS(Ventes_Encaissements!$E$6:$E$3005,$B440,Ventes_Encaissements!$J$6:$J$3005,$G440,Ventes_Encaissements!$C$6:$C$3005,"&gt;="&amp;($C440-3),Ventes_Encaissements!$C$6:$C$3005,"&lt;="&amp;($C440+3)))</f>
        <v/>
      </c>
      <c r="I440" s="12">
        <f>IF($H440="","",IF($H440=0,"Non trouvé",IF($H440=1,"Match","À vérifier")))</f>
        <v/>
      </c>
      <c r="J440" s="21">
        <f>IF($I440&lt;&gt;"Match","",INDEX(Ventes_Encaissements!$B$6:$B$3005,_xludf.AGGREGATE(15,6,(ROW(Ventes_Encaissements!$B$6:$B$3005)-ROW(Ventes_Encaissements!$B$6)+1)/((Ventes_Encaissements!$E$6:$E$3005=$B440)*(Ventes_Encaissements!$J$6:$J$3005=$G440)*(Ventes_Encaissements!$C$6:$C$3005&gt;=$C440-3)*(Ventes_Encaissements!$C$6:$C$3005&lt;=$C440+3)),1)))</f>
        <v/>
      </c>
      <c r="K440" s="6" t="n"/>
    </row>
    <row r="441">
      <c r="A441" s="6" t="n"/>
      <c r="B441" s="6" t="n"/>
      <c r="C441" s="19" t="n"/>
      <c r="D441" s="19" t="n"/>
      <c r="E441" s="6" t="n"/>
      <c r="F441" s="20" t="n"/>
      <c r="G441" s="9">
        <f>IF($F441="","",IF($F441&gt;0,ROUND($F441,2),""))</f>
        <v/>
      </c>
      <c r="H441" s="12">
        <f>IF(OR($B441="",$C441="",$G441=""),"",COUNTIFS(Ventes_Encaissements!$E$6:$E$3005,$B441,Ventes_Encaissements!$J$6:$J$3005,$G441,Ventes_Encaissements!$C$6:$C$3005,"&gt;="&amp;($C441-3),Ventes_Encaissements!$C$6:$C$3005,"&lt;="&amp;($C441+3)))</f>
        <v/>
      </c>
      <c r="I441" s="12">
        <f>IF($H441="","",IF($H441=0,"Non trouvé",IF($H441=1,"Match","À vérifier")))</f>
        <v/>
      </c>
      <c r="J441" s="21">
        <f>IF($I441&lt;&gt;"Match","",INDEX(Ventes_Encaissements!$B$6:$B$3005,_xludf.AGGREGATE(15,6,(ROW(Ventes_Encaissements!$B$6:$B$3005)-ROW(Ventes_Encaissements!$B$6)+1)/((Ventes_Encaissements!$E$6:$E$3005=$B441)*(Ventes_Encaissements!$J$6:$J$3005=$G441)*(Ventes_Encaissements!$C$6:$C$3005&gt;=$C441-3)*(Ventes_Encaissements!$C$6:$C$3005&lt;=$C441+3)),1)))</f>
        <v/>
      </c>
      <c r="K441" s="6" t="n"/>
    </row>
    <row r="442">
      <c r="A442" s="6" t="n"/>
      <c r="B442" s="6" t="n"/>
      <c r="C442" s="19" t="n"/>
      <c r="D442" s="19" t="n"/>
      <c r="E442" s="6" t="n"/>
      <c r="F442" s="20" t="n"/>
      <c r="G442" s="9">
        <f>IF($F442="","",IF($F442&gt;0,ROUND($F442,2),""))</f>
        <v/>
      </c>
      <c r="H442" s="12">
        <f>IF(OR($B442="",$C442="",$G442=""),"",COUNTIFS(Ventes_Encaissements!$E$6:$E$3005,$B442,Ventes_Encaissements!$J$6:$J$3005,$G442,Ventes_Encaissements!$C$6:$C$3005,"&gt;="&amp;($C442-3),Ventes_Encaissements!$C$6:$C$3005,"&lt;="&amp;($C442+3)))</f>
        <v/>
      </c>
      <c r="I442" s="12">
        <f>IF($H442="","",IF($H442=0,"Non trouvé",IF($H442=1,"Match","À vérifier")))</f>
        <v/>
      </c>
      <c r="J442" s="21">
        <f>IF($I442&lt;&gt;"Match","",INDEX(Ventes_Encaissements!$B$6:$B$3005,_xludf.AGGREGATE(15,6,(ROW(Ventes_Encaissements!$B$6:$B$3005)-ROW(Ventes_Encaissements!$B$6)+1)/((Ventes_Encaissements!$E$6:$E$3005=$B442)*(Ventes_Encaissements!$J$6:$J$3005=$G442)*(Ventes_Encaissements!$C$6:$C$3005&gt;=$C442-3)*(Ventes_Encaissements!$C$6:$C$3005&lt;=$C442+3)),1)))</f>
        <v/>
      </c>
      <c r="K442" s="6" t="n"/>
    </row>
    <row r="443">
      <c r="A443" s="6" t="n"/>
      <c r="B443" s="6" t="n"/>
      <c r="C443" s="19" t="n"/>
      <c r="D443" s="19" t="n"/>
      <c r="E443" s="6" t="n"/>
      <c r="F443" s="20" t="n"/>
      <c r="G443" s="9">
        <f>IF($F443="","",IF($F443&gt;0,ROUND($F443,2),""))</f>
        <v/>
      </c>
      <c r="H443" s="12">
        <f>IF(OR($B443="",$C443="",$G443=""),"",COUNTIFS(Ventes_Encaissements!$E$6:$E$3005,$B443,Ventes_Encaissements!$J$6:$J$3005,$G443,Ventes_Encaissements!$C$6:$C$3005,"&gt;="&amp;($C443-3),Ventes_Encaissements!$C$6:$C$3005,"&lt;="&amp;($C443+3)))</f>
        <v/>
      </c>
      <c r="I443" s="12">
        <f>IF($H443="","",IF($H443=0,"Non trouvé",IF($H443=1,"Match","À vérifier")))</f>
        <v/>
      </c>
      <c r="J443" s="21">
        <f>IF($I443&lt;&gt;"Match","",INDEX(Ventes_Encaissements!$B$6:$B$3005,_xludf.AGGREGATE(15,6,(ROW(Ventes_Encaissements!$B$6:$B$3005)-ROW(Ventes_Encaissements!$B$6)+1)/((Ventes_Encaissements!$E$6:$E$3005=$B443)*(Ventes_Encaissements!$J$6:$J$3005=$G443)*(Ventes_Encaissements!$C$6:$C$3005&gt;=$C443-3)*(Ventes_Encaissements!$C$6:$C$3005&lt;=$C443+3)),1)))</f>
        <v/>
      </c>
      <c r="K443" s="6" t="n"/>
    </row>
    <row r="444">
      <c r="A444" s="6" t="n"/>
      <c r="B444" s="6" t="n"/>
      <c r="C444" s="19" t="n"/>
      <c r="D444" s="19" t="n"/>
      <c r="E444" s="6" t="n"/>
      <c r="F444" s="20" t="n"/>
      <c r="G444" s="9">
        <f>IF($F444="","",IF($F444&gt;0,ROUND($F444,2),""))</f>
        <v/>
      </c>
      <c r="H444" s="12">
        <f>IF(OR($B444="",$C444="",$G444=""),"",COUNTIFS(Ventes_Encaissements!$E$6:$E$3005,$B444,Ventes_Encaissements!$J$6:$J$3005,$G444,Ventes_Encaissements!$C$6:$C$3005,"&gt;="&amp;($C444-3),Ventes_Encaissements!$C$6:$C$3005,"&lt;="&amp;($C444+3)))</f>
        <v/>
      </c>
      <c r="I444" s="12">
        <f>IF($H444="","",IF($H444=0,"Non trouvé",IF($H444=1,"Match","À vérifier")))</f>
        <v/>
      </c>
      <c r="J444" s="21">
        <f>IF($I444&lt;&gt;"Match","",INDEX(Ventes_Encaissements!$B$6:$B$3005,_xludf.AGGREGATE(15,6,(ROW(Ventes_Encaissements!$B$6:$B$3005)-ROW(Ventes_Encaissements!$B$6)+1)/((Ventes_Encaissements!$E$6:$E$3005=$B444)*(Ventes_Encaissements!$J$6:$J$3005=$G444)*(Ventes_Encaissements!$C$6:$C$3005&gt;=$C444-3)*(Ventes_Encaissements!$C$6:$C$3005&lt;=$C444+3)),1)))</f>
        <v/>
      </c>
      <c r="K444" s="6" t="n"/>
    </row>
    <row r="445">
      <c r="A445" s="6" t="n"/>
      <c r="B445" s="6" t="n"/>
      <c r="C445" s="19" t="n"/>
      <c r="D445" s="19" t="n"/>
      <c r="E445" s="6" t="n"/>
      <c r="F445" s="20" t="n"/>
      <c r="G445" s="9">
        <f>IF($F445="","",IF($F445&gt;0,ROUND($F445,2),""))</f>
        <v/>
      </c>
      <c r="H445" s="12">
        <f>IF(OR($B445="",$C445="",$G445=""),"",COUNTIFS(Ventes_Encaissements!$E$6:$E$3005,$B445,Ventes_Encaissements!$J$6:$J$3005,$G445,Ventes_Encaissements!$C$6:$C$3005,"&gt;="&amp;($C445-3),Ventes_Encaissements!$C$6:$C$3005,"&lt;="&amp;($C445+3)))</f>
        <v/>
      </c>
      <c r="I445" s="12">
        <f>IF($H445="","",IF($H445=0,"Non trouvé",IF($H445=1,"Match","À vérifier")))</f>
        <v/>
      </c>
      <c r="J445" s="21">
        <f>IF($I445&lt;&gt;"Match","",INDEX(Ventes_Encaissements!$B$6:$B$3005,_xludf.AGGREGATE(15,6,(ROW(Ventes_Encaissements!$B$6:$B$3005)-ROW(Ventes_Encaissements!$B$6)+1)/((Ventes_Encaissements!$E$6:$E$3005=$B445)*(Ventes_Encaissements!$J$6:$J$3005=$G445)*(Ventes_Encaissements!$C$6:$C$3005&gt;=$C445-3)*(Ventes_Encaissements!$C$6:$C$3005&lt;=$C445+3)),1)))</f>
        <v/>
      </c>
      <c r="K445" s="6" t="n"/>
    </row>
    <row r="446">
      <c r="A446" s="6" t="n"/>
      <c r="B446" s="6" t="n"/>
      <c r="C446" s="19" t="n"/>
      <c r="D446" s="19" t="n"/>
      <c r="E446" s="6" t="n"/>
      <c r="F446" s="20" t="n"/>
      <c r="G446" s="9">
        <f>IF($F446="","",IF($F446&gt;0,ROUND($F446,2),""))</f>
        <v/>
      </c>
      <c r="H446" s="12">
        <f>IF(OR($B446="",$C446="",$G446=""),"",COUNTIFS(Ventes_Encaissements!$E$6:$E$3005,$B446,Ventes_Encaissements!$J$6:$J$3005,$G446,Ventes_Encaissements!$C$6:$C$3005,"&gt;="&amp;($C446-3),Ventes_Encaissements!$C$6:$C$3005,"&lt;="&amp;($C446+3)))</f>
        <v/>
      </c>
      <c r="I446" s="12">
        <f>IF($H446="","",IF($H446=0,"Non trouvé",IF($H446=1,"Match","À vérifier")))</f>
        <v/>
      </c>
      <c r="J446" s="21">
        <f>IF($I446&lt;&gt;"Match","",INDEX(Ventes_Encaissements!$B$6:$B$3005,_xludf.AGGREGATE(15,6,(ROW(Ventes_Encaissements!$B$6:$B$3005)-ROW(Ventes_Encaissements!$B$6)+1)/((Ventes_Encaissements!$E$6:$E$3005=$B446)*(Ventes_Encaissements!$J$6:$J$3005=$G446)*(Ventes_Encaissements!$C$6:$C$3005&gt;=$C446-3)*(Ventes_Encaissements!$C$6:$C$3005&lt;=$C446+3)),1)))</f>
        <v/>
      </c>
      <c r="K446" s="6" t="n"/>
    </row>
    <row r="447">
      <c r="A447" s="6" t="n"/>
      <c r="B447" s="6" t="n"/>
      <c r="C447" s="19" t="n"/>
      <c r="D447" s="19" t="n"/>
      <c r="E447" s="6" t="n"/>
      <c r="F447" s="20" t="n"/>
      <c r="G447" s="9">
        <f>IF($F447="","",IF($F447&gt;0,ROUND($F447,2),""))</f>
        <v/>
      </c>
      <c r="H447" s="12">
        <f>IF(OR($B447="",$C447="",$G447=""),"",COUNTIFS(Ventes_Encaissements!$E$6:$E$3005,$B447,Ventes_Encaissements!$J$6:$J$3005,$G447,Ventes_Encaissements!$C$6:$C$3005,"&gt;="&amp;($C447-3),Ventes_Encaissements!$C$6:$C$3005,"&lt;="&amp;($C447+3)))</f>
        <v/>
      </c>
      <c r="I447" s="12">
        <f>IF($H447="","",IF($H447=0,"Non trouvé",IF($H447=1,"Match","À vérifier")))</f>
        <v/>
      </c>
      <c r="J447" s="21">
        <f>IF($I447&lt;&gt;"Match","",INDEX(Ventes_Encaissements!$B$6:$B$3005,_xludf.AGGREGATE(15,6,(ROW(Ventes_Encaissements!$B$6:$B$3005)-ROW(Ventes_Encaissements!$B$6)+1)/((Ventes_Encaissements!$E$6:$E$3005=$B447)*(Ventes_Encaissements!$J$6:$J$3005=$G447)*(Ventes_Encaissements!$C$6:$C$3005&gt;=$C447-3)*(Ventes_Encaissements!$C$6:$C$3005&lt;=$C447+3)),1)))</f>
        <v/>
      </c>
      <c r="K447" s="6" t="n"/>
    </row>
    <row r="448">
      <c r="A448" s="6" t="n"/>
      <c r="B448" s="6" t="n"/>
      <c r="C448" s="19" t="n"/>
      <c r="D448" s="19" t="n"/>
      <c r="E448" s="6" t="n"/>
      <c r="F448" s="20" t="n"/>
      <c r="G448" s="9">
        <f>IF($F448="","",IF($F448&gt;0,ROUND($F448,2),""))</f>
        <v/>
      </c>
      <c r="H448" s="12">
        <f>IF(OR($B448="",$C448="",$G448=""),"",COUNTIFS(Ventes_Encaissements!$E$6:$E$3005,$B448,Ventes_Encaissements!$J$6:$J$3005,$G448,Ventes_Encaissements!$C$6:$C$3005,"&gt;="&amp;($C448-3),Ventes_Encaissements!$C$6:$C$3005,"&lt;="&amp;($C448+3)))</f>
        <v/>
      </c>
      <c r="I448" s="12">
        <f>IF($H448="","",IF($H448=0,"Non trouvé",IF($H448=1,"Match","À vérifier")))</f>
        <v/>
      </c>
      <c r="J448" s="21">
        <f>IF($I448&lt;&gt;"Match","",INDEX(Ventes_Encaissements!$B$6:$B$3005,_xludf.AGGREGATE(15,6,(ROW(Ventes_Encaissements!$B$6:$B$3005)-ROW(Ventes_Encaissements!$B$6)+1)/((Ventes_Encaissements!$E$6:$E$3005=$B448)*(Ventes_Encaissements!$J$6:$J$3005=$G448)*(Ventes_Encaissements!$C$6:$C$3005&gt;=$C448-3)*(Ventes_Encaissements!$C$6:$C$3005&lt;=$C448+3)),1)))</f>
        <v/>
      </c>
      <c r="K448" s="6" t="n"/>
    </row>
    <row r="449">
      <c r="A449" s="6" t="n"/>
      <c r="B449" s="6" t="n"/>
      <c r="C449" s="19" t="n"/>
      <c r="D449" s="19" t="n"/>
      <c r="E449" s="6" t="n"/>
      <c r="F449" s="20" t="n"/>
      <c r="G449" s="9">
        <f>IF($F449="","",IF($F449&gt;0,ROUND($F449,2),""))</f>
        <v/>
      </c>
      <c r="H449" s="12">
        <f>IF(OR($B449="",$C449="",$G449=""),"",COUNTIFS(Ventes_Encaissements!$E$6:$E$3005,$B449,Ventes_Encaissements!$J$6:$J$3005,$G449,Ventes_Encaissements!$C$6:$C$3005,"&gt;="&amp;($C449-3),Ventes_Encaissements!$C$6:$C$3005,"&lt;="&amp;($C449+3)))</f>
        <v/>
      </c>
      <c r="I449" s="12">
        <f>IF($H449="","",IF($H449=0,"Non trouvé",IF($H449=1,"Match","À vérifier")))</f>
        <v/>
      </c>
      <c r="J449" s="21">
        <f>IF($I449&lt;&gt;"Match","",INDEX(Ventes_Encaissements!$B$6:$B$3005,_xludf.AGGREGATE(15,6,(ROW(Ventes_Encaissements!$B$6:$B$3005)-ROW(Ventes_Encaissements!$B$6)+1)/((Ventes_Encaissements!$E$6:$E$3005=$B449)*(Ventes_Encaissements!$J$6:$J$3005=$G449)*(Ventes_Encaissements!$C$6:$C$3005&gt;=$C449-3)*(Ventes_Encaissements!$C$6:$C$3005&lt;=$C449+3)),1)))</f>
        <v/>
      </c>
      <c r="K449" s="6" t="n"/>
    </row>
    <row r="450">
      <c r="A450" s="6" t="n"/>
      <c r="B450" s="6" t="n"/>
      <c r="C450" s="19" t="n"/>
      <c r="D450" s="19" t="n"/>
      <c r="E450" s="6" t="n"/>
      <c r="F450" s="20" t="n"/>
      <c r="G450" s="9">
        <f>IF($F450="","",IF($F450&gt;0,ROUND($F450,2),""))</f>
        <v/>
      </c>
      <c r="H450" s="12">
        <f>IF(OR($B450="",$C450="",$G450=""),"",COUNTIFS(Ventes_Encaissements!$E$6:$E$3005,$B450,Ventes_Encaissements!$J$6:$J$3005,$G450,Ventes_Encaissements!$C$6:$C$3005,"&gt;="&amp;($C450-3),Ventes_Encaissements!$C$6:$C$3005,"&lt;="&amp;($C450+3)))</f>
        <v/>
      </c>
      <c r="I450" s="12">
        <f>IF($H450="","",IF($H450=0,"Non trouvé",IF($H450=1,"Match","À vérifier")))</f>
        <v/>
      </c>
      <c r="J450" s="21">
        <f>IF($I450&lt;&gt;"Match","",INDEX(Ventes_Encaissements!$B$6:$B$3005,_xludf.AGGREGATE(15,6,(ROW(Ventes_Encaissements!$B$6:$B$3005)-ROW(Ventes_Encaissements!$B$6)+1)/((Ventes_Encaissements!$E$6:$E$3005=$B450)*(Ventes_Encaissements!$J$6:$J$3005=$G450)*(Ventes_Encaissements!$C$6:$C$3005&gt;=$C450-3)*(Ventes_Encaissements!$C$6:$C$3005&lt;=$C450+3)),1)))</f>
        <v/>
      </c>
      <c r="K450" s="6" t="n"/>
    </row>
    <row r="451">
      <c r="A451" s="6" t="n"/>
      <c r="B451" s="6" t="n"/>
      <c r="C451" s="19" t="n"/>
      <c r="D451" s="19" t="n"/>
      <c r="E451" s="6" t="n"/>
      <c r="F451" s="20" t="n"/>
      <c r="G451" s="9">
        <f>IF($F451="","",IF($F451&gt;0,ROUND($F451,2),""))</f>
        <v/>
      </c>
      <c r="H451" s="12">
        <f>IF(OR($B451="",$C451="",$G451=""),"",COUNTIFS(Ventes_Encaissements!$E$6:$E$3005,$B451,Ventes_Encaissements!$J$6:$J$3005,$G451,Ventes_Encaissements!$C$6:$C$3005,"&gt;="&amp;($C451-3),Ventes_Encaissements!$C$6:$C$3005,"&lt;="&amp;($C451+3)))</f>
        <v/>
      </c>
      <c r="I451" s="12">
        <f>IF($H451="","",IF($H451=0,"Non trouvé",IF($H451=1,"Match","À vérifier")))</f>
        <v/>
      </c>
      <c r="J451" s="21">
        <f>IF($I451&lt;&gt;"Match","",INDEX(Ventes_Encaissements!$B$6:$B$3005,_xludf.AGGREGATE(15,6,(ROW(Ventes_Encaissements!$B$6:$B$3005)-ROW(Ventes_Encaissements!$B$6)+1)/((Ventes_Encaissements!$E$6:$E$3005=$B451)*(Ventes_Encaissements!$J$6:$J$3005=$G451)*(Ventes_Encaissements!$C$6:$C$3005&gt;=$C451-3)*(Ventes_Encaissements!$C$6:$C$3005&lt;=$C451+3)),1)))</f>
        <v/>
      </c>
      <c r="K451" s="6" t="n"/>
    </row>
    <row r="452">
      <c r="A452" s="6" t="n"/>
      <c r="B452" s="6" t="n"/>
      <c r="C452" s="19" t="n"/>
      <c r="D452" s="19" t="n"/>
      <c r="E452" s="6" t="n"/>
      <c r="F452" s="20" t="n"/>
      <c r="G452" s="9">
        <f>IF($F452="","",IF($F452&gt;0,ROUND($F452,2),""))</f>
        <v/>
      </c>
      <c r="H452" s="12">
        <f>IF(OR($B452="",$C452="",$G452=""),"",COUNTIFS(Ventes_Encaissements!$E$6:$E$3005,$B452,Ventes_Encaissements!$J$6:$J$3005,$G452,Ventes_Encaissements!$C$6:$C$3005,"&gt;="&amp;($C452-3),Ventes_Encaissements!$C$6:$C$3005,"&lt;="&amp;($C452+3)))</f>
        <v/>
      </c>
      <c r="I452" s="12">
        <f>IF($H452="","",IF($H452=0,"Non trouvé",IF($H452=1,"Match","À vérifier")))</f>
        <v/>
      </c>
      <c r="J452" s="21">
        <f>IF($I452&lt;&gt;"Match","",INDEX(Ventes_Encaissements!$B$6:$B$3005,_xludf.AGGREGATE(15,6,(ROW(Ventes_Encaissements!$B$6:$B$3005)-ROW(Ventes_Encaissements!$B$6)+1)/((Ventes_Encaissements!$E$6:$E$3005=$B452)*(Ventes_Encaissements!$J$6:$J$3005=$G452)*(Ventes_Encaissements!$C$6:$C$3005&gt;=$C452-3)*(Ventes_Encaissements!$C$6:$C$3005&lt;=$C452+3)),1)))</f>
        <v/>
      </c>
      <c r="K452" s="6" t="n"/>
    </row>
    <row r="453">
      <c r="A453" s="6" t="n"/>
      <c r="B453" s="6" t="n"/>
      <c r="C453" s="19" t="n"/>
      <c r="D453" s="19" t="n"/>
      <c r="E453" s="6" t="n"/>
      <c r="F453" s="20" t="n"/>
      <c r="G453" s="9">
        <f>IF($F453="","",IF($F453&gt;0,ROUND($F453,2),""))</f>
        <v/>
      </c>
      <c r="H453" s="12">
        <f>IF(OR($B453="",$C453="",$G453=""),"",COUNTIFS(Ventes_Encaissements!$E$6:$E$3005,$B453,Ventes_Encaissements!$J$6:$J$3005,$G453,Ventes_Encaissements!$C$6:$C$3005,"&gt;="&amp;($C453-3),Ventes_Encaissements!$C$6:$C$3005,"&lt;="&amp;($C453+3)))</f>
        <v/>
      </c>
      <c r="I453" s="12">
        <f>IF($H453="","",IF($H453=0,"Non trouvé",IF($H453=1,"Match","À vérifier")))</f>
        <v/>
      </c>
      <c r="J453" s="21">
        <f>IF($I453&lt;&gt;"Match","",INDEX(Ventes_Encaissements!$B$6:$B$3005,_xludf.AGGREGATE(15,6,(ROW(Ventes_Encaissements!$B$6:$B$3005)-ROW(Ventes_Encaissements!$B$6)+1)/((Ventes_Encaissements!$E$6:$E$3005=$B453)*(Ventes_Encaissements!$J$6:$J$3005=$G453)*(Ventes_Encaissements!$C$6:$C$3005&gt;=$C453-3)*(Ventes_Encaissements!$C$6:$C$3005&lt;=$C453+3)),1)))</f>
        <v/>
      </c>
      <c r="K453" s="6" t="n"/>
    </row>
    <row r="454">
      <c r="A454" s="6" t="n"/>
      <c r="B454" s="6" t="n"/>
      <c r="C454" s="19" t="n"/>
      <c r="D454" s="19" t="n"/>
      <c r="E454" s="6" t="n"/>
      <c r="F454" s="20" t="n"/>
      <c r="G454" s="9">
        <f>IF($F454="","",IF($F454&gt;0,ROUND($F454,2),""))</f>
        <v/>
      </c>
      <c r="H454" s="12">
        <f>IF(OR($B454="",$C454="",$G454=""),"",COUNTIFS(Ventes_Encaissements!$E$6:$E$3005,$B454,Ventes_Encaissements!$J$6:$J$3005,$G454,Ventes_Encaissements!$C$6:$C$3005,"&gt;="&amp;($C454-3),Ventes_Encaissements!$C$6:$C$3005,"&lt;="&amp;($C454+3)))</f>
        <v/>
      </c>
      <c r="I454" s="12">
        <f>IF($H454="","",IF($H454=0,"Non trouvé",IF($H454=1,"Match","À vérifier")))</f>
        <v/>
      </c>
      <c r="J454" s="21">
        <f>IF($I454&lt;&gt;"Match","",INDEX(Ventes_Encaissements!$B$6:$B$3005,_xludf.AGGREGATE(15,6,(ROW(Ventes_Encaissements!$B$6:$B$3005)-ROW(Ventes_Encaissements!$B$6)+1)/((Ventes_Encaissements!$E$6:$E$3005=$B454)*(Ventes_Encaissements!$J$6:$J$3005=$G454)*(Ventes_Encaissements!$C$6:$C$3005&gt;=$C454-3)*(Ventes_Encaissements!$C$6:$C$3005&lt;=$C454+3)),1)))</f>
        <v/>
      </c>
      <c r="K454" s="6" t="n"/>
    </row>
    <row r="455">
      <c r="A455" s="6" t="n"/>
      <c r="B455" s="6" t="n"/>
      <c r="C455" s="19" t="n"/>
      <c r="D455" s="19" t="n"/>
      <c r="E455" s="6" t="n"/>
      <c r="F455" s="20" t="n"/>
      <c r="G455" s="9">
        <f>IF($F455="","",IF($F455&gt;0,ROUND($F455,2),""))</f>
        <v/>
      </c>
      <c r="H455" s="12">
        <f>IF(OR($B455="",$C455="",$G455=""),"",COUNTIFS(Ventes_Encaissements!$E$6:$E$3005,$B455,Ventes_Encaissements!$J$6:$J$3005,$G455,Ventes_Encaissements!$C$6:$C$3005,"&gt;="&amp;($C455-3),Ventes_Encaissements!$C$6:$C$3005,"&lt;="&amp;($C455+3)))</f>
        <v/>
      </c>
      <c r="I455" s="12">
        <f>IF($H455="","",IF($H455=0,"Non trouvé",IF($H455=1,"Match","À vérifier")))</f>
        <v/>
      </c>
      <c r="J455" s="21">
        <f>IF($I455&lt;&gt;"Match","",INDEX(Ventes_Encaissements!$B$6:$B$3005,_xludf.AGGREGATE(15,6,(ROW(Ventes_Encaissements!$B$6:$B$3005)-ROW(Ventes_Encaissements!$B$6)+1)/((Ventes_Encaissements!$E$6:$E$3005=$B455)*(Ventes_Encaissements!$J$6:$J$3005=$G455)*(Ventes_Encaissements!$C$6:$C$3005&gt;=$C455-3)*(Ventes_Encaissements!$C$6:$C$3005&lt;=$C455+3)),1)))</f>
        <v/>
      </c>
      <c r="K455" s="6" t="n"/>
    </row>
    <row r="456">
      <c r="A456" s="6" t="n"/>
      <c r="B456" s="6" t="n"/>
      <c r="C456" s="19" t="n"/>
      <c r="D456" s="19" t="n"/>
      <c r="E456" s="6" t="n"/>
      <c r="F456" s="20" t="n"/>
      <c r="G456" s="9">
        <f>IF($F456="","",IF($F456&gt;0,ROUND($F456,2),""))</f>
        <v/>
      </c>
      <c r="H456" s="12">
        <f>IF(OR($B456="",$C456="",$G456=""),"",COUNTIFS(Ventes_Encaissements!$E$6:$E$3005,$B456,Ventes_Encaissements!$J$6:$J$3005,$G456,Ventes_Encaissements!$C$6:$C$3005,"&gt;="&amp;($C456-3),Ventes_Encaissements!$C$6:$C$3005,"&lt;="&amp;($C456+3)))</f>
        <v/>
      </c>
      <c r="I456" s="12">
        <f>IF($H456="","",IF($H456=0,"Non trouvé",IF($H456=1,"Match","À vérifier")))</f>
        <v/>
      </c>
      <c r="J456" s="21">
        <f>IF($I456&lt;&gt;"Match","",INDEX(Ventes_Encaissements!$B$6:$B$3005,_xludf.AGGREGATE(15,6,(ROW(Ventes_Encaissements!$B$6:$B$3005)-ROW(Ventes_Encaissements!$B$6)+1)/((Ventes_Encaissements!$E$6:$E$3005=$B456)*(Ventes_Encaissements!$J$6:$J$3005=$G456)*(Ventes_Encaissements!$C$6:$C$3005&gt;=$C456-3)*(Ventes_Encaissements!$C$6:$C$3005&lt;=$C456+3)),1)))</f>
        <v/>
      </c>
      <c r="K456" s="6" t="n"/>
    </row>
    <row r="457">
      <c r="A457" s="6" t="n"/>
      <c r="B457" s="6" t="n"/>
      <c r="C457" s="19" t="n"/>
      <c r="D457" s="19" t="n"/>
      <c r="E457" s="6" t="n"/>
      <c r="F457" s="20" t="n"/>
      <c r="G457" s="9">
        <f>IF($F457="","",IF($F457&gt;0,ROUND($F457,2),""))</f>
        <v/>
      </c>
      <c r="H457" s="12">
        <f>IF(OR($B457="",$C457="",$G457=""),"",COUNTIFS(Ventes_Encaissements!$E$6:$E$3005,$B457,Ventes_Encaissements!$J$6:$J$3005,$G457,Ventes_Encaissements!$C$6:$C$3005,"&gt;="&amp;($C457-3),Ventes_Encaissements!$C$6:$C$3005,"&lt;="&amp;($C457+3)))</f>
        <v/>
      </c>
      <c r="I457" s="12">
        <f>IF($H457="","",IF($H457=0,"Non trouvé",IF($H457=1,"Match","À vérifier")))</f>
        <v/>
      </c>
      <c r="J457" s="21">
        <f>IF($I457&lt;&gt;"Match","",INDEX(Ventes_Encaissements!$B$6:$B$3005,_xludf.AGGREGATE(15,6,(ROW(Ventes_Encaissements!$B$6:$B$3005)-ROW(Ventes_Encaissements!$B$6)+1)/((Ventes_Encaissements!$E$6:$E$3005=$B457)*(Ventes_Encaissements!$J$6:$J$3005=$G457)*(Ventes_Encaissements!$C$6:$C$3005&gt;=$C457-3)*(Ventes_Encaissements!$C$6:$C$3005&lt;=$C457+3)),1)))</f>
        <v/>
      </c>
      <c r="K457" s="6" t="n"/>
    </row>
    <row r="458">
      <c r="A458" s="6" t="n"/>
      <c r="B458" s="6" t="n"/>
      <c r="C458" s="19" t="n"/>
      <c r="D458" s="19" t="n"/>
      <c r="E458" s="6" t="n"/>
      <c r="F458" s="20" t="n"/>
      <c r="G458" s="9">
        <f>IF($F458="","",IF($F458&gt;0,ROUND($F458,2),""))</f>
        <v/>
      </c>
      <c r="H458" s="12">
        <f>IF(OR($B458="",$C458="",$G458=""),"",COUNTIFS(Ventes_Encaissements!$E$6:$E$3005,$B458,Ventes_Encaissements!$J$6:$J$3005,$G458,Ventes_Encaissements!$C$6:$C$3005,"&gt;="&amp;($C458-3),Ventes_Encaissements!$C$6:$C$3005,"&lt;="&amp;($C458+3)))</f>
        <v/>
      </c>
      <c r="I458" s="12">
        <f>IF($H458="","",IF($H458=0,"Non trouvé",IF($H458=1,"Match","À vérifier")))</f>
        <v/>
      </c>
      <c r="J458" s="21">
        <f>IF($I458&lt;&gt;"Match","",INDEX(Ventes_Encaissements!$B$6:$B$3005,_xludf.AGGREGATE(15,6,(ROW(Ventes_Encaissements!$B$6:$B$3005)-ROW(Ventes_Encaissements!$B$6)+1)/((Ventes_Encaissements!$E$6:$E$3005=$B458)*(Ventes_Encaissements!$J$6:$J$3005=$G458)*(Ventes_Encaissements!$C$6:$C$3005&gt;=$C458-3)*(Ventes_Encaissements!$C$6:$C$3005&lt;=$C458+3)),1)))</f>
        <v/>
      </c>
      <c r="K458" s="6" t="n"/>
    </row>
    <row r="459">
      <c r="A459" s="6" t="n"/>
      <c r="B459" s="6" t="n"/>
      <c r="C459" s="19" t="n"/>
      <c r="D459" s="19" t="n"/>
      <c r="E459" s="6" t="n"/>
      <c r="F459" s="20" t="n"/>
      <c r="G459" s="9">
        <f>IF($F459="","",IF($F459&gt;0,ROUND($F459,2),""))</f>
        <v/>
      </c>
      <c r="H459" s="12">
        <f>IF(OR($B459="",$C459="",$G459=""),"",COUNTIFS(Ventes_Encaissements!$E$6:$E$3005,$B459,Ventes_Encaissements!$J$6:$J$3005,$G459,Ventes_Encaissements!$C$6:$C$3005,"&gt;="&amp;($C459-3),Ventes_Encaissements!$C$6:$C$3005,"&lt;="&amp;($C459+3)))</f>
        <v/>
      </c>
      <c r="I459" s="12">
        <f>IF($H459="","",IF($H459=0,"Non trouvé",IF($H459=1,"Match","À vérifier")))</f>
        <v/>
      </c>
      <c r="J459" s="21">
        <f>IF($I459&lt;&gt;"Match","",INDEX(Ventes_Encaissements!$B$6:$B$3005,_xludf.AGGREGATE(15,6,(ROW(Ventes_Encaissements!$B$6:$B$3005)-ROW(Ventes_Encaissements!$B$6)+1)/((Ventes_Encaissements!$E$6:$E$3005=$B459)*(Ventes_Encaissements!$J$6:$J$3005=$G459)*(Ventes_Encaissements!$C$6:$C$3005&gt;=$C459-3)*(Ventes_Encaissements!$C$6:$C$3005&lt;=$C459+3)),1)))</f>
        <v/>
      </c>
      <c r="K459" s="6" t="n"/>
    </row>
    <row r="460">
      <c r="A460" s="6" t="n"/>
      <c r="B460" s="6" t="n"/>
      <c r="C460" s="19" t="n"/>
      <c r="D460" s="19" t="n"/>
      <c r="E460" s="6" t="n"/>
      <c r="F460" s="20" t="n"/>
      <c r="G460" s="9">
        <f>IF($F460="","",IF($F460&gt;0,ROUND($F460,2),""))</f>
        <v/>
      </c>
      <c r="H460" s="12">
        <f>IF(OR($B460="",$C460="",$G460=""),"",COUNTIFS(Ventes_Encaissements!$E$6:$E$3005,$B460,Ventes_Encaissements!$J$6:$J$3005,$G460,Ventes_Encaissements!$C$6:$C$3005,"&gt;="&amp;($C460-3),Ventes_Encaissements!$C$6:$C$3005,"&lt;="&amp;($C460+3)))</f>
        <v/>
      </c>
      <c r="I460" s="12">
        <f>IF($H460="","",IF($H460=0,"Non trouvé",IF($H460=1,"Match","À vérifier")))</f>
        <v/>
      </c>
      <c r="J460" s="21">
        <f>IF($I460&lt;&gt;"Match","",INDEX(Ventes_Encaissements!$B$6:$B$3005,_xludf.AGGREGATE(15,6,(ROW(Ventes_Encaissements!$B$6:$B$3005)-ROW(Ventes_Encaissements!$B$6)+1)/((Ventes_Encaissements!$E$6:$E$3005=$B460)*(Ventes_Encaissements!$J$6:$J$3005=$G460)*(Ventes_Encaissements!$C$6:$C$3005&gt;=$C460-3)*(Ventes_Encaissements!$C$6:$C$3005&lt;=$C460+3)),1)))</f>
        <v/>
      </c>
      <c r="K460" s="6" t="n"/>
    </row>
    <row r="461">
      <c r="A461" s="6" t="n"/>
      <c r="B461" s="6" t="n"/>
      <c r="C461" s="19" t="n"/>
      <c r="D461" s="19" t="n"/>
      <c r="E461" s="6" t="n"/>
      <c r="F461" s="20" t="n"/>
      <c r="G461" s="9">
        <f>IF($F461="","",IF($F461&gt;0,ROUND($F461,2),""))</f>
        <v/>
      </c>
      <c r="H461" s="12">
        <f>IF(OR($B461="",$C461="",$G461=""),"",COUNTIFS(Ventes_Encaissements!$E$6:$E$3005,$B461,Ventes_Encaissements!$J$6:$J$3005,$G461,Ventes_Encaissements!$C$6:$C$3005,"&gt;="&amp;($C461-3),Ventes_Encaissements!$C$6:$C$3005,"&lt;="&amp;($C461+3)))</f>
        <v/>
      </c>
      <c r="I461" s="12">
        <f>IF($H461="","",IF($H461=0,"Non trouvé",IF($H461=1,"Match","À vérifier")))</f>
        <v/>
      </c>
      <c r="J461" s="21">
        <f>IF($I461&lt;&gt;"Match","",INDEX(Ventes_Encaissements!$B$6:$B$3005,_xludf.AGGREGATE(15,6,(ROW(Ventes_Encaissements!$B$6:$B$3005)-ROW(Ventes_Encaissements!$B$6)+1)/((Ventes_Encaissements!$E$6:$E$3005=$B461)*(Ventes_Encaissements!$J$6:$J$3005=$G461)*(Ventes_Encaissements!$C$6:$C$3005&gt;=$C461-3)*(Ventes_Encaissements!$C$6:$C$3005&lt;=$C461+3)),1)))</f>
        <v/>
      </c>
      <c r="K461" s="6" t="n"/>
    </row>
    <row r="462">
      <c r="A462" s="6" t="n"/>
      <c r="B462" s="6" t="n"/>
      <c r="C462" s="19" t="n"/>
      <c r="D462" s="19" t="n"/>
      <c r="E462" s="6" t="n"/>
      <c r="F462" s="20" t="n"/>
      <c r="G462" s="9">
        <f>IF($F462="","",IF($F462&gt;0,ROUND($F462,2),""))</f>
        <v/>
      </c>
      <c r="H462" s="12">
        <f>IF(OR($B462="",$C462="",$G462=""),"",COUNTIFS(Ventes_Encaissements!$E$6:$E$3005,$B462,Ventes_Encaissements!$J$6:$J$3005,$G462,Ventes_Encaissements!$C$6:$C$3005,"&gt;="&amp;($C462-3),Ventes_Encaissements!$C$6:$C$3005,"&lt;="&amp;($C462+3)))</f>
        <v/>
      </c>
      <c r="I462" s="12">
        <f>IF($H462="","",IF($H462=0,"Non trouvé",IF($H462=1,"Match","À vérifier")))</f>
        <v/>
      </c>
      <c r="J462" s="21">
        <f>IF($I462&lt;&gt;"Match","",INDEX(Ventes_Encaissements!$B$6:$B$3005,_xludf.AGGREGATE(15,6,(ROW(Ventes_Encaissements!$B$6:$B$3005)-ROW(Ventes_Encaissements!$B$6)+1)/((Ventes_Encaissements!$E$6:$E$3005=$B462)*(Ventes_Encaissements!$J$6:$J$3005=$G462)*(Ventes_Encaissements!$C$6:$C$3005&gt;=$C462-3)*(Ventes_Encaissements!$C$6:$C$3005&lt;=$C462+3)),1)))</f>
        <v/>
      </c>
      <c r="K462" s="6" t="n"/>
    </row>
    <row r="463">
      <c r="A463" s="6" t="n"/>
      <c r="B463" s="6" t="n"/>
      <c r="C463" s="19" t="n"/>
      <c r="D463" s="19" t="n"/>
      <c r="E463" s="6" t="n"/>
      <c r="F463" s="20" t="n"/>
      <c r="G463" s="9">
        <f>IF($F463="","",IF($F463&gt;0,ROUND($F463,2),""))</f>
        <v/>
      </c>
      <c r="H463" s="12">
        <f>IF(OR($B463="",$C463="",$G463=""),"",COUNTIFS(Ventes_Encaissements!$E$6:$E$3005,$B463,Ventes_Encaissements!$J$6:$J$3005,$G463,Ventes_Encaissements!$C$6:$C$3005,"&gt;="&amp;($C463-3),Ventes_Encaissements!$C$6:$C$3005,"&lt;="&amp;($C463+3)))</f>
        <v/>
      </c>
      <c r="I463" s="12">
        <f>IF($H463="","",IF($H463=0,"Non trouvé",IF($H463=1,"Match","À vérifier")))</f>
        <v/>
      </c>
      <c r="J463" s="21">
        <f>IF($I463&lt;&gt;"Match","",INDEX(Ventes_Encaissements!$B$6:$B$3005,_xludf.AGGREGATE(15,6,(ROW(Ventes_Encaissements!$B$6:$B$3005)-ROW(Ventes_Encaissements!$B$6)+1)/((Ventes_Encaissements!$E$6:$E$3005=$B463)*(Ventes_Encaissements!$J$6:$J$3005=$G463)*(Ventes_Encaissements!$C$6:$C$3005&gt;=$C463-3)*(Ventes_Encaissements!$C$6:$C$3005&lt;=$C463+3)),1)))</f>
        <v/>
      </c>
      <c r="K463" s="6" t="n"/>
    </row>
    <row r="464">
      <c r="A464" s="6" t="n"/>
      <c r="B464" s="6" t="n"/>
      <c r="C464" s="19" t="n"/>
      <c r="D464" s="19" t="n"/>
      <c r="E464" s="6" t="n"/>
      <c r="F464" s="20" t="n"/>
      <c r="G464" s="9">
        <f>IF($F464="","",IF($F464&gt;0,ROUND($F464,2),""))</f>
        <v/>
      </c>
      <c r="H464" s="12">
        <f>IF(OR($B464="",$C464="",$G464=""),"",COUNTIFS(Ventes_Encaissements!$E$6:$E$3005,$B464,Ventes_Encaissements!$J$6:$J$3005,$G464,Ventes_Encaissements!$C$6:$C$3005,"&gt;="&amp;($C464-3),Ventes_Encaissements!$C$6:$C$3005,"&lt;="&amp;($C464+3)))</f>
        <v/>
      </c>
      <c r="I464" s="12">
        <f>IF($H464="","",IF($H464=0,"Non trouvé",IF($H464=1,"Match","À vérifier")))</f>
        <v/>
      </c>
      <c r="J464" s="21">
        <f>IF($I464&lt;&gt;"Match","",INDEX(Ventes_Encaissements!$B$6:$B$3005,_xludf.AGGREGATE(15,6,(ROW(Ventes_Encaissements!$B$6:$B$3005)-ROW(Ventes_Encaissements!$B$6)+1)/((Ventes_Encaissements!$E$6:$E$3005=$B464)*(Ventes_Encaissements!$J$6:$J$3005=$G464)*(Ventes_Encaissements!$C$6:$C$3005&gt;=$C464-3)*(Ventes_Encaissements!$C$6:$C$3005&lt;=$C464+3)),1)))</f>
        <v/>
      </c>
      <c r="K464" s="6" t="n"/>
    </row>
    <row r="465">
      <c r="A465" s="6" t="n"/>
      <c r="B465" s="6" t="n"/>
      <c r="C465" s="19" t="n"/>
      <c r="D465" s="19" t="n"/>
      <c r="E465" s="6" t="n"/>
      <c r="F465" s="20" t="n"/>
      <c r="G465" s="9">
        <f>IF($F465="","",IF($F465&gt;0,ROUND($F465,2),""))</f>
        <v/>
      </c>
      <c r="H465" s="12">
        <f>IF(OR($B465="",$C465="",$G465=""),"",COUNTIFS(Ventes_Encaissements!$E$6:$E$3005,$B465,Ventes_Encaissements!$J$6:$J$3005,$G465,Ventes_Encaissements!$C$6:$C$3005,"&gt;="&amp;($C465-3),Ventes_Encaissements!$C$6:$C$3005,"&lt;="&amp;($C465+3)))</f>
        <v/>
      </c>
      <c r="I465" s="12">
        <f>IF($H465="","",IF($H465=0,"Non trouvé",IF($H465=1,"Match","À vérifier")))</f>
        <v/>
      </c>
      <c r="J465" s="21">
        <f>IF($I465&lt;&gt;"Match","",INDEX(Ventes_Encaissements!$B$6:$B$3005,_xludf.AGGREGATE(15,6,(ROW(Ventes_Encaissements!$B$6:$B$3005)-ROW(Ventes_Encaissements!$B$6)+1)/((Ventes_Encaissements!$E$6:$E$3005=$B465)*(Ventes_Encaissements!$J$6:$J$3005=$G465)*(Ventes_Encaissements!$C$6:$C$3005&gt;=$C465-3)*(Ventes_Encaissements!$C$6:$C$3005&lt;=$C465+3)),1)))</f>
        <v/>
      </c>
      <c r="K465" s="6" t="n"/>
    </row>
    <row r="466">
      <c r="A466" s="6" t="n"/>
      <c r="B466" s="6" t="n"/>
      <c r="C466" s="19" t="n"/>
      <c r="D466" s="19" t="n"/>
      <c r="E466" s="6" t="n"/>
      <c r="F466" s="20" t="n"/>
      <c r="G466" s="9">
        <f>IF($F466="","",IF($F466&gt;0,ROUND($F466,2),""))</f>
        <v/>
      </c>
      <c r="H466" s="12">
        <f>IF(OR($B466="",$C466="",$G466=""),"",COUNTIFS(Ventes_Encaissements!$E$6:$E$3005,$B466,Ventes_Encaissements!$J$6:$J$3005,$G466,Ventes_Encaissements!$C$6:$C$3005,"&gt;="&amp;($C466-3),Ventes_Encaissements!$C$6:$C$3005,"&lt;="&amp;($C466+3)))</f>
        <v/>
      </c>
      <c r="I466" s="12">
        <f>IF($H466="","",IF($H466=0,"Non trouvé",IF($H466=1,"Match","À vérifier")))</f>
        <v/>
      </c>
      <c r="J466" s="21">
        <f>IF($I466&lt;&gt;"Match","",INDEX(Ventes_Encaissements!$B$6:$B$3005,_xludf.AGGREGATE(15,6,(ROW(Ventes_Encaissements!$B$6:$B$3005)-ROW(Ventes_Encaissements!$B$6)+1)/((Ventes_Encaissements!$E$6:$E$3005=$B466)*(Ventes_Encaissements!$J$6:$J$3005=$G466)*(Ventes_Encaissements!$C$6:$C$3005&gt;=$C466-3)*(Ventes_Encaissements!$C$6:$C$3005&lt;=$C466+3)),1)))</f>
        <v/>
      </c>
      <c r="K466" s="6" t="n"/>
    </row>
    <row r="467">
      <c r="A467" s="6" t="n"/>
      <c r="B467" s="6" t="n"/>
      <c r="C467" s="19" t="n"/>
      <c r="D467" s="19" t="n"/>
      <c r="E467" s="6" t="n"/>
      <c r="F467" s="20" t="n"/>
      <c r="G467" s="9">
        <f>IF($F467="","",IF($F467&gt;0,ROUND($F467,2),""))</f>
        <v/>
      </c>
      <c r="H467" s="12">
        <f>IF(OR($B467="",$C467="",$G467=""),"",COUNTIFS(Ventes_Encaissements!$E$6:$E$3005,$B467,Ventes_Encaissements!$J$6:$J$3005,$G467,Ventes_Encaissements!$C$6:$C$3005,"&gt;="&amp;($C467-3),Ventes_Encaissements!$C$6:$C$3005,"&lt;="&amp;($C467+3)))</f>
        <v/>
      </c>
      <c r="I467" s="12">
        <f>IF($H467="","",IF($H467=0,"Non trouvé",IF($H467=1,"Match","À vérifier")))</f>
        <v/>
      </c>
      <c r="J467" s="21">
        <f>IF($I467&lt;&gt;"Match","",INDEX(Ventes_Encaissements!$B$6:$B$3005,_xludf.AGGREGATE(15,6,(ROW(Ventes_Encaissements!$B$6:$B$3005)-ROW(Ventes_Encaissements!$B$6)+1)/((Ventes_Encaissements!$E$6:$E$3005=$B467)*(Ventes_Encaissements!$J$6:$J$3005=$G467)*(Ventes_Encaissements!$C$6:$C$3005&gt;=$C467-3)*(Ventes_Encaissements!$C$6:$C$3005&lt;=$C467+3)),1)))</f>
        <v/>
      </c>
      <c r="K467" s="6" t="n"/>
    </row>
    <row r="468">
      <c r="A468" s="6" t="n"/>
      <c r="B468" s="6" t="n"/>
      <c r="C468" s="19" t="n"/>
      <c r="D468" s="19" t="n"/>
      <c r="E468" s="6" t="n"/>
      <c r="F468" s="20" t="n"/>
      <c r="G468" s="9">
        <f>IF($F468="","",IF($F468&gt;0,ROUND($F468,2),""))</f>
        <v/>
      </c>
      <c r="H468" s="12">
        <f>IF(OR($B468="",$C468="",$G468=""),"",COUNTIFS(Ventes_Encaissements!$E$6:$E$3005,$B468,Ventes_Encaissements!$J$6:$J$3005,$G468,Ventes_Encaissements!$C$6:$C$3005,"&gt;="&amp;($C468-3),Ventes_Encaissements!$C$6:$C$3005,"&lt;="&amp;($C468+3)))</f>
        <v/>
      </c>
      <c r="I468" s="12">
        <f>IF($H468="","",IF($H468=0,"Non trouvé",IF($H468=1,"Match","À vérifier")))</f>
        <v/>
      </c>
      <c r="J468" s="21">
        <f>IF($I468&lt;&gt;"Match","",INDEX(Ventes_Encaissements!$B$6:$B$3005,_xludf.AGGREGATE(15,6,(ROW(Ventes_Encaissements!$B$6:$B$3005)-ROW(Ventes_Encaissements!$B$6)+1)/((Ventes_Encaissements!$E$6:$E$3005=$B468)*(Ventes_Encaissements!$J$6:$J$3005=$G468)*(Ventes_Encaissements!$C$6:$C$3005&gt;=$C468-3)*(Ventes_Encaissements!$C$6:$C$3005&lt;=$C468+3)),1)))</f>
        <v/>
      </c>
      <c r="K468" s="6" t="n"/>
    </row>
    <row r="469">
      <c r="A469" s="6" t="n"/>
      <c r="B469" s="6" t="n"/>
      <c r="C469" s="19" t="n"/>
      <c r="D469" s="19" t="n"/>
      <c r="E469" s="6" t="n"/>
      <c r="F469" s="20" t="n"/>
      <c r="G469" s="9">
        <f>IF($F469="","",IF($F469&gt;0,ROUND($F469,2),""))</f>
        <v/>
      </c>
      <c r="H469" s="12">
        <f>IF(OR($B469="",$C469="",$G469=""),"",COUNTIFS(Ventes_Encaissements!$E$6:$E$3005,$B469,Ventes_Encaissements!$J$6:$J$3005,$G469,Ventes_Encaissements!$C$6:$C$3005,"&gt;="&amp;($C469-3),Ventes_Encaissements!$C$6:$C$3005,"&lt;="&amp;($C469+3)))</f>
        <v/>
      </c>
      <c r="I469" s="12">
        <f>IF($H469="","",IF($H469=0,"Non trouvé",IF($H469=1,"Match","À vérifier")))</f>
        <v/>
      </c>
      <c r="J469" s="21">
        <f>IF($I469&lt;&gt;"Match","",INDEX(Ventes_Encaissements!$B$6:$B$3005,_xludf.AGGREGATE(15,6,(ROW(Ventes_Encaissements!$B$6:$B$3005)-ROW(Ventes_Encaissements!$B$6)+1)/((Ventes_Encaissements!$E$6:$E$3005=$B469)*(Ventes_Encaissements!$J$6:$J$3005=$G469)*(Ventes_Encaissements!$C$6:$C$3005&gt;=$C469-3)*(Ventes_Encaissements!$C$6:$C$3005&lt;=$C469+3)),1)))</f>
        <v/>
      </c>
      <c r="K469" s="6" t="n"/>
    </row>
    <row r="470">
      <c r="A470" s="6" t="n"/>
      <c r="B470" s="6" t="n"/>
      <c r="C470" s="19" t="n"/>
      <c r="D470" s="19" t="n"/>
      <c r="E470" s="6" t="n"/>
      <c r="F470" s="20" t="n"/>
      <c r="G470" s="9">
        <f>IF($F470="","",IF($F470&gt;0,ROUND($F470,2),""))</f>
        <v/>
      </c>
      <c r="H470" s="12">
        <f>IF(OR($B470="",$C470="",$G470=""),"",COUNTIFS(Ventes_Encaissements!$E$6:$E$3005,$B470,Ventes_Encaissements!$J$6:$J$3005,$G470,Ventes_Encaissements!$C$6:$C$3005,"&gt;="&amp;($C470-3),Ventes_Encaissements!$C$6:$C$3005,"&lt;="&amp;($C470+3)))</f>
        <v/>
      </c>
      <c r="I470" s="12">
        <f>IF($H470="","",IF($H470=0,"Non trouvé",IF($H470=1,"Match","À vérifier")))</f>
        <v/>
      </c>
      <c r="J470" s="21">
        <f>IF($I470&lt;&gt;"Match","",INDEX(Ventes_Encaissements!$B$6:$B$3005,_xludf.AGGREGATE(15,6,(ROW(Ventes_Encaissements!$B$6:$B$3005)-ROW(Ventes_Encaissements!$B$6)+1)/((Ventes_Encaissements!$E$6:$E$3005=$B470)*(Ventes_Encaissements!$J$6:$J$3005=$G470)*(Ventes_Encaissements!$C$6:$C$3005&gt;=$C470-3)*(Ventes_Encaissements!$C$6:$C$3005&lt;=$C470+3)),1)))</f>
        <v/>
      </c>
      <c r="K470" s="6" t="n"/>
    </row>
    <row r="471">
      <c r="A471" s="6" t="n"/>
      <c r="B471" s="6" t="n"/>
      <c r="C471" s="19" t="n"/>
      <c r="D471" s="19" t="n"/>
      <c r="E471" s="6" t="n"/>
      <c r="F471" s="20" t="n"/>
      <c r="G471" s="9">
        <f>IF($F471="","",IF($F471&gt;0,ROUND($F471,2),""))</f>
        <v/>
      </c>
      <c r="H471" s="12">
        <f>IF(OR($B471="",$C471="",$G471=""),"",COUNTIFS(Ventes_Encaissements!$E$6:$E$3005,$B471,Ventes_Encaissements!$J$6:$J$3005,$G471,Ventes_Encaissements!$C$6:$C$3005,"&gt;="&amp;($C471-3),Ventes_Encaissements!$C$6:$C$3005,"&lt;="&amp;($C471+3)))</f>
        <v/>
      </c>
      <c r="I471" s="12">
        <f>IF($H471="","",IF($H471=0,"Non trouvé",IF($H471=1,"Match","À vérifier")))</f>
        <v/>
      </c>
      <c r="J471" s="21">
        <f>IF($I471&lt;&gt;"Match","",INDEX(Ventes_Encaissements!$B$6:$B$3005,_xludf.AGGREGATE(15,6,(ROW(Ventes_Encaissements!$B$6:$B$3005)-ROW(Ventes_Encaissements!$B$6)+1)/((Ventes_Encaissements!$E$6:$E$3005=$B471)*(Ventes_Encaissements!$J$6:$J$3005=$G471)*(Ventes_Encaissements!$C$6:$C$3005&gt;=$C471-3)*(Ventes_Encaissements!$C$6:$C$3005&lt;=$C471+3)),1)))</f>
        <v/>
      </c>
      <c r="K471" s="6" t="n"/>
    </row>
    <row r="472">
      <c r="A472" s="6" t="n"/>
      <c r="B472" s="6" t="n"/>
      <c r="C472" s="19" t="n"/>
      <c r="D472" s="19" t="n"/>
      <c r="E472" s="6" t="n"/>
      <c r="F472" s="20" t="n"/>
      <c r="G472" s="9">
        <f>IF($F472="","",IF($F472&gt;0,ROUND($F472,2),""))</f>
        <v/>
      </c>
      <c r="H472" s="12">
        <f>IF(OR($B472="",$C472="",$G472=""),"",COUNTIFS(Ventes_Encaissements!$E$6:$E$3005,$B472,Ventes_Encaissements!$J$6:$J$3005,$G472,Ventes_Encaissements!$C$6:$C$3005,"&gt;="&amp;($C472-3),Ventes_Encaissements!$C$6:$C$3005,"&lt;="&amp;($C472+3)))</f>
        <v/>
      </c>
      <c r="I472" s="12">
        <f>IF($H472="","",IF($H472=0,"Non trouvé",IF($H472=1,"Match","À vérifier")))</f>
        <v/>
      </c>
      <c r="J472" s="21">
        <f>IF($I472&lt;&gt;"Match","",INDEX(Ventes_Encaissements!$B$6:$B$3005,_xludf.AGGREGATE(15,6,(ROW(Ventes_Encaissements!$B$6:$B$3005)-ROW(Ventes_Encaissements!$B$6)+1)/((Ventes_Encaissements!$E$6:$E$3005=$B472)*(Ventes_Encaissements!$J$6:$J$3005=$G472)*(Ventes_Encaissements!$C$6:$C$3005&gt;=$C472-3)*(Ventes_Encaissements!$C$6:$C$3005&lt;=$C472+3)),1)))</f>
        <v/>
      </c>
      <c r="K472" s="6" t="n"/>
    </row>
    <row r="473">
      <c r="A473" s="6" t="n"/>
      <c r="B473" s="6" t="n"/>
      <c r="C473" s="19" t="n"/>
      <c r="D473" s="19" t="n"/>
      <c r="E473" s="6" t="n"/>
      <c r="F473" s="20" t="n"/>
      <c r="G473" s="9">
        <f>IF($F473="","",IF($F473&gt;0,ROUND($F473,2),""))</f>
        <v/>
      </c>
      <c r="H473" s="12">
        <f>IF(OR($B473="",$C473="",$G473=""),"",COUNTIFS(Ventes_Encaissements!$E$6:$E$3005,$B473,Ventes_Encaissements!$J$6:$J$3005,$G473,Ventes_Encaissements!$C$6:$C$3005,"&gt;="&amp;($C473-3),Ventes_Encaissements!$C$6:$C$3005,"&lt;="&amp;($C473+3)))</f>
        <v/>
      </c>
      <c r="I473" s="12">
        <f>IF($H473="","",IF($H473=0,"Non trouvé",IF($H473=1,"Match","À vérifier")))</f>
        <v/>
      </c>
      <c r="J473" s="21">
        <f>IF($I473&lt;&gt;"Match","",INDEX(Ventes_Encaissements!$B$6:$B$3005,_xludf.AGGREGATE(15,6,(ROW(Ventes_Encaissements!$B$6:$B$3005)-ROW(Ventes_Encaissements!$B$6)+1)/((Ventes_Encaissements!$E$6:$E$3005=$B473)*(Ventes_Encaissements!$J$6:$J$3005=$G473)*(Ventes_Encaissements!$C$6:$C$3005&gt;=$C473-3)*(Ventes_Encaissements!$C$6:$C$3005&lt;=$C473+3)),1)))</f>
        <v/>
      </c>
      <c r="K473" s="6" t="n"/>
    </row>
    <row r="474">
      <c r="A474" s="6" t="n"/>
      <c r="B474" s="6" t="n"/>
      <c r="C474" s="19" t="n"/>
      <c r="D474" s="19" t="n"/>
      <c r="E474" s="6" t="n"/>
      <c r="F474" s="20" t="n"/>
      <c r="G474" s="9">
        <f>IF($F474="","",IF($F474&gt;0,ROUND($F474,2),""))</f>
        <v/>
      </c>
      <c r="H474" s="12">
        <f>IF(OR($B474="",$C474="",$G474=""),"",COUNTIFS(Ventes_Encaissements!$E$6:$E$3005,$B474,Ventes_Encaissements!$J$6:$J$3005,$G474,Ventes_Encaissements!$C$6:$C$3005,"&gt;="&amp;($C474-3),Ventes_Encaissements!$C$6:$C$3005,"&lt;="&amp;($C474+3)))</f>
        <v/>
      </c>
      <c r="I474" s="12">
        <f>IF($H474="","",IF($H474=0,"Non trouvé",IF($H474=1,"Match","À vérifier")))</f>
        <v/>
      </c>
      <c r="J474" s="21">
        <f>IF($I474&lt;&gt;"Match","",INDEX(Ventes_Encaissements!$B$6:$B$3005,_xludf.AGGREGATE(15,6,(ROW(Ventes_Encaissements!$B$6:$B$3005)-ROW(Ventes_Encaissements!$B$6)+1)/((Ventes_Encaissements!$E$6:$E$3005=$B474)*(Ventes_Encaissements!$J$6:$J$3005=$G474)*(Ventes_Encaissements!$C$6:$C$3005&gt;=$C474-3)*(Ventes_Encaissements!$C$6:$C$3005&lt;=$C474+3)),1)))</f>
        <v/>
      </c>
      <c r="K474" s="6" t="n"/>
    </row>
    <row r="475">
      <c r="A475" s="6" t="n"/>
      <c r="B475" s="6" t="n"/>
      <c r="C475" s="19" t="n"/>
      <c r="D475" s="19" t="n"/>
      <c r="E475" s="6" t="n"/>
      <c r="F475" s="20" t="n"/>
      <c r="G475" s="9">
        <f>IF($F475="","",IF($F475&gt;0,ROUND($F475,2),""))</f>
        <v/>
      </c>
      <c r="H475" s="12">
        <f>IF(OR($B475="",$C475="",$G475=""),"",COUNTIFS(Ventes_Encaissements!$E$6:$E$3005,$B475,Ventes_Encaissements!$J$6:$J$3005,$G475,Ventes_Encaissements!$C$6:$C$3005,"&gt;="&amp;($C475-3),Ventes_Encaissements!$C$6:$C$3005,"&lt;="&amp;($C475+3)))</f>
        <v/>
      </c>
      <c r="I475" s="12">
        <f>IF($H475="","",IF($H475=0,"Non trouvé",IF($H475=1,"Match","À vérifier")))</f>
        <v/>
      </c>
      <c r="J475" s="21">
        <f>IF($I475&lt;&gt;"Match","",INDEX(Ventes_Encaissements!$B$6:$B$3005,_xludf.AGGREGATE(15,6,(ROW(Ventes_Encaissements!$B$6:$B$3005)-ROW(Ventes_Encaissements!$B$6)+1)/((Ventes_Encaissements!$E$6:$E$3005=$B475)*(Ventes_Encaissements!$J$6:$J$3005=$G475)*(Ventes_Encaissements!$C$6:$C$3005&gt;=$C475-3)*(Ventes_Encaissements!$C$6:$C$3005&lt;=$C475+3)),1)))</f>
        <v/>
      </c>
      <c r="K475" s="6" t="n"/>
    </row>
    <row r="476">
      <c r="A476" s="6" t="n"/>
      <c r="B476" s="6" t="n"/>
      <c r="C476" s="19" t="n"/>
      <c r="D476" s="19" t="n"/>
      <c r="E476" s="6" t="n"/>
      <c r="F476" s="20" t="n"/>
      <c r="G476" s="9">
        <f>IF($F476="","",IF($F476&gt;0,ROUND($F476,2),""))</f>
        <v/>
      </c>
      <c r="H476" s="12">
        <f>IF(OR($B476="",$C476="",$G476=""),"",COUNTIFS(Ventes_Encaissements!$E$6:$E$3005,$B476,Ventes_Encaissements!$J$6:$J$3005,$G476,Ventes_Encaissements!$C$6:$C$3005,"&gt;="&amp;($C476-3),Ventes_Encaissements!$C$6:$C$3005,"&lt;="&amp;($C476+3)))</f>
        <v/>
      </c>
      <c r="I476" s="12">
        <f>IF($H476="","",IF($H476=0,"Non trouvé",IF($H476=1,"Match","À vérifier")))</f>
        <v/>
      </c>
      <c r="J476" s="21">
        <f>IF($I476&lt;&gt;"Match","",INDEX(Ventes_Encaissements!$B$6:$B$3005,_xludf.AGGREGATE(15,6,(ROW(Ventes_Encaissements!$B$6:$B$3005)-ROW(Ventes_Encaissements!$B$6)+1)/((Ventes_Encaissements!$E$6:$E$3005=$B476)*(Ventes_Encaissements!$J$6:$J$3005=$G476)*(Ventes_Encaissements!$C$6:$C$3005&gt;=$C476-3)*(Ventes_Encaissements!$C$6:$C$3005&lt;=$C476+3)),1)))</f>
        <v/>
      </c>
      <c r="K476" s="6" t="n"/>
    </row>
    <row r="477">
      <c r="A477" s="6" t="n"/>
      <c r="B477" s="6" t="n"/>
      <c r="C477" s="19" t="n"/>
      <c r="D477" s="19" t="n"/>
      <c r="E477" s="6" t="n"/>
      <c r="F477" s="20" t="n"/>
      <c r="G477" s="9">
        <f>IF($F477="","",IF($F477&gt;0,ROUND($F477,2),""))</f>
        <v/>
      </c>
      <c r="H477" s="12">
        <f>IF(OR($B477="",$C477="",$G477=""),"",COUNTIFS(Ventes_Encaissements!$E$6:$E$3005,$B477,Ventes_Encaissements!$J$6:$J$3005,$G477,Ventes_Encaissements!$C$6:$C$3005,"&gt;="&amp;($C477-3),Ventes_Encaissements!$C$6:$C$3005,"&lt;="&amp;($C477+3)))</f>
        <v/>
      </c>
      <c r="I477" s="12">
        <f>IF($H477="","",IF($H477=0,"Non trouvé",IF($H477=1,"Match","À vérifier")))</f>
        <v/>
      </c>
      <c r="J477" s="21">
        <f>IF($I477&lt;&gt;"Match","",INDEX(Ventes_Encaissements!$B$6:$B$3005,_xludf.AGGREGATE(15,6,(ROW(Ventes_Encaissements!$B$6:$B$3005)-ROW(Ventes_Encaissements!$B$6)+1)/((Ventes_Encaissements!$E$6:$E$3005=$B477)*(Ventes_Encaissements!$J$6:$J$3005=$G477)*(Ventes_Encaissements!$C$6:$C$3005&gt;=$C477-3)*(Ventes_Encaissements!$C$6:$C$3005&lt;=$C477+3)),1)))</f>
        <v/>
      </c>
      <c r="K477" s="6" t="n"/>
    </row>
    <row r="478">
      <c r="A478" s="6" t="n"/>
      <c r="B478" s="6" t="n"/>
      <c r="C478" s="19" t="n"/>
      <c r="D478" s="19" t="n"/>
      <c r="E478" s="6" t="n"/>
      <c r="F478" s="20" t="n"/>
      <c r="G478" s="9">
        <f>IF($F478="","",IF($F478&gt;0,ROUND($F478,2),""))</f>
        <v/>
      </c>
      <c r="H478" s="12">
        <f>IF(OR($B478="",$C478="",$G478=""),"",COUNTIFS(Ventes_Encaissements!$E$6:$E$3005,$B478,Ventes_Encaissements!$J$6:$J$3005,$G478,Ventes_Encaissements!$C$6:$C$3005,"&gt;="&amp;($C478-3),Ventes_Encaissements!$C$6:$C$3005,"&lt;="&amp;($C478+3)))</f>
        <v/>
      </c>
      <c r="I478" s="12">
        <f>IF($H478="","",IF($H478=0,"Non trouvé",IF($H478=1,"Match","À vérifier")))</f>
        <v/>
      </c>
      <c r="J478" s="21">
        <f>IF($I478&lt;&gt;"Match","",INDEX(Ventes_Encaissements!$B$6:$B$3005,_xludf.AGGREGATE(15,6,(ROW(Ventes_Encaissements!$B$6:$B$3005)-ROW(Ventes_Encaissements!$B$6)+1)/((Ventes_Encaissements!$E$6:$E$3005=$B478)*(Ventes_Encaissements!$J$6:$J$3005=$G478)*(Ventes_Encaissements!$C$6:$C$3005&gt;=$C478-3)*(Ventes_Encaissements!$C$6:$C$3005&lt;=$C478+3)),1)))</f>
        <v/>
      </c>
      <c r="K478" s="6" t="n"/>
    </row>
    <row r="479">
      <c r="A479" s="6" t="n"/>
      <c r="B479" s="6" t="n"/>
      <c r="C479" s="19" t="n"/>
      <c r="D479" s="19" t="n"/>
      <c r="E479" s="6" t="n"/>
      <c r="F479" s="20" t="n"/>
      <c r="G479" s="9">
        <f>IF($F479="","",IF($F479&gt;0,ROUND($F479,2),""))</f>
        <v/>
      </c>
      <c r="H479" s="12">
        <f>IF(OR($B479="",$C479="",$G479=""),"",COUNTIFS(Ventes_Encaissements!$E$6:$E$3005,$B479,Ventes_Encaissements!$J$6:$J$3005,$G479,Ventes_Encaissements!$C$6:$C$3005,"&gt;="&amp;($C479-3),Ventes_Encaissements!$C$6:$C$3005,"&lt;="&amp;($C479+3)))</f>
        <v/>
      </c>
      <c r="I479" s="12">
        <f>IF($H479="","",IF($H479=0,"Non trouvé",IF($H479=1,"Match","À vérifier")))</f>
        <v/>
      </c>
      <c r="J479" s="21">
        <f>IF($I479&lt;&gt;"Match","",INDEX(Ventes_Encaissements!$B$6:$B$3005,_xludf.AGGREGATE(15,6,(ROW(Ventes_Encaissements!$B$6:$B$3005)-ROW(Ventes_Encaissements!$B$6)+1)/((Ventes_Encaissements!$E$6:$E$3005=$B479)*(Ventes_Encaissements!$J$6:$J$3005=$G479)*(Ventes_Encaissements!$C$6:$C$3005&gt;=$C479-3)*(Ventes_Encaissements!$C$6:$C$3005&lt;=$C479+3)),1)))</f>
        <v/>
      </c>
      <c r="K479" s="6" t="n"/>
    </row>
    <row r="480">
      <c r="A480" s="6" t="n"/>
      <c r="B480" s="6" t="n"/>
      <c r="C480" s="19" t="n"/>
      <c r="D480" s="19" t="n"/>
      <c r="E480" s="6" t="n"/>
      <c r="F480" s="20" t="n"/>
      <c r="G480" s="9">
        <f>IF($F480="","",IF($F480&gt;0,ROUND($F480,2),""))</f>
        <v/>
      </c>
      <c r="H480" s="12">
        <f>IF(OR($B480="",$C480="",$G480=""),"",COUNTIFS(Ventes_Encaissements!$E$6:$E$3005,$B480,Ventes_Encaissements!$J$6:$J$3005,$G480,Ventes_Encaissements!$C$6:$C$3005,"&gt;="&amp;($C480-3),Ventes_Encaissements!$C$6:$C$3005,"&lt;="&amp;($C480+3)))</f>
        <v/>
      </c>
      <c r="I480" s="12">
        <f>IF($H480="","",IF($H480=0,"Non trouvé",IF($H480=1,"Match","À vérifier")))</f>
        <v/>
      </c>
      <c r="J480" s="21">
        <f>IF($I480&lt;&gt;"Match","",INDEX(Ventes_Encaissements!$B$6:$B$3005,_xludf.AGGREGATE(15,6,(ROW(Ventes_Encaissements!$B$6:$B$3005)-ROW(Ventes_Encaissements!$B$6)+1)/((Ventes_Encaissements!$E$6:$E$3005=$B480)*(Ventes_Encaissements!$J$6:$J$3005=$G480)*(Ventes_Encaissements!$C$6:$C$3005&gt;=$C480-3)*(Ventes_Encaissements!$C$6:$C$3005&lt;=$C480+3)),1)))</f>
        <v/>
      </c>
      <c r="K480" s="6" t="n"/>
    </row>
    <row r="481">
      <c r="A481" s="6" t="n"/>
      <c r="B481" s="6" t="n"/>
      <c r="C481" s="19" t="n"/>
      <c r="D481" s="19" t="n"/>
      <c r="E481" s="6" t="n"/>
      <c r="F481" s="20" t="n"/>
      <c r="G481" s="9">
        <f>IF($F481="","",IF($F481&gt;0,ROUND($F481,2),""))</f>
        <v/>
      </c>
      <c r="H481" s="12">
        <f>IF(OR($B481="",$C481="",$G481=""),"",COUNTIFS(Ventes_Encaissements!$E$6:$E$3005,$B481,Ventes_Encaissements!$J$6:$J$3005,$G481,Ventes_Encaissements!$C$6:$C$3005,"&gt;="&amp;($C481-3),Ventes_Encaissements!$C$6:$C$3005,"&lt;="&amp;($C481+3)))</f>
        <v/>
      </c>
      <c r="I481" s="12">
        <f>IF($H481="","",IF($H481=0,"Non trouvé",IF($H481=1,"Match","À vérifier")))</f>
        <v/>
      </c>
      <c r="J481" s="21">
        <f>IF($I481&lt;&gt;"Match","",INDEX(Ventes_Encaissements!$B$6:$B$3005,_xludf.AGGREGATE(15,6,(ROW(Ventes_Encaissements!$B$6:$B$3005)-ROW(Ventes_Encaissements!$B$6)+1)/((Ventes_Encaissements!$E$6:$E$3005=$B481)*(Ventes_Encaissements!$J$6:$J$3005=$G481)*(Ventes_Encaissements!$C$6:$C$3005&gt;=$C481-3)*(Ventes_Encaissements!$C$6:$C$3005&lt;=$C481+3)),1)))</f>
        <v/>
      </c>
      <c r="K481" s="6" t="n"/>
    </row>
    <row r="482">
      <c r="A482" s="6" t="n"/>
      <c r="B482" s="6" t="n"/>
      <c r="C482" s="19" t="n"/>
      <c r="D482" s="19" t="n"/>
      <c r="E482" s="6" t="n"/>
      <c r="F482" s="20" t="n"/>
      <c r="G482" s="9">
        <f>IF($F482="","",IF($F482&gt;0,ROUND($F482,2),""))</f>
        <v/>
      </c>
      <c r="H482" s="12">
        <f>IF(OR($B482="",$C482="",$G482=""),"",COUNTIFS(Ventes_Encaissements!$E$6:$E$3005,$B482,Ventes_Encaissements!$J$6:$J$3005,$G482,Ventes_Encaissements!$C$6:$C$3005,"&gt;="&amp;($C482-3),Ventes_Encaissements!$C$6:$C$3005,"&lt;="&amp;($C482+3)))</f>
        <v/>
      </c>
      <c r="I482" s="12">
        <f>IF($H482="","",IF($H482=0,"Non trouvé",IF($H482=1,"Match","À vérifier")))</f>
        <v/>
      </c>
      <c r="J482" s="21">
        <f>IF($I482&lt;&gt;"Match","",INDEX(Ventes_Encaissements!$B$6:$B$3005,_xludf.AGGREGATE(15,6,(ROW(Ventes_Encaissements!$B$6:$B$3005)-ROW(Ventes_Encaissements!$B$6)+1)/((Ventes_Encaissements!$E$6:$E$3005=$B482)*(Ventes_Encaissements!$J$6:$J$3005=$G482)*(Ventes_Encaissements!$C$6:$C$3005&gt;=$C482-3)*(Ventes_Encaissements!$C$6:$C$3005&lt;=$C482+3)),1)))</f>
        <v/>
      </c>
      <c r="K482" s="6" t="n"/>
    </row>
    <row r="483">
      <c r="A483" s="6" t="n"/>
      <c r="B483" s="6" t="n"/>
      <c r="C483" s="19" t="n"/>
      <c r="D483" s="19" t="n"/>
      <c r="E483" s="6" t="n"/>
      <c r="F483" s="20" t="n"/>
      <c r="G483" s="9">
        <f>IF($F483="","",IF($F483&gt;0,ROUND($F483,2),""))</f>
        <v/>
      </c>
      <c r="H483" s="12">
        <f>IF(OR($B483="",$C483="",$G483=""),"",COUNTIFS(Ventes_Encaissements!$E$6:$E$3005,$B483,Ventes_Encaissements!$J$6:$J$3005,$G483,Ventes_Encaissements!$C$6:$C$3005,"&gt;="&amp;($C483-3),Ventes_Encaissements!$C$6:$C$3005,"&lt;="&amp;($C483+3)))</f>
        <v/>
      </c>
      <c r="I483" s="12">
        <f>IF($H483="","",IF($H483=0,"Non trouvé",IF($H483=1,"Match","À vérifier")))</f>
        <v/>
      </c>
      <c r="J483" s="21">
        <f>IF($I483&lt;&gt;"Match","",INDEX(Ventes_Encaissements!$B$6:$B$3005,_xludf.AGGREGATE(15,6,(ROW(Ventes_Encaissements!$B$6:$B$3005)-ROW(Ventes_Encaissements!$B$6)+1)/((Ventes_Encaissements!$E$6:$E$3005=$B483)*(Ventes_Encaissements!$J$6:$J$3005=$G483)*(Ventes_Encaissements!$C$6:$C$3005&gt;=$C483-3)*(Ventes_Encaissements!$C$6:$C$3005&lt;=$C483+3)),1)))</f>
        <v/>
      </c>
      <c r="K483" s="6" t="n"/>
    </row>
    <row r="484">
      <c r="A484" s="6" t="n"/>
      <c r="B484" s="6" t="n"/>
      <c r="C484" s="19" t="n"/>
      <c r="D484" s="19" t="n"/>
      <c r="E484" s="6" t="n"/>
      <c r="F484" s="20" t="n"/>
      <c r="G484" s="9">
        <f>IF($F484="","",IF($F484&gt;0,ROUND($F484,2),""))</f>
        <v/>
      </c>
      <c r="H484" s="12">
        <f>IF(OR($B484="",$C484="",$G484=""),"",COUNTIFS(Ventes_Encaissements!$E$6:$E$3005,$B484,Ventes_Encaissements!$J$6:$J$3005,$G484,Ventes_Encaissements!$C$6:$C$3005,"&gt;="&amp;($C484-3),Ventes_Encaissements!$C$6:$C$3005,"&lt;="&amp;($C484+3)))</f>
        <v/>
      </c>
      <c r="I484" s="12">
        <f>IF($H484="","",IF($H484=0,"Non trouvé",IF($H484=1,"Match","À vérifier")))</f>
        <v/>
      </c>
      <c r="J484" s="21">
        <f>IF($I484&lt;&gt;"Match","",INDEX(Ventes_Encaissements!$B$6:$B$3005,_xludf.AGGREGATE(15,6,(ROW(Ventes_Encaissements!$B$6:$B$3005)-ROW(Ventes_Encaissements!$B$6)+1)/((Ventes_Encaissements!$E$6:$E$3005=$B484)*(Ventes_Encaissements!$J$6:$J$3005=$G484)*(Ventes_Encaissements!$C$6:$C$3005&gt;=$C484-3)*(Ventes_Encaissements!$C$6:$C$3005&lt;=$C484+3)),1)))</f>
        <v/>
      </c>
      <c r="K484" s="6" t="n"/>
    </row>
    <row r="485">
      <c r="A485" s="6" t="n"/>
      <c r="B485" s="6" t="n"/>
      <c r="C485" s="19" t="n"/>
      <c r="D485" s="19" t="n"/>
      <c r="E485" s="6" t="n"/>
      <c r="F485" s="20" t="n"/>
      <c r="G485" s="9">
        <f>IF($F485="","",IF($F485&gt;0,ROUND($F485,2),""))</f>
        <v/>
      </c>
      <c r="H485" s="12">
        <f>IF(OR($B485="",$C485="",$G485=""),"",COUNTIFS(Ventes_Encaissements!$E$6:$E$3005,$B485,Ventes_Encaissements!$J$6:$J$3005,$G485,Ventes_Encaissements!$C$6:$C$3005,"&gt;="&amp;($C485-3),Ventes_Encaissements!$C$6:$C$3005,"&lt;="&amp;($C485+3)))</f>
        <v/>
      </c>
      <c r="I485" s="12">
        <f>IF($H485="","",IF($H485=0,"Non trouvé",IF($H485=1,"Match","À vérifier")))</f>
        <v/>
      </c>
      <c r="J485" s="21">
        <f>IF($I485&lt;&gt;"Match","",INDEX(Ventes_Encaissements!$B$6:$B$3005,_xludf.AGGREGATE(15,6,(ROW(Ventes_Encaissements!$B$6:$B$3005)-ROW(Ventes_Encaissements!$B$6)+1)/((Ventes_Encaissements!$E$6:$E$3005=$B485)*(Ventes_Encaissements!$J$6:$J$3005=$G485)*(Ventes_Encaissements!$C$6:$C$3005&gt;=$C485-3)*(Ventes_Encaissements!$C$6:$C$3005&lt;=$C485+3)),1)))</f>
        <v/>
      </c>
      <c r="K485" s="6" t="n"/>
    </row>
    <row r="486">
      <c r="A486" s="6" t="n"/>
      <c r="B486" s="6" t="n"/>
      <c r="C486" s="19" t="n"/>
      <c r="D486" s="19" t="n"/>
      <c r="E486" s="6" t="n"/>
      <c r="F486" s="20" t="n"/>
      <c r="G486" s="9">
        <f>IF($F486="","",IF($F486&gt;0,ROUND($F486,2),""))</f>
        <v/>
      </c>
      <c r="H486" s="12">
        <f>IF(OR($B486="",$C486="",$G486=""),"",COUNTIFS(Ventes_Encaissements!$E$6:$E$3005,$B486,Ventes_Encaissements!$J$6:$J$3005,$G486,Ventes_Encaissements!$C$6:$C$3005,"&gt;="&amp;($C486-3),Ventes_Encaissements!$C$6:$C$3005,"&lt;="&amp;($C486+3)))</f>
        <v/>
      </c>
      <c r="I486" s="12">
        <f>IF($H486="","",IF($H486=0,"Non trouvé",IF($H486=1,"Match","À vérifier")))</f>
        <v/>
      </c>
      <c r="J486" s="21">
        <f>IF($I486&lt;&gt;"Match","",INDEX(Ventes_Encaissements!$B$6:$B$3005,_xludf.AGGREGATE(15,6,(ROW(Ventes_Encaissements!$B$6:$B$3005)-ROW(Ventes_Encaissements!$B$6)+1)/((Ventes_Encaissements!$E$6:$E$3005=$B486)*(Ventes_Encaissements!$J$6:$J$3005=$G486)*(Ventes_Encaissements!$C$6:$C$3005&gt;=$C486-3)*(Ventes_Encaissements!$C$6:$C$3005&lt;=$C486+3)),1)))</f>
        <v/>
      </c>
      <c r="K486" s="6" t="n"/>
    </row>
    <row r="487">
      <c r="A487" s="6" t="n"/>
      <c r="B487" s="6" t="n"/>
      <c r="C487" s="19" t="n"/>
      <c r="D487" s="19" t="n"/>
      <c r="E487" s="6" t="n"/>
      <c r="F487" s="20" t="n"/>
      <c r="G487" s="9">
        <f>IF($F487="","",IF($F487&gt;0,ROUND($F487,2),""))</f>
        <v/>
      </c>
      <c r="H487" s="12">
        <f>IF(OR($B487="",$C487="",$G487=""),"",COUNTIFS(Ventes_Encaissements!$E$6:$E$3005,$B487,Ventes_Encaissements!$J$6:$J$3005,$G487,Ventes_Encaissements!$C$6:$C$3005,"&gt;="&amp;($C487-3),Ventes_Encaissements!$C$6:$C$3005,"&lt;="&amp;($C487+3)))</f>
        <v/>
      </c>
      <c r="I487" s="12">
        <f>IF($H487="","",IF($H487=0,"Non trouvé",IF($H487=1,"Match","À vérifier")))</f>
        <v/>
      </c>
      <c r="J487" s="21">
        <f>IF($I487&lt;&gt;"Match","",INDEX(Ventes_Encaissements!$B$6:$B$3005,_xludf.AGGREGATE(15,6,(ROW(Ventes_Encaissements!$B$6:$B$3005)-ROW(Ventes_Encaissements!$B$6)+1)/((Ventes_Encaissements!$E$6:$E$3005=$B487)*(Ventes_Encaissements!$J$6:$J$3005=$G487)*(Ventes_Encaissements!$C$6:$C$3005&gt;=$C487-3)*(Ventes_Encaissements!$C$6:$C$3005&lt;=$C487+3)),1)))</f>
        <v/>
      </c>
      <c r="K487" s="6" t="n"/>
    </row>
    <row r="488">
      <c r="A488" s="6" t="n"/>
      <c r="B488" s="6" t="n"/>
      <c r="C488" s="19" t="n"/>
      <c r="D488" s="19" t="n"/>
      <c r="E488" s="6" t="n"/>
      <c r="F488" s="20" t="n"/>
      <c r="G488" s="9">
        <f>IF($F488="","",IF($F488&gt;0,ROUND($F488,2),""))</f>
        <v/>
      </c>
      <c r="H488" s="12">
        <f>IF(OR($B488="",$C488="",$G488=""),"",COUNTIFS(Ventes_Encaissements!$E$6:$E$3005,$B488,Ventes_Encaissements!$J$6:$J$3005,$G488,Ventes_Encaissements!$C$6:$C$3005,"&gt;="&amp;($C488-3),Ventes_Encaissements!$C$6:$C$3005,"&lt;="&amp;($C488+3)))</f>
        <v/>
      </c>
      <c r="I488" s="12">
        <f>IF($H488="","",IF($H488=0,"Non trouvé",IF($H488=1,"Match","À vérifier")))</f>
        <v/>
      </c>
      <c r="J488" s="21">
        <f>IF($I488&lt;&gt;"Match","",INDEX(Ventes_Encaissements!$B$6:$B$3005,_xludf.AGGREGATE(15,6,(ROW(Ventes_Encaissements!$B$6:$B$3005)-ROW(Ventes_Encaissements!$B$6)+1)/((Ventes_Encaissements!$E$6:$E$3005=$B488)*(Ventes_Encaissements!$J$6:$J$3005=$G488)*(Ventes_Encaissements!$C$6:$C$3005&gt;=$C488-3)*(Ventes_Encaissements!$C$6:$C$3005&lt;=$C488+3)),1)))</f>
        <v/>
      </c>
      <c r="K488" s="6" t="n"/>
    </row>
    <row r="489">
      <c r="A489" s="6" t="n"/>
      <c r="B489" s="6" t="n"/>
      <c r="C489" s="19" t="n"/>
      <c r="D489" s="19" t="n"/>
      <c r="E489" s="6" t="n"/>
      <c r="F489" s="20" t="n"/>
      <c r="G489" s="9">
        <f>IF($F489="","",IF($F489&gt;0,ROUND($F489,2),""))</f>
        <v/>
      </c>
      <c r="H489" s="12">
        <f>IF(OR($B489="",$C489="",$G489=""),"",COUNTIFS(Ventes_Encaissements!$E$6:$E$3005,$B489,Ventes_Encaissements!$J$6:$J$3005,$G489,Ventes_Encaissements!$C$6:$C$3005,"&gt;="&amp;($C489-3),Ventes_Encaissements!$C$6:$C$3005,"&lt;="&amp;($C489+3)))</f>
        <v/>
      </c>
      <c r="I489" s="12">
        <f>IF($H489="","",IF($H489=0,"Non trouvé",IF($H489=1,"Match","À vérifier")))</f>
        <v/>
      </c>
      <c r="J489" s="21">
        <f>IF($I489&lt;&gt;"Match","",INDEX(Ventes_Encaissements!$B$6:$B$3005,_xludf.AGGREGATE(15,6,(ROW(Ventes_Encaissements!$B$6:$B$3005)-ROW(Ventes_Encaissements!$B$6)+1)/((Ventes_Encaissements!$E$6:$E$3005=$B489)*(Ventes_Encaissements!$J$6:$J$3005=$G489)*(Ventes_Encaissements!$C$6:$C$3005&gt;=$C489-3)*(Ventes_Encaissements!$C$6:$C$3005&lt;=$C489+3)),1)))</f>
        <v/>
      </c>
      <c r="K489" s="6" t="n"/>
    </row>
    <row r="490">
      <c r="A490" s="6" t="n"/>
      <c r="B490" s="6" t="n"/>
      <c r="C490" s="19" t="n"/>
      <c r="D490" s="19" t="n"/>
      <c r="E490" s="6" t="n"/>
      <c r="F490" s="20" t="n"/>
      <c r="G490" s="9">
        <f>IF($F490="","",IF($F490&gt;0,ROUND($F490,2),""))</f>
        <v/>
      </c>
      <c r="H490" s="12">
        <f>IF(OR($B490="",$C490="",$G490=""),"",COUNTIFS(Ventes_Encaissements!$E$6:$E$3005,$B490,Ventes_Encaissements!$J$6:$J$3005,$G490,Ventes_Encaissements!$C$6:$C$3005,"&gt;="&amp;($C490-3),Ventes_Encaissements!$C$6:$C$3005,"&lt;="&amp;($C490+3)))</f>
        <v/>
      </c>
      <c r="I490" s="12">
        <f>IF($H490="","",IF($H490=0,"Non trouvé",IF($H490=1,"Match","À vérifier")))</f>
        <v/>
      </c>
      <c r="J490" s="21">
        <f>IF($I490&lt;&gt;"Match","",INDEX(Ventes_Encaissements!$B$6:$B$3005,_xludf.AGGREGATE(15,6,(ROW(Ventes_Encaissements!$B$6:$B$3005)-ROW(Ventes_Encaissements!$B$6)+1)/((Ventes_Encaissements!$E$6:$E$3005=$B490)*(Ventes_Encaissements!$J$6:$J$3005=$G490)*(Ventes_Encaissements!$C$6:$C$3005&gt;=$C490-3)*(Ventes_Encaissements!$C$6:$C$3005&lt;=$C490+3)),1)))</f>
        <v/>
      </c>
      <c r="K490" s="6" t="n"/>
    </row>
    <row r="491">
      <c r="A491" s="6" t="n"/>
      <c r="B491" s="6" t="n"/>
      <c r="C491" s="19" t="n"/>
      <c r="D491" s="19" t="n"/>
      <c r="E491" s="6" t="n"/>
      <c r="F491" s="20" t="n"/>
      <c r="G491" s="9">
        <f>IF($F491="","",IF($F491&gt;0,ROUND($F491,2),""))</f>
        <v/>
      </c>
      <c r="H491" s="12">
        <f>IF(OR($B491="",$C491="",$G491=""),"",COUNTIFS(Ventes_Encaissements!$E$6:$E$3005,$B491,Ventes_Encaissements!$J$6:$J$3005,$G491,Ventes_Encaissements!$C$6:$C$3005,"&gt;="&amp;($C491-3),Ventes_Encaissements!$C$6:$C$3005,"&lt;="&amp;($C491+3)))</f>
        <v/>
      </c>
      <c r="I491" s="12">
        <f>IF($H491="","",IF($H491=0,"Non trouvé",IF($H491=1,"Match","À vérifier")))</f>
        <v/>
      </c>
      <c r="J491" s="21">
        <f>IF($I491&lt;&gt;"Match","",INDEX(Ventes_Encaissements!$B$6:$B$3005,_xludf.AGGREGATE(15,6,(ROW(Ventes_Encaissements!$B$6:$B$3005)-ROW(Ventes_Encaissements!$B$6)+1)/((Ventes_Encaissements!$E$6:$E$3005=$B491)*(Ventes_Encaissements!$J$6:$J$3005=$G491)*(Ventes_Encaissements!$C$6:$C$3005&gt;=$C491-3)*(Ventes_Encaissements!$C$6:$C$3005&lt;=$C491+3)),1)))</f>
        <v/>
      </c>
      <c r="K491" s="6" t="n"/>
    </row>
    <row r="492">
      <c r="A492" s="6" t="n"/>
      <c r="B492" s="6" t="n"/>
      <c r="C492" s="19" t="n"/>
      <c r="D492" s="19" t="n"/>
      <c r="E492" s="6" t="n"/>
      <c r="F492" s="20" t="n"/>
      <c r="G492" s="9">
        <f>IF($F492="","",IF($F492&gt;0,ROUND($F492,2),""))</f>
        <v/>
      </c>
      <c r="H492" s="12">
        <f>IF(OR($B492="",$C492="",$G492=""),"",COUNTIFS(Ventes_Encaissements!$E$6:$E$3005,$B492,Ventes_Encaissements!$J$6:$J$3005,$G492,Ventes_Encaissements!$C$6:$C$3005,"&gt;="&amp;($C492-3),Ventes_Encaissements!$C$6:$C$3005,"&lt;="&amp;($C492+3)))</f>
        <v/>
      </c>
      <c r="I492" s="12">
        <f>IF($H492="","",IF($H492=0,"Non trouvé",IF($H492=1,"Match","À vérifier")))</f>
        <v/>
      </c>
      <c r="J492" s="21">
        <f>IF($I492&lt;&gt;"Match","",INDEX(Ventes_Encaissements!$B$6:$B$3005,_xludf.AGGREGATE(15,6,(ROW(Ventes_Encaissements!$B$6:$B$3005)-ROW(Ventes_Encaissements!$B$6)+1)/((Ventes_Encaissements!$E$6:$E$3005=$B492)*(Ventes_Encaissements!$J$6:$J$3005=$G492)*(Ventes_Encaissements!$C$6:$C$3005&gt;=$C492-3)*(Ventes_Encaissements!$C$6:$C$3005&lt;=$C492+3)),1)))</f>
        <v/>
      </c>
      <c r="K492" s="6" t="n"/>
    </row>
    <row r="493">
      <c r="A493" s="6" t="n"/>
      <c r="B493" s="6" t="n"/>
      <c r="C493" s="19" t="n"/>
      <c r="D493" s="19" t="n"/>
      <c r="E493" s="6" t="n"/>
      <c r="F493" s="20" t="n"/>
      <c r="G493" s="9">
        <f>IF($F493="","",IF($F493&gt;0,ROUND($F493,2),""))</f>
        <v/>
      </c>
      <c r="H493" s="12">
        <f>IF(OR($B493="",$C493="",$G493=""),"",COUNTIFS(Ventes_Encaissements!$E$6:$E$3005,$B493,Ventes_Encaissements!$J$6:$J$3005,$G493,Ventes_Encaissements!$C$6:$C$3005,"&gt;="&amp;($C493-3),Ventes_Encaissements!$C$6:$C$3005,"&lt;="&amp;($C493+3)))</f>
        <v/>
      </c>
      <c r="I493" s="12">
        <f>IF($H493="","",IF($H493=0,"Non trouvé",IF($H493=1,"Match","À vérifier")))</f>
        <v/>
      </c>
      <c r="J493" s="21">
        <f>IF($I493&lt;&gt;"Match","",INDEX(Ventes_Encaissements!$B$6:$B$3005,_xludf.AGGREGATE(15,6,(ROW(Ventes_Encaissements!$B$6:$B$3005)-ROW(Ventes_Encaissements!$B$6)+1)/((Ventes_Encaissements!$E$6:$E$3005=$B493)*(Ventes_Encaissements!$J$6:$J$3005=$G493)*(Ventes_Encaissements!$C$6:$C$3005&gt;=$C493-3)*(Ventes_Encaissements!$C$6:$C$3005&lt;=$C493+3)),1)))</f>
        <v/>
      </c>
      <c r="K493" s="6" t="n"/>
    </row>
    <row r="494">
      <c r="A494" s="6" t="n"/>
      <c r="B494" s="6" t="n"/>
      <c r="C494" s="19" t="n"/>
      <c r="D494" s="19" t="n"/>
      <c r="E494" s="6" t="n"/>
      <c r="F494" s="20" t="n"/>
      <c r="G494" s="9">
        <f>IF($F494="","",IF($F494&gt;0,ROUND($F494,2),""))</f>
        <v/>
      </c>
      <c r="H494" s="12">
        <f>IF(OR($B494="",$C494="",$G494=""),"",COUNTIFS(Ventes_Encaissements!$E$6:$E$3005,$B494,Ventes_Encaissements!$J$6:$J$3005,$G494,Ventes_Encaissements!$C$6:$C$3005,"&gt;="&amp;($C494-3),Ventes_Encaissements!$C$6:$C$3005,"&lt;="&amp;($C494+3)))</f>
        <v/>
      </c>
      <c r="I494" s="12">
        <f>IF($H494="","",IF($H494=0,"Non trouvé",IF($H494=1,"Match","À vérifier")))</f>
        <v/>
      </c>
      <c r="J494" s="21">
        <f>IF($I494&lt;&gt;"Match","",INDEX(Ventes_Encaissements!$B$6:$B$3005,_xludf.AGGREGATE(15,6,(ROW(Ventes_Encaissements!$B$6:$B$3005)-ROW(Ventes_Encaissements!$B$6)+1)/((Ventes_Encaissements!$E$6:$E$3005=$B494)*(Ventes_Encaissements!$J$6:$J$3005=$G494)*(Ventes_Encaissements!$C$6:$C$3005&gt;=$C494-3)*(Ventes_Encaissements!$C$6:$C$3005&lt;=$C494+3)),1)))</f>
        <v/>
      </c>
      <c r="K494" s="6" t="n"/>
    </row>
    <row r="495">
      <c r="A495" s="6" t="n"/>
      <c r="B495" s="6" t="n"/>
      <c r="C495" s="19" t="n"/>
      <c r="D495" s="19" t="n"/>
      <c r="E495" s="6" t="n"/>
      <c r="F495" s="20" t="n"/>
      <c r="G495" s="9">
        <f>IF($F495="","",IF($F495&gt;0,ROUND($F495,2),""))</f>
        <v/>
      </c>
      <c r="H495" s="12">
        <f>IF(OR($B495="",$C495="",$G495=""),"",COUNTIFS(Ventes_Encaissements!$E$6:$E$3005,$B495,Ventes_Encaissements!$J$6:$J$3005,$G495,Ventes_Encaissements!$C$6:$C$3005,"&gt;="&amp;($C495-3),Ventes_Encaissements!$C$6:$C$3005,"&lt;="&amp;($C495+3)))</f>
        <v/>
      </c>
      <c r="I495" s="12">
        <f>IF($H495="","",IF($H495=0,"Non trouvé",IF($H495=1,"Match","À vérifier")))</f>
        <v/>
      </c>
      <c r="J495" s="21">
        <f>IF($I495&lt;&gt;"Match","",INDEX(Ventes_Encaissements!$B$6:$B$3005,_xludf.AGGREGATE(15,6,(ROW(Ventes_Encaissements!$B$6:$B$3005)-ROW(Ventes_Encaissements!$B$6)+1)/((Ventes_Encaissements!$E$6:$E$3005=$B495)*(Ventes_Encaissements!$J$6:$J$3005=$G495)*(Ventes_Encaissements!$C$6:$C$3005&gt;=$C495-3)*(Ventes_Encaissements!$C$6:$C$3005&lt;=$C495+3)),1)))</f>
        <v/>
      </c>
      <c r="K495" s="6" t="n"/>
    </row>
    <row r="496">
      <c r="A496" s="6" t="n"/>
      <c r="B496" s="6" t="n"/>
      <c r="C496" s="19" t="n"/>
      <c r="D496" s="19" t="n"/>
      <c r="E496" s="6" t="n"/>
      <c r="F496" s="20" t="n"/>
      <c r="G496" s="9">
        <f>IF($F496="","",IF($F496&gt;0,ROUND($F496,2),""))</f>
        <v/>
      </c>
      <c r="H496" s="12">
        <f>IF(OR($B496="",$C496="",$G496=""),"",COUNTIFS(Ventes_Encaissements!$E$6:$E$3005,$B496,Ventes_Encaissements!$J$6:$J$3005,$G496,Ventes_Encaissements!$C$6:$C$3005,"&gt;="&amp;($C496-3),Ventes_Encaissements!$C$6:$C$3005,"&lt;="&amp;($C496+3)))</f>
        <v/>
      </c>
      <c r="I496" s="12">
        <f>IF($H496="","",IF($H496=0,"Non trouvé",IF($H496=1,"Match","À vérifier")))</f>
        <v/>
      </c>
      <c r="J496" s="21">
        <f>IF($I496&lt;&gt;"Match","",INDEX(Ventes_Encaissements!$B$6:$B$3005,_xludf.AGGREGATE(15,6,(ROW(Ventes_Encaissements!$B$6:$B$3005)-ROW(Ventes_Encaissements!$B$6)+1)/((Ventes_Encaissements!$E$6:$E$3005=$B496)*(Ventes_Encaissements!$J$6:$J$3005=$G496)*(Ventes_Encaissements!$C$6:$C$3005&gt;=$C496-3)*(Ventes_Encaissements!$C$6:$C$3005&lt;=$C496+3)),1)))</f>
        <v/>
      </c>
      <c r="K496" s="6" t="n"/>
    </row>
    <row r="497">
      <c r="A497" s="6" t="n"/>
      <c r="B497" s="6" t="n"/>
      <c r="C497" s="19" t="n"/>
      <c r="D497" s="19" t="n"/>
      <c r="E497" s="6" t="n"/>
      <c r="F497" s="20" t="n"/>
      <c r="G497" s="9">
        <f>IF($F497="","",IF($F497&gt;0,ROUND($F497,2),""))</f>
        <v/>
      </c>
      <c r="H497" s="12">
        <f>IF(OR($B497="",$C497="",$G497=""),"",COUNTIFS(Ventes_Encaissements!$E$6:$E$3005,$B497,Ventes_Encaissements!$J$6:$J$3005,$G497,Ventes_Encaissements!$C$6:$C$3005,"&gt;="&amp;($C497-3),Ventes_Encaissements!$C$6:$C$3005,"&lt;="&amp;($C497+3)))</f>
        <v/>
      </c>
      <c r="I497" s="12">
        <f>IF($H497="","",IF($H497=0,"Non trouvé",IF($H497=1,"Match","À vérifier")))</f>
        <v/>
      </c>
      <c r="J497" s="21">
        <f>IF($I497&lt;&gt;"Match","",INDEX(Ventes_Encaissements!$B$6:$B$3005,_xludf.AGGREGATE(15,6,(ROW(Ventes_Encaissements!$B$6:$B$3005)-ROW(Ventes_Encaissements!$B$6)+1)/((Ventes_Encaissements!$E$6:$E$3005=$B497)*(Ventes_Encaissements!$J$6:$J$3005=$G497)*(Ventes_Encaissements!$C$6:$C$3005&gt;=$C497-3)*(Ventes_Encaissements!$C$6:$C$3005&lt;=$C497+3)),1)))</f>
        <v/>
      </c>
      <c r="K497" s="6" t="n"/>
    </row>
    <row r="498">
      <c r="A498" s="6" t="n"/>
      <c r="B498" s="6" t="n"/>
      <c r="C498" s="19" t="n"/>
      <c r="D498" s="19" t="n"/>
      <c r="E498" s="6" t="n"/>
      <c r="F498" s="20" t="n"/>
      <c r="G498" s="9">
        <f>IF($F498="","",IF($F498&gt;0,ROUND($F498,2),""))</f>
        <v/>
      </c>
      <c r="H498" s="12">
        <f>IF(OR($B498="",$C498="",$G498=""),"",COUNTIFS(Ventes_Encaissements!$E$6:$E$3005,$B498,Ventes_Encaissements!$J$6:$J$3005,$G498,Ventes_Encaissements!$C$6:$C$3005,"&gt;="&amp;($C498-3),Ventes_Encaissements!$C$6:$C$3005,"&lt;="&amp;($C498+3)))</f>
        <v/>
      </c>
      <c r="I498" s="12">
        <f>IF($H498="","",IF($H498=0,"Non trouvé",IF($H498=1,"Match","À vérifier")))</f>
        <v/>
      </c>
      <c r="J498" s="21">
        <f>IF($I498&lt;&gt;"Match","",INDEX(Ventes_Encaissements!$B$6:$B$3005,_xludf.AGGREGATE(15,6,(ROW(Ventes_Encaissements!$B$6:$B$3005)-ROW(Ventes_Encaissements!$B$6)+1)/((Ventes_Encaissements!$E$6:$E$3005=$B498)*(Ventes_Encaissements!$J$6:$J$3005=$G498)*(Ventes_Encaissements!$C$6:$C$3005&gt;=$C498-3)*(Ventes_Encaissements!$C$6:$C$3005&lt;=$C498+3)),1)))</f>
        <v/>
      </c>
      <c r="K498" s="6" t="n"/>
    </row>
    <row r="499">
      <c r="A499" s="6" t="n"/>
      <c r="B499" s="6" t="n"/>
      <c r="C499" s="19" t="n"/>
      <c r="D499" s="19" t="n"/>
      <c r="E499" s="6" t="n"/>
      <c r="F499" s="20" t="n"/>
      <c r="G499" s="9">
        <f>IF($F499="","",IF($F499&gt;0,ROUND($F499,2),""))</f>
        <v/>
      </c>
      <c r="H499" s="12">
        <f>IF(OR($B499="",$C499="",$G499=""),"",COUNTIFS(Ventes_Encaissements!$E$6:$E$3005,$B499,Ventes_Encaissements!$J$6:$J$3005,$G499,Ventes_Encaissements!$C$6:$C$3005,"&gt;="&amp;($C499-3),Ventes_Encaissements!$C$6:$C$3005,"&lt;="&amp;($C499+3)))</f>
        <v/>
      </c>
      <c r="I499" s="12">
        <f>IF($H499="","",IF($H499=0,"Non trouvé",IF($H499=1,"Match","À vérifier")))</f>
        <v/>
      </c>
      <c r="J499" s="21">
        <f>IF($I499&lt;&gt;"Match","",INDEX(Ventes_Encaissements!$B$6:$B$3005,_xludf.AGGREGATE(15,6,(ROW(Ventes_Encaissements!$B$6:$B$3005)-ROW(Ventes_Encaissements!$B$6)+1)/((Ventes_Encaissements!$E$6:$E$3005=$B499)*(Ventes_Encaissements!$J$6:$J$3005=$G499)*(Ventes_Encaissements!$C$6:$C$3005&gt;=$C499-3)*(Ventes_Encaissements!$C$6:$C$3005&lt;=$C499+3)),1)))</f>
        <v/>
      </c>
      <c r="K499" s="6" t="n"/>
    </row>
    <row r="500">
      <c r="A500" s="6" t="n"/>
      <c r="B500" s="6" t="n"/>
      <c r="C500" s="19" t="n"/>
      <c r="D500" s="19" t="n"/>
      <c r="E500" s="6" t="n"/>
      <c r="F500" s="20" t="n"/>
      <c r="G500" s="9">
        <f>IF($F500="","",IF($F500&gt;0,ROUND($F500,2),""))</f>
        <v/>
      </c>
      <c r="H500" s="12">
        <f>IF(OR($B500="",$C500="",$G500=""),"",COUNTIFS(Ventes_Encaissements!$E$6:$E$3005,$B500,Ventes_Encaissements!$J$6:$J$3005,$G500,Ventes_Encaissements!$C$6:$C$3005,"&gt;="&amp;($C500-3),Ventes_Encaissements!$C$6:$C$3005,"&lt;="&amp;($C500+3)))</f>
        <v/>
      </c>
      <c r="I500" s="12">
        <f>IF($H500="","",IF($H500=0,"Non trouvé",IF($H500=1,"Match","À vérifier")))</f>
        <v/>
      </c>
      <c r="J500" s="21">
        <f>IF($I500&lt;&gt;"Match","",INDEX(Ventes_Encaissements!$B$6:$B$3005,_xludf.AGGREGATE(15,6,(ROW(Ventes_Encaissements!$B$6:$B$3005)-ROW(Ventes_Encaissements!$B$6)+1)/((Ventes_Encaissements!$E$6:$E$3005=$B500)*(Ventes_Encaissements!$J$6:$J$3005=$G500)*(Ventes_Encaissements!$C$6:$C$3005&gt;=$C500-3)*(Ventes_Encaissements!$C$6:$C$3005&lt;=$C500+3)),1)))</f>
        <v/>
      </c>
      <c r="K500" s="6" t="n"/>
    </row>
    <row r="501">
      <c r="A501" s="6" t="n"/>
      <c r="B501" s="6" t="n"/>
      <c r="C501" s="19" t="n"/>
      <c r="D501" s="19" t="n"/>
      <c r="E501" s="6" t="n"/>
      <c r="F501" s="20" t="n"/>
      <c r="G501" s="9">
        <f>IF($F501="","",IF($F501&gt;0,ROUND($F501,2),""))</f>
        <v/>
      </c>
      <c r="H501" s="12">
        <f>IF(OR($B501="",$C501="",$G501=""),"",COUNTIFS(Ventes_Encaissements!$E$6:$E$3005,$B501,Ventes_Encaissements!$J$6:$J$3005,$G501,Ventes_Encaissements!$C$6:$C$3005,"&gt;="&amp;($C501-3),Ventes_Encaissements!$C$6:$C$3005,"&lt;="&amp;($C501+3)))</f>
        <v/>
      </c>
      <c r="I501" s="12">
        <f>IF($H501="","",IF($H501=0,"Non trouvé",IF($H501=1,"Match","À vérifier")))</f>
        <v/>
      </c>
      <c r="J501" s="21">
        <f>IF($I501&lt;&gt;"Match","",INDEX(Ventes_Encaissements!$B$6:$B$3005,_xludf.AGGREGATE(15,6,(ROW(Ventes_Encaissements!$B$6:$B$3005)-ROW(Ventes_Encaissements!$B$6)+1)/((Ventes_Encaissements!$E$6:$E$3005=$B501)*(Ventes_Encaissements!$J$6:$J$3005=$G501)*(Ventes_Encaissements!$C$6:$C$3005&gt;=$C501-3)*(Ventes_Encaissements!$C$6:$C$3005&lt;=$C501+3)),1)))</f>
        <v/>
      </c>
      <c r="K501" s="6" t="n"/>
    </row>
    <row r="502">
      <c r="A502" s="6" t="n"/>
      <c r="B502" s="6" t="n"/>
      <c r="C502" s="19" t="n"/>
      <c r="D502" s="19" t="n"/>
      <c r="E502" s="6" t="n"/>
      <c r="F502" s="20" t="n"/>
      <c r="G502" s="9">
        <f>IF($F502="","",IF($F502&gt;0,ROUND($F502,2),""))</f>
        <v/>
      </c>
      <c r="H502" s="12">
        <f>IF(OR($B502="",$C502="",$G502=""),"",COUNTIFS(Ventes_Encaissements!$E$6:$E$3005,$B502,Ventes_Encaissements!$J$6:$J$3005,$G502,Ventes_Encaissements!$C$6:$C$3005,"&gt;="&amp;($C502-3),Ventes_Encaissements!$C$6:$C$3005,"&lt;="&amp;($C502+3)))</f>
        <v/>
      </c>
      <c r="I502" s="12">
        <f>IF($H502="","",IF($H502=0,"Non trouvé",IF($H502=1,"Match","À vérifier")))</f>
        <v/>
      </c>
      <c r="J502" s="21">
        <f>IF($I502&lt;&gt;"Match","",INDEX(Ventes_Encaissements!$B$6:$B$3005,_xludf.AGGREGATE(15,6,(ROW(Ventes_Encaissements!$B$6:$B$3005)-ROW(Ventes_Encaissements!$B$6)+1)/((Ventes_Encaissements!$E$6:$E$3005=$B502)*(Ventes_Encaissements!$J$6:$J$3005=$G502)*(Ventes_Encaissements!$C$6:$C$3005&gt;=$C502-3)*(Ventes_Encaissements!$C$6:$C$3005&lt;=$C502+3)),1)))</f>
        <v/>
      </c>
      <c r="K502" s="6" t="n"/>
    </row>
    <row r="503">
      <c r="A503" s="6" t="n"/>
      <c r="B503" s="6" t="n"/>
      <c r="C503" s="19" t="n"/>
      <c r="D503" s="19" t="n"/>
      <c r="E503" s="6" t="n"/>
      <c r="F503" s="20" t="n"/>
      <c r="G503" s="9">
        <f>IF($F503="","",IF($F503&gt;0,ROUND($F503,2),""))</f>
        <v/>
      </c>
      <c r="H503" s="12">
        <f>IF(OR($B503="",$C503="",$G503=""),"",COUNTIFS(Ventes_Encaissements!$E$6:$E$3005,$B503,Ventes_Encaissements!$J$6:$J$3005,$G503,Ventes_Encaissements!$C$6:$C$3005,"&gt;="&amp;($C503-3),Ventes_Encaissements!$C$6:$C$3005,"&lt;="&amp;($C503+3)))</f>
        <v/>
      </c>
      <c r="I503" s="12">
        <f>IF($H503="","",IF($H503=0,"Non trouvé",IF($H503=1,"Match","À vérifier")))</f>
        <v/>
      </c>
      <c r="J503" s="21">
        <f>IF($I503&lt;&gt;"Match","",INDEX(Ventes_Encaissements!$B$6:$B$3005,_xludf.AGGREGATE(15,6,(ROW(Ventes_Encaissements!$B$6:$B$3005)-ROW(Ventes_Encaissements!$B$6)+1)/((Ventes_Encaissements!$E$6:$E$3005=$B503)*(Ventes_Encaissements!$J$6:$J$3005=$G503)*(Ventes_Encaissements!$C$6:$C$3005&gt;=$C503-3)*(Ventes_Encaissements!$C$6:$C$3005&lt;=$C503+3)),1)))</f>
        <v/>
      </c>
      <c r="K503" s="6" t="n"/>
    </row>
    <row r="504">
      <c r="A504" s="6" t="n"/>
      <c r="B504" s="6" t="n"/>
      <c r="C504" s="19" t="n"/>
      <c r="D504" s="19" t="n"/>
      <c r="E504" s="6" t="n"/>
      <c r="F504" s="20" t="n"/>
      <c r="G504" s="9">
        <f>IF($F504="","",IF($F504&gt;0,ROUND($F504,2),""))</f>
        <v/>
      </c>
      <c r="H504" s="12">
        <f>IF(OR($B504="",$C504="",$G504=""),"",COUNTIFS(Ventes_Encaissements!$E$6:$E$3005,$B504,Ventes_Encaissements!$J$6:$J$3005,$G504,Ventes_Encaissements!$C$6:$C$3005,"&gt;="&amp;($C504-3),Ventes_Encaissements!$C$6:$C$3005,"&lt;="&amp;($C504+3)))</f>
        <v/>
      </c>
      <c r="I504" s="12">
        <f>IF($H504="","",IF($H504=0,"Non trouvé",IF($H504=1,"Match","À vérifier")))</f>
        <v/>
      </c>
      <c r="J504" s="21">
        <f>IF($I504&lt;&gt;"Match","",INDEX(Ventes_Encaissements!$B$6:$B$3005,_xludf.AGGREGATE(15,6,(ROW(Ventes_Encaissements!$B$6:$B$3005)-ROW(Ventes_Encaissements!$B$6)+1)/((Ventes_Encaissements!$E$6:$E$3005=$B504)*(Ventes_Encaissements!$J$6:$J$3005=$G504)*(Ventes_Encaissements!$C$6:$C$3005&gt;=$C504-3)*(Ventes_Encaissements!$C$6:$C$3005&lt;=$C504+3)),1)))</f>
        <v/>
      </c>
      <c r="K504" s="6" t="n"/>
    </row>
    <row r="505">
      <c r="A505" s="6" t="n"/>
      <c r="B505" s="6" t="n"/>
      <c r="C505" s="19" t="n"/>
      <c r="D505" s="19" t="n"/>
      <c r="E505" s="6" t="n"/>
      <c r="F505" s="20" t="n"/>
      <c r="G505" s="9">
        <f>IF($F505="","",IF($F505&gt;0,ROUND($F505,2),""))</f>
        <v/>
      </c>
      <c r="H505" s="12">
        <f>IF(OR($B505="",$C505="",$G505=""),"",COUNTIFS(Ventes_Encaissements!$E$6:$E$3005,$B505,Ventes_Encaissements!$J$6:$J$3005,$G505,Ventes_Encaissements!$C$6:$C$3005,"&gt;="&amp;($C505-3),Ventes_Encaissements!$C$6:$C$3005,"&lt;="&amp;($C505+3)))</f>
        <v/>
      </c>
      <c r="I505" s="12">
        <f>IF($H505="","",IF($H505=0,"Non trouvé",IF($H505=1,"Match","À vérifier")))</f>
        <v/>
      </c>
      <c r="J505" s="21">
        <f>IF($I505&lt;&gt;"Match","",INDEX(Ventes_Encaissements!$B$6:$B$3005,_xludf.AGGREGATE(15,6,(ROW(Ventes_Encaissements!$B$6:$B$3005)-ROW(Ventes_Encaissements!$B$6)+1)/((Ventes_Encaissements!$E$6:$E$3005=$B505)*(Ventes_Encaissements!$J$6:$J$3005=$G505)*(Ventes_Encaissements!$C$6:$C$3005&gt;=$C505-3)*(Ventes_Encaissements!$C$6:$C$3005&lt;=$C505+3)),1)))</f>
        <v/>
      </c>
      <c r="K505" s="6" t="n"/>
    </row>
    <row r="506">
      <c r="A506" s="6" t="n"/>
      <c r="B506" s="6" t="n"/>
      <c r="C506" s="19" t="n"/>
      <c r="D506" s="19" t="n"/>
      <c r="E506" s="6" t="n"/>
      <c r="F506" s="20" t="n"/>
      <c r="G506" s="9">
        <f>IF($F506="","",IF($F506&gt;0,ROUND($F506,2),""))</f>
        <v/>
      </c>
      <c r="H506" s="12">
        <f>IF(OR($B506="",$C506="",$G506=""),"",COUNTIFS(Ventes_Encaissements!$E$6:$E$3005,$B506,Ventes_Encaissements!$J$6:$J$3005,$G506,Ventes_Encaissements!$C$6:$C$3005,"&gt;="&amp;($C506-3),Ventes_Encaissements!$C$6:$C$3005,"&lt;="&amp;($C506+3)))</f>
        <v/>
      </c>
      <c r="I506" s="12">
        <f>IF($H506="","",IF($H506=0,"Non trouvé",IF($H506=1,"Match","À vérifier")))</f>
        <v/>
      </c>
      <c r="J506" s="21">
        <f>IF($I506&lt;&gt;"Match","",INDEX(Ventes_Encaissements!$B$6:$B$3005,_xludf.AGGREGATE(15,6,(ROW(Ventes_Encaissements!$B$6:$B$3005)-ROW(Ventes_Encaissements!$B$6)+1)/((Ventes_Encaissements!$E$6:$E$3005=$B506)*(Ventes_Encaissements!$J$6:$J$3005=$G506)*(Ventes_Encaissements!$C$6:$C$3005&gt;=$C506-3)*(Ventes_Encaissements!$C$6:$C$3005&lt;=$C506+3)),1)))</f>
        <v/>
      </c>
      <c r="K506" s="6" t="n"/>
    </row>
    <row r="507">
      <c r="A507" s="6" t="n"/>
      <c r="B507" s="6" t="n"/>
      <c r="C507" s="19" t="n"/>
      <c r="D507" s="19" t="n"/>
      <c r="E507" s="6" t="n"/>
      <c r="F507" s="20" t="n"/>
      <c r="G507" s="9">
        <f>IF($F507="","",IF($F507&gt;0,ROUND($F507,2),""))</f>
        <v/>
      </c>
      <c r="H507" s="12">
        <f>IF(OR($B507="",$C507="",$G507=""),"",COUNTIFS(Ventes_Encaissements!$E$6:$E$3005,$B507,Ventes_Encaissements!$J$6:$J$3005,$G507,Ventes_Encaissements!$C$6:$C$3005,"&gt;="&amp;($C507-3),Ventes_Encaissements!$C$6:$C$3005,"&lt;="&amp;($C507+3)))</f>
        <v/>
      </c>
      <c r="I507" s="12">
        <f>IF($H507="","",IF($H507=0,"Non trouvé",IF($H507=1,"Match","À vérifier")))</f>
        <v/>
      </c>
      <c r="J507" s="21">
        <f>IF($I507&lt;&gt;"Match","",INDEX(Ventes_Encaissements!$B$6:$B$3005,_xludf.AGGREGATE(15,6,(ROW(Ventes_Encaissements!$B$6:$B$3005)-ROW(Ventes_Encaissements!$B$6)+1)/((Ventes_Encaissements!$E$6:$E$3005=$B507)*(Ventes_Encaissements!$J$6:$J$3005=$G507)*(Ventes_Encaissements!$C$6:$C$3005&gt;=$C507-3)*(Ventes_Encaissements!$C$6:$C$3005&lt;=$C507+3)),1)))</f>
        <v/>
      </c>
      <c r="K507" s="6" t="n"/>
    </row>
    <row r="508">
      <c r="A508" s="6" t="n"/>
      <c r="B508" s="6" t="n"/>
      <c r="C508" s="19" t="n"/>
      <c r="D508" s="19" t="n"/>
      <c r="E508" s="6" t="n"/>
      <c r="F508" s="20" t="n"/>
      <c r="G508" s="9">
        <f>IF($F508="","",IF($F508&gt;0,ROUND($F508,2),""))</f>
        <v/>
      </c>
      <c r="H508" s="12">
        <f>IF(OR($B508="",$C508="",$G508=""),"",COUNTIFS(Ventes_Encaissements!$E$6:$E$3005,$B508,Ventes_Encaissements!$J$6:$J$3005,$G508,Ventes_Encaissements!$C$6:$C$3005,"&gt;="&amp;($C508-3),Ventes_Encaissements!$C$6:$C$3005,"&lt;="&amp;($C508+3)))</f>
        <v/>
      </c>
      <c r="I508" s="12">
        <f>IF($H508="","",IF($H508=0,"Non trouvé",IF($H508=1,"Match","À vérifier")))</f>
        <v/>
      </c>
      <c r="J508" s="21">
        <f>IF($I508&lt;&gt;"Match","",INDEX(Ventes_Encaissements!$B$6:$B$3005,_xludf.AGGREGATE(15,6,(ROW(Ventes_Encaissements!$B$6:$B$3005)-ROW(Ventes_Encaissements!$B$6)+1)/((Ventes_Encaissements!$E$6:$E$3005=$B508)*(Ventes_Encaissements!$J$6:$J$3005=$G508)*(Ventes_Encaissements!$C$6:$C$3005&gt;=$C508-3)*(Ventes_Encaissements!$C$6:$C$3005&lt;=$C508+3)),1)))</f>
        <v/>
      </c>
      <c r="K508" s="6" t="n"/>
    </row>
    <row r="509">
      <c r="A509" s="6" t="n"/>
      <c r="B509" s="6" t="n"/>
      <c r="C509" s="19" t="n"/>
      <c r="D509" s="19" t="n"/>
      <c r="E509" s="6" t="n"/>
      <c r="F509" s="20" t="n"/>
      <c r="G509" s="9">
        <f>IF($F509="","",IF($F509&gt;0,ROUND($F509,2),""))</f>
        <v/>
      </c>
      <c r="H509" s="12">
        <f>IF(OR($B509="",$C509="",$G509=""),"",COUNTIFS(Ventes_Encaissements!$E$6:$E$3005,$B509,Ventes_Encaissements!$J$6:$J$3005,$G509,Ventes_Encaissements!$C$6:$C$3005,"&gt;="&amp;($C509-3),Ventes_Encaissements!$C$6:$C$3005,"&lt;="&amp;($C509+3)))</f>
        <v/>
      </c>
      <c r="I509" s="12">
        <f>IF($H509="","",IF($H509=0,"Non trouvé",IF($H509=1,"Match","À vérifier")))</f>
        <v/>
      </c>
      <c r="J509" s="21">
        <f>IF($I509&lt;&gt;"Match","",INDEX(Ventes_Encaissements!$B$6:$B$3005,_xludf.AGGREGATE(15,6,(ROW(Ventes_Encaissements!$B$6:$B$3005)-ROW(Ventes_Encaissements!$B$6)+1)/((Ventes_Encaissements!$E$6:$E$3005=$B509)*(Ventes_Encaissements!$J$6:$J$3005=$G509)*(Ventes_Encaissements!$C$6:$C$3005&gt;=$C509-3)*(Ventes_Encaissements!$C$6:$C$3005&lt;=$C509+3)),1)))</f>
        <v/>
      </c>
      <c r="K509" s="6" t="n"/>
    </row>
    <row r="510">
      <c r="A510" s="6" t="n"/>
      <c r="B510" s="6" t="n"/>
      <c r="C510" s="19" t="n"/>
      <c r="D510" s="19" t="n"/>
      <c r="E510" s="6" t="n"/>
      <c r="F510" s="20" t="n"/>
      <c r="G510" s="9">
        <f>IF($F510="","",IF($F510&gt;0,ROUND($F510,2),""))</f>
        <v/>
      </c>
      <c r="H510" s="12">
        <f>IF(OR($B510="",$C510="",$G510=""),"",COUNTIFS(Ventes_Encaissements!$E$6:$E$3005,$B510,Ventes_Encaissements!$J$6:$J$3005,$G510,Ventes_Encaissements!$C$6:$C$3005,"&gt;="&amp;($C510-3),Ventes_Encaissements!$C$6:$C$3005,"&lt;="&amp;($C510+3)))</f>
        <v/>
      </c>
      <c r="I510" s="12">
        <f>IF($H510="","",IF($H510=0,"Non trouvé",IF($H510=1,"Match","À vérifier")))</f>
        <v/>
      </c>
      <c r="J510" s="21">
        <f>IF($I510&lt;&gt;"Match","",INDEX(Ventes_Encaissements!$B$6:$B$3005,_xludf.AGGREGATE(15,6,(ROW(Ventes_Encaissements!$B$6:$B$3005)-ROW(Ventes_Encaissements!$B$6)+1)/((Ventes_Encaissements!$E$6:$E$3005=$B510)*(Ventes_Encaissements!$J$6:$J$3005=$G510)*(Ventes_Encaissements!$C$6:$C$3005&gt;=$C510-3)*(Ventes_Encaissements!$C$6:$C$3005&lt;=$C510+3)),1)))</f>
        <v/>
      </c>
      <c r="K510" s="6" t="n"/>
    </row>
    <row r="511">
      <c r="A511" s="6" t="n"/>
      <c r="B511" s="6" t="n"/>
      <c r="C511" s="19" t="n"/>
      <c r="D511" s="19" t="n"/>
      <c r="E511" s="6" t="n"/>
      <c r="F511" s="20" t="n"/>
      <c r="G511" s="9">
        <f>IF($F511="","",IF($F511&gt;0,ROUND($F511,2),""))</f>
        <v/>
      </c>
      <c r="H511" s="12">
        <f>IF(OR($B511="",$C511="",$G511=""),"",COUNTIFS(Ventes_Encaissements!$E$6:$E$3005,$B511,Ventes_Encaissements!$J$6:$J$3005,$G511,Ventes_Encaissements!$C$6:$C$3005,"&gt;="&amp;($C511-3),Ventes_Encaissements!$C$6:$C$3005,"&lt;="&amp;($C511+3)))</f>
        <v/>
      </c>
      <c r="I511" s="12">
        <f>IF($H511="","",IF($H511=0,"Non trouvé",IF($H511=1,"Match","À vérifier")))</f>
        <v/>
      </c>
      <c r="J511" s="21">
        <f>IF($I511&lt;&gt;"Match","",INDEX(Ventes_Encaissements!$B$6:$B$3005,_xludf.AGGREGATE(15,6,(ROW(Ventes_Encaissements!$B$6:$B$3005)-ROW(Ventes_Encaissements!$B$6)+1)/((Ventes_Encaissements!$E$6:$E$3005=$B511)*(Ventes_Encaissements!$J$6:$J$3005=$G511)*(Ventes_Encaissements!$C$6:$C$3005&gt;=$C511-3)*(Ventes_Encaissements!$C$6:$C$3005&lt;=$C511+3)),1)))</f>
        <v/>
      </c>
      <c r="K511" s="6" t="n"/>
    </row>
    <row r="512">
      <c r="A512" s="6" t="n"/>
      <c r="B512" s="6" t="n"/>
      <c r="C512" s="19" t="n"/>
      <c r="D512" s="19" t="n"/>
      <c r="E512" s="6" t="n"/>
      <c r="F512" s="20" t="n"/>
      <c r="G512" s="9">
        <f>IF($F512="","",IF($F512&gt;0,ROUND($F512,2),""))</f>
        <v/>
      </c>
      <c r="H512" s="12">
        <f>IF(OR($B512="",$C512="",$G512=""),"",COUNTIFS(Ventes_Encaissements!$E$6:$E$3005,$B512,Ventes_Encaissements!$J$6:$J$3005,$G512,Ventes_Encaissements!$C$6:$C$3005,"&gt;="&amp;($C512-3),Ventes_Encaissements!$C$6:$C$3005,"&lt;="&amp;($C512+3)))</f>
        <v/>
      </c>
      <c r="I512" s="12">
        <f>IF($H512="","",IF($H512=0,"Non trouvé",IF($H512=1,"Match","À vérifier")))</f>
        <v/>
      </c>
      <c r="J512" s="21">
        <f>IF($I512&lt;&gt;"Match","",INDEX(Ventes_Encaissements!$B$6:$B$3005,_xludf.AGGREGATE(15,6,(ROW(Ventes_Encaissements!$B$6:$B$3005)-ROW(Ventes_Encaissements!$B$6)+1)/((Ventes_Encaissements!$E$6:$E$3005=$B512)*(Ventes_Encaissements!$J$6:$J$3005=$G512)*(Ventes_Encaissements!$C$6:$C$3005&gt;=$C512-3)*(Ventes_Encaissements!$C$6:$C$3005&lt;=$C512+3)),1)))</f>
        <v/>
      </c>
      <c r="K512" s="6" t="n"/>
    </row>
    <row r="513">
      <c r="A513" s="6" t="n"/>
      <c r="B513" s="6" t="n"/>
      <c r="C513" s="19" t="n"/>
      <c r="D513" s="19" t="n"/>
      <c r="E513" s="6" t="n"/>
      <c r="F513" s="20" t="n"/>
      <c r="G513" s="9">
        <f>IF($F513="","",IF($F513&gt;0,ROUND($F513,2),""))</f>
        <v/>
      </c>
      <c r="H513" s="12">
        <f>IF(OR($B513="",$C513="",$G513=""),"",COUNTIFS(Ventes_Encaissements!$E$6:$E$3005,$B513,Ventes_Encaissements!$J$6:$J$3005,$G513,Ventes_Encaissements!$C$6:$C$3005,"&gt;="&amp;($C513-3),Ventes_Encaissements!$C$6:$C$3005,"&lt;="&amp;($C513+3)))</f>
        <v/>
      </c>
      <c r="I513" s="12">
        <f>IF($H513="","",IF($H513=0,"Non trouvé",IF($H513=1,"Match","À vérifier")))</f>
        <v/>
      </c>
      <c r="J513" s="21">
        <f>IF($I513&lt;&gt;"Match","",INDEX(Ventes_Encaissements!$B$6:$B$3005,_xludf.AGGREGATE(15,6,(ROW(Ventes_Encaissements!$B$6:$B$3005)-ROW(Ventes_Encaissements!$B$6)+1)/((Ventes_Encaissements!$E$6:$E$3005=$B513)*(Ventes_Encaissements!$J$6:$J$3005=$G513)*(Ventes_Encaissements!$C$6:$C$3005&gt;=$C513-3)*(Ventes_Encaissements!$C$6:$C$3005&lt;=$C513+3)),1)))</f>
        <v/>
      </c>
      <c r="K513" s="6" t="n"/>
    </row>
    <row r="514">
      <c r="A514" s="6" t="n"/>
      <c r="B514" s="6" t="n"/>
      <c r="C514" s="19" t="n"/>
      <c r="D514" s="19" t="n"/>
      <c r="E514" s="6" t="n"/>
      <c r="F514" s="20" t="n"/>
      <c r="G514" s="9">
        <f>IF($F514="","",IF($F514&gt;0,ROUND($F514,2),""))</f>
        <v/>
      </c>
      <c r="H514" s="12">
        <f>IF(OR($B514="",$C514="",$G514=""),"",COUNTIFS(Ventes_Encaissements!$E$6:$E$3005,$B514,Ventes_Encaissements!$J$6:$J$3005,$G514,Ventes_Encaissements!$C$6:$C$3005,"&gt;="&amp;($C514-3),Ventes_Encaissements!$C$6:$C$3005,"&lt;="&amp;($C514+3)))</f>
        <v/>
      </c>
      <c r="I514" s="12">
        <f>IF($H514="","",IF($H514=0,"Non trouvé",IF($H514=1,"Match","À vérifier")))</f>
        <v/>
      </c>
      <c r="J514" s="21">
        <f>IF($I514&lt;&gt;"Match","",INDEX(Ventes_Encaissements!$B$6:$B$3005,_xludf.AGGREGATE(15,6,(ROW(Ventes_Encaissements!$B$6:$B$3005)-ROW(Ventes_Encaissements!$B$6)+1)/((Ventes_Encaissements!$E$6:$E$3005=$B514)*(Ventes_Encaissements!$J$6:$J$3005=$G514)*(Ventes_Encaissements!$C$6:$C$3005&gt;=$C514-3)*(Ventes_Encaissements!$C$6:$C$3005&lt;=$C514+3)),1)))</f>
        <v/>
      </c>
      <c r="K514" s="6" t="n"/>
    </row>
    <row r="515">
      <c r="A515" s="6" t="n"/>
      <c r="B515" s="6" t="n"/>
      <c r="C515" s="19" t="n"/>
      <c r="D515" s="19" t="n"/>
      <c r="E515" s="6" t="n"/>
      <c r="F515" s="20" t="n"/>
      <c r="G515" s="9">
        <f>IF($F515="","",IF($F515&gt;0,ROUND($F515,2),""))</f>
        <v/>
      </c>
      <c r="H515" s="12">
        <f>IF(OR($B515="",$C515="",$G515=""),"",COUNTIFS(Ventes_Encaissements!$E$6:$E$3005,$B515,Ventes_Encaissements!$J$6:$J$3005,$G515,Ventes_Encaissements!$C$6:$C$3005,"&gt;="&amp;($C515-3),Ventes_Encaissements!$C$6:$C$3005,"&lt;="&amp;($C515+3)))</f>
        <v/>
      </c>
      <c r="I515" s="12">
        <f>IF($H515="","",IF($H515=0,"Non trouvé",IF($H515=1,"Match","À vérifier")))</f>
        <v/>
      </c>
      <c r="J515" s="21">
        <f>IF($I515&lt;&gt;"Match","",INDEX(Ventes_Encaissements!$B$6:$B$3005,_xludf.AGGREGATE(15,6,(ROW(Ventes_Encaissements!$B$6:$B$3005)-ROW(Ventes_Encaissements!$B$6)+1)/((Ventes_Encaissements!$E$6:$E$3005=$B515)*(Ventes_Encaissements!$J$6:$J$3005=$G515)*(Ventes_Encaissements!$C$6:$C$3005&gt;=$C515-3)*(Ventes_Encaissements!$C$6:$C$3005&lt;=$C515+3)),1)))</f>
        <v/>
      </c>
      <c r="K515" s="6" t="n"/>
    </row>
    <row r="516">
      <c r="A516" s="6" t="n"/>
      <c r="B516" s="6" t="n"/>
      <c r="C516" s="19" t="n"/>
      <c r="D516" s="19" t="n"/>
      <c r="E516" s="6" t="n"/>
      <c r="F516" s="20" t="n"/>
      <c r="G516" s="9">
        <f>IF($F516="","",IF($F516&gt;0,ROUND($F516,2),""))</f>
        <v/>
      </c>
      <c r="H516" s="12">
        <f>IF(OR($B516="",$C516="",$G516=""),"",COUNTIFS(Ventes_Encaissements!$E$6:$E$3005,$B516,Ventes_Encaissements!$J$6:$J$3005,$G516,Ventes_Encaissements!$C$6:$C$3005,"&gt;="&amp;($C516-3),Ventes_Encaissements!$C$6:$C$3005,"&lt;="&amp;($C516+3)))</f>
        <v/>
      </c>
      <c r="I516" s="12">
        <f>IF($H516="","",IF($H516=0,"Non trouvé",IF($H516=1,"Match","À vérifier")))</f>
        <v/>
      </c>
      <c r="J516" s="21">
        <f>IF($I516&lt;&gt;"Match","",INDEX(Ventes_Encaissements!$B$6:$B$3005,_xludf.AGGREGATE(15,6,(ROW(Ventes_Encaissements!$B$6:$B$3005)-ROW(Ventes_Encaissements!$B$6)+1)/((Ventes_Encaissements!$E$6:$E$3005=$B516)*(Ventes_Encaissements!$J$6:$J$3005=$G516)*(Ventes_Encaissements!$C$6:$C$3005&gt;=$C516-3)*(Ventes_Encaissements!$C$6:$C$3005&lt;=$C516+3)),1)))</f>
        <v/>
      </c>
      <c r="K516" s="6" t="n"/>
    </row>
    <row r="517">
      <c r="A517" s="6" t="n"/>
      <c r="B517" s="6" t="n"/>
      <c r="C517" s="19" t="n"/>
      <c r="D517" s="19" t="n"/>
      <c r="E517" s="6" t="n"/>
      <c r="F517" s="20" t="n"/>
      <c r="G517" s="9">
        <f>IF($F517="","",IF($F517&gt;0,ROUND($F517,2),""))</f>
        <v/>
      </c>
      <c r="H517" s="12">
        <f>IF(OR($B517="",$C517="",$G517=""),"",COUNTIFS(Ventes_Encaissements!$E$6:$E$3005,$B517,Ventes_Encaissements!$J$6:$J$3005,$G517,Ventes_Encaissements!$C$6:$C$3005,"&gt;="&amp;($C517-3),Ventes_Encaissements!$C$6:$C$3005,"&lt;="&amp;($C517+3)))</f>
        <v/>
      </c>
      <c r="I517" s="12">
        <f>IF($H517="","",IF($H517=0,"Non trouvé",IF($H517=1,"Match","À vérifier")))</f>
        <v/>
      </c>
      <c r="J517" s="21">
        <f>IF($I517&lt;&gt;"Match","",INDEX(Ventes_Encaissements!$B$6:$B$3005,_xludf.AGGREGATE(15,6,(ROW(Ventes_Encaissements!$B$6:$B$3005)-ROW(Ventes_Encaissements!$B$6)+1)/((Ventes_Encaissements!$E$6:$E$3005=$B517)*(Ventes_Encaissements!$J$6:$J$3005=$G517)*(Ventes_Encaissements!$C$6:$C$3005&gt;=$C517-3)*(Ventes_Encaissements!$C$6:$C$3005&lt;=$C517+3)),1)))</f>
        <v/>
      </c>
      <c r="K517" s="6" t="n"/>
    </row>
    <row r="518">
      <c r="A518" s="6" t="n"/>
      <c r="B518" s="6" t="n"/>
      <c r="C518" s="19" t="n"/>
      <c r="D518" s="19" t="n"/>
      <c r="E518" s="6" t="n"/>
      <c r="F518" s="20" t="n"/>
      <c r="G518" s="9">
        <f>IF($F518="","",IF($F518&gt;0,ROUND($F518,2),""))</f>
        <v/>
      </c>
      <c r="H518" s="12">
        <f>IF(OR($B518="",$C518="",$G518=""),"",COUNTIFS(Ventes_Encaissements!$E$6:$E$3005,$B518,Ventes_Encaissements!$J$6:$J$3005,$G518,Ventes_Encaissements!$C$6:$C$3005,"&gt;="&amp;($C518-3),Ventes_Encaissements!$C$6:$C$3005,"&lt;="&amp;($C518+3)))</f>
        <v/>
      </c>
      <c r="I518" s="12">
        <f>IF($H518="","",IF($H518=0,"Non trouvé",IF($H518=1,"Match","À vérifier")))</f>
        <v/>
      </c>
      <c r="J518" s="21">
        <f>IF($I518&lt;&gt;"Match","",INDEX(Ventes_Encaissements!$B$6:$B$3005,_xludf.AGGREGATE(15,6,(ROW(Ventes_Encaissements!$B$6:$B$3005)-ROW(Ventes_Encaissements!$B$6)+1)/((Ventes_Encaissements!$E$6:$E$3005=$B518)*(Ventes_Encaissements!$J$6:$J$3005=$G518)*(Ventes_Encaissements!$C$6:$C$3005&gt;=$C518-3)*(Ventes_Encaissements!$C$6:$C$3005&lt;=$C518+3)),1)))</f>
        <v/>
      </c>
      <c r="K518" s="6" t="n"/>
    </row>
    <row r="519">
      <c r="A519" s="6" t="n"/>
      <c r="B519" s="6" t="n"/>
      <c r="C519" s="19" t="n"/>
      <c r="D519" s="19" t="n"/>
      <c r="E519" s="6" t="n"/>
      <c r="F519" s="20" t="n"/>
      <c r="G519" s="9">
        <f>IF($F519="","",IF($F519&gt;0,ROUND($F519,2),""))</f>
        <v/>
      </c>
      <c r="H519" s="12">
        <f>IF(OR($B519="",$C519="",$G519=""),"",COUNTIFS(Ventes_Encaissements!$E$6:$E$3005,$B519,Ventes_Encaissements!$J$6:$J$3005,$G519,Ventes_Encaissements!$C$6:$C$3005,"&gt;="&amp;($C519-3),Ventes_Encaissements!$C$6:$C$3005,"&lt;="&amp;($C519+3)))</f>
        <v/>
      </c>
      <c r="I519" s="12">
        <f>IF($H519="","",IF($H519=0,"Non trouvé",IF($H519=1,"Match","À vérifier")))</f>
        <v/>
      </c>
      <c r="J519" s="21">
        <f>IF($I519&lt;&gt;"Match","",INDEX(Ventes_Encaissements!$B$6:$B$3005,_xludf.AGGREGATE(15,6,(ROW(Ventes_Encaissements!$B$6:$B$3005)-ROW(Ventes_Encaissements!$B$6)+1)/((Ventes_Encaissements!$E$6:$E$3005=$B519)*(Ventes_Encaissements!$J$6:$J$3005=$G519)*(Ventes_Encaissements!$C$6:$C$3005&gt;=$C519-3)*(Ventes_Encaissements!$C$6:$C$3005&lt;=$C519+3)),1)))</f>
        <v/>
      </c>
      <c r="K519" s="6" t="n"/>
    </row>
    <row r="520">
      <c r="A520" s="6" t="n"/>
      <c r="B520" s="6" t="n"/>
      <c r="C520" s="19" t="n"/>
      <c r="D520" s="19" t="n"/>
      <c r="E520" s="6" t="n"/>
      <c r="F520" s="20" t="n"/>
      <c r="G520" s="9">
        <f>IF($F520="","",IF($F520&gt;0,ROUND($F520,2),""))</f>
        <v/>
      </c>
      <c r="H520" s="12">
        <f>IF(OR($B520="",$C520="",$G520=""),"",COUNTIFS(Ventes_Encaissements!$E$6:$E$3005,$B520,Ventes_Encaissements!$J$6:$J$3005,$G520,Ventes_Encaissements!$C$6:$C$3005,"&gt;="&amp;($C520-3),Ventes_Encaissements!$C$6:$C$3005,"&lt;="&amp;($C520+3)))</f>
        <v/>
      </c>
      <c r="I520" s="12">
        <f>IF($H520="","",IF($H520=0,"Non trouvé",IF($H520=1,"Match","À vérifier")))</f>
        <v/>
      </c>
      <c r="J520" s="21">
        <f>IF($I520&lt;&gt;"Match","",INDEX(Ventes_Encaissements!$B$6:$B$3005,_xludf.AGGREGATE(15,6,(ROW(Ventes_Encaissements!$B$6:$B$3005)-ROW(Ventes_Encaissements!$B$6)+1)/((Ventes_Encaissements!$E$6:$E$3005=$B520)*(Ventes_Encaissements!$J$6:$J$3005=$G520)*(Ventes_Encaissements!$C$6:$C$3005&gt;=$C520-3)*(Ventes_Encaissements!$C$6:$C$3005&lt;=$C520+3)),1)))</f>
        <v/>
      </c>
      <c r="K520" s="6" t="n"/>
    </row>
    <row r="521">
      <c r="A521" s="6" t="n"/>
      <c r="B521" s="6" t="n"/>
      <c r="C521" s="19" t="n"/>
      <c r="D521" s="19" t="n"/>
      <c r="E521" s="6" t="n"/>
      <c r="F521" s="20" t="n"/>
      <c r="G521" s="9">
        <f>IF($F521="","",IF($F521&gt;0,ROUND($F521,2),""))</f>
        <v/>
      </c>
      <c r="H521" s="12">
        <f>IF(OR($B521="",$C521="",$G521=""),"",COUNTIFS(Ventes_Encaissements!$E$6:$E$3005,$B521,Ventes_Encaissements!$J$6:$J$3005,$G521,Ventes_Encaissements!$C$6:$C$3005,"&gt;="&amp;($C521-3),Ventes_Encaissements!$C$6:$C$3005,"&lt;="&amp;($C521+3)))</f>
        <v/>
      </c>
      <c r="I521" s="12">
        <f>IF($H521="","",IF($H521=0,"Non trouvé",IF($H521=1,"Match","À vérifier")))</f>
        <v/>
      </c>
      <c r="J521" s="21">
        <f>IF($I521&lt;&gt;"Match","",INDEX(Ventes_Encaissements!$B$6:$B$3005,_xludf.AGGREGATE(15,6,(ROW(Ventes_Encaissements!$B$6:$B$3005)-ROW(Ventes_Encaissements!$B$6)+1)/((Ventes_Encaissements!$E$6:$E$3005=$B521)*(Ventes_Encaissements!$J$6:$J$3005=$G521)*(Ventes_Encaissements!$C$6:$C$3005&gt;=$C521-3)*(Ventes_Encaissements!$C$6:$C$3005&lt;=$C521+3)),1)))</f>
        <v/>
      </c>
      <c r="K521" s="6" t="n"/>
    </row>
    <row r="522">
      <c r="A522" s="6" t="n"/>
      <c r="B522" s="6" t="n"/>
      <c r="C522" s="19" t="n"/>
      <c r="D522" s="19" t="n"/>
      <c r="E522" s="6" t="n"/>
      <c r="F522" s="20" t="n"/>
      <c r="G522" s="9">
        <f>IF($F522="","",IF($F522&gt;0,ROUND($F522,2),""))</f>
        <v/>
      </c>
      <c r="H522" s="12">
        <f>IF(OR($B522="",$C522="",$G522=""),"",COUNTIFS(Ventes_Encaissements!$E$6:$E$3005,$B522,Ventes_Encaissements!$J$6:$J$3005,$G522,Ventes_Encaissements!$C$6:$C$3005,"&gt;="&amp;($C522-3),Ventes_Encaissements!$C$6:$C$3005,"&lt;="&amp;($C522+3)))</f>
        <v/>
      </c>
      <c r="I522" s="12">
        <f>IF($H522="","",IF($H522=0,"Non trouvé",IF($H522=1,"Match","À vérifier")))</f>
        <v/>
      </c>
      <c r="J522" s="21">
        <f>IF($I522&lt;&gt;"Match","",INDEX(Ventes_Encaissements!$B$6:$B$3005,_xludf.AGGREGATE(15,6,(ROW(Ventes_Encaissements!$B$6:$B$3005)-ROW(Ventes_Encaissements!$B$6)+1)/((Ventes_Encaissements!$E$6:$E$3005=$B522)*(Ventes_Encaissements!$J$6:$J$3005=$G522)*(Ventes_Encaissements!$C$6:$C$3005&gt;=$C522-3)*(Ventes_Encaissements!$C$6:$C$3005&lt;=$C522+3)),1)))</f>
        <v/>
      </c>
      <c r="K522" s="6" t="n"/>
    </row>
    <row r="523">
      <c r="A523" s="6" t="n"/>
      <c r="B523" s="6" t="n"/>
      <c r="C523" s="19" t="n"/>
      <c r="D523" s="19" t="n"/>
      <c r="E523" s="6" t="n"/>
      <c r="F523" s="20" t="n"/>
      <c r="G523" s="9">
        <f>IF($F523="","",IF($F523&gt;0,ROUND($F523,2),""))</f>
        <v/>
      </c>
      <c r="H523" s="12">
        <f>IF(OR($B523="",$C523="",$G523=""),"",COUNTIFS(Ventes_Encaissements!$E$6:$E$3005,$B523,Ventes_Encaissements!$J$6:$J$3005,$G523,Ventes_Encaissements!$C$6:$C$3005,"&gt;="&amp;($C523-3),Ventes_Encaissements!$C$6:$C$3005,"&lt;="&amp;($C523+3)))</f>
        <v/>
      </c>
      <c r="I523" s="12">
        <f>IF($H523="","",IF($H523=0,"Non trouvé",IF($H523=1,"Match","À vérifier")))</f>
        <v/>
      </c>
      <c r="J523" s="21">
        <f>IF($I523&lt;&gt;"Match","",INDEX(Ventes_Encaissements!$B$6:$B$3005,_xludf.AGGREGATE(15,6,(ROW(Ventes_Encaissements!$B$6:$B$3005)-ROW(Ventes_Encaissements!$B$6)+1)/((Ventes_Encaissements!$E$6:$E$3005=$B523)*(Ventes_Encaissements!$J$6:$J$3005=$G523)*(Ventes_Encaissements!$C$6:$C$3005&gt;=$C523-3)*(Ventes_Encaissements!$C$6:$C$3005&lt;=$C523+3)),1)))</f>
        <v/>
      </c>
      <c r="K523" s="6" t="n"/>
    </row>
    <row r="524">
      <c r="A524" s="6" t="n"/>
      <c r="B524" s="6" t="n"/>
      <c r="C524" s="19" t="n"/>
      <c r="D524" s="19" t="n"/>
      <c r="E524" s="6" t="n"/>
      <c r="F524" s="20" t="n"/>
      <c r="G524" s="9">
        <f>IF($F524="","",IF($F524&gt;0,ROUND($F524,2),""))</f>
        <v/>
      </c>
      <c r="H524" s="12">
        <f>IF(OR($B524="",$C524="",$G524=""),"",COUNTIFS(Ventes_Encaissements!$E$6:$E$3005,$B524,Ventes_Encaissements!$J$6:$J$3005,$G524,Ventes_Encaissements!$C$6:$C$3005,"&gt;="&amp;($C524-3),Ventes_Encaissements!$C$6:$C$3005,"&lt;="&amp;($C524+3)))</f>
        <v/>
      </c>
      <c r="I524" s="12">
        <f>IF($H524="","",IF($H524=0,"Non trouvé",IF($H524=1,"Match","À vérifier")))</f>
        <v/>
      </c>
      <c r="J524" s="21">
        <f>IF($I524&lt;&gt;"Match","",INDEX(Ventes_Encaissements!$B$6:$B$3005,_xludf.AGGREGATE(15,6,(ROW(Ventes_Encaissements!$B$6:$B$3005)-ROW(Ventes_Encaissements!$B$6)+1)/((Ventes_Encaissements!$E$6:$E$3005=$B524)*(Ventes_Encaissements!$J$6:$J$3005=$G524)*(Ventes_Encaissements!$C$6:$C$3005&gt;=$C524-3)*(Ventes_Encaissements!$C$6:$C$3005&lt;=$C524+3)),1)))</f>
        <v/>
      </c>
      <c r="K524" s="6" t="n"/>
    </row>
    <row r="525">
      <c r="A525" s="6" t="n"/>
      <c r="B525" s="6" t="n"/>
      <c r="C525" s="19" t="n"/>
      <c r="D525" s="19" t="n"/>
      <c r="E525" s="6" t="n"/>
      <c r="F525" s="20" t="n"/>
      <c r="G525" s="9">
        <f>IF($F525="","",IF($F525&gt;0,ROUND($F525,2),""))</f>
        <v/>
      </c>
      <c r="H525" s="12">
        <f>IF(OR($B525="",$C525="",$G525=""),"",COUNTIFS(Ventes_Encaissements!$E$6:$E$3005,$B525,Ventes_Encaissements!$J$6:$J$3005,$G525,Ventes_Encaissements!$C$6:$C$3005,"&gt;="&amp;($C525-3),Ventes_Encaissements!$C$6:$C$3005,"&lt;="&amp;($C525+3)))</f>
        <v/>
      </c>
      <c r="I525" s="12">
        <f>IF($H525="","",IF($H525=0,"Non trouvé",IF($H525=1,"Match","À vérifier")))</f>
        <v/>
      </c>
      <c r="J525" s="21">
        <f>IF($I525&lt;&gt;"Match","",INDEX(Ventes_Encaissements!$B$6:$B$3005,_xludf.AGGREGATE(15,6,(ROW(Ventes_Encaissements!$B$6:$B$3005)-ROW(Ventes_Encaissements!$B$6)+1)/((Ventes_Encaissements!$E$6:$E$3005=$B525)*(Ventes_Encaissements!$J$6:$J$3005=$G525)*(Ventes_Encaissements!$C$6:$C$3005&gt;=$C525-3)*(Ventes_Encaissements!$C$6:$C$3005&lt;=$C525+3)),1)))</f>
        <v/>
      </c>
      <c r="K525" s="6" t="n"/>
    </row>
    <row r="526">
      <c r="A526" s="6" t="n"/>
      <c r="B526" s="6" t="n"/>
      <c r="C526" s="19" t="n"/>
      <c r="D526" s="19" t="n"/>
      <c r="E526" s="6" t="n"/>
      <c r="F526" s="20" t="n"/>
      <c r="G526" s="9">
        <f>IF($F526="","",IF($F526&gt;0,ROUND($F526,2),""))</f>
        <v/>
      </c>
      <c r="H526" s="12">
        <f>IF(OR($B526="",$C526="",$G526=""),"",COUNTIFS(Ventes_Encaissements!$E$6:$E$3005,$B526,Ventes_Encaissements!$J$6:$J$3005,$G526,Ventes_Encaissements!$C$6:$C$3005,"&gt;="&amp;($C526-3),Ventes_Encaissements!$C$6:$C$3005,"&lt;="&amp;($C526+3)))</f>
        <v/>
      </c>
      <c r="I526" s="12">
        <f>IF($H526="","",IF($H526=0,"Non trouvé",IF($H526=1,"Match","À vérifier")))</f>
        <v/>
      </c>
      <c r="J526" s="21">
        <f>IF($I526&lt;&gt;"Match","",INDEX(Ventes_Encaissements!$B$6:$B$3005,_xludf.AGGREGATE(15,6,(ROW(Ventes_Encaissements!$B$6:$B$3005)-ROW(Ventes_Encaissements!$B$6)+1)/((Ventes_Encaissements!$E$6:$E$3005=$B526)*(Ventes_Encaissements!$J$6:$J$3005=$G526)*(Ventes_Encaissements!$C$6:$C$3005&gt;=$C526-3)*(Ventes_Encaissements!$C$6:$C$3005&lt;=$C526+3)),1)))</f>
        <v/>
      </c>
      <c r="K526" s="6" t="n"/>
    </row>
    <row r="527">
      <c r="A527" s="6" t="n"/>
      <c r="B527" s="6" t="n"/>
      <c r="C527" s="19" t="n"/>
      <c r="D527" s="19" t="n"/>
      <c r="E527" s="6" t="n"/>
      <c r="F527" s="20" t="n"/>
      <c r="G527" s="9">
        <f>IF($F527="","",IF($F527&gt;0,ROUND($F527,2),""))</f>
        <v/>
      </c>
      <c r="H527" s="12">
        <f>IF(OR($B527="",$C527="",$G527=""),"",COUNTIFS(Ventes_Encaissements!$E$6:$E$3005,$B527,Ventes_Encaissements!$J$6:$J$3005,$G527,Ventes_Encaissements!$C$6:$C$3005,"&gt;="&amp;($C527-3),Ventes_Encaissements!$C$6:$C$3005,"&lt;="&amp;($C527+3)))</f>
        <v/>
      </c>
      <c r="I527" s="12">
        <f>IF($H527="","",IF($H527=0,"Non trouvé",IF($H527=1,"Match","À vérifier")))</f>
        <v/>
      </c>
      <c r="J527" s="21">
        <f>IF($I527&lt;&gt;"Match","",INDEX(Ventes_Encaissements!$B$6:$B$3005,_xludf.AGGREGATE(15,6,(ROW(Ventes_Encaissements!$B$6:$B$3005)-ROW(Ventes_Encaissements!$B$6)+1)/((Ventes_Encaissements!$E$6:$E$3005=$B527)*(Ventes_Encaissements!$J$6:$J$3005=$G527)*(Ventes_Encaissements!$C$6:$C$3005&gt;=$C527-3)*(Ventes_Encaissements!$C$6:$C$3005&lt;=$C527+3)),1)))</f>
        <v/>
      </c>
      <c r="K527" s="6" t="n"/>
    </row>
    <row r="528">
      <c r="A528" s="6" t="n"/>
      <c r="B528" s="6" t="n"/>
      <c r="C528" s="19" t="n"/>
      <c r="D528" s="19" t="n"/>
      <c r="E528" s="6" t="n"/>
      <c r="F528" s="20" t="n"/>
      <c r="G528" s="9">
        <f>IF($F528="","",IF($F528&gt;0,ROUND($F528,2),""))</f>
        <v/>
      </c>
      <c r="H528" s="12">
        <f>IF(OR($B528="",$C528="",$G528=""),"",COUNTIFS(Ventes_Encaissements!$E$6:$E$3005,$B528,Ventes_Encaissements!$J$6:$J$3005,$G528,Ventes_Encaissements!$C$6:$C$3005,"&gt;="&amp;($C528-3),Ventes_Encaissements!$C$6:$C$3005,"&lt;="&amp;($C528+3)))</f>
        <v/>
      </c>
      <c r="I528" s="12">
        <f>IF($H528="","",IF($H528=0,"Non trouvé",IF($H528=1,"Match","À vérifier")))</f>
        <v/>
      </c>
      <c r="J528" s="21">
        <f>IF($I528&lt;&gt;"Match","",INDEX(Ventes_Encaissements!$B$6:$B$3005,_xludf.AGGREGATE(15,6,(ROW(Ventes_Encaissements!$B$6:$B$3005)-ROW(Ventes_Encaissements!$B$6)+1)/((Ventes_Encaissements!$E$6:$E$3005=$B528)*(Ventes_Encaissements!$J$6:$J$3005=$G528)*(Ventes_Encaissements!$C$6:$C$3005&gt;=$C528-3)*(Ventes_Encaissements!$C$6:$C$3005&lt;=$C528+3)),1)))</f>
        <v/>
      </c>
      <c r="K528" s="6" t="n"/>
    </row>
    <row r="529">
      <c r="A529" s="6" t="n"/>
      <c r="B529" s="6" t="n"/>
      <c r="C529" s="19" t="n"/>
      <c r="D529" s="19" t="n"/>
      <c r="E529" s="6" t="n"/>
      <c r="F529" s="20" t="n"/>
      <c r="G529" s="9">
        <f>IF($F529="","",IF($F529&gt;0,ROUND($F529,2),""))</f>
        <v/>
      </c>
      <c r="H529" s="12">
        <f>IF(OR($B529="",$C529="",$G529=""),"",COUNTIFS(Ventes_Encaissements!$E$6:$E$3005,$B529,Ventes_Encaissements!$J$6:$J$3005,$G529,Ventes_Encaissements!$C$6:$C$3005,"&gt;="&amp;($C529-3),Ventes_Encaissements!$C$6:$C$3005,"&lt;="&amp;($C529+3)))</f>
        <v/>
      </c>
      <c r="I529" s="12">
        <f>IF($H529="","",IF($H529=0,"Non trouvé",IF($H529=1,"Match","À vérifier")))</f>
        <v/>
      </c>
      <c r="J529" s="21">
        <f>IF($I529&lt;&gt;"Match","",INDEX(Ventes_Encaissements!$B$6:$B$3005,_xludf.AGGREGATE(15,6,(ROW(Ventes_Encaissements!$B$6:$B$3005)-ROW(Ventes_Encaissements!$B$6)+1)/((Ventes_Encaissements!$E$6:$E$3005=$B529)*(Ventes_Encaissements!$J$6:$J$3005=$G529)*(Ventes_Encaissements!$C$6:$C$3005&gt;=$C529-3)*(Ventes_Encaissements!$C$6:$C$3005&lt;=$C529+3)),1)))</f>
        <v/>
      </c>
      <c r="K529" s="6" t="n"/>
    </row>
    <row r="530">
      <c r="A530" s="6" t="n"/>
      <c r="B530" s="6" t="n"/>
      <c r="C530" s="19" t="n"/>
      <c r="D530" s="19" t="n"/>
      <c r="E530" s="6" t="n"/>
      <c r="F530" s="20" t="n"/>
      <c r="G530" s="9">
        <f>IF($F530="","",IF($F530&gt;0,ROUND($F530,2),""))</f>
        <v/>
      </c>
      <c r="H530" s="12">
        <f>IF(OR($B530="",$C530="",$G530=""),"",COUNTIFS(Ventes_Encaissements!$E$6:$E$3005,$B530,Ventes_Encaissements!$J$6:$J$3005,$G530,Ventes_Encaissements!$C$6:$C$3005,"&gt;="&amp;($C530-3),Ventes_Encaissements!$C$6:$C$3005,"&lt;="&amp;($C530+3)))</f>
        <v/>
      </c>
      <c r="I530" s="12">
        <f>IF($H530="","",IF($H530=0,"Non trouvé",IF($H530=1,"Match","À vérifier")))</f>
        <v/>
      </c>
      <c r="J530" s="21">
        <f>IF($I530&lt;&gt;"Match","",INDEX(Ventes_Encaissements!$B$6:$B$3005,_xludf.AGGREGATE(15,6,(ROW(Ventes_Encaissements!$B$6:$B$3005)-ROW(Ventes_Encaissements!$B$6)+1)/((Ventes_Encaissements!$E$6:$E$3005=$B530)*(Ventes_Encaissements!$J$6:$J$3005=$G530)*(Ventes_Encaissements!$C$6:$C$3005&gt;=$C530-3)*(Ventes_Encaissements!$C$6:$C$3005&lt;=$C530+3)),1)))</f>
        <v/>
      </c>
      <c r="K530" s="6" t="n"/>
    </row>
    <row r="531">
      <c r="A531" s="6" t="n"/>
      <c r="B531" s="6" t="n"/>
      <c r="C531" s="19" t="n"/>
      <c r="D531" s="19" t="n"/>
      <c r="E531" s="6" t="n"/>
      <c r="F531" s="20" t="n"/>
      <c r="G531" s="9">
        <f>IF($F531="","",IF($F531&gt;0,ROUND($F531,2),""))</f>
        <v/>
      </c>
      <c r="H531" s="12">
        <f>IF(OR($B531="",$C531="",$G531=""),"",COUNTIFS(Ventes_Encaissements!$E$6:$E$3005,$B531,Ventes_Encaissements!$J$6:$J$3005,$G531,Ventes_Encaissements!$C$6:$C$3005,"&gt;="&amp;($C531-3),Ventes_Encaissements!$C$6:$C$3005,"&lt;="&amp;($C531+3)))</f>
        <v/>
      </c>
      <c r="I531" s="12">
        <f>IF($H531="","",IF($H531=0,"Non trouvé",IF($H531=1,"Match","À vérifier")))</f>
        <v/>
      </c>
      <c r="J531" s="21">
        <f>IF($I531&lt;&gt;"Match","",INDEX(Ventes_Encaissements!$B$6:$B$3005,_xludf.AGGREGATE(15,6,(ROW(Ventes_Encaissements!$B$6:$B$3005)-ROW(Ventes_Encaissements!$B$6)+1)/((Ventes_Encaissements!$E$6:$E$3005=$B531)*(Ventes_Encaissements!$J$6:$J$3005=$G531)*(Ventes_Encaissements!$C$6:$C$3005&gt;=$C531-3)*(Ventes_Encaissements!$C$6:$C$3005&lt;=$C531+3)),1)))</f>
        <v/>
      </c>
      <c r="K531" s="6" t="n"/>
    </row>
    <row r="532">
      <c r="A532" s="6" t="n"/>
      <c r="B532" s="6" t="n"/>
      <c r="C532" s="19" t="n"/>
      <c r="D532" s="19" t="n"/>
      <c r="E532" s="6" t="n"/>
      <c r="F532" s="20" t="n"/>
      <c r="G532" s="9">
        <f>IF($F532="","",IF($F532&gt;0,ROUND($F532,2),""))</f>
        <v/>
      </c>
      <c r="H532" s="12">
        <f>IF(OR($B532="",$C532="",$G532=""),"",COUNTIFS(Ventes_Encaissements!$E$6:$E$3005,$B532,Ventes_Encaissements!$J$6:$J$3005,$G532,Ventes_Encaissements!$C$6:$C$3005,"&gt;="&amp;($C532-3),Ventes_Encaissements!$C$6:$C$3005,"&lt;="&amp;($C532+3)))</f>
        <v/>
      </c>
      <c r="I532" s="12">
        <f>IF($H532="","",IF($H532=0,"Non trouvé",IF($H532=1,"Match","À vérifier")))</f>
        <v/>
      </c>
      <c r="J532" s="21">
        <f>IF($I532&lt;&gt;"Match","",INDEX(Ventes_Encaissements!$B$6:$B$3005,_xludf.AGGREGATE(15,6,(ROW(Ventes_Encaissements!$B$6:$B$3005)-ROW(Ventes_Encaissements!$B$6)+1)/((Ventes_Encaissements!$E$6:$E$3005=$B532)*(Ventes_Encaissements!$J$6:$J$3005=$G532)*(Ventes_Encaissements!$C$6:$C$3005&gt;=$C532-3)*(Ventes_Encaissements!$C$6:$C$3005&lt;=$C532+3)),1)))</f>
        <v/>
      </c>
      <c r="K532" s="6" t="n"/>
    </row>
    <row r="533">
      <c r="A533" s="6" t="n"/>
      <c r="B533" s="6" t="n"/>
      <c r="C533" s="19" t="n"/>
      <c r="D533" s="19" t="n"/>
      <c r="E533" s="6" t="n"/>
      <c r="F533" s="20" t="n"/>
      <c r="G533" s="9">
        <f>IF($F533="","",IF($F533&gt;0,ROUND($F533,2),""))</f>
        <v/>
      </c>
      <c r="H533" s="12">
        <f>IF(OR($B533="",$C533="",$G533=""),"",COUNTIFS(Ventes_Encaissements!$E$6:$E$3005,$B533,Ventes_Encaissements!$J$6:$J$3005,$G533,Ventes_Encaissements!$C$6:$C$3005,"&gt;="&amp;($C533-3),Ventes_Encaissements!$C$6:$C$3005,"&lt;="&amp;($C533+3)))</f>
        <v/>
      </c>
      <c r="I533" s="12">
        <f>IF($H533="","",IF($H533=0,"Non trouvé",IF($H533=1,"Match","À vérifier")))</f>
        <v/>
      </c>
      <c r="J533" s="21">
        <f>IF($I533&lt;&gt;"Match","",INDEX(Ventes_Encaissements!$B$6:$B$3005,_xludf.AGGREGATE(15,6,(ROW(Ventes_Encaissements!$B$6:$B$3005)-ROW(Ventes_Encaissements!$B$6)+1)/((Ventes_Encaissements!$E$6:$E$3005=$B533)*(Ventes_Encaissements!$J$6:$J$3005=$G533)*(Ventes_Encaissements!$C$6:$C$3005&gt;=$C533-3)*(Ventes_Encaissements!$C$6:$C$3005&lt;=$C533+3)),1)))</f>
        <v/>
      </c>
      <c r="K533" s="6" t="n"/>
    </row>
    <row r="534">
      <c r="A534" s="6" t="n"/>
      <c r="B534" s="6" t="n"/>
      <c r="C534" s="19" t="n"/>
      <c r="D534" s="19" t="n"/>
      <c r="E534" s="6" t="n"/>
      <c r="F534" s="20" t="n"/>
      <c r="G534" s="9">
        <f>IF($F534="","",IF($F534&gt;0,ROUND($F534,2),""))</f>
        <v/>
      </c>
      <c r="H534" s="12">
        <f>IF(OR($B534="",$C534="",$G534=""),"",COUNTIFS(Ventes_Encaissements!$E$6:$E$3005,$B534,Ventes_Encaissements!$J$6:$J$3005,$G534,Ventes_Encaissements!$C$6:$C$3005,"&gt;="&amp;($C534-3),Ventes_Encaissements!$C$6:$C$3005,"&lt;="&amp;($C534+3)))</f>
        <v/>
      </c>
      <c r="I534" s="12">
        <f>IF($H534="","",IF($H534=0,"Non trouvé",IF($H534=1,"Match","À vérifier")))</f>
        <v/>
      </c>
      <c r="J534" s="21">
        <f>IF($I534&lt;&gt;"Match","",INDEX(Ventes_Encaissements!$B$6:$B$3005,_xludf.AGGREGATE(15,6,(ROW(Ventes_Encaissements!$B$6:$B$3005)-ROW(Ventes_Encaissements!$B$6)+1)/((Ventes_Encaissements!$E$6:$E$3005=$B534)*(Ventes_Encaissements!$J$6:$J$3005=$G534)*(Ventes_Encaissements!$C$6:$C$3005&gt;=$C534-3)*(Ventes_Encaissements!$C$6:$C$3005&lt;=$C534+3)),1)))</f>
        <v/>
      </c>
      <c r="K534" s="6" t="n"/>
    </row>
    <row r="535">
      <c r="A535" s="6" t="n"/>
      <c r="B535" s="6" t="n"/>
      <c r="C535" s="19" t="n"/>
      <c r="D535" s="19" t="n"/>
      <c r="E535" s="6" t="n"/>
      <c r="F535" s="20" t="n"/>
      <c r="G535" s="9">
        <f>IF($F535="","",IF($F535&gt;0,ROUND($F535,2),""))</f>
        <v/>
      </c>
      <c r="H535" s="12">
        <f>IF(OR($B535="",$C535="",$G535=""),"",COUNTIFS(Ventes_Encaissements!$E$6:$E$3005,$B535,Ventes_Encaissements!$J$6:$J$3005,$G535,Ventes_Encaissements!$C$6:$C$3005,"&gt;="&amp;($C535-3),Ventes_Encaissements!$C$6:$C$3005,"&lt;="&amp;($C535+3)))</f>
        <v/>
      </c>
      <c r="I535" s="12">
        <f>IF($H535="","",IF($H535=0,"Non trouvé",IF($H535=1,"Match","À vérifier")))</f>
        <v/>
      </c>
      <c r="J535" s="21">
        <f>IF($I535&lt;&gt;"Match","",INDEX(Ventes_Encaissements!$B$6:$B$3005,_xludf.AGGREGATE(15,6,(ROW(Ventes_Encaissements!$B$6:$B$3005)-ROW(Ventes_Encaissements!$B$6)+1)/((Ventes_Encaissements!$E$6:$E$3005=$B535)*(Ventes_Encaissements!$J$6:$J$3005=$G535)*(Ventes_Encaissements!$C$6:$C$3005&gt;=$C535-3)*(Ventes_Encaissements!$C$6:$C$3005&lt;=$C535+3)),1)))</f>
        <v/>
      </c>
      <c r="K535" s="6" t="n"/>
    </row>
    <row r="536">
      <c r="A536" s="6" t="n"/>
      <c r="B536" s="6" t="n"/>
      <c r="C536" s="19" t="n"/>
      <c r="D536" s="19" t="n"/>
      <c r="E536" s="6" t="n"/>
      <c r="F536" s="20" t="n"/>
      <c r="G536" s="9">
        <f>IF($F536="","",IF($F536&gt;0,ROUND($F536,2),""))</f>
        <v/>
      </c>
      <c r="H536" s="12">
        <f>IF(OR($B536="",$C536="",$G536=""),"",COUNTIFS(Ventes_Encaissements!$E$6:$E$3005,$B536,Ventes_Encaissements!$J$6:$J$3005,$G536,Ventes_Encaissements!$C$6:$C$3005,"&gt;="&amp;($C536-3),Ventes_Encaissements!$C$6:$C$3005,"&lt;="&amp;($C536+3)))</f>
        <v/>
      </c>
      <c r="I536" s="12">
        <f>IF($H536="","",IF($H536=0,"Non trouvé",IF($H536=1,"Match","À vérifier")))</f>
        <v/>
      </c>
      <c r="J536" s="21">
        <f>IF($I536&lt;&gt;"Match","",INDEX(Ventes_Encaissements!$B$6:$B$3005,_xludf.AGGREGATE(15,6,(ROW(Ventes_Encaissements!$B$6:$B$3005)-ROW(Ventes_Encaissements!$B$6)+1)/((Ventes_Encaissements!$E$6:$E$3005=$B536)*(Ventes_Encaissements!$J$6:$J$3005=$G536)*(Ventes_Encaissements!$C$6:$C$3005&gt;=$C536-3)*(Ventes_Encaissements!$C$6:$C$3005&lt;=$C536+3)),1)))</f>
        <v/>
      </c>
      <c r="K536" s="6" t="n"/>
    </row>
    <row r="537">
      <c r="A537" s="6" t="n"/>
      <c r="B537" s="6" t="n"/>
      <c r="C537" s="19" t="n"/>
      <c r="D537" s="19" t="n"/>
      <c r="E537" s="6" t="n"/>
      <c r="F537" s="20" t="n"/>
      <c r="G537" s="9">
        <f>IF($F537="","",IF($F537&gt;0,ROUND($F537,2),""))</f>
        <v/>
      </c>
      <c r="H537" s="12">
        <f>IF(OR($B537="",$C537="",$G537=""),"",COUNTIFS(Ventes_Encaissements!$E$6:$E$3005,$B537,Ventes_Encaissements!$J$6:$J$3005,$G537,Ventes_Encaissements!$C$6:$C$3005,"&gt;="&amp;($C537-3),Ventes_Encaissements!$C$6:$C$3005,"&lt;="&amp;($C537+3)))</f>
        <v/>
      </c>
      <c r="I537" s="12">
        <f>IF($H537="","",IF($H537=0,"Non trouvé",IF($H537=1,"Match","À vérifier")))</f>
        <v/>
      </c>
      <c r="J537" s="21">
        <f>IF($I537&lt;&gt;"Match","",INDEX(Ventes_Encaissements!$B$6:$B$3005,_xludf.AGGREGATE(15,6,(ROW(Ventes_Encaissements!$B$6:$B$3005)-ROW(Ventes_Encaissements!$B$6)+1)/((Ventes_Encaissements!$E$6:$E$3005=$B537)*(Ventes_Encaissements!$J$6:$J$3005=$G537)*(Ventes_Encaissements!$C$6:$C$3005&gt;=$C537-3)*(Ventes_Encaissements!$C$6:$C$3005&lt;=$C537+3)),1)))</f>
        <v/>
      </c>
      <c r="K537" s="6" t="n"/>
    </row>
    <row r="538">
      <c r="A538" s="6" t="n"/>
      <c r="B538" s="6" t="n"/>
      <c r="C538" s="19" t="n"/>
      <c r="D538" s="19" t="n"/>
      <c r="E538" s="6" t="n"/>
      <c r="F538" s="20" t="n"/>
      <c r="G538" s="9">
        <f>IF($F538="","",IF($F538&gt;0,ROUND($F538,2),""))</f>
        <v/>
      </c>
      <c r="H538" s="12">
        <f>IF(OR($B538="",$C538="",$G538=""),"",COUNTIFS(Ventes_Encaissements!$E$6:$E$3005,$B538,Ventes_Encaissements!$J$6:$J$3005,$G538,Ventes_Encaissements!$C$6:$C$3005,"&gt;="&amp;($C538-3),Ventes_Encaissements!$C$6:$C$3005,"&lt;="&amp;($C538+3)))</f>
        <v/>
      </c>
      <c r="I538" s="12">
        <f>IF($H538="","",IF($H538=0,"Non trouvé",IF($H538=1,"Match","À vérifier")))</f>
        <v/>
      </c>
      <c r="J538" s="21">
        <f>IF($I538&lt;&gt;"Match","",INDEX(Ventes_Encaissements!$B$6:$B$3005,_xludf.AGGREGATE(15,6,(ROW(Ventes_Encaissements!$B$6:$B$3005)-ROW(Ventes_Encaissements!$B$6)+1)/((Ventes_Encaissements!$E$6:$E$3005=$B538)*(Ventes_Encaissements!$J$6:$J$3005=$G538)*(Ventes_Encaissements!$C$6:$C$3005&gt;=$C538-3)*(Ventes_Encaissements!$C$6:$C$3005&lt;=$C538+3)),1)))</f>
        <v/>
      </c>
      <c r="K538" s="6" t="n"/>
    </row>
    <row r="539">
      <c r="A539" s="6" t="n"/>
      <c r="B539" s="6" t="n"/>
      <c r="C539" s="19" t="n"/>
      <c r="D539" s="19" t="n"/>
      <c r="E539" s="6" t="n"/>
      <c r="F539" s="20" t="n"/>
      <c r="G539" s="9">
        <f>IF($F539="","",IF($F539&gt;0,ROUND($F539,2),""))</f>
        <v/>
      </c>
      <c r="H539" s="12">
        <f>IF(OR($B539="",$C539="",$G539=""),"",COUNTIFS(Ventes_Encaissements!$E$6:$E$3005,$B539,Ventes_Encaissements!$J$6:$J$3005,$G539,Ventes_Encaissements!$C$6:$C$3005,"&gt;="&amp;($C539-3),Ventes_Encaissements!$C$6:$C$3005,"&lt;="&amp;($C539+3)))</f>
        <v/>
      </c>
      <c r="I539" s="12">
        <f>IF($H539="","",IF($H539=0,"Non trouvé",IF($H539=1,"Match","À vérifier")))</f>
        <v/>
      </c>
      <c r="J539" s="21">
        <f>IF($I539&lt;&gt;"Match","",INDEX(Ventes_Encaissements!$B$6:$B$3005,_xludf.AGGREGATE(15,6,(ROW(Ventes_Encaissements!$B$6:$B$3005)-ROW(Ventes_Encaissements!$B$6)+1)/((Ventes_Encaissements!$E$6:$E$3005=$B539)*(Ventes_Encaissements!$J$6:$J$3005=$G539)*(Ventes_Encaissements!$C$6:$C$3005&gt;=$C539-3)*(Ventes_Encaissements!$C$6:$C$3005&lt;=$C539+3)),1)))</f>
        <v/>
      </c>
      <c r="K539" s="6" t="n"/>
    </row>
    <row r="540">
      <c r="A540" s="6" t="n"/>
      <c r="B540" s="6" t="n"/>
      <c r="C540" s="19" t="n"/>
      <c r="D540" s="19" t="n"/>
      <c r="E540" s="6" t="n"/>
      <c r="F540" s="20" t="n"/>
      <c r="G540" s="9">
        <f>IF($F540="","",IF($F540&gt;0,ROUND($F540,2),""))</f>
        <v/>
      </c>
      <c r="H540" s="12">
        <f>IF(OR($B540="",$C540="",$G540=""),"",COUNTIFS(Ventes_Encaissements!$E$6:$E$3005,$B540,Ventes_Encaissements!$J$6:$J$3005,$G540,Ventes_Encaissements!$C$6:$C$3005,"&gt;="&amp;($C540-3),Ventes_Encaissements!$C$6:$C$3005,"&lt;="&amp;($C540+3)))</f>
        <v/>
      </c>
      <c r="I540" s="12">
        <f>IF($H540="","",IF($H540=0,"Non trouvé",IF($H540=1,"Match","À vérifier")))</f>
        <v/>
      </c>
      <c r="J540" s="21">
        <f>IF($I540&lt;&gt;"Match","",INDEX(Ventes_Encaissements!$B$6:$B$3005,_xludf.AGGREGATE(15,6,(ROW(Ventes_Encaissements!$B$6:$B$3005)-ROW(Ventes_Encaissements!$B$6)+1)/((Ventes_Encaissements!$E$6:$E$3005=$B540)*(Ventes_Encaissements!$J$6:$J$3005=$G540)*(Ventes_Encaissements!$C$6:$C$3005&gt;=$C540-3)*(Ventes_Encaissements!$C$6:$C$3005&lt;=$C540+3)),1)))</f>
        <v/>
      </c>
      <c r="K540" s="6" t="n"/>
    </row>
    <row r="541">
      <c r="A541" s="6" t="n"/>
      <c r="B541" s="6" t="n"/>
      <c r="C541" s="19" t="n"/>
      <c r="D541" s="19" t="n"/>
      <c r="E541" s="6" t="n"/>
      <c r="F541" s="20" t="n"/>
      <c r="G541" s="9">
        <f>IF($F541="","",IF($F541&gt;0,ROUND($F541,2),""))</f>
        <v/>
      </c>
      <c r="H541" s="12">
        <f>IF(OR($B541="",$C541="",$G541=""),"",COUNTIFS(Ventes_Encaissements!$E$6:$E$3005,$B541,Ventes_Encaissements!$J$6:$J$3005,$G541,Ventes_Encaissements!$C$6:$C$3005,"&gt;="&amp;($C541-3),Ventes_Encaissements!$C$6:$C$3005,"&lt;="&amp;($C541+3)))</f>
        <v/>
      </c>
      <c r="I541" s="12">
        <f>IF($H541="","",IF($H541=0,"Non trouvé",IF($H541=1,"Match","À vérifier")))</f>
        <v/>
      </c>
      <c r="J541" s="21">
        <f>IF($I541&lt;&gt;"Match","",INDEX(Ventes_Encaissements!$B$6:$B$3005,_xludf.AGGREGATE(15,6,(ROW(Ventes_Encaissements!$B$6:$B$3005)-ROW(Ventes_Encaissements!$B$6)+1)/((Ventes_Encaissements!$E$6:$E$3005=$B541)*(Ventes_Encaissements!$J$6:$J$3005=$G541)*(Ventes_Encaissements!$C$6:$C$3005&gt;=$C541-3)*(Ventes_Encaissements!$C$6:$C$3005&lt;=$C541+3)),1)))</f>
        <v/>
      </c>
      <c r="K541" s="6" t="n"/>
    </row>
    <row r="542">
      <c r="A542" s="6" t="n"/>
      <c r="B542" s="6" t="n"/>
      <c r="C542" s="19" t="n"/>
      <c r="D542" s="19" t="n"/>
      <c r="E542" s="6" t="n"/>
      <c r="F542" s="20" t="n"/>
      <c r="G542" s="9">
        <f>IF($F542="","",IF($F542&gt;0,ROUND($F542,2),""))</f>
        <v/>
      </c>
      <c r="H542" s="12">
        <f>IF(OR($B542="",$C542="",$G542=""),"",COUNTIFS(Ventes_Encaissements!$E$6:$E$3005,$B542,Ventes_Encaissements!$J$6:$J$3005,$G542,Ventes_Encaissements!$C$6:$C$3005,"&gt;="&amp;($C542-3),Ventes_Encaissements!$C$6:$C$3005,"&lt;="&amp;($C542+3)))</f>
        <v/>
      </c>
      <c r="I542" s="12">
        <f>IF($H542="","",IF($H542=0,"Non trouvé",IF($H542=1,"Match","À vérifier")))</f>
        <v/>
      </c>
      <c r="J542" s="21">
        <f>IF($I542&lt;&gt;"Match","",INDEX(Ventes_Encaissements!$B$6:$B$3005,_xludf.AGGREGATE(15,6,(ROW(Ventes_Encaissements!$B$6:$B$3005)-ROW(Ventes_Encaissements!$B$6)+1)/((Ventes_Encaissements!$E$6:$E$3005=$B542)*(Ventes_Encaissements!$J$6:$J$3005=$G542)*(Ventes_Encaissements!$C$6:$C$3005&gt;=$C542-3)*(Ventes_Encaissements!$C$6:$C$3005&lt;=$C542+3)),1)))</f>
        <v/>
      </c>
      <c r="K542" s="6" t="n"/>
    </row>
    <row r="543">
      <c r="A543" s="6" t="n"/>
      <c r="B543" s="6" t="n"/>
      <c r="C543" s="19" t="n"/>
      <c r="D543" s="19" t="n"/>
      <c r="E543" s="6" t="n"/>
      <c r="F543" s="20" t="n"/>
      <c r="G543" s="9">
        <f>IF($F543="","",IF($F543&gt;0,ROUND($F543,2),""))</f>
        <v/>
      </c>
      <c r="H543" s="12">
        <f>IF(OR($B543="",$C543="",$G543=""),"",COUNTIFS(Ventes_Encaissements!$E$6:$E$3005,$B543,Ventes_Encaissements!$J$6:$J$3005,$G543,Ventes_Encaissements!$C$6:$C$3005,"&gt;="&amp;($C543-3),Ventes_Encaissements!$C$6:$C$3005,"&lt;="&amp;($C543+3)))</f>
        <v/>
      </c>
      <c r="I543" s="12">
        <f>IF($H543="","",IF($H543=0,"Non trouvé",IF($H543=1,"Match","À vérifier")))</f>
        <v/>
      </c>
      <c r="J543" s="21">
        <f>IF($I543&lt;&gt;"Match","",INDEX(Ventes_Encaissements!$B$6:$B$3005,_xludf.AGGREGATE(15,6,(ROW(Ventes_Encaissements!$B$6:$B$3005)-ROW(Ventes_Encaissements!$B$6)+1)/((Ventes_Encaissements!$E$6:$E$3005=$B543)*(Ventes_Encaissements!$J$6:$J$3005=$G543)*(Ventes_Encaissements!$C$6:$C$3005&gt;=$C543-3)*(Ventes_Encaissements!$C$6:$C$3005&lt;=$C543+3)),1)))</f>
        <v/>
      </c>
      <c r="K543" s="6" t="n"/>
    </row>
    <row r="544">
      <c r="A544" s="6" t="n"/>
      <c r="B544" s="6" t="n"/>
      <c r="C544" s="19" t="n"/>
      <c r="D544" s="19" t="n"/>
      <c r="E544" s="6" t="n"/>
      <c r="F544" s="20" t="n"/>
      <c r="G544" s="9">
        <f>IF($F544="","",IF($F544&gt;0,ROUND($F544,2),""))</f>
        <v/>
      </c>
      <c r="H544" s="12">
        <f>IF(OR($B544="",$C544="",$G544=""),"",COUNTIFS(Ventes_Encaissements!$E$6:$E$3005,$B544,Ventes_Encaissements!$J$6:$J$3005,$G544,Ventes_Encaissements!$C$6:$C$3005,"&gt;="&amp;($C544-3),Ventes_Encaissements!$C$6:$C$3005,"&lt;="&amp;($C544+3)))</f>
        <v/>
      </c>
      <c r="I544" s="12">
        <f>IF($H544="","",IF($H544=0,"Non trouvé",IF($H544=1,"Match","À vérifier")))</f>
        <v/>
      </c>
      <c r="J544" s="21">
        <f>IF($I544&lt;&gt;"Match","",INDEX(Ventes_Encaissements!$B$6:$B$3005,_xludf.AGGREGATE(15,6,(ROW(Ventes_Encaissements!$B$6:$B$3005)-ROW(Ventes_Encaissements!$B$6)+1)/((Ventes_Encaissements!$E$6:$E$3005=$B544)*(Ventes_Encaissements!$J$6:$J$3005=$G544)*(Ventes_Encaissements!$C$6:$C$3005&gt;=$C544-3)*(Ventes_Encaissements!$C$6:$C$3005&lt;=$C544+3)),1)))</f>
        <v/>
      </c>
      <c r="K544" s="6" t="n"/>
    </row>
    <row r="545">
      <c r="A545" s="6" t="n"/>
      <c r="B545" s="6" t="n"/>
      <c r="C545" s="19" t="n"/>
      <c r="D545" s="19" t="n"/>
      <c r="E545" s="6" t="n"/>
      <c r="F545" s="20" t="n"/>
      <c r="G545" s="9">
        <f>IF($F545="","",IF($F545&gt;0,ROUND($F545,2),""))</f>
        <v/>
      </c>
      <c r="H545" s="12">
        <f>IF(OR($B545="",$C545="",$G545=""),"",COUNTIFS(Ventes_Encaissements!$E$6:$E$3005,$B545,Ventes_Encaissements!$J$6:$J$3005,$G545,Ventes_Encaissements!$C$6:$C$3005,"&gt;="&amp;($C545-3),Ventes_Encaissements!$C$6:$C$3005,"&lt;="&amp;($C545+3)))</f>
        <v/>
      </c>
      <c r="I545" s="12">
        <f>IF($H545="","",IF($H545=0,"Non trouvé",IF($H545=1,"Match","À vérifier")))</f>
        <v/>
      </c>
      <c r="J545" s="21">
        <f>IF($I545&lt;&gt;"Match","",INDEX(Ventes_Encaissements!$B$6:$B$3005,_xludf.AGGREGATE(15,6,(ROW(Ventes_Encaissements!$B$6:$B$3005)-ROW(Ventes_Encaissements!$B$6)+1)/((Ventes_Encaissements!$E$6:$E$3005=$B545)*(Ventes_Encaissements!$J$6:$J$3005=$G545)*(Ventes_Encaissements!$C$6:$C$3005&gt;=$C545-3)*(Ventes_Encaissements!$C$6:$C$3005&lt;=$C545+3)),1)))</f>
        <v/>
      </c>
      <c r="K545" s="6" t="n"/>
    </row>
    <row r="546">
      <c r="A546" s="6" t="n"/>
      <c r="B546" s="6" t="n"/>
      <c r="C546" s="19" t="n"/>
      <c r="D546" s="19" t="n"/>
      <c r="E546" s="6" t="n"/>
      <c r="F546" s="20" t="n"/>
      <c r="G546" s="9">
        <f>IF($F546="","",IF($F546&gt;0,ROUND($F546,2),""))</f>
        <v/>
      </c>
      <c r="H546" s="12">
        <f>IF(OR($B546="",$C546="",$G546=""),"",COUNTIFS(Ventes_Encaissements!$E$6:$E$3005,$B546,Ventes_Encaissements!$J$6:$J$3005,$G546,Ventes_Encaissements!$C$6:$C$3005,"&gt;="&amp;($C546-3),Ventes_Encaissements!$C$6:$C$3005,"&lt;="&amp;($C546+3)))</f>
        <v/>
      </c>
      <c r="I546" s="12">
        <f>IF($H546="","",IF($H546=0,"Non trouvé",IF($H546=1,"Match","À vérifier")))</f>
        <v/>
      </c>
      <c r="J546" s="21">
        <f>IF($I546&lt;&gt;"Match","",INDEX(Ventes_Encaissements!$B$6:$B$3005,_xludf.AGGREGATE(15,6,(ROW(Ventes_Encaissements!$B$6:$B$3005)-ROW(Ventes_Encaissements!$B$6)+1)/((Ventes_Encaissements!$E$6:$E$3005=$B546)*(Ventes_Encaissements!$J$6:$J$3005=$G546)*(Ventes_Encaissements!$C$6:$C$3005&gt;=$C546-3)*(Ventes_Encaissements!$C$6:$C$3005&lt;=$C546+3)),1)))</f>
        <v/>
      </c>
      <c r="K546" s="6" t="n"/>
    </row>
    <row r="547">
      <c r="A547" s="6" t="n"/>
      <c r="B547" s="6" t="n"/>
      <c r="C547" s="19" t="n"/>
      <c r="D547" s="19" t="n"/>
      <c r="E547" s="6" t="n"/>
      <c r="F547" s="20" t="n"/>
      <c r="G547" s="9">
        <f>IF($F547="","",IF($F547&gt;0,ROUND($F547,2),""))</f>
        <v/>
      </c>
      <c r="H547" s="12">
        <f>IF(OR($B547="",$C547="",$G547=""),"",COUNTIFS(Ventes_Encaissements!$E$6:$E$3005,$B547,Ventes_Encaissements!$J$6:$J$3005,$G547,Ventes_Encaissements!$C$6:$C$3005,"&gt;="&amp;($C547-3),Ventes_Encaissements!$C$6:$C$3005,"&lt;="&amp;($C547+3)))</f>
        <v/>
      </c>
      <c r="I547" s="12">
        <f>IF($H547="","",IF($H547=0,"Non trouvé",IF($H547=1,"Match","À vérifier")))</f>
        <v/>
      </c>
      <c r="J547" s="21">
        <f>IF($I547&lt;&gt;"Match","",INDEX(Ventes_Encaissements!$B$6:$B$3005,_xludf.AGGREGATE(15,6,(ROW(Ventes_Encaissements!$B$6:$B$3005)-ROW(Ventes_Encaissements!$B$6)+1)/((Ventes_Encaissements!$E$6:$E$3005=$B547)*(Ventes_Encaissements!$J$6:$J$3005=$G547)*(Ventes_Encaissements!$C$6:$C$3005&gt;=$C547-3)*(Ventes_Encaissements!$C$6:$C$3005&lt;=$C547+3)),1)))</f>
        <v/>
      </c>
      <c r="K547" s="6" t="n"/>
    </row>
    <row r="548">
      <c r="A548" s="6" t="n"/>
      <c r="B548" s="6" t="n"/>
      <c r="C548" s="19" t="n"/>
      <c r="D548" s="19" t="n"/>
      <c r="E548" s="6" t="n"/>
      <c r="F548" s="20" t="n"/>
      <c r="G548" s="9">
        <f>IF($F548="","",IF($F548&gt;0,ROUND($F548,2),""))</f>
        <v/>
      </c>
      <c r="H548" s="12">
        <f>IF(OR($B548="",$C548="",$G548=""),"",COUNTIFS(Ventes_Encaissements!$E$6:$E$3005,$B548,Ventes_Encaissements!$J$6:$J$3005,$G548,Ventes_Encaissements!$C$6:$C$3005,"&gt;="&amp;($C548-3),Ventes_Encaissements!$C$6:$C$3005,"&lt;="&amp;($C548+3)))</f>
        <v/>
      </c>
      <c r="I548" s="12">
        <f>IF($H548="","",IF($H548=0,"Non trouvé",IF($H548=1,"Match","À vérifier")))</f>
        <v/>
      </c>
      <c r="J548" s="21">
        <f>IF($I548&lt;&gt;"Match","",INDEX(Ventes_Encaissements!$B$6:$B$3005,_xludf.AGGREGATE(15,6,(ROW(Ventes_Encaissements!$B$6:$B$3005)-ROW(Ventes_Encaissements!$B$6)+1)/((Ventes_Encaissements!$E$6:$E$3005=$B548)*(Ventes_Encaissements!$J$6:$J$3005=$G548)*(Ventes_Encaissements!$C$6:$C$3005&gt;=$C548-3)*(Ventes_Encaissements!$C$6:$C$3005&lt;=$C548+3)),1)))</f>
        <v/>
      </c>
      <c r="K548" s="6" t="n"/>
    </row>
    <row r="549">
      <c r="A549" s="6" t="n"/>
      <c r="B549" s="6" t="n"/>
      <c r="C549" s="19" t="n"/>
      <c r="D549" s="19" t="n"/>
      <c r="E549" s="6" t="n"/>
      <c r="F549" s="20" t="n"/>
      <c r="G549" s="9">
        <f>IF($F549="","",IF($F549&gt;0,ROUND($F549,2),""))</f>
        <v/>
      </c>
      <c r="H549" s="12">
        <f>IF(OR($B549="",$C549="",$G549=""),"",COUNTIFS(Ventes_Encaissements!$E$6:$E$3005,$B549,Ventes_Encaissements!$J$6:$J$3005,$G549,Ventes_Encaissements!$C$6:$C$3005,"&gt;="&amp;($C549-3),Ventes_Encaissements!$C$6:$C$3005,"&lt;="&amp;($C549+3)))</f>
        <v/>
      </c>
      <c r="I549" s="12">
        <f>IF($H549="","",IF($H549=0,"Non trouvé",IF($H549=1,"Match","À vérifier")))</f>
        <v/>
      </c>
      <c r="J549" s="21">
        <f>IF($I549&lt;&gt;"Match","",INDEX(Ventes_Encaissements!$B$6:$B$3005,_xludf.AGGREGATE(15,6,(ROW(Ventes_Encaissements!$B$6:$B$3005)-ROW(Ventes_Encaissements!$B$6)+1)/((Ventes_Encaissements!$E$6:$E$3005=$B549)*(Ventes_Encaissements!$J$6:$J$3005=$G549)*(Ventes_Encaissements!$C$6:$C$3005&gt;=$C549-3)*(Ventes_Encaissements!$C$6:$C$3005&lt;=$C549+3)),1)))</f>
        <v/>
      </c>
      <c r="K549" s="6" t="n"/>
    </row>
    <row r="550">
      <c r="A550" s="6" t="n"/>
      <c r="B550" s="6" t="n"/>
      <c r="C550" s="19" t="n"/>
      <c r="D550" s="19" t="n"/>
      <c r="E550" s="6" t="n"/>
      <c r="F550" s="20" t="n"/>
      <c r="G550" s="9">
        <f>IF($F550="","",IF($F550&gt;0,ROUND($F550,2),""))</f>
        <v/>
      </c>
      <c r="H550" s="12">
        <f>IF(OR($B550="",$C550="",$G550=""),"",COUNTIFS(Ventes_Encaissements!$E$6:$E$3005,$B550,Ventes_Encaissements!$J$6:$J$3005,$G550,Ventes_Encaissements!$C$6:$C$3005,"&gt;="&amp;($C550-3),Ventes_Encaissements!$C$6:$C$3005,"&lt;="&amp;($C550+3)))</f>
        <v/>
      </c>
      <c r="I550" s="12">
        <f>IF($H550="","",IF($H550=0,"Non trouvé",IF($H550=1,"Match","À vérifier")))</f>
        <v/>
      </c>
      <c r="J550" s="21">
        <f>IF($I550&lt;&gt;"Match","",INDEX(Ventes_Encaissements!$B$6:$B$3005,_xludf.AGGREGATE(15,6,(ROW(Ventes_Encaissements!$B$6:$B$3005)-ROW(Ventes_Encaissements!$B$6)+1)/((Ventes_Encaissements!$E$6:$E$3005=$B550)*(Ventes_Encaissements!$J$6:$J$3005=$G550)*(Ventes_Encaissements!$C$6:$C$3005&gt;=$C550-3)*(Ventes_Encaissements!$C$6:$C$3005&lt;=$C550+3)),1)))</f>
        <v/>
      </c>
      <c r="K550" s="6" t="n"/>
    </row>
    <row r="551">
      <c r="A551" s="6" t="n"/>
      <c r="B551" s="6" t="n"/>
      <c r="C551" s="19" t="n"/>
      <c r="D551" s="19" t="n"/>
      <c r="E551" s="6" t="n"/>
      <c r="F551" s="20" t="n"/>
      <c r="G551" s="9">
        <f>IF($F551="","",IF($F551&gt;0,ROUND($F551,2),""))</f>
        <v/>
      </c>
      <c r="H551" s="12">
        <f>IF(OR($B551="",$C551="",$G551=""),"",COUNTIFS(Ventes_Encaissements!$E$6:$E$3005,$B551,Ventes_Encaissements!$J$6:$J$3005,$G551,Ventes_Encaissements!$C$6:$C$3005,"&gt;="&amp;($C551-3),Ventes_Encaissements!$C$6:$C$3005,"&lt;="&amp;($C551+3)))</f>
        <v/>
      </c>
      <c r="I551" s="12">
        <f>IF($H551="","",IF($H551=0,"Non trouvé",IF($H551=1,"Match","À vérifier")))</f>
        <v/>
      </c>
      <c r="J551" s="21">
        <f>IF($I551&lt;&gt;"Match","",INDEX(Ventes_Encaissements!$B$6:$B$3005,_xludf.AGGREGATE(15,6,(ROW(Ventes_Encaissements!$B$6:$B$3005)-ROW(Ventes_Encaissements!$B$6)+1)/((Ventes_Encaissements!$E$6:$E$3005=$B551)*(Ventes_Encaissements!$J$6:$J$3005=$G551)*(Ventes_Encaissements!$C$6:$C$3005&gt;=$C551-3)*(Ventes_Encaissements!$C$6:$C$3005&lt;=$C551+3)),1)))</f>
        <v/>
      </c>
      <c r="K551" s="6" t="n"/>
    </row>
    <row r="552">
      <c r="A552" s="6" t="n"/>
      <c r="B552" s="6" t="n"/>
      <c r="C552" s="19" t="n"/>
      <c r="D552" s="19" t="n"/>
      <c r="E552" s="6" t="n"/>
      <c r="F552" s="20" t="n"/>
      <c r="G552" s="9">
        <f>IF($F552="","",IF($F552&gt;0,ROUND($F552,2),""))</f>
        <v/>
      </c>
      <c r="H552" s="12">
        <f>IF(OR($B552="",$C552="",$G552=""),"",COUNTIFS(Ventes_Encaissements!$E$6:$E$3005,$B552,Ventes_Encaissements!$J$6:$J$3005,$G552,Ventes_Encaissements!$C$6:$C$3005,"&gt;="&amp;($C552-3),Ventes_Encaissements!$C$6:$C$3005,"&lt;="&amp;($C552+3)))</f>
        <v/>
      </c>
      <c r="I552" s="12">
        <f>IF($H552="","",IF($H552=0,"Non trouvé",IF($H552=1,"Match","À vérifier")))</f>
        <v/>
      </c>
      <c r="J552" s="21">
        <f>IF($I552&lt;&gt;"Match","",INDEX(Ventes_Encaissements!$B$6:$B$3005,_xludf.AGGREGATE(15,6,(ROW(Ventes_Encaissements!$B$6:$B$3005)-ROW(Ventes_Encaissements!$B$6)+1)/((Ventes_Encaissements!$E$6:$E$3005=$B552)*(Ventes_Encaissements!$J$6:$J$3005=$G552)*(Ventes_Encaissements!$C$6:$C$3005&gt;=$C552-3)*(Ventes_Encaissements!$C$6:$C$3005&lt;=$C552+3)),1)))</f>
        <v/>
      </c>
      <c r="K552" s="6" t="n"/>
    </row>
    <row r="553">
      <c r="A553" s="6" t="n"/>
      <c r="B553" s="6" t="n"/>
      <c r="C553" s="19" t="n"/>
      <c r="D553" s="19" t="n"/>
      <c r="E553" s="6" t="n"/>
      <c r="F553" s="20" t="n"/>
      <c r="G553" s="9">
        <f>IF($F553="","",IF($F553&gt;0,ROUND($F553,2),""))</f>
        <v/>
      </c>
      <c r="H553" s="12">
        <f>IF(OR($B553="",$C553="",$G553=""),"",COUNTIFS(Ventes_Encaissements!$E$6:$E$3005,$B553,Ventes_Encaissements!$J$6:$J$3005,$G553,Ventes_Encaissements!$C$6:$C$3005,"&gt;="&amp;($C553-3),Ventes_Encaissements!$C$6:$C$3005,"&lt;="&amp;($C553+3)))</f>
        <v/>
      </c>
      <c r="I553" s="12">
        <f>IF($H553="","",IF($H553=0,"Non trouvé",IF($H553=1,"Match","À vérifier")))</f>
        <v/>
      </c>
      <c r="J553" s="21">
        <f>IF($I553&lt;&gt;"Match","",INDEX(Ventes_Encaissements!$B$6:$B$3005,_xludf.AGGREGATE(15,6,(ROW(Ventes_Encaissements!$B$6:$B$3005)-ROW(Ventes_Encaissements!$B$6)+1)/((Ventes_Encaissements!$E$6:$E$3005=$B553)*(Ventes_Encaissements!$J$6:$J$3005=$G553)*(Ventes_Encaissements!$C$6:$C$3005&gt;=$C553-3)*(Ventes_Encaissements!$C$6:$C$3005&lt;=$C553+3)),1)))</f>
        <v/>
      </c>
      <c r="K553" s="6" t="n"/>
    </row>
    <row r="554">
      <c r="A554" s="6" t="n"/>
      <c r="B554" s="6" t="n"/>
      <c r="C554" s="19" t="n"/>
      <c r="D554" s="19" t="n"/>
      <c r="E554" s="6" t="n"/>
      <c r="F554" s="20" t="n"/>
      <c r="G554" s="9">
        <f>IF($F554="","",IF($F554&gt;0,ROUND($F554,2),""))</f>
        <v/>
      </c>
      <c r="H554" s="12">
        <f>IF(OR($B554="",$C554="",$G554=""),"",COUNTIFS(Ventes_Encaissements!$E$6:$E$3005,$B554,Ventes_Encaissements!$J$6:$J$3005,$G554,Ventes_Encaissements!$C$6:$C$3005,"&gt;="&amp;($C554-3),Ventes_Encaissements!$C$6:$C$3005,"&lt;="&amp;($C554+3)))</f>
        <v/>
      </c>
      <c r="I554" s="12">
        <f>IF($H554="","",IF($H554=0,"Non trouvé",IF($H554=1,"Match","À vérifier")))</f>
        <v/>
      </c>
      <c r="J554" s="21">
        <f>IF($I554&lt;&gt;"Match","",INDEX(Ventes_Encaissements!$B$6:$B$3005,_xludf.AGGREGATE(15,6,(ROW(Ventes_Encaissements!$B$6:$B$3005)-ROW(Ventes_Encaissements!$B$6)+1)/((Ventes_Encaissements!$E$6:$E$3005=$B554)*(Ventes_Encaissements!$J$6:$J$3005=$G554)*(Ventes_Encaissements!$C$6:$C$3005&gt;=$C554-3)*(Ventes_Encaissements!$C$6:$C$3005&lt;=$C554+3)),1)))</f>
        <v/>
      </c>
      <c r="K554" s="6" t="n"/>
    </row>
    <row r="555">
      <c r="A555" s="6" t="n"/>
      <c r="B555" s="6" t="n"/>
      <c r="C555" s="19" t="n"/>
      <c r="D555" s="19" t="n"/>
      <c r="E555" s="6" t="n"/>
      <c r="F555" s="20" t="n"/>
      <c r="G555" s="9">
        <f>IF($F555="","",IF($F555&gt;0,ROUND($F555,2),""))</f>
        <v/>
      </c>
      <c r="H555" s="12">
        <f>IF(OR($B555="",$C555="",$G555=""),"",COUNTIFS(Ventes_Encaissements!$E$6:$E$3005,$B555,Ventes_Encaissements!$J$6:$J$3005,$G555,Ventes_Encaissements!$C$6:$C$3005,"&gt;="&amp;($C555-3),Ventes_Encaissements!$C$6:$C$3005,"&lt;="&amp;($C555+3)))</f>
        <v/>
      </c>
      <c r="I555" s="12">
        <f>IF($H555="","",IF($H555=0,"Non trouvé",IF($H555=1,"Match","À vérifier")))</f>
        <v/>
      </c>
      <c r="J555" s="21">
        <f>IF($I555&lt;&gt;"Match","",INDEX(Ventes_Encaissements!$B$6:$B$3005,_xludf.AGGREGATE(15,6,(ROW(Ventes_Encaissements!$B$6:$B$3005)-ROW(Ventes_Encaissements!$B$6)+1)/((Ventes_Encaissements!$E$6:$E$3005=$B555)*(Ventes_Encaissements!$J$6:$J$3005=$G555)*(Ventes_Encaissements!$C$6:$C$3005&gt;=$C555-3)*(Ventes_Encaissements!$C$6:$C$3005&lt;=$C555+3)),1)))</f>
        <v/>
      </c>
      <c r="K555" s="6" t="n"/>
    </row>
    <row r="556">
      <c r="A556" s="6" t="n"/>
      <c r="B556" s="6" t="n"/>
      <c r="C556" s="19" t="n"/>
      <c r="D556" s="19" t="n"/>
      <c r="E556" s="6" t="n"/>
      <c r="F556" s="20" t="n"/>
      <c r="G556" s="9">
        <f>IF($F556="","",IF($F556&gt;0,ROUND($F556,2),""))</f>
        <v/>
      </c>
      <c r="H556" s="12">
        <f>IF(OR($B556="",$C556="",$G556=""),"",COUNTIFS(Ventes_Encaissements!$E$6:$E$3005,$B556,Ventes_Encaissements!$J$6:$J$3005,$G556,Ventes_Encaissements!$C$6:$C$3005,"&gt;="&amp;($C556-3),Ventes_Encaissements!$C$6:$C$3005,"&lt;="&amp;($C556+3)))</f>
        <v/>
      </c>
      <c r="I556" s="12">
        <f>IF($H556="","",IF($H556=0,"Non trouvé",IF($H556=1,"Match","À vérifier")))</f>
        <v/>
      </c>
      <c r="J556" s="21">
        <f>IF($I556&lt;&gt;"Match","",INDEX(Ventes_Encaissements!$B$6:$B$3005,_xludf.AGGREGATE(15,6,(ROW(Ventes_Encaissements!$B$6:$B$3005)-ROW(Ventes_Encaissements!$B$6)+1)/((Ventes_Encaissements!$E$6:$E$3005=$B556)*(Ventes_Encaissements!$J$6:$J$3005=$G556)*(Ventes_Encaissements!$C$6:$C$3005&gt;=$C556-3)*(Ventes_Encaissements!$C$6:$C$3005&lt;=$C556+3)),1)))</f>
        <v/>
      </c>
      <c r="K556" s="6" t="n"/>
    </row>
    <row r="557">
      <c r="A557" s="6" t="n"/>
      <c r="B557" s="6" t="n"/>
      <c r="C557" s="19" t="n"/>
      <c r="D557" s="19" t="n"/>
      <c r="E557" s="6" t="n"/>
      <c r="F557" s="20" t="n"/>
      <c r="G557" s="9">
        <f>IF($F557="","",IF($F557&gt;0,ROUND($F557,2),""))</f>
        <v/>
      </c>
      <c r="H557" s="12">
        <f>IF(OR($B557="",$C557="",$G557=""),"",COUNTIFS(Ventes_Encaissements!$E$6:$E$3005,$B557,Ventes_Encaissements!$J$6:$J$3005,$G557,Ventes_Encaissements!$C$6:$C$3005,"&gt;="&amp;($C557-3),Ventes_Encaissements!$C$6:$C$3005,"&lt;="&amp;($C557+3)))</f>
        <v/>
      </c>
      <c r="I557" s="12">
        <f>IF($H557="","",IF($H557=0,"Non trouvé",IF($H557=1,"Match","À vérifier")))</f>
        <v/>
      </c>
      <c r="J557" s="21">
        <f>IF($I557&lt;&gt;"Match","",INDEX(Ventes_Encaissements!$B$6:$B$3005,_xludf.AGGREGATE(15,6,(ROW(Ventes_Encaissements!$B$6:$B$3005)-ROW(Ventes_Encaissements!$B$6)+1)/((Ventes_Encaissements!$E$6:$E$3005=$B557)*(Ventes_Encaissements!$J$6:$J$3005=$G557)*(Ventes_Encaissements!$C$6:$C$3005&gt;=$C557-3)*(Ventes_Encaissements!$C$6:$C$3005&lt;=$C557+3)),1)))</f>
        <v/>
      </c>
      <c r="K557" s="6" t="n"/>
    </row>
    <row r="558">
      <c r="A558" s="6" t="n"/>
      <c r="B558" s="6" t="n"/>
      <c r="C558" s="19" t="n"/>
      <c r="D558" s="19" t="n"/>
      <c r="E558" s="6" t="n"/>
      <c r="F558" s="20" t="n"/>
      <c r="G558" s="9">
        <f>IF($F558="","",IF($F558&gt;0,ROUND($F558,2),""))</f>
        <v/>
      </c>
      <c r="H558" s="12">
        <f>IF(OR($B558="",$C558="",$G558=""),"",COUNTIFS(Ventes_Encaissements!$E$6:$E$3005,$B558,Ventes_Encaissements!$J$6:$J$3005,$G558,Ventes_Encaissements!$C$6:$C$3005,"&gt;="&amp;($C558-3),Ventes_Encaissements!$C$6:$C$3005,"&lt;="&amp;($C558+3)))</f>
        <v/>
      </c>
      <c r="I558" s="12">
        <f>IF($H558="","",IF($H558=0,"Non trouvé",IF($H558=1,"Match","À vérifier")))</f>
        <v/>
      </c>
      <c r="J558" s="21">
        <f>IF($I558&lt;&gt;"Match","",INDEX(Ventes_Encaissements!$B$6:$B$3005,_xludf.AGGREGATE(15,6,(ROW(Ventes_Encaissements!$B$6:$B$3005)-ROW(Ventes_Encaissements!$B$6)+1)/((Ventes_Encaissements!$E$6:$E$3005=$B558)*(Ventes_Encaissements!$J$6:$J$3005=$G558)*(Ventes_Encaissements!$C$6:$C$3005&gt;=$C558-3)*(Ventes_Encaissements!$C$6:$C$3005&lt;=$C558+3)),1)))</f>
        <v/>
      </c>
      <c r="K558" s="6" t="n"/>
    </row>
    <row r="559">
      <c r="A559" s="6" t="n"/>
      <c r="B559" s="6" t="n"/>
      <c r="C559" s="19" t="n"/>
      <c r="D559" s="19" t="n"/>
      <c r="E559" s="6" t="n"/>
      <c r="F559" s="20" t="n"/>
      <c r="G559" s="9">
        <f>IF($F559="","",IF($F559&gt;0,ROUND($F559,2),""))</f>
        <v/>
      </c>
      <c r="H559" s="12">
        <f>IF(OR($B559="",$C559="",$G559=""),"",COUNTIFS(Ventes_Encaissements!$E$6:$E$3005,$B559,Ventes_Encaissements!$J$6:$J$3005,$G559,Ventes_Encaissements!$C$6:$C$3005,"&gt;="&amp;($C559-3),Ventes_Encaissements!$C$6:$C$3005,"&lt;="&amp;($C559+3)))</f>
        <v/>
      </c>
      <c r="I559" s="12">
        <f>IF($H559="","",IF($H559=0,"Non trouvé",IF($H559=1,"Match","À vérifier")))</f>
        <v/>
      </c>
      <c r="J559" s="21">
        <f>IF($I559&lt;&gt;"Match","",INDEX(Ventes_Encaissements!$B$6:$B$3005,_xludf.AGGREGATE(15,6,(ROW(Ventes_Encaissements!$B$6:$B$3005)-ROW(Ventes_Encaissements!$B$6)+1)/((Ventes_Encaissements!$E$6:$E$3005=$B559)*(Ventes_Encaissements!$J$6:$J$3005=$G559)*(Ventes_Encaissements!$C$6:$C$3005&gt;=$C559-3)*(Ventes_Encaissements!$C$6:$C$3005&lt;=$C559+3)),1)))</f>
        <v/>
      </c>
      <c r="K559" s="6" t="n"/>
    </row>
    <row r="560">
      <c r="A560" s="6" t="n"/>
      <c r="B560" s="6" t="n"/>
      <c r="C560" s="19" t="n"/>
      <c r="D560" s="19" t="n"/>
      <c r="E560" s="6" t="n"/>
      <c r="F560" s="20" t="n"/>
      <c r="G560" s="9">
        <f>IF($F560="","",IF($F560&gt;0,ROUND($F560,2),""))</f>
        <v/>
      </c>
      <c r="H560" s="12">
        <f>IF(OR($B560="",$C560="",$G560=""),"",COUNTIFS(Ventes_Encaissements!$E$6:$E$3005,$B560,Ventes_Encaissements!$J$6:$J$3005,$G560,Ventes_Encaissements!$C$6:$C$3005,"&gt;="&amp;($C560-3),Ventes_Encaissements!$C$6:$C$3005,"&lt;="&amp;($C560+3)))</f>
        <v/>
      </c>
      <c r="I560" s="12">
        <f>IF($H560="","",IF($H560=0,"Non trouvé",IF($H560=1,"Match","À vérifier")))</f>
        <v/>
      </c>
      <c r="J560" s="21">
        <f>IF($I560&lt;&gt;"Match","",INDEX(Ventes_Encaissements!$B$6:$B$3005,_xludf.AGGREGATE(15,6,(ROW(Ventes_Encaissements!$B$6:$B$3005)-ROW(Ventes_Encaissements!$B$6)+1)/((Ventes_Encaissements!$E$6:$E$3005=$B560)*(Ventes_Encaissements!$J$6:$J$3005=$G560)*(Ventes_Encaissements!$C$6:$C$3005&gt;=$C560-3)*(Ventes_Encaissements!$C$6:$C$3005&lt;=$C560+3)),1)))</f>
        <v/>
      </c>
      <c r="K560" s="6" t="n"/>
    </row>
    <row r="561">
      <c r="A561" s="6" t="n"/>
      <c r="B561" s="6" t="n"/>
      <c r="C561" s="19" t="n"/>
      <c r="D561" s="19" t="n"/>
      <c r="E561" s="6" t="n"/>
      <c r="F561" s="20" t="n"/>
      <c r="G561" s="9">
        <f>IF($F561="","",IF($F561&gt;0,ROUND($F561,2),""))</f>
        <v/>
      </c>
      <c r="H561" s="12">
        <f>IF(OR($B561="",$C561="",$G561=""),"",COUNTIFS(Ventes_Encaissements!$E$6:$E$3005,$B561,Ventes_Encaissements!$J$6:$J$3005,$G561,Ventes_Encaissements!$C$6:$C$3005,"&gt;="&amp;($C561-3),Ventes_Encaissements!$C$6:$C$3005,"&lt;="&amp;($C561+3)))</f>
        <v/>
      </c>
      <c r="I561" s="12">
        <f>IF($H561="","",IF($H561=0,"Non trouvé",IF($H561=1,"Match","À vérifier")))</f>
        <v/>
      </c>
      <c r="J561" s="21">
        <f>IF($I561&lt;&gt;"Match","",INDEX(Ventes_Encaissements!$B$6:$B$3005,_xludf.AGGREGATE(15,6,(ROW(Ventes_Encaissements!$B$6:$B$3005)-ROW(Ventes_Encaissements!$B$6)+1)/((Ventes_Encaissements!$E$6:$E$3005=$B561)*(Ventes_Encaissements!$J$6:$J$3005=$G561)*(Ventes_Encaissements!$C$6:$C$3005&gt;=$C561-3)*(Ventes_Encaissements!$C$6:$C$3005&lt;=$C561+3)),1)))</f>
        <v/>
      </c>
      <c r="K561" s="6" t="n"/>
    </row>
    <row r="562">
      <c r="A562" s="6" t="n"/>
      <c r="B562" s="6" t="n"/>
      <c r="C562" s="19" t="n"/>
      <c r="D562" s="19" t="n"/>
      <c r="E562" s="6" t="n"/>
      <c r="F562" s="20" t="n"/>
      <c r="G562" s="9">
        <f>IF($F562="","",IF($F562&gt;0,ROUND($F562,2),""))</f>
        <v/>
      </c>
      <c r="H562" s="12">
        <f>IF(OR($B562="",$C562="",$G562=""),"",COUNTIFS(Ventes_Encaissements!$E$6:$E$3005,$B562,Ventes_Encaissements!$J$6:$J$3005,$G562,Ventes_Encaissements!$C$6:$C$3005,"&gt;="&amp;($C562-3),Ventes_Encaissements!$C$6:$C$3005,"&lt;="&amp;($C562+3)))</f>
        <v/>
      </c>
      <c r="I562" s="12">
        <f>IF($H562="","",IF($H562=0,"Non trouvé",IF($H562=1,"Match","À vérifier")))</f>
        <v/>
      </c>
      <c r="J562" s="21">
        <f>IF($I562&lt;&gt;"Match","",INDEX(Ventes_Encaissements!$B$6:$B$3005,_xludf.AGGREGATE(15,6,(ROW(Ventes_Encaissements!$B$6:$B$3005)-ROW(Ventes_Encaissements!$B$6)+1)/((Ventes_Encaissements!$E$6:$E$3005=$B562)*(Ventes_Encaissements!$J$6:$J$3005=$G562)*(Ventes_Encaissements!$C$6:$C$3005&gt;=$C562-3)*(Ventes_Encaissements!$C$6:$C$3005&lt;=$C562+3)),1)))</f>
        <v/>
      </c>
      <c r="K562" s="6" t="n"/>
    </row>
    <row r="563">
      <c r="A563" s="6" t="n"/>
      <c r="B563" s="6" t="n"/>
      <c r="C563" s="19" t="n"/>
      <c r="D563" s="19" t="n"/>
      <c r="E563" s="6" t="n"/>
      <c r="F563" s="20" t="n"/>
      <c r="G563" s="9">
        <f>IF($F563="","",IF($F563&gt;0,ROUND($F563,2),""))</f>
        <v/>
      </c>
      <c r="H563" s="12">
        <f>IF(OR($B563="",$C563="",$G563=""),"",COUNTIFS(Ventes_Encaissements!$E$6:$E$3005,$B563,Ventes_Encaissements!$J$6:$J$3005,$G563,Ventes_Encaissements!$C$6:$C$3005,"&gt;="&amp;($C563-3),Ventes_Encaissements!$C$6:$C$3005,"&lt;="&amp;($C563+3)))</f>
        <v/>
      </c>
      <c r="I563" s="12">
        <f>IF($H563="","",IF($H563=0,"Non trouvé",IF($H563=1,"Match","À vérifier")))</f>
        <v/>
      </c>
      <c r="J563" s="21">
        <f>IF($I563&lt;&gt;"Match","",INDEX(Ventes_Encaissements!$B$6:$B$3005,_xludf.AGGREGATE(15,6,(ROW(Ventes_Encaissements!$B$6:$B$3005)-ROW(Ventes_Encaissements!$B$6)+1)/((Ventes_Encaissements!$E$6:$E$3005=$B563)*(Ventes_Encaissements!$J$6:$J$3005=$G563)*(Ventes_Encaissements!$C$6:$C$3005&gt;=$C563-3)*(Ventes_Encaissements!$C$6:$C$3005&lt;=$C563+3)),1)))</f>
        <v/>
      </c>
      <c r="K563" s="6" t="n"/>
    </row>
    <row r="564">
      <c r="A564" s="6" t="n"/>
      <c r="B564" s="6" t="n"/>
      <c r="C564" s="19" t="n"/>
      <c r="D564" s="19" t="n"/>
      <c r="E564" s="6" t="n"/>
      <c r="F564" s="20" t="n"/>
      <c r="G564" s="9">
        <f>IF($F564="","",IF($F564&gt;0,ROUND($F564,2),""))</f>
        <v/>
      </c>
      <c r="H564" s="12">
        <f>IF(OR($B564="",$C564="",$G564=""),"",COUNTIFS(Ventes_Encaissements!$E$6:$E$3005,$B564,Ventes_Encaissements!$J$6:$J$3005,$G564,Ventes_Encaissements!$C$6:$C$3005,"&gt;="&amp;($C564-3),Ventes_Encaissements!$C$6:$C$3005,"&lt;="&amp;($C564+3)))</f>
        <v/>
      </c>
      <c r="I564" s="12">
        <f>IF($H564="","",IF($H564=0,"Non trouvé",IF($H564=1,"Match","À vérifier")))</f>
        <v/>
      </c>
      <c r="J564" s="21">
        <f>IF($I564&lt;&gt;"Match","",INDEX(Ventes_Encaissements!$B$6:$B$3005,_xludf.AGGREGATE(15,6,(ROW(Ventes_Encaissements!$B$6:$B$3005)-ROW(Ventes_Encaissements!$B$6)+1)/((Ventes_Encaissements!$E$6:$E$3005=$B564)*(Ventes_Encaissements!$J$6:$J$3005=$G564)*(Ventes_Encaissements!$C$6:$C$3005&gt;=$C564-3)*(Ventes_Encaissements!$C$6:$C$3005&lt;=$C564+3)),1)))</f>
        <v/>
      </c>
      <c r="K564" s="6" t="n"/>
    </row>
    <row r="565">
      <c r="A565" s="6" t="n"/>
      <c r="B565" s="6" t="n"/>
      <c r="C565" s="19" t="n"/>
      <c r="D565" s="19" t="n"/>
      <c r="E565" s="6" t="n"/>
      <c r="F565" s="20" t="n"/>
      <c r="G565" s="9">
        <f>IF($F565="","",IF($F565&gt;0,ROUND($F565,2),""))</f>
        <v/>
      </c>
      <c r="H565" s="12">
        <f>IF(OR($B565="",$C565="",$G565=""),"",COUNTIFS(Ventes_Encaissements!$E$6:$E$3005,$B565,Ventes_Encaissements!$J$6:$J$3005,$G565,Ventes_Encaissements!$C$6:$C$3005,"&gt;="&amp;($C565-3),Ventes_Encaissements!$C$6:$C$3005,"&lt;="&amp;($C565+3)))</f>
        <v/>
      </c>
      <c r="I565" s="12">
        <f>IF($H565="","",IF($H565=0,"Non trouvé",IF($H565=1,"Match","À vérifier")))</f>
        <v/>
      </c>
      <c r="J565" s="21">
        <f>IF($I565&lt;&gt;"Match","",INDEX(Ventes_Encaissements!$B$6:$B$3005,_xludf.AGGREGATE(15,6,(ROW(Ventes_Encaissements!$B$6:$B$3005)-ROW(Ventes_Encaissements!$B$6)+1)/((Ventes_Encaissements!$E$6:$E$3005=$B565)*(Ventes_Encaissements!$J$6:$J$3005=$G565)*(Ventes_Encaissements!$C$6:$C$3005&gt;=$C565-3)*(Ventes_Encaissements!$C$6:$C$3005&lt;=$C565+3)),1)))</f>
        <v/>
      </c>
      <c r="K565" s="6" t="n"/>
    </row>
    <row r="566">
      <c r="A566" s="6" t="n"/>
      <c r="B566" s="6" t="n"/>
      <c r="C566" s="19" t="n"/>
      <c r="D566" s="19" t="n"/>
      <c r="E566" s="6" t="n"/>
      <c r="F566" s="20" t="n"/>
      <c r="G566" s="9">
        <f>IF($F566="","",IF($F566&gt;0,ROUND($F566,2),""))</f>
        <v/>
      </c>
      <c r="H566" s="12">
        <f>IF(OR($B566="",$C566="",$G566=""),"",COUNTIFS(Ventes_Encaissements!$E$6:$E$3005,$B566,Ventes_Encaissements!$J$6:$J$3005,$G566,Ventes_Encaissements!$C$6:$C$3005,"&gt;="&amp;($C566-3),Ventes_Encaissements!$C$6:$C$3005,"&lt;="&amp;($C566+3)))</f>
        <v/>
      </c>
      <c r="I566" s="12">
        <f>IF($H566="","",IF($H566=0,"Non trouvé",IF($H566=1,"Match","À vérifier")))</f>
        <v/>
      </c>
      <c r="J566" s="21">
        <f>IF($I566&lt;&gt;"Match","",INDEX(Ventes_Encaissements!$B$6:$B$3005,_xludf.AGGREGATE(15,6,(ROW(Ventes_Encaissements!$B$6:$B$3005)-ROW(Ventes_Encaissements!$B$6)+1)/((Ventes_Encaissements!$E$6:$E$3005=$B566)*(Ventes_Encaissements!$J$6:$J$3005=$G566)*(Ventes_Encaissements!$C$6:$C$3005&gt;=$C566-3)*(Ventes_Encaissements!$C$6:$C$3005&lt;=$C566+3)),1)))</f>
        <v/>
      </c>
      <c r="K566" s="6" t="n"/>
    </row>
    <row r="567">
      <c r="A567" s="6" t="n"/>
      <c r="B567" s="6" t="n"/>
      <c r="C567" s="19" t="n"/>
      <c r="D567" s="19" t="n"/>
      <c r="E567" s="6" t="n"/>
      <c r="F567" s="20" t="n"/>
      <c r="G567" s="9">
        <f>IF($F567="","",IF($F567&gt;0,ROUND($F567,2),""))</f>
        <v/>
      </c>
      <c r="H567" s="12">
        <f>IF(OR($B567="",$C567="",$G567=""),"",COUNTIFS(Ventes_Encaissements!$E$6:$E$3005,$B567,Ventes_Encaissements!$J$6:$J$3005,$G567,Ventes_Encaissements!$C$6:$C$3005,"&gt;="&amp;($C567-3),Ventes_Encaissements!$C$6:$C$3005,"&lt;="&amp;($C567+3)))</f>
        <v/>
      </c>
      <c r="I567" s="12">
        <f>IF($H567="","",IF($H567=0,"Non trouvé",IF($H567=1,"Match","À vérifier")))</f>
        <v/>
      </c>
      <c r="J567" s="21">
        <f>IF($I567&lt;&gt;"Match","",INDEX(Ventes_Encaissements!$B$6:$B$3005,_xludf.AGGREGATE(15,6,(ROW(Ventes_Encaissements!$B$6:$B$3005)-ROW(Ventes_Encaissements!$B$6)+1)/((Ventes_Encaissements!$E$6:$E$3005=$B567)*(Ventes_Encaissements!$J$6:$J$3005=$G567)*(Ventes_Encaissements!$C$6:$C$3005&gt;=$C567-3)*(Ventes_Encaissements!$C$6:$C$3005&lt;=$C567+3)),1)))</f>
        <v/>
      </c>
      <c r="K567" s="6" t="n"/>
    </row>
    <row r="568">
      <c r="A568" s="6" t="n"/>
      <c r="B568" s="6" t="n"/>
      <c r="C568" s="19" t="n"/>
      <c r="D568" s="19" t="n"/>
      <c r="E568" s="6" t="n"/>
      <c r="F568" s="20" t="n"/>
      <c r="G568" s="9">
        <f>IF($F568="","",IF($F568&gt;0,ROUND($F568,2),""))</f>
        <v/>
      </c>
      <c r="H568" s="12">
        <f>IF(OR($B568="",$C568="",$G568=""),"",COUNTIFS(Ventes_Encaissements!$E$6:$E$3005,$B568,Ventes_Encaissements!$J$6:$J$3005,$G568,Ventes_Encaissements!$C$6:$C$3005,"&gt;="&amp;($C568-3),Ventes_Encaissements!$C$6:$C$3005,"&lt;="&amp;($C568+3)))</f>
        <v/>
      </c>
      <c r="I568" s="12">
        <f>IF($H568="","",IF($H568=0,"Non trouvé",IF($H568=1,"Match","À vérifier")))</f>
        <v/>
      </c>
      <c r="J568" s="21">
        <f>IF($I568&lt;&gt;"Match","",INDEX(Ventes_Encaissements!$B$6:$B$3005,_xludf.AGGREGATE(15,6,(ROW(Ventes_Encaissements!$B$6:$B$3005)-ROW(Ventes_Encaissements!$B$6)+1)/((Ventes_Encaissements!$E$6:$E$3005=$B568)*(Ventes_Encaissements!$J$6:$J$3005=$G568)*(Ventes_Encaissements!$C$6:$C$3005&gt;=$C568-3)*(Ventes_Encaissements!$C$6:$C$3005&lt;=$C568+3)),1)))</f>
        <v/>
      </c>
      <c r="K568" s="6" t="n"/>
    </row>
    <row r="569">
      <c r="A569" s="6" t="n"/>
      <c r="B569" s="6" t="n"/>
      <c r="C569" s="19" t="n"/>
      <c r="D569" s="19" t="n"/>
      <c r="E569" s="6" t="n"/>
      <c r="F569" s="20" t="n"/>
      <c r="G569" s="9">
        <f>IF($F569="","",IF($F569&gt;0,ROUND($F569,2),""))</f>
        <v/>
      </c>
      <c r="H569" s="12">
        <f>IF(OR($B569="",$C569="",$G569=""),"",COUNTIFS(Ventes_Encaissements!$E$6:$E$3005,$B569,Ventes_Encaissements!$J$6:$J$3005,$G569,Ventes_Encaissements!$C$6:$C$3005,"&gt;="&amp;($C569-3),Ventes_Encaissements!$C$6:$C$3005,"&lt;="&amp;($C569+3)))</f>
        <v/>
      </c>
      <c r="I569" s="12">
        <f>IF($H569="","",IF($H569=0,"Non trouvé",IF($H569=1,"Match","À vérifier")))</f>
        <v/>
      </c>
      <c r="J569" s="21">
        <f>IF($I569&lt;&gt;"Match","",INDEX(Ventes_Encaissements!$B$6:$B$3005,_xludf.AGGREGATE(15,6,(ROW(Ventes_Encaissements!$B$6:$B$3005)-ROW(Ventes_Encaissements!$B$6)+1)/((Ventes_Encaissements!$E$6:$E$3005=$B569)*(Ventes_Encaissements!$J$6:$J$3005=$G569)*(Ventes_Encaissements!$C$6:$C$3005&gt;=$C569-3)*(Ventes_Encaissements!$C$6:$C$3005&lt;=$C569+3)),1)))</f>
        <v/>
      </c>
      <c r="K569" s="6" t="n"/>
    </row>
    <row r="570">
      <c r="A570" s="6" t="n"/>
      <c r="B570" s="6" t="n"/>
      <c r="C570" s="19" t="n"/>
      <c r="D570" s="19" t="n"/>
      <c r="E570" s="6" t="n"/>
      <c r="F570" s="20" t="n"/>
      <c r="G570" s="9">
        <f>IF($F570="","",IF($F570&gt;0,ROUND($F570,2),""))</f>
        <v/>
      </c>
      <c r="H570" s="12">
        <f>IF(OR($B570="",$C570="",$G570=""),"",COUNTIFS(Ventes_Encaissements!$E$6:$E$3005,$B570,Ventes_Encaissements!$J$6:$J$3005,$G570,Ventes_Encaissements!$C$6:$C$3005,"&gt;="&amp;($C570-3),Ventes_Encaissements!$C$6:$C$3005,"&lt;="&amp;($C570+3)))</f>
        <v/>
      </c>
      <c r="I570" s="12">
        <f>IF($H570="","",IF($H570=0,"Non trouvé",IF($H570=1,"Match","À vérifier")))</f>
        <v/>
      </c>
      <c r="J570" s="21">
        <f>IF($I570&lt;&gt;"Match","",INDEX(Ventes_Encaissements!$B$6:$B$3005,_xludf.AGGREGATE(15,6,(ROW(Ventes_Encaissements!$B$6:$B$3005)-ROW(Ventes_Encaissements!$B$6)+1)/((Ventes_Encaissements!$E$6:$E$3005=$B570)*(Ventes_Encaissements!$J$6:$J$3005=$G570)*(Ventes_Encaissements!$C$6:$C$3005&gt;=$C570-3)*(Ventes_Encaissements!$C$6:$C$3005&lt;=$C570+3)),1)))</f>
        <v/>
      </c>
      <c r="K570" s="6" t="n"/>
    </row>
    <row r="571">
      <c r="A571" s="6" t="n"/>
      <c r="B571" s="6" t="n"/>
      <c r="C571" s="19" t="n"/>
      <c r="D571" s="19" t="n"/>
      <c r="E571" s="6" t="n"/>
      <c r="F571" s="20" t="n"/>
      <c r="G571" s="9">
        <f>IF($F571="","",IF($F571&gt;0,ROUND($F571,2),""))</f>
        <v/>
      </c>
      <c r="H571" s="12">
        <f>IF(OR($B571="",$C571="",$G571=""),"",COUNTIFS(Ventes_Encaissements!$E$6:$E$3005,$B571,Ventes_Encaissements!$J$6:$J$3005,$G571,Ventes_Encaissements!$C$6:$C$3005,"&gt;="&amp;($C571-3),Ventes_Encaissements!$C$6:$C$3005,"&lt;="&amp;($C571+3)))</f>
        <v/>
      </c>
      <c r="I571" s="12">
        <f>IF($H571="","",IF($H571=0,"Non trouvé",IF($H571=1,"Match","À vérifier")))</f>
        <v/>
      </c>
      <c r="J571" s="21">
        <f>IF($I571&lt;&gt;"Match","",INDEX(Ventes_Encaissements!$B$6:$B$3005,_xludf.AGGREGATE(15,6,(ROW(Ventes_Encaissements!$B$6:$B$3005)-ROW(Ventes_Encaissements!$B$6)+1)/((Ventes_Encaissements!$E$6:$E$3005=$B571)*(Ventes_Encaissements!$J$6:$J$3005=$G571)*(Ventes_Encaissements!$C$6:$C$3005&gt;=$C571-3)*(Ventes_Encaissements!$C$6:$C$3005&lt;=$C571+3)),1)))</f>
        <v/>
      </c>
      <c r="K571" s="6" t="n"/>
    </row>
    <row r="572">
      <c r="A572" s="6" t="n"/>
      <c r="B572" s="6" t="n"/>
      <c r="C572" s="19" t="n"/>
      <c r="D572" s="19" t="n"/>
      <c r="E572" s="6" t="n"/>
      <c r="F572" s="20" t="n"/>
      <c r="G572" s="9">
        <f>IF($F572="","",IF($F572&gt;0,ROUND($F572,2),""))</f>
        <v/>
      </c>
      <c r="H572" s="12">
        <f>IF(OR($B572="",$C572="",$G572=""),"",COUNTIFS(Ventes_Encaissements!$E$6:$E$3005,$B572,Ventes_Encaissements!$J$6:$J$3005,$G572,Ventes_Encaissements!$C$6:$C$3005,"&gt;="&amp;($C572-3),Ventes_Encaissements!$C$6:$C$3005,"&lt;="&amp;($C572+3)))</f>
        <v/>
      </c>
      <c r="I572" s="12">
        <f>IF($H572="","",IF($H572=0,"Non trouvé",IF($H572=1,"Match","À vérifier")))</f>
        <v/>
      </c>
      <c r="J572" s="21">
        <f>IF($I572&lt;&gt;"Match","",INDEX(Ventes_Encaissements!$B$6:$B$3005,_xludf.AGGREGATE(15,6,(ROW(Ventes_Encaissements!$B$6:$B$3005)-ROW(Ventes_Encaissements!$B$6)+1)/((Ventes_Encaissements!$E$6:$E$3005=$B572)*(Ventes_Encaissements!$J$6:$J$3005=$G572)*(Ventes_Encaissements!$C$6:$C$3005&gt;=$C572-3)*(Ventes_Encaissements!$C$6:$C$3005&lt;=$C572+3)),1)))</f>
        <v/>
      </c>
      <c r="K572" s="6" t="n"/>
    </row>
    <row r="573">
      <c r="A573" s="6" t="n"/>
      <c r="B573" s="6" t="n"/>
      <c r="C573" s="19" t="n"/>
      <c r="D573" s="19" t="n"/>
      <c r="E573" s="6" t="n"/>
      <c r="F573" s="20" t="n"/>
      <c r="G573" s="9">
        <f>IF($F573="","",IF($F573&gt;0,ROUND($F573,2),""))</f>
        <v/>
      </c>
      <c r="H573" s="12">
        <f>IF(OR($B573="",$C573="",$G573=""),"",COUNTIFS(Ventes_Encaissements!$E$6:$E$3005,$B573,Ventes_Encaissements!$J$6:$J$3005,$G573,Ventes_Encaissements!$C$6:$C$3005,"&gt;="&amp;($C573-3),Ventes_Encaissements!$C$6:$C$3005,"&lt;="&amp;($C573+3)))</f>
        <v/>
      </c>
      <c r="I573" s="12">
        <f>IF($H573="","",IF($H573=0,"Non trouvé",IF($H573=1,"Match","À vérifier")))</f>
        <v/>
      </c>
      <c r="J573" s="21">
        <f>IF($I573&lt;&gt;"Match","",INDEX(Ventes_Encaissements!$B$6:$B$3005,_xludf.AGGREGATE(15,6,(ROW(Ventes_Encaissements!$B$6:$B$3005)-ROW(Ventes_Encaissements!$B$6)+1)/((Ventes_Encaissements!$E$6:$E$3005=$B573)*(Ventes_Encaissements!$J$6:$J$3005=$G573)*(Ventes_Encaissements!$C$6:$C$3005&gt;=$C573-3)*(Ventes_Encaissements!$C$6:$C$3005&lt;=$C573+3)),1)))</f>
        <v/>
      </c>
      <c r="K573" s="6" t="n"/>
    </row>
    <row r="574">
      <c r="A574" s="6" t="n"/>
      <c r="B574" s="6" t="n"/>
      <c r="C574" s="19" t="n"/>
      <c r="D574" s="19" t="n"/>
      <c r="E574" s="6" t="n"/>
      <c r="F574" s="20" t="n"/>
      <c r="G574" s="9">
        <f>IF($F574="","",IF($F574&gt;0,ROUND($F574,2),""))</f>
        <v/>
      </c>
      <c r="H574" s="12">
        <f>IF(OR($B574="",$C574="",$G574=""),"",COUNTIFS(Ventes_Encaissements!$E$6:$E$3005,$B574,Ventes_Encaissements!$J$6:$J$3005,$G574,Ventes_Encaissements!$C$6:$C$3005,"&gt;="&amp;($C574-3),Ventes_Encaissements!$C$6:$C$3005,"&lt;="&amp;($C574+3)))</f>
        <v/>
      </c>
      <c r="I574" s="12">
        <f>IF($H574="","",IF($H574=0,"Non trouvé",IF($H574=1,"Match","À vérifier")))</f>
        <v/>
      </c>
      <c r="J574" s="21">
        <f>IF($I574&lt;&gt;"Match","",INDEX(Ventes_Encaissements!$B$6:$B$3005,_xludf.AGGREGATE(15,6,(ROW(Ventes_Encaissements!$B$6:$B$3005)-ROW(Ventes_Encaissements!$B$6)+1)/((Ventes_Encaissements!$E$6:$E$3005=$B574)*(Ventes_Encaissements!$J$6:$J$3005=$G574)*(Ventes_Encaissements!$C$6:$C$3005&gt;=$C574-3)*(Ventes_Encaissements!$C$6:$C$3005&lt;=$C574+3)),1)))</f>
        <v/>
      </c>
      <c r="K574" s="6" t="n"/>
    </row>
    <row r="575">
      <c r="A575" s="6" t="n"/>
      <c r="B575" s="6" t="n"/>
      <c r="C575" s="19" t="n"/>
      <c r="D575" s="19" t="n"/>
      <c r="E575" s="6" t="n"/>
      <c r="F575" s="20" t="n"/>
      <c r="G575" s="9">
        <f>IF($F575="","",IF($F575&gt;0,ROUND($F575,2),""))</f>
        <v/>
      </c>
      <c r="H575" s="12">
        <f>IF(OR($B575="",$C575="",$G575=""),"",COUNTIFS(Ventes_Encaissements!$E$6:$E$3005,$B575,Ventes_Encaissements!$J$6:$J$3005,$G575,Ventes_Encaissements!$C$6:$C$3005,"&gt;="&amp;($C575-3),Ventes_Encaissements!$C$6:$C$3005,"&lt;="&amp;($C575+3)))</f>
        <v/>
      </c>
      <c r="I575" s="12">
        <f>IF($H575="","",IF($H575=0,"Non trouvé",IF($H575=1,"Match","À vérifier")))</f>
        <v/>
      </c>
      <c r="J575" s="21">
        <f>IF($I575&lt;&gt;"Match","",INDEX(Ventes_Encaissements!$B$6:$B$3005,_xludf.AGGREGATE(15,6,(ROW(Ventes_Encaissements!$B$6:$B$3005)-ROW(Ventes_Encaissements!$B$6)+1)/((Ventes_Encaissements!$E$6:$E$3005=$B575)*(Ventes_Encaissements!$J$6:$J$3005=$G575)*(Ventes_Encaissements!$C$6:$C$3005&gt;=$C575-3)*(Ventes_Encaissements!$C$6:$C$3005&lt;=$C575+3)),1)))</f>
        <v/>
      </c>
      <c r="K575" s="6" t="n"/>
    </row>
    <row r="576">
      <c r="A576" s="6" t="n"/>
      <c r="B576" s="6" t="n"/>
      <c r="C576" s="19" t="n"/>
      <c r="D576" s="19" t="n"/>
      <c r="E576" s="6" t="n"/>
      <c r="F576" s="20" t="n"/>
      <c r="G576" s="9">
        <f>IF($F576="","",IF($F576&gt;0,ROUND($F576,2),""))</f>
        <v/>
      </c>
      <c r="H576" s="12">
        <f>IF(OR($B576="",$C576="",$G576=""),"",COUNTIFS(Ventes_Encaissements!$E$6:$E$3005,$B576,Ventes_Encaissements!$J$6:$J$3005,$G576,Ventes_Encaissements!$C$6:$C$3005,"&gt;="&amp;($C576-3),Ventes_Encaissements!$C$6:$C$3005,"&lt;="&amp;($C576+3)))</f>
        <v/>
      </c>
      <c r="I576" s="12">
        <f>IF($H576="","",IF($H576=0,"Non trouvé",IF($H576=1,"Match","À vérifier")))</f>
        <v/>
      </c>
      <c r="J576" s="21">
        <f>IF($I576&lt;&gt;"Match","",INDEX(Ventes_Encaissements!$B$6:$B$3005,_xludf.AGGREGATE(15,6,(ROW(Ventes_Encaissements!$B$6:$B$3005)-ROW(Ventes_Encaissements!$B$6)+1)/((Ventes_Encaissements!$E$6:$E$3005=$B576)*(Ventes_Encaissements!$J$6:$J$3005=$G576)*(Ventes_Encaissements!$C$6:$C$3005&gt;=$C576-3)*(Ventes_Encaissements!$C$6:$C$3005&lt;=$C576+3)),1)))</f>
        <v/>
      </c>
      <c r="K576" s="6" t="n"/>
    </row>
    <row r="577">
      <c r="A577" s="6" t="n"/>
      <c r="B577" s="6" t="n"/>
      <c r="C577" s="19" t="n"/>
      <c r="D577" s="19" t="n"/>
      <c r="E577" s="6" t="n"/>
      <c r="F577" s="20" t="n"/>
      <c r="G577" s="9">
        <f>IF($F577="","",IF($F577&gt;0,ROUND($F577,2),""))</f>
        <v/>
      </c>
      <c r="H577" s="12">
        <f>IF(OR($B577="",$C577="",$G577=""),"",COUNTIFS(Ventes_Encaissements!$E$6:$E$3005,$B577,Ventes_Encaissements!$J$6:$J$3005,$G577,Ventes_Encaissements!$C$6:$C$3005,"&gt;="&amp;($C577-3),Ventes_Encaissements!$C$6:$C$3005,"&lt;="&amp;($C577+3)))</f>
        <v/>
      </c>
      <c r="I577" s="12">
        <f>IF($H577="","",IF($H577=0,"Non trouvé",IF($H577=1,"Match","À vérifier")))</f>
        <v/>
      </c>
      <c r="J577" s="21">
        <f>IF($I577&lt;&gt;"Match","",INDEX(Ventes_Encaissements!$B$6:$B$3005,_xludf.AGGREGATE(15,6,(ROW(Ventes_Encaissements!$B$6:$B$3005)-ROW(Ventes_Encaissements!$B$6)+1)/((Ventes_Encaissements!$E$6:$E$3005=$B577)*(Ventes_Encaissements!$J$6:$J$3005=$G577)*(Ventes_Encaissements!$C$6:$C$3005&gt;=$C577-3)*(Ventes_Encaissements!$C$6:$C$3005&lt;=$C577+3)),1)))</f>
        <v/>
      </c>
      <c r="K577" s="6" t="n"/>
    </row>
    <row r="578">
      <c r="A578" s="6" t="n"/>
      <c r="B578" s="6" t="n"/>
      <c r="C578" s="19" t="n"/>
      <c r="D578" s="19" t="n"/>
      <c r="E578" s="6" t="n"/>
      <c r="F578" s="20" t="n"/>
      <c r="G578" s="9">
        <f>IF($F578="","",IF($F578&gt;0,ROUND($F578,2),""))</f>
        <v/>
      </c>
      <c r="H578" s="12">
        <f>IF(OR($B578="",$C578="",$G578=""),"",COUNTIFS(Ventes_Encaissements!$E$6:$E$3005,$B578,Ventes_Encaissements!$J$6:$J$3005,$G578,Ventes_Encaissements!$C$6:$C$3005,"&gt;="&amp;($C578-3),Ventes_Encaissements!$C$6:$C$3005,"&lt;="&amp;($C578+3)))</f>
        <v/>
      </c>
      <c r="I578" s="12">
        <f>IF($H578="","",IF($H578=0,"Non trouvé",IF($H578=1,"Match","À vérifier")))</f>
        <v/>
      </c>
      <c r="J578" s="21">
        <f>IF($I578&lt;&gt;"Match","",INDEX(Ventes_Encaissements!$B$6:$B$3005,_xludf.AGGREGATE(15,6,(ROW(Ventes_Encaissements!$B$6:$B$3005)-ROW(Ventes_Encaissements!$B$6)+1)/((Ventes_Encaissements!$E$6:$E$3005=$B578)*(Ventes_Encaissements!$J$6:$J$3005=$G578)*(Ventes_Encaissements!$C$6:$C$3005&gt;=$C578-3)*(Ventes_Encaissements!$C$6:$C$3005&lt;=$C578+3)),1)))</f>
        <v/>
      </c>
      <c r="K578" s="6" t="n"/>
    </row>
    <row r="579">
      <c r="A579" s="6" t="n"/>
      <c r="B579" s="6" t="n"/>
      <c r="C579" s="19" t="n"/>
      <c r="D579" s="19" t="n"/>
      <c r="E579" s="6" t="n"/>
      <c r="F579" s="20" t="n"/>
      <c r="G579" s="9">
        <f>IF($F579="","",IF($F579&gt;0,ROUND($F579,2),""))</f>
        <v/>
      </c>
      <c r="H579" s="12">
        <f>IF(OR($B579="",$C579="",$G579=""),"",COUNTIFS(Ventes_Encaissements!$E$6:$E$3005,$B579,Ventes_Encaissements!$J$6:$J$3005,$G579,Ventes_Encaissements!$C$6:$C$3005,"&gt;="&amp;($C579-3),Ventes_Encaissements!$C$6:$C$3005,"&lt;="&amp;($C579+3)))</f>
        <v/>
      </c>
      <c r="I579" s="12">
        <f>IF($H579="","",IF($H579=0,"Non trouvé",IF($H579=1,"Match","À vérifier")))</f>
        <v/>
      </c>
      <c r="J579" s="21">
        <f>IF($I579&lt;&gt;"Match","",INDEX(Ventes_Encaissements!$B$6:$B$3005,_xludf.AGGREGATE(15,6,(ROW(Ventes_Encaissements!$B$6:$B$3005)-ROW(Ventes_Encaissements!$B$6)+1)/((Ventes_Encaissements!$E$6:$E$3005=$B579)*(Ventes_Encaissements!$J$6:$J$3005=$G579)*(Ventes_Encaissements!$C$6:$C$3005&gt;=$C579-3)*(Ventes_Encaissements!$C$6:$C$3005&lt;=$C579+3)),1)))</f>
        <v/>
      </c>
      <c r="K579" s="6" t="n"/>
    </row>
    <row r="580">
      <c r="A580" s="6" t="n"/>
      <c r="B580" s="6" t="n"/>
      <c r="C580" s="19" t="n"/>
      <c r="D580" s="19" t="n"/>
      <c r="E580" s="6" t="n"/>
      <c r="F580" s="20" t="n"/>
      <c r="G580" s="9">
        <f>IF($F580="","",IF($F580&gt;0,ROUND($F580,2),""))</f>
        <v/>
      </c>
      <c r="H580" s="12">
        <f>IF(OR($B580="",$C580="",$G580=""),"",COUNTIFS(Ventes_Encaissements!$E$6:$E$3005,$B580,Ventes_Encaissements!$J$6:$J$3005,$G580,Ventes_Encaissements!$C$6:$C$3005,"&gt;="&amp;($C580-3),Ventes_Encaissements!$C$6:$C$3005,"&lt;="&amp;($C580+3)))</f>
        <v/>
      </c>
      <c r="I580" s="12">
        <f>IF($H580="","",IF($H580=0,"Non trouvé",IF($H580=1,"Match","À vérifier")))</f>
        <v/>
      </c>
      <c r="J580" s="21">
        <f>IF($I580&lt;&gt;"Match","",INDEX(Ventes_Encaissements!$B$6:$B$3005,_xludf.AGGREGATE(15,6,(ROW(Ventes_Encaissements!$B$6:$B$3005)-ROW(Ventes_Encaissements!$B$6)+1)/((Ventes_Encaissements!$E$6:$E$3005=$B580)*(Ventes_Encaissements!$J$6:$J$3005=$G580)*(Ventes_Encaissements!$C$6:$C$3005&gt;=$C580-3)*(Ventes_Encaissements!$C$6:$C$3005&lt;=$C580+3)),1)))</f>
        <v/>
      </c>
      <c r="K580" s="6" t="n"/>
    </row>
    <row r="581">
      <c r="A581" s="6" t="n"/>
      <c r="B581" s="6" t="n"/>
      <c r="C581" s="19" t="n"/>
      <c r="D581" s="19" t="n"/>
      <c r="E581" s="6" t="n"/>
      <c r="F581" s="20" t="n"/>
      <c r="G581" s="9">
        <f>IF($F581="","",IF($F581&gt;0,ROUND($F581,2),""))</f>
        <v/>
      </c>
      <c r="H581" s="12">
        <f>IF(OR($B581="",$C581="",$G581=""),"",COUNTIFS(Ventes_Encaissements!$E$6:$E$3005,$B581,Ventes_Encaissements!$J$6:$J$3005,$G581,Ventes_Encaissements!$C$6:$C$3005,"&gt;="&amp;($C581-3),Ventes_Encaissements!$C$6:$C$3005,"&lt;="&amp;($C581+3)))</f>
        <v/>
      </c>
      <c r="I581" s="12">
        <f>IF($H581="","",IF($H581=0,"Non trouvé",IF($H581=1,"Match","À vérifier")))</f>
        <v/>
      </c>
      <c r="J581" s="21">
        <f>IF($I581&lt;&gt;"Match","",INDEX(Ventes_Encaissements!$B$6:$B$3005,_xludf.AGGREGATE(15,6,(ROW(Ventes_Encaissements!$B$6:$B$3005)-ROW(Ventes_Encaissements!$B$6)+1)/((Ventes_Encaissements!$E$6:$E$3005=$B581)*(Ventes_Encaissements!$J$6:$J$3005=$G581)*(Ventes_Encaissements!$C$6:$C$3005&gt;=$C581-3)*(Ventes_Encaissements!$C$6:$C$3005&lt;=$C581+3)),1)))</f>
        <v/>
      </c>
      <c r="K581" s="6" t="n"/>
    </row>
    <row r="582">
      <c r="A582" s="6" t="n"/>
      <c r="B582" s="6" t="n"/>
      <c r="C582" s="19" t="n"/>
      <c r="D582" s="19" t="n"/>
      <c r="E582" s="6" t="n"/>
      <c r="F582" s="20" t="n"/>
      <c r="G582" s="9">
        <f>IF($F582="","",IF($F582&gt;0,ROUND($F582,2),""))</f>
        <v/>
      </c>
      <c r="H582" s="12">
        <f>IF(OR($B582="",$C582="",$G582=""),"",COUNTIFS(Ventes_Encaissements!$E$6:$E$3005,$B582,Ventes_Encaissements!$J$6:$J$3005,$G582,Ventes_Encaissements!$C$6:$C$3005,"&gt;="&amp;($C582-3),Ventes_Encaissements!$C$6:$C$3005,"&lt;="&amp;($C582+3)))</f>
        <v/>
      </c>
      <c r="I582" s="12">
        <f>IF($H582="","",IF($H582=0,"Non trouvé",IF($H582=1,"Match","À vérifier")))</f>
        <v/>
      </c>
      <c r="J582" s="21">
        <f>IF($I582&lt;&gt;"Match","",INDEX(Ventes_Encaissements!$B$6:$B$3005,_xludf.AGGREGATE(15,6,(ROW(Ventes_Encaissements!$B$6:$B$3005)-ROW(Ventes_Encaissements!$B$6)+1)/((Ventes_Encaissements!$E$6:$E$3005=$B582)*(Ventes_Encaissements!$J$6:$J$3005=$G582)*(Ventes_Encaissements!$C$6:$C$3005&gt;=$C582-3)*(Ventes_Encaissements!$C$6:$C$3005&lt;=$C582+3)),1)))</f>
        <v/>
      </c>
      <c r="K582" s="6" t="n"/>
    </row>
    <row r="583">
      <c r="A583" s="6" t="n"/>
      <c r="B583" s="6" t="n"/>
      <c r="C583" s="19" t="n"/>
      <c r="D583" s="19" t="n"/>
      <c r="E583" s="6" t="n"/>
      <c r="F583" s="20" t="n"/>
      <c r="G583" s="9">
        <f>IF($F583="","",IF($F583&gt;0,ROUND($F583,2),""))</f>
        <v/>
      </c>
      <c r="H583" s="12">
        <f>IF(OR($B583="",$C583="",$G583=""),"",COUNTIFS(Ventes_Encaissements!$E$6:$E$3005,$B583,Ventes_Encaissements!$J$6:$J$3005,$G583,Ventes_Encaissements!$C$6:$C$3005,"&gt;="&amp;($C583-3),Ventes_Encaissements!$C$6:$C$3005,"&lt;="&amp;($C583+3)))</f>
        <v/>
      </c>
      <c r="I583" s="12">
        <f>IF($H583="","",IF($H583=0,"Non trouvé",IF($H583=1,"Match","À vérifier")))</f>
        <v/>
      </c>
      <c r="J583" s="21">
        <f>IF($I583&lt;&gt;"Match","",INDEX(Ventes_Encaissements!$B$6:$B$3005,_xludf.AGGREGATE(15,6,(ROW(Ventes_Encaissements!$B$6:$B$3005)-ROW(Ventes_Encaissements!$B$6)+1)/((Ventes_Encaissements!$E$6:$E$3005=$B583)*(Ventes_Encaissements!$J$6:$J$3005=$G583)*(Ventes_Encaissements!$C$6:$C$3005&gt;=$C583-3)*(Ventes_Encaissements!$C$6:$C$3005&lt;=$C583+3)),1)))</f>
        <v/>
      </c>
      <c r="K583" s="6" t="n"/>
    </row>
    <row r="584">
      <c r="A584" s="6" t="n"/>
      <c r="B584" s="6" t="n"/>
      <c r="C584" s="19" t="n"/>
      <c r="D584" s="19" t="n"/>
      <c r="E584" s="6" t="n"/>
      <c r="F584" s="20" t="n"/>
      <c r="G584" s="9">
        <f>IF($F584="","",IF($F584&gt;0,ROUND($F584,2),""))</f>
        <v/>
      </c>
      <c r="H584" s="12">
        <f>IF(OR($B584="",$C584="",$G584=""),"",COUNTIFS(Ventes_Encaissements!$E$6:$E$3005,$B584,Ventes_Encaissements!$J$6:$J$3005,$G584,Ventes_Encaissements!$C$6:$C$3005,"&gt;="&amp;($C584-3),Ventes_Encaissements!$C$6:$C$3005,"&lt;="&amp;($C584+3)))</f>
        <v/>
      </c>
      <c r="I584" s="12">
        <f>IF($H584="","",IF($H584=0,"Non trouvé",IF($H584=1,"Match","À vérifier")))</f>
        <v/>
      </c>
      <c r="J584" s="21">
        <f>IF($I584&lt;&gt;"Match","",INDEX(Ventes_Encaissements!$B$6:$B$3005,_xludf.AGGREGATE(15,6,(ROW(Ventes_Encaissements!$B$6:$B$3005)-ROW(Ventes_Encaissements!$B$6)+1)/((Ventes_Encaissements!$E$6:$E$3005=$B584)*(Ventes_Encaissements!$J$6:$J$3005=$G584)*(Ventes_Encaissements!$C$6:$C$3005&gt;=$C584-3)*(Ventes_Encaissements!$C$6:$C$3005&lt;=$C584+3)),1)))</f>
        <v/>
      </c>
      <c r="K584" s="6" t="n"/>
    </row>
    <row r="585">
      <c r="A585" s="6" t="n"/>
      <c r="B585" s="6" t="n"/>
      <c r="C585" s="19" t="n"/>
      <c r="D585" s="19" t="n"/>
      <c r="E585" s="6" t="n"/>
      <c r="F585" s="20" t="n"/>
      <c r="G585" s="9">
        <f>IF($F585="","",IF($F585&gt;0,ROUND($F585,2),""))</f>
        <v/>
      </c>
      <c r="H585" s="12">
        <f>IF(OR($B585="",$C585="",$G585=""),"",COUNTIFS(Ventes_Encaissements!$E$6:$E$3005,$B585,Ventes_Encaissements!$J$6:$J$3005,$G585,Ventes_Encaissements!$C$6:$C$3005,"&gt;="&amp;($C585-3),Ventes_Encaissements!$C$6:$C$3005,"&lt;="&amp;($C585+3)))</f>
        <v/>
      </c>
      <c r="I585" s="12">
        <f>IF($H585="","",IF($H585=0,"Non trouvé",IF($H585=1,"Match","À vérifier")))</f>
        <v/>
      </c>
      <c r="J585" s="21">
        <f>IF($I585&lt;&gt;"Match","",INDEX(Ventes_Encaissements!$B$6:$B$3005,_xludf.AGGREGATE(15,6,(ROW(Ventes_Encaissements!$B$6:$B$3005)-ROW(Ventes_Encaissements!$B$6)+1)/((Ventes_Encaissements!$E$6:$E$3005=$B585)*(Ventes_Encaissements!$J$6:$J$3005=$G585)*(Ventes_Encaissements!$C$6:$C$3005&gt;=$C585-3)*(Ventes_Encaissements!$C$6:$C$3005&lt;=$C585+3)),1)))</f>
        <v/>
      </c>
      <c r="K585" s="6" t="n"/>
    </row>
    <row r="586">
      <c r="A586" s="6" t="n"/>
      <c r="B586" s="6" t="n"/>
      <c r="C586" s="19" t="n"/>
      <c r="D586" s="19" t="n"/>
      <c r="E586" s="6" t="n"/>
      <c r="F586" s="20" t="n"/>
      <c r="G586" s="9">
        <f>IF($F586="","",IF($F586&gt;0,ROUND($F586,2),""))</f>
        <v/>
      </c>
      <c r="H586" s="12">
        <f>IF(OR($B586="",$C586="",$G586=""),"",COUNTIFS(Ventes_Encaissements!$E$6:$E$3005,$B586,Ventes_Encaissements!$J$6:$J$3005,$G586,Ventes_Encaissements!$C$6:$C$3005,"&gt;="&amp;($C586-3),Ventes_Encaissements!$C$6:$C$3005,"&lt;="&amp;($C586+3)))</f>
        <v/>
      </c>
      <c r="I586" s="12">
        <f>IF($H586="","",IF($H586=0,"Non trouvé",IF($H586=1,"Match","À vérifier")))</f>
        <v/>
      </c>
      <c r="J586" s="21">
        <f>IF($I586&lt;&gt;"Match","",INDEX(Ventes_Encaissements!$B$6:$B$3005,_xludf.AGGREGATE(15,6,(ROW(Ventes_Encaissements!$B$6:$B$3005)-ROW(Ventes_Encaissements!$B$6)+1)/((Ventes_Encaissements!$E$6:$E$3005=$B586)*(Ventes_Encaissements!$J$6:$J$3005=$G586)*(Ventes_Encaissements!$C$6:$C$3005&gt;=$C586-3)*(Ventes_Encaissements!$C$6:$C$3005&lt;=$C586+3)),1)))</f>
        <v/>
      </c>
      <c r="K586" s="6" t="n"/>
    </row>
    <row r="587">
      <c r="A587" s="6" t="n"/>
      <c r="B587" s="6" t="n"/>
      <c r="C587" s="19" t="n"/>
      <c r="D587" s="19" t="n"/>
      <c r="E587" s="6" t="n"/>
      <c r="F587" s="20" t="n"/>
      <c r="G587" s="9">
        <f>IF($F587="","",IF($F587&gt;0,ROUND($F587,2),""))</f>
        <v/>
      </c>
      <c r="H587" s="12">
        <f>IF(OR($B587="",$C587="",$G587=""),"",COUNTIFS(Ventes_Encaissements!$E$6:$E$3005,$B587,Ventes_Encaissements!$J$6:$J$3005,$G587,Ventes_Encaissements!$C$6:$C$3005,"&gt;="&amp;($C587-3),Ventes_Encaissements!$C$6:$C$3005,"&lt;="&amp;($C587+3)))</f>
        <v/>
      </c>
      <c r="I587" s="12">
        <f>IF($H587="","",IF($H587=0,"Non trouvé",IF($H587=1,"Match","À vérifier")))</f>
        <v/>
      </c>
      <c r="J587" s="21">
        <f>IF($I587&lt;&gt;"Match","",INDEX(Ventes_Encaissements!$B$6:$B$3005,_xludf.AGGREGATE(15,6,(ROW(Ventes_Encaissements!$B$6:$B$3005)-ROW(Ventes_Encaissements!$B$6)+1)/((Ventes_Encaissements!$E$6:$E$3005=$B587)*(Ventes_Encaissements!$J$6:$J$3005=$G587)*(Ventes_Encaissements!$C$6:$C$3005&gt;=$C587-3)*(Ventes_Encaissements!$C$6:$C$3005&lt;=$C587+3)),1)))</f>
        <v/>
      </c>
      <c r="K587" s="6" t="n"/>
    </row>
    <row r="588">
      <c r="A588" s="6" t="n"/>
      <c r="B588" s="6" t="n"/>
      <c r="C588" s="19" t="n"/>
      <c r="D588" s="19" t="n"/>
      <c r="E588" s="6" t="n"/>
      <c r="F588" s="20" t="n"/>
      <c r="G588" s="9">
        <f>IF($F588="","",IF($F588&gt;0,ROUND($F588,2),""))</f>
        <v/>
      </c>
      <c r="H588" s="12">
        <f>IF(OR($B588="",$C588="",$G588=""),"",COUNTIFS(Ventes_Encaissements!$E$6:$E$3005,$B588,Ventes_Encaissements!$J$6:$J$3005,$G588,Ventes_Encaissements!$C$6:$C$3005,"&gt;="&amp;($C588-3),Ventes_Encaissements!$C$6:$C$3005,"&lt;="&amp;($C588+3)))</f>
        <v/>
      </c>
      <c r="I588" s="12">
        <f>IF($H588="","",IF($H588=0,"Non trouvé",IF($H588=1,"Match","À vérifier")))</f>
        <v/>
      </c>
      <c r="J588" s="21">
        <f>IF($I588&lt;&gt;"Match","",INDEX(Ventes_Encaissements!$B$6:$B$3005,_xludf.AGGREGATE(15,6,(ROW(Ventes_Encaissements!$B$6:$B$3005)-ROW(Ventes_Encaissements!$B$6)+1)/((Ventes_Encaissements!$E$6:$E$3005=$B588)*(Ventes_Encaissements!$J$6:$J$3005=$G588)*(Ventes_Encaissements!$C$6:$C$3005&gt;=$C588-3)*(Ventes_Encaissements!$C$6:$C$3005&lt;=$C588+3)),1)))</f>
        <v/>
      </c>
      <c r="K588" s="6" t="n"/>
    </row>
    <row r="589">
      <c r="A589" s="6" t="n"/>
      <c r="B589" s="6" t="n"/>
      <c r="C589" s="19" t="n"/>
      <c r="D589" s="19" t="n"/>
      <c r="E589" s="6" t="n"/>
      <c r="F589" s="20" t="n"/>
      <c r="G589" s="9">
        <f>IF($F589="","",IF($F589&gt;0,ROUND($F589,2),""))</f>
        <v/>
      </c>
      <c r="H589" s="12">
        <f>IF(OR($B589="",$C589="",$G589=""),"",COUNTIFS(Ventes_Encaissements!$E$6:$E$3005,$B589,Ventes_Encaissements!$J$6:$J$3005,$G589,Ventes_Encaissements!$C$6:$C$3005,"&gt;="&amp;($C589-3),Ventes_Encaissements!$C$6:$C$3005,"&lt;="&amp;($C589+3)))</f>
        <v/>
      </c>
      <c r="I589" s="12">
        <f>IF($H589="","",IF($H589=0,"Non trouvé",IF($H589=1,"Match","À vérifier")))</f>
        <v/>
      </c>
      <c r="J589" s="21">
        <f>IF($I589&lt;&gt;"Match","",INDEX(Ventes_Encaissements!$B$6:$B$3005,_xludf.AGGREGATE(15,6,(ROW(Ventes_Encaissements!$B$6:$B$3005)-ROW(Ventes_Encaissements!$B$6)+1)/((Ventes_Encaissements!$E$6:$E$3005=$B589)*(Ventes_Encaissements!$J$6:$J$3005=$G589)*(Ventes_Encaissements!$C$6:$C$3005&gt;=$C589-3)*(Ventes_Encaissements!$C$6:$C$3005&lt;=$C589+3)),1)))</f>
        <v/>
      </c>
      <c r="K589" s="6" t="n"/>
    </row>
    <row r="590">
      <c r="A590" s="6" t="n"/>
      <c r="B590" s="6" t="n"/>
      <c r="C590" s="19" t="n"/>
      <c r="D590" s="19" t="n"/>
      <c r="E590" s="6" t="n"/>
      <c r="F590" s="20" t="n"/>
      <c r="G590" s="9">
        <f>IF($F590="","",IF($F590&gt;0,ROUND($F590,2),""))</f>
        <v/>
      </c>
      <c r="H590" s="12">
        <f>IF(OR($B590="",$C590="",$G590=""),"",COUNTIFS(Ventes_Encaissements!$E$6:$E$3005,$B590,Ventes_Encaissements!$J$6:$J$3005,$G590,Ventes_Encaissements!$C$6:$C$3005,"&gt;="&amp;($C590-3),Ventes_Encaissements!$C$6:$C$3005,"&lt;="&amp;($C590+3)))</f>
        <v/>
      </c>
      <c r="I590" s="12">
        <f>IF($H590="","",IF($H590=0,"Non trouvé",IF($H590=1,"Match","À vérifier")))</f>
        <v/>
      </c>
      <c r="J590" s="21">
        <f>IF($I590&lt;&gt;"Match","",INDEX(Ventes_Encaissements!$B$6:$B$3005,_xludf.AGGREGATE(15,6,(ROW(Ventes_Encaissements!$B$6:$B$3005)-ROW(Ventes_Encaissements!$B$6)+1)/((Ventes_Encaissements!$E$6:$E$3005=$B590)*(Ventes_Encaissements!$J$6:$J$3005=$G590)*(Ventes_Encaissements!$C$6:$C$3005&gt;=$C590-3)*(Ventes_Encaissements!$C$6:$C$3005&lt;=$C590+3)),1)))</f>
        <v/>
      </c>
      <c r="K590" s="6" t="n"/>
    </row>
    <row r="591">
      <c r="A591" s="6" t="n"/>
      <c r="B591" s="6" t="n"/>
      <c r="C591" s="19" t="n"/>
      <c r="D591" s="19" t="n"/>
      <c r="E591" s="6" t="n"/>
      <c r="F591" s="20" t="n"/>
      <c r="G591" s="9">
        <f>IF($F591="","",IF($F591&gt;0,ROUND($F591,2),""))</f>
        <v/>
      </c>
      <c r="H591" s="12">
        <f>IF(OR($B591="",$C591="",$G591=""),"",COUNTIFS(Ventes_Encaissements!$E$6:$E$3005,$B591,Ventes_Encaissements!$J$6:$J$3005,$G591,Ventes_Encaissements!$C$6:$C$3005,"&gt;="&amp;($C591-3),Ventes_Encaissements!$C$6:$C$3005,"&lt;="&amp;($C591+3)))</f>
        <v/>
      </c>
      <c r="I591" s="12">
        <f>IF($H591="","",IF($H591=0,"Non trouvé",IF($H591=1,"Match","À vérifier")))</f>
        <v/>
      </c>
      <c r="J591" s="21">
        <f>IF($I591&lt;&gt;"Match","",INDEX(Ventes_Encaissements!$B$6:$B$3005,_xludf.AGGREGATE(15,6,(ROW(Ventes_Encaissements!$B$6:$B$3005)-ROW(Ventes_Encaissements!$B$6)+1)/((Ventes_Encaissements!$E$6:$E$3005=$B591)*(Ventes_Encaissements!$J$6:$J$3005=$G591)*(Ventes_Encaissements!$C$6:$C$3005&gt;=$C591-3)*(Ventes_Encaissements!$C$6:$C$3005&lt;=$C591+3)),1)))</f>
        <v/>
      </c>
      <c r="K591" s="6" t="n"/>
    </row>
    <row r="592">
      <c r="A592" s="6" t="n"/>
      <c r="B592" s="6" t="n"/>
      <c r="C592" s="19" t="n"/>
      <c r="D592" s="19" t="n"/>
      <c r="E592" s="6" t="n"/>
      <c r="F592" s="20" t="n"/>
      <c r="G592" s="9">
        <f>IF($F592="","",IF($F592&gt;0,ROUND($F592,2),""))</f>
        <v/>
      </c>
      <c r="H592" s="12">
        <f>IF(OR($B592="",$C592="",$G592=""),"",COUNTIFS(Ventes_Encaissements!$E$6:$E$3005,$B592,Ventes_Encaissements!$J$6:$J$3005,$G592,Ventes_Encaissements!$C$6:$C$3005,"&gt;="&amp;($C592-3),Ventes_Encaissements!$C$6:$C$3005,"&lt;="&amp;($C592+3)))</f>
        <v/>
      </c>
      <c r="I592" s="12">
        <f>IF($H592="","",IF($H592=0,"Non trouvé",IF($H592=1,"Match","À vérifier")))</f>
        <v/>
      </c>
      <c r="J592" s="21">
        <f>IF($I592&lt;&gt;"Match","",INDEX(Ventes_Encaissements!$B$6:$B$3005,_xludf.AGGREGATE(15,6,(ROW(Ventes_Encaissements!$B$6:$B$3005)-ROW(Ventes_Encaissements!$B$6)+1)/((Ventes_Encaissements!$E$6:$E$3005=$B592)*(Ventes_Encaissements!$J$6:$J$3005=$G592)*(Ventes_Encaissements!$C$6:$C$3005&gt;=$C592-3)*(Ventes_Encaissements!$C$6:$C$3005&lt;=$C592+3)),1)))</f>
        <v/>
      </c>
      <c r="K592" s="6" t="n"/>
    </row>
    <row r="593">
      <c r="A593" s="6" t="n"/>
      <c r="B593" s="6" t="n"/>
      <c r="C593" s="19" t="n"/>
      <c r="D593" s="19" t="n"/>
      <c r="E593" s="6" t="n"/>
      <c r="F593" s="20" t="n"/>
      <c r="G593" s="9">
        <f>IF($F593="","",IF($F593&gt;0,ROUND($F593,2),""))</f>
        <v/>
      </c>
      <c r="H593" s="12">
        <f>IF(OR($B593="",$C593="",$G593=""),"",COUNTIFS(Ventes_Encaissements!$E$6:$E$3005,$B593,Ventes_Encaissements!$J$6:$J$3005,$G593,Ventes_Encaissements!$C$6:$C$3005,"&gt;="&amp;($C593-3),Ventes_Encaissements!$C$6:$C$3005,"&lt;="&amp;($C593+3)))</f>
        <v/>
      </c>
      <c r="I593" s="12">
        <f>IF($H593="","",IF($H593=0,"Non trouvé",IF($H593=1,"Match","À vérifier")))</f>
        <v/>
      </c>
      <c r="J593" s="21">
        <f>IF($I593&lt;&gt;"Match","",INDEX(Ventes_Encaissements!$B$6:$B$3005,_xludf.AGGREGATE(15,6,(ROW(Ventes_Encaissements!$B$6:$B$3005)-ROW(Ventes_Encaissements!$B$6)+1)/((Ventes_Encaissements!$E$6:$E$3005=$B593)*(Ventes_Encaissements!$J$6:$J$3005=$G593)*(Ventes_Encaissements!$C$6:$C$3005&gt;=$C593-3)*(Ventes_Encaissements!$C$6:$C$3005&lt;=$C593+3)),1)))</f>
        <v/>
      </c>
      <c r="K593" s="6" t="n"/>
    </row>
    <row r="594">
      <c r="A594" s="6" t="n"/>
      <c r="B594" s="6" t="n"/>
      <c r="C594" s="19" t="n"/>
      <c r="D594" s="19" t="n"/>
      <c r="E594" s="6" t="n"/>
      <c r="F594" s="20" t="n"/>
      <c r="G594" s="9">
        <f>IF($F594="","",IF($F594&gt;0,ROUND($F594,2),""))</f>
        <v/>
      </c>
      <c r="H594" s="12">
        <f>IF(OR($B594="",$C594="",$G594=""),"",COUNTIFS(Ventes_Encaissements!$E$6:$E$3005,$B594,Ventes_Encaissements!$J$6:$J$3005,$G594,Ventes_Encaissements!$C$6:$C$3005,"&gt;="&amp;($C594-3),Ventes_Encaissements!$C$6:$C$3005,"&lt;="&amp;($C594+3)))</f>
        <v/>
      </c>
      <c r="I594" s="12">
        <f>IF($H594="","",IF($H594=0,"Non trouvé",IF($H594=1,"Match","À vérifier")))</f>
        <v/>
      </c>
      <c r="J594" s="21">
        <f>IF($I594&lt;&gt;"Match","",INDEX(Ventes_Encaissements!$B$6:$B$3005,_xludf.AGGREGATE(15,6,(ROW(Ventes_Encaissements!$B$6:$B$3005)-ROW(Ventes_Encaissements!$B$6)+1)/((Ventes_Encaissements!$E$6:$E$3005=$B594)*(Ventes_Encaissements!$J$6:$J$3005=$G594)*(Ventes_Encaissements!$C$6:$C$3005&gt;=$C594-3)*(Ventes_Encaissements!$C$6:$C$3005&lt;=$C594+3)),1)))</f>
        <v/>
      </c>
      <c r="K594" s="6" t="n"/>
    </row>
    <row r="595">
      <c r="A595" s="6" t="n"/>
      <c r="B595" s="6" t="n"/>
      <c r="C595" s="19" t="n"/>
      <c r="D595" s="19" t="n"/>
      <c r="E595" s="6" t="n"/>
      <c r="F595" s="20" t="n"/>
      <c r="G595" s="9">
        <f>IF($F595="","",IF($F595&gt;0,ROUND($F595,2),""))</f>
        <v/>
      </c>
      <c r="H595" s="12">
        <f>IF(OR($B595="",$C595="",$G595=""),"",COUNTIFS(Ventes_Encaissements!$E$6:$E$3005,$B595,Ventes_Encaissements!$J$6:$J$3005,$G595,Ventes_Encaissements!$C$6:$C$3005,"&gt;="&amp;($C595-3),Ventes_Encaissements!$C$6:$C$3005,"&lt;="&amp;($C595+3)))</f>
        <v/>
      </c>
      <c r="I595" s="12">
        <f>IF($H595="","",IF($H595=0,"Non trouvé",IF($H595=1,"Match","À vérifier")))</f>
        <v/>
      </c>
      <c r="J595" s="21">
        <f>IF($I595&lt;&gt;"Match","",INDEX(Ventes_Encaissements!$B$6:$B$3005,_xludf.AGGREGATE(15,6,(ROW(Ventes_Encaissements!$B$6:$B$3005)-ROW(Ventes_Encaissements!$B$6)+1)/((Ventes_Encaissements!$E$6:$E$3005=$B595)*(Ventes_Encaissements!$J$6:$J$3005=$G595)*(Ventes_Encaissements!$C$6:$C$3005&gt;=$C595-3)*(Ventes_Encaissements!$C$6:$C$3005&lt;=$C595+3)),1)))</f>
        <v/>
      </c>
      <c r="K595" s="6" t="n"/>
    </row>
    <row r="596">
      <c r="A596" s="6" t="n"/>
      <c r="B596" s="6" t="n"/>
      <c r="C596" s="19" t="n"/>
      <c r="D596" s="19" t="n"/>
      <c r="E596" s="6" t="n"/>
      <c r="F596" s="20" t="n"/>
      <c r="G596" s="9">
        <f>IF($F596="","",IF($F596&gt;0,ROUND($F596,2),""))</f>
        <v/>
      </c>
      <c r="H596" s="12">
        <f>IF(OR($B596="",$C596="",$G596=""),"",COUNTIFS(Ventes_Encaissements!$E$6:$E$3005,$B596,Ventes_Encaissements!$J$6:$J$3005,$G596,Ventes_Encaissements!$C$6:$C$3005,"&gt;="&amp;($C596-3),Ventes_Encaissements!$C$6:$C$3005,"&lt;="&amp;($C596+3)))</f>
        <v/>
      </c>
      <c r="I596" s="12">
        <f>IF($H596="","",IF($H596=0,"Non trouvé",IF($H596=1,"Match","À vérifier")))</f>
        <v/>
      </c>
      <c r="J596" s="21">
        <f>IF($I596&lt;&gt;"Match","",INDEX(Ventes_Encaissements!$B$6:$B$3005,_xludf.AGGREGATE(15,6,(ROW(Ventes_Encaissements!$B$6:$B$3005)-ROW(Ventes_Encaissements!$B$6)+1)/((Ventes_Encaissements!$E$6:$E$3005=$B596)*(Ventes_Encaissements!$J$6:$J$3005=$G596)*(Ventes_Encaissements!$C$6:$C$3005&gt;=$C596-3)*(Ventes_Encaissements!$C$6:$C$3005&lt;=$C596+3)),1)))</f>
        <v/>
      </c>
      <c r="K596" s="6" t="n"/>
    </row>
    <row r="597">
      <c r="A597" s="6" t="n"/>
      <c r="B597" s="6" t="n"/>
      <c r="C597" s="19" t="n"/>
      <c r="D597" s="19" t="n"/>
      <c r="E597" s="6" t="n"/>
      <c r="F597" s="20" t="n"/>
      <c r="G597" s="9">
        <f>IF($F597="","",IF($F597&gt;0,ROUND($F597,2),""))</f>
        <v/>
      </c>
      <c r="H597" s="12">
        <f>IF(OR($B597="",$C597="",$G597=""),"",COUNTIFS(Ventes_Encaissements!$E$6:$E$3005,$B597,Ventes_Encaissements!$J$6:$J$3005,$G597,Ventes_Encaissements!$C$6:$C$3005,"&gt;="&amp;($C597-3),Ventes_Encaissements!$C$6:$C$3005,"&lt;="&amp;($C597+3)))</f>
        <v/>
      </c>
      <c r="I597" s="12">
        <f>IF($H597="","",IF($H597=0,"Non trouvé",IF($H597=1,"Match","À vérifier")))</f>
        <v/>
      </c>
      <c r="J597" s="21">
        <f>IF($I597&lt;&gt;"Match","",INDEX(Ventes_Encaissements!$B$6:$B$3005,_xludf.AGGREGATE(15,6,(ROW(Ventes_Encaissements!$B$6:$B$3005)-ROW(Ventes_Encaissements!$B$6)+1)/((Ventes_Encaissements!$E$6:$E$3005=$B597)*(Ventes_Encaissements!$J$6:$J$3005=$G597)*(Ventes_Encaissements!$C$6:$C$3005&gt;=$C597-3)*(Ventes_Encaissements!$C$6:$C$3005&lt;=$C597+3)),1)))</f>
        <v/>
      </c>
      <c r="K597" s="6" t="n"/>
    </row>
    <row r="598">
      <c r="A598" s="6" t="n"/>
      <c r="B598" s="6" t="n"/>
      <c r="C598" s="19" t="n"/>
      <c r="D598" s="19" t="n"/>
      <c r="E598" s="6" t="n"/>
      <c r="F598" s="20" t="n"/>
      <c r="G598" s="9">
        <f>IF($F598="","",IF($F598&gt;0,ROUND($F598,2),""))</f>
        <v/>
      </c>
      <c r="H598" s="12">
        <f>IF(OR($B598="",$C598="",$G598=""),"",COUNTIFS(Ventes_Encaissements!$E$6:$E$3005,$B598,Ventes_Encaissements!$J$6:$J$3005,$G598,Ventes_Encaissements!$C$6:$C$3005,"&gt;="&amp;($C598-3),Ventes_Encaissements!$C$6:$C$3005,"&lt;="&amp;($C598+3)))</f>
        <v/>
      </c>
      <c r="I598" s="12">
        <f>IF($H598="","",IF($H598=0,"Non trouvé",IF($H598=1,"Match","À vérifier")))</f>
        <v/>
      </c>
      <c r="J598" s="21">
        <f>IF($I598&lt;&gt;"Match","",INDEX(Ventes_Encaissements!$B$6:$B$3005,_xludf.AGGREGATE(15,6,(ROW(Ventes_Encaissements!$B$6:$B$3005)-ROW(Ventes_Encaissements!$B$6)+1)/((Ventes_Encaissements!$E$6:$E$3005=$B598)*(Ventes_Encaissements!$J$6:$J$3005=$G598)*(Ventes_Encaissements!$C$6:$C$3005&gt;=$C598-3)*(Ventes_Encaissements!$C$6:$C$3005&lt;=$C598+3)),1)))</f>
        <v/>
      </c>
      <c r="K598" s="6" t="n"/>
    </row>
    <row r="599">
      <c r="A599" s="6" t="n"/>
      <c r="B599" s="6" t="n"/>
      <c r="C599" s="19" t="n"/>
      <c r="D599" s="19" t="n"/>
      <c r="E599" s="6" t="n"/>
      <c r="F599" s="20" t="n"/>
      <c r="G599" s="9">
        <f>IF($F599="","",IF($F599&gt;0,ROUND($F599,2),""))</f>
        <v/>
      </c>
      <c r="H599" s="12">
        <f>IF(OR($B599="",$C599="",$G599=""),"",COUNTIFS(Ventes_Encaissements!$E$6:$E$3005,$B599,Ventes_Encaissements!$J$6:$J$3005,$G599,Ventes_Encaissements!$C$6:$C$3005,"&gt;="&amp;($C599-3),Ventes_Encaissements!$C$6:$C$3005,"&lt;="&amp;($C599+3)))</f>
        <v/>
      </c>
      <c r="I599" s="12">
        <f>IF($H599="","",IF($H599=0,"Non trouvé",IF($H599=1,"Match","À vérifier")))</f>
        <v/>
      </c>
      <c r="J599" s="21">
        <f>IF($I599&lt;&gt;"Match","",INDEX(Ventes_Encaissements!$B$6:$B$3005,_xludf.AGGREGATE(15,6,(ROW(Ventes_Encaissements!$B$6:$B$3005)-ROW(Ventes_Encaissements!$B$6)+1)/((Ventes_Encaissements!$E$6:$E$3005=$B599)*(Ventes_Encaissements!$J$6:$J$3005=$G599)*(Ventes_Encaissements!$C$6:$C$3005&gt;=$C599-3)*(Ventes_Encaissements!$C$6:$C$3005&lt;=$C599+3)),1)))</f>
        <v/>
      </c>
      <c r="K599" s="6" t="n"/>
    </row>
    <row r="600">
      <c r="A600" s="6" t="n"/>
      <c r="B600" s="6" t="n"/>
      <c r="C600" s="19" t="n"/>
      <c r="D600" s="19" t="n"/>
      <c r="E600" s="6" t="n"/>
      <c r="F600" s="20" t="n"/>
      <c r="G600" s="9">
        <f>IF($F600="","",IF($F600&gt;0,ROUND($F600,2),""))</f>
        <v/>
      </c>
      <c r="H600" s="12">
        <f>IF(OR($B600="",$C600="",$G600=""),"",COUNTIFS(Ventes_Encaissements!$E$6:$E$3005,$B600,Ventes_Encaissements!$J$6:$J$3005,$G600,Ventes_Encaissements!$C$6:$C$3005,"&gt;="&amp;($C600-3),Ventes_Encaissements!$C$6:$C$3005,"&lt;="&amp;($C600+3)))</f>
        <v/>
      </c>
      <c r="I600" s="12">
        <f>IF($H600="","",IF($H600=0,"Non trouvé",IF($H600=1,"Match","À vérifier")))</f>
        <v/>
      </c>
      <c r="J600" s="21">
        <f>IF($I600&lt;&gt;"Match","",INDEX(Ventes_Encaissements!$B$6:$B$3005,_xludf.AGGREGATE(15,6,(ROW(Ventes_Encaissements!$B$6:$B$3005)-ROW(Ventes_Encaissements!$B$6)+1)/((Ventes_Encaissements!$E$6:$E$3005=$B600)*(Ventes_Encaissements!$J$6:$J$3005=$G600)*(Ventes_Encaissements!$C$6:$C$3005&gt;=$C600-3)*(Ventes_Encaissements!$C$6:$C$3005&lt;=$C600+3)),1)))</f>
        <v/>
      </c>
      <c r="K600" s="6" t="n"/>
    </row>
    <row r="601">
      <c r="A601" s="6" t="n"/>
      <c r="B601" s="6" t="n"/>
      <c r="C601" s="19" t="n"/>
      <c r="D601" s="19" t="n"/>
      <c r="E601" s="6" t="n"/>
      <c r="F601" s="20" t="n"/>
      <c r="G601" s="9">
        <f>IF($F601="","",IF($F601&gt;0,ROUND($F601,2),""))</f>
        <v/>
      </c>
      <c r="H601" s="12">
        <f>IF(OR($B601="",$C601="",$G601=""),"",COUNTIFS(Ventes_Encaissements!$E$6:$E$3005,$B601,Ventes_Encaissements!$J$6:$J$3005,$G601,Ventes_Encaissements!$C$6:$C$3005,"&gt;="&amp;($C601-3),Ventes_Encaissements!$C$6:$C$3005,"&lt;="&amp;($C601+3)))</f>
        <v/>
      </c>
      <c r="I601" s="12">
        <f>IF($H601="","",IF($H601=0,"Non trouvé",IF($H601=1,"Match","À vérifier")))</f>
        <v/>
      </c>
      <c r="J601" s="21">
        <f>IF($I601&lt;&gt;"Match","",INDEX(Ventes_Encaissements!$B$6:$B$3005,_xludf.AGGREGATE(15,6,(ROW(Ventes_Encaissements!$B$6:$B$3005)-ROW(Ventes_Encaissements!$B$6)+1)/((Ventes_Encaissements!$E$6:$E$3005=$B601)*(Ventes_Encaissements!$J$6:$J$3005=$G601)*(Ventes_Encaissements!$C$6:$C$3005&gt;=$C601-3)*(Ventes_Encaissements!$C$6:$C$3005&lt;=$C601+3)),1)))</f>
        <v/>
      </c>
      <c r="K601" s="6" t="n"/>
    </row>
    <row r="602">
      <c r="A602" s="6" t="n"/>
      <c r="B602" s="6" t="n"/>
      <c r="C602" s="19" t="n"/>
      <c r="D602" s="19" t="n"/>
      <c r="E602" s="6" t="n"/>
      <c r="F602" s="20" t="n"/>
      <c r="G602" s="9">
        <f>IF($F602="","",IF($F602&gt;0,ROUND($F602,2),""))</f>
        <v/>
      </c>
      <c r="H602" s="12">
        <f>IF(OR($B602="",$C602="",$G602=""),"",COUNTIFS(Ventes_Encaissements!$E$6:$E$3005,$B602,Ventes_Encaissements!$J$6:$J$3005,$G602,Ventes_Encaissements!$C$6:$C$3005,"&gt;="&amp;($C602-3),Ventes_Encaissements!$C$6:$C$3005,"&lt;="&amp;($C602+3)))</f>
        <v/>
      </c>
      <c r="I602" s="12">
        <f>IF($H602="","",IF($H602=0,"Non trouvé",IF($H602=1,"Match","À vérifier")))</f>
        <v/>
      </c>
      <c r="J602" s="21">
        <f>IF($I602&lt;&gt;"Match","",INDEX(Ventes_Encaissements!$B$6:$B$3005,_xludf.AGGREGATE(15,6,(ROW(Ventes_Encaissements!$B$6:$B$3005)-ROW(Ventes_Encaissements!$B$6)+1)/((Ventes_Encaissements!$E$6:$E$3005=$B602)*(Ventes_Encaissements!$J$6:$J$3005=$G602)*(Ventes_Encaissements!$C$6:$C$3005&gt;=$C602-3)*(Ventes_Encaissements!$C$6:$C$3005&lt;=$C602+3)),1)))</f>
        <v/>
      </c>
      <c r="K602" s="6" t="n"/>
    </row>
    <row r="603">
      <c r="A603" s="6" t="n"/>
      <c r="B603" s="6" t="n"/>
      <c r="C603" s="19" t="n"/>
      <c r="D603" s="19" t="n"/>
      <c r="E603" s="6" t="n"/>
      <c r="F603" s="20" t="n"/>
      <c r="G603" s="9">
        <f>IF($F603="","",IF($F603&gt;0,ROUND($F603,2),""))</f>
        <v/>
      </c>
      <c r="H603" s="12">
        <f>IF(OR($B603="",$C603="",$G603=""),"",COUNTIFS(Ventes_Encaissements!$E$6:$E$3005,$B603,Ventes_Encaissements!$J$6:$J$3005,$G603,Ventes_Encaissements!$C$6:$C$3005,"&gt;="&amp;($C603-3),Ventes_Encaissements!$C$6:$C$3005,"&lt;="&amp;($C603+3)))</f>
        <v/>
      </c>
      <c r="I603" s="12">
        <f>IF($H603="","",IF($H603=0,"Non trouvé",IF($H603=1,"Match","À vérifier")))</f>
        <v/>
      </c>
      <c r="J603" s="21">
        <f>IF($I603&lt;&gt;"Match","",INDEX(Ventes_Encaissements!$B$6:$B$3005,_xludf.AGGREGATE(15,6,(ROW(Ventes_Encaissements!$B$6:$B$3005)-ROW(Ventes_Encaissements!$B$6)+1)/((Ventes_Encaissements!$E$6:$E$3005=$B603)*(Ventes_Encaissements!$J$6:$J$3005=$G603)*(Ventes_Encaissements!$C$6:$C$3005&gt;=$C603-3)*(Ventes_Encaissements!$C$6:$C$3005&lt;=$C603+3)),1)))</f>
        <v/>
      </c>
      <c r="K603" s="6" t="n"/>
    </row>
    <row r="604">
      <c r="A604" s="6" t="n"/>
      <c r="B604" s="6" t="n"/>
      <c r="C604" s="19" t="n"/>
      <c r="D604" s="19" t="n"/>
      <c r="E604" s="6" t="n"/>
      <c r="F604" s="20" t="n"/>
      <c r="G604" s="9">
        <f>IF($F604="","",IF($F604&gt;0,ROUND($F604,2),""))</f>
        <v/>
      </c>
      <c r="H604" s="12">
        <f>IF(OR($B604="",$C604="",$G604=""),"",COUNTIFS(Ventes_Encaissements!$E$6:$E$3005,$B604,Ventes_Encaissements!$J$6:$J$3005,$G604,Ventes_Encaissements!$C$6:$C$3005,"&gt;="&amp;($C604-3),Ventes_Encaissements!$C$6:$C$3005,"&lt;="&amp;($C604+3)))</f>
        <v/>
      </c>
      <c r="I604" s="12">
        <f>IF($H604="","",IF($H604=0,"Non trouvé",IF($H604=1,"Match","À vérifier")))</f>
        <v/>
      </c>
      <c r="J604" s="21">
        <f>IF($I604&lt;&gt;"Match","",INDEX(Ventes_Encaissements!$B$6:$B$3005,_xludf.AGGREGATE(15,6,(ROW(Ventes_Encaissements!$B$6:$B$3005)-ROW(Ventes_Encaissements!$B$6)+1)/((Ventes_Encaissements!$E$6:$E$3005=$B604)*(Ventes_Encaissements!$J$6:$J$3005=$G604)*(Ventes_Encaissements!$C$6:$C$3005&gt;=$C604-3)*(Ventes_Encaissements!$C$6:$C$3005&lt;=$C604+3)),1)))</f>
        <v/>
      </c>
      <c r="K604" s="6" t="n"/>
    </row>
    <row r="605">
      <c r="A605" s="6" t="n"/>
      <c r="B605" s="6" t="n"/>
      <c r="C605" s="19" t="n"/>
      <c r="D605" s="19" t="n"/>
      <c r="E605" s="6" t="n"/>
      <c r="F605" s="20" t="n"/>
      <c r="G605" s="9">
        <f>IF($F605="","",IF($F605&gt;0,ROUND($F605,2),""))</f>
        <v/>
      </c>
      <c r="H605" s="12">
        <f>IF(OR($B605="",$C605="",$G605=""),"",COUNTIFS(Ventes_Encaissements!$E$6:$E$3005,$B605,Ventes_Encaissements!$J$6:$J$3005,$G605,Ventes_Encaissements!$C$6:$C$3005,"&gt;="&amp;($C605-3),Ventes_Encaissements!$C$6:$C$3005,"&lt;="&amp;($C605+3)))</f>
        <v/>
      </c>
      <c r="I605" s="12">
        <f>IF($H605="","",IF($H605=0,"Non trouvé",IF($H605=1,"Match","À vérifier")))</f>
        <v/>
      </c>
      <c r="J605" s="21">
        <f>IF($I605&lt;&gt;"Match","",INDEX(Ventes_Encaissements!$B$6:$B$3005,_xludf.AGGREGATE(15,6,(ROW(Ventes_Encaissements!$B$6:$B$3005)-ROW(Ventes_Encaissements!$B$6)+1)/((Ventes_Encaissements!$E$6:$E$3005=$B605)*(Ventes_Encaissements!$J$6:$J$3005=$G605)*(Ventes_Encaissements!$C$6:$C$3005&gt;=$C605-3)*(Ventes_Encaissements!$C$6:$C$3005&lt;=$C605+3)),1)))</f>
        <v/>
      </c>
      <c r="K605" s="6" t="n"/>
    </row>
    <row r="606">
      <c r="A606" s="6" t="n"/>
      <c r="B606" s="6" t="n"/>
      <c r="C606" s="19" t="n"/>
      <c r="D606" s="19" t="n"/>
      <c r="E606" s="6" t="n"/>
      <c r="F606" s="20" t="n"/>
      <c r="G606" s="9">
        <f>IF($F606="","",IF($F606&gt;0,ROUND($F606,2),""))</f>
        <v/>
      </c>
      <c r="H606" s="12">
        <f>IF(OR($B606="",$C606="",$G606=""),"",COUNTIFS(Ventes_Encaissements!$E$6:$E$3005,$B606,Ventes_Encaissements!$J$6:$J$3005,$G606,Ventes_Encaissements!$C$6:$C$3005,"&gt;="&amp;($C606-3),Ventes_Encaissements!$C$6:$C$3005,"&lt;="&amp;($C606+3)))</f>
        <v/>
      </c>
      <c r="I606" s="12">
        <f>IF($H606="","",IF($H606=0,"Non trouvé",IF($H606=1,"Match","À vérifier")))</f>
        <v/>
      </c>
      <c r="J606" s="21">
        <f>IF($I606&lt;&gt;"Match","",INDEX(Ventes_Encaissements!$B$6:$B$3005,_xludf.AGGREGATE(15,6,(ROW(Ventes_Encaissements!$B$6:$B$3005)-ROW(Ventes_Encaissements!$B$6)+1)/((Ventes_Encaissements!$E$6:$E$3005=$B606)*(Ventes_Encaissements!$J$6:$J$3005=$G606)*(Ventes_Encaissements!$C$6:$C$3005&gt;=$C606-3)*(Ventes_Encaissements!$C$6:$C$3005&lt;=$C606+3)),1)))</f>
        <v/>
      </c>
      <c r="K606" s="6" t="n"/>
    </row>
    <row r="607">
      <c r="A607" s="6" t="n"/>
      <c r="B607" s="6" t="n"/>
      <c r="C607" s="19" t="n"/>
      <c r="D607" s="19" t="n"/>
      <c r="E607" s="6" t="n"/>
      <c r="F607" s="20" t="n"/>
      <c r="G607" s="9">
        <f>IF($F607="","",IF($F607&gt;0,ROUND($F607,2),""))</f>
        <v/>
      </c>
      <c r="H607" s="12">
        <f>IF(OR($B607="",$C607="",$G607=""),"",COUNTIFS(Ventes_Encaissements!$E$6:$E$3005,$B607,Ventes_Encaissements!$J$6:$J$3005,$G607,Ventes_Encaissements!$C$6:$C$3005,"&gt;="&amp;($C607-3),Ventes_Encaissements!$C$6:$C$3005,"&lt;="&amp;($C607+3)))</f>
        <v/>
      </c>
      <c r="I607" s="12">
        <f>IF($H607="","",IF($H607=0,"Non trouvé",IF($H607=1,"Match","À vérifier")))</f>
        <v/>
      </c>
      <c r="J607" s="21">
        <f>IF($I607&lt;&gt;"Match","",INDEX(Ventes_Encaissements!$B$6:$B$3005,_xludf.AGGREGATE(15,6,(ROW(Ventes_Encaissements!$B$6:$B$3005)-ROW(Ventes_Encaissements!$B$6)+1)/((Ventes_Encaissements!$E$6:$E$3005=$B607)*(Ventes_Encaissements!$J$6:$J$3005=$G607)*(Ventes_Encaissements!$C$6:$C$3005&gt;=$C607-3)*(Ventes_Encaissements!$C$6:$C$3005&lt;=$C607+3)),1)))</f>
        <v/>
      </c>
      <c r="K607" s="6" t="n"/>
    </row>
    <row r="608">
      <c r="A608" s="6" t="n"/>
      <c r="B608" s="6" t="n"/>
      <c r="C608" s="19" t="n"/>
      <c r="D608" s="19" t="n"/>
      <c r="E608" s="6" t="n"/>
      <c r="F608" s="20" t="n"/>
      <c r="G608" s="9">
        <f>IF($F608="","",IF($F608&gt;0,ROUND($F608,2),""))</f>
        <v/>
      </c>
      <c r="H608" s="12">
        <f>IF(OR($B608="",$C608="",$G608=""),"",COUNTIFS(Ventes_Encaissements!$E$6:$E$3005,$B608,Ventes_Encaissements!$J$6:$J$3005,$G608,Ventes_Encaissements!$C$6:$C$3005,"&gt;="&amp;($C608-3),Ventes_Encaissements!$C$6:$C$3005,"&lt;="&amp;($C608+3)))</f>
        <v/>
      </c>
      <c r="I608" s="12">
        <f>IF($H608="","",IF($H608=0,"Non trouvé",IF($H608=1,"Match","À vérifier")))</f>
        <v/>
      </c>
      <c r="J608" s="21">
        <f>IF($I608&lt;&gt;"Match","",INDEX(Ventes_Encaissements!$B$6:$B$3005,_xludf.AGGREGATE(15,6,(ROW(Ventes_Encaissements!$B$6:$B$3005)-ROW(Ventes_Encaissements!$B$6)+1)/((Ventes_Encaissements!$E$6:$E$3005=$B608)*(Ventes_Encaissements!$J$6:$J$3005=$G608)*(Ventes_Encaissements!$C$6:$C$3005&gt;=$C608-3)*(Ventes_Encaissements!$C$6:$C$3005&lt;=$C608+3)),1)))</f>
        <v/>
      </c>
      <c r="K608" s="6" t="n"/>
    </row>
    <row r="609">
      <c r="A609" s="6" t="n"/>
      <c r="B609" s="6" t="n"/>
      <c r="C609" s="19" t="n"/>
      <c r="D609" s="19" t="n"/>
      <c r="E609" s="6" t="n"/>
      <c r="F609" s="20" t="n"/>
      <c r="G609" s="9">
        <f>IF($F609="","",IF($F609&gt;0,ROUND($F609,2),""))</f>
        <v/>
      </c>
      <c r="H609" s="12">
        <f>IF(OR($B609="",$C609="",$G609=""),"",COUNTIFS(Ventes_Encaissements!$E$6:$E$3005,$B609,Ventes_Encaissements!$J$6:$J$3005,$G609,Ventes_Encaissements!$C$6:$C$3005,"&gt;="&amp;($C609-3),Ventes_Encaissements!$C$6:$C$3005,"&lt;="&amp;($C609+3)))</f>
        <v/>
      </c>
      <c r="I609" s="12">
        <f>IF($H609="","",IF($H609=0,"Non trouvé",IF($H609=1,"Match","À vérifier")))</f>
        <v/>
      </c>
      <c r="J609" s="21">
        <f>IF($I609&lt;&gt;"Match","",INDEX(Ventes_Encaissements!$B$6:$B$3005,_xludf.AGGREGATE(15,6,(ROW(Ventes_Encaissements!$B$6:$B$3005)-ROW(Ventes_Encaissements!$B$6)+1)/((Ventes_Encaissements!$E$6:$E$3005=$B609)*(Ventes_Encaissements!$J$6:$J$3005=$G609)*(Ventes_Encaissements!$C$6:$C$3005&gt;=$C609-3)*(Ventes_Encaissements!$C$6:$C$3005&lt;=$C609+3)),1)))</f>
        <v/>
      </c>
      <c r="K609" s="6" t="n"/>
    </row>
    <row r="610">
      <c r="A610" s="6" t="n"/>
      <c r="B610" s="6" t="n"/>
      <c r="C610" s="19" t="n"/>
      <c r="D610" s="19" t="n"/>
      <c r="E610" s="6" t="n"/>
      <c r="F610" s="20" t="n"/>
      <c r="G610" s="9">
        <f>IF($F610="","",IF($F610&gt;0,ROUND($F610,2),""))</f>
        <v/>
      </c>
      <c r="H610" s="12">
        <f>IF(OR($B610="",$C610="",$G610=""),"",COUNTIFS(Ventes_Encaissements!$E$6:$E$3005,$B610,Ventes_Encaissements!$J$6:$J$3005,$G610,Ventes_Encaissements!$C$6:$C$3005,"&gt;="&amp;($C610-3),Ventes_Encaissements!$C$6:$C$3005,"&lt;="&amp;($C610+3)))</f>
        <v/>
      </c>
      <c r="I610" s="12">
        <f>IF($H610="","",IF($H610=0,"Non trouvé",IF($H610=1,"Match","À vérifier")))</f>
        <v/>
      </c>
      <c r="J610" s="21">
        <f>IF($I610&lt;&gt;"Match","",INDEX(Ventes_Encaissements!$B$6:$B$3005,_xludf.AGGREGATE(15,6,(ROW(Ventes_Encaissements!$B$6:$B$3005)-ROW(Ventes_Encaissements!$B$6)+1)/((Ventes_Encaissements!$E$6:$E$3005=$B610)*(Ventes_Encaissements!$J$6:$J$3005=$G610)*(Ventes_Encaissements!$C$6:$C$3005&gt;=$C610-3)*(Ventes_Encaissements!$C$6:$C$3005&lt;=$C610+3)),1)))</f>
        <v/>
      </c>
      <c r="K610" s="6" t="n"/>
    </row>
    <row r="611">
      <c r="A611" s="6" t="n"/>
      <c r="B611" s="6" t="n"/>
      <c r="C611" s="19" t="n"/>
      <c r="D611" s="19" t="n"/>
      <c r="E611" s="6" t="n"/>
      <c r="F611" s="20" t="n"/>
      <c r="G611" s="9">
        <f>IF($F611="","",IF($F611&gt;0,ROUND($F611,2),""))</f>
        <v/>
      </c>
      <c r="H611" s="12">
        <f>IF(OR($B611="",$C611="",$G611=""),"",COUNTIFS(Ventes_Encaissements!$E$6:$E$3005,$B611,Ventes_Encaissements!$J$6:$J$3005,$G611,Ventes_Encaissements!$C$6:$C$3005,"&gt;="&amp;($C611-3),Ventes_Encaissements!$C$6:$C$3005,"&lt;="&amp;($C611+3)))</f>
        <v/>
      </c>
      <c r="I611" s="12">
        <f>IF($H611="","",IF($H611=0,"Non trouvé",IF($H611=1,"Match","À vérifier")))</f>
        <v/>
      </c>
      <c r="J611" s="21">
        <f>IF($I611&lt;&gt;"Match","",INDEX(Ventes_Encaissements!$B$6:$B$3005,_xludf.AGGREGATE(15,6,(ROW(Ventes_Encaissements!$B$6:$B$3005)-ROW(Ventes_Encaissements!$B$6)+1)/((Ventes_Encaissements!$E$6:$E$3005=$B611)*(Ventes_Encaissements!$J$6:$J$3005=$G611)*(Ventes_Encaissements!$C$6:$C$3005&gt;=$C611-3)*(Ventes_Encaissements!$C$6:$C$3005&lt;=$C611+3)),1)))</f>
        <v/>
      </c>
      <c r="K611" s="6" t="n"/>
    </row>
    <row r="612">
      <c r="A612" s="6" t="n"/>
      <c r="B612" s="6" t="n"/>
      <c r="C612" s="19" t="n"/>
      <c r="D612" s="19" t="n"/>
      <c r="E612" s="6" t="n"/>
      <c r="F612" s="20" t="n"/>
      <c r="G612" s="9">
        <f>IF($F612="","",IF($F612&gt;0,ROUND($F612,2),""))</f>
        <v/>
      </c>
      <c r="H612" s="12">
        <f>IF(OR($B612="",$C612="",$G612=""),"",COUNTIFS(Ventes_Encaissements!$E$6:$E$3005,$B612,Ventes_Encaissements!$J$6:$J$3005,$G612,Ventes_Encaissements!$C$6:$C$3005,"&gt;="&amp;($C612-3),Ventes_Encaissements!$C$6:$C$3005,"&lt;="&amp;($C612+3)))</f>
        <v/>
      </c>
      <c r="I612" s="12">
        <f>IF($H612="","",IF($H612=0,"Non trouvé",IF($H612=1,"Match","À vérifier")))</f>
        <v/>
      </c>
      <c r="J612" s="21">
        <f>IF($I612&lt;&gt;"Match","",INDEX(Ventes_Encaissements!$B$6:$B$3005,_xludf.AGGREGATE(15,6,(ROW(Ventes_Encaissements!$B$6:$B$3005)-ROW(Ventes_Encaissements!$B$6)+1)/((Ventes_Encaissements!$E$6:$E$3005=$B612)*(Ventes_Encaissements!$J$6:$J$3005=$G612)*(Ventes_Encaissements!$C$6:$C$3005&gt;=$C612-3)*(Ventes_Encaissements!$C$6:$C$3005&lt;=$C612+3)),1)))</f>
        <v/>
      </c>
      <c r="K612" s="6" t="n"/>
    </row>
    <row r="613">
      <c r="A613" s="6" t="n"/>
      <c r="B613" s="6" t="n"/>
      <c r="C613" s="19" t="n"/>
      <c r="D613" s="19" t="n"/>
      <c r="E613" s="6" t="n"/>
      <c r="F613" s="20" t="n"/>
      <c r="G613" s="9">
        <f>IF($F613="","",IF($F613&gt;0,ROUND($F613,2),""))</f>
        <v/>
      </c>
      <c r="H613" s="12">
        <f>IF(OR($B613="",$C613="",$G613=""),"",COUNTIFS(Ventes_Encaissements!$E$6:$E$3005,$B613,Ventes_Encaissements!$J$6:$J$3005,$G613,Ventes_Encaissements!$C$6:$C$3005,"&gt;="&amp;($C613-3),Ventes_Encaissements!$C$6:$C$3005,"&lt;="&amp;($C613+3)))</f>
        <v/>
      </c>
      <c r="I613" s="12">
        <f>IF($H613="","",IF($H613=0,"Non trouvé",IF($H613=1,"Match","À vérifier")))</f>
        <v/>
      </c>
      <c r="J613" s="21">
        <f>IF($I613&lt;&gt;"Match","",INDEX(Ventes_Encaissements!$B$6:$B$3005,_xludf.AGGREGATE(15,6,(ROW(Ventes_Encaissements!$B$6:$B$3005)-ROW(Ventes_Encaissements!$B$6)+1)/((Ventes_Encaissements!$E$6:$E$3005=$B613)*(Ventes_Encaissements!$J$6:$J$3005=$G613)*(Ventes_Encaissements!$C$6:$C$3005&gt;=$C613-3)*(Ventes_Encaissements!$C$6:$C$3005&lt;=$C613+3)),1)))</f>
        <v/>
      </c>
      <c r="K613" s="6" t="n"/>
    </row>
    <row r="614">
      <c r="A614" s="6" t="n"/>
      <c r="B614" s="6" t="n"/>
      <c r="C614" s="19" t="n"/>
      <c r="D614" s="19" t="n"/>
      <c r="E614" s="6" t="n"/>
      <c r="F614" s="20" t="n"/>
      <c r="G614" s="9">
        <f>IF($F614="","",IF($F614&gt;0,ROUND($F614,2),""))</f>
        <v/>
      </c>
      <c r="H614" s="12">
        <f>IF(OR($B614="",$C614="",$G614=""),"",COUNTIFS(Ventes_Encaissements!$E$6:$E$3005,$B614,Ventes_Encaissements!$J$6:$J$3005,$G614,Ventes_Encaissements!$C$6:$C$3005,"&gt;="&amp;($C614-3),Ventes_Encaissements!$C$6:$C$3005,"&lt;="&amp;($C614+3)))</f>
        <v/>
      </c>
      <c r="I614" s="12">
        <f>IF($H614="","",IF($H614=0,"Non trouvé",IF($H614=1,"Match","À vérifier")))</f>
        <v/>
      </c>
      <c r="J614" s="21">
        <f>IF($I614&lt;&gt;"Match","",INDEX(Ventes_Encaissements!$B$6:$B$3005,_xludf.AGGREGATE(15,6,(ROW(Ventes_Encaissements!$B$6:$B$3005)-ROW(Ventes_Encaissements!$B$6)+1)/((Ventes_Encaissements!$E$6:$E$3005=$B614)*(Ventes_Encaissements!$J$6:$J$3005=$G614)*(Ventes_Encaissements!$C$6:$C$3005&gt;=$C614-3)*(Ventes_Encaissements!$C$6:$C$3005&lt;=$C614+3)),1)))</f>
        <v/>
      </c>
      <c r="K614" s="6" t="n"/>
    </row>
    <row r="615">
      <c r="A615" s="6" t="n"/>
      <c r="B615" s="6" t="n"/>
      <c r="C615" s="19" t="n"/>
      <c r="D615" s="19" t="n"/>
      <c r="E615" s="6" t="n"/>
      <c r="F615" s="20" t="n"/>
      <c r="G615" s="9">
        <f>IF($F615="","",IF($F615&gt;0,ROUND($F615,2),""))</f>
        <v/>
      </c>
      <c r="H615" s="12">
        <f>IF(OR($B615="",$C615="",$G615=""),"",COUNTIFS(Ventes_Encaissements!$E$6:$E$3005,$B615,Ventes_Encaissements!$J$6:$J$3005,$G615,Ventes_Encaissements!$C$6:$C$3005,"&gt;="&amp;($C615-3),Ventes_Encaissements!$C$6:$C$3005,"&lt;="&amp;($C615+3)))</f>
        <v/>
      </c>
      <c r="I615" s="12">
        <f>IF($H615="","",IF($H615=0,"Non trouvé",IF($H615=1,"Match","À vérifier")))</f>
        <v/>
      </c>
      <c r="J615" s="21">
        <f>IF($I615&lt;&gt;"Match","",INDEX(Ventes_Encaissements!$B$6:$B$3005,_xludf.AGGREGATE(15,6,(ROW(Ventes_Encaissements!$B$6:$B$3005)-ROW(Ventes_Encaissements!$B$6)+1)/((Ventes_Encaissements!$E$6:$E$3005=$B615)*(Ventes_Encaissements!$J$6:$J$3005=$G615)*(Ventes_Encaissements!$C$6:$C$3005&gt;=$C615-3)*(Ventes_Encaissements!$C$6:$C$3005&lt;=$C615+3)),1)))</f>
        <v/>
      </c>
      <c r="K615" s="6" t="n"/>
    </row>
    <row r="616">
      <c r="A616" s="6" t="n"/>
      <c r="B616" s="6" t="n"/>
      <c r="C616" s="19" t="n"/>
      <c r="D616" s="19" t="n"/>
      <c r="E616" s="6" t="n"/>
      <c r="F616" s="20" t="n"/>
      <c r="G616" s="9">
        <f>IF($F616="","",IF($F616&gt;0,ROUND($F616,2),""))</f>
        <v/>
      </c>
      <c r="H616" s="12">
        <f>IF(OR($B616="",$C616="",$G616=""),"",COUNTIFS(Ventes_Encaissements!$E$6:$E$3005,$B616,Ventes_Encaissements!$J$6:$J$3005,$G616,Ventes_Encaissements!$C$6:$C$3005,"&gt;="&amp;($C616-3),Ventes_Encaissements!$C$6:$C$3005,"&lt;="&amp;($C616+3)))</f>
        <v/>
      </c>
      <c r="I616" s="12">
        <f>IF($H616="","",IF($H616=0,"Non trouvé",IF($H616=1,"Match","À vérifier")))</f>
        <v/>
      </c>
      <c r="J616" s="21">
        <f>IF($I616&lt;&gt;"Match","",INDEX(Ventes_Encaissements!$B$6:$B$3005,_xludf.AGGREGATE(15,6,(ROW(Ventes_Encaissements!$B$6:$B$3005)-ROW(Ventes_Encaissements!$B$6)+1)/((Ventes_Encaissements!$E$6:$E$3005=$B616)*(Ventes_Encaissements!$J$6:$J$3005=$G616)*(Ventes_Encaissements!$C$6:$C$3005&gt;=$C616-3)*(Ventes_Encaissements!$C$6:$C$3005&lt;=$C616+3)),1)))</f>
        <v/>
      </c>
      <c r="K616" s="6" t="n"/>
    </row>
    <row r="617">
      <c r="A617" s="6" t="n"/>
      <c r="B617" s="6" t="n"/>
      <c r="C617" s="19" t="n"/>
      <c r="D617" s="19" t="n"/>
      <c r="E617" s="6" t="n"/>
      <c r="F617" s="20" t="n"/>
      <c r="G617" s="9">
        <f>IF($F617="","",IF($F617&gt;0,ROUND($F617,2),""))</f>
        <v/>
      </c>
      <c r="H617" s="12">
        <f>IF(OR($B617="",$C617="",$G617=""),"",COUNTIFS(Ventes_Encaissements!$E$6:$E$3005,$B617,Ventes_Encaissements!$J$6:$J$3005,$G617,Ventes_Encaissements!$C$6:$C$3005,"&gt;="&amp;($C617-3),Ventes_Encaissements!$C$6:$C$3005,"&lt;="&amp;($C617+3)))</f>
        <v/>
      </c>
      <c r="I617" s="12">
        <f>IF($H617="","",IF($H617=0,"Non trouvé",IF($H617=1,"Match","À vérifier")))</f>
        <v/>
      </c>
      <c r="J617" s="21">
        <f>IF($I617&lt;&gt;"Match","",INDEX(Ventes_Encaissements!$B$6:$B$3005,_xludf.AGGREGATE(15,6,(ROW(Ventes_Encaissements!$B$6:$B$3005)-ROW(Ventes_Encaissements!$B$6)+1)/((Ventes_Encaissements!$E$6:$E$3005=$B617)*(Ventes_Encaissements!$J$6:$J$3005=$G617)*(Ventes_Encaissements!$C$6:$C$3005&gt;=$C617-3)*(Ventes_Encaissements!$C$6:$C$3005&lt;=$C617+3)),1)))</f>
        <v/>
      </c>
      <c r="K617" s="6" t="n"/>
    </row>
    <row r="618">
      <c r="A618" s="6" t="n"/>
      <c r="B618" s="6" t="n"/>
      <c r="C618" s="19" t="n"/>
      <c r="D618" s="19" t="n"/>
      <c r="E618" s="6" t="n"/>
      <c r="F618" s="20" t="n"/>
      <c r="G618" s="9">
        <f>IF($F618="","",IF($F618&gt;0,ROUND($F618,2),""))</f>
        <v/>
      </c>
      <c r="H618" s="12">
        <f>IF(OR($B618="",$C618="",$G618=""),"",COUNTIFS(Ventes_Encaissements!$E$6:$E$3005,$B618,Ventes_Encaissements!$J$6:$J$3005,$G618,Ventes_Encaissements!$C$6:$C$3005,"&gt;="&amp;($C618-3),Ventes_Encaissements!$C$6:$C$3005,"&lt;="&amp;($C618+3)))</f>
        <v/>
      </c>
      <c r="I618" s="12">
        <f>IF($H618="","",IF($H618=0,"Non trouvé",IF($H618=1,"Match","À vérifier")))</f>
        <v/>
      </c>
      <c r="J618" s="21">
        <f>IF($I618&lt;&gt;"Match","",INDEX(Ventes_Encaissements!$B$6:$B$3005,_xludf.AGGREGATE(15,6,(ROW(Ventes_Encaissements!$B$6:$B$3005)-ROW(Ventes_Encaissements!$B$6)+1)/((Ventes_Encaissements!$E$6:$E$3005=$B618)*(Ventes_Encaissements!$J$6:$J$3005=$G618)*(Ventes_Encaissements!$C$6:$C$3005&gt;=$C618-3)*(Ventes_Encaissements!$C$6:$C$3005&lt;=$C618+3)),1)))</f>
        <v/>
      </c>
      <c r="K618" s="6" t="n"/>
    </row>
    <row r="619">
      <c r="A619" s="6" t="n"/>
      <c r="B619" s="6" t="n"/>
      <c r="C619" s="19" t="n"/>
      <c r="D619" s="19" t="n"/>
      <c r="E619" s="6" t="n"/>
      <c r="F619" s="20" t="n"/>
      <c r="G619" s="9">
        <f>IF($F619="","",IF($F619&gt;0,ROUND($F619,2),""))</f>
        <v/>
      </c>
      <c r="H619" s="12">
        <f>IF(OR($B619="",$C619="",$G619=""),"",COUNTIFS(Ventes_Encaissements!$E$6:$E$3005,$B619,Ventes_Encaissements!$J$6:$J$3005,$G619,Ventes_Encaissements!$C$6:$C$3005,"&gt;="&amp;($C619-3),Ventes_Encaissements!$C$6:$C$3005,"&lt;="&amp;($C619+3)))</f>
        <v/>
      </c>
      <c r="I619" s="12">
        <f>IF($H619="","",IF($H619=0,"Non trouvé",IF($H619=1,"Match","À vérifier")))</f>
        <v/>
      </c>
      <c r="J619" s="21">
        <f>IF($I619&lt;&gt;"Match","",INDEX(Ventes_Encaissements!$B$6:$B$3005,_xludf.AGGREGATE(15,6,(ROW(Ventes_Encaissements!$B$6:$B$3005)-ROW(Ventes_Encaissements!$B$6)+1)/((Ventes_Encaissements!$E$6:$E$3005=$B619)*(Ventes_Encaissements!$J$6:$J$3005=$G619)*(Ventes_Encaissements!$C$6:$C$3005&gt;=$C619-3)*(Ventes_Encaissements!$C$6:$C$3005&lt;=$C619+3)),1)))</f>
        <v/>
      </c>
      <c r="K619" s="6" t="n"/>
    </row>
    <row r="620">
      <c r="A620" s="6" t="n"/>
      <c r="B620" s="6" t="n"/>
      <c r="C620" s="19" t="n"/>
      <c r="D620" s="19" t="n"/>
      <c r="E620" s="6" t="n"/>
      <c r="F620" s="20" t="n"/>
      <c r="G620" s="9">
        <f>IF($F620="","",IF($F620&gt;0,ROUND($F620,2),""))</f>
        <v/>
      </c>
      <c r="H620" s="12">
        <f>IF(OR($B620="",$C620="",$G620=""),"",COUNTIFS(Ventes_Encaissements!$E$6:$E$3005,$B620,Ventes_Encaissements!$J$6:$J$3005,$G620,Ventes_Encaissements!$C$6:$C$3005,"&gt;="&amp;($C620-3),Ventes_Encaissements!$C$6:$C$3005,"&lt;="&amp;($C620+3)))</f>
        <v/>
      </c>
      <c r="I620" s="12">
        <f>IF($H620="","",IF($H620=0,"Non trouvé",IF($H620=1,"Match","À vérifier")))</f>
        <v/>
      </c>
      <c r="J620" s="21">
        <f>IF($I620&lt;&gt;"Match","",INDEX(Ventes_Encaissements!$B$6:$B$3005,_xludf.AGGREGATE(15,6,(ROW(Ventes_Encaissements!$B$6:$B$3005)-ROW(Ventes_Encaissements!$B$6)+1)/((Ventes_Encaissements!$E$6:$E$3005=$B620)*(Ventes_Encaissements!$J$6:$J$3005=$G620)*(Ventes_Encaissements!$C$6:$C$3005&gt;=$C620-3)*(Ventes_Encaissements!$C$6:$C$3005&lt;=$C620+3)),1)))</f>
        <v/>
      </c>
      <c r="K620" s="6" t="n"/>
    </row>
    <row r="621">
      <c r="A621" s="6" t="n"/>
      <c r="B621" s="6" t="n"/>
      <c r="C621" s="19" t="n"/>
      <c r="D621" s="19" t="n"/>
      <c r="E621" s="6" t="n"/>
      <c r="F621" s="20" t="n"/>
      <c r="G621" s="9">
        <f>IF($F621="","",IF($F621&gt;0,ROUND($F621,2),""))</f>
        <v/>
      </c>
      <c r="H621" s="12">
        <f>IF(OR($B621="",$C621="",$G621=""),"",COUNTIFS(Ventes_Encaissements!$E$6:$E$3005,$B621,Ventes_Encaissements!$J$6:$J$3005,$G621,Ventes_Encaissements!$C$6:$C$3005,"&gt;="&amp;($C621-3),Ventes_Encaissements!$C$6:$C$3005,"&lt;="&amp;($C621+3)))</f>
        <v/>
      </c>
      <c r="I621" s="12">
        <f>IF($H621="","",IF($H621=0,"Non trouvé",IF($H621=1,"Match","À vérifier")))</f>
        <v/>
      </c>
      <c r="J621" s="21">
        <f>IF($I621&lt;&gt;"Match","",INDEX(Ventes_Encaissements!$B$6:$B$3005,_xludf.AGGREGATE(15,6,(ROW(Ventes_Encaissements!$B$6:$B$3005)-ROW(Ventes_Encaissements!$B$6)+1)/((Ventes_Encaissements!$E$6:$E$3005=$B621)*(Ventes_Encaissements!$J$6:$J$3005=$G621)*(Ventes_Encaissements!$C$6:$C$3005&gt;=$C621-3)*(Ventes_Encaissements!$C$6:$C$3005&lt;=$C621+3)),1)))</f>
        <v/>
      </c>
      <c r="K621" s="6" t="n"/>
    </row>
    <row r="622">
      <c r="A622" s="6" t="n"/>
      <c r="B622" s="6" t="n"/>
      <c r="C622" s="19" t="n"/>
      <c r="D622" s="19" t="n"/>
      <c r="E622" s="6" t="n"/>
      <c r="F622" s="20" t="n"/>
      <c r="G622" s="9">
        <f>IF($F622="","",IF($F622&gt;0,ROUND($F622,2),""))</f>
        <v/>
      </c>
      <c r="H622" s="12">
        <f>IF(OR($B622="",$C622="",$G622=""),"",COUNTIFS(Ventes_Encaissements!$E$6:$E$3005,$B622,Ventes_Encaissements!$J$6:$J$3005,$G622,Ventes_Encaissements!$C$6:$C$3005,"&gt;="&amp;($C622-3),Ventes_Encaissements!$C$6:$C$3005,"&lt;="&amp;($C622+3)))</f>
        <v/>
      </c>
      <c r="I622" s="12">
        <f>IF($H622="","",IF($H622=0,"Non trouvé",IF($H622=1,"Match","À vérifier")))</f>
        <v/>
      </c>
      <c r="J622" s="21">
        <f>IF($I622&lt;&gt;"Match","",INDEX(Ventes_Encaissements!$B$6:$B$3005,_xludf.AGGREGATE(15,6,(ROW(Ventes_Encaissements!$B$6:$B$3005)-ROW(Ventes_Encaissements!$B$6)+1)/((Ventes_Encaissements!$E$6:$E$3005=$B622)*(Ventes_Encaissements!$J$6:$J$3005=$G622)*(Ventes_Encaissements!$C$6:$C$3005&gt;=$C622-3)*(Ventes_Encaissements!$C$6:$C$3005&lt;=$C622+3)),1)))</f>
        <v/>
      </c>
      <c r="K622" s="6" t="n"/>
    </row>
    <row r="623">
      <c r="A623" s="6" t="n"/>
      <c r="B623" s="6" t="n"/>
      <c r="C623" s="19" t="n"/>
      <c r="D623" s="19" t="n"/>
      <c r="E623" s="6" t="n"/>
      <c r="F623" s="20" t="n"/>
      <c r="G623" s="9">
        <f>IF($F623="","",IF($F623&gt;0,ROUND($F623,2),""))</f>
        <v/>
      </c>
      <c r="H623" s="12">
        <f>IF(OR($B623="",$C623="",$G623=""),"",COUNTIFS(Ventes_Encaissements!$E$6:$E$3005,$B623,Ventes_Encaissements!$J$6:$J$3005,$G623,Ventes_Encaissements!$C$6:$C$3005,"&gt;="&amp;($C623-3),Ventes_Encaissements!$C$6:$C$3005,"&lt;="&amp;($C623+3)))</f>
        <v/>
      </c>
      <c r="I623" s="12">
        <f>IF($H623="","",IF($H623=0,"Non trouvé",IF($H623=1,"Match","À vérifier")))</f>
        <v/>
      </c>
      <c r="J623" s="21">
        <f>IF($I623&lt;&gt;"Match","",INDEX(Ventes_Encaissements!$B$6:$B$3005,_xludf.AGGREGATE(15,6,(ROW(Ventes_Encaissements!$B$6:$B$3005)-ROW(Ventes_Encaissements!$B$6)+1)/((Ventes_Encaissements!$E$6:$E$3005=$B623)*(Ventes_Encaissements!$J$6:$J$3005=$G623)*(Ventes_Encaissements!$C$6:$C$3005&gt;=$C623-3)*(Ventes_Encaissements!$C$6:$C$3005&lt;=$C623+3)),1)))</f>
        <v/>
      </c>
      <c r="K623" s="6" t="n"/>
    </row>
    <row r="624">
      <c r="A624" s="6" t="n"/>
      <c r="B624" s="6" t="n"/>
      <c r="C624" s="19" t="n"/>
      <c r="D624" s="19" t="n"/>
      <c r="E624" s="6" t="n"/>
      <c r="F624" s="20" t="n"/>
      <c r="G624" s="9">
        <f>IF($F624="","",IF($F624&gt;0,ROUND($F624,2),""))</f>
        <v/>
      </c>
      <c r="H624" s="12">
        <f>IF(OR($B624="",$C624="",$G624=""),"",COUNTIFS(Ventes_Encaissements!$E$6:$E$3005,$B624,Ventes_Encaissements!$J$6:$J$3005,$G624,Ventes_Encaissements!$C$6:$C$3005,"&gt;="&amp;($C624-3),Ventes_Encaissements!$C$6:$C$3005,"&lt;="&amp;($C624+3)))</f>
        <v/>
      </c>
      <c r="I624" s="12">
        <f>IF($H624="","",IF($H624=0,"Non trouvé",IF($H624=1,"Match","À vérifier")))</f>
        <v/>
      </c>
      <c r="J624" s="21">
        <f>IF($I624&lt;&gt;"Match","",INDEX(Ventes_Encaissements!$B$6:$B$3005,_xludf.AGGREGATE(15,6,(ROW(Ventes_Encaissements!$B$6:$B$3005)-ROW(Ventes_Encaissements!$B$6)+1)/((Ventes_Encaissements!$E$6:$E$3005=$B624)*(Ventes_Encaissements!$J$6:$J$3005=$G624)*(Ventes_Encaissements!$C$6:$C$3005&gt;=$C624-3)*(Ventes_Encaissements!$C$6:$C$3005&lt;=$C624+3)),1)))</f>
        <v/>
      </c>
      <c r="K624" s="6" t="n"/>
    </row>
    <row r="625">
      <c r="A625" s="6" t="n"/>
      <c r="B625" s="6" t="n"/>
      <c r="C625" s="19" t="n"/>
      <c r="D625" s="19" t="n"/>
      <c r="E625" s="6" t="n"/>
      <c r="F625" s="20" t="n"/>
      <c r="G625" s="9">
        <f>IF($F625="","",IF($F625&gt;0,ROUND($F625,2),""))</f>
        <v/>
      </c>
      <c r="H625" s="12">
        <f>IF(OR($B625="",$C625="",$G625=""),"",COUNTIFS(Ventes_Encaissements!$E$6:$E$3005,$B625,Ventes_Encaissements!$J$6:$J$3005,$G625,Ventes_Encaissements!$C$6:$C$3005,"&gt;="&amp;($C625-3),Ventes_Encaissements!$C$6:$C$3005,"&lt;="&amp;($C625+3)))</f>
        <v/>
      </c>
      <c r="I625" s="12">
        <f>IF($H625="","",IF($H625=0,"Non trouvé",IF($H625=1,"Match","À vérifier")))</f>
        <v/>
      </c>
      <c r="J625" s="21">
        <f>IF($I625&lt;&gt;"Match","",INDEX(Ventes_Encaissements!$B$6:$B$3005,_xludf.AGGREGATE(15,6,(ROW(Ventes_Encaissements!$B$6:$B$3005)-ROW(Ventes_Encaissements!$B$6)+1)/((Ventes_Encaissements!$E$6:$E$3005=$B625)*(Ventes_Encaissements!$J$6:$J$3005=$G625)*(Ventes_Encaissements!$C$6:$C$3005&gt;=$C625-3)*(Ventes_Encaissements!$C$6:$C$3005&lt;=$C625+3)),1)))</f>
        <v/>
      </c>
      <c r="K625" s="6" t="n"/>
    </row>
    <row r="626">
      <c r="A626" s="6" t="n"/>
      <c r="B626" s="6" t="n"/>
      <c r="C626" s="19" t="n"/>
      <c r="D626" s="19" t="n"/>
      <c r="E626" s="6" t="n"/>
      <c r="F626" s="20" t="n"/>
      <c r="G626" s="9">
        <f>IF($F626="","",IF($F626&gt;0,ROUND($F626,2),""))</f>
        <v/>
      </c>
      <c r="H626" s="12">
        <f>IF(OR($B626="",$C626="",$G626=""),"",COUNTIFS(Ventes_Encaissements!$E$6:$E$3005,$B626,Ventes_Encaissements!$J$6:$J$3005,$G626,Ventes_Encaissements!$C$6:$C$3005,"&gt;="&amp;($C626-3),Ventes_Encaissements!$C$6:$C$3005,"&lt;="&amp;($C626+3)))</f>
        <v/>
      </c>
      <c r="I626" s="12">
        <f>IF($H626="","",IF($H626=0,"Non trouvé",IF($H626=1,"Match","À vérifier")))</f>
        <v/>
      </c>
      <c r="J626" s="21">
        <f>IF($I626&lt;&gt;"Match","",INDEX(Ventes_Encaissements!$B$6:$B$3005,_xludf.AGGREGATE(15,6,(ROW(Ventes_Encaissements!$B$6:$B$3005)-ROW(Ventes_Encaissements!$B$6)+1)/((Ventes_Encaissements!$E$6:$E$3005=$B626)*(Ventes_Encaissements!$J$6:$J$3005=$G626)*(Ventes_Encaissements!$C$6:$C$3005&gt;=$C626-3)*(Ventes_Encaissements!$C$6:$C$3005&lt;=$C626+3)),1)))</f>
        <v/>
      </c>
      <c r="K626" s="6" t="n"/>
    </row>
    <row r="627">
      <c r="A627" s="6" t="n"/>
      <c r="B627" s="6" t="n"/>
      <c r="C627" s="19" t="n"/>
      <c r="D627" s="19" t="n"/>
      <c r="E627" s="6" t="n"/>
      <c r="F627" s="20" t="n"/>
      <c r="G627" s="9">
        <f>IF($F627="","",IF($F627&gt;0,ROUND($F627,2),""))</f>
        <v/>
      </c>
      <c r="H627" s="12">
        <f>IF(OR($B627="",$C627="",$G627=""),"",COUNTIFS(Ventes_Encaissements!$E$6:$E$3005,$B627,Ventes_Encaissements!$J$6:$J$3005,$G627,Ventes_Encaissements!$C$6:$C$3005,"&gt;="&amp;($C627-3),Ventes_Encaissements!$C$6:$C$3005,"&lt;="&amp;($C627+3)))</f>
        <v/>
      </c>
      <c r="I627" s="12">
        <f>IF($H627="","",IF($H627=0,"Non trouvé",IF($H627=1,"Match","À vérifier")))</f>
        <v/>
      </c>
      <c r="J627" s="21">
        <f>IF($I627&lt;&gt;"Match","",INDEX(Ventes_Encaissements!$B$6:$B$3005,_xludf.AGGREGATE(15,6,(ROW(Ventes_Encaissements!$B$6:$B$3005)-ROW(Ventes_Encaissements!$B$6)+1)/((Ventes_Encaissements!$E$6:$E$3005=$B627)*(Ventes_Encaissements!$J$6:$J$3005=$G627)*(Ventes_Encaissements!$C$6:$C$3005&gt;=$C627-3)*(Ventes_Encaissements!$C$6:$C$3005&lt;=$C627+3)),1)))</f>
        <v/>
      </c>
      <c r="K627" s="6" t="n"/>
    </row>
    <row r="628">
      <c r="A628" s="6" t="n"/>
      <c r="B628" s="6" t="n"/>
      <c r="C628" s="19" t="n"/>
      <c r="D628" s="19" t="n"/>
      <c r="E628" s="6" t="n"/>
      <c r="F628" s="20" t="n"/>
      <c r="G628" s="9">
        <f>IF($F628="","",IF($F628&gt;0,ROUND($F628,2),""))</f>
        <v/>
      </c>
      <c r="H628" s="12">
        <f>IF(OR($B628="",$C628="",$G628=""),"",COUNTIFS(Ventes_Encaissements!$E$6:$E$3005,$B628,Ventes_Encaissements!$J$6:$J$3005,$G628,Ventes_Encaissements!$C$6:$C$3005,"&gt;="&amp;($C628-3),Ventes_Encaissements!$C$6:$C$3005,"&lt;="&amp;($C628+3)))</f>
        <v/>
      </c>
      <c r="I628" s="12">
        <f>IF($H628="","",IF($H628=0,"Non trouvé",IF($H628=1,"Match","À vérifier")))</f>
        <v/>
      </c>
      <c r="J628" s="21">
        <f>IF($I628&lt;&gt;"Match","",INDEX(Ventes_Encaissements!$B$6:$B$3005,_xludf.AGGREGATE(15,6,(ROW(Ventes_Encaissements!$B$6:$B$3005)-ROW(Ventes_Encaissements!$B$6)+1)/((Ventes_Encaissements!$E$6:$E$3005=$B628)*(Ventes_Encaissements!$J$6:$J$3005=$G628)*(Ventes_Encaissements!$C$6:$C$3005&gt;=$C628-3)*(Ventes_Encaissements!$C$6:$C$3005&lt;=$C628+3)),1)))</f>
        <v/>
      </c>
      <c r="K628" s="6" t="n"/>
    </row>
    <row r="629">
      <c r="A629" s="6" t="n"/>
      <c r="B629" s="6" t="n"/>
      <c r="C629" s="19" t="n"/>
      <c r="D629" s="19" t="n"/>
      <c r="E629" s="6" t="n"/>
      <c r="F629" s="20" t="n"/>
      <c r="G629" s="9">
        <f>IF($F629="","",IF($F629&gt;0,ROUND($F629,2),""))</f>
        <v/>
      </c>
      <c r="H629" s="12">
        <f>IF(OR($B629="",$C629="",$G629=""),"",COUNTIFS(Ventes_Encaissements!$E$6:$E$3005,$B629,Ventes_Encaissements!$J$6:$J$3005,$G629,Ventes_Encaissements!$C$6:$C$3005,"&gt;="&amp;($C629-3),Ventes_Encaissements!$C$6:$C$3005,"&lt;="&amp;($C629+3)))</f>
        <v/>
      </c>
      <c r="I629" s="12">
        <f>IF($H629="","",IF($H629=0,"Non trouvé",IF($H629=1,"Match","À vérifier")))</f>
        <v/>
      </c>
      <c r="J629" s="21">
        <f>IF($I629&lt;&gt;"Match","",INDEX(Ventes_Encaissements!$B$6:$B$3005,_xludf.AGGREGATE(15,6,(ROW(Ventes_Encaissements!$B$6:$B$3005)-ROW(Ventes_Encaissements!$B$6)+1)/((Ventes_Encaissements!$E$6:$E$3005=$B629)*(Ventes_Encaissements!$J$6:$J$3005=$G629)*(Ventes_Encaissements!$C$6:$C$3005&gt;=$C629-3)*(Ventes_Encaissements!$C$6:$C$3005&lt;=$C629+3)),1)))</f>
        <v/>
      </c>
      <c r="K629" s="6" t="n"/>
    </row>
    <row r="630">
      <c r="A630" s="6" t="n"/>
      <c r="B630" s="6" t="n"/>
      <c r="C630" s="19" t="n"/>
      <c r="D630" s="19" t="n"/>
      <c r="E630" s="6" t="n"/>
      <c r="F630" s="20" t="n"/>
      <c r="G630" s="9">
        <f>IF($F630="","",IF($F630&gt;0,ROUND($F630,2),""))</f>
        <v/>
      </c>
      <c r="H630" s="12">
        <f>IF(OR($B630="",$C630="",$G630=""),"",COUNTIFS(Ventes_Encaissements!$E$6:$E$3005,$B630,Ventes_Encaissements!$J$6:$J$3005,$G630,Ventes_Encaissements!$C$6:$C$3005,"&gt;="&amp;($C630-3),Ventes_Encaissements!$C$6:$C$3005,"&lt;="&amp;($C630+3)))</f>
        <v/>
      </c>
      <c r="I630" s="12">
        <f>IF($H630="","",IF($H630=0,"Non trouvé",IF($H630=1,"Match","À vérifier")))</f>
        <v/>
      </c>
      <c r="J630" s="21">
        <f>IF($I630&lt;&gt;"Match","",INDEX(Ventes_Encaissements!$B$6:$B$3005,_xludf.AGGREGATE(15,6,(ROW(Ventes_Encaissements!$B$6:$B$3005)-ROW(Ventes_Encaissements!$B$6)+1)/((Ventes_Encaissements!$E$6:$E$3005=$B630)*(Ventes_Encaissements!$J$6:$J$3005=$G630)*(Ventes_Encaissements!$C$6:$C$3005&gt;=$C630-3)*(Ventes_Encaissements!$C$6:$C$3005&lt;=$C630+3)),1)))</f>
        <v/>
      </c>
      <c r="K630" s="6" t="n"/>
    </row>
    <row r="631">
      <c r="A631" s="6" t="n"/>
      <c r="B631" s="6" t="n"/>
      <c r="C631" s="19" t="n"/>
      <c r="D631" s="19" t="n"/>
      <c r="E631" s="6" t="n"/>
      <c r="F631" s="20" t="n"/>
      <c r="G631" s="9">
        <f>IF($F631="","",IF($F631&gt;0,ROUND($F631,2),""))</f>
        <v/>
      </c>
      <c r="H631" s="12">
        <f>IF(OR($B631="",$C631="",$G631=""),"",COUNTIFS(Ventes_Encaissements!$E$6:$E$3005,$B631,Ventes_Encaissements!$J$6:$J$3005,$G631,Ventes_Encaissements!$C$6:$C$3005,"&gt;="&amp;($C631-3),Ventes_Encaissements!$C$6:$C$3005,"&lt;="&amp;($C631+3)))</f>
        <v/>
      </c>
      <c r="I631" s="12">
        <f>IF($H631="","",IF($H631=0,"Non trouvé",IF($H631=1,"Match","À vérifier")))</f>
        <v/>
      </c>
      <c r="J631" s="21">
        <f>IF($I631&lt;&gt;"Match","",INDEX(Ventes_Encaissements!$B$6:$B$3005,_xludf.AGGREGATE(15,6,(ROW(Ventes_Encaissements!$B$6:$B$3005)-ROW(Ventes_Encaissements!$B$6)+1)/((Ventes_Encaissements!$E$6:$E$3005=$B631)*(Ventes_Encaissements!$J$6:$J$3005=$G631)*(Ventes_Encaissements!$C$6:$C$3005&gt;=$C631-3)*(Ventes_Encaissements!$C$6:$C$3005&lt;=$C631+3)),1)))</f>
        <v/>
      </c>
      <c r="K631" s="6" t="n"/>
    </row>
    <row r="632">
      <c r="A632" s="6" t="n"/>
      <c r="B632" s="6" t="n"/>
      <c r="C632" s="19" t="n"/>
      <c r="D632" s="19" t="n"/>
      <c r="E632" s="6" t="n"/>
      <c r="F632" s="20" t="n"/>
      <c r="G632" s="9">
        <f>IF($F632="","",IF($F632&gt;0,ROUND($F632,2),""))</f>
        <v/>
      </c>
      <c r="H632" s="12">
        <f>IF(OR($B632="",$C632="",$G632=""),"",COUNTIFS(Ventes_Encaissements!$E$6:$E$3005,$B632,Ventes_Encaissements!$J$6:$J$3005,$G632,Ventes_Encaissements!$C$6:$C$3005,"&gt;="&amp;($C632-3),Ventes_Encaissements!$C$6:$C$3005,"&lt;="&amp;($C632+3)))</f>
        <v/>
      </c>
      <c r="I632" s="12">
        <f>IF($H632="","",IF($H632=0,"Non trouvé",IF($H632=1,"Match","À vérifier")))</f>
        <v/>
      </c>
      <c r="J632" s="21">
        <f>IF($I632&lt;&gt;"Match","",INDEX(Ventes_Encaissements!$B$6:$B$3005,_xludf.AGGREGATE(15,6,(ROW(Ventes_Encaissements!$B$6:$B$3005)-ROW(Ventes_Encaissements!$B$6)+1)/((Ventes_Encaissements!$E$6:$E$3005=$B632)*(Ventes_Encaissements!$J$6:$J$3005=$G632)*(Ventes_Encaissements!$C$6:$C$3005&gt;=$C632-3)*(Ventes_Encaissements!$C$6:$C$3005&lt;=$C632+3)),1)))</f>
        <v/>
      </c>
      <c r="K632" s="6" t="n"/>
    </row>
    <row r="633">
      <c r="A633" s="6" t="n"/>
      <c r="B633" s="6" t="n"/>
      <c r="C633" s="19" t="n"/>
      <c r="D633" s="19" t="n"/>
      <c r="E633" s="6" t="n"/>
      <c r="F633" s="20" t="n"/>
      <c r="G633" s="9">
        <f>IF($F633="","",IF($F633&gt;0,ROUND($F633,2),""))</f>
        <v/>
      </c>
      <c r="H633" s="12">
        <f>IF(OR($B633="",$C633="",$G633=""),"",COUNTIFS(Ventes_Encaissements!$E$6:$E$3005,$B633,Ventes_Encaissements!$J$6:$J$3005,$G633,Ventes_Encaissements!$C$6:$C$3005,"&gt;="&amp;($C633-3),Ventes_Encaissements!$C$6:$C$3005,"&lt;="&amp;($C633+3)))</f>
        <v/>
      </c>
      <c r="I633" s="12">
        <f>IF($H633="","",IF($H633=0,"Non trouvé",IF($H633=1,"Match","À vérifier")))</f>
        <v/>
      </c>
      <c r="J633" s="21">
        <f>IF($I633&lt;&gt;"Match","",INDEX(Ventes_Encaissements!$B$6:$B$3005,_xludf.AGGREGATE(15,6,(ROW(Ventes_Encaissements!$B$6:$B$3005)-ROW(Ventes_Encaissements!$B$6)+1)/((Ventes_Encaissements!$E$6:$E$3005=$B633)*(Ventes_Encaissements!$J$6:$J$3005=$G633)*(Ventes_Encaissements!$C$6:$C$3005&gt;=$C633-3)*(Ventes_Encaissements!$C$6:$C$3005&lt;=$C633+3)),1)))</f>
        <v/>
      </c>
      <c r="K633" s="6" t="n"/>
    </row>
    <row r="634">
      <c r="A634" s="6" t="n"/>
      <c r="B634" s="6" t="n"/>
      <c r="C634" s="19" t="n"/>
      <c r="D634" s="19" t="n"/>
      <c r="E634" s="6" t="n"/>
      <c r="F634" s="20" t="n"/>
      <c r="G634" s="9">
        <f>IF($F634="","",IF($F634&gt;0,ROUND($F634,2),""))</f>
        <v/>
      </c>
      <c r="H634" s="12">
        <f>IF(OR($B634="",$C634="",$G634=""),"",COUNTIFS(Ventes_Encaissements!$E$6:$E$3005,$B634,Ventes_Encaissements!$J$6:$J$3005,$G634,Ventes_Encaissements!$C$6:$C$3005,"&gt;="&amp;($C634-3),Ventes_Encaissements!$C$6:$C$3005,"&lt;="&amp;($C634+3)))</f>
        <v/>
      </c>
      <c r="I634" s="12">
        <f>IF($H634="","",IF($H634=0,"Non trouvé",IF($H634=1,"Match","À vérifier")))</f>
        <v/>
      </c>
      <c r="J634" s="21">
        <f>IF($I634&lt;&gt;"Match","",INDEX(Ventes_Encaissements!$B$6:$B$3005,_xludf.AGGREGATE(15,6,(ROW(Ventes_Encaissements!$B$6:$B$3005)-ROW(Ventes_Encaissements!$B$6)+1)/((Ventes_Encaissements!$E$6:$E$3005=$B634)*(Ventes_Encaissements!$J$6:$J$3005=$G634)*(Ventes_Encaissements!$C$6:$C$3005&gt;=$C634-3)*(Ventes_Encaissements!$C$6:$C$3005&lt;=$C634+3)),1)))</f>
        <v/>
      </c>
      <c r="K634" s="6" t="n"/>
    </row>
    <row r="635">
      <c r="A635" s="6" t="n"/>
      <c r="B635" s="6" t="n"/>
      <c r="C635" s="19" t="n"/>
      <c r="D635" s="19" t="n"/>
      <c r="E635" s="6" t="n"/>
      <c r="F635" s="20" t="n"/>
      <c r="G635" s="9">
        <f>IF($F635="","",IF($F635&gt;0,ROUND($F635,2),""))</f>
        <v/>
      </c>
      <c r="H635" s="12">
        <f>IF(OR($B635="",$C635="",$G635=""),"",COUNTIFS(Ventes_Encaissements!$E$6:$E$3005,$B635,Ventes_Encaissements!$J$6:$J$3005,$G635,Ventes_Encaissements!$C$6:$C$3005,"&gt;="&amp;($C635-3),Ventes_Encaissements!$C$6:$C$3005,"&lt;="&amp;($C635+3)))</f>
        <v/>
      </c>
      <c r="I635" s="12">
        <f>IF($H635="","",IF($H635=0,"Non trouvé",IF($H635=1,"Match","À vérifier")))</f>
        <v/>
      </c>
      <c r="J635" s="21">
        <f>IF($I635&lt;&gt;"Match","",INDEX(Ventes_Encaissements!$B$6:$B$3005,_xludf.AGGREGATE(15,6,(ROW(Ventes_Encaissements!$B$6:$B$3005)-ROW(Ventes_Encaissements!$B$6)+1)/((Ventes_Encaissements!$E$6:$E$3005=$B635)*(Ventes_Encaissements!$J$6:$J$3005=$G635)*(Ventes_Encaissements!$C$6:$C$3005&gt;=$C635-3)*(Ventes_Encaissements!$C$6:$C$3005&lt;=$C635+3)),1)))</f>
        <v/>
      </c>
      <c r="K635" s="6" t="n"/>
    </row>
    <row r="636">
      <c r="A636" s="6" t="n"/>
      <c r="B636" s="6" t="n"/>
      <c r="C636" s="19" t="n"/>
      <c r="D636" s="19" t="n"/>
      <c r="E636" s="6" t="n"/>
      <c r="F636" s="20" t="n"/>
      <c r="G636" s="9">
        <f>IF($F636="","",IF($F636&gt;0,ROUND($F636,2),""))</f>
        <v/>
      </c>
      <c r="H636" s="12">
        <f>IF(OR($B636="",$C636="",$G636=""),"",COUNTIFS(Ventes_Encaissements!$E$6:$E$3005,$B636,Ventes_Encaissements!$J$6:$J$3005,$G636,Ventes_Encaissements!$C$6:$C$3005,"&gt;="&amp;($C636-3),Ventes_Encaissements!$C$6:$C$3005,"&lt;="&amp;($C636+3)))</f>
        <v/>
      </c>
      <c r="I636" s="12">
        <f>IF($H636="","",IF($H636=0,"Non trouvé",IF($H636=1,"Match","À vérifier")))</f>
        <v/>
      </c>
      <c r="J636" s="21">
        <f>IF($I636&lt;&gt;"Match","",INDEX(Ventes_Encaissements!$B$6:$B$3005,_xludf.AGGREGATE(15,6,(ROW(Ventes_Encaissements!$B$6:$B$3005)-ROW(Ventes_Encaissements!$B$6)+1)/((Ventes_Encaissements!$E$6:$E$3005=$B636)*(Ventes_Encaissements!$J$6:$J$3005=$G636)*(Ventes_Encaissements!$C$6:$C$3005&gt;=$C636-3)*(Ventes_Encaissements!$C$6:$C$3005&lt;=$C636+3)),1)))</f>
        <v/>
      </c>
      <c r="K636" s="6" t="n"/>
    </row>
    <row r="637">
      <c r="A637" s="6" t="n"/>
      <c r="B637" s="6" t="n"/>
      <c r="C637" s="19" t="n"/>
      <c r="D637" s="19" t="n"/>
      <c r="E637" s="6" t="n"/>
      <c r="F637" s="20" t="n"/>
      <c r="G637" s="9">
        <f>IF($F637="","",IF($F637&gt;0,ROUND($F637,2),""))</f>
        <v/>
      </c>
      <c r="H637" s="12">
        <f>IF(OR($B637="",$C637="",$G637=""),"",COUNTIFS(Ventes_Encaissements!$E$6:$E$3005,$B637,Ventes_Encaissements!$J$6:$J$3005,$G637,Ventes_Encaissements!$C$6:$C$3005,"&gt;="&amp;($C637-3),Ventes_Encaissements!$C$6:$C$3005,"&lt;="&amp;($C637+3)))</f>
        <v/>
      </c>
      <c r="I637" s="12">
        <f>IF($H637="","",IF($H637=0,"Non trouvé",IF($H637=1,"Match","À vérifier")))</f>
        <v/>
      </c>
      <c r="J637" s="21">
        <f>IF($I637&lt;&gt;"Match","",INDEX(Ventes_Encaissements!$B$6:$B$3005,_xludf.AGGREGATE(15,6,(ROW(Ventes_Encaissements!$B$6:$B$3005)-ROW(Ventes_Encaissements!$B$6)+1)/((Ventes_Encaissements!$E$6:$E$3005=$B637)*(Ventes_Encaissements!$J$6:$J$3005=$G637)*(Ventes_Encaissements!$C$6:$C$3005&gt;=$C637-3)*(Ventes_Encaissements!$C$6:$C$3005&lt;=$C637+3)),1)))</f>
        <v/>
      </c>
      <c r="K637" s="6" t="n"/>
    </row>
    <row r="638">
      <c r="A638" s="6" t="n"/>
      <c r="B638" s="6" t="n"/>
      <c r="C638" s="19" t="n"/>
      <c r="D638" s="19" t="n"/>
      <c r="E638" s="6" t="n"/>
      <c r="F638" s="20" t="n"/>
      <c r="G638" s="9">
        <f>IF($F638="","",IF($F638&gt;0,ROUND($F638,2),""))</f>
        <v/>
      </c>
      <c r="H638" s="12">
        <f>IF(OR($B638="",$C638="",$G638=""),"",COUNTIFS(Ventes_Encaissements!$E$6:$E$3005,$B638,Ventes_Encaissements!$J$6:$J$3005,$G638,Ventes_Encaissements!$C$6:$C$3005,"&gt;="&amp;($C638-3),Ventes_Encaissements!$C$6:$C$3005,"&lt;="&amp;($C638+3)))</f>
        <v/>
      </c>
      <c r="I638" s="12">
        <f>IF($H638="","",IF($H638=0,"Non trouvé",IF($H638=1,"Match","À vérifier")))</f>
        <v/>
      </c>
      <c r="J638" s="21">
        <f>IF($I638&lt;&gt;"Match","",INDEX(Ventes_Encaissements!$B$6:$B$3005,_xludf.AGGREGATE(15,6,(ROW(Ventes_Encaissements!$B$6:$B$3005)-ROW(Ventes_Encaissements!$B$6)+1)/((Ventes_Encaissements!$E$6:$E$3005=$B638)*(Ventes_Encaissements!$J$6:$J$3005=$G638)*(Ventes_Encaissements!$C$6:$C$3005&gt;=$C638-3)*(Ventes_Encaissements!$C$6:$C$3005&lt;=$C638+3)),1)))</f>
        <v/>
      </c>
      <c r="K638" s="6" t="n"/>
    </row>
    <row r="639">
      <c r="A639" s="6" t="n"/>
      <c r="B639" s="6" t="n"/>
      <c r="C639" s="19" t="n"/>
      <c r="D639" s="19" t="n"/>
      <c r="E639" s="6" t="n"/>
      <c r="F639" s="20" t="n"/>
      <c r="G639" s="9">
        <f>IF($F639="","",IF($F639&gt;0,ROUND($F639,2),""))</f>
        <v/>
      </c>
      <c r="H639" s="12">
        <f>IF(OR($B639="",$C639="",$G639=""),"",COUNTIFS(Ventes_Encaissements!$E$6:$E$3005,$B639,Ventes_Encaissements!$J$6:$J$3005,$G639,Ventes_Encaissements!$C$6:$C$3005,"&gt;="&amp;($C639-3),Ventes_Encaissements!$C$6:$C$3005,"&lt;="&amp;($C639+3)))</f>
        <v/>
      </c>
      <c r="I639" s="12">
        <f>IF($H639="","",IF($H639=0,"Non trouvé",IF($H639=1,"Match","À vérifier")))</f>
        <v/>
      </c>
      <c r="J639" s="21">
        <f>IF($I639&lt;&gt;"Match","",INDEX(Ventes_Encaissements!$B$6:$B$3005,_xludf.AGGREGATE(15,6,(ROW(Ventes_Encaissements!$B$6:$B$3005)-ROW(Ventes_Encaissements!$B$6)+1)/((Ventes_Encaissements!$E$6:$E$3005=$B639)*(Ventes_Encaissements!$J$6:$J$3005=$G639)*(Ventes_Encaissements!$C$6:$C$3005&gt;=$C639-3)*(Ventes_Encaissements!$C$6:$C$3005&lt;=$C639+3)),1)))</f>
        <v/>
      </c>
      <c r="K639" s="6" t="n"/>
    </row>
    <row r="640">
      <c r="A640" s="6" t="n"/>
      <c r="B640" s="6" t="n"/>
      <c r="C640" s="19" t="n"/>
      <c r="D640" s="19" t="n"/>
      <c r="E640" s="6" t="n"/>
      <c r="F640" s="20" t="n"/>
      <c r="G640" s="9">
        <f>IF($F640="","",IF($F640&gt;0,ROUND($F640,2),""))</f>
        <v/>
      </c>
      <c r="H640" s="12">
        <f>IF(OR($B640="",$C640="",$G640=""),"",COUNTIFS(Ventes_Encaissements!$E$6:$E$3005,$B640,Ventes_Encaissements!$J$6:$J$3005,$G640,Ventes_Encaissements!$C$6:$C$3005,"&gt;="&amp;($C640-3),Ventes_Encaissements!$C$6:$C$3005,"&lt;="&amp;($C640+3)))</f>
        <v/>
      </c>
      <c r="I640" s="12">
        <f>IF($H640="","",IF($H640=0,"Non trouvé",IF($H640=1,"Match","À vérifier")))</f>
        <v/>
      </c>
      <c r="J640" s="21">
        <f>IF($I640&lt;&gt;"Match","",INDEX(Ventes_Encaissements!$B$6:$B$3005,_xludf.AGGREGATE(15,6,(ROW(Ventes_Encaissements!$B$6:$B$3005)-ROW(Ventes_Encaissements!$B$6)+1)/((Ventes_Encaissements!$E$6:$E$3005=$B640)*(Ventes_Encaissements!$J$6:$J$3005=$G640)*(Ventes_Encaissements!$C$6:$C$3005&gt;=$C640-3)*(Ventes_Encaissements!$C$6:$C$3005&lt;=$C640+3)),1)))</f>
        <v/>
      </c>
      <c r="K640" s="6" t="n"/>
    </row>
    <row r="641">
      <c r="A641" s="6" t="n"/>
      <c r="B641" s="6" t="n"/>
      <c r="C641" s="19" t="n"/>
      <c r="D641" s="19" t="n"/>
      <c r="E641" s="6" t="n"/>
      <c r="F641" s="20" t="n"/>
      <c r="G641" s="9">
        <f>IF($F641="","",IF($F641&gt;0,ROUND($F641,2),""))</f>
        <v/>
      </c>
      <c r="H641" s="12">
        <f>IF(OR($B641="",$C641="",$G641=""),"",COUNTIFS(Ventes_Encaissements!$E$6:$E$3005,$B641,Ventes_Encaissements!$J$6:$J$3005,$G641,Ventes_Encaissements!$C$6:$C$3005,"&gt;="&amp;($C641-3),Ventes_Encaissements!$C$6:$C$3005,"&lt;="&amp;($C641+3)))</f>
        <v/>
      </c>
      <c r="I641" s="12">
        <f>IF($H641="","",IF($H641=0,"Non trouvé",IF($H641=1,"Match","À vérifier")))</f>
        <v/>
      </c>
      <c r="J641" s="21">
        <f>IF($I641&lt;&gt;"Match","",INDEX(Ventes_Encaissements!$B$6:$B$3005,_xludf.AGGREGATE(15,6,(ROW(Ventes_Encaissements!$B$6:$B$3005)-ROW(Ventes_Encaissements!$B$6)+1)/((Ventes_Encaissements!$E$6:$E$3005=$B641)*(Ventes_Encaissements!$J$6:$J$3005=$G641)*(Ventes_Encaissements!$C$6:$C$3005&gt;=$C641-3)*(Ventes_Encaissements!$C$6:$C$3005&lt;=$C641+3)),1)))</f>
        <v/>
      </c>
      <c r="K641" s="6" t="n"/>
    </row>
    <row r="642">
      <c r="A642" s="6" t="n"/>
      <c r="B642" s="6" t="n"/>
      <c r="C642" s="19" t="n"/>
      <c r="D642" s="19" t="n"/>
      <c r="E642" s="6" t="n"/>
      <c r="F642" s="20" t="n"/>
      <c r="G642" s="9">
        <f>IF($F642="","",IF($F642&gt;0,ROUND($F642,2),""))</f>
        <v/>
      </c>
      <c r="H642" s="12">
        <f>IF(OR($B642="",$C642="",$G642=""),"",COUNTIFS(Ventes_Encaissements!$E$6:$E$3005,$B642,Ventes_Encaissements!$J$6:$J$3005,$G642,Ventes_Encaissements!$C$6:$C$3005,"&gt;="&amp;($C642-3),Ventes_Encaissements!$C$6:$C$3005,"&lt;="&amp;($C642+3)))</f>
        <v/>
      </c>
      <c r="I642" s="12">
        <f>IF($H642="","",IF($H642=0,"Non trouvé",IF($H642=1,"Match","À vérifier")))</f>
        <v/>
      </c>
      <c r="J642" s="21">
        <f>IF($I642&lt;&gt;"Match","",INDEX(Ventes_Encaissements!$B$6:$B$3005,_xludf.AGGREGATE(15,6,(ROW(Ventes_Encaissements!$B$6:$B$3005)-ROW(Ventes_Encaissements!$B$6)+1)/((Ventes_Encaissements!$E$6:$E$3005=$B642)*(Ventes_Encaissements!$J$6:$J$3005=$G642)*(Ventes_Encaissements!$C$6:$C$3005&gt;=$C642-3)*(Ventes_Encaissements!$C$6:$C$3005&lt;=$C642+3)),1)))</f>
        <v/>
      </c>
      <c r="K642" s="6" t="n"/>
    </row>
    <row r="643">
      <c r="A643" s="6" t="n"/>
      <c r="B643" s="6" t="n"/>
      <c r="C643" s="19" t="n"/>
      <c r="D643" s="19" t="n"/>
      <c r="E643" s="6" t="n"/>
      <c r="F643" s="20" t="n"/>
      <c r="G643" s="9">
        <f>IF($F643="","",IF($F643&gt;0,ROUND($F643,2),""))</f>
        <v/>
      </c>
      <c r="H643" s="12">
        <f>IF(OR($B643="",$C643="",$G643=""),"",COUNTIFS(Ventes_Encaissements!$E$6:$E$3005,$B643,Ventes_Encaissements!$J$6:$J$3005,$G643,Ventes_Encaissements!$C$6:$C$3005,"&gt;="&amp;($C643-3),Ventes_Encaissements!$C$6:$C$3005,"&lt;="&amp;($C643+3)))</f>
        <v/>
      </c>
      <c r="I643" s="12">
        <f>IF($H643="","",IF($H643=0,"Non trouvé",IF($H643=1,"Match","À vérifier")))</f>
        <v/>
      </c>
      <c r="J643" s="21">
        <f>IF($I643&lt;&gt;"Match","",INDEX(Ventes_Encaissements!$B$6:$B$3005,_xludf.AGGREGATE(15,6,(ROW(Ventes_Encaissements!$B$6:$B$3005)-ROW(Ventes_Encaissements!$B$6)+1)/((Ventes_Encaissements!$E$6:$E$3005=$B643)*(Ventes_Encaissements!$J$6:$J$3005=$G643)*(Ventes_Encaissements!$C$6:$C$3005&gt;=$C643-3)*(Ventes_Encaissements!$C$6:$C$3005&lt;=$C643+3)),1)))</f>
        <v/>
      </c>
      <c r="K643" s="6" t="n"/>
    </row>
    <row r="644">
      <c r="A644" s="6" t="n"/>
      <c r="B644" s="6" t="n"/>
      <c r="C644" s="19" t="n"/>
      <c r="D644" s="19" t="n"/>
      <c r="E644" s="6" t="n"/>
      <c r="F644" s="20" t="n"/>
      <c r="G644" s="9">
        <f>IF($F644="","",IF($F644&gt;0,ROUND($F644,2),""))</f>
        <v/>
      </c>
      <c r="H644" s="12">
        <f>IF(OR($B644="",$C644="",$G644=""),"",COUNTIFS(Ventes_Encaissements!$E$6:$E$3005,$B644,Ventes_Encaissements!$J$6:$J$3005,$G644,Ventes_Encaissements!$C$6:$C$3005,"&gt;="&amp;($C644-3),Ventes_Encaissements!$C$6:$C$3005,"&lt;="&amp;($C644+3)))</f>
        <v/>
      </c>
      <c r="I644" s="12">
        <f>IF($H644="","",IF($H644=0,"Non trouvé",IF($H644=1,"Match","À vérifier")))</f>
        <v/>
      </c>
      <c r="J644" s="21">
        <f>IF($I644&lt;&gt;"Match","",INDEX(Ventes_Encaissements!$B$6:$B$3005,_xludf.AGGREGATE(15,6,(ROW(Ventes_Encaissements!$B$6:$B$3005)-ROW(Ventes_Encaissements!$B$6)+1)/((Ventes_Encaissements!$E$6:$E$3005=$B644)*(Ventes_Encaissements!$J$6:$J$3005=$G644)*(Ventes_Encaissements!$C$6:$C$3005&gt;=$C644-3)*(Ventes_Encaissements!$C$6:$C$3005&lt;=$C644+3)),1)))</f>
        <v/>
      </c>
      <c r="K644" s="6" t="n"/>
    </row>
    <row r="645">
      <c r="A645" s="6" t="n"/>
      <c r="B645" s="6" t="n"/>
      <c r="C645" s="19" t="n"/>
      <c r="D645" s="19" t="n"/>
      <c r="E645" s="6" t="n"/>
      <c r="F645" s="20" t="n"/>
      <c r="G645" s="9">
        <f>IF($F645="","",IF($F645&gt;0,ROUND($F645,2),""))</f>
        <v/>
      </c>
      <c r="H645" s="12">
        <f>IF(OR($B645="",$C645="",$G645=""),"",COUNTIFS(Ventes_Encaissements!$E$6:$E$3005,$B645,Ventes_Encaissements!$J$6:$J$3005,$G645,Ventes_Encaissements!$C$6:$C$3005,"&gt;="&amp;($C645-3),Ventes_Encaissements!$C$6:$C$3005,"&lt;="&amp;($C645+3)))</f>
        <v/>
      </c>
      <c r="I645" s="12">
        <f>IF($H645="","",IF($H645=0,"Non trouvé",IF($H645=1,"Match","À vérifier")))</f>
        <v/>
      </c>
      <c r="J645" s="21">
        <f>IF($I645&lt;&gt;"Match","",INDEX(Ventes_Encaissements!$B$6:$B$3005,_xludf.AGGREGATE(15,6,(ROW(Ventes_Encaissements!$B$6:$B$3005)-ROW(Ventes_Encaissements!$B$6)+1)/((Ventes_Encaissements!$E$6:$E$3005=$B645)*(Ventes_Encaissements!$J$6:$J$3005=$G645)*(Ventes_Encaissements!$C$6:$C$3005&gt;=$C645-3)*(Ventes_Encaissements!$C$6:$C$3005&lt;=$C645+3)),1)))</f>
        <v/>
      </c>
      <c r="K645" s="6" t="n"/>
    </row>
    <row r="646">
      <c r="A646" s="6" t="n"/>
      <c r="B646" s="6" t="n"/>
      <c r="C646" s="19" t="n"/>
      <c r="D646" s="19" t="n"/>
      <c r="E646" s="6" t="n"/>
      <c r="F646" s="20" t="n"/>
      <c r="G646" s="9">
        <f>IF($F646="","",IF($F646&gt;0,ROUND($F646,2),""))</f>
        <v/>
      </c>
      <c r="H646" s="12">
        <f>IF(OR($B646="",$C646="",$G646=""),"",COUNTIFS(Ventes_Encaissements!$E$6:$E$3005,$B646,Ventes_Encaissements!$J$6:$J$3005,$G646,Ventes_Encaissements!$C$6:$C$3005,"&gt;="&amp;($C646-3),Ventes_Encaissements!$C$6:$C$3005,"&lt;="&amp;($C646+3)))</f>
        <v/>
      </c>
      <c r="I646" s="12">
        <f>IF($H646="","",IF($H646=0,"Non trouvé",IF($H646=1,"Match","À vérifier")))</f>
        <v/>
      </c>
      <c r="J646" s="21">
        <f>IF($I646&lt;&gt;"Match","",INDEX(Ventes_Encaissements!$B$6:$B$3005,_xludf.AGGREGATE(15,6,(ROW(Ventes_Encaissements!$B$6:$B$3005)-ROW(Ventes_Encaissements!$B$6)+1)/((Ventes_Encaissements!$E$6:$E$3005=$B646)*(Ventes_Encaissements!$J$6:$J$3005=$G646)*(Ventes_Encaissements!$C$6:$C$3005&gt;=$C646-3)*(Ventes_Encaissements!$C$6:$C$3005&lt;=$C646+3)),1)))</f>
        <v/>
      </c>
      <c r="K646" s="6" t="n"/>
    </row>
    <row r="647">
      <c r="A647" s="6" t="n"/>
      <c r="B647" s="6" t="n"/>
      <c r="C647" s="19" t="n"/>
      <c r="D647" s="19" t="n"/>
      <c r="E647" s="6" t="n"/>
      <c r="F647" s="20" t="n"/>
      <c r="G647" s="9">
        <f>IF($F647="","",IF($F647&gt;0,ROUND($F647,2),""))</f>
        <v/>
      </c>
      <c r="H647" s="12">
        <f>IF(OR($B647="",$C647="",$G647=""),"",COUNTIFS(Ventes_Encaissements!$E$6:$E$3005,$B647,Ventes_Encaissements!$J$6:$J$3005,$G647,Ventes_Encaissements!$C$6:$C$3005,"&gt;="&amp;($C647-3),Ventes_Encaissements!$C$6:$C$3005,"&lt;="&amp;($C647+3)))</f>
        <v/>
      </c>
      <c r="I647" s="12">
        <f>IF($H647="","",IF($H647=0,"Non trouvé",IF($H647=1,"Match","À vérifier")))</f>
        <v/>
      </c>
      <c r="J647" s="21">
        <f>IF($I647&lt;&gt;"Match","",INDEX(Ventes_Encaissements!$B$6:$B$3005,_xludf.AGGREGATE(15,6,(ROW(Ventes_Encaissements!$B$6:$B$3005)-ROW(Ventes_Encaissements!$B$6)+1)/((Ventes_Encaissements!$E$6:$E$3005=$B647)*(Ventes_Encaissements!$J$6:$J$3005=$G647)*(Ventes_Encaissements!$C$6:$C$3005&gt;=$C647-3)*(Ventes_Encaissements!$C$6:$C$3005&lt;=$C647+3)),1)))</f>
        <v/>
      </c>
      <c r="K647" s="6" t="n"/>
    </row>
    <row r="648">
      <c r="A648" s="6" t="n"/>
      <c r="B648" s="6" t="n"/>
      <c r="C648" s="19" t="n"/>
      <c r="D648" s="19" t="n"/>
      <c r="E648" s="6" t="n"/>
      <c r="F648" s="20" t="n"/>
      <c r="G648" s="9">
        <f>IF($F648="","",IF($F648&gt;0,ROUND($F648,2),""))</f>
        <v/>
      </c>
      <c r="H648" s="12">
        <f>IF(OR($B648="",$C648="",$G648=""),"",COUNTIFS(Ventes_Encaissements!$E$6:$E$3005,$B648,Ventes_Encaissements!$J$6:$J$3005,$G648,Ventes_Encaissements!$C$6:$C$3005,"&gt;="&amp;($C648-3),Ventes_Encaissements!$C$6:$C$3005,"&lt;="&amp;($C648+3)))</f>
        <v/>
      </c>
      <c r="I648" s="12">
        <f>IF($H648="","",IF($H648=0,"Non trouvé",IF($H648=1,"Match","À vérifier")))</f>
        <v/>
      </c>
      <c r="J648" s="21">
        <f>IF($I648&lt;&gt;"Match","",INDEX(Ventes_Encaissements!$B$6:$B$3005,_xludf.AGGREGATE(15,6,(ROW(Ventes_Encaissements!$B$6:$B$3005)-ROW(Ventes_Encaissements!$B$6)+1)/((Ventes_Encaissements!$E$6:$E$3005=$B648)*(Ventes_Encaissements!$J$6:$J$3005=$G648)*(Ventes_Encaissements!$C$6:$C$3005&gt;=$C648-3)*(Ventes_Encaissements!$C$6:$C$3005&lt;=$C648+3)),1)))</f>
        <v/>
      </c>
      <c r="K648" s="6" t="n"/>
    </row>
    <row r="649">
      <c r="A649" s="6" t="n"/>
      <c r="B649" s="6" t="n"/>
      <c r="C649" s="19" t="n"/>
      <c r="D649" s="19" t="n"/>
      <c r="E649" s="6" t="n"/>
      <c r="F649" s="20" t="n"/>
      <c r="G649" s="9">
        <f>IF($F649="","",IF($F649&gt;0,ROUND($F649,2),""))</f>
        <v/>
      </c>
      <c r="H649" s="12">
        <f>IF(OR($B649="",$C649="",$G649=""),"",COUNTIFS(Ventes_Encaissements!$E$6:$E$3005,$B649,Ventes_Encaissements!$J$6:$J$3005,$G649,Ventes_Encaissements!$C$6:$C$3005,"&gt;="&amp;($C649-3),Ventes_Encaissements!$C$6:$C$3005,"&lt;="&amp;($C649+3)))</f>
        <v/>
      </c>
      <c r="I649" s="12">
        <f>IF($H649="","",IF($H649=0,"Non trouvé",IF($H649=1,"Match","À vérifier")))</f>
        <v/>
      </c>
      <c r="J649" s="21">
        <f>IF($I649&lt;&gt;"Match","",INDEX(Ventes_Encaissements!$B$6:$B$3005,_xludf.AGGREGATE(15,6,(ROW(Ventes_Encaissements!$B$6:$B$3005)-ROW(Ventes_Encaissements!$B$6)+1)/((Ventes_Encaissements!$E$6:$E$3005=$B649)*(Ventes_Encaissements!$J$6:$J$3005=$G649)*(Ventes_Encaissements!$C$6:$C$3005&gt;=$C649-3)*(Ventes_Encaissements!$C$6:$C$3005&lt;=$C649+3)),1)))</f>
        <v/>
      </c>
      <c r="K649" s="6" t="n"/>
    </row>
    <row r="650">
      <c r="A650" s="6" t="n"/>
      <c r="B650" s="6" t="n"/>
      <c r="C650" s="19" t="n"/>
      <c r="D650" s="19" t="n"/>
      <c r="E650" s="6" t="n"/>
      <c r="F650" s="20" t="n"/>
      <c r="G650" s="9">
        <f>IF($F650="","",IF($F650&gt;0,ROUND($F650,2),""))</f>
        <v/>
      </c>
      <c r="H650" s="12">
        <f>IF(OR($B650="",$C650="",$G650=""),"",COUNTIFS(Ventes_Encaissements!$E$6:$E$3005,$B650,Ventes_Encaissements!$J$6:$J$3005,$G650,Ventes_Encaissements!$C$6:$C$3005,"&gt;="&amp;($C650-3),Ventes_Encaissements!$C$6:$C$3005,"&lt;="&amp;($C650+3)))</f>
        <v/>
      </c>
      <c r="I650" s="12">
        <f>IF($H650="","",IF($H650=0,"Non trouvé",IF($H650=1,"Match","À vérifier")))</f>
        <v/>
      </c>
      <c r="J650" s="21">
        <f>IF($I650&lt;&gt;"Match","",INDEX(Ventes_Encaissements!$B$6:$B$3005,_xludf.AGGREGATE(15,6,(ROW(Ventes_Encaissements!$B$6:$B$3005)-ROW(Ventes_Encaissements!$B$6)+1)/((Ventes_Encaissements!$E$6:$E$3005=$B650)*(Ventes_Encaissements!$J$6:$J$3005=$G650)*(Ventes_Encaissements!$C$6:$C$3005&gt;=$C650-3)*(Ventes_Encaissements!$C$6:$C$3005&lt;=$C650+3)),1)))</f>
        <v/>
      </c>
      <c r="K650" s="6" t="n"/>
    </row>
    <row r="651">
      <c r="A651" s="6" t="n"/>
      <c r="B651" s="6" t="n"/>
      <c r="C651" s="19" t="n"/>
      <c r="D651" s="19" t="n"/>
      <c r="E651" s="6" t="n"/>
      <c r="F651" s="20" t="n"/>
      <c r="G651" s="9">
        <f>IF($F651="","",IF($F651&gt;0,ROUND($F651,2),""))</f>
        <v/>
      </c>
      <c r="H651" s="12">
        <f>IF(OR($B651="",$C651="",$G651=""),"",COUNTIFS(Ventes_Encaissements!$E$6:$E$3005,$B651,Ventes_Encaissements!$J$6:$J$3005,$G651,Ventes_Encaissements!$C$6:$C$3005,"&gt;="&amp;($C651-3),Ventes_Encaissements!$C$6:$C$3005,"&lt;="&amp;($C651+3)))</f>
        <v/>
      </c>
      <c r="I651" s="12">
        <f>IF($H651="","",IF($H651=0,"Non trouvé",IF($H651=1,"Match","À vérifier")))</f>
        <v/>
      </c>
      <c r="J651" s="21">
        <f>IF($I651&lt;&gt;"Match","",INDEX(Ventes_Encaissements!$B$6:$B$3005,_xludf.AGGREGATE(15,6,(ROW(Ventes_Encaissements!$B$6:$B$3005)-ROW(Ventes_Encaissements!$B$6)+1)/((Ventes_Encaissements!$E$6:$E$3005=$B651)*(Ventes_Encaissements!$J$6:$J$3005=$G651)*(Ventes_Encaissements!$C$6:$C$3005&gt;=$C651-3)*(Ventes_Encaissements!$C$6:$C$3005&lt;=$C651+3)),1)))</f>
        <v/>
      </c>
      <c r="K651" s="6" t="n"/>
    </row>
    <row r="652">
      <c r="A652" s="6" t="n"/>
      <c r="B652" s="6" t="n"/>
      <c r="C652" s="19" t="n"/>
      <c r="D652" s="19" t="n"/>
      <c r="E652" s="6" t="n"/>
      <c r="F652" s="20" t="n"/>
      <c r="G652" s="9">
        <f>IF($F652="","",IF($F652&gt;0,ROUND($F652,2),""))</f>
        <v/>
      </c>
      <c r="H652" s="12">
        <f>IF(OR($B652="",$C652="",$G652=""),"",COUNTIFS(Ventes_Encaissements!$E$6:$E$3005,$B652,Ventes_Encaissements!$J$6:$J$3005,$G652,Ventes_Encaissements!$C$6:$C$3005,"&gt;="&amp;($C652-3),Ventes_Encaissements!$C$6:$C$3005,"&lt;="&amp;($C652+3)))</f>
        <v/>
      </c>
      <c r="I652" s="12">
        <f>IF($H652="","",IF($H652=0,"Non trouvé",IF($H652=1,"Match","À vérifier")))</f>
        <v/>
      </c>
      <c r="J652" s="21">
        <f>IF($I652&lt;&gt;"Match","",INDEX(Ventes_Encaissements!$B$6:$B$3005,_xludf.AGGREGATE(15,6,(ROW(Ventes_Encaissements!$B$6:$B$3005)-ROW(Ventes_Encaissements!$B$6)+1)/((Ventes_Encaissements!$E$6:$E$3005=$B652)*(Ventes_Encaissements!$J$6:$J$3005=$G652)*(Ventes_Encaissements!$C$6:$C$3005&gt;=$C652-3)*(Ventes_Encaissements!$C$6:$C$3005&lt;=$C652+3)),1)))</f>
        <v/>
      </c>
      <c r="K652" s="6" t="n"/>
    </row>
    <row r="653">
      <c r="A653" s="6" t="n"/>
      <c r="B653" s="6" t="n"/>
      <c r="C653" s="19" t="n"/>
      <c r="D653" s="19" t="n"/>
      <c r="E653" s="6" t="n"/>
      <c r="F653" s="20" t="n"/>
      <c r="G653" s="9">
        <f>IF($F653="","",IF($F653&gt;0,ROUND($F653,2),""))</f>
        <v/>
      </c>
      <c r="H653" s="12">
        <f>IF(OR($B653="",$C653="",$G653=""),"",COUNTIFS(Ventes_Encaissements!$E$6:$E$3005,$B653,Ventes_Encaissements!$J$6:$J$3005,$G653,Ventes_Encaissements!$C$6:$C$3005,"&gt;="&amp;($C653-3),Ventes_Encaissements!$C$6:$C$3005,"&lt;="&amp;($C653+3)))</f>
        <v/>
      </c>
      <c r="I653" s="12">
        <f>IF($H653="","",IF($H653=0,"Non trouvé",IF($H653=1,"Match","À vérifier")))</f>
        <v/>
      </c>
      <c r="J653" s="21">
        <f>IF($I653&lt;&gt;"Match","",INDEX(Ventes_Encaissements!$B$6:$B$3005,_xludf.AGGREGATE(15,6,(ROW(Ventes_Encaissements!$B$6:$B$3005)-ROW(Ventes_Encaissements!$B$6)+1)/((Ventes_Encaissements!$E$6:$E$3005=$B653)*(Ventes_Encaissements!$J$6:$J$3005=$G653)*(Ventes_Encaissements!$C$6:$C$3005&gt;=$C653-3)*(Ventes_Encaissements!$C$6:$C$3005&lt;=$C653+3)),1)))</f>
        <v/>
      </c>
      <c r="K653" s="6" t="n"/>
    </row>
    <row r="654">
      <c r="A654" s="6" t="n"/>
      <c r="B654" s="6" t="n"/>
      <c r="C654" s="19" t="n"/>
      <c r="D654" s="19" t="n"/>
      <c r="E654" s="6" t="n"/>
      <c r="F654" s="20" t="n"/>
      <c r="G654" s="9">
        <f>IF($F654="","",IF($F654&gt;0,ROUND($F654,2),""))</f>
        <v/>
      </c>
      <c r="H654" s="12">
        <f>IF(OR($B654="",$C654="",$G654=""),"",COUNTIFS(Ventes_Encaissements!$E$6:$E$3005,$B654,Ventes_Encaissements!$J$6:$J$3005,$G654,Ventes_Encaissements!$C$6:$C$3005,"&gt;="&amp;($C654-3),Ventes_Encaissements!$C$6:$C$3005,"&lt;="&amp;($C654+3)))</f>
        <v/>
      </c>
      <c r="I654" s="12">
        <f>IF($H654="","",IF($H654=0,"Non trouvé",IF($H654=1,"Match","À vérifier")))</f>
        <v/>
      </c>
      <c r="J654" s="21">
        <f>IF($I654&lt;&gt;"Match","",INDEX(Ventes_Encaissements!$B$6:$B$3005,_xludf.AGGREGATE(15,6,(ROW(Ventes_Encaissements!$B$6:$B$3005)-ROW(Ventes_Encaissements!$B$6)+1)/((Ventes_Encaissements!$E$6:$E$3005=$B654)*(Ventes_Encaissements!$J$6:$J$3005=$G654)*(Ventes_Encaissements!$C$6:$C$3005&gt;=$C654-3)*(Ventes_Encaissements!$C$6:$C$3005&lt;=$C654+3)),1)))</f>
        <v/>
      </c>
      <c r="K654" s="6" t="n"/>
    </row>
    <row r="655">
      <c r="A655" s="6" t="n"/>
      <c r="B655" s="6" t="n"/>
      <c r="C655" s="19" t="n"/>
      <c r="D655" s="19" t="n"/>
      <c r="E655" s="6" t="n"/>
      <c r="F655" s="20" t="n"/>
      <c r="G655" s="9">
        <f>IF($F655="","",IF($F655&gt;0,ROUND($F655,2),""))</f>
        <v/>
      </c>
      <c r="H655" s="12">
        <f>IF(OR($B655="",$C655="",$G655=""),"",COUNTIFS(Ventes_Encaissements!$E$6:$E$3005,$B655,Ventes_Encaissements!$J$6:$J$3005,$G655,Ventes_Encaissements!$C$6:$C$3005,"&gt;="&amp;($C655-3),Ventes_Encaissements!$C$6:$C$3005,"&lt;="&amp;($C655+3)))</f>
        <v/>
      </c>
      <c r="I655" s="12">
        <f>IF($H655="","",IF($H655=0,"Non trouvé",IF($H655=1,"Match","À vérifier")))</f>
        <v/>
      </c>
      <c r="J655" s="21">
        <f>IF($I655&lt;&gt;"Match","",INDEX(Ventes_Encaissements!$B$6:$B$3005,_xludf.AGGREGATE(15,6,(ROW(Ventes_Encaissements!$B$6:$B$3005)-ROW(Ventes_Encaissements!$B$6)+1)/((Ventes_Encaissements!$E$6:$E$3005=$B655)*(Ventes_Encaissements!$J$6:$J$3005=$G655)*(Ventes_Encaissements!$C$6:$C$3005&gt;=$C655-3)*(Ventes_Encaissements!$C$6:$C$3005&lt;=$C655+3)),1)))</f>
        <v/>
      </c>
      <c r="K655" s="6" t="n"/>
    </row>
    <row r="656">
      <c r="A656" s="6" t="n"/>
      <c r="B656" s="6" t="n"/>
      <c r="C656" s="19" t="n"/>
      <c r="D656" s="19" t="n"/>
      <c r="E656" s="6" t="n"/>
      <c r="F656" s="20" t="n"/>
      <c r="G656" s="9">
        <f>IF($F656="","",IF($F656&gt;0,ROUND($F656,2),""))</f>
        <v/>
      </c>
      <c r="H656" s="12">
        <f>IF(OR($B656="",$C656="",$G656=""),"",COUNTIFS(Ventes_Encaissements!$E$6:$E$3005,$B656,Ventes_Encaissements!$J$6:$J$3005,$G656,Ventes_Encaissements!$C$6:$C$3005,"&gt;="&amp;($C656-3),Ventes_Encaissements!$C$6:$C$3005,"&lt;="&amp;($C656+3)))</f>
        <v/>
      </c>
      <c r="I656" s="12">
        <f>IF($H656="","",IF($H656=0,"Non trouvé",IF($H656=1,"Match","À vérifier")))</f>
        <v/>
      </c>
      <c r="J656" s="21">
        <f>IF($I656&lt;&gt;"Match","",INDEX(Ventes_Encaissements!$B$6:$B$3005,_xludf.AGGREGATE(15,6,(ROW(Ventes_Encaissements!$B$6:$B$3005)-ROW(Ventes_Encaissements!$B$6)+1)/((Ventes_Encaissements!$E$6:$E$3005=$B656)*(Ventes_Encaissements!$J$6:$J$3005=$G656)*(Ventes_Encaissements!$C$6:$C$3005&gt;=$C656-3)*(Ventes_Encaissements!$C$6:$C$3005&lt;=$C656+3)),1)))</f>
        <v/>
      </c>
      <c r="K656" s="6" t="n"/>
    </row>
    <row r="657">
      <c r="A657" s="6" t="n"/>
      <c r="B657" s="6" t="n"/>
      <c r="C657" s="19" t="n"/>
      <c r="D657" s="19" t="n"/>
      <c r="E657" s="6" t="n"/>
      <c r="F657" s="20" t="n"/>
      <c r="G657" s="9">
        <f>IF($F657="","",IF($F657&gt;0,ROUND($F657,2),""))</f>
        <v/>
      </c>
      <c r="H657" s="12">
        <f>IF(OR($B657="",$C657="",$G657=""),"",COUNTIFS(Ventes_Encaissements!$E$6:$E$3005,$B657,Ventes_Encaissements!$J$6:$J$3005,$G657,Ventes_Encaissements!$C$6:$C$3005,"&gt;="&amp;($C657-3),Ventes_Encaissements!$C$6:$C$3005,"&lt;="&amp;($C657+3)))</f>
        <v/>
      </c>
      <c r="I657" s="12">
        <f>IF($H657="","",IF($H657=0,"Non trouvé",IF($H657=1,"Match","À vérifier")))</f>
        <v/>
      </c>
      <c r="J657" s="21">
        <f>IF($I657&lt;&gt;"Match","",INDEX(Ventes_Encaissements!$B$6:$B$3005,_xludf.AGGREGATE(15,6,(ROW(Ventes_Encaissements!$B$6:$B$3005)-ROW(Ventes_Encaissements!$B$6)+1)/((Ventes_Encaissements!$E$6:$E$3005=$B657)*(Ventes_Encaissements!$J$6:$J$3005=$G657)*(Ventes_Encaissements!$C$6:$C$3005&gt;=$C657-3)*(Ventes_Encaissements!$C$6:$C$3005&lt;=$C657+3)),1)))</f>
        <v/>
      </c>
      <c r="K657" s="6" t="n"/>
    </row>
    <row r="658">
      <c r="A658" s="6" t="n"/>
      <c r="B658" s="6" t="n"/>
      <c r="C658" s="19" t="n"/>
      <c r="D658" s="19" t="n"/>
      <c r="E658" s="6" t="n"/>
      <c r="F658" s="20" t="n"/>
      <c r="G658" s="9">
        <f>IF($F658="","",IF($F658&gt;0,ROUND($F658,2),""))</f>
        <v/>
      </c>
      <c r="H658" s="12">
        <f>IF(OR($B658="",$C658="",$G658=""),"",COUNTIFS(Ventes_Encaissements!$E$6:$E$3005,$B658,Ventes_Encaissements!$J$6:$J$3005,$G658,Ventes_Encaissements!$C$6:$C$3005,"&gt;="&amp;($C658-3),Ventes_Encaissements!$C$6:$C$3005,"&lt;="&amp;($C658+3)))</f>
        <v/>
      </c>
      <c r="I658" s="12">
        <f>IF($H658="","",IF($H658=0,"Non trouvé",IF($H658=1,"Match","À vérifier")))</f>
        <v/>
      </c>
      <c r="J658" s="21">
        <f>IF($I658&lt;&gt;"Match","",INDEX(Ventes_Encaissements!$B$6:$B$3005,_xludf.AGGREGATE(15,6,(ROW(Ventes_Encaissements!$B$6:$B$3005)-ROW(Ventes_Encaissements!$B$6)+1)/((Ventes_Encaissements!$E$6:$E$3005=$B658)*(Ventes_Encaissements!$J$6:$J$3005=$G658)*(Ventes_Encaissements!$C$6:$C$3005&gt;=$C658-3)*(Ventes_Encaissements!$C$6:$C$3005&lt;=$C658+3)),1)))</f>
        <v/>
      </c>
      <c r="K658" s="6" t="n"/>
    </row>
    <row r="659">
      <c r="A659" s="6" t="n"/>
      <c r="B659" s="6" t="n"/>
      <c r="C659" s="19" t="n"/>
      <c r="D659" s="19" t="n"/>
      <c r="E659" s="6" t="n"/>
      <c r="F659" s="20" t="n"/>
      <c r="G659" s="9">
        <f>IF($F659="","",IF($F659&gt;0,ROUND($F659,2),""))</f>
        <v/>
      </c>
      <c r="H659" s="12">
        <f>IF(OR($B659="",$C659="",$G659=""),"",COUNTIFS(Ventes_Encaissements!$E$6:$E$3005,$B659,Ventes_Encaissements!$J$6:$J$3005,$G659,Ventes_Encaissements!$C$6:$C$3005,"&gt;="&amp;($C659-3),Ventes_Encaissements!$C$6:$C$3005,"&lt;="&amp;($C659+3)))</f>
        <v/>
      </c>
      <c r="I659" s="12">
        <f>IF($H659="","",IF($H659=0,"Non trouvé",IF($H659=1,"Match","À vérifier")))</f>
        <v/>
      </c>
      <c r="J659" s="21">
        <f>IF($I659&lt;&gt;"Match","",INDEX(Ventes_Encaissements!$B$6:$B$3005,_xludf.AGGREGATE(15,6,(ROW(Ventes_Encaissements!$B$6:$B$3005)-ROW(Ventes_Encaissements!$B$6)+1)/((Ventes_Encaissements!$E$6:$E$3005=$B659)*(Ventes_Encaissements!$J$6:$J$3005=$G659)*(Ventes_Encaissements!$C$6:$C$3005&gt;=$C659-3)*(Ventes_Encaissements!$C$6:$C$3005&lt;=$C659+3)),1)))</f>
        <v/>
      </c>
      <c r="K659" s="6" t="n"/>
    </row>
    <row r="660">
      <c r="A660" s="6" t="n"/>
      <c r="B660" s="6" t="n"/>
      <c r="C660" s="19" t="n"/>
      <c r="D660" s="19" t="n"/>
      <c r="E660" s="6" t="n"/>
      <c r="F660" s="20" t="n"/>
      <c r="G660" s="9">
        <f>IF($F660="","",IF($F660&gt;0,ROUND($F660,2),""))</f>
        <v/>
      </c>
      <c r="H660" s="12">
        <f>IF(OR($B660="",$C660="",$G660=""),"",COUNTIFS(Ventes_Encaissements!$E$6:$E$3005,$B660,Ventes_Encaissements!$J$6:$J$3005,$G660,Ventes_Encaissements!$C$6:$C$3005,"&gt;="&amp;($C660-3),Ventes_Encaissements!$C$6:$C$3005,"&lt;="&amp;($C660+3)))</f>
        <v/>
      </c>
      <c r="I660" s="12">
        <f>IF($H660="","",IF($H660=0,"Non trouvé",IF($H660=1,"Match","À vérifier")))</f>
        <v/>
      </c>
      <c r="J660" s="21">
        <f>IF($I660&lt;&gt;"Match","",INDEX(Ventes_Encaissements!$B$6:$B$3005,_xludf.AGGREGATE(15,6,(ROW(Ventes_Encaissements!$B$6:$B$3005)-ROW(Ventes_Encaissements!$B$6)+1)/((Ventes_Encaissements!$E$6:$E$3005=$B660)*(Ventes_Encaissements!$J$6:$J$3005=$G660)*(Ventes_Encaissements!$C$6:$C$3005&gt;=$C660-3)*(Ventes_Encaissements!$C$6:$C$3005&lt;=$C660+3)),1)))</f>
        <v/>
      </c>
      <c r="K660" s="6" t="n"/>
    </row>
    <row r="661">
      <c r="A661" s="6" t="n"/>
      <c r="B661" s="6" t="n"/>
      <c r="C661" s="19" t="n"/>
      <c r="D661" s="19" t="n"/>
      <c r="E661" s="6" t="n"/>
      <c r="F661" s="20" t="n"/>
      <c r="G661" s="9">
        <f>IF($F661="","",IF($F661&gt;0,ROUND($F661,2),""))</f>
        <v/>
      </c>
      <c r="H661" s="12">
        <f>IF(OR($B661="",$C661="",$G661=""),"",COUNTIFS(Ventes_Encaissements!$E$6:$E$3005,$B661,Ventes_Encaissements!$J$6:$J$3005,$G661,Ventes_Encaissements!$C$6:$C$3005,"&gt;="&amp;($C661-3),Ventes_Encaissements!$C$6:$C$3005,"&lt;="&amp;($C661+3)))</f>
        <v/>
      </c>
      <c r="I661" s="12">
        <f>IF($H661="","",IF($H661=0,"Non trouvé",IF($H661=1,"Match","À vérifier")))</f>
        <v/>
      </c>
      <c r="J661" s="21">
        <f>IF($I661&lt;&gt;"Match","",INDEX(Ventes_Encaissements!$B$6:$B$3005,_xludf.AGGREGATE(15,6,(ROW(Ventes_Encaissements!$B$6:$B$3005)-ROW(Ventes_Encaissements!$B$6)+1)/((Ventes_Encaissements!$E$6:$E$3005=$B661)*(Ventes_Encaissements!$J$6:$J$3005=$G661)*(Ventes_Encaissements!$C$6:$C$3005&gt;=$C661-3)*(Ventes_Encaissements!$C$6:$C$3005&lt;=$C661+3)),1)))</f>
        <v/>
      </c>
      <c r="K661" s="6" t="n"/>
    </row>
    <row r="662">
      <c r="A662" s="6" t="n"/>
      <c r="B662" s="6" t="n"/>
      <c r="C662" s="19" t="n"/>
      <c r="D662" s="19" t="n"/>
      <c r="E662" s="6" t="n"/>
      <c r="F662" s="20" t="n"/>
      <c r="G662" s="9">
        <f>IF($F662="","",IF($F662&gt;0,ROUND($F662,2),""))</f>
        <v/>
      </c>
      <c r="H662" s="12">
        <f>IF(OR($B662="",$C662="",$G662=""),"",COUNTIFS(Ventes_Encaissements!$E$6:$E$3005,$B662,Ventes_Encaissements!$J$6:$J$3005,$G662,Ventes_Encaissements!$C$6:$C$3005,"&gt;="&amp;($C662-3),Ventes_Encaissements!$C$6:$C$3005,"&lt;="&amp;($C662+3)))</f>
        <v/>
      </c>
      <c r="I662" s="12">
        <f>IF($H662="","",IF($H662=0,"Non trouvé",IF($H662=1,"Match","À vérifier")))</f>
        <v/>
      </c>
      <c r="J662" s="21">
        <f>IF($I662&lt;&gt;"Match","",INDEX(Ventes_Encaissements!$B$6:$B$3005,_xludf.AGGREGATE(15,6,(ROW(Ventes_Encaissements!$B$6:$B$3005)-ROW(Ventes_Encaissements!$B$6)+1)/((Ventes_Encaissements!$E$6:$E$3005=$B662)*(Ventes_Encaissements!$J$6:$J$3005=$G662)*(Ventes_Encaissements!$C$6:$C$3005&gt;=$C662-3)*(Ventes_Encaissements!$C$6:$C$3005&lt;=$C662+3)),1)))</f>
        <v/>
      </c>
      <c r="K662" s="6" t="n"/>
    </row>
    <row r="663">
      <c r="A663" s="6" t="n"/>
      <c r="B663" s="6" t="n"/>
      <c r="C663" s="19" t="n"/>
      <c r="D663" s="19" t="n"/>
      <c r="E663" s="6" t="n"/>
      <c r="F663" s="20" t="n"/>
      <c r="G663" s="9">
        <f>IF($F663="","",IF($F663&gt;0,ROUND($F663,2),""))</f>
        <v/>
      </c>
      <c r="H663" s="12">
        <f>IF(OR($B663="",$C663="",$G663=""),"",COUNTIFS(Ventes_Encaissements!$E$6:$E$3005,$B663,Ventes_Encaissements!$J$6:$J$3005,$G663,Ventes_Encaissements!$C$6:$C$3005,"&gt;="&amp;($C663-3),Ventes_Encaissements!$C$6:$C$3005,"&lt;="&amp;($C663+3)))</f>
        <v/>
      </c>
      <c r="I663" s="12">
        <f>IF($H663="","",IF($H663=0,"Non trouvé",IF($H663=1,"Match","À vérifier")))</f>
        <v/>
      </c>
      <c r="J663" s="21">
        <f>IF($I663&lt;&gt;"Match","",INDEX(Ventes_Encaissements!$B$6:$B$3005,_xludf.AGGREGATE(15,6,(ROW(Ventes_Encaissements!$B$6:$B$3005)-ROW(Ventes_Encaissements!$B$6)+1)/((Ventes_Encaissements!$E$6:$E$3005=$B663)*(Ventes_Encaissements!$J$6:$J$3005=$G663)*(Ventes_Encaissements!$C$6:$C$3005&gt;=$C663-3)*(Ventes_Encaissements!$C$6:$C$3005&lt;=$C663+3)),1)))</f>
        <v/>
      </c>
      <c r="K663" s="6" t="n"/>
    </row>
    <row r="664">
      <c r="A664" s="6" t="n"/>
      <c r="B664" s="6" t="n"/>
      <c r="C664" s="19" t="n"/>
      <c r="D664" s="19" t="n"/>
      <c r="E664" s="6" t="n"/>
      <c r="F664" s="20" t="n"/>
      <c r="G664" s="9">
        <f>IF($F664="","",IF($F664&gt;0,ROUND($F664,2),""))</f>
        <v/>
      </c>
      <c r="H664" s="12">
        <f>IF(OR($B664="",$C664="",$G664=""),"",COUNTIFS(Ventes_Encaissements!$E$6:$E$3005,$B664,Ventes_Encaissements!$J$6:$J$3005,$G664,Ventes_Encaissements!$C$6:$C$3005,"&gt;="&amp;($C664-3),Ventes_Encaissements!$C$6:$C$3005,"&lt;="&amp;($C664+3)))</f>
        <v/>
      </c>
      <c r="I664" s="12">
        <f>IF($H664="","",IF($H664=0,"Non trouvé",IF($H664=1,"Match","À vérifier")))</f>
        <v/>
      </c>
      <c r="J664" s="21">
        <f>IF($I664&lt;&gt;"Match","",INDEX(Ventes_Encaissements!$B$6:$B$3005,_xludf.AGGREGATE(15,6,(ROW(Ventes_Encaissements!$B$6:$B$3005)-ROW(Ventes_Encaissements!$B$6)+1)/((Ventes_Encaissements!$E$6:$E$3005=$B664)*(Ventes_Encaissements!$J$6:$J$3005=$G664)*(Ventes_Encaissements!$C$6:$C$3005&gt;=$C664-3)*(Ventes_Encaissements!$C$6:$C$3005&lt;=$C664+3)),1)))</f>
        <v/>
      </c>
      <c r="K664" s="6" t="n"/>
    </row>
    <row r="665">
      <c r="A665" s="6" t="n"/>
      <c r="B665" s="6" t="n"/>
      <c r="C665" s="19" t="n"/>
      <c r="D665" s="19" t="n"/>
      <c r="E665" s="6" t="n"/>
      <c r="F665" s="20" t="n"/>
      <c r="G665" s="9">
        <f>IF($F665="","",IF($F665&gt;0,ROUND($F665,2),""))</f>
        <v/>
      </c>
      <c r="H665" s="12">
        <f>IF(OR($B665="",$C665="",$G665=""),"",COUNTIFS(Ventes_Encaissements!$E$6:$E$3005,$B665,Ventes_Encaissements!$J$6:$J$3005,$G665,Ventes_Encaissements!$C$6:$C$3005,"&gt;="&amp;($C665-3),Ventes_Encaissements!$C$6:$C$3005,"&lt;="&amp;($C665+3)))</f>
        <v/>
      </c>
      <c r="I665" s="12">
        <f>IF($H665="","",IF($H665=0,"Non trouvé",IF($H665=1,"Match","À vérifier")))</f>
        <v/>
      </c>
      <c r="J665" s="21">
        <f>IF($I665&lt;&gt;"Match","",INDEX(Ventes_Encaissements!$B$6:$B$3005,_xludf.AGGREGATE(15,6,(ROW(Ventes_Encaissements!$B$6:$B$3005)-ROW(Ventes_Encaissements!$B$6)+1)/((Ventes_Encaissements!$E$6:$E$3005=$B665)*(Ventes_Encaissements!$J$6:$J$3005=$G665)*(Ventes_Encaissements!$C$6:$C$3005&gt;=$C665-3)*(Ventes_Encaissements!$C$6:$C$3005&lt;=$C665+3)),1)))</f>
        <v/>
      </c>
      <c r="K665" s="6" t="n"/>
    </row>
    <row r="666">
      <c r="A666" s="6" t="n"/>
      <c r="B666" s="6" t="n"/>
      <c r="C666" s="19" t="n"/>
      <c r="D666" s="19" t="n"/>
      <c r="E666" s="6" t="n"/>
      <c r="F666" s="20" t="n"/>
      <c r="G666" s="9">
        <f>IF($F666="","",IF($F666&gt;0,ROUND($F666,2),""))</f>
        <v/>
      </c>
      <c r="H666" s="12">
        <f>IF(OR($B666="",$C666="",$G666=""),"",COUNTIFS(Ventes_Encaissements!$E$6:$E$3005,$B666,Ventes_Encaissements!$J$6:$J$3005,$G666,Ventes_Encaissements!$C$6:$C$3005,"&gt;="&amp;($C666-3),Ventes_Encaissements!$C$6:$C$3005,"&lt;="&amp;($C666+3)))</f>
        <v/>
      </c>
      <c r="I666" s="12">
        <f>IF($H666="","",IF($H666=0,"Non trouvé",IF($H666=1,"Match","À vérifier")))</f>
        <v/>
      </c>
      <c r="J666" s="21">
        <f>IF($I666&lt;&gt;"Match","",INDEX(Ventes_Encaissements!$B$6:$B$3005,_xludf.AGGREGATE(15,6,(ROW(Ventes_Encaissements!$B$6:$B$3005)-ROW(Ventes_Encaissements!$B$6)+1)/((Ventes_Encaissements!$E$6:$E$3005=$B666)*(Ventes_Encaissements!$J$6:$J$3005=$G666)*(Ventes_Encaissements!$C$6:$C$3005&gt;=$C666-3)*(Ventes_Encaissements!$C$6:$C$3005&lt;=$C666+3)),1)))</f>
        <v/>
      </c>
      <c r="K666" s="6" t="n"/>
    </row>
    <row r="667">
      <c r="A667" s="6" t="n"/>
      <c r="B667" s="6" t="n"/>
      <c r="C667" s="19" t="n"/>
      <c r="D667" s="19" t="n"/>
      <c r="E667" s="6" t="n"/>
      <c r="F667" s="20" t="n"/>
      <c r="G667" s="9">
        <f>IF($F667="","",IF($F667&gt;0,ROUND($F667,2),""))</f>
        <v/>
      </c>
      <c r="H667" s="12">
        <f>IF(OR($B667="",$C667="",$G667=""),"",COUNTIFS(Ventes_Encaissements!$E$6:$E$3005,$B667,Ventes_Encaissements!$J$6:$J$3005,$G667,Ventes_Encaissements!$C$6:$C$3005,"&gt;="&amp;($C667-3),Ventes_Encaissements!$C$6:$C$3005,"&lt;="&amp;($C667+3)))</f>
        <v/>
      </c>
      <c r="I667" s="12">
        <f>IF($H667="","",IF($H667=0,"Non trouvé",IF($H667=1,"Match","À vérifier")))</f>
        <v/>
      </c>
      <c r="J667" s="21">
        <f>IF($I667&lt;&gt;"Match","",INDEX(Ventes_Encaissements!$B$6:$B$3005,_xludf.AGGREGATE(15,6,(ROW(Ventes_Encaissements!$B$6:$B$3005)-ROW(Ventes_Encaissements!$B$6)+1)/((Ventes_Encaissements!$E$6:$E$3005=$B667)*(Ventes_Encaissements!$J$6:$J$3005=$G667)*(Ventes_Encaissements!$C$6:$C$3005&gt;=$C667-3)*(Ventes_Encaissements!$C$6:$C$3005&lt;=$C667+3)),1)))</f>
        <v/>
      </c>
      <c r="K667" s="6" t="n"/>
    </row>
    <row r="668">
      <c r="A668" s="6" t="n"/>
      <c r="B668" s="6" t="n"/>
      <c r="C668" s="19" t="n"/>
      <c r="D668" s="19" t="n"/>
      <c r="E668" s="6" t="n"/>
      <c r="F668" s="20" t="n"/>
      <c r="G668" s="9">
        <f>IF($F668="","",IF($F668&gt;0,ROUND($F668,2),""))</f>
        <v/>
      </c>
      <c r="H668" s="12">
        <f>IF(OR($B668="",$C668="",$G668=""),"",COUNTIFS(Ventes_Encaissements!$E$6:$E$3005,$B668,Ventes_Encaissements!$J$6:$J$3005,$G668,Ventes_Encaissements!$C$6:$C$3005,"&gt;="&amp;($C668-3),Ventes_Encaissements!$C$6:$C$3005,"&lt;="&amp;($C668+3)))</f>
        <v/>
      </c>
      <c r="I668" s="12">
        <f>IF($H668="","",IF($H668=0,"Non trouvé",IF($H668=1,"Match","À vérifier")))</f>
        <v/>
      </c>
      <c r="J668" s="21">
        <f>IF($I668&lt;&gt;"Match","",INDEX(Ventes_Encaissements!$B$6:$B$3005,_xludf.AGGREGATE(15,6,(ROW(Ventes_Encaissements!$B$6:$B$3005)-ROW(Ventes_Encaissements!$B$6)+1)/((Ventes_Encaissements!$E$6:$E$3005=$B668)*(Ventes_Encaissements!$J$6:$J$3005=$G668)*(Ventes_Encaissements!$C$6:$C$3005&gt;=$C668-3)*(Ventes_Encaissements!$C$6:$C$3005&lt;=$C668+3)),1)))</f>
        <v/>
      </c>
      <c r="K668" s="6" t="n"/>
    </row>
    <row r="669">
      <c r="A669" s="6" t="n"/>
      <c r="B669" s="6" t="n"/>
      <c r="C669" s="19" t="n"/>
      <c r="D669" s="19" t="n"/>
      <c r="E669" s="6" t="n"/>
      <c r="F669" s="20" t="n"/>
      <c r="G669" s="9">
        <f>IF($F669="","",IF($F669&gt;0,ROUND($F669,2),""))</f>
        <v/>
      </c>
      <c r="H669" s="12">
        <f>IF(OR($B669="",$C669="",$G669=""),"",COUNTIFS(Ventes_Encaissements!$E$6:$E$3005,$B669,Ventes_Encaissements!$J$6:$J$3005,$G669,Ventes_Encaissements!$C$6:$C$3005,"&gt;="&amp;($C669-3),Ventes_Encaissements!$C$6:$C$3005,"&lt;="&amp;($C669+3)))</f>
        <v/>
      </c>
      <c r="I669" s="12">
        <f>IF($H669="","",IF($H669=0,"Non trouvé",IF($H669=1,"Match","À vérifier")))</f>
        <v/>
      </c>
      <c r="J669" s="21">
        <f>IF($I669&lt;&gt;"Match","",INDEX(Ventes_Encaissements!$B$6:$B$3005,_xludf.AGGREGATE(15,6,(ROW(Ventes_Encaissements!$B$6:$B$3005)-ROW(Ventes_Encaissements!$B$6)+1)/((Ventes_Encaissements!$E$6:$E$3005=$B669)*(Ventes_Encaissements!$J$6:$J$3005=$G669)*(Ventes_Encaissements!$C$6:$C$3005&gt;=$C669-3)*(Ventes_Encaissements!$C$6:$C$3005&lt;=$C669+3)),1)))</f>
        <v/>
      </c>
      <c r="K669" s="6" t="n"/>
    </row>
    <row r="670">
      <c r="A670" s="6" t="n"/>
      <c r="B670" s="6" t="n"/>
      <c r="C670" s="19" t="n"/>
      <c r="D670" s="19" t="n"/>
      <c r="E670" s="6" t="n"/>
      <c r="F670" s="20" t="n"/>
      <c r="G670" s="9">
        <f>IF($F670="","",IF($F670&gt;0,ROUND($F670,2),""))</f>
        <v/>
      </c>
      <c r="H670" s="12">
        <f>IF(OR($B670="",$C670="",$G670=""),"",COUNTIFS(Ventes_Encaissements!$E$6:$E$3005,$B670,Ventes_Encaissements!$J$6:$J$3005,$G670,Ventes_Encaissements!$C$6:$C$3005,"&gt;="&amp;($C670-3),Ventes_Encaissements!$C$6:$C$3005,"&lt;="&amp;($C670+3)))</f>
        <v/>
      </c>
      <c r="I670" s="12">
        <f>IF($H670="","",IF($H670=0,"Non trouvé",IF($H670=1,"Match","À vérifier")))</f>
        <v/>
      </c>
      <c r="J670" s="21">
        <f>IF($I670&lt;&gt;"Match","",INDEX(Ventes_Encaissements!$B$6:$B$3005,_xludf.AGGREGATE(15,6,(ROW(Ventes_Encaissements!$B$6:$B$3005)-ROW(Ventes_Encaissements!$B$6)+1)/((Ventes_Encaissements!$E$6:$E$3005=$B670)*(Ventes_Encaissements!$J$6:$J$3005=$G670)*(Ventes_Encaissements!$C$6:$C$3005&gt;=$C670-3)*(Ventes_Encaissements!$C$6:$C$3005&lt;=$C670+3)),1)))</f>
        <v/>
      </c>
      <c r="K670" s="6" t="n"/>
    </row>
    <row r="671">
      <c r="A671" s="6" t="n"/>
      <c r="B671" s="6" t="n"/>
      <c r="C671" s="19" t="n"/>
      <c r="D671" s="19" t="n"/>
      <c r="E671" s="6" t="n"/>
      <c r="F671" s="20" t="n"/>
      <c r="G671" s="9">
        <f>IF($F671="","",IF($F671&gt;0,ROUND($F671,2),""))</f>
        <v/>
      </c>
      <c r="H671" s="12">
        <f>IF(OR($B671="",$C671="",$G671=""),"",COUNTIFS(Ventes_Encaissements!$E$6:$E$3005,$B671,Ventes_Encaissements!$J$6:$J$3005,$G671,Ventes_Encaissements!$C$6:$C$3005,"&gt;="&amp;($C671-3),Ventes_Encaissements!$C$6:$C$3005,"&lt;="&amp;($C671+3)))</f>
        <v/>
      </c>
      <c r="I671" s="12">
        <f>IF($H671="","",IF($H671=0,"Non trouvé",IF($H671=1,"Match","À vérifier")))</f>
        <v/>
      </c>
      <c r="J671" s="21">
        <f>IF($I671&lt;&gt;"Match","",INDEX(Ventes_Encaissements!$B$6:$B$3005,_xludf.AGGREGATE(15,6,(ROW(Ventes_Encaissements!$B$6:$B$3005)-ROW(Ventes_Encaissements!$B$6)+1)/((Ventes_Encaissements!$E$6:$E$3005=$B671)*(Ventes_Encaissements!$J$6:$J$3005=$G671)*(Ventes_Encaissements!$C$6:$C$3005&gt;=$C671-3)*(Ventes_Encaissements!$C$6:$C$3005&lt;=$C671+3)),1)))</f>
        <v/>
      </c>
      <c r="K671" s="6" t="n"/>
    </row>
    <row r="672">
      <c r="A672" s="6" t="n"/>
      <c r="B672" s="6" t="n"/>
      <c r="C672" s="19" t="n"/>
      <c r="D672" s="19" t="n"/>
      <c r="E672" s="6" t="n"/>
      <c r="F672" s="20" t="n"/>
      <c r="G672" s="9">
        <f>IF($F672="","",IF($F672&gt;0,ROUND($F672,2),""))</f>
        <v/>
      </c>
      <c r="H672" s="12">
        <f>IF(OR($B672="",$C672="",$G672=""),"",COUNTIFS(Ventes_Encaissements!$E$6:$E$3005,$B672,Ventes_Encaissements!$J$6:$J$3005,$G672,Ventes_Encaissements!$C$6:$C$3005,"&gt;="&amp;($C672-3),Ventes_Encaissements!$C$6:$C$3005,"&lt;="&amp;($C672+3)))</f>
        <v/>
      </c>
      <c r="I672" s="12">
        <f>IF($H672="","",IF($H672=0,"Non trouvé",IF($H672=1,"Match","À vérifier")))</f>
        <v/>
      </c>
      <c r="J672" s="21">
        <f>IF($I672&lt;&gt;"Match","",INDEX(Ventes_Encaissements!$B$6:$B$3005,_xludf.AGGREGATE(15,6,(ROW(Ventes_Encaissements!$B$6:$B$3005)-ROW(Ventes_Encaissements!$B$6)+1)/((Ventes_Encaissements!$E$6:$E$3005=$B672)*(Ventes_Encaissements!$J$6:$J$3005=$G672)*(Ventes_Encaissements!$C$6:$C$3005&gt;=$C672-3)*(Ventes_Encaissements!$C$6:$C$3005&lt;=$C672+3)),1)))</f>
        <v/>
      </c>
      <c r="K672" s="6" t="n"/>
    </row>
    <row r="673">
      <c r="A673" s="6" t="n"/>
      <c r="B673" s="6" t="n"/>
      <c r="C673" s="19" t="n"/>
      <c r="D673" s="19" t="n"/>
      <c r="E673" s="6" t="n"/>
      <c r="F673" s="20" t="n"/>
      <c r="G673" s="9">
        <f>IF($F673="","",IF($F673&gt;0,ROUND($F673,2),""))</f>
        <v/>
      </c>
      <c r="H673" s="12">
        <f>IF(OR($B673="",$C673="",$G673=""),"",COUNTIFS(Ventes_Encaissements!$E$6:$E$3005,$B673,Ventes_Encaissements!$J$6:$J$3005,$G673,Ventes_Encaissements!$C$6:$C$3005,"&gt;="&amp;($C673-3),Ventes_Encaissements!$C$6:$C$3005,"&lt;="&amp;($C673+3)))</f>
        <v/>
      </c>
      <c r="I673" s="12">
        <f>IF($H673="","",IF($H673=0,"Non trouvé",IF($H673=1,"Match","À vérifier")))</f>
        <v/>
      </c>
      <c r="J673" s="21">
        <f>IF($I673&lt;&gt;"Match","",INDEX(Ventes_Encaissements!$B$6:$B$3005,_xludf.AGGREGATE(15,6,(ROW(Ventes_Encaissements!$B$6:$B$3005)-ROW(Ventes_Encaissements!$B$6)+1)/((Ventes_Encaissements!$E$6:$E$3005=$B673)*(Ventes_Encaissements!$J$6:$J$3005=$G673)*(Ventes_Encaissements!$C$6:$C$3005&gt;=$C673-3)*(Ventes_Encaissements!$C$6:$C$3005&lt;=$C673+3)),1)))</f>
        <v/>
      </c>
      <c r="K673" s="6" t="n"/>
    </row>
    <row r="674">
      <c r="A674" s="6" t="n"/>
      <c r="B674" s="6" t="n"/>
      <c r="C674" s="19" t="n"/>
      <c r="D674" s="19" t="n"/>
      <c r="E674" s="6" t="n"/>
      <c r="F674" s="20" t="n"/>
      <c r="G674" s="9">
        <f>IF($F674="","",IF($F674&gt;0,ROUND($F674,2),""))</f>
        <v/>
      </c>
      <c r="H674" s="12">
        <f>IF(OR($B674="",$C674="",$G674=""),"",COUNTIFS(Ventes_Encaissements!$E$6:$E$3005,$B674,Ventes_Encaissements!$J$6:$J$3005,$G674,Ventes_Encaissements!$C$6:$C$3005,"&gt;="&amp;($C674-3),Ventes_Encaissements!$C$6:$C$3005,"&lt;="&amp;($C674+3)))</f>
        <v/>
      </c>
      <c r="I674" s="12">
        <f>IF($H674="","",IF($H674=0,"Non trouvé",IF($H674=1,"Match","À vérifier")))</f>
        <v/>
      </c>
      <c r="J674" s="21">
        <f>IF($I674&lt;&gt;"Match","",INDEX(Ventes_Encaissements!$B$6:$B$3005,_xludf.AGGREGATE(15,6,(ROW(Ventes_Encaissements!$B$6:$B$3005)-ROW(Ventes_Encaissements!$B$6)+1)/((Ventes_Encaissements!$E$6:$E$3005=$B674)*(Ventes_Encaissements!$J$6:$J$3005=$G674)*(Ventes_Encaissements!$C$6:$C$3005&gt;=$C674-3)*(Ventes_Encaissements!$C$6:$C$3005&lt;=$C674+3)),1)))</f>
        <v/>
      </c>
      <c r="K674" s="6" t="n"/>
    </row>
    <row r="675">
      <c r="A675" s="6" t="n"/>
      <c r="B675" s="6" t="n"/>
      <c r="C675" s="19" t="n"/>
      <c r="D675" s="19" t="n"/>
      <c r="E675" s="6" t="n"/>
      <c r="F675" s="20" t="n"/>
      <c r="G675" s="9">
        <f>IF($F675="","",IF($F675&gt;0,ROUND($F675,2),""))</f>
        <v/>
      </c>
      <c r="H675" s="12">
        <f>IF(OR($B675="",$C675="",$G675=""),"",COUNTIFS(Ventes_Encaissements!$E$6:$E$3005,$B675,Ventes_Encaissements!$J$6:$J$3005,$G675,Ventes_Encaissements!$C$6:$C$3005,"&gt;="&amp;($C675-3),Ventes_Encaissements!$C$6:$C$3005,"&lt;="&amp;($C675+3)))</f>
        <v/>
      </c>
      <c r="I675" s="12">
        <f>IF($H675="","",IF($H675=0,"Non trouvé",IF($H675=1,"Match","À vérifier")))</f>
        <v/>
      </c>
      <c r="J675" s="21">
        <f>IF($I675&lt;&gt;"Match","",INDEX(Ventes_Encaissements!$B$6:$B$3005,_xludf.AGGREGATE(15,6,(ROW(Ventes_Encaissements!$B$6:$B$3005)-ROW(Ventes_Encaissements!$B$6)+1)/((Ventes_Encaissements!$E$6:$E$3005=$B675)*(Ventes_Encaissements!$J$6:$J$3005=$G675)*(Ventes_Encaissements!$C$6:$C$3005&gt;=$C675-3)*(Ventes_Encaissements!$C$6:$C$3005&lt;=$C675+3)),1)))</f>
        <v/>
      </c>
      <c r="K675" s="6" t="n"/>
    </row>
    <row r="676">
      <c r="A676" s="6" t="n"/>
      <c r="B676" s="6" t="n"/>
      <c r="C676" s="19" t="n"/>
      <c r="D676" s="19" t="n"/>
      <c r="E676" s="6" t="n"/>
      <c r="F676" s="20" t="n"/>
      <c r="G676" s="9">
        <f>IF($F676="","",IF($F676&gt;0,ROUND($F676,2),""))</f>
        <v/>
      </c>
      <c r="H676" s="12">
        <f>IF(OR($B676="",$C676="",$G676=""),"",COUNTIFS(Ventes_Encaissements!$E$6:$E$3005,$B676,Ventes_Encaissements!$J$6:$J$3005,$G676,Ventes_Encaissements!$C$6:$C$3005,"&gt;="&amp;($C676-3),Ventes_Encaissements!$C$6:$C$3005,"&lt;="&amp;($C676+3)))</f>
        <v/>
      </c>
      <c r="I676" s="12">
        <f>IF($H676="","",IF($H676=0,"Non trouvé",IF($H676=1,"Match","À vérifier")))</f>
        <v/>
      </c>
      <c r="J676" s="21">
        <f>IF($I676&lt;&gt;"Match","",INDEX(Ventes_Encaissements!$B$6:$B$3005,_xludf.AGGREGATE(15,6,(ROW(Ventes_Encaissements!$B$6:$B$3005)-ROW(Ventes_Encaissements!$B$6)+1)/((Ventes_Encaissements!$E$6:$E$3005=$B676)*(Ventes_Encaissements!$J$6:$J$3005=$G676)*(Ventes_Encaissements!$C$6:$C$3005&gt;=$C676-3)*(Ventes_Encaissements!$C$6:$C$3005&lt;=$C676+3)),1)))</f>
        <v/>
      </c>
      <c r="K676" s="6" t="n"/>
    </row>
    <row r="677">
      <c r="A677" s="6" t="n"/>
      <c r="B677" s="6" t="n"/>
      <c r="C677" s="19" t="n"/>
      <c r="D677" s="19" t="n"/>
      <c r="E677" s="6" t="n"/>
      <c r="F677" s="20" t="n"/>
      <c r="G677" s="9">
        <f>IF($F677="","",IF($F677&gt;0,ROUND($F677,2),""))</f>
        <v/>
      </c>
      <c r="H677" s="12">
        <f>IF(OR($B677="",$C677="",$G677=""),"",COUNTIFS(Ventes_Encaissements!$E$6:$E$3005,$B677,Ventes_Encaissements!$J$6:$J$3005,$G677,Ventes_Encaissements!$C$6:$C$3005,"&gt;="&amp;($C677-3),Ventes_Encaissements!$C$6:$C$3005,"&lt;="&amp;($C677+3)))</f>
        <v/>
      </c>
      <c r="I677" s="12">
        <f>IF($H677="","",IF($H677=0,"Non trouvé",IF($H677=1,"Match","À vérifier")))</f>
        <v/>
      </c>
      <c r="J677" s="21">
        <f>IF($I677&lt;&gt;"Match","",INDEX(Ventes_Encaissements!$B$6:$B$3005,_xludf.AGGREGATE(15,6,(ROW(Ventes_Encaissements!$B$6:$B$3005)-ROW(Ventes_Encaissements!$B$6)+1)/((Ventes_Encaissements!$E$6:$E$3005=$B677)*(Ventes_Encaissements!$J$6:$J$3005=$G677)*(Ventes_Encaissements!$C$6:$C$3005&gt;=$C677-3)*(Ventes_Encaissements!$C$6:$C$3005&lt;=$C677+3)),1)))</f>
        <v/>
      </c>
      <c r="K677" s="6" t="n"/>
    </row>
    <row r="678">
      <c r="A678" s="6" t="n"/>
      <c r="B678" s="6" t="n"/>
      <c r="C678" s="19" t="n"/>
      <c r="D678" s="19" t="n"/>
      <c r="E678" s="6" t="n"/>
      <c r="F678" s="20" t="n"/>
      <c r="G678" s="9">
        <f>IF($F678="","",IF($F678&gt;0,ROUND($F678,2),""))</f>
        <v/>
      </c>
      <c r="H678" s="12">
        <f>IF(OR($B678="",$C678="",$G678=""),"",COUNTIFS(Ventes_Encaissements!$E$6:$E$3005,$B678,Ventes_Encaissements!$J$6:$J$3005,$G678,Ventes_Encaissements!$C$6:$C$3005,"&gt;="&amp;($C678-3),Ventes_Encaissements!$C$6:$C$3005,"&lt;="&amp;($C678+3)))</f>
        <v/>
      </c>
      <c r="I678" s="12">
        <f>IF($H678="","",IF($H678=0,"Non trouvé",IF($H678=1,"Match","À vérifier")))</f>
        <v/>
      </c>
      <c r="J678" s="21">
        <f>IF($I678&lt;&gt;"Match","",INDEX(Ventes_Encaissements!$B$6:$B$3005,_xludf.AGGREGATE(15,6,(ROW(Ventes_Encaissements!$B$6:$B$3005)-ROW(Ventes_Encaissements!$B$6)+1)/((Ventes_Encaissements!$E$6:$E$3005=$B678)*(Ventes_Encaissements!$J$6:$J$3005=$G678)*(Ventes_Encaissements!$C$6:$C$3005&gt;=$C678-3)*(Ventes_Encaissements!$C$6:$C$3005&lt;=$C678+3)),1)))</f>
        <v/>
      </c>
      <c r="K678" s="6" t="n"/>
    </row>
    <row r="679">
      <c r="A679" s="6" t="n"/>
      <c r="B679" s="6" t="n"/>
      <c r="C679" s="19" t="n"/>
      <c r="D679" s="19" t="n"/>
      <c r="E679" s="6" t="n"/>
      <c r="F679" s="20" t="n"/>
      <c r="G679" s="9">
        <f>IF($F679="","",IF($F679&gt;0,ROUND($F679,2),""))</f>
        <v/>
      </c>
      <c r="H679" s="12">
        <f>IF(OR($B679="",$C679="",$G679=""),"",COUNTIFS(Ventes_Encaissements!$E$6:$E$3005,$B679,Ventes_Encaissements!$J$6:$J$3005,$G679,Ventes_Encaissements!$C$6:$C$3005,"&gt;="&amp;($C679-3),Ventes_Encaissements!$C$6:$C$3005,"&lt;="&amp;($C679+3)))</f>
        <v/>
      </c>
      <c r="I679" s="12">
        <f>IF($H679="","",IF($H679=0,"Non trouvé",IF($H679=1,"Match","À vérifier")))</f>
        <v/>
      </c>
      <c r="J679" s="21">
        <f>IF($I679&lt;&gt;"Match","",INDEX(Ventes_Encaissements!$B$6:$B$3005,_xludf.AGGREGATE(15,6,(ROW(Ventes_Encaissements!$B$6:$B$3005)-ROW(Ventes_Encaissements!$B$6)+1)/((Ventes_Encaissements!$E$6:$E$3005=$B679)*(Ventes_Encaissements!$J$6:$J$3005=$G679)*(Ventes_Encaissements!$C$6:$C$3005&gt;=$C679-3)*(Ventes_Encaissements!$C$6:$C$3005&lt;=$C679+3)),1)))</f>
        <v/>
      </c>
      <c r="K679" s="6" t="n"/>
    </row>
    <row r="680">
      <c r="A680" s="6" t="n"/>
      <c r="B680" s="6" t="n"/>
      <c r="C680" s="19" t="n"/>
      <c r="D680" s="19" t="n"/>
      <c r="E680" s="6" t="n"/>
      <c r="F680" s="20" t="n"/>
      <c r="G680" s="9">
        <f>IF($F680="","",IF($F680&gt;0,ROUND($F680,2),""))</f>
        <v/>
      </c>
      <c r="H680" s="12">
        <f>IF(OR($B680="",$C680="",$G680=""),"",COUNTIFS(Ventes_Encaissements!$E$6:$E$3005,$B680,Ventes_Encaissements!$J$6:$J$3005,$G680,Ventes_Encaissements!$C$6:$C$3005,"&gt;="&amp;($C680-3),Ventes_Encaissements!$C$6:$C$3005,"&lt;="&amp;($C680+3)))</f>
        <v/>
      </c>
      <c r="I680" s="12">
        <f>IF($H680="","",IF($H680=0,"Non trouvé",IF($H680=1,"Match","À vérifier")))</f>
        <v/>
      </c>
      <c r="J680" s="21">
        <f>IF($I680&lt;&gt;"Match","",INDEX(Ventes_Encaissements!$B$6:$B$3005,_xludf.AGGREGATE(15,6,(ROW(Ventes_Encaissements!$B$6:$B$3005)-ROW(Ventes_Encaissements!$B$6)+1)/((Ventes_Encaissements!$E$6:$E$3005=$B680)*(Ventes_Encaissements!$J$6:$J$3005=$G680)*(Ventes_Encaissements!$C$6:$C$3005&gt;=$C680-3)*(Ventes_Encaissements!$C$6:$C$3005&lt;=$C680+3)),1)))</f>
        <v/>
      </c>
      <c r="K680" s="6" t="n"/>
    </row>
    <row r="681">
      <c r="A681" s="6" t="n"/>
      <c r="B681" s="6" t="n"/>
      <c r="C681" s="19" t="n"/>
      <c r="D681" s="19" t="n"/>
      <c r="E681" s="6" t="n"/>
      <c r="F681" s="20" t="n"/>
      <c r="G681" s="9">
        <f>IF($F681="","",IF($F681&gt;0,ROUND($F681,2),""))</f>
        <v/>
      </c>
      <c r="H681" s="12">
        <f>IF(OR($B681="",$C681="",$G681=""),"",COUNTIFS(Ventes_Encaissements!$E$6:$E$3005,$B681,Ventes_Encaissements!$J$6:$J$3005,$G681,Ventes_Encaissements!$C$6:$C$3005,"&gt;="&amp;($C681-3),Ventes_Encaissements!$C$6:$C$3005,"&lt;="&amp;($C681+3)))</f>
        <v/>
      </c>
      <c r="I681" s="12">
        <f>IF($H681="","",IF($H681=0,"Non trouvé",IF($H681=1,"Match","À vérifier")))</f>
        <v/>
      </c>
      <c r="J681" s="21">
        <f>IF($I681&lt;&gt;"Match","",INDEX(Ventes_Encaissements!$B$6:$B$3005,_xludf.AGGREGATE(15,6,(ROW(Ventes_Encaissements!$B$6:$B$3005)-ROW(Ventes_Encaissements!$B$6)+1)/((Ventes_Encaissements!$E$6:$E$3005=$B681)*(Ventes_Encaissements!$J$6:$J$3005=$G681)*(Ventes_Encaissements!$C$6:$C$3005&gt;=$C681-3)*(Ventes_Encaissements!$C$6:$C$3005&lt;=$C681+3)),1)))</f>
        <v/>
      </c>
      <c r="K681" s="6" t="n"/>
    </row>
    <row r="682">
      <c r="A682" s="6" t="n"/>
      <c r="B682" s="6" t="n"/>
      <c r="C682" s="19" t="n"/>
      <c r="D682" s="19" t="n"/>
      <c r="E682" s="6" t="n"/>
      <c r="F682" s="20" t="n"/>
      <c r="G682" s="9">
        <f>IF($F682="","",IF($F682&gt;0,ROUND($F682,2),""))</f>
        <v/>
      </c>
      <c r="H682" s="12">
        <f>IF(OR($B682="",$C682="",$G682=""),"",COUNTIFS(Ventes_Encaissements!$E$6:$E$3005,$B682,Ventes_Encaissements!$J$6:$J$3005,$G682,Ventes_Encaissements!$C$6:$C$3005,"&gt;="&amp;($C682-3),Ventes_Encaissements!$C$6:$C$3005,"&lt;="&amp;($C682+3)))</f>
        <v/>
      </c>
      <c r="I682" s="12">
        <f>IF($H682="","",IF($H682=0,"Non trouvé",IF($H682=1,"Match","À vérifier")))</f>
        <v/>
      </c>
      <c r="J682" s="21">
        <f>IF($I682&lt;&gt;"Match","",INDEX(Ventes_Encaissements!$B$6:$B$3005,_xludf.AGGREGATE(15,6,(ROW(Ventes_Encaissements!$B$6:$B$3005)-ROW(Ventes_Encaissements!$B$6)+1)/((Ventes_Encaissements!$E$6:$E$3005=$B682)*(Ventes_Encaissements!$J$6:$J$3005=$G682)*(Ventes_Encaissements!$C$6:$C$3005&gt;=$C682-3)*(Ventes_Encaissements!$C$6:$C$3005&lt;=$C682+3)),1)))</f>
        <v/>
      </c>
      <c r="K682" s="6" t="n"/>
    </row>
    <row r="683">
      <c r="A683" s="6" t="n"/>
      <c r="B683" s="6" t="n"/>
      <c r="C683" s="19" t="n"/>
      <c r="D683" s="19" t="n"/>
      <c r="E683" s="6" t="n"/>
      <c r="F683" s="20" t="n"/>
      <c r="G683" s="9">
        <f>IF($F683="","",IF($F683&gt;0,ROUND($F683,2),""))</f>
        <v/>
      </c>
      <c r="H683" s="12">
        <f>IF(OR($B683="",$C683="",$G683=""),"",COUNTIFS(Ventes_Encaissements!$E$6:$E$3005,$B683,Ventes_Encaissements!$J$6:$J$3005,$G683,Ventes_Encaissements!$C$6:$C$3005,"&gt;="&amp;($C683-3),Ventes_Encaissements!$C$6:$C$3005,"&lt;="&amp;($C683+3)))</f>
        <v/>
      </c>
      <c r="I683" s="12">
        <f>IF($H683="","",IF($H683=0,"Non trouvé",IF($H683=1,"Match","À vérifier")))</f>
        <v/>
      </c>
      <c r="J683" s="21">
        <f>IF($I683&lt;&gt;"Match","",INDEX(Ventes_Encaissements!$B$6:$B$3005,_xludf.AGGREGATE(15,6,(ROW(Ventes_Encaissements!$B$6:$B$3005)-ROW(Ventes_Encaissements!$B$6)+1)/((Ventes_Encaissements!$E$6:$E$3005=$B683)*(Ventes_Encaissements!$J$6:$J$3005=$G683)*(Ventes_Encaissements!$C$6:$C$3005&gt;=$C683-3)*(Ventes_Encaissements!$C$6:$C$3005&lt;=$C683+3)),1)))</f>
        <v/>
      </c>
      <c r="K683" s="6" t="n"/>
    </row>
    <row r="684">
      <c r="A684" s="6" t="n"/>
      <c r="B684" s="6" t="n"/>
      <c r="C684" s="19" t="n"/>
      <c r="D684" s="19" t="n"/>
      <c r="E684" s="6" t="n"/>
      <c r="F684" s="20" t="n"/>
      <c r="G684" s="9">
        <f>IF($F684="","",IF($F684&gt;0,ROUND($F684,2),""))</f>
        <v/>
      </c>
      <c r="H684" s="12">
        <f>IF(OR($B684="",$C684="",$G684=""),"",COUNTIFS(Ventes_Encaissements!$E$6:$E$3005,$B684,Ventes_Encaissements!$J$6:$J$3005,$G684,Ventes_Encaissements!$C$6:$C$3005,"&gt;="&amp;($C684-3),Ventes_Encaissements!$C$6:$C$3005,"&lt;="&amp;($C684+3)))</f>
        <v/>
      </c>
      <c r="I684" s="12">
        <f>IF($H684="","",IF($H684=0,"Non trouvé",IF($H684=1,"Match","À vérifier")))</f>
        <v/>
      </c>
      <c r="J684" s="21">
        <f>IF($I684&lt;&gt;"Match","",INDEX(Ventes_Encaissements!$B$6:$B$3005,_xludf.AGGREGATE(15,6,(ROW(Ventes_Encaissements!$B$6:$B$3005)-ROW(Ventes_Encaissements!$B$6)+1)/((Ventes_Encaissements!$E$6:$E$3005=$B684)*(Ventes_Encaissements!$J$6:$J$3005=$G684)*(Ventes_Encaissements!$C$6:$C$3005&gt;=$C684-3)*(Ventes_Encaissements!$C$6:$C$3005&lt;=$C684+3)),1)))</f>
        <v/>
      </c>
      <c r="K684" s="6" t="n"/>
    </row>
    <row r="685">
      <c r="A685" s="6" t="n"/>
      <c r="B685" s="6" t="n"/>
      <c r="C685" s="19" t="n"/>
      <c r="D685" s="19" t="n"/>
      <c r="E685" s="6" t="n"/>
      <c r="F685" s="20" t="n"/>
      <c r="G685" s="9">
        <f>IF($F685="","",IF($F685&gt;0,ROUND($F685,2),""))</f>
        <v/>
      </c>
      <c r="H685" s="12">
        <f>IF(OR($B685="",$C685="",$G685=""),"",COUNTIFS(Ventes_Encaissements!$E$6:$E$3005,$B685,Ventes_Encaissements!$J$6:$J$3005,$G685,Ventes_Encaissements!$C$6:$C$3005,"&gt;="&amp;($C685-3),Ventes_Encaissements!$C$6:$C$3005,"&lt;="&amp;($C685+3)))</f>
        <v/>
      </c>
      <c r="I685" s="12">
        <f>IF($H685="","",IF($H685=0,"Non trouvé",IF($H685=1,"Match","À vérifier")))</f>
        <v/>
      </c>
      <c r="J685" s="21">
        <f>IF($I685&lt;&gt;"Match","",INDEX(Ventes_Encaissements!$B$6:$B$3005,_xludf.AGGREGATE(15,6,(ROW(Ventes_Encaissements!$B$6:$B$3005)-ROW(Ventes_Encaissements!$B$6)+1)/((Ventes_Encaissements!$E$6:$E$3005=$B685)*(Ventes_Encaissements!$J$6:$J$3005=$G685)*(Ventes_Encaissements!$C$6:$C$3005&gt;=$C685-3)*(Ventes_Encaissements!$C$6:$C$3005&lt;=$C685+3)),1)))</f>
        <v/>
      </c>
      <c r="K685" s="6" t="n"/>
    </row>
    <row r="686">
      <c r="A686" s="6" t="n"/>
      <c r="B686" s="6" t="n"/>
      <c r="C686" s="19" t="n"/>
      <c r="D686" s="19" t="n"/>
      <c r="E686" s="6" t="n"/>
      <c r="F686" s="20" t="n"/>
      <c r="G686" s="9">
        <f>IF($F686="","",IF($F686&gt;0,ROUND($F686,2),""))</f>
        <v/>
      </c>
      <c r="H686" s="12">
        <f>IF(OR($B686="",$C686="",$G686=""),"",COUNTIFS(Ventes_Encaissements!$E$6:$E$3005,$B686,Ventes_Encaissements!$J$6:$J$3005,$G686,Ventes_Encaissements!$C$6:$C$3005,"&gt;="&amp;($C686-3),Ventes_Encaissements!$C$6:$C$3005,"&lt;="&amp;($C686+3)))</f>
        <v/>
      </c>
      <c r="I686" s="12">
        <f>IF($H686="","",IF($H686=0,"Non trouvé",IF($H686=1,"Match","À vérifier")))</f>
        <v/>
      </c>
      <c r="J686" s="21">
        <f>IF($I686&lt;&gt;"Match","",INDEX(Ventes_Encaissements!$B$6:$B$3005,_xludf.AGGREGATE(15,6,(ROW(Ventes_Encaissements!$B$6:$B$3005)-ROW(Ventes_Encaissements!$B$6)+1)/((Ventes_Encaissements!$E$6:$E$3005=$B686)*(Ventes_Encaissements!$J$6:$J$3005=$G686)*(Ventes_Encaissements!$C$6:$C$3005&gt;=$C686-3)*(Ventes_Encaissements!$C$6:$C$3005&lt;=$C686+3)),1)))</f>
        <v/>
      </c>
      <c r="K686" s="6" t="n"/>
    </row>
    <row r="687">
      <c r="A687" s="6" t="n"/>
      <c r="B687" s="6" t="n"/>
      <c r="C687" s="19" t="n"/>
      <c r="D687" s="19" t="n"/>
      <c r="E687" s="6" t="n"/>
      <c r="F687" s="20" t="n"/>
      <c r="G687" s="9">
        <f>IF($F687="","",IF($F687&gt;0,ROUND($F687,2),""))</f>
        <v/>
      </c>
      <c r="H687" s="12">
        <f>IF(OR($B687="",$C687="",$G687=""),"",COUNTIFS(Ventes_Encaissements!$E$6:$E$3005,$B687,Ventes_Encaissements!$J$6:$J$3005,$G687,Ventes_Encaissements!$C$6:$C$3005,"&gt;="&amp;($C687-3),Ventes_Encaissements!$C$6:$C$3005,"&lt;="&amp;($C687+3)))</f>
        <v/>
      </c>
      <c r="I687" s="12">
        <f>IF($H687="","",IF($H687=0,"Non trouvé",IF($H687=1,"Match","À vérifier")))</f>
        <v/>
      </c>
      <c r="J687" s="21">
        <f>IF($I687&lt;&gt;"Match","",INDEX(Ventes_Encaissements!$B$6:$B$3005,_xludf.AGGREGATE(15,6,(ROW(Ventes_Encaissements!$B$6:$B$3005)-ROW(Ventes_Encaissements!$B$6)+1)/((Ventes_Encaissements!$E$6:$E$3005=$B687)*(Ventes_Encaissements!$J$6:$J$3005=$G687)*(Ventes_Encaissements!$C$6:$C$3005&gt;=$C687-3)*(Ventes_Encaissements!$C$6:$C$3005&lt;=$C687+3)),1)))</f>
        <v/>
      </c>
      <c r="K687" s="6" t="n"/>
    </row>
    <row r="688">
      <c r="A688" s="6" t="n"/>
      <c r="B688" s="6" t="n"/>
      <c r="C688" s="19" t="n"/>
      <c r="D688" s="19" t="n"/>
      <c r="E688" s="6" t="n"/>
      <c r="F688" s="20" t="n"/>
      <c r="G688" s="9">
        <f>IF($F688="","",IF($F688&gt;0,ROUND($F688,2),""))</f>
        <v/>
      </c>
      <c r="H688" s="12">
        <f>IF(OR($B688="",$C688="",$G688=""),"",COUNTIFS(Ventes_Encaissements!$E$6:$E$3005,$B688,Ventes_Encaissements!$J$6:$J$3005,$G688,Ventes_Encaissements!$C$6:$C$3005,"&gt;="&amp;($C688-3),Ventes_Encaissements!$C$6:$C$3005,"&lt;="&amp;($C688+3)))</f>
        <v/>
      </c>
      <c r="I688" s="12">
        <f>IF($H688="","",IF($H688=0,"Non trouvé",IF($H688=1,"Match","À vérifier")))</f>
        <v/>
      </c>
      <c r="J688" s="21">
        <f>IF($I688&lt;&gt;"Match","",INDEX(Ventes_Encaissements!$B$6:$B$3005,_xludf.AGGREGATE(15,6,(ROW(Ventes_Encaissements!$B$6:$B$3005)-ROW(Ventes_Encaissements!$B$6)+1)/((Ventes_Encaissements!$E$6:$E$3005=$B688)*(Ventes_Encaissements!$J$6:$J$3005=$G688)*(Ventes_Encaissements!$C$6:$C$3005&gt;=$C688-3)*(Ventes_Encaissements!$C$6:$C$3005&lt;=$C688+3)),1)))</f>
        <v/>
      </c>
      <c r="K688" s="6" t="n"/>
    </row>
    <row r="689">
      <c r="A689" s="6" t="n"/>
      <c r="B689" s="6" t="n"/>
      <c r="C689" s="19" t="n"/>
      <c r="D689" s="19" t="n"/>
      <c r="E689" s="6" t="n"/>
      <c r="F689" s="20" t="n"/>
      <c r="G689" s="9">
        <f>IF($F689="","",IF($F689&gt;0,ROUND($F689,2),""))</f>
        <v/>
      </c>
      <c r="H689" s="12">
        <f>IF(OR($B689="",$C689="",$G689=""),"",COUNTIFS(Ventes_Encaissements!$E$6:$E$3005,$B689,Ventes_Encaissements!$J$6:$J$3005,$G689,Ventes_Encaissements!$C$6:$C$3005,"&gt;="&amp;($C689-3),Ventes_Encaissements!$C$6:$C$3005,"&lt;="&amp;($C689+3)))</f>
        <v/>
      </c>
      <c r="I689" s="12">
        <f>IF($H689="","",IF($H689=0,"Non trouvé",IF($H689=1,"Match","À vérifier")))</f>
        <v/>
      </c>
      <c r="J689" s="21">
        <f>IF($I689&lt;&gt;"Match","",INDEX(Ventes_Encaissements!$B$6:$B$3005,_xludf.AGGREGATE(15,6,(ROW(Ventes_Encaissements!$B$6:$B$3005)-ROW(Ventes_Encaissements!$B$6)+1)/((Ventes_Encaissements!$E$6:$E$3005=$B689)*(Ventes_Encaissements!$J$6:$J$3005=$G689)*(Ventes_Encaissements!$C$6:$C$3005&gt;=$C689-3)*(Ventes_Encaissements!$C$6:$C$3005&lt;=$C689+3)),1)))</f>
        <v/>
      </c>
      <c r="K689" s="6" t="n"/>
    </row>
    <row r="690">
      <c r="A690" s="6" t="n"/>
      <c r="B690" s="6" t="n"/>
      <c r="C690" s="19" t="n"/>
      <c r="D690" s="19" t="n"/>
      <c r="E690" s="6" t="n"/>
      <c r="F690" s="20" t="n"/>
      <c r="G690" s="9">
        <f>IF($F690="","",IF($F690&gt;0,ROUND($F690,2),""))</f>
        <v/>
      </c>
      <c r="H690" s="12">
        <f>IF(OR($B690="",$C690="",$G690=""),"",COUNTIFS(Ventes_Encaissements!$E$6:$E$3005,$B690,Ventes_Encaissements!$J$6:$J$3005,$G690,Ventes_Encaissements!$C$6:$C$3005,"&gt;="&amp;($C690-3),Ventes_Encaissements!$C$6:$C$3005,"&lt;="&amp;($C690+3)))</f>
        <v/>
      </c>
      <c r="I690" s="12">
        <f>IF($H690="","",IF($H690=0,"Non trouvé",IF($H690=1,"Match","À vérifier")))</f>
        <v/>
      </c>
      <c r="J690" s="21">
        <f>IF($I690&lt;&gt;"Match","",INDEX(Ventes_Encaissements!$B$6:$B$3005,_xludf.AGGREGATE(15,6,(ROW(Ventes_Encaissements!$B$6:$B$3005)-ROW(Ventes_Encaissements!$B$6)+1)/((Ventes_Encaissements!$E$6:$E$3005=$B690)*(Ventes_Encaissements!$J$6:$J$3005=$G690)*(Ventes_Encaissements!$C$6:$C$3005&gt;=$C690-3)*(Ventes_Encaissements!$C$6:$C$3005&lt;=$C690+3)),1)))</f>
        <v/>
      </c>
      <c r="K690" s="6" t="n"/>
    </row>
    <row r="691">
      <c r="A691" s="6" t="n"/>
      <c r="B691" s="6" t="n"/>
      <c r="C691" s="19" t="n"/>
      <c r="D691" s="19" t="n"/>
      <c r="E691" s="6" t="n"/>
      <c r="F691" s="20" t="n"/>
      <c r="G691" s="9">
        <f>IF($F691="","",IF($F691&gt;0,ROUND($F691,2),""))</f>
        <v/>
      </c>
      <c r="H691" s="12">
        <f>IF(OR($B691="",$C691="",$G691=""),"",COUNTIFS(Ventes_Encaissements!$E$6:$E$3005,$B691,Ventes_Encaissements!$J$6:$J$3005,$G691,Ventes_Encaissements!$C$6:$C$3005,"&gt;="&amp;($C691-3),Ventes_Encaissements!$C$6:$C$3005,"&lt;="&amp;($C691+3)))</f>
        <v/>
      </c>
      <c r="I691" s="12">
        <f>IF($H691="","",IF($H691=0,"Non trouvé",IF($H691=1,"Match","À vérifier")))</f>
        <v/>
      </c>
      <c r="J691" s="21">
        <f>IF($I691&lt;&gt;"Match","",INDEX(Ventes_Encaissements!$B$6:$B$3005,_xludf.AGGREGATE(15,6,(ROW(Ventes_Encaissements!$B$6:$B$3005)-ROW(Ventes_Encaissements!$B$6)+1)/((Ventes_Encaissements!$E$6:$E$3005=$B691)*(Ventes_Encaissements!$J$6:$J$3005=$G691)*(Ventes_Encaissements!$C$6:$C$3005&gt;=$C691-3)*(Ventes_Encaissements!$C$6:$C$3005&lt;=$C691+3)),1)))</f>
        <v/>
      </c>
      <c r="K691" s="6" t="n"/>
    </row>
    <row r="692">
      <c r="A692" s="6" t="n"/>
      <c r="B692" s="6" t="n"/>
      <c r="C692" s="19" t="n"/>
      <c r="D692" s="19" t="n"/>
      <c r="E692" s="6" t="n"/>
      <c r="F692" s="20" t="n"/>
      <c r="G692" s="9">
        <f>IF($F692="","",IF($F692&gt;0,ROUND($F692,2),""))</f>
        <v/>
      </c>
      <c r="H692" s="12">
        <f>IF(OR($B692="",$C692="",$G692=""),"",COUNTIFS(Ventes_Encaissements!$E$6:$E$3005,$B692,Ventes_Encaissements!$J$6:$J$3005,$G692,Ventes_Encaissements!$C$6:$C$3005,"&gt;="&amp;($C692-3),Ventes_Encaissements!$C$6:$C$3005,"&lt;="&amp;($C692+3)))</f>
        <v/>
      </c>
      <c r="I692" s="12">
        <f>IF($H692="","",IF($H692=0,"Non trouvé",IF($H692=1,"Match","À vérifier")))</f>
        <v/>
      </c>
      <c r="J692" s="21">
        <f>IF($I692&lt;&gt;"Match","",INDEX(Ventes_Encaissements!$B$6:$B$3005,_xludf.AGGREGATE(15,6,(ROW(Ventes_Encaissements!$B$6:$B$3005)-ROW(Ventes_Encaissements!$B$6)+1)/((Ventes_Encaissements!$E$6:$E$3005=$B692)*(Ventes_Encaissements!$J$6:$J$3005=$G692)*(Ventes_Encaissements!$C$6:$C$3005&gt;=$C692-3)*(Ventes_Encaissements!$C$6:$C$3005&lt;=$C692+3)),1)))</f>
        <v/>
      </c>
      <c r="K692" s="6" t="n"/>
    </row>
    <row r="693">
      <c r="A693" s="6" t="n"/>
      <c r="B693" s="6" t="n"/>
      <c r="C693" s="19" t="n"/>
      <c r="D693" s="19" t="n"/>
      <c r="E693" s="6" t="n"/>
      <c r="F693" s="20" t="n"/>
      <c r="G693" s="9">
        <f>IF($F693="","",IF($F693&gt;0,ROUND($F693,2),""))</f>
        <v/>
      </c>
      <c r="H693" s="12">
        <f>IF(OR($B693="",$C693="",$G693=""),"",COUNTIFS(Ventes_Encaissements!$E$6:$E$3005,$B693,Ventes_Encaissements!$J$6:$J$3005,$G693,Ventes_Encaissements!$C$6:$C$3005,"&gt;="&amp;($C693-3),Ventes_Encaissements!$C$6:$C$3005,"&lt;="&amp;($C693+3)))</f>
        <v/>
      </c>
      <c r="I693" s="12">
        <f>IF($H693="","",IF($H693=0,"Non trouvé",IF($H693=1,"Match","À vérifier")))</f>
        <v/>
      </c>
      <c r="J693" s="21">
        <f>IF($I693&lt;&gt;"Match","",INDEX(Ventes_Encaissements!$B$6:$B$3005,_xludf.AGGREGATE(15,6,(ROW(Ventes_Encaissements!$B$6:$B$3005)-ROW(Ventes_Encaissements!$B$6)+1)/((Ventes_Encaissements!$E$6:$E$3005=$B693)*(Ventes_Encaissements!$J$6:$J$3005=$G693)*(Ventes_Encaissements!$C$6:$C$3005&gt;=$C693-3)*(Ventes_Encaissements!$C$6:$C$3005&lt;=$C693+3)),1)))</f>
        <v/>
      </c>
      <c r="K693" s="6" t="n"/>
    </row>
    <row r="694">
      <c r="A694" s="6" t="n"/>
      <c r="B694" s="6" t="n"/>
      <c r="C694" s="19" t="n"/>
      <c r="D694" s="19" t="n"/>
      <c r="E694" s="6" t="n"/>
      <c r="F694" s="20" t="n"/>
      <c r="G694" s="9">
        <f>IF($F694="","",IF($F694&gt;0,ROUND($F694,2),""))</f>
        <v/>
      </c>
      <c r="H694" s="12">
        <f>IF(OR($B694="",$C694="",$G694=""),"",COUNTIFS(Ventes_Encaissements!$E$6:$E$3005,$B694,Ventes_Encaissements!$J$6:$J$3005,$G694,Ventes_Encaissements!$C$6:$C$3005,"&gt;="&amp;($C694-3),Ventes_Encaissements!$C$6:$C$3005,"&lt;="&amp;($C694+3)))</f>
        <v/>
      </c>
      <c r="I694" s="12">
        <f>IF($H694="","",IF($H694=0,"Non trouvé",IF($H694=1,"Match","À vérifier")))</f>
        <v/>
      </c>
      <c r="J694" s="21">
        <f>IF($I694&lt;&gt;"Match","",INDEX(Ventes_Encaissements!$B$6:$B$3005,_xludf.AGGREGATE(15,6,(ROW(Ventes_Encaissements!$B$6:$B$3005)-ROW(Ventes_Encaissements!$B$6)+1)/((Ventes_Encaissements!$E$6:$E$3005=$B694)*(Ventes_Encaissements!$J$6:$J$3005=$G694)*(Ventes_Encaissements!$C$6:$C$3005&gt;=$C694-3)*(Ventes_Encaissements!$C$6:$C$3005&lt;=$C694+3)),1)))</f>
        <v/>
      </c>
      <c r="K694" s="6" t="n"/>
    </row>
    <row r="695">
      <c r="A695" s="6" t="n"/>
      <c r="B695" s="6" t="n"/>
      <c r="C695" s="19" t="n"/>
      <c r="D695" s="19" t="n"/>
      <c r="E695" s="6" t="n"/>
      <c r="F695" s="20" t="n"/>
      <c r="G695" s="9">
        <f>IF($F695="","",IF($F695&gt;0,ROUND($F695,2),""))</f>
        <v/>
      </c>
      <c r="H695" s="12">
        <f>IF(OR($B695="",$C695="",$G695=""),"",COUNTIFS(Ventes_Encaissements!$E$6:$E$3005,$B695,Ventes_Encaissements!$J$6:$J$3005,$G695,Ventes_Encaissements!$C$6:$C$3005,"&gt;="&amp;($C695-3),Ventes_Encaissements!$C$6:$C$3005,"&lt;="&amp;($C695+3)))</f>
        <v/>
      </c>
      <c r="I695" s="12">
        <f>IF($H695="","",IF($H695=0,"Non trouvé",IF($H695=1,"Match","À vérifier")))</f>
        <v/>
      </c>
      <c r="J695" s="21">
        <f>IF($I695&lt;&gt;"Match","",INDEX(Ventes_Encaissements!$B$6:$B$3005,_xludf.AGGREGATE(15,6,(ROW(Ventes_Encaissements!$B$6:$B$3005)-ROW(Ventes_Encaissements!$B$6)+1)/((Ventes_Encaissements!$E$6:$E$3005=$B695)*(Ventes_Encaissements!$J$6:$J$3005=$G695)*(Ventes_Encaissements!$C$6:$C$3005&gt;=$C695-3)*(Ventes_Encaissements!$C$6:$C$3005&lt;=$C695+3)),1)))</f>
        <v/>
      </c>
      <c r="K695" s="6" t="n"/>
    </row>
    <row r="696">
      <c r="A696" s="6" t="n"/>
      <c r="B696" s="6" t="n"/>
      <c r="C696" s="19" t="n"/>
      <c r="D696" s="19" t="n"/>
      <c r="E696" s="6" t="n"/>
      <c r="F696" s="20" t="n"/>
      <c r="G696" s="9">
        <f>IF($F696="","",IF($F696&gt;0,ROUND($F696,2),""))</f>
        <v/>
      </c>
      <c r="H696" s="12">
        <f>IF(OR($B696="",$C696="",$G696=""),"",COUNTIFS(Ventes_Encaissements!$E$6:$E$3005,$B696,Ventes_Encaissements!$J$6:$J$3005,$G696,Ventes_Encaissements!$C$6:$C$3005,"&gt;="&amp;($C696-3),Ventes_Encaissements!$C$6:$C$3005,"&lt;="&amp;($C696+3)))</f>
        <v/>
      </c>
      <c r="I696" s="12">
        <f>IF($H696="","",IF($H696=0,"Non trouvé",IF($H696=1,"Match","À vérifier")))</f>
        <v/>
      </c>
      <c r="J696" s="21">
        <f>IF($I696&lt;&gt;"Match","",INDEX(Ventes_Encaissements!$B$6:$B$3005,_xludf.AGGREGATE(15,6,(ROW(Ventes_Encaissements!$B$6:$B$3005)-ROW(Ventes_Encaissements!$B$6)+1)/((Ventes_Encaissements!$E$6:$E$3005=$B696)*(Ventes_Encaissements!$J$6:$J$3005=$G696)*(Ventes_Encaissements!$C$6:$C$3005&gt;=$C696-3)*(Ventes_Encaissements!$C$6:$C$3005&lt;=$C696+3)),1)))</f>
        <v/>
      </c>
      <c r="K696" s="6" t="n"/>
    </row>
    <row r="697">
      <c r="A697" s="6" t="n"/>
      <c r="B697" s="6" t="n"/>
      <c r="C697" s="19" t="n"/>
      <c r="D697" s="19" t="n"/>
      <c r="E697" s="6" t="n"/>
      <c r="F697" s="20" t="n"/>
      <c r="G697" s="9">
        <f>IF($F697="","",IF($F697&gt;0,ROUND($F697,2),""))</f>
        <v/>
      </c>
      <c r="H697" s="12">
        <f>IF(OR($B697="",$C697="",$G697=""),"",COUNTIFS(Ventes_Encaissements!$E$6:$E$3005,$B697,Ventes_Encaissements!$J$6:$J$3005,$G697,Ventes_Encaissements!$C$6:$C$3005,"&gt;="&amp;($C697-3),Ventes_Encaissements!$C$6:$C$3005,"&lt;="&amp;($C697+3)))</f>
        <v/>
      </c>
      <c r="I697" s="12">
        <f>IF($H697="","",IF($H697=0,"Non trouvé",IF($H697=1,"Match","À vérifier")))</f>
        <v/>
      </c>
      <c r="J697" s="21">
        <f>IF($I697&lt;&gt;"Match","",INDEX(Ventes_Encaissements!$B$6:$B$3005,_xludf.AGGREGATE(15,6,(ROW(Ventes_Encaissements!$B$6:$B$3005)-ROW(Ventes_Encaissements!$B$6)+1)/((Ventes_Encaissements!$E$6:$E$3005=$B697)*(Ventes_Encaissements!$J$6:$J$3005=$G697)*(Ventes_Encaissements!$C$6:$C$3005&gt;=$C697-3)*(Ventes_Encaissements!$C$6:$C$3005&lt;=$C697+3)),1)))</f>
        <v/>
      </c>
      <c r="K697" s="6" t="n"/>
    </row>
    <row r="698">
      <c r="A698" s="6" t="n"/>
      <c r="B698" s="6" t="n"/>
      <c r="C698" s="19" t="n"/>
      <c r="D698" s="19" t="n"/>
      <c r="E698" s="6" t="n"/>
      <c r="F698" s="20" t="n"/>
      <c r="G698" s="9">
        <f>IF($F698="","",IF($F698&gt;0,ROUND($F698,2),""))</f>
        <v/>
      </c>
      <c r="H698" s="12">
        <f>IF(OR($B698="",$C698="",$G698=""),"",COUNTIFS(Ventes_Encaissements!$E$6:$E$3005,$B698,Ventes_Encaissements!$J$6:$J$3005,$G698,Ventes_Encaissements!$C$6:$C$3005,"&gt;="&amp;($C698-3),Ventes_Encaissements!$C$6:$C$3005,"&lt;="&amp;($C698+3)))</f>
        <v/>
      </c>
      <c r="I698" s="12">
        <f>IF($H698="","",IF($H698=0,"Non trouvé",IF($H698=1,"Match","À vérifier")))</f>
        <v/>
      </c>
      <c r="J698" s="21">
        <f>IF($I698&lt;&gt;"Match","",INDEX(Ventes_Encaissements!$B$6:$B$3005,_xludf.AGGREGATE(15,6,(ROW(Ventes_Encaissements!$B$6:$B$3005)-ROW(Ventes_Encaissements!$B$6)+1)/((Ventes_Encaissements!$E$6:$E$3005=$B698)*(Ventes_Encaissements!$J$6:$J$3005=$G698)*(Ventes_Encaissements!$C$6:$C$3005&gt;=$C698-3)*(Ventes_Encaissements!$C$6:$C$3005&lt;=$C698+3)),1)))</f>
        <v/>
      </c>
      <c r="K698" s="6" t="n"/>
    </row>
    <row r="699">
      <c r="A699" s="6" t="n"/>
      <c r="B699" s="6" t="n"/>
      <c r="C699" s="19" t="n"/>
      <c r="D699" s="19" t="n"/>
      <c r="E699" s="6" t="n"/>
      <c r="F699" s="20" t="n"/>
      <c r="G699" s="9">
        <f>IF($F699="","",IF($F699&gt;0,ROUND($F699,2),""))</f>
        <v/>
      </c>
      <c r="H699" s="12">
        <f>IF(OR($B699="",$C699="",$G699=""),"",COUNTIFS(Ventes_Encaissements!$E$6:$E$3005,$B699,Ventes_Encaissements!$J$6:$J$3005,$G699,Ventes_Encaissements!$C$6:$C$3005,"&gt;="&amp;($C699-3),Ventes_Encaissements!$C$6:$C$3005,"&lt;="&amp;($C699+3)))</f>
        <v/>
      </c>
      <c r="I699" s="12">
        <f>IF($H699="","",IF($H699=0,"Non trouvé",IF($H699=1,"Match","À vérifier")))</f>
        <v/>
      </c>
      <c r="J699" s="21">
        <f>IF($I699&lt;&gt;"Match","",INDEX(Ventes_Encaissements!$B$6:$B$3005,_xludf.AGGREGATE(15,6,(ROW(Ventes_Encaissements!$B$6:$B$3005)-ROW(Ventes_Encaissements!$B$6)+1)/((Ventes_Encaissements!$E$6:$E$3005=$B699)*(Ventes_Encaissements!$J$6:$J$3005=$G699)*(Ventes_Encaissements!$C$6:$C$3005&gt;=$C699-3)*(Ventes_Encaissements!$C$6:$C$3005&lt;=$C699+3)),1)))</f>
        <v/>
      </c>
      <c r="K699" s="6" t="n"/>
    </row>
    <row r="700">
      <c r="A700" s="6" t="n"/>
      <c r="B700" s="6" t="n"/>
      <c r="C700" s="19" t="n"/>
      <c r="D700" s="19" t="n"/>
      <c r="E700" s="6" t="n"/>
      <c r="F700" s="20" t="n"/>
      <c r="G700" s="9">
        <f>IF($F700="","",IF($F700&gt;0,ROUND($F700,2),""))</f>
        <v/>
      </c>
      <c r="H700" s="12">
        <f>IF(OR($B700="",$C700="",$G700=""),"",COUNTIFS(Ventes_Encaissements!$E$6:$E$3005,$B700,Ventes_Encaissements!$J$6:$J$3005,$G700,Ventes_Encaissements!$C$6:$C$3005,"&gt;="&amp;($C700-3),Ventes_Encaissements!$C$6:$C$3005,"&lt;="&amp;($C700+3)))</f>
        <v/>
      </c>
      <c r="I700" s="12">
        <f>IF($H700="","",IF($H700=0,"Non trouvé",IF($H700=1,"Match","À vérifier")))</f>
        <v/>
      </c>
      <c r="J700" s="21">
        <f>IF($I700&lt;&gt;"Match","",INDEX(Ventes_Encaissements!$B$6:$B$3005,_xludf.AGGREGATE(15,6,(ROW(Ventes_Encaissements!$B$6:$B$3005)-ROW(Ventes_Encaissements!$B$6)+1)/((Ventes_Encaissements!$E$6:$E$3005=$B700)*(Ventes_Encaissements!$J$6:$J$3005=$G700)*(Ventes_Encaissements!$C$6:$C$3005&gt;=$C700-3)*(Ventes_Encaissements!$C$6:$C$3005&lt;=$C700+3)),1)))</f>
        <v/>
      </c>
      <c r="K700" s="6" t="n"/>
    </row>
    <row r="701">
      <c r="A701" s="6" t="n"/>
      <c r="B701" s="6" t="n"/>
      <c r="C701" s="19" t="n"/>
      <c r="D701" s="19" t="n"/>
      <c r="E701" s="6" t="n"/>
      <c r="F701" s="20" t="n"/>
      <c r="G701" s="9">
        <f>IF($F701="","",IF($F701&gt;0,ROUND($F701,2),""))</f>
        <v/>
      </c>
      <c r="H701" s="12">
        <f>IF(OR($B701="",$C701="",$G701=""),"",COUNTIFS(Ventes_Encaissements!$E$6:$E$3005,$B701,Ventes_Encaissements!$J$6:$J$3005,$G701,Ventes_Encaissements!$C$6:$C$3005,"&gt;="&amp;($C701-3),Ventes_Encaissements!$C$6:$C$3005,"&lt;="&amp;($C701+3)))</f>
        <v/>
      </c>
      <c r="I701" s="12">
        <f>IF($H701="","",IF($H701=0,"Non trouvé",IF($H701=1,"Match","À vérifier")))</f>
        <v/>
      </c>
      <c r="J701" s="21">
        <f>IF($I701&lt;&gt;"Match","",INDEX(Ventes_Encaissements!$B$6:$B$3005,_xludf.AGGREGATE(15,6,(ROW(Ventes_Encaissements!$B$6:$B$3005)-ROW(Ventes_Encaissements!$B$6)+1)/((Ventes_Encaissements!$E$6:$E$3005=$B701)*(Ventes_Encaissements!$J$6:$J$3005=$G701)*(Ventes_Encaissements!$C$6:$C$3005&gt;=$C701-3)*(Ventes_Encaissements!$C$6:$C$3005&lt;=$C701+3)),1)))</f>
        <v/>
      </c>
      <c r="K701" s="6" t="n"/>
    </row>
    <row r="702">
      <c r="A702" s="6" t="n"/>
      <c r="B702" s="6" t="n"/>
      <c r="C702" s="19" t="n"/>
      <c r="D702" s="19" t="n"/>
      <c r="E702" s="6" t="n"/>
      <c r="F702" s="20" t="n"/>
      <c r="G702" s="9">
        <f>IF($F702="","",IF($F702&gt;0,ROUND($F702,2),""))</f>
        <v/>
      </c>
      <c r="H702" s="12">
        <f>IF(OR($B702="",$C702="",$G702=""),"",COUNTIFS(Ventes_Encaissements!$E$6:$E$3005,$B702,Ventes_Encaissements!$J$6:$J$3005,$G702,Ventes_Encaissements!$C$6:$C$3005,"&gt;="&amp;($C702-3),Ventes_Encaissements!$C$6:$C$3005,"&lt;="&amp;($C702+3)))</f>
        <v/>
      </c>
      <c r="I702" s="12">
        <f>IF($H702="","",IF($H702=0,"Non trouvé",IF($H702=1,"Match","À vérifier")))</f>
        <v/>
      </c>
      <c r="J702" s="21">
        <f>IF($I702&lt;&gt;"Match","",INDEX(Ventes_Encaissements!$B$6:$B$3005,_xludf.AGGREGATE(15,6,(ROW(Ventes_Encaissements!$B$6:$B$3005)-ROW(Ventes_Encaissements!$B$6)+1)/((Ventes_Encaissements!$E$6:$E$3005=$B702)*(Ventes_Encaissements!$J$6:$J$3005=$G702)*(Ventes_Encaissements!$C$6:$C$3005&gt;=$C702-3)*(Ventes_Encaissements!$C$6:$C$3005&lt;=$C702+3)),1)))</f>
        <v/>
      </c>
      <c r="K702" s="6" t="n"/>
    </row>
    <row r="703">
      <c r="A703" s="6" t="n"/>
      <c r="B703" s="6" t="n"/>
      <c r="C703" s="19" t="n"/>
      <c r="D703" s="19" t="n"/>
      <c r="E703" s="6" t="n"/>
      <c r="F703" s="20" t="n"/>
      <c r="G703" s="9">
        <f>IF($F703="","",IF($F703&gt;0,ROUND($F703,2),""))</f>
        <v/>
      </c>
      <c r="H703" s="12">
        <f>IF(OR($B703="",$C703="",$G703=""),"",COUNTIFS(Ventes_Encaissements!$E$6:$E$3005,$B703,Ventes_Encaissements!$J$6:$J$3005,$G703,Ventes_Encaissements!$C$6:$C$3005,"&gt;="&amp;($C703-3),Ventes_Encaissements!$C$6:$C$3005,"&lt;="&amp;($C703+3)))</f>
        <v/>
      </c>
      <c r="I703" s="12">
        <f>IF($H703="","",IF($H703=0,"Non trouvé",IF($H703=1,"Match","À vérifier")))</f>
        <v/>
      </c>
      <c r="J703" s="21">
        <f>IF($I703&lt;&gt;"Match","",INDEX(Ventes_Encaissements!$B$6:$B$3005,_xludf.AGGREGATE(15,6,(ROW(Ventes_Encaissements!$B$6:$B$3005)-ROW(Ventes_Encaissements!$B$6)+1)/((Ventes_Encaissements!$E$6:$E$3005=$B703)*(Ventes_Encaissements!$J$6:$J$3005=$G703)*(Ventes_Encaissements!$C$6:$C$3005&gt;=$C703-3)*(Ventes_Encaissements!$C$6:$C$3005&lt;=$C703+3)),1)))</f>
        <v/>
      </c>
      <c r="K703" s="6" t="n"/>
    </row>
    <row r="704">
      <c r="A704" s="6" t="n"/>
      <c r="B704" s="6" t="n"/>
      <c r="C704" s="19" t="n"/>
      <c r="D704" s="19" t="n"/>
      <c r="E704" s="6" t="n"/>
      <c r="F704" s="20" t="n"/>
      <c r="G704" s="9">
        <f>IF($F704="","",IF($F704&gt;0,ROUND($F704,2),""))</f>
        <v/>
      </c>
      <c r="H704" s="12">
        <f>IF(OR($B704="",$C704="",$G704=""),"",COUNTIFS(Ventes_Encaissements!$E$6:$E$3005,$B704,Ventes_Encaissements!$J$6:$J$3005,$G704,Ventes_Encaissements!$C$6:$C$3005,"&gt;="&amp;($C704-3),Ventes_Encaissements!$C$6:$C$3005,"&lt;="&amp;($C704+3)))</f>
        <v/>
      </c>
      <c r="I704" s="12">
        <f>IF($H704="","",IF($H704=0,"Non trouvé",IF($H704=1,"Match","À vérifier")))</f>
        <v/>
      </c>
      <c r="J704" s="21">
        <f>IF($I704&lt;&gt;"Match","",INDEX(Ventes_Encaissements!$B$6:$B$3005,_xludf.AGGREGATE(15,6,(ROW(Ventes_Encaissements!$B$6:$B$3005)-ROW(Ventes_Encaissements!$B$6)+1)/((Ventes_Encaissements!$E$6:$E$3005=$B704)*(Ventes_Encaissements!$J$6:$J$3005=$G704)*(Ventes_Encaissements!$C$6:$C$3005&gt;=$C704-3)*(Ventes_Encaissements!$C$6:$C$3005&lt;=$C704+3)),1)))</f>
        <v/>
      </c>
      <c r="K704" s="6" t="n"/>
    </row>
    <row r="705">
      <c r="A705" s="6" t="n"/>
      <c r="B705" s="6" t="n"/>
      <c r="C705" s="19" t="n"/>
      <c r="D705" s="19" t="n"/>
      <c r="E705" s="6" t="n"/>
      <c r="F705" s="20" t="n"/>
      <c r="G705" s="9">
        <f>IF($F705="","",IF($F705&gt;0,ROUND($F705,2),""))</f>
        <v/>
      </c>
      <c r="H705" s="12">
        <f>IF(OR($B705="",$C705="",$G705=""),"",COUNTIFS(Ventes_Encaissements!$E$6:$E$3005,$B705,Ventes_Encaissements!$J$6:$J$3005,$G705,Ventes_Encaissements!$C$6:$C$3005,"&gt;="&amp;($C705-3),Ventes_Encaissements!$C$6:$C$3005,"&lt;="&amp;($C705+3)))</f>
        <v/>
      </c>
      <c r="I705" s="12">
        <f>IF($H705="","",IF($H705=0,"Non trouvé",IF($H705=1,"Match","À vérifier")))</f>
        <v/>
      </c>
      <c r="J705" s="21">
        <f>IF($I705&lt;&gt;"Match","",INDEX(Ventes_Encaissements!$B$6:$B$3005,_xludf.AGGREGATE(15,6,(ROW(Ventes_Encaissements!$B$6:$B$3005)-ROW(Ventes_Encaissements!$B$6)+1)/((Ventes_Encaissements!$E$6:$E$3005=$B705)*(Ventes_Encaissements!$J$6:$J$3005=$G705)*(Ventes_Encaissements!$C$6:$C$3005&gt;=$C705-3)*(Ventes_Encaissements!$C$6:$C$3005&lt;=$C705+3)),1)))</f>
        <v/>
      </c>
      <c r="K705" s="6" t="n"/>
    </row>
    <row r="706">
      <c r="A706" s="6" t="n"/>
      <c r="B706" s="6" t="n"/>
      <c r="C706" s="19" t="n"/>
      <c r="D706" s="19" t="n"/>
      <c r="E706" s="6" t="n"/>
      <c r="F706" s="20" t="n"/>
      <c r="G706" s="9">
        <f>IF($F706="","",IF($F706&gt;0,ROUND($F706,2),""))</f>
        <v/>
      </c>
      <c r="H706" s="12">
        <f>IF(OR($B706="",$C706="",$G706=""),"",COUNTIFS(Ventes_Encaissements!$E$6:$E$3005,$B706,Ventes_Encaissements!$J$6:$J$3005,$G706,Ventes_Encaissements!$C$6:$C$3005,"&gt;="&amp;($C706-3),Ventes_Encaissements!$C$6:$C$3005,"&lt;="&amp;($C706+3)))</f>
        <v/>
      </c>
      <c r="I706" s="12">
        <f>IF($H706="","",IF($H706=0,"Non trouvé",IF($H706=1,"Match","À vérifier")))</f>
        <v/>
      </c>
      <c r="J706" s="21">
        <f>IF($I706&lt;&gt;"Match","",INDEX(Ventes_Encaissements!$B$6:$B$3005,_xludf.AGGREGATE(15,6,(ROW(Ventes_Encaissements!$B$6:$B$3005)-ROW(Ventes_Encaissements!$B$6)+1)/((Ventes_Encaissements!$E$6:$E$3005=$B706)*(Ventes_Encaissements!$J$6:$J$3005=$G706)*(Ventes_Encaissements!$C$6:$C$3005&gt;=$C706-3)*(Ventes_Encaissements!$C$6:$C$3005&lt;=$C706+3)),1)))</f>
        <v/>
      </c>
      <c r="K706" s="6" t="n"/>
    </row>
    <row r="707">
      <c r="A707" s="6" t="n"/>
      <c r="B707" s="6" t="n"/>
      <c r="C707" s="19" t="n"/>
      <c r="D707" s="19" t="n"/>
      <c r="E707" s="6" t="n"/>
      <c r="F707" s="20" t="n"/>
      <c r="G707" s="9">
        <f>IF($F707="","",IF($F707&gt;0,ROUND($F707,2),""))</f>
        <v/>
      </c>
      <c r="H707" s="12">
        <f>IF(OR($B707="",$C707="",$G707=""),"",COUNTIFS(Ventes_Encaissements!$E$6:$E$3005,$B707,Ventes_Encaissements!$J$6:$J$3005,$G707,Ventes_Encaissements!$C$6:$C$3005,"&gt;="&amp;($C707-3),Ventes_Encaissements!$C$6:$C$3005,"&lt;="&amp;($C707+3)))</f>
        <v/>
      </c>
      <c r="I707" s="12">
        <f>IF($H707="","",IF($H707=0,"Non trouvé",IF($H707=1,"Match","À vérifier")))</f>
        <v/>
      </c>
      <c r="J707" s="21">
        <f>IF($I707&lt;&gt;"Match","",INDEX(Ventes_Encaissements!$B$6:$B$3005,_xludf.AGGREGATE(15,6,(ROW(Ventes_Encaissements!$B$6:$B$3005)-ROW(Ventes_Encaissements!$B$6)+1)/((Ventes_Encaissements!$E$6:$E$3005=$B707)*(Ventes_Encaissements!$J$6:$J$3005=$G707)*(Ventes_Encaissements!$C$6:$C$3005&gt;=$C707-3)*(Ventes_Encaissements!$C$6:$C$3005&lt;=$C707+3)),1)))</f>
        <v/>
      </c>
      <c r="K707" s="6" t="n"/>
    </row>
    <row r="708">
      <c r="A708" s="6" t="n"/>
      <c r="B708" s="6" t="n"/>
      <c r="C708" s="19" t="n"/>
      <c r="D708" s="19" t="n"/>
      <c r="E708" s="6" t="n"/>
      <c r="F708" s="20" t="n"/>
      <c r="G708" s="9">
        <f>IF($F708="","",IF($F708&gt;0,ROUND($F708,2),""))</f>
        <v/>
      </c>
      <c r="H708" s="12">
        <f>IF(OR($B708="",$C708="",$G708=""),"",COUNTIFS(Ventes_Encaissements!$E$6:$E$3005,$B708,Ventes_Encaissements!$J$6:$J$3005,$G708,Ventes_Encaissements!$C$6:$C$3005,"&gt;="&amp;($C708-3),Ventes_Encaissements!$C$6:$C$3005,"&lt;="&amp;($C708+3)))</f>
        <v/>
      </c>
      <c r="I708" s="12">
        <f>IF($H708="","",IF($H708=0,"Non trouvé",IF($H708=1,"Match","À vérifier")))</f>
        <v/>
      </c>
      <c r="J708" s="21">
        <f>IF($I708&lt;&gt;"Match","",INDEX(Ventes_Encaissements!$B$6:$B$3005,_xludf.AGGREGATE(15,6,(ROW(Ventes_Encaissements!$B$6:$B$3005)-ROW(Ventes_Encaissements!$B$6)+1)/((Ventes_Encaissements!$E$6:$E$3005=$B708)*(Ventes_Encaissements!$J$6:$J$3005=$G708)*(Ventes_Encaissements!$C$6:$C$3005&gt;=$C708-3)*(Ventes_Encaissements!$C$6:$C$3005&lt;=$C708+3)),1)))</f>
        <v/>
      </c>
      <c r="K708" s="6" t="n"/>
    </row>
    <row r="709">
      <c r="A709" s="6" t="n"/>
      <c r="B709" s="6" t="n"/>
      <c r="C709" s="19" t="n"/>
      <c r="D709" s="19" t="n"/>
      <c r="E709" s="6" t="n"/>
      <c r="F709" s="20" t="n"/>
      <c r="G709" s="9">
        <f>IF($F709="","",IF($F709&gt;0,ROUND($F709,2),""))</f>
        <v/>
      </c>
      <c r="H709" s="12">
        <f>IF(OR($B709="",$C709="",$G709=""),"",COUNTIFS(Ventes_Encaissements!$E$6:$E$3005,$B709,Ventes_Encaissements!$J$6:$J$3005,$G709,Ventes_Encaissements!$C$6:$C$3005,"&gt;="&amp;($C709-3),Ventes_Encaissements!$C$6:$C$3005,"&lt;="&amp;($C709+3)))</f>
        <v/>
      </c>
      <c r="I709" s="12">
        <f>IF($H709="","",IF($H709=0,"Non trouvé",IF($H709=1,"Match","À vérifier")))</f>
        <v/>
      </c>
      <c r="J709" s="21">
        <f>IF($I709&lt;&gt;"Match","",INDEX(Ventes_Encaissements!$B$6:$B$3005,_xludf.AGGREGATE(15,6,(ROW(Ventes_Encaissements!$B$6:$B$3005)-ROW(Ventes_Encaissements!$B$6)+1)/((Ventes_Encaissements!$E$6:$E$3005=$B709)*(Ventes_Encaissements!$J$6:$J$3005=$G709)*(Ventes_Encaissements!$C$6:$C$3005&gt;=$C709-3)*(Ventes_Encaissements!$C$6:$C$3005&lt;=$C709+3)),1)))</f>
        <v/>
      </c>
      <c r="K709" s="6" t="n"/>
    </row>
    <row r="710">
      <c r="A710" s="6" t="n"/>
      <c r="B710" s="6" t="n"/>
      <c r="C710" s="19" t="n"/>
      <c r="D710" s="19" t="n"/>
      <c r="E710" s="6" t="n"/>
      <c r="F710" s="20" t="n"/>
      <c r="G710" s="9">
        <f>IF($F710="","",IF($F710&gt;0,ROUND($F710,2),""))</f>
        <v/>
      </c>
      <c r="H710" s="12">
        <f>IF(OR($B710="",$C710="",$G710=""),"",COUNTIFS(Ventes_Encaissements!$E$6:$E$3005,$B710,Ventes_Encaissements!$J$6:$J$3005,$G710,Ventes_Encaissements!$C$6:$C$3005,"&gt;="&amp;($C710-3),Ventes_Encaissements!$C$6:$C$3005,"&lt;="&amp;($C710+3)))</f>
        <v/>
      </c>
      <c r="I710" s="12">
        <f>IF($H710="","",IF($H710=0,"Non trouvé",IF($H710=1,"Match","À vérifier")))</f>
        <v/>
      </c>
      <c r="J710" s="21">
        <f>IF($I710&lt;&gt;"Match","",INDEX(Ventes_Encaissements!$B$6:$B$3005,_xludf.AGGREGATE(15,6,(ROW(Ventes_Encaissements!$B$6:$B$3005)-ROW(Ventes_Encaissements!$B$6)+1)/((Ventes_Encaissements!$E$6:$E$3005=$B710)*(Ventes_Encaissements!$J$6:$J$3005=$G710)*(Ventes_Encaissements!$C$6:$C$3005&gt;=$C710-3)*(Ventes_Encaissements!$C$6:$C$3005&lt;=$C710+3)),1)))</f>
        <v/>
      </c>
      <c r="K710" s="6" t="n"/>
    </row>
    <row r="711">
      <c r="A711" s="6" t="n"/>
      <c r="B711" s="6" t="n"/>
      <c r="C711" s="19" t="n"/>
      <c r="D711" s="19" t="n"/>
      <c r="E711" s="6" t="n"/>
      <c r="F711" s="20" t="n"/>
      <c r="G711" s="9">
        <f>IF($F711="","",IF($F711&gt;0,ROUND($F711,2),""))</f>
        <v/>
      </c>
      <c r="H711" s="12">
        <f>IF(OR($B711="",$C711="",$G711=""),"",COUNTIFS(Ventes_Encaissements!$E$6:$E$3005,$B711,Ventes_Encaissements!$J$6:$J$3005,$G711,Ventes_Encaissements!$C$6:$C$3005,"&gt;="&amp;($C711-3),Ventes_Encaissements!$C$6:$C$3005,"&lt;="&amp;($C711+3)))</f>
        <v/>
      </c>
      <c r="I711" s="12">
        <f>IF($H711="","",IF($H711=0,"Non trouvé",IF($H711=1,"Match","À vérifier")))</f>
        <v/>
      </c>
      <c r="J711" s="21">
        <f>IF($I711&lt;&gt;"Match","",INDEX(Ventes_Encaissements!$B$6:$B$3005,_xludf.AGGREGATE(15,6,(ROW(Ventes_Encaissements!$B$6:$B$3005)-ROW(Ventes_Encaissements!$B$6)+1)/((Ventes_Encaissements!$E$6:$E$3005=$B711)*(Ventes_Encaissements!$J$6:$J$3005=$G711)*(Ventes_Encaissements!$C$6:$C$3005&gt;=$C711-3)*(Ventes_Encaissements!$C$6:$C$3005&lt;=$C711+3)),1)))</f>
        <v/>
      </c>
      <c r="K711" s="6" t="n"/>
    </row>
    <row r="712">
      <c r="A712" s="6" t="n"/>
      <c r="B712" s="6" t="n"/>
      <c r="C712" s="19" t="n"/>
      <c r="D712" s="19" t="n"/>
      <c r="E712" s="6" t="n"/>
      <c r="F712" s="20" t="n"/>
      <c r="G712" s="9">
        <f>IF($F712="","",IF($F712&gt;0,ROUND($F712,2),""))</f>
        <v/>
      </c>
      <c r="H712" s="12">
        <f>IF(OR($B712="",$C712="",$G712=""),"",COUNTIFS(Ventes_Encaissements!$E$6:$E$3005,$B712,Ventes_Encaissements!$J$6:$J$3005,$G712,Ventes_Encaissements!$C$6:$C$3005,"&gt;="&amp;($C712-3),Ventes_Encaissements!$C$6:$C$3005,"&lt;="&amp;($C712+3)))</f>
        <v/>
      </c>
      <c r="I712" s="12">
        <f>IF($H712="","",IF($H712=0,"Non trouvé",IF($H712=1,"Match","À vérifier")))</f>
        <v/>
      </c>
      <c r="J712" s="21">
        <f>IF($I712&lt;&gt;"Match","",INDEX(Ventes_Encaissements!$B$6:$B$3005,_xludf.AGGREGATE(15,6,(ROW(Ventes_Encaissements!$B$6:$B$3005)-ROW(Ventes_Encaissements!$B$6)+1)/((Ventes_Encaissements!$E$6:$E$3005=$B712)*(Ventes_Encaissements!$J$6:$J$3005=$G712)*(Ventes_Encaissements!$C$6:$C$3005&gt;=$C712-3)*(Ventes_Encaissements!$C$6:$C$3005&lt;=$C712+3)),1)))</f>
        <v/>
      </c>
      <c r="K712" s="6" t="n"/>
    </row>
    <row r="713">
      <c r="A713" s="6" t="n"/>
      <c r="B713" s="6" t="n"/>
      <c r="C713" s="19" t="n"/>
      <c r="D713" s="19" t="n"/>
      <c r="E713" s="6" t="n"/>
      <c r="F713" s="20" t="n"/>
      <c r="G713" s="9">
        <f>IF($F713="","",IF($F713&gt;0,ROUND($F713,2),""))</f>
        <v/>
      </c>
      <c r="H713" s="12">
        <f>IF(OR($B713="",$C713="",$G713=""),"",COUNTIFS(Ventes_Encaissements!$E$6:$E$3005,$B713,Ventes_Encaissements!$J$6:$J$3005,$G713,Ventes_Encaissements!$C$6:$C$3005,"&gt;="&amp;($C713-3),Ventes_Encaissements!$C$6:$C$3005,"&lt;="&amp;($C713+3)))</f>
        <v/>
      </c>
      <c r="I713" s="12">
        <f>IF($H713="","",IF($H713=0,"Non trouvé",IF($H713=1,"Match","À vérifier")))</f>
        <v/>
      </c>
      <c r="J713" s="21">
        <f>IF($I713&lt;&gt;"Match","",INDEX(Ventes_Encaissements!$B$6:$B$3005,_xludf.AGGREGATE(15,6,(ROW(Ventes_Encaissements!$B$6:$B$3005)-ROW(Ventes_Encaissements!$B$6)+1)/((Ventes_Encaissements!$E$6:$E$3005=$B713)*(Ventes_Encaissements!$J$6:$J$3005=$G713)*(Ventes_Encaissements!$C$6:$C$3005&gt;=$C713-3)*(Ventes_Encaissements!$C$6:$C$3005&lt;=$C713+3)),1)))</f>
        <v/>
      </c>
      <c r="K713" s="6" t="n"/>
    </row>
    <row r="714">
      <c r="A714" s="6" t="n"/>
      <c r="B714" s="6" t="n"/>
      <c r="C714" s="19" t="n"/>
      <c r="D714" s="19" t="n"/>
      <c r="E714" s="6" t="n"/>
      <c r="F714" s="20" t="n"/>
      <c r="G714" s="9">
        <f>IF($F714="","",IF($F714&gt;0,ROUND($F714,2),""))</f>
        <v/>
      </c>
      <c r="H714" s="12">
        <f>IF(OR($B714="",$C714="",$G714=""),"",COUNTIFS(Ventes_Encaissements!$E$6:$E$3005,$B714,Ventes_Encaissements!$J$6:$J$3005,$G714,Ventes_Encaissements!$C$6:$C$3005,"&gt;="&amp;($C714-3),Ventes_Encaissements!$C$6:$C$3005,"&lt;="&amp;($C714+3)))</f>
        <v/>
      </c>
      <c r="I714" s="12">
        <f>IF($H714="","",IF($H714=0,"Non trouvé",IF($H714=1,"Match","À vérifier")))</f>
        <v/>
      </c>
      <c r="J714" s="21">
        <f>IF($I714&lt;&gt;"Match","",INDEX(Ventes_Encaissements!$B$6:$B$3005,_xludf.AGGREGATE(15,6,(ROW(Ventes_Encaissements!$B$6:$B$3005)-ROW(Ventes_Encaissements!$B$6)+1)/((Ventes_Encaissements!$E$6:$E$3005=$B714)*(Ventes_Encaissements!$J$6:$J$3005=$G714)*(Ventes_Encaissements!$C$6:$C$3005&gt;=$C714-3)*(Ventes_Encaissements!$C$6:$C$3005&lt;=$C714+3)),1)))</f>
        <v/>
      </c>
      <c r="K714" s="6" t="n"/>
    </row>
    <row r="715">
      <c r="A715" s="6" t="n"/>
      <c r="B715" s="6" t="n"/>
      <c r="C715" s="19" t="n"/>
      <c r="D715" s="19" t="n"/>
      <c r="E715" s="6" t="n"/>
      <c r="F715" s="20" t="n"/>
      <c r="G715" s="9">
        <f>IF($F715="","",IF($F715&gt;0,ROUND($F715,2),""))</f>
        <v/>
      </c>
      <c r="H715" s="12">
        <f>IF(OR($B715="",$C715="",$G715=""),"",COUNTIFS(Ventes_Encaissements!$E$6:$E$3005,$B715,Ventes_Encaissements!$J$6:$J$3005,$G715,Ventes_Encaissements!$C$6:$C$3005,"&gt;="&amp;($C715-3),Ventes_Encaissements!$C$6:$C$3005,"&lt;="&amp;($C715+3)))</f>
        <v/>
      </c>
      <c r="I715" s="12">
        <f>IF($H715="","",IF($H715=0,"Non trouvé",IF($H715=1,"Match","À vérifier")))</f>
        <v/>
      </c>
      <c r="J715" s="21">
        <f>IF($I715&lt;&gt;"Match","",INDEX(Ventes_Encaissements!$B$6:$B$3005,_xludf.AGGREGATE(15,6,(ROW(Ventes_Encaissements!$B$6:$B$3005)-ROW(Ventes_Encaissements!$B$6)+1)/((Ventes_Encaissements!$E$6:$E$3005=$B715)*(Ventes_Encaissements!$J$6:$J$3005=$G715)*(Ventes_Encaissements!$C$6:$C$3005&gt;=$C715-3)*(Ventes_Encaissements!$C$6:$C$3005&lt;=$C715+3)),1)))</f>
        <v/>
      </c>
      <c r="K715" s="6" t="n"/>
    </row>
    <row r="716">
      <c r="A716" s="6" t="n"/>
      <c r="B716" s="6" t="n"/>
      <c r="C716" s="19" t="n"/>
      <c r="D716" s="19" t="n"/>
      <c r="E716" s="6" t="n"/>
      <c r="F716" s="20" t="n"/>
      <c r="G716" s="9">
        <f>IF($F716="","",IF($F716&gt;0,ROUND($F716,2),""))</f>
        <v/>
      </c>
      <c r="H716" s="12">
        <f>IF(OR($B716="",$C716="",$G716=""),"",COUNTIFS(Ventes_Encaissements!$E$6:$E$3005,$B716,Ventes_Encaissements!$J$6:$J$3005,$G716,Ventes_Encaissements!$C$6:$C$3005,"&gt;="&amp;($C716-3),Ventes_Encaissements!$C$6:$C$3005,"&lt;="&amp;($C716+3)))</f>
        <v/>
      </c>
      <c r="I716" s="12">
        <f>IF($H716="","",IF($H716=0,"Non trouvé",IF($H716=1,"Match","À vérifier")))</f>
        <v/>
      </c>
      <c r="J716" s="21">
        <f>IF($I716&lt;&gt;"Match","",INDEX(Ventes_Encaissements!$B$6:$B$3005,_xludf.AGGREGATE(15,6,(ROW(Ventes_Encaissements!$B$6:$B$3005)-ROW(Ventes_Encaissements!$B$6)+1)/((Ventes_Encaissements!$E$6:$E$3005=$B716)*(Ventes_Encaissements!$J$6:$J$3005=$G716)*(Ventes_Encaissements!$C$6:$C$3005&gt;=$C716-3)*(Ventes_Encaissements!$C$6:$C$3005&lt;=$C716+3)),1)))</f>
        <v/>
      </c>
      <c r="K716" s="6" t="n"/>
    </row>
    <row r="717">
      <c r="A717" s="6" t="n"/>
      <c r="B717" s="6" t="n"/>
      <c r="C717" s="19" t="n"/>
      <c r="D717" s="19" t="n"/>
      <c r="E717" s="6" t="n"/>
      <c r="F717" s="20" t="n"/>
      <c r="G717" s="9">
        <f>IF($F717="","",IF($F717&gt;0,ROUND($F717,2),""))</f>
        <v/>
      </c>
      <c r="H717" s="12">
        <f>IF(OR($B717="",$C717="",$G717=""),"",COUNTIFS(Ventes_Encaissements!$E$6:$E$3005,$B717,Ventes_Encaissements!$J$6:$J$3005,$G717,Ventes_Encaissements!$C$6:$C$3005,"&gt;="&amp;($C717-3),Ventes_Encaissements!$C$6:$C$3005,"&lt;="&amp;($C717+3)))</f>
        <v/>
      </c>
      <c r="I717" s="12">
        <f>IF($H717="","",IF($H717=0,"Non trouvé",IF($H717=1,"Match","À vérifier")))</f>
        <v/>
      </c>
      <c r="J717" s="21">
        <f>IF($I717&lt;&gt;"Match","",INDEX(Ventes_Encaissements!$B$6:$B$3005,_xludf.AGGREGATE(15,6,(ROW(Ventes_Encaissements!$B$6:$B$3005)-ROW(Ventes_Encaissements!$B$6)+1)/((Ventes_Encaissements!$E$6:$E$3005=$B717)*(Ventes_Encaissements!$J$6:$J$3005=$G717)*(Ventes_Encaissements!$C$6:$C$3005&gt;=$C717-3)*(Ventes_Encaissements!$C$6:$C$3005&lt;=$C717+3)),1)))</f>
        <v/>
      </c>
      <c r="K717" s="6" t="n"/>
    </row>
    <row r="718">
      <c r="A718" s="6" t="n"/>
      <c r="B718" s="6" t="n"/>
      <c r="C718" s="19" t="n"/>
      <c r="D718" s="19" t="n"/>
      <c r="E718" s="6" t="n"/>
      <c r="F718" s="20" t="n"/>
      <c r="G718" s="9">
        <f>IF($F718="","",IF($F718&gt;0,ROUND($F718,2),""))</f>
        <v/>
      </c>
      <c r="H718" s="12">
        <f>IF(OR($B718="",$C718="",$G718=""),"",COUNTIFS(Ventes_Encaissements!$E$6:$E$3005,$B718,Ventes_Encaissements!$J$6:$J$3005,$G718,Ventes_Encaissements!$C$6:$C$3005,"&gt;="&amp;($C718-3),Ventes_Encaissements!$C$6:$C$3005,"&lt;="&amp;($C718+3)))</f>
        <v/>
      </c>
      <c r="I718" s="12">
        <f>IF($H718="","",IF($H718=0,"Non trouvé",IF($H718=1,"Match","À vérifier")))</f>
        <v/>
      </c>
      <c r="J718" s="21">
        <f>IF($I718&lt;&gt;"Match","",INDEX(Ventes_Encaissements!$B$6:$B$3005,_xludf.AGGREGATE(15,6,(ROW(Ventes_Encaissements!$B$6:$B$3005)-ROW(Ventes_Encaissements!$B$6)+1)/((Ventes_Encaissements!$E$6:$E$3005=$B718)*(Ventes_Encaissements!$J$6:$J$3005=$G718)*(Ventes_Encaissements!$C$6:$C$3005&gt;=$C718-3)*(Ventes_Encaissements!$C$6:$C$3005&lt;=$C718+3)),1)))</f>
        <v/>
      </c>
      <c r="K718" s="6" t="n"/>
    </row>
    <row r="719">
      <c r="A719" s="6" t="n"/>
      <c r="B719" s="6" t="n"/>
      <c r="C719" s="19" t="n"/>
      <c r="D719" s="19" t="n"/>
      <c r="E719" s="6" t="n"/>
      <c r="F719" s="20" t="n"/>
      <c r="G719" s="9">
        <f>IF($F719="","",IF($F719&gt;0,ROUND($F719,2),""))</f>
        <v/>
      </c>
      <c r="H719" s="12">
        <f>IF(OR($B719="",$C719="",$G719=""),"",COUNTIFS(Ventes_Encaissements!$E$6:$E$3005,$B719,Ventes_Encaissements!$J$6:$J$3005,$G719,Ventes_Encaissements!$C$6:$C$3005,"&gt;="&amp;($C719-3),Ventes_Encaissements!$C$6:$C$3005,"&lt;="&amp;($C719+3)))</f>
        <v/>
      </c>
      <c r="I719" s="12">
        <f>IF($H719="","",IF($H719=0,"Non trouvé",IF($H719=1,"Match","À vérifier")))</f>
        <v/>
      </c>
      <c r="J719" s="21">
        <f>IF($I719&lt;&gt;"Match","",INDEX(Ventes_Encaissements!$B$6:$B$3005,_xludf.AGGREGATE(15,6,(ROW(Ventes_Encaissements!$B$6:$B$3005)-ROW(Ventes_Encaissements!$B$6)+1)/((Ventes_Encaissements!$E$6:$E$3005=$B719)*(Ventes_Encaissements!$J$6:$J$3005=$G719)*(Ventes_Encaissements!$C$6:$C$3005&gt;=$C719-3)*(Ventes_Encaissements!$C$6:$C$3005&lt;=$C719+3)),1)))</f>
        <v/>
      </c>
      <c r="K719" s="6" t="n"/>
    </row>
    <row r="720">
      <c r="A720" s="6" t="n"/>
      <c r="B720" s="6" t="n"/>
      <c r="C720" s="19" t="n"/>
      <c r="D720" s="19" t="n"/>
      <c r="E720" s="6" t="n"/>
      <c r="F720" s="20" t="n"/>
      <c r="G720" s="9">
        <f>IF($F720="","",IF($F720&gt;0,ROUND($F720,2),""))</f>
        <v/>
      </c>
      <c r="H720" s="12">
        <f>IF(OR($B720="",$C720="",$G720=""),"",COUNTIFS(Ventes_Encaissements!$E$6:$E$3005,$B720,Ventes_Encaissements!$J$6:$J$3005,$G720,Ventes_Encaissements!$C$6:$C$3005,"&gt;="&amp;($C720-3),Ventes_Encaissements!$C$6:$C$3005,"&lt;="&amp;($C720+3)))</f>
        <v/>
      </c>
      <c r="I720" s="12">
        <f>IF($H720="","",IF($H720=0,"Non trouvé",IF($H720=1,"Match","À vérifier")))</f>
        <v/>
      </c>
      <c r="J720" s="21">
        <f>IF($I720&lt;&gt;"Match","",INDEX(Ventes_Encaissements!$B$6:$B$3005,_xludf.AGGREGATE(15,6,(ROW(Ventes_Encaissements!$B$6:$B$3005)-ROW(Ventes_Encaissements!$B$6)+1)/((Ventes_Encaissements!$E$6:$E$3005=$B720)*(Ventes_Encaissements!$J$6:$J$3005=$G720)*(Ventes_Encaissements!$C$6:$C$3005&gt;=$C720-3)*(Ventes_Encaissements!$C$6:$C$3005&lt;=$C720+3)),1)))</f>
        <v/>
      </c>
      <c r="K720" s="6" t="n"/>
    </row>
    <row r="721">
      <c r="A721" s="6" t="n"/>
      <c r="B721" s="6" t="n"/>
      <c r="C721" s="19" t="n"/>
      <c r="D721" s="19" t="n"/>
      <c r="E721" s="6" t="n"/>
      <c r="F721" s="20" t="n"/>
      <c r="G721" s="9">
        <f>IF($F721="","",IF($F721&gt;0,ROUND($F721,2),""))</f>
        <v/>
      </c>
      <c r="H721" s="12">
        <f>IF(OR($B721="",$C721="",$G721=""),"",COUNTIFS(Ventes_Encaissements!$E$6:$E$3005,$B721,Ventes_Encaissements!$J$6:$J$3005,$G721,Ventes_Encaissements!$C$6:$C$3005,"&gt;="&amp;($C721-3),Ventes_Encaissements!$C$6:$C$3005,"&lt;="&amp;($C721+3)))</f>
        <v/>
      </c>
      <c r="I721" s="12">
        <f>IF($H721="","",IF($H721=0,"Non trouvé",IF($H721=1,"Match","À vérifier")))</f>
        <v/>
      </c>
      <c r="J721" s="21">
        <f>IF($I721&lt;&gt;"Match","",INDEX(Ventes_Encaissements!$B$6:$B$3005,_xludf.AGGREGATE(15,6,(ROW(Ventes_Encaissements!$B$6:$B$3005)-ROW(Ventes_Encaissements!$B$6)+1)/((Ventes_Encaissements!$E$6:$E$3005=$B721)*(Ventes_Encaissements!$J$6:$J$3005=$G721)*(Ventes_Encaissements!$C$6:$C$3005&gt;=$C721-3)*(Ventes_Encaissements!$C$6:$C$3005&lt;=$C721+3)),1)))</f>
        <v/>
      </c>
      <c r="K721" s="6" t="n"/>
    </row>
    <row r="722">
      <c r="A722" s="6" t="n"/>
      <c r="B722" s="6" t="n"/>
      <c r="C722" s="19" t="n"/>
      <c r="D722" s="19" t="n"/>
      <c r="E722" s="6" t="n"/>
      <c r="F722" s="20" t="n"/>
      <c r="G722" s="9">
        <f>IF($F722="","",IF($F722&gt;0,ROUND($F722,2),""))</f>
        <v/>
      </c>
      <c r="H722" s="12">
        <f>IF(OR($B722="",$C722="",$G722=""),"",COUNTIFS(Ventes_Encaissements!$E$6:$E$3005,$B722,Ventes_Encaissements!$J$6:$J$3005,$G722,Ventes_Encaissements!$C$6:$C$3005,"&gt;="&amp;($C722-3),Ventes_Encaissements!$C$6:$C$3005,"&lt;="&amp;($C722+3)))</f>
        <v/>
      </c>
      <c r="I722" s="12">
        <f>IF($H722="","",IF($H722=0,"Non trouvé",IF($H722=1,"Match","À vérifier")))</f>
        <v/>
      </c>
      <c r="J722" s="21">
        <f>IF($I722&lt;&gt;"Match","",INDEX(Ventes_Encaissements!$B$6:$B$3005,_xludf.AGGREGATE(15,6,(ROW(Ventes_Encaissements!$B$6:$B$3005)-ROW(Ventes_Encaissements!$B$6)+1)/((Ventes_Encaissements!$E$6:$E$3005=$B722)*(Ventes_Encaissements!$J$6:$J$3005=$G722)*(Ventes_Encaissements!$C$6:$C$3005&gt;=$C722-3)*(Ventes_Encaissements!$C$6:$C$3005&lt;=$C722+3)),1)))</f>
        <v/>
      </c>
      <c r="K722" s="6" t="n"/>
    </row>
    <row r="723">
      <c r="A723" s="6" t="n"/>
      <c r="B723" s="6" t="n"/>
      <c r="C723" s="19" t="n"/>
      <c r="D723" s="19" t="n"/>
      <c r="E723" s="6" t="n"/>
      <c r="F723" s="20" t="n"/>
      <c r="G723" s="9">
        <f>IF($F723="","",IF($F723&gt;0,ROUND($F723,2),""))</f>
        <v/>
      </c>
      <c r="H723" s="12">
        <f>IF(OR($B723="",$C723="",$G723=""),"",COUNTIFS(Ventes_Encaissements!$E$6:$E$3005,$B723,Ventes_Encaissements!$J$6:$J$3005,$G723,Ventes_Encaissements!$C$6:$C$3005,"&gt;="&amp;($C723-3),Ventes_Encaissements!$C$6:$C$3005,"&lt;="&amp;($C723+3)))</f>
        <v/>
      </c>
      <c r="I723" s="12">
        <f>IF($H723="","",IF($H723=0,"Non trouvé",IF($H723=1,"Match","À vérifier")))</f>
        <v/>
      </c>
      <c r="J723" s="21">
        <f>IF($I723&lt;&gt;"Match","",INDEX(Ventes_Encaissements!$B$6:$B$3005,_xludf.AGGREGATE(15,6,(ROW(Ventes_Encaissements!$B$6:$B$3005)-ROW(Ventes_Encaissements!$B$6)+1)/((Ventes_Encaissements!$E$6:$E$3005=$B723)*(Ventes_Encaissements!$J$6:$J$3005=$G723)*(Ventes_Encaissements!$C$6:$C$3005&gt;=$C723-3)*(Ventes_Encaissements!$C$6:$C$3005&lt;=$C723+3)),1)))</f>
        <v/>
      </c>
      <c r="K723" s="6" t="n"/>
    </row>
    <row r="724">
      <c r="A724" s="6" t="n"/>
      <c r="B724" s="6" t="n"/>
      <c r="C724" s="19" t="n"/>
      <c r="D724" s="19" t="n"/>
      <c r="E724" s="6" t="n"/>
      <c r="F724" s="20" t="n"/>
      <c r="G724" s="9">
        <f>IF($F724="","",IF($F724&gt;0,ROUND($F724,2),""))</f>
        <v/>
      </c>
      <c r="H724" s="12">
        <f>IF(OR($B724="",$C724="",$G724=""),"",COUNTIFS(Ventes_Encaissements!$E$6:$E$3005,$B724,Ventes_Encaissements!$J$6:$J$3005,$G724,Ventes_Encaissements!$C$6:$C$3005,"&gt;="&amp;($C724-3),Ventes_Encaissements!$C$6:$C$3005,"&lt;="&amp;($C724+3)))</f>
        <v/>
      </c>
      <c r="I724" s="12">
        <f>IF($H724="","",IF($H724=0,"Non trouvé",IF($H724=1,"Match","À vérifier")))</f>
        <v/>
      </c>
      <c r="J724" s="21">
        <f>IF($I724&lt;&gt;"Match","",INDEX(Ventes_Encaissements!$B$6:$B$3005,_xludf.AGGREGATE(15,6,(ROW(Ventes_Encaissements!$B$6:$B$3005)-ROW(Ventes_Encaissements!$B$6)+1)/((Ventes_Encaissements!$E$6:$E$3005=$B724)*(Ventes_Encaissements!$J$6:$J$3005=$G724)*(Ventes_Encaissements!$C$6:$C$3005&gt;=$C724-3)*(Ventes_Encaissements!$C$6:$C$3005&lt;=$C724+3)),1)))</f>
        <v/>
      </c>
      <c r="K724" s="6" t="n"/>
    </row>
    <row r="725">
      <c r="A725" s="6" t="n"/>
      <c r="B725" s="6" t="n"/>
      <c r="C725" s="19" t="n"/>
      <c r="D725" s="19" t="n"/>
      <c r="E725" s="6" t="n"/>
      <c r="F725" s="20" t="n"/>
      <c r="G725" s="9">
        <f>IF($F725="","",IF($F725&gt;0,ROUND($F725,2),""))</f>
        <v/>
      </c>
      <c r="H725" s="12">
        <f>IF(OR($B725="",$C725="",$G725=""),"",COUNTIFS(Ventes_Encaissements!$E$6:$E$3005,$B725,Ventes_Encaissements!$J$6:$J$3005,$G725,Ventes_Encaissements!$C$6:$C$3005,"&gt;="&amp;($C725-3),Ventes_Encaissements!$C$6:$C$3005,"&lt;="&amp;($C725+3)))</f>
        <v/>
      </c>
      <c r="I725" s="12">
        <f>IF($H725="","",IF($H725=0,"Non trouvé",IF($H725=1,"Match","À vérifier")))</f>
        <v/>
      </c>
      <c r="J725" s="21">
        <f>IF($I725&lt;&gt;"Match","",INDEX(Ventes_Encaissements!$B$6:$B$3005,_xludf.AGGREGATE(15,6,(ROW(Ventes_Encaissements!$B$6:$B$3005)-ROW(Ventes_Encaissements!$B$6)+1)/((Ventes_Encaissements!$E$6:$E$3005=$B725)*(Ventes_Encaissements!$J$6:$J$3005=$G725)*(Ventes_Encaissements!$C$6:$C$3005&gt;=$C725-3)*(Ventes_Encaissements!$C$6:$C$3005&lt;=$C725+3)),1)))</f>
        <v/>
      </c>
      <c r="K725" s="6" t="n"/>
    </row>
    <row r="726">
      <c r="A726" s="6" t="n"/>
      <c r="B726" s="6" t="n"/>
      <c r="C726" s="19" t="n"/>
      <c r="D726" s="19" t="n"/>
      <c r="E726" s="6" t="n"/>
      <c r="F726" s="20" t="n"/>
      <c r="G726" s="9">
        <f>IF($F726="","",IF($F726&gt;0,ROUND($F726,2),""))</f>
        <v/>
      </c>
      <c r="H726" s="12">
        <f>IF(OR($B726="",$C726="",$G726=""),"",COUNTIFS(Ventes_Encaissements!$E$6:$E$3005,$B726,Ventes_Encaissements!$J$6:$J$3005,$G726,Ventes_Encaissements!$C$6:$C$3005,"&gt;="&amp;($C726-3),Ventes_Encaissements!$C$6:$C$3005,"&lt;="&amp;($C726+3)))</f>
        <v/>
      </c>
      <c r="I726" s="12">
        <f>IF($H726="","",IF($H726=0,"Non trouvé",IF($H726=1,"Match","À vérifier")))</f>
        <v/>
      </c>
      <c r="J726" s="21">
        <f>IF($I726&lt;&gt;"Match","",INDEX(Ventes_Encaissements!$B$6:$B$3005,_xludf.AGGREGATE(15,6,(ROW(Ventes_Encaissements!$B$6:$B$3005)-ROW(Ventes_Encaissements!$B$6)+1)/((Ventes_Encaissements!$E$6:$E$3005=$B726)*(Ventes_Encaissements!$J$6:$J$3005=$G726)*(Ventes_Encaissements!$C$6:$C$3005&gt;=$C726-3)*(Ventes_Encaissements!$C$6:$C$3005&lt;=$C726+3)),1)))</f>
        <v/>
      </c>
      <c r="K726" s="6" t="n"/>
    </row>
    <row r="727">
      <c r="A727" s="6" t="n"/>
      <c r="B727" s="6" t="n"/>
      <c r="C727" s="19" t="n"/>
      <c r="D727" s="19" t="n"/>
      <c r="E727" s="6" t="n"/>
      <c r="F727" s="20" t="n"/>
      <c r="G727" s="9">
        <f>IF($F727="","",IF($F727&gt;0,ROUND($F727,2),""))</f>
        <v/>
      </c>
      <c r="H727" s="12">
        <f>IF(OR($B727="",$C727="",$G727=""),"",COUNTIFS(Ventes_Encaissements!$E$6:$E$3005,$B727,Ventes_Encaissements!$J$6:$J$3005,$G727,Ventes_Encaissements!$C$6:$C$3005,"&gt;="&amp;($C727-3),Ventes_Encaissements!$C$6:$C$3005,"&lt;="&amp;($C727+3)))</f>
        <v/>
      </c>
      <c r="I727" s="12">
        <f>IF($H727="","",IF($H727=0,"Non trouvé",IF($H727=1,"Match","À vérifier")))</f>
        <v/>
      </c>
      <c r="J727" s="21">
        <f>IF($I727&lt;&gt;"Match","",INDEX(Ventes_Encaissements!$B$6:$B$3005,_xludf.AGGREGATE(15,6,(ROW(Ventes_Encaissements!$B$6:$B$3005)-ROW(Ventes_Encaissements!$B$6)+1)/((Ventes_Encaissements!$E$6:$E$3005=$B727)*(Ventes_Encaissements!$J$6:$J$3005=$G727)*(Ventes_Encaissements!$C$6:$C$3005&gt;=$C727-3)*(Ventes_Encaissements!$C$6:$C$3005&lt;=$C727+3)),1)))</f>
        <v/>
      </c>
      <c r="K727" s="6" t="n"/>
    </row>
    <row r="728">
      <c r="A728" s="6" t="n"/>
      <c r="B728" s="6" t="n"/>
      <c r="C728" s="19" t="n"/>
      <c r="D728" s="19" t="n"/>
      <c r="E728" s="6" t="n"/>
      <c r="F728" s="20" t="n"/>
      <c r="G728" s="9">
        <f>IF($F728="","",IF($F728&gt;0,ROUND($F728,2),""))</f>
        <v/>
      </c>
      <c r="H728" s="12">
        <f>IF(OR($B728="",$C728="",$G728=""),"",COUNTIFS(Ventes_Encaissements!$E$6:$E$3005,$B728,Ventes_Encaissements!$J$6:$J$3005,$G728,Ventes_Encaissements!$C$6:$C$3005,"&gt;="&amp;($C728-3),Ventes_Encaissements!$C$6:$C$3005,"&lt;="&amp;($C728+3)))</f>
        <v/>
      </c>
      <c r="I728" s="12">
        <f>IF($H728="","",IF($H728=0,"Non trouvé",IF($H728=1,"Match","À vérifier")))</f>
        <v/>
      </c>
      <c r="J728" s="21">
        <f>IF($I728&lt;&gt;"Match","",INDEX(Ventes_Encaissements!$B$6:$B$3005,_xludf.AGGREGATE(15,6,(ROW(Ventes_Encaissements!$B$6:$B$3005)-ROW(Ventes_Encaissements!$B$6)+1)/((Ventes_Encaissements!$E$6:$E$3005=$B728)*(Ventes_Encaissements!$J$6:$J$3005=$G728)*(Ventes_Encaissements!$C$6:$C$3005&gt;=$C728-3)*(Ventes_Encaissements!$C$6:$C$3005&lt;=$C728+3)),1)))</f>
        <v/>
      </c>
      <c r="K728" s="6" t="n"/>
    </row>
    <row r="729">
      <c r="A729" s="6" t="n"/>
      <c r="B729" s="6" t="n"/>
      <c r="C729" s="19" t="n"/>
      <c r="D729" s="19" t="n"/>
      <c r="E729" s="6" t="n"/>
      <c r="F729" s="20" t="n"/>
      <c r="G729" s="9">
        <f>IF($F729="","",IF($F729&gt;0,ROUND($F729,2),""))</f>
        <v/>
      </c>
      <c r="H729" s="12">
        <f>IF(OR($B729="",$C729="",$G729=""),"",COUNTIFS(Ventes_Encaissements!$E$6:$E$3005,$B729,Ventes_Encaissements!$J$6:$J$3005,$G729,Ventes_Encaissements!$C$6:$C$3005,"&gt;="&amp;($C729-3),Ventes_Encaissements!$C$6:$C$3005,"&lt;="&amp;($C729+3)))</f>
        <v/>
      </c>
      <c r="I729" s="12">
        <f>IF($H729="","",IF($H729=0,"Non trouvé",IF($H729=1,"Match","À vérifier")))</f>
        <v/>
      </c>
      <c r="J729" s="21">
        <f>IF($I729&lt;&gt;"Match","",INDEX(Ventes_Encaissements!$B$6:$B$3005,_xludf.AGGREGATE(15,6,(ROW(Ventes_Encaissements!$B$6:$B$3005)-ROW(Ventes_Encaissements!$B$6)+1)/((Ventes_Encaissements!$E$6:$E$3005=$B729)*(Ventes_Encaissements!$J$6:$J$3005=$G729)*(Ventes_Encaissements!$C$6:$C$3005&gt;=$C729-3)*(Ventes_Encaissements!$C$6:$C$3005&lt;=$C729+3)),1)))</f>
        <v/>
      </c>
      <c r="K729" s="6" t="n"/>
    </row>
    <row r="730">
      <c r="A730" s="6" t="n"/>
      <c r="B730" s="6" t="n"/>
      <c r="C730" s="19" t="n"/>
      <c r="D730" s="19" t="n"/>
      <c r="E730" s="6" t="n"/>
      <c r="F730" s="20" t="n"/>
      <c r="G730" s="9">
        <f>IF($F730="","",IF($F730&gt;0,ROUND($F730,2),""))</f>
        <v/>
      </c>
      <c r="H730" s="12">
        <f>IF(OR($B730="",$C730="",$G730=""),"",COUNTIFS(Ventes_Encaissements!$E$6:$E$3005,$B730,Ventes_Encaissements!$J$6:$J$3005,$G730,Ventes_Encaissements!$C$6:$C$3005,"&gt;="&amp;($C730-3),Ventes_Encaissements!$C$6:$C$3005,"&lt;="&amp;($C730+3)))</f>
        <v/>
      </c>
      <c r="I730" s="12">
        <f>IF($H730="","",IF($H730=0,"Non trouvé",IF($H730=1,"Match","À vérifier")))</f>
        <v/>
      </c>
      <c r="J730" s="21">
        <f>IF($I730&lt;&gt;"Match","",INDEX(Ventes_Encaissements!$B$6:$B$3005,_xludf.AGGREGATE(15,6,(ROW(Ventes_Encaissements!$B$6:$B$3005)-ROW(Ventes_Encaissements!$B$6)+1)/((Ventes_Encaissements!$E$6:$E$3005=$B730)*(Ventes_Encaissements!$J$6:$J$3005=$G730)*(Ventes_Encaissements!$C$6:$C$3005&gt;=$C730-3)*(Ventes_Encaissements!$C$6:$C$3005&lt;=$C730+3)),1)))</f>
        <v/>
      </c>
      <c r="K730" s="6" t="n"/>
    </row>
    <row r="731">
      <c r="A731" s="6" t="n"/>
      <c r="B731" s="6" t="n"/>
      <c r="C731" s="19" t="n"/>
      <c r="D731" s="19" t="n"/>
      <c r="E731" s="6" t="n"/>
      <c r="F731" s="20" t="n"/>
      <c r="G731" s="9">
        <f>IF($F731="","",IF($F731&gt;0,ROUND($F731,2),""))</f>
        <v/>
      </c>
      <c r="H731" s="12">
        <f>IF(OR($B731="",$C731="",$G731=""),"",COUNTIFS(Ventes_Encaissements!$E$6:$E$3005,$B731,Ventes_Encaissements!$J$6:$J$3005,$G731,Ventes_Encaissements!$C$6:$C$3005,"&gt;="&amp;($C731-3),Ventes_Encaissements!$C$6:$C$3005,"&lt;="&amp;($C731+3)))</f>
        <v/>
      </c>
      <c r="I731" s="12">
        <f>IF($H731="","",IF($H731=0,"Non trouvé",IF($H731=1,"Match","À vérifier")))</f>
        <v/>
      </c>
      <c r="J731" s="21">
        <f>IF($I731&lt;&gt;"Match","",INDEX(Ventes_Encaissements!$B$6:$B$3005,_xludf.AGGREGATE(15,6,(ROW(Ventes_Encaissements!$B$6:$B$3005)-ROW(Ventes_Encaissements!$B$6)+1)/((Ventes_Encaissements!$E$6:$E$3005=$B731)*(Ventes_Encaissements!$J$6:$J$3005=$G731)*(Ventes_Encaissements!$C$6:$C$3005&gt;=$C731-3)*(Ventes_Encaissements!$C$6:$C$3005&lt;=$C731+3)),1)))</f>
        <v/>
      </c>
      <c r="K731" s="6" t="n"/>
    </row>
    <row r="732">
      <c r="A732" s="6" t="n"/>
      <c r="B732" s="6" t="n"/>
      <c r="C732" s="19" t="n"/>
      <c r="D732" s="19" t="n"/>
      <c r="E732" s="6" t="n"/>
      <c r="F732" s="20" t="n"/>
      <c r="G732" s="9">
        <f>IF($F732="","",IF($F732&gt;0,ROUND($F732,2),""))</f>
        <v/>
      </c>
      <c r="H732" s="12">
        <f>IF(OR($B732="",$C732="",$G732=""),"",COUNTIFS(Ventes_Encaissements!$E$6:$E$3005,$B732,Ventes_Encaissements!$J$6:$J$3005,$G732,Ventes_Encaissements!$C$6:$C$3005,"&gt;="&amp;($C732-3),Ventes_Encaissements!$C$6:$C$3005,"&lt;="&amp;($C732+3)))</f>
        <v/>
      </c>
      <c r="I732" s="12">
        <f>IF($H732="","",IF($H732=0,"Non trouvé",IF($H732=1,"Match","À vérifier")))</f>
        <v/>
      </c>
      <c r="J732" s="21">
        <f>IF($I732&lt;&gt;"Match","",INDEX(Ventes_Encaissements!$B$6:$B$3005,_xludf.AGGREGATE(15,6,(ROW(Ventes_Encaissements!$B$6:$B$3005)-ROW(Ventes_Encaissements!$B$6)+1)/((Ventes_Encaissements!$E$6:$E$3005=$B732)*(Ventes_Encaissements!$J$6:$J$3005=$G732)*(Ventes_Encaissements!$C$6:$C$3005&gt;=$C732-3)*(Ventes_Encaissements!$C$6:$C$3005&lt;=$C732+3)),1)))</f>
        <v/>
      </c>
      <c r="K732" s="6" t="n"/>
    </row>
    <row r="733">
      <c r="A733" s="6" t="n"/>
      <c r="B733" s="6" t="n"/>
      <c r="C733" s="19" t="n"/>
      <c r="D733" s="19" t="n"/>
      <c r="E733" s="6" t="n"/>
      <c r="F733" s="20" t="n"/>
      <c r="G733" s="9">
        <f>IF($F733="","",IF($F733&gt;0,ROUND($F733,2),""))</f>
        <v/>
      </c>
      <c r="H733" s="12">
        <f>IF(OR($B733="",$C733="",$G733=""),"",COUNTIFS(Ventes_Encaissements!$E$6:$E$3005,$B733,Ventes_Encaissements!$J$6:$J$3005,$G733,Ventes_Encaissements!$C$6:$C$3005,"&gt;="&amp;($C733-3),Ventes_Encaissements!$C$6:$C$3005,"&lt;="&amp;($C733+3)))</f>
        <v/>
      </c>
      <c r="I733" s="12">
        <f>IF($H733="","",IF($H733=0,"Non trouvé",IF($H733=1,"Match","À vérifier")))</f>
        <v/>
      </c>
      <c r="J733" s="21">
        <f>IF($I733&lt;&gt;"Match","",INDEX(Ventes_Encaissements!$B$6:$B$3005,_xludf.AGGREGATE(15,6,(ROW(Ventes_Encaissements!$B$6:$B$3005)-ROW(Ventes_Encaissements!$B$6)+1)/((Ventes_Encaissements!$E$6:$E$3005=$B733)*(Ventes_Encaissements!$J$6:$J$3005=$G733)*(Ventes_Encaissements!$C$6:$C$3005&gt;=$C733-3)*(Ventes_Encaissements!$C$6:$C$3005&lt;=$C733+3)),1)))</f>
        <v/>
      </c>
      <c r="K733" s="6" t="n"/>
    </row>
    <row r="734">
      <c r="A734" s="6" t="n"/>
      <c r="B734" s="6" t="n"/>
      <c r="C734" s="19" t="n"/>
      <c r="D734" s="19" t="n"/>
      <c r="E734" s="6" t="n"/>
      <c r="F734" s="20" t="n"/>
      <c r="G734" s="9">
        <f>IF($F734="","",IF($F734&gt;0,ROUND($F734,2),""))</f>
        <v/>
      </c>
      <c r="H734" s="12">
        <f>IF(OR($B734="",$C734="",$G734=""),"",COUNTIFS(Ventes_Encaissements!$E$6:$E$3005,$B734,Ventes_Encaissements!$J$6:$J$3005,$G734,Ventes_Encaissements!$C$6:$C$3005,"&gt;="&amp;($C734-3),Ventes_Encaissements!$C$6:$C$3005,"&lt;="&amp;($C734+3)))</f>
        <v/>
      </c>
      <c r="I734" s="12">
        <f>IF($H734="","",IF($H734=0,"Non trouvé",IF($H734=1,"Match","À vérifier")))</f>
        <v/>
      </c>
      <c r="J734" s="21">
        <f>IF($I734&lt;&gt;"Match","",INDEX(Ventes_Encaissements!$B$6:$B$3005,_xludf.AGGREGATE(15,6,(ROW(Ventes_Encaissements!$B$6:$B$3005)-ROW(Ventes_Encaissements!$B$6)+1)/((Ventes_Encaissements!$E$6:$E$3005=$B734)*(Ventes_Encaissements!$J$6:$J$3005=$G734)*(Ventes_Encaissements!$C$6:$C$3005&gt;=$C734-3)*(Ventes_Encaissements!$C$6:$C$3005&lt;=$C734+3)),1)))</f>
        <v/>
      </c>
      <c r="K734" s="6" t="n"/>
    </row>
    <row r="735">
      <c r="A735" s="6" t="n"/>
      <c r="B735" s="6" t="n"/>
      <c r="C735" s="19" t="n"/>
      <c r="D735" s="19" t="n"/>
      <c r="E735" s="6" t="n"/>
      <c r="F735" s="20" t="n"/>
      <c r="G735" s="9">
        <f>IF($F735="","",IF($F735&gt;0,ROUND($F735,2),""))</f>
        <v/>
      </c>
      <c r="H735" s="12">
        <f>IF(OR($B735="",$C735="",$G735=""),"",COUNTIFS(Ventes_Encaissements!$E$6:$E$3005,$B735,Ventes_Encaissements!$J$6:$J$3005,$G735,Ventes_Encaissements!$C$6:$C$3005,"&gt;="&amp;($C735-3),Ventes_Encaissements!$C$6:$C$3005,"&lt;="&amp;($C735+3)))</f>
        <v/>
      </c>
      <c r="I735" s="12">
        <f>IF($H735="","",IF($H735=0,"Non trouvé",IF($H735=1,"Match","À vérifier")))</f>
        <v/>
      </c>
      <c r="J735" s="21">
        <f>IF($I735&lt;&gt;"Match","",INDEX(Ventes_Encaissements!$B$6:$B$3005,_xludf.AGGREGATE(15,6,(ROW(Ventes_Encaissements!$B$6:$B$3005)-ROW(Ventes_Encaissements!$B$6)+1)/((Ventes_Encaissements!$E$6:$E$3005=$B735)*(Ventes_Encaissements!$J$6:$J$3005=$G735)*(Ventes_Encaissements!$C$6:$C$3005&gt;=$C735-3)*(Ventes_Encaissements!$C$6:$C$3005&lt;=$C735+3)),1)))</f>
        <v/>
      </c>
      <c r="K735" s="6" t="n"/>
    </row>
    <row r="736">
      <c r="A736" s="6" t="n"/>
      <c r="B736" s="6" t="n"/>
      <c r="C736" s="19" t="n"/>
      <c r="D736" s="19" t="n"/>
      <c r="E736" s="6" t="n"/>
      <c r="F736" s="20" t="n"/>
      <c r="G736" s="9">
        <f>IF($F736="","",IF($F736&gt;0,ROUND($F736,2),""))</f>
        <v/>
      </c>
      <c r="H736" s="12">
        <f>IF(OR($B736="",$C736="",$G736=""),"",COUNTIFS(Ventes_Encaissements!$E$6:$E$3005,$B736,Ventes_Encaissements!$J$6:$J$3005,$G736,Ventes_Encaissements!$C$6:$C$3005,"&gt;="&amp;($C736-3),Ventes_Encaissements!$C$6:$C$3005,"&lt;="&amp;($C736+3)))</f>
        <v/>
      </c>
      <c r="I736" s="12">
        <f>IF($H736="","",IF($H736=0,"Non trouvé",IF($H736=1,"Match","À vérifier")))</f>
        <v/>
      </c>
      <c r="J736" s="21">
        <f>IF($I736&lt;&gt;"Match","",INDEX(Ventes_Encaissements!$B$6:$B$3005,_xludf.AGGREGATE(15,6,(ROW(Ventes_Encaissements!$B$6:$B$3005)-ROW(Ventes_Encaissements!$B$6)+1)/((Ventes_Encaissements!$E$6:$E$3005=$B736)*(Ventes_Encaissements!$J$6:$J$3005=$G736)*(Ventes_Encaissements!$C$6:$C$3005&gt;=$C736-3)*(Ventes_Encaissements!$C$6:$C$3005&lt;=$C736+3)),1)))</f>
        <v/>
      </c>
      <c r="K736" s="6" t="n"/>
    </row>
    <row r="737">
      <c r="A737" s="6" t="n"/>
      <c r="B737" s="6" t="n"/>
      <c r="C737" s="19" t="n"/>
      <c r="D737" s="19" t="n"/>
      <c r="E737" s="6" t="n"/>
      <c r="F737" s="20" t="n"/>
      <c r="G737" s="9">
        <f>IF($F737="","",IF($F737&gt;0,ROUND($F737,2),""))</f>
        <v/>
      </c>
      <c r="H737" s="12">
        <f>IF(OR($B737="",$C737="",$G737=""),"",COUNTIFS(Ventes_Encaissements!$E$6:$E$3005,$B737,Ventes_Encaissements!$J$6:$J$3005,$G737,Ventes_Encaissements!$C$6:$C$3005,"&gt;="&amp;($C737-3),Ventes_Encaissements!$C$6:$C$3005,"&lt;="&amp;($C737+3)))</f>
        <v/>
      </c>
      <c r="I737" s="12">
        <f>IF($H737="","",IF($H737=0,"Non trouvé",IF($H737=1,"Match","À vérifier")))</f>
        <v/>
      </c>
      <c r="J737" s="21">
        <f>IF($I737&lt;&gt;"Match","",INDEX(Ventes_Encaissements!$B$6:$B$3005,_xludf.AGGREGATE(15,6,(ROW(Ventes_Encaissements!$B$6:$B$3005)-ROW(Ventes_Encaissements!$B$6)+1)/((Ventes_Encaissements!$E$6:$E$3005=$B737)*(Ventes_Encaissements!$J$6:$J$3005=$G737)*(Ventes_Encaissements!$C$6:$C$3005&gt;=$C737-3)*(Ventes_Encaissements!$C$6:$C$3005&lt;=$C737+3)),1)))</f>
        <v/>
      </c>
      <c r="K737" s="6" t="n"/>
    </row>
    <row r="738">
      <c r="A738" s="6" t="n"/>
      <c r="B738" s="6" t="n"/>
      <c r="C738" s="19" t="n"/>
      <c r="D738" s="19" t="n"/>
      <c r="E738" s="6" t="n"/>
      <c r="F738" s="20" t="n"/>
      <c r="G738" s="9">
        <f>IF($F738="","",IF($F738&gt;0,ROUND($F738,2),""))</f>
        <v/>
      </c>
      <c r="H738" s="12">
        <f>IF(OR($B738="",$C738="",$G738=""),"",COUNTIFS(Ventes_Encaissements!$E$6:$E$3005,$B738,Ventes_Encaissements!$J$6:$J$3005,$G738,Ventes_Encaissements!$C$6:$C$3005,"&gt;="&amp;($C738-3),Ventes_Encaissements!$C$6:$C$3005,"&lt;="&amp;($C738+3)))</f>
        <v/>
      </c>
      <c r="I738" s="12">
        <f>IF($H738="","",IF($H738=0,"Non trouvé",IF($H738=1,"Match","À vérifier")))</f>
        <v/>
      </c>
      <c r="J738" s="21">
        <f>IF($I738&lt;&gt;"Match","",INDEX(Ventes_Encaissements!$B$6:$B$3005,_xludf.AGGREGATE(15,6,(ROW(Ventes_Encaissements!$B$6:$B$3005)-ROW(Ventes_Encaissements!$B$6)+1)/((Ventes_Encaissements!$E$6:$E$3005=$B738)*(Ventes_Encaissements!$J$6:$J$3005=$G738)*(Ventes_Encaissements!$C$6:$C$3005&gt;=$C738-3)*(Ventes_Encaissements!$C$6:$C$3005&lt;=$C738+3)),1)))</f>
        <v/>
      </c>
      <c r="K738" s="6" t="n"/>
    </row>
    <row r="739">
      <c r="A739" s="6" t="n"/>
      <c r="B739" s="6" t="n"/>
      <c r="C739" s="19" t="n"/>
      <c r="D739" s="19" t="n"/>
      <c r="E739" s="6" t="n"/>
      <c r="F739" s="20" t="n"/>
      <c r="G739" s="9">
        <f>IF($F739="","",IF($F739&gt;0,ROUND($F739,2),""))</f>
        <v/>
      </c>
      <c r="H739" s="12">
        <f>IF(OR($B739="",$C739="",$G739=""),"",COUNTIFS(Ventes_Encaissements!$E$6:$E$3005,$B739,Ventes_Encaissements!$J$6:$J$3005,$G739,Ventes_Encaissements!$C$6:$C$3005,"&gt;="&amp;($C739-3),Ventes_Encaissements!$C$6:$C$3005,"&lt;="&amp;($C739+3)))</f>
        <v/>
      </c>
      <c r="I739" s="12">
        <f>IF($H739="","",IF($H739=0,"Non trouvé",IF($H739=1,"Match","À vérifier")))</f>
        <v/>
      </c>
      <c r="J739" s="21">
        <f>IF($I739&lt;&gt;"Match","",INDEX(Ventes_Encaissements!$B$6:$B$3005,_xludf.AGGREGATE(15,6,(ROW(Ventes_Encaissements!$B$6:$B$3005)-ROW(Ventes_Encaissements!$B$6)+1)/((Ventes_Encaissements!$E$6:$E$3005=$B739)*(Ventes_Encaissements!$J$6:$J$3005=$G739)*(Ventes_Encaissements!$C$6:$C$3005&gt;=$C739-3)*(Ventes_Encaissements!$C$6:$C$3005&lt;=$C739+3)),1)))</f>
        <v/>
      </c>
      <c r="K739" s="6" t="n"/>
    </row>
    <row r="740">
      <c r="A740" s="6" t="n"/>
      <c r="B740" s="6" t="n"/>
      <c r="C740" s="19" t="n"/>
      <c r="D740" s="19" t="n"/>
      <c r="E740" s="6" t="n"/>
      <c r="F740" s="20" t="n"/>
      <c r="G740" s="9">
        <f>IF($F740="","",IF($F740&gt;0,ROUND($F740,2),""))</f>
        <v/>
      </c>
      <c r="H740" s="12">
        <f>IF(OR($B740="",$C740="",$G740=""),"",COUNTIFS(Ventes_Encaissements!$E$6:$E$3005,$B740,Ventes_Encaissements!$J$6:$J$3005,$G740,Ventes_Encaissements!$C$6:$C$3005,"&gt;="&amp;($C740-3),Ventes_Encaissements!$C$6:$C$3005,"&lt;="&amp;($C740+3)))</f>
        <v/>
      </c>
      <c r="I740" s="12">
        <f>IF($H740="","",IF($H740=0,"Non trouvé",IF($H740=1,"Match","À vérifier")))</f>
        <v/>
      </c>
      <c r="J740" s="21">
        <f>IF($I740&lt;&gt;"Match","",INDEX(Ventes_Encaissements!$B$6:$B$3005,_xludf.AGGREGATE(15,6,(ROW(Ventes_Encaissements!$B$6:$B$3005)-ROW(Ventes_Encaissements!$B$6)+1)/((Ventes_Encaissements!$E$6:$E$3005=$B740)*(Ventes_Encaissements!$J$6:$J$3005=$G740)*(Ventes_Encaissements!$C$6:$C$3005&gt;=$C740-3)*(Ventes_Encaissements!$C$6:$C$3005&lt;=$C740+3)),1)))</f>
        <v/>
      </c>
      <c r="K740" s="6" t="n"/>
    </row>
    <row r="741">
      <c r="A741" s="6" t="n"/>
      <c r="B741" s="6" t="n"/>
      <c r="C741" s="19" t="n"/>
      <c r="D741" s="19" t="n"/>
      <c r="E741" s="6" t="n"/>
      <c r="F741" s="20" t="n"/>
      <c r="G741" s="9">
        <f>IF($F741="","",IF($F741&gt;0,ROUND($F741,2),""))</f>
        <v/>
      </c>
      <c r="H741" s="12">
        <f>IF(OR($B741="",$C741="",$G741=""),"",COUNTIFS(Ventes_Encaissements!$E$6:$E$3005,$B741,Ventes_Encaissements!$J$6:$J$3005,$G741,Ventes_Encaissements!$C$6:$C$3005,"&gt;="&amp;($C741-3),Ventes_Encaissements!$C$6:$C$3005,"&lt;="&amp;($C741+3)))</f>
        <v/>
      </c>
      <c r="I741" s="12">
        <f>IF($H741="","",IF($H741=0,"Non trouvé",IF($H741=1,"Match","À vérifier")))</f>
        <v/>
      </c>
      <c r="J741" s="21">
        <f>IF($I741&lt;&gt;"Match","",INDEX(Ventes_Encaissements!$B$6:$B$3005,_xludf.AGGREGATE(15,6,(ROW(Ventes_Encaissements!$B$6:$B$3005)-ROW(Ventes_Encaissements!$B$6)+1)/((Ventes_Encaissements!$E$6:$E$3005=$B741)*(Ventes_Encaissements!$J$6:$J$3005=$G741)*(Ventes_Encaissements!$C$6:$C$3005&gt;=$C741-3)*(Ventes_Encaissements!$C$6:$C$3005&lt;=$C741+3)),1)))</f>
        <v/>
      </c>
      <c r="K741" s="6" t="n"/>
    </row>
    <row r="742">
      <c r="A742" s="6" t="n"/>
      <c r="B742" s="6" t="n"/>
      <c r="C742" s="19" t="n"/>
      <c r="D742" s="19" t="n"/>
      <c r="E742" s="6" t="n"/>
      <c r="F742" s="20" t="n"/>
      <c r="G742" s="9">
        <f>IF($F742="","",IF($F742&gt;0,ROUND($F742,2),""))</f>
        <v/>
      </c>
      <c r="H742" s="12">
        <f>IF(OR($B742="",$C742="",$G742=""),"",COUNTIFS(Ventes_Encaissements!$E$6:$E$3005,$B742,Ventes_Encaissements!$J$6:$J$3005,$G742,Ventes_Encaissements!$C$6:$C$3005,"&gt;="&amp;($C742-3),Ventes_Encaissements!$C$6:$C$3005,"&lt;="&amp;($C742+3)))</f>
        <v/>
      </c>
      <c r="I742" s="12">
        <f>IF($H742="","",IF($H742=0,"Non trouvé",IF($H742=1,"Match","À vérifier")))</f>
        <v/>
      </c>
      <c r="J742" s="21">
        <f>IF($I742&lt;&gt;"Match","",INDEX(Ventes_Encaissements!$B$6:$B$3005,_xludf.AGGREGATE(15,6,(ROW(Ventes_Encaissements!$B$6:$B$3005)-ROW(Ventes_Encaissements!$B$6)+1)/((Ventes_Encaissements!$E$6:$E$3005=$B742)*(Ventes_Encaissements!$J$6:$J$3005=$G742)*(Ventes_Encaissements!$C$6:$C$3005&gt;=$C742-3)*(Ventes_Encaissements!$C$6:$C$3005&lt;=$C742+3)),1)))</f>
        <v/>
      </c>
      <c r="K742" s="6" t="n"/>
    </row>
    <row r="743">
      <c r="A743" s="6" t="n"/>
      <c r="B743" s="6" t="n"/>
      <c r="C743" s="19" t="n"/>
      <c r="D743" s="19" t="n"/>
      <c r="E743" s="6" t="n"/>
      <c r="F743" s="20" t="n"/>
      <c r="G743" s="9">
        <f>IF($F743="","",IF($F743&gt;0,ROUND($F743,2),""))</f>
        <v/>
      </c>
      <c r="H743" s="12">
        <f>IF(OR($B743="",$C743="",$G743=""),"",COUNTIFS(Ventes_Encaissements!$E$6:$E$3005,$B743,Ventes_Encaissements!$J$6:$J$3005,$G743,Ventes_Encaissements!$C$6:$C$3005,"&gt;="&amp;($C743-3),Ventes_Encaissements!$C$6:$C$3005,"&lt;="&amp;($C743+3)))</f>
        <v/>
      </c>
      <c r="I743" s="12">
        <f>IF($H743="","",IF($H743=0,"Non trouvé",IF($H743=1,"Match","À vérifier")))</f>
        <v/>
      </c>
      <c r="J743" s="21">
        <f>IF($I743&lt;&gt;"Match","",INDEX(Ventes_Encaissements!$B$6:$B$3005,_xludf.AGGREGATE(15,6,(ROW(Ventes_Encaissements!$B$6:$B$3005)-ROW(Ventes_Encaissements!$B$6)+1)/((Ventes_Encaissements!$E$6:$E$3005=$B743)*(Ventes_Encaissements!$J$6:$J$3005=$G743)*(Ventes_Encaissements!$C$6:$C$3005&gt;=$C743-3)*(Ventes_Encaissements!$C$6:$C$3005&lt;=$C743+3)),1)))</f>
        <v/>
      </c>
      <c r="K743" s="6" t="n"/>
    </row>
    <row r="744">
      <c r="A744" s="6" t="n"/>
      <c r="B744" s="6" t="n"/>
      <c r="C744" s="19" t="n"/>
      <c r="D744" s="19" t="n"/>
      <c r="E744" s="6" t="n"/>
      <c r="F744" s="20" t="n"/>
      <c r="G744" s="9">
        <f>IF($F744="","",IF($F744&gt;0,ROUND($F744,2),""))</f>
        <v/>
      </c>
      <c r="H744" s="12">
        <f>IF(OR($B744="",$C744="",$G744=""),"",COUNTIFS(Ventes_Encaissements!$E$6:$E$3005,$B744,Ventes_Encaissements!$J$6:$J$3005,$G744,Ventes_Encaissements!$C$6:$C$3005,"&gt;="&amp;($C744-3),Ventes_Encaissements!$C$6:$C$3005,"&lt;="&amp;($C744+3)))</f>
        <v/>
      </c>
      <c r="I744" s="12">
        <f>IF($H744="","",IF($H744=0,"Non trouvé",IF($H744=1,"Match","À vérifier")))</f>
        <v/>
      </c>
      <c r="J744" s="21">
        <f>IF($I744&lt;&gt;"Match","",INDEX(Ventes_Encaissements!$B$6:$B$3005,_xludf.AGGREGATE(15,6,(ROW(Ventes_Encaissements!$B$6:$B$3005)-ROW(Ventes_Encaissements!$B$6)+1)/((Ventes_Encaissements!$E$6:$E$3005=$B744)*(Ventes_Encaissements!$J$6:$J$3005=$G744)*(Ventes_Encaissements!$C$6:$C$3005&gt;=$C744-3)*(Ventes_Encaissements!$C$6:$C$3005&lt;=$C744+3)),1)))</f>
        <v/>
      </c>
      <c r="K744" s="6" t="n"/>
    </row>
    <row r="745">
      <c r="A745" s="6" t="n"/>
      <c r="B745" s="6" t="n"/>
      <c r="C745" s="19" t="n"/>
      <c r="D745" s="19" t="n"/>
      <c r="E745" s="6" t="n"/>
      <c r="F745" s="20" t="n"/>
      <c r="G745" s="9">
        <f>IF($F745="","",IF($F745&gt;0,ROUND($F745,2),""))</f>
        <v/>
      </c>
      <c r="H745" s="12">
        <f>IF(OR($B745="",$C745="",$G745=""),"",COUNTIFS(Ventes_Encaissements!$E$6:$E$3005,$B745,Ventes_Encaissements!$J$6:$J$3005,$G745,Ventes_Encaissements!$C$6:$C$3005,"&gt;="&amp;($C745-3),Ventes_Encaissements!$C$6:$C$3005,"&lt;="&amp;($C745+3)))</f>
        <v/>
      </c>
      <c r="I745" s="12">
        <f>IF($H745="","",IF($H745=0,"Non trouvé",IF($H745=1,"Match","À vérifier")))</f>
        <v/>
      </c>
      <c r="J745" s="21">
        <f>IF($I745&lt;&gt;"Match","",INDEX(Ventes_Encaissements!$B$6:$B$3005,_xludf.AGGREGATE(15,6,(ROW(Ventes_Encaissements!$B$6:$B$3005)-ROW(Ventes_Encaissements!$B$6)+1)/((Ventes_Encaissements!$E$6:$E$3005=$B745)*(Ventes_Encaissements!$J$6:$J$3005=$G745)*(Ventes_Encaissements!$C$6:$C$3005&gt;=$C745-3)*(Ventes_Encaissements!$C$6:$C$3005&lt;=$C745+3)),1)))</f>
        <v/>
      </c>
      <c r="K745" s="6" t="n"/>
    </row>
    <row r="746">
      <c r="A746" s="6" t="n"/>
      <c r="B746" s="6" t="n"/>
      <c r="C746" s="19" t="n"/>
      <c r="D746" s="19" t="n"/>
      <c r="E746" s="6" t="n"/>
      <c r="F746" s="20" t="n"/>
      <c r="G746" s="9">
        <f>IF($F746="","",IF($F746&gt;0,ROUND($F746,2),""))</f>
        <v/>
      </c>
      <c r="H746" s="12">
        <f>IF(OR($B746="",$C746="",$G746=""),"",COUNTIFS(Ventes_Encaissements!$E$6:$E$3005,$B746,Ventes_Encaissements!$J$6:$J$3005,$G746,Ventes_Encaissements!$C$6:$C$3005,"&gt;="&amp;($C746-3),Ventes_Encaissements!$C$6:$C$3005,"&lt;="&amp;($C746+3)))</f>
        <v/>
      </c>
      <c r="I746" s="12">
        <f>IF($H746="","",IF($H746=0,"Non trouvé",IF($H746=1,"Match","À vérifier")))</f>
        <v/>
      </c>
      <c r="J746" s="21">
        <f>IF($I746&lt;&gt;"Match","",INDEX(Ventes_Encaissements!$B$6:$B$3005,_xludf.AGGREGATE(15,6,(ROW(Ventes_Encaissements!$B$6:$B$3005)-ROW(Ventes_Encaissements!$B$6)+1)/((Ventes_Encaissements!$E$6:$E$3005=$B746)*(Ventes_Encaissements!$J$6:$J$3005=$G746)*(Ventes_Encaissements!$C$6:$C$3005&gt;=$C746-3)*(Ventes_Encaissements!$C$6:$C$3005&lt;=$C746+3)),1)))</f>
        <v/>
      </c>
      <c r="K746" s="6" t="n"/>
    </row>
    <row r="747">
      <c r="A747" s="6" t="n"/>
      <c r="B747" s="6" t="n"/>
      <c r="C747" s="19" t="n"/>
      <c r="D747" s="19" t="n"/>
      <c r="E747" s="6" t="n"/>
      <c r="F747" s="20" t="n"/>
      <c r="G747" s="9">
        <f>IF($F747="","",IF($F747&gt;0,ROUND($F747,2),""))</f>
        <v/>
      </c>
      <c r="H747" s="12">
        <f>IF(OR($B747="",$C747="",$G747=""),"",COUNTIFS(Ventes_Encaissements!$E$6:$E$3005,$B747,Ventes_Encaissements!$J$6:$J$3005,$G747,Ventes_Encaissements!$C$6:$C$3005,"&gt;="&amp;($C747-3),Ventes_Encaissements!$C$6:$C$3005,"&lt;="&amp;($C747+3)))</f>
        <v/>
      </c>
      <c r="I747" s="12">
        <f>IF($H747="","",IF($H747=0,"Non trouvé",IF($H747=1,"Match","À vérifier")))</f>
        <v/>
      </c>
      <c r="J747" s="21">
        <f>IF($I747&lt;&gt;"Match","",INDEX(Ventes_Encaissements!$B$6:$B$3005,_xludf.AGGREGATE(15,6,(ROW(Ventes_Encaissements!$B$6:$B$3005)-ROW(Ventes_Encaissements!$B$6)+1)/((Ventes_Encaissements!$E$6:$E$3005=$B747)*(Ventes_Encaissements!$J$6:$J$3005=$G747)*(Ventes_Encaissements!$C$6:$C$3005&gt;=$C747-3)*(Ventes_Encaissements!$C$6:$C$3005&lt;=$C747+3)),1)))</f>
        <v/>
      </c>
      <c r="K747" s="6" t="n"/>
    </row>
    <row r="748">
      <c r="A748" s="6" t="n"/>
      <c r="B748" s="6" t="n"/>
      <c r="C748" s="19" t="n"/>
      <c r="D748" s="19" t="n"/>
      <c r="E748" s="6" t="n"/>
      <c r="F748" s="20" t="n"/>
      <c r="G748" s="9">
        <f>IF($F748="","",IF($F748&gt;0,ROUND($F748,2),""))</f>
        <v/>
      </c>
      <c r="H748" s="12">
        <f>IF(OR($B748="",$C748="",$G748=""),"",COUNTIFS(Ventes_Encaissements!$E$6:$E$3005,$B748,Ventes_Encaissements!$J$6:$J$3005,$G748,Ventes_Encaissements!$C$6:$C$3005,"&gt;="&amp;($C748-3),Ventes_Encaissements!$C$6:$C$3005,"&lt;="&amp;($C748+3)))</f>
        <v/>
      </c>
      <c r="I748" s="12">
        <f>IF($H748="","",IF($H748=0,"Non trouvé",IF($H748=1,"Match","À vérifier")))</f>
        <v/>
      </c>
      <c r="J748" s="21">
        <f>IF($I748&lt;&gt;"Match","",INDEX(Ventes_Encaissements!$B$6:$B$3005,_xludf.AGGREGATE(15,6,(ROW(Ventes_Encaissements!$B$6:$B$3005)-ROW(Ventes_Encaissements!$B$6)+1)/((Ventes_Encaissements!$E$6:$E$3005=$B748)*(Ventes_Encaissements!$J$6:$J$3005=$G748)*(Ventes_Encaissements!$C$6:$C$3005&gt;=$C748-3)*(Ventes_Encaissements!$C$6:$C$3005&lt;=$C748+3)),1)))</f>
        <v/>
      </c>
      <c r="K748" s="6" t="n"/>
    </row>
    <row r="749">
      <c r="A749" s="6" t="n"/>
      <c r="B749" s="6" t="n"/>
      <c r="C749" s="19" t="n"/>
      <c r="D749" s="19" t="n"/>
      <c r="E749" s="6" t="n"/>
      <c r="F749" s="20" t="n"/>
      <c r="G749" s="9">
        <f>IF($F749="","",IF($F749&gt;0,ROUND($F749,2),""))</f>
        <v/>
      </c>
      <c r="H749" s="12">
        <f>IF(OR($B749="",$C749="",$G749=""),"",COUNTIFS(Ventes_Encaissements!$E$6:$E$3005,$B749,Ventes_Encaissements!$J$6:$J$3005,$G749,Ventes_Encaissements!$C$6:$C$3005,"&gt;="&amp;($C749-3),Ventes_Encaissements!$C$6:$C$3005,"&lt;="&amp;($C749+3)))</f>
        <v/>
      </c>
      <c r="I749" s="12">
        <f>IF($H749="","",IF($H749=0,"Non trouvé",IF($H749=1,"Match","À vérifier")))</f>
        <v/>
      </c>
      <c r="J749" s="21">
        <f>IF($I749&lt;&gt;"Match","",INDEX(Ventes_Encaissements!$B$6:$B$3005,_xludf.AGGREGATE(15,6,(ROW(Ventes_Encaissements!$B$6:$B$3005)-ROW(Ventes_Encaissements!$B$6)+1)/((Ventes_Encaissements!$E$6:$E$3005=$B749)*(Ventes_Encaissements!$J$6:$J$3005=$G749)*(Ventes_Encaissements!$C$6:$C$3005&gt;=$C749-3)*(Ventes_Encaissements!$C$6:$C$3005&lt;=$C749+3)),1)))</f>
        <v/>
      </c>
      <c r="K749" s="6" t="n"/>
    </row>
    <row r="750">
      <c r="A750" s="6" t="n"/>
      <c r="B750" s="6" t="n"/>
      <c r="C750" s="19" t="n"/>
      <c r="D750" s="19" t="n"/>
      <c r="E750" s="6" t="n"/>
      <c r="F750" s="20" t="n"/>
      <c r="G750" s="9">
        <f>IF($F750="","",IF($F750&gt;0,ROUND($F750,2),""))</f>
        <v/>
      </c>
      <c r="H750" s="12">
        <f>IF(OR($B750="",$C750="",$G750=""),"",COUNTIFS(Ventes_Encaissements!$E$6:$E$3005,$B750,Ventes_Encaissements!$J$6:$J$3005,$G750,Ventes_Encaissements!$C$6:$C$3005,"&gt;="&amp;($C750-3),Ventes_Encaissements!$C$6:$C$3005,"&lt;="&amp;($C750+3)))</f>
        <v/>
      </c>
      <c r="I750" s="12">
        <f>IF($H750="","",IF($H750=0,"Non trouvé",IF($H750=1,"Match","À vérifier")))</f>
        <v/>
      </c>
      <c r="J750" s="21">
        <f>IF($I750&lt;&gt;"Match","",INDEX(Ventes_Encaissements!$B$6:$B$3005,_xludf.AGGREGATE(15,6,(ROW(Ventes_Encaissements!$B$6:$B$3005)-ROW(Ventes_Encaissements!$B$6)+1)/((Ventes_Encaissements!$E$6:$E$3005=$B750)*(Ventes_Encaissements!$J$6:$J$3005=$G750)*(Ventes_Encaissements!$C$6:$C$3005&gt;=$C750-3)*(Ventes_Encaissements!$C$6:$C$3005&lt;=$C750+3)),1)))</f>
        <v/>
      </c>
      <c r="K750" s="6" t="n"/>
    </row>
    <row r="751">
      <c r="A751" s="6" t="n"/>
      <c r="B751" s="6" t="n"/>
      <c r="C751" s="19" t="n"/>
      <c r="D751" s="19" t="n"/>
      <c r="E751" s="6" t="n"/>
      <c r="F751" s="20" t="n"/>
      <c r="G751" s="9">
        <f>IF($F751="","",IF($F751&gt;0,ROUND($F751,2),""))</f>
        <v/>
      </c>
      <c r="H751" s="12">
        <f>IF(OR($B751="",$C751="",$G751=""),"",COUNTIFS(Ventes_Encaissements!$E$6:$E$3005,$B751,Ventes_Encaissements!$J$6:$J$3005,$G751,Ventes_Encaissements!$C$6:$C$3005,"&gt;="&amp;($C751-3),Ventes_Encaissements!$C$6:$C$3005,"&lt;="&amp;($C751+3)))</f>
        <v/>
      </c>
      <c r="I751" s="12">
        <f>IF($H751="","",IF($H751=0,"Non trouvé",IF($H751=1,"Match","À vérifier")))</f>
        <v/>
      </c>
      <c r="J751" s="21">
        <f>IF($I751&lt;&gt;"Match","",INDEX(Ventes_Encaissements!$B$6:$B$3005,_xludf.AGGREGATE(15,6,(ROW(Ventes_Encaissements!$B$6:$B$3005)-ROW(Ventes_Encaissements!$B$6)+1)/((Ventes_Encaissements!$E$6:$E$3005=$B751)*(Ventes_Encaissements!$J$6:$J$3005=$G751)*(Ventes_Encaissements!$C$6:$C$3005&gt;=$C751-3)*(Ventes_Encaissements!$C$6:$C$3005&lt;=$C751+3)),1)))</f>
        <v/>
      </c>
      <c r="K751" s="6" t="n"/>
    </row>
    <row r="752">
      <c r="A752" s="6" t="n"/>
      <c r="B752" s="6" t="n"/>
      <c r="C752" s="19" t="n"/>
      <c r="D752" s="19" t="n"/>
      <c r="E752" s="6" t="n"/>
      <c r="F752" s="20" t="n"/>
      <c r="G752" s="9">
        <f>IF($F752="","",IF($F752&gt;0,ROUND($F752,2),""))</f>
        <v/>
      </c>
      <c r="H752" s="12">
        <f>IF(OR($B752="",$C752="",$G752=""),"",COUNTIFS(Ventes_Encaissements!$E$6:$E$3005,$B752,Ventes_Encaissements!$J$6:$J$3005,$G752,Ventes_Encaissements!$C$6:$C$3005,"&gt;="&amp;($C752-3),Ventes_Encaissements!$C$6:$C$3005,"&lt;="&amp;($C752+3)))</f>
        <v/>
      </c>
      <c r="I752" s="12">
        <f>IF($H752="","",IF($H752=0,"Non trouvé",IF($H752=1,"Match","À vérifier")))</f>
        <v/>
      </c>
      <c r="J752" s="21">
        <f>IF($I752&lt;&gt;"Match","",INDEX(Ventes_Encaissements!$B$6:$B$3005,_xludf.AGGREGATE(15,6,(ROW(Ventes_Encaissements!$B$6:$B$3005)-ROW(Ventes_Encaissements!$B$6)+1)/((Ventes_Encaissements!$E$6:$E$3005=$B752)*(Ventes_Encaissements!$J$6:$J$3005=$G752)*(Ventes_Encaissements!$C$6:$C$3005&gt;=$C752-3)*(Ventes_Encaissements!$C$6:$C$3005&lt;=$C752+3)),1)))</f>
        <v/>
      </c>
      <c r="K752" s="6" t="n"/>
    </row>
    <row r="753">
      <c r="A753" s="6" t="n"/>
      <c r="B753" s="6" t="n"/>
      <c r="C753" s="19" t="n"/>
      <c r="D753" s="19" t="n"/>
      <c r="E753" s="6" t="n"/>
      <c r="F753" s="20" t="n"/>
      <c r="G753" s="9">
        <f>IF($F753="","",IF($F753&gt;0,ROUND($F753,2),""))</f>
        <v/>
      </c>
      <c r="H753" s="12">
        <f>IF(OR($B753="",$C753="",$G753=""),"",COUNTIFS(Ventes_Encaissements!$E$6:$E$3005,$B753,Ventes_Encaissements!$J$6:$J$3005,$G753,Ventes_Encaissements!$C$6:$C$3005,"&gt;="&amp;($C753-3),Ventes_Encaissements!$C$6:$C$3005,"&lt;="&amp;($C753+3)))</f>
        <v/>
      </c>
      <c r="I753" s="12">
        <f>IF($H753="","",IF($H753=0,"Non trouvé",IF($H753=1,"Match","À vérifier")))</f>
        <v/>
      </c>
      <c r="J753" s="21">
        <f>IF($I753&lt;&gt;"Match","",INDEX(Ventes_Encaissements!$B$6:$B$3005,_xludf.AGGREGATE(15,6,(ROW(Ventes_Encaissements!$B$6:$B$3005)-ROW(Ventes_Encaissements!$B$6)+1)/((Ventes_Encaissements!$E$6:$E$3005=$B753)*(Ventes_Encaissements!$J$6:$J$3005=$G753)*(Ventes_Encaissements!$C$6:$C$3005&gt;=$C753-3)*(Ventes_Encaissements!$C$6:$C$3005&lt;=$C753+3)),1)))</f>
        <v/>
      </c>
      <c r="K753" s="6" t="n"/>
    </row>
    <row r="754">
      <c r="A754" s="6" t="n"/>
      <c r="B754" s="6" t="n"/>
      <c r="C754" s="19" t="n"/>
      <c r="D754" s="19" t="n"/>
      <c r="E754" s="6" t="n"/>
      <c r="F754" s="20" t="n"/>
      <c r="G754" s="9">
        <f>IF($F754="","",IF($F754&gt;0,ROUND($F754,2),""))</f>
        <v/>
      </c>
      <c r="H754" s="12">
        <f>IF(OR($B754="",$C754="",$G754=""),"",COUNTIFS(Ventes_Encaissements!$E$6:$E$3005,$B754,Ventes_Encaissements!$J$6:$J$3005,$G754,Ventes_Encaissements!$C$6:$C$3005,"&gt;="&amp;($C754-3),Ventes_Encaissements!$C$6:$C$3005,"&lt;="&amp;($C754+3)))</f>
        <v/>
      </c>
      <c r="I754" s="12">
        <f>IF($H754="","",IF($H754=0,"Non trouvé",IF($H754=1,"Match","À vérifier")))</f>
        <v/>
      </c>
      <c r="J754" s="21">
        <f>IF($I754&lt;&gt;"Match","",INDEX(Ventes_Encaissements!$B$6:$B$3005,_xludf.AGGREGATE(15,6,(ROW(Ventes_Encaissements!$B$6:$B$3005)-ROW(Ventes_Encaissements!$B$6)+1)/((Ventes_Encaissements!$E$6:$E$3005=$B754)*(Ventes_Encaissements!$J$6:$J$3005=$G754)*(Ventes_Encaissements!$C$6:$C$3005&gt;=$C754-3)*(Ventes_Encaissements!$C$6:$C$3005&lt;=$C754+3)),1)))</f>
        <v/>
      </c>
      <c r="K754" s="6" t="n"/>
    </row>
    <row r="755">
      <c r="A755" s="6" t="n"/>
      <c r="B755" s="6" t="n"/>
      <c r="C755" s="19" t="n"/>
      <c r="D755" s="19" t="n"/>
      <c r="E755" s="6" t="n"/>
      <c r="F755" s="20" t="n"/>
      <c r="G755" s="9">
        <f>IF($F755="","",IF($F755&gt;0,ROUND($F755,2),""))</f>
        <v/>
      </c>
      <c r="H755" s="12">
        <f>IF(OR($B755="",$C755="",$G755=""),"",COUNTIFS(Ventes_Encaissements!$E$6:$E$3005,$B755,Ventes_Encaissements!$J$6:$J$3005,$G755,Ventes_Encaissements!$C$6:$C$3005,"&gt;="&amp;($C755-3),Ventes_Encaissements!$C$6:$C$3005,"&lt;="&amp;($C755+3)))</f>
        <v/>
      </c>
      <c r="I755" s="12">
        <f>IF($H755="","",IF($H755=0,"Non trouvé",IF($H755=1,"Match","À vérifier")))</f>
        <v/>
      </c>
      <c r="J755" s="21">
        <f>IF($I755&lt;&gt;"Match","",INDEX(Ventes_Encaissements!$B$6:$B$3005,_xludf.AGGREGATE(15,6,(ROW(Ventes_Encaissements!$B$6:$B$3005)-ROW(Ventes_Encaissements!$B$6)+1)/((Ventes_Encaissements!$E$6:$E$3005=$B755)*(Ventes_Encaissements!$J$6:$J$3005=$G755)*(Ventes_Encaissements!$C$6:$C$3005&gt;=$C755-3)*(Ventes_Encaissements!$C$6:$C$3005&lt;=$C755+3)),1)))</f>
        <v/>
      </c>
      <c r="K755" s="6" t="n"/>
    </row>
    <row r="756">
      <c r="A756" s="6" t="n"/>
      <c r="B756" s="6" t="n"/>
      <c r="C756" s="19" t="n"/>
      <c r="D756" s="19" t="n"/>
      <c r="E756" s="6" t="n"/>
      <c r="F756" s="20" t="n"/>
      <c r="G756" s="9">
        <f>IF($F756="","",IF($F756&gt;0,ROUND($F756,2),""))</f>
        <v/>
      </c>
      <c r="H756" s="12">
        <f>IF(OR($B756="",$C756="",$G756=""),"",COUNTIFS(Ventes_Encaissements!$E$6:$E$3005,$B756,Ventes_Encaissements!$J$6:$J$3005,$G756,Ventes_Encaissements!$C$6:$C$3005,"&gt;="&amp;($C756-3),Ventes_Encaissements!$C$6:$C$3005,"&lt;="&amp;($C756+3)))</f>
        <v/>
      </c>
      <c r="I756" s="12">
        <f>IF($H756="","",IF($H756=0,"Non trouvé",IF($H756=1,"Match","À vérifier")))</f>
        <v/>
      </c>
      <c r="J756" s="21">
        <f>IF($I756&lt;&gt;"Match","",INDEX(Ventes_Encaissements!$B$6:$B$3005,_xludf.AGGREGATE(15,6,(ROW(Ventes_Encaissements!$B$6:$B$3005)-ROW(Ventes_Encaissements!$B$6)+1)/((Ventes_Encaissements!$E$6:$E$3005=$B756)*(Ventes_Encaissements!$J$6:$J$3005=$G756)*(Ventes_Encaissements!$C$6:$C$3005&gt;=$C756-3)*(Ventes_Encaissements!$C$6:$C$3005&lt;=$C756+3)),1)))</f>
        <v/>
      </c>
      <c r="K756" s="6" t="n"/>
    </row>
    <row r="757">
      <c r="A757" s="6" t="n"/>
      <c r="B757" s="6" t="n"/>
      <c r="C757" s="19" t="n"/>
      <c r="D757" s="19" t="n"/>
      <c r="E757" s="6" t="n"/>
      <c r="F757" s="20" t="n"/>
      <c r="G757" s="9">
        <f>IF($F757="","",IF($F757&gt;0,ROUND($F757,2),""))</f>
        <v/>
      </c>
      <c r="H757" s="12">
        <f>IF(OR($B757="",$C757="",$G757=""),"",COUNTIFS(Ventes_Encaissements!$E$6:$E$3005,$B757,Ventes_Encaissements!$J$6:$J$3005,$G757,Ventes_Encaissements!$C$6:$C$3005,"&gt;="&amp;($C757-3),Ventes_Encaissements!$C$6:$C$3005,"&lt;="&amp;($C757+3)))</f>
        <v/>
      </c>
      <c r="I757" s="12">
        <f>IF($H757="","",IF($H757=0,"Non trouvé",IF($H757=1,"Match","À vérifier")))</f>
        <v/>
      </c>
      <c r="J757" s="21">
        <f>IF($I757&lt;&gt;"Match","",INDEX(Ventes_Encaissements!$B$6:$B$3005,_xludf.AGGREGATE(15,6,(ROW(Ventes_Encaissements!$B$6:$B$3005)-ROW(Ventes_Encaissements!$B$6)+1)/((Ventes_Encaissements!$E$6:$E$3005=$B757)*(Ventes_Encaissements!$J$6:$J$3005=$G757)*(Ventes_Encaissements!$C$6:$C$3005&gt;=$C757-3)*(Ventes_Encaissements!$C$6:$C$3005&lt;=$C757+3)),1)))</f>
        <v/>
      </c>
      <c r="K757" s="6" t="n"/>
    </row>
    <row r="758">
      <c r="A758" s="6" t="n"/>
      <c r="B758" s="6" t="n"/>
      <c r="C758" s="19" t="n"/>
      <c r="D758" s="19" t="n"/>
      <c r="E758" s="6" t="n"/>
      <c r="F758" s="20" t="n"/>
      <c r="G758" s="9">
        <f>IF($F758="","",IF($F758&gt;0,ROUND($F758,2),""))</f>
        <v/>
      </c>
      <c r="H758" s="12">
        <f>IF(OR($B758="",$C758="",$G758=""),"",COUNTIFS(Ventes_Encaissements!$E$6:$E$3005,$B758,Ventes_Encaissements!$J$6:$J$3005,$G758,Ventes_Encaissements!$C$6:$C$3005,"&gt;="&amp;($C758-3),Ventes_Encaissements!$C$6:$C$3005,"&lt;="&amp;($C758+3)))</f>
        <v/>
      </c>
      <c r="I758" s="12">
        <f>IF($H758="","",IF($H758=0,"Non trouvé",IF($H758=1,"Match","À vérifier")))</f>
        <v/>
      </c>
      <c r="J758" s="21">
        <f>IF($I758&lt;&gt;"Match","",INDEX(Ventes_Encaissements!$B$6:$B$3005,_xludf.AGGREGATE(15,6,(ROW(Ventes_Encaissements!$B$6:$B$3005)-ROW(Ventes_Encaissements!$B$6)+1)/((Ventes_Encaissements!$E$6:$E$3005=$B758)*(Ventes_Encaissements!$J$6:$J$3005=$G758)*(Ventes_Encaissements!$C$6:$C$3005&gt;=$C758-3)*(Ventes_Encaissements!$C$6:$C$3005&lt;=$C758+3)),1)))</f>
        <v/>
      </c>
      <c r="K758" s="6" t="n"/>
    </row>
    <row r="759">
      <c r="A759" s="6" t="n"/>
      <c r="B759" s="6" t="n"/>
      <c r="C759" s="19" t="n"/>
      <c r="D759" s="19" t="n"/>
      <c r="E759" s="6" t="n"/>
      <c r="F759" s="20" t="n"/>
      <c r="G759" s="9">
        <f>IF($F759="","",IF($F759&gt;0,ROUND($F759,2),""))</f>
        <v/>
      </c>
      <c r="H759" s="12">
        <f>IF(OR($B759="",$C759="",$G759=""),"",COUNTIFS(Ventes_Encaissements!$E$6:$E$3005,$B759,Ventes_Encaissements!$J$6:$J$3005,$G759,Ventes_Encaissements!$C$6:$C$3005,"&gt;="&amp;($C759-3),Ventes_Encaissements!$C$6:$C$3005,"&lt;="&amp;($C759+3)))</f>
        <v/>
      </c>
      <c r="I759" s="12">
        <f>IF($H759="","",IF($H759=0,"Non trouvé",IF($H759=1,"Match","À vérifier")))</f>
        <v/>
      </c>
      <c r="J759" s="21">
        <f>IF($I759&lt;&gt;"Match","",INDEX(Ventes_Encaissements!$B$6:$B$3005,_xludf.AGGREGATE(15,6,(ROW(Ventes_Encaissements!$B$6:$B$3005)-ROW(Ventes_Encaissements!$B$6)+1)/((Ventes_Encaissements!$E$6:$E$3005=$B759)*(Ventes_Encaissements!$J$6:$J$3005=$G759)*(Ventes_Encaissements!$C$6:$C$3005&gt;=$C759-3)*(Ventes_Encaissements!$C$6:$C$3005&lt;=$C759+3)),1)))</f>
        <v/>
      </c>
      <c r="K759" s="6" t="n"/>
    </row>
    <row r="760">
      <c r="A760" s="6" t="n"/>
      <c r="B760" s="6" t="n"/>
      <c r="C760" s="19" t="n"/>
      <c r="D760" s="19" t="n"/>
      <c r="E760" s="6" t="n"/>
      <c r="F760" s="20" t="n"/>
      <c r="G760" s="9">
        <f>IF($F760="","",IF($F760&gt;0,ROUND($F760,2),""))</f>
        <v/>
      </c>
      <c r="H760" s="12">
        <f>IF(OR($B760="",$C760="",$G760=""),"",COUNTIFS(Ventes_Encaissements!$E$6:$E$3005,$B760,Ventes_Encaissements!$J$6:$J$3005,$G760,Ventes_Encaissements!$C$6:$C$3005,"&gt;="&amp;($C760-3),Ventes_Encaissements!$C$6:$C$3005,"&lt;="&amp;($C760+3)))</f>
        <v/>
      </c>
      <c r="I760" s="12">
        <f>IF($H760="","",IF($H760=0,"Non trouvé",IF($H760=1,"Match","À vérifier")))</f>
        <v/>
      </c>
      <c r="J760" s="21">
        <f>IF($I760&lt;&gt;"Match","",INDEX(Ventes_Encaissements!$B$6:$B$3005,_xludf.AGGREGATE(15,6,(ROW(Ventes_Encaissements!$B$6:$B$3005)-ROW(Ventes_Encaissements!$B$6)+1)/((Ventes_Encaissements!$E$6:$E$3005=$B760)*(Ventes_Encaissements!$J$6:$J$3005=$G760)*(Ventes_Encaissements!$C$6:$C$3005&gt;=$C760-3)*(Ventes_Encaissements!$C$6:$C$3005&lt;=$C760+3)),1)))</f>
        <v/>
      </c>
      <c r="K760" s="6" t="n"/>
    </row>
    <row r="761">
      <c r="A761" s="6" t="n"/>
      <c r="B761" s="6" t="n"/>
      <c r="C761" s="19" t="n"/>
      <c r="D761" s="19" t="n"/>
      <c r="E761" s="6" t="n"/>
      <c r="F761" s="20" t="n"/>
      <c r="G761" s="9">
        <f>IF($F761="","",IF($F761&gt;0,ROUND($F761,2),""))</f>
        <v/>
      </c>
      <c r="H761" s="12">
        <f>IF(OR($B761="",$C761="",$G761=""),"",COUNTIFS(Ventes_Encaissements!$E$6:$E$3005,$B761,Ventes_Encaissements!$J$6:$J$3005,$G761,Ventes_Encaissements!$C$6:$C$3005,"&gt;="&amp;($C761-3),Ventes_Encaissements!$C$6:$C$3005,"&lt;="&amp;($C761+3)))</f>
        <v/>
      </c>
      <c r="I761" s="12">
        <f>IF($H761="","",IF($H761=0,"Non trouvé",IF($H761=1,"Match","À vérifier")))</f>
        <v/>
      </c>
      <c r="J761" s="21">
        <f>IF($I761&lt;&gt;"Match","",INDEX(Ventes_Encaissements!$B$6:$B$3005,_xludf.AGGREGATE(15,6,(ROW(Ventes_Encaissements!$B$6:$B$3005)-ROW(Ventes_Encaissements!$B$6)+1)/((Ventes_Encaissements!$E$6:$E$3005=$B761)*(Ventes_Encaissements!$J$6:$J$3005=$G761)*(Ventes_Encaissements!$C$6:$C$3005&gt;=$C761-3)*(Ventes_Encaissements!$C$6:$C$3005&lt;=$C761+3)),1)))</f>
        <v/>
      </c>
      <c r="K761" s="6" t="n"/>
    </row>
    <row r="762">
      <c r="A762" s="6" t="n"/>
      <c r="B762" s="6" t="n"/>
      <c r="C762" s="19" t="n"/>
      <c r="D762" s="19" t="n"/>
      <c r="E762" s="6" t="n"/>
      <c r="F762" s="20" t="n"/>
      <c r="G762" s="9">
        <f>IF($F762="","",IF($F762&gt;0,ROUND($F762,2),""))</f>
        <v/>
      </c>
      <c r="H762" s="12">
        <f>IF(OR($B762="",$C762="",$G762=""),"",COUNTIFS(Ventes_Encaissements!$E$6:$E$3005,$B762,Ventes_Encaissements!$J$6:$J$3005,$G762,Ventes_Encaissements!$C$6:$C$3005,"&gt;="&amp;($C762-3),Ventes_Encaissements!$C$6:$C$3005,"&lt;="&amp;($C762+3)))</f>
        <v/>
      </c>
      <c r="I762" s="12">
        <f>IF($H762="","",IF($H762=0,"Non trouvé",IF($H762=1,"Match","À vérifier")))</f>
        <v/>
      </c>
      <c r="J762" s="21">
        <f>IF($I762&lt;&gt;"Match","",INDEX(Ventes_Encaissements!$B$6:$B$3005,_xludf.AGGREGATE(15,6,(ROW(Ventes_Encaissements!$B$6:$B$3005)-ROW(Ventes_Encaissements!$B$6)+1)/((Ventes_Encaissements!$E$6:$E$3005=$B762)*(Ventes_Encaissements!$J$6:$J$3005=$G762)*(Ventes_Encaissements!$C$6:$C$3005&gt;=$C762-3)*(Ventes_Encaissements!$C$6:$C$3005&lt;=$C762+3)),1)))</f>
        <v/>
      </c>
      <c r="K762" s="6" t="n"/>
    </row>
    <row r="763">
      <c r="A763" s="6" t="n"/>
      <c r="B763" s="6" t="n"/>
      <c r="C763" s="19" t="n"/>
      <c r="D763" s="19" t="n"/>
      <c r="E763" s="6" t="n"/>
      <c r="F763" s="20" t="n"/>
      <c r="G763" s="9">
        <f>IF($F763="","",IF($F763&gt;0,ROUND($F763,2),""))</f>
        <v/>
      </c>
      <c r="H763" s="12">
        <f>IF(OR($B763="",$C763="",$G763=""),"",COUNTIFS(Ventes_Encaissements!$E$6:$E$3005,$B763,Ventes_Encaissements!$J$6:$J$3005,$G763,Ventes_Encaissements!$C$6:$C$3005,"&gt;="&amp;($C763-3),Ventes_Encaissements!$C$6:$C$3005,"&lt;="&amp;($C763+3)))</f>
        <v/>
      </c>
      <c r="I763" s="12">
        <f>IF($H763="","",IF($H763=0,"Non trouvé",IF($H763=1,"Match","À vérifier")))</f>
        <v/>
      </c>
      <c r="J763" s="21">
        <f>IF($I763&lt;&gt;"Match","",INDEX(Ventes_Encaissements!$B$6:$B$3005,_xludf.AGGREGATE(15,6,(ROW(Ventes_Encaissements!$B$6:$B$3005)-ROW(Ventes_Encaissements!$B$6)+1)/((Ventes_Encaissements!$E$6:$E$3005=$B763)*(Ventes_Encaissements!$J$6:$J$3005=$G763)*(Ventes_Encaissements!$C$6:$C$3005&gt;=$C763-3)*(Ventes_Encaissements!$C$6:$C$3005&lt;=$C763+3)),1)))</f>
        <v/>
      </c>
      <c r="K763" s="6" t="n"/>
    </row>
    <row r="764">
      <c r="A764" s="6" t="n"/>
      <c r="B764" s="6" t="n"/>
      <c r="C764" s="19" t="n"/>
      <c r="D764" s="19" t="n"/>
      <c r="E764" s="6" t="n"/>
      <c r="F764" s="20" t="n"/>
      <c r="G764" s="9">
        <f>IF($F764="","",IF($F764&gt;0,ROUND($F764,2),""))</f>
        <v/>
      </c>
      <c r="H764" s="12">
        <f>IF(OR($B764="",$C764="",$G764=""),"",COUNTIFS(Ventes_Encaissements!$E$6:$E$3005,$B764,Ventes_Encaissements!$J$6:$J$3005,$G764,Ventes_Encaissements!$C$6:$C$3005,"&gt;="&amp;($C764-3),Ventes_Encaissements!$C$6:$C$3005,"&lt;="&amp;($C764+3)))</f>
        <v/>
      </c>
      <c r="I764" s="12">
        <f>IF($H764="","",IF($H764=0,"Non trouvé",IF($H764=1,"Match","À vérifier")))</f>
        <v/>
      </c>
      <c r="J764" s="21">
        <f>IF($I764&lt;&gt;"Match","",INDEX(Ventes_Encaissements!$B$6:$B$3005,_xludf.AGGREGATE(15,6,(ROW(Ventes_Encaissements!$B$6:$B$3005)-ROW(Ventes_Encaissements!$B$6)+1)/((Ventes_Encaissements!$E$6:$E$3005=$B764)*(Ventes_Encaissements!$J$6:$J$3005=$G764)*(Ventes_Encaissements!$C$6:$C$3005&gt;=$C764-3)*(Ventes_Encaissements!$C$6:$C$3005&lt;=$C764+3)),1)))</f>
        <v/>
      </c>
      <c r="K764" s="6" t="n"/>
    </row>
    <row r="765">
      <c r="A765" s="6" t="n"/>
      <c r="B765" s="6" t="n"/>
      <c r="C765" s="19" t="n"/>
      <c r="D765" s="19" t="n"/>
      <c r="E765" s="6" t="n"/>
      <c r="F765" s="20" t="n"/>
      <c r="G765" s="9">
        <f>IF($F765="","",IF($F765&gt;0,ROUND($F765,2),""))</f>
        <v/>
      </c>
      <c r="H765" s="12">
        <f>IF(OR($B765="",$C765="",$G765=""),"",COUNTIFS(Ventes_Encaissements!$E$6:$E$3005,$B765,Ventes_Encaissements!$J$6:$J$3005,$G765,Ventes_Encaissements!$C$6:$C$3005,"&gt;="&amp;($C765-3),Ventes_Encaissements!$C$6:$C$3005,"&lt;="&amp;($C765+3)))</f>
        <v/>
      </c>
      <c r="I765" s="12">
        <f>IF($H765="","",IF($H765=0,"Non trouvé",IF($H765=1,"Match","À vérifier")))</f>
        <v/>
      </c>
      <c r="J765" s="21">
        <f>IF($I765&lt;&gt;"Match","",INDEX(Ventes_Encaissements!$B$6:$B$3005,_xludf.AGGREGATE(15,6,(ROW(Ventes_Encaissements!$B$6:$B$3005)-ROW(Ventes_Encaissements!$B$6)+1)/((Ventes_Encaissements!$E$6:$E$3005=$B765)*(Ventes_Encaissements!$J$6:$J$3005=$G765)*(Ventes_Encaissements!$C$6:$C$3005&gt;=$C765-3)*(Ventes_Encaissements!$C$6:$C$3005&lt;=$C765+3)),1)))</f>
        <v/>
      </c>
      <c r="K765" s="6" t="n"/>
    </row>
    <row r="766">
      <c r="A766" s="6" t="n"/>
      <c r="B766" s="6" t="n"/>
      <c r="C766" s="19" t="n"/>
      <c r="D766" s="19" t="n"/>
      <c r="E766" s="6" t="n"/>
      <c r="F766" s="20" t="n"/>
      <c r="G766" s="9">
        <f>IF($F766="","",IF($F766&gt;0,ROUND($F766,2),""))</f>
        <v/>
      </c>
      <c r="H766" s="12">
        <f>IF(OR($B766="",$C766="",$G766=""),"",COUNTIFS(Ventes_Encaissements!$E$6:$E$3005,$B766,Ventes_Encaissements!$J$6:$J$3005,$G766,Ventes_Encaissements!$C$6:$C$3005,"&gt;="&amp;($C766-3),Ventes_Encaissements!$C$6:$C$3005,"&lt;="&amp;($C766+3)))</f>
        <v/>
      </c>
      <c r="I766" s="12">
        <f>IF($H766="","",IF($H766=0,"Non trouvé",IF($H766=1,"Match","À vérifier")))</f>
        <v/>
      </c>
      <c r="J766" s="21">
        <f>IF($I766&lt;&gt;"Match","",INDEX(Ventes_Encaissements!$B$6:$B$3005,_xludf.AGGREGATE(15,6,(ROW(Ventes_Encaissements!$B$6:$B$3005)-ROW(Ventes_Encaissements!$B$6)+1)/((Ventes_Encaissements!$E$6:$E$3005=$B766)*(Ventes_Encaissements!$J$6:$J$3005=$G766)*(Ventes_Encaissements!$C$6:$C$3005&gt;=$C766-3)*(Ventes_Encaissements!$C$6:$C$3005&lt;=$C766+3)),1)))</f>
        <v/>
      </c>
      <c r="K766" s="6" t="n"/>
    </row>
    <row r="767">
      <c r="A767" s="6" t="n"/>
      <c r="B767" s="6" t="n"/>
      <c r="C767" s="19" t="n"/>
      <c r="D767" s="19" t="n"/>
      <c r="E767" s="6" t="n"/>
      <c r="F767" s="20" t="n"/>
      <c r="G767" s="9">
        <f>IF($F767="","",IF($F767&gt;0,ROUND($F767,2),""))</f>
        <v/>
      </c>
      <c r="H767" s="12">
        <f>IF(OR($B767="",$C767="",$G767=""),"",COUNTIFS(Ventes_Encaissements!$E$6:$E$3005,$B767,Ventes_Encaissements!$J$6:$J$3005,$G767,Ventes_Encaissements!$C$6:$C$3005,"&gt;="&amp;($C767-3),Ventes_Encaissements!$C$6:$C$3005,"&lt;="&amp;($C767+3)))</f>
        <v/>
      </c>
      <c r="I767" s="12">
        <f>IF($H767="","",IF($H767=0,"Non trouvé",IF($H767=1,"Match","À vérifier")))</f>
        <v/>
      </c>
      <c r="J767" s="21">
        <f>IF($I767&lt;&gt;"Match","",INDEX(Ventes_Encaissements!$B$6:$B$3005,_xludf.AGGREGATE(15,6,(ROW(Ventes_Encaissements!$B$6:$B$3005)-ROW(Ventes_Encaissements!$B$6)+1)/((Ventes_Encaissements!$E$6:$E$3005=$B767)*(Ventes_Encaissements!$J$6:$J$3005=$G767)*(Ventes_Encaissements!$C$6:$C$3005&gt;=$C767-3)*(Ventes_Encaissements!$C$6:$C$3005&lt;=$C767+3)),1)))</f>
        <v/>
      </c>
      <c r="K767" s="6" t="n"/>
    </row>
    <row r="768">
      <c r="A768" s="6" t="n"/>
      <c r="B768" s="6" t="n"/>
      <c r="C768" s="19" t="n"/>
      <c r="D768" s="19" t="n"/>
      <c r="E768" s="6" t="n"/>
      <c r="F768" s="20" t="n"/>
      <c r="G768" s="9">
        <f>IF($F768="","",IF($F768&gt;0,ROUND($F768,2),""))</f>
        <v/>
      </c>
      <c r="H768" s="12">
        <f>IF(OR($B768="",$C768="",$G768=""),"",COUNTIFS(Ventes_Encaissements!$E$6:$E$3005,$B768,Ventes_Encaissements!$J$6:$J$3005,$G768,Ventes_Encaissements!$C$6:$C$3005,"&gt;="&amp;($C768-3),Ventes_Encaissements!$C$6:$C$3005,"&lt;="&amp;($C768+3)))</f>
        <v/>
      </c>
      <c r="I768" s="12">
        <f>IF($H768="","",IF($H768=0,"Non trouvé",IF($H768=1,"Match","À vérifier")))</f>
        <v/>
      </c>
      <c r="J768" s="21">
        <f>IF($I768&lt;&gt;"Match","",INDEX(Ventes_Encaissements!$B$6:$B$3005,_xludf.AGGREGATE(15,6,(ROW(Ventes_Encaissements!$B$6:$B$3005)-ROW(Ventes_Encaissements!$B$6)+1)/((Ventes_Encaissements!$E$6:$E$3005=$B768)*(Ventes_Encaissements!$J$6:$J$3005=$G768)*(Ventes_Encaissements!$C$6:$C$3005&gt;=$C768-3)*(Ventes_Encaissements!$C$6:$C$3005&lt;=$C768+3)),1)))</f>
        <v/>
      </c>
      <c r="K768" s="6" t="n"/>
    </row>
    <row r="769">
      <c r="A769" s="6" t="n"/>
      <c r="B769" s="6" t="n"/>
      <c r="C769" s="19" t="n"/>
      <c r="D769" s="19" t="n"/>
      <c r="E769" s="6" t="n"/>
      <c r="F769" s="20" t="n"/>
      <c r="G769" s="9">
        <f>IF($F769="","",IF($F769&gt;0,ROUND($F769,2),""))</f>
        <v/>
      </c>
      <c r="H769" s="12">
        <f>IF(OR($B769="",$C769="",$G769=""),"",COUNTIFS(Ventes_Encaissements!$E$6:$E$3005,$B769,Ventes_Encaissements!$J$6:$J$3005,$G769,Ventes_Encaissements!$C$6:$C$3005,"&gt;="&amp;($C769-3),Ventes_Encaissements!$C$6:$C$3005,"&lt;="&amp;($C769+3)))</f>
        <v/>
      </c>
      <c r="I769" s="12">
        <f>IF($H769="","",IF($H769=0,"Non trouvé",IF($H769=1,"Match","À vérifier")))</f>
        <v/>
      </c>
      <c r="J769" s="21">
        <f>IF($I769&lt;&gt;"Match","",INDEX(Ventes_Encaissements!$B$6:$B$3005,_xludf.AGGREGATE(15,6,(ROW(Ventes_Encaissements!$B$6:$B$3005)-ROW(Ventes_Encaissements!$B$6)+1)/((Ventes_Encaissements!$E$6:$E$3005=$B769)*(Ventes_Encaissements!$J$6:$J$3005=$G769)*(Ventes_Encaissements!$C$6:$C$3005&gt;=$C769-3)*(Ventes_Encaissements!$C$6:$C$3005&lt;=$C769+3)),1)))</f>
        <v/>
      </c>
      <c r="K769" s="6" t="n"/>
    </row>
    <row r="770">
      <c r="A770" s="6" t="n"/>
      <c r="B770" s="6" t="n"/>
      <c r="C770" s="19" t="n"/>
      <c r="D770" s="19" t="n"/>
      <c r="E770" s="6" t="n"/>
      <c r="F770" s="20" t="n"/>
      <c r="G770" s="9">
        <f>IF($F770="","",IF($F770&gt;0,ROUND($F770,2),""))</f>
        <v/>
      </c>
      <c r="H770" s="12">
        <f>IF(OR($B770="",$C770="",$G770=""),"",COUNTIFS(Ventes_Encaissements!$E$6:$E$3005,$B770,Ventes_Encaissements!$J$6:$J$3005,$G770,Ventes_Encaissements!$C$6:$C$3005,"&gt;="&amp;($C770-3),Ventes_Encaissements!$C$6:$C$3005,"&lt;="&amp;($C770+3)))</f>
        <v/>
      </c>
      <c r="I770" s="12">
        <f>IF($H770="","",IF($H770=0,"Non trouvé",IF($H770=1,"Match","À vérifier")))</f>
        <v/>
      </c>
      <c r="J770" s="21">
        <f>IF($I770&lt;&gt;"Match","",INDEX(Ventes_Encaissements!$B$6:$B$3005,_xludf.AGGREGATE(15,6,(ROW(Ventes_Encaissements!$B$6:$B$3005)-ROW(Ventes_Encaissements!$B$6)+1)/((Ventes_Encaissements!$E$6:$E$3005=$B770)*(Ventes_Encaissements!$J$6:$J$3005=$G770)*(Ventes_Encaissements!$C$6:$C$3005&gt;=$C770-3)*(Ventes_Encaissements!$C$6:$C$3005&lt;=$C770+3)),1)))</f>
        <v/>
      </c>
      <c r="K770" s="6" t="n"/>
    </row>
    <row r="771">
      <c r="A771" s="6" t="n"/>
      <c r="B771" s="6" t="n"/>
      <c r="C771" s="19" t="n"/>
      <c r="D771" s="19" t="n"/>
      <c r="E771" s="6" t="n"/>
      <c r="F771" s="20" t="n"/>
      <c r="G771" s="9">
        <f>IF($F771="","",IF($F771&gt;0,ROUND($F771,2),""))</f>
        <v/>
      </c>
      <c r="H771" s="12">
        <f>IF(OR($B771="",$C771="",$G771=""),"",COUNTIFS(Ventes_Encaissements!$E$6:$E$3005,$B771,Ventes_Encaissements!$J$6:$J$3005,$G771,Ventes_Encaissements!$C$6:$C$3005,"&gt;="&amp;($C771-3),Ventes_Encaissements!$C$6:$C$3005,"&lt;="&amp;($C771+3)))</f>
        <v/>
      </c>
      <c r="I771" s="12">
        <f>IF($H771="","",IF($H771=0,"Non trouvé",IF($H771=1,"Match","À vérifier")))</f>
        <v/>
      </c>
      <c r="J771" s="21">
        <f>IF($I771&lt;&gt;"Match","",INDEX(Ventes_Encaissements!$B$6:$B$3005,_xludf.AGGREGATE(15,6,(ROW(Ventes_Encaissements!$B$6:$B$3005)-ROW(Ventes_Encaissements!$B$6)+1)/((Ventes_Encaissements!$E$6:$E$3005=$B771)*(Ventes_Encaissements!$J$6:$J$3005=$G771)*(Ventes_Encaissements!$C$6:$C$3005&gt;=$C771-3)*(Ventes_Encaissements!$C$6:$C$3005&lt;=$C771+3)),1)))</f>
        <v/>
      </c>
      <c r="K771" s="6" t="n"/>
    </row>
    <row r="772">
      <c r="A772" s="6" t="n"/>
      <c r="B772" s="6" t="n"/>
      <c r="C772" s="19" t="n"/>
      <c r="D772" s="19" t="n"/>
      <c r="E772" s="6" t="n"/>
      <c r="F772" s="20" t="n"/>
      <c r="G772" s="9">
        <f>IF($F772="","",IF($F772&gt;0,ROUND($F772,2),""))</f>
        <v/>
      </c>
      <c r="H772" s="12">
        <f>IF(OR($B772="",$C772="",$G772=""),"",COUNTIFS(Ventes_Encaissements!$E$6:$E$3005,$B772,Ventes_Encaissements!$J$6:$J$3005,$G772,Ventes_Encaissements!$C$6:$C$3005,"&gt;="&amp;($C772-3),Ventes_Encaissements!$C$6:$C$3005,"&lt;="&amp;($C772+3)))</f>
        <v/>
      </c>
      <c r="I772" s="12">
        <f>IF($H772="","",IF($H772=0,"Non trouvé",IF($H772=1,"Match","À vérifier")))</f>
        <v/>
      </c>
      <c r="J772" s="21">
        <f>IF($I772&lt;&gt;"Match","",INDEX(Ventes_Encaissements!$B$6:$B$3005,_xludf.AGGREGATE(15,6,(ROW(Ventes_Encaissements!$B$6:$B$3005)-ROW(Ventes_Encaissements!$B$6)+1)/((Ventes_Encaissements!$E$6:$E$3005=$B772)*(Ventes_Encaissements!$J$6:$J$3005=$G772)*(Ventes_Encaissements!$C$6:$C$3005&gt;=$C772-3)*(Ventes_Encaissements!$C$6:$C$3005&lt;=$C772+3)),1)))</f>
        <v/>
      </c>
      <c r="K772" s="6" t="n"/>
    </row>
    <row r="773">
      <c r="A773" s="6" t="n"/>
      <c r="B773" s="6" t="n"/>
      <c r="C773" s="19" t="n"/>
      <c r="D773" s="19" t="n"/>
      <c r="E773" s="6" t="n"/>
      <c r="F773" s="20" t="n"/>
      <c r="G773" s="9">
        <f>IF($F773="","",IF($F773&gt;0,ROUND($F773,2),""))</f>
        <v/>
      </c>
      <c r="H773" s="12">
        <f>IF(OR($B773="",$C773="",$G773=""),"",COUNTIFS(Ventes_Encaissements!$E$6:$E$3005,$B773,Ventes_Encaissements!$J$6:$J$3005,$G773,Ventes_Encaissements!$C$6:$C$3005,"&gt;="&amp;($C773-3),Ventes_Encaissements!$C$6:$C$3005,"&lt;="&amp;($C773+3)))</f>
        <v/>
      </c>
      <c r="I773" s="12">
        <f>IF($H773="","",IF($H773=0,"Non trouvé",IF($H773=1,"Match","À vérifier")))</f>
        <v/>
      </c>
      <c r="J773" s="21">
        <f>IF($I773&lt;&gt;"Match","",INDEX(Ventes_Encaissements!$B$6:$B$3005,_xludf.AGGREGATE(15,6,(ROW(Ventes_Encaissements!$B$6:$B$3005)-ROW(Ventes_Encaissements!$B$6)+1)/((Ventes_Encaissements!$E$6:$E$3005=$B773)*(Ventes_Encaissements!$J$6:$J$3005=$G773)*(Ventes_Encaissements!$C$6:$C$3005&gt;=$C773-3)*(Ventes_Encaissements!$C$6:$C$3005&lt;=$C773+3)),1)))</f>
        <v/>
      </c>
      <c r="K773" s="6" t="n"/>
    </row>
    <row r="774">
      <c r="A774" s="6" t="n"/>
      <c r="B774" s="6" t="n"/>
      <c r="C774" s="19" t="n"/>
      <c r="D774" s="19" t="n"/>
      <c r="E774" s="6" t="n"/>
      <c r="F774" s="20" t="n"/>
      <c r="G774" s="9">
        <f>IF($F774="","",IF($F774&gt;0,ROUND($F774,2),""))</f>
        <v/>
      </c>
      <c r="H774" s="12">
        <f>IF(OR($B774="",$C774="",$G774=""),"",COUNTIFS(Ventes_Encaissements!$E$6:$E$3005,$B774,Ventes_Encaissements!$J$6:$J$3005,$G774,Ventes_Encaissements!$C$6:$C$3005,"&gt;="&amp;($C774-3),Ventes_Encaissements!$C$6:$C$3005,"&lt;="&amp;($C774+3)))</f>
        <v/>
      </c>
      <c r="I774" s="12">
        <f>IF($H774="","",IF($H774=0,"Non trouvé",IF($H774=1,"Match","À vérifier")))</f>
        <v/>
      </c>
      <c r="J774" s="21">
        <f>IF($I774&lt;&gt;"Match","",INDEX(Ventes_Encaissements!$B$6:$B$3005,_xludf.AGGREGATE(15,6,(ROW(Ventes_Encaissements!$B$6:$B$3005)-ROW(Ventes_Encaissements!$B$6)+1)/((Ventes_Encaissements!$E$6:$E$3005=$B774)*(Ventes_Encaissements!$J$6:$J$3005=$G774)*(Ventes_Encaissements!$C$6:$C$3005&gt;=$C774-3)*(Ventes_Encaissements!$C$6:$C$3005&lt;=$C774+3)),1)))</f>
        <v/>
      </c>
      <c r="K774" s="6" t="n"/>
    </row>
    <row r="775">
      <c r="A775" s="6" t="n"/>
      <c r="B775" s="6" t="n"/>
      <c r="C775" s="19" t="n"/>
      <c r="D775" s="19" t="n"/>
      <c r="E775" s="6" t="n"/>
      <c r="F775" s="20" t="n"/>
      <c r="G775" s="9">
        <f>IF($F775="","",IF($F775&gt;0,ROUND($F775,2),""))</f>
        <v/>
      </c>
      <c r="H775" s="12">
        <f>IF(OR($B775="",$C775="",$G775=""),"",COUNTIFS(Ventes_Encaissements!$E$6:$E$3005,$B775,Ventes_Encaissements!$J$6:$J$3005,$G775,Ventes_Encaissements!$C$6:$C$3005,"&gt;="&amp;($C775-3),Ventes_Encaissements!$C$6:$C$3005,"&lt;="&amp;($C775+3)))</f>
        <v/>
      </c>
      <c r="I775" s="12">
        <f>IF($H775="","",IF($H775=0,"Non trouvé",IF($H775=1,"Match","À vérifier")))</f>
        <v/>
      </c>
      <c r="J775" s="21">
        <f>IF($I775&lt;&gt;"Match","",INDEX(Ventes_Encaissements!$B$6:$B$3005,_xludf.AGGREGATE(15,6,(ROW(Ventes_Encaissements!$B$6:$B$3005)-ROW(Ventes_Encaissements!$B$6)+1)/((Ventes_Encaissements!$E$6:$E$3005=$B775)*(Ventes_Encaissements!$J$6:$J$3005=$G775)*(Ventes_Encaissements!$C$6:$C$3005&gt;=$C775-3)*(Ventes_Encaissements!$C$6:$C$3005&lt;=$C775+3)),1)))</f>
        <v/>
      </c>
      <c r="K775" s="6" t="n"/>
    </row>
    <row r="776">
      <c r="A776" s="6" t="n"/>
      <c r="B776" s="6" t="n"/>
      <c r="C776" s="19" t="n"/>
      <c r="D776" s="19" t="n"/>
      <c r="E776" s="6" t="n"/>
      <c r="F776" s="20" t="n"/>
      <c r="G776" s="9">
        <f>IF($F776="","",IF($F776&gt;0,ROUND($F776,2),""))</f>
        <v/>
      </c>
      <c r="H776" s="12">
        <f>IF(OR($B776="",$C776="",$G776=""),"",COUNTIFS(Ventes_Encaissements!$E$6:$E$3005,$B776,Ventes_Encaissements!$J$6:$J$3005,$G776,Ventes_Encaissements!$C$6:$C$3005,"&gt;="&amp;($C776-3),Ventes_Encaissements!$C$6:$C$3005,"&lt;="&amp;($C776+3)))</f>
        <v/>
      </c>
      <c r="I776" s="12">
        <f>IF($H776="","",IF($H776=0,"Non trouvé",IF($H776=1,"Match","À vérifier")))</f>
        <v/>
      </c>
      <c r="J776" s="21">
        <f>IF($I776&lt;&gt;"Match","",INDEX(Ventes_Encaissements!$B$6:$B$3005,_xludf.AGGREGATE(15,6,(ROW(Ventes_Encaissements!$B$6:$B$3005)-ROW(Ventes_Encaissements!$B$6)+1)/((Ventes_Encaissements!$E$6:$E$3005=$B776)*(Ventes_Encaissements!$J$6:$J$3005=$G776)*(Ventes_Encaissements!$C$6:$C$3005&gt;=$C776-3)*(Ventes_Encaissements!$C$6:$C$3005&lt;=$C776+3)),1)))</f>
        <v/>
      </c>
      <c r="K776" s="6" t="n"/>
    </row>
    <row r="777">
      <c r="A777" s="6" t="n"/>
      <c r="B777" s="6" t="n"/>
      <c r="C777" s="19" t="n"/>
      <c r="D777" s="19" t="n"/>
      <c r="E777" s="6" t="n"/>
      <c r="F777" s="20" t="n"/>
      <c r="G777" s="9">
        <f>IF($F777="","",IF($F777&gt;0,ROUND($F777,2),""))</f>
        <v/>
      </c>
      <c r="H777" s="12">
        <f>IF(OR($B777="",$C777="",$G777=""),"",COUNTIFS(Ventes_Encaissements!$E$6:$E$3005,$B777,Ventes_Encaissements!$J$6:$J$3005,$G777,Ventes_Encaissements!$C$6:$C$3005,"&gt;="&amp;($C777-3),Ventes_Encaissements!$C$6:$C$3005,"&lt;="&amp;($C777+3)))</f>
        <v/>
      </c>
      <c r="I777" s="12">
        <f>IF($H777="","",IF($H777=0,"Non trouvé",IF($H777=1,"Match","À vérifier")))</f>
        <v/>
      </c>
      <c r="J777" s="21">
        <f>IF($I777&lt;&gt;"Match","",INDEX(Ventes_Encaissements!$B$6:$B$3005,_xludf.AGGREGATE(15,6,(ROW(Ventes_Encaissements!$B$6:$B$3005)-ROW(Ventes_Encaissements!$B$6)+1)/((Ventes_Encaissements!$E$6:$E$3005=$B777)*(Ventes_Encaissements!$J$6:$J$3005=$G777)*(Ventes_Encaissements!$C$6:$C$3005&gt;=$C777-3)*(Ventes_Encaissements!$C$6:$C$3005&lt;=$C777+3)),1)))</f>
        <v/>
      </c>
      <c r="K777" s="6" t="n"/>
    </row>
    <row r="778">
      <c r="A778" s="6" t="n"/>
      <c r="B778" s="6" t="n"/>
      <c r="C778" s="19" t="n"/>
      <c r="D778" s="19" t="n"/>
      <c r="E778" s="6" t="n"/>
      <c r="F778" s="20" t="n"/>
      <c r="G778" s="9">
        <f>IF($F778="","",IF($F778&gt;0,ROUND($F778,2),""))</f>
        <v/>
      </c>
      <c r="H778" s="12">
        <f>IF(OR($B778="",$C778="",$G778=""),"",COUNTIFS(Ventes_Encaissements!$E$6:$E$3005,$B778,Ventes_Encaissements!$J$6:$J$3005,$G778,Ventes_Encaissements!$C$6:$C$3005,"&gt;="&amp;($C778-3),Ventes_Encaissements!$C$6:$C$3005,"&lt;="&amp;($C778+3)))</f>
        <v/>
      </c>
      <c r="I778" s="12">
        <f>IF($H778="","",IF($H778=0,"Non trouvé",IF($H778=1,"Match","À vérifier")))</f>
        <v/>
      </c>
      <c r="J778" s="21">
        <f>IF($I778&lt;&gt;"Match","",INDEX(Ventes_Encaissements!$B$6:$B$3005,_xludf.AGGREGATE(15,6,(ROW(Ventes_Encaissements!$B$6:$B$3005)-ROW(Ventes_Encaissements!$B$6)+1)/((Ventes_Encaissements!$E$6:$E$3005=$B778)*(Ventes_Encaissements!$J$6:$J$3005=$G778)*(Ventes_Encaissements!$C$6:$C$3005&gt;=$C778-3)*(Ventes_Encaissements!$C$6:$C$3005&lt;=$C778+3)),1)))</f>
        <v/>
      </c>
      <c r="K778" s="6" t="n"/>
    </row>
    <row r="779">
      <c r="A779" s="6" t="n"/>
      <c r="B779" s="6" t="n"/>
      <c r="C779" s="19" t="n"/>
      <c r="D779" s="19" t="n"/>
      <c r="E779" s="6" t="n"/>
      <c r="F779" s="20" t="n"/>
      <c r="G779" s="9">
        <f>IF($F779="","",IF($F779&gt;0,ROUND($F779,2),""))</f>
        <v/>
      </c>
      <c r="H779" s="12">
        <f>IF(OR($B779="",$C779="",$G779=""),"",COUNTIFS(Ventes_Encaissements!$E$6:$E$3005,$B779,Ventes_Encaissements!$J$6:$J$3005,$G779,Ventes_Encaissements!$C$6:$C$3005,"&gt;="&amp;($C779-3),Ventes_Encaissements!$C$6:$C$3005,"&lt;="&amp;($C779+3)))</f>
        <v/>
      </c>
      <c r="I779" s="12">
        <f>IF($H779="","",IF($H779=0,"Non trouvé",IF($H779=1,"Match","À vérifier")))</f>
        <v/>
      </c>
      <c r="J779" s="21">
        <f>IF($I779&lt;&gt;"Match","",INDEX(Ventes_Encaissements!$B$6:$B$3005,_xludf.AGGREGATE(15,6,(ROW(Ventes_Encaissements!$B$6:$B$3005)-ROW(Ventes_Encaissements!$B$6)+1)/((Ventes_Encaissements!$E$6:$E$3005=$B779)*(Ventes_Encaissements!$J$6:$J$3005=$G779)*(Ventes_Encaissements!$C$6:$C$3005&gt;=$C779-3)*(Ventes_Encaissements!$C$6:$C$3005&lt;=$C779+3)),1)))</f>
        <v/>
      </c>
      <c r="K779" s="6" t="n"/>
    </row>
    <row r="780">
      <c r="A780" s="6" t="n"/>
      <c r="B780" s="6" t="n"/>
      <c r="C780" s="19" t="n"/>
      <c r="D780" s="19" t="n"/>
      <c r="E780" s="6" t="n"/>
      <c r="F780" s="20" t="n"/>
      <c r="G780" s="9">
        <f>IF($F780="","",IF($F780&gt;0,ROUND($F780,2),""))</f>
        <v/>
      </c>
      <c r="H780" s="12">
        <f>IF(OR($B780="",$C780="",$G780=""),"",COUNTIFS(Ventes_Encaissements!$E$6:$E$3005,$B780,Ventes_Encaissements!$J$6:$J$3005,$G780,Ventes_Encaissements!$C$6:$C$3005,"&gt;="&amp;($C780-3),Ventes_Encaissements!$C$6:$C$3005,"&lt;="&amp;($C780+3)))</f>
        <v/>
      </c>
      <c r="I780" s="12">
        <f>IF($H780="","",IF($H780=0,"Non trouvé",IF($H780=1,"Match","À vérifier")))</f>
        <v/>
      </c>
      <c r="J780" s="21">
        <f>IF($I780&lt;&gt;"Match","",INDEX(Ventes_Encaissements!$B$6:$B$3005,_xludf.AGGREGATE(15,6,(ROW(Ventes_Encaissements!$B$6:$B$3005)-ROW(Ventes_Encaissements!$B$6)+1)/((Ventes_Encaissements!$E$6:$E$3005=$B780)*(Ventes_Encaissements!$J$6:$J$3005=$G780)*(Ventes_Encaissements!$C$6:$C$3005&gt;=$C780-3)*(Ventes_Encaissements!$C$6:$C$3005&lt;=$C780+3)),1)))</f>
        <v/>
      </c>
      <c r="K780" s="6" t="n"/>
    </row>
    <row r="781">
      <c r="A781" s="6" t="n"/>
      <c r="B781" s="6" t="n"/>
      <c r="C781" s="19" t="n"/>
      <c r="D781" s="19" t="n"/>
      <c r="E781" s="6" t="n"/>
      <c r="F781" s="20" t="n"/>
      <c r="G781" s="9">
        <f>IF($F781="","",IF($F781&gt;0,ROUND($F781,2),""))</f>
        <v/>
      </c>
      <c r="H781" s="12">
        <f>IF(OR($B781="",$C781="",$G781=""),"",COUNTIFS(Ventes_Encaissements!$E$6:$E$3005,$B781,Ventes_Encaissements!$J$6:$J$3005,$G781,Ventes_Encaissements!$C$6:$C$3005,"&gt;="&amp;($C781-3),Ventes_Encaissements!$C$6:$C$3005,"&lt;="&amp;($C781+3)))</f>
        <v/>
      </c>
      <c r="I781" s="12">
        <f>IF($H781="","",IF($H781=0,"Non trouvé",IF($H781=1,"Match","À vérifier")))</f>
        <v/>
      </c>
      <c r="J781" s="21">
        <f>IF($I781&lt;&gt;"Match","",INDEX(Ventes_Encaissements!$B$6:$B$3005,_xludf.AGGREGATE(15,6,(ROW(Ventes_Encaissements!$B$6:$B$3005)-ROW(Ventes_Encaissements!$B$6)+1)/((Ventes_Encaissements!$E$6:$E$3005=$B781)*(Ventes_Encaissements!$J$6:$J$3005=$G781)*(Ventes_Encaissements!$C$6:$C$3005&gt;=$C781-3)*(Ventes_Encaissements!$C$6:$C$3005&lt;=$C781+3)),1)))</f>
        <v/>
      </c>
      <c r="K781" s="6" t="n"/>
    </row>
    <row r="782">
      <c r="A782" s="6" t="n"/>
      <c r="B782" s="6" t="n"/>
      <c r="C782" s="19" t="n"/>
      <c r="D782" s="19" t="n"/>
      <c r="E782" s="6" t="n"/>
      <c r="F782" s="20" t="n"/>
      <c r="G782" s="9">
        <f>IF($F782="","",IF($F782&gt;0,ROUND($F782,2),""))</f>
        <v/>
      </c>
      <c r="H782" s="12">
        <f>IF(OR($B782="",$C782="",$G782=""),"",COUNTIFS(Ventes_Encaissements!$E$6:$E$3005,$B782,Ventes_Encaissements!$J$6:$J$3005,$G782,Ventes_Encaissements!$C$6:$C$3005,"&gt;="&amp;($C782-3),Ventes_Encaissements!$C$6:$C$3005,"&lt;="&amp;($C782+3)))</f>
        <v/>
      </c>
      <c r="I782" s="12">
        <f>IF($H782="","",IF($H782=0,"Non trouvé",IF($H782=1,"Match","À vérifier")))</f>
        <v/>
      </c>
      <c r="J782" s="21">
        <f>IF($I782&lt;&gt;"Match","",INDEX(Ventes_Encaissements!$B$6:$B$3005,_xludf.AGGREGATE(15,6,(ROW(Ventes_Encaissements!$B$6:$B$3005)-ROW(Ventes_Encaissements!$B$6)+1)/((Ventes_Encaissements!$E$6:$E$3005=$B782)*(Ventes_Encaissements!$J$6:$J$3005=$G782)*(Ventes_Encaissements!$C$6:$C$3005&gt;=$C782-3)*(Ventes_Encaissements!$C$6:$C$3005&lt;=$C782+3)),1)))</f>
        <v/>
      </c>
      <c r="K782" s="6" t="n"/>
    </row>
    <row r="783">
      <c r="A783" s="6" t="n"/>
      <c r="B783" s="6" t="n"/>
      <c r="C783" s="19" t="n"/>
      <c r="D783" s="19" t="n"/>
      <c r="E783" s="6" t="n"/>
      <c r="F783" s="20" t="n"/>
      <c r="G783" s="9">
        <f>IF($F783="","",IF($F783&gt;0,ROUND($F783,2),""))</f>
        <v/>
      </c>
      <c r="H783" s="12">
        <f>IF(OR($B783="",$C783="",$G783=""),"",COUNTIFS(Ventes_Encaissements!$E$6:$E$3005,$B783,Ventes_Encaissements!$J$6:$J$3005,$G783,Ventes_Encaissements!$C$6:$C$3005,"&gt;="&amp;($C783-3),Ventes_Encaissements!$C$6:$C$3005,"&lt;="&amp;($C783+3)))</f>
        <v/>
      </c>
      <c r="I783" s="12">
        <f>IF($H783="","",IF($H783=0,"Non trouvé",IF($H783=1,"Match","À vérifier")))</f>
        <v/>
      </c>
      <c r="J783" s="21">
        <f>IF($I783&lt;&gt;"Match","",INDEX(Ventes_Encaissements!$B$6:$B$3005,_xludf.AGGREGATE(15,6,(ROW(Ventes_Encaissements!$B$6:$B$3005)-ROW(Ventes_Encaissements!$B$6)+1)/((Ventes_Encaissements!$E$6:$E$3005=$B783)*(Ventes_Encaissements!$J$6:$J$3005=$G783)*(Ventes_Encaissements!$C$6:$C$3005&gt;=$C783-3)*(Ventes_Encaissements!$C$6:$C$3005&lt;=$C783+3)),1)))</f>
        <v/>
      </c>
      <c r="K783" s="6" t="n"/>
    </row>
    <row r="784">
      <c r="A784" s="6" t="n"/>
      <c r="B784" s="6" t="n"/>
      <c r="C784" s="19" t="n"/>
      <c r="D784" s="19" t="n"/>
      <c r="E784" s="6" t="n"/>
      <c r="F784" s="20" t="n"/>
      <c r="G784" s="9">
        <f>IF($F784="","",IF($F784&gt;0,ROUND($F784,2),""))</f>
        <v/>
      </c>
      <c r="H784" s="12">
        <f>IF(OR($B784="",$C784="",$G784=""),"",COUNTIFS(Ventes_Encaissements!$E$6:$E$3005,$B784,Ventes_Encaissements!$J$6:$J$3005,$G784,Ventes_Encaissements!$C$6:$C$3005,"&gt;="&amp;($C784-3),Ventes_Encaissements!$C$6:$C$3005,"&lt;="&amp;($C784+3)))</f>
        <v/>
      </c>
      <c r="I784" s="12">
        <f>IF($H784="","",IF($H784=0,"Non trouvé",IF($H784=1,"Match","À vérifier")))</f>
        <v/>
      </c>
      <c r="J784" s="21">
        <f>IF($I784&lt;&gt;"Match","",INDEX(Ventes_Encaissements!$B$6:$B$3005,_xludf.AGGREGATE(15,6,(ROW(Ventes_Encaissements!$B$6:$B$3005)-ROW(Ventes_Encaissements!$B$6)+1)/((Ventes_Encaissements!$E$6:$E$3005=$B784)*(Ventes_Encaissements!$J$6:$J$3005=$G784)*(Ventes_Encaissements!$C$6:$C$3005&gt;=$C784-3)*(Ventes_Encaissements!$C$6:$C$3005&lt;=$C784+3)),1)))</f>
        <v/>
      </c>
      <c r="K784" s="6" t="n"/>
    </row>
    <row r="785">
      <c r="A785" s="6" t="n"/>
      <c r="B785" s="6" t="n"/>
      <c r="C785" s="19" t="n"/>
      <c r="D785" s="19" t="n"/>
      <c r="E785" s="6" t="n"/>
      <c r="F785" s="20" t="n"/>
      <c r="G785" s="9">
        <f>IF($F785="","",IF($F785&gt;0,ROUND($F785,2),""))</f>
        <v/>
      </c>
      <c r="H785" s="12">
        <f>IF(OR($B785="",$C785="",$G785=""),"",COUNTIFS(Ventes_Encaissements!$E$6:$E$3005,$B785,Ventes_Encaissements!$J$6:$J$3005,$G785,Ventes_Encaissements!$C$6:$C$3005,"&gt;="&amp;($C785-3),Ventes_Encaissements!$C$6:$C$3005,"&lt;="&amp;($C785+3)))</f>
        <v/>
      </c>
      <c r="I785" s="12">
        <f>IF($H785="","",IF($H785=0,"Non trouvé",IF($H785=1,"Match","À vérifier")))</f>
        <v/>
      </c>
      <c r="J785" s="21">
        <f>IF($I785&lt;&gt;"Match","",INDEX(Ventes_Encaissements!$B$6:$B$3005,_xludf.AGGREGATE(15,6,(ROW(Ventes_Encaissements!$B$6:$B$3005)-ROW(Ventes_Encaissements!$B$6)+1)/((Ventes_Encaissements!$E$6:$E$3005=$B785)*(Ventes_Encaissements!$J$6:$J$3005=$G785)*(Ventes_Encaissements!$C$6:$C$3005&gt;=$C785-3)*(Ventes_Encaissements!$C$6:$C$3005&lt;=$C785+3)),1)))</f>
        <v/>
      </c>
      <c r="K785" s="6" t="n"/>
    </row>
    <row r="786">
      <c r="A786" s="6" t="n"/>
      <c r="B786" s="6" t="n"/>
      <c r="C786" s="19" t="n"/>
      <c r="D786" s="19" t="n"/>
      <c r="E786" s="6" t="n"/>
      <c r="F786" s="20" t="n"/>
      <c r="G786" s="9">
        <f>IF($F786="","",IF($F786&gt;0,ROUND($F786,2),""))</f>
        <v/>
      </c>
      <c r="H786" s="12">
        <f>IF(OR($B786="",$C786="",$G786=""),"",COUNTIFS(Ventes_Encaissements!$E$6:$E$3005,$B786,Ventes_Encaissements!$J$6:$J$3005,$G786,Ventes_Encaissements!$C$6:$C$3005,"&gt;="&amp;($C786-3),Ventes_Encaissements!$C$6:$C$3005,"&lt;="&amp;($C786+3)))</f>
        <v/>
      </c>
      <c r="I786" s="12">
        <f>IF($H786="","",IF($H786=0,"Non trouvé",IF($H786=1,"Match","À vérifier")))</f>
        <v/>
      </c>
      <c r="J786" s="21">
        <f>IF($I786&lt;&gt;"Match","",INDEX(Ventes_Encaissements!$B$6:$B$3005,_xludf.AGGREGATE(15,6,(ROW(Ventes_Encaissements!$B$6:$B$3005)-ROW(Ventes_Encaissements!$B$6)+1)/((Ventes_Encaissements!$E$6:$E$3005=$B786)*(Ventes_Encaissements!$J$6:$J$3005=$G786)*(Ventes_Encaissements!$C$6:$C$3005&gt;=$C786-3)*(Ventes_Encaissements!$C$6:$C$3005&lt;=$C786+3)),1)))</f>
        <v/>
      </c>
      <c r="K786" s="6" t="n"/>
    </row>
    <row r="787">
      <c r="A787" s="6" t="n"/>
      <c r="B787" s="6" t="n"/>
      <c r="C787" s="19" t="n"/>
      <c r="D787" s="19" t="n"/>
      <c r="E787" s="6" t="n"/>
      <c r="F787" s="20" t="n"/>
      <c r="G787" s="9">
        <f>IF($F787="","",IF($F787&gt;0,ROUND($F787,2),""))</f>
        <v/>
      </c>
      <c r="H787" s="12">
        <f>IF(OR($B787="",$C787="",$G787=""),"",COUNTIFS(Ventes_Encaissements!$E$6:$E$3005,$B787,Ventes_Encaissements!$J$6:$J$3005,$G787,Ventes_Encaissements!$C$6:$C$3005,"&gt;="&amp;($C787-3),Ventes_Encaissements!$C$6:$C$3005,"&lt;="&amp;($C787+3)))</f>
        <v/>
      </c>
      <c r="I787" s="12">
        <f>IF($H787="","",IF($H787=0,"Non trouvé",IF($H787=1,"Match","À vérifier")))</f>
        <v/>
      </c>
      <c r="J787" s="21">
        <f>IF($I787&lt;&gt;"Match","",INDEX(Ventes_Encaissements!$B$6:$B$3005,_xludf.AGGREGATE(15,6,(ROW(Ventes_Encaissements!$B$6:$B$3005)-ROW(Ventes_Encaissements!$B$6)+1)/((Ventes_Encaissements!$E$6:$E$3005=$B787)*(Ventes_Encaissements!$J$6:$J$3005=$G787)*(Ventes_Encaissements!$C$6:$C$3005&gt;=$C787-3)*(Ventes_Encaissements!$C$6:$C$3005&lt;=$C787+3)),1)))</f>
        <v/>
      </c>
      <c r="K787" s="6" t="n"/>
    </row>
    <row r="788">
      <c r="A788" s="6" t="n"/>
      <c r="B788" s="6" t="n"/>
      <c r="C788" s="19" t="n"/>
      <c r="D788" s="19" t="n"/>
      <c r="E788" s="6" t="n"/>
      <c r="F788" s="20" t="n"/>
      <c r="G788" s="9">
        <f>IF($F788="","",IF($F788&gt;0,ROUND($F788,2),""))</f>
        <v/>
      </c>
      <c r="H788" s="12">
        <f>IF(OR($B788="",$C788="",$G788=""),"",COUNTIFS(Ventes_Encaissements!$E$6:$E$3005,$B788,Ventes_Encaissements!$J$6:$J$3005,$G788,Ventes_Encaissements!$C$6:$C$3005,"&gt;="&amp;($C788-3),Ventes_Encaissements!$C$6:$C$3005,"&lt;="&amp;($C788+3)))</f>
        <v/>
      </c>
      <c r="I788" s="12">
        <f>IF($H788="","",IF($H788=0,"Non trouvé",IF($H788=1,"Match","À vérifier")))</f>
        <v/>
      </c>
      <c r="J788" s="21">
        <f>IF($I788&lt;&gt;"Match","",INDEX(Ventes_Encaissements!$B$6:$B$3005,_xludf.AGGREGATE(15,6,(ROW(Ventes_Encaissements!$B$6:$B$3005)-ROW(Ventes_Encaissements!$B$6)+1)/((Ventes_Encaissements!$E$6:$E$3005=$B788)*(Ventes_Encaissements!$J$6:$J$3005=$G788)*(Ventes_Encaissements!$C$6:$C$3005&gt;=$C788-3)*(Ventes_Encaissements!$C$6:$C$3005&lt;=$C788+3)),1)))</f>
        <v/>
      </c>
      <c r="K788" s="6" t="n"/>
    </row>
    <row r="789">
      <c r="A789" s="6" t="n"/>
      <c r="B789" s="6" t="n"/>
      <c r="C789" s="19" t="n"/>
      <c r="D789" s="19" t="n"/>
      <c r="E789" s="6" t="n"/>
      <c r="F789" s="20" t="n"/>
      <c r="G789" s="9">
        <f>IF($F789="","",IF($F789&gt;0,ROUND($F789,2),""))</f>
        <v/>
      </c>
      <c r="H789" s="12">
        <f>IF(OR($B789="",$C789="",$G789=""),"",COUNTIFS(Ventes_Encaissements!$E$6:$E$3005,$B789,Ventes_Encaissements!$J$6:$J$3005,$G789,Ventes_Encaissements!$C$6:$C$3005,"&gt;="&amp;($C789-3),Ventes_Encaissements!$C$6:$C$3005,"&lt;="&amp;($C789+3)))</f>
        <v/>
      </c>
      <c r="I789" s="12">
        <f>IF($H789="","",IF($H789=0,"Non trouvé",IF($H789=1,"Match","À vérifier")))</f>
        <v/>
      </c>
      <c r="J789" s="21">
        <f>IF($I789&lt;&gt;"Match","",INDEX(Ventes_Encaissements!$B$6:$B$3005,_xludf.AGGREGATE(15,6,(ROW(Ventes_Encaissements!$B$6:$B$3005)-ROW(Ventes_Encaissements!$B$6)+1)/((Ventes_Encaissements!$E$6:$E$3005=$B789)*(Ventes_Encaissements!$J$6:$J$3005=$G789)*(Ventes_Encaissements!$C$6:$C$3005&gt;=$C789-3)*(Ventes_Encaissements!$C$6:$C$3005&lt;=$C789+3)),1)))</f>
        <v/>
      </c>
      <c r="K789" s="6" t="n"/>
    </row>
    <row r="790">
      <c r="A790" s="6" t="n"/>
      <c r="B790" s="6" t="n"/>
      <c r="C790" s="19" t="n"/>
      <c r="D790" s="19" t="n"/>
      <c r="E790" s="6" t="n"/>
      <c r="F790" s="20" t="n"/>
      <c r="G790" s="9">
        <f>IF($F790="","",IF($F790&gt;0,ROUND($F790,2),""))</f>
        <v/>
      </c>
      <c r="H790" s="12">
        <f>IF(OR($B790="",$C790="",$G790=""),"",COUNTIFS(Ventes_Encaissements!$E$6:$E$3005,$B790,Ventes_Encaissements!$J$6:$J$3005,$G790,Ventes_Encaissements!$C$6:$C$3005,"&gt;="&amp;($C790-3),Ventes_Encaissements!$C$6:$C$3005,"&lt;="&amp;($C790+3)))</f>
        <v/>
      </c>
      <c r="I790" s="12">
        <f>IF($H790="","",IF($H790=0,"Non trouvé",IF($H790=1,"Match","À vérifier")))</f>
        <v/>
      </c>
      <c r="J790" s="21">
        <f>IF($I790&lt;&gt;"Match","",INDEX(Ventes_Encaissements!$B$6:$B$3005,_xludf.AGGREGATE(15,6,(ROW(Ventes_Encaissements!$B$6:$B$3005)-ROW(Ventes_Encaissements!$B$6)+1)/((Ventes_Encaissements!$E$6:$E$3005=$B790)*(Ventes_Encaissements!$J$6:$J$3005=$G790)*(Ventes_Encaissements!$C$6:$C$3005&gt;=$C790-3)*(Ventes_Encaissements!$C$6:$C$3005&lt;=$C790+3)),1)))</f>
        <v/>
      </c>
      <c r="K790" s="6" t="n"/>
    </row>
    <row r="791">
      <c r="A791" s="6" t="n"/>
      <c r="B791" s="6" t="n"/>
      <c r="C791" s="19" t="n"/>
      <c r="D791" s="19" t="n"/>
      <c r="E791" s="6" t="n"/>
      <c r="F791" s="20" t="n"/>
      <c r="G791" s="9">
        <f>IF($F791="","",IF($F791&gt;0,ROUND($F791,2),""))</f>
        <v/>
      </c>
      <c r="H791" s="12">
        <f>IF(OR($B791="",$C791="",$G791=""),"",COUNTIFS(Ventes_Encaissements!$E$6:$E$3005,$B791,Ventes_Encaissements!$J$6:$J$3005,$G791,Ventes_Encaissements!$C$6:$C$3005,"&gt;="&amp;($C791-3),Ventes_Encaissements!$C$6:$C$3005,"&lt;="&amp;($C791+3)))</f>
        <v/>
      </c>
      <c r="I791" s="12">
        <f>IF($H791="","",IF($H791=0,"Non trouvé",IF($H791=1,"Match","À vérifier")))</f>
        <v/>
      </c>
      <c r="J791" s="21">
        <f>IF($I791&lt;&gt;"Match","",INDEX(Ventes_Encaissements!$B$6:$B$3005,_xludf.AGGREGATE(15,6,(ROW(Ventes_Encaissements!$B$6:$B$3005)-ROW(Ventes_Encaissements!$B$6)+1)/((Ventes_Encaissements!$E$6:$E$3005=$B791)*(Ventes_Encaissements!$J$6:$J$3005=$G791)*(Ventes_Encaissements!$C$6:$C$3005&gt;=$C791-3)*(Ventes_Encaissements!$C$6:$C$3005&lt;=$C791+3)),1)))</f>
        <v/>
      </c>
      <c r="K791" s="6" t="n"/>
    </row>
    <row r="792">
      <c r="A792" s="6" t="n"/>
      <c r="B792" s="6" t="n"/>
      <c r="C792" s="19" t="n"/>
      <c r="D792" s="19" t="n"/>
      <c r="E792" s="6" t="n"/>
      <c r="F792" s="20" t="n"/>
      <c r="G792" s="9">
        <f>IF($F792="","",IF($F792&gt;0,ROUND($F792,2),""))</f>
        <v/>
      </c>
      <c r="H792" s="12">
        <f>IF(OR($B792="",$C792="",$G792=""),"",COUNTIFS(Ventes_Encaissements!$E$6:$E$3005,$B792,Ventes_Encaissements!$J$6:$J$3005,$G792,Ventes_Encaissements!$C$6:$C$3005,"&gt;="&amp;($C792-3),Ventes_Encaissements!$C$6:$C$3005,"&lt;="&amp;($C792+3)))</f>
        <v/>
      </c>
      <c r="I792" s="12">
        <f>IF($H792="","",IF($H792=0,"Non trouvé",IF($H792=1,"Match","À vérifier")))</f>
        <v/>
      </c>
      <c r="J792" s="21">
        <f>IF($I792&lt;&gt;"Match","",INDEX(Ventes_Encaissements!$B$6:$B$3005,_xludf.AGGREGATE(15,6,(ROW(Ventes_Encaissements!$B$6:$B$3005)-ROW(Ventes_Encaissements!$B$6)+1)/((Ventes_Encaissements!$E$6:$E$3005=$B792)*(Ventes_Encaissements!$J$6:$J$3005=$G792)*(Ventes_Encaissements!$C$6:$C$3005&gt;=$C792-3)*(Ventes_Encaissements!$C$6:$C$3005&lt;=$C792+3)),1)))</f>
        <v/>
      </c>
      <c r="K792" s="6" t="n"/>
    </row>
    <row r="793">
      <c r="A793" s="6" t="n"/>
      <c r="B793" s="6" t="n"/>
      <c r="C793" s="19" t="n"/>
      <c r="D793" s="19" t="n"/>
      <c r="E793" s="6" t="n"/>
      <c r="F793" s="20" t="n"/>
      <c r="G793" s="9">
        <f>IF($F793="","",IF($F793&gt;0,ROUND($F793,2),""))</f>
        <v/>
      </c>
      <c r="H793" s="12">
        <f>IF(OR($B793="",$C793="",$G793=""),"",COUNTIFS(Ventes_Encaissements!$E$6:$E$3005,$B793,Ventes_Encaissements!$J$6:$J$3005,$G793,Ventes_Encaissements!$C$6:$C$3005,"&gt;="&amp;($C793-3),Ventes_Encaissements!$C$6:$C$3005,"&lt;="&amp;($C793+3)))</f>
        <v/>
      </c>
      <c r="I793" s="12">
        <f>IF($H793="","",IF($H793=0,"Non trouvé",IF($H793=1,"Match","À vérifier")))</f>
        <v/>
      </c>
      <c r="J793" s="21">
        <f>IF($I793&lt;&gt;"Match","",INDEX(Ventes_Encaissements!$B$6:$B$3005,_xludf.AGGREGATE(15,6,(ROW(Ventes_Encaissements!$B$6:$B$3005)-ROW(Ventes_Encaissements!$B$6)+1)/((Ventes_Encaissements!$E$6:$E$3005=$B793)*(Ventes_Encaissements!$J$6:$J$3005=$G793)*(Ventes_Encaissements!$C$6:$C$3005&gt;=$C793-3)*(Ventes_Encaissements!$C$6:$C$3005&lt;=$C793+3)),1)))</f>
        <v/>
      </c>
      <c r="K793" s="6" t="n"/>
    </row>
    <row r="794">
      <c r="A794" s="6" t="n"/>
      <c r="B794" s="6" t="n"/>
      <c r="C794" s="19" t="n"/>
      <c r="D794" s="19" t="n"/>
      <c r="E794" s="6" t="n"/>
      <c r="F794" s="20" t="n"/>
      <c r="G794" s="9">
        <f>IF($F794="","",IF($F794&gt;0,ROUND($F794,2),""))</f>
        <v/>
      </c>
      <c r="H794" s="12">
        <f>IF(OR($B794="",$C794="",$G794=""),"",COUNTIFS(Ventes_Encaissements!$E$6:$E$3005,$B794,Ventes_Encaissements!$J$6:$J$3005,$G794,Ventes_Encaissements!$C$6:$C$3005,"&gt;="&amp;($C794-3),Ventes_Encaissements!$C$6:$C$3005,"&lt;="&amp;($C794+3)))</f>
        <v/>
      </c>
      <c r="I794" s="12">
        <f>IF($H794="","",IF($H794=0,"Non trouvé",IF($H794=1,"Match","À vérifier")))</f>
        <v/>
      </c>
      <c r="J794" s="21">
        <f>IF($I794&lt;&gt;"Match","",INDEX(Ventes_Encaissements!$B$6:$B$3005,_xludf.AGGREGATE(15,6,(ROW(Ventes_Encaissements!$B$6:$B$3005)-ROW(Ventes_Encaissements!$B$6)+1)/((Ventes_Encaissements!$E$6:$E$3005=$B794)*(Ventes_Encaissements!$J$6:$J$3005=$G794)*(Ventes_Encaissements!$C$6:$C$3005&gt;=$C794-3)*(Ventes_Encaissements!$C$6:$C$3005&lt;=$C794+3)),1)))</f>
        <v/>
      </c>
      <c r="K794" s="6" t="n"/>
    </row>
    <row r="795">
      <c r="A795" s="6" t="n"/>
      <c r="B795" s="6" t="n"/>
      <c r="C795" s="19" t="n"/>
      <c r="D795" s="19" t="n"/>
      <c r="E795" s="6" t="n"/>
      <c r="F795" s="20" t="n"/>
      <c r="G795" s="9">
        <f>IF($F795="","",IF($F795&gt;0,ROUND($F795,2),""))</f>
        <v/>
      </c>
      <c r="H795" s="12">
        <f>IF(OR($B795="",$C795="",$G795=""),"",COUNTIFS(Ventes_Encaissements!$E$6:$E$3005,$B795,Ventes_Encaissements!$J$6:$J$3005,$G795,Ventes_Encaissements!$C$6:$C$3005,"&gt;="&amp;($C795-3),Ventes_Encaissements!$C$6:$C$3005,"&lt;="&amp;($C795+3)))</f>
        <v/>
      </c>
      <c r="I795" s="12">
        <f>IF($H795="","",IF($H795=0,"Non trouvé",IF($H795=1,"Match","À vérifier")))</f>
        <v/>
      </c>
      <c r="J795" s="21">
        <f>IF($I795&lt;&gt;"Match","",INDEX(Ventes_Encaissements!$B$6:$B$3005,_xludf.AGGREGATE(15,6,(ROW(Ventes_Encaissements!$B$6:$B$3005)-ROW(Ventes_Encaissements!$B$6)+1)/((Ventes_Encaissements!$E$6:$E$3005=$B795)*(Ventes_Encaissements!$J$6:$J$3005=$G795)*(Ventes_Encaissements!$C$6:$C$3005&gt;=$C795-3)*(Ventes_Encaissements!$C$6:$C$3005&lt;=$C795+3)),1)))</f>
        <v/>
      </c>
      <c r="K795" s="6" t="n"/>
    </row>
    <row r="796">
      <c r="A796" s="6" t="n"/>
      <c r="B796" s="6" t="n"/>
      <c r="C796" s="19" t="n"/>
      <c r="D796" s="19" t="n"/>
      <c r="E796" s="6" t="n"/>
      <c r="F796" s="20" t="n"/>
      <c r="G796" s="9">
        <f>IF($F796="","",IF($F796&gt;0,ROUND($F796,2),""))</f>
        <v/>
      </c>
      <c r="H796" s="12">
        <f>IF(OR($B796="",$C796="",$G796=""),"",COUNTIFS(Ventes_Encaissements!$E$6:$E$3005,$B796,Ventes_Encaissements!$J$6:$J$3005,$G796,Ventes_Encaissements!$C$6:$C$3005,"&gt;="&amp;($C796-3),Ventes_Encaissements!$C$6:$C$3005,"&lt;="&amp;($C796+3)))</f>
        <v/>
      </c>
      <c r="I796" s="12">
        <f>IF($H796="","",IF($H796=0,"Non trouvé",IF($H796=1,"Match","À vérifier")))</f>
        <v/>
      </c>
      <c r="J796" s="21">
        <f>IF($I796&lt;&gt;"Match","",INDEX(Ventes_Encaissements!$B$6:$B$3005,_xludf.AGGREGATE(15,6,(ROW(Ventes_Encaissements!$B$6:$B$3005)-ROW(Ventes_Encaissements!$B$6)+1)/((Ventes_Encaissements!$E$6:$E$3005=$B796)*(Ventes_Encaissements!$J$6:$J$3005=$G796)*(Ventes_Encaissements!$C$6:$C$3005&gt;=$C796-3)*(Ventes_Encaissements!$C$6:$C$3005&lt;=$C796+3)),1)))</f>
        <v/>
      </c>
      <c r="K796" s="6" t="n"/>
    </row>
    <row r="797">
      <c r="A797" s="6" t="n"/>
      <c r="B797" s="6" t="n"/>
      <c r="C797" s="19" t="n"/>
      <c r="D797" s="19" t="n"/>
      <c r="E797" s="6" t="n"/>
      <c r="F797" s="20" t="n"/>
      <c r="G797" s="9">
        <f>IF($F797="","",IF($F797&gt;0,ROUND($F797,2),""))</f>
        <v/>
      </c>
      <c r="H797" s="12">
        <f>IF(OR($B797="",$C797="",$G797=""),"",COUNTIFS(Ventes_Encaissements!$E$6:$E$3005,$B797,Ventes_Encaissements!$J$6:$J$3005,$G797,Ventes_Encaissements!$C$6:$C$3005,"&gt;="&amp;($C797-3),Ventes_Encaissements!$C$6:$C$3005,"&lt;="&amp;($C797+3)))</f>
        <v/>
      </c>
      <c r="I797" s="12">
        <f>IF($H797="","",IF($H797=0,"Non trouvé",IF($H797=1,"Match","À vérifier")))</f>
        <v/>
      </c>
      <c r="J797" s="21">
        <f>IF($I797&lt;&gt;"Match","",INDEX(Ventes_Encaissements!$B$6:$B$3005,_xludf.AGGREGATE(15,6,(ROW(Ventes_Encaissements!$B$6:$B$3005)-ROW(Ventes_Encaissements!$B$6)+1)/((Ventes_Encaissements!$E$6:$E$3005=$B797)*(Ventes_Encaissements!$J$6:$J$3005=$G797)*(Ventes_Encaissements!$C$6:$C$3005&gt;=$C797-3)*(Ventes_Encaissements!$C$6:$C$3005&lt;=$C797+3)),1)))</f>
        <v/>
      </c>
      <c r="K797" s="6" t="n"/>
    </row>
    <row r="798">
      <c r="A798" s="6" t="n"/>
      <c r="B798" s="6" t="n"/>
      <c r="C798" s="19" t="n"/>
      <c r="D798" s="19" t="n"/>
      <c r="E798" s="6" t="n"/>
      <c r="F798" s="20" t="n"/>
      <c r="G798" s="9">
        <f>IF($F798="","",IF($F798&gt;0,ROUND($F798,2),""))</f>
        <v/>
      </c>
      <c r="H798" s="12">
        <f>IF(OR($B798="",$C798="",$G798=""),"",COUNTIFS(Ventes_Encaissements!$E$6:$E$3005,$B798,Ventes_Encaissements!$J$6:$J$3005,$G798,Ventes_Encaissements!$C$6:$C$3005,"&gt;="&amp;($C798-3),Ventes_Encaissements!$C$6:$C$3005,"&lt;="&amp;($C798+3)))</f>
        <v/>
      </c>
      <c r="I798" s="12">
        <f>IF($H798="","",IF($H798=0,"Non trouvé",IF($H798=1,"Match","À vérifier")))</f>
        <v/>
      </c>
      <c r="J798" s="21">
        <f>IF($I798&lt;&gt;"Match","",INDEX(Ventes_Encaissements!$B$6:$B$3005,_xludf.AGGREGATE(15,6,(ROW(Ventes_Encaissements!$B$6:$B$3005)-ROW(Ventes_Encaissements!$B$6)+1)/((Ventes_Encaissements!$E$6:$E$3005=$B798)*(Ventes_Encaissements!$J$6:$J$3005=$G798)*(Ventes_Encaissements!$C$6:$C$3005&gt;=$C798-3)*(Ventes_Encaissements!$C$6:$C$3005&lt;=$C798+3)),1)))</f>
        <v/>
      </c>
      <c r="K798" s="6" t="n"/>
    </row>
    <row r="799">
      <c r="A799" s="6" t="n"/>
      <c r="B799" s="6" t="n"/>
      <c r="C799" s="19" t="n"/>
      <c r="D799" s="19" t="n"/>
      <c r="E799" s="6" t="n"/>
      <c r="F799" s="20" t="n"/>
      <c r="G799" s="9">
        <f>IF($F799="","",IF($F799&gt;0,ROUND($F799,2),""))</f>
        <v/>
      </c>
      <c r="H799" s="12">
        <f>IF(OR($B799="",$C799="",$G799=""),"",COUNTIFS(Ventes_Encaissements!$E$6:$E$3005,$B799,Ventes_Encaissements!$J$6:$J$3005,$G799,Ventes_Encaissements!$C$6:$C$3005,"&gt;="&amp;($C799-3),Ventes_Encaissements!$C$6:$C$3005,"&lt;="&amp;($C799+3)))</f>
        <v/>
      </c>
      <c r="I799" s="12">
        <f>IF($H799="","",IF($H799=0,"Non trouvé",IF($H799=1,"Match","À vérifier")))</f>
        <v/>
      </c>
      <c r="J799" s="21">
        <f>IF($I799&lt;&gt;"Match","",INDEX(Ventes_Encaissements!$B$6:$B$3005,_xludf.AGGREGATE(15,6,(ROW(Ventes_Encaissements!$B$6:$B$3005)-ROW(Ventes_Encaissements!$B$6)+1)/((Ventes_Encaissements!$E$6:$E$3005=$B799)*(Ventes_Encaissements!$J$6:$J$3005=$G799)*(Ventes_Encaissements!$C$6:$C$3005&gt;=$C799-3)*(Ventes_Encaissements!$C$6:$C$3005&lt;=$C799+3)),1)))</f>
        <v/>
      </c>
      <c r="K799" s="6" t="n"/>
    </row>
    <row r="800">
      <c r="A800" s="6" t="n"/>
      <c r="B800" s="6" t="n"/>
      <c r="C800" s="19" t="n"/>
      <c r="D800" s="19" t="n"/>
      <c r="E800" s="6" t="n"/>
      <c r="F800" s="20" t="n"/>
      <c r="G800" s="9">
        <f>IF($F800="","",IF($F800&gt;0,ROUND($F800,2),""))</f>
        <v/>
      </c>
      <c r="H800" s="12">
        <f>IF(OR($B800="",$C800="",$G800=""),"",COUNTIFS(Ventes_Encaissements!$E$6:$E$3005,$B800,Ventes_Encaissements!$J$6:$J$3005,$G800,Ventes_Encaissements!$C$6:$C$3005,"&gt;="&amp;($C800-3),Ventes_Encaissements!$C$6:$C$3005,"&lt;="&amp;($C800+3)))</f>
        <v/>
      </c>
      <c r="I800" s="12">
        <f>IF($H800="","",IF($H800=0,"Non trouvé",IF($H800=1,"Match","À vérifier")))</f>
        <v/>
      </c>
      <c r="J800" s="21">
        <f>IF($I800&lt;&gt;"Match","",INDEX(Ventes_Encaissements!$B$6:$B$3005,_xludf.AGGREGATE(15,6,(ROW(Ventes_Encaissements!$B$6:$B$3005)-ROW(Ventes_Encaissements!$B$6)+1)/((Ventes_Encaissements!$E$6:$E$3005=$B800)*(Ventes_Encaissements!$J$6:$J$3005=$G800)*(Ventes_Encaissements!$C$6:$C$3005&gt;=$C800-3)*(Ventes_Encaissements!$C$6:$C$3005&lt;=$C800+3)),1)))</f>
        <v/>
      </c>
      <c r="K800" s="6" t="n"/>
    </row>
    <row r="801">
      <c r="A801" s="6" t="n"/>
      <c r="B801" s="6" t="n"/>
      <c r="C801" s="19" t="n"/>
      <c r="D801" s="19" t="n"/>
      <c r="E801" s="6" t="n"/>
      <c r="F801" s="20" t="n"/>
      <c r="G801" s="9">
        <f>IF($F801="","",IF($F801&gt;0,ROUND($F801,2),""))</f>
        <v/>
      </c>
      <c r="H801" s="12">
        <f>IF(OR($B801="",$C801="",$G801=""),"",COUNTIFS(Ventes_Encaissements!$E$6:$E$3005,$B801,Ventes_Encaissements!$J$6:$J$3005,$G801,Ventes_Encaissements!$C$6:$C$3005,"&gt;="&amp;($C801-3),Ventes_Encaissements!$C$6:$C$3005,"&lt;="&amp;($C801+3)))</f>
        <v/>
      </c>
      <c r="I801" s="12">
        <f>IF($H801="","",IF($H801=0,"Non trouvé",IF($H801=1,"Match","À vérifier")))</f>
        <v/>
      </c>
      <c r="J801" s="21">
        <f>IF($I801&lt;&gt;"Match","",INDEX(Ventes_Encaissements!$B$6:$B$3005,_xludf.AGGREGATE(15,6,(ROW(Ventes_Encaissements!$B$6:$B$3005)-ROW(Ventes_Encaissements!$B$6)+1)/((Ventes_Encaissements!$E$6:$E$3005=$B801)*(Ventes_Encaissements!$J$6:$J$3005=$G801)*(Ventes_Encaissements!$C$6:$C$3005&gt;=$C801-3)*(Ventes_Encaissements!$C$6:$C$3005&lt;=$C801+3)),1)))</f>
        <v/>
      </c>
      <c r="K801" s="6" t="n"/>
    </row>
    <row r="802">
      <c r="A802" s="6" t="n"/>
      <c r="B802" s="6" t="n"/>
      <c r="C802" s="19" t="n"/>
      <c r="D802" s="19" t="n"/>
      <c r="E802" s="6" t="n"/>
      <c r="F802" s="20" t="n"/>
      <c r="G802" s="9">
        <f>IF($F802="","",IF($F802&gt;0,ROUND($F802,2),""))</f>
        <v/>
      </c>
      <c r="H802" s="12">
        <f>IF(OR($B802="",$C802="",$G802=""),"",COUNTIFS(Ventes_Encaissements!$E$6:$E$3005,$B802,Ventes_Encaissements!$J$6:$J$3005,$G802,Ventes_Encaissements!$C$6:$C$3005,"&gt;="&amp;($C802-3),Ventes_Encaissements!$C$6:$C$3005,"&lt;="&amp;($C802+3)))</f>
        <v/>
      </c>
      <c r="I802" s="12">
        <f>IF($H802="","",IF($H802=0,"Non trouvé",IF($H802=1,"Match","À vérifier")))</f>
        <v/>
      </c>
      <c r="J802" s="21">
        <f>IF($I802&lt;&gt;"Match","",INDEX(Ventes_Encaissements!$B$6:$B$3005,_xludf.AGGREGATE(15,6,(ROW(Ventes_Encaissements!$B$6:$B$3005)-ROW(Ventes_Encaissements!$B$6)+1)/((Ventes_Encaissements!$E$6:$E$3005=$B802)*(Ventes_Encaissements!$J$6:$J$3005=$G802)*(Ventes_Encaissements!$C$6:$C$3005&gt;=$C802-3)*(Ventes_Encaissements!$C$6:$C$3005&lt;=$C802+3)),1)))</f>
        <v/>
      </c>
      <c r="K802" s="6" t="n"/>
    </row>
    <row r="803">
      <c r="A803" s="6" t="n"/>
      <c r="B803" s="6" t="n"/>
      <c r="C803" s="19" t="n"/>
      <c r="D803" s="19" t="n"/>
      <c r="E803" s="6" t="n"/>
      <c r="F803" s="20" t="n"/>
      <c r="G803" s="9">
        <f>IF($F803="","",IF($F803&gt;0,ROUND($F803,2),""))</f>
        <v/>
      </c>
      <c r="H803" s="12">
        <f>IF(OR($B803="",$C803="",$G803=""),"",COUNTIFS(Ventes_Encaissements!$E$6:$E$3005,$B803,Ventes_Encaissements!$J$6:$J$3005,$G803,Ventes_Encaissements!$C$6:$C$3005,"&gt;="&amp;($C803-3),Ventes_Encaissements!$C$6:$C$3005,"&lt;="&amp;($C803+3)))</f>
        <v/>
      </c>
      <c r="I803" s="12">
        <f>IF($H803="","",IF($H803=0,"Non trouvé",IF($H803=1,"Match","À vérifier")))</f>
        <v/>
      </c>
      <c r="J803" s="21">
        <f>IF($I803&lt;&gt;"Match","",INDEX(Ventes_Encaissements!$B$6:$B$3005,_xludf.AGGREGATE(15,6,(ROW(Ventes_Encaissements!$B$6:$B$3005)-ROW(Ventes_Encaissements!$B$6)+1)/((Ventes_Encaissements!$E$6:$E$3005=$B803)*(Ventes_Encaissements!$J$6:$J$3005=$G803)*(Ventes_Encaissements!$C$6:$C$3005&gt;=$C803-3)*(Ventes_Encaissements!$C$6:$C$3005&lt;=$C803+3)),1)))</f>
        <v/>
      </c>
      <c r="K803" s="6" t="n"/>
    </row>
    <row r="804">
      <c r="A804" s="6" t="n"/>
      <c r="B804" s="6" t="n"/>
      <c r="C804" s="19" t="n"/>
      <c r="D804" s="19" t="n"/>
      <c r="E804" s="6" t="n"/>
      <c r="F804" s="20" t="n"/>
      <c r="G804" s="9">
        <f>IF($F804="","",IF($F804&gt;0,ROUND($F804,2),""))</f>
        <v/>
      </c>
      <c r="H804" s="12">
        <f>IF(OR($B804="",$C804="",$G804=""),"",COUNTIFS(Ventes_Encaissements!$E$6:$E$3005,$B804,Ventes_Encaissements!$J$6:$J$3005,$G804,Ventes_Encaissements!$C$6:$C$3005,"&gt;="&amp;($C804-3),Ventes_Encaissements!$C$6:$C$3005,"&lt;="&amp;($C804+3)))</f>
        <v/>
      </c>
      <c r="I804" s="12">
        <f>IF($H804="","",IF($H804=0,"Non trouvé",IF($H804=1,"Match","À vérifier")))</f>
        <v/>
      </c>
      <c r="J804" s="21">
        <f>IF($I804&lt;&gt;"Match","",INDEX(Ventes_Encaissements!$B$6:$B$3005,_xludf.AGGREGATE(15,6,(ROW(Ventes_Encaissements!$B$6:$B$3005)-ROW(Ventes_Encaissements!$B$6)+1)/((Ventes_Encaissements!$E$6:$E$3005=$B804)*(Ventes_Encaissements!$J$6:$J$3005=$G804)*(Ventes_Encaissements!$C$6:$C$3005&gt;=$C804-3)*(Ventes_Encaissements!$C$6:$C$3005&lt;=$C804+3)),1)))</f>
        <v/>
      </c>
      <c r="K804" s="6" t="n"/>
    </row>
    <row r="805">
      <c r="A805" s="6" t="n"/>
      <c r="B805" s="6" t="n"/>
      <c r="C805" s="19" t="n"/>
      <c r="D805" s="19" t="n"/>
      <c r="E805" s="6" t="n"/>
      <c r="F805" s="20" t="n"/>
      <c r="G805" s="9">
        <f>IF($F805="","",IF($F805&gt;0,ROUND($F805,2),""))</f>
        <v/>
      </c>
      <c r="H805" s="12">
        <f>IF(OR($B805="",$C805="",$G805=""),"",COUNTIFS(Ventes_Encaissements!$E$6:$E$3005,$B805,Ventes_Encaissements!$J$6:$J$3005,$G805,Ventes_Encaissements!$C$6:$C$3005,"&gt;="&amp;($C805-3),Ventes_Encaissements!$C$6:$C$3005,"&lt;="&amp;($C805+3)))</f>
        <v/>
      </c>
      <c r="I805" s="12">
        <f>IF($H805="","",IF($H805=0,"Non trouvé",IF($H805=1,"Match","À vérifier")))</f>
        <v/>
      </c>
      <c r="J805" s="21">
        <f>IF($I805&lt;&gt;"Match","",INDEX(Ventes_Encaissements!$B$6:$B$3005,_xludf.AGGREGATE(15,6,(ROW(Ventes_Encaissements!$B$6:$B$3005)-ROW(Ventes_Encaissements!$B$6)+1)/((Ventes_Encaissements!$E$6:$E$3005=$B805)*(Ventes_Encaissements!$J$6:$J$3005=$G805)*(Ventes_Encaissements!$C$6:$C$3005&gt;=$C805-3)*(Ventes_Encaissements!$C$6:$C$3005&lt;=$C805+3)),1)))</f>
        <v/>
      </c>
      <c r="K805" s="6" t="n"/>
    </row>
    <row r="806">
      <c r="A806" s="6" t="n"/>
      <c r="B806" s="6" t="n"/>
      <c r="C806" s="19" t="n"/>
      <c r="D806" s="19" t="n"/>
      <c r="E806" s="6" t="n"/>
      <c r="F806" s="20" t="n"/>
      <c r="G806" s="9">
        <f>IF($F806="","",IF($F806&gt;0,ROUND($F806,2),""))</f>
        <v/>
      </c>
      <c r="H806" s="12">
        <f>IF(OR($B806="",$C806="",$G806=""),"",COUNTIFS(Ventes_Encaissements!$E$6:$E$3005,$B806,Ventes_Encaissements!$J$6:$J$3005,$G806,Ventes_Encaissements!$C$6:$C$3005,"&gt;="&amp;($C806-3),Ventes_Encaissements!$C$6:$C$3005,"&lt;="&amp;($C806+3)))</f>
        <v/>
      </c>
      <c r="I806" s="12">
        <f>IF($H806="","",IF($H806=0,"Non trouvé",IF($H806=1,"Match","À vérifier")))</f>
        <v/>
      </c>
      <c r="J806" s="21">
        <f>IF($I806&lt;&gt;"Match","",INDEX(Ventes_Encaissements!$B$6:$B$3005,_xludf.AGGREGATE(15,6,(ROW(Ventes_Encaissements!$B$6:$B$3005)-ROW(Ventes_Encaissements!$B$6)+1)/((Ventes_Encaissements!$E$6:$E$3005=$B806)*(Ventes_Encaissements!$J$6:$J$3005=$G806)*(Ventes_Encaissements!$C$6:$C$3005&gt;=$C806-3)*(Ventes_Encaissements!$C$6:$C$3005&lt;=$C806+3)),1)))</f>
        <v/>
      </c>
      <c r="K806" s="6" t="n"/>
    </row>
    <row r="807">
      <c r="A807" s="6" t="n"/>
      <c r="B807" s="6" t="n"/>
      <c r="C807" s="19" t="n"/>
      <c r="D807" s="19" t="n"/>
      <c r="E807" s="6" t="n"/>
      <c r="F807" s="20" t="n"/>
      <c r="G807" s="9">
        <f>IF($F807="","",IF($F807&gt;0,ROUND($F807,2),""))</f>
        <v/>
      </c>
      <c r="H807" s="12">
        <f>IF(OR($B807="",$C807="",$G807=""),"",COUNTIFS(Ventes_Encaissements!$E$6:$E$3005,$B807,Ventes_Encaissements!$J$6:$J$3005,$G807,Ventes_Encaissements!$C$6:$C$3005,"&gt;="&amp;($C807-3),Ventes_Encaissements!$C$6:$C$3005,"&lt;="&amp;($C807+3)))</f>
        <v/>
      </c>
      <c r="I807" s="12">
        <f>IF($H807="","",IF($H807=0,"Non trouvé",IF($H807=1,"Match","À vérifier")))</f>
        <v/>
      </c>
      <c r="J807" s="21">
        <f>IF($I807&lt;&gt;"Match","",INDEX(Ventes_Encaissements!$B$6:$B$3005,_xludf.AGGREGATE(15,6,(ROW(Ventes_Encaissements!$B$6:$B$3005)-ROW(Ventes_Encaissements!$B$6)+1)/((Ventes_Encaissements!$E$6:$E$3005=$B807)*(Ventes_Encaissements!$J$6:$J$3005=$G807)*(Ventes_Encaissements!$C$6:$C$3005&gt;=$C807-3)*(Ventes_Encaissements!$C$6:$C$3005&lt;=$C807+3)),1)))</f>
        <v/>
      </c>
      <c r="K807" s="6" t="n"/>
    </row>
    <row r="808">
      <c r="A808" s="6" t="n"/>
      <c r="B808" s="6" t="n"/>
      <c r="C808" s="19" t="n"/>
      <c r="D808" s="19" t="n"/>
      <c r="E808" s="6" t="n"/>
      <c r="F808" s="20" t="n"/>
      <c r="G808" s="9">
        <f>IF($F808="","",IF($F808&gt;0,ROUND($F808,2),""))</f>
        <v/>
      </c>
      <c r="H808" s="12">
        <f>IF(OR($B808="",$C808="",$G808=""),"",COUNTIFS(Ventes_Encaissements!$E$6:$E$3005,$B808,Ventes_Encaissements!$J$6:$J$3005,$G808,Ventes_Encaissements!$C$6:$C$3005,"&gt;="&amp;($C808-3),Ventes_Encaissements!$C$6:$C$3005,"&lt;="&amp;($C808+3)))</f>
        <v/>
      </c>
      <c r="I808" s="12">
        <f>IF($H808="","",IF($H808=0,"Non trouvé",IF($H808=1,"Match","À vérifier")))</f>
        <v/>
      </c>
      <c r="J808" s="21">
        <f>IF($I808&lt;&gt;"Match","",INDEX(Ventes_Encaissements!$B$6:$B$3005,_xludf.AGGREGATE(15,6,(ROW(Ventes_Encaissements!$B$6:$B$3005)-ROW(Ventes_Encaissements!$B$6)+1)/((Ventes_Encaissements!$E$6:$E$3005=$B808)*(Ventes_Encaissements!$J$6:$J$3005=$G808)*(Ventes_Encaissements!$C$6:$C$3005&gt;=$C808-3)*(Ventes_Encaissements!$C$6:$C$3005&lt;=$C808+3)),1)))</f>
        <v/>
      </c>
      <c r="K808" s="6" t="n"/>
    </row>
    <row r="809">
      <c r="A809" s="6" t="n"/>
      <c r="B809" s="6" t="n"/>
      <c r="C809" s="19" t="n"/>
      <c r="D809" s="19" t="n"/>
      <c r="E809" s="6" t="n"/>
      <c r="F809" s="20" t="n"/>
      <c r="G809" s="9">
        <f>IF($F809="","",IF($F809&gt;0,ROUND($F809,2),""))</f>
        <v/>
      </c>
      <c r="H809" s="12">
        <f>IF(OR($B809="",$C809="",$G809=""),"",COUNTIFS(Ventes_Encaissements!$E$6:$E$3005,$B809,Ventes_Encaissements!$J$6:$J$3005,$G809,Ventes_Encaissements!$C$6:$C$3005,"&gt;="&amp;($C809-3),Ventes_Encaissements!$C$6:$C$3005,"&lt;="&amp;($C809+3)))</f>
        <v/>
      </c>
      <c r="I809" s="12">
        <f>IF($H809="","",IF($H809=0,"Non trouvé",IF($H809=1,"Match","À vérifier")))</f>
        <v/>
      </c>
      <c r="J809" s="21">
        <f>IF($I809&lt;&gt;"Match","",INDEX(Ventes_Encaissements!$B$6:$B$3005,_xludf.AGGREGATE(15,6,(ROW(Ventes_Encaissements!$B$6:$B$3005)-ROW(Ventes_Encaissements!$B$6)+1)/((Ventes_Encaissements!$E$6:$E$3005=$B809)*(Ventes_Encaissements!$J$6:$J$3005=$G809)*(Ventes_Encaissements!$C$6:$C$3005&gt;=$C809-3)*(Ventes_Encaissements!$C$6:$C$3005&lt;=$C809+3)),1)))</f>
        <v/>
      </c>
      <c r="K809" s="6" t="n"/>
    </row>
    <row r="810">
      <c r="A810" s="6" t="n"/>
      <c r="B810" s="6" t="n"/>
      <c r="C810" s="19" t="n"/>
      <c r="D810" s="19" t="n"/>
      <c r="E810" s="6" t="n"/>
      <c r="F810" s="20" t="n"/>
      <c r="G810" s="9">
        <f>IF($F810="","",IF($F810&gt;0,ROUND($F810,2),""))</f>
        <v/>
      </c>
      <c r="H810" s="12">
        <f>IF(OR($B810="",$C810="",$G810=""),"",COUNTIFS(Ventes_Encaissements!$E$6:$E$3005,$B810,Ventes_Encaissements!$J$6:$J$3005,$G810,Ventes_Encaissements!$C$6:$C$3005,"&gt;="&amp;($C810-3),Ventes_Encaissements!$C$6:$C$3005,"&lt;="&amp;($C810+3)))</f>
        <v/>
      </c>
      <c r="I810" s="12">
        <f>IF($H810="","",IF($H810=0,"Non trouvé",IF($H810=1,"Match","À vérifier")))</f>
        <v/>
      </c>
      <c r="J810" s="21">
        <f>IF($I810&lt;&gt;"Match","",INDEX(Ventes_Encaissements!$B$6:$B$3005,_xludf.AGGREGATE(15,6,(ROW(Ventes_Encaissements!$B$6:$B$3005)-ROW(Ventes_Encaissements!$B$6)+1)/((Ventes_Encaissements!$E$6:$E$3005=$B810)*(Ventes_Encaissements!$J$6:$J$3005=$G810)*(Ventes_Encaissements!$C$6:$C$3005&gt;=$C810-3)*(Ventes_Encaissements!$C$6:$C$3005&lt;=$C810+3)),1)))</f>
        <v/>
      </c>
      <c r="K810" s="6" t="n"/>
    </row>
    <row r="811">
      <c r="A811" s="6" t="n"/>
      <c r="B811" s="6" t="n"/>
      <c r="C811" s="19" t="n"/>
      <c r="D811" s="19" t="n"/>
      <c r="E811" s="6" t="n"/>
      <c r="F811" s="20" t="n"/>
      <c r="G811" s="9">
        <f>IF($F811="","",IF($F811&gt;0,ROUND($F811,2),""))</f>
        <v/>
      </c>
      <c r="H811" s="12">
        <f>IF(OR($B811="",$C811="",$G811=""),"",COUNTIFS(Ventes_Encaissements!$E$6:$E$3005,$B811,Ventes_Encaissements!$J$6:$J$3005,$G811,Ventes_Encaissements!$C$6:$C$3005,"&gt;="&amp;($C811-3),Ventes_Encaissements!$C$6:$C$3005,"&lt;="&amp;($C811+3)))</f>
        <v/>
      </c>
      <c r="I811" s="12">
        <f>IF($H811="","",IF($H811=0,"Non trouvé",IF($H811=1,"Match","À vérifier")))</f>
        <v/>
      </c>
      <c r="J811" s="21">
        <f>IF($I811&lt;&gt;"Match","",INDEX(Ventes_Encaissements!$B$6:$B$3005,_xludf.AGGREGATE(15,6,(ROW(Ventes_Encaissements!$B$6:$B$3005)-ROW(Ventes_Encaissements!$B$6)+1)/((Ventes_Encaissements!$E$6:$E$3005=$B811)*(Ventes_Encaissements!$J$6:$J$3005=$G811)*(Ventes_Encaissements!$C$6:$C$3005&gt;=$C811-3)*(Ventes_Encaissements!$C$6:$C$3005&lt;=$C811+3)),1)))</f>
        <v/>
      </c>
      <c r="K811" s="6" t="n"/>
    </row>
    <row r="812">
      <c r="A812" s="6" t="n"/>
      <c r="B812" s="6" t="n"/>
      <c r="C812" s="19" t="n"/>
      <c r="D812" s="19" t="n"/>
      <c r="E812" s="6" t="n"/>
      <c r="F812" s="20" t="n"/>
      <c r="G812" s="9">
        <f>IF($F812="","",IF($F812&gt;0,ROUND($F812,2),""))</f>
        <v/>
      </c>
      <c r="H812" s="12">
        <f>IF(OR($B812="",$C812="",$G812=""),"",COUNTIFS(Ventes_Encaissements!$E$6:$E$3005,$B812,Ventes_Encaissements!$J$6:$J$3005,$G812,Ventes_Encaissements!$C$6:$C$3005,"&gt;="&amp;($C812-3),Ventes_Encaissements!$C$6:$C$3005,"&lt;="&amp;($C812+3)))</f>
        <v/>
      </c>
      <c r="I812" s="12">
        <f>IF($H812="","",IF($H812=0,"Non trouvé",IF($H812=1,"Match","À vérifier")))</f>
        <v/>
      </c>
      <c r="J812" s="21">
        <f>IF($I812&lt;&gt;"Match","",INDEX(Ventes_Encaissements!$B$6:$B$3005,_xludf.AGGREGATE(15,6,(ROW(Ventes_Encaissements!$B$6:$B$3005)-ROW(Ventes_Encaissements!$B$6)+1)/((Ventes_Encaissements!$E$6:$E$3005=$B812)*(Ventes_Encaissements!$J$6:$J$3005=$G812)*(Ventes_Encaissements!$C$6:$C$3005&gt;=$C812-3)*(Ventes_Encaissements!$C$6:$C$3005&lt;=$C812+3)),1)))</f>
        <v/>
      </c>
      <c r="K812" s="6" t="n"/>
    </row>
    <row r="813">
      <c r="A813" s="6" t="n"/>
      <c r="B813" s="6" t="n"/>
      <c r="C813" s="19" t="n"/>
      <c r="D813" s="19" t="n"/>
      <c r="E813" s="6" t="n"/>
      <c r="F813" s="20" t="n"/>
      <c r="G813" s="9">
        <f>IF($F813="","",IF($F813&gt;0,ROUND($F813,2),""))</f>
        <v/>
      </c>
      <c r="H813" s="12">
        <f>IF(OR($B813="",$C813="",$G813=""),"",COUNTIFS(Ventes_Encaissements!$E$6:$E$3005,$B813,Ventes_Encaissements!$J$6:$J$3005,$G813,Ventes_Encaissements!$C$6:$C$3005,"&gt;="&amp;($C813-3),Ventes_Encaissements!$C$6:$C$3005,"&lt;="&amp;($C813+3)))</f>
        <v/>
      </c>
      <c r="I813" s="12">
        <f>IF($H813="","",IF($H813=0,"Non trouvé",IF($H813=1,"Match","À vérifier")))</f>
        <v/>
      </c>
      <c r="J813" s="21">
        <f>IF($I813&lt;&gt;"Match","",INDEX(Ventes_Encaissements!$B$6:$B$3005,_xludf.AGGREGATE(15,6,(ROW(Ventes_Encaissements!$B$6:$B$3005)-ROW(Ventes_Encaissements!$B$6)+1)/((Ventes_Encaissements!$E$6:$E$3005=$B813)*(Ventes_Encaissements!$J$6:$J$3005=$G813)*(Ventes_Encaissements!$C$6:$C$3005&gt;=$C813-3)*(Ventes_Encaissements!$C$6:$C$3005&lt;=$C813+3)),1)))</f>
        <v/>
      </c>
      <c r="K813" s="6" t="n"/>
    </row>
    <row r="814">
      <c r="A814" s="6" t="n"/>
      <c r="B814" s="6" t="n"/>
      <c r="C814" s="19" t="n"/>
      <c r="D814" s="19" t="n"/>
      <c r="E814" s="6" t="n"/>
      <c r="F814" s="20" t="n"/>
      <c r="G814" s="9">
        <f>IF($F814="","",IF($F814&gt;0,ROUND($F814,2),""))</f>
        <v/>
      </c>
      <c r="H814" s="12">
        <f>IF(OR($B814="",$C814="",$G814=""),"",COUNTIFS(Ventes_Encaissements!$E$6:$E$3005,$B814,Ventes_Encaissements!$J$6:$J$3005,$G814,Ventes_Encaissements!$C$6:$C$3005,"&gt;="&amp;($C814-3),Ventes_Encaissements!$C$6:$C$3005,"&lt;="&amp;($C814+3)))</f>
        <v/>
      </c>
      <c r="I814" s="12">
        <f>IF($H814="","",IF($H814=0,"Non trouvé",IF($H814=1,"Match","À vérifier")))</f>
        <v/>
      </c>
      <c r="J814" s="21">
        <f>IF($I814&lt;&gt;"Match","",INDEX(Ventes_Encaissements!$B$6:$B$3005,_xludf.AGGREGATE(15,6,(ROW(Ventes_Encaissements!$B$6:$B$3005)-ROW(Ventes_Encaissements!$B$6)+1)/((Ventes_Encaissements!$E$6:$E$3005=$B814)*(Ventes_Encaissements!$J$6:$J$3005=$G814)*(Ventes_Encaissements!$C$6:$C$3005&gt;=$C814-3)*(Ventes_Encaissements!$C$6:$C$3005&lt;=$C814+3)),1)))</f>
        <v/>
      </c>
      <c r="K814" s="6" t="n"/>
    </row>
    <row r="815">
      <c r="A815" s="6" t="n"/>
      <c r="B815" s="6" t="n"/>
      <c r="C815" s="19" t="n"/>
      <c r="D815" s="19" t="n"/>
      <c r="E815" s="6" t="n"/>
      <c r="F815" s="20" t="n"/>
      <c r="G815" s="9">
        <f>IF($F815="","",IF($F815&gt;0,ROUND($F815,2),""))</f>
        <v/>
      </c>
      <c r="H815" s="12">
        <f>IF(OR($B815="",$C815="",$G815=""),"",COUNTIFS(Ventes_Encaissements!$E$6:$E$3005,$B815,Ventes_Encaissements!$J$6:$J$3005,$G815,Ventes_Encaissements!$C$6:$C$3005,"&gt;="&amp;($C815-3),Ventes_Encaissements!$C$6:$C$3005,"&lt;="&amp;($C815+3)))</f>
        <v/>
      </c>
      <c r="I815" s="12">
        <f>IF($H815="","",IF($H815=0,"Non trouvé",IF($H815=1,"Match","À vérifier")))</f>
        <v/>
      </c>
      <c r="J815" s="21">
        <f>IF($I815&lt;&gt;"Match","",INDEX(Ventes_Encaissements!$B$6:$B$3005,_xludf.AGGREGATE(15,6,(ROW(Ventes_Encaissements!$B$6:$B$3005)-ROW(Ventes_Encaissements!$B$6)+1)/((Ventes_Encaissements!$E$6:$E$3005=$B815)*(Ventes_Encaissements!$J$6:$J$3005=$G815)*(Ventes_Encaissements!$C$6:$C$3005&gt;=$C815-3)*(Ventes_Encaissements!$C$6:$C$3005&lt;=$C815+3)),1)))</f>
        <v/>
      </c>
      <c r="K815" s="6" t="n"/>
    </row>
    <row r="816">
      <c r="A816" s="6" t="n"/>
      <c r="B816" s="6" t="n"/>
      <c r="C816" s="19" t="n"/>
      <c r="D816" s="19" t="n"/>
      <c r="E816" s="6" t="n"/>
      <c r="F816" s="20" t="n"/>
      <c r="G816" s="9">
        <f>IF($F816="","",IF($F816&gt;0,ROUND($F816,2),""))</f>
        <v/>
      </c>
      <c r="H816" s="12">
        <f>IF(OR($B816="",$C816="",$G816=""),"",COUNTIFS(Ventes_Encaissements!$E$6:$E$3005,$B816,Ventes_Encaissements!$J$6:$J$3005,$G816,Ventes_Encaissements!$C$6:$C$3005,"&gt;="&amp;($C816-3),Ventes_Encaissements!$C$6:$C$3005,"&lt;="&amp;($C816+3)))</f>
        <v/>
      </c>
      <c r="I816" s="12">
        <f>IF($H816="","",IF($H816=0,"Non trouvé",IF($H816=1,"Match","À vérifier")))</f>
        <v/>
      </c>
      <c r="J816" s="21">
        <f>IF($I816&lt;&gt;"Match","",INDEX(Ventes_Encaissements!$B$6:$B$3005,_xludf.AGGREGATE(15,6,(ROW(Ventes_Encaissements!$B$6:$B$3005)-ROW(Ventes_Encaissements!$B$6)+1)/((Ventes_Encaissements!$E$6:$E$3005=$B816)*(Ventes_Encaissements!$J$6:$J$3005=$G816)*(Ventes_Encaissements!$C$6:$C$3005&gt;=$C816-3)*(Ventes_Encaissements!$C$6:$C$3005&lt;=$C816+3)),1)))</f>
        <v/>
      </c>
      <c r="K816" s="6" t="n"/>
    </row>
    <row r="817">
      <c r="A817" s="6" t="n"/>
      <c r="B817" s="6" t="n"/>
      <c r="C817" s="19" t="n"/>
      <c r="D817" s="19" t="n"/>
      <c r="E817" s="6" t="n"/>
      <c r="F817" s="20" t="n"/>
      <c r="G817" s="9">
        <f>IF($F817="","",IF($F817&gt;0,ROUND($F817,2),""))</f>
        <v/>
      </c>
      <c r="H817" s="12">
        <f>IF(OR($B817="",$C817="",$G817=""),"",COUNTIFS(Ventes_Encaissements!$E$6:$E$3005,$B817,Ventes_Encaissements!$J$6:$J$3005,$G817,Ventes_Encaissements!$C$6:$C$3005,"&gt;="&amp;($C817-3),Ventes_Encaissements!$C$6:$C$3005,"&lt;="&amp;($C817+3)))</f>
        <v/>
      </c>
      <c r="I817" s="12">
        <f>IF($H817="","",IF($H817=0,"Non trouvé",IF($H817=1,"Match","À vérifier")))</f>
        <v/>
      </c>
      <c r="J817" s="21">
        <f>IF($I817&lt;&gt;"Match","",INDEX(Ventes_Encaissements!$B$6:$B$3005,_xludf.AGGREGATE(15,6,(ROW(Ventes_Encaissements!$B$6:$B$3005)-ROW(Ventes_Encaissements!$B$6)+1)/((Ventes_Encaissements!$E$6:$E$3005=$B817)*(Ventes_Encaissements!$J$6:$J$3005=$G817)*(Ventes_Encaissements!$C$6:$C$3005&gt;=$C817-3)*(Ventes_Encaissements!$C$6:$C$3005&lt;=$C817+3)),1)))</f>
        <v/>
      </c>
      <c r="K817" s="6" t="n"/>
    </row>
    <row r="818">
      <c r="A818" s="6" t="n"/>
      <c r="B818" s="6" t="n"/>
      <c r="C818" s="19" t="n"/>
      <c r="D818" s="19" t="n"/>
      <c r="E818" s="6" t="n"/>
      <c r="F818" s="20" t="n"/>
      <c r="G818" s="9">
        <f>IF($F818="","",IF($F818&gt;0,ROUND($F818,2),""))</f>
        <v/>
      </c>
      <c r="H818" s="12">
        <f>IF(OR($B818="",$C818="",$G818=""),"",COUNTIFS(Ventes_Encaissements!$E$6:$E$3005,$B818,Ventes_Encaissements!$J$6:$J$3005,$G818,Ventes_Encaissements!$C$6:$C$3005,"&gt;="&amp;($C818-3),Ventes_Encaissements!$C$6:$C$3005,"&lt;="&amp;($C818+3)))</f>
        <v/>
      </c>
      <c r="I818" s="12">
        <f>IF($H818="","",IF($H818=0,"Non trouvé",IF($H818=1,"Match","À vérifier")))</f>
        <v/>
      </c>
      <c r="J818" s="21">
        <f>IF($I818&lt;&gt;"Match","",INDEX(Ventes_Encaissements!$B$6:$B$3005,_xludf.AGGREGATE(15,6,(ROW(Ventes_Encaissements!$B$6:$B$3005)-ROW(Ventes_Encaissements!$B$6)+1)/((Ventes_Encaissements!$E$6:$E$3005=$B818)*(Ventes_Encaissements!$J$6:$J$3005=$G818)*(Ventes_Encaissements!$C$6:$C$3005&gt;=$C818-3)*(Ventes_Encaissements!$C$6:$C$3005&lt;=$C818+3)),1)))</f>
        <v/>
      </c>
      <c r="K818" s="6" t="n"/>
    </row>
    <row r="819">
      <c r="A819" s="6" t="n"/>
      <c r="B819" s="6" t="n"/>
      <c r="C819" s="19" t="n"/>
      <c r="D819" s="19" t="n"/>
      <c r="E819" s="6" t="n"/>
      <c r="F819" s="20" t="n"/>
      <c r="G819" s="9">
        <f>IF($F819="","",IF($F819&gt;0,ROUND($F819,2),""))</f>
        <v/>
      </c>
      <c r="H819" s="12">
        <f>IF(OR($B819="",$C819="",$G819=""),"",COUNTIFS(Ventes_Encaissements!$E$6:$E$3005,$B819,Ventes_Encaissements!$J$6:$J$3005,$G819,Ventes_Encaissements!$C$6:$C$3005,"&gt;="&amp;($C819-3),Ventes_Encaissements!$C$6:$C$3005,"&lt;="&amp;($C819+3)))</f>
        <v/>
      </c>
      <c r="I819" s="12">
        <f>IF($H819="","",IF($H819=0,"Non trouvé",IF($H819=1,"Match","À vérifier")))</f>
        <v/>
      </c>
      <c r="J819" s="21">
        <f>IF($I819&lt;&gt;"Match","",INDEX(Ventes_Encaissements!$B$6:$B$3005,_xludf.AGGREGATE(15,6,(ROW(Ventes_Encaissements!$B$6:$B$3005)-ROW(Ventes_Encaissements!$B$6)+1)/((Ventes_Encaissements!$E$6:$E$3005=$B819)*(Ventes_Encaissements!$J$6:$J$3005=$G819)*(Ventes_Encaissements!$C$6:$C$3005&gt;=$C819-3)*(Ventes_Encaissements!$C$6:$C$3005&lt;=$C819+3)),1)))</f>
        <v/>
      </c>
      <c r="K819" s="6" t="n"/>
    </row>
    <row r="820">
      <c r="A820" s="6" t="n"/>
      <c r="B820" s="6" t="n"/>
      <c r="C820" s="19" t="n"/>
      <c r="D820" s="19" t="n"/>
      <c r="E820" s="6" t="n"/>
      <c r="F820" s="20" t="n"/>
      <c r="G820" s="9">
        <f>IF($F820="","",IF($F820&gt;0,ROUND($F820,2),""))</f>
        <v/>
      </c>
      <c r="H820" s="12">
        <f>IF(OR($B820="",$C820="",$G820=""),"",COUNTIFS(Ventes_Encaissements!$E$6:$E$3005,$B820,Ventes_Encaissements!$J$6:$J$3005,$G820,Ventes_Encaissements!$C$6:$C$3005,"&gt;="&amp;($C820-3),Ventes_Encaissements!$C$6:$C$3005,"&lt;="&amp;($C820+3)))</f>
        <v/>
      </c>
      <c r="I820" s="12">
        <f>IF($H820="","",IF($H820=0,"Non trouvé",IF($H820=1,"Match","À vérifier")))</f>
        <v/>
      </c>
      <c r="J820" s="21">
        <f>IF($I820&lt;&gt;"Match","",INDEX(Ventes_Encaissements!$B$6:$B$3005,_xludf.AGGREGATE(15,6,(ROW(Ventes_Encaissements!$B$6:$B$3005)-ROW(Ventes_Encaissements!$B$6)+1)/((Ventes_Encaissements!$E$6:$E$3005=$B820)*(Ventes_Encaissements!$J$6:$J$3005=$G820)*(Ventes_Encaissements!$C$6:$C$3005&gt;=$C820-3)*(Ventes_Encaissements!$C$6:$C$3005&lt;=$C820+3)),1)))</f>
        <v/>
      </c>
      <c r="K820" s="6" t="n"/>
    </row>
    <row r="821">
      <c r="A821" s="6" t="n"/>
      <c r="B821" s="6" t="n"/>
      <c r="C821" s="19" t="n"/>
      <c r="D821" s="19" t="n"/>
      <c r="E821" s="6" t="n"/>
      <c r="F821" s="20" t="n"/>
      <c r="G821" s="9">
        <f>IF($F821="","",IF($F821&gt;0,ROUND($F821,2),""))</f>
        <v/>
      </c>
      <c r="H821" s="12">
        <f>IF(OR($B821="",$C821="",$G821=""),"",COUNTIFS(Ventes_Encaissements!$E$6:$E$3005,$B821,Ventes_Encaissements!$J$6:$J$3005,$G821,Ventes_Encaissements!$C$6:$C$3005,"&gt;="&amp;($C821-3),Ventes_Encaissements!$C$6:$C$3005,"&lt;="&amp;($C821+3)))</f>
        <v/>
      </c>
      <c r="I821" s="12">
        <f>IF($H821="","",IF($H821=0,"Non trouvé",IF($H821=1,"Match","À vérifier")))</f>
        <v/>
      </c>
      <c r="J821" s="21">
        <f>IF($I821&lt;&gt;"Match","",INDEX(Ventes_Encaissements!$B$6:$B$3005,_xludf.AGGREGATE(15,6,(ROW(Ventes_Encaissements!$B$6:$B$3005)-ROW(Ventes_Encaissements!$B$6)+1)/((Ventes_Encaissements!$E$6:$E$3005=$B821)*(Ventes_Encaissements!$J$6:$J$3005=$G821)*(Ventes_Encaissements!$C$6:$C$3005&gt;=$C821-3)*(Ventes_Encaissements!$C$6:$C$3005&lt;=$C821+3)),1)))</f>
        <v/>
      </c>
      <c r="K821" s="6" t="n"/>
    </row>
    <row r="822">
      <c r="A822" s="6" t="n"/>
      <c r="B822" s="6" t="n"/>
      <c r="C822" s="19" t="n"/>
      <c r="D822" s="19" t="n"/>
      <c r="E822" s="6" t="n"/>
      <c r="F822" s="20" t="n"/>
      <c r="G822" s="9">
        <f>IF($F822="","",IF($F822&gt;0,ROUND($F822,2),""))</f>
        <v/>
      </c>
      <c r="H822" s="12">
        <f>IF(OR($B822="",$C822="",$G822=""),"",COUNTIFS(Ventes_Encaissements!$E$6:$E$3005,$B822,Ventes_Encaissements!$J$6:$J$3005,$G822,Ventes_Encaissements!$C$6:$C$3005,"&gt;="&amp;($C822-3),Ventes_Encaissements!$C$6:$C$3005,"&lt;="&amp;($C822+3)))</f>
        <v/>
      </c>
      <c r="I822" s="12">
        <f>IF($H822="","",IF($H822=0,"Non trouvé",IF($H822=1,"Match","À vérifier")))</f>
        <v/>
      </c>
      <c r="J822" s="21">
        <f>IF($I822&lt;&gt;"Match","",INDEX(Ventes_Encaissements!$B$6:$B$3005,_xludf.AGGREGATE(15,6,(ROW(Ventes_Encaissements!$B$6:$B$3005)-ROW(Ventes_Encaissements!$B$6)+1)/((Ventes_Encaissements!$E$6:$E$3005=$B822)*(Ventes_Encaissements!$J$6:$J$3005=$G822)*(Ventes_Encaissements!$C$6:$C$3005&gt;=$C822-3)*(Ventes_Encaissements!$C$6:$C$3005&lt;=$C822+3)),1)))</f>
        <v/>
      </c>
      <c r="K822" s="6" t="n"/>
    </row>
    <row r="823">
      <c r="A823" s="6" t="n"/>
      <c r="B823" s="6" t="n"/>
      <c r="C823" s="19" t="n"/>
      <c r="D823" s="19" t="n"/>
      <c r="E823" s="6" t="n"/>
      <c r="F823" s="20" t="n"/>
      <c r="G823" s="9">
        <f>IF($F823="","",IF($F823&gt;0,ROUND($F823,2),""))</f>
        <v/>
      </c>
      <c r="H823" s="12">
        <f>IF(OR($B823="",$C823="",$G823=""),"",COUNTIFS(Ventes_Encaissements!$E$6:$E$3005,$B823,Ventes_Encaissements!$J$6:$J$3005,$G823,Ventes_Encaissements!$C$6:$C$3005,"&gt;="&amp;($C823-3),Ventes_Encaissements!$C$6:$C$3005,"&lt;="&amp;($C823+3)))</f>
        <v/>
      </c>
      <c r="I823" s="12">
        <f>IF($H823="","",IF($H823=0,"Non trouvé",IF($H823=1,"Match","À vérifier")))</f>
        <v/>
      </c>
      <c r="J823" s="21">
        <f>IF($I823&lt;&gt;"Match","",INDEX(Ventes_Encaissements!$B$6:$B$3005,_xludf.AGGREGATE(15,6,(ROW(Ventes_Encaissements!$B$6:$B$3005)-ROW(Ventes_Encaissements!$B$6)+1)/((Ventes_Encaissements!$E$6:$E$3005=$B823)*(Ventes_Encaissements!$J$6:$J$3005=$G823)*(Ventes_Encaissements!$C$6:$C$3005&gt;=$C823-3)*(Ventes_Encaissements!$C$6:$C$3005&lt;=$C823+3)),1)))</f>
        <v/>
      </c>
      <c r="K823" s="6" t="n"/>
    </row>
    <row r="824">
      <c r="A824" s="6" t="n"/>
      <c r="B824" s="6" t="n"/>
      <c r="C824" s="19" t="n"/>
      <c r="D824" s="19" t="n"/>
      <c r="E824" s="6" t="n"/>
      <c r="F824" s="20" t="n"/>
      <c r="G824" s="9">
        <f>IF($F824="","",IF($F824&gt;0,ROUND($F824,2),""))</f>
        <v/>
      </c>
      <c r="H824" s="12">
        <f>IF(OR($B824="",$C824="",$G824=""),"",COUNTIFS(Ventes_Encaissements!$E$6:$E$3005,$B824,Ventes_Encaissements!$J$6:$J$3005,$G824,Ventes_Encaissements!$C$6:$C$3005,"&gt;="&amp;($C824-3),Ventes_Encaissements!$C$6:$C$3005,"&lt;="&amp;($C824+3)))</f>
        <v/>
      </c>
      <c r="I824" s="12">
        <f>IF($H824="","",IF($H824=0,"Non trouvé",IF($H824=1,"Match","À vérifier")))</f>
        <v/>
      </c>
      <c r="J824" s="21">
        <f>IF($I824&lt;&gt;"Match","",INDEX(Ventes_Encaissements!$B$6:$B$3005,_xludf.AGGREGATE(15,6,(ROW(Ventes_Encaissements!$B$6:$B$3005)-ROW(Ventes_Encaissements!$B$6)+1)/((Ventes_Encaissements!$E$6:$E$3005=$B824)*(Ventes_Encaissements!$J$6:$J$3005=$G824)*(Ventes_Encaissements!$C$6:$C$3005&gt;=$C824-3)*(Ventes_Encaissements!$C$6:$C$3005&lt;=$C824+3)),1)))</f>
        <v/>
      </c>
      <c r="K824" s="6" t="n"/>
    </row>
    <row r="825">
      <c r="A825" s="6" t="n"/>
      <c r="B825" s="6" t="n"/>
      <c r="C825" s="19" t="n"/>
      <c r="D825" s="19" t="n"/>
      <c r="E825" s="6" t="n"/>
      <c r="F825" s="20" t="n"/>
      <c r="G825" s="9">
        <f>IF($F825="","",IF($F825&gt;0,ROUND($F825,2),""))</f>
        <v/>
      </c>
      <c r="H825" s="12">
        <f>IF(OR($B825="",$C825="",$G825=""),"",COUNTIFS(Ventes_Encaissements!$E$6:$E$3005,$B825,Ventes_Encaissements!$J$6:$J$3005,$G825,Ventes_Encaissements!$C$6:$C$3005,"&gt;="&amp;($C825-3),Ventes_Encaissements!$C$6:$C$3005,"&lt;="&amp;($C825+3)))</f>
        <v/>
      </c>
      <c r="I825" s="12">
        <f>IF($H825="","",IF($H825=0,"Non trouvé",IF($H825=1,"Match","À vérifier")))</f>
        <v/>
      </c>
      <c r="J825" s="21">
        <f>IF($I825&lt;&gt;"Match","",INDEX(Ventes_Encaissements!$B$6:$B$3005,_xludf.AGGREGATE(15,6,(ROW(Ventes_Encaissements!$B$6:$B$3005)-ROW(Ventes_Encaissements!$B$6)+1)/((Ventes_Encaissements!$E$6:$E$3005=$B825)*(Ventes_Encaissements!$J$6:$J$3005=$G825)*(Ventes_Encaissements!$C$6:$C$3005&gt;=$C825-3)*(Ventes_Encaissements!$C$6:$C$3005&lt;=$C825+3)),1)))</f>
        <v/>
      </c>
      <c r="K825" s="6" t="n"/>
    </row>
    <row r="826">
      <c r="A826" s="6" t="n"/>
      <c r="B826" s="6" t="n"/>
      <c r="C826" s="19" t="n"/>
      <c r="D826" s="19" t="n"/>
      <c r="E826" s="6" t="n"/>
      <c r="F826" s="20" t="n"/>
      <c r="G826" s="9">
        <f>IF($F826="","",IF($F826&gt;0,ROUND($F826,2),""))</f>
        <v/>
      </c>
      <c r="H826" s="12">
        <f>IF(OR($B826="",$C826="",$G826=""),"",COUNTIFS(Ventes_Encaissements!$E$6:$E$3005,$B826,Ventes_Encaissements!$J$6:$J$3005,$G826,Ventes_Encaissements!$C$6:$C$3005,"&gt;="&amp;($C826-3),Ventes_Encaissements!$C$6:$C$3005,"&lt;="&amp;($C826+3)))</f>
        <v/>
      </c>
      <c r="I826" s="12">
        <f>IF($H826="","",IF($H826=0,"Non trouvé",IF($H826=1,"Match","À vérifier")))</f>
        <v/>
      </c>
      <c r="J826" s="21">
        <f>IF($I826&lt;&gt;"Match","",INDEX(Ventes_Encaissements!$B$6:$B$3005,_xludf.AGGREGATE(15,6,(ROW(Ventes_Encaissements!$B$6:$B$3005)-ROW(Ventes_Encaissements!$B$6)+1)/((Ventes_Encaissements!$E$6:$E$3005=$B826)*(Ventes_Encaissements!$J$6:$J$3005=$G826)*(Ventes_Encaissements!$C$6:$C$3005&gt;=$C826-3)*(Ventes_Encaissements!$C$6:$C$3005&lt;=$C826+3)),1)))</f>
        <v/>
      </c>
      <c r="K826" s="6" t="n"/>
    </row>
    <row r="827">
      <c r="A827" s="6" t="n"/>
      <c r="B827" s="6" t="n"/>
      <c r="C827" s="19" t="n"/>
      <c r="D827" s="19" t="n"/>
      <c r="E827" s="6" t="n"/>
      <c r="F827" s="20" t="n"/>
      <c r="G827" s="9">
        <f>IF($F827="","",IF($F827&gt;0,ROUND($F827,2),""))</f>
        <v/>
      </c>
      <c r="H827" s="12">
        <f>IF(OR($B827="",$C827="",$G827=""),"",COUNTIFS(Ventes_Encaissements!$E$6:$E$3005,$B827,Ventes_Encaissements!$J$6:$J$3005,$G827,Ventes_Encaissements!$C$6:$C$3005,"&gt;="&amp;($C827-3),Ventes_Encaissements!$C$6:$C$3005,"&lt;="&amp;($C827+3)))</f>
        <v/>
      </c>
      <c r="I827" s="12">
        <f>IF($H827="","",IF($H827=0,"Non trouvé",IF($H827=1,"Match","À vérifier")))</f>
        <v/>
      </c>
      <c r="J827" s="21">
        <f>IF($I827&lt;&gt;"Match","",INDEX(Ventes_Encaissements!$B$6:$B$3005,_xludf.AGGREGATE(15,6,(ROW(Ventes_Encaissements!$B$6:$B$3005)-ROW(Ventes_Encaissements!$B$6)+1)/((Ventes_Encaissements!$E$6:$E$3005=$B827)*(Ventes_Encaissements!$J$6:$J$3005=$G827)*(Ventes_Encaissements!$C$6:$C$3005&gt;=$C827-3)*(Ventes_Encaissements!$C$6:$C$3005&lt;=$C827+3)),1)))</f>
        <v/>
      </c>
      <c r="K827" s="6" t="n"/>
    </row>
    <row r="828">
      <c r="A828" s="6" t="n"/>
      <c r="B828" s="6" t="n"/>
      <c r="C828" s="19" t="n"/>
      <c r="D828" s="19" t="n"/>
      <c r="E828" s="6" t="n"/>
      <c r="F828" s="20" t="n"/>
      <c r="G828" s="9">
        <f>IF($F828="","",IF($F828&gt;0,ROUND($F828,2),""))</f>
        <v/>
      </c>
      <c r="H828" s="12">
        <f>IF(OR($B828="",$C828="",$G828=""),"",COUNTIFS(Ventes_Encaissements!$E$6:$E$3005,$B828,Ventes_Encaissements!$J$6:$J$3005,$G828,Ventes_Encaissements!$C$6:$C$3005,"&gt;="&amp;($C828-3),Ventes_Encaissements!$C$6:$C$3005,"&lt;="&amp;($C828+3)))</f>
        <v/>
      </c>
      <c r="I828" s="12">
        <f>IF($H828="","",IF($H828=0,"Non trouvé",IF($H828=1,"Match","À vérifier")))</f>
        <v/>
      </c>
      <c r="J828" s="21">
        <f>IF($I828&lt;&gt;"Match","",INDEX(Ventes_Encaissements!$B$6:$B$3005,_xludf.AGGREGATE(15,6,(ROW(Ventes_Encaissements!$B$6:$B$3005)-ROW(Ventes_Encaissements!$B$6)+1)/((Ventes_Encaissements!$E$6:$E$3005=$B828)*(Ventes_Encaissements!$J$6:$J$3005=$G828)*(Ventes_Encaissements!$C$6:$C$3005&gt;=$C828-3)*(Ventes_Encaissements!$C$6:$C$3005&lt;=$C828+3)),1)))</f>
        <v/>
      </c>
      <c r="K828" s="6" t="n"/>
    </row>
    <row r="829">
      <c r="A829" s="6" t="n"/>
      <c r="B829" s="6" t="n"/>
      <c r="C829" s="19" t="n"/>
      <c r="D829" s="19" t="n"/>
      <c r="E829" s="6" t="n"/>
      <c r="F829" s="20" t="n"/>
      <c r="G829" s="9">
        <f>IF($F829="","",IF($F829&gt;0,ROUND($F829,2),""))</f>
        <v/>
      </c>
      <c r="H829" s="12">
        <f>IF(OR($B829="",$C829="",$G829=""),"",COUNTIFS(Ventes_Encaissements!$E$6:$E$3005,$B829,Ventes_Encaissements!$J$6:$J$3005,$G829,Ventes_Encaissements!$C$6:$C$3005,"&gt;="&amp;($C829-3),Ventes_Encaissements!$C$6:$C$3005,"&lt;="&amp;($C829+3)))</f>
        <v/>
      </c>
      <c r="I829" s="12">
        <f>IF($H829="","",IF($H829=0,"Non trouvé",IF($H829=1,"Match","À vérifier")))</f>
        <v/>
      </c>
      <c r="J829" s="21">
        <f>IF($I829&lt;&gt;"Match","",INDEX(Ventes_Encaissements!$B$6:$B$3005,_xludf.AGGREGATE(15,6,(ROW(Ventes_Encaissements!$B$6:$B$3005)-ROW(Ventes_Encaissements!$B$6)+1)/((Ventes_Encaissements!$E$6:$E$3005=$B829)*(Ventes_Encaissements!$J$6:$J$3005=$G829)*(Ventes_Encaissements!$C$6:$C$3005&gt;=$C829-3)*(Ventes_Encaissements!$C$6:$C$3005&lt;=$C829+3)),1)))</f>
        <v/>
      </c>
      <c r="K829" s="6" t="n"/>
    </row>
    <row r="830">
      <c r="A830" s="6" t="n"/>
      <c r="B830" s="6" t="n"/>
      <c r="C830" s="19" t="n"/>
      <c r="D830" s="19" t="n"/>
      <c r="E830" s="6" t="n"/>
      <c r="F830" s="20" t="n"/>
      <c r="G830" s="9">
        <f>IF($F830="","",IF($F830&gt;0,ROUND($F830,2),""))</f>
        <v/>
      </c>
      <c r="H830" s="12">
        <f>IF(OR($B830="",$C830="",$G830=""),"",COUNTIFS(Ventes_Encaissements!$E$6:$E$3005,$B830,Ventes_Encaissements!$J$6:$J$3005,$G830,Ventes_Encaissements!$C$6:$C$3005,"&gt;="&amp;($C830-3),Ventes_Encaissements!$C$6:$C$3005,"&lt;="&amp;($C830+3)))</f>
        <v/>
      </c>
      <c r="I830" s="12">
        <f>IF($H830="","",IF($H830=0,"Non trouvé",IF($H830=1,"Match","À vérifier")))</f>
        <v/>
      </c>
      <c r="J830" s="21">
        <f>IF($I830&lt;&gt;"Match","",INDEX(Ventes_Encaissements!$B$6:$B$3005,_xludf.AGGREGATE(15,6,(ROW(Ventes_Encaissements!$B$6:$B$3005)-ROW(Ventes_Encaissements!$B$6)+1)/((Ventes_Encaissements!$E$6:$E$3005=$B830)*(Ventes_Encaissements!$J$6:$J$3005=$G830)*(Ventes_Encaissements!$C$6:$C$3005&gt;=$C830-3)*(Ventes_Encaissements!$C$6:$C$3005&lt;=$C830+3)),1)))</f>
        <v/>
      </c>
      <c r="K830" s="6" t="n"/>
    </row>
    <row r="831">
      <c r="A831" s="6" t="n"/>
      <c r="B831" s="6" t="n"/>
      <c r="C831" s="19" t="n"/>
      <c r="D831" s="19" t="n"/>
      <c r="E831" s="6" t="n"/>
      <c r="F831" s="20" t="n"/>
      <c r="G831" s="9">
        <f>IF($F831="","",IF($F831&gt;0,ROUND($F831,2),""))</f>
        <v/>
      </c>
      <c r="H831" s="12">
        <f>IF(OR($B831="",$C831="",$G831=""),"",COUNTIFS(Ventes_Encaissements!$E$6:$E$3005,$B831,Ventes_Encaissements!$J$6:$J$3005,$G831,Ventes_Encaissements!$C$6:$C$3005,"&gt;="&amp;($C831-3),Ventes_Encaissements!$C$6:$C$3005,"&lt;="&amp;($C831+3)))</f>
        <v/>
      </c>
      <c r="I831" s="12">
        <f>IF($H831="","",IF($H831=0,"Non trouvé",IF($H831=1,"Match","À vérifier")))</f>
        <v/>
      </c>
      <c r="J831" s="21">
        <f>IF($I831&lt;&gt;"Match","",INDEX(Ventes_Encaissements!$B$6:$B$3005,_xludf.AGGREGATE(15,6,(ROW(Ventes_Encaissements!$B$6:$B$3005)-ROW(Ventes_Encaissements!$B$6)+1)/((Ventes_Encaissements!$E$6:$E$3005=$B831)*(Ventes_Encaissements!$J$6:$J$3005=$G831)*(Ventes_Encaissements!$C$6:$C$3005&gt;=$C831-3)*(Ventes_Encaissements!$C$6:$C$3005&lt;=$C831+3)),1)))</f>
        <v/>
      </c>
      <c r="K831" s="6" t="n"/>
    </row>
    <row r="832">
      <c r="A832" s="6" t="n"/>
      <c r="B832" s="6" t="n"/>
      <c r="C832" s="19" t="n"/>
      <c r="D832" s="19" t="n"/>
      <c r="E832" s="6" t="n"/>
      <c r="F832" s="20" t="n"/>
      <c r="G832" s="9">
        <f>IF($F832="","",IF($F832&gt;0,ROUND($F832,2),""))</f>
        <v/>
      </c>
      <c r="H832" s="12">
        <f>IF(OR($B832="",$C832="",$G832=""),"",COUNTIFS(Ventes_Encaissements!$E$6:$E$3005,$B832,Ventes_Encaissements!$J$6:$J$3005,$G832,Ventes_Encaissements!$C$6:$C$3005,"&gt;="&amp;($C832-3),Ventes_Encaissements!$C$6:$C$3005,"&lt;="&amp;($C832+3)))</f>
        <v/>
      </c>
      <c r="I832" s="12">
        <f>IF($H832="","",IF($H832=0,"Non trouvé",IF($H832=1,"Match","À vérifier")))</f>
        <v/>
      </c>
      <c r="J832" s="21">
        <f>IF($I832&lt;&gt;"Match","",INDEX(Ventes_Encaissements!$B$6:$B$3005,_xludf.AGGREGATE(15,6,(ROW(Ventes_Encaissements!$B$6:$B$3005)-ROW(Ventes_Encaissements!$B$6)+1)/((Ventes_Encaissements!$E$6:$E$3005=$B832)*(Ventes_Encaissements!$J$6:$J$3005=$G832)*(Ventes_Encaissements!$C$6:$C$3005&gt;=$C832-3)*(Ventes_Encaissements!$C$6:$C$3005&lt;=$C832+3)),1)))</f>
        <v/>
      </c>
      <c r="K832" s="6" t="n"/>
    </row>
    <row r="833">
      <c r="A833" s="6" t="n"/>
      <c r="B833" s="6" t="n"/>
      <c r="C833" s="19" t="n"/>
      <c r="D833" s="19" t="n"/>
      <c r="E833" s="6" t="n"/>
      <c r="F833" s="20" t="n"/>
      <c r="G833" s="9">
        <f>IF($F833="","",IF($F833&gt;0,ROUND($F833,2),""))</f>
        <v/>
      </c>
      <c r="H833" s="12">
        <f>IF(OR($B833="",$C833="",$G833=""),"",COUNTIFS(Ventes_Encaissements!$E$6:$E$3005,$B833,Ventes_Encaissements!$J$6:$J$3005,$G833,Ventes_Encaissements!$C$6:$C$3005,"&gt;="&amp;($C833-3),Ventes_Encaissements!$C$6:$C$3005,"&lt;="&amp;($C833+3)))</f>
        <v/>
      </c>
      <c r="I833" s="12">
        <f>IF($H833="","",IF($H833=0,"Non trouvé",IF($H833=1,"Match","À vérifier")))</f>
        <v/>
      </c>
      <c r="J833" s="21">
        <f>IF($I833&lt;&gt;"Match","",INDEX(Ventes_Encaissements!$B$6:$B$3005,_xludf.AGGREGATE(15,6,(ROW(Ventes_Encaissements!$B$6:$B$3005)-ROW(Ventes_Encaissements!$B$6)+1)/((Ventes_Encaissements!$E$6:$E$3005=$B833)*(Ventes_Encaissements!$J$6:$J$3005=$G833)*(Ventes_Encaissements!$C$6:$C$3005&gt;=$C833-3)*(Ventes_Encaissements!$C$6:$C$3005&lt;=$C833+3)),1)))</f>
        <v/>
      </c>
      <c r="K833" s="6" t="n"/>
    </row>
    <row r="834">
      <c r="A834" s="6" t="n"/>
      <c r="B834" s="6" t="n"/>
      <c r="C834" s="19" t="n"/>
      <c r="D834" s="19" t="n"/>
      <c r="E834" s="6" t="n"/>
      <c r="F834" s="20" t="n"/>
      <c r="G834" s="9">
        <f>IF($F834="","",IF($F834&gt;0,ROUND($F834,2),""))</f>
        <v/>
      </c>
      <c r="H834" s="12">
        <f>IF(OR($B834="",$C834="",$G834=""),"",COUNTIFS(Ventes_Encaissements!$E$6:$E$3005,$B834,Ventes_Encaissements!$J$6:$J$3005,$G834,Ventes_Encaissements!$C$6:$C$3005,"&gt;="&amp;($C834-3),Ventes_Encaissements!$C$6:$C$3005,"&lt;="&amp;($C834+3)))</f>
        <v/>
      </c>
      <c r="I834" s="12">
        <f>IF($H834="","",IF($H834=0,"Non trouvé",IF($H834=1,"Match","À vérifier")))</f>
        <v/>
      </c>
      <c r="J834" s="21">
        <f>IF($I834&lt;&gt;"Match","",INDEX(Ventes_Encaissements!$B$6:$B$3005,_xludf.AGGREGATE(15,6,(ROW(Ventes_Encaissements!$B$6:$B$3005)-ROW(Ventes_Encaissements!$B$6)+1)/((Ventes_Encaissements!$E$6:$E$3005=$B834)*(Ventes_Encaissements!$J$6:$J$3005=$G834)*(Ventes_Encaissements!$C$6:$C$3005&gt;=$C834-3)*(Ventes_Encaissements!$C$6:$C$3005&lt;=$C834+3)),1)))</f>
        <v/>
      </c>
      <c r="K834" s="6" t="n"/>
    </row>
    <row r="835">
      <c r="A835" s="6" t="n"/>
      <c r="B835" s="6" t="n"/>
      <c r="C835" s="19" t="n"/>
      <c r="D835" s="19" t="n"/>
      <c r="E835" s="6" t="n"/>
      <c r="F835" s="20" t="n"/>
      <c r="G835" s="9">
        <f>IF($F835="","",IF($F835&gt;0,ROUND($F835,2),""))</f>
        <v/>
      </c>
      <c r="H835" s="12">
        <f>IF(OR($B835="",$C835="",$G835=""),"",COUNTIFS(Ventes_Encaissements!$E$6:$E$3005,$B835,Ventes_Encaissements!$J$6:$J$3005,$G835,Ventes_Encaissements!$C$6:$C$3005,"&gt;="&amp;($C835-3),Ventes_Encaissements!$C$6:$C$3005,"&lt;="&amp;($C835+3)))</f>
        <v/>
      </c>
      <c r="I835" s="12">
        <f>IF($H835="","",IF($H835=0,"Non trouvé",IF($H835=1,"Match","À vérifier")))</f>
        <v/>
      </c>
      <c r="J835" s="21">
        <f>IF($I835&lt;&gt;"Match","",INDEX(Ventes_Encaissements!$B$6:$B$3005,_xludf.AGGREGATE(15,6,(ROW(Ventes_Encaissements!$B$6:$B$3005)-ROW(Ventes_Encaissements!$B$6)+1)/((Ventes_Encaissements!$E$6:$E$3005=$B835)*(Ventes_Encaissements!$J$6:$J$3005=$G835)*(Ventes_Encaissements!$C$6:$C$3005&gt;=$C835-3)*(Ventes_Encaissements!$C$6:$C$3005&lt;=$C835+3)),1)))</f>
        <v/>
      </c>
      <c r="K835" s="6" t="n"/>
    </row>
    <row r="836">
      <c r="A836" s="6" t="n"/>
      <c r="B836" s="6" t="n"/>
      <c r="C836" s="19" t="n"/>
      <c r="D836" s="19" t="n"/>
      <c r="E836" s="6" t="n"/>
      <c r="F836" s="20" t="n"/>
      <c r="G836" s="9">
        <f>IF($F836="","",IF($F836&gt;0,ROUND($F836,2),""))</f>
        <v/>
      </c>
      <c r="H836" s="12">
        <f>IF(OR($B836="",$C836="",$G836=""),"",COUNTIFS(Ventes_Encaissements!$E$6:$E$3005,$B836,Ventes_Encaissements!$J$6:$J$3005,$G836,Ventes_Encaissements!$C$6:$C$3005,"&gt;="&amp;($C836-3),Ventes_Encaissements!$C$6:$C$3005,"&lt;="&amp;($C836+3)))</f>
        <v/>
      </c>
      <c r="I836" s="12">
        <f>IF($H836="","",IF($H836=0,"Non trouvé",IF($H836=1,"Match","À vérifier")))</f>
        <v/>
      </c>
      <c r="J836" s="21">
        <f>IF($I836&lt;&gt;"Match","",INDEX(Ventes_Encaissements!$B$6:$B$3005,_xludf.AGGREGATE(15,6,(ROW(Ventes_Encaissements!$B$6:$B$3005)-ROW(Ventes_Encaissements!$B$6)+1)/((Ventes_Encaissements!$E$6:$E$3005=$B836)*(Ventes_Encaissements!$J$6:$J$3005=$G836)*(Ventes_Encaissements!$C$6:$C$3005&gt;=$C836-3)*(Ventes_Encaissements!$C$6:$C$3005&lt;=$C836+3)),1)))</f>
        <v/>
      </c>
      <c r="K836" s="6" t="n"/>
    </row>
    <row r="837">
      <c r="A837" s="6" t="n"/>
      <c r="B837" s="6" t="n"/>
      <c r="C837" s="19" t="n"/>
      <c r="D837" s="19" t="n"/>
      <c r="E837" s="6" t="n"/>
      <c r="F837" s="20" t="n"/>
      <c r="G837" s="9">
        <f>IF($F837="","",IF($F837&gt;0,ROUND($F837,2),""))</f>
        <v/>
      </c>
      <c r="H837" s="12">
        <f>IF(OR($B837="",$C837="",$G837=""),"",COUNTIFS(Ventes_Encaissements!$E$6:$E$3005,$B837,Ventes_Encaissements!$J$6:$J$3005,$G837,Ventes_Encaissements!$C$6:$C$3005,"&gt;="&amp;($C837-3),Ventes_Encaissements!$C$6:$C$3005,"&lt;="&amp;($C837+3)))</f>
        <v/>
      </c>
      <c r="I837" s="12">
        <f>IF($H837="","",IF($H837=0,"Non trouvé",IF($H837=1,"Match","À vérifier")))</f>
        <v/>
      </c>
      <c r="J837" s="21">
        <f>IF($I837&lt;&gt;"Match","",INDEX(Ventes_Encaissements!$B$6:$B$3005,_xludf.AGGREGATE(15,6,(ROW(Ventes_Encaissements!$B$6:$B$3005)-ROW(Ventes_Encaissements!$B$6)+1)/((Ventes_Encaissements!$E$6:$E$3005=$B837)*(Ventes_Encaissements!$J$6:$J$3005=$G837)*(Ventes_Encaissements!$C$6:$C$3005&gt;=$C837-3)*(Ventes_Encaissements!$C$6:$C$3005&lt;=$C837+3)),1)))</f>
        <v/>
      </c>
      <c r="K837" s="6" t="n"/>
    </row>
    <row r="838">
      <c r="A838" s="6" t="n"/>
      <c r="B838" s="6" t="n"/>
      <c r="C838" s="19" t="n"/>
      <c r="D838" s="19" t="n"/>
      <c r="E838" s="6" t="n"/>
      <c r="F838" s="20" t="n"/>
      <c r="G838" s="9">
        <f>IF($F838="","",IF($F838&gt;0,ROUND($F838,2),""))</f>
        <v/>
      </c>
      <c r="H838" s="12">
        <f>IF(OR($B838="",$C838="",$G838=""),"",COUNTIFS(Ventes_Encaissements!$E$6:$E$3005,$B838,Ventes_Encaissements!$J$6:$J$3005,$G838,Ventes_Encaissements!$C$6:$C$3005,"&gt;="&amp;($C838-3),Ventes_Encaissements!$C$6:$C$3005,"&lt;="&amp;($C838+3)))</f>
        <v/>
      </c>
      <c r="I838" s="12">
        <f>IF($H838="","",IF($H838=0,"Non trouvé",IF($H838=1,"Match","À vérifier")))</f>
        <v/>
      </c>
      <c r="J838" s="21">
        <f>IF($I838&lt;&gt;"Match","",INDEX(Ventes_Encaissements!$B$6:$B$3005,_xludf.AGGREGATE(15,6,(ROW(Ventes_Encaissements!$B$6:$B$3005)-ROW(Ventes_Encaissements!$B$6)+1)/((Ventes_Encaissements!$E$6:$E$3005=$B838)*(Ventes_Encaissements!$J$6:$J$3005=$G838)*(Ventes_Encaissements!$C$6:$C$3005&gt;=$C838-3)*(Ventes_Encaissements!$C$6:$C$3005&lt;=$C838+3)),1)))</f>
        <v/>
      </c>
      <c r="K838" s="6" t="n"/>
    </row>
    <row r="839">
      <c r="A839" s="6" t="n"/>
      <c r="B839" s="6" t="n"/>
      <c r="C839" s="19" t="n"/>
      <c r="D839" s="19" t="n"/>
      <c r="E839" s="6" t="n"/>
      <c r="F839" s="20" t="n"/>
      <c r="G839" s="9">
        <f>IF($F839="","",IF($F839&gt;0,ROUND($F839,2),""))</f>
        <v/>
      </c>
      <c r="H839" s="12">
        <f>IF(OR($B839="",$C839="",$G839=""),"",COUNTIFS(Ventes_Encaissements!$E$6:$E$3005,$B839,Ventes_Encaissements!$J$6:$J$3005,$G839,Ventes_Encaissements!$C$6:$C$3005,"&gt;="&amp;($C839-3),Ventes_Encaissements!$C$6:$C$3005,"&lt;="&amp;($C839+3)))</f>
        <v/>
      </c>
      <c r="I839" s="12">
        <f>IF($H839="","",IF($H839=0,"Non trouvé",IF($H839=1,"Match","À vérifier")))</f>
        <v/>
      </c>
      <c r="J839" s="21">
        <f>IF($I839&lt;&gt;"Match","",INDEX(Ventes_Encaissements!$B$6:$B$3005,_xludf.AGGREGATE(15,6,(ROW(Ventes_Encaissements!$B$6:$B$3005)-ROW(Ventes_Encaissements!$B$6)+1)/((Ventes_Encaissements!$E$6:$E$3005=$B839)*(Ventes_Encaissements!$J$6:$J$3005=$G839)*(Ventes_Encaissements!$C$6:$C$3005&gt;=$C839-3)*(Ventes_Encaissements!$C$6:$C$3005&lt;=$C839+3)),1)))</f>
        <v/>
      </c>
      <c r="K839" s="6" t="n"/>
    </row>
    <row r="840">
      <c r="A840" s="6" t="n"/>
      <c r="B840" s="6" t="n"/>
      <c r="C840" s="19" t="n"/>
      <c r="D840" s="19" t="n"/>
      <c r="E840" s="6" t="n"/>
      <c r="F840" s="20" t="n"/>
      <c r="G840" s="9">
        <f>IF($F840="","",IF($F840&gt;0,ROUND($F840,2),""))</f>
        <v/>
      </c>
      <c r="H840" s="12">
        <f>IF(OR($B840="",$C840="",$G840=""),"",COUNTIFS(Ventes_Encaissements!$E$6:$E$3005,$B840,Ventes_Encaissements!$J$6:$J$3005,$G840,Ventes_Encaissements!$C$6:$C$3005,"&gt;="&amp;($C840-3),Ventes_Encaissements!$C$6:$C$3005,"&lt;="&amp;($C840+3)))</f>
        <v/>
      </c>
      <c r="I840" s="12">
        <f>IF($H840="","",IF($H840=0,"Non trouvé",IF($H840=1,"Match","À vérifier")))</f>
        <v/>
      </c>
      <c r="J840" s="21">
        <f>IF($I840&lt;&gt;"Match","",INDEX(Ventes_Encaissements!$B$6:$B$3005,_xludf.AGGREGATE(15,6,(ROW(Ventes_Encaissements!$B$6:$B$3005)-ROW(Ventes_Encaissements!$B$6)+1)/((Ventes_Encaissements!$E$6:$E$3005=$B840)*(Ventes_Encaissements!$J$6:$J$3005=$G840)*(Ventes_Encaissements!$C$6:$C$3005&gt;=$C840-3)*(Ventes_Encaissements!$C$6:$C$3005&lt;=$C840+3)),1)))</f>
        <v/>
      </c>
      <c r="K840" s="6" t="n"/>
    </row>
    <row r="841">
      <c r="A841" s="6" t="n"/>
      <c r="B841" s="6" t="n"/>
      <c r="C841" s="19" t="n"/>
      <c r="D841" s="19" t="n"/>
      <c r="E841" s="6" t="n"/>
      <c r="F841" s="20" t="n"/>
      <c r="G841" s="9">
        <f>IF($F841="","",IF($F841&gt;0,ROUND($F841,2),""))</f>
        <v/>
      </c>
      <c r="H841" s="12">
        <f>IF(OR($B841="",$C841="",$G841=""),"",COUNTIFS(Ventes_Encaissements!$E$6:$E$3005,$B841,Ventes_Encaissements!$J$6:$J$3005,$G841,Ventes_Encaissements!$C$6:$C$3005,"&gt;="&amp;($C841-3),Ventes_Encaissements!$C$6:$C$3005,"&lt;="&amp;($C841+3)))</f>
        <v/>
      </c>
      <c r="I841" s="12">
        <f>IF($H841="","",IF($H841=0,"Non trouvé",IF($H841=1,"Match","À vérifier")))</f>
        <v/>
      </c>
      <c r="J841" s="21">
        <f>IF($I841&lt;&gt;"Match","",INDEX(Ventes_Encaissements!$B$6:$B$3005,_xludf.AGGREGATE(15,6,(ROW(Ventes_Encaissements!$B$6:$B$3005)-ROW(Ventes_Encaissements!$B$6)+1)/((Ventes_Encaissements!$E$6:$E$3005=$B841)*(Ventes_Encaissements!$J$6:$J$3005=$G841)*(Ventes_Encaissements!$C$6:$C$3005&gt;=$C841-3)*(Ventes_Encaissements!$C$6:$C$3005&lt;=$C841+3)),1)))</f>
        <v/>
      </c>
      <c r="K841" s="6" t="n"/>
    </row>
    <row r="842">
      <c r="A842" s="6" t="n"/>
      <c r="B842" s="6" t="n"/>
      <c r="C842" s="19" t="n"/>
      <c r="D842" s="19" t="n"/>
      <c r="E842" s="6" t="n"/>
      <c r="F842" s="20" t="n"/>
      <c r="G842" s="9">
        <f>IF($F842="","",IF($F842&gt;0,ROUND($F842,2),""))</f>
        <v/>
      </c>
      <c r="H842" s="12">
        <f>IF(OR($B842="",$C842="",$G842=""),"",COUNTIFS(Ventes_Encaissements!$E$6:$E$3005,$B842,Ventes_Encaissements!$J$6:$J$3005,$G842,Ventes_Encaissements!$C$6:$C$3005,"&gt;="&amp;($C842-3),Ventes_Encaissements!$C$6:$C$3005,"&lt;="&amp;($C842+3)))</f>
        <v/>
      </c>
      <c r="I842" s="12">
        <f>IF($H842="","",IF($H842=0,"Non trouvé",IF($H842=1,"Match","À vérifier")))</f>
        <v/>
      </c>
      <c r="J842" s="21">
        <f>IF($I842&lt;&gt;"Match","",INDEX(Ventes_Encaissements!$B$6:$B$3005,_xludf.AGGREGATE(15,6,(ROW(Ventes_Encaissements!$B$6:$B$3005)-ROW(Ventes_Encaissements!$B$6)+1)/((Ventes_Encaissements!$E$6:$E$3005=$B842)*(Ventes_Encaissements!$J$6:$J$3005=$G842)*(Ventes_Encaissements!$C$6:$C$3005&gt;=$C842-3)*(Ventes_Encaissements!$C$6:$C$3005&lt;=$C842+3)),1)))</f>
        <v/>
      </c>
      <c r="K842" s="6" t="n"/>
    </row>
    <row r="843">
      <c r="A843" s="6" t="n"/>
      <c r="B843" s="6" t="n"/>
      <c r="C843" s="19" t="n"/>
      <c r="D843" s="19" t="n"/>
      <c r="E843" s="6" t="n"/>
      <c r="F843" s="20" t="n"/>
      <c r="G843" s="9">
        <f>IF($F843="","",IF($F843&gt;0,ROUND($F843,2),""))</f>
        <v/>
      </c>
      <c r="H843" s="12">
        <f>IF(OR($B843="",$C843="",$G843=""),"",COUNTIFS(Ventes_Encaissements!$E$6:$E$3005,$B843,Ventes_Encaissements!$J$6:$J$3005,$G843,Ventes_Encaissements!$C$6:$C$3005,"&gt;="&amp;($C843-3),Ventes_Encaissements!$C$6:$C$3005,"&lt;="&amp;($C843+3)))</f>
        <v/>
      </c>
      <c r="I843" s="12">
        <f>IF($H843="","",IF($H843=0,"Non trouvé",IF($H843=1,"Match","À vérifier")))</f>
        <v/>
      </c>
      <c r="J843" s="21">
        <f>IF($I843&lt;&gt;"Match","",INDEX(Ventes_Encaissements!$B$6:$B$3005,_xludf.AGGREGATE(15,6,(ROW(Ventes_Encaissements!$B$6:$B$3005)-ROW(Ventes_Encaissements!$B$6)+1)/((Ventes_Encaissements!$E$6:$E$3005=$B843)*(Ventes_Encaissements!$J$6:$J$3005=$G843)*(Ventes_Encaissements!$C$6:$C$3005&gt;=$C843-3)*(Ventes_Encaissements!$C$6:$C$3005&lt;=$C843+3)),1)))</f>
        <v/>
      </c>
      <c r="K843" s="6" t="n"/>
    </row>
    <row r="844">
      <c r="A844" s="6" t="n"/>
      <c r="B844" s="6" t="n"/>
      <c r="C844" s="19" t="n"/>
      <c r="D844" s="19" t="n"/>
      <c r="E844" s="6" t="n"/>
      <c r="F844" s="20" t="n"/>
      <c r="G844" s="9">
        <f>IF($F844="","",IF($F844&gt;0,ROUND($F844,2),""))</f>
        <v/>
      </c>
      <c r="H844" s="12">
        <f>IF(OR($B844="",$C844="",$G844=""),"",COUNTIFS(Ventes_Encaissements!$E$6:$E$3005,$B844,Ventes_Encaissements!$J$6:$J$3005,$G844,Ventes_Encaissements!$C$6:$C$3005,"&gt;="&amp;($C844-3),Ventes_Encaissements!$C$6:$C$3005,"&lt;="&amp;($C844+3)))</f>
        <v/>
      </c>
      <c r="I844" s="12">
        <f>IF($H844="","",IF($H844=0,"Non trouvé",IF($H844=1,"Match","À vérifier")))</f>
        <v/>
      </c>
      <c r="J844" s="21">
        <f>IF($I844&lt;&gt;"Match","",INDEX(Ventes_Encaissements!$B$6:$B$3005,_xludf.AGGREGATE(15,6,(ROW(Ventes_Encaissements!$B$6:$B$3005)-ROW(Ventes_Encaissements!$B$6)+1)/((Ventes_Encaissements!$E$6:$E$3005=$B844)*(Ventes_Encaissements!$J$6:$J$3005=$G844)*(Ventes_Encaissements!$C$6:$C$3005&gt;=$C844-3)*(Ventes_Encaissements!$C$6:$C$3005&lt;=$C844+3)),1)))</f>
        <v/>
      </c>
      <c r="K844" s="6" t="n"/>
    </row>
    <row r="845">
      <c r="A845" s="6" t="n"/>
      <c r="B845" s="6" t="n"/>
      <c r="C845" s="19" t="n"/>
      <c r="D845" s="19" t="n"/>
      <c r="E845" s="6" t="n"/>
      <c r="F845" s="20" t="n"/>
      <c r="G845" s="9">
        <f>IF($F845="","",IF($F845&gt;0,ROUND($F845,2),""))</f>
        <v/>
      </c>
      <c r="H845" s="12">
        <f>IF(OR($B845="",$C845="",$G845=""),"",COUNTIFS(Ventes_Encaissements!$E$6:$E$3005,$B845,Ventes_Encaissements!$J$6:$J$3005,$G845,Ventes_Encaissements!$C$6:$C$3005,"&gt;="&amp;($C845-3),Ventes_Encaissements!$C$6:$C$3005,"&lt;="&amp;($C845+3)))</f>
        <v/>
      </c>
      <c r="I845" s="12">
        <f>IF($H845="","",IF($H845=0,"Non trouvé",IF($H845=1,"Match","À vérifier")))</f>
        <v/>
      </c>
      <c r="J845" s="21">
        <f>IF($I845&lt;&gt;"Match","",INDEX(Ventes_Encaissements!$B$6:$B$3005,_xludf.AGGREGATE(15,6,(ROW(Ventes_Encaissements!$B$6:$B$3005)-ROW(Ventes_Encaissements!$B$6)+1)/((Ventes_Encaissements!$E$6:$E$3005=$B845)*(Ventes_Encaissements!$J$6:$J$3005=$G845)*(Ventes_Encaissements!$C$6:$C$3005&gt;=$C845-3)*(Ventes_Encaissements!$C$6:$C$3005&lt;=$C845+3)),1)))</f>
        <v/>
      </c>
      <c r="K845" s="6" t="n"/>
    </row>
    <row r="846">
      <c r="A846" s="6" t="n"/>
      <c r="B846" s="6" t="n"/>
      <c r="C846" s="19" t="n"/>
      <c r="D846" s="19" t="n"/>
      <c r="E846" s="6" t="n"/>
      <c r="F846" s="20" t="n"/>
      <c r="G846" s="9">
        <f>IF($F846="","",IF($F846&gt;0,ROUND($F846,2),""))</f>
        <v/>
      </c>
      <c r="H846" s="12">
        <f>IF(OR($B846="",$C846="",$G846=""),"",COUNTIFS(Ventes_Encaissements!$E$6:$E$3005,$B846,Ventes_Encaissements!$J$6:$J$3005,$G846,Ventes_Encaissements!$C$6:$C$3005,"&gt;="&amp;($C846-3),Ventes_Encaissements!$C$6:$C$3005,"&lt;="&amp;($C846+3)))</f>
        <v/>
      </c>
      <c r="I846" s="12">
        <f>IF($H846="","",IF($H846=0,"Non trouvé",IF($H846=1,"Match","À vérifier")))</f>
        <v/>
      </c>
      <c r="J846" s="21">
        <f>IF($I846&lt;&gt;"Match","",INDEX(Ventes_Encaissements!$B$6:$B$3005,_xludf.AGGREGATE(15,6,(ROW(Ventes_Encaissements!$B$6:$B$3005)-ROW(Ventes_Encaissements!$B$6)+1)/((Ventes_Encaissements!$E$6:$E$3005=$B846)*(Ventes_Encaissements!$J$6:$J$3005=$G846)*(Ventes_Encaissements!$C$6:$C$3005&gt;=$C846-3)*(Ventes_Encaissements!$C$6:$C$3005&lt;=$C846+3)),1)))</f>
        <v/>
      </c>
      <c r="K846" s="6" t="n"/>
    </row>
    <row r="847">
      <c r="A847" s="6" t="n"/>
      <c r="B847" s="6" t="n"/>
      <c r="C847" s="19" t="n"/>
      <c r="D847" s="19" t="n"/>
      <c r="E847" s="6" t="n"/>
      <c r="F847" s="20" t="n"/>
      <c r="G847" s="9">
        <f>IF($F847="","",IF($F847&gt;0,ROUND($F847,2),""))</f>
        <v/>
      </c>
      <c r="H847" s="12">
        <f>IF(OR($B847="",$C847="",$G847=""),"",COUNTIFS(Ventes_Encaissements!$E$6:$E$3005,$B847,Ventes_Encaissements!$J$6:$J$3005,$G847,Ventes_Encaissements!$C$6:$C$3005,"&gt;="&amp;($C847-3),Ventes_Encaissements!$C$6:$C$3005,"&lt;="&amp;($C847+3)))</f>
        <v/>
      </c>
      <c r="I847" s="12">
        <f>IF($H847="","",IF($H847=0,"Non trouvé",IF($H847=1,"Match","À vérifier")))</f>
        <v/>
      </c>
      <c r="J847" s="21">
        <f>IF($I847&lt;&gt;"Match","",INDEX(Ventes_Encaissements!$B$6:$B$3005,_xludf.AGGREGATE(15,6,(ROW(Ventes_Encaissements!$B$6:$B$3005)-ROW(Ventes_Encaissements!$B$6)+1)/((Ventes_Encaissements!$E$6:$E$3005=$B847)*(Ventes_Encaissements!$J$6:$J$3005=$G847)*(Ventes_Encaissements!$C$6:$C$3005&gt;=$C847-3)*(Ventes_Encaissements!$C$6:$C$3005&lt;=$C847+3)),1)))</f>
        <v/>
      </c>
      <c r="K847" s="6" t="n"/>
    </row>
    <row r="848">
      <c r="A848" s="6" t="n"/>
      <c r="B848" s="6" t="n"/>
      <c r="C848" s="19" t="n"/>
      <c r="D848" s="19" t="n"/>
      <c r="E848" s="6" t="n"/>
      <c r="F848" s="20" t="n"/>
      <c r="G848" s="9">
        <f>IF($F848="","",IF($F848&gt;0,ROUND($F848,2),""))</f>
        <v/>
      </c>
      <c r="H848" s="12">
        <f>IF(OR($B848="",$C848="",$G848=""),"",COUNTIFS(Ventes_Encaissements!$E$6:$E$3005,$B848,Ventes_Encaissements!$J$6:$J$3005,$G848,Ventes_Encaissements!$C$6:$C$3005,"&gt;="&amp;($C848-3),Ventes_Encaissements!$C$6:$C$3005,"&lt;="&amp;($C848+3)))</f>
        <v/>
      </c>
      <c r="I848" s="12">
        <f>IF($H848="","",IF($H848=0,"Non trouvé",IF($H848=1,"Match","À vérifier")))</f>
        <v/>
      </c>
      <c r="J848" s="21">
        <f>IF($I848&lt;&gt;"Match","",INDEX(Ventes_Encaissements!$B$6:$B$3005,_xludf.AGGREGATE(15,6,(ROW(Ventes_Encaissements!$B$6:$B$3005)-ROW(Ventes_Encaissements!$B$6)+1)/((Ventes_Encaissements!$E$6:$E$3005=$B848)*(Ventes_Encaissements!$J$6:$J$3005=$G848)*(Ventes_Encaissements!$C$6:$C$3005&gt;=$C848-3)*(Ventes_Encaissements!$C$6:$C$3005&lt;=$C848+3)),1)))</f>
        <v/>
      </c>
      <c r="K848" s="6" t="n"/>
    </row>
    <row r="849">
      <c r="A849" s="6" t="n"/>
      <c r="B849" s="6" t="n"/>
      <c r="C849" s="19" t="n"/>
      <c r="D849" s="19" t="n"/>
      <c r="E849" s="6" t="n"/>
      <c r="F849" s="20" t="n"/>
      <c r="G849" s="9">
        <f>IF($F849="","",IF($F849&gt;0,ROUND($F849,2),""))</f>
        <v/>
      </c>
      <c r="H849" s="12">
        <f>IF(OR($B849="",$C849="",$G849=""),"",COUNTIFS(Ventes_Encaissements!$E$6:$E$3005,$B849,Ventes_Encaissements!$J$6:$J$3005,$G849,Ventes_Encaissements!$C$6:$C$3005,"&gt;="&amp;($C849-3),Ventes_Encaissements!$C$6:$C$3005,"&lt;="&amp;($C849+3)))</f>
        <v/>
      </c>
      <c r="I849" s="12">
        <f>IF($H849="","",IF($H849=0,"Non trouvé",IF($H849=1,"Match","À vérifier")))</f>
        <v/>
      </c>
      <c r="J849" s="21">
        <f>IF($I849&lt;&gt;"Match","",INDEX(Ventes_Encaissements!$B$6:$B$3005,_xludf.AGGREGATE(15,6,(ROW(Ventes_Encaissements!$B$6:$B$3005)-ROW(Ventes_Encaissements!$B$6)+1)/((Ventes_Encaissements!$E$6:$E$3005=$B849)*(Ventes_Encaissements!$J$6:$J$3005=$G849)*(Ventes_Encaissements!$C$6:$C$3005&gt;=$C849-3)*(Ventes_Encaissements!$C$6:$C$3005&lt;=$C849+3)),1)))</f>
        <v/>
      </c>
      <c r="K849" s="6" t="n"/>
    </row>
    <row r="850">
      <c r="A850" s="6" t="n"/>
      <c r="B850" s="6" t="n"/>
      <c r="C850" s="19" t="n"/>
      <c r="D850" s="19" t="n"/>
      <c r="E850" s="6" t="n"/>
      <c r="F850" s="20" t="n"/>
      <c r="G850" s="9">
        <f>IF($F850="","",IF($F850&gt;0,ROUND($F850,2),""))</f>
        <v/>
      </c>
      <c r="H850" s="12">
        <f>IF(OR($B850="",$C850="",$G850=""),"",COUNTIFS(Ventes_Encaissements!$E$6:$E$3005,$B850,Ventes_Encaissements!$J$6:$J$3005,$G850,Ventes_Encaissements!$C$6:$C$3005,"&gt;="&amp;($C850-3),Ventes_Encaissements!$C$6:$C$3005,"&lt;="&amp;($C850+3)))</f>
        <v/>
      </c>
      <c r="I850" s="12">
        <f>IF($H850="","",IF($H850=0,"Non trouvé",IF($H850=1,"Match","À vérifier")))</f>
        <v/>
      </c>
      <c r="J850" s="21">
        <f>IF($I850&lt;&gt;"Match","",INDEX(Ventes_Encaissements!$B$6:$B$3005,_xludf.AGGREGATE(15,6,(ROW(Ventes_Encaissements!$B$6:$B$3005)-ROW(Ventes_Encaissements!$B$6)+1)/((Ventes_Encaissements!$E$6:$E$3005=$B850)*(Ventes_Encaissements!$J$6:$J$3005=$G850)*(Ventes_Encaissements!$C$6:$C$3005&gt;=$C850-3)*(Ventes_Encaissements!$C$6:$C$3005&lt;=$C850+3)),1)))</f>
        <v/>
      </c>
      <c r="K850" s="6" t="n"/>
    </row>
    <row r="851">
      <c r="A851" s="6" t="n"/>
      <c r="B851" s="6" t="n"/>
      <c r="C851" s="19" t="n"/>
      <c r="D851" s="19" t="n"/>
      <c r="E851" s="6" t="n"/>
      <c r="F851" s="20" t="n"/>
      <c r="G851" s="9">
        <f>IF($F851="","",IF($F851&gt;0,ROUND($F851,2),""))</f>
        <v/>
      </c>
      <c r="H851" s="12">
        <f>IF(OR($B851="",$C851="",$G851=""),"",COUNTIFS(Ventes_Encaissements!$E$6:$E$3005,$B851,Ventes_Encaissements!$J$6:$J$3005,$G851,Ventes_Encaissements!$C$6:$C$3005,"&gt;="&amp;($C851-3),Ventes_Encaissements!$C$6:$C$3005,"&lt;="&amp;($C851+3)))</f>
        <v/>
      </c>
      <c r="I851" s="12">
        <f>IF($H851="","",IF($H851=0,"Non trouvé",IF($H851=1,"Match","À vérifier")))</f>
        <v/>
      </c>
      <c r="J851" s="21">
        <f>IF($I851&lt;&gt;"Match","",INDEX(Ventes_Encaissements!$B$6:$B$3005,_xludf.AGGREGATE(15,6,(ROW(Ventes_Encaissements!$B$6:$B$3005)-ROW(Ventes_Encaissements!$B$6)+1)/((Ventes_Encaissements!$E$6:$E$3005=$B851)*(Ventes_Encaissements!$J$6:$J$3005=$G851)*(Ventes_Encaissements!$C$6:$C$3005&gt;=$C851-3)*(Ventes_Encaissements!$C$6:$C$3005&lt;=$C851+3)),1)))</f>
        <v/>
      </c>
      <c r="K851" s="6" t="n"/>
    </row>
    <row r="852">
      <c r="A852" s="6" t="n"/>
      <c r="B852" s="6" t="n"/>
      <c r="C852" s="19" t="n"/>
      <c r="D852" s="19" t="n"/>
      <c r="E852" s="6" t="n"/>
      <c r="F852" s="20" t="n"/>
      <c r="G852" s="9">
        <f>IF($F852="","",IF($F852&gt;0,ROUND($F852,2),""))</f>
        <v/>
      </c>
      <c r="H852" s="12">
        <f>IF(OR($B852="",$C852="",$G852=""),"",COUNTIFS(Ventes_Encaissements!$E$6:$E$3005,$B852,Ventes_Encaissements!$J$6:$J$3005,$G852,Ventes_Encaissements!$C$6:$C$3005,"&gt;="&amp;($C852-3),Ventes_Encaissements!$C$6:$C$3005,"&lt;="&amp;($C852+3)))</f>
        <v/>
      </c>
      <c r="I852" s="12">
        <f>IF($H852="","",IF($H852=0,"Non trouvé",IF($H852=1,"Match","À vérifier")))</f>
        <v/>
      </c>
      <c r="J852" s="21">
        <f>IF($I852&lt;&gt;"Match","",INDEX(Ventes_Encaissements!$B$6:$B$3005,_xludf.AGGREGATE(15,6,(ROW(Ventes_Encaissements!$B$6:$B$3005)-ROW(Ventes_Encaissements!$B$6)+1)/((Ventes_Encaissements!$E$6:$E$3005=$B852)*(Ventes_Encaissements!$J$6:$J$3005=$G852)*(Ventes_Encaissements!$C$6:$C$3005&gt;=$C852-3)*(Ventes_Encaissements!$C$6:$C$3005&lt;=$C852+3)),1)))</f>
        <v/>
      </c>
      <c r="K852" s="6" t="n"/>
    </row>
    <row r="853">
      <c r="A853" s="6" t="n"/>
      <c r="B853" s="6" t="n"/>
      <c r="C853" s="19" t="n"/>
      <c r="D853" s="19" t="n"/>
      <c r="E853" s="6" t="n"/>
      <c r="F853" s="20" t="n"/>
      <c r="G853" s="9">
        <f>IF($F853="","",IF($F853&gt;0,ROUND($F853,2),""))</f>
        <v/>
      </c>
      <c r="H853" s="12">
        <f>IF(OR($B853="",$C853="",$G853=""),"",COUNTIFS(Ventes_Encaissements!$E$6:$E$3005,$B853,Ventes_Encaissements!$J$6:$J$3005,$G853,Ventes_Encaissements!$C$6:$C$3005,"&gt;="&amp;($C853-3),Ventes_Encaissements!$C$6:$C$3005,"&lt;="&amp;($C853+3)))</f>
        <v/>
      </c>
      <c r="I853" s="12">
        <f>IF($H853="","",IF($H853=0,"Non trouvé",IF($H853=1,"Match","À vérifier")))</f>
        <v/>
      </c>
      <c r="J853" s="21">
        <f>IF($I853&lt;&gt;"Match","",INDEX(Ventes_Encaissements!$B$6:$B$3005,_xludf.AGGREGATE(15,6,(ROW(Ventes_Encaissements!$B$6:$B$3005)-ROW(Ventes_Encaissements!$B$6)+1)/((Ventes_Encaissements!$E$6:$E$3005=$B853)*(Ventes_Encaissements!$J$6:$J$3005=$G853)*(Ventes_Encaissements!$C$6:$C$3005&gt;=$C853-3)*(Ventes_Encaissements!$C$6:$C$3005&lt;=$C853+3)),1)))</f>
        <v/>
      </c>
      <c r="K853" s="6" t="n"/>
    </row>
    <row r="854">
      <c r="A854" s="6" t="n"/>
      <c r="B854" s="6" t="n"/>
      <c r="C854" s="19" t="n"/>
      <c r="D854" s="19" t="n"/>
      <c r="E854" s="6" t="n"/>
      <c r="F854" s="20" t="n"/>
      <c r="G854" s="9">
        <f>IF($F854="","",IF($F854&gt;0,ROUND($F854,2),""))</f>
        <v/>
      </c>
      <c r="H854" s="12">
        <f>IF(OR($B854="",$C854="",$G854=""),"",COUNTIFS(Ventes_Encaissements!$E$6:$E$3005,$B854,Ventes_Encaissements!$J$6:$J$3005,$G854,Ventes_Encaissements!$C$6:$C$3005,"&gt;="&amp;($C854-3),Ventes_Encaissements!$C$6:$C$3005,"&lt;="&amp;($C854+3)))</f>
        <v/>
      </c>
      <c r="I854" s="12">
        <f>IF($H854="","",IF($H854=0,"Non trouvé",IF($H854=1,"Match","À vérifier")))</f>
        <v/>
      </c>
      <c r="J854" s="21">
        <f>IF($I854&lt;&gt;"Match","",INDEX(Ventes_Encaissements!$B$6:$B$3005,_xludf.AGGREGATE(15,6,(ROW(Ventes_Encaissements!$B$6:$B$3005)-ROW(Ventes_Encaissements!$B$6)+1)/((Ventes_Encaissements!$E$6:$E$3005=$B854)*(Ventes_Encaissements!$J$6:$J$3005=$G854)*(Ventes_Encaissements!$C$6:$C$3005&gt;=$C854-3)*(Ventes_Encaissements!$C$6:$C$3005&lt;=$C854+3)),1)))</f>
        <v/>
      </c>
      <c r="K854" s="6" t="n"/>
    </row>
    <row r="855">
      <c r="A855" s="6" t="n"/>
      <c r="B855" s="6" t="n"/>
      <c r="C855" s="19" t="n"/>
      <c r="D855" s="19" t="n"/>
      <c r="E855" s="6" t="n"/>
      <c r="F855" s="20" t="n"/>
      <c r="G855" s="9">
        <f>IF($F855="","",IF($F855&gt;0,ROUND($F855,2),""))</f>
        <v/>
      </c>
      <c r="H855" s="12">
        <f>IF(OR($B855="",$C855="",$G855=""),"",COUNTIFS(Ventes_Encaissements!$E$6:$E$3005,$B855,Ventes_Encaissements!$J$6:$J$3005,$G855,Ventes_Encaissements!$C$6:$C$3005,"&gt;="&amp;($C855-3),Ventes_Encaissements!$C$6:$C$3005,"&lt;="&amp;($C855+3)))</f>
        <v/>
      </c>
      <c r="I855" s="12">
        <f>IF($H855="","",IF($H855=0,"Non trouvé",IF($H855=1,"Match","À vérifier")))</f>
        <v/>
      </c>
      <c r="J855" s="21">
        <f>IF($I855&lt;&gt;"Match","",INDEX(Ventes_Encaissements!$B$6:$B$3005,_xludf.AGGREGATE(15,6,(ROW(Ventes_Encaissements!$B$6:$B$3005)-ROW(Ventes_Encaissements!$B$6)+1)/((Ventes_Encaissements!$E$6:$E$3005=$B855)*(Ventes_Encaissements!$J$6:$J$3005=$G855)*(Ventes_Encaissements!$C$6:$C$3005&gt;=$C855-3)*(Ventes_Encaissements!$C$6:$C$3005&lt;=$C855+3)),1)))</f>
        <v/>
      </c>
      <c r="K855" s="6" t="n"/>
    </row>
    <row r="856">
      <c r="A856" s="6" t="n"/>
      <c r="B856" s="6" t="n"/>
      <c r="C856" s="19" t="n"/>
      <c r="D856" s="19" t="n"/>
      <c r="E856" s="6" t="n"/>
      <c r="F856" s="20" t="n"/>
      <c r="G856" s="9">
        <f>IF($F856="","",IF($F856&gt;0,ROUND($F856,2),""))</f>
        <v/>
      </c>
      <c r="H856" s="12">
        <f>IF(OR($B856="",$C856="",$G856=""),"",COUNTIFS(Ventes_Encaissements!$E$6:$E$3005,$B856,Ventes_Encaissements!$J$6:$J$3005,$G856,Ventes_Encaissements!$C$6:$C$3005,"&gt;="&amp;($C856-3),Ventes_Encaissements!$C$6:$C$3005,"&lt;="&amp;($C856+3)))</f>
        <v/>
      </c>
      <c r="I856" s="12">
        <f>IF($H856="","",IF($H856=0,"Non trouvé",IF($H856=1,"Match","À vérifier")))</f>
        <v/>
      </c>
      <c r="J856" s="21">
        <f>IF($I856&lt;&gt;"Match","",INDEX(Ventes_Encaissements!$B$6:$B$3005,_xludf.AGGREGATE(15,6,(ROW(Ventes_Encaissements!$B$6:$B$3005)-ROW(Ventes_Encaissements!$B$6)+1)/((Ventes_Encaissements!$E$6:$E$3005=$B856)*(Ventes_Encaissements!$J$6:$J$3005=$G856)*(Ventes_Encaissements!$C$6:$C$3005&gt;=$C856-3)*(Ventes_Encaissements!$C$6:$C$3005&lt;=$C856+3)),1)))</f>
        <v/>
      </c>
      <c r="K856" s="6" t="n"/>
    </row>
    <row r="857">
      <c r="A857" s="6" t="n"/>
      <c r="B857" s="6" t="n"/>
      <c r="C857" s="19" t="n"/>
      <c r="D857" s="19" t="n"/>
      <c r="E857" s="6" t="n"/>
      <c r="F857" s="20" t="n"/>
      <c r="G857" s="9">
        <f>IF($F857="","",IF($F857&gt;0,ROUND($F857,2),""))</f>
        <v/>
      </c>
      <c r="H857" s="12">
        <f>IF(OR($B857="",$C857="",$G857=""),"",COUNTIFS(Ventes_Encaissements!$E$6:$E$3005,$B857,Ventes_Encaissements!$J$6:$J$3005,$G857,Ventes_Encaissements!$C$6:$C$3005,"&gt;="&amp;($C857-3),Ventes_Encaissements!$C$6:$C$3005,"&lt;="&amp;($C857+3)))</f>
        <v/>
      </c>
      <c r="I857" s="12">
        <f>IF($H857="","",IF($H857=0,"Non trouvé",IF($H857=1,"Match","À vérifier")))</f>
        <v/>
      </c>
      <c r="J857" s="21">
        <f>IF($I857&lt;&gt;"Match","",INDEX(Ventes_Encaissements!$B$6:$B$3005,_xludf.AGGREGATE(15,6,(ROW(Ventes_Encaissements!$B$6:$B$3005)-ROW(Ventes_Encaissements!$B$6)+1)/((Ventes_Encaissements!$E$6:$E$3005=$B857)*(Ventes_Encaissements!$J$6:$J$3005=$G857)*(Ventes_Encaissements!$C$6:$C$3005&gt;=$C857-3)*(Ventes_Encaissements!$C$6:$C$3005&lt;=$C857+3)),1)))</f>
        <v/>
      </c>
      <c r="K857" s="6" t="n"/>
    </row>
    <row r="858">
      <c r="A858" s="6" t="n"/>
      <c r="B858" s="6" t="n"/>
      <c r="C858" s="19" t="n"/>
      <c r="D858" s="19" t="n"/>
      <c r="E858" s="6" t="n"/>
      <c r="F858" s="20" t="n"/>
      <c r="G858" s="9">
        <f>IF($F858="","",IF($F858&gt;0,ROUND($F858,2),""))</f>
        <v/>
      </c>
      <c r="H858" s="12">
        <f>IF(OR($B858="",$C858="",$G858=""),"",COUNTIFS(Ventes_Encaissements!$E$6:$E$3005,$B858,Ventes_Encaissements!$J$6:$J$3005,$G858,Ventes_Encaissements!$C$6:$C$3005,"&gt;="&amp;($C858-3),Ventes_Encaissements!$C$6:$C$3005,"&lt;="&amp;($C858+3)))</f>
        <v/>
      </c>
      <c r="I858" s="12">
        <f>IF($H858="","",IF($H858=0,"Non trouvé",IF($H858=1,"Match","À vérifier")))</f>
        <v/>
      </c>
      <c r="J858" s="21">
        <f>IF($I858&lt;&gt;"Match","",INDEX(Ventes_Encaissements!$B$6:$B$3005,_xludf.AGGREGATE(15,6,(ROW(Ventes_Encaissements!$B$6:$B$3005)-ROW(Ventes_Encaissements!$B$6)+1)/((Ventes_Encaissements!$E$6:$E$3005=$B858)*(Ventes_Encaissements!$J$6:$J$3005=$G858)*(Ventes_Encaissements!$C$6:$C$3005&gt;=$C858-3)*(Ventes_Encaissements!$C$6:$C$3005&lt;=$C858+3)),1)))</f>
        <v/>
      </c>
      <c r="K858" s="6" t="n"/>
    </row>
    <row r="859">
      <c r="A859" s="6" t="n"/>
      <c r="B859" s="6" t="n"/>
      <c r="C859" s="19" t="n"/>
      <c r="D859" s="19" t="n"/>
      <c r="E859" s="6" t="n"/>
      <c r="F859" s="20" t="n"/>
      <c r="G859" s="9">
        <f>IF($F859="","",IF($F859&gt;0,ROUND($F859,2),""))</f>
        <v/>
      </c>
      <c r="H859" s="12">
        <f>IF(OR($B859="",$C859="",$G859=""),"",COUNTIFS(Ventes_Encaissements!$E$6:$E$3005,$B859,Ventes_Encaissements!$J$6:$J$3005,$G859,Ventes_Encaissements!$C$6:$C$3005,"&gt;="&amp;($C859-3),Ventes_Encaissements!$C$6:$C$3005,"&lt;="&amp;($C859+3)))</f>
        <v/>
      </c>
      <c r="I859" s="12">
        <f>IF($H859="","",IF($H859=0,"Non trouvé",IF($H859=1,"Match","À vérifier")))</f>
        <v/>
      </c>
      <c r="J859" s="21">
        <f>IF($I859&lt;&gt;"Match","",INDEX(Ventes_Encaissements!$B$6:$B$3005,_xludf.AGGREGATE(15,6,(ROW(Ventes_Encaissements!$B$6:$B$3005)-ROW(Ventes_Encaissements!$B$6)+1)/((Ventes_Encaissements!$E$6:$E$3005=$B859)*(Ventes_Encaissements!$J$6:$J$3005=$G859)*(Ventes_Encaissements!$C$6:$C$3005&gt;=$C859-3)*(Ventes_Encaissements!$C$6:$C$3005&lt;=$C859+3)),1)))</f>
        <v/>
      </c>
      <c r="K859" s="6" t="n"/>
    </row>
    <row r="860">
      <c r="A860" s="6" t="n"/>
      <c r="B860" s="6" t="n"/>
      <c r="C860" s="19" t="n"/>
      <c r="D860" s="19" t="n"/>
      <c r="E860" s="6" t="n"/>
      <c r="F860" s="20" t="n"/>
      <c r="G860" s="9">
        <f>IF($F860="","",IF($F860&gt;0,ROUND($F860,2),""))</f>
        <v/>
      </c>
      <c r="H860" s="12">
        <f>IF(OR($B860="",$C860="",$G860=""),"",COUNTIFS(Ventes_Encaissements!$E$6:$E$3005,$B860,Ventes_Encaissements!$J$6:$J$3005,$G860,Ventes_Encaissements!$C$6:$C$3005,"&gt;="&amp;($C860-3),Ventes_Encaissements!$C$6:$C$3005,"&lt;="&amp;($C860+3)))</f>
        <v/>
      </c>
      <c r="I860" s="12">
        <f>IF($H860="","",IF($H860=0,"Non trouvé",IF($H860=1,"Match","À vérifier")))</f>
        <v/>
      </c>
      <c r="J860" s="21">
        <f>IF($I860&lt;&gt;"Match","",INDEX(Ventes_Encaissements!$B$6:$B$3005,_xludf.AGGREGATE(15,6,(ROW(Ventes_Encaissements!$B$6:$B$3005)-ROW(Ventes_Encaissements!$B$6)+1)/((Ventes_Encaissements!$E$6:$E$3005=$B860)*(Ventes_Encaissements!$J$6:$J$3005=$G860)*(Ventes_Encaissements!$C$6:$C$3005&gt;=$C860-3)*(Ventes_Encaissements!$C$6:$C$3005&lt;=$C860+3)),1)))</f>
        <v/>
      </c>
      <c r="K860" s="6" t="n"/>
    </row>
    <row r="861">
      <c r="A861" s="6" t="n"/>
      <c r="B861" s="6" t="n"/>
      <c r="C861" s="19" t="n"/>
      <c r="D861" s="19" t="n"/>
      <c r="E861" s="6" t="n"/>
      <c r="F861" s="20" t="n"/>
      <c r="G861" s="9">
        <f>IF($F861="","",IF($F861&gt;0,ROUND($F861,2),""))</f>
        <v/>
      </c>
      <c r="H861" s="12">
        <f>IF(OR($B861="",$C861="",$G861=""),"",COUNTIFS(Ventes_Encaissements!$E$6:$E$3005,$B861,Ventes_Encaissements!$J$6:$J$3005,$G861,Ventes_Encaissements!$C$6:$C$3005,"&gt;="&amp;($C861-3),Ventes_Encaissements!$C$6:$C$3005,"&lt;="&amp;($C861+3)))</f>
        <v/>
      </c>
      <c r="I861" s="12">
        <f>IF($H861="","",IF($H861=0,"Non trouvé",IF($H861=1,"Match","À vérifier")))</f>
        <v/>
      </c>
      <c r="J861" s="21">
        <f>IF($I861&lt;&gt;"Match","",INDEX(Ventes_Encaissements!$B$6:$B$3005,_xludf.AGGREGATE(15,6,(ROW(Ventes_Encaissements!$B$6:$B$3005)-ROW(Ventes_Encaissements!$B$6)+1)/((Ventes_Encaissements!$E$6:$E$3005=$B861)*(Ventes_Encaissements!$J$6:$J$3005=$G861)*(Ventes_Encaissements!$C$6:$C$3005&gt;=$C861-3)*(Ventes_Encaissements!$C$6:$C$3005&lt;=$C861+3)),1)))</f>
        <v/>
      </c>
      <c r="K861" s="6" t="n"/>
    </row>
    <row r="862">
      <c r="A862" s="6" t="n"/>
      <c r="B862" s="6" t="n"/>
      <c r="C862" s="19" t="n"/>
      <c r="D862" s="19" t="n"/>
      <c r="E862" s="6" t="n"/>
      <c r="F862" s="20" t="n"/>
      <c r="G862" s="9">
        <f>IF($F862="","",IF($F862&gt;0,ROUND($F862,2),""))</f>
        <v/>
      </c>
      <c r="H862" s="12">
        <f>IF(OR($B862="",$C862="",$G862=""),"",COUNTIFS(Ventes_Encaissements!$E$6:$E$3005,$B862,Ventes_Encaissements!$J$6:$J$3005,$G862,Ventes_Encaissements!$C$6:$C$3005,"&gt;="&amp;($C862-3),Ventes_Encaissements!$C$6:$C$3005,"&lt;="&amp;($C862+3)))</f>
        <v/>
      </c>
      <c r="I862" s="12">
        <f>IF($H862="","",IF($H862=0,"Non trouvé",IF($H862=1,"Match","À vérifier")))</f>
        <v/>
      </c>
      <c r="J862" s="21">
        <f>IF($I862&lt;&gt;"Match","",INDEX(Ventes_Encaissements!$B$6:$B$3005,_xludf.AGGREGATE(15,6,(ROW(Ventes_Encaissements!$B$6:$B$3005)-ROW(Ventes_Encaissements!$B$6)+1)/((Ventes_Encaissements!$E$6:$E$3005=$B862)*(Ventes_Encaissements!$J$6:$J$3005=$G862)*(Ventes_Encaissements!$C$6:$C$3005&gt;=$C862-3)*(Ventes_Encaissements!$C$6:$C$3005&lt;=$C862+3)),1)))</f>
        <v/>
      </c>
      <c r="K862" s="6" t="n"/>
    </row>
    <row r="863">
      <c r="A863" s="6" t="n"/>
      <c r="B863" s="6" t="n"/>
      <c r="C863" s="19" t="n"/>
      <c r="D863" s="19" t="n"/>
      <c r="E863" s="6" t="n"/>
      <c r="F863" s="20" t="n"/>
      <c r="G863" s="9">
        <f>IF($F863="","",IF($F863&gt;0,ROUND($F863,2),""))</f>
        <v/>
      </c>
      <c r="H863" s="12">
        <f>IF(OR($B863="",$C863="",$G863=""),"",COUNTIFS(Ventes_Encaissements!$E$6:$E$3005,$B863,Ventes_Encaissements!$J$6:$J$3005,$G863,Ventes_Encaissements!$C$6:$C$3005,"&gt;="&amp;($C863-3),Ventes_Encaissements!$C$6:$C$3005,"&lt;="&amp;($C863+3)))</f>
        <v/>
      </c>
      <c r="I863" s="12">
        <f>IF($H863="","",IF($H863=0,"Non trouvé",IF($H863=1,"Match","À vérifier")))</f>
        <v/>
      </c>
      <c r="J863" s="21">
        <f>IF($I863&lt;&gt;"Match","",INDEX(Ventes_Encaissements!$B$6:$B$3005,_xludf.AGGREGATE(15,6,(ROW(Ventes_Encaissements!$B$6:$B$3005)-ROW(Ventes_Encaissements!$B$6)+1)/((Ventes_Encaissements!$E$6:$E$3005=$B863)*(Ventes_Encaissements!$J$6:$J$3005=$G863)*(Ventes_Encaissements!$C$6:$C$3005&gt;=$C863-3)*(Ventes_Encaissements!$C$6:$C$3005&lt;=$C863+3)),1)))</f>
        <v/>
      </c>
      <c r="K863" s="6" t="n"/>
    </row>
    <row r="864">
      <c r="A864" s="6" t="n"/>
      <c r="B864" s="6" t="n"/>
      <c r="C864" s="19" t="n"/>
      <c r="D864" s="19" t="n"/>
      <c r="E864" s="6" t="n"/>
      <c r="F864" s="20" t="n"/>
      <c r="G864" s="9">
        <f>IF($F864="","",IF($F864&gt;0,ROUND($F864,2),""))</f>
        <v/>
      </c>
      <c r="H864" s="12">
        <f>IF(OR($B864="",$C864="",$G864=""),"",COUNTIFS(Ventes_Encaissements!$E$6:$E$3005,$B864,Ventes_Encaissements!$J$6:$J$3005,$G864,Ventes_Encaissements!$C$6:$C$3005,"&gt;="&amp;($C864-3),Ventes_Encaissements!$C$6:$C$3005,"&lt;="&amp;($C864+3)))</f>
        <v/>
      </c>
      <c r="I864" s="12">
        <f>IF($H864="","",IF($H864=0,"Non trouvé",IF($H864=1,"Match","À vérifier")))</f>
        <v/>
      </c>
      <c r="J864" s="21">
        <f>IF($I864&lt;&gt;"Match","",INDEX(Ventes_Encaissements!$B$6:$B$3005,_xludf.AGGREGATE(15,6,(ROW(Ventes_Encaissements!$B$6:$B$3005)-ROW(Ventes_Encaissements!$B$6)+1)/((Ventes_Encaissements!$E$6:$E$3005=$B864)*(Ventes_Encaissements!$J$6:$J$3005=$G864)*(Ventes_Encaissements!$C$6:$C$3005&gt;=$C864-3)*(Ventes_Encaissements!$C$6:$C$3005&lt;=$C864+3)),1)))</f>
        <v/>
      </c>
      <c r="K864" s="6" t="n"/>
    </row>
    <row r="865">
      <c r="A865" s="6" t="n"/>
      <c r="B865" s="6" t="n"/>
      <c r="C865" s="19" t="n"/>
      <c r="D865" s="19" t="n"/>
      <c r="E865" s="6" t="n"/>
      <c r="F865" s="20" t="n"/>
      <c r="G865" s="9">
        <f>IF($F865="","",IF($F865&gt;0,ROUND($F865,2),""))</f>
        <v/>
      </c>
      <c r="H865" s="12">
        <f>IF(OR($B865="",$C865="",$G865=""),"",COUNTIFS(Ventes_Encaissements!$E$6:$E$3005,$B865,Ventes_Encaissements!$J$6:$J$3005,$G865,Ventes_Encaissements!$C$6:$C$3005,"&gt;="&amp;($C865-3),Ventes_Encaissements!$C$6:$C$3005,"&lt;="&amp;($C865+3)))</f>
        <v/>
      </c>
      <c r="I865" s="12">
        <f>IF($H865="","",IF($H865=0,"Non trouvé",IF($H865=1,"Match","À vérifier")))</f>
        <v/>
      </c>
      <c r="J865" s="21">
        <f>IF($I865&lt;&gt;"Match","",INDEX(Ventes_Encaissements!$B$6:$B$3005,_xludf.AGGREGATE(15,6,(ROW(Ventes_Encaissements!$B$6:$B$3005)-ROW(Ventes_Encaissements!$B$6)+1)/((Ventes_Encaissements!$E$6:$E$3005=$B865)*(Ventes_Encaissements!$J$6:$J$3005=$G865)*(Ventes_Encaissements!$C$6:$C$3005&gt;=$C865-3)*(Ventes_Encaissements!$C$6:$C$3005&lt;=$C865+3)),1)))</f>
        <v/>
      </c>
      <c r="K865" s="6" t="n"/>
    </row>
    <row r="866">
      <c r="A866" s="6" t="n"/>
      <c r="B866" s="6" t="n"/>
      <c r="C866" s="19" t="n"/>
      <c r="D866" s="19" t="n"/>
      <c r="E866" s="6" t="n"/>
      <c r="F866" s="20" t="n"/>
      <c r="G866" s="9">
        <f>IF($F866="","",IF($F866&gt;0,ROUND($F866,2),""))</f>
        <v/>
      </c>
      <c r="H866" s="12">
        <f>IF(OR($B866="",$C866="",$G866=""),"",COUNTIFS(Ventes_Encaissements!$E$6:$E$3005,$B866,Ventes_Encaissements!$J$6:$J$3005,$G866,Ventes_Encaissements!$C$6:$C$3005,"&gt;="&amp;($C866-3),Ventes_Encaissements!$C$6:$C$3005,"&lt;="&amp;($C866+3)))</f>
        <v/>
      </c>
      <c r="I866" s="12">
        <f>IF($H866="","",IF($H866=0,"Non trouvé",IF($H866=1,"Match","À vérifier")))</f>
        <v/>
      </c>
      <c r="J866" s="21">
        <f>IF($I866&lt;&gt;"Match","",INDEX(Ventes_Encaissements!$B$6:$B$3005,_xludf.AGGREGATE(15,6,(ROW(Ventes_Encaissements!$B$6:$B$3005)-ROW(Ventes_Encaissements!$B$6)+1)/((Ventes_Encaissements!$E$6:$E$3005=$B866)*(Ventes_Encaissements!$J$6:$J$3005=$G866)*(Ventes_Encaissements!$C$6:$C$3005&gt;=$C866-3)*(Ventes_Encaissements!$C$6:$C$3005&lt;=$C866+3)),1)))</f>
        <v/>
      </c>
      <c r="K866" s="6" t="n"/>
    </row>
    <row r="867">
      <c r="A867" s="6" t="n"/>
      <c r="B867" s="6" t="n"/>
      <c r="C867" s="19" t="n"/>
      <c r="D867" s="19" t="n"/>
      <c r="E867" s="6" t="n"/>
      <c r="F867" s="20" t="n"/>
      <c r="G867" s="9">
        <f>IF($F867="","",IF($F867&gt;0,ROUND($F867,2),""))</f>
        <v/>
      </c>
      <c r="H867" s="12">
        <f>IF(OR($B867="",$C867="",$G867=""),"",COUNTIFS(Ventes_Encaissements!$E$6:$E$3005,$B867,Ventes_Encaissements!$J$6:$J$3005,$G867,Ventes_Encaissements!$C$6:$C$3005,"&gt;="&amp;($C867-3),Ventes_Encaissements!$C$6:$C$3005,"&lt;="&amp;($C867+3)))</f>
        <v/>
      </c>
      <c r="I867" s="12">
        <f>IF($H867="","",IF($H867=0,"Non trouvé",IF($H867=1,"Match","À vérifier")))</f>
        <v/>
      </c>
      <c r="J867" s="21">
        <f>IF($I867&lt;&gt;"Match","",INDEX(Ventes_Encaissements!$B$6:$B$3005,_xludf.AGGREGATE(15,6,(ROW(Ventes_Encaissements!$B$6:$B$3005)-ROW(Ventes_Encaissements!$B$6)+1)/((Ventes_Encaissements!$E$6:$E$3005=$B867)*(Ventes_Encaissements!$J$6:$J$3005=$G867)*(Ventes_Encaissements!$C$6:$C$3005&gt;=$C867-3)*(Ventes_Encaissements!$C$6:$C$3005&lt;=$C867+3)),1)))</f>
        <v/>
      </c>
      <c r="K867" s="6" t="n"/>
    </row>
    <row r="868">
      <c r="A868" s="6" t="n"/>
      <c r="B868" s="6" t="n"/>
      <c r="C868" s="19" t="n"/>
      <c r="D868" s="19" t="n"/>
      <c r="E868" s="6" t="n"/>
      <c r="F868" s="20" t="n"/>
      <c r="G868" s="9">
        <f>IF($F868="","",IF($F868&gt;0,ROUND($F868,2),""))</f>
        <v/>
      </c>
      <c r="H868" s="12">
        <f>IF(OR($B868="",$C868="",$G868=""),"",COUNTIFS(Ventes_Encaissements!$E$6:$E$3005,$B868,Ventes_Encaissements!$J$6:$J$3005,$G868,Ventes_Encaissements!$C$6:$C$3005,"&gt;="&amp;($C868-3),Ventes_Encaissements!$C$6:$C$3005,"&lt;="&amp;($C868+3)))</f>
        <v/>
      </c>
      <c r="I868" s="12">
        <f>IF($H868="","",IF($H868=0,"Non trouvé",IF($H868=1,"Match","À vérifier")))</f>
        <v/>
      </c>
      <c r="J868" s="21">
        <f>IF($I868&lt;&gt;"Match","",INDEX(Ventes_Encaissements!$B$6:$B$3005,_xludf.AGGREGATE(15,6,(ROW(Ventes_Encaissements!$B$6:$B$3005)-ROW(Ventes_Encaissements!$B$6)+1)/((Ventes_Encaissements!$E$6:$E$3005=$B868)*(Ventes_Encaissements!$J$6:$J$3005=$G868)*(Ventes_Encaissements!$C$6:$C$3005&gt;=$C868-3)*(Ventes_Encaissements!$C$6:$C$3005&lt;=$C868+3)),1)))</f>
        <v/>
      </c>
      <c r="K868" s="6" t="n"/>
    </row>
    <row r="869">
      <c r="A869" s="6" t="n"/>
      <c r="B869" s="6" t="n"/>
      <c r="C869" s="19" t="n"/>
      <c r="D869" s="19" t="n"/>
      <c r="E869" s="6" t="n"/>
      <c r="F869" s="20" t="n"/>
      <c r="G869" s="9">
        <f>IF($F869="","",IF($F869&gt;0,ROUND($F869,2),""))</f>
        <v/>
      </c>
      <c r="H869" s="12">
        <f>IF(OR($B869="",$C869="",$G869=""),"",COUNTIFS(Ventes_Encaissements!$E$6:$E$3005,$B869,Ventes_Encaissements!$J$6:$J$3005,$G869,Ventes_Encaissements!$C$6:$C$3005,"&gt;="&amp;($C869-3),Ventes_Encaissements!$C$6:$C$3005,"&lt;="&amp;($C869+3)))</f>
        <v/>
      </c>
      <c r="I869" s="12">
        <f>IF($H869="","",IF($H869=0,"Non trouvé",IF($H869=1,"Match","À vérifier")))</f>
        <v/>
      </c>
      <c r="J869" s="21">
        <f>IF($I869&lt;&gt;"Match","",INDEX(Ventes_Encaissements!$B$6:$B$3005,_xludf.AGGREGATE(15,6,(ROW(Ventes_Encaissements!$B$6:$B$3005)-ROW(Ventes_Encaissements!$B$6)+1)/((Ventes_Encaissements!$E$6:$E$3005=$B869)*(Ventes_Encaissements!$J$6:$J$3005=$G869)*(Ventes_Encaissements!$C$6:$C$3005&gt;=$C869-3)*(Ventes_Encaissements!$C$6:$C$3005&lt;=$C869+3)),1)))</f>
        <v/>
      </c>
      <c r="K869" s="6" t="n"/>
    </row>
    <row r="870">
      <c r="A870" s="6" t="n"/>
      <c r="B870" s="6" t="n"/>
      <c r="C870" s="19" t="n"/>
      <c r="D870" s="19" t="n"/>
      <c r="E870" s="6" t="n"/>
      <c r="F870" s="20" t="n"/>
      <c r="G870" s="9">
        <f>IF($F870="","",IF($F870&gt;0,ROUND($F870,2),""))</f>
        <v/>
      </c>
      <c r="H870" s="12">
        <f>IF(OR($B870="",$C870="",$G870=""),"",COUNTIFS(Ventes_Encaissements!$E$6:$E$3005,$B870,Ventes_Encaissements!$J$6:$J$3005,$G870,Ventes_Encaissements!$C$6:$C$3005,"&gt;="&amp;($C870-3),Ventes_Encaissements!$C$6:$C$3005,"&lt;="&amp;($C870+3)))</f>
        <v/>
      </c>
      <c r="I870" s="12">
        <f>IF($H870="","",IF($H870=0,"Non trouvé",IF($H870=1,"Match","À vérifier")))</f>
        <v/>
      </c>
      <c r="J870" s="21">
        <f>IF($I870&lt;&gt;"Match","",INDEX(Ventes_Encaissements!$B$6:$B$3005,_xludf.AGGREGATE(15,6,(ROW(Ventes_Encaissements!$B$6:$B$3005)-ROW(Ventes_Encaissements!$B$6)+1)/((Ventes_Encaissements!$E$6:$E$3005=$B870)*(Ventes_Encaissements!$J$6:$J$3005=$G870)*(Ventes_Encaissements!$C$6:$C$3005&gt;=$C870-3)*(Ventes_Encaissements!$C$6:$C$3005&lt;=$C870+3)),1)))</f>
        <v/>
      </c>
      <c r="K870" s="6" t="n"/>
    </row>
    <row r="871">
      <c r="A871" s="6" t="n"/>
      <c r="B871" s="6" t="n"/>
      <c r="C871" s="19" t="n"/>
      <c r="D871" s="19" t="n"/>
      <c r="E871" s="6" t="n"/>
      <c r="F871" s="20" t="n"/>
      <c r="G871" s="9">
        <f>IF($F871="","",IF($F871&gt;0,ROUND($F871,2),""))</f>
        <v/>
      </c>
      <c r="H871" s="12">
        <f>IF(OR($B871="",$C871="",$G871=""),"",COUNTIFS(Ventes_Encaissements!$E$6:$E$3005,$B871,Ventes_Encaissements!$J$6:$J$3005,$G871,Ventes_Encaissements!$C$6:$C$3005,"&gt;="&amp;($C871-3),Ventes_Encaissements!$C$6:$C$3005,"&lt;="&amp;($C871+3)))</f>
        <v/>
      </c>
      <c r="I871" s="12">
        <f>IF($H871="","",IF($H871=0,"Non trouvé",IF($H871=1,"Match","À vérifier")))</f>
        <v/>
      </c>
      <c r="J871" s="21">
        <f>IF($I871&lt;&gt;"Match","",INDEX(Ventes_Encaissements!$B$6:$B$3005,_xludf.AGGREGATE(15,6,(ROW(Ventes_Encaissements!$B$6:$B$3005)-ROW(Ventes_Encaissements!$B$6)+1)/((Ventes_Encaissements!$E$6:$E$3005=$B871)*(Ventes_Encaissements!$J$6:$J$3005=$G871)*(Ventes_Encaissements!$C$6:$C$3005&gt;=$C871-3)*(Ventes_Encaissements!$C$6:$C$3005&lt;=$C871+3)),1)))</f>
        <v/>
      </c>
      <c r="K871" s="6" t="n"/>
    </row>
    <row r="872">
      <c r="A872" s="6" t="n"/>
      <c r="B872" s="6" t="n"/>
      <c r="C872" s="19" t="n"/>
      <c r="D872" s="19" t="n"/>
      <c r="E872" s="6" t="n"/>
      <c r="F872" s="20" t="n"/>
      <c r="G872" s="9">
        <f>IF($F872="","",IF($F872&gt;0,ROUND($F872,2),""))</f>
        <v/>
      </c>
      <c r="H872" s="12">
        <f>IF(OR($B872="",$C872="",$G872=""),"",COUNTIFS(Ventes_Encaissements!$E$6:$E$3005,$B872,Ventes_Encaissements!$J$6:$J$3005,$G872,Ventes_Encaissements!$C$6:$C$3005,"&gt;="&amp;($C872-3),Ventes_Encaissements!$C$6:$C$3005,"&lt;="&amp;($C872+3)))</f>
        <v/>
      </c>
      <c r="I872" s="12">
        <f>IF($H872="","",IF($H872=0,"Non trouvé",IF($H872=1,"Match","À vérifier")))</f>
        <v/>
      </c>
      <c r="J872" s="21">
        <f>IF($I872&lt;&gt;"Match","",INDEX(Ventes_Encaissements!$B$6:$B$3005,_xludf.AGGREGATE(15,6,(ROW(Ventes_Encaissements!$B$6:$B$3005)-ROW(Ventes_Encaissements!$B$6)+1)/((Ventes_Encaissements!$E$6:$E$3005=$B872)*(Ventes_Encaissements!$J$6:$J$3005=$G872)*(Ventes_Encaissements!$C$6:$C$3005&gt;=$C872-3)*(Ventes_Encaissements!$C$6:$C$3005&lt;=$C872+3)),1)))</f>
        <v/>
      </c>
      <c r="K872" s="6" t="n"/>
    </row>
    <row r="873">
      <c r="A873" s="6" t="n"/>
      <c r="B873" s="6" t="n"/>
      <c r="C873" s="19" t="n"/>
      <c r="D873" s="19" t="n"/>
      <c r="E873" s="6" t="n"/>
      <c r="F873" s="20" t="n"/>
      <c r="G873" s="9">
        <f>IF($F873="","",IF($F873&gt;0,ROUND($F873,2),""))</f>
        <v/>
      </c>
      <c r="H873" s="12">
        <f>IF(OR($B873="",$C873="",$G873=""),"",COUNTIFS(Ventes_Encaissements!$E$6:$E$3005,$B873,Ventes_Encaissements!$J$6:$J$3005,$G873,Ventes_Encaissements!$C$6:$C$3005,"&gt;="&amp;($C873-3),Ventes_Encaissements!$C$6:$C$3005,"&lt;="&amp;($C873+3)))</f>
        <v/>
      </c>
      <c r="I873" s="12">
        <f>IF($H873="","",IF($H873=0,"Non trouvé",IF($H873=1,"Match","À vérifier")))</f>
        <v/>
      </c>
      <c r="J873" s="21">
        <f>IF($I873&lt;&gt;"Match","",INDEX(Ventes_Encaissements!$B$6:$B$3005,_xludf.AGGREGATE(15,6,(ROW(Ventes_Encaissements!$B$6:$B$3005)-ROW(Ventes_Encaissements!$B$6)+1)/((Ventes_Encaissements!$E$6:$E$3005=$B873)*(Ventes_Encaissements!$J$6:$J$3005=$G873)*(Ventes_Encaissements!$C$6:$C$3005&gt;=$C873-3)*(Ventes_Encaissements!$C$6:$C$3005&lt;=$C873+3)),1)))</f>
        <v/>
      </c>
      <c r="K873" s="6" t="n"/>
    </row>
    <row r="874">
      <c r="A874" s="6" t="n"/>
      <c r="B874" s="6" t="n"/>
      <c r="C874" s="19" t="n"/>
      <c r="D874" s="19" t="n"/>
      <c r="E874" s="6" t="n"/>
      <c r="F874" s="20" t="n"/>
      <c r="G874" s="9">
        <f>IF($F874="","",IF($F874&gt;0,ROUND($F874,2),""))</f>
        <v/>
      </c>
      <c r="H874" s="12">
        <f>IF(OR($B874="",$C874="",$G874=""),"",COUNTIFS(Ventes_Encaissements!$E$6:$E$3005,$B874,Ventes_Encaissements!$J$6:$J$3005,$G874,Ventes_Encaissements!$C$6:$C$3005,"&gt;="&amp;($C874-3),Ventes_Encaissements!$C$6:$C$3005,"&lt;="&amp;($C874+3)))</f>
        <v/>
      </c>
      <c r="I874" s="12">
        <f>IF($H874="","",IF($H874=0,"Non trouvé",IF($H874=1,"Match","À vérifier")))</f>
        <v/>
      </c>
      <c r="J874" s="21">
        <f>IF($I874&lt;&gt;"Match","",INDEX(Ventes_Encaissements!$B$6:$B$3005,_xludf.AGGREGATE(15,6,(ROW(Ventes_Encaissements!$B$6:$B$3005)-ROW(Ventes_Encaissements!$B$6)+1)/((Ventes_Encaissements!$E$6:$E$3005=$B874)*(Ventes_Encaissements!$J$6:$J$3005=$G874)*(Ventes_Encaissements!$C$6:$C$3005&gt;=$C874-3)*(Ventes_Encaissements!$C$6:$C$3005&lt;=$C874+3)),1)))</f>
        <v/>
      </c>
      <c r="K874" s="6" t="n"/>
    </row>
    <row r="875">
      <c r="A875" s="6" t="n"/>
      <c r="B875" s="6" t="n"/>
      <c r="C875" s="19" t="n"/>
      <c r="D875" s="19" t="n"/>
      <c r="E875" s="6" t="n"/>
      <c r="F875" s="20" t="n"/>
      <c r="G875" s="9">
        <f>IF($F875="","",IF($F875&gt;0,ROUND($F875,2),""))</f>
        <v/>
      </c>
      <c r="H875" s="12">
        <f>IF(OR($B875="",$C875="",$G875=""),"",COUNTIFS(Ventes_Encaissements!$E$6:$E$3005,$B875,Ventes_Encaissements!$J$6:$J$3005,$G875,Ventes_Encaissements!$C$6:$C$3005,"&gt;="&amp;($C875-3),Ventes_Encaissements!$C$6:$C$3005,"&lt;="&amp;($C875+3)))</f>
        <v/>
      </c>
      <c r="I875" s="12">
        <f>IF($H875="","",IF($H875=0,"Non trouvé",IF($H875=1,"Match","À vérifier")))</f>
        <v/>
      </c>
      <c r="J875" s="21">
        <f>IF($I875&lt;&gt;"Match","",INDEX(Ventes_Encaissements!$B$6:$B$3005,_xludf.AGGREGATE(15,6,(ROW(Ventes_Encaissements!$B$6:$B$3005)-ROW(Ventes_Encaissements!$B$6)+1)/((Ventes_Encaissements!$E$6:$E$3005=$B875)*(Ventes_Encaissements!$J$6:$J$3005=$G875)*(Ventes_Encaissements!$C$6:$C$3005&gt;=$C875-3)*(Ventes_Encaissements!$C$6:$C$3005&lt;=$C875+3)),1)))</f>
        <v/>
      </c>
      <c r="K875" s="6" t="n"/>
    </row>
    <row r="876">
      <c r="A876" s="6" t="n"/>
      <c r="B876" s="6" t="n"/>
      <c r="C876" s="19" t="n"/>
      <c r="D876" s="19" t="n"/>
      <c r="E876" s="6" t="n"/>
      <c r="F876" s="20" t="n"/>
      <c r="G876" s="9">
        <f>IF($F876="","",IF($F876&gt;0,ROUND($F876,2),""))</f>
        <v/>
      </c>
      <c r="H876" s="12">
        <f>IF(OR($B876="",$C876="",$G876=""),"",COUNTIFS(Ventes_Encaissements!$E$6:$E$3005,$B876,Ventes_Encaissements!$J$6:$J$3005,$G876,Ventes_Encaissements!$C$6:$C$3005,"&gt;="&amp;($C876-3),Ventes_Encaissements!$C$6:$C$3005,"&lt;="&amp;($C876+3)))</f>
        <v/>
      </c>
      <c r="I876" s="12">
        <f>IF($H876="","",IF($H876=0,"Non trouvé",IF($H876=1,"Match","À vérifier")))</f>
        <v/>
      </c>
      <c r="J876" s="21">
        <f>IF($I876&lt;&gt;"Match","",INDEX(Ventes_Encaissements!$B$6:$B$3005,_xludf.AGGREGATE(15,6,(ROW(Ventes_Encaissements!$B$6:$B$3005)-ROW(Ventes_Encaissements!$B$6)+1)/((Ventes_Encaissements!$E$6:$E$3005=$B876)*(Ventes_Encaissements!$J$6:$J$3005=$G876)*(Ventes_Encaissements!$C$6:$C$3005&gt;=$C876-3)*(Ventes_Encaissements!$C$6:$C$3005&lt;=$C876+3)),1)))</f>
        <v/>
      </c>
      <c r="K876" s="6" t="n"/>
    </row>
    <row r="877">
      <c r="A877" s="6" t="n"/>
      <c r="B877" s="6" t="n"/>
      <c r="C877" s="19" t="n"/>
      <c r="D877" s="19" t="n"/>
      <c r="E877" s="6" t="n"/>
      <c r="F877" s="20" t="n"/>
      <c r="G877" s="9">
        <f>IF($F877="","",IF($F877&gt;0,ROUND($F877,2),""))</f>
        <v/>
      </c>
      <c r="H877" s="12">
        <f>IF(OR($B877="",$C877="",$G877=""),"",COUNTIFS(Ventes_Encaissements!$E$6:$E$3005,$B877,Ventes_Encaissements!$J$6:$J$3005,$G877,Ventes_Encaissements!$C$6:$C$3005,"&gt;="&amp;($C877-3),Ventes_Encaissements!$C$6:$C$3005,"&lt;="&amp;($C877+3)))</f>
        <v/>
      </c>
      <c r="I877" s="12">
        <f>IF($H877="","",IF($H877=0,"Non trouvé",IF($H877=1,"Match","À vérifier")))</f>
        <v/>
      </c>
      <c r="J877" s="21">
        <f>IF($I877&lt;&gt;"Match","",INDEX(Ventes_Encaissements!$B$6:$B$3005,_xludf.AGGREGATE(15,6,(ROW(Ventes_Encaissements!$B$6:$B$3005)-ROW(Ventes_Encaissements!$B$6)+1)/((Ventes_Encaissements!$E$6:$E$3005=$B877)*(Ventes_Encaissements!$J$6:$J$3005=$G877)*(Ventes_Encaissements!$C$6:$C$3005&gt;=$C877-3)*(Ventes_Encaissements!$C$6:$C$3005&lt;=$C877+3)),1)))</f>
        <v/>
      </c>
      <c r="K877" s="6" t="n"/>
    </row>
    <row r="878">
      <c r="A878" s="6" t="n"/>
      <c r="B878" s="6" t="n"/>
      <c r="C878" s="19" t="n"/>
      <c r="D878" s="19" t="n"/>
      <c r="E878" s="6" t="n"/>
      <c r="F878" s="20" t="n"/>
      <c r="G878" s="9">
        <f>IF($F878="","",IF($F878&gt;0,ROUND($F878,2),""))</f>
        <v/>
      </c>
      <c r="H878" s="12">
        <f>IF(OR($B878="",$C878="",$G878=""),"",COUNTIFS(Ventes_Encaissements!$E$6:$E$3005,$B878,Ventes_Encaissements!$J$6:$J$3005,$G878,Ventes_Encaissements!$C$6:$C$3005,"&gt;="&amp;($C878-3),Ventes_Encaissements!$C$6:$C$3005,"&lt;="&amp;($C878+3)))</f>
        <v/>
      </c>
      <c r="I878" s="12">
        <f>IF($H878="","",IF($H878=0,"Non trouvé",IF($H878=1,"Match","À vérifier")))</f>
        <v/>
      </c>
      <c r="J878" s="21">
        <f>IF($I878&lt;&gt;"Match","",INDEX(Ventes_Encaissements!$B$6:$B$3005,_xludf.AGGREGATE(15,6,(ROW(Ventes_Encaissements!$B$6:$B$3005)-ROW(Ventes_Encaissements!$B$6)+1)/((Ventes_Encaissements!$E$6:$E$3005=$B878)*(Ventes_Encaissements!$J$6:$J$3005=$G878)*(Ventes_Encaissements!$C$6:$C$3005&gt;=$C878-3)*(Ventes_Encaissements!$C$6:$C$3005&lt;=$C878+3)),1)))</f>
        <v/>
      </c>
      <c r="K878" s="6" t="n"/>
    </row>
    <row r="879">
      <c r="A879" s="6" t="n"/>
      <c r="B879" s="6" t="n"/>
      <c r="C879" s="19" t="n"/>
      <c r="D879" s="19" t="n"/>
      <c r="E879" s="6" t="n"/>
      <c r="F879" s="20" t="n"/>
      <c r="G879" s="9">
        <f>IF($F879="","",IF($F879&gt;0,ROUND($F879,2),""))</f>
        <v/>
      </c>
      <c r="H879" s="12">
        <f>IF(OR($B879="",$C879="",$G879=""),"",COUNTIFS(Ventes_Encaissements!$E$6:$E$3005,$B879,Ventes_Encaissements!$J$6:$J$3005,$G879,Ventes_Encaissements!$C$6:$C$3005,"&gt;="&amp;($C879-3),Ventes_Encaissements!$C$6:$C$3005,"&lt;="&amp;($C879+3)))</f>
        <v/>
      </c>
      <c r="I879" s="12">
        <f>IF($H879="","",IF($H879=0,"Non trouvé",IF($H879=1,"Match","À vérifier")))</f>
        <v/>
      </c>
      <c r="J879" s="21">
        <f>IF($I879&lt;&gt;"Match","",INDEX(Ventes_Encaissements!$B$6:$B$3005,_xludf.AGGREGATE(15,6,(ROW(Ventes_Encaissements!$B$6:$B$3005)-ROW(Ventes_Encaissements!$B$6)+1)/((Ventes_Encaissements!$E$6:$E$3005=$B879)*(Ventes_Encaissements!$J$6:$J$3005=$G879)*(Ventes_Encaissements!$C$6:$C$3005&gt;=$C879-3)*(Ventes_Encaissements!$C$6:$C$3005&lt;=$C879+3)),1)))</f>
        <v/>
      </c>
      <c r="K879" s="6" t="n"/>
    </row>
    <row r="880">
      <c r="A880" s="6" t="n"/>
      <c r="B880" s="6" t="n"/>
      <c r="C880" s="19" t="n"/>
      <c r="D880" s="19" t="n"/>
      <c r="E880" s="6" t="n"/>
      <c r="F880" s="20" t="n"/>
      <c r="G880" s="9">
        <f>IF($F880="","",IF($F880&gt;0,ROUND($F880,2),""))</f>
        <v/>
      </c>
      <c r="H880" s="12">
        <f>IF(OR($B880="",$C880="",$G880=""),"",COUNTIFS(Ventes_Encaissements!$E$6:$E$3005,$B880,Ventes_Encaissements!$J$6:$J$3005,$G880,Ventes_Encaissements!$C$6:$C$3005,"&gt;="&amp;($C880-3),Ventes_Encaissements!$C$6:$C$3005,"&lt;="&amp;($C880+3)))</f>
        <v/>
      </c>
      <c r="I880" s="12">
        <f>IF($H880="","",IF($H880=0,"Non trouvé",IF($H880=1,"Match","À vérifier")))</f>
        <v/>
      </c>
      <c r="J880" s="21">
        <f>IF($I880&lt;&gt;"Match","",INDEX(Ventes_Encaissements!$B$6:$B$3005,_xludf.AGGREGATE(15,6,(ROW(Ventes_Encaissements!$B$6:$B$3005)-ROW(Ventes_Encaissements!$B$6)+1)/((Ventes_Encaissements!$E$6:$E$3005=$B880)*(Ventes_Encaissements!$J$6:$J$3005=$G880)*(Ventes_Encaissements!$C$6:$C$3005&gt;=$C880-3)*(Ventes_Encaissements!$C$6:$C$3005&lt;=$C880+3)),1)))</f>
        <v/>
      </c>
      <c r="K880" s="6" t="n"/>
    </row>
    <row r="881">
      <c r="A881" s="6" t="n"/>
      <c r="B881" s="6" t="n"/>
      <c r="C881" s="19" t="n"/>
      <c r="D881" s="19" t="n"/>
      <c r="E881" s="6" t="n"/>
      <c r="F881" s="20" t="n"/>
      <c r="G881" s="9">
        <f>IF($F881="","",IF($F881&gt;0,ROUND($F881,2),""))</f>
        <v/>
      </c>
      <c r="H881" s="12">
        <f>IF(OR($B881="",$C881="",$G881=""),"",COUNTIFS(Ventes_Encaissements!$E$6:$E$3005,$B881,Ventes_Encaissements!$J$6:$J$3005,$G881,Ventes_Encaissements!$C$6:$C$3005,"&gt;="&amp;($C881-3),Ventes_Encaissements!$C$6:$C$3005,"&lt;="&amp;($C881+3)))</f>
        <v/>
      </c>
      <c r="I881" s="12">
        <f>IF($H881="","",IF($H881=0,"Non trouvé",IF($H881=1,"Match","À vérifier")))</f>
        <v/>
      </c>
      <c r="J881" s="21">
        <f>IF($I881&lt;&gt;"Match","",INDEX(Ventes_Encaissements!$B$6:$B$3005,_xludf.AGGREGATE(15,6,(ROW(Ventes_Encaissements!$B$6:$B$3005)-ROW(Ventes_Encaissements!$B$6)+1)/((Ventes_Encaissements!$E$6:$E$3005=$B881)*(Ventes_Encaissements!$J$6:$J$3005=$G881)*(Ventes_Encaissements!$C$6:$C$3005&gt;=$C881-3)*(Ventes_Encaissements!$C$6:$C$3005&lt;=$C881+3)),1)))</f>
        <v/>
      </c>
      <c r="K881" s="6" t="n"/>
    </row>
    <row r="882">
      <c r="A882" s="6" t="n"/>
      <c r="B882" s="6" t="n"/>
      <c r="C882" s="19" t="n"/>
      <c r="D882" s="19" t="n"/>
      <c r="E882" s="6" t="n"/>
      <c r="F882" s="20" t="n"/>
      <c r="G882" s="9">
        <f>IF($F882="","",IF($F882&gt;0,ROUND($F882,2),""))</f>
        <v/>
      </c>
      <c r="H882" s="12">
        <f>IF(OR($B882="",$C882="",$G882=""),"",COUNTIFS(Ventes_Encaissements!$E$6:$E$3005,$B882,Ventes_Encaissements!$J$6:$J$3005,$G882,Ventes_Encaissements!$C$6:$C$3005,"&gt;="&amp;($C882-3),Ventes_Encaissements!$C$6:$C$3005,"&lt;="&amp;($C882+3)))</f>
        <v/>
      </c>
      <c r="I882" s="12">
        <f>IF($H882="","",IF($H882=0,"Non trouvé",IF($H882=1,"Match","À vérifier")))</f>
        <v/>
      </c>
      <c r="J882" s="21">
        <f>IF($I882&lt;&gt;"Match","",INDEX(Ventes_Encaissements!$B$6:$B$3005,_xludf.AGGREGATE(15,6,(ROW(Ventes_Encaissements!$B$6:$B$3005)-ROW(Ventes_Encaissements!$B$6)+1)/((Ventes_Encaissements!$E$6:$E$3005=$B882)*(Ventes_Encaissements!$J$6:$J$3005=$G882)*(Ventes_Encaissements!$C$6:$C$3005&gt;=$C882-3)*(Ventes_Encaissements!$C$6:$C$3005&lt;=$C882+3)),1)))</f>
        <v/>
      </c>
      <c r="K882" s="6" t="n"/>
    </row>
    <row r="883">
      <c r="A883" s="6" t="n"/>
      <c r="B883" s="6" t="n"/>
      <c r="C883" s="19" t="n"/>
      <c r="D883" s="19" t="n"/>
      <c r="E883" s="6" t="n"/>
      <c r="F883" s="20" t="n"/>
      <c r="G883" s="9">
        <f>IF($F883="","",IF($F883&gt;0,ROUND($F883,2),""))</f>
        <v/>
      </c>
      <c r="H883" s="12">
        <f>IF(OR($B883="",$C883="",$G883=""),"",COUNTIFS(Ventes_Encaissements!$E$6:$E$3005,$B883,Ventes_Encaissements!$J$6:$J$3005,$G883,Ventes_Encaissements!$C$6:$C$3005,"&gt;="&amp;($C883-3),Ventes_Encaissements!$C$6:$C$3005,"&lt;="&amp;($C883+3)))</f>
        <v/>
      </c>
      <c r="I883" s="12">
        <f>IF($H883="","",IF($H883=0,"Non trouvé",IF($H883=1,"Match","À vérifier")))</f>
        <v/>
      </c>
      <c r="J883" s="21">
        <f>IF($I883&lt;&gt;"Match","",INDEX(Ventes_Encaissements!$B$6:$B$3005,_xludf.AGGREGATE(15,6,(ROW(Ventes_Encaissements!$B$6:$B$3005)-ROW(Ventes_Encaissements!$B$6)+1)/((Ventes_Encaissements!$E$6:$E$3005=$B883)*(Ventes_Encaissements!$J$6:$J$3005=$G883)*(Ventes_Encaissements!$C$6:$C$3005&gt;=$C883-3)*(Ventes_Encaissements!$C$6:$C$3005&lt;=$C883+3)),1)))</f>
        <v/>
      </c>
      <c r="K883" s="6" t="n"/>
    </row>
    <row r="884">
      <c r="A884" s="6" t="n"/>
      <c r="B884" s="6" t="n"/>
      <c r="C884" s="19" t="n"/>
      <c r="D884" s="19" t="n"/>
      <c r="E884" s="6" t="n"/>
      <c r="F884" s="20" t="n"/>
      <c r="G884" s="9">
        <f>IF($F884="","",IF($F884&gt;0,ROUND($F884,2),""))</f>
        <v/>
      </c>
      <c r="H884" s="12">
        <f>IF(OR($B884="",$C884="",$G884=""),"",COUNTIFS(Ventes_Encaissements!$E$6:$E$3005,$B884,Ventes_Encaissements!$J$6:$J$3005,$G884,Ventes_Encaissements!$C$6:$C$3005,"&gt;="&amp;($C884-3),Ventes_Encaissements!$C$6:$C$3005,"&lt;="&amp;($C884+3)))</f>
        <v/>
      </c>
      <c r="I884" s="12">
        <f>IF($H884="","",IF($H884=0,"Non trouvé",IF($H884=1,"Match","À vérifier")))</f>
        <v/>
      </c>
      <c r="J884" s="21">
        <f>IF($I884&lt;&gt;"Match","",INDEX(Ventes_Encaissements!$B$6:$B$3005,_xludf.AGGREGATE(15,6,(ROW(Ventes_Encaissements!$B$6:$B$3005)-ROW(Ventes_Encaissements!$B$6)+1)/((Ventes_Encaissements!$E$6:$E$3005=$B884)*(Ventes_Encaissements!$J$6:$J$3005=$G884)*(Ventes_Encaissements!$C$6:$C$3005&gt;=$C884-3)*(Ventes_Encaissements!$C$6:$C$3005&lt;=$C884+3)),1)))</f>
        <v/>
      </c>
      <c r="K884" s="6" t="n"/>
    </row>
    <row r="885">
      <c r="A885" s="6" t="n"/>
      <c r="B885" s="6" t="n"/>
      <c r="C885" s="19" t="n"/>
      <c r="D885" s="19" t="n"/>
      <c r="E885" s="6" t="n"/>
      <c r="F885" s="20" t="n"/>
      <c r="G885" s="9">
        <f>IF($F885="","",IF($F885&gt;0,ROUND($F885,2),""))</f>
        <v/>
      </c>
      <c r="H885" s="12">
        <f>IF(OR($B885="",$C885="",$G885=""),"",COUNTIFS(Ventes_Encaissements!$E$6:$E$3005,$B885,Ventes_Encaissements!$J$6:$J$3005,$G885,Ventes_Encaissements!$C$6:$C$3005,"&gt;="&amp;($C885-3),Ventes_Encaissements!$C$6:$C$3005,"&lt;="&amp;($C885+3)))</f>
        <v/>
      </c>
      <c r="I885" s="12">
        <f>IF($H885="","",IF($H885=0,"Non trouvé",IF($H885=1,"Match","À vérifier")))</f>
        <v/>
      </c>
      <c r="J885" s="21">
        <f>IF($I885&lt;&gt;"Match","",INDEX(Ventes_Encaissements!$B$6:$B$3005,_xludf.AGGREGATE(15,6,(ROW(Ventes_Encaissements!$B$6:$B$3005)-ROW(Ventes_Encaissements!$B$6)+1)/((Ventes_Encaissements!$E$6:$E$3005=$B885)*(Ventes_Encaissements!$J$6:$J$3005=$G885)*(Ventes_Encaissements!$C$6:$C$3005&gt;=$C885-3)*(Ventes_Encaissements!$C$6:$C$3005&lt;=$C885+3)),1)))</f>
        <v/>
      </c>
      <c r="K885" s="6" t="n"/>
    </row>
    <row r="886">
      <c r="A886" s="6" t="n"/>
      <c r="B886" s="6" t="n"/>
      <c r="C886" s="19" t="n"/>
      <c r="D886" s="19" t="n"/>
      <c r="E886" s="6" t="n"/>
      <c r="F886" s="20" t="n"/>
      <c r="G886" s="9">
        <f>IF($F886="","",IF($F886&gt;0,ROUND($F886,2),""))</f>
        <v/>
      </c>
      <c r="H886" s="12">
        <f>IF(OR($B886="",$C886="",$G886=""),"",COUNTIFS(Ventes_Encaissements!$E$6:$E$3005,$B886,Ventes_Encaissements!$J$6:$J$3005,$G886,Ventes_Encaissements!$C$6:$C$3005,"&gt;="&amp;($C886-3),Ventes_Encaissements!$C$6:$C$3005,"&lt;="&amp;($C886+3)))</f>
        <v/>
      </c>
      <c r="I886" s="12">
        <f>IF($H886="","",IF($H886=0,"Non trouvé",IF($H886=1,"Match","À vérifier")))</f>
        <v/>
      </c>
      <c r="J886" s="21">
        <f>IF($I886&lt;&gt;"Match","",INDEX(Ventes_Encaissements!$B$6:$B$3005,_xludf.AGGREGATE(15,6,(ROW(Ventes_Encaissements!$B$6:$B$3005)-ROW(Ventes_Encaissements!$B$6)+1)/((Ventes_Encaissements!$E$6:$E$3005=$B886)*(Ventes_Encaissements!$J$6:$J$3005=$G886)*(Ventes_Encaissements!$C$6:$C$3005&gt;=$C886-3)*(Ventes_Encaissements!$C$6:$C$3005&lt;=$C886+3)),1)))</f>
        <v/>
      </c>
      <c r="K886" s="6" t="n"/>
    </row>
    <row r="887">
      <c r="A887" s="6" t="n"/>
      <c r="B887" s="6" t="n"/>
      <c r="C887" s="19" t="n"/>
      <c r="D887" s="19" t="n"/>
      <c r="E887" s="6" t="n"/>
      <c r="F887" s="20" t="n"/>
      <c r="G887" s="9">
        <f>IF($F887="","",IF($F887&gt;0,ROUND($F887,2),""))</f>
        <v/>
      </c>
      <c r="H887" s="12">
        <f>IF(OR($B887="",$C887="",$G887=""),"",COUNTIFS(Ventes_Encaissements!$E$6:$E$3005,$B887,Ventes_Encaissements!$J$6:$J$3005,$G887,Ventes_Encaissements!$C$6:$C$3005,"&gt;="&amp;($C887-3),Ventes_Encaissements!$C$6:$C$3005,"&lt;="&amp;($C887+3)))</f>
        <v/>
      </c>
      <c r="I887" s="12">
        <f>IF($H887="","",IF($H887=0,"Non trouvé",IF($H887=1,"Match","À vérifier")))</f>
        <v/>
      </c>
      <c r="J887" s="21">
        <f>IF($I887&lt;&gt;"Match","",INDEX(Ventes_Encaissements!$B$6:$B$3005,_xludf.AGGREGATE(15,6,(ROW(Ventes_Encaissements!$B$6:$B$3005)-ROW(Ventes_Encaissements!$B$6)+1)/((Ventes_Encaissements!$E$6:$E$3005=$B887)*(Ventes_Encaissements!$J$6:$J$3005=$G887)*(Ventes_Encaissements!$C$6:$C$3005&gt;=$C887-3)*(Ventes_Encaissements!$C$6:$C$3005&lt;=$C887+3)),1)))</f>
        <v/>
      </c>
      <c r="K887" s="6" t="n"/>
    </row>
    <row r="888">
      <c r="A888" s="6" t="n"/>
      <c r="B888" s="6" t="n"/>
      <c r="C888" s="19" t="n"/>
      <c r="D888" s="19" t="n"/>
      <c r="E888" s="6" t="n"/>
      <c r="F888" s="20" t="n"/>
      <c r="G888" s="9">
        <f>IF($F888="","",IF($F888&gt;0,ROUND($F888,2),""))</f>
        <v/>
      </c>
      <c r="H888" s="12">
        <f>IF(OR($B888="",$C888="",$G888=""),"",COUNTIFS(Ventes_Encaissements!$E$6:$E$3005,$B888,Ventes_Encaissements!$J$6:$J$3005,$G888,Ventes_Encaissements!$C$6:$C$3005,"&gt;="&amp;($C888-3),Ventes_Encaissements!$C$6:$C$3005,"&lt;="&amp;($C888+3)))</f>
        <v/>
      </c>
      <c r="I888" s="12">
        <f>IF($H888="","",IF($H888=0,"Non trouvé",IF($H888=1,"Match","À vérifier")))</f>
        <v/>
      </c>
      <c r="J888" s="21">
        <f>IF($I888&lt;&gt;"Match","",INDEX(Ventes_Encaissements!$B$6:$B$3005,_xludf.AGGREGATE(15,6,(ROW(Ventes_Encaissements!$B$6:$B$3005)-ROW(Ventes_Encaissements!$B$6)+1)/((Ventes_Encaissements!$E$6:$E$3005=$B888)*(Ventes_Encaissements!$J$6:$J$3005=$G888)*(Ventes_Encaissements!$C$6:$C$3005&gt;=$C888-3)*(Ventes_Encaissements!$C$6:$C$3005&lt;=$C888+3)),1)))</f>
        <v/>
      </c>
      <c r="K888" s="6" t="n"/>
    </row>
    <row r="889">
      <c r="A889" s="6" t="n"/>
      <c r="B889" s="6" t="n"/>
      <c r="C889" s="19" t="n"/>
      <c r="D889" s="19" t="n"/>
      <c r="E889" s="6" t="n"/>
      <c r="F889" s="20" t="n"/>
      <c r="G889" s="9">
        <f>IF($F889="","",IF($F889&gt;0,ROUND($F889,2),""))</f>
        <v/>
      </c>
      <c r="H889" s="12">
        <f>IF(OR($B889="",$C889="",$G889=""),"",COUNTIFS(Ventes_Encaissements!$E$6:$E$3005,$B889,Ventes_Encaissements!$J$6:$J$3005,$G889,Ventes_Encaissements!$C$6:$C$3005,"&gt;="&amp;($C889-3),Ventes_Encaissements!$C$6:$C$3005,"&lt;="&amp;($C889+3)))</f>
        <v/>
      </c>
      <c r="I889" s="12">
        <f>IF($H889="","",IF($H889=0,"Non trouvé",IF($H889=1,"Match","À vérifier")))</f>
        <v/>
      </c>
      <c r="J889" s="21">
        <f>IF($I889&lt;&gt;"Match","",INDEX(Ventes_Encaissements!$B$6:$B$3005,_xludf.AGGREGATE(15,6,(ROW(Ventes_Encaissements!$B$6:$B$3005)-ROW(Ventes_Encaissements!$B$6)+1)/((Ventes_Encaissements!$E$6:$E$3005=$B889)*(Ventes_Encaissements!$J$6:$J$3005=$G889)*(Ventes_Encaissements!$C$6:$C$3005&gt;=$C889-3)*(Ventes_Encaissements!$C$6:$C$3005&lt;=$C889+3)),1)))</f>
        <v/>
      </c>
      <c r="K889" s="6" t="n"/>
    </row>
    <row r="890">
      <c r="A890" s="6" t="n"/>
      <c r="B890" s="6" t="n"/>
      <c r="C890" s="19" t="n"/>
      <c r="D890" s="19" t="n"/>
      <c r="E890" s="6" t="n"/>
      <c r="F890" s="20" t="n"/>
      <c r="G890" s="9">
        <f>IF($F890="","",IF($F890&gt;0,ROUND($F890,2),""))</f>
        <v/>
      </c>
      <c r="H890" s="12">
        <f>IF(OR($B890="",$C890="",$G890=""),"",COUNTIFS(Ventes_Encaissements!$E$6:$E$3005,$B890,Ventes_Encaissements!$J$6:$J$3005,$G890,Ventes_Encaissements!$C$6:$C$3005,"&gt;="&amp;($C890-3),Ventes_Encaissements!$C$6:$C$3005,"&lt;="&amp;($C890+3)))</f>
        <v/>
      </c>
      <c r="I890" s="12">
        <f>IF($H890="","",IF($H890=0,"Non trouvé",IF($H890=1,"Match","À vérifier")))</f>
        <v/>
      </c>
      <c r="J890" s="21">
        <f>IF($I890&lt;&gt;"Match","",INDEX(Ventes_Encaissements!$B$6:$B$3005,_xludf.AGGREGATE(15,6,(ROW(Ventes_Encaissements!$B$6:$B$3005)-ROW(Ventes_Encaissements!$B$6)+1)/((Ventes_Encaissements!$E$6:$E$3005=$B890)*(Ventes_Encaissements!$J$6:$J$3005=$G890)*(Ventes_Encaissements!$C$6:$C$3005&gt;=$C890-3)*(Ventes_Encaissements!$C$6:$C$3005&lt;=$C890+3)),1)))</f>
        <v/>
      </c>
      <c r="K890" s="6" t="n"/>
    </row>
    <row r="891">
      <c r="A891" s="6" t="n"/>
      <c r="B891" s="6" t="n"/>
      <c r="C891" s="19" t="n"/>
      <c r="D891" s="19" t="n"/>
      <c r="E891" s="6" t="n"/>
      <c r="F891" s="20" t="n"/>
      <c r="G891" s="9">
        <f>IF($F891="","",IF($F891&gt;0,ROUND($F891,2),""))</f>
        <v/>
      </c>
      <c r="H891" s="12">
        <f>IF(OR($B891="",$C891="",$G891=""),"",COUNTIFS(Ventes_Encaissements!$E$6:$E$3005,$B891,Ventes_Encaissements!$J$6:$J$3005,$G891,Ventes_Encaissements!$C$6:$C$3005,"&gt;="&amp;($C891-3),Ventes_Encaissements!$C$6:$C$3005,"&lt;="&amp;($C891+3)))</f>
        <v/>
      </c>
      <c r="I891" s="12">
        <f>IF($H891="","",IF($H891=0,"Non trouvé",IF($H891=1,"Match","À vérifier")))</f>
        <v/>
      </c>
      <c r="J891" s="21">
        <f>IF($I891&lt;&gt;"Match","",INDEX(Ventes_Encaissements!$B$6:$B$3005,_xludf.AGGREGATE(15,6,(ROW(Ventes_Encaissements!$B$6:$B$3005)-ROW(Ventes_Encaissements!$B$6)+1)/((Ventes_Encaissements!$E$6:$E$3005=$B891)*(Ventes_Encaissements!$J$6:$J$3005=$G891)*(Ventes_Encaissements!$C$6:$C$3005&gt;=$C891-3)*(Ventes_Encaissements!$C$6:$C$3005&lt;=$C891+3)),1)))</f>
        <v/>
      </c>
      <c r="K891" s="6" t="n"/>
    </row>
    <row r="892">
      <c r="A892" s="6" t="n"/>
      <c r="B892" s="6" t="n"/>
      <c r="C892" s="19" t="n"/>
      <c r="D892" s="19" t="n"/>
      <c r="E892" s="6" t="n"/>
      <c r="F892" s="20" t="n"/>
      <c r="G892" s="9">
        <f>IF($F892="","",IF($F892&gt;0,ROUND($F892,2),""))</f>
        <v/>
      </c>
      <c r="H892" s="12">
        <f>IF(OR($B892="",$C892="",$G892=""),"",COUNTIFS(Ventes_Encaissements!$E$6:$E$3005,$B892,Ventes_Encaissements!$J$6:$J$3005,$G892,Ventes_Encaissements!$C$6:$C$3005,"&gt;="&amp;($C892-3),Ventes_Encaissements!$C$6:$C$3005,"&lt;="&amp;($C892+3)))</f>
        <v/>
      </c>
      <c r="I892" s="12">
        <f>IF($H892="","",IF($H892=0,"Non trouvé",IF($H892=1,"Match","À vérifier")))</f>
        <v/>
      </c>
      <c r="J892" s="21">
        <f>IF($I892&lt;&gt;"Match","",INDEX(Ventes_Encaissements!$B$6:$B$3005,_xludf.AGGREGATE(15,6,(ROW(Ventes_Encaissements!$B$6:$B$3005)-ROW(Ventes_Encaissements!$B$6)+1)/((Ventes_Encaissements!$E$6:$E$3005=$B892)*(Ventes_Encaissements!$J$6:$J$3005=$G892)*(Ventes_Encaissements!$C$6:$C$3005&gt;=$C892-3)*(Ventes_Encaissements!$C$6:$C$3005&lt;=$C892+3)),1)))</f>
        <v/>
      </c>
      <c r="K892" s="6" t="n"/>
    </row>
    <row r="893">
      <c r="A893" s="6" t="n"/>
      <c r="B893" s="6" t="n"/>
      <c r="C893" s="19" t="n"/>
      <c r="D893" s="19" t="n"/>
      <c r="E893" s="6" t="n"/>
      <c r="F893" s="20" t="n"/>
      <c r="G893" s="9">
        <f>IF($F893="","",IF($F893&gt;0,ROUND($F893,2),""))</f>
        <v/>
      </c>
      <c r="H893" s="12">
        <f>IF(OR($B893="",$C893="",$G893=""),"",COUNTIFS(Ventes_Encaissements!$E$6:$E$3005,$B893,Ventes_Encaissements!$J$6:$J$3005,$G893,Ventes_Encaissements!$C$6:$C$3005,"&gt;="&amp;($C893-3),Ventes_Encaissements!$C$6:$C$3005,"&lt;="&amp;($C893+3)))</f>
        <v/>
      </c>
      <c r="I893" s="12">
        <f>IF($H893="","",IF($H893=0,"Non trouvé",IF($H893=1,"Match","À vérifier")))</f>
        <v/>
      </c>
      <c r="J893" s="21">
        <f>IF($I893&lt;&gt;"Match","",INDEX(Ventes_Encaissements!$B$6:$B$3005,_xludf.AGGREGATE(15,6,(ROW(Ventes_Encaissements!$B$6:$B$3005)-ROW(Ventes_Encaissements!$B$6)+1)/((Ventes_Encaissements!$E$6:$E$3005=$B893)*(Ventes_Encaissements!$J$6:$J$3005=$G893)*(Ventes_Encaissements!$C$6:$C$3005&gt;=$C893-3)*(Ventes_Encaissements!$C$6:$C$3005&lt;=$C893+3)),1)))</f>
        <v/>
      </c>
      <c r="K893" s="6" t="n"/>
    </row>
    <row r="894">
      <c r="A894" s="6" t="n"/>
      <c r="B894" s="6" t="n"/>
      <c r="C894" s="19" t="n"/>
      <c r="D894" s="19" t="n"/>
      <c r="E894" s="6" t="n"/>
      <c r="F894" s="20" t="n"/>
      <c r="G894" s="9">
        <f>IF($F894="","",IF($F894&gt;0,ROUND($F894,2),""))</f>
        <v/>
      </c>
      <c r="H894" s="12">
        <f>IF(OR($B894="",$C894="",$G894=""),"",COUNTIFS(Ventes_Encaissements!$E$6:$E$3005,$B894,Ventes_Encaissements!$J$6:$J$3005,$G894,Ventes_Encaissements!$C$6:$C$3005,"&gt;="&amp;($C894-3),Ventes_Encaissements!$C$6:$C$3005,"&lt;="&amp;($C894+3)))</f>
        <v/>
      </c>
      <c r="I894" s="12">
        <f>IF($H894="","",IF($H894=0,"Non trouvé",IF($H894=1,"Match","À vérifier")))</f>
        <v/>
      </c>
      <c r="J894" s="21">
        <f>IF($I894&lt;&gt;"Match","",INDEX(Ventes_Encaissements!$B$6:$B$3005,_xludf.AGGREGATE(15,6,(ROW(Ventes_Encaissements!$B$6:$B$3005)-ROW(Ventes_Encaissements!$B$6)+1)/((Ventes_Encaissements!$E$6:$E$3005=$B894)*(Ventes_Encaissements!$J$6:$J$3005=$G894)*(Ventes_Encaissements!$C$6:$C$3005&gt;=$C894-3)*(Ventes_Encaissements!$C$6:$C$3005&lt;=$C894+3)),1)))</f>
        <v/>
      </c>
      <c r="K894" s="6" t="n"/>
    </row>
    <row r="895">
      <c r="A895" s="6" t="n"/>
      <c r="B895" s="6" t="n"/>
      <c r="C895" s="19" t="n"/>
      <c r="D895" s="19" t="n"/>
      <c r="E895" s="6" t="n"/>
      <c r="F895" s="20" t="n"/>
      <c r="G895" s="9">
        <f>IF($F895="","",IF($F895&gt;0,ROUND($F895,2),""))</f>
        <v/>
      </c>
      <c r="H895" s="12">
        <f>IF(OR($B895="",$C895="",$G895=""),"",COUNTIFS(Ventes_Encaissements!$E$6:$E$3005,$B895,Ventes_Encaissements!$J$6:$J$3005,$G895,Ventes_Encaissements!$C$6:$C$3005,"&gt;="&amp;($C895-3),Ventes_Encaissements!$C$6:$C$3005,"&lt;="&amp;($C895+3)))</f>
        <v/>
      </c>
      <c r="I895" s="12">
        <f>IF($H895="","",IF($H895=0,"Non trouvé",IF($H895=1,"Match","À vérifier")))</f>
        <v/>
      </c>
      <c r="J895" s="21">
        <f>IF($I895&lt;&gt;"Match","",INDEX(Ventes_Encaissements!$B$6:$B$3005,_xludf.AGGREGATE(15,6,(ROW(Ventes_Encaissements!$B$6:$B$3005)-ROW(Ventes_Encaissements!$B$6)+1)/((Ventes_Encaissements!$E$6:$E$3005=$B895)*(Ventes_Encaissements!$J$6:$J$3005=$G895)*(Ventes_Encaissements!$C$6:$C$3005&gt;=$C895-3)*(Ventes_Encaissements!$C$6:$C$3005&lt;=$C895+3)),1)))</f>
        <v/>
      </c>
      <c r="K895" s="6" t="n"/>
    </row>
    <row r="896">
      <c r="A896" s="6" t="n"/>
      <c r="B896" s="6" t="n"/>
      <c r="C896" s="19" t="n"/>
      <c r="D896" s="19" t="n"/>
      <c r="E896" s="6" t="n"/>
      <c r="F896" s="20" t="n"/>
      <c r="G896" s="9">
        <f>IF($F896="","",IF($F896&gt;0,ROUND($F896,2),""))</f>
        <v/>
      </c>
      <c r="H896" s="12">
        <f>IF(OR($B896="",$C896="",$G896=""),"",COUNTIFS(Ventes_Encaissements!$E$6:$E$3005,$B896,Ventes_Encaissements!$J$6:$J$3005,$G896,Ventes_Encaissements!$C$6:$C$3005,"&gt;="&amp;($C896-3),Ventes_Encaissements!$C$6:$C$3005,"&lt;="&amp;($C896+3)))</f>
        <v/>
      </c>
      <c r="I896" s="12">
        <f>IF($H896="","",IF($H896=0,"Non trouvé",IF($H896=1,"Match","À vérifier")))</f>
        <v/>
      </c>
      <c r="J896" s="21">
        <f>IF($I896&lt;&gt;"Match","",INDEX(Ventes_Encaissements!$B$6:$B$3005,_xludf.AGGREGATE(15,6,(ROW(Ventes_Encaissements!$B$6:$B$3005)-ROW(Ventes_Encaissements!$B$6)+1)/((Ventes_Encaissements!$E$6:$E$3005=$B896)*(Ventes_Encaissements!$J$6:$J$3005=$G896)*(Ventes_Encaissements!$C$6:$C$3005&gt;=$C896-3)*(Ventes_Encaissements!$C$6:$C$3005&lt;=$C896+3)),1)))</f>
        <v/>
      </c>
      <c r="K896" s="6" t="n"/>
    </row>
    <row r="897">
      <c r="A897" s="6" t="n"/>
      <c r="B897" s="6" t="n"/>
      <c r="C897" s="19" t="n"/>
      <c r="D897" s="19" t="n"/>
      <c r="E897" s="6" t="n"/>
      <c r="F897" s="20" t="n"/>
      <c r="G897" s="9">
        <f>IF($F897="","",IF($F897&gt;0,ROUND($F897,2),""))</f>
        <v/>
      </c>
      <c r="H897" s="12">
        <f>IF(OR($B897="",$C897="",$G897=""),"",COUNTIFS(Ventes_Encaissements!$E$6:$E$3005,$B897,Ventes_Encaissements!$J$6:$J$3005,$G897,Ventes_Encaissements!$C$6:$C$3005,"&gt;="&amp;($C897-3),Ventes_Encaissements!$C$6:$C$3005,"&lt;="&amp;($C897+3)))</f>
        <v/>
      </c>
      <c r="I897" s="12">
        <f>IF($H897="","",IF($H897=0,"Non trouvé",IF($H897=1,"Match","À vérifier")))</f>
        <v/>
      </c>
      <c r="J897" s="21">
        <f>IF($I897&lt;&gt;"Match","",INDEX(Ventes_Encaissements!$B$6:$B$3005,_xludf.AGGREGATE(15,6,(ROW(Ventes_Encaissements!$B$6:$B$3005)-ROW(Ventes_Encaissements!$B$6)+1)/((Ventes_Encaissements!$E$6:$E$3005=$B897)*(Ventes_Encaissements!$J$6:$J$3005=$G897)*(Ventes_Encaissements!$C$6:$C$3005&gt;=$C897-3)*(Ventes_Encaissements!$C$6:$C$3005&lt;=$C897+3)),1)))</f>
        <v/>
      </c>
      <c r="K897" s="6" t="n"/>
    </row>
    <row r="898">
      <c r="A898" s="6" t="n"/>
      <c r="B898" s="6" t="n"/>
      <c r="C898" s="19" t="n"/>
      <c r="D898" s="19" t="n"/>
      <c r="E898" s="6" t="n"/>
      <c r="F898" s="20" t="n"/>
      <c r="G898" s="9">
        <f>IF($F898="","",IF($F898&gt;0,ROUND($F898,2),""))</f>
        <v/>
      </c>
      <c r="H898" s="12">
        <f>IF(OR($B898="",$C898="",$G898=""),"",COUNTIFS(Ventes_Encaissements!$E$6:$E$3005,$B898,Ventes_Encaissements!$J$6:$J$3005,$G898,Ventes_Encaissements!$C$6:$C$3005,"&gt;="&amp;($C898-3),Ventes_Encaissements!$C$6:$C$3005,"&lt;="&amp;($C898+3)))</f>
        <v/>
      </c>
      <c r="I898" s="12">
        <f>IF($H898="","",IF($H898=0,"Non trouvé",IF($H898=1,"Match","À vérifier")))</f>
        <v/>
      </c>
      <c r="J898" s="21">
        <f>IF($I898&lt;&gt;"Match","",INDEX(Ventes_Encaissements!$B$6:$B$3005,_xludf.AGGREGATE(15,6,(ROW(Ventes_Encaissements!$B$6:$B$3005)-ROW(Ventes_Encaissements!$B$6)+1)/((Ventes_Encaissements!$E$6:$E$3005=$B898)*(Ventes_Encaissements!$J$6:$J$3005=$G898)*(Ventes_Encaissements!$C$6:$C$3005&gt;=$C898-3)*(Ventes_Encaissements!$C$6:$C$3005&lt;=$C898+3)),1)))</f>
        <v/>
      </c>
      <c r="K898" s="6" t="n"/>
    </row>
    <row r="899">
      <c r="A899" s="6" t="n"/>
      <c r="B899" s="6" t="n"/>
      <c r="C899" s="19" t="n"/>
      <c r="D899" s="19" t="n"/>
      <c r="E899" s="6" t="n"/>
      <c r="F899" s="20" t="n"/>
      <c r="G899" s="9">
        <f>IF($F899="","",IF($F899&gt;0,ROUND($F899,2),""))</f>
        <v/>
      </c>
      <c r="H899" s="12">
        <f>IF(OR($B899="",$C899="",$G899=""),"",COUNTIFS(Ventes_Encaissements!$E$6:$E$3005,$B899,Ventes_Encaissements!$J$6:$J$3005,$G899,Ventes_Encaissements!$C$6:$C$3005,"&gt;="&amp;($C899-3),Ventes_Encaissements!$C$6:$C$3005,"&lt;="&amp;($C899+3)))</f>
        <v/>
      </c>
      <c r="I899" s="12">
        <f>IF($H899="","",IF($H899=0,"Non trouvé",IF($H899=1,"Match","À vérifier")))</f>
        <v/>
      </c>
      <c r="J899" s="21">
        <f>IF($I899&lt;&gt;"Match","",INDEX(Ventes_Encaissements!$B$6:$B$3005,_xludf.AGGREGATE(15,6,(ROW(Ventes_Encaissements!$B$6:$B$3005)-ROW(Ventes_Encaissements!$B$6)+1)/((Ventes_Encaissements!$E$6:$E$3005=$B899)*(Ventes_Encaissements!$J$6:$J$3005=$G899)*(Ventes_Encaissements!$C$6:$C$3005&gt;=$C899-3)*(Ventes_Encaissements!$C$6:$C$3005&lt;=$C899+3)),1)))</f>
        <v/>
      </c>
      <c r="K899" s="6" t="n"/>
    </row>
    <row r="900">
      <c r="A900" s="6" t="n"/>
      <c r="B900" s="6" t="n"/>
      <c r="C900" s="19" t="n"/>
      <c r="D900" s="19" t="n"/>
      <c r="E900" s="6" t="n"/>
      <c r="F900" s="20" t="n"/>
      <c r="G900" s="9">
        <f>IF($F900="","",IF($F900&gt;0,ROUND($F900,2),""))</f>
        <v/>
      </c>
      <c r="H900" s="12">
        <f>IF(OR($B900="",$C900="",$G900=""),"",COUNTIFS(Ventes_Encaissements!$E$6:$E$3005,$B900,Ventes_Encaissements!$J$6:$J$3005,$G900,Ventes_Encaissements!$C$6:$C$3005,"&gt;="&amp;($C900-3),Ventes_Encaissements!$C$6:$C$3005,"&lt;="&amp;($C900+3)))</f>
        <v/>
      </c>
      <c r="I900" s="12">
        <f>IF($H900="","",IF($H900=0,"Non trouvé",IF($H900=1,"Match","À vérifier")))</f>
        <v/>
      </c>
      <c r="J900" s="21">
        <f>IF($I900&lt;&gt;"Match","",INDEX(Ventes_Encaissements!$B$6:$B$3005,_xludf.AGGREGATE(15,6,(ROW(Ventes_Encaissements!$B$6:$B$3005)-ROW(Ventes_Encaissements!$B$6)+1)/((Ventes_Encaissements!$E$6:$E$3005=$B900)*(Ventes_Encaissements!$J$6:$J$3005=$G900)*(Ventes_Encaissements!$C$6:$C$3005&gt;=$C900-3)*(Ventes_Encaissements!$C$6:$C$3005&lt;=$C900+3)),1)))</f>
        <v/>
      </c>
      <c r="K900" s="6" t="n"/>
    </row>
    <row r="901">
      <c r="A901" s="6" t="n"/>
      <c r="B901" s="6" t="n"/>
      <c r="C901" s="19" t="n"/>
      <c r="D901" s="19" t="n"/>
      <c r="E901" s="6" t="n"/>
      <c r="F901" s="20" t="n"/>
      <c r="G901" s="9">
        <f>IF($F901="","",IF($F901&gt;0,ROUND($F901,2),""))</f>
        <v/>
      </c>
      <c r="H901" s="12">
        <f>IF(OR($B901="",$C901="",$G901=""),"",COUNTIFS(Ventes_Encaissements!$E$6:$E$3005,$B901,Ventes_Encaissements!$J$6:$J$3005,$G901,Ventes_Encaissements!$C$6:$C$3005,"&gt;="&amp;($C901-3),Ventes_Encaissements!$C$6:$C$3005,"&lt;="&amp;($C901+3)))</f>
        <v/>
      </c>
      <c r="I901" s="12">
        <f>IF($H901="","",IF($H901=0,"Non trouvé",IF($H901=1,"Match","À vérifier")))</f>
        <v/>
      </c>
      <c r="J901" s="21">
        <f>IF($I901&lt;&gt;"Match","",INDEX(Ventes_Encaissements!$B$6:$B$3005,_xludf.AGGREGATE(15,6,(ROW(Ventes_Encaissements!$B$6:$B$3005)-ROW(Ventes_Encaissements!$B$6)+1)/((Ventes_Encaissements!$E$6:$E$3005=$B901)*(Ventes_Encaissements!$J$6:$J$3005=$G901)*(Ventes_Encaissements!$C$6:$C$3005&gt;=$C901-3)*(Ventes_Encaissements!$C$6:$C$3005&lt;=$C901+3)),1)))</f>
        <v/>
      </c>
      <c r="K901" s="6" t="n"/>
    </row>
    <row r="902">
      <c r="A902" s="6" t="n"/>
      <c r="B902" s="6" t="n"/>
      <c r="C902" s="19" t="n"/>
      <c r="D902" s="19" t="n"/>
      <c r="E902" s="6" t="n"/>
      <c r="F902" s="20" t="n"/>
      <c r="G902" s="9">
        <f>IF($F902="","",IF($F902&gt;0,ROUND($F902,2),""))</f>
        <v/>
      </c>
      <c r="H902" s="12">
        <f>IF(OR($B902="",$C902="",$G902=""),"",COUNTIFS(Ventes_Encaissements!$E$6:$E$3005,$B902,Ventes_Encaissements!$J$6:$J$3005,$G902,Ventes_Encaissements!$C$6:$C$3005,"&gt;="&amp;($C902-3),Ventes_Encaissements!$C$6:$C$3005,"&lt;="&amp;($C902+3)))</f>
        <v/>
      </c>
      <c r="I902" s="12">
        <f>IF($H902="","",IF($H902=0,"Non trouvé",IF($H902=1,"Match","À vérifier")))</f>
        <v/>
      </c>
      <c r="J902" s="21">
        <f>IF($I902&lt;&gt;"Match","",INDEX(Ventes_Encaissements!$B$6:$B$3005,_xludf.AGGREGATE(15,6,(ROW(Ventes_Encaissements!$B$6:$B$3005)-ROW(Ventes_Encaissements!$B$6)+1)/((Ventes_Encaissements!$E$6:$E$3005=$B902)*(Ventes_Encaissements!$J$6:$J$3005=$G902)*(Ventes_Encaissements!$C$6:$C$3005&gt;=$C902-3)*(Ventes_Encaissements!$C$6:$C$3005&lt;=$C902+3)),1)))</f>
        <v/>
      </c>
      <c r="K902" s="6" t="n"/>
    </row>
    <row r="903">
      <c r="A903" s="6" t="n"/>
      <c r="B903" s="6" t="n"/>
      <c r="C903" s="19" t="n"/>
      <c r="D903" s="19" t="n"/>
      <c r="E903" s="6" t="n"/>
      <c r="F903" s="20" t="n"/>
      <c r="G903" s="9">
        <f>IF($F903="","",IF($F903&gt;0,ROUND($F903,2),""))</f>
        <v/>
      </c>
      <c r="H903" s="12">
        <f>IF(OR($B903="",$C903="",$G903=""),"",COUNTIFS(Ventes_Encaissements!$E$6:$E$3005,$B903,Ventes_Encaissements!$J$6:$J$3005,$G903,Ventes_Encaissements!$C$6:$C$3005,"&gt;="&amp;($C903-3),Ventes_Encaissements!$C$6:$C$3005,"&lt;="&amp;($C903+3)))</f>
        <v/>
      </c>
      <c r="I903" s="12">
        <f>IF($H903="","",IF($H903=0,"Non trouvé",IF($H903=1,"Match","À vérifier")))</f>
        <v/>
      </c>
      <c r="J903" s="21">
        <f>IF($I903&lt;&gt;"Match","",INDEX(Ventes_Encaissements!$B$6:$B$3005,_xludf.AGGREGATE(15,6,(ROW(Ventes_Encaissements!$B$6:$B$3005)-ROW(Ventes_Encaissements!$B$6)+1)/((Ventes_Encaissements!$E$6:$E$3005=$B903)*(Ventes_Encaissements!$J$6:$J$3005=$G903)*(Ventes_Encaissements!$C$6:$C$3005&gt;=$C903-3)*(Ventes_Encaissements!$C$6:$C$3005&lt;=$C903+3)),1)))</f>
        <v/>
      </c>
      <c r="K903" s="6" t="n"/>
    </row>
    <row r="904">
      <c r="A904" s="6" t="n"/>
      <c r="B904" s="6" t="n"/>
      <c r="C904" s="19" t="n"/>
      <c r="D904" s="19" t="n"/>
      <c r="E904" s="6" t="n"/>
      <c r="F904" s="20" t="n"/>
      <c r="G904" s="9">
        <f>IF($F904="","",IF($F904&gt;0,ROUND($F904,2),""))</f>
        <v/>
      </c>
      <c r="H904" s="12">
        <f>IF(OR($B904="",$C904="",$G904=""),"",COUNTIFS(Ventes_Encaissements!$E$6:$E$3005,$B904,Ventes_Encaissements!$J$6:$J$3005,$G904,Ventes_Encaissements!$C$6:$C$3005,"&gt;="&amp;($C904-3),Ventes_Encaissements!$C$6:$C$3005,"&lt;="&amp;($C904+3)))</f>
        <v/>
      </c>
      <c r="I904" s="12">
        <f>IF($H904="","",IF($H904=0,"Non trouvé",IF($H904=1,"Match","À vérifier")))</f>
        <v/>
      </c>
      <c r="J904" s="21">
        <f>IF($I904&lt;&gt;"Match","",INDEX(Ventes_Encaissements!$B$6:$B$3005,_xludf.AGGREGATE(15,6,(ROW(Ventes_Encaissements!$B$6:$B$3005)-ROW(Ventes_Encaissements!$B$6)+1)/((Ventes_Encaissements!$E$6:$E$3005=$B904)*(Ventes_Encaissements!$J$6:$J$3005=$G904)*(Ventes_Encaissements!$C$6:$C$3005&gt;=$C904-3)*(Ventes_Encaissements!$C$6:$C$3005&lt;=$C904+3)),1)))</f>
        <v/>
      </c>
      <c r="K904" s="6" t="n"/>
    </row>
    <row r="905">
      <c r="A905" s="6" t="n"/>
      <c r="B905" s="6" t="n"/>
      <c r="C905" s="19" t="n"/>
      <c r="D905" s="19" t="n"/>
      <c r="E905" s="6" t="n"/>
      <c r="F905" s="20" t="n"/>
      <c r="G905" s="9">
        <f>IF($F905="","",IF($F905&gt;0,ROUND($F905,2),""))</f>
        <v/>
      </c>
      <c r="H905" s="12">
        <f>IF(OR($B905="",$C905="",$G905=""),"",COUNTIFS(Ventes_Encaissements!$E$6:$E$3005,$B905,Ventes_Encaissements!$J$6:$J$3005,$G905,Ventes_Encaissements!$C$6:$C$3005,"&gt;="&amp;($C905-3),Ventes_Encaissements!$C$6:$C$3005,"&lt;="&amp;($C905+3)))</f>
        <v/>
      </c>
      <c r="I905" s="12">
        <f>IF($H905="","",IF($H905=0,"Non trouvé",IF($H905=1,"Match","À vérifier")))</f>
        <v/>
      </c>
      <c r="J905" s="21">
        <f>IF($I905&lt;&gt;"Match","",INDEX(Ventes_Encaissements!$B$6:$B$3005,_xludf.AGGREGATE(15,6,(ROW(Ventes_Encaissements!$B$6:$B$3005)-ROW(Ventes_Encaissements!$B$6)+1)/((Ventes_Encaissements!$E$6:$E$3005=$B905)*(Ventes_Encaissements!$J$6:$J$3005=$G905)*(Ventes_Encaissements!$C$6:$C$3005&gt;=$C905-3)*(Ventes_Encaissements!$C$6:$C$3005&lt;=$C905+3)),1)))</f>
        <v/>
      </c>
      <c r="K905" s="6" t="n"/>
    </row>
    <row r="906">
      <c r="A906" s="6" t="n"/>
      <c r="B906" s="6" t="n"/>
      <c r="C906" s="19" t="n"/>
      <c r="D906" s="19" t="n"/>
      <c r="E906" s="6" t="n"/>
      <c r="F906" s="20" t="n"/>
      <c r="G906" s="9">
        <f>IF($F906="","",IF($F906&gt;0,ROUND($F906,2),""))</f>
        <v/>
      </c>
      <c r="H906" s="12">
        <f>IF(OR($B906="",$C906="",$G906=""),"",COUNTIFS(Ventes_Encaissements!$E$6:$E$3005,$B906,Ventes_Encaissements!$J$6:$J$3005,$G906,Ventes_Encaissements!$C$6:$C$3005,"&gt;="&amp;($C906-3),Ventes_Encaissements!$C$6:$C$3005,"&lt;="&amp;($C906+3)))</f>
        <v/>
      </c>
      <c r="I906" s="12">
        <f>IF($H906="","",IF($H906=0,"Non trouvé",IF($H906=1,"Match","À vérifier")))</f>
        <v/>
      </c>
      <c r="J906" s="21">
        <f>IF($I906&lt;&gt;"Match","",INDEX(Ventes_Encaissements!$B$6:$B$3005,_xludf.AGGREGATE(15,6,(ROW(Ventes_Encaissements!$B$6:$B$3005)-ROW(Ventes_Encaissements!$B$6)+1)/((Ventes_Encaissements!$E$6:$E$3005=$B906)*(Ventes_Encaissements!$J$6:$J$3005=$G906)*(Ventes_Encaissements!$C$6:$C$3005&gt;=$C906-3)*(Ventes_Encaissements!$C$6:$C$3005&lt;=$C906+3)),1)))</f>
        <v/>
      </c>
      <c r="K906" s="6" t="n"/>
    </row>
    <row r="907">
      <c r="A907" s="6" t="n"/>
      <c r="B907" s="6" t="n"/>
      <c r="C907" s="19" t="n"/>
      <c r="D907" s="19" t="n"/>
      <c r="E907" s="6" t="n"/>
      <c r="F907" s="20" t="n"/>
      <c r="G907" s="9">
        <f>IF($F907="","",IF($F907&gt;0,ROUND($F907,2),""))</f>
        <v/>
      </c>
      <c r="H907" s="12">
        <f>IF(OR($B907="",$C907="",$G907=""),"",COUNTIFS(Ventes_Encaissements!$E$6:$E$3005,$B907,Ventes_Encaissements!$J$6:$J$3005,$G907,Ventes_Encaissements!$C$6:$C$3005,"&gt;="&amp;($C907-3),Ventes_Encaissements!$C$6:$C$3005,"&lt;="&amp;($C907+3)))</f>
        <v/>
      </c>
      <c r="I907" s="12">
        <f>IF($H907="","",IF($H907=0,"Non trouvé",IF($H907=1,"Match","À vérifier")))</f>
        <v/>
      </c>
      <c r="J907" s="21">
        <f>IF($I907&lt;&gt;"Match","",INDEX(Ventes_Encaissements!$B$6:$B$3005,_xludf.AGGREGATE(15,6,(ROW(Ventes_Encaissements!$B$6:$B$3005)-ROW(Ventes_Encaissements!$B$6)+1)/((Ventes_Encaissements!$E$6:$E$3005=$B907)*(Ventes_Encaissements!$J$6:$J$3005=$G907)*(Ventes_Encaissements!$C$6:$C$3005&gt;=$C907-3)*(Ventes_Encaissements!$C$6:$C$3005&lt;=$C907+3)),1)))</f>
        <v/>
      </c>
      <c r="K907" s="6" t="n"/>
    </row>
    <row r="908">
      <c r="A908" s="6" t="n"/>
      <c r="B908" s="6" t="n"/>
      <c r="C908" s="19" t="n"/>
      <c r="D908" s="19" t="n"/>
      <c r="E908" s="6" t="n"/>
      <c r="F908" s="20" t="n"/>
      <c r="G908" s="9">
        <f>IF($F908="","",IF($F908&gt;0,ROUND($F908,2),""))</f>
        <v/>
      </c>
      <c r="H908" s="12">
        <f>IF(OR($B908="",$C908="",$G908=""),"",COUNTIFS(Ventes_Encaissements!$E$6:$E$3005,$B908,Ventes_Encaissements!$J$6:$J$3005,$G908,Ventes_Encaissements!$C$6:$C$3005,"&gt;="&amp;($C908-3),Ventes_Encaissements!$C$6:$C$3005,"&lt;="&amp;($C908+3)))</f>
        <v/>
      </c>
      <c r="I908" s="12">
        <f>IF($H908="","",IF($H908=0,"Non trouvé",IF($H908=1,"Match","À vérifier")))</f>
        <v/>
      </c>
      <c r="J908" s="21">
        <f>IF($I908&lt;&gt;"Match","",INDEX(Ventes_Encaissements!$B$6:$B$3005,_xludf.AGGREGATE(15,6,(ROW(Ventes_Encaissements!$B$6:$B$3005)-ROW(Ventes_Encaissements!$B$6)+1)/((Ventes_Encaissements!$E$6:$E$3005=$B908)*(Ventes_Encaissements!$J$6:$J$3005=$G908)*(Ventes_Encaissements!$C$6:$C$3005&gt;=$C908-3)*(Ventes_Encaissements!$C$6:$C$3005&lt;=$C908+3)),1)))</f>
        <v/>
      </c>
      <c r="K908" s="6" t="n"/>
    </row>
    <row r="909">
      <c r="A909" s="6" t="n"/>
      <c r="B909" s="6" t="n"/>
      <c r="C909" s="19" t="n"/>
      <c r="D909" s="19" t="n"/>
      <c r="E909" s="6" t="n"/>
      <c r="F909" s="20" t="n"/>
      <c r="G909" s="9">
        <f>IF($F909="","",IF($F909&gt;0,ROUND($F909,2),""))</f>
        <v/>
      </c>
      <c r="H909" s="12">
        <f>IF(OR($B909="",$C909="",$G909=""),"",COUNTIFS(Ventes_Encaissements!$E$6:$E$3005,$B909,Ventes_Encaissements!$J$6:$J$3005,$G909,Ventes_Encaissements!$C$6:$C$3005,"&gt;="&amp;($C909-3),Ventes_Encaissements!$C$6:$C$3005,"&lt;="&amp;($C909+3)))</f>
        <v/>
      </c>
      <c r="I909" s="12">
        <f>IF($H909="","",IF($H909=0,"Non trouvé",IF($H909=1,"Match","À vérifier")))</f>
        <v/>
      </c>
      <c r="J909" s="21">
        <f>IF($I909&lt;&gt;"Match","",INDEX(Ventes_Encaissements!$B$6:$B$3005,_xludf.AGGREGATE(15,6,(ROW(Ventes_Encaissements!$B$6:$B$3005)-ROW(Ventes_Encaissements!$B$6)+1)/((Ventes_Encaissements!$E$6:$E$3005=$B909)*(Ventes_Encaissements!$J$6:$J$3005=$G909)*(Ventes_Encaissements!$C$6:$C$3005&gt;=$C909-3)*(Ventes_Encaissements!$C$6:$C$3005&lt;=$C909+3)),1)))</f>
        <v/>
      </c>
      <c r="K909" s="6" t="n"/>
    </row>
    <row r="910">
      <c r="A910" s="6" t="n"/>
      <c r="B910" s="6" t="n"/>
      <c r="C910" s="19" t="n"/>
      <c r="D910" s="19" t="n"/>
      <c r="E910" s="6" t="n"/>
      <c r="F910" s="20" t="n"/>
      <c r="G910" s="9">
        <f>IF($F910="","",IF($F910&gt;0,ROUND($F910,2),""))</f>
        <v/>
      </c>
      <c r="H910" s="12">
        <f>IF(OR($B910="",$C910="",$G910=""),"",COUNTIFS(Ventes_Encaissements!$E$6:$E$3005,$B910,Ventes_Encaissements!$J$6:$J$3005,$G910,Ventes_Encaissements!$C$6:$C$3005,"&gt;="&amp;($C910-3),Ventes_Encaissements!$C$6:$C$3005,"&lt;="&amp;($C910+3)))</f>
        <v/>
      </c>
      <c r="I910" s="12">
        <f>IF($H910="","",IF($H910=0,"Non trouvé",IF($H910=1,"Match","À vérifier")))</f>
        <v/>
      </c>
      <c r="J910" s="21">
        <f>IF($I910&lt;&gt;"Match","",INDEX(Ventes_Encaissements!$B$6:$B$3005,_xludf.AGGREGATE(15,6,(ROW(Ventes_Encaissements!$B$6:$B$3005)-ROW(Ventes_Encaissements!$B$6)+1)/((Ventes_Encaissements!$E$6:$E$3005=$B910)*(Ventes_Encaissements!$J$6:$J$3005=$G910)*(Ventes_Encaissements!$C$6:$C$3005&gt;=$C910-3)*(Ventes_Encaissements!$C$6:$C$3005&lt;=$C910+3)),1)))</f>
        <v/>
      </c>
      <c r="K910" s="6" t="n"/>
    </row>
    <row r="911">
      <c r="A911" s="6" t="n"/>
      <c r="B911" s="6" t="n"/>
      <c r="C911" s="19" t="n"/>
      <c r="D911" s="19" t="n"/>
      <c r="E911" s="6" t="n"/>
      <c r="F911" s="20" t="n"/>
      <c r="G911" s="9">
        <f>IF($F911="","",IF($F911&gt;0,ROUND($F911,2),""))</f>
        <v/>
      </c>
      <c r="H911" s="12">
        <f>IF(OR($B911="",$C911="",$G911=""),"",COUNTIFS(Ventes_Encaissements!$E$6:$E$3005,$B911,Ventes_Encaissements!$J$6:$J$3005,$G911,Ventes_Encaissements!$C$6:$C$3005,"&gt;="&amp;($C911-3),Ventes_Encaissements!$C$6:$C$3005,"&lt;="&amp;($C911+3)))</f>
        <v/>
      </c>
      <c r="I911" s="12">
        <f>IF($H911="","",IF($H911=0,"Non trouvé",IF($H911=1,"Match","À vérifier")))</f>
        <v/>
      </c>
      <c r="J911" s="21">
        <f>IF($I911&lt;&gt;"Match","",INDEX(Ventes_Encaissements!$B$6:$B$3005,_xludf.AGGREGATE(15,6,(ROW(Ventes_Encaissements!$B$6:$B$3005)-ROW(Ventes_Encaissements!$B$6)+1)/((Ventes_Encaissements!$E$6:$E$3005=$B911)*(Ventes_Encaissements!$J$6:$J$3005=$G911)*(Ventes_Encaissements!$C$6:$C$3005&gt;=$C911-3)*(Ventes_Encaissements!$C$6:$C$3005&lt;=$C911+3)),1)))</f>
        <v/>
      </c>
      <c r="K911" s="6" t="n"/>
    </row>
    <row r="912">
      <c r="A912" s="6" t="n"/>
      <c r="B912" s="6" t="n"/>
      <c r="C912" s="19" t="n"/>
      <c r="D912" s="19" t="n"/>
      <c r="E912" s="6" t="n"/>
      <c r="F912" s="20" t="n"/>
      <c r="G912" s="9">
        <f>IF($F912="","",IF($F912&gt;0,ROUND($F912,2),""))</f>
        <v/>
      </c>
      <c r="H912" s="12">
        <f>IF(OR($B912="",$C912="",$G912=""),"",COUNTIFS(Ventes_Encaissements!$E$6:$E$3005,$B912,Ventes_Encaissements!$J$6:$J$3005,$G912,Ventes_Encaissements!$C$6:$C$3005,"&gt;="&amp;($C912-3),Ventes_Encaissements!$C$6:$C$3005,"&lt;="&amp;($C912+3)))</f>
        <v/>
      </c>
      <c r="I912" s="12">
        <f>IF($H912="","",IF($H912=0,"Non trouvé",IF($H912=1,"Match","À vérifier")))</f>
        <v/>
      </c>
      <c r="J912" s="21">
        <f>IF($I912&lt;&gt;"Match","",INDEX(Ventes_Encaissements!$B$6:$B$3005,_xludf.AGGREGATE(15,6,(ROW(Ventes_Encaissements!$B$6:$B$3005)-ROW(Ventes_Encaissements!$B$6)+1)/((Ventes_Encaissements!$E$6:$E$3005=$B912)*(Ventes_Encaissements!$J$6:$J$3005=$G912)*(Ventes_Encaissements!$C$6:$C$3005&gt;=$C912-3)*(Ventes_Encaissements!$C$6:$C$3005&lt;=$C912+3)),1)))</f>
        <v/>
      </c>
      <c r="K912" s="6" t="n"/>
    </row>
    <row r="913">
      <c r="A913" s="6" t="n"/>
      <c r="B913" s="6" t="n"/>
      <c r="C913" s="19" t="n"/>
      <c r="D913" s="19" t="n"/>
      <c r="E913" s="6" t="n"/>
      <c r="F913" s="20" t="n"/>
      <c r="G913" s="9">
        <f>IF($F913="","",IF($F913&gt;0,ROUND($F913,2),""))</f>
        <v/>
      </c>
      <c r="H913" s="12">
        <f>IF(OR($B913="",$C913="",$G913=""),"",COUNTIFS(Ventes_Encaissements!$E$6:$E$3005,$B913,Ventes_Encaissements!$J$6:$J$3005,$G913,Ventes_Encaissements!$C$6:$C$3005,"&gt;="&amp;($C913-3),Ventes_Encaissements!$C$6:$C$3005,"&lt;="&amp;($C913+3)))</f>
        <v/>
      </c>
      <c r="I913" s="12">
        <f>IF($H913="","",IF($H913=0,"Non trouvé",IF($H913=1,"Match","À vérifier")))</f>
        <v/>
      </c>
      <c r="J913" s="21">
        <f>IF($I913&lt;&gt;"Match","",INDEX(Ventes_Encaissements!$B$6:$B$3005,_xludf.AGGREGATE(15,6,(ROW(Ventes_Encaissements!$B$6:$B$3005)-ROW(Ventes_Encaissements!$B$6)+1)/((Ventes_Encaissements!$E$6:$E$3005=$B913)*(Ventes_Encaissements!$J$6:$J$3005=$G913)*(Ventes_Encaissements!$C$6:$C$3005&gt;=$C913-3)*(Ventes_Encaissements!$C$6:$C$3005&lt;=$C913+3)),1)))</f>
        <v/>
      </c>
      <c r="K913" s="6" t="n"/>
    </row>
    <row r="914">
      <c r="A914" s="6" t="n"/>
      <c r="B914" s="6" t="n"/>
      <c r="C914" s="19" t="n"/>
      <c r="D914" s="19" t="n"/>
      <c r="E914" s="6" t="n"/>
      <c r="F914" s="20" t="n"/>
      <c r="G914" s="9">
        <f>IF($F914="","",IF($F914&gt;0,ROUND($F914,2),""))</f>
        <v/>
      </c>
      <c r="H914" s="12">
        <f>IF(OR($B914="",$C914="",$G914=""),"",COUNTIFS(Ventes_Encaissements!$E$6:$E$3005,$B914,Ventes_Encaissements!$J$6:$J$3005,$G914,Ventes_Encaissements!$C$6:$C$3005,"&gt;="&amp;($C914-3),Ventes_Encaissements!$C$6:$C$3005,"&lt;="&amp;($C914+3)))</f>
        <v/>
      </c>
      <c r="I914" s="12">
        <f>IF($H914="","",IF($H914=0,"Non trouvé",IF($H914=1,"Match","À vérifier")))</f>
        <v/>
      </c>
      <c r="J914" s="21">
        <f>IF($I914&lt;&gt;"Match","",INDEX(Ventes_Encaissements!$B$6:$B$3005,_xludf.AGGREGATE(15,6,(ROW(Ventes_Encaissements!$B$6:$B$3005)-ROW(Ventes_Encaissements!$B$6)+1)/((Ventes_Encaissements!$E$6:$E$3005=$B914)*(Ventes_Encaissements!$J$6:$J$3005=$G914)*(Ventes_Encaissements!$C$6:$C$3005&gt;=$C914-3)*(Ventes_Encaissements!$C$6:$C$3005&lt;=$C914+3)),1)))</f>
        <v/>
      </c>
      <c r="K914" s="6" t="n"/>
    </row>
    <row r="915">
      <c r="A915" s="6" t="n"/>
      <c r="B915" s="6" t="n"/>
      <c r="C915" s="19" t="n"/>
      <c r="D915" s="19" t="n"/>
      <c r="E915" s="6" t="n"/>
      <c r="F915" s="20" t="n"/>
      <c r="G915" s="9">
        <f>IF($F915="","",IF($F915&gt;0,ROUND($F915,2),""))</f>
        <v/>
      </c>
      <c r="H915" s="12">
        <f>IF(OR($B915="",$C915="",$G915=""),"",COUNTIFS(Ventes_Encaissements!$E$6:$E$3005,$B915,Ventes_Encaissements!$J$6:$J$3005,$G915,Ventes_Encaissements!$C$6:$C$3005,"&gt;="&amp;($C915-3),Ventes_Encaissements!$C$6:$C$3005,"&lt;="&amp;($C915+3)))</f>
        <v/>
      </c>
      <c r="I915" s="12">
        <f>IF($H915="","",IF($H915=0,"Non trouvé",IF($H915=1,"Match","À vérifier")))</f>
        <v/>
      </c>
      <c r="J915" s="21">
        <f>IF($I915&lt;&gt;"Match","",INDEX(Ventes_Encaissements!$B$6:$B$3005,_xludf.AGGREGATE(15,6,(ROW(Ventes_Encaissements!$B$6:$B$3005)-ROW(Ventes_Encaissements!$B$6)+1)/((Ventes_Encaissements!$E$6:$E$3005=$B915)*(Ventes_Encaissements!$J$6:$J$3005=$G915)*(Ventes_Encaissements!$C$6:$C$3005&gt;=$C915-3)*(Ventes_Encaissements!$C$6:$C$3005&lt;=$C915+3)),1)))</f>
        <v/>
      </c>
      <c r="K915" s="6" t="n"/>
    </row>
    <row r="916">
      <c r="A916" s="6" t="n"/>
      <c r="B916" s="6" t="n"/>
      <c r="C916" s="19" t="n"/>
      <c r="D916" s="19" t="n"/>
      <c r="E916" s="6" t="n"/>
      <c r="F916" s="20" t="n"/>
      <c r="G916" s="9">
        <f>IF($F916="","",IF($F916&gt;0,ROUND($F916,2),""))</f>
        <v/>
      </c>
      <c r="H916" s="12">
        <f>IF(OR($B916="",$C916="",$G916=""),"",COUNTIFS(Ventes_Encaissements!$E$6:$E$3005,$B916,Ventes_Encaissements!$J$6:$J$3005,$G916,Ventes_Encaissements!$C$6:$C$3005,"&gt;="&amp;($C916-3),Ventes_Encaissements!$C$6:$C$3005,"&lt;="&amp;($C916+3)))</f>
        <v/>
      </c>
      <c r="I916" s="12">
        <f>IF($H916="","",IF($H916=0,"Non trouvé",IF($H916=1,"Match","À vérifier")))</f>
        <v/>
      </c>
      <c r="J916" s="21">
        <f>IF($I916&lt;&gt;"Match","",INDEX(Ventes_Encaissements!$B$6:$B$3005,_xludf.AGGREGATE(15,6,(ROW(Ventes_Encaissements!$B$6:$B$3005)-ROW(Ventes_Encaissements!$B$6)+1)/((Ventes_Encaissements!$E$6:$E$3005=$B916)*(Ventes_Encaissements!$J$6:$J$3005=$G916)*(Ventes_Encaissements!$C$6:$C$3005&gt;=$C916-3)*(Ventes_Encaissements!$C$6:$C$3005&lt;=$C916+3)),1)))</f>
        <v/>
      </c>
      <c r="K916" s="6" t="n"/>
    </row>
    <row r="917">
      <c r="A917" s="6" t="n"/>
      <c r="B917" s="6" t="n"/>
      <c r="C917" s="19" t="n"/>
      <c r="D917" s="19" t="n"/>
      <c r="E917" s="6" t="n"/>
      <c r="F917" s="20" t="n"/>
      <c r="G917" s="9">
        <f>IF($F917="","",IF($F917&gt;0,ROUND($F917,2),""))</f>
        <v/>
      </c>
      <c r="H917" s="12">
        <f>IF(OR($B917="",$C917="",$G917=""),"",COUNTIFS(Ventes_Encaissements!$E$6:$E$3005,$B917,Ventes_Encaissements!$J$6:$J$3005,$G917,Ventes_Encaissements!$C$6:$C$3005,"&gt;="&amp;($C917-3),Ventes_Encaissements!$C$6:$C$3005,"&lt;="&amp;($C917+3)))</f>
        <v/>
      </c>
      <c r="I917" s="12">
        <f>IF($H917="","",IF($H917=0,"Non trouvé",IF($H917=1,"Match","À vérifier")))</f>
        <v/>
      </c>
      <c r="J917" s="21">
        <f>IF($I917&lt;&gt;"Match","",INDEX(Ventes_Encaissements!$B$6:$B$3005,_xludf.AGGREGATE(15,6,(ROW(Ventes_Encaissements!$B$6:$B$3005)-ROW(Ventes_Encaissements!$B$6)+1)/((Ventes_Encaissements!$E$6:$E$3005=$B917)*(Ventes_Encaissements!$J$6:$J$3005=$G917)*(Ventes_Encaissements!$C$6:$C$3005&gt;=$C917-3)*(Ventes_Encaissements!$C$6:$C$3005&lt;=$C917+3)),1)))</f>
        <v/>
      </c>
      <c r="K917" s="6" t="n"/>
    </row>
    <row r="918">
      <c r="A918" s="6" t="n"/>
      <c r="B918" s="6" t="n"/>
      <c r="C918" s="19" t="n"/>
      <c r="D918" s="19" t="n"/>
      <c r="E918" s="6" t="n"/>
      <c r="F918" s="20" t="n"/>
      <c r="G918" s="9">
        <f>IF($F918="","",IF($F918&gt;0,ROUND($F918,2),""))</f>
        <v/>
      </c>
      <c r="H918" s="12">
        <f>IF(OR($B918="",$C918="",$G918=""),"",COUNTIFS(Ventes_Encaissements!$E$6:$E$3005,$B918,Ventes_Encaissements!$J$6:$J$3005,$G918,Ventes_Encaissements!$C$6:$C$3005,"&gt;="&amp;($C918-3),Ventes_Encaissements!$C$6:$C$3005,"&lt;="&amp;($C918+3)))</f>
        <v/>
      </c>
      <c r="I918" s="12">
        <f>IF($H918="","",IF($H918=0,"Non trouvé",IF($H918=1,"Match","À vérifier")))</f>
        <v/>
      </c>
      <c r="J918" s="21">
        <f>IF($I918&lt;&gt;"Match","",INDEX(Ventes_Encaissements!$B$6:$B$3005,_xludf.AGGREGATE(15,6,(ROW(Ventes_Encaissements!$B$6:$B$3005)-ROW(Ventes_Encaissements!$B$6)+1)/((Ventes_Encaissements!$E$6:$E$3005=$B918)*(Ventes_Encaissements!$J$6:$J$3005=$G918)*(Ventes_Encaissements!$C$6:$C$3005&gt;=$C918-3)*(Ventes_Encaissements!$C$6:$C$3005&lt;=$C918+3)),1)))</f>
        <v/>
      </c>
      <c r="K918" s="6" t="n"/>
    </row>
    <row r="919">
      <c r="A919" s="6" t="n"/>
      <c r="B919" s="6" t="n"/>
      <c r="C919" s="19" t="n"/>
      <c r="D919" s="19" t="n"/>
      <c r="E919" s="6" t="n"/>
      <c r="F919" s="20" t="n"/>
      <c r="G919" s="9">
        <f>IF($F919="","",IF($F919&gt;0,ROUND($F919,2),""))</f>
        <v/>
      </c>
      <c r="H919" s="12">
        <f>IF(OR($B919="",$C919="",$G919=""),"",COUNTIFS(Ventes_Encaissements!$E$6:$E$3005,$B919,Ventes_Encaissements!$J$6:$J$3005,$G919,Ventes_Encaissements!$C$6:$C$3005,"&gt;="&amp;($C919-3),Ventes_Encaissements!$C$6:$C$3005,"&lt;="&amp;($C919+3)))</f>
        <v/>
      </c>
      <c r="I919" s="12">
        <f>IF($H919="","",IF($H919=0,"Non trouvé",IF($H919=1,"Match","À vérifier")))</f>
        <v/>
      </c>
      <c r="J919" s="21">
        <f>IF($I919&lt;&gt;"Match","",INDEX(Ventes_Encaissements!$B$6:$B$3005,_xludf.AGGREGATE(15,6,(ROW(Ventes_Encaissements!$B$6:$B$3005)-ROW(Ventes_Encaissements!$B$6)+1)/((Ventes_Encaissements!$E$6:$E$3005=$B919)*(Ventes_Encaissements!$J$6:$J$3005=$G919)*(Ventes_Encaissements!$C$6:$C$3005&gt;=$C919-3)*(Ventes_Encaissements!$C$6:$C$3005&lt;=$C919+3)),1)))</f>
        <v/>
      </c>
      <c r="K919" s="6" t="n"/>
    </row>
    <row r="920">
      <c r="A920" s="6" t="n"/>
      <c r="B920" s="6" t="n"/>
      <c r="C920" s="19" t="n"/>
      <c r="D920" s="19" t="n"/>
      <c r="E920" s="6" t="n"/>
      <c r="F920" s="20" t="n"/>
      <c r="G920" s="9">
        <f>IF($F920="","",IF($F920&gt;0,ROUND($F920,2),""))</f>
        <v/>
      </c>
      <c r="H920" s="12">
        <f>IF(OR($B920="",$C920="",$G920=""),"",COUNTIFS(Ventes_Encaissements!$E$6:$E$3005,$B920,Ventes_Encaissements!$J$6:$J$3005,$G920,Ventes_Encaissements!$C$6:$C$3005,"&gt;="&amp;($C920-3),Ventes_Encaissements!$C$6:$C$3005,"&lt;="&amp;($C920+3)))</f>
        <v/>
      </c>
      <c r="I920" s="12">
        <f>IF($H920="","",IF($H920=0,"Non trouvé",IF($H920=1,"Match","À vérifier")))</f>
        <v/>
      </c>
      <c r="J920" s="21">
        <f>IF($I920&lt;&gt;"Match","",INDEX(Ventes_Encaissements!$B$6:$B$3005,_xludf.AGGREGATE(15,6,(ROW(Ventes_Encaissements!$B$6:$B$3005)-ROW(Ventes_Encaissements!$B$6)+1)/((Ventes_Encaissements!$E$6:$E$3005=$B920)*(Ventes_Encaissements!$J$6:$J$3005=$G920)*(Ventes_Encaissements!$C$6:$C$3005&gt;=$C920-3)*(Ventes_Encaissements!$C$6:$C$3005&lt;=$C920+3)),1)))</f>
        <v/>
      </c>
      <c r="K920" s="6" t="n"/>
    </row>
    <row r="921">
      <c r="A921" s="6" t="n"/>
      <c r="B921" s="6" t="n"/>
      <c r="C921" s="19" t="n"/>
      <c r="D921" s="19" t="n"/>
      <c r="E921" s="6" t="n"/>
      <c r="F921" s="20" t="n"/>
      <c r="G921" s="9">
        <f>IF($F921="","",IF($F921&gt;0,ROUND($F921,2),""))</f>
        <v/>
      </c>
      <c r="H921" s="12">
        <f>IF(OR($B921="",$C921="",$G921=""),"",COUNTIFS(Ventes_Encaissements!$E$6:$E$3005,$B921,Ventes_Encaissements!$J$6:$J$3005,$G921,Ventes_Encaissements!$C$6:$C$3005,"&gt;="&amp;($C921-3),Ventes_Encaissements!$C$6:$C$3005,"&lt;="&amp;($C921+3)))</f>
        <v/>
      </c>
      <c r="I921" s="12">
        <f>IF($H921="","",IF($H921=0,"Non trouvé",IF($H921=1,"Match","À vérifier")))</f>
        <v/>
      </c>
      <c r="J921" s="21">
        <f>IF($I921&lt;&gt;"Match","",INDEX(Ventes_Encaissements!$B$6:$B$3005,_xludf.AGGREGATE(15,6,(ROW(Ventes_Encaissements!$B$6:$B$3005)-ROW(Ventes_Encaissements!$B$6)+1)/((Ventes_Encaissements!$E$6:$E$3005=$B921)*(Ventes_Encaissements!$J$6:$J$3005=$G921)*(Ventes_Encaissements!$C$6:$C$3005&gt;=$C921-3)*(Ventes_Encaissements!$C$6:$C$3005&lt;=$C921+3)),1)))</f>
        <v/>
      </c>
      <c r="K921" s="6" t="n"/>
    </row>
    <row r="922">
      <c r="A922" s="6" t="n"/>
      <c r="B922" s="6" t="n"/>
      <c r="C922" s="19" t="n"/>
      <c r="D922" s="19" t="n"/>
      <c r="E922" s="6" t="n"/>
      <c r="F922" s="20" t="n"/>
      <c r="G922" s="9">
        <f>IF($F922="","",IF($F922&gt;0,ROUND($F922,2),""))</f>
        <v/>
      </c>
      <c r="H922" s="12">
        <f>IF(OR($B922="",$C922="",$G922=""),"",COUNTIFS(Ventes_Encaissements!$E$6:$E$3005,$B922,Ventes_Encaissements!$J$6:$J$3005,$G922,Ventes_Encaissements!$C$6:$C$3005,"&gt;="&amp;($C922-3),Ventes_Encaissements!$C$6:$C$3005,"&lt;="&amp;($C922+3)))</f>
        <v/>
      </c>
      <c r="I922" s="12">
        <f>IF($H922="","",IF($H922=0,"Non trouvé",IF($H922=1,"Match","À vérifier")))</f>
        <v/>
      </c>
      <c r="J922" s="21">
        <f>IF($I922&lt;&gt;"Match","",INDEX(Ventes_Encaissements!$B$6:$B$3005,_xludf.AGGREGATE(15,6,(ROW(Ventes_Encaissements!$B$6:$B$3005)-ROW(Ventes_Encaissements!$B$6)+1)/((Ventes_Encaissements!$E$6:$E$3005=$B922)*(Ventes_Encaissements!$J$6:$J$3005=$G922)*(Ventes_Encaissements!$C$6:$C$3005&gt;=$C922-3)*(Ventes_Encaissements!$C$6:$C$3005&lt;=$C922+3)),1)))</f>
        <v/>
      </c>
      <c r="K922" s="6" t="n"/>
    </row>
    <row r="923">
      <c r="A923" s="6" t="n"/>
      <c r="B923" s="6" t="n"/>
      <c r="C923" s="19" t="n"/>
      <c r="D923" s="19" t="n"/>
      <c r="E923" s="6" t="n"/>
      <c r="F923" s="20" t="n"/>
      <c r="G923" s="9">
        <f>IF($F923="","",IF($F923&gt;0,ROUND($F923,2),""))</f>
        <v/>
      </c>
      <c r="H923" s="12">
        <f>IF(OR($B923="",$C923="",$G923=""),"",COUNTIFS(Ventes_Encaissements!$E$6:$E$3005,$B923,Ventes_Encaissements!$J$6:$J$3005,$G923,Ventes_Encaissements!$C$6:$C$3005,"&gt;="&amp;($C923-3),Ventes_Encaissements!$C$6:$C$3005,"&lt;="&amp;($C923+3)))</f>
        <v/>
      </c>
      <c r="I923" s="12">
        <f>IF($H923="","",IF($H923=0,"Non trouvé",IF($H923=1,"Match","À vérifier")))</f>
        <v/>
      </c>
      <c r="J923" s="21">
        <f>IF($I923&lt;&gt;"Match","",INDEX(Ventes_Encaissements!$B$6:$B$3005,_xludf.AGGREGATE(15,6,(ROW(Ventes_Encaissements!$B$6:$B$3005)-ROW(Ventes_Encaissements!$B$6)+1)/((Ventes_Encaissements!$E$6:$E$3005=$B923)*(Ventes_Encaissements!$J$6:$J$3005=$G923)*(Ventes_Encaissements!$C$6:$C$3005&gt;=$C923-3)*(Ventes_Encaissements!$C$6:$C$3005&lt;=$C923+3)),1)))</f>
        <v/>
      </c>
      <c r="K923" s="6" t="n"/>
    </row>
    <row r="924">
      <c r="A924" s="6" t="n"/>
      <c r="B924" s="6" t="n"/>
      <c r="C924" s="19" t="n"/>
      <c r="D924" s="19" t="n"/>
      <c r="E924" s="6" t="n"/>
      <c r="F924" s="20" t="n"/>
      <c r="G924" s="9">
        <f>IF($F924="","",IF($F924&gt;0,ROUND($F924,2),""))</f>
        <v/>
      </c>
      <c r="H924" s="12">
        <f>IF(OR($B924="",$C924="",$G924=""),"",COUNTIFS(Ventes_Encaissements!$E$6:$E$3005,$B924,Ventes_Encaissements!$J$6:$J$3005,$G924,Ventes_Encaissements!$C$6:$C$3005,"&gt;="&amp;($C924-3),Ventes_Encaissements!$C$6:$C$3005,"&lt;="&amp;($C924+3)))</f>
        <v/>
      </c>
      <c r="I924" s="12">
        <f>IF($H924="","",IF($H924=0,"Non trouvé",IF($H924=1,"Match","À vérifier")))</f>
        <v/>
      </c>
      <c r="J924" s="21">
        <f>IF($I924&lt;&gt;"Match","",INDEX(Ventes_Encaissements!$B$6:$B$3005,_xludf.AGGREGATE(15,6,(ROW(Ventes_Encaissements!$B$6:$B$3005)-ROW(Ventes_Encaissements!$B$6)+1)/((Ventes_Encaissements!$E$6:$E$3005=$B924)*(Ventes_Encaissements!$J$6:$J$3005=$G924)*(Ventes_Encaissements!$C$6:$C$3005&gt;=$C924-3)*(Ventes_Encaissements!$C$6:$C$3005&lt;=$C924+3)),1)))</f>
        <v/>
      </c>
      <c r="K924" s="6" t="n"/>
    </row>
    <row r="925">
      <c r="A925" s="6" t="n"/>
      <c r="B925" s="6" t="n"/>
      <c r="C925" s="19" t="n"/>
      <c r="D925" s="19" t="n"/>
      <c r="E925" s="6" t="n"/>
      <c r="F925" s="20" t="n"/>
      <c r="G925" s="9">
        <f>IF($F925="","",IF($F925&gt;0,ROUND($F925,2),""))</f>
        <v/>
      </c>
      <c r="H925" s="12">
        <f>IF(OR($B925="",$C925="",$G925=""),"",COUNTIFS(Ventes_Encaissements!$E$6:$E$3005,$B925,Ventes_Encaissements!$J$6:$J$3005,$G925,Ventes_Encaissements!$C$6:$C$3005,"&gt;="&amp;($C925-3),Ventes_Encaissements!$C$6:$C$3005,"&lt;="&amp;($C925+3)))</f>
        <v/>
      </c>
      <c r="I925" s="12">
        <f>IF($H925="","",IF($H925=0,"Non trouvé",IF($H925=1,"Match","À vérifier")))</f>
        <v/>
      </c>
      <c r="J925" s="21">
        <f>IF($I925&lt;&gt;"Match","",INDEX(Ventes_Encaissements!$B$6:$B$3005,_xludf.AGGREGATE(15,6,(ROW(Ventes_Encaissements!$B$6:$B$3005)-ROW(Ventes_Encaissements!$B$6)+1)/((Ventes_Encaissements!$E$6:$E$3005=$B925)*(Ventes_Encaissements!$J$6:$J$3005=$G925)*(Ventes_Encaissements!$C$6:$C$3005&gt;=$C925-3)*(Ventes_Encaissements!$C$6:$C$3005&lt;=$C925+3)),1)))</f>
        <v/>
      </c>
      <c r="K925" s="6" t="n"/>
    </row>
    <row r="926">
      <c r="A926" s="6" t="n"/>
      <c r="B926" s="6" t="n"/>
      <c r="C926" s="19" t="n"/>
      <c r="D926" s="19" t="n"/>
      <c r="E926" s="6" t="n"/>
      <c r="F926" s="20" t="n"/>
      <c r="G926" s="9">
        <f>IF($F926="","",IF($F926&gt;0,ROUND($F926,2),""))</f>
        <v/>
      </c>
      <c r="H926" s="12">
        <f>IF(OR($B926="",$C926="",$G926=""),"",COUNTIFS(Ventes_Encaissements!$E$6:$E$3005,$B926,Ventes_Encaissements!$J$6:$J$3005,$G926,Ventes_Encaissements!$C$6:$C$3005,"&gt;="&amp;($C926-3),Ventes_Encaissements!$C$6:$C$3005,"&lt;="&amp;($C926+3)))</f>
        <v/>
      </c>
      <c r="I926" s="12">
        <f>IF($H926="","",IF($H926=0,"Non trouvé",IF($H926=1,"Match","À vérifier")))</f>
        <v/>
      </c>
      <c r="J926" s="21">
        <f>IF($I926&lt;&gt;"Match","",INDEX(Ventes_Encaissements!$B$6:$B$3005,_xludf.AGGREGATE(15,6,(ROW(Ventes_Encaissements!$B$6:$B$3005)-ROW(Ventes_Encaissements!$B$6)+1)/((Ventes_Encaissements!$E$6:$E$3005=$B926)*(Ventes_Encaissements!$J$6:$J$3005=$G926)*(Ventes_Encaissements!$C$6:$C$3005&gt;=$C926-3)*(Ventes_Encaissements!$C$6:$C$3005&lt;=$C926+3)),1)))</f>
        <v/>
      </c>
      <c r="K926" s="6" t="n"/>
    </row>
    <row r="927">
      <c r="A927" s="6" t="n"/>
      <c r="B927" s="6" t="n"/>
      <c r="C927" s="19" t="n"/>
      <c r="D927" s="19" t="n"/>
      <c r="E927" s="6" t="n"/>
      <c r="F927" s="20" t="n"/>
      <c r="G927" s="9">
        <f>IF($F927="","",IF($F927&gt;0,ROUND($F927,2),""))</f>
        <v/>
      </c>
      <c r="H927" s="12">
        <f>IF(OR($B927="",$C927="",$G927=""),"",COUNTIFS(Ventes_Encaissements!$E$6:$E$3005,$B927,Ventes_Encaissements!$J$6:$J$3005,$G927,Ventes_Encaissements!$C$6:$C$3005,"&gt;="&amp;($C927-3),Ventes_Encaissements!$C$6:$C$3005,"&lt;="&amp;($C927+3)))</f>
        <v/>
      </c>
      <c r="I927" s="12">
        <f>IF($H927="","",IF($H927=0,"Non trouvé",IF($H927=1,"Match","À vérifier")))</f>
        <v/>
      </c>
      <c r="J927" s="21">
        <f>IF($I927&lt;&gt;"Match","",INDEX(Ventes_Encaissements!$B$6:$B$3005,_xludf.AGGREGATE(15,6,(ROW(Ventes_Encaissements!$B$6:$B$3005)-ROW(Ventes_Encaissements!$B$6)+1)/((Ventes_Encaissements!$E$6:$E$3005=$B927)*(Ventes_Encaissements!$J$6:$J$3005=$G927)*(Ventes_Encaissements!$C$6:$C$3005&gt;=$C927-3)*(Ventes_Encaissements!$C$6:$C$3005&lt;=$C927+3)),1)))</f>
        <v/>
      </c>
      <c r="K927" s="6" t="n"/>
    </row>
    <row r="928">
      <c r="A928" s="6" t="n"/>
      <c r="B928" s="6" t="n"/>
      <c r="C928" s="19" t="n"/>
      <c r="D928" s="19" t="n"/>
      <c r="E928" s="6" t="n"/>
      <c r="F928" s="20" t="n"/>
      <c r="G928" s="9">
        <f>IF($F928="","",IF($F928&gt;0,ROUND($F928,2),""))</f>
        <v/>
      </c>
      <c r="H928" s="12">
        <f>IF(OR($B928="",$C928="",$G928=""),"",COUNTIFS(Ventes_Encaissements!$E$6:$E$3005,$B928,Ventes_Encaissements!$J$6:$J$3005,$G928,Ventes_Encaissements!$C$6:$C$3005,"&gt;="&amp;($C928-3),Ventes_Encaissements!$C$6:$C$3005,"&lt;="&amp;($C928+3)))</f>
        <v/>
      </c>
      <c r="I928" s="12">
        <f>IF($H928="","",IF($H928=0,"Non trouvé",IF($H928=1,"Match","À vérifier")))</f>
        <v/>
      </c>
      <c r="J928" s="21">
        <f>IF($I928&lt;&gt;"Match","",INDEX(Ventes_Encaissements!$B$6:$B$3005,_xludf.AGGREGATE(15,6,(ROW(Ventes_Encaissements!$B$6:$B$3005)-ROW(Ventes_Encaissements!$B$6)+1)/((Ventes_Encaissements!$E$6:$E$3005=$B928)*(Ventes_Encaissements!$J$6:$J$3005=$G928)*(Ventes_Encaissements!$C$6:$C$3005&gt;=$C928-3)*(Ventes_Encaissements!$C$6:$C$3005&lt;=$C928+3)),1)))</f>
        <v/>
      </c>
      <c r="K928" s="6" t="n"/>
    </row>
    <row r="929">
      <c r="A929" s="6" t="n"/>
      <c r="B929" s="6" t="n"/>
      <c r="C929" s="19" t="n"/>
      <c r="D929" s="19" t="n"/>
      <c r="E929" s="6" t="n"/>
      <c r="F929" s="20" t="n"/>
      <c r="G929" s="9">
        <f>IF($F929="","",IF($F929&gt;0,ROUND($F929,2),""))</f>
        <v/>
      </c>
      <c r="H929" s="12">
        <f>IF(OR($B929="",$C929="",$G929=""),"",COUNTIFS(Ventes_Encaissements!$E$6:$E$3005,$B929,Ventes_Encaissements!$J$6:$J$3005,$G929,Ventes_Encaissements!$C$6:$C$3005,"&gt;="&amp;($C929-3),Ventes_Encaissements!$C$6:$C$3005,"&lt;="&amp;($C929+3)))</f>
        <v/>
      </c>
      <c r="I929" s="12">
        <f>IF($H929="","",IF($H929=0,"Non trouvé",IF($H929=1,"Match","À vérifier")))</f>
        <v/>
      </c>
      <c r="J929" s="21">
        <f>IF($I929&lt;&gt;"Match","",INDEX(Ventes_Encaissements!$B$6:$B$3005,_xludf.AGGREGATE(15,6,(ROW(Ventes_Encaissements!$B$6:$B$3005)-ROW(Ventes_Encaissements!$B$6)+1)/((Ventes_Encaissements!$E$6:$E$3005=$B929)*(Ventes_Encaissements!$J$6:$J$3005=$G929)*(Ventes_Encaissements!$C$6:$C$3005&gt;=$C929-3)*(Ventes_Encaissements!$C$6:$C$3005&lt;=$C929+3)),1)))</f>
        <v/>
      </c>
      <c r="K929" s="6" t="n"/>
    </row>
    <row r="930">
      <c r="A930" s="6" t="n"/>
      <c r="B930" s="6" t="n"/>
      <c r="C930" s="19" t="n"/>
      <c r="D930" s="19" t="n"/>
      <c r="E930" s="6" t="n"/>
      <c r="F930" s="20" t="n"/>
      <c r="G930" s="9">
        <f>IF($F930="","",IF($F930&gt;0,ROUND($F930,2),""))</f>
        <v/>
      </c>
      <c r="H930" s="12">
        <f>IF(OR($B930="",$C930="",$G930=""),"",COUNTIFS(Ventes_Encaissements!$E$6:$E$3005,$B930,Ventes_Encaissements!$J$6:$J$3005,$G930,Ventes_Encaissements!$C$6:$C$3005,"&gt;="&amp;($C930-3),Ventes_Encaissements!$C$6:$C$3005,"&lt;="&amp;($C930+3)))</f>
        <v/>
      </c>
      <c r="I930" s="12">
        <f>IF($H930="","",IF($H930=0,"Non trouvé",IF($H930=1,"Match","À vérifier")))</f>
        <v/>
      </c>
      <c r="J930" s="21">
        <f>IF($I930&lt;&gt;"Match","",INDEX(Ventes_Encaissements!$B$6:$B$3005,_xludf.AGGREGATE(15,6,(ROW(Ventes_Encaissements!$B$6:$B$3005)-ROW(Ventes_Encaissements!$B$6)+1)/((Ventes_Encaissements!$E$6:$E$3005=$B930)*(Ventes_Encaissements!$J$6:$J$3005=$G930)*(Ventes_Encaissements!$C$6:$C$3005&gt;=$C930-3)*(Ventes_Encaissements!$C$6:$C$3005&lt;=$C930+3)),1)))</f>
        <v/>
      </c>
      <c r="K930" s="6" t="n"/>
    </row>
    <row r="931">
      <c r="A931" s="6" t="n"/>
      <c r="B931" s="6" t="n"/>
      <c r="C931" s="19" t="n"/>
      <c r="D931" s="19" t="n"/>
      <c r="E931" s="6" t="n"/>
      <c r="F931" s="20" t="n"/>
      <c r="G931" s="9">
        <f>IF($F931="","",IF($F931&gt;0,ROUND($F931,2),""))</f>
        <v/>
      </c>
      <c r="H931" s="12">
        <f>IF(OR($B931="",$C931="",$G931=""),"",COUNTIFS(Ventes_Encaissements!$E$6:$E$3005,$B931,Ventes_Encaissements!$J$6:$J$3005,$G931,Ventes_Encaissements!$C$6:$C$3005,"&gt;="&amp;($C931-3),Ventes_Encaissements!$C$6:$C$3005,"&lt;="&amp;($C931+3)))</f>
        <v/>
      </c>
      <c r="I931" s="12">
        <f>IF($H931="","",IF($H931=0,"Non trouvé",IF($H931=1,"Match","À vérifier")))</f>
        <v/>
      </c>
      <c r="J931" s="21">
        <f>IF($I931&lt;&gt;"Match","",INDEX(Ventes_Encaissements!$B$6:$B$3005,_xludf.AGGREGATE(15,6,(ROW(Ventes_Encaissements!$B$6:$B$3005)-ROW(Ventes_Encaissements!$B$6)+1)/((Ventes_Encaissements!$E$6:$E$3005=$B931)*(Ventes_Encaissements!$J$6:$J$3005=$G931)*(Ventes_Encaissements!$C$6:$C$3005&gt;=$C931-3)*(Ventes_Encaissements!$C$6:$C$3005&lt;=$C931+3)),1)))</f>
        <v/>
      </c>
      <c r="K931" s="6" t="n"/>
    </row>
    <row r="932">
      <c r="A932" s="6" t="n"/>
      <c r="B932" s="6" t="n"/>
      <c r="C932" s="19" t="n"/>
      <c r="D932" s="19" t="n"/>
      <c r="E932" s="6" t="n"/>
      <c r="F932" s="20" t="n"/>
      <c r="G932" s="9">
        <f>IF($F932="","",IF($F932&gt;0,ROUND($F932,2),""))</f>
        <v/>
      </c>
      <c r="H932" s="12">
        <f>IF(OR($B932="",$C932="",$G932=""),"",COUNTIFS(Ventes_Encaissements!$E$6:$E$3005,$B932,Ventes_Encaissements!$J$6:$J$3005,$G932,Ventes_Encaissements!$C$6:$C$3005,"&gt;="&amp;($C932-3),Ventes_Encaissements!$C$6:$C$3005,"&lt;="&amp;($C932+3)))</f>
        <v/>
      </c>
      <c r="I932" s="12">
        <f>IF($H932="","",IF($H932=0,"Non trouvé",IF($H932=1,"Match","À vérifier")))</f>
        <v/>
      </c>
      <c r="J932" s="21">
        <f>IF($I932&lt;&gt;"Match","",INDEX(Ventes_Encaissements!$B$6:$B$3005,_xludf.AGGREGATE(15,6,(ROW(Ventes_Encaissements!$B$6:$B$3005)-ROW(Ventes_Encaissements!$B$6)+1)/((Ventes_Encaissements!$E$6:$E$3005=$B932)*(Ventes_Encaissements!$J$6:$J$3005=$G932)*(Ventes_Encaissements!$C$6:$C$3005&gt;=$C932-3)*(Ventes_Encaissements!$C$6:$C$3005&lt;=$C932+3)),1)))</f>
        <v/>
      </c>
      <c r="K932" s="6" t="n"/>
    </row>
    <row r="933">
      <c r="A933" s="6" t="n"/>
      <c r="B933" s="6" t="n"/>
      <c r="C933" s="19" t="n"/>
      <c r="D933" s="19" t="n"/>
      <c r="E933" s="6" t="n"/>
      <c r="F933" s="20" t="n"/>
      <c r="G933" s="9">
        <f>IF($F933="","",IF($F933&gt;0,ROUND($F933,2),""))</f>
        <v/>
      </c>
      <c r="H933" s="12">
        <f>IF(OR($B933="",$C933="",$G933=""),"",COUNTIFS(Ventes_Encaissements!$E$6:$E$3005,$B933,Ventes_Encaissements!$J$6:$J$3005,$G933,Ventes_Encaissements!$C$6:$C$3005,"&gt;="&amp;($C933-3),Ventes_Encaissements!$C$6:$C$3005,"&lt;="&amp;($C933+3)))</f>
        <v/>
      </c>
      <c r="I933" s="12">
        <f>IF($H933="","",IF($H933=0,"Non trouvé",IF($H933=1,"Match","À vérifier")))</f>
        <v/>
      </c>
      <c r="J933" s="21">
        <f>IF($I933&lt;&gt;"Match","",INDEX(Ventes_Encaissements!$B$6:$B$3005,_xludf.AGGREGATE(15,6,(ROW(Ventes_Encaissements!$B$6:$B$3005)-ROW(Ventes_Encaissements!$B$6)+1)/((Ventes_Encaissements!$E$6:$E$3005=$B933)*(Ventes_Encaissements!$J$6:$J$3005=$G933)*(Ventes_Encaissements!$C$6:$C$3005&gt;=$C933-3)*(Ventes_Encaissements!$C$6:$C$3005&lt;=$C933+3)),1)))</f>
        <v/>
      </c>
      <c r="K933" s="6" t="n"/>
    </row>
    <row r="934">
      <c r="A934" s="6" t="n"/>
      <c r="B934" s="6" t="n"/>
      <c r="C934" s="19" t="n"/>
      <c r="D934" s="19" t="n"/>
      <c r="E934" s="6" t="n"/>
      <c r="F934" s="20" t="n"/>
      <c r="G934" s="9">
        <f>IF($F934="","",IF($F934&gt;0,ROUND($F934,2),""))</f>
        <v/>
      </c>
      <c r="H934" s="12">
        <f>IF(OR($B934="",$C934="",$G934=""),"",COUNTIFS(Ventes_Encaissements!$E$6:$E$3005,$B934,Ventes_Encaissements!$J$6:$J$3005,$G934,Ventes_Encaissements!$C$6:$C$3005,"&gt;="&amp;($C934-3),Ventes_Encaissements!$C$6:$C$3005,"&lt;="&amp;($C934+3)))</f>
        <v/>
      </c>
      <c r="I934" s="12">
        <f>IF($H934="","",IF($H934=0,"Non trouvé",IF($H934=1,"Match","À vérifier")))</f>
        <v/>
      </c>
      <c r="J934" s="21">
        <f>IF($I934&lt;&gt;"Match","",INDEX(Ventes_Encaissements!$B$6:$B$3005,_xludf.AGGREGATE(15,6,(ROW(Ventes_Encaissements!$B$6:$B$3005)-ROW(Ventes_Encaissements!$B$6)+1)/((Ventes_Encaissements!$E$6:$E$3005=$B934)*(Ventes_Encaissements!$J$6:$J$3005=$G934)*(Ventes_Encaissements!$C$6:$C$3005&gt;=$C934-3)*(Ventes_Encaissements!$C$6:$C$3005&lt;=$C934+3)),1)))</f>
        <v/>
      </c>
      <c r="K934" s="6" t="n"/>
    </row>
    <row r="935">
      <c r="A935" s="6" t="n"/>
      <c r="B935" s="6" t="n"/>
      <c r="C935" s="19" t="n"/>
      <c r="D935" s="19" t="n"/>
      <c r="E935" s="6" t="n"/>
      <c r="F935" s="20" t="n"/>
      <c r="G935" s="9">
        <f>IF($F935="","",IF($F935&gt;0,ROUND($F935,2),""))</f>
        <v/>
      </c>
      <c r="H935" s="12">
        <f>IF(OR($B935="",$C935="",$G935=""),"",COUNTIFS(Ventes_Encaissements!$E$6:$E$3005,$B935,Ventes_Encaissements!$J$6:$J$3005,$G935,Ventes_Encaissements!$C$6:$C$3005,"&gt;="&amp;($C935-3),Ventes_Encaissements!$C$6:$C$3005,"&lt;="&amp;($C935+3)))</f>
        <v/>
      </c>
      <c r="I935" s="12">
        <f>IF($H935="","",IF($H935=0,"Non trouvé",IF($H935=1,"Match","À vérifier")))</f>
        <v/>
      </c>
      <c r="J935" s="21">
        <f>IF($I935&lt;&gt;"Match","",INDEX(Ventes_Encaissements!$B$6:$B$3005,_xludf.AGGREGATE(15,6,(ROW(Ventes_Encaissements!$B$6:$B$3005)-ROW(Ventes_Encaissements!$B$6)+1)/((Ventes_Encaissements!$E$6:$E$3005=$B935)*(Ventes_Encaissements!$J$6:$J$3005=$G935)*(Ventes_Encaissements!$C$6:$C$3005&gt;=$C935-3)*(Ventes_Encaissements!$C$6:$C$3005&lt;=$C935+3)),1)))</f>
        <v/>
      </c>
      <c r="K935" s="6" t="n"/>
    </row>
    <row r="936">
      <c r="A936" s="6" t="n"/>
      <c r="B936" s="6" t="n"/>
      <c r="C936" s="19" t="n"/>
      <c r="D936" s="19" t="n"/>
      <c r="E936" s="6" t="n"/>
      <c r="F936" s="20" t="n"/>
      <c r="G936" s="9">
        <f>IF($F936="","",IF($F936&gt;0,ROUND($F936,2),""))</f>
        <v/>
      </c>
      <c r="H936" s="12">
        <f>IF(OR($B936="",$C936="",$G936=""),"",COUNTIFS(Ventes_Encaissements!$E$6:$E$3005,$B936,Ventes_Encaissements!$J$6:$J$3005,$G936,Ventes_Encaissements!$C$6:$C$3005,"&gt;="&amp;($C936-3),Ventes_Encaissements!$C$6:$C$3005,"&lt;="&amp;($C936+3)))</f>
        <v/>
      </c>
      <c r="I936" s="12">
        <f>IF($H936="","",IF($H936=0,"Non trouvé",IF($H936=1,"Match","À vérifier")))</f>
        <v/>
      </c>
      <c r="J936" s="21">
        <f>IF($I936&lt;&gt;"Match","",INDEX(Ventes_Encaissements!$B$6:$B$3005,_xludf.AGGREGATE(15,6,(ROW(Ventes_Encaissements!$B$6:$B$3005)-ROW(Ventes_Encaissements!$B$6)+1)/((Ventes_Encaissements!$E$6:$E$3005=$B936)*(Ventes_Encaissements!$J$6:$J$3005=$G936)*(Ventes_Encaissements!$C$6:$C$3005&gt;=$C936-3)*(Ventes_Encaissements!$C$6:$C$3005&lt;=$C936+3)),1)))</f>
        <v/>
      </c>
      <c r="K936" s="6" t="n"/>
    </row>
    <row r="937">
      <c r="A937" s="6" t="n"/>
      <c r="B937" s="6" t="n"/>
      <c r="C937" s="19" t="n"/>
      <c r="D937" s="19" t="n"/>
      <c r="E937" s="6" t="n"/>
      <c r="F937" s="20" t="n"/>
      <c r="G937" s="9">
        <f>IF($F937="","",IF($F937&gt;0,ROUND($F937,2),""))</f>
        <v/>
      </c>
      <c r="H937" s="12">
        <f>IF(OR($B937="",$C937="",$G937=""),"",COUNTIFS(Ventes_Encaissements!$E$6:$E$3005,$B937,Ventes_Encaissements!$J$6:$J$3005,$G937,Ventes_Encaissements!$C$6:$C$3005,"&gt;="&amp;($C937-3),Ventes_Encaissements!$C$6:$C$3005,"&lt;="&amp;($C937+3)))</f>
        <v/>
      </c>
      <c r="I937" s="12">
        <f>IF($H937="","",IF($H937=0,"Non trouvé",IF($H937=1,"Match","À vérifier")))</f>
        <v/>
      </c>
      <c r="J937" s="21">
        <f>IF($I937&lt;&gt;"Match","",INDEX(Ventes_Encaissements!$B$6:$B$3005,_xludf.AGGREGATE(15,6,(ROW(Ventes_Encaissements!$B$6:$B$3005)-ROW(Ventes_Encaissements!$B$6)+1)/((Ventes_Encaissements!$E$6:$E$3005=$B937)*(Ventes_Encaissements!$J$6:$J$3005=$G937)*(Ventes_Encaissements!$C$6:$C$3005&gt;=$C937-3)*(Ventes_Encaissements!$C$6:$C$3005&lt;=$C937+3)),1)))</f>
        <v/>
      </c>
      <c r="K937" s="6" t="n"/>
    </row>
    <row r="938">
      <c r="A938" s="6" t="n"/>
      <c r="B938" s="6" t="n"/>
      <c r="C938" s="19" t="n"/>
      <c r="D938" s="19" t="n"/>
      <c r="E938" s="6" t="n"/>
      <c r="F938" s="20" t="n"/>
      <c r="G938" s="9">
        <f>IF($F938="","",IF($F938&gt;0,ROUND($F938,2),""))</f>
        <v/>
      </c>
      <c r="H938" s="12">
        <f>IF(OR($B938="",$C938="",$G938=""),"",COUNTIFS(Ventes_Encaissements!$E$6:$E$3005,$B938,Ventes_Encaissements!$J$6:$J$3005,$G938,Ventes_Encaissements!$C$6:$C$3005,"&gt;="&amp;($C938-3),Ventes_Encaissements!$C$6:$C$3005,"&lt;="&amp;($C938+3)))</f>
        <v/>
      </c>
      <c r="I938" s="12">
        <f>IF($H938="","",IF($H938=0,"Non trouvé",IF($H938=1,"Match","À vérifier")))</f>
        <v/>
      </c>
      <c r="J938" s="21">
        <f>IF($I938&lt;&gt;"Match","",INDEX(Ventes_Encaissements!$B$6:$B$3005,_xludf.AGGREGATE(15,6,(ROW(Ventes_Encaissements!$B$6:$B$3005)-ROW(Ventes_Encaissements!$B$6)+1)/((Ventes_Encaissements!$E$6:$E$3005=$B938)*(Ventes_Encaissements!$J$6:$J$3005=$G938)*(Ventes_Encaissements!$C$6:$C$3005&gt;=$C938-3)*(Ventes_Encaissements!$C$6:$C$3005&lt;=$C938+3)),1)))</f>
        <v/>
      </c>
      <c r="K938" s="6" t="n"/>
    </row>
    <row r="939">
      <c r="A939" s="6" t="n"/>
      <c r="B939" s="6" t="n"/>
      <c r="C939" s="19" t="n"/>
      <c r="D939" s="19" t="n"/>
      <c r="E939" s="6" t="n"/>
      <c r="F939" s="20" t="n"/>
      <c r="G939" s="9">
        <f>IF($F939="","",IF($F939&gt;0,ROUND($F939,2),""))</f>
        <v/>
      </c>
      <c r="H939" s="12">
        <f>IF(OR($B939="",$C939="",$G939=""),"",COUNTIFS(Ventes_Encaissements!$E$6:$E$3005,$B939,Ventes_Encaissements!$J$6:$J$3005,$G939,Ventes_Encaissements!$C$6:$C$3005,"&gt;="&amp;($C939-3),Ventes_Encaissements!$C$6:$C$3005,"&lt;="&amp;($C939+3)))</f>
        <v/>
      </c>
      <c r="I939" s="12">
        <f>IF($H939="","",IF($H939=0,"Non trouvé",IF($H939=1,"Match","À vérifier")))</f>
        <v/>
      </c>
      <c r="J939" s="21">
        <f>IF($I939&lt;&gt;"Match","",INDEX(Ventes_Encaissements!$B$6:$B$3005,_xludf.AGGREGATE(15,6,(ROW(Ventes_Encaissements!$B$6:$B$3005)-ROW(Ventes_Encaissements!$B$6)+1)/((Ventes_Encaissements!$E$6:$E$3005=$B939)*(Ventes_Encaissements!$J$6:$J$3005=$G939)*(Ventes_Encaissements!$C$6:$C$3005&gt;=$C939-3)*(Ventes_Encaissements!$C$6:$C$3005&lt;=$C939+3)),1)))</f>
        <v/>
      </c>
      <c r="K939" s="6" t="n"/>
    </row>
    <row r="940">
      <c r="A940" s="6" t="n"/>
      <c r="B940" s="6" t="n"/>
      <c r="C940" s="19" t="n"/>
      <c r="D940" s="19" t="n"/>
      <c r="E940" s="6" t="n"/>
      <c r="F940" s="20" t="n"/>
      <c r="G940" s="9">
        <f>IF($F940="","",IF($F940&gt;0,ROUND($F940,2),""))</f>
        <v/>
      </c>
      <c r="H940" s="12">
        <f>IF(OR($B940="",$C940="",$G940=""),"",COUNTIFS(Ventes_Encaissements!$E$6:$E$3005,$B940,Ventes_Encaissements!$J$6:$J$3005,$G940,Ventes_Encaissements!$C$6:$C$3005,"&gt;="&amp;($C940-3),Ventes_Encaissements!$C$6:$C$3005,"&lt;="&amp;($C940+3)))</f>
        <v/>
      </c>
      <c r="I940" s="12">
        <f>IF($H940="","",IF($H940=0,"Non trouvé",IF($H940=1,"Match","À vérifier")))</f>
        <v/>
      </c>
      <c r="J940" s="21">
        <f>IF($I940&lt;&gt;"Match","",INDEX(Ventes_Encaissements!$B$6:$B$3005,_xludf.AGGREGATE(15,6,(ROW(Ventes_Encaissements!$B$6:$B$3005)-ROW(Ventes_Encaissements!$B$6)+1)/((Ventes_Encaissements!$E$6:$E$3005=$B940)*(Ventes_Encaissements!$J$6:$J$3005=$G940)*(Ventes_Encaissements!$C$6:$C$3005&gt;=$C940-3)*(Ventes_Encaissements!$C$6:$C$3005&lt;=$C940+3)),1)))</f>
        <v/>
      </c>
      <c r="K940" s="6" t="n"/>
    </row>
    <row r="941">
      <c r="A941" s="6" t="n"/>
      <c r="B941" s="6" t="n"/>
      <c r="C941" s="19" t="n"/>
      <c r="D941" s="19" t="n"/>
      <c r="E941" s="6" t="n"/>
      <c r="F941" s="20" t="n"/>
      <c r="G941" s="9">
        <f>IF($F941="","",IF($F941&gt;0,ROUND($F941,2),""))</f>
        <v/>
      </c>
      <c r="H941" s="12">
        <f>IF(OR($B941="",$C941="",$G941=""),"",COUNTIFS(Ventes_Encaissements!$E$6:$E$3005,$B941,Ventes_Encaissements!$J$6:$J$3005,$G941,Ventes_Encaissements!$C$6:$C$3005,"&gt;="&amp;($C941-3),Ventes_Encaissements!$C$6:$C$3005,"&lt;="&amp;($C941+3)))</f>
        <v/>
      </c>
      <c r="I941" s="12">
        <f>IF($H941="","",IF($H941=0,"Non trouvé",IF($H941=1,"Match","À vérifier")))</f>
        <v/>
      </c>
      <c r="J941" s="21">
        <f>IF($I941&lt;&gt;"Match","",INDEX(Ventes_Encaissements!$B$6:$B$3005,_xludf.AGGREGATE(15,6,(ROW(Ventes_Encaissements!$B$6:$B$3005)-ROW(Ventes_Encaissements!$B$6)+1)/((Ventes_Encaissements!$E$6:$E$3005=$B941)*(Ventes_Encaissements!$J$6:$J$3005=$G941)*(Ventes_Encaissements!$C$6:$C$3005&gt;=$C941-3)*(Ventes_Encaissements!$C$6:$C$3005&lt;=$C941+3)),1)))</f>
        <v/>
      </c>
      <c r="K941" s="6" t="n"/>
    </row>
    <row r="942">
      <c r="A942" s="6" t="n"/>
      <c r="B942" s="6" t="n"/>
      <c r="C942" s="19" t="n"/>
      <c r="D942" s="19" t="n"/>
      <c r="E942" s="6" t="n"/>
      <c r="F942" s="20" t="n"/>
      <c r="G942" s="9">
        <f>IF($F942="","",IF($F942&gt;0,ROUND($F942,2),""))</f>
        <v/>
      </c>
      <c r="H942" s="12">
        <f>IF(OR($B942="",$C942="",$G942=""),"",COUNTIFS(Ventes_Encaissements!$E$6:$E$3005,$B942,Ventes_Encaissements!$J$6:$J$3005,$G942,Ventes_Encaissements!$C$6:$C$3005,"&gt;="&amp;($C942-3),Ventes_Encaissements!$C$6:$C$3005,"&lt;="&amp;($C942+3)))</f>
        <v/>
      </c>
      <c r="I942" s="12">
        <f>IF($H942="","",IF($H942=0,"Non trouvé",IF($H942=1,"Match","À vérifier")))</f>
        <v/>
      </c>
      <c r="J942" s="21">
        <f>IF($I942&lt;&gt;"Match","",INDEX(Ventes_Encaissements!$B$6:$B$3005,_xludf.AGGREGATE(15,6,(ROW(Ventes_Encaissements!$B$6:$B$3005)-ROW(Ventes_Encaissements!$B$6)+1)/((Ventes_Encaissements!$E$6:$E$3005=$B942)*(Ventes_Encaissements!$J$6:$J$3005=$G942)*(Ventes_Encaissements!$C$6:$C$3005&gt;=$C942-3)*(Ventes_Encaissements!$C$6:$C$3005&lt;=$C942+3)),1)))</f>
        <v/>
      </c>
      <c r="K942" s="6" t="n"/>
    </row>
    <row r="943">
      <c r="A943" s="6" t="n"/>
      <c r="B943" s="6" t="n"/>
      <c r="C943" s="19" t="n"/>
      <c r="D943" s="19" t="n"/>
      <c r="E943" s="6" t="n"/>
      <c r="F943" s="20" t="n"/>
      <c r="G943" s="9">
        <f>IF($F943="","",IF($F943&gt;0,ROUND($F943,2),""))</f>
        <v/>
      </c>
      <c r="H943" s="12">
        <f>IF(OR($B943="",$C943="",$G943=""),"",COUNTIFS(Ventes_Encaissements!$E$6:$E$3005,$B943,Ventes_Encaissements!$J$6:$J$3005,$G943,Ventes_Encaissements!$C$6:$C$3005,"&gt;="&amp;($C943-3),Ventes_Encaissements!$C$6:$C$3005,"&lt;="&amp;($C943+3)))</f>
        <v/>
      </c>
      <c r="I943" s="12">
        <f>IF($H943="","",IF($H943=0,"Non trouvé",IF($H943=1,"Match","À vérifier")))</f>
        <v/>
      </c>
      <c r="J943" s="21">
        <f>IF($I943&lt;&gt;"Match","",INDEX(Ventes_Encaissements!$B$6:$B$3005,_xludf.AGGREGATE(15,6,(ROW(Ventes_Encaissements!$B$6:$B$3005)-ROW(Ventes_Encaissements!$B$6)+1)/((Ventes_Encaissements!$E$6:$E$3005=$B943)*(Ventes_Encaissements!$J$6:$J$3005=$G943)*(Ventes_Encaissements!$C$6:$C$3005&gt;=$C943-3)*(Ventes_Encaissements!$C$6:$C$3005&lt;=$C943+3)),1)))</f>
        <v/>
      </c>
      <c r="K943" s="6" t="n"/>
    </row>
    <row r="944">
      <c r="A944" s="6" t="n"/>
      <c r="B944" s="6" t="n"/>
      <c r="C944" s="19" t="n"/>
      <c r="D944" s="19" t="n"/>
      <c r="E944" s="6" t="n"/>
      <c r="F944" s="20" t="n"/>
      <c r="G944" s="9">
        <f>IF($F944="","",IF($F944&gt;0,ROUND($F944,2),""))</f>
        <v/>
      </c>
      <c r="H944" s="12">
        <f>IF(OR($B944="",$C944="",$G944=""),"",COUNTIFS(Ventes_Encaissements!$E$6:$E$3005,$B944,Ventes_Encaissements!$J$6:$J$3005,$G944,Ventes_Encaissements!$C$6:$C$3005,"&gt;="&amp;($C944-3),Ventes_Encaissements!$C$6:$C$3005,"&lt;="&amp;($C944+3)))</f>
        <v/>
      </c>
      <c r="I944" s="12">
        <f>IF($H944="","",IF($H944=0,"Non trouvé",IF($H944=1,"Match","À vérifier")))</f>
        <v/>
      </c>
      <c r="J944" s="21">
        <f>IF($I944&lt;&gt;"Match","",INDEX(Ventes_Encaissements!$B$6:$B$3005,_xludf.AGGREGATE(15,6,(ROW(Ventes_Encaissements!$B$6:$B$3005)-ROW(Ventes_Encaissements!$B$6)+1)/((Ventes_Encaissements!$E$6:$E$3005=$B944)*(Ventes_Encaissements!$J$6:$J$3005=$G944)*(Ventes_Encaissements!$C$6:$C$3005&gt;=$C944-3)*(Ventes_Encaissements!$C$6:$C$3005&lt;=$C944+3)),1)))</f>
        <v/>
      </c>
      <c r="K944" s="6" t="n"/>
    </row>
    <row r="945">
      <c r="A945" s="6" t="n"/>
      <c r="B945" s="6" t="n"/>
      <c r="C945" s="19" t="n"/>
      <c r="D945" s="19" t="n"/>
      <c r="E945" s="6" t="n"/>
      <c r="F945" s="20" t="n"/>
      <c r="G945" s="9">
        <f>IF($F945="","",IF($F945&gt;0,ROUND($F945,2),""))</f>
        <v/>
      </c>
      <c r="H945" s="12">
        <f>IF(OR($B945="",$C945="",$G945=""),"",COUNTIFS(Ventes_Encaissements!$E$6:$E$3005,$B945,Ventes_Encaissements!$J$6:$J$3005,$G945,Ventes_Encaissements!$C$6:$C$3005,"&gt;="&amp;($C945-3),Ventes_Encaissements!$C$6:$C$3005,"&lt;="&amp;($C945+3)))</f>
        <v/>
      </c>
      <c r="I945" s="12">
        <f>IF($H945="","",IF($H945=0,"Non trouvé",IF($H945=1,"Match","À vérifier")))</f>
        <v/>
      </c>
      <c r="J945" s="21">
        <f>IF($I945&lt;&gt;"Match","",INDEX(Ventes_Encaissements!$B$6:$B$3005,_xludf.AGGREGATE(15,6,(ROW(Ventes_Encaissements!$B$6:$B$3005)-ROW(Ventes_Encaissements!$B$6)+1)/((Ventes_Encaissements!$E$6:$E$3005=$B945)*(Ventes_Encaissements!$J$6:$J$3005=$G945)*(Ventes_Encaissements!$C$6:$C$3005&gt;=$C945-3)*(Ventes_Encaissements!$C$6:$C$3005&lt;=$C945+3)),1)))</f>
        <v/>
      </c>
      <c r="K945" s="6" t="n"/>
    </row>
    <row r="946">
      <c r="A946" s="6" t="n"/>
      <c r="B946" s="6" t="n"/>
      <c r="C946" s="19" t="n"/>
      <c r="D946" s="19" t="n"/>
      <c r="E946" s="6" t="n"/>
      <c r="F946" s="20" t="n"/>
      <c r="G946" s="9">
        <f>IF($F946="","",IF($F946&gt;0,ROUND($F946,2),""))</f>
        <v/>
      </c>
      <c r="H946" s="12">
        <f>IF(OR($B946="",$C946="",$G946=""),"",COUNTIFS(Ventes_Encaissements!$E$6:$E$3005,$B946,Ventes_Encaissements!$J$6:$J$3005,$G946,Ventes_Encaissements!$C$6:$C$3005,"&gt;="&amp;($C946-3),Ventes_Encaissements!$C$6:$C$3005,"&lt;="&amp;($C946+3)))</f>
        <v/>
      </c>
      <c r="I946" s="12">
        <f>IF($H946="","",IF($H946=0,"Non trouvé",IF($H946=1,"Match","À vérifier")))</f>
        <v/>
      </c>
      <c r="J946" s="21">
        <f>IF($I946&lt;&gt;"Match","",INDEX(Ventes_Encaissements!$B$6:$B$3005,_xludf.AGGREGATE(15,6,(ROW(Ventes_Encaissements!$B$6:$B$3005)-ROW(Ventes_Encaissements!$B$6)+1)/((Ventes_Encaissements!$E$6:$E$3005=$B946)*(Ventes_Encaissements!$J$6:$J$3005=$G946)*(Ventes_Encaissements!$C$6:$C$3005&gt;=$C946-3)*(Ventes_Encaissements!$C$6:$C$3005&lt;=$C946+3)),1)))</f>
        <v/>
      </c>
      <c r="K946" s="6" t="n"/>
    </row>
    <row r="947">
      <c r="A947" s="6" t="n"/>
      <c r="B947" s="6" t="n"/>
      <c r="C947" s="19" t="n"/>
      <c r="D947" s="19" t="n"/>
      <c r="E947" s="6" t="n"/>
      <c r="F947" s="20" t="n"/>
      <c r="G947" s="9">
        <f>IF($F947="","",IF($F947&gt;0,ROUND($F947,2),""))</f>
        <v/>
      </c>
      <c r="H947" s="12">
        <f>IF(OR($B947="",$C947="",$G947=""),"",COUNTIFS(Ventes_Encaissements!$E$6:$E$3005,$B947,Ventes_Encaissements!$J$6:$J$3005,$G947,Ventes_Encaissements!$C$6:$C$3005,"&gt;="&amp;($C947-3),Ventes_Encaissements!$C$6:$C$3005,"&lt;="&amp;($C947+3)))</f>
        <v/>
      </c>
      <c r="I947" s="12">
        <f>IF($H947="","",IF($H947=0,"Non trouvé",IF($H947=1,"Match","À vérifier")))</f>
        <v/>
      </c>
      <c r="J947" s="21">
        <f>IF($I947&lt;&gt;"Match","",INDEX(Ventes_Encaissements!$B$6:$B$3005,_xludf.AGGREGATE(15,6,(ROW(Ventes_Encaissements!$B$6:$B$3005)-ROW(Ventes_Encaissements!$B$6)+1)/((Ventes_Encaissements!$E$6:$E$3005=$B947)*(Ventes_Encaissements!$J$6:$J$3005=$G947)*(Ventes_Encaissements!$C$6:$C$3005&gt;=$C947-3)*(Ventes_Encaissements!$C$6:$C$3005&lt;=$C947+3)),1)))</f>
        <v/>
      </c>
      <c r="K947" s="6" t="n"/>
    </row>
    <row r="948">
      <c r="A948" s="6" t="n"/>
      <c r="B948" s="6" t="n"/>
      <c r="C948" s="19" t="n"/>
      <c r="D948" s="19" t="n"/>
      <c r="E948" s="6" t="n"/>
      <c r="F948" s="20" t="n"/>
      <c r="G948" s="9">
        <f>IF($F948="","",IF($F948&gt;0,ROUND($F948,2),""))</f>
        <v/>
      </c>
      <c r="H948" s="12">
        <f>IF(OR($B948="",$C948="",$G948=""),"",COUNTIFS(Ventes_Encaissements!$E$6:$E$3005,$B948,Ventes_Encaissements!$J$6:$J$3005,$G948,Ventes_Encaissements!$C$6:$C$3005,"&gt;="&amp;($C948-3),Ventes_Encaissements!$C$6:$C$3005,"&lt;="&amp;($C948+3)))</f>
        <v/>
      </c>
      <c r="I948" s="12">
        <f>IF($H948="","",IF($H948=0,"Non trouvé",IF($H948=1,"Match","À vérifier")))</f>
        <v/>
      </c>
      <c r="J948" s="21">
        <f>IF($I948&lt;&gt;"Match","",INDEX(Ventes_Encaissements!$B$6:$B$3005,_xludf.AGGREGATE(15,6,(ROW(Ventes_Encaissements!$B$6:$B$3005)-ROW(Ventes_Encaissements!$B$6)+1)/((Ventes_Encaissements!$E$6:$E$3005=$B948)*(Ventes_Encaissements!$J$6:$J$3005=$G948)*(Ventes_Encaissements!$C$6:$C$3005&gt;=$C948-3)*(Ventes_Encaissements!$C$6:$C$3005&lt;=$C948+3)),1)))</f>
        <v/>
      </c>
      <c r="K948" s="6" t="n"/>
    </row>
    <row r="949">
      <c r="A949" s="6" t="n"/>
      <c r="B949" s="6" t="n"/>
      <c r="C949" s="19" t="n"/>
      <c r="D949" s="19" t="n"/>
      <c r="E949" s="6" t="n"/>
      <c r="F949" s="20" t="n"/>
      <c r="G949" s="9">
        <f>IF($F949="","",IF($F949&gt;0,ROUND($F949,2),""))</f>
        <v/>
      </c>
      <c r="H949" s="12">
        <f>IF(OR($B949="",$C949="",$G949=""),"",COUNTIFS(Ventes_Encaissements!$E$6:$E$3005,$B949,Ventes_Encaissements!$J$6:$J$3005,$G949,Ventes_Encaissements!$C$6:$C$3005,"&gt;="&amp;($C949-3),Ventes_Encaissements!$C$6:$C$3005,"&lt;="&amp;($C949+3)))</f>
        <v/>
      </c>
      <c r="I949" s="12">
        <f>IF($H949="","",IF($H949=0,"Non trouvé",IF($H949=1,"Match","À vérifier")))</f>
        <v/>
      </c>
      <c r="J949" s="21">
        <f>IF($I949&lt;&gt;"Match","",INDEX(Ventes_Encaissements!$B$6:$B$3005,_xludf.AGGREGATE(15,6,(ROW(Ventes_Encaissements!$B$6:$B$3005)-ROW(Ventes_Encaissements!$B$6)+1)/((Ventes_Encaissements!$E$6:$E$3005=$B949)*(Ventes_Encaissements!$J$6:$J$3005=$G949)*(Ventes_Encaissements!$C$6:$C$3005&gt;=$C949-3)*(Ventes_Encaissements!$C$6:$C$3005&lt;=$C949+3)),1)))</f>
        <v/>
      </c>
      <c r="K949" s="6" t="n"/>
    </row>
    <row r="950">
      <c r="A950" s="6" t="n"/>
      <c r="B950" s="6" t="n"/>
      <c r="C950" s="19" t="n"/>
      <c r="D950" s="19" t="n"/>
      <c r="E950" s="6" t="n"/>
      <c r="F950" s="20" t="n"/>
      <c r="G950" s="9">
        <f>IF($F950="","",IF($F950&gt;0,ROUND($F950,2),""))</f>
        <v/>
      </c>
      <c r="H950" s="12">
        <f>IF(OR($B950="",$C950="",$G950=""),"",COUNTIFS(Ventes_Encaissements!$E$6:$E$3005,$B950,Ventes_Encaissements!$J$6:$J$3005,$G950,Ventes_Encaissements!$C$6:$C$3005,"&gt;="&amp;($C950-3),Ventes_Encaissements!$C$6:$C$3005,"&lt;="&amp;($C950+3)))</f>
        <v/>
      </c>
      <c r="I950" s="12">
        <f>IF($H950="","",IF($H950=0,"Non trouvé",IF($H950=1,"Match","À vérifier")))</f>
        <v/>
      </c>
      <c r="J950" s="21">
        <f>IF($I950&lt;&gt;"Match","",INDEX(Ventes_Encaissements!$B$6:$B$3005,_xludf.AGGREGATE(15,6,(ROW(Ventes_Encaissements!$B$6:$B$3005)-ROW(Ventes_Encaissements!$B$6)+1)/((Ventes_Encaissements!$E$6:$E$3005=$B950)*(Ventes_Encaissements!$J$6:$J$3005=$G950)*(Ventes_Encaissements!$C$6:$C$3005&gt;=$C950-3)*(Ventes_Encaissements!$C$6:$C$3005&lt;=$C950+3)),1)))</f>
        <v/>
      </c>
      <c r="K950" s="6" t="n"/>
    </row>
    <row r="951">
      <c r="A951" s="6" t="n"/>
      <c r="B951" s="6" t="n"/>
      <c r="C951" s="19" t="n"/>
      <c r="D951" s="19" t="n"/>
      <c r="E951" s="6" t="n"/>
      <c r="F951" s="20" t="n"/>
      <c r="G951" s="9">
        <f>IF($F951="","",IF($F951&gt;0,ROUND($F951,2),""))</f>
        <v/>
      </c>
      <c r="H951" s="12">
        <f>IF(OR($B951="",$C951="",$G951=""),"",COUNTIFS(Ventes_Encaissements!$E$6:$E$3005,$B951,Ventes_Encaissements!$J$6:$J$3005,$G951,Ventes_Encaissements!$C$6:$C$3005,"&gt;="&amp;($C951-3),Ventes_Encaissements!$C$6:$C$3005,"&lt;="&amp;($C951+3)))</f>
        <v/>
      </c>
      <c r="I951" s="12">
        <f>IF($H951="","",IF($H951=0,"Non trouvé",IF($H951=1,"Match","À vérifier")))</f>
        <v/>
      </c>
      <c r="J951" s="21">
        <f>IF($I951&lt;&gt;"Match","",INDEX(Ventes_Encaissements!$B$6:$B$3005,_xludf.AGGREGATE(15,6,(ROW(Ventes_Encaissements!$B$6:$B$3005)-ROW(Ventes_Encaissements!$B$6)+1)/((Ventes_Encaissements!$E$6:$E$3005=$B951)*(Ventes_Encaissements!$J$6:$J$3005=$G951)*(Ventes_Encaissements!$C$6:$C$3005&gt;=$C951-3)*(Ventes_Encaissements!$C$6:$C$3005&lt;=$C951+3)),1)))</f>
        <v/>
      </c>
      <c r="K951" s="6" t="n"/>
    </row>
    <row r="952">
      <c r="A952" s="6" t="n"/>
      <c r="B952" s="6" t="n"/>
      <c r="C952" s="19" t="n"/>
      <c r="D952" s="19" t="n"/>
      <c r="E952" s="6" t="n"/>
      <c r="F952" s="20" t="n"/>
      <c r="G952" s="9">
        <f>IF($F952="","",IF($F952&gt;0,ROUND($F952,2),""))</f>
        <v/>
      </c>
      <c r="H952" s="12">
        <f>IF(OR($B952="",$C952="",$G952=""),"",COUNTIFS(Ventes_Encaissements!$E$6:$E$3005,$B952,Ventes_Encaissements!$J$6:$J$3005,$G952,Ventes_Encaissements!$C$6:$C$3005,"&gt;="&amp;($C952-3),Ventes_Encaissements!$C$6:$C$3005,"&lt;="&amp;($C952+3)))</f>
        <v/>
      </c>
      <c r="I952" s="12">
        <f>IF($H952="","",IF($H952=0,"Non trouvé",IF($H952=1,"Match","À vérifier")))</f>
        <v/>
      </c>
      <c r="J952" s="21">
        <f>IF($I952&lt;&gt;"Match","",INDEX(Ventes_Encaissements!$B$6:$B$3005,_xludf.AGGREGATE(15,6,(ROW(Ventes_Encaissements!$B$6:$B$3005)-ROW(Ventes_Encaissements!$B$6)+1)/((Ventes_Encaissements!$E$6:$E$3005=$B952)*(Ventes_Encaissements!$J$6:$J$3005=$G952)*(Ventes_Encaissements!$C$6:$C$3005&gt;=$C952-3)*(Ventes_Encaissements!$C$6:$C$3005&lt;=$C952+3)),1)))</f>
        <v/>
      </c>
      <c r="K952" s="6" t="n"/>
    </row>
    <row r="953">
      <c r="A953" s="6" t="n"/>
      <c r="B953" s="6" t="n"/>
      <c r="C953" s="19" t="n"/>
      <c r="D953" s="19" t="n"/>
      <c r="E953" s="6" t="n"/>
      <c r="F953" s="20" t="n"/>
      <c r="G953" s="9">
        <f>IF($F953="","",IF($F953&gt;0,ROUND($F953,2),""))</f>
        <v/>
      </c>
      <c r="H953" s="12">
        <f>IF(OR($B953="",$C953="",$G953=""),"",COUNTIFS(Ventes_Encaissements!$E$6:$E$3005,$B953,Ventes_Encaissements!$J$6:$J$3005,$G953,Ventes_Encaissements!$C$6:$C$3005,"&gt;="&amp;($C953-3),Ventes_Encaissements!$C$6:$C$3005,"&lt;="&amp;($C953+3)))</f>
        <v/>
      </c>
      <c r="I953" s="12">
        <f>IF($H953="","",IF($H953=0,"Non trouvé",IF($H953=1,"Match","À vérifier")))</f>
        <v/>
      </c>
      <c r="J953" s="21">
        <f>IF($I953&lt;&gt;"Match","",INDEX(Ventes_Encaissements!$B$6:$B$3005,_xludf.AGGREGATE(15,6,(ROW(Ventes_Encaissements!$B$6:$B$3005)-ROW(Ventes_Encaissements!$B$6)+1)/((Ventes_Encaissements!$E$6:$E$3005=$B953)*(Ventes_Encaissements!$J$6:$J$3005=$G953)*(Ventes_Encaissements!$C$6:$C$3005&gt;=$C953-3)*(Ventes_Encaissements!$C$6:$C$3005&lt;=$C953+3)),1)))</f>
        <v/>
      </c>
      <c r="K953" s="6" t="n"/>
    </row>
    <row r="954">
      <c r="A954" s="6" t="n"/>
      <c r="B954" s="6" t="n"/>
      <c r="C954" s="19" t="n"/>
      <c r="D954" s="19" t="n"/>
      <c r="E954" s="6" t="n"/>
      <c r="F954" s="20" t="n"/>
      <c r="G954" s="9">
        <f>IF($F954="","",IF($F954&gt;0,ROUND($F954,2),""))</f>
        <v/>
      </c>
      <c r="H954" s="12">
        <f>IF(OR($B954="",$C954="",$G954=""),"",COUNTIFS(Ventes_Encaissements!$E$6:$E$3005,$B954,Ventes_Encaissements!$J$6:$J$3005,$G954,Ventes_Encaissements!$C$6:$C$3005,"&gt;="&amp;($C954-3),Ventes_Encaissements!$C$6:$C$3005,"&lt;="&amp;($C954+3)))</f>
        <v/>
      </c>
      <c r="I954" s="12">
        <f>IF($H954="","",IF($H954=0,"Non trouvé",IF($H954=1,"Match","À vérifier")))</f>
        <v/>
      </c>
      <c r="J954" s="21">
        <f>IF($I954&lt;&gt;"Match","",INDEX(Ventes_Encaissements!$B$6:$B$3005,_xludf.AGGREGATE(15,6,(ROW(Ventes_Encaissements!$B$6:$B$3005)-ROW(Ventes_Encaissements!$B$6)+1)/((Ventes_Encaissements!$E$6:$E$3005=$B954)*(Ventes_Encaissements!$J$6:$J$3005=$G954)*(Ventes_Encaissements!$C$6:$C$3005&gt;=$C954-3)*(Ventes_Encaissements!$C$6:$C$3005&lt;=$C954+3)),1)))</f>
        <v/>
      </c>
      <c r="K954" s="6" t="n"/>
    </row>
    <row r="955">
      <c r="A955" s="6" t="n"/>
      <c r="B955" s="6" t="n"/>
      <c r="C955" s="19" t="n"/>
      <c r="D955" s="19" t="n"/>
      <c r="E955" s="6" t="n"/>
      <c r="F955" s="20" t="n"/>
      <c r="G955" s="9">
        <f>IF($F955="","",IF($F955&gt;0,ROUND($F955,2),""))</f>
        <v/>
      </c>
      <c r="H955" s="12">
        <f>IF(OR($B955="",$C955="",$G955=""),"",COUNTIFS(Ventes_Encaissements!$E$6:$E$3005,$B955,Ventes_Encaissements!$J$6:$J$3005,$G955,Ventes_Encaissements!$C$6:$C$3005,"&gt;="&amp;($C955-3),Ventes_Encaissements!$C$6:$C$3005,"&lt;="&amp;($C955+3)))</f>
        <v/>
      </c>
      <c r="I955" s="12">
        <f>IF($H955="","",IF($H955=0,"Non trouvé",IF($H955=1,"Match","À vérifier")))</f>
        <v/>
      </c>
      <c r="J955" s="21">
        <f>IF($I955&lt;&gt;"Match","",INDEX(Ventes_Encaissements!$B$6:$B$3005,_xludf.AGGREGATE(15,6,(ROW(Ventes_Encaissements!$B$6:$B$3005)-ROW(Ventes_Encaissements!$B$6)+1)/((Ventes_Encaissements!$E$6:$E$3005=$B955)*(Ventes_Encaissements!$J$6:$J$3005=$G955)*(Ventes_Encaissements!$C$6:$C$3005&gt;=$C955-3)*(Ventes_Encaissements!$C$6:$C$3005&lt;=$C955+3)),1)))</f>
        <v/>
      </c>
      <c r="K955" s="6" t="n"/>
    </row>
    <row r="956">
      <c r="A956" s="6" t="n"/>
      <c r="B956" s="6" t="n"/>
      <c r="C956" s="19" t="n"/>
      <c r="D956" s="19" t="n"/>
      <c r="E956" s="6" t="n"/>
      <c r="F956" s="20" t="n"/>
      <c r="G956" s="9">
        <f>IF($F956="","",IF($F956&gt;0,ROUND($F956,2),""))</f>
        <v/>
      </c>
      <c r="H956" s="12">
        <f>IF(OR($B956="",$C956="",$G956=""),"",COUNTIFS(Ventes_Encaissements!$E$6:$E$3005,$B956,Ventes_Encaissements!$J$6:$J$3005,$G956,Ventes_Encaissements!$C$6:$C$3005,"&gt;="&amp;($C956-3),Ventes_Encaissements!$C$6:$C$3005,"&lt;="&amp;($C956+3)))</f>
        <v/>
      </c>
      <c r="I956" s="12">
        <f>IF($H956="","",IF($H956=0,"Non trouvé",IF($H956=1,"Match","À vérifier")))</f>
        <v/>
      </c>
      <c r="J956" s="21">
        <f>IF($I956&lt;&gt;"Match","",INDEX(Ventes_Encaissements!$B$6:$B$3005,_xludf.AGGREGATE(15,6,(ROW(Ventes_Encaissements!$B$6:$B$3005)-ROW(Ventes_Encaissements!$B$6)+1)/((Ventes_Encaissements!$E$6:$E$3005=$B956)*(Ventes_Encaissements!$J$6:$J$3005=$G956)*(Ventes_Encaissements!$C$6:$C$3005&gt;=$C956-3)*(Ventes_Encaissements!$C$6:$C$3005&lt;=$C956+3)),1)))</f>
        <v/>
      </c>
      <c r="K956" s="6" t="n"/>
    </row>
    <row r="957">
      <c r="A957" s="6" t="n"/>
      <c r="B957" s="6" t="n"/>
      <c r="C957" s="19" t="n"/>
      <c r="D957" s="19" t="n"/>
      <c r="E957" s="6" t="n"/>
      <c r="F957" s="20" t="n"/>
      <c r="G957" s="9">
        <f>IF($F957="","",IF($F957&gt;0,ROUND($F957,2),""))</f>
        <v/>
      </c>
      <c r="H957" s="12">
        <f>IF(OR($B957="",$C957="",$G957=""),"",COUNTIFS(Ventes_Encaissements!$E$6:$E$3005,$B957,Ventes_Encaissements!$J$6:$J$3005,$G957,Ventes_Encaissements!$C$6:$C$3005,"&gt;="&amp;($C957-3),Ventes_Encaissements!$C$6:$C$3005,"&lt;="&amp;($C957+3)))</f>
        <v/>
      </c>
      <c r="I957" s="12">
        <f>IF($H957="","",IF($H957=0,"Non trouvé",IF($H957=1,"Match","À vérifier")))</f>
        <v/>
      </c>
      <c r="J957" s="21">
        <f>IF($I957&lt;&gt;"Match","",INDEX(Ventes_Encaissements!$B$6:$B$3005,_xludf.AGGREGATE(15,6,(ROW(Ventes_Encaissements!$B$6:$B$3005)-ROW(Ventes_Encaissements!$B$6)+1)/((Ventes_Encaissements!$E$6:$E$3005=$B957)*(Ventes_Encaissements!$J$6:$J$3005=$G957)*(Ventes_Encaissements!$C$6:$C$3005&gt;=$C957-3)*(Ventes_Encaissements!$C$6:$C$3005&lt;=$C957+3)),1)))</f>
        <v/>
      </c>
      <c r="K957" s="6" t="n"/>
    </row>
    <row r="958">
      <c r="A958" s="6" t="n"/>
      <c r="B958" s="6" t="n"/>
      <c r="C958" s="19" t="n"/>
      <c r="D958" s="19" t="n"/>
      <c r="E958" s="6" t="n"/>
      <c r="F958" s="20" t="n"/>
      <c r="G958" s="9">
        <f>IF($F958="","",IF($F958&gt;0,ROUND($F958,2),""))</f>
        <v/>
      </c>
      <c r="H958" s="12">
        <f>IF(OR($B958="",$C958="",$G958=""),"",COUNTIFS(Ventes_Encaissements!$E$6:$E$3005,$B958,Ventes_Encaissements!$J$6:$J$3005,$G958,Ventes_Encaissements!$C$6:$C$3005,"&gt;="&amp;($C958-3),Ventes_Encaissements!$C$6:$C$3005,"&lt;="&amp;($C958+3)))</f>
        <v/>
      </c>
      <c r="I958" s="12">
        <f>IF($H958="","",IF($H958=0,"Non trouvé",IF($H958=1,"Match","À vérifier")))</f>
        <v/>
      </c>
      <c r="J958" s="21">
        <f>IF($I958&lt;&gt;"Match","",INDEX(Ventes_Encaissements!$B$6:$B$3005,_xludf.AGGREGATE(15,6,(ROW(Ventes_Encaissements!$B$6:$B$3005)-ROW(Ventes_Encaissements!$B$6)+1)/((Ventes_Encaissements!$E$6:$E$3005=$B958)*(Ventes_Encaissements!$J$6:$J$3005=$G958)*(Ventes_Encaissements!$C$6:$C$3005&gt;=$C958-3)*(Ventes_Encaissements!$C$6:$C$3005&lt;=$C958+3)),1)))</f>
        <v/>
      </c>
      <c r="K958" s="6" t="n"/>
    </row>
    <row r="959">
      <c r="A959" s="6" t="n"/>
      <c r="B959" s="6" t="n"/>
      <c r="C959" s="19" t="n"/>
      <c r="D959" s="19" t="n"/>
      <c r="E959" s="6" t="n"/>
      <c r="F959" s="20" t="n"/>
      <c r="G959" s="9">
        <f>IF($F959="","",IF($F959&gt;0,ROUND($F959,2),""))</f>
        <v/>
      </c>
      <c r="H959" s="12">
        <f>IF(OR($B959="",$C959="",$G959=""),"",COUNTIFS(Ventes_Encaissements!$E$6:$E$3005,$B959,Ventes_Encaissements!$J$6:$J$3005,$G959,Ventes_Encaissements!$C$6:$C$3005,"&gt;="&amp;($C959-3),Ventes_Encaissements!$C$6:$C$3005,"&lt;="&amp;($C959+3)))</f>
        <v/>
      </c>
      <c r="I959" s="12">
        <f>IF($H959="","",IF($H959=0,"Non trouvé",IF($H959=1,"Match","À vérifier")))</f>
        <v/>
      </c>
      <c r="J959" s="21">
        <f>IF($I959&lt;&gt;"Match","",INDEX(Ventes_Encaissements!$B$6:$B$3005,_xludf.AGGREGATE(15,6,(ROW(Ventes_Encaissements!$B$6:$B$3005)-ROW(Ventes_Encaissements!$B$6)+1)/((Ventes_Encaissements!$E$6:$E$3005=$B959)*(Ventes_Encaissements!$J$6:$J$3005=$G959)*(Ventes_Encaissements!$C$6:$C$3005&gt;=$C959-3)*(Ventes_Encaissements!$C$6:$C$3005&lt;=$C959+3)),1)))</f>
        <v/>
      </c>
      <c r="K959" s="6" t="n"/>
    </row>
    <row r="960">
      <c r="A960" s="6" t="n"/>
      <c r="B960" s="6" t="n"/>
      <c r="C960" s="19" t="n"/>
      <c r="D960" s="19" t="n"/>
      <c r="E960" s="6" t="n"/>
      <c r="F960" s="20" t="n"/>
      <c r="G960" s="9">
        <f>IF($F960="","",IF($F960&gt;0,ROUND($F960,2),""))</f>
        <v/>
      </c>
      <c r="H960" s="12">
        <f>IF(OR($B960="",$C960="",$G960=""),"",COUNTIFS(Ventes_Encaissements!$E$6:$E$3005,$B960,Ventes_Encaissements!$J$6:$J$3005,$G960,Ventes_Encaissements!$C$6:$C$3005,"&gt;="&amp;($C960-3),Ventes_Encaissements!$C$6:$C$3005,"&lt;="&amp;($C960+3)))</f>
        <v/>
      </c>
      <c r="I960" s="12">
        <f>IF($H960="","",IF($H960=0,"Non trouvé",IF($H960=1,"Match","À vérifier")))</f>
        <v/>
      </c>
      <c r="J960" s="21">
        <f>IF($I960&lt;&gt;"Match","",INDEX(Ventes_Encaissements!$B$6:$B$3005,_xludf.AGGREGATE(15,6,(ROW(Ventes_Encaissements!$B$6:$B$3005)-ROW(Ventes_Encaissements!$B$6)+1)/((Ventes_Encaissements!$E$6:$E$3005=$B960)*(Ventes_Encaissements!$J$6:$J$3005=$G960)*(Ventes_Encaissements!$C$6:$C$3005&gt;=$C960-3)*(Ventes_Encaissements!$C$6:$C$3005&lt;=$C960+3)),1)))</f>
        <v/>
      </c>
      <c r="K960" s="6" t="n"/>
    </row>
    <row r="961">
      <c r="A961" s="6" t="n"/>
      <c r="B961" s="6" t="n"/>
      <c r="C961" s="19" t="n"/>
      <c r="D961" s="19" t="n"/>
      <c r="E961" s="6" t="n"/>
      <c r="F961" s="20" t="n"/>
      <c r="G961" s="9">
        <f>IF($F961="","",IF($F961&gt;0,ROUND($F961,2),""))</f>
        <v/>
      </c>
      <c r="H961" s="12">
        <f>IF(OR($B961="",$C961="",$G961=""),"",COUNTIFS(Ventes_Encaissements!$E$6:$E$3005,$B961,Ventes_Encaissements!$J$6:$J$3005,$G961,Ventes_Encaissements!$C$6:$C$3005,"&gt;="&amp;($C961-3),Ventes_Encaissements!$C$6:$C$3005,"&lt;="&amp;($C961+3)))</f>
        <v/>
      </c>
      <c r="I961" s="12">
        <f>IF($H961="","",IF($H961=0,"Non trouvé",IF($H961=1,"Match","À vérifier")))</f>
        <v/>
      </c>
      <c r="J961" s="21">
        <f>IF($I961&lt;&gt;"Match","",INDEX(Ventes_Encaissements!$B$6:$B$3005,_xludf.AGGREGATE(15,6,(ROW(Ventes_Encaissements!$B$6:$B$3005)-ROW(Ventes_Encaissements!$B$6)+1)/((Ventes_Encaissements!$E$6:$E$3005=$B961)*(Ventes_Encaissements!$J$6:$J$3005=$G961)*(Ventes_Encaissements!$C$6:$C$3005&gt;=$C961-3)*(Ventes_Encaissements!$C$6:$C$3005&lt;=$C961+3)),1)))</f>
        <v/>
      </c>
      <c r="K961" s="6" t="n"/>
    </row>
    <row r="962">
      <c r="A962" s="6" t="n"/>
      <c r="B962" s="6" t="n"/>
      <c r="C962" s="19" t="n"/>
      <c r="D962" s="19" t="n"/>
      <c r="E962" s="6" t="n"/>
      <c r="F962" s="20" t="n"/>
      <c r="G962" s="9">
        <f>IF($F962="","",IF($F962&gt;0,ROUND($F962,2),""))</f>
        <v/>
      </c>
      <c r="H962" s="12">
        <f>IF(OR($B962="",$C962="",$G962=""),"",COUNTIFS(Ventes_Encaissements!$E$6:$E$3005,$B962,Ventes_Encaissements!$J$6:$J$3005,$G962,Ventes_Encaissements!$C$6:$C$3005,"&gt;="&amp;($C962-3),Ventes_Encaissements!$C$6:$C$3005,"&lt;="&amp;($C962+3)))</f>
        <v/>
      </c>
      <c r="I962" s="12">
        <f>IF($H962="","",IF($H962=0,"Non trouvé",IF($H962=1,"Match","À vérifier")))</f>
        <v/>
      </c>
      <c r="J962" s="21">
        <f>IF($I962&lt;&gt;"Match","",INDEX(Ventes_Encaissements!$B$6:$B$3005,_xludf.AGGREGATE(15,6,(ROW(Ventes_Encaissements!$B$6:$B$3005)-ROW(Ventes_Encaissements!$B$6)+1)/((Ventes_Encaissements!$E$6:$E$3005=$B962)*(Ventes_Encaissements!$J$6:$J$3005=$G962)*(Ventes_Encaissements!$C$6:$C$3005&gt;=$C962-3)*(Ventes_Encaissements!$C$6:$C$3005&lt;=$C962+3)),1)))</f>
        <v/>
      </c>
      <c r="K962" s="6" t="n"/>
    </row>
    <row r="963">
      <c r="A963" s="6" t="n"/>
      <c r="B963" s="6" t="n"/>
      <c r="C963" s="19" t="n"/>
      <c r="D963" s="19" t="n"/>
      <c r="E963" s="6" t="n"/>
      <c r="F963" s="20" t="n"/>
      <c r="G963" s="9">
        <f>IF($F963="","",IF($F963&gt;0,ROUND($F963,2),""))</f>
        <v/>
      </c>
      <c r="H963" s="12">
        <f>IF(OR($B963="",$C963="",$G963=""),"",COUNTIFS(Ventes_Encaissements!$E$6:$E$3005,$B963,Ventes_Encaissements!$J$6:$J$3005,$G963,Ventes_Encaissements!$C$6:$C$3005,"&gt;="&amp;($C963-3),Ventes_Encaissements!$C$6:$C$3005,"&lt;="&amp;($C963+3)))</f>
        <v/>
      </c>
      <c r="I963" s="12">
        <f>IF($H963="","",IF($H963=0,"Non trouvé",IF($H963=1,"Match","À vérifier")))</f>
        <v/>
      </c>
      <c r="J963" s="21">
        <f>IF($I963&lt;&gt;"Match","",INDEX(Ventes_Encaissements!$B$6:$B$3005,_xludf.AGGREGATE(15,6,(ROW(Ventes_Encaissements!$B$6:$B$3005)-ROW(Ventes_Encaissements!$B$6)+1)/((Ventes_Encaissements!$E$6:$E$3005=$B963)*(Ventes_Encaissements!$J$6:$J$3005=$G963)*(Ventes_Encaissements!$C$6:$C$3005&gt;=$C963-3)*(Ventes_Encaissements!$C$6:$C$3005&lt;=$C963+3)),1)))</f>
        <v/>
      </c>
      <c r="K963" s="6" t="n"/>
    </row>
    <row r="964">
      <c r="A964" s="6" t="n"/>
      <c r="B964" s="6" t="n"/>
      <c r="C964" s="19" t="n"/>
      <c r="D964" s="19" t="n"/>
      <c r="E964" s="6" t="n"/>
      <c r="F964" s="20" t="n"/>
      <c r="G964" s="9">
        <f>IF($F964="","",IF($F964&gt;0,ROUND($F964,2),""))</f>
        <v/>
      </c>
      <c r="H964" s="12">
        <f>IF(OR($B964="",$C964="",$G964=""),"",COUNTIFS(Ventes_Encaissements!$E$6:$E$3005,$B964,Ventes_Encaissements!$J$6:$J$3005,$G964,Ventes_Encaissements!$C$6:$C$3005,"&gt;="&amp;($C964-3),Ventes_Encaissements!$C$6:$C$3005,"&lt;="&amp;($C964+3)))</f>
        <v/>
      </c>
      <c r="I964" s="12">
        <f>IF($H964="","",IF($H964=0,"Non trouvé",IF($H964=1,"Match","À vérifier")))</f>
        <v/>
      </c>
      <c r="J964" s="21">
        <f>IF($I964&lt;&gt;"Match","",INDEX(Ventes_Encaissements!$B$6:$B$3005,_xludf.AGGREGATE(15,6,(ROW(Ventes_Encaissements!$B$6:$B$3005)-ROW(Ventes_Encaissements!$B$6)+1)/((Ventes_Encaissements!$E$6:$E$3005=$B964)*(Ventes_Encaissements!$J$6:$J$3005=$G964)*(Ventes_Encaissements!$C$6:$C$3005&gt;=$C964-3)*(Ventes_Encaissements!$C$6:$C$3005&lt;=$C964+3)),1)))</f>
        <v/>
      </c>
      <c r="K964" s="6" t="n"/>
    </row>
    <row r="965">
      <c r="A965" s="6" t="n"/>
      <c r="B965" s="6" t="n"/>
      <c r="C965" s="19" t="n"/>
      <c r="D965" s="19" t="n"/>
      <c r="E965" s="6" t="n"/>
      <c r="F965" s="20" t="n"/>
      <c r="G965" s="9">
        <f>IF($F965="","",IF($F965&gt;0,ROUND($F965,2),""))</f>
        <v/>
      </c>
      <c r="H965" s="12">
        <f>IF(OR($B965="",$C965="",$G965=""),"",COUNTIFS(Ventes_Encaissements!$E$6:$E$3005,$B965,Ventes_Encaissements!$J$6:$J$3005,$G965,Ventes_Encaissements!$C$6:$C$3005,"&gt;="&amp;($C965-3),Ventes_Encaissements!$C$6:$C$3005,"&lt;="&amp;($C965+3)))</f>
        <v/>
      </c>
      <c r="I965" s="12">
        <f>IF($H965="","",IF($H965=0,"Non trouvé",IF($H965=1,"Match","À vérifier")))</f>
        <v/>
      </c>
      <c r="J965" s="21">
        <f>IF($I965&lt;&gt;"Match","",INDEX(Ventes_Encaissements!$B$6:$B$3005,_xludf.AGGREGATE(15,6,(ROW(Ventes_Encaissements!$B$6:$B$3005)-ROW(Ventes_Encaissements!$B$6)+1)/((Ventes_Encaissements!$E$6:$E$3005=$B965)*(Ventes_Encaissements!$J$6:$J$3005=$G965)*(Ventes_Encaissements!$C$6:$C$3005&gt;=$C965-3)*(Ventes_Encaissements!$C$6:$C$3005&lt;=$C965+3)),1)))</f>
        <v/>
      </c>
      <c r="K965" s="6" t="n"/>
    </row>
    <row r="966">
      <c r="A966" s="6" t="n"/>
      <c r="B966" s="6" t="n"/>
      <c r="C966" s="19" t="n"/>
      <c r="D966" s="19" t="n"/>
      <c r="E966" s="6" t="n"/>
      <c r="F966" s="20" t="n"/>
      <c r="G966" s="9">
        <f>IF($F966="","",IF($F966&gt;0,ROUND($F966,2),""))</f>
        <v/>
      </c>
      <c r="H966" s="12">
        <f>IF(OR($B966="",$C966="",$G966=""),"",COUNTIFS(Ventes_Encaissements!$E$6:$E$3005,$B966,Ventes_Encaissements!$J$6:$J$3005,$G966,Ventes_Encaissements!$C$6:$C$3005,"&gt;="&amp;($C966-3),Ventes_Encaissements!$C$6:$C$3005,"&lt;="&amp;($C966+3)))</f>
        <v/>
      </c>
      <c r="I966" s="12">
        <f>IF($H966="","",IF($H966=0,"Non trouvé",IF($H966=1,"Match","À vérifier")))</f>
        <v/>
      </c>
      <c r="J966" s="21">
        <f>IF($I966&lt;&gt;"Match","",INDEX(Ventes_Encaissements!$B$6:$B$3005,_xludf.AGGREGATE(15,6,(ROW(Ventes_Encaissements!$B$6:$B$3005)-ROW(Ventes_Encaissements!$B$6)+1)/((Ventes_Encaissements!$E$6:$E$3005=$B966)*(Ventes_Encaissements!$J$6:$J$3005=$G966)*(Ventes_Encaissements!$C$6:$C$3005&gt;=$C966-3)*(Ventes_Encaissements!$C$6:$C$3005&lt;=$C966+3)),1)))</f>
        <v/>
      </c>
      <c r="K966" s="6" t="n"/>
    </row>
    <row r="967">
      <c r="A967" s="6" t="n"/>
      <c r="B967" s="6" t="n"/>
      <c r="C967" s="19" t="n"/>
      <c r="D967" s="19" t="n"/>
      <c r="E967" s="6" t="n"/>
      <c r="F967" s="20" t="n"/>
      <c r="G967" s="9">
        <f>IF($F967="","",IF($F967&gt;0,ROUND($F967,2),""))</f>
        <v/>
      </c>
      <c r="H967" s="12">
        <f>IF(OR($B967="",$C967="",$G967=""),"",COUNTIFS(Ventes_Encaissements!$E$6:$E$3005,$B967,Ventes_Encaissements!$J$6:$J$3005,$G967,Ventes_Encaissements!$C$6:$C$3005,"&gt;="&amp;($C967-3),Ventes_Encaissements!$C$6:$C$3005,"&lt;="&amp;($C967+3)))</f>
        <v/>
      </c>
      <c r="I967" s="12">
        <f>IF($H967="","",IF($H967=0,"Non trouvé",IF($H967=1,"Match","À vérifier")))</f>
        <v/>
      </c>
      <c r="J967" s="21">
        <f>IF($I967&lt;&gt;"Match","",INDEX(Ventes_Encaissements!$B$6:$B$3005,_xludf.AGGREGATE(15,6,(ROW(Ventes_Encaissements!$B$6:$B$3005)-ROW(Ventes_Encaissements!$B$6)+1)/((Ventes_Encaissements!$E$6:$E$3005=$B967)*(Ventes_Encaissements!$J$6:$J$3005=$G967)*(Ventes_Encaissements!$C$6:$C$3005&gt;=$C967-3)*(Ventes_Encaissements!$C$6:$C$3005&lt;=$C967+3)),1)))</f>
        <v/>
      </c>
      <c r="K967" s="6" t="n"/>
    </row>
    <row r="968">
      <c r="A968" s="6" t="n"/>
      <c r="B968" s="6" t="n"/>
      <c r="C968" s="19" t="n"/>
      <c r="D968" s="19" t="n"/>
      <c r="E968" s="6" t="n"/>
      <c r="F968" s="20" t="n"/>
      <c r="G968" s="9">
        <f>IF($F968="","",IF($F968&gt;0,ROUND($F968,2),""))</f>
        <v/>
      </c>
      <c r="H968" s="12">
        <f>IF(OR($B968="",$C968="",$G968=""),"",COUNTIFS(Ventes_Encaissements!$E$6:$E$3005,$B968,Ventes_Encaissements!$J$6:$J$3005,$G968,Ventes_Encaissements!$C$6:$C$3005,"&gt;="&amp;($C968-3),Ventes_Encaissements!$C$6:$C$3005,"&lt;="&amp;($C968+3)))</f>
        <v/>
      </c>
      <c r="I968" s="12">
        <f>IF($H968="","",IF($H968=0,"Non trouvé",IF($H968=1,"Match","À vérifier")))</f>
        <v/>
      </c>
      <c r="J968" s="21">
        <f>IF($I968&lt;&gt;"Match","",INDEX(Ventes_Encaissements!$B$6:$B$3005,_xludf.AGGREGATE(15,6,(ROW(Ventes_Encaissements!$B$6:$B$3005)-ROW(Ventes_Encaissements!$B$6)+1)/((Ventes_Encaissements!$E$6:$E$3005=$B968)*(Ventes_Encaissements!$J$6:$J$3005=$G968)*(Ventes_Encaissements!$C$6:$C$3005&gt;=$C968-3)*(Ventes_Encaissements!$C$6:$C$3005&lt;=$C968+3)),1)))</f>
        <v/>
      </c>
      <c r="K968" s="6" t="n"/>
    </row>
    <row r="969">
      <c r="A969" s="6" t="n"/>
      <c r="B969" s="6" t="n"/>
      <c r="C969" s="19" t="n"/>
      <c r="D969" s="19" t="n"/>
      <c r="E969" s="6" t="n"/>
      <c r="F969" s="20" t="n"/>
      <c r="G969" s="9">
        <f>IF($F969="","",IF($F969&gt;0,ROUND($F969,2),""))</f>
        <v/>
      </c>
      <c r="H969" s="12">
        <f>IF(OR($B969="",$C969="",$G969=""),"",COUNTIFS(Ventes_Encaissements!$E$6:$E$3005,$B969,Ventes_Encaissements!$J$6:$J$3005,$G969,Ventes_Encaissements!$C$6:$C$3005,"&gt;="&amp;($C969-3),Ventes_Encaissements!$C$6:$C$3005,"&lt;="&amp;($C969+3)))</f>
        <v/>
      </c>
      <c r="I969" s="12">
        <f>IF($H969="","",IF($H969=0,"Non trouvé",IF($H969=1,"Match","À vérifier")))</f>
        <v/>
      </c>
      <c r="J969" s="21">
        <f>IF($I969&lt;&gt;"Match","",INDEX(Ventes_Encaissements!$B$6:$B$3005,_xludf.AGGREGATE(15,6,(ROW(Ventes_Encaissements!$B$6:$B$3005)-ROW(Ventes_Encaissements!$B$6)+1)/((Ventes_Encaissements!$E$6:$E$3005=$B969)*(Ventes_Encaissements!$J$6:$J$3005=$G969)*(Ventes_Encaissements!$C$6:$C$3005&gt;=$C969-3)*(Ventes_Encaissements!$C$6:$C$3005&lt;=$C969+3)),1)))</f>
        <v/>
      </c>
      <c r="K969" s="6" t="n"/>
    </row>
    <row r="970">
      <c r="A970" s="6" t="n"/>
      <c r="B970" s="6" t="n"/>
      <c r="C970" s="19" t="n"/>
      <c r="D970" s="19" t="n"/>
      <c r="E970" s="6" t="n"/>
      <c r="F970" s="20" t="n"/>
      <c r="G970" s="9">
        <f>IF($F970="","",IF($F970&gt;0,ROUND($F970,2),""))</f>
        <v/>
      </c>
      <c r="H970" s="12">
        <f>IF(OR($B970="",$C970="",$G970=""),"",COUNTIFS(Ventes_Encaissements!$E$6:$E$3005,$B970,Ventes_Encaissements!$J$6:$J$3005,$G970,Ventes_Encaissements!$C$6:$C$3005,"&gt;="&amp;($C970-3),Ventes_Encaissements!$C$6:$C$3005,"&lt;="&amp;($C970+3)))</f>
        <v/>
      </c>
      <c r="I970" s="12">
        <f>IF($H970="","",IF($H970=0,"Non trouvé",IF($H970=1,"Match","À vérifier")))</f>
        <v/>
      </c>
      <c r="J970" s="21">
        <f>IF($I970&lt;&gt;"Match","",INDEX(Ventes_Encaissements!$B$6:$B$3005,_xludf.AGGREGATE(15,6,(ROW(Ventes_Encaissements!$B$6:$B$3005)-ROW(Ventes_Encaissements!$B$6)+1)/((Ventes_Encaissements!$E$6:$E$3005=$B970)*(Ventes_Encaissements!$J$6:$J$3005=$G970)*(Ventes_Encaissements!$C$6:$C$3005&gt;=$C970-3)*(Ventes_Encaissements!$C$6:$C$3005&lt;=$C970+3)),1)))</f>
        <v/>
      </c>
      <c r="K970" s="6" t="n"/>
    </row>
    <row r="971">
      <c r="A971" s="6" t="n"/>
      <c r="B971" s="6" t="n"/>
      <c r="C971" s="19" t="n"/>
      <c r="D971" s="19" t="n"/>
      <c r="E971" s="6" t="n"/>
      <c r="F971" s="20" t="n"/>
      <c r="G971" s="9">
        <f>IF($F971="","",IF($F971&gt;0,ROUND($F971,2),""))</f>
        <v/>
      </c>
      <c r="H971" s="12">
        <f>IF(OR($B971="",$C971="",$G971=""),"",COUNTIFS(Ventes_Encaissements!$E$6:$E$3005,$B971,Ventes_Encaissements!$J$6:$J$3005,$G971,Ventes_Encaissements!$C$6:$C$3005,"&gt;="&amp;($C971-3),Ventes_Encaissements!$C$6:$C$3005,"&lt;="&amp;($C971+3)))</f>
        <v/>
      </c>
      <c r="I971" s="12">
        <f>IF($H971="","",IF($H971=0,"Non trouvé",IF($H971=1,"Match","À vérifier")))</f>
        <v/>
      </c>
      <c r="J971" s="21">
        <f>IF($I971&lt;&gt;"Match","",INDEX(Ventes_Encaissements!$B$6:$B$3005,_xludf.AGGREGATE(15,6,(ROW(Ventes_Encaissements!$B$6:$B$3005)-ROW(Ventes_Encaissements!$B$6)+1)/((Ventes_Encaissements!$E$6:$E$3005=$B971)*(Ventes_Encaissements!$J$6:$J$3005=$G971)*(Ventes_Encaissements!$C$6:$C$3005&gt;=$C971-3)*(Ventes_Encaissements!$C$6:$C$3005&lt;=$C971+3)),1)))</f>
        <v/>
      </c>
      <c r="K971" s="6" t="n"/>
    </row>
    <row r="972">
      <c r="A972" s="6" t="n"/>
      <c r="B972" s="6" t="n"/>
      <c r="C972" s="19" t="n"/>
      <c r="D972" s="19" t="n"/>
      <c r="E972" s="6" t="n"/>
      <c r="F972" s="20" t="n"/>
      <c r="G972" s="9">
        <f>IF($F972="","",IF($F972&gt;0,ROUND($F972,2),""))</f>
        <v/>
      </c>
      <c r="H972" s="12">
        <f>IF(OR($B972="",$C972="",$G972=""),"",COUNTIFS(Ventes_Encaissements!$E$6:$E$3005,$B972,Ventes_Encaissements!$J$6:$J$3005,$G972,Ventes_Encaissements!$C$6:$C$3005,"&gt;="&amp;($C972-3),Ventes_Encaissements!$C$6:$C$3005,"&lt;="&amp;($C972+3)))</f>
        <v/>
      </c>
      <c r="I972" s="12">
        <f>IF($H972="","",IF($H972=0,"Non trouvé",IF($H972=1,"Match","À vérifier")))</f>
        <v/>
      </c>
      <c r="J972" s="21">
        <f>IF($I972&lt;&gt;"Match","",INDEX(Ventes_Encaissements!$B$6:$B$3005,_xludf.AGGREGATE(15,6,(ROW(Ventes_Encaissements!$B$6:$B$3005)-ROW(Ventes_Encaissements!$B$6)+1)/((Ventes_Encaissements!$E$6:$E$3005=$B972)*(Ventes_Encaissements!$J$6:$J$3005=$G972)*(Ventes_Encaissements!$C$6:$C$3005&gt;=$C972-3)*(Ventes_Encaissements!$C$6:$C$3005&lt;=$C972+3)),1)))</f>
        <v/>
      </c>
      <c r="K972" s="6" t="n"/>
    </row>
    <row r="973">
      <c r="A973" s="6" t="n"/>
      <c r="B973" s="6" t="n"/>
      <c r="C973" s="19" t="n"/>
      <c r="D973" s="19" t="n"/>
      <c r="E973" s="6" t="n"/>
      <c r="F973" s="20" t="n"/>
      <c r="G973" s="9">
        <f>IF($F973="","",IF($F973&gt;0,ROUND($F973,2),""))</f>
        <v/>
      </c>
      <c r="H973" s="12">
        <f>IF(OR($B973="",$C973="",$G973=""),"",COUNTIFS(Ventes_Encaissements!$E$6:$E$3005,$B973,Ventes_Encaissements!$J$6:$J$3005,$G973,Ventes_Encaissements!$C$6:$C$3005,"&gt;="&amp;($C973-3),Ventes_Encaissements!$C$6:$C$3005,"&lt;="&amp;($C973+3)))</f>
        <v/>
      </c>
      <c r="I973" s="12">
        <f>IF($H973="","",IF($H973=0,"Non trouvé",IF($H973=1,"Match","À vérifier")))</f>
        <v/>
      </c>
      <c r="J973" s="21">
        <f>IF($I973&lt;&gt;"Match","",INDEX(Ventes_Encaissements!$B$6:$B$3005,_xludf.AGGREGATE(15,6,(ROW(Ventes_Encaissements!$B$6:$B$3005)-ROW(Ventes_Encaissements!$B$6)+1)/((Ventes_Encaissements!$E$6:$E$3005=$B973)*(Ventes_Encaissements!$J$6:$J$3005=$G973)*(Ventes_Encaissements!$C$6:$C$3005&gt;=$C973-3)*(Ventes_Encaissements!$C$6:$C$3005&lt;=$C973+3)),1)))</f>
        <v/>
      </c>
      <c r="K973" s="6" t="n"/>
    </row>
    <row r="974">
      <c r="A974" s="6" t="n"/>
      <c r="B974" s="6" t="n"/>
      <c r="C974" s="19" t="n"/>
      <c r="D974" s="19" t="n"/>
      <c r="E974" s="6" t="n"/>
      <c r="F974" s="20" t="n"/>
      <c r="G974" s="9">
        <f>IF($F974="","",IF($F974&gt;0,ROUND($F974,2),""))</f>
        <v/>
      </c>
      <c r="H974" s="12">
        <f>IF(OR($B974="",$C974="",$G974=""),"",COUNTIFS(Ventes_Encaissements!$E$6:$E$3005,$B974,Ventes_Encaissements!$J$6:$J$3005,$G974,Ventes_Encaissements!$C$6:$C$3005,"&gt;="&amp;($C974-3),Ventes_Encaissements!$C$6:$C$3005,"&lt;="&amp;($C974+3)))</f>
        <v/>
      </c>
      <c r="I974" s="12">
        <f>IF($H974="","",IF($H974=0,"Non trouvé",IF($H974=1,"Match","À vérifier")))</f>
        <v/>
      </c>
      <c r="J974" s="21">
        <f>IF($I974&lt;&gt;"Match","",INDEX(Ventes_Encaissements!$B$6:$B$3005,_xludf.AGGREGATE(15,6,(ROW(Ventes_Encaissements!$B$6:$B$3005)-ROW(Ventes_Encaissements!$B$6)+1)/((Ventes_Encaissements!$E$6:$E$3005=$B974)*(Ventes_Encaissements!$J$6:$J$3005=$G974)*(Ventes_Encaissements!$C$6:$C$3005&gt;=$C974-3)*(Ventes_Encaissements!$C$6:$C$3005&lt;=$C974+3)),1)))</f>
        <v/>
      </c>
      <c r="K974" s="6" t="n"/>
    </row>
    <row r="975">
      <c r="A975" s="6" t="n"/>
      <c r="B975" s="6" t="n"/>
      <c r="C975" s="19" t="n"/>
      <c r="D975" s="19" t="n"/>
      <c r="E975" s="6" t="n"/>
      <c r="F975" s="20" t="n"/>
      <c r="G975" s="9">
        <f>IF($F975="","",IF($F975&gt;0,ROUND($F975,2),""))</f>
        <v/>
      </c>
      <c r="H975" s="12">
        <f>IF(OR($B975="",$C975="",$G975=""),"",COUNTIFS(Ventes_Encaissements!$E$6:$E$3005,$B975,Ventes_Encaissements!$J$6:$J$3005,$G975,Ventes_Encaissements!$C$6:$C$3005,"&gt;="&amp;($C975-3),Ventes_Encaissements!$C$6:$C$3005,"&lt;="&amp;($C975+3)))</f>
        <v/>
      </c>
      <c r="I975" s="12">
        <f>IF($H975="","",IF($H975=0,"Non trouvé",IF($H975=1,"Match","À vérifier")))</f>
        <v/>
      </c>
      <c r="J975" s="21">
        <f>IF($I975&lt;&gt;"Match","",INDEX(Ventes_Encaissements!$B$6:$B$3005,_xludf.AGGREGATE(15,6,(ROW(Ventes_Encaissements!$B$6:$B$3005)-ROW(Ventes_Encaissements!$B$6)+1)/((Ventes_Encaissements!$E$6:$E$3005=$B975)*(Ventes_Encaissements!$J$6:$J$3005=$G975)*(Ventes_Encaissements!$C$6:$C$3005&gt;=$C975-3)*(Ventes_Encaissements!$C$6:$C$3005&lt;=$C975+3)),1)))</f>
        <v/>
      </c>
      <c r="K975" s="6" t="n"/>
    </row>
    <row r="976">
      <c r="A976" s="6" t="n"/>
      <c r="B976" s="6" t="n"/>
      <c r="C976" s="19" t="n"/>
      <c r="D976" s="19" t="n"/>
      <c r="E976" s="6" t="n"/>
      <c r="F976" s="20" t="n"/>
      <c r="G976" s="9">
        <f>IF($F976="","",IF($F976&gt;0,ROUND($F976,2),""))</f>
        <v/>
      </c>
      <c r="H976" s="12">
        <f>IF(OR($B976="",$C976="",$G976=""),"",COUNTIFS(Ventes_Encaissements!$E$6:$E$3005,$B976,Ventes_Encaissements!$J$6:$J$3005,$G976,Ventes_Encaissements!$C$6:$C$3005,"&gt;="&amp;($C976-3),Ventes_Encaissements!$C$6:$C$3005,"&lt;="&amp;($C976+3)))</f>
        <v/>
      </c>
      <c r="I976" s="12">
        <f>IF($H976="","",IF($H976=0,"Non trouvé",IF($H976=1,"Match","À vérifier")))</f>
        <v/>
      </c>
      <c r="J976" s="21">
        <f>IF($I976&lt;&gt;"Match","",INDEX(Ventes_Encaissements!$B$6:$B$3005,_xludf.AGGREGATE(15,6,(ROW(Ventes_Encaissements!$B$6:$B$3005)-ROW(Ventes_Encaissements!$B$6)+1)/((Ventes_Encaissements!$E$6:$E$3005=$B976)*(Ventes_Encaissements!$J$6:$J$3005=$G976)*(Ventes_Encaissements!$C$6:$C$3005&gt;=$C976-3)*(Ventes_Encaissements!$C$6:$C$3005&lt;=$C976+3)),1)))</f>
        <v/>
      </c>
      <c r="K976" s="6" t="n"/>
    </row>
    <row r="977">
      <c r="A977" s="6" t="n"/>
      <c r="B977" s="6" t="n"/>
      <c r="C977" s="19" t="n"/>
      <c r="D977" s="19" t="n"/>
      <c r="E977" s="6" t="n"/>
      <c r="F977" s="20" t="n"/>
      <c r="G977" s="9">
        <f>IF($F977="","",IF($F977&gt;0,ROUND($F977,2),""))</f>
        <v/>
      </c>
      <c r="H977" s="12">
        <f>IF(OR($B977="",$C977="",$G977=""),"",COUNTIFS(Ventes_Encaissements!$E$6:$E$3005,$B977,Ventes_Encaissements!$J$6:$J$3005,$G977,Ventes_Encaissements!$C$6:$C$3005,"&gt;="&amp;($C977-3),Ventes_Encaissements!$C$6:$C$3005,"&lt;="&amp;($C977+3)))</f>
        <v/>
      </c>
      <c r="I977" s="12">
        <f>IF($H977="","",IF($H977=0,"Non trouvé",IF($H977=1,"Match","À vérifier")))</f>
        <v/>
      </c>
      <c r="J977" s="21">
        <f>IF($I977&lt;&gt;"Match","",INDEX(Ventes_Encaissements!$B$6:$B$3005,_xludf.AGGREGATE(15,6,(ROW(Ventes_Encaissements!$B$6:$B$3005)-ROW(Ventes_Encaissements!$B$6)+1)/((Ventes_Encaissements!$E$6:$E$3005=$B977)*(Ventes_Encaissements!$J$6:$J$3005=$G977)*(Ventes_Encaissements!$C$6:$C$3005&gt;=$C977-3)*(Ventes_Encaissements!$C$6:$C$3005&lt;=$C977+3)),1)))</f>
        <v/>
      </c>
      <c r="K977" s="6" t="n"/>
    </row>
    <row r="978">
      <c r="A978" s="6" t="n"/>
      <c r="B978" s="6" t="n"/>
      <c r="C978" s="19" t="n"/>
      <c r="D978" s="19" t="n"/>
      <c r="E978" s="6" t="n"/>
      <c r="F978" s="20" t="n"/>
      <c r="G978" s="9">
        <f>IF($F978="","",IF($F978&gt;0,ROUND($F978,2),""))</f>
        <v/>
      </c>
      <c r="H978" s="12">
        <f>IF(OR($B978="",$C978="",$G978=""),"",COUNTIFS(Ventes_Encaissements!$E$6:$E$3005,$B978,Ventes_Encaissements!$J$6:$J$3005,$G978,Ventes_Encaissements!$C$6:$C$3005,"&gt;="&amp;($C978-3),Ventes_Encaissements!$C$6:$C$3005,"&lt;="&amp;($C978+3)))</f>
        <v/>
      </c>
      <c r="I978" s="12">
        <f>IF($H978="","",IF($H978=0,"Non trouvé",IF($H978=1,"Match","À vérifier")))</f>
        <v/>
      </c>
      <c r="J978" s="21">
        <f>IF($I978&lt;&gt;"Match","",INDEX(Ventes_Encaissements!$B$6:$B$3005,_xludf.AGGREGATE(15,6,(ROW(Ventes_Encaissements!$B$6:$B$3005)-ROW(Ventes_Encaissements!$B$6)+1)/((Ventes_Encaissements!$E$6:$E$3005=$B978)*(Ventes_Encaissements!$J$6:$J$3005=$G978)*(Ventes_Encaissements!$C$6:$C$3005&gt;=$C978-3)*(Ventes_Encaissements!$C$6:$C$3005&lt;=$C978+3)),1)))</f>
        <v/>
      </c>
      <c r="K978" s="6" t="n"/>
    </row>
    <row r="979">
      <c r="A979" s="6" t="n"/>
      <c r="B979" s="6" t="n"/>
      <c r="C979" s="19" t="n"/>
      <c r="D979" s="19" t="n"/>
      <c r="E979" s="6" t="n"/>
      <c r="F979" s="20" t="n"/>
      <c r="G979" s="9">
        <f>IF($F979="","",IF($F979&gt;0,ROUND($F979,2),""))</f>
        <v/>
      </c>
      <c r="H979" s="12">
        <f>IF(OR($B979="",$C979="",$G979=""),"",COUNTIFS(Ventes_Encaissements!$E$6:$E$3005,$B979,Ventes_Encaissements!$J$6:$J$3005,$G979,Ventes_Encaissements!$C$6:$C$3005,"&gt;="&amp;($C979-3),Ventes_Encaissements!$C$6:$C$3005,"&lt;="&amp;($C979+3)))</f>
        <v/>
      </c>
      <c r="I979" s="12">
        <f>IF($H979="","",IF($H979=0,"Non trouvé",IF($H979=1,"Match","À vérifier")))</f>
        <v/>
      </c>
      <c r="J979" s="21">
        <f>IF($I979&lt;&gt;"Match","",INDEX(Ventes_Encaissements!$B$6:$B$3005,_xludf.AGGREGATE(15,6,(ROW(Ventes_Encaissements!$B$6:$B$3005)-ROW(Ventes_Encaissements!$B$6)+1)/((Ventes_Encaissements!$E$6:$E$3005=$B979)*(Ventes_Encaissements!$J$6:$J$3005=$G979)*(Ventes_Encaissements!$C$6:$C$3005&gt;=$C979-3)*(Ventes_Encaissements!$C$6:$C$3005&lt;=$C979+3)),1)))</f>
        <v/>
      </c>
      <c r="K979" s="6" t="n"/>
    </row>
    <row r="980">
      <c r="A980" s="6" t="n"/>
      <c r="B980" s="6" t="n"/>
      <c r="C980" s="19" t="n"/>
      <c r="D980" s="19" t="n"/>
      <c r="E980" s="6" t="n"/>
      <c r="F980" s="20" t="n"/>
      <c r="G980" s="9">
        <f>IF($F980="","",IF($F980&gt;0,ROUND($F980,2),""))</f>
        <v/>
      </c>
      <c r="H980" s="12">
        <f>IF(OR($B980="",$C980="",$G980=""),"",COUNTIFS(Ventes_Encaissements!$E$6:$E$3005,$B980,Ventes_Encaissements!$J$6:$J$3005,$G980,Ventes_Encaissements!$C$6:$C$3005,"&gt;="&amp;($C980-3),Ventes_Encaissements!$C$6:$C$3005,"&lt;="&amp;($C980+3)))</f>
        <v/>
      </c>
      <c r="I980" s="12">
        <f>IF($H980="","",IF($H980=0,"Non trouvé",IF($H980=1,"Match","À vérifier")))</f>
        <v/>
      </c>
      <c r="J980" s="21">
        <f>IF($I980&lt;&gt;"Match","",INDEX(Ventes_Encaissements!$B$6:$B$3005,_xludf.AGGREGATE(15,6,(ROW(Ventes_Encaissements!$B$6:$B$3005)-ROW(Ventes_Encaissements!$B$6)+1)/((Ventes_Encaissements!$E$6:$E$3005=$B980)*(Ventes_Encaissements!$J$6:$J$3005=$G980)*(Ventes_Encaissements!$C$6:$C$3005&gt;=$C980-3)*(Ventes_Encaissements!$C$6:$C$3005&lt;=$C980+3)),1)))</f>
        <v/>
      </c>
      <c r="K980" s="6" t="n"/>
    </row>
    <row r="981">
      <c r="A981" s="6" t="n"/>
      <c r="B981" s="6" t="n"/>
      <c r="C981" s="19" t="n"/>
      <c r="D981" s="19" t="n"/>
      <c r="E981" s="6" t="n"/>
      <c r="F981" s="20" t="n"/>
      <c r="G981" s="9">
        <f>IF($F981="","",IF($F981&gt;0,ROUND($F981,2),""))</f>
        <v/>
      </c>
      <c r="H981" s="12">
        <f>IF(OR($B981="",$C981="",$G981=""),"",COUNTIFS(Ventes_Encaissements!$E$6:$E$3005,$B981,Ventes_Encaissements!$J$6:$J$3005,$G981,Ventes_Encaissements!$C$6:$C$3005,"&gt;="&amp;($C981-3),Ventes_Encaissements!$C$6:$C$3005,"&lt;="&amp;($C981+3)))</f>
        <v/>
      </c>
      <c r="I981" s="12">
        <f>IF($H981="","",IF($H981=0,"Non trouvé",IF($H981=1,"Match","À vérifier")))</f>
        <v/>
      </c>
      <c r="J981" s="21">
        <f>IF($I981&lt;&gt;"Match","",INDEX(Ventes_Encaissements!$B$6:$B$3005,_xludf.AGGREGATE(15,6,(ROW(Ventes_Encaissements!$B$6:$B$3005)-ROW(Ventes_Encaissements!$B$6)+1)/((Ventes_Encaissements!$E$6:$E$3005=$B981)*(Ventes_Encaissements!$J$6:$J$3005=$G981)*(Ventes_Encaissements!$C$6:$C$3005&gt;=$C981-3)*(Ventes_Encaissements!$C$6:$C$3005&lt;=$C981+3)),1)))</f>
        <v/>
      </c>
      <c r="K981" s="6" t="n"/>
    </row>
    <row r="982">
      <c r="A982" s="6" t="n"/>
      <c r="B982" s="6" t="n"/>
      <c r="C982" s="19" t="n"/>
      <c r="D982" s="19" t="n"/>
      <c r="E982" s="6" t="n"/>
      <c r="F982" s="20" t="n"/>
      <c r="G982" s="9">
        <f>IF($F982="","",IF($F982&gt;0,ROUND($F982,2),""))</f>
        <v/>
      </c>
      <c r="H982" s="12">
        <f>IF(OR($B982="",$C982="",$G982=""),"",COUNTIFS(Ventes_Encaissements!$E$6:$E$3005,$B982,Ventes_Encaissements!$J$6:$J$3005,$G982,Ventes_Encaissements!$C$6:$C$3005,"&gt;="&amp;($C982-3),Ventes_Encaissements!$C$6:$C$3005,"&lt;="&amp;($C982+3)))</f>
        <v/>
      </c>
      <c r="I982" s="12">
        <f>IF($H982="","",IF($H982=0,"Non trouvé",IF($H982=1,"Match","À vérifier")))</f>
        <v/>
      </c>
      <c r="J982" s="21">
        <f>IF($I982&lt;&gt;"Match","",INDEX(Ventes_Encaissements!$B$6:$B$3005,_xludf.AGGREGATE(15,6,(ROW(Ventes_Encaissements!$B$6:$B$3005)-ROW(Ventes_Encaissements!$B$6)+1)/((Ventes_Encaissements!$E$6:$E$3005=$B982)*(Ventes_Encaissements!$J$6:$J$3005=$G982)*(Ventes_Encaissements!$C$6:$C$3005&gt;=$C982-3)*(Ventes_Encaissements!$C$6:$C$3005&lt;=$C982+3)),1)))</f>
        <v/>
      </c>
      <c r="K982" s="6" t="n"/>
    </row>
    <row r="983">
      <c r="A983" s="6" t="n"/>
      <c r="B983" s="6" t="n"/>
      <c r="C983" s="19" t="n"/>
      <c r="D983" s="19" t="n"/>
      <c r="E983" s="6" t="n"/>
      <c r="F983" s="20" t="n"/>
      <c r="G983" s="9">
        <f>IF($F983="","",IF($F983&gt;0,ROUND($F983,2),""))</f>
        <v/>
      </c>
      <c r="H983" s="12">
        <f>IF(OR($B983="",$C983="",$G983=""),"",COUNTIFS(Ventes_Encaissements!$E$6:$E$3005,$B983,Ventes_Encaissements!$J$6:$J$3005,$G983,Ventes_Encaissements!$C$6:$C$3005,"&gt;="&amp;($C983-3),Ventes_Encaissements!$C$6:$C$3005,"&lt;="&amp;($C983+3)))</f>
        <v/>
      </c>
      <c r="I983" s="12">
        <f>IF($H983="","",IF($H983=0,"Non trouvé",IF($H983=1,"Match","À vérifier")))</f>
        <v/>
      </c>
      <c r="J983" s="21">
        <f>IF($I983&lt;&gt;"Match","",INDEX(Ventes_Encaissements!$B$6:$B$3005,_xludf.AGGREGATE(15,6,(ROW(Ventes_Encaissements!$B$6:$B$3005)-ROW(Ventes_Encaissements!$B$6)+1)/((Ventes_Encaissements!$E$6:$E$3005=$B983)*(Ventes_Encaissements!$J$6:$J$3005=$G983)*(Ventes_Encaissements!$C$6:$C$3005&gt;=$C983-3)*(Ventes_Encaissements!$C$6:$C$3005&lt;=$C983+3)),1)))</f>
        <v/>
      </c>
      <c r="K983" s="6" t="n"/>
    </row>
    <row r="984">
      <c r="A984" s="6" t="n"/>
      <c r="B984" s="6" t="n"/>
      <c r="C984" s="19" t="n"/>
      <c r="D984" s="19" t="n"/>
      <c r="E984" s="6" t="n"/>
      <c r="F984" s="20" t="n"/>
      <c r="G984" s="9">
        <f>IF($F984="","",IF($F984&gt;0,ROUND($F984,2),""))</f>
        <v/>
      </c>
      <c r="H984" s="12">
        <f>IF(OR($B984="",$C984="",$G984=""),"",COUNTIFS(Ventes_Encaissements!$E$6:$E$3005,$B984,Ventes_Encaissements!$J$6:$J$3005,$G984,Ventes_Encaissements!$C$6:$C$3005,"&gt;="&amp;($C984-3),Ventes_Encaissements!$C$6:$C$3005,"&lt;="&amp;($C984+3)))</f>
        <v/>
      </c>
      <c r="I984" s="12">
        <f>IF($H984="","",IF($H984=0,"Non trouvé",IF($H984=1,"Match","À vérifier")))</f>
        <v/>
      </c>
      <c r="J984" s="21">
        <f>IF($I984&lt;&gt;"Match","",INDEX(Ventes_Encaissements!$B$6:$B$3005,_xludf.AGGREGATE(15,6,(ROW(Ventes_Encaissements!$B$6:$B$3005)-ROW(Ventes_Encaissements!$B$6)+1)/((Ventes_Encaissements!$E$6:$E$3005=$B984)*(Ventes_Encaissements!$J$6:$J$3005=$G984)*(Ventes_Encaissements!$C$6:$C$3005&gt;=$C984-3)*(Ventes_Encaissements!$C$6:$C$3005&lt;=$C984+3)),1)))</f>
        <v/>
      </c>
      <c r="K984" s="6" t="n"/>
    </row>
    <row r="985">
      <c r="A985" s="6" t="n"/>
      <c r="B985" s="6" t="n"/>
      <c r="C985" s="19" t="n"/>
      <c r="D985" s="19" t="n"/>
      <c r="E985" s="6" t="n"/>
      <c r="F985" s="20" t="n"/>
      <c r="G985" s="9">
        <f>IF($F985="","",IF($F985&gt;0,ROUND($F985,2),""))</f>
        <v/>
      </c>
      <c r="H985" s="12">
        <f>IF(OR($B985="",$C985="",$G985=""),"",COUNTIFS(Ventes_Encaissements!$E$6:$E$3005,$B985,Ventes_Encaissements!$J$6:$J$3005,$G985,Ventes_Encaissements!$C$6:$C$3005,"&gt;="&amp;($C985-3),Ventes_Encaissements!$C$6:$C$3005,"&lt;="&amp;($C985+3)))</f>
        <v/>
      </c>
      <c r="I985" s="12">
        <f>IF($H985="","",IF($H985=0,"Non trouvé",IF($H985=1,"Match","À vérifier")))</f>
        <v/>
      </c>
      <c r="J985" s="21">
        <f>IF($I985&lt;&gt;"Match","",INDEX(Ventes_Encaissements!$B$6:$B$3005,_xludf.AGGREGATE(15,6,(ROW(Ventes_Encaissements!$B$6:$B$3005)-ROW(Ventes_Encaissements!$B$6)+1)/((Ventes_Encaissements!$E$6:$E$3005=$B985)*(Ventes_Encaissements!$J$6:$J$3005=$G985)*(Ventes_Encaissements!$C$6:$C$3005&gt;=$C985-3)*(Ventes_Encaissements!$C$6:$C$3005&lt;=$C985+3)),1)))</f>
        <v/>
      </c>
      <c r="K985" s="6" t="n"/>
    </row>
    <row r="986">
      <c r="A986" s="6" t="n"/>
      <c r="B986" s="6" t="n"/>
      <c r="C986" s="19" t="n"/>
      <c r="D986" s="19" t="n"/>
      <c r="E986" s="6" t="n"/>
      <c r="F986" s="20" t="n"/>
      <c r="G986" s="9">
        <f>IF($F986="","",IF($F986&gt;0,ROUND($F986,2),""))</f>
        <v/>
      </c>
      <c r="H986" s="12">
        <f>IF(OR($B986="",$C986="",$G986=""),"",COUNTIFS(Ventes_Encaissements!$E$6:$E$3005,$B986,Ventes_Encaissements!$J$6:$J$3005,$G986,Ventes_Encaissements!$C$6:$C$3005,"&gt;="&amp;($C986-3),Ventes_Encaissements!$C$6:$C$3005,"&lt;="&amp;($C986+3)))</f>
        <v/>
      </c>
      <c r="I986" s="12">
        <f>IF($H986="","",IF($H986=0,"Non trouvé",IF($H986=1,"Match","À vérifier")))</f>
        <v/>
      </c>
      <c r="J986" s="21">
        <f>IF($I986&lt;&gt;"Match","",INDEX(Ventes_Encaissements!$B$6:$B$3005,_xludf.AGGREGATE(15,6,(ROW(Ventes_Encaissements!$B$6:$B$3005)-ROW(Ventes_Encaissements!$B$6)+1)/((Ventes_Encaissements!$E$6:$E$3005=$B986)*(Ventes_Encaissements!$J$6:$J$3005=$G986)*(Ventes_Encaissements!$C$6:$C$3005&gt;=$C986-3)*(Ventes_Encaissements!$C$6:$C$3005&lt;=$C986+3)),1)))</f>
        <v/>
      </c>
      <c r="K986" s="6" t="n"/>
    </row>
    <row r="987">
      <c r="A987" s="6" t="n"/>
      <c r="B987" s="6" t="n"/>
      <c r="C987" s="19" t="n"/>
      <c r="D987" s="19" t="n"/>
      <c r="E987" s="6" t="n"/>
      <c r="F987" s="20" t="n"/>
      <c r="G987" s="9">
        <f>IF($F987="","",IF($F987&gt;0,ROUND($F987,2),""))</f>
        <v/>
      </c>
      <c r="H987" s="12">
        <f>IF(OR($B987="",$C987="",$G987=""),"",COUNTIFS(Ventes_Encaissements!$E$6:$E$3005,$B987,Ventes_Encaissements!$J$6:$J$3005,$G987,Ventes_Encaissements!$C$6:$C$3005,"&gt;="&amp;($C987-3),Ventes_Encaissements!$C$6:$C$3005,"&lt;="&amp;($C987+3)))</f>
        <v/>
      </c>
      <c r="I987" s="12">
        <f>IF($H987="","",IF($H987=0,"Non trouvé",IF($H987=1,"Match","À vérifier")))</f>
        <v/>
      </c>
      <c r="J987" s="21">
        <f>IF($I987&lt;&gt;"Match","",INDEX(Ventes_Encaissements!$B$6:$B$3005,_xludf.AGGREGATE(15,6,(ROW(Ventes_Encaissements!$B$6:$B$3005)-ROW(Ventes_Encaissements!$B$6)+1)/((Ventes_Encaissements!$E$6:$E$3005=$B987)*(Ventes_Encaissements!$J$6:$J$3005=$G987)*(Ventes_Encaissements!$C$6:$C$3005&gt;=$C987-3)*(Ventes_Encaissements!$C$6:$C$3005&lt;=$C987+3)),1)))</f>
        <v/>
      </c>
      <c r="K987" s="6" t="n"/>
    </row>
    <row r="988">
      <c r="A988" s="6" t="n"/>
      <c r="B988" s="6" t="n"/>
      <c r="C988" s="19" t="n"/>
      <c r="D988" s="19" t="n"/>
      <c r="E988" s="6" t="n"/>
      <c r="F988" s="20" t="n"/>
      <c r="G988" s="9">
        <f>IF($F988="","",IF($F988&gt;0,ROUND($F988,2),""))</f>
        <v/>
      </c>
      <c r="H988" s="12">
        <f>IF(OR($B988="",$C988="",$G988=""),"",COUNTIFS(Ventes_Encaissements!$E$6:$E$3005,$B988,Ventes_Encaissements!$J$6:$J$3005,$G988,Ventes_Encaissements!$C$6:$C$3005,"&gt;="&amp;($C988-3),Ventes_Encaissements!$C$6:$C$3005,"&lt;="&amp;($C988+3)))</f>
        <v/>
      </c>
      <c r="I988" s="12">
        <f>IF($H988="","",IF($H988=0,"Non trouvé",IF($H988=1,"Match","À vérifier")))</f>
        <v/>
      </c>
      <c r="J988" s="21">
        <f>IF($I988&lt;&gt;"Match","",INDEX(Ventes_Encaissements!$B$6:$B$3005,_xludf.AGGREGATE(15,6,(ROW(Ventes_Encaissements!$B$6:$B$3005)-ROW(Ventes_Encaissements!$B$6)+1)/((Ventes_Encaissements!$E$6:$E$3005=$B988)*(Ventes_Encaissements!$J$6:$J$3005=$G988)*(Ventes_Encaissements!$C$6:$C$3005&gt;=$C988-3)*(Ventes_Encaissements!$C$6:$C$3005&lt;=$C988+3)),1)))</f>
        <v/>
      </c>
      <c r="K988" s="6" t="n"/>
    </row>
    <row r="989">
      <c r="A989" s="6" t="n"/>
      <c r="B989" s="6" t="n"/>
      <c r="C989" s="19" t="n"/>
      <c r="D989" s="19" t="n"/>
      <c r="E989" s="6" t="n"/>
      <c r="F989" s="20" t="n"/>
      <c r="G989" s="9">
        <f>IF($F989="","",IF($F989&gt;0,ROUND($F989,2),""))</f>
        <v/>
      </c>
      <c r="H989" s="12">
        <f>IF(OR($B989="",$C989="",$G989=""),"",COUNTIFS(Ventes_Encaissements!$E$6:$E$3005,$B989,Ventes_Encaissements!$J$6:$J$3005,$G989,Ventes_Encaissements!$C$6:$C$3005,"&gt;="&amp;($C989-3),Ventes_Encaissements!$C$6:$C$3005,"&lt;="&amp;($C989+3)))</f>
        <v/>
      </c>
      <c r="I989" s="12">
        <f>IF($H989="","",IF($H989=0,"Non trouvé",IF($H989=1,"Match","À vérifier")))</f>
        <v/>
      </c>
      <c r="J989" s="21">
        <f>IF($I989&lt;&gt;"Match","",INDEX(Ventes_Encaissements!$B$6:$B$3005,_xludf.AGGREGATE(15,6,(ROW(Ventes_Encaissements!$B$6:$B$3005)-ROW(Ventes_Encaissements!$B$6)+1)/((Ventes_Encaissements!$E$6:$E$3005=$B989)*(Ventes_Encaissements!$J$6:$J$3005=$G989)*(Ventes_Encaissements!$C$6:$C$3005&gt;=$C989-3)*(Ventes_Encaissements!$C$6:$C$3005&lt;=$C989+3)),1)))</f>
        <v/>
      </c>
      <c r="K989" s="6" t="n"/>
    </row>
    <row r="990">
      <c r="A990" s="6" t="n"/>
      <c r="B990" s="6" t="n"/>
      <c r="C990" s="19" t="n"/>
      <c r="D990" s="19" t="n"/>
      <c r="E990" s="6" t="n"/>
      <c r="F990" s="20" t="n"/>
      <c r="G990" s="9">
        <f>IF($F990="","",IF($F990&gt;0,ROUND($F990,2),""))</f>
        <v/>
      </c>
      <c r="H990" s="12">
        <f>IF(OR($B990="",$C990="",$G990=""),"",COUNTIFS(Ventes_Encaissements!$E$6:$E$3005,$B990,Ventes_Encaissements!$J$6:$J$3005,$G990,Ventes_Encaissements!$C$6:$C$3005,"&gt;="&amp;($C990-3),Ventes_Encaissements!$C$6:$C$3005,"&lt;="&amp;($C990+3)))</f>
        <v/>
      </c>
      <c r="I990" s="12">
        <f>IF($H990="","",IF($H990=0,"Non trouvé",IF($H990=1,"Match","À vérifier")))</f>
        <v/>
      </c>
      <c r="J990" s="21">
        <f>IF($I990&lt;&gt;"Match","",INDEX(Ventes_Encaissements!$B$6:$B$3005,_xludf.AGGREGATE(15,6,(ROW(Ventes_Encaissements!$B$6:$B$3005)-ROW(Ventes_Encaissements!$B$6)+1)/((Ventes_Encaissements!$E$6:$E$3005=$B990)*(Ventes_Encaissements!$J$6:$J$3005=$G990)*(Ventes_Encaissements!$C$6:$C$3005&gt;=$C990-3)*(Ventes_Encaissements!$C$6:$C$3005&lt;=$C990+3)),1)))</f>
        <v/>
      </c>
      <c r="K990" s="6" t="n"/>
    </row>
    <row r="991">
      <c r="A991" s="6" t="n"/>
      <c r="B991" s="6" t="n"/>
      <c r="C991" s="19" t="n"/>
      <c r="D991" s="19" t="n"/>
      <c r="E991" s="6" t="n"/>
      <c r="F991" s="20" t="n"/>
      <c r="G991" s="9">
        <f>IF($F991="","",IF($F991&gt;0,ROUND($F991,2),""))</f>
        <v/>
      </c>
      <c r="H991" s="12">
        <f>IF(OR($B991="",$C991="",$G991=""),"",COUNTIFS(Ventes_Encaissements!$E$6:$E$3005,$B991,Ventes_Encaissements!$J$6:$J$3005,$G991,Ventes_Encaissements!$C$6:$C$3005,"&gt;="&amp;($C991-3),Ventes_Encaissements!$C$6:$C$3005,"&lt;="&amp;($C991+3)))</f>
        <v/>
      </c>
      <c r="I991" s="12">
        <f>IF($H991="","",IF($H991=0,"Non trouvé",IF($H991=1,"Match","À vérifier")))</f>
        <v/>
      </c>
      <c r="J991" s="21">
        <f>IF($I991&lt;&gt;"Match","",INDEX(Ventes_Encaissements!$B$6:$B$3005,_xludf.AGGREGATE(15,6,(ROW(Ventes_Encaissements!$B$6:$B$3005)-ROW(Ventes_Encaissements!$B$6)+1)/((Ventes_Encaissements!$E$6:$E$3005=$B991)*(Ventes_Encaissements!$J$6:$J$3005=$G991)*(Ventes_Encaissements!$C$6:$C$3005&gt;=$C991-3)*(Ventes_Encaissements!$C$6:$C$3005&lt;=$C991+3)),1)))</f>
        <v/>
      </c>
      <c r="K991" s="6" t="n"/>
    </row>
    <row r="992">
      <c r="A992" s="6" t="n"/>
      <c r="B992" s="6" t="n"/>
      <c r="C992" s="19" t="n"/>
      <c r="D992" s="19" t="n"/>
      <c r="E992" s="6" t="n"/>
      <c r="F992" s="20" t="n"/>
      <c r="G992" s="9">
        <f>IF($F992="","",IF($F992&gt;0,ROUND($F992,2),""))</f>
        <v/>
      </c>
      <c r="H992" s="12">
        <f>IF(OR($B992="",$C992="",$G992=""),"",COUNTIFS(Ventes_Encaissements!$E$6:$E$3005,$B992,Ventes_Encaissements!$J$6:$J$3005,$G992,Ventes_Encaissements!$C$6:$C$3005,"&gt;="&amp;($C992-3),Ventes_Encaissements!$C$6:$C$3005,"&lt;="&amp;($C992+3)))</f>
        <v/>
      </c>
      <c r="I992" s="12">
        <f>IF($H992="","",IF($H992=0,"Non trouvé",IF($H992=1,"Match","À vérifier")))</f>
        <v/>
      </c>
      <c r="J992" s="21">
        <f>IF($I992&lt;&gt;"Match","",INDEX(Ventes_Encaissements!$B$6:$B$3005,_xludf.AGGREGATE(15,6,(ROW(Ventes_Encaissements!$B$6:$B$3005)-ROW(Ventes_Encaissements!$B$6)+1)/((Ventes_Encaissements!$E$6:$E$3005=$B992)*(Ventes_Encaissements!$J$6:$J$3005=$G992)*(Ventes_Encaissements!$C$6:$C$3005&gt;=$C992-3)*(Ventes_Encaissements!$C$6:$C$3005&lt;=$C992+3)),1)))</f>
        <v/>
      </c>
      <c r="K992" s="6" t="n"/>
    </row>
    <row r="993">
      <c r="A993" s="6" t="n"/>
      <c r="B993" s="6" t="n"/>
      <c r="C993" s="19" t="n"/>
      <c r="D993" s="19" t="n"/>
      <c r="E993" s="6" t="n"/>
      <c r="F993" s="20" t="n"/>
      <c r="G993" s="9">
        <f>IF($F993="","",IF($F993&gt;0,ROUND($F993,2),""))</f>
        <v/>
      </c>
      <c r="H993" s="12">
        <f>IF(OR($B993="",$C993="",$G993=""),"",COUNTIFS(Ventes_Encaissements!$E$6:$E$3005,$B993,Ventes_Encaissements!$J$6:$J$3005,$G993,Ventes_Encaissements!$C$6:$C$3005,"&gt;="&amp;($C993-3),Ventes_Encaissements!$C$6:$C$3005,"&lt;="&amp;($C993+3)))</f>
        <v/>
      </c>
      <c r="I993" s="12">
        <f>IF($H993="","",IF($H993=0,"Non trouvé",IF($H993=1,"Match","À vérifier")))</f>
        <v/>
      </c>
      <c r="J993" s="21">
        <f>IF($I993&lt;&gt;"Match","",INDEX(Ventes_Encaissements!$B$6:$B$3005,_xludf.AGGREGATE(15,6,(ROW(Ventes_Encaissements!$B$6:$B$3005)-ROW(Ventes_Encaissements!$B$6)+1)/((Ventes_Encaissements!$E$6:$E$3005=$B993)*(Ventes_Encaissements!$J$6:$J$3005=$G993)*(Ventes_Encaissements!$C$6:$C$3005&gt;=$C993-3)*(Ventes_Encaissements!$C$6:$C$3005&lt;=$C993+3)),1)))</f>
        <v/>
      </c>
      <c r="K993" s="6" t="n"/>
    </row>
    <row r="994">
      <c r="A994" s="6" t="n"/>
      <c r="B994" s="6" t="n"/>
      <c r="C994" s="19" t="n"/>
      <c r="D994" s="19" t="n"/>
      <c r="E994" s="6" t="n"/>
      <c r="F994" s="20" t="n"/>
      <c r="G994" s="9">
        <f>IF($F994="","",IF($F994&gt;0,ROUND($F994,2),""))</f>
        <v/>
      </c>
      <c r="H994" s="12">
        <f>IF(OR($B994="",$C994="",$G994=""),"",COUNTIFS(Ventes_Encaissements!$E$6:$E$3005,$B994,Ventes_Encaissements!$J$6:$J$3005,$G994,Ventes_Encaissements!$C$6:$C$3005,"&gt;="&amp;($C994-3),Ventes_Encaissements!$C$6:$C$3005,"&lt;="&amp;($C994+3)))</f>
        <v/>
      </c>
      <c r="I994" s="12">
        <f>IF($H994="","",IF($H994=0,"Non trouvé",IF($H994=1,"Match","À vérifier")))</f>
        <v/>
      </c>
      <c r="J994" s="21">
        <f>IF($I994&lt;&gt;"Match","",INDEX(Ventes_Encaissements!$B$6:$B$3005,_xludf.AGGREGATE(15,6,(ROW(Ventes_Encaissements!$B$6:$B$3005)-ROW(Ventes_Encaissements!$B$6)+1)/((Ventes_Encaissements!$E$6:$E$3005=$B994)*(Ventes_Encaissements!$J$6:$J$3005=$G994)*(Ventes_Encaissements!$C$6:$C$3005&gt;=$C994-3)*(Ventes_Encaissements!$C$6:$C$3005&lt;=$C994+3)),1)))</f>
        <v/>
      </c>
      <c r="K994" s="6" t="n"/>
    </row>
    <row r="995">
      <c r="A995" s="6" t="n"/>
      <c r="B995" s="6" t="n"/>
      <c r="C995" s="19" t="n"/>
      <c r="D995" s="19" t="n"/>
      <c r="E995" s="6" t="n"/>
      <c r="F995" s="20" t="n"/>
      <c r="G995" s="9">
        <f>IF($F995="","",IF($F995&gt;0,ROUND($F995,2),""))</f>
        <v/>
      </c>
      <c r="H995" s="12">
        <f>IF(OR($B995="",$C995="",$G995=""),"",COUNTIFS(Ventes_Encaissements!$E$6:$E$3005,$B995,Ventes_Encaissements!$J$6:$J$3005,$G995,Ventes_Encaissements!$C$6:$C$3005,"&gt;="&amp;($C995-3),Ventes_Encaissements!$C$6:$C$3005,"&lt;="&amp;($C995+3)))</f>
        <v/>
      </c>
      <c r="I995" s="12">
        <f>IF($H995="","",IF($H995=0,"Non trouvé",IF($H995=1,"Match","À vérifier")))</f>
        <v/>
      </c>
      <c r="J995" s="21">
        <f>IF($I995&lt;&gt;"Match","",INDEX(Ventes_Encaissements!$B$6:$B$3005,_xludf.AGGREGATE(15,6,(ROW(Ventes_Encaissements!$B$6:$B$3005)-ROW(Ventes_Encaissements!$B$6)+1)/((Ventes_Encaissements!$E$6:$E$3005=$B995)*(Ventes_Encaissements!$J$6:$J$3005=$G995)*(Ventes_Encaissements!$C$6:$C$3005&gt;=$C995-3)*(Ventes_Encaissements!$C$6:$C$3005&lt;=$C995+3)),1)))</f>
        <v/>
      </c>
      <c r="K995" s="6" t="n"/>
    </row>
    <row r="996">
      <c r="A996" s="6" t="n"/>
      <c r="B996" s="6" t="n"/>
      <c r="C996" s="19" t="n"/>
      <c r="D996" s="19" t="n"/>
      <c r="E996" s="6" t="n"/>
      <c r="F996" s="20" t="n"/>
      <c r="G996" s="9">
        <f>IF($F996="","",IF($F996&gt;0,ROUND($F996,2),""))</f>
        <v/>
      </c>
      <c r="H996" s="12">
        <f>IF(OR($B996="",$C996="",$G996=""),"",COUNTIFS(Ventes_Encaissements!$E$6:$E$3005,$B996,Ventes_Encaissements!$J$6:$J$3005,$G996,Ventes_Encaissements!$C$6:$C$3005,"&gt;="&amp;($C996-3),Ventes_Encaissements!$C$6:$C$3005,"&lt;="&amp;($C996+3)))</f>
        <v/>
      </c>
      <c r="I996" s="12">
        <f>IF($H996="","",IF($H996=0,"Non trouvé",IF($H996=1,"Match","À vérifier")))</f>
        <v/>
      </c>
      <c r="J996" s="21">
        <f>IF($I996&lt;&gt;"Match","",INDEX(Ventes_Encaissements!$B$6:$B$3005,_xludf.AGGREGATE(15,6,(ROW(Ventes_Encaissements!$B$6:$B$3005)-ROW(Ventes_Encaissements!$B$6)+1)/((Ventes_Encaissements!$E$6:$E$3005=$B996)*(Ventes_Encaissements!$J$6:$J$3005=$G996)*(Ventes_Encaissements!$C$6:$C$3005&gt;=$C996-3)*(Ventes_Encaissements!$C$6:$C$3005&lt;=$C996+3)),1)))</f>
        <v/>
      </c>
      <c r="K996" s="6" t="n"/>
    </row>
    <row r="997">
      <c r="A997" s="6" t="n"/>
      <c r="B997" s="6" t="n"/>
      <c r="C997" s="19" t="n"/>
      <c r="D997" s="19" t="n"/>
      <c r="E997" s="6" t="n"/>
      <c r="F997" s="20" t="n"/>
      <c r="G997" s="9">
        <f>IF($F997="","",IF($F997&gt;0,ROUND($F997,2),""))</f>
        <v/>
      </c>
      <c r="H997" s="12">
        <f>IF(OR($B997="",$C997="",$G997=""),"",COUNTIFS(Ventes_Encaissements!$E$6:$E$3005,$B997,Ventes_Encaissements!$J$6:$J$3005,$G997,Ventes_Encaissements!$C$6:$C$3005,"&gt;="&amp;($C997-3),Ventes_Encaissements!$C$6:$C$3005,"&lt;="&amp;($C997+3)))</f>
        <v/>
      </c>
      <c r="I997" s="12">
        <f>IF($H997="","",IF($H997=0,"Non trouvé",IF($H997=1,"Match","À vérifier")))</f>
        <v/>
      </c>
      <c r="J997" s="21">
        <f>IF($I997&lt;&gt;"Match","",INDEX(Ventes_Encaissements!$B$6:$B$3005,_xludf.AGGREGATE(15,6,(ROW(Ventes_Encaissements!$B$6:$B$3005)-ROW(Ventes_Encaissements!$B$6)+1)/((Ventes_Encaissements!$E$6:$E$3005=$B997)*(Ventes_Encaissements!$J$6:$J$3005=$G997)*(Ventes_Encaissements!$C$6:$C$3005&gt;=$C997-3)*(Ventes_Encaissements!$C$6:$C$3005&lt;=$C997+3)),1)))</f>
        <v/>
      </c>
      <c r="K997" s="6" t="n"/>
    </row>
    <row r="998">
      <c r="A998" s="6" t="n"/>
      <c r="B998" s="6" t="n"/>
      <c r="C998" s="19" t="n"/>
      <c r="D998" s="19" t="n"/>
      <c r="E998" s="6" t="n"/>
      <c r="F998" s="20" t="n"/>
      <c r="G998" s="9">
        <f>IF($F998="","",IF($F998&gt;0,ROUND($F998,2),""))</f>
        <v/>
      </c>
      <c r="H998" s="12">
        <f>IF(OR($B998="",$C998="",$G998=""),"",COUNTIFS(Ventes_Encaissements!$E$6:$E$3005,$B998,Ventes_Encaissements!$J$6:$J$3005,$G998,Ventes_Encaissements!$C$6:$C$3005,"&gt;="&amp;($C998-3),Ventes_Encaissements!$C$6:$C$3005,"&lt;="&amp;($C998+3)))</f>
        <v/>
      </c>
      <c r="I998" s="12">
        <f>IF($H998="","",IF($H998=0,"Non trouvé",IF($H998=1,"Match","À vérifier")))</f>
        <v/>
      </c>
      <c r="J998" s="21">
        <f>IF($I998&lt;&gt;"Match","",INDEX(Ventes_Encaissements!$B$6:$B$3005,_xludf.AGGREGATE(15,6,(ROW(Ventes_Encaissements!$B$6:$B$3005)-ROW(Ventes_Encaissements!$B$6)+1)/((Ventes_Encaissements!$E$6:$E$3005=$B998)*(Ventes_Encaissements!$J$6:$J$3005=$G998)*(Ventes_Encaissements!$C$6:$C$3005&gt;=$C998-3)*(Ventes_Encaissements!$C$6:$C$3005&lt;=$C998+3)),1)))</f>
        <v/>
      </c>
      <c r="K998" s="6" t="n"/>
    </row>
    <row r="999">
      <c r="A999" s="6" t="n"/>
      <c r="B999" s="6" t="n"/>
      <c r="C999" s="19" t="n"/>
      <c r="D999" s="19" t="n"/>
      <c r="E999" s="6" t="n"/>
      <c r="F999" s="20" t="n"/>
      <c r="G999" s="9">
        <f>IF($F999="","",IF($F999&gt;0,ROUND($F999,2),""))</f>
        <v/>
      </c>
      <c r="H999" s="12">
        <f>IF(OR($B999="",$C999="",$G999=""),"",COUNTIFS(Ventes_Encaissements!$E$6:$E$3005,$B999,Ventes_Encaissements!$J$6:$J$3005,$G999,Ventes_Encaissements!$C$6:$C$3005,"&gt;="&amp;($C999-3),Ventes_Encaissements!$C$6:$C$3005,"&lt;="&amp;($C999+3)))</f>
        <v/>
      </c>
      <c r="I999" s="12">
        <f>IF($H999="","",IF($H999=0,"Non trouvé",IF($H999=1,"Match","À vérifier")))</f>
        <v/>
      </c>
      <c r="J999" s="21">
        <f>IF($I999&lt;&gt;"Match","",INDEX(Ventes_Encaissements!$B$6:$B$3005,_xludf.AGGREGATE(15,6,(ROW(Ventes_Encaissements!$B$6:$B$3005)-ROW(Ventes_Encaissements!$B$6)+1)/((Ventes_Encaissements!$E$6:$E$3005=$B999)*(Ventes_Encaissements!$J$6:$J$3005=$G999)*(Ventes_Encaissements!$C$6:$C$3005&gt;=$C999-3)*(Ventes_Encaissements!$C$6:$C$3005&lt;=$C999+3)),1)))</f>
        <v/>
      </c>
      <c r="K999" s="6" t="n"/>
    </row>
    <row r="1000">
      <c r="A1000" s="6" t="n"/>
      <c r="B1000" s="6" t="n"/>
      <c r="C1000" s="19" t="n"/>
      <c r="D1000" s="19" t="n"/>
      <c r="E1000" s="6" t="n"/>
      <c r="F1000" s="20" t="n"/>
      <c r="G1000" s="9">
        <f>IF($F1000="","",IF($F1000&gt;0,ROUND($F1000,2),""))</f>
        <v/>
      </c>
      <c r="H1000" s="12">
        <f>IF(OR($B1000="",$C1000="",$G1000=""),"",COUNTIFS(Ventes_Encaissements!$E$6:$E$3005,$B1000,Ventes_Encaissements!$J$6:$J$3005,$G1000,Ventes_Encaissements!$C$6:$C$3005,"&gt;="&amp;($C1000-3),Ventes_Encaissements!$C$6:$C$3005,"&lt;="&amp;($C1000+3)))</f>
        <v/>
      </c>
      <c r="I1000" s="12">
        <f>IF($H1000="","",IF($H1000=0,"Non trouvé",IF($H1000=1,"Match","À vérifier")))</f>
        <v/>
      </c>
      <c r="J1000" s="21">
        <f>IF($I1000&lt;&gt;"Match","",INDEX(Ventes_Encaissements!$B$6:$B$3005,_xludf.AGGREGATE(15,6,(ROW(Ventes_Encaissements!$B$6:$B$3005)-ROW(Ventes_Encaissements!$B$6)+1)/((Ventes_Encaissements!$E$6:$E$3005=$B1000)*(Ventes_Encaissements!$J$6:$J$3005=$G1000)*(Ventes_Encaissements!$C$6:$C$3005&gt;=$C1000-3)*(Ventes_Encaissements!$C$6:$C$3005&lt;=$C1000+3)),1)))</f>
        <v/>
      </c>
      <c r="K1000" s="6" t="n"/>
    </row>
    <row r="1001">
      <c r="A1001" s="6" t="n"/>
      <c r="B1001" s="6" t="n"/>
      <c r="C1001" s="19" t="n"/>
      <c r="D1001" s="19" t="n"/>
      <c r="E1001" s="6" t="n"/>
      <c r="F1001" s="20" t="n"/>
      <c r="G1001" s="9">
        <f>IF($F1001="","",IF($F1001&gt;0,ROUND($F1001,2),""))</f>
        <v/>
      </c>
      <c r="H1001" s="12">
        <f>IF(OR($B1001="",$C1001="",$G1001=""),"",COUNTIFS(Ventes_Encaissements!$E$6:$E$3005,$B1001,Ventes_Encaissements!$J$6:$J$3005,$G1001,Ventes_Encaissements!$C$6:$C$3005,"&gt;="&amp;($C1001-3),Ventes_Encaissements!$C$6:$C$3005,"&lt;="&amp;($C1001+3)))</f>
        <v/>
      </c>
      <c r="I1001" s="12">
        <f>IF($H1001="","",IF($H1001=0,"Non trouvé",IF($H1001=1,"Match","À vérifier")))</f>
        <v/>
      </c>
      <c r="J1001" s="21">
        <f>IF($I1001&lt;&gt;"Match","",INDEX(Ventes_Encaissements!$B$6:$B$3005,_xludf.AGGREGATE(15,6,(ROW(Ventes_Encaissements!$B$6:$B$3005)-ROW(Ventes_Encaissements!$B$6)+1)/((Ventes_Encaissements!$E$6:$E$3005=$B1001)*(Ventes_Encaissements!$J$6:$J$3005=$G1001)*(Ventes_Encaissements!$C$6:$C$3005&gt;=$C1001-3)*(Ventes_Encaissements!$C$6:$C$3005&lt;=$C1001+3)),1)))</f>
        <v/>
      </c>
      <c r="K1001" s="6" t="n"/>
    </row>
    <row r="1002">
      <c r="A1002" s="6" t="n"/>
      <c r="B1002" s="6" t="n"/>
      <c r="C1002" s="19" t="n"/>
      <c r="D1002" s="19" t="n"/>
      <c r="E1002" s="6" t="n"/>
      <c r="F1002" s="20" t="n"/>
      <c r="G1002" s="9">
        <f>IF($F1002="","",IF($F1002&gt;0,ROUND($F1002,2),""))</f>
        <v/>
      </c>
      <c r="H1002" s="12">
        <f>IF(OR($B1002="",$C1002="",$G1002=""),"",COUNTIFS(Ventes_Encaissements!$E$6:$E$3005,$B1002,Ventes_Encaissements!$J$6:$J$3005,$G1002,Ventes_Encaissements!$C$6:$C$3005,"&gt;="&amp;($C1002-3),Ventes_Encaissements!$C$6:$C$3005,"&lt;="&amp;($C1002+3)))</f>
        <v/>
      </c>
      <c r="I1002" s="12">
        <f>IF($H1002="","",IF($H1002=0,"Non trouvé",IF($H1002=1,"Match","À vérifier")))</f>
        <v/>
      </c>
      <c r="J1002" s="21">
        <f>IF($I1002&lt;&gt;"Match","",INDEX(Ventes_Encaissements!$B$6:$B$3005,_xludf.AGGREGATE(15,6,(ROW(Ventes_Encaissements!$B$6:$B$3005)-ROW(Ventes_Encaissements!$B$6)+1)/((Ventes_Encaissements!$E$6:$E$3005=$B1002)*(Ventes_Encaissements!$J$6:$J$3005=$G1002)*(Ventes_Encaissements!$C$6:$C$3005&gt;=$C1002-3)*(Ventes_Encaissements!$C$6:$C$3005&lt;=$C1002+3)),1)))</f>
        <v/>
      </c>
      <c r="K1002" s="6" t="n"/>
    </row>
    <row r="1003">
      <c r="A1003" s="6" t="n"/>
      <c r="B1003" s="6" t="n"/>
      <c r="C1003" s="19" t="n"/>
      <c r="D1003" s="19" t="n"/>
      <c r="E1003" s="6" t="n"/>
      <c r="F1003" s="20" t="n"/>
      <c r="G1003" s="9">
        <f>IF($F1003="","",IF($F1003&gt;0,ROUND($F1003,2),""))</f>
        <v/>
      </c>
      <c r="H1003" s="12">
        <f>IF(OR($B1003="",$C1003="",$G1003=""),"",COUNTIFS(Ventes_Encaissements!$E$6:$E$3005,$B1003,Ventes_Encaissements!$J$6:$J$3005,$G1003,Ventes_Encaissements!$C$6:$C$3005,"&gt;="&amp;($C1003-3),Ventes_Encaissements!$C$6:$C$3005,"&lt;="&amp;($C1003+3)))</f>
        <v/>
      </c>
      <c r="I1003" s="12">
        <f>IF($H1003="","",IF($H1003=0,"Non trouvé",IF($H1003=1,"Match","À vérifier")))</f>
        <v/>
      </c>
      <c r="J1003" s="21">
        <f>IF($I1003&lt;&gt;"Match","",INDEX(Ventes_Encaissements!$B$6:$B$3005,_xludf.AGGREGATE(15,6,(ROW(Ventes_Encaissements!$B$6:$B$3005)-ROW(Ventes_Encaissements!$B$6)+1)/((Ventes_Encaissements!$E$6:$E$3005=$B1003)*(Ventes_Encaissements!$J$6:$J$3005=$G1003)*(Ventes_Encaissements!$C$6:$C$3005&gt;=$C1003-3)*(Ventes_Encaissements!$C$6:$C$3005&lt;=$C1003+3)),1)))</f>
        <v/>
      </c>
      <c r="K1003" s="6" t="n"/>
    </row>
    <row r="1004">
      <c r="A1004" s="6" t="n"/>
      <c r="B1004" s="6" t="n"/>
      <c r="C1004" s="19" t="n"/>
      <c r="D1004" s="19" t="n"/>
      <c r="E1004" s="6" t="n"/>
      <c r="F1004" s="20" t="n"/>
      <c r="G1004" s="9">
        <f>IF($F1004="","",IF($F1004&gt;0,ROUND($F1004,2),""))</f>
        <v/>
      </c>
      <c r="H1004" s="12">
        <f>IF(OR($B1004="",$C1004="",$G1004=""),"",COUNTIFS(Ventes_Encaissements!$E$6:$E$3005,$B1004,Ventes_Encaissements!$J$6:$J$3005,$G1004,Ventes_Encaissements!$C$6:$C$3005,"&gt;="&amp;($C1004-3),Ventes_Encaissements!$C$6:$C$3005,"&lt;="&amp;($C1004+3)))</f>
        <v/>
      </c>
      <c r="I1004" s="12">
        <f>IF($H1004="","",IF($H1004=0,"Non trouvé",IF($H1004=1,"Match","À vérifier")))</f>
        <v/>
      </c>
      <c r="J1004" s="21">
        <f>IF($I1004&lt;&gt;"Match","",INDEX(Ventes_Encaissements!$B$6:$B$3005,_xludf.AGGREGATE(15,6,(ROW(Ventes_Encaissements!$B$6:$B$3005)-ROW(Ventes_Encaissements!$B$6)+1)/((Ventes_Encaissements!$E$6:$E$3005=$B1004)*(Ventes_Encaissements!$J$6:$J$3005=$G1004)*(Ventes_Encaissements!$C$6:$C$3005&gt;=$C1004-3)*(Ventes_Encaissements!$C$6:$C$3005&lt;=$C1004+3)),1)))</f>
        <v/>
      </c>
      <c r="K1004" s="6" t="n"/>
    </row>
    <row r="1005">
      <c r="A1005" s="6" t="n"/>
      <c r="B1005" s="6" t="n"/>
      <c r="C1005" s="19" t="n"/>
      <c r="D1005" s="19" t="n"/>
      <c r="E1005" s="6" t="n"/>
      <c r="F1005" s="20" t="n"/>
      <c r="G1005" s="9">
        <f>IF($F1005="","",IF($F1005&gt;0,ROUND($F1005,2),""))</f>
        <v/>
      </c>
      <c r="H1005" s="12">
        <f>IF(OR($B1005="",$C1005="",$G1005=""),"",COUNTIFS(Ventes_Encaissements!$E$6:$E$3005,$B1005,Ventes_Encaissements!$J$6:$J$3005,$G1005,Ventes_Encaissements!$C$6:$C$3005,"&gt;="&amp;($C1005-3),Ventes_Encaissements!$C$6:$C$3005,"&lt;="&amp;($C1005+3)))</f>
        <v/>
      </c>
      <c r="I1005" s="12">
        <f>IF($H1005="","",IF($H1005=0,"Non trouvé",IF($H1005=1,"Match","À vérifier")))</f>
        <v/>
      </c>
      <c r="J1005" s="21">
        <f>IF($I1005&lt;&gt;"Match","",INDEX(Ventes_Encaissements!$B$6:$B$3005,_xludf.AGGREGATE(15,6,(ROW(Ventes_Encaissements!$B$6:$B$3005)-ROW(Ventes_Encaissements!$B$6)+1)/((Ventes_Encaissements!$E$6:$E$3005=$B1005)*(Ventes_Encaissements!$J$6:$J$3005=$G1005)*(Ventes_Encaissements!$C$6:$C$3005&gt;=$C1005-3)*(Ventes_Encaissements!$C$6:$C$3005&lt;=$C1005+3)),1)))</f>
        <v/>
      </c>
      <c r="K1005" s="6" t="n"/>
    </row>
    <row r="1006">
      <c r="A1006" s="6" t="n"/>
      <c r="B1006" s="6" t="n"/>
      <c r="C1006" s="19" t="n"/>
      <c r="D1006" s="19" t="n"/>
      <c r="E1006" s="6" t="n"/>
      <c r="F1006" s="20" t="n"/>
      <c r="G1006" s="9">
        <f>IF($F1006="","",IF($F1006&gt;0,ROUND($F1006,2),""))</f>
        <v/>
      </c>
      <c r="H1006" s="12">
        <f>IF(OR($B1006="",$C1006="",$G1006=""),"",COUNTIFS(Ventes_Encaissements!$E$6:$E$3005,$B1006,Ventes_Encaissements!$J$6:$J$3005,$G1006,Ventes_Encaissements!$C$6:$C$3005,"&gt;="&amp;($C1006-3),Ventes_Encaissements!$C$6:$C$3005,"&lt;="&amp;($C1006+3)))</f>
        <v/>
      </c>
      <c r="I1006" s="12">
        <f>IF($H1006="","",IF($H1006=0,"Non trouvé",IF($H1006=1,"Match","À vérifier")))</f>
        <v/>
      </c>
      <c r="J1006" s="21">
        <f>IF($I1006&lt;&gt;"Match","",INDEX(Ventes_Encaissements!$B$6:$B$3005,_xludf.AGGREGATE(15,6,(ROW(Ventes_Encaissements!$B$6:$B$3005)-ROW(Ventes_Encaissements!$B$6)+1)/((Ventes_Encaissements!$E$6:$E$3005=$B1006)*(Ventes_Encaissements!$J$6:$J$3005=$G1006)*(Ventes_Encaissements!$C$6:$C$3005&gt;=$C1006-3)*(Ventes_Encaissements!$C$6:$C$3005&lt;=$C1006+3)),1)))</f>
        <v/>
      </c>
      <c r="K1006" s="6" t="n"/>
    </row>
    <row r="1007">
      <c r="A1007" s="6" t="n"/>
      <c r="B1007" s="6" t="n"/>
      <c r="C1007" s="19" t="n"/>
      <c r="D1007" s="19" t="n"/>
      <c r="E1007" s="6" t="n"/>
      <c r="F1007" s="20" t="n"/>
      <c r="G1007" s="9">
        <f>IF($F1007="","",IF($F1007&gt;0,ROUND($F1007,2),""))</f>
        <v/>
      </c>
      <c r="H1007" s="12">
        <f>IF(OR($B1007="",$C1007="",$G1007=""),"",COUNTIFS(Ventes_Encaissements!$E$6:$E$3005,$B1007,Ventes_Encaissements!$J$6:$J$3005,$G1007,Ventes_Encaissements!$C$6:$C$3005,"&gt;="&amp;($C1007-3),Ventes_Encaissements!$C$6:$C$3005,"&lt;="&amp;($C1007+3)))</f>
        <v/>
      </c>
      <c r="I1007" s="12">
        <f>IF($H1007="","",IF($H1007=0,"Non trouvé",IF($H1007=1,"Match","À vérifier")))</f>
        <v/>
      </c>
      <c r="J1007" s="21">
        <f>IF($I1007&lt;&gt;"Match","",INDEX(Ventes_Encaissements!$B$6:$B$3005,_xludf.AGGREGATE(15,6,(ROW(Ventes_Encaissements!$B$6:$B$3005)-ROW(Ventes_Encaissements!$B$6)+1)/((Ventes_Encaissements!$E$6:$E$3005=$B1007)*(Ventes_Encaissements!$J$6:$J$3005=$G1007)*(Ventes_Encaissements!$C$6:$C$3005&gt;=$C1007-3)*(Ventes_Encaissements!$C$6:$C$3005&lt;=$C1007+3)),1)))</f>
        <v/>
      </c>
      <c r="K1007" s="6" t="n"/>
    </row>
    <row r="1008">
      <c r="A1008" s="6" t="n"/>
      <c r="B1008" s="6" t="n"/>
      <c r="C1008" s="19" t="n"/>
      <c r="D1008" s="19" t="n"/>
      <c r="E1008" s="6" t="n"/>
      <c r="F1008" s="20" t="n"/>
      <c r="G1008" s="9">
        <f>IF($F1008="","",IF($F1008&gt;0,ROUND($F1008,2),""))</f>
        <v/>
      </c>
      <c r="H1008" s="12">
        <f>IF(OR($B1008="",$C1008="",$G1008=""),"",COUNTIFS(Ventes_Encaissements!$E$6:$E$3005,$B1008,Ventes_Encaissements!$J$6:$J$3005,$G1008,Ventes_Encaissements!$C$6:$C$3005,"&gt;="&amp;($C1008-3),Ventes_Encaissements!$C$6:$C$3005,"&lt;="&amp;($C1008+3)))</f>
        <v/>
      </c>
      <c r="I1008" s="12">
        <f>IF($H1008="","",IF($H1008=0,"Non trouvé",IF($H1008=1,"Match","À vérifier")))</f>
        <v/>
      </c>
      <c r="J1008" s="21">
        <f>IF($I1008&lt;&gt;"Match","",INDEX(Ventes_Encaissements!$B$6:$B$3005,_xludf.AGGREGATE(15,6,(ROW(Ventes_Encaissements!$B$6:$B$3005)-ROW(Ventes_Encaissements!$B$6)+1)/((Ventes_Encaissements!$E$6:$E$3005=$B1008)*(Ventes_Encaissements!$J$6:$J$3005=$G1008)*(Ventes_Encaissements!$C$6:$C$3005&gt;=$C1008-3)*(Ventes_Encaissements!$C$6:$C$3005&lt;=$C1008+3)),1)))</f>
        <v/>
      </c>
      <c r="K1008" s="6" t="n"/>
    </row>
    <row r="1009">
      <c r="A1009" s="6" t="n"/>
      <c r="B1009" s="6" t="n"/>
      <c r="C1009" s="19" t="n"/>
      <c r="D1009" s="19" t="n"/>
      <c r="E1009" s="6" t="n"/>
      <c r="F1009" s="20" t="n"/>
      <c r="G1009" s="9">
        <f>IF($F1009="","",IF($F1009&gt;0,ROUND($F1009,2),""))</f>
        <v/>
      </c>
      <c r="H1009" s="12">
        <f>IF(OR($B1009="",$C1009="",$G1009=""),"",COUNTIFS(Ventes_Encaissements!$E$6:$E$3005,$B1009,Ventes_Encaissements!$J$6:$J$3005,$G1009,Ventes_Encaissements!$C$6:$C$3005,"&gt;="&amp;($C1009-3),Ventes_Encaissements!$C$6:$C$3005,"&lt;="&amp;($C1009+3)))</f>
        <v/>
      </c>
      <c r="I1009" s="12">
        <f>IF($H1009="","",IF($H1009=0,"Non trouvé",IF($H1009=1,"Match","À vérifier")))</f>
        <v/>
      </c>
      <c r="J1009" s="21">
        <f>IF($I1009&lt;&gt;"Match","",INDEX(Ventes_Encaissements!$B$6:$B$3005,_xludf.AGGREGATE(15,6,(ROW(Ventes_Encaissements!$B$6:$B$3005)-ROW(Ventes_Encaissements!$B$6)+1)/((Ventes_Encaissements!$E$6:$E$3005=$B1009)*(Ventes_Encaissements!$J$6:$J$3005=$G1009)*(Ventes_Encaissements!$C$6:$C$3005&gt;=$C1009-3)*(Ventes_Encaissements!$C$6:$C$3005&lt;=$C1009+3)),1)))</f>
        <v/>
      </c>
      <c r="K1009" s="6" t="n"/>
    </row>
    <row r="1010">
      <c r="A1010" s="6" t="n"/>
      <c r="B1010" s="6" t="n"/>
      <c r="C1010" s="19" t="n"/>
      <c r="D1010" s="19" t="n"/>
      <c r="E1010" s="6" t="n"/>
      <c r="F1010" s="20" t="n"/>
      <c r="G1010" s="9">
        <f>IF($F1010="","",IF($F1010&gt;0,ROUND($F1010,2),""))</f>
        <v/>
      </c>
      <c r="H1010" s="12">
        <f>IF(OR($B1010="",$C1010="",$G1010=""),"",COUNTIFS(Ventes_Encaissements!$E$6:$E$3005,$B1010,Ventes_Encaissements!$J$6:$J$3005,$G1010,Ventes_Encaissements!$C$6:$C$3005,"&gt;="&amp;($C1010-3),Ventes_Encaissements!$C$6:$C$3005,"&lt;="&amp;($C1010+3)))</f>
        <v/>
      </c>
      <c r="I1010" s="12">
        <f>IF($H1010="","",IF($H1010=0,"Non trouvé",IF($H1010=1,"Match","À vérifier")))</f>
        <v/>
      </c>
      <c r="J1010" s="21">
        <f>IF($I1010&lt;&gt;"Match","",INDEX(Ventes_Encaissements!$B$6:$B$3005,_xludf.AGGREGATE(15,6,(ROW(Ventes_Encaissements!$B$6:$B$3005)-ROW(Ventes_Encaissements!$B$6)+1)/((Ventes_Encaissements!$E$6:$E$3005=$B1010)*(Ventes_Encaissements!$J$6:$J$3005=$G1010)*(Ventes_Encaissements!$C$6:$C$3005&gt;=$C1010-3)*(Ventes_Encaissements!$C$6:$C$3005&lt;=$C1010+3)),1)))</f>
        <v/>
      </c>
      <c r="K1010" s="6" t="n"/>
    </row>
    <row r="1011">
      <c r="A1011" s="6" t="n"/>
      <c r="B1011" s="6" t="n"/>
      <c r="C1011" s="19" t="n"/>
      <c r="D1011" s="19" t="n"/>
      <c r="E1011" s="6" t="n"/>
      <c r="F1011" s="20" t="n"/>
      <c r="G1011" s="9">
        <f>IF($F1011="","",IF($F1011&gt;0,ROUND($F1011,2),""))</f>
        <v/>
      </c>
      <c r="H1011" s="12">
        <f>IF(OR($B1011="",$C1011="",$G1011=""),"",COUNTIFS(Ventes_Encaissements!$E$6:$E$3005,$B1011,Ventes_Encaissements!$J$6:$J$3005,$G1011,Ventes_Encaissements!$C$6:$C$3005,"&gt;="&amp;($C1011-3),Ventes_Encaissements!$C$6:$C$3005,"&lt;="&amp;($C1011+3)))</f>
        <v/>
      </c>
      <c r="I1011" s="12">
        <f>IF($H1011="","",IF($H1011=0,"Non trouvé",IF($H1011=1,"Match","À vérifier")))</f>
        <v/>
      </c>
      <c r="J1011" s="21">
        <f>IF($I1011&lt;&gt;"Match","",INDEX(Ventes_Encaissements!$B$6:$B$3005,_xludf.AGGREGATE(15,6,(ROW(Ventes_Encaissements!$B$6:$B$3005)-ROW(Ventes_Encaissements!$B$6)+1)/((Ventes_Encaissements!$E$6:$E$3005=$B1011)*(Ventes_Encaissements!$J$6:$J$3005=$G1011)*(Ventes_Encaissements!$C$6:$C$3005&gt;=$C1011-3)*(Ventes_Encaissements!$C$6:$C$3005&lt;=$C1011+3)),1)))</f>
        <v/>
      </c>
      <c r="K1011" s="6" t="n"/>
    </row>
    <row r="1012">
      <c r="A1012" s="6" t="n"/>
      <c r="B1012" s="6" t="n"/>
      <c r="C1012" s="19" t="n"/>
      <c r="D1012" s="19" t="n"/>
      <c r="E1012" s="6" t="n"/>
      <c r="F1012" s="20" t="n"/>
      <c r="G1012" s="9">
        <f>IF($F1012="","",IF($F1012&gt;0,ROUND($F1012,2),""))</f>
        <v/>
      </c>
      <c r="H1012" s="12">
        <f>IF(OR($B1012="",$C1012="",$G1012=""),"",COUNTIFS(Ventes_Encaissements!$E$6:$E$3005,$B1012,Ventes_Encaissements!$J$6:$J$3005,$G1012,Ventes_Encaissements!$C$6:$C$3005,"&gt;="&amp;($C1012-3),Ventes_Encaissements!$C$6:$C$3005,"&lt;="&amp;($C1012+3)))</f>
        <v/>
      </c>
      <c r="I1012" s="12">
        <f>IF($H1012="","",IF($H1012=0,"Non trouvé",IF($H1012=1,"Match","À vérifier")))</f>
        <v/>
      </c>
      <c r="J1012" s="21">
        <f>IF($I1012&lt;&gt;"Match","",INDEX(Ventes_Encaissements!$B$6:$B$3005,_xludf.AGGREGATE(15,6,(ROW(Ventes_Encaissements!$B$6:$B$3005)-ROW(Ventes_Encaissements!$B$6)+1)/((Ventes_Encaissements!$E$6:$E$3005=$B1012)*(Ventes_Encaissements!$J$6:$J$3005=$G1012)*(Ventes_Encaissements!$C$6:$C$3005&gt;=$C1012-3)*(Ventes_Encaissements!$C$6:$C$3005&lt;=$C1012+3)),1)))</f>
        <v/>
      </c>
      <c r="K1012" s="6" t="n"/>
    </row>
    <row r="1013">
      <c r="A1013" s="6" t="n"/>
      <c r="B1013" s="6" t="n"/>
      <c r="C1013" s="19" t="n"/>
      <c r="D1013" s="19" t="n"/>
      <c r="E1013" s="6" t="n"/>
      <c r="F1013" s="20" t="n"/>
      <c r="G1013" s="9">
        <f>IF($F1013="","",IF($F1013&gt;0,ROUND($F1013,2),""))</f>
        <v/>
      </c>
      <c r="H1013" s="12">
        <f>IF(OR($B1013="",$C1013="",$G1013=""),"",COUNTIFS(Ventes_Encaissements!$E$6:$E$3005,$B1013,Ventes_Encaissements!$J$6:$J$3005,$G1013,Ventes_Encaissements!$C$6:$C$3005,"&gt;="&amp;($C1013-3),Ventes_Encaissements!$C$6:$C$3005,"&lt;="&amp;($C1013+3)))</f>
        <v/>
      </c>
      <c r="I1013" s="12">
        <f>IF($H1013="","",IF($H1013=0,"Non trouvé",IF($H1013=1,"Match","À vérifier")))</f>
        <v/>
      </c>
      <c r="J1013" s="21">
        <f>IF($I1013&lt;&gt;"Match","",INDEX(Ventes_Encaissements!$B$6:$B$3005,_xludf.AGGREGATE(15,6,(ROW(Ventes_Encaissements!$B$6:$B$3005)-ROW(Ventes_Encaissements!$B$6)+1)/((Ventes_Encaissements!$E$6:$E$3005=$B1013)*(Ventes_Encaissements!$J$6:$J$3005=$G1013)*(Ventes_Encaissements!$C$6:$C$3005&gt;=$C1013-3)*(Ventes_Encaissements!$C$6:$C$3005&lt;=$C1013+3)),1)))</f>
        <v/>
      </c>
      <c r="K1013" s="6" t="n"/>
    </row>
    <row r="1014">
      <c r="A1014" s="6" t="n"/>
      <c r="B1014" s="6" t="n"/>
      <c r="C1014" s="19" t="n"/>
      <c r="D1014" s="19" t="n"/>
      <c r="E1014" s="6" t="n"/>
      <c r="F1014" s="20" t="n"/>
      <c r="G1014" s="9">
        <f>IF($F1014="","",IF($F1014&gt;0,ROUND($F1014,2),""))</f>
        <v/>
      </c>
      <c r="H1014" s="12">
        <f>IF(OR($B1014="",$C1014="",$G1014=""),"",COUNTIFS(Ventes_Encaissements!$E$6:$E$3005,$B1014,Ventes_Encaissements!$J$6:$J$3005,$G1014,Ventes_Encaissements!$C$6:$C$3005,"&gt;="&amp;($C1014-3),Ventes_Encaissements!$C$6:$C$3005,"&lt;="&amp;($C1014+3)))</f>
        <v/>
      </c>
      <c r="I1014" s="12">
        <f>IF($H1014="","",IF($H1014=0,"Non trouvé",IF($H1014=1,"Match","À vérifier")))</f>
        <v/>
      </c>
      <c r="J1014" s="21">
        <f>IF($I1014&lt;&gt;"Match","",INDEX(Ventes_Encaissements!$B$6:$B$3005,_xludf.AGGREGATE(15,6,(ROW(Ventes_Encaissements!$B$6:$B$3005)-ROW(Ventes_Encaissements!$B$6)+1)/((Ventes_Encaissements!$E$6:$E$3005=$B1014)*(Ventes_Encaissements!$J$6:$J$3005=$G1014)*(Ventes_Encaissements!$C$6:$C$3005&gt;=$C1014-3)*(Ventes_Encaissements!$C$6:$C$3005&lt;=$C1014+3)),1)))</f>
        <v/>
      </c>
      <c r="K1014" s="6" t="n"/>
    </row>
    <row r="1015">
      <c r="A1015" s="6" t="n"/>
      <c r="B1015" s="6" t="n"/>
      <c r="C1015" s="19" t="n"/>
      <c r="D1015" s="19" t="n"/>
      <c r="E1015" s="6" t="n"/>
      <c r="F1015" s="20" t="n"/>
      <c r="G1015" s="9">
        <f>IF($F1015="","",IF($F1015&gt;0,ROUND($F1015,2),""))</f>
        <v/>
      </c>
      <c r="H1015" s="12">
        <f>IF(OR($B1015="",$C1015="",$G1015=""),"",COUNTIFS(Ventes_Encaissements!$E$6:$E$3005,$B1015,Ventes_Encaissements!$J$6:$J$3005,$G1015,Ventes_Encaissements!$C$6:$C$3005,"&gt;="&amp;($C1015-3),Ventes_Encaissements!$C$6:$C$3005,"&lt;="&amp;($C1015+3)))</f>
        <v/>
      </c>
      <c r="I1015" s="12">
        <f>IF($H1015="","",IF($H1015=0,"Non trouvé",IF($H1015=1,"Match","À vérifier")))</f>
        <v/>
      </c>
      <c r="J1015" s="21">
        <f>IF($I1015&lt;&gt;"Match","",INDEX(Ventes_Encaissements!$B$6:$B$3005,_xludf.AGGREGATE(15,6,(ROW(Ventes_Encaissements!$B$6:$B$3005)-ROW(Ventes_Encaissements!$B$6)+1)/((Ventes_Encaissements!$E$6:$E$3005=$B1015)*(Ventes_Encaissements!$J$6:$J$3005=$G1015)*(Ventes_Encaissements!$C$6:$C$3005&gt;=$C1015-3)*(Ventes_Encaissements!$C$6:$C$3005&lt;=$C1015+3)),1)))</f>
        <v/>
      </c>
      <c r="K1015" s="6" t="n"/>
    </row>
    <row r="1016">
      <c r="A1016" s="6" t="n"/>
      <c r="B1016" s="6" t="n"/>
      <c r="C1016" s="19" t="n"/>
      <c r="D1016" s="19" t="n"/>
      <c r="E1016" s="6" t="n"/>
      <c r="F1016" s="20" t="n"/>
      <c r="G1016" s="9">
        <f>IF($F1016="","",IF($F1016&gt;0,ROUND($F1016,2),""))</f>
        <v/>
      </c>
      <c r="H1016" s="12">
        <f>IF(OR($B1016="",$C1016="",$G1016=""),"",COUNTIFS(Ventes_Encaissements!$E$6:$E$3005,$B1016,Ventes_Encaissements!$J$6:$J$3005,$G1016,Ventes_Encaissements!$C$6:$C$3005,"&gt;="&amp;($C1016-3),Ventes_Encaissements!$C$6:$C$3005,"&lt;="&amp;($C1016+3)))</f>
        <v/>
      </c>
      <c r="I1016" s="12">
        <f>IF($H1016="","",IF($H1016=0,"Non trouvé",IF($H1016=1,"Match","À vérifier")))</f>
        <v/>
      </c>
      <c r="J1016" s="21">
        <f>IF($I1016&lt;&gt;"Match","",INDEX(Ventes_Encaissements!$B$6:$B$3005,_xludf.AGGREGATE(15,6,(ROW(Ventes_Encaissements!$B$6:$B$3005)-ROW(Ventes_Encaissements!$B$6)+1)/((Ventes_Encaissements!$E$6:$E$3005=$B1016)*(Ventes_Encaissements!$J$6:$J$3005=$G1016)*(Ventes_Encaissements!$C$6:$C$3005&gt;=$C1016-3)*(Ventes_Encaissements!$C$6:$C$3005&lt;=$C1016+3)),1)))</f>
        <v/>
      </c>
      <c r="K1016" s="6" t="n"/>
    </row>
    <row r="1017">
      <c r="A1017" s="6" t="n"/>
      <c r="B1017" s="6" t="n"/>
      <c r="C1017" s="19" t="n"/>
      <c r="D1017" s="19" t="n"/>
      <c r="E1017" s="6" t="n"/>
      <c r="F1017" s="20" t="n"/>
      <c r="G1017" s="9">
        <f>IF($F1017="","",IF($F1017&gt;0,ROUND($F1017,2),""))</f>
        <v/>
      </c>
      <c r="H1017" s="12">
        <f>IF(OR($B1017="",$C1017="",$G1017=""),"",COUNTIFS(Ventes_Encaissements!$E$6:$E$3005,$B1017,Ventes_Encaissements!$J$6:$J$3005,$G1017,Ventes_Encaissements!$C$6:$C$3005,"&gt;="&amp;($C1017-3),Ventes_Encaissements!$C$6:$C$3005,"&lt;="&amp;($C1017+3)))</f>
        <v/>
      </c>
      <c r="I1017" s="12">
        <f>IF($H1017="","",IF($H1017=0,"Non trouvé",IF($H1017=1,"Match","À vérifier")))</f>
        <v/>
      </c>
      <c r="J1017" s="21">
        <f>IF($I1017&lt;&gt;"Match","",INDEX(Ventes_Encaissements!$B$6:$B$3005,_xludf.AGGREGATE(15,6,(ROW(Ventes_Encaissements!$B$6:$B$3005)-ROW(Ventes_Encaissements!$B$6)+1)/((Ventes_Encaissements!$E$6:$E$3005=$B1017)*(Ventes_Encaissements!$J$6:$J$3005=$G1017)*(Ventes_Encaissements!$C$6:$C$3005&gt;=$C1017-3)*(Ventes_Encaissements!$C$6:$C$3005&lt;=$C1017+3)),1)))</f>
        <v/>
      </c>
      <c r="K1017" s="6" t="n"/>
    </row>
    <row r="1018">
      <c r="A1018" s="6" t="n"/>
      <c r="B1018" s="6" t="n"/>
      <c r="C1018" s="19" t="n"/>
      <c r="D1018" s="19" t="n"/>
      <c r="E1018" s="6" t="n"/>
      <c r="F1018" s="20" t="n"/>
      <c r="G1018" s="9">
        <f>IF($F1018="","",IF($F1018&gt;0,ROUND($F1018,2),""))</f>
        <v/>
      </c>
      <c r="H1018" s="12">
        <f>IF(OR($B1018="",$C1018="",$G1018=""),"",COUNTIFS(Ventes_Encaissements!$E$6:$E$3005,$B1018,Ventes_Encaissements!$J$6:$J$3005,$G1018,Ventes_Encaissements!$C$6:$C$3005,"&gt;="&amp;($C1018-3),Ventes_Encaissements!$C$6:$C$3005,"&lt;="&amp;($C1018+3)))</f>
        <v/>
      </c>
      <c r="I1018" s="12">
        <f>IF($H1018="","",IF($H1018=0,"Non trouvé",IF($H1018=1,"Match","À vérifier")))</f>
        <v/>
      </c>
      <c r="J1018" s="21">
        <f>IF($I1018&lt;&gt;"Match","",INDEX(Ventes_Encaissements!$B$6:$B$3005,_xludf.AGGREGATE(15,6,(ROW(Ventes_Encaissements!$B$6:$B$3005)-ROW(Ventes_Encaissements!$B$6)+1)/((Ventes_Encaissements!$E$6:$E$3005=$B1018)*(Ventes_Encaissements!$J$6:$J$3005=$G1018)*(Ventes_Encaissements!$C$6:$C$3005&gt;=$C1018-3)*(Ventes_Encaissements!$C$6:$C$3005&lt;=$C1018+3)),1)))</f>
        <v/>
      </c>
      <c r="K1018" s="6" t="n"/>
    </row>
    <row r="1019">
      <c r="A1019" s="6" t="n"/>
      <c r="B1019" s="6" t="n"/>
      <c r="C1019" s="19" t="n"/>
      <c r="D1019" s="19" t="n"/>
      <c r="E1019" s="6" t="n"/>
      <c r="F1019" s="20" t="n"/>
      <c r="G1019" s="9">
        <f>IF($F1019="","",IF($F1019&gt;0,ROUND($F1019,2),""))</f>
        <v/>
      </c>
      <c r="H1019" s="12">
        <f>IF(OR($B1019="",$C1019="",$G1019=""),"",COUNTIFS(Ventes_Encaissements!$E$6:$E$3005,$B1019,Ventes_Encaissements!$J$6:$J$3005,$G1019,Ventes_Encaissements!$C$6:$C$3005,"&gt;="&amp;($C1019-3),Ventes_Encaissements!$C$6:$C$3005,"&lt;="&amp;($C1019+3)))</f>
        <v/>
      </c>
      <c r="I1019" s="12">
        <f>IF($H1019="","",IF($H1019=0,"Non trouvé",IF($H1019=1,"Match","À vérifier")))</f>
        <v/>
      </c>
      <c r="J1019" s="21">
        <f>IF($I1019&lt;&gt;"Match","",INDEX(Ventes_Encaissements!$B$6:$B$3005,_xludf.AGGREGATE(15,6,(ROW(Ventes_Encaissements!$B$6:$B$3005)-ROW(Ventes_Encaissements!$B$6)+1)/((Ventes_Encaissements!$E$6:$E$3005=$B1019)*(Ventes_Encaissements!$J$6:$J$3005=$G1019)*(Ventes_Encaissements!$C$6:$C$3005&gt;=$C1019-3)*(Ventes_Encaissements!$C$6:$C$3005&lt;=$C1019+3)),1)))</f>
        <v/>
      </c>
      <c r="K1019" s="6" t="n"/>
    </row>
    <row r="1020">
      <c r="A1020" s="6" t="n"/>
      <c r="B1020" s="6" t="n"/>
      <c r="C1020" s="19" t="n"/>
      <c r="D1020" s="19" t="n"/>
      <c r="E1020" s="6" t="n"/>
      <c r="F1020" s="20" t="n"/>
      <c r="G1020" s="9">
        <f>IF($F1020="","",IF($F1020&gt;0,ROUND($F1020,2),""))</f>
        <v/>
      </c>
      <c r="H1020" s="12">
        <f>IF(OR($B1020="",$C1020="",$G1020=""),"",COUNTIFS(Ventes_Encaissements!$E$6:$E$3005,$B1020,Ventes_Encaissements!$J$6:$J$3005,$G1020,Ventes_Encaissements!$C$6:$C$3005,"&gt;="&amp;($C1020-3),Ventes_Encaissements!$C$6:$C$3005,"&lt;="&amp;($C1020+3)))</f>
        <v/>
      </c>
      <c r="I1020" s="12">
        <f>IF($H1020="","",IF($H1020=0,"Non trouvé",IF($H1020=1,"Match","À vérifier")))</f>
        <v/>
      </c>
      <c r="J1020" s="21">
        <f>IF($I1020&lt;&gt;"Match","",INDEX(Ventes_Encaissements!$B$6:$B$3005,_xludf.AGGREGATE(15,6,(ROW(Ventes_Encaissements!$B$6:$B$3005)-ROW(Ventes_Encaissements!$B$6)+1)/((Ventes_Encaissements!$E$6:$E$3005=$B1020)*(Ventes_Encaissements!$J$6:$J$3005=$G1020)*(Ventes_Encaissements!$C$6:$C$3005&gt;=$C1020-3)*(Ventes_Encaissements!$C$6:$C$3005&lt;=$C1020+3)),1)))</f>
        <v/>
      </c>
      <c r="K1020" s="6" t="n"/>
    </row>
    <row r="1021">
      <c r="A1021" s="6" t="n"/>
      <c r="B1021" s="6" t="n"/>
      <c r="C1021" s="19" t="n"/>
      <c r="D1021" s="19" t="n"/>
      <c r="E1021" s="6" t="n"/>
      <c r="F1021" s="20" t="n"/>
      <c r="G1021" s="9">
        <f>IF($F1021="","",IF($F1021&gt;0,ROUND($F1021,2),""))</f>
        <v/>
      </c>
      <c r="H1021" s="12">
        <f>IF(OR($B1021="",$C1021="",$G1021=""),"",COUNTIFS(Ventes_Encaissements!$E$6:$E$3005,$B1021,Ventes_Encaissements!$J$6:$J$3005,$G1021,Ventes_Encaissements!$C$6:$C$3005,"&gt;="&amp;($C1021-3),Ventes_Encaissements!$C$6:$C$3005,"&lt;="&amp;($C1021+3)))</f>
        <v/>
      </c>
      <c r="I1021" s="12">
        <f>IF($H1021="","",IF($H1021=0,"Non trouvé",IF($H1021=1,"Match","À vérifier")))</f>
        <v/>
      </c>
      <c r="J1021" s="21">
        <f>IF($I1021&lt;&gt;"Match","",INDEX(Ventes_Encaissements!$B$6:$B$3005,_xludf.AGGREGATE(15,6,(ROW(Ventes_Encaissements!$B$6:$B$3005)-ROW(Ventes_Encaissements!$B$6)+1)/((Ventes_Encaissements!$E$6:$E$3005=$B1021)*(Ventes_Encaissements!$J$6:$J$3005=$G1021)*(Ventes_Encaissements!$C$6:$C$3005&gt;=$C1021-3)*(Ventes_Encaissements!$C$6:$C$3005&lt;=$C1021+3)),1)))</f>
        <v/>
      </c>
      <c r="K1021" s="6" t="n"/>
    </row>
    <row r="1022">
      <c r="A1022" s="6" t="n"/>
      <c r="B1022" s="6" t="n"/>
      <c r="C1022" s="19" t="n"/>
      <c r="D1022" s="19" t="n"/>
      <c r="E1022" s="6" t="n"/>
      <c r="F1022" s="20" t="n"/>
      <c r="G1022" s="9">
        <f>IF($F1022="","",IF($F1022&gt;0,ROUND($F1022,2),""))</f>
        <v/>
      </c>
      <c r="H1022" s="12">
        <f>IF(OR($B1022="",$C1022="",$G1022=""),"",COUNTIFS(Ventes_Encaissements!$E$6:$E$3005,$B1022,Ventes_Encaissements!$J$6:$J$3005,$G1022,Ventes_Encaissements!$C$6:$C$3005,"&gt;="&amp;($C1022-3),Ventes_Encaissements!$C$6:$C$3005,"&lt;="&amp;($C1022+3)))</f>
        <v/>
      </c>
      <c r="I1022" s="12">
        <f>IF($H1022="","",IF($H1022=0,"Non trouvé",IF($H1022=1,"Match","À vérifier")))</f>
        <v/>
      </c>
      <c r="J1022" s="21">
        <f>IF($I1022&lt;&gt;"Match","",INDEX(Ventes_Encaissements!$B$6:$B$3005,_xludf.AGGREGATE(15,6,(ROW(Ventes_Encaissements!$B$6:$B$3005)-ROW(Ventes_Encaissements!$B$6)+1)/((Ventes_Encaissements!$E$6:$E$3005=$B1022)*(Ventes_Encaissements!$J$6:$J$3005=$G1022)*(Ventes_Encaissements!$C$6:$C$3005&gt;=$C1022-3)*(Ventes_Encaissements!$C$6:$C$3005&lt;=$C1022+3)),1)))</f>
        <v/>
      </c>
      <c r="K1022" s="6" t="n"/>
    </row>
    <row r="1023">
      <c r="A1023" s="6" t="n"/>
      <c r="B1023" s="6" t="n"/>
      <c r="C1023" s="19" t="n"/>
      <c r="D1023" s="19" t="n"/>
      <c r="E1023" s="6" t="n"/>
      <c r="F1023" s="20" t="n"/>
      <c r="G1023" s="9">
        <f>IF($F1023="","",IF($F1023&gt;0,ROUND($F1023,2),""))</f>
        <v/>
      </c>
      <c r="H1023" s="12">
        <f>IF(OR($B1023="",$C1023="",$G1023=""),"",COUNTIFS(Ventes_Encaissements!$E$6:$E$3005,$B1023,Ventes_Encaissements!$J$6:$J$3005,$G1023,Ventes_Encaissements!$C$6:$C$3005,"&gt;="&amp;($C1023-3),Ventes_Encaissements!$C$6:$C$3005,"&lt;="&amp;($C1023+3)))</f>
        <v/>
      </c>
      <c r="I1023" s="12">
        <f>IF($H1023="","",IF($H1023=0,"Non trouvé",IF($H1023=1,"Match","À vérifier")))</f>
        <v/>
      </c>
      <c r="J1023" s="21">
        <f>IF($I1023&lt;&gt;"Match","",INDEX(Ventes_Encaissements!$B$6:$B$3005,_xludf.AGGREGATE(15,6,(ROW(Ventes_Encaissements!$B$6:$B$3005)-ROW(Ventes_Encaissements!$B$6)+1)/((Ventes_Encaissements!$E$6:$E$3005=$B1023)*(Ventes_Encaissements!$J$6:$J$3005=$G1023)*(Ventes_Encaissements!$C$6:$C$3005&gt;=$C1023-3)*(Ventes_Encaissements!$C$6:$C$3005&lt;=$C1023+3)),1)))</f>
        <v/>
      </c>
      <c r="K1023" s="6" t="n"/>
    </row>
    <row r="1024">
      <c r="A1024" s="6" t="n"/>
      <c r="B1024" s="6" t="n"/>
      <c r="C1024" s="19" t="n"/>
      <c r="D1024" s="19" t="n"/>
      <c r="E1024" s="6" t="n"/>
      <c r="F1024" s="20" t="n"/>
      <c r="G1024" s="9">
        <f>IF($F1024="","",IF($F1024&gt;0,ROUND($F1024,2),""))</f>
        <v/>
      </c>
      <c r="H1024" s="12">
        <f>IF(OR($B1024="",$C1024="",$G1024=""),"",COUNTIFS(Ventes_Encaissements!$E$6:$E$3005,$B1024,Ventes_Encaissements!$J$6:$J$3005,$G1024,Ventes_Encaissements!$C$6:$C$3005,"&gt;="&amp;($C1024-3),Ventes_Encaissements!$C$6:$C$3005,"&lt;="&amp;($C1024+3)))</f>
        <v/>
      </c>
      <c r="I1024" s="12">
        <f>IF($H1024="","",IF($H1024=0,"Non trouvé",IF($H1024=1,"Match","À vérifier")))</f>
        <v/>
      </c>
      <c r="J1024" s="21">
        <f>IF($I1024&lt;&gt;"Match","",INDEX(Ventes_Encaissements!$B$6:$B$3005,_xludf.AGGREGATE(15,6,(ROW(Ventes_Encaissements!$B$6:$B$3005)-ROW(Ventes_Encaissements!$B$6)+1)/((Ventes_Encaissements!$E$6:$E$3005=$B1024)*(Ventes_Encaissements!$J$6:$J$3005=$G1024)*(Ventes_Encaissements!$C$6:$C$3005&gt;=$C1024-3)*(Ventes_Encaissements!$C$6:$C$3005&lt;=$C1024+3)),1)))</f>
        <v/>
      </c>
      <c r="K1024" s="6" t="n"/>
    </row>
    <row r="1025">
      <c r="A1025" s="6" t="n"/>
      <c r="B1025" s="6" t="n"/>
      <c r="C1025" s="19" t="n"/>
      <c r="D1025" s="19" t="n"/>
      <c r="E1025" s="6" t="n"/>
      <c r="F1025" s="20" t="n"/>
      <c r="G1025" s="9">
        <f>IF($F1025="","",IF($F1025&gt;0,ROUND($F1025,2),""))</f>
        <v/>
      </c>
      <c r="H1025" s="12">
        <f>IF(OR($B1025="",$C1025="",$G1025=""),"",COUNTIFS(Ventes_Encaissements!$E$6:$E$3005,$B1025,Ventes_Encaissements!$J$6:$J$3005,$G1025,Ventes_Encaissements!$C$6:$C$3005,"&gt;="&amp;($C1025-3),Ventes_Encaissements!$C$6:$C$3005,"&lt;="&amp;($C1025+3)))</f>
        <v/>
      </c>
      <c r="I1025" s="12">
        <f>IF($H1025="","",IF($H1025=0,"Non trouvé",IF($H1025=1,"Match","À vérifier")))</f>
        <v/>
      </c>
      <c r="J1025" s="21">
        <f>IF($I1025&lt;&gt;"Match","",INDEX(Ventes_Encaissements!$B$6:$B$3005,_xludf.AGGREGATE(15,6,(ROW(Ventes_Encaissements!$B$6:$B$3005)-ROW(Ventes_Encaissements!$B$6)+1)/((Ventes_Encaissements!$E$6:$E$3005=$B1025)*(Ventes_Encaissements!$J$6:$J$3005=$G1025)*(Ventes_Encaissements!$C$6:$C$3005&gt;=$C1025-3)*(Ventes_Encaissements!$C$6:$C$3005&lt;=$C1025+3)),1)))</f>
        <v/>
      </c>
      <c r="K1025" s="6" t="n"/>
    </row>
    <row r="1026">
      <c r="A1026" s="6" t="n"/>
      <c r="B1026" s="6" t="n"/>
      <c r="C1026" s="19" t="n"/>
      <c r="D1026" s="19" t="n"/>
      <c r="E1026" s="6" t="n"/>
      <c r="F1026" s="20" t="n"/>
      <c r="G1026" s="9">
        <f>IF($F1026="","",IF($F1026&gt;0,ROUND($F1026,2),""))</f>
        <v/>
      </c>
      <c r="H1026" s="12">
        <f>IF(OR($B1026="",$C1026="",$G1026=""),"",COUNTIFS(Ventes_Encaissements!$E$6:$E$3005,$B1026,Ventes_Encaissements!$J$6:$J$3005,$G1026,Ventes_Encaissements!$C$6:$C$3005,"&gt;="&amp;($C1026-3),Ventes_Encaissements!$C$6:$C$3005,"&lt;="&amp;($C1026+3)))</f>
        <v/>
      </c>
      <c r="I1026" s="12">
        <f>IF($H1026="","",IF($H1026=0,"Non trouvé",IF($H1026=1,"Match","À vérifier")))</f>
        <v/>
      </c>
      <c r="J1026" s="21">
        <f>IF($I1026&lt;&gt;"Match","",INDEX(Ventes_Encaissements!$B$6:$B$3005,_xludf.AGGREGATE(15,6,(ROW(Ventes_Encaissements!$B$6:$B$3005)-ROW(Ventes_Encaissements!$B$6)+1)/((Ventes_Encaissements!$E$6:$E$3005=$B1026)*(Ventes_Encaissements!$J$6:$J$3005=$G1026)*(Ventes_Encaissements!$C$6:$C$3005&gt;=$C1026-3)*(Ventes_Encaissements!$C$6:$C$3005&lt;=$C1026+3)),1)))</f>
        <v/>
      </c>
      <c r="K1026" s="6" t="n"/>
    </row>
    <row r="1027">
      <c r="A1027" s="6" t="n"/>
      <c r="B1027" s="6" t="n"/>
      <c r="C1027" s="19" t="n"/>
      <c r="D1027" s="19" t="n"/>
      <c r="E1027" s="6" t="n"/>
      <c r="F1027" s="20" t="n"/>
      <c r="G1027" s="9">
        <f>IF($F1027="","",IF($F1027&gt;0,ROUND($F1027,2),""))</f>
        <v/>
      </c>
      <c r="H1027" s="12">
        <f>IF(OR($B1027="",$C1027="",$G1027=""),"",COUNTIFS(Ventes_Encaissements!$E$6:$E$3005,$B1027,Ventes_Encaissements!$J$6:$J$3005,$G1027,Ventes_Encaissements!$C$6:$C$3005,"&gt;="&amp;($C1027-3),Ventes_Encaissements!$C$6:$C$3005,"&lt;="&amp;($C1027+3)))</f>
        <v/>
      </c>
      <c r="I1027" s="12">
        <f>IF($H1027="","",IF($H1027=0,"Non trouvé",IF($H1027=1,"Match","À vérifier")))</f>
        <v/>
      </c>
      <c r="J1027" s="21">
        <f>IF($I1027&lt;&gt;"Match","",INDEX(Ventes_Encaissements!$B$6:$B$3005,_xludf.AGGREGATE(15,6,(ROW(Ventes_Encaissements!$B$6:$B$3005)-ROW(Ventes_Encaissements!$B$6)+1)/((Ventes_Encaissements!$E$6:$E$3005=$B1027)*(Ventes_Encaissements!$J$6:$J$3005=$G1027)*(Ventes_Encaissements!$C$6:$C$3005&gt;=$C1027-3)*(Ventes_Encaissements!$C$6:$C$3005&lt;=$C1027+3)),1)))</f>
        <v/>
      </c>
      <c r="K1027" s="6" t="n"/>
    </row>
    <row r="1028">
      <c r="A1028" s="6" t="n"/>
      <c r="B1028" s="6" t="n"/>
      <c r="C1028" s="19" t="n"/>
      <c r="D1028" s="19" t="n"/>
      <c r="E1028" s="6" t="n"/>
      <c r="F1028" s="20" t="n"/>
      <c r="G1028" s="9">
        <f>IF($F1028="","",IF($F1028&gt;0,ROUND($F1028,2),""))</f>
        <v/>
      </c>
      <c r="H1028" s="12">
        <f>IF(OR($B1028="",$C1028="",$G1028=""),"",COUNTIFS(Ventes_Encaissements!$E$6:$E$3005,$B1028,Ventes_Encaissements!$J$6:$J$3005,$G1028,Ventes_Encaissements!$C$6:$C$3005,"&gt;="&amp;($C1028-3),Ventes_Encaissements!$C$6:$C$3005,"&lt;="&amp;($C1028+3)))</f>
        <v/>
      </c>
      <c r="I1028" s="12">
        <f>IF($H1028="","",IF($H1028=0,"Non trouvé",IF($H1028=1,"Match","À vérifier")))</f>
        <v/>
      </c>
      <c r="J1028" s="21">
        <f>IF($I1028&lt;&gt;"Match","",INDEX(Ventes_Encaissements!$B$6:$B$3005,_xludf.AGGREGATE(15,6,(ROW(Ventes_Encaissements!$B$6:$B$3005)-ROW(Ventes_Encaissements!$B$6)+1)/((Ventes_Encaissements!$E$6:$E$3005=$B1028)*(Ventes_Encaissements!$J$6:$J$3005=$G1028)*(Ventes_Encaissements!$C$6:$C$3005&gt;=$C1028-3)*(Ventes_Encaissements!$C$6:$C$3005&lt;=$C1028+3)),1)))</f>
        <v/>
      </c>
      <c r="K1028" s="6" t="n"/>
    </row>
    <row r="1029">
      <c r="A1029" s="6" t="n"/>
      <c r="B1029" s="6" t="n"/>
      <c r="C1029" s="19" t="n"/>
      <c r="D1029" s="19" t="n"/>
      <c r="E1029" s="6" t="n"/>
      <c r="F1029" s="20" t="n"/>
      <c r="G1029" s="9">
        <f>IF($F1029="","",IF($F1029&gt;0,ROUND($F1029,2),""))</f>
        <v/>
      </c>
      <c r="H1029" s="12">
        <f>IF(OR($B1029="",$C1029="",$G1029=""),"",COUNTIFS(Ventes_Encaissements!$E$6:$E$3005,$B1029,Ventes_Encaissements!$J$6:$J$3005,$G1029,Ventes_Encaissements!$C$6:$C$3005,"&gt;="&amp;($C1029-3),Ventes_Encaissements!$C$6:$C$3005,"&lt;="&amp;($C1029+3)))</f>
        <v/>
      </c>
      <c r="I1029" s="12">
        <f>IF($H1029="","",IF($H1029=0,"Non trouvé",IF($H1029=1,"Match","À vérifier")))</f>
        <v/>
      </c>
      <c r="J1029" s="21">
        <f>IF($I1029&lt;&gt;"Match","",INDEX(Ventes_Encaissements!$B$6:$B$3005,_xludf.AGGREGATE(15,6,(ROW(Ventes_Encaissements!$B$6:$B$3005)-ROW(Ventes_Encaissements!$B$6)+1)/((Ventes_Encaissements!$E$6:$E$3005=$B1029)*(Ventes_Encaissements!$J$6:$J$3005=$G1029)*(Ventes_Encaissements!$C$6:$C$3005&gt;=$C1029-3)*(Ventes_Encaissements!$C$6:$C$3005&lt;=$C1029+3)),1)))</f>
        <v/>
      </c>
      <c r="K1029" s="6" t="n"/>
    </row>
    <row r="1030">
      <c r="A1030" s="6" t="n"/>
      <c r="B1030" s="6" t="n"/>
      <c r="C1030" s="19" t="n"/>
      <c r="D1030" s="19" t="n"/>
      <c r="E1030" s="6" t="n"/>
      <c r="F1030" s="20" t="n"/>
      <c r="G1030" s="9">
        <f>IF($F1030="","",IF($F1030&gt;0,ROUND($F1030,2),""))</f>
        <v/>
      </c>
      <c r="H1030" s="12">
        <f>IF(OR($B1030="",$C1030="",$G1030=""),"",COUNTIFS(Ventes_Encaissements!$E$6:$E$3005,$B1030,Ventes_Encaissements!$J$6:$J$3005,$G1030,Ventes_Encaissements!$C$6:$C$3005,"&gt;="&amp;($C1030-3),Ventes_Encaissements!$C$6:$C$3005,"&lt;="&amp;($C1030+3)))</f>
        <v/>
      </c>
      <c r="I1030" s="12">
        <f>IF($H1030="","",IF($H1030=0,"Non trouvé",IF($H1030=1,"Match","À vérifier")))</f>
        <v/>
      </c>
      <c r="J1030" s="21">
        <f>IF($I1030&lt;&gt;"Match","",INDEX(Ventes_Encaissements!$B$6:$B$3005,_xludf.AGGREGATE(15,6,(ROW(Ventes_Encaissements!$B$6:$B$3005)-ROW(Ventes_Encaissements!$B$6)+1)/((Ventes_Encaissements!$E$6:$E$3005=$B1030)*(Ventes_Encaissements!$J$6:$J$3005=$G1030)*(Ventes_Encaissements!$C$6:$C$3005&gt;=$C1030-3)*(Ventes_Encaissements!$C$6:$C$3005&lt;=$C1030+3)),1)))</f>
        <v/>
      </c>
      <c r="K1030" s="6" t="n"/>
    </row>
    <row r="1031">
      <c r="A1031" s="6" t="n"/>
      <c r="B1031" s="6" t="n"/>
      <c r="C1031" s="19" t="n"/>
      <c r="D1031" s="19" t="n"/>
      <c r="E1031" s="6" t="n"/>
      <c r="F1031" s="20" t="n"/>
      <c r="G1031" s="9">
        <f>IF($F1031="","",IF($F1031&gt;0,ROUND($F1031,2),""))</f>
        <v/>
      </c>
      <c r="H1031" s="12">
        <f>IF(OR($B1031="",$C1031="",$G1031=""),"",COUNTIFS(Ventes_Encaissements!$E$6:$E$3005,$B1031,Ventes_Encaissements!$J$6:$J$3005,$G1031,Ventes_Encaissements!$C$6:$C$3005,"&gt;="&amp;($C1031-3),Ventes_Encaissements!$C$6:$C$3005,"&lt;="&amp;($C1031+3)))</f>
        <v/>
      </c>
      <c r="I1031" s="12">
        <f>IF($H1031="","",IF($H1031=0,"Non trouvé",IF($H1031=1,"Match","À vérifier")))</f>
        <v/>
      </c>
      <c r="J1031" s="21">
        <f>IF($I1031&lt;&gt;"Match","",INDEX(Ventes_Encaissements!$B$6:$B$3005,_xludf.AGGREGATE(15,6,(ROW(Ventes_Encaissements!$B$6:$B$3005)-ROW(Ventes_Encaissements!$B$6)+1)/((Ventes_Encaissements!$E$6:$E$3005=$B1031)*(Ventes_Encaissements!$J$6:$J$3005=$G1031)*(Ventes_Encaissements!$C$6:$C$3005&gt;=$C1031-3)*(Ventes_Encaissements!$C$6:$C$3005&lt;=$C1031+3)),1)))</f>
        <v/>
      </c>
      <c r="K1031" s="6" t="n"/>
    </row>
    <row r="1032">
      <c r="A1032" s="6" t="n"/>
      <c r="B1032" s="6" t="n"/>
      <c r="C1032" s="19" t="n"/>
      <c r="D1032" s="19" t="n"/>
      <c r="E1032" s="6" t="n"/>
      <c r="F1032" s="20" t="n"/>
      <c r="G1032" s="9">
        <f>IF($F1032="","",IF($F1032&gt;0,ROUND($F1032,2),""))</f>
        <v/>
      </c>
      <c r="H1032" s="12">
        <f>IF(OR($B1032="",$C1032="",$G1032=""),"",COUNTIFS(Ventes_Encaissements!$E$6:$E$3005,$B1032,Ventes_Encaissements!$J$6:$J$3005,$G1032,Ventes_Encaissements!$C$6:$C$3005,"&gt;="&amp;($C1032-3),Ventes_Encaissements!$C$6:$C$3005,"&lt;="&amp;($C1032+3)))</f>
        <v/>
      </c>
      <c r="I1032" s="12">
        <f>IF($H1032="","",IF($H1032=0,"Non trouvé",IF($H1032=1,"Match","À vérifier")))</f>
        <v/>
      </c>
      <c r="J1032" s="21">
        <f>IF($I1032&lt;&gt;"Match","",INDEX(Ventes_Encaissements!$B$6:$B$3005,_xludf.AGGREGATE(15,6,(ROW(Ventes_Encaissements!$B$6:$B$3005)-ROW(Ventes_Encaissements!$B$6)+1)/((Ventes_Encaissements!$E$6:$E$3005=$B1032)*(Ventes_Encaissements!$J$6:$J$3005=$G1032)*(Ventes_Encaissements!$C$6:$C$3005&gt;=$C1032-3)*(Ventes_Encaissements!$C$6:$C$3005&lt;=$C1032+3)),1)))</f>
        <v/>
      </c>
      <c r="K1032" s="6" t="n"/>
    </row>
    <row r="1033">
      <c r="A1033" s="6" t="n"/>
      <c r="B1033" s="6" t="n"/>
      <c r="C1033" s="19" t="n"/>
      <c r="D1033" s="19" t="n"/>
      <c r="E1033" s="6" t="n"/>
      <c r="F1033" s="20" t="n"/>
      <c r="G1033" s="9">
        <f>IF($F1033="","",IF($F1033&gt;0,ROUND($F1033,2),""))</f>
        <v/>
      </c>
      <c r="H1033" s="12">
        <f>IF(OR($B1033="",$C1033="",$G1033=""),"",COUNTIFS(Ventes_Encaissements!$E$6:$E$3005,$B1033,Ventes_Encaissements!$J$6:$J$3005,$G1033,Ventes_Encaissements!$C$6:$C$3005,"&gt;="&amp;($C1033-3),Ventes_Encaissements!$C$6:$C$3005,"&lt;="&amp;($C1033+3)))</f>
        <v/>
      </c>
      <c r="I1033" s="12">
        <f>IF($H1033="","",IF($H1033=0,"Non trouvé",IF($H1033=1,"Match","À vérifier")))</f>
        <v/>
      </c>
      <c r="J1033" s="21">
        <f>IF($I1033&lt;&gt;"Match","",INDEX(Ventes_Encaissements!$B$6:$B$3005,_xludf.AGGREGATE(15,6,(ROW(Ventes_Encaissements!$B$6:$B$3005)-ROW(Ventes_Encaissements!$B$6)+1)/((Ventes_Encaissements!$E$6:$E$3005=$B1033)*(Ventes_Encaissements!$J$6:$J$3005=$G1033)*(Ventes_Encaissements!$C$6:$C$3005&gt;=$C1033-3)*(Ventes_Encaissements!$C$6:$C$3005&lt;=$C1033+3)),1)))</f>
        <v/>
      </c>
      <c r="K1033" s="6" t="n"/>
    </row>
    <row r="1034">
      <c r="A1034" s="6" t="n"/>
      <c r="B1034" s="6" t="n"/>
      <c r="C1034" s="19" t="n"/>
      <c r="D1034" s="19" t="n"/>
      <c r="E1034" s="6" t="n"/>
      <c r="F1034" s="20" t="n"/>
      <c r="G1034" s="9">
        <f>IF($F1034="","",IF($F1034&gt;0,ROUND($F1034,2),""))</f>
        <v/>
      </c>
      <c r="H1034" s="12">
        <f>IF(OR($B1034="",$C1034="",$G1034=""),"",COUNTIFS(Ventes_Encaissements!$E$6:$E$3005,$B1034,Ventes_Encaissements!$J$6:$J$3005,$G1034,Ventes_Encaissements!$C$6:$C$3005,"&gt;="&amp;($C1034-3),Ventes_Encaissements!$C$6:$C$3005,"&lt;="&amp;($C1034+3)))</f>
        <v/>
      </c>
      <c r="I1034" s="12">
        <f>IF($H1034="","",IF($H1034=0,"Non trouvé",IF($H1034=1,"Match","À vérifier")))</f>
        <v/>
      </c>
      <c r="J1034" s="21">
        <f>IF($I1034&lt;&gt;"Match","",INDEX(Ventes_Encaissements!$B$6:$B$3005,_xludf.AGGREGATE(15,6,(ROW(Ventes_Encaissements!$B$6:$B$3005)-ROW(Ventes_Encaissements!$B$6)+1)/((Ventes_Encaissements!$E$6:$E$3005=$B1034)*(Ventes_Encaissements!$J$6:$J$3005=$G1034)*(Ventes_Encaissements!$C$6:$C$3005&gt;=$C1034-3)*(Ventes_Encaissements!$C$6:$C$3005&lt;=$C1034+3)),1)))</f>
        <v/>
      </c>
      <c r="K1034" s="6" t="n"/>
    </row>
    <row r="1035">
      <c r="A1035" s="6" t="n"/>
      <c r="B1035" s="6" t="n"/>
      <c r="C1035" s="19" t="n"/>
      <c r="D1035" s="19" t="n"/>
      <c r="E1035" s="6" t="n"/>
      <c r="F1035" s="20" t="n"/>
      <c r="G1035" s="9">
        <f>IF($F1035="","",IF($F1035&gt;0,ROUND($F1035,2),""))</f>
        <v/>
      </c>
      <c r="H1035" s="12">
        <f>IF(OR($B1035="",$C1035="",$G1035=""),"",COUNTIFS(Ventes_Encaissements!$E$6:$E$3005,$B1035,Ventes_Encaissements!$J$6:$J$3005,$G1035,Ventes_Encaissements!$C$6:$C$3005,"&gt;="&amp;($C1035-3),Ventes_Encaissements!$C$6:$C$3005,"&lt;="&amp;($C1035+3)))</f>
        <v/>
      </c>
      <c r="I1035" s="12">
        <f>IF($H1035="","",IF($H1035=0,"Non trouvé",IF($H1035=1,"Match","À vérifier")))</f>
        <v/>
      </c>
      <c r="J1035" s="21">
        <f>IF($I1035&lt;&gt;"Match","",INDEX(Ventes_Encaissements!$B$6:$B$3005,_xludf.AGGREGATE(15,6,(ROW(Ventes_Encaissements!$B$6:$B$3005)-ROW(Ventes_Encaissements!$B$6)+1)/((Ventes_Encaissements!$E$6:$E$3005=$B1035)*(Ventes_Encaissements!$J$6:$J$3005=$G1035)*(Ventes_Encaissements!$C$6:$C$3005&gt;=$C1035-3)*(Ventes_Encaissements!$C$6:$C$3005&lt;=$C1035+3)),1)))</f>
        <v/>
      </c>
      <c r="K1035" s="6" t="n"/>
    </row>
    <row r="1036">
      <c r="A1036" s="6" t="n"/>
      <c r="B1036" s="6" t="n"/>
      <c r="C1036" s="19" t="n"/>
      <c r="D1036" s="19" t="n"/>
      <c r="E1036" s="6" t="n"/>
      <c r="F1036" s="20" t="n"/>
      <c r="G1036" s="9">
        <f>IF($F1036="","",IF($F1036&gt;0,ROUND($F1036,2),""))</f>
        <v/>
      </c>
      <c r="H1036" s="12">
        <f>IF(OR($B1036="",$C1036="",$G1036=""),"",COUNTIFS(Ventes_Encaissements!$E$6:$E$3005,$B1036,Ventes_Encaissements!$J$6:$J$3005,$G1036,Ventes_Encaissements!$C$6:$C$3005,"&gt;="&amp;($C1036-3),Ventes_Encaissements!$C$6:$C$3005,"&lt;="&amp;($C1036+3)))</f>
        <v/>
      </c>
      <c r="I1036" s="12">
        <f>IF($H1036="","",IF($H1036=0,"Non trouvé",IF($H1036=1,"Match","À vérifier")))</f>
        <v/>
      </c>
      <c r="J1036" s="21">
        <f>IF($I1036&lt;&gt;"Match","",INDEX(Ventes_Encaissements!$B$6:$B$3005,_xludf.AGGREGATE(15,6,(ROW(Ventes_Encaissements!$B$6:$B$3005)-ROW(Ventes_Encaissements!$B$6)+1)/((Ventes_Encaissements!$E$6:$E$3005=$B1036)*(Ventes_Encaissements!$J$6:$J$3005=$G1036)*(Ventes_Encaissements!$C$6:$C$3005&gt;=$C1036-3)*(Ventes_Encaissements!$C$6:$C$3005&lt;=$C1036+3)),1)))</f>
        <v/>
      </c>
      <c r="K1036" s="6" t="n"/>
    </row>
    <row r="1037">
      <c r="A1037" s="6" t="n"/>
      <c r="B1037" s="6" t="n"/>
      <c r="C1037" s="19" t="n"/>
      <c r="D1037" s="19" t="n"/>
      <c r="E1037" s="6" t="n"/>
      <c r="F1037" s="20" t="n"/>
      <c r="G1037" s="9">
        <f>IF($F1037="","",IF($F1037&gt;0,ROUND($F1037,2),""))</f>
        <v/>
      </c>
      <c r="H1037" s="12">
        <f>IF(OR($B1037="",$C1037="",$G1037=""),"",COUNTIFS(Ventes_Encaissements!$E$6:$E$3005,$B1037,Ventes_Encaissements!$J$6:$J$3005,$G1037,Ventes_Encaissements!$C$6:$C$3005,"&gt;="&amp;($C1037-3),Ventes_Encaissements!$C$6:$C$3005,"&lt;="&amp;($C1037+3)))</f>
        <v/>
      </c>
      <c r="I1037" s="12">
        <f>IF($H1037="","",IF($H1037=0,"Non trouvé",IF($H1037=1,"Match","À vérifier")))</f>
        <v/>
      </c>
      <c r="J1037" s="21">
        <f>IF($I1037&lt;&gt;"Match","",INDEX(Ventes_Encaissements!$B$6:$B$3005,_xludf.AGGREGATE(15,6,(ROW(Ventes_Encaissements!$B$6:$B$3005)-ROW(Ventes_Encaissements!$B$6)+1)/((Ventes_Encaissements!$E$6:$E$3005=$B1037)*(Ventes_Encaissements!$J$6:$J$3005=$G1037)*(Ventes_Encaissements!$C$6:$C$3005&gt;=$C1037-3)*(Ventes_Encaissements!$C$6:$C$3005&lt;=$C1037+3)),1)))</f>
        <v/>
      </c>
      <c r="K1037" s="6" t="n"/>
    </row>
    <row r="1038">
      <c r="A1038" s="6" t="n"/>
      <c r="B1038" s="6" t="n"/>
      <c r="C1038" s="19" t="n"/>
      <c r="D1038" s="19" t="n"/>
      <c r="E1038" s="6" t="n"/>
      <c r="F1038" s="20" t="n"/>
      <c r="G1038" s="9">
        <f>IF($F1038="","",IF($F1038&gt;0,ROUND($F1038,2),""))</f>
        <v/>
      </c>
      <c r="H1038" s="12">
        <f>IF(OR($B1038="",$C1038="",$G1038=""),"",COUNTIFS(Ventes_Encaissements!$E$6:$E$3005,$B1038,Ventes_Encaissements!$J$6:$J$3005,$G1038,Ventes_Encaissements!$C$6:$C$3005,"&gt;="&amp;($C1038-3),Ventes_Encaissements!$C$6:$C$3005,"&lt;="&amp;($C1038+3)))</f>
        <v/>
      </c>
      <c r="I1038" s="12">
        <f>IF($H1038="","",IF($H1038=0,"Non trouvé",IF($H1038=1,"Match","À vérifier")))</f>
        <v/>
      </c>
      <c r="J1038" s="21">
        <f>IF($I1038&lt;&gt;"Match","",INDEX(Ventes_Encaissements!$B$6:$B$3005,_xludf.AGGREGATE(15,6,(ROW(Ventes_Encaissements!$B$6:$B$3005)-ROW(Ventes_Encaissements!$B$6)+1)/((Ventes_Encaissements!$E$6:$E$3005=$B1038)*(Ventes_Encaissements!$J$6:$J$3005=$G1038)*(Ventes_Encaissements!$C$6:$C$3005&gt;=$C1038-3)*(Ventes_Encaissements!$C$6:$C$3005&lt;=$C1038+3)),1)))</f>
        <v/>
      </c>
      <c r="K1038" s="6" t="n"/>
    </row>
    <row r="1039">
      <c r="A1039" s="6" t="n"/>
      <c r="B1039" s="6" t="n"/>
      <c r="C1039" s="19" t="n"/>
      <c r="D1039" s="19" t="n"/>
      <c r="E1039" s="6" t="n"/>
      <c r="F1039" s="20" t="n"/>
      <c r="G1039" s="9">
        <f>IF($F1039="","",IF($F1039&gt;0,ROUND($F1039,2),""))</f>
        <v/>
      </c>
      <c r="H1039" s="12">
        <f>IF(OR($B1039="",$C1039="",$G1039=""),"",COUNTIFS(Ventes_Encaissements!$E$6:$E$3005,$B1039,Ventes_Encaissements!$J$6:$J$3005,$G1039,Ventes_Encaissements!$C$6:$C$3005,"&gt;="&amp;($C1039-3),Ventes_Encaissements!$C$6:$C$3005,"&lt;="&amp;($C1039+3)))</f>
        <v/>
      </c>
      <c r="I1039" s="12">
        <f>IF($H1039="","",IF($H1039=0,"Non trouvé",IF($H1039=1,"Match","À vérifier")))</f>
        <v/>
      </c>
      <c r="J1039" s="21">
        <f>IF($I1039&lt;&gt;"Match","",INDEX(Ventes_Encaissements!$B$6:$B$3005,_xludf.AGGREGATE(15,6,(ROW(Ventes_Encaissements!$B$6:$B$3005)-ROW(Ventes_Encaissements!$B$6)+1)/((Ventes_Encaissements!$E$6:$E$3005=$B1039)*(Ventes_Encaissements!$J$6:$J$3005=$G1039)*(Ventes_Encaissements!$C$6:$C$3005&gt;=$C1039-3)*(Ventes_Encaissements!$C$6:$C$3005&lt;=$C1039+3)),1)))</f>
        <v/>
      </c>
      <c r="K1039" s="6" t="n"/>
    </row>
    <row r="1040">
      <c r="A1040" s="6" t="n"/>
      <c r="B1040" s="6" t="n"/>
      <c r="C1040" s="19" t="n"/>
      <c r="D1040" s="19" t="n"/>
      <c r="E1040" s="6" t="n"/>
      <c r="F1040" s="20" t="n"/>
      <c r="G1040" s="9">
        <f>IF($F1040="","",IF($F1040&gt;0,ROUND($F1040,2),""))</f>
        <v/>
      </c>
      <c r="H1040" s="12">
        <f>IF(OR($B1040="",$C1040="",$G1040=""),"",COUNTIFS(Ventes_Encaissements!$E$6:$E$3005,$B1040,Ventes_Encaissements!$J$6:$J$3005,$G1040,Ventes_Encaissements!$C$6:$C$3005,"&gt;="&amp;($C1040-3),Ventes_Encaissements!$C$6:$C$3005,"&lt;="&amp;($C1040+3)))</f>
        <v/>
      </c>
      <c r="I1040" s="12">
        <f>IF($H1040="","",IF($H1040=0,"Non trouvé",IF($H1040=1,"Match","À vérifier")))</f>
        <v/>
      </c>
      <c r="J1040" s="21">
        <f>IF($I1040&lt;&gt;"Match","",INDEX(Ventes_Encaissements!$B$6:$B$3005,_xludf.AGGREGATE(15,6,(ROW(Ventes_Encaissements!$B$6:$B$3005)-ROW(Ventes_Encaissements!$B$6)+1)/((Ventes_Encaissements!$E$6:$E$3005=$B1040)*(Ventes_Encaissements!$J$6:$J$3005=$G1040)*(Ventes_Encaissements!$C$6:$C$3005&gt;=$C1040-3)*(Ventes_Encaissements!$C$6:$C$3005&lt;=$C1040+3)),1)))</f>
        <v/>
      </c>
      <c r="K1040" s="6" t="n"/>
    </row>
    <row r="1041">
      <c r="A1041" s="6" t="n"/>
      <c r="B1041" s="6" t="n"/>
      <c r="C1041" s="19" t="n"/>
      <c r="D1041" s="19" t="n"/>
      <c r="E1041" s="6" t="n"/>
      <c r="F1041" s="20" t="n"/>
      <c r="G1041" s="9">
        <f>IF($F1041="","",IF($F1041&gt;0,ROUND($F1041,2),""))</f>
        <v/>
      </c>
      <c r="H1041" s="12">
        <f>IF(OR($B1041="",$C1041="",$G1041=""),"",COUNTIFS(Ventes_Encaissements!$E$6:$E$3005,$B1041,Ventes_Encaissements!$J$6:$J$3005,$G1041,Ventes_Encaissements!$C$6:$C$3005,"&gt;="&amp;($C1041-3),Ventes_Encaissements!$C$6:$C$3005,"&lt;="&amp;($C1041+3)))</f>
        <v/>
      </c>
      <c r="I1041" s="12">
        <f>IF($H1041="","",IF($H1041=0,"Non trouvé",IF($H1041=1,"Match","À vérifier")))</f>
        <v/>
      </c>
      <c r="J1041" s="21">
        <f>IF($I1041&lt;&gt;"Match","",INDEX(Ventes_Encaissements!$B$6:$B$3005,_xludf.AGGREGATE(15,6,(ROW(Ventes_Encaissements!$B$6:$B$3005)-ROW(Ventes_Encaissements!$B$6)+1)/((Ventes_Encaissements!$E$6:$E$3005=$B1041)*(Ventes_Encaissements!$J$6:$J$3005=$G1041)*(Ventes_Encaissements!$C$6:$C$3005&gt;=$C1041-3)*(Ventes_Encaissements!$C$6:$C$3005&lt;=$C1041+3)),1)))</f>
        <v/>
      </c>
      <c r="K1041" s="6" t="n"/>
    </row>
    <row r="1042">
      <c r="A1042" s="6" t="n"/>
      <c r="B1042" s="6" t="n"/>
      <c r="C1042" s="19" t="n"/>
      <c r="D1042" s="19" t="n"/>
      <c r="E1042" s="6" t="n"/>
      <c r="F1042" s="20" t="n"/>
      <c r="G1042" s="9">
        <f>IF($F1042="","",IF($F1042&gt;0,ROUND($F1042,2),""))</f>
        <v/>
      </c>
      <c r="H1042" s="12">
        <f>IF(OR($B1042="",$C1042="",$G1042=""),"",COUNTIFS(Ventes_Encaissements!$E$6:$E$3005,$B1042,Ventes_Encaissements!$J$6:$J$3005,$G1042,Ventes_Encaissements!$C$6:$C$3005,"&gt;="&amp;($C1042-3),Ventes_Encaissements!$C$6:$C$3005,"&lt;="&amp;($C1042+3)))</f>
        <v/>
      </c>
      <c r="I1042" s="12">
        <f>IF($H1042="","",IF($H1042=0,"Non trouvé",IF($H1042=1,"Match","À vérifier")))</f>
        <v/>
      </c>
      <c r="J1042" s="21">
        <f>IF($I1042&lt;&gt;"Match","",INDEX(Ventes_Encaissements!$B$6:$B$3005,_xludf.AGGREGATE(15,6,(ROW(Ventes_Encaissements!$B$6:$B$3005)-ROW(Ventes_Encaissements!$B$6)+1)/((Ventes_Encaissements!$E$6:$E$3005=$B1042)*(Ventes_Encaissements!$J$6:$J$3005=$G1042)*(Ventes_Encaissements!$C$6:$C$3005&gt;=$C1042-3)*(Ventes_Encaissements!$C$6:$C$3005&lt;=$C1042+3)),1)))</f>
        <v/>
      </c>
      <c r="K1042" s="6" t="n"/>
    </row>
    <row r="1043">
      <c r="A1043" s="6" t="n"/>
      <c r="B1043" s="6" t="n"/>
      <c r="C1043" s="19" t="n"/>
      <c r="D1043" s="19" t="n"/>
      <c r="E1043" s="6" t="n"/>
      <c r="F1043" s="20" t="n"/>
      <c r="G1043" s="9">
        <f>IF($F1043="","",IF($F1043&gt;0,ROUND($F1043,2),""))</f>
        <v/>
      </c>
      <c r="H1043" s="12">
        <f>IF(OR($B1043="",$C1043="",$G1043=""),"",COUNTIFS(Ventes_Encaissements!$E$6:$E$3005,$B1043,Ventes_Encaissements!$J$6:$J$3005,$G1043,Ventes_Encaissements!$C$6:$C$3005,"&gt;="&amp;($C1043-3),Ventes_Encaissements!$C$6:$C$3005,"&lt;="&amp;($C1043+3)))</f>
        <v/>
      </c>
      <c r="I1043" s="12">
        <f>IF($H1043="","",IF($H1043=0,"Non trouvé",IF($H1043=1,"Match","À vérifier")))</f>
        <v/>
      </c>
      <c r="J1043" s="21">
        <f>IF($I1043&lt;&gt;"Match","",INDEX(Ventes_Encaissements!$B$6:$B$3005,_xludf.AGGREGATE(15,6,(ROW(Ventes_Encaissements!$B$6:$B$3005)-ROW(Ventes_Encaissements!$B$6)+1)/((Ventes_Encaissements!$E$6:$E$3005=$B1043)*(Ventes_Encaissements!$J$6:$J$3005=$G1043)*(Ventes_Encaissements!$C$6:$C$3005&gt;=$C1043-3)*(Ventes_Encaissements!$C$6:$C$3005&lt;=$C1043+3)),1)))</f>
        <v/>
      </c>
      <c r="K1043" s="6" t="n"/>
    </row>
    <row r="1044">
      <c r="A1044" s="6" t="n"/>
      <c r="B1044" s="6" t="n"/>
      <c r="C1044" s="19" t="n"/>
      <c r="D1044" s="19" t="n"/>
      <c r="E1044" s="6" t="n"/>
      <c r="F1044" s="20" t="n"/>
      <c r="G1044" s="9">
        <f>IF($F1044="","",IF($F1044&gt;0,ROUND($F1044,2),""))</f>
        <v/>
      </c>
      <c r="H1044" s="12">
        <f>IF(OR($B1044="",$C1044="",$G1044=""),"",COUNTIFS(Ventes_Encaissements!$E$6:$E$3005,$B1044,Ventes_Encaissements!$J$6:$J$3005,$G1044,Ventes_Encaissements!$C$6:$C$3005,"&gt;="&amp;($C1044-3),Ventes_Encaissements!$C$6:$C$3005,"&lt;="&amp;($C1044+3)))</f>
        <v/>
      </c>
      <c r="I1044" s="12">
        <f>IF($H1044="","",IF($H1044=0,"Non trouvé",IF($H1044=1,"Match","À vérifier")))</f>
        <v/>
      </c>
      <c r="J1044" s="21">
        <f>IF($I1044&lt;&gt;"Match","",INDEX(Ventes_Encaissements!$B$6:$B$3005,_xludf.AGGREGATE(15,6,(ROW(Ventes_Encaissements!$B$6:$B$3005)-ROW(Ventes_Encaissements!$B$6)+1)/((Ventes_Encaissements!$E$6:$E$3005=$B1044)*(Ventes_Encaissements!$J$6:$J$3005=$G1044)*(Ventes_Encaissements!$C$6:$C$3005&gt;=$C1044-3)*(Ventes_Encaissements!$C$6:$C$3005&lt;=$C1044+3)),1)))</f>
        <v/>
      </c>
      <c r="K1044" s="6" t="n"/>
    </row>
    <row r="1045">
      <c r="A1045" s="6" t="n"/>
      <c r="B1045" s="6" t="n"/>
      <c r="C1045" s="19" t="n"/>
      <c r="D1045" s="19" t="n"/>
      <c r="E1045" s="6" t="n"/>
      <c r="F1045" s="20" t="n"/>
      <c r="G1045" s="9">
        <f>IF($F1045="","",IF($F1045&gt;0,ROUND($F1045,2),""))</f>
        <v/>
      </c>
      <c r="H1045" s="12">
        <f>IF(OR($B1045="",$C1045="",$G1045=""),"",COUNTIFS(Ventes_Encaissements!$E$6:$E$3005,$B1045,Ventes_Encaissements!$J$6:$J$3005,$G1045,Ventes_Encaissements!$C$6:$C$3005,"&gt;="&amp;($C1045-3),Ventes_Encaissements!$C$6:$C$3005,"&lt;="&amp;($C1045+3)))</f>
        <v/>
      </c>
      <c r="I1045" s="12">
        <f>IF($H1045="","",IF($H1045=0,"Non trouvé",IF($H1045=1,"Match","À vérifier")))</f>
        <v/>
      </c>
      <c r="J1045" s="21">
        <f>IF($I1045&lt;&gt;"Match","",INDEX(Ventes_Encaissements!$B$6:$B$3005,_xludf.AGGREGATE(15,6,(ROW(Ventes_Encaissements!$B$6:$B$3005)-ROW(Ventes_Encaissements!$B$6)+1)/((Ventes_Encaissements!$E$6:$E$3005=$B1045)*(Ventes_Encaissements!$J$6:$J$3005=$G1045)*(Ventes_Encaissements!$C$6:$C$3005&gt;=$C1045-3)*(Ventes_Encaissements!$C$6:$C$3005&lt;=$C1045+3)),1)))</f>
        <v/>
      </c>
      <c r="K1045" s="6" t="n"/>
    </row>
    <row r="1046">
      <c r="A1046" s="6" t="n"/>
      <c r="B1046" s="6" t="n"/>
      <c r="C1046" s="19" t="n"/>
      <c r="D1046" s="19" t="n"/>
      <c r="E1046" s="6" t="n"/>
      <c r="F1046" s="20" t="n"/>
      <c r="G1046" s="9">
        <f>IF($F1046="","",IF($F1046&gt;0,ROUND($F1046,2),""))</f>
        <v/>
      </c>
      <c r="H1046" s="12">
        <f>IF(OR($B1046="",$C1046="",$G1046=""),"",COUNTIFS(Ventes_Encaissements!$E$6:$E$3005,$B1046,Ventes_Encaissements!$J$6:$J$3005,$G1046,Ventes_Encaissements!$C$6:$C$3005,"&gt;="&amp;($C1046-3),Ventes_Encaissements!$C$6:$C$3005,"&lt;="&amp;($C1046+3)))</f>
        <v/>
      </c>
      <c r="I1046" s="12">
        <f>IF($H1046="","",IF($H1046=0,"Non trouvé",IF($H1046=1,"Match","À vérifier")))</f>
        <v/>
      </c>
      <c r="J1046" s="21">
        <f>IF($I1046&lt;&gt;"Match","",INDEX(Ventes_Encaissements!$B$6:$B$3005,_xludf.AGGREGATE(15,6,(ROW(Ventes_Encaissements!$B$6:$B$3005)-ROW(Ventes_Encaissements!$B$6)+1)/((Ventes_Encaissements!$E$6:$E$3005=$B1046)*(Ventes_Encaissements!$J$6:$J$3005=$G1046)*(Ventes_Encaissements!$C$6:$C$3005&gt;=$C1046-3)*(Ventes_Encaissements!$C$6:$C$3005&lt;=$C1046+3)),1)))</f>
        <v/>
      </c>
      <c r="K1046" s="6" t="n"/>
    </row>
    <row r="1047">
      <c r="A1047" s="6" t="n"/>
      <c r="B1047" s="6" t="n"/>
      <c r="C1047" s="19" t="n"/>
      <c r="D1047" s="19" t="n"/>
      <c r="E1047" s="6" t="n"/>
      <c r="F1047" s="20" t="n"/>
      <c r="G1047" s="9">
        <f>IF($F1047="","",IF($F1047&gt;0,ROUND($F1047,2),""))</f>
        <v/>
      </c>
      <c r="H1047" s="12">
        <f>IF(OR($B1047="",$C1047="",$G1047=""),"",COUNTIFS(Ventes_Encaissements!$E$6:$E$3005,$B1047,Ventes_Encaissements!$J$6:$J$3005,$G1047,Ventes_Encaissements!$C$6:$C$3005,"&gt;="&amp;($C1047-3),Ventes_Encaissements!$C$6:$C$3005,"&lt;="&amp;($C1047+3)))</f>
        <v/>
      </c>
      <c r="I1047" s="12">
        <f>IF($H1047="","",IF($H1047=0,"Non trouvé",IF($H1047=1,"Match","À vérifier")))</f>
        <v/>
      </c>
      <c r="J1047" s="21">
        <f>IF($I1047&lt;&gt;"Match","",INDEX(Ventes_Encaissements!$B$6:$B$3005,_xludf.AGGREGATE(15,6,(ROW(Ventes_Encaissements!$B$6:$B$3005)-ROW(Ventes_Encaissements!$B$6)+1)/((Ventes_Encaissements!$E$6:$E$3005=$B1047)*(Ventes_Encaissements!$J$6:$J$3005=$G1047)*(Ventes_Encaissements!$C$6:$C$3005&gt;=$C1047-3)*(Ventes_Encaissements!$C$6:$C$3005&lt;=$C1047+3)),1)))</f>
        <v/>
      </c>
      <c r="K1047" s="6" t="n"/>
    </row>
    <row r="1048">
      <c r="A1048" s="6" t="n"/>
      <c r="B1048" s="6" t="n"/>
      <c r="C1048" s="19" t="n"/>
      <c r="D1048" s="19" t="n"/>
      <c r="E1048" s="6" t="n"/>
      <c r="F1048" s="20" t="n"/>
      <c r="G1048" s="9">
        <f>IF($F1048="","",IF($F1048&gt;0,ROUND($F1048,2),""))</f>
        <v/>
      </c>
      <c r="H1048" s="12">
        <f>IF(OR($B1048="",$C1048="",$G1048=""),"",COUNTIFS(Ventes_Encaissements!$E$6:$E$3005,$B1048,Ventes_Encaissements!$J$6:$J$3005,$G1048,Ventes_Encaissements!$C$6:$C$3005,"&gt;="&amp;($C1048-3),Ventes_Encaissements!$C$6:$C$3005,"&lt;="&amp;($C1048+3)))</f>
        <v/>
      </c>
      <c r="I1048" s="12">
        <f>IF($H1048="","",IF($H1048=0,"Non trouvé",IF($H1048=1,"Match","À vérifier")))</f>
        <v/>
      </c>
      <c r="J1048" s="21">
        <f>IF($I1048&lt;&gt;"Match","",INDEX(Ventes_Encaissements!$B$6:$B$3005,_xludf.AGGREGATE(15,6,(ROW(Ventes_Encaissements!$B$6:$B$3005)-ROW(Ventes_Encaissements!$B$6)+1)/((Ventes_Encaissements!$E$6:$E$3005=$B1048)*(Ventes_Encaissements!$J$6:$J$3005=$G1048)*(Ventes_Encaissements!$C$6:$C$3005&gt;=$C1048-3)*(Ventes_Encaissements!$C$6:$C$3005&lt;=$C1048+3)),1)))</f>
        <v/>
      </c>
      <c r="K1048" s="6" t="n"/>
    </row>
    <row r="1049">
      <c r="A1049" s="6" t="n"/>
      <c r="B1049" s="6" t="n"/>
      <c r="C1049" s="19" t="n"/>
      <c r="D1049" s="19" t="n"/>
      <c r="E1049" s="6" t="n"/>
      <c r="F1049" s="20" t="n"/>
      <c r="G1049" s="9">
        <f>IF($F1049="","",IF($F1049&gt;0,ROUND($F1049,2),""))</f>
        <v/>
      </c>
      <c r="H1049" s="12">
        <f>IF(OR($B1049="",$C1049="",$G1049=""),"",COUNTIFS(Ventes_Encaissements!$E$6:$E$3005,$B1049,Ventes_Encaissements!$J$6:$J$3005,$G1049,Ventes_Encaissements!$C$6:$C$3005,"&gt;="&amp;($C1049-3),Ventes_Encaissements!$C$6:$C$3005,"&lt;="&amp;($C1049+3)))</f>
        <v/>
      </c>
      <c r="I1049" s="12">
        <f>IF($H1049="","",IF($H1049=0,"Non trouvé",IF($H1049=1,"Match","À vérifier")))</f>
        <v/>
      </c>
      <c r="J1049" s="21">
        <f>IF($I1049&lt;&gt;"Match","",INDEX(Ventes_Encaissements!$B$6:$B$3005,_xludf.AGGREGATE(15,6,(ROW(Ventes_Encaissements!$B$6:$B$3005)-ROW(Ventes_Encaissements!$B$6)+1)/((Ventes_Encaissements!$E$6:$E$3005=$B1049)*(Ventes_Encaissements!$J$6:$J$3005=$G1049)*(Ventes_Encaissements!$C$6:$C$3005&gt;=$C1049-3)*(Ventes_Encaissements!$C$6:$C$3005&lt;=$C1049+3)),1)))</f>
        <v/>
      </c>
      <c r="K1049" s="6" t="n"/>
    </row>
    <row r="1050">
      <c r="A1050" s="6" t="n"/>
      <c r="B1050" s="6" t="n"/>
      <c r="C1050" s="19" t="n"/>
      <c r="D1050" s="19" t="n"/>
      <c r="E1050" s="6" t="n"/>
      <c r="F1050" s="20" t="n"/>
      <c r="G1050" s="9">
        <f>IF($F1050="","",IF($F1050&gt;0,ROUND($F1050,2),""))</f>
        <v/>
      </c>
      <c r="H1050" s="12">
        <f>IF(OR($B1050="",$C1050="",$G1050=""),"",COUNTIFS(Ventes_Encaissements!$E$6:$E$3005,$B1050,Ventes_Encaissements!$J$6:$J$3005,$G1050,Ventes_Encaissements!$C$6:$C$3005,"&gt;="&amp;($C1050-3),Ventes_Encaissements!$C$6:$C$3005,"&lt;="&amp;($C1050+3)))</f>
        <v/>
      </c>
      <c r="I1050" s="12">
        <f>IF($H1050="","",IF($H1050=0,"Non trouvé",IF($H1050=1,"Match","À vérifier")))</f>
        <v/>
      </c>
      <c r="J1050" s="21">
        <f>IF($I1050&lt;&gt;"Match","",INDEX(Ventes_Encaissements!$B$6:$B$3005,_xludf.AGGREGATE(15,6,(ROW(Ventes_Encaissements!$B$6:$B$3005)-ROW(Ventes_Encaissements!$B$6)+1)/((Ventes_Encaissements!$E$6:$E$3005=$B1050)*(Ventes_Encaissements!$J$6:$J$3005=$G1050)*(Ventes_Encaissements!$C$6:$C$3005&gt;=$C1050-3)*(Ventes_Encaissements!$C$6:$C$3005&lt;=$C1050+3)),1)))</f>
        <v/>
      </c>
      <c r="K1050" s="6" t="n"/>
    </row>
    <row r="1051">
      <c r="A1051" s="6" t="n"/>
      <c r="B1051" s="6" t="n"/>
      <c r="C1051" s="19" t="n"/>
      <c r="D1051" s="19" t="n"/>
      <c r="E1051" s="6" t="n"/>
      <c r="F1051" s="20" t="n"/>
      <c r="G1051" s="9">
        <f>IF($F1051="","",IF($F1051&gt;0,ROUND($F1051,2),""))</f>
        <v/>
      </c>
      <c r="H1051" s="12">
        <f>IF(OR($B1051="",$C1051="",$G1051=""),"",COUNTIFS(Ventes_Encaissements!$E$6:$E$3005,$B1051,Ventes_Encaissements!$J$6:$J$3005,$G1051,Ventes_Encaissements!$C$6:$C$3005,"&gt;="&amp;($C1051-3),Ventes_Encaissements!$C$6:$C$3005,"&lt;="&amp;($C1051+3)))</f>
        <v/>
      </c>
      <c r="I1051" s="12">
        <f>IF($H1051="","",IF($H1051=0,"Non trouvé",IF($H1051=1,"Match","À vérifier")))</f>
        <v/>
      </c>
      <c r="J1051" s="21">
        <f>IF($I1051&lt;&gt;"Match","",INDEX(Ventes_Encaissements!$B$6:$B$3005,_xludf.AGGREGATE(15,6,(ROW(Ventes_Encaissements!$B$6:$B$3005)-ROW(Ventes_Encaissements!$B$6)+1)/((Ventes_Encaissements!$E$6:$E$3005=$B1051)*(Ventes_Encaissements!$J$6:$J$3005=$G1051)*(Ventes_Encaissements!$C$6:$C$3005&gt;=$C1051-3)*(Ventes_Encaissements!$C$6:$C$3005&lt;=$C1051+3)),1)))</f>
        <v/>
      </c>
      <c r="K1051" s="6" t="n"/>
    </row>
    <row r="1052">
      <c r="A1052" s="6" t="n"/>
      <c r="B1052" s="6" t="n"/>
      <c r="C1052" s="19" t="n"/>
      <c r="D1052" s="19" t="n"/>
      <c r="E1052" s="6" t="n"/>
      <c r="F1052" s="20" t="n"/>
      <c r="G1052" s="9">
        <f>IF($F1052="","",IF($F1052&gt;0,ROUND($F1052,2),""))</f>
        <v/>
      </c>
      <c r="H1052" s="12">
        <f>IF(OR($B1052="",$C1052="",$G1052=""),"",COUNTIFS(Ventes_Encaissements!$E$6:$E$3005,$B1052,Ventes_Encaissements!$J$6:$J$3005,$G1052,Ventes_Encaissements!$C$6:$C$3005,"&gt;="&amp;($C1052-3),Ventes_Encaissements!$C$6:$C$3005,"&lt;="&amp;($C1052+3)))</f>
        <v/>
      </c>
      <c r="I1052" s="12">
        <f>IF($H1052="","",IF($H1052=0,"Non trouvé",IF($H1052=1,"Match","À vérifier")))</f>
        <v/>
      </c>
      <c r="J1052" s="21">
        <f>IF($I1052&lt;&gt;"Match","",INDEX(Ventes_Encaissements!$B$6:$B$3005,_xludf.AGGREGATE(15,6,(ROW(Ventes_Encaissements!$B$6:$B$3005)-ROW(Ventes_Encaissements!$B$6)+1)/((Ventes_Encaissements!$E$6:$E$3005=$B1052)*(Ventes_Encaissements!$J$6:$J$3005=$G1052)*(Ventes_Encaissements!$C$6:$C$3005&gt;=$C1052-3)*(Ventes_Encaissements!$C$6:$C$3005&lt;=$C1052+3)),1)))</f>
        <v/>
      </c>
      <c r="K1052" s="6" t="n"/>
    </row>
    <row r="1053">
      <c r="A1053" s="6" t="n"/>
      <c r="B1053" s="6" t="n"/>
      <c r="C1053" s="19" t="n"/>
      <c r="D1053" s="19" t="n"/>
      <c r="E1053" s="6" t="n"/>
      <c r="F1053" s="20" t="n"/>
      <c r="G1053" s="9">
        <f>IF($F1053="","",IF($F1053&gt;0,ROUND($F1053,2),""))</f>
        <v/>
      </c>
      <c r="H1053" s="12">
        <f>IF(OR($B1053="",$C1053="",$G1053=""),"",COUNTIFS(Ventes_Encaissements!$E$6:$E$3005,$B1053,Ventes_Encaissements!$J$6:$J$3005,$G1053,Ventes_Encaissements!$C$6:$C$3005,"&gt;="&amp;($C1053-3),Ventes_Encaissements!$C$6:$C$3005,"&lt;="&amp;($C1053+3)))</f>
        <v/>
      </c>
      <c r="I1053" s="12">
        <f>IF($H1053="","",IF($H1053=0,"Non trouvé",IF($H1053=1,"Match","À vérifier")))</f>
        <v/>
      </c>
      <c r="J1053" s="21">
        <f>IF($I1053&lt;&gt;"Match","",INDEX(Ventes_Encaissements!$B$6:$B$3005,_xludf.AGGREGATE(15,6,(ROW(Ventes_Encaissements!$B$6:$B$3005)-ROW(Ventes_Encaissements!$B$6)+1)/((Ventes_Encaissements!$E$6:$E$3005=$B1053)*(Ventes_Encaissements!$J$6:$J$3005=$G1053)*(Ventes_Encaissements!$C$6:$C$3005&gt;=$C1053-3)*(Ventes_Encaissements!$C$6:$C$3005&lt;=$C1053+3)),1)))</f>
        <v/>
      </c>
      <c r="K1053" s="6" t="n"/>
    </row>
    <row r="1054">
      <c r="A1054" s="6" t="n"/>
      <c r="B1054" s="6" t="n"/>
      <c r="C1054" s="19" t="n"/>
      <c r="D1054" s="19" t="n"/>
      <c r="E1054" s="6" t="n"/>
      <c r="F1054" s="20" t="n"/>
      <c r="G1054" s="9">
        <f>IF($F1054="","",IF($F1054&gt;0,ROUND($F1054,2),""))</f>
        <v/>
      </c>
      <c r="H1054" s="12">
        <f>IF(OR($B1054="",$C1054="",$G1054=""),"",COUNTIFS(Ventes_Encaissements!$E$6:$E$3005,$B1054,Ventes_Encaissements!$J$6:$J$3005,$G1054,Ventes_Encaissements!$C$6:$C$3005,"&gt;="&amp;($C1054-3),Ventes_Encaissements!$C$6:$C$3005,"&lt;="&amp;($C1054+3)))</f>
        <v/>
      </c>
      <c r="I1054" s="12">
        <f>IF($H1054="","",IF($H1054=0,"Non trouvé",IF($H1054=1,"Match","À vérifier")))</f>
        <v/>
      </c>
      <c r="J1054" s="21">
        <f>IF($I1054&lt;&gt;"Match","",INDEX(Ventes_Encaissements!$B$6:$B$3005,_xludf.AGGREGATE(15,6,(ROW(Ventes_Encaissements!$B$6:$B$3005)-ROW(Ventes_Encaissements!$B$6)+1)/((Ventes_Encaissements!$E$6:$E$3005=$B1054)*(Ventes_Encaissements!$J$6:$J$3005=$G1054)*(Ventes_Encaissements!$C$6:$C$3005&gt;=$C1054-3)*(Ventes_Encaissements!$C$6:$C$3005&lt;=$C1054+3)),1)))</f>
        <v/>
      </c>
      <c r="K1054" s="6" t="n"/>
    </row>
    <row r="1055">
      <c r="A1055" s="6" t="n"/>
      <c r="B1055" s="6" t="n"/>
      <c r="C1055" s="19" t="n"/>
      <c r="D1055" s="19" t="n"/>
      <c r="E1055" s="6" t="n"/>
      <c r="F1055" s="20" t="n"/>
      <c r="G1055" s="9">
        <f>IF($F1055="","",IF($F1055&gt;0,ROUND($F1055,2),""))</f>
        <v/>
      </c>
      <c r="H1055" s="12">
        <f>IF(OR($B1055="",$C1055="",$G1055=""),"",COUNTIFS(Ventes_Encaissements!$E$6:$E$3005,$B1055,Ventes_Encaissements!$J$6:$J$3005,$G1055,Ventes_Encaissements!$C$6:$C$3005,"&gt;="&amp;($C1055-3),Ventes_Encaissements!$C$6:$C$3005,"&lt;="&amp;($C1055+3)))</f>
        <v/>
      </c>
      <c r="I1055" s="12">
        <f>IF($H1055="","",IF($H1055=0,"Non trouvé",IF($H1055=1,"Match","À vérifier")))</f>
        <v/>
      </c>
      <c r="J1055" s="21">
        <f>IF($I1055&lt;&gt;"Match","",INDEX(Ventes_Encaissements!$B$6:$B$3005,_xludf.AGGREGATE(15,6,(ROW(Ventes_Encaissements!$B$6:$B$3005)-ROW(Ventes_Encaissements!$B$6)+1)/((Ventes_Encaissements!$E$6:$E$3005=$B1055)*(Ventes_Encaissements!$J$6:$J$3005=$G1055)*(Ventes_Encaissements!$C$6:$C$3005&gt;=$C1055-3)*(Ventes_Encaissements!$C$6:$C$3005&lt;=$C1055+3)),1)))</f>
        <v/>
      </c>
      <c r="K1055" s="6" t="n"/>
    </row>
    <row r="1056">
      <c r="A1056" s="6" t="n"/>
      <c r="B1056" s="6" t="n"/>
      <c r="C1056" s="19" t="n"/>
      <c r="D1056" s="19" t="n"/>
      <c r="E1056" s="6" t="n"/>
      <c r="F1056" s="20" t="n"/>
      <c r="G1056" s="9">
        <f>IF($F1056="","",IF($F1056&gt;0,ROUND($F1056,2),""))</f>
        <v/>
      </c>
      <c r="H1056" s="12">
        <f>IF(OR($B1056="",$C1056="",$G1056=""),"",COUNTIFS(Ventes_Encaissements!$E$6:$E$3005,$B1056,Ventes_Encaissements!$J$6:$J$3005,$G1056,Ventes_Encaissements!$C$6:$C$3005,"&gt;="&amp;($C1056-3),Ventes_Encaissements!$C$6:$C$3005,"&lt;="&amp;($C1056+3)))</f>
        <v/>
      </c>
      <c r="I1056" s="12">
        <f>IF($H1056="","",IF($H1056=0,"Non trouvé",IF($H1056=1,"Match","À vérifier")))</f>
        <v/>
      </c>
      <c r="J1056" s="21">
        <f>IF($I1056&lt;&gt;"Match","",INDEX(Ventes_Encaissements!$B$6:$B$3005,_xludf.AGGREGATE(15,6,(ROW(Ventes_Encaissements!$B$6:$B$3005)-ROW(Ventes_Encaissements!$B$6)+1)/((Ventes_Encaissements!$E$6:$E$3005=$B1056)*(Ventes_Encaissements!$J$6:$J$3005=$G1056)*(Ventes_Encaissements!$C$6:$C$3005&gt;=$C1056-3)*(Ventes_Encaissements!$C$6:$C$3005&lt;=$C1056+3)),1)))</f>
        <v/>
      </c>
      <c r="K1056" s="6" t="n"/>
    </row>
    <row r="1057">
      <c r="A1057" s="6" t="n"/>
      <c r="B1057" s="6" t="n"/>
      <c r="C1057" s="19" t="n"/>
      <c r="D1057" s="19" t="n"/>
      <c r="E1057" s="6" t="n"/>
      <c r="F1057" s="20" t="n"/>
      <c r="G1057" s="9">
        <f>IF($F1057="","",IF($F1057&gt;0,ROUND($F1057,2),""))</f>
        <v/>
      </c>
      <c r="H1057" s="12">
        <f>IF(OR($B1057="",$C1057="",$G1057=""),"",COUNTIFS(Ventes_Encaissements!$E$6:$E$3005,$B1057,Ventes_Encaissements!$J$6:$J$3005,$G1057,Ventes_Encaissements!$C$6:$C$3005,"&gt;="&amp;($C1057-3),Ventes_Encaissements!$C$6:$C$3005,"&lt;="&amp;($C1057+3)))</f>
        <v/>
      </c>
      <c r="I1057" s="12">
        <f>IF($H1057="","",IF($H1057=0,"Non trouvé",IF($H1057=1,"Match","À vérifier")))</f>
        <v/>
      </c>
      <c r="J1057" s="21">
        <f>IF($I1057&lt;&gt;"Match","",INDEX(Ventes_Encaissements!$B$6:$B$3005,_xludf.AGGREGATE(15,6,(ROW(Ventes_Encaissements!$B$6:$B$3005)-ROW(Ventes_Encaissements!$B$6)+1)/((Ventes_Encaissements!$E$6:$E$3005=$B1057)*(Ventes_Encaissements!$J$6:$J$3005=$G1057)*(Ventes_Encaissements!$C$6:$C$3005&gt;=$C1057-3)*(Ventes_Encaissements!$C$6:$C$3005&lt;=$C1057+3)),1)))</f>
        <v/>
      </c>
      <c r="K1057" s="6" t="n"/>
    </row>
    <row r="1058">
      <c r="A1058" s="6" t="n"/>
      <c r="B1058" s="6" t="n"/>
      <c r="C1058" s="19" t="n"/>
      <c r="D1058" s="19" t="n"/>
      <c r="E1058" s="6" t="n"/>
      <c r="F1058" s="20" t="n"/>
      <c r="G1058" s="9">
        <f>IF($F1058="","",IF($F1058&gt;0,ROUND($F1058,2),""))</f>
        <v/>
      </c>
      <c r="H1058" s="12">
        <f>IF(OR($B1058="",$C1058="",$G1058=""),"",COUNTIFS(Ventes_Encaissements!$E$6:$E$3005,$B1058,Ventes_Encaissements!$J$6:$J$3005,$G1058,Ventes_Encaissements!$C$6:$C$3005,"&gt;="&amp;($C1058-3),Ventes_Encaissements!$C$6:$C$3005,"&lt;="&amp;($C1058+3)))</f>
        <v/>
      </c>
      <c r="I1058" s="12">
        <f>IF($H1058="","",IF($H1058=0,"Non trouvé",IF($H1058=1,"Match","À vérifier")))</f>
        <v/>
      </c>
      <c r="J1058" s="21">
        <f>IF($I1058&lt;&gt;"Match","",INDEX(Ventes_Encaissements!$B$6:$B$3005,_xludf.AGGREGATE(15,6,(ROW(Ventes_Encaissements!$B$6:$B$3005)-ROW(Ventes_Encaissements!$B$6)+1)/((Ventes_Encaissements!$E$6:$E$3005=$B1058)*(Ventes_Encaissements!$J$6:$J$3005=$G1058)*(Ventes_Encaissements!$C$6:$C$3005&gt;=$C1058-3)*(Ventes_Encaissements!$C$6:$C$3005&lt;=$C1058+3)),1)))</f>
        <v/>
      </c>
      <c r="K1058" s="6" t="n"/>
    </row>
    <row r="1059">
      <c r="A1059" s="6" t="n"/>
      <c r="B1059" s="6" t="n"/>
      <c r="C1059" s="19" t="n"/>
      <c r="D1059" s="19" t="n"/>
      <c r="E1059" s="6" t="n"/>
      <c r="F1059" s="20" t="n"/>
      <c r="G1059" s="9">
        <f>IF($F1059="","",IF($F1059&gt;0,ROUND($F1059,2),""))</f>
        <v/>
      </c>
      <c r="H1059" s="12">
        <f>IF(OR($B1059="",$C1059="",$G1059=""),"",COUNTIFS(Ventes_Encaissements!$E$6:$E$3005,$B1059,Ventes_Encaissements!$J$6:$J$3005,$G1059,Ventes_Encaissements!$C$6:$C$3005,"&gt;="&amp;($C1059-3),Ventes_Encaissements!$C$6:$C$3005,"&lt;="&amp;($C1059+3)))</f>
        <v/>
      </c>
      <c r="I1059" s="12">
        <f>IF($H1059="","",IF($H1059=0,"Non trouvé",IF($H1059=1,"Match","À vérifier")))</f>
        <v/>
      </c>
      <c r="J1059" s="21">
        <f>IF($I1059&lt;&gt;"Match","",INDEX(Ventes_Encaissements!$B$6:$B$3005,_xludf.AGGREGATE(15,6,(ROW(Ventes_Encaissements!$B$6:$B$3005)-ROW(Ventes_Encaissements!$B$6)+1)/((Ventes_Encaissements!$E$6:$E$3005=$B1059)*(Ventes_Encaissements!$J$6:$J$3005=$G1059)*(Ventes_Encaissements!$C$6:$C$3005&gt;=$C1059-3)*(Ventes_Encaissements!$C$6:$C$3005&lt;=$C1059+3)),1)))</f>
        <v/>
      </c>
      <c r="K1059" s="6" t="n"/>
    </row>
    <row r="1060">
      <c r="A1060" s="6" t="n"/>
      <c r="B1060" s="6" t="n"/>
      <c r="C1060" s="19" t="n"/>
      <c r="D1060" s="19" t="n"/>
      <c r="E1060" s="6" t="n"/>
      <c r="F1060" s="20" t="n"/>
      <c r="G1060" s="9">
        <f>IF($F1060="","",IF($F1060&gt;0,ROUND($F1060,2),""))</f>
        <v/>
      </c>
      <c r="H1060" s="12">
        <f>IF(OR($B1060="",$C1060="",$G1060=""),"",COUNTIFS(Ventes_Encaissements!$E$6:$E$3005,$B1060,Ventes_Encaissements!$J$6:$J$3005,$G1060,Ventes_Encaissements!$C$6:$C$3005,"&gt;="&amp;($C1060-3),Ventes_Encaissements!$C$6:$C$3005,"&lt;="&amp;($C1060+3)))</f>
        <v/>
      </c>
      <c r="I1060" s="12">
        <f>IF($H1060="","",IF($H1060=0,"Non trouvé",IF($H1060=1,"Match","À vérifier")))</f>
        <v/>
      </c>
      <c r="J1060" s="21">
        <f>IF($I1060&lt;&gt;"Match","",INDEX(Ventes_Encaissements!$B$6:$B$3005,_xludf.AGGREGATE(15,6,(ROW(Ventes_Encaissements!$B$6:$B$3005)-ROW(Ventes_Encaissements!$B$6)+1)/((Ventes_Encaissements!$E$6:$E$3005=$B1060)*(Ventes_Encaissements!$J$6:$J$3005=$G1060)*(Ventes_Encaissements!$C$6:$C$3005&gt;=$C1060-3)*(Ventes_Encaissements!$C$6:$C$3005&lt;=$C1060+3)),1)))</f>
        <v/>
      </c>
      <c r="K1060" s="6" t="n"/>
    </row>
    <row r="1061">
      <c r="A1061" s="6" t="n"/>
      <c r="B1061" s="6" t="n"/>
      <c r="C1061" s="19" t="n"/>
      <c r="D1061" s="19" t="n"/>
      <c r="E1061" s="6" t="n"/>
      <c r="F1061" s="20" t="n"/>
      <c r="G1061" s="9">
        <f>IF($F1061="","",IF($F1061&gt;0,ROUND($F1061,2),""))</f>
        <v/>
      </c>
      <c r="H1061" s="12">
        <f>IF(OR($B1061="",$C1061="",$G1061=""),"",COUNTIFS(Ventes_Encaissements!$E$6:$E$3005,$B1061,Ventes_Encaissements!$J$6:$J$3005,$G1061,Ventes_Encaissements!$C$6:$C$3005,"&gt;="&amp;($C1061-3),Ventes_Encaissements!$C$6:$C$3005,"&lt;="&amp;($C1061+3)))</f>
        <v/>
      </c>
      <c r="I1061" s="12">
        <f>IF($H1061="","",IF($H1061=0,"Non trouvé",IF($H1061=1,"Match","À vérifier")))</f>
        <v/>
      </c>
      <c r="J1061" s="21">
        <f>IF($I1061&lt;&gt;"Match","",INDEX(Ventes_Encaissements!$B$6:$B$3005,_xludf.AGGREGATE(15,6,(ROW(Ventes_Encaissements!$B$6:$B$3005)-ROW(Ventes_Encaissements!$B$6)+1)/((Ventes_Encaissements!$E$6:$E$3005=$B1061)*(Ventes_Encaissements!$J$6:$J$3005=$G1061)*(Ventes_Encaissements!$C$6:$C$3005&gt;=$C1061-3)*(Ventes_Encaissements!$C$6:$C$3005&lt;=$C1061+3)),1)))</f>
        <v/>
      </c>
      <c r="K1061" s="6" t="n"/>
    </row>
    <row r="1062">
      <c r="A1062" s="6" t="n"/>
      <c r="B1062" s="6" t="n"/>
      <c r="C1062" s="19" t="n"/>
      <c r="D1062" s="19" t="n"/>
      <c r="E1062" s="6" t="n"/>
      <c r="F1062" s="20" t="n"/>
      <c r="G1062" s="9">
        <f>IF($F1062="","",IF($F1062&gt;0,ROUND($F1062,2),""))</f>
        <v/>
      </c>
      <c r="H1062" s="12">
        <f>IF(OR($B1062="",$C1062="",$G1062=""),"",COUNTIFS(Ventes_Encaissements!$E$6:$E$3005,$B1062,Ventes_Encaissements!$J$6:$J$3005,$G1062,Ventes_Encaissements!$C$6:$C$3005,"&gt;="&amp;($C1062-3),Ventes_Encaissements!$C$6:$C$3005,"&lt;="&amp;($C1062+3)))</f>
        <v/>
      </c>
      <c r="I1062" s="12">
        <f>IF($H1062="","",IF($H1062=0,"Non trouvé",IF($H1062=1,"Match","À vérifier")))</f>
        <v/>
      </c>
      <c r="J1062" s="21">
        <f>IF($I1062&lt;&gt;"Match","",INDEX(Ventes_Encaissements!$B$6:$B$3005,_xludf.AGGREGATE(15,6,(ROW(Ventes_Encaissements!$B$6:$B$3005)-ROW(Ventes_Encaissements!$B$6)+1)/((Ventes_Encaissements!$E$6:$E$3005=$B1062)*(Ventes_Encaissements!$J$6:$J$3005=$G1062)*(Ventes_Encaissements!$C$6:$C$3005&gt;=$C1062-3)*(Ventes_Encaissements!$C$6:$C$3005&lt;=$C1062+3)),1)))</f>
        <v/>
      </c>
      <c r="K1062" s="6" t="n"/>
    </row>
    <row r="1063">
      <c r="A1063" s="6" t="n"/>
      <c r="B1063" s="6" t="n"/>
      <c r="C1063" s="19" t="n"/>
      <c r="D1063" s="19" t="n"/>
      <c r="E1063" s="6" t="n"/>
      <c r="F1063" s="20" t="n"/>
      <c r="G1063" s="9">
        <f>IF($F1063="","",IF($F1063&gt;0,ROUND($F1063,2),""))</f>
        <v/>
      </c>
      <c r="H1063" s="12">
        <f>IF(OR($B1063="",$C1063="",$G1063=""),"",COUNTIFS(Ventes_Encaissements!$E$6:$E$3005,$B1063,Ventes_Encaissements!$J$6:$J$3005,$G1063,Ventes_Encaissements!$C$6:$C$3005,"&gt;="&amp;($C1063-3),Ventes_Encaissements!$C$6:$C$3005,"&lt;="&amp;($C1063+3)))</f>
        <v/>
      </c>
      <c r="I1063" s="12">
        <f>IF($H1063="","",IF($H1063=0,"Non trouvé",IF($H1063=1,"Match","À vérifier")))</f>
        <v/>
      </c>
      <c r="J1063" s="21">
        <f>IF($I1063&lt;&gt;"Match","",INDEX(Ventes_Encaissements!$B$6:$B$3005,_xludf.AGGREGATE(15,6,(ROW(Ventes_Encaissements!$B$6:$B$3005)-ROW(Ventes_Encaissements!$B$6)+1)/((Ventes_Encaissements!$E$6:$E$3005=$B1063)*(Ventes_Encaissements!$J$6:$J$3005=$G1063)*(Ventes_Encaissements!$C$6:$C$3005&gt;=$C1063-3)*(Ventes_Encaissements!$C$6:$C$3005&lt;=$C1063+3)),1)))</f>
        <v/>
      </c>
      <c r="K1063" s="6" t="n"/>
    </row>
    <row r="1064">
      <c r="A1064" s="6" t="n"/>
      <c r="B1064" s="6" t="n"/>
      <c r="C1064" s="19" t="n"/>
      <c r="D1064" s="19" t="n"/>
      <c r="E1064" s="6" t="n"/>
      <c r="F1064" s="20" t="n"/>
      <c r="G1064" s="9">
        <f>IF($F1064="","",IF($F1064&gt;0,ROUND($F1064,2),""))</f>
        <v/>
      </c>
      <c r="H1064" s="12">
        <f>IF(OR($B1064="",$C1064="",$G1064=""),"",COUNTIFS(Ventes_Encaissements!$E$6:$E$3005,$B1064,Ventes_Encaissements!$J$6:$J$3005,$G1064,Ventes_Encaissements!$C$6:$C$3005,"&gt;="&amp;($C1064-3),Ventes_Encaissements!$C$6:$C$3005,"&lt;="&amp;($C1064+3)))</f>
        <v/>
      </c>
      <c r="I1064" s="12">
        <f>IF($H1064="","",IF($H1064=0,"Non trouvé",IF($H1064=1,"Match","À vérifier")))</f>
        <v/>
      </c>
      <c r="J1064" s="21">
        <f>IF($I1064&lt;&gt;"Match","",INDEX(Ventes_Encaissements!$B$6:$B$3005,_xludf.AGGREGATE(15,6,(ROW(Ventes_Encaissements!$B$6:$B$3005)-ROW(Ventes_Encaissements!$B$6)+1)/((Ventes_Encaissements!$E$6:$E$3005=$B1064)*(Ventes_Encaissements!$J$6:$J$3005=$G1064)*(Ventes_Encaissements!$C$6:$C$3005&gt;=$C1064-3)*(Ventes_Encaissements!$C$6:$C$3005&lt;=$C1064+3)),1)))</f>
        <v/>
      </c>
      <c r="K1064" s="6" t="n"/>
    </row>
    <row r="1065">
      <c r="A1065" s="6" t="n"/>
      <c r="B1065" s="6" t="n"/>
      <c r="C1065" s="19" t="n"/>
      <c r="D1065" s="19" t="n"/>
      <c r="E1065" s="6" t="n"/>
      <c r="F1065" s="20" t="n"/>
      <c r="G1065" s="9">
        <f>IF($F1065="","",IF($F1065&gt;0,ROUND($F1065,2),""))</f>
        <v/>
      </c>
      <c r="H1065" s="12">
        <f>IF(OR($B1065="",$C1065="",$G1065=""),"",COUNTIFS(Ventes_Encaissements!$E$6:$E$3005,$B1065,Ventes_Encaissements!$J$6:$J$3005,$G1065,Ventes_Encaissements!$C$6:$C$3005,"&gt;="&amp;($C1065-3),Ventes_Encaissements!$C$6:$C$3005,"&lt;="&amp;($C1065+3)))</f>
        <v/>
      </c>
      <c r="I1065" s="12">
        <f>IF($H1065="","",IF($H1065=0,"Non trouvé",IF($H1065=1,"Match","À vérifier")))</f>
        <v/>
      </c>
      <c r="J1065" s="21">
        <f>IF($I1065&lt;&gt;"Match","",INDEX(Ventes_Encaissements!$B$6:$B$3005,_xludf.AGGREGATE(15,6,(ROW(Ventes_Encaissements!$B$6:$B$3005)-ROW(Ventes_Encaissements!$B$6)+1)/((Ventes_Encaissements!$E$6:$E$3005=$B1065)*(Ventes_Encaissements!$J$6:$J$3005=$G1065)*(Ventes_Encaissements!$C$6:$C$3005&gt;=$C1065-3)*(Ventes_Encaissements!$C$6:$C$3005&lt;=$C1065+3)),1)))</f>
        <v/>
      </c>
      <c r="K1065" s="6" t="n"/>
    </row>
    <row r="1066">
      <c r="A1066" s="6" t="n"/>
      <c r="B1066" s="6" t="n"/>
      <c r="C1066" s="19" t="n"/>
      <c r="D1066" s="19" t="n"/>
      <c r="E1066" s="6" t="n"/>
      <c r="F1066" s="20" t="n"/>
      <c r="G1066" s="9">
        <f>IF($F1066="","",IF($F1066&gt;0,ROUND($F1066,2),""))</f>
        <v/>
      </c>
      <c r="H1066" s="12">
        <f>IF(OR($B1066="",$C1066="",$G1066=""),"",COUNTIFS(Ventes_Encaissements!$E$6:$E$3005,$B1066,Ventes_Encaissements!$J$6:$J$3005,$G1066,Ventes_Encaissements!$C$6:$C$3005,"&gt;="&amp;($C1066-3),Ventes_Encaissements!$C$6:$C$3005,"&lt;="&amp;($C1066+3)))</f>
        <v/>
      </c>
      <c r="I1066" s="12">
        <f>IF($H1066="","",IF($H1066=0,"Non trouvé",IF($H1066=1,"Match","À vérifier")))</f>
        <v/>
      </c>
      <c r="J1066" s="21">
        <f>IF($I1066&lt;&gt;"Match","",INDEX(Ventes_Encaissements!$B$6:$B$3005,_xludf.AGGREGATE(15,6,(ROW(Ventes_Encaissements!$B$6:$B$3005)-ROW(Ventes_Encaissements!$B$6)+1)/((Ventes_Encaissements!$E$6:$E$3005=$B1066)*(Ventes_Encaissements!$J$6:$J$3005=$G1066)*(Ventes_Encaissements!$C$6:$C$3005&gt;=$C1066-3)*(Ventes_Encaissements!$C$6:$C$3005&lt;=$C1066+3)),1)))</f>
        <v/>
      </c>
      <c r="K1066" s="6" t="n"/>
    </row>
    <row r="1067">
      <c r="A1067" s="6" t="n"/>
      <c r="B1067" s="6" t="n"/>
      <c r="C1067" s="19" t="n"/>
      <c r="D1067" s="19" t="n"/>
      <c r="E1067" s="6" t="n"/>
      <c r="F1067" s="20" t="n"/>
      <c r="G1067" s="9">
        <f>IF($F1067="","",IF($F1067&gt;0,ROUND($F1067,2),""))</f>
        <v/>
      </c>
      <c r="H1067" s="12">
        <f>IF(OR($B1067="",$C1067="",$G1067=""),"",COUNTIFS(Ventes_Encaissements!$E$6:$E$3005,$B1067,Ventes_Encaissements!$J$6:$J$3005,$G1067,Ventes_Encaissements!$C$6:$C$3005,"&gt;="&amp;($C1067-3),Ventes_Encaissements!$C$6:$C$3005,"&lt;="&amp;($C1067+3)))</f>
        <v/>
      </c>
      <c r="I1067" s="12">
        <f>IF($H1067="","",IF($H1067=0,"Non trouvé",IF($H1067=1,"Match","À vérifier")))</f>
        <v/>
      </c>
      <c r="J1067" s="21">
        <f>IF($I1067&lt;&gt;"Match","",INDEX(Ventes_Encaissements!$B$6:$B$3005,_xludf.AGGREGATE(15,6,(ROW(Ventes_Encaissements!$B$6:$B$3005)-ROW(Ventes_Encaissements!$B$6)+1)/((Ventes_Encaissements!$E$6:$E$3005=$B1067)*(Ventes_Encaissements!$J$6:$J$3005=$G1067)*(Ventes_Encaissements!$C$6:$C$3005&gt;=$C1067-3)*(Ventes_Encaissements!$C$6:$C$3005&lt;=$C1067+3)),1)))</f>
        <v/>
      </c>
      <c r="K1067" s="6" t="n"/>
    </row>
    <row r="1068">
      <c r="A1068" s="6" t="n"/>
      <c r="B1068" s="6" t="n"/>
      <c r="C1068" s="19" t="n"/>
      <c r="D1068" s="19" t="n"/>
      <c r="E1068" s="6" t="n"/>
      <c r="F1068" s="20" t="n"/>
      <c r="G1068" s="9">
        <f>IF($F1068="","",IF($F1068&gt;0,ROUND($F1068,2),""))</f>
        <v/>
      </c>
      <c r="H1068" s="12">
        <f>IF(OR($B1068="",$C1068="",$G1068=""),"",COUNTIFS(Ventes_Encaissements!$E$6:$E$3005,$B1068,Ventes_Encaissements!$J$6:$J$3005,$G1068,Ventes_Encaissements!$C$6:$C$3005,"&gt;="&amp;($C1068-3),Ventes_Encaissements!$C$6:$C$3005,"&lt;="&amp;($C1068+3)))</f>
        <v/>
      </c>
      <c r="I1068" s="12">
        <f>IF($H1068="","",IF($H1068=0,"Non trouvé",IF($H1068=1,"Match","À vérifier")))</f>
        <v/>
      </c>
      <c r="J1068" s="21">
        <f>IF($I1068&lt;&gt;"Match","",INDEX(Ventes_Encaissements!$B$6:$B$3005,_xludf.AGGREGATE(15,6,(ROW(Ventes_Encaissements!$B$6:$B$3005)-ROW(Ventes_Encaissements!$B$6)+1)/((Ventes_Encaissements!$E$6:$E$3005=$B1068)*(Ventes_Encaissements!$J$6:$J$3005=$G1068)*(Ventes_Encaissements!$C$6:$C$3005&gt;=$C1068-3)*(Ventes_Encaissements!$C$6:$C$3005&lt;=$C1068+3)),1)))</f>
        <v/>
      </c>
      <c r="K1068" s="6" t="n"/>
    </row>
    <row r="1069">
      <c r="A1069" s="6" t="n"/>
      <c r="B1069" s="6" t="n"/>
      <c r="C1069" s="19" t="n"/>
      <c r="D1069" s="19" t="n"/>
      <c r="E1069" s="6" t="n"/>
      <c r="F1069" s="20" t="n"/>
      <c r="G1069" s="9">
        <f>IF($F1069="","",IF($F1069&gt;0,ROUND($F1069,2),""))</f>
        <v/>
      </c>
      <c r="H1069" s="12">
        <f>IF(OR($B1069="",$C1069="",$G1069=""),"",COUNTIFS(Ventes_Encaissements!$E$6:$E$3005,$B1069,Ventes_Encaissements!$J$6:$J$3005,$G1069,Ventes_Encaissements!$C$6:$C$3005,"&gt;="&amp;($C1069-3),Ventes_Encaissements!$C$6:$C$3005,"&lt;="&amp;($C1069+3)))</f>
        <v/>
      </c>
      <c r="I1069" s="12">
        <f>IF($H1069="","",IF($H1069=0,"Non trouvé",IF($H1069=1,"Match","À vérifier")))</f>
        <v/>
      </c>
      <c r="J1069" s="21">
        <f>IF($I1069&lt;&gt;"Match","",INDEX(Ventes_Encaissements!$B$6:$B$3005,_xludf.AGGREGATE(15,6,(ROW(Ventes_Encaissements!$B$6:$B$3005)-ROW(Ventes_Encaissements!$B$6)+1)/((Ventes_Encaissements!$E$6:$E$3005=$B1069)*(Ventes_Encaissements!$J$6:$J$3005=$G1069)*(Ventes_Encaissements!$C$6:$C$3005&gt;=$C1069-3)*(Ventes_Encaissements!$C$6:$C$3005&lt;=$C1069+3)),1)))</f>
        <v/>
      </c>
      <c r="K1069" s="6" t="n"/>
    </row>
    <row r="1070">
      <c r="A1070" s="6" t="n"/>
      <c r="B1070" s="6" t="n"/>
      <c r="C1070" s="19" t="n"/>
      <c r="D1070" s="19" t="n"/>
      <c r="E1070" s="6" t="n"/>
      <c r="F1070" s="20" t="n"/>
      <c r="G1070" s="9">
        <f>IF($F1070="","",IF($F1070&gt;0,ROUND($F1070,2),""))</f>
        <v/>
      </c>
      <c r="H1070" s="12">
        <f>IF(OR($B1070="",$C1070="",$G1070=""),"",COUNTIFS(Ventes_Encaissements!$E$6:$E$3005,$B1070,Ventes_Encaissements!$J$6:$J$3005,$G1070,Ventes_Encaissements!$C$6:$C$3005,"&gt;="&amp;($C1070-3),Ventes_Encaissements!$C$6:$C$3005,"&lt;="&amp;($C1070+3)))</f>
        <v/>
      </c>
      <c r="I1070" s="12">
        <f>IF($H1070="","",IF($H1070=0,"Non trouvé",IF($H1070=1,"Match","À vérifier")))</f>
        <v/>
      </c>
      <c r="J1070" s="21">
        <f>IF($I1070&lt;&gt;"Match","",INDEX(Ventes_Encaissements!$B$6:$B$3005,_xludf.AGGREGATE(15,6,(ROW(Ventes_Encaissements!$B$6:$B$3005)-ROW(Ventes_Encaissements!$B$6)+1)/((Ventes_Encaissements!$E$6:$E$3005=$B1070)*(Ventes_Encaissements!$J$6:$J$3005=$G1070)*(Ventes_Encaissements!$C$6:$C$3005&gt;=$C1070-3)*(Ventes_Encaissements!$C$6:$C$3005&lt;=$C1070+3)),1)))</f>
        <v/>
      </c>
      <c r="K1070" s="6" t="n"/>
    </row>
    <row r="1071">
      <c r="A1071" s="6" t="n"/>
      <c r="B1071" s="6" t="n"/>
      <c r="C1071" s="19" t="n"/>
      <c r="D1071" s="19" t="n"/>
      <c r="E1071" s="6" t="n"/>
      <c r="F1071" s="20" t="n"/>
      <c r="G1071" s="9">
        <f>IF($F1071="","",IF($F1071&gt;0,ROUND($F1071,2),""))</f>
        <v/>
      </c>
      <c r="H1071" s="12">
        <f>IF(OR($B1071="",$C1071="",$G1071=""),"",COUNTIFS(Ventes_Encaissements!$E$6:$E$3005,$B1071,Ventes_Encaissements!$J$6:$J$3005,$G1071,Ventes_Encaissements!$C$6:$C$3005,"&gt;="&amp;($C1071-3),Ventes_Encaissements!$C$6:$C$3005,"&lt;="&amp;($C1071+3)))</f>
        <v/>
      </c>
      <c r="I1071" s="12">
        <f>IF($H1071="","",IF($H1071=0,"Non trouvé",IF($H1071=1,"Match","À vérifier")))</f>
        <v/>
      </c>
      <c r="J1071" s="21">
        <f>IF($I1071&lt;&gt;"Match","",INDEX(Ventes_Encaissements!$B$6:$B$3005,_xludf.AGGREGATE(15,6,(ROW(Ventes_Encaissements!$B$6:$B$3005)-ROW(Ventes_Encaissements!$B$6)+1)/((Ventes_Encaissements!$E$6:$E$3005=$B1071)*(Ventes_Encaissements!$J$6:$J$3005=$G1071)*(Ventes_Encaissements!$C$6:$C$3005&gt;=$C1071-3)*(Ventes_Encaissements!$C$6:$C$3005&lt;=$C1071+3)),1)))</f>
        <v/>
      </c>
      <c r="K1071" s="6" t="n"/>
    </row>
    <row r="1072">
      <c r="A1072" s="6" t="n"/>
      <c r="B1072" s="6" t="n"/>
      <c r="C1072" s="19" t="n"/>
      <c r="D1072" s="19" t="n"/>
      <c r="E1072" s="6" t="n"/>
      <c r="F1072" s="20" t="n"/>
      <c r="G1072" s="9">
        <f>IF($F1072="","",IF($F1072&gt;0,ROUND($F1072,2),""))</f>
        <v/>
      </c>
      <c r="H1072" s="12">
        <f>IF(OR($B1072="",$C1072="",$G1072=""),"",COUNTIFS(Ventes_Encaissements!$E$6:$E$3005,$B1072,Ventes_Encaissements!$J$6:$J$3005,$G1072,Ventes_Encaissements!$C$6:$C$3005,"&gt;="&amp;($C1072-3),Ventes_Encaissements!$C$6:$C$3005,"&lt;="&amp;($C1072+3)))</f>
        <v/>
      </c>
      <c r="I1072" s="12">
        <f>IF($H1072="","",IF($H1072=0,"Non trouvé",IF($H1072=1,"Match","À vérifier")))</f>
        <v/>
      </c>
      <c r="J1072" s="21">
        <f>IF($I1072&lt;&gt;"Match","",INDEX(Ventes_Encaissements!$B$6:$B$3005,_xludf.AGGREGATE(15,6,(ROW(Ventes_Encaissements!$B$6:$B$3005)-ROW(Ventes_Encaissements!$B$6)+1)/((Ventes_Encaissements!$E$6:$E$3005=$B1072)*(Ventes_Encaissements!$J$6:$J$3005=$G1072)*(Ventes_Encaissements!$C$6:$C$3005&gt;=$C1072-3)*(Ventes_Encaissements!$C$6:$C$3005&lt;=$C1072+3)),1)))</f>
        <v/>
      </c>
      <c r="K1072" s="6" t="n"/>
    </row>
    <row r="1073">
      <c r="A1073" s="6" t="n"/>
      <c r="B1073" s="6" t="n"/>
      <c r="C1073" s="19" t="n"/>
      <c r="D1073" s="19" t="n"/>
      <c r="E1073" s="6" t="n"/>
      <c r="F1073" s="20" t="n"/>
      <c r="G1073" s="9">
        <f>IF($F1073="","",IF($F1073&gt;0,ROUND($F1073,2),""))</f>
        <v/>
      </c>
      <c r="H1073" s="12">
        <f>IF(OR($B1073="",$C1073="",$G1073=""),"",COUNTIFS(Ventes_Encaissements!$E$6:$E$3005,$B1073,Ventes_Encaissements!$J$6:$J$3005,$G1073,Ventes_Encaissements!$C$6:$C$3005,"&gt;="&amp;($C1073-3),Ventes_Encaissements!$C$6:$C$3005,"&lt;="&amp;($C1073+3)))</f>
        <v/>
      </c>
      <c r="I1073" s="12">
        <f>IF($H1073="","",IF($H1073=0,"Non trouvé",IF($H1073=1,"Match","À vérifier")))</f>
        <v/>
      </c>
      <c r="J1073" s="21">
        <f>IF($I1073&lt;&gt;"Match","",INDEX(Ventes_Encaissements!$B$6:$B$3005,_xludf.AGGREGATE(15,6,(ROW(Ventes_Encaissements!$B$6:$B$3005)-ROW(Ventes_Encaissements!$B$6)+1)/((Ventes_Encaissements!$E$6:$E$3005=$B1073)*(Ventes_Encaissements!$J$6:$J$3005=$G1073)*(Ventes_Encaissements!$C$6:$C$3005&gt;=$C1073-3)*(Ventes_Encaissements!$C$6:$C$3005&lt;=$C1073+3)),1)))</f>
        <v/>
      </c>
      <c r="K1073" s="6" t="n"/>
    </row>
    <row r="1074">
      <c r="A1074" s="6" t="n"/>
      <c r="B1074" s="6" t="n"/>
      <c r="C1074" s="19" t="n"/>
      <c r="D1074" s="19" t="n"/>
      <c r="E1074" s="6" t="n"/>
      <c r="F1074" s="20" t="n"/>
      <c r="G1074" s="9">
        <f>IF($F1074="","",IF($F1074&gt;0,ROUND($F1074,2),""))</f>
        <v/>
      </c>
      <c r="H1074" s="12">
        <f>IF(OR($B1074="",$C1074="",$G1074=""),"",COUNTIFS(Ventes_Encaissements!$E$6:$E$3005,$B1074,Ventes_Encaissements!$J$6:$J$3005,$G1074,Ventes_Encaissements!$C$6:$C$3005,"&gt;="&amp;($C1074-3),Ventes_Encaissements!$C$6:$C$3005,"&lt;="&amp;($C1074+3)))</f>
        <v/>
      </c>
      <c r="I1074" s="12">
        <f>IF($H1074="","",IF($H1074=0,"Non trouvé",IF($H1074=1,"Match","À vérifier")))</f>
        <v/>
      </c>
      <c r="J1074" s="21">
        <f>IF($I1074&lt;&gt;"Match","",INDEX(Ventes_Encaissements!$B$6:$B$3005,_xludf.AGGREGATE(15,6,(ROW(Ventes_Encaissements!$B$6:$B$3005)-ROW(Ventes_Encaissements!$B$6)+1)/((Ventes_Encaissements!$E$6:$E$3005=$B1074)*(Ventes_Encaissements!$J$6:$J$3005=$G1074)*(Ventes_Encaissements!$C$6:$C$3005&gt;=$C1074-3)*(Ventes_Encaissements!$C$6:$C$3005&lt;=$C1074+3)),1)))</f>
        <v/>
      </c>
      <c r="K1074" s="6" t="n"/>
    </row>
    <row r="1075">
      <c r="A1075" s="6" t="n"/>
      <c r="B1075" s="6" t="n"/>
      <c r="C1075" s="19" t="n"/>
      <c r="D1075" s="19" t="n"/>
      <c r="E1075" s="6" t="n"/>
      <c r="F1075" s="20" t="n"/>
      <c r="G1075" s="9">
        <f>IF($F1075="","",IF($F1075&gt;0,ROUND($F1075,2),""))</f>
        <v/>
      </c>
      <c r="H1075" s="12">
        <f>IF(OR($B1075="",$C1075="",$G1075=""),"",COUNTIFS(Ventes_Encaissements!$E$6:$E$3005,$B1075,Ventes_Encaissements!$J$6:$J$3005,$G1075,Ventes_Encaissements!$C$6:$C$3005,"&gt;="&amp;($C1075-3),Ventes_Encaissements!$C$6:$C$3005,"&lt;="&amp;($C1075+3)))</f>
        <v/>
      </c>
      <c r="I1075" s="12">
        <f>IF($H1075="","",IF($H1075=0,"Non trouvé",IF($H1075=1,"Match","À vérifier")))</f>
        <v/>
      </c>
      <c r="J1075" s="21">
        <f>IF($I1075&lt;&gt;"Match","",INDEX(Ventes_Encaissements!$B$6:$B$3005,_xludf.AGGREGATE(15,6,(ROW(Ventes_Encaissements!$B$6:$B$3005)-ROW(Ventes_Encaissements!$B$6)+1)/((Ventes_Encaissements!$E$6:$E$3005=$B1075)*(Ventes_Encaissements!$J$6:$J$3005=$G1075)*(Ventes_Encaissements!$C$6:$C$3005&gt;=$C1075-3)*(Ventes_Encaissements!$C$6:$C$3005&lt;=$C1075+3)),1)))</f>
        <v/>
      </c>
      <c r="K1075" s="6" t="n"/>
    </row>
    <row r="1076">
      <c r="A1076" s="6" t="n"/>
      <c r="B1076" s="6" t="n"/>
      <c r="C1076" s="19" t="n"/>
      <c r="D1076" s="19" t="n"/>
      <c r="E1076" s="6" t="n"/>
      <c r="F1076" s="20" t="n"/>
      <c r="G1076" s="9">
        <f>IF($F1076="","",IF($F1076&gt;0,ROUND($F1076,2),""))</f>
        <v/>
      </c>
      <c r="H1076" s="12">
        <f>IF(OR($B1076="",$C1076="",$G1076=""),"",COUNTIFS(Ventes_Encaissements!$E$6:$E$3005,$B1076,Ventes_Encaissements!$J$6:$J$3005,$G1076,Ventes_Encaissements!$C$6:$C$3005,"&gt;="&amp;($C1076-3),Ventes_Encaissements!$C$6:$C$3005,"&lt;="&amp;($C1076+3)))</f>
        <v/>
      </c>
      <c r="I1076" s="12">
        <f>IF($H1076="","",IF($H1076=0,"Non trouvé",IF($H1076=1,"Match","À vérifier")))</f>
        <v/>
      </c>
      <c r="J1076" s="21">
        <f>IF($I1076&lt;&gt;"Match","",INDEX(Ventes_Encaissements!$B$6:$B$3005,_xludf.AGGREGATE(15,6,(ROW(Ventes_Encaissements!$B$6:$B$3005)-ROW(Ventes_Encaissements!$B$6)+1)/((Ventes_Encaissements!$E$6:$E$3005=$B1076)*(Ventes_Encaissements!$J$6:$J$3005=$G1076)*(Ventes_Encaissements!$C$6:$C$3005&gt;=$C1076-3)*(Ventes_Encaissements!$C$6:$C$3005&lt;=$C1076+3)),1)))</f>
        <v/>
      </c>
      <c r="K1076" s="6" t="n"/>
    </row>
    <row r="1077">
      <c r="A1077" s="6" t="n"/>
      <c r="B1077" s="6" t="n"/>
      <c r="C1077" s="19" t="n"/>
      <c r="D1077" s="19" t="n"/>
      <c r="E1077" s="6" t="n"/>
      <c r="F1077" s="20" t="n"/>
      <c r="G1077" s="9">
        <f>IF($F1077="","",IF($F1077&gt;0,ROUND($F1077,2),""))</f>
        <v/>
      </c>
      <c r="H1077" s="12">
        <f>IF(OR($B1077="",$C1077="",$G1077=""),"",COUNTIFS(Ventes_Encaissements!$E$6:$E$3005,$B1077,Ventes_Encaissements!$J$6:$J$3005,$G1077,Ventes_Encaissements!$C$6:$C$3005,"&gt;="&amp;($C1077-3),Ventes_Encaissements!$C$6:$C$3005,"&lt;="&amp;($C1077+3)))</f>
        <v/>
      </c>
      <c r="I1077" s="12">
        <f>IF($H1077="","",IF($H1077=0,"Non trouvé",IF($H1077=1,"Match","À vérifier")))</f>
        <v/>
      </c>
      <c r="J1077" s="21">
        <f>IF($I1077&lt;&gt;"Match","",INDEX(Ventes_Encaissements!$B$6:$B$3005,_xludf.AGGREGATE(15,6,(ROW(Ventes_Encaissements!$B$6:$B$3005)-ROW(Ventes_Encaissements!$B$6)+1)/((Ventes_Encaissements!$E$6:$E$3005=$B1077)*(Ventes_Encaissements!$J$6:$J$3005=$G1077)*(Ventes_Encaissements!$C$6:$C$3005&gt;=$C1077-3)*(Ventes_Encaissements!$C$6:$C$3005&lt;=$C1077+3)),1)))</f>
        <v/>
      </c>
      <c r="K1077" s="6" t="n"/>
    </row>
    <row r="1078">
      <c r="A1078" s="6" t="n"/>
      <c r="B1078" s="6" t="n"/>
      <c r="C1078" s="19" t="n"/>
      <c r="D1078" s="19" t="n"/>
      <c r="E1078" s="6" t="n"/>
      <c r="F1078" s="20" t="n"/>
      <c r="G1078" s="9">
        <f>IF($F1078="","",IF($F1078&gt;0,ROUND($F1078,2),""))</f>
        <v/>
      </c>
      <c r="H1078" s="12">
        <f>IF(OR($B1078="",$C1078="",$G1078=""),"",COUNTIFS(Ventes_Encaissements!$E$6:$E$3005,$B1078,Ventes_Encaissements!$J$6:$J$3005,$G1078,Ventes_Encaissements!$C$6:$C$3005,"&gt;="&amp;($C1078-3),Ventes_Encaissements!$C$6:$C$3005,"&lt;="&amp;($C1078+3)))</f>
        <v/>
      </c>
      <c r="I1078" s="12">
        <f>IF($H1078="","",IF($H1078=0,"Non trouvé",IF($H1078=1,"Match","À vérifier")))</f>
        <v/>
      </c>
      <c r="J1078" s="21">
        <f>IF($I1078&lt;&gt;"Match","",INDEX(Ventes_Encaissements!$B$6:$B$3005,_xludf.AGGREGATE(15,6,(ROW(Ventes_Encaissements!$B$6:$B$3005)-ROW(Ventes_Encaissements!$B$6)+1)/((Ventes_Encaissements!$E$6:$E$3005=$B1078)*(Ventes_Encaissements!$J$6:$J$3005=$G1078)*(Ventes_Encaissements!$C$6:$C$3005&gt;=$C1078-3)*(Ventes_Encaissements!$C$6:$C$3005&lt;=$C1078+3)),1)))</f>
        <v/>
      </c>
      <c r="K1078" s="6" t="n"/>
    </row>
    <row r="1079">
      <c r="A1079" s="6" t="n"/>
      <c r="B1079" s="6" t="n"/>
      <c r="C1079" s="19" t="n"/>
      <c r="D1079" s="19" t="n"/>
      <c r="E1079" s="6" t="n"/>
      <c r="F1079" s="20" t="n"/>
      <c r="G1079" s="9">
        <f>IF($F1079="","",IF($F1079&gt;0,ROUND($F1079,2),""))</f>
        <v/>
      </c>
      <c r="H1079" s="12">
        <f>IF(OR($B1079="",$C1079="",$G1079=""),"",COUNTIFS(Ventes_Encaissements!$E$6:$E$3005,$B1079,Ventes_Encaissements!$J$6:$J$3005,$G1079,Ventes_Encaissements!$C$6:$C$3005,"&gt;="&amp;($C1079-3),Ventes_Encaissements!$C$6:$C$3005,"&lt;="&amp;($C1079+3)))</f>
        <v/>
      </c>
      <c r="I1079" s="12">
        <f>IF($H1079="","",IF($H1079=0,"Non trouvé",IF($H1079=1,"Match","À vérifier")))</f>
        <v/>
      </c>
      <c r="J1079" s="21">
        <f>IF($I1079&lt;&gt;"Match","",INDEX(Ventes_Encaissements!$B$6:$B$3005,_xludf.AGGREGATE(15,6,(ROW(Ventes_Encaissements!$B$6:$B$3005)-ROW(Ventes_Encaissements!$B$6)+1)/((Ventes_Encaissements!$E$6:$E$3005=$B1079)*(Ventes_Encaissements!$J$6:$J$3005=$G1079)*(Ventes_Encaissements!$C$6:$C$3005&gt;=$C1079-3)*(Ventes_Encaissements!$C$6:$C$3005&lt;=$C1079+3)),1)))</f>
        <v/>
      </c>
      <c r="K1079" s="6" t="n"/>
    </row>
    <row r="1080">
      <c r="A1080" s="6" t="n"/>
      <c r="B1080" s="6" t="n"/>
      <c r="C1080" s="19" t="n"/>
      <c r="D1080" s="19" t="n"/>
      <c r="E1080" s="6" t="n"/>
      <c r="F1080" s="20" t="n"/>
      <c r="G1080" s="9">
        <f>IF($F1080="","",IF($F1080&gt;0,ROUND($F1080,2),""))</f>
        <v/>
      </c>
      <c r="H1080" s="12">
        <f>IF(OR($B1080="",$C1080="",$G1080=""),"",COUNTIFS(Ventes_Encaissements!$E$6:$E$3005,$B1080,Ventes_Encaissements!$J$6:$J$3005,$G1080,Ventes_Encaissements!$C$6:$C$3005,"&gt;="&amp;($C1080-3),Ventes_Encaissements!$C$6:$C$3005,"&lt;="&amp;($C1080+3)))</f>
        <v/>
      </c>
      <c r="I1080" s="12">
        <f>IF($H1080="","",IF($H1080=0,"Non trouvé",IF($H1080=1,"Match","À vérifier")))</f>
        <v/>
      </c>
      <c r="J1080" s="21">
        <f>IF($I1080&lt;&gt;"Match","",INDEX(Ventes_Encaissements!$B$6:$B$3005,_xludf.AGGREGATE(15,6,(ROW(Ventes_Encaissements!$B$6:$B$3005)-ROW(Ventes_Encaissements!$B$6)+1)/((Ventes_Encaissements!$E$6:$E$3005=$B1080)*(Ventes_Encaissements!$J$6:$J$3005=$G1080)*(Ventes_Encaissements!$C$6:$C$3005&gt;=$C1080-3)*(Ventes_Encaissements!$C$6:$C$3005&lt;=$C1080+3)),1)))</f>
        <v/>
      </c>
      <c r="K1080" s="6" t="n"/>
    </row>
    <row r="1081">
      <c r="A1081" s="6" t="n"/>
      <c r="B1081" s="6" t="n"/>
      <c r="C1081" s="19" t="n"/>
      <c r="D1081" s="19" t="n"/>
      <c r="E1081" s="6" t="n"/>
      <c r="F1081" s="20" t="n"/>
      <c r="G1081" s="9">
        <f>IF($F1081="","",IF($F1081&gt;0,ROUND($F1081,2),""))</f>
        <v/>
      </c>
      <c r="H1081" s="12">
        <f>IF(OR($B1081="",$C1081="",$G1081=""),"",COUNTIFS(Ventes_Encaissements!$E$6:$E$3005,$B1081,Ventes_Encaissements!$J$6:$J$3005,$G1081,Ventes_Encaissements!$C$6:$C$3005,"&gt;="&amp;($C1081-3),Ventes_Encaissements!$C$6:$C$3005,"&lt;="&amp;($C1081+3)))</f>
        <v/>
      </c>
      <c r="I1081" s="12">
        <f>IF($H1081="","",IF($H1081=0,"Non trouvé",IF($H1081=1,"Match","À vérifier")))</f>
        <v/>
      </c>
      <c r="J1081" s="21">
        <f>IF($I1081&lt;&gt;"Match","",INDEX(Ventes_Encaissements!$B$6:$B$3005,_xludf.AGGREGATE(15,6,(ROW(Ventes_Encaissements!$B$6:$B$3005)-ROW(Ventes_Encaissements!$B$6)+1)/((Ventes_Encaissements!$E$6:$E$3005=$B1081)*(Ventes_Encaissements!$J$6:$J$3005=$G1081)*(Ventes_Encaissements!$C$6:$C$3005&gt;=$C1081-3)*(Ventes_Encaissements!$C$6:$C$3005&lt;=$C1081+3)),1)))</f>
        <v/>
      </c>
      <c r="K1081" s="6" t="n"/>
    </row>
    <row r="1082">
      <c r="A1082" s="6" t="n"/>
      <c r="B1082" s="6" t="n"/>
      <c r="C1082" s="19" t="n"/>
      <c r="D1082" s="19" t="n"/>
      <c r="E1082" s="6" t="n"/>
      <c r="F1082" s="20" t="n"/>
      <c r="G1082" s="9">
        <f>IF($F1082="","",IF($F1082&gt;0,ROUND($F1082,2),""))</f>
        <v/>
      </c>
      <c r="H1082" s="12">
        <f>IF(OR($B1082="",$C1082="",$G1082=""),"",COUNTIFS(Ventes_Encaissements!$E$6:$E$3005,$B1082,Ventes_Encaissements!$J$6:$J$3005,$G1082,Ventes_Encaissements!$C$6:$C$3005,"&gt;="&amp;($C1082-3),Ventes_Encaissements!$C$6:$C$3005,"&lt;="&amp;($C1082+3)))</f>
        <v/>
      </c>
      <c r="I1082" s="12">
        <f>IF($H1082="","",IF($H1082=0,"Non trouvé",IF($H1082=1,"Match","À vérifier")))</f>
        <v/>
      </c>
      <c r="J1082" s="21">
        <f>IF($I1082&lt;&gt;"Match","",INDEX(Ventes_Encaissements!$B$6:$B$3005,_xludf.AGGREGATE(15,6,(ROW(Ventes_Encaissements!$B$6:$B$3005)-ROW(Ventes_Encaissements!$B$6)+1)/((Ventes_Encaissements!$E$6:$E$3005=$B1082)*(Ventes_Encaissements!$J$6:$J$3005=$G1082)*(Ventes_Encaissements!$C$6:$C$3005&gt;=$C1082-3)*(Ventes_Encaissements!$C$6:$C$3005&lt;=$C1082+3)),1)))</f>
        <v/>
      </c>
      <c r="K1082" s="6" t="n"/>
    </row>
    <row r="1083">
      <c r="A1083" s="6" t="n"/>
      <c r="B1083" s="6" t="n"/>
      <c r="C1083" s="19" t="n"/>
      <c r="D1083" s="19" t="n"/>
      <c r="E1083" s="6" t="n"/>
      <c r="F1083" s="20" t="n"/>
      <c r="G1083" s="9">
        <f>IF($F1083="","",IF($F1083&gt;0,ROUND($F1083,2),""))</f>
        <v/>
      </c>
      <c r="H1083" s="12">
        <f>IF(OR($B1083="",$C1083="",$G1083=""),"",COUNTIFS(Ventes_Encaissements!$E$6:$E$3005,$B1083,Ventes_Encaissements!$J$6:$J$3005,$G1083,Ventes_Encaissements!$C$6:$C$3005,"&gt;="&amp;($C1083-3),Ventes_Encaissements!$C$6:$C$3005,"&lt;="&amp;($C1083+3)))</f>
        <v/>
      </c>
      <c r="I1083" s="12">
        <f>IF($H1083="","",IF($H1083=0,"Non trouvé",IF($H1083=1,"Match","À vérifier")))</f>
        <v/>
      </c>
      <c r="J1083" s="21">
        <f>IF($I1083&lt;&gt;"Match","",INDEX(Ventes_Encaissements!$B$6:$B$3005,_xludf.AGGREGATE(15,6,(ROW(Ventes_Encaissements!$B$6:$B$3005)-ROW(Ventes_Encaissements!$B$6)+1)/((Ventes_Encaissements!$E$6:$E$3005=$B1083)*(Ventes_Encaissements!$J$6:$J$3005=$G1083)*(Ventes_Encaissements!$C$6:$C$3005&gt;=$C1083-3)*(Ventes_Encaissements!$C$6:$C$3005&lt;=$C1083+3)),1)))</f>
        <v/>
      </c>
      <c r="K1083" s="6" t="n"/>
    </row>
    <row r="1084">
      <c r="A1084" s="6" t="n"/>
      <c r="B1084" s="6" t="n"/>
      <c r="C1084" s="19" t="n"/>
      <c r="D1084" s="19" t="n"/>
      <c r="E1084" s="6" t="n"/>
      <c r="F1084" s="20" t="n"/>
      <c r="G1084" s="9">
        <f>IF($F1084="","",IF($F1084&gt;0,ROUND($F1084,2),""))</f>
        <v/>
      </c>
      <c r="H1084" s="12">
        <f>IF(OR($B1084="",$C1084="",$G1084=""),"",COUNTIFS(Ventes_Encaissements!$E$6:$E$3005,$B1084,Ventes_Encaissements!$J$6:$J$3005,$G1084,Ventes_Encaissements!$C$6:$C$3005,"&gt;="&amp;($C1084-3),Ventes_Encaissements!$C$6:$C$3005,"&lt;="&amp;($C1084+3)))</f>
        <v/>
      </c>
      <c r="I1084" s="12">
        <f>IF($H1084="","",IF($H1084=0,"Non trouvé",IF($H1084=1,"Match","À vérifier")))</f>
        <v/>
      </c>
      <c r="J1084" s="21">
        <f>IF($I1084&lt;&gt;"Match","",INDEX(Ventes_Encaissements!$B$6:$B$3005,_xludf.AGGREGATE(15,6,(ROW(Ventes_Encaissements!$B$6:$B$3005)-ROW(Ventes_Encaissements!$B$6)+1)/((Ventes_Encaissements!$E$6:$E$3005=$B1084)*(Ventes_Encaissements!$J$6:$J$3005=$G1084)*(Ventes_Encaissements!$C$6:$C$3005&gt;=$C1084-3)*(Ventes_Encaissements!$C$6:$C$3005&lt;=$C1084+3)),1)))</f>
        <v/>
      </c>
      <c r="K1084" s="6" t="n"/>
    </row>
    <row r="1085">
      <c r="A1085" s="6" t="n"/>
      <c r="B1085" s="6" t="n"/>
      <c r="C1085" s="19" t="n"/>
      <c r="D1085" s="19" t="n"/>
      <c r="E1085" s="6" t="n"/>
      <c r="F1085" s="20" t="n"/>
      <c r="G1085" s="9">
        <f>IF($F1085="","",IF($F1085&gt;0,ROUND($F1085,2),""))</f>
        <v/>
      </c>
      <c r="H1085" s="12">
        <f>IF(OR($B1085="",$C1085="",$G1085=""),"",COUNTIFS(Ventes_Encaissements!$E$6:$E$3005,$B1085,Ventes_Encaissements!$J$6:$J$3005,$G1085,Ventes_Encaissements!$C$6:$C$3005,"&gt;="&amp;($C1085-3),Ventes_Encaissements!$C$6:$C$3005,"&lt;="&amp;($C1085+3)))</f>
        <v/>
      </c>
      <c r="I1085" s="12">
        <f>IF($H1085="","",IF($H1085=0,"Non trouvé",IF($H1085=1,"Match","À vérifier")))</f>
        <v/>
      </c>
      <c r="J1085" s="21">
        <f>IF($I1085&lt;&gt;"Match","",INDEX(Ventes_Encaissements!$B$6:$B$3005,_xludf.AGGREGATE(15,6,(ROW(Ventes_Encaissements!$B$6:$B$3005)-ROW(Ventes_Encaissements!$B$6)+1)/((Ventes_Encaissements!$E$6:$E$3005=$B1085)*(Ventes_Encaissements!$J$6:$J$3005=$G1085)*(Ventes_Encaissements!$C$6:$C$3005&gt;=$C1085-3)*(Ventes_Encaissements!$C$6:$C$3005&lt;=$C1085+3)),1)))</f>
        <v/>
      </c>
      <c r="K1085" s="6" t="n"/>
    </row>
    <row r="1086">
      <c r="A1086" s="6" t="n"/>
      <c r="B1086" s="6" t="n"/>
      <c r="C1086" s="19" t="n"/>
      <c r="D1086" s="19" t="n"/>
      <c r="E1086" s="6" t="n"/>
      <c r="F1086" s="20" t="n"/>
      <c r="G1086" s="9">
        <f>IF($F1086="","",IF($F1086&gt;0,ROUND($F1086,2),""))</f>
        <v/>
      </c>
      <c r="H1086" s="12">
        <f>IF(OR($B1086="",$C1086="",$G1086=""),"",COUNTIFS(Ventes_Encaissements!$E$6:$E$3005,$B1086,Ventes_Encaissements!$J$6:$J$3005,$G1086,Ventes_Encaissements!$C$6:$C$3005,"&gt;="&amp;($C1086-3),Ventes_Encaissements!$C$6:$C$3005,"&lt;="&amp;($C1086+3)))</f>
        <v/>
      </c>
      <c r="I1086" s="12">
        <f>IF($H1086="","",IF($H1086=0,"Non trouvé",IF($H1086=1,"Match","À vérifier")))</f>
        <v/>
      </c>
      <c r="J1086" s="21">
        <f>IF($I1086&lt;&gt;"Match","",INDEX(Ventes_Encaissements!$B$6:$B$3005,_xludf.AGGREGATE(15,6,(ROW(Ventes_Encaissements!$B$6:$B$3005)-ROW(Ventes_Encaissements!$B$6)+1)/((Ventes_Encaissements!$E$6:$E$3005=$B1086)*(Ventes_Encaissements!$J$6:$J$3005=$G1086)*(Ventes_Encaissements!$C$6:$C$3005&gt;=$C1086-3)*(Ventes_Encaissements!$C$6:$C$3005&lt;=$C1086+3)),1)))</f>
        <v/>
      </c>
      <c r="K1086" s="6" t="n"/>
    </row>
    <row r="1087">
      <c r="A1087" s="6" t="n"/>
      <c r="B1087" s="6" t="n"/>
      <c r="C1087" s="19" t="n"/>
      <c r="D1087" s="19" t="n"/>
      <c r="E1087" s="6" t="n"/>
      <c r="F1087" s="20" t="n"/>
      <c r="G1087" s="9">
        <f>IF($F1087="","",IF($F1087&gt;0,ROUND($F1087,2),""))</f>
        <v/>
      </c>
      <c r="H1087" s="12">
        <f>IF(OR($B1087="",$C1087="",$G1087=""),"",COUNTIFS(Ventes_Encaissements!$E$6:$E$3005,$B1087,Ventes_Encaissements!$J$6:$J$3005,$G1087,Ventes_Encaissements!$C$6:$C$3005,"&gt;="&amp;($C1087-3),Ventes_Encaissements!$C$6:$C$3005,"&lt;="&amp;($C1087+3)))</f>
        <v/>
      </c>
      <c r="I1087" s="12">
        <f>IF($H1087="","",IF($H1087=0,"Non trouvé",IF($H1087=1,"Match","À vérifier")))</f>
        <v/>
      </c>
      <c r="J1087" s="21">
        <f>IF($I1087&lt;&gt;"Match","",INDEX(Ventes_Encaissements!$B$6:$B$3005,_xludf.AGGREGATE(15,6,(ROW(Ventes_Encaissements!$B$6:$B$3005)-ROW(Ventes_Encaissements!$B$6)+1)/((Ventes_Encaissements!$E$6:$E$3005=$B1087)*(Ventes_Encaissements!$J$6:$J$3005=$G1087)*(Ventes_Encaissements!$C$6:$C$3005&gt;=$C1087-3)*(Ventes_Encaissements!$C$6:$C$3005&lt;=$C1087+3)),1)))</f>
        <v/>
      </c>
      <c r="K1087" s="6" t="n"/>
    </row>
    <row r="1088">
      <c r="A1088" s="6" t="n"/>
      <c r="B1088" s="6" t="n"/>
      <c r="C1088" s="19" t="n"/>
      <c r="D1088" s="19" t="n"/>
      <c r="E1088" s="6" t="n"/>
      <c r="F1088" s="20" t="n"/>
      <c r="G1088" s="9">
        <f>IF($F1088="","",IF($F1088&gt;0,ROUND($F1088,2),""))</f>
        <v/>
      </c>
      <c r="H1088" s="12">
        <f>IF(OR($B1088="",$C1088="",$G1088=""),"",COUNTIFS(Ventes_Encaissements!$E$6:$E$3005,$B1088,Ventes_Encaissements!$J$6:$J$3005,$G1088,Ventes_Encaissements!$C$6:$C$3005,"&gt;="&amp;($C1088-3),Ventes_Encaissements!$C$6:$C$3005,"&lt;="&amp;($C1088+3)))</f>
        <v/>
      </c>
      <c r="I1088" s="12">
        <f>IF($H1088="","",IF($H1088=0,"Non trouvé",IF($H1088=1,"Match","À vérifier")))</f>
        <v/>
      </c>
      <c r="J1088" s="21">
        <f>IF($I1088&lt;&gt;"Match","",INDEX(Ventes_Encaissements!$B$6:$B$3005,_xludf.AGGREGATE(15,6,(ROW(Ventes_Encaissements!$B$6:$B$3005)-ROW(Ventes_Encaissements!$B$6)+1)/((Ventes_Encaissements!$E$6:$E$3005=$B1088)*(Ventes_Encaissements!$J$6:$J$3005=$G1088)*(Ventes_Encaissements!$C$6:$C$3005&gt;=$C1088-3)*(Ventes_Encaissements!$C$6:$C$3005&lt;=$C1088+3)),1)))</f>
        <v/>
      </c>
      <c r="K1088" s="6" t="n"/>
    </row>
    <row r="1089">
      <c r="A1089" s="6" t="n"/>
      <c r="B1089" s="6" t="n"/>
      <c r="C1089" s="19" t="n"/>
      <c r="D1089" s="19" t="n"/>
      <c r="E1089" s="6" t="n"/>
      <c r="F1089" s="20" t="n"/>
      <c r="G1089" s="9">
        <f>IF($F1089="","",IF($F1089&gt;0,ROUND($F1089,2),""))</f>
        <v/>
      </c>
      <c r="H1089" s="12">
        <f>IF(OR($B1089="",$C1089="",$G1089=""),"",COUNTIFS(Ventes_Encaissements!$E$6:$E$3005,$B1089,Ventes_Encaissements!$J$6:$J$3005,$G1089,Ventes_Encaissements!$C$6:$C$3005,"&gt;="&amp;($C1089-3),Ventes_Encaissements!$C$6:$C$3005,"&lt;="&amp;($C1089+3)))</f>
        <v/>
      </c>
      <c r="I1089" s="12">
        <f>IF($H1089="","",IF($H1089=0,"Non trouvé",IF($H1089=1,"Match","À vérifier")))</f>
        <v/>
      </c>
      <c r="J1089" s="21">
        <f>IF($I1089&lt;&gt;"Match","",INDEX(Ventes_Encaissements!$B$6:$B$3005,_xludf.AGGREGATE(15,6,(ROW(Ventes_Encaissements!$B$6:$B$3005)-ROW(Ventes_Encaissements!$B$6)+1)/((Ventes_Encaissements!$E$6:$E$3005=$B1089)*(Ventes_Encaissements!$J$6:$J$3005=$G1089)*(Ventes_Encaissements!$C$6:$C$3005&gt;=$C1089-3)*(Ventes_Encaissements!$C$6:$C$3005&lt;=$C1089+3)),1)))</f>
        <v/>
      </c>
      <c r="K1089" s="6" t="n"/>
    </row>
    <row r="1090">
      <c r="A1090" s="6" t="n"/>
      <c r="B1090" s="6" t="n"/>
      <c r="C1090" s="19" t="n"/>
      <c r="D1090" s="19" t="n"/>
      <c r="E1090" s="6" t="n"/>
      <c r="F1090" s="20" t="n"/>
      <c r="G1090" s="9">
        <f>IF($F1090="","",IF($F1090&gt;0,ROUND($F1090,2),""))</f>
        <v/>
      </c>
      <c r="H1090" s="12">
        <f>IF(OR($B1090="",$C1090="",$G1090=""),"",COUNTIFS(Ventes_Encaissements!$E$6:$E$3005,$B1090,Ventes_Encaissements!$J$6:$J$3005,$G1090,Ventes_Encaissements!$C$6:$C$3005,"&gt;="&amp;($C1090-3),Ventes_Encaissements!$C$6:$C$3005,"&lt;="&amp;($C1090+3)))</f>
        <v/>
      </c>
      <c r="I1090" s="12">
        <f>IF($H1090="","",IF($H1090=0,"Non trouvé",IF($H1090=1,"Match","À vérifier")))</f>
        <v/>
      </c>
      <c r="J1090" s="21">
        <f>IF($I1090&lt;&gt;"Match","",INDEX(Ventes_Encaissements!$B$6:$B$3005,_xludf.AGGREGATE(15,6,(ROW(Ventes_Encaissements!$B$6:$B$3005)-ROW(Ventes_Encaissements!$B$6)+1)/((Ventes_Encaissements!$E$6:$E$3005=$B1090)*(Ventes_Encaissements!$J$6:$J$3005=$G1090)*(Ventes_Encaissements!$C$6:$C$3005&gt;=$C1090-3)*(Ventes_Encaissements!$C$6:$C$3005&lt;=$C1090+3)),1)))</f>
        <v/>
      </c>
      <c r="K1090" s="6" t="n"/>
    </row>
    <row r="1091">
      <c r="A1091" s="6" t="n"/>
      <c r="B1091" s="6" t="n"/>
      <c r="C1091" s="19" t="n"/>
      <c r="D1091" s="19" t="n"/>
      <c r="E1091" s="6" t="n"/>
      <c r="F1091" s="20" t="n"/>
      <c r="G1091" s="9">
        <f>IF($F1091="","",IF($F1091&gt;0,ROUND($F1091,2),""))</f>
        <v/>
      </c>
      <c r="H1091" s="12">
        <f>IF(OR($B1091="",$C1091="",$G1091=""),"",COUNTIFS(Ventes_Encaissements!$E$6:$E$3005,$B1091,Ventes_Encaissements!$J$6:$J$3005,$G1091,Ventes_Encaissements!$C$6:$C$3005,"&gt;="&amp;($C1091-3),Ventes_Encaissements!$C$6:$C$3005,"&lt;="&amp;($C1091+3)))</f>
        <v/>
      </c>
      <c r="I1091" s="12">
        <f>IF($H1091="","",IF($H1091=0,"Non trouvé",IF($H1091=1,"Match","À vérifier")))</f>
        <v/>
      </c>
      <c r="J1091" s="21">
        <f>IF($I1091&lt;&gt;"Match","",INDEX(Ventes_Encaissements!$B$6:$B$3005,_xludf.AGGREGATE(15,6,(ROW(Ventes_Encaissements!$B$6:$B$3005)-ROW(Ventes_Encaissements!$B$6)+1)/((Ventes_Encaissements!$E$6:$E$3005=$B1091)*(Ventes_Encaissements!$J$6:$J$3005=$G1091)*(Ventes_Encaissements!$C$6:$C$3005&gt;=$C1091-3)*(Ventes_Encaissements!$C$6:$C$3005&lt;=$C1091+3)),1)))</f>
        <v/>
      </c>
      <c r="K1091" s="6" t="n"/>
    </row>
    <row r="1092">
      <c r="A1092" s="6" t="n"/>
      <c r="B1092" s="6" t="n"/>
      <c r="C1092" s="19" t="n"/>
      <c r="D1092" s="19" t="n"/>
      <c r="E1092" s="6" t="n"/>
      <c r="F1092" s="20" t="n"/>
      <c r="G1092" s="9">
        <f>IF($F1092="","",IF($F1092&gt;0,ROUND($F1092,2),""))</f>
        <v/>
      </c>
      <c r="H1092" s="12">
        <f>IF(OR($B1092="",$C1092="",$G1092=""),"",COUNTIFS(Ventes_Encaissements!$E$6:$E$3005,$B1092,Ventes_Encaissements!$J$6:$J$3005,$G1092,Ventes_Encaissements!$C$6:$C$3005,"&gt;="&amp;($C1092-3),Ventes_Encaissements!$C$6:$C$3005,"&lt;="&amp;($C1092+3)))</f>
        <v/>
      </c>
      <c r="I1092" s="12">
        <f>IF($H1092="","",IF($H1092=0,"Non trouvé",IF($H1092=1,"Match","À vérifier")))</f>
        <v/>
      </c>
      <c r="J1092" s="21">
        <f>IF($I1092&lt;&gt;"Match","",INDEX(Ventes_Encaissements!$B$6:$B$3005,_xludf.AGGREGATE(15,6,(ROW(Ventes_Encaissements!$B$6:$B$3005)-ROW(Ventes_Encaissements!$B$6)+1)/((Ventes_Encaissements!$E$6:$E$3005=$B1092)*(Ventes_Encaissements!$J$6:$J$3005=$G1092)*(Ventes_Encaissements!$C$6:$C$3005&gt;=$C1092-3)*(Ventes_Encaissements!$C$6:$C$3005&lt;=$C1092+3)),1)))</f>
        <v/>
      </c>
      <c r="K1092" s="6" t="n"/>
    </row>
    <row r="1093">
      <c r="A1093" s="6" t="n"/>
      <c r="B1093" s="6" t="n"/>
      <c r="C1093" s="19" t="n"/>
      <c r="D1093" s="19" t="n"/>
      <c r="E1093" s="6" t="n"/>
      <c r="F1093" s="20" t="n"/>
      <c r="G1093" s="9">
        <f>IF($F1093="","",IF($F1093&gt;0,ROUND($F1093,2),""))</f>
        <v/>
      </c>
      <c r="H1093" s="12">
        <f>IF(OR($B1093="",$C1093="",$G1093=""),"",COUNTIFS(Ventes_Encaissements!$E$6:$E$3005,$B1093,Ventes_Encaissements!$J$6:$J$3005,$G1093,Ventes_Encaissements!$C$6:$C$3005,"&gt;="&amp;($C1093-3),Ventes_Encaissements!$C$6:$C$3005,"&lt;="&amp;($C1093+3)))</f>
        <v/>
      </c>
      <c r="I1093" s="12">
        <f>IF($H1093="","",IF($H1093=0,"Non trouvé",IF($H1093=1,"Match","À vérifier")))</f>
        <v/>
      </c>
      <c r="J1093" s="21">
        <f>IF($I1093&lt;&gt;"Match","",INDEX(Ventes_Encaissements!$B$6:$B$3005,_xludf.AGGREGATE(15,6,(ROW(Ventes_Encaissements!$B$6:$B$3005)-ROW(Ventes_Encaissements!$B$6)+1)/((Ventes_Encaissements!$E$6:$E$3005=$B1093)*(Ventes_Encaissements!$J$6:$J$3005=$G1093)*(Ventes_Encaissements!$C$6:$C$3005&gt;=$C1093-3)*(Ventes_Encaissements!$C$6:$C$3005&lt;=$C1093+3)),1)))</f>
        <v/>
      </c>
      <c r="K1093" s="6" t="n"/>
    </row>
    <row r="1094">
      <c r="A1094" s="6" t="n"/>
      <c r="B1094" s="6" t="n"/>
      <c r="C1094" s="19" t="n"/>
      <c r="D1094" s="19" t="n"/>
      <c r="E1094" s="6" t="n"/>
      <c r="F1094" s="20" t="n"/>
      <c r="G1094" s="9">
        <f>IF($F1094="","",IF($F1094&gt;0,ROUND($F1094,2),""))</f>
        <v/>
      </c>
      <c r="H1094" s="12">
        <f>IF(OR($B1094="",$C1094="",$G1094=""),"",COUNTIFS(Ventes_Encaissements!$E$6:$E$3005,$B1094,Ventes_Encaissements!$J$6:$J$3005,$G1094,Ventes_Encaissements!$C$6:$C$3005,"&gt;="&amp;($C1094-3),Ventes_Encaissements!$C$6:$C$3005,"&lt;="&amp;($C1094+3)))</f>
        <v/>
      </c>
      <c r="I1094" s="12">
        <f>IF($H1094="","",IF($H1094=0,"Non trouvé",IF($H1094=1,"Match","À vérifier")))</f>
        <v/>
      </c>
      <c r="J1094" s="21">
        <f>IF($I1094&lt;&gt;"Match","",INDEX(Ventes_Encaissements!$B$6:$B$3005,_xludf.AGGREGATE(15,6,(ROW(Ventes_Encaissements!$B$6:$B$3005)-ROW(Ventes_Encaissements!$B$6)+1)/((Ventes_Encaissements!$E$6:$E$3005=$B1094)*(Ventes_Encaissements!$J$6:$J$3005=$G1094)*(Ventes_Encaissements!$C$6:$C$3005&gt;=$C1094-3)*(Ventes_Encaissements!$C$6:$C$3005&lt;=$C1094+3)),1)))</f>
        <v/>
      </c>
      <c r="K1094" s="6" t="n"/>
    </row>
    <row r="1095">
      <c r="A1095" s="6" t="n"/>
      <c r="B1095" s="6" t="n"/>
      <c r="C1095" s="19" t="n"/>
      <c r="D1095" s="19" t="n"/>
      <c r="E1095" s="6" t="n"/>
      <c r="F1095" s="20" t="n"/>
      <c r="G1095" s="9">
        <f>IF($F1095="","",IF($F1095&gt;0,ROUND($F1095,2),""))</f>
        <v/>
      </c>
      <c r="H1095" s="12">
        <f>IF(OR($B1095="",$C1095="",$G1095=""),"",COUNTIFS(Ventes_Encaissements!$E$6:$E$3005,$B1095,Ventes_Encaissements!$J$6:$J$3005,$G1095,Ventes_Encaissements!$C$6:$C$3005,"&gt;="&amp;($C1095-3),Ventes_Encaissements!$C$6:$C$3005,"&lt;="&amp;($C1095+3)))</f>
        <v/>
      </c>
      <c r="I1095" s="12">
        <f>IF($H1095="","",IF($H1095=0,"Non trouvé",IF($H1095=1,"Match","À vérifier")))</f>
        <v/>
      </c>
      <c r="J1095" s="21">
        <f>IF($I1095&lt;&gt;"Match","",INDEX(Ventes_Encaissements!$B$6:$B$3005,_xludf.AGGREGATE(15,6,(ROW(Ventes_Encaissements!$B$6:$B$3005)-ROW(Ventes_Encaissements!$B$6)+1)/((Ventes_Encaissements!$E$6:$E$3005=$B1095)*(Ventes_Encaissements!$J$6:$J$3005=$G1095)*(Ventes_Encaissements!$C$6:$C$3005&gt;=$C1095-3)*(Ventes_Encaissements!$C$6:$C$3005&lt;=$C1095+3)),1)))</f>
        <v/>
      </c>
      <c r="K1095" s="6" t="n"/>
    </row>
    <row r="1096">
      <c r="A1096" s="6" t="n"/>
      <c r="B1096" s="6" t="n"/>
      <c r="C1096" s="19" t="n"/>
      <c r="D1096" s="19" t="n"/>
      <c r="E1096" s="6" t="n"/>
      <c r="F1096" s="20" t="n"/>
      <c r="G1096" s="9">
        <f>IF($F1096="","",IF($F1096&gt;0,ROUND($F1096,2),""))</f>
        <v/>
      </c>
      <c r="H1096" s="12">
        <f>IF(OR($B1096="",$C1096="",$G1096=""),"",COUNTIFS(Ventes_Encaissements!$E$6:$E$3005,$B1096,Ventes_Encaissements!$J$6:$J$3005,$G1096,Ventes_Encaissements!$C$6:$C$3005,"&gt;="&amp;($C1096-3),Ventes_Encaissements!$C$6:$C$3005,"&lt;="&amp;($C1096+3)))</f>
        <v/>
      </c>
      <c r="I1096" s="12">
        <f>IF($H1096="","",IF($H1096=0,"Non trouvé",IF($H1096=1,"Match","À vérifier")))</f>
        <v/>
      </c>
      <c r="J1096" s="21">
        <f>IF($I1096&lt;&gt;"Match","",INDEX(Ventes_Encaissements!$B$6:$B$3005,_xludf.AGGREGATE(15,6,(ROW(Ventes_Encaissements!$B$6:$B$3005)-ROW(Ventes_Encaissements!$B$6)+1)/((Ventes_Encaissements!$E$6:$E$3005=$B1096)*(Ventes_Encaissements!$J$6:$J$3005=$G1096)*(Ventes_Encaissements!$C$6:$C$3005&gt;=$C1096-3)*(Ventes_Encaissements!$C$6:$C$3005&lt;=$C1096+3)),1)))</f>
        <v/>
      </c>
      <c r="K1096" s="6" t="n"/>
    </row>
    <row r="1097">
      <c r="A1097" s="6" t="n"/>
      <c r="B1097" s="6" t="n"/>
      <c r="C1097" s="19" t="n"/>
      <c r="D1097" s="19" t="n"/>
      <c r="E1097" s="6" t="n"/>
      <c r="F1097" s="20" t="n"/>
      <c r="G1097" s="9">
        <f>IF($F1097="","",IF($F1097&gt;0,ROUND($F1097,2),""))</f>
        <v/>
      </c>
      <c r="H1097" s="12">
        <f>IF(OR($B1097="",$C1097="",$G1097=""),"",COUNTIFS(Ventes_Encaissements!$E$6:$E$3005,$B1097,Ventes_Encaissements!$J$6:$J$3005,$G1097,Ventes_Encaissements!$C$6:$C$3005,"&gt;="&amp;($C1097-3),Ventes_Encaissements!$C$6:$C$3005,"&lt;="&amp;($C1097+3)))</f>
        <v/>
      </c>
      <c r="I1097" s="12">
        <f>IF($H1097="","",IF($H1097=0,"Non trouvé",IF($H1097=1,"Match","À vérifier")))</f>
        <v/>
      </c>
      <c r="J1097" s="21">
        <f>IF($I1097&lt;&gt;"Match","",INDEX(Ventes_Encaissements!$B$6:$B$3005,_xludf.AGGREGATE(15,6,(ROW(Ventes_Encaissements!$B$6:$B$3005)-ROW(Ventes_Encaissements!$B$6)+1)/((Ventes_Encaissements!$E$6:$E$3005=$B1097)*(Ventes_Encaissements!$J$6:$J$3005=$G1097)*(Ventes_Encaissements!$C$6:$C$3005&gt;=$C1097-3)*(Ventes_Encaissements!$C$6:$C$3005&lt;=$C1097+3)),1)))</f>
        <v/>
      </c>
      <c r="K1097" s="6" t="n"/>
    </row>
    <row r="1098">
      <c r="A1098" s="6" t="n"/>
      <c r="B1098" s="6" t="n"/>
      <c r="C1098" s="19" t="n"/>
      <c r="D1098" s="19" t="n"/>
      <c r="E1098" s="6" t="n"/>
      <c r="F1098" s="20" t="n"/>
      <c r="G1098" s="9">
        <f>IF($F1098="","",IF($F1098&gt;0,ROUND($F1098,2),""))</f>
        <v/>
      </c>
      <c r="H1098" s="12">
        <f>IF(OR($B1098="",$C1098="",$G1098=""),"",COUNTIFS(Ventes_Encaissements!$E$6:$E$3005,$B1098,Ventes_Encaissements!$J$6:$J$3005,$G1098,Ventes_Encaissements!$C$6:$C$3005,"&gt;="&amp;($C1098-3),Ventes_Encaissements!$C$6:$C$3005,"&lt;="&amp;($C1098+3)))</f>
        <v/>
      </c>
      <c r="I1098" s="12">
        <f>IF($H1098="","",IF($H1098=0,"Non trouvé",IF($H1098=1,"Match","À vérifier")))</f>
        <v/>
      </c>
      <c r="J1098" s="21">
        <f>IF($I1098&lt;&gt;"Match","",INDEX(Ventes_Encaissements!$B$6:$B$3005,_xludf.AGGREGATE(15,6,(ROW(Ventes_Encaissements!$B$6:$B$3005)-ROW(Ventes_Encaissements!$B$6)+1)/((Ventes_Encaissements!$E$6:$E$3005=$B1098)*(Ventes_Encaissements!$J$6:$J$3005=$G1098)*(Ventes_Encaissements!$C$6:$C$3005&gt;=$C1098-3)*(Ventes_Encaissements!$C$6:$C$3005&lt;=$C1098+3)),1)))</f>
        <v/>
      </c>
      <c r="K1098" s="6" t="n"/>
    </row>
    <row r="1099">
      <c r="A1099" s="6" t="n"/>
      <c r="B1099" s="6" t="n"/>
      <c r="C1099" s="19" t="n"/>
      <c r="D1099" s="19" t="n"/>
      <c r="E1099" s="6" t="n"/>
      <c r="F1099" s="20" t="n"/>
      <c r="G1099" s="9">
        <f>IF($F1099="","",IF($F1099&gt;0,ROUND($F1099,2),""))</f>
        <v/>
      </c>
      <c r="H1099" s="12">
        <f>IF(OR($B1099="",$C1099="",$G1099=""),"",COUNTIFS(Ventes_Encaissements!$E$6:$E$3005,$B1099,Ventes_Encaissements!$J$6:$J$3005,$G1099,Ventes_Encaissements!$C$6:$C$3005,"&gt;="&amp;($C1099-3),Ventes_Encaissements!$C$6:$C$3005,"&lt;="&amp;($C1099+3)))</f>
        <v/>
      </c>
      <c r="I1099" s="12">
        <f>IF($H1099="","",IF($H1099=0,"Non trouvé",IF($H1099=1,"Match","À vérifier")))</f>
        <v/>
      </c>
      <c r="J1099" s="21">
        <f>IF($I1099&lt;&gt;"Match","",INDEX(Ventes_Encaissements!$B$6:$B$3005,_xludf.AGGREGATE(15,6,(ROW(Ventes_Encaissements!$B$6:$B$3005)-ROW(Ventes_Encaissements!$B$6)+1)/((Ventes_Encaissements!$E$6:$E$3005=$B1099)*(Ventes_Encaissements!$J$6:$J$3005=$G1099)*(Ventes_Encaissements!$C$6:$C$3005&gt;=$C1099-3)*(Ventes_Encaissements!$C$6:$C$3005&lt;=$C1099+3)),1)))</f>
        <v/>
      </c>
      <c r="K1099" s="6" t="n"/>
    </row>
    <row r="1100">
      <c r="A1100" s="6" t="n"/>
      <c r="B1100" s="6" t="n"/>
      <c r="C1100" s="19" t="n"/>
      <c r="D1100" s="19" t="n"/>
      <c r="E1100" s="6" t="n"/>
      <c r="F1100" s="20" t="n"/>
      <c r="G1100" s="9">
        <f>IF($F1100="","",IF($F1100&gt;0,ROUND($F1100,2),""))</f>
        <v/>
      </c>
      <c r="H1100" s="12">
        <f>IF(OR($B1100="",$C1100="",$G1100=""),"",COUNTIFS(Ventes_Encaissements!$E$6:$E$3005,$B1100,Ventes_Encaissements!$J$6:$J$3005,$G1100,Ventes_Encaissements!$C$6:$C$3005,"&gt;="&amp;($C1100-3),Ventes_Encaissements!$C$6:$C$3005,"&lt;="&amp;($C1100+3)))</f>
        <v/>
      </c>
      <c r="I1100" s="12">
        <f>IF($H1100="","",IF($H1100=0,"Non trouvé",IF($H1100=1,"Match","À vérifier")))</f>
        <v/>
      </c>
      <c r="J1100" s="21">
        <f>IF($I1100&lt;&gt;"Match","",INDEX(Ventes_Encaissements!$B$6:$B$3005,_xludf.AGGREGATE(15,6,(ROW(Ventes_Encaissements!$B$6:$B$3005)-ROW(Ventes_Encaissements!$B$6)+1)/((Ventes_Encaissements!$E$6:$E$3005=$B1100)*(Ventes_Encaissements!$J$6:$J$3005=$G1100)*(Ventes_Encaissements!$C$6:$C$3005&gt;=$C1100-3)*(Ventes_Encaissements!$C$6:$C$3005&lt;=$C1100+3)),1)))</f>
        <v/>
      </c>
      <c r="K1100" s="6" t="n"/>
    </row>
    <row r="1101">
      <c r="A1101" s="6" t="n"/>
      <c r="B1101" s="6" t="n"/>
      <c r="C1101" s="19" t="n"/>
      <c r="D1101" s="19" t="n"/>
      <c r="E1101" s="6" t="n"/>
      <c r="F1101" s="20" t="n"/>
      <c r="G1101" s="9">
        <f>IF($F1101="","",IF($F1101&gt;0,ROUND($F1101,2),""))</f>
        <v/>
      </c>
      <c r="H1101" s="12">
        <f>IF(OR($B1101="",$C1101="",$G1101=""),"",COUNTIFS(Ventes_Encaissements!$E$6:$E$3005,$B1101,Ventes_Encaissements!$J$6:$J$3005,$G1101,Ventes_Encaissements!$C$6:$C$3005,"&gt;="&amp;($C1101-3),Ventes_Encaissements!$C$6:$C$3005,"&lt;="&amp;($C1101+3)))</f>
        <v/>
      </c>
      <c r="I1101" s="12">
        <f>IF($H1101="","",IF($H1101=0,"Non trouvé",IF($H1101=1,"Match","À vérifier")))</f>
        <v/>
      </c>
      <c r="J1101" s="21">
        <f>IF($I1101&lt;&gt;"Match","",INDEX(Ventes_Encaissements!$B$6:$B$3005,_xludf.AGGREGATE(15,6,(ROW(Ventes_Encaissements!$B$6:$B$3005)-ROW(Ventes_Encaissements!$B$6)+1)/((Ventes_Encaissements!$E$6:$E$3005=$B1101)*(Ventes_Encaissements!$J$6:$J$3005=$G1101)*(Ventes_Encaissements!$C$6:$C$3005&gt;=$C1101-3)*(Ventes_Encaissements!$C$6:$C$3005&lt;=$C1101+3)),1)))</f>
        <v/>
      </c>
      <c r="K1101" s="6" t="n"/>
    </row>
    <row r="1102">
      <c r="A1102" s="6" t="n"/>
      <c r="B1102" s="6" t="n"/>
      <c r="C1102" s="19" t="n"/>
      <c r="D1102" s="19" t="n"/>
      <c r="E1102" s="6" t="n"/>
      <c r="F1102" s="20" t="n"/>
      <c r="G1102" s="9">
        <f>IF($F1102="","",IF($F1102&gt;0,ROUND($F1102,2),""))</f>
        <v/>
      </c>
      <c r="H1102" s="12">
        <f>IF(OR($B1102="",$C1102="",$G1102=""),"",COUNTIFS(Ventes_Encaissements!$E$6:$E$3005,$B1102,Ventes_Encaissements!$J$6:$J$3005,$G1102,Ventes_Encaissements!$C$6:$C$3005,"&gt;="&amp;($C1102-3),Ventes_Encaissements!$C$6:$C$3005,"&lt;="&amp;($C1102+3)))</f>
        <v/>
      </c>
      <c r="I1102" s="12">
        <f>IF($H1102="","",IF($H1102=0,"Non trouvé",IF($H1102=1,"Match","À vérifier")))</f>
        <v/>
      </c>
      <c r="J1102" s="21">
        <f>IF($I1102&lt;&gt;"Match","",INDEX(Ventes_Encaissements!$B$6:$B$3005,_xludf.AGGREGATE(15,6,(ROW(Ventes_Encaissements!$B$6:$B$3005)-ROW(Ventes_Encaissements!$B$6)+1)/((Ventes_Encaissements!$E$6:$E$3005=$B1102)*(Ventes_Encaissements!$J$6:$J$3005=$G1102)*(Ventes_Encaissements!$C$6:$C$3005&gt;=$C1102-3)*(Ventes_Encaissements!$C$6:$C$3005&lt;=$C1102+3)),1)))</f>
        <v/>
      </c>
      <c r="K1102" s="6" t="n"/>
    </row>
    <row r="1103">
      <c r="A1103" s="6" t="n"/>
      <c r="B1103" s="6" t="n"/>
      <c r="C1103" s="19" t="n"/>
      <c r="D1103" s="19" t="n"/>
      <c r="E1103" s="6" t="n"/>
      <c r="F1103" s="20" t="n"/>
      <c r="G1103" s="9">
        <f>IF($F1103="","",IF($F1103&gt;0,ROUND($F1103,2),""))</f>
        <v/>
      </c>
      <c r="H1103" s="12">
        <f>IF(OR($B1103="",$C1103="",$G1103=""),"",COUNTIFS(Ventes_Encaissements!$E$6:$E$3005,$B1103,Ventes_Encaissements!$J$6:$J$3005,$G1103,Ventes_Encaissements!$C$6:$C$3005,"&gt;="&amp;($C1103-3),Ventes_Encaissements!$C$6:$C$3005,"&lt;="&amp;($C1103+3)))</f>
        <v/>
      </c>
      <c r="I1103" s="12">
        <f>IF($H1103="","",IF($H1103=0,"Non trouvé",IF($H1103=1,"Match","À vérifier")))</f>
        <v/>
      </c>
      <c r="J1103" s="21">
        <f>IF($I1103&lt;&gt;"Match","",INDEX(Ventes_Encaissements!$B$6:$B$3005,_xludf.AGGREGATE(15,6,(ROW(Ventes_Encaissements!$B$6:$B$3005)-ROW(Ventes_Encaissements!$B$6)+1)/((Ventes_Encaissements!$E$6:$E$3005=$B1103)*(Ventes_Encaissements!$J$6:$J$3005=$G1103)*(Ventes_Encaissements!$C$6:$C$3005&gt;=$C1103-3)*(Ventes_Encaissements!$C$6:$C$3005&lt;=$C1103+3)),1)))</f>
        <v/>
      </c>
      <c r="K1103" s="6" t="n"/>
    </row>
    <row r="1104">
      <c r="A1104" s="6" t="n"/>
      <c r="B1104" s="6" t="n"/>
      <c r="C1104" s="19" t="n"/>
      <c r="D1104" s="19" t="n"/>
      <c r="E1104" s="6" t="n"/>
      <c r="F1104" s="20" t="n"/>
      <c r="G1104" s="9">
        <f>IF($F1104="","",IF($F1104&gt;0,ROUND($F1104,2),""))</f>
        <v/>
      </c>
      <c r="H1104" s="12">
        <f>IF(OR($B1104="",$C1104="",$G1104=""),"",COUNTIFS(Ventes_Encaissements!$E$6:$E$3005,$B1104,Ventes_Encaissements!$J$6:$J$3005,$G1104,Ventes_Encaissements!$C$6:$C$3005,"&gt;="&amp;($C1104-3),Ventes_Encaissements!$C$6:$C$3005,"&lt;="&amp;($C1104+3)))</f>
        <v/>
      </c>
      <c r="I1104" s="12">
        <f>IF($H1104="","",IF($H1104=0,"Non trouvé",IF($H1104=1,"Match","À vérifier")))</f>
        <v/>
      </c>
      <c r="J1104" s="21">
        <f>IF($I1104&lt;&gt;"Match","",INDEX(Ventes_Encaissements!$B$6:$B$3005,_xludf.AGGREGATE(15,6,(ROW(Ventes_Encaissements!$B$6:$B$3005)-ROW(Ventes_Encaissements!$B$6)+1)/((Ventes_Encaissements!$E$6:$E$3005=$B1104)*(Ventes_Encaissements!$J$6:$J$3005=$G1104)*(Ventes_Encaissements!$C$6:$C$3005&gt;=$C1104-3)*(Ventes_Encaissements!$C$6:$C$3005&lt;=$C1104+3)),1)))</f>
        <v/>
      </c>
      <c r="K1104" s="6" t="n"/>
    </row>
    <row r="1105">
      <c r="A1105" s="6" t="n"/>
      <c r="B1105" s="6" t="n"/>
      <c r="C1105" s="19" t="n"/>
      <c r="D1105" s="19" t="n"/>
      <c r="E1105" s="6" t="n"/>
      <c r="F1105" s="20" t="n"/>
      <c r="G1105" s="9">
        <f>IF($F1105="","",IF($F1105&gt;0,ROUND($F1105,2),""))</f>
        <v/>
      </c>
      <c r="H1105" s="12">
        <f>IF(OR($B1105="",$C1105="",$G1105=""),"",COUNTIFS(Ventes_Encaissements!$E$6:$E$3005,$B1105,Ventes_Encaissements!$J$6:$J$3005,$G1105,Ventes_Encaissements!$C$6:$C$3005,"&gt;="&amp;($C1105-3),Ventes_Encaissements!$C$6:$C$3005,"&lt;="&amp;($C1105+3)))</f>
        <v/>
      </c>
      <c r="I1105" s="12">
        <f>IF($H1105="","",IF($H1105=0,"Non trouvé",IF($H1105=1,"Match","À vérifier")))</f>
        <v/>
      </c>
      <c r="J1105" s="21">
        <f>IF($I1105&lt;&gt;"Match","",INDEX(Ventes_Encaissements!$B$6:$B$3005,_xludf.AGGREGATE(15,6,(ROW(Ventes_Encaissements!$B$6:$B$3005)-ROW(Ventes_Encaissements!$B$6)+1)/((Ventes_Encaissements!$E$6:$E$3005=$B1105)*(Ventes_Encaissements!$J$6:$J$3005=$G1105)*(Ventes_Encaissements!$C$6:$C$3005&gt;=$C1105-3)*(Ventes_Encaissements!$C$6:$C$3005&lt;=$C1105+3)),1)))</f>
        <v/>
      </c>
      <c r="K1105" s="6" t="n"/>
    </row>
    <row r="1106">
      <c r="A1106" s="6" t="n"/>
      <c r="B1106" s="6" t="n"/>
      <c r="C1106" s="19" t="n"/>
      <c r="D1106" s="19" t="n"/>
      <c r="E1106" s="6" t="n"/>
      <c r="F1106" s="20" t="n"/>
      <c r="G1106" s="9">
        <f>IF($F1106="","",IF($F1106&gt;0,ROUND($F1106,2),""))</f>
        <v/>
      </c>
      <c r="H1106" s="12">
        <f>IF(OR($B1106="",$C1106="",$G1106=""),"",COUNTIFS(Ventes_Encaissements!$E$6:$E$3005,$B1106,Ventes_Encaissements!$J$6:$J$3005,$G1106,Ventes_Encaissements!$C$6:$C$3005,"&gt;="&amp;($C1106-3),Ventes_Encaissements!$C$6:$C$3005,"&lt;="&amp;($C1106+3)))</f>
        <v/>
      </c>
      <c r="I1106" s="12">
        <f>IF($H1106="","",IF($H1106=0,"Non trouvé",IF($H1106=1,"Match","À vérifier")))</f>
        <v/>
      </c>
      <c r="J1106" s="21">
        <f>IF($I1106&lt;&gt;"Match","",INDEX(Ventes_Encaissements!$B$6:$B$3005,_xludf.AGGREGATE(15,6,(ROW(Ventes_Encaissements!$B$6:$B$3005)-ROW(Ventes_Encaissements!$B$6)+1)/((Ventes_Encaissements!$E$6:$E$3005=$B1106)*(Ventes_Encaissements!$J$6:$J$3005=$G1106)*(Ventes_Encaissements!$C$6:$C$3005&gt;=$C1106-3)*(Ventes_Encaissements!$C$6:$C$3005&lt;=$C1106+3)),1)))</f>
        <v/>
      </c>
      <c r="K1106" s="6" t="n"/>
    </row>
    <row r="1107">
      <c r="A1107" s="6" t="n"/>
      <c r="B1107" s="6" t="n"/>
      <c r="C1107" s="19" t="n"/>
      <c r="D1107" s="19" t="n"/>
      <c r="E1107" s="6" t="n"/>
      <c r="F1107" s="20" t="n"/>
      <c r="G1107" s="9">
        <f>IF($F1107="","",IF($F1107&gt;0,ROUND($F1107,2),""))</f>
        <v/>
      </c>
      <c r="H1107" s="12">
        <f>IF(OR($B1107="",$C1107="",$G1107=""),"",COUNTIFS(Ventes_Encaissements!$E$6:$E$3005,$B1107,Ventes_Encaissements!$J$6:$J$3005,$G1107,Ventes_Encaissements!$C$6:$C$3005,"&gt;="&amp;($C1107-3),Ventes_Encaissements!$C$6:$C$3005,"&lt;="&amp;($C1107+3)))</f>
        <v/>
      </c>
      <c r="I1107" s="12">
        <f>IF($H1107="","",IF($H1107=0,"Non trouvé",IF($H1107=1,"Match","À vérifier")))</f>
        <v/>
      </c>
      <c r="J1107" s="21">
        <f>IF($I1107&lt;&gt;"Match","",INDEX(Ventes_Encaissements!$B$6:$B$3005,_xludf.AGGREGATE(15,6,(ROW(Ventes_Encaissements!$B$6:$B$3005)-ROW(Ventes_Encaissements!$B$6)+1)/((Ventes_Encaissements!$E$6:$E$3005=$B1107)*(Ventes_Encaissements!$J$6:$J$3005=$G1107)*(Ventes_Encaissements!$C$6:$C$3005&gt;=$C1107-3)*(Ventes_Encaissements!$C$6:$C$3005&lt;=$C1107+3)),1)))</f>
        <v/>
      </c>
      <c r="K1107" s="6" t="n"/>
    </row>
    <row r="1108">
      <c r="A1108" s="6" t="n"/>
      <c r="B1108" s="6" t="n"/>
      <c r="C1108" s="19" t="n"/>
      <c r="D1108" s="19" t="n"/>
      <c r="E1108" s="6" t="n"/>
      <c r="F1108" s="20" t="n"/>
      <c r="G1108" s="9">
        <f>IF($F1108="","",IF($F1108&gt;0,ROUND($F1108,2),""))</f>
        <v/>
      </c>
      <c r="H1108" s="12">
        <f>IF(OR($B1108="",$C1108="",$G1108=""),"",COUNTIFS(Ventes_Encaissements!$E$6:$E$3005,$B1108,Ventes_Encaissements!$J$6:$J$3005,$G1108,Ventes_Encaissements!$C$6:$C$3005,"&gt;="&amp;($C1108-3),Ventes_Encaissements!$C$6:$C$3005,"&lt;="&amp;($C1108+3)))</f>
        <v/>
      </c>
      <c r="I1108" s="12">
        <f>IF($H1108="","",IF($H1108=0,"Non trouvé",IF($H1108=1,"Match","À vérifier")))</f>
        <v/>
      </c>
      <c r="J1108" s="21">
        <f>IF($I1108&lt;&gt;"Match","",INDEX(Ventes_Encaissements!$B$6:$B$3005,_xludf.AGGREGATE(15,6,(ROW(Ventes_Encaissements!$B$6:$B$3005)-ROW(Ventes_Encaissements!$B$6)+1)/((Ventes_Encaissements!$E$6:$E$3005=$B1108)*(Ventes_Encaissements!$J$6:$J$3005=$G1108)*(Ventes_Encaissements!$C$6:$C$3005&gt;=$C1108-3)*(Ventes_Encaissements!$C$6:$C$3005&lt;=$C1108+3)),1)))</f>
        <v/>
      </c>
      <c r="K1108" s="6" t="n"/>
    </row>
    <row r="1109">
      <c r="A1109" s="6" t="n"/>
      <c r="B1109" s="6" t="n"/>
      <c r="C1109" s="19" t="n"/>
      <c r="D1109" s="19" t="n"/>
      <c r="E1109" s="6" t="n"/>
      <c r="F1109" s="20" t="n"/>
      <c r="G1109" s="9">
        <f>IF($F1109="","",IF($F1109&gt;0,ROUND($F1109,2),""))</f>
        <v/>
      </c>
      <c r="H1109" s="12">
        <f>IF(OR($B1109="",$C1109="",$G1109=""),"",COUNTIFS(Ventes_Encaissements!$E$6:$E$3005,$B1109,Ventes_Encaissements!$J$6:$J$3005,$G1109,Ventes_Encaissements!$C$6:$C$3005,"&gt;="&amp;($C1109-3),Ventes_Encaissements!$C$6:$C$3005,"&lt;="&amp;($C1109+3)))</f>
        <v/>
      </c>
      <c r="I1109" s="12">
        <f>IF($H1109="","",IF($H1109=0,"Non trouvé",IF($H1109=1,"Match","À vérifier")))</f>
        <v/>
      </c>
      <c r="J1109" s="21">
        <f>IF($I1109&lt;&gt;"Match","",INDEX(Ventes_Encaissements!$B$6:$B$3005,_xludf.AGGREGATE(15,6,(ROW(Ventes_Encaissements!$B$6:$B$3005)-ROW(Ventes_Encaissements!$B$6)+1)/((Ventes_Encaissements!$E$6:$E$3005=$B1109)*(Ventes_Encaissements!$J$6:$J$3005=$G1109)*(Ventes_Encaissements!$C$6:$C$3005&gt;=$C1109-3)*(Ventes_Encaissements!$C$6:$C$3005&lt;=$C1109+3)),1)))</f>
        <v/>
      </c>
      <c r="K1109" s="6" t="n"/>
    </row>
    <row r="1110">
      <c r="A1110" s="6" t="n"/>
      <c r="B1110" s="6" t="n"/>
      <c r="C1110" s="19" t="n"/>
      <c r="D1110" s="19" t="n"/>
      <c r="E1110" s="6" t="n"/>
      <c r="F1110" s="20" t="n"/>
      <c r="G1110" s="9">
        <f>IF($F1110="","",IF($F1110&gt;0,ROUND($F1110,2),""))</f>
        <v/>
      </c>
      <c r="H1110" s="12">
        <f>IF(OR($B1110="",$C1110="",$G1110=""),"",COUNTIFS(Ventes_Encaissements!$E$6:$E$3005,$B1110,Ventes_Encaissements!$J$6:$J$3005,$G1110,Ventes_Encaissements!$C$6:$C$3005,"&gt;="&amp;($C1110-3),Ventes_Encaissements!$C$6:$C$3005,"&lt;="&amp;($C1110+3)))</f>
        <v/>
      </c>
      <c r="I1110" s="12">
        <f>IF($H1110="","",IF($H1110=0,"Non trouvé",IF($H1110=1,"Match","À vérifier")))</f>
        <v/>
      </c>
      <c r="J1110" s="21">
        <f>IF($I1110&lt;&gt;"Match","",INDEX(Ventes_Encaissements!$B$6:$B$3005,_xludf.AGGREGATE(15,6,(ROW(Ventes_Encaissements!$B$6:$B$3005)-ROW(Ventes_Encaissements!$B$6)+1)/((Ventes_Encaissements!$E$6:$E$3005=$B1110)*(Ventes_Encaissements!$J$6:$J$3005=$G1110)*(Ventes_Encaissements!$C$6:$C$3005&gt;=$C1110-3)*(Ventes_Encaissements!$C$6:$C$3005&lt;=$C1110+3)),1)))</f>
        <v/>
      </c>
      <c r="K1110" s="6" t="n"/>
    </row>
    <row r="1111">
      <c r="A1111" s="6" t="n"/>
      <c r="B1111" s="6" t="n"/>
      <c r="C1111" s="19" t="n"/>
      <c r="D1111" s="19" t="n"/>
      <c r="E1111" s="6" t="n"/>
      <c r="F1111" s="20" t="n"/>
      <c r="G1111" s="9">
        <f>IF($F1111="","",IF($F1111&gt;0,ROUND($F1111,2),""))</f>
        <v/>
      </c>
      <c r="H1111" s="12">
        <f>IF(OR($B1111="",$C1111="",$G1111=""),"",COUNTIFS(Ventes_Encaissements!$E$6:$E$3005,$B1111,Ventes_Encaissements!$J$6:$J$3005,$G1111,Ventes_Encaissements!$C$6:$C$3005,"&gt;="&amp;($C1111-3),Ventes_Encaissements!$C$6:$C$3005,"&lt;="&amp;($C1111+3)))</f>
        <v/>
      </c>
      <c r="I1111" s="12">
        <f>IF($H1111="","",IF($H1111=0,"Non trouvé",IF($H1111=1,"Match","À vérifier")))</f>
        <v/>
      </c>
      <c r="J1111" s="21">
        <f>IF($I1111&lt;&gt;"Match","",INDEX(Ventes_Encaissements!$B$6:$B$3005,_xludf.AGGREGATE(15,6,(ROW(Ventes_Encaissements!$B$6:$B$3005)-ROW(Ventes_Encaissements!$B$6)+1)/((Ventes_Encaissements!$E$6:$E$3005=$B1111)*(Ventes_Encaissements!$J$6:$J$3005=$G1111)*(Ventes_Encaissements!$C$6:$C$3005&gt;=$C1111-3)*(Ventes_Encaissements!$C$6:$C$3005&lt;=$C1111+3)),1)))</f>
        <v/>
      </c>
      <c r="K1111" s="6" t="n"/>
    </row>
    <row r="1112">
      <c r="A1112" s="6" t="n"/>
      <c r="B1112" s="6" t="n"/>
      <c r="C1112" s="19" t="n"/>
      <c r="D1112" s="19" t="n"/>
      <c r="E1112" s="6" t="n"/>
      <c r="F1112" s="20" t="n"/>
      <c r="G1112" s="9">
        <f>IF($F1112="","",IF($F1112&gt;0,ROUND($F1112,2),""))</f>
        <v/>
      </c>
      <c r="H1112" s="12">
        <f>IF(OR($B1112="",$C1112="",$G1112=""),"",COUNTIFS(Ventes_Encaissements!$E$6:$E$3005,$B1112,Ventes_Encaissements!$J$6:$J$3005,$G1112,Ventes_Encaissements!$C$6:$C$3005,"&gt;="&amp;($C1112-3),Ventes_Encaissements!$C$6:$C$3005,"&lt;="&amp;($C1112+3)))</f>
        <v/>
      </c>
      <c r="I1112" s="12">
        <f>IF($H1112="","",IF($H1112=0,"Non trouvé",IF($H1112=1,"Match","À vérifier")))</f>
        <v/>
      </c>
      <c r="J1112" s="21">
        <f>IF($I1112&lt;&gt;"Match","",INDEX(Ventes_Encaissements!$B$6:$B$3005,_xludf.AGGREGATE(15,6,(ROW(Ventes_Encaissements!$B$6:$B$3005)-ROW(Ventes_Encaissements!$B$6)+1)/((Ventes_Encaissements!$E$6:$E$3005=$B1112)*(Ventes_Encaissements!$J$6:$J$3005=$G1112)*(Ventes_Encaissements!$C$6:$C$3005&gt;=$C1112-3)*(Ventes_Encaissements!$C$6:$C$3005&lt;=$C1112+3)),1)))</f>
        <v/>
      </c>
      <c r="K1112" s="6" t="n"/>
    </row>
    <row r="1113">
      <c r="A1113" s="6" t="n"/>
      <c r="B1113" s="6" t="n"/>
      <c r="C1113" s="19" t="n"/>
      <c r="D1113" s="19" t="n"/>
      <c r="E1113" s="6" t="n"/>
      <c r="F1113" s="20" t="n"/>
      <c r="G1113" s="9">
        <f>IF($F1113="","",IF($F1113&gt;0,ROUND($F1113,2),""))</f>
        <v/>
      </c>
      <c r="H1113" s="12">
        <f>IF(OR($B1113="",$C1113="",$G1113=""),"",COUNTIFS(Ventes_Encaissements!$E$6:$E$3005,$B1113,Ventes_Encaissements!$J$6:$J$3005,$G1113,Ventes_Encaissements!$C$6:$C$3005,"&gt;="&amp;($C1113-3),Ventes_Encaissements!$C$6:$C$3005,"&lt;="&amp;($C1113+3)))</f>
        <v/>
      </c>
      <c r="I1113" s="12">
        <f>IF($H1113="","",IF($H1113=0,"Non trouvé",IF($H1113=1,"Match","À vérifier")))</f>
        <v/>
      </c>
      <c r="J1113" s="21">
        <f>IF($I1113&lt;&gt;"Match","",INDEX(Ventes_Encaissements!$B$6:$B$3005,_xludf.AGGREGATE(15,6,(ROW(Ventes_Encaissements!$B$6:$B$3005)-ROW(Ventes_Encaissements!$B$6)+1)/((Ventes_Encaissements!$E$6:$E$3005=$B1113)*(Ventes_Encaissements!$J$6:$J$3005=$G1113)*(Ventes_Encaissements!$C$6:$C$3005&gt;=$C1113-3)*(Ventes_Encaissements!$C$6:$C$3005&lt;=$C1113+3)),1)))</f>
        <v/>
      </c>
      <c r="K1113" s="6" t="n"/>
    </row>
    <row r="1114">
      <c r="A1114" s="6" t="n"/>
      <c r="B1114" s="6" t="n"/>
      <c r="C1114" s="19" t="n"/>
      <c r="D1114" s="19" t="n"/>
      <c r="E1114" s="6" t="n"/>
      <c r="F1114" s="20" t="n"/>
      <c r="G1114" s="9">
        <f>IF($F1114="","",IF($F1114&gt;0,ROUND($F1114,2),""))</f>
        <v/>
      </c>
      <c r="H1114" s="12">
        <f>IF(OR($B1114="",$C1114="",$G1114=""),"",COUNTIFS(Ventes_Encaissements!$E$6:$E$3005,$B1114,Ventes_Encaissements!$J$6:$J$3005,$G1114,Ventes_Encaissements!$C$6:$C$3005,"&gt;="&amp;($C1114-3),Ventes_Encaissements!$C$6:$C$3005,"&lt;="&amp;($C1114+3)))</f>
        <v/>
      </c>
      <c r="I1114" s="12">
        <f>IF($H1114="","",IF($H1114=0,"Non trouvé",IF($H1114=1,"Match","À vérifier")))</f>
        <v/>
      </c>
      <c r="J1114" s="21">
        <f>IF($I1114&lt;&gt;"Match","",INDEX(Ventes_Encaissements!$B$6:$B$3005,_xludf.AGGREGATE(15,6,(ROW(Ventes_Encaissements!$B$6:$B$3005)-ROW(Ventes_Encaissements!$B$6)+1)/((Ventes_Encaissements!$E$6:$E$3005=$B1114)*(Ventes_Encaissements!$J$6:$J$3005=$G1114)*(Ventes_Encaissements!$C$6:$C$3005&gt;=$C1114-3)*(Ventes_Encaissements!$C$6:$C$3005&lt;=$C1114+3)),1)))</f>
        <v/>
      </c>
      <c r="K1114" s="6" t="n"/>
    </row>
    <row r="1115">
      <c r="A1115" s="6" t="n"/>
      <c r="B1115" s="6" t="n"/>
      <c r="C1115" s="19" t="n"/>
      <c r="D1115" s="19" t="n"/>
      <c r="E1115" s="6" t="n"/>
      <c r="F1115" s="20" t="n"/>
      <c r="G1115" s="9">
        <f>IF($F1115="","",IF($F1115&gt;0,ROUND($F1115,2),""))</f>
        <v/>
      </c>
      <c r="H1115" s="12">
        <f>IF(OR($B1115="",$C1115="",$G1115=""),"",COUNTIFS(Ventes_Encaissements!$E$6:$E$3005,$B1115,Ventes_Encaissements!$J$6:$J$3005,$G1115,Ventes_Encaissements!$C$6:$C$3005,"&gt;="&amp;($C1115-3),Ventes_Encaissements!$C$6:$C$3005,"&lt;="&amp;($C1115+3)))</f>
        <v/>
      </c>
      <c r="I1115" s="12">
        <f>IF($H1115="","",IF($H1115=0,"Non trouvé",IF($H1115=1,"Match","À vérifier")))</f>
        <v/>
      </c>
      <c r="J1115" s="21">
        <f>IF($I1115&lt;&gt;"Match","",INDEX(Ventes_Encaissements!$B$6:$B$3005,_xludf.AGGREGATE(15,6,(ROW(Ventes_Encaissements!$B$6:$B$3005)-ROW(Ventes_Encaissements!$B$6)+1)/((Ventes_Encaissements!$E$6:$E$3005=$B1115)*(Ventes_Encaissements!$J$6:$J$3005=$G1115)*(Ventes_Encaissements!$C$6:$C$3005&gt;=$C1115-3)*(Ventes_Encaissements!$C$6:$C$3005&lt;=$C1115+3)),1)))</f>
        <v/>
      </c>
      <c r="K1115" s="6" t="n"/>
    </row>
    <row r="1116">
      <c r="A1116" s="6" t="n"/>
      <c r="B1116" s="6" t="n"/>
      <c r="C1116" s="19" t="n"/>
      <c r="D1116" s="19" t="n"/>
      <c r="E1116" s="6" t="n"/>
      <c r="F1116" s="20" t="n"/>
      <c r="G1116" s="9">
        <f>IF($F1116="","",IF($F1116&gt;0,ROUND($F1116,2),""))</f>
        <v/>
      </c>
      <c r="H1116" s="12">
        <f>IF(OR($B1116="",$C1116="",$G1116=""),"",COUNTIFS(Ventes_Encaissements!$E$6:$E$3005,$B1116,Ventes_Encaissements!$J$6:$J$3005,$G1116,Ventes_Encaissements!$C$6:$C$3005,"&gt;="&amp;($C1116-3),Ventes_Encaissements!$C$6:$C$3005,"&lt;="&amp;($C1116+3)))</f>
        <v/>
      </c>
      <c r="I1116" s="12">
        <f>IF($H1116="","",IF($H1116=0,"Non trouvé",IF($H1116=1,"Match","À vérifier")))</f>
        <v/>
      </c>
      <c r="J1116" s="21">
        <f>IF($I1116&lt;&gt;"Match","",INDEX(Ventes_Encaissements!$B$6:$B$3005,_xludf.AGGREGATE(15,6,(ROW(Ventes_Encaissements!$B$6:$B$3005)-ROW(Ventes_Encaissements!$B$6)+1)/((Ventes_Encaissements!$E$6:$E$3005=$B1116)*(Ventes_Encaissements!$J$6:$J$3005=$G1116)*(Ventes_Encaissements!$C$6:$C$3005&gt;=$C1116-3)*(Ventes_Encaissements!$C$6:$C$3005&lt;=$C1116+3)),1)))</f>
        <v/>
      </c>
      <c r="K1116" s="6" t="n"/>
    </row>
    <row r="1117">
      <c r="A1117" s="6" t="n"/>
      <c r="B1117" s="6" t="n"/>
      <c r="C1117" s="19" t="n"/>
      <c r="D1117" s="19" t="n"/>
      <c r="E1117" s="6" t="n"/>
      <c r="F1117" s="20" t="n"/>
      <c r="G1117" s="9">
        <f>IF($F1117="","",IF($F1117&gt;0,ROUND($F1117,2),""))</f>
        <v/>
      </c>
      <c r="H1117" s="12">
        <f>IF(OR($B1117="",$C1117="",$G1117=""),"",COUNTIFS(Ventes_Encaissements!$E$6:$E$3005,$B1117,Ventes_Encaissements!$J$6:$J$3005,$G1117,Ventes_Encaissements!$C$6:$C$3005,"&gt;="&amp;($C1117-3),Ventes_Encaissements!$C$6:$C$3005,"&lt;="&amp;($C1117+3)))</f>
        <v/>
      </c>
      <c r="I1117" s="12">
        <f>IF($H1117="","",IF($H1117=0,"Non trouvé",IF($H1117=1,"Match","À vérifier")))</f>
        <v/>
      </c>
      <c r="J1117" s="21">
        <f>IF($I1117&lt;&gt;"Match","",INDEX(Ventes_Encaissements!$B$6:$B$3005,_xludf.AGGREGATE(15,6,(ROW(Ventes_Encaissements!$B$6:$B$3005)-ROW(Ventes_Encaissements!$B$6)+1)/((Ventes_Encaissements!$E$6:$E$3005=$B1117)*(Ventes_Encaissements!$J$6:$J$3005=$G1117)*(Ventes_Encaissements!$C$6:$C$3005&gt;=$C1117-3)*(Ventes_Encaissements!$C$6:$C$3005&lt;=$C1117+3)),1)))</f>
        <v/>
      </c>
      <c r="K1117" s="6" t="n"/>
    </row>
    <row r="1118">
      <c r="A1118" s="6" t="n"/>
      <c r="B1118" s="6" t="n"/>
      <c r="C1118" s="19" t="n"/>
      <c r="D1118" s="19" t="n"/>
      <c r="E1118" s="6" t="n"/>
      <c r="F1118" s="20" t="n"/>
      <c r="G1118" s="9">
        <f>IF($F1118="","",IF($F1118&gt;0,ROUND($F1118,2),""))</f>
        <v/>
      </c>
      <c r="H1118" s="12">
        <f>IF(OR($B1118="",$C1118="",$G1118=""),"",COUNTIFS(Ventes_Encaissements!$E$6:$E$3005,$B1118,Ventes_Encaissements!$J$6:$J$3005,$G1118,Ventes_Encaissements!$C$6:$C$3005,"&gt;="&amp;($C1118-3),Ventes_Encaissements!$C$6:$C$3005,"&lt;="&amp;($C1118+3)))</f>
        <v/>
      </c>
      <c r="I1118" s="12">
        <f>IF($H1118="","",IF($H1118=0,"Non trouvé",IF($H1118=1,"Match","À vérifier")))</f>
        <v/>
      </c>
      <c r="J1118" s="21">
        <f>IF($I1118&lt;&gt;"Match","",INDEX(Ventes_Encaissements!$B$6:$B$3005,_xludf.AGGREGATE(15,6,(ROW(Ventes_Encaissements!$B$6:$B$3005)-ROW(Ventes_Encaissements!$B$6)+1)/((Ventes_Encaissements!$E$6:$E$3005=$B1118)*(Ventes_Encaissements!$J$6:$J$3005=$G1118)*(Ventes_Encaissements!$C$6:$C$3005&gt;=$C1118-3)*(Ventes_Encaissements!$C$6:$C$3005&lt;=$C1118+3)),1)))</f>
        <v/>
      </c>
      <c r="K1118" s="6" t="n"/>
    </row>
    <row r="1119">
      <c r="A1119" s="6" t="n"/>
      <c r="B1119" s="6" t="n"/>
      <c r="C1119" s="19" t="n"/>
      <c r="D1119" s="19" t="n"/>
      <c r="E1119" s="6" t="n"/>
      <c r="F1119" s="20" t="n"/>
      <c r="G1119" s="9">
        <f>IF($F1119="","",IF($F1119&gt;0,ROUND($F1119,2),""))</f>
        <v/>
      </c>
      <c r="H1119" s="12">
        <f>IF(OR($B1119="",$C1119="",$G1119=""),"",COUNTIFS(Ventes_Encaissements!$E$6:$E$3005,$B1119,Ventes_Encaissements!$J$6:$J$3005,$G1119,Ventes_Encaissements!$C$6:$C$3005,"&gt;="&amp;($C1119-3),Ventes_Encaissements!$C$6:$C$3005,"&lt;="&amp;($C1119+3)))</f>
        <v/>
      </c>
      <c r="I1119" s="12">
        <f>IF($H1119="","",IF($H1119=0,"Non trouvé",IF($H1119=1,"Match","À vérifier")))</f>
        <v/>
      </c>
      <c r="J1119" s="21">
        <f>IF($I1119&lt;&gt;"Match","",INDEX(Ventes_Encaissements!$B$6:$B$3005,_xludf.AGGREGATE(15,6,(ROW(Ventes_Encaissements!$B$6:$B$3005)-ROW(Ventes_Encaissements!$B$6)+1)/((Ventes_Encaissements!$E$6:$E$3005=$B1119)*(Ventes_Encaissements!$J$6:$J$3005=$G1119)*(Ventes_Encaissements!$C$6:$C$3005&gt;=$C1119-3)*(Ventes_Encaissements!$C$6:$C$3005&lt;=$C1119+3)),1)))</f>
        <v/>
      </c>
      <c r="K1119" s="6" t="n"/>
    </row>
    <row r="1120">
      <c r="A1120" s="6" t="n"/>
      <c r="B1120" s="6" t="n"/>
      <c r="C1120" s="19" t="n"/>
      <c r="D1120" s="19" t="n"/>
      <c r="E1120" s="6" t="n"/>
      <c r="F1120" s="20" t="n"/>
      <c r="G1120" s="9">
        <f>IF($F1120="","",IF($F1120&gt;0,ROUND($F1120,2),""))</f>
        <v/>
      </c>
      <c r="H1120" s="12">
        <f>IF(OR($B1120="",$C1120="",$G1120=""),"",COUNTIFS(Ventes_Encaissements!$E$6:$E$3005,$B1120,Ventes_Encaissements!$J$6:$J$3005,$G1120,Ventes_Encaissements!$C$6:$C$3005,"&gt;="&amp;($C1120-3),Ventes_Encaissements!$C$6:$C$3005,"&lt;="&amp;($C1120+3)))</f>
        <v/>
      </c>
      <c r="I1120" s="12">
        <f>IF($H1120="","",IF($H1120=0,"Non trouvé",IF($H1120=1,"Match","À vérifier")))</f>
        <v/>
      </c>
      <c r="J1120" s="21">
        <f>IF($I1120&lt;&gt;"Match","",INDEX(Ventes_Encaissements!$B$6:$B$3005,_xludf.AGGREGATE(15,6,(ROW(Ventes_Encaissements!$B$6:$B$3005)-ROW(Ventes_Encaissements!$B$6)+1)/((Ventes_Encaissements!$E$6:$E$3005=$B1120)*(Ventes_Encaissements!$J$6:$J$3005=$G1120)*(Ventes_Encaissements!$C$6:$C$3005&gt;=$C1120-3)*(Ventes_Encaissements!$C$6:$C$3005&lt;=$C1120+3)),1)))</f>
        <v/>
      </c>
      <c r="K1120" s="6" t="n"/>
    </row>
    <row r="1121">
      <c r="A1121" s="6" t="n"/>
      <c r="B1121" s="6" t="n"/>
      <c r="C1121" s="19" t="n"/>
      <c r="D1121" s="19" t="n"/>
      <c r="E1121" s="6" t="n"/>
      <c r="F1121" s="20" t="n"/>
      <c r="G1121" s="9">
        <f>IF($F1121="","",IF($F1121&gt;0,ROUND($F1121,2),""))</f>
        <v/>
      </c>
      <c r="H1121" s="12">
        <f>IF(OR($B1121="",$C1121="",$G1121=""),"",COUNTIFS(Ventes_Encaissements!$E$6:$E$3005,$B1121,Ventes_Encaissements!$J$6:$J$3005,$G1121,Ventes_Encaissements!$C$6:$C$3005,"&gt;="&amp;($C1121-3),Ventes_Encaissements!$C$6:$C$3005,"&lt;="&amp;($C1121+3)))</f>
        <v/>
      </c>
      <c r="I1121" s="12">
        <f>IF($H1121="","",IF($H1121=0,"Non trouvé",IF($H1121=1,"Match","À vérifier")))</f>
        <v/>
      </c>
      <c r="J1121" s="21">
        <f>IF($I1121&lt;&gt;"Match","",INDEX(Ventes_Encaissements!$B$6:$B$3005,_xludf.AGGREGATE(15,6,(ROW(Ventes_Encaissements!$B$6:$B$3005)-ROW(Ventes_Encaissements!$B$6)+1)/((Ventes_Encaissements!$E$6:$E$3005=$B1121)*(Ventes_Encaissements!$J$6:$J$3005=$G1121)*(Ventes_Encaissements!$C$6:$C$3005&gt;=$C1121-3)*(Ventes_Encaissements!$C$6:$C$3005&lt;=$C1121+3)),1)))</f>
        <v/>
      </c>
      <c r="K1121" s="6" t="n"/>
    </row>
    <row r="1122">
      <c r="A1122" s="6" t="n"/>
      <c r="B1122" s="6" t="n"/>
      <c r="C1122" s="19" t="n"/>
      <c r="D1122" s="19" t="n"/>
      <c r="E1122" s="6" t="n"/>
      <c r="F1122" s="20" t="n"/>
      <c r="G1122" s="9">
        <f>IF($F1122="","",IF($F1122&gt;0,ROUND($F1122,2),""))</f>
        <v/>
      </c>
      <c r="H1122" s="12">
        <f>IF(OR($B1122="",$C1122="",$G1122=""),"",COUNTIFS(Ventes_Encaissements!$E$6:$E$3005,$B1122,Ventes_Encaissements!$J$6:$J$3005,$G1122,Ventes_Encaissements!$C$6:$C$3005,"&gt;="&amp;($C1122-3),Ventes_Encaissements!$C$6:$C$3005,"&lt;="&amp;($C1122+3)))</f>
        <v/>
      </c>
      <c r="I1122" s="12">
        <f>IF($H1122="","",IF($H1122=0,"Non trouvé",IF($H1122=1,"Match","À vérifier")))</f>
        <v/>
      </c>
      <c r="J1122" s="21">
        <f>IF($I1122&lt;&gt;"Match","",INDEX(Ventes_Encaissements!$B$6:$B$3005,_xludf.AGGREGATE(15,6,(ROW(Ventes_Encaissements!$B$6:$B$3005)-ROW(Ventes_Encaissements!$B$6)+1)/((Ventes_Encaissements!$E$6:$E$3005=$B1122)*(Ventes_Encaissements!$J$6:$J$3005=$G1122)*(Ventes_Encaissements!$C$6:$C$3005&gt;=$C1122-3)*(Ventes_Encaissements!$C$6:$C$3005&lt;=$C1122+3)),1)))</f>
        <v/>
      </c>
      <c r="K1122" s="6" t="n"/>
    </row>
    <row r="1123">
      <c r="A1123" s="6" t="n"/>
      <c r="B1123" s="6" t="n"/>
      <c r="C1123" s="19" t="n"/>
      <c r="D1123" s="19" t="n"/>
      <c r="E1123" s="6" t="n"/>
      <c r="F1123" s="20" t="n"/>
      <c r="G1123" s="9">
        <f>IF($F1123="","",IF($F1123&gt;0,ROUND($F1123,2),""))</f>
        <v/>
      </c>
      <c r="H1123" s="12">
        <f>IF(OR($B1123="",$C1123="",$G1123=""),"",COUNTIFS(Ventes_Encaissements!$E$6:$E$3005,$B1123,Ventes_Encaissements!$J$6:$J$3005,$G1123,Ventes_Encaissements!$C$6:$C$3005,"&gt;="&amp;($C1123-3),Ventes_Encaissements!$C$6:$C$3005,"&lt;="&amp;($C1123+3)))</f>
        <v/>
      </c>
      <c r="I1123" s="12">
        <f>IF($H1123="","",IF($H1123=0,"Non trouvé",IF($H1123=1,"Match","À vérifier")))</f>
        <v/>
      </c>
      <c r="J1123" s="21">
        <f>IF($I1123&lt;&gt;"Match","",INDEX(Ventes_Encaissements!$B$6:$B$3005,_xludf.AGGREGATE(15,6,(ROW(Ventes_Encaissements!$B$6:$B$3005)-ROW(Ventes_Encaissements!$B$6)+1)/((Ventes_Encaissements!$E$6:$E$3005=$B1123)*(Ventes_Encaissements!$J$6:$J$3005=$G1123)*(Ventes_Encaissements!$C$6:$C$3005&gt;=$C1123-3)*(Ventes_Encaissements!$C$6:$C$3005&lt;=$C1123+3)),1)))</f>
        <v/>
      </c>
      <c r="K1123" s="6" t="n"/>
    </row>
    <row r="1124">
      <c r="A1124" s="6" t="n"/>
      <c r="B1124" s="6" t="n"/>
      <c r="C1124" s="19" t="n"/>
      <c r="D1124" s="19" t="n"/>
      <c r="E1124" s="6" t="n"/>
      <c r="F1124" s="20" t="n"/>
      <c r="G1124" s="9">
        <f>IF($F1124="","",IF($F1124&gt;0,ROUND($F1124,2),""))</f>
        <v/>
      </c>
      <c r="H1124" s="12">
        <f>IF(OR($B1124="",$C1124="",$G1124=""),"",COUNTIFS(Ventes_Encaissements!$E$6:$E$3005,$B1124,Ventes_Encaissements!$J$6:$J$3005,$G1124,Ventes_Encaissements!$C$6:$C$3005,"&gt;="&amp;($C1124-3),Ventes_Encaissements!$C$6:$C$3005,"&lt;="&amp;($C1124+3)))</f>
        <v/>
      </c>
      <c r="I1124" s="12">
        <f>IF($H1124="","",IF($H1124=0,"Non trouvé",IF($H1124=1,"Match","À vérifier")))</f>
        <v/>
      </c>
      <c r="J1124" s="21">
        <f>IF($I1124&lt;&gt;"Match","",INDEX(Ventes_Encaissements!$B$6:$B$3005,_xludf.AGGREGATE(15,6,(ROW(Ventes_Encaissements!$B$6:$B$3005)-ROW(Ventes_Encaissements!$B$6)+1)/((Ventes_Encaissements!$E$6:$E$3005=$B1124)*(Ventes_Encaissements!$J$6:$J$3005=$G1124)*(Ventes_Encaissements!$C$6:$C$3005&gt;=$C1124-3)*(Ventes_Encaissements!$C$6:$C$3005&lt;=$C1124+3)),1)))</f>
        <v/>
      </c>
      <c r="K1124" s="6" t="n"/>
    </row>
    <row r="1125">
      <c r="A1125" s="6" t="n"/>
      <c r="B1125" s="6" t="n"/>
      <c r="C1125" s="19" t="n"/>
      <c r="D1125" s="19" t="n"/>
      <c r="E1125" s="6" t="n"/>
      <c r="F1125" s="20" t="n"/>
      <c r="G1125" s="9">
        <f>IF($F1125="","",IF($F1125&gt;0,ROUND($F1125,2),""))</f>
        <v/>
      </c>
      <c r="H1125" s="12">
        <f>IF(OR($B1125="",$C1125="",$G1125=""),"",COUNTIFS(Ventes_Encaissements!$E$6:$E$3005,$B1125,Ventes_Encaissements!$J$6:$J$3005,$G1125,Ventes_Encaissements!$C$6:$C$3005,"&gt;="&amp;($C1125-3),Ventes_Encaissements!$C$6:$C$3005,"&lt;="&amp;($C1125+3)))</f>
        <v/>
      </c>
      <c r="I1125" s="12">
        <f>IF($H1125="","",IF($H1125=0,"Non trouvé",IF($H1125=1,"Match","À vérifier")))</f>
        <v/>
      </c>
      <c r="J1125" s="21">
        <f>IF($I1125&lt;&gt;"Match","",INDEX(Ventes_Encaissements!$B$6:$B$3005,_xludf.AGGREGATE(15,6,(ROW(Ventes_Encaissements!$B$6:$B$3005)-ROW(Ventes_Encaissements!$B$6)+1)/((Ventes_Encaissements!$E$6:$E$3005=$B1125)*(Ventes_Encaissements!$J$6:$J$3005=$G1125)*(Ventes_Encaissements!$C$6:$C$3005&gt;=$C1125-3)*(Ventes_Encaissements!$C$6:$C$3005&lt;=$C1125+3)),1)))</f>
        <v/>
      </c>
      <c r="K1125" s="6" t="n"/>
    </row>
    <row r="1126">
      <c r="A1126" s="6" t="n"/>
      <c r="B1126" s="6" t="n"/>
      <c r="C1126" s="19" t="n"/>
      <c r="D1126" s="19" t="n"/>
      <c r="E1126" s="6" t="n"/>
      <c r="F1126" s="20" t="n"/>
      <c r="G1126" s="9">
        <f>IF($F1126="","",IF($F1126&gt;0,ROUND($F1126,2),""))</f>
        <v/>
      </c>
      <c r="H1126" s="12">
        <f>IF(OR($B1126="",$C1126="",$G1126=""),"",COUNTIFS(Ventes_Encaissements!$E$6:$E$3005,$B1126,Ventes_Encaissements!$J$6:$J$3005,$G1126,Ventes_Encaissements!$C$6:$C$3005,"&gt;="&amp;($C1126-3),Ventes_Encaissements!$C$6:$C$3005,"&lt;="&amp;($C1126+3)))</f>
        <v/>
      </c>
      <c r="I1126" s="12">
        <f>IF($H1126="","",IF($H1126=0,"Non trouvé",IF($H1126=1,"Match","À vérifier")))</f>
        <v/>
      </c>
      <c r="J1126" s="21">
        <f>IF($I1126&lt;&gt;"Match","",INDEX(Ventes_Encaissements!$B$6:$B$3005,_xludf.AGGREGATE(15,6,(ROW(Ventes_Encaissements!$B$6:$B$3005)-ROW(Ventes_Encaissements!$B$6)+1)/((Ventes_Encaissements!$E$6:$E$3005=$B1126)*(Ventes_Encaissements!$J$6:$J$3005=$G1126)*(Ventes_Encaissements!$C$6:$C$3005&gt;=$C1126-3)*(Ventes_Encaissements!$C$6:$C$3005&lt;=$C1126+3)),1)))</f>
        <v/>
      </c>
      <c r="K1126" s="6" t="n"/>
    </row>
    <row r="1127">
      <c r="A1127" s="6" t="n"/>
      <c r="B1127" s="6" t="n"/>
      <c r="C1127" s="19" t="n"/>
      <c r="D1127" s="19" t="n"/>
      <c r="E1127" s="6" t="n"/>
      <c r="F1127" s="20" t="n"/>
      <c r="G1127" s="9">
        <f>IF($F1127="","",IF($F1127&gt;0,ROUND($F1127,2),""))</f>
        <v/>
      </c>
      <c r="H1127" s="12">
        <f>IF(OR($B1127="",$C1127="",$G1127=""),"",COUNTIFS(Ventes_Encaissements!$E$6:$E$3005,$B1127,Ventes_Encaissements!$J$6:$J$3005,$G1127,Ventes_Encaissements!$C$6:$C$3005,"&gt;="&amp;($C1127-3),Ventes_Encaissements!$C$6:$C$3005,"&lt;="&amp;($C1127+3)))</f>
        <v/>
      </c>
      <c r="I1127" s="12">
        <f>IF($H1127="","",IF($H1127=0,"Non trouvé",IF($H1127=1,"Match","À vérifier")))</f>
        <v/>
      </c>
      <c r="J1127" s="21">
        <f>IF($I1127&lt;&gt;"Match","",INDEX(Ventes_Encaissements!$B$6:$B$3005,_xludf.AGGREGATE(15,6,(ROW(Ventes_Encaissements!$B$6:$B$3005)-ROW(Ventes_Encaissements!$B$6)+1)/((Ventes_Encaissements!$E$6:$E$3005=$B1127)*(Ventes_Encaissements!$J$6:$J$3005=$G1127)*(Ventes_Encaissements!$C$6:$C$3005&gt;=$C1127-3)*(Ventes_Encaissements!$C$6:$C$3005&lt;=$C1127+3)),1)))</f>
        <v/>
      </c>
      <c r="K1127" s="6" t="n"/>
    </row>
    <row r="1128">
      <c r="A1128" s="6" t="n"/>
      <c r="B1128" s="6" t="n"/>
      <c r="C1128" s="19" t="n"/>
      <c r="D1128" s="19" t="n"/>
      <c r="E1128" s="6" t="n"/>
      <c r="F1128" s="20" t="n"/>
      <c r="G1128" s="9">
        <f>IF($F1128="","",IF($F1128&gt;0,ROUND($F1128,2),""))</f>
        <v/>
      </c>
      <c r="H1128" s="12">
        <f>IF(OR($B1128="",$C1128="",$G1128=""),"",COUNTIFS(Ventes_Encaissements!$E$6:$E$3005,$B1128,Ventes_Encaissements!$J$6:$J$3005,$G1128,Ventes_Encaissements!$C$6:$C$3005,"&gt;="&amp;($C1128-3),Ventes_Encaissements!$C$6:$C$3005,"&lt;="&amp;($C1128+3)))</f>
        <v/>
      </c>
      <c r="I1128" s="12">
        <f>IF($H1128="","",IF($H1128=0,"Non trouvé",IF($H1128=1,"Match","À vérifier")))</f>
        <v/>
      </c>
      <c r="J1128" s="21">
        <f>IF($I1128&lt;&gt;"Match","",INDEX(Ventes_Encaissements!$B$6:$B$3005,_xludf.AGGREGATE(15,6,(ROW(Ventes_Encaissements!$B$6:$B$3005)-ROW(Ventes_Encaissements!$B$6)+1)/((Ventes_Encaissements!$E$6:$E$3005=$B1128)*(Ventes_Encaissements!$J$6:$J$3005=$G1128)*(Ventes_Encaissements!$C$6:$C$3005&gt;=$C1128-3)*(Ventes_Encaissements!$C$6:$C$3005&lt;=$C1128+3)),1)))</f>
        <v/>
      </c>
      <c r="K1128" s="6" t="n"/>
    </row>
    <row r="1129">
      <c r="A1129" s="6" t="n"/>
      <c r="B1129" s="6" t="n"/>
      <c r="C1129" s="19" t="n"/>
      <c r="D1129" s="19" t="n"/>
      <c r="E1129" s="6" t="n"/>
      <c r="F1129" s="20" t="n"/>
      <c r="G1129" s="9">
        <f>IF($F1129="","",IF($F1129&gt;0,ROUND($F1129,2),""))</f>
        <v/>
      </c>
      <c r="H1129" s="12">
        <f>IF(OR($B1129="",$C1129="",$G1129=""),"",COUNTIFS(Ventes_Encaissements!$E$6:$E$3005,$B1129,Ventes_Encaissements!$J$6:$J$3005,$G1129,Ventes_Encaissements!$C$6:$C$3005,"&gt;="&amp;($C1129-3),Ventes_Encaissements!$C$6:$C$3005,"&lt;="&amp;($C1129+3)))</f>
        <v/>
      </c>
      <c r="I1129" s="12">
        <f>IF($H1129="","",IF($H1129=0,"Non trouvé",IF($H1129=1,"Match","À vérifier")))</f>
        <v/>
      </c>
      <c r="J1129" s="21">
        <f>IF($I1129&lt;&gt;"Match","",INDEX(Ventes_Encaissements!$B$6:$B$3005,_xludf.AGGREGATE(15,6,(ROW(Ventes_Encaissements!$B$6:$B$3005)-ROW(Ventes_Encaissements!$B$6)+1)/((Ventes_Encaissements!$E$6:$E$3005=$B1129)*(Ventes_Encaissements!$J$6:$J$3005=$G1129)*(Ventes_Encaissements!$C$6:$C$3005&gt;=$C1129-3)*(Ventes_Encaissements!$C$6:$C$3005&lt;=$C1129+3)),1)))</f>
        <v/>
      </c>
      <c r="K1129" s="6" t="n"/>
    </row>
    <row r="1130">
      <c r="A1130" s="6" t="n"/>
      <c r="B1130" s="6" t="n"/>
      <c r="C1130" s="19" t="n"/>
      <c r="D1130" s="19" t="n"/>
      <c r="E1130" s="6" t="n"/>
      <c r="F1130" s="20" t="n"/>
      <c r="G1130" s="9">
        <f>IF($F1130="","",IF($F1130&gt;0,ROUND($F1130,2),""))</f>
        <v/>
      </c>
      <c r="H1130" s="12">
        <f>IF(OR($B1130="",$C1130="",$G1130=""),"",COUNTIFS(Ventes_Encaissements!$E$6:$E$3005,$B1130,Ventes_Encaissements!$J$6:$J$3005,$G1130,Ventes_Encaissements!$C$6:$C$3005,"&gt;="&amp;($C1130-3),Ventes_Encaissements!$C$6:$C$3005,"&lt;="&amp;($C1130+3)))</f>
        <v/>
      </c>
      <c r="I1130" s="12">
        <f>IF($H1130="","",IF($H1130=0,"Non trouvé",IF($H1130=1,"Match","À vérifier")))</f>
        <v/>
      </c>
      <c r="J1130" s="21">
        <f>IF($I1130&lt;&gt;"Match","",INDEX(Ventes_Encaissements!$B$6:$B$3005,_xludf.AGGREGATE(15,6,(ROW(Ventes_Encaissements!$B$6:$B$3005)-ROW(Ventes_Encaissements!$B$6)+1)/((Ventes_Encaissements!$E$6:$E$3005=$B1130)*(Ventes_Encaissements!$J$6:$J$3005=$G1130)*(Ventes_Encaissements!$C$6:$C$3005&gt;=$C1130-3)*(Ventes_Encaissements!$C$6:$C$3005&lt;=$C1130+3)),1)))</f>
        <v/>
      </c>
      <c r="K1130" s="6" t="n"/>
    </row>
    <row r="1131">
      <c r="A1131" s="6" t="n"/>
      <c r="B1131" s="6" t="n"/>
      <c r="C1131" s="19" t="n"/>
      <c r="D1131" s="19" t="n"/>
      <c r="E1131" s="6" t="n"/>
      <c r="F1131" s="20" t="n"/>
      <c r="G1131" s="9">
        <f>IF($F1131="","",IF($F1131&gt;0,ROUND($F1131,2),""))</f>
        <v/>
      </c>
      <c r="H1131" s="12">
        <f>IF(OR($B1131="",$C1131="",$G1131=""),"",COUNTIFS(Ventes_Encaissements!$E$6:$E$3005,$B1131,Ventes_Encaissements!$J$6:$J$3005,$G1131,Ventes_Encaissements!$C$6:$C$3005,"&gt;="&amp;($C1131-3),Ventes_Encaissements!$C$6:$C$3005,"&lt;="&amp;($C1131+3)))</f>
        <v/>
      </c>
      <c r="I1131" s="12">
        <f>IF($H1131="","",IF($H1131=0,"Non trouvé",IF($H1131=1,"Match","À vérifier")))</f>
        <v/>
      </c>
      <c r="J1131" s="21">
        <f>IF($I1131&lt;&gt;"Match","",INDEX(Ventes_Encaissements!$B$6:$B$3005,_xludf.AGGREGATE(15,6,(ROW(Ventes_Encaissements!$B$6:$B$3005)-ROW(Ventes_Encaissements!$B$6)+1)/((Ventes_Encaissements!$E$6:$E$3005=$B1131)*(Ventes_Encaissements!$J$6:$J$3005=$G1131)*(Ventes_Encaissements!$C$6:$C$3005&gt;=$C1131-3)*(Ventes_Encaissements!$C$6:$C$3005&lt;=$C1131+3)),1)))</f>
        <v/>
      </c>
      <c r="K1131" s="6" t="n"/>
    </row>
    <row r="1132">
      <c r="A1132" s="6" t="n"/>
      <c r="B1132" s="6" t="n"/>
      <c r="C1132" s="19" t="n"/>
      <c r="D1132" s="19" t="n"/>
      <c r="E1132" s="6" t="n"/>
      <c r="F1132" s="20" t="n"/>
      <c r="G1132" s="9">
        <f>IF($F1132="","",IF($F1132&gt;0,ROUND($F1132,2),""))</f>
        <v/>
      </c>
      <c r="H1132" s="12">
        <f>IF(OR($B1132="",$C1132="",$G1132=""),"",COUNTIFS(Ventes_Encaissements!$E$6:$E$3005,$B1132,Ventes_Encaissements!$J$6:$J$3005,$G1132,Ventes_Encaissements!$C$6:$C$3005,"&gt;="&amp;($C1132-3),Ventes_Encaissements!$C$6:$C$3005,"&lt;="&amp;($C1132+3)))</f>
        <v/>
      </c>
      <c r="I1132" s="12">
        <f>IF($H1132="","",IF($H1132=0,"Non trouvé",IF($H1132=1,"Match","À vérifier")))</f>
        <v/>
      </c>
      <c r="J1132" s="21">
        <f>IF($I1132&lt;&gt;"Match","",INDEX(Ventes_Encaissements!$B$6:$B$3005,_xludf.AGGREGATE(15,6,(ROW(Ventes_Encaissements!$B$6:$B$3005)-ROW(Ventes_Encaissements!$B$6)+1)/((Ventes_Encaissements!$E$6:$E$3005=$B1132)*(Ventes_Encaissements!$J$6:$J$3005=$G1132)*(Ventes_Encaissements!$C$6:$C$3005&gt;=$C1132-3)*(Ventes_Encaissements!$C$6:$C$3005&lt;=$C1132+3)),1)))</f>
        <v/>
      </c>
      <c r="K1132" s="6" t="n"/>
    </row>
    <row r="1133">
      <c r="A1133" s="6" t="n"/>
      <c r="B1133" s="6" t="n"/>
      <c r="C1133" s="19" t="n"/>
      <c r="D1133" s="19" t="n"/>
      <c r="E1133" s="6" t="n"/>
      <c r="F1133" s="20" t="n"/>
      <c r="G1133" s="9">
        <f>IF($F1133="","",IF($F1133&gt;0,ROUND($F1133,2),""))</f>
        <v/>
      </c>
      <c r="H1133" s="12">
        <f>IF(OR($B1133="",$C1133="",$G1133=""),"",COUNTIFS(Ventes_Encaissements!$E$6:$E$3005,$B1133,Ventes_Encaissements!$J$6:$J$3005,$G1133,Ventes_Encaissements!$C$6:$C$3005,"&gt;="&amp;($C1133-3),Ventes_Encaissements!$C$6:$C$3005,"&lt;="&amp;($C1133+3)))</f>
        <v/>
      </c>
      <c r="I1133" s="12">
        <f>IF($H1133="","",IF($H1133=0,"Non trouvé",IF($H1133=1,"Match","À vérifier")))</f>
        <v/>
      </c>
      <c r="J1133" s="21">
        <f>IF($I1133&lt;&gt;"Match","",INDEX(Ventes_Encaissements!$B$6:$B$3005,_xludf.AGGREGATE(15,6,(ROW(Ventes_Encaissements!$B$6:$B$3005)-ROW(Ventes_Encaissements!$B$6)+1)/((Ventes_Encaissements!$E$6:$E$3005=$B1133)*(Ventes_Encaissements!$J$6:$J$3005=$G1133)*(Ventes_Encaissements!$C$6:$C$3005&gt;=$C1133-3)*(Ventes_Encaissements!$C$6:$C$3005&lt;=$C1133+3)),1)))</f>
        <v/>
      </c>
      <c r="K1133" s="6" t="n"/>
    </row>
    <row r="1134">
      <c r="A1134" s="6" t="n"/>
      <c r="B1134" s="6" t="n"/>
      <c r="C1134" s="19" t="n"/>
      <c r="D1134" s="19" t="n"/>
      <c r="E1134" s="6" t="n"/>
      <c r="F1134" s="20" t="n"/>
      <c r="G1134" s="9">
        <f>IF($F1134="","",IF($F1134&gt;0,ROUND($F1134,2),""))</f>
        <v/>
      </c>
      <c r="H1134" s="12">
        <f>IF(OR($B1134="",$C1134="",$G1134=""),"",COUNTIFS(Ventes_Encaissements!$E$6:$E$3005,$B1134,Ventes_Encaissements!$J$6:$J$3005,$G1134,Ventes_Encaissements!$C$6:$C$3005,"&gt;="&amp;($C1134-3),Ventes_Encaissements!$C$6:$C$3005,"&lt;="&amp;($C1134+3)))</f>
        <v/>
      </c>
      <c r="I1134" s="12">
        <f>IF($H1134="","",IF($H1134=0,"Non trouvé",IF($H1134=1,"Match","À vérifier")))</f>
        <v/>
      </c>
      <c r="J1134" s="21">
        <f>IF($I1134&lt;&gt;"Match","",INDEX(Ventes_Encaissements!$B$6:$B$3005,_xludf.AGGREGATE(15,6,(ROW(Ventes_Encaissements!$B$6:$B$3005)-ROW(Ventes_Encaissements!$B$6)+1)/((Ventes_Encaissements!$E$6:$E$3005=$B1134)*(Ventes_Encaissements!$J$6:$J$3005=$G1134)*(Ventes_Encaissements!$C$6:$C$3005&gt;=$C1134-3)*(Ventes_Encaissements!$C$6:$C$3005&lt;=$C1134+3)),1)))</f>
        <v/>
      </c>
      <c r="K1134" s="6" t="n"/>
    </row>
    <row r="1135">
      <c r="A1135" s="6" t="n"/>
      <c r="B1135" s="6" t="n"/>
      <c r="C1135" s="19" t="n"/>
      <c r="D1135" s="19" t="n"/>
      <c r="E1135" s="6" t="n"/>
      <c r="F1135" s="20" t="n"/>
      <c r="G1135" s="9">
        <f>IF($F1135="","",IF($F1135&gt;0,ROUND($F1135,2),""))</f>
        <v/>
      </c>
      <c r="H1135" s="12">
        <f>IF(OR($B1135="",$C1135="",$G1135=""),"",COUNTIFS(Ventes_Encaissements!$E$6:$E$3005,$B1135,Ventes_Encaissements!$J$6:$J$3005,$G1135,Ventes_Encaissements!$C$6:$C$3005,"&gt;="&amp;($C1135-3),Ventes_Encaissements!$C$6:$C$3005,"&lt;="&amp;($C1135+3)))</f>
        <v/>
      </c>
      <c r="I1135" s="12">
        <f>IF($H1135="","",IF($H1135=0,"Non trouvé",IF($H1135=1,"Match","À vérifier")))</f>
        <v/>
      </c>
      <c r="J1135" s="21">
        <f>IF($I1135&lt;&gt;"Match","",INDEX(Ventes_Encaissements!$B$6:$B$3005,_xludf.AGGREGATE(15,6,(ROW(Ventes_Encaissements!$B$6:$B$3005)-ROW(Ventes_Encaissements!$B$6)+1)/((Ventes_Encaissements!$E$6:$E$3005=$B1135)*(Ventes_Encaissements!$J$6:$J$3005=$G1135)*(Ventes_Encaissements!$C$6:$C$3005&gt;=$C1135-3)*(Ventes_Encaissements!$C$6:$C$3005&lt;=$C1135+3)),1)))</f>
        <v/>
      </c>
      <c r="K1135" s="6" t="n"/>
    </row>
    <row r="1136">
      <c r="A1136" s="6" t="n"/>
      <c r="B1136" s="6" t="n"/>
      <c r="C1136" s="19" t="n"/>
      <c r="D1136" s="19" t="n"/>
      <c r="E1136" s="6" t="n"/>
      <c r="F1136" s="20" t="n"/>
      <c r="G1136" s="9">
        <f>IF($F1136="","",IF($F1136&gt;0,ROUND($F1136,2),""))</f>
        <v/>
      </c>
      <c r="H1136" s="12">
        <f>IF(OR($B1136="",$C1136="",$G1136=""),"",COUNTIFS(Ventes_Encaissements!$E$6:$E$3005,$B1136,Ventes_Encaissements!$J$6:$J$3005,$G1136,Ventes_Encaissements!$C$6:$C$3005,"&gt;="&amp;($C1136-3),Ventes_Encaissements!$C$6:$C$3005,"&lt;="&amp;($C1136+3)))</f>
        <v/>
      </c>
      <c r="I1136" s="12">
        <f>IF($H1136="","",IF($H1136=0,"Non trouvé",IF($H1136=1,"Match","À vérifier")))</f>
        <v/>
      </c>
      <c r="J1136" s="21">
        <f>IF($I1136&lt;&gt;"Match","",INDEX(Ventes_Encaissements!$B$6:$B$3005,_xludf.AGGREGATE(15,6,(ROW(Ventes_Encaissements!$B$6:$B$3005)-ROW(Ventes_Encaissements!$B$6)+1)/((Ventes_Encaissements!$E$6:$E$3005=$B1136)*(Ventes_Encaissements!$J$6:$J$3005=$G1136)*(Ventes_Encaissements!$C$6:$C$3005&gt;=$C1136-3)*(Ventes_Encaissements!$C$6:$C$3005&lt;=$C1136+3)),1)))</f>
        <v/>
      </c>
      <c r="K1136" s="6" t="n"/>
    </row>
    <row r="1137">
      <c r="A1137" s="6" t="n"/>
      <c r="B1137" s="6" t="n"/>
      <c r="C1137" s="19" t="n"/>
      <c r="D1137" s="19" t="n"/>
      <c r="E1137" s="6" t="n"/>
      <c r="F1137" s="20" t="n"/>
      <c r="G1137" s="9">
        <f>IF($F1137="","",IF($F1137&gt;0,ROUND($F1137,2),""))</f>
        <v/>
      </c>
      <c r="H1137" s="12">
        <f>IF(OR($B1137="",$C1137="",$G1137=""),"",COUNTIFS(Ventes_Encaissements!$E$6:$E$3005,$B1137,Ventes_Encaissements!$J$6:$J$3005,$G1137,Ventes_Encaissements!$C$6:$C$3005,"&gt;="&amp;($C1137-3),Ventes_Encaissements!$C$6:$C$3005,"&lt;="&amp;($C1137+3)))</f>
        <v/>
      </c>
      <c r="I1137" s="12">
        <f>IF($H1137="","",IF($H1137=0,"Non trouvé",IF($H1137=1,"Match","À vérifier")))</f>
        <v/>
      </c>
      <c r="J1137" s="21">
        <f>IF($I1137&lt;&gt;"Match","",INDEX(Ventes_Encaissements!$B$6:$B$3005,_xludf.AGGREGATE(15,6,(ROW(Ventes_Encaissements!$B$6:$B$3005)-ROW(Ventes_Encaissements!$B$6)+1)/((Ventes_Encaissements!$E$6:$E$3005=$B1137)*(Ventes_Encaissements!$J$6:$J$3005=$G1137)*(Ventes_Encaissements!$C$6:$C$3005&gt;=$C1137-3)*(Ventes_Encaissements!$C$6:$C$3005&lt;=$C1137+3)),1)))</f>
        <v/>
      </c>
      <c r="K1137" s="6" t="n"/>
    </row>
    <row r="1138">
      <c r="A1138" s="6" t="n"/>
      <c r="B1138" s="6" t="n"/>
      <c r="C1138" s="19" t="n"/>
      <c r="D1138" s="19" t="n"/>
      <c r="E1138" s="6" t="n"/>
      <c r="F1138" s="20" t="n"/>
      <c r="G1138" s="9">
        <f>IF($F1138="","",IF($F1138&gt;0,ROUND($F1138,2),""))</f>
        <v/>
      </c>
      <c r="H1138" s="12">
        <f>IF(OR($B1138="",$C1138="",$G1138=""),"",COUNTIFS(Ventes_Encaissements!$E$6:$E$3005,$B1138,Ventes_Encaissements!$J$6:$J$3005,$G1138,Ventes_Encaissements!$C$6:$C$3005,"&gt;="&amp;($C1138-3),Ventes_Encaissements!$C$6:$C$3005,"&lt;="&amp;($C1138+3)))</f>
        <v/>
      </c>
      <c r="I1138" s="12">
        <f>IF($H1138="","",IF($H1138=0,"Non trouvé",IF($H1138=1,"Match","À vérifier")))</f>
        <v/>
      </c>
      <c r="J1138" s="21">
        <f>IF($I1138&lt;&gt;"Match","",INDEX(Ventes_Encaissements!$B$6:$B$3005,_xludf.AGGREGATE(15,6,(ROW(Ventes_Encaissements!$B$6:$B$3005)-ROW(Ventes_Encaissements!$B$6)+1)/((Ventes_Encaissements!$E$6:$E$3005=$B1138)*(Ventes_Encaissements!$J$6:$J$3005=$G1138)*(Ventes_Encaissements!$C$6:$C$3005&gt;=$C1138-3)*(Ventes_Encaissements!$C$6:$C$3005&lt;=$C1138+3)),1)))</f>
        <v/>
      </c>
      <c r="K1138" s="6" t="n"/>
    </row>
    <row r="1139">
      <c r="A1139" s="6" t="n"/>
      <c r="B1139" s="6" t="n"/>
      <c r="C1139" s="19" t="n"/>
      <c r="D1139" s="19" t="n"/>
      <c r="E1139" s="6" t="n"/>
      <c r="F1139" s="20" t="n"/>
      <c r="G1139" s="9">
        <f>IF($F1139="","",IF($F1139&gt;0,ROUND($F1139,2),""))</f>
        <v/>
      </c>
      <c r="H1139" s="12">
        <f>IF(OR($B1139="",$C1139="",$G1139=""),"",COUNTIFS(Ventes_Encaissements!$E$6:$E$3005,$B1139,Ventes_Encaissements!$J$6:$J$3005,$G1139,Ventes_Encaissements!$C$6:$C$3005,"&gt;="&amp;($C1139-3),Ventes_Encaissements!$C$6:$C$3005,"&lt;="&amp;($C1139+3)))</f>
        <v/>
      </c>
      <c r="I1139" s="12">
        <f>IF($H1139="","",IF($H1139=0,"Non trouvé",IF($H1139=1,"Match","À vérifier")))</f>
        <v/>
      </c>
      <c r="J1139" s="21">
        <f>IF($I1139&lt;&gt;"Match","",INDEX(Ventes_Encaissements!$B$6:$B$3005,_xludf.AGGREGATE(15,6,(ROW(Ventes_Encaissements!$B$6:$B$3005)-ROW(Ventes_Encaissements!$B$6)+1)/((Ventes_Encaissements!$E$6:$E$3005=$B1139)*(Ventes_Encaissements!$J$6:$J$3005=$G1139)*(Ventes_Encaissements!$C$6:$C$3005&gt;=$C1139-3)*(Ventes_Encaissements!$C$6:$C$3005&lt;=$C1139+3)),1)))</f>
        <v/>
      </c>
      <c r="K1139" s="6" t="n"/>
    </row>
    <row r="1140">
      <c r="A1140" s="6" t="n"/>
      <c r="B1140" s="6" t="n"/>
      <c r="C1140" s="19" t="n"/>
      <c r="D1140" s="19" t="n"/>
      <c r="E1140" s="6" t="n"/>
      <c r="F1140" s="20" t="n"/>
      <c r="G1140" s="9">
        <f>IF($F1140="","",IF($F1140&gt;0,ROUND($F1140,2),""))</f>
        <v/>
      </c>
      <c r="H1140" s="12">
        <f>IF(OR($B1140="",$C1140="",$G1140=""),"",COUNTIFS(Ventes_Encaissements!$E$6:$E$3005,$B1140,Ventes_Encaissements!$J$6:$J$3005,$G1140,Ventes_Encaissements!$C$6:$C$3005,"&gt;="&amp;($C1140-3),Ventes_Encaissements!$C$6:$C$3005,"&lt;="&amp;($C1140+3)))</f>
        <v/>
      </c>
      <c r="I1140" s="12">
        <f>IF($H1140="","",IF($H1140=0,"Non trouvé",IF($H1140=1,"Match","À vérifier")))</f>
        <v/>
      </c>
      <c r="J1140" s="21">
        <f>IF($I1140&lt;&gt;"Match","",INDEX(Ventes_Encaissements!$B$6:$B$3005,_xludf.AGGREGATE(15,6,(ROW(Ventes_Encaissements!$B$6:$B$3005)-ROW(Ventes_Encaissements!$B$6)+1)/((Ventes_Encaissements!$E$6:$E$3005=$B1140)*(Ventes_Encaissements!$J$6:$J$3005=$G1140)*(Ventes_Encaissements!$C$6:$C$3005&gt;=$C1140-3)*(Ventes_Encaissements!$C$6:$C$3005&lt;=$C1140+3)),1)))</f>
        <v/>
      </c>
      <c r="K1140" s="6" t="n"/>
    </row>
    <row r="1141">
      <c r="A1141" s="6" t="n"/>
      <c r="B1141" s="6" t="n"/>
      <c r="C1141" s="19" t="n"/>
      <c r="D1141" s="19" t="n"/>
      <c r="E1141" s="6" t="n"/>
      <c r="F1141" s="20" t="n"/>
      <c r="G1141" s="9">
        <f>IF($F1141="","",IF($F1141&gt;0,ROUND($F1141,2),""))</f>
        <v/>
      </c>
      <c r="H1141" s="12">
        <f>IF(OR($B1141="",$C1141="",$G1141=""),"",COUNTIFS(Ventes_Encaissements!$E$6:$E$3005,$B1141,Ventes_Encaissements!$J$6:$J$3005,$G1141,Ventes_Encaissements!$C$6:$C$3005,"&gt;="&amp;($C1141-3),Ventes_Encaissements!$C$6:$C$3005,"&lt;="&amp;($C1141+3)))</f>
        <v/>
      </c>
      <c r="I1141" s="12">
        <f>IF($H1141="","",IF($H1141=0,"Non trouvé",IF($H1141=1,"Match","À vérifier")))</f>
        <v/>
      </c>
      <c r="J1141" s="21">
        <f>IF($I1141&lt;&gt;"Match","",INDEX(Ventes_Encaissements!$B$6:$B$3005,_xludf.AGGREGATE(15,6,(ROW(Ventes_Encaissements!$B$6:$B$3005)-ROW(Ventes_Encaissements!$B$6)+1)/((Ventes_Encaissements!$E$6:$E$3005=$B1141)*(Ventes_Encaissements!$J$6:$J$3005=$G1141)*(Ventes_Encaissements!$C$6:$C$3005&gt;=$C1141-3)*(Ventes_Encaissements!$C$6:$C$3005&lt;=$C1141+3)),1)))</f>
        <v/>
      </c>
      <c r="K1141" s="6" t="n"/>
    </row>
    <row r="1142">
      <c r="A1142" s="6" t="n"/>
      <c r="B1142" s="6" t="n"/>
      <c r="C1142" s="19" t="n"/>
      <c r="D1142" s="19" t="n"/>
      <c r="E1142" s="6" t="n"/>
      <c r="F1142" s="20" t="n"/>
      <c r="G1142" s="9">
        <f>IF($F1142="","",IF($F1142&gt;0,ROUND($F1142,2),""))</f>
        <v/>
      </c>
      <c r="H1142" s="12">
        <f>IF(OR($B1142="",$C1142="",$G1142=""),"",COUNTIFS(Ventes_Encaissements!$E$6:$E$3005,$B1142,Ventes_Encaissements!$J$6:$J$3005,$G1142,Ventes_Encaissements!$C$6:$C$3005,"&gt;="&amp;($C1142-3),Ventes_Encaissements!$C$6:$C$3005,"&lt;="&amp;($C1142+3)))</f>
        <v/>
      </c>
      <c r="I1142" s="12">
        <f>IF($H1142="","",IF($H1142=0,"Non trouvé",IF($H1142=1,"Match","À vérifier")))</f>
        <v/>
      </c>
      <c r="J1142" s="21">
        <f>IF($I1142&lt;&gt;"Match","",INDEX(Ventes_Encaissements!$B$6:$B$3005,_xludf.AGGREGATE(15,6,(ROW(Ventes_Encaissements!$B$6:$B$3005)-ROW(Ventes_Encaissements!$B$6)+1)/((Ventes_Encaissements!$E$6:$E$3005=$B1142)*(Ventes_Encaissements!$J$6:$J$3005=$G1142)*(Ventes_Encaissements!$C$6:$C$3005&gt;=$C1142-3)*(Ventes_Encaissements!$C$6:$C$3005&lt;=$C1142+3)),1)))</f>
        <v/>
      </c>
      <c r="K1142" s="6" t="n"/>
    </row>
    <row r="1143">
      <c r="A1143" s="6" t="n"/>
      <c r="B1143" s="6" t="n"/>
      <c r="C1143" s="19" t="n"/>
      <c r="D1143" s="19" t="n"/>
      <c r="E1143" s="6" t="n"/>
      <c r="F1143" s="20" t="n"/>
      <c r="G1143" s="9">
        <f>IF($F1143="","",IF($F1143&gt;0,ROUND($F1143,2),""))</f>
        <v/>
      </c>
      <c r="H1143" s="12">
        <f>IF(OR($B1143="",$C1143="",$G1143=""),"",COUNTIFS(Ventes_Encaissements!$E$6:$E$3005,$B1143,Ventes_Encaissements!$J$6:$J$3005,$G1143,Ventes_Encaissements!$C$6:$C$3005,"&gt;="&amp;($C1143-3),Ventes_Encaissements!$C$6:$C$3005,"&lt;="&amp;($C1143+3)))</f>
        <v/>
      </c>
      <c r="I1143" s="12">
        <f>IF($H1143="","",IF($H1143=0,"Non trouvé",IF($H1143=1,"Match","À vérifier")))</f>
        <v/>
      </c>
      <c r="J1143" s="21">
        <f>IF($I1143&lt;&gt;"Match","",INDEX(Ventes_Encaissements!$B$6:$B$3005,_xludf.AGGREGATE(15,6,(ROW(Ventes_Encaissements!$B$6:$B$3005)-ROW(Ventes_Encaissements!$B$6)+1)/((Ventes_Encaissements!$E$6:$E$3005=$B1143)*(Ventes_Encaissements!$J$6:$J$3005=$G1143)*(Ventes_Encaissements!$C$6:$C$3005&gt;=$C1143-3)*(Ventes_Encaissements!$C$6:$C$3005&lt;=$C1143+3)),1)))</f>
        <v/>
      </c>
      <c r="K1143" s="6" t="n"/>
    </row>
    <row r="1144">
      <c r="A1144" s="6" t="n"/>
      <c r="B1144" s="6" t="n"/>
      <c r="C1144" s="19" t="n"/>
      <c r="D1144" s="19" t="n"/>
      <c r="E1144" s="6" t="n"/>
      <c r="F1144" s="20" t="n"/>
      <c r="G1144" s="9">
        <f>IF($F1144="","",IF($F1144&gt;0,ROUND($F1144,2),""))</f>
        <v/>
      </c>
      <c r="H1144" s="12">
        <f>IF(OR($B1144="",$C1144="",$G1144=""),"",COUNTIFS(Ventes_Encaissements!$E$6:$E$3005,$B1144,Ventes_Encaissements!$J$6:$J$3005,$G1144,Ventes_Encaissements!$C$6:$C$3005,"&gt;="&amp;($C1144-3),Ventes_Encaissements!$C$6:$C$3005,"&lt;="&amp;($C1144+3)))</f>
        <v/>
      </c>
      <c r="I1144" s="12">
        <f>IF($H1144="","",IF($H1144=0,"Non trouvé",IF($H1144=1,"Match","À vérifier")))</f>
        <v/>
      </c>
      <c r="J1144" s="21">
        <f>IF($I1144&lt;&gt;"Match","",INDEX(Ventes_Encaissements!$B$6:$B$3005,_xludf.AGGREGATE(15,6,(ROW(Ventes_Encaissements!$B$6:$B$3005)-ROW(Ventes_Encaissements!$B$6)+1)/((Ventes_Encaissements!$E$6:$E$3005=$B1144)*(Ventes_Encaissements!$J$6:$J$3005=$G1144)*(Ventes_Encaissements!$C$6:$C$3005&gt;=$C1144-3)*(Ventes_Encaissements!$C$6:$C$3005&lt;=$C1144+3)),1)))</f>
        <v/>
      </c>
      <c r="K1144" s="6" t="n"/>
    </row>
    <row r="1145">
      <c r="A1145" s="6" t="n"/>
      <c r="B1145" s="6" t="n"/>
      <c r="C1145" s="19" t="n"/>
      <c r="D1145" s="19" t="n"/>
      <c r="E1145" s="6" t="n"/>
      <c r="F1145" s="20" t="n"/>
      <c r="G1145" s="9">
        <f>IF($F1145="","",IF($F1145&gt;0,ROUND($F1145,2),""))</f>
        <v/>
      </c>
      <c r="H1145" s="12">
        <f>IF(OR($B1145="",$C1145="",$G1145=""),"",COUNTIFS(Ventes_Encaissements!$E$6:$E$3005,$B1145,Ventes_Encaissements!$J$6:$J$3005,$G1145,Ventes_Encaissements!$C$6:$C$3005,"&gt;="&amp;($C1145-3),Ventes_Encaissements!$C$6:$C$3005,"&lt;="&amp;($C1145+3)))</f>
        <v/>
      </c>
      <c r="I1145" s="12">
        <f>IF($H1145="","",IF($H1145=0,"Non trouvé",IF($H1145=1,"Match","À vérifier")))</f>
        <v/>
      </c>
      <c r="J1145" s="21">
        <f>IF($I1145&lt;&gt;"Match","",INDEX(Ventes_Encaissements!$B$6:$B$3005,_xludf.AGGREGATE(15,6,(ROW(Ventes_Encaissements!$B$6:$B$3005)-ROW(Ventes_Encaissements!$B$6)+1)/((Ventes_Encaissements!$E$6:$E$3005=$B1145)*(Ventes_Encaissements!$J$6:$J$3005=$G1145)*(Ventes_Encaissements!$C$6:$C$3005&gt;=$C1145-3)*(Ventes_Encaissements!$C$6:$C$3005&lt;=$C1145+3)),1)))</f>
        <v/>
      </c>
      <c r="K1145" s="6" t="n"/>
    </row>
    <row r="1146">
      <c r="A1146" s="6" t="n"/>
      <c r="B1146" s="6" t="n"/>
      <c r="C1146" s="19" t="n"/>
      <c r="D1146" s="19" t="n"/>
      <c r="E1146" s="6" t="n"/>
      <c r="F1146" s="20" t="n"/>
      <c r="G1146" s="9">
        <f>IF($F1146="","",IF($F1146&gt;0,ROUND($F1146,2),""))</f>
        <v/>
      </c>
      <c r="H1146" s="12">
        <f>IF(OR($B1146="",$C1146="",$G1146=""),"",COUNTIFS(Ventes_Encaissements!$E$6:$E$3005,$B1146,Ventes_Encaissements!$J$6:$J$3005,$G1146,Ventes_Encaissements!$C$6:$C$3005,"&gt;="&amp;($C1146-3),Ventes_Encaissements!$C$6:$C$3005,"&lt;="&amp;($C1146+3)))</f>
        <v/>
      </c>
      <c r="I1146" s="12">
        <f>IF($H1146="","",IF($H1146=0,"Non trouvé",IF($H1146=1,"Match","À vérifier")))</f>
        <v/>
      </c>
      <c r="J1146" s="21">
        <f>IF($I1146&lt;&gt;"Match","",INDEX(Ventes_Encaissements!$B$6:$B$3005,_xludf.AGGREGATE(15,6,(ROW(Ventes_Encaissements!$B$6:$B$3005)-ROW(Ventes_Encaissements!$B$6)+1)/((Ventes_Encaissements!$E$6:$E$3005=$B1146)*(Ventes_Encaissements!$J$6:$J$3005=$G1146)*(Ventes_Encaissements!$C$6:$C$3005&gt;=$C1146-3)*(Ventes_Encaissements!$C$6:$C$3005&lt;=$C1146+3)),1)))</f>
        <v/>
      </c>
      <c r="K1146" s="6" t="n"/>
    </row>
    <row r="1147">
      <c r="A1147" s="6" t="n"/>
      <c r="B1147" s="6" t="n"/>
      <c r="C1147" s="19" t="n"/>
      <c r="D1147" s="19" t="n"/>
      <c r="E1147" s="6" t="n"/>
      <c r="F1147" s="20" t="n"/>
      <c r="G1147" s="9">
        <f>IF($F1147="","",IF($F1147&gt;0,ROUND($F1147,2),""))</f>
        <v/>
      </c>
      <c r="H1147" s="12">
        <f>IF(OR($B1147="",$C1147="",$G1147=""),"",COUNTIFS(Ventes_Encaissements!$E$6:$E$3005,$B1147,Ventes_Encaissements!$J$6:$J$3005,$G1147,Ventes_Encaissements!$C$6:$C$3005,"&gt;="&amp;($C1147-3),Ventes_Encaissements!$C$6:$C$3005,"&lt;="&amp;($C1147+3)))</f>
        <v/>
      </c>
      <c r="I1147" s="12">
        <f>IF($H1147="","",IF($H1147=0,"Non trouvé",IF($H1147=1,"Match","À vérifier")))</f>
        <v/>
      </c>
      <c r="J1147" s="21">
        <f>IF($I1147&lt;&gt;"Match","",INDEX(Ventes_Encaissements!$B$6:$B$3005,_xludf.AGGREGATE(15,6,(ROW(Ventes_Encaissements!$B$6:$B$3005)-ROW(Ventes_Encaissements!$B$6)+1)/((Ventes_Encaissements!$E$6:$E$3005=$B1147)*(Ventes_Encaissements!$J$6:$J$3005=$G1147)*(Ventes_Encaissements!$C$6:$C$3005&gt;=$C1147-3)*(Ventes_Encaissements!$C$6:$C$3005&lt;=$C1147+3)),1)))</f>
        <v/>
      </c>
      <c r="K1147" s="6" t="n"/>
    </row>
    <row r="1148">
      <c r="A1148" s="6" t="n"/>
      <c r="B1148" s="6" t="n"/>
      <c r="C1148" s="19" t="n"/>
      <c r="D1148" s="19" t="n"/>
      <c r="E1148" s="6" t="n"/>
      <c r="F1148" s="20" t="n"/>
      <c r="G1148" s="9">
        <f>IF($F1148="","",IF($F1148&gt;0,ROUND($F1148,2),""))</f>
        <v/>
      </c>
      <c r="H1148" s="12">
        <f>IF(OR($B1148="",$C1148="",$G1148=""),"",COUNTIFS(Ventes_Encaissements!$E$6:$E$3005,$B1148,Ventes_Encaissements!$J$6:$J$3005,$G1148,Ventes_Encaissements!$C$6:$C$3005,"&gt;="&amp;($C1148-3),Ventes_Encaissements!$C$6:$C$3005,"&lt;="&amp;($C1148+3)))</f>
        <v/>
      </c>
      <c r="I1148" s="12">
        <f>IF($H1148="","",IF($H1148=0,"Non trouvé",IF($H1148=1,"Match","À vérifier")))</f>
        <v/>
      </c>
      <c r="J1148" s="21">
        <f>IF($I1148&lt;&gt;"Match","",INDEX(Ventes_Encaissements!$B$6:$B$3005,_xludf.AGGREGATE(15,6,(ROW(Ventes_Encaissements!$B$6:$B$3005)-ROW(Ventes_Encaissements!$B$6)+1)/((Ventes_Encaissements!$E$6:$E$3005=$B1148)*(Ventes_Encaissements!$J$6:$J$3005=$G1148)*(Ventes_Encaissements!$C$6:$C$3005&gt;=$C1148-3)*(Ventes_Encaissements!$C$6:$C$3005&lt;=$C1148+3)),1)))</f>
        <v/>
      </c>
      <c r="K1148" s="6" t="n"/>
    </row>
    <row r="1149">
      <c r="A1149" s="6" t="n"/>
      <c r="B1149" s="6" t="n"/>
      <c r="C1149" s="19" t="n"/>
      <c r="D1149" s="19" t="n"/>
      <c r="E1149" s="6" t="n"/>
      <c r="F1149" s="20" t="n"/>
      <c r="G1149" s="9">
        <f>IF($F1149="","",IF($F1149&gt;0,ROUND($F1149,2),""))</f>
        <v/>
      </c>
      <c r="H1149" s="12">
        <f>IF(OR($B1149="",$C1149="",$G1149=""),"",COUNTIFS(Ventes_Encaissements!$E$6:$E$3005,$B1149,Ventes_Encaissements!$J$6:$J$3005,$G1149,Ventes_Encaissements!$C$6:$C$3005,"&gt;="&amp;($C1149-3),Ventes_Encaissements!$C$6:$C$3005,"&lt;="&amp;($C1149+3)))</f>
        <v/>
      </c>
      <c r="I1149" s="12">
        <f>IF($H1149="","",IF($H1149=0,"Non trouvé",IF($H1149=1,"Match","À vérifier")))</f>
        <v/>
      </c>
      <c r="J1149" s="21">
        <f>IF($I1149&lt;&gt;"Match","",INDEX(Ventes_Encaissements!$B$6:$B$3005,_xludf.AGGREGATE(15,6,(ROW(Ventes_Encaissements!$B$6:$B$3005)-ROW(Ventes_Encaissements!$B$6)+1)/((Ventes_Encaissements!$E$6:$E$3005=$B1149)*(Ventes_Encaissements!$J$6:$J$3005=$G1149)*(Ventes_Encaissements!$C$6:$C$3005&gt;=$C1149-3)*(Ventes_Encaissements!$C$6:$C$3005&lt;=$C1149+3)),1)))</f>
        <v/>
      </c>
      <c r="K1149" s="6" t="n"/>
    </row>
    <row r="1150">
      <c r="A1150" s="6" t="n"/>
      <c r="B1150" s="6" t="n"/>
      <c r="C1150" s="19" t="n"/>
      <c r="D1150" s="19" t="n"/>
      <c r="E1150" s="6" t="n"/>
      <c r="F1150" s="20" t="n"/>
      <c r="G1150" s="9">
        <f>IF($F1150="","",IF($F1150&gt;0,ROUND($F1150,2),""))</f>
        <v/>
      </c>
      <c r="H1150" s="12">
        <f>IF(OR($B1150="",$C1150="",$G1150=""),"",COUNTIFS(Ventes_Encaissements!$E$6:$E$3005,$B1150,Ventes_Encaissements!$J$6:$J$3005,$G1150,Ventes_Encaissements!$C$6:$C$3005,"&gt;="&amp;($C1150-3),Ventes_Encaissements!$C$6:$C$3005,"&lt;="&amp;($C1150+3)))</f>
        <v/>
      </c>
      <c r="I1150" s="12">
        <f>IF($H1150="","",IF($H1150=0,"Non trouvé",IF($H1150=1,"Match","À vérifier")))</f>
        <v/>
      </c>
      <c r="J1150" s="21">
        <f>IF($I1150&lt;&gt;"Match","",INDEX(Ventes_Encaissements!$B$6:$B$3005,_xludf.AGGREGATE(15,6,(ROW(Ventes_Encaissements!$B$6:$B$3005)-ROW(Ventes_Encaissements!$B$6)+1)/((Ventes_Encaissements!$E$6:$E$3005=$B1150)*(Ventes_Encaissements!$J$6:$J$3005=$G1150)*(Ventes_Encaissements!$C$6:$C$3005&gt;=$C1150-3)*(Ventes_Encaissements!$C$6:$C$3005&lt;=$C1150+3)),1)))</f>
        <v/>
      </c>
      <c r="K1150" s="6" t="n"/>
    </row>
    <row r="1151">
      <c r="A1151" s="6" t="n"/>
      <c r="B1151" s="6" t="n"/>
      <c r="C1151" s="19" t="n"/>
      <c r="D1151" s="19" t="n"/>
      <c r="E1151" s="6" t="n"/>
      <c r="F1151" s="20" t="n"/>
      <c r="G1151" s="9">
        <f>IF($F1151="","",IF($F1151&gt;0,ROUND($F1151,2),""))</f>
        <v/>
      </c>
      <c r="H1151" s="12">
        <f>IF(OR($B1151="",$C1151="",$G1151=""),"",COUNTIFS(Ventes_Encaissements!$E$6:$E$3005,$B1151,Ventes_Encaissements!$J$6:$J$3005,$G1151,Ventes_Encaissements!$C$6:$C$3005,"&gt;="&amp;($C1151-3),Ventes_Encaissements!$C$6:$C$3005,"&lt;="&amp;($C1151+3)))</f>
        <v/>
      </c>
      <c r="I1151" s="12">
        <f>IF($H1151="","",IF($H1151=0,"Non trouvé",IF($H1151=1,"Match","À vérifier")))</f>
        <v/>
      </c>
      <c r="J1151" s="21">
        <f>IF($I1151&lt;&gt;"Match","",INDEX(Ventes_Encaissements!$B$6:$B$3005,_xludf.AGGREGATE(15,6,(ROW(Ventes_Encaissements!$B$6:$B$3005)-ROW(Ventes_Encaissements!$B$6)+1)/((Ventes_Encaissements!$E$6:$E$3005=$B1151)*(Ventes_Encaissements!$J$6:$J$3005=$G1151)*(Ventes_Encaissements!$C$6:$C$3005&gt;=$C1151-3)*(Ventes_Encaissements!$C$6:$C$3005&lt;=$C1151+3)),1)))</f>
        <v/>
      </c>
      <c r="K1151" s="6" t="n"/>
    </row>
    <row r="1152">
      <c r="A1152" s="6" t="n"/>
      <c r="B1152" s="6" t="n"/>
      <c r="C1152" s="19" t="n"/>
      <c r="D1152" s="19" t="n"/>
      <c r="E1152" s="6" t="n"/>
      <c r="F1152" s="20" t="n"/>
      <c r="G1152" s="9">
        <f>IF($F1152="","",IF($F1152&gt;0,ROUND($F1152,2),""))</f>
        <v/>
      </c>
      <c r="H1152" s="12">
        <f>IF(OR($B1152="",$C1152="",$G1152=""),"",COUNTIFS(Ventes_Encaissements!$E$6:$E$3005,$B1152,Ventes_Encaissements!$J$6:$J$3005,$G1152,Ventes_Encaissements!$C$6:$C$3005,"&gt;="&amp;($C1152-3),Ventes_Encaissements!$C$6:$C$3005,"&lt;="&amp;($C1152+3)))</f>
        <v/>
      </c>
      <c r="I1152" s="12">
        <f>IF($H1152="","",IF($H1152=0,"Non trouvé",IF($H1152=1,"Match","À vérifier")))</f>
        <v/>
      </c>
      <c r="J1152" s="21">
        <f>IF($I1152&lt;&gt;"Match","",INDEX(Ventes_Encaissements!$B$6:$B$3005,_xludf.AGGREGATE(15,6,(ROW(Ventes_Encaissements!$B$6:$B$3005)-ROW(Ventes_Encaissements!$B$6)+1)/((Ventes_Encaissements!$E$6:$E$3005=$B1152)*(Ventes_Encaissements!$J$6:$J$3005=$G1152)*(Ventes_Encaissements!$C$6:$C$3005&gt;=$C1152-3)*(Ventes_Encaissements!$C$6:$C$3005&lt;=$C1152+3)),1)))</f>
        <v/>
      </c>
      <c r="K1152" s="6" t="n"/>
    </row>
    <row r="1153">
      <c r="A1153" s="6" t="n"/>
      <c r="B1153" s="6" t="n"/>
      <c r="C1153" s="19" t="n"/>
      <c r="D1153" s="19" t="n"/>
      <c r="E1153" s="6" t="n"/>
      <c r="F1153" s="20" t="n"/>
      <c r="G1153" s="9">
        <f>IF($F1153="","",IF($F1153&gt;0,ROUND($F1153,2),""))</f>
        <v/>
      </c>
      <c r="H1153" s="12">
        <f>IF(OR($B1153="",$C1153="",$G1153=""),"",COUNTIFS(Ventes_Encaissements!$E$6:$E$3005,$B1153,Ventes_Encaissements!$J$6:$J$3005,$G1153,Ventes_Encaissements!$C$6:$C$3005,"&gt;="&amp;($C1153-3),Ventes_Encaissements!$C$6:$C$3005,"&lt;="&amp;($C1153+3)))</f>
        <v/>
      </c>
      <c r="I1153" s="12">
        <f>IF($H1153="","",IF($H1153=0,"Non trouvé",IF($H1153=1,"Match","À vérifier")))</f>
        <v/>
      </c>
      <c r="J1153" s="21">
        <f>IF($I1153&lt;&gt;"Match","",INDEX(Ventes_Encaissements!$B$6:$B$3005,_xludf.AGGREGATE(15,6,(ROW(Ventes_Encaissements!$B$6:$B$3005)-ROW(Ventes_Encaissements!$B$6)+1)/((Ventes_Encaissements!$E$6:$E$3005=$B1153)*(Ventes_Encaissements!$J$6:$J$3005=$G1153)*(Ventes_Encaissements!$C$6:$C$3005&gt;=$C1153-3)*(Ventes_Encaissements!$C$6:$C$3005&lt;=$C1153+3)),1)))</f>
        <v/>
      </c>
      <c r="K1153" s="6" t="n"/>
    </row>
    <row r="1154">
      <c r="A1154" s="6" t="n"/>
      <c r="B1154" s="6" t="n"/>
      <c r="C1154" s="19" t="n"/>
      <c r="D1154" s="19" t="n"/>
      <c r="E1154" s="6" t="n"/>
      <c r="F1154" s="20" t="n"/>
      <c r="G1154" s="9">
        <f>IF($F1154="","",IF($F1154&gt;0,ROUND($F1154,2),""))</f>
        <v/>
      </c>
      <c r="H1154" s="12">
        <f>IF(OR($B1154="",$C1154="",$G1154=""),"",COUNTIFS(Ventes_Encaissements!$E$6:$E$3005,$B1154,Ventes_Encaissements!$J$6:$J$3005,$G1154,Ventes_Encaissements!$C$6:$C$3005,"&gt;="&amp;($C1154-3),Ventes_Encaissements!$C$6:$C$3005,"&lt;="&amp;($C1154+3)))</f>
        <v/>
      </c>
      <c r="I1154" s="12">
        <f>IF($H1154="","",IF($H1154=0,"Non trouvé",IF($H1154=1,"Match","À vérifier")))</f>
        <v/>
      </c>
      <c r="J1154" s="21">
        <f>IF($I1154&lt;&gt;"Match","",INDEX(Ventes_Encaissements!$B$6:$B$3005,_xludf.AGGREGATE(15,6,(ROW(Ventes_Encaissements!$B$6:$B$3005)-ROW(Ventes_Encaissements!$B$6)+1)/((Ventes_Encaissements!$E$6:$E$3005=$B1154)*(Ventes_Encaissements!$J$6:$J$3005=$G1154)*(Ventes_Encaissements!$C$6:$C$3005&gt;=$C1154-3)*(Ventes_Encaissements!$C$6:$C$3005&lt;=$C1154+3)),1)))</f>
        <v/>
      </c>
      <c r="K1154" s="6" t="n"/>
    </row>
    <row r="1155">
      <c r="A1155" s="6" t="n"/>
      <c r="B1155" s="6" t="n"/>
      <c r="C1155" s="19" t="n"/>
      <c r="D1155" s="19" t="n"/>
      <c r="E1155" s="6" t="n"/>
      <c r="F1155" s="20" t="n"/>
      <c r="G1155" s="9">
        <f>IF($F1155="","",IF($F1155&gt;0,ROUND($F1155,2),""))</f>
        <v/>
      </c>
      <c r="H1155" s="12">
        <f>IF(OR($B1155="",$C1155="",$G1155=""),"",COUNTIFS(Ventes_Encaissements!$E$6:$E$3005,$B1155,Ventes_Encaissements!$J$6:$J$3005,$G1155,Ventes_Encaissements!$C$6:$C$3005,"&gt;="&amp;($C1155-3),Ventes_Encaissements!$C$6:$C$3005,"&lt;="&amp;($C1155+3)))</f>
        <v/>
      </c>
      <c r="I1155" s="12">
        <f>IF($H1155="","",IF($H1155=0,"Non trouvé",IF($H1155=1,"Match","À vérifier")))</f>
        <v/>
      </c>
      <c r="J1155" s="21">
        <f>IF($I1155&lt;&gt;"Match","",INDEX(Ventes_Encaissements!$B$6:$B$3005,_xludf.AGGREGATE(15,6,(ROW(Ventes_Encaissements!$B$6:$B$3005)-ROW(Ventes_Encaissements!$B$6)+1)/((Ventes_Encaissements!$E$6:$E$3005=$B1155)*(Ventes_Encaissements!$J$6:$J$3005=$G1155)*(Ventes_Encaissements!$C$6:$C$3005&gt;=$C1155-3)*(Ventes_Encaissements!$C$6:$C$3005&lt;=$C1155+3)),1)))</f>
        <v/>
      </c>
      <c r="K1155" s="6" t="n"/>
    </row>
    <row r="1156">
      <c r="A1156" s="6" t="n"/>
      <c r="B1156" s="6" t="n"/>
      <c r="C1156" s="19" t="n"/>
      <c r="D1156" s="19" t="n"/>
      <c r="E1156" s="6" t="n"/>
      <c r="F1156" s="20" t="n"/>
      <c r="G1156" s="9">
        <f>IF($F1156="","",IF($F1156&gt;0,ROUND($F1156,2),""))</f>
        <v/>
      </c>
      <c r="H1156" s="12">
        <f>IF(OR($B1156="",$C1156="",$G1156=""),"",COUNTIFS(Ventes_Encaissements!$E$6:$E$3005,$B1156,Ventes_Encaissements!$J$6:$J$3005,$G1156,Ventes_Encaissements!$C$6:$C$3005,"&gt;="&amp;($C1156-3),Ventes_Encaissements!$C$6:$C$3005,"&lt;="&amp;($C1156+3)))</f>
        <v/>
      </c>
      <c r="I1156" s="12">
        <f>IF($H1156="","",IF($H1156=0,"Non trouvé",IF($H1156=1,"Match","À vérifier")))</f>
        <v/>
      </c>
      <c r="J1156" s="21">
        <f>IF($I1156&lt;&gt;"Match","",INDEX(Ventes_Encaissements!$B$6:$B$3005,_xludf.AGGREGATE(15,6,(ROW(Ventes_Encaissements!$B$6:$B$3005)-ROW(Ventes_Encaissements!$B$6)+1)/((Ventes_Encaissements!$E$6:$E$3005=$B1156)*(Ventes_Encaissements!$J$6:$J$3005=$G1156)*(Ventes_Encaissements!$C$6:$C$3005&gt;=$C1156-3)*(Ventes_Encaissements!$C$6:$C$3005&lt;=$C1156+3)),1)))</f>
        <v/>
      </c>
      <c r="K1156" s="6" t="n"/>
    </row>
    <row r="1157">
      <c r="A1157" s="6" t="n"/>
      <c r="B1157" s="6" t="n"/>
      <c r="C1157" s="19" t="n"/>
      <c r="D1157" s="19" t="n"/>
      <c r="E1157" s="6" t="n"/>
      <c r="F1157" s="20" t="n"/>
      <c r="G1157" s="9">
        <f>IF($F1157="","",IF($F1157&gt;0,ROUND($F1157,2),""))</f>
        <v/>
      </c>
      <c r="H1157" s="12">
        <f>IF(OR($B1157="",$C1157="",$G1157=""),"",COUNTIFS(Ventes_Encaissements!$E$6:$E$3005,$B1157,Ventes_Encaissements!$J$6:$J$3005,$G1157,Ventes_Encaissements!$C$6:$C$3005,"&gt;="&amp;($C1157-3),Ventes_Encaissements!$C$6:$C$3005,"&lt;="&amp;($C1157+3)))</f>
        <v/>
      </c>
      <c r="I1157" s="12">
        <f>IF($H1157="","",IF($H1157=0,"Non trouvé",IF($H1157=1,"Match","À vérifier")))</f>
        <v/>
      </c>
      <c r="J1157" s="21">
        <f>IF($I1157&lt;&gt;"Match","",INDEX(Ventes_Encaissements!$B$6:$B$3005,_xludf.AGGREGATE(15,6,(ROW(Ventes_Encaissements!$B$6:$B$3005)-ROW(Ventes_Encaissements!$B$6)+1)/((Ventes_Encaissements!$E$6:$E$3005=$B1157)*(Ventes_Encaissements!$J$6:$J$3005=$G1157)*(Ventes_Encaissements!$C$6:$C$3005&gt;=$C1157-3)*(Ventes_Encaissements!$C$6:$C$3005&lt;=$C1157+3)),1)))</f>
        <v/>
      </c>
      <c r="K1157" s="6" t="n"/>
    </row>
    <row r="1158">
      <c r="A1158" s="6" t="n"/>
      <c r="B1158" s="6" t="n"/>
      <c r="C1158" s="19" t="n"/>
      <c r="D1158" s="19" t="n"/>
      <c r="E1158" s="6" t="n"/>
      <c r="F1158" s="20" t="n"/>
      <c r="G1158" s="9">
        <f>IF($F1158="","",IF($F1158&gt;0,ROUND($F1158,2),""))</f>
        <v/>
      </c>
      <c r="H1158" s="12">
        <f>IF(OR($B1158="",$C1158="",$G1158=""),"",COUNTIFS(Ventes_Encaissements!$E$6:$E$3005,$B1158,Ventes_Encaissements!$J$6:$J$3005,$G1158,Ventes_Encaissements!$C$6:$C$3005,"&gt;="&amp;($C1158-3),Ventes_Encaissements!$C$6:$C$3005,"&lt;="&amp;($C1158+3)))</f>
        <v/>
      </c>
      <c r="I1158" s="12">
        <f>IF($H1158="","",IF($H1158=0,"Non trouvé",IF($H1158=1,"Match","À vérifier")))</f>
        <v/>
      </c>
      <c r="J1158" s="21">
        <f>IF($I1158&lt;&gt;"Match","",INDEX(Ventes_Encaissements!$B$6:$B$3005,_xludf.AGGREGATE(15,6,(ROW(Ventes_Encaissements!$B$6:$B$3005)-ROW(Ventes_Encaissements!$B$6)+1)/((Ventes_Encaissements!$E$6:$E$3005=$B1158)*(Ventes_Encaissements!$J$6:$J$3005=$G1158)*(Ventes_Encaissements!$C$6:$C$3005&gt;=$C1158-3)*(Ventes_Encaissements!$C$6:$C$3005&lt;=$C1158+3)),1)))</f>
        <v/>
      </c>
      <c r="K1158" s="6" t="n"/>
    </row>
    <row r="1159">
      <c r="A1159" s="6" t="n"/>
      <c r="B1159" s="6" t="n"/>
      <c r="C1159" s="19" t="n"/>
      <c r="D1159" s="19" t="n"/>
      <c r="E1159" s="6" t="n"/>
      <c r="F1159" s="20" t="n"/>
      <c r="G1159" s="9">
        <f>IF($F1159="","",IF($F1159&gt;0,ROUND($F1159,2),""))</f>
        <v/>
      </c>
      <c r="H1159" s="12">
        <f>IF(OR($B1159="",$C1159="",$G1159=""),"",COUNTIFS(Ventes_Encaissements!$E$6:$E$3005,$B1159,Ventes_Encaissements!$J$6:$J$3005,$G1159,Ventes_Encaissements!$C$6:$C$3005,"&gt;="&amp;($C1159-3),Ventes_Encaissements!$C$6:$C$3005,"&lt;="&amp;($C1159+3)))</f>
        <v/>
      </c>
      <c r="I1159" s="12">
        <f>IF($H1159="","",IF($H1159=0,"Non trouvé",IF($H1159=1,"Match","À vérifier")))</f>
        <v/>
      </c>
      <c r="J1159" s="21">
        <f>IF($I1159&lt;&gt;"Match","",INDEX(Ventes_Encaissements!$B$6:$B$3005,_xludf.AGGREGATE(15,6,(ROW(Ventes_Encaissements!$B$6:$B$3005)-ROW(Ventes_Encaissements!$B$6)+1)/((Ventes_Encaissements!$E$6:$E$3005=$B1159)*(Ventes_Encaissements!$J$6:$J$3005=$G1159)*(Ventes_Encaissements!$C$6:$C$3005&gt;=$C1159-3)*(Ventes_Encaissements!$C$6:$C$3005&lt;=$C1159+3)),1)))</f>
        <v/>
      </c>
      <c r="K1159" s="6" t="n"/>
    </row>
    <row r="1160">
      <c r="A1160" s="6" t="n"/>
      <c r="B1160" s="6" t="n"/>
      <c r="C1160" s="19" t="n"/>
      <c r="D1160" s="19" t="n"/>
      <c r="E1160" s="6" t="n"/>
      <c r="F1160" s="20" t="n"/>
      <c r="G1160" s="9">
        <f>IF($F1160="","",IF($F1160&gt;0,ROUND($F1160,2),""))</f>
        <v/>
      </c>
      <c r="H1160" s="12">
        <f>IF(OR($B1160="",$C1160="",$G1160=""),"",COUNTIFS(Ventes_Encaissements!$E$6:$E$3005,$B1160,Ventes_Encaissements!$J$6:$J$3005,$G1160,Ventes_Encaissements!$C$6:$C$3005,"&gt;="&amp;($C1160-3),Ventes_Encaissements!$C$6:$C$3005,"&lt;="&amp;($C1160+3)))</f>
        <v/>
      </c>
      <c r="I1160" s="12">
        <f>IF($H1160="","",IF($H1160=0,"Non trouvé",IF($H1160=1,"Match","À vérifier")))</f>
        <v/>
      </c>
      <c r="J1160" s="21">
        <f>IF($I1160&lt;&gt;"Match","",INDEX(Ventes_Encaissements!$B$6:$B$3005,_xludf.AGGREGATE(15,6,(ROW(Ventes_Encaissements!$B$6:$B$3005)-ROW(Ventes_Encaissements!$B$6)+1)/((Ventes_Encaissements!$E$6:$E$3005=$B1160)*(Ventes_Encaissements!$J$6:$J$3005=$G1160)*(Ventes_Encaissements!$C$6:$C$3005&gt;=$C1160-3)*(Ventes_Encaissements!$C$6:$C$3005&lt;=$C1160+3)),1)))</f>
        <v/>
      </c>
      <c r="K1160" s="6" t="n"/>
    </row>
    <row r="1161">
      <c r="A1161" s="6" t="n"/>
      <c r="B1161" s="6" t="n"/>
      <c r="C1161" s="19" t="n"/>
      <c r="D1161" s="19" t="n"/>
      <c r="E1161" s="6" t="n"/>
      <c r="F1161" s="20" t="n"/>
      <c r="G1161" s="9">
        <f>IF($F1161="","",IF($F1161&gt;0,ROUND($F1161,2),""))</f>
        <v/>
      </c>
      <c r="H1161" s="12">
        <f>IF(OR($B1161="",$C1161="",$G1161=""),"",COUNTIFS(Ventes_Encaissements!$E$6:$E$3005,$B1161,Ventes_Encaissements!$J$6:$J$3005,$G1161,Ventes_Encaissements!$C$6:$C$3005,"&gt;="&amp;($C1161-3),Ventes_Encaissements!$C$6:$C$3005,"&lt;="&amp;($C1161+3)))</f>
        <v/>
      </c>
      <c r="I1161" s="12">
        <f>IF($H1161="","",IF($H1161=0,"Non trouvé",IF($H1161=1,"Match","À vérifier")))</f>
        <v/>
      </c>
      <c r="J1161" s="21">
        <f>IF($I1161&lt;&gt;"Match","",INDEX(Ventes_Encaissements!$B$6:$B$3005,_xludf.AGGREGATE(15,6,(ROW(Ventes_Encaissements!$B$6:$B$3005)-ROW(Ventes_Encaissements!$B$6)+1)/((Ventes_Encaissements!$E$6:$E$3005=$B1161)*(Ventes_Encaissements!$J$6:$J$3005=$G1161)*(Ventes_Encaissements!$C$6:$C$3005&gt;=$C1161-3)*(Ventes_Encaissements!$C$6:$C$3005&lt;=$C1161+3)),1)))</f>
        <v/>
      </c>
      <c r="K1161" s="6" t="n"/>
    </row>
    <row r="1162">
      <c r="A1162" s="6" t="n"/>
      <c r="B1162" s="6" t="n"/>
      <c r="C1162" s="19" t="n"/>
      <c r="D1162" s="19" t="n"/>
      <c r="E1162" s="6" t="n"/>
      <c r="F1162" s="20" t="n"/>
      <c r="G1162" s="9">
        <f>IF($F1162="","",IF($F1162&gt;0,ROUND($F1162,2),""))</f>
        <v/>
      </c>
      <c r="H1162" s="12">
        <f>IF(OR($B1162="",$C1162="",$G1162=""),"",COUNTIFS(Ventes_Encaissements!$E$6:$E$3005,$B1162,Ventes_Encaissements!$J$6:$J$3005,$G1162,Ventes_Encaissements!$C$6:$C$3005,"&gt;="&amp;($C1162-3),Ventes_Encaissements!$C$6:$C$3005,"&lt;="&amp;($C1162+3)))</f>
        <v/>
      </c>
      <c r="I1162" s="12">
        <f>IF($H1162="","",IF($H1162=0,"Non trouvé",IF($H1162=1,"Match","À vérifier")))</f>
        <v/>
      </c>
      <c r="J1162" s="21">
        <f>IF($I1162&lt;&gt;"Match","",INDEX(Ventes_Encaissements!$B$6:$B$3005,_xludf.AGGREGATE(15,6,(ROW(Ventes_Encaissements!$B$6:$B$3005)-ROW(Ventes_Encaissements!$B$6)+1)/((Ventes_Encaissements!$E$6:$E$3005=$B1162)*(Ventes_Encaissements!$J$6:$J$3005=$G1162)*(Ventes_Encaissements!$C$6:$C$3005&gt;=$C1162-3)*(Ventes_Encaissements!$C$6:$C$3005&lt;=$C1162+3)),1)))</f>
        <v/>
      </c>
      <c r="K1162" s="6" t="n"/>
    </row>
    <row r="1163">
      <c r="A1163" s="6" t="n"/>
      <c r="B1163" s="6" t="n"/>
      <c r="C1163" s="19" t="n"/>
      <c r="D1163" s="19" t="n"/>
      <c r="E1163" s="6" t="n"/>
      <c r="F1163" s="20" t="n"/>
      <c r="G1163" s="9">
        <f>IF($F1163="","",IF($F1163&gt;0,ROUND($F1163,2),""))</f>
        <v/>
      </c>
      <c r="H1163" s="12">
        <f>IF(OR($B1163="",$C1163="",$G1163=""),"",COUNTIFS(Ventes_Encaissements!$E$6:$E$3005,$B1163,Ventes_Encaissements!$J$6:$J$3005,$G1163,Ventes_Encaissements!$C$6:$C$3005,"&gt;="&amp;($C1163-3),Ventes_Encaissements!$C$6:$C$3005,"&lt;="&amp;($C1163+3)))</f>
        <v/>
      </c>
      <c r="I1163" s="12">
        <f>IF($H1163="","",IF($H1163=0,"Non trouvé",IF($H1163=1,"Match","À vérifier")))</f>
        <v/>
      </c>
      <c r="J1163" s="21">
        <f>IF($I1163&lt;&gt;"Match","",INDEX(Ventes_Encaissements!$B$6:$B$3005,_xludf.AGGREGATE(15,6,(ROW(Ventes_Encaissements!$B$6:$B$3005)-ROW(Ventes_Encaissements!$B$6)+1)/((Ventes_Encaissements!$E$6:$E$3005=$B1163)*(Ventes_Encaissements!$J$6:$J$3005=$G1163)*(Ventes_Encaissements!$C$6:$C$3005&gt;=$C1163-3)*(Ventes_Encaissements!$C$6:$C$3005&lt;=$C1163+3)),1)))</f>
        <v/>
      </c>
      <c r="K1163" s="6" t="n"/>
    </row>
    <row r="1164">
      <c r="A1164" s="6" t="n"/>
      <c r="B1164" s="6" t="n"/>
      <c r="C1164" s="19" t="n"/>
      <c r="D1164" s="19" t="n"/>
      <c r="E1164" s="6" t="n"/>
      <c r="F1164" s="20" t="n"/>
      <c r="G1164" s="9">
        <f>IF($F1164="","",IF($F1164&gt;0,ROUND($F1164,2),""))</f>
        <v/>
      </c>
      <c r="H1164" s="12">
        <f>IF(OR($B1164="",$C1164="",$G1164=""),"",COUNTIFS(Ventes_Encaissements!$E$6:$E$3005,$B1164,Ventes_Encaissements!$J$6:$J$3005,$G1164,Ventes_Encaissements!$C$6:$C$3005,"&gt;="&amp;($C1164-3),Ventes_Encaissements!$C$6:$C$3005,"&lt;="&amp;($C1164+3)))</f>
        <v/>
      </c>
      <c r="I1164" s="12">
        <f>IF($H1164="","",IF($H1164=0,"Non trouvé",IF($H1164=1,"Match","À vérifier")))</f>
        <v/>
      </c>
      <c r="J1164" s="21">
        <f>IF($I1164&lt;&gt;"Match","",INDEX(Ventes_Encaissements!$B$6:$B$3005,_xludf.AGGREGATE(15,6,(ROW(Ventes_Encaissements!$B$6:$B$3005)-ROW(Ventes_Encaissements!$B$6)+1)/((Ventes_Encaissements!$E$6:$E$3005=$B1164)*(Ventes_Encaissements!$J$6:$J$3005=$G1164)*(Ventes_Encaissements!$C$6:$C$3005&gt;=$C1164-3)*(Ventes_Encaissements!$C$6:$C$3005&lt;=$C1164+3)),1)))</f>
        <v/>
      </c>
      <c r="K1164" s="6" t="n"/>
    </row>
    <row r="1165">
      <c r="A1165" s="6" t="n"/>
      <c r="B1165" s="6" t="n"/>
      <c r="C1165" s="19" t="n"/>
      <c r="D1165" s="19" t="n"/>
      <c r="E1165" s="6" t="n"/>
      <c r="F1165" s="20" t="n"/>
      <c r="G1165" s="9">
        <f>IF($F1165="","",IF($F1165&gt;0,ROUND($F1165,2),""))</f>
        <v/>
      </c>
      <c r="H1165" s="12">
        <f>IF(OR($B1165="",$C1165="",$G1165=""),"",COUNTIFS(Ventes_Encaissements!$E$6:$E$3005,$B1165,Ventes_Encaissements!$J$6:$J$3005,$G1165,Ventes_Encaissements!$C$6:$C$3005,"&gt;="&amp;($C1165-3),Ventes_Encaissements!$C$6:$C$3005,"&lt;="&amp;($C1165+3)))</f>
        <v/>
      </c>
      <c r="I1165" s="12">
        <f>IF($H1165="","",IF($H1165=0,"Non trouvé",IF($H1165=1,"Match","À vérifier")))</f>
        <v/>
      </c>
      <c r="J1165" s="21">
        <f>IF($I1165&lt;&gt;"Match","",INDEX(Ventes_Encaissements!$B$6:$B$3005,_xludf.AGGREGATE(15,6,(ROW(Ventes_Encaissements!$B$6:$B$3005)-ROW(Ventes_Encaissements!$B$6)+1)/((Ventes_Encaissements!$E$6:$E$3005=$B1165)*(Ventes_Encaissements!$J$6:$J$3005=$G1165)*(Ventes_Encaissements!$C$6:$C$3005&gt;=$C1165-3)*(Ventes_Encaissements!$C$6:$C$3005&lt;=$C1165+3)),1)))</f>
        <v/>
      </c>
      <c r="K1165" s="6" t="n"/>
    </row>
    <row r="1166">
      <c r="A1166" s="6" t="n"/>
      <c r="B1166" s="6" t="n"/>
      <c r="C1166" s="19" t="n"/>
      <c r="D1166" s="19" t="n"/>
      <c r="E1166" s="6" t="n"/>
      <c r="F1166" s="20" t="n"/>
      <c r="G1166" s="9">
        <f>IF($F1166="","",IF($F1166&gt;0,ROUND($F1166,2),""))</f>
        <v/>
      </c>
      <c r="H1166" s="12">
        <f>IF(OR($B1166="",$C1166="",$G1166=""),"",COUNTIFS(Ventes_Encaissements!$E$6:$E$3005,$B1166,Ventes_Encaissements!$J$6:$J$3005,$G1166,Ventes_Encaissements!$C$6:$C$3005,"&gt;="&amp;($C1166-3),Ventes_Encaissements!$C$6:$C$3005,"&lt;="&amp;($C1166+3)))</f>
        <v/>
      </c>
      <c r="I1166" s="12">
        <f>IF($H1166="","",IF($H1166=0,"Non trouvé",IF($H1166=1,"Match","À vérifier")))</f>
        <v/>
      </c>
      <c r="J1166" s="21">
        <f>IF($I1166&lt;&gt;"Match","",INDEX(Ventes_Encaissements!$B$6:$B$3005,_xludf.AGGREGATE(15,6,(ROW(Ventes_Encaissements!$B$6:$B$3005)-ROW(Ventes_Encaissements!$B$6)+1)/((Ventes_Encaissements!$E$6:$E$3005=$B1166)*(Ventes_Encaissements!$J$6:$J$3005=$G1166)*(Ventes_Encaissements!$C$6:$C$3005&gt;=$C1166-3)*(Ventes_Encaissements!$C$6:$C$3005&lt;=$C1166+3)),1)))</f>
        <v/>
      </c>
      <c r="K1166" s="6" t="n"/>
    </row>
    <row r="1167">
      <c r="A1167" s="6" t="n"/>
      <c r="B1167" s="6" t="n"/>
      <c r="C1167" s="19" t="n"/>
      <c r="D1167" s="19" t="n"/>
      <c r="E1167" s="6" t="n"/>
      <c r="F1167" s="20" t="n"/>
      <c r="G1167" s="9">
        <f>IF($F1167="","",IF($F1167&gt;0,ROUND($F1167,2),""))</f>
        <v/>
      </c>
      <c r="H1167" s="12">
        <f>IF(OR($B1167="",$C1167="",$G1167=""),"",COUNTIFS(Ventes_Encaissements!$E$6:$E$3005,$B1167,Ventes_Encaissements!$J$6:$J$3005,$G1167,Ventes_Encaissements!$C$6:$C$3005,"&gt;="&amp;($C1167-3),Ventes_Encaissements!$C$6:$C$3005,"&lt;="&amp;($C1167+3)))</f>
        <v/>
      </c>
      <c r="I1167" s="12">
        <f>IF($H1167="","",IF($H1167=0,"Non trouvé",IF($H1167=1,"Match","À vérifier")))</f>
        <v/>
      </c>
      <c r="J1167" s="21">
        <f>IF($I1167&lt;&gt;"Match","",INDEX(Ventes_Encaissements!$B$6:$B$3005,_xludf.AGGREGATE(15,6,(ROW(Ventes_Encaissements!$B$6:$B$3005)-ROW(Ventes_Encaissements!$B$6)+1)/((Ventes_Encaissements!$E$6:$E$3005=$B1167)*(Ventes_Encaissements!$J$6:$J$3005=$G1167)*(Ventes_Encaissements!$C$6:$C$3005&gt;=$C1167-3)*(Ventes_Encaissements!$C$6:$C$3005&lt;=$C1167+3)),1)))</f>
        <v/>
      </c>
      <c r="K1167" s="6" t="n"/>
    </row>
    <row r="1168">
      <c r="A1168" s="6" t="n"/>
      <c r="B1168" s="6" t="n"/>
      <c r="C1168" s="19" t="n"/>
      <c r="D1168" s="19" t="n"/>
      <c r="E1168" s="6" t="n"/>
      <c r="F1168" s="20" t="n"/>
      <c r="G1168" s="9">
        <f>IF($F1168="","",IF($F1168&gt;0,ROUND($F1168,2),""))</f>
        <v/>
      </c>
      <c r="H1168" s="12">
        <f>IF(OR($B1168="",$C1168="",$G1168=""),"",COUNTIFS(Ventes_Encaissements!$E$6:$E$3005,$B1168,Ventes_Encaissements!$J$6:$J$3005,$G1168,Ventes_Encaissements!$C$6:$C$3005,"&gt;="&amp;($C1168-3),Ventes_Encaissements!$C$6:$C$3005,"&lt;="&amp;($C1168+3)))</f>
        <v/>
      </c>
      <c r="I1168" s="12">
        <f>IF($H1168="","",IF($H1168=0,"Non trouvé",IF($H1168=1,"Match","À vérifier")))</f>
        <v/>
      </c>
      <c r="J1168" s="21">
        <f>IF($I1168&lt;&gt;"Match","",INDEX(Ventes_Encaissements!$B$6:$B$3005,_xludf.AGGREGATE(15,6,(ROW(Ventes_Encaissements!$B$6:$B$3005)-ROW(Ventes_Encaissements!$B$6)+1)/((Ventes_Encaissements!$E$6:$E$3005=$B1168)*(Ventes_Encaissements!$J$6:$J$3005=$G1168)*(Ventes_Encaissements!$C$6:$C$3005&gt;=$C1168-3)*(Ventes_Encaissements!$C$6:$C$3005&lt;=$C1168+3)),1)))</f>
        <v/>
      </c>
      <c r="K1168" s="6" t="n"/>
    </row>
    <row r="1169">
      <c r="A1169" s="6" t="n"/>
      <c r="B1169" s="6" t="n"/>
      <c r="C1169" s="19" t="n"/>
      <c r="D1169" s="19" t="n"/>
      <c r="E1169" s="6" t="n"/>
      <c r="F1169" s="20" t="n"/>
      <c r="G1169" s="9">
        <f>IF($F1169="","",IF($F1169&gt;0,ROUND($F1169,2),""))</f>
        <v/>
      </c>
      <c r="H1169" s="12">
        <f>IF(OR($B1169="",$C1169="",$G1169=""),"",COUNTIFS(Ventes_Encaissements!$E$6:$E$3005,$B1169,Ventes_Encaissements!$J$6:$J$3005,$G1169,Ventes_Encaissements!$C$6:$C$3005,"&gt;="&amp;($C1169-3),Ventes_Encaissements!$C$6:$C$3005,"&lt;="&amp;($C1169+3)))</f>
        <v/>
      </c>
      <c r="I1169" s="12">
        <f>IF($H1169="","",IF($H1169=0,"Non trouvé",IF($H1169=1,"Match","À vérifier")))</f>
        <v/>
      </c>
      <c r="J1169" s="21">
        <f>IF($I1169&lt;&gt;"Match","",INDEX(Ventes_Encaissements!$B$6:$B$3005,_xludf.AGGREGATE(15,6,(ROW(Ventes_Encaissements!$B$6:$B$3005)-ROW(Ventes_Encaissements!$B$6)+1)/((Ventes_Encaissements!$E$6:$E$3005=$B1169)*(Ventes_Encaissements!$J$6:$J$3005=$G1169)*(Ventes_Encaissements!$C$6:$C$3005&gt;=$C1169-3)*(Ventes_Encaissements!$C$6:$C$3005&lt;=$C1169+3)),1)))</f>
        <v/>
      </c>
      <c r="K1169" s="6" t="n"/>
    </row>
    <row r="1170">
      <c r="A1170" s="6" t="n"/>
      <c r="B1170" s="6" t="n"/>
      <c r="C1170" s="19" t="n"/>
      <c r="D1170" s="19" t="n"/>
      <c r="E1170" s="6" t="n"/>
      <c r="F1170" s="20" t="n"/>
      <c r="G1170" s="9">
        <f>IF($F1170="","",IF($F1170&gt;0,ROUND($F1170,2),""))</f>
        <v/>
      </c>
      <c r="H1170" s="12">
        <f>IF(OR($B1170="",$C1170="",$G1170=""),"",COUNTIFS(Ventes_Encaissements!$E$6:$E$3005,$B1170,Ventes_Encaissements!$J$6:$J$3005,$G1170,Ventes_Encaissements!$C$6:$C$3005,"&gt;="&amp;($C1170-3),Ventes_Encaissements!$C$6:$C$3005,"&lt;="&amp;($C1170+3)))</f>
        <v/>
      </c>
      <c r="I1170" s="12">
        <f>IF($H1170="","",IF($H1170=0,"Non trouvé",IF($H1170=1,"Match","À vérifier")))</f>
        <v/>
      </c>
      <c r="J1170" s="21">
        <f>IF($I1170&lt;&gt;"Match","",INDEX(Ventes_Encaissements!$B$6:$B$3005,_xludf.AGGREGATE(15,6,(ROW(Ventes_Encaissements!$B$6:$B$3005)-ROW(Ventes_Encaissements!$B$6)+1)/((Ventes_Encaissements!$E$6:$E$3005=$B1170)*(Ventes_Encaissements!$J$6:$J$3005=$G1170)*(Ventes_Encaissements!$C$6:$C$3005&gt;=$C1170-3)*(Ventes_Encaissements!$C$6:$C$3005&lt;=$C1170+3)),1)))</f>
        <v/>
      </c>
      <c r="K1170" s="6" t="n"/>
    </row>
    <row r="1171">
      <c r="A1171" s="6" t="n"/>
      <c r="B1171" s="6" t="n"/>
      <c r="C1171" s="19" t="n"/>
      <c r="D1171" s="19" t="n"/>
      <c r="E1171" s="6" t="n"/>
      <c r="F1171" s="20" t="n"/>
      <c r="G1171" s="9">
        <f>IF($F1171="","",IF($F1171&gt;0,ROUND($F1171,2),""))</f>
        <v/>
      </c>
      <c r="H1171" s="12">
        <f>IF(OR($B1171="",$C1171="",$G1171=""),"",COUNTIFS(Ventes_Encaissements!$E$6:$E$3005,$B1171,Ventes_Encaissements!$J$6:$J$3005,$G1171,Ventes_Encaissements!$C$6:$C$3005,"&gt;="&amp;($C1171-3),Ventes_Encaissements!$C$6:$C$3005,"&lt;="&amp;($C1171+3)))</f>
        <v/>
      </c>
      <c r="I1171" s="12">
        <f>IF($H1171="","",IF($H1171=0,"Non trouvé",IF($H1171=1,"Match","À vérifier")))</f>
        <v/>
      </c>
      <c r="J1171" s="21">
        <f>IF($I1171&lt;&gt;"Match","",INDEX(Ventes_Encaissements!$B$6:$B$3005,_xludf.AGGREGATE(15,6,(ROW(Ventes_Encaissements!$B$6:$B$3005)-ROW(Ventes_Encaissements!$B$6)+1)/((Ventes_Encaissements!$E$6:$E$3005=$B1171)*(Ventes_Encaissements!$J$6:$J$3005=$G1171)*(Ventes_Encaissements!$C$6:$C$3005&gt;=$C1171-3)*(Ventes_Encaissements!$C$6:$C$3005&lt;=$C1171+3)),1)))</f>
        <v/>
      </c>
      <c r="K1171" s="6" t="n"/>
    </row>
    <row r="1172">
      <c r="A1172" s="6" t="n"/>
      <c r="B1172" s="6" t="n"/>
      <c r="C1172" s="19" t="n"/>
      <c r="D1172" s="19" t="n"/>
      <c r="E1172" s="6" t="n"/>
      <c r="F1172" s="20" t="n"/>
      <c r="G1172" s="9">
        <f>IF($F1172="","",IF($F1172&gt;0,ROUND($F1172,2),""))</f>
        <v/>
      </c>
      <c r="H1172" s="12">
        <f>IF(OR($B1172="",$C1172="",$G1172=""),"",COUNTIFS(Ventes_Encaissements!$E$6:$E$3005,$B1172,Ventes_Encaissements!$J$6:$J$3005,$G1172,Ventes_Encaissements!$C$6:$C$3005,"&gt;="&amp;($C1172-3),Ventes_Encaissements!$C$6:$C$3005,"&lt;="&amp;($C1172+3)))</f>
        <v/>
      </c>
      <c r="I1172" s="12">
        <f>IF($H1172="","",IF($H1172=0,"Non trouvé",IF($H1172=1,"Match","À vérifier")))</f>
        <v/>
      </c>
      <c r="J1172" s="21">
        <f>IF($I1172&lt;&gt;"Match","",INDEX(Ventes_Encaissements!$B$6:$B$3005,_xludf.AGGREGATE(15,6,(ROW(Ventes_Encaissements!$B$6:$B$3005)-ROW(Ventes_Encaissements!$B$6)+1)/((Ventes_Encaissements!$E$6:$E$3005=$B1172)*(Ventes_Encaissements!$J$6:$J$3005=$G1172)*(Ventes_Encaissements!$C$6:$C$3005&gt;=$C1172-3)*(Ventes_Encaissements!$C$6:$C$3005&lt;=$C1172+3)),1)))</f>
        <v/>
      </c>
      <c r="K1172" s="6" t="n"/>
    </row>
    <row r="1173">
      <c r="A1173" s="6" t="n"/>
      <c r="B1173" s="6" t="n"/>
      <c r="C1173" s="19" t="n"/>
      <c r="D1173" s="19" t="n"/>
      <c r="E1173" s="6" t="n"/>
      <c r="F1173" s="20" t="n"/>
      <c r="G1173" s="9">
        <f>IF($F1173="","",IF($F1173&gt;0,ROUND($F1173,2),""))</f>
        <v/>
      </c>
      <c r="H1173" s="12">
        <f>IF(OR($B1173="",$C1173="",$G1173=""),"",COUNTIFS(Ventes_Encaissements!$E$6:$E$3005,$B1173,Ventes_Encaissements!$J$6:$J$3005,$G1173,Ventes_Encaissements!$C$6:$C$3005,"&gt;="&amp;($C1173-3),Ventes_Encaissements!$C$6:$C$3005,"&lt;="&amp;($C1173+3)))</f>
        <v/>
      </c>
      <c r="I1173" s="12">
        <f>IF($H1173="","",IF($H1173=0,"Non trouvé",IF($H1173=1,"Match","À vérifier")))</f>
        <v/>
      </c>
      <c r="J1173" s="21">
        <f>IF($I1173&lt;&gt;"Match","",INDEX(Ventes_Encaissements!$B$6:$B$3005,_xludf.AGGREGATE(15,6,(ROW(Ventes_Encaissements!$B$6:$B$3005)-ROW(Ventes_Encaissements!$B$6)+1)/((Ventes_Encaissements!$E$6:$E$3005=$B1173)*(Ventes_Encaissements!$J$6:$J$3005=$G1173)*(Ventes_Encaissements!$C$6:$C$3005&gt;=$C1173-3)*(Ventes_Encaissements!$C$6:$C$3005&lt;=$C1173+3)),1)))</f>
        <v/>
      </c>
      <c r="K1173" s="6" t="n"/>
    </row>
    <row r="1174">
      <c r="A1174" s="6" t="n"/>
      <c r="B1174" s="6" t="n"/>
      <c r="C1174" s="19" t="n"/>
      <c r="D1174" s="19" t="n"/>
      <c r="E1174" s="6" t="n"/>
      <c r="F1174" s="20" t="n"/>
      <c r="G1174" s="9">
        <f>IF($F1174="","",IF($F1174&gt;0,ROUND($F1174,2),""))</f>
        <v/>
      </c>
      <c r="H1174" s="12">
        <f>IF(OR($B1174="",$C1174="",$G1174=""),"",COUNTIFS(Ventes_Encaissements!$E$6:$E$3005,$B1174,Ventes_Encaissements!$J$6:$J$3005,$G1174,Ventes_Encaissements!$C$6:$C$3005,"&gt;="&amp;($C1174-3),Ventes_Encaissements!$C$6:$C$3005,"&lt;="&amp;($C1174+3)))</f>
        <v/>
      </c>
      <c r="I1174" s="12">
        <f>IF($H1174="","",IF($H1174=0,"Non trouvé",IF($H1174=1,"Match","À vérifier")))</f>
        <v/>
      </c>
      <c r="J1174" s="21">
        <f>IF($I1174&lt;&gt;"Match","",INDEX(Ventes_Encaissements!$B$6:$B$3005,_xludf.AGGREGATE(15,6,(ROW(Ventes_Encaissements!$B$6:$B$3005)-ROW(Ventes_Encaissements!$B$6)+1)/((Ventes_Encaissements!$E$6:$E$3005=$B1174)*(Ventes_Encaissements!$J$6:$J$3005=$G1174)*(Ventes_Encaissements!$C$6:$C$3005&gt;=$C1174-3)*(Ventes_Encaissements!$C$6:$C$3005&lt;=$C1174+3)),1)))</f>
        <v/>
      </c>
      <c r="K1174" s="6" t="n"/>
    </row>
    <row r="1175">
      <c r="A1175" s="6" t="n"/>
      <c r="B1175" s="6" t="n"/>
      <c r="C1175" s="19" t="n"/>
      <c r="D1175" s="19" t="n"/>
      <c r="E1175" s="6" t="n"/>
      <c r="F1175" s="20" t="n"/>
      <c r="G1175" s="9">
        <f>IF($F1175="","",IF($F1175&gt;0,ROUND($F1175,2),""))</f>
        <v/>
      </c>
      <c r="H1175" s="12">
        <f>IF(OR($B1175="",$C1175="",$G1175=""),"",COUNTIFS(Ventes_Encaissements!$E$6:$E$3005,$B1175,Ventes_Encaissements!$J$6:$J$3005,$G1175,Ventes_Encaissements!$C$6:$C$3005,"&gt;="&amp;($C1175-3),Ventes_Encaissements!$C$6:$C$3005,"&lt;="&amp;($C1175+3)))</f>
        <v/>
      </c>
      <c r="I1175" s="12">
        <f>IF($H1175="","",IF($H1175=0,"Non trouvé",IF($H1175=1,"Match","À vérifier")))</f>
        <v/>
      </c>
      <c r="J1175" s="21">
        <f>IF($I1175&lt;&gt;"Match","",INDEX(Ventes_Encaissements!$B$6:$B$3005,_xludf.AGGREGATE(15,6,(ROW(Ventes_Encaissements!$B$6:$B$3005)-ROW(Ventes_Encaissements!$B$6)+1)/((Ventes_Encaissements!$E$6:$E$3005=$B1175)*(Ventes_Encaissements!$J$6:$J$3005=$G1175)*(Ventes_Encaissements!$C$6:$C$3005&gt;=$C1175-3)*(Ventes_Encaissements!$C$6:$C$3005&lt;=$C1175+3)),1)))</f>
        <v/>
      </c>
      <c r="K1175" s="6" t="n"/>
    </row>
    <row r="1176">
      <c r="A1176" s="6" t="n"/>
      <c r="B1176" s="6" t="n"/>
      <c r="C1176" s="19" t="n"/>
      <c r="D1176" s="19" t="n"/>
      <c r="E1176" s="6" t="n"/>
      <c r="F1176" s="20" t="n"/>
      <c r="G1176" s="9">
        <f>IF($F1176="","",IF($F1176&gt;0,ROUND($F1176,2),""))</f>
        <v/>
      </c>
      <c r="H1176" s="12">
        <f>IF(OR($B1176="",$C1176="",$G1176=""),"",COUNTIFS(Ventes_Encaissements!$E$6:$E$3005,$B1176,Ventes_Encaissements!$J$6:$J$3005,$G1176,Ventes_Encaissements!$C$6:$C$3005,"&gt;="&amp;($C1176-3),Ventes_Encaissements!$C$6:$C$3005,"&lt;="&amp;($C1176+3)))</f>
        <v/>
      </c>
      <c r="I1176" s="12">
        <f>IF($H1176="","",IF($H1176=0,"Non trouvé",IF($H1176=1,"Match","À vérifier")))</f>
        <v/>
      </c>
      <c r="J1176" s="21">
        <f>IF($I1176&lt;&gt;"Match","",INDEX(Ventes_Encaissements!$B$6:$B$3005,_xludf.AGGREGATE(15,6,(ROW(Ventes_Encaissements!$B$6:$B$3005)-ROW(Ventes_Encaissements!$B$6)+1)/((Ventes_Encaissements!$E$6:$E$3005=$B1176)*(Ventes_Encaissements!$J$6:$J$3005=$G1176)*(Ventes_Encaissements!$C$6:$C$3005&gt;=$C1176-3)*(Ventes_Encaissements!$C$6:$C$3005&lt;=$C1176+3)),1)))</f>
        <v/>
      </c>
      <c r="K1176" s="6" t="n"/>
    </row>
    <row r="1177">
      <c r="A1177" s="6" t="n"/>
      <c r="B1177" s="6" t="n"/>
      <c r="C1177" s="19" t="n"/>
      <c r="D1177" s="19" t="n"/>
      <c r="E1177" s="6" t="n"/>
      <c r="F1177" s="20" t="n"/>
      <c r="G1177" s="9">
        <f>IF($F1177="","",IF($F1177&gt;0,ROUND($F1177,2),""))</f>
        <v/>
      </c>
      <c r="H1177" s="12">
        <f>IF(OR($B1177="",$C1177="",$G1177=""),"",COUNTIFS(Ventes_Encaissements!$E$6:$E$3005,$B1177,Ventes_Encaissements!$J$6:$J$3005,$G1177,Ventes_Encaissements!$C$6:$C$3005,"&gt;="&amp;($C1177-3),Ventes_Encaissements!$C$6:$C$3005,"&lt;="&amp;($C1177+3)))</f>
        <v/>
      </c>
      <c r="I1177" s="12">
        <f>IF($H1177="","",IF($H1177=0,"Non trouvé",IF($H1177=1,"Match","À vérifier")))</f>
        <v/>
      </c>
      <c r="J1177" s="21">
        <f>IF($I1177&lt;&gt;"Match","",INDEX(Ventes_Encaissements!$B$6:$B$3005,_xludf.AGGREGATE(15,6,(ROW(Ventes_Encaissements!$B$6:$B$3005)-ROW(Ventes_Encaissements!$B$6)+1)/((Ventes_Encaissements!$E$6:$E$3005=$B1177)*(Ventes_Encaissements!$J$6:$J$3005=$G1177)*(Ventes_Encaissements!$C$6:$C$3005&gt;=$C1177-3)*(Ventes_Encaissements!$C$6:$C$3005&lt;=$C1177+3)),1)))</f>
        <v/>
      </c>
      <c r="K1177" s="6" t="n"/>
    </row>
    <row r="1178">
      <c r="A1178" s="6" t="n"/>
      <c r="B1178" s="6" t="n"/>
      <c r="C1178" s="19" t="n"/>
      <c r="D1178" s="19" t="n"/>
      <c r="E1178" s="6" t="n"/>
      <c r="F1178" s="20" t="n"/>
      <c r="G1178" s="9">
        <f>IF($F1178="","",IF($F1178&gt;0,ROUND($F1178,2),""))</f>
        <v/>
      </c>
      <c r="H1178" s="12">
        <f>IF(OR($B1178="",$C1178="",$G1178=""),"",COUNTIFS(Ventes_Encaissements!$E$6:$E$3005,$B1178,Ventes_Encaissements!$J$6:$J$3005,$G1178,Ventes_Encaissements!$C$6:$C$3005,"&gt;="&amp;($C1178-3),Ventes_Encaissements!$C$6:$C$3005,"&lt;="&amp;($C1178+3)))</f>
        <v/>
      </c>
      <c r="I1178" s="12">
        <f>IF($H1178="","",IF($H1178=0,"Non trouvé",IF($H1178=1,"Match","À vérifier")))</f>
        <v/>
      </c>
      <c r="J1178" s="21">
        <f>IF($I1178&lt;&gt;"Match","",INDEX(Ventes_Encaissements!$B$6:$B$3005,_xludf.AGGREGATE(15,6,(ROW(Ventes_Encaissements!$B$6:$B$3005)-ROW(Ventes_Encaissements!$B$6)+1)/((Ventes_Encaissements!$E$6:$E$3005=$B1178)*(Ventes_Encaissements!$J$6:$J$3005=$G1178)*(Ventes_Encaissements!$C$6:$C$3005&gt;=$C1178-3)*(Ventes_Encaissements!$C$6:$C$3005&lt;=$C1178+3)),1)))</f>
        <v/>
      </c>
      <c r="K1178" s="6" t="n"/>
    </row>
    <row r="1179">
      <c r="A1179" s="6" t="n"/>
      <c r="B1179" s="6" t="n"/>
      <c r="C1179" s="19" t="n"/>
      <c r="D1179" s="19" t="n"/>
      <c r="E1179" s="6" t="n"/>
      <c r="F1179" s="20" t="n"/>
      <c r="G1179" s="9">
        <f>IF($F1179="","",IF($F1179&gt;0,ROUND($F1179,2),""))</f>
        <v/>
      </c>
      <c r="H1179" s="12">
        <f>IF(OR($B1179="",$C1179="",$G1179=""),"",COUNTIFS(Ventes_Encaissements!$E$6:$E$3005,$B1179,Ventes_Encaissements!$J$6:$J$3005,$G1179,Ventes_Encaissements!$C$6:$C$3005,"&gt;="&amp;($C1179-3),Ventes_Encaissements!$C$6:$C$3005,"&lt;="&amp;($C1179+3)))</f>
        <v/>
      </c>
      <c r="I1179" s="12">
        <f>IF($H1179="","",IF($H1179=0,"Non trouvé",IF($H1179=1,"Match","À vérifier")))</f>
        <v/>
      </c>
      <c r="J1179" s="21">
        <f>IF($I1179&lt;&gt;"Match","",INDEX(Ventes_Encaissements!$B$6:$B$3005,_xludf.AGGREGATE(15,6,(ROW(Ventes_Encaissements!$B$6:$B$3005)-ROW(Ventes_Encaissements!$B$6)+1)/((Ventes_Encaissements!$E$6:$E$3005=$B1179)*(Ventes_Encaissements!$J$6:$J$3005=$G1179)*(Ventes_Encaissements!$C$6:$C$3005&gt;=$C1179-3)*(Ventes_Encaissements!$C$6:$C$3005&lt;=$C1179+3)),1)))</f>
        <v/>
      </c>
      <c r="K1179" s="6" t="n"/>
    </row>
    <row r="1180">
      <c r="A1180" s="6" t="n"/>
      <c r="B1180" s="6" t="n"/>
      <c r="C1180" s="19" t="n"/>
      <c r="D1180" s="19" t="n"/>
      <c r="E1180" s="6" t="n"/>
      <c r="F1180" s="20" t="n"/>
      <c r="G1180" s="9">
        <f>IF($F1180="","",IF($F1180&gt;0,ROUND($F1180,2),""))</f>
        <v/>
      </c>
      <c r="H1180" s="12">
        <f>IF(OR($B1180="",$C1180="",$G1180=""),"",COUNTIFS(Ventes_Encaissements!$E$6:$E$3005,$B1180,Ventes_Encaissements!$J$6:$J$3005,$G1180,Ventes_Encaissements!$C$6:$C$3005,"&gt;="&amp;($C1180-3),Ventes_Encaissements!$C$6:$C$3005,"&lt;="&amp;($C1180+3)))</f>
        <v/>
      </c>
      <c r="I1180" s="12">
        <f>IF($H1180="","",IF($H1180=0,"Non trouvé",IF($H1180=1,"Match","À vérifier")))</f>
        <v/>
      </c>
      <c r="J1180" s="21">
        <f>IF($I1180&lt;&gt;"Match","",INDEX(Ventes_Encaissements!$B$6:$B$3005,_xludf.AGGREGATE(15,6,(ROW(Ventes_Encaissements!$B$6:$B$3005)-ROW(Ventes_Encaissements!$B$6)+1)/((Ventes_Encaissements!$E$6:$E$3005=$B1180)*(Ventes_Encaissements!$J$6:$J$3005=$G1180)*(Ventes_Encaissements!$C$6:$C$3005&gt;=$C1180-3)*(Ventes_Encaissements!$C$6:$C$3005&lt;=$C1180+3)),1)))</f>
        <v/>
      </c>
      <c r="K1180" s="6" t="n"/>
    </row>
    <row r="1181">
      <c r="A1181" s="6" t="n"/>
      <c r="B1181" s="6" t="n"/>
      <c r="C1181" s="19" t="n"/>
      <c r="D1181" s="19" t="n"/>
      <c r="E1181" s="6" t="n"/>
      <c r="F1181" s="20" t="n"/>
      <c r="G1181" s="9">
        <f>IF($F1181="","",IF($F1181&gt;0,ROUND($F1181,2),""))</f>
        <v/>
      </c>
      <c r="H1181" s="12">
        <f>IF(OR($B1181="",$C1181="",$G1181=""),"",COUNTIFS(Ventes_Encaissements!$E$6:$E$3005,$B1181,Ventes_Encaissements!$J$6:$J$3005,$G1181,Ventes_Encaissements!$C$6:$C$3005,"&gt;="&amp;($C1181-3),Ventes_Encaissements!$C$6:$C$3005,"&lt;="&amp;($C1181+3)))</f>
        <v/>
      </c>
      <c r="I1181" s="12">
        <f>IF($H1181="","",IF($H1181=0,"Non trouvé",IF($H1181=1,"Match","À vérifier")))</f>
        <v/>
      </c>
      <c r="J1181" s="21">
        <f>IF($I1181&lt;&gt;"Match","",INDEX(Ventes_Encaissements!$B$6:$B$3005,_xludf.AGGREGATE(15,6,(ROW(Ventes_Encaissements!$B$6:$B$3005)-ROW(Ventes_Encaissements!$B$6)+1)/((Ventes_Encaissements!$E$6:$E$3005=$B1181)*(Ventes_Encaissements!$J$6:$J$3005=$G1181)*(Ventes_Encaissements!$C$6:$C$3005&gt;=$C1181-3)*(Ventes_Encaissements!$C$6:$C$3005&lt;=$C1181+3)),1)))</f>
        <v/>
      </c>
      <c r="K1181" s="6" t="n"/>
    </row>
    <row r="1182">
      <c r="A1182" s="6" t="n"/>
      <c r="B1182" s="6" t="n"/>
      <c r="C1182" s="19" t="n"/>
      <c r="D1182" s="19" t="n"/>
      <c r="E1182" s="6" t="n"/>
      <c r="F1182" s="20" t="n"/>
      <c r="G1182" s="9">
        <f>IF($F1182="","",IF($F1182&gt;0,ROUND($F1182,2),""))</f>
        <v/>
      </c>
      <c r="H1182" s="12">
        <f>IF(OR($B1182="",$C1182="",$G1182=""),"",COUNTIFS(Ventes_Encaissements!$E$6:$E$3005,$B1182,Ventes_Encaissements!$J$6:$J$3005,$G1182,Ventes_Encaissements!$C$6:$C$3005,"&gt;="&amp;($C1182-3),Ventes_Encaissements!$C$6:$C$3005,"&lt;="&amp;($C1182+3)))</f>
        <v/>
      </c>
      <c r="I1182" s="12">
        <f>IF($H1182="","",IF($H1182=0,"Non trouvé",IF($H1182=1,"Match","À vérifier")))</f>
        <v/>
      </c>
      <c r="J1182" s="21">
        <f>IF($I1182&lt;&gt;"Match","",INDEX(Ventes_Encaissements!$B$6:$B$3005,_xludf.AGGREGATE(15,6,(ROW(Ventes_Encaissements!$B$6:$B$3005)-ROW(Ventes_Encaissements!$B$6)+1)/((Ventes_Encaissements!$E$6:$E$3005=$B1182)*(Ventes_Encaissements!$J$6:$J$3005=$G1182)*(Ventes_Encaissements!$C$6:$C$3005&gt;=$C1182-3)*(Ventes_Encaissements!$C$6:$C$3005&lt;=$C1182+3)),1)))</f>
        <v/>
      </c>
      <c r="K1182" s="6" t="n"/>
    </row>
    <row r="1183">
      <c r="A1183" s="6" t="n"/>
      <c r="B1183" s="6" t="n"/>
      <c r="C1183" s="19" t="n"/>
      <c r="D1183" s="19" t="n"/>
      <c r="E1183" s="6" t="n"/>
      <c r="F1183" s="20" t="n"/>
      <c r="G1183" s="9">
        <f>IF($F1183="","",IF($F1183&gt;0,ROUND($F1183,2),""))</f>
        <v/>
      </c>
      <c r="H1183" s="12">
        <f>IF(OR($B1183="",$C1183="",$G1183=""),"",COUNTIFS(Ventes_Encaissements!$E$6:$E$3005,$B1183,Ventes_Encaissements!$J$6:$J$3005,$G1183,Ventes_Encaissements!$C$6:$C$3005,"&gt;="&amp;($C1183-3),Ventes_Encaissements!$C$6:$C$3005,"&lt;="&amp;($C1183+3)))</f>
        <v/>
      </c>
      <c r="I1183" s="12">
        <f>IF($H1183="","",IF($H1183=0,"Non trouvé",IF($H1183=1,"Match","À vérifier")))</f>
        <v/>
      </c>
      <c r="J1183" s="21">
        <f>IF($I1183&lt;&gt;"Match","",INDEX(Ventes_Encaissements!$B$6:$B$3005,_xludf.AGGREGATE(15,6,(ROW(Ventes_Encaissements!$B$6:$B$3005)-ROW(Ventes_Encaissements!$B$6)+1)/((Ventes_Encaissements!$E$6:$E$3005=$B1183)*(Ventes_Encaissements!$J$6:$J$3005=$G1183)*(Ventes_Encaissements!$C$6:$C$3005&gt;=$C1183-3)*(Ventes_Encaissements!$C$6:$C$3005&lt;=$C1183+3)),1)))</f>
        <v/>
      </c>
      <c r="K1183" s="6" t="n"/>
    </row>
    <row r="1184">
      <c r="A1184" s="6" t="n"/>
      <c r="B1184" s="6" t="n"/>
      <c r="C1184" s="19" t="n"/>
      <c r="D1184" s="19" t="n"/>
      <c r="E1184" s="6" t="n"/>
      <c r="F1184" s="20" t="n"/>
      <c r="G1184" s="9">
        <f>IF($F1184="","",IF($F1184&gt;0,ROUND($F1184,2),""))</f>
        <v/>
      </c>
      <c r="H1184" s="12">
        <f>IF(OR($B1184="",$C1184="",$G1184=""),"",COUNTIFS(Ventes_Encaissements!$E$6:$E$3005,$B1184,Ventes_Encaissements!$J$6:$J$3005,$G1184,Ventes_Encaissements!$C$6:$C$3005,"&gt;="&amp;($C1184-3),Ventes_Encaissements!$C$6:$C$3005,"&lt;="&amp;($C1184+3)))</f>
        <v/>
      </c>
      <c r="I1184" s="12">
        <f>IF($H1184="","",IF($H1184=0,"Non trouvé",IF($H1184=1,"Match","À vérifier")))</f>
        <v/>
      </c>
      <c r="J1184" s="21">
        <f>IF($I1184&lt;&gt;"Match","",INDEX(Ventes_Encaissements!$B$6:$B$3005,_xludf.AGGREGATE(15,6,(ROW(Ventes_Encaissements!$B$6:$B$3005)-ROW(Ventes_Encaissements!$B$6)+1)/((Ventes_Encaissements!$E$6:$E$3005=$B1184)*(Ventes_Encaissements!$J$6:$J$3005=$G1184)*(Ventes_Encaissements!$C$6:$C$3005&gt;=$C1184-3)*(Ventes_Encaissements!$C$6:$C$3005&lt;=$C1184+3)),1)))</f>
        <v/>
      </c>
      <c r="K1184" s="6" t="n"/>
    </row>
    <row r="1185">
      <c r="A1185" s="6" t="n"/>
      <c r="B1185" s="6" t="n"/>
      <c r="C1185" s="19" t="n"/>
      <c r="D1185" s="19" t="n"/>
      <c r="E1185" s="6" t="n"/>
      <c r="F1185" s="20" t="n"/>
      <c r="G1185" s="9">
        <f>IF($F1185="","",IF($F1185&gt;0,ROUND($F1185,2),""))</f>
        <v/>
      </c>
      <c r="H1185" s="12">
        <f>IF(OR($B1185="",$C1185="",$G1185=""),"",COUNTIFS(Ventes_Encaissements!$E$6:$E$3005,$B1185,Ventes_Encaissements!$J$6:$J$3005,$G1185,Ventes_Encaissements!$C$6:$C$3005,"&gt;="&amp;($C1185-3),Ventes_Encaissements!$C$6:$C$3005,"&lt;="&amp;($C1185+3)))</f>
        <v/>
      </c>
      <c r="I1185" s="12">
        <f>IF($H1185="","",IF($H1185=0,"Non trouvé",IF($H1185=1,"Match","À vérifier")))</f>
        <v/>
      </c>
      <c r="J1185" s="21">
        <f>IF($I1185&lt;&gt;"Match","",INDEX(Ventes_Encaissements!$B$6:$B$3005,_xludf.AGGREGATE(15,6,(ROW(Ventes_Encaissements!$B$6:$B$3005)-ROW(Ventes_Encaissements!$B$6)+1)/((Ventes_Encaissements!$E$6:$E$3005=$B1185)*(Ventes_Encaissements!$J$6:$J$3005=$G1185)*(Ventes_Encaissements!$C$6:$C$3005&gt;=$C1185-3)*(Ventes_Encaissements!$C$6:$C$3005&lt;=$C1185+3)),1)))</f>
        <v/>
      </c>
      <c r="K1185" s="6" t="n"/>
    </row>
    <row r="1186">
      <c r="A1186" s="6" t="n"/>
      <c r="B1186" s="6" t="n"/>
      <c r="C1186" s="19" t="n"/>
      <c r="D1186" s="19" t="n"/>
      <c r="E1186" s="6" t="n"/>
      <c r="F1186" s="20" t="n"/>
      <c r="G1186" s="9">
        <f>IF($F1186="","",IF($F1186&gt;0,ROUND($F1186,2),""))</f>
        <v/>
      </c>
      <c r="H1186" s="12">
        <f>IF(OR($B1186="",$C1186="",$G1186=""),"",COUNTIFS(Ventes_Encaissements!$E$6:$E$3005,$B1186,Ventes_Encaissements!$J$6:$J$3005,$G1186,Ventes_Encaissements!$C$6:$C$3005,"&gt;="&amp;($C1186-3),Ventes_Encaissements!$C$6:$C$3005,"&lt;="&amp;($C1186+3)))</f>
        <v/>
      </c>
      <c r="I1186" s="12">
        <f>IF($H1186="","",IF($H1186=0,"Non trouvé",IF($H1186=1,"Match","À vérifier")))</f>
        <v/>
      </c>
      <c r="J1186" s="21">
        <f>IF($I1186&lt;&gt;"Match","",INDEX(Ventes_Encaissements!$B$6:$B$3005,_xludf.AGGREGATE(15,6,(ROW(Ventes_Encaissements!$B$6:$B$3005)-ROW(Ventes_Encaissements!$B$6)+1)/((Ventes_Encaissements!$E$6:$E$3005=$B1186)*(Ventes_Encaissements!$J$6:$J$3005=$G1186)*(Ventes_Encaissements!$C$6:$C$3005&gt;=$C1186-3)*(Ventes_Encaissements!$C$6:$C$3005&lt;=$C1186+3)),1)))</f>
        <v/>
      </c>
      <c r="K1186" s="6" t="n"/>
    </row>
    <row r="1187">
      <c r="A1187" s="6" t="n"/>
      <c r="B1187" s="6" t="n"/>
      <c r="C1187" s="19" t="n"/>
      <c r="D1187" s="19" t="n"/>
      <c r="E1187" s="6" t="n"/>
      <c r="F1187" s="20" t="n"/>
      <c r="G1187" s="9">
        <f>IF($F1187="","",IF($F1187&gt;0,ROUND($F1187,2),""))</f>
        <v/>
      </c>
      <c r="H1187" s="12">
        <f>IF(OR($B1187="",$C1187="",$G1187=""),"",COUNTIFS(Ventes_Encaissements!$E$6:$E$3005,$B1187,Ventes_Encaissements!$J$6:$J$3005,$G1187,Ventes_Encaissements!$C$6:$C$3005,"&gt;="&amp;($C1187-3),Ventes_Encaissements!$C$6:$C$3005,"&lt;="&amp;($C1187+3)))</f>
        <v/>
      </c>
      <c r="I1187" s="12">
        <f>IF($H1187="","",IF($H1187=0,"Non trouvé",IF($H1187=1,"Match","À vérifier")))</f>
        <v/>
      </c>
      <c r="J1187" s="21">
        <f>IF($I1187&lt;&gt;"Match","",INDEX(Ventes_Encaissements!$B$6:$B$3005,_xludf.AGGREGATE(15,6,(ROW(Ventes_Encaissements!$B$6:$B$3005)-ROW(Ventes_Encaissements!$B$6)+1)/((Ventes_Encaissements!$E$6:$E$3005=$B1187)*(Ventes_Encaissements!$J$6:$J$3005=$G1187)*(Ventes_Encaissements!$C$6:$C$3005&gt;=$C1187-3)*(Ventes_Encaissements!$C$6:$C$3005&lt;=$C1187+3)),1)))</f>
        <v/>
      </c>
      <c r="K1187" s="6" t="n"/>
    </row>
    <row r="1188">
      <c r="A1188" s="6" t="n"/>
      <c r="B1188" s="6" t="n"/>
      <c r="C1188" s="19" t="n"/>
      <c r="D1188" s="19" t="n"/>
      <c r="E1188" s="6" t="n"/>
      <c r="F1188" s="20" t="n"/>
      <c r="G1188" s="9">
        <f>IF($F1188="","",IF($F1188&gt;0,ROUND($F1188,2),""))</f>
        <v/>
      </c>
      <c r="H1188" s="12">
        <f>IF(OR($B1188="",$C1188="",$G1188=""),"",COUNTIFS(Ventes_Encaissements!$E$6:$E$3005,$B1188,Ventes_Encaissements!$J$6:$J$3005,$G1188,Ventes_Encaissements!$C$6:$C$3005,"&gt;="&amp;($C1188-3),Ventes_Encaissements!$C$6:$C$3005,"&lt;="&amp;($C1188+3)))</f>
        <v/>
      </c>
      <c r="I1188" s="12">
        <f>IF($H1188="","",IF($H1188=0,"Non trouvé",IF($H1188=1,"Match","À vérifier")))</f>
        <v/>
      </c>
      <c r="J1188" s="21">
        <f>IF($I1188&lt;&gt;"Match","",INDEX(Ventes_Encaissements!$B$6:$B$3005,_xludf.AGGREGATE(15,6,(ROW(Ventes_Encaissements!$B$6:$B$3005)-ROW(Ventes_Encaissements!$B$6)+1)/((Ventes_Encaissements!$E$6:$E$3005=$B1188)*(Ventes_Encaissements!$J$6:$J$3005=$G1188)*(Ventes_Encaissements!$C$6:$C$3005&gt;=$C1188-3)*(Ventes_Encaissements!$C$6:$C$3005&lt;=$C1188+3)),1)))</f>
        <v/>
      </c>
      <c r="K1188" s="6" t="n"/>
    </row>
    <row r="1189">
      <c r="A1189" s="6" t="n"/>
      <c r="B1189" s="6" t="n"/>
      <c r="C1189" s="19" t="n"/>
      <c r="D1189" s="19" t="n"/>
      <c r="E1189" s="6" t="n"/>
      <c r="F1189" s="20" t="n"/>
      <c r="G1189" s="9">
        <f>IF($F1189="","",IF($F1189&gt;0,ROUND($F1189,2),""))</f>
        <v/>
      </c>
      <c r="H1189" s="12">
        <f>IF(OR($B1189="",$C1189="",$G1189=""),"",COUNTIFS(Ventes_Encaissements!$E$6:$E$3005,$B1189,Ventes_Encaissements!$J$6:$J$3005,$G1189,Ventes_Encaissements!$C$6:$C$3005,"&gt;="&amp;($C1189-3),Ventes_Encaissements!$C$6:$C$3005,"&lt;="&amp;($C1189+3)))</f>
        <v/>
      </c>
      <c r="I1189" s="12">
        <f>IF($H1189="","",IF($H1189=0,"Non trouvé",IF($H1189=1,"Match","À vérifier")))</f>
        <v/>
      </c>
      <c r="J1189" s="21">
        <f>IF($I1189&lt;&gt;"Match","",INDEX(Ventes_Encaissements!$B$6:$B$3005,_xludf.AGGREGATE(15,6,(ROW(Ventes_Encaissements!$B$6:$B$3005)-ROW(Ventes_Encaissements!$B$6)+1)/((Ventes_Encaissements!$E$6:$E$3005=$B1189)*(Ventes_Encaissements!$J$6:$J$3005=$G1189)*(Ventes_Encaissements!$C$6:$C$3005&gt;=$C1189-3)*(Ventes_Encaissements!$C$6:$C$3005&lt;=$C1189+3)),1)))</f>
        <v/>
      </c>
      <c r="K1189" s="6" t="n"/>
    </row>
    <row r="1190">
      <c r="A1190" s="6" t="n"/>
      <c r="B1190" s="6" t="n"/>
      <c r="C1190" s="19" t="n"/>
      <c r="D1190" s="19" t="n"/>
      <c r="E1190" s="6" t="n"/>
      <c r="F1190" s="20" t="n"/>
      <c r="G1190" s="9">
        <f>IF($F1190="","",IF($F1190&gt;0,ROUND($F1190,2),""))</f>
        <v/>
      </c>
      <c r="H1190" s="12">
        <f>IF(OR($B1190="",$C1190="",$G1190=""),"",COUNTIFS(Ventes_Encaissements!$E$6:$E$3005,$B1190,Ventes_Encaissements!$J$6:$J$3005,$G1190,Ventes_Encaissements!$C$6:$C$3005,"&gt;="&amp;($C1190-3),Ventes_Encaissements!$C$6:$C$3005,"&lt;="&amp;($C1190+3)))</f>
        <v/>
      </c>
      <c r="I1190" s="12">
        <f>IF($H1190="","",IF($H1190=0,"Non trouvé",IF($H1190=1,"Match","À vérifier")))</f>
        <v/>
      </c>
      <c r="J1190" s="21">
        <f>IF($I1190&lt;&gt;"Match","",INDEX(Ventes_Encaissements!$B$6:$B$3005,_xludf.AGGREGATE(15,6,(ROW(Ventes_Encaissements!$B$6:$B$3005)-ROW(Ventes_Encaissements!$B$6)+1)/((Ventes_Encaissements!$E$6:$E$3005=$B1190)*(Ventes_Encaissements!$J$6:$J$3005=$G1190)*(Ventes_Encaissements!$C$6:$C$3005&gt;=$C1190-3)*(Ventes_Encaissements!$C$6:$C$3005&lt;=$C1190+3)),1)))</f>
        <v/>
      </c>
      <c r="K1190" s="6" t="n"/>
    </row>
    <row r="1191">
      <c r="A1191" s="6" t="n"/>
      <c r="B1191" s="6" t="n"/>
      <c r="C1191" s="19" t="n"/>
      <c r="D1191" s="19" t="n"/>
      <c r="E1191" s="6" t="n"/>
      <c r="F1191" s="20" t="n"/>
      <c r="G1191" s="9">
        <f>IF($F1191="","",IF($F1191&gt;0,ROUND($F1191,2),""))</f>
        <v/>
      </c>
      <c r="H1191" s="12">
        <f>IF(OR($B1191="",$C1191="",$G1191=""),"",COUNTIFS(Ventes_Encaissements!$E$6:$E$3005,$B1191,Ventes_Encaissements!$J$6:$J$3005,$G1191,Ventes_Encaissements!$C$6:$C$3005,"&gt;="&amp;($C1191-3),Ventes_Encaissements!$C$6:$C$3005,"&lt;="&amp;($C1191+3)))</f>
        <v/>
      </c>
      <c r="I1191" s="12">
        <f>IF($H1191="","",IF($H1191=0,"Non trouvé",IF($H1191=1,"Match","À vérifier")))</f>
        <v/>
      </c>
      <c r="J1191" s="21">
        <f>IF($I1191&lt;&gt;"Match","",INDEX(Ventes_Encaissements!$B$6:$B$3005,_xludf.AGGREGATE(15,6,(ROW(Ventes_Encaissements!$B$6:$B$3005)-ROW(Ventes_Encaissements!$B$6)+1)/((Ventes_Encaissements!$E$6:$E$3005=$B1191)*(Ventes_Encaissements!$J$6:$J$3005=$G1191)*(Ventes_Encaissements!$C$6:$C$3005&gt;=$C1191-3)*(Ventes_Encaissements!$C$6:$C$3005&lt;=$C1191+3)),1)))</f>
        <v/>
      </c>
      <c r="K1191" s="6" t="n"/>
    </row>
    <row r="1192">
      <c r="A1192" s="6" t="n"/>
      <c r="B1192" s="6" t="n"/>
      <c r="C1192" s="19" t="n"/>
      <c r="D1192" s="19" t="n"/>
      <c r="E1192" s="6" t="n"/>
      <c r="F1192" s="20" t="n"/>
      <c r="G1192" s="9">
        <f>IF($F1192="","",IF($F1192&gt;0,ROUND($F1192,2),""))</f>
        <v/>
      </c>
      <c r="H1192" s="12">
        <f>IF(OR($B1192="",$C1192="",$G1192=""),"",COUNTIFS(Ventes_Encaissements!$E$6:$E$3005,$B1192,Ventes_Encaissements!$J$6:$J$3005,$G1192,Ventes_Encaissements!$C$6:$C$3005,"&gt;="&amp;($C1192-3),Ventes_Encaissements!$C$6:$C$3005,"&lt;="&amp;($C1192+3)))</f>
        <v/>
      </c>
      <c r="I1192" s="12">
        <f>IF($H1192="","",IF($H1192=0,"Non trouvé",IF($H1192=1,"Match","À vérifier")))</f>
        <v/>
      </c>
      <c r="J1192" s="21">
        <f>IF($I1192&lt;&gt;"Match","",INDEX(Ventes_Encaissements!$B$6:$B$3005,_xludf.AGGREGATE(15,6,(ROW(Ventes_Encaissements!$B$6:$B$3005)-ROW(Ventes_Encaissements!$B$6)+1)/((Ventes_Encaissements!$E$6:$E$3005=$B1192)*(Ventes_Encaissements!$J$6:$J$3005=$G1192)*(Ventes_Encaissements!$C$6:$C$3005&gt;=$C1192-3)*(Ventes_Encaissements!$C$6:$C$3005&lt;=$C1192+3)),1)))</f>
        <v/>
      </c>
      <c r="K1192" s="6" t="n"/>
    </row>
    <row r="1193">
      <c r="A1193" s="6" t="n"/>
      <c r="B1193" s="6" t="n"/>
      <c r="C1193" s="19" t="n"/>
      <c r="D1193" s="19" t="n"/>
      <c r="E1193" s="6" t="n"/>
      <c r="F1193" s="20" t="n"/>
      <c r="G1193" s="9">
        <f>IF($F1193="","",IF($F1193&gt;0,ROUND($F1193,2),""))</f>
        <v/>
      </c>
      <c r="H1193" s="12">
        <f>IF(OR($B1193="",$C1193="",$G1193=""),"",COUNTIFS(Ventes_Encaissements!$E$6:$E$3005,$B1193,Ventes_Encaissements!$J$6:$J$3005,$G1193,Ventes_Encaissements!$C$6:$C$3005,"&gt;="&amp;($C1193-3),Ventes_Encaissements!$C$6:$C$3005,"&lt;="&amp;($C1193+3)))</f>
        <v/>
      </c>
      <c r="I1193" s="12">
        <f>IF($H1193="","",IF($H1193=0,"Non trouvé",IF($H1193=1,"Match","À vérifier")))</f>
        <v/>
      </c>
      <c r="J1193" s="21">
        <f>IF($I1193&lt;&gt;"Match","",INDEX(Ventes_Encaissements!$B$6:$B$3005,_xludf.AGGREGATE(15,6,(ROW(Ventes_Encaissements!$B$6:$B$3005)-ROW(Ventes_Encaissements!$B$6)+1)/((Ventes_Encaissements!$E$6:$E$3005=$B1193)*(Ventes_Encaissements!$J$6:$J$3005=$G1193)*(Ventes_Encaissements!$C$6:$C$3005&gt;=$C1193-3)*(Ventes_Encaissements!$C$6:$C$3005&lt;=$C1193+3)),1)))</f>
        <v/>
      </c>
      <c r="K1193" s="6" t="n"/>
    </row>
    <row r="1194">
      <c r="A1194" s="6" t="n"/>
      <c r="B1194" s="6" t="n"/>
      <c r="C1194" s="19" t="n"/>
      <c r="D1194" s="19" t="n"/>
      <c r="E1194" s="6" t="n"/>
      <c r="F1194" s="20" t="n"/>
      <c r="G1194" s="9">
        <f>IF($F1194="","",IF($F1194&gt;0,ROUND($F1194,2),""))</f>
        <v/>
      </c>
      <c r="H1194" s="12">
        <f>IF(OR($B1194="",$C1194="",$G1194=""),"",COUNTIFS(Ventes_Encaissements!$E$6:$E$3005,$B1194,Ventes_Encaissements!$J$6:$J$3005,$G1194,Ventes_Encaissements!$C$6:$C$3005,"&gt;="&amp;($C1194-3),Ventes_Encaissements!$C$6:$C$3005,"&lt;="&amp;($C1194+3)))</f>
        <v/>
      </c>
      <c r="I1194" s="12">
        <f>IF($H1194="","",IF($H1194=0,"Non trouvé",IF($H1194=1,"Match","À vérifier")))</f>
        <v/>
      </c>
      <c r="J1194" s="21">
        <f>IF($I1194&lt;&gt;"Match","",INDEX(Ventes_Encaissements!$B$6:$B$3005,_xludf.AGGREGATE(15,6,(ROW(Ventes_Encaissements!$B$6:$B$3005)-ROW(Ventes_Encaissements!$B$6)+1)/((Ventes_Encaissements!$E$6:$E$3005=$B1194)*(Ventes_Encaissements!$J$6:$J$3005=$G1194)*(Ventes_Encaissements!$C$6:$C$3005&gt;=$C1194-3)*(Ventes_Encaissements!$C$6:$C$3005&lt;=$C1194+3)),1)))</f>
        <v/>
      </c>
      <c r="K1194" s="6" t="n"/>
    </row>
    <row r="1195">
      <c r="A1195" s="6" t="n"/>
      <c r="B1195" s="6" t="n"/>
      <c r="C1195" s="19" t="n"/>
      <c r="D1195" s="19" t="n"/>
      <c r="E1195" s="6" t="n"/>
      <c r="F1195" s="20" t="n"/>
      <c r="G1195" s="9">
        <f>IF($F1195="","",IF($F1195&gt;0,ROUND($F1195,2),""))</f>
        <v/>
      </c>
      <c r="H1195" s="12">
        <f>IF(OR($B1195="",$C1195="",$G1195=""),"",COUNTIFS(Ventes_Encaissements!$E$6:$E$3005,$B1195,Ventes_Encaissements!$J$6:$J$3005,$G1195,Ventes_Encaissements!$C$6:$C$3005,"&gt;="&amp;($C1195-3),Ventes_Encaissements!$C$6:$C$3005,"&lt;="&amp;($C1195+3)))</f>
        <v/>
      </c>
      <c r="I1195" s="12">
        <f>IF($H1195="","",IF($H1195=0,"Non trouvé",IF($H1195=1,"Match","À vérifier")))</f>
        <v/>
      </c>
      <c r="J1195" s="21">
        <f>IF($I1195&lt;&gt;"Match","",INDEX(Ventes_Encaissements!$B$6:$B$3005,_xludf.AGGREGATE(15,6,(ROW(Ventes_Encaissements!$B$6:$B$3005)-ROW(Ventes_Encaissements!$B$6)+1)/((Ventes_Encaissements!$E$6:$E$3005=$B1195)*(Ventes_Encaissements!$J$6:$J$3005=$G1195)*(Ventes_Encaissements!$C$6:$C$3005&gt;=$C1195-3)*(Ventes_Encaissements!$C$6:$C$3005&lt;=$C1195+3)),1)))</f>
        <v/>
      </c>
      <c r="K1195" s="6" t="n"/>
    </row>
    <row r="1196">
      <c r="A1196" s="6" t="n"/>
      <c r="B1196" s="6" t="n"/>
      <c r="C1196" s="19" t="n"/>
      <c r="D1196" s="19" t="n"/>
      <c r="E1196" s="6" t="n"/>
      <c r="F1196" s="20" t="n"/>
      <c r="G1196" s="9">
        <f>IF($F1196="","",IF($F1196&gt;0,ROUND($F1196,2),""))</f>
        <v/>
      </c>
      <c r="H1196" s="12">
        <f>IF(OR($B1196="",$C1196="",$G1196=""),"",COUNTIFS(Ventes_Encaissements!$E$6:$E$3005,$B1196,Ventes_Encaissements!$J$6:$J$3005,$G1196,Ventes_Encaissements!$C$6:$C$3005,"&gt;="&amp;($C1196-3),Ventes_Encaissements!$C$6:$C$3005,"&lt;="&amp;($C1196+3)))</f>
        <v/>
      </c>
      <c r="I1196" s="12">
        <f>IF($H1196="","",IF($H1196=0,"Non trouvé",IF($H1196=1,"Match","À vérifier")))</f>
        <v/>
      </c>
      <c r="J1196" s="21">
        <f>IF($I1196&lt;&gt;"Match","",INDEX(Ventes_Encaissements!$B$6:$B$3005,_xludf.AGGREGATE(15,6,(ROW(Ventes_Encaissements!$B$6:$B$3005)-ROW(Ventes_Encaissements!$B$6)+1)/((Ventes_Encaissements!$E$6:$E$3005=$B1196)*(Ventes_Encaissements!$J$6:$J$3005=$G1196)*(Ventes_Encaissements!$C$6:$C$3005&gt;=$C1196-3)*(Ventes_Encaissements!$C$6:$C$3005&lt;=$C1196+3)),1)))</f>
        <v/>
      </c>
      <c r="K1196" s="6" t="n"/>
    </row>
    <row r="1197">
      <c r="A1197" s="6" t="n"/>
      <c r="B1197" s="6" t="n"/>
      <c r="C1197" s="19" t="n"/>
      <c r="D1197" s="19" t="n"/>
      <c r="E1197" s="6" t="n"/>
      <c r="F1197" s="20" t="n"/>
      <c r="G1197" s="9">
        <f>IF($F1197="","",IF($F1197&gt;0,ROUND($F1197,2),""))</f>
        <v/>
      </c>
      <c r="H1197" s="12">
        <f>IF(OR($B1197="",$C1197="",$G1197=""),"",COUNTIFS(Ventes_Encaissements!$E$6:$E$3005,$B1197,Ventes_Encaissements!$J$6:$J$3005,$G1197,Ventes_Encaissements!$C$6:$C$3005,"&gt;="&amp;($C1197-3),Ventes_Encaissements!$C$6:$C$3005,"&lt;="&amp;($C1197+3)))</f>
        <v/>
      </c>
      <c r="I1197" s="12">
        <f>IF($H1197="","",IF($H1197=0,"Non trouvé",IF($H1197=1,"Match","À vérifier")))</f>
        <v/>
      </c>
      <c r="J1197" s="21">
        <f>IF($I1197&lt;&gt;"Match","",INDEX(Ventes_Encaissements!$B$6:$B$3005,_xludf.AGGREGATE(15,6,(ROW(Ventes_Encaissements!$B$6:$B$3005)-ROW(Ventes_Encaissements!$B$6)+1)/((Ventes_Encaissements!$E$6:$E$3005=$B1197)*(Ventes_Encaissements!$J$6:$J$3005=$G1197)*(Ventes_Encaissements!$C$6:$C$3005&gt;=$C1197-3)*(Ventes_Encaissements!$C$6:$C$3005&lt;=$C1197+3)),1)))</f>
        <v/>
      </c>
      <c r="K1197" s="6" t="n"/>
    </row>
    <row r="1198">
      <c r="A1198" s="6" t="n"/>
      <c r="B1198" s="6" t="n"/>
      <c r="C1198" s="19" t="n"/>
      <c r="D1198" s="19" t="n"/>
      <c r="E1198" s="6" t="n"/>
      <c r="F1198" s="20" t="n"/>
      <c r="G1198" s="9">
        <f>IF($F1198="","",IF($F1198&gt;0,ROUND($F1198,2),""))</f>
        <v/>
      </c>
      <c r="H1198" s="12">
        <f>IF(OR($B1198="",$C1198="",$G1198=""),"",COUNTIFS(Ventes_Encaissements!$E$6:$E$3005,$B1198,Ventes_Encaissements!$J$6:$J$3005,$G1198,Ventes_Encaissements!$C$6:$C$3005,"&gt;="&amp;($C1198-3),Ventes_Encaissements!$C$6:$C$3005,"&lt;="&amp;($C1198+3)))</f>
        <v/>
      </c>
      <c r="I1198" s="12">
        <f>IF($H1198="","",IF($H1198=0,"Non trouvé",IF($H1198=1,"Match","À vérifier")))</f>
        <v/>
      </c>
      <c r="J1198" s="21">
        <f>IF($I1198&lt;&gt;"Match","",INDEX(Ventes_Encaissements!$B$6:$B$3005,_xludf.AGGREGATE(15,6,(ROW(Ventes_Encaissements!$B$6:$B$3005)-ROW(Ventes_Encaissements!$B$6)+1)/((Ventes_Encaissements!$E$6:$E$3005=$B1198)*(Ventes_Encaissements!$J$6:$J$3005=$G1198)*(Ventes_Encaissements!$C$6:$C$3005&gt;=$C1198-3)*(Ventes_Encaissements!$C$6:$C$3005&lt;=$C1198+3)),1)))</f>
        <v/>
      </c>
      <c r="K1198" s="6" t="n"/>
    </row>
    <row r="1199">
      <c r="A1199" s="6" t="n"/>
      <c r="B1199" s="6" t="n"/>
      <c r="C1199" s="19" t="n"/>
      <c r="D1199" s="19" t="n"/>
      <c r="E1199" s="6" t="n"/>
      <c r="F1199" s="20" t="n"/>
      <c r="G1199" s="9">
        <f>IF($F1199="","",IF($F1199&gt;0,ROUND($F1199,2),""))</f>
        <v/>
      </c>
      <c r="H1199" s="12">
        <f>IF(OR($B1199="",$C1199="",$G1199=""),"",COUNTIFS(Ventes_Encaissements!$E$6:$E$3005,$B1199,Ventes_Encaissements!$J$6:$J$3005,$G1199,Ventes_Encaissements!$C$6:$C$3005,"&gt;="&amp;($C1199-3),Ventes_Encaissements!$C$6:$C$3005,"&lt;="&amp;($C1199+3)))</f>
        <v/>
      </c>
      <c r="I1199" s="12">
        <f>IF($H1199="","",IF($H1199=0,"Non trouvé",IF($H1199=1,"Match","À vérifier")))</f>
        <v/>
      </c>
      <c r="J1199" s="21">
        <f>IF($I1199&lt;&gt;"Match","",INDEX(Ventes_Encaissements!$B$6:$B$3005,_xludf.AGGREGATE(15,6,(ROW(Ventes_Encaissements!$B$6:$B$3005)-ROW(Ventes_Encaissements!$B$6)+1)/((Ventes_Encaissements!$E$6:$E$3005=$B1199)*(Ventes_Encaissements!$J$6:$J$3005=$G1199)*(Ventes_Encaissements!$C$6:$C$3005&gt;=$C1199-3)*(Ventes_Encaissements!$C$6:$C$3005&lt;=$C1199+3)),1)))</f>
        <v/>
      </c>
      <c r="K1199" s="6" t="n"/>
    </row>
    <row r="1200">
      <c r="A1200" s="6" t="n"/>
      <c r="B1200" s="6" t="n"/>
      <c r="C1200" s="19" t="n"/>
      <c r="D1200" s="19" t="n"/>
      <c r="E1200" s="6" t="n"/>
      <c r="F1200" s="20" t="n"/>
      <c r="G1200" s="9">
        <f>IF($F1200="","",IF($F1200&gt;0,ROUND($F1200,2),""))</f>
        <v/>
      </c>
      <c r="H1200" s="12">
        <f>IF(OR($B1200="",$C1200="",$G1200=""),"",COUNTIFS(Ventes_Encaissements!$E$6:$E$3005,$B1200,Ventes_Encaissements!$J$6:$J$3005,$G1200,Ventes_Encaissements!$C$6:$C$3005,"&gt;="&amp;($C1200-3),Ventes_Encaissements!$C$6:$C$3005,"&lt;="&amp;($C1200+3)))</f>
        <v/>
      </c>
      <c r="I1200" s="12">
        <f>IF($H1200="","",IF($H1200=0,"Non trouvé",IF($H1200=1,"Match","À vérifier")))</f>
        <v/>
      </c>
      <c r="J1200" s="21">
        <f>IF($I1200&lt;&gt;"Match","",INDEX(Ventes_Encaissements!$B$6:$B$3005,_xludf.AGGREGATE(15,6,(ROW(Ventes_Encaissements!$B$6:$B$3005)-ROW(Ventes_Encaissements!$B$6)+1)/((Ventes_Encaissements!$E$6:$E$3005=$B1200)*(Ventes_Encaissements!$J$6:$J$3005=$G1200)*(Ventes_Encaissements!$C$6:$C$3005&gt;=$C1200-3)*(Ventes_Encaissements!$C$6:$C$3005&lt;=$C1200+3)),1)))</f>
        <v/>
      </c>
      <c r="K1200" s="6" t="n"/>
    </row>
    <row r="1201">
      <c r="A1201" s="6" t="n"/>
      <c r="B1201" s="6" t="n"/>
      <c r="C1201" s="19" t="n"/>
      <c r="D1201" s="19" t="n"/>
      <c r="E1201" s="6" t="n"/>
      <c r="F1201" s="20" t="n"/>
      <c r="G1201" s="9">
        <f>IF($F1201="","",IF($F1201&gt;0,ROUND($F1201,2),""))</f>
        <v/>
      </c>
      <c r="H1201" s="12">
        <f>IF(OR($B1201="",$C1201="",$G1201=""),"",COUNTIFS(Ventes_Encaissements!$E$6:$E$3005,$B1201,Ventes_Encaissements!$J$6:$J$3005,$G1201,Ventes_Encaissements!$C$6:$C$3005,"&gt;="&amp;($C1201-3),Ventes_Encaissements!$C$6:$C$3005,"&lt;="&amp;($C1201+3)))</f>
        <v/>
      </c>
      <c r="I1201" s="12">
        <f>IF($H1201="","",IF($H1201=0,"Non trouvé",IF($H1201=1,"Match","À vérifier")))</f>
        <v/>
      </c>
      <c r="J1201" s="21">
        <f>IF($I1201&lt;&gt;"Match","",INDEX(Ventes_Encaissements!$B$6:$B$3005,_xludf.AGGREGATE(15,6,(ROW(Ventes_Encaissements!$B$6:$B$3005)-ROW(Ventes_Encaissements!$B$6)+1)/((Ventes_Encaissements!$E$6:$E$3005=$B1201)*(Ventes_Encaissements!$J$6:$J$3005=$G1201)*(Ventes_Encaissements!$C$6:$C$3005&gt;=$C1201-3)*(Ventes_Encaissements!$C$6:$C$3005&lt;=$C1201+3)),1)))</f>
        <v/>
      </c>
      <c r="K1201" s="6" t="n"/>
    </row>
    <row r="1202">
      <c r="A1202" s="6" t="n"/>
      <c r="B1202" s="6" t="n"/>
      <c r="C1202" s="19" t="n"/>
      <c r="D1202" s="19" t="n"/>
      <c r="E1202" s="6" t="n"/>
      <c r="F1202" s="20" t="n"/>
      <c r="G1202" s="9">
        <f>IF($F1202="","",IF($F1202&gt;0,ROUND($F1202,2),""))</f>
        <v/>
      </c>
      <c r="H1202" s="12">
        <f>IF(OR($B1202="",$C1202="",$G1202=""),"",COUNTIFS(Ventes_Encaissements!$E$6:$E$3005,$B1202,Ventes_Encaissements!$J$6:$J$3005,$G1202,Ventes_Encaissements!$C$6:$C$3005,"&gt;="&amp;($C1202-3),Ventes_Encaissements!$C$6:$C$3005,"&lt;="&amp;($C1202+3)))</f>
        <v/>
      </c>
      <c r="I1202" s="12">
        <f>IF($H1202="","",IF($H1202=0,"Non trouvé",IF($H1202=1,"Match","À vérifier")))</f>
        <v/>
      </c>
      <c r="J1202" s="21">
        <f>IF($I1202&lt;&gt;"Match","",INDEX(Ventes_Encaissements!$B$6:$B$3005,_xludf.AGGREGATE(15,6,(ROW(Ventes_Encaissements!$B$6:$B$3005)-ROW(Ventes_Encaissements!$B$6)+1)/((Ventes_Encaissements!$E$6:$E$3005=$B1202)*(Ventes_Encaissements!$J$6:$J$3005=$G1202)*(Ventes_Encaissements!$C$6:$C$3005&gt;=$C1202-3)*(Ventes_Encaissements!$C$6:$C$3005&lt;=$C1202+3)),1)))</f>
        <v/>
      </c>
      <c r="K1202" s="6" t="n"/>
    </row>
    <row r="1203">
      <c r="A1203" s="6" t="n"/>
      <c r="B1203" s="6" t="n"/>
      <c r="C1203" s="19" t="n"/>
      <c r="D1203" s="19" t="n"/>
      <c r="E1203" s="6" t="n"/>
      <c r="F1203" s="20" t="n"/>
      <c r="G1203" s="9">
        <f>IF($F1203="","",IF($F1203&gt;0,ROUND($F1203,2),""))</f>
        <v/>
      </c>
      <c r="H1203" s="12">
        <f>IF(OR($B1203="",$C1203="",$G1203=""),"",COUNTIFS(Ventes_Encaissements!$E$6:$E$3005,$B1203,Ventes_Encaissements!$J$6:$J$3005,$G1203,Ventes_Encaissements!$C$6:$C$3005,"&gt;="&amp;($C1203-3),Ventes_Encaissements!$C$6:$C$3005,"&lt;="&amp;($C1203+3)))</f>
        <v/>
      </c>
      <c r="I1203" s="12">
        <f>IF($H1203="","",IF($H1203=0,"Non trouvé",IF($H1203=1,"Match","À vérifier")))</f>
        <v/>
      </c>
      <c r="J1203" s="21">
        <f>IF($I1203&lt;&gt;"Match","",INDEX(Ventes_Encaissements!$B$6:$B$3005,_xludf.AGGREGATE(15,6,(ROW(Ventes_Encaissements!$B$6:$B$3005)-ROW(Ventes_Encaissements!$B$6)+1)/((Ventes_Encaissements!$E$6:$E$3005=$B1203)*(Ventes_Encaissements!$J$6:$J$3005=$G1203)*(Ventes_Encaissements!$C$6:$C$3005&gt;=$C1203-3)*(Ventes_Encaissements!$C$6:$C$3005&lt;=$C1203+3)),1)))</f>
        <v/>
      </c>
      <c r="K1203" s="6" t="n"/>
    </row>
    <row r="1204">
      <c r="A1204" s="6" t="n"/>
      <c r="B1204" s="6" t="n"/>
      <c r="C1204" s="19" t="n"/>
      <c r="D1204" s="19" t="n"/>
      <c r="E1204" s="6" t="n"/>
      <c r="F1204" s="20" t="n"/>
      <c r="G1204" s="9">
        <f>IF($F1204="","",IF($F1204&gt;0,ROUND($F1204,2),""))</f>
        <v/>
      </c>
      <c r="H1204" s="12">
        <f>IF(OR($B1204="",$C1204="",$G1204=""),"",COUNTIFS(Ventes_Encaissements!$E$6:$E$3005,$B1204,Ventes_Encaissements!$J$6:$J$3005,$G1204,Ventes_Encaissements!$C$6:$C$3005,"&gt;="&amp;($C1204-3),Ventes_Encaissements!$C$6:$C$3005,"&lt;="&amp;($C1204+3)))</f>
        <v/>
      </c>
      <c r="I1204" s="12">
        <f>IF($H1204="","",IF($H1204=0,"Non trouvé",IF($H1204=1,"Match","À vérifier")))</f>
        <v/>
      </c>
      <c r="J1204" s="21">
        <f>IF($I1204&lt;&gt;"Match","",INDEX(Ventes_Encaissements!$B$6:$B$3005,_xludf.AGGREGATE(15,6,(ROW(Ventes_Encaissements!$B$6:$B$3005)-ROW(Ventes_Encaissements!$B$6)+1)/((Ventes_Encaissements!$E$6:$E$3005=$B1204)*(Ventes_Encaissements!$J$6:$J$3005=$G1204)*(Ventes_Encaissements!$C$6:$C$3005&gt;=$C1204-3)*(Ventes_Encaissements!$C$6:$C$3005&lt;=$C1204+3)),1)))</f>
        <v/>
      </c>
      <c r="K1204" s="6" t="n"/>
    </row>
    <row r="1205">
      <c r="A1205" s="6" t="n"/>
      <c r="B1205" s="6" t="n"/>
      <c r="C1205" s="19" t="n"/>
      <c r="D1205" s="19" t="n"/>
      <c r="E1205" s="6" t="n"/>
      <c r="F1205" s="20" t="n"/>
      <c r="G1205" s="9">
        <f>IF($F1205="","",IF($F1205&gt;0,ROUND($F1205,2),""))</f>
        <v/>
      </c>
      <c r="H1205" s="12">
        <f>IF(OR($B1205="",$C1205="",$G1205=""),"",COUNTIFS(Ventes_Encaissements!$E$6:$E$3005,$B1205,Ventes_Encaissements!$J$6:$J$3005,$G1205,Ventes_Encaissements!$C$6:$C$3005,"&gt;="&amp;($C1205-3),Ventes_Encaissements!$C$6:$C$3005,"&lt;="&amp;($C1205+3)))</f>
        <v/>
      </c>
      <c r="I1205" s="12">
        <f>IF($H1205="","",IF($H1205=0,"Non trouvé",IF($H1205=1,"Match","À vérifier")))</f>
        <v/>
      </c>
      <c r="J1205" s="21">
        <f>IF($I1205&lt;&gt;"Match","",INDEX(Ventes_Encaissements!$B$6:$B$3005,_xludf.AGGREGATE(15,6,(ROW(Ventes_Encaissements!$B$6:$B$3005)-ROW(Ventes_Encaissements!$B$6)+1)/((Ventes_Encaissements!$E$6:$E$3005=$B1205)*(Ventes_Encaissements!$J$6:$J$3005=$G1205)*(Ventes_Encaissements!$C$6:$C$3005&gt;=$C1205-3)*(Ventes_Encaissements!$C$6:$C$3005&lt;=$C1205+3)),1)))</f>
        <v/>
      </c>
      <c r="K1205" s="6" t="n"/>
    </row>
    <row r="1206">
      <c r="A1206" s="6" t="n"/>
      <c r="B1206" s="6" t="n"/>
      <c r="C1206" s="19" t="n"/>
      <c r="D1206" s="19" t="n"/>
      <c r="E1206" s="6" t="n"/>
      <c r="F1206" s="20" t="n"/>
      <c r="G1206" s="9">
        <f>IF($F1206="","",IF($F1206&gt;0,ROUND($F1206,2),""))</f>
        <v/>
      </c>
      <c r="H1206" s="12">
        <f>IF(OR($B1206="",$C1206="",$G1206=""),"",COUNTIFS(Ventes_Encaissements!$E$6:$E$3005,$B1206,Ventes_Encaissements!$J$6:$J$3005,$G1206,Ventes_Encaissements!$C$6:$C$3005,"&gt;="&amp;($C1206-3),Ventes_Encaissements!$C$6:$C$3005,"&lt;="&amp;($C1206+3)))</f>
        <v/>
      </c>
      <c r="I1206" s="12">
        <f>IF($H1206="","",IF($H1206=0,"Non trouvé",IF($H1206=1,"Match","À vérifier")))</f>
        <v/>
      </c>
      <c r="J1206" s="21">
        <f>IF($I1206&lt;&gt;"Match","",INDEX(Ventes_Encaissements!$B$6:$B$3005,_xludf.AGGREGATE(15,6,(ROW(Ventes_Encaissements!$B$6:$B$3005)-ROW(Ventes_Encaissements!$B$6)+1)/((Ventes_Encaissements!$E$6:$E$3005=$B1206)*(Ventes_Encaissements!$J$6:$J$3005=$G1206)*(Ventes_Encaissements!$C$6:$C$3005&gt;=$C1206-3)*(Ventes_Encaissements!$C$6:$C$3005&lt;=$C1206+3)),1)))</f>
        <v/>
      </c>
      <c r="K1206" s="6" t="n"/>
    </row>
    <row r="1207">
      <c r="A1207" s="6" t="n"/>
      <c r="B1207" s="6" t="n"/>
      <c r="C1207" s="19" t="n"/>
      <c r="D1207" s="19" t="n"/>
      <c r="E1207" s="6" t="n"/>
      <c r="F1207" s="20" t="n"/>
      <c r="G1207" s="9">
        <f>IF($F1207="","",IF($F1207&gt;0,ROUND($F1207,2),""))</f>
        <v/>
      </c>
      <c r="H1207" s="12">
        <f>IF(OR($B1207="",$C1207="",$G1207=""),"",COUNTIFS(Ventes_Encaissements!$E$6:$E$3005,$B1207,Ventes_Encaissements!$J$6:$J$3005,$G1207,Ventes_Encaissements!$C$6:$C$3005,"&gt;="&amp;($C1207-3),Ventes_Encaissements!$C$6:$C$3005,"&lt;="&amp;($C1207+3)))</f>
        <v/>
      </c>
      <c r="I1207" s="12">
        <f>IF($H1207="","",IF($H1207=0,"Non trouvé",IF($H1207=1,"Match","À vérifier")))</f>
        <v/>
      </c>
      <c r="J1207" s="21">
        <f>IF($I1207&lt;&gt;"Match","",INDEX(Ventes_Encaissements!$B$6:$B$3005,_xludf.AGGREGATE(15,6,(ROW(Ventes_Encaissements!$B$6:$B$3005)-ROW(Ventes_Encaissements!$B$6)+1)/((Ventes_Encaissements!$E$6:$E$3005=$B1207)*(Ventes_Encaissements!$J$6:$J$3005=$G1207)*(Ventes_Encaissements!$C$6:$C$3005&gt;=$C1207-3)*(Ventes_Encaissements!$C$6:$C$3005&lt;=$C1207+3)),1)))</f>
        <v/>
      </c>
      <c r="K1207" s="6" t="n"/>
    </row>
    <row r="1208">
      <c r="A1208" s="6" t="n"/>
      <c r="B1208" s="6" t="n"/>
      <c r="C1208" s="19" t="n"/>
      <c r="D1208" s="19" t="n"/>
      <c r="E1208" s="6" t="n"/>
      <c r="F1208" s="20" t="n"/>
      <c r="G1208" s="9">
        <f>IF($F1208="","",IF($F1208&gt;0,ROUND($F1208,2),""))</f>
        <v/>
      </c>
      <c r="H1208" s="12">
        <f>IF(OR($B1208="",$C1208="",$G1208=""),"",COUNTIFS(Ventes_Encaissements!$E$6:$E$3005,$B1208,Ventes_Encaissements!$J$6:$J$3005,$G1208,Ventes_Encaissements!$C$6:$C$3005,"&gt;="&amp;($C1208-3),Ventes_Encaissements!$C$6:$C$3005,"&lt;="&amp;($C1208+3)))</f>
        <v/>
      </c>
      <c r="I1208" s="12">
        <f>IF($H1208="","",IF($H1208=0,"Non trouvé",IF($H1208=1,"Match","À vérifier")))</f>
        <v/>
      </c>
      <c r="J1208" s="21">
        <f>IF($I1208&lt;&gt;"Match","",INDEX(Ventes_Encaissements!$B$6:$B$3005,_xludf.AGGREGATE(15,6,(ROW(Ventes_Encaissements!$B$6:$B$3005)-ROW(Ventes_Encaissements!$B$6)+1)/((Ventes_Encaissements!$E$6:$E$3005=$B1208)*(Ventes_Encaissements!$J$6:$J$3005=$G1208)*(Ventes_Encaissements!$C$6:$C$3005&gt;=$C1208-3)*(Ventes_Encaissements!$C$6:$C$3005&lt;=$C1208+3)),1)))</f>
        <v/>
      </c>
      <c r="K1208" s="6" t="n"/>
    </row>
    <row r="1209">
      <c r="A1209" s="6" t="n"/>
      <c r="B1209" s="6" t="n"/>
      <c r="C1209" s="19" t="n"/>
      <c r="D1209" s="19" t="n"/>
      <c r="E1209" s="6" t="n"/>
      <c r="F1209" s="20" t="n"/>
      <c r="G1209" s="9">
        <f>IF($F1209="","",IF($F1209&gt;0,ROUND($F1209,2),""))</f>
        <v/>
      </c>
      <c r="H1209" s="12">
        <f>IF(OR($B1209="",$C1209="",$G1209=""),"",COUNTIFS(Ventes_Encaissements!$E$6:$E$3005,$B1209,Ventes_Encaissements!$J$6:$J$3005,$G1209,Ventes_Encaissements!$C$6:$C$3005,"&gt;="&amp;($C1209-3),Ventes_Encaissements!$C$6:$C$3005,"&lt;="&amp;($C1209+3)))</f>
        <v/>
      </c>
      <c r="I1209" s="12">
        <f>IF($H1209="","",IF($H1209=0,"Non trouvé",IF($H1209=1,"Match","À vérifier")))</f>
        <v/>
      </c>
      <c r="J1209" s="21">
        <f>IF($I1209&lt;&gt;"Match","",INDEX(Ventes_Encaissements!$B$6:$B$3005,_xludf.AGGREGATE(15,6,(ROW(Ventes_Encaissements!$B$6:$B$3005)-ROW(Ventes_Encaissements!$B$6)+1)/((Ventes_Encaissements!$E$6:$E$3005=$B1209)*(Ventes_Encaissements!$J$6:$J$3005=$G1209)*(Ventes_Encaissements!$C$6:$C$3005&gt;=$C1209-3)*(Ventes_Encaissements!$C$6:$C$3005&lt;=$C1209+3)),1)))</f>
        <v/>
      </c>
      <c r="K1209" s="6" t="n"/>
    </row>
    <row r="1210">
      <c r="A1210" s="6" t="n"/>
      <c r="B1210" s="6" t="n"/>
      <c r="C1210" s="19" t="n"/>
      <c r="D1210" s="19" t="n"/>
      <c r="E1210" s="6" t="n"/>
      <c r="F1210" s="20" t="n"/>
      <c r="G1210" s="9">
        <f>IF($F1210="","",IF($F1210&gt;0,ROUND($F1210,2),""))</f>
        <v/>
      </c>
      <c r="H1210" s="12">
        <f>IF(OR($B1210="",$C1210="",$G1210=""),"",COUNTIFS(Ventes_Encaissements!$E$6:$E$3005,$B1210,Ventes_Encaissements!$J$6:$J$3005,$G1210,Ventes_Encaissements!$C$6:$C$3005,"&gt;="&amp;($C1210-3),Ventes_Encaissements!$C$6:$C$3005,"&lt;="&amp;($C1210+3)))</f>
        <v/>
      </c>
      <c r="I1210" s="12">
        <f>IF($H1210="","",IF($H1210=0,"Non trouvé",IF($H1210=1,"Match","À vérifier")))</f>
        <v/>
      </c>
      <c r="J1210" s="21">
        <f>IF($I1210&lt;&gt;"Match","",INDEX(Ventes_Encaissements!$B$6:$B$3005,_xludf.AGGREGATE(15,6,(ROW(Ventes_Encaissements!$B$6:$B$3005)-ROW(Ventes_Encaissements!$B$6)+1)/((Ventes_Encaissements!$E$6:$E$3005=$B1210)*(Ventes_Encaissements!$J$6:$J$3005=$G1210)*(Ventes_Encaissements!$C$6:$C$3005&gt;=$C1210-3)*(Ventes_Encaissements!$C$6:$C$3005&lt;=$C1210+3)),1)))</f>
        <v/>
      </c>
      <c r="K1210" s="6" t="n"/>
    </row>
    <row r="1211">
      <c r="A1211" s="6" t="n"/>
      <c r="B1211" s="6" t="n"/>
      <c r="C1211" s="19" t="n"/>
      <c r="D1211" s="19" t="n"/>
      <c r="E1211" s="6" t="n"/>
      <c r="F1211" s="20" t="n"/>
      <c r="G1211" s="9">
        <f>IF($F1211="","",IF($F1211&gt;0,ROUND($F1211,2),""))</f>
        <v/>
      </c>
      <c r="H1211" s="12">
        <f>IF(OR($B1211="",$C1211="",$G1211=""),"",COUNTIFS(Ventes_Encaissements!$E$6:$E$3005,$B1211,Ventes_Encaissements!$J$6:$J$3005,$G1211,Ventes_Encaissements!$C$6:$C$3005,"&gt;="&amp;($C1211-3),Ventes_Encaissements!$C$6:$C$3005,"&lt;="&amp;($C1211+3)))</f>
        <v/>
      </c>
      <c r="I1211" s="12">
        <f>IF($H1211="","",IF($H1211=0,"Non trouvé",IF($H1211=1,"Match","À vérifier")))</f>
        <v/>
      </c>
      <c r="J1211" s="21">
        <f>IF($I1211&lt;&gt;"Match","",INDEX(Ventes_Encaissements!$B$6:$B$3005,_xludf.AGGREGATE(15,6,(ROW(Ventes_Encaissements!$B$6:$B$3005)-ROW(Ventes_Encaissements!$B$6)+1)/((Ventes_Encaissements!$E$6:$E$3005=$B1211)*(Ventes_Encaissements!$J$6:$J$3005=$G1211)*(Ventes_Encaissements!$C$6:$C$3005&gt;=$C1211-3)*(Ventes_Encaissements!$C$6:$C$3005&lt;=$C1211+3)),1)))</f>
        <v/>
      </c>
      <c r="K1211" s="6" t="n"/>
    </row>
    <row r="1212">
      <c r="A1212" s="6" t="n"/>
      <c r="B1212" s="6" t="n"/>
      <c r="C1212" s="19" t="n"/>
      <c r="D1212" s="19" t="n"/>
      <c r="E1212" s="6" t="n"/>
      <c r="F1212" s="20" t="n"/>
      <c r="G1212" s="9">
        <f>IF($F1212="","",IF($F1212&gt;0,ROUND($F1212,2),""))</f>
        <v/>
      </c>
      <c r="H1212" s="12">
        <f>IF(OR($B1212="",$C1212="",$G1212=""),"",COUNTIFS(Ventes_Encaissements!$E$6:$E$3005,$B1212,Ventes_Encaissements!$J$6:$J$3005,$G1212,Ventes_Encaissements!$C$6:$C$3005,"&gt;="&amp;($C1212-3),Ventes_Encaissements!$C$6:$C$3005,"&lt;="&amp;($C1212+3)))</f>
        <v/>
      </c>
      <c r="I1212" s="12">
        <f>IF($H1212="","",IF($H1212=0,"Non trouvé",IF($H1212=1,"Match","À vérifier")))</f>
        <v/>
      </c>
      <c r="J1212" s="21">
        <f>IF($I1212&lt;&gt;"Match","",INDEX(Ventes_Encaissements!$B$6:$B$3005,_xludf.AGGREGATE(15,6,(ROW(Ventes_Encaissements!$B$6:$B$3005)-ROW(Ventes_Encaissements!$B$6)+1)/((Ventes_Encaissements!$E$6:$E$3005=$B1212)*(Ventes_Encaissements!$J$6:$J$3005=$G1212)*(Ventes_Encaissements!$C$6:$C$3005&gt;=$C1212-3)*(Ventes_Encaissements!$C$6:$C$3005&lt;=$C1212+3)),1)))</f>
        <v/>
      </c>
      <c r="K1212" s="6" t="n"/>
    </row>
    <row r="1213">
      <c r="A1213" s="6" t="n"/>
      <c r="B1213" s="6" t="n"/>
      <c r="C1213" s="19" t="n"/>
      <c r="D1213" s="19" t="n"/>
      <c r="E1213" s="6" t="n"/>
      <c r="F1213" s="20" t="n"/>
      <c r="G1213" s="9">
        <f>IF($F1213="","",IF($F1213&gt;0,ROUND($F1213,2),""))</f>
        <v/>
      </c>
      <c r="H1213" s="12">
        <f>IF(OR($B1213="",$C1213="",$G1213=""),"",COUNTIFS(Ventes_Encaissements!$E$6:$E$3005,$B1213,Ventes_Encaissements!$J$6:$J$3005,$G1213,Ventes_Encaissements!$C$6:$C$3005,"&gt;="&amp;($C1213-3),Ventes_Encaissements!$C$6:$C$3005,"&lt;="&amp;($C1213+3)))</f>
        <v/>
      </c>
      <c r="I1213" s="12">
        <f>IF($H1213="","",IF($H1213=0,"Non trouvé",IF($H1213=1,"Match","À vérifier")))</f>
        <v/>
      </c>
      <c r="J1213" s="21">
        <f>IF($I1213&lt;&gt;"Match","",INDEX(Ventes_Encaissements!$B$6:$B$3005,_xludf.AGGREGATE(15,6,(ROW(Ventes_Encaissements!$B$6:$B$3005)-ROW(Ventes_Encaissements!$B$6)+1)/((Ventes_Encaissements!$E$6:$E$3005=$B1213)*(Ventes_Encaissements!$J$6:$J$3005=$G1213)*(Ventes_Encaissements!$C$6:$C$3005&gt;=$C1213-3)*(Ventes_Encaissements!$C$6:$C$3005&lt;=$C1213+3)),1)))</f>
        <v/>
      </c>
      <c r="K1213" s="6" t="n"/>
    </row>
    <row r="1214">
      <c r="A1214" s="6" t="n"/>
      <c r="B1214" s="6" t="n"/>
      <c r="C1214" s="19" t="n"/>
      <c r="D1214" s="19" t="n"/>
      <c r="E1214" s="6" t="n"/>
      <c r="F1214" s="20" t="n"/>
      <c r="G1214" s="9">
        <f>IF($F1214="","",IF($F1214&gt;0,ROUND($F1214,2),""))</f>
        <v/>
      </c>
      <c r="H1214" s="12">
        <f>IF(OR($B1214="",$C1214="",$G1214=""),"",COUNTIFS(Ventes_Encaissements!$E$6:$E$3005,$B1214,Ventes_Encaissements!$J$6:$J$3005,$G1214,Ventes_Encaissements!$C$6:$C$3005,"&gt;="&amp;($C1214-3),Ventes_Encaissements!$C$6:$C$3005,"&lt;="&amp;($C1214+3)))</f>
        <v/>
      </c>
      <c r="I1214" s="12">
        <f>IF($H1214="","",IF($H1214=0,"Non trouvé",IF($H1214=1,"Match","À vérifier")))</f>
        <v/>
      </c>
      <c r="J1214" s="21">
        <f>IF($I1214&lt;&gt;"Match","",INDEX(Ventes_Encaissements!$B$6:$B$3005,_xludf.AGGREGATE(15,6,(ROW(Ventes_Encaissements!$B$6:$B$3005)-ROW(Ventes_Encaissements!$B$6)+1)/((Ventes_Encaissements!$E$6:$E$3005=$B1214)*(Ventes_Encaissements!$J$6:$J$3005=$G1214)*(Ventes_Encaissements!$C$6:$C$3005&gt;=$C1214-3)*(Ventes_Encaissements!$C$6:$C$3005&lt;=$C1214+3)),1)))</f>
        <v/>
      </c>
      <c r="K1214" s="6" t="n"/>
    </row>
    <row r="1215">
      <c r="A1215" s="6" t="n"/>
      <c r="B1215" s="6" t="n"/>
      <c r="C1215" s="19" t="n"/>
      <c r="D1215" s="19" t="n"/>
      <c r="E1215" s="6" t="n"/>
      <c r="F1215" s="20" t="n"/>
      <c r="G1215" s="9">
        <f>IF($F1215="","",IF($F1215&gt;0,ROUND($F1215,2),""))</f>
        <v/>
      </c>
      <c r="H1215" s="12">
        <f>IF(OR($B1215="",$C1215="",$G1215=""),"",COUNTIFS(Ventes_Encaissements!$E$6:$E$3005,$B1215,Ventes_Encaissements!$J$6:$J$3005,$G1215,Ventes_Encaissements!$C$6:$C$3005,"&gt;="&amp;($C1215-3),Ventes_Encaissements!$C$6:$C$3005,"&lt;="&amp;($C1215+3)))</f>
        <v/>
      </c>
      <c r="I1215" s="12">
        <f>IF($H1215="","",IF($H1215=0,"Non trouvé",IF($H1215=1,"Match","À vérifier")))</f>
        <v/>
      </c>
      <c r="J1215" s="21">
        <f>IF($I1215&lt;&gt;"Match","",INDEX(Ventes_Encaissements!$B$6:$B$3005,_xludf.AGGREGATE(15,6,(ROW(Ventes_Encaissements!$B$6:$B$3005)-ROW(Ventes_Encaissements!$B$6)+1)/((Ventes_Encaissements!$E$6:$E$3005=$B1215)*(Ventes_Encaissements!$J$6:$J$3005=$G1215)*(Ventes_Encaissements!$C$6:$C$3005&gt;=$C1215-3)*(Ventes_Encaissements!$C$6:$C$3005&lt;=$C1215+3)),1)))</f>
        <v/>
      </c>
      <c r="K1215" s="6" t="n"/>
    </row>
    <row r="1216">
      <c r="A1216" s="6" t="n"/>
      <c r="B1216" s="6" t="n"/>
      <c r="C1216" s="19" t="n"/>
      <c r="D1216" s="19" t="n"/>
      <c r="E1216" s="6" t="n"/>
      <c r="F1216" s="20" t="n"/>
      <c r="G1216" s="9">
        <f>IF($F1216="","",IF($F1216&gt;0,ROUND($F1216,2),""))</f>
        <v/>
      </c>
      <c r="H1216" s="12">
        <f>IF(OR($B1216="",$C1216="",$G1216=""),"",COUNTIFS(Ventes_Encaissements!$E$6:$E$3005,$B1216,Ventes_Encaissements!$J$6:$J$3005,$G1216,Ventes_Encaissements!$C$6:$C$3005,"&gt;="&amp;($C1216-3),Ventes_Encaissements!$C$6:$C$3005,"&lt;="&amp;($C1216+3)))</f>
        <v/>
      </c>
      <c r="I1216" s="12">
        <f>IF($H1216="","",IF($H1216=0,"Non trouvé",IF($H1216=1,"Match","À vérifier")))</f>
        <v/>
      </c>
      <c r="J1216" s="21">
        <f>IF($I1216&lt;&gt;"Match","",INDEX(Ventes_Encaissements!$B$6:$B$3005,_xludf.AGGREGATE(15,6,(ROW(Ventes_Encaissements!$B$6:$B$3005)-ROW(Ventes_Encaissements!$B$6)+1)/((Ventes_Encaissements!$E$6:$E$3005=$B1216)*(Ventes_Encaissements!$J$6:$J$3005=$G1216)*(Ventes_Encaissements!$C$6:$C$3005&gt;=$C1216-3)*(Ventes_Encaissements!$C$6:$C$3005&lt;=$C1216+3)),1)))</f>
        <v/>
      </c>
      <c r="K1216" s="6" t="n"/>
    </row>
    <row r="1217">
      <c r="A1217" s="6" t="n"/>
      <c r="B1217" s="6" t="n"/>
      <c r="C1217" s="19" t="n"/>
      <c r="D1217" s="19" t="n"/>
      <c r="E1217" s="6" t="n"/>
      <c r="F1217" s="20" t="n"/>
      <c r="G1217" s="9">
        <f>IF($F1217="","",IF($F1217&gt;0,ROUND($F1217,2),""))</f>
        <v/>
      </c>
      <c r="H1217" s="12">
        <f>IF(OR($B1217="",$C1217="",$G1217=""),"",COUNTIFS(Ventes_Encaissements!$E$6:$E$3005,$B1217,Ventes_Encaissements!$J$6:$J$3005,$G1217,Ventes_Encaissements!$C$6:$C$3005,"&gt;="&amp;($C1217-3),Ventes_Encaissements!$C$6:$C$3005,"&lt;="&amp;($C1217+3)))</f>
        <v/>
      </c>
      <c r="I1217" s="12">
        <f>IF($H1217="","",IF($H1217=0,"Non trouvé",IF($H1217=1,"Match","À vérifier")))</f>
        <v/>
      </c>
      <c r="J1217" s="21">
        <f>IF($I1217&lt;&gt;"Match","",INDEX(Ventes_Encaissements!$B$6:$B$3005,_xludf.AGGREGATE(15,6,(ROW(Ventes_Encaissements!$B$6:$B$3005)-ROW(Ventes_Encaissements!$B$6)+1)/((Ventes_Encaissements!$E$6:$E$3005=$B1217)*(Ventes_Encaissements!$J$6:$J$3005=$G1217)*(Ventes_Encaissements!$C$6:$C$3005&gt;=$C1217-3)*(Ventes_Encaissements!$C$6:$C$3005&lt;=$C1217+3)),1)))</f>
        <v/>
      </c>
      <c r="K1217" s="6" t="n"/>
    </row>
    <row r="1218">
      <c r="A1218" s="6" t="n"/>
      <c r="B1218" s="6" t="n"/>
      <c r="C1218" s="19" t="n"/>
      <c r="D1218" s="19" t="n"/>
      <c r="E1218" s="6" t="n"/>
      <c r="F1218" s="20" t="n"/>
      <c r="G1218" s="9">
        <f>IF($F1218="","",IF($F1218&gt;0,ROUND($F1218,2),""))</f>
        <v/>
      </c>
      <c r="H1218" s="12">
        <f>IF(OR($B1218="",$C1218="",$G1218=""),"",COUNTIFS(Ventes_Encaissements!$E$6:$E$3005,$B1218,Ventes_Encaissements!$J$6:$J$3005,$G1218,Ventes_Encaissements!$C$6:$C$3005,"&gt;="&amp;($C1218-3),Ventes_Encaissements!$C$6:$C$3005,"&lt;="&amp;($C1218+3)))</f>
        <v/>
      </c>
      <c r="I1218" s="12">
        <f>IF($H1218="","",IF($H1218=0,"Non trouvé",IF($H1218=1,"Match","À vérifier")))</f>
        <v/>
      </c>
      <c r="J1218" s="21">
        <f>IF($I1218&lt;&gt;"Match","",INDEX(Ventes_Encaissements!$B$6:$B$3005,_xludf.AGGREGATE(15,6,(ROW(Ventes_Encaissements!$B$6:$B$3005)-ROW(Ventes_Encaissements!$B$6)+1)/((Ventes_Encaissements!$E$6:$E$3005=$B1218)*(Ventes_Encaissements!$J$6:$J$3005=$G1218)*(Ventes_Encaissements!$C$6:$C$3005&gt;=$C1218-3)*(Ventes_Encaissements!$C$6:$C$3005&lt;=$C1218+3)),1)))</f>
        <v/>
      </c>
      <c r="K1218" s="6" t="n"/>
    </row>
    <row r="1219">
      <c r="A1219" s="6" t="n"/>
      <c r="B1219" s="6" t="n"/>
      <c r="C1219" s="19" t="n"/>
      <c r="D1219" s="19" t="n"/>
      <c r="E1219" s="6" t="n"/>
      <c r="F1219" s="20" t="n"/>
      <c r="G1219" s="9">
        <f>IF($F1219="","",IF($F1219&gt;0,ROUND($F1219,2),""))</f>
        <v/>
      </c>
      <c r="H1219" s="12">
        <f>IF(OR($B1219="",$C1219="",$G1219=""),"",COUNTIFS(Ventes_Encaissements!$E$6:$E$3005,$B1219,Ventes_Encaissements!$J$6:$J$3005,$G1219,Ventes_Encaissements!$C$6:$C$3005,"&gt;="&amp;($C1219-3),Ventes_Encaissements!$C$6:$C$3005,"&lt;="&amp;($C1219+3)))</f>
        <v/>
      </c>
      <c r="I1219" s="12">
        <f>IF($H1219="","",IF($H1219=0,"Non trouvé",IF($H1219=1,"Match","À vérifier")))</f>
        <v/>
      </c>
      <c r="J1219" s="21">
        <f>IF($I1219&lt;&gt;"Match","",INDEX(Ventes_Encaissements!$B$6:$B$3005,_xludf.AGGREGATE(15,6,(ROW(Ventes_Encaissements!$B$6:$B$3005)-ROW(Ventes_Encaissements!$B$6)+1)/((Ventes_Encaissements!$E$6:$E$3005=$B1219)*(Ventes_Encaissements!$J$6:$J$3005=$G1219)*(Ventes_Encaissements!$C$6:$C$3005&gt;=$C1219-3)*(Ventes_Encaissements!$C$6:$C$3005&lt;=$C1219+3)),1)))</f>
        <v/>
      </c>
      <c r="K1219" s="6" t="n"/>
    </row>
    <row r="1220">
      <c r="A1220" s="6" t="n"/>
      <c r="B1220" s="6" t="n"/>
      <c r="C1220" s="19" t="n"/>
      <c r="D1220" s="19" t="n"/>
      <c r="E1220" s="6" t="n"/>
      <c r="F1220" s="20" t="n"/>
      <c r="G1220" s="9">
        <f>IF($F1220="","",IF($F1220&gt;0,ROUND($F1220,2),""))</f>
        <v/>
      </c>
      <c r="H1220" s="12">
        <f>IF(OR($B1220="",$C1220="",$G1220=""),"",COUNTIFS(Ventes_Encaissements!$E$6:$E$3005,$B1220,Ventes_Encaissements!$J$6:$J$3005,$G1220,Ventes_Encaissements!$C$6:$C$3005,"&gt;="&amp;($C1220-3),Ventes_Encaissements!$C$6:$C$3005,"&lt;="&amp;($C1220+3)))</f>
        <v/>
      </c>
      <c r="I1220" s="12">
        <f>IF($H1220="","",IF($H1220=0,"Non trouvé",IF($H1220=1,"Match","À vérifier")))</f>
        <v/>
      </c>
      <c r="J1220" s="21">
        <f>IF($I1220&lt;&gt;"Match","",INDEX(Ventes_Encaissements!$B$6:$B$3005,_xludf.AGGREGATE(15,6,(ROW(Ventes_Encaissements!$B$6:$B$3005)-ROW(Ventes_Encaissements!$B$6)+1)/((Ventes_Encaissements!$E$6:$E$3005=$B1220)*(Ventes_Encaissements!$J$6:$J$3005=$G1220)*(Ventes_Encaissements!$C$6:$C$3005&gt;=$C1220-3)*(Ventes_Encaissements!$C$6:$C$3005&lt;=$C1220+3)),1)))</f>
        <v/>
      </c>
      <c r="K1220" s="6" t="n"/>
    </row>
    <row r="1221">
      <c r="A1221" s="6" t="n"/>
      <c r="B1221" s="6" t="n"/>
      <c r="C1221" s="19" t="n"/>
      <c r="D1221" s="19" t="n"/>
      <c r="E1221" s="6" t="n"/>
      <c r="F1221" s="20" t="n"/>
      <c r="G1221" s="9">
        <f>IF($F1221="","",IF($F1221&gt;0,ROUND($F1221,2),""))</f>
        <v/>
      </c>
      <c r="H1221" s="12">
        <f>IF(OR($B1221="",$C1221="",$G1221=""),"",COUNTIFS(Ventes_Encaissements!$E$6:$E$3005,$B1221,Ventes_Encaissements!$J$6:$J$3005,$G1221,Ventes_Encaissements!$C$6:$C$3005,"&gt;="&amp;($C1221-3),Ventes_Encaissements!$C$6:$C$3005,"&lt;="&amp;($C1221+3)))</f>
        <v/>
      </c>
      <c r="I1221" s="12">
        <f>IF($H1221="","",IF($H1221=0,"Non trouvé",IF($H1221=1,"Match","À vérifier")))</f>
        <v/>
      </c>
      <c r="J1221" s="21">
        <f>IF($I1221&lt;&gt;"Match","",INDEX(Ventes_Encaissements!$B$6:$B$3005,_xludf.AGGREGATE(15,6,(ROW(Ventes_Encaissements!$B$6:$B$3005)-ROW(Ventes_Encaissements!$B$6)+1)/((Ventes_Encaissements!$E$6:$E$3005=$B1221)*(Ventes_Encaissements!$J$6:$J$3005=$G1221)*(Ventes_Encaissements!$C$6:$C$3005&gt;=$C1221-3)*(Ventes_Encaissements!$C$6:$C$3005&lt;=$C1221+3)),1)))</f>
        <v/>
      </c>
      <c r="K1221" s="6" t="n"/>
    </row>
    <row r="1222">
      <c r="A1222" s="6" t="n"/>
      <c r="B1222" s="6" t="n"/>
      <c r="C1222" s="19" t="n"/>
      <c r="D1222" s="19" t="n"/>
      <c r="E1222" s="6" t="n"/>
      <c r="F1222" s="20" t="n"/>
      <c r="G1222" s="9">
        <f>IF($F1222="","",IF($F1222&gt;0,ROUND($F1222,2),""))</f>
        <v/>
      </c>
      <c r="H1222" s="12">
        <f>IF(OR($B1222="",$C1222="",$G1222=""),"",COUNTIFS(Ventes_Encaissements!$E$6:$E$3005,$B1222,Ventes_Encaissements!$J$6:$J$3005,$G1222,Ventes_Encaissements!$C$6:$C$3005,"&gt;="&amp;($C1222-3),Ventes_Encaissements!$C$6:$C$3005,"&lt;="&amp;($C1222+3)))</f>
        <v/>
      </c>
      <c r="I1222" s="12">
        <f>IF($H1222="","",IF($H1222=0,"Non trouvé",IF($H1222=1,"Match","À vérifier")))</f>
        <v/>
      </c>
      <c r="J1222" s="21">
        <f>IF($I1222&lt;&gt;"Match","",INDEX(Ventes_Encaissements!$B$6:$B$3005,_xludf.AGGREGATE(15,6,(ROW(Ventes_Encaissements!$B$6:$B$3005)-ROW(Ventes_Encaissements!$B$6)+1)/((Ventes_Encaissements!$E$6:$E$3005=$B1222)*(Ventes_Encaissements!$J$6:$J$3005=$G1222)*(Ventes_Encaissements!$C$6:$C$3005&gt;=$C1222-3)*(Ventes_Encaissements!$C$6:$C$3005&lt;=$C1222+3)),1)))</f>
        <v/>
      </c>
      <c r="K1222" s="6" t="n"/>
    </row>
    <row r="1223">
      <c r="A1223" s="6" t="n"/>
      <c r="B1223" s="6" t="n"/>
      <c r="C1223" s="19" t="n"/>
      <c r="D1223" s="19" t="n"/>
      <c r="E1223" s="6" t="n"/>
      <c r="F1223" s="20" t="n"/>
      <c r="G1223" s="9">
        <f>IF($F1223="","",IF($F1223&gt;0,ROUND($F1223,2),""))</f>
        <v/>
      </c>
      <c r="H1223" s="12">
        <f>IF(OR($B1223="",$C1223="",$G1223=""),"",COUNTIFS(Ventes_Encaissements!$E$6:$E$3005,$B1223,Ventes_Encaissements!$J$6:$J$3005,$G1223,Ventes_Encaissements!$C$6:$C$3005,"&gt;="&amp;($C1223-3),Ventes_Encaissements!$C$6:$C$3005,"&lt;="&amp;($C1223+3)))</f>
        <v/>
      </c>
      <c r="I1223" s="12">
        <f>IF($H1223="","",IF($H1223=0,"Non trouvé",IF($H1223=1,"Match","À vérifier")))</f>
        <v/>
      </c>
      <c r="J1223" s="21">
        <f>IF($I1223&lt;&gt;"Match","",INDEX(Ventes_Encaissements!$B$6:$B$3005,_xludf.AGGREGATE(15,6,(ROW(Ventes_Encaissements!$B$6:$B$3005)-ROW(Ventes_Encaissements!$B$6)+1)/((Ventes_Encaissements!$E$6:$E$3005=$B1223)*(Ventes_Encaissements!$J$6:$J$3005=$G1223)*(Ventes_Encaissements!$C$6:$C$3005&gt;=$C1223-3)*(Ventes_Encaissements!$C$6:$C$3005&lt;=$C1223+3)),1)))</f>
        <v/>
      </c>
      <c r="K1223" s="6" t="n"/>
    </row>
    <row r="1224">
      <c r="A1224" s="6" t="n"/>
      <c r="B1224" s="6" t="n"/>
      <c r="C1224" s="19" t="n"/>
      <c r="D1224" s="19" t="n"/>
      <c r="E1224" s="6" t="n"/>
      <c r="F1224" s="20" t="n"/>
      <c r="G1224" s="9">
        <f>IF($F1224="","",IF($F1224&gt;0,ROUND($F1224,2),""))</f>
        <v/>
      </c>
      <c r="H1224" s="12">
        <f>IF(OR($B1224="",$C1224="",$G1224=""),"",COUNTIFS(Ventes_Encaissements!$E$6:$E$3005,$B1224,Ventes_Encaissements!$J$6:$J$3005,$G1224,Ventes_Encaissements!$C$6:$C$3005,"&gt;="&amp;($C1224-3),Ventes_Encaissements!$C$6:$C$3005,"&lt;="&amp;($C1224+3)))</f>
        <v/>
      </c>
      <c r="I1224" s="12">
        <f>IF($H1224="","",IF($H1224=0,"Non trouvé",IF($H1224=1,"Match","À vérifier")))</f>
        <v/>
      </c>
      <c r="J1224" s="21">
        <f>IF($I1224&lt;&gt;"Match","",INDEX(Ventes_Encaissements!$B$6:$B$3005,_xludf.AGGREGATE(15,6,(ROW(Ventes_Encaissements!$B$6:$B$3005)-ROW(Ventes_Encaissements!$B$6)+1)/((Ventes_Encaissements!$E$6:$E$3005=$B1224)*(Ventes_Encaissements!$J$6:$J$3005=$G1224)*(Ventes_Encaissements!$C$6:$C$3005&gt;=$C1224-3)*(Ventes_Encaissements!$C$6:$C$3005&lt;=$C1224+3)),1)))</f>
        <v/>
      </c>
      <c r="K1224" s="6" t="n"/>
    </row>
    <row r="1225">
      <c r="A1225" s="6" t="n"/>
      <c r="B1225" s="6" t="n"/>
      <c r="C1225" s="19" t="n"/>
      <c r="D1225" s="19" t="n"/>
      <c r="E1225" s="6" t="n"/>
      <c r="F1225" s="20" t="n"/>
      <c r="G1225" s="9">
        <f>IF($F1225="","",IF($F1225&gt;0,ROUND($F1225,2),""))</f>
        <v/>
      </c>
      <c r="H1225" s="12">
        <f>IF(OR($B1225="",$C1225="",$G1225=""),"",COUNTIFS(Ventes_Encaissements!$E$6:$E$3005,$B1225,Ventes_Encaissements!$J$6:$J$3005,$G1225,Ventes_Encaissements!$C$6:$C$3005,"&gt;="&amp;($C1225-3),Ventes_Encaissements!$C$6:$C$3005,"&lt;="&amp;($C1225+3)))</f>
        <v/>
      </c>
      <c r="I1225" s="12">
        <f>IF($H1225="","",IF($H1225=0,"Non trouvé",IF($H1225=1,"Match","À vérifier")))</f>
        <v/>
      </c>
      <c r="J1225" s="21">
        <f>IF($I1225&lt;&gt;"Match","",INDEX(Ventes_Encaissements!$B$6:$B$3005,_xludf.AGGREGATE(15,6,(ROW(Ventes_Encaissements!$B$6:$B$3005)-ROW(Ventes_Encaissements!$B$6)+1)/((Ventes_Encaissements!$E$6:$E$3005=$B1225)*(Ventes_Encaissements!$J$6:$J$3005=$G1225)*(Ventes_Encaissements!$C$6:$C$3005&gt;=$C1225-3)*(Ventes_Encaissements!$C$6:$C$3005&lt;=$C1225+3)),1)))</f>
        <v/>
      </c>
      <c r="K1225" s="6" t="n"/>
    </row>
    <row r="1226">
      <c r="A1226" s="6" t="n"/>
      <c r="B1226" s="6" t="n"/>
      <c r="C1226" s="19" t="n"/>
      <c r="D1226" s="19" t="n"/>
      <c r="E1226" s="6" t="n"/>
      <c r="F1226" s="20" t="n"/>
      <c r="G1226" s="9">
        <f>IF($F1226="","",IF($F1226&gt;0,ROUND($F1226,2),""))</f>
        <v/>
      </c>
      <c r="H1226" s="12">
        <f>IF(OR($B1226="",$C1226="",$G1226=""),"",COUNTIFS(Ventes_Encaissements!$E$6:$E$3005,$B1226,Ventes_Encaissements!$J$6:$J$3005,$G1226,Ventes_Encaissements!$C$6:$C$3005,"&gt;="&amp;($C1226-3),Ventes_Encaissements!$C$6:$C$3005,"&lt;="&amp;($C1226+3)))</f>
        <v/>
      </c>
      <c r="I1226" s="12">
        <f>IF($H1226="","",IF($H1226=0,"Non trouvé",IF($H1226=1,"Match","À vérifier")))</f>
        <v/>
      </c>
      <c r="J1226" s="21">
        <f>IF($I1226&lt;&gt;"Match","",INDEX(Ventes_Encaissements!$B$6:$B$3005,_xludf.AGGREGATE(15,6,(ROW(Ventes_Encaissements!$B$6:$B$3005)-ROW(Ventes_Encaissements!$B$6)+1)/((Ventes_Encaissements!$E$6:$E$3005=$B1226)*(Ventes_Encaissements!$J$6:$J$3005=$G1226)*(Ventes_Encaissements!$C$6:$C$3005&gt;=$C1226-3)*(Ventes_Encaissements!$C$6:$C$3005&lt;=$C1226+3)),1)))</f>
        <v/>
      </c>
      <c r="K1226" s="6" t="n"/>
    </row>
    <row r="1227">
      <c r="A1227" s="6" t="n"/>
      <c r="B1227" s="6" t="n"/>
      <c r="C1227" s="19" t="n"/>
      <c r="D1227" s="19" t="n"/>
      <c r="E1227" s="6" t="n"/>
      <c r="F1227" s="20" t="n"/>
      <c r="G1227" s="9">
        <f>IF($F1227="","",IF($F1227&gt;0,ROUND($F1227,2),""))</f>
        <v/>
      </c>
      <c r="H1227" s="12">
        <f>IF(OR($B1227="",$C1227="",$G1227=""),"",COUNTIFS(Ventes_Encaissements!$E$6:$E$3005,$B1227,Ventes_Encaissements!$J$6:$J$3005,$G1227,Ventes_Encaissements!$C$6:$C$3005,"&gt;="&amp;($C1227-3),Ventes_Encaissements!$C$6:$C$3005,"&lt;="&amp;($C1227+3)))</f>
        <v/>
      </c>
      <c r="I1227" s="12">
        <f>IF($H1227="","",IF($H1227=0,"Non trouvé",IF($H1227=1,"Match","À vérifier")))</f>
        <v/>
      </c>
      <c r="J1227" s="21">
        <f>IF($I1227&lt;&gt;"Match","",INDEX(Ventes_Encaissements!$B$6:$B$3005,_xludf.AGGREGATE(15,6,(ROW(Ventes_Encaissements!$B$6:$B$3005)-ROW(Ventes_Encaissements!$B$6)+1)/((Ventes_Encaissements!$E$6:$E$3005=$B1227)*(Ventes_Encaissements!$J$6:$J$3005=$G1227)*(Ventes_Encaissements!$C$6:$C$3005&gt;=$C1227-3)*(Ventes_Encaissements!$C$6:$C$3005&lt;=$C1227+3)),1)))</f>
        <v/>
      </c>
      <c r="K1227" s="6" t="n"/>
    </row>
    <row r="1228">
      <c r="A1228" s="6" t="n"/>
      <c r="B1228" s="6" t="n"/>
      <c r="C1228" s="19" t="n"/>
      <c r="D1228" s="19" t="n"/>
      <c r="E1228" s="6" t="n"/>
      <c r="F1228" s="20" t="n"/>
      <c r="G1228" s="9">
        <f>IF($F1228="","",IF($F1228&gt;0,ROUND($F1228,2),""))</f>
        <v/>
      </c>
      <c r="H1228" s="12">
        <f>IF(OR($B1228="",$C1228="",$G1228=""),"",COUNTIFS(Ventes_Encaissements!$E$6:$E$3005,$B1228,Ventes_Encaissements!$J$6:$J$3005,$G1228,Ventes_Encaissements!$C$6:$C$3005,"&gt;="&amp;($C1228-3),Ventes_Encaissements!$C$6:$C$3005,"&lt;="&amp;($C1228+3)))</f>
        <v/>
      </c>
      <c r="I1228" s="12">
        <f>IF($H1228="","",IF($H1228=0,"Non trouvé",IF($H1228=1,"Match","À vérifier")))</f>
        <v/>
      </c>
      <c r="J1228" s="21">
        <f>IF($I1228&lt;&gt;"Match","",INDEX(Ventes_Encaissements!$B$6:$B$3005,_xludf.AGGREGATE(15,6,(ROW(Ventes_Encaissements!$B$6:$B$3005)-ROW(Ventes_Encaissements!$B$6)+1)/((Ventes_Encaissements!$E$6:$E$3005=$B1228)*(Ventes_Encaissements!$J$6:$J$3005=$G1228)*(Ventes_Encaissements!$C$6:$C$3005&gt;=$C1228-3)*(Ventes_Encaissements!$C$6:$C$3005&lt;=$C1228+3)),1)))</f>
        <v/>
      </c>
      <c r="K1228" s="6" t="n"/>
    </row>
    <row r="1229">
      <c r="A1229" s="6" t="n"/>
      <c r="B1229" s="6" t="n"/>
      <c r="C1229" s="19" t="n"/>
      <c r="D1229" s="19" t="n"/>
      <c r="E1229" s="6" t="n"/>
      <c r="F1229" s="20" t="n"/>
      <c r="G1229" s="9">
        <f>IF($F1229="","",IF($F1229&gt;0,ROUND($F1229,2),""))</f>
        <v/>
      </c>
      <c r="H1229" s="12">
        <f>IF(OR($B1229="",$C1229="",$G1229=""),"",COUNTIFS(Ventes_Encaissements!$E$6:$E$3005,$B1229,Ventes_Encaissements!$J$6:$J$3005,$G1229,Ventes_Encaissements!$C$6:$C$3005,"&gt;="&amp;($C1229-3),Ventes_Encaissements!$C$6:$C$3005,"&lt;="&amp;($C1229+3)))</f>
        <v/>
      </c>
      <c r="I1229" s="12">
        <f>IF($H1229="","",IF($H1229=0,"Non trouvé",IF($H1229=1,"Match","À vérifier")))</f>
        <v/>
      </c>
      <c r="J1229" s="21">
        <f>IF($I1229&lt;&gt;"Match","",INDEX(Ventes_Encaissements!$B$6:$B$3005,_xludf.AGGREGATE(15,6,(ROW(Ventes_Encaissements!$B$6:$B$3005)-ROW(Ventes_Encaissements!$B$6)+1)/((Ventes_Encaissements!$E$6:$E$3005=$B1229)*(Ventes_Encaissements!$J$6:$J$3005=$G1229)*(Ventes_Encaissements!$C$6:$C$3005&gt;=$C1229-3)*(Ventes_Encaissements!$C$6:$C$3005&lt;=$C1229+3)),1)))</f>
        <v/>
      </c>
      <c r="K1229" s="6" t="n"/>
    </row>
    <row r="1230">
      <c r="A1230" s="6" t="n"/>
      <c r="B1230" s="6" t="n"/>
      <c r="C1230" s="19" t="n"/>
      <c r="D1230" s="19" t="n"/>
      <c r="E1230" s="6" t="n"/>
      <c r="F1230" s="20" t="n"/>
      <c r="G1230" s="9">
        <f>IF($F1230="","",IF($F1230&gt;0,ROUND($F1230,2),""))</f>
        <v/>
      </c>
      <c r="H1230" s="12">
        <f>IF(OR($B1230="",$C1230="",$G1230=""),"",COUNTIFS(Ventes_Encaissements!$E$6:$E$3005,$B1230,Ventes_Encaissements!$J$6:$J$3005,$G1230,Ventes_Encaissements!$C$6:$C$3005,"&gt;="&amp;($C1230-3),Ventes_Encaissements!$C$6:$C$3005,"&lt;="&amp;($C1230+3)))</f>
        <v/>
      </c>
      <c r="I1230" s="12">
        <f>IF($H1230="","",IF($H1230=0,"Non trouvé",IF($H1230=1,"Match","À vérifier")))</f>
        <v/>
      </c>
      <c r="J1230" s="21">
        <f>IF($I1230&lt;&gt;"Match","",INDEX(Ventes_Encaissements!$B$6:$B$3005,_xludf.AGGREGATE(15,6,(ROW(Ventes_Encaissements!$B$6:$B$3005)-ROW(Ventes_Encaissements!$B$6)+1)/((Ventes_Encaissements!$E$6:$E$3005=$B1230)*(Ventes_Encaissements!$J$6:$J$3005=$G1230)*(Ventes_Encaissements!$C$6:$C$3005&gt;=$C1230-3)*(Ventes_Encaissements!$C$6:$C$3005&lt;=$C1230+3)),1)))</f>
        <v/>
      </c>
      <c r="K1230" s="6" t="n"/>
    </row>
    <row r="1231">
      <c r="A1231" s="6" t="n"/>
      <c r="B1231" s="6" t="n"/>
      <c r="C1231" s="19" t="n"/>
      <c r="D1231" s="19" t="n"/>
      <c r="E1231" s="6" t="n"/>
      <c r="F1231" s="20" t="n"/>
      <c r="G1231" s="9">
        <f>IF($F1231="","",IF($F1231&gt;0,ROUND($F1231,2),""))</f>
        <v/>
      </c>
      <c r="H1231" s="12">
        <f>IF(OR($B1231="",$C1231="",$G1231=""),"",COUNTIFS(Ventes_Encaissements!$E$6:$E$3005,$B1231,Ventes_Encaissements!$J$6:$J$3005,$G1231,Ventes_Encaissements!$C$6:$C$3005,"&gt;="&amp;($C1231-3),Ventes_Encaissements!$C$6:$C$3005,"&lt;="&amp;($C1231+3)))</f>
        <v/>
      </c>
      <c r="I1231" s="12">
        <f>IF($H1231="","",IF($H1231=0,"Non trouvé",IF($H1231=1,"Match","À vérifier")))</f>
        <v/>
      </c>
      <c r="J1231" s="21">
        <f>IF($I1231&lt;&gt;"Match","",INDEX(Ventes_Encaissements!$B$6:$B$3005,_xludf.AGGREGATE(15,6,(ROW(Ventes_Encaissements!$B$6:$B$3005)-ROW(Ventes_Encaissements!$B$6)+1)/((Ventes_Encaissements!$E$6:$E$3005=$B1231)*(Ventes_Encaissements!$J$6:$J$3005=$G1231)*(Ventes_Encaissements!$C$6:$C$3005&gt;=$C1231-3)*(Ventes_Encaissements!$C$6:$C$3005&lt;=$C1231+3)),1)))</f>
        <v/>
      </c>
      <c r="K1231" s="6" t="n"/>
    </row>
    <row r="1232">
      <c r="A1232" s="6" t="n"/>
      <c r="B1232" s="6" t="n"/>
      <c r="C1232" s="19" t="n"/>
      <c r="D1232" s="19" t="n"/>
      <c r="E1232" s="6" t="n"/>
      <c r="F1232" s="20" t="n"/>
      <c r="G1232" s="9">
        <f>IF($F1232="","",IF($F1232&gt;0,ROUND($F1232,2),""))</f>
        <v/>
      </c>
      <c r="H1232" s="12">
        <f>IF(OR($B1232="",$C1232="",$G1232=""),"",COUNTIFS(Ventes_Encaissements!$E$6:$E$3005,$B1232,Ventes_Encaissements!$J$6:$J$3005,$G1232,Ventes_Encaissements!$C$6:$C$3005,"&gt;="&amp;($C1232-3),Ventes_Encaissements!$C$6:$C$3005,"&lt;="&amp;($C1232+3)))</f>
        <v/>
      </c>
      <c r="I1232" s="12">
        <f>IF($H1232="","",IF($H1232=0,"Non trouvé",IF($H1232=1,"Match","À vérifier")))</f>
        <v/>
      </c>
      <c r="J1232" s="21">
        <f>IF($I1232&lt;&gt;"Match","",INDEX(Ventes_Encaissements!$B$6:$B$3005,_xludf.AGGREGATE(15,6,(ROW(Ventes_Encaissements!$B$6:$B$3005)-ROW(Ventes_Encaissements!$B$6)+1)/((Ventes_Encaissements!$E$6:$E$3005=$B1232)*(Ventes_Encaissements!$J$6:$J$3005=$G1232)*(Ventes_Encaissements!$C$6:$C$3005&gt;=$C1232-3)*(Ventes_Encaissements!$C$6:$C$3005&lt;=$C1232+3)),1)))</f>
        <v/>
      </c>
      <c r="K1232" s="6" t="n"/>
    </row>
    <row r="1233">
      <c r="A1233" s="6" t="n"/>
      <c r="B1233" s="6" t="n"/>
      <c r="C1233" s="19" t="n"/>
      <c r="D1233" s="19" t="n"/>
      <c r="E1233" s="6" t="n"/>
      <c r="F1233" s="20" t="n"/>
      <c r="G1233" s="9">
        <f>IF($F1233="","",IF($F1233&gt;0,ROUND($F1233,2),""))</f>
        <v/>
      </c>
      <c r="H1233" s="12">
        <f>IF(OR($B1233="",$C1233="",$G1233=""),"",COUNTIFS(Ventes_Encaissements!$E$6:$E$3005,$B1233,Ventes_Encaissements!$J$6:$J$3005,$G1233,Ventes_Encaissements!$C$6:$C$3005,"&gt;="&amp;($C1233-3),Ventes_Encaissements!$C$6:$C$3005,"&lt;="&amp;($C1233+3)))</f>
        <v/>
      </c>
      <c r="I1233" s="12">
        <f>IF($H1233="","",IF($H1233=0,"Non trouvé",IF($H1233=1,"Match","À vérifier")))</f>
        <v/>
      </c>
      <c r="J1233" s="21">
        <f>IF($I1233&lt;&gt;"Match","",INDEX(Ventes_Encaissements!$B$6:$B$3005,_xludf.AGGREGATE(15,6,(ROW(Ventes_Encaissements!$B$6:$B$3005)-ROW(Ventes_Encaissements!$B$6)+1)/((Ventes_Encaissements!$E$6:$E$3005=$B1233)*(Ventes_Encaissements!$J$6:$J$3005=$G1233)*(Ventes_Encaissements!$C$6:$C$3005&gt;=$C1233-3)*(Ventes_Encaissements!$C$6:$C$3005&lt;=$C1233+3)),1)))</f>
        <v/>
      </c>
      <c r="K1233" s="6" t="n"/>
    </row>
    <row r="1234">
      <c r="A1234" s="6" t="n"/>
      <c r="B1234" s="6" t="n"/>
      <c r="C1234" s="19" t="n"/>
      <c r="D1234" s="19" t="n"/>
      <c r="E1234" s="6" t="n"/>
      <c r="F1234" s="20" t="n"/>
      <c r="G1234" s="9">
        <f>IF($F1234="","",IF($F1234&gt;0,ROUND($F1234,2),""))</f>
        <v/>
      </c>
      <c r="H1234" s="12">
        <f>IF(OR($B1234="",$C1234="",$G1234=""),"",COUNTIFS(Ventes_Encaissements!$E$6:$E$3005,$B1234,Ventes_Encaissements!$J$6:$J$3005,$G1234,Ventes_Encaissements!$C$6:$C$3005,"&gt;="&amp;($C1234-3),Ventes_Encaissements!$C$6:$C$3005,"&lt;="&amp;($C1234+3)))</f>
        <v/>
      </c>
      <c r="I1234" s="12">
        <f>IF($H1234="","",IF($H1234=0,"Non trouvé",IF($H1234=1,"Match","À vérifier")))</f>
        <v/>
      </c>
      <c r="J1234" s="21">
        <f>IF($I1234&lt;&gt;"Match","",INDEX(Ventes_Encaissements!$B$6:$B$3005,_xludf.AGGREGATE(15,6,(ROW(Ventes_Encaissements!$B$6:$B$3005)-ROW(Ventes_Encaissements!$B$6)+1)/((Ventes_Encaissements!$E$6:$E$3005=$B1234)*(Ventes_Encaissements!$J$6:$J$3005=$G1234)*(Ventes_Encaissements!$C$6:$C$3005&gt;=$C1234-3)*(Ventes_Encaissements!$C$6:$C$3005&lt;=$C1234+3)),1)))</f>
        <v/>
      </c>
      <c r="K1234" s="6" t="n"/>
    </row>
    <row r="1235">
      <c r="A1235" s="6" t="n"/>
      <c r="B1235" s="6" t="n"/>
      <c r="C1235" s="19" t="n"/>
      <c r="D1235" s="19" t="n"/>
      <c r="E1235" s="6" t="n"/>
      <c r="F1235" s="20" t="n"/>
      <c r="G1235" s="9">
        <f>IF($F1235="","",IF($F1235&gt;0,ROUND($F1235,2),""))</f>
        <v/>
      </c>
      <c r="H1235" s="12">
        <f>IF(OR($B1235="",$C1235="",$G1235=""),"",COUNTIFS(Ventes_Encaissements!$E$6:$E$3005,$B1235,Ventes_Encaissements!$J$6:$J$3005,$G1235,Ventes_Encaissements!$C$6:$C$3005,"&gt;="&amp;($C1235-3),Ventes_Encaissements!$C$6:$C$3005,"&lt;="&amp;($C1235+3)))</f>
        <v/>
      </c>
      <c r="I1235" s="12">
        <f>IF($H1235="","",IF($H1235=0,"Non trouvé",IF($H1235=1,"Match","À vérifier")))</f>
        <v/>
      </c>
      <c r="J1235" s="21">
        <f>IF($I1235&lt;&gt;"Match","",INDEX(Ventes_Encaissements!$B$6:$B$3005,_xludf.AGGREGATE(15,6,(ROW(Ventes_Encaissements!$B$6:$B$3005)-ROW(Ventes_Encaissements!$B$6)+1)/((Ventes_Encaissements!$E$6:$E$3005=$B1235)*(Ventes_Encaissements!$J$6:$J$3005=$G1235)*(Ventes_Encaissements!$C$6:$C$3005&gt;=$C1235-3)*(Ventes_Encaissements!$C$6:$C$3005&lt;=$C1235+3)),1)))</f>
        <v/>
      </c>
      <c r="K1235" s="6" t="n"/>
    </row>
    <row r="1236">
      <c r="A1236" s="6" t="n"/>
      <c r="B1236" s="6" t="n"/>
      <c r="C1236" s="19" t="n"/>
      <c r="D1236" s="19" t="n"/>
      <c r="E1236" s="6" t="n"/>
      <c r="F1236" s="20" t="n"/>
      <c r="G1236" s="9">
        <f>IF($F1236="","",IF($F1236&gt;0,ROUND($F1236,2),""))</f>
        <v/>
      </c>
      <c r="H1236" s="12">
        <f>IF(OR($B1236="",$C1236="",$G1236=""),"",COUNTIFS(Ventes_Encaissements!$E$6:$E$3005,$B1236,Ventes_Encaissements!$J$6:$J$3005,$G1236,Ventes_Encaissements!$C$6:$C$3005,"&gt;="&amp;($C1236-3),Ventes_Encaissements!$C$6:$C$3005,"&lt;="&amp;($C1236+3)))</f>
        <v/>
      </c>
      <c r="I1236" s="12">
        <f>IF($H1236="","",IF($H1236=0,"Non trouvé",IF($H1236=1,"Match","À vérifier")))</f>
        <v/>
      </c>
      <c r="J1236" s="21">
        <f>IF($I1236&lt;&gt;"Match","",INDEX(Ventes_Encaissements!$B$6:$B$3005,_xludf.AGGREGATE(15,6,(ROW(Ventes_Encaissements!$B$6:$B$3005)-ROW(Ventes_Encaissements!$B$6)+1)/((Ventes_Encaissements!$E$6:$E$3005=$B1236)*(Ventes_Encaissements!$J$6:$J$3005=$G1236)*(Ventes_Encaissements!$C$6:$C$3005&gt;=$C1236-3)*(Ventes_Encaissements!$C$6:$C$3005&lt;=$C1236+3)),1)))</f>
        <v/>
      </c>
      <c r="K1236" s="6" t="n"/>
    </row>
    <row r="1237">
      <c r="A1237" s="6" t="n"/>
      <c r="B1237" s="6" t="n"/>
      <c r="C1237" s="19" t="n"/>
      <c r="D1237" s="19" t="n"/>
      <c r="E1237" s="6" t="n"/>
      <c r="F1237" s="20" t="n"/>
      <c r="G1237" s="9">
        <f>IF($F1237="","",IF($F1237&gt;0,ROUND($F1237,2),""))</f>
        <v/>
      </c>
      <c r="H1237" s="12">
        <f>IF(OR($B1237="",$C1237="",$G1237=""),"",COUNTIFS(Ventes_Encaissements!$E$6:$E$3005,$B1237,Ventes_Encaissements!$J$6:$J$3005,$G1237,Ventes_Encaissements!$C$6:$C$3005,"&gt;="&amp;($C1237-3),Ventes_Encaissements!$C$6:$C$3005,"&lt;="&amp;($C1237+3)))</f>
        <v/>
      </c>
      <c r="I1237" s="12">
        <f>IF($H1237="","",IF($H1237=0,"Non trouvé",IF($H1237=1,"Match","À vérifier")))</f>
        <v/>
      </c>
      <c r="J1237" s="21">
        <f>IF($I1237&lt;&gt;"Match","",INDEX(Ventes_Encaissements!$B$6:$B$3005,_xludf.AGGREGATE(15,6,(ROW(Ventes_Encaissements!$B$6:$B$3005)-ROW(Ventes_Encaissements!$B$6)+1)/((Ventes_Encaissements!$E$6:$E$3005=$B1237)*(Ventes_Encaissements!$J$6:$J$3005=$G1237)*(Ventes_Encaissements!$C$6:$C$3005&gt;=$C1237-3)*(Ventes_Encaissements!$C$6:$C$3005&lt;=$C1237+3)),1)))</f>
        <v/>
      </c>
      <c r="K1237" s="6" t="n"/>
    </row>
    <row r="1238">
      <c r="A1238" s="6" t="n"/>
      <c r="B1238" s="6" t="n"/>
      <c r="C1238" s="19" t="n"/>
      <c r="D1238" s="19" t="n"/>
      <c r="E1238" s="6" t="n"/>
      <c r="F1238" s="20" t="n"/>
      <c r="G1238" s="9">
        <f>IF($F1238="","",IF($F1238&gt;0,ROUND($F1238,2),""))</f>
        <v/>
      </c>
      <c r="H1238" s="12">
        <f>IF(OR($B1238="",$C1238="",$G1238=""),"",COUNTIFS(Ventes_Encaissements!$E$6:$E$3005,$B1238,Ventes_Encaissements!$J$6:$J$3005,$G1238,Ventes_Encaissements!$C$6:$C$3005,"&gt;="&amp;($C1238-3),Ventes_Encaissements!$C$6:$C$3005,"&lt;="&amp;($C1238+3)))</f>
        <v/>
      </c>
      <c r="I1238" s="12">
        <f>IF($H1238="","",IF($H1238=0,"Non trouvé",IF($H1238=1,"Match","À vérifier")))</f>
        <v/>
      </c>
      <c r="J1238" s="21">
        <f>IF($I1238&lt;&gt;"Match","",INDEX(Ventes_Encaissements!$B$6:$B$3005,_xludf.AGGREGATE(15,6,(ROW(Ventes_Encaissements!$B$6:$B$3005)-ROW(Ventes_Encaissements!$B$6)+1)/((Ventes_Encaissements!$E$6:$E$3005=$B1238)*(Ventes_Encaissements!$J$6:$J$3005=$G1238)*(Ventes_Encaissements!$C$6:$C$3005&gt;=$C1238-3)*(Ventes_Encaissements!$C$6:$C$3005&lt;=$C1238+3)),1)))</f>
        <v/>
      </c>
      <c r="K1238" s="6" t="n"/>
    </row>
    <row r="1239">
      <c r="A1239" s="6" t="n"/>
      <c r="B1239" s="6" t="n"/>
      <c r="C1239" s="19" t="n"/>
      <c r="D1239" s="19" t="n"/>
      <c r="E1239" s="6" t="n"/>
      <c r="F1239" s="20" t="n"/>
      <c r="G1239" s="9">
        <f>IF($F1239="","",IF($F1239&gt;0,ROUND($F1239,2),""))</f>
        <v/>
      </c>
      <c r="H1239" s="12">
        <f>IF(OR($B1239="",$C1239="",$G1239=""),"",COUNTIFS(Ventes_Encaissements!$E$6:$E$3005,$B1239,Ventes_Encaissements!$J$6:$J$3005,$G1239,Ventes_Encaissements!$C$6:$C$3005,"&gt;="&amp;($C1239-3),Ventes_Encaissements!$C$6:$C$3005,"&lt;="&amp;($C1239+3)))</f>
        <v/>
      </c>
      <c r="I1239" s="12">
        <f>IF($H1239="","",IF($H1239=0,"Non trouvé",IF($H1239=1,"Match","À vérifier")))</f>
        <v/>
      </c>
      <c r="J1239" s="21">
        <f>IF($I1239&lt;&gt;"Match","",INDEX(Ventes_Encaissements!$B$6:$B$3005,_xludf.AGGREGATE(15,6,(ROW(Ventes_Encaissements!$B$6:$B$3005)-ROW(Ventes_Encaissements!$B$6)+1)/((Ventes_Encaissements!$E$6:$E$3005=$B1239)*(Ventes_Encaissements!$J$6:$J$3005=$G1239)*(Ventes_Encaissements!$C$6:$C$3005&gt;=$C1239-3)*(Ventes_Encaissements!$C$6:$C$3005&lt;=$C1239+3)),1)))</f>
        <v/>
      </c>
      <c r="K1239" s="6" t="n"/>
    </row>
    <row r="1240">
      <c r="A1240" s="6" t="n"/>
      <c r="B1240" s="6" t="n"/>
      <c r="C1240" s="19" t="n"/>
      <c r="D1240" s="19" t="n"/>
      <c r="E1240" s="6" t="n"/>
      <c r="F1240" s="20" t="n"/>
      <c r="G1240" s="9">
        <f>IF($F1240="","",IF($F1240&gt;0,ROUND($F1240,2),""))</f>
        <v/>
      </c>
      <c r="H1240" s="12">
        <f>IF(OR($B1240="",$C1240="",$G1240=""),"",COUNTIFS(Ventes_Encaissements!$E$6:$E$3005,$B1240,Ventes_Encaissements!$J$6:$J$3005,$G1240,Ventes_Encaissements!$C$6:$C$3005,"&gt;="&amp;($C1240-3),Ventes_Encaissements!$C$6:$C$3005,"&lt;="&amp;($C1240+3)))</f>
        <v/>
      </c>
      <c r="I1240" s="12">
        <f>IF($H1240="","",IF($H1240=0,"Non trouvé",IF($H1240=1,"Match","À vérifier")))</f>
        <v/>
      </c>
      <c r="J1240" s="21">
        <f>IF($I1240&lt;&gt;"Match","",INDEX(Ventes_Encaissements!$B$6:$B$3005,_xludf.AGGREGATE(15,6,(ROW(Ventes_Encaissements!$B$6:$B$3005)-ROW(Ventes_Encaissements!$B$6)+1)/((Ventes_Encaissements!$E$6:$E$3005=$B1240)*(Ventes_Encaissements!$J$6:$J$3005=$G1240)*(Ventes_Encaissements!$C$6:$C$3005&gt;=$C1240-3)*(Ventes_Encaissements!$C$6:$C$3005&lt;=$C1240+3)),1)))</f>
        <v/>
      </c>
      <c r="K1240" s="6" t="n"/>
    </row>
    <row r="1241">
      <c r="A1241" s="6" t="n"/>
      <c r="B1241" s="6" t="n"/>
      <c r="C1241" s="19" t="n"/>
      <c r="D1241" s="19" t="n"/>
      <c r="E1241" s="6" t="n"/>
      <c r="F1241" s="20" t="n"/>
      <c r="G1241" s="9">
        <f>IF($F1241="","",IF($F1241&gt;0,ROUND($F1241,2),""))</f>
        <v/>
      </c>
      <c r="H1241" s="12">
        <f>IF(OR($B1241="",$C1241="",$G1241=""),"",COUNTIFS(Ventes_Encaissements!$E$6:$E$3005,$B1241,Ventes_Encaissements!$J$6:$J$3005,$G1241,Ventes_Encaissements!$C$6:$C$3005,"&gt;="&amp;($C1241-3),Ventes_Encaissements!$C$6:$C$3005,"&lt;="&amp;($C1241+3)))</f>
        <v/>
      </c>
      <c r="I1241" s="12">
        <f>IF($H1241="","",IF($H1241=0,"Non trouvé",IF($H1241=1,"Match","À vérifier")))</f>
        <v/>
      </c>
      <c r="J1241" s="21">
        <f>IF($I1241&lt;&gt;"Match","",INDEX(Ventes_Encaissements!$B$6:$B$3005,_xludf.AGGREGATE(15,6,(ROW(Ventes_Encaissements!$B$6:$B$3005)-ROW(Ventes_Encaissements!$B$6)+1)/((Ventes_Encaissements!$E$6:$E$3005=$B1241)*(Ventes_Encaissements!$J$6:$J$3005=$G1241)*(Ventes_Encaissements!$C$6:$C$3005&gt;=$C1241-3)*(Ventes_Encaissements!$C$6:$C$3005&lt;=$C1241+3)),1)))</f>
        <v/>
      </c>
      <c r="K1241" s="6" t="n"/>
    </row>
    <row r="1242">
      <c r="A1242" s="6" t="n"/>
      <c r="B1242" s="6" t="n"/>
      <c r="C1242" s="19" t="n"/>
      <c r="D1242" s="19" t="n"/>
      <c r="E1242" s="6" t="n"/>
      <c r="F1242" s="20" t="n"/>
      <c r="G1242" s="9">
        <f>IF($F1242="","",IF($F1242&gt;0,ROUND($F1242,2),""))</f>
        <v/>
      </c>
      <c r="H1242" s="12">
        <f>IF(OR($B1242="",$C1242="",$G1242=""),"",COUNTIFS(Ventes_Encaissements!$E$6:$E$3005,$B1242,Ventes_Encaissements!$J$6:$J$3005,$G1242,Ventes_Encaissements!$C$6:$C$3005,"&gt;="&amp;($C1242-3),Ventes_Encaissements!$C$6:$C$3005,"&lt;="&amp;($C1242+3)))</f>
        <v/>
      </c>
      <c r="I1242" s="12">
        <f>IF($H1242="","",IF($H1242=0,"Non trouvé",IF($H1242=1,"Match","À vérifier")))</f>
        <v/>
      </c>
      <c r="J1242" s="21">
        <f>IF($I1242&lt;&gt;"Match","",INDEX(Ventes_Encaissements!$B$6:$B$3005,_xludf.AGGREGATE(15,6,(ROW(Ventes_Encaissements!$B$6:$B$3005)-ROW(Ventes_Encaissements!$B$6)+1)/((Ventes_Encaissements!$E$6:$E$3005=$B1242)*(Ventes_Encaissements!$J$6:$J$3005=$G1242)*(Ventes_Encaissements!$C$6:$C$3005&gt;=$C1242-3)*(Ventes_Encaissements!$C$6:$C$3005&lt;=$C1242+3)),1)))</f>
        <v/>
      </c>
      <c r="K1242" s="6" t="n"/>
    </row>
    <row r="1243">
      <c r="A1243" s="6" t="n"/>
      <c r="B1243" s="6" t="n"/>
      <c r="C1243" s="19" t="n"/>
      <c r="D1243" s="19" t="n"/>
      <c r="E1243" s="6" t="n"/>
      <c r="F1243" s="20" t="n"/>
      <c r="G1243" s="9">
        <f>IF($F1243="","",IF($F1243&gt;0,ROUND($F1243,2),""))</f>
        <v/>
      </c>
      <c r="H1243" s="12">
        <f>IF(OR($B1243="",$C1243="",$G1243=""),"",COUNTIFS(Ventes_Encaissements!$E$6:$E$3005,$B1243,Ventes_Encaissements!$J$6:$J$3005,$G1243,Ventes_Encaissements!$C$6:$C$3005,"&gt;="&amp;($C1243-3),Ventes_Encaissements!$C$6:$C$3005,"&lt;="&amp;($C1243+3)))</f>
        <v/>
      </c>
      <c r="I1243" s="12">
        <f>IF($H1243="","",IF($H1243=0,"Non trouvé",IF($H1243=1,"Match","À vérifier")))</f>
        <v/>
      </c>
      <c r="J1243" s="21">
        <f>IF($I1243&lt;&gt;"Match","",INDEX(Ventes_Encaissements!$B$6:$B$3005,_xludf.AGGREGATE(15,6,(ROW(Ventes_Encaissements!$B$6:$B$3005)-ROW(Ventes_Encaissements!$B$6)+1)/((Ventes_Encaissements!$E$6:$E$3005=$B1243)*(Ventes_Encaissements!$J$6:$J$3005=$G1243)*(Ventes_Encaissements!$C$6:$C$3005&gt;=$C1243-3)*(Ventes_Encaissements!$C$6:$C$3005&lt;=$C1243+3)),1)))</f>
        <v/>
      </c>
      <c r="K1243" s="6" t="n"/>
    </row>
    <row r="1244">
      <c r="A1244" s="6" t="n"/>
      <c r="B1244" s="6" t="n"/>
      <c r="C1244" s="19" t="n"/>
      <c r="D1244" s="19" t="n"/>
      <c r="E1244" s="6" t="n"/>
      <c r="F1244" s="20" t="n"/>
      <c r="G1244" s="9">
        <f>IF($F1244="","",IF($F1244&gt;0,ROUND($F1244,2),""))</f>
        <v/>
      </c>
      <c r="H1244" s="12">
        <f>IF(OR($B1244="",$C1244="",$G1244=""),"",COUNTIFS(Ventes_Encaissements!$E$6:$E$3005,$B1244,Ventes_Encaissements!$J$6:$J$3005,$G1244,Ventes_Encaissements!$C$6:$C$3005,"&gt;="&amp;($C1244-3),Ventes_Encaissements!$C$6:$C$3005,"&lt;="&amp;($C1244+3)))</f>
        <v/>
      </c>
      <c r="I1244" s="12">
        <f>IF($H1244="","",IF($H1244=0,"Non trouvé",IF($H1244=1,"Match","À vérifier")))</f>
        <v/>
      </c>
      <c r="J1244" s="21">
        <f>IF($I1244&lt;&gt;"Match","",INDEX(Ventes_Encaissements!$B$6:$B$3005,_xludf.AGGREGATE(15,6,(ROW(Ventes_Encaissements!$B$6:$B$3005)-ROW(Ventes_Encaissements!$B$6)+1)/((Ventes_Encaissements!$E$6:$E$3005=$B1244)*(Ventes_Encaissements!$J$6:$J$3005=$G1244)*(Ventes_Encaissements!$C$6:$C$3005&gt;=$C1244-3)*(Ventes_Encaissements!$C$6:$C$3005&lt;=$C1244+3)),1)))</f>
        <v/>
      </c>
      <c r="K1244" s="6" t="n"/>
    </row>
    <row r="1245">
      <c r="A1245" s="6" t="n"/>
      <c r="B1245" s="6" t="n"/>
      <c r="C1245" s="19" t="n"/>
      <c r="D1245" s="19" t="n"/>
      <c r="E1245" s="6" t="n"/>
      <c r="F1245" s="20" t="n"/>
      <c r="G1245" s="9">
        <f>IF($F1245="","",IF($F1245&gt;0,ROUND($F1245,2),""))</f>
        <v/>
      </c>
      <c r="H1245" s="12">
        <f>IF(OR($B1245="",$C1245="",$G1245=""),"",COUNTIFS(Ventes_Encaissements!$E$6:$E$3005,$B1245,Ventes_Encaissements!$J$6:$J$3005,$G1245,Ventes_Encaissements!$C$6:$C$3005,"&gt;="&amp;($C1245-3),Ventes_Encaissements!$C$6:$C$3005,"&lt;="&amp;($C1245+3)))</f>
        <v/>
      </c>
      <c r="I1245" s="12">
        <f>IF($H1245="","",IF($H1245=0,"Non trouvé",IF($H1245=1,"Match","À vérifier")))</f>
        <v/>
      </c>
      <c r="J1245" s="21">
        <f>IF($I1245&lt;&gt;"Match","",INDEX(Ventes_Encaissements!$B$6:$B$3005,_xludf.AGGREGATE(15,6,(ROW(Ventes_Encaissements!$B$6:$B$3005)-ROW(Ventes_Encaissements!$B$6)+1)/((Ventes_Encaissements!$E$6:$E$3005=$B1245)*(Ventes_Encaissements!$J$6:$J$3005=$G1245)*(Ventes_Encaissements!$C$6:$C$3005&gt;=$C1245-3)*(Ventes_Encaissements!$C$6:$C$3005&lt;=$C1245+3)),1)))</f>
        <v/>
      </c>
      <c r="K1245" s="6" t="n"/>
    </row>
    <row r="1246">
      <c r="A1246" s="6" t="n"/>
      <c r="B1246" s="6" t="n"/>
      <c r="C1246" s="19" t="n"/>
      <c r="D1246" s="19" t="n"/>
      <c r="E1246" s="6" t="n"/>
      <c r="F1246" s="20" t="n"/>
      <c r="G1246" s="9">
        <f>IF($F1246="","",IF($F1246&gt;0,ROUND($F1246,2),""))</f>
        <v/>
      </c>
      <c r="H1246" s="12">
        <f>IF(OR($B1246="",$C1246="",$G1246=""),"",COUNTIFS(Ventes_Encaissements!$E$6:$E$3005,$B1246,Ventes_Encaissements!$J$6:$J$3005,$G1246,Ventes_Encaissements!$C$6:$C$3005,"&gt;="&amp;($C1246-3),Ventes_Encaissements!$C$6:$C$3005,"&lt;="&amp;($C1246+3)))</f>
        <v/>
      </c>
      <c r="I1246" s="12">
        <f>IF($H1246="","",IF($H1246=0,"Non trouvé",IF($H1246=1,"Match","À vérifier")))</f>
        <v/>
      </c>
      <c r="J1246" s="21">
        <f>IF($I1246&lt;&gt;"Match","",INDEX(Ventes_Encaissements!$B$6:$B$3005,_xludf.AGGREGATE(15,6,(ROW(Ventes_Encaissements!$B$6:$B$3005)-ROW(Ventes_Encaissements!$B$6)+1)/((Ventes_Encaissements!$E$6:$E$3005=$B1246)*(Ventes_Encaissements!$J$6:$J$3005=$G1246)*(Ventes_Encaissements!$C$6:$C$3005&gt;=$C1246-3)*(Ventes_Encaissements!$C$6:$C$3005&lt;=$C1246+3)),1)))</f>
        <v/>
      </c>
      <c r="K1246" s="6" t="n"/>
    </row>
    <row r="1247">
      <c r="A1247" s="6" t="n"/>
      <c r="B1247" s="6" t="n"/>
      <c r="C1247" s="19" t="n"/>
      <c r="D1247" s="19" t="n"/>
      <c r="E1247" s="6" t="n"/>
      <c r="F1247" s="20" t="n"/>
      <c r="G1247" s="9">
        <f>IF($F1247="","",IF($F1247&gt;0,ROUND($F1247,2),""))</f>
        <v/>
      </c>
      <c r="H1247" s="12">
        <f>IF(OR($B1247="",$C1247="",$G1247=""),"",COUNTIFS(Ventes_Encaissements!$E$6:$E$3005,$B1247,Ventes_Encaissements!$J$6:$J$3005,$G1247,Ventes_Encaissements!$C$6:$C$3005,"&gt;="&amp;($C1247-3),Ventes_Encaissements!$C$6:$C$3005,"&lt;="&amp;($C1247+3)))</f>
        <v/>
      </c>
      <c r="I1247" s="12">
        <f>IF($H1247="","",IF($H1247=0,"Non trouvé",IF($H1247=1,"Match","À vérifier")))</f>
        <v/>
      </c>
      <c r="J1247" s="21">
        <f>IF($I1247&lt;&gt;"Match","",INDEX(Ventes_Encaissements!$B$6:$B$3005,_xludf.AGGREGATE(15,6,(ROW(Ventes_Encaissements!$B$6:$B$3005)-ROW(Ventes_Encaissements!$B$6)+1)/((Ventes_Encaissements!$E$6:$E$3005=$B1247)*(Ventes_Encaissements!$J$6:$J$3005=$G1247)*(Ventes_Encaissements!$C$6:$C$3005&gt;=$C1247-3)*(Ventes_Encaissements!$C$6:$C$3005&lt;=$C1247+3)),1)))</f>
        <v/>
      </c>
      <c r="K1247" s="6" t="n"/>
    </row>
    <row r="1248">
      <c r="A1248" s="6" t="n"/>
      <c r="B1248" s="6" t="n"/>
      <c r="C1248" s="19" t="n"/>
      <c r="D1248" s="19" t="n"/>
      <c r="E1248" s="6" t="n"/>
      <c r="F1248" s="20" t="n"/>
      <c r="G1248" s="9">
        <f>IF($F1248="","",IF($F1248&gt;0,ROUND($F1248,2),""))</f>
        <v/>
      </c>
      <c r="H1248" s="12">
        <f>IF(OR($B1248="",$C1248="",$G1248=""),"",COUNTIFS(Ventes_Encaissements!$E$6:$E$3005,$B1248,Ventes_Encaissements!$J$6:$J$3005,$G1248,Ventes_Encaissements!$C$6:$C$3005,"&gt;="&amp;($C1248-3),Ventes_Encaissements!$C$6:$C$3005,"&lt;="&amp;($C1248+3)))</f>
        <v/>
      </c>
      <c r="I1248" s="12">
        <f>IF($H1248="","",IF($H1248=0,"Non trouvé",IF($H1248=1,"Match","À vérifier")))</f>
        <v/>
      </c>
      <c r="J1248" s="21">
        <f>IF($I1248&lt;&gt;"Match","",INDEX(Ventes_Encaissements!$B$6:$B$3005,_xludf.AGGREGATE(15,6,(ROW(Ventes_Encaissements!$B$6:$B$3005)-ROW(Ventes_Encaissements!$B$6)+1)/((Ventes_Encaissements!$E$6:$E$3005=$B1248)*(Ventes_Encaissements!$J$6:$J$3005=$G1248)*(Ventes_Encaissements!$C$6:$C$3005&gt;=$C1248-3)*(Ventes_Encaissements!$C$6:$C$3005&lt;=$C1248+3)),1)))</f>
        <v/>
      </c>
      <c r="K1248" s="6" t="n"/>
    </row>
    <row r="1249">
      <c r="A1249" s="6" t="n"/>
      <c r="B1249" s="6" t="n"/>
      <c r="C1249" s="19" t="n"/>
      <c r="D1249" s="19" t="n"/>
      <c r="E1249" s="6" t="n"/>
      <c r="F1249" s="20" t="n"/>
      <c r="G1249" s="9">
        <f>IF($F1249="","",IF($F1249&gt;0,ROUND($F1249,2),""))</f>
        <v/>
      </c>
      <c r="H1249" s="12">
        <f>IF(OR($B1249="",$C1249="",$G1249=""),"",COUNTIFS(Ventes_Encaissements!$E$6:$E$3005,$B1249,Ventes_Encaissements!$J$6:$J$3005,$G1249,Ventes_Encaissements!$C$6:$C$3005,"&gt;="&amp;($C1249-3),Ventes_Encaissements!$C$6:$C$3005,"&lt;="&amp;($C1249+3)))</f>
        <v/>
      </c>
      <c r="I1249" s="12">
        <f>IF($H1249="","",IF($H1249=0,"Non trouvé",IF($H1249=1,"Match","À vérifier")))</f>
        <v/>
      </c>
      <c r="J1249" s="21">
        <f>IF($I1249&lt;&gt;"Match","",INDEX(Ventes_Encaissements!$B$6:$B$3005,_xludf.AGGREGATE(15,6,(ROW(Ventes_Encaissements!$B$6:$B$3005)-ROW(Ventes_Encaissements!$B$6)+1)/((Ventes_Encaissements!$E$6:$E$3005=$B1249)*(Ventes_Encaissements!$J$6:$J$3005=$G1249)*(Ventes_Encaissements!$C$6:$C$3005&gt;=$C1249-3)*(Ventes_Encaissements!$C$6:$C$3005&lt;=$C1249+3)),1)))</f>
        <v/>
      </c>
      <c r="K1249" s="6" t="n"/>
    </row>
    <row r="1250">
      <c r="A1250" s="6" t="n"/>
      <c r="B1250" s="6" t="n"/>
      <c r="C1250" s="19" t="n"/>
      <c r="D1250" s="19" t="n"/>
      <c r="E1250" s="6" t="n"/>
      <c r="F1250" s="20" t="n"/>
      <c r="G1250" s="9">
        <f>IF($F1250="","",IF($F1250&gt;0,ROUND($F1250,2),""))</f>
        <v/>
      </c>
      <c r="H1250" s="12">
        <f>IF(OR($B1250="",$C1250="",$G1250=""),"",COUNTIFS(Ventes_Encaissements!$E$6:$E$3005,$B1250,Ventes_Encaissements!$J$6:$J$3005,$G1250,Ventes_Encaissements!$C$6:$C$3005,"&gt;="&amp;($C1250-3),Ventes_Encaissements!$C$6:$C$3005,"&lt;="&amp;($C1250+3)))</f>
        <v/>
      </c>
      <c r="I1250" s="12">
        <f>IF($H1250="","",IF($H1250=0,"Non trouvé",IF($H1250=1,"Match","À vérifier")))</f>
        <v/>
      </c>
      <c r="J1250" s="21">
        <f>IF($I1250&lt;&gt;"Match","",INDEX(Ventes_Encaissements!$B$6:$B$3005,_xludf.AGGREGATE(15,6,(ROW(Ventes_Encaissements!$B$6:$B$3005)-ROW(Ventes_Encaissements!$B$6)+1)/((Ventes_Encaissements!$E$6:$E$3005=$B1250)*(Ventes_Encaissements!$J$6:$J$3005=$G1250)*(Ventes_Encaissements!$C$6:$C$3005&gt;=$C1250-3)*(Ventes_Encaissements!$C$6:$C$3005&lt;=$C1250+3)),1)))</f>
        <v/>
      </c>
      <c r="K1250" s="6" t="n"/>
    </row>
    <row r="1251">
      <c r="A1251" s="6" t="n"/>
      <c r="B1251" s="6" t="n"/>
      <c r="C1251" s="19" t="n"/>
      <c r="D1251" s="19" t="n"/>
      <c r="E1251" s="6" t="n"/>
      <c r="F1251" s="20" t="n"/>
      <c r="G1251" s="9">
        <f>IF($F1251="","",IF($F1251&gt;0,ROUND($F1251,2),""))</f>
        <v/>
      </c>
      <c r="H1251" s="12">
        <f>IF(OR($B1251="",$C1251="",$G1251=""),"",COUNTIFS(Ventes_Encaissements!$E$6:$E$3005,$B1251,Ventes_Encaissements!$J$6:$J$3005,$G1251,Ventes_Encaissements!$C$6:$C$3005,"&gt;="&amp;($C1251-3),Ventes_Encaissements!$C$6:$C$3005,"&lt;="&amp;($C1251+3)))</f>
        <v/>
      </c>
      <c r="I1251" s="12">
        <f>IF($H1251="","",IF($H1251=0,"Non trouvé",IF($H1251=1,"Match","À vérifier")))</f>
        <v/>
      </c>
      <c r="J1251" s="21">
        <f>IF($I1251&lt;&gt;"Match","",INDEX(Ventes_Encaissements!$B$6:$B$3005,_xludf.AGGREGATE(15,6,(ROW(Ventes_Encaissements!$B$6:$B$3005)-ROW(Ventes_Encaissements!$B$6)+1)/((Ventes_Encaissements!$E$6:$E$3005=$B1251)*(Ventes_Encaissements!$J$6:$J$3005=$G1251)*(Ventes_Encaissements!$C$6:$C$3005&gt;=$C1251-3)*(Ventes_Encaissements!$C$6:$C$3005&lt;=$C1251+3)),1)))</f>
        <v/>
      </c>
      <c r="K1251" s="6" t="n"/>
    </row>
    <row r="1252">
      <c r="A1252" s="6" t="n"/>
      <c r="B1252" s="6" t="n"/>
      <c r="C1252" s="19" t="n"/>
      <c r="D1252" s="19" t="n"/>
      <c r="E1252" s="6" t="n"/>
      <c r="F1252" s="20" t="n"/>
      <c r="G1252" s="9">
        <f>IF($F1252="","",IF($F1252&gt;0,ROUND($F1252,2),""))</f>
        <v/>
      </c>
      <c r="H1252" s="12">
        <f>IF(OR($B1252="",$C1252="",$G1252=""),"",COUNTIFS(Ventes_Encaissements!$E$6:$E$3005,$B1252,Ventes_Encaissements!$J$6:$J$3005,$G1252,Ventes_Encaissements!$C$6:$C$3005,"&gt;="&amp;($C1252-3),Ventes_Encaissements!$C$6:$C$3005,"&lt;="&amp;($C1252+3)))</f>
        <v/>
      </c>
      <c r="I1252" s="12">
        <f>IF($H1252="","",IF($H1252=0,"Non trouvé",IF($H1252=1,"Match","À vérifier")))</f>
        <v/>
      </c>
      <c r="J1252" s="21">
        <f>IF($I1252&lt;&gt;"Match","",INDEX(Ventes_Encaissements!$B$6:$B$3005,_xludf.AGGREGATE(15,6,(ROW(Ventes_Encaissements!$B$6:$B$3005)-ROW(Ventes_Encaissements!$B$6)+1)/((Ventes_Encaissements!$E$6:$E$3005=$B1252)*(Ventes_Encaissements!$J$6:$J$3005=$G1252)*(Ventes_Encaissements!$C$6:$C$3005&gt;=$C1252-3)*(Ventes_Encaissements!$C$6:$C$3005&lt;=$C1252+3)),1)))</f>
        <v/>
      </c>
      <c r="K1252" s="6" t="n"/>
    </row>
    <row r="1253">
      <c r="A1253" s="6" t="n"/>
      <c r="B1253" s="6" t="n"/>
      <c r="C1253" s="19" t="n"/>
      <c r="D1253" s="19" t="n"/>
      <c r="E1253" s="6" t="n"/>
      <c r="F1253" s="20" t="n"/>
      <c r="G1253" s="9">
        <f>IF($F1253="","",IF($F1253&gt;0,ROUND($F1253,2),""))</f>
        <v/>
      </c>
      <c r="H1253" s="12">
        <f>IF(OR($B1253="",$C1253="",$G1253=""),"",COUNTIFS(Ventes_Encaissements!$E$6:$E$3005,$B1253,Ventes_Encaissements!$J$6:$J$3005,$G1253,Ventes_Encaissements!$C$6:$C$3005,"&gt;="&amp;($C1253-3),Ventes_Encaissements!$C$6:$C$3005,"&lt;="&amp;($C1253+3)))</f>
        <v/>
      </c>
      <c r="I1253" s="12">
        <f>IF($H1253="","",IF($H1253=0,"Non trouvé",IF($H1253=1,"Match","À vérifier")))</f>
        <v/>
      </c>
      <c r="J1253" s="21">
        <f>IF($I1253&lt;&gt;"Match","",INDEX(Ventes_Encaissements!$B$6:$B$3005,_xludf.AGGREGATE(15,6,(ROW(Ventes_Encaissements!$B$6:$B$3005)-ROW(Ventes_Encaissements!$B$6)+1)/((Ventes_Encaissements!$E$6:$E$3005=$B1253)*(Ventes_Encaissements!$J$6:$J$3005=$G1253)*(Ventes_Encaissements!$C$6:$C$3005&gt;=$C1253-3)*(Ventes_Encaissements!$C$6:$C$3005&lt;=$C1253+3)),1)))</f>
        <v/>
      </c>
      <c r="K1253" s="6" t="n"/>
    </row>
    <row r="1254">
      <c r="A1254" s="6" t="n"/>
      <c r="B1254" s="6" t="n"/>
      <c r="C1254" s="19" t="n"/>
      <c r="D1254" s="19" t="n"/>
      <c r="E1254" s="6" t="n"/>
      <c r="F1254" s="20" t="n"/>
      <c r="G1254" s="9">
        <f>IF($F1254="","",IF($F1254&gt;0,ROUND($F1254,2),""))</f>
        <v/>
      </c>
      <c r="H1254" s="12">
        <f>IF(OR($B1254="",$C1254="",$G1254=""),"",COUNTIFS(Ventes_Encaissements!$E$6:$E$3005,$B1254,Ventes_Encaissements!$J$6:$J$3005,$G1254,Ventes_Encaissements!$C$6:$C$3005,"&gt;="&amp;($C1254-3),Ventes_Encaissements!$C$6:$C$3005,"&lt;="&amp;($C1254+3)))</f>
        <v/>
      </c>
      <c r="I1254" s="12">
        <f>IF($H1254="","",IF($H1254=0,"Non trouvé",IF($H1254=1,"Match","À vérifier")))</f>
        <v/>
      </c>
      <c r="J1254" s="21">
        <f>IF($I1254&lt;&gt;"Match","",INDEX(Ventes_Encaissements!$B$6:$B$3005,_xludf.AGGREGATE(15,6,(ROW(Ventes_Encaissements!$B$6:$B$3005)-ROW(Ventes_Encaissements!$B$6)+1)/((Ventes_Encaissements!$E$6:$E$3005=$B1254)*(Ventes_Encaissements!$J$6:$J$3005=$G1254)*(Ventes_Encaissements!$C$6:$C$3005&gt;=$C1254-3)*(Ventes_Encaissements!$C$6:$C$3005&lt;=$C1254+3)),1)))</f>
        <v/>
      </c>
      <c r="K1254" s="6" t="n"/>
    </row>
    <row r="1255">
      <c r="A1255" s="6" t="n"/>
      <c r="B1255" s="6" t="n"/>
      <c r="C1255" s="19" t="n"/>
      <c r="D1255" s="19" t="n"/>
      <c r="E1255" s="6" t="n"/>
      <c r="F1255" s="20" t="n"/>
      <c r="G1255" s="9">
        <f>IF($F1255="","",IF($F1255&gt;0,ROUND($F1255,2),""))</f>
        <v/>
      </c>
      <c r="H1255" s="12">
        <f>IF(OR($B1255="",$C1255="",$G1255=""),"",COUNTIFS(Ventes_Encaissements!$E$6:$E$3005,$B1255,Ventes_Encaissements!$J$6:$J$3005,$G1255,Ventes_Encaissements!$C$6:$C$3005,"&gt;="&amp;($C1255-3),Ventes_Encaissements!$C$6:$C$3005,"&lt;="&amp;($C1255+3)))</f>
        <v/>
      </c>
      <c r="I1255" s="12">
        <f>IF($H1255="","",IF($H1255=0,"Non trouvé",IF($H1255=1,"Match","À vérifier")))</f>
        <v/>
      </c>
      <c r="J1255" s="21">
        <f>IF($I1255&lt;&gt;"Match","",INDEX(Ventes_Encaissements!$B$6:$B$3005,_xludf.AGGREGATE(15,6,(ROW(Ventes_Encaissements!$B$6:$B$3005)-ROW(Ventes_Encaissements!$B$6)+1)/((Ventes_Encaissements!$E$6:$E$3005=$B1255)*(Ventes_Encaissements!$J$6:$J$3005=$G1255)*(Ventes_Encaissements!$C$6:$C$3005&gt;=$C1255-3)*(Ventes_Encaissements!$C$6:$C$3005&lt;=$C1255+3)),1)))</f>
        <v/>
      </c>
      <c r="K1255" s="6" t="n"/>
    </row>
    <row r="1256">
      <c r="A1256" s="6" t="n"/>
      <c r="B1256" s="6" t="n"/>
      <c r="C1256" s="19" t="n"/>
      <c r="D1256" s="19" t="n"/>
      <c r="E1256" s="6" t="n"/>
      <c r="F1256" s="20" t="n"/>
      <c r="G1256" s="9">
        <f>IF($F1256="","",IF($F1256&gt;0,ROUND($F1256,2),""))</f>
        <v/>
      </c>
      <c r="H1256" s="12">
        <f>IF(OR($B1256="",$C1256="",$G1256=""),"",COUNTIFS(Ventes_Encaissements!$E$6:$E$3005,$B1256,Ventes_Encaissements!$J$6:$J$3005,$G1256,Ventes_Encaissements!$C$6:$C$3005,"&gt;="&amp;($C1256-3),Ventes_Encaissements!$C$6:$C$3005,"&lt;="&amp;($C1256+3)))</f>
        <v/>
      </c>
      <c r="I1256" s="12">
        <f>IF($H1256="","",IF($H1256=0,"Non trouvé",IF($H1256=1,"Match","À vérifier")))</f>
        <v/>
      </c>
      <c r="J1256" s="21">
        <f>IF($I1256&lt;&gt;"Match","",INDEX(Ventes_Encaissements!$B$6:$B$3005,_xludf.AGGREGATE(15,6,(ROW(Ventes_Encaissements!$B$6:$B$3005)-ROW(Ventes_Encaissements!$B$6)+1)/((Ventes_Encaissements!$E$6:$E$3005=$B1256)*(Ventes_Encaissements!$J$6:$J$3005=$G1256)*(Ventes_Encaissements!$C$6:$C$3005&gt;=$C1256-3)*(Ventes_Encaissements!$C$6:$C$3005&lt;=$C1256+3)),1)))</f>
        <v/>
      </c>
      <c r="K1256" s="6" t="n"/>
    </row>
    <row r="1257">
      <c r="A1257" s="6" t="n"/>
      <c r="B1257" s="6" t="n"/>
      <c r="C1257" s="19" t="n"/>
      <c r="D1257" s="19" t="n"/>
      <c r="E1257" s="6" t="n"/>
      <c r="F1257" s="20" t="n"/>
      <c r="G1257" s="9">
        <f>IF($F1257="","",IF($F1257&gt;0,ROUND($F1257,2),""))</f>
        <v/>
      </c>
      <c r="H1257" s="12">
        <f>IF(OR($B1257="",$C1257="",$G1257=""),"",COUNTIFS(Ventes_Encaissements!$E$6:$E$3005,$B1257,Ventes_Encaissements!$J$6:$J$3005,$G1257,Ventes_Encaissements!$C$6:$C$3005,"&gt;="&amp;($C1257-3),Ventes_Encaissements!$C$6:$C$3005,"&lt;="&amp;($C1257+3)))</f>
        <v/>
      </c>
      <c r="I1257" s="12">
        <f>IF($H1257="","",IF($H1257=0,"Non trouvé",IF($H1257=1,"Match","À vérifier")))</f>
        <v/>
      </c>
      <c r="J1257" s="21">
        <f>IF($I1257&lt;&gt;"Match","",INDEX(Ventes_Encaissements!$B$6:$B$3005,_xludf.AGGREGATE(15,6,(ROW(Ventes_Encaissements!$B$6:$B$3005)-ROW(Ventes_Encaissements!$B$6)+1)/((Ventes_Encaissements!$E$6:$E$3005=$B1257)*(Ventes_Encaissements!$J$6:$J$3005=$G1257)*(Ventes_Encaissements!$C$6:$C$3005&gt;=$C1257-3)*(Ventes_Encaissements!$C$6:$C$3005&lt;=$C1257+3)),1)))</f>
        <v/>
      </c>
      <c r="K1257" s="6" t="n"/>
    </row>
    <row r="1258">
      <c r="A1258" s="6" t="n"/>
      <c r="B1258" s="6" t="n"/>
      <c r="C1258" s="19" t="n"/>
      <c r="D1258" s="19" t="n"/>
      <c r="E1258" s="6" t="n"/>
      <c r="F1258" s="20" t="n"/>
      <c r="G1258" s="9">
        <f>IF($F1258="","",IF($F1258&gt;0,ROUND($F1258,2),""))</f>
        <v/>
      </c>
      <c r="H1258" s="12">
        <f>IF(OR($B1258="",$C1258="",$G1258=""),"",COUNTIFS(Ventes_Encaissements!$E$6:$E$3005,$B1258,Ventes_Encaissements!$J$6:$J$3005,$G1258,Ventes_Encaissements!$C$6:$C$3005,"&gt;="&amp;($C1258-3),Ventes_Encaissements!$C$6:$C$3005,"&lt;="&amp;($C1258+3)))</f>
        <v/>
      </c>
      <c r="I1258" s="12">
        <f>IF($H1258="","",IF($H1258=0,"Non trouvé",IF($H1258=1,"Match","À vérifier")))</f>
        <v/>
      </c>
      <c r="J1258" s="21">
        <f>IF($I1258&lt;&gt;"Match","",INDEX(Ventes_Encaissements!$B$6:$B$3005,_xludf.AGGREGATE(15,6,(ROW(Ventes_Encaissements!$B$6:$B$3005)-ROW(Ventes_Encaissements!$B$6)+1)/((Ventes_Encaissements!$E$6:$E$3005=$B1258)*(Ventes_Encaissements!$J$6:$J$3005=$G1258)*(Ventes_Encaissements!$C$6:$C$3005&gt;=$C1258-3)*(Ventes_Encaissements!$C$6:$C$3005&lt;=$C1258+3)),1)))</f>
        <v/>
      </c>
      <c r="K1258" s="6" t="n"/>
    </row>
    <row r="1259">
      <c r="A1259" s="6" t="n"/>
      <c r="B1259" s="6" t="n"/>
      <c r="C1259" s="19" t="n"/>
      <c r="D1259" s="19" t="n"/>
      <c r="E1259" s="6" t="n"/>
      <c r="F1259" s="20" t="n"/>
      <c r="G1259" s="9">
        <f>IF($F1259="","",IF($F1259&gt;0,ROUND($F1259,2),""))</f>
        <v/>
      </c>
      <c r="H1259" s="12">
        <f>IF(OR($B1259="",$C1259="",$G1259=""),"",COUNTIFS(Ventes_Encaissements!$E$6:$E$3005,$B1259,Ventes_Encaissements!$J$6:$J$3005,$G1259,Ventes_Encaissements!$C$6:$C$3005,"&gt;="&amp;($C1259-3),Ventes_Encaissements!$C$6:$C$3005,"&lt;="&amp;($C1259+3)))</f>
        <v/>
      </c>
      <c r="I1259" s="12">
        <f>IF($H1259="","",IF($H1259=0,"Non trouvé",IF($H1259=1,"Match","À vérifier")))</f>
        <v/>
      </c>
      <c r="J1259" s="21">
        <f>IF($I1259&lt;&gt;"Match","",INDEX(Ventes_Encaissements!$B$6:$B$3005,_xludf.AGGREGATE(15,6,(ROW(Ventes_Encaissements!$B$6:$B$3005)-ROW(Ventes_Encaissements!$B$6)+1)/((Ventes_Encaissements!$E$6:$E$3005=$B1259)*(Ventes_Encaissements!$J$6:$J$3005=$G1259)*(Ventes_Encaissements!$C$6:$C$3005&gt;=$C1259-3)*(Ventes_Encaissements!$C$6:$C$3005&lt;=$C1259+3)),1)))</f>
        <v/>
      </c>
      <c r="K1259" s="6" t="n"/>
    </row>
    <row r="1260">
      <c r="A1260" s="6" t="n"/>
      <c r="B1260" s="6" t="n"/>
      <c r="C1260" s="19" t="n"/>
      <c r="D1260" s="19" t="n"/>
      <c r="E1260" s="6" t="n"/>
      <c r="F1260" s="20" t="n"/>
      <c r="G1260" s="9">
        <f>IF($F1260="","",IF($F1260&gt;0,ROUND($F1260,2),""))</f>
        <v/>
      </c>
      <c r="H1260" s="12">
        <f>IF(OR($B1260="",$C1260="",$G1260=""),"",COUNTIFS(Ventes_Encaissements!$E$6:$E$3005,$B1260,Ventes_Encaissements!$J$6:$J$3005,$G1260,Ventes_Encaissements!$C$6:$C$3005,"&gt;="&amp;($C1260-3),Ventes_Encaissements!$C$6:$C$3005,"&lt;="&amp;($C1260+3)))</f>
        <v/>
      </c>
      <c r="I1260" s="12">
        <f>IF($H1260="","",IF($H1260=0,"Non trouvé",IF($H1260=1,"Match","À vérifier")))</f>
        <v/>
      </c>
      <c r="J1260" s="21">
        <f>IF($I1260&lt;&gt;"Match","",INDEX(Ventes_Encaissements!$B$6:$B$3005,_xludf.AGGREGATE(15,6,(ROW(Ventes_Encaissements!$B$6:$B$3005)-ROW(Ventes_Encaissements!$B$6)+1)/((Ventes_Encaissements!$E$6:$E$3005=$B1260)*(Ventes_Encaissements!$J$6:$J$3005=$G1260)*(Ventes_Encaissements!$C$6:$C$3005&gt;=$C1260-3)*(Ventes_Encaissements!$C$6:$C$3005&lt;=$C1260+3)),1)))</f>
        <v/>
      </c>
      <c r="K1260" s="6" t="n"/>
    </row>
    <row r="1261">
      <c r="A1261" s="6" t="n"/>
      <c r="B1261" s="6" t="n"/>
      <c r="C1261" s="19" t="n"/>
      <c r="D1261" s="19" t="n"/>
      <c r="E1261" s="6" t="n"/>
      <c r="F1261" s="20" t="n"/>
      <c r="G1261" s="9">
        <f>IF($F1261="","",IF($F1261&gt;0,ROUND($F1261,2),""))</f>
        <v/>
      </c>
      <c r="H1261" s="12">
        <f>IF(OR($B1261="",$C1261="",$G1261=""),"",COUNTIFS(Ventes_Encaissements!$E$6:$E$3005,$B1261,Ventes_Encaissements!$J$6:$J$3005,$G1261,Ventes_Encaissements!$C$6:$C$3005,"&gt;="&amp;($C1261-3),Ventes_Encaissements!$C$6:$C$3005,"&lt;="&amp;($C1261+3)))</f>
        <v/>
      </c>
      <c r="I1261" s="12">
        <f>IF($H1261="","",IF($H1261=0,"Non trouvé",IF($H1261=1,"Match","À vérifier")))</f>
        <v/>
      </c>
      <c r="J1261" s="21">
        <f>IF($I1261&lt;&gt;"Match","",INDEX(Ventes_Encaissements!$B$6:$B$3005,_xludf.AGGREGATE(15,6,(ROW(Ventes_Encaissements!$B$6:$B$3005)-ROW(Ventes_Encaissements!$B$6)+1)/((Ventes_Encaissements!$E$6:$E$3005=$B1261)*(Ventes_Encaissements!$J$6:$J$3005=$G1261)*(Ventes_Encaissements!$C$6:$C$3005&gt;=$C1261-3)*(Ventes_Encaissements!$C$6:$C$3005&lt;=$C1261+3)),1)))</f>
        <v/>
      </c>
      <c r="K1261" s="6" t="n"/>
    </row>
    <row r="1262">
      <c r="A1262" s="6" t="n"/>
      <c r="B1262" s="6" t="n"/>
      <c r="C1262" s="19" t="n"/>
      <c r="D1262" s="19" t="n"/>
      <c r="E1262" s="6" t="n"/>
      <c r="F1262" s="20" t="n"/>
      <c r="G1262" s="9">
        <f>IF($F1262="","",IF($F1262&gt;0,ROUND($F1262,2),""))</f>
        <v/>
      </c>
      <c r="H1262" s="12">
        <f>IF(OR($B1262="",$C1262="",$G1262=""),"",COUNTIFS(Ventes_Encaissements!$E$6:$E$3005,$B1262,Ventes_Encaissements!$J$6:$J$3005,$G1262,Ventes_Encaissements!$C$6:$C$3005,"&gt;="&amp;($C1262-3),Ventes_Encaissements!$C$6:$C$3005,"&lt;="&amp;($C1262+3)))</f>
        <v/>
      </c>
      <c r="I1262" s="12">
        <f>IF($H1262="","",IF($H1262=0,"Non trouvé",IF($H1262=1,"Match","À vérifier")))</f>
        <v/>
      </c>
      <c r="J1262" s="21">
        <f>IF($I1262&lt;&gt;"Match","",INDEX(Ventes_Encaissements!$B$6:$B$3005,_xludf.AGGREGATE(15,6,(ROW(Ventes_Encaissements!$B$6:$B$3005)-ROW(Ventes_Encaissements!$B$6)+1)/((Ventes_Encaissements!$E$6:$E$3005=$B1262)*(Ventes_Encaissements!$J$6:$J$3005=$G1262)*(Ventes_Encaissements!$C$6:$C$3005&gt;=$C1262-3)*(Ventes_Encaissements!$C$6:$C$3005&lt;=$C1262+3)),1)))</f>
        <v/>
      </c>
      <c r="K1262" s="6" t="n"/>
    </row>
    <row r="1263">
      <c r="A1263" s="6" t="n"/>
      <c r="B1263" s="6" t="n"/>
      <c r="C1263" s="19" t="n"/>
      <c r="D1263" s="19" t="n"/>
      <c r="E1263" s="6" t="n"/>
      <c r="F1263" s="20" t="n"/>
      <c r="G1263" s="9">
        <f>IF($F1263="","",IF($F1263&gt;0,ROUND($F1263,2),""))</f>
        <v/>
      </c>
      <c r="H1263" s="12">
        <f>IF(OR($B1263="",$C1263="",$G1263=""),"",COUNTIFS(Ventes_Encaissements!$E$6:$E$3005,$B1263,Ventes_Encaissements!$J$6:$J$3005,$G1263,Ventes_Encaissements!$C$6:$C$3005,"&gt;="&amp;($C1263-3),Ventes_Encaissements!$C$6:$C$3005,"&lt;="&amp;($C1263+3)))</f>
        <v/>
      </c>
      <c r="I1263" s="12">
        <f>IF($H1263="","",IF($H1263=0,"Non trouvé",IF($H1263=1,"Match","À vérifier")))</f>
        <v/>
      </c>
      <c r="J1263" s="21">
        <f>IF($I1263&lt;&gt;"Match","",INDEX(Ventes_Encaissements!$B$6:$B$3005,_xludf.AGGREGATE(15,6,(ROW(Ventes_Encaissements!$B$6:$B$3005)-ROW(Ventes_Encaissements!$B$6)+1)/((Ventes_Encaissements!$E$6:$E$3005=$B1263)*(Ventes_Encaissements!$J$6:$J$3005=$G1263)*(Ventes_Encaissements!$C$6:$C$3005&gt;=$C1263-3)*(Ventes_Encaissements!$C$6:$C$3005&lt;=$C1263+3)),1)))</f>
        <v/>
      </c>
      <c r="K1263" s="6" t="n"/>
    </row>
    <row r="1264">
      <c r="A1264" s="6" t="n"/>
      <c r="B1264" s="6" t="n"/>
      <c r="C1264" s="19" t="n"/>
      <c r="D1264" s="19" t="n"/>
      <c r="E1264" s="6" t="n"/>
      <c r="F1264" s="20" t="n"/>
      <c r="G1264" s="9">
        <f>IF($F1264="","",IF($F1264&gt;0,ROUND($F1264,2),""))</f>
        <v/>
      </c>
      <c r="H1264" s="12">
        <f>IF(OR($B1264="",$C1264="",$G1264=""),"",COUNTIFS(Ventes_Encaissements!$E$6:$E$3005,$B1264,Ventes_Encaissements!$J$6:$J$3005,$G1264,Ventes_Encaissements!$C$6:$C$3005,"&gt;="&amp;($C1264-3),Ventes_Encaissements!$C$6:$C$3005,"&lt;="&amp;($C1264+3)))</f>
        <v/>
      </c>
      <c r="I1264" s="12">
        <f>IF($H1264="","",IF($H1264=0,"Non trouvé",IF($H1264=1,"Match","À vérifier")))</f>
        <v/>
      </c>
      <c r="J1264" s="21">
        <f>IF($I1264&lt;&gt;"Match","",INDEX(Ventes_Encaissements!$B$6:$B$3005,_xludf.AGGREGATE(15,6,(ROW(Ventes_Encaissements!$B$6:$B$3005)-ROW(Ventes_Encaissements!$B$6)+1)/((Ventes_Encaissements!$E$6:$E$3005=$B1264)*(Ventes_Encaissements!$J$6:$J$3005=$G1264)*(Ventes_Encaissements!$C$6:$C$3005&gt;=$C1264-3)*(Ventes_Encaissements!$C$6:$C$3005&lt;=$C1264+3)),1)))</f>
        <v/>
      </c>
      <c r="K1264" s="6" t="n"/>
    </row>
    <row r="1265">
      <c r="A1265" s="6" t="n"/>
      <c r="B1265" s="6" t="n"/>
      <c r="C1265" s="19" t="n"/>
      <c r="D1265" s="19" t="n"/>
      <c r="E1265" s="6" t="n"/>
      <c r="F1265" s="20" t="n"/>
      <c r="G1265" s="9">
        <f>IF($F1265="","",IF($F1265&gt;0,ROUND($F1265,2),""))</f>
        <v/>
      </c>
      <c r="H1265" s="12">
        <f>IF(OR($B1265="",$C1265="",$G1265=""),"",COUNTIFS(Ventes_Encaissements!$E$6:$E$3005,$B1265,Ventes_Encaissements!$J$6:$J$3005,$G1265,Ventes_Encaissements!$C$6:$C$3005,"&gt;="&amp;($C1265-3),Ventes_Encaissements!$C$6:$C$3005,"&lt;="&amp;($C1265+3)))</f>
        <v/>
      </c>
      <c r="I1265" s="12">
        <f>IF($H1265="","",IF($H1265=0,"Non trouvé",IF($H1265=1,"Match","À vérifier")))</f>
        <v/>
      </c>
      <c r="J1265" s="21">
        <f>IF($I1265&lt;&gt;"Match","",INDEX(Ventes_Encaissements!$B$6:$B$3005,_xludf.AGGREGATE(15,6,(ROW(Ventes_Encaissements!$B$6:$B$3005)-ROW(Ventes_Encaissements!$B$6)+1)/((Ventes_Encaissements!$E$6:$E$3005=$B1265)*(Ventes_Encaissements!$J$6:$J$3005=$G1265)*(Ventes_Encaissements!$C$6:$C$3005&gt;=$C1265-3)*(Ventes_Encaissements!$C$6:$C$3005&lt;=$C1265+3)),1)))</f>
        <v/>
      </c>
      <c r="K1265" s="6" t="n"/>
    </row>
    <row r="1266">
      <c r="A1266" s="6" t="n"/>
      <c r="B1266" s="6" t="n"/>
      <c r="C1266" s="19" t="n"/>
      <c r="D1266" s="19" t="n"/>
      <c r="E1266" s="6" t="n"/>
      <c r="F1266" s="20" t="n"/>
      <c r="G1266" s="9">
        <f>IF($F1266="","",IF($F1266&gt;0,ROUND($F1266,2),""))</f>
        <v/>
      </c>
      <c r="H1266" s="12">
        <f>IF(OR($B1266="",$C1266="",$G1266=""),"",COUNTIFS(Ventes_Encaissements!$E$6:$E$3005,$B1266,Ventes_Encaissements!$J$6:$J$3005,$G1266,Ventes_Encaissements!$C$6:$C$3005,"&gt;="&amp;($C1266-3),Ventes_Encaissements!$C$6:$C$3005,"&lt;="&amp;($C1266+3)))</f>
        <v/>
      </c>
      <c r="I1266" s="12">
        <f>IF($H1266="","",IF($H1266=0,"Non trouvé",IF($H1266=1,"Match","À vérifier")))</f>
        <v/>
      </c>
      <c r="J1266" s="21">
        <f>IF($I1266&lt;&gt;"Match","",INDEX(Ventes_Encaissements!$B$6:$B$3005,_xludf.AGGREGATE(15,6,(ROW(Ventes_Encaissements!$B$6:$B$3005)-ROW(Ventes_Encaissements!$B$6)+1)/((Ventes_Encaissements!$E$6:$E$3005=$B1266)*(Ventes_Encaissements!$J$6:$J$3005=$G1266)*(Ventes_Encaissements!$C$6:$C$3005&gt;=$C1266-3)*(Ventes_Encaissements!$C$6:$C$3005&lt;=$C1266+3)),1)))</f>
        <v/>
      </c>
      <c r="K1266" s="6" t="n"/>
    </row>
    <row r="1267">
      <c r="A1267" s="6" t="n"/>
      <c r="B1267" s="6" t="n"/>
      <c r="C1267" s="19" t="n"/>
      <c r="D1267" s="19" t="n"/>
      <c r="E1267" s="6" t="n"/>
      <c r="F1267" s="20" t="n"/>
      <c r="G1267" s="9">
        <f>IF($F1267="","",IF($F1267&gt;0,ROUND($F1267,2),""))</f>
        <v/>
      </c>
      <c r="H1267" s="12">
        <f>IF(OR($B1267="",$C1267="",$G1267=""),"",COUNTIFS(Ventes_Encaissements!$E$6:$E$3005,$B1267,Ventes_Encaissements!$J$6:$J$3005,$G1267,Ventes_Encaissements!$C$6:$C$3005,"&gt;="&amp;($C1267-3),Ventes_Encaissements!$C$6:$C$3005,"&lt;="&amp;($C1267+3)))</f>
        <v/>
      </c>
      <c r="I1267" s="12">
        <f>IF($H1267="","",IF($H1267=0,"Non trouvé",IF($H1267=1,"Match","À vérifier")))</f>
        <v/>
      </c>
      <c r="J1267" s="21">
        <f>IF($I1267&lt;&gt;"Match","",INDEX(Ventes_Encaissements!$B$6:$B$3005,_xludf.AGGREGATE(15,6,(ROW(Ventes_Encaissements!$B$6:$B$3005)-ROW(Ventes_Encaissements!$B$6)+1)/((Ventes_Encaissements!$E$6:$E$3005=$B1267)*(Ventes_Encaissements!$J$6:$J$3005=$G1267)*(Ventes_Encaissements!$C$6:$C$3005&gt;=$C1267-3)*(Ventes_Encaissements!$C$6:$C$3005&lt;=$C1267+3)),1)))</f>
        <v/>
      </c>
      <c r="K1267" s="6" t="n"/>
    </row>
    <row r="1268">
      <c r="A1268" s="6" t="n"/>
      <c r="B1268" s="6" t="n"/>
      <c r="C1268" s="19" t="n"/>
      <c r="D1268" s="19" t="n"/>
      <c r="E1268" s="6" t="n"/>
      <c r="F1268" s="20" t="n"/>
      <c r="G1268" s="9">
        <f>IF($F1268="","",IF($F1268&gt;0,ROUND($F1268,2),""))</f>
        <v/>
      </c>
      <c r="H1268" s="12">
        <f>IF(OR($B1268="",$C1268="",$G1268=""),"",COUNTIFS(Ventes_Encaissements!$E$6:$E$3005,$B1268,Ventes_Encaissements!$J$6:$J$3005,$G1268,Ventes_Encaissements!$C$6:$C$3005,"&gt;="&amp;($C1268-3),Ventes_Encaissements!$C$6:$C$3005,"&lt;="&amp;($C1268+3)))</f>
        <v/>
      </c>
      <c r="I1268" s="12">
        <f>IF($H1268="","",IF($H1268=0,"Non trouvé",IF($H1268=1,"Match","À vérifier")))</f>
        <v/>
      </c>
      <c r="J1268" s="21">
        <f>IF($I1268&lt;&gt;"Match","",INDEX(Ventes_Encaissements!$B$6:$B$3005,_xludf.AGGREGATE(15,6,(ROW(Ventes_Encaissements!$B$6:$B$3005)-ROW(Ventes_Encaissements!$B$6)+1)/((Ventes_Encaissements!$E$6:$E$3005=$B1268)*(Ventes_Encaissements!$J$6:$J$3005=$G1268)*(Ventes_Encaissements!$C$6:$C$3005&gt;=$C1268-3)*(Ventes_Encaissements!$C$6:$C$3005&lt;=$C1268+3)),1)))</f>
        <v/>
      </c>
      <c r="K1268" s="6" t="n"/>
    </row>
    <row r="1269">
      <c r="A1269" s="6" t="n"/>
      <c r="B1269" s="6" t="n"/>
      <c r="C1269" s="19" t="n"/>
      <c r="D1269" s="19" t="n"/>
      <c r="E1269" s="6" t="n"/>
      <c r="F1269" s="20" t="n"/>
      <c r="G1269" s="9">
        <f>IF($F1269="","",IF($F1269&gt;0,ROUND($F1269,2),""))</f>
        <v/>
      </c>
      <c r="H1269" s="12">
        <f>IF(OR($B1269="",$C1269="",$G1269=""),"",COUNTIFS(Ventes_Encaissements!$E$6:$E$3005,$B1269,Ventes_Encaissements!$J$6:$J$3005,$G1269,Ventes_Encaissements!$C$6:$C$3005,"&gt;="&amp;($C1269-3),Ventes_Encaissements!$C$6:$C$3005,"&lt;="&amp;($C1269+3)))</f>
        <v/>
      </c>
      <c r="I1269" s="12">
        <f>IF($H1269="","",IF($H1269=0,"Non trouvé",IF($H1269=1,"Match","À vérifier")))</f>
        <v/>
      </c>
      <c r="J1269" s="21">
        <f>IF($I1269&lt;&gt;"Match","",INDEX(Ventes_Encaissements!$B$6:$B$3005,_xludf.AGGREGATE(15,6,(ROW(Ventes_Encaissements!$B$6:$B$3005)-ROW(Ventes_Encaissements!$B$6)+1)/((Ventes_Encaissements!$E$6:$E$3005=$B1269)*(Ventes_Encaissements!$J$6:$J$3005=$G1269)*(Ventes_Encaissements!$C$6:$C$3005&gt;=$C1269-3)*(Ventes_Encaissements!$C$6:$C$3005&lt;=$C1269+3)),1)))</f>
        <v/>
      </c>
      <c r="K1269" s="6" t="n"/>
    </row>
    <row r="1270">
      <c r="A1270" s="6" t="n"/>
      <c r="B1270" s="6" t="n"/>
      <c r="C1270" s="19" t="n"/>
      <c r="D1270" s="19" t="n"/>
      <c r="E1270" s="6" t="n"/>
      <c r="F1270" s="20" t="n"/>
      <c r="G1270" s="9">
        <f>IF($F1270="","",IF($F1270&gt;0,ROUND($F1270,2),""))</f>
        <v/>
      </c>
      <c r="H1270" s="12">
        <f>IF(OR($B1270="",$C1270="",$G1270=""),"",COUNTIFS(Ventes_Encaissements!$E$6:$E$3005,$B1270,Ventes_Encaissements!$J$6:$J$3005,$G1270,Ventes_Encaissements!$C$6:$C$3005,"&gt;="&amp;($C1270-3),Ventes_Encaissements!$C$6:$C$3005,"&lt;="&amp;($C1270+3)))</f>
        <v/>
      </c>
      <c r="I1270" s="12">
        <f>IF($H1270="","",IF($H1270=0,"Non trouvé",IF($H1270=1,"Match","À vérifier")))</f>
        <v/>
      </c>
      <c r="J1270" s="21">
        <f>IF($I1270&lt;&gt;"Match","",INDEX(Ventes_Encaissements!$B$6:$B$3005,_xludf.AGGREGATE(15,6,(ROW(Ventes_Encaissements!$B$6:$B$3005)-ROW(Ventes_Encaissements!$B$6)+1)/((Ventes_Encaissements!$E$6:$E$3005=$B1270)*(Ventes_Encaissements!$J$6:$J$3005=$G1270)*(Ventes_Encaissements!$C$6:$C$3005&gt;=$C1270-3)*(Ventes_Encaissements!$C$6:$C$3005&lt;=$C1270+3)),1)))</f>
        <v/>
      </c>
      <c r="K1270" s="6" t="n"/>
    </row>
    <row r="1271">
      <c r="A1271" s="6" t="n"/>
      <c r="B1271" s="6" t="n"/>
      <c r="C1271" s="19" t="n"/>
      <c r="D1271" s="19" t="n"/>
      <c r="E1271" s="6" t="n"/>
      <c r="F1271" s="20" t="n"/>
      <c r="G1271" s="9">
        <f>IF($F1271="","",IF($F1271&gt;0,ROUND($F1271,2),""))</f>
        <v/>
      </c>
      <c r="H1271" s="12">
        <f>IF(OR($B1271="",$C1271="",$G1271=""),"",COUNTIFS(Ventes_Encaissements!$E$6:$E$3005,$B1271,Ventes_Encaissements!$J$6:$J$3005,$G1271,Ventes_Encaissements!$C$6:$C$3005,"&gt;="&amp;($C1271-3),Ventes_Encaissements!$C$6:$C$3005,"&lt;="&amp;($C1271+3)))</f>
        <v/>
      </c>
      <c r="I1271" s="12">
        <f>IF($H1271="","",IF($H1271=0,"Non trouvé",IF($H1271=1,"Match","À vérifier")))</f>
        <v/>
      </c>
      <c r="J1271" s="21">
        <f>IF($I1271&lt;&gt;"Match","",INDEX(Ventes_Encaissements!$B$6:$B$3005,_xludf.AGGREGATE(15,6,(ROW(Ventes_Encaissements!$B$6:$B$3005)-ROW(Ventes_Encaissements!$B$6)+1)/((Ventes_Encaissements!$E$6:$E$3005=$B1271)*(Ventes_Encaissements!$J$6:$J$3005=$G1271)*(Ventes_Encaissements!$C$6:$C$3005&gt;=$C1271-3)*(Ventes_Encaissements!$C$6:$C$3005&lt;=$C1271+3)),1)))</f>
        <v/>
      </c>
      <c r="K1271" s="6" t="n"/>
    </row>
    <row r="1272">
      <c r="A1272" s="6" t="n"/>
      <c r="B1272" s="6" t="n"/>
      <c r="C1272" s="19" t="n"/>
      <c r="D1272" s="19" t="n"/>
      <c r="E1272" s="6" t="n"/>
      <c r="F1272" s="20" t="n"/>
      <c r="G1272" s="9">
        <f>IF($F1272="","",IF($F1272&gt;0,ROUND($F1272,2),""))</f>
        <v/>
      </c>
      <c r="H1272" s="12">
        <f>IF(OR($B1272="",$C1272="",$G1272=""),"",COUNTIFS(Ventes_Encaissements!$E$6:$E$3005,$B1272,Ventes_Encaissements!$J$6:$J$3005,$G1272,Ventes_Encaissements!$C$6:$C$3005,"&gt;="&amp;($C1272-3),Ventes_Encaissements!$C$6:$C$3005,"&lt;="&amp;($C1272+3)))</f>
        <v/>
      </c>
      <c r="I1272" s="12">
        <f>IF($H1272="","",IF($H1272=0,"Non trouvé",IF($H1272=1,"Match","À vérifier")))</f>
        <v/>
      </c>
      <c r="J1272" s="21">
        <f>IF($I1272&lt;&gt;"Match","",INDEX(Ventes_Encaissements!$B$6:$B$3005,_xludf.AGGREGATE(15,6,(ROW(Ventes_Encaissements!$B$6:$B$3005)-ROW(Ventes_Encaissements!$B$6)+1)/((Ventes_Encaissements!$E$6:$E$3005=$B1272)*(Ventes_Encaissements!$J$6:$J$3005=$G1272)*(Ventes_Encaissements!$C$6:$C$3005&gt;=$C1272-3)*(Ventes_Encaissements!$C$6:$C$3005&lt;=$C1272+3)),1)))</f>
        <v/>
      </c>
      <c r="K1272" s="6" t="n"/>
    </row>
    <row r="1273">
      <c r="A1273" s="6" t="n"/>
      <c r="B1273" s="6" t="n"/>
      <c r="C1273" s="19" t="n"/>
      <c r="D1273" s="19" t="n"/>
      <c r="E1273" s="6" t="n"/>
      <c r="F1273" s="20" t="n"/>
      <c r="G1273" s="9">
        <f>IF($F1273="","",IF($F1273&gt;0,ROUND($F1273,2),""))</f>
        <v/>
      </c>
      <c r="H1273" s="12">
        <f>IF(OR($B1273="",$C1273="",$G1273=""),"",COUNTIFS(Ventes_Encaissements!$E$6:$E$3005,$B1273,Ventes_Encaissements!$J$6:$J$3005,$G1273,Ventes_Encaissements!$C$6:$C$3005,"&gt;="&amp;($C1273-3),Ventes_Encaissements!$C$6:$C$3005,"&lt;="&amp;($C1273+3)))</f>
        <v/>
      </c>
      <c r="I1273" s="12">
        <f>IF($H1273="","",IF($H1273=0,"Non trouvé",IF($H1273=1,"Match","À vérifier")))</f>
        <v/>
      </c>
      <c r="J1273" s="21">
        <f>IF($I1273&lt;&gt;"Match","",INDEX(Ventes_Encaissements!$B$6:$B$3005,_xludf.AGGREGATE(15,6,(ROW(Ventes_Encaissements!$B$6:$B$3005)-ROW(Ventes_Encaissements!$B$6)+1)/((Ventes_Encaissements!$E$6:$E$3005=$B1273)*(Ventes_Encaissements!$J$6:$J$3005=$G1273)*(Ventes_Encaissements!$C$6:$C$3005&gt;=$C1273-3)*(Ventes_Encaissements!$C$6:$C$3005&lt;=$C1273+3)),1)))</f>
        <v/>
      </c>
      <c r="K1273" s="6" t="n"/>
    </row>
    <row r="1274">
      <c r="A1274" s="6" t="n"/>
      <c r="B1274" s="6" t="n"/>
      <c r="C1274" s="19" t="n"/>
      <c r="D1274" s="19" t="n"/>
      <c r="E1274" s="6" t="n"/>
      <c r="F1274" s="20" t="n"/>
      <c r="G1274" s="9">
        <f>IF($F1274="","",IF($F1274&gt;0,ROUND($F1274,2),""))</f>
        <v/>
      </c>
      <c r="H1274" s="12">
        <f>IF(OR($B1274="",$C1274="",$G1274=""),"",COUNTIFS(Ventes_Encaissements!$E$6:$E$3005,$B1274,Ventes_Encaissements!$J$6:$J$3005,$G1274,Ventes_Encaissements!$C$6:$C$3005,"&gt;="&amp;($C1274-3),Ventes_Encaissements!$C$6:$C$3005,"&lt;="&amp;($C1274+3)))</f>
        <v/>
      </c>
      <c r="I1274" s="12">
        <f>IF($H1274="","",IF($H1274=0,"Non trouvé",IF($H1274=1,"Match","À vérifier")))</f>
        <v/>
      </c>
      <c r="J1274" s="21">
        <f>IF($I1274&lt;&gt;"Match","",INDEX(Ventes_Encaissements!$B$6:$B$3005,_xludf.AGGREGATE(15,6,(ROW(Ventes_Encaissements!$B$6:$B$3005)-ROW(Ventes_Encaissements!$B$6)+1)/((Ventes_Encaissements!$E$6:$E$3005=$B1274)*(Ventes_Encaissements!$J$6:$J$3005=$G1274)*(Ventes_Encaissements!$C$6:$C$3005&gt;=$C1274-3)*(Ventes_Encaissements!$C$6:$C$3005&lt;=$C1274+3)),1)))</f>
        <v/>
      </c>
      <c r="K1274" s="6" t="n"/>
    </row>
    <row r="1275">
      <c r="A1275" s="6" t="n"/>
      <c r="B1275" s="6" t="n"/>
      <c r="C1275" s="19" t="n"/>
      <c r="D1275" s="19" t="n"/>
      <c r="E1275" s="6" t="n"/>
      <c r="F1275" s="20" t="n"/>
      <c r="G1275" s="9">
        <f>IF($F1275="","",IF($F1275&gt;0,ROUND($F1275,2),""))</f>
        <v/>
      </c>
      <c r="H1275" s="12">
        <f>IF(OR($B1275="",$C1275="",$G1275=""),"",COUNTIFS(Ventes_Encaissements!$E$6:$E$3005,$B1275,Ventes_Encaissements!$J$6:$J$3005,$G1275,Ventes_Encaissements!$C$6:$C$3005,"&gt;="&amp;($C1275-3),Ventes_Encaissements!$C$6:$C$3005,"&lt;="&amp;($C1275+3)))</f>
        <v/>
      </c>
      <c r="I1275" s="12">
        <f>IF($H1275="","",IF($H1275=0,"Non trouvé",IF($H1275=1,"Match","À vérifier")))</f>
        <v/>
      </c>
      <c r="J1275" s="21">
        <f>IF($I1275&lt;&gt;"Match","",INDEX(Ventes_Encaissements!$B$6:$B$3005,_xludf.AGGREGATE(15,6,(ROW(Ventes_Encaissements!$B$6:$B$3005)-ROW(Ventes_Encaissements!$B$6)+1)/((Ventes_Encaissements!$E$6:$E$3005=$B1275)*(Ventes_Encaissements!$J$6:$J$3005=$G1275)*(Ventes_Encaissements!$C$6:$C$3005&gt;=$C1275-3)*(Ventes_Encaissements!$C$6:$C$3005&lt;=$C1275+3)),1)))</f>
        <v/>
      </c>
      <c r="K1275" s="6" t="n"/>
    </row>
    <row r="1276">
      <c r="A1276" s="6" t="n"/>
      <c r="B1276" s="6" t="n"/>
      <c r="C1276" s="19" t="n"/>
      <c r="D1276" s="19" t="n"/>
      <c r="E1276" s="6" t="n"/>
      <c r="F1276" s="20" t="n"/>
      <c r="G1276" s="9">
        <f>IF($F1276="","",IF($F1276&gt;0,ROUND($F1276,2),""))</f>
        <v/>
      </c>
      <c r="H1276" s="12">
        <f>IF(OR($B1276="",$C1276="",$G1276=""),"",COUNTIFS(Ventes_Encaissements!$E$6:$E$3005,$B1276,Ventes_Encaissements!$J$6:$J$3005,$G1276,Ventes_Encaissements!$C$6:$C$3005,"&gt;="&amp;($C1276-3),Ventes_Encaissements!$C$6:$C$3005,"&lt;="&amp;($C1276+3)))</f>
        <v/>
      </c>
      <c r="I1276" s="12">
        <f>IF($H1276="","",IF($H1276=0,"Non trouvé",IF($H1276=1,"Match","À vérifier")))</f>
        <v/>
      </c>
      <c r="J1276" s="21">
        <f>IF($I1276&lt;&gt;"Match","",INDEX(Ventes_Encaissements!$B$6:$B$3005,_xludf.AGGREGATE(15,6,(ROW(Ventes_Encaissements!$B$6:$B$3005)-ROW(Ventes_Encaissements!$B$6)+1)/((Ventes_Encaissements!$E$6:$E$3005=$B1276)*(Ventes_Encaissements!$J$6:$J$3005=$G1276)*(Ventes_Encaissements!$C$6:$C$3005&gt;=$C1276-3)*(Ventes_Encaissements!$C$6:$C$3005&lt;=$C1276+3)),1)))</f>
        <v/>
      </c>
      <c r="K1276" s="6" t="n"/>
    </row>
    <row r="1277">
      <c r="A1277" s="6" t="n"/>
      <c r="B1277" s="6" t="n"/>
      <c r="C1277" s="19" t="n"/>
      <c r="D1277" s="19" t="n"/>
      <c r="E1277" s="6" t="n"/>
      <c r="F1277" s="20" t="n"/>
      <c r="G1277" s="9">
        <f>IF($F1277="","",IF($F1277&gt;0,ROUND($F1277,2),""))</f>
        <v/>
      </c>
      <c r="H1277" s="12">
        <f>IF(OR($B1277="",$C1277="",$G1277=""),"",COUNTIFS(Ventes_Encaissements!$E$6:$E$3005,$B1277,Ventes_Encaissements!$J$6:$J$3005,$G1277,Ventes_Encaissements!$C$6:$C$3005,"&gt;="&amp;($C1277-3),Ventes_Encaissements!$C$6:$C$3005,"&lt;="&amp;($C1277+3)))</f>
        <v/>
      </c>
      <c r="I1277" s="12">
        <f>IF($H1277="","",IF($H1277=0,"Non trouvé",IF($H1277=1,"Match","À vérifier")))</f>
        <v/>
      </c>
      <c r="J1277" s="21">
        <f>IF($I1277&lt;&gt;"Match","",INDEX(Ventes_Encaissements!$B$6:$B$3005,_xludf.AGGREGATE(15,6,(ROW(Ventes_Encaissements!$B$6:$B$3005)-ROW(Ventes_Encaissements!$B$6)+1)/((Ventes_Encaissements!$E$6:$E$3005=$B1277)*(Ventes_Encaissements!$J$6:$J$3005=$G1277)*(Ventes_Encaissements!$C$6:$C$3005&gt;=$C1277-3)*(Ventes_Encaissements!$C$6:$C$3005&lt;=$C1277+3)),1)))</f>
        <v/>
      </c>
      <c r="K1277" s="6" t="n"/>
    </row>
    <row r="1278">
      <c r="A1278" s="6" t="n"/>
      <c r="B1278" s="6" t="n"/>
      <c r="C1278" s="19" t="n"/>
      <c r="D1278" s="19" t="n"/>
      <c r="E1278" s="6" t="n"/>
      <c r="F1278" s="20" t="n"/>
      <c r="G1278" s="9">
        <f>IF($F1278="","",IF($F1278&gt;0,ROUND($F1278,2),""))</f>
        <v/>
      </c>
      <c r="H1278" s="12">
        <f>IF(OR($B1278="",$C1278="",$G1278=""),"",COUNTIFS(Ventes_Encaissements!$E$6:$E$3005,$B1278,Ventes_Encaissements!$J$6:$J$3005,$G1278,Ventes_Encaissements!$C$6:$C$3005,"&gt;="&amp;($C1278-3),Ventes_Encaissements!$C$6:$C$3005,"&lt;="&amp;($C1278+3)))</f>
        <v/>
      </c>
      <c r="I1278" s="12">
        <f>IF($H1278="","",IF($H1278=0,"Non trouvé",IF($H1278=1,"Match","À vérifier")))</f>
        <v/>
      </c>
      <c r="J1278" s="21">
        <f>IF($I1278&lt;&gt;"Match","",INDEX(Ventes_Encaissements!$B$6:$B$3005,_xludf.AGGREGATE(15,6,(ROW(Ventes_Encaissements!$B$6:$B$3005)-ROW(Ventes_Encaissements!$B$6)+1)/((Ventes_Encaissements!$E$6:$E$3005=$B1278)*(Ventes_Encaissements!$J$6:$J$3005=$G1278)*(Ventes_Encaissements!$C$6:$C$3005&gt;=$C1278-3)*(Ventes_Encaissements!$C$6:$C$3005&lt;=$C1278+3)),1)))</f>
        <v/>
      </c>
      <c r="K1278" s="6" t="n"/>
    </row>
    <row r="1279">
      <c r="A1279" s="6" t="n"/>
      <c r="B1279" s="6" t="n"/>
      <c r="C1279" s="19" t="n"/>
      <c r="D1279" s="19" t="n"/>
      <c r="E1279" s="6" t="n"/>
      <c r="F1279" s="20" t="n"/>
      <c r="G1279" s="9">
        <f>IF($F1279="","",IF($F1279&gt;0,ROUND($F1279,2),""))</f>
        <v/>
      </c>
      <c r="H1279" s="12">
        <f>IF(OR($B1279="",$C1279="",$G1279=""),"",COUNTIFS(Ventes_Encaissements!$E$6:$E$3005,$B1279,Ventes_Encaissements!$J$6:$J$3005,$G1279,Ventes_Encaissements!$C$6:$C$3005,"&gt;="&amp;($C1279-3),Ventes_Encaissements!$C$6:$C$3005,"&lt;="&amp;($C1279+3)))</f>
        <v/>
      </c>
      <c r="I1279" s="12">
        <f>IF($H1279="","",IF($H1279=0,"Non trouvé",IF($H1279=1,"Match","À vérifier")))</f>
        <v/>
      </c>
      <c r="J1279" s="21">
        <f>IF($I1279&lt;&gt;"Match","",INDEX(Ventes_Encaissements!$B$6:$B$3005,_xludf.AGGREGATE(15,6,(ROW(Ventes_Encaissements!$B$6:$B$3005)-ROW(Ventes_Encaissements!$B$6)+1)/((Ventes_Encaissements!$E$6:$E$3005=$B1279)*(Ventes_Encaissements!$J$6:$J$3005=$G1279)*(Ventes_Encaissements!$C$6:$C$3005&gt;=$C1279-3)*(Ventes_Encaissements!$C$6:$C$3005&lt;=$C1279+3)),1)))</f>
        <v/>
      </c>
      <c r="K1279" s="6" t="n"/>
    </row>
    <row r="1280">
      <c r="A1280" s="6" t="n"/>
      <c r="B1280" s="6" t="n"/>
      <c r="C1280" s="19" t="n"/>
      <c r="D1280" s="19" t="n"/>
      <c r="E1280" s="6" t="n"/>
      <c r="F1280" s="20" t="n"/>
      <c r="G1280" s="9">
        <f>IF($F1280="","",IF($F1280&gt;0,ROUND($F1280,2),""))</f>
        <v/>
      </c>
      <c r="H1280" s="12">
        <f>IF(OR($B1280="",$C1280="",$G1280=""),"",COUNTIFS(Ventes_Encaissements!$E$6:$E$3005,$B1280,Ventes_Encaissements!$J$6:$J$3005,$G1280,Ventes_Encaissements!$C$6:$C$3005,"&gt;="&amp;($C1280-3),Ventes_Encaissements!$C$6:$C$3005,"&lt;="&amp;($C1280+3)))</f>
        <v/>
      </c>
      <c r="I1280" s="12">
        <f>IF($H1280="","",IF($H1280=0,"Non trouvé",IF($H1280=1,"Match","À vérifier")))</f>
        <v/>
      </c>
      <c r="J1280" s="21">
        <f>IF($I1280&lt;&gt;"Match","",INDEX(Ventes_Encaissements!$B$6:$B$3005,_xludf.AGGREGATE(15,6,(ROW(Ventes_Encaissements!$B$6:$B$3005)-ROW(Ventes_Encaissements!$B$6)+1)/((Ventes_Encaissements!$E$6:$E$3005=$B1280)*(Ventes_Encaissements!$J$6:$J$3005=$G1280)*(Ventes_Encaissements!$C$6:$C$3005&gt;=$C1280-3)*(Ventes_Encaissements!$C$6:$C$3005&lt;=$C1280+3)),1)))</f>
        <v/>
      </c>
      <c r="K1280" s="6" t="n"/>
    </row>
    <row r="1281">
      <c r="A1281" s="6" t="n"/>
      <c r="B1281" s="6" t="n"/>
      <c r="C1281" s="19" t="n"/>
      <c r="D1281" s="19" t="n"/>
      <c r="E1281" s="6" t="n"/>
      <c r="F1281" s="20" t="n"/>
      <c r="G1281" s="9">
        <f>IF($F1281="","",IF($F1281&gt;0,ROUND($F1281,2),""))</f>
        <v/>
      </c>
      <c r="H1281" s="12">
        <f>IF(OR($B1281="",$C1281="",$G1281=""),"",COUNTIFS(Ventes_Encaissements!$E$6:$E$3005,$B1281,Ventes_Encaissements!$J$6:$J$3005,$G1281,Ventes_Encaissements!$C$6:$C$3005,"&gt;="&amp;($C1281-3),Ventes_Encaissements!$C$6:$C$3005,"&lt;="&amp;($C1281+3)))</f>
        <v/>
      </c>
      <c r="I1281" s="12">
        <f>IF($H1281="","",IF($H1281=0,"Non trouvé",IF($H1281=1,"Match","À vérifier")))</f>
        <v/>
      </c>
      <c r="J1281" s="21">
        <f>IF($I1281&lt;&gt;"Match","",INDEX(Ventes_Encaissements!$B$6:$B$3005,_xludf.AGGREGATE(15,6,(ROW(Ventes_Encaissements!$B$6:$B$3005)-ROW(Ventes_Encaissements!$B$6)+1)/((Ventes_Encaissements!$E$6:$E$3005=$B1281)*(Ventes_Encaissements!$J$6:$J$3005=$G1281)*(Ventes_Encaissements!$C$6:$C$3005&gt;=$C1281-3)*(Ventes_Encaissements!$C$6:$C$3005&lt;=$C1281+3)),1)))</f>
        <v/>
      </c>
      <c r="K1281" s="6" t="n"/>
    </row>
    <row r="1282">
      <c r="A1282" s="6" t="n"/>
      <c r="B1282" s="6" t="n"/>
      <c r="C1282" s="19" t="n"/>
      <c r="D1282" s="19" t="n"/>
      <c r="E1282" s="6" t="n"/>
      <c r="F1282" s="20" t="n"/>
      <c r="G1282" s="9">
        <f>IF($F1282="","",IF($F1282&gt;0,ROUND($F1282,2),""))</f>
        <v/>
      </c>
      <c r="H1282" s="12">
        <f>IF(OR($B1282="",$C1282="",$G1282=""),"",COUNTIFS(Ventes_Encaissements!$E$6:$E$3005,$B1282,Ventes_Encaissements!$J$6:$J$3005,$G1282,Ventes_Encaissements!$C$6:$C$3005,"&gt;="&amp;($C1282-3),Ventes_Encaissements!$C$6:$C$3005,"&lt;="&amp;($C1282+3)))</f>
        <v/>
      </c>
      <c r="I1282" s="12">
        <f>IF($H1282="","",IF($H1282=0,"Non trouvé",IF($H1282=1,"Match","À vérifier")))</f>
        <v/>
      </c>
      <c r="J1282" s="21">
        <f>IF($I1282&lt;&gt;"Match","",INDEX(Ventes_Encaissements!$B$6:$B$3005,_xludf.AGGREGATE(15,6,(ROW(Ventes_Encaissements!$B$6:$B$3005)-ROW(Ventes_Encaissements!$B$6)+1)/((Ventes_Encaissements!$E$6:$E$3005=$B1282)*(Ventes_Encaissements!$J$6:$J$3005=$G1282)*(Ventes_Encaissements!$C$6:$C$3005&gt;=$C1282-3)*(Ventes_Encaissements!$C$6:$C$3005&lt;=$C1282+3)),1)))</f>
        <v/>
      </c>
      <c r="K1282" s="6" t="n"/>
    </row>
    <row r="1283">
      <c r="A1283" s="6" t="n"/>
      <c r="B1283" s="6" t="n"/>
      <c r="C1283" s="19" t="n"/>
      <c r="D1283" s="19" t="n"/>
      <c r="E1283" s="6" t="n"/>
      <c r="F1283" s="20" t="n"/>
      <c r="G1283" s="9">
        <f>IF($F1283="","",IF($F1283&gt;0,ROUND($F1283,2),""))</f>
        <v/>
      </c>
      <c r="H1283" s="12">
        <f>IF(OR($B1283="",$C1283="",$G1283=""),"",COUNTIFS(Ventes_Encaissements!$E$6:$E$3005,$B1283,Ventes_Encaissements!$J$6:$J$3005,$G1283,Ventes_Encaissements!$C$6:$C$3005,"&gt;="&amp;($C1283-3),Ventes_Encaissements!$C$6:$C$3005,"&lt;="&amp;($C1283+3)))</f>
        <v/>
      </c>
      <c r="I1283" s="12">
        <f>IF($H1283="","",IF($H1283=0,"Non trouvé",IF($H1283=1,"Match","À vérifier")))</f>
        <v/>
      </c>
      <c r="J1283" s="21">
        <f>IF($I1283&lt;&gt;"Match","",INDEX(Ventes_Encaissements!$B$6:$B$3005,_xludf.AGGREGATE(15,6,(ROW(Ventes_Encaissements!$B$6:$B$3005)-ROW(Ventes_Encaissements!$B$6)+1)/((Ventes_Encaissements!$E$6:$E$3005=$B1283)*(Ventes_Encaissements!$J$6:$J$3005=$G1283)*(Ventes_Encaissements!$C$6:$C$3005&gt;=$C1283-3)*(Ventes_Encaissements!$C$6:$C$3005&lt;=$C1283+3)),1)))</f>
        <v/>
      </c>
      <c r="K1283" s="6" t="n"/>
    </row>
    <row r="1284">
      <c r="A1284" s="6" t="n"/>
      <c r="B1284" s="6" t="n"/>
      <c r="C1284" s="19" t="n"/>
      <c r="D1284" s="19" t="n"/>
      <c r="E1284" s="6" t="n"/>
      <c r="F1284" s="20" t="n"/>
      <c r="G1284" s="9">
        <f>IF($F1284="","",IF($F1284&gt;0,ROUND($F1284,2),""))</f>
        <v/>
      </c>
      <c r="H1284" s="12">
        <f>IF(OR($B1284="",$C1284="",$G1284=""),"",COUNTIFS(Ventes_Encaissements!$E$6:$E$3005,$B1284,Ventes_Encaissements!$J$6:$J$3005,$G1284,Ventes_Encaissements!$C$6:$C$3005,"&gt;="&amp;($C1284-3),Ventes_Encaissements!$C$6:$C$3005,"&lt;="&amp;($C1284+3)))</f>
        <v/>
      </c>
      <c r="I1284" s="12">
        <f>IF($H1284="","",IF($H1284=0,"Non trouvé",IF($H1284=1,"Match","À vérifier")))</f>
        <v/>
      </c>
      <c r="J1284" s="21">
        <f>IF($I1284&lt;&gt;"Match","",INDEX(Ventes_Encaissements!$B$6:$B$3005,_xludf.AGGREGATE(15,6,(ROW(Ventes_Encaissements!$B$6:$B$3005)-ROW(Ventes_Encaissements!$B$6)+1)/((Ventes_Encaissements!$E$6:$E$3005=$B1284)*(Ventes_Encaissements!$J$6:$J$3005=$G1284)*(Ventes_Encaissements!$C$6:$C$3005&gt;=$C1284-3)*(Ventes_Encaissements!$C$6:$C$3005&lt;=$C1284+3)),1)))</f>
        <v/>
      </c>
      <c r="K1284" s="6" t="n"/>
    </row>
    <row r="1285">
      <c r="A1285" s="6" t="n"/>
      <c r="B1285" s="6" t="n"/>
      <c r="C1285" s="19" t="n"/>
      <c r="D1285" s="19" t="n"/>
      <c r="E1285" s="6" t="n"/>
      <c r="F1285" s="20" t="n"/>
      <c r="G1285" s="9">
        <f>IF($F1285="","",IF($F1285&gt;0,ROUND($F1285,2),""))</f>
        <v/>
      </c>
      <c r="H1285" s="12">
        <f>IF(OR($B1285="",$C1285="",$G1285=""),"",COUNTIFS(Ventes_Encaissements!$E$6:$E$3005,$B1285,Ventes_Encaissements!$J$6:$J$3005,$G1285,Ventes_Encaissements!$C$6:$C$3005,"&gt;="&amp;($C1285-3),Ventes_Encaissements!$C$6:$C$3005,"&lt;="&amp;($C1285+3)))</f>
        <v/>
      </c>
      <c r="I1285" s="12">
        <f>IF($H1285="","",IF($H1285=0,"Non trouvé",IF($H1285=1,"Match","À vérifier")))</f>
        <v/>
      </c>
      <c r="J1285" s="21">
        <f>IF($I1285&lt;&gt;"Match","",INDEX(Ventes_Encaissements!$B$6:$B$3005,_xludf.AGGREGATE(15,6,(ROW(Ventes_Encaissements!$B$6:$B$3005)-ROW(Ventes_Encaissements!$B$6)+1)/((Ventes_Encaissements!$E$6:$E$3005=$B1285)*(Ventes_Encaissements!$J$6:$J$3005=$G1285)*(Ventes_Encaissements!$C$6:$C$3005&gt;=$C1285-3)*(Ventes_Encaissements!$C$6:$C$3005&lt;=$C1285+3)),1)))</f>
        <v/>
      </c>
      <c r="K1285" s="6" t="n"/>
    </row>
    <row r="1286">
      <c r="A1286" s="6" t="n"/>
      <c r="B1286" s="6" t="n"/>
      <c r="C1286" s="19" t="n"/>
      <c r="D1286" s="19" t="n"/>
      <c r="E1286" s="6" t="n"/>
      <c r="F1286" s="20" t="n"/>
      <c r="G1286" s="9">
        <f>IF($F1286="","",IF($F1286&gt;0,ROUND($F1286,2),""))</f>
        <v/>
      </c>
      <c r="H1286" s="12">
        <f>IF(OR($B1286="",$C1286="",$G1286=""),"",COUNTIFS(Ventes_Encaissements!$E$6:$E$3005,$B1286,Ventes_Encaissements!$J$6:$J$3005,$G1286,Ventes_Encaissements!$C$6:$C$3005,"&gt;="&amp;($C1286-3),Ventes_Encaissements!$C$6:$C$3005,"&lt;="&amp;($C1286+3)))</f>
        <v/>
      </c>
      <c r="I1286" s="12">
        <f>IF($H1286="","",IF($H1286=0,"Non trouvé",IF($H1286=1,"Match","À vérifier")))</f>
        <v/>
      </c>
      <c r="J1286" s="21">
        <f>IF($I1286&lt;&gt;"Match","",INDEX(Ventes_Encaissements!$B$6:$B$3005,_xludf.AGGREGATE(15,6,(ROW(Ventes_Encaissements!$B$6:$B$3005)-ROW(Ventes_Encaissements!$B$6)+1)/((Ventes_Encaissements!$E$6:$E$3005=$B1286)*(Ventes_Encaissements!$J$6:$J$3005=$G1286)*(Ventes_Encaissements!$C$6:$C$3005&gt;=$C1286-3)*(Ventes_Encaissements!$C$6:$C$3005&lt;=$C1286+3)),1)))</f>
        <v/>
      </c>
      <c r="K1286" s="6" t="n"/>
    </row>
    <row r="1287">
      <c r="A1287" s="6" t="n"/>
      <c r="B1287" s="6" t="n"/>
      <c r="C1287" s="19" t="n"/>
      <c r="D1287" s="19" t="n"/>
      <c r="E1287" s="6" t="n"/>
      <c r="F1287" s="20" t="n"/>
      <c r="G1287" s="9">
        <f>IF($F1287="","",IF($F1287&gt;0,ROUND($F1287,2),""))</f>
        <v/>
      </c>
      <c r="H1287" s="12">
        <f>IF(OR($B1287="",$C1287="",$G1287=""),"",COUNTIFS(Ventes_Encaissements!$E$6:$E$3005,$B1287,Ventes_Encaissements!$J$6:$J$3005,$G1287,Ventes_Encaissements!$C$6:$C$3005,"&gt;="&amp;($C1287-3),Ventes_Encaissements!$C$6:$C$3005,"&lt;="&amp;($C1287+3)))</f>
        <v/>
      </c>
      <c r="I1287" s="12">
        <f>IF($H1287="","",IF($H1287=0,"Non trouvé",IF($H1287=1,"Match","À vérifier")))</f>
        <v/>
      </c>
      <c r="J1287" s="21">
        <f>IF($I1287&lt;&gt;"Match","",INDEX(Ventes_Encaissements!$B$6:$B$3005,_xludf.AGGREGATE(15,6,(ROW(Ventes_Encaissements!$B$6:$B$3005)-ROW(Ventes_Encaissements!$B$6)+1)/((Ventes_Encaissements!$E$6:$E$3005=$B1287)*(Ventes_Encaissements!$J$6:$J$3005=$G1287)*(Ventes_Encaissements!$C$6:$C$3005&gt;=$C1287-3)*(Ventes_Encaissements!$C$6:$C$3005&lt;=$C1287+3)),1)))</f>
        <v/>
      </c>
      <c r="K1287" s="6" t="n"/>
    </row>
    <row r="1288">
      <c r="A1288" s="6" t="n"/>
      <c r="B1288" s="6" t="n"/>
      <c r="C1288" s="19" t="n"/>
      <c r="D1288" s="19" t="n"/>
      <c r="E1288" s="6" t="n"/>
      <c r="F1288" s="20" t="n"/>
      <c r="G1288" s="9">
        <f>IF($F1288="","",IF($F1288&gt;0,ROUND($F1288,2),""))</f>
        <v/>
      </c>
      <c r="H1288" s="12">
        <f>IF(OR($B1288="",$C1288="",$G1288=""),"",COUNTIFS(Ventes_Encaissements!$E$6:$E$3005,$B1288,Ventes_Encaissements!$J$6:$J$3005,$G1288,Ventes_Encaissements!$C$6:$C$3005,"&gt;="&amp;($C1288-3),Ventes_Encaissements!$C$6:$C$3005,"&lt;="&amp;($C1288+3)))</f>
        <v/>
      </c>
      <c r="I1288" s="12">
        <f>IF($H1288="","",IF($H1288=0,"Non trouvé",IF($H1288=1,"Match","À vérifier")))</f>
        <v/>
      </c>
      <c r="J1288" s="21">
        <f>IF($I1288&lt;&gt;"Match","",INDEX(Ventes_Encaissements!$B$6:$B$3005,_xludf.AGGREGATE(15,6,(ROW(Ventes_Encaissements!$B$6:$B$3005)-ROW(Ventes_Encaissements!$B$6)+1)/((Ventes_Encaissements!$E$6:$E$3005=$B1288)*(Ventes_Encaissements!$J$6:$J$3005=$G1288)*(Ventes_Encaissements!$C$6:$C$3005&gt;=$C1288-3)*(Ventes_Encaissements!$C$6:$C$3005&lt;=$C1288+3)),1)))</f>
        <v/>
      </c>
      <c r="K1288" s="6" t="n"/>
    </row>
    <row r="1289">
      <c r="A1289" s="6" t="n"/>
      <c r="B1289" s="6" t="n"/>
      <c r="C1289" s="19" t="n"/>
      <c r="D1289" s="19" t="n"/>
      <c r="E1289" s="6" t="n"/>
      <c r="F1289" s="20" t="n"/>
      <c r="G1289" s="9">
        <f>IF($F1289="","",IF($F1289&gt;0,ROUND($F1289,2),""))</f>
        <v/>
      </c>
      <c r="H1289" s="12">
        <f>IF(OR($B1289="",$C1289="",$G1289=""),"",COUNTIFS(Ventes_Encaissements!$E$6:$E$3005,$B1289,Ventes_Encaissements!$J$6:$J$3005,$G1289,Ventes_Encaissements!$C$6:$C$3005,"&gt;="&amp;($C1289-3),Ventes_Encaissements!$C$6:$C$3005,"&lt;="&amp;($C1289+3)))</f>
        <v/>
      </c>
      <c r="I1289" s="12">
        <f>IF($H1289="","",IF($H1289=0,"Non trouvé",IF($H1289=1,"Match","À vérifier")))</f>
        <v/>
      </c>
      <c r="J1289" s="21">
        <f>IF($I1289&lt;&gt;"Match","",INDEX(Ventes_Encaissements!$B$6:$B$3005,_xludf.AGGREGATE(15,6,(ROW(Ventes_Encaissements!$B$6:$B$3005)-ROW(Ventes_Encaissements!$B$6)+1)/((Ventes_Encaissements!$E$6:$E$3005=$B1289)*(Ventes_Encaissements!$J$6:$J$3005=$G1289)*(Ventes_Encaissements!$C$6:$C$3005&gt;=$C1289-3)*(Ventes_Encaissements!$C$6:$C$3005&lt;=$C1289+3)),1)))</f>
        <v/>
      </c>
      <c r="K1289" s="6" t="n"/>
    </row>
    <row r="1290">
      <c r="A1290" s="6" t="n"/>
      <c r="B1290" s="6" t="n"/>
      <c r="C1290" s="19" t="n"/>
      <c r="D1290" s="19" t="n"/>
      <c r="E1290" s="6" t="n"/>
      <c r="F1290" s="20" t="n"/>
      <c r="G1290" s="9">
        <f>IF($F1290="","",IF($F1290&gt;0,ROUND($F1290,2),""))</f>
        <v/>
      </c>
      <c r="H1290" s="12">
        <f>IF(OR($B1290="",$C1290="",$G1290=""),"",COUNTIFS(Ventes_Encaissements!$E$6:$E$3005,$B1290,Ventes_Encaissements!$J$6:$J$3005,$G1290,Ventes_Encaissements!$C$6:$C$3005,"&gt;="&amp;($C1290-3),Ventes_Encaissements!$C$6:$C$3005,"&lt;="&amp;($C1290+3)))</f>
        <v/>
      </c>
      <c r="I1290" s="12">
        <f>IF($H1290="","",IF($H1290=0,"Non trouvé",IF($H1290=1,"Match","À vérifier")))</f>
        <v/>
      </c>
      <c r="J1290" s="21">
        <f>IF($I1290&lt;&gt;"Match","",INDEX(Ventes_Encaissements!$B$6:$B$3005,_xludf.AGGREGATE(15,6,(ROW(Ventes_Encaissements!$B$6:$B$3005)-ROW(Ventes_Encaissements!$B$6)+1)/((Ventes_Encaissements!$E$6:$E$3005=$B1290)*(Ventes_Encaissements!$J$6:$J$3005=$G1290)*(Ventes_Encaissements!$C$6:$C$3005&gt;=$C1290-3)*(Ventes_Encaissements!$C$6:$C$3005&lt;=$C1290+3)),1)))</f>
        <v/>
      </c>
      <c r="K1290" s="6" t="n"/>
    </row>
    <row r="1291">
      <c r="A1291" s="6" t="n"/>
      <c r="B1291" s="6" t="n"/>
      <c r="C1291" s="19" t="n"/>
      <c r="D1291" s="19" t="n"/>
      <c r="E1291" s="6" t="n"/>
      <c r="F1291" s="20" t="n"/>
      <c r="G1291" s="9">
        <f>IF($F1291="","",IF($F1291&gt;0,ROUND($F1291,2),""))</f>
        <v/>
      </c>
      <c r="H1291" s="12">
        <f>IF(OR($B1291="",$C1291="",$G1291=""),"",COUNTIFS(Ventes_Encaissements!$E$6:$E$3005,$B1291,Ventes_Encaissements!$J$6:$J$3005,$G1291,Ventes_Encaissements!$C$6:$C$3005,"&gt;="&amp;($C1291-3),Ventes_Encaissements!$C$6:$C$3005,"&lt;="&amp;($C1291+3)))</f>
        <v/>
      </c>
      <c r="I1291" s="12">
        <f>IF($H1291="","",IF($H1291=0,"Non trouvé",IF($H1291=1,"Match","À vérifier")))</f>
        <v/>
      </c>
      <c r="J1291" s="21">
        <f>IF($I1291&lt;&gt;"Match","",INDEX(Ventes_Encaissements!$B$6:$B$3005,_xludf.AGGREGATE(15,6,(ROW(Ventes_Encaissements!$B$6:$B$3005)-ROW(Ventes_Encaissements!$B$6)+1)/((Ventes_Encaissements!$E$6:$E$3005=$B1291)*(Ventes_Encaissements!$J$6:$J$3005=$G1291)*(Ventes_Encaissements!$C$6:$C$3005&gt;=$C1291-3)*(Ventes_Encaissements!$C$6:$C$3005&lt;=$C1291+3)),1)))</f>
        <v/>
      </c>
      <c r="K1291" s="6" t="n"/>
    </row>
    <row r="1292">
      <c r="A1292" s="6" t="n"/>
      <c r="B1292" s="6" t="n"/>
      <c r="C1292" s="19" t="n"/>
      <c r="D1292" s="19" t="n"/>
      <c r="E1292" s="6" t="n"/>
      <c r="F1292" s="20" t="n"/>
      <c r="G1292" s="9">
        <f>IF($F1292="","",IF($F1292&gt;0,ROUND($F1292,2),""))</f>
        <v/>
      </c>
      <c r="H1292" s="12">
        <f>IF(OR($B1292="",$C1292="",$G1292=""),"",COUNTIFS(Ventes_Encaissements!$E$6:$E$3005,$B1292,Ventes_Encaissements!$J$6:$J$3005,$G1292,Ventes_Encaissements!$C$6:$C$3005,"&gt;="&amp;($C1292-3),Ventes_Encaissements!$C$6:$C$3005,"&lt;="&amp;($C1292+3)))</f>
        <v/>
      </c>
      <c r="I1292" s="12">
        <f>IF($H1292="","",IF($H1292=0,"Non trouvé",IF($H1292=1,"Match","À vérifier")))</f>
        <v/>
      </c>
      <c r="J1292" s="21">
        <f>IF($I1292&lt;&gt;"Match","",INDEX(Ventes_Encaissements!$B$6:$B$3005,_xludf.AGGREGATE(15,6,(ROW(Ventes_Encaissements!$B$6:$B$3005)-ROW(Ventes_Encaissements!$B$6)+1)/((Ventes_Encaissements!$E$6:$E$3005=$B1292)*(Ventes_Encaissements!$J$6:$J$3005=$G1292)*(Ventes_Encaissements!$C$6:$C$3005&gt;=$C1292-3)*(Ventes_Encaissements!$C$6:$C$3005&lt;=$C1292+3)),1)))</f>
        <v/>
      </c>
      <c r="K1292" s="6" t="n"/>
    </row>
    <row r="1293">
      <c r="A1293" s="6" t="n"/>
      <c r="B1293" s="6" t="n"/>
      <c r="C1293" s="19" t="n"/>
      <c r="D1293" s="19" t="n"/>
      <c r="E1293" s="6" t="n"/>
      <c r="F1293" s="20" t="n"/>
      <c r="G1293" s="9">
        <f>IF($F1293="","",IF($F1293&gt;0,ROUND($F1293,2),""))</f>
        <v/>
      </c>
      <c r="H1293" s="12">
        <f>IF(OR($B1293="",$C1293="",$G1293=""),"",COUNTIFS(Ventes_Encaissements!$E$6:$E$3005,$B1293,Ventes_Encaissements!$J$6:$J$3005,$G1293,Ventes_Encaissements!$C$6:$C$3005,"&gt;="&amp;($C1293-3),Ventes_Encaissements!$C$6:$C$3005,"&lt;="&amp;($C1293+3)))</f>
        <v/>
      </c>
      <c r="I1293" s="12">
        <f>IF($H1293="","",IF($H1293=0,"Non trouvé",IF($H1293=1,"Match","À vérifier")))</f>
        <v/>
      </c>
      <c r="J1293" s="21">
        <f>IF($I1293&lt;&gt;"Match","",INDEX(Ventes_Encaissements!$B$6:$B$3005,_xludf.AGGREGATE(15,6,(ROW(Ventes_Encaissements!$B$6:$B$3005)-ROW(Ventes_Encaissements!$B$6)+1)/((Ventes_Encaissements!$E$6:$E$3005=$B1293)*(Ventes_Encaissements!$J$6:$J$3005=$G1293)*(Ventes_Encaissements!$C$6:$C$3005&gt;=$C1293-3)*(Ventes_Encaissements!$C$6:$C$3005&lt;=$C1293+3)),1)))</f>
        <v/>
      </c>
      <c r="K1293" s="6" t="n"/>
    </row>
    <row r="1294">
      <c r="A1294" s="6" t="n"/>
      <c r="B1294" s="6" t="n"/>
      <c r="C1294" s="19" t="n"/>
      <c r="D1294" s="19" t="n"/>
      <c r="E1294" s="6" t="n"/>
      <c r="F1294" s="20" t="n"/>
      <c r="G1294" s="9">
        <f>IF($F1294="","",IF($F1294&gt;0,ROUND($F1294,2),""))</f>
        <v/>
      </c>
      <c r="H1294" s="12">
        <f>IF(OR($B1294="",$C1294="",$G1294=""),"",COUNTIFS(Ventes_Encaissements!$E$6:$E$3005,$B1294,Ventes_Encaissements!$J$6:$J$3005,$G1294,Ventes_Encaissements!$C$6:$C$3005,"&gt;="&amp;($C1294-3),Ventes_Encaissements!$C$6:$C$3005,"&lt;="&amp;($C1294+3)))</f>
        <v/>
      </c>
      <c r="I1294" s="12">
        <f>IF($H1294="","",IF($H1294=0,"Non trouvé",IF($H1294=1,"Match","À vérifier")))</f>
        <v/>
      </c>
      <c r="J1294" s="21">
        <f>IF($I1294&lt;&gt;"Match","",INDEX(Ventes_Encaissements!$B$6:$B$3005,_xludf.AGGREGATE(15,6,(ROW(Ventes_Encaissements!$B$6:$B$3005)-ROW(Ventes_Encaissements!$B$6)+1)/((Ventes_Encaissements!$E$6:$E$3005=$B1294)*(Ventes_Encaissements!$J$6:$J$3005=$G1294)*(Ventes_Encaissements!$C$6:$C$3005&gt;=$C1294-3)*(Ventes_Encaissements!$C$6:$C$3005&lt;=$C1294+3)),1)))</f>
        <v/>
      </c>
      <c r="K1294" s="6" t="n"/>
    </row>
    <row r="1295">
      <c r="A1295" s="6" t="n"/>
      <c r="B1295" s="6" t="n"/>
      <c r="C1295" s="19" t="n"/>
      <c r="D1295" s="19" t="n"/>
      <c r="E1295" s="6" t="n"/>
      <c r="F1295" s="20" t="n"/>
      <c r="G1295" s="9">
        <f>IF($F1295="","",IF($F1295&gt;0,ROUND($F1295,2),""))</f>
        <v/>
      </c>
      <c r="H1295" s="12">
        <f>IF(OR($B1295="",$C1295="",$G1295=""),"",COUNTIFS(Ventes_Encaissements!$E$6:$E$3005,$B1295,Ventes_Encaissements!$J$6:$J$3005,$G1295,Ventes_Encaissements!$C$6:$C$3005,"&gt;="&amp;($C1295-3),Ventes_Encaissements!$C$6:$C$3005,"&lt;="&amp;($C1295+3)))</f>
        <v/>
      </c>
      <c r="I1295" s="12">
        <f>IF($H1295="","",IF($H1295=0,"Non trouvé",IF($H1295=1,"Match","À vérifier")))</f>
        <v/>
      </c>
      <c r="J1295" s="21">
        <f>IF($I1295&lt;&gt;"Match","",INDEX(Ventes_Encaissements!$B$6:$B$3005,_xludf.AGGREGATE(15,6,(ROW(Ventes_Encaissements!$B$6:$B$3005)-ROW(Ventes_Encaissements!$B$6)+1)/((Ventes_Encaissements!$E$6:$E$3005=$B1295)*(Ventes_Encaissements!$J$6:$J$3005=$G1295)*(Ventes_Encaissements!$C$6:$C$3005&gt;=$C1295-3)*(Ventes_Encaissements!$C$6:$C$3005&lt;=$C1295+3)),1)))</f>
        <v/>
      </c>
      <c r="K1295" s="6" t="n"/>
    </row>
    <row r="1296">
      <c r="A1296" s="6" t="n"/>
      <c r="B1296" s="6" t="n"/>
      <c r="C1296" s="19" t="n"/>
      <c r="D1296" s="19" t="n"/>
      <c r="E1296" s="6" t="n"/>
      <c r="F1296" s="20" t="n"/>
      <c r="G1296" s="9">
        <f>IF($F1296="","",IF($F1296&gt;0,ROUND($F1296,2),""))</f>
        <v/>
      </c>
      <c r="H1296" s="12">
        <f>IF(OR($B1296="",$C1296="",$G1296=""),"",COUNTIFS(Ventes_Encaissements!$E$6:$E$3005,$B1296,Ventes_Encaissements!$J$6:$J$3005,$G1296,Ventes_Encaissements!$C$6:$C$3005,"&gt;="&amp;($C1296-3),Ventes_Encaissements!$C$6:$C$3005,"&lt;="&amp;($C1296+3)))</f>
        <v/>
      </c>
      <c r="I1296" s="12">
        <f>IF($H1296="","",IF($H1296=0,"Non trouvé",IF($H1296=1,"Match","À vérifier")))</f>
        <v/>
      </c>
      <c r="J1296" s="21">
        <f>IF($I1296&lt;&gt;"Match","",INDEX(Ventes_Encaissements!$B$6:$B$3005,_xludf.AGGREGATE(15,6,(ROW(Ventes_Encaissements!$B$6:$B$3005)-ROW(Ventes_Encaissements!$B$6)+1)/((Ventes_Encaissements!$E$6:$E$3005=$B1296)*(Ventes_Encaissements!$J$6:$J$3005=$G1296)*(Ventes_Encaissements!$C$6:$C$3005&gt;=$C1296-3)*(Ventes_Encaissements!$C$6:$C$3005&lt;=$C1296+3)),1)))</f>
        <v/>
      </c>
      <c r="K1296" s="6" t="n"/>
    </row>
    <row r="1297">
      <c r="A1297" s="6" t="n"/>
      <c r="B1297" s="6" t="n"/>
      <c r="C1297" s="19" t="n"/>
      <c r="D1297" s="19" t="n"/>
      <c r="E1297" s="6" t="n"/>
      <c r="F1297" s="20" t="n"/>
      <c r="G1297" s="9">
        <f>IF($F1297="","",IF($F1297&gt;0,ROUND($F1297,2),""))</f>
        <v/>
      </c>
      <c r="H1297" s="12">
        <f>IF(OR($B1297="",$C1297="",$G1297=""),"",COUNTIFS(Ventes_Encaissements!$E$6:$E$3005,$B1297,Ventes_Encaissements!$J$6:$J$3005,$G1297,Ventes_Encaissements!$C$6:$C$3005,"&gt;="&amp;($C1297-3),Ventes_Encaissements!$C$6:$C$3005,"&lt;="&amp;($C1297+3)))</f>
        <v/>
      </c>
      <c r="I1297" s="12">
        <f>IF($H1297="","",IF($H1297=0,"Non trouvé",IF($H1297=1,"Match","À vérifier")))</f>
        <v/>
      </c>
      <c r="J1297" s="21">
        <f>IF($I1297&lt;&gt;"Match","",INDEX(Ventes_Encaissements!$B$6:$B$3005,_xludf.AGGREGATE(15,6,(ROW(Ventes_Encaissements!$B$6:$B$3005)-ROW(Ventes_Encaissements!$B$6)+1)/((Ventes_Encaissements!$E$6:$E$3005=$B1297)*(Ventes_Encaissements!$J$6:$J$3005=$G1297)*(Ventes_Encaissements!$C$6:$C$3005&gt;=$C1297-3)*(Ventes_Encaissements!$C$6:$C$3005&lt;=$C1297+3)),1)))</f>
        <v/>
      </c>
      <c r="K1297" s="6" t="n"/>
    </row>
    <row r="1298">
      <c r="A1298" s="6" t="n"/>
      <c r="B1298" s="6" t="n"/>
      <c r="C1298" s="19" t="n"/>
      <c r="D1298" s="19" t="n"/>
      <c r="E1298" s="6" t="n"/>
      <c r="F1298" s="20" t="n"/>
      <c r="G1298" s="9">
        <f>IF($F1298="","",IF($F1298&gt;0,ROUND($F1298,2),""))</f>
        <v/>
      </c>
      <c r="H1298" s="12">
        <f>IF(OR($B1298="",$C1298="",$G1298=""),"",COUNTIFS(Ventes_Encaissements!$E$6:$E$3005,$B1298,Ventes_Encaissements!$J$6:$J$3005,$G1298,Ventes_Encaissements!$C$6:$C$3005,"&gt;="&amp;($C1298-3),Ventes_Encaissements!$C$6:$C$3005,"&lt;="&amp;($C1298+3)))</f>
        <v/>
      </c>
      <c r="I1298" s="12">
        <f>IF($H1298="","",IF($H1298=0,"Non trouvé",IF($H1298=1,"Match","À vérifier")))</f>
        <v/>
      </c>
      <c r="J1298" s="21">
        <f>IF($I1298&lt;&gt;"Match","",INDEX(Ventes_Encaissements!$B$6:$B$3005,_xludf.AGGREGATE(15,6,(ROW(Ventes_Encaissements!$B$6:$B$3005)-ROW(Ventes_Encaissements!$B$6)+1)/((Ventes_Encaissements!$E$6:$E$3005=$B1298)*(Ventes_Encaissements!$J$6:$J$3005=$G1298)*(Ventes_Encaissements!$C$6:$C$3005&gt;=$C1298-3)*(Ventes_Encaissements!$C$6:$C$3005&lt;=$C1298+3)),1)))</f>
        <v/>
      </c>
      <c r="K1298" s="6" t="n"/>
    </row>
    <row r="1299">
      <c r="A1299" s="6" t="n"/>
      <c r="B1299" s="6" t="n"/>
      <c r="C1299" s="19" t="n"/>
      <c r="D1299" s="19" t="n"/>
      <c r="E1299" s="6" t="n"/>
      <c r="F1299" s="20" t="n"/>
      <c r="G1299" s="9">
        <f>IF($F1299="","",IF($F1299&gt;0,ROUND($F1299,2),""))</f>
        <v/>
      </c>
      <c r="H1299" s="12">
        <f>IF(OR($B1299="",$C1299="",$G1299=""),"",COUNTIFS(Ventes_Encaissements!$E$6:$E$3005,$B1299,Ventes_Encaissements!$J$6:$J$3005,$G1299,Ventes_Encaissements!$C$6:$C$3005,"&gt;="&amp;($C1299-3),Ventes_Encaissements!$C$6:$C$3005,"&lt;="&amp;($C1299+3)))</f>
        <v/>
      </c>
      <c r="I1299" s="12">
        <f>IF($H1299="","",IF($H1299=0,"Non trouvé",IF($H1299=1,"Match","À vérifier")))</f>
        <v/>
      </c>
      <c r="J1299" s="21">
        <f>IF($I1299&lt;&gt;"Match","",INDEX(Ventes_Encaissements!$B$6:$B$3005,_xludf.AGGREGATE(15,6,(ROW(Ventes_Encaissements!$B$6:$B$3005)-ROW(Ventes_Encaissements!$B$6)+1)/((Ventes_Encaissements!$E$6:$E$3005=$B1299)*(Ventes_Encaissements!$J$6:$J$3005=$G1299)*(Ventes_Encaissements!$C$6:$C$3005&gt;=$C1299-3)*(Ventes_Encaissements!$C$6:$C$3005&lt;=$C1299+3)),1)))</f>
        <v/>
      </c>
      <c r="K1299" s="6" t="n"/>
    </row>
    <row r="1300">
      <c r="A1300" s="6" t="n"/>
      <c r="B1300" s="6" t="n"/>
      <c r="C1300" s="19" t="n"/>
      <c r="D1300" s="19" t="n"/>
      <c r="E1300" s="6" t="n"/>
      <c r="F1300" s="20" t="n"/>
      <c r="G1300" s="9">
        <f>IF($F1300="","",IF($F1300&gt;0,ROUND($F1300,2),""))</f>
        <v/>
      </c>
      <c r="H1300" s="12">
        <f>IF(OR($B1300="",$C1300="",$G1300=""),"",COUNTIFS(Ventes_Encaissements!$E$6:$E$3005,$B1300,Ventes_Encaissements!$J$6:$J$3005,$G1300,Ventes_Encaissements!$C$6:$C$3005,"&gt;="&amp;($C1300-3),Ventes_Encaissements!$C$6:$C$3005,"&lt;="&amp;($C1300+3)))</f>
        <v/>
      </c>
      <c r="I1300" s="12">
        <f>IF($H1300="","",IF($H1300=0,"Non trouvé",IF($H1300=1,"Match","À vérifier")))</f>
        <v/>
      </c>
      <c r="J1300" s="21">
        <f>IF($I1300&lt;&gt;"Match","",INDEX(Ventes_Encaissements!$B$6:$B$3005,_xludf.AGGREGATE(15,6,(ROW(Ventes_Encaissements!$B$6:$B$3005)-ROW(Ventes_Encaissements!$B$6)+1)/((Ventes_Encaissements!$E$6:$E$3005=$B1300)*(Ventes_Encaissements!$J$6:$J$3005=$G1300)*(Ventes_Encaissements!$C$6:$C$3005&gt;=$C1300-3)*(Ventes_Encaissements!$C$6:$C$3005&lt;=$C1300+3)),1)))</f>
        <v/>
      </c>
      <c r="K1300" s="6" t="n"/>
    </row>
    <row r="1301">
      <c r="A1301" s="6" t="n"/>
      <c r="B1301" s="6" t="n"/>
      <c r="C1301" s="19" t="n"/>
      <c r="D1301" s="19" t="n"/>
      <c r="E1301" s="6" t="n"/>
      <c r="F1301" s="20" t="n"/>
      <c r="G1301" s="9">
        <f>IF($F1301="","",IF($F1301&gt;0,ROUND($F1301,2),""))</f>
        <v/>
      </c>
      <c r="H1301" s="12">
        <f>IF(OR($B1301="",$C1301="",$G1301=""),"",COUNTIFS(Ventes_Encaissements!$E$6:$E$3005,$B1301,Ventes_Encaissements!$J$6:$J$3005,$G1301,Ventes_Encaissements!$C$6:$C$3005,"&gt;="&amp;($C1301-3),Ventes_Encaissements!$C$6:$C$3005,"&lt;="&amp;($C1301+3)))</f>
        <v/>
      </c>
      <c r="I1301" s="12">
        <f>IF($H1301="","",IF($H1301=0,"Non trouvé",IF($H1301=1,"Match","À vérifier")))</f>
        <v/>
      </c>
      <c r="J1301" s="21">
        <f>IF($I1301&lt;&gt;"Match","",INDEX(Ventes_Encaissements!$B$6:$B$3005,_xludf.AGGREGATE(15,6,(ROW(Ventes_Encaissements!$B$6:$B$3005)-ROW(Ventes_Encaissements!$B$6)+1)/((Ventes_Encaissements!$E$6:$E$3005=$B1301)*(Ventes_Encaissements!$J$6:$J$3005=$G1301)*(Ventes_Encaissements!$C$6:$C$3005&gt;=$C1301-3)*(Ventes_Encaissements!$C$6:$C$3005&lt;=$C1301+3)),1)))</f>
        <v/>
      </c>
      <c r="K1301" s="6" t="n"/>
    </row>
    <row r="1302">
      <c r="A1302" s="6" t="n"/>
      <c r="B1302" s="6" t="n"/>
      <c r="C1302" s="19" t="n"/>
      <c r="D1302" s="19" t="n"/>
      <c r="E1302" s="6" t="n"/>
      <c r="F1302" s="20" t="n"/>
      <c r="G1302" s="9">
        <f>IF($F1302="","",IF($F1302&gt;0,ROUND($F1302,2),""))</f>
        <v/>
      </c>
      <c r="H1302" s="12">
        <f>IF(OR($B1302="",$C1302="",$G1302=""),"",COUNTIFS(Ventes_Encaissements!$E$6:$E$3005,$B1302,Ventes_Encaissements!$J$6:$J$3005,$G1302,Ventes_Encaissements!$C$6:$C$3005,"&gt;="&amp;($C1302-3),Ventes_Encaissements!$C$6:$C$3005,"&lt;="&amp;($C1302+3)))</f>
        <v/>
      </c>
      <c r="I1302" s="12">
        <f>IF($H1302="","",IF($H1302=0,"Non trouvé",IF($H1302=1,"Match","À vérifier")))</f>
        <v/>
      </c>
      <c r="J1302" s="21">
        <f>IF($I1302&lt;&gt;"Match","",INDEX(Ventes_Encaissements!$B$6:$B$3005,_xludf.AGGREGATE(15,6,(ROW(Ventes_Encaissements!$B$6:$B$3005)-ROW(Ventes_Encaissements!$B$6)+1)/((Ventes_Encaissements!$E$6:$E$3005=$B1302)*(Ventes_Encaissements!$J$6:$J$3005=$G1302)*(Ventes_Encaissements!$C$6:$C$3005&gt;=$C1302-3)*(Ventes_Encaissements!$C$6:$C$3005&lt;=$C1302+3)),1)))</f>
        <v/>
      </c>
      <c r="K1302" s="6" t="n"/>
    </row>
    <row r="1303">
      <c r="A1303" s="6" t="n"/>
      <c r="B1303" s="6" t="n"/>
      <c r="C1303" s="19" t="n"/>
      <c r="D1303" s="19" t="n"/>
      <c r="E1303" s="6" t="n"/>
      <c r="F1303" s="20" t="n"/>
      <c r="G1303" s="9">
        <f>IF($F1303="","",IF($F1303&gt;0,ROUND($F1303,2),""))</f>
        <v/>
      </c>
      <c r="H1303" s="12">
        <f>IF(OR($B1303="",$C1303="",$G1303=""),"",COUNTIFS(Ventes_Encaissements!$E$6:$E$3005,$B1303,Ventes_Encaissements!$J$6:$J$3005,$G1303,Ventes_Encaissements!$C$6:$C$3005,"&gt;="&amp;($C1303-3),Ventes_Encaissements!$C$6:$C$3005,"&lt;="&amp;($C1303+3)))</f>
        <v/>
      </c>
      <c r="I1303" s="12">
        <f>IF($H1303="","",IF($H1303=0,"Non trouvé",IF($H1303=1,"Match","À vérifier")))</f>
        <v/>
      </c>
      <c r="J1303" s="21">
        <f>IF($I1303&lt;&gt;"Match","",INDEX(Ventes_Encaissements!$B$6:$B$3005,_xludf.AGGREGATE(15,6,(ROW(Ventes_Encaissements!$B$6:$B$3005)-ROW(Ventes_Encaissements!$B$6)+1)/((Ventes_Encaissements!$E$6:$E$3005=$B1303)*(Ventes_Encaissements!$J$6:$J$3005=$G1303)*(Ventes_Encaissements!$C$6:$C$3005&gt;=$C1303-3)*(Ventes_Encaissements!$C$6:$C$3005&lt;=$C1303+3)),1)))</f>
        <v/>
      </c>
      <c r="K1303" s="6" t="n"/>
    </row>
    <row r="1304">
      <c r="A1304" s="6" t="n"/>
      <c r="B1304" s="6" t="n"/>
      <c r="C1304" s="19" t="n"/>
      <c r="D1304" s="19" t="n"/>
      <c r="E1304" s="6" t="n"/>
      <c r="F1304" s="20" t="n"/>
      <c r="G1304" s="9">
        <f>IF($F1304="","",IF($F1304&gt;0,ROUND($F1304,2),""))</f>
        <v/>
      </c>
      <c r="H1304" s="12">
        <f>IF(OR($B1304="",$C1304="",$G1304=""),"",COUNTIFS(Ventes_Encaissements!$E$6:$E$3005,$B1304,Ventes_Encaissements!$J$6:$J$3005,$G1304,Ventes_Encaissements!$C$6:$C$3005,"&gt;="&amp;($C1304-3),Ventes_Encaissements!$C$6:$C$3005,"&lt;="&amp;($C1304+3)))</f>
        <v/>
      </c>
      <c r="I1304" s="12">
        <f>IF($H1304="","",IF($H1304=0,"Non trouvé",IF($H1304=1,"Match","À vérifier")))</f>
        <v/>
      </c>
      <c r="J1304" s="21">
        <f>IF($I1304&lt;&gt;"Match","",INDEX(Ventes_Encaissements!$B$6:$B$3005,_xludf.AGGREGATE(15,6,(ROW(Ventes_Encaissements!$B$6:$B$3005)-ROW(Ventes_Encaissements!$B$6)+1)/((Ventes_Encaissements!$E$6:$E$3005=$B1304)*(Ventes_Encaissements!$J$6:$J$3005=$G1304)*(Ventes_Encaissements!$C$6:$C$3005&gt;=$C1304-3)*(Ventes_Encaissements!$C$6:$C$3005&lt;=$C1304+3)),1)))</f>
        <v/>
      </c>
      <c r="K1304" s="6" t="n"/>
    </row>
    <row r="1305">
      <c r="A1305" s="6" t="n"/>
      <c r="B1305" s="6" t="n"/>
      <c r="C1305" s="19" t="n"/>
      <c r="D1305" s="19" t="n"/>
      <c r="E1305" s="6" t="n"/>
      <c r="F1305" s="20" t="n"/>
      <c r="G1305" s="9">
        <f>IF($F1305="","",IF($F1305&gt;0,ROUND($F1305,2),""))</f>
        <v/>
      </c>
      <c r="H1305" s="12">
        <f>IF(OR($B1305="",$C1305="",$G1305=""),"",COUNTIFS(Ventes_Encaissements!$E$6:$E$3005,$B1305,Ventes_Encaissements!$J$6:$J$3005,$G1305,Ventes_Encaissements!$C$6:$C$3005,"&gt;="&amp;($C1305-3),Ventes_Encaissements!$C$6:$C$3005,"&lt;="&amp;($C1305+3)))</f>
        <v/>
      </c>
      <c r="I1305" s="12">
        <f>IF($H1305="","",IF($H1305=0,"Non trouvé",IF($H1305=1,"Match","À vérifier")))</f>
        <v/>
      </c>
      <c r="J1305" s="21">
        <f>IF($I1305&lt;&gt;"Match","",INDEX(Ventes_Encaissements!$B$6:$B$3005,_xludf.AGGREGATE(15,6,(ROW(Ventes_Encaissements!$B$6:$B$3005)-ROW(Ventes_Encaissements!$B$6)+1)/((Ventes_Encaissements!$E$6:$E$3005=$B1305)*(Ventes_Encaissements!$J$6:$J$3005=$G1305)*(Ventes_Encaissements!$C$6:$C$3005&gt;=$C1305-3)*(Ventes_Encaissements!$C$6:$C$3005&lt;=$C1305+3)),1)))</f>
        <v/>
      </c>
      <c r="K1305" s="6" t="n"/>
    </row>
    <row r="1306">
      <c r="A1306" s="6" t="n"/>
      <c r="B1306" s="6" t="n"/>
      <c r="C1306" s="19" t="n"/>
      <c r="D1306" s="19" t="n"/>
      <c r="E1306" s="6" t="n"/>
      <c r="F1306" s="20" t="n"/>
      <c r="G1306" s="9">
        <f>IF($F1306="","",IF($F1306&gt;0,ROUND($F1306,2),""))</f>
        <v/>
      </c>
      <c r="H1306" s="12">
        <f>IF(OR($B1306="",$C1306="",$G1306=""),"",COUNTIFS(Ventes_Encaissements!$E$6:$E$3005,$B1306,Ventes_Encaissements!$J$6:$J$3005,$G1306,Ventes_Encaissements!$C$6:$C$3005,"&gt;="&amp;($C1306-3),Ventes_Encaissements!$C$6:$C$3005,"&lt;="&amp;($C1306+3)))</f>
        <v/>
      </c>
      <c r="I1306" s="12">
        <f>IF($H1306="","",IF($H1306=0,"Non trouvé",IF($H1306=1,"Match","À vérifier")))</f>
        <v/>
      </c>
      <c r="J1306" s="21">
        <f>IF($I1306&lt;&gt;"Match","",INDEX(Ventes_Encaissements!$B$6:$B$3005,_xludf.AGGREGATE(15,6,(ROW(Ventes_Encaissements!$B$6:$B$3005)-ROW(Ventes_Encaissements!$B$6)+1)/((Ventes_Encaissements!$E$6:$E$3005=$B1306)*(Ventes_Encaissements!$J$6:$J$3005=$G1306)*(Ventes_Encaissements!$C$6:$C$3005&gt;=$C1306-3)*(Ventes_Encaissements!$C$6:$C$3005&lt;=$C1306+3)),1)))</f>
        <v/>
      </c>
      <c r="K1306" s="6" t="n"/>
    </row>
    <row r="1307">
      <c r="A1307" s="6" t="n"/>
      <c r="B1307" s="6" t="n"/>
      <c r="C1307" s="19" t="n"/>
      <c r="D1307" s="19" t="n"/>
      <c r="E1307" s="6" t="n"/>
      <c r="F1307" s="20" t="n"/>
      <c r="G1307" s="9">
        <f>IF($F1307="","",IF($F1307&gt;0,ROUND($F1307,2),""))</f>
        <v/>
      </c>
      <c r="H1307" s="12">
        <f>IF(OR($B1307="",$C1307="",$G1307=""),"",COUNTIFS(Ventes_Encaissements!$E$6:$E$3005,$B1307,Ventes_Encaissements!$J$6:$J$3005,$G1307,Ventes_Encaissements!$C$6:$C$3005,"&gt;="&amp;($C1307-3),Ventes_Encaissements!$C$6:$C$3005,"&lt;="&amp;($C1307+3)))</f>
        <v/>
      </c>
      <c r="I1307" s="12">
        <f>IF($H1307="","",IF($H1307=0,"Non trouvé",IF($H1307=1,"Match","À vérifier")))</f>
        <v/>
      </c>
      <c r="J1307" s="21">
        <f>IF($I1307&lt;&gt;"Match","",INDEX(Ventes_Encaissements!$B$6:$B$3005,_xludf.AGGREGATE(15,6,(ROW(Ventes_Encaissements!$B$6:$B$3005)-ROW(Ventes_Encaissements!$B$6)+1)/((Ventes_Encaissements!$E$6:$E$3005=$B1307)*(Ventes_Encaissements!$J$6:$J$3005=$G1307)*(Ventes_Encaissements!$C$6:$C$3005&gt;=$C1307-3)*(Ventes_Encaissements!$C$6:$C$3005&lt;=$C1307+3)),1)))</f>
        <v/>
      </c>
      <c r="K1307" s="6" t="n"/>
    </row>
    <row r="1308">
      <c r="A1308" s="6" t="n"/>
      <c r="B1308" s="6" t="n"/>
      <c r="C1308" s="19" t="n"/>
      <c r="D1308" s="19" t="n"/>
      <c r="E1308" s="6" t="n"/>
      <c r="F1308" s="20" t="n"/>
      <c r="G1308" s="9">
        <f>IF($F1308="","",IF($F1308&gt;0,ROUND($F1308,2),""))</f>
        <v/>
      </c>
      <c r="H1308" s="12">
        <f>IF(OR($B1308="",$C1308="",$G1308=""),"",COUNTIFS(Ventes_Encaissements!$E$6:$E$3005,$B1308,Ventes_Encaissements!$J$6:$J$3005,$G1308,Ventes_Encaissements!$C$6:$C$3005,"&gt;="&amp;($C1308-3),Ventes_Encaissements!$C$6:$C$3005,"&lt;="&amp;($C1308+3)))</f>
        <v/>
      </c>
      <c r="I1308" s="12">
        <f>IF($H1308="","",IF($H1308=0,"Non trouvé",IF($H1308=1,"Match","À vérifier")))</f>
        <v/>
      </c>
      <c r="J1308" s="21">
        <f>IF($I1308&lt;&gt;"Match","",INDEX(Ventes_Encaissements!$B$6:$B$3005,_xludf.AGGREGATE(15,6,(ROW(Ventes_Encaissements!$B$6:$B$3005)-ROW(Ventes_Encaissements!$B$6)+1)/((Ventes_Encaissements!$E$6:$E$3005=$B1308)*(Ventes_Encaissements!$J$6:$J$3005=$G1308)*(Ventes_Encaissements!$C$6:$C$3005&gt;=$C1308-3)*(Ventes_Encaissements!$C$6:$C$3005&lt;=$C1308+3)),1)))</f>
        <v/>
      </c>
      <c r="K1308" s="6" t="n"/>
    </row>
    <row r="1309">
      <c r="A1309" s="6" t="n"/>
      <c r="B1309" s="6" t="n"/>
      <c r="C1309" s="19" t="n"/>
      <c r="D1309" s="19" t="n"/>
      <c r="E1309" s="6" t="n"/>
      <c r="F1309" s="20" t="n"/>
      <c r="G1309" s="9">
        <f>IF($F1309="","",IF($F1309&gt;0,ROUND($F1309,2),""))</f>
        <v/>
      </c>
      <c r="H1309" s="12">
        <f>IF(OR($B1309="",$C1309="",$G1309=""),"",COUNTIFS(Ventes_Encaissements!$E$6:$E$3005,$B1309,Ventes_Encaissements!$J$6:$J$3005,$G1309,Ventes_Encaissements!$C$6:$C$3005,"&gt;="&amp;($C1309-3),Ventes_Encaissements!$C$6:$C$3005,"&lt;="&amp;($C1309+3)))</f>
        <v/>
      </c>
      <c r="I1309" s="12">
        <f>IF($H1309="","",IF($H1309=0,"Non trouvé",IF($H1309=1,"Match","À vérifier")))</f>
        <v/>
      </c>
      <c r="J1309" s="21">
        <f>IF($I1309&lt;&gt;"Match","",INDEX(Ventes_Encaissements!$B$6:$B$3005,_xludf.AGGREGATE(15,6,(ROW(Ventes_Encaissements!$B$6:$B$3005)-ROW(Ventes_Encaissements!$B$6)+1)/((Ventes_Encaissements!$E$6:$E$3005=$B1309)*(Ventes_Encaissements!$J$6:$J$3005=$G1309)*(Ventes_Encaissements!$C$6:$C$3005&gt;=$C1309-3)*(Ventes_Encaissements!$C$6:$C$3005&lt;=$C1309+3)),1)))</f>
        <v/>
      </c>
      <c r="K1309" s="6" t="n"/>
    </row>
    <row r="1310">
      <c r="A1310" s="6" t="n"/>
      <c r="B1310" s="6" t="n"/>
      <c r="C1310" s="19" t="n"/>
      <c r="D1310" s="19" t="n"/>
      <c r="E1310" s="6" t="n"/>
      <c r="F1310" s="20" t="n"/>
      <c r="G1310" s="9">
        <f>IF($F1310="","",IF($F1310&gt;0,ROUND($F1310,2),""))</f>
        <v/>
      </c>
      <c r="H1310" s="12">
        <f>IF(OR($B1310="",$C1310="",$G1310=""),"",COUNTIFS(Ventes_Encaissements!$E$6:$E$3005,$B1310,Ventes_Encaissements!$J$6:$J$3005,$G1310,Ventes_Encaissements!$C$6:$C$3005,"&gt;="&amp;($C1310-3),Ventes_Encaissements!$C$6:$C$3005,"&lt;="&amp;($C1310+3)))</f>
        <v/>
      </c>
      <c r="I1310" s="12">
        <f>IF($H1310="","",IF($H1310=0,"Non trouvé",IF($H1310=1,"Match","À vérifier")))</f>
        <v/>
      </c>
      <c r="J1310" s="21">
        <f>IF($I1310&lt;&gt;"Match","",INDEX(Ventes_Encaissements!$B$6:$B$3005,_xludf.AGGREGATE(15,6,(ROW(Ventes_Encaissements!$B$6:$B$3005)-ROW(Ventes_Encaissements!$B$6)+1)/((Ventes_Encaissements!$E$6:$E$3005=$B1310)*(Ventes_Encaissements!$J$6:$J$3005=$G1310)*(Ventes_Encaissements!$C$6:$C$3005&gt;=$C1310-3)*(Ventes_Encaissements!$C$6:$C$3005&lt;=$C1310+3)),1)))</f>
        <v/>
      </c>
      <c r="K1310" s="6" t="n"/>
    </row>
    <row r="1311">
      <c r="A1311" s="6" t="n"/>
      <c r="B1311" s="6" t="n"/>
      <c r="C1311" s="19" t="n"/>
      <c r="D1311" s="19" t="n"/>
      <c r="E1311" s="6" t="n"/>
      <c r="F1311" s="20" t="n"/>
      <c r="G1311" s="9">
        <f>IF($F1311="","",IF($F1311&gt;0,ROUND($F1311,2),""))</f>
        <v/>
      </c>
      <c r="H1311" s="12">
        <f>IF(OR($B1311="",$C1311="",$G1311=""),"",COUNTIFS(Ventes_Encaissements!$E$6:$E$3005,$B1311,Ventes_Encaissements!$J$6:$J$3005,$G1311,Ventes_Encaissements!$C$6:$C$3005,"&gt;="&amp;($C1311-3),Ventes_Encaissements!$C$6:$C$3005,"&lt;="&amp;($C1311+3)))</f>
        <v/>
      </c>
      <c r="I1311" s="12">
        <f>IF($H1311="","",IF($H1311=0,"Non trouvé",IF($H1311=1,"Match","À vérifier")))</f>
        <v/>
      </c>
      <c r="J1311" s="21">
        <f>IF($I1311&lt;&gt;"Match","",INDEX(Ventes_Encaissements!$B$6:$B$3005,_xludf.AGGREGATE(15,6,(ROW(Ventes_Encaissements!$B$6:$B$3005)-ROW(Ventes_Encaissements!$B$6)+1)/((Ventes_Encaissements!$E$6:$E$3005=$B1311)*(Ventes_Encaissements!$J$6:$J$3005=$G1311)*(Ventes_Encaissements!$C$6:$C$3005&gt;=$C1311-3)*(Ventes_Encaissements!$C$6:$C$3005&lt;=$C1311+3)),1)))</f>
        <v/>
      </c>
      <c r="K1311" s="6" t="n"/>
    </row>
    <row r="1312">
      <c r="A1312" s="6" t="n"/>
      <c r="B1312" s="6" t="n"/>
      <c r="C1312" s="19" t="n"/>
      <c r="D1312" s="19" t="n"/>
      <c r="E1312" s="6" t="n"/>
      <c r="F1312" s="20" t="n"/>
      <c r="G1312" s="9">
        <f>IF($F1312="","",IF($F1312&gt;0,ROUND($F1312,2),""))</f>
        <v/>
      </c>
      <c r="H1312" s="12">
        <f>IF(OR($B1312="",$C1312="",$G1312=""),"",COUNTIFS(Ventes_Encaissements!$E$6:$E$3005,$B1312,Ventes_Encaissements!$J$6:$J$3005,$G1312,Ventes_Encaissements!$C$6:$C$3005,"&gt;="&amp;($C1312-3),Ventes_Encaissements!$C$6:$C$3005,"&lt;="&amp;($C1312+3)))</f>
        <v/>
      </c>
      <c r="I1312" s="12">
        <f>IF($H1312="","",IF($H1312=0,"Non trouvé",IF($H1312=1,"Match","À vérifier")))</f>
        <v/>
      </c>
      <c r="J1312" s="21">
        <f>IF($I1312&lt;&gt;"Match","",INDEX(Ventes_Encaissements!$B$6:$B$3005,_xludf.AGGREGATE(15,6,(ROW(Ventes_Encaissements!$B$6:$B$3005)-ROW(Ventes_Encaissements!$B$6)+1)/((Ventes_Encaissements!$E$6:$E$3005=$B1312)*(Ventes_Encaissements!$J$6:$J$3005=$G1312)*(Ventes_Encaissements!$C$6:$C$3005&gt;=$C1312-3)*(Ventes_Encaissements!$C$6:$C$3005&lt;=$C1312+3)),1)))</f>
        <v/>
      </c>
      <c r="K1312" s="6" t="n"/>
    </row>
    <row r="1313">
      <c r="A1313" s="6" t="n"/>
      <c r="B1313" s="6" t="n"/>
      <c r="C1313" s="19" t="n"/>
      <c r="D1313" s="19" t="n"/>
      <c r="E1313" s="6" t="n"/>
      <c r="F1313" s="20" t="n"/>
      <c r="G1313" s="9">
        <f>IF($F1313="","",IF($F1313&gt;0,ROUND($F1313,2),""))</f>
        <v/>
      </c>
      <c r="H1313" s="12">
        <f>IF(OR($B1313="",$C1313="",$G1313=""),"",COUNTIFS(Ventes_Encaissements!$E$6:$E$3005,$B1313,Ventes_Encaissements!$J$6:$J$3005,$G1313,Ventes_Encaissements!$C$6:$C$3005,"&gt;="&amp;($C1313-3),Ventes_Encaissements!$C$6:$C$3005,"&lt;="&amp;($C1313+3)))</f>
        <v/>
      </c>
      <c r="I1313" s="12">
        <f>IF($H1313="","",IF($H1313=0,"Non trouvé",IF($H1313=1,"Match","À vérifier")))</f>
        <v/>
      </c>
      <c r="J1313" s="21">
        <f>IF($I1313&lt;&gt;"Match","",INDEX(Ventes_Encaissements!$B$6:$B$3005,_xludf.AGGREGATE(15,6,(ROW(Ventes_Encaissements!$B$6:$B$3005)-ROW(Ventes_Encaissements!$B$6)+1)/((Ventes_Encaissements!$E$6:$E$3005=$B1313)*(Ventes_Encaissements!$J$6:$J$3005=$G1313)*(Ventes_Encaissements!$C$6:$C$3005&gt;=$C1313-3)*(Ventes_Encaissements!$C$6:$C$3005&lt;=$C1313+3)),1)))</f>
        <v/>
      </c>
      <c r="K1313" s="6" t="n"/>
    </row>
    <row r="1314">
      <c r="A1314" s="6" t="n"/>
      <c r="B1314" s="6" t="n"/>
      <c r="C1314" s="19" t="n"/>
      <c r="D1314" s="19" t="n"/>
      <c r="E1314" s="6" t="n"/>
      <c r="F1314" s="20" t="n"/>
      <c r="G1314" s="9">
        <f>IF($F1314="","",IF($F1314&gt;0,ROUND($F1314,2),""))</f>
        <v/>
      </c>
      <c r="H1314" s="12">
        <f>IF(OR($B1314="",$C1314="",$G1314=""),"",COUNTIFS(Ventes_Encaissements!$E$6:$E$3005,$B1314,Ventes_Encaissements!$J$6:$J$3005,$G1314,Ventes_Encaissements!$C$6:$C$3005,"&gt;="&amp;($C1314-3),Ventes_Encaissements!$C$6:$C$3005,"&lt;="&amp;($C1314+3)))</f>
        <v/>
      </c>
      <c r="I1314" s="12">
        <f>IF($H1314="","",IF($H1314=0,"Non trouvé",IF($H1314=1,"Match","À vérifier")))</f>
        <v/>
      </c>
      <c r="J1314" s="21">
        <f>IF($I1314&lt;&gt;"Match","",INDEX(Ventes_Encaissements!$B$6:$B$3005,_xludf.AGGREGATE(15,6,(ROW(Ventes_Encaissements!$B$6:$B$3005)-ROW(Ventes_Encaissements!$B$6)+1)/((Ventes_Encaissements!$E$6:$E$3005=$B1314)*(Ventes_Encaissements!$J$6:$J$3005=$G1314)*(Ventes_Encaissements!$C$6:$C$3005&gt;=$C1314-3)*(Ventes_Encaissements!$C$6:$C$3005&lt;=$C1314+3)),1)))</f>
        <v/>
      </c>
      <c r="K1314" s="6" t="n"/>
    </row>
    <row r="1315">
      <c r="A1315" s="6" t="n"/>
      <c r="B1315" s="6" t="n"/>
      <c r="C1315" s="19" t="n"/>
      <c r="D1315" s="19" t="n"/>
      <c r="E1315" s="6" t="n"/>
      <c r="F1315" s="20" t="n"/>
      <c r="G1315" s="9">
        <f>IF($F1315="","",IF($F1315&gt;0,ROUND($F1315,2),""))</f>
        <v/>
      </c>
      <c r="H1315" s="12">
        <f>IF(OR($B1315="",$C1315="",$G1315=""),"",COUNTIFS(Ventes_Encaissements!$E$6:$E$3005,$B1315,Ventes_Encaissements!$J$6:$J$3005,$G1315,Ventes_Encaissements!$C$6:$C$3005,"&gt;="&amp;($C1315-3),Ventes_Encaissements!$C$6:$C$3005,"&lt;="&amp;($C1315+3)))</f>
        <v/>
      </c>
      <c r="I1315" s="12">
        <f>IF($H1315="","",IF($H1315=0,"Non trouvé",IF($H1315=1,"Match","À vérifier")))</f>
        <v/>
      </c>
      <c r="J1315" s="21">
        <f>IF($I1315&lt;&gt;"Match","",INDEX(Ventes_Encaissements!$B$6:$B$3005,_xludf.AGGREGATE(15,6,(ROW(Ventes_Encaissements!$B$6:$B$3005)-ROW(Ventes_Encaissements!$B$6)+1)/((Ventes_Encaissements!$E$6:$E$3005=$B1315)*(Ventes_Encaissements!$J$6:$J$3005=$G1315)*(Ventes_Encaissements!$C$6:$C$3005&gt;=$C1315-3)*(Ventes_Encaissements!$C$6:$C$3005&lt;=$C1315+3)),1)))</f>
        <v/>
      </c>
      <c r="K1315" s="6" t="n"/>
    </row>
    <row r="1316">
      <c r="A1316" s="6" t="n"/>
      <c r="B1316" s="6" t="n"/>
      <c r="C1316" s="19" t="n"/>
      <c r="D1316" s="19" t="n"/>
      <c r="E1316" s="6" t="n"/>
      <c r="F1316" s="20" t="n"/>
      <c r="G1316" s="9">
        <f>IF($F1316="","",IF($F1316&gt;0,ROUND($F1316,2),""))</f>
        <v/>
      </c>
      <c r="H1316" s="12">
        <f>IF(OR($B1316="",$C1316="",$G1316=""),"",COUNTIFS(Ventes_Encaissements!$E$6:$E$3005,$B1316,Ventes_Encaissements!$J$6:$J$3005,$G1316,Ventes_Encaissements!$C$6:$C$3005,"&gt;="&amp;($C1316-3),Ventes_Encaissements!$C$6:$C$3005,"&lt;="&amp;($C1316+3)))</f>
        <v/>
      </c>
      <c r="I1316" s="12">
        <f>IF($H1316="","",IF($H1316=0,"Non trouvé",IF($H1316=1,"Match","À vérifier")))</f>
        <v/>
      </c>
      <c r="J1316" s="21">
        <f>IF($I1316&lt;&gt;"Match","",INDEX(Ventes_Encaissements!$B$6:$B$3005,_xludf.AGGREGATE(15,6,(ROW(Ventes_Encaissements!$B$6:$B$3005)-ROW(Ventes_Encaissements!$B$6)+1)/((Ventes_Encaissements!$E$6:$E$3005=$B1316)*(Ventes_Encaissements!$J$6:$J$3005=$G1316)*(Ventes_Encaissements!$C$6:$C$3005&gt;=$C1316-3)*(Ventes_Encaissements!$C$6:$C$3005&lt;=$C1316+3)),1)))</f>
        <v/>
      </c>
      <c r="K1316" s="6" t="n"/>
    </row>
    <row r="1317">
      <c r="A1317" s="6" t="n"/>
      <c r="B1317" s="6" t="n"/>
      <c r="C1317" s="19" t="n"/>
      <c r="D1317" s="19" t="n"/>
      <c r="E1317" s="6" t="n"/>
      <c r="F1317" s="20" t="n"/>
      <c r="G1317" s="9">
        <f>IF($F1317="","",IF($F1317&gt;0,ROUND($F1317,2),""))</f>
        <v/>
      </c>
      <c r="H1317" s="12">
        <f>IF(OR($B1317="",$C1317="",$G1317=""),"",COUNTIFS(Ventes_Encaissements!$E$6:$E$3005,$B1317,Ventes_Encaissements!$J$6:$J$3005,$G1317,Ventes_Encaissements!$C$6:$C$3005,"&gt;="&amp;($C1317-3),Ventes_Encaissements!$C$6:$C$3005,"&lt;="&amp;($C1317+3)))</f>
        <v/>
      </c>
      <c r="I1317" s="12">
        <f>IF($H1317="","",IF($H1317=0,"Non trouvé",IF($H1317=1,"Match","À vérifier")))</f>
        <v/>
      </c>
      <c r="J1317" s="21">
        <f>IF($I1317&lt;&gt;"Match","",INDEX(Ventes_Encaissements!$B$6:$B$3005,_xludf.AGGREGATE(15,6,(ROW(Ventes_Encaissements!$B$6:$B$3005)-ROW(Ventes_Encaissements!$B$6)+1)/((Ventes_Encaissements!$E$6:$E$3005=$B1317)*(Ventes_Encaissements!$J$6:$J$3005=$G1317)*(Ventes_Encaissements!$C$6:$C$3005&gt;=$C1317-3)*(Ventes_Encaissements!$C$6:$C$3005&lt;=$C1317+3)),1)))</f>
        <v/>
      </c>
      <c r="K1317" s="6" t="n"/>
    </row>
    <row r="1318">
      <c r="A1318" s="6" t="n"/>
      <c r="B1318" s="6" t="n"/>
      <c r="C1318" s="19" t="n"/>
      <c r="D1318" s="19" t="n"/>
      <c r="E1318" s="6" t="n"/>
      <c r="F1318" s="20" t="n"/>
      <c r="G1318" s="9">
        <f>IF($F1318="","",IF($F1318&gt;0,ROUND($F1318,2),""))</f>
        <v/>
      </c>
      <c r="H1318" s="12">
        <f>IF(OR($B1318="",$C1318="",$G1318=""),"",COUNTIFS(Ventes_Encaissements!$E$6:$E$3005,$B1318,Ventes_Encaissements!$J$6:$J$3005,$G1318,Ventes_Encaissements!$C$6:$C$3005,"&gt;="&amp;($C1318-3),Ventes_Encaissements!$C$6:$C$3005,"&lt;="&amp;($C1318+3)))</f>
        <v/>
      </c>
      <c r="I1318" s="12">
        <f>IF($H1318="","",IF($H1318=0,"Non trouvé",IF($H1318=1,"Match","À vérifier")))</f>
        <v/>
      </c>
      <c r="J1318" s="21">
        <f>IF($I1318&lt;&gt;"Match","",INDEX(Ventes_Encaissements!$B$6:$B$3005,_xludf.AGGREGATE(15,6,(ROW(Ventes_Encaissements!$B$6:$B$3005)-ROW(Ventes_Encaissements!$B$6)+1)/((Ventes_Encaissements!$E$6:$E$3005=$B1318)*(Ventes_Encaissements!$J$6:$J$3005=$G1318)*(Ventes_Encaissements!$C$6:$C$3005&gt;=$C1318-3)*(Ventes_Encaissements!$C$6:$C$3005&lt;=$C1318+3)),1)))</f>
        <v/>
      </c>
      <c r="K1318" s="6" t="n"/>
    </row>
    <row r="1319">
      <c r="A1319" s="6" t="n"/>
      <c r="B1319" s="6" t="n"/>
      <c r="C1319" s="19" t="n"/>
      <c r="D1319" s="19" t="n"/>
      <c r="E1319" s="6" t="n"/>
      <c r="F1319" s="20" t="n"/>
      <c r="G1319" s="9">
        <f>IF($F1319="","",IF($F1319&gt;0,ROUND($F1319,2),""))</f>
        <v/>
      </c>
      <c r="H1319" s="12">
        <f>IF(OR($B1319="",$C1319="",$G1319=""),"",COUNTIFS(Ventes_Encaissements!$E$6:$E$3005,$B1319,Ventes_Encaissements!$J$6:$J$3005,$G1319,Ventes_Encaissements!$C$6:$C$3005,"&gt;="&amp;($C1319-3),Ventes_Encaissements!$C$6:$C$3005,"&lt;="&amp;($C1319+3)))</f>
        <v/>
      </c>
      <c r="I1319" s="12">
        <f>IF($H1319="","",IF($H1319=0,"Non trouvé",IF($H1319=1,"Match","À vérifier")))</f>
        <v/>
      </c>
      <c r="J1319" s="21">
        <f>IF($I1319&lt;&gt;"Match","",INDEX(Ventes_Encaissements!$B$6:$B$3005,_xludf.AGGREGATE(15,6,(ROW(Ventes_Encaissements!$B$6:$B$3005)-ROW(Ventes_Encaissements!$B$6)+1)/((Ventes_Encaissements!$E$6:$E$3005=$B1319)*(Ventes_Encaissements!$J$6:$J$3005=$G1319)*(Ventes_Encaissements!$C$6:$C$3005&gt;=$C1319-3)*(Ventes_Encaissements!$C$6:$C$3005&lt;=$C1319+3)),1)))</f>
        <v/>
      </c>
      <c r="K1319" s="6" t="n"/>
    </row>
    <row r="1320">
      <c r="A1320" s="6" t="n"/>
      <c r="B1320" s="6" t="n"/>
      <c r="C1320" s="19" t="n"/>
      <c r="D1320" s="19" t="n"/>
      <c r="E1320" s="6" t="n"/>
      <c r="F1320" s="20" t="n"/>
      <c r="G1320" s="9">
        <f>IF($F1320="","",IF($F1320&gt;0,ROUND($F1320,2),""))</f>
        <v/>
      </c>
      <c r="H1320" s="12">
        <f>IF(OR($B1320="",$C1320="",$G1320=""),"",COUNTIFS(Ventes_Encaissements!$E$6:$E$3005,$B1320,Ventes_Encaissements!$J$6:$J$3005,$G1320,Ventes_Encaissements!$C$6:$C$3005,"&gt;="&amp;($C1320-3),Ventes_Encaissements!$C$6:$C$3005,"&lt;="&amp;($C1320+3)))</f>
        <v/>
      </c>
      <c r="I1320" s="12">
        <f>IF($H1320="","",IF($H1320=0,"Non trouvé",IF($H1320=1,"Match","À vérifier")))</f>
        <v/>
      </c>
      <c r="J1320" s="21">
        <f>IF($I1320&lt;&gt;"Match","",INDEX(Ventes_Encaissements!$B$6:$B$3005,_xludf.AGGREGATE(15,6,(ROW(Ventes_Encaissements!$B$6:$B$3005)-ROW(Ventes_Encaissements!$B$6)+1)/((Ventes_Encaissements!$E$6:$E$3005=$B1320)*(Ventes_Encaissements!$J$6:$J$3005=$G1320)*(Ventes_Encaissements!$C$6:$C$3005&gt;=$C1320-3)*(Ventes_Encaissements!$C$6:$C$3005&lt;=$C1320+3)),1)))</f>
        <v/>
      </c>
      <c r="K1320" s="6" t="n"/>
    </row>
    <row r="1321">
      <c r="A1321" s="6" t="n"/>
      <c r="B1321" s="6" t="n"/>
      <c r="C1321" s="19" t="n"/>
      <c r="D1321" s="19" t="n"/>
      <c r="E1321" s="6" t="n"/>
      <c r="F1321" s="20" t="n"/>
      <c r="G1321" s="9">
        <f>IF($F1321="","",IF($F1321&gt;0,ROUND($F1321,2),""))</f>
        <v/>
      </c>
      <c r="H1321" s="12">
        <f>IF(OR($B1321="",$C1321="",$G1321=""),"",COUNTIFS(Ventes_Encaissements!$E$6:$E$3005,$B1321,Ventes_Encaissements!$J$6:$J$3005,$G1321,Ventes_Encaissements!$C$6:$C$3005,"&gt;="&amp;($C1321-3),Ventes_Encaissements!$C$6:$C$3005,"&lt;="&amp;($C1321+3)))</f>
        <v/>
      </c>
      <c r="I1321" s="12">
        <f>IF($H1321="","",IF($H1321=0,"Non trouvé",IF($H1321=1,"Match","À vérifier")))</f>
        <v/>
      </c>
      <c r="J1321" s="21">
        <f>IF($I1321&lt;&gt;"Match","",INDEX(Ventes_Encaissements!$B$6:$B$3005,_xludf.AGGREGATE(15,6,(ROW(Ventes_Encaissements!$B$6:$B$3005)-ROW(Ventes_Encaissements!$B$6)+1)/((Ventes_Encaissements!$E$6:$E$3005=$B1321)*(Ventes_Encaissements!$J$6:$J$3005=$G1321)*(Ventes_Encaissements!$C$6:$C$3005&gt;=$C1321-3)*(Ventes_Encaissements!$C$6:$C$3005&lt;=$C1321+3)),1)))</f>
        <v/>
      </c>
      <c r="K1321" s="6" t="n"/>
    </row>
    <row r="1322">
      <c r="A1322" s="6" t="n"/>
      <c r="B1322" s="6" t="n"/>
      <c r="C1322" s="19" t="n"/>
      <c r="D1322" s="19" t="n"/>
      <c r="E1322" s="6" t="n"/>
      <c r="F1322" s="20" t="n"/>
      <c r="G1322" s="9">
        <f>IF($F1322="","",IF($F1322&gt;0,ROUND($F1322,2),""))</f>
        <v/>
      </c>
      <c r="H1322" s="12">
        <f>IF(OR($B1322="",$C1322="",$G1322=""),"",COUNTIFS(Ventes_Encaissements!$E$6:$E$3005,$B1322,Ventes_Encaissements!$J$6:$J$3005,$G1322,Ventes_Encaissements!$C$6:$C$3005,"&gt;="&amp;($C1322-3),Ventes_Encaissements!$C$6:$C$3005,"&lt;="&amp;($C1322+3)))</f>
        <v/>
      </c>
      <c r="I1322" s="12">
        <f>IF($H1322="","",IF($H1322=0,"Non trouvé",IF($H1322=1,"Match","À vérifier")))</f>
        <v/>
      </c>
      <c r="J1322" s="21">
        <f>IF($I1322&lt;&gt;"Match","",INDEX(Ventes_Encaissements!$B$6:$B$3005,_xludf.AGGREGATE(15,6,(ROW(Ventes_Encaissements!$B$6:$B$3005)-ROW(Ventes_Encaissements!$B$6)+1)/((Ventes_Encaissements!$E$6:$E$3005=$B1322)*(Ventes_Encaissements!$J$6:$J$3005=$G1322)*(Ventes_Encaissements!$C$6:$C$3005&gt;=$C1322-3)*(Ventes_Encaissements!$C$6:$C$3005&lt;=$C1322+3)),1)))</f>
        <v/>
      </c>
      <c r="K1322" s="6" t="n"/>
    </row>
    <row r="1323">
      <c r="A1323" s="6" t="n"/>
      <c r="B1323" s="6" t="n"/>
      <c r="C1323" s="19" t="n"/>
      <c r="D1323" s="19" t="n"/>
      <c r="E1323" s="6" t="n"/>
      <c r="F1323" s="20" t="n"/>
      <c r="G1323" s="9">
        <f>IF($F1323="","",IF($F1323&gt;0,ROUND($F1323,2),""))</f>
        <v/>
      </c>
      <c r="H1323" s="12">
        <f>IF(OR($B1323="",$C1323="",$G1323=""),"",COUNTIFS(Ventes_Encaissements!$E$6:$E$3005,$B1323,Ventes_Encaissements!$J$6:$J$3005,$G1323,Ventes_Encaissements!$C$6:$C$3005,"&gt;="&amp;($C1323-3),Ventes_Encaissements!$C$6:$C$3005,"&lt;="&amp;($C1323+3)))</f>
        <v/>
      </c>
      <c r="I1323" s="12">
        <f>IF($H1323="","",IF($H1323=0,"Non trouvé",IF($H1323=1,"Match","À vérifier")))</f>
        <v/>
      </c>
      <c r="J1323" s="21">
        <f>IF($I1323&lt;&gt;"Match","",INDEX(Ventes_Encaissements!$B$6:$B$3005,_xludf.AGGREGATE(15,6,(ROW(Ventes_Encaissements!$B$6:$B$3005)-ROW(Ventes_Encaissements!$B$6)+1)/((Ventes_Encaissements!$E$6:$E$3005=$B1323)*(Ventes_Encaissements!$J$6:$J$3005=$G1323)*(Ventes_Encaissements!$C$6:$C$3005&gt;=$C1323-3)*(Ventes_Encaissements!$C$6:$C$3005&lt;=$C1323+3)),1)))</f>
        <v/>
      </c>
      <c r="K1323" s="6" t="n"/>
    </row>
    <row r="1324">
      <c r="A1324" s="6" t="n"/>
      <c r="B1324" s="6" t="n"/>
      <c r="C1324" s="19" t="n"/>
      <c r="D1324" s="19" t="n"/>
      <c r="E1324" s="6" t="n"/>
      <c r="F1324" s="20" t="n"/>
      <c r="G1324" s="9">
        <f>IF($F1324="","",IF($F1324&gt;0,ROUND($F1324,2),""))</f>
        <v/>
      </c>
      <c r="H1324" s="12">
        <f>IF(OR($B1324="",$C1324="",$G1324=""),"",COUNTIFS(Ventes_Encaissements!$E$6:$E$3005,$B1324,Ventes_Encaissements!$J$6:$J$3005,$G1324,Ventes_Encaissements!$C$6:$C$3005,"&gt;="&amp;($C1324-3),Ventes_Encaissements!$C$6:$C$3005,"&lt;="&amp;($C1324+3)))</f>
        <v/>
      </c>
      <c r="I1324" s="12">
        <f>IF($H1324="","",IF($H1324=0,"Non trouvé",IF($H1324=1,"Match","À vérifier")))</f>
        <v/>
      </c>
      <c r="J1324" s="21">
        <f>IF($I1324&lt;&gt;"Match","",INDEX(Ventes_Encaissements!$B$6:$B$3005,_xludf.AGGREGATE(15,6,(ROW(Ventes_Encaissements!$B$6:$B$3005)-ROW(Ventes_Encaissements!$B$6)+1)/((Ventes_Encaissements!$E$6:$E$3005=$B1324)*(Ventes_Encaissements!$J$6:$J$3005=$G1324)*(Ventes_Encaissements!$C$6:$C$3005&gt;=$C1324-3)*(Ventes_Encaissements!$C$6:$C$3005&lt;=$C1324+3)),1)))</f>
        <v/>
      </c>
      <c r="K1324" s="6" t="n"/>
    </row>
    <row r="1325">
      <c r="A1325" s="6" t="n"/>
      <c r="B1325" s="6" t="n"/>
      <c r="C1325" s="19" t="n"/>
      <c r="D1325" s="19" t="n"/>
      <c r="E1325" s="6" t="n"/>
      <c r="F1325" s="20" t="n"/>
      <c r="G1325" s="9">
        <f>IF($F1325="","",IF($F1325&gt;0,ROUND($F1325,2),""))</f>
        <v/>
      </c>
      <c r="H1325" s="12">
        <f>IF(OR($B1325="",$C1325="",$G1325=""),"",COUNTIFS(Ventes_Encaissements!$E$6:$E$3005,$B1325,Ventes_Encaissements!$J$6:$J$3005,$G1325,Ventes_Encaissements!$C$6:$C$3005,"&gt;="&amp;($C1325-3),Ventes_Encaissements!$C$6:$C$3005,"&lt;="&amp;($C1325+3)))</f>
        <v/>
      </c>
      <c r="I1325" s="12">
        <f>IF($H1325="","",IF($H1325=0,"Non trouvé",IF($H1325=1,"Match","À vérifier")))</f>
        <v/>
      </c>
      <c r="J1325" s="21">
        <f>IF($I1325&lt;&gt;"Match","",INDEX(Ventes_Encaissements!$B$6:$B$3005,_xludf.AGGREGATE(15,6,(ROW(Ventes_Encaissements!$B$6:$B$3005)-ROW(Ventes_Encaissements!$B$6)+1)/((Ventes_Encaissements!$E$6:$E$3005=$B1325)*(Ventes_Encaissements!$J$6:$J$3005=$G1325)*(Ventes_Encaissements!$C$6:$C$3005&gt;=$C1325-3)*(Ventes_Encaissements!$C$6:$C$3005&lt;=$C1325+3)),1)))</f>
        <v/>
      </c>
      <c r="K1325" s="6" t="n"/>
    </row>
    <row r="1326">
      <c r="A1326" s="6" t="n"/>
      <c r="B1326" s="6" t="n"/>
      <c r="C1326" s="19" t="n"/>
      <c r="D1326" s="19" t="n"/>
      <c r="E1326" s="6" t="n"/>
      <c r="F1326" s="20" t="n"/>
      <c r="G1326" s="9">
        <f>IF($F1326="","",IF($F1326&gt;0,ROUND($F1326,2),""))</f>
        <v/>
      </c>
      <c r="H1326" s="12">
        <f>IF(OR($B1326="",$C1326="",$G1326=""),"",COUNTIFS(Ventes_Encaissements!$E$6:$E$3005,$B1326,Ventes_Encaissements!$J$6:$J$3005,$G1326,Ventes_Encaissements!$C$6:$C$3005,"&gt;="&amp;($C1326-3),Ventes_Encaissements!$C$6:$C$3005,"&lt;="&amp;($C1326+3)))</f>
        <v/>
      </c>
      <c r="I1326" s="12">
        <f>IF($H1326="","",IF($H1326=0,"Non trouvé",IF($H1326=1,"Match","À vérifier")))</f>
        <v/>
      </c>
      <c r="J1326" s="21">
        <f>IF($I1326&lt;&gt;"Match","",INDEX(Ventes_Encaissements!$B$6:$B$3005,_xludf.AGGREGATE(15,6,(ROW(Ventes_Encaissements!$B$6:$B$3005)-ROW(Ventes_Encaissements!$B$6)+1)/((Ventes_Encaissements!$E$6:$E$3005=$B1326)*(Ventes_Encaissements!$J$6:$J$3005=$G1326)*(Ventes_Encaissements!$C$6:$C$3005&gt;=$C1326-3)*(Ventes_Encaissements!$C$6:$C$3005&lt;=$C1326+3)),1)))</f>
        <v/>
      </c>
      <c r="K1326" s="6" t="n"/>
    </row>
    <row r="1327">
      <c r="A1327" s="6" t="n"/>
      <c r="B1327" s="6" t="n"/>
      <c r="C1327" s="19" t="n"/>
      <c r="D1327" s="19" t="n"/>
      <c r="E1327" s="6" t="n"/>
      <c r="F1327" s="20" t="n"/>
      <c r="G1327" s="9">
        <f>IF($F1327="","",IF($F1327&gt;0,ROUND($F1327,2),""))</f>
        <v/>
      </c>
      <c r="H1327" s="12">
        <f>IF(OR($B1327="",$C1327="",$G1327=""),"",COUNTIFS(Ventes_Encaissements!$E$6:$E$3005,$B1327,Ventes_Encaissements!$J$6:$J$3005,$G1327,Ventes_Encaissements!$C$6:$C$3005,"&gt;="&amp;($C1327-3),Ventes_Encaissements!$C$6:$C$3005,"&lt;="&amp;($C1327+3)))</f>
        <v/>
      </c>
      <c r="I1327" s="12">
        <f>IF($H1327="","",IF($H1327=0,"Non trouvé",IF($H1327=1,"Match","À vérifier")))</f>
        <v/>
      </c>
      <c r="J1327" s="21">
        <f>IF($I1327&lt;&gt;"Match","",INDEX(Ventes_Encaissements!$B$6:$B$3005,_xludf.AGGREGATE(15,6,(ROW(Ventes_Encaissements!$B$6:$B$3005)-ROW(Ventes_Encaissements!$B$6)+1)/((Ventes_Encaissements!$E$6:$E$3005=$B1327)*(Ventes_Encaissements!$J$6:$J$3005=$G1327)*(Ventes_Encaissements!$C$6:$C$3005&gt;=$C1327-3)*(Ventes_Encaissements!$C$6:$C$3005&lt;=$C1327+3)),1)))</f>
        <v/>
      </c>
      <c r="K1327" s="6" t="n"/>
    </row>
    <row r="1328">
      <c r="A1328" s="6" t="n"/>
      <c r="B1328" s="6" t="n"/>
      <c r="C1328" s="19" t="n"/>
      <c r="D1328" s="19" t="n"/>
      <c r="E1328" s="6" t="n"/>
      <c r="F1328" s="20" t="n"/>
      <c r="G1328" s="9">
        <f>IF($F1328="","",IF($F1328&gt;0,ROUND($F1328,2),""))</f>
        <v/>
      </c>
      <c r="H1328" s="12">
        <f>IF(OR($B1328="",$C1328="",$G1328=""),"",COUNTIFS(Ventes_Encaissements!$E$6:$E$3005,$B1328,Ventes_Encaissements!$J$6:$J$3005,$G1328,Ventes_Encaissements!$C$6:$C$3005,"&gt;="&amp;($C1328-3),Ventes_Encaissements!$C$6:$C$3005,"&lt;="&amp;($C1328+3)))</f>
        <v/>
      </c>
      <c r="I1328" s="12">
        <f>IF($H1328="","",IF($H1328=0,"Non trouvé",IF($H1328=1,"Match","À vérifier")))</f>
        <v/>
      </c>
      <c r="J1328" s="21">
        <f>IF($I1328&lt;&gt;"Match","",INDEX(Ventes_Encaissements!$B$6:$B$3005,_xludf.AGGREGATE(15,6,(ROW(Ventes_Encaissements!$B$6:$B$3005)-ROW(Ventes_Encaissements!$B$6)+1)/((Ventes_Encaissements!$E$6:$E$3005=$B1328)*(Ventes_Encaissements!$J$6:$J$3005=$G1328)*(Ventes_Encaissements!$C$6:$C$3005&gt;=$C1328-3)*(Ventes_Encaissements!$C$6:$C$3005&lt;=$C1328+3)),1)))</f>
        <v/>
      </c>
      <c r="K1328" s="6" t="n"/>
    </row>
    <row r="1329">
      <c r="A1329" s="6" t="n"/>
      <c r="B1329" s="6" t="n"/>
      <c r="C1329" s="19" t="n"/>
      <c r="D1329" s="19" t="n"/>
      <c r="E1329" s="6" t="n"/>
      <c r="F1329" s="20" t="n"/>
      <c r="G1329" s="9">
        <f>IF($F1329="","",IF($F1329&gt;0,ROUND($F1329,2),""))</f>
        <v/>
      </c>
      <c r="H1329" s="12">
        <f>IF(OR($B1329="",$C1329="",$G1329=""),"",COUNTIFS(Ventes_Encaissements!$E$6:$E$3005,$B1329,Ventes_Encaissements!$J$6:$J$3005,$G1329,Ventes_Encaissements!$C$6:$C$3005,"&gt;="&amp;($C1329-3),Ventes_Encaissements!$C$6:$C$3005,"&lt;="&amp;($C1329+3)))</f>
        <v/>
      </c>
      <c r="I1329" s="12">
        <f>IF($H1329="","",IF($H1329=0,"Non trouvé",IF($H1329=1,"Match","À vérifier")))</f>
        <v/>
      </c>
      <c r="J1329" s="21">
        <f>IF($I1329&lt;&gt;"Match","",INDEX(Ventes_Encaissements!$B$6:$B$3005,_xludf.AGGREGATE(15,6,(ROW(Ventes_Encaissements!$B$6:$B$3005)-ROW(Ventes_Encaissements!$B$6)+1)/((Ventes_Encaissements!$E$6:$E$3005=$B1329)*(Ventes_Encaissements!$J$6:$J$3005=$G1329)*(Ventes_Encaissements!$C$6:$C$3005&gt;=$C1329-3)*(Ventes_Encaissements!$C$6:$C$3005&lt;=$C1329+3)),1)))</f>
        <v/>
      </c>
      <c r="K1329" s="6" t="n"/>
    </row>
    <row r="1330">
      <c r="A1330" s="6" t="n"/>
      <c r="B1330" s="6" t="n"/>
      <c r="C1330" s="19" t="n"/>
      <c r="D1330" s="19" t="n"/>
      <c r="E1330" s="6" t="n"/>
      <c r="F1330" s="20" t="n"/>
      <c r="G1330" s="9">
        <f>IF($F1330="","",IF($F1330&gt;0,ROUND($F1330,2),""))</f>
        <v/>
      </c>
      <c r="H1330" s="12">
        <f>IF(OR($B1330="",$C1330="",$G1330=""),"",COUNTIFS(Ventes_Encaissements!$E$6:$E$3005,$B1330,Ventes_Encaissements!$J$6:$J$3005,$G1330,Ventes_Encaissements!$C$6:$C$3005,"&gt;="&amp;($C1330-3),Ventes_Encaissements!$C$6:$C$3005,"&lt;="&amp;($C1330+3)))</f>
        <v/>
      </c>
      <c r="I1330" s="12">
        <f>IF($H1330="","",IF($H1330=0,"Non trouvé",IF($H1330=1,"Match","À vérifier")))</f>
        <v/>
      </c>
      <c r="J1330" s="21">
        <f>IF($I1330&lt;&gt;"Match","",INDEX(Ventes_Encaissements!$B$6:$B$3005,_xludf.AGGREGATE(15,6,(ROW(Ventes_Encaissements!$B$6:$B$3005)-ROW(Ventes_Encaissements!$B$6)+1)/((Ventes_Encaissements!$E$6:$E$3005=$B1330)*(Ventes_Encaissements!$J$6:$J$3005=$G1330)*(Ventes_Encaissements!$C$6:$C$3005&gt;=$C1330-3)*(Ventes_Encaissements!$C$6:$C$3005&lt;=$C1330+3)),1)))</f>
        <v/>
      </c>
      <c r="K1330" s="6" t="n"/>
    </row>
    <row r="1331">
      <c r="A1331" s="6" t="n"/>
      <c r="B1331" s="6" t="n"/>
      <c r="C1331" s="19" t="n"/>
      <c r="D1331" s="19" t="n"/>
      <c r="E1331" s="6" t="n"/>
      <c r="F1331" s="20" t="n"/>
      <c r="G1331" s="9">
        <f>IF($F1331="","",IF($F1331&gt;0,ROUND($F1331,2),""))</f>
        <v/>
      </c>
      <c r="H1331" s="12">
        <f>IF(OR($B1331="",$C1331="",$G1331=""),"",COUNTIFS(Ventes_Encaissements!$E$6:$E$3005,$B1331,Ventes_Encaissements!$J$6:$J$3005,$G1331,Ventes_Encaissements!$C$6:$C$3005,"&gt;="&amp;($C1331-3),Ventes_Encaissements!$C$6:$C$3005,"&lt;="&amp;($C1331+3)))</f>
        <v/>
      </c>
      <c r="I1331" s="12">
        <f>IF($H1331="","",IF($H1331=0,"Non trouvé",IF($H1331=1,"Match","À vérifier")))</f>
        <v/>
      </c>
      <c r="J1331" s="21">
        <f>IF($I1331&lt;&gt;"Match","",INDEX(Ventes_Encaissements!$B$6:$B$3005,_xludf.AGGREGATE(15,6,(ROW(Ventes_Encaissements!$B$6:$B$3005)-ROW(Ventes_Encaissements!$B$6)+1)/((Ventes_Encaissements!$E$6:$E$3005=$B1331)*(Ventes_Encaissements!$J$6:$J$3005=$G1331)*(Ventes_Encaissements!$C$6:$C$3005&gt;=$C1331-3)*(Ventes_Encaissements!$C$6:$C$3005&lt;=$C1331+3)),1)))</f>
        <v/>
      </c>
      <c r="K1331" s="6" t="n"/>
    </row>
    <row r="1332">
      <c r="A1332" s="6" t="n"/>
      <c r="B1332" s="6" t="n"/>
      <c r="C1332" s="19" t="n"/>
      <c r="D1332" s="19" t="n"/>
      <c r="E1332" s="6" t="n"/>
      <c r="F1332" s="20" t="n"/>
      <c r="G1332" s="9">
        <f>IF($F1332="","",IF($F1332&gt;0,ROUND($F1332,2),""))</f>
        <v/>
      </c>
      <c r="H1332" s="12">
        <f>IF(OR($B1332="",$C1332="",$G1332=""),"",COUNTIFS(Ventes_Encaissements!$E$6:$E$3005,$B1332,Ventes_Encaissements!$J$6:$J$3005,$G1332,Ventes_Encaissements!$C$6:$C$3005,"&gt;="&amp;($C1332-3),Ventes_Encaissements!$C$6:$C$3005,"&lt;="&amp;($C1332+3)))</f>
        <v/>
      </c>
      <c r="I1332" s="12">
        <f>IF($H1332="","",IF($H1332=0,"Non trouvé",IF($H1332=1,"Match","À vérifier")))</f>
        <v/>
      </c>
      <c r="J1332" s="21">
        <f>IF($I1332&lt;&gt;"Match","",INDEX(Ventes_Encaissements!$B$6:$B$3005,_xludf.AGGREGATE(15,6,(ROW(Ventes_Encaissements!$B$6:$B$3005)-ROW(Ventes_Encaissements!$B$6)+1)/((Ventes_Encaissements!$E$6:$E$3005=$B1332)*(Ventes_Encaissements!$J$6:$J$3005=$G1332)*(Ventes_Encaissements!$C$6:$C$3005&gt;=$C1332-3)*(Ventes_Encaissements!$C$6:$C$3005&lt;=$C1332+3)),1)))</f>
        <v/>
      </c>
      <c r="K1332" s="6" t="n"/>
    </row>
    <row r="1333">
      <c r="A1333" s="6" t="n"/>
      <c r="B1333" s="6" t="n"/>
      <c r="C1333" s="19" t="n"/>
      <c r="D1333" s="19" t="n"/>
      <c r="E1333" s="6" t="n"/>
      <c r="F1333" s="20" t="n"/>
      <c r="G1333" s="9">
        <f>IF($F1333="","",IF($F1333&gt;0,ROUND($F1333,2),""))</f>
        <v/>
      </c>
      <c r="H1333" s="12">
        <f>IF(OR($B1333="",$C1333="",$G1333=""),"",COUNTIFS(Ventes_Encaissements!$E$6:$E$3005,$B1333,Ventes_Encaissements!$J$6:$J$3005,$G1333,Ventes_Encaissements!$C$6:$C$3005,"&gt;="&amp;($C1333-3),Ventes_Encaissements!$C$6:$C$3005,"&lt;="&amp;($C1333+3)))</f>
        <v/>
      </c>
      <c r="I1333" s="12">
        <f>IF($H1333="","",IF($H1333=0,"Non trouvé",IF($H1333=1,"Match","À vérifier")))</f>
        <v/>
      </c>
      <c r="J1333" s="21">
        <f>IF($I1333&lt;&gt;"Match","",INDEX(Ventes_Encaissements!$B$6:$B$3005,_xludf.AGGREGATE(15,6,(ROW(Ventes_Encaissements!$B$6:$B$3005)-ROW(Ventes_Encaissements!$B$6)+1)/((Ventes_Encaissements!$E$6:$E$3005=$B1333)*(Ventes_Encaissements!$J$6:$J$3005=$G1333)*(Ventes_Encaissements!$C$6:$C$3005&gt;=$C1333-3)*(Ventes_Encaissements!$C$6:$C$3005&lt;=$C1333+3)),1)))</f>
        <v/>
      </c>
      <c r="K1333" s="6" t="n"/>
    </row>
    <row r="1334">
      <c r="A1334" s="6" t="n"/>
      <c r="B1334" s="6" t="n"/>
      <c r="C1334" s="19" t="n"/>
      <c r="D1334" s="19" t="n"/>
      <c r="E1334" s="6" t="n"/>
      <c r="F1334" s="20" t="n"/>
      <c r="G1334" s="9">
        <f>IF($F1334="","",IF($F1334&gt;0,ROUND($F1334,2),""))</f>
        <v/>
      </c>
      <c r="H1334" s="12">
        <f>IF(OR($B1334="",$C1334="",$G1334=""),"",COUNTIFS(Ventes_Encaissements!$E$6:$E$3005,$B1334,Ventes_Encaissements!$J$6:$J$3005,$G1334,Ventes_Encaissements!$C$6:$C$3005,"&gt;="&amp;($C1334-3),Ventes_Encaissements!$C$6:$C$3005,"&lt;="&amp;($C1334+3)))</f>
        <v/>
      </c>
      <c r="I1334" s="12">
        <f>IF($H1334="","",IF($H1334=0,"Non trouvé",IF($H1334=1,"Match","À vérifier")))</f>
        <v/>
      </c>
      <c r="J1334" s="21">
        <f>IF($I1334&lt;&gt;"Match","",INDEX(Ventes_Encaissements!$B$6:$B$3005,_xludf.AGGREGATE(15,6,(ROW(Ventes_Encaissements!$B$6:$B$3005)-ROW(Ventes_Encaissements!$B$6)+1)/((Ventes_Encaissements!$E$6:$E$3005=$B1334)*(Ventes_Encaissements!$J$6:$J$3005=$G1334)*(Ventes_Encaissements!$C$6:$C$3005&gt;=$C1334-3)*(Ventes_Encaissements!$C$6:$C$3005&lt;=$C1334+3)),1)))</f>
        <v/>
      </c>
      <c r="K1334" s="6" t="n"/>
    </row>
    <row r="1335">
      <c r="A1335" s="6" t="n"/>
      <c r="B1335" s="6" t="n"/>
      <c r="C1335" s="19" t="n"/>
      <c r="D1335" s="19" t="n"/>
      <c r="E1335" s="6" t="n"/>
      <c r="F1335" s="20" t="n"/>
      <c r="G1335" s="9">
        <f>IF($F1335="","",IF($F1335&gt;0,ROUND($F1335,2),""))</f>
        <v/>
      </c>
      <c r="H1335" s="12">
        <f>IF(OR($B1335="",$C1335="",$G1335=""),"",COUNTIFS(Ventes_Encaissements!$E$6:$E$3005,$B1335,Ventes_Encaissements!$J$6:$J$3005,$G1335,Ventes_Encaissements!$C$6:$C$3005,"&gt;="&amp;($C1335-3),Ventes_Encaissements!$C$6:$C$3005,"&lt;="&amp;($C1335+3)))</f>
        <v/>
      </c>
      <c r="I1335" s="12">
        <f>IF($H1335="","",IF($H1335=0,"Non trouvé",IF($H1335=1,"Match","À vérifier")))</f>
        <v/>
      </c>
      <c r="J1335" s="21">
        <f>IF($I1335&lt;&gt;"Match","",INDEX(Ventes_Encaissements!$B$6:$B$3005,_xludf.AGGREGATE(15,6,(ROW(Ventes_Encaissements!$B$6:$B$3005)-ROW(Ventes_Encaissements!$B$6)+1)/((Ventes_Encaissements!$E$6:$E$3005=$B1335)*(Ventes_Encaissements!$J$6:$J$3005=$G1335)*(Ventes_Encaissements!$C$6:$C$3005&gt;=$C1335-3)*(Ventes_Encaissements!$C$6:$C$3005&lt;=$C1335+3)),1)))</f>
        <v/>
      </c>
      <c r="K1335" s="6" t="n"/>
    </row>
    <row r="1336">
      <c r="A1336" s="6" t="n"/>
      <c r="B1336" s="6" t="n"/>
      <c r="C1336" s="19" t="n"/>
      <c r="D1336" s="19" t="n"/>
      <c r="E1336" s="6" t="n"/>
      <c r="F1336" s="20" t="n"/>
      <c r="G1336" s="9">
        <f>IF($F1336="","",IF($F1336&gt;0,ROUND($F1336,2),""))</f>
        <v/>
      </c>
      <c r="H1336" s="12">
        <f>IF(OR($B1336="",$C1336="",$G1336=""),"",COUNTIFS(Ventes_Encaissements!$E$6:$E$3005,$B1336,Ventes_Encaissements!$J$6:$J$3005,$G1336,Ventes_Encaissements!$C$6:$C$3005,"&gt;="&amp;($C1336-3),Ventes_Encaissements!$C$6:$C$3005,"&lt;="&amp;($C1336+3)))</f>
        <v/>
      </c>
      <c r="I1336" s="12">
        <f>IF($H1336="","",IF($H1336=0,"Non trouvé",IF($H1336=1,"Match","À vérifier")))</f>
        <v/>
      </c>
      <c r="J1336" s="21">
        <f>IF($I1336&lt;&gt;"Match","",INDEX(Ventes_Encaissements!$B$6:$B$3005,_xludf.AGGREGATE(15,6,(ROW(Ventes_Encaissements!$B$6:$B$3005)-ROW(Ventes_Encaissements!$B$6)+1)/((Ventes_Encaissements!$E$6:$E$3005=$B1336)*(Ventes_Encaissements!$J$6:$J$3005=$G1336)*(Ventes_Encaissements!$C$6:$C$3005&gt;=$C1336-3)*(Ventes_Encaissements!$C$6:$C$3005&lt;=$C1336+3)),1)))</f>
        <v/>
      </c>
      <c r="K1336" s="6" t="n"/>
    </row>
    <row r="1337">
      <c r="A1337" s="6" t="n"/>
      <c r="B1337" s="6" t="n"/>
      <c r="C1337" s="19" t="n"/>
      <c r="D1337" s="19" t="n"/>
      <c r="E1337" s="6" t="n"/>
      <c r="F1337" s="20" t="n"/>
      <c r="G1337" s="9">
        <f>IF($F1337="","",IF($F1337&gt;0,ROUND($F1337,2),""))</f>
        <v/>
      </c>
      <c r="H1337" s="12">
        <f>IF(OR($B1337="",$C1337="",$G1337=""),"",COUNTIFS(Ventes_Encaissements!$E$6:$E$3005,$B1337,Ventes_Encaissements!$J$6:$J$3005,$G1337,Ventes_Encaissements!$C$6:$C$3005,"&gt;="&amp;($C1337-3),Ventes_Encaissements!$C$6:$C$3005,"&lt;="&amp;($C1337+3)))</f>
        <v/>
      </c>
      <c r="I1337" s="12">
        <f>IF($H1337="","",IF($H1337=0,"Non trouvé",IF($H1337=1,"Match","À vérifier")))</f>
        <v/>
      </c>
      <c r="J1337" s="21">
        <f>IF($I1337&lt;&gt;"Match","",INDEX(Ventes_Encaissements!$B$6:$B$3005,_xludf.AGGREGATE(15,6,(ROW(Ventes_Encaissements!$B$6:$B$3005)-ROW(Ventes_Encaissements!$B$6)+1)/((Ventes_Encaissements!$E$6:$E$3005=$B1337)*(Ventes_Encaissements!$J$6:$J$3005=$G1337)*(Ventes_Encaissements!$C$6:$C$3005&gt;=$C1337-3)*(Ventes_Encaissements!$C$6:$C$3005&lt;=$C1337+3)),1)))</f>
        <v/>
      </c>
      <c r="K1337" s="6" t="n"/>
    </row>
    <row r="1338">
      <c r="A1338" s="6" t="n"/>
      <c r="B1338" s="6" t="n"/>
      <c r="C1338" s="19" t="n"/>
      <c r="D1338" s="19" t="n"/>
      <c r="E1338" s="6" t="n"/>
      <c r="F1338" s="20" t="n"/>
      <c r="G1338" s="9">
        <f>IF($F1338="","",IF($F1338&gt;0,ROUND($F1338,2),""))</f>
        <v/>
      </c>
      <c r="H1338" s="12">
        <f>IF(OR($B1338="",$C1338="",$G1338=""),"",COUNTIFS(Ventes_Encaissements!$E$6:$E$3005,$B1338,Ventes_Encaissements!$J$6:$J$3005,$G1338,Ventes_Encaissements!$C$6:$C$3005,"&gt;="&amp;($C1338-3),Ventes_Encaissements!$C$6:$C$3005,"&lt;="&amp;($C1338+3)))</f>
        <v/>
      </c>
      <c r="I1338" s="12">
        <f>IF($H1338="","",IF($H1338=0,"Non trouvé",IF($H1338=1,"Match","À vérifier")))</f>
        <v/>
      </c>
      <c r="J1338" s="21">
        <f>IF($I1338&lt;&gt;"Match","",INDEX(Ventes_Encaissements!$B$6:$B$3005,_xludf.AGGREGATE(15,6,(ROW(Ventes_Encaissements!$B$6:$B$3005)-ROW(Ventes_Encaissements!$B$6)+1)/((Ventes_Encaissements!$E$6:$E$3005=$B1338)*(Ventes_Encaissements!$J$6:$J$3005=$G1338)*(Ventes_Encaissements!$C$6:$C$3005&gt;=$C1338-3)*(Ventes_Encaissements!$C$6:$C$3005&lt;=$C1338+3)),1)))</f>
        <v/>
      </c>
      <c r="K1338" s="6" t="n"/>
    </row>
    <row r="1339">
      <c r="A1339" s="6" t="n"/>
      <c r="B1339" s="6" t="n"/>
      <c r="C1339" s="19" t="n"/>
      <c r="D1339" s="19" t="n"/>
      <c r="E1339" s="6" t="n"/>
      <c r="F1339" s="20" t="n"/>
      <c r="G1339" s="9">
        <f>IF($F1339="","",IF($F1339&gt;0,ROUND($F1339,2),""))</f>
        <v/>
      </c>
      <c r="H1339" s="12">
        <f>IF(OR($B1339="",$C1339="",$G1339=""),"",COUNTIFS(Ventes_Encaissements!$E$6:$E$3005,$B1339,Ventes_Encaissements!$J$6:$J$3005,$G1339,Ventes_Encaissements!$C$6:$C$3005,"&gt;="&amp;($C1339-3),Ventes_Encaissements!$C$6:$C$3005,"&lt;="&amp;($C1339+3)))</f>
        <v/>
      </c>
      <c r="I1339" s="12">
        <f>IF($H1339="","",IF($H1339=0,"Non trouvé",IF($H1339=1,"Match","À vérifier")))</f>
        <v/>
      </c>
      <c r="J1339" s="21">
        <f>IF($I1339&lt;&gt;"Match","",INDEX(Ventes_Encaissements!$B$6:$B$3005,_xludf.AGGREGATE(15,6,(ROW(Ventes_Encaissements!$B$6:$B$3005)-ROW(Ventes_Encaissements!$B$6)+1)/((Ventes_Encaissements!$E$6:$E$3005=$B1339)*(Ventes_Encaissements!$J$6:$J$3005=$G1339)*(Ventes_Encaissements!$C$6:$C$3005&gt;=$C1339-3)*(Ventes_Encaissements!$C$6:$C$3005&lt;=$C1339+3)),1)))</f>
        <v/>
      </c>
      <c r="K1339" s="6" t="n"/>
    </row>
    <row r="1340">
      <c r="A1340" s="6" t="n"/>
      <c r="B1340" s="6" t="n"/>
      <c r="C1340" s="19" t="n"/>
      <c r="D1340" s="19" t="n"/>
      <c r="E1340" s="6" t="n"/>
      <c r="F1340" s="20" t="n"/>
      <c r="G1340" s="9">
        <f>IF($F1340="","",IF($F1340&gt;0,ROUND($F1340,2),""))</f>
        <v/>
      </c>
      <c r="H1340" s="12">
        <f>IF(OR($B1340="",$C1340="",$G1340=""),"",COUNTIFS(Ventes_Encaissements!$E$6:$E$3005,$B1340,Ventes_Encaissements!$J$6:$J$3005,$G1340,Ventes_Encaissements!$C$6:$C$3005,"&gt;="&amp;($C1340-3),Ventes_Encaissements!$C$6:$C$3005,"&lt;="&amp;($C1340+3)))</f>
        <v/>
      </c>
      <c r="I1340" s="12">
        <f>IF($H1340="","",IF($H1340=0,"Non trouvé",IF($H1340=1,"Match","À vérifier")))</f>
        <v/>
      </c>
      <c r="J1340" s="21">
        <f>IF($I1340&lt;&gt;"Match","",INDEX(Ventes_Encaissements!$B$6:$B$3005,_xludf.AGGREGATE(15,6,(ROW(Ventes_Encaissements!$B$6:$B$3005)-ROW(Ventes_Encaissements!$B$6)+1)/((Ventes_Encaissements!$E$6:$E$3005=$B1340)*(Ventes_Encaissements!$J$6:$J$3005=$G1340)*(Ventes_Encaissements!$C$6:$C$3005&gt;=$C1340-3)*(Ventes_Encaissements!$C$6:$C$3005&lt;=$C1340+3)),1)))</f>
        <v/>
      </c>
      <c r="K1340" s="6" t="n"/>
    </row>
    <row r="1341">
      <c r="A1341" s="6" t="n"/>
      <c r="B1341" s="6" t="n"/>
      <c r="C1341" s="19" t="n"/>
      <c r="D1341" s="19" t="n"/>
      <c r="E1341" s="6" t="n"/>
      <c r="F1341" s="20" t="n"/>
      <c r="G1341" s="9">
        <f>IF($F1341="","",IF($F1341&gt;0,ROUND($F1341,2),""))</f>
        <v/>
      </c>
      <c r="H1341" s="12">
        <f>IF(OR($B1341="",$C1341="",$G1341=""),"",COUNTIFS(Ventes_Encaissements!$E$6:$E$3005,$B1341,Ventes_Encaissements!$J$6:$J$3005,$G1341,Ventes_Encaissements!$C$6:$C$3005,"&gt;="&amp;($C1341-3),Ventes_Encaissements!$C$6:$C$3005,"&lt;="&amp;($C1341+3)))</f>
        <v/>
      </c>
      <c r="I1341" s="12">
        <f>IF($H1341="","",IF($H1341=0,"Non trouvé",IF($H1341=1,"Match","À vérifier")))</f>
        <v/>
      </c>
      <c r="J1341" s="21">
        <f>IF($I1341&lt;&gt;"Match","",INDEX(Ventes_Encaissements!$B$6:$B$3005,_xludf.AGGREGATE(15,6,(ROW(Ventes_Encaissements!$B$6:$B$3005)-ROW(Ventes_Encaissements!$B$6)+1)/((Ventes_Encaissements!$E$6:$E$3005=$B1341)*(Ventes_Encaissements!$J$6:$J$3005=$G1341)*(Ventes_Encaissements!$C$6:$C$3005&gt;=$C1341-3)*(Ventes_Encaissements!$C$6:$C$3005&lt;=$C1341+3)),1)))</f>
        <v/>
      </c>
      <c r="K1341" s="6" t="n"/>
    </row>
    <row r="1342">
      <c r="A1342" s="6" t="n"/>
      <c r="B1342" s="6" t="n"/>
      <c r="C1342" s="19" t="n"/>
      <c r="D1342" s="19" t="n"/>
      <c r="E1342" s="6" t="n"/>
      <c r="F1342" s="20" t="n"/>
      <c r="G1342" s="9">
        <f>IF($F1342="","",IF($F1342&gt;0,ROUND($F1342,2),""))</f>
        <v/>
      </c>
      <c r="H1342" s="12">
        <f>IF(OR($B1342="",$C1342="",$G1342=""),"",COUNTIFS(Ventes_Encaissements!$E$6:$E$3005,$B1342,Ventes_Encaissements!$J$6:$J$3005,$G1342,Ventes_Encaissements!$C$6:$C$3005,"&gt;="&amp;($C1342-3),Ventes_Encaissements!$C$6:$C$3005,"&lt;="&amp;($C1342+3)))</f>
        <v/>
      </c>
      <c r="I1342" s="12">
        <f>IF($H1342="","",IF($H1342=0,"Non trouvé",IF($H1342=1,"Match","À vérifier")))</f>
        <v/>
      </c>
      <c r="J1342" s="21">
        <f>IF($I1342&lt;&gt;"Match","",INDEX(Ventes_Encaissements!$B$6:$B$3005,_xludf.AGGREGATE(15,6,(ROW(Ventes_Encaissements!$B$6:$B$3005)-ROW(Ventes_Encaissements!$B$6)+1)/((Ventes_Encaissements!$E$6:$E$3005=$B1342)*(Ventes_Encaissements!$J$6:$J$3005=$G1342)*(Ventes_Encaissements!$C$6:$C$3005&gt;=$C1342-3)*(Ventes_Encaissements!$C$6:$C$3005&lt;=$C1342+3)),1)))</f>
        <v/>
      </c>
      <c r="K1342" s="6" t="n"/>
    </row>
    <row r="1343">
      <c r="A1343" s="6" t="n"/>
      <c r="B1343" s="6" t="n"/>
      <c r="C1343" s="19" t="n"/>
      <c r="D1343" s="19" t="n"/>
      <c r="E1343" s="6" t="n"/>
      <c r="F1343" s="20" t="n"/>
      <c r="G1343" s="9">
        <f>IF($F1343="","",IF($F1343&gt;0,ROUND($F1343,2),""))</f>
        <v/>
      </c>
      <c r="H1343" s="12">
        <f>IF(OR($B1343="",$C1343="",$G1343=""),"",COUNTIFS(Ventes_Encaissements!$E$6:$E$3005,$B1343,Ventes_Encaissements!$J$6:$J$3005,$G1343,Ventes_Encaissements!$C$6:$C$3005,"&gt;="&amp;($C1343-3),Ventes_Encaissements!$C$6:$C$3005,"&lt;="&amp;($C1343+3)))</f>
        <v/>
      </c>
      <c r="I1343" s="12">
        <f>IF($H1343="","",IF($H1343=0,"Non trouvé",IF($H1343=1,"Match","À vérifier")))</f>
        <v/>
      </c>
      <c r="J1343" s="21">
        <f>IF($I1343&lt;&gt;"Match","",INDEX(Ventes_Encaissements!$B$6:$B$3005,_xludf.AGGREGATE(15,6,(ROW(Ventes_Encaissements!$B$6:$B$3005)-ROW(Ventes_Encaissements!$B$6)+1)/((Ventes_Encaissements!$E$6:$E$3005=$B1343)*(Ventes_Encaissements!$J$6:$J$3005=$G1343)*(Ventes_Encaissements!$C$6:$C$3005&gt;=$C1343-3)*(Ventes_Encaissements!$C$6:$C$3005&lt;=$C1343+3)),1)))</f>
        <v/>
      </c>
      <c r="K1343" s="6" t="n"/>
    </row>
    <row r="1344">
      <c r="A1344" s="6" t="n"/>
      <c r="B1344" s="6" t="n"/>
      <c r="C1344" s="19" t="n"/>
      <c r="D1344" s="19" t="n"/>
      <c r="E1344" s="6" t="n"/>
      <c r="F1344" s="20" t="n"/>
      <c r="G1344" s="9">
        <f>IF($F1344="","",IF($F1344&gt;0,ROUND($F1344,2),""))</f>
        <v/>
      </c>
      <c r="H1344" s="12">
        <f>IF(OR($B1344="",$C1344="",$G1344=""),"",COUNTIFS(Ventes_Encaissements!$E$6:$E$3005,$B1344,Ventes_Encaissements!$J$6:$J$3005,$G1344,Ventes_Encaissements!$C$6:$C$3005,"&gt;="&amp;($C1344-3),Ventes_Encaissements!$C$6:$C$3005,"&lt;="&amp;($C1344+3)))</f>
        <v/>
      </c>
      <c r="I1344" s="12">
        <f>IF($H1344="","",IF($H1344=0,"Non trouvé",IF($H1344=1,"Match","À vérifier")))</f>
        <v/>
      </c>
      <c r="J1344" s="21">
        <f>IF($I1344&lt;&gt;"Match","",INDEX(Ventes_Encaissements!$B$6:$B$3005,_xludf.AGGREGATE(15,6,(ROW(Ventes_Encaissements!$B$6:$B$3005)-ROW(Ventes_Encaissements!$B$6)+1)/((Ventes_Encaissements!$E$6:$E$3005=$B1344)*(Ventes_Encaissements!$J$6:$J$3005=$G1344)*(Ventes_Encaissements!$C$6:$C$3005&gt;=$C1344-3)*(Ventes_Encaissements!$C$6:$C$3005&lt;=$C1344+3)),1)))</f>
        <v/>
      </c>
      <c r="K1344" s="6" t="n"/>
    </row>
    <row r="1345">
      <c r="A1345" s="6" t="n"/>
      <c r="B1345" s="6" t="n"/>
      <c r="C1345" s="19" t="n"/>
      <c r="D1345" s="19" t="n"/>
      <c r="E1345" s="6" t="n"/>
      <c r="F1345" s="20" t="n"/>
      <c r="G1345" s="9">
        <f>IF($F1345="","",IF($F1345&gt;0,ROUND($F1345,2),""))</f>
        <v/>
      </c>
      <c r="H1345" s="12">
        <f>IF(OR($B1345="",$C1345="",$G1345=""),"",COUNTIFS(Ventes_Encaissements!$E$6:$E$3005,$B1345,Ventes_Encaissements!$J$6:$J$3005,$G1345,Ventes_Encaissements!$C$6:$C$3005,"&gt;="&amp;($C1345-3),Ventes_Encaissements!$C$6:$C$3005,"&lt;="&amp;($C1345+3)))</f>
        <v/>
      </c>
      <c r="I1345" s="12">
        <f>IF($H1345="","",IF($H1345=0,"Non trouvé",IF($H1345=1,"Match","À vérifier")))</f>
        <v/>
      </c>
      <c r="J1345" s="21">
        <f>IF($I1345&lt;&gt;"Match","",INDEX(Ventes_Encaissements!$B$6:$B$3005,_xludf.AGGREGATE(15,6,(ROW(Ventes_Encaissements!$B$6:$B$3005)-ROW(Ventes_Encaissements!$B$6)+1)/((Ventes_Encaissements!$E$6:$E$3005=$B1345)*(Ventes_Encaissements!$J$6:$J$3005=$G1345)*(Ventes_Encaissements!$C$6:$C$3005&gt;=$C1345-3)*(Ventes_Encaissements!$C$6:$C$3005&lt;=$C1345+3)),1)))</f>
        <v/>
      </c>
      <c r="K1345" s="6" t="n"/>
    </row>
    <row r="1346">
      <c r="A1346" s="6" t="n"/>
      <c r="B1346" s="6" t="n"/>
      <c r="C1346" s="19" t="n"/>
      <c r="D1346" s="19" t="n"/>
      <c r="E1346" s="6" t="n"/>
      <c r="F1346" s="20" t="n"/>
      <c r="G1346" s="9">
        <f>IF($F1346="","",IF($F1346&gt;0,ROUND($F1346,2),""))</f>
        <v/>
      </c>
      <c r="H1346" s="12">
        <f>IF(OR($B1346="",$C1346="",$G1346=""),"",COUNTIFS(Ventes_Encaissements!$E$6:$E$3005,$B1346,Ventes_Encaissements!$J$6:$J$3005,$G1346,Ventes_Encaissements!$C$6:$C$3005,"&gt;="&amp;($C1346-3),Ventes_Encaissements!$C$6:$C$3005,"&lt;="&amp;($C1346+3)))</f>
        <v/>
      </c>
      <c r="I1346" s="12">
        <f>IF($H1346="","",IF($H1346=0,"Non trouvé",IF($H1346=1,"Match","À vérifier")))</f>
        <v/>
      </c>
      <c r="J1346" s="21">
        <f>IF($I1346&lt;&gt;"Match","",INDEX(Ventes_Encaissements!$B$6:$B$3005,_xludf.AGGREGATE(15,6,(ROW(Ventes_Encaissements!$B$6:$B$3005)-ROW(Ventes_Encaissements!$B$6)+1)/((Ventes_Encaissements!$E$6:$E$3005=$B1346)*(Ventes_Encaissements!$J$6:$J$3005=$G1346)*(Ventes_Encaissements!$C$6:$C$3005&gt;=$C1346-3)*(Ventes_Encaissements!$C$6:$C$3005&lt;=$C1346+3)),1)))</f>
        <v/>
      </c>
      <c r="K1346" s="6" t="n"/>
    </row>
    <row r="1347">
      <c r="A1347" s="6" t="n"/>
      <c r="B1347" s="6" t="n"/>
      <c r="C1347" s="19" t="n"/>
      <c r="D1347" s="19" t="n"/>
      <c r="E1347" s="6" t="n"/>
      <c r="F1347" s="20" t="n"/>
      <c r="G1347" s="9">
        <f>IF($F1347="","",IF($F1347&gt;0,ROUND($F1347,2),""))</f>
        <v/>
      </c>
      <c r="H1347" s="12">
        <f>IF(OR($B1347="",$C1347="",$G1347=""),"",COUNTIFS(Ventes_Encaissements!$E$6:$E$3005,$B1347,Ventes_Encaissements!$J$6:$J$3005,$G1347,Ventes_Encaissements!$C$6:$C$3005,"&gt;="&amp;($C1347-3),Ventes_Encaissements!$C$6:$C$3005,"&lt;="&amp;($C1347+3)))</f>
        <v/>
      </c>
      <c r="I1347" s="12">
        <f>IF($H1347="","",IF($H1347=0,"Non trouvé",IF($H1347=1,"Match","À vérifier")))</f>
        <v/>
      </c>
      <c r="J1347" s="21">
        <f>IF($I1347&lt;&gt;"Match","",INDEX(Ventes_Encaissements!$B$6:$B$3005,_xludf.AGGREGATE(15,6,(ROW(Ventes_Encaissements!$B$6:$B$3005)-ROW(Ventes_Encaissements!$B$6)+1)/((Ventes_Encaissements!$E$6:$E$3005=$B1347)*(Ventes_Encaissements!$J$6:$J$3005=$G1347)*(Ventes_Encaissements!$C$6:$C$3005&gt;=$C1347-3)*(Ventes_Encaissements!$C$6:$C$3005&lt;=$C1347+3)),1)))</f>
        <v/>
      </c>
      <c r="K1347" s="6" t="n"/>
    </row>
    <row r="1348">
      <c r="A1348" s="6" t="n"/>
      <c r="B1348" s="6" t="n"/>
      <c r="C1348" s="19" t="n"/>
      <c r="D1348" s="19" t="n"/>
      <c r="E1348" s="6" t="n"/>
      <c r="F1348" s="20" t="n"/>
      <c r="G1348" s="9">
        <f>IF($F1348="","",IF($F1348&gt;0,ROUND($F1348,2),""))</f>
        <v/>
      </c>
      <c r="H1348" s="12">
        <f>IF(OR($B1348="",$C1348="",$G1348=""),"",COUNTIFS(Ventes_Encaissements!$E$6:$E$3005,$B1348,Ventes_Encaissements!$J$6:$J$3005,$G1348,Ventes_Encaissements!$C$6:$C$3005,"&gt;="&amp;($C1348-3),Ventes_Encaissements!$C$6:$C$3005,"&lt;="&amp;($C1348+3)))</f>
        <v/>
      </c>
      <c r="I1348" s="12">
        <f>IF($H1348="","",IF($H1348=0,"Non trouvé",IF($H1348=1,"Match","À vérifier")))</f>
        <v/>
      </c>
      <c r="J1348" s="21">
        <f>IF($I1348&lt;&gt;"Match","",INDEX(Ventes_Encaissements!$B$6:$B$3005,_xludf.AGGREGATE(15,6,(ROW(Ventes_Encaissements!$B$6:$B$3005)-ROW(Ventes_Encaissements!$B$6)+1)/((Ventes_Encaissements!$E$6:$E$3005=$B1348)*(Ventes_Encaissements!$J$6:$J$3005=$G1348)*(Ventes_Encaissements!$C$6:$C$3005&gt;=$C1348-3)*(Ventes_Encaissements!$C$6:$C$3005&lt;=$C1348+3)),1)))</f>
        <v/>
      </c>
      <c r="K1348" s="6" t="n"/>
    </row>
    <row r="1349">
      <c r="A1349" s="6" t="n"/>
      <c r="B1349" s="6" t="n"/>
      <c r="C1349" s="19" t="n"/>
      <c r="D1349" s="19" t="n"/>
      <c r="E1349" s="6" t="n"/>
      <c r="F1349" s="20" t="n"/>
      <c r="G1349" s="9">
        <f>IF($F1349="","",IF($F1349&gt;0,ROUND($F1349,2),""))</f>
        <v/>
      </c>
      <c r="H1349" s="12">
        <f>IF(OR($B1349="",$C1349="",$G1349=""),"",COUNTIFS(Ventes_Encaissements!$E$6:$E$3005,$B1349,Ventes_Encaissements!$J$6:$J$3005,$G1349,Ventes_Encaissements!$C$6:$C$3005,"&gt;="&amp;($C1349-3),Ventes_Encaissements!$C$6:$C$3005,"&lt;="&amp;($C1349+3)))</f>
        <v/>
      </c>
      <c r="I1349" s="12">
        <f>IF($H1349="","",IF($H1349=0,"Non trouvé",IF($H1349=1,"Match","À vérifier")))</f>
        <v/>
      </c>
      <c r="J1349" s="21">
        <f>IF($I1349&lt;&gt;"Match","",INDEX(Ventes_Encaissements!$B$6:$B$3005,_xludf.AGGREGATE(15,6,(ROW(Ventes_Encaissements!$B$6:$B$3005)-ROW(Ventes_Encaissements!$B$6)+1)/((Ventes_Encaissements!$E$6:$E$3005=$B1349)*(Ventes_Encaissements!$J$6:$J$3005=$G1349)*(Ventes_Encaissements!$C$6:$C$3005&gt;=$C1349-3)*(Ventes_Encaissements!$C$6:$C$3005&lt;=$C1349+3)),1)))</f>
        <v/>
      </c>
      <c r="K1349" s="6" t="n"/>
    </row>
    <row r="1350">
      <c r="A1350" s="6" t="n"/>
      <c r="B1350" s="6" t="n"/>
      <c r="C1350" s="19" t="n"/>
      <c r="D1350" s="19" t="n"/>
      <c r="E1350" s="6" t="n"/>
      <c r="F1350" s="20" t="n"/>
      <c r="G1350" s="9">
        <f>IF($F1350="","",IF($F1350&gt;0,ROUND($F1350,2),""))</f>
        <v/>
      </c>
      <c r="H1350" s="12">
        <f>IF(OR($B1350="",$C1350="",$G1350=""),"",COUNTIFS(Ventes_Encaissements!$E$6:$E$3005,$B1350,Ventes_Encaissements!$J$6:$J$3005,$G1350,Ventes_Encaissements!$C$6:$C$3005,"&gt;="&amp;($C1350-3),Ventes_Encaissements!$C$6:$C$3005,"&lt;="&amp;($C1350+3)))</f>
        <v/>
      </c>
      <c r="I1350" s="12">
        <f>IF($H1350="","",IF($H1350=0,"Non trouvé",IF($H1350=1,"Match","À vérifier")))</f>
        <v/>
      </c>
      <c r="J1350" s="21">
        <f>IF($I1350&lt;&gt;"Match","",INDEX(Ventes_Encaissements!$B$6:$B$3005,_xludf.AGGREGATE(15,6,(ROW(Ventes_Encaissements!$B$6:$B$3005)-ROW(Ventes_Encaissements!$B$6)+1)/((Ventes_Encaissements!$E$6:$E$3005=$B1350)*(Ventes_Encaissements!$J$6:$J$3005=$G1350)*(Ventes_Encaissements!$C$6:$C$3005&gt;=$C1350-3)*(Ventes_Encaissements!$C$6:$C$3005&lt;=$C1350+3)),1)))</f>
        <v/>
      </c>
      <c r="K1350" s="6" t="n"/>
    </row>
    <row r="1351">
      <c r="A1351" s="6" t="n"/>
      <c r="B1351" s="6" t="n"/>
      <c r="C1351" s="19" t="n"/>
      <c r="D1351" s="19" t="n"/>
      <c r="E1351" s="6" t="n"/>
      <c r="F1351" s="20" t="n"/>
      <c r="G1351" s="9">
        <f>IF($F1351="","",IF($F1351&gt;0,ROUND($F1351,2),""))</f>
        <v/>
      </c>
      <c r="H1351" s="12">
        <f>IF(OR($B1351="",$C1351="",$G1351=""),"",COUNTIFS(Ventes_Encaissements!$E$6:$E$3005,$B1351,Ventes_Encaissements!$J$6:$J$3005,$G1351,Ventes_Encaissements!$C$6:$C$3005,"&gt;="&amp;($C1351-3),Ventes_Encaissements!$C$6:$C$3005,"&lt;="&amp;($C1351+3)))</f>
        <v/>
      </c>
      <c r="I1351" s="12">
        <f>IF($H1351="","",IF($H1351=0,"Non trouvé",IF($H1351=1,"Match","À vérifier")))</f>
        <v/>
      </c>
      <c r="J1351" s="21">
        <f>IF($I1351&lt;&gt;"Match","",INDEX(Ventes_Encaissements!$B$6:$B$3005,_xludf.AGGREGATE(15,6,(ROW(Ventes_Encaissements!$B$6:$B$3005)-ROW(Ventes_Encaissements!$B$6)+1)/((Ventes_Encaissements!$E$6:$E$3005=$B1351)*(Ventes_Encaissements!$J$6:$J$3005=$G1351)*(Ventes_Encaissements!$C$6:$C$3005&gt;=$C1351-3)*(Ventes_Encaissements!$C$6:$C$3005&lt;=$C1351+3)),1)))</f>
        <v/>
      </c>
      <c r="K1351" s="6" t="n"/>
    </row>
    <row r="1352">
      <c r="A1352" s="6" t="n"/>
      <c r="B1352" s="6" t="n"/>
      <c r="C1352" s="19" t="n"/>
      <c r="D1352" s="19" t="n"/>
      <c r="E1352" s="6" t="n"/>
      <c r="F1352" s="20" t="n"/>
      <c r="G1352" s="9">
        <f>IF($F1352="","",IF($F1352&gt;0,ROUND($F1352,2),""))</f>
        <v/>
      </c>
      <c r="H1352" s="12">
        <f>IF(OR($B1352="",$C1352="",$G1352=""),"",COUNTIFS(Ventes_Encaissements!$E$6:$E$3005,$B1352,Ventes_Encaissements!$J$6:$J$3005,$G1352,Ventes_Encaissements!$C$6:$C$3005,"&gt;="&amp;($C1352-3),Ventes_Encaissements!$C$6:$C$3005,"&lt;="&amp;($C1352+3)))</f>
        <v/>
      </c>
      <c r="I1352" s="12">
        <f>IF($H1352="","",IF($H1352=0,"Non trouvé",IF($H1352=1,"Match","À vérifier")))</f>
        <v/>
      </c>
      <c r="J1352" s="21">
        <f>IF($I1352&lt;&gt;"Match","",INDEX(Ventes_Encaissements!$B$6:$B$3005,_xludf.AGGREGATE(15,6,(ROW(Ventes_Encaissements!$B$6:$B$3005)-ROW(Ventes_Encaissements!$B$6)+1)/((Ventes_Encaissements!$E$6:$E$3005=$B1352)*(Ventes_Encaissements!$J$6:$J$3005=$G1352)*(Ventes_Encaissements!$C$6:$C$3005&gt;=$C1352-3)*(Ventes_Encaissements!$C$6:$C$3005&lt;=$C1352+3)),1)))</f>
        <v/>
      </c>
      <c r="K1352" s="6" t="n"/>
    </row>
    <row r="1353">
      <c r="A1353" s="6" t="n"/>
      <c r="B1353" s="6" t="n"/>
      <c r="C1353" s="19" t="n"/>
      <c r="D1353" s="19" t="n"/>
      <c r="E1353" s="6" t="n"/>
      <c r="F1353" s="20" t="n"/>
      <c r="G1353" s="9">
        <f>IF($F1353="","",IF($F1353&gt;0,ROUND($F1353,2),""))</f>
        <v/>
      </c>
      <c r="H1353" s="12">
        <f>IF(OR($B1353="",$C1353="",$G1353=""),"",COUNTIFS(Ventes_Encaissements!$E$6:$E$3005,$B1353,Ventes_Encaissements!$J$6:$J$3005,$G1353,Ventes_Encaissements!$C$6:$C$3005,"&gt;="&amp;($C1353-3),Ventes_Encaissements!$C$6:$C$3005,"&lt;="&amp;($C1353+3)))</f>
        <v/>
      </c>
      <c r="I1353" s="12">
        <f>IF($H1353="","",IF($H1353=0,"Non trouvé",IF($H1353=1,"Match","À vérifier")))</f>
        <v/>
      </c>
      <c r="J1353" s="21">
        <f>IF($I1353&lt;&gt;"Match","",INDEX(Ventes_Encaissements!$B$6:$B$3005,_xludf.AGGREGATE(15,6,(ROW(Ventes_Encaissements!$B$6:$B$3005)-ROW(Ventes_Encaissements!$B$6)+1)/((Ventes_Encaissements!$E$6:$E$3005=$B1353)*(Ventes_Encaissements!$J$6:$J$3005=$G1353)*(Ventes_Encaissements!$C$6:$C$3005&gt;=$C1353-3)*(Ventes_Encaissements!$C$6:$C$3005&lt;=$C1353+3)),1)))</f>
        <v/>
      </c>
      <c r="K1353" s="6" t="n"/>
    </row>
    <row r="1354">
      <c r="A1354" s="6" t="n"/>
      <c r="B1354" s="6" t="n"/>
      <c r="C1354" s="19" t="n"/>
      <c r="D1354" s="19" t="n"/>
      <c r="E1354" s="6" t="n"/>
      <c r="F1354" s="20" t="n"/>
      <c r="G1354" s="9">
        <f>IF($F1354="","",IF($F1354&gt;0,ROUND($F1354,2),""))</f>
        <v/>
      </c>
      <c r="H1354" s="12">
        <f>IF(OR($B1354="",$C1354="",$G1354=""),"",COUNTIFS(Ventes_Encaissements!$E$6:$E$3005,$B1354,Ventes_Encaissements!$J$6:$J$3005,$G1354,Ventes_Encaissements!$C$6:$C$3005,"&gt;="&amp;($C1354-3),Ventes_Encaissements!$C$6:$C$3005,"&lt;="&amp;($C1354+3)))</f>
        <v/>
      </c>
      <c r="I1354" s="12">
        <f>IF($H1354="","",IF($H1354=0,"Non trouvé",IF($H1354=1,"Match","À vérifier")))</f>
        <v/>
      </c>
      <c r="J1354" s="21">
        <f>IF($I1354&lt;&gt;"Match","",INDEX(Ventes_Encaissements!$B$6:$B$3005,_xludf.AGGREGATE(15,6,(ROW(Ventes_Encaissements!$B$6:$B$3005)-ROW(Ventes_Encaissements!$B$6)+1)/((Ventes_Encaissements!$E$6:$E$3005=$B1354)*(Ventes_Encaissements!$J$6:$J$3005=$G1354)*(Ventes_Encaissements!$C$6:$C$3005&gt;=$C1354-3)*(Ventes_Encaissements!$C$6:$C$3005&lt;=$C1354+3)),1)))</f>
        <v/>
      </c>
      <c r="K1354" s="6" t="n"/>
    </row>
    <row r="1355">
      <c r="A1355" s="6" t="n"/>
      <c r="B1355" s="6" t="n"/>
      <c r="C1355" s="19" t="n"/>
      <c r="D1355" s="19" t="n"/>
      <c r="E1355" s="6" t="n"/>
      <c r="F1355" s="20" t="n"/>
      <c r="G1355" s="9">
        <f>IF($F1355="","",IF($F1355&gt;0,ROUND($F1355,2),""))</f>
        <v/>
      </c>
      <c r="H1355" s="12">
        <f>IF(OR($B1355="",$C1355="",$G1355=""),"",COUNTIFS(Ventes_Encaissements!$E$6:$E$3005,$B1355,Ventes_Encaissements!$J$6:$J$3005,$G1355,Ventes_Encaissements!$C$6:$C$3005,"&gt;="&amp;($C1355-3),Ventes_Encaissements!$C$6:$C$3005,"&lt;="&amp;($C1355+3)))</f>
        <v/>
      </c>
      <c r="I1355" s="12">
        <f>IF($H1355="","",IF($H1355=0,"Non trouvé",IF($H1355=1,"Match","À vérifier")))</f>
        <v/>
      </c>
      <c r="J1355" s="21">
        <f>IF($I1355&lt;&gt;"Match","",INDEX(Ventes_Encaissements!$B$6:$B$3005,_xludf.AGGREGATE(15,6,(ROW(Ventes_Encaissements!$B$6:$B$3005)-ROW(Ventes_Encaissements!$B$6)+1)/((Ventes_Encaissements!$E$6:$E$3005=$B1355)*(Ventes_Encaissements!$J$6:$J$3005=$G1355)*(Ventes_Encaissements!$C$6:$C$3005&gt;=$C1355-3)*(Ventes_Encaissements!$C$6:$C$3005&lt;=$C1355+3)),1)))</f>
        <v/>
      </c>
      <c r="K1355" s="6" t="n"/>
    </row>
    <row r="1356">
      <c r="A1356" s="6" t="n"/>
      <c r="B1356" s="6" t="n"/>
      <c r="C1356" s="19" t="n"/>
      <c r="D1356" s="19" t="n"/>
      <c r="E1356" s="6" t="n"/>
      <c r="F1356" s="20" t="n"/>
      <c r="G1356" s="9">
        <f>IF($F1356="","",IF($F1356&gt;0,ROUND($F1356,2),""))</f>
        <v/>
      </c>
      <c r="H1356" s="12">
        <f>IF(OR($B1356="",$C1356="",$G1356=""),"",COUNTIFS(Ventes_Encaissements!$E$6:$E$3005,$B1356,Ventes_Encaissements!$J$6:$J$3005,$G1356,Ventes_Encaissements!$C$6:$C$3005,"&gt;="&amp;($C1356-3),Ventes_Encaissements!$C$6:$C$3005,"&lt;="&amp;($C1356+3)))</f>
        <v/>
      </c>
      <c r="I1356" s="12">
        <f>IF($H1356="","",IF($H1356=0,"Non trouvé",IF($H1356=1,"Match","À vérifier")))</f>
        <v/>
      </c>
      <c r="J1356" s="21">
        <f>IF($I1356&lt;&gt;"Match","",INDEX(Ventes_Encaissements!$B$6:$B$3005,_xludf.AGGREGATE(15,6,(ROW(Ventes_Encaissements!$B$6:$B$3005)-ROW(Ventes_Encaissements!$B$6)+1)/((Ventes_Encaissements!$E$6:$E$3005=$B1356)*(Ventes_Encaissements!$J$6:$J$3005=$G1356)*(Ventes_Encaissements!$C$6:$C$3005&gt;=$C1356-3)*(Ventes_Encaissements!$C$6:$C$3005&lt;=$C1356+3)),1)))</f>
        <v/>
      </c>
      <c r="K1356" s="6" t="n"/>
    </row>
    <row r="1357">
      <c r="A1357" s="6" t="n"/>
      <c r="B1357" s="6" t="n"/>
      <c r="C1357" s="19" t="n"/>
      <c r="D1357" s="19" t="n"/>
      <c r="E1357" s="6" t="n"/>
      <c r="F1357" s="20" t="n"/>
      <c r="G1357" s="9">
        <f>IF($F1357="","",IF($F1357&gt;0,ROUND($F1357,2),""))</f>
        <v/>
      </c>
      <c r="H1357" s="12">
        <f>IF(OR($B1357="",$C1357="",$G1357=""),"",COUNTIFS(Ventes_Encaissements!$E$6:$E$3005,$B1357,Ventes_Encaissements!$J$6:$J$3005,$G1357,Ventes_Encaissements!$C$6:$C$3005,"&gt;="&amp;($C1357-3),Ventes_Encaissements!$C$6:$C$3005,"&lt;="&amp;($C1357+3)))</f>
        <v/>
      </c>
      <c r="I1357" s="12">
        <f>IF($H1357="","",IF($H1357=0,"Non trouvé",IF($H1357=1,"Match","À vérifier")))</f>
        <v/>
      </c>
      <c r="J1357" s="21">
        <f>IF($I1357&lt;&gt;"Match","",INDEX(Ventes_Encaissements!$B$6:$B$3005,_xludf.AGGREGATE(15,6,(ROW(Ventes_Encaissements!$B$6:$B$3005)-ROW(Ventes_Encaissements!$B$6)+1)/((Ventes_Encaissements!$E$6:$E$3005=$B1357)*(Ventes_Encaissements!$J$6:$J$3005=$G1357)*(Ventes_Encaissements!$C$6:$C$3005&gt;=$C1357-3)*(Ventes_Encaissements!$C$6:$C$3005&lt;=$C1357+3)),1)))</f>
        <v/>
      </c>
      <c r="K1357" s="6" t="n"/>
    </row>
    <row r="1358">
      <c r="A1358" s="6" t="n"/>
      <c r="B1358" s="6" t="n"/>
      <c r="C1358" s="19" t="n"/>
      <c r="D1358" s="19" t="n"/>
      <c r="E1358" s="6" t="n"/>
      <c r="F1358" s="20" t="n"/>
      <c r="G1358" s="9">
        <f>IF($F1358="","",IF($F1358&gt;0,ROUND($F1358,2),""))</f>
        <v/>
      </c>
      <c r="H1358" s="12">
        <f>IF(OR($B1358="",$C1358="",$G1358=""),"",COUNTIFS(Ventes_Encaissements!$E$6:$E$3005,$B1358,Ventes_Encaissements!$J$6:$J$3005,$G1358,Ventes_Encaissements!$C$6:$C$3005,"&gt;="&amp;($C1358-3),Ventes_Encaissements!$C$6:$C$3005,"&lt;="&amp;($C1358+3)))</f>
        <v/>
      </c>
      <c r="I1358" s="12">
        <f>IF($H1358="","",IF($H1358=0,"Non trouvé",IF($H1358=1,"Match","À vérifier")))</f>
        <v/>
      </c>
      <c r="J1358" s="21">
        <f>IF($I1358&lt;&gt;"Match","",INDEX(Ventes_Encaissements!$B$6:$B$3005,_xludf.AGGREGATE(15,6,(ROW(Ventes_Encaissements!$B$6:$B$3005)-ROW(Ventes_Encaissements!$B$6)+1)/((Ventes_Encaissements!$E$6:$E$3005=$B1358)*(Ventes_Encaissements!$J$6:$J$3005=$G1358)*(Ventes_Encaissements!$C$6:$C$3005&gt;=$C1358-3)*(Ventes_Encaissements!$C$6:$C$3005&lt;=$C1358+3)),1)))</f>
        <v/>
      </c>
      <c r="K1358" s="6" t="n"/>
    </row>
    <row r="1359">
      <c r="A1359" s="6" t="n"/>
      <c r="B1359" s="6" t="n"/>
      <c r="C1359" s="19" t="n"/>
      <c r="D1359" s="19" t="n"/>
      <c r="E1359" s="6" t="n"/>
      <c r="F1359" s="20" t="n"/>
      <c r="G1359" s="9">
        <f>IF($F1359="","",IF($F1359&gt;0,ROUND($F1359,2),""))</f>
        <v/>
      </c>
      <c r="H1359" s="12">
        <f>IF(OR($B1359="",$C1359="",$G1359=""),"",COUNTIFS(Ventes_Encaissements!$E$6:$E$3005,$B1359,Ventes_Encaissements!$J$6:$J$3005,$G1359,Ventes_Encaissements!$C$6:$C$3005,"&gt;="&amp;($C1359-3),Ventes_Encaissements!$C$6:$C$3005,"&lt;="&amp;($C1359+3)))</f>
        <v/>
      </c>
      <c r="I1359" s="12">
        <f>IF($H1359="","",IF($H1359=0,"Non trouvé",IF($H1359=1,"Match","À vérifier")))</f>
        <v/>
      </c>
      <c r="J1359" s="21">
        <f>IF($I1359&lt;&gt;"Match","",INDEX(Ventes_Encaissements!$B$6:$B$3005,_xludf.AGGREGATE(15,6,(ROW(Ventes_Encaissements!$B$6:$B$3005)-ROW(Ventes_Encaissements!$B$6)+1)/((Ventes_Encaissements!$E$6:$E$3005=$B1359)*(Ventes_Encaissements!$J$6:$J$3005=$G1359)*(Ventes_Encaissements!$C$6:$C$3005&gt;=$C1359-3)*(Ventes_Encaissements!$C$6:$C$3005&lt;=$C1359+3)),1)))</f>
        <v/>
      </c>
      <c r="K1359" s="6" t="n"/>
    </row>
    <row r="1360">
      <c r="A1360" s="6" t="n"/>
      <c r="B1360" s="6" t="n"/>
      <c r="C1360" s="19" t="n"/>
      <c r="D1360" s="19" t="n"/>
      <c r="E1360" s="6" t="n"/>
      <c r="F1360" s="20" t="n"/>
      <c r="G1360" s="9">
        <f>IF($F1360="","",IF($F1360&gt;0,ROUND($F1360,2),""))</f>
        <v/>
      </c>
      <c r="H1360" s="12">
        <f>IF(OR($B1360="",$C1360="",$G1360=""),"",COUNTIFS(Ventes_Encaissements!$E$6:$E$3005,$B1360,Ventes_Encaissements!$J$6:$J$3005,$G1360,Ventes_Encaissements!$C$6:$C$3005,"&gt;="&amp;($C1360-3),Ventes_Encaissements!$C$6:$C$3005,"&lt;="&amp;($C1360+3)))</f>
        <v/>
      </c>
      <c r="I1360" s="12">
        <f>IF($H1360="","",IF($H1360=0,"Non trouvé",IF($H1360=1,"Match","À vérifier")))</f>
        <v/>
      </c>
      <c r="J1360" s="21">
        <f>IF($I1360&lt;&gt;"Match","",INDEX(Ventes_Encaissements!$B$6:$B$3005,_xludf.AGGREGATE(15,6,(ROW(Ventes_Encaissements!$B$6:$B$3005)-ROW(Ventes_Encaissements!$B$6)+1)/((Ventes_Encaissements!$E$6:$E$3005=$B1360)*(Ventes_Encaissements!$J$6:$J$3005=$G1360)*(Ventes_Encaissements!$C$6:$C$3005&gt;=$C1360-3)*(Ventes_Encaissements!$C$6:$C$3005&lt;=$C1360+3)),1)))</f>
        <v/>
      </c>
      <c r="K1360" s="6" t="n"/>
    </row>
    <row r="1361">
      <c r="A1361" s="6" t="n"/>
      <c r="B1361" s="6" t="n"/>
      <c r="C1361" s="19" t="n"/>
      <c r="D1361" s="19" t="n"/>
      <c r="E1361" s="6" t="n"/>
      <c r="F1361" s="20" t="n"/>
      <c r="G1361" s="9">
        <f>IF($F1361="","",IF($F1361&gt;0,ROUND($F1361,2),""))</f>
        <v/>
      </c>
      <c r="H1361" s="12">
        <f>IF(OR($B1361="",$C1361="",$G1361=""),"",COUNTIFS(Ventes_Encaissements!$E$6:$E$3005,$B1361,Ventes_Encaissements!$J$6:$J$3005,$G1361,Ventes_Encaissements!$C$6:$C$3005,"&gt;="&amp;($C1361-3),Ventes_Encaissements!$C$6:$C$3005,"&lt;="&amp;($C1361+3)))</f>
        <v/>
      </c>
      <c r="I1361" s="12">
        <f>IF($H1361="","",IF($H1361=0,"Non trouvé",IF($H1361=1,"Match","À vérifier")))</f>
        <v/>
      </c>
      <c r="J1361" s="21">
        <f>IF($I1361&lt;&gt;"Match","",INDEX(Ventes_Encaissements!$B$6:$B$3005,_xludf.AGGREGATE(15,6,(ROW(Ventes_Encaissements!$B$6:$B$3005)-ROW(Ventes_Encaissements!$B$6)+1)/((Ventes_Encaissements!$E$6:$E$3005=$B1361)*(Ventes_Encaissements!$J$6:$J$3005=$G1361)*(Ventes_Encaissements!$C$6:$C$3005&gt;=$C1361-3)*(Ventes_Encaissements!$C$6:$C$3005&lt;=$C1361+3)),1)))</f>
        <v/>
      </c>
      <c r="K1361" s="6" t="n"/>
    </row>
    <row r="1362">
      <c r="A1362" s="6" t="n"/>
      <c r="B1362" s="6" t="n"/>
      <c r="C1362" s="19" t="n"/>
      <c r="D1362" s="19" t="n"/>
      <c r="E1362" s="6" t="n"/>
      <c r="F1362" s="20" t="n"/>
      <c r="G1362" s="9">
        <f>IF($F1362="","",IF($F1362&gt;0,ROUND($F1362,2),""))</f>
        <v/>
      </c>
      <c r="H1362" s="12">
        <f>IF(OR($B1362="",$C1362="",$G1362=""),"",COUNTIFS(Ventes_Encaissements!$E$6:$E$3005,$B1362,Ventes_Encaissements!$J$6:$J$3005,$G1362,Ventes_Encaissements!$C$6:$C$3005,"&gt;="&amp;($C1362-3),Ventes_Encaissements!$C$6:$C$3005,"&lt;="&amp;($C1362+3)))</f>
        <v/>
      </c>
      <c r="I1362" s="12">
        <f>IF($H1362="","",IF($H1362=0,"Non trouvé",IF($H1362=1,"Match","À vérifier")))</f>
        <v/>
      </c>
      <c r="J1362" s="21">
        <f>IF($I1362&lt;&gt;"Match","",INDEX(Ventes_Encaissements!$B$6:$B$3005,_xludf.AGGREGATE(15,6,(ROW(Ventes_Encaissements!$B$6:$B$3005)-ROW(Ventes_Encaissements!$B$6)+1)/((Ventes_Encaissements!$E$6:$E$3005=$B1362)*(Ventes_Encaissements!$J$6:$J$3005=$G1362)*(Ventes_Encaissements!$C$6:$C$3005&gt;=$C1362-3)*(Ventes_Encaissements!$C$6:$C$3005&lt;=$C1362+3)),1)))</f>
        <v/>
      </c>
      <c r="K1362" s="6" t="n"/>
    </row>
    <row r="1363">
      <c r="A1363" s="6" t="n"/>
      <c r="B1363" s="6" t="n"/>
      <c r="C1363" s="19" t="n"/>
      <c r="D1363" s="19" t="n"/>
      <c r="E1363" s="6" t="n"/>
      <c r="F1363" s="20" t="n"/>
      <c r="G1363" s="9">
        <f>IF($F1363="","",IF($F1363&gt;0,ROUND($F1363,2),""))</f>
        <v/>
      </c>
      <c r="H1363" s="12">
        <f>IF(OR($B1363="",$C1363="",$G1363=""),"",COUNTIFS(Ventes_Encaissements!$E$6:$E$3005,$B1363,Ventes_Encaissements!$J$6:$J$3005,$G1363,Ventes_Encaissements!$C$6:$C$3005,"&gt;="&amp;($C1363-3),Ventes_Encaissements!$C$6:$C$3005,"&lt;="&amp;($C1363+3)))</f>
        <v/>
      </c>
      <c r="I1363" s="12">
        <f>IF($H1363="","",IF($H1363=0,"Non trouvé",IF($H1363=1,"Match","À vérifier")))</f>
        <v/>
      </c>
      <c r="J1363" s="21">
        <f>IF($I1363&lt;&gt;"Match","",INDEX(Ventes_Encaissements!$B$6:$B$3005,_xludf.AGGREGATE(15,6,(ROW(Ventes_Encaissements!$B$6:$B$3005)-ROW(Ventes_Encaissements!$B$6)+1)/((Ventes_Encaissements!$E$6:$E$3005=$B1363)*(Ventes_Encaissements!$J$6:$J$3005=$G1363)*(Ventes_Encaissements!$C$6:$C$3005&gt;=$C1363-3)*(Ventes_Encaissements!$C$6:$C$3005&lt;=$C1363+3)),1)))</f>
        <v/>
      </c>
      <c r="K1363" s="6" t="n"/>
    </row>
    <row r="1364">
      <c r="A1364" s="6" t="n"/>
      <c r="B1364" s="6" t="n"/>
      <c r="C1364" s="19" t="n"/>
      <c r="D1364" s="19" t="n"/>
      <c r="E1364" s="6" t="n"/>
      <c r="F1364" s="20" t="n"/>
      <c r="G1364" s="9">
        <f>IF($F1364="","",IF($F1364&gt;0,ROUND($F1364,2),""))</f>
        <v/>
      </c>
      <c r="H1364" s="12">
        <f>IF(OR($B1364="",$C1364="",$G1364=""),"",COUNTIFS(Ventes_Encaissements!$E$6:$E$3005,$B1364,Ventes_Encaissements!$J$6:$J$3005,$G1364,Ventes_Encaissements!$C$6:$C$3005,"&gt;="&amp;($C1364-3),Ventes_Encaissements!$C$6:$C$3005,"&lt;="&amp;($C1364+3)))</f>
        <v/>
      </c>
      <c r="I1364" s="12">
        <f>IF($H1364="","",IF($H1364=0,"Non trouvé",IF($H1364=1,"Match","À vérifier")))</f>
        <v/>
      </c>
      <c r="J1364" s="21">
        <f>IF($I1364&lt;&gt;"Match","",INDEX(Ventes_Encaissements!$B$6:$B$3005,_xludf.AGGREGATE(15,6,(ROW(Ventes_Encaissements!$B$6:$B$3005)-ROW(Ventes_Encaissements!$B$6)+1)/((Ventes_Encaissements!$E$6:$E$3005=$B1364)*(Ventes_Encaissements!$J$6:$J$3005=$G1364)*(Ventes_Encaissements!$C$6:$C$3005&gt;=$C1364-3)*(Ventes_Encaissements!$C$6:$C$3005&lt;=$C1364+3)),1)))</f>
        <v/>
      </c>
      <c r="K1364" s="6" t="n"/>
    </row>
    <row r="1365">
      <c r="A1365" s="6" t="n"/>
      <c r="B1365" s="6" t="n"/>
      <c r="C1365" s="19" t="n"/>
      <c r="D1365" s="19" t="n"/>
      <c r="E1365" s="6" t="n"/>
      <c r="F1365" s="20" t="n"/>
      <c r="G1365" s="9">
        <f>IF($F1365="","",IF($F1365&gt;0,ROUND($F1365,2),""))</f>
        <v/>
      </c>
      <c r="H1365" s="12">
        <f>IF(OR($B1365="",$C1365="",$G1365=""),"",COUNTIFS(Ventes_Encaissements!$E$6:$E$3005,$B1365,Ventes_Encaissements!$J$6:$J$3005,$G1365,Ventes_Encaissements!$C$6:$C$3005,"&gt;="&amp;($C1365-3),Ventes_Encaissements!$C$6:$C$3005,"&lt;="&amp;($C1365+3)))</f>
        <v/>
      </c>
      <c r="I1365" s="12">
        <f>IF($H1365="","",IF($H1365=0,"Non trouvé",IF($H1365=1,"Match","À vérifier")))</f>
        <v/>
      </c>
      <c r="J1365" s="21">
        <f>IF($I1365&lt;&gt;"Match","",INDEX(Ventes_Encaissements!$B$6:$B$3005,_xludf.AGGREGATE(15,6,(ROW(Ventes_Encaissements!$B$6:$B$3005)-ROW(Ventes_Encaissements!$B$6)+1)/((Ventes_Encaissements!$E$6:$E$3005=$B1365)*(Ventes_Encaissements!$J$6:$J$3005=$G1365)*(Ventes_Encaissements!$C$6:$C$3005&gt;=$C1365-3)*(Ventes_Encaissements!$C$6:$C$3005&lt;=$C1365+3)),1)))</f>
        <v/>
      </c>
      <c r="K1365" s="6" t="n"/>
    </row>
    <row r="1366">
      <c r="A1366" s="6" t="n"/>
      <c r="B1366" s="6" t="n"/>
      <c r="C1366" s="19" t="n"/>
      <c r="D1366" s="19" t="n"/>
      <c r="E1366" s="6" t="n"/>
      <c r="F1366" s="20" t="n"/>
      <c r="G1366" s="9">
        <f>IF($F1366="","",IF($F1366&gt;0,ROUND($F1366,2),""))</f>
        <v/>
      </c>
      <c r="H1366" s="12">
        <f>IF(OR($B1366="",$C1366="",$G1366=""),"",COUNTIFS(Ventes_Encaissements!$E$6:$E$3005,$B1366,Ventes_Encaissements!$J$6:$J$3005,$G1366,Ventes_Encaissements!$C$6:$C$3005,"&gt;="&amp;($C1366-3),Ventes_Encaissements!$C$6:$C$3005,"&lt;="&amp;($C1366+3)))</f>
        <v/>
      </c>
      <c r="I1366" s="12">
        <f>IF($H1366="","",IF($H1366=0,"Non trouvé",IF($H1366=1,"Match","À vérifier")))</f>
        <v/>
      </c>
      <c r="J1366" s="21">
        <f>IF($I1366&lt;&gt;"Match","",INDEX(Ventes_Encaissements!$B$6:$B$3005,_xludf.AGGREGATE(15,6,(ROW(Ventes_Encaissements!$B$6:$B$3005)-ROW(Ventes_Encaissements!$B$6)+1)/((Ventes_Encaissements!$E$6:$E$3005=$B1366)*(Ventes_Encaissements!$J$6:$J$3005=$G1366)*(Ventes_Encaissements!$C$6:$C$3005&gt;=$C1366-3)*(Ventes_Encaissements!$C$6:$C$3005&lt;=$C1366+3)),1)))</f>
        <v/>
      </c>
      <c r="K1366" s="6" t="n"/>
    </row>
    <row r="1367">
      <c r="A1367" s="6" t="n"/>
      <c r="B1367" s="6" t="n"/>
      <c r="C1367" s="19" t="n"/>
      <c r="D1367" s="19" t="n"/>
      <c r="E1367" s="6" t="n"/>
      <c r="F1367" s="20" t="n"/>
      <c r="G1367" s="9">
        <f>IF($F1367="","",IF($F1367&gt;0,ROUND($F1367,2),""))</f>
        <v/>
      </c>
      <c r="H1367" s="12">
        <f>IF(OR($B1367="",$C1367="",$G1367=""),"",COUNTIFS(Ventes_Encaissements!$E$6:$E$3005,$B1367,Ventes_Encaissements!$J$6:$J$3005,$G1367,Ventes_Encaissements!$C$6:$C$3005,"&gt;="&amp;($C1367-3),Ventes_Encaissements!$C$6:$C$3005,"&lt;="&amp;($C1367+3)))</f>
        <v/>
      </c>
      <c r="I1367" s="12">
        <f>IF($H1367="","",IF($H1367=0,"Non trouvé",IF($H1367=1,"Match","À vérifier")))</f>
        <v/>
      </c>
      <c r="J1367" s="21">
        <f>IF($I1367&lt;&gt;"Match","",INDEX(Ventes_Encaissements!$B$6:$B$3005,_xludf.AGGREGATE(15,6,(ROW(Ventes_Encaissements!$B$6:$B$3005)-ROW(Ventes_Encaissements!$B$6)+1)/((Ventes_Encaissements!$E$6:$E$3005=$B1367)*(Ventes_Encaissements!$J$6:$J$3005=$G1367)*(Ventes_Encaissements!$C$6:$C$3005&gt;=$C1367-3)*(Ventes_Encaissements!$C$6:$C$3005&lt;=$C1367+3)),1)))</f>
        <v/>
      </c>
      <c r="K1367" s="6" t="n"/>
    </row>
    <row r="1368">
      <c r="A1368" s="6" t="n"/>
      <c r="B1368" s="6" t="n"/>
      <c r="C1368" s="19" t="n"/>
      <c r="D1368" s="19" t="n"/>
      <c r="E1368" s="6" t="n"/>
      <c r="F1368" s="20" t="n"/>
      <c r="G1368" s="9">
        <f>IF($F1368="","",IF($F1368&gt;0,ROUND($F1368,2),""))</f>
        <v/>
      </c>
      <c r="H1368" s="12">
        <f>IF(OR($B1368="",$C1368="",$G1368=""),"",COUNTIFS(Ventes_Encaissements!$E$6:$E$3005,$B1368,Ventes_Encaissements!$J$6:$J$3005,$G1368,Ventes_Encaissements!$C$6:$C$3005,"&gt;="&amp;($C1368-3),Ventes_Encaissements!$C$6:$C$3005,"&lt;="&amp;($C1368+3)))</f>
        <v/>
      </c>
      <c r="I1368" s="12">
        <f>IF($H1368="","",IF($H1368=0,"Non trouvé",IF($H1368=1,"Match","À vérifier")))</f>
        <v/>
      </c>
      <c r="J1368" s="21">
        <f>IF($I1368&lt;&gt;"Match","",INDEX(Ventes_Encaissements!$B$6:$B$3005,_xludf.AGGREGATE(15,6,(ROW(Ventes_Encaissements!$B$6:$B$3005)-ROW(Ventes_Encaissements!$B$6)+1)/((Ventes_Encaissements!$E$6:$E$3005=$B1368)*(Ventes_Encaissements!$J$6:$J$3005=$G1368)*(Ventes_Encaissements!$C$6:$C$3005&gt;=$C1368-3)*(Ventes_Encaissements!$C$6:$C$3005&lt;=$C1368+3)),1)))</f>
        <v/>
      </c>
      <c r="K1368" s="6" t="n"/>
    </row>
    <row r="1369">
      <c r="A1369" s="6" t="n"/>
      <c r="B1369" s="6" t="n"/>
      <c r="C1369" s="19" t="n"/>
      <c r="D1369" s="19" t="n"/>
      <c r="E1369" s="6" t="n"/>
      <c r="F1369" s="20" t="n"/>
      <c r="G1369" s="9">
        <f>IF($F1369="","",IF($F1369&gt;0,ROUND($F1369,2),""))</f>
        <v/>
      </c>
      <c r="H1369" s="12">
        <f>IF(OR($B1369="",$C1369="",$G1369=""),"",COUNTIFS(Ventes_Encaissements!$E$6:$E$3005,$B1369,Ventes_Encaissements!$J$6:$J$3005,$G1369,Ventes_Encaissements!$C$6:$C$3005,"&gt;="&amp;($C1369-3),Ventes_Encaissements!$C$6:$C$3005,"&lt;="&amp;($C1369+3)))</f>
        <v/>
      </c>
      <c r="I1369" s="12">
        <f>IF($H1369="","",IF($H1369=0,"Non trouvé",IF($H1369=1,"Match","À vérifier")))</f>
        <v/>
      </c>
      <c r="J1369" s="21">
        <f>IF($I1369&lt;&gt;"Match","",INDEX(Ventes_Encaissements!$B$6:$B$3005,_xludf.AGGREGATE(15,6,(ROW(Ventes_Encaissements!$B$6:$B$3005)-ROW(Ventes_Encaissements!$B$6)+1)/((Ventes_Encaissements!$E$6:$E$3005=$B1369)*(Ventes_Encaissements!$J$6:$J$3005=$G1369)*(Ventes_Encaissements!$C$6:$C$3005&gt;=$C1369-3)*(Ventes_Encaissements!$C$6:$C$3005&lt;=$C1369+3)),1)))</f>
        <v/>
      </c>
      <c r="K1369" s="6" t="n"/>
    </row>
    <row r="1370">
      <c r="A1370" s="6" t="n"/>
      <c r="B1370" s="6" t="n"/>
      <c r="C1370" s="19" t="n"/>
      <c r="D1370" s="19" t="n"/>
      <c r="E1370" s="6" t="n"/>
      <c r="F1370" s="20" t="n"/>
      <c r="G1370" s="9">
        <f>IF($F1370="","",IF($F1370&gt;0,ROUND($F1370,2),""))</f>
        <v/>
      </c>
      <c r="H1370" s="12">
        <f>IF(OR($B1370="",$C1370="",$G1370=""),"",COUNTIFS(Ventes_Encaissements!$E$6:$E$3005,$B1370,Ventes_Encaissements!$J$6:$J$3005,$G1370,Ventes_Encaissements!$C$6:$C$3005,"&gt;="&amp;($C1370-3),Ventes_Encaissements!$C$6:$C$3005,"&lt;="&amp;($C1370+3)))</f>
        <v/>
      </c>
      <c r="I1370" s="12">
        <f>IF($H1370="","",IF($H1370=0,"Non trouvé",IF($H1370=1,"Match","À vérifier")))</f>
        <v/>
      </c>
      <c r="J1370" s="21">
        <f>IF($I1370&lt;&gt;"Match","",INDEX(Ventes_Encaissements!$B$6:$B$3005,_xludf.AGGREGATE(15,6,(ROW(Ventes_Encaissements!$B$6:$B$3005)-ROW(Ventes_Encaissements!$B$6)+1)/((Ventes_Encaissements!$E$6:$E$3005=$B1370)*(Ventes_Encaissements!$J$6:$J$3005=$G1370)*(Ventes_Encaissements!$C$6:$C$3005&gt;=$C1370-3)*(Ventes_Encaissements!$C$6:$C$3005&lt;=$C1370+3)),1)))</f>
        <v/>
      </c>
      <c r="K1370" s="6" t="n"/>
    </row>
    <row r="1371">
      <c r="A1371" s="6" t="n"/>
      <c r="B1371" s="6" t="n"/>
      <c r="C1371" s="19" t="n"/>
      <c r="D1371" s="19" t="n"/>
      <c r="E1371" s="6" t="n"/>
      <c r="F1371" s="20" t="n"/>
      <c r="G1371" s="9">
        <f>IF($F1371="","",IF($F1371&gt;0,ROUND($F1371,2),""))</f>
        <v/>
      </c>
      <c r="H1371" s="12">
        <f>IF(OR($B1371="",$C1371="",$G1371=""),"",COUNTIFS(Ventes_Encaissements!$E$6:$E$3005,$B1371,Ventes_Encaissements!$J$6:$J$3005,$G1371,Ventes_Encaissements!$C$6:$C$3005,"&gt;="&amp;($C1371-3),Ventes_Encaissements!$C$6:$C$3005,"&lt;="&amp;($C1371+3)))</f>
        <v/>
      </c>
      <c r="I1371" s="12">
        <f>IF($H1371="","",IF($H1371=0,"Non trouvé",IF($H1371=1,"Match","À vérifier")))</f>
        <v/>
      </c>
      <c r="J1371" s="21">
        <f>IF($I1371&lt;&gt;"Match","",INDEX(Ventes_Encaissements!$B$6:$B$3005,_xludf.AGGREGATE(15,6,(ROW(Ventes_Encaissements!$B$6:$B$3005)-ROW(Ventes_Encaissements!$B$6)+1)/((Ventes_Encaissements!$E$6:$E$3005=$B1371)*(Ventes_Encaissements!$J$6:$J$3005=$G1371)*(Ventes_Encaissements!$C$6:$C$3005&gt;=$C1371-3)*(Ventes_Encaissements!$C$6:$C$3005&lt;=$C1371+3)),1)))</f>
        <v/>
      </c>
      <c r="K1371" s="6" t="n"/>
    </row>
    <row r="1372">
      <c r="A1372" s="6" t="n"/>
      <c r="B1372" s="6" t="n"/>
      <c r="C1372" s="19" t="n"/>
      <c r="D1372" s="19" t="n"/>
      <c r="E1372" s="6" t="n"/>
      <c r="F1372" s="20" t="n"/>
      <c r="G1372" s="9">
        <f>IF($F1372="","",IF($F1372&gt;0,ROUND($F1372,2),""))</f>
        <v/>
      </c>
      <c r="H1372" s="12">
        <f>IF(OR($B1372="",$C1372="",$G1372=""),"",COUNTIFS(Ventes_Encaissements!$E$6:$E$3005,$B1372,Ventes_Encaissements!$J$6:$J$3005,$G1372,Ventes_Encaissements!$C$6:$C$3005,"&gt;="&amp;($C1372-3),Ventes_Encaissements!$C$6:$C$3005,"&lt;="&amp;($C1372+3)))</f>
        <v/>
      </c>
      <c r="I1372" s="12">
        <f>IF($H1372="","",IF($H1372=0,"Non trouvé",IF($H1372=1,"Match","À vérifier")))</f>
        <v/>
      </c>
      <c r="J1372" s="21">
        <f>IF($I1372&lt;&gt;"Match","",INDEX(Ventes_Encaissements!$B$6:$B$3005,_xludf.AGGREGATE(15,6,(ROW(Ventes_Encaissements!$B$6:$B$3005)-ROW(Ventes_Encaissements!$B$6)+1)/((Ventes_Encaissements!$E$6:$E$3005=$B1372)*(Ventes_Encaissements!$J$6:$J$3005=$G1372)*(Ventes_Encaissements!$C$6:$C$3005&gt;=$C1372-3)*(Ventes_Encaissements!$C$6:$C$3005&lt;=$C1372+3)),1)))</f>
        <v/>
      </c>
      <c r="K1372" s="6" t="n"/>
    </row>
    <row r="1373">
      <c r="A1373" s="6" t="n"/>
      <c r="B1373" s="6" t="n"/>
      <c r="C1373" s="19" t="n"/>
      <c r="D1373" s="19" t="n"/>
      <c r="E1373" s="6" t="n"/>
      <c r="F1373" s="20" t="n"/>
      <c r="G1373" s="9">
        <f>IF($F1373="","",IF($F1373&gt;0,ROUND($F1373,2),""))</f>
        <v/>
      </c>
      <c r="H1373" s="12">
        <f>IF(OR($B1373="",$C1373="",$G1373=""),"",COUNTIFS(Ventes_Encaissements!$E$6:$E$3005,$B1373,Ventes_Encaissements!$J$6:$J$3005,$G1373,Ventes_Encaissements!$C$6:$C$3005,"&gt;="&amp;($C1373-3),Ventes_Encaissements!$C$6:$C$3005,"&lt;="&amp;($C1373+3)))</f>
        <v/>
      </c>
      <c r="I1373" s="12">
        <f>IF($H1373="","",IF($H1373=0,"Non trouvé",IF($H1373=1,"Match","À vérifier")))</f>
        <v/>
      </c>
      <c r="J1373" s="21">
        <f>IF($I1373&lt;&gt;"Match","",INDEX(Ventes_Encaissements!$B$6:$B$3005,_xludf.AGGREGATE(15,6,(ROW(Ventes_Encaissements!$B$6:$B$3005)-ROW(Ventes_Encaissements!$B$6)+1)/((Ventes_Encaissements!$E$6:$E$3005=$B1373)*(Ventes_Encaissements!$J$6:$J$3005=$G1373)*(Ventes_Encaissements!$C$6:$C$3005&gt;=$C1373-3)*(Ventes_Encaissements!$C$6:$C$3005&lt;=$C1373+3)),1)))</f>
        <v/>
      </c>
      <c r="K1373" s="6" t="n"/>
    </row>
    <row r="1374">
      <c r="A1374" s="6" t="n"/>
      <c r="B1374" s="6" t="n"/>
      <c r="C1374" s="19" t="n"/>
      <c r="D1374" s="19" t="n"/>
      <c r="E1374" s="6" t="n"/>
      <c r="F1374" s="20" t="n"/>
      <c r="G1374" s="9">
        <f>IF($F1374="","",IF($F1374&gt;0,ROUND($F1374,2),""))</f>
        <v/>
      </c>
      <c r="H1374" s="12">
        <f>IF(OR($B1374="",$C1374="",$G1374=""),"",COUNTIFS(Ventes_Encaissements!$E$6:$E$3005,$B1374,Ventes_Encaissements!$J$6:$J$3005,$G1374,Ventes_Encaissements!$C$6:$C$3005,"&gt;="&amp;($C1374-3),Ventes_Encaissements!$C$6:$C$3005,"&lt;="&amp;($C1374+3)))</f>
        <v/>
      </c>
      <c r="I1374" s="12">
        <f>IF($H1374="","",IF($H1374=0,"Non trouvé",IF($H1374=1,"Match","À vérifier")))</f>
        <v/>
      </c>
      <c r="J1374" s="21">
        <f>IF($I1374&lt;&gt;"Match","",INDEX(Ventes_Encaissements!$B$6:$B$3005,_xludf.AGGREGATE(15,6,(ROW(Ventes_Encaissements!$B$6:$B$3005)-ROW(Ventes_Encaissements!$B$6)+1)/((Ventes_Encaissements!$E$6:$E$3005=$B1374)*(Ventes_Encaissements!$J$6:$J$3005=$G1374)*(Ventes_Encaissements!$C$6:$C$3005&gt;=$C1374-3)*(Ventes_Encaissements!$C$6:$C$3005&lt;=$C1374+3)),1)))</f>
        <v/>
      </c>
      <c r="K1374" s="6" t="n"/>
    </row>
    <row r="1375">
      <c r="A1375" s="6" t="n"/>
      <c r="B1375" s="6" t="n"/>
      <c r="C1375" s="19" t="n"/>
      <c r="D1375" s="19" t="n"/>
      <c r="E1375" s="6" t="n"/>
      <c r="F1375" s="20" t="n"/>
      <c r="G1375" s="9">
        <f>IF($F1375="","",IF($F1375&gt;0,ROUND($F1375,2),""))</f>
        <v/>
      </c>
      <c r="H1375" s="12">
        <f>IF(OR($B1375="",$C1375="",$G1375=""),"",COUNTIFS(Ventes_Encaissements!$E$6:$E$3005,$B1375,Ventes_Encaissements!$J$6:$J$3005,$G1375,Ventes_Encaissements!$C$6:$C$3005,"&gt;="&amp;($C1375-3),Ventes_Encaissements!$C$6:$C$3005,"&lt;="&amp;($C1375+3)))</f>
        <v/>
      </c>
      <c r="I1375" s="12">
        <f>IF($H1375="","",IF($H1375=0,"Non trouvé",IF($H1375=1,"Match","À vérifier")))</f>
        <v/>
      </c>
      <c r="J1375" s="21">
        <f>IF($I1375&lt;&gt;"Match","",INDEX(Ventes_Encaissements!$B$6:$B$3005,_xludf.AGGREGATE(15,6,(ROW(Ventes_Encaissements!$B$6:$B$3005)-ROW(Ventes_Encaissements!$B$6)+1)/((Ventes_Encaissements!$E$6:$E$3005=$B1375)*(Ventes_Encaissements!$J$6:$J$3005=$G1375)*(Ventes_Encaissements!$C$6:$C$3005&gt;=$C1375-3)*(Ventes_Encaissements!$C$6:$C$3005&lt;=$C1375+3)),1)))</f>
        <v/>
      </c>
      <c r="K1375" s="6" t="n"/>
    </row>
    <row r="1376">
      <c r="A1376" s="6" t="n"/>
      <c r="B1376" s="6" t="n"/>
      <c r="C1376" s="19" t="n"/>
      <c r="D1376" s="19" t="n"/>
      <c r="E1376" s="6" t="n"/>
      <c r="F1376" s="20" t="n"/>
      <c r="G1376" s="9">
        <f>IF($F1376="","",IF($F1376&gt;0,ROUND($F1376,2),""))</f>
        <v/>
      </c>
      <c r="H1376" s="12">
        <f>IF(OR($B1376="",$C1376="",$G1376=""),"",COUNTIFS(Ventes_Encaissements!$E$6:$E$3005,$B1376,Ventes_Encaissements!$J$6:$J$3005,$G1376,Ventes_Encaissements!$C$6:$C$3005,"&gt;="&amp;($C1376-3),Ventes_Encaissements!$C$6:$C$3005,"&lt;="&amp;($C1376+3)))</f>
        <v/>
      </c>
      <c r="I1376" s="12">
        <f>IF($H1376="","",IF($H1376=0,"Non trouvé",IF($H1376=1,"Match","À vérifier")))</f>
        <v/>
      </c>
      <c r="J1376" s="21">
        <f>IF($I1376&lt;&gt;"Match","",INDEX(Ventes_Encaissements!$B$6:$B$3005,_xludf.AGGREGATE(15,6,(ROW(Ventes_Encaissements!$B$6:$B$3005)-ROW(Ventes_Encaissements!$B$6)+1)/((Ventes_Encaissements!$E$6:$E$3005=$B1376)*(Ventes_Encaissements!$J$6:$J$3005=$G1376)*(Ventes_Encaissements!$C$6:$C$3005&gt;=$C1376-3)*(Ventes_Encaissements!$C$6:$C$3005&lt;=$C1376+3)),1)))</f>
        <v/>
      </c>
      <c r="K1376" s="6" t="n"/>
    </row>
    <row r="1377">
      <c r="A1377" s="6" t="n"/>
      <c r="B1377" s="6" t="n"/>
      <c r="C1377" s="19" t="n"/>
      <c r="D1377" s="19" t="n"/>
      <c r="E1377" s="6" t="n"/>
      <c r="F1377" s="20" t="n"/>
      <c r="G1377" s="9">
        <f>IF($F1377="","",IF($F1377&gt;0,ROUND($F1377,2),""))</f>
        <v/>
      </c>
      <c r="H1377" s="12">
        <f>IF(OR($B1377="",$C1377="",$G1377=""),"",COUNTIFS(Ventes_Encaissements!$E$6:$E$3005,$B1377,Ventes_Encaissements!$J$6:$J$3005,$G1377,Ventes_Encaissements!$C$6:$C$3005,"&gt;="&amp;($C1377-3),Ventes_Encaissements!$C$6:$C$3005,"&lt;="&amp;($C1377+3)))</f>
        <v/>
      </c>
      <c r="I1377" s="12">
        <f>IF($H1377="","",IF($H1377=0,"Non trouvé",IF($H1377=1,"Match","À vérifier")))</f>
        <v/>
      </c>
      <c r="J1377" s="21">
        <f>IF($I1377&lt;&gt;"Match","",INDEX(Ventes_Encaissements!$B$6:$B$3005,_xludf.AGGREGATE(15,6,(ROW(Ventes_Encaissements!$B$6:$B$3005)-ROW(Ventes_Encaissements!$B$6)+1)/((Ventes_Encaissements!$E$6:$E$3005=$B1377)*(Ventes_Encaissements!$J$6:$J$3005=$G1377)*(Ventes_Encaissements!$C$6:$C$3005&gt;=$C1377-3)*(Ventes_Encaissements!$C$6:$C$3005&lt;=$C1377+3)),1)))</f>
        <v/>
      </c>
      <c r="K1377" s="6" t="n"/>
    </row>
    <row r="1378">
      <c r="A1378" s="6" t="n"/>
      <c r="B1378" s="6" t="n"/>
      <c r="C1378" s="19" t="n"/>
      <c r="D1378" s="19" t="n"/>
      <c r="E1378" s="6" t="n"/>
      <c r="F1378" s="20" t="n"/>
      <c r="G1378" s="9">
        <f>IF($F1378="","",IF($F1378&gt;0,ROUND($F1378,2),""))</f>
        <v/>
      </c>
      <c r="H1378" s="12">
        <f>IF(OR($B1378="",$C1378="",$G1378=""),"",COUNTIFS(Ventes_Encaissements!$E$6:$E$3005,$B1378,Ventes_Encaissements!$J$6:$J$3005,$G1378,Ventes_Encaissements!$C$6:$C$3005,"&gt;="&amp;($C1378-3),Ventes_Encaissements!$C$6:$C$3005,"&lt;="&amp;($C1378+3)))</f>
        <v/>
      </c>
      <c r="I1378" s="12">
        <f>IF($H1378="","",IF($H1378=0,"Non trouvé",IF($H1378=1,"Match","À vérifier")))</f>
        <v/>
      </c>
      <c r="J1378" s="21">
        <f>IF($I1378&lt;&gt;"Match","",INDEX(Ventes_Encaissements!$B$6:$B$3005,_xludf.AGGREGATE(15,6,(ROW(Ventes_Encaissements!$B$6:$B$3005)-ROW(Ventes_Encaissements!$B$6)+1)/((Ventes_Encaissements!$E$6:$E$3005=$B1378)*(Ventes_Encaissements!$J$6:$J$3005=$G1378)*(Ventes_Encaissements!$C$6:$C$3005&gt;=$C1378-3)*(Ventes_Encaissements!$C$6:$C$3005&lt;=$C1378+3)),1)))</f>
        <v/>
      </c>
      <c r="K1378" s="6" t="n"/>
    </row>
    <row r="1379">
      <c r="A1379" s="6" t="n"/>
      <c r="B1379" s="6" t="n"/>
      <c r="C1379" s="19" t="n"/>
      <c r="D1379" s="19" t="n"/>
      <c r="E1379" s="6" t="n"/>
      <c r="F1379" s="20" t="n"/>
      <c r="G1379" s="9">
        <f>IF($F1379="","",IF($F1379&gt;0,ROUND($F1379,2),""))</f>
        <v/>
      </c>
      <c r="H1379" s="12">
        <f>IF(OR($B1379="",$C1379="",$G1379=""),"",COUNTIFS(Ventes_Encaissements!$E$6:$E$3005,$B1379,Ventes_Encaissements!$J$6:$J$3005,$G1379,Ventes_Encaissements!$C$6:$C$3005,"&gt;="&amp;($C1379-3),Ventes_Encaissements!$C$6:$C$3005,"&lt;="&amp;($C1379+3)))</f>
        <v/>
      </c>
      <c r="I1379" s="12">
        <f>IF($H1379="","",IF($H1379=0,"Non trouvé",IF($H1379=1,"Match","À vérifier")))</f>
        <v/>
      </c>
      <c r="J1379" s="21">
        <f>IF($I1379&lt;&gt;"Match","",INDEX(Ventes_Encaissements!$B$6:$B$3005,_xludf.AGGREGATE(15,6,(ROW(Ventes_Encaissements!$B$6:$B$3005)-ROW(Ventes_Encaissements!$B$6)+1)/((Ventes_Encaissements!$E$6:$E$3005=$B1379)*(Ventes_Encaissements!$J$6:$J$3005=$G1379)*(Ventes_Encaissements!$C$6:$C$3005&gt;=$C1379-3)*(Ventes_Encaissements!$C$6:$C$3005&lt;=$C1379+3)),1)))</f>
        <v/>
      </c>
      <c r="K1379" s="6" t="n"/>
    </row>
    <row r="1380">
      <c r="A1380" s="6" t="n"/>
      <c r="B1380" s="6" t="n"/>
      <c r="C1380" s="19" t="n"/>
      <c r="D1380" s="19" t="n"/>
      <c r="E1380" s="6" t="n"/>
      <c r="F1380" s="20" t="n"/>
      <c r="G1380" s="9">
        <f>IF($F1380="","",IF($F1380&gt;0,ROUND($F1380,2),""))</f>
        <v/>
      </c>
      <c r="H1380" s="12">
        <f>IF(OR($B1380="",$C1380="",$G1380=""),"",COUNTIFS(Ventes_Encaissements!$E$6:$E$3005,$B1380,Ventes_Encaissements!$J$6:$J$3005,$G1380,Ventes_Encaissements!$C$6:$C$3005,"&gt;="&amp;($C1380-3),Ventes_Encaissements!$C$6:$C$3005,"&lt;="&amp;($C1380+3)))</f>
        <v/>
      </c>
      <c r="I1380" s="12">
        <f>IF($H1380="","",IF($H1380=0,"Non trouvé",IF($H1380=1,"Match","À vérifier")))</f>
        <v/>
      </c>
      <c r="J1380" s="21">
        <f>IF($I1380&lt;&gt;"Match","",INDEX(Ventes_Encaissements!$B$6:$B$3005,_xludf.AGGREGATE(15,6,(ROW(Ventes_Encaissements!$B$6:$B$3005)-ROW(Ventes_Encaissements!$B$6)+1)/((Ventes_Encaissements!$E$6:$E$3005=$B1380)*(Ventes_Encaissements!$J$6:$J$3005=$G1380)*(Ventes_Encaissements!$C$6:$C$3005&gt;=$C1380-3)*(Ventes_Encaissements!$C$6:$C$3005&lt;=$C1380+3)),1)))</f>
        <v/>
      </c>
      <c r="K1380" s="6" t="n"/>
    </row>
    <row r="1381">
      <c r="A1381" s="6" t="n"/>
      <c r="B1381" s="6" t="n"/>
      <c r="C1381" s="19" t="n"/>
      <c r="D1381" s="19" t="n"/>
      <c r="E1381" s="6" t="n"/>
      <c r="F1381" s="20" t="n"/>
      <c r="G1381" s="9">
        <f>IF($F1381="","",IF($F1381&gt;0,ROUND($F1381,2),""))</f>
        <v/>
      </c>
      <c r="H1381" s="12">
        <f>IF(OR($B1381="",$C1381="",$G1381=""),"",COUNTIFS(Ventes_Encaissements!$E$6:$E$3005,$B1381,Ventes_Encaissements!$J$6:$J$3005,$G1381,Ventes_Encaissements!$C$6:$C$3005,"&gt;="&amp;($C1381-3),Ventes_Encaissements!$C$6:$C$3005,"&lt;="&amp;($C1381+3)))</f>
        <v/>
      </c>
      <c r="I1381" s="12">
        <f>IF($H1381="","",IF($H1381=0,"Non trouvé",IF($H1381=1,"Match","À vérifier")))</f>
        <v/>
      </c>
      <c r="J1381" s="21">
        <f>IF($I1381&lt;&gt;"Match","",INDEX(Ventes_Encaissements!$B$6:$B$3005,_xludf.AGGREGATE(15,6,(ROW(Ventes_Encaissements!$B$6:$B$3005)-ROW(Ventes_Encaissements!$B$6)+1)/((Ventes_Encaissements!$E$6:$E$3005=$B1381)*(Ventes_Encaissements!$J$6:$J$3005=$G1381)*(Ventes_Encaissements!$C$6:$C$3005&gt;=$C1381-3)*(Ventes_Encaissements!$C$6:$C$3005&lt;=$C1381+3)),1)))</f>
        <v/>
      </c>
      <c r="K1381" s="6" t="n"/>
    </row>
    <row r="1382">
      <c r="A1382" s="6" t="n"/>
      <c r="B1382" s="6" t="n"/>
      <c r="C1382" s="19" t="n"/>
      <c r="D1382" s="19" t="n"/>
      <c r="E1382" s="6" t="n"/>
      <c r="F1382" s="20" t="n"/>
      <c r="G1382" s="9">
        <f>IF($F1382="","",IF($F1382&gt;0,ROUND($F1382,2),""))</f>
        <v/>
      </c>
      <c r="H1382" s="12">
        <f>IF(OR($B1382="",$C1382="",$G1382=""),"",COUNTIFS(Ventes_Encaissements!$E$6:$E$3005,$B1382,Ventes_Encaissements!$J$6:$J$3005,$G1382,Ventes_Encaissements!$C$6:$C$3005,"&gt;="&amp;($C1382-3),Ventes_Encaissements!$C$6:$C$3005,"&lt;="&amp;($C1382+3)))</f>
        <v/>
      </c>
      <c r="I1382" s="12">
        <f>IF($H1382="","",IF($H1382=0,"Non trouvé",IF($H1382=1,"Match","À vérifier")))</f>
        <v/>
      </c>
      <c r="J1382" s="21">
        <f>IF($I1382&lt;&gt;"Match","",INDEX(Ventes_Encaissements!$B$6:$B$3005,_xludf.AGGREGATE(15,6,(ROW(Ventes_Encaissements!$B$6:$B$3005)-ROW(Ventes_Encaissements!$B$6)+1)/((Ventes_Encaissements!$E$6:$E$3005=$B1382)*(Ventes_Encaissements!$J$6:$J$3005=$G1382)*(Ventes_Encaissements!$C$6:$C$3005&gt;=$C1382-3)*(Ventes_Encaissements!$C$6:$C$3005&lt;=$C1382+3)),1)))</f>
        <v/>
      </c>
      <c r="K1382" s="6" t="n"/>
    </row>
    <row r="1383">
      <c r="A1383" s="6" t="n"/>
      <c r="B1383" s="6" t="n"/>
      <c r="C1383" s="19" t="n"/>
      <c r="D1383" s="19" t="n"/>
      <c r="E1383" s="6" t="n"/>
      <c r="F1383" s="20" t="n"/>
      <c r="G1383" s="9">
        <f>IF($F1383="","",IF($F1383&gt;0,ROUND($F1383,2),""))</f>
        <v/>
      </c>
      <c r="H1383" s="12">
        <f>IF(OR($B1383="",$C1383="",$G1383=""),"",COUNTIFS(Ventes_Encaissements!$E$6:$E$3005,$B1383,Ventes_Encaissements!$J$6:$J$3005,$G1383,Ventes_Encaissements!$C$6:$C$3005,"&gt;="&amp;($C1383-3),Ventes_Encaissements!$C$6:$C$3005,"&lt;="&amp;($C1383+3)))</f>
        <v/>
      </c>
      <c r="I1383" s="12">
        <f>IF($H1383="","",IF($H1383=0,"Non trouvé",IF($H1383=1,"Match","À vérifier")))</f>
        <v/>
      </c>
      <c r="J1383" s="21">
        <f>IF($I1383&lt;&gt;"Match","",INDEX(Ventes_Encaissements!$B$6:$B$3005,_xludf.AGGREGATE(15,6,(ROW(Ventes_Encaissements!$B$6:$B$3005)-ROW(Ventes_Encaissements!$B$6)+1)/((Ventes_Encaissements!$E$6:$E$3005=$B1383)*(Ventes_Encaissements!$J$6:$J$3005=$G1383)*(Ventes_Encaissements!$C$6:$C$3005&gt;=$C1383-3)*(Ventes_Encaissements!$C$6:$C$3005&lt;=$C1383+3)),1)))</f>
        <v/>
      </c>
      <c r="K1383" s="6" t="n"/>
    </row>
    <row r="1384">
      <c r="A1384" s="6" t="n"/>
      <c r="B1384" s="6" t="n"/>
      <c r="C1384" s="19" t="n"/>
      <c r="D1384" s="19" t="n"/>
      <c r="E1384" s="6" t="n"/>
      <c r="F1384" s="20" t="n"/>
      <c r="G1384" s="9">
        <f>IF($F1384="","",IF($F1384&gt;0,ROUND($F1384,2),""))</f>
        <v/>
      </c>
      <c r="H1384" s="12">
        <f>IF(OR($B1384="",$C1384="",$G1384=""),"",COUNTIFS(Ventes_Encaissements!$E$6:$E$3005,$B1384,Ventes_Encaissements!$J$6:$J$3005,$G1384,Ventes_Encaissements!$C$6:$C$3005,"&gt;="&amp;($C1384-3),Ventes_Encaissements!$C$6:$C$3005,"&lt;="&amp;($C1384+3)))</f>
        <v/>
      </c>
      <c r="I1384" s="12">
        <f>IF($H1384="","",IF($H1384=0,"Non trouvé",IF($H1384=1,"Match","À vérifier")))</f>
        <v/>
      </c>
      <c r="J1384" s="21">
        <f>IF($I1384&lt;&gt;"Match","",INDEX(Ventes_Encaissements!$B$6:$B$3005,_xludf.AGGREGATE(15,6,(ROW(Ventes_Encaissements!$B$6:$B$3005)-ROW(Ventes_Encaissements!$B$6)+1)/((Ventes_Encaissements!$E$6:$E$3005=$B1384)*(Ventes_Encaissements!$J$6:$J$3005=$G1384)*(Ventes_Encaissements!$C$6:$C$3005&gt;=$C1384-3)*(Ventes_Encaissements!$C$6:$C$3005&lt;=$C1384+3)),1)))</f>
        <v/>
      </c>
      <c r="K1384" s="6" t="n"/>
    </row>
    <row r="1385">
      <c r="A1385" s="6" t="n"/>
      <c r="B1385" s="6" t="n"/>
      <c r="C1385" s="19" t="n"/>
      <c r="D1385" s="19" t="n"/>
      <c r="E1385" s="6" t="n"/>
      <c r="F1385" s="20" t="n"/>
      <c r="G1385" s="9">
        <f>IF($F1385="","",IF($F1385&gt;0,ROUND($F1385,2),""))</f>
        <v/>
      </c>
      <c r="H1385" s="12">
        <f>IF(OR($B1385="",$C1385="",$G1385=""),"",COUNTIFS(Ventes_Encaissements!$E$6:$E$3005,$B1385,Ventes_Encaissements!$J$6:$J$3005,$G1385,Ventes_Encaissements!$C$6:$C$3005,"&gt;="&amp;($C1385-3),Ventes_Encaissements!$C$6:$C$3005,"&lt;="&amp;($C1385+3)))</f>
        <v/>
      </c>
      <c r="I1385" s="12">
        <f>IF($H1385="","",IF($H1385=0,"Non trouvé",IF($H1385=1,"Match","À vérifier")))</f>
        <v/>
      </c>
      <c r="J1385" s="21">
        <f>IF($I1385&lt;&gt;"Match","",INDEX(Ventes_Encaissements!$B$6:$B$3005,_xludf.AGGREGATE(15,6,(ROW(Ventes_Encaissements!$B$6:$B$3005)-ROW(Ventes_Encaissements!$B$6)+1)/((Ventes_Encaissements!$E$6:$E$3005=$B1385)*(Ventes_Encaissements!$J$6:$J$3005=$G1385)*(Ventes_Encaissements!$C$6:$C$3005&gt;=$C1385-3)*(Ventes_Encaissements!$C$6:$C$3005&lt;=$C1385+3)),1)))</f>
        <v/>
      </c>
      <c r="K1385" s="6" t="n"/>
    </row>
    <row r="1386">
      <c r="A1386" s="6" t="n"/>
      <c r="B1386" s="6" t="n"/>
      <c r="C1386" s="19" t="n"/>
      <c r="D1386" s="19" t="n"/>
      <c r="E1386" s="6" t="n"/>
      <c r="F1386" s="20" t="n"/>
      <c r="G1386" s="9">
        <f>IF($F1386="","",IF($F1386&gt;0,ROUND($F1386,2),""))</f>
        <v/>
      </c>
      <c r="H1386" s="12">
        <f>IF(OR($B1386="",$C1386="",$G1386=""),"",COUNTIFS(Ventes_Encaissements!$E$6:$E$3005,$B1386,Ventes_Encaissements!$J$6:$J$3005,$G1386,Ventes_Encaissements!$C$6:$C$3005,"&gt;="&amp;($C1386-3),Ventes_Encaissements!$C$6:$C$3005,"&lt;="&amp;($C1386+3)))</f>
        <v/>
      </c>
      <c r="I1386" s="12">
        <f>IF($H1386="","",IF($H1386=0,"Non trouvé",IF($H1386=1,"Match","À vérifier")))</f>
        <v/>
      </c>
      <c r="J1386" s="21">
        <f>IF($I1386&lt;&gt;"Match","",INDEX(Ventes_Encaissements!$B$6:$B$3005,_xludf.AGGREGATE(15,6,(ROW(Ventes_Encaissements!$B$6:$B$3005)-ROW(Ventes_Encaissements!$B$6)+1)/((Ventes_Encaissements!$E$6:$E$3005=$B1386)*(Ventes_Encaissements!$J$6:$J$3005=$G1386)*(Ventes_Encaissements!$C$6:$C$3005&gt;=$C1386-3)*(Ventes_Encaissements!$C$6:$C$3005&lt;=$C1386+3)),1)))</f>
        <v/>
      </c>
      <c r="K1386" s="6" t="n"/>
    </row>
    <row r="1387">
      <c r="A1387" s="6" t="n"/>
      <c r="B1387" s="6" t="n"/>
      <c r="C1387" s="19" t="n"/>
      <c r="D1387" s="19" t="n"/>
      <c r="E1387" s="6" t="n"/>
      <c r="F1387" s="20" t="n"/>
      <c r="G1387" s="9">
        <f>IF($F1387="","",IF($F1387&gt;0,ROUND($F1387,2),""))</f>
        <v/>
      </c>
      <c r="H1387" s="12">
        <f>IF(OR($B1387="",$C1387="",$G1387=""),"",COUNTIFS(Ventes_Encaissements!$E$6:$E$3005,$B1387,Ventes_Encaissements!$J$6:$J$3005,$G1387,Ventes_Encaissements!$C$6:$C$3005,"&gt;="&amp;($C1387-3),Ventes_Encaissements!$C$6:$C$3005,"&lt;="&amp;($C1387+3)))</f>
        <v/>
      </c>
      <c r="I1387" s="12">
        <f>IF($H1387="","",IF($H1387=0,"Non trouvé",IF($H1387=1,"Match","À vérifier")))</f>
        <v/>
      </c>
      <c r="J1387" s="21">
        <f>IF($I1387&lt;&gt;"Match","",INDEX(Ventes_Encaissements!$B$6:$B$3005,_xludf.AGGREGATE(15,6,(ROW(Ventes_Encaissements!$B$6:$B$3005)-ROW(Ventes_Encaissements!$B$6)+1)/((Ventes_Encaissements!$E$6:$E$3005=$B1387)*(Ventes_Encaissements!$J$6:$J$3005=$G1387)*(Ventes_Encaissements!$C$6:$C$3005&gt;=$C1387-3)*(Ventes_Encaissements!$C$6:$C$3005&lt;=$C1387+3)),1)))</f>
        <v/>
      </c>
      <c r="K1387" s="6" t="n"/>
    </row>
    <row r="1388">
      <c r="A1388" s="6" t="n"/>
      <c r="B1388" s="6" t="n"/>
      <c r="C1388" s="19" t="n"/>
      <c r="D1388" s="19" t="n"/>
      <c r="E1388" s="6" t="n"/>
      <c r="F1388" s="20" t="n"/>
      <c r="G1388" s="9">
        <f>IF($F1388="","",IF($F1388&gt;0,ROUND($F1388,2),""))</f>
        <v/>
      </c>
      <c r="H1388" s="12">
        <f>IF(OR($B1388="",$C1388="",$G1388=""),"",COUNTIFS(Ventes_Encaissements!$E$6:$E$3005,$B1388,Ventes_Encaissements!$J$6:$J$3005,$G1388,Ventes_Encaissements!$C$6:$C$3005,"&gt;="&amp;($C1388-3),Ventes_Encaissements!$C$6:$C$3005,"&lt;="&amp;($C1388+3)))</f>
        <v/>
      </c>
      <c r="I1388" s="12">
        <f>IF($H1388="","",IF($H1388=0,"Non trouvé",IF($H1388=1,"Match","À vérifier")))</f>
        <v/>
      </c>
      <c r="J1388" s="21">
        <f>IF($I1388&lt;&gt;"Match","",INDEX(Ventes_Encaissements!$B$6:$B$3005,_xludf.AGGREGATE(15,6,(ROW(Ventes_Encaissements!$B$6:$B$3005)-ROW(Ventes_Encaissements!$B$6)+1)/((Ventes_Encaissements!$E$6:$E$3005=$B1388)*(Ventes_Encaissements!$J$6:$J$3005=$G1388)*(Ventes_Encaissements!$C$6:$C$3005&gt;=$C1388-3)*(Ventes_Encaissements!$C$6:$C$3005&lt;=$C1388+3)),1)))</f>
        <v/>
      </c>
      <c r="K1388" s="6" t="n"/>
    </row>
    <row r="1389">
      <c r="A1389" s="6" t="n"/>
      <c r="B1389" s="6" t="n"/>
      <c r="C1389" s="19" t="n"/>
      <c r="D1389" s="19" t="n"/>
      <c r="E1389" s="6" t="n"/>
      <c r="F1389" s="20" t="n"/>
      <c r="G1389" s="9">
        <f>IF($F1389="","",IF($F1389&gt;0,ROUND($F1389,2),""))</f>
        <v/>
      </c>
      <c r="H1389" s="12">
        <f>IF(OR($B1389="",$C1389="",$G1389=""),"",COUNTIFS(Ventes_Encaissements!$E$6:$E$3005,$B1389,Ventes_Encaissements!$J$6:$J$3005,$G1389,Ventes_Encaissements!$C$6:$C$3005,"&gt;="&amp;($C1389-3),Ventes_Encaissements!$C$6:$C$3005,"&lt;="&amp;($C1389+3)))</f>
        <v/>
      </c>
      <c r="I1389" s="12">
        <f>IF($H1389="","",IF($H1389=0,"Non trouvé",IF($H1389=1,"Match","À vérifier")))</f>
        <v/>
      </c>
      <c r="J1389" s="21">
        <f>IF($I1389&lt;&gt;"Match","",INDEX(Ventes_Encaissements!$B$6:$B$3005,_xludf.AGGREGATE(15,6,(ROW(Ventes_Encaissements!$B$6:$B$3005)-ROW(Ventes_Encaissements!$B$6)+1)/((Ventes_Encaissements!$E$6:$E$3005=$B1389)*(Ventes_Encaissements!$J$6:$J$3005=$G1389)*(Ventes_Encaissements!$C$6:$C$3005&gt;=$C1389-3)*(Ventes_Encaissements!$C$6:$C$3005&lt;=$C1389+3)),1)))</f>
        <v/>
      </c>
      <c r="K1389" s="6" t="n"/>
    </row>
    <row r="1390">
      <c r="A1390" s="6" t="n"/>
      <c r="B1390" s="6" t="n"/>
      <c r="C1390" s="19" t="n"/>
      <c r="D1390" s="19" t="n"/>
      <c r="E1390" s="6" t="n"/>
      <c r="F1390" s="20" t="n"/>
      <c r="G1390" s="9">
        <f>IF($F1390="","",IF($F1390&gt;0,ROUND($F1390,2),""))</f>
        <v/>
      </c>
      <c r="H1390" s="12">
        <f>IF(OR($B1390="",$C1390="",$G1390=""),"",COUNTIFS(Ventes_Encaissements!$E$6:$E$3005,$B1390,Ventes_Encaissements!$J$6:$J$3005,$G1390,Ventes_Encaissements!$C$6:$C$3005,"&gt;="&amp;($C1390-3),Ventes_Encaissements!$C$6:$C$3005,"&lt;="&amp;($C1390+3)))</f>
        <v/>
      </c>
      <c r="I1390" s="12">
        <f>IF($H1390="","",IF($H1390=0,"Non trouvé",IF($H1390=1,"Match","À vérifier")))</f>
        <v/>
      </c>
      <c r="J1390" s="21">
        <f>IF($I1390&lt;&gt;"Match","",INDEX(Ventes_Encaissements!$B$6:$B$3005,_xludf.AGGREGATE(15,6,(ROW(Ventes_Encaissements!$B$6:$B$3005)-ROW(Ventes_Encaissements!$B$6)+1)/((Ventes_Encaissements!$E$6:$E$3005=$B1390)*(Ventes_Encaissements!$J$6:$J$3005=$G1390)*(Ventes_Encaissements!$C$6:$C$3005&gt;=$C1390-3)*(Ventes_Encaissements!$C$6:$C$3005&lt;=$C1390+3)),1)))</f>
        <v/>
      </c>
      <c r="K1390" s="6" t="n"/>
    </row>
    <row r="1391">
      <c r="A1391" s="6" t="n"/>
      <c r="B1391" s="6" t="n"/>
      <c r="C1391" s="19" t="n"/>
      <c r="D1391" s="19" t="n"/>
      <c r="E1391" s="6" t="n"/>
      <c r="F1391" s="20" t="n"/>
      <c r="G1391" s="9">
        <f>IF($F1391="","",IF($F1391&gt;0,ROUND($F1391,2),""))</f>
        <v/>
      </c>
      <c r="H1391" s="12">
        <f>IF(OR($B1391="",$C1391="",$G1391=""),"",COUNTIFS(Ventes_Encaissements!$E$6:$E$3005,$B1391,Ventes_Encaissements!$J$6:$J$3005,$G1391,Ventes_Encaissements!$C$6:$C$3005,"&gt;="&amp;($C1391-3),Ventes_Encaissements!$C$6:$C$3005,"&lt;="&amp;($C1391+3)))</f>
        <v/>
      </c>
      <c r="I1391" s="12">
        <f>IF($H1391="","",IF($H1391=0,"Non trouvé",IF($H1391=1,"Match","À vérifier")))</f>
        <v/>
      </c>
      <c r="J1391" s="21">
        <f>IF($I1391&lt;&gt;"Match","",INDEX(Ventes_Encaissements!$B$6:$B$3005,_xludf.AGGREGATE(15,6,(ROW(Ventes_Encaissements!$B$6:$B$3005)-ROW(Ventes_Encaissements!$B$6)+1)/((Ventes_Encaissements!$E$6:$E$3005=$B1391)*(Ventes_Encaissements!$J$6:$J$3005=$G1391)*(Ventes_Encaissements!$C$6:$C$3005&gt;=$C1391-3)*(Ventes_Encaissements!$C$6:$C$3005&lt;=$C1391+3)),1)))</f>
        <v/>
      </c>
      <c r="K1391" s="6" t="n"/>
    </row>
    <row r="1392">
      <c r="A1392" s="6" t="n"/>
      <c r="B1392" s="6" t="n"/>
      <c r="C1392" s="19" t="n"/>
      <c r="D1392" s="19" t="n"/>
      <c r="E1392" s="6" t="n"/>
      <c r="F1392" s="20" t="n"/>
      <c r="G1392" s="9">
        <f>IF($F1392="","",IF($F1392&gt;0,ROUND($F1392,2),""))</f>
        <v/>
      </c>
      <c r="H1392" s="12">
        <f>IF(OR($B1392="",$C1392="",$G1392=""),"",COUNTIFS(Ventes_Encaissements!$E$6:$E$3005,$B1392,Ventes_Encaissements!$J$6:$J$3005,$G1392,Ventes_Encaissements!$C$6:$C$3005,"&gt;="&amp;($C1392-3),Ventes_Encaissements!$C$6:$C$3005,"&lt;="&amp;($C1392+3)))</f>
        <v/>
      </c>
      <c r="I1392" s="12">
        <f>IF($H1392="","",IF($H1392=0,"Non trouvé",IF($H1392=1,"Match","À vérifier")))</f>
        <v/>
      </c>
      <c r="J1392" s="21">
        <f>IF($I1392&lt;&gt;"Match","",INDEX(Ventes_Encaissements!$B$6:$B$3005,_xludf.AGGREGATE(15,6,(ROW(Ventes_Encaissements!$B$6:$B$3005)-ROW(Ventes_Encaissements!$B$6)+1)/((Ventes_Encaissements!$E$6:$E$3005=$B1392)*(Ventes_Encaissements!$J$6:$J$3005=$G1392)*(Ventes_Encaissements!$C$6:$C$3005&gt;=$C1392-3)*(Ventes_Encaissements!$C$6:$C$3005&lt;=$C1392+3)),1)))</f>
        <v/>
      </c>
      <c r="K1392" s="6" t="n"/>
    </row>
    <row r="1393">
      <c r="A1393" s="6" t="n"/>
      <c r="B1393" s="6" t="n"/>
      <c r="C1393" s="19" t="n"/>
      <c r="D1393" s="19" t="n"/>
      <c r="E1393" s="6" t="n"/>
      <c r="F1393" s="20" t="n"/>
      <c r="G1393" s="9">
        <f>IF($F1393="","",IF($F1393&gt;0,ROUND($F1393,2),""))</f>
        <v/>
      </c>
      <c r="H1393" s="12">
        <f>IF(OR($B1393="",$C1393="",$G1393=""),"",COUNTIFS(Ventes_Encaissements!$E$6:$E$3005,$B1393,Ventes_Encaissements!$J$6:$J$3005,$G1393,Ventes_Encaissements!$C$6:$C$3005,"&gt;="&amp;($C1393-3),Ventes_Encaissements!$C$6:$C$3005,"&lt;="&amp;($C1393+3)))</f>
        <v/>
      </c>
      <c r="I1393" s="12">
        <f>IF($H1393="","",IF($H1393=0,"Non trouvé",IF($H1393=1,"Match","À vérifier")))</f>
        <v/>
      </c>
      <c r="J1393" s="21">
        <f>IF($I1393&lt;&gt;"Match","",INDEX(Ventes_Encaissements!$B$6:$B$3005,_xludf.AGGREGATE(15,6,(ROW(Ventes_Encaissements!$B$6:$B$3005)-ROW(Ventes_Encaissements!$B$6)+1)/((Ventes_Encaissements!$E$6:$E$3005=$B1393)*(Ventes_Encaissements!$J$6:$J$3005=$G1393)*(Ventes_Encaissements!$C$6:$C$3005&gt;=$C1393-3)*(Ventes_Encaissements!$C$6:$C$3005&lt;=$C1393+3)),1)))</f>
        <v/>
      </c>
      <c r="K1393" s="6" t="n"/>
    </row>
    <row r="1394">
      <c r="A1394" s="6" t="n"/>
      <c r="B1394" s="6" t="n"/>
      <c r="C1394" s="19" t="n"/>
      <c r="D1394" s="19" t="n"/>
      <c r="E1394" s="6" t="n"/>
      <c r="F1394" s="20" t="n"/>
      <c r="G1394" s="9">
        <f>IF($F1394="","",IF($F1394&gt;0,ROUND($F1394,2),""))</f>
        <v/>
      </c>
      <c r="H1394" s="12">
        <f>IF(OR($B1394="",$C1394="",$G1394=""),"",COUNTIFS(Ventes_Encaissements!$E$6:$E$3005,$B1394,Ventes_Encaissements!$J$6:$J$3005,$G1394,Ventes_Encaissements!$C$6:$C$3005,"&gt;="&amp;($C1394-3),Ventes_Encaissements!$C$6:$C$3005,"&lt;="&amp;($C1394+3)))</f>
        <v/>
      </c>
      <c r="I1394" s="12">
        <f>IF($H1394="","",IF($H1394=0,"Non trouvé",IF($H1394=1,"Match","À vérifier")))</f>
        <v/>
      </c>
      <c r="J1394" s="21">
        <f>IF($I1394&lt;&gt;"Match","",INDEX(Ventes_Encaissements!$B$6:$B$3005,_xludf.AGGREGATE(15,6,(ROW(Ventes_Encaissements!$B$6:$B$3005)-ROW(Ventes_Encaissements!$B$6)+1)/((Ventes_Encaissements!$E$6:$E$3005=$B1394)*(Ventes_Encaissements!$J$6:$J$3005=$G1394)*(Ventes_Encaissements!$C$6:$C$3005&gt;=$C1394-3)*(Ventes_Encaissements!$C$6:$C$3005&lt;=$C1394+3)),1)))</f>
        <v/>
      </c>
      <c r="K1394" s="6" t="n"/>
    </row>
    <row r="1395">
      <c r="A1395" s="6" t="n"/>
      <c r="B1395" s="6" t="n"/>
      <c r="C1395" s="19" t="n"/>
      <c r="D1395" s="19" t="n"/>
      <c r="E1395" s="6" t="n"/>
      <c r="F1395" s="20" t="n"/>
      <c r="G1395" s="9">
        <f>IF($F1395="","",IF($F1395&gt;0,ROUND($F1395,2),""))</f>
        <v/>
      </c>
      <c r="H1395" s="12">
        <f>IF(OR($B1395="",$C1395="",$G1395=""),"",COUNTIFS(Ventes_Encaissements!$E$6:$E$3005,$B1395,Ventes_Encaissements!$J$6:$J$3005,$G1395,Ventes_Encaissements!$C$6:$C$3005,"&gt;="&amp;($C1395-3),Ventes_Encaissements!$C$6:$C$3005,"&lt;="&amp;($C1395+3)))</f>
        <v/>
      </c>
      <c r="I1395" s="12">
        <f>IF($H1395="","",IF($H1395=0,"Non trouvé",IF($H1395=1,"Match","À vérifier")))</f>
        <v/>
      </c>
      <c r="J1395" s="21">
        <f>IF($I1395&lt;&gt;"Match","",INDEX(Ventes_Encaissements!$B$6:$B$3005,_xludf.AGGREGATE(15,6,(ROW(Ventes_Encaissements!$B$6:$B$3005)-ROW(Ventes_Encaissements!$B$6)+1)/((Ventes_Encaissements!$E$6:$E$3005=$B1395)*(Ventes_Encaissements!$J$6:$J$3005=$G1395)*(Ventes_Encaissements!$C$6:$C$3005&gt;=$C1395-3)*(Ventes_Encaissements!$C$6:$C$3005&lt;=$C1395+3)),1)))</f>
        <v/>
      </c>
      <c r="K1395" s="6" t="n"/>
    </row>
    <row r="1396">
      <c r="A1396" s="6" t="n"/>
      <c r="B1396" s="6" t="n"/>
      <c r="C1396" s="19" t="n"/>
      <c r="D1396" s="19" t="n"/>
      <c r="E1396" s="6" t="n"/>
      <c r="F1396" s="20" t="n"/>
      <c r="G1396" s="9">
        <f>IF($F1396="","",IF($F1396&gt;0,ROUND($F1396,2),""))</f>
        <v/>
      </c>
      <c r="H1396" s="12">
        <f>IF(OR($B1396="",$C1396="",$G1396=""),"",COUNTIFS(Ventes_Encaissements!$E$6:$E$3005,$B1396,Ventes_Encaissements!$J$6:$J$3005,$G1396,Ventes_Encaissements!$C$6:$C$3005,"&gt;="&amp;($C1396-3),Ventes_Encaissements!$C$6:$C$3005,"&lt;="&amp;($C1396+3)))</f>
        <v/>
      </c>
      <c r="I1396" s="12">
        <f>IF($H1396="","",IF($H1396=0,"Non trouvé",IF($H1396=1,"Match","À vérifier")))</f>
        <v/>
      </c>
      <c r="J1396" s="21">
        <f>IF($I1396&lt;&gt;"Match","",INDEX(Ventes_Encaissements!$B$6:$B$3005,_xludf.AGGREGATE(15,6,(ROW(Ventes_Encaissements!$B$6:$B$3005)-ROW(Ventes_Encaissements!$B$6)+1)/((Ventes_Encaissements!$E$6:$E$3005=$B1396)*(Ventes_Encaissements!$J$6:$J$3005=$G1396)*(Ventes_Encaissements!$C$6:$C$3005&gt;=$C1396-3)*(Ventes_Encaissements!$C$6:$C$3005&lt;=$C1396+3)),1)))</f>
        <v/>
      </c>
      <c r="K1396" s="6" t="n"/>
    </row>
    <row r="1397">
      <c r="A1397" s="6" t="n"/>
      <c r="B1397" s="6" t="n"/>
      <c r="C1397" s="19" t="n"/>
      <c r="D1397" s="19" t="n"/>
      <c r="E1397" s="6" t="n"/>
      <c r="F1397" s="20" t="n"/>
      <c r="G1397" s="9">
        <f>IF($F1397="","",IF($F1397&gt;0,ROUND($F1397,2),""))</f>
        <v/>
      </c>
      <c r="H1397" s="12">
        <f>IF(OR($B1397="",$C1397="",$G1397=""),"",COUNTIFS(Ventes_Encaissements!$E$6:$E$3005,$B1397,Ventes_Encaissements!$J$6:$J$3005,$G1397,Ventes_Encaissements!$C$6:$C$3005,"&gt;="&amp;($C1397-3),Ventes_Encaissements!$C$6:$C$3005,"&lt;="&amp;($C1397+3)))</f>
        <v/>
      </c>
      <c r="I1397" s="12">
        <f>IF($H1397="","",IF($H1397=0,"Non trouvé",IF($H1397=1,"Match","À vérifier")))</f>
        <v/>
      </c>
      <c r="J1397" s="21">
        <f>IF($I1397&lt;&gt;"Match","",INDEX(Ventes_Encaissements!$B$6:$B$3005,_xludf.AGGREGATE(15,6,(ROW(Ventes_Encaissements!$B$6:$B$3005)-ROW(Ventes_Encaissements!$B$6)+1)/((Ventes_Encaissements!$E$6:$E$3005=$B1397)*(Ventes_Encaissements!$J$6:$J$3005=$G1397)*(Ventes_Encaissements!$C$6:$C$3005&gt;=$C1397-3)*(Ventes_Encaissements!$C$6:$C$3005&lt;=$C1397+3)),1)))</f>
        <v/>
      </c>
      <c r="K1397" s="6" t="n"/>
    </row>
    <row r="1398">
      <c r="A1398" s="6" t="n"/>
      <c r="B1398" s="6" t="n"/>
      <c r="C1398" s="19" t="n"/>
      <c r="D1398" s="19" t="n"/>
      <c r="E1398" s="6" t="n"/>
      <c r="F1398" s="20" t="n"/>
      <c r="G1398" s="9">
        <f>IF($F1398="","",IF($F1398&gt;0,ROUND($F1398,2),""))</f>
        <v/>
      </c>
      <c r="H1398" s="12">
        <f>IF(OR($B1398="",$C1398="",$G1398=""),"",COUNTIFS(Ventes_Encaissements!$E$6:$E$3005,$B1398,Ventes_Encaissements!$J$6:$J$3005,$G1398,Ventes_Encaissements!$C$6:$C$3005,"&gt;="&amp;($C1398-3),Ventes_Encaissements!$C$6:$C$3005,"&lt;="&amp;($C1398+3)))</f>
        <v/>
      </c>
      <c r="I1398" s="12">
        <f>IF($H1398="","",IF($H1398=0,"Non trouvé",IF($H1398=1,"Match","À vérifier")))</f>
        <v/>
      </c>
      <c r="J1398" s="21">
        <f>IF($I1398&lt;&gt;"Match","",INDEX(Ventes_Encaissements!$B$6:$B$3005,_xludf.AGGREGATE(15,6,(ROW(Ventes_Encaissements!$B$6:$B$3005)-ROW(Ventes_Encaissements!$B$6)+1)/((Ventes_Encaissements!$E$6:$E$3005=$B1398)*(Ventes_Encaissements!$J$6:$J$3005=$G1398)*(Ventes_Encaissements!$C$6:$C$3005&gt;=$C1398-3)*(Ventes_Encaissements!$C$6:$C$3005&lt;=$C1398+3)),1)))</f>
        <v/>
      </c>
      <c r="K1398" s="6" t="n"/>
    </row>
    <row r="1399">
      <c r="A1399" s="6" t="n"/>
      <c r="B1399" s="6" t="n"/>
      <c r="C1399" s="19" t="n"/>
      <c r="D1399" s="19" t="n"/>
      <c r="E1399" s="6" t="n"/>
      <c r="F1399" s="20" t="n"/>
      <c r="G1399" s="9">
        <f>IF($F1399="","",IF($F1399&gt;0,ROUND($F1399,2),""))</f>
        <v/>
      </c>
      <c r="H1399" s="12">
        <f>IF(OR($B1399="",$C1399="",$G1399=""),"",COUNTIFS(Ventes_Encaissements!$E$6:$E$3005,$B1399,Ventes_Encaissements!$J$6:$J$3005,$G1399,Ventes_Encaissements!$C$6:$C$3005,"&gt;="&amp;($C1399-3),Ventes_Encaissements!$C$6:$C$3005,"&lt;="&amp;($C1399+3)))</f>
        <v/>
      </c>
      <c r="I1399" s="12">
        <f>IF($H1399="","",IF($H1399=0,"Non trouvé",IF($H1399=1,"Match","À vérifier")))</f>
        <v/>
      </c>
      <c r="J1399" s="21">
        <f>IF($I1399&lt;&gt;"Match","",INDEX(Ventes_Encaissements!$B$6:$B$3005,_xludf.AGGREGATE(15,6,(ROW(Ventes_Encaissements!$B$6:$B$3005)-ROW(Ventes_Encaissements!$B$6)+1)/((Ventes_Encaissements!$E$6:$E$3005=$B1399)*(Ventes_Encaissements!$J$6:$J$3005=$G1399)*(Ventes_Encaissements!$C$6:$C$3005&gt;=$C1399-3)*(Ventes_Encaissements!$C$6:$C$3005&lt;=$C1399+3)),1)))</f>
        <v/>
      </c>
      <c r="K1399" s="6" t="n"/>
    </row>
    <row r="1400">
      <c r="A1400" s="6" t="n"/>
      <c r="B1400" s="6" t="n"/>
      <c r="C1400" s="19" t="n"/>
      <c r="D1400" s="19" t="n"/>
      <c r="E1400" s="6" t="n"/>
      <c r="F1400" s="20" t="n"/>
      <c r="G1400" s="9">
        <f>IF($F1400="","",IF($F1400&gt;0,ROUND($F1400,2),""))</f>
        <v/>
      </c>
      <c r="H1400" s="12">
        <f>IF(OR($B1400="",$C1400="",$G1400=""),"",COUNTIFS(Ventes_Encaissements!$E$6:$E$3005,$B1400,Ventes_Encaissements!$J$6:$J$3005,$G1400,Ventes_Encaissements!$C$6:$C$3005,"&gt;="&amp;($C1400-3),Ventes_Encaissements!$C$6:$C$3005,"&lt;="&amp;($C1400+3)))</f>
        <v/>
      </c>
      <c r="I1400" s="12">
        <f>IF($H1400="","",IF($H1400=0,"Non trouvé",IF($H1400=1,"Match","À vérifier")))</f>
        <v/>
      </c>
      <c r="J1400" s="21">
        <f>IF($I1400&lt;&gt;"Match","",INDEX(Ventes_Encaissements!$B$6:$B$3005,_xludf.AGGREGATE(15,6,(ROW(Ventes_Encaissements!$B$6:$B$3005)-ROW(Ventes_Encaissements!$B$6)+1)/((Ventes_Encaissements!$E$6:$E$3005=$B1400)*(Ventes_Encaissements!$J$6:$J$3005=$G1400)*(Ventes_Encaissements!$C$6:$C$3005&gt;=$C1400-3)*(Ventes_Encaissements!$C$6:$C$3005&lt;=$C1400+3)),1)))</f>
        <v/>
      </c>
      <c r="K1400" s="6" t="n"/>
    </row>
    <row r="1401">
      <c r="A1401" s="6" t="n"/>
      <c r="B1401" s="6" t="n"/>
      <c r="C1401" s="19" t="n"/>
      <c r="D1401" s="19" t="n"/>
      <c r="E1401" s="6" t="n"/>
      <c r="F1401" s="20" t="n"/>
      <c r="G1401" s="9">
        <f>IF($F1401="","",IF($F1401&gt;0,ROUND($F1401,2),""))</f>
        <v/>
      </c>
      <c r="H1401" s="12">
        <f>IF(OR($B1401="",$C1401="",$G1401=""),"",COUNTIFS(Ventes_Encaissements!$E$6:$E$3005,$B1401,Ventes_Encaissements!$J$6:$J$3005,$G1401,Ventes_Encaissements!$C$6:$C$3005,"&gt;="&amp;($C1401-3),Ventes_Encaissements!$C$6:$C$3005,"&lt;="&amp;($C1401+3)))</f>
        <v/>
      </c>
      <c r="I1401" s="12">
        <f>IF($H1401="","",IF($H1401=0,"Non trouvé",IF($H1401=1,"Match","À vérifier")))</f>
        <v/>
      </c>
      <c r="J1401" s="21">
        <f>IF($I1401&lt;&gt;"Match","",INDEX(Ventes_Encaissements!$B$6:$B$3005,_xludf.AGGREGATE(15,6,(ROW(Ventes_Encaissements!$B$6:$B$3005)-ROW(Ventes_Encaissements!$B$6)+1)/((Ventes_Encaissements!$E$6:$E$3005=$B1401)*(Ventes_Encaissements!$J$6:$J$3005=$G1401)*(Ventes_Encaissements!$C$6:$C$3005&gt;=$C1401-3)*(Ventes_Encaissements!$C$6:$C$3005&lt;=$C1401+3)),1)))</f>
        <v/>
      </c>
      <c r="K1401" s="6" t="n"/>
    </row>
    <row r="1402">
      <c r="A1402" s="6" t="n"/>
      <c r="B1402" s="6" t="n"/>
      <c r="C1402" s="19" t="n"/>
      <c r="D1402" s="19" t="n"/>
      <c r="E1402" s="6" t="n"/>
      <c r="F1402" s="20" t="n"/>
      <c r="G1402" s="9">
        <f>IF($F1402="","",IF($F1402&gt;0,ROUND($F1402,2),""))</f>
        <v/>
      </c>
      <c r="H1402" s="12">
        <f>IF(OR($B1402="",$C1402="",$G1402=""),"",COUNTIFS(Ventes_Encaissements!$E$6:$E$3005,$B1402,Ventes_Encaissements!$J$6:$J$3005,$G1402,Ventes_Encaissements!$C$6:$C$3005,"&gt;="&amp;($C1402-3),Ventes_Encaissements!$C$6:$C$3005,"&lt;="&amp;($C1402+3)))</f>
        <v/>
      </c>
      <c r="I1402" s="12">
        <f>IF($H1402="","",IF($H1402=0,"Non trouvé",IF($H1402=1,"Match","À vérifier")))</f>
        <v/>
      </c>
      <c r="J1402" s="21">
        <f>IF($I1402&lt;&gt;"Match","",INDEX(Ventes_Encaissements!$B$6:$B$3005,_xludf.AGGREGATE(15,6,(ROW(Ventes_Encaissements!$B$6:$B$3005)-ROW(Ventes_Encaissements!$B$6)+1)/((Ventes_Encaissements!$E$6:$E$3005=$B1402)*(Ventes_Encaissements!$J$6:$J$3005=$G1402)*(Ventes_Encaissements!$C$6:$C$3005&gt;=$C1402-3)*(Ventes_Encaissements!$C$6:$C$3005&lt;=$C1402+3)),1)))</f>
        <v/>
      </c>
      <c r="K1402" s="6" t="n"/>
    </row>
    <row r="1403">
      <c r="A1403" s="6" t="n"/>
      <c r="B1403" s="6" t="n"/>
      <c r="C1403" s="19" t="n"/>
      <c r="D1403" s="19" t="n"/>
      <c r="E1403" s="6" t="n"/>
      <c r="F1403" s="20" t="n"/>
      <c r="G1403" s="9">
        <f>IF($F1403="","",IF($F1403&gt;0,ROUND($F1403,2),""))</f>
        <v/>
      </c>
      <c r="H1403" s="12">
        <f>IF(OR($B1403="",$C1403="",$G1403=""),"",COUNTIFS(Ventes_Encaissements!$E$6:$E$3005,$B1403,Ventes_Encaissements!$J$6:$J$3005,$G1403,Ventes_Encaissements!$C$6:$C$3005,"&gt;="&amp;($C1403-3),Ventes_Encaissements!$C$6:$C$3005,"&lt;="&amp;($C1403+3)))</f>
        <v/>
      </c>
      <c r="I1403" s="12">
        <f>IF($H1403="","",IF($H1403=0,"Non trouvé",IF($H1403=1,"Match","À vérifier")))</f>
        <v/>
      </c>
      <c r="J1403" s="21">
        <f>IF($I1403&lt;&gt;"Match","",INDEX(Ventes_Encaissements!$B$6:$B$3005,_xludf.AGGREGATE(15,6,(ROW(Ventes_Encaissements!$B$6:$B$3005)-ROW(Ventes_Encaissements!$B$6)+1)/((Ventes_Encaissements!$E$6:$E$3005=$B1403)*(Ventes_Encaissements!$J$6:$J$3005=$G1403)*(Ventes_Encaissements!$C$6:$C$3005&gt;=$C1403-3)*(Ventes_Encaissements!$C$6:$C$3005&lt;=$C1403+3)),1)))</f>
        <v/>
      </c>
      <c r="K1403" s="6" t="n"/>
    </row>
    <row r="1404">
      <c r="A1404" s="6" t="n"/>
      <c r="B1404" s="6" t="n"/>
      <c r="C1404" s="19" t="n"/>
      <c r="D1404" s="19" t="n"/>
      <c r="E1404" s="6" t="n"/>
      <c r="F1404" s="20" t="n"/>
      <c r="G1404" s="9">
        <f>IF($F1404="","",IF($F1404&gt;0,ROUND($F1404,2),""))</f>
        <v/>
      </c>
      <c r="H1404" s="12">
        <f>IF(OR($B1404="",$C1404="",$G1404=""),"",COUNTIFS(Ventes_Encaissements!$E$6:$E$3005,$B1404,Ventes_Encaissements!$J$6:$J$3005,$G1404,Ventes_Encaissements!$C$6:$C$3005,"&gt;="&amp;($C1404-3),Ventes_Encaissements!$C$6:$C$3005,"&lt;="&amp;($C1404+3)))</f>
        <v/>
      </c>
      <c r="I1404" s="12">
        <f>IF($H1404="","",IF($H1404=0,"Non trouvé",IF($H1404=1,"Match","À vérifier")))</f>
        <v/>
      </c>
      <c r="J1404" s="21">
        <f>IF($I1404&lt;&gt;"Match","",INDEX(Ventes_Encaissements!$B$6:$B$3005,_xludf.AGGREGATE(15,6,(ROW(Ventes_Encaissements!$B$6:$B$3005)-ROW(Ventes_Encaissements!$B$6)+1)/((Ventes_Encaissements!$E$6:$E$3005=$B1404)*(Ventes_Encaissements!$J$6:$J$3005=$G1404)*(Ventes_Encaissements!$C$6:$C$3005&gt;=$C1404-3)*(Ventes_Encaissements!$C$6:$C$3005&lt;=$C1404+3)),1)))</f>
        <v/>
      </c>
      <c r="K1404" s="6" t="n"/>
    </row>
    <row r="1405">
      <c r="A1405" s="6" t="n"/>
      <c r="B1405" s="6" t="n"/>
      <c r="C1405" s="19" t="n"/>
      <c r="D1405" s="19" t="n"/>
      <c r="E1405" s="6" t="n"/>
      <c r="F1405" s="20" t="n"/>
      <c r="G1405" s="9">
        <f>IF($F1405="","",IF($F1405&gt;0,ROUND($F1405,2),""))</f>
        <v/>
      </c>
      <c r="H1405" s="12">
        <f>IF(OR($B1405="",$C1405="",$G1405=""),"",COUNTIFS(Ventes_Encaissements!$E$6:$E$3005,$B1405,Ventes_Encaissements!$J$6:$J$3005,$G1405,Ventes_Encaissements!$C$6:$C$3005,"&gt;="&amp;($C1405-3),Ventes_Encaissements!$C$6:$C$3005,"&lt;="&amp;($C1405+3)))</f>
        <v/>
      </c>
      <c r="I1405" s="12">
        <f>IF($H1405="","",IF($H1405=0,"Non trouvé",IF($H1405=1,"Match","À vérifier")))</f>
        <v/>
      </c>
      <c r="J1405" s="21">
        <f>IF($I1405&lt;&gt;"Match","",INDEX(Ventes_Encaissements!$B$6:$B$3005,_xludf.AGGREGATE(15,6,(ROW(Ventes_Encaissements!$B$6:$B$3005)-ROW(Ventes_Encaissements!$B$6)+1)/((Ventes_Encaissements!$E$6:$E$3005=$B1405)*(Ventes_Encaissements!$J$6:$J$3005=$G1405)*(Ventes_Encaissements!$C$6:$C$3005&gt;=$C1405-3)*(Ventes_Encaissements!$C$6:$C$3005&lt;=$C1405+3)),1)))</f>
        <v/>
      </c>
      <c r="K1405" s="6" t="n"/>
    </row>
    <row r="1406">
      <c r="A1406" s="6" t="n"/>
      <c r="B1406" s="6" t="n"/>
      <c r="C1406" s="19" t="n"/>
      <c r="D1406" s="19" t="n"/>
      <c r="E1406" s="6" t="n"/>
      <c r="F1406" s="20" t="n"/>
      <c r="G1406" s="9">
        <f>IF($F1406="","",IF($F1406&gt;0,ROUND($F1406,2),""))</f>
        <v/>
      </c>
      <c r="H1406" s="12">
        <f>IF(OR($B1406="",$C1406="",$G1406=""),"",COUNTIFS(Ventes_Encaissements!$E$6:$E$3005,$B1406,Ventes_Encaissements!$J$6:$J$3005,$G1406,Ventes_Encaissements!$C$6:$C$3005,"&gt;="&amp;($C1406-3),Ventes_Encaissements!$C$6:$C$3005,"&lt;="&amp;($C1406+3)))</f>
        <v/>
      </c>
      <c r="I1406" s="12">
        <f>IF($H1406="","",IF($H1406=0,"Non trouvé",IF($H1406=1,"Match","À vérifier")))</f>
        <v/>
      </c>
      <c r="J1406" s="21">
        <f>IF($I1406&lt;&gt;"Match","",INDEX(Ventes_Encaissements!$B$6:$B$3005,_xludf.AGGREGATE(15,6,(ROW(Ventes_Encaissements!$B$6:$B$3005)-ROW(Ventes_Encaissements!$B$6)+1)/((Ventes_Encaissements!$E$6:$E$3005=$B1406)*(Ventes_Encaissements!$J$6:$J$3005=$G1406)*(Ventes_Encaissements!$C$6:$C$3005&gt;=$C1406-3)*(Ventes_Encaissements!$C$6:$C$3005&lt;=$C1406+3)),1)))</f>
        <v/>
      </c>
      <c r="K1406" s="6" t="n"/>
    </row>
    <row r="1407">
      <c r="A1407" s="6" t="n"/>
      <c r="B1407" s="6" t="n"/>
      <c r="C1407" s="19" t="n"/>
      <c r="D1407" s="19" t="n"/>
      <c r="E1407" s="6" t="n"/>
      <c r="F1407" s="20" t="n"/>
      <c r="G1407" s="9">
        <f>IF($F1407="","",IF($F1407&gt;0,ROUND($F1407,2),""))</f>
        <v/>
      </c>
      <c r="H1407" s="12">
        <f>IF(OR($B1407="",$C1407="",$G1407=""),"",COUNTIFS(Ventes_Encaissements!$E$6:$E$3005,$B1407,Ventes_Encaissements!$J$6:$J$3005,$G1407,Ventes_Encaissements!$C$6:$C$3005,"&gt;="&amp;($C1407-3),Ventes_Encaissements!$C$6:$C$3005,"&lt;="&amp;($C1407+3)))</f>
        <v/>
      </c>
      <c r="I1407" s="12">
        <f>IF($H1407="","",IF($H1407=0,"Non trouvé",IF($H1407=1,"Match","À vérifier")))</f>
        <v/>
      </c>
      <c r="J1407" s="21">
        <f>IF($I1407&lt;&gt;"Match","",INDEX(Ventes_Encaissements!$B$6:$B$3005,_xludf.AGGREGATE(15,6,(ROW(Ventes_Encaissements!$B$6:$B$3005)-ROW(Ventes_Encaissements!$B$6)+1)/((Ventes_Encaissements!$E$6:$E$3005=$B1407)*(Ventes_Encaissements!$J$6:$J$3005=$G1407)*(Ventes_Encaissements!$C$6:$C$3005&gt;=$C1407-3)*(Ventes_Encaissements!$C$6:$C$3005&lt;=$C1407+3)),1)))</f>
        <v/>
      </c>
      <c r="K1407" s="6" t="n"/>
    </row>
    <row r="1408">
      <c r="A1408" s="6" t="n"/>
      <c r="B1408" s="6" t="n"/>
      <c r="C1408" s="19" t="n"/>
      <c r="D1408" s="19" t="n"/>
      <c r="E1408" s="6" t="n"/>
      <c r="F1408" s="20" t="n"/>
      <c r="G1408" s="9">
        <f>IF($F1408="","",IF($F1408&gt;0,ROUND($F1408,2),""))</f>
        <v/>
      </c>
      <c r="H1408" s="12">
        <f>IF(OR($B1408="",$C1408="",$G1408=""),"",COUNTIFS(Ventes_Encaissements!$E$6:$E$3005,$B1408,Ventes_Encaissements!$J$6:$J$3005,$G1408,Ventes_Encaissements!$C$6:$C$3005,"&gt;="&amp;($C1408-3),Ventes_Encaissements!$C$6:$C$3005,"&lt;="&amp;($C1408+3)))</f>
        <v/>
      </c>
      <c r="I1408" s="12">
        <f>IF($H1408="","",IF($H1408=0,"Non trouvé",IF($H1408=1,"Match","À vérifier")))</f>
        <v/>
      </c>
      <c r="J1408" s="21">
        <f>IF($I1408&lt;&gt;"Match","",INDEX(Ventes_Encaissements!$B$6:$B$3005,_xludf.AGGREGATE(15,6,(ROW(Ventes_Encaissements!$B$6:$B$3005)-ROW(Ventes_Encaissements!$B$6)+1)/((Ventes_Encaissements!$E$6:$E$3005=$B1408)*(Ventes_Encaissements!$J$6:$J$3005=$G1408)*(Ventes_Encaissements!$C$6:$C$3005&gt;=$C1408-3)*(Ventes_Encaissements!$C$6:$C$3005&lt;=$C1408+3)),1)))</f>
        <v/>
      </c>
      <c r="K1408" s="6" t="n"/>
    </row>
    <row r="1409">
      <c r="A1409" s="6" t="n"/>
      <c r="B1409" s="6" t="n"/>
      <c r="C1409" s="19" t="n"/>
      <c r="D1409" s="19" t="n"/>
      <c r="E1409" s="6" t="n"/>
      <c r="F1409" s="20" t="n"/>
      <c r="G1409" s="9">
        <f>IF($F1409="","",IF($F1409&gt;0,ROUND($F1409,2),""))</f>
        <v/>
      </c>
      <c r="H1409" s="12">
        <f>IF(OR($B1409="",$C1409="",$G1409=""),"",COUNTIFS(Ventes_Encaissements!$E$6:$E$3005,$B1409,Ventes_Encaissements!$J$6:$J$3005,$G1409,Ventes_Encaissements!$C$6:$C$3005,"&gt;="&amp;($C1409-3),Ventes_Encaissements!$C$6:$C$3005,"&lt;="&amp;($C1409+3)))</f>
        <v/>
      </c>
      <c r="I1409" s="12">
        <f>IF($H1409="","",IF($H1409=0,"Non trouvé",IF($H1409=1,"Match","À vérifier")))</f>
        <v/>
      </c>
      <c r="J1409" s="21">
        <f>IF($I1409&lt;&gt;"Match","",INDEX(Ventes_Encaissements!$B$6:$B$3005,_xludf.AGGREGATE(15,6,(ROW(Ventes_Encaissements!$B$6:$B$3005)-ROW(Ventes_Encaissements!$B$6)+1)/((Ventes_Encaissements!$E$6:$E$3005=$B1409)*(Ventes_Encaissements!$J$6:$J$3005=$G1409)*(Ventes_Encaissements!$C$6:$C$3005&gt;=$C1409-3)*(Ventes_Encaissements!$C$6:$C$3005&lt;=$C1409+3)),1)))</f>
        <v/>
      </c>
      <c r="K1409" s="6" t="n"/>
    </row>
    <row r="1410">
      <c r="A1410" s="6" t="n"/>
      <c r="B1410" s="6" t="n"/>
      <c r="C1410" s="19" t="n"/>
      <c r="D1410" s="19" t="n"/>
      <c r="E1410" s="6" t="n"/>
      <c r="F1410" s="20" t="n"/>
      <c r="G1410" s="9">
        <f>IF($F1410="","",IF($F1410&gt;0,ROUND($F1410,2),""))</f>
        <v/>
      </c>
      <c r="H1410" s="12">
        <f>IF(OR($B1410="",$C1410="",$G1410=""),"",COUNTIFS(Ventes_Encaissements!$E$6:$E$3005,$B1410,Ventes_Encaissements!$J$6:$J$3005,$G1410,Ventes_Encaissements!$C$6:$C$3005,"&gt;="&amp;($C1410-3),Ventes_Encaissements!$C$6:$C$3005,"&lt;="&amp;($C1410+3)))</f>
        <v/>
      </c>
      <c r="I1410" s="12">
        <f>IF($H1410="","",IF($H1410=0,"Non trouvé",IF($H1410=1,"Match","À vérifier")))</f>
        <v/>
      </c>
      <c r="J1410" s="21">
        <f>IF($I1410&lt;&gt;"Match","",INDEX(Ventes_Encaissements!$B$6:$B$3005,_xludf.AGGREGATE(15,6,(ROW(Ventes_Encaissements!$B$6:$B$3005)-ROW(Ventes_Encaissements!$B$6)+1)/((Ventes_Encaissements!$E$6:$E$3005=$B1410)*(Ventes_Encaissements!$J$6:$J$3005=$G1410)*(Ventes_Encaissements!$C$6:$C$3005&gt;=$C1410-3)*(Ventes_Encaissements!$C$6:$C$3005&lt;=$C1410+3)),1)))</f>
        <v/>
      </c>
      <c r="K1410" s="6" t="n"/>
    </row>
    <row r="1411">
      <c r="A1411" s="6" t="n"/>
      <c r="B1411" s="6" t="n"/>
      <c r="C1411" s="19" t="n"/>
      <c r="D1411" s="19" t="n"/>
      <c r="E1411" s="6" t="n"/>
      <c r="F1411" s="20" t="n"/>
      <c r="G1411" s="9">
        <f>IF($F1411="","",IF($F1411&gt;0,ROUND($F1411,2),""))</f>
        <v/>
      </c>
      <c r="H1411" s="12">
        <f>IF(OR($B1411="",$C1411="",$G1411=""),"",COUNTIFS(Ventes_Encaissements!$E$6:$E$3005,$B1411,Ventes_Encaissements!$J$6:$J$3005,$G1411,Ventes_Encaissements!$C$6:$C$3005,"&gt;="&amp;($C1411-3),Ventes_Encaissements!$C$6:$C$3005,"&lt;="&amp;($C1411+3)))</f>
        <v/>
      </c>
      <c r="I1411" s="12">
        <f>IF($H1411="","",IF($H1411=0,"Non trouvé",IF($H1411=1,"Match","À vérifier")))</f>
        <v/>
      </c>
      <c r="J1411" s="21">
        <f>IF($I1411&lt;&gt;"Match","",INDEX(Ventes_Encaissements!$B$6:$B$3005,_xludf.AGGREGATE(15,6,(ROW(Ventes_Encaissements!$B$6:$B$3005)-ROW(Ventes_Encaissements!$B$6)+1)/((Ventes_Encaissements!$E$6:$E$3005=$B1411)*(Ventes_Encaissements!$J$6:$J$3005=$G1411)*(Ventes_Encaissements!$C$6:$C$3005&gt;=$C1411-3)*(Ventes_Encaissements!$C$6:$C$3005&lt;=$C1411+3)),1)))</f>
        <v/>
      </c>
      <c r="K1411" s="6" t="n"/>
    </row>
    <row r="1412">
      <c r="A1412" s="6" t="n"/>
      <c r="B1412" s="6" t="n"/>
      <c r="C1412" s="19" t="n"/>
      <c r="D1412" s="19" t="n"/>
      <c r="E1412" s="6" t="n"/>
      <c r="F1412" s="20" t="n"/>
      <c r="G1412" s="9">
        <f>IF($F1412="","",IF($F1412&gt;0,ROUND($F1412,2),""))</f>
        <v/>
      </c>
      <c r="H1412" s="12">
        <f>IF(OR($B1412="",$C1412="",$G1412=""),"",COUNTIFS(Ventes_Encaissements!$E$6:$E$3005,$B1412,Ventes_Encaissements!$J$6:$J$3005,$G1412,Ventes_Encaissements!$C$6:$C$3005,"&gt;="&amp;($C1412-3),Ventes_Encaissements!$C$6:$C$3005,"&lt;="&amp;($C1412+3)))</f>
        <v/>
      </c>
      <c r="I1412" s="12">
        <f>IF($H1412="","",IF($H1412=0,"Non trouvé",IF($H1412=1,"Match","À vérifier")))</f>
        <v/>
      </c>
      <c r="J1412" s="21">
        <f>IF($I1412&lt;&gt;"Match","",INDEX(Ventes_Encaissements!$B$6:$B$3005,_xludf.AGGREGATE(15,6,(ROW(Ventes_Encaissements!$B$6:$B$3005)-ROW(Ventes_Encaissements!$B$6)+1)/((Ventes_Encaissements!$E$6:$E$3005=$B1412)*(Ventes_Encaissements!$J$6:$J$3005=$G1412)*(Ventes_Encaissements!$C$6:$C$3005&gt;=$C1412-3)*(Ventes_Encaissements!$C$6:$C$3005&lt;=$C1412+3)),1)))</f>
        <v/>
      </c>
      <c r="K1412" s="6" t="n"/>
    </row>
    <row r="1413">
      <c r="A1413" s="6" t="n"/>
      <c r="B1413" s="6" t="n"/>
      <c r="C1413" s="19" t="n"/>
      <c r="D1413" s="19" t="n"/>
      <c r="E1413" s="6" t="n"/>
      <c r="F1413" s="20" t="n"/>
      <c r="G1413" s="9">
        <f>IF($F1413="","",IF($F1413&gt;0,ROUND($F1413,2),""))</f>
        <v/>
      </c>
      <c r="H1413" s="12">
        <f>IF(OR($B1413="",$C1413="",$G1413=""),"",COUNTIFS(Ventes_Encaissements!$E$6:$E$3005,$B1413,Ventes_Encaissements!$J$6:$J$3005,$G1413,Ventes_Encaissements!$C$6:$C$3005,"&gt;="&amp;($C1413-3),Ventes_Encaissements!$C$6:$C$3005,"&lt;="&amp;($C1413+3)))</f>
        <v/>
      </c>
      <c r="I1413" s="12">
        <f>IF($H1413="","",IF($H1413=0,"Non trouvé",IF($H1413=1,"Match","À vérifier")))</f>
        <v/>
      </c>
      <c r="J1413" s="21">
        <f>IF($I1413&lt;&gt;"Match","",INDEX(Ventes_Encaissements!$B$6:$B$3005,_xludf.AGGREGATE(15,6,(ROW(Ventes_Encaissements!$B$6:$B$3005)-ROW(Ventes_Encaissements!$B$6)+1)/((Ventes_Encaissements!$E$6:$E$3005=$B1413)*(Ventes_Encaissements!$J$6:$J$3005=$G1413)*(Ventes_Encaissements!$C$6:$C$3005&gt;=$C1413-3)*(Ventes_Encaissements!$C$6:$C$3005&lt;=$C1413+3)),1)))</f>
        <v/>
      </c>
      <c r="K1413" s="6" t="n"/>
    </row>
    <row r="1414">
      <c r="A1414" s="6" t="n"/>
      <c r="B1414" s="6" t="n"/>
      <c r="C1414" s="19" t="n"/>
      <c r="D1414" s="19" t="n"/>
      <c r="E1414" s="6" t="n"/>
      <c r="F1414" s="20" t="n"/>
      <c r="G1414" s="9">
        <f>IF($F1414="","",IF($F1414&gt;0,ROUND($F1414,2),""))</f>
        <v/>
      </c>
      <c r="H1414" s="12">
        <f>IF(OR($B1414="",$C1414="",$G1414=""),"",COUNTIFS(Ventes_Encaissements!$E$6:$E$3005,$B1414,Ventes_Encaissements!$J$6:$J$3005,$G1414,Ventes_Encaissements!$C$6:$C$3005,"&gt;="&amp;($C1414-3),Ventes_Encaissements!$C$6:$C$3005,"&lt;="&amp;($C1414+3)))</f>
        <v/>
      </c>
      <c r="I1414" s="12">
        <f>IF($H1414="","",IF($H1414=0,"Non trouvé",IF($H1414=1,"Match","À vérifier")))</f>
        <v/>
      </c>
      <c r="J1414" s="21">
        <f>IF($I1414&lt;&gt;"Match","",INDEX(Ventes_Encaissements!$B$6:$B$3005,_xludf.AGGREGATE(15,6,(ROW(Ventes_Encaissements!$B$6:$B$3005)-ROW(Ventes_Encaissements!$B$6)+1)/((Ventes_Encaissements!$E$6:$E$3005=$B1414)*(Ventes_Encaissements!$J$6:$J$3005=$G1414)*(Ventes_Encaissements!$C$6:$C$3005&gt;=$C1414-3)*(Ventes_Encaissements!$C$6:$C$3005&lt;=$C1414+3)),1)))</f>
        <v/>
      </c>
      <c r="K1414" s="6" t="n"/>
    </row>
    <row r="1415">
      <c r="A1415" s="6" t="n"/>
      <c r="B1415" s="6" t="n"/>
      <c r="C1415" s="19" t="n"/>
      <c r="D1415" s="19" t="n"/>
      <c r="E1415" s="6" t="n"/>
      <c r="F1415" s="20" t="n"/>
      <c r="G1415" s="9">
        <f>IF($F1415="","",IF($F1415&gt;0,ROUND($F1415,2),""))</f>
        <v/>
      </c>
      <c r="H1415" s="12">
        <f>IF(OR($B1415="",$C1415="",$G1415=""),"",COUNTIFS(Ventes_Encaissements!$E$6:$E$3005,$B1415,Ventes_Encaissements!$J$6:$J$3005,$G1415,Ventes_Encaissements!$C$6:$C$3005,"&gt;="&amp;($C1415-3),Ventes_Encaissements!$C$6:$C$3005,"&lt;="&amp;($C1415+3)))</f>
        <v/>
      </c>
      <c r="I1415" s="12">
        <f>IF($H1415="","",IF($H1415=0,"Non trouvé",IF($H1415=1,"Match","À vérifier")))</f>
        <v/>
      </c>
      <c r="J1415" s="21">
        <f>IF($I1415&lt;&gt;"Match","",INDEX(Ventes_Encaissements!$B$6:$B$3005,_xludf.AGGREGATE(15,6,(ROW(Ventes_Encaissements!$B$6:$B$3005)-ROW(Ventes_Encaissements!$B$6)+1)/((Ventes_Encaissements!$E$6:$E$3005=$B1415)*(Ventes_Encaissements!$J$6:$J$3005=$G1415)*(Ventes_Encaissements!$C$6:$C$3005&gt;=$C1415-3)*(Ventes_Encaissements!$C$6:$C$3005&lt;=$C1415+3)),1)))</f>
        <v/>
      </c>
      <c r="K1415" s="6" t="n"/>
    </row>
    <row r="1416">
      <c r="A1416" s="6" t="n"/>
      <c r="B1416" s="6" t="n"/>
      <c r="C1416" s="19" t="n"/>
      <c r="D1416" s="19" t="n"/>
      <c r="E1416" s="6" t="n"/>
      <c r="F1416" s="20" t="n"/>
      <c r="G1416" s="9">
        <f>IF($F1416="","",IF($F1416&gt;0,ROUND($F1416,2),""))</f>
        <v/>
      </c>
      <c r="H1416" s="12">
        <f>IF(OR($B1416="",$C1416="",$G1416=""),"",COUNTIFS(Ventes_Encaissements!$E$6:$E$3005,$B1416,Ventes_Encaissements!$J$6:$J$3005,$G1416,Ventes_Encaissements!$C$6:$C$3005,"&gt;="&amp;($C1416-3),Ventes_Encaissements!$C$6:$C$3005,"&lt;="&amp;($C1416+3)))</f>
        <v/>
      </c>
      <c r="I1416" s="12">
        <f>IF($H1416="","",IF($H1416=0,"Non trouvé",IF($H1416=1,"Match","À vérifier")))</f>
        <v/>
      </c>
      <c r="J1416" s="21">
        <f>IF($I1416&lt;&gt;"Match","",INDEX(Ventes_Encaissements!$B$6:$B$3005,_xludf.AGGREGATE(15,6,(ROW(Ventes_Encaissements!$B$6:$B$3005)-ROW(Ventes_Encaissements!$B$6)+1)/((Ventes_Encaissements!$E$6:$E$3005=$B1416)*(Ventes_Encaissements!$J$6:$J$3005=$G1416)*(Ventes_Encaissements!$C$6:$C$3005&gt;=$C1416-3)*(Ventes_Encaissements!$C$6:$C$3005&lt;=$C1416+3)),1)))</f>
        <v/>
      </c>
      <c r="K1416" s="6" t="n"/>
    </row>
    <row r="1417">
      <c r="A1417" s="6" t="n"/>
      <c r="B1417" s="6" t="n"/>
      <c r="C1417" s="19" t="n"/>
      <c r="D1417" s="19" t="n"/>
      <c r="E1417" s="6" t="n"/>
      <c r="F1417" s="20" t="n"/>
      <c r="G1417" s="9">
        <f>IF($F1417="","",IF($F1417&gt;0,ROUND($F1417,2),""))</f>
        <v/>
      </c>
      <c r="H1417" s="12">
        <f>IF(OR($B1417="",$C1417="",$G1417=""),"",COUNTIFS(Ventes_Encaissements!$E$6:$E$3005,$B1417,Ventes_Encaissements!$J$6:$J$3005,$G1417,Ventes_Encaissements!$C$6:$C$3005,"&gt;="&amp;($C1417-3),Ventes_Encaissements!$C$6:$C$3005,"&lt;="&amp;($C1417+3)))</f>
        <v/>
      </c>
      <c r="I1417" s="12">
        <f>IF($H1417="","",IF($H1417=0,"Non trouvé",IF($H1417=1,"Match","À vérifier")))</f>
        <v/>
      </c>
      <c r="J1417" s="21">
        <f>IF($I1417&lt;&gt;"Match","",INDEX(Ventes_Encaissements!$B$6:$B$3005,_xludf.AGGREGATE(15,6,(ROW(Ventes_Encaissements!$B$6:$B$3005)-ROW(Ventes_Encaissements!$B$6)+1)/((Ventes_Encaissements!$E$6:$E$3005=$B1417)*(Ventes_Encaissements!$J$6:$J$3005=$G1417)*(Ventes_Encaissements!$C$6:$C$3005&gt;=$C1417-3)*(Ventes_Encaissements!$C$6:$C$3005&lt;=$C1417+3)),1)))</f>
        <v/>
      </c>
      <c r="K1417" s="6" t="n"/>
    </row>
    <row r="1418">
      <c r="A1418" s="6" t="n"/>
      <c r="B1418" s="6" t="n"/>
      <c r="C1418" s="19" t="n"/>
      <c r="D1418" s="19" t="n"/>
      <c r="E1418" s="6" t="n"/>
      <c r="F1418" s="20" t="n"/>
      <c r="G1418" s="9">
        <f>IF($F1418="","",IF($F1418&gt;0,ROUND($F1418,2),""))</f>
        <v/>
      </c>
      <c r="H1418" s="12">
        <f>IF(OR($B1418="",$C1418="",$G1418=""),"",COUNTIFS(Ventes_Encaissements!$E$6:$E$3005,$B1418,Ventes_Encaissements!$J$6:$J$3005,$G1418,Ventes_Encaissements!$C$6:$C$3005,"&gt;="&amp;($C1418-3),Ventes_Encaissements!$C$6:$C$3005,"&lt;="&amp;($C1418+3)))</f>
        <v/>
      </c>
      <c r="I1418" s="12">
        <f>IF($H1418="","",IF($H1418=0,"Non trouvé",IF($H1418=1,"Match","À vérifier")))</f>
        <v/>
      </c>
      <c r="J1418" s="21">
        <f>IF($I1418&lt;&gt;"Match","",INDEX(Ventes_Encaissements!$B$6:$B$3005,_xludf.AGGREGATE(15,6,(ROW(Ventes_Encaissements!$B$6:$B$3005)-ROW(Ventes_Encaissements!$B$6)+1)/((Ventes_Encaissements!$E$6:$E$3005=$B1418)*(Ventes_Encaissements!$J$6:$J$3005=$G1418)*(Ventes_Encaissements!$C$6:$C$3005&gt;=$C1418-3)*(Ventes_Encaissements!$C$6:$C$3005&lt;=$C1418+3)),1)))</f>
        <v/>
      </c>
      <c r="K1418" s="6" t="n"/>
    </row>
    <row r="1419">
      <c r="A1419" s="6" t="n"/>
      <c r="B1419" s="6" t="n"/>
      <c r="C1419" s="19" t="n"/>
      <c r="D1419" s="19" t="n"/>
      <c r="E1419" s="6" t="n"/>
      <c r="F1419" s="20" t="n"/>
      <c r="G1419" s="9">
        <f>IF($F1419="","",IF($F1419&gt;0,ROUND($F1419,2),""))</f>
        <v/>
      </c>
      <c r="H1419" s="12">
        <f>IF(OR($B1419="",$C1419="",$G1419=""),"",COUNTIFS(Ventes_Encaissements!$E$6:$E$3005,$B1419,Ventes_Encaissements!$J$6:$J$3005,$G1419,Ventes_Encaissements!$C$6:$C$3005,"&gt;="&amp;($C1419-3),Ventes_Encaissements!$C$6:$C$3005,"&lt;="&amp;($C1419+3)))</f>
        <v/>
      </c>
      <c r="I1419" s="12">
        <f>IF($H1419="","",IF($H1419=0,"Non trouvé",IF($H1419=1,"Match","À vérifier")))</f>
        <v/>
      </c>
      <c r="J1419" s="21">
        <f>IF($I1419&lt;&gt;"Match","",INDEX(Ventes_Encaissements!$B$6:$B$3005,_xludf.AGGREGATE(15,6,(ROW(Ventes_Encaissements!$B$6:$B$3005)-ROW(Ventes_Encaissements!$B$6)+1)/((Ventes_Encaissements!$E$6:$E$3005=$B1419)*(Ventes_Encaissements!$J$6:$J$3005=$G1419)*(Ventes_Encaissements!$C$6:$C$3005&gt;=$C1419-3)*(Ventes_Encaissements!$C$6:$C$3005&lt;=$C1419+3)),1)))</f>
        <v/>
      </c>
      <c r="K1419" s="6" t="n"/>
    </row>
    <row r="1420">
      <c r="A1420" s="6" t="n"/>
      <c r="B1420" s="6" t="n"/>
      <c r="C1420" s="19" t="n"/>
      <c r="D1420" s="19" t="n"/>
      <c r="E1420" s="6" t="n"/>
      <c r="F1420" s="20" t="n"/>
      <c r="G1420" s="9">
        <f>IF($F1420="","",IF($F1420&gt;0,ROUND($F1420,2),""))</f>
        <v/>
      </c>
      <c r="H1420" s="12">
        <f>IF(OR($B1420="",$C1420="",$G1420=""),"",COUNTIFS(Ventes_Encaissements!$E$6:$E$3005,$B1420,Ventes_Encaissements!$J$6:$J$3005,$G1420,Ventes_Encaissements!$C$6:$C$3005,"&gt;="&amp;($C1420-3),Ventes_Encaissements!$C$6:$C$3005,"&lt;="&amp;($C1420+3)))</f>
        <v/>
      </c>
      <c r="I1420" s="12">
        <f>IF($H1420="","",IF($H1420=0,"Non trouvé",IF($H1420=1,"Match","À vérifier")))</f>
        <v/>
      </c>
      <c r="J1420" s="21">
        <f>IF($I1420&lt;&gt;"Match","",INDEX(Ventes_Encaissements!$B$6:$B$3005,_xludf.AGGREGATE(15,6,(ROW(Ventes_Encaissements!$B$6:$B$3005)-ROW(Ventes_Encaissements!$B$6)+1)/((Ventes_Encaissements!$E$6:$E$3005=$B1420)*(Ventes_Encaissements!$J$6:$J$3005=$G1420)*(Ventes_Encaissements!$C$6:$C$3005&gt;=$C1420-3)*(Ventes_Encaissements!$C$6:$C$3005&lt;=$C1420+3)),1)))</f>
        <v/>
      </c>
      <c r="K1420" s="6" t="n"/>
    </row>
    <row r="1421">
      <c r="A1421" s="6" t="n"/>
      <c r="B1421" s="6" t="n"/>
      <c r="C1421" s="19" t="n"/>
      <c r="D1421" s="19" t="n"/>
      <c r="E1421" s="6" t="n"/>
      <c r="F1421" s="20" t="n"/>
      <c r="G1421" s="9">
        <f>IF($F1421="","",IF($F1421&gt;0,ROUND($F1421,2),""))</f>
        <v/>
      </c>
      <c r="H1421" s="12">
        <f>IF(OR($B1421="",$C1421="",$G1421=""),"",COUNTIFS(Ventes_Encaissements!$E$6:$E$3005,$B1421,Ventes_Encaissements!$J$6:$J$3005,$G1421,Ventes_Encaissements!$C$6:$C$3005,"&gt;="&amp;($C1421-3),Ventes_Encaissements!$C$6:$C$3005,"&lt;="&amp;($C1421+3)))</f>
        <v/>
      </c>
      <c r="I1421" s="12">
        <f>IF($H1421="","",IF($H1421=0,"Non trouvé",IF($H1421=1,"Match","À vérifier")))</f>
        <v/>
      </c>
      <c r="J1421" s="21">
        <f>IF($I1421&lt;&gt;"Match","",INDEX(Ventes_Encaissements!$B$6:$B$3005,_xludf.AGGREGATE(15,6,(ROW(Ventes_Encaissements!$B$6:$B$3005)-ROW(Ventes_Encaissements!$B$6)+1)/((Ventes_Encaissements!$E$6:$E$3005=$B1421)*(Ventes_Encaissements!$J$6:$J$3005=$G1421)*(Ventes_Encaissements!$C$6:$C$3005&gt;=$C1421-3)*(Ventes_Encaissements!$C$6:$C$3005&lt;=$C1421+3)),1)))</f>
        <v/>
      </c>
      <c r="K1421" s="6" t="n"/>
    </row>
    <row r="1422">
      <c r="A1422" s="6" t="n"/>
      <c r="B1422" s="6" t="n"/>
      <c r="C1422" s="19" t="n"/>
      <c r="D1422" s="19" t="n"/>
      <c r="E1422" s="6" t="n"/>
      <c r="F1422" s="20" t="n"/>
      <c r="G1422" s="9">
        <f>IF($F1422="","",IF($F1422&gt;0,ROUND($F1422,2),""))</f>
        <v/>
      </c>
      <c r="H1422" s="12">
        <f>IF(OR($B1422="",$C1422="",$G1422=""),"",COUNTIFS(Ventes_Encaissements!$E$6:$E$3005,$B1422,Ventes_Encaissements!$J$6:$J$3005,$G1422,Ventes_Encaissements!$C$6:$C$3005,"&gt;="&amp;($C1422-3),Ventes_Encaissements!$C$6:$C$3005,"&lt;="&amp;($C1422+3)))</f>
        <v/>
      </c>
      <c r="I1422" s="12">
        <f>IF($H1422="","",IF($H1422=0,"Non trouvé",IF($H1422=1,"Match","À vérifier")))</f>
        <v/>
      </c>
      <c r="J1422" s="21">
        <f>IF($I1422&lt;&gt;"Match","",INDEX(Ventes_Encaissements!$B$6:$B$3005,_xludf.AGGREGATE(15,6,(ROW(Ventes_Encaissements!$B$6:$B$3005)-ROW(Ventes_Encaissements!$B$6)+1)/((Ventes_Encaissements!$E$6:$E$3005=$B1422)*(Ventes_Encaissements!$J$6:$J$3005=$G1422)*(Ventes_Encaissements!$C$6:$C$3005&gt;=$C1422-3)*(Ventes_Encaissements!$C$6:$C$3005&lt;=$C1422+3)),1)))</f>
        <v/>
      </c>
      <c r="K1422" s="6" t="n"/>
    </row>
    <row r="1423">
      <c r="A1423" s="6" t="n"/>
      <c r="B1423" s="6" t="n"/>
      <c r="C1423" s="19" t="n"/>
      <c r="D1423" s="19" t="n"/>
      <c r="E1423" s="6" t="n"/>
      <c r="F1423" s="20" t="n"/>
      <c r="G1423" s="9">
        <f>IF($F1423="","",IF($F1423&gt;0,ROUND($F1423,2),""))</f>
        <v/>
      </c>
      <c r="H1423" s="12">
        <f>IF(OR($B1423="",$C1423="",$G1423=""),"",COUNTIFS(Ventes_Encaissements!$E$6:$E$3005,$B1423,Ventes_Encaissements!$J$6:$J$3005,$G1423,Ventes_Encaissements!$C$6:$C$3005,"&gt;="&amp;($C1423-3),Ventes_Encaissements!$C$6:$C$3005,"&lt;="&amp;($C1423+3)))</f>
        <v/>
      </c>
      <c r="I1423" s="12">
        <f>IF($H1423="","",IF($H1423=0,"Non trouvé",IF($H1423=1,"Match","À vérifier")))</f>
        <v/>
      </c>
      <c r="J1423" s="21">
        <f>IF($I1423&lt;&gt;"Match","",INDEX(Ventes_Encaissements!$B$6:$B$3005,_xludf.AGGREGATE(15,6,(ROW(Ventes_Encaissements!$B$6:$B$3005)-ROW(Ventes_Encaissements!$B$6)+1)/((Ventes_Encaissements!$E$6:$E$3005=$B1423)*(Ventes_Encaissements!$J$6:$J$3005=$G1423)*(Ventes_Encaissements!$C$6:$C$3005&gt;=$C1423-3)*(Ventes_Encaissements!$C$6:$C$3005&lt;=$C1423+3)),1)))</f>
        <v/>
      </c>
      <c r="K1423" s="6" t="n"/>
    </row>
    <row r="1424">
      <c r="A1424" s="6" t="n"/>
      <c r="B1424" s="6" t="n"/>
      <c r="C1424" s="19" t="n"/>
      <c r="D1424" s="19" t="n"/>
      <c r="E1424" s="6" t="n"/>
      <c r="F1424" s="20" t="n"/>
      <c r="G1424" s="9">
        <f>IF($F1424="","",IF($F1424&gt;0,ROUND($F1424,2),""))</f>
        <v/>
      </c>
      <c r="H1424" s="12">
        <f>IF(OR($B1424="",$C1424="",$G1424=""),"",COUNTIFS(Ventes_Encaissements!$E$6:$E$3005,$B1424,Ventes_Encaissements!$J$6:$J$3005,$G1424,Ventes_Encaissements!$C$6:$C$3005,"&gt;="&amp;($C1424-3),Ventes_Encaissements!$C$6:$C$3005,"&lt;="&amp;($C1424+3)))</f>
        <v/>
      </c>
      <c r="I1424" s="12">
        <f>IF($H1424="","",IF($H1424=0,"Non trouvé",IF($H1424=1,"Match","À vérifier")))</f>
        <v/>
      </c>
      <c r="J1424" s="21">
        <f>IF($I1424&lt;&gt;"Match","",INDEX(Ventes_Encaissements!$B$6:$B$3005,_xludf.AGGREGATE(15,6,(ROW(Ventes_Encaissements!$B$6:$B$3005)-ROW(Ventes_Encaissements!$B$6)+1)/((Ventes_Encaissements!$E$6:$E$3005=$B1424)*(Ventes_Encaissements!$J$6:$J$3005=$G1424)*(Ventes_Encaissements!$C$6:$C$3005&gt;=$C1424-3)*(Ventes_Encaissements!$C$6:$C$3005&lt;=$C1424+3)),1)))</f>
        <v/>
      </c>
      <c r="K1424" s="6" t="n"/>
    </row>
    <row r="1425">
      <c r="A1425" s="6" t="n"/>
      <c r="B1425" s="6" t="n"/>
      <c r="C1425" s="19" t="n"/>
      <c r="D1425" s="19" t="n"/>
      <c r="E1425" s="6" t="n"/>
      <c r="F1425" s="20" t="n"/>
      <c r="G1425" s="9">
        <f>IF($F1425="","",IF($F1425&gt;0,ROUND($F1425,2),""))</f>
        <v/>
      </c>
      <c r="H1425" s="12">
        <f>IF(OR($B1425="",$C1425="",$G1425=""),"",COUNTIFS(Ventes_Encaissements!$E$6:$E$3005,$B1425,Ventes_Encaissements!$J$6:$J$3005,$G1425,Ventes_Encaissements!$C$6:$C$3005,"&gt;="&amp;($C1425-3),Ventes_Encaissements!$C$6:$C$3005,"&lt;="&amp;($C1425+3)))</f>
        <v/>
      </c>
      <c r="I1425" s="12">
        <f>IF($H1425="","",IF($H1425=0,"Non trouvé",IF($H1425=1,"Match","À vérifier")))</f>
        <v/>
      </c>
      <c r="J1425" s="21">
        <f>IF($I1425&lt;&gt;"Match","",INDEX(Ventes_Encaissements!$B$6:$B$3005,_xludf.AGGREGATE(15,6,(ROW(Ventes_Encaissements!$B$6:$B$3005)-ROW(Ventes_Encaissements!$B$6)+1)/((Ventes_Encaissements!$E$6:$E$3005=$B1425)*(Ventes_Encaissements!$J$6:$J$3005=$G1425)*(Ventes_Encaissements!$C$6:$C$3005&gt;=$C1425-3)*(Ventes_Encaissements!$C$6:$C$3005&lt;=$C1425+3)),1)))</f>
        <v/>
      </c>
      <c r="K1425" s="6" t="n"/>
    </row>
    <row r="1426">
      <c r="A1426" s="6" t="n"/>
      <c r="B1426" s="6" t="n"/>
      <c r="C1426" s="19" t="n"/>
      <c r="D1426" s="19" t="n"/>
      <c r="E1426" s="6" t="n"/>
      <c r="F1426" s="20" t="n"/>
      <c r="G1426" s="9">
        <f>IF($F1426="","",IF($F1426&gt;0,ROUND($F1426,2),""))</f>
        <v/>
      </c>
      <c r="H1426" s="12">
        <f>IF(OR($B1426="",$C1426="",$G1426=""),"",COUNTIFS(Ventes_Encaissements!$E$6:$E$3005,$B1426,Ventes_Encaissements!$J$6:$J$3005,$G1426,Ventes_Encaissements!$C$6:$C$3005,"&gt;="&amp;($C1426-3),Ventes_Encaissements!$C$6:$C$3005,"&lt;="&amp;($C1426+3)))</f>
        <v/>
      </c>
      <c r="I1426" s="12">
        <f>IF($H1426="","",IF($H1426=0,"Non trouvé",IF($H1426=1,"Match","À vérifier")))</f>
        <v/>
      </c>
      <c r="J1426" s="21">
        <f>IF($I1426&lt;&gt;"Match","",INDEX(Ventes_Encaissements!$B$6:$B$3005,_xludf.AGGREGATE(15,6,(ROW(Ventes_Encaissements!$B$6:$B$3005)-ROW(Ventes_Encaissements!$B$6)+1)/((Ventes_Encaissements!$E$6:$E$3005=$B1426)*(Ventes_Encaissements!$J$6:$J$3005=$G1426)*(Ventes_Encaissements!$C$6:$C$3005&gt;=$C1426-3)*(Ventes_Encaissements!$C$6:$C$3005&lt;=$C1426+3)),1)))</f>
        <v/>
      </c>
      <c r="K1426" s="6" t="n"/>
    </row>
    <row r="1427">
      <c r="A1427" s="6" t="n"/>
      <c r="B1427" s="6" t="n"/>
      <c r="C1427" s="19" t="n"/>
      <c r="D1427" s="19" t="n"/>
      <c r="E1427" s="6" t="n"/>
      <c r="F1427" s="20" t="n"/>
      <c r="G1427" s="9">
        <f>IF($F1427="","",IF($F1427&gt;0,ROUND($F1427,2),""))</f>
        <v/>
      </c>
      <c r="H1427" s="12">
        <f>IF(OR($B1427="",$C1427="",$G1427=""),"",COUNTIFS(Ventes_Encaissements!$E$6:$E$3005,$B1427,Ventes_Encaissements!$J$6:$J$3005,$G1427,Ventes_Encaissements!$C$6:$C$3005,"&gt;="&amp;($C1427-3),Ventes_Encaissements!$C$6:$C$3005,"&lt;="&amp;($C1427+3)))</f>
        <v/>
      </c>
      <c r="I1427" s="12">
        <f>IF($H1427="","",IF($H1427=0,"Non trouvé",IF($H1427=1,"Match","À vérifier")))</f>
        <v/>
      </c>
      <c r="J1427" s="21">
        <f>IF($I1427&lt;&gt;"Match","",INDEX(Ventes_Encaissements!$B$6:$B$3005,_xludf.AGGREGATE(15,6,(ROW(Ventes_Encaissements!$B$6:$B$3005)-ROW(Ventes_Encaissements!$B$6)+1)/((Ventes_Encaissements!$E$6:$E$3005=$B1427)*(Ventes_Encaissements!$J$6:$J$3005=$G1427)*(Ventes_Encaissements!$C$6:$C$3005&gt;=$C1427-3)*(Ventes_Encaissements!$C$6:$C$3005&lt;=$C1427+3)),1)))</f>
        <v/>
      </c>
      <c r="K1427" s="6" t="n"/>
    </row>
    <row r="1428">
      <c r="A1428" s="6" t="n"/>
      <c r="B1428" s="6" t="n"/>
      <c r="C1428" s="19" t="n"/>
      <c r="D1428" s="19" t="n"/>
      <c r="E1428" s="6" t="n"/>
      <c r="F1428" s="20" t="n"/>
      <c r="G1428" s="9">
        <f>IF($F1428="","",IF($F1428&gt;0,ROUND($F1428,2),""))</f>
        <v/>
      </c>
      <c r="H1428" s="12">
        <f>IF(OR($B1428="",$C1428="",$G1428=""),"",COUNTIFS(Ventes_Encaissements!$E$6:$E$3005,$B1428,Ventes_Encaissements!$J$6:$J$3005,$G1428,Ventes_Encaissements!$C$6:$C$3005,"&gt;="&amp;($C1428-3),Ventes_Encaissements!$C$6:$C$3005,"&lt;="&amp;($C1428+3)))</f>
        <v/>
      </c>
      <c r="I1428" s="12">
        <f>IF($H1428="","",IF($H1428=0,"Non trouvé",IF($H1428=1,"Match","À vérifier")))</f>
        <v/>
      </c>
      <c r="J1428" s="21">
        <f>IF($I1428&lt;&gt;"Match","",INDEX(Ventes_Encaissements!$B$6:$B$3005,_xludf.AGGREGATE(15,6,(ROW(Ventes_Encaissements!$B$6:$B$3005)-ROW(Ventes_Encaissements!$B$6)+1)/((Ventes_Encaissements!$E$6:$E$3005=$B1428)*(Ventes_Encaissements!$J$6:$J$3005=$G1428)*(Ventes_Encaissements!$C$6:$C$3005&gt;=$C1428-3)*(Ventes_Encaissements!$C$6:$C$3005&lt;=$C1428+3)),1)))</f>
        <v/>
      </c>
      <c r="K1428" s="6" t="n"/>
    </row>
    <row r="1429">
      <c r="A1429" s="6" t="n"/>
      <c r="B1429" s="6" t="n"/>
      <c r="C1429" s="19" t="n"/>
      <c r="D1429" s="19" t="n"/>
      <c r="E1429" s="6" t="n"/>
      <c r="F1429" s="20" t="n"/>
      <c r="G1429" s="9">
        <f>IF($F1429="","",IF($F1429&gt;0,ROUND($F1429,2),""))</f>
        <v/>
      </c>
      <c r="H1429" s="12">
        <f>IF(OR($B1429="",$C1429="",$G1429=""),"",COUNTIFS(Ventes_Encaissements!$E$6:$E$3005,$B1429,Ventes_Encaissements!$J$6:$J$3005,$G1429,Ventes_Encaissements!$C$6:$C$3005,"&gt;="&amp;($C1429-3),Ventes_Encaissements!$C$6:$C$3005,"&lt;="&amp;($C1429+3)))</f>
        <v/>
      </c>
      <c r="I1429" s="12">
        <f>IF($H1429="","",IF($H1429=0,"Non trouvé",IF($H1429=1,"Match","À vérifier")))</f>
        <v/>
      </c>
      <c r="J1429" s="21">
        <f>IF($I1429&lt;&gt;"Match","",INDEX(Ventes_Encaissements!$B$6:$B$3005,_xludf.AGGREGATE(15,6,(ROW(Ventes_Encaissements!$B$6:$B$3005)-ROW(Ventes_Encaissements!$B$6)+1)/((Ventes_Encaissements!$E$6:$E$3005=$B1429)*(Ventes_Encaissements!$J$6:$J$3005=$G1429)*(Ventes_Encaissements!$C$6:$C$3005&gt;=$C1429-3)*(Ventes_Encaissements!$C$6:$C$3005&lt;=$C1429+3)),1)))</f>
        <v/>
      </c>
      <c r="K1429" s="6" t="n"/>
    </row>
    <row r="1430">
      <c r="A1430" s="6" t="n"/>
      <c r="B1430" s="6" t="n"/>
      <c r="C1430" s="19" t="n"/>
      <c r="D1430" s="19" t="n"/>
      <c r="E1430" s="6" t="n"/>
      <c r="F1430" s="20" t="n"/>
      <c r="G1430" s="9">
        <f>IF($F1430="","",IF($F1430&gt;0,ROUND($F1430,2),""))</f>
        <v/>
      </c>
      <c r="H1430" s="12">
        <f>IF(OR($B1430="",$C1430="",$G1430=""),"",COUNTIFS(Ventes_Encaissements!$E$6:$E$3005,$B1430,Ventes_Encaissements!$J$6:$J$3005,$G1430,Ventes_Encaissements!$C$6:$C$3005,"&gt;="&amp;($C1430-3),Ventes_Encaissements!$C$6:$C$3005,"&lt;="&amp;($C1430+3)))</f>
        <v/>
      </c>
      <c r="I1430" s="12">
        <f>IF($H1430="","",IF($H1430=0,"Non trouvé",IF($H1430=1,"Match","À vérifier")))</f>
        <v/>
      </c>
      <c r="J1430" s="21">
        <f>IF($I1430&lt;&gt;"Match","",INDEX(Ventes_Encaissements!$B$6:$B$3005,_xludf.AGGREGATE(15,6,(ROW(Ventes_Encaissements!$B$6:$B$3005)-ROW(Ventes_Encaissements!$B$6)+1)/((Ventes_Encaissements!$E$6:$E$3005=$B1430)*(Ventes_Encaissements!$J$6:$J$3005=$G1430)*(Ventes_Encaissements!$C$6:$C$3005&gt;=$C1430-3)*(Ventes_Encaissements!$C$6:$C$3005&lt;=$C1430+3)),1)))</f>
        <v/>
      </c>
      <c r="K1430" s="6" t="n"/>
    </row>
    <row r="1431">
      <c r="A1431" s="6" t="n"/>
      <c r="B1431" s="6" t="n"/>
      <c r="C1431" s="19" t="n"/>
      <c r="D1431" s="19" t="n"/>
      <c r="E1431" s="6" t="n"/>
      <c r="F1431" s="20" t="n"/>
      <c r="G1431" s="9">
        <f>IF($F1431="","",IF($F1431&gt;0,ROUND($F1431,2),""))</f>
        <v/>
      </c>
      <c r="H1431" s="12">
        <f>IF(OR($B1431="",$C1431="",$G1431=""),"",COUNTIFS(Ventes_Encaissements!$E$6:$E$3005,$B1431,Ventes_Encaissements!$J$6:$J$3005,$G1431,Ventes_Encaissements!$C$6:$C$3005,"&gt;="&amp;($C1431-3),Ventes_Encaissements!$C$6:$C$3005,"&lt;="&amp;($C1431+3)))</f>
        <v/>
      </c>
      <c r="I1431" s="12">
        <f>IF($H1431="","",IF($H1431=0,"Non trouvé",IF($H1431=1,"Match","À vérifier")))</f>
        <v/>
      </c>
      <c r="J1431" s="21">
        <f>IF($I1431&lt;&gt;"Match","",INDEX(Ventes_Encaissements!$B$6:$B$3005,_xludf.AGGREGATE(15,6,(ROW(Ventes_Encaissements!$B$6:$B$3005)-ROW(Ventes_Encaissements!$B$6)+1)/((Ventes_Encaissements!$E$6:$E$3005=$B1431)*(Ventes_Encaissements!$J$6:$J$3005=$G1431)*(Ventes_Encaissements!$C$6:$C$3005&gt;=$C1431-3)*(Ventes_Encaissements!$C$6:$C$3005&lt;=$C1431+3)),1)))</f>
        <v/>
      </c>
      <c r="K1431" s="6" t="n"/>
    </row>
    <row r="1432">
      <c r="A1432" s="6" t="n"/>
      <c r="B1432" s="6" t="n"/>
      <c r="C1432" s="19" t="n"/>
      <c r="D1432" s="19" t="n"/>
      <c r="E1432" s="6" t="n"/>
      <c r="F1432" s="20" t="n"/>
      <c r="G1432" s="9">
        <f>IF($F1432="","",IF($F1432&gt;0,ROUND($F1432,2),""))</f>
        <v/>
      </c>
      <c r="H1432" s="12">
        <f>IF(OR($B1432="",$C1432="",$G1432=""),"",COUNTIFS(Ventes_Encaissements!$E$6:$E$3005,$B1432,Ventes_Encaissements!$J$6:$J$3005,$G1432,Ventes_Encaissements!$C$6:$C$3005,"&gt;="&amp;($C1432-3),Ventes_Encaissements!$C$6:$C$3005,"&lt;="&amp;($C1432+3)))</f>
        <v/>
      </c>
      <c r="I1432" s="12">
        <f>IF($H1432="","",IF($H1432=0,"Non trouvé",IF($H1432=1,"Match","À vérifier")))</f>
        <v/>
      </c>
      <c r="J1432" s="21">
        <f>IF($I1432&lt;&gt;"Match","",INDEX(Ventes_Encaissements!$B$6:$B$3005,_xludf.AGGREGATE(15,6,(ROW(Ventes_Encaissements!$B$6:$B$3005)-ROW(Ventes_Encaissements!$B$6)+1)/((Ventes_Encaissements!$E$6:$E$3005=$B1432)*(Ventes_Encaissements!$J$6:$J$3005=$G1432)*(Ventes_Encaissements!$C$6:$C$3005&gt;=$C1432-3)*(Ventes_Encaissements!$C$6:$C$3005&lt;=$C1432+3)),1)))</f>
        <v/>
      </c>
      <c r="K1432" s="6" t="n"/>
    </row>
    <row r="1433">
      <c r="A1433" s="6" t="n"/>
      <c r="B1433" s="6" t="n"/>
      <c r="C1433" s="19" t="n"/>
      <c r="D1433" s="19" t="n"/>
      <c r="E1433" s="6" t="n"/>
      <c r="F1433" s="20" t="n"/>
      <c r="G1433" s="9">
        <f>IF($F1433="","",IF($F1433&gt;0,ROUND($F1433,2),""))</f>
        <v/>
      </c>
      <c r="H1433" s="12">
        <f>IF(OR($B1433="",$C1433="",$G1433=""),"",COUNTIFS(Ventes_Encaissements!$E$6:$E$3005,$B1433,Ventes_Encaissements!$J$6:$J$3005,$G1433,Ventes_Encaissements!$C$6:$C$3005,"&gt;="&amp;($C1433-3),Ventes_Encaissements!$C$6:$C$3005,"&lt;="&amp;($C1433+3)))</f>
        <v/>
      </c>
      <c r="I1433" s="12">
        <f>IF($H1433="","",IF($H1433=0,"Non trouvé",IF($H1433=1,"Match","À vérifier")))</f>
        <v/>
      </c>
      <c r="J1433" s="21">
        <f>IF($I1433&lt;&gt;"Match","",INDEX(Ventes_Encaissements!$B$6:$B$3005,_xludf.AGGREGATE(15,6,(ROW(Ventes_Encaissements!$B$6:$B$3005)-ROW(Ventes_Encaissements!$B$6)+1)/((Ventes_Encaissements!$E$6:$E$3005=$B1433)*(Ventes_Encaissements!$J$6:$J$3005=$G1433)*(Ventes_Encaissements!$C$6:$C$3005&gt;=$C1433-3)*(Ventes_Encaissements!$C$6:$C$3005&lt;=$C1433+3)),1)))</f>
        <v/>
      </c>
      <c r="K1433" s="6" t="n"/>
    </row>
    <row r="1434">
      <c r="A1434" s="6" t="n"/>
      <c r="B1434" s="6" t="n"/>
      <c r="C1434" s="19" t="n"/>
      <c r="D1434" s="19" t="n"/>
      <c r="E1434" s="6" t="n"/>
      <c r="F1434" s="20" t="n"/>
      <c r="G1434" s="9">
        <f>IF($F1434="","",IF($F1434&gt;0,ROUND($F1434,2),""))</f>
        <v/>
      </c>
      <c r="H1434" s="12">
        <f>IF(OR($B1434="",$C1434="",$G1434=""),"",COUNTIFS(Ventes_Encaissements!$E$6:$E$3005,$B1434,Ventes_Encaissements!$J$6:$J$3005,$G1434,Ventes_Encaissements!$C$6:$C$3005,"&gt;="&amp;($C1434-3),Ventes_Encaissements!$C$6:$C$3005,"&lt;="&amp;($C1434+3)))</f>
        <v/>
      </c>
      <c r="I1434" s="12">
        <f>IF($H1434="","",IF($H1434=0,"Non trouvé",IF($H1434=1,"Match","À vérifier")))</f>
        <v/>
      </c>
      <c r="J1434" s="21">
        <f>IF($I1434&lt;&gt;"Match","",INDEX(Ventes_Encaissements!$B$6:$B$3005,_xludf.AGGREGATE(15,6,(ROW(Ventes_Encaissements!$B$6:$B$3005)-ROW(Ventes_Encaissements!$B$6)+1)/((Ventes_Encaissements!$E$6:$E$3005=$B1434)*(Ventes_Encaissements!$J$6:$J$3005=$G1434)*(Ventes_Encaissements!$C$6:$C$3005&gt;=$C1434-3)*(Ventes_Encaissements!$C$6:$C$3005&lt;=$C1434+3)),1)))</f>
        <v/>
      </c>
      <c r="K1434" s="6" t="n"/>
    </row>
    <row r="1435">
      <c r="A1435" s="6" t="n"/>
      <c r="B1435" s="6" t="n"/>
      <c r="C1435" s="19" t="n"/>
      <c r="D1435" s="19" t="n"/>
      <c r="E1435" s="6" t="n"/>
      <c r="F1435" s="20" t="n"/>
      <c r="G1435" s="9">
        <f>IF($F1435="","",IF($F1435&gt;0,ROUND($F1435,2),""))</f>
        <v/>
      </c>
      <c r="H1435" s="12">
        <f>IF(OR($B1435="",$C1435="",$G1435=""),"",COUNTIFS(Ventes_Encaissements!$E$6:$E$3005,$B1435,Ventes_Encaissements!$J$6:$J$3005,$G1435,Ventes_Encaissements!$C$6:$C$3005,"&gt;="&amp;($C1435-3),Ventes_Encaissements!$C$6:$C$3005,"&lt;="&amp;($C1435+3)))</f>
        <v/>
      </c>
      <c r="I1435" s="12">
        <f>IF($H1435="","",IF($H1435=0,"Non trouvé",IF($H1435=1,"Match","À vérifier")))</f>
        <v/>
      </c>
      <c r="J1435" s="21">
        <f>IF($I1435&lt;&gt;"Match","",INDEX(Ventes_Encaissements!$B$6:$B$3005,_xludf.AGGREGATE(15,6,(ROW(Ventes_Encaissements!$B$6:$B$3005)-ROW(Ventes_Encaissements!$B$6)+1)/((Ventes_Encaissements!$E$6:$E$3005=$B1435)*(Ventes_Encaissements!$J$6:$J$3005=$G1435)*(Ventes_Encaissements!$C$6:$C$3005&gt;=$C1435-3)*(Ventes_Encaissements!$C$6:$C$3005&lt;=$C1435+3)),1)))</f>
        <v/>
      </c>
      <c r="K1435" s="6" t="n"/>
    </row>
    <row r="1436">
      <c r="A1436" s="6" t="n"/>
      <c r="B1436" s="6" t="n"/>
      <c r="C1436" s="19" t="n"/>
      <c r="D1436" s="19" t="n"/>
      <c r="E1436" s="6" t="n"/>
      <c r="F1436" s="20" t="n"/>
      <c r="G1436" s="9">
        <f>IF($F1436="","",IF($F1436&gt;0,ROUND($F1436,2),""))</f>
        <v/>
      </c>
      <c r="H1436" s="12">
        <f>IF(OR($B1436="",$C1436="",$G1436=""),"",COUNTIFS(Ventes_Encaissements!$E$6:$E$3005,$B1436,Ventes_Encaissements!$J$6:$J$3005,$G1436,Ventes_Encaissements!$C$6:$C$3005,"&gt;="&amp;($C1436-3),Ventes_Encaissements!$C$6:$C$3005,"&lt;="&amp;($C1436+3)))</f>
        <v/>
      </c>
      <c r="I1436" s="12">
        <f>IF($H1436="","",IF($H1436=0,"Non trouvé",IF($H1436=1,"Match","À vérifier")))</f>
        <v/>
      </c>
      <c r="J1436" s="21">
        <f>IF($I1436&lt;&gt;"Match","",INDEX(Ventes_Encaissements!$B$6:$B$3005,_xludf.AGGREGATE(15,6,(ROW(Ventes_Encaissements!$B$6:$B$3005)-ROW(Ventes_Encaissements!$B$6)+1)/((Ventes_Encaissements!$E$6:$E$3005=$B1436)*(Ventes_Encaissements!$J$6:$J$3005=$G1436)*(Ventes_Encaissements!$C$6:$C$3005&gt;=$C1436-3)*(Ventes_Encaissements!$C$6:$C$3005&lt;=$C1436+3)),1)))</f>
        <v/>
      </c>
      <c r="K1436" s="6" t="n"/>
    </row>
    <row r="1437">
      <c r="A1437" s="6" t="n"/>
      <c r="B1437" s="6" t="n"/>
      <c r="C1437" s="19" t="n"/>
      <c r="D1437" s="19" t="n"/>
      <c r="E1437" s="6" t="n"/>
      <c r="F1437" s="20" t="n"/>
      <c r="G1437" s="9">
        <f>IF($F1437="","",IF($F1437&gt;0,ROUND($F1437,2),""))</f>
        <v/>
      </c>
      <c r="H1437" s="12">
        <f>IF(OR($B1437="",$C1437="",$G1437=""),"",COUNTIFS(Ventes_Encaissements!$E$6:$E$3005,$B1437,Ventes_Encaissements!$J$6:$J$3005,$G1437,Ventes_Encaissements!$C$6:$C$3005,"&gt;="&amp;($C1437-3),Ventes_Encaissements!$C$6:$C$3005,"&lt;="&amp;($C1437+3)))</f>
        <v/>
      </c>
      <c r="I1437" s="12">
        <f>IF($H1437="","",IF($H1437=0,"Non trouvé",IF($H1437=1,"Match","À vérifier")))</f>
        <v/>
      </c>
      <c r="J1437" s="21">
        <f>IF($I1437&lt;&gt;"Match","",INDEX(Ventes_Encaissements!$B$6:$B$3005,_xludf.AGGREGATE(15,6,(ROW(Ventes_Encaissements!$B$6:$B$3005)-ROW(Ventes_Encaissements!$B$6)+1)/((Ventes_Encaissements!$E$6:$E$3005=$B1437)*(Ventes_Encaissements!$J$6:$J$3005=$G1437)*(Ventes_Encaissements!$C$6:$C$3005&gt;=$C1437-3)*(Ventes_Encaissements!$C$6:$C$3005&lt;=$C1437+3)),1)))</f>
        <v/>
      </c>
      <c r="K1437" s="6" t="n"/>
    </row>
    <row r="1438">
      <c r="A1438" s="6" t="n"/>
      <c r="B1438" s="6" t="n"/>
      <c r="C1438" s="19" t="n"/>
      <c r="D1438" s="19" t="n"/>
      <c r="E1438" s="6" t="n"/>
      <c r="F1438" s="20" t="n"/>
      <c r="G1438" s="9">
        <f>IF($F1438="","",IF($F1438&gt;0,ROUND($F1438,2),""))</f>
        <v/>
      </c>
      <c r="H1438" s="12">
        <f>IF(OR($B1438="",$C1438="",$G1438=""),"",COUNTIFS(Ventes_Encaissements!$E$6:$E$3005,$B1438,Ventes_Encaissements!$J$6:$J$3005,$G1438,Ventes_Encaissements!$C$6:$C$3005,"&gt;="&amp;($C1438-3),Ventes_Encaissements!$C$6:$C$3005,"&lt;="&amp;($C1438+3)))</f>
        <v/>
      </c>
      <c r="I1438" s="12">
        <f>IF($H1438="","",IF($H1438=0,"Non trouvé",IF($H1438=1,"Match","À vérifier")))</f>
        <v/>
      </c>
      <c r="J1438" s="21">
        <f>IF($I1438&lt;&gt;"Match","",INDEX(Ventes_Encaissements!$B$6:$B$3005,_xludf.AGGREGATE(15,6,(ROW(Ventes_Encaissements!$B$6:$B$3005)-ROW(Ventes_Encaissements!$B$6)+1)/((Ventes_Encaissements!$E$6:$E$3005=$B1438)*(Ventes_Encaissements!$J$6:$J$3005=$G1438)*(Ventes_Encaissements!$C$6:$C$3005&gt;=$C1438-3)*(Ventes_Encaissements!$C$6:$C$3005&lt;=$C1438+3)),1)))</f>
        <v/>
      </c>
      <c r="K1438" s="6" t="n"/>
    </row>
    <row r="1439">
      <c r="A1439" s="6" t="n"/>
      <c r="B1439" s="6" t="n"/>
      <c r="C1439" s="19" t="n"/>
      <c r="D1439" s="19" t="n"/>
      <c r="E1439" s="6" t="n"/>
      <c r="F1439" s="20" t="n"/>
      <c r="G1439" s="9">
        <f>IF($F1439="","",IF($F1439&gt;0,ROUND($F1439,2),""))</f>
        <v/>
      </c>
      <c r="H1439" s="12">
        <f>IF(OR($B1439="",$C1439="",$G1439=""),"",COUNTIFS(Ventes_Encaissements!$E$6:$E$3005,$B1439,Ventes_Encaissements!$J$6:$J$3005,$G1439,Ventes_Encaissements!$C$6:$C$3005,"&gt;="&amp;($C1439-3),Ventes_Encaissements!$C$6:$C$3005,"&lt;="&amp;($C1439+3)))</f>
        <v/>
      </c>
      <c r="I1439" s="12">
        <f>IF($H1439="","",IF($H1439=0,"Non trouvé",IF($H1439=1,"Match","À vérifier")))</f>
        <v/>
      </c>
      <c r="J1439" s="21">
        <f>IF($I1439&lt;&gt;"Match","",INDEX(Ventes_Encaissements!$B$6:$B$3005,_xludf.AGGREGATE(15,6,(ROW(Ventes_Encaissements!$B$6:$B$3005)-ROW(Ventes_Encaissements!$B$6)+1)/((Ventes_Encaissements!$E$6:$E$3005=$B1439)*(Ventes_Encaissements!$J$6:$J$3005=$G1439)*(Ventes_Encaissements!$C$6:$C$3005&gt;=$C1439-3)*(Ventes_Encaissements!$C$6:$C$3005&lt;=$C1439+3)),1)))</f>
        <v/>
      </c>
      <c r="K1439" s="6" t="n"/>
    </row>
    <row r="1440">
      <c r="A1440" s="6" t="n"/>
      <c r="B1440" s="6" t="n"/>
      <c r="C1440" s="19" t="n"/>
      <c r="D1440" s="19" t="n"/>
      <c r="E1440" s="6" t="n"/>
      <c r="F1440" s="20" t="n"/>
      <c r="G1440" s="9">
        <f>IF($F1440="","",IF($F1440&gt;0,ROUND($F1440,2),""))</f>
        <v/>
      </c>
      <c r="H1440" s="12">
        <f>IF(OR($B1440="",$C1440="",$G1440=""),"",COUNTIFS(Ventes_Encaissements!$E$6:$E$3005,$B1440,Ventes_Encaissements!$J$6:$J$3005,$G1440,Ventes_Encaissements!$C$6:$C$3005,"&gt;="&amp;($C1440-3),Ventes_Encaissements!$C$6:$C$3005,"&lt;="&amp;($C1440+3)))</f>
        <v/>
      </c>
      <c r="I1440" s="12">
        <f>IF($H1440="","",IF($H1440=0,"Non trouvé",IF($H1440=1,"Match","À vérifier")))</f>
        <v/>
      </c>
      <c r="J1440" s="21">
        <f>IF($I1440&lt;&gt;"Match","",INDEX(Ventes_Encaissements!$B$6:$B$3005,_xludf.AGGREGATE(15,6,(ROW(Ventes_Encaissements!$B$6:$B$3005)-ROW(Ventes_Encaissements!$B$6)+1)/((Ventes_Encaissements!$E$6:$E$3005=$B1440)*(Ventes_Encaissements!$J$6:$J$3005=$G1440)*(Ventes_Encaissements!$C$6:$C$3005&gt;=$C1440-3)*(Ventes_Encaissements!$C$6:$C$3005&lt;=$C1440+3)),1)))</f>
        <v/>
      </c>
      <c r="K1440" s="6" t="n"/>
    </row>
    <row r="1441">
      <c r="A1441" s="6" t="n"/>
      <c r="B1441" s="6" t="n"/>
      <c r="C1441" s="19" t="n"/>
      <c r="D1441" s="19" t="n"/>
      <c r="E1441" s="6" t="n"/>
      <c r="F1441" s="20" t="n"/>
      <c r="G1441" s="9">
        <f>IF($F1441="","",IF($F1441&gt;0,ROUND($F1441,2),""))</f>
        <v/>
      </c>
      <c r="H1441" s="12">
        <f>IF(OR($B1441="",$C1441="",$G1441=""),"",COUNTIFS(Ventes_Encaissements!$E$6:$E$3005,$B1441,Ventes_Encaissements!$J$6:$J$3005,$G1441,Ventes_Encaissements!$C$6:$C$3005,"&gt;="&amp;($C1441-3),Ventes_Encaissements!$C$6:$C$3005,"&lt;="&amp;($C1441+3)))</f>
        <v/>
      </c>
      <c r="I1441" s="12">
        <f>IF($H1441="","",IF($H1441=0,"Non trouvé",IF($H1441=1,"Match","À vérifier")))</f>
        <v/>
      </c>
      <c r="J1441" s="21">
        <f>IF($I1441&lt;&gt;"Match","",INDEX(Ventes_Encaissements!$B$6:$B$3005,_xludf.AGGREGATE(15,6,(ROW(Ventes_Encaissements!$B$6:$B$3005)-ROW(Ventes_Encaissements!$B$6)+1)/((Ventes_Encaissements!$E$6:$E$3005=$B1441)*(Ventes_Encaissements!$J$6:$J$3005=$G1441)*(Ventes_Encaissements!$C$6:$C$3005&gt;=$C1441-3)*(Ventes_Encaissements!$C$6:$C$3005&lt;=$C1441+3)),1)))</f>
        <v/>
      </c>
      <c r="K1441" s="6" t="n"/>
    </row>
    <row r="1442">
      <c r="A1442" s="6" t="n"/>
      <c r="B1442" s="6" t="n"/>
      <c r="C1442" s="19" t="n"/>
      <c r="D1442" s="19" t="n"/>
      <c r="E1442" s="6" t="n"/>
      <c r="F1442" s="20" t="n"/>
      <c r="G1442" s="9">
        <f>IF($F1442="","",IF($F1442&gt;0,ROUND($F1442,2),""))</f>
        <v/>
      </c>
      <c r="H1442" s="12">
        <f>IF(OR($B1442="",$C1442="",$G1442=""),"",COUNTIFS(Ventes_Encaissements!$E$6:$E$3005,$B1442,Ventes_Encaissements!$J$6:$J$3005,$G1442,Ventes_Encaissements!$C$6:$C$3005,"&gt;="&amp;($C1442-3),Ventes_Encaissements!$C$6:$C$3005,"&lt;="&amp;($C1442+3)))</f>
        <v/>
      </c>
      <c r="I1442" s="12">
        <f>IF($H1442="","",IF($H1442=0,"Non trouvé",IF($H1442=1,"Match","À vérifier")))</f>
        <v/>
      </c>
      <c r="J1442" s="21">
        <f>IF($I1442&lt;&gt;"Match","",INDEX(Ventes_Encaissements!$B$6:$B$3005,_xludf.AGGREGATE(15,6,(ROW(Ventes_Encaissements!$B$6:$B$3005)-ROW(Ventes_Encaissements!$B$6)+1)/((Ventes_Encaissements!$E$6:$E$3005=$B1442)*(Ventes_Encaissements!$J$6:$J$3005=$G1442)*(Ventes_Encaissements!$C$6:$C$3005&gt;=$C1442-3)*(Ventes_Encaissements!$C$6:$C$3005&lt;=$C1442+3)),1)))</f>
        <v/>
      </c>
      <c r="K1442" s="6" t="n"/>
    </row>
    <row r="1443">
      <c r="A1443" s="6" t="n"/>
      <c r="B1443" s="6" t="n"/>
      <c r="C1443" s="19" t="n"/>
      <c r="D1443" s="19" t="n"/>
      <c r="E1443" s="6" t="n"/>
      <c r="F1443" s="20" t="n"/>
      <c r="G1443" s="9">
        <f>IF($F1443="","",IF($F1443&gt;0,ROUND($F1443,2),""))</f>
        <v/>
      </c>
      <c r="H1443" s="12">
        <f>IF(OR($B1443="",$C1443="",$G1443=""),"",COUNTIFS(Ventes_Encaissements!$E$6:$E$3005,$B1443,Ventes_Encaissements!$J$6:$J$3005,$G1443,Ventes_Encaissements!$C$6:$C$3005,"&gt;="&amp;($C1443-3),Ventes_Encaissements!$C$6:$C$3005,"&lt;="&amp;($C1443+3)))</f>
        <v/>
      </c>
      <c r="I1443" s="12">
        <f>IF($H1443="","",IF($H1443=0,"Non trouvé",IF($H1443=1,"Match","À vérifier")))</f>
        <v/>
      </c>
      <c r="J1443" s="21">
        <f>IF($I1443&lt;&gt;"Match","",INDEX(Ventes_Encaissements!$B$6:$B$3005,_xludf.AGGREGATE(15,6,(ROW(Ventes_Encaissements!$B$6:$B$3005)-ROW(Ventes_Encaissements!$B$6)+1)/((Ventes_Encaissements!$E$6:$E$3005=$B1443)*(Ventes_Encaissements!$J$6:$J$3005=$G1443)*(Ventes_Encaissements!$C$6:$C$3005&gt;=$C1443-3)*(Ventes_Encaissements!$C$6:$C$3005&lt;=$C1443+3)),1)))</f>
        <v/>
      </c>
      <c r="K1443" s="6" t="n"/>
    </row>
    <row r="1444">
      <c r="A1444" s="6" t="n"/>
      <c r="B1444" s="6" t="n"/>
      <c r="C1444" s="19" t="n"/>
      <c r="D1444" s="19" t="n"/>
      <c r="E1444" s="6" t="n"/>
      <c r="F1444" s="20" t="n"/>
      <c r="G1444" s="9">
        <f>IF($F1444="","",IF($F1444&gt;0,ROUND($F1444,2),""))</f>
        <v/>
      </c>
      <c r="H1444" s="12">
        <f>IF(OR($B1444="",$C1444="",$G1444=""),"",COUNTIFS(Ventes_Encaissements!$E$6:$E$3005,$B1444,Ventes_Encaissements!$J$6:$J$3005,$G1444,Ventes_Encaissements!$C$6:$C$3005,"&gt;="&amp;($C1444-3),Ventes_Encaissements!$C$6:$C$3005,"&lt;="&amp;($C1444+3)))</f>
        <v/>
      </c>
      <c r="I1444" s="12">
        <f>IF($H1444="","",IF($H1444=0,"Non trouvé",IF($H1444=1,"Match","À vérifier")))</f>
        <v/>
      </c>
      <c r="J1444" s="21">
        <f>IF($I1444&lt;&gt;"Match","",INDEX(Ventes_Encaissements!$B$6:$B$3005,_xludf.AGGREGATE(15,6,(ROW(Ventes_Encaissements!$B$6:$B$3005)-ROW(Ventes_Encaissements!$B$6)+1)/((Ventes_Encaissements!$E$6:$E$3005=$B1444)*(Ventes_Encaissements!$J$6:$J$3005=$G1444)*(Ventes_Encaissements!$C$6:$C$3005&gt;=$C1444-3)*(Ventes_Encaissements!$C$6:$C$3005&lt;=$C1444+3)),1)))</f>
        <v/>
      </c>
      <c r="K1444" s="6" t="n"/>
    </row>
    <row r="1445">
      <c r="A1445" s="6" t="n"/>
      <c r="B1445" s="6" t="n"/>
      <c r="C1445" s="19" t="n"/>
      <c r="D1445" s="19" t="n"/>
      <c r="E1445" s="6" t="n"/>
      <c r="F1445" s="20" t="n"/>
      <c r="G1445" s="9">
        <f>IF($F1445="","",IF($F1445&gt;0,ROUND($F1445,2),""))</f>
        <v/>
      </c>
      <c r="H1445" s="12">
        <f>IF(OR($B1445="",$C1445="",$G1445=""),"",COUNTIFS(Ventes_Encaissements!$E$6:$E$3005,$B1445,Ventes_Encaissements!$J$6:$J$3005,$G1445,Ventes_Encaissements!$C$6:$C$3005,"&gt;="&amp;($C1445-3),Ventes_Encaissements!$C$6:$C$3005,"&lt;="&amp;($C1445+3)))</f>
        <v/>
      </c>
      <c r="I1445" s="12">
        <f>IF($H1445="","",IF($H1445=0,"Non trouvé",IF($H1445=1,"Match","À vérifier")))</f>
        <v/>
      </c>
      <c r="J1445" s="21">
        <f>IF($I1445&lt;&gt;"Match","",INDEX(Ventes_Encaissements!$B$6:$B$3005,_xludf.AGGREGATE(15,6,(ROW(Ventes_Encaissements!$B$6:$B$3005)-ROW(Ventes_Encaissements!$B$6)+1)/((Ventes_Encaissements!$E$6:$E$3005=$B1445)*(Ventes_Encaissements!$J$6:$J$3005=$G1445)*(Ventes_Encaissements!$C$6:$C$3005&gt;=$C1445-3)*(Ventes_Encaissements!$C$6:$C$3005&lt;=$C1445+3)),1)))</f>
        <v/>
      </c>
      <c r="K1445" s="6" t="n"/>
    </row>
    <row r="1446">
      <c r="A1446" s="6" t="n"/>
      <c r="B1446" s="6" t="n"/>
      <c r="C1446" s="19" t="n"/>
      <c r="D1446" s="19" t="n"/>
      <c r="E1446" s="6" t="n"/>
      <c r="F1446" s="20" t="n"/>
      <c r="G1446" s="9">
        <f>IF($F1446="","",IF($F1446&gt;0,ROUND($F1446,2),""))</f>
        <v/>
      </c>
      <c r="H1446" s="12">
        <f>IF(OR($B1446="",$C1446="",$G1446=""),"",COUNTIFS(Ventes_Encaissements!$E$6:$E$3005,$B1446,Ventes_Encaissements!$J$6:$J$3005,$G1446,Ventes_Encaissements!$C$6:$C$3005,"&gt;="&amp;($C1446-3),Ventes_Encaissements!$C$6:$C$3005,"&lt;="&amp;($C1446+3)))</f>
        <v/>
      </c>
      <c r="I1446" s="12">
        <f>IF($H1446="","",IF($H1446=0,"Non trouvé",IF($H1446=1,"Match","À vérifier")))</f>
        <v/>
      </c>
      <c r="J1446" s="21">
        <f>IF($I1446&lt;&gt;"Match","",INDEX(Ventes_Encaissements!$B$6:$B$3005,_xludf.AGGREGATE(15,6,(ROW(Ventes_Encaissements!$B$6:$B$3005)-ROW(Ventes_Encaissements!$B$6)+1)/((Ventes_Encaissements!$E$6:$E$3005=$B1446)*(Ventes_Encaissements!$J$6:$J$3005=$G1446)*(Ventes_Encaissements!$C$6:$C$3005&gt;=$C1446-3)*(Ventes_Encaissements!$C$6:$C$3005&lt;=$C1446+3)),1)))</f>
        <v/>
      </c>
      <c r="K1446" s="6" t="n"/>
    </row>
    <row r="1447">
      <c r="A1447" s="6" t="n"/>
      <c r="B1447" s="6" t="n"/>
      <c r="C1447" s="19" t="n"/>
      <c r="D1447" s="19" t="n"/>
      <c r="E1447" s="6" t="n"/>
      <c r="F1447" s="20" t="n"/>
      <c r="G1447" s="9">
        <f>IF($F1447="","",IF($F1447&gt;0,ROUND($F1447,2),""))</f>
        <v/>
      </c>
      <c r="H1447" s="12">
        <f>IF(OR($B1447="",$C1447="",$G1447=""),"",COUNTIFS(Ventes_Encaissements!$E$6:$E$3005,$B1447,Ventes_Encaissements!$J$6:$J$3005,$G1447,Ventes_Encaissements!$C$6:$C$3005,"&gt;="&amp;($C1447-3),Ventes_Encaissements!$C$6:$C$3005,"&lt;="&amp;($C1447+3)))</f>
        <v/>
      </c>
      <c r="I1447" s="12">
        <f>IF($H1447="","",IF($H1447=0,"Non trouvé",IF($H1447=1,"Match","À vérifier")))</f>
        <v/>
      </c>
      <c r="J1447" s="21">
        <f>IF($I1447&lt;&gt;"Match","",INDEX(Ventes_Encaissements!$B$6:$B$3005,_xludf.AGGREGATE(15,6,(ROW(Ventes_Encaissements!$B$6:$B$3005)-ROW(Ventes_Encaissements!$B$6)+1)/((Ventes_Encaissements!$E$6:$E$3005=$B1447)*(Ventes_Encaissements!$J$6:$J$3005=$G1447)*(Ventes_Encaissements!$C$6:$C$3005&gt;=$C1447-3)*(Ventes_Encaissements!$C$6:$C$3005&lt;=$C1447+3)),1)))</f>
        <v/>
      </c>
      <c r="K1447" s="6" t="n"/>
    </row>
    <row r="1448">
      <c r="A1448" s="6" t="n"/>
      <c r="B1448" s="6" t="n"/>
      <c r="C1448" s="19" t="n"/>
      <c r="D1448" s="19" t="n"/>
      <c r="E1448" s="6" t="n"/>
      <c r="F1448" s="20" t="n"/>
      <c r="G1448" s="9">
        <f>IF($F1448="","",IF($F1448&gt;0,ROUND($F1448,2),""))</f>
        <v/>
      </c>
      <c r="H1448" s="12">
        <f>IF(OR($B1448="",$C1448="",$G1448=""),"",COUNTIFS(Ventes_Encaissements!$E$6:$E$3005,$B1448,Ventes_Encaissements!$J$6:$J$3005,$G1448,Ventes_Encaissements!$C$6:$C$3005,"&gt;="&amp;($C1448-3),Ventes_Encaissements!$C$6:$C$3005,"&lt;="&amp;($C1448+3)))</f>
        <v/>
      </c>
      <c r="I1448" s="12">
        <f>IF($H1448="","",IF($H1448=0,"Non trouvé",IF($H1448=1,"Match","À vérifier")))</f>
        <v/>
      </c>
      <c r="J1448" s="21">
        <f>IF($I1448&lt;&gt;"Match","",INDEX(Ventes_Encaissements!$B$6:$B$3005,_xludf.AGGREGATE(15,6,(ROW(Ventes_Encaissements!$B$6:$B$3005)-ROW(Ventes_Encaissements!$B$6)+1)/((Ventes_Encaissements!$E$6:$E$3005=$B1448)*(Ventes_Encaissements!$J$6:$J$3005=$G1448)*(Ventes_Encaissements!$C$6:$C$3005&gt;=$C1448-3)*(Ventes_Encaissements!$C$6:$C$3005&lt;=$C1448+3)),1)))</f>
        <v/>
      </c>
      <c r="K1448" s="6" t="n"/>
    </row>
    <row r="1449">
      <c r="A1449" s="6" t="n"/>
      <c r="B1449" s="6" t="n"/>
      <c r="C1449" s="19" t="n"/>
      <c r="D1449" s="19" t="n"/>
      <c r="E1449" s="6" t="n"/>
      <c r="F1449" s="20" t="n"/>
      <c r="G1449" s="9">
        <f>IF($F1449="","",IF($F1449&gt;0,ROUND($F1449,2),""))</f>
        <v/>
      </c>
      <c r="H1449" s="12">
        <f>IF(OR($B1449="",$C1449="",$G1449=""),"",COUNTIFS(Ventes_Encaissements!$E$6:$E$3005,$B1449,Ventes_Encaissements!$J$6:$J$3005,$G1449,Ventes_Encaissements!$C$6:$C$3005,"&gt;="&amp;($C1449-3),Ventes_Encaissements!$C$6:$C$3005,"&lt;="&amp;($C1449+3)))</f>
        <v/>
      </c>
      <c r="I1449" s="12">
        <f>IF($H1449="","",IF($H1449=0,"Non trouvé",IF($H1449=1,"Match","À vérifier")))</f>
        <v/>
      </c>
      <c r="J1449" s="21">
        <f>IF($I1449&lt;&gt;"Match","",INDEX(Ventes_Encaissements!$B$6:$B$3005,_xludf.AGGREGATE(15,6,(ROW(Ventes_Encaissements!$B$6:$B$3005)-ROW(Ventes_Encaissements!$B$6)+1)/((Ventes_Encaissements!$E$6:$E$3005=$B1449)*(Ventes_Encaissements!$J$6:$J$3005=$G1449)*(Ventes_Encaissements!$C$6:$C$3005&gt;=$C1449-3)*(Ventes_Encaissements!$C$6:$C$3005&lt;=$C1449+3)),1)))</f>
        <v/>
      </c>
      <c r="K1449" s="6" t="n"/>
    </row>
    <row r="1450">
      <c r="A1450" s="6" t="n"/>
      <c r="B1450" s="6" t="n"/>
      <c r="C1450" s="19" t="n"/>
      <c r="D1450" s="19" t="n"/>
      <c r="E1450" s="6" t="n"/>
      <c r="F1450" s="20" t="n"/>
      <c r="G1450" s="9">
        <f>IF($F1450="","",IF($F1450&gt;0,ROUND($F1450,2),""))</f>
        <v/>
      </c>
      <c r="H1450" s="12">
        <f>IF(OR($B1450="",$C1450="",$G1450=""),"",COUNTIFS(Ventes_Encaissements!$E$6:$E$3005,$B1450,Ventes_Encaissements!$J$6:$J$3005,$G1450,Ventes_Encaissements!$C$6:$C$3005,"&gt;="&amp;($C1450-3),Ventes_Encaissements!$C$6:$C$3005,"&lt;="&amp;($C1450+3)))</f>
        <v/>
      </c>
      <c r="I1450" s="12">
        <f>IF($H1450="","",IF($H1450=0,"Non trouvé",IF($H1450=1,"Match","À vérifier")))</f>
        <v/>
      </c>
      <c r="J1450" s="21">
        <f>IF($I1450&lt;&gt;"Match","",INDEX(Ventes_Encaissements!$B$6:$B$3005,_xludf.AGGREGATE(15,6,(ROW(Ventes_Encaissements!$B$6:$B$3005)-ROW(Ventes_Encaissements!$B$6)+1)/((Ventes_Encaissements!$E$6:$E$3005=$B1450)*(Ventes_Encaissements!$J$6:$J$3005=$G1450)*(Ventes_Encaissements!$C$6:$C$3005&gt;=$C1450-3)*(Ventes_Encaissements!$C$6:$C$3005&lt;=$C1450+3)),1)))</f>
        <v/>
      </c>
      <c r="K1450" s="6" t="n"/>
    </row>
    <row r="1451">
      <c r="A1451" s="6" t="n"/>
      <c r="B1451" s="6" t="n"/>
      <c r="C1451" s="19" t="n"/>
      <c r="D1451" s="19" t="n"/>
      <c r="E1451" s="6" t="n"/>
      <c r="F1451" s="20" t="n"/>
      <c r="G1451" s="9">
        <f>IF($F1451="","",IF($F1451&gt;0,ROUND($F1451,2),""))</f>
        <v/>
      </c>
      <c r="H1451" s="12">
        <f>IF(OR($B1451="",$C1451="",$G1451=""),"",COUNTIFS(Ventes_Encaissements!$E$6:$E$3005,$B1451,Ventes_Encaissements!$J$6:$J$3005,$G1451,Ventes_Encaissements!$C$6:$C$3005,"&gt;="&amp;($C1451-3),Ventes_Encaissements!$C$6:$C$3005,"&lt;="&amp;($C1451+3)))</f>
        <v/>
      </c>
      <c r="I1451" s="12">
        <f>IF($H1451="","",IF($H1451=0,"Non trouvé",IF($H1451=1,"Match","À vérifier")))</f>
        <v/>
      </c>
      <c r="J1451" s="21">
        <f>IF($I1451&lt;&gt;"Match","",INDEX(Ventes_Encaissements!$B$6:$B$3005,_xludf.AGGREGATE(15,6,(ROW(Ventes_Encaissements!$B$6:$B$3005)-ROW(Ventes_Encaissements!$B$6)+1)/((Ventes_Encaissements!$E$6:$E$3005=$B1451)*(Ventes_Encaissements!$J$6:$J$3005=$G1451)*(Ventes_Encaissements!$C$6:$C$3005&gt;=$C1451-3)*(Ventes_Encaissements!$C$6:$C$3005&lt;=$C1451+3)),1)))</f>
        <v/>
      </c>
      <c r="K1451" s="6" t="n"/>
    </row>
    <row r="1452">
      <c r="A1452" s="6" t="n"/>
      <c r="B1452" s="6" t="n"/>
      <c r="C1452" s="19" t="n"/>
      <c r="D1452" s="19" t="n"/>
      <c r="E1452" s="6" t="n"/>
      <c r="F1452" s="20" t="n"/>
      <c r="G1452" s="9">
        <f>IF($F1452="","",IF($F1452&gt;0,ROUND($F1452,2),""))</f>
        <v/>
      </c>
      <c r="H1452" s="12">
        <f>IF(OR($B1452="",$C1452="",$G1452=""),"",COUNTIFS(Ventes_Encaissements!$E$6:$E$3005,$B1452,Ventes_Encaissements!$J$6:$J$3005,$G1452,Ventes_Encaissements!$C$6:$C$3005,"&gt;="&amp;($C1452-3),Ventes_Encaissements!$C$6:$C$3005,"&lt;="&amp;($C1452+3)))</f>
        <v/>
      </c>
      <c r="I1452" s="12">
        <f>IF($H1452="","",IF($H1452=0,"Non trouvé",IF($H1452=1,"Match","À vérifier")))</f>
        <v/>
      </c>
      <c r="J1452" s="21">
        <f>IF($I1452&lt;&gt;"Match","",INDEX(Ventes_Encaissements!$B$6:$B$3005,_xludf.AGGREGATE(15,6,(ROW(Ventes_Encaissements!$B$6:$B$3005)-ROW(Ventes_Encaissements!$B$6)+1)/((Ventes_Encaissements!$E$6:$E$3005=$B1452)*(Ventes_Encaissements!$J$6:$J$3005=$G1452)*(Ventes_Encaissements!$C$6:$C$3005&gt;=$C1452-3)*(Ventes_Encaissements!$C$6:$C$3005&lt;=$C1452+3)),1)))</f>
        <v/>
      </c>
      <c r="K1452" s="6" t="n"/>
    </row>
    <row r="1453">
      <c r="A1453" s="6" t="n"/>
      <c r="B1453" s="6" t="n"/>
      <c r="C1453" s="19" t="n"/>
      <c r="D1453" s="19" t="n"/>
      <c r="E1453" s="6" t="n"/>
      <c r="F1453" s="20" t="n"/>
      <c r="G1453" s="9">
        <f>IF($F1453="","",IF($F1453&gt;0,ROUND($F1453,2),""))</f>
        <v/>
      </c>
      <c r="H1453" s="12">
        <f>IF(OR($B1453="",$C1453="",$G1453=""),"",COUNTIFS(Ventes_Encaissements!$E$6:$E$3005,$B1453,Ventes_Encaissements!$J$6:$J$3005,$G1453,Ventes_Encaissements!$C$6:$C$3005,"&gt;="&amp;($C1453-3),Ventes_Encaissements!$C$6:$C$3005,"&lt;="&amp;($C1453+3)))</f>
        <v/>
      </c>
      <c r="I1453" s="12">
        <f>IF($H1453="","",IF($H1453=0,"Non trouvé",IF($H1453=1,"Match","À vérifier")))</f>
        <v/>
      </c>
      <c r="J1453" s="21">
        <f>IF($I1453&lt;&gt;"Match","",INDEX(Ventes_Encaissements!$B$6:$B$3005,_xludf.AGGREGATE(15,6,(ROW(Ventes_Encaissements!$B$6:$B$3005)-ROW(Ventes_Encaissements!$B$6)+1)/((Ventes_Encaissements!$E$6:$E$3005=$B1453)*(Ventes_Encaissements!$J$6:$J$3005=$G1453)*(Ventes_Encaissements!$C$6:$C$3005&gt;=$C1453-3)*(Ventes_Encaissements!$C$6:$C$3005&lt;=$C1453+3)),1)))</f>
        <v/>
      </c>
      <c r="K1453" s="6" t="n"/>
    </row>
    <row r="1454">
      <c r="A1454" s="6" t="n"/>
      <c r="B1454" s="6" t="n"/>
      <c r="C1454" s="19" t="n"/>
      <c r="D1454" s="19" t="n"/>
      <c r="E1454" s="6" t="n"/>
      <c r="F1454" s="20" t="n"/>
      <c r="G1454" s="9">
        <f>IF($F1454="","",IF($F1454&gt;0,ROUND($F1454,2),""))</f>
        <v/>
      </c>
      <c r="H1454" s="12">
        <f>IF(OR($B1454="",$C1454="",$G1454=""),"",COUNTIFS(Ventes_Encaissements!$E$6:$E$3005,$B1454,Ventes_Encaissements!$J$6:$J$3005,$G1454,Ventes_Encaissements!$C$6:$C$3005,"&gt;="&amp;($C1454-3),Ventes_Encaissements!$C$6:$C$3005,"&lt;="&amp;($C1454+3)))</f>
        <v/>
      </c>
      <c r="I1454" s="12">
        <f>IF($H1454="","",IF($H1454=0,"Non trouvé",IF($H1454=1,"Match","À vérifier")))</f>
        <v/>
      </c>
      <c r="J1454" s="21">
        <f>IF($I1454&lt;&gt;"Match","",INDEX(Ventes_Encaissements!$B$6:$B$3005,_xludf.AGGREGATE(15,6,(ROW(Ventes_Encaissements!$B$6:$B$3005)-ROW(Ventes_Encaissements!$B$6)+1)/((Ventes_Encaissements!$E$6:$E$3005=$B1454)*(Ventes_Encaissements!$J$6:$J$3005=$G1454)*(Ventes_Encaissements!$C$6:$C$3005&gt;=$C1454-3)*(Ventes_Encaissements!$C$6:$C$3005&lt;=$C1454+3)),1)))</f>
        <v/>
      </c>
      <c r="K1454" s="6" t="n"/>
    </row>
    <row r="1455">
      <c r="A1455" s="6" t="n"/>
      <c r="B1455" s="6" t="n"/>
      <c r="C1455" s="19" t="n"/>
      <c r="D1455" s="19" t="n"/>
      <c r="E1455" s="6" t="n"/>
      <c r="F1455" s="20" t="n"/>
      <c r="G1455" s="9">
        <f>IF($F1455="","",IF($F1455&gt;0,ROUND($F1455,2),""))</f>
        <v/>
      </c>
      <c r="H1455" s="12">
        <f>IF(OR($B1455="",$C1455="",$G1455=""),"",COUNTIFS(Ventes_Encaissements!$E$6:$E$3005,$B1455,Ventes_Encaissements!$J$6:$J$3005,$G1455,Ventes_Encaissements!$C$6:$C$3005,"&gt;="&amp;($C1455-3),Ventes_Encaissements!$C$6:$C$3005,"&lt;="&amp;($C1455+3)))</f>
        <v/>
      </c>
      <c r="I1455" s="12">
        <f>IF($H1455="","",IF($H1455=0,"Non trouvé",IF($H1455=1,"Match","À vérifier")))</f>
        <v/>
      </c>
      <c r="J1455" s="21">
        <f>IF($I1455&lt;&gt;"Match","",INDEX(Ventes_Encaissements!$B$6:$B$3005,_xludf.AGGREGATE(15,6,(ROW(Ventes_Encaissements!$B$6:$B$3005)-ROW(Ventes_Encaissements!$B$6)+1)/((Ventes_Encaissements!$E$6:$E$3005=$B1455)*(Ventes_Encaissements!$J$6:$J$3005=$G1455)*(Ventes_Encaissements!$C$6:$C$3005&gt;=$C1455-3)*(Ventes_Encaissements!$C$6:$C$3005&lt;=$C1455+3)),1)))</f>
        <v/>
      </c>
      <c r="K1455" s="6" t="n"/>
    </row>
    <row r="1456">
      <c r="A1456" s="6" t="n"/>
      <c r="B1456" s="6" t="n"/>
      <c r="C1456" s="19" t="n"/>
      <c r="D1456" s="19" t="n"/>
      <c r="E1456" s="6" t="n"/>
      <c r="F1456" s="20" t="n"/>
      <c r="G1456" s="9">
        <f>IF($F1456="","",IF($F1456&gt;0,ROUND($F1456,2),""))</f>
        <v/>
      </c>
      <c r="H1456" s="12">
        <f>IF(OR($B1456="",$C1456="",$G1456=""),"",COUNTIFS(Ventes_Encaissements!$E$6:$E$3005,$B1456,Ventes_Encaissements!$J$6:$J$3005,$G1456,Ventes_Encaissements!$C$6:$C$3005,"&gt;="&amp;($C1456-3),Ventes_Encaissements!$C$6:$C$3005,"&lt;="&amp;($C1456+3)))</f>
        <v/>
      </c>
      <c r="I1456" s="12">
        <f>IF($H1456="","",IF($H1456=0,"Non trouvé",IF($H1456=1,"Match","À vérifier")))</f>
        <v/>
      </c>
      <c r="J1456" s="21">
        <f>IF($I1456&lt;&gt;"Match","",INDEX(Ventes_Encaissements!$B$6:$B$3005,_xludf.AGGREGATE(15,6,(ROW(Ventes_Encaissements!$B$6:$B$3005)-ROW(Ventes_Encaissements!$B$6)+1)/((Ventes_Encaissements!$E$6:$E$3005=$B1456)*(Ventes_Encaissements!$J$6:$J$3005=$G1456)*(Ventes_Encaissements!$C$6:$C$3005&gt;=$C1456-3)*(Ventes_Encaissements!$C$6:$C$3005&lt;=$C1456+3)),1)))</f>
        <v/>
      </c>
      <c r="K1456" s="6" t="n"/>
    </row>
    <row r="1457">
      <c r="A1457" s="6" t="n"/>
      <c r="B1457" s="6" t="n"/>
      <c r="C1457" s="19" t="n"/>
      <c r="D1457" s="19" t="n"/>
      <c r="E1457" s="6" t="n"/>
      <c r="F1457" s="20" t="n"/>
      <c r="G1457" s="9">
        <f>IF($F1457="","",IF($F1457&gt;0,ROUND($F1457,2),""))</f>
        <v/>
      </c>
      <c r="H1457" s="12">
        <f>IF(OR($B1457="",$C1457="",$G1457=""),"",COUNTIFS(Ventes_Encaissements!$E$6:$E$3005,$B1457,Ventes_Encaissements!$J$6:$J$3005,$G1457,Ventes_Encaissements!$C$6:$C$3005,"&gt;="&amp;($C1457-3),Ventes_Encaissements!$C$6:$C$3005,"&lt;="&amp;($C1457+3)))</f>
        <v/>
      </c>
      <c r="I1457" s="12">
        <f>IF($H1457="","",IF($H1457=0,"Non trouvé",IF($H1457=1,"Match","À vérifier")))</f>
        <v/>
      </c>
      <c r="J1457" s="21">
        <f>IF($I1457&lt;&gt;"Match","",INDEX(Ventes_Encaissements!$B$6:$B$3005,_xludf.AGGREGATE(15,6,(ROW(Ventes_Encaissements!$B$6:$B$3005)-ROW(Ventes_Encaissements!$B$6)+1)/((Ventes_Encaissements!$E$6:$E$3005=$B1457)*(Ventes_Encaissements!$J$6:$J$3005=$G1457)*(Ventes_Encaissements!$C$6:$C$3005&gt;=$C1457-3)*(Ventes_Encaissements!$C$6:$C$3005&lt;=$C1457+3)),1)))</f>
        <v/>
      </c>
      <c r="K1457" s="6" t="n"/>
    </row>
    <row r="1458">
      <c r="A1458" s="6" t="n"/>
      <c r="B1458" s="6" t="n"/>
      <c r="C1458" s="19" t="n"/>
      <c r="D1458" s="19" t="n"/>
      <c r="E1458" s="6" t="n"/>
      <c r="F1458" s="20" t="n"/>
      <c r="G1458" s="9">
        <f>IF($F1458="","",IF($F1458&gt;0,ROUND($F1458,2),""))</f>
        <v/>
      </c>
      <c r="H1458" s="12">
        <f>IF(OR($B1458="",$C1458="",$G1458=""),"",COUNTIFS(Ventes_Encaissements!$E$6:$E$3005,$B1458,Ventes_Encaissements!$J$6:$J$3005,$G1458,Ventes_Encaissements!$C$6:$C$3005,"&gt;="&amp;($C1458-3),Ventes_Encaissements!$C$6:$C$3005,"&lt;="&amp;($C1458+3)))</f>
        <v/>
      </c>
      <c r="I1458" s="12">
        <f>IF($H1458="","",IF($H1458=0,"Non trouvé",IF($H1458=1,"Match","À vérifier")))</f>
        <v/>
      </c>
      <c r="J1458" s="21">
        <f>IF($I1458&lt;&gt;"Match","",INDEX(Ventes_Encaissements!$B$6:$B$3005,_xludf.AGGREGATE(15,6,(ROW(Ventes_Encaissements!$B$6:$B$3005)-ROW(Ventes_Encaissements!$B$6)+1)/((Ventes_Encaissements!$E$6:$E$3005=$B1458)*(Ventes_Encaissements!$J$6:$J$3005=$G1458)*(Ventes_Encaissements!$C$6:$C$3005&gt;=$C1458-3)*(Ventes_Encaissements!$C$6:$C$3005&lt;=$C1458+3)),1)))</f>
        <v/>
      </c>
      <c r="K1458" s="6" t="n"/>
    </row>
    <row r="1459">
      <c r="A1459" s="6" t="n"/>
      <c r="B1459" s="6" t="n"/>
      <c r="C1459" s="19" t="n"/>
      <c r="D1459" s="19" t="n"/>
      <c r="E1459" s="6" t="n"/>
      <c r="F1459" s="20" t="n"/>
      <c r="G1459" s="9">
        <f>IF($F1459="","",IF($F1459&gt;0,ROUND($F1459,2),""))</f>
        <v/>
      </c>
      <c r="H1459" s="12">
        <f>IF(OR($B1459="",$C1459="",$G1459=""),"",COUNTIFS(Ventes_Encaissements!$E$6:$E$3005,$B1459,Ventes_Encaissements!$J$6:$J$3005,$G1459,Ventes_Encaissements!$C$6:$C$3005,"&gt;="&amp;($C1459-3),Ventes_Encaissements!$C$6:$C$3005,"&lt;="&amp;($C1459+3)))</f>
        <v/>
      </c>
      <c r="I1459" s="12">
        <f>IF($H1459="","",IF($H1459=0,"Non trouvé",IF($H1459=1,"Match","À vérifier")))</f>
        <v/>
      </c>
      <c r="J1459" s="21">
        <f>IF($I1459&lt;&gt;"Match","",INDEX(Ventes_Encaissements!$B$6:$B$3005,_xludf.AGGREGATE(15,6,(ROW(Ventes_Encaissements!$B$6:$B$3005)-ROW(Ventes_Encaissements!$B$6)+1)/((Ventes_Encaissements!$E$6:$E$3005=$B1459)*(Ventes_Encaissements!$J$6:$J$3005=$G1459)*(Ventes_Encaissements!$C$6:$C$3005&gt;=$C1459-3)*(Ventes_Encaissements!$C$6:$C$3005&lt;=$C1459+3)),1)))</f>
        <v/>
      </c>
      <c r="K1459" s="6" t="n"/>
    </row>
    <row r="1460">
      <c r="A1460" s="6" t="n"/>
      <c r="B1460" s="6" t="n"/>
      <c r="C1460" s="19" t="n"/>
      <c r="D1460" s="19" t="n"/>
      <c r="E1460" s="6" t="n"/>
      <c r="F1460" s="20" t="n"/>
      <c r="G1460" s="9">
        <f>IF($F1460="","",IF($F1460&gt;0,ROUND($F1460,2),""))</f>
        <v/>
      </c>
      <c r="H1460" s="12">
        <f>IF(OR($B1460="",$C1460="",$G1460=""),"",COUNTIFS(Ventes_Encaissements!$E$6:$E$3005,$B1460,Ventes_Encaissements!$J$6:$J$3005,$G1460,Ventes_Encaissements!$C$6:$C$3005,"&gt;="&amp;($C1460-3),Ventes_Encaissements!$C$6:$C$3005,"&lt;="&amp;($C1460+3)))</f>
        <v/>
      </c>
      <c r="I1460" s="12">
        <f>IF($H1460="","",IF($H1460=0,"Non trouvé",IF($H1460=1,"Match","À vérifier")))</f>
        <v/>
      </c>
      <c r="J1460" s="21">
        <f>IF($I1460&lt;&gt;"Match","",INDEX(Ventes_Encaissements!$B$6:$B$3005,_xludf.AGGREGATE(15,6,(ROW(Ventes_Encaissements!$B$6:$B$3005)-ROW(Ventes_Encaissements!$B$6)+1)/((Ventes_Encaissements!$E$6:$E$3005=$B1460)*(Ventes_Encaissements!$J$6:$J$3005=$G1460)*(Ventes_Encaissements!$C$6:$C$3005&gt;=$C1460-3)*(Ventes_Encaissements!$C$6:$C$3005&lt;=$C1460+3)),1)))</f>
        <v/>
      </c>
      <c r="K1460" s="6" t="n"/>
    </row>
    <row r="1461">
      <c r="A1461" s="6" t="n"/>
      <c r="B1461" s="6" t="n"/>
      <c r="C1461" s="19" t="n"/>
      <c r="D1461" s="19" t="n"/>
      <c r="E1461" s="6" t="n"/>
      <c r="F1461" s="20" t="n"/>
      <c r="G1461" s="9">
        <f>IF($F1461="","",IF($F1461&gt;0,ROUND($F1461,2),""))</f>
        <v/>
      </c>
      <c r="H1461" s="12">
        <f>IF(OR($B1461="",$C1461="",$G1461=""),"",COUNTIFS(Ventes_Encaissements!$E$6:$E$3005,$B1461,Ventes_Encaissements!$J$6:$J$3005,$G1461,Ventes_Encaissements!$C$6:$C$3005,"&gt;="&amp;($C1461-3),Ventes_Encaissements!$C$6:$C$3005,"&lt;="&amp;($C1461+3)))</f>
        <v/>
      </c>
      <c r="I1461" s="12">
        <f>IF($H1461="","",IF($H1461=0,"Non trouvé",IF($H1461=1,"Match","À vérifier")))</f>
        <v/>
      </c>
      <c r="J1461" s="21">
        <f>IF($I1461&lt;&gt;"Match","",INDEX(Ventes_Encaissements!$B$6:$B$3005,_xludf.AGGREGATE(15,6,(ROW(Ventes_Encaissements!$B$6:$B$3005)-ROW(Ventes_Encaissements!$B$6)+1)/((Ventes_Encaissements!$E$6:$E$3005=$B1461)*(Ventes_Encaissements!$J$6:$J$3005=$G1461)*(Ventes_Encaissements!$C$6:$C$3005&gt;=$C1461-3)*(Ventes_Encaissements!$C$6:$C$3005&lt;=$C1461+3)),1)))</f>
        <v/>
      </c>
      <c r="K1461" s="6" t="n"/>
    </row>
    <row r="1462">
      <c r="A1462" s="6" t="n"/>
      <c r="B1462" s="6" t="n"/>
      <c r="C1462" s="19" t="n"/>
      <c r="D1462" s="19" t="n"/>
      <c r="E1462" s="6" t="n"/>
      <c r="F1462" s="20" t="n"/>
      <c r="G1462" s="9">
        <f>IF($F1462="","",IF($F1462&gt;0,ROUND($F1462,2),""))</f>
        <v/>
      </c>
      <c r="H1462" s="12">
        <f>IF(OR($B1462="",$C1462="",$G1462=""),"",COUNTIFS(Ventes_Encaissements!$E$6:$E$3005,$B1462,Ventes_Encaissements!$J$6:$J$3005,$G1462,Ventes_Encaissements!$C$6:$C$3005,"&gt;="&amp;($C1462-3),Ventes_Encaissements!$C$6:$C$3005,"&lt;="&amp;($C1462+3)))</f>
        <v/>
      </c>
      <c r="I1462" s="12">
        <f>IF($H1462="","",IF($H1462=0,"Non trouvé",IF($H1462=1,"Match","À vérifier")))</f>
        <v/>
      </c>
      <c r="J1462" s="21">
        <f>IF($I1462&lt;&gt;"Match","",INDEX(Ventes_Encaissements!$B$6:$B$3005,_xludf.AGGREGATE(15,6,(ROW(Ventes_Encaissements!$B$6:$B$3005)-ROW(Ventes_Encaissements!$B$6)+1)/((Ventes_Encaissements!$E$6:$E$3005=$B1462)*(Ventes_Encaissements!$J$6:$J$3005=$G1462)*(Ventes_Encaissements!$C$6:$C$3005&gt;=$C1462-3)*(Ventes_Encaissements!$C$6:$C$3005&lt;=$C1462+3)),1)))</f>
        <v/>
      </c>
      <c r="K1462" s="6" t="n"/>
    </row>
    <row r="1463">
      <c r="A1463" s="6" t="n"/>
      <c r="B1463" s="6" t="n"/>
      <c r="C1463" s="19" t="n"/>
      <c r="D1463" s="19" t="n"/>
      <c r="E1463" s="6" t="n"/>
      <c r="F1463" s="20" t="n"/>
      <c r="G1463" s="9">
        <f>IF($F1463="","",IF($F1463&gt;0,ROUND($F1463,2),""))</f>
        <v/>
      </c>
      <c r="H1463" s="12">
        <f>IF(OR($B1463="",$C1463="",$G1463=""),"",COUNTIFS(Ventes_Encaissements!$E$6:$E$3005,$B1463,Ventes_Encaissements!$J$6:$J$3005,$G1463,Ventes_Encaissements!$C$6:$C$3005,"&gt;="&amp;($C1463-3),Ventes_Encaissements!$C$6:$C$3005,"&lt;="&amp;($C1463+3)))</f>
        <v/>
      </c>
      <c r="I1463" s="12">
        <f>IF($H1463="","",IF($H1463=0,"Non trouvé",IF($H1463=1,"Match","À vérifier")))</f>
        <v/>
      </c>
      <c r="J1463" s="21">
        <f>IF($I1463&lt;&gt;"Match","",INDEX(Ventes_Encaissements!$B$6:$B$3005,_xludf.AGGREGATE(15,6,(ROW(Ventes_Encaissements!$B$6:$B$3005)-ROW(Ventes_Encaissements!$B$6)+1)/((Ventes_Encaissements!$E$6:$E$3005=$B1463)*(Ventes_Encaissements!$J$6:$J$3005=$G1463)*(Ventes_Encaissements!$C$6:$C$3005&gt;=$C1463-3)*(Ventes_Encaissements!$C$6:$C$3005&lt;=$C1463+3)),1)))</f>
        <v/>
      </c>
      <c r="K1463" s="6" t="n"/>
    </row>
    <row r="1464">
      <c r="A1464" s="6" t="n"/>
      <c r="B1464" s="6" t="n"/>
      <c r="C1464" s="19" t="n"/>
      <c r="D1464" s="19" t="n"/>
      <c r="E1464" s="6" t="n"/>
      <c r="F1464" s="20" t="n"/>
      <c r="G1464" s="9">
        <f>IF($F1464="","",IF($F1464&gt;0,ROUND($F1464,2),""))</f>
        <v/>
      </c>
      <c r="H1464" s="12">
        <f>IF(OR($B1464="",$C1464="",$G1464=""),"",COUNTIFS(Ventes_Encaissements!$E$6:$E$3005,$B1464,Ventes_Encaissements!$J$6:$J$3005,$G1464,Ventes_Encaissements!$C$6:$C$3005,"&gt;="&amp;($C1464-3),Ventes_Encaissements!$C$6:$C$3005,"&lt;="&amp;($C1464+3)))</f>
        <v/>
      </c>
      <c r="I1464" s="12">
        <f>IF($H1464="","",IF($H1464=0,"Non trouvé",IF($H1464=1,"Match","À vérifier")))</f>
        <v/>
      </c>
      <c r="J1464" s="21">
        <f>IF($I1464&lt;&gt;"Match","",INDEX(Ventes_Encaissements!$B$6:$B$3005,_xludf.AGGREGATE(15,6,(ROW(Ventes_Encaissements!$B$6:$B$3005)-ROW(Ventes_Encaissements!$B$6)+1)/((Ventes_Encaissements!$E$6:$E$3005=$B1464)*(Ventes_Encaissements!$J$6:$J$3005=$G1464)*(Ventes_Encaissements!$C$6:$C$3005&gt;=$C1464-3)*(Ventes_Encaissements!$C$6:$C$3005&lt;=$C1464+3)),1)))</f>
        <v/>
      </c>
      <c r="K1464" s="6" t="n"/>
    </row>
    <row r="1465">
      <c r="A1465" s="6" t="n"/>
      <c r="B1465" s="6" t="n"/>
      <c r="C1465" s="19" t="n"/>
      <c r="D1465" s="19" t="n"/>
      <c r="E1465" s="6" t="n"/>
      <c r="F1465" s="20" t="n"/>
      <c r="G1465" s="9">
        <f>IF($F1465="","",IF($F1465&gt;0,ROUND($F1465,2),""))</f>
        <v/>
      </c>
      <c r="H1465" s="12">
        <f>IF(OR($B1465="",$C1465="",$G1465=""),"",COUNTIFS(Ventes_Encaissements!$E$6:$E$3005,$B1465,Ventes_Encaissements!$J$6:$J$3005,$G1465,Ventes_Encaissements!$C$6:$C$3005,"&gt;="&amp;($C1465-3),Ventes_Encaissements!$C$6:$C$3005,"&lt;="&amp;($C1465+3)))</f>
        <v/>
      </c>
      <c r="I1465" s="12">
        <f>IF($H1465="","",IF($H1465=0,"Non trouvé",IF($H1465=1,"Match","À vérifier")))</f>
        <v/>
      </c>
      <c r="J1465" s="21">
        <f>IF($I1465&lt;&gt;"Match","",INDEX(Ventes_Encaissements!$B$6:$B$3005,_xludf.AGGREGATE(15,6,(ROW(Ventes_Encaissements!$B$6:$B$3005)-ROW(Ventes_Encaissements!$B$6)+1)/((Ventes_Encaissements!$E$6:$E$3005=$B1465)*(Ventes_Encaissements!$J$6:$J$3005=$G1465)*(Ventes_Encaissements!$C$6:$C$3005&gt;=$C1465-3)*(Ventes_Encaissements!$C$6:$C$3005&lt;=$C1465+3)),1)))</f>
        <v/>
      </c>
      <c r="K1465" s="6" t="n"/>
    </row>
    <row r="1466">
      <c r="A1466" s="6" t="n"/>
      <c r="B1466" s="6" t="n"/>
      <c r="C1466" s="19" t="n"/>
      <c r="D1466" s="19" t="n"/>
      <c r="E1466" s="6" t="n"/>
      <c r="F1466" s="20" t="n"/>
      <c r="G1466" s="9">
        <f>IF($F1466="","",IF($F1466&gt;0,ROUND($F1466,2),""))</f>
        <v/>
      </c>
      <c r="H1466" s="12">
        <f>IF(OR($B1466="",$C1466="",$G1466=""),"",COUNTIFS(Ventes_Encaissements!$E$6:$E$3005,$B1466,Ventes_Encaissements!$J$6:$J$3005,$G1466,Ventes_Encaissements!$C$6:$C$3005,"&gt;="&amp;($C1466-3),Ventes_Encaissements!$C$6:$C$3005,"&lt;="&amp;($C1466+3)))</f>
        <v/>
      </c>
      <c r="I1466" s="12">
        <f>IF($H1466="","",IF($H1466=0,"Non trouvé",IF($H1466=1,"Match","À vérifier")))</f>
        <v/>
      </c>
      <c r="J1466" s="21">
        <f>IF($I1466&lt;&gt;"Match","",INDEX(Ventes_Encaissements!$B$6:$B$3005,_xludf.AGGREGATE(15,6,(ROW(Ventes_Encaissements!$B$6:$B$3005)-ROW(Ventes_Encaissements!$B$6)+1)/((Ventes_Encaissements!$E$6:$E$3005=$B1466)*(Ventes_Encaissements!$J$6:$J$3005=$G1466)*(Ventes_Encaissements!$C$6:$C$3005&gt;=$C1466-3)*(Ventes_Encaissements!$C$6:$C$3005&lt;=$C1466+3)),1)))</f>
        <v/>
      </c>
      <c r="K1466" s="6" t="n"/>
    </row>
    <row r="1467">
      <c r="A1467" s="6" t="n"/>
      <c r="B1467" s="6" t="n"/>
      <c r="C1467" s="19" t="n"/>
      <c r="D1467" s="19" t="n"/>
      <c r="E1467" s="6" t="n"/>
      <c r="F1467" s="20" t="n"/>
      <c r="G1467" s="9">
        <f>IF($F1467="","",IF($F1467&gt;0,ROUND($F1467,2),""))</f>
        <v/>
      </c>
      <c r="H1467" s="12">
        <f>IF(OR($B1467="",$C1467="",$G1467=""),"",COUNTIFS(Ventes_Encaissements!$E$6:$E$3005,$B1467,Ventes_Encaissements!$J$6:$J$3005,$G1467,Ventes_Encaissements!$C$6:$C$3005,"&gt;="&amp;($C1467-3),Ventes_Encaissements!$C$6:$C$3005,"&lt;="&amp;($C1467+3)))</f>
        <v/>
      </c>
      <c r="I1467" s="12">
        <f>IF($H1467="","",IF($H1467=0,"Non trouvé",IF($H1467=1,"Match","À vérifier")))</f>
        <v/>
      </c>
      <c r="J1467" s="21">
        <f>IF($I1467&lt;&gt;"Match","",INDEX(Ventes_Encaissements!$B$6:$B$3005,_xludf.AGGREGATE(15,6,(ROW(Ventes_Encaissements!$B$6:$B$3005)-ROW(Ventes_Encaissements!$B$6)+1)/((Ventes_Encaissements!$E$6:$E$3005=$B1467)*(Ventes_Encaissements!$J$6:$J$3005=$G1467)*(Ventes_Encaissements!$C$6:$C$3005&gt;=$C1467-3)*(Ventes_Encaissements!$C$6:$C$3005&lt;=$C1467+3)),1)))</f>
        <v/>
      </c>
      <c r="K1467" s="6" t="n"/>
    </row>
    <row r="1468">
      <c r="A1468" s="6" t="n"/>
      <c r="B1468" s="6" t="n"/>
      <c r="C1468" s="19" t="n"/>
      <c r="D1468" s="19" t="n"/>
      <c r="E1468" s="6" t="n"/>
      <c r="F1468" s="20" t="n"/>
      <c r="G1468" s="9">
        <f>IF($F1468="","",IF($F1468&gt;0,ROUND($F1468,2),""))</f>
        <v/>
      </c>
      <c r="H1468" s="12">
        <f>IF(OR($B1468="",$C1468="",$G1468=""),"",COUNTIFS(Ventes_Encaissements!$E$6:$E$3005,$B1468,Ventes_Encaissements!$J$6:$J$3005,$G1468,Ventes_Encaissements!$C$6:$C$3005,"&gt;="&amp;($C1468-3),Ventes_Encaissements!$C$6:$C$3005,"&lt;="&amp;($C1468+3)))</f>
        <v/>
      </c>
      <c r="I1468" s="12">
        <f>IF($H1468="","",IF($H1468=0,"Non trouvé",IF($H1468=1,"Match","À vérifier")))</f>
        <v/>
      </c>
      <c r="J1468" s="21">
        <f>IF($I1468&lt;&gt;"Match","",INDEX(Ventes_Encaissements!$B$6:$B$3005,_xludf.AGGREGATE(15,6,(ROW(Ventes_Encaissements!$B$6:$B$3005)-ROW(Ventes_Encaissements!$B$6)+1)/((Ventes_Encaissements!$E$6:$E$3005=$B1468)*(Ventes_Encaissements!$J$6:$J$3005=$G1468)*(Ventes_Encaissements!$C$6:$C$3005&gt;=$C1468-3)*(Ventes_Encaissements!$C$6:$C$3005&lt;=$C1468+3)),1)))</f>
        <v/>
      </c>
      <c r="K1468" s="6" t="n"/>
    </row>
    <row r="1469">
      <c r="A1469" s="6" t="n"/>
      <c r="B1469" s="6" t="n"/>
      <c r="C1469" s="19" t="n"/>
      <c r="D1469" s="19" t="n"/>
      <c r="E1469" s="6" t="n"/>
      <c r="F1469" s="20" t="n"/>
      <c r="G1469" s="9">
        <f>IF($F1469="","",IF($F1469&gt;0,ROUND($F1469,2),""))</f>
        <v/>
      </c>
      <c r="H1469" s="12">
        <f>IF(OR($B1469="",$C1469="",$G1469=""),"",COUNTIFS(Ventes_Encaissements!$E$6:$E$3005,$B1469,Ventes_Encaissements!$J$6:$J$3005,$G1469,Ventes_Encaissements!$C$6:$C$3005,"&gt;="&amp;($C1469-3),Ventes_Encaissements!$C$6:$C$3005,"&lt;="&amp;($C1469+3)))</f>
        <v/>
      </c>
      <c r="I1469" s="12">
        <f>IF($H1469="","",IF($H1469=0,"Non trouvé",IF($H1469=1,"Match","À vérifier")))</f>
        <v/>
      </c>
      <c r="J1469" s="21">
        <f>IF($I1469&lt;&gt;"Match","",INDEX(Ventes_Encaissements!$B$6:$B$3005,_xludf.AGGREGATE(15,6,(ROW(Ventes_Encaissements!$B$6:$B$3005)-ROW(Ventes_Encaissements!$B$6)+1)/((Ventes_Encaissements!$E$6:$E$3005=$B1469)*(Ventes_Encaissements!$J$6:$J$3005=$G1469)*(Ventes_Encaissements!$C$6:$C$3005&gt;=$C1469-3)*(Ventes_Encaissements!$C$6:$C$3005&lt;=$C1469+3)),1)))</f>
        <v/>
      </c>
      <c r="K1469" s="6" t="n"/>
    </row>
    <row r="1470">
      <c r="A1470" s="6" t="n"/>
      <c r="B1470" s="6" t="n"/>
      <c r="C1470" s="19" t="n"/>
      <c r="D1470" s="19" t="n"/>
      <c r="E1470" s="6" t="n"/>
      <c r="F1470" s="20" t="n"/>
      <c r="G1470" s="9">
        <f>IF($F1470="","",IF($F1470&gt;0,ROUND($F1470,2),""))</f>
        <v/>
      </c>
      <c r="H1470" s="12">
        <f>IF(OR($B1470="",$C1470="",$G1470=""),"",COUNTIFS(Ventes_Encaissements!$E$6:$E$3005,$B1470,Ventes_Encaissements!$J$6:$J$3005,$G1470,Ventes_Encaissements!$C$6:$C$3005,"&gt;="&amp;($C1470-3),Ventes_Encaissements!$C$6:$C$3005,"&lt;="&amp;($C1470+3)))</f>
        <v/>
      </c>
      <c r="I1470" s="12">
        <f>IF($H1470="","",IF($H1470=0,"Non trouvé",IF($H1470=1,"Match","À vérifier")))</f>
        <v/>
      </c>
      <c r="J1470" s="21">
        <f>IF($I1470&lt;&gt;"Match","",INDEX(Ventes_Encaissements!$B$6:$B$3005,_xludf.AGGREGATE(15,6,(ROW(Ventes_Encaissements!$B$6:$B$3005)-ROW(Ventes_Encaissements!$B$6)+1)/((Ventes_Encaissements!$E$6:$E$3005=$B1470)*(Ventes_Encaissements!$J$6:$J$3005=$G1470)*(Ventes_Encaissements!$C$6:$C$3005&gt;=$C1470-3)*(Ventes_Encaissements!$C$6:$C$3005&lt;=$C1470+3)),1)))</f>
        <v/>
      </c>
      <c r="K1470" s="6" t="n"/>
    </row>
    <row r="1471">
      <c r="A1471" s="6" t="n"/>
      <c r="B1471" s="6" t="n"/>
      <c r="C1471" s="19" t="n"/>
      <c r="D1471" s="19" t="n"/>
      <c r="E1471" s="6" t="n"/>
      <c r="F1471" s="20" t="n"/>
      <c r="G1471" s="9">
        <f>IF($F1471="","",IF($F1471&gt;0,ROUND($F1471,2),""))</f>
        <v/>
      </c>
      <c r="H1471" s="12">
        <f>IF(OR($B1471="",$C1471="",$G1471=""),"",COUNTIFS(Ventes_Encaissements!$E$6:$E$3005,$B1471,Ventes_Encaissements!$J$6:$J$3005,$G1471,Ventes_Encaissements!$C$6:$C$3005,"&gt;="&amp;($C1471-3),Ventes_Encaissements!$C$6:$C$3005,"&lt;="&amp;($C1471+3)))</f>
        <v/>
      </c>
      <c r="I1471" s="12">
        <f>IF($H1471="","",IF($H1471=0,"Non trouvé",IF($H1471=1,"Match","À vérifier")))</f>
        <v/>
      </c>
      <c r="J1471" s="21">
        <f>IF($I1471&lt;&gt;"Match","",INDEX(Ventes_Encaissements!$B$6:$B$3005,_xludf.AGGREGATE(15,6,(ROW(Ventes_Encaissements!$B$6:$B$3005)-ROW(Ventes_Encaissements!$B$6)+1)/((Ventes_Encaissements!$E$6:$E$3005=$B1471)*(Ventes_Encaissements!$J$6:$J$3005=$G1471)*(Ventes_Encaissements!$C$6:$C$3005&gt;=$C1471-3)*(Ventes_Encaissements!$C$6:$C$3005&lt;=$C1471+3)),1)))</f>
        <v/>
      </c>
      <c r="K1471" s="6" t="n"/>
    </row>
    <row r="1472">
      <c r="A1472" s="6" t="n"/>
      <c r="B1472" s="6" t="n"/>
      <c r="C1472" s="19" t="n"/>
      <c r="D1472" s="19" t="n"/>
      <c r="E1472" s="6" t="n"/>
      <c r="F1472" s="20" t="n"/>
      <c r="G1472" s="9">
        <f>IF($F1472="","",IF($F1472&gt;0,ROUND($F1472,2),""))</f>
        <v/>
      </c>
      <c r="H1472" s="12">
        <f>IF(OR($B1472="",$C1472="",$G1472=""),"",COUNTIFS(Ventes_Encaissements!$E$6:$E$3005,$B1472,Ventes_Encaissements!$J$6:$J$3005,$G1472,Ventes_Encaissements!$C$6:$C$3005,"&gt;="&amp;($C1472-3),Ventes_Encaissements!$C$6:$C$3005,"&lt;="&amp;($C1472+3)))</f>
        <v/>
      </c>
      <c r="I1472" s="12">
        <f>IF($H1472="","",IF($H1472=0,"Non trouvé",IF($H1472=1,"Match","À vérifier")))</f>
        <v/>
      </c>
      <c r="J1472" s="21">
        <f>IF($I1472&lt;&gt;"Match","",INDEX(Ventes_Encaissements!$B$6:$B$3005,_xludf.AGGREGATE(15,6,(ROW(Ventes_Encaissements!$B$6:$B$3005)-ROW(Ventes_Encaissements!$B$6)+1)/((Ventes_Encaissements!$E$6:$E$3005=$B1472)*(Ventes_Encaissements!$J$6:$J$3005=$G1472)*(Ventes_Encaissements!$C$6:$C$3005&gt;=$C1472-3)*(Ventes_Encaissements!$C$6:$C$3005&lt;=$C1472+3)),1)))</f>
        <v/>
      </c>
      <c r="K1472" s="6" t="n"/>
    </row>
    <row r="1473">
      <c r="A1473" s="6" t="n"/>
      <c r="B1473" s="6" t="n"/>
      <c r="C1473" s="19" t="n"/>
      <c r="D1473" s="19" t="n"/>
      <c r="E1473" s="6" t="n"/>
      <c r="F1473" s="20" t="n"/>
      <c r="G1473" s="9">
        <f>IF($F1473="","",IF($F1473&gt;0,ROUND($F1473,2),""))</f>
        <v/>
      </c>
      <c r="H1473" s="12">
        <f>IF(OR($B1473="",$C1473="",$G1473=""),"",COUNTIFS(Ventes_Encaissements!$E$6:$E$3005,$B1473,Ventes_Encaissements!$J$6:$J$3005,$G1473,Ventes_Encaissements!$C$6:$C$3005,"&gt;="&amp;($C1473-3),Ventes_Encaissements!$C$6:$C$3005,"&lt;="&amp;($C1473+3)))</f>
        <v/>
      </c>
      <c r="I1473" s="12">
        <f>IF($H1473="","",IF($H1473=0,"Non trouvé",IF($H1473=1,"Match","À vérifier")))</f>
        <v/>
      </c>
      <c r="J1473" s="21">
        <f>IF($I1473&lt;&gt;"Match","",INDEX(Ventes_Encaissements!$B$6:$B$3005,_xludf.AGGREGATE(15,6,(ROW(Ventes_Encaissements!$B$6:$B$3005)-ROW(Ventes_Encaissements!$B$6)+1)/((Ventes_Encaissements!$E$6:$E$3005=$B1473)*(Ventes_Encaissements!$J$6:$J$3005=$G1473)*(Ventes_Encaissements!$C$6:$C$3005&gt;=$C1473-3)*(Ventes_Encaissements!$C$6:$C$3005&lt;=$C1473+3)),1)))</f>
        <v/>
      </c>
      <c r="K1473" s="6" t="n"/>
    </row>
    <row r="1474">
      <c r="A1474" s="6" t="n"/>
      <c r="B1474" s="6" t="n"/>
      <c r="C1474" s="19" t="n"/>
      <c r="D1474" s="19" t="n"/>
      <c r="E1474" s="6" t="n"/>
      <c r="F1474" s="20" t="n"/>
      <c r="G1474" s="9">
        <f>IF($F1474="","",IF($F1474&gt;0,ROUND($F1474,2),""))</f>
        <v/>
      </c>
      <c r="H1474" s="12">
        <f>IF(OR($B1474="",$C1474="",$G1474=""),"",COUNTIFS(Ventes_Encaissements!$E$6:$E$3005,$B1474,Ventes_Encaissements!$J$6:$J$3005,$G1474,Ventes_Encaissements!$C$6:$C$3005,"&gt;="&amp;($C1474-3),Ventes_Encaissements!$C$6:$C$3005,"&lt;="&amp;($C1474+3)))</f>
        <v/>
      </c>
      <c r="I1474" s="12">
        <f>IF($H1474="","",IF($H1474=0,"Non trouvé",IF($H1474=1,"Match","À vérifier")))</f>
        <v/>
      </c>
      <c r="J1474" s="21">
        <f>IF($I1474&lt;&gt;"Match","",INDEX(Ventes_Encaissements!$B$6:$B$3005,_xludf.AGGREGATE(15,6,(ROW(Ventes_Encaissements!$B$6:$B$3005)-ROW(Ventes_Encaissements!$B$6)+1)/((Ventes_Encaissements!$E$6:$E$3005=$B1474)*(Ventes_Encaissements!$J$6:$J$3005=$G1474)*(Ventes_Encaissements!$C$6:$C$3005&gt;=$C1474-3)*(Ventes_Encaissements!$C$6:$C$3005&lt;=$C1474+3)),1)))</f>
        <v/>
      </c>
      <c r="K1474" s="6" t="n"/>
    </row>
    <row r="1475">
      <c r="A1475" s="6" t="n"/>
      <c r="B1475" s="6" t="n"/>
      <c r="C1475" s="19" t="n"/>
      <c r="D1475" s="19" t="n"/>
      <c r="E1475" s="6" t="n"/>
      <c r="F1475" s="20" t="n"/>
      <c r="G1475" s="9">
        <f>IF($F1475="","",IF($F1475&gt;0,ROUND($F1475,2),""))</f>
        <v/>
      </c>
      <c r="H1475" s="12">
        <f>IF(OR($B1475="",$C1475="",$G1475=""),"",COUNTIFS(Ventes_Encaissements!$E$6:$E$3005,$B1475,Ventes_Encaissements!$J$6:$J$3005,$G1475,Ventes_Encaissements!$C$6:$C$3005,"&gt;="&amp;($C1475-3),Ventes_Encaissements!$C$6:$C$3005,"&lt;="&amp;($C1475+3)))</f>
        <v/>
      </c>
      <c r="I1475" s="12">
        <f>IF($H1475="","",IF($H1475=0,"Non trouvé",IF($H1475=1,"Match","À vérifier")))</f>
        <v/>
      </c>
      <c r="J1475" s="21">
        <f>IF($I1475&lt;&gt;"Match","",INDEX(Ventes_Encaissements!$B$6:$B$3005,_xludf.AGGREGATE(15,6,(ROW(Ventes_Encaissements!$B$6:$B$3005)-ROW(Ventes_Encaissements!$B$6)+1)/((Ventes_Encaissements!$E$6:$E$3005=$B1475)*(Ventes_Encaissements!$J$6:$J$3005=$G1475)*(Ventes_Encaissements!$C$6:$C$3005&gt;=$C1475-3)*(Ventes_Encaissements!$C$6:$C$3005&lt;=$C1475+3)),1)))</f>
        <v/>
      </c>
      <c r="K1475" s="6" t="n"/>
    </row>
    <row r="1476">
      <c r="A1476" s="6" t="n"/>
      <c r="B1476" s="6" t="n"/>
      <c r="C1476" s="19" t="n"/>
      <c r="D1476" s="19" t="n"/>
      <c r="E1476" s="6" t="n"/>
      <c r="F1476" s="20" t="n"/>
      <c r="G1476" s="9">
        <f>IF($F1476="","",IF($F1476&gt;0,ROUND($F1476,2),""))</f>
        <v/>
      </c>
      <c r="H1476" s="12">
        <f>IF(OR($B1476="",$C1476="",$G1476=""),"",COUNTIFS(Ventes_Encaissements!$E$6:$E$3005,$B1476,Ventes_Encaissements!$J$6:$J$3005,$G1476,Ventes_Encaissements!$C$6:$C$3005,"&gt;="&amp;($C1476-3),Ventes_Encaissements!$C$6:$C$3005,"&lt;="&amp;($C1476+3)))</f>
        <v/>
      </c>
      <c r="I1476" s="12">
        <f>IF($H1476="","",IF($H1476=0,"Non trouvé",IF($H1476=1,"Match","À vérifier")))</f>
        <v/>
      </c>
      <c r="J1476" s="21">
        <f>IF($I1476&lt;&gt;"Match","",INDEX(Ventes_Encaissements!$B$6:$B$3005,_xludf.AGGREGATE(15,6,(ROW(Ventes_Encaissements!$B$6:$B$3005)-ROW(Ventes_Encaissements!$B$6)+1)/((Ventes_Encaissements!$E$6:$E$3005=$B1476)*(Ventes_Encaissements!$J$6:$J$3005=$G1476)*(Ventes_Encaissements!$C$6:$C$3005&gt;=$C1476-3)*(Ventes_Encaissements!$C$6:$C$3005&lt;=$C1476+3)),1)))</f>
        <v/>
      </c>
      <c r="K1476" s="6" t="n"/>
    </row>
    <row r="1477">
      <c r="A1477" s="6" t="n"/>
      <c r="B1477" s="6" t="n"/>
      <c r="C1477" s="19" t="n"/>
      <c r="D1477" s="19" t="n"/>
      <c r="E1477" s="6" t="n"/>
      <c r="F1477" s="20" t="n"/>
      <c r="G1477" s="9">
        <f>IF($F1477="","",IF($F1477&gt;0,ROUND($F1477,2),""))</f>
        <v/>
      </c>
      <c r="H1477" s="12">
        <f>IF(OR($B1477="",$C1477="",$G1477=""),"",COUNTIFS(Ventes_Encaissements!$E$6:$E$3005,$B1477,Ventes_Encaissements!$J$6:$J$3005,$G1477,Ventes_Encaissements!$C$6:$C$3005,"&gt;="&amp;($C1477-3),Ventes_Encaissements!$C$6:$C$3005,"&lt;="&amp;($C1477+3)))</f>
        <v/>
      </c>
      <c r="I1477" s="12">
        <f>IF($H1477="","",IF($H1477=0,"Non trouvé",IF($H1477=1,"Match","À vérifier")))</f>
        <v/>
      </c>
      <c r="J1477" s="21">
        <f>IF($I1477&lt;&gt;"Match","",INDEX(Ventes_Encaissements!$B$6:$B$3005,_xludf.AGGREGATE(15,6,(ROW(Ventes_Encaissements!$B$6:$B$3005)-ROW(Ventes_Encaissements!$B$6)+1)/((Ventes_Encaissements!$E$6:$E$3005=$B1477)*(Ventes_Encaissements!$J$6:$J$3005=$G1477)*(Ventes_Encaissements!$C$6:$C$3005&gt;=$C1477-3)*(Ventes_Encaissements!$C$6:$C$3005&lt;=$C1477+3)),1)))</f>
        <v/>
      </c>
      <c r="K1477" s="6" t="n"/>
    </row>
    <row r="1478">
      <c r="A1478" s="6" t="n"/>
      <c r="B1478" s="6" t="n"/>
      <c r="C1478" s="19" t="n"/>
      <c r="D1478" s="19" t="n"/>
      <c r="E1478" s="6" t="n"/>
      <c r="F1478" s="20" t="n"/>
      <c r="G1478" s="9">
        <f>IF($F1478="","",IF($F1478&gt;0,ROUND($F1478,2),""))</f>
        <v/>
      </c>
      <c r="H1478" s="12">
        <f>IF(OR($B1478="",$C1478="",$G1478=""),"",COUNTIFS(Ventes_Encaissements!$E$6:$E$3005,$B1478,Ventes_Encaissements!$J$6:$J$3005,$G1478,Ventes_Encaissements!$C$6:$C$3005,"&gt;="&amp;($C1478-3),Ventes_Encaissements!$C$6:$C$3005,"&lt;="&amp;($C1478+3)))</f>
        <v/>
      </c>
      <c r="I1478" s="12">
        <f>IF($H1478="","",IF($H1478=0,"Non trouvé",IF($H1478=1,"Match","À vérifier")))</f>
        <v/>
      </c>
      <c r="J1478" s="21">
        <f>IF($I1478&lt;&gt;"Match","",INDEX(Ventes_Encaissements!$B$6:$B$3005,_xludf.AGGREGATE(15,6,(ROW(Ventes_Encaissements!$B$6:$B$3005)-ROW(Ventes_Encaissements!$B$6)+1)/((Ventes_Encaissements!$E$6:$E$3005=$B1478)*(Ventes_Encaissements!$J$6:$J$3005=$G1478)*(Ventes_Encaissements!$C$6:$C$3005&gt;=$C1478-3)*(Ventes_Encaissements!$C$6:$C$3005&lt;=$C1478+3)),1)))</f>
        <v/>
      </c>
      <c r="K1478" s="6" t="n"/>
    </row>
    <row r="1479">
      <c r="A1479" s="6" t="n"/>
      <c r="B1479" s="6" t="n"/>
      <c r="C1479" s="19" t="n"/>
      <c r="D1479" s="19" t="n"/>
      <c r="E1479" s="6" t="n"/>
      <c r="F1479" s="20" t="n"/>
      <c r="G1479" s="9">
        <f>IF($F1479="","",IF($F1479&gt;0,ROUND($F1479,2),""))</f>
        <v/>
      </c>
      <c r="H1479" s="12">
        <f>IF(OR($B1479="",$C1479="",$G1479=""),"",COUNTIFS(Ventes_Encaissements!$E$6:$E$3005,$B1479,Ventes_Encaissements!$J$6:$J$3005,$G1479,Ventes_Encaissements!$C$6:$C$3005,"&gt;="&amp;($C1479-3),Ventes_Encaissements!$C$6:$C$3005,"&lt;="&amp;($C1479+3)))</f>
        <v/>
      </c>
      <c r="I1479" s="12">
        <f>IF($H1479="","",IF($H1479=0,"Non trouvé",IF($H1479=1,"Match","À vérifier")))</f>
        <v/>
      </c>
      <c r="J1479" s="21">
        <f>IF($I1479&lt;&gt;"Match","",INDEX(Ventes_Encaissements!$B$6:$B$3005,_xludf.AGGREGATE(15,6,(ROW(Ventes_Encaissements!$B$6:$B$3005)-ROW(Ventes_Encaissements!$B$6)+1)/((Ventes_Encaissements!$E$6:$E$3005=$B1479)*(Ventes_Encaissements!$J$6:$J$3005=$G1479)*(Ventes_Encaissements!$C$6:$C$3005&gt;=$C1479-3)*(Ventes_Encaissements!$C$6:$C$3005&lt;=$C1479+3)),1)))</f>
        <v/>
      </c>
      <c r="K1479" s="6" t="n"/>
    </row>
    <row r="1480">
      <c r="A1480" s="6" t="n"/>
      <c r="B1480" s="6" t="n"/>
      <c r="C1480" s="19" t="n"/>
      <c r="D1480" s="19" t="n"/>
      <c r="E1480" s="6" t="n"/>
      <c r="F1480" s="20" t="n"/>
      <c r="G1480" s="9">
        <f>IF($F1480="","",IF($F1480&gt;0,ROUND($F1480,2),""))</f>
        <v/>
      </c>
      <c r="H1480" s="12">
        <f>IF(OR($B1480="",$C1480="",$G1480=""),"",COUNTIFS(Ventes_Encaissements!$E$6:$E$3005,$B1480,Ventes_Encaissements!$J$6:$J$3005,$G1480,Ventes_Encaissements!$C$6:$C$3005,"&gt;="&amp;($C1480-3),Ventes_Encaissements!$C$6:$C$3005,"&lt;="&amp;($C1480+3)))</f>
        <v/>
      </c>
      <c r="I1480" s="12">
        <f>IF($H1480="","",IF($H1480=0,"Non trouvé",IF($H1480=1,"Match","À vérifier")))</f>
        <v/>
      </c>
      <c r="J1480" s="21">
        <f>IF($I1480&lt;&gt;"Match","",INDEX(Ventes_Encaissements!$B$6:$B$3005,_xludf.AGGREGATE(15,6,(ROW(Ventes_Encaissements!$B$6:$B$3005)-ROW(Ventes_Encaissements!$B$6)+1)/((Ventes_Encaissements!$E$6:$E$3005=$B1480)*(Ventes_Encaissements!$J$6:$J$3005=$G1480)*(Ventes_Encaissements!$C$6:$C$3005&gt;=$C1480-3)*(Ventes_Encaissements!$C$6:$C$3005&lt;=$C1480+3)),1)))</f>
        <v/>
      </c>
      <c r="K1480" s="6" t="n"/>
    </row>
    <row r="1481">
      <c r="A1481" s="6" t="n"/>
      <c r="B1481" s="6" t="n"/>
      <c r="C1481" s="19" t="n"/>
      <c r="D1481" s="19" t="n"/>
      <c r="E1481" s="6" t="n"/>
      <c r="F1481" s="20" t="n"/>
      <c r="G1481" s="9">
        <f>IF($F1481="","",IF($F1481&gt;0,ROUND($F1481,2),""))</f>
        <v/>
      </c>
      <c r="H1481" s="12">
        <f>IF(OR($B1481="",$C1481="",$G1481=""),"",COUNTIFS(Ventes_Encaissements!$E$6:$E$3005,$B1481,Ventes_Encaissements!$J$6:$J$3005,$G1481,Ventes_Encaissements!$C$6:$C$3005,"&gt;="&amp;($C1481-3),Ventes_Encaissements!$C$6:$C$3005,"&lt;="&amp;($C1481+3)))</f>
        <v/>
      </c>
      <c r="I1481" s="12">
        <f>IF($H1481="","",IF($H1481=0,"Non trouvé",IF($H1481=1,"Match","À vérifier")))</f>
        <v/>
      </c>
      <c r="J1481" s="21">
        <f>IF($I1481&lt;&gt;"Match","",INDEX(Ventes_Encaissements!$B$6:$B$3005,_xludf.AGGREGATE(15,6,(ROW(Ventes_Encaissements!$B$6:$B$3005)-ROW(Ventes_Encaissements!$B$6)+1)/((Ventes_Encaissements!$E$6:$E$3005=$B1481)*(Ventes_Encaissements!$J$6:$J$3005=$G1481)*(Ventes_Encaissements!$C$6:$C$3005&gt;=$C1481-3)*(Ventes_Encaissements!$C$6:$C$3005&lt;=$C1481+3)),1)))</f>
        <v/>
      </c>
      <c r="K1481" s="6" t="n"/>
    </row>
    <row r="1482">
      <c r="A1482" s="6" t="n"/>
      <c r="B1482" s="6" t="n"/>
      <c r="C1482" s="19" t="n"/>
      <c r="D1482" s="19" t="n"/>
      <c r="E1482" s="6" t="n"/>
      <c r="F1482" s="20" t="n"/>
      <c r="G1482" s="9">
        <f>IF($F1482="","",IF($F1482&gt;0,ROUND($F1482,2),""))</f>
        <v/>
      </c>
      <c r="H1482" s="12">
        <f>IF(OR($B1482="",$C1482="",$G1482=""),"",COUNTIFS(Ventes_Encaissements!$E$6:$E$3005,$B1482,Ventes_Encaissements!$J$6:$J$3005,$G1482,Ventes_Encaissements!$C$6:$C$3005,"&gt;="&amp;($C1482-3),Ventes_Encaissements!$C$6:$C$3005,"&lt;="&amp;($C1482+3)))</f>
        <v/>
      </c>
      <c r="I1482" s="12">
        <f>IF($H1482="","",IF($H1482=0,"Non trouvé",IF($H1482=1,"Match","À vérifier")))</f>
        <v/>
      </c>
      <c r="J1482" s="21">
        <f>IF($I1482&lt;&gt;"Match","",INDEX(Ventes_Encaissements!$B$6:$B$3005,_xludf.AGGREGATE(15,6,(ROW(Ventes_Encaissements!$B$6:$B$3005)-ROW(Ventes_Encaissements!$B$6)+1)/((Ventes_Encaissements!$E$6:$E$3005=$B1482)*(Ventes_Encaissements!$J$6:$J$3005=$G1482)*(Ventes_Encaissements!$C$6:$C$3005&gt;=$C1482-3)*(Ventes_Encaissements!$C$6:$C$3005&lt;=$C1482+3)),1)))</f>
        <v/>
      </c>
      <c r="K1482" s="6" t="n"/>
    </row>
    <row r="1483">
      <c r="A1483" s="6" t="n"/>
      <c r="B1483" s="6" t="n"/>
      <c r="C1483" s="19" t="n"/>
      <c r="D1483" s="19" t="n"/>
      <c r="E1483" s="6" t="n"/>
      <c r="F1483" s="20" t="n"/>
      <c r="G1483" s="9">
        <f>IF($F1483="","",IF($F1483&gt;0,ROUND($F1483,2),""))</f>
        <v/>
      </c>
      <c r="H1483" s="12">
        <f>IF(OR($B1483="",$C1483="",$G1483=""),"",COUNTIFS(Ventes_Encaissements!$E$6:$E$3005,$B1483,Ventes_Encaissements!$J$6:$J$3005,$G1483,Ventes_Encaissements!$C$6:$C$3005,"&gt;="&amp;($C1483-3),Ventes_Encaissements!$C$6:$C$3005,"&lt;="&amp;($C1483+3)))</f>
        <v/>
      </c>
      <c r="I1483" s="12">
        <f>IF($H1483="","",IF($H1483=0,"Non trouvé",IF($H1483=1,"Match","À vérifier")))</f>
        <v/>
      </c>
      <c r="J1483" s="21">
        <f>IF($I1483&lt;&gt;"Match","",INDEX(Ventes_Encaissements!$B$6:$B$3005,_xludf.AGGREGATE(15,6,(ROW(Ventes_Encaissements!$B$6:$B$3005)-ROW(Ventes_Encaissements!$B$6)+1)/((Ventes_Encaissements!$E$6:$E$3005=$B1483)*(Ventes_Encaissements!$J$6:$J$3005=$G1483)*(Ventes_Encaissements!$C$6:$C$3005&gt;=$C1483-3)*(Ventes_Encaissements!$C$6:$C$3005&lt;=$C1483+3)),1)))</f>
        <v/>
      </c>
      <c r="K1483" s="6" t="n"/>
    </row>
    <row r="1484">
      <c r="A1484" s="6" t="n"/>
      <c r="B1484" s="6" t="n"/>
      <c r="C1484" s="19" t="n"/>
      <c r="D1484" s="19" t="n"/>
      <c r="E1484" s="6" t="n"/>
      <c r="F1484" s="20" t="n"/>
      <c r="G1484" s="9">
        <f>IF($F1484="","",IF($F1484&gt;0,ROUND($F1484,2),""))</f>
        <v/>
      </c>
      <c r="H1484" s="12">
        <f>IF(OR($B1484="",$C1484="",$G1484=""),"",COUNTIFS(Ventes_Encaissements!$E$6:$E$3005,$B1484,Ventes_Encaissements!$J$6:$J$3005,$G1484,Ventes_Encaissements!$C$6:$C$3005,"&gt;="&amp;($C1484-3),Ventes_Encaissements!$C$6:$C$3005,"&lt;="&amp;($C1484+3)))</f>
        <v/>
      </c>
      <c r="I1484" s="12">
        <f>IF($H1484="","",IF($H1484=0,"Non trouvé",IF($H1484=1,"Match","À vérifier")))</f>
        <v/>
      </c>
      <c r="J1484" s="21">
        <f>IF($I1484&lt;&gt;"Match","",INDEX(Ventes_Encaissements!$B$6:$B$3005,_xludf.AGGREGATE(15,6,(ROW(Ventes_Encaissements!$B$6:$B$3005)-ROW(Ventes_Encaissements!$B$6)+1)/((Ventes_Encaissements!$E$6:$E$3005=$B1484)*(Ventes_Encaissements!$J$6:$J$3005=$G1484)*(Ventes_Encaissements!$C$6:$C$3005&gt;=$C1484-3)*(Ventes_Encaissements!$C$6:$C$3005&lt;=$C1484+3)),1)))</f>
        <v/>
      </c>
      <c r="K1484" s="6" t="n"/>
    </row>
    <row r="1485">
      <c r="A1485" s="6" t="n"/>
      <c r="B1485" s="6" t="n"/>
      <c r="C1485" s="19" t="n"/>
      <c r="D1485" s="19" t="n"/>
      <c r="E1485" s="6" t="n"/>
      <c r="F1485" s="20" t="n"/>
      <c r="G1485" s="9">
        <f>IF($F1485="","",IF($F1485&gt;0,ROUND($F1485,2),""))</f>
        <v/>
      </c>
      <c r="H1485" s="12">
        <f>IF(OR($B1485="",$C1485="",$G1485=""),"",COUNTIFS(Ventes_Encaissements!$E$6:$E$3005,$B1485,Ventes_Encaissements!$J$6:$J$3005,$G1485,Ventes_Encaissements!$C$6:$C$3005,"&gt;="&amp;($C1485-3),Ventes_Encaissements!$C$6:$C$3005,"&lt;="&amp;($C1485+3)))</f>
        <v/>
      </c>
      <c r="I1485" s="12">
        <f>IF($H1485="","",IF($H1485=0,"Non trouvé",IF($H1485=1,"Match","À vérifier")))</f>
        <v/>
      </c>
      <c r="J1485" s="21">
        <f>IF($I1485&lt;&gt;"Match","",INDEX(Ventes_Encaissements!$B$6:$B$3005,_xludf.AGGREGATE(15,6,(ROW(Ventes_Encaissements!$B$6:$B$3005)-ROW(Ventes_Encaissements!$B$6)+1)/((Ventes_Encaissements!$E$6:$E$3005=$B1485)*(Ventes_Encaissements!$J$6:$J$3005=$G1485)*(Ventes_Encaissements!$C$6:$C$3005&gt;=$C1485-3)*(Ventes_Encaissements!$C$6:$C$3005&lt;=$C1485+3)),1)))</f>
        <v/>
      </c>
      <c r="K1485" s="6" t="n"/>
    </row>
    <row r="1486">
      <c r="A1486" s="6" t="n"/>
      <c r="B1486" s="6" t="n"/>
      <c r="C1486" s="19" t="n"/>
      <c r="D1486" s="19" t="n"/>
      <c r="E1486" s="6" t="n"/>
      <c r="F1486" s="20" t="n"/>
      <c r="G1486" s="9">
        <f>IF($F1486="","",IF($F1486&gt;0,ROUND($F1486,2),""))</f>
        <v/>
      </c>
      <c r="H1486" s="12">
        <f>IF(OR($B1486="",$C1486="",$G1486=""),"",COUNTIFS(Ventes_Encaissements!$E$6:$E$3005,$B1486,Ventes_Encaissements!$J$6:$J$3005,$G1486,Ventes_Encaissements!$C$6:$C$3005,"&gt;="&amp;($C1486-3),Ventes_Encaissements!$C$6:$C$3005,"&lt;="&amp;($C1486+3)))</f>
        <v/>
      </c>
      <c r="I1486" s="12">
        <f>IF($H1486="","",IF($H1486=0,"Non trouvé",IF($H1486=1,"Match","À vérifier")))</f>
        <v/>
      </c>
      <c r="J1486" s="21">
        <f>IF($I1486&lt;&gt;"Match","",INDEX(Ventes_Encaissements!$B$6:$B$3005,_xludf.AGGREGATE(15,6,(ROW(Ventes_Encaissements!$B$6:$B$3005)-ROW(Ventes_Encaissements!$B$6)+1)/((Ventes_Encaissements!$E$6:$E$3005=$B1486)*(Ventes_Encaissements!$J$6:$J$3005=$G1486)*(Ventes_Encaissements!$C$6:$C$3005&gt;=$C1486-3)*(Ventes_Encaissements!$C$6:$C$3005&lt;=$C1486+3)),1)))</f>
        <v/>
      </c>
      <c r="K1486" s="6" t="n"/>
    </row>
    <row r="1487">
      <c r="A1487" s="6" t="n"/>
      <c r="B1487" s="6" t="n"/>
      <c r="C1487" s="19" t="n"/>
      <c r="D1487" s="19" t="n"/>
      <c r="E1487" s="6" t="n"/>
      <c r="F1487" s="20" t="n"/>
      <c r="G1487" s="9">
        <f>IF($F1487="","",IF($F1487&gt;0,ROUND($F1487,2),""))</f>
        <v/>
      </c>
      <c r="H1487" s="12">
        <f>IF(OR($B1487="",$C1487="",$G1487=""),"",COUNTIFS(Ventes_Encaissements!$E$6:$E$3005,$B1487,Ventes_Encaissements!$J$6:$J$3005,$G1487,Ventes_Encaissements!$C$6:$C$3005,"&gt;="&amp;($C1487-3),Ventes_Encaissements!$C$6:$C$3005,"&lt;="&amp;($C1487+3)))</f>
        <v/>
      </c>
      <c r="I1487" s="12">
        <f>IF($H1487="","",IF($H1487=0,"Non trouvé",IF($H1487=1,"Match","À vérifier")))</f>
        <v/>
      </c>
      <c r="J1487" s="21">
        <f>IF($I1487&lt;&gt;"Match","",INDEX(Ventes_Encaissements!$B$6:$B$3005,_xludf.AGGREGATE(15,6,(ROW(Ventes_Encaissements!$B$6:$B$3005)-ROW(Ventes_Encaissements!$B$6)+1)/((Ventes_Encaissements!$E$6:$E$3005=$B1487)*(Ventes_Encaissements!$J$6:$J$3005=$G1487)*(Ventes_Encaissements!$C$6:$C$3005&gt;=$C1487-3)*(Ventes_Encaissements!$C$6:$C$3005&lt;=$C1487+3)),1)))</f>
        <v/>
      </c>
      <c r="K1487" s="6" t="n"/>
    </row>
    <row r="1488">
      <c r="A1488" s="6" t="n"/>
      <c r="B1488" s="6" t="n"/>
      <c r="C1488" s="19" t="n"/>
      <c r="D1488" s="19" t="n"/>
      <c r="E1488" s="6" t="n"/>
      <c r="F1488" s="20" t="n"/>
      <c r="G1488" s="9">
        <f>IF($F1488="","",IF($F1488&gt;0,ROUND($F1488,2),""))</f>
        <v/>
      </c>
      <c r="H1488" s="12">
        <f>IF(OR($B1488="",$C1488="",$G1488=""),"",COUNTIFS(Ventes_Encaissements!$E$6:$E$3005,$B1488,Ventes_Encaissements!$J$6:$J$3005,$G1488,Ventes_Encaissements!$C$6:$C$3005,"&gt;="&amp;($C1488-3),Ventes_Encaissements!$C$6:$C$3005,"&lt;="&amp;($C1488+3)))</f>
        <v/>
      </c>
      <c r="I1488" s="12">
        <f>IF($H1488="","",IF($H1488=0,"Non trouvé",IF($H1488=1,"Match","À vérifier")))</f>
        <v/>
      </c>
      <c r="J1488" s="21">
        <f>IF($I1488&lt;&gt;"Match","",INDEX(Ventes_Encaissements!$B$6:$B$3005,_xludf.AGGREGATE(15,6,(ROW(Ventes_Encaissements!$B$6:$B$3005)-ROW(Ventes_Encaissements!$B$6)+1)/((Ventes_Encaissements!$E$6:$E$3005=$B1488)*(Ventes_Encaissements!$J$6:$J$3005=$G1488)*(Ventes_Encaissements!$C$6:$C$3005&gt;=$C1488-3)*(Ventes_Encaissements!$C$6:$C$3005&lt;=$C1488+3)),1)))</f>
        <v/>
      </c>
      <c r="K1488" s="6" t="n"/>
    </row>
    <row r="1489">
      <c r="A1489" s="6" t="n"/>
      <c r="B1489" s="6" t="n"/>
      <c r="C1489" s="19" t="n"/>
      <c r="D1489" s="19" t="n"/>
      <c r="E1489" s="6" t="n"/>
      <c r="F1489" s="20" t="n"/>
      <c r="G1489" s="9">
        <f>IF($F1489="","",IF($F1489&gt;0,ROUND($F1489,2),""))</f>
        <v/>
      </c>
      <c r="H1489" s="12">
        <f>IF(OR($B1489="",$C1489="",$G1489=""),"",COUNTIFS(Ventes_Encaissements!$E$6:$E$3005,$B1489,Ventes_Encaissements!$J$6:$J$3005,$G1489,Ventes_Encaissements!$C$6:$C$3005,"&gt;="&amp;($C1489-3),Ventes_Encaissements!$C$6:$C$3005,"&lt;="&amp;($C1489+3)))</f>
        <v/>
      </c>
      <c r="I1489" s="12">
        <f>IF($H1489="","",IF($H1489=0,"Non trouvé",IF($H1489=1,"Match","À vérifier")))</f>
        <v/>
      </c>
      <c r="J1489" s="21">
        <f>IF($I1489&lt;&gt;"Match","",INDEX(Ventes_Encaissements!$B$6:$B$3005,_xludf.AGGREGATE(15,6,(ROW(Ventes_Encaissements!$B$6:$B$3005)-ROW(Ventes_Encaissements!$B$6)+1)/((Ventes_Encaissements!$E$6:$E$3005=$B1489)*(Ventes_Encaissements!$J$6:$J$3005=$G1489)*(Ventes_Encaissements!$C$6:$C$3005&gt;=$C1489-3)*(Ventes_Encaissements!$C$6:$C$3005&lt;=$C1489+3)),1)))</f>
        <v/>
      </c>
      <c r="K1489" s="6" t="n"/>
    </row>
    <row r="1490">
      <c r="A1490" s="6" t="n"/>
      <c r="B1490" s="6" t="n"/>
      <c r="C1490" s="19" t="n"/>
      <c r="D1490" s="19" t="n"/>
      <c r="E1490" s="6" t="n"/>
      <c r="F1490" s="20" t="n"/>
      <c r="G1490" s="9">
        <f>IF($F1490="","",IF($F1490&gt;0,ROUND($F1490,2),""))</f>
        <v/>
      </c>
      <c r="H1490" s="12">
        <f>IF(OR($B1490="",$C1490="",$G1490=""),"",COUNTIFS(Ventes_Encaissements!$E$6:$E$3005,$B1490,Ventes_Encaissements!$J$6:$J$3005,$G1490,Ventes_Encaissements!$C$6:$C$3005,"&gt;="&amp;($C1490-3),Ventes_Encaissements!$C$6:$C$3005,"&lt;="&amp;($C1490+3)))</f>
        <v/>
      </c>
      <c r="I1490" s="12">
        <f>IF($H1490="","",IF($H1490=0,"Non trouvé",IF($H1490=1,"Match","À vérifier")))</f>
        <v/>
      </c>
      <c r="J1490" s="21">
        <f>IF($I1490&lt;&gt;"Match","",INDEX(Ventes_Encaissements!$B$6:$B$3005,_xludf.AGGREGATE(15,6,(ROW(Ventes_Encaissements!$B$6:$B$3005)-ROW(Ventes_Encaissements!$B$6)+1)/((Ventes_Encaissements!$E$6:$E$3005=$B1490)*(Ventes_Encaissements!$J$6:$J$3005=$G1490)*(Ventes_Encaissements!$C$6:$C$3005&gt;=$C1490-3)*(Ventes_Encaissements!$C$6:$C$3005&lt;=$C1490+3)),1)))</f>
        <v/>
      </c>
      <c r="K1490" s="6" t="n"/>
    </row>
    <row r="1491">
      <c r="A1491" s="6" t="n"/>
      <c r="B1491" s="6" t="n"/>
      <c r="C1491" s="19" t="n"/>
      <c r="D1491" s="19" t="n"/>
      <c r="E1491" s="6" t="n"/>
      <c r="F1491" s="20" t="n"/>
      <c r="G1491" s="9">
        <f>IF($F1491="","",IF($F1491&gt;0,ROUND($F1491,2),""))</f>
        <v/>
      </c>
      <c r="H1491" s="12">
        <f>IF(OR($B1491="",$C1491="",$G1491=""),"",COUNTIFS(Ventes_Encaissements!$E$6:$E$3005,$B1491,Ventes_Encaissements!$J$6:$J$3005,$G1491,Ventes_Encaissements!$C$6:$C$3005,"&gt;="&amp;($C1491-3),Ventes_Encaissements!$C$6:$C$3005,"&lt;="&amp;($C1491+3)))</f>
        <v/>
      </c>
      <c r="I1491" s="12">
        <f>IF($H1491="","",IF($H1491=0,"Non trouvé",IF($H1491=1,"Match","À vérifier")))</f>
        <v/>
      </c>
      <c r="J1491" s="21">
        <f>IF($I1491&lt;&gt;"Match","",INDEX(Ventes_Encaissements!$B$6:$B$3005,_xludf.AGGREGATE(15,6,(ROW(Ventes_Encaissements!$B$6:$B$3005)-ROW(Ventes_Encaissements!$B$6)+1)/((Ventes_Encaissements!$E$6:$E$3005=$B1491)*(Ventes_Encaissements!$J$6:$J$3005=$G1491)*(Ventes_Encaissements!$C$6:$C$3005&gt;=$C1491-3)*(Ventes_Encaissements!$C$6:$C$3005&lt;=$C1491+3)),1)))</f>
        <v/>
      </c>
      <c r="K1491" s="6" t="n"/>
    </row>
    <row r="1492">
      <c r="A1492" s="6" t="n"/>
      <c r="B1492" s="6" t="n"/>
      <c r="C1492" s="19" t="n"/>
      <c r="D1492" s="19" t="n"/>
      <c r="E1492" s="6" t="n"/>
      <c r="F1492" s="20" t="n"/>
      <c r="G1492" s="9">
        <f>IF($F1492="","",IF($F1492&gt;0,ROUND($F1492,2),""))</f>
        <v/>
      </c>
      <c r="H1492" s="12">
        <f>IF(OR($B1492="",$C1492="",$G1492=""),"",COUNTIFS(Ventes_Encaissements!$E$6:$E$3005,$B1492,Ventes_Encaissements!$J$6:$J$3005,$G1492,Ventes_Encaissements!$C$6:$C$3005,"&gt;="&amp;($C1492-3),Ventes_Encaissements!$C$6:$C$3005,"&lt;="&amp;($C1492+3)))</f>
        <v/>
      </c>
      <c r="I1492" s="12">
        <f>IF($H1492="","",IF($H1492=0,"Non trouvé",IF($H1492=1,"Match","À vérifier")))</f>
        <v/>
      </c>
      <c r="J1492" s="21">
        <f>IF($I1492&lt;&gt;"Match","",INDEX(Ventes_Encaissements!$B$6:$B$3005,_xludf.AGGREGATE(15,6,(ROW(Ventes_Encaissements!$B$6:$B$3005)-ROW(Ventes_Encaissements!$B$6)+1)/((Ventes_Encaissements!$E$6:$E$3005=$B1492)*(Ventes_Encaissements!$J$6:$J$3005=$G1492)*(Ventes_Encaissements!$C$6:$C$3005&gt;=$C1492-3)*(Ventes_Encaissements!$C$6:$C$3005&lt;=$C1492+3)),1)))</f>
        <v/>
      </c>
      <c r="K1492" s="6" t="n"/>
    </row>
    <row r="1493">
      <c r="A1493" s="6" t="n"/>
      <c r="B1493" s="6" t="n"/>
      <c r="C1493" s="19" t="n"/>
      <c r="D1493" s="19" t="n"/>
      <c r="E1493" s="6" t="n"/>
      <c r="F1493" s="20" t="n"/>
      <c r="G1493" s="9">
        <f>IF($F1493="","",IF($F1493&gt;0,ROUND($F1493,2),""))</f>
        <v/>
      </c>
      <c r="H1493" s="12">
        <f>IF(OR($B1493="",$C1493="",$G1493=""),"",COUNTIFS(Ventes_Encaissements!$E$6:$E$3005,$B1493,Ventes_Encaissements!$J$6:$J$3005,$G1493,Ventes_Encaissements!$C$6:$C$3005,"&gt;="&amp;($C1493-3),Ventes_Encaissements!$C$6:$C$3005,"&lt;="&amp;($C1493+3)))</f>
        <v/>
      </c>
      <c r="I1493" s="12">
        <f>IF($H1493="","",IF($H1493=0,"Non trouvé",IF($H1493=1,"Match","À vérifier")))</f>
        <v/>
      </c>
      <c r="J1493" s="21">
        <f>IF($I1493&lt;&gt;"Match","",INDEX(Ventes_Encaissements!$B$6:$B$3005,_xludf.AGGREGATE(15,6,(ROW(Ventes_Encaissements!$B$6:$B$3005)-ROW(Ventes_Encaissements!$B$6)+1)/((Ventes_Encaissements!$E$6:$E$3005=$B1493)*(Ventes_Encaissements!$J$6:$J$3005=$G1493)*(Ventes_Encaissements!$C$6:$C$3005&gt;=$C1493-3)*(Ventes_Encaissements!$C$6:$C$3005&lt;=$C1493+3)),1)))</f>
        <v/>
      </c>
      <c r="K1493" s="6" t="n"/>
    </row>
    <row r="1494">
      <c r="A1494" s="6" t="n"/>
      <c r="B1494" s="6" t="n"/>
      <c r="C1494" s="19" t="n"/>
      <c r="D1494" s="19" t="n"/>
      <c r="E1494" s="6" t="n"/>
      <c r="F1494" s="20" t="n"/>
      <c r="G1494" s="9">
        <f>IF($F1494="","",IF($F1494&gt;0,ROUND($F1494,2),""))</f>
        <v/>
      </c>
      <c r="H1494" s="12">
        <f>IF(OR($B1494="",$C1494="",$G1494=""),"",COUNTIFS(Ventes_Encaissements!$E$6:$E$3005,$B1494,Ventes_Encaissements!$J$6:$J$3005,$G1494,Ventes_Encaissements!$C$6:$C$3005,"&gt;="&amp;($C1494-3),Ventes_Encaissements!$C$6:$C$3005,"&lt;="&amp;($C1494+3)))</f>
        <v/>
      </c>
      <c r="I1494" s="12">
        <f>IF($H1494="","",IF($H1494=0,"Non trouvé",IF($H1494=1,"Match","À vérifier")))</f>
        <v/>
      </c>
      <c r="J1494" s="21">
        <f>IF($I1494&lt;&gt;"Match","",INDEX(Ventes_Encaissements!$B$6:$B$3005,_xludf.AGGREGATE(15,6,(ROW(Ventes_Encaissements!$B$6:$B$3005)-ROW(Ventes_Encaissements!$B$6)+1)/((Ventes_Encaissements!$E$6:$E$3005=$B1494)*(Ventes_Encaissements!$J$6:$J$3005=$G1494)*(Ventes_Encaissements!$C$6:$C$3005&gt;=$C1494-3)*(Ventes_Encaissements!$C$6:$C$3005&lt;=$C1494+3)),1)))</f>
        <v/>
      </c>
      <c r="K1494" s="6" t="n"/>
    </row>
    <row r="1495">
      <c r="A1495" s="6" t="n"/>
      <c r="B1495" s="6" t="n"/>
      <c r="C1495" s="19" t="n"/>
      <c r="D1495" s="19" t="n"/>
      <c r="E1495" s="6" t="n"/>
      <c r="F1495" s="20" t="n"/>
      <c r="G1495" s="9">
        <f>IF($F1495="","",IF($F1495&gt;0,ROUND($F1495,2),""))</f>
        <v/>
      </c>
      <c r="H1495" s="12">
        <f>IF(OR($B1495="",$C1495="",$G1495=""),"",COUNTIFS(Ventes_Encaissements!$E$6:$E$3005,$B1495,Ventes_Encaissements!$J$6:$J$3005,$G1495,Ventes_Encaissements!$C$6:$C$3005,"&gt;="&amp;($C1495-3),Ventes_Encaissements!$C$6:$C$3005,"&lt;="&amp;($C1495+3)))</f>
        <v/>
      </c>
      <c r="I1495" s="12">
        <f>IF($H1495="","",IF($H1495=0,"Non trouvé",IF($H1495=1,"Match","À vérifier")))</f>
        <v/>
      </c>
      <c r="J1495" s="21">
        <f>IF($I1495&lt;&gt;"Match","",INDEX(Ventes_Encaissements!$B$6:$B$3005,_xludf.AGGREGATE(15,6,(ROW(Ventes_Encaissements!$B$6:$B$3005)-ROW(Ventes_Encaissements!$B$6)+1)/((Ventes_Encaissements!$E$6:$E$3005=$B1495)*(Ventes_Encaissements!$J$6:$J$3005=$G1495)*(Ventes_Encaissements!$C$6:$C$3005&gt;=$C1495-3)*(Ventes_Encaissements!$C$6:$C$3005&lt;=$C1495+3)),1)))</f>
        <v/>
      </c>
      <c r="K1495" s="6" t="n"/>
    </row>
    <row r="1496">
      <c r="A1496" s="6" t="n"/>
      <c r="B1496" s="6" t="n"/>
      <c r="C1496" s="19" t="n"/>
      <c r="D1496" s="19" t="n"/>
      <c r="E1496" s="6" t="n"/>
      <c r="F1496" s="20" t="n"/>
      <c r="G1496" s="9">
        <f>IF($F1496="","",IF($F1496&gt;0,ROUND($F1496,2),""))</f>
        <v/>
      </c>
      <c r="H1496" s="12">
        <f>IF(OR($B1496="",$C1496="",$G1496=""),"",COUNTIFS(Ventes_Encaissements!$E$6:$E$3005,$B1496,Ventes_Encaissements!$J$6:$J$3005,$G1496,Ventes_Encaissements!$C$6:$C$3005,"&gt;="&amp;($C1496-3),Ventes_Encaissements!$C$6:$C$3005,"&lt;="&amp;($C1496+3)))</f>
        <v/>
      </c>
      <c r="I1496" s="12">
        <f>IF($H1496="","",IF($H1496=0,"Non trouvé",IF($H1496=1,"Match","À vérifier")))</f>
        <v/>
      </c>
      <c r="J1496" s="21">
        <f>IF($I1496&lt;&gt;"Match","",INDEX(Ventes_Encaissements!$B$6:$B$3005,_xludf.AGGREGATE(15,6,(ROW(Ventes_Encaissements!$B$6:$B$3005)-ROW(Ventes_Encaissements!$B$6)+1)/((Ventes_Encaissements!$E$6:$E$3005=$B1496)*(Ventes_Encaissements!$J$6:$J$3005=$G1496)*(Ventes_Encaissements!$C$6:$C$3005&gt;=$C1496-3)*(Ventes_Encaissements!$C$6:$C$3005&lt;=$C1496+3)),1)))</f>
        <v/>
      </c>
      <c r="K1496" s="6" t="n"/>
    </row>
    <row r="1497">
      <c r="A1497" s="6" t="n"/>
      <c r="B1497" s="6" t="n"/>
      <c r="C1497" s="19" t="n"/>
      <c r="D1497" s="19" t="n"/>
      <c r="E1497" s="6" t="n"/>
      <c r="F1497" s="20" t="n"/>
      <c r="G1497" s="9">
        <f>IF($F1497="","",IF($F1497&gt;0,ROUND($F1497,2),""))</f>
        <v/>
      </c>
      <c r="H1497" s="12">
        <f>IF(OR($B1497="",$C1497="",$G1497=""),"",COUNTIFS(Ventes_Encaissements!$E$6:$E$3005,$B1497,Ventes_Encaissements!$J$6:$J$3005,$G1497,Ventes_Encaissements!$C$6:$C$3005,"&gt;="&amp;($C1497-3),Ventes_Encaissements!$C$6:$C$3005,"&lt;="&amp;($C1497+3)))</f>
        <v/>
      </c>
      <c r="I1497" s="12">
        <f>IF($H1497="","",IF($H1497=0,"Non trouvé",IF($H1497=1,"Match","À vérifier")))</f>
        <v/>
      </c>
      <c r="J1497" s="21">
        <f>IF($I1497&lt;&gt;"Match","",INDEX(Ventes_Encaissements!$B$6:$B$3005,_xludf.AGGREGATE(15,6,(ROW(Ventes_Encaissements!$B$6:$B$3005)-ROW(Ventes_Encaissements!$B$6)+1)/((Ventes_Encaissements!$E$6:$E$3005=$B1497)*(Ventes_Encaissements!$J$6:$J$3005=$G1497)*(Ventes_Encaissements!$C$6:$C$3005&gt;=$C1497-3)*(Ventes_Encaissements!$C$6:$C$3005&lt;=$C1497+3)),1)))</f>
        <v/>
      </c>
      <c r="K1497" s="6" t="n"/>
    </row>
    <row r="1498">
      <c r="A1498" s="6" t="n"/>
      <c r="B1498" s="6" t="n"/>
      <c r="C1498" s="19" t="n"/>
      <c r="D1498" s="19" t="n"/>
      <c r="E1498" s="6" t="n"/>
      <c r="F1498" s="20" t="n"/>
      <c r="G1498" s="9">
        <f>IF($F1498="","",IF($F1498&gt;0,ROUND($F1498,2),""))</f>
        <v/>
      </c>
      <c r="H1498" s="12">
        <f>IF(OR($B1498="",$C1498="",$G1498=""),"",COUNTIFS(Ventes_Encaissements!$E$6:$E$3005,$B1498,Ventes_Encaissements!$J$6:$J$3005,$G1498,Ventes_Encaissements!$C$6:$C$3005,"&gt;="&amp;($C1498-3),Ventes_Encaissements!$C$6:$C$3005,"&lt;="&amp;($C1498+3)))</f>
        <v/>
      </c>
      <c r="I1498" s="12">
        <f>IF($H1498="","",IF($H1498=0,"Non trouvé",IF($H1498=1,"Match","À vérifier")))</f>
        <v/>
      </c>
      <c r="J1498" s="21">
        <f>IF($I1498&lt;&gt;"Match","",INDEX(Ventes_Encaissements!$B$6:$B$3005,_xludf.AGGREGATE(15,6,(ROW(Ventes_Encaissements!$B$6:$B$3005)-ROW(Ventes_Encaissements!$B$6)+1)/((Ventes_Encaissements!$E$6:$E$3005=$B1498)*(Ventes_Encaissements!$J$6:$J$3005=$G1498)*(Ventes_Encaissements!$C$6:$C$3005&gt;=$C1498-3)*(Ventes_Encaissements!$C$6:$C$3005&lt;=$C1498+3)),1)))</f>
        <v/>
      </c>
      <c r="K1498" s="6" t="n"/>
    </row>
    <row r="1499">
      <c r="A1499" s="6" t="n"/>
      <c r="B1499" s="6" t="n"/>
      <c r="C1499" s="19" t="n"/>
      <c r="D1499" s="19" t="n"/>
      <c r="E1499" s="6" t="n"/>
      <c r="F1499" s="20" t="n"/>
      <c r="G1499" s="9">
        <f>IF($F1499="","",IF($F1499&gt;0,ROUND($F1499,2),""))</f>
        <v/>
      </c>
      <c r="H1499" s="12">
        <f>IF(OR($B1499="",$C1499="",$G1499=""),"",COUNTIFS(Ventes_Encaissements!$E$6:$E$3005,$B1499,Ventes_Encaissements!$J$6:$J$3005,$G1499,Ventes_Encaissements!$C$6:$C$3005,"&gt;="&amp;($C1499-3),Ventes_Encaissements!$C$6:$C$3005,"&lt;="&amp;($C1499+3)))</f>
        <v/>
      </c>
      <c r="I1499" s="12">
        <f>IF($H1499="","",IF($H1499=0,"Non trouvé",IF($H1499=1,"Match","À vérifier")))</f>
        <v/>
      </c>
      <c r="J1499" s="21">
        <f>IF($I1499&lt;&gt;"Match","",INDEX(Ventes_Encaissements!$B$6:$B$3005,_xludf.AGGREGATE(15,6,(ROW(Ventes_Encaissements!$B$6:$B$3005)-ROW(Ventes_Encaissements!$B$6)+1)/((Ventes_Encaissements!$E$6:$E$3005=$B1499)*(Ventes_Encaissements!$J$6:$J$3005=$G1499)*(Ventes_Encaissements!$C$6:$C$3005&gt;=$C1499-3)*(Ventes_Encaissements!$C$6:$C$3005&lt;=$C1499+3)),1)))</f>
        <v/>
      </c>
      <c r="K1499" s="6" t="n"/>
    </row>
    <row r="1500">
      <c r="A1500" s="6" t="n"/>
      <c r="B1500" s="6" t="n"/>
      <c r="C1500" s="19" t="n"/>
      <c r="D1500" s="19" t="n"/>
      <c r="E1500" s="6" t="n"/>
      <c r="F1500" s="20" t="n"/>
      <c r="G1500" s="9">
        <f>IF($F1500="","",IF($F1500&gt;0,ROUND($F1500,2),""))</f>
        <v/>
      </c>
      <c r="H1500" s="12">
        <f>IF(OR($B1500="",$C1500="",$G1500=""),"",COUNTIFS(Ventes_Encaissements!$E$6:$E$3005,$B1500,Ventes_Encaissements!$J$6:$J$3005,$G1500,Ventes_Encaissements!$C$6:$C$3005,"&gt;="&amp;($C1500-3),Ventes_Encaissements!$C$6:$C$3005,"&lt;="&amp;($C1500+3)))</f>
        <v/>
      </c>
      <c r="I1500" s="12">
        <f>IF($H1500="","",IF($H1500=0,"Non trouvé",IF($H1500=1,"Match","À vérifier")))</f>
        <v/>
      </c>
      <c r="J1500" s="21">
        <f>IF($I1500&lt;&gt;"Match","",INDEX(Ventes_Encaissements!$B$6:$B$3005,_xludf.AGGREGATE(15,6,(ROW(Ventes_Encaissements!$B$6:$B$3005)-ROW(Ventes_Encaissements!$B$6)+1)/((Ventes_Encaissements!$E$6:$E$3005=$B1500)*(Ventes_Encaissements!$J$6:$J$3005=$G1500)*(Ventes_Encaissements!$C$6:$C$3005&gt;=$C1500-3)*(Ventes_Encaissements!$C$6:$C$3005&lt;=$C1500+3)),1)))</f>
        <v/>
      </c>
      <c r="K1500" s="6" t="n"/>
    </row>
    <row r="1501">
      <c r="A1501" s="6" t="n"/>
      <c r="B1501" s="6" t="n"/>
      <c r="C1501" s="19" t="n"/>
      <c r="D1501" s="19" t="n"/>
      <c r="E1501" s="6" t="n"/>
      <c r="F1501" s="20" t="n"/>
      <c r="G1501" s="9">
        <f>IF($F1501="","",IF($F1501&gt;0,ROUND($F1501,2),""))</f>
        <v/>
      </c>
      <c r="H1501" s="12">
        <f>IF(OR($B1501="",$C1501="",$G1501=""),"",COUNTIFS(Ventes_Encaissements!$E$6:$E$3005,$B1501,Ventes_Encaissements!$J$6:$J$3005,$G1501,Ventes_Encaissements!$C$6:$C$3005,"&gt;="&amp;($C1501-3),Ventes_Encaissements!$C$6:$C$3005,"&lt;="&amp;($C1501+3)))</f>
        <v/>
      </c>
      <c r="I1501" s="12">
        <f>IF($H1501="","",IF($H1501=0,"Non trouvé",IF($H1501=1,"Match","À vérifier")))</f>
        <v/>
      </c>
      <c r="J1501" s="21">
        <f>IF($I1501&lt;&gt;"Match","",INDEX(Ventes_Encaissements!$B$6:$B$3005,_xludf.AGGREGATE(15,6,(ROW(Ventes_Encaissements!$B$6:$B$3005)-ROW(Ventes_Encaissements!$B$6)+1)/((Ventes_Encaissements!$E$6:$E$3005=$B1501)*(Ventes_Encaissements!$J$6:$J$3005=$G1501)*(Ventes_Encaissements!$C$6:$C$3005&gt;=$C1501-3)*(Ventes_Encaissements!$C$6:$C$3005&lt;=$C1501+3)),1)))</f>
        <v/>
      </c>
      <c r="K1501" s="6" t="n"/>
    </row>
    <row r="1502">
      <c r="A1502" s="6" t="n"/>
      <c r="B1502" s="6" t="n"/>
      <c r="C1502" s="19" t="n"/>
      <c r="D1502" s="19" t="n"/>
      <c r="E1502" s="6" t="n"/>
      <c r="F1502" s="20" t="n"/>
      <c r="G1502" s="9">
        <f>IF($F1502="","",IF($F1502&gt;0,ROUND($F1502,2),""))</f>
        <v/>
      </c>
      <c r="H1502" s="12">
        <f>IF(OR($B1502="",$C1502="",$G1502=""),"",COUNTIFS(Ventes_Encaissements!$E$6:$E$3005,$B1502,Ventes_Encaissements!$J$6:$J$3005,$G1502,Ventes_Encaissements!$C$6:$C$3005,"&gt;="&amp;($C1502-3),Ventes_Encaissements!$C$6:$C$3005,"&lt;="&amp;($C1502+3)))</f>
        <v/>
      </c>
      <c r="I1502" s="12">
        <f>IF($H1502="","",IF($H1502=0,"Non trouvé",IF($H1502=1,"Match","À vérifier")))</f>
        <v/>
      </c>
      <c r="J1502" s="21">
        <f>IF($I1502&lt;&gt;"Match","",INDEX(Ventes_Encaissements!$B$6:$B$3005,_xludf.AGGREGATE(15,6,(ROW(Ventes_Encaissements!$B$6:$B$3005)-ROW(Ventes_Encaissements!$B$6)+1)/((Ventes_Encaissements!$E$6:$E$3005=$B1502)*(Ventes_Encaissements!$J$6:$J$3005=$G1502)*(Ventes_Encaissements!$C$6:$C$3005&gt;=$C1502-3)*(Ventes_Encaissements!$C$6:$C$3005&lt;=$C1502+3)),1)))</f>
        <v/>
      </c>
      <c r="K1502" s="6" t="n"/>
    </row>
    <row r="1503">
      <c r="A1503" s="6" t="n"/>
      <c r="B1503" s="6" t="n"/>
      <c r="C1503" s="19" t="n"/>
      <c r="D1503" s="19" t="n"/>
      <c r="E1503" s="6" t="n"/>
      <c r="F1503" s="20" t="n"/>
      <c r="G1503" s="9">
        <f>IF($F1503="","",IF($F1503&gt;0,ROUND($F1503,2),""))</f>
        <v/>
      </c>
      <c r="H1503" s="12">
        <f>IF(OR($B1503="",$C1503="",$G1503=""),"",COUNTIFS(Ventes_Encaissements!$E$6:$E$3005,$B1503,Ventes_Encaissements!$J$6:$J$3005,$G1503,Ventes_Encaissements!$C$6:$C$3005,"&gt;="&amp;($C1503-3),Ventes_Encaissements!$C$6:$C$3005,"&lt;="&amp;($C1503+3)))</f>
        <v/>
      </c>
      <c r="I1503" s="12">
        <f>IF($H1503="","",IF($H1503=0,"Non trouvé",IF($H1503=1,"Match","À vérifier")))</f>
        <v/>
      </c>
      <c r="J1503" s="21">
        <f>IF($I1503&lt;&gt;"Match","",INDEX(Ventes_Encaissements!$B$6:$B$3005,_xludf.AGGREGATE(15,6,(ROW(Ventes_Encaissements!$B$6:$B$3005)-ROW(Ventes_Encaissements!$B$6)+1)/((Ventes_Encaissements!$E$6:$E$3005=$B1503)*(Ventes_Encaissements!$J$6:$J$3005=$G1503)*(Ventes_Encaissements!$C$6:$C$3005&gt;=$C1503-3)*(Ventes_Encaissements!$C$6:$C$3005&lt;=$C1503+3)),1)))</f>
        <v/>
      </c>
      <c r="K1503" s="6" t="n"/>
    </row>
    <row r="1504">
      <c r="A1504" s="6" t="n"/>
      <c r="B1504" s="6" t="n"/>
      <c r="C1504" s="19" t="n"/>
      <c r="D1504" s="19" t="n"/>
      <c r="E1504" s="6" t="n"/>
      <c r="F1504" s="20" t="n"/>
      <c r="G1504" s="9">
        <f>IF($F1504="","",IF($F1504&gt;0,ROUND($F1504,2),""))</f>
        <v/>
      </c>
      <c r="H1504" s="12">
        <f>IF(OR($B1504="",$C1504="",$G1504=""),"",COUNTIFS(Ventes_Encaissements!$E$6:$E$3005,$B1504,Ventes_Encaissements!$J$6:$J$3005,$G1504,Ventes_Encaissements!$C$6:$C$3005,"&gt;="&amp;($C1504-3),Ventes_Encaissements!$C$6:$C$3005,"&lt;="&amp;($C1504+3)))</f>
        <v/>
      </c>
      <c r="I1504" s="12">
        <f>IF($H1504="","",IF($H1504=0,"Non trouvé",IF($H1504=1,"Match","À vérifier")))</f>
        <v/>
      </c>
      <c r="J1504" s="21">
        <f>IF($I1504&lt;&gt;"Match","",INDEX(Ventes_Encaissements!$B$6:$B$3005,_xludf.AGGREGATE(15,6,(ROW(Ventes_Encaissements!$B$6:$B$3005)-ROW(Ventes_Encaissements!$B$6)+1)/((Ventes_Encaissements!$E$6:$E$3005=$B1504)*(Ventes_Encaissements!$J$6:$J$3005=$G1504)*(Ventes_Encaissements!$C$6:$C$3005&gt;=$C1504-3)*(Ventes_Encaissements!$C$6:$C$3005&lt;=$C1504+3)),1)))</f>
        <v/>
      </c>
      <c r="K1504" s="6" t="n"/>
    </row>
    <row r="1505">
      <c r="A1505" s="6" t="n"/>
      <c r="B1505" s="6" t="n"/>
      <c r="C1505" s="19" t="n"/>
      <c r="D1505" s="19" t="n"/>
      <c r="E1505" s="6" t="n"/>
      <c r="F1505" s="20" t="n"/>
      <c r="G1505" s="9">
        <f>IF($F1505="","",IF($F1505&gt;0,ROUND($F1505,2),""))</f>
        <v/>
      </c>
      <c r="H1505" s="12">
        <f>IF(OR($B1505="",$C1505="",$G1505=""),"",COUNTIFS(Ventes_Encaissements!$E$6:$E$3005,$B1505,Ventes_Encaissements!$J$6:$J$3005,$G1505,Ventes_Encaissements!$C$6:$C$3005,"&gt;="&amp;($C1505-3),Ventes_Encaissements!$C$6:$C$3005,"&lt;="&amp;($C1505+3)))</f>
        <v/>
      </c>
      <c r="I1505" s="12">
        <f>IF($H1505="","",IF($H1505=0,"Non trouvé",IF($H1505=1,"Match","À vérifier")))</f>
        <v/>
      </c>
      <c r="J1505" s="21">
        <f>IF($I1505&lt;&gt;"Match","",INDEX(Ventes_Encaissements!$B$6:$B$3005,_xludf.AGGREGATE(15,6,(ROW(Ventes_Encaissements!$B$6:$B$3005)-ROW(Ventes_Encaissements!$B$6)+1)/((Ventes_Encaissements!$E$6:$E$3005=$B1505)*(Ventes_Encaissements!$J$6:$J$3005=$G1505)*(Ventes_Encaissements!$C$6:$C$3005&gt;=$C1505-3)*(Ventes_Encaissements!$C$6:$C$3005&lt;=$C1505+3)),1)))</f>
        <v/>
      </c>
      <c r="K1505" s="6" t="n"/>
    </row>
    <row r="1506">
      <c r="A1506" s="6" t="n"/>
      <c r="B1506" s="6" t="n"/>
      <c r="C1506" s="19" t="n"/>
      <c r="D1506" s="19" t="n"/>
      <c r="E1506" s="6" t="n"/>
      <c r="F1506" s="20" t="n"/>
      <c r="G1506" s="9">
        <f>IF($F1506="","",IF($F1506&gt;0,ROUND($F1506,2),""))</f>
        <v/>
      </c>
      <c r="H1506" s="12">
        <f>IF(OR($B1506="",$C1506="",$G1506=""),"",COUNTIFS(Ventes_Encaissements!$E$6:$E$3005,$B1506,Ventes_Encaissements!$J$6:$J$3005,$G1506,Ventes_Encaissements!$C$6:$C$3005,"&gt;="&amp;($C1506-3),Ventes_Encaissements!$C$6:$C$3005,"&lt;="&amp;($C1506+3)))</f>
        <v/>
      </c>
      <c r="I1506" s="12">
        <f>IF($H1506="","",IF($H1506=0,"Non trouvé",IF($H1506=1,"Match","À vérifier")))</f>
        <v/>
      </c>
      <c r="J1506" s="21">
        <f>IF($I1506&lt;&gt;"Match","",INDEX(Ventes_Encaissements!$B$6:$B$3005,_xludf.AGGREGATE(15,6,(ROW(Ventes_Encaissements!$B$6:$B$3005)-ROW(Ventes_Encaissements!$B$6)+1)/((Ventes_Encaissements!$E$6:$E$3005=$B1506)*(Ventes_Encaissements!$J$6:$J$3005=$G1506)*(Ventes_Encaissements!$C$6:$C$3005&gt;=$C1506-3)*(Ventes_Encaissements!$C$6:$C$3005&lt;=$C1506+3)),1)))</f>
        <v/>
      </c>
      <c r="K1506" s="6" t="n"/>
    </row>
    <row r="1507">
      <c r="A1507" s="6" t="n"/>
      <c r="B1507" s="6" t="n"/>
      <c r="C1507" s="19" t="n"/>
      <c r="D1507" s="19" t="n"/>
      <c r="E1507" s="6" t="n"/>
      <c r="F1507" s="20" t="n"/>
      <c r="G1507" s="9">
        <f>IF($F1507="","",IF($F1507&gt;0,ROUND($F1507,2),""))</f>
        <v/>
      </c>
      <c r="H1507" s="12">
        <f>IF(OR($B1507="",$C1507="",$G1507=""),"",COUNTIFS(Ventes_Encaissements!$E$6:$E$3005,$B1507,Ventes_Encaissements!$J$6:$J$3005,$G1507,Ventes_Encaissements!$C$6:$C$3005,"&gt;="&amp;($C1507-3),Ventes_Encaissements!$C$6:$C$3005,"&lt;="&amp;($C1507+3)))</f>
        <v/>
      </c>
      <c r="I1507" s="12">
        <f>IF($H1507="","",IF($H1507=0,"Non trouvé",IF($H1507=1,"Match","À vérifier")))</f>
        <v/>
      </c>
      <c r="J1507" s="21">
        <f>IF($I1507&lt;&gt;"Match","",INDEX(Ventes_Encaissements!$B$6:$B$3005,_xludf.AGGREGATE(15,6,(ROW(Ventes_Encaissements!$B$6:$B$3005)-ROW(Ventes_Encaissements!$B$6)+1)/((Ventes_Encaissements!$E$6:$E$3005=$B1507)*(Ventes_Encaissements!$J$6:$J$3005=$G1507)*(Ventes_Encaissements!$C$6:$C$3005&gt;=$C1507-3)*(Ventes_Encaissements!$C$6:$C$3005&lt;=$C1507+3)),1)))</f>
        <v/>
      </c>
      <c r="K1507" s="6" t="n"/>
    </row>
    <row r="1508">
      <c r="A1508" s="6" t="n"/>
      <c r="B1508" s="6" t="n"/>
      <c r="C1508" s="19" t="n"/>
      <c r="D1508" s="19" t="n"/>
      <c r="E1508" s="6" t="n"/>
      <c r="F1508" s="20" t="n"/>
      <c r="G1508" s="9">
        <f>IF($F1508="","",IF($F1508&gt;0,ROUND($F1508,2),""))</f>
        <v/>
      </c>
      <c r="H1508" s="12">
        <f>IF(OR($B1508="",$C1508="",$G1508=""),"",COUNTIFS(Ventes_Encaissements!$E$6:$E$3005,$B1508,Ventes_Encaissements!$J$6:$J$3005,$G1508,Ventes_Encaissements!$C$6:$C$3005,"&gt;="&amp;($C1508-3),Ventes_Encaissements!$C$6:$C$3005,"&lt;="&amp;($C1508+3)))</f>
        <v/>
      </c>
      <c r="I1508" s="12">
        <f>IF($H1508="","",IF($H1508=0,"Non trouvé",IF($H1508=1,"Match","À vérifier")))</f>
        <v/>
      </c>
      <c r="J1508" s="21">
        <f>IF($I1508&lt;&gt;"Match","",INDEX(Ventes_Encaissements!$B$6:$B$3005,_xludf.AGGREGATE(15,6,(ROW(Ventes_Encaissements!$B$6:$B$3005)-ROW(Ventes_Encaissements!$B$6)+1)/((Ventes_Encaissements!$E$6:$E$3005=$B1508)*(Ventes_Encaissements!$J$6:$J$3005=$G1508)*(Ventes_Encaissements!$C$6:$C$3005&gt;=$C1508-3)*(Ventes_Encaissements!$C$6:$C$3005&lt;=$C1508+3)),1)))</f>
        <v/>
      </c>
      <c r="K1508" s="6" t="n"/>
    </row>
    <row r="1509">
      <c r="A1509" s="6" t="n"/>
      <c r="B1509" s="6" t="n"/>
      <c r="C1509" s="19" t="n"/>
      <c r="D1509" s="19" t="n"/>
      <c r="E1509" s="6" t="n"/>
      <c r="F1509" s="20" t="n"/>
      <c r="G1509" s="9">
        <f>IF($F1509="","",IF($F1509&gt;0,ROUND($F1509,2),""))</f>
        <v/>
      </c>
      <c r="H1509" s="12">
        <f>IF(OR($B1509="",$C1509="",$G1509=""),"",COUNTIFS(Ventes_Encaissements!$E$6:$E$3005,$B1509,Ventes_Encaissements!$J$6:$J$3005,$G1509,Ventes_Encaissements!$C$6:$C$3005,"&gt;="&amp;($C1509-3),Ventes_Encaissements!$C$6:$C$3005,"&lt;="&amp;($C1509+3)))</f>
        <v/>
      </c>
      <c r="I1509" s="12">
        <f>IF($H1509="","",IF($H1509=0,"Non trouvé",IF($H1509=1,"Match","À vérifier")))</f>
        <v/>
      </c>
      <c r="J1509" s="21">
        <f>IF($I1509&lt;&gt;"Match","",INDEX(Ventes_Encaissements!$B$6:$B$3005,_xludf.AGGREGATE(15,6,(ROW(Ventes_Encaissements!$B$6:$B$3005)-ROW(Ventes_Encaissements!$B$6)+1)/((Ventes_Encaissements!$E$6:$E$3005=$B1509)*(Ventes_Encaissements!$J$6:$J$3005=$G1509)*(Ventes_Encaissements!$C$6:$C$3005&gt;=$C1509-3)*(Ventes_Encaissements!$C$6:$C$3005&lt;=$C1509+3)),1)))</f>
        <v/>
      </c>
      <c r="K1509" s="6" t="n"/>
    </row>
    <row r="1510">
      <c r="A1510" s="6" t="n"/>
      <c r="B1510" s="6" t="n"/>
      <c r="C1510" s="19" t="n"/>
      <c r="D1510" s="19" t="n"/>
      <c r="E1510" s="6" t="n"/>
      <c r="F1510" s="20" t="n"/>
      <c r="G1510" s="9">
        <f>IF($F1510="","",IF($F1510&gt;0,ROUND($F1510,2),""))</f>
        <v/>
      </c>
      <c r="H1510" s="12">
        <f>IF(OR($B1510="",$C1510="",$G1510=""),"",COUNTIFS(Ventes_Encaissements!$E$6:$E$3005,$B1510,Ventes_Encaissements!$J$6:$J$3005,$G1510,Ventes_Encaissements!$C$6:$C$3005,"&gt;="&amp;($C1510-3),Ventes_Encaissements!$C$6:$C$3005,"&lt;="&amp;($C1510+3)))</f>
        <v/>
      </c>
      <c r="I1510" s="12">
        <f>IF($H1510="","",IF($H1510=0,"Non trouvé",IF($H1510=1,"Match","À vérifier")))</f>
        <v/>
      </c>
      <c r="J1510" s="21">
        <f>IF($I1510&lt;&gt;"Match","",INDEX(Ventes_Encaissements!$B$6:$B$3005,_xludf.AGGREGATE(15,6,(ROW(Ventes_Encaissements!$B$6:$B$3005)-ROW(Ventes_Encaissements!$B$6)+1)/((Ventes_Encaissements!$E$6:$E$3005=$B1510)*(Ventes_Encaissements!$J$6:$J$3005=$G1510)*(Ventes_Encaissements!$C$6:$C$3005&gt;=$C1510-3)*(Ventes_Encaissements!$C$6:$C$3005&lt;=$C1510+3)),1)))</f>
        <v/>
      </c>
      <c r="K1510" s="6" t="n"/>
    </row>
    <row r="1511">
      <c r="A1511" s="6" t="n"/>
      <c r="B1511" s="6" t="n"/>
      <c r="C1511" s="19" t="n"/>
      <c r="D1511" s="19" t="n"/>
      <c r="E1511" s="6" t="n"/>
      <c r="F1511" s="20" t="n"/>
      <c r="G1511" s="9">
        <f>IF($F1511="","",IF($F1511&gt;0,ROUND($F1511,2),""))</f>
        <v/>
      </c>
      <c r="H1511" s="12">
        <f>IF(OR($B1511="",$C1511="",$G1511=""),"",COUNTIFS(Ventes_Encaissements!$E$6:$E$3005,$B1511,Ventes_Encaissements!$J$6:$J$3005,$G1511,Ventes_Encaissements!$C$6:$C$3005,"&gt;="&amp;($C1511-3),Ventes_Encaissements!$C$6:$C$3005,"&lt;="&amp;($C1511+3)))</f>
        <v/>
      </c>
      <c r="I1511" s="12">
        <f>IF($H1511="","",IF($H1511=0,"Non trouvé",IF($H1511=1,"Match","À vérifier")))</f>
        <v/>
      </c>
      <c r="J1511" s="21">
        <f>IF($I1511&lt;&gt;"Match","",INDEX(Ventes_Encaissements!$B$6:$B$3005,_xludf.AGGREGATE(15,6,(ROW(Ventes_Encaissements!$B$6:$B$3005)-ROW(Ventes_Encaissements!$B$6)+1)/((Ventes_Encaissements!$E$6:$E$3005=$B1511)*(Ventes_Encaissements!$J$6:$J$3005=$G1511)*(Ventes_Encaissements!$C$6:$C$3005&gt;=$C1511-3)*(Ventes_Encaissements!$C$6:$C$3005&lt;=$C1511+3)),1)))</f>
        <v/>
      </c>
      <c r="K1511" s="6" t="n"/>
    </row>
    <row r="1512">
      <c r="A1512" s="6" t="n"/>
      <c r="B1512" s="6" t="n"/>
      <c r="C1512" s="19" t="n"/>
      <c r="D1512" s="19" t="n"/>
      <c r="E1512" s="6" t="n"/>
      <c r="F1512" s="20" t="n"/>
      <c r="G1512" s="9">
        <f>IF($F1512="","",IF($F1512&gt;0,ROUND($F1512,2),""))</f>
        <v/>
      </c>
      <c r="H1512" s="12">
        <f>IF(OR($B1512="",$C1512="",$G1512=""),"",COUNTIFS(Ventes_Encaissements!$E$6:$E$3005,$B1512,Ventes_Encaissements!$J$6:$J$3005,$G1512,Ventes_Encaissements!$C$6:$C$3005,"&gt;="&amp;($C1512-3),Ventes_Encaissements!$C$6:$C$3005,"&lt;="&amp;($C1512+3)))</f>
        <v/>
      </c>
      <c r="I1512" s="12">
        <f>IF($H1512="","",IF($H1512=0,"Non trouvé",IF($H1512=1,"Match","À vérifier")))</f>
        <v/>
      </c>
      <c r="J1512" s="21">
        <f>IF($I1512&lt;&gt;"Match","",INDEX(Ventes_Encaissements!$B$6:$B$3005,_xludf.AGGREGATE(15,6,(ROW(Ventes_Encaissements!$B$6:$B$3005)-ROW(Ventes_Encaissements!$B$6)+1)/((Ventes_Encaissements!$E$6:$E$3005=$B1512)*(Ventes_Encaissements!$J$6:$J$3005=$G1512)*(Ventes_Encaissements!$C$6:$C$3005&gt;=$C1512-3)*(Ventes_Encaissements!$C$6:$C$3005&lt;=$C1512+3)),1)))</f>
        <v/>
      </c>
      <c r="K1512" s="6" t="n"/>
    </row>
    <row r="1513">
      <c r="A1513" s="6" t="n"/>
      <c r="B1513" s="6" t="n"/>
      <c r="C1513" s="19" t="n"/>
      <c r="D1513" s="19" t="n"/>
      <c r="E1513" s="6" t="n"/>
      <c r="F1513" s="20" t="n"/>
      <c r="G1513" s="9">
        <f>IF($F1513="","",IF($F1513&gt;0,ROUND($F1513,2),""))</f>
        <v/>
      </c>
      <c r="H1513" s="12">
        <f>IF(OR($B1513="",$C1513="",$G1513=""),"",COUNTIFS(Ventes_Encaissements!$E$6:$E$3005,$B1513,Ventes_Encaissements!$J$6:$J$3005,$G1513,Ventes_Encaissements!$C$6:$C$3005,"&gt;="&amp;($C1513-3),Ventes_Encaissements!$C$6:$C$3005,"&lt;="&amp;($C1513+3)))</f>
        <v/>
      </c>
      <c r="I1513" s="12">
        <f>IF($H1513="","",IF($H1513=0,"Non trouvé",IF($H1513=1,"Match","À vérifier")))</f>
        <v/>
      </c>
      <c r="J1513" s="21">
        <f>IF($I1513&lt;&gt;"Match","",INDEX(Ventes_Encaissements!$B$6:$B$3005,_xludf.AGGREGATE(15,6,(ROW(Ventes_Encaissements!$B$6:$B$3005)-ROW(Ventes_Encaissements!$B$6)+1)/((Ventes_Encaissements!$E$6:$E$3005=$B1513)*(Ventes_Encaissements!$J$6:$J$3005=$G1513)*(Ventes_Encaissements!$C$6:$C$3005&gt;=$C1513-3)*(Ventes_Encaissements!$C$6:$C$3005&lt;=$C1513+3)),1)))</f>
        <v/>
      </c>
      <c r="K1513" s="6" t="n"/>
    </row>
    <row r="1514">
      <c r="A1514" s="6" t="n"/>
      <c r="B1514" s="6" t="n"/>
      <c r="C1514" s="19" t="n"/>
      <c r="D1514" s="19" t="n"/>
      <c r="E1514" s="6" t="n"/>
      <c r="F1514" s="20" t="n"/>
      <c r="G1514" s="9">
        <f>IF($F1514="","",IF($F1514&gt;0,ROUND($F1514,2),""))</f>
        <v/>
      </c>
      <c r="H1514" s="12">
        <f>IF(OR($B1514="",$C1514="",$G1514=""),"",COUNTIFS(Ventes_Encaissements!$E$6:$E$3005,$B1514,Ventes_Encaissements!$J$6:$J$3005,$G1514,Ventes_Encaissements!$C$6:$C$3005,"&gt;="&amp;($C1514-3),Ventes_Encaissements!$C$6:$C$3005,"&lt;="&amp;($C1514+3)))</f>
        <v/>
      </c>
      <c r="I1514" s="12">
        <f>IF($H1514="","",IF($H1514=0,"Non trouvé",IF($H1514=1,"Match","À vérifier")))</f>
        <v/>
      </c>
      <c r="J1514" s="21">
        <f>IF($I1514&lt;&gt;"Match","",INDEX(Ventes_Encaissements!$B$6:$B$3005,_xludf.AGGREGATE(15,6,(ROW(Ventes_Encaissements!$B$6:$B$3005)-ROW(Ventes_Encaissements!$B$6)+1)/((Ventes_Encaissements!$E$6:$E$3005=$B1514)*(Ventes_Encaissements!$J$6:$J$3005=$G1514)*(Ventes_Encaissements!$C$6:$C$3005&gt;=$C1514-3)*(Ventes_Encaissements!$C$6:$C$3005&lt;=$C1514+3)),1)))</f>
        <v/>
      </c>
      <c r="K1514" s="6" t="n"/>
    </row>
    <row r="1515">
      <c r="A1515" s="6" t="n"/>
      <c r="B1515" s="6" t="n"/>
      <c r="C1515" s="19" t="n"/>
      <c r="D1515" s="19" t="n"/>
      <c r="E1515" s="6" t="n"/>
      <c r="F1515" s="20" t="n"/>
      <c r="G1515" s="9">
        <f>IF($F1515="","",IF($F1515&gt;0,ROUND($F1515,2),""))</f>
        <v/>
      </c>
      <c r="H1515" s="12">
        <f>IF(OR($B1515="",$C1515="",$G1515=""),"",COUNTIFS(Ventes_Encaissements!$E$6:$E$3005,$B1515,Ventes_Encaissements!$J$6:$J$3005,$G1515,Ventes_Encaissements!$C$6:$C$3005,"&gt;="&amp;($C1515-3),Ventes_Encaissements!$C$6:$C$3005,"&lt;="&amp;($C1515+3)))</f>
        <v/>
      </c>
      <c r="I1515" s="12">
        <f>IF($H1515="","",IF($H1515=0,"Non trouvé",IF($H1515=1,"Match","À vérifier")))</f>
        <v/>
      </c>
      <c r="J1515" s="21">
        <f>IF($I1515&lt;&gt;"Match","",INDEX(Ventes_Encaissements!$B$6:$B$3005,_xludf.AGGREGATE(15,6,(ROW(Ventes_Encaissements!$B$6:$B$3005)-ROW(Ventes_Encaissements!$B$6)+1)/((Ventes_Encaissements!$E$6:$E$3005=$B1515)*(Ventes_Encaissements!$J$6:$J$3005=$G1515)*(Ventes_Encaissements!$C$6:$C$3005&gt;=$C1515-3)*(Ventes_Encaissements!$C$6:$C$3005&lt;=$C1515+3)),1)))</f>
        <v/>
      </c>
      <c r="K1515" s="6" t="n"/>
    </row>
    <row r="1516">
      <c r="A1516" s="6" t="n"/>
      <c r="B1516" s="6" t="n"/>
      <c r="C1516" s="19" t="n"/>
      <c r="D1516" s="19" t="n"/>
      <c r="E1516" s="6" t="n"/>
      <c r="F1516" s="20" t="n"/>
      <c r="G1516" s="9">
        <f>IF($F1516="","",IF($F1516&gt;0,ROUND($F1516,2),""))</f>
        <v/>
      </c>
      <c r="H1516" s="12">
        <f>IF(OR($B1516="",$C1516="",$G1516=""),"",COUNTIFS(Ventes_Encaissements!$E$6:$E$3005,$B1516,Ventes_Encaissements!$J$6:$J$3005,$G1516,Ventes_Encaissements!$C$6:$C$3005,"&gt;="&amp;($C1516-3),Ventes_Encaissements!$C$6:$C$3005,"&lt;="&amp;($C1516+3)))</f>
        <v/>
      </c>
      <c r="I1516" s="12">
        <f>IF($H1516="","",IF($H1516=0,"Non trouvé",IF($H1516=1,"Match","À vérifier")))</f>
        <v/>
      </c>
      <c r="J1516" s="21">
        <f>IF($I1516&lt;&gt;"Match","",INDEX(Ventes_Encaissements!$B$6:$B$3005,_xludf.AGGREGATE(15,6,(ROW(Ventes_Encaissements!$B$6:$B$3005)-ROW(Ventes_Encaissements!$B$6)+1)/((Ventes_Encaissements!$E$6:$E$3005=$B1516)*(Ventes_Encaissements!$J$6:$J$3005=$G1516)*(Ventes_Encaissements!$C$6:$C$3005&gt;=$C1516-3)*(Ventes_Encaissements!$C$6:$C$3005&lt;=$C1516+3)),1)))</f>
        <v/>
      </c>
      <c r="K1516" s="6" t="n"/>
    </row>
    <row r="1517">
      <c r="A1517" s="6" t="n"/>
      <c r="B1517" s="6" t="n"/>
      <c r="C1517" s="19" t="n"/>
      <c r="D1517" s="19" t="n"/>
      <c r="E1517" s="6" t="n"/>
      <c r="F1517" s="20" t="n"/>
      <c r="G1517" s="9">
        <f>IF($F1517="","",IF($F1517&gt;0,ROUND($F1517,2),""))</f>
        <v/>
      </c>
      <c r="H1517" s="12">
        <f>IF(OR($B1517="",$C1517="",$G1517=""),"",COUNTIFS(Ventes_Encaissements!$E$6:$E$3005,$B1517,Ventes_Encaissements!$J$6:$J$3005,$G1517,Ventes_Encaissements!$C$6:$C$3005,"&gt;="&amp;($C1517-3),Ventes_Encaissements!$C$6:$C$3005,"&lt;="&amp;($C1517+3)))</f>
        <v/>
      </c>
      <c r="I1517" s="12">
        <f>IF($H1517="","",IF($H1517=0,"Non trouvé",IF($H1517=1,"Match","À vérifier")))</f>
        <v/>
      </c>
      <c r="J1517" s="21">
        <f>IF($I1517&lt;&gt;"Match","",INDEX(Ventes_Encaissements!$B$6:$B$3005,_xludf.AGGREGATE(15,6,(ROW(Ventes_Encaissements!$B$6:$B$3005)-ROW(Ventes_Encaissements!$B$6)+1)/((Ventes_Encaissements!$E$6:$E$3005=$B1517)*(Ventes_Encaissements!$J$6:$J$3005=$G1517)*(Ventes_Encaissements!$C$6:$C$3005&gt;=$C1517-3)*(Ventes_Encaissements!$C$6:$C$3005&lt;=$C1517+3)),1)))</f>
        <v/>
      </c>
      <c r="K1517" s="6" t="n"/>
    </row>
    <row r="1518">
      <c r="A1518" s="6" t="n"/>
      <c r="B1518" s="6" t="n"/>
      <c r="C1518" s="19" t="n"/>
      <c r="D1518" s="19" t="n"/>
      <c r="E1518" s="6" t="n"/>
      <c r="F1518" s="20" t="n"/>
      <c r="G1518" s="9">
        <f>IF($F1518="","",IF($F1518&gt;0,ROUND($F1518,2),""))</f>
        <v/>
      </c>
      <c r="H1518" s="12">
        <f>IF(OR($B1518="",$C1518="",$G1518=""),"",COUNTIFS(Ventes_Encaissements!$E$6:$E$3005,$B1518,Ventes_Encaissements!$J$6:$J$3005,$G1518,Ventes_Encaissements!$C$6:$C$3005,"&gt;="&amp;($C1518-3),Ventes_Encaissements!$C$6:$C$3005,"&lt;="&amp;($C1518+3)))</f>
        <v/>
      </c>
      <c r="I1518" s="12">
        <f>IF($H1518="","",IF($H1518=0,"Non trouvé",IF($H1518=1,"Match","À vérifier")))</f>
        <v/>
      </c>
      <c r="J1518" s="21">
        <f>IF($I1518&lt;&gt;"Match","",INDEX(Ventes_Encaissements!$B$6:$B$3005,_xludf.AGGREGATE(15,6,(ROW(Ventes_Encaissements!$B$6:$B$3005)-ROW(Ventes_Encaissements!$B$6)+1)/((Ventes_Encaissements!$E$6:$E$3005=$B1518)*(Ventes_Encaissements!$J$6:$J$3005=$G1518)*(Ventes_Encaissements!$C$6:$C$3005&gt;=$C1518-3)*(Ventes_Encaissements!$C$6:$C$3005&lt;=$C1518+3)),1)))</f>
        <v/>
      </c>
      <c r="K1518" s="6" t="n"/>
    </row>
    <row r="1519">
      <c r="A1519" s="6" t="n"/>
      <c r="B1519" s="6" t="n"/>
      <c r="C1519" s="19" t="n"/>
      <c r="D1519" s="19" t="n"/>
      <c r="E1519" s="6" t="n"/>
      <c r="F1519" s="20" t="n"/>
      <c r="G1519" s="9">
        <f>IF($F1519="","",IF($F1519&gt;0,ROUND($F1519,2),""))</f>
        <v/>
      </c>
      <c r="H1519" s="12">
        <f>IF(OR($B1519="",$C1519="",$G1519=""),"",COUNTIFS(Ventes_Encaissements!$E$6:$E$3005,$B1519,Ventes_Encaissements!$J$6:$J$3005,$G1519,Ventes_Encaissements!$C$6:$C$3005,"&gt;="&amp;($C1519-3),Ventes_Encaissements!$C$6:$C$3005,"&lt;="&amp;($C1519+3)))</f>
        <v/>
      </c>
      <c r="I1519" s="12">
        <f>IF($H1519="","",IF($H1519=0,"Non trouvé",IF($H1519=1,"Match","À vérifier")))</f>
        <v/>
      </c>
      <c r="J1519" s="21">
        <f>IF($I1519&lt;&gt;"Match","",INDEX(Ventes_Encaissements!$B$6:$B$3005,_xludf.AGGREGATE(15,6,(ROW(Ventes_Encaissements!$B$6:$B$3005)-ROW(Ventes_Encaissements!$B$6)+1)/((Ventes_Encaissements!$E$6:$E$3005=$B1519)*(Ventes_Encaissements!$J$6:$J$3005=$G1519)*(Ventes_Encaissements!$C$6:$C$3005&gt;=$C1519-3)*(Ventes_Encaissements!$C$6:$C$3005&lt;=$C1519+3)),1)))</f>
        <v/>
      </c>
      <c r="K1519" s="6" t="n"/>
    </row>
    <row r="1520">
      <c r="A1520" s="6" t="n"/>
      <c r="B1520" s="6" t="n"/>
      <c r="C1520" s="19" t="n"/>
      <c r="D1520" s="19" t="n"/>
      <c r="E1520" s="6" t="n"/>
      <c r="F1520" s="20" t="n"/>
      <c r="G1520" s="9">
        <f>IF($F1520="","",IF($F1520&gt;0,ROUND($F1520,2),""))</f>
        <v/>
      </c>
      <c r="H1520" s="12">
        <f>IF(OR($B1520="",$C1520="",$G1520=""),"",COUNTIFS(Ventes_Encaissements!$E$6:$E$3005,$B1520,Ventes_Encaissements!$J$6:$J$3005,$G1520,Ventes_Encaissements!$C$6:$C$3005,"&gt;="&amp;($C1520-3),Ventes_Encaissements!$C$6:$C$3005,"&lt;="&amp;($C1520+3)))</f>
        <v/>
      </c>
      <c r="I1520" s="12">
        <f>IF($H1520="","",IF($H1520=0,"Non trouvé",IF($H1520=1,"Match","À vérifier")))</f>
        <v/>
      </c>
      <c r="J1520" s="21">
        <f>IF($I1520&lt;&gt;"Match","",INDEX(Ventes_Encaissements!$B$6:$B$3005,_xludf.AGGREGATE(15,6,(ROW(Ventes_Encaissements!$B$6:$B$3005)-ROW(Ventes_Encaissements!$B$6)+1)/((Ventes_Encaissements!$E$6:$E$3005=$B1520)*(Ventes_Encaissements!$J$6:$J$3005=$G1520)*(Ventes_Encaissements!$C$6:$C$3005&gt;=$C1520-3)*(Ventes_Encaissements!$C$6:$C$3005&lt;=$C1520+3)),1)))</f>
        <v/>
      </c>
      <c r="K1520" s="6" t="n"/>
    </row>
    <row r="1521">
      <c r="A1521" s="6" t="n"/>
      <c r="B1521" s="6" t="n"/>
      <c r="C1521" s="19" t="n"/>
      <c r="D1521" s="19" t="n"/>
      <c r="E1521" s="6" t="n"/>
      <c r="F1521" s="20" t="n"/>
      <c r="G1521" s="9">
        <f>IF($F1521="","",IF($F1521&gt;0,ROUND($F1521,2),""))</f>
        <v/>
      </c>
      <c r="H1521" s="12">
        <f>IF(OR($B1521="",$C1521="",$G1521=""),"",COUNTIFS(Ventes_Encaissements!$E$6:$E$3005,$B1521,Ventes_Encaissements!$J$6:$J$3005,$G1521,Ventes_Encaissements!$C$6:$C$3005,"&gt;="&amp;($C1521-3),Ventes_Encaissements!$C$6:$C$3005,"&lt;="&amp;($C1521+3)))</f>
        <v/>
      </c>
      <c r="I1521" s="12">
        <f>IF($H1521="","",IF($H1521=0,"Non trouvé",IF($H1521=1,"Match","À vérifier")))</f>
        <v/>
      </c>
      <c r="J1521" s="21">
        <f>IF($I1521&lt;&gt;"Match","",INDEX(Ventes_Encaissements!$B$6:$B$3005,_xludf.AGGREGATE(15,6,(ROW(Ventes_Encaissements!$B$6:$B$3005)-ROW(Ventes_Encaissements!$B$6)+1)/((Ventes_Encaissements!$E$6:$E$3005=$B1521)*(Ventes_Encaissements!$J$6:$J$3005=$G1521)*(Ventes_Encaissements!$C$6:$C$3005&gt;=$C1521-3)*(Ventes_Encaissements!$C$6:$C$3005&lt;=$C1521+3)),1)))</f>
        <v/>
      </c>
      <c r="K1521" s="6" t="n"/>
    </row>
    <row r="1522">
      <c r="A1522" s="6" t="n"/>
      <c r="B1522" s="6" t="n"/>
      <c r="C1522" s="19" t="n"/>
      <c r="D1522" s="19" t="n"/>
      <c r="E1522" s="6" t="n"/>
      <c r="F1522" s="20" t="n"/>
      <c r="G1522" s="9">
        <f>IF($F1522="","",IF($F1522&gt;0,ROUND($F1522,2),""))</f>
        <v/>
      </c>
      <c r="H1522" s="12">
        <f>IF(OR($B1522="",$C1522="",$G1522=""),"",COUNTIFS(Ventes_Encaissements!$E$6:$E$3005,$B1522,Ventes_Encaissements!$J$6:$J$3005,$G1522,Ventes_Encaissements!$C$6:$C$3005,"&gt;="&amp;($C1522-3),Ventes_Encaissements!$C$6:$C$3005,"&lt;="&amp;($C1522+3)))</f>
        <v/>
      </c>
      <c r="I1522" s="12">
        <f>IF($H1522="","",IF($H1522=0,"Non trouvé",IF($H1522=1,"Match","À vérifier")))</f>
        <v/>
      </c>
      <c r="J1522" s="21">
        <f>IF($I1522&lt;&gt;"Match","",INDEX(Ventes_Encaissements!$B$6:$B$3005,_xludf.AGGREGATE(15,6,(ROW(Ventes_Encaissements!$B$6:$B$3005)-ROW(Ventes_Encaissements!$B$6)+1)/((Ventes_Encaissements!$E$6:$E$3005=$B1522)*(Ventes_Encaissements!$J$6:$J$3005=$G1522)*(Ventes_Encaissements!$C$6:$C$3005&gt;=$C1522-3)*(Ventes_Encaissements!$C$6:$C$3005&lt;=$C1522+3)),1)))</f>
        <v/>
      </c>
      <c r="K1522" s="6" t="n"/>
    </row>
    <row r="1523">
      <c r="A1523" s="6" t="n"/>
      <c r="B1523" s="6" t="n"/>
      <c r="C1523" s="19" t="n"/>
      <c r="D1523" s="19" t="n"/>
      <c r="E1523" s="6" t="n"/>
      <c r="F1523" s="20" t="n"/>
      <c r="G1523" s="9">
        <f>IF($F1523="","",IF($F1523&gt;0,ROUND($F1523,2),""))</f>
        <v/>
      </c>
      <c r="H1523" s="12">
        <f>IF(OR($B1523="",$C1523="",$G1523=""),"",COUNTIFS(Ventes_Encaissements!$E$6:$E$3005,$B1523,Ventes_Encaissements!$J$6:$J$3005,$G1523,Ventes_Encaissements!$C$6:$C$3005,"&gt;="&amp;($C1523-3),Ventes_Encaissements!$C$6:$C$3005,"&lt;="&amp;($C1523+3)))</f>
        <v/>
      </c>
      <c r="I1523" s="12">
        <f>IF($H1523="","",IF($H1523=0,"Non trouvé",IF($H1523=1,"Match","À vérifier")))</f>
        <v/>
      </c>
      <c r="J1523" s="21">
        <f>IF($I1523&lt;&gt;"Match","",INDEX(Ventes_Encaissements!$B$6:$B$3005,_xludf.AGGREGATE(15,6,(ROW(Ventes_Encaissements!$B$6:$B$3005)-ROW(Ventes_Encaissements!$B$6)+1)/((Ventes_Encaissements!$E$6:$E$3005=$B1523)*(Ventes_Encaissements!$J$6:$J$3005=$G1523)*(Ventes_Encaissements!$C$6:$C$3005&gt;=$C1523-3)*(Ventes_Encaissements!$C$6:$C$3005&lt;=$C1523+3)),1)))</f>
        <v/>
      </c>
      <c r="K1523" s="6" t="n"/>
    </row>
    <row r="1524">
      <c r="A1524" s="6" t="n"/>
      <c r="B1524" s="6" t="n"/>
      <c r="C1524" s="19" t="n"/>
      <c r="D1524" s="19" t="n"/>
      <c r="E1524" s="6" t="n"/>
      <c r="F1524" s="20" t="n"/>
      <c r="G1524" s="9">
        <f>IF($F1524="","",IF($F1524&gt;0,ROUND($F1524,2),""))</f>
        <v/>
      </c>
      <c r="H1524" s="12">
        <f>IF(OR($B1524="",$C1524="",$G1524=""),"",COUNTIFS(Ventes_Encaissements!$E$6:$E$3005,$B1524,Ventes_Encaissements!$J$6:$J$3005,$G1524,Ventes_Encaissements!$C$6:$C$3005,"&gt;="&amp;($C1524-3),Ventes_Encaissements!$C$6:$C$3005,"&lt;="&amp;($C1524+3)))</f>
        <v/>
      </c>
      <c r="I1524" s="12">
        <f>IF($H1524="","",IF($H1524=0,"Non trouvé",IF($H1524=1,"Match","À vérifier")))</f>
        <v/>
      </c>
      <c r="J1524" s="21">
        <f>IF($I1524&lt;&gt;"Match","",INDEX(Ventes_Encaissements!$B$6:$B$3005,_xludf.AGGREGATE(15,6,(ROW(Ventes_Encaissements!$B$6:$B$3005)-ROW(Ventes_Encaissements!$B$6)+1)/((Ventes_Encaissements!$E$6:$E$3005=$B1524)*(Ventes_Encaissements!$J$6:$J$3005=$G1524)*(Ventes_Encaissements!$C$6:$C$3005&gt;=$C1524-3)*(Ventes_Encaissements!$C$6:$C$3005&lt;=$C1524+3)),1)))</f>
        <v/>
      </c>
      <c r="K1524" s="6" t="n"/>
    </row>
    <row r="1525">
      <c r="A1525" s="6" t="n"/>
      <c r="B1525" s="6" t="n"/>
      <c r="C1525" s="19" t="n"/>
      <c r="D1525" s="19" t="n"/>
      <c r="E1525" s="6" t="n"/>
      <c r="F1525" s="20" t="n"/>
      <c r="G1525" s="9">
        <f>IF($F1525="","",IF($F1525&gt;0,ROUND($F1525,2),""))</f>
        <v/>
      </c>
      <c r="H1525" s="12">
        <f>IF(OR($B1525="",$C1525="",$G1525=""),"",COUNTIFS(Ventes_Encaissements!$E$6:$E$3005,$B1525,Ventes_Encaissements!$J$6:$J$3005,$G1525,Ventes_Encaissements!$C$6:$C$3005,"&gt;="&amp;($C1525-3),Ventes_Encaissements!$C$6:$C$3005,"&lt;="&amp;($C1525+3)))</f>
        <v/>
      </c>
      <c r="I1525" s="12">
        <f>IF($H1525="","",IF($H1525=0,"Non trouvé",IF($H1525=1,"Match","À vérifier")))</f>
        <v/>
      </c>
      <c r="J1525" s="21">
        <f>IF($I1525&lt;&gt;"Match","",INDEX(Ventes_Encaissements!$B$6:$B$3005,_xludf.AGGREGATE(15,6,(ROW(Ventes_Encaissements!$B$6:$B$3005)-ROW(Ventes_Encaissements!$B$6)+1)/((Ventes_Encaissements!$E$6:$E$3005=$B1525)*(Ventes_Encaissements!$J$6:$J$3005=$G1525)*(Ventes_Encaissements!$C$6:$C$3005&gt;=$C1525-3)*(Ventes_Encaissements!$C$6:$C$3005&lt;=$C1525+3)),1)))</f>
        <v/>
      </c>
      <c r="K1525" s="6" t="n"/>
    </row>
    <row r="1526">
      <c r="A1526" s="6" t="n"/>
      <c r="B1526" s="6" t="n"/>
      <c r="C1526" s="19" t="n"/>
      <c r="D1526" s="19" t="n"/>
      <c r="E1526" s="6" t="n"/>
      <c r="F1526" s="20" t="n"/>
      <c r="G1526" s="9">
        <f>IF($F1526="","",IF($F1526&gt;0,ROUND($F1526,2),""))</f>
        <v/>
      </c>
      <c r="H1526" s="12">
        <f>IF(OR($B1526="",$C1526="",$G1526=""),"",COUNTIFS(Ventes_Encaissements!$E$6:$E$3005,$B1526,Ventes_Encaissements!$J$6:$J$3005,$G1526,Ventes_Encaissements!$C$6:$C$3005,"&gt;="&amp;($C1526-3),Ventes_Encaissements!$C$6:$C$3005,"&lt;="&amp;($C1526+3)))</f>
        <v/>
      </c>
      <c r="I1526" s="12">
        <f>IF($H1526="","",IF($H1526=0,"Non trouvé",IF($H1526=1,"Match","À vérifier")))</f>
        <v/>
      </c>
      <c r="J1526" s="21">
        <f>IF($I1526&lt;&gt;"Match","",INDEX(Ventes_Encaissements!$B$6:$B$3005,_xludf.AGGREGATE(15,6,(ROW(Ventes_Encaissements!$B$6:$B$3005)-ROW(Ventes_Encaissements!$B$6)+1)/((Ventes_Encaissements!$E$6:$E$3005=$B1526)*(Ventes_Encaissements!$J$6:$J$3005=$G1526)*(Ventes_Encaissements!$C$6:$C$3005&gt;=$C1526-3)*(Ventes_Encaissements!$C$6:$C$3005&lt;=$C1526+3)),1)))</f>
        <v/>
      </c>
      <c r="K1526" s="6" t="n"/>
    </row>
    <row r="1527">
      <c r="A1527" s="6" t="n"/>
      <c r="B1527" s="6" t="n"/>
      <c r="C1527" s="19" t="n"/>
      <c r="D1527" s="19" t="n"/>
      <c r="E1527" s="6" t="n"/>
      <c r="F1527" s="20" t="n"/>
      <c r="G1527" s="9">
        <f>IF($F1527="","",IF($F1527&gt;0,ROUND($F1527,2),""))</f>
        <v/>
      </c>
      <c r="H1527" s="12">
        <f>IF(OR($B1527="",$C1527="",$G1527=""),"",COUNTIFS(Ventes_Encaissements!$E$6:$E$3005,$B1527,Ventes_Encaissements!$J$6:$J$3005,$G1527,Ventes_Encaissements!$C$6:$C$3005,"&gt;="&amp;($C1527-3),Ventes_Encaissements!$C$6:$C$3005,"&lt;="&amp;($C1527+3)))</f>
        <v/>
      </c>
      <c r="I1527" s="12">
        <f>IF($H1527="","",IF($H1527=0,"Non trouvé",IF($H1527=1,"Match","À vérifier")))</f>
        <v/>
      </c>
      <c r="J1527" s="21">
        <f>IF($I1527&lt;&gt;"Match","",INDEX(Ventes_Encaissements!$B$6:$B$3005,_xludf.AGGREGATE(15,6,(ROW(Ventes_Encaissements!$B$6:$B$3005)-ROW(Ventes_Encaissements!$B$6)+1)/((Ventes_Encaissements!$E$6:$E$3005=$B1527)*(Ventes_Encaissements!$J$6:$J$3005=$G1527)*(Ventes_Encaissements!$C$6:$C$3005&gt;=$C1527-3)*(Ventes_Encaissements!$C$6:$C$3005&lt;=$C1527+3)),1)))</f>
        <v/>
      </c>
      <c r="K1527" s="6" t="n"/>
    </row>
    <row r="1528">
      <c r="A1528" s="6" t="n"/>
      <c r="B1528" s="6" t="n"/>
      <c r="C1528" s="19" t="n"/>
      <c r="D1528" s="19" t="n"/>
      <c r="E1528" s="6" t="n"/>
      <c r="F1528" s="20" t="n"/>
      <c r="G1528" s="9">
        <f>IF($F1528="","",IF($F1528&gt;0,ROUND($F1528,2),""))</f>
        <v/>
      </c>
      <c r="H1528" s="12">
        <f>IF(OR($B1528="",$C1528="",$G1528=""),"",COUNTIFS(Ventes_Encaissements!$E$6:$E$3005,$B1528,Ventes_Encaissements!$J$6:$J$3005,$G1528,Ventes_Encaissements!$C$6:$C$3005,"&gt;="&amp;($C1528-3),Ventes_Encaissements!$C$6:$C$3005,"&lt;="&amp;($C1528+3)))</f>
        <v/>
      </c>
      <c r="I1528" s="12">
        <f>IF($H1528="","",IF($H1528=0,"Non trouvé",IF($H1528=1,"Match","À vérifier")))</f>
        <v/>
      </c>
      <c r="J1528" s="21">
        <f>IF($I1528&lt;&gt;"Match","",INDEX(Ventes_Encaissements!$B$6:$B$3005,_xludf.AGGREGATE(15,6,(ROW(Ventes_Encaissements!$B$6:$B$3005)-ROW(Ventes_Encaissements!$B$6)+1)/((Ventes_Encaissements!$E$6:$E$3005=$B1528)*(Ventes_Encaissements!$J$6:$J$3005=$G1528)*(Ventes_Encaissements!$C$6:$C$3005&gt;=$C1528-3)*(Ventes_Encaissements!$C$6:$C$3005&lt;=$C1528+3)),1)))</f>
        <v/>
      </c>
      <c r="K1528" s="6" t="n"/>
    </row>
    <row r="1529">
      <c r="A1529" s="6" t="n"/>
      <c r="B1529" s="6" t="n"/>
      <c r="C1529" s="19" t="n"/>
      <c r="D1529" s="19" t="n"/>
      <c r="E1529" s="6" t="n"/>
      <c r="F1529" s="20" t="n"/>
      <c r="G1529" s="9">
        <f>IF($F1529="","",IF($F1529&gt;0,ROUND($F1529,2),""))</f>
        <v/>
      </c>
      <c r="H1529" s="12">
        <f>IF(OR($B1529="",$C1529="",$G1529=""),"",COUNTIFS(Ventes_Encaissements!$E$6:$E$3005,$B1529,Ventes_Encaissements!$J$6:$J$3005,$G1529,Ventes_Encaissements!$C$6:$C$3005,"&gt;="&amp;($C1529-3),Ventes_Encaissements!$C$6:$C$3005,"&lt;="&amp;($C1529+3)))</f>
        <v/>
      </c>
      <c r="I1529" s="12">
        <f>IF($H1529="","",IF($H1529=0,"Non trouvé",IF($H1529=1,"Match","À vérifier")))</f>
        <v/>
      </c>
      <c r="J1529" s="21">
        <f>IF($I1529&lt;&gt;"Match","",INDEX(Ventes_Encaissements!$B$6:$B$3005,_xludf.AGGREGATE(15,6,(ROW(Ventes_Encaissements!$B$6:$B$3005)-ROW(Ventes_Encaissements!$B$6)+1)/((Ventes_Encaissements!$E$6:$E$3005=$B1529)*(Ventes_Encaissements!$J$6:$J$3005=$G1529)*(Ventes_Encaissements!$C$6:$C$3005&gt;=$C1529-3)*(Ventes_Encaissements!$C$6:$C$3005&lt;=$C1529+3)),1)))</f>
        <v/>
      </c>
      <c r="K1529" s="6" t="n"/>
    </row>
    <row r="1530">
      <c r="A1530" s="6" t="n"/>
      <c r="B1530" s="6" t="n"/>
      <c r="C1530" s="19" t="n"/>
      <c r="D1530" s="19" t="n"/>
      <c r="E1530" s="6" t="n"/>
      <c r="F1530" s="20" t="n"/>
      <c r="G1530" s="9">
        <f>IF($F1530="","",IF($F1530&gt;0,ROUND($F1530,2),""))</f>
        <v/>
      </c>
      <c r="H1530" s="12">
        <f>IF(OR($B1530="",$C1530="",$G1530=""),"",COUNTIFS(Ventes_Encaissements!$E$6:$E$3005,$B1530,Ventes_Encaissements!$J$6:$J$3005,$G1530,Ventes_Encaissements!$C$6:$C$3005,"&gt;="&amp;($C1530-3),Ventes_Encaissements!$C$6:$C$3005,"&lt;="&amp;($C1530+3)))</f>
        <v/>
      </c>
      <c r="I1530" s="12">
        <f>IF($H1530="","",IF($H1530=0,"Non trouvé",IF($H1530=1,"Match","À vérifier")))</f>
        <v/>
      </c>
      <c r="J1530" s="21">
        <f>IF($I1530&lt;&gt;"Match","",INDEX(Ventes_Encaissements!$B$6:$B$3005,_xludf.AGGREGATE(15,6,(ROW(Ventes_Encaissements!$B$6:$B$3005)-ROW(Ventes_Encaissements!$B$6)+1)/((Ventes_Encaissements!$E$6:$E$3005=$B1530)*(Ventes_Encaissements!$J$6:$J$3005=$G1530)*(Ventes_Encaissements!$C$6:$C$3005&gt;=$C1530-3)*(Ventes_Encaissements!$C$6:$C$3005&lt;=$C1530+3)),1)))</f>
        <v/>
      </c>
      <c r="K1530" s="6" t="n"/>
    </row>
    <row r="1531">
      <c r="A1531" s="6" t="n"/>
      <c r="B1531" s="6" t="n"/>
      <c r="C1531" s="19" t="n"/>
      <c r="D1531" s="19" t="n"/>
      <c r="E1531" s="6" t="n"/>
      <c r="F1531" s="20" t="n"/>
      <c r="G1531" s="9">
        <f>IF($F1531="","",IF($F1531&gt;0,ROUND($F1531,2),""))</f>
        <v/>
      </c>
      <c r="H1531" s="12">
        <f>IF(OR($B1531="",$C1531="",$G1531=""),"",COUNTIFS(Ventes_Encaissements!$E$6:$E$3005,$B1531,Ventes_Encaissements!$J$6:$J$3005,$G1531,Ventes_Encaissements!$C$6:$C$3005,"&gt;="&amp;($C1531-3),Ventes_Encaissements!$C$6:$C$3005,"&lt;="&amp;($C1531+3)))</f>
        <v/>
      </c>
      <c r="I1531" s="12">
        <f>IF($H1531="","",IF($H1531=0,"Non trouvé",IF($H1531=1,"Match","À vérifier")))</f>
        <v/>
      </c>
      <c r="J1531" s="21">
        <f>IF($I1531&lt;&gt;"Match","",INDEX(Ventes_Encaissements!$B$6:$B$3005,_xludf.AGGREGATE(15,6,(ROW(Ventes_Encaissements!$B$6:$B$3005)-ROW(Ventes_Encaissements!$B$6)+1)/((Ventes_Encaissements!$E$6:$E$3005=$B1531)*(Ventes_Encaissements!$J$6:$J$3005=$G1531)*(Ventes_Encaissements!$C$6:$C$3005&gt;=$C1531-3)*(Ventes_Encaissements!$C$6:$C$3005&lt;=$C1531+3)),1)))</f>
        <v/>
      </c>
      <c r="K1531" s="6" t="n"/>
    </row>
    <row r="1532">
      <c r="A1532" s="6" t="n"/>
      <c r="B1532" s="6" t="n"/>
      <c r="C1532" s="19" t="n"/>
      <c r="D1532" s="19" t="n"/>
      <c r="E1532" s="6" t="n"/>
      <c r="F1532" s="20" t="n"/>
      <c r="G1532" s="9">
        <f>IF($F1532="","",IF($F1532&gt;0,ROUND($F1532,2),""))</f>
        <v/>
      </c>
      <c r="H1532" s="12">
        <f>IF(OR($B1532="",$C1532="",$G1532=""),"",COUNTIFS(Ventes_Encaissements!$E$6:$E$3005,$B1532,Ventes_Encaissements!$J$6:$J$3005,$G1532,Ventes_Encaissements!$C$6:$C$3005,"&gt;="&amp;($C1532-3),Ventes_Encaissements!$C$6:$C$3005,"&lt;="&amp;($C1532+3)))</f>
        <v/>
      </c>
      <c r="I1532" s="12">
        <f>IF($H1532="","",IF($H1532=0,"Non trouvé",IF($H1532=1,"Match","À vérifier")))</f>
        <v/>
      </c>
      <c r="J1532" s="21">
        <f>IF($I1532&lt;&gt;"Match","",INDEX(Ventes_Encaissements!$B$6:$B$3005,_xludf.AGGREGATE(15,6,(ROW(Ventes_Encaissements!$B$6:$B$3005)-ROW(Ventes_Encaissements!$B$6)+1)/((Ventes_Encaissements!$E$6:$E$3005=$B1532)*(Ventes_Encaissements!$J$6:$J$3005=$G1532)*(Ventes_Encaissements!$C$6:$C$3005&gt;=$C1532-3)*(Ventes_Encaissements!$C$6:$C$3005&lt;=$C1532+3)),1)))</f>
        <v/>
      </c>
      <c r="K1532" s="6" t="n"/>
    </row>
    <row r="1533">
      <c r="A1533" s="6" t="n"/>
      <c r="B1533" s="6" t="n"/>
      <c r="C1533" s="19" t="n"/>
      <c r="D1533" s="19" t="n"/>
      <c r="E1533" s="6" t="n"/>
      <c r="F1533" s="20" t="n"/>
      <c r="G1533" s="9">
        <f>IF($F1533="","",IF($F1533&gt;0,ROUND($F1533,2),""))</f>
        <v/>
      </c>
      <c r="H1533" s="12">
        <f>IF(OR($B1533="",$C1533="",$G1533=""),"",COUNTIFS(Ventes_Encaissements!$E$6:$E$3005,$B1533,Ventes_Encaissements!$J$6:$J$3005,$G1533,Ventes_Encaissements!$C$6:$C$3005,"&gt;="&amp;($C1533-3),Ventes_Encaissements!$C$6:$C$3005,"&lt;="&amp;($C1533+3)))</f>
        <v/>
      </c>
      <c r="I1533" s="12">
        <f>IF($H1533="","",IF($H1533=0,"Non trouvé",IF($H1533=1,"Match","À vérifier")))</f>
        <v/>
      </c>
      <c r="J1533" s="21">
        <f>IF($I1533&lt;&gt;"Match","",INDEX(Ventes_Encaissements!$B$6:$B$3005,_xludf.AGGREGATE(15,6,(ROW(Ventes_Encaissements!$B$6:$B$3005)-ROW(Ventes_Encaissements!$B$6)+1)/((Ventes_Encaissements!$E$6:$E$3005=$B1533)*(Ventes_Encaissements!$J$6:$J$3005=$G1533)*(Ventes_Encaissements!$C$6:$C$3005&gt;=$C1533-3)*(Ventes_Encaissements!$C$6:$C$3005&lt;=$C1533+3)),1)))</f>
        <v/>
      </c>
      <c r="K1533" s="6" t="n"/>
    </row>
    <row r="1534">
      <c r="A1534" s="6" t="n"/>
      <c r="B1534" s="6" t="n"/>
      <c r="C1534" s="19" t="n"/>
      <c r="D1534" s="19" t="n"/>
      <c r="E1534" s="6" t="n"/>
      <c r="F1534" s="20" t="n"/>
      <c r="G1534" s="9">
        <f>IF($F1534="","",IF($F1534&gt;0,ROUND($F1534,2),""))</f>
        <v/>
      </c>
      <c r="H1534" s="12">
        <f>IF(OR($B1534="",$C1534="",$G1534=""),"",COUNTIFS(Ventes_Encaissements!$E$6:$E$3005,$B1534,Ventes_Encaissements!$J$6:$J$3005,$G1534,Ventes_Encaissements!$C$6:$C$3005,"&gt;="&amp;($C1534-3),Ventes_Encaissements!$C$6:$C$3005,"&lt;="&amp;($C1534+3)))</f>
        <v/>
      </c>
      <c r="I1534" s="12">
        <f>IF($H1534="","",IF($H1534=0,"Non trouvé",IF($H1534=1,"Match","À vérifier")))</f>
        <v/>
      </c>
      <c r="J1534" s="21">
        <f>IF($I1534&lt;&gt;"Match","",INDEX(Ventes_Encaissements!$B$6:$B$3005,_xludf.AGGREGATE(15,6,(ROW(Ventes_Encaissements!$B$6:$B$3005)-ROW(Ventes_Encaissements!$B$6)+1)/((Ventes_Encaissements!$E$6:$E$3005=$B1534)*(Ventes_Encaissements!$J$6:$J$3005=$G1534)*(Ventes_Encaissements!$C$6:$C$3005&gt;=$C1534-3)*(Ventes_Encaissements!$C$6:$C$3005&lt;=$C1534+3)),1)))</f>
        <v/>
      </c>
      <c r="K1534" s="6" t="n"/>
    </row>
    <row r="1535">
      <c r="A1535" s="6" t="n"/>
      <c r="B1535" s="6" t="n"/>
      <c r="C1535" s="19" t="n"/>
      <c r="D1535" s="19" t="n"/>
      <c r="E1535" s="6" t="n"/>
      <c r="F1535" s="20" t="n"/>
      <c r="G1535" s="9">
        <f>IF($F1535="","",IF($F1535&gt;0,ROUND($F1535,2),""))</f>
        <v/>
      </c>
      <c r="H1535" s="12">
        <f>IF(OR($B1535="",$C1535="",$G1535=""),"",COUNTIFS(Ventes_Encaissements!$E$6:$E$3005,$B1535,Ventes_Encaissements!$J$6:$J$3005,$G1535,Ventes_Encaissements!$C$6:$C$3005,"&gt;="&amp;($C1535-3),Ventes_Encaissements!$C$6:$C$3005,"&lt;="&amp;($C1535+3)))</f>
        <v/>
      </c>
      <c r="I1535" s="12">
        <f>IF($H1535="","",IF($H1535=0,"Non trouvé",IF($H1535=1,"Match","À vérifier")))</f>
        <v/>
      </c>
      <c r="J1535" s="21">
        <f>IF($I1535&lt;&gt;"Match","",INDEX(Ventes_Encaissements!$B$6:$B$3005,_xludf.AGGREGATE(15,6,(ROW(Ventes_Encaissements!$B$6:$B$3005)-ROW(Ventes_Encaissements!$B$6)+1)/((Ventes_Encaissements!$E$6:$E$3005=$B1535)*(Ventes_Encaissements!$J$6:$J$3005=$G1535)*(Ventes_Encaissements!$C$6:$C$3005&gt;=$C1535-3)*(Ventes_Encaissements!$C$6:$C$3005&lt;=$C1535+3)),1)))</f>
        <v/>
      </c>
      <c r="K1535" s="6" t="n"/>
    </row>
    <row r="1536">
      <c r="A1536" s="6" t="n"/>
      <c r="B1536" s="6" t="n"/>
      <c r="C1536" s="19" t="n"/>
      <c r="D1536" s="19" t="n"/>
      <c r="E1536" s="6" t="n"/>
      <c r="F1536" s="20" t="n"/>
      <c r="G1536" s="9">
        <f>IF($F1536="","",IF($F1536&gt;0,ROUND($F1536,2),""))</f>
        <v/>
      </c>
      <c r="H1536" s="12">
        <f>IF(OR($B1536="",$C1536="",$G1536=""),"",COUNTIFS(Ventes_Encaissements!$E$6:$E$3005,$B1536,Ventes_Encaissements!$J$6:$J$3005,$G1536,Ventes_Encaissements!$C$6:$C$3005,"&gt;="&amp;($C1536-3),Ventes_Encaissements!$C$6:$C$3005,"&lt;="&amp;($C1536+3)))</f>
        <v/>
      </c>
      <c r="I1536" s="12">
        <f>IF($H1536="","",IF($H1536=0,"Non trouvé",IF($H1536=1,"Match","À vérifier")))</f>
        <v/>
      </c>
      <c r="J1536" s="21">
        <f>IF($I1536&lt;&gt;"Match","",INDEX(Ventes_Encaissements!$B$6:$B$3005,_xludf.AGGREGATE(15,6,(ROW(Ventes_Encaissements!$B$6:$B$3005)-ROW(Ventes_Encaissements!$B$6)+1)/((Ventes_Encaissements!$E$6:$E$3005=$B1536)*(Ventes_Encaissements!$J$6:$J$3005=$G1536)*(Ventes_Encaissements!$C$6:$C$3005&gt;=$C1536-3)*(Ventes_Encaissements!$C$6:$C$3005&lt;=$C1536+3)),1)))</f>
        <v/>
      </c>
      <c r="K1536" s="6" t="n"/>
    </row>
    <row r="1537">
      <c r="A1537" s="6" t="n"/>
      <c r="B1537" s="6" t="n"/>
      <c r="C1537" s="19" t="n"/>
      <c r="D1537" s="19" t="n"/>
      <c r="E1537" s="6" t="n"/>
      <c r="F1537" s="20" t="n"/>
      <c r="G1537" s="9">
        <f>IF($F1537="","",IF($F1537&gt;0,ROUND($F1537,2),""))</f>
        <v/>
      </c>
      <c r="H1537" s="12">
        <f>IF(OR($B1537="",$C1537="",$G1537=""),"",COUNTIFS(Ventes_Encaissements!$E$6:$E$3005,$B1537,Ventes_Encaissements!$J$6:$J$3005,$G1537,Ventes_Encaissements!$C$6:$C$3005,"&gt;="&amp;($C1537-3),Ventes_Encaissements!$C$6:$C$3005,"&lt;="&amp;($C1537+3)))</f>
        <v/>
      </c>
      <c r="I1537" s="12">
        <f>IF($H1537="","",IF($H1537=0,"Non trouvé",IF($H1537=1,"Match","À vérifier")))</f>
        <v/>
      </c>
      <c r="J1537" s="21">
        <f>IF($I1537&lt;&gt;"Match","",INDEX(Ventes_Encaissements!$B$6:$B$3005,_xludf.AGGREGATE(15,6,(ROW(Ventes_Encaissements!$B$6:$B$3005)-ROW(Ventes_Encaissements!$B$6)+1)/((Ventes_Encaissements!$E$6:$E$3005=$B1537)*(Ventes_Encaissements!$J$6:$J$3005=$G1537)*(Ventes_Encaissements!$C$6:$C$3005&gt;=$C1537-3)*(Ventes_Encaissements!$C$6:$C$3005&lt;=$C1537+3)),1)))</f>
        <v/>
      </c>
      <c r="K1537" s="6" t="n"/>
    </row>
    <row r="1538">
      <c r="A1538" s="6" t="n"/>
      <c r="B1538" s="6" t="n"/>
      <c r="C1538" s="19" t="n"/>
      <c r="D1538" s="19" t="n"/>
      <c r="E1538" s="6" t="n"/>
      <c r="F1538" s="20" t="n"/>
      <c r="G1538" s="9">
        <f>IF($F1538="","",IF($F1538&gt;0,ROUND($F1538,2),""))</f>
        <v/>
      </c>
      <c r="H1538" s="12">
        <f>IF(OR($B1538="",$C1538="",$G1538=""),"",COUNTIFS(Ventes_Encaissements!$E$6:$E$3005,$B1538,Ventes_Encaissements!$J$6:$J$3005,$G1538,Ventes_Encaissements!$C$6:$C$3005,"&gt;="&amp;($C1538-3),Ventes_Encaissements!$C$6:$C$3005,"&lt;="&amp;($C1538+3)))</f>
        <v/>
      </c>
      <c r="I1538" s="12">
        <f>IF($H1538="","",IF($H1538=0,"Non trouvé",IF($H1538=1,"Match","À vérifier")))</f>
        <v/>
      </c>
      <c r="J1538" s="21">
        <f>IF($I1538&lt;&gt;"Match","",INDEX(Ventes_Encaissements!$B$6:$B$3005,_xludf.AGGREGATE(15,6,(ROW(Ventes_Encaissements!$B$6:$B$3005)-ROW(Ventes_Encaissements!$B$6)+1)/((Ventes_Encaissements!$E$6:$E$3005=$B1538)*(Ventes_Encaissements!$J$6:$J$3005=$G1538)*(Ventes_Encaissements!$C$6:$C$3005&gt;=$C1538-3)*(Ventes_Encaissements!$C$6:$C$3005&lt;=$C1538+3)),1)))</f>
        <v/>
      </c>
      <c r="K1538" s="6" t="n"/>
    </row>
    <row r="1539">
      <c r="A1539" s="6" t="n"/>
      <c r="B1539" s="6" t="n"/>
      <c r="C1539" s="19" t="n"/>
      <c r="D1539" s="19" t="n"/>
      <c r="E1539" s="6" t="n"/>
      <c r="F1539" s="20" t="n"/>
      <c r="G1539" s="9">
        <f>IF($F1539="","",IF($F1539&gt;0,ROUND($F1539,2),""))</f>
        <v/>
      </c>
      <c r="H1539" s="12">
        <f>IF(OR($B1539="",$C1539="",$G1539=""),"",COUNTIFS(Ventes_Encaissements!$E$6:$E$3005,$B1539,Ventes_Encaissements!$J$6:$J$3005,$G1539,Ventes_Encaissements!$C$6:$C$3005,"&gt;="&amp;($C1539-3),Ventes_Encaissements!$C$6:$C$3005,"&lt;="&amp;($C1539+3)))</f>
        <v/>
      </c>
      <c r="I1539" s="12">
        <f>IF($H1539="","",IF($H1539=0,"Non trouvé",IF($H1539=1,"Match","À vérifier")))</f>
        <v/>
      </c>
      <c r="J1539" s="21">
        <f>IF($I1539&lt;&gt;"Match","",INDEX(Ventes_Encaissements!$B$6:$B$3005,_xludf.AGGREGATE(15,6,(ROW(Ventes_Encaissements!$B$6:$B$3005)-ROW(Ventes_Encaissements!$B$6)+1)/((Ventes_Encaissements!$E$6:$E$3005=$B1539)*(Ventes_Encaissements!$J$6:$J$3005=$G1539)*(Ventes_Encaissements!$C$6:$C$3005&gt;=$C1539-3)*(Ventes_Encaissements!$C$6:$C$3005&lt;=$C1539+3)),1)))</f>
        <v/>
      </c>
      <c r="K1539" s="6" t="n"/>
    </row>
    <row r="1540">
      <c r="A1540" s="6" t="n"/>
      <c r="B1540" s="6" t="n"/>
      <c r="C1540" s="19" t="n"/>
      <c r="D1540" s="19" t="n"/>
      <c r="E1540" s="6" t="n"/>
      <c r="F1540" s="20" t="n"/>
      <c r="G1540" s="9">
        <f>IF($F1540="","",IF($F1540&gt;0,ROUND($F1540,2),""))</f>
        <v/>
      </c>
      <c r="H1540" s="12">
        <f>IF(OR($B1540="",$C1540="",$G1540=""),"",COUNTIFS(Ventes_Encaissements!$E$6:$E$3005,$B1540,Ventes_Encaissements!$J$6:$J$3005,$G1540,Ventes_Encaissements!$C$6:$C$3005,"&gt;="&amp;($C1540-3),Ventes_Encaissements!$C$6:$C$3005,"&lt;="&amp;($C1540+3)))</f>
        <v/>
      </c>
      <c r="I1540" s="12">
        <f>IF($H1540="","",IF($H1540=0,"Non trouvé",IF($H1540=1,"Match","À vérifier")))</f>
        <v/>
      </c>
      <c r="J1540" s="21">
        <f>IF($I1540&lt;&gt;"Match","",INDEX(Ventes_Encaissements!$B$6:$B$3005,_xludf.AGGREGATE(15,6,(ROW(Ventes_Encaissements!$B$6:$B$3005)-ROW(Ventes_Encaissements!$B$6)+1)/((Ventes_Encaissements!$E$6:$E$3005=$B1540)*(Ventes_Encaissements!$J$6:$J$3005=$G1540)*(Ventes_Encaissements!$C$6:$C$3005&gt;=$C1540-3)*(Ventes_Encaissements!$C$6:$C$3005&lt;=$C1540+3)),1)))</f>
        <v/>
      </c>
      <c r="K1540" s="6" t="n"/>
    </row>
    <row r="1541">
      <c r="A1541" s="6" t="n"/>
      <c r="B1541" s="6" t="n"/>
      <c r="C1541" s="19" t="n"/>
      <c r="D1541" s="19" t="n"/>
      <c r="E1541" s="6" t="n"/>
      <c r="F1541" s="20" t="n"/>
      <c r="G1541" s="9">
        <f>IF($F1541="","",IF($F1541&gt;0,ROUND($F1541,2),""))</f>
        <v/>
      </c>
      <c r="H1541" s="12">
        <f>IF(OR($B1541="",$C1541="",$G1541=""),"",COUNTIFS(Ventes_Encaissements!$E$6:$E$3005,$B1541,Ventes_Encaissements!$J$6:$J$3005,$G1541,Ventes_Encaissements!$C$6:$C$3005,"&gt;="&amp;($C1541-3),Ventes_Encaissements!$C$6:$C$3005,"&lt;="&amp;($C1541+3)))</f>
        <v/>
      </c>
      <c r="I1541" s="12">
        <f>IF($H1541="","",IF($H1541=0,"Non trouvé",IF($H1541=1,"Match","À vérifier")))</f>
        <v/>
      </c>
      <c r="J1541" s="21">
        <f>IF($I1541&lt;&gt;"Match","",INDEX(Ventes_Encaissements!$B$6:$B$3005,_xludf.AGGREGATE(15,6,(ROW(Ventes_Encaissements!$B$6:$B$3005)-ROW(Ventes_Encaissements!$B$6)+1)/((Ventes_Encaissements!$E$6:$E$3005=$B1541)*(Ventes_Encaissements!$J$6:$J$3005=$G1541)*(Ventes_Encaissements!$C$6:$C$3005&gt;=$C1541-3)*(Ventes_Encaissements!$C$6:$C$3005&lt;=$C1541+3)),1)))</f>
        <v/>
      </c>
      <c r="K1541" s="6" t="n"/>
    </row>
    <row r="1542">
      <c r="A1542" s="6" t="n"/>
      <c r="B1542" s="6" t="n"/>
      <c r="C1542" s="19" t="n"/>
      <c r="D1542" s="19" t="n"/>
      <c r="E1542" s="6" t="n"/>
      <c r="F1542" s="20" t="n"/>
      <c r="G1542" s="9">
        <f>IF($F1542="","",IF($F1542&gt;0,ROUND($F1542,2),""))</f>
        <v/>
      </c>
      <c r="H1542" s="12">
        <f>IF(OR($B1542="",$C1542="",$G1542=""),"",COUNTIFS(Ventes_Encaissements!$E$6:$E$3005,$B1542,Ventes_Encaissements!$J$6:$J$3005,$G1542,Ventes_Encaissements!$C$6:$C$3005,"&gt;="&amp;($C1542-3),Ventes_Encaissements!$C$6:$C$3005,"&lt;="&amp;($C1542+3)))</f>
        <v/>
      </c>
      <c r="I1542" s="12">
        <f>IF($H1542="","",IF($H1542=0,"Non trouvé",IF($H1542=1,"Match","À vérifier")))</f>
        <v/>
      </c>
      <c r="J1542" s="21">
        <f>IF($I1542&lt;&gt;"Match","",INDEX(Ventes_Encaissements!$B$6:$B$3005,_xludf.AGGREGATE(15,6,(ROW(Ventes_Encaissements!$B$6:$B$3005)-ROW(Ventes_Encaissements!$B$6)+1)/((Ventes_Encaissements!$E$6:$E$3005=$B1542)*(Ventes_Encaissements!$J$6:$J$3005=$G1542)*(Ventes_Encaissements!$C$6:$C$3005&gt;=$C1542-3)*(Ventes_Encaissements!$C$6:$C$3005&lt;=$C1542+3)),1)))</f>
        <v/>
      </c>
      <c r="K1542" s="6" t="n"/>
    </row>
    <row r="1543">
      <c r="A1543" s="6" t="n"/>
      <c r="B1543" s="6" t="n"/>
      <c r="C1543" s="19" t="n"/>
      <c r="D1543" s="19" t="n"/>
      <c r="E1543" s="6" t="n"/>
      <c r="F1543" s="20" t="n"/>
      <c r="G1543" s="9">
        <f>IF($F1543="","",IF($F1543&gt;0,ROUND($F1543,2),""))</f>
        <v/>
      </c>
      <c r="H1543" s="12">
        <f>IF(OR($B1543="",$C1543="",$G1543=""),"",COUNTIFS(Ventes_Encaissements!$E$6:$E$3005,$B1543,Ventes_Encaissements!$J$6:$J$3005,$G1543,Ventes_Encaissements!$C$6:$C$3005,"&gt;="&amp;($C1543-3),Ventes_Encaissements!$C$6:$C$3005,"&lt;="&amp;($C1543+3)))</f>
        <v/>
      </c>
      <c r="I1543" s="12">
        <f>IF($H1543="","",IF($H1543=0,"Non trouvé",IF($H1543=1,"Match","À vérifier")))</f>
        <v/>
      </c>
      <c r="J1543" s="21">
        <f>IF($I1543&lt;&gt;"Match","",INDEX(Ventes_Encaissements!$B$6:$B$3005,_xludf.AGGREGATE(15,6,(ROW(Ventes_Encaissements!$B$6:$B$3005)-ROW(Ventes_Encaissements!$B$6)+1)/((Ventes_Encaissements!$E$6:$E$3005=$B1543)*(Ventes_Encaissements!$J$6:$J$3005=$G1543)*(Ventes_Encaissements!$C$6:$C$3005&gt;=$C1543-3)*(Ventes_Encaissements!$C$6:$C$3005&lt;=$C1543+3)),1)))</f>
        <v/>
      </c>
      <c r="K1543" s="6" t="n"/>
    </row>
    <row r="1544">
      <c r="A1544" s="6" t="n"/>
      <c r="B1544" s="6" t="n"/>
      <c r="C1544" s="19" t="n"/>
      <c r="D1544" s="19" t="n"/>
      <c r="E1544" s="6" t="n"/>
      <c r="F1544" s="20" t="n"/>
      <c r="G1544" s="9">
        <f>IF($F1544="","",IF($F1544&gt;0,ROUND($F1544,2),""))</f>
        <v/>
      </c>
      <c r="H1544" s="12">
        <f>IF(OR($B1544="",$C1544="",$G1544=""),"",COUNTIFS(Ventes_Encaissements!$E$6:$E$3005,$B1544,Ventes_Encaissements!$J$6:$J$3005,$G1544,Ventes_Encaissements!$C$6:$C$3005,"&gt;="&amp;($C1544-3),Ventes_Encaissements!$C$6:$C$3005,"&lt;="&amp;($C1544+3)))</f>
        <v/>
      </c>
      <c r="I1544" s="12">
        <f>IF($H1544="","",IF($H1544=0,"Non trouvé",IF($H1544=1,"Match","À vérifier")))</f>
        <v/>
      </c>
      <c r="J1544" s="21">
        <f>IF($I1544&lt;&gt;"Match","",INDEX(Ventes_Encaissements!$B$6:$B$3005,_xludf.AGGREGATE(15,6,(ROW(Ventes_Encaissements!$B$6:$B$3005)-ROW(Ventes_Encaissements!$B$6)+1)/((Ventes_Encaissements!$E$6:$E$3005=$B1544)*(Ventes_Encaissements!$J$6:$J$3005=$G1544)*(Ventes_Encaissements!$C$6:$C$3005&gt;=$C1544-3)*(Ventes_Encaissements!$C$6:$C$3005&lt;=$C1544+3)),1)))</f>
        <v/>
      </c>
      <c r="K1544" s="6" t="n"/>
    </row>
    <row r="1545">
      <c r="A1545" s="6" t="n"/>
      <c r="B1545" s="6" t="n"/>
      <c r="C1545" s="19" t="n"/>
      <c r="D1545" s="19" t="n"/>
      <c r="E1545" s="6" t="n"/>
      <c r="F1545" s="20" t="n"/>
      <c r="G1545" s="9">
        <f>IF($F1545="","",IF($F1545&gt;0,ROUND($F1545,2),""))</f>
        <v/>
      </c>
      <c r="H1545" s="12">
        <f>IF(OR($B1545="",$C1545="",$G1545=""),"",COUNTIFS(Ventes_Encaissements!$E$6:$E$3005,$B1545,Ventes_Encaissements!$J$6:$J$3005,$G1545,Ventes_Encaissements!$C$6:$C$3005,"&gt;="&amp;($C1545-3),Ventes_Encaissements!$C$6:$C$3005,"&lt;="&amp;($C1545+3)))</f>
        <v/>
      </c>
      <c r="I1545" s="12">
        <f>IF($H1545="","",IF($H1545=0,"Non trouvé",IF($H1545=1,"Match","À vérifier")))</f>
        <v/>
      </c>
      <c r="J1545" s="21">
        <f>IF($I1545&lt;&gt;"Match","",INDEX(Ventes_Encaissements!$B$6:$B$3005,_xludf.AGGREGATE(15,6,(ROW(Ventes_Encaissements!$B$6:$B$3005)-ROW(Ventes_Encaissements!$B$6)+1)/((Ventes_Encaissements!$E$6:$E$3005=$B1545)*(Ventes_Encaissements!$J$6:$J$3005=$G1545)*(Ventes_Encaissements!$C$6:$C$3005&gt;=$C1545-3)*(Ventes_Encaissements!$C$6:$C$3005&lt;=$C1545+3)),1)))</f>
        <v/>
      </c>
      <c r="K1545" s="6" t="n"/>
    </row>
    <row r="1546">
      <c r="A1546" s="6" t="n"/>
      <c r="B1546" s="6" t="n"/>
      <c r="C1546" s="19" t="n"/>
      <c r="D1546" s="19" t="n"/>
      <c r="E1546" s="6" t="n"/>
      <c r="F1546" s="20" t="n"/>
      <c r="G1546" s="9">
        <f>IF($F1546="","",IF($F1546&gt;0,ROUND($F1546,2),""))</f>
        <v/>
      </c>
      <c r="H1546" s="12">
        <f>IF(OR($B1546="",$C1546="",$G1546=""),"",COUNTIFS(Ventes_Encaissements!$E$6:$E$3005,$B1546,Ventes_Encaissements!$J$6:$J$3005,$G1546,Ventes_Encaissements!$C$6:$C$3005,"&gt;="&amp;($C1546-3),Ventes_Encaissements!$C$6:$C$3005,"&lt;="&amp;($C1546+3)))</f>
        <v/>
      </c>
      <c r="I1546" s="12">
        <f>IF($H1546="","",IF($H1546=0,"Non trouvé",IF($H1546=1,"Match","À vérifier")))</f>
        <v/>
      </c>
      <c r="J1546" s="21">
        <f>IF($I1546&lt;&gt;"Match","",INDEX(Ventes_Encaissements!$B$6:$B$3005,_xludf.AGGREGATE(15,6,(ROW(Ventes_Encaissements!$B$6:$B$3005)-ROW(Ventes_Encaissements!$B$6)+1)/((Ventes_Encaissements!$E$6:$E$3005=$B1546)*(Ventes_Encaissements!$J$6:$J$3005=$G1546)*(Ventes_Encaissements!$C$6:$C$3005&gt;=$C1546-3)*(Ventes_Encaissements!$C$6:$C$3005&lt;=$C1546+3)),1)))</f>
        <v/>
      </c>
      <c r="K1546" s="6" t="n"/>
    </row>
    <row r="1547">
      <c r="A1547" s="6" t="n"/>
      <c r="B1547" s="6" t="n"/>
      <c r="C1547" s="19" t="n"/>
      <c r="D1547" s="19" t="n"/>
      <c r="E1547" s="6" t="n"/>
      <c r="F1547" s="20" t="n"/>
      <c r="G1547" s="9">
        <f>IF($F1547="","",IF($F1547&gt;0,ROUND($F1547,2),""))</f>
        <v/>
      </c>
      <c r="H1547" s="12">
        <f>IF(OR($B1547="",$C1547="",$G1547=""),"",COUNTIFS(Ventes_Encaissements!$E$6:$E$3005,$B1547,Ventes_Encaissements!$J$6:$J$3005,$G1547,Ventes_Encaissements!$C$6:$C$3005,"&gt;="&amp;($C1547-3),Ventes_Encaissements!$C$6:$C$3005,"&lt;="&amp;($C1547+3)))</f>
        <v/>
      </c>
      <c r="I1547" s="12">
        <f>IF($H1547="","",IF($H1547=0,"Non trouvé",IF($H1547=1,"Match","À vérifier")))</f>
        <v/>
      </c>
      <c r="J1547" s="21">
        <f>IF($I1547&lt;&gt;"Match","",INDEX(Ventes_Encaissements!$B$6:$B$3005,_xludf.AGGREGATE(15,6,(ROW(Ventes_Encaissements!$B$6:$B$3005)-ROW(Ventes_Encaissements!$B$6)+1)/((Ventes_Encaissements!$E$6:$E$3005=$B1547)*(Ventes_Encaissements!$J$6:$J$3005=$G1547)*(Ventes_Encaissements!$C$6:$C$3005&gt;=$C1547-3)*(Ventes_Encaissements!$C$6:$C$3005&lt;=$C1547+3)),1)))</f>
        <v/>
      </c>
      <c r="K1547" s="6" t="n"/>
    </row>
    <row r="1548">
      <c r="A1548" s="6" t="n"/>
      <c r="B1548" s="6" t="n"/>
      <c r="C1548" s="19" t="n"/>
      <c r="D1548" s="19" t="n"/>
      <c r="E1548" s="6" t="n"/>
      <c r="F1548" s="20" t="n"/>
      <c r="G1548" s="9">
        <f>IF($F1548="","",IF($F1548&gt;0,ROUND($F1548,2),""))</f>
        <v/>
      </c>
      <c r="H1548" s="12">
        <f>IF(OR($B1548="",$C1548="",$G1548=""),"",COUNTIFS(Ventes_Encaissements!$E$6:$E$3005,$B1548,Ventes_Encaissements!$J$6:$J$3005,$G1548,Ventes_Encaissements!$C$6:$C$3005,"&gt;="&amp;($C1548-3),Ventes_Encaissements!$C$6:$C$3005,"&lt;="&amp;($C1548+3)))</f>
        <v/>
      </c>
      <c r="I1548" s="12">
        <f>IF($H1548="","",IF($H1548=0,"Non trouvé",IF($H1548=1,"Match","À vérifier")))</f>
        <v/>
      </c>
      <c r="J1548" s="21">
        <f>IF($I1548&lt;&gt;"Match","",INDEX(Ventes_Encaissements!$B$6:$B$3005,_xludf.AGGREGATE(15,6,(ROW(Ventes_Encaissements!$B$6:$B$3005)-ROW(Ventes_Encaissements!$B$6)+1)/((Ventes_Encaissements!$E$6:$E$3005=$B1548)*(Ventes_Encaissements!$J$6:$J$3005=$G1548)*(Ventes_Encaissements!$C$6:$C$3005&gt;=$C1548-3)*(Ventes_Encaissements!$C$6:$C$3005&lt;=$C1548+3)),1)))</f>
        <v/>
      </c>
      <c r="K1548" s="6" t="n"/>
    </row>
    <row r="1549">
      <c r="A1549" s="6" t="n"/>
      <c r="B1549" s="6" t="n"/>
      <c r="C1549" s="19" t="n"/>
      <c r="D1549" s="19" t="n"/>
      <c r="E1549" s="6" t="n"/>
      <c r="F1549" s="20" t="n"/>
      <c r="G1549" s="9">
        <f>IF($F1549="","",IF($F1549&gt;0,ROUND($F1549,2),""))</f>
        <v/>
      </c>
      <c r="H1549" s="12">
        <f>IF(OR($B1549="",$C1549="",$G1549=""),"",COUNTIFS(Ventes_Encaissements!$E$6:$E$3005,$B1549,Ventes_Encaissements!$J$6:$J$3005,$G1549,Ventes_Encaissements!$C$6:$C$3005,"&gt;="&amp;($C1549-3),Ventes_Encaissements!$C$6:$C$3005,"&lt;="&amp;($C1549+3)))</f>
        <v/>
      </c>
      <c r="I1549" s="12">
        <f>IF($H1549="","",IF($H1549=0,"Non trouvé",IF($H1549=1,"Match","À vérifier")))</f>
        <v/>
      </c>
      <c r="J1549" s="21">
        <f>IF($I1549&lt;&gt;"Match","",INDEX(Ventes_Encaissements!$B$6:$B$3005,_xludf.AGGREGATE(15,6,(ROW(Ventes_Encaissements!$B$6:$B$3005)-ROW(Ventes_Encaissements!$B$6)+1)/((Ventes_Encaissements!$E$6:$E$3005=$B1549)*(Ventes_Encaissements!$J$6:$J$3005=$G1549)*(Ventes_Encaissements!$C$6:$C$3005&gt;=$C1549-3)*(Ventes_Encaissements!$C$6:$C$3005&lt;=$C1549+3)),1)))</f>
        <v/>
      </c>
      <c r="K1549" s="6" t="n"/>
    </row>
    <row r="1550">
      <c r="A1550" s="6" t="n"/>
      <c r="B1550" s="6" t="n"/>
      <c r="C1550" s="19" t="n"/>
      <c r="D1550" s="19" t="n"/>
      <c r="E1550" s="6" t="n"/>
      <c r="F1550" s="20" t="n"/>
      <c r="G1550" s="9">
        <f>IF($F1550="","",IF($F1550&gt;0,ROUND($F1550,2),""))</f>
        <v/>
      </c>
      <c r="H1550" s="12">
        <f>IF(OR($B1550="",$C1550="",$G1550=""),"",COUNTIFS(Ventes_Encaissements!$E$6:$E$3005,$B1550,Ventes_Encaissements!$J$6:$J$3005,$G1550,Ventes_Encaissements!$C$6:$C$3005,"&gt;="&amp;($C1550-3),Ventes_Encaissements!$C$6:$C$3005,"&lt;="&amp;($C1550+3)))</f>
        <v/>
      </c>
      <c r="I1550" s="12">
        <f>IF($H1550="","",IF($H1550=0,"Non trouvé",IF($H1550=1,"Match","À vérifier")))</f>
        <v/>
      </c>
      <c r="J1550" s="21">
        <f>IF($I1550&lt;&gt;"Match","",INDEX(Ventes_Encaissements!$B$6:$B$3005,_xludf.AGGREGATE(15,6,(ROW(Ventes_Encaissements!$B$6:$B$3005)-ROW(Ventes_Encaissements!$B$6)+1)/((Ventes_Encaissements!$E$6:$E$3005=$B1550)*(Ventes_Encaissements!$J$6:$J$3005=$G1550)*(Ventes_Encaissements!$C$6:$C$3005&gt;=$C1550-3)*(Ventes_Encaissements!$C$6:$C$3005&lt;=$C1550+3)),1)))</f>
        <v/>
      </c>
      <c r="K1550" s="6" t="n"/>
    </row>
    <row r="1551">
      <c r="A1551" s="6" t="n"/>
      <c r="B1551" s="6" t="n"/>
      <c r="C1551" s="19" t="n"/>
      <c r="D1551" s="19" t="n"/>
      <c r="E1551" s="6" t="n"/>
      <c r="F1551" s="20" t="n"/>
      <c r="G1551" s="9">
        <f>IF($F1551="","",IF($F1551&gt;0,ROUND($F1551,2),""))</f>
        <v/>
      </c>
      <c r="H1551" s="12">
        <f>IF(OR($B1551="",$C1551="",$G1551=""),"",COUNTIFS(Ventes_Encaissements!$E$6:$E$3005,$B1551,Ventes_Encaissements!$J$6:$J$3005,$G1551,Ventes_Encaissements!$C$6:$C$3005,"&gt;="&amp;($C1551-3),Ventes_Encaissements!$C$6:$C$3005,"&lt;="&amp;($C1551+3)))</f>
        <v/>
      </c>
      <c r="I1551" s="12">
        <f>IF($H1551="","",IF($H1551=0,"Non trouvé",IF($H1551=1,"Match","À vérifier")))</f>
        <v/>
      </c>
      <c r="J1551" s="21">
        <f>IF($I1551&lt;&gt;"Match","",INDEX(Ventes_Encaissements!$B$6:$B$3005,_xludf.AGGREGATE(15,6,(ROW(Ventes_Encaissements!$B$6:$B$3005)-ROW(Ventes_Encaissements!$B$6)+1)/((Ventes_Encaissements!$E$6:$E$3005=$B1551)*(Ventes_Encaissements!$J$6:$J$3005=$G1551)*(Ventes_Encaissements!$C$6:$C$3005&gt;=$C1551-3)*(Ventes_Encaissements!$C$6:$C$3005&lt;=$C1551+3)),1)))</f>
        <v/>
      </c>
      <c r="K1551" s="6" t="n"/>
    </row>
    <row r="1552">
      <c r="A1552" s="6" t="n"/>
      <c r="B1552" s="6" t="n"/>
      <c r="C1552" s="19" t="n"/>
      <c r="D1552" s="19" t="n"/>
      <c r="E1552" s="6" t="n"/>
      <c r="F1552" s="20" t="n"/>
      <c r="G1552" s="9">
        <f>IF($F1552="","",IF($F1552&gt;0,ROUND($F1552,2),""))</f>
        <v/>
      </c>
      <c r="H1552" s="12">
        <f>IF(OR($B1552="",$C1552="",$G1552=""),"",COUNTIFS(Ventes_Encaissements!$E$6:$E$3005,$B1552,Ventes_Encaissements!$J$6:$J$3005,$G1552,Ventes_Encaissements!$C$6:$C$3005,"&gt;="&amp;($C1552-3),Ventes_Encaissements!$C$6:$C$3005,"&lt;="&amp;($C1552+3)))</f>
        <v/>
      </c>
      <c r="I1552" s="12">
        <f>IF($H1552="","",IF($H1552=0,"Non trouvé",IF($H1552=1,"Match","À vérifier")))</f>
        <v/>
      </c>
      <c r="J1552" s="21">
        <f>IF($I1552&lt;&gt;"Match","",INDEX(Ventes_Encaissements!$B$6:$B$3005,_xludf.AGGREGATE(15,6,(ROW(Ventes_Encaissements!$B$6:$B$3005)-ROW(Ventes_Encaissements!$B$6)+1)/((Ventes_Encaissements!$E$6:$E$3005=$B1552)*(Ventes_Encaissements!$J$6:$J$3005=$G1552)*(Ventes_Encaissements!$C$6:$C$3005&gt;=$C1552-3)*(Ventes_Encaissements!$C$6:$C$3005&lt;=$C1552+3)),1)))</f>
        <v/>
      </c>
      <c r="K1552" s="6" t="n"/>
    </row>
    <row r="1553">
      <c r="A1553" s="6" t="n"/>
      <c r="B1553" s="6" t="n"/>
      <c r="C1553" s="19" t="n"/>
      <c r="D1553" s="19" t="n"/>
      <c r="E1553" s="6" t="n"/>
      <c r="F1553" s="20" t="n"/>
      <c r="G1553" s="9">
        <f>IF($F1553="","",IF($F1553&gt;0,ROUND($F1553,2),""))</f>
        <v/>
      </c>
      <c r="H1553" s="12">
        <f>IF(OR($B1553="",$C1553="",$G1553=""),"",COUNTIFS(Ventes_Encaissements!$E$6:$E$3005,$B1553,Ventes_Encaissements!$J$6:$J$3005,$G1553,Ventes_Encaissements!$C$6:$C$3005,"&gt;="&amp;($C1553-3),Ventes_Encaissements!$C$6:$C$3005,"&lt;="&amp;($C1553+3)))</f>
        <v/>
      </c>
      <c r="I1553" s="12">
        <f>IF($H1553="","",IF($H1553=0,"Non trouvé",IF($H1553=1,"Match","À vérifier")))</f>
        <v/>
      </c>
      <c r="J1553" s="21">
        <f>IF($I1553&lt;&gt;"Match","",INDEX(Ventes_Encaissements!$B$6:$B$3005,_xludf.AGGREGATE(15,6,(ROW(Ventes_Encaissements!$B$6:$B$3005)-ROW(Ventes_Encaissements!$B$6)+1)/((Ventes_Encaissements!$E$6:$E$3005=$B1553)*(Ventes_Encaissements!$J$6:$J$3005=$G1553)*(Ventes_Encaissements!$C$6:$C$3005&gt;=$C1553-3)*(Ventes_Encaissements!$C$6:$C$3005&lt;=$C1553+3)),1)))</f>
        <v/>
      </c>
      <c r="K1553" s="6" t="n"/>
    </row>
    <row r="1554">
      <c r="A1554" s="6" t="n"/>
      <c r="B1554" s="6" t="n"/>
      <c r="C1554" s="19" t="n"/>
      <c r="D1554" s="19" t="n"/>
      <c r="E1554" s="6" t="n"/>
      <c r="F1554" s="20" t="n"/>
      <c r="G1554" s="9">
        <f>IF($F1554="","",IF($F1554&gt;0,ROUND($F1554,2),""))</f>
        <v/>
      </c>
      <c r="H1554" s="12">
        <f>IF(OR($B1554="",$C1554="",$G1554=""),"",COUNTIFS(Ventes_Encaissements!$E$6:$E$3005,$B1554,Ventes_Encaissements!$J$6:$J$3005,$G1554,Ventes_Encaissements!$C$6:$C$3005,"&gt;="&amp;($C1554-3),Ventes_Encaissements!$C$6:$C$3005,"&lt;="&amp;($C1554+3)))</f>
        <v/>
      </c>
      <c r="I1554" s="12">
        <f>IF($H1554="","",IF($H1554=0,"Non trouvé",IF($H1554=1,"Match","À vérifier")))</f>
        <v/>
      </c>
      <c r="J1554" s="21">
        <f>IF($I1554&lt;&gt;"Match","",INDEX(Ventes_Encaissements!$B$6:$B$3005,_xludf.AGGREGATE(15,6,(ROW(Ventes_Encaissements!$B$6:$B$3005)-ROW(Ventes_Encaissements!$B$6)+1)/((Ventes_Encaissements!$E$6:$E$3005=$B1554)*(Ventes_Encaissements!$J$6:$J$3005=$G1554)*(Ventes_Encaissements!$C$6:$C$3005&gt;=$C1554-3)*(Ventes_Encaissements!$C$6:$C$3005&lt;=$C1554+3)),1)))</f>
        <v/>
      </c>
      <c r="K1554" s="6" t="n"/>
    </row>
    <row r="1555">
      <c r="A1555" s="6" t="n"/>
      <c r="B1555" s="6" t="n"/>
      <c r="C1555" s="19" t="n"/>
      <c r="D1555" s="19" t="n"/>
      <c r="E1555" s="6" t="n"/>
      <c r="F1555" s="20" t="n"/>
      <c r="G1555" s="9">
        <f>IF($F1555="","",IF($F1555&gt;0,ROUND($F1555,2),""))</f>
        <v/>
      </c>
      <c r="H1555" s="12">
        <f>IF(OR($B1555="",$C1555="",$G1555=""),"",COUNTIFS(Ventes_Encaissements!$E$6:$E$3005,$B1555,Ventes_Encaissements!$J$6:$J$3005,$G1555,Ventes_Encaissements!$C$6:$C$3005,"&gt;="&amp;($C1555-3),Ventes_Encaissements!$C$6:$C$3005,"&lt;="&amp;($C1555+3)))</f>
        <v/>
      </c>
      <c r="I1555" s="12">
        <f>IF($H1555="","",IF($H1555=0,"Non trouvé",IF($H1555=1,"Match","À vérifier")))</f>
        <v/>
      </c>
      <c r="J1555" s="21">
        <f>IF($I1555&lt;&gt;"Match","",INDEX(Ventes_Encaissements!$B$6:$B$3005,_xludf.AGGREGATE(15,6,(ROW(Ventes_Encaissements!$B$6:$B$3005)-ROW(Ventes_Encaissements!$B$6)+1)/((Ventes_Encaissements!$E$6:$E$3005=$B1555)*(Ventes_Encaissements!$J$6:$J$3005=$G1555)*(Ventes_Encaissements!$C$6:$C$3005&gt;=$C1555-3)*(Ventes_Encaissements!$C$6:$C$3005&lt;=$C1555+3)),1)))</f>
        <v/>
      </c>
      <c r="K1555" s="6" t="n"/>
    </row>
    <row r="1556">
      <c r="A1556" s="6" t="n"/>
      <c r="B1556" s="6" t="n"/>
      <c r="C1556" s="19" t="n"/>
      <c r="D1556" s="19" t="n"/>
      <c r="E1556" s="6" t="n"/>
      <c r="F1556" s="20" t="n"/>
      <c r="G1556" s="9">
        <f>IF($F1556="","",IF($F1556&gt;0,ROUND($F1556,2),""))</f>
        <v/>
      </c>
      <c r="H1556" s="12">
        <f>IF(OR($B1556="",$C1556="",$G1556=""),"",COUNTIFS(Ventes_Encaissements!$E$6:$E$3005,$B1556,Ventes_Encaissements!$J$6:$J$3005,$G1556,Ventes_Encaissements!$C$6:$C$3005,"&gt;="&amp;($C1556-3),Ventes_Encaissements!$C$6:$C$3005,"&lt;="&amp;($C1556+3)))</f>
        <v/>
      </c>
      <c r="I1556" s="12">
        <f>IF($H1556="","",IF($H1556=0,"Non trouvé",IF($H1556=1,"Match","À vérifier")))</f>
        <v/>
      </c>
      <c r="J1556" s="21">
        <f>IF($I1556&lt;&gt;"Match","",INDEX(Ventes_Encaissements!$B$6:$B$3005,_xludf.AGGREGATE(15,6,(ROW(Ventes_Encaissements!$B$6:$B$3005)-ROW(Ventes_Encaissements!$B$6)+1)/((Ventes_Encaissements!$E$6:$E$3005=$B1556)*(Ventes_Encaissements!$J$6:$J$3005=$G1556)*(Ventes_Encaissements!$C$6:$C$3005&gt;=$C1556-3)*(Ventes_Encaissements!$C$6:$C$3005&lt;=$C1556+3)),1)))</f>
        <v/>
      </c>
      <c r="K1556" s="6" t="n"/>
    </row>
    <row r="1557">
      <c r="A1557" s="6" t="n"/>
      <c r="B1557" s="6" t="n"/>
      <c r="C1557" s="19" t="n"/>
      <c r="D1557" s="19" t="n"/>
      <c r="E1557" s="6" t="n"/>
      <c r="F1557" s="20" t="n"/>
      <c r="G1557" s="9">
        <f>IF($F1557="","",IF($F1557&gt;0,ROUND($F1557,2),""))</f>
        <v/>
      </c>
      <c r="H1557" s="12">
        <f>IF(OR($B1557="",$C1557="",$G1557=""),"",COUNTIFS(Ventes_Encaissements!$E$6:$E$3005,$B1557,Ventes_Encaissements!$J$6:$J$3005,$G1557,Ventes_Encaissements!$C$6:$C$3005,"&gt;="&amp;($C1557-3),Ventes_Encaissements!$C$6:$C$3005,"&lt;="&amp;($C1557+3)))</f>
        <v/>
      </c>
      <c r="I1557" s="12">
        <f>IF($H1557="","",IF($H1557=0,"Non trouvé",IF($H1557=1,"Match","À vérifier")))</f>
        <v/>
      </c>
      <c r="J1557" s="21">
        <f>IF($I1557&lt;&gt;"Match","",INDEX(Ventes_Encaissements!$B$6:$B$3005,_xludf.AGGREGATE(15,6,(ROW(Ventes_Encaissements!$B$6:$B$3005)-ROW(Ventes_Encaissements!$B$6)+1)/((Ventes_Encaissements!$E$6:$E$3005=$B1557)*(Ventes_Encaissements!$J$6:$J$3005=$G1557)*(Ventes_Encaissements!$C$6:$C$3005&gt;=$C1557-3)*(Ventes_Encaissements!$C$6:$C$3005&lt;=$C1557+3)),1)))</f>
        <v/>
      </c>
      <c r="K1557" s="6" t="n"/>
    </row>
    <row r="1558">
      <c r="A1558" s="6" t="n"/>
      <c r="B1558" s="6" t="n"/>
      <c r="C1558" s="19" t="n"/>
      <c r="D1558" s="19" t="n"/>
      <c r="E1558" s="6" t="n"/>
      <c r="F1558" s="20" t="n"/>
      <c r="G1558" s="9">
        <f>IF($F1558="","",IF($F1558&gt;0,ROUND($F1558,2),""))</f>
        <v/>
      </c>
      <c r="H1558" s="12">
        <f>IF(OR($B1558="",$C1558="",$G1558=""),"",COUNTIFS(Ventes_Encaissements!$E$6:$E$3005,$B1558,Ventes_Encaissements!$J$6:$J$3005,$G1558,Ventes_Encaissements!$C$6:$C$3005,"&gt;="&amp;($C1558-3),Ventes_Encaissements!$C$6:$C$3005,"&lt;="&amp;($C1558+3)))</f>
        <v/>
      </c>
      <c r="I1558" s="12">
        <f>IF($H1558="","",IF($H1558=0,"Non trouvé",IF($H1558=1,"Match","À vérifier")))</f>
        <v/>
      </c>
      <c r="J1558" s="21">
        <f>IF($I1558&lt;&gt;"Match","",INDEX(Ventes_Encaissements!$B$6:$B$3005,_xludf.AGGREGATE(15,6,(ROW(Ventes_Encaissements!$B$6:$B$3005)-ROW(Ventes_Encaissements!$B$6)+1)/((Ventes_Encaissements!$E$6:$E$3005=$B1558)*(Ventes_Encaissements!$J$6:$J$3005=$G1558)*(Ventes_Encaissements!$C$6:$C$3005&gt;=$C1558-3)*(Ventes_Encaissements!$C$6:$C$3005&lt;=$C1558+3)),1)))</f>
        <v/>
      </c>
      <c r="K1558" s="6" t="n"/>
    </row>
    <row r="1559">
      <c r="A1559" s="6" t="n"/>
      <c r="B1559" s="6" t="n"/>
      <c r="C1559" s="19" t="n"/>
      <c r="D1559" s="19" t="n"/>
      <c r="E1559" s="6" t="n"/>
      <c r="F1559" s="20" t="n"/>
      <c r="G1559" s="9">
        <f>IF($F1559="","",IF($F1559&gt;0,ROUND($F1559,2),""))</f>
        <v/>
      </c>
      <c r="H1559" s="12">
        <f>IF(OR($B1559="",$C1559="",$G1559=""),"",COUNTIFS(Ventes_Encaissements!$E$6:$E$3005,$B1559,Ventes_Encaissements!$J$6:$J$3005,$G1559,Ventes_Encaissements!$C$6:$C$3005,"&gt;="&amp;($C1559-3),Ventes_Encaissements!$C$6:$C$3005,"&lt;="&amp;($C1559+3)))</f>
        <v/>
      </c>
      <c r="I1559" s="12">
        <f>IF($H1559="","",IF($H1559=0,"Non trouvé",IF($H1559=1,"Match","À vérifier")))</f>
        <v/>
      </c>
      <c r="J1559" s="21">
        <f>IF($I1559&lt;&gt;"Match","",INDEX(Ventes_Encaissements!$B$6:$B$3005,_xludf.AGGREGATE(15,6,(ROW(Ventes_Encaissements!$B$6:$B$3005)-ROW(Ventes_Encaissements!$B$6)+1)/((Ventes_Encaissements!$E$6:$E$3005=$B1559)*(Ventes_Encaissements!$J$6:$J$3005=$G1559)*(Ventes_Encaissements!$C$6:$C$3005&gt;=$C1559-3)*(Ventes_Encaissements!$C$6:$C$3005&lt;=$C1559+3)),1)))</f>
        <v/>
      </c>
      <c r="K1559" s="6" t="n"/>
    </row>
    <row r="1560">
      <c r="A1560" s="6" t="n"/>
      <c r="B1560" s="6" t="n"/>
      <c r="C1560" s="19" t="n"/>
      <c r="D1560" s="19" t="n"/>
      <c r="E1560" s="6" t="n"/>
      <c r="F1560" s="20" t="n"/>
      <c r="G1560" s="9">
        <f>IF($F1560="","",IF($F1560&gt;0,ROUND($F1560,2),""))</f>
        <v/>
      </c>
      <c r="H1560" s="12">
        <f>IF(OR($B1560="",$C1560="",$G1560=""),"",COUNTIFS(Ventes_Encaissements!$E$6:$E$3005,$B1560,Ventes_Encaissements!$J$6:$J$3005,$G1560,Ventes_Encaissements!$C$6:$C$3005,"&gt;="&amp;($C1560-3),Ventes_Encaissements!$C$6:$C$3005,"&lt;="&amp;($C1560+3)))</f>
        <v/>
      </c>
      <c r="I1560" s="12">
        <f>IF($H1560="","",IF($H1560=0,"Non trouvé",IF($H1560=1,"Match","À vérifier")))</f>
        <v/>
      </c>
      <c r="J1560" s="21">
        <f>IF($I1560&lt;&gt;"Match","",INDEX(Ventes_Encaissements!$B$6:$B$3005,_xludf.AGGREGATE(15,6,(ROW(Ventes_Encaissements!$B$6:$B$3005)-ROW(Ventes_Encaissements!$B$6)+1)/((Ventes_Encaissements!$E$6:$E$3005=$B1560)*(Ventes_Encaissements!$J$6:$J$3005=$G1560)*(Ventes_Encaissements!$C$6:$C$3005&gt;=$C1560-3)*(Ventes_Encaissements!$C$6:$C$3005&lt;=$C1560+3)),1)))</f>
        <v/>
      </c>
      <c r="K1560" s="6" t="n"/>
    </row>
    <row r="1561">
      <c r="A1561" s="6" t="n"/>
      <c r="B1561" s="6" t="n"/>
      <c r="C1561" s="19" t="n"/>
      <c r="D1561" s="19" t="n"/>
      <c r="E1561" s="6" t="n"/>
      <c r="F1561" s="20" t="n"/>
      <c r="G1561" s="9">
        <f>IF($F1561="","",IF($F1561&gt;0,ROUND($F1561,2),""))</f>
        <v/>
      </c>
      <c r="H1561" s="12">
        <f>IF(OR($B1561="",$C1561="",$G1561=""),"",COUNTIFS(Ventes_Encaissements!$E$6:$E$3005,$B1561,Ventes_Encaissements!$J$6:$J$3005,$G1561,Ventes_Encaissements!$C$6:$C$3005,"&gt;="&amp;($C1561-3),Ventes_Encaissements!$C$6:$C$3005,"&lt;="&amp;($C1561+3)))</f>
        <v/>
      </c>
      <c r="I1561" s="12">
        <f>IF($H1561="","",IF($H1561=0,"Non trouvé",IF($H1561=1,"Match","À vérifier")))</f>
        <v/>
      </c>
      <c r="J1561" s="21">
        <f>IF($I1561&lt;&gt;"Match","",INDEX(Ventes_Encaissements!$B$6:$B$3005,_xludf.AGGREGATE(15,6,(ROW(Ventes_Encaissements!$B$6:$B$3005)-ROW(Ventes_Encaissements!$B$6)+1)/((Ventes_Encaissements!$E$6:$E$3005=$B1561)*(Ventes_Encaissements!$J$6:$J$3005=$G1561)*(Ventes_Encaissements!$C$6:$C$3005&gt;=$C1561-3)*(Ventes_Encaissements!$C$6:$C$3005&lt;=$C1561+3)),1)))</f>
        <v/>
      </c>
      <c r="K1561" s="6" t="n"/>
    </row>
    <row r="1562">
      <c r="A1562" s="6" t="n"/>
      <c r="B1562" s="6" t="n"/>
      <c r="C1562" s="19" t="n"/>
      <c r="D1562" s="19" t="n"/>
      <c r="E1562" s="6" t="n"/>
      <c r="F1562" s="20" t="n"/>
      <c r="G1562" s="9">
        <f>IF($F1562="","",IF($F1562&gt;0,ROUND($F1562,2),""))</f>
        <v/>
      </c>
      <c r="H1562" s="12">
        <f>IF(OR($B1562="",$C1562="",$G1562=""),"",COUNTIFS(Ventes_Encaissements!$E$6:$E$3005,$B1562,Ventes_Encaissements!$J$6:$J$3005,$G1562,Ventes_Encaissements!$C$6:$C$3005,"&gt;="&amp;($C1562-3),Ventes_Encaissements!$C$6:$C$3005,"&lt;="&amp;($C1562+3)))</f>
        <v/>
      </c>
      <c r="I1562" s="12">
        <f>IF($H1562="","",IF($H1562=0,"Non trouvé",IF($H1562=1,"Match","À vérifier")))</f>
        <v/>
      </c>
      <c r="J1562" s="21">
        <f>IF($I1562&lt;&gt;"Match","",INDEX(Ventes_Encaissements!$B$6:$B$3005,_xludf.AGGREGATE(15,6,(ROW(Ventes_Encaissements!$B$6:$B$3005)-ROW(Ventes_Encaissements!$B$6)+1)/((Ventes_Encaissements!$E$6:$E$3005=$B1562)*(Ventes_Encaissements!$J$6:$J$3005=$G1562)*(Ventes_Encaissements!$C$6:$C$3005&gt;=$C1562-3)*(Ventes_Encaissements!$C$6:$C$3005&lt;=$C1562+3)),1)))</f>
        <v/>
      </c>
      <c r="K1562" s="6" t="n"/>
    </row>
    <row r="1563">
      <c r="A1563" s="6" t="n"/>
      <c r="B1563" s="6" t="n"/>
      <c r="C1563" s="19" t="n"/>
      <c r="D1563" s="19" t="n"/>
      <c r="E1563" s="6" t="n"/>
      <c r="F1563" s="20" t="n"/>
      <c r="G1563" s="9">
        <f>IF($F1563="","",IF($F1563&gt;0,ROUND($F1563,2),""))</f>
        <v/>
      </c>
      <c r="H1563" s="12">
        <f>IF(OR($B1563="",$C1563="",$G1563=""),"",COUNTIFS(Ventes_Encaissements!$E$6:$E$3005,$B1563,Ventes_Encaissements!$J$6:$J$3005,$G1563,Ventes_Encaissements!$C$6:$C$3005,"&gt;="&amp;($C1563-3),Ventes_Encaissements!$C$6:$C$3005,"&lt;="&amp;($C1563+3)))</f>
        <v/>
      </c>
      <c r="I1563" s="12">
        <f>IF($H1563="","",IF($H1563=0,"Non trouvé",IF($H1563=1,"Match","À vérifier")))</f>
        <v/>
      </c>
      <c r="J1563" s="21">
        <f>IF($I1563&lt;&gt;"Match","",INDEX(Ventes_Encaissements!$B$6:$B$3005,_xludf.AGGREGATE(15,6,(ROW(Ventes_Encaissements!$B$6:$B$3005)-ROW(Ventes_Encaissements!$B$6)+1)/((Ventes_Encaissements!$E$6:$E$3005=$B1563)*(Ventes_Encaissements!$J$6:$J$3005=$G1563)*(Ventes_Encaissements!$C$6:$C$3005&gt;=$C1563-3)*(Ventes_Encaissements!$C$6:$C$3005&lt;=$C1563+3)),1)))</f>
        <v/>
      </c>
      <c r="K1563" s="6" t="n"/>
    </row>
    <row r="1564">
      <c r="A1564" s="6" t="n"/>
      <c r="B1564" s="6" t="n"/>
      <c r="C1564" s="19" t="n"/>
      <c r="D1564" s="19" t="n"/>
      <c r="E1564" s="6" t="n"/>
      <c r="F1564" s="20" t="n"/>
      <c r="G1564" s="9">
        <f>IF($F1564="","",IF($F1564&gt;0,ROUND($F1564,2),""))</f>
        <v/>
      </c>
      <c r="H1564" s="12">
        <f>IF(OR($B1564="",$C1564="",$G1564=""),"",COUNTIFS(Ventes_Encaissements!$E$6:$E$3005,$B1564,Ventes_Encaissements!$J$6:$J$3005,$G1564,Ventes_Encaissements!$C$6:$C$3005,"&gt;="&amp;($C1564-3),Ventes_Encaissements!$C$6:$C$3005,"&lt;="&amp;($C1564+3)))</f>
        <v/>
      </c>
      <c r="I1564" s="12">
        <f>IF($H1564="","",IF($H1564=0,"Non trouvé",IF($H1564=1,"Match","À vérifier")))</f>
        <v/>
      </c>
      <c r="J1564" s="21">
        <f>IF($I1564&lt;&gt;"Match","",INDEX(Ventes_Encaissements!$B$6:$B$3005,_xludf.AGGREGATE(15,6,(ROW(Ventes_Encaissements!$B$6:$B$3005)-ROW(Ventes_Encaissements!$B$6)+1)/((Ventes_Encaissements!$E$6:$E$3005=$B1564)*(Ventes_Encaissements!$J$6:$J$3005=$G1564)*(Ventes_Encaissements!$C$6:$C$3005&gt;=$C1564-3)*(Ventes_Encaissements!$C$6:$C$3005&lt;=$C1564+3)),1)))</f>
        <v/>
      </c>
      <c r="K1564" s="6" t="n"/>
    </row>
    <row r="1565">
      <c r="A1565" s="6" t="n"/>
      <c r="B1565" s="6" t="n"/>
      <c r="C1565" s="19" t="n"/>
      <c r="D1565" s="19" t="n"/>
      <c r="E1565" s="6" t="n"/>
      <c r="F1565" s="20" t="n"/>
      <c r="G1565" s="9">
        <f>IF($F1565="","",IF($F1565&gt;0,ROUND($F1565,2),""))</f>
        <v/>
      </c>
      <c r="H1565" s="12">
        <f>IF(OR($B1565="",$C1565="",$G1565=""),"",COUNTIFS(Ventes_Encaissements!$E$6:$E$3005,$B1565,Ventes_Encaissements!$J$6:$J$3005,$G1565,Ventes_Encaissements!$C$6:$C$3005,"&gt;="&amp;($C1565-3),Ventes_Encaissements!$C$6:$C$3005,"&lt;="&amp;($C1565+3)))</f>
        <v/>
      </c>
      <c r="I1565" s="12">
        <f>IF($H1565="","",IF($H1565=0,"Non trouvé",IF($H1565=1,"Match","À vérifier")))</f>
        <v/>
      </c>
      <c r="J1565" s="21">
        <f>IF($I1565&lt;&gt;"Match","",INDEX(Ventes_Encaissements!$B$6:$B$3005,_xludf.AGGREGATE(15,6,(ROW(Ventes_Encaissements!$B$6:$B$3005)-ROW(Ventes_Encaissements!$B$6)+1)/((Ventes_Encaissements!$E$6:$E$3005=$B1565)*(Ventes_Encaissements!$J$6:$J$3005=$G1565)*(Ventes_Encaissements!$C$6:$C$3005&gt;=$C1565-3)*(Ventes_Encaissements!$C$6:$C$3005&lt;=$C1565+3)),1)))</f>
        <v/>
      </c>
      <c r="K1565" s="6" t="n"/>
    </row>
    <row r="1566">
      <c r="A1566" s="6" t="n"/>
      <c r="B1566" s="6" t="n"/>
      <c r="C1566" s="19" t="n"/>
      <c r="D1566" s="19" t="n"/>
      <c r="E1566" s="6" t="n"/>
      <c r="F1566" s="20" t="n"/>
      <c r="G1566" s="9">
        <f>IF($F1566="","",IF($F1566&gt;0,ROUND($F1566,2),""))</f>
        <v/>
      </c>
      <c r="H1566" s="12">
        <f>IF(OR($B1566="",$C1566="",$G1566=""),"",COUNTIFS(Ventes_Encaissements!$E$6:$E$3005,$B1566,Ventes_Encaissements!$J$6:$J$3005,$G1566,Ventes_Encaissements!$C$6:$C$3005,"&gt;="&amp;($C1566-3),Ventes_Encaissements!$C$6:$C$3005,"&lt;="&amp;($C1566+3)))</f>
        <v/>
      </c>
      <c r="I1566" s="12">
        <f>IF($H1566="","",IF($H1566=0,"Non trouvé",IF($H1566=1,"Match","À vérifier")))</f>
        <v/>
      </c>
      <c r="J1566" s="21">
        <f>IF($I1566&lt;&gt;"Match","",INDEX(Ventes_Encaissements!$B$6:$B$3005,_xludf.AGGREGATE(15,6,(ROW(Ventes_Encaissements!$B$6:$B$3005)-ROW(Ventes_Encaissements!$B$6)+1)/((Ventes_Encaissements!$E$6:$E$3005=$B1566)*(Ventes_Encaissements!$J$6:$J$3005=$G1566)*(Ventes_Encaissements!$C$6:$C$3005&gt;=$C1566-3)*(Ventes_Encaissements!$C$6:$C$3005&lt;=$C1566+3)),1)))</f>
        <v/>
      </c>
      <c r="K1566" s="6" t="n"/>
    </row>
    <row r="1567">
      <c r="A1567" s="6" t="n"/>
      <c r="B1567" s="6" t="n"/>
      <c r="C1567" s="19" t="n"/>
      <c r="D1567" s="19" t="n"/>
      <c r="E1567" s="6" t="n"/>
      <c r="F1567" s="20" t="n"/>
      <c r="G1567" s="9">
        <f>IF($F1567="","",IF($F1567&gt;0,ROUND($F1567,2),""))</f>
        <v/>
      </c>
      <c r="H1567" s="12">
        <f>IF(OR($B1567="",$C1567="",$G1567=""),"",COUNTIFS(Ventes_Encaissements!$E$6:$E$3005,$B1567,Ventes_Encaissements!$J$6:$J$3005,$G1567,Ventes_Encaissements!$C$6:$C$3005,"&gt;="&amp;($C1567-3),Ventes_Encaissements!$C$6:$C$3005,"&lt;="&amp;($C1567+3)))</f>
        <v/>
      </c>
      <c r="I1567" s="12">
        <f>IF($H1567="","",IF($H1567=0,"Non trouvé",IF($H1567=1,"Match","À vérifier")))</f>
        <v/>
      </c>
      <c r="J1567" s="21">
        <f>IF($I1567&lt;&gt;"Match","",INDEX(Ventes_Encaissements!$B$6:$B$3005,_xludf.AGGREGATE(15,6,(ROW(Ventes_Encaissements!$B$6:$B$3005)-ROW(Ventes_Encaissements!$B$6)+1)/((Ventes_Encaissements!$E$6:$E$3005=$B1567)*(Ventes_Encaissements!$J$6:$J$3005=$G1567)*(Ventes_Encaissements!$C$6:$C$3005&gt;=$C1567-3)*(Ventes_Encaissements!$C$6:$C$3005&lt;=$C1567+3)),1)))</f>
        <v/>
      </c>
      <c r="K1567" s="6" t="n"/>
    </row>
    <row r="1568">
      <c r="A1568" s="6" t="n"/>
      <c r="B1568" s="6" t="n"/>
      <c r="C1568" s="19" t="n"/>
      <c r="D1568" s="19" t="n"/>
      <c r="E1568" s="6" t="n"/>
      <c r="F1568" s="20" t="n"/>
      <c r="G1568" s="9">
        <f>IF($F1568="","",IF($F1568&gt;0,ROUND($F1568,2),""))</f>
        <v/>
      </c>
      <c r="H1568" s="12">
        <f>IF(OR($B1568="",$C1568="",$G1568=""),"",COUNTIFS(Ventes_Encaissements!$E$6:$E$3005,$B1568,Ventes_Encaissements!$J$6:$J$3005,$G1568,Ventes_Encaissements!$C$6:$C$3005,"&gt;="&amp;($C1568-3),Ventes_Encaissements!$C$6:$C$3005,"&lt;="&amp;($C1568+3)))</f>
        <v/>
      </c>
      <c r="I1568" s="12">
        <f>IF($H1568="","",IF($H1568=0,"Non trouvé",IF($H1568=1,"Match","À vérifier")))</f>
        <v/>
      </c>
      <c r="J1568" s="21">
        <f>IF($I1568&lt;&gt;"Match","",INDEX(Ventes_Encaissements!$B$6:$B$3005,_xludf.AGGREGATE(15,6,(ROW(Ventes_Encaissements!$B$6:$B$3005)-ROW(Ventes_Encaissements!$B$6)+1)/((Ventes_Encaissements!$E$6:$E$3005=$B1568)*(Ventes_Encaissements!$J$6:$J$3005=$G1568)*(Ventes_Encaissements!$C$6:$C$3005&gt;=$C1568-3)*(Ventes_Encaissements!$C$6:$C$3005&lt;=$C1568+3)),1)))</f>
        <v/>
      </c>
      <c r="K1568" s="6" t="n"/>
    </row>
    <row r="1569">
      <c r="A1569" s="6" t="n"/>
      <c r="B1569" s="6" t="n"/>
      <c r="C1569" s="19" t="n"/>
      <c r="D1569" s="19" t="n"/>
      <c r="E1569" s="6" t="n"/>
      <c r="F1569" s="20" t="n"/>
      <c r="G1569" s="9">
        <f>IF($F1569="","",IF($F1569&gt;0,ROUND($F1569,2),""))</f>
        <v/>
      </c>
      <c r="H1569" s="12">
        <f>IF(OR($B1569="",$C1569="",$G1569=""),"",COUNTIFS(Ventes_Encaissements!$E$6:$E$3005,$B1569,Ventes_Encaissements!$J$6:$J$3005,$G1569,Ventes_Encaissements!$C$6:$C$3005,"&gt;="&amp;($C1569-3),Ventes_Encaissements!$C$6:$C$3005,"&lt;="&amp;($C1569+3)))</f>
        <v/>
      </c>
      <c r="I1569" s="12">
        <f>IF($H1569="","",IF($H1569=0,"Non trouvé",IF($H1569=1,"Match","À vérifier")))</f>
        <v/>
      </c>
      <c r="J1569" s="21">
        <f>IF($I1569&lt;&gt;"Match","",INDEX(Ventes_Encaissements!$B$6:$B$3005,_xludf.AGGREGATE(15,6,(ROW(Ventes_Encaissements!$B$6:$B$3005)-ROW(Ventes_Encaissements!$B$6)+1)/((Ventes_Encaissements!$E$6:$E$3005=$B1569)*(Ventes_Encaissements!$J$6:$J$3005=$G1569)*(Ventes_Encaissements!$C$6:$C$3005&gt;=$C1569-3)*(Ventes_Encaissements!$C$6:$C$3005&lt;=$C1569+3)),1)))</f>
        <v/>
      </c>
      <c r="K1569" s="6" t="n"/>
    </row>
    <row r="1570">
      <c r="A1570" s="6" t="n"/>
      <c r="B1570" s="6" t="n"/>
      <c r="C1570" s="19" t="n"/>
      <c r="D1570" s="19" t="n"/>
      <c r="E1570" s="6" t="n"/>
      <c r="F1570" s="20" t="n"/>
      <c r="G1570" s="9">
        <f>IF($F1570="","",IF($F1570&gt;0,ROUND($F1570,2),""))</f>
        <v/>
      </c>
      <c r="H1570" s="12">
        <f>IF(OR($B1570="",$C1570="",$G1570=""),"",COUNTIFS(Ventes_Encaissements!$E$6:$E$3005,$B1570,Ventes_Encaissements!$J$6:$J$3005,$G1570,Ventes_Encaissements!$C$6:$C$3005,"&gt;="&amp;($C1570-3),Ventes_Encaissements!$C$6:$C$3005,"&lt;="&amp;($C1570+3)))</f>
        <v/>
      </c>
      <c r="I1570" s="12">
        <f>IF($H1570="","",IF($H1570=0,"Non trouvé",IF($H1570=1,"Match","À vérifier")))</f>
        <v/>
      </c>
      <c r="J1570" s="21">
        <f>IF($I1570&lt;&gt;"Match","",INDEX(Ventes_Encaissements!$B$6:$B$3005,_xludf.AGGREGATE(15,6,(ROW(Ventes_Encaissements!$B$6:$B$3005)-ROW(Ventes_Encaissements!$B$6)+1)/((Ventes_Encaissements!$E$6:$E$3005=$B1570)*(Ventes_Encaissements!$J$6:$J$3005=$G1570)*(Ventes_Encaissements!$C$6:$C$3005&gt;=$C1570-3)*(Ventes_Encaissements!$C$6:$C$3005&lt;=$C1570+3)),1)))</f>
        <v/>
      </c>
      <c r="K1570" s="6" t="n"/>
    </row>
    <row r="1571">
      <c r="A1571" s="6" t="n"/>
      <c r="B1571" s="6" t="n"/>
      <c r="C1571" s="19" t="n"/>
      <c r="D1571" s="19" t="n"/>
      <c r="E1571" s="6" t="n"/>
      <c r="F1571" s="20" t="n"/>
      <c r="G1571" s="9">
        <f>IF($F1571="","",IF($F1571&gt;0,ROUND($F1571,2),""))</f>
        <v/>
      </c>
      <c r="H1571" s="12">
        <f>IF(OR($B1571="",$C1571="",$G1571=""),"",COUNTIFS(Ventes_Encaissements!$E$6:$E$3005,$B1571,Ventes_Encaissements!$J$6:$J$3005,$G1571,Ventes_Encaissements!$C$6:$C$3005,"&gt;="&amp;($C1571-3),Ventes_Encaissements!$C$6:$C$3005,"&lt;="&amp;($C1571+3)))</f>
        <v/>
      </c>
      <c r="I1571" s="12">
        <f>IF($H1571="","",IF($H1571=0,"Non trouvé",IF($H1571=1,"Match","À vérifier")))</f>
        <v/>
      </c>
      <c r="J1571" s="21">
        <f>IF($I1571&lt;&gt;"Match","",INDEX(Ventes_Encaissements!$B$6:$B$3005,_xludf.AGGREGATE(15,6,(ROW(Ventes_Encaissements!$B$6:$B$3005)-ROW(Ventes_Encaissements!$B$6)+1)/((Ventes_Encaissements!$E$6:$E$3005=$B1571)*(Ventes_Encaissements!$J$6:$J$3005=$G1571)*(Ventes_Encaissements!$C$6:$C$3005&gt;=$C1571-3)*(Ventes_Encaissements!$C$6:$C$3005&lt;=$C1571+3)),1)))</f>
        <v/>
      </c>
      <c r="K1571" s="6" t="n"/>
    </row>
    <row r="1572">
      <c r="A1572" s="6" t="n"/>
      <c r="B1572" s="6" t="n"/>
      <c r="C1572" s="19" t="n"/>
      <c r="D1572" s="19" t="n"/>
      <c r="E1572" s="6" t="n"/>
      <c r="F1572" s="20" t="n"/>
      <c r="G1572" s="9">
        <f>IF($F1572="","",IF($F1572&gt;0,ROUND($F1572,2),""))</f>
        <v/>
      </c>
      <c r="H1572" s="12">
        <f>IF(OR($B1572="",$C1572="",$G1572=""),"",COUNTIFS(Ventes_Encaissements!$E$6:$E$3005,$B1572,Ventes_Encaissements!$J$6:$J$3005,$G1572,Ventes_Encaissements!$C$6:$C$3005,"&gt;="&amp;($C1572-3),Ventes_Encaissements!$C$6:$C$3005,"&lt;="&amp;($C1572+3)))</f>
        <v/>
      </c>
      <c r="I1572" s="12">
        <f>IF($H1572="","",IF($H1572=0,"Non trouvé",IF($H1572=1,"Match","À vérifier")))</f>
        <v/>
      </c>
      <c r="J1572" s="21">
        <f>IF($I1572&lt;&gt;"Match","",INDEX(Ventes_Encaissements!$B$6:$B$3005,_xludf.AGGREGATE(15,6,(ROW(Ventes_Encaissements!$B$6:$B$3005)-ROW(Ventes_Encaissements!$B$6)+1)/((Ventes_Encaissements!$E$6:$E$3005=$B1572)*(Ventes_Encaissements!$J$6:$J$3005=$G1572)*(Ventes_Encaissements!$C$6:$C$3005&gt;=$C1572-3)*(Ventes_Encaissements!$C$6:$C$3005&lt;=$C1572+3)),1)))</f>
        <v/>
      </c>
      <c r="K1572" s="6" t="n"/>
    </row>
    <row r="1573">
      <c r="A1573" s="6" t="n"/>
      <c r="B1573" s="6" t="n"/>
      <c r="C1573" s="19" t="n"/>
      <c r="D1573" s="19" t="n"/>
      <c r="E1573" s="6" t="n"/>
      <c r="F1573" s="20" t="n"/>
      <c r="G1573" s="9">
        <f>IF($F1573="","",IF($F1573&gt;0,ROUND($F1573,2),""))</f>
        <v/>
      </c>
      <c r="H1573" s="12">
        <f>IF(OR($B1573="",$C1573="",$G1573=""),"",COUNTIFS(Ventes_Encaissements!$E$6:$E$3005,$B1573,Ventes_Encaissements!$J$6:$J$3005,$G1573,Ventes_Encaissements!$C$6:$C$3005,"&gt;="&amp;($C1573-3),Ventes_Encaissements!$C$6:$C$3005,"&lt;="&amp;($C1573+3)))</f>
        <v/>
      </c>
      <c r="I1573" s="12">
        <f>IF($H1573="","",IF($H1573=0,"Non trouvé",IF($H1573=1,"Match","À vérifier")))</f>
        <v/>
      </c>
      <c r="J1573" s="21">
        <f>IF($I1573&lt;&gt;"Match","",INDEX(Ventes_Encaissements!$B$6:$B$3005,_xludf.AGGREGATE(15,6,(ROW(Ventes_Encaissements!$B$6:$B$3005)-ROW(Ventes_Encaissements!$B$6)+1)/((Ventes_Encaissements!$E$6:$E$3005=$B1573)*(Ventes_Encaissements!$J$6:$J$3005=$G1573)*(Ventes_Encaissements!$C$6:$C$3005&gt;=$C1573-3)*(Ventes_Encaissements!$C$6:$C$3005&lt;=$C1573+3)),1)))</f>
        <v/>
      </c>
      <c r="K1573" s="6" t="n"/>
    </row>
    <row r="1574">
      <c r="A1574" s="6" t="n"/>
      <c r="B1574" s="6" t="n"/>
      <c r="C1574" s="19" t="n"/>
      <c r="D1574" s="19" t="n"/>
      <c r="E1574" s="6" t="n"/>
      <c r="F1574" s="20" t="n"/>
      <c r="G1574" s="9">
        <f>IF($F1574="","",IF($F1574&gt;0,ROUND($F1574,2),""))</f>
        <v/>
      </c>
      <c r="H1574" s="12">
        <f>IF(OR($B1574="",$C1574="",$G1574=""),"",COUNTIFS(Ventes_Encaissements!$E$6:$E$3005,$B1574,Ventes_Encaissements!$J$6:$J$3005,$G1574,Ventes_Encaissements!$C$6:$C$3005,"&gt;="&amp;($C1574-3),Ventes_Encaissements!$C$6:$C$3005,"&lt;="&amp;($C1574+3)))</f>
        <v/>
      </c>
      <c r="I1574" s="12">
        <f>IF($H1574="","",IF($H1574=0,"Non trouvé",IF($H1574=1,"Match","À vérifier")))</f>
        <v/>
      </c>
      <c r="J1574" s="21">
        <f>IF($I1574&lt;&gt;"Match","",INDEX(Ventes_Encaissements!$B$6:$B$3005,_xludf.AGGREGATE(15,6,(ROW(Ventes_Encaissements!$B$6:$B$3005)-ROW(Ventes_Encaissements!$B$6)+1)/((Ventes_Encaissements!$E$6:$E$3005=$B1574)*(Ventes_Encaissements!$J$6:$J$3005=$G1574)*(Ventes_Encaissements!$C$6:$C$3005&gt;=$C1574-3)*(Ventes_Encaissements!$C$6:$C$3005&lt;=$C1574+3)),1)))</f>
        <v/>
      </c>
      <c r="K1574" s="6" t="n"/>
    </row>
    <row r="1575">
      <c r="A1575" s="6" t="n"/>
      <c r="B1575" s="6" t="n"/>
      <c r="C1575" s="19" t="n"/>
      <c r="D1575" s="19" t="n"/>
      <c r="E1575" s="6" t="n"/>
      <c r="F1575" s="20" t="n"/>
      <c r="G1575" s="9">
        <f>IF($F1575="","",IF($F1575&gt;0,ROUND($F1575,2),""))</f>
        <v/>
      </c>
      <c r="H1575" s="12">
        <f>IF(OR($B1575="",$C1575="",$G1575=""),"",COUNTIFS(Ventes_Encaissements!$E$6:$E$3005,$B1575,Ventes_Encaissements!$J$6:$J$3005,$G1575,Ventes_Encaissements!$C$6:$C$3005,"&gt;="&amp;($C1575-3),Ventes_Encaissements!$C$6:$C$3005,"&lt;="&amp;($C1575+3)))</f>
        <v/>
      </c>
      <c r="I1575" s="12">
        <f>IF($H1575="","",IF($H1575=0,"Non trouvé",IF($H1575=1,"Match","À vérifier")))</f>
        <v/>
      </c>
      <c r="J1575" s="21">
        <f>IF($I1575&lt;&gt;"Match","",INDEX(Ventes_Encaissements!$B$6:$B$3005,_xludf.AGGREGATE(15,6,(ROW(Ventes_Encaissements!$B$6:$B$3005)-ROW(Ventes_Encaissements!$B$6)+1)/((Ventes_Encaissements!$E$6:$E$3005=$B1575)*(Ventes_Encaissements!$J$6:$J$3005=$G1575)*(Ventes_Encaissements!$C$6:$C$3005&gt;=$C1575-3)*(Ventes_Encaissements!$C$6:$C$3005&lt;=$C1575+3)),1)))</f>
        <v/>
      </c>
      <c r="K1575" s="6" t="n"/>
    </row>
    <row r="1576">
      <c r="A1576" s="6" t="n"/>
      <c r="B1576" s="6" t="n"/>
      <c r="C1576" s="19" t="n"/>
      <c r="D1576" s="19" t="n"/>
      <c r="E1576" s="6" t="n"/>
      <c r="F1576" s="20" t="n"/>
      <c r="G1576" s="9">
        <f>IF($F1576="","",IF($F1576&gt;0,ROUND($F1576,2),""))</f>
        <v/>
      </c>
      <c r="H1576" s="12">
        <f>IF(OR($B1576="",$C1576="",$G1576=""),"",COUNTIFS(Ventes_Encaissements!$E$6:$E$3005,$B1576,Ventes_Encaissements!$J$6:$J$3005,$G1576,Ventes_Encaissements!$C$6:$C$3005,"&gt;="&amp;($C1576-3),Ventes_Encaissements!$C$6:$C$3005,"&lt;="&amp;($C1576+3)))</f>
        <v/>
      </c>
      <c r="I1576" s="12">
        <f>IF($H1576="","",IF($H1576=0,"Non trouvé",IF($H1576=1,"Match","À vérifier")))</f>
        <v/>
      </c>
      <c r="J1576" s="21">
        <f>IF($I1576&lt;&gt;"Match","",INDEX(Ventes_Encaissements!$B$6:$B$3005,_xludf.AGGREGATE(15,6,(ROW(Ventes_Encaissements!$B$6:$B$3005)-ROW(Ventes_Encaissements!$B$6)+1)/((Ventes_Encaissements!$E$6:$E$3005=$B1576)*(Ventes_Encaissements!$J$6:$J$3005=$G1576)*(Ventes_Encaissements!$C$6:$C$3005&gt;=$C1576-3)*(Ventes_Encaissements!$C$6:$C$3005&lt;=$C1576+3)),1)))</f>
        <v/>
      </c>
      <c r="K1576" s="6" t="n"/>
    </row>
    <row r="1577">
      <c r="A1577" s="6" t="n"/>
      <c r="B1577" s="6" t="n"/>
      <c r="C1577" s="19" t="n"/>
      <c r="D1577" s="19" t="n"/>
      <c r="E1577" s="6" t="n"/>
      <c r="F1577" s="20" t="n"/>
      <c r="G1577" s="9">
        <f>IF($F1577="","",IF($F1577&gt;0,ROUND($F1577,2),""))</f>
        <v/>
      </c>
      <c r="H1577" s="12">
        <f>IF(OR($B1577="",$C1577="",$G1577=""),"",COUNTIFS(Ventes_Encaissements!$E$6:$E$3005,$B1577,Ventes_Encaissements!$J$6:$J$3005,$G1577,Ventes_Encaissements!$C$6:$C$3005,"&gt;="&amp;($C1577-3),Ventes_Encaissements!$C$6:$C$3005,"&lt;="&amp;($C1577+3)))</f>
        <v/>
      </c>
      <c r="I1577" s="12">
        <f>IF($H1577="","",IF($H1577=0,"Non trouvé",IF($H1577=1,"Match","À vérifier")))</f>
        <v/>
      </c>
      <c r="J1577" s="21">
        <f>IF($I1577&lt;&gt;"Match","",INDEX(Ventes_Encaissements!$B$6:$B$3005,_xludf.AGGREGATE(15,6,(ROW(Ventes_Encaissements!$B$6:$B$3005)-ROW(Ventes_Encaissements!$B$6)+1)/((Ventes_Encaissements!$E$6:$E$3005=$B1577)*(Ventes_Encaissements!$J$6:$J$3005=$G1577)*(Ventes_Encaissements!$C$6:$C$3005&gt;=$C1577-3)*(Ventes_Encaissements!$C$6:$C$3005&lt;=$C1577+3)),1)))</f>
        <v/>
      </c>
      <c r="K1577" s="6" t="n"/>
    </row>
    <row r="1578">
      <c r="A1578" s="6" t="n"/>
      <c r="B1578" s="6" t="n"/>
      <c r="C1578" s="19" t="n"/>
      <c r="D1578" s="19" t="n"/>
      <c r="E1578" s="6" t="n"/>
      <c r="F1578" s="20" t="n"/>
      <c r="G1578" s="9">
        <f>IF($F1578="","",IF($F1578&gt;0,ROUND($F1578,2),""))</f>
        <v/>
      </c>
      <c r="H1578" s="12">
        <f>IF(OR($B1578="",$C1578="",$G1578=""),"",COUNTIFS(Ventes_Encaissements!$E$6:$E$3005,$B1578,Ventes_Encaissements!$J$6:$J$3005,$G1578,Ventes_Encaissements!$C$6:$C$3005,"&gt;="&amp;($C1578-3),Ventes_Encaissements!$C$6:$C$3005,"&lt;="&amp;($C1578+3)))</f>
        <v/>
      </c>
      <c r="I1578" s="12">
        <f>IF($H1578="","",IF($H1578=0,"Non trouvé",IF($H1578=1,"Match","À vérifier")))</f>
        <v/>
      </c>
      <c r="J1578" s="21">
        <f>IF($I1578&lt;&gt;"Match","",INDEX(Ventes_Encaissements!$B$6:$B$3005,_xludf.AGGREGATE(15,6,(ROW(Ventes_Encaissements!$B$6:$B$3005)-ROW(Ventes_Encaissements!$B$6)+1)/((Ventes_Encaissements!$E$6:$E$3005=$B1578)*(Ventes_Encaissements!$J$6:$J$3005=$G1578)*(Ventes_Encaissements!$C$6:$C$3005&gt;=$C1578-3)*(Ventes_Encaissements!$C$6:$C$3005&lt;=$C1578+3)),1)))</f>
        <v/>
      </c>
      <c r="K1578" s="6" t="n"/>
    </row>
    <row r="1579">
      <c r="A1579" s="6" t="n"/>
      <c r="B1579" s="6" t="n"/>
      <c r="C1579" s="19" t="n"/>
      <c r="D1579" s="19" t="n"/>
      <c r="E1579" s="6" t="n"/>
      <c r="F1579" s="20" t="n"/>
      <c r="G1579" s="9">
        <f>IF($F1579="","",IF($F1579&gt;0,ROUND($F1579,2),""))</f>
        <v/>
      </c>
      <c r="H1579" s="12">
        <f>IF(OR($B1579="",$C1579="",$G1579=""),"",COUNTIFS(Ventes_Encaissements!$E$6:$E$3005,$B1579,Ventes_Encaissements!$J$6:$J$3005,$G1579,Ventes_Encaissements!$C$6:$C$3005,"&gt;="&amp;($C1579-3),Ventes_Encaissements!$C$6:$C$3005,"&lt;="&amp;($C1579+3)))</f>
        <v/>
      </c>
      <c r="I1579" s="12">
        <f>IF($H1579="","",IF($H1579=0,"Non trouvé",IF($H1579=1,"Match","À vérifier")))</f>
        <v/>
      </c>
      <c r="J1579" s="21">
        <f>IF($I1579&lt;&gt;"Match","",INDEX(Ventes_Encaissements!$B$6:$B$3005,_xludf.AGGREGATE(15,6,(ROW(Ventes_Encaissements!$B$6:$B$3005)-ROW(Ventes_Encaissements!$B$6)+1)/((Ventes_Encaissements!$E$6:$E$3005=$B1579)*(Ventes_Encaissements!$J$6:$J$3005=$G1579)*(Ventes_Encaissements!$C$6:$C$3005&gt;=$C1579-3)*(Ventes_Encaissements!$C$6:$C$3005&lt;=$C1579+3)),1)))</f>
        <v/>
      </c>
      <c r="K1579" s="6" t="n"/>
    </row>
    <row r="1580">
      <c r="A1580" s="6" t="n"/>
      <c r="B1580" s="6" t="n"/>
      <c r="C1580" s="19" t="n"/>
      <c r="D1580" s="19" t="n"/>
      <c r="E1580" s="6" t="n"/>
      <c r="F1580" s="20" t="n"/>
      <c r="G1580" s="9">
        <f>IF($F1580="","",IF($F1580&gt;0,ROUND($F1580,2),""))</f>
        <v/>
      </c>
      <c r="H1580" s="12">
        <f>IF(OR($B1580="",$C1580="",$G1580=""),"",COUNTIFS(Ventes_Encaissements!$E$6:$E$3005,$B1580,Ventes_Encaissements!$J$6:$J$3005,$G1580,Ventes_Encaissements!$C$6:$C$3005,"&gt;="&amp;($C1580-3),Ventes_Encaissements!$C$6:$C$3005,"&lt;="&amp;($C1580+3)))</f>
        <v/>
      </c>
      <c r="I1580" s="12">
        <f>IF($H1580="","",IF($H1580=0,"Non trouvé",IF($H1580=1,"Match","À vérifier")))</f>
        <v/>
      </c>
      <c r="J1580" s="21">
        <f>IF($I1580&lt;&gt;"Match","",INDEX(Ventes_Encaissements!$B$6:$B$3005,_xludf.AGGREGATE(15,6,(ROW(Ventes_Encaissements!$B$6:$B$3005)-ROW(Ventes_Encaissements!$B$6)+1)/((Ventes_Encaissements!$E$6:$E$3005=$B1580)*(Ventes_Encaissements!$J$6:$J$3005=$G1580)*(Ventes_Encaissements!$C$6:$C$3005&gt;=$C1580-3)*(Ventes_Encaissements!$C$6:$C$3005&lt;=$C1580+3)),1)))</f>
        <v/>
      </c>
      <c r="K1580" s="6" t="n"/>
    </row>
    <row r="1581">
      <c r="A1581" s="6" t="n"/>
      <c r="B1581" s="6" t="n"/>
      <c r="C1581" s="19" t="n"/>
      <c r="D1581" s="19" t="n"/>
      <c r="E1581" s="6" t="n"/>
      <c r="F1581" s="20" t="n"/>
      <c r="G1581" s="9">
        <f>IF($F1581="","",IF($F1581&gt;0,ROUND($F1581,2),""))</f>
        <v/>
      </c>
      <c r="H1581" s="12">
        <f>IF(OR($B1581="",$C1581="",$G1581=""),"",COUNTIFS(Ventes_Encaissements!$E$6:$E$3005,$B1581,Ventes_Encaissements!$J$6:$J$3005,$G1581,Ventes_Encaissements!$C$6:$C$3005,"&gt;="&amp;($C1581-3),Ventes_Encaissements!$C$6:$C$3005,"&lt;="&amp;($C1581+3)))</f>
        <v/>
      </c>
      <c r="I1581" s="12">
        <f>IF($H1581="","",IF($H1581=0,"Non trouvé",IF($H1581=1,"Match","À vérifier")))</f>
        <v/>
      </c>
      <c r="J1581" s="21">
        <f>IF($I1581&lt;&gt;"Match","",INDEX(Ventes_Encaissements!$B$6:$B$3005,_xludf.AGGREGATE(15,6,(ROW(Ventes_Encaissements!$B$6:$B$3005)-ROW(Ventes_Encaissements!$B$6)+1)/((Ventes_Encaissements!$E$6:$E$3005=$B1581)*(Ventes_Encaissements!$J$6:$J$3005=$G1581)*(Ventes_Encaissements!$C$6:$C$3005&gt;=$C1581-3)*(Ventes_Encaissements!$C$6:$C$3005&lt;=$C1581+3)),1)))</f>
        <v/>
      </c>
      <c r="K1581" s="6" t="n"/>
    </row>
    <row r="1582">
      <c r="A1582" s="6" t="n"/>
      <c r="B1582" s="6" t="n"/>
      <c r="C1582" s="19" t="n"/>
      <c r="D1582" s="19" t="n"/>
      <c r="E1582" s="6" t="n"/>
      <c r="F1582" s="20" t="n"/>
      <c r="G1582" s="9">
        <f>IF($F1582="","",IF($F1582&gt;0,ROUND($F1582,2),""))</f>
        <v/>
      </c>
      <c r="H1582" s="12">
        <f>IF(OR($B1582="",$C1582="",$G1582=""),"",COUNTIFS(Ventes_Encaissements!$E$6:$E$3005,$B1582,Ventes_Encaissements!$J$6:$J$3005,$G1582,Ventes_Encaissements!$C$6:$C$3005,"&gt;="&amp;($C1582-3),Ventes_Encaissements!$C$6:$C$3005,"&lt;="&amp;($C1582+3)))</f>
        <v/>
      </c>
      <c r="I1582" s="12">
        <f>IF($H1582="","",IF($H1582=0,"Non trouvé",IF($H1582=1,"Match","À vérifier")))</f>
        <v/>
      </c>
      <c r="J1582" s="21">
        <f>IF($I1582&lt;&gt;"Match","",INDEX(Ventes_Encaissements!$B$6:$B$3005,_xludf.AGGREGATE(15,6,(ROW(Ventes_Encaissements!$B$6:$B$3005)-ROW(Ventes_Encaissements!$B$6)+1)/((Ventes_Encaissements!$E$6:$E$3005=$B1582)*(Ventes_Encaissements!$J$6:$J$3005=$G1582)*(Ventes_Encaissements!$C$6:$C$3005&gt;=$C1582-3)*(Ventes_Encaissements!$C$6:$C$3005&lt;=$C1582+3)),1)))</f>
        <v/>
      </c>
      <c r="K1582" s="6" t="n"/>
    </row>
    <row r="1583">
      <c r="A1583" s="6" t="n"/>
      <c r="B1583" s="6" t="n"/>
      <c r="C1583" s="19" t="n"/>
      <c r="D1583" s="19" t="n"/>
      <c r="E1583" s="6" t="n"/>
      <c r="F1583" s="20" t="n"/>
      <c r="G1583" s="9">
        <f>IF($F1583="","",IF($F1583&gt;0,ROUND($F1583,2),""))</f>
        <v/>
      </c>
      <c r="H1583" s="12">
        <f>IF(OR($B1583="",$C1583="",$G1583=""),"",COUNTIFS(Ventes_Encaissements!$E$6:$E$3005,$B1583,Ventes_Encaissements!$J$6:$J$3005,$G1583,Ventes_Encaissements!$C$6:$C$3005,"&gt;="&amp;($C1583-3),Ventes_Encaissements!$C$6:$C$3005,"&lt;="&amp;($C1583+3)))</f>
        <v/>
      </c>
      <c r="I1583" s="12">
        <f>IF($H1583="","",IF($H1583=0,"Non trouvé",IF($H1583=1,"Match","À vérifier")))</f>
        <v/>
      </c>
      <c r="J1583" s="21">
        <f>IF($I1583&lt;&gt;"Match","",INDEX(Ventes_Encaissements!$B$6:$B$3005,_xludf.AGGREGATE(15,6,(ROW(Ventes_Encaissements!$B$6:$B$3005)-ROW(Ventes_Encaissements!$B$6)+1)/((Ventes_Encaissements!$E$6:$E$3005=$B1583)*(Ventes_Encaissements!$J$6:$J$3005=$G1583)*(Ventes_Encaissements!$C$6:$C$3005&gt;=$C1583-3)*(Ventes_Encaissements!$C$6:$C$3005&lt;=$C1583+3)),1)))</f>
        <v/>
      </c>
      <c r="K1583" s="6" t="n"/>
    </row>
    <row r="1584">
      <c r="A1584" s="6" t="n"/>
      <c r="B1584" s="6" t="n"/>
      <c r="C1584" s="19" t="n"/>
      <c r="D1584" s="19" t="n"/>
      <c r="E1584" s="6" t="n"/>
      <c r="F1584" s="20" t="n"/>
      <c r="G1584" s="9">
        <f>IF($F1584="","",IF($F1584&gt;0,ROUND($F1584,2),""))</f>
        <v/>
      </c>
      <c r="H1584" s="12">
        <f>IF(OR($B1584="",$C1584="",$G1584=""),"",COUNTIFS(Ventes_Encaissements!$E$6:$E$3005,$B1584,Ventes_Encaissements!$J$6:$J$3005,$G1584,Ventes_Encaissements!$C$6:$C$3005,"&gt;="&amp;($C1584-3),Ventes_Encaissements!$C$6:$C$3005,"&lt;="&amp;($C1584+3)))</f>
        <v/>
      </c>
      <c r="I1584" s="12">
        <f>IF($H1584="","",IF($H1584=0,"Non trouvé",IF($H1584=1,"Match","À vérifier")))</f>
        <v/>
      </c>
      <c r="J1584" s="21">
        <f>IF($I1584&lt;&gt;"Match","",INDEX(Ventes_Encaissements!$B$6:$B$3005,_xludf.AGGREGATE(15,6,(ROW(Ventes_Encaissements!$B$6:$B$3005)-ROW(Ventes_Encaissements!$B$6)+1)/((Ventes_Encaissements!$E$6:$E$3005=$B1584)*(Ventes_Encaissements!$J$6:$J$3005=$G1584)*(Ventes_Encaissements!$C$6:$C$3005&gt;=$C1584-3)*(Ventes_Encaissements!$C$6:$C$3005&lt;=$C1584+3)),1)))</f>
        <v/>
      </c>
      <c r="K1584" s="6" t="n"/>
    </row>
    <row r="1585">
      <c r="A1585" s="6" t="n"/>
      <c r="B1585" s="6" t="n"/>
      <c r="C1585" s="19" t="n"/>
      <c r="D1585" s="19" t="n"/>
      <c r="E1585" s="6" t="n"/>
      <c r="F1585" s="20" t="n"/>
      <c r="G1585" s="9">
        <f>IF($F1585="","",IF($F1585&gt;0,ROUND($F1585,2),""))</f>
        <v/>
      </c>
      <c r="H1585" s="12">
        <f>IF(OR($B1585="",$C1585="",$G1585=""),"",COUNTIFS(Ventes_Encaissements!$E$6:$E$3005,$B1585,Ventes_Encaissements!$J$6:$J$3005,$G1585,Ventes_Encaissements!$C$6:$C$3005,"&gt;="&amp;($C1585-3),Ventes_Encaissements!$C$6:$C$3005,"&lt;="&amp;($C1585+3)))</f>
        <v/>
      </c>
      <c r="I1585" s="12">
        <f>IF($H1585="","",IF($H1585=0,"Non trouvé",IF($H1585=1,"Match","À vérifier")))</f>
        <v/>
      </c>
      <c r="J1585" s="21">
        <f>IF($I1585&lt;&gt;"Match","",INDEX(Ventes_Encaissements!$B$6:$B$3005,_xludf.AGGREGATE(15,6,(ROW(Ventes_Encaissements!$B$6:$B$3005)-ROW(Ventes_Encaissements!$B$6)+1)/((Ventes_Encaissements!$E$6:$E$3005=$B1585)*(Ventes_Encaissements!$J$6:$J$3005=$G1585)*(Ventes_Encaissements!$C$6:$C$3005&gt;=$C1585-3)*(Ventes_Encaissements!$C$6:$C$3005&lt;=$C1585+3)),1)))</f>
        <v/>
      </c>
      <c r="K1585" s="6" t="n"/>
    </row>
    <row r="1586">
      <c r="A1586" s="6" t="n"/>
      <c r="B1586" s="6" t="n"/>
      <c r="C1586" s="19" t="n"/>
      <c r="D1586" s="19" t="n"/>
      <c r="E1586" s="6" t="n"/>
      <c r="F1586" s="20" t="n"/>
      <c r="G1586" s="9">
        <f>IF($F1586="","",IF($F1586&gt;0,ROUND($F1586,2),""))</f>
        <v/>
      </c>
      <c r="H1586" s="12">
        <f>IF(OR($B1586="",$C1586="",$G1586=""),"",COUNTIFS(Ventes_Encaissements!$E$6:$E$3005,$B1586,Ventes_Encaissements!$J$6:$J$3005,$G1586,Ventes_Encaissements!$C$6:$C$3005,"&gt;="&amp;($C1586-3),Ventes_Encaissements!$C$6:$C$3005,"&lt;="&amp;($C1586+3)))</f>
        <v/>
      </c>
      <c r="I1586" s="12">
        <f>IF($H1586="","",IF($H1586=0,"Non trouvé",IF($H1586=1,"Match","À vérifier")))</f>
        <v/>
      </c>
      <c r="J1586" s="21">
        <f>IF($I1586&lt;&gt;"Match","",INDEX(Ventes_Encaissements!$B$6:$B$3005,_xludf.AGGREGATE(15,6,(ROW(Ventes_Encaissements!$B$6:$B$3005)-ROW(Ventes_Encaissements!$B$6)+1)/((Ventes_Encaissements!$E$6:$E$3005=$B1586)*(Ventes_Encaissements!$J$6:$J$3005=$G1586)*(Ventes_Encaissements!$C$6:$C$3005&gt;=$C1586-3)*(Ventes_Encaissements!$C$6:$C$3005&lt;=$C1586+3)),1)))</f>
        <v/>
      </c>
      <c r="K1586" s="6" t="n"/>
    </row>
    <row r="1587">
      <c r="A1587" s="6" t="n"/>
      <c r="B1587" s="6" t="n"/>
      <c r="C1587" s="19" t="n"/>
      <c r="D1587" s="19" t="n"/>
      <c r="E1587" s="6" t="n"/>
      <c r="F1587" s="20" t="n"/>
      <c r="G1587" s="9">
        <f>IF($F1587="","",IF($F1587&gt;0,ROUND($F1587,2),""))</f>
        <v/>
      </c>
      <c r="H1587" s="12">
        <f>IF(OR($B1587="",$C1587="",$G1587=""),"",COUNTIFS(Ventes_Encaissements!$E$6:$E$3005,$B1587,Ventes_Encaissements!$J$6:$J$3005,$G1587,Ventes_Encaissements!$C$6:$C$3005,"&gt;="&amp;($C1587-3),Ventes_Encaissements!$C$6:$C$3005,"&lt;="&amp;($C1587+3)))</f>
        <v/>
      </c>
      <c r="I1587" s="12">
        <f>IF($H1587="","",IF($H1587=0,"Non trouvé",IF($H1587=1,"Match","À vérifier")))</f>
        <v/>
      </c>
      <c r="J1587" s="21">
        <f>IF($I1587&lt;&gt;"Match","",INDEX(Ventes_Encaissements!$B$6:$B$3005,_xludf.AGGREGATE(15,6,(ROW(Ventes_Encaissements!$B$6:$B$3005)-ROW(Ventes_Encaissements!$B$6)+1)/((Ventes_Encaissements!$E$6:$E$3005=$B1587)*(Ventes_Encaissements!$J$6:$J$3005=$G1587)*(Ventes_Encaissements!$C$6:$C$3005&gt;=$C1587-3)*(Ventes_Encaissements!$C$6:$C$3005&lt;=$C1587+3)),1)))</f>
        <v/>
      </c>
      <c r="K1587" s="6" t="n"/>
    </row>
    <row r="1588">
      <c r="A1588" s="6" t="n"/>
      <c r="B1588" s="6" t="n"/>
      <c r="C1588" s="19" t="n"/>
      <c r="D1588" s="19" t="n"/>
      <c r="E1588" s="6" t="n"/>
      <c r="F1588" s="20" t="n"/>
      <c r="G1588" s="9">
        <f>IF($F1588="","",IF($F1588&gt;0,ROUND($F1588,2),""))</f>
        <v/>
      </c>
      <c r="H1588" s="12">
        <f>IF(OR($B1588="",$C1588="",$G1588=""),"",COUNTIFS(Ventes_Encaissements!$E$6:$E$3005,$B1588,Ventes_Encaissements!$J$6:$J$3005,$G1588,Ventes_Encaissements!$C$6:$C$3005,"&gt;="&amp;($C1588-3),Ventes_Encaissements!$C$6:$C$3005,"&lt;="&amp;($C1588+3)))</f>
        <v/>
      </c>
      <c r="I1588" s="12">
        <f>IF($H1588="","",IF($H1588=0,"Non trouvé",IF($H1588=1,"Match","À vérifier")))</f>
        <v/>
      </c>
      <c r="J1588" s="21">
        <f>IF($I1588&lt;&gt;"Match","",INDEX(Ventes_Encaissements!$B$6:$B$3005,_xludf.AGGREGATE(15,6,(ROW(Ventes_Encaissements!$B$6:$B$3005)-ROW(Ventes_Encaissements!$B$6)+1)/((Ventes_Encaissements!$E$6:$E$3005=$B1588)*(Ventes_Encaissements!$J$6:$J$3005=$G1588)*(Ventes_Encaissements!$C$6:$C$3005&gt;=$C1588-3)*(Ventes_Encaissements!$C$6:$C$3005&lt;=$C1588+3)),1)))</f>
        <v/>
      </c>
      <c r="K1588" s="6" t="n"/>
    </row>
    <row r="1589">
      <c r="A1589" s="6" t="n"/>
      <c r="B1589" s="6" t="n"/>
      <c r="C1589" s="19" t="n"/>
      <c r="D1589" s="19" t="n"/>
      <c r="E1589" s="6" t="n"/>
      <c r="F1589" s="20" t="n"/>
      <c r="G1589" s="9">
        <f>IF($F1589="","",IF($F1589&gt;0,ROUND($F1589,2),""))</f>
        <v/>
      </c>
      <c r="H1589" s="12">
        <f>IF(OR($B1589="",$C1589="",$G1589=""),"",COUNTIFS(Ventes_Encaissements!$E$6:$E$3005,$B1589,Ventes_Encaissements!$J$6:$J$3005,$G1589,Ventes_Encaissements!$C$6:$C$3005,"&gt;="&amp;($C1589-3),Ventes_Encaissements!$C$6:$C$3005,"&lt;="&amp;($C1589+3)))</f>
        <v/>
      </c>
      <c r="I1589" s="12">
        <f>IF($H1589="","",IF($H1589=0,"Non trouvé",IF($H1589=1,"Match","À vérifier")))</f>
        <v/>
      </c>
      <c r="J1589" s="21">
        <f>IF($I1589&lt;&gt;"Match","",INDEX(Ventes_Encaissements!$B$6:$B$3005,_xludf.AGGREGATE(15,6,(ROW(Ventes_Encaissements!$B$6:$B$3005)-ROW(Ventes_Encaissements!$B$6)+1)/((Ventes_Encaissements!$E$6:$E$3005=$B1589)*(Ventes_Encaissements!$J$6:$J$3005=$G1589)*(Ventes_Encaissements!$C$6:$C$3005&gt;=$C1589-3)*(Ventes_Encaissements!$C$6:$C$3005&lt;=$C1589+3)),1)))</f>
        <v/>
      </c>
      <c r="K1589" s="6" t="n"/>
    </row>
    <row r="1590">
      <c r="A1590" s="6" t="n"/>
      <c r="B1590" s="6" t="n"/>
      <c r="C1590" s="19" t="n"/>
      <c r="D1590" s="19" t="n"/>
      <c r="E1590" s="6" t="n"/>
      <c r="F1590" s="20" t="n"/>
      <c r="G1590" s="9">
        <f>IF($F1590="","",IF($F1590&gt;0,ROUND($F1590,2),""))</f>
        <v/>
      </c>
      <c r="H1590" s="12">
        <f>IF(OR($B1590="",$C1590="",$G1590=""),"",COUNTIFS(Ventes_Encaissements!$E$6:$E$3005,$B1590,Ventes_Encaissements!$J$6:$J$3005,$G1590,Ventes_Encaissements!$C$6:$C$3005,"&gt;="&amp;($C1590-3),Ventes_Encaissements!$C$6:$C$3005,"&lt;="&amp;($C1590+3)))</f>
        <v/>
      </c>
      <c r="I1590" s="12">
        <f>IF($H1590="","",IF($H1590=0,"Non trouvé",IF($H1590=1,"Match","À vérifier")))</f>
        <v/>
      </c>
      <c r="J1590" s="21">
        <f>IF($I1590&lt;&gt;"Match","",INDEX(Ventes_Encaissements!$B$6:$B$3005,_xludf.AGGREGATE(15,6,(ROW(Ventes_Encaissements!$B$6:$B$3005)-ROW(Ventes_Encaissements!$B$6)+1)/((Ventes_Encaissements!$E$6:$E$3005=$B1590)*(Ventes_Encaissements!$J$6:$J$3005=$G1590)*(Ventes_Encaissements!$C$6:$C$3005&gt;=$C1590-3)*(Ventes_Encaissements!$C$6:$C$3005&lt;=$C1590+3)),1)))</f>
        <v/>
      </c>
      <c r="K1590" s="6" t="n"/>
    </row>
    <row r="1591">
      <c r="A1591" s="6" t="n"/>
      <c r="B1591" s="6" t="n"/>
      <c r="C1591" s="19" t="n"/>
      <c r="D1591" s="19" t="n"/>
      <c r="E1591" s="6" t="n"/>
      <c r="F1591" s="20" t="n"/>
      <c r="G1591" s="9">
        <f>IF($F1591="","",IF($F1591&gt;0,ROUND($F1591,2),""))</f>
        <v/>
      </c>
      <c r="H1591" s="12">
        <f>IF(OR($B1591="",$C1591="",$G1591=""),"",COUNTIFS(Ventes_Encaissements!$E$6:$E$3005,$B1591,Ventes_Encaissements!$J$6:$J$3005,$G1591,Ventes_Encaissements!$C$6:$C$3005,"&gt;="&amp;($C1591-3),Ventes_Encaissements!$C$6:$C$3005,"&lt;="&amp;($C1591+3)))</f>
        <v/>
      </c>
      <c r="I1591" s="12">
        <f>IF($H1591="","",IF($H1591=0,"Non trouvé",IF($H1591=1,"Match","À vérifier")))</f>
        <v/>
      </c>
      <c r="J1591" s="21">
        <f>IF($I1591&lt;&gt;"Match","",INDEX(Ventes_Encaissements!$B$6:$B$3005,_xludf.AGGREGATE(15,6,(ROW(Ventes_Encaissements!$B$6:$B$3005)-ROW(Ventes_Encaissements!$B$6)+1)/((Ventes_Encaissements!$E$6:$E$3005=$B1591)*(Ventes_Encaissements!$J$6:$J$3005=$G1591)*(Ventes_Encaissements!$C$6:$C$3005&gt;=$C1591-3)*(Ventes_Encaissements!$C$6:$C$3005&lt;=$C1591+3)),1)))</f>
        <v/>
      </c>
      <c r="K1591" s="6" t="n"/>
    </row>
    <row r="1592">
      <c r="A1592" s="6" t="n"/>
      <c r="B1592" s="6" t="n"/>
      <c r="C1592" s="19" t="n"/>
      <c r="D1592" s="19" t="n"/>
      <c r="E1592" s="6" t="n"/>
      <c r="F1592" s="20" t="n"/>
      <c r="G1592" s="9">
        <f>IF($F1592="","",IF($F1592&gt;0,ROUND($F1592,2),""))</f>
        <v/>
      </c>
      <c r="H1592" s="12">
        <f>IF(OR($B1592="",$C1592="",$G1592=""),"",COUNTIFS(Ventes_Encaissements!$E$6:$E$3005,$B1592,Ventes_Encaissements!$J$6:$J$3005,$G1592,Ventes_Encaissements!$C$6:$C$3005,"&gt;="&amp;($C1592-3),Ventes_Encaissements!$C$6:$C$3005,"&lt;="&amp;($C1592+3)))</f>
        <v/>
      </c>
      <c r="I1592" s="12">
        <f>IF($H1592="","",IF($H1592=0,"Non trouvé",IF($H1592=1,"Match","À vérifier")))</f>
        <v/>
      </c>
      <c r="J1592" s="21">
        <f>IF($I1592&lt;&gt;"Match","",INDEX(Ventes_Encaissements!$B$6:$B$3005,_xludf.AGGREGATE(15,6,(ROW(Ventes_Encaissements!$B$6:$B$3005)-ROW(Ventes_Encaissements!$B$6)+1)/((Ventes_Encaissements!$E$6:$E$3005=$B1592)*(Ventes_Encaissements!$J$6:$J$3005=$G1592)*(Ventes_Encaissements!$C$6:$C$3005&gt;=$C1592-3)*(Ventes_Encaissements!$C$6:$C$3005&lt;=$C1592+3)),1)))</f>
        <v/>
      </c>
      <c r="K1592" s="6" t="n"/>
    </row>
    <row r="1593">
      <c r="A1593" s="6" t="n"/>
      <c r="B1593" s="6" t="n"/>
      <c r="C1593" s="19" t="n"/>
      <c r="D1593" s="19" t="n"/>
      <c r="E1593" s="6" t="n"/>
      <c r="F1593" s="20" t="n"/>
      <c r="G1593" s="9">
        <f>IF($F1593="","",IF($F1593&gt;0,ROUND($F1593,2),""))</f>
        <v/>
      </c>
      <c r="H1593" s="12">
        <f>IF(OR($B1593="",$C1593="",$G1593=""),"",COUNTIFS(Ventes_Encaissements!$E$6:$E$3005,$B1593,Ventes_Encaissements!$J$6:$J$3005,$G1593,Ventes_Encaissements!$C$6:$C$3005,"&gt;="&amp;($C1593-3),Ventes_Encaissements!$C$6:$C$3005,"&lt;="&amp;($C1593+3)))</f>
        <v/>
      </c>
      <c r="I1593" s="12">
        <f>IF($H1593="","",IF($H1593=0,"Non trouvé",IF($H1593=1,"Match","À vérifier")))</f>
        <v/>
      </c>
      <c r="J1593" s="21">
        <f>IF($I1593&lt;&gt;"Match","",INDEX(Ventes_Encaissements!$B$6:$B$3005,_xludf.AGGREGATE(15,6,(ROW(Ventes_Encaissements!$B$6:$B$3005)-ROW(Ventes_Encaissements!$B$6)+1)/((Ventes_Encaissements!$E$6:$E$3005=$B1593)*(Ventes_Encaissements!$J$6:$J$3005=$G1593)*(Ventes_Encaissements!$C$6:$C$3005&gt;=$C1593-3)*(Ventes_Encaissements!$C$6:$C$3005&lt;=$C1593+3)),1)))</f>
        <v/>
      </c>
      <c r="K1593" s="6" t="n"/>
    </row>
    <row r="1594">
      <c r="A1594" s="6" t="n"/>
      <c r="B1594" s="6" t="n"/>
      <c r="C1594" s="19" t="n"/>
      <c r="D1594" s="19" t="n"/>
      <c r="E1594" s="6" t="n"/>
      <c r="F1594" s="20" t="n"/>
      <c r="G1594" s="9">
        <f>IF($F1594="","",IF($F1594&gt;0,ROUND($F1594,2),""))</f>
        <v/>
      </c>
      <c r="H1594" s="12">
        <f>IF(OR($B1594="",$C1594="",$G1594=""),"",COUNTIFS(Ventes_Encaissements!$E$6:$E$3005,$B1594,Ventes_Encaissements!$J$6:$J$3005,$G1594,Ventes_Encaissements!$C$6:$C$3005,"&gt;="&amp;($C1594-3),Ventes_Encaissements!$C$6:$C$3005,"&lt;="&amp;($C1594+3)))</f>
        <v/>
      </c>
      <c r="I1594" s="12">
        <f>IF($H1594="","",IF($H1594=0,"Non trouvé",IF($H1594=1,"Match","À vérifier")))</f>
        <v/>
      </c>
      <c r="J1594" s="21">
        <f>IF($I1594&lt;&gt;"Match","",INDEX(Ventes_Encaissements!$B$6:$B$3005,_xludf.AGGREGATE(15,6,(ROW(Ventes_Encaissements!$B$6:$B$3005)-ROW(Ventes_Encaissements!$B$6)+1)/((Ventes_Encaissements!$E$6:$E$3005=$B1594)*(Ventes_Encaissements!$J$6:$J$3005=$G1594)*(Ventes_Encaissements!$C$6:$C$3005&gt;=$C1594-3)*(Ventes_Encaissements!$C$6:$C$3005&lt;=$C1594+3)),1)))</f>
        <v/>
      </c>
      <c r="K1594" s="6" t="n"/>
    </row>
    <row r="1595">
      <c r="A1595" s="6" t="n"/>
      <c r="B1595" s="6" t="n"/>
      <c r="C1595" s="19" t="n"/>
      <c r="D1595" s="19" t="n"/>
      <c r="E1595" s="6" t="n"/>
      <c r="F1595" s="20" t="n"/>
      <c r="G1595" s="9">
        <f>IF($F1595="","",IF($F1595&gt;0,ROUND($F1595,2),""))</f>
        <v/>
      </c>
      <c r="H1595" s="12">
        <f>IF(OR($B1595="",$C1595="",$G1595=""),"",COUNTIFS(Ventes_Encaissements!$E$6:$E$3005,$B1595,Ventes_Encaissements!$J$6:$J$3005,$G1595,Ventes_Encaissements!$C$6:$C$3005,"&gt;="&amp;($C1595-3),Ventes_Encaissements!$C$6:$C$3005,"&lt;="&amp;($C1595+3)))</f>
        <v/>
      </c>
      <c r="I1595" s="12">
        <f>IF($H1595="","",IF($H1595=0,"Non trouvé",IF($H1595=1,"Match","À vérifier")))</f>
        <v/>
      </c>
      <c r="J1595" s="21">
        <f>IF($I1595&lt;&gt;"Match","",INDEX(Ventes_Encaissements!$B$6:$B$3005,_xludf.AGGREGATE(15,6,(ROW(Ventes_Encaissements!$B$6:$B$3005)-ROW(Ventes_Encaissements!$B$6)+1)/((Ventes_Encaissements!$E$6:$E$3005=$B1595)*(Ventes_Encaissements!$J$6:$J$3005=$G1595)*(Ventes_Encaissements!$C$6:$C$3005&gt;=$C1595-3)*(Ventes_Encaissements!$C$6:$C$3005&lt;=$C1595+3)),1)))</f>
        <v/>
      </c>
      <c r="K1595" s="6" t="n"/>
    </row>
    <row r="1596">
      <c r="A1596" s="6" t="n"/>
      <c r="B1596" s="6" t="n"/>
      <c r="C1596" s="19" t="n"/>
      <c r="D1596" s="19" t="n"/>
      <c r="E1596" s="6" t="n"/>
      <c r="F1596" s="20" t="n"/>
      <c r="G1596" s="9">
        <f>IF($F1596="","",IF($F1596&gt;0,ROUND($F1596,2),""))</f>
        <v/>
      </c>
      <c r="H1596" s="12">
        <f>IF(OR($B1596="",$C1596="",$G1596=""),"",COUNTIFS(Ventes_Encaissements!$E$6:$E$3005,$B1596,Ventes_Encaissements!$J$6:$J$3005,$G1596,Ventes_Encaissements!$C$6:$C$3005,"&gt;="&amp;($C1596-3),Ventes_Encaissements!$C$6:$C$3005,"&lt;="&amp;($C1596+3)))</f>
        <v/>
      </c>
      <c r="I1596" s="12">
        <f>IF($H1596="","",IF($H1596=0,"Non trouvé",IF($H1596=1,"Match","À vérifier")))</f>
        <v/>
      </c>
      <c r="J1596" s="21">
        <f>IF($I1596&lt;&gt;"Match","",INDEX(Ventes_Encaissements!$B$6:$B$3005,_xludf.AGGREGATE(15,6,(ROW(Ventes_Encaissements!$B$6:$B$3005)-ROW(Ventes_Encaissements!$B$6)+1)/((Ventes_Encaissements!$E$6:$E$3005=$B1596)*(Ventes_Encaissements!$J$6:$J$3005=$G1596)*(Ventes_Encaissements!$C$6:$C$3005&gt;=$C1596-3)*(Ventes_Encaissements!$C$6:$C$3005&lt;=$C1596+3)),1)))</f>
        <v/>
      </c>
      <c r="K1596" s="6" t="n"/>
    </row>
    <row r="1597">
      <c r="A1597" s="6" t="n"/>
      <c r="B1597" s="6" t="n"/>
      <c r="C1597" s="19" t="n"/>
      <c r="D1597" s="19" t="n"/>
      <c r="E1597" s="6" t="n"/>
      <c r="F1597" s="20" t="n"/>
      <c r="G1597" s="9">
        <f>IF($F1597="","",IF($F1597&gt;0,ROUND($F1597,2),""))</f>
        <v/>
      </c>
      <c r="H1597" s="12">
        <f>IF(OR($B1597="",$C1597="",$G1597=""),"",COUNTIFS(Ventes_Encaissements!$E$6:$E$3005,$B1597,Ventes_Encaissements!$J$6:$J$3005,$G1597,Ventes_Encaissements!$C$6:$C$3005,"&gt;="&amp;($C1597-3),Ventes_Encaissements!$C$6:$C$3005,"&lt;="&amp;($C1597+3)))</f>
        <v/>
      </c>
      <c r="I1597" s="12">
        <f>IF($H1597="","",IF($H1597=0,"Non trouvé",IF($H1597=1,"Match","À vérifier")))</f>
        <v/>
      </c>
      <c r="J1597" s="21">
        <f>IF($I1597&lt;&gt;"Match","",INDEX(Ventes_Encaissements!$B$6:$B$3005,_xludf.AGGREGATE(15,6,(ROW(Ventes_Encaissements!$B$6:$B$3005)-ROW(Ventes_Encaissements!$B$6)+1)/((Ventes_Encaissements!$E$6:$E$3005=$B1597)*(Ventes_Encaissements!$J$6:$J$3005=$G1597)*(Ventes_Encaissements!$C$6:$C$3005&gt;=$C1597-3)*(Ventes_Encaissements!$C$6:$C$3005&lt;=$C1597+3)),1)))</f>
        <v/>
      </c>
      <c r="K1597" s="6" t="n"/>
    </row>
    <row r="1598">
      <c r="A1598" s="6" t="n"/>
      <c r="B1598" s="6" t="n"/>
      <c r="C1598" s="19" t="n"/>
      <c r="D1598" s="19" t="n"/>
      <c r="E1598" s="6" t="n"/>
      <c r="F1598" s="20" t="n"/>
      <c r="G1598" s="9">
        <f>IF($F1598="","",IF($F1598&gt;0,ROUND($F1598,2),""))</f>
        <v/>
      </c>
      <c r="H1598" s="12">
        <f>IF(OR($B1598="",$C1598="",$G1598=""),"",COUNTIFS(Ventes_Encaissements!$E$6:$E$3005,$B1598,Ventes_Encaissements!$J$6:$J$3005,$G1598,Ventes_Encaissements!$C$6:$C$3005,"&gt;="&amp;($C1598-3),Ventes_Encaissements!$C$6:$C$3005,"&lt;="&amp;($C1598+3)))</f>
        <v/>
      </c>
      <c r="I1598" s="12">
        <f>IF($H1598="","",IF($H1598=0,"Non trouvé",IF($H1598=1,"Match","À vérifier")))</f>
        <v/>
      </c>
      <c r="J1598" s="21">
        <f>IF($I1598&lt;&gt;"Match","",INDEX(Ventes_Encaissements!$B$6:$B$3005,_xludf.AGGREGATE(15,6,(ROW(Ventes_Encaissements!$B$6:$B$3005)-ROW(Ventes_Encaissements!$B$6)+1)/((Ventes_Encaissements!$E$6:$E$3005=$B1598)*(Ventes_Encaissements!$J$6:$J$3005=$G1598)*(Ventes_Encaissements!$C$6:$C$3005&gt;=$C1598-3)*(Ventes_Encaissements!$C$6:$C$3005&lt;=$C1598+3)),1)))</f>
        <v/>
      </c>
      <c r="K1598" s="6" t="n"/>
    </row>
    <row r="1599">
      <c r="A1599" s="6" t="n"/>
      <c r="B1599" s="6" t="n"/>
      <c r="C1599" s="19" t="n"/>
      <c r="D1599" s="19" t="n"/>
      <c r="E1599" s="6" t="n"/>
      <c r="F1599" s="20" t="n"/>
      <c r="G1599" s="9">
        <f>IF($F1599="","",IF($F1599&gt;0,ROUND($F1599,2),""))</f>
        <v/>
      </c>
      <c r="H1599" s="12">
        <f>IF(OR($B1599="",$C1599="",$G1599=""),"",COUNTIFS(Ventes_Encaissements!$E$6:$E$3005,$B1599,Ventes_Encaissements!$J$6:$J$3005,$G1599,Ventes_Encaissements!$C$6:$C$3005,"&gt;="&amp;($C1599-3),Ventes_Encaissements!$C$6:$C$3005,"&lt;="&amp;($C1599+3)))</f>
        <v/>
      </c>
      <c r="I1599" s="12">
        <f>IF($H1599="","",IF($H1599=0,"Non trouvé",IF($H1599=1,"Match","À vérifier")))</f>
        <v/>
      </c>
      <c r="J1599" s="21">
        <f>IF($I1599&lt;&gt;"Match","",INDEX(Ventes_Encaissements!$B$6:$B$3005,_xludf.AGGREGATE(15,6,(ROW(Ventes_Encaissements!$B$6:$B$3005)-ROW(Ventes_Encaissements!$B$6)+1)/((Ventes_Encaissements!$E$6:$E$3005=$B1599)*(Ventes_Encaissements!$J$6:$J$3005=$G1599)*(Ventes_Encaissements!$C$6:$C$3005&gt;=$C1599-3)*(Ventes_Encaissements!$C$6:$C$3005&lt;=$C1599+3)),1)))</f>
        <v/>
      </c>
      <c r="K1599" s="6" t="n"/>
    </row>
    <row r="1600">
      <c r="A1600" s="6" t="n"/>
      <c r="B1600" s="6" t="n"/>
      <c r="C1600" s="19" t="n"/>
      <c r="D1600" s="19" t="n"/>
      <c r="E1600" s="6" t="n"/>
      <c r="F1600" s="20" t="n"/>
      <c r="G1600" s="9">
        <f>IF($F1600="","",IF($F1600&gt;0,ROUND($F1600,2),""))</f>
        <v/>
      </c>
      <c r="H1600" s="12">
        <f>IF(OR($B1600="",$C1600="",$G1600=""),"",COUNTIFS(Ventes_Encaissements!$E$6:$E$3005,$B1600,Ventes_Encaissements!$J$6:$J$3005,$G1600,Ventes_Encaissements!$C$6:$C$3005,"&gt;="&amp;($C1600-3),Ventes_Encaissements!$C$6:$C$3005,"&lt;="&amp;($C1600+3)))</f>
        <v/>
      </c>
      <c r="I1600" s="12">
        <f>IF($H1600="","",IF($H1600=0,"Non trouvé",IF($H1600=1,"Match","À vérifier")))</f>
        <v/>
      </c>
      <c r="J1600" s="21">
        <f>IF($I1600&lt;&gt;"Match","",INDEX(Ventes_Encaissements!$B$6:$B$3005,_xludf.AGGREGATE(15,6,(ROW(Ventes_Encaissements!$B$6:$B$3005)-ROW(Ventes_Encaissements!$B$6)+1)/((Ventes_Encaissements!$E$6:$E$3005=$B1600)*(Ventes_Encaissements!$J$6:$J$3005=$G1600)*(Ventes_Encaissements!$C$6:$C$3005&gt;=$C1600-3)*(Ventes_Encaissements!$C$6:$C$3005&lt;=$C1600+3)),1)))</f>
        <v/>
      </c>
      <c r="K1600" s="6" t="n"/>
    </row>
    <row r="1601">
      <c r="A1601" s="6" t="n"/>
      <c r="B1601" s="6" t="n"/>
      <c r="C1601" s="19" t="n"/>
      <c r="D1601" s="19" t="n"/>
      <c r="E1601" s="6" t="n"/>
      <c r="F1601" s="20" t="n"/>
      <c r="G1601" s="9">
        <f>IF($F1601="","",IF($F1601&gt;0,ROUND($F1601,2),""))</f>
        <v/>
      </c>
      <c r="H1601" s="12">
        <f>IF(OR($B1601="",$C1601="",$G1601=""),"",COUNTIFS(Ventes_Encaissements!$E$6:$E$3005,$B1601,Ventes_Encaissements!$J$6:$J$3005,$G1601,Ventes_Encaissements!$C$6:$C$3005,"&gt;="&amp;($C1601-3),Ventes_Encaissements!$C$6:$C$3005,"&lt;="&amp;($C1601+3)))</f>
        <v/>
      </c>
      <c r="I1601" s="12">
        <f>IF($H1601="","",IF($H1601=0,"Non trouvé",IF($H1601=1,"Match","À vérifier")))</f>
        <v/>
      </c>
      <c r="J1601" s="21">
        <f>IF($I1601&lt;&gt;"Match","",INDEX(Ventes_Encaissements!$B$6:$B$3005,_xludf.AGGREGATE(15,6,(ROW(Ventes_Encaissements!$B$6:$B$3005)-ROW(Ventes_Encaissements!$B$6)+1)/((Ventes_Encaissements!$E$6:$E$3005=$B1601)*(Ventes_Encaissements!$J$6:$J$3005=$G1601)*(Ventes_Encaissements!$C$6:$C$3005&gt;=$C1601-3)*(Ventes_Encaissements!$C$6:$C$3005&lt;=$C1601+3)),1)))</f>
        <v/>
      </c>
      <c r="K1601" s="6" t="n"/>
    </row>
    <row r="1602">
      <c r="A1602" s="6" t="n"/>
      <c r="B1602" s="6" t="n"/>
      <c r="C1602" s="19" t="n"/>
      <c r="D1602" s="19" t="n"/>
      <c r="E1602" s="6" t="n"/>
      <c r="F1602" s="20" t="n"/>
      <c r="G1602" s="9">
        <f>IF($F1602="","",IF($F1602&gt;0,ROUND($F1602,2),""))</f>
        <v/>
      </c>
      <c r="H1602" s="12">
        <f>IF(OR($B1602="",$C1602="",$G1602=""),"",COUNTIFS(Ventes_Encaissements!$E$6:$E$3005,$B1602,Ventes_Encaissements!$J$6:$J$3005,$G1602,Ventes_Encaissements!$C$6:$C$3005,"&gt;="&amp;($C1602-3),Ventes_Encaissements!$C$6:$C$3005,"&lt;="&amp;($C1602+3)))</f>
        <v/>
      </c>
      <c r="I1602" s="12">
        <f>IF($H1602="","",IF($H1602=0,"Non trouvé",IF($H1602=1,"Match","À vérifier")))</f>
        <v/>
      </c>
      <c r="J1602" s="21">
        <f>IF($I1602&lt;&gt;"Match","",INDEX(Ventes_Encaissements!$B$6:$B$3005,_xludf.AGGREGATE(15,6,(ROW(Ventes_Encaissements!$B$6:$B$3005)-ROW(Ventes_Encaissements!$B$6)+1)/((Ventes_Encaissements!$E$6:$E$3005=$B1602)*(Ventes_Encaissements!$J$6:$J$3005=$G1602)*(Ventes_Encaissements!$C$6:$C$3005&gt;=$C1602-3)*(Ventes_Encaissements!$C$6:$C$3005&lt;=$C1602+3)),1)))</f>
        <v/>
      </c>
      <c r="K1602" s="6" t="n"/>
    </row>
    <row r="1603">
      <c r="A1603" s="6" t="n"/>
      <c r="B1603" s="6" t="n"/>
      <c r="C1603" s="19" t="n"/>
      <c r="D1603" s="19" t="n"/>
      <c r="E1603" s="6" t="n"/>
      <c r="F1603" s="20" t="n"/>
      <c r="G1603" s="9">
        <f>IF($F1603="","",IF($F1603&gt;0,ROUND($F1603,2),""))</f>
        <v/>
      </c>
      <c r="H1603" s="12">
        <f>IF(OR($B1603="",$C1603="",$G1603=""),"",COUNTIFS(Ventes_Encaissements!$E$6:$E$3005,$B1603,Ventes_Encaissements!$J$6:$J$3005,$G1603,Ventes_Encaissements!$C$6:$C$3005,"&gt;="&amp;($C1603-3),Ventes_Encaissements!$C$6:$C$3005,"&lt;="&amp;($C1603+3)))</f>
        <v/>
      </c>
      <c r="I1603" s="12">
        <f>IF($H1603="","",IF($H1603=0,"Non trouvé",IF($H1603=1,"Match","À vérifier")))</f>
        <v/>
      </c>
      <c r="J1603" s="21">
        <f>IF($I1603&lt;&gt;"Match","",INDEX(Ventes_Encaissements!$B$6:$B$3005,_xludf.AGGREGATE(15,6,(ROW(Ventes_Encaissements!$B$6:$B$3005)-ROW(Ventes_Encaissements!$B$6)+1)/((Ventes_Encaissements!$E$6:$E$3005=$B1603)*(Ventes_Encaissements!$J$6:$J$3005=$G1603)*(Ventes_Encaissements!$C$6:$C$3005&gt;=$C1603-3)*(Ventes_Encaissements!$C$6:$C$3005&lt;=$C1603+3)),1)))</f>
        <v/>
      </c>
      <c r="K1603" s="6" t="n"/>
    </row>
    <row r="1604">
      <c r="A1604" s="6" t="n"/>
      <c r="B1604" s="6" t="n"/>
      <c r="C1604" s="19" t="n"/>
      <c r="D1604" s="19" t="n"/>
      <c r="E1604" s="6" t="n"/>
      <c r="F1604" s="20" t="n"/>
      <c r="G1604" s="9">
        <f>IF($F1604="","",IF($F1604&gt;0,ROUND($F1604,2),""))</f>
        <v/>
      </c>
      <c r="H1604" s="12">
        <f>IF(OR($B1604="",$C1604="",$G1604=""),"",COUNTIFS(Ventes_Encaissements!$E$6:$E$3005,$B1604,Ventes_Encaissements!$J$6:$J$3005,$G1604,Ventes_Encaissements!$C$6:$C$3005,"&gt;="&amp;($C1604-3),Ventes_Encaissements!$C$6:$C$3005,"&lt;="&amp;($C1604+3)))</f>
        <v/>
      </c>
      <c r="I1604" s="12">
        <f>IF($H1604="","",IF($H1604=0,"Non trouvé",IF($H1604=1,"Match","À vérifier")))</f>
        <v/>
      </c>
      <c r="J1604" s="21">
        <f>IF($I1604&lt;&gt;"Match","",INDEX(Ventes_Encaissements!$B$6:$B$3005,_xludf.AGGREGATE(15,6,(ROW(Ventes_Encaissements!$B$6:$B$3005)-ROW(Ventes_Encaissements!$B$6)+1)/((Ventes_Encaissements!$E$6:$E$3005=$B1604)*(Ventes_Encaissements!$J$6:$J$3005=$G1604)*(Ventes_Encaissements!$C$6:$C$3005&gt;=$C1604-3)*(Ventes_Encaissements!$C$6:$C$3005&lt;=$C1604+3)),1)))</f>
        <v/>
      </c>
      <c r="K1604" s="6" t="n"/>
    </row>
    <row r="1605">
      <c r="A1605" s="6" t="n"/>
      <c r="B1605" s="6" t="n"/>
      <c r="C1605" s="19" t="n"/>
      <c r="D1605" s="19" t="n"/>
      <c r="E1605" s="6" t="n"/>
      <c r="F1605" s="20" t="n"/>
      <c r="G1605" s="9">
        <f>IF($F1605="","",IF($F1605&gt;0,ROUND($F1605,2),""))</f>
        <v/>
      </c>
      <c r="H1605" s="12">
        <f>IF(OR($B1605="",$C1605="",$G1605=""),"",COUNTIFS(Ventes_Encaissements!$E$6:$E$3005,$B1605,Ventes_Encaissements!$J$6:$J$3005,$G1605,Ventes_Encaissements!$C$6:$C$3005,"&gt;="&amp;($C1605-3),Ventes_Encaissements!$C$6:$C$3005,"&lt;="&amp;($C1605+3)))</f>
        <v/>
      </c>
      <c r="I1605" s="12">
        <f>IF($H1605="","",IF($H1605=0,"Non trouvé",IF($H1605=1,"Match","À vérifier")))</f>
        <v/>
      </c>
      <c r="J1605" s="21">
        <f>IF($I1605&lt;&gt;"Match","",INDEX(Ventes_Encaissements!$B$6:$B$3005,_xludf.AGGREGATE(15,6,(ROW(Ventes_Encaissements!$B$6:$B$3005)-ROW(Ventes_Encaissements!$B$6)+1)/((Ventes_Encaissements!$E$6:$E$3005=$B1605)*(Ventes_Encaissements!$J$6:$J$3005=$G1605)*(Ventes_Encaissements!$C$6:$C$3005&gt;=$C1605-3)*(Ventes_Encaissements!$C$6:$C$3005&lt;=$C1605+3)),1)))</f>
        <v/>
      </c>
      <c r="K1605" s="6" t="n"/>
    </row>
    <row r="1606">
      <c r="A1606" s="6" t="n"/>
      <c r="B1606" s="6" t="n"/>
      <c r="C1606" s="19" t="n"/>
      <c r="D1606" s="19" t="n"/>
      <c r="E1606" s="6" t="n"/>
      <c r="F1606" s="20" t="n"/>
      <c r="G1606" s="9">
        <f>IF($F1606="","",IF($F1606&gt;0,ROUND($F1606,2),""))</f>
        <v/>
      </c>
      <c r="H1606" s="12">
        <f>IF(OR($B1606="",$C1606="",$G1606=""),"",COUNTIFS(Ventes_Encaissements!$E$6:$E$3005,$B1606,Ventes_Encaissements!$J$6:$J$3005,$G1606,Ventes_Encaissements!$C$6:$C$3005,"&gt;="&amp;($C1606-3),Ventes_Encaissements!$C$6:$C$3005,"&lt;="&amp;($C1606+3)))</f>
        <v/>
      </c>
      <c r="I1606" s="12">
        <f>IF($H1606="","",IF($H1606=0,"Non trouvé",IF($H1606=1,"Match","À vérifier")))</f>
        <v/>
      </c>
      <c r="J1606" s="21">
        <f>IF($I1606&lt;&gt;"Match","",INDEX(Ventes_Encaissements!$B$6:$B$3005,_xludf.AGGREGATE(15,6,(ROW(Ventes_Encaissements!$B$6:$B$3005)-ROW(Ventes_Encaissements!$B$6)+1)/((Ventes_Encaissements!$E$6:$E$3005=$B1606)*(Ventes_Encaissements!$J$6:$J$3005=$G1606)*(Ventes_Encaissements!$C$6:$C$3005&gt;=$C1606-3)*(Ventes_Encaissements!$C$6:$C$3005&lt;=$C1606+3)),1)))</f>
        <v/>
      </c>
      <c r="K1606" s="6" t="n"/>
    </row>
    <row r="1607">
      <c r="A1607" s="6" t="n"/>
      <c r="B1607" s="6" t="n"/>
      <c r="C1607" s="19" t="n"/>
      <c r="D1607" s="19" t="n"/>
      <c r="E1607" s="6" t="n"/>
      <c r="F1607" s="20" t="n"/>
      <c r="G1607" s="9">
        <f>IF($F1607="","",IF($F1607&gt;0,ROUND($F1607,2),""))</f>
        <v/>
      </c>
      <c r="H1607" s="12">
        <f>IF(OR($B1607="",$C1607="",$G1607=""),"",COUNTIFS(Ventes_Encaissements!$E$6:$E$3005,$B1607,Ventes_Encaissements!$J$6:$J$3005,$G1607,Ventes_Encaissements!$C$6:$C$3005,"&gt;="&amp;($C1607-3),Ventes_Encaissements!$C$6:$C$3005,"&lt;="&amp;($C1607+3)))</f>
        <v/>
      </c>
      <c r="I1607" s="12">
        <f>IF($H1607="","",IF($H1607=0,"Non trouvé",IF($H1607=1,"Match","À vérifier")))</f>
        <v/>
      </c>
      <c r="J1607" s="21">
        <f>IF($I1607&lt;&gt;"Match","",INDEX(Ventes_Encaissements!$B$6:$B$3005,_xludf.AGGREGATE(15,6,(ROW(Ventes_Encaissements!$B$6:$B$3005)-ROW(Ventes_Encaissements!$B$6)+1)/((Ventes_Encaissements!$E$6:$E$3005=$B1607)*(Ventes_Encaissements!$J$6:$J$3005=$G1607)*(Ventes_Encaissements!$C$6:$C$3005&gt;=$C1607-3)*(Ventes_Encaissements!$C$6:$C$3005&lt;=$C1607+3)),1)))</f>
        <v/>
      </c>
      <c r="K1607" s="6" t="n"/>
    </row>
    <row r="1608">
      <c r="A1608" s="6" t="n"/>
      <c r="B1608" s="6" t="n"/>
      <c r="C1608" s="19" t="n"/>
      <c r="D1608" s="19" t="n"/>
      <c r="E1608" s="6" t="n"/>
      <c r="F1608" s="20" t="n"/>
      <c r="G1608" s="9">
        <f>IF($F1608="","",IF($F1608&gt;0,ROUND($F1608,2),""))</f>
        <v/>
      </c>
      <c r="H1608" s="12">
        <f>IF(OR($B1608="",$C1608="",$G1608=""),"",COUNTIFS(Ventes_Encaissements!$E$6:$E$3005,$B1608,Ventes_Encaissements!$J$6:$J$3005,$G1608,Ventes_Encaissements!$C$6:$C$3005,"&gt;="&amp;($C1608-3),Ventes_Encaissements!$C$6:$C$3005,"&lt;="&amp;($C1608+3)))</f>
        <v/>
      </c>
      <c r="I1608" s="12">
        <f>IF($H1608="","",IF($H1608=0,"Non trouvé",IF($H1608=1,"Match","À vérifier")))</f>
        <v/>
      </c>
      <c r="J1608" s="21">
        <f>IF($I1608&lt;&gt;"Match","",INDEX(Ventes_Encaissements!$B$6:$B$3005,_xludf.AGGREGATE(15,6,(ROW(Ventes_Encaissements!$B$6:$B$3005)-ROW(Ventes_Encaissements!$B$6)+1)/((Ventes_Encaissements!$E$6:$E$3005=$B1608)*(Ventes_Encaissements!$J$6:$J$3005=$G1608)*(Ventes_Encaissements!$C$6:$C$3005&gt;=$C1608-3)*(Ventes_Encaissements!$C$6:$C$3005&lt;=$C1608+3)),1)))</f>
        <v/>
      </c>
      <c r="K1608" s="6" t="n"/>
    </row>
    <row r="1609">
      <c r="A1609" s="6" t="n"/>
      <c r="B1609" s="6" t="n"/>
      <c r="C1609" s="19" t="n"/>
      <c r="D1609" s="19" t="n"/>
      <c r="E1609" s="6" t="n"/>
      <c r="F1609" s="20" t="n"/>
      <c r="G1609" s="9">
        <f>IF($F1609="","",IF($F1609&gt;0,ROUND($F1609,2),""))</f>
        <v/>
      </c>
      <c r="H1609" s="12">
        <f>IF(OR($B1609="",$C1609="",$G1609=""),"",COUNTIFS(Ventes_Encaissements!$E$6:$E$3005,$B1609,Ventes_Encaissements!$J$6:$J$3005,$G1609,Ventes_Encaissements!$C$6:$C$3005,"&gt;="&amp;($C1609-3),Ventes_Encaissements!$C$6:$C$3005,"&lt;="&amp;($C1609+3)))</f>
        <v/>
      </c>
      <c r="I1609" s="12">
        <f>IF($H1609="","",IF($H1609=0,"Non trouvé",IF($H1609=1,"Match","À vérifier")))</f>
        <v/>
      </c>
      <c r="J1609" s="21">
        <f>IF($I1609&lt;&gt;"Match","",INDEX(Ventes_Encaissements!$B$6:$B$3005,_xludf.AGGREGATE(15,6,(ROW(Ventes_Encaissements!$B$6:$B$3005)-ROW(Ventes_Encaissements!$B$6)+1)/((Ventes_Encaissements!$E$6:$E$3005=$B1609)*(Ventes_Encaissements!$J$6:$J$3005=$G1609)*(Ventes_Encaissements!$C$6:$C$3005&gt;=$C1609-3)*(Ventes_Encaissements!$C$6:$C$3005&lt;=$C1609+3)),1)))</f>
        <v/>
      </c>
      <c r="K1609" s="6" t="n"/>
    </row>
    <row r="1610">
      <c r="A1610" s="6" t="n"/>
      <c r="B1610" s="6" t="n"/>
      <c r="C1610" s="19" t="n"/>
      <c r="D1610" s="19" t="n"/>
      <c r="E1610" s="6" t="n"/>
      <c r="F1610" s="20" t="n"/>
      <c r="G1610" s="9">
        <f>IF($F1610="","",IF($F1610&gt;0,ROUND($F1610,2),""))</f>
        <v/>
      </c>
      <c r="H1610" s="12">
        <f>IF(OR($B1610="",$C1610="",$G1610=""),"",COUNTIFS(Ventes_Encaissements!$E$6:$E$3005,$B1610,Ventes_Encaissements!$J$6:$J$3005,$G1610,Ventes_Encaissements!$C$6:$C$3005,"&gt;="&amp;($C1610-3),Ventes_Encaissements!$C$6:$C$3005,"&lt;="&amp;($C1610+3)))</f>
        <v/>
      </c>
      <c r="I1610" s="12">
        <f>IF($H1610="","",IF($H1610=0,"Non trouvé",IF($H1610=1,"Match","À vérifier")))</f>
        <v/>
      </c>
      <c r="J1610" s="21">
        <f>IF($I1610&lt;&gt;"Match","",INDEX(Ventes_Encaissements!$B$6:$B$3005,_xludf.AGGREGATE(15,6,(ROW(Ventes_Encaissements!$B$6:$B$3005)-ROW(Ventes_Encaissements!$B$6)+1)/((Ventes_Encaissements!$E$6:$E$3005=$B1610)*(Ventes_Encaissements!$J$6:$J$3005=$G1610)*(Ventes_Encaissements!$C$6:$C$3005&gt;=$C1610-3)*(Ventes_Encaissements!$C$6:$C$3005&lt;=$C1610+3)),1)))</f>
        <v/>
      </c>
      <c r="K1610" s="6" t="n"/>
    </row>
    <row r="1611">
      <c r="A1611" s="6" t="n"/>
      <c r="B1611" s="6" t="n"/>
      <c r="C1611" s="19" t="n"/>
      <c r="D1611" s="19" t="n"/>
      <c r="E1611" s="6" t="n"/>
      <c r="F1611" s="20" t="n"/>
      <c r="G1611" s="9">
        <f>IF($F1611="","",IF($F1611&gt;0,ROUND($F1611,2),""))</f>
        <v/>
      </c>
      <c r="H1611" s="12">
        <f>IF(OR($B1611="",$C1611="",$G1611=""),"",COUNTIFS(Ventes_Encaissements!$E$6:$E$3005,$B1611,Ventes_Encaissements!$J$6:$J$3005,$G1611,Ventes_Encaissements!$C$6:$C$3005,"&gt;="&amp;($C1611-3),Ventes_Encaissements!$C$6:$C$3005,"&lt;="&amp;($C1611+3)))</f>
        <v/>
      </c>
      <c r="I1611" s="12">
        <f>IF($H1611="","",IF($H1611=0,"Non trouvé",IF($H1611=1,"Match","À vérifier")))</f>
        <v/>
      </c>
      <c r="J1611" s="21">
        <f>IF($I1611&lt;&gt;"Match","",INDEX(Ventes_Encaissements!$B$6:$B$3005,_xludf.AGGREGATE(15,6,(ROW(Ventes_Encaissements!$B$6:$B$3005)-ROW(Ventes_Encaissements!$B$6)+1)/((Ventes_Encaissements!$E$6:$E$3005=$B1611)*(Ventes_Encaissements!$J$6:$J$3005=$G1611)*(Ventes_Encaissements!$C$6:$C$3005&gt;=$C1611-3)*(Ventes_Encaissements!$C$6:$C$3005&lt;=$C1611+3)),1)))</f>
        <v/>
      </c>
      <c r="K1611" s="6" t="n"/>
    </row>
    <row r="1612">
      <c r="A1612" s="6" t="n"/>
      <c r="B1612" s="6" t="n"/>
      <c r="C1612" s="19" t="n"/>
      <c r="D1612" s="19" t="n"/>
      <c r="E1612" s="6" t="n"/>
      <c r="F1612" s="20" t="n"/>
      <c r="G1612" s="9">
        <f>IF($F1612="","",IF($F1612&gt;0,ROUND($F1612,2),""))</f>
        <v/>
      </c>
      <c r="H1612" s="12">
        <f>IF(OR($B1612="",$C1612="",$G1612=""),"",COUNTIFS(Ventes_Encaissements!$E$6:$E$3005,$B1612,Ventes_Encaissements!$J$6:$J$3005,$G1612,Ventes_Encaissements!$C$6:$C$3005,"&gt;="&amp;($C1612-3),Ventes_Encaissements!$C$6:$C$3005,"&lt;="&amp;($C1612+3)))</f>
        <v/>
      </c>
      <c r="I1612" s="12">
        <f>IF($H1612="","",IF($H1612=0,"Non trouvé",IF($H1612=1,"Match","À vérifier")))</f>
        <v/>
      </c>
      <c r="J1612" s="21">
        <f>IF($I1612&lt;&gt;"Match","",INDEX(Ventes_Encaissements!$B$6:$B$3005,_xludf.AGGREGATE(15,6,(ROW(Ventes_Encaissements!$B$6:$B$3005)-ROW(Ventes_Encaissements!$B$6)+1)/((Ventes_Encaissements!$E$6:$E$3005=$B1612)*(Ventes_Encaissements!$J$6:$J$3005=$G1612)*(Ventes_Encaissements!$C$6:$C$3005&gt;=$C1612-3)*(Ventes_Encaissements!$C$6:$C$3005&lt;=$C1612+3)),1)))</f>
        <v/>
      </c>
      <c r="K1612" s="6" t="n"/>
    </row>
    <row r="1613">
      <c r="A1613" s="6" t="n"/>
      <c r="B1613" s="6" t="n"/>
      <c r="C1613" s="19" t="n"/>
      <c r="D1613" s="19" t="n"/>
      <c r="E1613" s="6" t="n"/>
      <c r="F1613" s="20" t="n"/>
      <c r="G1613" s="9">
        <f>IF($F1613="","",IF($F1613&gt;0,ROUND($F1613,2),""))</f>
        <v/>
      </c>
      <c r="H1613" s="12">
        <f>IF(OR($B1613="",$C1613="",$G1613=""),"",COUNTIFS(Ventes_Encaissements!$E$6:$E$3005,$B1613,Ventes_Encaissements!$J$6:$J$3005,$G1613,Ventes_Encaissements!$C$6:$C$3005,"&gt;="&amp;($C1613-3),Ventes_Encaissements!$C$6:$C$3005,"&lt;="&amp;($C1613+3)))</f>
        <v/>
      </c>
      <c r="I1613" s="12">
        <f>IF($H1613="","",IF($H1613=0,"Non trouvé",IF($H1613=1,"Match","À vérifier")))</f>
        <v/>
      </c>
      <c r="J1613" s="21">
        <f>IF($I1613&lt;&gt;"Match","",INDEX(Ventes_Encaissements!$B$6:$B$3005,_xludf.AGGREGATE(15,6,(ROW(Ventes_Encaissements!$B$6:$B$3005)-ROW(Ventes_Encaissements!$B$6)+1)/((Ventes_Encaissements!$E$6:$E$3005=$B1613)*(Ventes_Encaissements!$J$6:$J$3005=$G1613)*(Ventes_Encaissements!$C$6:$C$3005&gt;=$C1613-3)*(Ventes_Encaissements!$C$6:$C$3005&lt;=$C1613+3)),1)))</f>
        <v/>
      </c>
      <c r="K1613" s="6" t="n"/>
    </row>
    <row r="1614">
      <c r="A1614" s="6" t="n"/>
      <c r="B1614" s="6" t="n"/>
      <c r="C1614" s="19" t="n"/>
      <c r="D1614" s="19" t="n"/>
      <c r="E1614" s="6" t="n"/>
      <c r="F1614" s="20" t="n"/>
      <c r="G1614" s="9">
        <f>IF($F1614="","",IF($F1614&gt;0,ROUND($F1614,2),""))</f>
        <v/>
      </c>
      <c r="H1614" s="12">
        <f>IF(OR($B1614="",$C1614="",$G1614=""),"",COUNTIFS(Ventes_Encaissements!$E$6:$E$3005,$B1614,Ventes_Encaissements!$J$6:$J$3005,$G1614,Ventes_Encaissements!$C$6:$C$3005,"&gt;="&amp;($C1614-3),Ventes_Encaissements!$C$6:$C$3005,"&lt;="&amp;($C1614+3)))</f>
        <v/>
      </c>
      <c r="I1614" s="12">
        <f>IF($H1614="","",IF($H1614=0,"Non trouvé",IF($H1614=1,"Match","À vérifier")))</f>
        <v/>
      </c>
      <c r="J1614" s="21">
        <f>IF($I1614&lt;&gt;"Match","",INDEX(Ventes_Encaissements!$B$6:$B$3005,_xludf.AGGREGATE(15,6,(ROW(Ventes_Encaissements!$B$6:$B$3005)-ROW(Ventes_Encaissements!$B$6)+1)/((Ventes_Encaissements!$E$6:$E$3005=$B1614)*(Ventes_Encaissements!$J$6:$J$3005=$G1614)*(Ventes_Encaissements!$C$6:$C$3005&gt;=$C1614-3)*(Ventes_Encaissements!$C$6:$C$3005&lt;=$C1614+3)),1)))</f>
        <v/>
      </c>
      <c r="K1614" s="6" t="n"/>
    </row>
    <row r="1615">
      <c r="A1615" s="6" t="n"/>
      <c r="B1615" s="6" t="n"/>
      <c r="C1615" s="19" t="n"/>
      <c r="D1615" s="19" t="n"/>
      <c r="E1615" s="6" t="n"/>
      <c r="F1615" s="20" t="n"/>
      <c r="G1615" s="9">
        <f>IF($F1615="","",IF($F1615&gt;0,ROUND($F1615,2),""))</f>
        <v/>
      </c>
      <c r="H1615" s="12">
        <f>IF(OR($B1615="",$C1615="",$G1615=""),"",COUNTIFS(Ventes_Encaissements!$E$6:$E$3005,$B1615,Ventes_Encaissements!$J$6:$J$3005,$G1615,Ventes_Encaissements!$C$6:$C$3005,"&gt;="&amp;($C1615-3),Ventes_Encaissements!$C$6:$C$3005,"&lt;="&amp;($C1615+3)))</f>
        <v/>
      </c>
      <c r="I1615" s="12">
        <f>IF($H1615="","",IF($H1615=0,"Non trouvé",IF($H1615=1,"Match","À vérifier")))</f>
        <v/>
      </c>
      <c r="J1615" s="21">
        <f>IF($I1615&lt;&gt;"Match","",INDEX(Ventes_Encaissements!$B$6:$B$3005,_xludf.AGGREGATE(15,6,(ROW(Ventes_Encaissements!$B$6:$B$3005)-ROW(Ventes_Encaissements!$B$6)+1)/((Ventes_Encaissements!$E$6:$E$3005=$B1615)*(Ventes_Encaissements!$J$6:$J$3005=$G1615)*(Ventes_Encaissements!$C$6:$C$3005&gt;=$C1615-3)*(Ventes_Encaissements!$C$6:$C$3005&lt;=$C1615+3)),1)))</f>
        <v/>
      </c>
      <c r="K1615" s="6" t="n"/>
    </row>
    <row r="1616">
      <c r="A1616" s="6" t="n"/>
      <c r="B1616" s="6" t="n"/>
      <c r="C1616" s="19" t="n"/>
      <c r="D1616" s="19" t="n"/>
      <c r="E1616" s="6" t="n"/>
      <c r="F1616" s="20" t="n"/>
      <c r="G1616" s="9">
        <f>IF($F1616="","",IF($F1616&gt;0,ROUND($F1616,2),""))</f>
        <v/>
      </c>
      <c r="H1616" s="12">
        <f>IF(OR($B1616="",$C1616="",$G1616=""),"",COUNTIFS(Ventes_Encaissements!$E$6:$E$3005,$B1616,Ventes_Encaissements!$J$6:$J$3005,$G1616,Ventes_Encaissements!$C$6:$C$3005,"&gt;="&amp;($C1616-3),Ventes_Encaissements!$C$6:$C$3005,"&lt;="&amp;($C1616+3)))</f>
        <v/>
      </c>
      <c r="I1616" s="12">
        <f>IF($H1616="","",IF($H1616=0,"Non trouvé",IF($H1616=1,"Match","À vérifier")))</f>
        <v/>
      </c>
      <c r="J1616" s="21">
        <f>IF($I1616&lt;&gt;"Match","",INDEX(Ventes_Encaissements!$B$6:$B$3005,_xludf.AGGREGATE(15,6,(ROW(Ventes_Encaissements!$B$6:$B$3005)-ROW(Ventes_Encaissements!$B$6)+1)/((Ventes_Encaissements!$E$6:$E$3005=$B1616)*(Ventes_Encaissements!$J$6:$J$3005=$G1616)*(Ventes_Encaissements!$C$6:$C$3005&gt;=$C1616-3)*(Ventes_Encaissements!$C$6:$C$3005&lt;=$C1616+3)),1)))</f>
        <v/>
      </c>
      <c r="K1616" s="6" t="n"/>
    </row>
    <row r="1617">
      <c r="A1617" s="6" t="n"/>
      <c r="B1617" s="6" t="n"/>
      <c r="C1617" s="19" t="n"/>
      <c r="D1617" s="19" t="n"/>
      <c r="E1617" s="6" t="n"/>
      <c r="F1617" s="20" t="n"/>
      <c r="G1617" s="9">
        <f>IF($F1617="","",IF($F1617&gt;0,ROUND($F1617,2),""))</f>
        <v/>
      </c>
      <c r="H1617" s="12">
        <f>IF(OR($B1617="",$C1617="",$G1617=""),"",COUNTIFS(Ventes_Encaissements!$E$6:$E$3005,$B1617,Ventes_Encaissements!$J$6:$J$3005,$G1617,Ventes_Encaissements!$C$6:$C$3005,"&gt;="&amp;($C1617-3),Ventes_Encaissements!$C$6:$C$3005,"&lt;="&amp;($C1617+3)))</f>
        <v/>
      </c>
      <c r="I1617" s="12">
        <f>IF($H1617="","",IF($H1617=0,"Non trouvé",IF($H1617=1,"Match","À vérifier")))</f>
        <v/>
      </c>
      <c r="J1617" s="21">
        <f>IF($I1617&lt;&gt;"Match","",INDEX(Ventes_Encaissements!$B$6:$B$3005,_xludf.AGGREGATE(15,6,(ROW(Ventes_Encaissements!$B$6:$B$3005)-ROW(Ventes_Encaissements!$B$6)+1)/((Ventes_Encaissements!$E$6:$E$3005=$B1617)*(Ventes_Encaissements!$J$6:$J$3005=$G1617)*(Ventes_Encaissements!$C$6:$C$3005&gt;=$C1617-3)*(Ventes_Encaissements!$C$6:$C$3005&lt;=$C1617+3)),1)))</f>
        <v/>
      </c>
      <c r="K1617" s="6" t="n"/>
    </row>
    <row r="1618">
      <c r="A1618" s="6" t="n"/>
      <c r="B1618" s="6" t="n"/>
      <c r="C1618" s="19" t="n"/>
      <c r="D1618" s="19" t="n"/>
      <c r="E1618" s="6" t="n"/>
      <c r="F1618" s="20" t="n"/>
      <c r="G1618" s="9">
        <f>IF($F1618="","",IF($F1618&gt;0,ROUND($F1618,2),""))</f>
        <v/>
      </c>
      <c r="H1618" s="12">
        <f>IF(OR($B1618="",$C1618="",$G1618=""),"",COUNTIFS(Ventes_Encaissements!$E$6:$E$3005,$B1618,Ventes_Encaissements!$J$6:$J$3005,$G1618,Ventes_Encaissements!$C$6:$C$3005,"&gt;="&amp;($C1618-3),Ventes_Encaissements!$C$6:$C$3005,"&lt;="&amp;($C1618+3)))</f>
        <v/>
      </c>
      <c r="I1618" s="12">
        <f>IF($H1618="","",IF($H1618=0,"Non trouvé",IF($H1618=1,"Match","À vérifier")))</f>
        <v/>
      </c>
      <c r="J1618" s="21">
        <f>IF($I1618&lt;&gt;"Match","",INDEX(Ventes_Encaissements!$B$6:$B$3005,_xludf.AGGREGATE(15,6,(ROW(Ventes_Encaissements!$B$6:$B$3005)-ROW(Ventes_Encaissements!$B$6)+1)/((Ventes_Encaissements!$E$6:$E$3005=$B1618)*(Ventes_Encaissements!$J$6:$J$3005=$G1618)*(Ventes_Encaissements!$C$6:$C$3005&gt;=$C1618-3)*(Ventes_Encaissements!$C$6:$C$3005&lt;=$C1618+3)),1)))</f>
        <v/>
      </c>
      <c r="K1618" s="6" t="n"/>
    </row>
    <row r="1619">
      <c r="A1619" s="6" t="n"/>
      <c r="B1619" s="6" t="n"/>
      <c r="C1619" s="19" t="n"/>
      <c r="D1619" s="19" t="n"/>
      <c r="E1619" s="6" t="n"/>
      <c r="F1619" s="20" t="n"/>
      <c r="G1619" s="9">
        <f>IF($F1619="","",IF($F1619&gt;0,ROUND($F1619,2),""))</f>
        <v/>
      </c>
      <c r="H1619" s="12">
        <f>IF(OR($B1619="",$C1619="",$G1619=""),"",COUNTIFS(Ventes_Encaissements!$E$6:$E$3005,$B1619,Ventes_Encaissements!$J$6:$J$3005,$G1619,Ventes_Encaissements!$C$6:$C$3005,"&gt;="&amp;($C1619-3),Ventes_Encaissements!$C$6:$C$3005,"&lt;="&amp;($C1619+3)))</f>
        <v/>
      </c>
      <c r="I1619" s="12">
        <f>IF($H1619="","",IF($H1619=0,"Non trouvé",IF($H1619=1,"Match","À vérifier")))</f>
        <v/>
      </c>
      <c r="J1619" s="21">
        <f>IF($I1619&lt;&gt;"Match","",INDEX(Ventes_Encaissements!$B$6:$B$3005,_xludf.AGGREGATE(15,6,(ROW(Ventes_Encaissements!$B$6:$B$3005)-ROW(Ventes_Encaissements!$B$6)+1)/((Ventes_Encaissements!$E$6:$E$3005=$B1619)*(Ventes_Encaissements!$J$6:$J$3005=$G1619)*(Ventes_Encaissements!$C$6:$C$3005&gt;=$C1619-3)*(Ventes_Encaissements!$C$6:$C$3005&lt;=$C1619+3)),1)))</f>
        <v/>
      </c>
      <c r="K1619" s="6" t="n"/>
    </row>
    <row r="1620">
      <c r="A1620" s="6" t="n"/>
      <c r="B1620" s="6" t="n"/>
      <c r="C1620" s="19" t="n"/>
      <c r="D1620" s="19" t="n"/>
      <c r="E1620" s="6" t="n"/>
      <c r="F1620" s="20" t="n"/>
      <c r="G1620" s="9">
        <f>IF($F1620="","",IF($F1620&gt;0,ROUND($F1620,2),""))</f>
        <v/>
      </c>
      <c r="H1620" s="12">
        <f>IF(OR($B1620="",$C1620="",$G1620=""),"",COUNTIFS(Ventes_Encaissements!$E$6:$E$3005,$B1620,Ventes_Encaissements!$J$6:$J$3005,$G1620,Ventes_Encaissements!$C$6:$C$3005,"&gt;="&amp;($C1620-3),Ventes_Encaissements!$C$6:$C$3005,"&lt;="&amp;($C1620+3)))</f>
        <v/>
      </c>
      <c r="I1620" s="12">
        <f>IF($H1620="","",IF($H1620=0,"Non trouvé",IF($H1620=1,"Match","À vérifier")))</f>
        <v/>
      </c>
      <c r="J1620" s="21">
        <f>IF($I1620&lt;&gt;"Match","",INDEX(Ventes_Encaissements!$B$6:$B$3005,_xludf.AGGREGATE(15,6,(ROW(Ventes_Encaissements!$B$6:$B$3005)-ROW(Ventes_Encaissements!$B$6)+1)/((Ventes_Encaissements!$E$6:$E$3005=$B1620)*(Ventes_Encaissements!$J$6:$J$3005=$G1620)*(Ventes_Encaissements!$C$6:$C$3005&gt;=$C1620-3)*(Ventes_Encaissements!$C$6:$C$3005&lt;=$C1620+3)),1)))</f>
        <v/>
      </c>
      <c r="K1620" s="6" t="n"/>
    </row>
    <row r="1621">
      <c r="A1621" s="6" t="n"/>
      <c r="B1621" s="6" t="n"/>
      <c r="C1621" s="19" t="n"/>
      <c r="D1621" s="19" t="n"/>
      <c r="E1621" s="6" t="n"/>
      <c r="F1621" s="20" t="n"/>
      <c r="G1621" s="9">
        <f>IF($F1621="","",IF($F1621&gt;0,ROUND($F1621,2),""))</f>
        <v/>
      </c>
      <c r="H1621" s="12">
        <f>IF(OR($B1621="",$C1621="",$G1621=""),"",COUNTIFS(Ventes_Encaissements!$E$6:$E$3005,$B1621,Ventes_Encaissements!$J$6:$J$3005,$G1621,Ventes_Encaissements!$C$6:$C$3005,"&gt;="&amp;($C1621-3),Ventes_Encaissements!$C$6:$C$3005,"&lt;="&amp;($C1621+3)))</f>
        <v/>
      </c>
      <c r="I1621" s="12">
        <f>IF($H1621="","",IF($H1621=0,"Non trouvé",IF($H1621=1,"Match","À vérifier")))</f>
        <v/>
      </c>
      <c r="J1621" s="21">
        <f>IF($I1621&lt;&gt;"Match","",INDEX(Ventes_Encaissements!$B$6:$B$3005,_xludf.AGGREGATE(15,6,(ROW(Ventes_Encaissements!$B$6:$B$3005)-ROW(Ventes_Encaissements!$B$6)+1)/((Ventes_Encaissements!$E$6:$E$3005=$B1621)*(Ventes_Encaissements!$J$6:$J$3005=$G1621)*(Ventes_Encaissements!$C$6:$C$3005&gt;=$C1621-3)*(Ventes_Encaissements!$C$6:$C$3005&lt;=$C1621+3)),1)))</f>
        <v/>
      </c>
      <c r="K1621" s="6" t="n"/>
    </row>
    <row r="1622">
      <c r="A1622" s="6" t="n"/>
      <c r="B1622" s="6" t="n"/>
      <c r="C1622" s="19" t="n"/>
      <c r="D1622" s="19" t="n"/>
      <c r="E1622" s="6" t="n"/>
      <c r="F1622" s="20" t="n"/>
      <c r="G1622" s="9">
        <f>IF($F1622="","",IF($F1622&gt;0,ROUND($F1622,2),""))</f>
        <v/>
      </c>
      <c r="H1622" s="12">
        <f>IF(OR($B1622="",$C1622="",$G1622=""),"",COUNTIFS(Ventes_Encaissements!$E$6:$E$3005,$B1622,Ventes_Encaissements!$J$6:$J$3005,$G1622,Ventes_Encaissements!$C$6:$C$3005,"&gt;="&amp;($C1622-3),Ventes_Encaissements!$C$6:$C$3005,"&lt;="&amp;($C1622+3)))</f>
        <v/>
      </c>
      <c r="I1622" s="12">
        <f>IF($H1622="","",IF($H1622=0,"Non trouvé",IF($H1622=1,"Match","À vérifier")))</f>
        <v/>
      </c>
      <c r="J1622" s="21">
        <f>IF($I1622&lt;&gt;"Match","",INDEX(Ventes_Encaissements!$B$6:$B$3005,_xludf.AGGREGATE(15,6,(ROW(Ventes_Encaissements!$B$6:$B$3005)-ROW(Ventes_Encaissements!$B$6)+1)/((Ventes_Encaissements!$E$6:$E$3005=$B1622)*(Ventes_Encaissements!$J$6:$J$3005=$G1622)*(Ventes_Encaissements!$C$6:$C$3005&gt;=$C1622-3)*(Ventes_Encaissements!$C$6:$C$3005&lt;=$C1622+3)),1)))</f>
        <v/>
      </c>
      <c r="K1622" s="6" t="n"/>
    </row>
    <row r="1623">
      <c r="A1623" s="6" t="n"/>
      <c r="B1623" s="6" t="n"/>
      <c r="C1623" s="19" t="n"/>
      <c r="D1623" s="19" t="n"/>
      <c r="E1623" s="6" t="n"/>
      <c r="F1623" s="20" t="n"/>
      <c r="G1623" s="9">
        <f>IF($F1623="","",IF($F1623&gt;0,ROUND($F1623,2),""))</f>
        <v/>
      </c>
      <c r="H1623" s="12">
        <f>IF(OR($B1623="",$C1623="",$G1623=""),"",COUNTIFS(Ventes_Encaissements!$E$6:$E$3005,$B1623,Ventes_Encaissements!$J$6:$J$3005,$G1623,Ventes_Encaissements!$C$6:$C$3005,"&gt;="&amp;($C1623-3),Ventes_Encaissements!$C$6:$C$3005,"&lt;="&amp;($C1623+3)))</f>
        <v/>
      </c>
      <c r="I1623" s="12">
        <f>IF($H1623="","",IF($H1623=0,"Non trouvé",IF($H1623=1,"Match","À vérifier")))</f>
        <v/>
      </c>
      <c r="J1623" s="21">
        <f>IF($I1623&lt;&gt;"Match","",INDEX(Ventes_Encaissements!$B$6:$B$3005,_xludf.AGGREGATE(15,6,(ROW(Ventes_Encaissements!$B$6:$B$3005)-ROW(Ventes_Encaissements!$B$6)+1)/((Ventes_Encaissements!$E$6:$E$3005=$B1623)*(Ventes_Encaissements!$J$6:$J$3005=$G1623)*(Ventes_Encaissements!$C$6:$C$3005&gt;=$C1623-3)*(Ventes_Encaissements!$C$6:$C$3005&lt;=$C1623+3)),1)))</f>
        <v/>
      </c>
      <c r="K1623" s="6" t="n"/>
    </row>
    <row r="1624">
      <c r="A1624" s="6" t="n"/>
      <c r="B1624" s="6" t="n"/>
      <c r="C1624" s="19" t="n"/>
      <c r="D1624" s="19" t="n"/>
      <c r="E1624" s="6" t="n"/>
      <c r="F1624" s="20" t="n"/>
      <c r="G1624" s="9">
        <f>IF($F1624="","",IF($F1624&gt;0,ROUND($F1624,2),""))</f>
        <v/>
      </c>
      <c r="H1624" s="12">
        <f>IF(OR($B1624="",$C1624="",$G1624=""),"",COUNTIFS(Ventes_Encaissements!$E$6:$E$3005,$B1624,Ventes_Encaissements!$J$6:$J$3005,$G1624,Ventes_Encaissements!$C$6:$C$3005,"&gt;="&amp;($C1624-3),Ventes_Encaissements!$C$6:$C$3005,"&lt;="&amp;($C1624+3)))</f>
        <v/>
      </c>
      <c r="I1624" s="12">
        <f>IF($H1624="","",IF($H1624=0,"Non trouvé",IF($H1624=1,"Match","À vérifier")))</f>
        <v/>
      </c>
      <c r="J1624" s="21">
        <f>IF($I1624&lt;&gt;"Match","",INDEX(Ventes_Encaissements!$B$6:$B$3005,_xludf.AGGREGATE(15,6,(ROW(Ventes_Encaissements!$B$6:$B$3005)-ROW(Ventes_Encaissements!$B$6)+1)/((Ventes_Encaissements!$E$6:$E$3005=$B1624)*(Ventes_Encaissements!$J$6:$J$3005=$G1624)*(Ventes_Encaissements!$C$6:$C$3005&gt;=$C1624-3)*(Ventes_Encaissements!$C$6:$C$3005&lt;=$C1624+3)),1)))</f>
        <v/>
      </c>
      <c r="K1624" s="6" t="n"/>
    </row>
    <row r="1625">
      <c r="A1625" s="6" t="n"/>
      <c r="B1625" s="6" t="n"/>
      <c r="C1625" s="19" t="n"/>
      <c r="D1625" s="19" t="n"/>
      <c r="E1625" s="6" t="n"/>
      <c r="F1625" s="20" t="n"/>
      <c r="G1625" s="9">
        <f>IF($F1625="","",IF($F1625&gt;0,ROUND($F1625,2),""))</f>
        <v/>
      </c>
      <c r="H1625" s="12">
        <f>IF(OR($B1625="",$C1625="",$G1625=""),"",COUNTIFS(Ventes_Encaissements!$E$6:$E$3005,$B1625,Ventes_Encaissements!$J$6:$J$3005,$G1625,Ventes_Encaissements!$C$6:$C$3005,"&gt;="&amp;($C1625-3),Ventes_Encaissements!$C$6:$C$3005,"&lt;="&amp;($C1625+3)))</f>
        <v/>
      </c>
      <c r="I1625" s="12">
        <f>IF($H1625="","",IF($H1625=0,"Non trouvé",IF($H1625=1,"Match","À vérifier")))</f>
        <v/>
      </c>
      <c r="J1625" s="21">
        <f>IF($I1625&lt;&gt;"Match","",INDEX(Ventes_Encaissements!$B$6:$B$3005,_xludf.AGGREGATE(15,6,(ROW(Ventes_Encaissements!$B$6:$B$3005)-ROW(Ventes_Encaissements!$B$6)+1)/((Ventes_Encaissements!$E$6:$E$3005=$B1625)*(Ventes_Encaissements!$J$6:$J$3005=$G1625)*(Ventes_Encaissements!$C$6:$C$3005&gt;=$C1625-3)*(Ventes_Encaissements!$C$6:$C$3005&lt;=$C1625+3)),1)))</f>
        <v/>
      </c>
      <c r="K1625" s="6" t="n"/>
    </row>
    <row r="1626">
      <c r="A1626" s="6" t="n"/>
      <c r="B1626" s="6" t="n"/>
      <c r="C1626" s="19" t="n"/>
      <c r="D1626" s="19" t="n"/>
      <c r="E1626" s="6" t="n"/>
      <c r="F1626" s="20" t="n"/>
      <c r="G1626" s="9">
        <f>IF($F1626="","",IF($F1626&gt;0,ROUND($F1626,2),""))</f>
        <v/>
      </c>
      <c r="H1626" s="12">
        <f>IF(OR($B1626="",$C1626="",$G1626=""),"",COUNTIFS(Ventes_Encaissements!$E$6:$E$3005,$B1626,Ventes_Encaissements!$J$6:$J$3005,$G1626,Ventes_Encaissements!$C$6:$C$3005,"&gt;="&amp;($C1626-3),Ventes_Encaissements!$C$6:$C$3005,"&lt;="&amp;($C1626+3)))</f>
        <v/>
      </c>
      <c r="I1626" s="12">
        <f>IF($H1626="","",IF($H1626=0,"Non trouvé",IF($H1626=1,"Match","À vérifier")))</f>
        <v/>
      </c>
      <c r="J1626" s="21">
        <f>IF($I1626&lt;&gt;"Match","",INDEX(Ventes_Encaissements!$B$6:$B$3005,_xludf.AGGREGATE(15,6,(ROW(Ventes_Encaissements!$B$6:$B$3005)-ROW(Ventes_Encaissements!$B$6)+1)/((Ventes_Encaissements!$E$6:$E$3005=$B1626)*(Ventes_Encaissements!$J$6:$J$3005=$G1626)*(Ventes_Encaissements!$C$6:$C$3005&gt;=$C1626-3)*(Ventes_Encaissements!$C$6:$C$3005&lt;=$C1626+3)),1)))</f>
        <v/>
      </c>
      <c r="K1626" s="6" t="n"/>
    </row>
    <row r="1627">
      <c r="A1627" s="6" t="n"/>
      <c r="B1627" s="6" t="n"/>
      <c r="C1627" s="19" t="n"/>
      <c r="D1627" s="19" t="n"/>
      <c r="E1627" s="6" t="n"/>
      <c r="F1627" s="20" t="n"/>
      <c r="G1627" s="9">
        <f>IF($F1627="","",IF($F1627&gt;0,ROUND($F1627,2),""))</f>
        <v/>
      </c>
      <c r="H1627" s="12">
        <f>IF(OR($B1627="",$C1627="",$G1627=""),"",COUNTIFS(Ventes_Encaissements!$E$6:$E$3005,$B1627,Ventes_Encaissements!$J$6:$J$3005,$G1627,Ventes_Encaissements!$C$6:$C$3005,"&gt;="&amp;($C1627-3),Ventes_Encaissements!$C$6:$C$3005,"&lt;="&amp;($C1627+3)))</f>
        <v/>
      </c>
      <c r="I1627" s="12">
        <f>IF($H1627="","",IF($H1627=0,"Non trouvé",IF($H1627=1,"Match","À vérifier")))</f>
        <v/>
      </c>
      <c r="J1627" s="21">
        <f>IF($I1627&lt;&gt;"Match","",INDEX(Ventes_Encaissements!$B$6:$B$3005,_xludf.AGGREGATE(15,6,(ROW(Ventes_Encaissements!$B$6:$B$3005)-ROW(Ventes_Encaissements!$B$6)+1)/((Ventes_Encaissements!$E$6:$E$3005=$B1627)*(Ventes_Encaissements!$J$6:$J$3005=$G1627)*(Ventes_Encaissements!$C$6:$C$3005&gt;=$C1627-3)*(Ventes_Encaissements!$C$6:$C$3005&lt;=$C1627+3)),1)))</f>
        <v/>
      </c>
      <c r="K1627" s="6" t="n"/>
    </row>
    <row r="1628">
      <c r="A1628" s="6" t="n"/>
      <c r="B1628" s="6" t="n"/>
      <c r="C1628" s="19" t="n"/>
      <c r="D1628" s="19" t="n"/>
      <c r="E1628" s="6" t="n"/>
      <c r="F1628" s="20" t="n"/>
      <c r="G1628" s="9">
        <f>IF($F1628="","",IF($F1628&gt;0,ROUND($F1628,2),""))</f>
        <v/>
      </c>
      <c r="H1628" s="12">
        <f>IF(OR($B1628="",$C1628="",$G1628=""),"",COUNTIFS(Ventes_Encaissements!$E$6:$E$3005,$B1628,Ventes_Encaissements!$J$6:$J$3005,$G1628,Ventes_Encaissements!$C$6:$C$3005,"&gt;="&amp;($C1628-3),Ventes_Encaissements!$C$6:$C$3005,"&lt;="&amp;($C1628+3)))</f>
        <v/>
      </c>
      <c r="I1628" s="12">
        <f>IF($H1628="","",IF($H1628=0,"Non trouvé",IF($H1628=1,"Match","À vérifier")))</f>
        <v/>
      </c>
      <c r="J1628" s="21">
        <f>IF($I1628&lt;&gt;"Match","",INDEX(Ventes_Encaissements!$B$6:$B$3005,_xludf.AGGREGATE(15,6,(ROW(Ventes_Encaissements!$B$6:$B$3005)-ROW(Ventes_Encaissements!$B$6)+1)/((Ventes_Encaissements!$E$6:$E$3005=$B1628)*(Ventes_Encaissements!$J$6:$J$3005=$G1628)*(Ventes_Encaissements!$C$6:$C$3005&gt;=$C1628-3)*(Ventes_Encaissements!$C$6:$C$3005&lt;=$C1628+3)),1)))</f>
        <v/>
      </c>
      <c r="K1628" s="6" t="n"/>
    </row>
    <row r="1629">
      <c r="A1629" s="6" t="n"/>
      <c r="B1629" s="6" t="n"/>
      <c r="C1629" s="19" t="n"/>
      <c r="D1629" s="19" t="n"/>
      <c r="E1629" s="6" t="n"/>
      <c r="F1629" s="20" t="n"/>
      <c r="G1629" s="9">
        <f>IF($F1629="","",IF($F1629&gt;0,ROUND($F1629,2),""))</f>
        <v/>
      </c>
      <c r="H1629" s="12">
        <f>IF(OR($B1629="",$C1629="",$G1629=""),"",COUNTIFS(Ventes_Encaissements!$E$6:$E$3005,$B1629,Ventes_Encaissements!$J$6:$J$3005,$G1629,Ventes_Encaissements!$C$6:$C$3005,"&gt;="&amp;($C1629-3),Ventes_Encaissements!$C$6:$C$3005,"&lt;="&amp;($C1629+3)))</f>
        <v/>
      </c>
      <c r="I1629" s="12">
        <f>IF($H1629="","",IF($H1629=0,"Non trouvé",IF($H1629=1,"Match","À vérifier")))</f>
        <v/>
      </c>
      <c r="J1629" s="21">
        <f>IF($I1629&lt;&gt;"Match","",INDEX(Ventes_Encaissements!$B$6:$B$3005,_xludf.AGGREGATE(15,6,(ROW(Ventes_Encaissements!$B$6:$B$3005)-ROW(Ventes_Encaissements!$B$6)+1)/((Ventes_Encaissements!$E$6:$E$3005=$B1629)*(Ventes_Encaissements!$J$6:$J$3005=$G1629)*(Ventes_Encaissements!$C$6:$C$3005&gt;=$C1629-3)*(Ventes_Encaissements!$C$6:$C$3005&lt;=$C1629+3)),1)))</f>
        <v/>
      </c>
      <c r="K1629" s="6" t="n"/>
    </row>
    <row r="1630">
      <c r="A1630" s="6" t="n"/>
      <c r="B1630" s="6" t="n"/>
      <c r="C1630" s="19" t="n"/>
      <c r="D1630" s="19" t="n"/>
      <c r="E1630" s="6" t="n"/>
      <c r="F1630" s="20" t="n"/>
      <c r="G1630" s="9">
        <f>IF($F1630="","",IF($F1630&gt;0,ROUND($F1630,2),""))</f>
        <v/>
      </c>
      <c r="H1630" s="12">
        <f>IF(OR($B1630="",$C1630="",$G1630=""),"",COUNTIFS(Ventes_Encaissements!$E$6:$E$3005,$B1630,Ventes_Encaissements!$J$6:$J$3005,$G1630,Ventes_Encaissements!$C$6:$C$3005,"&gt;="&amp;($C1630-3),Ventes_Encaissements!$C$6:$C$3005,"&lt;="&amp;($C1630+3)))</f>
        <v/>
      </c>
      <c r="I1630" s="12">
        <f>IF($H1630="","",IF($H1630=0,"Non trouvé",IF($H1630=1,"Match","À vérifier")))</f>
        <v/>
      </c>
      <c r="J1630" s="21">
        <f>IF($I1630&lt;&gt;"Match","",INDEX(Ventes_Encaissements!$B$6:$B$3005,_xludf.AGGREGATE(15,6,(ROW(Ventes_Encaissements!$B$6:$B$3005)-ROW(Ventes_Encaissements!$B$6)+1)/((Ventes_Encaissements!$E$6:$E$3005=$B1630)*(Ventes_Encaissements!$J$6:$J$3005=$G1630)*(Ventes_Encaissements!$C$6:$C$3005&gt;=$C1630-3)*(Ventes_Encaissements!$C$6:$C$3005&lt;=$C1630+3)),1)))</f>
        <v/>
      </c>
      <c r="K1630" s="6" t="n"/>
    </row>
    <row r="1631">
      <c r="A1631" s="6" t="n"/>
      <c r="B1631" s="6" t="n"/>
      <c r="C1631" s="19" t="n"/>
      <c r="D1631" s="19" t="n"/>
      <c r="E1631" s="6" t="n"/>
      <c r="F1631" s="20" t="n"/>
      <c r="G1631" s="9">
        <f>IF($F1631="","",IF($F1631&gt;0,ROUND($F1631,2),""))</f>
        <v/>
      </c>
      <c r="H1631" s="12">
        <f>IF(OR($B1631="",$C1631="",$G1631=""),"",COUNTIFS(Ventes_Encaissements!$E$6:$E$3005,$B1631,Ventes_Encaissements!$J$6:$J$3005,$G1631,Ventes_Encaissements!$C$6:$C$3005,"&gt;="&amp;($C1631-3),Ventes_Encaissements!$C$6:$C$3005,"&lt;="&amp;($C1631+3)))</f>
        <v/>
      </c>
      <c r="I1631" s="12">
        <f>IF($H1631="","",IF($H1631=0,"Non trouvé",IF($H1631=1,"Match","À vérifier")))</f>
        <v/>
      </c>
      <c r="J1631" s="21">
        <f>IF($I1631&lt;&gt;"Match","",INDEX(Ventes_Encaissements!$B$6:$B$3005,_xludf.AGGREGATE(15,6,(ROW(Ventes_Encaissements!$B$6:$B$3005)-ROW(Ventes_Encaissements!$B$6)+1)/((Ventes_Encaissements!$E$6:$E$3005=$B1631)*(Ventes_Encaissements!$J$6:$J$3005=$G1631)*(Ventes_Encaissements!$C$6:$C$3005&gt;=$C1631-3)*(Ventes_Encaissements!$C$6:$C$3005&lt;=$C1631+3)),1)))</f>
        <v/>
      </c>
      <c r="K1631" s="6" t="n"/>
    </row>
    <row r="1632">
      <c r="A1632" s="6" t="n"/>
      <c r="B1632" s="6" t="n"/>
      <c r="C1632" s="19" t="n"/>
      <c r="D1632" s="19" t="n"/>
      <c r="E1632" s="6" t="n"/>
      <c r="F1632" s="20" t="n"/>
      <c r="G1632" s="9">
        <f>IF($F1632="","",IF($F1632&gt;0,ROUND($F1632,2),""))</f>
        <v/>
      </c>
      <c r="H1632" s="12">
        <f>IF(OR($B1632="",$C1632="",$G1632=""),"",COUNTIFS(Ventes_Encaissements!$E$6:$E$3005,$B1632,Ventes_Encaissements!$J$6:$J$3005,$G1632,Ventes_Encaissements!$C$6:$C$3005,"&gt;="&amp;($C1632-3),Ventes_Encaissements!$C$6:$C$3005,"&lt;="&amp;($C1632+3)))</f>
        <v/>
      </c>
      <c r="I1632" s="12">
        <f>IF($H1632="","",IF($H1632=0,"Non trouvé",IF($H1632=1,"Match","À vérifier")))</f>
        <v/>
      </c>
      <c r="J1632" s="21">
        <f>IF($I1632&lt;&gt;"Match","",INDEX(Ventes_Encaissements!$B$6:$B$3005,_xludf.AGGREGATE(15,6,(ROW(Ventes_Encaissements!$B$6:$B$3005)-ROW(Ventes_Encaissements!$B$6)+1)/((Ventes_Encaissements!$E$6:$E$3005=$B1632)*(Ventes_Encaissements!$J$6:$J$3005=$G1632)*(Ventes_Encaissements!$C$6:$C$3005&gt;=$C1632-3)*(Ventes_Encaissements!$C$6:$C$3005&lt;=$C1632+3)),1)))</f>
        <v/>
      </c>
      <c r="K1632" s="6" t="n"/>
    </row>
    <row r="1633">
      <c r="A1633" s="6" t="n"/>
      <c r="B1633" s="6" t="n"/>
      <c r="C1633" s="19" t="n"/>
      <c r="D1633" s="19" t="n"/>
      <c r="E1633" s="6" t="n"/>
      <c r="F1633" s="20" t="n"/>
      <c r="G1633" s="9">
        <f>IF($F1633="","",IF($F1633&gt;0,ROUND($F1633,2),""))</f>
        <v/>
      </c>
      <c r="H1633" s="12">
        <f>IF(OR($B1633="",$C1633="",$G1633=""),"",COUNTIFS(Ventes_Encaissements!$E$6:$E$3005,$B1633,Ventes_Encaissements!$J$6:$J$3005,$G1633,Ventes_Encaissements!$C$6:$C$3005,"&gt;="&amp;($C1633-3),Ventes_Encaissements!$C$6:$C$3005,"&lt;="&amp;($C1633+3)))</f>
        <v/>
      </c>
      <c r="I1633" s="12">
        <f>IF($H1633="","",IF($H1633=0,"Non trouvé",IF($H1633=1,"Match","À vérifier")))</f>
        <v/>
      </c>
      <c r="J1633" s="21">
        <f>IF($I1633&lt;&gt;"Match","",INDEX(Ventes_Encaissements!$B$6:$B$3005,_xludf.AGGREGATE(15,6,(ROW(Ventes_Encaissements!$B$6:$B$3005)-ROW(Ventes_Encaissements!$B$6)+1)/((Ventes_Encaissements!$E$6:$E$3005=$B1633)*(Ventes_Encaissements!$J$6:$J$3005=$G1633)*(Ventes_Encaissements!$C$6:$C$3005&gt;=$C1633-3)*(Ventes_Encaissements!$C$6:$C$3005&lt;=$C1633+3)),1)))</f>
        <v/>
      </c>
      <c r="K1633" s="6" t="n"/>
    </row>
    <row r="1634">
      <c r="A1634" s="6" t="n"/>
      <c r="B1634" s="6" t="n"/>
      <c r="C1634" s="19" t="n"/>
      <c r="D1634" s="19" t="n"/>
      <c r="E1634" s="6" t="n"/>
      <c r="F1634" s="20" t="n"/>
      <c r="G1634" s="9">
        <f>IF($F1634="","",IF($F1634&gt;0,ROUND($F1634,2),""))</f>
        <v/>
      </c>
      <c r="H1634" s="12">
        <f>IF(OR($B1634="",$C1634="",$G1634=""),"",COUNTIFS(Ventes_Encaissements!$E$6:$E$3005,$B1634,Ventes_Encaissements!$J$6:$J$3005,$G1634,Ventes_Encaissements!$C$6:$C$3005,"&gt;="&amp;($C1634-3),Ventes_Encaissements!$C$6:$C$3005,"&lt;="&amp;($C1634+3)))</f>
        <v/>
      </c>
      <c r="I1634" s="12">
        <f>IF($H1634="","",IF($H1634=0,"Non trouvé",IF($H1634=1,"Match","À vérifier")))</f>
        <v/>
      </c>
      <c r="J1634" s="21">
        <f>IF($I1634&lt;&gt;"Match","",INDEX(Ventes_Encaissements!$B$6:$B$3005,_xludf.AGGREGATE(15,6,(ROW(Ventes_Encaissements!$B$6:$B$3005)-ROW(Ventes_Encaissements!$B$6)+1)/((Ventes_Encaissements!$E$6:$E$3005=$B1634)*(Ventes_Encaissements!$J$6:$J$3005=$G1634)*(Ventes_Encaissements!$C$6:$C$3005&gt;=$C1634-3)*(Ventes_Encaissements!$C$6:$C$3005&lt;=$C1634+3)),1)))</f>
        <v/>
      </c>
      <c r="K1634" s="6" t="n"/>
    </row>
    <row r="1635">
      <c r="A1635" s="6" t="n"/>
      <c r="B1635" s="6" t="n"/>
      <c r="C1635" s="19" t="n"/>
      <c r="D1635" s="19" t="n"/>
      <c r="E1635" s="6" t="n"/>
      <c r="F1635" s="20" t="n"/>
      <c r="G1635" s="9">
        <f>IF($F1635="","",IF($F1635&gt;0,ROUND($F1635,2),""))</f>
        <v/>
      </c>
      <c r="H1635" s="12">
        <f>IF(OR($B1635="",$C1635="",$G1635=""),"",COUNTIFS(Ventes_Encaissements!$E$6:$E$3005,$B1635,Ventes_Encaissements!$J$6:$J$3005,$G1635,Ventes_Encaissements!$C$6:$C$3005,"&gt;="&amp;($C1635-3),Ventes_Encaissements!$C$6:$C$3005,"&lt;="&amp;($C1635+3)))</f>
        <v/>
      </c>
      <c r="I1635" s="12">
        <f>IF($H1635="","",IF($H1635=0,"Non trouvé",IF($H1635=1,"Match","À vérifier")))</f>
        <v/>
      </c>
      <c r="J1635" s="21">
        <f>IF($I1635&lt;&gt;"Match","",INDEX(Ventes_Encaissements!$B$6:$B$3005,_xludf.AGGREGATE(15,6,(ROW(Ventes_Encaissements!$B$6:$B$3005)-ROW(Ventes_Encaissements!$B$6)+1)/((Ventes_Encaissements!$E$6:$E$3005=$B1635)*(Ventes_Encaissements!$J$6:$J$3005=$G1635)*(Ventes_Encaissements!$C$6:$C$3005&gt;=$C1635-3)*(Ventes_Encaissements!$C$6:$C$3005&lt;=$C1635+3)),1)))</f>
        <v/>
      </c>
      <c r="K1635" s="6" t="n"/>
    </row>
    <row r="1636">
      <c r="A1636" s="6" t="n"/>
      <c r="B1636" s="6" t="n"/>
      <c r="C1636" s="19" t="n"/>
      <c r="D1636" s="19" t="n"/>
      <c r="E1636" s="6" t="n"/>
      <c r="F1636" s="20" t="n"/>
      <c r="G1636" s="9">
        <f>IF($F1636="","",IF($F1636&gt;0,ROUND($F1636,2),""))</f>
        <v/>
      </c>
      <c r="H1636" s="12">
        <f>IF(OR($B1636="",$C1636="",$G1636=""),"",COUNTIFS(Ventes_Encaissements!$E$6:$E$3005,$B1636,Ventes_Encaissements!$J$6:$J$3005,$G1636,Ventes_Encaissements!$C$6:$C$3005,"&gt;="&amp;($C1636-3),Ventes_Encaissements!$C$6:$C$3005,"&lt;="&amp;($C1636+3)))</f>
        <v/>
      </c>
      <c r="I1636" s="12">
        <f>IF($H1636="","",IF($H1636=0,"Non trouvé",IF($H1636=1,"Match","À vérifier")))</f>
        <v/>
      </c>
      <c r="J1636" s="21">
        <f>IF($I1636&lt;&gt;"Match","",INDEX(Ventes_Encaissements!$B$6:$B$3005,_xludf.AGGREGATE(15,6,(ROW(Ventes_Encaissements!$B$6:$B$3005)-ROW(Ventes_Encaissements!$B$6)+1)/((Ventes_Encaissements!$E$6:$E$3005=$B1636)*(Ventes_Encaissements!$J$6:$J$3005=$G1636)*(Ventes_Encaissements!$C$6:$C$3005&gt;=$C1636-3)*(Ventes_Encaissements!$C$6:$C$3005&lt;=$C1636+3)),1)))</f>
        <v/>
      </c>
      <c r="K1636" s="6" t="n"/>
    </row>
    <row r="1637">
      <c r="A1637" s="6" t="n"/>
      <c r="B1637" s="6" t="n"/>
      <c r="C1637" s="19" t="n"/>
      <c r="D1637" s="19" t="n"/>
      <c r="E1637" s="6" t="n"/>
      <c r="F1637" s="20" t="n"/>
      <c r="G1637" s="9">
        <f>IF($F1637="","",IF($F1637&gt;0,ROUND($F1637,2),""))</f>
        <v/>
      </c>
      <c r="H1637" s="12">
        <f>IF(OR($B1637="",$C1637="",$G1637=""),"",COUNTIFS(Ventes_Encaissements!$E$6:$E$3005,$B1637,Ventes_Encaissements!$J$6:$J$3005,$G1637,Ventes_Encaissements!$C$6:$C$3005,"&gt;="&amp;($C1637-3),Ventes_Encaissements!$C$6:$C$3005,"&lt;="&amp;($C1637+3)))</f>
        <v/>
      </c>
      <c r="I1637" s="12">
        <f>IF($H1637="","",IF($H1637=0,"Non trouvé",IF($H1637=1,"Match","À vérifier")))</f>
        <v/>
      </c>
      <c r="J1637" s="21">
        <f>IF($I1637&lt;&gt;"Match","",INDEX(Ventes_Encaissements!$B$6:$B$3005,_xludf.AGGREGATE(15,6,(ROW(Ventes_Encaissements!$B$6:$B$3005)-ROW(Ventes_Encaissements!$B$6)+1)/((Ventes_Encaissements!$E$6:$E$3005=$B1637)*(Ventes_Encaissements!$J$6:$J$3005=$G1637)*(Ventes_Encaissements!$C$6:$C$3005&gt;=$C1637-3)*(Ventes_Encaissements!$C$6:$C$3005&lt;=$C1637+3)),1)))</f>
        <v/>
      </c>
      <c r="K1637" s="6" t="n"/>
    </row>
    <row r="1638">
      <c r="A1638" s="6" t="n"/>
      <c r="B1638" s="6" t="n"/>
      <c r="C1638" s="19" t="n"/>
      <c r="D1638" s="19" t="n"/>
      <c r="E1638" s="6" t="n"/>
      <c r="F1638" s="20" t="n"/>
      <c r="G1638" s="9">
        <f>IF($F1638="","",IF($F1638&gt;0,ROUND($F1638,2),""))</f>
        <v/>
      </c>
      <c r="H1638" s="12">
        <f>IF(OR($B1638="",$C1638="",$G1638=""),"",COUNTIFS(Ventes_Encaissements!$E$6:$E$3005,$B1638,Ventes_Encaissements!$J$6:$J$3005,$G1638,Ventes_Encaissements!$C$6:$C$3005,"&gt;="&amp;($C1638-3),Ventes_Encaissements!$C$6:$C$3005,"&lt;="&amp;($C1638+3)))</f>
        <v/>
      </c>
      <c r="I1638" s="12">
        <f>IF($H1638="","",IF($H1638=0,"Non trouvé",IF($H1638=1,"Match","À vérifier")))</f>
        <v/>
      </c>
      <c r="J1638" s="21">
        <f>IF($I1638&lt;&gt;"Match","",INDEX(Ventes_Encaissements!$B$6:$B$3005,_xludf.AGGREGATE(15,6,(ROW(Ventes_Encaissements!$B$6:$B$3005)-ROW(Ventes_Encaissements!$B$6)+1)/((Ventes_Encaissements!$E$6:$E$3005=$B1638)*(Ventes_Encaissements!$J$6:$J$3005=$G1638)*(Ventes_Encaissements!$C$6:$C$3005&gt;=$C1638-3)*(Ventes_Encaissements!$C$6:$C$3005&lt;=$C1638+3)),1)))</f>
        <v/>
      </c>
      <c r="K1638" s="6" t="n"/>
    </row>
    <row r="1639">
      <c r="A1639" s="6" t="n"/>
      <c r="B1639" s="6" t="n"/>
      <c r="C1639" s="19" t="n"/>
      <c r="D1639" s="19" t="n"/>
      <c r="E1639" s="6" t="n"/>
      <c r="F1639" s="20" t="n"/>
      <c r="G1639" s="9">
        <f>IF($F1639="","",IF($F1639&gt;0,ROUND($F1639,2),""))</f>
        <v/>
      </c>
      <c r="H1639" s="12">
        <f>IF(OR($B1639="",$C1639="",$G1639=""),"",COUNTIFS(Ventes_Encaissements!$E$6:$E$3005,$B1639,Ventes_Encaissements!$J$6:$J$3005,$G1639,Ventes_Encaissements!$C$6:$C$3005,"&gt;="&amp;($C1639-3),Ventes_Encaissements!$C$6:$C$3005,"&lt;="&amp;($C1639+3)))</f>
        <v/>
      </c>
      <c r="I1639" s="12">
        <f>IF($H1639="","",IF($H1639=0,"Non trouvé",IF($H1639=1,"Match","À vérifier")))</f>
        <v/>
      </c>
      <c r="J1639" s="21">
        <f>IF($I1639&lt;&gt;"Match","",INDEX(Ventes_Encaissements!$B$6:$B$3005,_xludf.AGGREGATE(15,6,(ROW(Ventes_Encaissements!$B$6:$B$3005)-ROW(Ventes_Encaissements!$B$6)+1)/((Ventes_Encaissements!$E$6:$E$3005=$B1639)*(Ventes_Encaissements!$J$6:$J$3005=$G1639)*(Ventes_Encaissements!$C$6:$C$3005&gt;=$C1639-3)*(Ventes_Encaissements!$C$6:$C$3005&lt;=$C1639+3)),1)))</f>
        <v/>
      </c>
      <c r="K1639" s="6" t="n"/>
    </row>
    <row r="1640">
      <c r="A1640" s="6" t="n"/>
      <c r="B1640" s="6" t="n"/>
      <c r="C1640" s="19" t="n"/>
      <c r="D1640" s="19" t="n"/>
      <c r="E1640" s="6" t="n"/>
      <c r="F1640" s="20" t="n"/>
      <c r="G1640" s="9">
        <f>IF($F1640="","",IF($F1640&gt;0,ROUND($F1640,2),""))</f>
        <v/>
      </c>
      <c r="H1640" s="12">
        <f>IF(OR($B1640="",$C1640="",$G1640=""),"",COUNTIFS(Ventes_Encaissements!$E$6:$E$3005,$B1640,Ventes_Encaissements!$J$6:$J$3005,$G1640,Ventes_Encaissements!$C$6:$C$3005,"&gt;="&amp;($C1640-3),Ventes_Encaissements!$C$6:$C$3005,"&lt;="&amp;($C1640+3)))</f>
        <v/>
      </c>
      <c r="I1640" s="12">
        <f>IF($H1640="","",IF($H1640=0,"Non trouvé",IF($H1640=1,"Match","À vérifier")))</f>
        <v/>
      </c>
      <c r="J1640" s="21">
        <f>IF($I1640&lt;&gt;"Match","",INDEX(Ventes_Encaissements!$B$6:$B$3005,_xludf.AGGREGATE(15,6,(ROW(Ventes_Encaissements!$B$6:$B$3005)-ROW(Ventes_Encaissements!$B$6)+1)/((Ventes_Encaissements!$E$6:$E$3005=$B1640)*(Ventes_Encaissements!$J$6:$J$3005=$G1640)*(Ventes_Encaissements!$C$6:$C$3005&gt;=$C1640-3)*(Ventes_Encaissements!$C$6:$C$3005&lt;=$C1640+3)),1)))</f>
        <v/>
      </c>
      <c r="K1640" s="6" t="n"/>
    </row>
    <row r="1641">
      <c r="A1641" s="6" t="n"/>
      <c r="B1641" s="6" t="n"/>
      <c r="C1641" s="19" t="n"/>
      <c r="D1641" s="19" t="n"/>
      <c r="E1641" s="6" t="n"/>
      <c r="F1641" s="20" t="n"/>
      <c r="G1641" s="9">
        <f>IF($F1641="","",IF($F1641&gt;0,ROUND($F1641,2),""))</f>
        <v/>
      </c>
      <c r="H1641" s="12">
        <f>IF(OR($B1641="",$C1641="",$G1641=""),"",COUNTIFS(Ventes_Encaissements!$E$6:$E$3005,$B1641,Ventes_Encaissements!$J$6:$J$3005,$G1641,Ventes_Encaissements!$C$6:$C$3005,"&gt;="&amp;($C1641-3),Ventes_Encaissements!$C$6:$C$3005,"&lt;="&amp;($C1641+3)))</f>
        <v/>
      </c>
      <c r="I1641" s="12">
        <f>IF($H1641="","",IF($H1641=0,"Non trouvé",IF($H1641=1,"Match","À vérifier")))</f>
        <v/>
      </c>
      <c r="J1641" s="21">
        <f>IF($I1641&lt;&gt;"Match","",INDEX(Ventes_Encaissements!$B$6:$B$3005,_xludf.AGGREGATE(15,6,(ROW(Ventes_Encaissements!$B$6:$B$3005)-ROW(Ventes_Encaissements!$B$6)+1)/((Ventes_Encaissements!$E$6:$E$3005=$B1641)*(Ventes_Encaissements!$J$6:$J$3005=$G1641)*(Ventes_Encaissements!$C$6:$C$3005&gt;=$C1641-3)*(Ventes_Encaissements!$C$6:$C$3005&lt;=$C1641+3)),1)))</f>
        <v/>
      </c>
      <c r="K1641" s="6" t="n"/>
    </row>
    <row r="1642">
      <c r="A1642" s="6" t="n"/>
      <c r="B1642" s="6" t="n"/>
      <c r="C1642" s="19" t="n"/>
      <c r="D1642" s="19" t="n"/>
      <c r="E1642" s="6" t="n"/>
      <c r="F1642" s="20" t="n"/>
      <c r="G1642" s="9">
        <f>IF($F1642="","",IF($F1642&gt;0,ROUND($F1642,2),""))</f>
        <v/>
      </c>
      <c r="H1642" s="12">
        <f>IF(OR($B1642="",$C1642="",$G1642=""),"",COUNTIFS(Ventes_Encaissements!$E$6:$E$3005,$B1642,Ventes_Encaissements!$J$6:$J$3005,$G1642,Ventes_Encaissements!$C$6:$C$3005,"&gt;="&amp;($C1642-3),Ventes_Encaissements!$C$6:$C$3005,"&lt;="&amp;($C1642+3)))</f>
        <v/>
      </c>
      <c r="I1642" s="12">
        <f>IF($H1642="","",IF($H1642=0,"Non trouvé",IF($H1642=1,"Match","À vérifier")))</f>
        <v/>
      </c>
      <c r="J1642" s="21">
        <f>IF($I1642&lt;&gt;"Match","",INDEX(Ventes_Encaissements!$B$6:$B$3005,_xludf.AGGREGATE(15,6,(ROW(Ventes_Encaissements!$B$6:$B$3005)-ROW(Ventes_Encaissements!$B$6)+1)/((Ventes_Encaissements!$E$6:$E$3005=$B1642)*(Ventes_Encaissements!$J$6:$J$3005=$G1642)*(Ventes_Encaissements!$C$6:$C$3005&gt;=$C1642-3)*(Ventes_Encaissements!$C$6:$C$3005&lt;=$C1642+3)),1)))</f>
        <v/>
      </c>
      <c r="K1642" s="6" t="n"/>
    </row>
    <row r="1643">
      <c r="A1643" s="6" t="n"/>
      <c r="B1643" s="6" t="n"/>
      <c r="C1643" s="19" t="n"/>
      <c r="D1643" s="19" t="n"/>
      <c r="E1643" s="6" t="n"/>
      <c r="F1643" s="20" t="n"/>
      <c r="G1643" s="9">
        <f>IF($F1643="","",IF($F1643&gt;0,ROUND($F1643,2),""))</f>
        <v/>
      </c>
      <c r="H1643" s="12">
        <f>IF(OR($B1643="",$C1643="",$G1643=""),"",COUNTIFS(Ventes_Encaissements!$E$6:$E$3005,$B1643,Ventes_Encaissements!$J$6:$J$3005,$G1643,Ventes_Encaissements!$C$6:$C$3005,"&gt;="&amp;($C1643-3),Ventes_Encaissements!$C$6:$C$3005,"&lt;="&amp;($C1643+3)))</f>
        <v/>
      </c>
      <c r="I1643" s="12">
        <f>IF($H1643="","",IF($H1643=0,"Non trouvé",IF($H1643=1,"Match","À vérifier")))</f>
        <v/>
      </c>
      <c r="J1643" s="21">
        <f>IF($I1643&lt;&gt;"Match","",INDEX(Ventes_Encaissements!$B$6:$B$3005,_xludf.AGGREGATE(15,6,(ROW(Ventes_Encaissements!$B$6:$B$3005)-ROW(Ventes_Encaissements!$B$6)+1)/((Ventes_Encaissements!$E$6:$E$3005=$B1643)*(Ventes_Encaissements!$J$6:$J$3005=$G1643)*(Ventes_Encaissements!$C$6:$C$3005&gt;=$C1643-3)*(Ventes_Encaissements!$C$6:$C$3005&lt;=$C1643+3)),1)))</f>
        <v/>
      </c>
      <c r="K1643" s="6" t="n"/>
    </row>
    <row r="1644">
      <c r="A1644" s="6" t="n"/>
      <c r="B1644" s="6" t="n"/>
      <c r="C1644" s="19" t="n"/>
      <c r="D1644" s="19" t="n"/>
      <c r="E1644" s="6" t="n"/>
      <c r="F1644" s="20" t="n"/>
      <c r="G1644" s="9">
        <f>IF($F1644="","",IF($F1644&gt;0,ROUND($F1644,2),""))</f>
        <v/>
      </c>
      <c r="H1644" s="12">
        <f>IF(OR($B1644="",$C1644="",$G1644=""),"",COUNTIFS(Ventes_Encaissements!$E$6:$E$3005,$B1644,Ventes_Encaissements!$J$6:$J$3005,$G1644,Ventes_Encaissements!$C$6:$C$3005,"&gt;="&amp;($C1644-3),Ventes_Encaissements!$C$6:$C$3005,"&lt;="&amp;($C1644+3)))</f>
        <v/>
      </c>
      <c r="I1644" s="12">
        <f>IF($H1644="","",IF($H1644=0,"Non trouvé",IF($H1644=1,"Match","À vérifier")))</f>
        <v/>
      </c>
      <c r="J1644" s="21">
        <f>IF($I1644&lt;&gt;"Match","",INDEX(Ventes_Encaissements!$B$6:$B$3005,_xludf.AGGREGATE(15,6,(ROW(Ventes_Encaissements!$B$6:$B$3005)-ROW(Ventes_Encaissements!$B$6)+1)/((Ventes_Encaissements!$E$6:$E$3005=$B1644)*(Ventes_Encaissements!$J$6:$J$3005=$G1644)*(Ventes_Encaissements!$C$6:$C$3005&gt;=$C1644-3)*(Ventes_Encaissements!$C$6:$C$3005&lt;=$C1644+3)),1)))</f>
        <v/>
      </c>
      <c r="K1644" s="6" t="n"/>
    </row>
    <row r="1645">
      <c r="A1645" s="6" t="n"/>
      <c r="B1645" s="6" t="n"/>
      <c r="C1645" s="19" t="n"/>
      <c r="D1645" s="19" t="n"/>
      <c r="E1645" s="6" t="n"/>
      <c r="F1645" s="20" t="n"/>
      <c r="G1645" s="9">
        <f>IF($F1645="","",IF($F1645&gt;0,ROUND($F1645,2),""))</f>
        <v/>
      </c>
      <c r="H1645" s="12">
        <f>IF(OR($B1645="",$C1645="",$G1645=""),"",COUNTIFS(Ventes_Encaissements!$E$6:$E$3005,$B1645,Ventes_Encaissements!$J$6:$J$3005,$G1645,Ventes_Encaissements!$C$6:$C$3005,"&gt;="&amp;($C1645-3),Ventes_Encaissements!$C$6:$C$3005,"&lt;="&amp;($C1645+3)))</f>
        <v/>
      </c>
      <c r="I1645" s="12">
        <f>IF($H1645="","",IF($H1645=0,"Non trouvé",IF($H1645=1,"Match","À vérifier")))</f>
        <v/>
      </c>
      <c r="J1645" s="21">
        <f>IF($I1645&lt;&gt;"Match","",INDEX(Ventes_Encaissements!$B$6:$B$3005,_xludf.AGGREGATE(15,6,(ROW(Ventes_Encaissements!$B$6:$B$3005)-ROW(Ventes_Encaissements!$B$6)+1)/((Ventes_Encaissements!$E$6:$E$3005=$B1645)*(Ventes_Encaissements!$J$6:$J$3005=$G1645)*(Ventes_Encaissements!$C$6:$C$3005&gt;=$C1645-3)*(Ventes_Encaissements!$C$6:$C$3005&lt;=$C1645+3)),1)))</f>
        <v/>
      </c>
      <c r="K1645" s="6" t="n"/>
    </row>
    <row r="1646">
      <c r="A1646" s="6" t="n"/>
      <c r="B1646" s="6" t="n"/>
      <c r="C1646" s="19" t="n"/>
      <c r="D1646" s="19" t="n"/>
      <c r="E1646" s="6" t="n"/>
      <c r="F1646" s="20" t="n"/>
      <c r="G1646" s="9">
        <f>IF($F1646="","",IF($F1646&gt;0,ROUND($F1646,2),""))</f>
        <v/>
      </c>
      <c r="H1646" s="12">
        <f>IF(OR($B1646="",$C1646="",$G1646=""),"",COUNTIFS(Ventes_Encaissements!$E$6:$E$3005,$B1646,Ventes_Encaissements!$J$6:$J$3005,$G1646,Ventes_Encaissements!$C$6:$C$3005,"&gt;="&amp;($C1646-3),Ventes_Encaissements!$C$6:$C$3005,"&lt;="&amp;($C1646+3)))</f>
        <v/>
      </c>
      <c r="I1646" s="12">
        <f>IF($H1646="","",IF($H1646=0,"Non trouvé",IF($H1646=1,"Match","À vérifier")))</f>
        <v/>
      </c>
      <c r="J1646" s="21">
        <f>IF($I1646&lt;&gt;"Match","",INDEX(Ventes_Encaissements!$B$6:$B$3005,_xludf.AGGREGATE(15,6,(ROW(Ventes_Encaissements!$B$6:$B$3005)-ROW(Ventes_Encaissements!$B$6)+1)/((Ventes_Encaissements!$E$6:$E$3005=$B1646)*(Ventes_Encaissements!$J$6:$J$3005=$G1646)*(Ventes_Encaissements!$C$6:$C$3005&gt;=$C1646-3)*(Ventes_Encaissements!$C$6:$C$3005&lt;=$C1646+3)),1)))</f>
        <v/>
      </c>
      <c r="K1646" s="6" t="n"/>
    </row>
    <row r="1647">
      <c r="A1647" s="6" t="n"/>
      <c r="B1647" s="6" t="n"/>
      <c r="C1647" s="19" t="n"/>
      <c r="D1647" s="19" t="n"/>
      <c r="E1647" s="6" t="n"/>
      <c r="F1647" s="20" t="n"/>
      <c r="G1647" s="9">
        <f>IF($F1647="","",IF($F1647&gt;0,ROUND($F1647,2),""))</f>
        <v/>
      </c>
      <c r="H1647" s="12">
        <f>IF(OR($B1647="",$C1647="",$G1647=""),"",COUNTIFS(Ventes_Encaissements!$E$6:$E$3005,$B1647,Ventes_Encaissements!$J$6:$J$3005,$G1647,Ventes_Encaissements!$C$6:$C$3005,"&gt;="&amp;($C1647-3),Ventes_Encaissements!$C$6:$C$3005,"&lt;="&amp;($C1647+3)))</f>
        <v/>
      </c>
      <c r="I1647" s="12">
        <f>IF($H1647="","",IF($H1647=0,"Non trouvé",IF($H1647=1,"Match","À vérifier")))</f>
        <v/>
      </c>
      <c r="J1647" s="21">
        <f>IF($I1647&lt;&gt;"Match","",INDEX(Ventes_Encaissements!$B$6:$B$3005,_xludf.AGGREGATE(15,6,(ROW(Ventes_Encaissements!$B$6:$B$3005)-ROW(Ventes_Encaissements!$B$6)+1)/((Ventes_Encaissements!$E$6:$E$3005=$B1647)*(Ventes_Encaissements!$J$6:$J$3005=$G1647)*(Ventes_Encaissements!$C$6:$C$3005&gt;=$C1647-3)*(Ventes_Encaissements!$C$6:$C$3005&lt;=$C1647+3)),1)))</f>
        <v/>
      </c>
      <c r="K1647" s="6" t="n"/>
    </row>
    <row r="1648">
      <c r="A1648" s="6" t="n"/>
      <c r="B1648" s="6" t="n"/>
      <c r="C1648" s="19" t="n"/>
      <c r="D1648" s="19" t="n"/>
      <c r="E1648" s="6" t="n"/>
      <c r="F1648" s="20" t="n"/>
      <c r="G1648" s="9">
        <f>IF($F1648="","",IF($F1648&gt;0,ROUND($F1648,2),""))</f>
        <v/>
      </c>
      <c r="H1648" s="12">
        <f>IF(OR($B1648="",$C1648="",$G1648=""),"",COUNTIFS(Ventes_Encaissements!$E$6:$E$3005,$B1648,Ventes_Encaissements!$J$6:$J$3005,$G1648,Ventes_Encaissements!$C$6:$C$3005,"&gt;="&amp;($C1648-3),Ventes_Encaissements!$C$6:$C$3005,"&lt;="&amp;($C1648+3)))</f>
        <v/>
      </c>
      <c r="I1648" s="12">
        <f>IF($H1648="","",IF($H1648=0,"Non trouvé",IF($H1648=1,"Match","À vérifier")))</f>
        <v/>
      </c>
      <c r="J1648" s="21">
        <f>IF($I1648&lt;&gt;"Match","",INDEX(Ventes_Encaissements!$B$6:$B$3005,_xludf.AGGREGATE(15,6,(ROW(Ventes_Encaissements!$B$6:$B$3005)-ROW(Ventes_Encaissements!$B$6)+1)/((Ventes_Encaissements!$E$6:$E$3005=$B1648)*(Ventes_Encaissements!$J$6:$J$3005=$G1648)*(Ventes_Encaissements!$C$6:$C$3005&gt;=$C1648-3)*(Ventes_Encaissements!$C$6:$C$3005&lt;=$C1648+3)),1)))</f>
        <v/>
      </c>
      <c r="K1648" s="6" t="n"/>
    </row>
    <row r="1649">
      <c r="A1649" s="6" t="n"/>
      <c r="B1649" s="6" t="n"/>
      <c r="C1649" s="19" t="n"/>
      <c r="D1649" s="19" t="n"/>
      <c r="E1649" s="6" t="n"/>
      <c r="F1649" s="20" t="n"/>
      <c r="G1649" s="9">
        <f>IF($F1649="","",IF($F1649&gt;0,ROUND($F1649,2),""))</f>
        <v/>
      </c>
      <c r="H1649" s="12">
        <f>IF(OR($B1649="",$C1649="",$G1649=""),"",COUNTIFS(Ventes_Encaissements!$E$6:$E$3005,$B1649,Ventes_Encaissements!$J$6:$J$3005,$G1649,Ventes_Encaissements!$C$6:$C$3005,"&gt;="&amp;($C1649-3),Ventes_Encaissements!$C$6:$C$3005,"&lt;="&amp;($C1649+3)))</f>
        <v/>
      </c>
      <c r="I1649" s="12">
        <f>IF($H1649="","",IF($H1649=0,"Non trouvé",IF($H1649=1,"Match","À vérifier")))</f>
        <v/>
      </c>
      <c r="J1649" s="21">
        <f>IF($I1649&lt;&gt;"Match","",INDEX(Ventes_Encaissements!$B$6:$B$3005,_xludf.AGGREGATE(15,6,(ROW(Ventes_Encaissements!$B$6:$B$3005)-ROW(Ventes_Encaissements!$B$6)+1)/((Ventes_Encaissements!$E$6:$E$3005=$B1649)*(Ventes_Encaissements!$J$6:$J$3005=$G1649)*(Ventes_Encaissements!$C$6:$C$3005&gt;=$C1649-3)*(Ventes_Encaissements!$C$6:$C$3005&lt;=$C1649+3)),1)))</f>
        <v/>
      </c>
      <c r="K1649" s="6" t="n"/>
    </row>
    <row r="1650">
      <c r="A1650" s="6" t="n"/>
      <c r="B1650" s="6" t="n"/>
      <c r="C1650" s="19" t="n"/>
      <c r="D1650" s="19" t="n"/>
      <c r="E1650" s="6" t="n"/>
      <c r="F1650" s="20" t="n"/>
      <c r="G1650" s="9">
        <f>IF($F1650="","",IF($F1650&gt;0,ROUND($F1650,2),""))</f>
        <v/>
      </c>
      <c r="H1650" s="12">
        <f>IF(OR($B1650="",$C1650="",$G1650=""),"",COUNTIFS(Ventes_Encaissements!$E$6:$E$3005,$B1650,Ventes_Encaissements!$J$6:$J$3005,$G1650,Ventes_Encaissements!$C$6:$C$3005,"&gt;="&amp;($C1650-3),Ventes_Encaissements!$C$6:$C$3005,"&lt;="&amp;($C1650+3)))</f>
        <v/>
      </c>
      <c r="I1650" s="12">
        <f>IF($H1650="","",IF($H1650=0,"Non trouvé",IF($H1650=1,"Match","À vérifier")))</f>
        <v/>
      </c>
      <c r="J1650" s="21">
        <f>IF($I1650&lt;&gt;"Match","",INDEX(Ventes_Encaissements!$B$6:$B$3005,_xludf.AGGREGATE(15,6,(ROW(Ventes_Encaissements!$B$6:$B$3005)-ROW(Ventes_Encaissements!$B$6)+1)/((Ventes_Encaissements!$E$6:$E$3005=$B1650)*(Ventes_Encaissements!$J$6:$J$3005=$G1650)*(Ventes_Encaissements!$C$6:$C$3005&gt;=$C1650-3)*(Ventes_Encaissements!$C$6:$C$3005&lt;=$C1650+3)),1)))</f>
        <v/>
      </c>
      <c r="K1650" s="6" t="n"/>
    </row>
    <row r="1651">
      <c r="A1651" s="6" t="n"/>
      <c r="B1651" s="6" t="n"/>
      <c r="C1651" s="19" t="n"/>
      <c r="D1651" s="19" t="n"/>
      <c r="E1651" s="6" t="n"/>
      <c r="F1651" s="20" t="n"/>
      <c r="G1651" s="9">
        <f>IF($F1651="","",IF($F1651&gt;0,ROUND($F1651,2),""))</f>
        <v/>
      </c>
      <c r="H1651" s="12">
        <f>IF(OR($B1651="",$C1651="",$G1651=""),"",COUNTIFS(Ventes_Encaissements!$E$6:$E$3005,$B1651,Ventes_Encaissements!$J$6:$J$3005,$G1651,Ventes_Encaissements!$C$6:$C$3005,"&gt;="&amp;($C1651-3),Ventes_Encaissements!$C$6:$C$3005,"&lt;="&amp;($C1651+3)))</f>
        <v/>
      </c>
      <c r="I1651" s="12">
        <f>IF($H1651="","",IF($H1651=0,"Non trouvé",IF($H1651=1,"Match","À vérifier")))</f>
        <v/>
      </c>
      <c r="J1651" s="21">
        <f>IF($I1651&lt;&gt;"Match","",INDEX(Ventes_Encaissements!$B$6:$B$3005,_xludf.AGGREGATE(15,6,(ROW(Ventes_Encaissements!$B$6:$B$3005)-ROW(Ventes_Encaissements!$B$6)+1)/((Ventes_Encaissements!$E$6:$E$3005=$B1651)*(Ventes_Encaissements!$J$6:$J$3005=$G1651)*(Ventes_Encaissements!$C$6:$C$3005&gt;=$C1651-3)*(Ventes_Encaissements!$C$6:$C$3005&lt;=$C1651+3)),1)))</f>
        <v/>
      </c>
      <c r="K1651" s="6" t="n"/>
    </row>
    <row r="1652">
      <c r="A1652" s="6" t="n"/>
      <c r="B1652" s="6" t="n"/>
      <c r="C1652" s="19" t="n"/>
      <c r="D1652" s="19" t="n"/>
      <c r="E1652" s="6" t="n"/>
      <c r="F1652" s="20" t="n"/>
      <c r="G1652" s="9">
        <f>IF($F1652="","",IF($F1652&gt;0,ROUND($F1652,2),""))</f>
        <v/>
      </c>
      <c r="H1652" s="12">
        <f>IF(OR($B1652="",$C1652="",$G1652=""),"",COUNTIFS(Ventes_Encaissements!$E$6:$E$3005,$B1652,Ventes_Encaissements!$J$6:$J$3005,$G1652,Ventes_Encaissements!$C$6:$C$3005,"&gt;="&amp;($C1652-3),Ventes_Encaissements!$C$6:$C$3005,"&lt;="&amp;($C1652+3)))</f>
        <v/>
      </c>
      <c r="I1652" s="12">
        <f>IF($H1652="","",IF($H1652=0,"Non trouvé",IF($H1652=1,"Match","À vérifier")))</f>
        <v/>
      </c>
      <c r="J1652" s="21">
        <f>IF($I1652&lt;&gt;"Match","",INDEX(Ventes_Encaissements!$B$6:$B$3005,_xludf.AGGREGATE(15,6,(ROW(Ventes_Encaissements!$B$6:$B$3005)-ROW(Ventes_Encaissements!$B$6)+1)/((Ventes_Encaissements!$E$6:$E$3005=$B1652)*(Ventes_Encaissements!$J$6:$J$3005=$G1652)*(Ventes_Encaissements!$C$6:$C$3005&gt;=$C1652-3)*(Ventes_Encaissements!$C$6:$C$3005&lt;=$C1652+3)),1)))</f>
        <v/>
      </c>
      <c r="K1652" s="6" t="n"/>
    </row>
    <row r="1653">
      <c r="A1653" s="6" t="n"/>
      <c r="B1653" s="6" t="n"/>
      <c r="C1653" s="19" t="n"/>
      <c r="D1653" s="19" t="n"/>
      <c r="E1653" s="6" t="n"/>
      <c r="F1653" s="20" t="n"/>
      <c r="G1653" s="9">
        <f>IF($F1653="","",IF($F1653&gt;0,ROUND($F1653,2),""))</f>
        <v/>
      </c>
      <c r="H1653" s="12">
        <f>IF(OR($B1653="",$C1653="",$G1653=""),"",COUNTIFS(Ventes_Encaissements!$E$6:$E$3005,$B1653,Ventes_Encaissements!$J$6:$J$3005,$G1653,Ventes_Encaissements!$C$6:$C$3005,"&gt;="&amp;($C1653-3),Ventes_Encaissements!$C$6:$C$3005,"&lt;="&amp;($C1653+3)))</f>
        <v/>
      </c>
      <c r="I1653" s="12">
        <f>IF($H1653="","",IF($H1653=0,"Non trouvé",IF($H1653=1,"Match","À vérifier")))</f>
        <v/>
      </c>
      <c r="J1653" s="21">
        <f>IF($I1653&lt;&gt;"Match","",INDEX(Ventes_Encaissements!$B$6:$B$3005,_xludf.AGGREGATE(15,6,(ROW(Ventes_Encaissements!$B$6:$B$3005)-ROW(Ventes_Encaissements!$B$6)+1)/((Ventes_Encaissements!$E$6:$E$3005=$B1653)*(Ventes_Encaissements!$J$6:$J$3005=$G1653)*(Ventes_Encaissements!$C$6:$C$3005&gt;=$C1653-3)*(Ventes_Encaissements!$C$6:$C$3005&lt;=$C1653+3)),1)))</f>
        <v/>
      </c>
      <c r="K1653" s="6" t="n"/>
    </row>
    <row r="1654">
      <c r="A1654" s="6" t="n"/>
      <c r="B1654" s="6" t="n"/>
      <c r="C1654" s="19" t="n"/>
      <c r="D1654" s="19" t="n"/>
      <c r="E1654" s="6" t="n"/>
      <c r="F1654" s="20" t="n"/>
      <c r="G1654" s="9">
        <f>IF($F1654="","",IF($F1654&gt;0,ROUND($F1654,2),""))</f>
        <v/>
      </c>
      <c r="H1654" s="12">
        <f>IF(OR($B1654="",$C1654="",$G1654=""),"",COUNTIFS(Ventes_Encaissements!$E$6:$E$3005,$B1654,Ventes_Encaissements!$J$6:$J$3005,$G1654,Ventes_Encaissements!$C$6:$C$3005,"&gt;="&amp;($C1654-3),Ventes_Encaissements!$C$6:$C$3005,"&lt;="&amp;($C1654+3)))</f>
        <v/>
      </c>
      <c r="I1654" s="12">
        <f>IF($H1654="","",IF($H1654=0,"Non trouvé",IF($H1654=1,"Match","À vérifier")))</f>
        <v/>
      </c>
      <c r="J1654" s="21">
        <f>IF($I1654&lt;&gt;"Match","",INDEX(Ventes_Encaissements!$B$6:$B$3005,_xludf.AGGREGATE(15,6,(ROW(Ventes_Encaissements!$B$6:$B$3005)-ROW(Ventes_Encaissements!$B$6)+1)/((Ventes_Encaissements!$E$6:$E$3005=$B1654)*(Ventes_Encaissements!$J$6:$J$3005=$G1654)*(Ventes_Encaissements!$C$6:$C$3005&gt;=$C1654-3)*(Ventes_Encaissements!$C$6:$C$3005&lt;=$C1654+3)),1)))</f>
        <v/>
      </c>
      <c r="K1654" s="6" t="n"/>
    </row>
    <row r="1655">
      <c r="A1655" s="6" t="n"/>
      <c r="B1655" s="6" t="n"/>
      <c r="C1655" s="19" t="n"/>
      <c r="D1655" s="19" t="n"/>
      <c r="E1655" s="6" t="n"/>
      <c r="F1655" s="20" t="n"/>
      <c r="G1655" s="9">
        <f>IF($F1655="","",IF($F1655&gt;0,ROUND($F1655,2),""))</f>
        <v/>
      </c>
      <c r="H1655" s="12">
        <f>IF(OR($B1655="",$C1655="",$G1655=""),"",COUNTIFS(Ventes_Encaissements!$E$6:$E$3005,$B1655,Ventes_Encaissements!$J$6:$J$3005,$G1655,Ventes_Encaissements!$C$6:$C$3005,"&gt;="&amp;($C1655-3),Ventes_Encaissements!$C$6:$C$3005,"&lt;="&amp;($C1655+3)))</f>
        <v/>
      </c>
      <c r="I1655" s="12">
        <f>IF($H1655="","",IF($H1655=0,"Non trouvé",IF($H1655=1,"Match","À vérifier")))</f>
        <v/>
      </c>
      <c r="J1655" s="21">
        <f>IF($I1655&lt;&gt;"Match","",INDEX(Ventes_Encaissements!$B$6:$B$3005,_xludf.AGGREGATE(15,6,(ROW(Ventes_Encaissements!$B$6:$B$3005)-ROW(Ventes_Encaissements!$B$6)+1)/((Ventes_Encaissements!$E$6:$E$3005=$B1655)*(Ventes_Encaissements!$J$6:$J$3005=$G1655)*(Ventes_Encaissements!$C$6:$C$3005&gt;=$C1655-3)*(Ventes_Encaissements!$C$6:$C$3005&lt;=$C1655+3)),1)))</f>
        <v/>
      </c>
      <c r="K1655" s="6" t="n"/>
    </row>
    <row r="1656">
      <c r="A1656" s="6" t="n"/>
      <c r="B1656" s="6" t="n"/>
      <c r="C1656" s="19" t="n"/>
      <c r="D1656" s="19" t="n"/>
      <c r="E1656" s="6" t="n"/>
      <c r="F1656" s="20" t="n"/>
      <c r="G1656" s="9">
        <f>IF($F1656="","",IF($F1656&gt;0,ROUND($F1656,2),""))</f>
        <v/>
      </c>
      <c r="H1656" s="12">
        <f>IF(OR($B1656="",$C1656="",$G1656=""),"",COUNTIFS(Ventes_Encaissements!$E$6:$E$3005,$B1656,Ventes_Encaissements!$J$6:$J$3005,$G1656,Ventes_Encaissements!$C$6:$C$3005,"&gt;="&amp;($C1656-3),Ventes_Encaissements!$C$6:$C$3005,"&lt;="&amp;($C1656+3)))</f>
        <v/>
      </c>
      <c r="I1656" s="12">
        <f>IF($H1656="","",IF($H1656=0,"Non trouvé",IF($H1656=1,"Match","À vérifier")))</f>
        <v/>
      </c>
      <c r="J1656" s="21">
        <f>IF($I1656&lt;&gt;"Match","",INDEX(Ventes_Encaissements!$B$6:$B$3005,_xludf.AGGREGATE(15,6,(ROW(Ventes_Encaissements!$B$6:$B$3005)-ROW(Ventes_Encaissements!$B$6)+1)/((Ventes_Encaissements!$E$6:$E$3005=$B1656)*(Ventes_Encaissements!$J$6:$J$3005=$G1656)*(Ventes_Encaissements!$C$6:$C$3005&gt;=$C1656-3)*(Ventes_Encaissements!$C$6:$C$3005&lt;=$C1656+3)),1)))</f>
        <v/>
      </c>
      <c r="K1656" s="6" t="n"/>
    </row>
    <row r="1657">
      <c r="A1657" s="6" t="n"/>
      <c r="B1657" s="6" t="n"/>
      <c r="C1657" s="19" t="n"/>
      <c r="D1657" s="19" t="n"/>
      <c r="E1657" s="6" t="n"/>
      <c r="F1657" s="20" t="n"/>
      <c r="G1657" s="9">
        <f>IF($F1657="","",IF($F1657&gt;0,ROUND($F1657,2),""))</f>
        <v/>
      </c>
      <c r="H1657" s="12">
        <f>IF(OR($B1657="",$C1657="",$G1657=""),"",COUNTIFS(Ventes_Encaissements!$E$6:$E$3005,$B1657,Ventes_Encaissements!$J$6:$J$3005,$G1657,Ventes_Encaissements!$C$6:$C$3005,"&gt;="&amp;($C1657-3),Ventes_Encaissements!$C$6:$C$3005,"&lt;="&amp;($C1657+3)))</f>
        <v/>
      </c>
      <c r="I1657" s="12">
        <f>IF($H1657="","",IF($H1657=0,"Non trouvé",IF($H1657=1,"Match","À vérifier")))</f>
        <v/>
      </c>
      <c r="J1657" s="21">
        <f>IF($I1657&lt;&gt;"Match","",INDEX(Ventes_Encaissements!$B$6:$B$3005,_xludf.AGGREGATE(15,6,(ROW(Ventes_Encaissements!$B$6:$B$3005)-ROW(Ventes_Encaissements!$B$6)+1)/((Ventes_Encaissements!$E$6:$E$3005=$B1657)*(Ventes_Encaissements!$J$6:$J$3005=$G1657)*(Ventes_Encaissements!$C$6:$C$3005&gt;=$C1657-3)*(Ventes_Encaissements!$C$6:$C$3005&lt;=$C1657+3)),1)))</f>
        <v/>
      </c>
      <c r="K1657" s="6" t="n"/>
    </row>
    <row r="1658">
      <c r="A1658" s="6" t="n"/>
      <c r="B1658" s="6" t="n"/>
      <c r="C1658" s="19" t="n"/>
      <c r="D1658" s="19" t="n"/>
      <c r="E1658" s="6" t="n"/>
      <c r="F1658" s="20" t="n"/>
      <c r="G1658" s="9">
        <f>IF($F1658="","",IF($F1658&gt;0,ROUND($F1658,2),""))</f>
        <v/>
      </c>
      <c r="H1658" s="12">
        <f>IF(OR($B1658="",$C1658="",$G1658=""),"",COUNTIFS(Ventes_Encaissements!$E$6:$E$3005,$B1658,Ventes_Encaissements!$J$6:$J$3005,$G1658,Ventes_Encaissements!$C$6:$C$3005,"&gt;="&amp;($C1658-3),Ventes_Encaissements!$C$6:$C$3005,"&lt;="&amp;($C1658+3)))</f>
        <v/>
      </c>
      <c r="I1658" s="12">
        <f>IF($H1658="","",IF($H1658=0,"Non trouvé",IF($H1658=1,"Match","À vérifier")))</f>
        <v/>
      </c>
      <c r="J1658" s="21">
        <f>IF($I1658&lt;&gt;"Match","",INDEX(Ventes_Encaissements!$B$6:$B$3005,_xludf.AGGREGATE(15,6,(ROW(Ventes_Encaissements!$B$6:$B$3005)-ROW(Ventes_Encaissements!$B$6)+1)/((Ventes_Encaissements!$E$6:$E$3005=$B1658)*(Ventes_Encaissements!$J$6:$J$3005=$G1658)*(Ventes_Encaissements!$C$6:$C$3005&gt;=$C1658-3)*(Ventes_Encaissements!$C$6:$C$3005&lt;=$C1658+3)),1)))</f>
        <v/>
      </c>
      <c r="K1658" s="6" t="n"/>
    </row>
    <row r="1659">
      <c r="A1659" s="6" t="n"/>
      <c r="B1659" s="6" t="n"/>
      <c r="C1659" s="19" t="n"/>
      <c r="D1659" s="19" t="n"/>
      <c r="E1659" s="6" t="n"/>
      <c r="F1659" s="20" t="n"/>
      <c r="G1659" s="9">
        <f>IF($F1659="","",IF($F1659&gt;0,ROUND($F1659,2),""))</f>
        <v/>
      </c>
      <c r="H1659" s="12">
        <f>IF(OR($B1659="",$C1659="",$G1659=""),"",COUNTIFS(Ventes_Encaissements!$E$6:$E$3005,$B1659,Ventes_Encaissements!$J$6:$J$3005,$G1659,Ventes_Encaissements!$C$6:$C$3005,"&gt;="&amp;($C1659-3),Ventes_Encaissements!$C$6:$C$3005,"&lt;="&amp;($C1659+3)))</f>
        <v/>
      </c>
      <c r="I1659" s="12">
        <f>IF($H1659="","",IF($H1659=0,"Non trouvé",IF($H1659=1,"Match","À vérifier")))</f>
        <v/>
      </c>
      <c r="J1659" s="21">
        <f>IF($I1659&lt;&gt;"Match","",INDEX(Ventes_Encaissements!$B$6:$B$3005,_xludf.AGGREGATE(15,6,(ROW(Ventes_Encaissements!$B$6:$B$3005)-ROW(Ventes_Encaissements!$B$6)+1)/((Ventes_Encaissements!$E$6:$E$3005=$B1659)*(Ventes_Encaissements!$J$6:$J$3005=$G1659)*(Ventes_Encaissements!$C$6:$C$3005&gt;=$C1659-3)*(Ventes_Encaissements!$C$6:$C$3005&lt;=$C1659+3)),1)))</f>
        <v/>
      </c>
      <c r="K1659" s="6" t="n"/>
    </row>
    <row r="1660">
      <c r="A1660" s="6" t="n"/>
      <c r="B1660" s="6" t="n"/>
      <c r="C1660" s="19" t="n"/>
      <c r="D1660" s="19" t="n"/>
      <c r="E1660" s="6" t="n"/>
      <c r="F1660" s="20" t="n"/>
      <c r="G1660" s="9">
        <f>IF($F1660="","",IF($F1660&gt;0,ROUND($F1660,2),""))</f>
        <v/>
      </c>
      <c r="H1660" s="12">
        <f>IF(OR($B1660="",$C1660="",$G1660=""),"",COUNTIFS(Ventes_Encaissements!$E$6:$E$3005,$B1660,Ventes_Encaissements!$J$6:$J$3005,$G1660,Ventes_Encaissements!$C$6:$C$3005,"&gt;="&amp;($C1660-3),Ventes_Encaissements!$C$6:$C$3005,"&lt;="&amp;($C1660+3)))</f>
        <v/>
      </c>
      <c r="I1660" s="12">
        <f>IF($H1660="","",IF($H1660=0,"Non trouvé",IF($H1660=1,"Match","À vérifier")))</f>
        <v/>
      </c>
      <c r="J1660" s="21">
        <f>IF($I1660&lt;&gt;"Match","",INDEX(Ventes_Encaissements!$B$6:$B$3005,_xludf.AGGREGATE(15,6,(ROW(Ventes_Encaissements!$B$6:$B$3005)-ROW(Ventes_Encaissements!$B$6)+1)/((Ventes_Encaissements!$E$6:$E$3005=$B1660)*(Ventes_Encaissements!$J$6:$J$3005=$G1660)*(Ventes_Encaissements!$C$6:$C$3005&gt;=$C1660-3)*(Ventes_Encaissements!$C$6:$C$3005&lt;=$C1660+3)),1)))</f>
        <v/>
      </c>
      <c r="K1660" s="6" t="n"/>
    </row>
    <row r="1661">
      <c r="A1661" s="6" t="n"/>
      <c r="B1661" s="6" t="n"/>
      <c r="C1661" s="19" t="n"/>
      <c r="D1661" s="19" t="n"/>
      <c r="E1661" s="6" t="n"/>
      <c r="F1661" s="20" t="n"/>
      <c r="G1661" s="9">
        <f>IF($F1661="","",IF($F1661&gt;0,ROUND($F1661,2),""))</f>
        <v/>
      </c>
      <c r="H1661" s="12">
        <f>IF(OR($B1661="",$C1661="",$G1661=""),"",COUNTIFS(Ventes_Encaissements!$E$6:$E$3005,$B1661,Ventes_Encaissements!$J$6:$J$3005,$G1661,Ventes_Encaissements!$C$6:$C$3005,"&gt;="&amp;($C1661-3),Ventes_Encaissements!$C$6:$C$3005,"&lt;="&amp;($C1661+3)))</f>
        <v/>
      </c>
      <c r="I1661" s="12">
        <f>IF($H1661="","",IF($H1661=0,"Non trouvé",IF($H1661=1,"Match","À vérifier")))</f>
        <v/>
      </c>
      <c r="J1661" s="21">
        <f>IF($I1661&lt;&gt;"Match","",INDEX(Ventes_Encaissements!$B$6:$B$3005,_xludf.AGGREGATE(15,6,(ROW(Ventes_Encaissements!$B$6:$B$3005)-ROW(Ventes_Encaissements!$B$6)+1)/((Ventes_Encaissements!$E$6:$E$3005=$B1661)*(Ventes_Encaissements!$J$6:$J$3005=$G1661)*(Ventes_Encaissements!$C$6:$C$3005&gt;=$C1661-3)*(Ventes_Encaissements!$C$6:$C$3005&lt;=$C1661+3)),1)))</f>
        <v/>
      </c>
      <c r="K1661" s="6" t="n"/>
    </row>
    <row r="1662">
      <c r="A1662" s="6" t="n"/>
      <c r="B1662" s="6" t="n"/>
      <c r="C1662" s="19" t="n"/>
      <c r="D1662" s="19" t="n"/>
      <c r="E1662" s="6" t="n"/>
      <c r="F1662" s="20" t="n"/>
      <c r="G1662" s="9">
        <f>IF($F1662="","",IF($F1662&gt;0,ROUND($F1662,2),""))</f>
        <v/>
      </c>
      <c r="H1662" s="12">
        <f>IF(OR($B1662="",$C1662="",$G1662=""),"",COUNTIFS(Ventes_Encaissements!$E$6:$E$3005,$B1662,Ventes_Encaissements!$J$6:$J$3005,$G1662,Ventes_Encaissements!$C$6:$C$3005,"&gt;="&amp;($C1662-3),Ventes_Encaissements!$C$6:$C$3005,"&lt;="&amp;($C1662+3)))</f>
        <v/>
      </c>
      <c r="I1662" s="12">
        <f>IF($H1662="","",IF($H1662=0,"Non trouvé",IF($H1662=1,"Match","À vérifier")))</f>
        <v/>
      </c>
      <c r="J1662" s="21">
        <f>IF($I1662&lt;&gt;"Match","",INDEX(Ventes_Encaissements!$B$6:$B$3005,_xludf.AGGREGATE(15,6,(ROW(Ventes_Encaissements!$B$6:$B$3005)-ROW(Ventes_Encaissements!$B$6)+1)/((Ventes_Encaissements!$E$6:$E$3005=$B1662)*(Ventes_Encaissements!$J$6:$J$3005=$G1662)*(Ventes_Encaissements!$C$6:$C$3005&gt;=$C1662-3)*(Ventes_Encaissements!$C$6:$C$3005&lt;=$C1662+3)),1)))</f>
        <v/>
      </c>
      <c r="K1662" s="6" t="n"/>
    </row>
    <row r="1663">
      <c r="A1663" s="6" t="n"/>
      <c r="B1663" s="6" t="n"/>
      <c r="C1663" s="19" t="n"/>
      <c r="D1663" s="19" t="n"/>
      <c r="E1663" s="6" t="n"/>
      <c r="F1663" s="20" t="n"/>
      <c r="G1663" s="9">
        <f>IF($F1663="","",IF($F1663&gt;0,ROUND($F1663,2),""))</f>
        <v/>
      </c>
      <c r="H1663" s="12">
        <f>IF(OR($B1663="",$C1663="",$G1663=""),"",COUNTIFS(Ventes_Encaissements!$E$6:$E$3005,$B1663,Ventes_Encaissements!$J$6:$J$3005,$G1663,Ventes_Encaissements!$C$6:$C$3005,"&gt;="&amp;($C1663-3),Ventes_Encaissements!$C$6:$C$3005,"&lt;="&amp;($C1663+3)))</f>
        <v/>
      </c>
      <c r="I1663" s="12">
        <f>IF($H1663="","",IF($H1663=0,"Non trouvé",IF($H1663=1,"Match","À vérifier")))</f>
        <v/>
      </c>
      <c r="J1663" s="21">
        <f>IF($I1663&lt;&gt;"Match","",INDEX(Ventes_Encaissements!$B$6:$B$3005,_xludf.AGGREGATE(15,6,(ROW(Ventes_Encaissements!$B$6:$B$3005)-ROW(Ventes_Encaissements!$B$6)+1)/((Ventes_Encaissements!$E$6:$E$3005=$B1663)*(Ventes_Encaissements!$J$6:$J$3005=$G1663)*(Ventes_Encaissements!$C$6:$C$3005&gt;=$C1663-3)*(Ventes_Encaissements!$C$6:$C$3005&lt;=$C1663+3)),1)))</f>
        <v/>
      </c>
      <c r="K1663" s="6" t="n"/>
    </row>
    <row r="1664">
      <c r="A1664" s="6" t="n"/>
      <c r="B1664" s="6" t="n"/>
      <c r="C1664" s="19" t="n"/>
      <c r="D1664" s="19" t="n"/>
      <c r="E1664" s="6" t="n"/>
      <c r="F1664" s="20" t="n"/>
      <c r="G1664" s="9">
        <f>IF($F1664="","",IF($F1664&gt;0,ROUND($F1664,2),""))</f>
        <v/>
      </c>
      <c r="H1664" s="12">
        <f>IF(OR($B1664="",$C1664="",$G1664=""),"",COUNTIFS(Ventes_Encaissements!$E$6:$E$3005,$B1664,Ventes_Encaissements!$J$6:$J$3005,$G1664,Ventes_Encaissements!$C$6:$C$3005,"&gt;="&amp;($C1664-3),Ventes_Encaissements!$C$6:$C$3005,"&lt;="&amp;($C1664+3)))</f>
        <v/>
      </c>
      <c r="I1664" s="12">
        <f>IF($H1664="","",IF($H1664=0,"Non trouvé",IF($H1664=1,"Match","À vérifier")))</f>
        <v/>
      </c>
      <c r="J1664" s="21">
        <f>IF($I1664&lt;&gt;"Match","",INDEX(Ventes_Encaissements!$B$6:$B$3005,_xludf.AGGREGATE(15,6,(ROW(Ventes_Encaissements!$B$6:$B$3005)-ROW(Ventes_Encaissements!$B$6)+1)/((Ventes_Encaissements!$E$6:$E$3005=$B1664)*(Ventes_Encaissements!$J$6:$J$3005=$G1664)*(Ventes_Encaissements!$C$6:$C$3005&gt;=$C1664-3)*(Ventes_Encaissements!$C$6:$C$3005&lt;=$C1664+3)),1)))</f>
        <v/>
      </c>
      <c r="K1664" s="6" t="n"/>
    </row>
    <row r="1665">
      <c r="A1665" s="6" t="n"/>
      <c r="B1665" s="6" t="n"/>
      <c r="C1665" s="19" t="n"/>
      <c r="D1665" s="19" t="n"/>
      <c r="E1665" s="6" t="n"/>
      <c r="F1665" s="20" t="n"/>
      <c r="G1665" s="9">
        <f>IF($F1665="","",IF($F1665&gt;0,ROUND($F1665,2),""))</f>
        <v/>
      </c>
      <c r="H1665" s="12">
        <f>IF(OR($B1665="",$C1665="",$G1665=""),"",COUNTIFS(Ventes_Encaissements!$E$6:$E$3005,$B1665,Ventes_Encaissements!$J$6:$J$3005,$G1665,Ventes_Encaissements!$C$6:$C$3005,"&gt;="&amp;($C1665-3),Ventes_Encaissements!$C$6:$C$3005,"&lt;="&amp;($C1665+3)))</f>
        <v/>
      </c>
      <c r="I1665" s="12">
        <f>IF($H1665="","",IF($H1665=0,"Non trouvé",IF($H1665=1,"Match","À vérifier")))</f>
        <v/>
      </c>
      <c r="J1665" s="21">
        <f>IF($I1665&lt;&gt;"Match","",INDEX(Ventes_Encaissements!$B$6:$B$3005,_xludf.AGGREGATE(15,6,(ROW(Ventes_Encaissements!$B$6:$B$3005)-ROW(Ventes_Encaissements!$B$6)+1)/((Ventes_Encaissements!$E$6:$E$3005=$B1665)*(Ventes_Encaissements!$J$6:$J$3005=$G1665)*(Ventes_Encaissements!$C$6:$C$3005&gt;=$C1665-3)*(Ventes_Encaissements!$C$6:$C$3005&lt;=$C1665+3)),1)))</f>
        <v/>
      </c>
      <c r="K1665" s="6" t="n"/>
    </row>
    <row r="1666">
      <c r="A1666" s="6" t="n"/>
      <c r="B1666" s="6" t="n"/>
      <c r="C1666" s="19" t="n"/>
      <c r="D1666" s="19" t="n"/>
      <c r="E1666" s="6" t="n"/>
      <c r="F1666" s="20" t="n"/>
      <c r="G1666" s="9">
        <f>IF($F1666="","",IF($F1666&gt;0,ROUND($F1666,2),""))</f>
        <v/>
      </c>
      <c r="H1666" s="12">
        <f>IF(OR($B1666="",$C1666="",$G1666=""),"",COUNTIFS(Ventes_Encaissements!$E$6:$E$3005,$B1666,Ventes_Encaissements!$J$6:$J$3005,$G1666,Ventes_Encaissements!$C$6:$C$3005,"&gt;="&amp;($C1666-3),Ventes_Encaissements!$C$6:$C$3005,"&lt;="&amp;($C1666+3)))</f>
        <v/>
      </c>
      <c r="I1666" s="12">
        <f>IF($H1666="","",IF($H1666=0,"Non trouvé",IF($H1666=1,"Match","À vérifier")))</f>
        <v/>
      </c>
      <c r="J1666" s="21">
        <f>IF($I1666&lt;&gt;"Match","",INDEX(Ventes_Encaissements!$B$6:$B$3005,_xludf.AGGREGATE(15,6,(ROW(Ventes_Encaissements!$B$6:$B$3005)-ROW(Ventes_Encaissements!$B$6)+1)/((Ventes_Encaissements!$E$6:$E$3005=$B1666)*(Ventes_Encaissements!$J$6:$J$3005=$G1666)*(Ventes_Encaissements!$C$6:$C$3005&gt;=$C1666-3)*(Ventes_Encaissements!$C$6:$C$3005&lt;=$C1666+3)),1)))</f>
        <v/>
      </c>
      <c r="K1666" s="6" t="n"/>
    </row>
    <row r="1667">
      <c r="A1667" s="6" t="n"/>
      <c r="B1667" s="6" t="n"/>
      <c r="C1667" s="19" t="n"/>
      <c r="D1667" s="19" t="n"/>
      <c r="E1667" s="6" t="n"/>
      <c r="F1667" s="20" t="n"/>
      <c r="G1667" s="9">
        <f>IF($F1667="","",IF($F1667&gt;0,ROUND($F1667,2),""))</f>
        <v/>
      </c>
      <c r="H1667" s="12">
        <f>IF(OR($B1667="",$C1667="",$G1667=""),"",COUNTIFS(Ventes_Encaissements!$E$6:$E$3005,$B1667,Ventes_Encaissements!$J$6:$J$3005,$G1667,Ventes_Encaissements!$C$6:$C$3005,"&gt;="&amp;($C1667-3),Ventes_Encaissements!$C$6:$C$3005,"&lt;="&amp;($C1667+3)))</f>
        <v/>
      </c>
      <c r="I1667" s="12">
        <f>IF($H1667="","",IF($H1667=0,"Non trouvé",IF($H1667=1,"Match","À vérifier")))</f>
        <v/>
      </c>
      <c r="J1667" s="21">
        <f>IF($I1667&lt;&gt;"Match","",INDEX(Ventes_Encaissements!$B$6:$B$3005,_xludf.AGGREGATE(15,6,(ROW(Ventes_Encaissements!$B$6:$B$3005)-ROW(Ventes_Encaissements!$B$6)+1)/((Ventes_Encaissements!$E$6:$E$3005=$B1667)*(Ventes_Encaissements!$J$6:$J$3005=$G1667)*(Ventes_Encaissements!$C$6:$C$3005&gt;=$C1667-3)*(Ventes_Encaissements!$C$6:$C$3005&lt;=$C1667+3)),1)))</f>
        <v/>
      </c>
      <c r="K1667" s="6" t="n"/>
    </row>
    <row r="1668">
      <c r="A1668" s="6" t="n"/>
      <c r="B1668" s="6" t="n"/>
      <c r="C1668" s="19" t="n"/>
      <c r="D1668" s="19" t="n"/>
      <c r="E1668" s="6" t="n"/>
      <c r="F1668" s="20" t="n"/>
      <c r="G1668" s="9">
        <f>IF($F1668="","",IF($F1668&gt;0,ROUND($F1668,2),""))</f>
        <v/>
      </c>
      <c r="H1668" s="12">
        <f>IF(OR($B1668="",$C1668="",$G1668=""),"",COUNTIFS(Ventes_Encaissements!$E$6:$E$3005,$B1668,Ventes_Encaissements!$J$6:$J$3005,$G1668,Ventes_Encaissements!$C$6:$C$3005,"&gt;="&amp;($C1668-3),Ventes_Encaissements!$C$6:$C$3005,"&lt;="&amp;($C1668+3)))</f>
        <v/>
      </c>
      <c r="I1668" s="12">
        <f>IF($H1668="","",IF($H1668=0,"Non trouvé",IF($H1668=1,"Match","À vérifier")))</f>
        <v/>
      </c>
      <c r="J1668" s="21">
        <f>IF($I1668&lt;&gt;"Match","",INDEX(Ventes_Encaissements!$B$6:$B$3005,_xludf.AGGREGATE(15,6,(ROW(Ventes_Encaissements!$B$6:$B$3005)-ROW(Ventes_Encaissements!$B$6)+1)/((Ventes_Encaissements!$E$6:$E$3005=$B1668)*(Ventes_Encaissements!$J$6:$J$3005=$G1668)*(Ventes_Encaissements!$C$6:$C$3005&gt;=$C1668-3)*(Ventes_Encaissements!$C$6:$C$3005&lt;=$C1668+3)),1)))</f>
        <v/>
      </c>
      <c r="K1668" s="6" t="n"/>
    </row>
    <row r="1669">
      <c r="A1669" s="6" t="n"/>
      <c r="B1669" s="6" t="n"/>
      <c r="C1669" s="19" t="n"/>
      <c r="D1669" s="19" t="n"/>
      <c r="E1669" s="6" t="n"/>
      <c r="F1669" s="20" t="n"/>
      <c r="G1669" s="9">
        <f>IF($F1669="","",IF($F1669&gt;0,ROUND($F1669,2),""))</f>
        <v/>
      </c>
      <c r="H1669" s="12">
        <f>IF(OR($B1669="",$C1669="",$G1669=""),"",COUNTIFS(Ventes_Encaissements!$E$6:$E$3005,$B1669,Ventes_Encaissements!$J$6:$J$3005,$G1669,Ventes_Encaissements!$C$6:$C$3005,"&gt;="&amp;($C1669-3),Ventes_Encaissements!$C$6:$C$3005,"&lt;="&amp;($C1669+3)))</f>
        <v/>
      </c>
      <c r="I1669" s="12">
        <f>IF($H1669="","",IF($H1669=0,"Non trouvé",IF($H1669=1,"Match","À vérifier")))</f>
        <v/>
      </c>
      <c r="J1669" s="21">
        <f>IF($I1669&lt;&gt;"Match","",INDEX(Ventes_Encaissements!$B$6:$B$3005,_xludf.AGGREGATE(15,6,(ROW(Ventes_Encaissements!$B$6:$B$3005)-ROW(Ventes_Encaissements!$B$6)+1)/((Ventes_Encaissements!$E$6:$E$3005=$B1669)*(Ventes_Encaissements!$J$6:$J$3005=$G1669)*(Ventes_Encaissements!$C$6:$C$3005&gt;=$C1669-3)*(Ventes_Encaissements!$C$6:$C$3005&lt;=$C1669+3)),1)))</f>
        <v/>
      </c>
      <c r="K1669" s="6" t="n"/>
    </row>
    <row r="1670">
      <c r="A1670" s="6" t="n"/>
      <c r="B1670" s="6" t="n"/>
      <c r="C1670" s="19" t="n"/>
      <c r="D1670" s="19" t="n"/>
      <c r="E1670" s="6" t="n"/>
      <c r="F1670" s="20" t="n"/>
      <c r="G1670" s="9">
        <f>IF($F1670="","",IF($F1670&gt;0,ROUND($F1670,2),""))</f>
        <v/>
      </c>
      <c r="H1670" s="12">
        <f>IF(OR($B1670="",$C1670="",$G1670=""),"",COUNTIFS(Ventes_Encaissements!$E$6:$E$3005,$B1670,Ventes_Encaissements!$J$6:$J$3005,$G1670,Ventes_Encaissements!$C$6:$C$3005,"&gt;="&amp;($C1670-3),Ventes_Encaissements!$C$6:$C$3005,"&lt;="&amp;($C1670+3)))</f>
        <v/>
      </c>
      <c r="I1670" s="12">
        <f>IF($H1670="","",IF($H1670=0,"Non trouvé",IF($H1670=1,"Match","À vérifier")))</f>
        <v/>
      </c>
      <c r="J1670" s="21">
        <f>IF($I1670&lt;&gt;"Match","",INDEX(Ventes_Encaissements!$B$6:$B$3005,_xludf.AGGREGATE(15,6,(ROW(Ventes_Encaissements!$B$6:$B$3005)-ROW(Ventes_Encaissements!$B$6)+1)/((Ventes_Encaissements!$E$6:$E$3005=$B1670)*(Ventes_Encaissements!$J$6:$J$3005=$G1670)*(Ventes_Encaissements!$C$6:$C$3005&gt;=$C1670-3)*(Ventes_Encaissements!$C$6:$C$3005&lt;=$C1670+3)),1)))</f>
        <v/>
      </c>
      <c r="K1670" s="6" t="n"/>
    </row>
    <row r="1671">
      <c r="A1671" s="6" t="n"/>
      <c r="B1671" s="6" t="n"/>
      <c r="C1671" s="19" t="n"/>
      <c r="D1671" s="19" t="n"/>
      <c r="E1671" s="6" t="n"/>
      <c r="F1671" s="20" t="n"/>
      <c r="G1671" s="9">
        <f>IF($F1671="","",IF($F1671&gt;0,ROUND($F1671,2),""))</f>
        <v/>
      </c>
      <c r="H1671" s="12">
        <f>IF(OR($B1671="",$C1671="",$G1671=""),"",COUNTIFS(Ventes_Encaissements!$E$6:$E$3005,$B1671,Ventes_Encaissements!$J$6:$J$3005,$G1671,Ventes_Encaissements!$C$6:$C$3005,"&gt;="&amp;($C1671-3),Ventes_Encaissements!$C$6:$C$3005,"&lt;="&amp;($C1671+3)))</f>
        <v/>
      </c>
      <c r="I1671" s="12">
        <f>IF($H1671="","",IF($H1671=0,"Non trouvé",IF($H1671=1,"Match","À vérifier")))</f>
        <v/>
      </c>
      <c r="J1671" s="21">
        <f>IF($I1671&lt;&gt;"Match","",INDEX(Ventes_Encaissements!$B$6:$B$3005,_xludf.AGGREGATE(15,6,(ROW(Ventes_Encaissements!$B$6:$B$3005)-ROW(Ventes_Encaissements!$B$6)+1)/((Ventes_Encaissements!$E$6:$E$3005=$B1671)*(Ventes_Encaissements!$J$6:$J$3005=$G1671)*(Ventes_Encaissements!$C$6:$C$3005&gt;=$C1671-3)*(Ventes_Encaissements!$C$6:$C$3005&lt;=$C1671+3)),1)))</f>
        <v/>
      </c>
      <c r="K1671" s="6" t="n"/>
    </row>
    <row r="1672">
      <c r="A1672" s="6" t="n"/>
      <c r="B1672" s="6" t="n"/>
      <c r="C1672" s="19" t="n"/>
      <c r="D1672" s="19" t="n"/>
      <c r="E1672" s="6" t="n"/>
      <c r="F1672" s="20" t="n"/>
      <c r="G1672" s="9">
        <f>IF($F1672="","",IF($F1672&gt;0,ROUND($F1672,2),""))</f>
        <v/>
      </c>
      <c r="H1672" s="12">
        <f>IF(OR($B1672="",$C1672="",$G1672=""),"",COUNTIFS(Ventes_Encaissements!$E$6:$E$3005,$B1672,Ventes_Encaissements!$J$6:$J$3005,$G1672,Ventes_Encaissements!$C$6:$C$3005,"&gt;="&amp;($C1672-3),Ventes_Encaissements!$C$6:$C$3005,"&lt;="&amp;($C1672+3)))</f>
        <v/>
      </c>
      <c r="I1672" s="12">
        <f>IF($H1672="","",IF($H1672=0,"Non trouvé",IF($H1672=1,"Match","À vérifier")))</f>
        <v/>
      </c>
      <c r="J1672" s="21">
        <f>IF($I1672&lt;&gt;"Match","",INDEX(Ventes_Encaissements!$B$6:$B$3005,_xludf.AGGREGATE(15,6,(ROW(Ventes_Encaissements!$B$6:$B$3005)-ROW(Ventes_Encaissements!$B$6)+1)/((Ventes_Encaissements!$E$6:$E$3005=$B1672)*(Ventes_Encaissements!$J$6:$J$3005=$G1672)*(Ventes_Encaissements!$C$6:$C$3005&gt;=$C1672-3)*(Ventes_Encaissements!$C$6:$C$3005&lt;=$C1672+3)),1)))</f>
        <v/>
      </c>
      <c r="K1672" s="6" t="n"/>
    </row>
    <row r="1673">
      <c r="A1673" s="6" t="n"/>
      <c r="B1673" s="6" t="n"/>
      <c r="C1673" s="19" t="n"/>
      <c r="D1673" s="19" t="n"/>
      <c r="E1673" s="6" t="n"/>
      <c r="F1673" s="20" t="n"/>
      <c r="G1673" s="9">
        <f>IF($F1673="","",IF($F1673&gt;0,ROUND($F1673,2),""))</f>
        <v/>
      </c>
      <c r="H1673" s="12">
        <f>IF(OR($B1673="",$C1673="",$G1673=""),"",COUNTIFS(Ventes_Encaissements!$E$6:$E$3005,$B1673,Ventes_Encaissements!$J$6:$J$3005,$G1673,Ventes_Encaissements!$C$6:$C$3005,"&gt;="&amp;($C1673-3),Ventes_Encaissements!$C$6:$C$3005,"&lt;="&amp;($C1673+3)))</f>
        <v/>
      </c>
      <c r="I1673" s="12">
        <f>IF($H1673="","",IF($H1673=0,"Non trouvé",IF($H1673=1,"Match","À vérifier")))</f>
        <v/>
      </c>
      <c r="J1673" s="21">
        <f>IF($I1673&lt;&gt;"Match","",INDEX(Ventes_Encaissements!$B$6:$B$3005,_xludf.AGGREGATE(15,6,(ROW(Ventes_Encaissements!$B$6:$B$3005)-ROW(Ventes_Encaissements!$B$6)+1)/((Ventes_Encaissements!$E$6:$E$3005=$B1673)*(Ventes_Encaissements!$J$6:$J$3005=$G1673)*(Ventes_Encaissements!$C$6:$C$3005&gt;=$C1673-3)*(Ventes_Encaissements!$C$6:$C$3005&lt;=$C1673+3)),1)))</f>
        <v/>
      </c>
      <c r="K1673" s="6" t="n"/>
    </row>
    <row r="1674">
      <c r="A1674" s="6" t="n"/>
      <c r="B1674" s="6" t="n"/>
      <c r="C1674" s="19" t="n"/>
      <c r="D1674" s="19" t="n"/>
      <c r="E1674" s="6" t="n"/>
      <c r="F1674" s="20" t="n"/>
      <c r="G1674" s="9">
        <f>IF($F1674="","",IF($F1674&gt;0,ROUND($F1674,2),""))</f>
        <v/>
      </c>
      <c r="H1674" s="12">
        <f>IF(OR($B1674="",$C1674="",$G1674=""),"",COUNTIFS(Ventes_Encaissements!$E$6:$E$3005,$B1674,Ventes_Encaissements!$J$6:$J$3005,$G1674,Ventes_Encaissements!$C$6:$C$3005,"&gt;="&amp;($C1674-3),Ventes_Encaissements!$C$6:$C$3005,"&lt;="&amp;($C1674+3)))</f>
        <v/>
      </c>
      <c r="I1674" s="12">
        <f>IF($H1674="","",IF($H1674=0,"Non trouvé",IF($H1674=1,"Match","À vérifier")))</f>
        <v/>
      </c>
      <c r="J1674" s="21">
        <f>IF($I1674&lt;&gt;"Match","",INDEX(Ventes_Encaissements!$B$6:$B$3005,_xludf.AGGREGATE(15,6,(ROW(Ventes_Encaissements!$B$6:$B$3005)-ROW(Ventes_Encaissements!$B$6)+1)/((Ventes_Encaissements!$E$6:$E$3005=$B1674)*(Ventes_Encaissements!$J$6:$J$3005=$G1674)*(Ventes_Encaissements!$C$6:$C$3005&gt;=$C1674-3)*(Ventes_Encaissements!$C$6:$C$3005&lt;=$C1674+3)),1)))</f>
        <v/>
      </c>
      <c r="K1674" s="6" t="n"/>
    </row>
    <row r="1675">
      <c r="A1675" s="6" t="n"/>
      <c r="B1675" s="6" t="n"/>
      <c r="C1675" s="19" t="n"/>
      <c r="D1675" s="19" t="n"/>
      <c r="E1675" s="6" t="n"/>
      <c r="F1675" s="20" t="n"/>
      <c r="G1675" s="9">
        <f>IF($F1675="","",IF($F1675&gt;0,ROUND($F1675,2),""))</f>
        <v/>
      </c>
      <c r="H1675" s="12">
        <f>IF(OR($B1675="",$C1675="",$G1675=""),"",COUNTIFS(Ventes_Encaissements!$E$6:$E$3005,$B1675,Ventes_Encaissements!$J$6:$J$3005,$G1675,Ventes_Encaissements!$C$6:$C$3005,"&gt;="&amp;($C1675-3),Ventes_Encaissements!$C$6:$C$3005,"&lt;="&amp;($C1675+3)))</f>
        <v/>
      </c>
      <c r="I1675" s="12">
        <f>IF($H1675="","",IF($H1675=0,"Non trouvé",IF($H1675=1,"Match","À vérifier")))</f>
        <v/>
      </c>
      <c r="J1675" s="21">
        <f>IF($I1675&lt;&gt;"Match","",INDEX(Ventes_Encaissements!$B$6:$B$3005,_xludf.AGGREGATE(15,6,(ROW(Ventes_Encaissements!$B$6:$B$3005)-ROW(Ventes_Encaissements!$B$6)+1)/((Ventes_Encaissements!$E$6:$E$3005=$B1675)*(Ventes_Encaissements!$J$6:$J$3005=$G1675)*(Ventes_Encaissements!$C$6:$C$3005&gt;=$C1675-3)*(Ventes_Encaissements!$C$6:$C$3005&lt;=$C1675+3)),1)))</f>
        <v/>
      </c>
      <c r="K1675" s="6" t="n"/>
    </row>
    <row r="1676">
      <c r="A1676" s="6" t="n"/>
      <c r="B1676" s="6" t="n"/>
      <c r="C1676" s="19" t="n"/>
      <c r="D1676" s="19" t="n"/>
      <c r="E1676" s="6" t="n"/>
      <c r="F1676" s="20" t="n"/>
      <c r="G1676" s="9">
        <f>IF($F1676="","",IF($F1676&gt;0,ROUND($F1676,2),""))</f>
        <v/>
      </c>
      <c r="H1676" s="12">
        <f>IF(OR($B1676="",$C1676="",$G1676=""),"",COUNTIFS(Ventes_Encaissements!$E$6:$E$3005,$B1676,Ventes_Encaissements!$J$6:$J$3005,$G1676,Ventes_Encaissements!$C$6:$C$3005,"&gt;="&amp;($C1676-3),Ventes_Encaissements!$C$6:$C$3005,"&lt;="&amp;($C1676+3)))</f>
        <v/>
      </c>
      <c r="I1676" s="12">
        <f>IF($H1676="","",IF($H1676=0,"Non trouvé",IF($H1676=1,"Match","À vérifier")))</f>
        <v/>
      </c>
      <c r="J1676" s="21">
        <f>IF($I1676&lt;&gt;"Match","",INDEX(Ventes_Encaissements!$B$6:$B$3005,_xludf.AGGREGATE(15,6,(ROW(Ventes_Encaissements!$B$6:$B$3005)-ROW(Ventes_Encaissements!$B$6)+1)/((Ventes_Encaissements!$E$6:$E$3005=$B1676)*(Ventes_Encaissements!$J$6:$J$3005=$G1676)*(Ventes_Encaissements!$C$6:$C$3005&gt;=$C1676-3)*(Ventes_Encaissements!$C$6:$C$3005&lt;=$C1676+3)),1)))</f>
        <v/>
      </c>
      <c r="K1676" s="6" t="n"/>
    </row>
    <row r="1677">
      <c r="A1677" s="6" t="n"/>
      <c r="B1677" s="6" t="n"/>
      <c r="C1677" s="19" t="n"/>
      <c r="D1677" s="19" t="n"/>
      <c r="E1677" s="6" t="n"/>
      <c r="F1677" s="20" t="n"/>
      <c r="G1677" s="9">
        <f>IF($F1677="","",IF($F1677&gt;0,ROUND($F1677,2),""))</f>
        <v/>
      </c>
      <c r="H1677" s="12">
        <f>IF(OR($B1677="",$C1677="",$G1677=""),"",COUNTIFS(Ventes_Encaissements!$E$6:$E$3005,$B1677,Ventes_Encaissements!$J$6:$J$3005,$G1677,Ventes_Encaissements!$C$6:$C$3005,"&gt;="&amp;($C1677-3),Ventes_Encaissements!$C$6:$C$3005,"&lt;="&amp;($C1677+3)))</f>
        <v/>
      </c>
      <c r="I1677" s="12">
        <f>IF($H1677="","",IF($H1677=0,"Non trouvé",IF($H1677=1,"Match","À vérifier")))</f>
        <v/>
      </c>
      <c r="J1677" s="21">
        <f>IF($I1677&lt;&gt;"Match","",INDEX(Ventes_Encaissements!$B$6:$B$3005,_xludf.AGGREGATE(15,6,(ROW(Ventes_Encaissements!$B$6:$B$3005)-ROW(Ventes_Encaissements!$B$6)+1)/((Ventes_Encaissements!$E$6:$E$3005=$B1677)*(Ventes_Encaissements!$J$6:$J$3005=$G1677)*(Ventes_Encaissements!$C$6:$C$3005&gt;=$C1677-3)*(Ventes_Encaissements!$C$6:$C$3005&lt;=$C1677+3)),1)))</f>
        <v/>
      </c>
      <c r="K1677" s="6" t="n"/>
    </row>
    <row r="1678">
      <c r="A1678" s="6" t="n"/>
      <c r="B1678" s="6" t="n"/>
      <c r="C1678" s="19" t="n"/>
      <c r="D1678" s="19" t="n"/>
      <c r="E1678" s="6" t="n"/>
      <c r="F1678" s="20" t="n"/>
      <c r="G1678" s="9">
        <f>IF($F1678="","",IF($F1678&gt;0,ROUND($F1678,2),""))</f>
        <v/>
      </c>
      <c r="H1678" s="12">
        <f>IF(OR($B1678="",$C1678="",$G1678=""),"",COUNTIFS(Ventes_Encaissements!$E$6:$E$3005,$B1678,Ventes_Encaissements!$J$6:$J$3005,$G1678,Ventes_Encaissements!$C$6:$C$3005,"&gt;="&amp;($C1678-3),Ventes_Encaissements!$C$6:$C$3005,"&lt;="&amp;($C1678+3)))</f>
        <v/>
      </c>
      <c r="I1678" s="12">
        <f>IF($H1678="","",IF($H1678=0,"Non trouvé",IF($H1678=1,"Match","À vérifier")))</f>
        <v/>
      </c>
      <c r="J1678" s="21">
        <f>IF($I1678&lt;&gt;"Match","",INDEX(Ventes_Encaissements!$B$6:$B$3005,_xludf.AGGREGATE(15,6,(ROW(Ventes_Encaissements!$B$6:$B$3005)-ROW(Ventes_Encaissements!$B$6)+1)/((Ventes_Encaissements!$E$6:$E$3005=$B1678)*(Ventes_Encaissements!$J$6:$J$3005=$G1678)*(Ventes_Encaissements!$C$6:$C$3005&gt;=$C1678-3)*(Ventes_Encaissements!$C$6:$C$3005&lt;=$C1678+3)),1)))</f>
        <v/>
      </c>
      <c r="K1678" s="6" t="n"/>
    </row>
    <row r="1679">
      <c r="A1679" s="6" t="n"/>
      <c r="B1679" s="6" t="n"/>
      <c r="C1679" s="19" t="n"/>
      <c r="D1679" s="19" t="n"/>
      <c r="E1679" s="6" t="n"/>
      <c r="F1679" s="20" t="n"/>
      <c r="G1679" s="9">
        <f>IF($F1679="","",IF($F1679&gt;0,ROUND($F1679,2),""))</f>
        <v/>
      </c>
      <c r="H1679" s="12">
        <f>IF(OR($B1679="",$C1679="",$G1679=""),"",COUNTIFS(Ventes_Encaissements!$E$6:$E$3005,$B1679,Ventes_Encaissements!$J$6:$J$3005,$G1679,Ventes_Encaissements!$C$6:$C$3005,"&gt;="&amp;($C1679-3),Ventes_Encaissements!$C$6:$C$3005,"&lt;="&amp;($C1679+3)))</f>
        <v/>
      </c>
      <c r="I1679" s="12">
        <f>IF($H1679="","",IF($H1679=0,"Non trouvé",IF($H1679=1,"Match","À vérifier")))</f>
        <v/>
      </c>
      <c r="J1679" s="21">
        <f>IF($I1679&lt;&gt;"Match","",INDEX(Ventes_Encaissements!$B$6:$B$3005,_xludf.AGGREGATE(15,6,(ROW(Ventes_Encaissements!$B$6:$B$3005)-ROW(Ventes_Encaissements!$B$6)+1)/((Ventes_Encaissements!$E$6:$E$3005=$B1679)*(Ventes_Encaissements!$J$6:$J$3005=$G1679)*(Ventes_Encaissements!$C$6:$C$3005&gt;=$C1679-3)*(Ventes_Encaissements!$C$6:$C$3005&lt;=$C1679+3)),1)))</f>
        <v/>
      </c>
      <c r="K1679" s="6" t="n"/>
    </row>
    <row r="1680">
      <c r="A1680" s="6" t="n"/>
      <c r="B1680" s="6" t="n"/>
      <c r="C1680" s="19" t="n"/>
      <c r="D1680" s="19" t="n"/>
      <c r="E1680" s="6" t="n"/>
      <c r="F1680" s="20" t="n"/>
      <c r="G1680" s="9">
        <f>IF($F1680="","",IF($F1680&gt;0,ROUND($F1680,2),""))</f>
        <v/>
      </c>
      <c r="H1680" s="12">
        <f>IF(OR($B1680="",$C1680="",$G1680=""),"",COUNTIFS(Ventes_Encaissements!$E$6:$E$3005,$B1680,Ventes_Encaissements!$J$6:$J$3005,$G1680,Ventes_Encaissements!$C$6:$C$3005,"&gt;="&amp;($C1680-3),Ventes_Encaissements!$C$6:$C$3005,"&lt;="&amp;($C1680+3)))</f>
        <v/>
      </c>
      <c r="I1680" s="12">
        <f>IF($H1680="","",IF($H1680=0,"Non trouvé",IF($H1680=1,"Match","À vérifier")))</f>
        <v/>
      </c>
      <c r="J1680" s="21">
        <f>IF($I1680&lt;&gt;"Match","",INDEX(Ventes_Encaissements!$B$6:$B$3005,_xludf.AGGREGATE(15,6,(ROW(Ventes_Encaissements!$B$6:$B$3005)-ROW(Ventes_Encaissements!$B$6)+1)/((Ventes_Encaissements!$E$6:$E$3005=$B1680)*(Ventes_Encaissements!$J$6:$J$3005=$G1680)*(Ventes_Encaissements!$C$6:$C$3005&gt;=$C1680-3)*(Ventes_Encaissements!$C$6:$C$3005&lt;=$C1680+3)),1)))</f>
        <v/>
      </c>
      <c r="K1680" s="6" t="n"/>
    </row>
    <row r="1681">
      <c r="A1681" s="6" t="n"/>
      <c r="B1681" s="6" t="n"/>
      <c r="C1681" s="19" t="n"/>
      <c r="D1681" s="19" t="n"/>
      <c r="E1681" s="6" t="n"/>
      <c r="F1681" s="20" t="n"/>
      <c r="G1681" s="9">
        <f>IF($F1681="","",IF($F1681&gt;0,ROUND($F1681,2),""))</f>
        <v/>
      </c>
      <c r="H1681" s="12">
        <f>IF(OR($B1681="",$C1681="",$G1681=""),"",COUNTIFS(Ventes_Encaissements!$E$6:$E$3005,$B1681,Ventes_Encaissements!$J$6:$J$3005,$G1681,Ventes_Encaissements!$C$6:$C$3005,"&gt;="&amp;($C1681-3),Ventes_Encaissements!$C$6:$C$3005,"&lt;="&amp;($C1681+3)))</f>
        <v/>
      </c>
      <c r="I1681" s="12">
        <f>IF($H1681="","",IF($H1681=0,"Non trouvé",IF($H1681=1,"Match","À vérifier")))</f>
        <v/>
      </c>
      <c r="J1681" s="21">
        <f>IF($I1681&lt;&gt;"Match","",INDEX(Ventes_Encaissements!$B$6:$B$3005,_xludf.AGGREGATE(15,6,(ROW(Ventes_Encaissements!$B$6:$B$3005)-ROW(Ventes_Encaissements!$B$6)+1)/((Ventes_Encaissements!$E$6:$E$3005=$B1681)*(Ventes_Encaissements!$J$6:$J$3005=$G1681)*(Ventes_Encaissements!$C$6:$C$3005&gt;=$C1681-3)*(Ventes_Encaissements!$C$6:$C$3005&lt;=$C1681+3)),1)))</f>
        <v/>
      </c>
      <c r="K1681" s="6" t="n"/>
    </row>
    <row r="1682">
      <c r="A1682" s="6" t="n"/>
      <c r="B1682" s="6" t="n"/>
      <c r="C1682" s="19" t="n"/>
      <c r="D1682" s="19" t="n"/>
      <c r="E1682" s="6" t="n"/>
      <c r="F1682" s="20" t="n"/>
      <c r="G1682" s="9">
        <f>IF($F1682="","",IF($F1682&gt;0,ROUND($F1682,2),""))</f>
        <v/>
      </c>
      <c r="H1682" s="12">
        <f>IF(OR($B1682="",$C1682="",$G1682=""),"",COUNTIFS(Ventes_Encaissements!$E$6:$E$3005,$B1682,Ventes_Encaissements!$J$6:$J$3005,$G1682,Ventes_Encaissements!$C$6:$C$3005,"&gt;="&amp;($C1682-3),Ventes_Encaissements!$C$6:$C$3005,"&lt;="&amp;($C1682+3)))</f>
        <v/>
      </c>
      <c r="I1682" s="12">
        <f>IF($H1682="","",IF($H1682=0,"Non trouvé",IF($H1682=1,"Match","À vérifier")))</f>
        <v/>
      </c>
      <c r="J1682" s="21">
        <f>IF($I1682&lt;&gt;"Match","",INDEX(Ventes_Encaissements!$B$6:$B$3005,_xludf.AGGREGATE(15,6,(ROW(Ventes_Encaissements!$B$6:$B$3005)-ROW(Ventes_Encaissements!$B$6)+1)/((Ventes_Encaissements!$E$6:$E$3005=$B1682)*(Ventes_Encaissements!$J$6:$J$3005=$G1682)*(Ventes_Encaissements!$C$6:$C$3005&gt;=$C1682-3)*(Ventes_Encaissements!$C$6:$C$3005&lt;=$C1682+3)),1)))</f>
        <v/>
      </c>
      <c r="K1682" s="6" t="n"/>
    </row>
    <row r="1683">
      <c r="A1683" s="6" t="n"/>
      <c r="B1683" s="6" t="n"/>
      <c r="C1683" s="19" t="n"/>
      <c r="D1683" s="19" t="n"/>
      <c r="E1683" s="6" t="n"/>
      <c r="F1683" s="20" t="n"/>
      <c r="G1683" s="9">
        <f>IF($F1683="","",IF($F1683&gt;0,ROUND($F1683,2),""))</f>
        <v/>
      </c>
      <c r="H1683" s="12">
        <f>IF(OR($B1683="",$C1683="",$G1683=""),"",COUNTIFS(Ventes_Encaissements!$E$6:$E$3005,$B1683,Ventes_Encaissements!$J$6:$J$3005,$G1683,Ventes_Encaissements!$C$6:$C$3005,"&gt;="&amp;($C1683-3),Ventes_Encaissements!$C$6:$C$3005,"&lt;="&amp;($C1683+3)))</f>
        <v/>
      </c>
      <c r="I1683" s="12">
        <f>IF($H1683="","",IF($H1683=0,"Non trouvé",IF($H1683=1,"Match","À vérifier")))</f>
        <v/>
      </c>
      <c r="J1683" s="21">
        <f>IF($I1683&lt;&gt;"Match","",INDEX(Ventes_Encaissements!$B$6:$B$3005,_xludf.AGGREGATE(15,6,(ROW(Ventes_Encaissements!$B$6:$B$3005)-ROW(Ventes_Encaissements!$B$6)+1)/((Ventes_Encaissements!$E$6:$E$3005=$B1683)*(Ventes_Encaissements!$J$6:$J$3005=$G1683)*(Ventes_Encaissements!$C$6:$C$3005&gt;=$C1683-3)*(Ventes_Encaissements!$C$6:$C$3005&lt;=$C1683+3)),1)))</f>
        <v/>
      </c>
      <c r="K1683" s="6" t="n"/>
    </row>
    <row r="1684">
      <c r="A1684" s="6" t="n"/>
      <c r="B1684" s="6" t="n"/>
      <c r="C1684" s="19" t="n"/>
      <c r="D1684" s="19" t="n"/>
      <c r="E1684" s="6" t="n"/>
      <c r="F1684" s="20" t="n"/>
      <c r="G1684" s="9">
        <f>IF($F1684="","",IF($F1684&gt;0,ROUND($F1684,2),""))</f>
        <v/>
      </c>
      <c r="H1684" s="12">
        <f>IF(OR($B1684="",$C1684="",$G1684=""),"",COUNTIFS(Ventes_Encaissements!$E$6:$E$3005,$B1684,Ventes_Encaissements!$J$6:$J$3005,$G1684,Ventes_Encaissements!$C$6:$C$3005,"&gt;="&amp;($C1684-3),Ventes_Encaissements!$C$6:$C$3005,"&lt;="&amp;($C1684+3)))</f>
        <v/>
      </c>
      <c r="I1684" s="12">
        <f>IF($H1684="","",IF($H1684=0,"Non trouvé",IF($H1684=1,"Match","À vérifier")))</f>
        <v/>
      </c>
      <c r="J1684" s="21">
        <f>IF($I1684&lt;&gt;"Match","",INDEX(Ventes_Encaissements!$B$6:$B$3005,_xludf.AGGREGATE(15,6,(ROW(Ventes_Encaissements!$B$6:$B$3005)-ROW(Ventes_Encaissements!$B$6)+1)/((Ventes_Encaissements!$E$6:$E$3005=$B1684)*(Ventes_Encaissements!$J$6:$J$3005=$G1684)*(Ventes_Encaissements!$C$6:$C$3005&gt;=$C1684-3)*(Ventes_Encaissements!$C$6:$C$3005&lt;=$C1684+3)),1)))</f>
        <v/>
      </c>
      <c r="K1684" s="6" t="n"/>
    </row>
    <row r="1685">
      <c r="A1685" s="6" t="n"/>
      <c r="B1685" s="6" t="n"/>
      <c r="C1685" s="19" t="n"/>
      <c r="D1685" s="19" t="n"/>
      <c r="E1685" s="6" t="n"/>
      <c r="F1685" s="20" t="n"/>
      <c r="G1685" s="9">
        <f>IF($F1685="","",IF($F1685&gt;0,ROUND($F1685,2),""))</f>
        <v/>
      </c>
      <c r="H1685" s="12">
        <f>IF(OR($B1685="",$C1685="",$G1685=""),"",COUNTIFS(Ventes_Encaissements!$E$6:$E$3005,$B1685,Ventes_Encaissements!$J$6:$J$3005,$G1685,Ventes_Encaissements!$C$6:$C$3005,"&gt;="&amp;($C1685-3),Ventes_Encaissements!$C$6:$C$3005,"&lt;="&amp;($C1685+3)))</f>
        <v/>
      </c>
      <c r="I1685" s="12">
        <f>IF($H1685="","",IF($H1685=0,"Non trouvé",IF($H1685=1,"Match","À vérifier")))</f>
        <v/>
      </c>
      <c r="J1685" s="21">
        <f>IF($I1685&lt;&gt;"Match","",INDEX(Ventes_Encaissements!$B$6:$B$3005,_xludf.AGGREGATE(15,6,(ROW(Ventes_Encaissements!$B$6:$B$3005)-ROW(Ventes_Encaissements!$B$6)+1)/((Ventes_Encaissements!$E$6:$E$3005=$B1685)*(Ventes_Encaissements!$J$6:$J$3005=$G1685)*(Ventes_Encaissements!$C$6:$C$3005&gt;=$C1685-3)*(Ventes_Encaissements!$C$6:$C$3005&lt;=$C1685+3)),1)))</f>
        <v/>
      </c>
      <c r="K1685" s="6" t="n"/>
    </row>
    <row r="1686">
      <c r="A1686" s="6" t="n"/>
      <c r="B1686" s="6" t="n"/>
      <c r="C1686" s="19" t="n"/>
      <c r="D1686" s="19" t="n"/>
      <c r="E1686" s="6" t="n"/>
      <c r="F1686" s="20" t="n"/>
      <c r="G1686" s="9">
        <f>IF($F1686="","",IF($F1686&gt;0,ROUND($F1686,2),""))</f>
        <v/>
      </c>
      <c r="H1686" s="12">
        <f>IF(OR($B1686="",$C1686="",$G1686=""),"",COUNTIFS(Ventes_Encaissements!$E$6:$E$3005,$B1686,Ventes_Encaissements!$J$6:$J$3005,$G1686,Ventes_Encaissements!$C$6:$C$3005,"&gt;="&amp;($C1686-3),Ventes_Encaissements!$C$6:$C$3005,"&lt;="&amp;($C1686+3)))</f>
        <v/>
      </c>
      <c r="I1686" s="12">
        <f>IF($H1686="","",IF($H1686=0,"Non trouvé",IF($H1686=1,"Match","À vérifier")))</f>
        <v/>
      </c>
      <c r="J1686" s="21">
        <f>IF($I1686&lt;&gt;"Match","",INDEX(Ventes_Encaissements!$B$6:$B$3005,_xludf.AGGREGATE(15,6,(ROW(Ventes_Encaissements!$B$6:$B$3005)-ROW(Ventes_Encaissements!$B$6)+1)/((Ventes_Encaissements!$E$6:$E$3005=$B1686)*(Ventes_Encaissements!$J$6:$J$3005=$G1686)*(Ventes_Encaissements!$C$6:$C$3005&gt;=$C1686-3)*(Ventes_Encaissements!$C$6:$C$3005&lt;=$C1686+3)),1)))</f>
        <v/>
      </c>
      <c r="K1686" s="6" t="n"/>
    </row>
    <row r="1687">
      <c r="A1687" s="6" t="n"/>
      <c r="B1687" s="6" t="n"/>
      <c r="C1687" s="19" t="n"/>
      <c r="D1687" s="19" t="n"/>
      <c r="E1687" s="6" t="n"/>
      <c r="F1687" s="20" t="n"/>
      <c r="G1687" s="9">
        <f>IF($F1687="","",IF($F1687&gt;0,ROUND($F1687,2),""))</f>
        <v/>
      </c>
      <c r="H1687" s="12">
        <f>IF(OR($B1687="",$C1687="",$G1687=""),"",COUNTIFS(Ventes_Encaissements!$E$6:$E$3005,$B1687,Ventes_Encaissements!$J$6:$J$3005,$G1687,Ventes_Encaissements!$C$6:$C$3005,"&gt;="&amp;($C1687-3),Ventes_Encaissements!$C$6:$C$3005,"&lt;="&amp;($C1687+3)))</f>
        <v/>
      </c>
      <c r="I1687" s="12">
        <f>IF($H1687="","",IF($H1687=0,"Non trouvé",IF($H1687=1,"Match","À vérifier")))</f>
        <v/>
      </c>
      <c r="J1687" s="21">
        <f>IF($I1687&lt;&gt;"Match","",INDEX(Ventes_Encaissements!$B$6:$B$3005,_xludf.AGGREGATE(15,6,(ROW(Ventes_Encaissements!$B$6:$B$3005)-ROW(Ventes_Encaissements!$B$6)+1)/((Ventes_Encaissements!$E$6:$E$3005=$B1687)*(Ventes_Encaissements!$J$6:$J$3005=$G1687)*(Ventes_Encaissements!$C$6:$C$3005&gt;=$C1687-3)*(Ventes_Encaissements!$C$6:$C$3005&lt;=$C1687+3)),1)))</f>
        <v/>
      </c>
      <c r="K1687" s="6" t="n"/>
    </row>
    <row r="1688">
      <c r="A1688" s="6" t="n"/>
      <c r="B1688" s="6" t="n"/>
      <c r="C1688" s="19" t="n"/>
      <c r="D1688" s="19" t="n"/>
      <c r="E1688" s="6" t="n"/>
      <c r="F1688" s="20" t="n"/>
      <c r="G1688" s="9">
        <f>IF($F1688="","",IF($F1688&gt;0,ROUND($F1688,2),""))</f>
        <v/>
      </c>
      <c r="H1688" s="12">
        <f>IF(OR($B1688="",$C1688="",$G1688=""),"",COUNTIFS(Ventes_Encaissements!$E$6:$E$3005,$B1688,Ventes_Encaissements!$J$6:$J$3005,$G1688,Ventes_Encaissements!$C$6:$C$3005,"&gt;="&amp;($C1688-3),Ventes_Encaissements!$C$6:$C$3005,"&lt;="&amp;($C1688+3)))</f>
        <v/>
      </c>
      <c r="I1688" s="12">
        <f>IF($H1688="","",IF($H1688=0,"Non trouvé",IF($H1688=1,"Match","À vérifier")))</f>
        <v/>
      </c>
      <c r="J1688" s="21">
        <f>IF($I1688&lt;&gt;"Match","",INDEX(Ventes_Encaissements!$B$6:$B$3005,_xludf.AGGREGATE(15,6,(ROW(Ventes_Encaissements!$B$6:$B$3005)-ROW(Ventes_Encaissements!$B$6)+1)/((Ventes_Encaissements!$E$6:$E$3005=$B1688)*(Ventes_Encaissements!$J$6:$J$3005=$G1688)*(Ventes_Encaissements!$C$6:$C$3005&gt;=$C1688-3)*(Ventes_Encaissements!$C$6:$C$3005&lt;=$C1688+3)),1)))</f>
        <v/>
      </c>
      <c r="K1688" s="6" t="n"/>
    </row>
    <row r="1689">
      <c r="A1689" s="6" t="n"/>
      <c r="B1689" s="6" t="n"/>
      <c r="C1689" s="19" t="n"/>
      <c r="D1689" s="19" t="n"/>
      <c r="E1689" s="6" t="n"/>
      <c r="F1689" s="20" t="n"/>
      <c r="G1689" s="9">
        <f>IF($F1689="","",IF($F1689&gt;0,ROUND($F1689,2),""))</f>
        <v/>
      </c>
      <c r="H1689" s="12">
        <f>IF(OR($B1689="",$C1689="",$G1689=""),"",COUNTIFS(Ventes_Encaissements!$E$6:$E$3005,$B1689,Ventes_Encaissements!$J$6:$J$3005,$G1689,Ventes_Encaissements!$C$6:$C$3005,"&gt;="&amp;($C1689-3),Ventes_Encaissements!$C$6:$C$3005,"&lt;="&amp;($C1689+3)))</f>
        <v/>
      </c>
      <c r="I1689" s="12">
        <f>IF($H1689="","",IF($H1689=0,"Non trouvé",IF($H1689=1,"Match","À vérifier")))</f>
        <v/>
      </c>
      <c r="J1689" s="21">
        <f>IF($I1689&lt;&gt;"Match","",INDEX(Ventes_Encaissements!$B$6:$B$3005,_xludf.AGGREGATE(15,6,(ROW(Ventes_Encaissements!$B$6:$B$3005)-ROW(Ventes_Encaissements!$B$6)+1)/((Ventes_Encaissements!$E$6:$E$3005=$B1689)*(Ventes_Encaissements!$J$6:$J$3005=$G1689)*(Ventes_Encaissements!$C$6:$C$3005&gt;=$C1689-3)*(Ventes_Encaissements!$C$6:$C$3005&lt;=$C1689+3)),1)))</f>
        <v/>
      </c>
      <c r="K1689" s="6" t="n"/>
    </row>
    <row r="1690">
      <c r="A1690" s="6" t="n"/>
      <c r="B1690" s="6" t="n"/>
      <c r="C1690" s="19" t="n"/>
      <c r="D1690" s="19" t="n"/>
      <c r="E1690" s="6" t="n"/>
      <c r="F1690" s="20" t="n"/>
      <c r="G1690" s="9">
        <f>IF($F1690="","",IF($F1690&gt;0,ROUND($F1690,2),""))</f>
        <v/>
      </c>
      <c r="H1690" s="12">
        <f>IF(OR($B1690="",$C1690="",$G1690=""),"",COUNTIFS(Ventes_Encaissements!$E$6:$E$3005,$B1690,Ventes_Encaissements!$J$6:$J$3005,$G1690,Ventes_Encaissements!$C$6:$C$3005,"&gt;="&amp;($C1690-3),Ventes_Encaissements!$C$6:$C$3005,"&lt;="&amp;($C1690+3)))</f>
        <v/>
      </c>
      <c r="I1690" s="12">
        <f>IF($H1690="","",IF($H1690=0,"Non trouvé",IF($H1690=1,"Match","À vérifier")))</f>
        <v/>
      </c>
      <c r="J1690" s="21">
        <f>IF($I1690&lt;&gt;"Match","",INDEX(Ventes_Encaissements!$B$6:$B$3005,_xludf.AGGREGATE(15,6,(ROW(Ventes_Encaissements!$B$6:$B$3005)-ROW(Ventes_Encaissements!$B$6)+1)/((Ventes_Encaissements!$E$6:$E$3005=$B1690)*(Ventes_Encaissements!$J$6:$J$3005=$G1690)*(Ventes_Encaissements!$C$6:$C$3005&gt;=$C1690-3)*(Ventes_Encaissements!$C$6:$C$3005&lt;=$C1690+3)),1)))</f>
        <v/>
      </c>
      <c r="K1690" s="6" t="n"/>
    </row>
    <row r="1691">
      <c r="A1691" s="6" t="n"/>
      <c r="B1691" s="6" t="n"/>
      <c r="C1691" s="19" t="n"/>
      <c r="D1691" s="19" t="n"/>
      <c r="E1691" s="6" t="n"/>
      <c r="F1691" s="20" t="n"/>
      <c r="G1691" s="9">
        <f>IF($F1691="","",IF($F1691&gt;0,ROUND($F1691,2),""))</f>
        <v/>
      </c>
      <c r="H1691" s="12">
        <f>IF(OR($B1691="",$C1691="",$G1691=""),"",COUNTIFS(Ventes_Encaissements!$E$6:$E$3005,$B1691,Ventes_Encaissements!$J$6:$J$3005,$G1691,Ventes_Encaissements!$C$6:$C$3005,"&gt;="&amp;($C1691-3),Ventes_Encaissements!$C$6:$C$3005,"&lt;="&amp;($C1691+3)))</f>
        <v/>
      </c>
      <c r="I1691" s="12">
        <f>IF($H1691="","",IF($H1691=0,"Non trouvé",IF($H1691=1,"Match","À vérifier")))</f>
        <v/>
      </c>
      <c r="J1691" s="21">
        <f>IF($I1691&lt;&gt;"Match","",INDEX(Ventes_Encaissements!$B$6:$B$3005,_xludf.AGGREGATE(15,6,(ROW(Ventes_Encaissements!$B$6:$B$3005)-ROW(Ventes_Encaissements!$B$6)+1)/((Ventes_Encaissements!$E$6:$E$3005=$B1691)*(Ventes_Encaissements!$J$6:$J$3005=$G1691)*(Ventes_Encaissements!$C$6:$C$3005&gt;=$C1691-3)*(Ventes_Encaissements!$C$6:$C$3005&lt;=$C1691+3)),1)))</f>
        <v/>
      </c>
      <c r="K1691" s="6" t="n"/>
    </row>
    <row r="1692">
      <c r="A1692" s="6" t="n"/>
      <c r="B1692" s="6" t="n"/>
      <c r="C1692" s="19" t="n"/>
      <c r="D1692" s="19" t="n"/>
      <c r="E1692" s="6" t="n"/>
      <c r="F1692" s="20" t="n"/>
      <c r="G1692" s="9">
        <f>IF($F1692="","",IF($F1692&gt;0,ROUND($F1692,2),""))</f>
        <v/>
      </c>
      <c r="H1692" s="12">
        <f>IF(OR($B1692="",$C1692="",$G1692=""),"",COUNTIFS(Ventes_Encaissements!$E$6:$E$3005,$B1692,Ventes_Encaissements!$J$6:$J$3005,$G1692,Ventes_Encaissements!$C$6:$C$3005,"&gt;="&amp;($C1692-3),Ventes_Encaissements!$C$6:$C$3005,"&lt;="&amp;($C1692+3)))</f>
        <v/>
      </c>
      <c r="I1692" s="12">
        <f>IF($H1692="","",IF($H1692=0,"Non trouvé",IF($H1692=1,"Match","À vérifier")))</f>
        <v/>
      </c>
      <c r="J1692" s="21">
        <f>IF($I1692&lt;&gt;"Match","",INDEX(Ventes_Encaissements!$B$6:$B$3005,_xludf.AGGREGATE(15,6,(ROW(Ventes_Encaissements!$B$6:$B$3005)-ROW(Ventes_Encaissements!$B$6)+1)/((Ventes_Encaissements!$E$6:$E$3005=$B1692)*(Ventes_Encaissements!$J$6:$J$3005=$G1692)*(Ventes_Encaissements!$C$6:$C$3005&gt;=$C1692-3)*(Ventes_Encaissements!$C$6:$C$3005&lt;=$C1692+3)),1)))</f>
        <v/>
      </c>
      <c r="K1692" s="6" t="n"/>
    </row>
    <row r="1693">
      <c r="A1693" s="6" t="n"/>
      <c r="B1693" s="6" t="n"/>
      <c r="C1693" s="19" t="n"/>
      <c r="D1693" s="19" t="n"/>
      <c r="E1693" s="6" t="n"/>
      <c r="F1693" s="20" t="n"/>
      <c r="G1693" s="9">
        <f>IF($F1693="","",IF($F1693&gt;0,ROUND($F1693,2),""))</f>
        <v/>
      </c>
      <c r="H1693" s="12">
        <f>IF(OR($B1693="",$C1693="",$G1693=""),"",COUNTIFS(Ventes_Encaissements!$E$6:$E$3005,$B1693,Ventes_Encaissements!$J$6:$J$3005,$G1693,Ventes_Encaissements!$C$6:$C$3005,"&gt;="&amp;($C1693-3),Ventes_Encaissements!$C$6:$C$3005,"&lt;="&amp;($C1693+3)))</f>
        <v/>
      </c>
      <c r="I1693" s="12">
        <f>IF($H1693="","",IF($H1693=0,"Non trouvé",IF($H1693=1,"Match","À vérifier")))</f>
        <v/>
      </c>
      <c r="J1693" s="21">
        <f>IF($I1693&lt;&gt;"Match","",INDEX(Ventes_Encaissements!$B$6:$B$3005,_xludf.AGGREGATE(15,6,(ROW(Ventes_Encaissements!$B$6:$B$3005)-ROW(Ventes_Encaissements!$B$6)+1)/((Ventes_Encaissements!$E$6:$E$3005=$B1693)*(Ventes_Encaissements!$J$6:$J$3005=$G1693)*(Ventes_Encaissements!$C$6:$C$3005&gt;=$C1693-3)*(Ventes_Encaissements!$C$6:$C$3005&lt;=$C1693+3)),1)))</f>
        <v/>
      </c>
      <c r="K1693" s="6" t="n"/>
    </row>
    <row r="1694">
      <c r="A1694" s="6" t="n"/>
      <c r="B1694" s="6" t="n"/>
      <c r="C1694" s="19" t="n"/>
      <c r="D1694" s="19" t="n"/>
      <c r="E1694" s="6" t="n"/>
      <c r="F1694" s="20" t="n"/>
      <c r="G1694" s="9">
        <f>IF($F1694="","",IF($F1694&gt;0,ROUND($F1694,2),""))</f>
        <v/>
      </c>
      <c r="H1694" s="12">
        <f>IF(OR($B1694="",$C1694="",$G1694=""),"",COUNTIFS(Ventes_Encaissements!$E$6:$E$3005,$B1694,Ventes_Encaissements!$J$6:$J$3005,$G1694,Ventes_Encaissements!$C$6:$C$3005,"&gt;="&amp;($C1694-3),Ventes_Encaissements!$C$6:$C$3005,"&lt;="&amp;($C1694+3)))</f>
        <v/>
      </c>
      <c r="I1694" s="12">
        <f>IF($H1694="","",IF($H1694=0,"Non trouvé",IF($H1694=1,"Match","À vérifier")))</f>
        <v/>
      </c>
      <c r="J1694" s="21">
        <f>IF($I1694&lt;&gt;"Match","",INDEX(Ventes_Encaissements!$B$6:$B$3005,_xludf.AGGREGATE(15,6,(ROW(Ventes_Encaissements!$B$6:$B$3005)-ROW(Ventes_Encaissements!$B$6)+1)/((Ventes_Encaissements!$E$6:$E$3005=$B1694)*(Ventes_Encaissements!$J$6:$J$3005=$G1694)*(Ventes_Encaissements!$C$6:$C$3005&gt;=$C1694-3)*(Ventes_Encaissements!$C$6:$C$3005&lt;=$C1694+3)),1)))</f>
        <v/>
      </c>
      <c r="K1694" s="6" t="n"/>
    </row>
    <row r="1695">
      <c r="A1695" s="6" t="n"/>
      <c r="B1695" s="6" t="n"/>
      <c r="C1695" s="19" t="n"/>
      <c r="D1695" s="19" t="n"/>
      <c r="E1695" s="6" t="n"/>
      <c r="F1695" s="20" t="n"/>
      <c r="G1695" s="9">
        <f>IF($F1695="","",IF($F1695&gt;0,ROUND($F1695,2),""))</f>
        <v/>
      </c>
      <c r="H1695" s="12">
        <f>IF(OR($B1695="",$C1695="",$G1695=""),"",COUNTIFS(Ventes_Encaissements!$E$6:$E$3005,$B1695,Ventes_Encaissements!$J$6:$J$3005,$G1695,Ventes_Encaissements!$C$6:$C$3005,"&gt;="&amp;($C1695-3),Ventes_Encaissements!$C$6:$C$3005,"&lt;="&amp;($C1695+3)))</f>
        <v/>
      </c>
      <c r="I1695" s="12">
        <f>IF($H1695="","",IF($H1695=0,"Non trouvé",IF($H1695=1,"Match","À vérifier")))</f>
        <v/>
      </c>
      <c r="J1695" s="21">
        <f>IF($I1695&lt;&gt;"Match","",INDEX(Ventes_Encaissements!$B$6:$B$3005,_xludf.AGGREGATE(15,6,(ROW(Ventes_Encaissements!$B$6:$B$3005)-ROW(Ventes_Encaissements!$B$6)+1)/((Ventes_Encaissements!$E$6:$E$3005=$B1695)*(Ventes_Encaissements!$J$6:$J$3005=$G1695)*(Ventes_Encaissements!$C$6:$C$3005&gt;=$C1695-3)*(Ventes_Encaissements!$C$6:$C$3005&lt;=$C1695+3)),1)))</f>
        <v/>
      </c>
      <c r="K1695" s="6" t="n"/>
    </row>
    <row r="1696">
      <c r="A1696" s="6" t="n"/>
      <c r="B1696" s="6" t="n"/>
      <c r="C1696" s="19" t="n"/>
      <c r="D1696" s="19" t="n"/>
      <c r="E1696" s="6" t="n"/>
      <c r="F1696" s="20" t="n"/>
      <c r="G1696" s="9">
        <f>IF($F1696="","",IF($F1696&gt;0,ROUND($F1696,2),""))</f>
        <v/>
      </c>
      <c r="H1696" s="12">
        <f>IF(OR($B1696="",$C1696="",$G1696=""),"",COUNTIFS(Ventes_Encaissements!$E$6:$E$3005,$B1696,Ventes_Encaissements!$J$6:$J$3005,$G1696,Ventes_Encaissements!$C$6:$C$3005,"&gt;="&amp;($C1696-3),Ventes_Encaissements!$C$6:$C$3005,"&lt;="&amp;($C1696+3)))</f>
        <v/>
      </c>
      <c r="I1696" s="12">
        <f>IF($H1696="","",IF($H1696=0,"Non trouvé",IF($H1696=1,"Match","À vérifier")))</f>
        <v/>
      </c>
      <c r="J1696" s="21">
        <f>IF($I1696&lt;&gt;"Match","",INDEX(Ventes_Encaissements!$B$6:$B$3005,_xludf.AGGREGATE(15,6,(ROW(Ventes_Encaissements!$B$6:$B$3005)-ROW(Ventes_Encaissements!$B$6)+1)/((Ventes_Encaissements!$E$6:$E$3005=$B1696)*(Ventes_Encaissements!$J$6:$J$3005=$G1696)*(Ventes_Encaissements!$C$6:$C$3005&gt;=$C1696-3)*(Ventes_Encaissements!$C$6:$C$3005&lt;=$C1696+3)),1)))</f>
        <v/>
      </c>
      <c r="K1696" s="6" t="n"/>
    </row>
    <row r="1697">
      <c r="A1697" s="6" t="n"/>
      <c r="B1697" s="6" t="n"/>
      <c r="C1697" s="19" t="n"/>
      <c r="D1697" s="19" t="n"/>
      <c r="E1697" s="6" t="n"/>
      <c r="F1697" s="20" t="n"/>
      <c r="G1697" s="9">
        <f>IF($F1697="","",IF($F1697&gt;0,ROUND($F1697,2),""))</f>
        <v/>
      </c>
      <c r="H1697" s="12">
        <f>IF(OR($B1697="",$C1697="",$G1697=""),"",COUNTIFS(Ventes_Encaissements!$E$6:$E$3005,$B1697,Ventes_Encaissements!$J$6:$J$3005,$G1697,Ventes_Encaissements!$C$6:$C$3005,"&gt;="&amp;($C1697-3),Ventes_Encaissements!$C$6:$C$3005,"&lt;="&amp;($C1697+3)))</f>
        <v/>
      </c>
      <c r="I1697" s="12">
        <f>IF($H1697="","",IF($H1697=0,"Non trouvé",IF($H1697=1,"Match","À vérifier")))</f>
        <v/>
      </c>
      <c r="J1697" s="21">
        <f>IF($I1697&lt;&gt;"Match","",INDEX(Ventes_Encaissements!$B$6:$B$3005,_xludf.AGGREGATE(15,6,(ROW(Ventes_Encaissements!$B$6:$B$3005)-ROW(Ventes_Encaissements!$B$6)+1)/((Ventes_Encaissements!$E$6:$E$3005=$B1697)*(Ventes_Encaissements!$J$6:$J$3005=$G1697)*(Ventes_Encaissements!$C$6:$C$3005&gt;=$C1697-3)*(Ventes_Encaissements!$C$6:$C$3005&lt;=$C1697+3)),1)))</f>
        <v/>
      </c>
      <c r="K1697" s="6" t="n"/>
    </row>
    <row r="1698">
      <c r="A1698" s="6" t="n"/>
      <c r="B1698" s="6" t="n"/>
      <c r="C1698" s="19" t="n"/>
      <c r="D1698" s="19" t="n"/>
      <c r="E1698" s="6" t="n"/>
      <c r="F1698" s="20" t="n"/>
      <c r="G1698" s="9">
        <f>IF($F1698="","",IF($F1698&gt;0,ROUND($F1698,2),""))</f>
        <v/>
      </c>
      <c r="H1698" s="12">
        <f>IF(OR($B1698="",$C1698="",$G1698=""),"",COUNTIFS(Ventes_Encaissements!$E$6:$E$3005,$B1698,Ventes_Encaissements!$J$6:$J$3005,$G1698,Ventes_Encaissements!$C$6:$C$3005,"&gt;="&amp;($C1698-3),Ventes_Encaissements!$C$6:$C$3005,"&lt;="&amp;($C1698+3)))</f>
        <v/>
      </c>
      <c r="I1698" s="12">
        <f>IF($H1698="","",IF($H1698=0,"Non trouvé",IF($H1698=1,"Match","À vérifier")))</f>
        <v/>
      </c>
      <c r="J1698" s="21">
        <f>IF($I1698&lt;&gt;"Match","",INDEX(Ventes_Encaissements!$B$6:$B$3005,_xludf.AGGREGATE(15,6,(ROW(Ventes_Encaissements!$B$6:$B$3005)-ROW(Ventes_Encaissements!$B$6)+1)/((Ventes_Encaissements!$E$6:$E$3005=$B1698)*(Ventes_Encaissements!$J$6:$J$3005=$G1698)*(Ventes_Encaissements!$C$6:$C$3005&gt;=$C1698-3)*(Ventes_Encaissements!$C$6:$C$3005&lt;=$C1698+3)),1)))</f>
        <v/>
      </c>
      <c r="K1698" s="6" t="n"/>
    </row>
    <row r="1699">
      <c r="A1699" s="6" t="n"/>
      <c r="B1699" s="6" t="n"/>
      <c r="C1699" s="19" t="n"/>
      <c r="D1699" s="19" t="n"/>
      <c r="E1699" s="6" t="n"/>
      <c r="F1699" s="20" t="n"/>
      <c r="G1699" s="9">
        <f>IF($F1699="","",IF($F1699&gt;0,ROUND($F1699,2),""))</f>
        <v/>
      </c>
      <c r="H1699" s="12">
        <f>IF(OR($B1699="",$C1699="",$G1699=""),"",COUNTIFS(Ventes_Encaissements!$E$6:$E$3005,$B1699,Ventes_Encaissements!$J$6:$J$3005,$G1699,Ventes_Encaissements!$C$6:$C$3005,"&gt;="&amp;($C1699-3),Ventes_Encaissements!$C$6:$C$3005,"&lt;="&amp;($C1699+3)))</f>
        <v/>
      </c>
      <c r="I1699" s="12">
        <f>IF($H1699="","",IF($H1699=0,"Non trouvé",IF($H1699=1,"Match","À vérifier")))</f>
        <v/>
      </c>
      <c r="J1699" s="21">
        <f>IF($I1699&lt;&gt;"Match","",INDEX(Ventes_Encaissements!$B$6:$B$3005,_xludf.AGGREGATE(15,6,(ROW(Ventes_Encaissements!$B$6:$B$3005)-ROW(Ventes_Encaissements!$B$6)+1)/((Ventes_Encaissements!$E$6:$E$3005=$B1699)*(Ventes_Encaissements!$J$6:$J$3005=$G1699)*(Ventes_Encaissements!$C$6:$C$3005&gt;=$C1699-3)*(Ventes_Encaissements!$C$6:$C$3005&lt;=$C1699+3)),1)))</f>
        <v/>
      </c>
      <c r="K1699" s="6" t="n"/>
    </row>
    <row r="1700">
      <c r="A1700" s="6" t="n"/>
      <c r="B1700" s="6" t="n"/>
      <c r="C1700" s="19" t="n"/>
      <c r="D1700" s="19" t="n"/>
      <c r="E1700" s="6" t="n"/>
      <c r="F1700" s="20" t="n"/>
      <c r="G1700" s="9">
        <f>IF($F1700="","",IF($F1700&gt;0,ROUND($F1700,2),""))</f>
        <v/>
      </c>
      <c r="H1700" s="12">
        <f>IF(OR($B1700="",$C1700="",$G1700=""),"",COUNTIFS(Ventes_Encaissements!$E$6:$E$3005,$B1700,Ventes_Encaissements!$J$6:$J$3005,$G1700,Ventes_Encaissements!$C$6:$C$3005,"&gt;="&amp;($C1700-3),Ventes_Encaissements!$C$6:$C$3005,"&lt;="&amp;($C1700+3)))</f>
        <v/>
      </c>
      <c r="I1700" s="12">
        <f>IF($H1700="","",IF($H1700=0,"Non trouvé",IF($H1700=1,"Match","À vérifier")))</f>
        <v/>
      </c>
      <c r="J1700" s="21">
        <f>IF($I1700&lt;&gt;"Match","",INDEX(Ventes_Encaissements!$B$6:$B$3005,_xludf.AGGREGATE(15,6,(ROW(Ventes_Encaissements!$B$6:$B$3005)-ROW(Ventes_Encaissements!$B$6)+1)/((Ventes_Encaissements!$E$6:$E$3005=$B1700)*(Ventes_Encaissements!$J$6:$J$3005=$G1700)*(Ventes_Encaissements!$C$6:$C$3005&gt;=$C1700-3)*(Ventes_Encaissements!$C$6:$C$3005&lt;=$C1700+3)),1)))</f>
        <v/>
      </c>
      <c r="K1700" s="6" t="n"/>
    </row>
    <row r="1701">
      <c r="A1701" s="6" t="n"/>
      <c r="B1701" s="6" t="n"/>
      <c r="C1701" s="19" t="n"/>
      <c r="D1701" s="19" t="n"/>
      <c r="E1701" s="6" t="n"/>
      <c r="F1701" s="20" t="n"/>
      <c r="G1701" s="9">
        <f>IF($F1701="","",IF($F1701&gt;0,ROUND($F1701,2),""))</f>
        <v/>
      </c>
      <c r="H1701" s="12">
        <f>IF(OR($B1701="",$C1701="",$G1701=""),"",COUNTIFS(Ventes_Encaissements!$E$6:$E$3005,$B1701,Ventes_Encaissements!$J$6:$J$3005,$G1701,Ventes_Encaissements!$C$6:$C$3005,"&gt;="&amp;($C1701-3),Ventes_Encaissements!$C$6:$C$3005,"&lt;="&amp;($C1701+3)))</f>
        <v/>
      </c>
      <c r="I1701" s="12">
        <f>IF($H1701="","",IF($H1701=0,"Non trouvé",IF($H1701=1,"Match","À vérifier")))</f>
        <v/>
      </c>
      <c r="J1701" s="21">
        <f>IF($I1701&lt;&gt;"Match","",INDEX(Ventes_Encaissements!$B$6:$B$3005,_xludf.AGGREGATE(15,6,(ROW(Ventes_Encaissements!$B$6:$B$3005)-ROW(Ventes_Encaissements!$B$6)+1)/((Ventes_Encaissements!$E$6:$E$3005=$B1701)*(Ventes_Encaissements!$J$6:$J$3005=$G1701)*(Ventes_Encaissements!$C$6:$C$3005&gt;=$C1701-3)*(Ventes_Encaissements!$C$6:$C$3005&lt;=$C1701+3)),1)))</f>
        <v/>
      </c>
      <c r="K1701" s="6" t="n"/>
    </row>
    <row r="1702">
      <c r="A1702" s="6" t="n"/>
      <c r="B1702" s="6" t="n"/>
      <c r="C1702" s="19" t="n"/>
      <c r="D1702" s="19" t="n"/>
      <c r="E1702" s="6" t="n"/>
      <c r="F1702" s="20" t="n"/>
      <c r="G1702" s="9">
        <f>IF($F1702="","",IF($F1702&gt;0,ROUND($F1702,2),""))</f>
        <v/>
      </c>
      <c r="H1702" s="12">
        <f>IF(OR($B1702="",$C1702="",$G1702=""),"",COUNTIFS(Ventes_Encaissements!$E$6:$E$3005,$B1702,Ventes_Encaissements!$J$6:$J$3005,$G1702,Ventes_Encaissements!$C$6:$C$3005,"&gt;="&amp;($C1702-3),Ventes_Encaissements!$C$6:$C$3005,"&lt;="&amp;($C1702+3)))</f>
        <v/>
      </c>
      <c r="I1702" s="12">
        <f>IF($H1702="","",IF($H1702=0,"Non trouvé",IF($H1702=1,"Match","À vérifier")))</f>
        <v/>
      </c>
      <c r="J1702" s="21">
        <f>IF($I1702&lt;&gt;"Match","",INDEX(Ventes_Encaissements!$B$6:$B$3005,_xludf.AGGREGATE(15,6,(ROW(Ventes_Encaissements!$B$6:$B$3005)-ROW(Ventes_Encaissements!$B$6)+1)/((Ventes_Encaissements!$E$6:$E$3005=$B1702)*(Ventes_Encaissements!$J$6:$J$3005=$G1702)*(Ventes_Encaissements!$C$6:$C$3005&gt;=$C1702-3)*(Ventes_Encaissements!$C$6:$C$3005&lt;=$C1702+3)),1)))</f>
        <v/>
      </c>
      <c r="K1702" s="6" t="n"/>
    </row>
    <row r="1703">
      <c r="A1703" s="6" t="n"/>
      <c r="B1703" s="6" t="n"/>
      <c r="C1703" s="19" t="n"/>
      <c r="D1703" s="19" t="n"/>
      <c r="E1703" s="6" t="n"/>
      <c r="F1703" s="20" t="n"/>
      <c r="G1703" s="9">
        <f>IF($F1703="","",IF($F1703&gt;0,ROUND($F1703,2),""))</f>
        <v/>
      </c>
      <c r="H1703" s="12">
        <f>IF(OR($B1703="",$C1703="",$G1703=""),"",COUNTIFS(Ventes_Encaissements!$E$6:$E$3005,$B1703,Ventes_Encaissements!$J$6:$J$3005,$G1703,Ventes_Encaissements!$C$6:$C$3005,"&gt;="&amp;($C1703-3),Ventes_Encaissements!$C$6:$C$3005,"&lt;="&amp;($C1703+3)))</f>
        <v/>
      </c>
      <c r="I1703" s="12">
        <f>IF($H1703="","",IF($H1703=0,"Non trouvé",IF($H1703=1,"Match","À vérifier")))</f>
        <v/>
      </c>
      <c r="J1703" s="21">
        <f>IF($I1703&lt;&gt;"Match","",INDEX(Ventes_Encaissements!$B$6:$B$3005,_xludf.AGGREGATE(15,6,(ROW(Ventes_Encaissements!$B$6:$B$3005)-ROW(Ventes_Encaissements!$B$6)+1)/((Ventes_Encaissements!$E$6:$E$3005=$B1703)*(Ventes_Encaissements!$J$6:$J$3005=$G1703)*(Ventes_Encaissements!$C$6:$C$3005&gt;=$C1703-3)*(Ventes_Encaissements!$C$6:$C$3005&lt;=$C1703+3)),1)))</f>
        <v/>
      </c>
      <c r="K1703" s="6" t="n"/>
    </row>
    <row r="1704">
      <c r="A1704" s="6" t="n"/>
      <c r="B1704" s="6" t="n"/>
      <c r="C1704" s="19" t="n"/>
      <c r="D1704" s="19" t="n"/>
      <c r="E1704" s="6" t="n"/>
      <c r="F1704" s="20" t="n"/>
      <c r="G1704" s="9">
        <f>IF($F1704="","",IF($F1704&gt;0,ROUND($F1704,2),""))</f>
        <v/>
      </c>
      <c r="H1704" s="12">
        <f>IF(OR($B1704="",$C1704="",$G1704=""),"",COUNTIFS(Ventes_Encaissements!$E$6:$E$3005,$B1704,Ventes_Encaissements!$J$6:$J$3005,$G1704,Ventes_Encaissements!$C$6:$C$3005,"&gt;="&amp;($C1704-3),Ventes_Encaissements!$C$6:$C$3005,"&lt;="&amp;($C1704+3)))</f>
        <v/>
      </c>
      <c r="I1704" s="12">
        <f>IF($H1704="","",IF($H1704=0,"Non trouvé",IF($H1704=1,"Match","À vérifier")))</f>
        <v/>
      </c>
      <c r="J1704" s="21">
        <f>IF($I1704&lt;&gt;"Match","",INDEX(Ventes_Encaissements!$B$6:$B$3005,_xludf.AGGREGATE(15,6,(ROW(Ventes_Encaissements!$B$6:$B$3005)-ROW(Ventes_Encaissements!$B$6)+1)/((Ventes_Encaissements!$E$6:$E$3005=$B1704)*(Ventes_Encaissements!$J$6:$J$3005=$G1704)*(Ventes_Encaissements!$C$6:$C$3005&gt;=$C1704-3)*(Ventes_Encaissements!$C$6:$C$3005&lt;=$C1704+3)),1)))</f>
        <v/>
      </c>
      <c r="K1704" s="6" t="n"/>
    </row>
    <row r="1705">
      <c r="A1705" s="6" t="n"/>
      <c r="B1705" s="6" t="n"/>
      <c r="C1705" s="19" t="n"/>
      <c r="D1705" s="19" t="n"/>
      <c r="E1705" s="6" t="n"/>
      <c r="F1705" s="20" t="n"/>
      <c r="G1705" s="9">
        <f>IF($F1705="","",IF($F1705&gt;0,ROUND($F1705,2),""))</f>
        <v/>
      </c>
      <c r="H1705" s="12">
        <f>IF(OR($B1705="",$C1705="",$G1705=""),"",COUNTIFS(Ventes_Encaissements!$E$6:$E$3005,$B1705,Ventes_Encaissements!$J$6:$J$3005,$G1705,Ventes_Encaissements!$C$6:$C$3005,"&gt;="&amp;($C1705-3),Ventes_Encaissements!$C$6:$C$3005,"&lt;="&amp;($C1705+3)))</f>
        <v/>
      </c>
      <c r="I1705" s="12">
        <f>IF($H1705="","",IF($H1705=0,"Non trouvé",IF($H1705=1,"Match","À vérifier")))</f>
        <v/>
      </c>
      <c r="J1705" s="21">
        <f>IF($I1705&lt;&gt;"Match","",INDEX(Ventes_Encaissements!$B$6:$B$3005,_xludf.AGGREGATE(15,6,(ROW(Ventes_Encaissements!$B$6:$B$3005)-ROW(Ventes_Encaissements!$B$6)+1)/((Ventes_Encaissements!$E$6:$E$3005=$B1705)*(Ventes_Encaissements!$J$6:$J$3005=$G1705)*(Ventes_Encaissements!$C$6:$C$3005&gt;=$C1705-3)*(Ventes_Encaissements!$C$6:$C$3005&lt;=$C1705+3)),1)))</f>
        <v/>
      </c>
      <c r="K1705" s="6" t="n"/>
    </row>
    <row r="1706">
      <c r="A1706" s="6" t="n"/>
      <c r="B1706" s="6" t="n"/>
      <c r="C1706" s="19" t="n"/>
      <c r="D1706" s="19" t="n"/>
      <c r="E1706" s="6" t="n"/>
      <c r="F1706" s="20" t="n"/>
      <c r="G1706" s="9">
        <f>IF($F1706="","",IF($F1706&gt;0,ROUND($F1706,2),""))</f>
        <v/>
      </c>
      <c r="H1706" s="12">
        <f>IF(OR($B1706="",$C1706="",$G1706=""),"",COUNTIFS(Ventes_Encaissements!$E$6:$E$3005,$B1706,Ventes_Encaissements!$J$6:$J$3005,$G1706,Ventes_Encaissements!$C$6:$C$3005,"&gt;="&amp;($C1706-3),Ventes_Encaissements!$C$6:$C$3005,"&lt;="&amp;($C1706+3)))</f>
        <v/>
      </c>
      <c r="I1706" s="12">
        <f>IF($H1706="","",IF($H1706=0,"Non trouvé",IF($H1706=1,"Match","À vérifier")))</f>
        <v/>
      </c>
      <c r="J1706" s="21">
        <f>IF($I1706&lt;&gt;"Match","",INDEX(Ventes_Encaissements!$B$6:$B$3005,_xludf.AGGREGATE(15,6,(ROW(Ventes_Encaissements!$B$6:$B$3005)-ROW(Ventes_Encaissements!$B$6)+1)/((Ventes_Encaissements!$E$6:$E$3005=$B1706)*(Ventes_Encaissements!$J$6:$J$3005=$G1706)*(Ventes_Encaissements!$C$6:$C$3005&gt;=$C1706-3)*(Ventes_Encaissements!$C$6:$C$3005&lt;=$C1706+3)),1)))</f>
        <v/>
      </c>
      <c r="K1706" s="6" t="n"/>
    </row>
    <row r="1707">
      <c r="A1707" s="6" t="n"/>
      <c r="B1707" s="6" t="n"/>
      <c r="C1707" s="19" t="n"/>
      <c r="D1707" s="19" t="n"/>
      <c r="E1707" s="6" t="n"/>
      <c r="F1707" s="20" t="n"/>
      <c r="G1707" s="9">
        <f>IF($F1707="","",IF($F1707&gt;0,ROUND($F1707,2),""))</f>
        <v/>
      </c>
      <c r="H1707" s="12">
        <f>IF(OR($B1707="",$C1707="",$G1707=""),"",COUNTIFS(Ventes_Encaissements!$E$6:$E$3005,$B1707,Ventes_Encaissements!$J$6:$J$3005,$G1707,Ventes_Encaissements!$C$6:$C$3005,"&gt;="&amp;($C1707-3),Ventes_Encaissements!$C$6:$C$3005,"&lt;="&amp;($C1707+3)))</f>
        <v/>
      </c>
      <c r="I1707" s="12">
        <f>IF($H1707="","",IF($H1707=0,"Non trouvé",IF($H1707=1,"Match","À vérifier")))</f>
        <v/>
      </c>
      <c r="J1707" s="21">
        <f>IF($I1707&lt;&gt;"Match","",INDEX(Ventes_Encaissements!$B$6:$B$3005,_xludf.AGGREGATE(15,6,(ROW(Ventes_Encaissements!$B$6:$B$3005)-ROW(Ventes_Encaissements!$B$6)+1)/((Ventes_Encaissements!$E$6:$E$3005=$B1707)*(Ventes_Encaissements!$J$6:$J$3005=$G1707)*(Ventes_Encaissements!$C$6:$C$3005&gt;=$C1707-3)*(Ventes_Encaissements!$C$6:$C$3005&lt;=$C1707+3)),1)))</f>
        <v/>
      </c>
      <c r="K1707" s="6" t="n"/>
    </row>
    <row r="1708">
      <c r="A1708" s="6" t="n"/>
      <c r="B1708" s="6" t="n"/>
      <c r="C1708" s="19" t="n"/>
      <c r="D1708" s="19" t="n"/>
      <c r="E1708" s="6" t="n"/>
      <c r="F1708" s="20" t="n"/>
      <c r="G1708" s="9">
        <f>IF($F1708="","",IF($F1708&gt;0,ROUND($F1708,2),""))</f>
        <v/>
      </c>
      <c r="H1708" s="12">
        <f>IF(OR($B1708="",$C1708="",$G1708=""),"",COUNTIFS(Ventes_Encaissements!$E$6:$E$3005,$B1708,Ventes_Encaissements!$J$6:$J$3005,$G1708,Ventes_Encaissements!$C$6:$C$3005,"&gt;="&amp;($C1708-3),Ventes_Encaissements!$C$6:$C$3005,"&lt;="&amp;($C1708+3)))</f>
        <v/>
      </c>
      <c r="I1708" s="12">
        <f>IF($H1708="","",IF($H1708=0,"Non trouvé",IF($H1708=1,"Match","À vérifier")))</f>
        <v/>
      </c>
      <c r="J1708" s="21">
        <f>IF($I1708&lt;&gt;"Match","",INDEX(Ventes_Encaissements!$B$6:$B$3005,_xludf.AGGREGATE(15,6,(ROW(Ventes_Encaissements!$B$6:$B$3005)-ROW(Ventes_Encaissements!$B$6)+1)/((Ventes_Encaissements!$E$6:$E$3005=$B1708)*(Ventes_Encaissements!$J$6:$J$3005=$G1708)*(Ventes_Encaissements!$C$6:$C$3005&gt;=$C1708-3)*(Ventes_Encaissements!$C$6:$C$3005&lt;=$C1708+3)),1)))</f>
        <v/>
      </c>
      <c r="K1708" s="6" t="n"/>
    </row>
    <row r="1709">
      <c r="A1709" s="6" t="n"/>
      <c r="B1709" s="6" t="n"/>
      <c r="C1709" s="19" t="n"/>
      <c r="D1709" s="19" t="n"/>
      <c r="E1709" s="6" t="n"/>
      <c r="F1709" s="20" t="n"/>
      <c r="G1709" s="9">
        <f>IF($F1709="","",IF($F1709&gt;0,ROUND($F1709,2),""))</f>
        <v/>
      </c>
      <c r="H1709" s="12">
        <f>IF(OR($B1709="",$C1709="",$G1709=""),"",COUNTIFS(Ventes_Encaissements!$E$6:$E$3005,$B1709,Ventes_Encaissements!$J$6:$J$3005,$G1709,Ventes_Encaissements!$C$6:$C$3005,"&gt;="&amp;($C1709-3),Ventes_Encaissements!$C$6:$C$3005,"&lt;="&amp;($C1709+3)))</f>
        <v/>
      </c>
      <c r="I1709" s="12">
        <f>IF($H1709="","",IF($H1709=0,"Non trouvé",IF($H1709=1,"Match","À vérifier")))</f>
        <v/>
      </c>
      <c r="J1709" s="21">
        <f>IF($I1709&lt;&gt;"Match","",INDEX(Ventes_Encaissements!$B$6:$B$3005,_xludf.AGGREGATE(15,6,(ROW(Ventes_Encaissements!$B$6:$B$3005)-ROW(Ventes_Encaissements!$B$6)+1)/((Ventes_Encaissements!$E$6:$E$3005=$B1709)*(Ventes_Encaissements!$J$6:$J$3005=$G1709)*(Ventes_Encaissements!$C$6:$C$3005&gt;=$C1709-3)*(Ventes_Encaissements!$C$6:$C$3005&lt;=$C1709+3)),1)))</f>
        <v/>
      </c>
      <c r="K1709" s="6" t="n"/>
    </row>
    <row r="1710">
      <c r="A1710" s="6" t="n"/>
      <c r="B1710" s="6" t="n"/>
      <c r="C1710" s="19" t="n"/>
      <c r="D1710" s="19" t="n"/>
      <c r="E1710" s="6" t="n"/>
      <c r="F1710" s="20" t="n"/>
      <c r="G1710" s="9">
        <f>IF($F1710="","",IF($F1710&gt;0,ROUND($F1710,2),""))</f>
        <v/>
      </c>
      <c r="H1710" s="12">
        <f>IF(OR($B1710="",$C1710="",$G1710=""),"",COUNTIFS(Ventes_Encaissements!$E$6:$E$3005,$B1710,Ventes_Encaissements!$J$6:$J$3005,$G1710,Ventes_Encaissements!$C$6:$C$3005,"&gt;="&amp;($C1710-3),Ventes_Encaissements!$C$6:$C$3005,"&lt;="&amp;($C1710+3)))</f>
        <v/>
      </c>
      <c r="I1710" s="12">
        <f>IF($H1710="","",IF($H1710=0,"Non trouvé",IF($H1710=1,"Match","À vérifier")))</f>
        <v/>
      </c>
      <c r="J1710" s="21">
        <f>IF($I1710&lt;&gt;"Match","",INDEX(Ventes_Encaissements!$B$6:$B$3005,_xludf.AGGREGATE(15,6,(ROW(Ventes_Encaissements!$B$6:$B$3005)-ROW(Ventes_Encaissements!$B$6)+1)/((Ventes_Encaissements!$E$6:$E$3005=$B1710)*(Ventes_Encaissements!$J$6:$J$3005=$G1710)*(Ventes_Encaissements!$C$6:$C$3005&gt;=$C1710-3)*(Ventes_Encaissements!$C$6:$C$3005&lt;=$C1710+3)),1)))</f>
        <v/>
      </c>
      <c r="K1710" s="6" t="n"/>
    </row>
    <row r="1711">
      <c r="A1711" s="6" t="n"/>
      <c r="B1711" s="6" t="n"/>
      <c r="C1711" s="19" t="n"/>
      <c r="D1711" s="19" t="n"/>
      <c r="E1711" s="6" t="n"/>
      <c r="F1711" s="20" t="n"/>
      <c r="G1711" s="9">
        <f>IF($F1711="","",IF($F1711&gt;0,ROUND($F1711,2),""))</f>
        <v/>
      </c>
      <c r="H1711" s="12">
        <f>IF(OR($B1711="",$C1711="",$G1711=""),"",COUNTIFS(Ventes_Encaissements!$E$6:$E$3005,$B1711,Ventes_Encaissements!$J$6:$J$3005,$G1711,Ventes_Encaissements!$C$6:$C$3005,"&gt;="&amp;($C1711-3),Ventes_Encaissements!$C$6:$C$3005,"&lt;="&amp;($C1711+3)))</f>
        <v/>
      </c>
      <c r="I1711" s="12">
        <f>IF($H1711="","",IF($H1711=0,"Non trouvé",IF($H1711=1,"Match","À vérifier")))</f>
        <v/>
      </c>
      <c r="J1711" s="21">
        <f>IF($I1711&lt;&gt;"Match","",INDEX(Ventes_Encaissements!$B$6:$B$3005,_xludf.AGGREGATE(15,6,(ROW(Ventes_Encaissements!$B$6:$B$3005)-ROW(Ventes_Encaissements!$B$6)+1)/((Ventes_Encaissements!$E$6:$E$3005=$B1711)*(Ventes_Encaissements!$J$6:$J$3005=$G1711)*(Ventes_Encaissements!$C$6:$C$3005&gt;=$C1711-3)*(Ventes_Encaissements!$C$6:$C$3005&lt;=$C1711+3)),1)))</f>
        <v/>
      </c>
      <c r="K1711" s="6" t="n"/>
    </row>
    <row r="1712">
      <c r="A1712" s="6" t="n"/>
      <c r="B1712" s="6" t="n"/>
      <c r="C1712" s="19" t="n"/>
      <c r="D1712" s="19" t="n"/>
      <c r="E1712" s="6" t="n"/>
      <c r="F1712" s="20" t="n"/>
      <c r="G1712" s="9">
        <f>IF($F1712="","",IF($F1712&gt;0,ROUND($F1712,2),""))</f>
        <v/>
      </c>
      <c r="H1712" s="12">
        <f>IF(OR($B1712="",$C1712="",$G1712=""),"",COUNTIFS(Ventes_Encaissements!$E$6:$E$3005,$B1712,Ventes_Encaissements!$J$6:$J$3005,$G1712,Ventes_Encaissements!$C$6:$C$3005,"&gt;="&amp;($C1712-3),Ventes_Encaissements!$C$6:$C$3005,"&lt;="&amp;($C1712+3)))</f>
        <v/>
      </c>
      <c r="I1712" s="12">
        <f>IF($H1712="","",IF($H1712=0,"Non trouvé",IF($H1712=1,"Match","À vérifier")))</f>
        <v/>
      </c>
      <c r="J1712" s="21">
        <f>IF($I1712&lt;&gt;"Match","",INDEX(Ventes_Encaissements!$B$6:$B$3005,_xludf.AGGREGATE(15,6,(ROW(Ventes_Encaissements!$B$6:$B$3005)-ROW(Ventes_Encaissements!$B$6)+1)/((Ventes_Encaissements!$E$6:$E$3005=$B1712)*(Ventes_Encaissements!$J$6:$J$3005=$G1712)*(Ventes_Encaissements!$C$6:$C$3005&gt;=$C1712-3)*(Ventes_Encaissements!$C$6:$C$3005&lt;=$C1712+3)),1)))</f>
        <v/>
      </c>
      <c r="K1712" s="6" t="n"/>
    </row>
    <row r="1713">
      <c r="A1713" s="6" t="n"/>
      <c r="B1713" s="6" t="n"/>
      <c r="C1713" s="19" t="n"/>
      <c r="D1713" s="19" t="n"/>
      <c r="E1713" s="6" t="n"/>
      <c r="F1713" s="20" t="n"/>
      <c r="G1713" s="9">
        <f>IF($F1713="","",IF($F1713&gt;0,ROUND($F1713,2),""))</f>
        <v/>
      </c>
      <c r="H1713" s="12">
        <f>IF(OR($B1713="",$C1713="",$G1713=""),"",COUNTIFS(Ventes_Encaissements!$E$6:$E$3005,$B1713,Ventes_Encaissements!$J$6:$J$3005,$G1713,Ventes_Encaissements!$C$6:$C$3005,"&gt;="&amp;($C1713-3),Ventes_Encaissements!$C$6:$C$3005,"&lt;="&amp;($C1713+3)))</f>
        <v/>
      </c>
      <c r="I1713" s="12">
        <f>IF($H1713="","",IF($H1713=0,"Non trouvé",IF($H1713=1,"Match","À vérifier")))</f>
        <v/>
      </c>
      <c r="J1713" s="21">
        <f>IF($I1713&lt;&gt;"Match","",INDEX(Ventes_Encaissements!$B$6:$B$3005,_xludf.AGGREGATE(15,6,(ROW(Ventes_Encaissements!$B$6:$B$3005)-ROW(Ventes_Encaissements!$B$6)+1)/((Ventes_Encaissements!$E$6:$E$3005=$B1713)*(Ventes_Encaissements!$J$6:$J$3005=$G1713)*(Ventes_Encaissements!$C$6:$C$3005&gt;=$C1713-3)*(Ventes_Encaissements!$C$6:$C$3005&lt;=$C1713+3)),1)))</f>
        <v/>
      </c>
      <c r="K1713" s="6" t="n"/>
    </row>
    <row r="1714">
      <c r="A1714" s="6" t="n"/>
      <c r="B1714" s="6" t="n"/>
      <c r="C1714" s="19" t="n"/>
      <c r="D1714" s="19" t="n"/>
      <c r="E1714" s="6" t="n"/>
      <c r="F1714" s="20" t="n"/>
      <c r="G1714" s="9">
        <f>IF($F1714="","",IF($F1714&gt;0,ROUND($F1714,2),""))</f>
        <v/>
      </c>
      <c r="H1714" s="12">
        <f>IF(OR($B1714="",$C1714="",$G1714=""),"",COUNTIFS(Ventes_Encaissements!$E$6:$E$3005,$B1714,Ventes_Encaissements!$J$6:$J$3005,$G1714,Ventes_Encaissements!$C$6:$C$3005,"&gt;="&amp;($C1714-3),Ventes_Encaissements!$C$6:$C$3005,"&lt;="&amp;($C1714+3)))</f>
        <v/>
      </c>
      <c r="I1714" s="12">
        <f>IF($H1714="","",IF($H1714=0,"Non trouvé",IF($H1714=1,"Match","À vérifier")))</f>
        <v/>
      </c>
      <c r="J1714" s="21">
        <f>IF($I1714&lt;&gt;"Match","",INDEX(Ventes_Encaissements!$B$6:$B$3005,_xludf.AGGREGATE(15,6,(ROW(Ventes_Encaissements!$B$6:$B$3005)-ROW(Ventes_Encaissements!$B$6)+1)/((Ventes_Encaissements!$E$6:$E$3005=$B1714)*(Ventes_Encaissements!$J$6:$J$3005=$G1714)*(Ventes_Encaissements!$C$6:$C$3005&gt;=$C1714-3)*(Ventes_Encaissements!$C$6:$C$3005&lt;=$C1714+3)),1)))</f>
        <v/>
      </c>
      <c r="K1714" s="6" t="n"/>
    </row>
    <row r="1715">
      <c r="A1715" s="6" t="n"/>
      <c r="B1715" s="6" t="n"/>
      <c r="C1715" s="19" t="n"/>
      <c r="D1715" s="19" t="n"/>
      <c r="E1715" s="6" t="n"/>
      <c r="F1715" s="20" t="n"/>
      <c r="G1715" s="9">
        <f>IF($F1715="","",IF($F1715&gt;0,ROUND($F1715,2),""))</f>
        <v/>
      </c>
      <c r="H1715" s="12">
        <f>IF(OR($B1715="",$C1715="",$G1715=""),"",COUNTIFS(Ventes_Encaissements!$E$6:$E$3005,$B1715,Ventes_Encaissements!$J$6:$J$3005,$G1715,Ventes_Encaissements!$C$6:$C$3005,"&gt;="&amp;($C1715-3),Ventes_Encaissements!$C$6:$C$3005,"&lt;="&amp;($C1715+3)))</f>
        <v/>
      </c>
      <c r="I1715" s="12">
        <f>IF($H1715="","",IF($H1715=0,"Non trouvé",IF($H1715=1,"Match","À vérifier")))</f>
        <v/>
      </c>
      <c r="J1715" s="21">
        <f>IF($I1715&lt;&gt;"Match","",INDEX(Ventes_Encaissements!$B$6:$B$3005,_xludf.AGGREGATE(15,6,(ROW(Ventes_Encaissements!$B$6:$B$3005)-ROW(Ventes_Encaissements!$B$6)+1)/((Ventes_Encaissements!$E$6:$E$3005=$B1715)*(Ventes_Encaissements!$J$6:$J$3005=$G1715)*(Ventes_Encaissements!$C$6:$C$3005&gt;=$C1715-3)*(Ventes_Encaissements!$C$6:$C$3005&lt;=$C1715+3)),1)))</f>
        <v/>
      </c>
      <c r="K1715" s="6" t="n"/>
    </row>
    <row r="1716">
      <c r="A1716" s="6" t="n"/>
      <c r="B1716" s="6" t="n"/>
      <c r="C1716" s="19" t="n"/>
      <c r="D1716" s="19" t="n"/>
      <c r="E1716" s="6" t="n"/>
      <c r="F1716" s="20" t="n"/>
      <c r="G1716" s="9">
        <f>IF($F1716="","",IF($F1716&gt;0,ROUND($F1716,2),""))</f>
        <v/>
      </c>
      <c r="H1716" s="12">
        <f>IF(OR($B1716="",$C1716="",$G1716=""),"",COUNTIFS(Ventes_Encaissements!$E$6:$E$3005,$B1716,Ventes_Encaissements!$J$6:$J$3005,$G1716,Ventes_Encaissements!$C$6:$C$3005,"&gt;="&amp;($C1716-3),Ventes_Encaissements!$C$6:$C$3005,"&lt;="&amp;($C1716+3)))</f>
        <v/>
      </c>
      <c r="I1716" s="12">
        <f>IF($H1716="","",IF($H1716=0,"Non trouvé",IF($H1716=1,"Match","À vérifier")))</f>
        <v/>
      </c>
      <c r="J1716" s="21">
        <f>IF($I1716&lt;&gt;"Match","",INDEX(Ventes_Encaissements!$B$6:$B$3005,_xludf.AGGREGATE(15,6,(ROW(Ventes_Encaissements!$B$6:$B$3005)-ROW(Ventes_Encaissements!$B$6)+1)/((Ventes_Encaissements!$E$6:$E$3005=$B1716)*(Ventes_Encaissements!$J$6:$J$3005=$G1716)*(Ventes_Encaissements!$C$6:$C$3005&gt;=$C1716-3)*(Ventes_Encaissements!$C$6:$C$3005&lt;=$C1716+3)),1)))</f>
        <v/>
      </c>
      <c r="K1716" s="6" t="n"/>
    </row>
    <row r="1717">
      <c r="A1717" s="6" t="n"/>
      <c r="B1717" s="6" t="n"/>
      <c r="C1717" s="19" t="n"/>
      <c r="D1717" s="19" t="n"/>
      <c r="E1717" s="6" t="n"/>
      <c r="F1717" s="20" t="n"/>
      <c r="G1717" s="9">
        <f>IF($F1717="","",IF($F1717&gt;0,ROUND($F1717,2),""))</f>
        <v/>
      </c>
      <c r="H1717" s="12">
        <f>IF(OR($B1717="",$C1717="",$G1717=""),"",COUNTIFS(Ventes_Encaissements!$E$6:$E$3005,$B1717,Ventes_Encaissements!$J$6:$J$3005,$G1717,Ventes_Encaissements!$C$6:$C$3005,"&gt;="&amp;($C1717-3),Ventes_Encaissements!$C$6:$C$3005,"&lt;="&amp;($C1717+3)))</f>
        <v/>
      </c>
      <c r="I1717" s="12">
        <f>IF($H1717="","",IF($H1717=0,"Non trouvé",IF($H1717=1,"Match","À vérifier")))</f>
        <v/>
      </c>
      <c r="J1717" s="21">
        <f>IF($I1717&lt;&gt;"Match","",INDEX(Ventes_Encaissements!$B$6:$B$3005,_xludf.AGGREGATE(15,6,(ROW(Ventes_Encaissements!$B$6:$B$3005)-ROW(Ventes_Encaissements!$B$6)+1)/((Ventes_Encaissements!$E$6:$E$3005=$B1717)*(Ventes_Encaissements!$J$6:$J$3005=$G1717)*(Ventes_Encaissements!$C$6:$C$3005&gt;=$C1717-3)*(Ventes_Encaissements!$C$6:$C$3005&lt;=$C1717+3)),1)))</f>
        <v/>
      </c>
      <c r="K1717" s="6" t="n"/>
    </row>
    <row r="1718">
      <c r="A1718" s="6" t="n"/>
      <c r="B1718" s="6" t="n"/>
      <c r="C1718" s="19" t="n"/>
      <c r="D1718" s="19" t="n"/>
      <c r="E1718" s="6" t="n"/>
      <c r="F1718" s="20" t="n"/>
      <c r="G1718" s="9">
        <f>IF($F1718="","",IF($F1718&gt;0,ROUND($F1718,2),""))</f>
        <v/>
      </c>
      <c r="H1718" s="12">
        <f>IF(OR($B1718="",$C1718="",$G1718=""),"",COUNTIFS(Ventes_Encaissements!$E$6:$E$3005,$B1718,Ventes_Encaissements!$J$6:$J$3005,$G1718,Ventes_Encaissements!$C$6:$C$3005,"&gt;="&amp;($C1718-3),Ventes_Encaissements!$C$6:$C$3005,"&lt;="&amp;($C1718+3)))</f>
        <v/>
      </c>
      <c r="I1718" s="12">
        <f>IF($H1718="","",IF($H1718=0,"Non trouvé",IF($H1718=1,"Match","À vérifier")))</f>
        <v/>
      </c>
      <c r="J1718" s="21">
        <f>IF($I1718&lt;&gt;"Match","",INDEX(Ventes_Encaissements!$B$6:$B$3005,_xludf.AGGREGATE(15,6,(ROW(Ventes_Encaissements!$B$6:$B$3005)-ROW(Ventes_Encaissements!$B$6)+1)/((Ventes_Encaissements!$E$6:$E$3005=$B1718)*(Ventes_Encaissements!$J$6:$J$3005=$G1718)*(Ventes_Encaissements!$C$6:$C$3005&gt;=$C1718-3)*(Ventes_Encaissements!$C$6:$C$3005&lt;=$C1718+3)),1)))</f>
        <v/>
      </c>
      <c r="K1718" s="6" t="n"/>
    </row>
    <row r="1719">
      <c r="A1719" s="6" t="n"/>
      <c r="B1719" s="6" t="n"/>
      <c r="C1719" s="19" t="n"/>
      <c r="D1719" s="19" t="n"/>
      <c r="E1719" s="6" t="n"/>
      <c r="F1719" s="20" t="n"/>
      <c r="G1719" s="9">
        <f>IF($F1719="","",IF($F1719&gt;0,ROUND($F1719,2),""))</f>
        <v/>
      </c>
      <c r="H1719" s="12">
        <f>IF(OR($B1719="",$C1719="",$G1719=""),"",COUNTIFS(Ventes_Encaissements!$E$6:$E$3005,$B1719,Ventes_Encaissements!$J$6:$J$3005,$G1719,Ventes_Encaissements!$C$6:$C$3005,"&gt;="&amp;($C1719-3),Ventes_Encaissements!$C$6:$C$3005,"&lt;="&amp;($C1719+3)))</f>
        <v/>
      </c>
      <c r="I1719" s="12">
        <f>IF($H1719="","",IF($H1719=0,"Non trouvé",IF($H1719=1,"Match","À vérifier")))</f>
        <v/>
      </c>
      <c r="J1719" s="21">
        <f>IF($I1719&lt;&gt;"Match","",INDEX(Ventes_Encaissements!$B$6:$B$3005,_xludf.AGGREGATE(15,6,(ROW(Ventes_Encaissements!$B$6:$B$3005)-ROW(Ventes_Encaissements!$B$6)+1)/((Ventes_Encaissements!$E$6:$E$3005=$B1719)*(Ventes_Encaissements!$J$6:$J$3005=$G1719)*(Ventes_Encaissements!$C$6:$C$3005&gt;=$C1719-3)*(Ventes_Encaissements!$C$6:$C$3005&lt;=$C1719+3)),1)))</f>
        <v/>
      </c>
      <c r="K1719" s="6" t="n"/>
    </row>
    <row r="1720">
      <c r="A1720" s="6" t="n"/>
      <c r="B1720" s="6" t="n"/>
      <c r="C1720" s="19" t="n"/>
      <c r="D1720" s="19" t="n"/>
      <c r="E1720" s="6" t="n"/>
      <c r="F1720" s="20" t="n"/>
      <c r="G1720" s="9">
        <f>IF($F1720="","",IF($F1720&gt;0,ROUND($F1720,2),""))</f>
        <v/>
      </c>
      <c r="H1720" s="12">
        <f>IF(OR($B1720="",$C1720="",$G1720=""),"",COUNTIFS(Ventes_Encaissements!$E$6:$E$3005,$B1720,Ventes_Encaissements!$J$6:$J$3005,$G1720,Ventes_Encaissements!$C$6:$C$3005,"&gt;="&amp;($C1720-3),Ventes_Encaissements!$C$6:$C$3005,"&lt;="&amp;($C1720+3)))</f>
        <v/>
      </c>
      <c r="I1720" s="12">
        <f>IF($H1720="","",IF($H1720=0,"Non trouvé",IF($H1720=1,"Match","À vérifier")))</f>
        <v/>
      </c>
      <c r="J1720" s="21">
        <f>IF($I1720&lt;&gt;"Match","",INDEX(Ventes_Encaissements!$B$6:$B$3005,_xludf.AGGREGATE(15,6,(ROW(Ventes_Encaissements!$B$6:$B$3005)-ROW(Ventes_Encaissements!$B$6)+1)/((Ventes_Encaissements!$E$6:$E$3005=$B1720)*(Ventes_Encaissements!$J$6:$J$3005=$G1720)*(Ventes_Encaissements!$C$6:$C$3005&gt;=$C1720-3)*(Ventes_Encaissements!$C$6:$C$3005&lt;=$C1720+3)),1)))</f>
        <v/>
      </c>
      <c r="K1720" s="6" t="n"/>
    </row>
    <row r="1721">
      <c r="A1721" s="6" t="n"/>
      <c r="B1721" s="6" t="n"/>
      <c r="C1721" s="19" t="n"/>
      <c r="D1721" s="19" t="n"/>
      <c r="E1721" s="6" t="n"/>
      <c r="F1721" s="20" t="n"/>
      <c r="G1721" s="9">
        <f>IF($F1721="","",IF($F1721&gt;0,ROUND($F1721,2),""))</f>
        <v/>
      </c>
      <c r="H1721" s="12">
        <f>IF(OR($B1721="",$C1721="",$G1721=""),"",COUNTIFS(Ventes_Encaissements!$E$6:$E$3005,$B1721,Ventes_Encaissements!$J$6:$J$3005,$G1721,Ventes_Encaissements!$C$6:$C$3005,"&gt;="&amp;($C1721-3),Ventes_Encaissements!$C$6:$C$3005,"&lt;="&amp;($C1721+3)))</f>
        <v/>
      </c>
      <c r="I1721" s="12">
        <f>IF($H1721="","",IF($H1721=0,"Non trouvé",IF($H1721=1,"Match","À vérifier")))</f>
        <v/>
      </c>
      <c r="J1721" s="21">
        <f>IF($I1721&lt;&gt;"Match","",INDEX(Ventes_Encaissements!$B$6:$B$3005,_xludf.AGGREGATE(15,6,(ROW(Ventes_Encaissements!$B$6:$B$3005)-ROW(Ventes_Encaissements!$B$6)+1)/((Ventes_Encaissements!$E$6:$E$3005=$B1721)*(Ventes_Encaissements!$J$6:$J$3005=$G1721)*(Ventes_Encaissements!$C$6:$C$3005&gt;=$C1721-3)*(Ventes_Encaissements!$C$6:$C$3005&lt;=$C1721+3)),1)))</f>
        <v/>
      </c>
      <c r="K1721" s="6" t="n"/>
    </row>
    <row r="1722">
      <c r="A1722" s="6" t="n"/>
      <c r="B1722" s="6" t="n"/>
      <c r="C1722" s="19" t="n"/>
      <c r="D1722" s="19" t="n"/>
      <c r="E1722" s="6" t="n"/>
      <c r="F1722" s="20" t="n"/>
      <c r="G1722" s="9">
        <f>IF($F1722="","",IF($F1722&gt;0,ROUND($F1722,2),""))</f>
        <v/>
      </c>
      <c r="H1722" s="12">
        <f>IF(OR($B1722="",$C1722="",$G1722=""),"",COUNTIFS(Ventes_Encaissements!$E$6:$E$3005,$B1722,Ventes_Encaissements!$J$6:$J$3005,$G1722,Ventes_Encaissements!$C$6:$C$3005,"&gt;="&amp;($C1722-3),Ventes_Encaissements!$C$6:$C$3005,"&lt;="&amp;($C1722+3)))</f>
        <v/>
      </c>
      <c r="I1722" s="12">
        <f>IF($H1722="","",IF($H1722=0,"Non trouvé",IF($H1722=1,"Match","À vérifier")))</f>
        <v/>
      </c>
      <c r="J1722" s="21">
        <f>IF($I1722&lt;&gt;"Match","",INDEX(Ventes_Encaissements!$B$6:$B$3005,_xludf.AGGREGATE(15,6,(ROW(Ventes_Encaissements!$B$6:$B$3005)-ROW(Ventes_Encaissements!$B$6)+1)/((Ventes_Encaissements!$E$6:$E$3005=$B1722)*(Ventes_Encaissements!$J$6:$J$3005=$G1722)*(Ventes_Encaissements!$C$6:$C$3005&gt;=$C1722-3)*(Ventes_Encaissements!$C$6:$C$3005&lt;=$C1722+3)),1)))</f>
        <v/>
      </c>
      <c r="K1722" s="6" t="n"/>
    </row>
    <row r="1723">
      <c r="A1723" s="6" t="n"/>
      <c r="B1723" s="6" t="n"/>
      <c r="C1723" s="19" t="n"/>
      <c r="D1723" s="19" t="n"/>
      <c r="E1723" s="6" t="n"/>
      <c r="F1723" s="20" t="n"/>
      <c r="G1723" s="9">
        <f>IF($F1723="","",IF($F1723&gt;0,ROUND($F1723,2),""))</f>
        <v/>
      </c>
      <c r="H1723" s="12">
        <f>IF(OR($B1723="",$C1723="",$G1723=""),"",COUNTIFS(Ventes_Encaissements!$E$6:$E$3005,$B1723,Ventes_Encaissements!$J$6:$J$3005,$G1723,Ventes_Encaissements!$C$6:$C$3005,"&gt;="&amp;($C1723-3),Ventes_Encaissements!$C$6:$C$3005,"&lt;="&amp;($C1723+3)))</f>
        <v/>
      </c>
      <c r="I1723" s="12">
        <f>IF($H1723="","",IF($H1723=0,"Non trouvé",IF($H1723=1,"Match","À vérifier")))</f>
        <v/>
      </c>
      <c r="J1723" s="21">
        <f>IF($I1723&lt;&gt;"Match","",INDEX(Ventes_Encaissements!$B$6:$B$3005,_xludf.AGGREGATE(15,6,(ROW(Ventes_Encaissements!$B$6:$B$3005)-ROW(Ventes_Encaissements!$B$6)+1)/((Ventes_Encaissements!$E$6:$E$3005=$B1723)*(Ventes_Encaissements!$J$6:$J$3005=$G1723)*(Ventes_Encaissements!$C$6:$C$3005&gt;=$C1723-3)*(Ventes_Encaissements!$C$6:$C$3005&lt;=$C1723+3)),1)))</f>
        <v/>
      </c>
      <c r="K1723" s="6" t="n"/>
    </row>
    <row r="1724">
      <c r="A1724" s="6" t="n"/>
      <c r="B1724" s="6" t="n"/>
      <c r="C1724" s="19" t="n"/>
      <c r="D1724" s="19" t="n"/>
      <c r="E1724" s="6" t="n"/>
      <c r="F1724" s="20" t="n"/>
      <c r="G1724" s="9">
        <f>IF($F1724="","",IF($F1724&gt;0,ROUND($F1724,2),""))</f>
        <v/>
      </c>
      <c r="H1724" s="12">
        <f>IF(OR($B1724="",$C1724="",$G1724=""),"",COUNTIFS(Ventes_Encaissements!$E$6:$E$3005,$B1724,Ventes_Encaissements!$J$6:$J$3005,$G1724,Ventes_Encaissements!$C$6:$C$3005,"&gt;="&amp;($C1724-3),Ventes_Encaissements!$C$6:$C$3005,"&lt;="&amp;($C1724+3)))</f>
        <v/>
      </c>
      <c r="I1724" s="12">
        <f>IF($H1724="","",IF($H1724=0,"Non trouvé",IF($H1724=1,"Match","À vérifier")))</f>
        <v/>
      </c>
      <c r="J1724" s="21">
        <f>IF($I1724&lt;&gt;"Match","",INDEX(Ventes_Encaissements!$B$6:$B$3005,_xludf.AGGREGATE(15,6,(ROW(Ventes_Encaissements!$B$6:$B$3005)-ROW(Ventes_Encaissements!$B$6)+1)/((Ventes_Encaissements!$E$6:$E$3005=$B1724)*(Ventes_Encaissements!$J$6:$J$3005=$G1724)*(Ventes_Encaissements!$C$6:$C$3005&gt;=$C1724-3)*(Ventes_Encaissements!$C$6:$C$3005&lt;=$C1724+3)),1)))</f>
        <v/>
      </c>
      <c r="K1724" s="6" t="n"/>
    </row>
    <row r="1725">
      <c r="A1725" s="6" t="n"/>
      <c r="B1725" s="6" t="n"/>
      <c r="C1725" s="19" t="n"/>
      <c r="D1725" s="19" t="n"/>
      <c r="E1725" s="6" t="n"/>
      <c r="F1725" s="20" t="n"/>
      <c r="G1725" s="9">
        <f>IF($F1725="","",IF($F1725&gt;0,ROUND($F1725,2),""))</f>
        <v/>
      </c>
      <c r="H1725" s="12">
        <f>IF(OR($B1725="",$C1725="",$G1725=""),"",COUNTIFS(Ventes_Encaissements!$E$6:$E$3005,$B1725,Ventes_Encaissements!$J$6:$J$3005,$G1725,Ventes_Encaissements!$C$6:$C$3005,"&gt;="&amp;($C1725-3),Ventes_Encaissements!$C$6:$C$3005,"&lt;="&amp;($C1725+3)))</f>
        <v/>
      </c>
      <c r="I1725" s="12">
        <f>IF($H1725="","",IF($H1725=0,"Non trouvé",IF($H1725=1,"Match","À vérifier")))</f>
        <v/>
      </c>
      <c r="J1725" s="21">
        <f>IF($I1725&lt;&gt;"Match","",INDEX(Ventes_Encaissements!$B$6:$B$3005,_xludf.AGGREGATE(15,6,(ROW(Ventes_Encaissements!$B$6:$B$3005)-ROW(Ventes_Encaissements!$B$6)+1)/((Ventes_Encaissements!$E$6:$E$3005=$B1725)*(Ventes_Encaissements!$J$6:$J$3005=$G1725)*(Ventes_Encaissements!$C$6:$C$3005&gt;=$C1725-3)*(Ventes_Encaissements!$C$6:$C$3005&lt;=$C1725+3)),1)))</f>
        <v/>
      </c>
      <c r="K1725" s="6" t="n"/>
    </row>
    <row r="1726">
      <c r="A1726" s="6" t="n"/>
      <c r="B1726" s="6" t="n"/>
      <c r="C1726" s="19" t="n"/>
      <c r="D1726" s="19" t="n"/>
      <c r="E1726" s="6" t="n"/>
      <c r="F1726" s="20" t="n"/>
      <c r="G1726" s="9">
        <f>IF($F1726="","",IF($F1726&gt;0,ROUND($F1726,2),""))</f>
        <v/>
      </c>
      <c r="H1726" s="12">
        <f>IF(OR($B1726="",$C1726="",$G1726=""),"",COUNTIFS(Ventes_Encaissements!$E$6:$E$3005,$B1726,Ventes_Encaissements!$J$6:$J$3005,$G1726,Ventes_Encaissements!$C$6:$C$3005,"&gt;="&amp;($C1726-3),Ventes_Encaissements!$C$6:$C$3005,"&lt;="&amp;($C1726+3)))</f>
        <v/>
      </c>
      <c r="I1726" s="12">
        <f>IF($H1726="","",IF($H1726=0,"Non trouvé",IF($H1726=1,"Match","À vérifier")))</f>
        <v/>
      </c>
      <c r="J1726" s="21">
        <f>IF($I1726&lt;&gt;"Match","",INDEX(Ventes_Encaissements!$B$6:$B$3005,_xludf.AGGREGATE(15,6,(ROW(Ventes_Encaissements!$B$6:$B$3005)-ROW(Ventes_Encaissements!$B$6)+1)/((Ventes_Encaissements!$E$6:$E$3005=$B1726)*(Ventes_Encaissements!$J$6:$J$3005=$G1726)*(Ventes_Encaissements!$C$6:$C$3005&gt;=$C1726-3)*(Ventes_Encaissements!$C$6:$C$3005&lt;=$C1726+3)),1)))</f>
        <v/>
      </c>
      <c r="K1726" s="6" t="n"/>
    </row>
    <row r="1727">
      <c r="A1727" s="6" t="n"/>
      <c r="B1727" s="6" t="n"/>
      <c r="C1727" s="19" t="n"/>
      <c r="D1727" s="19" t="n"/>
      <c r="E1727" s="6" t="n"/>
      <c r="F1727" s="20" t="n"/>
      <c r="G1727" s="9">
        <f>IF($F1727="","",IF($F1727&gt;0,ROUND($F1727,2),""))</f>
        <v/>
      </c>
      <c r="H1727" s="12">
        <f>IF(OR($B1727="",$C1727="",$G1727=""),"",COUNTIFS(Ventes_Encaissements!$E$6:$E$3005,$B1727,Ventes_Encaissements!$J$6:$J$3005,$G1727,Ventes_Encaissements!$C$6:$C$3005,"&gt;="&amp;($C1727-3),Ventes_Encaissements!$C$6:$C$3005,"&lt;="&amp;($C1727+3)))</f>
        <v/>
      </c>
      <c r="I1727" s="12">
        <f>IF($H1727="","",IF($H1727=0,"Non trouvé",IF($H1727=1,"Match","À vérifier")))</f>
        <v/>
      </c>
      <c r="J1727" s="21">
        <f>IF($I1727&lt;&gt;"Match","",INDEX(Ventes_Encaissements!$B$6:$B$3005,_xludf.AGGREGATE(15,6,(ROW(Ventes_Encaissements!$B$6:$B$3005)-ROW(Ventes_Encaissements!$B$6)+1)/((Ventes_Encaissements!$E$6:$E$3005=$B1727)*(Ventes_Encaissements!$J$6:$J$3005=$G1727)*(Ventes_Encaissements!$C$6:$C$3005&gt;=$C1727-3)*(Ventes_Encaissements!$C$6:$C$3005&lt;=$C1727+3)),1)))</f>
        <v/>
      </c>
      <c r="K1727" s="6" t="n"/>
    </row>
    <row r="1728">
      <c r="A1728" s="6" t="n"/>
      <c r="B1728" s="6" t="n"/>
      <c r="C1728" s="19" t="n"/>
      <c r="D1728" s="19" t="n"/>
      <c r="E1728" s="6" t="n"/>
      <c r="F1728" s="20" t="n"/>
      <c r="G1728" s="9">
        <f>IF($F1728="","",IF($F1728&gt;0,ROUND($F1728,2),""))</f>
        <v/>
      </c>
      <c r="H1728" s="12">
        <f>IF(OR($B1728="",$C1728="",$G1728=""),"",COUNTIFS(Ventes_Encaissements!$E$6:$E$3005,$B1728,Ventes_Encaissements!$J$6:$J$3005,$G1728,Ventes_Encaissements!$C$6:$C$3005,"&gt;="&amp;($C1728-3),Ventes_Encaissements!$C$6:$C$3005,"&lt;="&amp;($C1728+3)))</f>
        <v/>
      </c>
      <c r="I1728" s="12">
        <f>IF($H1728="","",IF($H1728=0,"Non trouvé",IF($H1728=1,"Match","À vérifier")))</f>
        <v/>
      </c>
      <c r="J1728" s="21">
        <f>IF($I1728&lt;&gt;"Match","",INDEX(Ventes_Encaissements!$B$6:$B$3005,_xludf.AGGREGATE(15,6,(ROW(Ventes_Encaissements!$B$6:$B$3005)-ROW(Ventes_Encaissements!$B$6)+1)/((Ventes_Encaissements!$E$6:$E$3005=$B1728)*(Ventes_Encaissements!$J$6:$J$3005=$G1728)*(Ventes_Encaissements!$C$6:$C$3005&gt;=$C1728-3)*(Ventes_Encaissements!$C$6:$C$3005&lt;=$C1728+3)),1)))</f>
        <v/>
      </c>
      <c r="K1728" s="6" t="n"/>
    </row>
    <row r="1729">
      <c r="A1729" s="6" t="n"/>
      <c r="B1729" s="6" t="n"/>
      <c r="C1729" s="19" t="n"/>
      <c r="D1729" s="19" t="n"/>
      <c r="E1729" s="6" t="n"/>
      <c r="F1729" s="20" t="n"/>
      <c r="G1729" s="9">
        <f>IF($F1729="","",IF($F1729&gt;0,ROUND($F1729,2),""))</f>
        <v/>
      </c>
      <c r="H1729" s="12">
        <f>IF(OR($B1729="",$C1729="",$G1729=""),"",COUNTIFS(Ventes_Encaissements!$E$6:$E$3005,$B1729,Ventes_Encaissements!$J$6:$J$3005,$G1729,Ventes_Encaissements!$C$6:$C$3005,"&gt;="&amp;($C1729-3),Ventes_Encaissements!$C$6:$C$3005,"&lt;="&amp;($C1729+3)))</f>
        <v/>
      </c>
      <c r="I1729" s="12">
        <f>IF($H1729="","",IF($H1729=0,"Non trouvé",IF($H1729=1,"Match","À vérifier")))</f>
        <v/>
      </c>
      <c r="J1729" s="21">
        <f>IF($I1729&lt;&gt;"Match","",INDEX(Ventes_Encaissements!$B$6:$B$3005,_xludf.AGGREGATE(15,6,(ROW(Ventes_Encaissements!$B$6:$B$3005)-ROW(Ventes_Encaissements!$B$6)+1)/((Ventes_Encaissements!$E$6:$E$3005=$B1729)*(Ventes_Encaissements!$J$6:$J$3005=$G1729)*(Ventes_Encaissements!$C$6:$C$3005&gt;=$C1729-3)*(Ventes_Encaissements!$C$6:$C$3005&lt;=$C1729+3)),1)))</f>
        <v/>
      </c>
      <c r="K1729" s="6" t="n"/>
    </row>
    <row r="1730">
      <c r="A1730" s="6" t="n"/>
      <c r="B1730" s="6" t="n"/>
      <c r="C1730" s="19" t="n"/>
      <c r="D1730" s="19" t="n"/>
      <c r="E1730" s="6" t="n"/>
      <c r="F1730" s="20" t="n"/>
      <c r="G1730" s="9">
        <f>IF($F1730="","",IF($F1730&gt;0,ROUND($F1730,2),""))</f>
        <v/>
      </c>
      <c r="H1730" s="12">
        <f>IF(OR($B1730="",$C1730="",$G1730=""),"",COUNTIFS(Ventes_Encaissements!$E$6:$E$3005,$B1730,Ventes_Encaissements!$J$6:$J$3005,$G1730,Ventes_Encaissements!$C$6:$C$3005,"&gt;="&amp;($C1730-3),Ventes_Encaissements!$C$6:$C$3005,"&lt;="&amp;($C1730+3)))</f>
        <v/>
      </c>
      <c r="I1730" s="12">
        <f>IF($H1730="","",IF($H1730=0,"Non trouvé",IF($H1730=1,"Match","À vérifier")))</f>
        <v/>
      </c>
      <c r="J1730" s="21">
        <f>IF($I1730&lt;&gt;"Match","",INDEX(Ventes_Encaissements!$B$6:$B$3005,_xludf.AGGREGATE(15,6,(ROW(Ventes_Encaissements!$B$6:$B$3005)-ROW(Ventes_Encaissements!$B$6)+1)/((Ventes_Encaissements!$E$6:$E$3005=$B1730)*(Ventes_Encaissements!$J$6:$J$3005=$G1730)*(Ventes_Encaissements!$C$6:$C$3005&gt;=$C1730-3)*(Ventes_Encaissements!$C$6:$C$3005&lt;=$C1730+3)),1)))</f>
        <v/>
      </c>
      <c r="K1730" s="6" t="n"/>
    </row>
    <row r="1731">
      <c r="A1731" s="6" t="n"/>
      <c r="B1731" s="6" t="n"/>
      <c r="C1731" s="19" t="n"/>
      <c r="D1731" s="19" t="n"/>
      <c r="E1731" s="6" t="n"/>
      <c r="F1731" s="20" t="n"/>
      <c r="G1731" s="9">
        <f>IF($F1731="","",IF($F1731&gt;0,ROUND($F1731,2),""))</f>
        <v/>
      </c>
      <c r="H1731" s="12">
        <f>IF(OR($B1731="",$C1731="",$G1731=""),"",COUNTIFS(Ventes_Encaissements!$E$6:$E$3005,$B1731,Ventes_Encaissements!$J$6:$J$3005,$G1731,Ventes_Encaissements!$C$6:$C$3005,"&gt;="&amp;($C1731-3),Ventes_Encaissements!$C$6:$C$3005,"&lt;="&amp;($C1731+3)))</f>
        <v/>
      </c>
      <c r="I1731" s="12">
        <f>IF($H1731="","",IF($H1731=0,"Non trouvé",IF($H1731=1,"Match","À vérifier")))</f>
        <v/>
      </c>
      <c r="J1731" s="21">
        <f>IF($I1731&lt;&gt;"Match","",INDEX(Ventes_Encaissements!$B$6:$B$3005,_xludf.AGGREGATE(15,6,(ROW(Ventes_Encaissements!$B$6:$B$3005)-ROW(Ventes_Encaissements!$B$6)+1)/((Ventes_Encaissements!$E$6:$E$3005=$B1731)*(Ventes_Encaissements!$J$6:$J$3005=$G1731)*(Ventes_Encaissements!$C$6:$C$3005&gt;=$C1731-3)*(Ventes_Encaissements!$C$6:$C$3005&lt;=$C1731+3)),1)))</f>
        <v/>
      </c>
      <c r="K1731" s="6" t="n"/>
    </row>
    <row r="1732">
      <c r="A1732" s="6" t="n"/>
      <c r="B1732" s="6" t="n"/>
      <c r="C1732" s="19" t="n"/>
      <c r="D1732" s="19" t="n"/>
      <c r="E1732" s="6" t="n"/>
      <c r="F1732" s="20" t="n"/>
      <c r="G1732" s="9">
        <f>IF($F1732="","",IF($F1732&gt;0,ROUND($F1732,2),""))</f>
        <v/>
      </c>
      <c r="H1732" s="12">
        <f>IF(OR($B1732="",$C1732="",$G1732=""),"",COUNTIFS(Ventes_Encaissements!$E$6:$E$3005,$B1732,Ventes_Encaissements!$J$6:$J$3005,$G1732,Ventes_Encaissements!$C$6:$C$3005,"&gt;="&amp;($C1732-3),Ventes_Encaissements!$C$6:$C$3005,"&lt;="&amp;($C1732+3)))</f>
        <v/>
      </c>
      <c r="I1732" s="12">
        <f>IF($H1732="","",IF($H1732=0,"Non trouvé",IF($H1732=1,"Match","À vérifier")))</f>
        <v/>
      </c>
      <c r="J1732" s="21">
        <f>IF($I1732&lt;&gt;"Match","",INDEX(Ventes_Encaissements!$B$6:$B$3005,_xludf.AGGREGATE(15,6,(ROW(Ventes_Encaissements!$B$6:$B$3005)-ROW(Ventes_Encaissements!$B$6)+1)/((Ventes_Encaissements!$E$6:$E$3005=$B1732)*(Ventes_Encaissements!$J$6:$J$3005=$G1732)*(Ventes_Encaissements!$C$6:$C$3005&gt;=$C1732-3)*(Ventes_Encaissements!$C$6:$C$3005&lt;=$C1732+3)),1)))</f>
        <v/>
      </c>
      <c r="K1732" s="6" t="n"/>
    </row>
    <row r="1733">
      <c r="A1733" s="6" t="n"/>
      <c r="B1733" s="6" t="n"/>
      <c r="C1733" s="19" t="n"/>
      <c r="D1733" s="19" t="n"/>
      <c r="E1733" s="6" t="n"/>
      <c r="F1733" s="20" t="n"/>
      <c r="G1733" s="9">
        <f>IF($F1733="","",IF($F1733&gt;0,ROUND($F1733,2),""))</f>
        <v/>
      </c>
      <c r="H1733" s="12">
        <f>IF(OR($B1733="",$C1733="",$G1733=""),"",COUNTIFS(Ventes_Encaissements!$E$6:$E$3005,$B1733,Ventes_Encaissements!$J$6:$J$3005,$G1733,Ventes_Encaissements!$C$6:$C$3005,"&gt;="&amp;($C1733-3),Ventes_Encaissements!$C$6:$C$3005,"&lt;="&amp;($C1733+3)))</f>
        <v/>
      </c>
      <c r="I1733" s="12">
        <f>IF($H1733="","",IF($H1733=0,"Non trouvé",IF($H1733=1,"Match","À vérifier")))</f>
        <v/>
      </c>
      <c r="J1733" s="21">
        <f>IF($I1733&lt;&gt;"Match","",INDEX(Ventes_Encaissements!$B$6:$B$3005,_xludf.AGGREGATE(15,6,(ROW(Ventes_Encaissements!$B$6:$B$3005)-ROW(Ventes_Encaissements!$B$6)+1)/((Ventes_Encaissements!$E$6:$E$3005=$B1733)*(Ventes_Encaissements!$J$6:$J$3005=$G1733)*(Ventes_Encaissements!$C$6:$C$3005&gt;=$C1733-3)*(Ventes_Encaissements!$C$6:$C$3005&lt;=$C1733+3)),1)))</f>
        <v/>
      </c>
      <c r="K1733" s="6" t="n"/>
    </row>
    <row r="1734">
      <c r="A1734" s="6" t="n"/>
      <c r="B1734" s="6" t="n"/>
      <c r="C1734" s="19" t="n"/>
      <c r="D1734" s="19" t="n"/>
      <c r="E1734" s="6" t="n"/>
      <c r="F1734" s="20" t="n"/>
      <c r="G1734" s="9">
        <f>IF($F1734="","",IF($F1734&gt;0,ROUND($F1734,2),""))</f>
        <v/>
      </c>
      <c r="H1734" s="12">
        <f>IF(OR($B1734="",$C1734="",$G1734=""),"",COUNTIFS(Ventes_Encaissements!$E$6:$E$3005,$B1734,Ventes_Encaissements!$J$6:$J$3005,$G1734,Ventes_Encaissements!$C$6:$C$3005,"&gt;="&amp;($C1734-3),Ventes_Encaissements!$C$6:$C$3005,"&lt;="&amp;($C1734+3)))</f>
        <v/>
      </c>
      <c r="I1734" s="12">
        <f>IF($H1734="","",IF($H1734=0,"Non trouvé",IF($H1734=1,"Match","À vérifier")))</f>
        <v/>
      </c>
      <c r="J1734" s="21">
        <f>IF($I1734&lt;&gt;"Match","",INDEX(Ventes_Encaissements!$B$6:$B$3005,_xludf.AGGREGATE(15,6,(ROW(Ventes_Encaissements!$B$6:$B$3005)-ROW(Ventes_Encaissements!$B$6)+1)/((Ventes_Encaissements!$E$6:$E$3005=$B1734)*(Ventes_Encaissements!$J$6:$J$3005=$G1734)*(Ventes_Encaissements!$C$6:$C$3005&gt;=$C1734-3)*(Ventes_Encaissements!$C$6:$C$3005&lt;=$C1734+3)),1)))</f>
        <v/>
      </c>
      <c r="K1734" s="6" t="n"/>
    </row>
    <row r="1735">
      <c r="A1735" s="6" t="n"/>
      <c r="B1735" s="6" t="n"/>
      <c r="C1735" s="19" t="n"/>
      <c r="D1735" s="19" t="n"/>
      <c r="E1735" s="6" t="n"/>
      <c r="F1735" s="20" t="n"/>
      <c r="G1735" s="9">
        <f>IF($F1735="","",IF($F1735&gt;0,ROUND($F1735,2),""))</f>
        <v/>
      </c>
      <c r="H1735" s="12">
        <f>IF(OR($B1735="",$C1735="",$G1735=""),"",COUNTIFS(Ventes_Encaissements!$E$6:$E$3005,$B1735,Ventes_Encaissements!$J$6:$J$3005,$G1735,Ventes_Encaissements!$C$6:$C$3005,"&gt;="&amp;($C1735-3),Ventes_Encaissements!$C$6:$C$3005,"&lt;="&amp;($C1735+3)))</f>
        <v/>
      </c>
      <c r="I1735" s="12">
        <f>IF($H1735="","",IF($H1735=0,"Non trouvé",IF($H1735=1,"Match","À vérifier")))</f>
        <v/>
      </c>
      <c r="J1735" s="21">
        <f>IF($I1735&lt;&gt;"Match","",INDEX(Ventes_Encaissements!$B$6:$B$3005,_xludf.AGGREGATE(15,6,(ROW(Ventes_Encaissements!$B$6:$B$3005)-ROW(Ventes_Encaissements!$B$6)+1)/((Ventes_Encaissements!$E$6:$E$3005=$B1735)*(Ventes_Encaissements!$J$6:$J$3005=$G1735)*(Ventes_Encaissements!$C$6:$C$3005&gt;=$C1735-3)*(Ventes_Encaissements!$C$6:$C$3005&lt;=$C1735+3)),1)))</f>
        <v/>
      </c>
      <c r="K1735" s="6" t="n"/>
    </row>
    <row r="1736">
      <c r="A1736" s="6" t="n"/>
      <c r="B1736" s="6" t="n"/>
      <c r="C1736" s="19" t="n"/>
      <c r="D1736" s="19" t="n"/>
      <c r="E1736" s="6" t="n"/>
      <c r="F1736" s="20" t="n"/>
      <c r="G1736" s="9">
        <f>IF($F1736="","",IF($F1736&gt;0,ROUND($F1736,2),""))</f>
        <v/>
      </c>
      <c r="H1736" s="12">
        <f>IF(OR($B1736="",$C1736="",$G1736=""),"",COUNTIFS(Ventes_Encaissements!$E$6:$E$3005,$B1736,Ventes_Encaissements!$J$6:$J$3005,$G1736,Ventes_Encaissements!$C$6:$C$3005,"&gt;="&amp;($C1736-3),Ventes_Encaissements!$C$6:$C$3005,"&lt;="&amp;($C1736+3)))</f>
        <v/>
      </c>
      <c r="I1736" s="12">
        <f>IF($H1736="","",IF($H1736=0,"Non trouvé",IF($H1736=1,"Match","À vérifier")))</f>
        <v/>
      </c>
      <c r="J1736" s="21">
        <f>IF($I1736&lt;&gt;"Match","",INDEX(Ventes_Encaissements!$B$6:$B$3005,_xludf.AGGREGATE(15,6,(ROW(Ventes_Encaissements!$B$6:$B$3005)-ROW(Ventes_Encaissements!$B$6)+1)/((Ventes_Encaissements!$E$6:$E$3005=$B1736)*(Ventes_Encaissements!$J$6:$J$3005=$G1736)*(Ventes_Encaissements!$C$6:$C$3005&gt;=$C1736-3)*(Ventes_Encaissements!$C$6:$C$3005&lt;=$C1736+3)),1)))</f>
        <v/>
      </c>
      <c r="K1736" s="6" t="n"/>
    </row>
    <row r="1737">
      <c r="A1737" s="6" t="n"/>
      <c r="B1737" s="6" t="n"/>
      <c r="C1737" s="19" t="n"/>
      <c r="D1737" s="19" t="n"/>
      <c r="E1737" s="6" t="n"/>
      <c r="F1737" s="20" t="n"/>
      <c r="G1737" s="9">
        <f>IF($F1737="","",IF($F1737&gt;0,ROUND($F1737,2),""))</f>
        <v/>
      </c>
      <c r="H1737" s="12">
        <f>IF(OR($B1737="",$C1737="",$G1737=""),"",COUNTIFS(Ventes_Encaissements!$E$6:$E$3005,$B1737,Ventes_Encaissements!$J$6:$J$3005,$G1737,Ventes_Encaissements!$C$6:$C$3005,"&gt;="&amp;($C1737-3),Ventes_Encaissements!$C$6:$C$3005,"&lt;="&amp;($C1737+3)))</f>
        <v/>
      </c>
      <c r="I1737" s="12">
        <f>IF($H1737="","",IF($H1737=0,"Non trouvé",IF($H1737=1,"Match","À vérifier")))</f>
        <v/>
      </c>
      <c r="J1737" s="21">
        <f>IF($I1737&lt;&gt;"Match","",INDEX(Ventes_Encaissements!$B$6:$B$3005,_xludf.AGGREGATE(15,6,(ROW(Ventes_Encaissements!$B$6:$B$3005)-ROW(Ventes_Encaissements!$B$6)+1)/((Ventes_Encaissements!$E$6:$E$3005=$B1737)*(Ventes_Encaissements!$J$6:$J$3005=$G1737)*(Ventes_Encaissements!$C$6:$C$3005&gt;=$C1737-3)*(Ventes_Encaissements!$C$6:$C$3005&lt;=$C1737+3)),1)))</f>
        <v/>
      </c>
      <c r="K1737" s="6" t="n"/>
    </row>
    <row r="1738">
      <c r="A1738" s="6" t="n"/>
      <c r="B1738" s="6" t="n"/>
      <c r="C1738" s="19" t="n"/>
      <c r="D1738" s="19" t="n"/>
      <c r="E1738" s="6" t="n"/>
      <c r="F1738" s="20" t="n"/>
      <c r="G1738" s="9">
        <f>IF($F1738="","",IF($F1738&gt;0,ROUND($F1738,2),""))</f>
        <v/>
      </c>
      <c r="H1738" s="12">
        <f>IF(OR($B1738="",$C1738="",$G1738=""),"",COUNTIFS(Ventes_Encaissements!$E$6:$E$3005,$B1738,Ventes_Encaissements!$J$6:$J$3005,$G1738,Ventes_Encaissements!$C$6:$C$3005,"&gt;="&amp;($C1738-3),Ventes_Encaissements!$C$6:$C$3005,"&lt;="&amp;($C1738+3)))</f>
        <v/>
      </c>
      <c r="I1738" s="12">
        <f>IF($H1738="","",IF($H1738=0,"Non trouvé",IF($H1738=1,"Match","À vérifier")))</f>
        <v/>
      </c>
      <c r="J1738" s="21">
        <f>IF($I1738&lt;&gt;"Match","",INDEX(Ventes_Encaissements!$B$6:$B$3005,_xludf.AGGREGATE(15,6,(ROW(Ventes_Encaissements!$B$6:$B$3005)-ROW(Ventes_Encaissements!$B$6)+1)/((Ventes_Encaissements!$E$6:$E$3005=$B1738)*(Ventes_Encaissements!$J$6:$J$3005=$G1738)*(Ventes_Encaissements!$C$6:$C$3005&gt;=$C1738-3)*(Ventes_Encaissements!$C$6:$C$3005&lt;=$C1738+3)),1)))</f>
        <v/>
      </c>
      <c r="K1738" s="6" t="n"/>
    </row>
    <row r="1739">
      <c r="A1739" s="6" t="n"/>
      <c r="B1739" s="6" t="n"/>
      <c r="C1739" s="19" t="n"/>
      <c r="D1739" s="19" t="n"/>
      <c r="E1739" s="6" t="n"/>
      <c r="F1739" s="20" t="n"/>
      <c r="G1739" s="9">
        <f>IF($F1739="","",IF($F1739&gt;0,ROUND($F1739,2),""))</f>
        <v/>
      </c>
      <c r="H1739" s="12">
        <f>IF(OR($B1739="",$C1739="",$G1739=""),"",COUNTIFS(Ventes_Encaissements!$E$6:$E$3005,$B1739,Ventes_Encaissements!$J$6:$J$3005,$G1739,Ventes_Encaissements!$C$6:$C$3005,"&gt;="&amp;($C1739-3),Ventes_Encaissements!$C$6:$C$3005,"&lt;="&amp;($C1739+3)))</f>
        <v/>
      </c>
      <c r="I1739" s="12">
        <f>IF($H1739="","",IF($H1739=0,"Non trouvé",IF($H1739=1,"Match","À vérifier")))</f>
        <v/>
      </c>
      <c r="J1739" s="21">
        <f>IF($I1739&lt;&gt;"Match","",INDEX(Ventes_Encaissements!$B$6:$B$3005,_xludf.AGGREGATE(15,6,(ROW(Ventes_Encaissements!$B$6:$B$3005)-ROW(Ventes_Encaissements!$B$6)+1)/((Ventes_Encaissements!$E$6:$E$3005=$B1739)*(Ventes_Encaissements!$J$6:$J$3005=$G1739)*(Ventes_Encaissements!$C$6:$C$3005&gt;=$C1739-3)*(Ventes_Encaissements!$C$6:$C$3005&lt;=$C1739+3)),1)))</f>
        <v/>
      </c>
      <c r="K1739" s="6" t="n"/>
    </row>
    <row r="1740">
      <c r="A1740" s="6" t="n"/>
      <c r="B1740" s="6" t="n"/>
      <c r="C1740" s="19" t="n"/>
      <c r="D1740" s="19" t="n"/>
      <c r="E1740" s="6" t="n"/>
      <c r="F1740" s="20" t="n"/>
      <c r="G1740" s="9">
        <f>IF($F1740="","",IF($F1740&gt;0,ROUND($F1740,2),""))</f>
        <v/>
      </c>
      <c r="H1740" s="12">
        <f>IF(OR($B1740="",$C1740="",$G1740=""),"",COUNTIFS(Ventes_Encaissements!$E$6:$E$3005,$B1740,Ventes_Encaissements!$J$6:$J$3005,$G1740,Ventes_Encaissements!$C$6:$C$3005,"&gt;="&amp;($C1740-3),Ventes_Encaissements!$C$6:$C$3005,"&lt;="&amp;($C1740+3)))</f>
        <v/>
      </c>
      <c r="I1740" s="12">
        <f>IF($H1740="","",IF($H1740=0,"Non trouvé",IF($H1740=1,"Match","À vérifier")))</f>
        <v/>
      </c>
      <c r="J1740" s="21">
        <f>IF($I1740&lt;&gt;"Match","",INDEX(Ventes_Encaissements!$B$6:$B$3005,_xludf.AGGREGATE(15,6,(ROW(Ventes_Encaissements!$B$6:$B$3005)-ROW(Ventes_Encaissements!$B$6)+1)/((Ventes_Encaissements!$E$6:$E$3005=$B1740)*(Ventes_Encaissements!$J$6:$J$3005=$G1740)*(Ventes_Encaissements!$C$6:$C$3005&gt;=$C1740-3)*(Ventes_Encaissements!$C$6:$C$3005&lt;=$C1740+3)),1)))</f>
        <v/>
      </c>
      <c r="K1740" s="6" t="n"/>
    </row>
    <row r="1741">
      <c r="A1741" s="6" t="n"/>
      <c r="B1741" s="6" t="n"/>
      <c r="C1741" s="19" t="n"/>
      <c r="D1741" s="19" t="n"/>
      <c r="E1741" s="6" t="n"/>
      <c r="F1741" s="20" t="n"/>
      <c r="G1741" s="9">
        <f>IF($F1741="","",IF($F1741&gt;0,ROUND($F1741,2),""))</f>
        <v/>
      </c>
      <c r="H1741" s="12">
        <f>IF(OR($B1741="",$C1741="",$G1741=""),"",COUNTIFS(Ventes_Encaissements!$E$6:$E$3005,$B1741,Ventes_Encaissements!$J$6:$J$3005,$G1741,Ventes_Encaissements!$C$6:$C$3005,"&gt;="&amp;($C1741-3),Ventes_Encaissements!$C$6:$C$3005,"&lt;="&amp;($C1741+3)))</f>
        <v/>
      </c>
      <c r="I1741" s="12">
        <f>IF($H1741="","",IF($H1741=0,"Non trouvé",IF($H1741=1,"Match","À vérifier")))</f>
        <v/>
      </c>
      <c r="J1741" s="21">
        <f>IF($I1741&lt;&gt;"Match","",INDEX(Ventes_Encaissements!$B$6:$B$3005,_xludf.AGGREGATE(15,6,(ROW(Ventes_Encaissements!$B$6:$B$3005)-ROW(Ventes_Encaissements!$B$6)+1)/((Ventes_Encaissements!$E$6:$E$3005=$B1741)*(Ventes_Encaissements!$J$6:$J$3005=$G1741)*(Ventes_Encaissements!$C$6:$C$3005&gt;=$C1741-3)*(Ventes_Encaissements!$C$6:$C$3005&lt;=$C1741+3)),1)))</f>
        <v/>
      </c>
      <c r="K1741" s="6" t="n"/>
    </row>
    <row r="1742">
      <c r="A1742" s="6" t="n"/>
      <c r="B1742" s="6" t="n"/>
      <c r="C1742" s="19" t="n"/>
      <c r="D1742" s="19" t="n"/>
      <c r="E1742" s="6" t="n"/>
      <c r="F1742" s="20" t="n"/>
      <c r="G1742" s="9">
        <f>IF($F1742="","",IF($F1742&gt;0,ROUND($F1742,2),""))</f>
        <v/>
      </c>
      <c r="H1742" s="12">
        <f>IF(OR($B1742="",$C1742="",$G1742=""),"",COUNTIFS(Ventes_Encaissements!$E$6:$E$3005,$B1742,Ventes_Encaissements!$J$6:$J$3005,$G1742,Ventes_Encaissements!$C$6:$C$3005,"&gt;="&amp;($C1742-3),Ventes_Encaissements!$C$6:$C$3005,"&lt;="&amp;($C1742+3)))</f>
        <v/>
      </c>
      <c r="I1742" s="12">
        <f>IF($H1742="","",IF($H1742=0,"Non trouvé",IF($H1742=1,"Match","À vérifier")))</f>
        <v/>
      </c>
      <c r="J1742" s="21">
        <f>IF($I1742&lt;&gt;"Match","",INDEX(Ventes_Encaissements!$B$6:$B$3005,_xludf.AGGREGATE(15,6,(ROW(Ventes_Encaissements!$B$6:$B$3005)-ROW(Ventes_Encaissements!$B$6)+1)/((Ventes_Encaissements!$E$6:$E$3005=$B1742)*(Ventes_Encaissements!$J$6:$J$3005=$G1742)*(Ventes_Encaissements!$C$6:$C$3005&gt;=$C1742-3)*(Ventes_Encaissements!$C$6:$C$3005&lt;=$C1742+3)),1)))</f>
        <v/>
      </c>
      <c r="K1742" s="6" t="n"/>
    </row>
    <row r="1743">
      <c r="A1743" s="6" t="n"/>
      <c r="B1743" s="6" t="n"/>
      <c r="C1743" s="19" t="n"/>
      <c r="D1743" s="19" t="n"/>
      <c r="E1743" s="6" t="n"/>
      <c r="F1743" s="20" t="n"/>
      <c r="G1743" s="9">
        <f>IF($F1743="","",IF($F1743&gt;0,ROUND($F1743,2),""))</f>
        <v/>
      </c>
      <c r="H1743" s="12">
        <f>IF(OR($B1743="",$C1743="",$G1743=""),"",COUNTIFS(Ventes_Encaissements!$E$6:$E$3005,$B1743,Ventes_Encaissements!$J$6:$J$3005,$G1743,Ventes_Encaissements!$C$6:$C$3005,"&gt;="&amp;($C1743-3),Ventes_Encaissements!$C$6:$C$3005,"&lt;="&amp;($C1743+3)))</f>
        <v/>
      </c>
      <c r="I1743" s="12">
        <f>IF($H1743="","",IF($H1743=0,"Non trouvé",IF($H1743=1,"Match","À vérifier")))</f>
        <v/>
      </c>
      <c r="J1743" s="21">
        <f>IF($I1743&lt;&gt;"Match","",INDEX(Ventes_Encaissements!$B$6:$B$3005,_xludf.AGGREGATE(15,6,(ROW(Ventes_Encaissements!$B$6:$B$3005)-ROW(Ventes_Encaissements!$B$6)+1)/((Ventes_Encaissements!$E$6:$E$3005=$B1743)*(Ventes_Encaissements!$J$6:$J$3005=$G1743)*(Ventes_Encaissements!$C$6:$C$3005&gt;=$C1743-3)*(Ventes_Encaissements!$C$6:$C$3005&lt;=$C1743+3)),1)))</f>
        <v/>
      </c>
      <c r="K1743" s="6" t="n"/>
    </row>
    <row r="1744">
      <c r="A1744" s="6" t="n"/>
      <c r="B1744" s="6" t="n"/>
      <c r="C1744" s="19" t="n"/>
      <c r="D1744" s="19" t="n"/>
      <c r="E1744" s="6" t="n"/>
      <c r="F1744" s="20" t="n"/>
      <c r="G1744" s="9">
        <f>IF($F1744="","",IF($F1744&gt;0,ROUND($F1744,2),""))</f>
        <v/>
      </c>
      <c r="H1744" s="12">
        <f>IF(OR($B1744="",$C1744="",$G1744=""),"",COUNTIFS(Ventes_Encaissements!$E$6:$E$3005,$B1744,Ventes_Encaissements!$J$6:$J$3005,$G1744,Ventes_Encaissements!$C$6:$C$3005,"&gt;="&amp;($C1744-3),Ventes_Encaissements!$C$6:$C$3005,"&lt;="&amp;($C1744+3)))</f>
        <v/>
      </c>
      <c r="I1744" s="12">
        <f>IF($H1744="","",IF($H1744=0,"Non trouvé",IF($H1744=1,"Match","À vérifier")))</f>
        <v/>
      </c>
      <c r="J1744" s="21">
        <f>IF($I1744&lt;&gt;"Match","",INDEX(Ventes_Encaissements!$B$6:$B$3005,_xludf.AGGREGATE(15,6,(ROW(Ventes_Encaissements!$B$6:$B$3005)-ROW(Ventes_Encaissements!$B$6)+1)/((Ventes_Encaissements!$E$6:$E$3005=$B1744)*(Ventes_Encaissements!$J$6:$J$3005=$G1744)*(Ventes_Encaissements!$C$6:$C$3005&gt;=$C1744-3)*(Ventes_Encaissements!$C$6:$C$3005&lt;=$C1744+3)),1)))</f>
        <v/>
      </c>
      <c r="K1744" s="6" t="n"/>
    </row>
    <row r="1745">
      <c r="A1745" s="6" t="n"/>
      <c r="B1745" s="6" t="n"/>
      <c r="C1745" s="19" t="n"/>
      <c r="D1745" s="19" t="n"/>
      <c r="E1745" s="6" t="n"/>
      <c r="F1745" s="20" t="n"/>
      <c r="G1745" s="9">
        <f>IF($F1745="","",IF($F1745&gt;0,ROUND($F1745,2),""))</f>
        <v/>
      </c>
      <c r="H1745" s="12">
        <f>IF(OR($B1745="",$C1745="",$G1745=""),"",COUNTIFS(Ventes_Encaissements!$E$6:$E$3005,$B1745,Ventes_Encaissements!$J$6:$J$3005,$G1745,Ventes_Encaissements!$C$6:$C$3005,"&gt;="&amp;($C1745-3),Ventes_Encaissements!$C$6:$C$3005,"&lt;="&amp;($C1745+3)))</f>
        <v/>
      </c>
      <c r="I1745" s="12">
        <f>IF($H1745="","",IF($H1745=0,"Non trouvé",IF($H1745=1,"Match","À vérifier")))</f>
        <v/>
      </c>
      <c r="J1745" s="21">
        <f>IF($I1745&lt;&gt;"Match","",INDEX(Ventes_Encaissements!$B$6:$B$3005,_xludf.AGGREGATE(15,6,(ROW(Ventes_Encaissements!$B$6:$B$3005)-ROW(Ventes_Encaissements!$B$6)+1)/((Ventes_Encaissements!$E$6:$E$3005=$B1745)*(Ventes_Encaissements!$J$6:$J$3005=$G1745)*(Ventes_Encaissements!$C$6:$C$3005&gt;=$C1745-3)*(Ventes_Encaissements!$C$6:$C$3005&lt;=$C1745+3)),1)))</f>
        <v/>
      </c>
      <c r="K1745" s="6" t="n"/>
    </row>
    <row r="1746">
      <c r="A1746" s="6" t="n"/>
      <c r="B1746" s="6" t="n"/>
      <c r="C1746" s="19" t="n"/>
      <c r="D1746" s="19" t="n"/>
      <c r="E1746" s="6" t="n"/>
      <c r="F1746" s="20" t="n"/>
      <c r="G1746" s="9">
        <f>IF($F1746="","",IF($F1746&gt;0,ROUND($F1746,2),""))</f>
        <v/>
      </c>
      <c r="H1746" s="12">
        <f>IF(OR($B1746="",$C1746="",$G1746=""),"",COUNTIFS(Ventes_Encaissements!$E$6:$E$3005,$B1746,Ventes_Encaissements!$J$6:$J$3005,$G1746,Ventes_Encaissements!$C$6:$C$3005,"&gt;="&amp;($C1746-3),Ventes_Encaissements!$C$6:$C$3005,"&lt;="&amp;($C1746+3)))</f>
        <v/>
      </c>
      <c r="I1746" s="12">
        <f>IF($H1746="","",IF($H1746=0,"Non trouvé",IF($H1746=1,"Match","À vérifier")))</f>
        <v/>
      </c>
      <c r="J1746" s="21">
        <f>IF($I1746&lt;&gt;"Match","",INDEX(Ventes_Encaissements!$B$6:$B$3005,_xludf.AGGREGATE(15,6,(ROW(Ventes_Encaissements!$B$6:$B$3005)-ROW(Ventes_Encaissements!$B$6)+1)/((Ventes_Encaissements!$E$6:$E$3005=$B1746)*(Ventes_Encaissements!$J$6:$J$3005=$G1746)*(Ventes_Encaissements!$C$6:$C$3005&gt;=$C1746-3)*(Ventes_Encaissements!$C$6:$C$3005&lt;=$C1746+3)),1)))</f>
        <v/>
      </c>
      <c r="K1746" s="6" t="n"/>
    </row>
    <row r="1747">
      <c r="A1747" s="6" t="n"/>
      <c r="B1747" s="6" t="n"/>
      <c r="C1747" s="19" t="n"/>
      <c r="D1747" s="19" t="n"/>
      <c r="E1747" s="6" t="n"/>
      <c r="F1747" s="20" t="n"/>
      <c r="G1747" s="9">
        <f>IF($F1747="","",IF($F1747&gt;0,ROUND($F1747,2),""))</f>
        <v/>
      </c>
      <c r="H1747" s="12">
        <f>IF(OR($B1747="",$C1747="",$G1747=""),"",COUNTIFS(Ventes_Encaissements!$E$6:$E$3005,$B1747,Ventes_Encaissements!$J$6:$J$3005,$G1747,Ventes_Encaissements!$C$6:$C$3005,"&gt;="&amp;($C1747-3),Ventes_Encaissements!$C$6:$C$3005,"&lt;="&amp;($C1747+3)))</f>
        <v/>
      </c>
      <c r="I1747" s="12">
        <f>IF($H1747="","",IF($H1747=0,"Non trouvé",IF($H1747=1,"Match","À vérifier")))</f>
        <v/>
      </c>
      <c r="J1747" s="21">
        <f>IF($I1747&lt;&gt;"Match","",INDEX(Ventes_Encaissements!$B$6:$B$3005,_xludf.AGGREGATE(15,6,(ROW(Ventes_Encaissements!$B$6:$B$3005)-ROW(Ventes_Encaissements!$B$6)+1)/((Ventes_Encaissements!$E$6:$E$3005=$B1747)*(Ventes_Encaissements!$J$6:$J$3005=$G1747)*(Ventes_Encaissements!$C$6:$C$3005&gt;=$C1747-3)*(Ventes_Encaissements!$C$6:$C$3005&lt;=$C1747+3)),1)))</f>
        <v/>
      </c>
      <c r="K1747" s="6" t="n"/>
    </row>
    <row r="1748">
      <c r="A1748" s="6" t="n"/>
      <c r="B1748" s="6" t="n"/>
      <c r="C1748" s="19" t="n"/>
      <c r="D1748" s="19" t="n"/>
      <c r="E1748" s="6" t="n"/>
      <c r="F1748" s="20" t="n"/>
      <c r="G1748" s="9">
        <f>IF($F1748="","",IF($F1748&gt;0,ROUND($F1748,2),""))</f>
        <v/>
      </c>
      <c r="H1748" s="12">
        <f>IF(OR($B1748="",$C1748="",$G1748=""),"",COUNTIFS(Ventes_Encaissements!$E$6:$E$3005,$B1748,Ventes_Encaissements!$J$6:$J$3005,$G1748,Ventes_Encaissements!$C$6:$C$3005,"&gt;="&amp;($C1748-3),Ventes_Encaissements!$C$6:$C$3005,"&lt;="&amp;($C1748+3)))</f>
        <v/>
      </c>
      <c r="I1748" s="12">
        <f>IF($H1748="","",IF($H1748=0,"Non trouvé",IF($H1748=1,"Match","À vérifier")))</f>
        <v/>
      </c>
      <c r="J1748" s="21">
        <f>IF($I1748&lt;&gt;"Match","",INDEX(Ventes_Encaissements!$B$6:$B$3005,_xludf.AGGREGATE(15,6,(ROW(Ventes_Encaissements!$B$6:$B$3005)-ROW(Ventes_Encaissements!$B$6)+1)/((Ventes_Encaissements!$E$6:$E$3005=$B1748)*(Ventes_Encaissements!$J$6:$J$3005=$G1748)*(Ventes_Encaissements!$C$6:$C$3005&gt;=$C1748-3)*(Ventes_Encaissements!$C$6:$C$3005&lt;=$C1748+3)),1)))</f>
        <v/>
      </c>
      <c r="K1748" s="6" t="n"/>
    </row>
    <row r="1749">
      <c r="A1749" s="6" t="n"/>
      <c r="B1749" s="6" t="n"/>
      <c r="C1749" s="19" t="n"/>
      <c r="D1749" s="19" t="n"/>
      <c r="E1749" s="6" t="n"/>
      <c r="F1749" s="20" t="n"/>
      <c r="G1749" s="9">
        <f>IF($F1749="","",IF($F1749&gt;0,ROUND($F1749,2),""))</f>
        <v/>
      </c>
      <c r="H1749" s="12">
        <f>IF(OR($B1749="",$C1749="",$G1749=""),"",COUNTIFS(Ventes_Encaissements!$E$6:$E$3005,$B1749,Ventes_Encaissements!$J$6:$J$3005,$G1749,Ventes_Encaissements!$C$6:$C$3005,"&gt;="&amp;($C1749-3),Ventes_Encaissements!$C$6:$C$3005,"&lt;="&amp;($C1749+3)))</f>
        <v/>
      </c>
      <c r="I1749" s="12">
        <f>IF($H1749="","",IF($H1749=0,"Non trouvé",IF($H1749=1,"Match","À vérifier")))</f>
        <v/>
      </c>
      <c r="J1749" s="21">
        <f>IF($I1749&lt;&gt;"Match","",INDEX(Ventes_Encaissements!$B$6:$B$3005,_xludf.AGGREGATE(15,6,(ROW(Ventes_Encaissements!$B$6:$B$3005)-ROW(Ventes_Encaissements!$B$6)+1)/((Ventes_Encaissements!$E$6:$E$3005=$B1749)*(Ventes_Encaissements!$J$6:$J$3005=$G1749)*(Ventes_Encaissements!$C$6:$C$3005&gt;=$C1749-3)*(Ventes_Encaissements!$C$6:$C$3005&lt;=$C1749+3)),1)))</f>
        <v/>
      </c>
      <c r="K1749" s="6" t="n"/>
    </row>
    <row r="1750">
      <c r="A1750" s="6" t="n"/>
      <c r="B1750" s="6" t="n"/>
      <c r="C1750" s="19" t="n"/>
      <c r="D1750" s="19" t="n"/>
      <c r="E1750" s="6" t="n"/>
      <c r="F1750" s="20" t="n"/>
      <c r="G1750" s="9">
        <f>IF($F1750="","",IF($F1750&gt;0,ROUND($F1750,2),""))</f>
        <v/>
      </c>
      <c r="H1750" s="12">
        <f>IF(OR($B1750="",$C1750="",$G1750=""),"",COUNTIFS(Ventes_Encaissements!$E$6:$E$3005,$B1750,Ventes_Encaissements!$J$6:$J$3005,$G1750,Ventes_Encaissements!$C$6:$C$3005,"&gt;="&amp;($C1750-3),Ventes_Encaissements!$C$6:$C$3005,"&lt;="&amp;($C1750+3)))</f>
        <v/>
      </c>
      <c r="I1750" s="12">
        <f>IF($H1750="","",IF($H1750=0,"Non trouvé",IF($H1750=1,"Match","À vérifier")))</f>
        <v/>
      </c>
      <c r="J1750" s="21">
        <f>IF($I1750&lt;&gt;"Match","",INDEX(Ventes_Encaissements!$B$6:$B$3005,_xludf.AGGREGATE(15,6,(ROW(Ventes_Encaissements!$B$6:$B$3005)-ROW(Ventes_Encaissements!$B$6)+1)/((Ventes_Encaissements!$E$6:$E$3005=$B1750)*(Ventes_Encaissements!$J$6:$J$3005=$G1750)*(Ventes_Encaissements!$C$6:$C$3005&gt;=$C1750-3)*(Ventes_Encaissements!$C$6:$C$3005&lt;=$C1750+3)),1)))</f>
        <v/>
      </c>
      <c r="K1750" s="6" t="n"/>
    </row>
    <row r="1751">
      <c r="A1751" s="6" t="n"/>
      <c r="B1751" s="6" t="n"/>
      <c r="C1751" s="19" t="n"/>
      <c r="D1751" s="19" t="n"/>
      <c r="E1751" s="6" t="n"/>
      <c r="F1751" s="20" t="n"/>
      <c r="G1751" s="9">
        <f>IF($F1751="","",IF($F1751&gt;0,ROUND($F1751,2),""))</f>
        <v/>
      </c>
      <c r="H1751" s="12">
        <f>IF(OR($B1751="",$C1751="",$G1751=""),"",COUNTIFS(Ventes_Encaissements!$E$6:$E$3005,$B1751,Ventes_Encaissements!$J$6:$J$3005,$G1751,Ventes_Encaissements!$C$6:$C$3005,"&gt;="&amp;($C1751-3),Ventes_Encaissements!$C$6:$C$3005,"&lt;="&amp;($C1751+3)))</f>
        <v/>
      </c>
      <c r="I1751" s="12">
        <f>IF($H1751="","",IF($H1751=0,"Non trouvé",IF($H1751=1,"Match","À vérifier")))</f>
        <v/>
      </c>
      <c r="J1751" s="21">
        <f>IF($I1751&lt;&gt;"Match","",INDEX(Ventes_Encaissements!$B$6:$B$3005,_xludf.AGGREGATE(15,6,(ROW(Ventes_Encaissements!$B$6:$B$3005)-ROW(Ventes_Encaissements!$B$6)+1)/((Ventes_Encaissements!$E$6:$E$3005=$B1751)*(Ventes_Encaissements!$J$6:$J$3005=$G1751)*(Ventes_Encaissements!$C$6:$C$3005&gt;=$C1751-3)*(Ventes_Encaissements!$C$6:$C$3005&lt;=$C1751+3)),1)))</f>
        <v/>
      </c>
      <c r="K1751" s="6" t="n"/>
    </row>
    <row r="1752">
      <c r="A1752" s="6" t="n"/>
      <c r="B1752" s="6" t="n"/>
      <c r="C1752" s="19" t="n"/>
      <c r="D1752" s="19" t="n"/>
      <c r="E1752" s="6" t="n"/>
      <c r="F1752" s="20" t="n"/>
      <c r="G1752" s="9">
        <f>IF($F1752="","",IF($F1752&gt;0,ROUND($F1752,2),""))</f>
        <v/>
      </c>
      <c r="H1752" s="12">
        <f>IF(OR($B1752="",$C1752="",$G1752=""),"",COUNTIFS(Ventes_Encaissements!$E$6:$E$3005,$B1752,Ventes_Encaissements!$J$6:$J$3005,$G1752,Ventes_Encaissements!$C$6:$C$3005,"&gt;="&amp;($C1752-3),Ventes_Encaissements!$C$6:$C$3005,"&lt;="&amp;($C1752+3)))</f>
        <v/>
      </c>
      <c r="I1752" s="12">
        <f>IF($H1752="","",IF($H1752=0,"Non trouvé",IF($H1752=1,"Match","À vérifier")))</f>
        <v/>
      </c>
      <c r="J1752" s="21">
        <f>IF($I1752&lt;&gt;"Match","",INDEX(Ventes_Encaissements!$B$6:$B$3005,_xludf.AGGREGATE(15,6,(ROW(Ventes_Encaissements!$B$6:$B$3005)-ROW(Ventes_Encaissements!$B$6)+1)/((Ventes_Encaissements!$E$6:$E$3005=$B1752)*(Ventes_Encaissements!$J$6:$J$3005=$G1752)*(Ventes_Encaissements!$C$6:$C$3005&gt;=$C1752-3)*(Ventes_Encaissements!$C$6:$C$3005&lt;=$C1752+3)),1)))</f>
        <v/>
      </c>
      <c r="K1752" s="6" t="n"/>
    </row>
    <row r="1753">
      <c r="A1753" s="6" t="n"/>
      <c r="B1753" s="6" t="n"/>
      <c r="C1753" s="19" t="n"/>
      <c r="D1753" s="19" t="n"/>
      <c r="E1753" s="6" t="n"/>
      <c r="F1753" s="20" t="n"/>
      <c r="G1753" s="9">
        <f>IF($F1753="","",IF($F1753&gt;0,ROUND($F1753,2),""))</f>
        <v/>
      </c>
      <c r="H1753" s="12">
        <f>IF(OR($B1753="",$C1753="",$G1753=""),"",COUNTIFS(Ventes_Encaissements!$E$6:$E$3005,$B1753,Ventes_Encaissements!$J$6:$J$3005,$G1753,Ventes_Encaissements!$C$6:$C$3005,"&gt;="&amp;($C1753-3),Ventes_Encaissements!$C$6:$C$3005,"&lt;="&amp;($C1753+3)))</f>
        <v/>
      </c>
      <c r="I1753" s="12">
        <f>IF($H1753="","",IF($H1753=0,"Non trouvé",IF($H1753=1,"Match","À vérifier")))</f>
        <v/>
      </c>
      <c r="J1753" s="21">
        <f>IF($I1753&lt;&gt;"Match","",INDEX(Ventes_Encaissements!$B$6:$B$3005,_xludf.AGGREGATE(15,6,(ROW(Ventes_Encaissements!$B$6:$B$3005)-ROW(Ventes_Encaissements!$B$6)+1)/((Ventes_Encaissements!$E$6:$E$3005=$B1753)*(Ventes_Encaissements!$J$6:$J$3005=$G1753)*(Ventes_Encaissements!$C$6:$C$3005&gt;=$C1753-3)*(Ventes_Encaissements!$C$6:$C$3005&lt;=$C1753+3)),1)))</f>
        <v/>
      </c>
      <c r="K1753" s="6" t="n"/>
    </row>
    <row r="1754">
      <c r="A1754" s="6" t="n"/>
      <c r="B1754" s="6" t="n"/>
      <c r="C1754" s="19" t="n"/>
      <c r="D1754" s="19" t="n"/>
      <c r="E1754" s="6" t="n"/>
      <c r="F1754" s="20" t="n"/>
      <c r="G1754" s="9">
        <f>IF($F1754="","",IF($F1754&gt;0,ROUND($F1754,2),""))</f>
        <v/>
      </c>
      <c r="H1754" s="12">
        <f>IF(OR($B1754="",$C1754="",$G1754=""),"",COUNTIFS(Ventes_Encaissements!$E$6:$E$3005,$B1754,Ventes_Encaissements!$J$6:$J$3005,$G1754,Ventes_Encaissements!$C$6:$C$3005,"&gt;="&amp;($C1754-3),Ventes_Encaissements!$C$6:$C$3005,"&lt;="&amp;($C1754+3)))</f>
        <v/>
      </c>
      <c r="I1754" s="12">
        <f>IF($H1754="","",IF($H1754=0,"Non trouvé",IF($H1754=1,"Match","À vérifier")))</f>
        <v/>
      </c>
      <c r="J1754" s="21">
        <f>IF($I1754&lt;&gt;"Match","",INDEX(Ventes_Encaissements!$B$6:$B$3005,_xludf.AGGREGATE(15,6,(ROW(Ventes_Encaissements!$B$6:$B$3005)-ROW(Ventes_Encaissements!$B$6)+1)/((Ventes_Encaissements!$E$6:$E$3005=$B1754)*(Ventes_Encaissements!$J$6:$J$3005=$G1754)*(Ventes_Encaissements!$C$6:$C$3005&gt;=$C1754-3)*(Ventes_Encaissements!$C$6:$C$3005&lt;=$C1754+3)),1)))</f>
        <v/>
      </c>
      <c r="K1754" s="6" t="n"/>
    </row>
    <row r="1755">
      <c r="A1755" s="6" t="n"/>
      <c r="B1755" s="6" t="n"/>
      <c r="C1755" s="19" t="n"/>
      <c r="D1755" s="19" t="n"/>
      <c r="E1755" s="6" t="n"/>
      <c r="F1755" s="20" t="n"/>
      <c r="G1755" s="9">
        <f>IF($F1755="","",IF($F1755&gt;0,ROUND($F1755,2),""))</f>
        <v/>
      </c>
      <c r="H1755" s="12">
        <f>IF(OR($B1755="",$C1755="",$G1755=""),"",COUNTIFS(Ventes_Encaissements!$E$6:$E$3005,$B1755,Ventes_Encaissements!$J$6:$J$3005,$G1755,Ventes_Encaissements!$C$6:$C$3005,"&gt;="&amp;($C1755-3),Ventes_Encaissements!$C$6:$C$3005,"&lt;="&amp;($C1755+3)))</f>
        <v/>
      </c>
      <c r="I1755" s="12">
        <f>IF($H1755="","",IF($H1755=0,"Non trouvé",IF($H1755=1,"Match","À vérifier")))</f>
        <v/>
      </c>
      <c r="J1755" s="21">
        <f>IF($I1755&lt;&gt;"Match","",INDEX(Ventes_Encaissements!$B$6:$B$3005,_xludf.AGGREGATE(15,6,(ROW(Ventes_Encaissements!$B$6:$B$3005)-ROW(Ventes_Encaissements!$B$6)+1)/((Ventes_Encaissements!$E$6:$E$3005=$B1755)*(Ventes_Encaissements!$J$6:$J$3005=$G1755)*(Ventes_Encaissements!$C$6:$C$3005&gt;=$C1755-3)*(Ventes_Encaissements!$C$6:$C$3005&lt;=$C1755+3)),1)))</f>
        <v/>
      </c>
      <c r="K1755" s="6" t="n"/>
    </row>
    <row r="1756">
      <c r="A1756" s="6" t="n"/>
      <c r="B1756" s="6" t="n"/>
      <c r="C1756" s="19" t="n"/>
      <c r="D1756" s="19" t="n"/>
      <c r="E1756" s="6" t="n"/>
      <c r="F1756" s="20" t="n"/>
      <c r="G1756" s="9">
        <f>IF($F1756="","",IF($F1756&gt;0,ROUND($F1756,2),""))</f>
        <v/>
      </c>
      <c r="H1756" s="12">
        <f>IF(OR($B1756="",$C1756="",$G1756=""),"",COUNTIFS(Ventes_Encaissements!$E$6:$E$3005,$B1756,Ventes_Encaissements!$J$6:$J$3005,$G1756,Ventes_Encaissements!$C$6:$C$3005,"&gt;="&amp;($C1756-3),Ventes_Encaissements!$C$6:$C$3005,"&lt;="&amp;($C1756+3)))</f>
        <v/>
      </c>
      <c r="I1756" s="12">
        <f>IF($H1756="","",IF($H1756=0,"Non trouvé",IF($H1756=1,"Match","À vérifier")))</f>
        <v/>
      </c>
      <c r="J1756" s="21">
        <f>IF($I1756&lt;&gt;"Match","",INDEX(Ventes_Encaissements!$B$6:$B$3005,_xludf.AGGREGATE(15,6,(ROW(Ventes_Encaissements!$B$6:$B$3005)-ROW(Ventes_Encaissements!$B$6)+1)/((Ventes_Encaissements!$E$6:$E$3005=$B1756)*(Ventes_Encaissements!$J$6:$J$3005=$G1756)*(Ventes_Encaissements!$C$6:$C$3005&gt;=$C1756-3)*(Ventes_Encaissements!$C$6:$C$3005&lt;=$C1756+3)),1)))</f>
        <v/>
      </c>
      <c r="K1756" s="6" t="n"/>
    </row>
    <row r="1757">
      <c r="A1757" s="6" t="n"/>
      <c r="B1757" s="6" t="n"/>
      <c r="C1757" s="19" t="n"/>
      <c r="D1757" s="19" t="n"/>
      <c r="E1757" s="6" t="n"/>
      <c r="F1757" s="20" t="n"/>
      <c r="G1757" s="9">
        <f>IF($F1757="","",IF($F1757&gt;0,ROUND($F1757,2),""))</f>
        <v/>
      </c>
      <c r="H1757" s="12">
        <f>IF(OR($B1757="",$C1757="",$G1757=""),"",COUNTIFS(Ventes_Encaissements!$E$6:$E$3005,$B1757,Ventes_Encaissements!$J$6:$J$3005,$G1757,Ventes_Encaissements!$C$6:$C$3005,"&gt;="&amp;($C1757-3),Ventes_Encaissements!$C$6:$C$3005,"&lt;="&amp;($C1757+3)))</f>
        <v/>
      </c>
      <c r="I1757" s="12">
        <f>IF($H1757="","",IF($H1757=0,"Non trouvé",IF($H1757=1,"Match","À vérifier")))</f>
        <v/>
      </c>
      <c r="J1757" s="21">
        <f>IF($I1757&lt;&gt;"Match","",INDEX(Ventes_Encaissements!$B$6:$B$3005,_xludf.AGGREGATE(15,6,(ROW(Ventes_Encaissements!$B$6:$B$3005)-ROW(Ventes_Encaissements!$B$6)+1)/((Ventes_Encaissements!$E$6:$E$3005=$B1757)*(Ventes_Encaissements!$J$6:$J$3005=$G1757)*(Ventes_Encaissements!$C$6:$C$3005&gt;=$C1757-3)*(Ventes_Encaissements!$C$6:$C$3005&lt;=$C1757+3)),1)))</f>
        <v/>
      </c>
      <c r="K1757" s="6" t="n"/>
    </row>
    <row r="1758">
      <c r="A1758" s="6" t="n"/>
      <c r="B1758" s="6" t="n"/>
      <c r="C1758" s="19" t="n"/>
      <c r="D1758" s="19" t="n"/>
      <c r="E1758" s="6" t="n"/>
      <c r="F1758" s="20" t="n"/>
      <c r="G1758" s="9">
        <f>IF($F1758="","",IF($F1758&gt;0,ROUND($F1758,2),""))</f>
        <v/>
      </c>
      <c r="H1758" s="12">
        <f>IF(OR($B1758="",$C1758="",$G1758=""),"",COUNTIFS(Ventes_Encaissements!$E$6:$E$3005,$B1758,Ventes_Encaissements!$J$6:$J$3005,$G1758,Ventes_Encaissements!$C$6:$C$3005,"&gt;="&amp;($C1758-3),Ventes_Encaissements!$C$6:$C$3005,"&lt;="&amp;($C1758+3)))</f>
        <v/>
      </c>
      <c r="I1758" s="12">
        <f>IF($H1758="","",IF($H1758=0,"Non trouvé",IF($H1758=1,"Match","À vérifier")))</f>
        <v/>
      </c>
      <c r="J1758" s="21">
        <f>IF($I1758&lt;&gt;"Match","",INDEX(Ventes_Encaissements!$B$6:$B$3005,_xludf.AGGREGATE(15,6,(ROW(Ventes_Encaissements!$B$6:$B$3005)-ROW(Ventes_Encaissements!$B$6)+1)/((Ventes_Encaissements!$E$6:$E$3005=$B1758)*(Ventes_Encaissements!$J$6:$J$3005=$G1758)*(Ventes_Encaissements!$C$6:$C$3005&gt;=$C1758-3)*(Ventes_Encaissements!$C$6:$C$3005&lt;=$C1758+3)),1)))</f>
        <v/>
      </c>
      <c r="K1758" s="6" t="n"/>
    </row>
    <row r="1759">
      <c r="A1759" s="6" t="n"/>
      <c r="B1759" s="6" t="n"/>
      <c r="C1759" s="19" t="n"/>
      <c r="D1759" s="19" t="n"/>
      <c r="E1759" s="6" t="n"/>
      <c r="F1759" s="20" t="n"/>
      <c r="G1759" s="9">
        <f>IF($F1759="","",IF($F1759&gt;0,ROUND($F1759,2),""))</f>
        <v/>
      </c>
      <c r="H1759" s="12">
        <f>IF(OR($B1759="",$C1759="",$G1759=""),"",COUNTIFS(Ventes_Encaissements!$E$6:$E$3005,$B1759,Ventes_Encaissements!$J$6:$J$3005,$G1759,Ventes_Encaissements!$C$6:$C$3005,"&gt;="&amp;($C1759-3),Ventes_Encaissements!$C$6:$C$3005,"&lt;="&amp;($C1759+3)))</f>
        <v/>
      </c>
      <c r="I1759" s="12">
        <f>IF($H1759="","",IF($H1759=0,"Non trouvé",IF($H1759=1,"Match","À vérifier")))</f>
        <v/>
      </c>
      <c r="J1759" s="21">
        <f>IF($I1759&lt;&gt;"Match","",INDEX(Ventes_Encaissements!$B$6:$B$3005,_xludf.AGGREGATE(15,6,(ROW(Ventes_Encaissements!$B$6:$B$3005)-ROW(Ventes_Encaissements!$B$6)+1)/((Ventes_Encaissements!$E$6:$E$3005=$B1759)*(Ventes_Encaissements!$J$6:$J$3005=$G1759)*(Ventes_Encaissements!$C$6:$C$3005&gt;=$C1759-3)*(Ventes_Encaissements!$C$6:$C$3005&lt;=$C1759+3)),1)))</f>
        <v/>
      </c>
      <c r="K1759" s="6" t="n"/>
    </row>
    <row r="1760">
      <c r="A1760" s="6" t="n"/>
      <c r="B1760" s="6" t="n"/>
      <c r="C1760" s="19" t="n"/>
      <c r="D1760" s="19" t="n"/>
      <c r="E1760" s="6" t="n"/>
      <c r="F1760" s="20" t="n"/>
      <c r="G1760" s="9">
        <f>IF($F1760="","",IF($F1760&gt;0,ROUND($F1760,2),""))</f>
        <v/>
      </c>
      <c r="H1760" s="12">
        <f>IF(OR($B1760="",$C1760="",$G1760=""),"",COUNTIFS(Ventes_Encaissements!$E$6:$E$3005,$B1760,Ventes_Encaissements!$J$6:$J$3005,$G1760,Ventes_Encaissements!$C$6:$C$3005,"&gt;="&amp;($C1760-3),Ventes_Encaissements!$C$6:$C$3005,"&lt;="&amp;($C1760+3)))</f>
        <v/>
      </c>
      <c r="I1760" s="12">
        <f>IF($H1760="","",IF($H1760=0,"Non trouvé",IF($H1760=1,"Match","À vérifier")))</f>
        <v/>
      </c>
      <c r="J1760" s="21">
        <f>IF($I1760&lt;&gt;"Match","",INDEX(Ventes_Encaissements!$B$6:$B$3005,_xludf.AGGREGATE(15,6,(ROW(Ventes_Encaissements!$B$6:$B$3005)-ROW(Ventes_Encaissements!$B$6)+1)/((Ventes_Encaissements!$E$6:$E$3005=$B1760)*(Ventes_Encaissements!$J$6:$J$3005=$G1760)*(Ventes_Encaissements!$C$6:$C$3005&gt;=$C1760-3)*(Ventes_Encaissements!$C$6:$C$3005&lt;=$C1760+3)),1)))</f>
        <v/>
      </c>
      <c r="K1760" s="6" t="n"/>
    </row>
    <row r="1761">
      <c r="A1761" s="6" t="n"/>
      <c r="B1761" s="6" t="n"/>
      <c r="C1761" s="19" t="n"/>
      <c r="D1761" s="19" t="n"/>
      <c r="E1761" s="6" t="n"/>
      <c r="F1761" s="20" t="n"/>
      <c r="G1761" s="9">
        <f>IF($F1761="","",IF($F1761&gt;0,ROUND($F1761,2),""))</f>
        <v/>
      </c>
      <c r="H1761" s="12">
        <f>IF(OR($B1761="",$C1761="",$G1761=""),"",COUNTIFS(Ventes_Encaissements!$E$6:$E$3005,$B1761,Ventes_Encaissements!$J$6:$J$3005,$G1761,Ventes_Encaissements!$C$6:$C$3005,"&gt;="&amp;($C1761-3),Ventes_Encaissements!$C$6:$C$3005,"&lt;="&amp;($C1761+3)))</f>
        <v/>
      </c>
      <c r="I1761" s="12">
        <f>IF($H1761="","",IF($H1761=0,"Non trouvé",IF($H1761=1,"Match","À vérifier")))</f>
        <v/>
      </c>
      <c r="J1761" s="21">
        <f>IF($I1761&lt;&gt;"Match","",INDEX(Ventes_Encaissements!$B$6:$B$3005,_xludf.AGGREGATE(15,6,(ROW(Ventes_Encaissements!$B$6:$B$3005)-ROW(Ventes_Encaissements!$B$6)+1)/((Ventes_Encaissements!$E$6:$E$3005=$B1761)*(Ventes_Encaissements!$J$6:$J$3005=$G1761)*(Ventes_Encaissements!$C$6:$C$3005&gt;=$C1761-3)*(Ventes_Encaissements!$C$6:$C$3005&lt;=$C1761+3)),1)))</f>
        <v/>
      </c>
      <c r="K1761" s="6" t="n"/>
    </row>
    <row r="1762">
      <c r="A1762" s="6" t="n"/>
      <c r="B1762" s="6" t="n"/>
      <c r="C1762" s="19" t="n"/>
      <c r="D1762" s="19" t="n"/>
      <c r="E1762" s="6" t="n"/>
      <c r="F1762" s="20" t="n"/>
      <c r="G1762" s="9">
        <f>IF($F1762="","",IF($F1762&gt;0,ROUND($F1762,2),""))</f>
        <v/>
      </c>
      <c r="H1762" s="12">
        <f>IF(OR($B1762="",$C1762="",$G1762=""),"",COUNTIFS(Ventes_Encaissements!$E$6:$E$3005,$B1762,Ventes_Encaissements!$J$6:$J$3005,$G1762,Ventes_Encaissements!$C$6:$C$3005,"&gt;="&amp;($C1762-3),Ventes_Encaissements!$C$6:$C$3005,"&lt;="&amp;($C1762+3)))</f>
        <v/>
      </c>
      <c r="I1762" s="12">
        <f>IF($H1762="","",IF($H1762=0,"Non trouvé",IF($H1762=1,"Match","À vérifier")))</f>
        <v/>
      </c>
      <c r="J1762" s="21">
        <f>IF($I1762&lt;&gt;"Match","",INDEX(Ventes_Encaissements!$B$6:$B$3005,_xludf.AGGREGATE(15,6,(ROW(Ventes_Encaissements!$B$6:$B$3005)-ROW(Ventes_Encaissements!$B$6)+1)/((Ventes_Encaissements!$E$6:$E$3005=$B1762)*(Ventes_Encaissements!$J$6:$J$3005=$G1762)*(Ventes_Encaissements!$C$6:$C$3005&gt;=$C1762-3)*(Ventes_Encaissements!$C$6:$C$3005&lt;=$C1762+3)),1)))</f>
        <v/>
      </c>
      <c r="K1762" s="6" t="n"/>
    </row>
    <row r="1763">
      <c r="A1763" s="6" t="n"/>
      <c r="B1763" s="6" t="n"/>
      <c r="C1763" s="19" t="n"/>
      <c r="D1763" s="19" t="n"/>
      <c r="E1763" s="6" t="n"/>
      <c r="F1763" s="20" t="n"/>
      <c r="G1763" s="9">
        <f>IF($F1763="","",IF($F1763&gt;0,ROUND($F1763,2),""))</f>
        <v/>
      </c>
      <c r="H1763" s="12">
        <f>IF(OR($B1763="",$C1763="",$G1763=""),"",COUNTIFS(Ventes_Encaissements!$E$6:$E$3005,$B1763,Ventes_Encaissements!$J$6:$J$3005,$G1763,Ventes_Encaissements!$C$6:$C$3005,"&gt;="&amp;($C1763-3),Ventes_Encaissements!$C$6:$C$3005,"&lt;="&amp;($C1763+3)))</f>
        <v/>
      </c>
      <c r="I1763" s="12">
        <f>IF($H1763="","",IF($H1763=0,"Non trouvé",IF($H1763=1,"Match","À vérifier")))</f>
        <v/>
      </c>
      <c r="J1763" s="21">
        <f>IF($I1763&lt;&gt;"Match","",INDEX(Ventes_Encaissements!$B$6:$B$3005,_xludf.AGGREGATE(15,6,(ROW(Ventes_Encaissements!$B$6:$B$3005)-ROW(Ventes_Encaissements!$B$6)+1)/((Ventes_Encaissements!$E$6:$E$3005=$B1763)*(Ventes_Encaissements!$J$6:$J$3005=$G1763)*(Ventes_Encaissements!$C$6:$C$3005&gt;=$C1763-3)*(Ventes_Encaissements!$C$6:$C$3005&lt;=$C1763+3)),1)))</f>
        <v/>
      </c>
      <c r="K1763" s="6" t="n"/>
    </row>
    <row r="1764">
      <c r="A1764" s="6" t="n"/>
      <c r="B1764" s="6" t="n"/>
      <c r="C1764" s="19" t="n"/>
      <c r="D1764" s="19" t="n"/>
      <c r="E1764" s="6" t="n"/>
      <c r="F1764" s="20" t="n"/>
      <c r="G1764" s="9">
        <f>IF($F1764="","",IF($F1764&gt;0,ROUND($F1764,2),""))</f>
        <v/>
      </c>
      <c r="H1764" s="12">
        <f>IF(OR($B1764="",$C1764="",$G1764=""),"",COUNTIFS(Ventes_Encaissements!$E$6:$E$3005,$B1764,Ventes_Encaissements!$J$6:$J$3005,$G1764,Ventes_Encaissements!$C$6:$C$3005,"&gt;="&amp;($C1764-3),Ventes_Encaissements!$C$6:$C$3005,"&lt;="&amp;($C1764+3)))</f>
        <v/>
      </c>
      <c r="I1764" s="12">
        <f>IF($H1764="","",IF($H1764=0,"Non trouvé",IF($H1764=1,"Match","À vérifier")))</f>
        <v/>
      </c>
      <c r="J1764" s="21">
        <f>IF($I1764&lt;&gt;"Match","",INDEX(Ventes_Encaissements!$B$6:$B$3005,_xludf.AGGREGATE(15,6,(ROW(Ventes_Encaissements!$B$6:$B$3005)-ROW(Ventes_Encaissements!$B$6)+1)/((Ventes_Encaissements!$E$6:$E$3005=$B1764)*(Ventes_Encaissements!$J$6:$J$3005=$G1764)*(Ventes_Encaissements!$C$6:$C$3005&gt;=$C1764-3)*(Ventes_Encaissements!$C$6:$C$3005&lt;=$C1764+3)),1)))</f>
        <v/>
      </c>
      <c r="K1764" s="6" t="n"/>
    </row>
    <row r="1765">
      <c r="A1765" s="6" t="n"/>
      <c r="B1765" s="6" t="n"/>
      <c r="C1765" s="19" t="n"/>
      <c r="D1765" s="19" t="n"/>
      <c r="E1765" s="6" t="n"/>
      <c r="F1765" s="20" t="n"/>
      <c r="G1765" s="9">
        <f>IF($F1765="","",IF($F1765&gt;0,ROUND($F1765,2),""))</f>
        <v/>
      </c>
      <c r="H1765" s="12">
        <f>IF(OR($B1765="",$C1765="",$G1765=""),"",COUNTIFS(Ventes_Encaissements!$E$6:$E$3005,$B1765,Ventes_Encaissements!$J$6:$J$3005,$G1765,Ventes_Encaissements!$C$6:$C$3005,"&gt;="&amp;($C1765-3),Ventes_Encaissements!$C$6:$C$3005,"&lt;="&amp;($C1765+3)))</f>
        <v/>
      </c>
      <c r="I1765" s="12">
        <f>IF($H1765="","",IF($H1765=0,"Non trouvé",IF($H1765=1,"Match","À vérifier")))</f>
        <v/>
      </c>
      <c r="J1765" s="21">
        <f>IF($I1765&lt;&gt;"Match","",INDEX(Ventes_Encaissements!$B$6:$B$3005,_xludf.AGGREGATE(15,6,(ROW(Ventes_Encaissements!$B$6:$B$3005)-ROW(Ventes_Encaissements!$B$6)+1)/((Ventes_Encaissements!$E$6:$E$3005=$B1765)*(Ventes_Encaissements!$J$6:$J$3005=$G1765)*(Ventes_Encaissements!$C$6:$C$3005&gt;=$C1765-3)*(Ventes_Encaissements!$C$6:$C$3005&lt;=$C1765+3)),1)))</f>
        <v/>
      </c>
      <c r="K1765" s="6" t="n"/>
    </row>
    <row r="1766">
      <c r="A1766" s="6" t="n"/>
      <c r="B1766" s="6" t="n"/>
      <c r="C1766" s="19" t="n"/>
      <c r="D1766" s="19" t="n"/>
      <c r="E1766" s="6" t="n"/>
      <c r="F1766" s="20" t="n"/>
      <c r="G1766" s="9">
        <f>IF($F1766="","",IF($F1766&gt;0,ROUND($F1766,2),""))</f>
        <v/>
      </c>
      <c r="H1766" s="12">
        <f>IF(OR($B1766="",$C1766="",$G1766=""),"",COUNTIFS(Ventes_Encaissements!$E$6:$E$3005,$B1766,Ventes_Encaissements!$J$6:$J$3005,$G1766,Ventes_Encaissements!$C$6:$C$3005,"&gt;="&amp;($C1766-3),Ventes_Encaissements!$C$6:$C$3005,"&lt;="&amp;($C1766+3)))</f>
        <v/>
      </c>
      <c r="I1766" s="12">
        <f>IF($H1766="","",IF($H1766=0,"Non trouvé",IF($H1766=1,"Match","À vérifier")))</f>
        <v/>
      </c>
      <c r="J1766" s="21">
        <f>IF($I1766&lt;&gt;"Match","",INDEX(Ventes_Encaissements!$B$6:$B$3005,_xludf.AGGREGATE(15,6,(ROW(Ventes_Encaissements!$B$6:$B$3005)-ROW(Ventes_Encaissements!$B$6)+1)/((Ventes_Encaissements!$E$6:$E$3005=$B1766)*(Ventes_Encaissements!$J$6:$J$3005=$G1766)*(Ventes_Encaissements!$C$6:$C$3005&gt;=$C1766-3)*(Ventes_Encaissements!$C$6:$C$3005&lt;=$C1766+3)),1)))</f>
        <v/>
      </c>
      <c r="K1766" s="6" t="n"/>
    </row>
    <row r="1767">
      <c r="A1767" s="6" t="n"/>
      <c r="B1767" s="6" t="n"/>
      <c r="C1767" s="19" t="n"/>
      <c r="D1767" s="19" t="n"/>
      <c r="E1767" s="6" t="n"/>
      <c r="F1767" s="20" t="n"/>
      <c r="G1767" s="9">
        <f>IF($F1767="","",IF($F1767&gt;0,ROUND($F1767,2),""))</f>
        <v/>
      </c>
      <c r="H1767" s="12">
        <f>IF(OR($B1767="",$C1767="",$G1767=""),"",COUNTIFS(Ventes_Encaissements!$E$6:$E$3005,$B1767,Ventes_Encaissements!$J$6:$J$3005,$G1767,Ventes_Encaissements!$C$6:$C$3005,"&gt;="&amp;($C1767-3),Ventes_Encaissements!$C$6:$C$3005,"&lt;="&amp;($C1767+3)))</f>
        <v/>
      </c>
      <c r="I1767" s="12">
        <f>IF($H1767="","",IF($H1767=0,"Non trouvé",IF($H1767=1,"Match","À vérifier")))</f>
        <v/>
      </c>
      <c r="J1767" s="21">
        <f>IF($I1767&lt;&gt;"Match","",INDEX(Ventes_Encaissements!$B$6:$B$3005,_xludf.AGGREGATE(15,6,(ROW(Ventes_Encaissements!$B$6:$B$3005)-ROW(Ventes_Encaissements!$B$6)+1)/((Ventes_Encaissements!$E$6:$E$3005=$B1767)*(Ventes_Encaissements!$J$6:$J$3005=$G1767)*(Ventes_Encaissements!$C$6:$C$3005&gt;=$C1767-3)*(Ventes_Encaissements!$C$6:$C$3005&lt;=$C1767+3)),1)))</f>
        <v/>
      </c>
      <c r="K1767" s="6" t="n"/>
    </row>
    <row r="1768">
      <c r="A1768" s="6" t="n"/>
      <c r="B1768" s="6" t="n"/>
      <c r="C1768" s="19" t="n"/>
      <c r="D1768" s="19" t="n"/>
      <c r="E1768" s="6" t="n"/>
      <c r="F1768" s="20" t="n"/>
      <c r="G1768" s="9">
        <f>IF($F1768="","",IF($F1768&gt;0,ROUND($F1768,2),""))</f>
        <v/>
      </c>
      <c r="H1768" s="12">
        <f>IF(OR($B1768="",$C1768="",$G1768=""),"",COUNTIFS(Ventes_Encaissements!$E$6:$E$3005,$B1768,Ventes_Encaissements!$J$6:$J$3005,$G1768,Ventes_Encaissements!$C$6:$C$3005,"&gt;="&amp;($C1768-3),Ventes_Encaissements!$C$6:$C$3005,"&lt;="&amp;($C1768+3)))</f>
        <v/>
      </c>
      <c r="I1768" s="12">
        <f>IF($H1768="","",IF($H1768=0,"Non trouvé",IF($H1768=1,"Match","À vérifier")))</f>
        <v/>
      </c>
      <c r="J1768" s="21">
        <f>IF($I1768&lt;&gt;"Match","",INDEX(Ventes_Encaissements!$B$6:$B$3005,_xludf.AGGREGATE(15,6,(ROW(Ventes_Encaissements!$B$6:$B$3005)-ROW(Ventes_Encaissements!$B$6)+1)/((Ventes_Encaissements!$E$6:$E$3005=$B1768)*(Ventes_Encaissements!$J$6:$J$3005=$G1768)*(Ventes_Encaissements!$C$6:$C$3005&gt;=$C1768-3)*(Ventes_Encaissements!$C$6:$C$3005&lt;=$C1768+3)),1)))</f>
        <v/>
      </c>
      <c r="K1768" s="6" t="n"/>
    </row>
    <row r="1769">
      <c r="A1769" s="6" t="n"/>
      <c r="B1769" s="6" t="n"/>
      <c r="C1769" s="19" t="n"/>
      <c r="D1769" s="19" t="n"/>
      <c r="E1769" s="6" t="n"/>
      <c r="F1769" s="20" t="n"/>
      <c r="G1769" s="9">
        <f>IF($F1769="","",IF($F1769&gt;0,ROUND($F1769,2),""))</f>
        <v/>
      </c>
      <c r="H1769" s="12">
        <f>IF(OR($B1769="",$C1769="",$G1769=""),"",COUNTIFS(Ventes_Encaissements!$E$6:$E$3005,$B1769,Ventes_Encaissements!$J$6:$J$3005,$G1769,Ventes_Encaissements!$C$6:$C$3005,"&gt;="&amp;($C1769-3),Ventes_Encaissements!$C$6:$C$3005,"&lt;="&amp;($C1769+3)))</f>
        <v/>
      </c>
      <c r="I1769" s="12">
        <f>IF($H1769="","",IF($H1769=0,"Non trouvé",IF($H1769=1,"Match","À vérifier")))</f>
        <v/>
      </c>
      <c r="J1769" s="21">
        <f>IF($I1769&lt;&gt;"Match","",INDEX(Ventes_Encaissements!$B$6:$B$3005,_xludf.AGGREGATE(15,6,(ROW(Ventes_Encaissements!$B$6:$B$3005)-ROW(Ventes_Encaissements!$B$6)+1)/((Ventes_Encaissements!$E$6:$E$3005=$B1769)*(Ventes_Encaissements!$J$6:$J$3005=$G1769)*(Ventes_Encaissements!$C$6:$C$3005&gt;=$C1769-3)*(Ventes_Encaissements!$C$6:$C$3005&lt;=$C1769+3)),1)))</f>
        <v/>
      </c>
      <c r="K1769" s="6" t="n"/>
    </row>
    <row r="1770">
      <c r="A1770" s="6" t="n"/>
      <c r="B1770" s="6" t="n"/>
      <c r="C1770" s="19" t="n"/>
      <c r="D1770" s="19" t="n"/>
      <c r="E1770" s="6" t="n"/>
      <c r="F1770" s="20" t="n"/>
      <c r="G1770" s="9">
        <f>IF($F1770="","",IF($F1770&gt;0,ROUND($F1770,2),""))</f>
        <v/>
      </c>
      <c r="H1770" s="12">
        <f>IF(OR($B1770="",$C1770="",$G1770=""),"",COUNTIFS(Ventes_Encaissements!$E$6:$E$3005,$B1770,Ventes_Encaissements!$J$6:$J$3005,$G1770,Ventes_Encaissements!$C$6:$C$3005,"&gt;="&amp;($C1770-3),Ventes_Encaissements!$C$6:$C$3005,"&lt;="&amp;($C1770+3)))</f>
        <v/>
      </c>
      <c r="I1770" s="12">
        <f>IF($H1770="","",IF($H1770=0,"Non trouvé",IF($H1770=1,"Match","À vérifier")))</f>
        <v/>
      </c>
      <c r="J1770" s="21">
        <f>IF($I1770&lt;&gt;"Match","",INDEX(Ventes_Encaissements!$B$6:$B$3005,_xludf.AGGREGATE(15,6,(ROW(Ventes_Encaissements!$B$6:$B$3005)-ROW(Ventes_Encaissements!$B$6)+1)/((Ventes_Encaissements!$E$6:$E$3005=$B1770)*(Ventes_Encaissements!$J$6:$J$3005=$G1770)*(Ventes_Encaissements!$C$6:$C$3005&gt;=$C1770-3)*(Ventes_Encaissements!$C$6:$C$3005&lt;=$C1770+3)),1)))</f>
        <v/>
      </c>
      <c r="K1770" s="6" t="n"/>
    </row>
    <row r="1771">
      <c r="A1771" s="6" t="n"/>
      <c r="B1771" s="6" t="n"/>
      <c r="C1771" s="19" t="n"/>
      <c r="D1771" s="19" t="n"/>
      <c r="E1771" s="6" t="n"/>
      <c r="F1771" s="20" t="n"/>
      <c r="G1771" s="9">
        <f>IF($F1771="","",IF($F1771&gt;0,ROUND($F1771,2),""))</f>
        <v/>
      </c>
      <c r="H1771" s="12">
        <f>IF(OR($B1771="",$C1771="",$G1771=""),"",COUNTIFS(Ventes_Encaissements!$E$6:$E$3005,$B1771,Ventes_Encaissements!$J$6:$J$3005,$G1771,Ventes_Encaissements!$C$6:$C$3005,"&gt;="&amp;($C1771-3),Ventes_Encaissements!$C$6:$C$3005,"&lt;="&amp;($C1771+3)))</f>
        <v/>
      </c>
      <c r="I1771" s="12">
        <f>IF($H1771="","",IF($H1771=0,"Non trouvé",IF($H1771=1,"Match","À vérifier")))</f>
        <v/>
      </c>
      <c r="J1771" s="21">
        <f>IF($I1771&lt;&gt;"Match","",INDEX(Ventes_Encaissements!$B$6:$B$3005,_xludf.AGGREGATE(15,6,(ROW(Ventes_Encaissements!$B$6:$B$3005)-ROW(Ventes_Encaissements!$B$6)+1)/((Ventes_Encaissements!$E$6:$E$3005=$B1771)*(Ventes_Encaissements!$J$6:$J$3005=$G1771)*(Ventes_Encaissements!$C$6:$C$3005&gt;=$C1771-3)*(Ventes_Encaissements!$C$6:$C$3005&lt;=$C1771+3)),1)))</f>
        <v/>
      </c>
      <c r="K1771" s="6" t="n"/>
    </row>
    <row r="1772">
      <c r="A1772" s="6" t="n"/>
      <c r="B1772" s="6" t="n"/>
      <c r="C1772" s="19" t="n"/>
      <c r="D1772" s="19" t="n"/>
      <c r="E1772" s="6" t="n"/>
      <c r="F1772" s="20" t="n"/>
      <c r="G1772" s="9">
        <f>IF($F1772="","",IF($F1772&gt;0,ROUND($F1772,2),""))</f>
        <v/>
      </c>
      <c r="H1772" s="12">
        <f>IF(OR($B1772="",$C1772="",$G1772=""),"",COUNTIFS(Ventes_Encaissements!$E$6:$E$3005,$B1772,Ventes_Encaissements!$J$6:$J$3005,$G1772,Ventes_Encaissements!$C$6:$C$3005,"&gt;="&amp;($C1772-3),Ventes_Encaissements!$C$6:$C$3005,"&lt;="&amp;($C1772+3)))</f>
        <v/>
      </c>
      <c r="I1772" s="12">
        <f>IF($H1772="","",IF($H1772=0,"Non trouvé",IF($H1772=1,"Match","À vérifier")))</f>
        <v/>
      </c>
      <c r="J1772" s="21">
        <f>IF($I1772&lt;&gt;"Match","",INDEX(Ventes_Encaissements!$B$6:$B$3005,_xludf.AGGREGATE(15,6,(ROW(Ventes_Encaissements!$B$6:$B$3005)-ROW(Ventes_Encaissements!$B$6)+1)/((Ventes_Encaissements!$E$6:$E$3005=$B1772)*(Ventes_Encaissements!$J$6:$J$3005=$G1772)*(Ventes_Encaissements!$C$6:$C$3005&gt;=$C1772-3)*(Ventes_Encaissements!$C$6:$C$3005&lt;=$C1772+3)),1)))</f>
        <v/>
      </c>
      <c r="K1772" s="6" t="n"/>
    </row>
    <row r="1773">
      <c r="A1773" s="6" t="n"/>
      <c r="B1773" s="6" t="n"/>
      <c r="C1773" s="19" t="n"/>
      <c r="D1773" s="19" t="n"/>
      <c r="E1773" s="6" t="n"/>
      <c r="F1773" s="20" t="n"/>
      <c r="G1773" s="9">
        <f>IF($F1773="","",IF($F1773&gt;0,ROUND($F1773,2),""))</f>
        <v/>
      </c>
      <c r="H1773" s="12">
        <f>IF(OR($B1773="",$C1773="",$G1773=""),"",COUNTIFS(Ventes_Encaissements!$E$6:$E$3005,$B1773,Ventes_Encaissements!$J$6:$J$3005,$G1773,Ventes_Encaissements!$C$6:$C$3005,"&gt;="&amp;($C1773-3),Ventes_Encaissements!$C$6:$C$3005,"&lt;="&amp;($C1773+3)))</f>
        <v/>
      </c>
      <c r="I1773" s="12">
        <f>IF($H1773="","",IF($H1773=0,"Non trouvé",IF($H1773=1,"Match","À vérifier")))</f>
        <v/>
      </c>
      <c r="J1773" s="21">
        <f>IF($I1773&lt;&gt;"Match","",INDEX(Ventes_Encaissements!$B$6:$B$3005,_xludf.AGGREGATE(15,6,(ROW(Ventes_Encaissements!$B$6:$B$3005)-ROW(Ventes_Encaissements!$B$6)+1)/((Ventes_Encaissements!$E$6:$E$3005=$B1773)*(Ventes_Encaissements!$J$6:$J$3005=$G1773)*(Ventes_Encaissements!$C$6:$C$3005&gt;=$C1773-3)*(Ventes_Encaissements!$C$6:$C$3005&lt;=$C1773+3)),1)))</f>
        <v/>
      </c>
      <c r="K1773" s="6" t="n"/>
    </row>
    <row r="1774">
      <c r="A1774" s="6" t="n"/>
      <c r="B1774" s="6" t="n"/>
      <c r="C1774" s="19" t="n"/>
      <c r="D1774" s="19" t="n"/>
      <c r="E1774" s="6" t="n"/>
      <c r="F1774" s="20" t="n"/>
      <c r="G1774" s="9">
        <f>IF($F1774="","",IF($F1774&gt;0,ROUND($F1774,2),""))</f>
        <v/>
      </c>
      <c r="H1774" s="12">
        <f>IF(OR($B1774="",$C1774="",$G1774=""),"",COUNTIFS(Ventes_Encaissements!$E$6:$E$3005,$B1774,Ventes_Encaissements!$J$6:$J$3005,$G1774,Ventes_Encaissements!$C$6:$C$3005,"&gt;="&amp;($C1774-3),Ventes_Encaissements!$C$6:$C$3005,"&lt;="&amp;($C1774+3)))</f>
        <v/>
      </c>
      <c r="I1774" s="12">
        <f>IF($H1774="","",IF($H1774=0,"Non trouvé",IF($H1774=1,"Match","À vérifier")))</f>
        <v/>
      </c>
      <c r="J1774" s="21">
        <f>IF($I1774&lt;&gt;"Match","",INDEX(Ventes_Encaissements!$B$6:$B$3005,_xludf.AGGREGATE(15,6,(ROW(Ventes_Encaissements!$B$6:$B$3005)-ROW(Ventes_Encaissements!$B$6)+1)/((Ventes_Encaissements!$E$6:$E$3005=$B1774)*(Ventes_Encaissements!$J$6:$J$3005=$G1774)*(Ventes_Encaissements!$C$6:$C$3005&gt;=$C1774-3)*(Ventes_Encaissements!$C$6:$C$3005&lt;=$C1774+3)),1)))</f>
        <v/>
      </c>
      <c r="K1774" s="6" t="n"/>
    </row>
    <row r="1775">
      <c r="A1775" s="6" t="n"/>
      <c r="B1775" s="6" t="n"/>
      <c r="C1775" s="19" t="n"/>
      <c r="D1775" s="19" t="n"/>
      <c r="E1775" s="6" t="n"/>
      <c r="F1775" s="20" t="n"/>
      <c r="G1775" s="9">
        <f>IF($F1775="","",IF($F1775&gt;0,ROUND($F1775,2),""))</f>
        <v/>
      </c>
      <c r="H1775" s="12">
        <f>IF(OR($B1775="",$C1775="",$G1775=""),"",COUNTIFS(Ventes_Encaissements!$E$6:$E$3005,$B1775,Ventes_Encaissements!$J$6:$J$3005,$G1775,Ventes_Encaissements!$C$6:$C$3005,"&gt;="&amp;($C1775-3),Ventes_Encaissements!$C$6:$C$3005,"&lt;="&amp;($C1775+3)))</f>
        <v/>
      </c>
      <c r="I1775" s="12">
        <f>IF($H1775="","",IF($H1775=0,"Non trouvé",IF($H1775=1,"Match","À vérifier")))</f>
        <v/>
      </c>
      <c r="J1775" s="21">
        <f>IF($I1775&lt;&gt;"Match","",INDEX(Ventes_Encaissements!$B$6:$B$3005,_xludf.AGGREGATE(15,6,(ROW(Ventes_Encaissements!$B$6:$B$3005)-ROW(Ventes_Encaissements!$B$6)+1)/((Ventes_Encaissements!$E$6:$E$3005=$B1775)*(Ventes_Encaissements!$J$6:$J$3005=$G1775)*(Ventes_Encaissements!$C$6:$C$3005&gt;=$C1775-3)*(Ventes_Encaissements!$C$6:$C$3005&lt;=$C1775+3)),1)))</f>
        <v/>
      </c>
      <c r="K1775" s="6" t="n"/>
    </row>
    <row r="1776">
      <c r="A1776" s="6" t="n"/>
      <c r="B1776" s="6" t="n"/>
      <c r="C1776" s="19" t="n"/>
      <c r="D1776" s="19" t="n"/>
      <c r="E1776" s="6" t="n"/>
      <c r="F1776" s="20" t="n"/>
      <c r="G1776" s="9">
        <f>IF($F1776="","",IF($F1776&gt;0,ROUND($F1776,2),""))</f>
        <v/>
      </c>
      <c r="H1776" s="12">
        <f>IF(OR($B1776="",$C1776="",$G1776=""),"",COUNTIFS(Ventes_Encaissements!$E$6:$E$3005,$B1776,Ventes_Encaissements!$J$6:$J$3005,$G1776,Ventes_Encaissements!$C$6:$C$3005,"&gt;="&amp;($C1776-3),Ventes_Encaissements!$C$6:$C$3005,"&lt;="&amp;($C1776+3)))</f>
        <v/>
      </c>
      <c r="I1776" s="12">
        <f>IF($H1776="","",IF($H1776=0,"Non trouvé",IF($H1776=1,"Match","À vérifier")))</f>
        <v/>
      </c>
      <c r="J1776" s="21">
        <f>IF($I1776&lt;&gt;"Match","",INDEX(Ventes_Encaissements!$B$6:$B$3005,_xludf.AGGREGATE(15,6,(ROW(Ventes_Encaissements!$B$6:$B$3005)-ROW(Ventes_Encaissements!$B$6)+1)/((Ventes_Encaissements!$E$6:$E$3005=$B1776)*(Ventes_Encaissements!$J$6:$J$3005=$G1776)*(Ventes_Encaissements!$C$6:$C$3005&gt;=$C1776-3)*(Ventes_Encaissements!$C$6:$C$3005&lt;=$C1776+3)),1)))</f>
        <v/>
      </c>
      <c r="K1776" s="6" t="n"/>
    </row>
    <row r="1777">
      <c r="A1777" s="6" t="n"/>
      <c r="B1777" s="6" t="n"/>
      <c r="C1777" s="19" t="n"/>
      <c r="D1777" s="19" t="n"/>
      <c r="E1777" s="6" t="n"/>
      <c r="F1777" s="20" t="n"/>
      <c r="G1777" s="9">
        <f>IF($F1777="","",IF($F1777&gt;0,ROUND($F1777,2),""))</f>
        <v/>
      </c>
      <c r="H1777" s="12">
        <f>IF(OR($B1777="",$C1777="",$G1777=""),"",COUNTIFS(Ventes_Encaissements!$E$6:$E$3005,$B1777,Ventes_Encaissements!$J$6:$J$3005,$G1777,Ventes_Encaissements!$C$6:$C$3005,"&gt;="&amp;($C1777-3),Ventes_Encaissements!$C$6:$C$3005,"&lt;="&amp;($C1777+3)))</f>
        <v/>
      </c>
      <c r="I1777" s="12">
        <f>IF($H1777="","",IF($H1777=0,"Non trouvé",IF($H1777=1,"Match","À vérifier")))</f>
        <v/>
      </c>
      <c r="J1777" s="21">
        <f>IF($I1777&lt;&gt;"Match","",INDEX(Ventes_Encaissements!$B$6:$B$3005,_xludf.AGGREGATE(15,6,(ROW(Ventes_Encaissements!$B$6:$B$3005)-ROW(Ventes_Encaissements!$B$6)+1)/((Ventes_Encaissements!$E$6:$E$3005=$B1777)*(Ventes_Encaissements!$J$6:$J$3005=$G1777)*(Ventes_Encaissements!$C$6:$C$3005&gt;=$C1777-3)*(Ventes_Encaissements!$C$6:$C$3005&lt;=$C1777+3)),1)))</f>
        <v/>
      </c>
      <c r="K1777" s="6" t="n"/>
    </row>
    <row r="1778">
      <c r="A1778" s="6" t="n"/>
      <c r="B1778" s="6" t="n"/>
      <c r="C1778" s="19" t="n"/>
      <c r="D1778" s="19" t="n"/>
      <c r="E1778" s="6" t="n"/>
      <c r="F1778" s="20" t="n"/>
      <c r="G1778" s="9">
        <f>IF($F1778="","",IF($F1778&gt;0,ROUND($F1778,2),""))</f>
        <v/>
      </c>
      <c r="H1778" s="12">
        <f>IF(OR($B1778="",$C1778="",$G1778=""),"",COUNTIFS(Ventes_Encaissements!$E$6:$E$3005,$B1778,Ventes_Encaissements!$J$6:$J$3005,$G1778,Ventes_Encaissements!$C$6:$C$3005,"&gt;="&amp;($C1778-3),Ventes_Encaissements!$C$6:$C$3005,"&lt;="&amp;($C1778+3)))</f>
        <v/>
      </c>
      <c r="I1778" s="12">
        <f>IF($H1778="","",IF($H1778=0,"Non trouvé",IF($H1778=1,"Match","À vérifier")))</f>
        <v/>
      </c>
      <c r="J1778" s="21">
        <f>IF($I1778&lt;&gt;"Match","",INDEX(Ventes_Encaissements!$B$6:$B$3005,_xludf.AGGREGATE(15,6,(ROW(Ventes_Encaissements!$B$6:$B$3005)-ROW(Ventes_Encaissements!$B$6)+1)/((Ventes_Encaissements!$E$6:$E$3005=$B1778)*(Ventes_Encaissements!$J$6:$J$3005=$G1778)*(Ventes_Encaissements!$C$6:$C$3005&gt;=$C1778-3)*(Ventes_Encaissements!$C$6:$C$3005&lt;=$C1778+3)),1)))</f>
        <v/>
      </c>
      <c r="K1778" s="6" t="n"/>
    </row>
    <row r="1779">
      <c r="A1779" s="6" t="n"/>
      <c r="B1779" s="6" t="n"/>
      <c r="C1779" s="19" t="n"/>
      <c r="D1779" s="19" t="n"/>
      <c r="E1779" s="6" t="n"/>
      <c r="F1779" s="20" t="n"/>
      <c r="G1779" s="9">
        <f>IF($F1779="","",IF($F1779&gt;0,ROUND($F1779,2),""))</f>
        <v/>
      </c>
      <c r="H1779" s="12">
        <f>IF(OR($B1779="",$C1779="",$G1779=""),"",COUNTIFS(Ventes_Encaissements!$E$6:$E$3005,$B1779,Ventes_Encaissements!$J$6:$J$3005,$G1779,Ventes_Encaissements!$C$6:$C$3005,"&gt;="&amp;($C1779-3),Ventes_Encaissements!$C$6:$C$3005,"&lt;="&amp;($C1779+3)))</f>
        <v/>
      </c>
      <c r="I1779" s="12">
        <f>IF($H1779="","",IF($H1779=0,"Non trouvé",IF($H1779=1,"Match","À vérifier")))</f>
        <v/>
      </c>
      <c r="J1779" s="21">
        <f>IF($I1779&lt;&gt;"Match","",INDEX(Ventes_Encaissements!$B$6:$B$3005,_xludf.AGGREGATE(15,6,(ROW(Ventes_Encaissements!$B$6:$B$3005)-ROW(Ventes_Encaissements!$B$6)+1)/((Ventes_Encaissements!$E$6:$E$3005=$B1779)*(Ventes_Encaissements!$J$6:$J$3005=$G1779)*(Ventes_Encaissements!$C$6:$C$3005&gt;=$C1779-3)*(Ventes_Encaissements!$C$6:$C$3005&lt;=$C1779+3)),1)))</f>
        <v/>
      </c>
      <c r="K1779" s="6" t="n"/>
    </row>
    <row r="1780">
      <c r="A1780" s="6" t="n"/>
      <c r="B1780" s="6" t="n"/>
      <c r="C1780" s="19" t="n"/>
      <c r="D1780" s="19" t="n"/>
      <c r="E1780" s="6" t="n"/>
      <c r="F1780" s="20" t="n"/>
      <c r="G1780" s="9">
        <f>IF($F1780="","",IF($F1780&gt;0,ROUND($F1780,2),""))</f>
        <v/>
      </c>
      <c r="H1780" s="12">
        <f>IF(OR($B1780="",$C1780="",$G1780=""),"",COUNTIFS(Ventes_Encaissements!$E$6:$E$3005,$B1780,Ventes_Encaissements!$J$6:$J$3005,$G1780,Ventes_Encaissements!$C$6:$C$3005,"&gt;="&amp;($C1780-3),Ventes_Encaissements!$C$6:$C$3005,"&lt;="&amp;($C1780+3)))</f>
        <v/>
      </c>
      <c r="I1780" s="12">
        <f>IF($H1780="","",IF($H1780=0,"Non trouvé",IF($H1780=1,"Match","À vérifier")))</f>
        <v/>
      </c>
      <c r="J1780" s="21">
        <f>IF($I1780&lt;&gt;"Match","",INDEX(Ventes_Encaissements!$B$6:$B$3005,_xludf.AGGREGATE(15,6,(ROW(Ventes_Encaissements!$B$6:$B$3005)-ROW(Ventes_Encaissements!$B$6)+1)/((Ventes_Encaissements!$E$6:$E$3005=$B1780)*(Ventes_Encaissements!$J$6:$J$3005=$G1780)*(Ventes_Encaissements!$C$6:$C$3005&gt;=$C1780-3)*(Ventes_Encaissements!$C$6:$C$3005&lt;=$C1780+3)),1)))</f>
        <v/>
      </c>
      <c r="K1780" s="6" t="n"/>
    </row>
    <row r="1781">
      <c r="A1781" s="6" t="n"/>
      <c r="B1781" s="6" t="n"/>
      <c r="C1781" s="19" t="n"/>
      <c r="D1781" s="19" t="n"/>
      <c r="E1781" s="6" t="n"/>
      <c r="F1781" s="20" t="n"/>
      <c r="G1781" s="9">
        <f>IF($F1781="","",IF($F1781&gt;0,ROUND($F1781,2),""))</f>
        <v/>
      </c>
      <c r="H1781" s="12">
        <f>IF(OR($B1781="",$C1781="",$G1781=""),"",COUNTIFS(Ventes_Encaissements!$E$6:$E$3005,$B1781,Ventes_Encaissements!$J$6:$J$3005,$G1781,Ventes_Encaissements!$C$6:$C$3005,"&gt;="&amp;($C1781-3),Ventes_Encaissements!$C$6:$C$3005,"&lt;="&amp;($C1781+3)))</f>
        <v/>
      </c>
      <c r="I1781" s="12">
        <f>IF($H1781="","",IF($H1781=0,"Non trouvé",IF($H1781=1,"Match","À vérifier")))</f>
        <v/>
      </c>
      <c r="J1781" s="21">
        <f>IF($I1781&lt;&gt;"Match","",INDEX(Ventes_Encaissements!$B$6:$B$3005,_xludf.AGGREGATE(15,6,(ROW(Ventes_Encaissements!$B$6:$B$3005)-ROW(Ventes_Encaissements!$B$6)+1)/((Ventes_Encaissements!$E$6:$E$3005=$B1781)*(Ventes_Encaissements!$J$6:$J$3005=$G1781)*(Ventes_Encaissements!$C$6:$C$3005&gt;=$C1781-3)*(Ventes_Encaissements!$C$6:$C$3005&lt;=$C1781+3)),1)))</f>
        <v/>
      </c>
      <c r="K1781" s="6" t="n"/>
    </row>
    <row r="1782">
      <c r="A1782" s="6" t="n"/>
      <c r="B1782" s="6" t="n"/>
      <c r="C1782" s="19" t="n"/>
      <c r="D1782" s="19" t="n"/>
      <c r="E1782" s="6" t="n"/>
      <c r="F1782" s="20" t="n"/>
      <c r="G1782" s="9">
        <f>IF($F1782="","",IF($F1782&gt;0,ROUND($F1782,2),""))</f>
        <v/>
      </c>
      <c r="H1782" s="12">
        <f>IF(OR($B1782="",$C1782="",$G1782=""),"",COUNTIFS(Ventes_Encaissements!$E$6:$E$3005,$B1782,Ventes_Encaissements!$J$6:$J$3005,$G1782,Ventes_Encaissements!$C$6:$C$3005,"&gt;="&amp;($C1782-3),Ventes_Encaissements!$C$6:$C$3005,"&lt;="&amp;($C1782+3)))</f>
        <v/>
      </c>
      <c r="I1782" s="12">
        <f>IF($H1782="","",IF($H1782=0,"Non trouvé",IF($H1782=1,"Match","À vérifier")))</f>
        <v/>
      </c>
      <c r="J1782" s="21">
        <f>IF($I1782&lt;&gt;"Match","",INDEX(Ventes_Encaissements!$B$6:$B$3005,_xludf.AGGREGATE(15,6,(ROW(Ventes_Encaissements!$B$6:$B$3005)-ROW(Ventes_Encaissements!$B$6)+1)/((Ventes_Encaissements!$E$6:$E$3005=$B1782)*(Ventes_Encaissements!$J$6:$J$3005=$G1782)*(Ventes_Encaissements!$C$6:$C$3005&gt;=$C1782-3)*(Ventes_Encaissements!$C$6:$C$3005&lt;=$C1782+3)),1)))</f>
        <v/>
      </c>
      <c r="K1782" s="6" t="n"/>
    </row>
    <row r="1783">
      <c r="A1783" s="6" t="n"/>
      <c r="B1783" s="6" t="n"/>
      <c r="C1783" s="19" t="n"/>
      <c r="D1783" s="19" t="n"/>
      <c r="E1783" s="6" t="n"/>
      <c r="F1783" s="20" t="n"/>
      <c r="G1783" s="9">
        <f>IF($F1783="","",IF($F1783&gt;0,ROUND($F1783,2),""))</f>
        <v/>
      </c>
      <c r="H1783" s="12">
        <f>IF(OR($B1783="",$C1783="",$G1783=""),"",COUNTIFS(Ventes_Encaissements!$E$6:$E$3005,$B1783,Ventes_Encaissements!$J$6:$J$3005,$G1783,Ventes_Encaissements!$C$6:$C$3005,"&gt;="&amp;($C1783-3),Ventes_Encaissements!$C$6:$C$3005,"&lt;="&amp;($C1783+3)))</f>
        <v/>
      </c>
      <c r="I1783" s="12">
        <f>IF($H1783="","",IF($H1783=0,"Non trouvé",IF($H1783=1,"Match","À vérifier")))</f>
        <v/>
      </c>
      <c r="J1783" s="21">
        <f>IF($I1783&lt;&gt;"Match","",INDEX(Ventes_Encaissements!$B$6:$B$3005,_xludf.AGGREGATE(15,6,(ROW(Ventes_Encaissements!$B$6:$B$3005)-ROW(Ventes_Encaissements!$B$6)+1)/((Ventes_Encaissements!$E$6:$E$3005=$B1783)*(Ventes_Encaissements!$J$6:$J$3005=$G1783)*(Ventes_Encaissements!$C$6:$C$3005&gt;=$C1783-3)*(Ventes_Encaissements!$C$6:$C$3005&lt;=$C1783+3)),1)))</f>
        <v/>
      </c>
      <c r="K1783" s="6" t="n"/>
    </row>
    <row r="1784">
      <c r="A1784" s="6" t="n"/>
      <c r="B1784" s="6" t="n"/>
      <c r="C1784" s="19" t="n"/>
      <c r="D1784" s="19" t="n"/>
      <c r="E1784" s="6" t="n"/>
      <c r="F1784" s="20" t="n"/>
      <c r="G1784" s="9">
        <f>IF($F1784="","",IF($F1784&gt;0,ROUND($F1784,2),""))</f>
        <v/>
      </c>
      <c r="H1784" s="12">
        <f>IF(OR($B1784="",$C1784="",$G1784=""),"",COUNTIFS(Ventes_Encaissements!$E$6:$E$3005,$B1784,Ventes_Encaissements!$J$6:$J$3005,$G1784,Ventes_Encaissements!$C$6:$C$3005,"&gt;="&amp;($C1784-3),Ventes_Encaissements!$C$6:$C$3005,"&lt;="&amp;($C1784+3)))</f>
        <v/>
      </c>
      <c r="I1784" s="12">
        <f>IF($H1784="","",IF($H1784=0,"Non trouvé",IF($H1784=1,"Match","À vérifier")))</f>
        <v/>
      </c>
      <c r="J1784" s="21">
        <f>IF($I1784&lt;&gt;"Match","",INDEX(Ventes_Encaissements!$B$6:$B$3005,_xludf.AGGREGATE(15,6,(ROW(Ventes_Encaissements!$B$6:$B$3005)-ROW(Ventes_Encaissements!$B$6)+1)/((Ventes_Encaissements!$E$6:$E$3005=$B1784)*(Ventes_Encaissements!$J$6:$J$3005=$G1784)*(Ventes_Encaissements!$C$6:$C$3005&gt;=$C1784-3)*(Ventes_Encaissements!$C$6:$C$3005&lt;=$C1784+3)),1)))</f>
        <v/>
      </c>
      <c r="K1784" s="6" t="n"/>
    </row>
    <row r="1785">
      <c r="A1785" s="6" t="n"/>
      <c r="B1785" s="6" t="n"/>
      <c r="C1785" s="19" t="n"/>
      <c r="D1785" s="19" t="n"/>
      <c r="E1785" s="6" t="n"/>
      <c r="F1785" s="20" t="n"/>
      <c r="G1785" s="9">
        <f>IF($F1785="","",IF($F1785&gt;0,ROUND($F1785,2),""))</f>
        <v/>
      </c>
      <c r="H1785" s="12">
        <f>IF(OR($B1785="",$C1785="",$G1785=""),"",COUNTIFS(Ventes_Encaissements!$E$6:$E$3005,$B1785,Ventes_Encaissements!$J$6:$J$3005,$G1785,Ventes_Encaissements!$C$6:$C$3005,"&gt;="&amp;($C1785-3),Ventes_Encaissements!$C$6:$C$3005,"&lt;="&amp;($C1785+3)))</f>
        <v/>
      </c>
      <c r="I1785" s="12">
        <f>IF($H1785="","",IF($H1785=0,"Non trouvé",IF($H1785=1,"Match","À vérifier")))</f>
        <v/>
      </c>
      <c r="J1785" s="21">
        <f>IF($I1785&lt;&gt;"Match","",INDEX(Ventes_Encaissements!$B$6:$B$3005,_xludf.AGGREGATE(15,6,(ROW(Ventes_Encaissements!$B$6:$B$3005)-ROW(Ventes_Encaissements!$B$6)+1)/((Ventes_Encaissements!$E$6:$E$3005=$B1785)*(Ventes_Encaissements!$J$6:$J$3005=$G1785)*(Ventes_Encaissements!$C$6:$C$3005&gt;=$C1785-3)*(Ventes_Encaissements!$C$6:$C$3005&lt;=$C1785+3)),1)))</f>
        <v/>
      </c>
      <c r="K1785" s="6" t="n"/>
    </row>
    <row r="1786">
      <c r="A1786" s="6" t="n"/>
      <c r="B1786" s="6" t="n"/>
      <c r="C1786" s="19" t="n"/>
      <c r="D1786" s="19" t="n"/>
      <c r="E1786" s="6" t="n"/>
      <c r="F1786" s="20" t="n"/>
      <c r="G1786" s="9">
        <f>IF($F1786="","",IF($F1786&gt;0,ROUND($F1786,2),""))</f>
        <v/>
      </c>
      <c r="H1786" s="12">
        <f>IF(OR($B1786="",$C1786="",$G1786=""),"",COUNTIFS(Ventes_Encaissements!$E$6:$E$3005,$B1786,Ventes_Encaissements!$J$6:$J$3005,$G1786,Ventes_Encaissements!$C$6:$C$3005,"&gt;="&amp;($C1786-3),Ventes_Encaissements!$C$6:$C$3005,"&lt;="&amp;($C1786+3)))</f>
        <v/>
      </c>
      <c r="I1786" s="12">
        <f>IF($H1786="","",IF($H1786=0,"Non trouvé",IF($H1786=1,"Match","À vérifier")))</f>
        <v/>
      </c>
      <c r="J1786" s="21">
        <f>IF($I1786&lt;&gt;"Match","",INDEX(Ventes_Encaissements!$B$6:$B$3005,_xludf.AGGREGATE(15,6,(ROW(Ventes_Encaissements!$B$6:$B$3005)-ROW(Ventes_Encaissements!$B$6)+1)/((Ventes_Encaissements!$E$6:$E$3005=$B1786)*(Ventes_Encaissements!$J$6:$J$3005=$G1786)*(Ventes_Encaissements!$C$6:$C$3005&gt;=$C1786-3)*(Ventes_Encaissements!$C$6:$C$3005&lt;=$C1786+3)),1)))</f>
        <v/>
      </c>
      <c r="K1786" s="6" t="n"/>
    </row>
    <row r="1787">
      <c r="A1787" s="6" t="n"/>
      <c r="B1787" s="6" t="n"/>
      <c r="C1787" s="19" t="n"/>
      <c r="D1787" s="19" t="n"/>
      <c r="E1787" s="6" t="n"/>
      <c r="F1787" s="20" t="n"/>
      <c r="G1787" s="9">
        <f>IF($F1787="","",IF($F1787&gt;0,ROUND($F1787,2),""))</f>
        <v/>
      </c>
      <c r="H1787" s="12">
        <f>IF(OR($B1787="",$C1787="",$G1787=""),"",COUNTIFS(Ventes_Encaissements!$E$6:$E$3005,$B1787,Ventes_Encaissements!$J$6:$J$3005,$G1787,Ventes_Encaissements!$C$6:$C$3005,"&gt;="&amp;($C1787-3),Ventes_Encaissements!$C$6:$C$3005,"&lt;="&amp;($C1787+3)))</f>
        <v/>
      </c>
      <c r="I1787" s="12">
        <f>IF($H1787="","",IF($H1787=0,"Non trouvé",IF($H1787=1,"Match","À vérifier")))</f>
        <v/>
      </c>
      <c r="J1787" s="21">
        <f>IF($I1787&lt;&gt;"Match","",INDEX(Ventes_Encaissements!$B$6:$B$3005,_xludf.AGGREGATE(15,6,(ROW(Ventes_Encaissements!$B$6:$B$3005)-ROW(Ventes_Encaissements!$B$6)+1)/((Ventes_Encaissements!$E$6:$E$3005=$B1787)*(Ventes_Encaissements!$J$6:$J$3005=$G1787)*(Ventes_Encaissements!$C$6:$C$3005&gt;=$C1787-3)*(Ventes_Encaissements!$C$6:$C$3005&lt;=$C1787+3)),1)))</f>
        <v/>
      </c>
      <c r="K1787" s="6" t="n"/>
    </row>
    <row r="1788">
      <c r="A1788" s="6" t="n"/>
      <c r="B1788" s="6" t="n"/>
      <c r="C1788" s="19" t="n"/>
      <c r="D1788" s="19" t="n"/>
      <c r="E1788" s="6" t="n"/>
      <c r="F1788" s="20" t="n"/>
      <c r="G1788" s="9">
        <f>IF($F1788="","",IF($F1788&gt;0,ROUND($F1788,2),""))</f>
        <v/>
      </c>
      <c r="H1788" s="12">
        <f>IF(OR($B1788="",$C1788="",$G1788=""),"",COUNTIFS(Ventes_Encaissements!$E$6:$E$3005,$B1788,Ventes_Encaissements!$J$6:$J$3005,$G1788,Ventes_Encaissements!$C$6:$C$3005,"&gt;="&amp;($C1788-3),Ventes_Encaissements!$C$6:$C$3005,"&lt;="&amp;($C1788+3)))</f>
        <v/>
      </c>
      <c r="I1788" s="12">
        <f>IF($H1788="","",IF($H1788=0,"Non trouvé",IF($H1788=1,"Match","À vérifier")))</f>
        <v/>
      </c>
      <c r="J1788" s="21">
        <f>IF($I1788&lt;&gt;"Match","",INDEX(Ventes_Encaissements!$B$6:$B$3005,_xludf.AGGREGATE(15,6,(ROW(Ventes_Encaissements!$B$6:$B$3005)-ROW(Ventes_Encaissements!$B$6)+1)/((Ventes_Encaissements!$E$6:$E$3005=$B1788)*(Ventes_Encaissements!$J$6:$J$3005=$G1788)*(Ventes_Encaissements!$C$6:$C$3005&gt;=$C1788-3)*(Ventes_Encaissements!$C$6:$C$3005&lt;=$C1788+3)),1)))</f>
        <v/>
      </c>
      <c r="K1788" s="6" t="n"/>
    </row>
    <row r="1789">
      <c r="A1789" s="6" t="n"/>
      <c r="B1789" s="6" t="n"/>
      <c r="C1789" s="19" t="n"/>
      <c r="D1789" s="19" t="n"/>
      <c r="E1789" s="6" t="n"/>
      <c r="F1789" s="20" t="n"/>
      <c r="G1789" s="9">
        <f>IF($F1789="","",IF($F1789&gt;0,ROUND($F1789,2),""))</f>
        <v/>
      </c>
      <c r="H1789" s="12">
        <f>IF(OR($B1789="",$C1789="",$G1789=""),"",COUNTIFS(Ventes_Encaissements!$E$6:$E$3005,$B1789,Ventes_Encaissements!$J$6:$J$3005,$G1789,Ventes_Encaissements!$C$6:$C$3005,"&gt;="&amp;($C1789-3),Ventes_Encaissements!$C$6:$C$3005,"&lt;="&amp;($C1789+3)))</f>
        <v/>
      </c>
      <c r="I1789" s="12">
        <f>IF($H1789="","",IF($H1789=0,"Non trouvé",IF($H1789=1,"Match","À vérifier")))</f>
        <v/>
      </c>
      <c r="J1789" s="21">
        <f>IF($I1789&lt;&gt;"Match","",INDEX(Ventes_Encaissements!$B$6:$B$3005,_xludf.AGGREGATE(15,6,(ROW(Ventes_Encaissements!$B$6:$B$3005)-ROW(Ventes_Encaissements!$B$6)+1)/((Ventes_Encaissements!$E$6:$E$3005=$B1789)*(Ventes_Encaissements!$J$6:$J$3005=$G1789)*(Ventes_Encaissements!$C$6:$C$3005&gt;=$C1789-3)*(Ventes_Encaissements!$C$6:$C$3005&lt;=$C1789+3)),1)))</f>
        <v/>
      </c>
      <c r="K1789" s="6" t="n"/>
    </row>
    <row r="1790">
      <c r="A1790" s="6" t="n"/>
      <c r="B1790" s="6" t="n"/>
      <c r="C1790" s="19" t="n"/>
      <c r="D1790" s="19" t="n"/>
      <c r="E1790" s="6" t="n"/>
      <c r="F1790" s="20" t="n"/>
      <c r="G1790" s="9">
        <f>IF($F1790="","",IF($F1790&gt;0,ROUND($F1790,2),""))</f>
        <v/>
      </c>
      <c r="H1790" s="12">
        <f>IF(OR($B1790="",$C1790="",$G1790=""),"",COUNTIFS(Ventes_Encaissements!$E$6:$E$3005,$B1790,Ventes_Encaissements!$J$6:$J$3005,$G1790,Ventes_Encaissements!$C$6:$C$3005,"&gt;="&amp;($C1790-3),Ventes_Encaissements!$C$6:$C$3005,"&lt;="&amp;($C1790+3)))</f>
        <v/>
      </c>
      <c r="I1790" s="12">
        <f>IF($H1790="","",IF($H1790=0,"Non trouvé",IF($H1790=1,"Match","À vérifier")))</f>
        <v/>
      </c>
      <c r="J1790" s="21">
        <f>IF($I1790&lt;&gt;"Match","",INDEX(Ventes_Encaissements!$B$6:$B$3005,_xludf.AGGREGATE(15,6,(ROW(Ventes_Encaissements!$B$6:$B$3005)-ROW(Ventes_Encaissements!$B$6)+1)/((Ventes_Encaissements!$E$6:$E$3005=$B1790)*(Ventes_Encaissements!$J$6:$J$3005=$G1790)*(Ventes_Encaissements!$C$6:$C$3005&gt;=$C1790-3)*(Ventes_Encaissements!$C$6:$C$3005&lt;=$C1790+3)),1)))</f>
        <v/>
      </c>
      <c r="K1790" s="6" t="n"/>
    </row>
    <row r="1791">
      <c r="A1791" s="6" t="n"/>
      <c r="B1791" s="6" t="n"/>
      <c r="C1791" s="19" t="n"/>
      <c r="D1791" s="19" t="n"/>
      <c r="E1791" s="6" t="n"/>
      <c r="F1791" s="20" t="n"/>
      <c r="G1791" s="9">
        <f>IF($F1791="","",IF($F1791&gt;0,ROUND($F1791,2),""))</f>
        <v/>
      </c>
      <c r="H1791" s="12">
        <f>IF(OR($B1791="",$C1791="",$G1791=""),"",COUNTIFS(Ventes_Encaissements!$E$6:$E$3005,$B1791,Ventes_Encaissements!$J$6:$J$3005,$G1791,Ventes_Encaissements!$C$6:$C$3005,"&gt;="&amp;($C1791-3),Ventes_Encaissements!$C$6:$C$3005,"&lt;="&amp;($C1791+3)))</f>
        <v/>
      </c>
      <c r="I1791" s="12">
        <f>IF($H1791="","",IF($H1791=0,"Non trouvé",IF($H1791=1,"Match","À vérifier")))</f>
        <v/>
      </c>
      <c r="J1791" s="21">
        <f>IF($I1791&lt;&gt;"Match","",INDEX(Ventes_Encaissements!$B$6:$B$3005,_xludf.AGGREGATE(15,6,(ROW(Ventes_Encaissements!$B$6:$B$3005)-ROW(Ventes_Encaissements!$B$6)+1)/((Ventes_Encaissements!$E$6:$E$3005=$B1791)*(Ventes_Encaissements!$J$6:$J$3005=$G1791)*(Ventes_Encaissements!$C$6:$C$3005&gt;=$C1791-3)*(Ventes_Encaissements!$C$6:$C$3005&lt;=$C1791+3)),1)))</f>
        <v/>
      </c>
      <c r="K1791" s="6" t="n"/>
    </row>
    <row r="1792">
      <c r="A1792" s="6" t="n"/>
      <c r="B1792" s="6" t="n"/>
      <c r="C1792" s="19" t="n"/>
      <c r="D1792" s="19" t="n"/>
      <c r="E1792" s="6" t="n"/>
      <c r="F1792" s="20" t="n"/>
      <c r="G1792" s="9">
        <f>IF($F1792="","",IF($F1792&gt;0,ROUND($F1792,2),""))</f>
        <v/>
      </c>
      <c r="H1792" s="12">
        <f>IF(OR($B1792="",$C1792="",$G1792=""),"",COUNTIFS(Ventes_Encaissements!$E$6:$E$3005,$B1792,Ventes_Encaissements!$J$6:$J$3005,$G1792,Ventes_Encaissements!$C$6:$C$3005,"&gt;="&amp;($C1792-3),Ventes_Encaissements!$C$6:$C$3005,"&lt;="&amp;($C1792+3)))</f>
        <v/>
      </c>
      <c r="I1792" s="12">
        <f>IF($H1792="","",IF($H1792=0,"Non trouvé",IF($H1792=1,"Match","À vérifier")))</f>
        <v/>
      </c>
      <c r="J1792" s="21">
        <f>IF($I1792&lt;&gt;"Match","",INDEX(Ventes_Encaissements!$B$6:$B$3005,_xludf.AGGREGATE(15,6,(ROW(Ventes_Encaissements!$B$6:$B$3005)-ROW(Ventes_Encaissements!$B$6)+1)/((Ventes_Encaissements!$E$6:$E$3005=$B1792)*(Ventes_Encaissements!$J$6:$J$3005=$G1792)*(Ventes_Encaissements!$C$6:$C$3005&gt;=$C1792-3)*(Ventes_Encaissements!$C$6:$C$3005&lt;=$C1792+3)),1)))</f>
        <v/>
      </c>
      <c r="K1792" s="6" t="n"/>
    </row>
    <row r="1793">
      <c r="A1793" s="6" t="n"/>
      <c r="B1793" s="6" t="n"/>
      <c r="C1793" s="19" t="n"/>
      <c r="D1793" s="19" t="n"/>
      <c r="E1793" s="6" t="n"/>
      <c r="F1793" s="20" t="n"/>
      <c r="G1793" s="9">
        <f>IF($F1793="","",IF($F1793&gt;0,ROUND($F1793,2),""))</f>
        <v/>
      </c>
      <c r="H1793" s="12">
        <f>IF(OR($B1793="",$C1793="",$G1793=""),"",COUNTIFS(Ventes_Encaissements!$E$6:$E$3005,$B1793,Ventes_Encaissements!$J$6:$J$3005,$G1793,Ventes_Encaissements!$C$6:$C$3005,"&gt;="&amp;($C1793-3),Ventes_Encaissements!$C$6:$C$3005,"&lt;="&amp;($C1793+3)))</f>
        <v/>
      </c>
      <c r="I1793" s="12">
        <f>IF($H1793="","",IF($H1793=0,"Non trouvé",IF($H1793=1,"Match","À vérifier")))</f>
        <v/>
      </c>
      <c r="J1793" s="21">
        <f>IF($I1793&lt;&gt;"Match","",INDEX(Ventes_Encaissements!$B$6:$B$3005,_xludf.AGGREGATE(15,6,(ROW(Ventes_Encaissements!$B$6:$B$3005)-ROW(Ventes_Encaissements!$B$6)+1)/((Ventes_Encaissements!$E$6:$E$3005=$B1793)*(Ventes_Encaissements!$J$6:$J$3005=$G1793)*(Ventes_Encaissements!$C$6:$C$3005&gt;=$C1793-3)*(Ventes_Encaissements!$C$6:$C$3005&lt;=$C1793+3)),1)))</f>
        <v/>
      </c>
      <c r="K1793" s="6" t="n"/>
    </row>
    <row r="1794">
      <c r="A1794" s="6" t="n"/>
      <c r="B1794" s="6" t="n"/>
      <c r="C1794" s="19" t="n"/>
      <c r="D1794" s="19" t="n"/>
      <c r="E1794" s="6" t="n"/>
      <c r="F1794" s="20" t="n"/>
      <c r="G1794" s="9">
        <f>IF($F1794="","",IF($F1794&gt;0,ROUND($F1794,2),""))</f>
        <v/>
      </c>
      <c r="H1794" s="12">
        <f>IF(OR($B1794="",$C1794="",$G1794=""),"",COUNTIFS(Ventes_Encaissements!$E$6:$E$3005,$B1794,Ventes_Encaissements!$J$6:$J$3005,$G1794,Ventes_Encaissements!$C$6:$C$3005,"&gt;="&amp;($C1794-3),Ventes_Encaissements!$C$6:$C$3005,"&lt;="&amp;($C1794+3)))</f>
        <v/>
      </c>
      <c r="I1794" s="12">
        <f>IF($H1794="","",IF($H1794=0,"Non trouvé",IF($H1794=1,"Match","À vérifier")))</f>
        <v/>
      </c>
      <c r="J1794" s="21">
        <f>IF($I1794&lt;&gt;"Match","",INDEX(Ventes_Encaissements!$B$6:$B$3005,_xludf.AGGREGATE(15,6,(ROW(Ventes_Encaissements!$B$6:$B$3005)-ROW(Ventes_Encaissements!$B$6)+1)/((Ventes_Encaissements!$E$6:$E$3005=$B1794)*(Ventes_Encaissements!$J$6:$J$3005=$G1794)*(Ventes_Encaissements!$C$6:$C$3005&gt;=$C1794-3)*(Ventes_Encaissements!$C$6:$C$3005&lt;=$C1794+3)),1)))</f>
        <v/>
      </c>
      <c r="K1794" s="6" t="n"/>
    </row>
    <row r="1795">
      <c r="A1795" s="6" t="n"/>
      <c r="B1795" s="6" t="n"/>
      <c r="C1795" s="19" t="n"/>
      <c r="D1795" s="19" t="n"/>
      <c r="E1795" s="6" t="n"/>
      <c r="F1795" s="20" t="n"/>
      <c r="G1795" s="9">
        <f>IF($F1795="","",IF($F1795&gt;0,ROUND($F1795,2),""))</f>
        <v/>
      </c>
      <c r="H1795" s="12">
        <f>IF(OR($B1795="",$C1795="",$G1795=""),"",COUNTIFS(Ventes_Encaissements!$E$6:$E$3005,$B1795,Ventes_Encaissements!$J$6:$J$3005,$G1795,Ventes_Encaissements!$C$6:$C$3005,"&gt;="&amp;($C1795-3),Ventes_Encaissements!$C$6:$C$3005,"&lt;="&amp;($C1795+3)))</f>
        <v/>
      </c>
      <c r="I1795" s="12">
        <f>IF($H1795="","",IF($H1795=0,"Non trouvé",IF($H1795=1,"Match","À vérifier")))</f>
        <v/>
      </c>
      <c r="J1795" s="21">
        <f>IF($I1795&lt;&gt;"Match","",INDEX(Ventes_Encaissements!$B$6:$B$3005,_xludf.AGGREGATE(15,6,(ROW(Ventes_Encaissements!$B$6:$B$3005)-ROW(Ventes_Encaissements!$B$6)+1)/((Ventes_Encaissements!$E$6:$E$3005=$B1795)*(Ventes_Encaissements!$J$6:$J$3005=$G1795)*(Ventes_Encaissements!$C$6:$C$3005&gt;=$C1795-3)*(Ventes_Encaissements!$C$6:$C$3005&lt;=$C1795+3)),1)))</f>
        <v/>
      </c>
      <c r="K1795" s="6" t="n"/>
    </row>
    <row r="1796">
      <c r="A1796" s="6" t="n"/>
      <c r="B1796" s="6" t="n"/>
      <c r="C1796" s="19" t="n"/>
      <c r="D1796" s="19" t="n"/>
      <c r="E1796" s="6" t="n"/>
      <c r="F1796" s="20" t="n"/>
      <c r="G1796" s="9">
        <f>IF($F1796="","",IF($F1796&gt;0,ROUND($F1796,2),""))</f>
        <v/>
      </c>
      <c r="H1796" s="12">
        <f>IF(OR($B1796="",$C1796="",$G1796=""),"",COUNTIFS(Ventes_Encaissements!$E$6:$E$3005,$B1796,Ventes_Encaissements!$J$6:$J$3005,$G1796,Ventes_Encaissements!$C$6:$C$3005,"&gt;="&amp;($C1796-3),Ventes_Encaissements!$C$6:$C$3005,"&lt;="&amp;($C1796+3)))</f>
        <v/>
      </c>
      <c r="I1796" s="12">
        <f>IF($H1796="","",IF($H1796=0,"Non trouvé",IF($H1796=1,"Match","À vérifier")))</f>
        <v/>
      </c>
      <c r="J1796" s="21">
        <f>IF($I1796&lt;&gt;"Match","",INDEX(Ventes_Encaissements!$B$6:$B$3005,_xludf.AGGREGATE(15,6,(ROW(Ventes_Encaissements!$B$6:$B$3005)-ROW(Ventes_Encaissements!$B$6)+1)/((Ventes_Encaissements!$E$6:$E$3005=$B1796)*(Ventes_Encaissements!$J$6:$J$3005=$G1796)*(Ventes_Encaissements!$C$6:$C$3005&gt;=$C1796-3)*(Ventes_Encaissements!$C$6:$C$3005&lt;=$C1796+3)),1)))</f>
        <v/>
      </c>
      <c r="K1796" s="6" t="n"/>
    </row>
    <row r="1797">
      <c r="A1797" s="6" t="n"/>
      <c r="B1797" s="6" t="n"/>
      <c r="C1797" s="19" t="n"/>
      <c r="D1797" s="19" t="n"/>
      <c r="E1797" s="6" t="n"/>
      <c r="F1797" s="20" t="n"/>
      <c r="G1797" s="9">
        <f>IF($F1797="","",IF($F1797&gt;0,ROUND($F1797,2),""))</f>
        <v/>
      </c>
      <c r="H1797" s="12">
        <f>IF(OR($B1797="",$C1797="",$G1797=""),"",COUNTIFS(Ventes_Encaissements!$E$6:$E$3005,$B1797,Ventes_Encaissements!$J$6:$J$3005,$G1797,Ventes_Encaissements!$C$6:$C$3005,"&gt;="&amp;($C1797-3),Ventes_Encaissements!$C$6:$C$3005,"&lt;="&amp;($C1797+3)))</f>
        <v/>
      </c>
      <c r="I1797" s="12">
        <f>IF($H1797="","",IF($H1797=0,"Non trouvé",IF($H1797=1,"Match","À vérifier")))</f>
        <v/>
      </c>
      <c r="J1797" s="21">
        <f>IF($I1797&lt;&gt;"Match","",INDEX(Ventes_Encaissements!$B$6:$B$3005,_xludf.AGGREGATE(15,6,(ROW(Ventes_Encaissements!$B$6:$B$3005)-ROW(Ventes_Encaissements!$B$6)+1)/((Ventes_Encaissements!$E$6:$E$3005=$B1797)*(Ventes_Encaissements!$J$6:$J$3005=$G1797)*(Ventes_Encaissements!$C$6:$C$3005&gt;=$C1797-3)*(Ventes_Encaissements!$C$6:$C$3005&lt;=$C1797+3)),1)))</f>
        <v/>
      </c>
      <c r="K1797" s="6" t="n"/>
    </row>
    <row r="1798">
      <c r="A1798" s="6" t="n"/>
      <c r="B1798" s="6" t="n"/>
      <c r="C1798" s="19" t="n"/>
      <c r="D1798" s="19" t="n"/>
      <c r="E1798" s="6" t="n"/>
      <c r="F1798" s="20" t="n"/>
      <c r="G1798" s="9">
        <f>IF($F1798="","",IF($F1798&gt;0,ROUND($F1798,2),""))</f>
        <v/>
      </c>
      <c r="H1798" s="12">
        <f>IF(OR($B1798="",$C1798="",$G1798=""),"",COUNTIFS(Ventes_Encaissements!$E$6:$E$3005,$B1798,Ventes_Encaissements!$J$6:$J$3005,$G1798,Ventes_Encaissements!$C$6:$C$3005,"&gt;="&amp;($C1798-3),Ventes_Encaissements!$C$6:$C$3005,"&lt;="&amp;($C1798+3)))</f>
        <v/>
      </c>
      <c r="I1798" s="12">
        <f>IF($H1798="","",IF($H1798=0,"Non trouvé",IF($H1798=1,"Match","À vérifier")))</f>
        <v/>
      </c>
      <c r="J1798" s="21">
        <f>IF($I1798&lt;&gt;"Match","",INDEX(Ventes_Encaissements!$B$6:$B$3005,_xludf.AGGREGATE(15,6,(ROW(Ventes_Encaissements!$B$6:$B$3005)-ROW(Ventes_Encaissements!$B$6)+1)/((Ventes_Encaissements!$E$6:$E$3005=$B1798)*(Ventes_Encaissements!$J$6:$J$3005=$G1798)*(Ventes_Encaissements!$C$6:$C$3005&gt;=$C1798-3)*(Ventes_Encaissements!$C$6:$C$3005&lt;=$C1798+3)),1)))</f>
        <v/>
      </c>
      <c r="K1798" s="6" t="n"/>
    </row>
    <row r="1799">
      <c r="A1799" s="6" t="n"/>
      <c r="B1799" s="6" t="n"/>
      <c r="C1799" s="19" t="n"/>
      <c r="D1799" s="19" t="n"/>
      <c r="E1799" s="6" t="n"/>
      <c r="F1799" s="20" t="n"/>
      <c r="G1799" s="9">
        <f>IF($F1799="","",IF($F1799&gt;0,ROUND($F1799,2),""))</f>
        <v/>
      </c>
      <c r="H1799" s="12">
        <f>IF(OR($B1799="",$C1799="",$G1799=""),"",COUNTIFS(Ventes_Encaissements!$E$6:$E$3005,$B1799,Ventes_Encaissements!$J$6:$J$3005,$G1799,Ventes_Encaissements!$C$6:$C$3005,"&gt;="&amp;($C1799-3),Ventes_Encaissements!$C$6:$C$3005,"&lt;="&amp;($C1799+3)))</f>
        <v/>
      </c>
      <c r="I1799" s="12">
        <f>IF($H1799="","",IF($H1799=0,"Non trouvé",IF($H1799=1,"Match","À vérifier")))</f>
        <v/>
      </c>
      <c r="J1799" s="21">
        <f>IF($I1799&lt;&gt;"Match","",INDEX(Ventes_Encaissements!$B$6:$B$3005,_xludf.AGGREGATE(15,6,(ROW(Ventes_Encaissements!$B$6:$B$3005)-ROW(Ventes_Encaissements!$B$6)+1)/((Ventes_Encaissements!$E$6:$E$3005=$B1799)*(Ventes_Encaissements!$J$6:$J$3005=$G1799)*(Ventes_Encaissements!$C$6:$C$3005&gt;=$C1799-3)*(Ventes_Encaissements!$C$6:$C$3005&lt;=$C1799+3)),1)))</f>
        <v/>
      </c>
      <c r="K1799" s="6" t="n"/>
    </row>
    <row r="1800">
      <c r="A1800" s="6" t="n"/>
      <c r="B1800" s="6" t="n"/>
      <c r="C1800" s="19" t="n"/>
      <c r="D1800" s="19" t="n"/>
      <c r="E1800" s="6" t="n"/>
      <c r="F1800" s="20" t="n"/>
      <c r="G1800" s="9">
        <f>IF($F1800="","",IF($F1800&gt;0,ROUND($F1800,2),""))</f>
        <v/>
      </c>
      <c r="H1800" s="12">
        <f>IF(OR($B1800="",$C1800="",$G1800=""),"",COUNTIFS(Ventes_Encaissements!$E$6:$E$3005,$B1800,Ventes_Encaissements!$J$6:$J$3005,$G1800,Ventes_Encaissements!$C$6:$C$3005,"&gt;="&amp;($C1800-3),Ventes_Encaissements!$C$6:$C$3005,"&lt;="&amp;($C1800+3)))</f>
        <v/>
      </c>
      <c r="I1800" s="12">
        <f>IF($H1800="","",IF($H1800=0,"Non trouvé",IF($H1800=1,"Match","À vérifier")))</f>
        <v/>
      </c>
      <c r="J1800" s="21">
        <f>IF($I1800&lt;&gt;"Match","",INDEX(Ventes_Encaissements!$B$6:$B$3005,_xludf.AGGREGATE(15,6,(ROW(Ventes_Encaissements!$B$6:$B$3005)-ROW(Ventes_Encaissements!$B$6)+1)/((Ventes_Encaissements!$E$6:$E$3005=$B1800)*(Ventes_Encaissements!$J$6:$J$3005=$G1800)*(Ventes_Encaissements!$C$6:$C$3005&gt;=$C1800-3)*(Ventes_Encaissements!$C$6:$C$3005&lt;=$C1800+3)),1)))</f>
        <v/>
      </c>
      <c r="K1800" s="6" t="n"/>
    </row>
    <row r="1801">
      <c r="A1801" s="6" t="n"/>
      <c r="B1801" s="6" t="n"/>
      <c r="C1801" s="19" t="n"/>
      <c r="D1801" s="19" t="n"/>
      <c r="E1801" s="6" t="n"/>
      <c r="F1801" s="20" t="n"/>
      <c r="G1801" s="9">
        <f>IF($F1801="","",IF($F1801&gt;0,ROUND($F1801,2),""))</f>
        <v/>
      </c>
      <c r="H1801" s="12">
        <f>IF(OR($B1801="",$C1801="",$G1801=""),"",COUNTIFS(Ventes_Encaissements!$E$6:$E$3005,$B1801,Ventes_Encaissements!$J$6:$J$3005,$G1801,Ventes_Encaissements!$C$6:$C$3005,"&gt;="&amp;($C1801-3),Ventes_Encaissements!$C$6:$C$3005,"&lt;="&amp;($C1801+3)))</f>
        <v/>
      </c>
      <c r="I1801" s="12">
        <f>IF($H1801="","",IF($H1801=0,"Non trouvé",IF($H1801=1,"Match","À vérifier")))</f>
        <v/>
      </c>
      <c r="J1801" s="21">
        <f>IF($I1801&lt;&gt;"Match","",INDEX(Ventes_Encaissements!$B$6:$B$3005,_xludf.AGGREGATE(15,6,(ROW(Ventes_Encaissements!$B$6:$B$3005)-ROW(Ventes_Encaissements!$B$6)+1)/((Ventes_Encaissements!$E$6:$E$3005=$B1801)*(Ventes_Encaissements!$J$6:$J$3005=$G1801)*(Ventes_Encaissements!$C$6:$C$3005&gt;=$C1801-3)*(Ventes_Encaissements!$C$6:$C$3005&lt;=$C1801+3)),1)))</f>
        <v/>
      </c>
      <c r="K1801" s="6" t="n"/>
    </row>
    <row r="1802">
      <c r="A1802" s="6" t="n"/>
      <c r="B1802" s="6" t="n"/>
      <c r="C1802" s="19" t="n"/>
      <c r="D1802" s="19" t="n"/>
      <c r="E1802" s="6" t="n"/>
      <c r="F1802" s="20" t="n"/>
      <c r="G1802" s="9">
        <f>IF($F1802="","",IF($F1802&gt;0,ROUND($F1802,2),""))</f>
        <v/>
      </c>
      <c r="H1802" s="12">
        <f>IF(OR($B1802="",$C1802="",$G1802=""),"",COUNTIFS(Ventes_Encaissements!$E$6:$E$3005,$B1802,Ventes_Encaissements!$J$6:$J$3005,$G1802,Ventes_Encaissements!$C$6:$C$3005,"&gt;="&amp;($C1802-3),Ventes_Encaissements!$C$6:$C$3005,"&lt;="&amp;($C1802+3)))</f>
        <v/>
      </c>
      <c r="I1802" s="12">
        <f>IF($H1802="","",IF($H1802=0,"Non trouvé",IF($H1802=1,"Match","À vérifier")))</f>
        <v/>
      </c>
      <c r="J1802" s="21">
        <f>IF($I1802&lt;&gt;"Match","",INDEX(Ventes_Encaissements!$B$6:$B$3005,_xludf.AGGREGATE(15,6,(ROW(Ventes_Encaissements!$B$6:$B$3005)-ROW(Ventes_Encaissements!$B$6)+1)/((Ventes_Encaissements!$E$6:$E$3005=$B1802)*(Ventes_Encaissements!$J$6:$J$3005=$G1802)*(Ventes_Encaissements!$C$6:$C$3005&gt;=$C1802-3)*(Ventes_Encaissements!$C$6:$C$3005&lt;=$C1802+3)),1)))</f>
        <v/>
      </c>
      <c r="K1802" s="6" t="n"/>
    </row>
    <row r="1803">
      <c r="A1803" s="6" t="n"/>
      <c r="B1803" s="6" t="n"/>
      <c r="C1803" s="19" t="n"/>
      <c r="D1803" s="19" t="n"/>
      <c r="E1803" s="6" t="n"/>
      <c r="F1803" s="20" t="n"/>
      <c r="G1803" s="9">
        <f>IF($F1803="","",IF($F1803&gt;0,ROUND($F1803,2),""))</f>
        <v/>
      </c>
      <c r="H1803" s="12">
        <f>IF(OR($B1803="",$C1803="",$G1803=""),"",COUNTIFS(Ventes_Encaissements!$E$6:$E$3005,$B1803,Ventes_Encaissements!$J$6:$J$3005,$G1803,Ventes_Encaissements!$C$6:$C$3005,"&gt;="&amp;($C1803-3),Ventes_Encaissements!$C$6:$C$3005,"&lt;="&amp;($C1803+3)))</f>
        <v/>
      </c>
      <c r="I1803" s="12">
        <f>IF($H1803="","",IF($H1803=0,"Non trouvé",IF($H1803=1,"Match","À vérifier")))</f>
        <v/>
      </c>
      <c r="J1803" s="21">
        <f>IF($I1803&lt;&gt;"Match","",INDEX(Ventes_Encaissements!$B$6:$B$3005,_xludf.AGGREGATE(15,6,(ROW(Ventes_Encaissements!$B$6:$B$3005)-ROW(Ventes_Encaissements!$B$6)+1)/((Ventes_Encaissements!$E$6:$E$3005=$B1803)*(Ventes_Encaissements!$J$6:$J$3005=$G1803)*(Ventes_Encaissements!$C$6:$C$3005&gt;=$C1803-3)*(Ventes_Encaissements!$C$6:$C$3005&lt;=$C1803+3)),1)))</f>
        <v/>
      </c>
      <c r="K1803" s="6" t="n"/>
    </row>
    <row r="1804">
      <c r="A1804" s="6" t="n"/>
      <c r="B1804" s="6" t="n"/>
      <c r="C1804" s="19" t="n"/>
      <c r="D1804" s="19" t="n"/>
      <c r="E1804" s="6" t="n"/>
      <c r="F1804" s="20" t="n"/>
      <c r="G1804" s="9">
        <f>IF($F1804="","",IF($F1804&gt;0,ROUND($F1804,2),""))</f>
        <v/>
      </c>
      <c r="H1804" s="12">
        <f>IF(OR($B1804="",$C1804="",$G1804=""),"",COUNTIFS(Ventes_Encaissements!$E$6:$E$3005,$B1804,Ventes_Encaissements!$J$6:$J$3005,$G1804,Ventes_Encaissements!$C$6:$C$3005,"&gt;="&amp;($C1804-3),Ventes_Encaissements!$C$6:$C$3005,"&lt;="&amp;($C1804+3)))</f>
        <v/>
      </c>
      <c r="I1804" s="12">
        <f>IF($H1804="","",IF($H1804=0,"Non trouvé",IF($H1804=1,"Match","À vérifier")))</f>
        <v/>
      </c>
      <c r="J1804" s="21">
        <f>IF($I1804&lt;&gt;"Match","",INDEX(Ventes_Encaissements!$B$6:$B$3005,_xludf.AGGREGATE(15,6,(ROW(Ventes_Encaissements!$B$6:$B$3005)-ROW(Ventes_Encaissements!$B$6)+1)/((Ventes_Encaissements!$E$6:$E$3005=$B1804)*(Ventes_Encaissements!$J$6:$J$3005=$G1804)*(Ventes_Encaissements!$C$6:$C$3005&gt;=$C1804-3)*(Ventes_Encaissements!$C$6:$C$3005&lt;=$C1804+3)),1)))</f>
        <v/>
      </c>
      <c r="K1804" s="6" t="n"/>
    </row>
    <row r="1805">
      <c r="A1805" s="6" t="n"/>
      <c r="B1805" s="6" t="n"/>
      <c r="C1805" s="19" t="n"/>
      <c r="D1805" s="19" t="n"/>
      <c r="E1805" s="6" t="n"/>
      <c r="F1805" s="20" t="n"/>
      <c r="G1805" s="9">
        <f>IF($F1805="","",IF($F1805&gt;0,ROUND($F1805,2),""))</f>
        <v/>
      </c>
      <c r="H1805" s="12">
        <f>IF(OR($B1805="",$C1805="",$G1805=""),"",COUNTIFS(Ventes_Encaissements!$E$6:$E$3005,$B1805,Ventes_Encaissements!$J$6:$J$3005,$G1805,Ventes_Encaissements!$C$6:$C$3005,"&gt;="&amp;($C1805-3),Ventes_Encaissements!$C$6:$C$3005,"&lt;="&amp;($C1805+3)))</f>
        <v/>
      </c>
      <c r="I1805" s="12">
        <f>IF($H1805="","",IF($H1805=0,"Non trouvé",IF($H1805=1,"Match","À vérifier")))</f>
        <v/>
      </c>
      <c r="J1805" s="21">
        <f>IF($I1805&lt;&gt;"Match","",INDEX(Ventes_Encaissements!$B$6:$B$3005,_xludf.AGGREGATE(15,6,(ROW(Ventes_Encaissements!$B$6:$B$3005)-ROW(Ventes_Encaissements!$B$6)+1)/((Ventes_Encaissements!$E$6:$E$3005=$B1805)*(Ventes_Encaissements!$J$6:$J$3005=$G1805)*(Ventes_Encaissements!$C$6:$C$3005&gt;=$C1805-3)*(Ventes_Encaissements!$C$6:$C$3005&lt;=$C1805+3)),1)))</f>
        <v/>
      </c>
      <c r="K1805" s="6" t="n"/>
    </row>
    <row r="1806">
      <c r="A1806" s="6" t="n"/>
      <c r="B1806" s="6" t="n"/>
      <c r="C1806" s="19" t="n"/>
      <c r="D1806" s="19" t="n"/>
      <c r="E1806" s="6" t="n"/>
      <c r="F1806" s="20" t="n"/>
      <c r="G1806" s="9">
        <f>IF($F1806="","",IF($F1806&gt;0,ROUND($F1806,2),""))</f>
        <v/>
      </c>
      <c r="H1806" s="12">
        <f>IF(OR($B1806="",$C1806="",$G1806=""),"",COUNTIFS(Ventes_Encaissements!$E$6:$E$3005,$B1806,Ventes_Encaissements!$J$6:$J$3005,$G1806,Ventes_Encaissements!$C$6:$C$3005,"&gt;="&amp;($C1806-3),Ventes_Encaissements!$C$6:$C$3005,"&lt;="&amp;($C1806+3)))</f>
        <v/>
      </c>
      <c r="I1806" s="12">
        <f>IF($H1806="","",IF($H1806=0,"Non trouvé",IF($H1806=1,"Match","À vérifier")))</f>
        <v/>
      </c>
      <c r="J1806" s="21">
        <f>IF($I1806&lt;&gt;"Match","",INDEX(Ventes_Encaissements!$B$6:$B$3005,_xludf.AGGREGATE(15,6,(ROW(Ventes_Encaissements!$B$6:$B$3005)-ROW(Ventes_Encaissements!$B$6)+1)/((Ventes_Encaissements!$E$6:$E$3005=$B1806)*(Ventes_Encaissements!$J$6:$J$3005=$G1806)*(Ventes_Encaissements!$C$6:$C$3005&gt;=$C1806-3)*(Ventes_Encaissements!$C$6:$C$3005&lt;=$C1806+3)),1)))</f>
        <v/>
      </c>
      <c r="K1806" s="6" t="n"/>
    </row>
    <row r="1807">
      <c r="A1807" s="6" t="n"/>
      <c r="B1807" s="6" t="n"/>
      <c r="C1807" s="19" t="n"/>
      <c r="D1807" s="19" t="n"/>
      <c r="E1807" s="6" t="n"/>
      <c r="F1807" s="20" t="n"/>
      <c r="G1807" s="9">
        <f>IF($F1807="","",IF($F1807&gt;0,ROUND($F1807,2),""))</f>
        <v/>
      </c>
      <c r="H1807" s="12">
        <f>IF(OR($B1807="",$C1807="",$G1807=""),"",COUNTIFS(Ventes_Encaissements!$E$6:$E$3005,$B1807,Ventes_Encaissements!$J$6:$J$3005,$G1807,Ventes_Encaissements!$C$6:$C$3005,"&gt;="&amp;($C1807-3),Ventes_Encaissements!$C$6:$C$3005,"&lt;="&amp;($C1807+3)))</f>
        <v/>
      </c>
      <c r="I1807" s="12">
        <f>IF($H1807="","",IF($H1807=0,"Non trouvé",IF($H1807=1,"Match","À vérifier")))</f>
        <v/>
      </c>
      <c r="J1807" s="21">
        <f>IF($I1807&lt;&gt;"Match","",INDEX(Ventes_Encaissements!$B$6:$B$3005,_xludf.AGGREGATE(15,6,(ROW(Ventes_Encaissements!$B$6:$B$3005)-ROW(Ventes_Encaissements!$B$6)+1)/((Ventes_Encaissements!$E$6:$E$3005=$B1807)*(Ventes_Encaissements!$J$6:$J$3005=$G1807)*(Ventes_Encaissements!$C$6:$C$3005&gt;=$C1807-3)*(Ventes_Encaissements!$C$6:$C$3005&lt;=$C1807+3)),1)))</f>
        <v/>
      </c>
      <c r="K1807" s="6" t="n"/>
    </row>
    <row r="1808">
      <c r="A1808" s="6" t="n"/>
      <c r="B1808" s="6" t="n"/>
      <c r="C1808" s="19" t="n"/>
      <c r="D1808" s="19" t="n"/>
      <c r="E1808" s="6" t="n"/>
      <c r="F1808" s="20" t="n"/>
      <c r="G1808" s="9">
        <f>IF($F1808="","",IF($F1808&gt;0,ROUND($F1808,2),""))</f>
        <v/>
      </c>
      <c r="H1808" s="12">
        <f>IF(OR($B1808="",$C1808="",$G1808=""),"",COUNTIFS(Ventes_Encaissements!$E$6:$E$3005,$B1808,Ventes_Encaissements!$J$6:$J$3005,$G1808,Ventes_Encaissements!$C$6:$C$3005,"&gt;="&amp;($C1808-3),Ventes_Encaissements!$C$6:$C$3005,"&lt;="&amp;($C1808+3)))</f>
        <v/>
      </c>
      <c r="I1808" s="12">
        <f>IF($H1808="","",IF($H1808=0,"Non trouvé",IF($H1808=1,"Match","À vérifier")))</f>
        <v/>
      </c>
      <c r="J1808" s="21">
        <f>IF($I1808&lt;&gt;"Match","",INDEX(Ventes_Encaissements!$B$6:$B$3005,_xludf.AGGREGATE(15,6,(ROW(Ventes_Encaissements!$B$6:$B$3005)-ROW(Ventes_Encaissements!$B$6)+1)/((Ventes_Encaissements!$E$6:$E$3005=$B1808)*(Ventes_Encaissements!$J$6:$J$3005=$G1808)*(Ventes_Encaissements!$C$6:$C$3005&gt;=$C1808-3)*(Ventes_Encaissements!$C$6:$C$3005&lt;=$C1808+3)),1)))</f>
        <v/>
      </c>
      <c r="K1808" s="6" t="n"/>
    </row>
    <row r="1809">
      <c r="A1809" s="6" t="n"/>
      <c r="B1809" s="6" t="n"/>
      <c r="C1809" s="19" t="n"/>
      <c r="D1809" s="19" t="n"/>
      <c r="E1809" s="6" t="n"/>
      <c r="F1809" s="20" t="n"/>
      <c r="G1809" s="9">
        <f>IF($F1809="","",IF($F1809&gt;0,ROUND($F1809,2),""))</f>
        <v/>
      </c>
      <c r="H1809" s="12">
        <f>IF(OR($B1809="",$C1809="",$G1809=""),"",COUNTIFS(Ventes_Encaissements!$E$6:$E$3005,$B1809,Ventes_Encaissements!$J$6:$J$3005,$G1809,Ventes_Encaissements!$C$6:$C$3005,"&gt;="&amp;($C1809-3),Ventes_Encaissements!$C$6:$C$3005,"&lt;="&amp;($C1809+3)))</f>
        <v/>
      </c>
      <c r="I1809" s="12">
        <f>IF($H1809="","",IF($H1809=0,"Non trouvé",IF($H1809=1,"Match","À vérifier")))</f>
        <v/>
      </c>
      <c r="J1809" s="21">
        <f>IF($I1809&lt;&gt;"Match","",INDEX(Ventes_Encaissements!$B$6:$B$3005,_xludf.AGGREGATE(15,6,(ROW(Ventes_Encaissements!$B$6:$B$3005)-ROW(Ventes_Encaissements!$B$6)+1)/((Ventes_Encaissements!$E$6:$E$3005=$B1809)*(Ventes_Encaissements!$J$6:$J$3005=$G1809)*(Ventes_Encaissements!$C$6:$C$3005&gt;=$C1809-3)*(Ventes_Encaissements!$C$6:$C$3005&lt;=$C1809+3)),1)))</f>
        <v/>
      </c>
      <c r="K1809" s="6" t="n"/>
    </row>
    <row r="1810">
      <c r="A1810" s="6" t="n"/>
      <c r="B1810" s="6" t="n"/>
      <c r="C1810" s="19" t="n"/>
      <c r="D1810" s="19" t="n"/>
      <c r="E1810" s="6" t="n"/>
      <c r="F1810" s="20" t="n"/>
      <c r="G1810" s="9">
        <f>IF($F1810="","",IF($F1810&gt;0,ROUND($F1810,2),""))</f>
        <v/>
      </c>
      <c r="H1810" s="12">
        <f>IF(OR($B1810="",$C1810="",$G1810=""),"",COUNTIFS(Ventes_Encaissements!$E$6:$E$3005,$B1810,Ventes_Encaissements!$J$6:$J$3005,$G1810,Ventes_Encaissements!$C$6:$C$3005,"&gt;="&amp;($C1810-3),Ventes_Encaissements!$C$6:$C$3005,"&lt;="&amp;($C1810+3)))</f>
        <v/>
      </c>
      <c r="I1810" s="12">
        <f>IF($H1810="","",IF($H1810=0,"Non trouvé",IF($H1810=1,"Match","À vérifier")))</f>
        <v/>
      </c>
      <c r="J1810" s="21">
        <f>IF($I1810&lt;&gt;"Match","",INDEX(Ventes_Encaissements!$B$6:$B$3005,_xludf.AGGREGATE(15,6,(ROW(Ventes_Encaissements!$B$6:$B$3005)-ROW(Ventes_Encaissements!$B$6)+1)/((Ventes_Encaissements!$E$6:$E$3005=$B1810)*(Ventes_Encaissements!$J$6:$J$3005=$G1810)*(Ventes_Encaissements!$C$6:$C$3005&gt;=$C1810-3)*(Ventes_Encaissements!$C$6:$C$3005&lt;=$C1810+3)),1)))</f>
        <v/>
      </c>
      <c r="K1810" s="6" t="n"/>
    </row>
    <row r="1811">
      <c r="A1811" s="6" t="n"/>
      <c r="B1811" s="6" t="n"/>
      <c r="C1811" s="19" t="n"/>
      <c r="D1811" s="19" t="n"/>
      <c r="E1811" s="6" t="n"/>
      <c r="F1811" s="20" t="n"/>
      <c r="G1811" s="9">
        <f>IF($F1811="","",IF($F1811&gt;0,ROUND($F1811,2),""))</f>
        <v/>
      </c>
      <c r="H1811" s="12">
        <f>IF(OR($B1811="",$C1811="",$G1811=""),"",COUNTIFS(Ventes_Encaissements!$E$6:$E$3005,$B1811,Ventes_Encaissements!$J$6:$J$3005,$G1811,Ventes_Encaissements!$C$6:$C$3005,"&gt;="&amp;($C1811-3),Ventes_Encaissements!$C$6:$C$3005,"&lt;="&amp;($C1811+3)))</f>
        <v/>
      </c>
      <c r="I1811" s="12">
        <f>IF($H1811="","",IF($H1811=0,"Non trouvé",IF($H1811=1,"Match","À vérifier")))</f>
        <v/>
      </c>
      <c r="J1811" s="21">
        <f>IF($I1811&lt;&gt;"Match","",INDEX(Ventes_Encaissements!$B$6:$B$3005,_xludf.AGGREGATE(15,6,(ROW(Ventes_Encaissements!$B$6:$B$3005)-ROW(Ventes_Encaissements!$B$6)+1)/((Ventes_Encaissements!$E$6:$E$3005=$B1811)*(Ventes_Encaissements!$J$6:$J$3005=$G1811)*(Ventes_Encaissements!$C$6:$C$3005&gt;=$C1811-3)*(Ventes_Encaissements!$C$6:$C$3005&lt;=$C1811+3)),1)))</f>
        <v/>
      </c>
      <c r="K1811" s="6" t="n"/>
    </row>
    <row r="1812">
      <c r="A1812" s="6" t="n"/>
      <c r="B1812" s="6" t="n"/>
      <c r="C1812" s="19" t="n"/>
      <c r="D1812" s="19" t="n"/>
      <c r="E1812" s="6" t="n"/>
      <c r="F1812" s="20" t="n"/>
      <c r="G1812" s="9">
        <f>IF($F1812="","",IF($F1812&gt;0,ROUND($F1812,2),""))</f>
        <v/>
      </c>
      <c r="H1812" s="12">
        <f>IF(OR($B1812="",$C1812="",$G1812=""),"",COUNTIFS(Ventes_Encaissements!$E$6:$E$3005,$B1812,Ventes_Encaissements!$J$6:$J$3005,$G1812,Ventes_Encaissements!$C$6:$C$3005,"&gt;="&amp;($C1812-3),Ventes_Encaissements!$C$6:$C$3005,"&lt;="&amp;($C1812+3)))</f>
        <v/>
      </c>
      <c r="I1812" s="12">
        <f>IF($H1812="","",IF($H1812=0,"Non trouvé",IF($H1812=1,"Match","À vérifier")))</f>
        <v/>
      </c>
      <c r="J1812" s="21">
        <f>IF($I1812&lt;&gt;"Match","",INDEX(Ventes_Encaissements!$B$6:$B$3005,_xludf.AGGREGATE(15,6,(ROW(Ventes_Encaissements!$B$6:$B$3005)-ROW(Ventes_Encaissements!$B$6)+1)/((Ventes_Encaissements!$E$6:$E$3005=$B1812)*(Ventes_Encaissements!$J$6:$J$3005=$G1812)*(Ventes_Encaissements!$C$6:$C$3005&gt;=$C1812-3)*(Ventes_Encaissements!$C$6:$C$3005&lt;=$C1812+3)),1)))</f>
        <v/>
      </c>
      <c r="K1812" s="6" t="n"/>
    </row>
    <row r="1813">
      <c r="A1813" s="6" t="n"/>
      <c r="B1813" s="6" t="n"/>
      <c r="C1813" s="19" t="n"/>
      <c r="D1813" s="19" t="n"/>
      <c r="E1813" s="6" t="n"/>
      <c r="F1813" s="20" t="n"/>
      <c r="G1813" s="9">
        <f>IF($F1813="","",IF($F1813&gt;0,ROUND($F1813,2),""))</f>
        <v/>
      </c>
      <c r="H1813" s="12">
        <f>IF(OR($B1813="",$C1813="",$G1813=""),"",COUNTIFS(Ventes_Encaissements!$E$6:$E$3005,$B1813,Ventes_Encaissements!$J$6:$J$3005,$G1813,Ventes_Encaissements!$C$6:$C$3005,"&gt;="&amp;($C1813-3),Ventes_Encaissements!$C$6:$C$3005,"&lt;="&amp;($C1813+3)))</f>
        <v/>
      </c>
      <c r="I1813" s="12">
        <f>IF($H1813="","",IF($H1813=0,"Non trouvé",IF($H1813=1,"Match","À vérifier")))</f>
        <v/>
      </c>
      <c r="J1813" s="21">
        <f>IF($I1813&lt;&gt;"Match","",INDEX(Ventes_Encaissements!$B$6:$B$3005,_xludf.AGGREGATE(15,6,(ROW(Ventes_Encaissements!$B$6:$B$3005)-ROW(Ventes_Encaissements!$B$6)+1)/((Ventes_Encaissements!$E$6:$E$3005=$B1813)*(Ventes_Encaissements!$J$6:$J$3005=$G1813)*(Ventes_Encaissements!$C$6:$C$3005&gt;=$C1813-3)*(Ventes_Encaissements!$C$6:$C$3005&lt;=$C1813+3)),1)))</f>
        <v/>
      </c>
      <c r="K1813" s="6" t="n"/>
    </row>
    <row r="1814">
      <c r="A1814" s="6" t="n"/>
      <c r="B1814" s="6" t="n"/>
      <c r="C1814" s="19" t="n"/>
      <c r="D1814" s="19" t="n"/>
      <c r="E1814" s="6" t="n"/>
      <c r="F1814" s="20" t="n"/>
      <c r="G1814" s="9">
        <f>IF($F1814="","",IF($F1814&gt;0,ROUND($F1814,2),""))</f>
        <v/>
      </c>
      <c r="H1814" s="12">
        <f>IF(OR($B1814="",$C1814="",$G1814=""),"",COUNTIFS(Ventes_Encaissements!$E$6:$E$3005,$B1814,Ventes_Encaissements!$J$6:$J$3005,$G1814,Ventes_Encaissements!$C$6:$C$3005,"&gt;="&amp;($C1814-3),Ventes_Encaissements!$C$6:$C$3005,"&lt;="&amp;($C1814+3)))</f>
        <v/>
      </c>
      <c r="I1814" s="12">
        <f>IF($H1814="","",IF($H1814=0,"Non trouvé",IF($H1814=1,"Match","À vérifier")))</f>
        <v/>
      </c>
      <c r="J1814" s="21">
        <f>IF($I1814&lt;&gt;"Match","",INDEX(Ventes_Encaissements!$B$6:$B$3005,_xludf.AGGREGATE(15,6,(ROW(Ventes_Encaissements!$B$6:$B$3005)-ROW(Ventes_Encaissements!$B$6)+1)/((Ventes_Encaissements!$E$6:$E$3005=$B1814)*(Ventes_Encaissements!$J$6:$J$3005=$G1814)*(Ventes_Encaissements!$C$6:$C$3005&gt;=$C1814-3)*(Ventes_Encaissements!$C$6:$C$3005&lt;=$C1814+3)),1)))</f>
        <v/>
      </c>
      <c r="K1814" s="6" t="n"/>
    </row>
    <row r="1815">
      <c r="A1815" s="6" t="n"/>
      <c r="B1815" s="6" t="n"/>
      <c r="C1815" s="19" t="n"/>
      <c r="D1815" s="19" t="n"/>
      <c r="E1815" s="6" t="n"/>
      <c r="F1815" s="20" t="n"/>
      <c r="G1815" s="9">
        <f>IF($F1815="","",IF($F1815&gt;0,ROUND($F1815,2),""))</f>
        <v/>
      </c>
      <c r="H1815" s="12">
        <f>IF(OR($B1815="",$C1815="",$G1815=""),"",COUNTIFS(Ventes_Encaissements!$E$6:$E$3005,$B1815,Ventes_Encaissements!$J$6:$J$3005,$G1815,Ventes_Encaissements!$C$6:$C$3005,"&gt;="&amp;($C1815-3),Ventes_Encaissements!$C$6:$C$3005,"&lt;="&amp;($C1815+3)))</f>
        <v/>
      </c>
      <c r="I1815" s="12">
        <f>IF($H1815="","",IF($H1815=0,"Non trouvé",IF($H1815=1,"Match","À vérifier")))</f>
        <v/>
      </c>
      <c r="J1815" s="21">
        <f>IF($I1815&lt;&gt;"Match","",INDEX(Ventes_Encaissements!$B$6:$B$3005,_xludf.AGGREGATE(15,6,(ROW(Ventes_Encaissements!$B$6:$B$3005)-ROW(Ventes_Encaissements!$B$6)+1)/((Ventes_Encaissements!$E$6:$E$3005=$B1815)*(Ventes_Encaissements!$J$6:$J$3005=$G1815)*(Ventes_Encaissements!$C$6:$C$3005&gt;=$C1815-3)*(Ventes_Encaissements!$C$6:$C$3005&lt;=$C1815+3)),1)))</f>
        <v/>
      </c>
      <c r="K1815" s="6" t="n"/>
    </row>
    <row r="1816">
      <c r="A1816" s="6" t="n"/>
      <c r="B1816" s="6" t="n"/>
      <c r="C1816" s="19" t="n"/>
      <c r="D1816" s="19" t="n"/>
      <c r="E1816" s="6" t="n"/>
      <c r="F1816" s="20" t="n"/>
      <c r="G1816" s="9">
        <f>IF($F1816="","",IF($F1816&gt;0,ROUND($F1816,2),""))</f>
        <v/>
      </c>
      <c r="H1816" s="12">
        <f>IF(OR($B1816="",$C1816="",$G1816=""),"",COUNTIFS(Ventes_Encaissements!$E$6:$E$3005,$B1816,Ventes_Encaissements!$J$6:$J$3005,$G1816,Ventes_Encaissements!$C$6:$C$3005,"&gt;="&amp;($C1816-3),Ventes_Encaissements!$C$6:$C$3005,"&lt;="&amp;($C1816+3)))</f>
        <v/>
      </c>
      <c r="I1816" s="12">
        <f>IF($H1816="","",IF($H1816=0,"Non trouvé",IF($H1816=1,"Match","À vérifier")))</f>
        <v/>
      </c>
      <c r="J1816" s="21">
        <f>IF($I1816&lt;&gt;"Match","",INDEX(Ventes_Encaissements!$B$6:$B$3005,_xludf.AGGREGATE(15,6,(ROW(Ventes_Encaissements!$B$6:$B$3005)-ROW(Ventes_Encaissements!$B$6)+1)/((Ventes_Encaissements!$E$6:$E$3005=$B1816)*(Ventes_Encaissements!$J$6:$J$3005=$G1816)*(Ventes_Encaissements!$C$6:$C$3005&gt;=$C1816-3)*(Ventes_Encaissements!$C$6:$C$3005&lt;=$C1816+3)),1)))</f>
        <v/>
      </c>
      <c r="K1816" s="6" t="n"/>
    </row>
    <row r="1817">
      <c r="A1817" s="6" t="n"/>
      <c r="B1817" s="6" t="n"/>
      <c r="C1817" s="19" t="n"/>
      <c r="D1817" s="19" t="n"/>
      <c r="E1817" s="6" t="n"/>
      <c r="F1817" s="20" t="n"/>
      <c r="G1817" s="9">
        <f>IF($F1817="","",IF($F1817&gt;0,ROUND($F1817,2),""))</f>
        <v/>
      </c>
      <c r="H1817" s="12">
        <f>IF(OR($B1817="",$C1817="",$G1817=""),"",COUNTIFS(Ventes_Encaissements!$E$6:$E$3005,$B1817,Ventes_Encaissements!$J$6:$J$3005,$G1817,Ventes_Encaissements!$C$6:$C$3005,"&gt;="&amp;($C1817-3),Ventes_Encaissements!$C$6:$C$3005,"&lt;="&amp;($C1817+3)))</f>
        <v/>
      </c>
      <c r="I1817" s="12">
        <f>IF($H1817="","",IF($H1817=0,"Non trouvé",IF($H1817=1,"Match","À vérifier")))</f>
        <v/>
      </c>
      <c r="J1817" s="21">
        <f>IF($I1817&lt;&gt;"Match","",INDEX(Ventes_Encaissements!$B$6:$B$3005,_xludf.AGGREGATE(15,6,(ROW(Ventes_Encaissements!$B$6:$B$3005)-ROW(Ventes_Encaissements!$B$6)+1)/((Ventes_Encaissements!$E$6:$E$3005=$B1817)*(Ventes_Encaissements!$J$6:$J$3005=$G1817)*(Ventes_Encaissements!$C$6:$C$3005&gt;=$C1817-3)*(Ventes_Encaissements!$C$6:$C$3005&lt;=$C1817+3)),1)))</f>
        <v/>
      </c>
      <c r="K1817" s="6" t="n"/>
    </row>
    <row r="1818">
      <c r="A1818" s="6" t="n"/>
      <c r="B1818" s="6" t="n"/>
      <c r="C1818" s="19" t="n"/>
      <c r="D1818" s="19" t="n"/>
      <c r="E1818" s="6" t="n"/>
      <c r="F1818" s="20" t="n"/>
      <c r="G1818" s="9">
        <f>IF($F1818="","",IF($F1818&gt;0,ROUND($F1818,2),""))</f>
        <v/>
      </c>
      <c r="H1818" s="12">
        <f>IF(OR($B1818="",$C1818="",$G1818=""),"",COUNTIFS(Ventes_Encaissements!$E$6:$E$3005,$B1818,Ventes_Encaissements!$J$6:$J$3005,$G1818,Ventes_Encaissements!$C$6:$C$3005,"&gt;="&amp;($C1818-3),Ventes_Encaissements!$C$6:$C$3005,"&lt;="&amp;($C1818+3)))</f>
        <v/>
      </c>
      <c r="I1818" s="12">
        <f>IF($H1818="","",IF($H1818=0,"Non trouvé",IF($H1818=1,"Match","À vérifier")))</f>
        <v/>
      </c>
      <c r="J1818" s="21">
        <f>IF($I1818&lt;&gt;"Match","",INDEX(Ventes_Encaissements!$B$6:$B$3005,_xludf.AGGREGATE(15,6,(ROW(Ventes_Encaissements!$B$6:$B$3005)-ROW(Ventes_Encaissements!$B$6)+1)/((Ventes_Encaissements!$E$6:$E$3005=$B1818)*(Ventes_Encaissements!$J$6:$J$3005=$G1818)*(Ventes_Encaissements!$C$6:$C$3005&gt;=$C1818-3)*(Ventes_Encaissements!$C$6:$C$3005&lt;=$C1818+3)),1)))</f>
        <v/>
      </c>
      <c r="K1818" s="6" t="n"/>
    </row>
    <row r="1819">
      <c r="A1819" s="6" t="n"/>
      <c r="B1819" s="6" t="n"/>
      <c r="C1819" s="19" t="n"/>
      <c r="D1819" s="19" t="n"/>
      <c r="E1819" s="6" t="n"/>
      <c r="F1819" s="20" t="n"/>
      <c r="G1819" s="9">
        <f>IF($F1819="","",IF($F1819&gt;0,ROUND($F1819,2),""))</f>
        <v/>
      </c>
      <c r="H1819" s="12">
        <f>IF(OR($B1819="",$C1819="",$G1819=""),"",COUNTIFS(Ventes_Encaissements!$E$6:$E$3005,$B1819,Ventes_Encaissements!$J$6:$J$3005,$G1819,Ventes_Encaissements!$C$6:$C$3005,"&gt;="&amp;($C1819-3),Ventes_Encaissements!$C$6:$C$3005,"&lt;="&amp;($C1819+3)))</f>
        <v/>
      </c>
      <c r="I1819" s="12">
        <f>IF($H1819="","",IF($H1819=0,"Non trouvé",IF($H1819=1,"Match","À vérifier")))</f>
        <v/>
      </c>
      <c r="J1819" s="21">
        <f>IF($I1819&lt;&gt;"Match","",INDEX(Ventes_Encaissements!$B$6:$B$3005,_xludf.AGGREGATE(15,6,(ROW(Ventes_Encaissements!$B$6:$B$3005)-ROW(Ventes_Encaissements!$B$6)+1)/((Ventes_Encaissements!$E$6:$E$3005=$B1819)*(Ventes_Encaissements!$J$6:$J$3005=$G1819)*(Ventes_Encaissements!$C$6:$C$3005&gt;=$C1819-3)*(Ventes_Encaissements!$C$6:$C$3005&lt;=$C1819+3)),1)))</f>
        <v/>
      </c>
      <c r="K1819" s="6" t="n"/>
    </row>
    <row r="1820">
      <c r="A1820" s="6" t="n"/>
      <c r="B1820" s="6" t="n"/>
      <c r="C1820" s="19" t="n"/>
      <c r="D1820" s="19" t="n"/>
      <c r="E1820" s="6" t="n"/>
      <c r="F1820" s="20" t="n"/>
      <c r="G1820" s="9">
        <f>IF($F1820="","",IF($F1820&gt;0,ROUND($F1820,2),""))</f>
        <v/>
      </c>
      <c r="H1820" s="12">
        <f>IF(OR($B1820="",$C1820="",$G1820=""),"",COUNTIFS(Ventes_Encaissements!$E$6:$E$3005,$B1820,Ventes_Encaissements!$J$6:$J$3005,$G1820,Ventes_Encaissements!$C$6:$C$3005,"&gt;="&amp;($C1820-3),Ventes_Encaissements!$C$6:$C$3005,"&lt;="&amp;($C1820+3)))</f>
        <v/>
      </c>
      <c r="I1820" s="12">
        <f>IF($H1820="","",IF($H1820=0,"Non trouvé",IF($H1820=1,"Match","À vérifier")))</f>
        <v/>
      </c>
      <c r="J1820" s="21">
        <f>IF($I1820&lt;&gt;"Match","",INDEX(Ventes_Encaissements!$B$6:$B$3005,_xludf.AGGREGATE(15,6,(ROW(Ventes_Encaissements!$B$6:$B$3005)-ROW(Ventes_Encaissements!$B$6)+1)/((Ventes_Encaissements!$E$6:$E$3005=$B1820)*(Ventes_Encaissements!$J$6:$J$3005=$G1820)*(Ventes_Encaissements!$C$6:$C$3005&gt;=$C1820-3)*(Ventes_Encaissements!$C$6:$C$3005&lt;=$C1820+3)),1)))</f>
        <v/>
      </c>
      <c r="K1820" s="6" t="n"/>
    </row>
    <row r="1821">
      <c r="A1821" s="6" t="n"/>
      <c r="B1821" s="6" t="n"/>
      <c r="C1821" s="19" t="n"/>
      <c r="D1821" s="19" t="n"/>
      <c r="E1821" s="6" t="n"/>
      <c r="F1821" s="20" t="n"/>
      <c r="G1821" s="9">
        <f>IF($F1821="","",IF($F1821&gt;0,ROUND($F1821,2),""))</f>
        <v/>
      </c>
      <c r="H1821" s="12">
        <f>IF(OR($B1821="",$C1821="",$G1821=""),"",COUNTIFS(Ventes_Encaissements!$E$6:$E$3005,$B1821,Ventes_Encaissements!$J$6:$J$3005,$G1821,Ventes_Encaissements!$C$6:$C$3005,"&gt;="&amp;($C1821-3),Ventes_Encaissements!$C$6:$C$3005,"&lt;="&amp;($C1821+3)))</f>
        <v/>
      </c>
      <c r="I1821" s="12">
        <f>IF($H1821="","",IF($H1821=0,"Non trouvé",IF($H1821=1,"Match","À vérifier")))</f>
        <v/>
      </c>
      <c r="J1821" s="21">
        <f>IF($I1821&lt;&gt;"Match","",INDEX(Ventes_Encaissements!$B$6:$B$3005,_xludf.AGGREGATE(15,6,(ROW(Ventes_Encaissements!$B$6:$B$3005)-ROW(Ventes_Encaissements!$B$6)+1)/((Ventes_Encaissements!$E$6:$E$3005=$B1821)*(Ventes_Encaissements!$J$6:$J$3005=$G1821)*(Ventes_Encaissements!$C$6:$C$3005&gt;=$C1821-3)*(Ventes_Encaissements!$C$6:$C$3005&lt;=$C1821+3)),1)))</f>
        <v/>
      </c>
      <c r="K1821" s="6" t="n"/>
    </row>
    <row r="1822">
      <c r="A1822" s="6" t="n"/>
      <c r="B1822" s="6" t="n"/>
      <c r="C1822" s="19" t="n"/>
      <c r="D1822" s="19" t="n"/>
      <c r="E1822" s="6" t="n"/>
      <c r="F1822" s="20" t="n"/>
      <c r="G1822" s="9">
        <f>IF($F1822="","",IF($F1822&gt;0,ROUND($F1822,2),""))</f>
        <v/>
      </c>
      <c r="H1822" s="12">
        <f>IF(OR($B1822="",$C1822="",$G1822=""),"",COUNTIFS(Ventes_Encaissements!$E$6:$E$3005,$B1822,Ventes_Encaissements!$J$6:$J$3005,$G1822,Ventes_Encaissements!$C$6:$C$3005,"&gt;="&amp;($C1822-3),Ventes_Encaissements!$C$6:$C$3005,"&lt;="&amp;($C1822+3)))</f>
        <v/>
      </c>
      <c r="I1822" s="12">
        <f>IF($H1822="","",IF($H1822=0,"Non trouvé",IF($H1822=1,"Match","À vérifier")))</f>
        <v/>
      </c>
      <c r="J1822" s="21">
        <f>IF($I1822&lt;&gt;"Match","",INDEX(Ventes_Encaissements!$B$6:$B$3005,_xludf.AGGREGATE(15,6,(ROW(Ventes_Encaissements!$B$6:$B$3005)-ROW(Ventes_Encaissements!$B$6)+1)/((Ventes_Encaissements!$E$6:$E$3005=$B1822)*(Ventes_Encaissements!$J$6:$J$3005=$G1822)*(Ventes_Encaissements!$C$6:$C$3005&gt;=$C1822-3)*(Ventes_Encaissements!$C$6:$C$3005&lt;=$C1822+3)),1)))</f>
        <v/>
      </c>
      <c r="K1822" s="6" t="n"/>
    </row>
    <row r="1823">
      <c r="A1823" s="6" t="n"/>
      <c r="B1823" s="6" t="n"/>
      <c r="C1823" s="19" t="n"/>
      <c r="D1823" s="19" t="n"/>
      <c r="E1823" s="6" t="n"/>
      <c r="F1823" s="20" t="n"/>
      <c r="G1823" s="9">
        <f>IF($F1823="","",IF($F1823&gt;0,ROUND($F1823,2),""))</f>
        <v/>
      </c>
      <c r="H1823" s="12">
        <f>IF(OR($B1823="",$C1823="",$G1823=""),"",COUNTIFS(Ventes_Encaissements!$E$6:$E$3005,$B1823,Ventes_Encaissements!$J$6:$J$3005,$G1823,Ventes_Encaissements!$C$6:$C$3005,"&gt;="&amp;($C1823-3),Ventes_Encaissements!$C$6:$C$3005,"&lt;="&amp;($C1823+3)))</f>
        <v/>
      </c>
      <c r="I1823" s="12">
        <f>IF($H1823="","",IF($H1823=0,"Non trouvé",IF($H1823=1,"Match","À vérifier")))</f>
        <v/>
      </c>
      <c r="J1823" s="21">
        <f>IF($I1823&lt;&gt;"Match","",INDEX(Ventes_Encaissements!$B$6:$B$3005,_xludf.AGGREGATE(15,6,(ROW(Ventes_Encaissements!$B$6:$B$3005)-ROW(Ventes_Encaissements!$B$6)+1)/((Ventes_Encaissements!$E$6:$E$3005=$B1823)*(Ventes_Encaissements!$J$6:$J$3005=$G1823)*(Ventes_Encaissements!$C$6:$C$3005&gt;=$C1823-3)*(Ventes_Encaissements!$C$6:$C$3005&lt;=$C1823+3)),1)))</f>
        <v/>
      </c>
      <c r="K1823" s="6" t="n"/>
    </row>
    <row r="1824">
      <c r="A1824" s="6" t="n"/>
      <c r="B1824" s="6" t="n"/>
      <c r="C1824" s="19" t="n"/>
      <c r="D1824" s="19" t="n"/>
      <c r="E1824" s="6" t="n"/>
      <c r="F1824" s="20" t="n"/>
      <c r="G1824" s="9">
        <f>IF($F1824="","",IF($F1824&gt;0,ROUND($F1824,2),""))</f>
        <v/>
      </c>
      <c r="H1824" s="12">
        <f>IF(OR($B1824="",$C1824="",$G1824=""),"",COUNTIFS(Ventes_Encaissements!$E$6:$E$3005,$B1824,Ventes_Encaissements!$J$6:$J$3005,$G1824,Ventes_Encaissements!$C$6:$C$3005,"&gt;="&amp;($C1824-3),Ventes_Encaissements!$C$6:$C$3005,"&lt;="&amp;($C1824+3)))</f>
        <v/>
      </c>
      <c r="I1824" s="12">
        <f>IF($H1824="","",IF($H1824=0,"Non trouvé",IF($H1824=1,"Match","À vérifier")))</f>
        <v/>
      </c>
      <c r="J1824" s="21">
        <f>IF($I1824&lt;&gt;"Match","",INDEX(Ventes_Encaissements!$B$6:$B$3005,_xludf.AGGREGATE(15,6,(ROW(Ventes_Encaissements!$B$6:$B$3005)-ROW(Ventes_Encaissements!$B$6)+1)/((Ventes_Encaissements!$E$6:$E$3005=$B1824)*(Ventes_Encaissements!$J$6:$J$3005=$G1824)*(Ventes_Encaissements!$C$6:$C$3005&gt;=$C1824-3)*(Ventes_Encaissements!$C$6:$C$3005&lt;=$C1824+3)),1)))</f>
        <v/>
      </c>
      <c r="K1824" s="6" t="n"/>
    </row>
    <row r="1825">
      <c r="A1825" s="6" t="n"/>
      <c r="B1825" s="6" t="n"/>
      <c r="C1825" s="19" t="n"/>
      <c r="D1825" s="19" t="n"/>
      <c r="E1825" s="6" t="n"/>
      <c r="F1825" s="20" t="n"/>
      <c r="G1825" s="9">
        <f>IF($F1825="","",IF($F1825&gt;0,ROUND($F1825,2),""))</f>
        <v/>
      </c>
      <c r="H1825" s="12">
        <f>IF(OR($B1825="",$C1825="",$G1825=""),"",COUNTIFS(Ventes_Encaissements!$E$6:$E$3005,$B1825,Ventes_Encaissements!$J$6:$J$3005,$G1825,Ventes_Encaissements!$C$6:$C$3005,"&gt;="&amp;($C1825-3),Ventes_Encaissements!$C$6:$C$3005,"&lt;="&amp;($C1825+3)))</f>
        <v/>
      </c>
      <c r="I1825" s="12">
        <f>IF($H1825="","",IF($H1825=0,"Non trouvé",IF($H1825=1,"Match","À vérifier")))</f>
        <v/>
      </c>
      <c r="J1825" s="21">
        <f>IF($I1825&lt;&gt;"Match","",INDEX(Ventes_Encaissements!$B$6:$B$3005,_xludf.AGGREGATE(15,6,(ROW(Ventes_Encaissements!$B$6:$B$3005)-ROW(Ventes_Encaissements!$B$6)+1)/((Ventes_Encaissements!$E$6:$E$3005=$B1825)*(Ventes_Encaissements!$J$6:$J$3005=$G1825)*(Ventes_Encaissements!$C$6:$C$3005&gt;=$C1825-3)*(Ventes_Encaissements!$C$6:$C$3005&lt;=$C1825+3)),1)))</f>
        <v/>
      </c>
      <c r="K1825" s="6" t="n"/>
    </row>
    <row r="1826">
      <c r="A1826" s="6" t="n"/>
      <c r="B1826" s="6" t="n"/>
      <c r="C1826" s="19" t="n"/>
      <c r="D1826" s="19" t="n"/>
      <c r="E1826" s="6" t="n"/>
      <c r="F1826" s="20" t="n"/>
      <c r="G1826" s="9">
        <f>IF($F1826="","",IF($F1826&gt;0,ROUND($F1826,2),""))</f>
        <v/>
      </c>
      <c r="H1826" s="12">
        <f>IF(OR($B1826="",$C1826="",$G1826=""),"",COUNTIFS(Ventes_Encaissements!$E$6:$E$3005,$B1826,Ventes_Encaissements!$J$6:$J$3005,$G1826,Ventes_Encaissements!$C$6:$C$3005,"&gt;="&amp;($C1826-3),Ventes_Encaissements!$C$6:$C$3005,"&lt;="&amp;($C1826+3)))</f>
        <v/>
      </c>
      <c r="I1826" s="12">
        <f>IF($H1826="","",IF($H1826=0,"Non trouvé",IF($H1826=1,"Match","À vérifier")))</f>
        <v/>
      </c>
      <c r="J1826" s="21">
        <f>IF($I1826&lt;&gt;"Match","",INDEX(Ventes_Encaissements!$B$6:$B$3005,_xludf.AGGREGATE(15,6,(ROW(Ventes_Encaissements!$B$6:$B$3005)-ROW(Ventes_Encaissements!$B$6)+1)/((Ventes_Encaissements!$E$6:$E$3005=$B1826)*(Ventes_Encaissements!$J$6:$J$3005=$G1826)*(Ventes_Encaissements!$C$6:$C$3005&gt;=$C1826-3)*(Ventes_Encaissements!$C$6:$C$3005&lt;=$C1826+3)),1)))</f>
        <v/>
      </c>
      <c r="K1826" s="6" t="n"/>
    </row>
    <row r="1827">
      <c r="A1827" s="6" t="n"/>
      <c r="B1827" s="6" t="n"/>
      <c r="C1827" s="19" t="n"/>
      <c r="D1827" s="19" t="n"/>
      <c r="E1827" s="6" t="n"/>
      <c r="F1827" s="20" t="n"/>
      <c r="G1827" s="9">
        <f>IF($F1827="","",IF($F1827&gt;0,ROUND($F1827,2),""))</f>
        <v/>
      </c>
      <c r="H1827" s="12">
        <f>IF(OR($B1827="",$C1827="",$G1827=""),"",COUNTIFS(Ventes_Encaissements!$E$6:$E$3005,$B1827,Ventes_Encaissements!$J$6:$J$3005,$G1827,Ventes_Encaissements!$C$6:$C$3005,"&gt;="&amp;($C1827-3),Ventes_Encaissements!$C$6:$C$3005,"&lt;="&amp;($C1827+3)))</f>
        <v/>
      </c>
      <c r="I1827" s="12">
        <f>IF($H1827="","",IF($H1827=0,"Non trouvé",IF($H1827=1,"Match","À vérifier")))</f>
        <v/>
      </c>
      <c r="J1827" s="21">
        <f>IF($I1827&lt;&gt;"Match","",INDEX(Ventes_Encaissements!$B$6:$B$3005,_xludf.AGGREGATE(15,6,(ROW(Ventes_Encaissements!$B$6:$B$3005)-ROW(Ventes_Encaissements!$B$6)+1)/((Ventes_Encaissements!$E$6:$E$3005=$B1827)*(Ventes_Encaissements!$J$6:$J$3005=$G1827)*(Ventes_Encaissements!$C$6:$C$3005&gt;=$C1827-3)*(Ventes_Encaissements!$C$6:$C$3005&lt;=$C1827+3)),1)))</f>
        <v/>
      </c>
      <c r="K1827" s="6" t="n"/>
    </row>
    <row r="1828">
      <c r="A1828" s="6" t="n"/>
      <c r="B1828" s="6" t="n"/>
      <c r="C1828" s="19" t="n"/>
      <c r="D1828" s="19" t="n"/>
      <c r="E1828" s="6" t="n"/>
      <c r="F1828" s="20" t="n"/>
      <c r="G1828" s="9">
        <f>IF($F1828="","",IF($F1828&gt;0,ROUND($F1828,2),""))</f>
        <v/>
      </c>
      <c r="H1828" s="12">
        <f>IF(OR($B1828="",$C1828="",$G1828=""),"",COUNTIFS(Ventes_Encaissements!$E$6:$E$3005,$B1828,Ventes_Encaissements!$J$6:$J$3005,$G1828,Ventes_Encaissements!$C$6:$C$3005,"&gt;="&amp;($C1828-3),Ventes_Encaissements!$C$6:$C$3005,"&lt;="&amp;($C1828+3)))</f>
        <v/>
      </c>
      <c r="I1828" s="12">
        <f>IF($H1828="","",IF($H1828=0,"Non trouvé",IF($H1828=1,"Match","À vérifier")))</f>
        <v/>
      </c>
      <c r="J1828" s="21">
        <f>IF($I1828&lt;&gt;"Match","",INDEX(Ventes_Encaissements!$B$6:$B$3005,_xludf.AGGREGATE(15,6,(ROW(Ventes_Encaissements!$B$6:$B$3005)-ROW(Ventes_Encaissements!$B$6)+1)/((Ventes_Encaissements!$E$6:$E$3005=$B1828)*(Ventes_Encaissements!$J$6:$J$3005=$G1828)*(Ventes_Encaissements!$C$6:$C$3005&gt;=$C1828-3)*(Ventes_Encaissements!$C$6:$C$3005&lt;=$C1828+3)),1)))</f>
        <v/>
      </c>
      <c r="K1828" s="6" t="n"/>
    </row>
    <row r="1829">
      <c r="A1829" s="6" t="n"/>
      <c r="B1829" s="6" t="n"/>
      <c r="C1829" s="19" t="n"/>
      <c r="D1829" s="19" t="n"/>
      <c r="E1829" s="6" t="n"/>
      <c r="F1829" s="20" t="n"/>
      <c r="G1829" s="9">
        <f>IF($F1829="","",IF($F1829&gt;0,ROUND($F1829,2),""))</f>
        <v/>
      </c>
      <c r="H1829" s="12">
        <f>IF(OR($B1829="",$C1829="",$G1829=""),"",COUNTIFS(Ventes_Encaissements!$E$6:$E$3005,$B1829,Ventes_Encaissements!$J$6:$J$3005,$G1829,Ventes_Encaissements!$C$6:$C$3005,"&gt;="&amp;($C1829-3),Ventes_Encaissements!$C$6:$C$3005,"&lt;="&amp;($C1829+3)))</f>
        <v/>
      </c>
      <c r="I1829" s="12">
        <f>IF($H1829="","",IF($H1829=0,"Non trouvé",IF($H1829=1,"Match","À vérifier")))</f>
        <v/>
      </c>
      <c r="J1829" s="21">
        <f>IF($I1829&lt;&gt;"Match","",INDEX(Ventes_Encaissements!$B$6:$B$3005,_xludf.AGGREGATE(15,6,(ROW(Ventes_Encaissements!$B$6:$B$3005)-ROW(Ventes_Encaissements!$B$6)+1)/((Ventes_Encaissements!$E$6:$E$3005=$B1829)*(Ventes_Encaissements!$J$6:$J$3005=$G1829)*(Ventes_Encaissements!$C$6:$C$3005&gt;=$C1829-3)*(Ventes_Encaissements!$C$6:$C$3005&lt;=$C1829+3)),1)))</f>
        <v/>
      </c>
      <c r="K1829" s="6" t="n"/>
    </row>
    <row r="1830">
      <c r="A1830" s="6" t="n"/>
      <c r="B1830" s="6" t="n"/>
      <c r="C1830" s="19" t="n"/>
      <c r="D1830" s="19" t="n"/>
      <c r="E1830" s="6" t="n"/>
      <c r="F1830" s="20" t="n"/>
      <c r="G1830" s="9">
        <f>IF($F1830="","",IF($F1830&gt;0,ROUND($F1830,2),""))</f>
        <v/>
      </c>
      <c r="H1830" s="12">
        <f>IF(OR($B1830="",$C1830="",$G1830=""),"",COUNTIFS(Ventes_Encaissements!$E$6:$E$3005,$B1830,Ventes_Encaissements!$J$6:$J$3005,$G1830,Ventes_Encaissements!$C$6:$C$3005,"&gt;="&amp;($C1830-3),Ventes_Encaissements!$C$6:$C$3005,"&lt;="&amp;($C1830+3)))</f>
        <v/>
      </c>
      <c r="I1830" s="12">
        <f>IF($H1830="","",IF($H1830=0,"Non trouvé",IF($H1830=1,"Match","À vérifier")))</f>
        <v/>
      </c>
      <c r="J1830" s="21">
        <f>IF($I1830&lt;&gt;"Match","",INDEX(Ventes_Encaissements!$B$6:$B$3005,_xludf.AGGREGATE(15,6,(ROW(Ventes_Encaissements!$B$6:$B$3005)-ROW(Ventes_Encaissements!$B$6)+1)/((Ventes_Encaissements!$E$6:$E$3005=$B1830)*(Ventes_Encaissements!$J$6:$J$3005=$G1830)*(Ventes_Encaissements!$C$6:$C$3005&gt;=$C1830-3)*(Ventes_Encaissements!$C$6:$C$3005&lt;=$C1830+3)),1)))</f>
        <v/>
      </c>
      <c r="K1830" s="6" t="n"/>
    </row>
    <row r="1831">
      <c r="A1831" s="6" t="n"/>
      <c r="B1831" s="6" t="n"/>
      <c r="C1831" s="19" t="n"/>
      <c r="D1831" s="19" t="n"/>
      <c r="E1831" s="6" t="n"/>
      <c r="F1831" s="20" t="n"/>
      <c r="G1831" s="9">
        <f>IF($F1831="","",IF($F1831&gt;0,ROUND($F1831,2),""))</f>
        <v/>
      </c>
      <c r="H1831" s="12">
        <f>IF(OR($B1831="",$C1831="",$G1831=""),"",COUNTIFS(Ventes_Encaissements!$E$6:$E$3005,$B1831,Ventes_Encaissements!$J$6:$J$3005,$G1831,Ventes_Encaissements!$C$6:$C$3005,"&gt;="&amp;($C1831-3),Ventes_Encaissements!$C$6:$C$3005,"&lt;="&amp;($C1831+3)))</f>
        <v/>
      </c>
      <c r="I1831" s="12">
        <f>IF($H1831="","",IF($H1831=0,"Non trouvé",IF($H1831=1,"Match","À vérifier")))</f>
        <v/>
      </c>
      <c r="J1831" s="21">
        <f>IF($I1831&lt;&gt;"Match","",INDEX(Ventes_Encaissements!$B$6:$B$3005,_xludf.AGGREGATE(15,6,(ROW(Ventes_Encaissements!$B$6:$B$3005)-ROW(Ventes_Encaissements!$B$6)+1)/((Ventes_Encaissements!$E$6:$E$3005=$B1831)*(Ventes_Encaissements!$J$6:$J$3005=$G1831)*(Ventes_Encaissements!$C$6:$C$3005&gt;=$C1831-3)*(Ventes_Encaissements!$C$6:$C$3005&lt;=$C1831+3)),1)))</f>
        <v/>
      </c>
      <c r="K1831" s="6" t="n"/>
    </row>
    <row r="1832">
      <c r="A1832" s="6" t="n"/>
      <c r="B1832" s="6" t="n"/>
      <c r="C1832" s="19" t="n"/>
      <c r="D1832" s="19" t="n"/>
      <c r="E1832" s="6" t="n"/>
      <c r="F1832" s="20" t="n"/>
      <c r="G1832" s="9">
        <f>IF($F1832="","",IF($F1832&gt;0,ROUND($F1832,2),""))</f>
        <v/>
      </c>
      <c r="H1832" s="12">
        <f>IF(OR($B1832="",$C1832="",$G1832=""),"",COUNTIFS(Ventes_Encaissements!$E$6:$E$3005,$B1832,Ventes_Encaissements!$J$6:$J$3005,$G1832,Ventes_Encaissements!$C$6:$C$3005,"&gt;="&amp;($C1832-3),Ventes_Encaissements!$C$6:$C$3005,"&lt;="&amp;($C1832+3)))</f>
        <v/>
      </c>
      <c r="I1832" s="12">
        <f>IF($H1832="","",IF($H1832=0,"Non trouvé",IF($H1832=1,"Match","À vérifier")))</f>
        <v/>
      </c>
      <c r="J1832" s="21">
        <f>IF($I1832&lt;&gt;"Match","",INDEX(Ventes_Encaissements!$B$6:$B$3005,_xludf.AGGREGATE(15,6,(ROW(Ventes_Encaissements!$B$6:$B$3005)-ROW(Ventes_Encaissements!$B$6)+1)/((Ventes_Encaissements!$E$6:$E$3005=$B1832)*(Ventes_Encaissements!$J$6:$J$3005=$G1832)*(Ventes_Encaissements!$C$6:$C$3005&gt;=$C1832-3)*(Ventes_Encaissements!$C$6:$C$3005&lt;=$C1832+3)),1)))</f>
        <v/>
      </c>
      <c r="K1832" s="6" t="n"/>
    </row>
    <row r="1833">
      <c r="A1833" s="6" t="n"/>
      <c r="B1833" s="6" t="n"/>
      <c r="C1833" s="19" t="n"/>
      <c r="D1833" s="19" t="n"/>
      <c r="E1833" s="6" t="n"/>
      <c r="F1833" s="20" t="n"/>
      <c r="G1833" s="9">
        <f>IF($F1833="","",IF($F1833&gt;0,ROUND($F1833,2),""))</f>
        <v/>
      </c>
      <c r="H1833" s="12">
        <f>IF(OR($B1833="",$C1833="",$G1833=""),"",COUNTIFS(Ventes_Encaissements!$E$6:$E$3005,$B1833,Ventes_Encaissements!$J$6:$J$3005,$G1833,Ventes_Encaissements!$C$6:$C$3005,"&gt;="&amp;($C1833-3),Ventes_Encaissements!$C$6:$C$3005,"&lt;="&amp;($C1833+3)))</f>
        <v/>
      </c>
      <c r="I1833" s="12">
        <f>IF($H1833="","",IF($H1833=0,"Non trouvé",IF($H1833=1,"Match","À vérifier")))</f>
        <v/>
      </c>
      <c r="J1833" s="21">
        <f>IF($I1833&lt;&gt;"Match","",INDEX(Ventes_Encaissements!$B$6:$B$3005,_xludf.AGGREGATE(15,6,(ROW(Ventes_Encaissements!$B$6:$B$3005)-ROW(Ventes_Encaissements!$B$6)+1)/((Ventes_Encaissements!$E$6:$E$3005=$B1833)*(Ventes_Encaissements!$J$6:$J$3005=$G1833)*(Ventes_Encaissements!$C$6:$C$3005&gt;=$C1833-3)*(Ventes_Encaissements!$C$6:$C$3005&lt;=$C1833+3)),1)))</f>
        <v/>
      </c>
      <c r="K1833" s="6" t="n"/>
    </row>
    <row r="1834">
      <c r="A1834" s="6" t="n"/>
      <c r="B1834" s="6" t="n"/>
      <c r="C1834" s="19" t="n"/>
      <c r="D1834" s="19" t="n"/>
      <c r="E1834" s="6" t="n"/>
      <c r="F1834" s="20" t="n"/>
      <c r="G1834" s="9">
        <f>IF($F1834="","",IF($F1834&gt;0,ROUND($F1834,2),""))</f>
        <v/>
      </c>
      <c r="H1834" s="12">
        <f>IF(OR($B1834="",$C1834="",$G1834=""),"",COUNTIFS(Ventes_Encaissements!$E$6:$E$3005,$B1834,Ventes_Encaissements!$J$6:$J$3005,$G1834,Ventes_Encaissements!$C$6:$C$3005,"&gt;="&amp;($C1834-3),Ventes_Encaissements!$C$6:$C$3005,"&lt;="&amp;($C1834+3)))</f>
        <v/>
      </c>
      <c r="I1834" s="12">
        <f>IF($H1834="","",IF($H1834=0,"Non trouvé",IF($H1834=1,"Match","À vérifier")))</f>
        <v/>
      </c>
      <c r="J1834" s="21">
        <f>IF($I1834&lt;&gt;"Match","",INDEX(Ventes_Encaissements!$B$6:$B$3005,_xludf.AGGREGATE(15,6,(ROW(Ventes_Encaissements!$B$6:$B$3005)-ROW(Ventes_Encaissements!$B$6)+1)/((Ventes_Encaissements!$E$6:$E$3005=$B1834)*(Ventes_Encaissements!$J$6:$J$3005=$G1834)*(Ventes_Encaissements!$C$6:$C$3005&gt;=$C1834-3)*(Ventes_Encaissements!$C$6:$C$3005&lt;=$C1834+3)),1)))</f>
        <v/>
      </c>
      <c r="K1834" s="6" t="n"/>
    </row>
    <row r="1835">
      <c r="A1835" s="6" t="n"/>
      <c r="B1835" s="6" t="n"/>
      <c r="C1835" s="19" t="n"/>
      <c r="D1835" s="19" t="n"/>
      <c r="E1835" s="6" t="n"/>
      <c r="F1835" s="20" t="n"/>
      <c r="G1835" s="9">
        <f>IF($F1835="","",IF($F1835&gt;0,ROUND($F1835,2),""))</f>
        <v/>
      </c>
      <c r="H1835" s="12">
        <f>IF(OR($B1835="",$C1835="",$G1835=""),"",COUNTIFS(Ventes_Encaissements!$E$6:$E$3005,$B1835,Ventes_Encaissements!$J$6:$J$3005,$G1835,Ventes_Encaissements!$C$6:$C$3005,"&gt;="&amp;($C1835-3),Ventes_Encaissements!$C$6:$C$3005,"&lt;="&amp;($C1835+3)))</f>
        <v/>
      </c>
      <c r="I1835" s="12">
        <f>IF($H1835="","",IF($H1835=0,"Non trouvé",IF($H1835=1,"Match","À vérifier")))</f>
        <v/>
      </c>
      <c r="J1835" s="21">
        <f>IF($I1835&lt;&gt;"Match","",INDEX(Ventes_Encaissements!$B$6:$B$3005,_xludf.AGGREGATE(15,6,(ROW(Ventes_Encaissements!$B$6:$B$3005)-ROW(Ventes_Encaissements!$B$6)+1)/((Ventes_Encaissements!$E$6:$E$3005=$B1835)*(Ventes_Encaissements!$J$6:$J$3005=$G1835)*(Ventes_Encaissements!$C$6:$C$3005&gt;=$C1835-3)*(Ventes_Encaissements!$C$6:$C$3005&lt;=$C1835+3)),1)))</f>
        <v/>
      </c>
      <c r="K1835" s="6" t="n"/>
    </row>
    <row r="1836">
      <c r="A1836" s="6" t="n"/>
      <c r="B1836" s="6" t="n"/>
      <c r="C1836" s="19" t="n"/>
      <c r="D1836" s="19" t="n"/>
      <c r="E1836" s="6" t="n"/>
      <c r="F1836" s="20" t="n"/>
      <c r="G1836" s="9">
        <f>IF($F1836="","",IF($F1836&gt;0,ROUND($F1836,2),""))</f>
        <v/>
      </c>
      <c r="H1836" s="12">
        <f>IF(OR($B1836="",$C1836="",$G1836=""),"",COUNTIFS(Ventes_Encaissements!$E$6:$E$3005,$B1836,Ventes_Encaissements!$J$6:$J$3005,$G1836,Ventes_Encaissements!$C$6:$C$3005,"&gt;="&amp;($C1836-3),Ventes_Encaissements!$C$6:$C$3005,"&lt;="&amp;($C1836+3)))</f>
        <v/>
      </c>
      <c r="I1836" s="12">
        <f>IF($H1836="","",IF($H1836=0,"Non trouvé",IF($H1836=1,"Match","À vérifier")))</f>
        <v/>
      </c>
      <c r="J1836" s="21">
        <f>IF($I1836&lt;&gt;"Match","",INDEX(Ventes_Encaissements!$B$6:$B$3005,_xludf.AGGREGATE(15,6,(ROW(Ventes_Encaissements!$B$6:$B$3005)-ROW(Ventes_Encaissements!$B$6)+1)/((Ventes_Encaissements!$E$6:$E$3005=$B1836)*(Ventes_Encaissements!$J$6:$J$3005=$G1836)*(Ventes_Encaissements!$C$6:$C$3005&gt;=$C1836-3)*(Ventes_Encaissements!$C$6:$C$3005&lt;=$C1836+3)),1)))</f>
        <v/>
      </c>
      <c r="K1836" s="6" t="n"/>
    </row>
    <row r="1837">
      <c r="A1837" s="6" t="n"/>
      <c r="B1837" s="6" t="n"/>
      <c r="C1837" s="19" t="n"/>
      <c r="D1837" s="19" t="n"/>
      <c r="E1837" s="6" t="n"/>
      <c r="F1837" s="20" t="n"/>
      <c r="G1837" s="9">
        <f>IF($F1837="","",IF($F1837&gt;0,ROUND($F1837,2),""))</f>
        <v/>
      </c>
      <c r="H1837" s="12">
        <f>IF(OR($B1837="",$C1837="",$G1837=""),"",COUNTIFS(Ventes_Encaissements!$E$6:$E$3005,$B1837,Ventes_Encaissements!$J$6:$J$3005,$G1837,Ventes_Encaissements!$C$6:$C$3005,"&gt;="&amp;($C1837-3),Ventes_Encaissements!$C$6:$C$3005,"&lt;="&amp;($C1837+3)))</f>
        <v/>
      </c>
      <c r="I1837" s="12">
        <f>IF($H1837="","",IF($H1837=0,"Non trouvé",IF($H1837=1,"Match","À vérifier")))</f>
        <v/>
      </c>
      <c r="J1837" s="21">
        <f>IF($I1837&lt;&gt;"Match","",INDEX(Ventes_Encaissements!$B$6:$B$3005,_xludf.AGGREGATE(15,6,(ROW(Ventes_Encaissements!$B$6:$B$3005)-ROW(Ventes_Encaissements!$B$6)+1)/((Ventes_Encaissements!$E$6:$E$3005=$B1837)*(Ventes_Encaissements!$J$6:$J$3005=$G1837)*(Ventes_Encaissements!$C$6:$C$3005&gt;=$C1837-3)*(Ventes_Encaissements!$C$6:$C$3005&lt;=$C1837+3)),1)))</f>
        <v/>
      </c>
      <c r="K1837" s="6" t="n"/>
    </row>
    <row r="1838">
      <c r="A1838" s="6" t="n"/>
      <c r="B1838" s="6" t="n"/>
      <c r="C1838" s="19" t="n"/>
      <c r="D1838" s="19" t="n"/>
      <c r="E1838" s="6" t="n"/>
      <c r="F1838" s="20" t="n"/>
      <c r="G1838" s="9">
        <f>IF($F1838="","",IF($F1838&gt;0,ROUND($F1838,2),""))</f>
        <v/>
      </c>
      <c r="H1838" s="12">
        <f>IF(OR($B1838="",$C1838="",$G1838=""),"",COUNTIFS(Ventes_Encaissements!$E$6:$E$3005,$B1838,Ventes_Encaissements!$J$6:$J$3005,$G1838,Ventes_Encaissements!$C$6:$C$3005,"&gt;="&amp;($C1838-3),Ventes_Encaissements!$C$6:$C$3005,"&lt;="&amp;($C1838+3)))</f>
        <v/>
      </c>
      <c r="I1838" s="12">
        <f>IF($H1838="","",IF($H1838=0,"Non trouvé",IF($H1838=1,"Match","À vérifier")))</f>
        <v/>
      </c>
      <c r="J1838" s="21">
        <f>IF($I1838&lt;&gt;"Match","",INDEX(Ventes_Encaissements!$B$6:$B$3005,_xludf.AGGREGATE(15,6,(ROW(Ventes_Encaissements!$B$6:$B$3005)-ROW(Ventes_Encaissements!$B$6)+1)/((Ventes_Encaissements!$E$6:$E$3005=$B1838)*(Ventes_Encaissements!$J$6:$J$3005=$G1838)*(Ventes_Encaissements!$C$6:$C$3005&gt;=$C1838-3)*(Ventes_Encaissements!$C$6:$C$3005&lt;=$C1838+3)),1)))</f>
        <v/>
      </c>
      <c r="K1838" s="6" t="n"/>
    </row>
    <row r="1839">
      <c r="A1839" s="6" t="n"/>
      <c r="B1839" s="6" t="n"/>
      <c r="C1839" s="19" t="n"/>
      <c r="D1839" s="19" t="n"/>
      <c r="E1839" s="6" t="n"/>
      <c r="F1839" s="20" t="n"/>
      <c r="G1839" s="9">
        <f>IF($F1839="","",IF($F1839&gt;0,ROUND($F1839,2),""))</f>
        <v/>
      </c>
      <c r="H1839" s="12">
        <f>IF(OR($B1839="",$C1839="",$G1839=""),"",COUNTIFS(Ventes_Encaissements!$E$6:$E$3005,$B1839,Ventes_Encaissements!$J$6:$J$3005,$G1839,Ventes_Encaissements!$C$6:$C$3005,"&gt;="&amp;($C1839-3),Ventes_Encaissements!$C$6:$C$3005,"&lt;="&amp;($C1839+3)))</f>
        <v/>
      </c>
      <c r="I1839" s="12">
        <f>IF($H1839="","",IF($H1839=0,"Non trouvé",IF($H1839=1,"Match","À vérifier")))</f>
        <v/>
      </c>
      <c r="J1839" s="21">
        <f>IF($I1839&lt;&gt;"Match","",INDEX(Ventes_Encaissements!$B$6:$B$3005,_xludf.AGGREGATE(15,6,(ROW(Ventes_Encaissements!$B$6:$B$3005)-ROW(Ventes_Encaissements!$B$6)+1)/((Ventes_Encaissements!$E$6:$E$3005=$B1839)*(Ventes_Encaissements!$J$6:$J$3005=$G1839)*(Ventes_Encaissements!$C$6:$C$3005&gt;=$C1839-3)*(Ventes_Encaissements!$C$6:$C$3005&lt;=$C1839+3)),1)))</f>
        <v/>
      </c>
      <c r="K1839" s="6" t="n"/>
    </row>
    <row r="1840">
      <c r="A1840" s="6" t="n"/>
      <c r="B1840" s="6" t="n"/>
      <c r="C1840" s="19" t="n"/>
      <c r="D1840" s="19" t="n"/>
      <c r="E1840" s="6" t="n"/>
      <c r="F1840" s="20" t="n"/>
      <c r="G1840" s="9">
        <f>IF($F1840="","",IF($F1840&gt;0,ROUND($F1840,2),""))</f>
        <v/>
      </c>
      <c r="H1840" s="12">
        <f>IF(OR($B1840="",$C1840="",$G1840=""),"",COUNTIFS(Ventes_Encaissements!$E$6:$E$3005,$B1840,Ventes_Encaissements!$J$6:$J$3005,$G1840,Ventes_Encaissements!$C$6:$C$3005,"&gt;="&amp;($C1840-3),Ventes_Encaissements!$C$6:$C$3005,"&lt;="&amp;($C1840+3)))</f>
        <v/>
      </c>
      <c r="I1840" s="12">
        <f>IF($H1840="","",IF($H1840=0,"Non trouvé",IF($H1840=1,"Match","À vérifier")))</f>
        <v/>
      </c>
      <c r="J1840" s="21">
        <f>IF($I1840&lt;&gt;"Match","",INDEX(Ventes_Encaissements!$B$6:$B$3005,_xludf.AGGREGATE(15,6,(ROW(Ventes_Encaissements!$B$6:$B$3005)-ROW(Ventes_Encaissements!$B$6)+1)/((Ventes_Encaissements!$E$6:$E$3005=$B1840)*(Ventes_Encaissements!$J$6:$J$3005=$G1840)*(Ventes_Encaissements!$C$6:$C$3005&gt;=$C1840-3)*(Ventes_Encaissements!$C$6:$C$3005&lt;=$C1840+3)),1)))</f>
        <v/>
      </c>
      <c r="K1840" s="6" t="n"/>
    </row>
    <row r="1841">
      <c r="A1841" s="6" t="n"/>
      <c r="B1841" s="6" t="n"/>
      <c r="C1841" s="19" t="n"/>
      <c r="D1841" s="19" t="n"/>
      <c r="E1841" s="6" t="n"/>
      <c r="F1841" s="20" t="n"/>
      <c r="G1841" s="9">
        <f>IF($F1841="","",IF($F1841&gt;0,ROUND($F1841,2),""))</f>
        <v/>
      </c>
      <c r="H1841" s="12">
        <f>IF(OR($B1841="",$C1841="",$G1841=""),"",COUNTIFS(Ventes_Encaissements!$E$6:$E$3005,$B1841,Ventes_Encaissements!$J$6:$J$3005,$G1841,Ventes_Encaissements!$C$6:$C$3005,"&gt;="&amp;($C1841-3),Ventes_Encaissements!$C$6:$C$3005,"&lt;="&amp;($C1841+3)))</f>
        <v/>
      </c>
      <c r="I1841" s="12">
        <f>IF($H1841="","",IF($H1841=0,"Non trouvé",IF($H1841=1,"Match","À vérifier")))</f>
        <v/>
      </c>
      <c r="J1841" s="21">
        <f>IF($I1841&lt;&gt;"Match","",INDEX(Ventes_Encaissements!$B$6:$B$3005,_xludf.AGGREGATE(15,6,(ROW(Ventes_Encaissements!$B$6:$B$3005)-ROW(Ventes_Encaissements!$B$6)+1)/((Ventes_Encaissements!$E$6:$E$3005=$B1841)*(Ventes_Encaissements!$J$6:$J$3005=$G1841)*(Ventes_Encaissements!$C$6:$C$3005&gt;=$C1841-3)*(Ventes_Encaissements!$C$6:$C$3005&lt;=$C1841+3)),1)))</f>
        <v/>
      </c>
      <c r="K1841" s="6" t="n"/>
    </row>
    <row r="1842">
      <c r="A1842" s="6" t="n"/>
      <c r="B1842" s="6" t="n"/>
      <c r="C1842" s="19" t="n"/>
      <c r="D1842" s="19" t="n"/>
      <c r="E1842" s="6" t="n"/>
      <c r="F1842" s="20" t="n"/>
      <c r="G1842" s="9">
        <f>IF($F1842="","",IF($F1842&gt;0,ROUND($F1842,2),""))</f>
        <v/>
      </c>
      <c r="H1842" s="12">
        <f>IF(OR($B1842="",$C1842="",$G1842=""),"",COUNTIFS(Ventes_Encaissements!$E$6:$E$3005,$B1842,Ventes_Encaissements!$J$6:$J$3005,$G1842,Ventes_Encaissements!$C$6:$C$3005,"&gt;="&amp;($C1842-3),Ventes_Encaissements!$C$6:$C$3005,"&lt;="&amp;($C1842+3)))</f>
        <v/>
      </c>
      <c r="I1842" s="12">
        <f>IF($H1842="","",IF($H1842=0,"Non trouvé",IF($H1842=1,"Match","À vérifier")))</f>
        <v/>
      </c>
      <c r="J1842" s="21">
        <f>IF($I1842&lt;&gt;"Match","",INDEX(Ventes_Encaissements!$B$6:$B$3005,_xludf.AGGREGATE(15,6,(ROW(Ventes_Encaissements!$B$6:$B$3005)-ROW(Ventes_Encaissements!$B$6)+1)/((Ventes_Encaissements!$E$6:$E$3005=$B1842)*(Ventes_Encaissements!$J$6:$J$3005=$G1842)*(Ventes_Encaissements!$C$6:$C$3005&gt;=$C1842-3)*(Ventes_Encaissements!$C$6:$C$3005&lt;=$C1842+3)),1)))</f>
        <v/>
      </c>
      <c r="K1842" s="6" t="n"/>
    </row>
    <row r="1843">
      <c r="A1843" s="6" t="n"/>
      <c r="B1843" s="6" t="n"/>
      <c r="C1843" s="19" t="n"/>
      <c r="D1843" s="19" t="n"/>
      <c r="E1843" s="6" t="n"/>
      <c r="F1843" s="20" t="n"/>
      <c r="G1843" s="9">
        <f>IF($F1843="","",IF($F1843&gt;0,ROUND($F1843,2),""))</f>
        <v/>
      </c>
      <c r="H1843" s="12">
        <f>IF(OR($B1843="",$C1843="",$G1843=""),"",COUNTIFS(Ventes_Encaissements!$E$6:$E$3005,$B1843,Ventes_Encaissements!$J$6:$J$3005,$G1843,Ventes_Encaissements!$C$6:$C$3005,"&gt;="&amp;($C1843-3),Ventes_Encaissements!$C$6:$C$3005,"&lt;="&amp;($C1843+3)))</f>
        <v/>
      </c>
      <c r="I1843" s="12">
        <f>IF($H1843="","",IF($H1843=0,"Non trouvé",IF($H1843=1,"Match","À vérifier")))</f>
        <v/>
      </c>
      <c r="J1843" s="21">
        <f>IF($I1843&lt;&gt;"Match","",INDEX(Ventes_Encaissements!$B$6:$B$3005,_xludf.AGGREGATE(15,6,(ROW(Ventes_Encaissements!$B$6:$B$3005)-ROW(Ventes_Encaissements!$B$6)+1)/((Ventes_Encaissements!$E$6:$E$3005=$B1843)*(Ventes_Encaissements!$J$6:$J$3005=$G1843)*(Ventes_Encaissements!$C$6:$C$3005&gt;=$C1843-3)*(Ventes_Encaissements!$C$6:$C$3005&lt;=$C1843+3)),1)))</f>
        <v/>
      </c>
      <c r="K1843" s="6" t="n"/>
    </row>
    <row r="1844">
      <c r="A1844" s="6" t="n"/>
      <c r="B1844" s="6" t="n"/>
      <c r="C1844" s="19" t="n"/>
      <c r="D1844" s="19" t="n"/>
      <c r="E1844" s="6" t="n"/>
      <c r="F1844" s="20" t="n"/>
      <c r="G1844" s="9">
        <f>IF($F1844="","",IF($F1844&gt;0,ROUND($F1844,2),""))</f>
        <v/>
      </c>
      <c r="H1844" s="12">
        <f>IF(OR($B1844="",$C1844="",$G1844=""),"",COUNTIFS(Ventes_Encaissements!$E$6:$E$3005,$B1844,Ventes_Encaissements!$J$6:$J$3005,$G1844,Ventes_Encaissements!$C$6:$C$3005,"&gt;="&amp;($C1844-3),Ventes_Encaissements!$C$6:$C$3005,"&lt;="&amp;($C1844+3)))</f>
        <v/>
      </c>
      <c r="I1844" s="12">
        <f>IF($H1844="","",IF($H1844=0,"Non trouvé",IF($H1844=1,"Match","À vérifier")))</f>
        <v/>
      </c>
      <c r="J1844" s="21">
        <f>IF($I1844&lt;&gt;"Match","",INDEX(Ventes_Encaissements!$B$6:$B$3005,_xludf.AGGREGATE(15,6,(ROW(Ventes_Encaissements!$B$6:$B$3005)-ROW(Ventes_Encaissements!$B$6)+1)/((Ventes_Encaissements!$E$6:$E$3005=$B1844)*(Ventes_Encaissements!$J$6:$J$3005=$G1844)*(Ventes_Encaissements!$C$6:$C$3005&gt;=$C1844-3)*(Ventes_Encaissements!$C$6:$C$3005&lt;=$C1844+3)),1)))</f>
        <v/>
      </c>
      <c r="K1844" s="6" t="n"/>
    </row>
    <row r="1845">
      <c r="A1845" s="6" t="n"/>
      <c r="B1845" s="6" t="n"/>
      <c r="C1845" s="19" t="n"/>
      <c r="D1845" s="19" t="n"/>
      <c r="E1845" s="6" t="n"/>
      <c r="F1845" s="20" t="n"/>
      <c r="G1845" s="9">
        <f>IF($F1845="","",IF($F1845&gt;0,ROUND($F1845,2),""))</f>
        <v/>
      </c>
      <c r="H1845" s="12">
        <f>IF(OR($B1845="",$C1845="",$G1845=""),"",COUNTIFS(Ventes_Encaissements!$E$6:$E$3005,$B1845,Ventes_Encaissements!$J$6:$J$3005,$G1845,Ventes_Encaissements!$C$6:$C$3005,"&gt;="&amp;($C1845-3),Ventes_Encaissements!$C$6:$C$3005,"&lt;="&amp;($C1845+3)))</f>
        <v/>
      </c>
      <c r="I1845" s="12">
        <f>IF($H1845="","",IF($H1845=0,"Non trouvé",IF($H1845=1,"Match","À vérifier")))</f>
        <v/>
      </c>
      <c r="J1845" s="21">
        <f>IF($I1845&lt;&gt;"Match","",INDEX(Ventes_Encaissements!$B$6:$B$3005,_xludf.AGGREGATE(15,6,(ROW(Ventes_Encaissements!$B$6:$B$3005)-ROW(Ventes_Encaissements!$B$6)+1)/((Ventes_Encaissements!$E$6:$E$3005=$B1845)*(Ventes_Encaissements!$J$6:$J$3005=$G1845)*(Ventes_Encaissements!$C$6:$C$3005&gt;=$C1845-3)*(Ventes_Encaissements!$C$6:$C$3005&lt;=$C1845+3)),1)))</f>
        <v/>
      </c>
      <c r="K1845" s="6" t="n"/>
    </row>
    <row r="1846">
      <c r="A1846" s="6" t="n"/>
      <c r="B1846" s="6" t="n"/>
      <c r="C1846" s="19" t="n"/>
      <c r="D1846" s="19" t="n"/>
      <c r="E1846" s="6" t="n"/>
      <c r="F1846" s="20" t="n"/>
      <c r="G1846" s="9">
        <f>IF($F1846="","",IF($F1846&gt;0,ROUND($F1846,2),""))</f>
        <v/>
      </c>
      <c r="H1846" s="12">
        <f>IF(OR($B1846="",$C1846="",$G1846=""),"",COUNTIFS(Ventes_Encaissements!$E$6:$E$3005,$B1846,Ventes_Encaissements!$J$6:$J$3005,$G1846,Ventes_Encaissements!$C$6:$C$3005,"&gt;="&amp;($C1846-3),Ventes_Encaissements!$C$6:$C$3005,"&lt;="&amp;($C1846+3)))</f>
        <v/>
      </c>
      <c r="I1846" s="12">
        <f>IF($H1846="","",IF($H1846=0,"Non trouvé",IF($H1846=1,"Match","À vérifier")))</f>
        <v/>
      </c>
      <c r="J1846" s="21">
        <f>IF($I1846&lt;&gt;"Match","",INDEX(Ventes_Encaissements!$B$6:$B$3005,_xludf.AGGREGATE(15,6,(ROW(Ventes_Encaissements!$B$6:$B$3005)-ROW(Ventes_Encaissements!$B$6)+1)/((Ventes_Encaissements!$E$6:$E$3005=$B1846)*(Ventes_Encaissements!$J$6:$J$3005=$G1846)*(Ventes_Encaissements!$C$6:$C$3005&gt;=$C1846-3)*(Ventes_Encaissements!$C$6:$C$3005&lt;=$C1846+3)),1)))</f>
        <v/>
      </c>
      <c r="K1846" s="6" t="n"/>
    </row>
    <row r="1847">
      <c r="A1847" s="6" t="n"/>
      <c r="B1847" s="6" t="n"/>
      <c r="C1847" s="19" t="n"/>
      <c r="D1847" s="19" t="n"/>
      <c r="E1847" s="6" t="n"/>
      <c r="F1847" s="20" t="n"/>
      <c r="G1847" s="9">
        <f>IF($F1847="","",IF($F1847&gt;0,ROUND($F1847,2),""))</f>
        <v/>
      </c>
      <c r="H1847" s="12">
        <f>IF(OR($B1847="",$C1847="",$G1847=""),"",COUNTIFS(Ventes_Encaissements!$E$6:$E$3005,$B1847,Ventes_Encaissements!$J$6:$J$3005,$G1847,Ventes_Encaissements!$C$6:$C$3005,"&gt;="&amp;($C1847-3),Ventes_Encaissements!$C$6:$C$3005,"&lt;="&amp;($C1847+3)))</f>
        <v/>
      </c>
      <c r="I1847" s="12">
        <f>IF($H1847="","",IF($H1847=0,"Non trouvé",IF($H1847=1,"Match","À vérifier")))</f>
        <v/>
      </c>
      <c r="J1847" s="21">
        <f>IF($I1847&lt;&gt;"Match","",INDEX(Ventes_Encaissements!$B$6:$B$3005,_xludf.AGGREGATE(15,6,(ROW(Ventes_Encaissements!$B$6:$B$3005)-ROW(Ventes_Encaissements!$B$6)+1)/((Ventes_Encaissements!$E$6:$E$3005=$B1847)*(Ventes_Encaissements!$J$6:$J$3005=$G1847)*(Ventes_Encaissements!$C$6:$C$3005&gt;=$C1847-3)*(Ventes_Encaissements!$C$6:$C$3005&lt;=$C1847+3)),1)))</f>
        <v/>
      </c>
      <c r="K1847" s="6" t="n"/>
    </row>
    <row r="1848">
      <c r="A1848" s="6" t="n"/>
      <c r="B1848" s="6" t="n"/>
      <c r="C1848" s="19" t="n"/>
      <c r="D1848" s="19" t="n"/>
      <c r="E1848" s="6" t="n"/>
      <c r="F1848" s="20" t="n"/>
      <c r="G1848" s="9">
        <f>IF($F1848="","",IF($F1848&gt;0,ROUND($F1848,2),""))</f>
        <v/>
      </c>
      <c r="H1848" s="12">
        <f>IF(OR($B1848="",$C1848="",$G1848=""),"",COUNTIFS(Ventes_Encaissements!$E$6:$E$3005,$B1848,Ventes_Encaissements!$J$6:$J$3005,$G1848,Ventes_Encaissements!$C$6:$C$3005,"&gt;="&amp;($C1848-3),Ventes_Encaissements!$C$6:$C$3005,"&lt;="&amp;($C1848+3)))</f>
        <v/>
      </c>
      <c r="I1848" s="12">
        <f>IF($H1848="","",IF($H1848=0,"Non trouvé",IF($H1848=1,"Match","À vérifier")))</f>
        <v/>
      </c>
      <c r="J1848" s="21">
        <f>IF($I1848&lt;&gt;"Match","",INDEX(Ventes_Encaissements!$B$6:$B$3005,_xludf.AGGREGATE(15,6,(ROW(Ventes_Encaissements!$B$6:$B$3005)-ROW(Ventes_Encaissements!$B$6)+1)/((Ventes_Encaissements!$E$6:$E$3005=$B1848)*(Ventes_Encaissements!$J$6:$J$3005=$G1848)*(Ventes_Encaissements!$C$6:$C$3005&gt;=$C1848-3)*(Ventes_Encaissements!$C$6:$C$3005&lt;=$C1848+3)),1)))</f>
        <v/>
      </c>
      <c r="K1848" s="6" t="n"/>
    </row>
    <row r="1849">
      <c r="A1849" s="6" t="n"/>
      <c r="B1849" s="6" t="n"/>
      <c r="C1849" s="19" t="n"/>
      <c r="D1849" s="19" t="n"/>
      <c r="E1849" s="6" t="n"/>
      <c r="F1849" s="20" t="n"/>
      <c r="G1849" s="9">
        <f>IF($F1849="","",IF($F1849&gt;0,ROUND($F1849,2),""))</f>
        <v/>
      </c>
      <c r="H1849" s="12">
        <f>IF(OR($B1849="",$C1849="",$G1849=""),"",COUNTIFS(Ventes_Encaissements!$E$6:$E$3005,$B1849,Ventes_Encaissements!$J$6:$J$3005,$G1849,Ventes_Encaissements!$C$6:$C$3005,"&gt;="&amp;($C1849-3),Ventes_Encaissements!$C$6:$C$3005,"&lt;="&amp;($C1849+3)))</f>
        <v/>
      </c>
      <c r="I1849" s="12">
        <f>IF($H1849="","",IF($H1849=0,"Non trouvé",IF($H1849=1,"Match","À vérifier")))</f>
        <v/>
      </c>
      <c r="J1849" s="21">
        <f>IF($I1849&lt;&gt;"Match","",INDEX(Ventes_Encaissements!$B$6:$B$3005,_xludf.AGGREGATE(15,6,(ROW(Ventes_Encaissements!$B$6:$B$3005)-ROW(Ventes_Encaissements!$B$6)+1)/((Ventes_Encaissements!$E$6:$E$3005=$B1849)*(Ventes_Encaissements!$J$6:$J$3005=$G1849)*(Ventes_Encaissements!$C$6:$C$3005&gt;=$C1849-3)*(Ventes_Encaissements!$C$6:$C$3005&lt;=$C1849+3)),1)))</f>
        <v/>
      </c>
      <c r="K1849" s="6" t="n"/>
    </row>
    <row r="1850">
      <c r="A1850" s="6" t="n"/>
      <c r="B1850" s="6" t="n"/>
      <c r="C1850" s="19" t="n"/>
      <c r="D1850" s="19" t="n"/>
      <c r="E1850" s="6" t="n"/>
      <c r="F1850" s="20" t="n"/>
      <c r="G1850" s="9">
        <f>IF($F1850="","",IF($F1850&gt;0,ROUND($F1850,2),""))</f>
        <v/>
      </c>
      <c r="H1850" s="12">
        <f>IF(OR($B1850="",$C1850="",$G1850=""),"",COUNTIFS(Ventes_Encaissements!$E$6:$E$3005,$B1850,Ventes_Encaissements!$J$6:$J$3005,$G1850,Ventes_Encaissements!$C$6:$C$3005,"&gt;="&amp;($C1850-3),Ventes_Encaissements!$C$6:$C$3005,"&lt;="&amp;($C1850+3)))</f>
        <v/>
      </c>
      <c r="I1850" s="12">
        <f>IF($H1850="","",IF($H1850=0,"Non trouvé",IF($H1850=1,"Match","À vérifier")))</f>
        <v/>
      </c>
      <c r="J1850" s="21">
        <f>IF($I1850&lt;&gt;"Match","",INDEX(Ventes_Encaissements!$B$6:$B$3005,_xludf.AGGREGATE(15,6,(ROW(Ventes_Encaissements!$B$6:$B$3005)-ROW(Ventes_Encaissements!$B$6)+1)/((Ventes_Encaissements!$E$6:$E$3005=$B1850)*(Ventes_Encaissements!$J$6:$J$3005=$G1850)*(Ventes_Encaissements!$C$6:$C$3005&gt;=$C1850-3)*(Ventes_Encaissements!$C$6:$C$3005&lt;=$C1850+3)),1)))</f>
        <v/>
      </c>
      <c r="K1850" s="6" t="n"/>
    </row>
    <row r="1851">
      <c r="A1851" s="6" t="n"/>
      <c r="B1851" s="6" t="n"/>
      <c r="C1851" s="19" t="n"/>
      <c r="D1851" s="19" t="n"/>
      <c r="E1851" s="6" t="n"/>
      <c r="F1851" s="20" t="n"/>
      <c r="G1851" s="9">
        <f>IF($F1851="","",IF($F1851&gt;0,ROUND($F1851,2),""))</f>
        <v/>
      </c>
      <c r="H1851" s="12">
        <f>IF(OR($B1851="",$C1851="",$G1851=""),"",COUNTIFS(Ventes_Encaissements!$E$6:$E$3005,$B1851,Ventes_Encaissements!$J$6:$J$3005,$G1851,Ventes_Encaissements!$C$6:$C$3005,"&gt;="&amp;($C1851-3),Ventes_Encaissements!$C$6:$C$3005,"&lt;="&amp;($C1851+3)))</f>
        <v/>
      </c>
      <c r="I1851" s="12">
        <f>IF($H1851="","",IF($H1851=0,"Non trouvé",IF($H1851=1,"Match","À vérifier")))</f>
        <v/>
      </c>
      <c r="J1851" s="21">
        <f>IF($I1851&lt;&gt;"Match","",INDEX(Ventes_Encaissements!$B$6:$B$3005,_xludf.AGGREGATE(15,6,(ROW(Ventes_Encaissements!$B$6:$B$3005)-ROW(Ventes_Encaissements!$B$6)+1)/((Ventes_Encaissements!$E$6:$E$3005=$B1851)*(Ventes_Encaissements!$J$6:$J$3005=$G1851)*(Ventes_Encaissements!$C$6:$C$3005&gt;=$C1851-3)*(Ventes_Encaissements!$C$6:$C$3005&lt;=$C1851+3)),1)))</f>
        <v/>
      </c>
      <c r="K1851" s="6" t="n"/>
    </row>
    <row r="1852">
      <c r="A1852" s="6" t="n"/>
      <c r="B1852" s="6" t="n"/>
      <c r="C1852" s="19" t="n"/>
      <c r="D1852" s="19" t="n"/>
      <c r="E1852" s="6" t="n"/>
      <c r="F1852" s="20" t="n"/>
      <c r="G1852" s="9">
        <f>IF($F1852="","",IF($F1852&gt;0,ROUND($F1852,2),""))</f>
        <v/>
      </c>
      <c r="H1852" s="12">
        <f>IF(OR($B1852="",$C1852="",$G1852=""),"",COUNTIFS(Ventes_Encaissements!$E$6:$E$3005,$B1852,Ventes_Encaissements!$J$6:$J$3005,$G1852,Ventes_Encaissements!$C$6:$C$3005,"&gt;="&amp;($C1852-3),Ventes_Encaissements!$C$6:$C$3005,"&lt;="&amp;($C1852+3)))</f>
        <v/>
      </c>
      <c r="I1852" s="12">
        <f>IF($H1852="","",IF($H1852=0,"Non trouvé",IF($H1852=1,"Match","À vérifier")))</f>
        <v/>
      </c>
      <c r="J1852" s="21">
        <f>IF($I1852&lt;&gt;"Match","",INDEX(Ventes_Encaissements!$B$6:$B$3005,_xludf.AGGREGATE(15,6,(ROW(Ventes_Encaissements!$B$6:$B$3005)-ROW(Ventes_Encaissements!$B$6)+1)/((Ventes_Encaissements!$E$6:$E$3005=$B1852)*(Ventes_Encaissements!$J$6:$J$3005=$G1852)*(Ventes_Encaissements!$C$6:$C$3005&gt;=$C1852-3)*(Ventes_Encaissements!$C$6:$C$3005&lt;=$C1852+3)),1)))</f>
        <v/>
      </c>
      <c r="K1852" s="6" t="n"/>
    </row>
    <row r="1853">
      <c r="A1853" s="6" t="n"/>
      <c r="B1853" s="6" t="n"/>
      <c r="C1853" s="19" t="n"/>
      <c r="D1853" s="19" t="n"/>
      <c r="E1853" s="6" t="n"/>
      <c r="F1853" s="20" t="n"/>
      <c r="G1853" s="9">
        <f>IF($F1853="","",IF($F1853&gt;0,ROUND($F1853,2),""))</f>
        <v/>
      </c>
      <c r="H1853" s="12">
        <f>IF(OR($B1853="",$C1853="",$G1853=""),"",COUNTIFS(Ventes_Encaissements!$E$6:$E$3005,$B1853,Ventes_Encaissements!$J$6:$J$3005,$G1853,Ventes_Encaissements!$C$6:$C$3005,"&gt;="&amp;($C1853-3),Ventes_Encaissements!$C$6:$C$3005,"&lt;="&amp;($C1853+3)))</f>
        <v/>
      </c>
      <c r="I1853" s="12">
        <f>IF($H1853="","",IF($H1853=0,"Non trouvé",IF($H1853=1,"Match","À vérifier")))</f>
        <v/>
      </c>
      <c r="J1853" s="21">
        <f>IF($I1853&lt;&gt;"Match","",INDEX(Ventes_Encaissements!$B$6:$B$3005,_xludf.AGGREGATE(15,6,(ROW(Ventes_Encaissements!$B$6:$B$3005)-ROW(Ventes_Encaissements!$B$6)+1)/((Ventes_Encaissements!$E$6:$E$3005=$B1853)*(Ventes_Encaissements!$J$6:$J$3005=$G1853)*(Ventes_Encaissements!$C$6:$C$3005&gt;=$C1853-3)*(Ventes_Encaissements!$C$6:$C$3005&lt;=$C1853+3)),1)))</f>
        <v/>
      </c>
      <c r="K1853" s="6" t="n"/>
    </row>
    <row r="1854">
      <c r="A1854" s="6" t="n"/>
      <c r="B1854" s="6" t="n"/>
      <c r="C1854" s="19" t="n"/>
      <c r="D1854" s="19" t="n"/>
      <c r="E1854" s="6" t="n"/>
      <c r="F1854" s="20" t="n"/>
      <c r="G1854" s="9">
        <f>IF($F1854="","",IF($F1854&gt;0,ROUND($F1854,2),""))</f>
        <v/>
      </c>
      <c r="H1854" s="12">
        <f>IF(OR($B1854="",$C1854="",$G1854=""),"",COUNTIFS(Ventes_Encaissements!$E$6:$E$3005,$B1854,Ventes_Encaissements!$J$6:$J$3005,$G1854,Ventes_Encaissements!$C$6:$C$3005,"&gt;="&amp;($C1854-3),Ventes_Encaissements!$C$6:$C$3005,"&lt;="&amp;($C1854+3)))</f>
        <v/>
      </c>
      <c r="I1854" s="12">
        <f>IF($H1854="","",IF($H1854=0,"Non trouvé",IF($H1854=1,"Match","À vérifier")))</f>
        <v/>
      </c>
      <c r="J1854" s="21">
        <f>IF($I1854&lt;&gt;"Match","",INDEX(Ventes_Encaissements!$B$6:$B$3005,_xludf.AGGREGATE(15,6,(ROW(Ventes_Encaissements!$B$6:$B$3005)-ROW(Ventes_Encaissements!$B$6)+1)/((Ventes_Encaissements!$E$6:$E$3005=$B1854)*(Ventes_Encaissements!$J$6:$J$3005=$G1854)*(Ventes_Encaissements!$C$6:$C$3005&gt;=$C1854-3)*(Ventes_Encaissements!$C$6:$C$3005&lt;=$C1854+3)),1)))</f>
        <v/>
      </c>
      <c r="K1854" s="6" t="n"/>
    </row>
    <row r="1855">
      <c r="A1855" s="6" t="n"/>
      <c r="B1855" s="6" t="n"/>
      <c r="C1855" s="19" t="n"/>
      <c r="D1855" s="19" t="n"/>
      <c r="E1855" s="6" t="n"/>
      <c r="F1855" s="20" t="n"/>
      <c r="G1855" s="9">
        <f>IF($F1855="","",IF($F1855&gt;0,ROUND($F1855,2),""))</f>
        <v/>
      </c>
      <c r="H1855" s="12">
        <f>IF(OR($B1855="",$C1855="",$G1855=""),"",COUNTIFS(Ventes_Encaissements!$E$6:$E$3005,$B1855,Ventes_Encaissements!$J$6:$J$3005,$G1855,Ventes_Encaissements!$C$6:$C$3005,"&gt;="&amp;($C1855-3),Ventes_Encaissements!$C$6:$C$3005,"&lt;="&amp;($C1855+3)))</f>
        <v/>
      </c>
      <c r="I1855" s="12">
        <f>IF($H1855="","",IF($H1855=0,"Non trouvé",IF($H1855=1,"Match","À vérifier")))</f>
        <v/>
      </c>
      <c r="J1855" s="21">
        <f>IF($I1855&lt;&gt;"Match","",INDEX(Ventes_Encaissements!$B$6:$B$3005,_xludf.AGGREGATE(15,6,(ROW(Ventes_Encaissements!$B$6:$B$3005)-ROW(Ventes_Encaissements!$B$6)+1)/((Ventes_Encaissements!$E$6:$E$3005=$B1855)*(Ventes_Encaissements!$J$6:$J$3005=$G1855)*(Ventes_Encaissements!$C$6:$C$3005&gt;=$C1855-3)*(Ventes_Encaissements!$C$6:$C$3005&lt;=$C1855+3)),1)))</f>
        <v/>
      </c>
      <c r="K1855" s="6" t="n"/>
    </row>
    <row r="1856">
      <c r="A1856" s="6" t="n"/>
      <c r="B1856" s="6" t="n"/>
      <c r="C1856" s="19" t="n"/>
      <c r="D1856" s="19" t="n"/>
      <c r="E1856" s="6" t="n"/>
      <c r="F1856" s="20" t="n"/>
      <c r="G1856" s="9">
        <f>IF($F1856="","",IF($F1856&gt;0,ROUND($F1856,2),""))</f>
        <v/>
      </c>
      <c r="H1856" s="12">
        <f>IF(OR($B1856="",$C1856="",$G1856=""),"",COUNTIFS(Ventes_Encaissements!$E$6:$E$3005,$B1856,Ventes_Encaissements!$J$6:$J$3005,$G1856,Ventes_Encaissements!$C$6:$C$3005,"&gt;="&amp;($C1856-3),Ventes_Encaissements!$C$6:$C$3005,"&lt;="&amp;($C1856+3)))</f>
        <v/>
      </c>
      <c r="I1856" s="12">
        <f>IF($H1856="","",IF($H1856=0,"Non trouvé",IF($H1856=1,"Match","À vérifier")))</f>
        <v/>
      </c>
      <c r="J1856" s="21">
        <f>IF($I1856&lt;&gt;"Match","",INDEX(Ventes_Encaissements!$B$6:$B$3005,_xludf.AGGREGATE(15,6,(ROW(Ventes_Encaissements!$B$6:$B$3005)-ROW(Ventes_Encaissements!$B$6)+1)/((Ventes_Encaissements!$E$6:$E$3005=$B1856)*(Ventes_Encaissements!$J$6:$J$3005=$G1856)*(Ventes_Encaissements!$C$6:$C$3005&gt;=$C1856-3)*(Ventes_Encaissements!$C$6:$C$3005&lt;=$C1856+3)),1)))</f>
        <v/>
      </c>
      <c r="K1856" s="6" t="n"/>
    </row>
    <row r="1857">
      <c r="A1857" s="6" t="n"/>
      <c r="B1857" s="6" t="n"/>
      <c r="C1857" s="19" t="n"/>
      <c r="D1857" s="19" t="n"/>
      <c r="E1857" s="6" t="n"/>
      <c r="F1857" s="20" t="n"/>
      <c r="G1857" s="9">
        <f>IF($F1857="","",IF($F1857&gt;0,ROUND($F1857,2),""))</f>
        <v/>
      </c>
      <c r="H1857" s="12">
        <f>IF(OR($B1857="",$C1857="",$G1857=""),"",COUNTIFS(Ventes_Encaissements!$E$6:$E$3005,$B1857,Ventes_Encaissements!$J$6:$J$3005,$G1857,Ventes_Encaissements!$C$6:$C$3005,"&gt;="&amp;($C1857-3),Ventes_Encaissements!$C$6:$C$3005,"&lt;="&amp;($C1857+3)))</f>
        <v/>
      </c>
      <c r="I1857" s="12">
        <f>IF($H1857="","",IF($H1857=0,"Non trouvé",IF($H1857=1,"Match","À vérifier")))</f>
        <v/>
      </c>
      <c r="J1857" s="21">
        <f>IF($I1857&lt;&gt;"Match","",INDEX(Ventes_Encaissements!$B$6:$B$3005,_xludf.AGGREGATE(15,6,(ROW(Ventes_Encaissements!$B$6:$B$3005)-ROW(Ventes_Encaissements!$B$6)+1)/((Ventes_Encaissements!$E$6:$E$3005=$B1857)*(Ventes_Encaissements!$J$6:$J$3005=$G1857)*(Ventes_Encaissements!$C$6:$C$3005&gt;=$C1857-3)*(Ventes_Encaissements!$C$6:$C$3005&lt;=$C1857+3)),1)))</f>
        <v/>
      </c>
      <c r="K1857" s="6" t="n"/>
    </row>
    <row r="1858">
      <c r="A1858" s="6" t="n"/>
      <c r="B1858" s="6" t="n"/>
      <c r="C1858" s="19" t="n"/>
      <c r="D1858" s="19" t="n"/>
      <c r="E1858" s="6" t="n"/>
      <c r="F1858" s="20" t="n"/>
      <c r="G1858" s="9">
        <f>IF($F1858="","",IF($F1858&gt;0,ROUND($F1858,2),""))</f>
        <v/>
      </c>
      <c r="H1858" s="12">
        <f>IF(OR($B1858="",$C1858="",$G1858=""),"",COUNTIFS(Ventes_Encaissements!$E$6:$E$3005,$B1858,Ventes_Encaissements!$J$6:$J$3005,$G1858,Ventes_Encaissements!$C$6:$C$3005,"&gt;="&amp;($C1858-3),Ventes_Encaissements!$C$6:$C$3005,"&lt;="&amp;($C1858+3)))</f>
        <v/>
      </c>
      <c r="I1858" s="12">
        <f>IF($H1858="","",IF($H1858=0,"Non trouvé",IF($H1858=1,"Match","À vérifier")))</f>
        <v/>
      </c>
      <c r="J1858" s="21">
        <f>IF($I1858&lt;&gt;"Match","",INDEX(Ventes_Encaissements!$B$6:$B$3005,_xludf.AGGREGATE(15,6,(ROW(Ventes_Encaissements!$B$6:$B$3005)-ROW(Ventes_Encaissements!$B$6)+1)/((Ventes_Encaissements!$E$6:$E$3005=$B1858)*(Ventes_Encaissements!$J$6:$J$3005=$G1858)*(Ventes_Encaissements!$C$6:$C$3005&gt;=$C1858-3)*(Ventes_Encaissements!$C$6:$C$3005&lt;=$C1858+3)),1)))</f>
        <v/>
      </c>
      <c r="K1858" s="6" t="n"/>
    </row>
    <row r="1859">
      <c r="A1859" s="6" t="n"/>
      <c r="B1859" s="6" t="n"/>
      <c r="C1859" s="19" t="n"/>
      <c r="D1859" s="19" t="n"/>
      <c r="E1859" s="6" t="n"/>
      <c r="F1859" s="20" t="n"/>
      <c r="G1859" s="9">
        <f>IF($F1859="","",IF($F1859&gt;0,ROUND($F1859,2),""))</f>
        <v/>
      </c>
      <c r="H1859" s="12">
        <f>IF(OR($B1859="",$C1859="",$G1859=""),"",COUNTIFS(Ventes_Encaissements!$E$6:$E$3005,$B1859,Ventes_Encaissements!$J$6:$J$3005,$G1859,Ventes_Encaissements!$C$6:$C$3005,"&gt;="&amp;($C1859-3),Ventes_Encaissements!$C$6:$C$3005,"&lt;="&amp;($C1859+3)))</f>
        <v/>
      </c>
      <c r="I1859" s="12">
        <f>IF($H1859="","",IF($H1859=0,"Non trouvé",IF($H1859=1,"Match","À vérifier")))</f>
        <v/>
      </c>
      <c r="J1859" s="21">
        <f>IF($I1859&lt;&gt;"Match","",INDEX(Ventes_Encaissements!$B$6:$B$3005,_xludf.AGGREGATE(15,6,(ROW(Ventes_Encaissements!$B$6:$B$3005)-ROW(Ventes_Encaissements!$B$6)+1)/((Ventes_Encaissements!$E$6:$E$3005=$B1859)*(Ventes_Encaissements!$J$6:$J$3005=$G1859)*(Ventes_Encaissements!$C$6:$C$3005&gt;=$C1859-3)*(Ventes_Encaissements!$C$6:$C$3005&lt;=$C1859+3)),1)))</f>
        <v/>
      </c>
      <c r="K1859" s="6" t="n"/>
    </row>
    <row r="1860">
      <c r="A1860" s="6" t="n"/>
      <c r="B1860" s="6" t="n"/>
      <c r="C1860" s="19" t="n"/>
      <c r="D1860" s="19" t="n"/>
      <c r="E1860" s="6" t="n"/>
      <c r="F1860" s="20" t="n"/>
      <c r="G1860" s="9">
        <f>IF($F1860="","",IF($F1860&gt;0,ROUND($F1860,2),""))</f>
        <v/>
      </c>
      <c r="H1860" s="12">
        <f>IF(OR($B1860="",$C1860="",$G1860=""),"",COUNTIFS(Ventes_Encaissements!$E$6:$E$3005,$B1860,Ventes_Encaissements!$J$6:$J$3005,$G1860,Ventes_Encaissements!$C$6:$C$3005,"&gt;="&amp;($C1860-3),Ventes_Encaissements!$C$6:$C$3005,"&lt;="&amp;($C1860+3)))</f>
        <v/>
      </c>
      <c r="I1860" s="12">
        <f>IF($H1860="","",IF($H1860=0,"Non trouvé",IF($H1860=1,"Match","À vérifier")))</f>
        <v/>
      </c>
      <c r="J1860" s="21">
        <f>IF($I1860&lt;&gt;"Match","",INDEX(Ventes_Encaissements!$B$6:$B$3005,_xludf.AGGREGATE(15,6,(ROW(Ventes_Encaissements!$B$6:$B$3005)-ROW(Ventes_Encaissements!$B$6)+1)/((Ventes_Encaissements!$E$6:$E$3005=$B1860)*(Ventes_Encaissements!$J$6:$J$3005=$G1860)*(Ventes_Encaissements!$C$6:$C$3005&gt;=$C1860-3)*(Ventes_Encaissements!$C$6:$C$3005&lt;=$C1860+3)),1)))</f>
        <v/>
      </c>
      <c r="K1860" s="6" t="n"/>
    </row>
    <row r="1861">
      <c r="A1861" s="6" t="n"/>
      <c r="B1861" s="6" t="n"/>
      <c r="C1861" s="19" t="n"/>
      <c r="D1861" s="19" t="n"/>
      <c r="E1861" s="6" t="n"/>
      <c r="F1861" s="20" t="n"/>
      <c r="G1861" s="9">
        <f>IF($F1861="","",IF($F1861&gt;0,ROUND($F1861,2),""))</f>
        <v/>
      </c>
      <c r="H1861" s="12">
        <f>IF(OR($B1861="",$C1861="",$G1861=""),"",COUNTIFS(Ventes_Encaissements!$E$6:$E$3005,$B1861,Ventes_Encaissements!$J$6:$J$3005,$G1861,Ventes_Encaissements!$C$6:$C$3005,"&gt;="&amp;($C1861-3),Ventes_Encaissements!$C$6:$C$3005,"&lt;="&amp;($C1861+3)))</f>
        <v/>
      </c>
      <c r="I1861" s="12">
        <f>IF($H1861="","",IF($H1861=0,"Non trouvé",IF($H1861=1,"Match","À vérifier")))</f>
        <v/>
      </c>
      <c r="J1861" s="21">
        <f>IF($I1861&lt;&gt;"Match","",INDEX(Ventes_Encaissements!$B$6:$B$3005,_xludf.AGGREGATE(15,6,(ROW(Ventes_Encaissements!$B$6:$B$3005)-ROW(Ventes_Encaissements!$B$6)+1)/((Ventes_Encaissements!$E$6:$E$3005=$B1861)*(Ventes_Encaissements!$J$6:$J$3005=$G1861)*(Ventes_Encaissements!$C$6:$C$3005&gt;=$C1861-3)*(Ventes_Encaissements!$C$6:$C$3005&lt;=$C1861+3)),1)))</f>
        <v/>
      </c>
      <c r="K1861" s="6" t="n"/>
    </row>
    <row r="1862">
      <c r="A1862" s="6" t="n"/>
      <c r="B1862" s="6" t="n"/>
      <c r="C1862" s="19" t="n"/>
      <c r="D1862" s="19" t="n"/>
      <c r="E1862" s="6" t="n"/>
      <c r="F1862" s="20" t="n"/>
      <c r="G1862" s="9">
        <f>IF($F1862="","",IF($F1862&gt;0,ROUND($F1862,2),""))</f>
        <v/>
      </c>
      <c r="H1862" s="12">
        <f>IF(OR($B1862="",$C1862="",$G1862=""),"",COUNTIFS(Ventes_Encaissements!$E$6:$E$3005,$B1862,Ventes_Encaissements!$J$6:$J$3005,$G1862,Ventes_Encaissements!$C$6:$C$3005,"&gt;="&amp;($C1862-3),Ventes_Encaissements!$C$6:$C$3005,"&lt;="&amp;($C1862+3)))</f>
        <v/>
      </c>
      <c r="I1862" s="12">
        <f>IF($H1862="","",IF($H1862=0,"Non trouvé",IF($H1862=1,"Match","À vérifier")))</f>
        <v/>
      </c>
      <c r="J1862" s="21">
        <f>IF($I1862&lt;&gt;"Match","",INDEX(Ventes_Encaissements!$B$6:$B$3005,_xludf.AGGREGATE(15,6,(ROW(Ventes_Encaissements!$B$6:$B$3005)-ROW(Ventes_Encaissements!$B$6)+1)/((Ventes_Encaissements!$E$6:$E$3005=$B1862)*(Ventes_Encaissements!$J$6:$J$3005=$G1862)*(Ventes_Encaissements!$C$6:$C$3005&gt;=$C1862-3)*(Ventes_Encaissements!$C$6:$C$3005&lt;=$C1862+3)),1)))</f>
        <v/>
      </c>
      <c r="K1862" s="6" t="n"/>
    </row>
    <row r="1863">
      <c r="A1863" s="6" t="n"/>
      <c r="B1863" s="6" t="n"/>
      <c r="C1863" s="19" t="n"/>
      <c r="D1863" s="19" t="n"/>
      <c r="E1863" s="6" t="n"/>
      <c r="F1863" s="20" t="n"/>
      <c r="G1863" s="9">
        <f>IF($F1863="","",IF($F1863&gt;0,ROUND($F1863,2),""))</f>
        <v/>
      </c>
      <c r="H1863" s="12">
        <f>IF(OR($B1863="",$C1863="",$G1863=""),"",COUNTIFS(Ventes_Encaissements!$E$6:$E$3005,$B1863,Ventes_Encaissements!$J$6:$J$3005,$G1863,Ventes_Encaissements!$C$6:$C$3005,"&gt;="&amp;($C1863-3),Ventes_Encaissements!$C$6:$C$3005,"&lt;="&amp;($C1863+3)))</f>
        <v/>
      </c>
      <c r="I1863" s="12">
        <f>IF($H1863="","",IF($H1863=0,"Non trouvé",IF($H1863=1,"Match","À vérifier")))</f>
        <v/>
      </c>
      <c r="J1863" s="21">
        <f>IF($I1863&lt;&gt;"Match","",INDEX(Ventes_Encaissements!$B$6:$B$3005,_xludf.AGGREGATE(15,6,(ROW(Ventes_Encaissements!$B$6:$B$3005)-ROW(Ventes_Encaissements!$B$6)+1)/((Ventes_Encaissements!$E$6:$E$3005=$B1863)*(Ventes_Encaissements!$J$6:$J$3005=$G1863)*(Ventes_Encaissements!$C$6:$C$3005&gt;=$C1863-3)*(Ventes_Encaissements!$C$6:$C$3005&lt;=$C1863+3)),1)))</f>
        <v/>
      </c>
      <c r="K1863" s="6" t="n"/>
    </row>
    <row r="1864">
      <c r="A1864" s="6" t="n"/>
      <c r="B1864" s="6" t="n"/>
      <c r="C1864" s="19" t="n"/>
      <c r="D1864" s="19" t="n"/>
      <c r="E1864" s="6" t="n"/>
      <c r="F1864" s="20" t="n"/>
      <c r="G1864" s="9">
        <f>IF($F1864="","",IF($F1864&gt;0,ROUND($F1864,2),""))</f>
        <v/>
      </c>
      <c r="H1864" s="12">
        <f>IF(OR($B1864="",$C1864="",$G1864=""),"",COUNTIFS(Ventes_Encaissements!$E$6:$E$3005,$B1864,Ventes_Encaissements!$J$6:$J$3005,$G1864,Ventes_Encaissements!$C$6:$C$3005,"&gt;="&amp;($C1864-3),Ventes_Encaissements!$C$6:$C$3005,"&lt;="&amp;($C1864+3)))</f>
        <v/>
      </c>
      <c r="I1864" s="12">
        <f>IF($H1864="","",IF($H1864=0,"Non trouvé",IF($H1864=1,"Match","À vérifier")))</f>
        <v/>
      </c>
      <c r="J1864" s="21">
        <f>IF($I1864&lt;&gt;"Match","",INDEX(Ventes_Encaissements!$B$6:$B$3005,_xludf.AGGREGATE(15,6,(ROW(Ventes_Encaissements!$B$6:$B$3005)-ROW(Ventes_Encaissements!$B$6)+1)/((Ventes_Encaissements!$E$6:$E$3005=$B1864)*(Ventes_Encaissements!$J$6:$J$3005=$G1864)*(Ventes_Encaissements!$C$6:$C$3005&gt;=$C1864-3)*(Ventes_Encaissements!$C$6:$C$3005&lt;=$C1864+3)),1)))</f>
        <v/>
      </c>
      <c r="K1864" s="6" t="n"/>
    </row>
    <row r="1865">
      <c r="A1865" s="6" t="n"/>
      <c r="B1865" s="6" t="n"/>
      <c r="C1865" s="19" t="n"/>
      <c r="D1865" s="19" t="n"/>
      <c r="E1865" s="6" t="n"/>
      <c r="F1865" s="20" t="n"/>
      <c r="G1865" s="9">
        <f>IF($F1865="","",IF($F1865&gt;0,ROUND($F1865,2),""))</f>
        <v/>
      </c>
      <c r="H1865" s="12">
        <f>IF(OR($B1865="",$C1865="",$G1865=""),"",COUNTIFS(Ventes_Encaissements!$E$6:$E$3005,$B1865,Ventes_Encaissements!$J$6:$J$3005,$G1865,Ventes_Encaissements!$C$6:$C$3005,"&gt;="&amp;($C1865-3),Ventes_Encaissements!$C$6:$C$3005,"&lt;="&amp;($C1865+3)))</f>
        <v/>
      </c>
      <c r="I1865" s="12">
        <f>IF($H1865="","",IF($H1865=0,"Non trouvé",IF($H1865=1,"Match","À vérifier")))</f>
        <v/>
      </c>
      <c r="J1865" s="21">
        <f>IF($I1865&lt;&gt;"Match","",INDEX(Ventes_Encaissements!$B$6:$B$3005,_xludf.AGGREGATE(15,6,(ROW(Ventes_Encaissements!$B$6:$B$3005)-ROW(Ventes_Encaissements!$B$6)+1)/((Ventes_Encaissements!$E$6:$E$3005=$B1865)*(Ventes_Encaissements!$J$6:$J$3005=$G1865)*(Ventes_Encaissements!$C$6:$C$3005&gt;=$C1865-3)*(Ventes_Encaissements!$C$6:$C$3005&lt;=$C1865+3)),1)))</f>
        <v/>
      </c>
      <c r="K1865" s="6" t="n"/>
    </row>
    <row r="1866">
      <c r="A1866" s="6" t="n"/>
      <c r="B1866" s="6" t="n"/>
      <c r="C1866" s="19" t="n"/>
      <c r="D1866" s="19" t="n"/>
      <c r="E1866" s="6" t="n"/>
      <c r="F1866" s="20" t="n"/>
      <c r="G1866" s="9">
        <f>IF($F1866="","",IF($F1866&gt;0,ROUND($F1866,2),""))</f>
        <v/>
      </c>
      <c r="H1866" s="12">
        <f>IF(OR($B1866="",$C1866="",$G1866=""),"",COUNTIFS(Ventes_Encaissements!$E$6:$E$3005,$B1866,Ventes_Encaissements!$J$6:$J$3005,$G1866,Ventes_Encaissements!$C$6:$C$3005,"&gt;="&amp;($C1866-3),Ventes_Encaissements!$C$6:$C$3005,"&lt;="&amp;($C1866+3)))</f>
        <v/>
      </c>
      <c r="I1866" s="12">
        <f>IF($H1866="","",IF($H1866=0,"Non trouvé",IF($H1866=1,"Match","À vérifier")))</f>
        <v/>
      </c>
      <c r="J1866" s="21">
        <f>IF($I1866&lt;&gt;"Match","",INDEX(Ventes_Encaissements!$B$6:$B$3005,_xludf.AGGREGATE(15,6,(ROW(Ventes_Encaissements!$B$6:$B$3005)-ROW(Ventes_Encaissements!$B$6)+1)/((Ventes_Encaissements!$E$6:$E$3005=$B1866)*(Ventes_Encaissements!$J$6:$J$3005=$G1866)*(Ventes_Encaissements!$C$6:$C$3005&gt;=$C1866-3)*(Ventes_Encaissements!$C$6:$C$3005&lt;=$C1866+3)),1)))</f>
        <v/>
      </c>
      <c r="K1866" s="6" t="n"/>
    </row>
    <row r="1867">
      <c r="A1867" s="6" t="n"/>
      <c r="B1867" s="6" t="n"/>
      <c r="C1867" s="19" t="n"/>
      <c r="D1867" s="19" t="n"/>
      <c r="E1867" s="6" t="n"/>
      <c r="F1867" s="20" t="n"/>
      <c r="G1867" s="9">
        <f>IF($F1867="","",IF($F1867&gt;0,ROUND($F1867,2),""))</f>
        <v/>
      </c>
      <c r="H1867" s="12">
        <f>IF(OR($B1867="",$C1867="",$G1867=""),"",COUNTIFS(Ventes_Encaissements!$E$6:$E$3005,$B1867,Ventes_Encaissements!$J$6:$J$3005,$G1867,Ventes_Encaissements!$C$6:$C$3005,"&gt;="&amp;($C1867-3),Ventes_Encaissements!$C$6:$C$3005,"&lt;="&amp;($C1867+3)))</f>
        <v/>
      </c>
      <c r="I1867" s="12">
        <f>IF($H1867="","",IF($H1867=0,"Non trouvé",IF($H1867=1,"Match","À vérifier")))</f>
        <v/>
      </c>
      <c r="J1867" s="21">
        <f>IF($I1867&lt;&gt;"Match","",INDEX(Ventes_Encaissements!$B$6:$B$3005,_xludf.AGGREGATE(15,6,(ROW(Ventes_Encaissements!$B$6:$B$3005)-ROW(Ventes_Encaissements!$B$6)+1)/((Ventes_Encaissements!$E$6:$E$3005=$B1867)*(Ventes_Encaissements!$J$6:$J$3005=$G1867)*(Ventes_Encaissements!$C$6:$C$3005&gt;=$C1867-3)*(Ventes_Encaissements!$C$6:$C$3005&lt;=$C1867+3)),1)))</f>
        <v/>
      </c>
      <c r="K1867" s="6" t="n"/>
    </row>
    <row r="1868">
      <c r="A1868" s="6" t="n"/>
      <c r="B1868" s="6" t="n"/>
      <c r="C1868" s="19" t="n"/>
      <c r="D1868" s="19" t="n"/>
      <c r="E1868" s="6" t="n"/>
      <c r="F1868" s="20" t="n"/>
      <c r="G1868" s="9">
        <f>IF($F1868="","",IF($F1868&gt;0,ROUND($F1868,2),""))</f>
        <v/>
      </c>
      <c r="H1868" s="12">
        <f>IF(OR($B1868="",$C1868="",$G1868=""),"",COUNTIFS(Ventes_Encaissements!$E$6:$E$3005,$B1868,Ventes_Encaissements!$J$6:$J$3005,$G1868,Ventes_Encaissements!$C$6:$C$3005,"&gt;="&amp;($C1868-3),Ventes_Encaissements!$C$6:$C$3005,"&lt;="&amp;($C1868+3)))</f>
        <v/>
      </c>
      <c r="I1868" s="12">
        <f>IF($H1868="","",IF($H1868=0,"Non trouvé",IF($H1868=1,"Match","À vérifier")))</f>
        <v/>
      </c>
      <c r="J1868" s="21">
        <f>IF($I1868&lt;&gt;"Match","",INDEX(Ventes_Encaissements!$B$6:$B$3005,_xludf.AGGREGATE(15,6,(ROW(Ventes_Encaissements!$B$6:$B$3005)-ROW(Ventes_Encaissements!$B$6)+1)/((Ventes_Encaissements!$E$6:$E$3005=$B1868)*(Ventes_Encaissements!$J$6:$J$3005=$G1868)*(Ventes_Encaissements!$C$6:$C$3005&gt;=$C1868-3)*(Ventes_Encaissements!$C$6:$C$3005&lt;=$C1868+3)),1)))</f>
        <v/>
      </c>
      <c r="K1868" s="6" t="n"/>
    </row>
    <row r="1869">
      <c r="A1869" s="6" t="n"/>
      <c r="B1869" s="6" t="n"/>
      <c r="C1869" s="19" t="n"/>
      <c r="D1869" s="19" t="n"/>
      <c r="E1869" s="6" t="n"/>
      <c r="F1869" s="20" t="n"/>
      <c r="G1869" s="9">
        <f>IF($F1869="","",IF($F1869&gt;0,ROUND($F1869,2),""))</f>
        <v/>
      </c>
      <c r="H1869" s="12">
        <f>IF(OR($B1869="",$C1869="",$G1869=""),"",COUNTIFS(Ventes_Encaissements!$E$6:$E$3005,$B1869,Ventes_Encaissements!$J$6:$J$3005,$G1869,Ventes_Encaissements!$C$6:$C$3005,"&gt;="&amp;($C1869-3),Ventes_Encaissements!$C$6:$C$3005,"&lt;="&amp;($C1869+3)))</f>
        <v/>
      </c>
      <c r="I1869" s="12">
        <f>IF($H1869="","",IF($H1869=0,"Non trouvé",IF($H1869=1,"Match","À vérifier")))</f>
        <v/>
      </c>
      <c r="J1869" s="21">
        <f>IF($I1869&lt;&gt;"Match","",INDEX(Ventes_Encaissements!$B$6:$B$3005,_xludf.AGGREGATE(15,6,(ROW(Ventes_Encaissements!$B$6:$B$3005)-ROW(Ventes_Encaissements!$B$6)+1)/((Ventes_Encaissements!$E$6:$E$3005=$B1869)*(Ventes_Encaissements!$J$6:$J$3005=$G1869)*(Ventes_Encaissements!$C$6:$C$3005&gt;=$C1869-3)*(Ventes_Encaissements!$C$6:$C$3005&lt;=$C1869+3)),1)))</f>
        <v/>
      </c>
      <c r="K1869" s="6" t="n"/>
    </row>
    <row r="1870">
      <c r="A1870" s="6" t="n"/>
      <c r="B1870" s="6" t="n"/>
      <c r="C1870" s="19" t="n"/>
      <c r="D1870" s="19" t="n"/>
      <c r="E1870" s="6" t="n"/>
      <c r="F1870" s="20" t="n"/>
      <c r="G1870" s="9">
        <f>IF($F1870="","",IF($F1870&gt;0,ROUND($F1870,2),""))</f>
        <v/>
      </c>
      <c r="H1870" s="12">
        <f>IF(OR($B1870="",$C1870="",$G1870=""),"",COUNTIFS(Ventes_Encaissements!$E$6:$E$3005,$B1870,Ventes_Encaissements!$J$6:$J$3005,$G1870,Ventes_Encaissements!$C$6:$C$3005,"&gt;="&amp;($C1870-3),Ventes_Encaissements!$C$6:$C$3005,"&lt;="&amp;($C1870+3)))</f>
        <v/>
      </c>
      <c r="I1870" s="12">
        <f>IF($H1870="","",IF($H1870=0,"Non trouvé",IF($H1870=1,"Match","À vérifier")))</f>
        <v/>
      </c>
      <c r="J1870" s="21">
        <f>IF($I1870&lt;&gt;"Match","",INDEX(Ventes_Encaissements!$B$6:$B$3005,_xludf.AGGREGATE(15,6,(ROW(Ventes_Encaissements!$B$6:$B$3005)-ROW(Ventes_Encaissements!$B$6)+1)/((Ventes_Encaissements!$E$6:$E$3005=$B1870)*(Ventes_Encaissements!$J$6:$J$3005=$G1870)*(Ventes_Encaissements!$C$6:$C$3005&gt;=$C1870-3)*(Ventes_Encaissements!$C$6:$C$3005&lt;=$C1870+3)),1)))</f>
        <v/>
      </c>
      <c r="K1870" s="6" t="n"/>
    </row>
    <row r="1871">
      <c r="A1871" s="6" t="n"/>
      <c r="B1871" s="6" t="n"/>
      <c r="C1871" s="19" t="n"/>
      <c r="D1871" s="19" t="n"/>
      <c r="E1871" s="6" t="n"/>
      <c r="F1871" s="20" t="n"/>
      <c r="G1871" s="9">
        <f>IF($F1871="","",IF($F1871&gt;0,ROUND($F1871,2),""))</f>
        <v/>
      </c>
      <c r="H1871" s="12">
        <f>IF(OR($B1871="",$C1871="",$G1871=""),"",COUNTIFS(Ventes_Encaissements!$E$6:$E$3005,$B1871,Ventes_Encaissements!$J$6:$J$3005,$G1871,Ventes_Encaissements!$C$6:$C$3005,"&gt;="&amp;($C1871-3),Ventes_Encaissements!$C$6:$C$3005,"&lt;="&amp;($C1871+3)))</f>
        <v/>
      </c>
      <c r="I1871" s="12">
        <f>IF($H1871="","",IF($H1871=0,"Non trouvé",IF($H1871=1,"Match","À vérifier")))</f>
        <v/>
      </c>
      <c r="J1871" s="21">
        <f>IF($I1871&lt;&gt;"Match","",INDEX(Ventes_Encaissements!$B$6:$B$3005,_xludf.AGGREGATE(15,6,(ROW(Ventes_Encaissements!$B$6:$B$3005)-ROW(Ventes_Encaissements!$B$6)+1)/((Ventes_Encaissements!$E$6:$E$3005=$B1871)*(Ventes_Encaissements!$J$6:$J$3005=$G1871)*(Ventes_Encaissements!$C$6:$C$3005&gt;=$C1871-3)*(Ventes_Encaissements!$C$6:$C$3005&lt;=$C1871+3)),1)))</f>
        <v/>
      </c>
      <c r="K1871" s="6" t="n"/>
    </row>
    <row r="1872">
      <c r="A1872" s="6" t="n"/>
      <c r="B1872" s="6" t="n"/>
      <c r="C1872" s="19" t="n"/>
      <c r="D1872" s="19" t="n"/>
      <c r="E1872" s="6" t="n"/>
      <c r="F1872" s="20" t="n"/>
      <c r="G1872" s="9">
        <f>IF($F1872="","",IF($F1872&gt;0,ROUND($F1872,2),""))</f>
        <v/>
      </c>
      <c r="H1872" s="12">
        <f>IF(OR($B1872="",$C1872="",$G1872=""),"",COUNTIFS(Ventes_Encaissements!$E$6:$E$3005,$B1872,Ventes_Encaissements!$J$6:$J$3005,$G1872,Ventes_Encaissements!$C$6:$C$3005,"&gt;="&amp;($C1872-3),Ventes_Encaissements!$C$6:$C$3005,"&lt;="&amp;($C1872+3)))</f>
        <v/>
      </c>
      <c r="I1872" s="12">
        <f>IF($H1872="","",IF($H1872=0,"Non trouvé",IF($H1872=1,"Match","À vérifier")))</f>
        <v/>
      </c>
      <c r="J1872" s="21">
        <f>IF($I1872&lt;&gt;"Match","",INDEX(Ventes_Encaissements!$B$6:$B$3005,_xludf.AGGREGATE(15,6,(ROW(Ventes_Encaissements!$B$6:$B$3005)-ROW(Ventes_Encaissements!$B$6)+1)/((Ventes_Encaissements!$E$6:$E$3005=$B1872)*(Ventes_Encaissements!$J$6:$J$3005=$G1872)*(Ventes_Encaissements!$C$6:$C$3005&gt;=$C1872-3)*(Ventes_Encaissements!$C$6:$C$3005&lt;=$C1872+3)),1)))</f>
        <v/>
      </c>
      <c r="K1872" s="6" t="n"/>
    </row>
    <row r="1873">
      <c r="A1873" s="6" t="n"/>
      <c r="B1873" s="6" t="n"/>
      <c r="C1873" s="19" t="n"/>
      <c r="D1873" s="19" t="n"/>
      <c r="E1873" s="6" t="n"/>
      <c r="F1873" s="20" t="n"/>
      <c r="G1873" s="9">
        <f>IF($F1873="","",IF($F1873&gt;0,ROUND($F1873,2),""))</f>
        <v/>
      </c>
      <c r="H1873" s="12">
        <f>IF(OR($B1873="",$C1873="",$G1873=""),"",COUNTIFS(Ventes_Encaissements!$E$6:$E$3005,$B1873,Ventes_Encaissements!$J$6:$J$3005,$G1873,Ventes_Encaissements!$C$6:$C$3005,"&gt;="&amp;($C1873-3),Ventes_Encaissements!$C$6:$C$3005,"&lt;="&amp;($C1873+3)))</f>
        <v/>
      </c>
      <c r="I1873" s="12">
        <f>IF($H1873="","",IF($H1873=0,"Non trouvé",IF($H1873=1,"Match","À vérifier")))</f>
        <v/>
      </c>
      <c r="J1873" s="21">
        <f>IF($I1873&lt;&gt;"Match","",INDEX(Ventes_Encaissements!$B$6:$B$3005,_xludf.AGGREGATE(15,6,(ROW(Ventes_Encaissements!$B$6:$B$3005)-ROW(Ventes_Encaissements!$B$6)+1)/((Ventes_Encaissements!$E$6:$E$3005=$B1873)*(Ventes_Encaissements!$J$6:$J$3005=$G1873)*(Ventes_Encaissements!$C$6:$C$3005&gt;=$C1873-3)*(Ventes_Encaissements!$C$6:$C$3005&lt;=$C1873+3)),1)))</f>
        <v/>
      </c>
      <c r="K1873" s="6" t="n"/>
    </row>
    <row r="1874">
      <c r="A1874" s="6" t="n"/>
      <c r="B1874" s="6" t="n"/>
      <c r="C1874" s="19" t="n"/>
      <c r="D1874" s="19" t="n"/>
      <c r="E1874" s="6" t="n"/>
      <c r="F1874" s="20" t="n"/>
      <c r="G1874" s="9">
        <f>IF($F1874="","",IF($F1874&gt;0,ROUND($F1874,2),""))</f>
        <v/>
      </c>
      <c r="H1874" s="12">
        <f>IF(OR($B1874="",$C1874="",$G1874=""),"",COUNTIFS(Ventes_Encaissements!$E$6:$E$3005,$B1874,Ventes_Encaissements!$J$6:$J$3005,$G1874,Ventes_Encaissements!$C$6:$C$3005,"&gt;="&amp;($C1874-3),Ventes_Encaissements!$C$6:$C$3005,"&lt;="&amp;($C1874+3)))</f>
        <v/>
      </c>
      <c r="I1874" s="12">
        <f>IF($H1874="","",IF($H1874=0,"Non trouvé",IF($H1874=1,"Match","À vérifier")))</f>
        <v/>
      </c>
      <c r="J1874" s="21">
        <f>IF($I1874&lt;&gt;"Match","",INDEX(Ventes_Encaissements!$B$6:$B$3005,_xludf.AGGREGATE(15,6,(ROW(Ventes_Encaissements!$B$6:$B$3005)-ROW(Ventes_Encaissements!$B$6)+1)/((Ventes_Encaissements!$E$6:$E$3005=$B1874)*(Ventes_Encaissements!$J$6:$J$3005=$G1874)*(Ventes_Encaissements!$C$6:$C$3005&gt;=$C1874-3)*(Ventes_Encaissements!$C$6:$C$3005&lt;=$C1874+3)),1)))</f>
        <v/>
      </c>
      <c r="K1874" s="6" t="n"/>
    </row>
    <row r="1875">
      <c r="A1875" s="6" t="n"/>
      <c r="B1875" s="6" t="n"/>
      <c r="C1875" s="19" t="n"/>
      <c r="D1875" s="19" t="n"/>
      <c r="E1875" s="6" t="n"/>
      <c r="F1875" s="20" t="n"/>
      <c r="G1875" s="9">
        <f>IF($F1875="","",IF($F1875&gt;0,ROUND($F1875,2),""))</f>
        <v/>
      </c>
      <c r="H1875" s="12">
        <f>IF(OR($B1875="",$C1875="",$G1875=""),"",COUNTIFS(Ventes_Encaissements!$E$6:$E$3005,$B1875,Ventes_Encaissements!$J$6:$J$3005,$G1875,Ventes_Encaissements!$C$6:$C$3005,"&gt;="&amp;($C1875-3),Ventes_Encaissements!$C$6:$C$3005,"&lt;="&amp;($C1875+3)))</f>
        <v/>
      </c>
      <c r="I1875" s="12">
        <f>IF($H1875="","",IF($H1875=0,"Non trouvé",IF($H1875=1,"Match","À vérifier")))</f>
        <v/>
      </c>
      <c r="J1875" s="21">
        <f>IF($I1875&lt;&gt;"Match","",INDEX(Ventes_Encaissements!$B$6:$B$3005,_xludf.AGGREGATE(15,6,(ROW(Ventes_Encaissements!$B$6:$B$3005)-ROW(Ventes_Encaissements!$B$6)+1)/((Ventes_Encaissements!$E$6:$E$3005=$B1875)*(Ventes_Encaissements!$J$6:$J$3005=$G1875)*(Ventes_Encaissements!$C$6:$C$3005&gt;=$C1875-3)*(Ventes_Encaissements!$C$6:$C$3005&lt;=$C1875+3)),1)))</f>
        <v/>
      </c>
      <c r="K1875" s="6" t="n"/>
    </row>
    <row r="1876">
      <c r="A1876" s="6" t="n"/>
      <c r="B1876" s="6" t="n"/>
      <c r="C1876" s="19" t="n"/>
      <c r="D1876" s="19" t="n"/>
      <c r="E1876" s="6" t="n"/>
      <c r="F1876" s="20" t="n"/>
      <c r="G1876" s="9">
        <f>IF($F1876="","",IF($F1876&gt;0,ROUND($F1876,2),""))</f>
        <v/>
      </c>
      <c r="H1876" s="12">
        <f>IF(OR($B1876="",$C1876="",$G1876=""),"",COUNTIFS(Ventes_Encaissements!$E$6:$E$3005,$B1876,Ventes_Encaissements!$J$6:$J$3005,$G1876,Ventes_Encaissements!$C$6:$C$3005,"&gt;="&amp;($C1876-3),Ventes_Encaissements!$C$6:$C$3005,"&lt;="&amp;($C1876+3)))</f>
        <v/>
      </c>
      <c r="I1876" s="12">
        <f>IF($H1876="","",IF($H1876=0,"Non trouvé",IF($H1876=1,"Match","À vérifier")))</f>
        <v/>
      </c>
      <c r="J1876" s="21">
        <f>IF($I1876&lt;&gt;"Match","",INDEX(Ventes_Encaissements!$B$6:$B$3005,_xludf.AGGREGATE(15,6,(ROW(Ventes_Encaissements!$B$6:$B$3005)-ROW(Ventes_Encaissements!$B$6)+1)/((Ventes_Encaissements!$E$6:$E$3005=$B1876)*(Ventes_Encaissements!$J$6:$J$3005=$G1876)*(Ventes_Encaissements!$C$6:$C$3005&gt;=$C1876-3)*(Ventes_Encaissements!$C$6:$C$3005&lt;=$C1876+3)),1)))</f>
        <v/>
      </c>
      <c r="K1876" s="6" t="n"/>
    </row>
    <row r="1877">
      <c r="A1877" s="6" t="n"/>
      <c r="B1877" s="6" t="n"/>
      <c r="C1877" s="19" t="n"/>
      <c r="D1877" s="19" t="n"/>
      <c r="E1877" s="6" t="n"/>
      <c r="F1877" s="20" t="n"/>
      <c r="G1877" s="9">
        <f>IF($F1877="","",IF($F1877&gt;0,ROUND($F1877,2),""))</f>
        <v/>
      </c>
      <c r="H1877" s="12">
        <f>IF(OR($B1877="",$C1877="",$G1877=""),"",COUNTIFS(Ventes_Encaissements!$E$6:$E$3005,$B1877,Ventes_Encaissements!$J$6:$J$3005,$G1877,Ventes_Encaissements!$C$6:$C$3005,"&gt;="&amp;($C1877-3),Ventes_Encaissements!$C$6:$C$3005,"&lt;="&amp;($C1877+3)))</f>
        <v/>
      </c>
      <c r="I1877" s="12">
        <f>IF($H1877="","",IF($H1877=0,"Non trouvé",IF($H1877=1,"Match","À vérifier")))</f>
        <v/>
      </c>
      <c r="J1877" s="21">
        <f>IF($I1877&lt;&gt;"Match","",INDEX(Ventes_Encaissements!$B$6:$B$3005,_xludf.AGGREGATE(15,6,(ROW(Ventes_Encaissements!$B$6:$B$3005)-ROW(Ventes_Encaissements!$B$6)+1)/((Ventes_Encaissements!$E$6:$E$3005=$B1877)*(Ventes_Encaissements!$J$6:$J$3005=$G1877)*(Ventes_Encaissements!$C$6:$C$3005&gt;=$C1877-3)*(Ventes_Encaissements!$C$6:$C$3005&lt;=$C1877+3)),1)))</f>
        <v/>
      </c>
      <c r="K1877" s="6" t="n"/>
    </row>
    <row r="1878">
      <c r="A1878" s="6" t="n"/>
      <c r="B1878" s="6" t="n"/>
      <c r="C1878" s="19" t="n"/>
      <c r="D1878" s="19" t="n"/>
      <c r="E1878" s="6" t="n"/>
      <c r="F1878" s="20" t="n"/>
      <c r="G1878" s="9">
        <f>IF($F1878="","",IF($F1878&gt;0,ROUND($F1878,2),""))</f>
        <v/>
      </c>
      <c r="H1878" s="12">
        <f>IF(OR($B1878="",$C1878="",$G1878=""),"",COUNTIFS(Ventes_Encaissements!$E$6:$E$3005,$B1878,Ventes_Encaissements!$J$6:$J$3005,$G1878,Ventes_Encaissements!$C$6:$C$3005,"&gt;="&amp;($C1878-3),Ventes_Encaissements!$C$6:$C$3005,"&lt;="&amp;($C1878+3)))</f>
        <v/>
      </c>
      <c r="I1878" s="12">
        <f>IF($H1878="","",IF($H1878=0,"Non trouvé",IF($H1878=1,"Match","À vérifier")))</f>
        <v/>
      </c>
      <c r="J1878" s="21">
        <f>IF($I1878&lt;&gt;"Match","",INDEX(Ventes_Encaissements!$B$6:$B$3005,_xludf.AGGREGATE(15,6,(ROW(Ventes_Encaissements!$B$6:$B$3005)-ROW(Ventes_Encaissements!$B$6)+1)/((Ventes_Encaissements!$E$6:$E$3005=$B1878)*(Ventes_Encaissements!$J$6:$J$3005=$G1878)*(Ventes_Encaissements!$C$6:$C$3005&gt;=$C1878-3)*(Ventes_Encaissements!$C$6:$C$3005&lt;=$C1878+3)),1)))</f>
        <v/>
      </c>
      <c r="K1878" s="6" t="n"/>
    </row>
    <row r="1879">
      <c r="A1879" s="6" t="n"/>
      <c r="B1879" s="6" t="n"/>
      <c r="C1879" s="19" t="n"/>
      <c r="D1879" s="19" t="n"/>
      <c r="E1879" s="6" t="n"/>
      <c r="F1879" s="20" t="n"/>
      <c r="G1879" s="9">
        <f>IF($F1879="","",IF($F1879&gt;0,ROUND($F1879,2),""))</f>
        <v/>
      </c>
      <c r="H1879" s="12">
        <f>IF(OR($B1879="",$C1879="",$G1879=""),"",COUNTIFS(Ventes_Encaissements!$E$6:$E$3005,$B1879,Ventes_Encaissements!$J$6:$J$3005,$G1879,Ventes_Encaissements!$C$6:$C$3005,"&gt;="&amp;($C1879-3),Ventes_Encaissements!$C$6:$C$3005,"&lt;="&amp;($C1879+3)))</f>
        <v/>
      </c>
      <c r="I1879" s="12">
        <f>IF($H1879="","",IF($H1879=0,"Non trouvé",IF($H1879=1,"Match","À vérifier")))</f>
        <v/>
      </c>
      <c r="J1879" s="21">
        <f>IF($I1879&lt;&gt;"Match","",INDEX(Ventes_Encaissements!$B$6:$B$3005,_xludf.AGGREGATE(15,6,(ROW(Ventes_Encaissements!$B$6:$B$3005)-ROW(Ventes_Encaissements!$B$6)+1)/((Ventes_Encaissements!$E$6:$E$3005=$B1879)*(Ventes_Encaissements!$J$6:$J$3005=$G1879)*(Ventes_Encaissements!$C$6:$C$3005&gt;=$C1879-3)*(Ventes_Encaissements!$C$6:$C$3005&lt;=$C1879+3)),1)))</f>
        <v/>
      </c>
      <c r="K1879" s="6" t="n"/>
    </row>
    <row r="1880">
      <c r="A1880" s="6" t="n"/>
      <c r="B1880" s="6" t="n"/>
      <c r="C1880" s="19" t="n"/>
      <c r="D1880" s="19" t="n"/>
      <c r="E1880" s="6" t="n"/>
      <c r="F1880" s="20" t="n"/>
      <c r="G1880" s="9">
        <f>IF($F1880="","",IF($F1880&gt;0,ROUND($F1880,2),""))</f>
        <v/>
      </c>
      <c r="H1880" s="12">
        <f>IF(OR($B1880="",$C1880="",$G1880=""),"",COUNTIFS(Ventes_Encaissements!$E$6:$E$3005,$B1880,Ventes_Encaissements!$J$6:$J$3005,$G1880,Ventes_Encaissements!$C$6:$C$3005,"&gt;="&amp;($C1880-3),Ventes_Encaissements!$C$6:$C$3005,"&lt;="&amp;($C1880+3)))</f>
        <v/>
      </c>
      <c r="I1880" s="12">
        <f>IF($H1880="","",IF($H1880=0,"Non trouvé",IF($H1880=1,"Match","À vérifier")))</f>
        <v/>
      </c>
      <c r="J1880" s="21">
        <f>IF($I1880&lt;&gt;"Match","",INDEX(Ventes_Encaissements!$B$6:$B$3005,_xludf.AGGREGATE(15,6,(ROW(Ventes_Encaissements!$B$6:$B$3005)-ROW(Ventes_Encaissements!$B$6)+1)/((Ventes_Encaissements!$E$6:$E$3005=$B1880)*(Ventes_Encaissements!$J$6:$J$3005=$G1880)*(Ventes_Encaissements!$C$6:$C$3005&gt;=$C1880-3)*(Ventes_Encaissements!$C$6:$C$3005&lt;=$C1880+3)),1)))</f>
        <v/>
      </c>
      <c r="K1880" s="6" t="n"/>
    </row>
    <row r="1881">
      <c r="A1881" s="6" t="n"/>
      <c r="B1881" s="6" t="n"/>
      <c r="C1881" s="19" t="n"/>
      <c r="D1881" s="19" t="n"/>
      <c r="E1881" s="6" t="n"/>
      <c r="F1881" s="20" t="n"/>
      <c r="G1881" s="9">
        <f>IF($F1881="","",IF($F1881&gt;0,ROUND($F1881,2),""))</f>
        <v/>
      </c>
      <c r="H1881" s="12">
        <f>IF(OR($B1881="",$C1881="",$G1881=""),"",COUNTIFS(Ventes_Encaissements!$E$6:$E$3005,$B1881,Ventes_Encaissements!$J$6:$J$3005,$G1881,Ventes_Encaissements!$C$6:$C$3005,"&gt;="&amp;($C1881-3),Ventes_Encaissements!$C$6:$C$3005,"&lt;="&amp;($C1881+3)))</f>
        <v/>
      </c>
      <c r="I1881" s="12">
        <f>IF($H1881="","",IF($H1881=0,"Non trouvé",IF($H1881=1,"Match","À vérifier")))</f>
        <v/>
      </c>
      <c r="J1881" s="21">
        <f>IF($I1881&lt;&gt;"Match","",INDEX(Ventes_Encaissements!$B$6:$B$3005,_xludf.AGGREGATE(15,6,(ROW(Ventes_Encaissements!$B$6:$B$3005)-ROW(Ventes_Encaissements!$B$6)+1)/((Ventes_Encaissements!$E$6:$E$3005=$B1881)*(Ventes_Encaissements!$J$6:$J$3005=$G1881)*(Ventes_Encaissements!$C$6:$C$3005&gt;=$C1881-3)*(Ventes_Encaissements!$C$6:$C$3005&lt;=$C1881+3)),1)))</f>
        <v/>
      </c>
      <c r="K1881" s="6" t="n"/>
    </row>
    <row r="1882">
      <c r="A1882" s="6" t="n"/>
      <c r="B1882" s="6" t="n"/>
      <c r="C1882" s="19" t="n"/>
      <c r="D1882" s="19" t="n"/>
      <c r="E1882" s="6" t="n"/>
      <c r="F1882" s="20" t="n"/>
      <c r="G1882" s="9">
        <f>IF($F1882="","",IF($F1882&gt;0,ROUND($F1882,2),""))</f>
        <v/>
      </c>
      <c r="H1882" s="12">
        <f>IF(OR($B1882="",$C1882="",$G1882=""),"",COUNTIFS(Ventes_Encaissements!$E$6:$E$3005,$B1882,Ventes_Encaissements!$J$6:$J$3005,$G1882,Ventes_Encaissements!$C$6:$C$3005,"&gt;="&amp;($C1882-3),Ventes_Encaissements!$C$6:$C$3005,"&lt;="&amp;($C1882+3)))</f>
        <v/>
      </c>
      <c r="I1882" s="12">
        <f>IF($H1882="","",IF($H1882=0,"Non trouvé",IF($H1882=1,"Match","À vérifier")))</f>
        <v/>
      </c>
      <c r="J1882" s="21">
        <f>IF($I1882&lt;&gt;"Match","",INDEX(Ventes_Encaissements!$B$6:$B$3005,_xludf.AGGREGATE(15,6,(ROW(Ventes_Encaissements!$B$6:$B$3005)-ROW(Ventes_Encaissements!$B$6)+1)/((Ventes_Encaissements!$E$6:$E$3005=$B1882)*(Ventes_Encaissements!$J$6:$J$3005=$G1882)*(Ventes_Encaissements!$C$6:$C$3005&gt;=$C1882-3)*(Ventes_Encaissements!$C$6:$C$3005&lt;=$C1882+3)),1)))</f>
        <v/>
      </c>
      <c r="K1882" s="6" t="n"/>
    </row>
    <row r="1883">
      <c r="A1883" s="6" t="n"/>
      <c r="B1883" s="6" t="n"/>
      <c r="C1883" s="19" t="n"/>
      <c r="D1883" s="19" t="n"/>
      <c r="E1883" s="6" t="n"/>
      <c r="F1883" s="20" t="n"/>
      <c r="G1883" s="9">
        <f>IF($F1883="","",IF($F1883&gt;0,ROUND($F1883,2),""))</f>
        <v/>
      </c>
      <c r="H1883" s="12">
        <f>IF(OR($B1883="",$C1883="",$G1883=""),"",COUNTIFS(Ventes_Encaissements!$E$6:$E$3005,$B1883,Ventes_Encaissements!$J$6:$J$3005,$G1883,Ventes_Encaissements!$C$6:$C$3005,"&gt;="&amp;($C1883-3),Ventes_Encaissements!$C$6:$C$3005,"&lt;="&amp;($C1883+3)))</f>
        <v/>
      </c>
      <c r="I1883" s="12">
        <f>IF($H1883="","",IF($H1883=0,"Non trouvé",IF($H1883=1,"Match","À vérifier")))</f>
        <v/>
      </c>
      <c r="J1883" s="21">
        <f>IF($I1883&lt;&gt;"Match","",INDEX(Ventes_Encaissements!$B$6:$B$3005,_xludf.AGGREGATE(15,6,(ROW(Ventes_Encaissements!$B$6:$B$3005)-ROW(Ventes_Encaissements!$B$6)+1)/((Ventes_Encaissements!$E$6:$E$3005=$B1883)*(Ventes_Encaissements!$J$6:$J$3005=$G1883)*(Ventes_Encaissements!$C$6:$C$3005&gt;=$C1883-3)*(Ventes_Encaissements!$C$6:$C$3005&lt;=$C1883+3)),1)))</f>
        <v/>
      </c>
      <c r="K1883" s="6" t="n"/>
    </row>
    <row r="1884">
      <c r="A1884" s="6" t="n"/>
      <c r="B1884" s="6" t="n"/>
      <c r="C1884" s="19" t="n"/>
      <c r="D1884" s="19" t="n"/>
      <c r="E1884" s="6" t="n"/>
      <c r="F1884" s="20" t="n"/>
      <c r="G1884" s="9">
        <f>IF($F1884="","",IF($F1884&gt;0,ROUND($F1884,2),""))</f>
        <v/>
      </c>
      <c r="H1884" s="12">
        <f>IF(OR($B1884="",$C1884="",$G1884=""),"",COUNTIFS(Ventes_Encaissements!$E$6:$E$3005,$B1884,Ventes_Encaissements!$J$6:$J$3005,$G1884,Ventes_Encaissements!$C$6:$C$3005,"&gt;="&amp;($C1884-3),Ventes_Encaissements!$C$6:$C$3005,"&lt;="&amp;($C1884+3)))</f>
        <v/>
      </c>
      <c r="I1884" s="12">
        <f>IF($H1884="","",IF($H1884=0,"Non trouvé",IF($H1884=1,"Match","À vérifier")))</f>
        <v/>
      </c>
      <c r="J1884" s="21">
        <f>IF($I1884&lt;&gt;"Match","",INDEX(Ventes_Encaissements!$B$6:$B$3005,_xludf.AGGREGATE(15,6,(ROW(Ventes_Encaissements!$B$6:$B$3005)-ROW(Ventes_Encaissements!$B$6)+1)/((Ventes_Encaissements!$E$6:$E$3005=$B1884)*(Ventes_Encaissements!$J$6:$J$3005=$G1884)*(Ventes_Encaissements!$C$6:$C$3005&gt;=$C1884-3)*(Ventes_Encaissements!$C$6:$C$3005&lt;=$C1884+3)),1)))</f>
        <v/>
      </c>
      <c r="K1884" s="6" t="n"/>
    </row>
    <row r="1885">
      <c r="A1885" s="6" t="n"/>
      <c r="B1885" s="6" t="n"/>
      <c r="C1885" s="19" t="n"/>
      <c r="D1885" s="19" t="n"/>
      <c r="E1885" s="6" t="n"/>
      <c r="F1885" s="20" t="n"/>
      <c r="G1885" s="9">
        <f>IF($F1885="","",IF($F1885&gt;0,ROUND($F1885,2),""))</f>
        <v/>
      </c>
      <c r="H1885" s="12">
        <f>IF(OR($B1885="",$C1885="",$G1885=""),"",COUNTIFS(Ventes_Encaissements!$E$6:$E$3005,$B1885,Ventes_Encaissements!$J$6:$J$3005,$G1885,Ventes_Encaissements!$C$6:$C$3005,"&gt;="&amp;($C1885-3),Ventes_Encaissements!$C$6:$C$3005,"&lt;="&amp;($C1885+3)))</f>
        <v/>
      </c>
      <c r="I1885" s="12">
        <f>IF($H1885="","",IF($H1885=0,"Non trouvé",IF($H1885=1,"Match","À vérifier")))</f>
        <v/>
      </c>
      <c r="J1885" s="21">
        <f>IF($I1885&lt;&gt;"Match","",INDEX(Ventes_Encaissements!$B$6:$B$3005,_xludf.AGGREGATE(15,6,(ROW(Ventes_Encaissements!$B$6:$B$3005)-ROW(Ventes_Encaissements!$B$6)+1)/((Ventes_Encaissements!$E$6:$E$3005=$B1885)*(Ventes_Encaissements!$J$6:$J$3005=$G1885)*(Ventes_Encaissements!$C$6:$C$3005&gt;=$C1885-3)*(Ventes_Encaissements!$C$6:$C$3005&lt;=$C1885+3)),1)))</f>
        <v/>
      </c>
      <c r="K1885" s="6" t="n"/>
    </row>
    <row r="1886">
      <c r="A1886" s="6" t="n"/>
      <c r="B1886" s="6" t="n"/>
      <c r="C1886" s="19" t="n"/>
      <c r="D1886" s="19" t="n"/>
      <c r="E1886" s="6" t="n"/>
      <c r="F1886" s="20" t="n"/>
      <c r="G1886" s="9">
        <f>IF($F1886="","",IF($F1886&gt;0,ROUND($F1886,2),""))</f>
        <v/>
      </c>
      <c r="H1886" s="12">
        <f>IF(OR($B1886="",$C1886="",$G1886=""),"",COUNTIFS(Ventes_Encaissements!$E$6:$E$3005,$B1886,Ventes_Encaissements!$J$6:$J$3005,$G1886,Ventes_Encaissements!$C$6:$C$3005,"&gt;="&amp;($C1886-3),Ventes_Encaissements!$C$6:$C$3005,"&lt;="&amp;($C1886+3)))</f>
        <v/>
      </c>
      <c r="I1886" s="12">
        <f>IF($H1886="","",IF($H1886=0,"Non trouvé",IF($H1886=1,"Match","À vérifier")))</f>
        <v/>
      </c>
      <c r="J1886" s="21">
        <f>IF($I1886&lt;&gt;"Match","",INDEX(Ventes_Encaissements!$B$6:$B$3005,_xludf.AGGREGATE(15,6,(ROW(Ventes_Encaissements!$B$6:$B$3005)-ROW(Ventes_Encaissements!$B$6)+1)/((Ventes_Encaissements!$E$6:$E$3005=$B1886)*(Ventes_Encaissements!$J$6:$J$3005=$G1886)*(Ventes_Encaissements!$C$6:$C$3005&gt;=$C1886-3)*(Ventes_Encaissements!$C$6:$C$3005&lt;=$C1886+3)),1)))</f>
        <v/>
      </c>
      <c r="K1886" s="6" t="n"/>
    </row>
    <row r="1887">
      <c r="A1887" s="6" t="n"/>
      <c r="B1887" s="6" t="n"/>
      <c r="C1887" s="19" t="n"/>
      <c r="D1887" s="19" t="n"/>
      <c r="E1887" s="6" t="n"/>
      <c r="F1887" s="20" t="n"/>
      <c r="G1887" s="9">
        <f>IF($F1887="","",IF($F1887&gt;0,ROUND($F1887,2),""))</f>
        <v/>
      </c>
      <c r="H1887" s="12">
        <f>IF(OR($B1887="",$C1887="",$G1887=""),"",COUNTIFS(Ventes_Encaissements!$E$6:$E$3005,$B1887,Ventes_Encaissements!$J$6:$J$3005,$G1887,Ventes_Encaissements!$C$6:$C$3005,"&gt;="&amp;($C1887-3),Ventes_Encaissements!$C$6:$C$3005,"&lt;="&amp;($C1887+3)))</f>
        <v/>
      </c>
      <c r="I1887" s="12">
        <f>IF($H1887="","",IF($H1887=0,"Non trouvé",IF($H1887=1,"Match","À vérifier")))</f>
        <v/>
      </c>
      <c r="J1887" s="21">
        <f>IF($I1887&lt;&gt;"Match","",INDEX(Ventes_Encaissements!$B$6:$B$3005,_xludf.AGGREGATE(15,6,(ROW(Ventes_Encaissements!$B$6:$B$3005)-ROW(Ventes_Encaissements!$B$6)+1)/((Ventes_Encaissements!$E$6:$E$3005=$B1887)*(Ventes_Encaissements!$J$6:$J$3005=$G1887)*(Ventes_Encaissements!$C$6:$C$3005&gt;=$C1887-3)*(Ventes_Encaissements!$C$6:$C$3005&lt;=$C1887+3)),1)))</f>
        <v/>
      </c>
      <c r="K1887" s="6" t="n"/>
    </row>
    <row r="1888">
      <c r="A1888" s="6" t="n"/>
      <c r="B1888" s="6" t="n"/>
      <c r="C1888" s="19" t="n"/>
      <c r="D1888" s="19" t="n"/>
      <c r="E1888" s="6" t="n"/>
      <c r="F1888" s="20" t="n"/>
      <c r="G1888" s="9">
        <f>IF($F1888="","",IF($F1888&gt;0,ROUND($F1888,2),""))</f>
        <v/>
      </c>
      <c r="H1888" s="12">
        <f>IF(OR($B1888="",$C1888="",$G1888=""),"",COUNTIFS(Ventes_Encaissements!$E$6:$E$3005,$B1888,Ventes_Encaissements!$J$6:$J$3005,$G1888,Ventes_Encaissements!$C$6:$C$3005,"&gt;="&amp;($C1888-3),Ventes_Encaissements!$C$6:$C$3005,"&lt;="&amp;($C1888+3)))</f>
        <v/>
      </c>
      <c r="I1888" s="12">
        <f>IF($H1888="","",IF($H1888=0,"Non trouvé",IF($H1888=1,"Match","À vérifier")))</f>
        <v/>
      </c>
      <c r="J1888" s="21">
        <f>IF($I1888&lt;&gt;"Match","",INDEX(Ventes_Encaissements!$B$6:$B$3005,_xludf.AGGREGATE(15,6,(ROW(Ventes_Encaissements!$B$6:$B$3005)-ROW(Ventes_Encaissements!$B$6)+1)/((Ventes_Encaissements!$E$6:$E$3005=$B1888)*(Ventes_Encaissements!$J$6:$J$3005=$G1888)*(Ventes_Encaissements!$C$6:$C$3005&gt;=$C1888-3)*(Ventes_Encaissements!$C$6:$C$3005&lt;=$C1888+3)),1)))</f>
        <v/>
      </c>
      <c r="K1888" s="6" t="n"/>
    </row>
    <row r="1889">
      <c r="A1889" s="6" t="n"/>
      <c r="B1889" s="6" t="n"/>
      <c r="C1889" s="19" t="n"/>
      <c r="D1889" s="19" t="n"/>
      <c r="E1889" s="6" t="n"/>
      <c r="F1889" s="20" t="n"/>
      <c r="G1889" s="9">
        <f>IF($F1889="","",IF($F1889&gt;0,ROUND($F1889,2),""))</f>
        <v/>
      </c>
      <c r="H1889" s="12">
        <f>IF(OR($B1889="",$C1889="",$G1889=""),"",COUNTIFS(Ventes_Encaissements!$E$6:$E$3005,$B1889,Ventes_Encaissements!$J$6:$J$3005,$G1889,Ventes_Encaissements!$C$6:$C$3005,"&gt;="&amp;($C1889-3),Ventes_Encaissements!$C$6:$C$3005,"&lt;="&amp;($C1889+3)))</f>
        <v/>
      </c>
      <c r="I1889" s="12">
        <f>IF($H1889="","",IF($H1889=0,"Non trouvé",IF($H1889=1,"Match","À vérifier")))</f>
        <v/>
      </c>
      <c r="J1889" s="21">
        <f>IF($I1889&lt;&gt;"Match","",INDEX(Ventes_Encaissements!$B$6:$B$3005,_xludf.AGGREGATE(15,6,(ROW(Ventes_Encaissements!$B$6:$B$3005)-ROW(Ventes_Encaissements!$B$6)+1)/((Ventes_Encaissements!$E$6:$E$3005=$B1889)*(Ventes_Encaissements!$J$6:$J$3005=$G1889)*(Ventes_Encaissements!$C$6:$C$3005&gt;=$C1889-3)*(Ventes_Encaissements!$C$6:$C$3005&lt;=$C1889+3)),1)))</f>
        <v/>
      </c>
      <c r="K1889" s="6" t="n"/>
    </row>
    <row r="1890">
      <c r="A1890" s="6" t="n"/>
      <c r="B1890" s="6" t="n"/>
      <c r="C1890" s="19" t="n"/>
      <c r="D1890" s="19" t="n"/>
      <c r="E1890" s="6" t="n"/>
      <c r="F1890" s="20" t="n"/>
      <c r="G1890" s="9">
        <f>IF($F1890="","",IF($F1890&gt;0,ROUND($F1890,2),""))</f>
        <v/>
      </c>
      <c r="H1890" s="12">
        <f>IF(OR($B1890="",$C1890="",$G1890=""),"",COUNTIFS(Ventes_Encaissements!$E$6:$E$3005,$B1890,Ventes_Encaissements!$J$6:$J$3005,$G1890,Ventes_Encaissements!$C$6:$C$3005,"&gt;="&amp;($C1890-3),Ventes_Encaissements!$C$6:$C$3005,"&lt;="&amp;($C1890+3)))</f>
        <v/>
      </c>
      <c r="I1890" s="12">
        <f>IF($H1890="","",IF($H1890=0,"Non trouvé",IF($H1890=1,"Match","À vérifier")))</f>
        <v/>
      </c>
      <c r="J1890" s="21">
        <f>IF($I1890&lt;&gt;"Match","",INDEX(Ventes_Encaissements!$B$6:$B$3005,_xludf.AGGREGATE(15,6,(ROW(Ventes_Encaissements!$B$6:$B$3005)-ROW(Ventes_Encaissements!$B$6)+1)/((Ventes_Encaissements!$E$6:$E$3005=$B1890)*(Ventes_Encaissements!$J$6:$J$3005=$G1890)*(Ventes_Encaissements!$C$6:$C$3005&gt;=$C1890-3)*(Ventes_Encaissements!$C$6:$C$3005&lt;=$C1890+3)),1)))</f>
        <v/>
      </c>
      <c r="K1890" s="6" t="n"/>
    </row>
    <row r="1891">
      <c r="A1891" s="6" t="n"/>
      <c r="B1891" s="6" t="n"/>
      <c r="C1891" s="19" t="n"/>
      <c r="D1891" s="19" t="n"/>
      <c r="E1891" s="6" t="n"/>
      <c r="F1891" s="20" t="n"/>
      <c r="G1891" s="9">
        <f>IF($F1891="","",IF($F1891&gt;0,ROUND($F1891,2),""))</f>
        <v/>
      </c>
      <c r="H1891" s="12">
        <f>IF(OR($B1891="",$C1891="",$G1891=""),"",COUNTIFS(Ventes_Encaissements!$E$6:$E$3005,$B1891,Ventes_Encaissements!$J$6:$J$3005,$G1891,Ventes_Encaissements!$C$6:$C$3005,"&gt;="&amp;($C1891-3),Ventes_Encaissements!$C$6:$C$3005,"&lt;="&amp;($C1891+3)))</f>
        <v/>
      </c>
      <c r="I1891" s="12">
        <f>IF($H1891="","",IF($H1891=0,"Non trouvé",IF($H1891=1,"Match","À vérifier")))</f>
        <v/>
      </c>
      <c r="J1891" s="21">
        <f>IF($I1891&lt;&gt;"Match","",INDEX(Ventes_Encaissements!$B$6:$B$3005,_xludf.AGGREGATE(15,6,(ROW(Ventes_Encaissements!$B$6:$B$3005)-ROW(Ventes_Encaissements!$B$6)+1)/((Ventes_Encaissements!$E$6:$E$3005=$B1891)*(Ventes_Encaissements!$J$6:$J$3005=$G1891)*(Ventes_Encaissements!$C$6:$C$3005&gt;=$C1891-3)*(Ventes_Encaissements!$C$6:$C$3005&lt;=$C1891+3)),1)))</f>
        <v/>
      </c>
      <c r="K1891" s="6" t="n"/>
    </row>
    <row r="1892">
      <c r="A1892" s="6" t="n"/>
      <c r="B1892" s="6" t="n"/>
      <c r="C1892" s="19" t="n"/>
      <c r="D1892" s="19" t="n"/>
      <c r="E1892" s="6" t="n"/>
      <c r="F1892" s="20" t="n"/>
      <c r="G1892" s="9">
        <f>IF($F1892="","",IF($F1892&gt;0,ROUND($F1892,2),""))</f>
        <v/>
      </c>
      <c r="H1892" s="12">
        <f>IF(OR($B1892="",$C1892="",$G1892=""),"",COUNTIFS(Ventes_Encaissements!$E$6:$E$3005,$B1892,Ventes_Encaissements!$J$6:$J$3005,$G1892,Ventes_Encaissements!$C$6:$C$3005,"&gt;="&amp;($C1892-3),Ventes_Encaissements!$C$6:$C$3005,"&lt;="&amp;($C1892+3)))</f>
        <v/>
      </c>
      <c r="I1892" s="12">
        <f>IF($H1892="","",IF($H1892=0,"Non trouvé",IF($H1892=1,"Match","À vérifier")))</f>
        <v/>
      </c>
      <c r="J1892" s="21">
        <f>IF($I1892&lt;&gt;"Match","",INDEX(Ventes_Encaissements!$B$6:$B$3005,_xludf.AGGREGATE(15,6,(ROW(Ventes_Encaissements!$B$6:$B$3005)-ROW(Ventes_Encaissements!$B$6)+1)/((Ventes_Encaissements!$E$6:$E$3005=$B1892)*(Ventes_Encaissements!$J$6:$J$3005=$G1892)*(Ventes_Encaissements!$C$6:$C$3005&gt;=$C1892-3)*(Ventes_Encaissements!$C$6:$C$3005&lt;=$C1892+3)),1)))</f>
        <v/>
      </c>
      <c r="K1892" s="6" t="n"/>
    </row>
    <row r="1893">
      <c r="A1893" s="6" t="n"/>
      <c r="B1893" s="6" t="n"/>
      <c r="C1893" s="19" t="n"/>
      <c r="D1893" s="19" t="n"/>
      <c r="E1893" s="6" t="n"/>
      <c r="F1893" s="20" t="n"/>
      <c r="G1893" s="9">
        <f>IF($F1893="","",IF($F1893&gt;0,ROUND($F1893,2),""))</f>
        <v/>
      </c>
      <c r="H1893" s="12">
        <f>IF(OR($B1893="",$C1893="",$G1893=""),"",COUNTIFS(Ventes_Encaissements!$E$6:$E$3005,$B1893,Ventes_Encaissements!$J$6:$J$3005,$G1893,Ventes_Encaissements!$C$6:$C$3005,"&gt;="&amp;($C1893-3),Ventes_Encaissements!$C$6:$C$3005,"&lt;="&amp;($C1893+3)))</f>
        <v/>
      </c>
      <c r="I1893" s="12">
        <f>IF($H1893="","",IF($H1893=0,"Non trouvé",IF($H1893=1,"Match","À vérifier")))</f>
        <v/>
      </c>
      <c r="J1893" s="21">
        <f>IF($I1893&lt;&gt;"Match","",INDEX(Ventes_Encaissements!$B$6:$B$3005,_xludf.AGGREGATE(15,6,(ROW(Ventes_Encaissements!$B$6:$B$3005)-ROW(Ventes_Encaissements!$B$6)+1)/((Ventes_Encaissements!$E$6:$E$3005=$B1893)*(Ventes_Encaissements!$J$6:$J$3005=$G1893)*(Ventes_Encaissements!$C$6:$C$3005&gt;=$C1893-3)*(Ventes_Encaissements!$C$6:$C$3005&lt;=$C1893+3)),1)))</f>
        <v/>
      </c>
      <c r="K1893" s="6" t="n"/>
    </row>
    <row r="1894">
      <c r="A1894" s="6" t="n"/>
      <c r="B1894" s="6" t="n"/>
      <c r="C1894" s="19" t="n"/>
      <c r="D1894" s="19" t="n"/>
      <c r="E1894" s="6" t="n"/>
      <c r="F1894" s="20" t="n"/>
      <c r="G1894" s="9">
        <f>IF($F1894="","",IF($F1894&gt;0,ROUND($F1894,2),""))</f>
        <v/>
      </c>
      <c r="H1894" s="12">
        <f>IF(OR($B1894="",$C1894="",$G1894=""),"",COUNTIFS(Ventes_Encaissements!$E$6:$E$3005,$B1894,Ventes_Encaissements!$J$6:$J$3005,$G1894,Ventes_Encaissements!$C$6:$C$3005,"&gt;="&amp;($C1894-3),Ventes_Encaissements!$C$6:$C$3005,"&lt;="&amp;($C1894+3)))</f>
        <v/>
      </c>
      <c r="I1894" s="12">
        <f>IF($H1894="","",IF($H1894=0,"Non trouvé",IF($H1894=1,"Match","À vérifier")))</f>
        <v/>
      </c>
      <c r="J1894" s="21">
        <f>IF($I1894&lt;&gt;"Match","",INDEX(Ventes_Encaissements!$B$6:$B$3005,_xludf.AGGREGATE(15,6,(ROW(Ventes_Encaissements!$B$6:$B$3005)-ROW(Ventes_Encaissements!$B$6)+1)/((Ventes_Encaissements!$E$6:$E$3005=$B1894)*(Ventes_Encaissements!$J$6:$J$3005=$G1894)*(Ventes_Encaissements!$C$6:$C$3005&gt;=$C1894-3)*(Ventes_Encaissements!$C$6:$C$3005&lt;=$C1894+3)),1)))</f>
        <v/>
      </c>
      <c r="K1894" s="6" t="n"/>
    </row>
    <row r="1895">
      <c r="A1895" s="6" t="n"/>
      <c r="B1895" s="6" t="n"/>
      <c r="C1895" s="19" t="n"/>
      <c r="D1895" s="19" t="n"/>
      <c r="E1895" s="6" t="n"/>
      <c r="F1895" s="20" t="n"/>
      <c r="G1895" s="9">
        <f>IF($F1895="","",IF($F1895&gt;0,ROUND($F1895,2),""))</f>
        <v/>
      </c>
      <c r="H1895" s="12">
        <f>IF(OR($B1895="",$C1895="",$G1895=""),"",COUNTIFS(Ventes_Encaissements!$E$6:$E$3005,$B1895,Ventes_Encaissements!$J$6:$J$3005,$G1895,Ventes_Encaissements!$C$6:$C$3005,"&gt;="&amp;($C1895-3),Ventes_Encaissements!$C$6:$C$3005,"&lt;="&amp;($C1895+3)))</f>
        <v/>
      </c>
      <c r="I1895" s="12">
        <f>IF($H1895="","",IF($H1895=0,"Non trouvé",IF($H1895=1,"Match","À vérifier")))</f>
        <v/>
      </c>
      <c r="J1895" s="21">
        <f>IF($I1895&lt;&gt;"Match","",INDEX(Ventes_Encaissements!$B$6:$B$3005,_xludf.AGGREGATE(15,6,(ROW(Ventes_Encaissements!$B$6:$B$3005)-ROW(Ventes_Encaissements!$B$6)+1)/((Ventes_Encaissements!$E$6:$E$3005=$B1895)*(Ventes_Encaissements!$J$6:$J$3005=$G1895)*(Ventes_Encaissements!$C$6:$C$3005&gt;=$C1895-3)*(Ventes_Encaissements!$C$6:$C$3005&lt;=$C1895+3)),1)))</f>
        <v/>
      </c>
      <c r="K1895" s="6" t="n"/>
    </row>
    <row r="1896">
      <c r="A1896" s="6" t="n"/>
      <c r="B1896" s="6" t="n"/>
      <c r="C1896" s="19" t="n"/>
      <c r="D1896" s="19" t="n"/>
      <c r="E1896" s="6" t="n"/>
      <c r="F1896" s="20" t="n"/>
      <c r="G1896" s="9">
        <f>IF($F1896="","",IF($F1896&gt;0,ROUND($F1896,2),""))</f>
        <v/>
      </c>
      <c r="H1896" s="12">
        <f>IF(OR($B1896="",$C1896="",$G1896=""),"",COUNTIFS(Ventes_Encaissements!$E$6:$E$3005,$B1896,Ventes_Encaissements!$J$6:$J$3005,$G1896,Ventes_Encaissements!$C$6:$C$3005,"&gt;="&amp;($C1896-3),Ventes_Encaissements!$C$6:$C$3005,"&lt;="&amp;($C1896+3)))</f>
        <v/>
      </c>
      <c r="I1896" s="12">
        <f>IF($H1896="","",IF($H1896=0,"Non trouvé",IF($H1896=1,"Match","À vérifier")))</f>
        <v/>
      </c>
      <c r="J1896" s="21">
        <f>IF($I1896&lt;&gt;"Match","",INDEX(Ventes_Encaissements!$B$6:$B$3005,_xludf.AGGREGATE(15,6,(ROW(Ventes_Encaissements!$B$6:$B$3005)-ROW(Ventes_Encaissements!$B$6)+1)/((Ventes_Encaissements!$E$6:$E$3005=$B1896)*(Ventes_Encaissements!$J$6:$J$3005=$G1896)*(Ventes_Encaissements!$C$6:$C$3005&gt;=$C1896-3)*(Ventes_Encaissements!$C$6:$C$3005&lt;=$C1896+3)),1)))</f>
        <v/>
      </c>
      <c r="K1896" s="6" t="n"/>
    </row>
    <row r="1897">
      <c r="A1897" s="6" t="n"/>
      <c r="B1897" s="6" t="n"/>
      <c r="C1897" s="19" t="n"/>
      <c r="D1897" s="19" t="n"/>
      <c r="E1897" s="6" t="n"/>
      <c r="F1897" s="20" t="n"/>
      <c r="G1897" s="9">
        <f>IF($F1897="","",IF($F1897&gt;0,ROUND($F1897,2),""))</f>
        <v/>
      </c>
      <c r="H1897" s="12">
        <f>IF(OR($B1897="",$C1897="",$G1897=""),"",COUNTIFS(Ventes_Encaissements!$E$6:$E$3005,$B1897,Ventes_Encaissements!$J$6:$J$3005,$G1897,Ventes_Encaissements!$C$6:$C$3005,"&gt;="&amp;($C1897-3),Ventes_Encaissements!$C$6:$C$3005,"&lt;="&amp;($C1897+3)))</f>
        <v/>
      </c>
      <c r="I1897" s="12">
        <f>IF($H1897="","",IF($H1897=0,"Non trouvé",IF($H1897=1,"Match","À vérifier")))</f>
        <v/>
      </c>
      <c r="J1897" s="21">
        <f>IF($I1897&lt;&gt;"Match","",INDEX(Ventes_Encaissements!$B$6:$B$3005,_xludf.AGGREGATE(15,6,(ROW(Ventes_Encaissements!$B$6:$B$3005)-ROW(Ventes_Encaissements!$B$6)+1)/((Ventes_Encaissements!$E$6:$E$3005=$B1897)*(Ventes_Encaissements!$J$6:$J$3005=$G1897)*(Ventes_Encaissements!$C$6:$C$3005&gt;=$C1897-3)*(Ventes_Encaissements!$C$6:$C$3005&lt;=$C1897+3)),1)))</f>
        <v/>
      </c>
      <c r="K1897" s="6" t="n"/>
    </row>
    <row r="1898">
      <c r="A1898" s="6" t="n"/>
      <c r="B1898" s="6" t="n"/>
      <c r="C1898" s="19" t="n"/>
      <c r="D1898" s="19" t="n"/>
      <c r="E1898" s="6" t="n"/>
      <c r="F1898" s="20" t="n"/>
      <c r="G1898" s="9">
        <f>IF($F1898="","",IF($F1898&gt;0,ROUND($F1898,2),""))</f>
        <v/>
      </c>
      <c r="H1898" s="12">
        <f>IF(OR($B1898="",$C1898="",$G1898=""),"",COUNTIFS(Ventes_Encaissements!$E$6:$E$3005,$B1898,Ventes_Encaissements!$J$6:$J$3005,$G1898,Ventes_Encaissements!$C$6:$C$3005,"&gt;="&amp;($C1898-3),Ventes_Encaissements!$C$6:$C$3005,"&lt;="&amp;($C1898+3)))</f>
        <v/>
      </c>
      <c r="I1898" s="12">
        <f>IF($H1898="","",IF($H1898=0,"Non trouvé",IF($H1898=1,"Match","À vérifier")))</f>
        <v/>
      </c>
      <c r="J1898" s="21">
        <f>IF($I1898&lt;&gt;"Match","",INDEX(Ventes_Encaissements!$B$6:$B$3005,_xludf.AGGREGATE(15,6,(ROW(Ventes_Encaissements!$B$6:$B$3005)-ROW(Ventes_Encaissements!$B$6)+1)/((Ventes_Encaissements!$E$6:$E$3005=$B1898)*(Ventes_Encaissements!$J$6:$J$3005=$G1898)*(Ventes_Encaissements!$C$6:$C$3005&gt;=$C1898-3)*(Ventes_Encaissements!$C$6:$C$3005&lt;=$C1898+3)),1)))</f>
        <v/>
      </c>
      <c r="K1898" s="6" t="n"/>
    </row>
    <row r="1899">
      <c r="A1899" s="6" t="n"/>
      <c r="B1899" s="6" t="n"/>
      <c r="C1899" s="19" t="n"/>
      <c r="D1899" s="19" t="n"/>
      <c r="E1899" s="6" t="n"/>
      <c r="F1899" s="20" t="n"/>
      <c r="G1899" s="9">
        <f>IF($F1899="","",IF($F1899&gt;0,ROUND($F1899,2),""))</f>
        <v/>
      </c>
      <c r="H1899" s="12">
        <f>IF(OR($B1899="",$C1899="",$G1899=""),"",COUNTIFS(Ventes_Encaissements!$E$6:$E$3005,$B1899,Ventes_Encaissements!$J$6:$J$3005,$G1899,Ventes_Encaissements!$C$6:$C$3005,"&gt;="&amp;($C1899-3),Ventes_Encaissements!$C$6:$C$3005,"&lt;="&amp;($C1899+3)))</f>
        <v/>
      </c>
      <c r="I1899" s="12">
        <f>IF($H1899="","",IF($H1899=0,"Non trouvé",IF($H1899=1,"Match","À vérifier")))</f>
        <v/>
      </c>
      <c r="J1899" s="21">
        <f>IF($I1899&lt;&gt;"Match","",INDEX(Ventes_Encaissements!$B$6:$B$3005,_xludf.AGGREGATE(15,6,(ROW(Ventes_Encaissements!$B$6:$B$3005)-ROW(Ventes_Encaissements!$B$6)+1)/((Ventes_Encaissements!$E$6:$E$3005=$B1899)*(Ventes_Encaissements!$J$6:$J$3005=$G1899)*(Ventes_Encaissements!$C$6:$C$3005&gt;=$C1899-3)*(Ventes_Encaissements!$C$6:$C$3005&lt;=$C1899+3)),1)))</f>
        <v/>
      </c>
      <c r="K1899" s="6" t="n"/>
    </row>
    <row r="1900">
      <c r="A1900" s="6" t="n"/>
      <c r="B1900" s="6" t="n"/>
      <c r="C1900" s="19" t="n"/>
      <c r="D1900" s="19" t="n"/>
      <c r="E1900" s="6" t="n"/>
      <c r="F1900" s="20" t="n"/>
      <c r="G1900" s="9">
        <f>IF($F1900="","",IF($F1900&gt;0,ROUND($F1900,2),""))</f>
        <v/>
      </c>
      <c r="H1900" s="12">
        <f>IF(OR($B1900="",$C1900="",$G1900=""),"",COUNTIFS(Ventes_Encaissements!$E$6:$E$3005,$B1900,Ventes_Encaissements!$J$6:$J$3005,$G1900,Ventes_Encaissements!$C$6:$C$3005,"&gt;="&amp;($C1900-3),Ventes_Encaissements!$C$6:$C$3005,"&lt;="&amp;($C1900+3)))</f>
        <v/>
      </c>
      <c r="I1900" s="12">
        <f>IF($H1900="","",IF($H1900=0,"Non trouvé",IF($H1900=1,"Match","À vérifier")))</f>
        <v/>
      </c>
      <c r="J1900" s="21">
        <f>IF($I1900&lt;&gt;"Match","",INDEX(Ventes_Encaissements!$B$6:$B$3005,_xludf.AGGREGATE(15,6,(ROW(Ventes_Encaissements!$B$6:$B$3005)-ROW(Ventes_Encaissements!$B$6)+1)/((Ventes_Encaissements!$E$6:$E$3005=$B1900)*(Ventes_Encaissements!$J$6:$J$3005=$G1900)*(Ventes_Encaissements!$C$6:$C$3005&gt;=$C1900-3)*(Ventes_Encaissements!$C$6:$C$3005&lt;=$C1900+3)),1)))</f>
        <v/>
      </c>
      <c r="K1900" s="6" t="n"/>
    </row>
    <row r="1901">
      <c r="A1901" s="6" t="n"/>
      <c r="B1901" s="6" t="n"/>
      <c r="C1901" s="19" t="n"/>
      <c r="D1901" s="19" t="n"/>
      <c r="E1901" s="6" t="n"/>
      <c r="F1901" s="20" t="n"/>
      <c r="G1901" s="9">
        <f>IF($F1901="","",IF($F1901&gt;0,ROUND($F1901,2),""))</f>
        <v/>
      </c>
      <c r="H1901" s="12">
        <f>IF(OR($B1901="",$C1901="",$G1901=""),"",COUNTIFS(Ventes_Encaissements!$E$6:$E$3005,$B1901,Ventes_Encaissements!$J$6:$J$3005,$G1901,Ventes_Encaissements!$C$6:$C$3005,"&gt;="&amp;($C1901-3),Ventes_Encaissements!$C$6:$C$3005,"&lt;="&amp;($C1901+3)))</f>
        <v/>
      </c>
      <c r="I1901" s="12">
        <f>IF($H1901="","",IF($H1901=0,"Non trouvé",IF($H1901=1,"Match","À vérifier")))</f>
        <v/>
      </c>
      <c r="J1901" s="21">
        <f>IF($I1901&lt;&gt;"Match","",INDEX(Ventes_Encaissements!$B$6:$B$3005,_xludf.AGGREGATE(15,6,(ROW(Ventes_Encaissements!$B$6:$B$3005)-ROW(Ventes_Encaissements!$B$6)+1)/((Ventes_Encaissements!$E$6:$E$3005=$B1901)*(Ventes_Encaissements!$J$6:$J$3005=$G1901)*(Ventes_Encaissements!$C$6:$C$3005&gt;=$C1901-3)*(Ventes_Encaissements!$C$6:$C$3005&lt;=$C1901+3)),1)))</f>
        <v/>
      </c>
      <c r="K1901" s="6" t="n"/>
    </row>
    <row r="1902">
      <c r="A1902" s="6" t="n"/>
      <c r="B1902" s="6" t="n"/>
      <c r="C1902" s="19" t="n"/>
      <c r="D1902" s="19" t="n"/>
      <c r="E1902" s="6" t="n"/>
      <c r="F1902" s="20" t="n"/>
      <c r="G1902" s="9">
        <f>IF($F1902="","",IF($F1902&gt;0,ROUND($F1902,2),""))</f>
        <v/>
      </c>
      <c r="H1902" s="12">
        <f>IF(OR($B1902="",$C1902="",$G1902=""),"",COUNTIFS(Ventes_Encaissements!$E$6:$E$3005,$B1902,Ventes_Encaissements!$J$6:$J$3005,$G1902,Ventes_Encaissements!$C$6:$C$3005,"&gt;="&amp;($C1902-3),Ventes_Encaissements!$C$6:$C$3005,"&lt;="&amp;($C1902+3)))</f>
        <v/>
      </c>
      <c r="I1902" s="12">
        <f>IF($H1902="","",IF($H1902=0,"Non trouvé",IF($H1902=1,"Match","À vérifier")))</f>
        <v/>
      </c>
      <c r="J1902" s="21">
        <f>IF($I1902&lt;&gt;"Match","",INDEX(Ventes_Encaissements!$B$6:$B$3005,_xludf.AGGREGATE(15,6,(ROW(Ventes_Encaissements!$B$6:$B$3005)-ROW(Ventes_Encaissements!$B$6)+1)/((Ventes_Encaissements!$E$6:$E$3005=$B1902)*(Ventes_Encaissements!$J$6:$J$3005=$G1902)*(Ventes_Encaissements!$C$6:$C$3005&gt;=$C1902-3)*(Ventes_Encaissements!$C$6:$C$3005&lt;=$C1902+3)),1)))</f>
        <v/>
      </c>
      <c r="K1902" s="6" t="n"/>
    </row>
    <row r="1903">
      <c r="A1903" s="6" t="n"/>
      <c r="B1903" s="6" t="n"/>
      <c r="C1903" s="19" t="n"/>
      <c r="D1903" s="19" t="n"/>
      <c r="E1903" s="6" t="n"/>
      <c r="F1903" s="20" t="n"/>
      <c r="G1903" s="9">
        <f>IF($F1903="","",IF($F1903&gt;0,ROUND($F1903,2),""))</f>
        <v/>
      </c>
      <c r="H1903" s="12">
        <f>IF(OR($B1903="",$C1903="",$G1903=""),"",COUNTIFS(Ventes_Encaissements!$E$6:$E$3005,$B1903,Ventes_Encaissements!$J$6:$J$3005,$G1903,Ventes_Encaissements!$C$6:$C$3005,"&gt;="&amp;($C1903-3),Ventes_Encaissements!$C$6:$C$3005,"&lt;="&amp;($C1903+3)))</f>
        <v/>
      </c>
      <c r="I1903" s="12">
        <f>IF($H1903="","",IF($H1903=0,"Non trouvé",IF($H1903=1,"Match","À vérifier")))</f>
        <v/>
      </c>
      <c r="J1903" s="21">
        <f>IF($I1903&lt;&gt;"Match","",INDEX(Ventes_Encaissements!$B$6:$B$3005,_xludf.AGGREGATE(15,6,(ROW(Ventes_Encaissements!$B$6:$B$3005)-ROW(Ventes_Encaissements!$B$6)+1)/((Ventes_Encaissements!$E$6:$E$3005=$B1903)*(Ventes_Encaissements!$J$6:$J$3005=$G1903)*(Ventes_Encaissements!$C$6:$C$3005&gt;=$C1903-3)*(Ventes_Encaissements!$C$6:$C$3005&lt;=$C1903+3)),1)))</f>
        <v/>
      </c>
      <c r="K1903" s="6" t="n"/>
    </row>
    <row r="1904">
      <c r="A1904" s="6" t="n"/>
      <c r="B1904" s="6" t="n"/>
      <c r="C1904" s="19" t="n"/>
      <c r="D1904" s="19" t="n"/>
      <c r="E1904" s="6" t="n"/>
      <c r="F1904" s="20" t="n"/>
      <c r="G1904" s="9">
        <f>IF($F1904="","",IF($F1904&gt;0,ROUND($F1904,2),""))</f>
        <v/>
      </c>
      <c r="H1904" s="12">
        <f>IF(OR($B1904="",$C1904="",$G1904=""),"",COUNTIFS(Ventes_Encaissements!$E$6:$E$3005,$B1904,Ventes_Encaissements!$J$6:$J$3005,$G1904,Ventes_Encaissements!$C$6:$C$3005,"&gt;="&amp;($C1904-3),Ventes_Encaissements!$C$6:$C$3005,"&lt;="&amp;($C1904+3)))</f>
        <v/>
      </c>
      <c r="I1904" s="12">
        <f>IF($H1904="","",IF($H1904=0,"Non trouvé",IF($H1904=1,"Match","À vérifier")))</f>
        <v/>
      </c>
      <c r="J1904" s="21">
        <f>IF($I1904&lt;&gt;"Match","",INDEX(Ventes_Encaissements!$B$6:$B$3005,_xludf.AGGREGATE(15,6,(ROW(Ventes_Encaissements!$B$6:$B$3005)-ROW(Ventes_Encaissements!$B$6)+1)/((Ventes_Encaissements!$E$6:$E$3005=$B1904)*(Ventes_Encaissements!$J$6:$J$3005=$G1904)*(Ventes_Encaissements!$C$6:$C$3005&gt;=$C1904-3)*(Ventes_Encaissements!$C$6:$C$3005&lt;=$C1904+3)),1)))</f>
        <v/>
      </c>
      <c r="K1904" s="6" t="n"/>
    </row>
    <row r="1905">
      <c r="A1905" s="6" t="n"/>
      <c r="B1905" s="6" t="n"/>
      <c r="C1905" s="19" t="n"/>
      <c r="D1905" s="19" t="n"/>
      <c r="E1905" s="6" t="n"/>
      <c r="F1905" s="20" t="n"/>
      <c r="G1905" s="9">
        <f>IF($F1905="","",IF($F1905&gt;0,ROUND($F1905,2),""))</f>
        <v/>
      </c>
      <c r="H1905" s="12">
        <f>IF(OR($B1905="",$C1905="",$G1905=""),"",COUNTIFS(Ventes_Encaissements!$E$6:$E$3005,$B1905,Ventes_Encaissements!$J$6:$J$3005,$G1905,Ventes_Encaissements!$C$6:$C$3005,"&gt;="&amp;($C1905-3),Ventes_Encaissements!$C$6:$C$3005,"&lt;="&amp;($C1905+3)))</f>
        <v/>
      </c>
      <c r="I1905" s="12">
        <f>IF($H1905="","",IF($H1905=0,"Non trouvé",IF($H1905=1,"Match","À vérifier")))</f>
        <v/>
      </c>
      <c r="J1905" s="21">
        <f>IF($I1905&lt;&gt;"Match","",INDEX(Ventes_Encaissements!$B$6:$B$3005,_xludf.AGGREGATE(15,6,(ROW(Ventes_Encaissements!$B$6:$B$3005)-ROW(Ventes_Encaissements!$B$6)+1)/((Ventes_Encaissements!$E$6:$E$3005=$B1905)*(Ventes_Encaissements!$J$6:$J$3005=$G1905)*(Ventes_Encaissements!$C$6:$C$3005&gt;=$C1905-3)*(Ventes_Encaissements!$C$6:$C$3005&lt;=$C1905+3)),1)))</f>
        <v/>
      </c>
      <c r="K1905" s="6" t="n"/>
    </row>
    <row r="1906">
      <c r="A1906" s="6" t="n"/>
      <c r="B1906" s="6" t="n"/>
      <c r="C1906" s="19" t="n"/>
      <c r="D1906" s="19" t="n"/>
      <c r="E1906" s="6" t="n"/>
      <c r="F1906" s="20" t="n"/>
      <c r="G1906" s="9">
        <f>IF($F1906="","",IF($F1906&gt;0,ROUND($F1906,2),""))</f>
        <v/>
      </c>
      <c r="H1906" s="12">
        <f>IF(OR($B1906="",$C1906="",$G1906=""),"",COUNTIFS(Ventes_Encaissements!$E$6:$E$3005,$B1906,Ventes_Encaissements!$J$6:$J$3005,$G1906,Ventes_Encaissements!$C$6:$C$3005,"&gt;="&amp;($C1906-3),Ventes_Encaissements!$C$6:$C$3005,"&lt;="&amp;($C1906+3)))</f>
        <v/>
      </c>
      <c r="I1906" s="12">
        <f>IF($H1906="","",IF($H1906=0,"Non trouvé",IF($H1906=1,"Match","À vérifier")))</f>
        <v/>
      </c>
      <c r="J1906" s="21">
        <f>IF($I1906&lt;&gt;"Match","",INDEX(Ventes_Encaissements!$B$6:$B$3005,_xludf.AGGREGATE(15,6,(ROW(Ventes_Encaissements!$B$6:$B$3005)-ROW(Ventes_Encaissements!$B$6)+1)/((Ventes_Encaissements!$E$6:$E$3005=$B1906)*(Ventes_Encaissements!$J$6:$J$3005=$G1906)*(Ventes_Encaissements!$C$6:$C$3005&gt;=$C1906-3)*(Ventes_Encaissements!$C$6:$C$3005&lt;=$C1906+3)),1)))</f>
        <v/>
      </c>
      <c r="K1906" s="6" t="n"/>
    </row>
    <row r="1907">
      <c r="A1907" s="6" t="n"/>
      <c r="B1907" s="6" t="n"/>
      <c r="C1907" s="19" t="n"/>
      <c r="D1907" s="19" t="n"/>
      <c r="E1907" s="6" t="n"/>
      <c r="F1907" s="20" t="n"/>
      <c r="G1907" s="9">
        <f>IF($F1907="","",IF($F1907&gt;0,ROUND($F1907,2),""))</f>
        <v/>
      </c>
      <c r="H1907" s="12">
        <f>IF(OR($B1907="",$C1907="",$G1907=""),"",COUNTIFS(Ventes_Encaissements!$E$6:$E$3005,$B1907,Ventes_Encaissements!$J$6:$J$3005,$G1907,Ventes_Encaissements!$C$6:$C$3005,"&gt;="&amp;($C1907-3),Ventes_Encaissements!$C$6:$C$3005,"&lt;="&amp;($C1907+3)))</f>
        <v/>
      </c>
      <c r="I1907" s="12">
        <f>IF($H1907="","",IF($H1907=0,"Non trouvé",IF($H1907=1,"Match","À vérifier")))</f>
        <v/>
      </c>
      <c r="J1907" s="21">
        <f>IF($I1907&lt;&gt;"Match","",INDEX(Ventes_Encaissements!$B$6:$B$3005,_xludf.AGGREGATE(15,6,(ROW(Ventes_Encaissements!$B$6:$B$3005)-ROW(Ventes_Encaissements!$B$6)+1)/((Ventes_Encaissements!$E$6:$E$3005=$B1907)*(Ventes_Encaissements!$J$6:$J$3005=$G1907)*(Ventes_Encaissements!$C$6:$C$3005&gt;=$C1907-3)*(Ventes_Encaissements!$C$6:$C$3005&lt;=$C1907+3)),1)))</f>
        <v/>
      </c>
      <c r="K1907" s="6" t="n"/>
    </row>
    <row r="1908">
      <c r="A1908" s="6" t="n"/>
      <c r="B1908" s="6" t="n"/>
      <c r="C1908" s="19" t="n"/>
      <c r="D1908" s="19" t="n"/>
      <c r="E1908" s="6" t="n"/>
      <c r="F1908" s="20" t="n"/>
      <c r="G1908" s="9">
        <f>IF($F1908="","",IF($F1908&gt;0,ROUND($F1908,2),""))</f>
        <v/>
      </c>
      <c r="H1908" s="12">
        <f>IF(OR($B1908="",$C1908="",$G1908=""),"",COUNTIFS(Ventes_Encaissements!$E$6:$E$3005,$B1908,Ventes_Encaissements!$J$6:$J$3005,$G1908,Ventes_Encaissements!$C$6:$C$3005,"&gt;="&amp;($C1908-3),Ventes_Encaissements!$C$6:$C$3005,"&lt;="&amp;($C1908+3)))</f>
        <v/>
      </c>
      <c r="I1908" s="12">
        <f>IF($H1908="","",IF($H1908=0,"Non trouvé",IF($H1908=1,"Match","À vérifier")))</f>
        <v/>
      </c>
      <c r="J1908" s="21">
        <f>IF($I1908&lt;&gt;"Match","",INDEX(Ventes_Encaissements!$B$6:$B$3005,_xludf.AGGREGATE(15,6,(ROW(Ventes_Encaissements!$B$6:$B$3005)-ROW(Ventes_Encaissements!$B$6)+1)/((Ventes_Encaissements!$E$6:$E$3005=$B1908)*(Ventes_Encaissements!$J$6:$J$3005=$G1908)*(Ventes_Encaissements!$C$6:$C$3005&gt;=$C1908-3)*(Ventes_Encaissements!$C$6:$C$3005&lt;=$C1908+3)),1)))</f>
        <v/>
      </c>
      <c r="K1908" s="6" t="n"/>
    </row>
    <row r="1909">
      <c r="A1909" s="6" t="n"/>
      <c r="B1909" s="6" t="n"/>
      <c r="C1909" s="19" t="n"/>
      <c r="D1909" s="19" t="n"/>
      <c r="E1909" s="6" t="n"/>
      <c r="F1909" s="20" t="n"/>
      <c r="G1909" s="9">
        <f>IF($F1909="","",IF($F1909&gt;0,ROUND($F1909,2),""))</f>
        <v/>
      </c>
      <c r="H1909" s="12">
        <f>IF(OR($B1909="",$C1909="",$G1909=""),"",COUNTIFS(Ventes_Encaissements!$E$6:$E$3005,$B1909,Ventes_Encaissements!$J$6:$J$3005,$G1909,Ventes_Encaissements!$C$6:$C$3005,"&gt;="&amp;($C1909-3),Ventes_Encaissements!$C$6:$C$3005,"&lt;="&amp;($C1909+3)))</f>
        <v/>
      </c>
      <c r="I1909" s="12">
        <f>IF($H1909="","",IF($H1909=0,"Non trouvé",IF($H1909=1,"Match","À vérifier")))</f>
        <v/>
      </c>
      <c r="J1909" s="21">
        <f>IF($I1909&lt;&gt;"Match","",INDEX(Ventes_Encaissements!$B$6:$B$3005,_xludf.AGGREGATE(15,6,(ROW(Ventes_Encaissements!$B$6:$B$3005)-ROW(Ventes_Encaissements!$B$6)+1)/((Ventes_Encaissements!$E$6:$E$3005=$B1909)*(Ventes_Encaissements!$J$6:$J$3005=$G1909)*(Ventes_Encaissements!$C$6:$C$3005&gt;=$C1909-3)*(Ventes_Encaissements!$C$6:$C$3005&lt;=$C1909+3)),1)))</f>
        <v/>
      </c>
      <c r="K1909" s="6" t="n"/>
    </row>
    <row r="1910">
      <c r="A1910" s="6" t="n"/>
      <c r="B1910" s="6" t="n"/>
      <c r="C1910" s="19" t="n"/>
      <c r="D1910" s="19" t="n"/>
      <c r="E1910" s="6" t="n"/>
      <c r="F1910" s="20" t="n"/>
      <c r="G1910" s="9">
        <f>IF($F1910="","",IF($F1910&gt;0,ROUND($F1910,2),""))</f>
        <v/>
      </c>
      <c r="H1910" s="12">
        <f>IF(OR($B1910="",$C1910="",$G1910=""),"",COUNTIFS(Ventes_Encaissements!$E$6:$E$3005,$B1910,Ventes_Encaissements!$J$6:$J$3005,$G1910,Ventes_Encaissements!$C$6:$C$3005,"&gt;="&amp;($C1910-3),Ventes_Encaissements!$C$6:$C$3005,"&lt;="&amp;($C1910+3)))</f>
        <v/>
      </c>
      <c r="I1910" s="12">
        <f>IF($H1910="","",IF($H1910=0,"Non trouvé",IF($H1910=1,"Match","À vérifier")))</f>
        <v/>
      </c>
      <c r="J1910" s="21">
        <f>IF($I1910&lt;&gt;"Match","",INDEX(Ventes_Encaissements!$B$6:$B$3005,_xludf.AGGREGATE(15,6,(ROW(Ventes_Encaissements!$B$6:$B$3005)-ROW(Ventes_Encaissements!$B$6)+1)/((Ventes_Encaissements!$E$6:$E$3005=$B1910)*(Ventes_Encaissements!$J$6:$J$3005=$G1910)*(Ventes_Encaissements!$C$6:$C$3005&gt;=$C1910-3)*(Ventes_Encaissements!$C$6:$C$3005&lt;=$C1910+3)),1)))</f>
        <v/>
      </c>
      <c r="K1910" s="6" t="n"/>
    </row>
    <row r="1911">
      <c r="A1911" s="6" t="n"/>
      <c r="B1911" s="6" t="n"/>
      <c r="C1911" s="19" t="n"/>
      <c r="D1911" s="19" t="n"/>
      <c r="E1911" s="6" t="n"/>
      <c r="F1911" s="20" t="n"/>
      <c r="G1911" s="9">
        <f>IF($F1911="","",IF($F1911&gt;0,ROUND($F1911,2),""))</f>
        <v/>
      </c>
      <c r="H1911" s="12">
        <f>IF(OR($B1911="",$C1911="",$G1911=""),"",COUNTIFS(Ventes_Encaissements!$E$6:$E$3005,$B1911,Ventes_Encaissements!$J$6:$J$3005,$G1911,Ventes_Encaissements!$C$6:$C$3005,"&gt;="&amp;($C1911-3),Ventes_Encaissements!$C$6:$C$3005,"&lt;="&amp;($C1911+3)))</f>
        <v/>
      </c>
      <c r="I1911" s="12">
        <f>IF($H1911="","",IF($H1911=0,"Non trouvé",IF($H1911=1,"Match","À vérifier")))</f>
        <v/>
      </c>
      <c r="J1911" s="21">
        <f>IF($I1911&lt;&gt;"Match","",INDEX(Ventes_Encaissements!$B$6:$B$3005,_xludf.AGGREGATE(15,6,(ROW(Ventes_Encaissements!$B$6:$B$3005)-ROW(Ventes_Encaissements!$B$6)+1)/((Ventes_Encaissements!$E$6:$E$3005=$B1911)*(Ventes_Encaissements!$J$6:$J$3005=$G1911)*(Ventes_Encaissements!$C$6:$C$3005&gt;=$C1911-3)*(Ventes_Encaissements!$C$6:$C$3005&lt;=$C1911+3)),1)))</f>
        <v/>
      </c>
      <c r="K1911" s="6" t="n"/>
    </row>
    <row r="1912">
      <c r="A1912" s="6" t="n"/>
      <c r="B1912" s="6" t="n"/>
      <c r="C1912" s="19" t="n"/>
      <c r="D1912" s="19" t="n"/>
      <c r="E1912" s="6" t="n"/>
      <c r="F1912" s="20" t="n"/>
      <c r="G1912" s="9">
        <f>IF($F1912="","",IF($F1912&gt;0,ROUND($F1912,2),""))</f>
        <v/>
      </c>
      <c r="H1912" s="12">
        <f>IF(OR($B1912="",$C1912="",$G1912=""),"",COUNTIFS(Ventes_Encaissements!$E$6:$E$3005,$B1912,Ventes_Encaissements!$J$6:$J$3005,$G1912,Ventes_Encaissements!$C$6:$C$3005,"&gt;="&amp;($C1912-3),Ventes_Encaissements!$C$6:$C$3005,"&lt;="&amp;($C1912+3)))</f>
        <v/>
      </c>
      <c r="I1912" s="12">
        <f>IF($H1912="","",IF($H1912=0,"Non trouvé",IF($H1912=1,"Match","À vérifier")))</f>
        <v/>
      </c>
      <c r="J1912" s="21">
        <f>IF($I1912&lt;&gt;"Match","",INDEX(Ventes_Encaissements!$B$6:$B$3005,_xludf.AGGREGATE(15,6,(ROW(Ventes_Encaissements!$B$6:$B$3005)-ROW(Ventes_Encaissements!$B$6)+1)/((Ventes_Encaissements!$E$6:$E$3005=$B1912)*(Ventes_Encaissements!$J$6:$J$3005=$G1912)*(Ventes_Encaissements!$C$6:$C$3005&gt;=$C1912-3)*(Ventes_Encaissements!$C$6:$C$3005&lt;=$C1912+3)),1)))</f>
        <v/>
      </c>
      <c r="K1912" s="6" t="n"/>
    </row>
    <row r="1913">
      <c r="A1913" s="6" t="n"/>
      <c r="B1913" s="6" t="n"/>
      <c r="C1913" s="19" t="n"/>
      <c r="D1913" s="19" t="n"/>
      <c r="E1913" s="6" t="n"/>
      <c r="F1913" s="20" t="n"/>
      <c r="G1913" s="9">
        <f>IF($F1913="","",IF($F1913&gt;0,ROUND($F1913,2),""))</f>
        <v/>
      </c>
      <c r="H1913" s="12">
        <f>IF(OR($B1913="",$C1913="",$G1913=""),"",COUNTIFS(Ventes_Encaissements!$E$6:$E$3005,$B1913,Ventes_Encaissements!$J$6:$J$3005,$G1913,Ventes_Encaissements!$C$6:$C$3005,"&gt;="&amp;($C1913-3),Ventes_Encaissements!$C$6:$C$3005,"&lt;="&amp;($C1913+3)))</f>
        <v/>
      </c>
      <c r="I1913" s="12">
        <f>IF($H1913="","",IF($H1913=0,"Non trouvé",IF($H1913=1,"Match","À vérifier")))</f>
        <v/>
      </c>
      <c r="J1913" s="21">
        <f>IF($I1913&lt;&gt;"Match","",INDEX(Ventes_Encaissements!$B$6:$B$3005,_xludf.AGGREGATE(15,6,(ROW(Ventes_Encaissements!$B$6:$B$3005)-ROW(Ventes_Encaissements!$B$6)+1)/((Ventes_Encaissements!$E$6:$E$3005=$B1913)*(Ventes_Encaissements!$J$6:$J$3005=$G1913)*(Ventes_Encaissements!$C$6:$C$3005&gt;=$C1913-3)*(Ventes_Encaissements!$C$6:$C$3005&lt;=$C1913+3)),1)))</f>
        <v/>
      </c>
      <c r="K1913" s="6" t="n"/>
    </row>
    <row r="1914">
      <c r="A1914" s="6" t="n"/>
      <c r="B1914" s="6" t="n"/>
      <c r="C1914" s="19" t="n"/>
      <c r="D1914" s="19" t="n"/>
      <c r="E1914" s="6" t="n"/>
      <c r="F1914" s="20" t="n"/>
      <c r="G1914" s="9">
        <f>IF($F1914="","",IF($F1914&gt;0,ROUND($F1914,2),""))</f>
        <v/>
      </c>
      <c r="H1914" s="12">
        <f>IF(OR($B1914="",$C1914="",$G1914=""),"",COUNTIFS(Ventes_Encaissements!$E$6:$E$3005,$B1914,Ventes_Encaissements!$J$6:$J$3005,$G1914,Ventes_Encaissements!$C$6:$C$3005,"&gt;="&amp;($C1914-3),Ventes_Encaissements!$C$6:$C$3005,"&lt;="&amp;($C1914+3)))</f>
        <v/>
      </c>
      <c r="I1914" s="12">
        <f>IF($H1914="","",IF($H1914=0,"Non trouvé",IF($H1914=1,"Match","À vérifier")))</f>
        <v/>
      </c>
      <c r="J1914" s="21">
        <f>IF($I1914&lt;&gt;"Match","",INDEX(Ventes_Encaissements!$B$6:$B$3005,_xludf.AGGREGATE(15,6,(ROW(Ventes_Encaissements!$B$6:$B$3005)-ROW(Ventes_Encaissements!$B$6)+1)/((Ventes_Encaissements!$E$6:$E$3005=$B1914)*(Ventes_Encaissements!$J$6:$J$3005=$G1914)*(Ventes_Encaissements!$C$6:$C$3005&gt;=$C1914-3)*(Ventes_Encaissements!$C$6:$C$3005&lt;=$C1914+3)),1)))</f>
        <v/>
      </c>
      <c r="K1914" s="6" t="n"/>
    </row>
    <row r="1915">
      <c r="A1915" s="6" t="n"/>
      <c r="B1915" s="6" t="n"/>
      <c r="C1915" s="19" t="n"/>
      <c r="D1915" s="19" t="n"/>
      <c r="E1915" s="6" t="n"/>
      <c r="F1915" s="20" t="n"/>
      <c r="G1915" s="9">
        <f>IF($F1915="","",IF($F1915&gt;0,ROUND($F1915,2),""))</f>
        <v/>
      </c>
      <c r="H1915" s="12">
        <f>IF(OR($B1915="",$C1915="",$G1915=""),"",COUNTIFS(Ventes_Encaissements!$E$6:$E$3005,$B1915,Ventes_Encaissements!$J$6:$J$3005,$G1915,Ventes_Encaissements!$C$6:$C$3005,"&gt;="&amp;($C1915-3),Ventes_Encaissements!$C$6:$C$3005,"&lt;="&amp;($C1915+3)))</f>
        <v/>
      </c>
      <c r="I1915" s="12">
        <f>IF($H1915="","",IF($H1915=0,"Non trouvé",IF($H1915=1,"Match","À vérifier")))</f>
        <v/>
      </c>
      <c r="J1915" s="21">
        <f>IF($I1915&lt;&gt;"Match","",INDEX(Ventes_Encaissements!$B$6:$B$3005,_xludf.AGGREGATE(15,6,(ROW(Ventes_Encaissements!$B$6:$B$3005)-ROW(Ventes_Encaissements!$B$6)+1)/((Ventes_Encaissements!$E$6:$E$3005=$B1915)*(Ventes_Encaissements!$J$6:$J$3005=$G1915)*(Ventes_Encaissements!$C$6:$C$3005&gt;=$C1915-3)*(Ventes_Encaissements!$C$6:$C$3005&lt;=$C1915+3)),1)))</f>
        <v/>
      </c>
      <c r="K1915" s="6" t="n"/>
    </row>
    <row r="1916">
      <c r="A1916" s="6" t="n"/>
      <c r="B1916" s="6" t="n"/>
      <c r="C1916" s="19" t="n"/>
      <c r="D1916" s="19" t="n"/>
      <c r="E1916" s="6" t="n"/>
      <c r="F1916" s="20" t="n"/>
      <c r="G1916" s="9">
        <f>IF($F1916="","",IF($F1916&gt;0,ROUND($F1916,2),""))</f>
        <v/>
      </c>
      <c r="H1916" s="12">
        <f>IF(OR($B1916="",$C1916="",$G1916=""),"",COUNTIFS(Ventes_Encaissements!$E$6:$E$3005,$B1916,Ventes_Encaissements!$J$6:$J$3005,$G1916,Ventes_Encaissements!$C$6:$C$3005,"&gt;="&amp;($C1916-3),Ventes_Encaissements!$C$6:$C$3005,"&lt;="&amp;($C1916+3)))</f>
        <v/>
      </c>
      <c r="I1916" s="12">
        <f>IF($H1916="","",IF($H1916=0,"Non trouvé",IF($H1916=1,"Match","À vérifier")))</f>
        <v/>
      </c>
      <c r="J1916" s="21">
        <f>IF($I1916&lt;&gt;"Match","",INDEX(Ventes_Encaissements!$B$6:$B$3005,_xludf.AGGREGATE(15,6,(ROW(Ventes_Encaissements!$B$6:$B$3005)-ROW(Ventes_Encaissements!$B$6)+1)/((Ventes_Encaissements!$E$6:$E$3005=$B1916)*(Ventes_Encaissements!$J$6:$J$3005=$G1916)*(Ventes_Encaissements!$C$6:$C$3005&gt;=$C1916-3)*(Ventes_Encaissements!$C$6:$C$3005&lt;=$C1916+3)),1)))</f>
        <v/>
      </c>
      <c r="K1916" s="6" t="n"/>
    </row>
    <row r="1917">
      <c r="A1917" s="6" t="n"/>
      <c r="B1917" s="6" t="n"/>
      <c r="C1917" s="19" t="n"/>
      <c r="D1917" s="19" t="n"/>
      <c r="E1917" s="6" t="n"/>
      <c r="F1917" s="20" t="n"/>
      <c r="G1917" s="9">
        <f>IF($F1917="","",IF($F1917&gt;0,ROUND($F1917,2),""))</f>
        <v/>
      </c>
      <c r="H1917" s="12">
        <f>IF(OR($B1917="",$C1917="",$G1917=""),"",COUNTIFS(Ventes_Encaissements!$E$6:$E$3005,$B1917,Ventes_Encaissements!$J$6:$J$3005,$G1917,Ventes_Encaissements!$C$6:$C$3005,"&gt;="&amp;($C1917-3),Ventes_Encaissements!$C$6:$C$3005,"&lt;="&amp;($C1917+3)))</f>
        <v/>
      </c>
      <c r="I1917" s="12">
        <f>IF($H1917="","",IF($H1917=0,"Non trouvé",IF($H1917=1,"Match","À vérifier")))</f>
        <v/>
      </c>
      <c r="J1917" s="21">
        <f>IF($I1917&lt;&gt;"Match","",INDEX(Ventes_Encaissements!$B$6:$B$3005,_xludf.AGGREGATE(15,6,(ROW(Ventes_Encaissements!$B$6:$B$3005)-ROW(Ventes_Encaissements!$B$6)+1)/((Ventes_Encaissements!$E$6:$E$3005=$B1917)*(Ventes_Encaissements!$J$6:$J$3005=$G1917)*(Ventes_Encaissements!$C$6:$C$3005&gt;=$C1917-3)*(Ventes_Encaissements!$C$6:$C$3005&lt;=$C1917+3)),1)))</f>
        <v/>
      </c>
      <c r="K1917" s="6" t="n"/>
    </row>
    <row r="1918">
      <c r="A1918" s="6" t="n"/>
      <c r="B1918" s="6" t="n"/>
      <c r="C1918" s="19" t="n"/>
      <c r="D1918" s="19" t="n"/>
      <c r="E1918" s="6" t="n"/>
      <c r="F1918" s="20" t="n"/>
      <c r="G1918" s="9">
        <f>IF($F1918="","",IF($F1918&gt;0,ROUND($F1918,2),""))</f>
        <v/>
      </c>
      <c r="H1918" s="12">
        <f>IF(OR($B1918="",$C1918="",$G1918=""),"",COUNTIFS(Ventes_Encaissements!$E$6:$E$3005,$B1918,Ventes_Encaissements!$J$6:$J$3005,$G1918,Ventes_Encaissements!$C$6:$C$3005,"&gt;="&amp;($C1918-3),Ventes_Encaissements!$C$6:$C$3005,"&lt;="&amp;($C1918+3)))</f>
        <v/>
      </c>
      <c r="I1918" s="12">
        <f>IF($H1918="","",IF($H1918=0,"Non trouvé",IF($H1918=1,"Match","À vérifier")))</f>
        <v/>
      </c>
      <c r="J1918" s="21">
        <f>IF($I1918&lt;&gt;"Match","",INDEX(Ventes_Encaissements!$B$6:$B$3005,_xludf.AGGREGATE(15,6,(ROW(Ventes_Encaissements!$B$6:$B$3005)-ROW(Ventes_Encaissements!$B$6)+1)/((Ventes_Encaissements!$E$6:$E$3005=$B1918)*(Ventes_Encaissements!$J$6:$J$3005=$G1918)*(Ventes_Encaissements!$C$6:$C$3005&gt;=$C1918-3)*(Ventes_Encaissements!$C$6:$C$3005&lt;=$C1918+3)),1)))</f>
        <v/>
      </c>
      <c r="K1918" s="6" t="n"/>
    </row>
    <row r="1919">
      <c r="A1919" s="6" t="n"/>
      <c r="B1919" s="6" t="n"/>
      <c r="C1919" s="19" t="n"/>
      <c r="D1919" s="19" t="n"/>
      <c r="E1919" s="6" t="n"/>
      <c r="F1919" s="20" t="n"/>
      <c r="G1919" s="9">
        <f>IF($F1919="","",IF($F1919&gt;0,ROUND($F1919,2),""))</f>
        <v/>
      </c>
      <c r="H1919" s="12">
        <f>IF(OR($B1919="",$C1919="",$G1919=""),"",COUNTIFS(Ventes_Encaissements!$E$6:$E$3005,$B1919,Ventes_Encaissements!$J$6:$J$3005,$G1919,Ventes_Encaissements!$C$6:$C$3005,"&gt;="&amp;($C1919-3),Ventes_Encaissements!$C$6:$C$3005,"&lt;="&amp;($C1919+3)))</f>
        <v/>
      </c>
      <c r="I1919" s="12">
        <f>IF($H1919="","",IF($H1919=0,"Non trouvé",IF($H1919=1,"Match","À vérifier")))</f>
        <v/>
      </c>
      <c r="J1919" s="21">
        <f>IF($I1919&lt;&gt;"Match","",INDEX(Ventes_Encaissements!$B$6:$B$3005,_xludf.AGGREGATE(15,6,(ROW(Ventes_Encaissements!$B$6:$B$3005)-ROW(Ventes_Encaissements!$B$6)+1)/((Ventes_Encaissements!$E$6:$E$3005=$B1919)*(Ventes_Encaissements!$J$6:$J$3005=$G1919)*(Ventes_Encaissements!$C$6:$C$3005&gt;=$C1919-3)*(Ventes_Encaissements!$C$6:$C$3005&lt;=$C1919+3)),1)))</f>
        <v/>
      </c>
      <c r="K1919" s="6" t="n"/>
    </row>
    <row r="1920">
      <c r="A1920" s="6" t="n"/>
      <c r="B1920" s="6" t="n"/>
      <c r="C1920" s="19" t="n"/>
      <c r="D1920" s="19" t="n"/>
      <c r="E1920" s="6" t="n"/>
      <c r="F1920" s="20" t="n"/>
      <c r="G1920" s="9">
        <f>IF($F1920="","",IF($F1920&gt;0,ROUND($F1920,2),""))</f>
        <v/>
      </c>
      <c r="H1920" s="12">
        <f>IF(OR($B1920="",$C1920="",$G1920=""),"",COUNTIFS(Ventes_Encaissements!$E$6:$E$3005,$B1920,Ventes_Encaissements!$J$6:$J$3005,$G1920,Ventes_Encaissements!$C$6:$C$3005,"&gt;="&amp;($C1920-3),Ventes_Encaissements!$C$6:$C$3005,"&lt;="&amp;($C1920+3)))</f>
        <v/>
      </c>
      <c r="I1920" s="12">
        <f>IF($H1920="","",IF($H1920=0,"Non trouvé",IF($H1920=1,"Match","À vérifier")))</f>
        <v/>
      </c>
      <c r="J1920" s="21">
        <f>IF($I1920&lt;&gt;"Match","",INDEX(Ventes_Encaissements!$B$6:$B$3005,_xludf.AGGREGATE(15,6,(ROW(Ventes_Encaissements!$B$6:$B$3005)-ROW(Ventes_Encaissements!$B$6)+1)/((Ventes_Encaissements!$E$6:$E$3005=$B1920)*(Ventes_Encaissements!$J$6:$J$3005=$G1920)*(Ventes_Encaissements!$C$6:$C$3005&gt;=$C1920-3)*(Ventes_Encaissements!$C$6:$C$3005&lt;=$C1920+3)),1)))</f>
        <v/>
      </c>
      <c r="K1920" s="6" t="n"/>
    </row>
    <row r="1921">
      <c r="A1921" s="6" t="n"/>
      <c r="B1921" s="6" t="n"/>
      <c r="C1921" s="19" t="n"/>
      <c r="D1921" s="19" t="n"/>
      <c r="E1921" s="6" t="n"/>
      <c r="F1921" s="20" t="n"/>
      <c r="G1921" s="9">
        <f>IF($F1921="","",IF($F1921&gt;0,ROUND($F1921,2),""))</f>
        <v/>
      </c>
      <c r="H1921" s="12">
        <f>IF(OR($B1921="",$C1921="",$G1921=""),"",COUNTIFS(Ventes_Encaissements!$E$6:$E$3005,$B1921,Ventes_Encaissements!$J$6:$J$3005,$G1921,Ventes_Encaissements!$C$6:$C$3005,"&gt;="&amp;($C1921-3),Ventes_Encaissements!$C$6:$C$3005,"&lt;="&amp;($C1921+3)))</f>
        <v/>
      </c>
      <c r="I1921" s="12">
        <f>IF($H1921="","",IF($H1921=0,"Non trouvé",IF($H1921=1,"Match","À vérifier")))</f>
        <v/>
      </c>
      <c r="J1921" s="21">
        <f>IF($I1921&lt;&gt;"Match","",INDEX(Ventes_Encaissements!$B$6:$B$3005,_xludf.AGGREGATE(15,6,(ROW(Ventes_Encaissements!$B$6:$B$3005)-ROW(Ventes_Encaissements!$B$6)+1)/((Ventes_Encaissements!$E$6:$E$3005=$B1921)*(Ventes_Encaissements!$J$6:$J$3005=$G1921)*(Ventes_Encaissements!$C$6:$C$3005&gt;=$C1921-3)*(Ventes_Encaissements!$C$6:$C$3005&lt;=$C1921+3)),1)))</f>
        <v/>
      </c>
      <c r="K1921" s="6" t="n"/>
    </row>
    <row r="1922">
      <c r="A1922" s="6" t="n"/>
      <c r="B1922" s="6" t="n"/>
      <c r="C1922" s="19" t="n"/>
      <c r="D1922" s="19" t="n"/>
      <c r="E1922" s="6" t="n"/>
      <c r="F1922" s="20" t="n"/>
      <c r="G1922" s="9">
        <f>IF($F1922="","",IF($F1922&gt;0,ROUND($F1922,2),""))</f>
        <v/>
      </c>
      <c r="H1922" s="12">
        <f>IF(OR($B1922="",$C1922="",$G1922=""),"",COUNTIFS(Ventes_Encaissements!$E$6:$E$3005,$B1922,Ventes_Encaissements!$J$6:$J$3005,$G1922,Ventes_Encaissements!$C$6:$C$3005,"&gt;="&amp;($C1922-3),Ventes_Encaissements!$C$6:$C$3005,"&lt;="&amp;($C1922+3)))</f>
        <v/>
      </c>
      <c r="I1922" s="12">
        <f>IF($H1922="","",IF($H1922=0,"Non trouvé",IF($H1922=1,"Match","À vérifier")))</f>
        <v/>
      </c>
      <c r="J1922" s="21">
        <f>IF($I1922&lt;&gt;"Match","",INDEX(Ventes_Encaissements!$B$6:$B$3005,_xludf.AGGREGATE(15,6,(ROW(Ventes_Encaissements!$B$6:$B$3005)-ROW(Ventes_Encaissements!$B$6)+1)/((Ventes_Encaissements!$E$6:$E$3005=$B1922)*(Ventes_Encaissements!$J$6:$J$3005=$G1922)*(Ventes_Encaissements!$C$6:$C$3005&gt;=$C1922-3)*(Ventes_Encaissements!$C$6:$C$3005&lt;=$C1922+3)),1)))</f>
        <v/>
      </c>
      <c r="K1922" s="6" t="n"/>
    </row>
    <row r="1923">
      <c r="A1923" s="6" t="n"/>
      <c r="B1923" s="6" t="n"/>
      <c r="C1923" s="19" t="n"/>
      <c r="D1923" s="19" t="n"/>
      <c r="E1923" s="6" t="n"/>
      <c r="F1923" s="20" t="n"/>
      <c r="G1923" s="9">
        <f>IF($F1923="","",IF($F1923&gt;0,ROUND($F1923,2),""))</f>
        <v/>
      </c>
      <c r="H1923" s="12">
        <f>IF(OR($B1923="",$C1923="",$G1923=""),"",COUNTIFS(Ventes_Encaissements!$E$6:$E$3005,$B1923,Ventes_Encaissements!$J$6:$J$3005,$G1923,Ventes_Encaissements!$C$6:$C$3005,"&gt;="&amp;($C1923-3),Ventes_Encaissements!$C$6:$C$3005,"&lt;="&amp;($C1923+3)))</f>
        <v/>
      </c>
      <c r="I1923" s="12">
        <f>IF($H1923="","",IF($H1923=0,"Non trouvé",IF($H1923=1,"Match","À vérifier")))</f>
        <v/>
      </c>
      <c r="J1923" s="21">
        <f>IF($I1923&lt;&gt;"Match","",INDEX(Ventes_Encaissements!$B$6:$B$3005,_xludf.AGGREGATE(15,6,(ROW(Ventes_Encaissements!$B$6:$B$3005)-ROW(Ventes_Encaissements!$B$6)+1)/((Ventes_Encaissements!$E$6:$E$3005=$B1923)*(Ventes_Encaissements!$J$6:$J$3005=$G1923)*(Ventes_Encaissements!$C$6:$C$3005&gt;=$C1923-3)*(Ventes_Encaissements!$C$6:$C$3005&lt;=$C1923+3)),1)))</f>
        <v/>
      </c>
      <c r="K1923" s="6" t="n"/>
    </row>
    <row r="1924">
      <c r="A1924" s="6" t="n"/>
      <c r="B1924" s="6" t="n"/>
      <c r="C1924" s="19" t="n"/>
      <c r="D1924" s="19" t="n"/>
      <c r="E1924" s="6" t="n"/>
      <c r="F1924" s="20" t="n"/>
      <c r="G1924" s="9">
        <f>IF($F1924="","",IF($F1924&gt;0,ROUND($F1924,2),""))</f>
        <v/>
      </c>
      <c r="H1924" s="12">
        <f>IF(OR($B1924="",$C1924="",$G1924=""),"",COUNTIFS(Ventes_Encaissements!$E$6:$E$3005,$B1924,Ventes_Encaissements!$J$6:$J$3005,$G1924,Ventes_Encaissements!$C$6:$C$3005,"&gt;="&amp;($C1924-3),Ventes_Encaissements!$C$6:$C$3005,"&lt;="&amp;($C1924+3)))</f>
        <v/>
      </c>
      <c r="I1924" s="12">
        <f>IF($H1924="","",IF($H1924=0,"Non trouvé",IF($H1924=1,"Match","À vérifier")))</f>
        <v/>
      </c>
      <c r="J1924" s="21">
        <f>IF($I1924&lt;&gt;"Match","",INDEX(Ventes_Encaissements!$B$6:$B$3005,_xludf.AGGREGATE(15,6,(ROW(Ventes_Encaissements!$B$6:$B$3005)-ROW(Ventes_Encaissements!$B$6)+1)/((Ventes_Encaissements!$E$6:$E$3005=$B1924)*(Ventes_Encaissements!$J$6:$J$3005=$G1924)*(Ventes_Encaissements!$C$6:$C$3005&gt;=$C1924-3)*(Ventes_Encaissements!$C$6:$C$3005&lt;=$C1924+3)),1)))</f>
        <v/>
      </c>
      <c r="K1924" s="6" t="n"/>
    </row>
    <row r="1925">
      <c r="A1925" s="6" t="n"/>
      <c r="B1925" s="6" t="n"/>
      <c r="C1925" s="19" t="n"/>
      <c r="D1925" s="19" t="n"/>
      <c r="E1925" s="6" t="n"/>
      <c r="F1925" s="20" t="n"/>
      <c r="G1925" s="9">
        <f>IF($F1925="","",IF($F1925&gt;0,ROUND($F1925,2),""))</f>
        <v/>
      </c>
      <c r="H1925" s="12">
        <f>IF(OR($B1925="",$C1925="",$G1925=""),"",COUNTIFS(Ventes_Encaissements!$E$6:$E$3005,$B1925,Ventes_Encaissements!$J$6:$J$3005,$G1925,Ventes_Encaissements!$C$6:$C$3005,"&gt;="&amp;($C1925-3),Ventes_Encaissements!$C$6:$C$3005,"&lt;="&amp;($C1925+3)))</f>
        <v/>
      </c>
      <c r="I1925" s="12">
        <f>IF($H1925="","",IF($H1925=0,"Non trouvé",IF($H1925=1,"Match","À vérifier")))</f>
        <v/>
      </c>
      <c r="J1925" s="21">
        <f>IF($I1925&lt;&gt;"Match","",INDEX(Ventes_Encaissements!$B$6:$B$3005,_xludf.AGGREGATE(15,6,(ROW(Ventes_Encaissements!$B$6:$B$3005)-ROW(Ventes_Encaissements!$B$6)+1)/((Ventes_Encaissements!$E$6:$E$3005=$B1925)*(Ventes_Encaissements!$J$6:$J$3005=$G1925)*(Ventes_Encaissements!$C$6:$C$3005&gt;=$C1925-3)*(Ventes_Encaissements!$C$6:$C$3005&lt;=$C1925+3)),1)))</f>
        <v/>
      </c>
      <c r="K1925" s="6" t="n"/>
    </row>
    <row r="1926">
      <c r="A1926" s="6" t="n"/>
      <c r="B1926" s="6" t="n"/>
      <c r="C1926" s="19" t="n"/>
      <c r="D1926" s="19" t="n"/>
      <c r="E1926" s="6" t="n"/>
      <c r="F1926" s="20" t="n"/>
      <c r="G1926" s="9">
        <f>IF($F1926="","",IF($F1926&gt;0,ROUND($F1926,2),""))</f>
        <v/>
      </c>
      <c r="H1926" s="12">
        <f>IF(OR($B1926="",$C1926="",$G1926=""),"",COUNTIFS(Ventes_Encaissements!$E$6:$E$3005,$B1926,Ventes_Encaissements!$J$6:$J$3005,$G1926,Ventes_Encaissements!$C$6:$C$3005,"&gt;="&amp;($C1926-3),Ventes_Encaissements!$C$6:$C$3005,"&lt;="&amp;($C1926+3)))</f>
        <v/>
      </c>
      <c r="I1926" s="12">
        <f>IF($H1926="","",IF($H1926=0,"Non trouvé",IF($H1926=1,"Match","À vérifier")))</f>
        <v/>
      </c>
      <c r="J1926" s="21">
        <f>IF($I1926&lt;&gt;"Match","",INDEX(Ventes_Encaissements!$B$6:$B$3005,_xludf.AGGREGATE(15,6,(ROW(Ventes_Encaissements!$B$6:$B$3005)-ROW(Ventes_Encaissements!$B$6)+1)/((Ventes_Encaissements!$E$6:$E$3005=$B1926)*(Ventes_Encaissements!$J$6:$J$3005=$G1926)*(Ventes_Encaissements!$C$6:$C$3005&gt;=$C1926-3)*(Ventes_Encaissements!$C$6:$C$3005&lt;=$C1926+3)),1)))</f>
        <v/>
      </c>
      <c r="K1926" s="6" t="n"/>
    </row>
    <row r="1927">
      <c r="A1927" s="6" t="n"/>
      <c r="B1927" s="6" t="n"/>
      <c r="C1927" s="19" t="n"/>
      <c r="D1927" s="19" t="n"/>
      <c r="E1927" s="6" t="n"/>
      <c r="F1927" s="20" t="n"/>
      <c r="G1927" s="9">
        <f>IF($F1927="","",IF($F1927&gt;0,ROUND($F1927,2),""))</f>
        <v/>
      </c>
      <c r="H1927" s="12">
        <f>IF(OR($B1927="",$C1927="",$G1927=""),"",COUNTIFS(Ventes_Encaissements!$E$6:$E$3005,$B1927,Ventes_Encaissements!$J$6:$J$3005,$G1927,Ventes_Encaissements!$C$6:$C$3005,"&gt;="&amp;($C1927-3),Ventes_Encaissements!$C$6:$C$3005,"&lt;="&amp;($C1927+3)))</f>
        <v/>
      </c>
      <c r="I1927" s="12">
        <f>IF($H1927="","",IF($H1927=0,"Non trouvé",IF($H1927=1,"Match","À vérifier")))</f>
        <v/>
      </c>
      <c r="J1927" s="21">
        <f>IF($I1927&lt;&gt;"Match","",INDEX(Ventes_Encaissements!$B$6:$B$3005,_xludf.AGGREGATE(15,6,(ROW(Ventes_Encaissements!$B$6:$B$3005)-ROW(Ventes_Encaissements!$B$6)+1)/((Ventes_Encaissements!$E$6:$E$3005=$B1927)*(Ventes_Encaissements!$J$6:$J$3005=$G1927)*(Ventes_Encaissements!$C$6:$C$3005&gt;=$C1927-3)*(Ventes_Encaissements!$C$6:$C$3005&lt;=$C1927+3)),1)))</f>
        <v/>
      </c>
      <c r="K1927" s="6" t="n"/>
    </row>
    <row r="1928">
      <c r="A1928" s="6" t="n"/>
      <c r="B1928" s="6" t="n"/>
      <c r="C1928" s="19" t="n"/>
      <c r="D1928" s="19" t="n"/>
      <c r="E1928" s="6" t="n"/>
      <c r="F1928" s="20" t="n"/>
      <c r="G1928" s="9">
        <f>IF($F1928="","",IF($F1928&gt;0,ROUND($F1928,2),""))</f>
        <v/>
      </c>
      <c r="H1928" s="12">
        <f>IF(OR($B1928="",$C1928="",$G1928=""),"",COUNTIFS(Ventes_Encaissements!$E$6:$E$3005,$B1928,Ventes_Encaissements!$J$6:$J$3005,$G1928,Ventes_Encaissements!$C$6:$C$3005,"&gt;="&amp;($C1928-3),Ventes_Encaissements!$C$6:$C$3005,"&lt;="&amp;($C1928+3)))</f>
        <v/>
      </c>
      <c r="I1928" s="12">
        <f>IF($H1928="","",IF($H1928=0,"Non trouvé",IF($H1928=1,"Match","À vérifier")))</f>
        <v/>
      </c>
      <c r="J1928" s="21">
        <f>IF($I1928&lt;&gt;"Match","",INDEX(Ventes_Encaissements!$B$6:$B$3005,_xludf.AGGREGATE(15,6,(ROW(Ventes_Encaissements!$B$6:$B$3005)-ROW(Ventes_Encaissements!$B$6)+1)/((Ventes_Encaissements!$E$6:$E$3005=$B1928)*(Ventes_Encaissements!$J$6:$J$3005=$G1928)*(Ventes_Encaissements!$C$6:$C$3005&gt;=$C1928-3)*(Ventes_Encaissements!$C$6:$C$3005&lt;=$C1928+3)),1)))</f>
        <v/>
      </c>
      <c r="K1928" s="6" t="n"/>
    </row>
    <row r="1929">
      <c r="A1929" s="6" t="n"/>
      <c r="B1929" s="6" t="n"/>
      <c r="C1929" s="19" t="n"/>
      <c r="D1929" s="19" t="n"/>
      <c r="E1929" s="6" t="n"/>
      <c r="F1929" s="20" t="n"/>
      <c r="G1929" s="9">
        <f>IF($F1929="","",IF($F1929&gt;0,ROUND($F1929,2),""))</f>
        <v/>
      </c>
      <c r="H1929" s="12">
        <f>IF(OR($B1929="",$C1929="",$G1929=""),"",COUNTIFS(Ventes_Encaissements!$E$6:$E$3005,$B1929,Ventes_Encaissements!$J$6:$J$3005,$G1929,Ventes_Encaissements!$C$6:$C$3005,"&gt;="&amp;($C1929-3),Ventes_Encaissements!$C$6:$C$3005,"&lt;="&amp;($C1929+3)))</f>
        <v/>
      </c>
      <c r="I1929" s="12">
        <f>IF($H1929="","",IF($H1929=0,"Non trouvé",IF($H1929=1,"Match","À vérifier")))</f>
        <v/>
      </c>
      <c r="J1929" s="21">
        <f>IF($I1929&lt;&gt;"Match","",INDEX(Ventes_Encaissements!$B$6:$B$3005,_xludf.AGGREGATE(15,6,(ROW(Ventes_Encaissements!$B$6:$B$3005)-ROW(Ventes_Encaissements!$B$6)+1)/((Ventes_Encaissements!$E$6:$E$3005=$B1929)*(Ventes_Encaissements!$J$6:$J$3005=$G1929)*(Ventes_Encaissements!$C$6:$C$3005&gt;=$C1929-3)*(Ventes_Encaissements!$C$6:$C$3005&lt;=$C1929+3)),1)))</f>
        <v/>
      </c>
      <c r="K1929" s="6" t="n"/>
    </row>
    <row r="1930">
      <c r="A1930" s="6" t="n"/>
      <c r="B1930" s="6" t="n"/>
      <c r="C1930" s="19" t="n"/>
      <c r="D1930" s="19" t="n"/>
      <c r="E1930" s="6" t="n"/>
      <c r="F1930" s="20" t="n"/>
      <c r="G1930" s="9">
        <f>IF($F1930="","",IF($F1930&gt;0,ROUND($F1930,2),""))</f>
        <v/>
      </c>
      <c r="H1930" s="12">
        <f>IF(OR($B1930="",$C1930="",$G1930=""),"",COUNTIFS(Ventes_Encaissements!$E$6:$E$3005,$B1930,Ventes_Encaissements!$J$6:$J$3005,$G1930,Ventes_Encaissements!$C$6:$C$3005,"&gt;="&amp;($C1930-3),Ventes_Encaissements!$C$6:$C$3005,"&lt;="&amp;($C1930+3)))</f>
        <v/>
      </c>
      <c r="I1930" s="12">
        <f>IF($H1930="","",IF($H1930=0,"Non trouvé",IF($H1930=1,"Match","À vérifier")))</f>
        <v/>
      </c>
      <c r="J1930" s="21">
        <f>IF($I1930&lt;&gt;"Match","",INDEX(Ventes_Encaissements!$B$6:$B$3005,_xludf.AGGREGATE(15,6,(ROW(Ventes_Encaissements!$B$6:$B$3005)-ROW(Ventes_Encaissements!$B$6)+1)/((Ventes_Encaissements!$E$6:$E$3005=$B1930)*(Ventes_Encaissements!$J$6:$J$3005=$G1930)*(Ventes_Encaissements!$C$6:$C$3005&gt;=$C1930-3)*(Ventes_Encaissements!$C$6:$C$3005&lt;=$C1930+3)),1)))</f>
        <v/>
      </c>
      <c r="K1930" s="6" t="n"/>
    </row>
    <row r="1931">
      <c r="A1931" s="6" t="n"/>
      <c r="B1931" s="6" t="n"/>
      <c r="C1931" s="19" t="n"/>
      <c r="D1931" s="19" t="n"/>
      <c r="E1931" s="6" t="n"/>
      <c r="F1931" s="20" t="n"/>
      <c r="G1931" s="9">
        <f>IF($F1931="","",IF($F1931&gt;0,ROUND($F1931,2),""))</f>
        <v/>
      </c>
      <c r="H1931" s="12">
        <f>IF(OR($B1931="",$C1931="",$G1931=""),"",COUNTIFS(Ventes_Encaissements!$E$6:$E$3005,$B1931,Ventes_Encaissements!$J$6:$J$3005,$G1931,Ventes_Encaissements!$C$6:$C$3005,"&gt;="&amp;($C1931-3),Ventes_Encaissements!$C$6:$C$3005,"&lt;="&amp;($C1931+3)))</f>
        <v/>
      </c>
      <c r="I1931" s="12">
        <f>IF($H1931="","",IF($H1931=0,"Non trouvé",IF($H1931=1,"Match","À vérifier")))</f>
        <v/>
      </c>
      <c r="J1931" s="21">
        <f>IF($I1931&lt;&gt;"Match","",INDEX(Ventes_Encaissements!$B$6:$B$3005,_xludf.AGGREGATE(15,6,(ROW(Ventes_Encaissements!$B$6:$B$3005)-ROW(Ventes_Encaissements!$B$6)+1)/((Ventes_Encaissements!$E$6:$E$3005=$B1931)*(Ventes_Encaissements!$J$6:$J$3005=$G1931)*(Ventes_Encaissements!$C$6:$C$3005&gt;=$C1931-3)*(Ventes_Encaissements!$C$6:$C$3005&lt;=$C1931+3)),1)))</f>
        <v/>
      </c>
      <c r="K1931" s="6" t="n"/>
    </row>
    <row r="1932">
      <c r="A1932" s="6" t="n"/>
      <c r="B1932" s="6" t="n"/>
      <c r="C1932" s="19" t="n"/>
      <c r="D1932" s="19" t="n"/>
      <c r="E1932" s="6" t="n"/>
      <c r="F1932" s="20" t="n"/>
      <c r="G1932" s="9">
        <f>IF($F1932="","",IF($F1932&gt;0,ROUND($F1932,2),""))</f>
        <v/>
      </c>
      <c r="H1932" s="12">
        <f>IF(OR($B1932="",$C1932="",$G1932=""),"",COUNTIFS(Ventes_Encaissements!$E$6:$E$3005,$B1932,Ventes_Encaissements!$J$6:$J$3005,$G1932,Ventes_Encaissements!$C$6:$C$3005,"&gt;="&amp;($C1932-3),Ventes_Encaissements!$C$6:$C$3005,"&lt;="&amp;($C1932+3)))</f>
        <v/>
      </c>
      <c r="I1932" s="12">
        <f>IF($H1932="","",IF($H1932=0,"Non trouvé",IF($H1932=1,"Match","À vérifier")))</f>
        <v/>
      </c>
      <c r="J1932" s="21">
        <f>IF($I1932&lt;&gt;"Match","",INDEX(Ventes_Encaissements!$B$6:$B$3005,_xludf.AGGREGATE(15,6,(ROW(Ventes_Encaissements!$B$6:$B$3005)-ROW(Ventes_Encaissements!$B$6)+1)/((Ventes_Encaissements!$E$6:$E$3005=$B1932)*(Ventes_Encaissements!$J$6:$J$3005=$G1932)*(Ventes_Encaissements!$C$6:$C$3005&gt;=$C1932-3)*(Ventes_Encaissements!$C$6:$C$3005&lt;=$C1932+3)),1)))</f>
        <v/>
      </c>
      <c r="K1932" s="6" t="n"/>
    </row>
    <row r="1933">
      <c r="A1933" s="6" t="n"/>
      <c r="B1933" s="6" t="n"/>
      <c r="C1933" s="19" t="n"/>
      <c r="D1933" s="19" t="n"/>
      <c r="E1933" s="6" t="n"/>
      <c r="F1933" s="20" t="n"/>
      <c r="G1933" s="9">
        <f>IF($F1933="","",IF($F1933&gt;0,ROUND($F1933,2),""))</f>
        <v/>
      </c>
      <c r="H1933" s="12">
        <f>IF(OR($B1933="",$C1933="",$G1933=""),"",COUNTIFS(Ventes_Encaissements!$E$6:$E$3005,$B1933,Ventes_Encaissements!$J$6:$J$3005,$G1933,Ventes_Encaissements!$C$6:$C$3005,"&gt;="&amp;($C1933-3),Ventes_Encaissements!$C$6:$C$3005,"&lt;="&amp;($C1933+3)))</f>
        <v/>
      </c>
      <c r="I1933" s="12">
        <f>IF($H1933="","",IF($H1933=0,"Non trouvé",IF($H1933=1,"Match","À vérifier")))</f>
        <v/>
      </c>
      <c r="J1933" s="21">
        <f>IF($I1933&lt;&gt;"Match","",INDEX(Ventes_Encaissements!$B$6:$B$3005,_xludf.AGGREGATE(15,6,(ROW(Ventes_Encaissements!$B$6:$B$3005)-ROW(Ventes_Encaissements!$B$6)+1)/((Ventes_Encaissements!$E$6:$E$3005=$B1933)*(Ventes_Encaissements!$J$6:$J$3005=$G1933)*(Ventes_Encaissements!$C$6:$C$3005&gt;=$C1933-3)*(Ventes_Encaissements!$C$6:$C$3005&lt;=$C1933+3)),1)))</f>
        <v/>
      </c>
      <c r="K1933" s="6" t="n"/>
    </row>
    <row r="1934">
      <c r="A1934" s="6" t="n"/>
      <c r="B1934" s="6" t="n"/>
      <c r="C1934" s="19" t="n"/>
      <c r="D1934" s="19" t="n"/>
      <c r="E1934" s="6" t="n"/>
      <c r="F1934" s="20" t="n"/>
      <c r="G1934" s="9">
        <f>IF($F1934="","",IF($F1934&gt;0,ROUND($F1934,2),""))</f>
        <v/>
      </c>
      <c r="H1934" s="12">
        <f>IF(OR($B1934="",$C1934="",$G1934=""),"",COUNTIFS(Ventes_Encaissements!$E$6:$E$3005,$B1934,Ventes_Encaissements!$J$6:$J$3005,$G1934,Ventes_Encaissements!$C$6:$C$3005,"&gt;="&amp;($C1934-3),Ventes_Encaissements!$C$6:$C$3005,"&lt;="&amp;($C1934+3)))</f>
        <v/>
      </c>
      <c r="I1934" s="12">
        <f>IF($H1934="","",IF($H1934=0,"Non trouvé",IF($H1934=1,"Match","À vérifier")))</f>
        <v/>
      </c>
      <c r="J1934" s="21">
        <f>IF($I1934&lt;&gt;"Match","",INDEX(Ventes_Encaissements!$B$6:$B$3005,_xludf.AGGREGATE(15,6,(ROW(Ventes_Encaissements!$B$6:$B$3005)-ROW(Ventes_Encaissements!$B$6)+1)/((Ventes_Encaissements!$E$6:$E$3005=$B1934)*(Ventes_Encaissements!$J$6:$J$3005=$G1934)*(Ventes_Encaissements!$C$6:$C$3005&gt;=$C1934-3)*(Ventes_Encaissements!$C$6:$C$3005&lt;=$C1934+3)),1)))</f>
        <v/>
      </c>
      <c r="K1934" s="6" t="n"/>
    </row>
    <row r="1935">
      <c r="A1935" s="6" t="n"/>
      <c r="B1935" s="6" t="n"/>
      <c r="C1935" s="19" t="n"/>
      <c r="D1935" s="19" t="n"/>
      <c r="E1935" s="6" t="n"/>
      <c r="F1935" s="20" t="n"/>
      <c r="G1935" s="9">
        <f>IF($F1935="","",IF($F1935&gt;0,ROUND($F1935,2),""))</f>
        <v/>
      </c>
      <c r="H1935" s="12">
        <f>IF(OR($B1935="",$C1935="",$G1935=""),"",COUNTIFS(Ventes_Encaissements!$E$6:$E$3005,$B1935,Ventes_Encaissements!$J$6:$J$3005,$G1935,Ventes_Encaissements!$C$6:$C$3005,"&gt;="&amp;($C1935-3),Ventes_Encaissements!$C$6:$C$3005,"&lt;="&amp;($C1935+3)))</f>
        <v/>
      </c>
      <c r="I1935" s="12">
        <f>IF($H1935="","",IF($H1935=0,"Non trouvé",IF($H1935=1,"Match","À vérifier")))</f>
        <v/>
      </c>
      <c r="J1935" s="21">
        <f>IF($I1935&lt;&gt;"Match","",INDEX(Ventes_Encaissements!$B$6:$B$3005,_xludf.AGGREGATE(15,6,(ROW(Ventes_Encaissements!$B$6:$B$3005)-ROW(Ventes_Encaissements!$B$6)+1)/((Ventes_Encaissements!$E$6:$E$3005=$B1935)*(Ventes_Encaissements!$J$6:$J$3005=$G1935)*(Ventes_Encaissements!$C$6:$C$3005&gt;=$C1935-3)*(Ventes_Encaissements!$C$6:$C$3005&lt;=$C1935+3)),1)))</f>
        <v/>
      </c>
      <c r="K1935" s="6" t="n"/>
    </row>
    <row r="1936">
      <c r="A1936" s="6" t="n"/>
      <c r="B1936" s="6" t="n"/>
      <c r="C1936" s="19" t="n"/>
      <c r="D1936" s="19" t="n"/>
      <c r="E1936" s="6" t="n"/>
      <c r="F1936" s="20" t="n"/>
      <c r="G1936" s="9">
        <f>IF($F1936="","",IF($F1936&gt;0,ROUND($F1936,2),""))</f>
        <v/>
      </c>
      <c r="H1936" s="12">
        <f>IF(OR($B1936="",$C1936="",$G1936=""),"",COUNTIFS(Ventes_Encaissements!$E$6:$E$3005,$B1936,Ventes_Encaissements!$J$6:$J$3005,$G1936,Ventes_Encaissements!$C$6:$C$3005,"&gt;="&amp;($C1936-3),Ventes_Encaissements!$C$6:$C$3005,"&lt;="&amp;($C1936+3)))</f>
        <v/>
      </c>
      <c r="I1936" s="12">
        <f>IF($H1936="","",IF($H1936=0,"Non trouvé",IF($H1936=1,"Match","À vérifier")))</f>
        <v/>
      </c>
      <c r="J1936" s="21">
        <f>IF($I1936&lt;&gt;"Match","",INDEX(Ventes_Encaissements!$B$6:$B$3005,_xludf.AGGREGATE(15,6,(ROW(Ventes_Encaissements!$B$6:$B$3005)-ROW(Ventes_Encaissements!$B$6)+1)/((Ventes_Encaissements!$E$6:$E$3005=$B1936)*(Ventes_Encaissements!$J$6:$J$3005=$G1936)*(Ventes_Encaissements!$C$6:$C$3005&gt;=$C1936-3)*(Ventes_Encaissements!$C$6:$C$3005&lt;=$C1936+3)),1)))</f>
        <v/>
      </c>
      <c r="K1936" s="6" t="n"/>
    </row>
    <row r="1937">
      <c r="A1937" s="6" t="n"/>
      <c r="B1937" s="6" t="n"/>
      <c r="C1937" s="19" t="n"/>
      <c r="D1937" s="19" t="n"/>
      <c r="E1937" s="6" t="n"/>
      <c r="F1937" s="20" t="n"/>
      <c r="G1937" s="9">
        <f>IF($F1937="","",IF($F1937&gt;0,ROUND($F1937,2),""))</f>
        <v/>
      </c>
      <c r="H1937" s="12">
        <f>IF(OR($B1937="",$C1937="",$G1937=""),"",COUNTIFS(Ventes_Encaissements!$E$6:$E$3005,$B1937,Ventes_Encaissements!$J$6:$J$3005,$G1937,Ventes_Encaissements!$C$6:$C$3005,"&gt;="&amp;($C1937-3),Ventes_Encaissements!$C$6:$C$3005,"&lt;="&amp;($C1937+3)))</f>
        <v/>
      </c>
      <c r="I1937" s="12">
        <f>IF($H1937="","",IF($H1937=0,"Non trouvé",IF($H1937=1,"Match","À vérifier")))</f>
        <v/>
      </c>
      <c r="J1937" s="21">
        <f>IF($I1937&lt;&gt;"Match","",INDEX(Ventes_Encaissements!$B$6:$B$3005,_xludf.AGGREGATE(15,6,(ROW(Ventes_Encaissements!$B$6:$B$3005)-ROW(Ventes_Encaissements!$B$6)+1)/((Ventes_Encaissements!$E$6:$E$3005=$B1937)*(Ventes_Encaissements!$J$6:$J$3005=$G1937)*(Ventes_Encaissements!$C$6:$C$3005&gt;=$C1937-3)*(Ventes_Encaissements!$C$6:$C$3005&lt;=$C1937+3)),1)))</f>
        <v/>
      </c>
      <c r="K1937" s="6" t="n"/>
    </row>
    <row r="1938">
      <c r="A1938" s="6" t="n"/>
      <c r="B1938" s="6" t="n"/>
      <c r="C1938" s="19" t="n"/>
      <c r="D1938" s="19" t="n"/>
      <c r="E1938" s="6" t="n"/>
      <c r="F1938" s="20" t="n"/>
      <c r="G1938" s="9">
        <f>IF($F1938="","",IF($F1938&gt;0,ROUND($F1938,2),""))</f>
        <v/>
      </c>
      <c r="H1938" s="12">
        <f>IF(OR($B1938="",$C1938="",$G1938=""),"",COUNTIFS(Ventes_Encaissements!$E$6:$E$3005,$B1938,Ventes_Encaissements!$J$6:$J$3005,$G1938,Ventes_Encaissements!$C$6:$C$3005,"&gt;="&amp;($C1938-3),Ventes_Encaissements!$C$6:$C$3005,"&lt;="&amp;($C1938+3)))</f>
        <v/>
      </c>
      <c r="I1938" s="12">
        <f>IF($H1938="","",IF($H1938=0,"Non trouvé",IF($H1938=1,"Match","À vérifier")))</f>
        <v/>
      </c>
      <c r="J1938" s="21">
        <f>IF($I1938&lt;&gt;"Match","",INDEX(Ventes_Encaissements!$B$6:$B$3005,_xludf.AGGREGATE(15,6,(ROW(Ventes_Encaissements!$B$6:$B$3005)-ROW(Ventes_Encaissements!$B$6)+1)/((Ventes_Encaissements!$E$6:$E$3005=$B1938)*(Ventes_Encaissements!$J$6:$J$3005=$G1938)*(Ventes_Encaissements!$C$6:$C$3005&gt;=$C1938-3)*(Ventes_Encaissements!$C$6:$C$3005&lt;=$C1938+3)),1)))</f>
        <v/>
      </c>
      <c r="K1938" s="6" t="n"/>
    </row>
    <row r="1939">
      <c r="A1939" s="6" t="n"/>
      <c r="B1939" s="6" t="n"/>
      <c r="C1939" s="19" t="n"/>
      <c r="D1939" s="19" t="n"/>
      <c r="E1939" s="6" t="n"/>
      <c r="F1939" s="20" t="n"/>
      <c r="G1939" s="9">
        <f>IF($F1939="","",IF($F1939&gt;0,ROUND($F1939,2),""))</f>
        <v/>
      </c>
      <c r="H1939" s="12">
        <f>IF(OR($B1939="",$C1939="",$G1939=""),"",COUNTIFS(Ventes_Encaissements!$E$6:$E$3005,$B1939,Ventes_Encaissements!$J$6:$J$3005,$G1939,Ventes_Encaissements!$C$6:$C$3005,"&gt;="&amp;($C1939-3),Ventes_Encaissements!$C$6:$C$3005,"&lt;="&amp;($C1939+3)))</f>
        <v/>
      </c>
      <c r="I1939" s="12">
        <f>IF($H1939="","",IF($H1939=0,"Non trouvé",IF($H1939=1,"Match","À vérifier")))</f>
        <v/>
      </c>
      <c r="J1939" s="21">
        <f>IF($I1939&lt;&gt;"Match","",INDEX(Ventes_Encaissements!$B$6:$B$3005,_xludf.AGGREGATE(15,6,(ROW(Ventes_Encaissements!$B$6:$B$3005)-ROW(Ventes_Encaissements!$B$6)+1)/((Ventes_Encaissements!$E$6:$E$3005=$B1939)*(Ventes_Encaissements!$J$6:$J$3005=$G1939)*(Ventes_Encaissements!$C$6:$C$3005&gt;=$C1939-3)*(Ventes_Encaissements!$C$6:$C$3005&lt;=$C1939+3)),1)))</f>
        <v/>
      </c>
      <c r="K1939" s="6" t="n"/>
    </row>
    <row r="1940">
      <c r="A1940" s="6" t="n"/>
      <c r="B1940" s="6" t="n"/>
      <c r="C1940" s="19" t="n"/>
      <c r="D1940" s="19" t="n"/>
      <c r="E1940" s="6" t="n"/>
      <c r="F1940" s="20" t="n"/>
      <c r="G1940" s="9">
        <f>IF($F1940="","",IF($F1940&gt;0,ROUND($F1940,2),""))</f>
        <v/>
      </c>
      <c r="H1940" s="12">
        <f>IF(OR($B1940="",$C1940="",$G1940=""),"",COUNTIFS(Ventes_Encaissements!$E$6:$E$3005,$B1940,Ventes_Encaissements!$J$6:$J$3005,$G1940,Ventes_Encaissements!$C$6:$C$3005,"&gt;="&amp;($C1940-3),Ventes_Encaissements!$C$6:$C$3005,"&lt;="&amp;($C1940+3)))</f>
        <v/>
      </c>
      <c r="I1940" s="12">
        <f>IF($H1940="","",IF($H1940=0,"Non trouvé",IF($H1940=1,"Match","À vérifier")))</f>
        <v/>
      </c>
      <c r="J1940" s="21">
        <f>IF($I1940&lt;&gt;"Match","",INDEX(Ventes_Encaissements!$B$6:$B$3005,_xludf.AGGREGATE(15,6,(ROW(Ventes_Encaissements!$B$6:$B$3005)-ROW(Ventes_Encaissements!$B$6)+1)/((Ventes_Encaissements!$E$6:$E$3005=$B1940)*(Ventes_Encaissements!$J$6:$J$3005=$G1940)*(Ventes_Encaissements!$C$6:$C$3005&gt;=$C1940-3)*(Ventes_Encaissements!$C$6:$C$3005&lt;=$C1940+3)),1)))</f>
        <v/>
      </c>
      <c r="K1940" s="6" t="n"/>
    </row>
    <row r="1941">
      <c r="A1941" s="6" t="n"/>
      <c r="B1941" s="6" t="n"/>
      <c r="C1941" s="19" t="n"/>
      <c r="D1941" s="19" t="n"/>
      <c r="E1941" s="6" t="n"/>
      <c r="F1941" s="20" t="n"/>
      <c r="G1941" s="9">
        <f>IF($F1941="","",IF($F1941&gt;0,ROUND($F1941,2),""))</f>
        <v/>
      </c>
      <c r="H1941" s="12">
        <f>IF(OR($B1941="",$C1941="",$G1941=""),"",COUNTIFS(Ventes_Encaissements!$E$6:$E$3005,$B1941,Ventes_Encaissements!$J$6:$J$3005,$G1941,Ventes_Encaissements!$C$6:$C$3005,"&gt;="&amp;($C1941-3),Ventes_Encaissements!$C$6:$C$3005,"&lt;="&amp;($C1941+3)))</f>
        <v/>
      </c>
      <c r="I1941" s="12">
        <f>IF($H1941="","",IF($H1941=0,"Non trouvé",IF($H1941=1,"Match","À vérifier")))</f>
        <v/>
      </c>
      <c r="J1941" s="21">
        <f>IF($I1941&lt;&gt;"Match","",INDEX(Ventes_Encaissements!$B$6:$B$3005,_xludf.AGGREGATE(15,6,(ROW(Ventes_Encaissements!$B$6:$B$3005)-ROW(Ventes_Encaissements!$B$6)+1)/((Ventes_Encaissements!$E$6:$E$3005=$B1941)*(Ventes_Encaissements!$J$6:$J$3005=$G1941)*(Ventes_Encaissements!$C$6:$C$3005&gt;=$C1941-3)*(Ventes_Encaissements!$C$6:$C$3005&lt;=$C1941+3)),1)))</f>
        <v/>
      </c>
      <c r="K1941" s="6" t="n"/>
    </row>
    <row r="1942">
      <c r="A1942" s="6" t="n"/>
      <c r="B1942" s="6" t="n"/>
      <c r="C1942" s="19" t="n"/>
      <c r="D1942" s="19" t="n"/>
      <c r="E1942" s="6" t="n"/>
      <c r="F1942" s="20" t="n"/>
      <c r="G1942" s="9">
        <f>IF($F1942="","",IF($F1942&gt;0,ROUND($F1942,2),""))</f>
        <v/>
      </c>
      <c r="H1942" s="12">
        <f>IF(OR($B1942="",$C1942="",$G1942=""),"",COUNTIFS(Ventes_Encaissements!$E$6:$E$3005,$B1942,Ventes_Encaissements!$J$6:$J$3005,$G1942,Ventes_Encaissements!$C$6:$C$3005,"&gt;="&amp;($C1942-3),Ventes_Encaissements!$C$6:$C$3005,"&lt;="&amp;($C1942+3)))</f>
        <v/>
      </c>
      <c r="I1942" s="12">
        <f>IF($H1942="","",IF($H1942=0,"Non trouvé",IF($H1942=1,"Match","À vérifier")))</f>
        <v/>
      </c>
      <c r="J1942" s="21">
        <f>IF($I1942&lt;&gt;"Match","",INDEX(Ventes_Encaissements!$B$6:$B$3005,_xludf.AGGREGATE(15,6,(ROW(Ventes_Encaissements!$B$6:$B$3005)-ROW(Ventes_Encaissements!$B$6)+1)/((Ventes_Encaissements!$E$6:$E$3005=$B1942)*(Ventes_Encaissements!$J$6:$J$3005=$G1942)*(Ventes_Encaissements!$C$6:$C$3005&gt;=$C1942-3)*(Ventes_Encaissements!$C$6:$C$3005&lt;=$C1942+3)),1)))</f>
        <v/>
      </c>
      <c r="K1942" s="6" t="n"/>
    </row>
    <row r="1943">
      <c r="A1943" s="6" t="n"/>
      <c r="B1943" s="6" t="n"/>
      <c r="C1943" s="19" t="n"/>
      <c r="D1943" s="19" t="n"/>
      <c r="E1943" s="6" t="n"/>
      <c r="F1943" s="20" t="n"/>
      <c r="G1943" s="9">
        <f>IF($F1943="","",IF($F1943&gt;0,ROUND($F1943,2),""))</f>
        <v/>
      </c>
      <c r="H1943" s="12">
        <f>IF(OR($B1943="",$C1943="",$G1943=""),"",COUNTIFS(Ventes_Encaissements!$E$6:$E$3005,$B1943,Ventes_Encaissements!$J$6:$J$3005,$G1943,Ventes_Encaissements!$C$6:$C$3005,"&gt;="&amp;($C1943-3),Ventes_Encaissements!$C$6:$C$3005,"&lt;="&amp;($C1943+3)))</f>
        <v/>
      </c>
      <c r="I1943" s="12">
        <f>IF($H1943="","",IF($H1943=0,"Non trouvé",IF($H1943=1,"Match","À vérifier")))</f>
        <v/>
      </c>
      <c r="J1943" s="21">
        <f>IF($I1943&lt;&gt;"Match","",INDEX(Ventes_Encaissements!$B$6:$B$3005,_xludf.AGGREGATE(15,6,(ROW(Ventes_Encaissements!$B$6:$B$3005)-ROW(Ventes_Encaissements!$B$6)+1)/((Ventes_Encaissements!$E$6:$E$3005=$B1943)*(Ventes_Encaissements!$J$6:$J$3005=$G1943)*(Ventes_Encaissements!$C$6:$C$3005&gt;=$C1943-3)*(Ventes_Encaissements!$C$6:$C$3005&lt;=$C1943+3)),1)))</f>
        <v/>
      </c>
      <c r="K1943" s="6" t="n"/>
    </row>
    <row r="1944">
      <c r="A1944" s="6" t="n"/>
      <c r="B1944" s="6" t="n"/>
      <c r="C1944" s="19" t="n"/>
      <c r="D1944" s="19" t="n"/>
      <c r="E1944" s="6" t="n"/>
      <c r="F1944" s="20" t="n"/>
      <c r="G1944" s="9">
        <f>IF($F1944="","",IF($F1944&gt;0,ROUND($F1944,2),""))</f>
        <v/>
      </c>
      <c r="H1944" s="12">
        <f>IF(OR($B1944="",$C1944="",$G1944=""),"",COUNTIFS(Ventes_Encaissements!$E$6:$E$3005,$B1944,Ventes_Encaissements!$J$6:$J$3005,$G1944,Ventes_Encaissements!$C$6:$C$3005,"&gt;="&amp;($C1944-3),Ventes_Encaissements!$C$6:$C$3005,"&lt;="&amp;($C1944+3)))</f>
        <v/>
      </c>
      <c r="I1944" s="12">
        <f>IF($H1944="","",IF($H1944=0,"Non trouvé",IF($H1944=1,"Match","À vérifier")))</f>
        <v/>
      </c>
      <c r="J1944" s="21">
        <f>IF($I1944&lt;&gt;"Match","",INDEX(Ventes_Encaissements!$B$6:$B$3005,_xludf.AGGREGATE(15,6,(ROW(Ventes_Encaissements!$B$6:$B$3005)-ROW(Ventes_Encaissements!$B$6)+1)/((Ventes_Encaissements!$E$6:$E$3005=$B1944)*(Ventes_Encaissements!$J$6:$J$3005=$G1944)*(Ventes_Encaissements!$C$6:$C$3005&gt;=$C1944-3)*(Ventes_Encaissements!$C$6:$C$3005&lt;=$C1944+3)),1)))</f>
        <v/>
      </c>
      <c r="K1944" s="6" t="n"/>
    </row>
    <row r="1945">
      <c r="A1945" s="6" t="n"/>
      <c r="B1945" s="6" t="n"/>
      <c r="C1945" s="19" t="n"/>
      <c r="D1945" s="19" t="n"/>
      <c r="E1945" s="6" t="n"/>
      <c r="F1945" s="20" t="n"/>
      <c r="G1945" s="9">
        <f>IF($F1945="","",IF($F1945&gt;0,ROUND($F1945,2),""))</f>
        <v/>
      </c>
      <c r="H1945" s="12">
        <f>IF(OR($B1945="",$C1945="",$G1945=""),"",COUNTIFS(Ventes_Encaissements!$E$6:$E$3005,$B1945,Ventes_Encaissements!$J$6:$J$3005,$G1945,Ventes_Encaissements!$C$6:$C$3005,"&gt;="&amp;($C1945-3),Ventes_Encaissements!$C$6:$C$3005,"&lt;="&amp;($C1945+3)))</f>
        <v/>
      </c>
      <c r="I1945" s="12">
        <f>IF($H1945="","",IF($H1945=0,"Non trouvé",IF($H1945=1,"Match","À vérifier")))</f>
        <v/>
      </c>
      <c r="J1945" s="21">
        <f>IF($I1945&lt;&gt;"Match","",INDEX(Ventes_Encaissements!$B$6:$B$3005,_xludf.AGGREGATE(15,6,(ROW(Ventes_Encaissements!$B$6:$B$3005)-ROW(Ventes_Encaissements!$B$6)+1)/((Ventes_Encaissements!$E$6:$E$3005=$B1945)*(Ventes_Encaissements!$J$6:$J$3005=$G1945)*(Ventes_Encaissements!$C$6:$C$3005&gt;=$C1945-3)*(Ventes_Encaissements!$C$6:$C$3005&lt;=$C1945+3)),1)))</f>
        <v/>
      </c>
      <c r="K1945" s="6" t="n"/>
    </row>
    <row r="1946">
      <c r="A1946" s="6" t="n"/>
      <c r="B1946" s="6" t="n"/>
      <c r="C1946" s="19" t="n"/>
      <c r="D1946" s="19" t="n"/>
      <c r="E1946" s="6" t="n"/>
      <c r="F1946" s="20" t="n"/>
      <c r="G1946" s="9">
        <f>IF($F1946="","",IF($F1946&gt;0,ROUND($F1946,2),""))</f>
        <v/>
      </c>
      <c r="H1946" s="12">
        <f>IF(OR($B1946="",$C1946="",$G1946=""),"",COUNTIFS(Ventes_Encaissements!$E$6:$E$3005,$B1946,Ventes_Encaissements!$J$6:$J$3005,$G1946,Ventes_Encaissements!$C$6:$C$3005,"&gt;="&amp;($C1946-3),Ventes_Encaissements!$C$6:$C$3005,"&lt;="&amp;($C1946+3)))</f>
        <v/>
      </c>
      <c r="I1946" s="12">
        <f>IF($H1946="","",IF($H1946=0,"Non trouvé",IF($H1946=1,"Match","À vérifier")))</f>
        <v/>
      </c>
      <c r="J1946" s="21">
        <f>IF($I1946&lt;&gt;"Match","",INDEX(Ventes_Encaissements!$B$6:$B$3005,_xludf.AGGREGATE(15,6,(ROW(Ventes_Encaissements!$B$6:$B$3005)-ROW(Ventes_Encaissements!$B$6)+1)/((Ventes_Encaissements!$E$6:$E$3005=$B1946)*(Ventes_Encaissements!$J$6:$J$3005=$G1946)*(Ventes_Encaissements!$C$6:$C$3005&gt;=$C1946-3)*(Ventes_Encaissements!$C$6:$C$3005&lt;=$C1946+3)),1)))</f>
        <v/>
      </c>
      <c r="K1946" s="6" t="n"/>
    </row>
    <row r="1947">
      <c r="A1947" s="6" t="n"/>
      <c r="B1947" s="6" t="n"/>
      <c r="C1947" s="19" t="n"/>
      <c r="D1947" s="19" t="n"/>
      <c r="E1947" s="6" t="n"/>
      <c r="F1947" s="20" t="n"/>
      <c r="G1947" s="9">
        <f>IF($F1947="","",IF($F1947&gt;0,ROUND($F1947,2),""))</f>
        <v/>
      </c>
      <c r="H1947" s="12">
        <f>IF(OR($B1947="",$C1947="",$G1947=""),"",COUNTIFS(Ventes_Encaissements!$E$6:$E$3005,$B1947,Ventes_Encaissements!$J$6:$J$3005,$G1947,Ventes_Encaissements!$C$6:$C$3005,"&gt;="&amp;($C1947-3),Ventes_Encaissements!$C$6:$C$3005,"&lt;="&amp;($C1947+3)))</f>
        <v/>
      </c>
      <c r="I1947" s="12">
        <f>IF($H1947="","",IF($H1947=0,"Non trouvé",IF($H1947=1,"Match","À vérifier")))</f>
        <v/>
      </c>
      <c r="J1947" s="21">
        <f>IF($I1947&lt;&gt;"Match","",INDEX(Ventes_Encaissements!$B$6:$B$3005,_xludf.AGGREGATE(15,6,(ROW(Ventes_Encaissements!$B$6:$B$3005)-ROW(Ventes_Encaissements!$B$6)+1)/((Ventes_Encaissements!$E$6:$E$3005=$B1947)*(Ventes_Encaissements!$J$6:$J$3005=$G1947)*(Ventes_Encaissements!$C$6:$C$3005&gt;=$C1947-3)*(Ventes_Encaissements!$C$6:$C$3005&lt;=$C1947+3)),1)))</f>
        <v/>
      </c>
      <c r="K1947" s="6" t="n"/>
    </row>
    <row r="1948">
      <c r="A1948" s="6" t="n"/>
      <c r="B1948" s="6" t="n"/>
      <c r="C1948" s="19" t="n"/>
      <c r="D1948" s="19" t="n"/>
      <c r="E1948" s="6" t="n"/>
      <c r="F1948" s="20" t="n"/>
      <c r="G1948" s="9">
        <f>IF($F1948="","",IF($F1948&gt;0,ROUND($F1948,2),""))</f>
        <v/>
      </c>
      <c r="H1948" s="12">
        <f>IF(OR($B1948="",$C1948="",$G1948=""),"",COUNTIFS(Ventes_Encaissements!$E$6:$E$3005,$B1948,Ventes_Encaissements!$J$6:$J$3005,$G1948,Ventes_Encaissements!$C$6:$C$3005,"&gt;="&amp;($C1948-3),Ventes_Encaissements!$C$6:$C$3005,"&lt;="&amp;($C1948+3)))</f>
        <v/>
      </c>
      <c r="I1948" s="12">
        <f>IF($H1948="","",IF($H1948=0,"Non trouvé",IF($H1948=1,"Match","À vérifier")))</f>
        <v/>
      </c>
      <c r="J1948" s="21">
        <f>IF($I1948&lt;&gt;"Match","",INDEX(Ventes_Encaissements!$B$6:$B$3005,_xludf.AGGREGATE(15,6,(ROW(Ventes_Encaissements!$B$6:$B$3005)-ROW(Ventes_Encaissements!$B$6)+1)/((Ventes_Encaissements!$E$6:$E$3005=$B1948)*(Ventes_Encaissements!$J$6:$J$3005=$G1948)*(Ventes_Encaissements!$C$6:$C$3005&gt;=$C1948-3)*(Ventes_Encaissements!$C$6:$C$3005&lt;=$C1948+3)),1)))</f>
        <v/>
      </c>
      <c r="K1948" s="6" t="n"/>
    </row>
    <row r="1949">
      <c r="A1949" s="6" t="n"/>
      <c r="B1949" s="6" t="n"/>
      <c r="C1949" s="19" t="n"/>
      <c r="D1949" s="19" t="n"/>
      <c r="E1949" s="6" t="n"/>
      <c r="F1949" s="20" t="n"/>
      <c r="G1949" s="9">
        <f>IF($F1949="","",IF($F1949&gt;0,ROUND($F1949,2),""))</f>
        <v/>
      </c>
      <c r="H1949" s="12">
        <f>IF(OR($B1949="",$C1949="",$G1949=""),"",COUNTIFS(Ventes_Encaissements!$E$6:$E$3005,$B1949,Ventes_Encaissements!$J$6:$J$3005,$G1949,Ventes_Encaissements!$C$6:$C$3005,"&gt;="&amp;($C1949-3),Ventes_Encaissements!$C$6:$C$3005,"&lt;="&amp;($C1949+3)))</f>
        <v/>
      </c>
      <c r="I1949" s="12">
        <f>IF($H1949="","",IF($H1949=0,"Non trouvé",IF($H1949=1,"Match","À vérifier")))</f>
        <v/>
      </c>
      <c r="J1949" s="21">
        <f>IF($I1949&lt;&gt;"Match","",INDEX(Ventes_Encaissements!$B$6:$B$3005,_xludf.AGGREGATE(15,6,(ROW(Ventes_Encaissements!$B$6:$B$3005)-ROW(Ventes_Encaissements!$B$6)+1)/((Ventes_Encaissements!$E$6:$E$3005=$B1949)*(Ventes_Encaissements!$J$6:$J$3005=$G1949)*(Ventes_Encaissements!$C$6:$C$3005&gt;=$C1949-3)*(Ventes_Encaissements!$C$6:$C$3005&lt;=$C1949+3)),1)))</f>
        <v/>
      </c>
      <c r="K1949" s="6" t="n"/>
    </row>
    <row r="1950">
      <c r="A1950" s="6" t="n"/>
      <c r="B1950" s="6" t="n"/>
      <c r="C1950" s="19" t="n"/>
      <c r="D1950" s="19" t="n"/>
      <c r="E1950" s="6" t="n"/>
      <c r="F1950" s="20" t="n"/>
      <c r="G1950" s="9">
        <f>IF($F1950="","",IF($F1950&gt;0,ROUND($F1950,2),""))</f>
        <v/>
      </c>
      <c r="H1950" s="12">
        <f>IF(OR($B1950="",$C1950="",$G1950=""),"",COUNTIFS(Ventes_Encaissements!$E$6:$E$3005,$B1950,Ventes_Encaissements!$J$6:$J$3005,$G1950,Ventes_Encaissements!$C$6:$C$3005,"&gt;="&amp;($C1950-3),Ventes_Encaissements!$C$6:$C$3005,"&lt;="&amp;($C1950+3)))</f>
        <v/>
      </c>
      <c r="I1950" s="12">
        <f>IF($H1950="","",IF($H1950=0,"Non trouvé",IF($H1950=1,"Match","À vérifier")))</f>
        <v/>
      </c>
      <c r="J1950" s="21">
        <f>IF($I1950&lt;&gt;"Match","",INDEX(Ventes_Encaissements!$B$6:$B$3005,_xludf.AGGREGATE(15,6,(ROW(Ventes_Encaissements!$B$6:$B$3005)-ROW(Ventes_Encaissements!$B$6)+1)/((Ventes_Encaissements!$E$6:$E$3005=$B1950)*(Ventes_Encaissements!$J$6:$J$3005=$G1950)*(Ventes_Encaissements!$C$6:$C$3005&gt;=$C1950-3)*(Ventes_Encaissements!$C$6:$C$3005&lt;=$C1950+3)),1)))</f>
        <v/>
      </c>
      <c r="K1950" s="6" t="n"/>
    </row>
    <row r="1951">
      <c r="A1951" s="6" t="n"/>
      <c r="B1951" s="6" t="n"/>
      <c r="C1951" s="19" t="n"/>
      <c r="D1951" s="19" t="n"/>
      <c r="E1951" s="6" t="n"/>
      <c r="F1951" s="20" t="n"/>
      <c r="G1951" s="9">
        <f>IF($F1951="","",IF($F1951&gt;0,ROUND($F1951,2),""))</f>
        <v/>
      </c>
      <c r="H1951" s="12">
        <f>IF(OR($B1951="",$C1951="",$G1951=""),"",COUNTIFS(Ventes_Encaissements!$E$6:$E$3005,$B1951,Ventes_Encaissements!$J$6:$J$3005,$G1951,Ventes_Encaissements!$C$6:$C$3005,"&gt;="&amp;($C1951-3),Ventes_Encaissements!$C$6:$C$3005,"&lt;="&amp;($C1951+3)))</f>
        <v/>
      </c>
      <c r="I1951" s="12">
        <f>IF($H1951="","",IF($H1951=0,"Non trouvé",IF($H1951=1,"Match","À vérifier")))</f>
        <v/>
      </c>
      <c r="J1951" s="21">
        <f>IF($I1951&lt;&gt;"Match","",INDEX(Ventes_Encaissements!$B$6:$B$3005,_xludf.AGGREGATE(15,6,(ROW(Ventes_Encaissements!$B$6:$B$3005)-ROW(Ventes_Encaissements!$B$6)+1)/((Ventes_Encaissements!$E$6:$E$3005=$B1951)*(Ventes_Encaissements!$J$6:$J$3005=$G1951)*(Ventes_Encaissements!$C$6:$C$3005&gt;=$C1951-3)*(Ventes_Encaissements!$C$6:$C$3005&lt;=$C1951+3)),1)))</f>
        <v/>
      </c>
      <c r="K1951" s="6" t="n"/>
    </row>
    <row r="1952">
      <c r="A1952" s="6" t="n"/>
      <c r="B1952" s="6" t="n"/>
      <c r="C1952" s="19" t="n"/>
      <c r="D1952" s="19" t="n"/>
      <c r="E1952" s="6" t="n"/>
      <c r="F1952" s="20" t="n"/>
      <c r="G1952" s="9">
        <f>IF($F1952="","",IF($F1952&gt;0,ROUND($F1952,2),""))</f>
        <v/>
      </c>
      <c r="H1952" s="12">
        <f>IF(OR($B1952="",$C1952="",$G1952=""),"",COUNTIFS(Ventes_Encaissements!$E$6:$E$3005,$B1952,Ventes_Encaissements!$J$6:$J$3005,$G1952,Ventes_Encaissements!$C$6:$C$3005,"&gt;="&amp;($C1952-3),Ventes_Encaissements!$C$6:$C$3005,"&lt;="&amp;($C1952+3)))</f>
        <v/>
      </c>
      <c r="I1952" s="12">
        <f>IF($H1952="","",IF($H1952=0,"Non trouvé",IF($H1952=1,"Match","À vérifier")))</f>
        <v/>
      </c>
      <c r="J1952" s="21">
        <f>IF($I1952&lt;&gt;"Match","",INDEX(Ventes_Encaissements!$B$6:$B$3005,_xludf.AGGREGATE(15,6,(ROW(Ventes_Encaissements!$B$6:$B$3005)-ROW(Ventes_Encaissements!$B$6)+1)/((Ventes_Encaissements!$E$6:$E$3005=$B1952)*(Ventes_Encaissements!$J$6:$J$3005=$G1952)*(Ventes_Encaissements!$C$6:$C$3005&gt;=$C1952-3)*(Ventes_Encaissements!$C$6:$C$3005&lt;=$C1952+3)),1)))</f>
        <v/>
      </c>
      <c r="K1952" s="6" t="n"/>
    </row>
    <row r="1953">
      <c r="A1953" s="6" t="n"/>
      <c r="B1953" s="6" t="n"/>
      <c r="C1953" s="19" t="n"/>
      <c r="D1953" s="19" t="n"/>
      <c r="E1953" s="6" t="n"/>
      <c r="F1953" s="20" t="n"/>
      <c r="G1953" s="9">
        <f>IF($F1953="","",IF($F1953&gt;0,ROUND($F1953,2),""))</f>
        <v/>
      </c>
      <c r="H1953" s="12">
        <f>IF(OR($B1953="",$C1953="",$G1953=""),"",COUNTIFS(Ventes_Encaissements!$E$6:$E$3005,$B1953,Ventes_Encaissements!$J$6:$J$3005,$G1953,Ventes_Encaissements!$C$6:$C$3005,"&gt;="&amp;($C1953-3),Ventes_Encaissements!$C$6:$C$3005,"&lt;="&amp;($C1953+3)))</f>
        <v/>
      </c>
      <c r="I1953" s="12">
        <f>IF($H1953="","",IF($H1953=0,"Non trouvé",IF($H1953=1,"Match","À vérifier")))</f>
        <v/>
      </c>
      <c r="J1953" s="21">
        <f>IF($I1953&lt;&gt;"Match","",INDEX(Ventes_Encaissements!$B$6:$B$3005,_xludf.AGGREGATE(15,6,(ROW(Ventes_Encaissements!$B$6:$B$3005)-ROW(Ventes_Encaissements!$B$6)+1)/((Ventes_Encaissements!$E$6:$E$3005=$B1953)*(Ventes_Encaissements!$J$6:$J$3005=$G1953)*(Ventes_Encaissements!$C$6:$C$3005&gt;=$C1953-3)*(Ventes_Encaissements!$C$6:$C$3005&lt;=$C1953+3)),1)))</f>
        <v/>
      </c>
      <c r="K1953" s="6" t="n"/>
    </row>
    <row r="1954">
      <c r="A1954" s="6" t="n"/>
      <c r="B1954" s="6" t="n"/>
      <c r="C1954" s="19" t="n"/>
      <c r="D1954" s="19" t="n"/>
      <c r="E1954" s="6" t="n"/>
      <c r="F1954" s="20" t="n"/>
      <c r="G1954" s="9">
        <f>IF($F1954="","",IF($F1954&gt;0,ROUND($F1954,2),""))</f>
        <v/>
      </c>
      <c r="H1954" s="12">
        <f>IF(OR($B1954="",$C1954="",$G1954=""),"",COUNTIFS(Ventes_Encaissements!$E$6:$E$3005,$B1954,Ventes_Encaissements!$J$6:$J$3005,$G1954,Ventes_Encaissements!$C$6:$C$3005,"&gt;="&amp;($C1954-3),Ventes_Encaissements!$C$6:$C$3005,"&lt;="&amp;($C1954+3)))</f>
        <v/>
      </c>
      <c r="I1954" s="12">
        <f>IF($H1954="","",IF($H1954=0,"Non trouvé",IF($H1954=1,"Match","À vérifier")))</f>
        <v/>
      </c>
      <c r="J1954" s="21">
        <f>IF($I1954&lt;&gt;"Match","",INDEX(Ventes_Encaissements!$B$6:$B$3005,_xludf.AGGREGATE(15,6,(ROW(Ventes_Encaissements!$B$6:$B$3005)-ROW(Ventes_Encaissements!$B$6)+1)/((Ventes_Encaissements!$E$6:$E$3005=$B1954)*(Ventes_Encaissements!$J$6:$J$3005=$G1954)*(Ventes_Encaissements!$C$6:$C$3005&gt;=$C1954-3)*(Ventes_Encaissements!$C$6:$C$3005&lt;=$C1954+3)),1)))</f>
        <v/>
      </c>
      <c r="K1954" s="6" t="n"/>
    </row>
    <row r="1955">
      <c r="A1955" s="6" t="n"/>
      <c r="B1955" s="6" t="n"/>
      <c r="C1955" s="19" t="n"/>
      <c r="D1955" s="19" t="n"/>
      <c r="E1955" s="6" t="n"/>
      <c r="F1955" s="20" t="n"/>
      <c r="G1955" s="9">
        <f>IF($F1955="","",IF($F1955&gt;0,ROUND($F1955,2),""))</f>
        <v/>
      </c>
      <c r="H1955" s="12">
        <f>IF(OR($B1955="",$C1955="",$G1955=""),"",COUNTIFS(Ventes_Encaissements!$E$6:$E$3005,$B1955,Ventes_Encaissements!$J$6:$J$3005,$G1955,Ventes_Encaissements!$C$6:$C$3005,"&gt;="&amp;($C1955-3),Ventes_Encaissements!$C$6:$C$3005,"&lt;="&amp;($C1955+3)))</f>
        <v/>
      </c>
      <c r="I1955" s="12">
        <f>IF($H1955="","",IF($H1955=0,"Non trouvé",IF($H1955=1,"Match","À vérifier")))</f>
        <v/>
      </c>
      <c r="J1955" s="21">
        <f>IF($I1955&lt;&gt;"Match","",INDEX(Ventes_Encaissements!$B$6:$B$3005,_xludf.AGGREGATE(15,6,(ROW(Ventes_Encaissements!$B$6:$B$3005)-ROW(Ventes_Encaissements!$B$6)+1)/((Ventes_Encaissements!$E$6:$E$3005=$B1955)*(Ventes_Encaissements!$J$6:$J$3005=$G1955)*(Ventes_Encaissements!$C$6:$C$3005&gt;=$C1955-3)*(Ventes_Encaissements!$C$6:$C$3005&lt;=$C1955+3)),1)))</f>
        <v/>
      </c>
      <c r="K1955" s="6" t="n"/>
    </row>
    <row r="1956">
      <c r="A1956" s="6" t="n"/>
      <c r="B1956" s="6" t="n"/>
      <c r="C1956" s="19" t="n"/>
      <c r="D1956" s="19" t="n"/>
      <c r="E1956" s="6" t="n"/>
      <c r="F1956" s="20" t="n"/>
      <c r="G1956" s="9">
        <f>IF($F1956="","",IF($F1956&gt;0,ROUND($F1956,2),""))</f>
        <v/>
      </c>
      <c r="H1956" s="12">
        <f>IF(OR($B1956="",$C1956="",$G1956=""),"",COUNTIFS(Ventes_Encaissements!$E$6:$E$3005,$B1956,Ventes_Encaissements!$J$6:$J$3005,$G1956,Ventes_Encaissements!$C$6:$C$3005,"&gt;="&amp;($C1956-3),Ventes_Encaissements!$C$6:$C$3005,"&lt;="&amp;($C1956+3)))</f>
        <v/>
      </c>
      <c r="I1956" s="12">
        <f>IF($H1956="","",IF($H1956=0,"Non trouvé",IF($H1956=1,"Match","À vérifier")))</f>
        <v/>
      </c>
      <c r="J1956" s="21">
        <f>IF($I1956&lt;&gt;"Match","",INDEX(Ventes_Encaissements!$B$6:$B$3005,_xludf.AGGREGATE(15,6,(ROW(Ventes_Encaissements!$B$6:$B$3005)-ROW(Ventes_Encaissements!$B$6)+1)/((Ventes_Encaissements!$E$6:$E$3005=$B1956)*(Ventes_Encaissements!$J$6:$J$3005=$G1956)*(Ventes_Encaissements!$C$6:$C$3005&gt;=$C1956-3)*(Ventes_Encaissements!$C$6:$C$3005&lt;=$C1956+3)),1)))</f>
        <v/>
      </c>
      <c r="K1956" s="6" t="n"/>
    </row>
    <row r="1957">
      <c r="A1957" s="6" t="n"/>
      <c r="B1957" s="6" t="n"/>
      <c r="C1957" s="19" t="n"/>
      <c r="D1957" s="19" t="n"/>
      <c r="E1957" s="6" t="n"/>
      <c r="F1957" s="20" t="n"/>
      <c r="G1957" s="9">
        <f>IF($F1957="","",IF($F1957&gt;0,ROUND($F1957,2),""))</f>
        <v/>
      </c>
      <c r="H1957" s="12">
        <f>IF(OR($B1957="",$C1957="",$G1957=""),"",COUNTIFS(Ventes_Encaissements!$E$6:$E$3005,$B1957,Ventes_Encaissements!$J$6:$J$3005,$G1957,Ventes_Encaissements!$C$6:$C$3005,"&gt;="&amp;($C1957-3),Ventes_Encaissements!$C$6:$C$3005,"&lt;="&amp;($C1957+3)))</f>
        <v/>
      </c>
      <c r="I1957" s="12">
        <f>IF($H1957="","",IF($H1957=0,"Non trouvé",IF($H1957=1,"Match","À vérifier")))</f>
        <v/>
      </c>
      <c r="J1957" s="21">
        <f>IF($I1957&lt;&gt;"Match","",INDEX(Ventes_Encaissements!$B$6:$B$3005,_xludf.AGGREGATE(15,6,(ROW(Ventes_Encaissements!$B$6:$B$3005)-ROW(Ventes_Encaissements!$B$6)+1)/((Ventes_Encaissements!$E$6:$E$3005=$B1957)*(Ventes_Encaissements!$J$6:$J$3005=$G1957)*(Ventes_Encaissements!$C$6:$C$3005&gt;=$C1957-3)*(Ventes_Encaissements!$C$6:$C$3005&lt;=$C1957+3)),1)))</f>
        <v/>
      </c>
      <c r="K1957" s="6" t="n"/>
    </row>
    <row r="1958">
      <c r="A1958" s="6" t="n"/>
      <c r="B1958" s="6" t="n"/>
      <c r="C1958" s="19" t="n"/>
      <c r="D1958" s="19" t="n"/>
      <c r="E1958" s="6" t="n"/>
      <c r="F1958" s="20" t="n"/>
      <c r="G1958" s="9">
        <f>IF($F1958="","",IF($F1958&gt;0,ROUND($F1958,2),""))</f>
        <v/>
      </c>
      <c r="H1958" s="12">
        <f>IF(OR($B1958="",$C1958="",$G1958=""),"",COUNTIFS(Ventes_Encaissements!$E$6:$E$3005,$B1958,Ventes_Encaissements!$J$6:$J$3005,$G1958,Ventes_Encaissements!$C$6:$C$3005,"&gt;="&amp;($C1958-3),Ventes_Encaissements!$C$6:$C$3005,"&lt;="&amp;($C1958+3)))</f>
        <v/>
      </c>
      <c r="I1958" s="12">
        <f>IF($H1958="","",IF($H1958=0,"Non trouvé",IF($H1958=1,"Match","À vérifier")))</f>
        <v/>
      </c>
      <c r="J1958" s="21">
        <f>IF($I1958&lt;&gt;"Match","",INDEX(Ventes_Encaissements!$B$6:$B$3005,_xludf.AGGREGATE(15,6,(ROW(Ventes_Encaissements!$B$6:$B$3005)-ROW(Ventes_Encaissements!$B$6)+1)/((Ventes_Encaissements!$E$6:$E$3005=$B1958)*(Ventes_Encaissements!$J$6:$J$3005=$G1958)*(Ventes_Encaissements!$C$6:$C$3005&gt;=$C1958-3)*(Ventes_Encaissements!$C$6:$C$3005&lt;=$C1958+3)),1)))</f>
        <v/>
      </c>
      <c r="K1958" s="6" t="n"/>
    </row>
    <row r="1959">
      <c r="A1959" s="6" t="n"/>
      <c r="B1959" s="6" t="n"/>
      <c r="C1959" s="19" t="n"/>
      <c r="D1959" s="19" t="n"/>
      <c r="E1959" s="6" t="n"/>
      <c r="F1959" s="20" t="n"/>
      <c r="G1959" s="9">
        <f>IF($F1959="","",IF($F1959&gt;0,ROUND($F1959,2),""))</f>
        <v/>
      </c>
      <c r="H1959" s="12">
        <f>IF(OR($B1959="",$C1959="",$G1959=""),"",COUNTIFS(Ventes_Encaissements!$E$6:$E$3005,$B1959,Ventes_Encaissements!$J$6:$J$3005,$G1959,Ventes_Encaissements!$C$6:$C$3005,"&gt;="&amp;($C1959-3),Ventes_Encaissements!$C$6:$C$3005,"&lt;="&amp;($C1959+3)))</f>
        <v/>
      </c>
      <c r="I1959" s="12">
        <f>IF($H1959="","",IF($H1959=0,"Non trouvé",IF($H1959=1,"Match","À vérifier")))</f>
        <v/>
      </c>
      <c r="J1959" s="21">
        <f>IF($I1959&lt;&gt;"Match","",INDEX(Ventes_Encaissements!$B$6:$B$3005,_xludf.AGGREGATE(15,6,(ROW(Ventes_Encaissements!$B$6:$B$3005)-ROW(Ventes_Encaissements!$B$6)+1)/((Ventes_Encaissements!$E$6:$E$3005=$B1959)*(Ventes_Encaissements!$J$6:$J$3005=$G1959)*(Ventes_Encaissements!$C$6:$C$3005&gt;=$C1959-3)*(Ventes_Encaissements!$C$6:$C$3005&lt;=$C1959+3)),1)))</f>
        <v/>
      </c>
      <c r="K1959" s="6" t="n"/>
    </row>
    <row r="1960">
      <c r="A1960" s="6" t="n"/>
      <c r="B1960" s="6" t="n"/>
      <c r="C1960" s="19" t="n"/>
      <c r="D1960" s="19" t="n"/>
      <c r="E1960" s="6" t="n"/>
      <c r="F1960" s="20" t="n"/>
      <c r="G1960" s="9">
        <f>IF($F1960="","",IF($F1960&gt;0,ROUND($F1960,2),""))</f>
        <v/>
      </c>
      <c r="H1960" s="12">
        <f>IF(OR($B1960="",$C1960="",$G1960=""),"",COUNTIFS(Ventes_Encaissements!$E$6:$E$3005,$B1960,Ventes_Encaissements!$J$6:$J$3005,$G1960,Ventes_Encaissements!$C$6:$C$3005,"&gt;="&amp;($C1960-3),Ventes_Encaissements!$C$6:$C$3005,"&lt;="&amp;($C1960+3)))</f>
        <v/>
      </c>
      <c r="I1960" s="12">
        <f>IF($H1960="","",IF($H1960=0,"Non trouvé",IF($H1960=1,"Match","À vérifier")))</f>
        <v/>
      </c>
      <c r="J1960" s="21">
        <f>IF($I1960&lt;&gt;"Match","",INDEX(Ventes_Encaissements!$B$6:$B$3005,_xludf.AGGREGATE(15,6,(ROW(Ventes_Encaissements!$B$6:$B$3005)-ROW(Ventes_Encaissements!$B$6)+1)/((Ventes_Encaissements!$E$6:$E$3005=$B1960)*(Ventes_Encaissements!$J$6:$J$3005=$G1960)*(Ventes_Encaissements!$C$6:$C$3005&gt;=$C1960-3)*(Ventes_Encaissements!$C$6:$C$3005&lt;=$C1960+3)),1)))</f>
        <v/>
      </c>
      <c r="K1960" s="6" t="n"/>
    </row>
    <row r="1961">
      <c r="A1961" s="6" t="n"/>
      <c r="B1961" s="6" t="n"/>
      <c r="C1961" s="19" t="n"/>
      <c r="D1961" s="19" t="n"/>
      <c r="E1961" s="6" t="n"/>
      <c r="F1961" s="20" t="n"/>
      <c r="G1961" s="9">
        <f>IF($F1961="","",IF($F1961&gt;0,ROUND($F1961,2),""))</f>
        <v/>
      </c>
      <c r="H1961" s="12">
        <f>IF(OR($B1961="",$C1961="",$G1961=""),"",COUNTIFS(Ventes_Encaissements!$E$6:$E$3005,$B1961,Ventes_Encaissements!$J$6:$J$3005,$G1961,Ventes_Encaissements!$C$6:$C$3005,"&gt;="&amp;($C1961-3),Ventes_Encaissements!$C$6:$C$3005,"&lt;="&amp;($C1961+3)))</f>
        <v/>
      </c>
      <c r="I1961" s="12">
        <f>IF($H1961="","",IF($H1961=0,"Non trouvé",IF($H1961=1,"Match","À vérifier")))</f>
        <v/>
      </c>
      <c r="J1961" s="21">
        <f>IF($I1961&lt;&gt;"Match","",INDEX(Ventes_Encaissements!$B$6:$B$3005,_xludf.AGGREGATE(15,6,(ROW(Ventes_Encaissements!$B$6:$B$3005)-ROW(Ventes_Encaissements!$B$6)+1)/((Ventes_Encaissements!$E$6:$E$3005=$B1961)*(Ventes_Encaissements!$J$6:$J$3005=$G1961)*(Ventes_Encaissements!$C$6:$C$3005&gt;=$C1961-3)*(Ventes_Encaissements!$C$6:$C$3005&lt;=$C1961+3)),1)))</f>
        <v/>
      </c>
      <c r="K1961" s="6" t="n"/>
    </row>
    <row r="1962">
      <c r="A1962" s="6" t="n"/>
      <c r="B1962" s="6" t="n"/>
      <c r="C1962" s="19" t="n"/>
      <c r="D1962" s="19" t="n"/>
      <c r="E1962" s="6" t="n"/>
      <c r="F1962" s="20" t="n"/>
      <c r="G1962" s="9">
        <f>IF($F1962="","",IF($F1962&gt;0,ROUND($F1962,2),""))</f>
        <v/>
      </c>
      <c r="H1962" s="12">
        <f>IF(OR($B1962="",$C1962="",$G1962=""),"",COUNTIFS(Ventes_Encaissements!$E$6:$E$3005,$B1962,Ventes_Encaissements!$J$6:$J$3005,$G1962,Ventes_Encaissements!$C$6:$C$3005,"&gt;="&amp;($C1962-3),Ventes_Encaissements!$C$6:$C$3005,"&lt;="&amp;($C1962+3)))</f>
        <v/>
      </c>
      <c r="I1962" s="12">
        <f>IF($H1962="","",IF($H1962=0,"Non trouvé",IF($H1962=1,"Match","À vérifier")))</f>
        <v/>
      </c>
      <c r="J1962" s="21">
        <f>IF($I1962&lt;&gt;"Match","",INDEX(Ventes_Encaissements!$B$6:$B$3005,_xludf.AGGREGATE(15,6,(ROW(Ventes_Encaissements!$B$6:$B$3005)-ROW(Ventes_Encaissements!$B$6)+1)/((Ventes_Encaissements!$E$6:$E$3005=$B1962)*(Ventes_Encaissements!$J$6:$J$3005=$G1962)*(Ventes_Encaissements!$C$6:$C$3005&gt;=$C1962-3)*(Ventes_Encaissements!$C$6:$C$3005&lt;=$C1962+3)),1)))</f>
        <v/>
      </c>
      <c r="K1962" s="6" t="n"/>
    </row>
    <row r="1963">
      <c r="A1963" s="6" t="n"/>
      <c r="B1963" s="6" t="n"/>
      <c r="C1963" s="19" t="n"/>
      <c r="D1963" s="19" t="n"/>
      <c r="E1963" s="6" t="n"/>
      <c r="F1963" s="20" t="n"/>
      <c r="G1963" s="9">
        <f>IF($F1963="","",IF($F1963&gt;0,ROUND($F1963,2),""))</f>
        <v/>
      </c>
      <c r="H1963" s="12">
        <f>IF(OR($B1963="",$C1963="",$G1963=""),"",COUNTIFS(Ventes_Encaissements!$E$6:$E$3005,$B1963,Ventes_Encaissements!$J$6:$J$3005,$G1963,Ventes_Encaissements!$C$6:$C$3005,"&gt;="&amp;($C1963-3),Ventes_Encaissements!$C$6:$C$3005,"&lt;="&amp;($C1963+3)))</f>
        <v/>
      </c>
      <c r="I1963" s="12">
        <f>IF($H1963="","",IF($H1963=0,"Non trouvé",IF($H1963=1,"Match","À vérifier")))</f>
        <v/>
      </c>
      <c r="J1963" s="21">
        <f>IF($I1963&lt;&gt;"Match","",INDEX(Ventes_Encaissements!$B$6:$B$3005,_xludf.AGGREGATE(15,6,(ROW(Ventes_Encaissements!$B$6:$B$3005)-ROW(Ventes_Encaissements!$B$6)+1)/((Ventes_Encaissements!$E$6:$E$3005=$B1963)*(Ventes_Encaissements!$J$6:$J$3005=$G1963)*(Ventes_Encaissements!$C$6:$C$3005&gt;=$C1963-3)*(Ventes_Encaissements!$C$6:$C$3005&lt;=$C1963+3)),1)))</f>
        <v/>
      </c>
      <c r="K1963" s="6" t="n"/>
    </row>
    <row r="1964">
      <c r="A1964" s="6" t="n"/>
      <c r="B1964" s="6" t="n"/>
      <c r="C1964" s="19" t="n"/>
      <c r="D1964" s="19" t="n"/>
      <c r="E1964" s="6" t="n"/>
      <c r="F1964" s="20" t="n"/>
      <c r="G1964" s="9">
        <f>IF($F1964="","",IF($F1964&gt;0,ROUND($F1964,2),""))</f>
        <v/>
      </c>
      <c r="H1964" s="12">
        <f>IF(OR($B1964="",$C1964="",$G1964=""),"",COUNTIFS(Ventes_Encaissements!$E$6:$E$3005,$B1964,Ventes_Encaissements!$J$6:$J$3005,$G1964,Ventes_Encaissements!$C$6:$C$3005,"&gt;="&amp;($C1964-3),Ventes_Encaissements!$C$6:$C$3005,"&lt;="&amp;($C1964+3)))</f>
        <v/>
      </c>
      <c r="I1964" s="12">
        <f>IF($H1964="","",IF($H1964=0,"Non trouvé",IF($H1964=1,"Match","À vérifier")))</f>
        <v/>
      </c>
      <c r="J1964" s="21">
        <f>IF($I1964&lt;&gt;"Match","",INDEX(Ventes_Encaissements!$B$6:$B$3005,_xludf.AGGREGATE(15,6,(ROW(Ventes_Encaissements!$B$6:$B$3005)-ROW(Ventes_Encaissements!$B$6)+1)/((Ventes_Encaissements!$E$6:$E$3005=$B1964)*(Ventes_Encaissements!$J$6:$J$3005=$G1964)*(Ventes_Encaissements!$C$6:$C$3005&gt;=$C1964-3)*(Ventes_Encaissements!$C$6:$C$3005&lt;=$C1964+3)),1)))</f>
        <v/>
      </c>
      <c r="K1964" s="6" t="n"/>
    </row>
    <row r="1965">
      <c r="A1965" s="6" t="n"/>
      <c r="B1965" s="6" t="n"/>
      <c r="C1965" s="19" t="n"/>
      <c r="D1965" s="19" t="n"/>
      <c r="E1965" s="6" t="n"/>
      <c r="F1965" s="20" t="n"/>
      <c r="G1965" s="9">
        <f>IF($F1965="","",IF($F1965&gt;0,ROUND($F1965,2),""))</f>
        <v/>
      </c>
      <c r="H1965" s="12">
        <f>IF(OR($B1965="",$C1965="",$G1965=""),"",COUNTIFS(Ventes_Encaissements!$E$6:$E$3005,$B1965,Ventes_Encaissements!$J$6:$J$3005,$G1965,Ventes_Encaissements!$C$6:$C$3005,"&gt;="&amp;($C1965-3),Ventes_Encaissements!$C$6:$C$3005,"&lt;="&amp;($C1965+3)))</f>
        <v/>
      </c>
      <c r="I1965" s="12">
        <f>IF($H1965="","",IF($H1965=0,"Non trouvé",IF($H1965=1,"Match","À vérifier")))</f>
        <v/>
      </c>
      <c r="J1965" s="21">
        <f>IF($I1965&lt;&gt;"Match","",INDEX(Ventes_Encaissements!$B$6:$B$3005,_xludf.AGGREGATE(15,6,(ROW(Ventes_Encaissements!$B$6:$B$3005)-ROW(Ventes_Encaissements!$B$6)+1)/((Ventes_Encaissements!$E$6:$E$3005=$B1965)*(Ventes_Encaissements!$J$6:$J$3005=$G1965)*(Ventes_Encaissements!$C$6:$C$3005&gt;=$C1965-3)*(Ventes_Encaissements!$C$6:$C$3005&lt;=$C1965+3)),1)))</f>
        <v/>
      </c>
      <c r="K1965" s="6" t="n"/>
    </row>
    <row r="1966">
      <c r="A1966" s="6" t="n"/>
      <c r="B1966" s="6" t="n"/>
      <c r="C1966" s="19" t="n"/>
      <c r="D1966" s="19" t="n"/>
      <c r="E1966" s="6" t="n"/>
      <c r="F1966" s="20" t="n"/>
      <c r="G1966" s="9">
        <f>IF($F1966="","",IF($F1966&gt;0,ROUND($F1966,2),""))</f>
        <v/>
      </c>
      <c r="H1966" s="12">
        <f>IF(OR($B1966="",$C1966="",$G1966=""),"",COUNTIFS(Ventes_Encaissements!$E$6:$E$3005,$B1966,Ventes_Encaissements!$J$6:$J$3005,$G1966,Ventes_Encaissements!$C$6:$C$3005,"&gt;="&amp;($C1966-3),Ventes_Encaissements!$C$6:$C$3005,"&lt;="&amp;($C1966+3)))</f>
        <v/>
      </c>
      <c r="I1966" s="12">
        <f>IF($H1966="","",IF($H1966=0,"Non trouvé",IF($H1966=1,"Match","À vérifier")))</f>
        <v/>
      </c>
      <c r="J1966" s="21">
        <f>IF($I1966&lt;&gt;"Match","",INDEX(Ventes_Encaissements!$B$6:$B$3005,_xludf.AGGREGATE(15,6,(ROW(Ventes_Encaissements!$B$6:$B$3005)-ROW(Ventes_Encaissements!$B$6)+1)/((Ventes_Encaissements!$E$6:$E$3005=$B1966)*(Ventes_Encaissements!$J$6:$J$3005=$G1966)*(Ventes_Encaissements!$C$6:$C$3005&gt;=$C1966-3)*(Ventes_Encaissements!$C$6:$C$3005&lt;=$C1966+3)),1)))</f>
        <v/>
      </c>
      <c r="K1966" s="6" t="n"/>
    </row>
    <row r="1967">
      <c r="A1967" s="6" t="n"/>
      <c r="B1967" s="6" t="n"/>
      <c r="C1967" s="19" t="n"/>
      <c r="D1967" s="19" t="n"/>
      <c r="E1967" s="6" t="n"/>
      <c r="F1967" s="20" t="n"/>
      <c r="G1967" s="9">
        <f>IF($F1967="","",IF($F1967&gt;0,ROUND($F1967,2),""))</f>
        <v/>
      </c>
      <c r="H1967" s="12">
        <f>IF(OR($B1967="",$C1967="",$G1967=""),"",COUNTIFS(Ventes_Encaissements!$E$6:$E$3005,$B1967,Ventes_Encaissements!$J$6:$J$3005,$G1967,Ventes_Encaissements!$C$6:$C$3005,"&gt;="&amp;($C1967-3),Ventes_Encaissements!$C$6:$C$3005,"&lt;="&amp;($C1967+3)))</f>
        <v/>
      </c>
      <c r="I1967" s="12">
        <f>IF($H1967="","",IF($H1967=0,"Non trouvé",IF($H1967=1,"Match","À vérifier")))</f>
        <v/>
      </c>
      <c r="J1967" s="21">
        <f>IF($I1967&lt;&gt;"Match","",INDEX(Ventes_Encaissements!$B$6:$B$3005,_xludf.AGGREGATE(15,6,(ROW(Ventes_Encaissements!$B$6:$B$3005)-ROW(Ventes_Encaissements!$B$6)+1)/((Ventes_Encaissements!$E$6:$E$3005=$B1967)*(Ventes_Encaissements!$J$6:$J$3005=$G1967)*(Ventes_Encaissements!$C$6:$C$3005&gt;=$C1967-3)*(Ventes_Encaissements!$C$6:$C$3005&lt;=$C1967+3)),1)))</f>
        <v/>
      </c>
      <c r="K1967" s="6" t="n"/>
    </row>
    <row r="1968">
      <c r="A1968" s="6" t="n"/>
      <c r="B1968" s="6" t="n"/>
      <c r="C1968" s="19" t="n"/>
      <c r="D1968" s="19" t="n"/>
      <c r="E1968" s="6" t="n"/>
      <c r="F1968" s="20" t="n"/>
      <c r="G1968" s="9">
        <f>IF($F1968="","",IF($F1968&gt;0,ROUND($F1968,2),""))</f>
        <v/>
      </c>
      <c r="H1968" s="12">
        <f>IF(OR($B1968="",$C1968="",$G1968=""),"",COUNTIFS(Ventes_Encaissements!$E$6:$E$3005,$B1968,Ventes_Encaissements!$J$6:$J$3005,$G1968,Ventes_Encaissements!$C$6:$C$3005,"&gt;="&amp;($C1968-3),Ventes_Encaissements!$C$6:$C$3005,"&lt;="&amp;($C1968+3)))</f>
        <v/>
      </c>
      <c r="I1968" s="12">
        <f>IF($H1968="","",IF($H1968=0,"Non trouvé",IF($H1968=1,"Match","À vérifier")))</f>
        <v/>
      </c>
      <c r="J1968" s="21">
        <f>IF($I1968&lt;&gt;"Match","",INDEX(Ventes_Encaissements!$B$6:$B$3005,_xludf.AGGREGATE(15,6,(ROW(Ventes_Encaissements!$B$6:$B$3005)-ROW(Ventes_Encaissements!$B$6)+1)/((Ventes_Encaissements!$E$6:$E$3005=$B1968)*(Ventes_Encaissements!$J$6:$J$3005=$G1968)*(Ventes_Encaissements!$C$6:$C$3005&gt;=$C1968-3)*(Ventes_Encaissements!$C$6:$C$3005&lt;=$C1968+3)),1)))</f>
        <v/>
      </c>
      <c r="K1968" s="6" t="n"/>
    </row>
    <row r="1969">
      <c r="A1969" s="6" t="n"/>
      <c r="B1969" s="6" t="n"/>
      <c r="C1969" s="19" t="n"/>
      <c r="D1969" s="19" t="n"/>
      <c r="E1969" s="6" t="n"/>
      <c r="F1969" s="20" t="n"/>
      <c r="G1969" s="9">
        <f>IF($F1969="","",IF($F1969&gt;0,ROUND($F1969,2),""))</f>
        <v/>
      </c>
      <c r="H1969" s="12">
        <f>IF(OR($B1969="",$C1969="",$G1969=""),"",COUNTIFS(Ventes_Encaissements!$E$6:$E$3005,$B1969,Ventes_Encaissements!$J$6:$J$3005,$G1969,Ventes_Encaissements!$C$6:$C$3005,"&gt;="&amp;($C1969-3),Ventes_Encaissements!$C$6:$C$3005,"&lt;="&amp;($C1969+3)))</f>
        <v/>
      </c>
      <c r="I1969" s="12">
        <f>IF($H1969="","",IF($H1969=0,"Non trouvé",IF($H1969=1,"Match","À vérifier")))</f>
        <v/>
      </c>
      <c r="J1969" s="21">
        <f>IF($I1969&lt;&gt;"Match","",INDEX(Ventes_Encaissements!$B$6:$B$3005,_xludf.AGGREGATE(15,6,(ROW(Ventes_Encaissements!$B$6:$B$3005)-ROW(Ventes_Encaissements!$B$6)+1)/((Ventes_Encaissements!$E$6:$E$3005=$B1969)*(Ventes_Encaissements!$J$6:$J$3005=$G1969)*(Ventes_Encaissements!$C$6:$C$3005&gt;=$C1969-3)*(Ventes_Encaissements!$C$6:$C$3005&lt;=$C1969+3)),1)))</f>
        <v/>
      </c>
      <c r="K1969" s="6" t="n"/>
    </row>
    <row r="1970">
      <c r="A1970" s="6" t="n"/>
      <c r="B1970" s="6" t="n"/>
      <c r="C1970" s="19" t="n"/>
      <c r="D1970" s="19" t="n"/>
      <c r="E1970" s="6" t="n"/>
      <c r="F1970" s="20" t="n"/>
      <c r="G1970" s="9">
        <f>IF($F1970="","",IF($F1970&gt;0,ROUND($F1970,2),""))</f>
        <v/>
      </c>
      <c r="H1970" s="12">
        <f>IF(OR($B1970="",$C1970="",$G1970=""),"",COUNTIFS(Ventes_Encaissements!$E$6:$E$3005,$B1970,Ventes_Encaissements!$J$6:$J$3005,$G1970,Ventes_Encaissements!$C$6:$C$3005,"&gt;="&amp;($C1970-3),Ventes_Encaissements!$C$6:$C$3005,"&lt;="&amp;($C1970+3)))</f>
        <v/>
      </c>
      <c r="I1970" s="12">
        <f>IF($H1970="","",IF($H1970=0,"Non trouvé",IF($H1970=1,"Match","À vérifier")))</f>
        <v/>
      </c>
      <c r="J1970" s="21">
        <f>IF($I1970&lt;&gt;"Match","",INDEX(Ventes_Encaissements!$B$6:$B$3005,_xludf.AGGREGATE(15,6,(ROW(Ventes_Encaissements!$B$6:$B$3005)-ROW(Ventes_Encaissements!$B$6)+1)/((Ventes_Encaissements!$E$6:$E$3005=$B1970)*(Ventes_Encaissements!$J$6:$J$3005=$G1970)*(Ventes_Encaissements!$C$6:$C$3005&gt;=$C1970-3)*(Ventes_Encaissements!$C$6:$C$3005&lt;=$C1970+3)),1)))</f>
        <v/>
      </c>
      <c r="K1970" s="6" t="n"/>
    </row>
    <row r="1971">
      <c r="A1971" s="6" t="n"/>
      <c r="B1971" s="6" t="n"/>
      <c r="C1971" s="19" t="n"/>
      <c r="D1971" s="19" t="n"/>
      <c r="E1971" s="6" t="n"/>
      <c r="F1971" s="20" t="n"/>
      <c r="G1971" s="9">
        <f>IF($F1971="","",IF($F1971&gt;0,ROUND($F1971,2),""))</f>
        <v/>
      </c>
      <c r="H1971" s="12">
        <f>IF(OR($B1971="",$C1971="",$G1971=""),"",COUNTIFS(Ventes_Encaissements!$E$6:$E$3005,$B1971,Ventes_Encaissements!$J$6:$J$3005,$G1971,Ventes_Encaissements!$C$6:$C$3005,"&gt;="&amp;($C1971-3),Ventes_Encaissements!$C$6:$C$3005,"&lt;="&amp;($C1971+3)))</f>
        <v/>
      </c>
      <c r="I1971" s="12">
        <f>IF($H1971="","",IF($H1971=0,"Non trouvé",IF($H1971=1,"Match","À vérifier")))</f>
        <v/>
      </c>
      <c r="J1971" s="21">
        <f>IF($I1971&lt;&gt;"Match","",INDEX(Ventes_Encaissements!$B$6:$B$3005,_xludf.AGGREGATE(15,6,(ROW(Ventes_Encaissements!$B$6:$B$3005)-ROW(Ventes_Encaissements!$B$6)+1)/((Ventes_Encaissements!$E$6:$E$3005=$B1971)*(Ventes_Encaissements!$J$6:$J$3005=$G1971)*(Ventes_Encaissements!$C$6:$C$3005&gt;=$C1971-3)*(Ventes_Encaissements!$C$6:$C$3005&lt;=$C1971+3)),1)))</f>
        <v/>
      </c>
      <c r="K1971" s="6" t="n"/>
    </row>
    <row r="1972">
      <c r="A1972" s="6" t="n"/>
      <c r="B1972" s="6" t="n"/>
      <c r="C1972" s="19" t="n"/>
      <c r="D1972" s="19" t="n"/>
      <c r="E1972" s="6" t="n"/>
      <c r="F1972" s="20" t="n"/>
      <c r="G1972" s="9">
        <f>IF($F1972="","",IF($F1972&gt;0,ROUND($F1972,2),""))</f>
        <v/>
      </c>
      <c r="H1972" s="12">
        <f>IF(OR($B1972="",$C1972="",$G1972=""),"",COUNTIFS(Ventes_Encaissements!$E$6:$E$3005,$B1972,Ventes_Encaissements!$J$6:$J$3005,$G1972,Ventes_Encaissements!$C$6:$C$3005,"&gt;="&amp;($C1972-3),Ventes_Encaissements!$C$6:$C$3005,"&lt;="&amp;($C1972+3)))</f>
        <v/>
      </c>
      <c r="I1972" s="12">
        <f>IF($H1972="","",IF($H1972=0,"Non trouvé",IF($H1972=1,"Match","À vérifier")))</f>
        <v/>
      </c>
      <c r="J1972" s="21">
        <f>IF($I1972&lt;&gt;"Match","",INDEX(Ventes_Encaissements!$B$6:$B$3005,_xludf.AGGREGATE(15,6,(ROW(Ventes_Encaissements!$B$6:$B$3005)-ROW(Ventes_Encaissements!$B$6)+1)/((Ventes_Encaissements!$E$6:$E$3005=$B1972)*(Ventes_Encaissements!$J$6:$J$3005=$G1972)*(Ventes_Encaissements!$C$6:$C$3005&gt;=$C1972-3)*(Ventes_Encaissements!$C$6:$C$3005&lt;=$C1972+3)),1)))</f>
        <v/>
      </c>
      <c r="K1972" s="6" t="n"/>
    </row>
    <row r="1973">
      <c r="A1973" s="6" t="n"/>
      <c r="B1973" s="6" t="n"/>
      <c r="C1973" s="19" t="n"/>
      <c r="D1973" s="19" t="n"/>
      <c r="E1973" s="6" t="n"/>
      <c r="F1973" s="20" t="n"/>
      <c r="G1973" s="9">
        <f>IF($F1973="","",IF($F1973&gt;0,ROUND($F1973,2),""))</f>
        <v/>
      </c>
      <c r="H1973" s="12">
        <f>IF(OR($B1973="",$C1973="",$G1973=""),"",COUNTIFS(Ventes_Encaissements!$E$6:$E$3005,$B1973,Ventes_Encaissements!$J$6:$J$3005,$G1973,Ventes_Encaissements!$C$6:$C$3005,"&gt;="&amp;($C1973-3),Ventes_Encaissements!$C$6:$C$3005,"&lt;="&amp;($C1973+3)))</f>
        <v/>
      </c>
      <c r="I1973" s="12">
        <f>IF($H1973="","",IF($H1973=0,"Non trouvé",IF($H1973=1,"Match","À vérifier")))</f>
        <v/>
      </c>
      <c r="J1973" s="21">
        <f>IF($I1973&lt;&gt;"Match","",INDEX(Ventes_Encaissements!$B$6:$B$3005,_xludf.AGGREGATE(15,6,(ROW(Ventes_Encaissements!$B$6:$B$3005)-ROW(Ventes_Encaissements!$B$6)+1)/((Ventes_Encaissements!$E$6:$E$3005=$B1973)*(Ventes_Encaissements!$J$6:$J$3005=$G1973)*(Ventes_Encaissements!$C$6:$C$3005&gt;=$C1973-3)*(Ventes_Encaissements!$C$6:$C$3005&lt;=$C1973+3)),1)))</f>
        <v/>
      </c>
      <c r="K1973" s="6" t="n"/>
    </row>
    <row r="1974">
      <c r="A1974" s="6" t="n"/>
      <c r="B1974" s="6" t="n"/>
      <c r="C1974" s="19" t="n"/>
      <c r="D1974" s="19" t="n"/>
      <c r="E1974" s="6" t="n"/>
      <c r="F1974" s="20" t="n"/>
      <c r="G1974" s="9">
        <f>IF($F1974="","",IF($F1974&gt;0,ROUND($F1974,2),""))</f>
        <v/>
      </c>
      <c r="H1974" s="12">
        <f>IF(OR($B1974="",$C1974="",$G1974=""),"",COUNTIFS(Ventes_Encaissements!$E$6:$E$3005,$B1974,Ventes_Encaissements!$J$6:$J$3005,$G1974,Ventes_Encaissements!$C$6:$C$3005,"&gt;="&amp;($C1974-3),Ventes_Encaissements!$C$6:$C$3005,"&lt;="&amp;($C1974+3)))</f>
        <v/>
      </c>
      <c r="I1974" s="12">
        <f>IF($H1974="","",IF($H1974=0,"Non trouvé",IF($H1974=1,"Match","À vérifier")))</f>
        <v/>
      </c>
      <c r="J1974" s="21">
        <f>IF($I1974&lt;&gt;"Match","",INDEX(Ventes_Encaissements!$B$6:$B$3005,_xludf.AGGREGATE(15,6,(ROW(Ventes_Encaissements!$B$6:$B$3005)-ROW(Ventes_Encaissements!$B$6)+1)/((Ventes_Encaissements!$E$6:$E$3005=$B1974)*(Ventes_Encaissements!$J$6:$J$3005=$G1974)*(Ventes_Encaissements!$C$6:$C$3005&gt;=$C1974-3)*(Ventes_Encaissements!$C$6:$C$3005&lt;=$C1974+3)),1)))</f>
        <v/>
      </c>
      <c r="K1974" s="6" t="n"/>
    </row>
    <row r="1975">
      <c r="A1975" s="6" t="n"/>
      <c r="B1975" s="6" t="n"/>
      <c r="C1975" s="19" t="n"/>
      <c r="D1975" s="19" t="n"/>
      <c r="E1975" s="6" t="n"/>
      <c r="F1975" s="20" t="n"/>
      <c r="G1975" s="9">
        <f>IF($F1975="","",IF($F1975&gt;0,ROUND($F1975,2),""))</f>
        <v/>
      </c>
      <c r="H1975" s="12">
        <f>IF(OR($B1975="",$C1975="",$G1975=""),"",COUNTIFS(Ventes_Encaissements!$E$6:$E$3005,$B1975,Ventes_Encaissements!$J$6:$J$3005,$G1975,Ventes_Encaissements!$C$6:$C$3005,"&gt;="&amp;($C1975-3),Ventes_Encaissements!$C$6:$C$3005,"&lt;="&amp;($C1975+3)))</f>
        <v/>
      </c>
      <c r="I1975" s="12">
        <f>IF($H1975="","",IF($H1975=0,"Non trouvé",IF($H1975=1,"Match","À vérifier")))</f>
        <v/>
      </c>
      <c r="J1975" s="21">
        <f>IF($I1975&lt;&gt;"Match","",INDEX(Ventes_Encaissements!$B$6:$B$3005,_xludf.AGGREGATE(15,6,(ROW(Ventes_Encaissements!$B$6:$B$3005)-ROW(Ventes_Encaissements!$B$6)+1)/((Ventes_Encaissements!$E$6:$E$3005=$B1975)*(Ventes_Encaissements!$J$6:$J$3005=$G1975)*(Ventes_Encaissements!$C$6:$C$3005&gt;=$C1975-3)*(Ventes_Encaissements!$C$6:$C$3005&lt;=$C1975+3)),1)))</f>
        <v/>
      </c>
      <c r="K1975" s="6" t="n"/>
    </row>
    <row r="1976">
      <c r="A1976" s="6" t="n"/>
      <c r="B1976" s="6" t="n"/>
      <c r="C1976" s="19" t="n"/>
      <c r="D1976" s="19" t="n"/>
      <c r="E1976" s="6" t="n"/>
      <c r="F1976" s="20" t="n"/>
      <c r="G1976" s="9">
        <f>IF($F1976="","",IF($F1976&gt;0,ROUND($F1976,2),""))</f>
        <v/>
      </c>
      <c r="H1976" s="12">
        <f>IF(OR($B1976="",$C1976="",$G1976=""),"",COUNTIFS(Ventes_Encaissements!$E$6:$E$3005,$B1976,Ventes_Encaissements!$J$6:$J$3005,$G1976,Ventes_Encaissements!$C$6:$C$3005,"&gt;="&amp;($C1976-3),Ventes_Encaissements!$C$6:$C$3005,"&lt;="&amp;($C1976+3)))</f>
        <v/>
      </c>
      <c r="I1976" s="12">
        <f>IF($H1976="","",IF($H1976=0,"Non trouvé",IF($H1976=1,"Match","À vérifier")))</f>
        <v/>
      </c>
      <c r="J1976" s="21">
        <f>IF($I1976&lt;&gt;"Match","",INDEX(Ventes_Encaissements!$B$6:$B$3005,_xludf.AGGREGATE(15,6,(ROW(Ventes_Encaissements!$B$6:$B$3005)-ROW(Ventes_Encaissements!$B$6)+1)/((Ventes_Encaissements!$E$6:$E$3005=$B1976)*(Ventes_Encaissements!$J$6:$J$3005=$G1976)*(Ventes_Encaissements!$C$6:$C$3005&gt;=$C1976-3)*(Ventes_Encaissements!$C$6:$C$3005&lt;=$C1976+3)),1)))</f>
        <v/>
      </c>
      <c r="K1976" s="6" t="n"/>
    </row>
    <row r="1977">
      <c r="A1977" s="6" t="n"/>
      <c r="B1977" s="6" t="n"/>
      <c r="C1977" s="19" t="n"/>
      <c r="D1977" s="19" t="n"/>
      <c r="E1977" s="6" t="n"/>
      <c r="F1977" s="20" t="n"/>
      <c r="G1977" s="9">
        <f>IF($F1977="","",IF($F1977&gt;0,ROUND($F1977,2),""))</f>
        <v/>
      </c>
      <c r="H1977" s="12">
        <f>IF(OR($B1977="",$C1977="",$G1977=""),"",COUNTIFS(Ventes_Encaissements!$E$6:$E$3005,$B1977,Ventes_Encaissements!$J$6:$J$3005,$G1977,Ventes_Encaissements!$C$6:$C$3005,"&gt;="&amp;($C1977-3),Ventes_Encaissements!$C$6:$C$3005,"&lt;="&amp;($C1977+3)))</f>
        <v/>
      </c>
      <c r="I1977" s="12">
        <f>IF($H1977="","",IF($H1977=0,"Non trouvé",IF($H1977=1,"Match","À vérifier")))</f>
        <v/>
      </c>
      <c r="J1977" s="21">
        <f>IF($I1977&lt;&gt;"Match","",INDEX(Ventes_Encaissements!$B$6:$B$3005,_xludf.AGGREGATE(15,6,(ROW(Ventes_Encaissements!$B$6:$B$3005)-ROW(Ventes_Encaissements!$B$6)+1)/((Ventes_Encaissements!$E$6:$E$3005=$B1977)*(Ventes_Encaissements!$J$6:$J$3005=$G1977)*(Ventes_Encaissements!$C$6:$C$3005&gt;=$C1977-3)*(Ventes_Encaissements!$C$6:$C$3005&lt;=$C1977+3)),1)))</f>
        <v/>
      </c>
      <c r="K1977" s="6" t="n"/>
    </row>
    <row r="1978">
      <c r="A1978" s="6" t="n"/>
      <c r="B1978" s="6" t="n"/>
      <c r="C1978" s="19" t="n"/>
      <c r="D1978" s="19" t="n"/>
      <c r="E1978" s="6" t="n"/>
      <c r="F1978" s="20" t="n"/>
      <c r="G1978" s="9">
        <f>IF($F1978="","",IF($F1978&gt;0,ROUND($F1978,2),""))</f>
        <v/>
      </c>
      <c r="H1978" s="12">
        <f>IF(OR($B1978="",$C1978="",$G1978=""),"",COUNTIFS(Ventes_Encaissements!$E$6:$E$3005,$B1978,Ventes_Encaissements!$J$6:$J$3005,$G1978,Ventes_Encaissements!$C$6:$C$3005,"&gt;="&amp;($C1978-3),Ventes_Encaissements!$C$6:$C$3005,"&lt;="&amp;($C1978+3)))</f>
        <v/>
      </c>
      <c r="I1978" s="12">
        <f>IF($H1978="","",IF($H1978=0,"Non trouvé",IF($H1978=1,"Match","À vérifier")))</f>
        <v/>
      </c>
      <c r="J1978" s="21">
        <f>IF($I1978&lt;&gt;"Match","",INDEX(Ventes_Encaissements!$B$6:$B$3005,_xludf.AGGREGATE(15,6,(ROW(Ventes_Encaissements!$B$6:$B$3005)-ROW(Ventes_Encaissements!$B$6)+1)/((Ventes_Encaissements!$E$6:$E$3005=$B1978)*(Ventes_Encaissements!$J$6:$J$3005=$G1978)*(Ventes_Encaissements!$C$6:$C$3005&gt;=$C1978-3)*(Ventes_Encaissements!$C$6:$C$3005&lt;=$C1978+3)),1)))</f>
        <v/>
      </c>
      <c r="K1978" s="6" t="n"/>
    </row>
    <row r="1979">
      <c r="A1979" s="6" t="n"/>
      <c r="B1979" s="6" t="n"/>
      <c r="C1979" s="19" t="n"/>
      <c r="D1979" s="19" t="n"/>
      <c r="E1979" s="6" t="n"/>
      <c r="F1979" s="20" t="n"/>
      <c r="G1979" s="9">
        <f>IF($F1979="","",IF($F1979&gt;0,ROUND($F1979,2),""))</f>
        <v/>
      </c>
      <c r="H1979" s="12">
        <f>IF(OR($B1979="",$C1979="",$G1979=""),"",COUNTIFS(Ventes_Encaissements!$E$6:$E$3005,$B1979,Ventes_Encaissements!$J$6:$J$3005,$G1979,Ventes_Encaissements!$C$6:$C$3005,"&gt;="&amp;($C1979-3),Ventes_Encaissements!$C$6:$C$3005,"&lt;="&amp;($C1979+3)))</f>
        <v/>
      </c>
      <c r="I1979" s="12">
        <f>IF($H1979="","",IF($H1979=0,"Non trouvé",IF($H1979=1,"Match","À vérifier")))</f>
        <v/>
      </c>
      <c r="J1979" s="21">
        <f>IF($I1979&lt;&gt;"Match","",INDEX(Ventes_Encaissements!$B$6:$B$3005,_xludf.AGGREGATE(15,6,(ROW(Ventes_Encaissements!$B$6:$B$3005)-ROW(Ventes_Encaissements!$B$6)+1)/((Ventes_Encaissements!$E$6:$E$3005=$B1979)*(Ventes_Encaissements!$J$6:$J$3005=$G1979)*(Ventes_Encaissements!$C$6:$C$3005&gt;=$C1979-3)*(Ventes_Encaissements!$C$6:$C$3005&lt;=$C1979+3)),1)))</f>
        <v/>
      </c>
      <c r="K1979" s="6" t="n"/>
    </row>
    <row r="1980">
      <c r="A1980" s="6" t="n"/>
      <c r="B1980" s="6" t="n"/>
      <c r="C1980" s="19" t="n"/>
      <c r="D1980" s="19" t="n"/>
      <c r="E1980" s="6" t="n"/>
      <c r="F1980" s="20" t="n"/>
      <c r="G1980" s="9">
        <f>IF($F1980="","",IF($F1980&gt;0,ROUND($F1980,2),""))</f>
        <v/>
      </c>
      <c r="H1980" s="12">
        <f>IF(OR($B1980="",$C1980="",$G1980=""),"",COUNTIFS(Ventes_Encaissements!$E$6:$E$3005,$B1980,Ventes_Encaissements!$J$6:$J$3005,$G1980,Ventes_Encaissements!$C$6:$C$3005,"&gt;="&amp;($C1980-3),Ventes_Encaissements!$C$6:$C$3005,"&lt;="&amp;($C1980+3)))</f>
        <v/>
      </c>
      <c r="I1980" s="12">
        <f>IF($H1980="","",IF($H1980=0,"Non trouvé",IF($H1980=1,"Match","À vérifier")))</f>
        <v/>
      </c>
      <c r="J1980" s="21">
        <f>IF($I1980&lt;&gt;"Match","",INDEX(Ventes_Encaissements!$B$6:$B$3005,_xludf.AGGREGATE(15,6,(ROW(Ventes_Encaissements!$B$6:$B$3005)-ROW(Ventes_Encaissements!$B$6)+1)/((Ventes_Encaissements!$E$6:$E$3005=$B1980)*(Ventes_Encaissements!$J$6:$J$3005=$G1980)*(Ventes_Encaissements!$C$6:$C$3005&gt;=$C1980-3)*(Ventes_Encaissements!$C$6:$C$3005&lt;=$C1980+3)),1)))</f>
        <v/>
      </c>
      <c r="K1980" s="6" t="n"/>
    </row>
    <row r="1981">
      <c r="A1981" s="6" t="n"/>
      <c r="B1981" s="6" t="n"/>
      <c r="C1981" s="19" t="n"/>
      <c r="D1981" s="19" t="n"/>
      <c r="E1981" s="6" t="n"/>
      <c r="F1981" s="20" t="n"/>
      <c r="G1981" s="9">
        <f>IF($F1981="","",IF($F1981&gt;0,ROUND($F1981,2),""))</f>
        <v/>
      </c>
      <c r="H1981" s="12">
        <f>IF(OR($B1981="",$C1981="",$G1981=""),"",COUNTIFS(Ventes_Encaissements!$E$6:$E$3005,$B1981,Ventes_Encaissements!$J$6:$J$3005,$G1981,Ventes_Encaissements!$C$6:$C$3005,"&gt;="&amp;($C1981-3),Ventes_Encaissements!$C$6:$C$3005,"&lt;="&amp;($C1981+3)))</f>
        <v/>
      </c>
      <c r="I1981" s="12">
        <f>IF($H1981="","",IF($H1981=0,"Non trouvé",IF($H1981=1,"Match","À vérifier")))</f>
        <v/>
      </c>
      <c r="J1981" s="21">
        <f>IF($I1981&lt;&gt;"Match","",INDEX(Ventes_Encaissements!$B$6:$B$3005,_xludf.AGGREGATE(15,6,(ROW(Ventes_Encaissements!$B$6:$B$3005)-ROW(Ventes_Encaissements!$B$6)+1)/((Ventes_Encaissements!$E$6:$E$3005=$B1981)*(Ventes_Encaissements!$J$6:$J$3005=$G1981)*(Ventes_Encaissements!$C$6:$C$3005&gt;=$C1981-3)*(Ventes_Encaissements!$C$6:$C$3005&lt;=$C1981+3)),1)))</f>
        <v/>
      </c>
      <c r="K1981" s="6" t="n"/>
    </row>
    <row r="1982">
      <c r="A1982" s="6" t="n"/>
      <c r="B1982" s="6" t="n"/>
      <c r="C1982" s="19" t="n"/>
      <c r="D1982" s="19" t="n"/>
      <c r="E1982" s="6" t="n"/>
      <c r="F1982" s="20" t="n"/>
      <c r="G1982" s="9">
        <f>IF($F1982="","",IF($F1982&gt;0,ROUND($F1982,2),""))</f>
        <v/>
      </c>
      <c r="H1982" s="12">
        <f>IF(OR($B1982="",$C1982="",$G1982=""),"",COUNTIFS(Ventes_Encaissements!$E$6:$E$3005,$B1982,Ventes_Encaissements!$J$6:$J$3005,$G1982,Ventes_Encaissements!$C$6:$C$3005,"&gt;="&amp;($C1982-3),Ventes_Encaissements!$C$6:$C$3005,"&lt;="&amp;($C1982+3)))</f>
        <v/>
      </c>
      <c r="I1982" s="12">
        <f>IF($H1982="","",IF($H1982=0,"Non trouvé",IF($H1982=1,"Match","À vérifier")))</f>
        <v/>
      </c>
      <c r="J1982" s="21">
        <f>IF($I1982&lt;&gt;"Match","",INDEX(Ventes_Encaissements!$B$6:$B$3005,_xludf.AGGREGATE(15,6,(ROW(Ventes_Encaissements!$B$6:$B$3005)-ROW(Ventes_Encaissements!$B$6)+1)/((Ventes_Encaissements!$E$6:$E$3005=$B1982)*(Ventes_Encaissements!$J$6:$J$3005=$G1982)*(Ventes_Encaissements!$C$6:$C$3005&gt;=$C1982-3)*(Ventes_Encaissements!$C$6:$C$3005&lt;=$C1982+3)),1)))</f>
        <v/>
      </c>
      <c r="K1982" s="6" t="n"/>
    </row>
    <row r="1983">
      <c r="A1983" s="6" t="n"/>
      <c r="B1983" s="6" t="n"/>
      <c r="C1983" s="19" t="n"/>
      <c r="D1983" s="19" t="n"/>
      <c r="E1983" s="6" t="n"/>
      <c r="F1983" s="20" t="n"/>
      <c r="G1983" s="9">
        <f>IF($F1983="","",IF($F1983&gt;0,ROUND($F1983,2),""))</f>
        <v/>
      </c>
      <c r="H1983" s="12">
        <f>IF(OR($B1983="",$C1983="",$G1983=""),"",COUNTIFS(Ventes_Encaissements!$E$6:$E$3005,$B1983,Ventes_Encaissements!$J$6:$J$3005,$G1983,Ventes_Encaissements!$C$6:$C$3005,"&gt;="&amp;($C1983-3),Ventes_Encaissements!$C$6:$C$3005,"&lt;="&amp;($C1983+3)))</f>
        <v/>
      </c>
      <c r="I1983" s="12">
        <f>IF($H1983="","",IF($H1983=0,"Non trouvé",IF($H1983=1,"Match","À vérifier")))</f>
        <v/>
      </c>
      <c r="J1983" s="21">
        <f>IF($I1983&lt;&gt;"Match","",INDEX(Ventes_Encaissements!$B$6:$B$3005,_xludf.AGGREGATE(15,6,(ROW(Ventes_Encaissements!$B$6:$B$3005)-ROW(Ventes_Encaissements!$B$6)+1)/((Ventes_Encaissements!$E$6:$E$3005=$B1983)*(Ventes_Encaissements!$J$6:$J$3005=$G1983)*(Ventes_Encaissements!$C$6:$C$3005&gt;=$C1983-3)*(Ventes_Encaissements!$C$6:$C$3005&lt;=$C1983+3)),1)))</f>
        <v/>
      </c>
      <c r="K1983" s="6" t="n"/>
    </row>
    <row r="1984">
      <c r="A1984" s="6" t="n"/>
      <c r="B1984" s="6" t="n"/>
      <c r="C1984" s="19" t="n"/>
      <c r="D1984" s="19" t="n"/>
      <c r="E1984" s="6" t="n"/>
      <c r="F1984" s="20" t="n"/>
      <c r="G1984" s="9">
        <f>IF($F1984="","",IF($F1984&gt;0,ROUND($F1984,2),""))</f>
        <v/>
      </c>
      <c r="H1984" s="12">
        <f>IF(OR($B1984="",$C1984="",$G1984=""),"",COUNTIFS(Ventes_Encaissements!$E$6:$E$3005,$B1984,Ventes_Encaissements!$J$6:$J$3005,$G1984,Ventes_Encaissements!$C$6:$C$3005,"&gt;="&amp;($C1984-3),Ventes_Encaissements!$C$6:$C$3005,"&lt;="&amp;($C1984+3)))</f>
        <v/>
      </c>
      <c r="I1984" s="12">
        <f>IF($H1984="","",IF($H1984=0,"Non trouvé",IF($H1984=1,"Match","À vérifier")))</f>
        <v/>
      </c>
      <c r="J1984" s="21">
        <f>IF($I1984&lt;&gt;"Match","",INDEX(Ventes_Encaissements!$B$6:$B$3005,_xludf.AGGREGATE(15,6,(ROW(Ventes_Encaissements!$B$6:$B$3005)-ROW(Ventes_Encaissements!$B$6)+1)/((Ventes_Encaissements!$E$6:$E$3005=$B1984)*(Ventes_Encaissements!$J$6:$J$3005=$G1984)*(Ventes_Encaissements!$C$6:$C$3005&gt;=$C1984-3)*(Ventes_Encaissements!$C$6:$C$3005&lt;=$C1984+3)),1)))</f>
        <v/>
      </c>
      <c r="K1984" s="6" t="n"/>
    </row>
    <row r="1985">
      <c r="A1985" s="6" t="n"/>
      <c r="B1985" s="6" t="n"/>
      <c r="C1985" s="19" t="n"/>
      <c r="D1985" s="19" t="n"/>
      <c r="E1985" s="6" t="n"/>
      <c r="F1985" s="20" t="n"/>
      <c r="G1985" s="9">
        <f>IF($F1985="","",IF($F1985&gt;0,ROUND($F1985,2),""))</f>
        <v/>
      </c>
      <c r="H1985" s="12">
        <f>IF(OR($B1985="",$C1985="",$G1985=""),"",COUNTIFS(Ventes_Encaissements!$E$6:$E$3005,$B1985,Ventes_Encaissements!$J$6:$J$3005,$G1985,Ventes_Encaissements!$C$6:$C$3005,"&gt;="&amp;($C1985-3),Ventes_Encaissements!$C$6:$C$3005,"&lt;="&amp;($C1985+3)))</f>
        <v/>
      </c>
      <c r="I1985" s="12">
        <f>IF($H1985="","",IF($H1985=0,"Non trouvé",IF($H1985=1,"Match","À vérifier")))</f>
        <v/>
      </c>
      <c r="J1985" s="21">
        <f>IF($I1985&lt;&gt;"Match","",INDEX(Ventes_Encaissements!$B$6:$B$3005,_xludf.AGGREGATE(15,6,(ROW(Ventes_Encaissements!$B$6:$B$3005)-ROW(Ventes_Encaissements!$B$6)+1)/((Ventes_Encaissements!$E$6:$E$3005=$B1985)*(Ventes_Encaissements!$J$6:$J$3005=$G1985)*(Ventes_Encaissements!$C$6:$C$3005&gt;=$C1985-3)*(Ventes_Encaissements!$C$6:$C$3005&lt;=$C1985+3)),1)))</f>
        <v/>
      </c>
      <c r="K1985" s="6" t="n"/>
    </row>
    <row r="1986">
      <c r="A1986" s="6" t="n"/>
      <c r="B1986" s="6" t="n"/>
      <c r="C1986" s="19" t="n"/>
      <c r="D1986" s="19" t="n"/>
      <c r="E1986" s="6" t="n"/>
      <c r="F1986" s="20" t="n"/>
      <c r="G1986" s="9">
        <f>IF($F1986="","",IF($F1986&gt;0,ROUND($F1986,2),""))</f>
        <v/>
      </c>
      <c r="H1986" s="12">
        <f>IF(OR($B1986="",$C1986="",$G1986=""),"",COUNTIFS(Ventes_Encaissements!$E$6:$E$3005,$B1986,Ventes_Encaissements!$J$6:$J$3005,$G1986,Ventes_Encaissements!$C$6:$C$3005,"&gt;="&amp;($C1986-3),Ventes_Encaissements!$C$6:$C$3005,"&lt;="&amp;($C1986+3)))</f>
        <v/>
      </c>
      <c r="I1986" s="12">
        <f>IF($H1986="","",IF($H1986=0,"Non trouvé",IF($H1986=1,"Match","À vérifier")))</f>
        <v/>
      </c>
      <c r="J1986" s="21">
        <f>IF($I1986&lt;&gt;"Match","",INDEX(Ventes_Encaissements!$B$6:$B$3005,_xludf.AGGREGATE(15,6,(ROW(Ventes_Encaissements!$B$6:$B$3005)-ROW(Ventes_Encaissements!$B$6)+1)/((Ventes_Encaissements!$E$6:$E$3005=$B1986)*(Ventes_Encaissements!$J$6:$J$3005=$G1986)*(Ventes_Encaissements!$C$6:$C$3005&gt;=$C1986-3)*(Ventes_Encaissements!$C$6:$C$3005&lt;=$C1986+3)),1)))</f>
        <v/>
      </c>
      <c r="K1986" s="6" t="n"/>
    </row>
    <row r="1987">
      <c r="A1987" s="6" t="n"/>
      <c r="B1987" s="6" t="n"/>
      <c r="C1987" s="19" t="n"/>
      <c r="D1987" s="19" t="n"/>
      <c r="E1987" s="6" t="n"/>
      <c r="F1987" s="20" t="n"/>
      <c r="G1987" s="9">
        <f>IF($F1987="","",IF($F1987&gt;0,ROUND($F1987,2),""))</f>
        <v/>
      </c>
      <c r="H1987" s="12">
        <f>IF(OR($B1987="",$C1987="",$G1987=""),"",COUNTIFS(Ventes_Encaissements!$E$6:$E$3005,$B1987,Ventes_Encaissements!$J$6:$J$3005,$G1987,Ventes_Encaissements!$C$6:$C$3005,"&gt;="&amp;($C1987-3),Ventes_Encaissements!$C$6:$C$3005,"&lt;="&amp;($C1987+3)))</f>
        <v/>
      </c>
      <c r="I1987" s="12">
        <f>IF($H1987="","",IF($H1987=0,"Non trouvé",IF($H1987=1,"Match","À vérifier")))</f>
        <v/>
      </c>
      <c r="J1987" s="21">
        <f>IF($I1987&lt;&gt;"Match","",INDEX(Ventes_Encaissements!$B$6:$B$3005,_xludf.AGGREGATE(15,6,(ROW(Ventes_Encaissements!$B$6:$B$3005)-ROW(Ventes_Encaissements!$B$6)+1)/((Ventes_Encaissements!$E$6:$E$3005=$B1987)*(Ventes_Encaissements!$J$6:$J$3005=$G1987)*(Ventes_Encaissements!$C$6:$C$3005&gt;=$C1987-3)*(Ventes_Encaissements!$C$6:$C$3005&lt;=$C1987+3)),1)))</f>
        <v/>
      </c>
      <c r="K1987" s="6" t="n"/>
    </row>
    <row r="1988">
      <c r="A1988" s="6" t="n"/>
      <c r="B1988" s="6" t="n"/>
      <c r="C1988" s="19" t="n"/>
      <c r="D1988" s="19" t="n"/>
      <c r="E1988" s="6" t="n"/>
      <c r="F1988" s="20" t="n"/>
      <c r="G1988" s="9">
        <f>IF($F1988="","",IF($F1988&gt;0,ROUND($F1988,2),""))</f>
        <v/>
      </c>
      <c r="H1988" s="12">
        <f>IF(OR($B1988="",$C1988="",$G1988=""),"",COUNTIFS(Ventes_Encaissements!$E$6:$E$3005,$B1988,Ventes_Encaissements!$J$6:$J$3005,$G1988,Ventes_Encaissements!$C$6:$C$3005,"&gt;="&amp;($C1988-3),Ventes_Encaissements!$C$6:$C$3005,"&lt;="&amp;($C1988+3)))</f>
        <v/>
      </c>
      <c r="I1988" s="12">
        <f>IF($H1988="","",IF($H1988=0,"Non trouvé",IF($H1988=1,"Match","À vérifier")))</f>
        <v/>
      </c>
      <c r="J1988" s="21">
        <f>IF($I1988&lt;&gt;"Match","",INDEX(Ventes_Encaissements!$B$6:$B$3005,_xludf.AGGREGATE(15,6,(ROW(Ventes_Encaissements!$B$6:$B$3005)-ROW(Ventes_Encaissements!$B$6)+1)/((Ventes_Encaissements!$E$6:$E$3005=$B1988)*(Ventes_Encaissements!$J$6:$J$3005=$G1988)*(Ventes_Encaissements!$C$6:$C$3005&gt;=$C1988-3)*(Ventes_Encaissements!$C$6:$C$3005&lt;=$C1988+3)),1)))</f>
        <v/>
      </c>
      <c r="K1988" s="6" t="n"/>
    </row>
    <row r="1989">
      <c r="A1989" s="6" t="n"/>
      <c r="B1989" s="6" t="n"/>
      <c r="C1989" s="19" t="n"/>
      <c r="D1989" s="19" t="n"/>
      <c r="E1989" s="6" t="n"/>
      <c r="F1989" s="20" t="n"/>
      <c r="G1989" s="9">
        <f>IF($F1989="","",IF($F1989&gt;0,ROUND($F1989,2),""))</f>
        <v/>
      </c>
      <c r="H1989" s="12">
        <f>IF(OR($B1989="",$C1989="",$G1989=""),"",COUNTIFS(Ventes_Encaissements!$E$6:$E$3005,$B1989,Ventes_Encaissements!$J$6:$J$3005,$G1989,Ventes_Encaissements!$C$6:$C$3005,"&gt;="&amp;($C1989-3),Ventes_Encaissements!$C$6:$C$3005,"&lt;="&amp;($C1989+3)))</f>
        <v/>
      </c>
      <c r="I1989" s="12">
        <f>IF($H1989="","",IF($H1989=0,"Non trouvé",IF($H1989=1,"Match","À vérifier")))</f>
        <v/>
      </c>
      <c r="J1989" s="21">
        <f>IF($I1989&lt;&gt;"Match","",INDEX(Ventes_Encaissements!$B$6:$B$3005,_xludf.AGGREGATE(15,6,(ROW(Ventes_Encaissements!$B$6:$B$3005)-ROW(Ventes_Encaissements!$B$6)+1)/((Ventes_Encaissements!$E$6:$E$3005=$B1989)*(Ventes_Encaissements!$J$6:$J$3005=$G1989)*(Ventes_Encaissements!$C$6:$C$3005&gt;=$C1989-3)*(Ventes_Encaissements!$C$6:$C$3005&lt;=$C1989+3)),1)))</f>
        <v/>
      </c>
      <c r="K1989" s="6" t="n"/>
    </row>
    <row r="1990">
      <c r="A1990" s="6" t="n"/>
      <c r="B1990" s="6" t="n"/>
      <c r="C1990" s="19" t="n"/>
      <c r="D1990" s="19" t="n"/>
      <c r="E1990" s="6" t="n"/>
      <c r="F1990" s="20" t="n"/>
      <c r="G1990" s="9">
        <f>IF($F1990="","",IF($F1990&gt;0,ROUND($F1990,2),""))</f>
        <v/>
      </c>
      <c r="H1990" s="12">
        <f>IF(OR($B1990="",$C1990="",$G1990=""),"",COUNTIFS(Ventes_Encaissements!$E$6:$E$3005,$B1990,Ventes_Encaissements!$J$6:$J$3005,$G1990,Ventes_Encaissements!$C$6:$C$3005,"&gt;="&amp;($C1990-3),Ventes_Encaissements!$C$6:$C$3005,"&lt;="&amp;($C1990+3)))</f>
        <v/>
      </c>
      <c r="I1990" s="12">
        <f>IF($H1990="","",IF($H1990=0,"Non trouvé",IF($H1990=1,"Match","À vérifier")))</f>
        <v/>
      </c>
      <c r="J1990" s="21">
        <f>IF($I1990&lt;&gt;"Match","",INDEX(Ventes_Encaissements!$B$6:$B$3005,_xludf.AGGREGATE(15,6,(ROW(Ventes_Encaissements!$B$6:$B$3005)-ROW(Ventes_Encaissements!$B$6)+1)/((Ventes_Encaissements!$E$6:$E$3005=$B1990)*(Ventes_Encaissements!$J$6:$J$3005=$G1990)*(Ventes_Encaissements!$C$6:$C$3005&gt;=$C1990-3)*(Ventes_Encaissements!$C$6:$C$3005&lt;=$C1990+3)),1)))</f>
        <v/>
      </c>
      <c r="K1990" s="6" t="n"/>
    </row>
    <row r="1991">
      <c r="A1991" s="6" t="n"/>
      <c r="B1991" s="6" t="n"/>
      <c r="C1991" s="19" t="n"/>
      <c r="D1991" s="19" t="n"/>
      <c r="E1991" s="6" t="n"/>
      <c r="F1991" s="20" t="n"/>
      <c r="G1991" s="9">
        <f>IF($F1991="","",IF($F1991&gt;0,ROUND($F1991,2),""))</f>
        <v/>
      </c>
      <c r="H1991" s="12">
        <f>IF(OR($B1991="",$C1991="",$G1991=""),"",COUNTIFS(Ventes_Encaissements!$E$6:$E$3005,$B1991,Ventes_Encaissements!$J$6:$J$3005,$G1991,Ventes_Encaissements!$C$6:$C$3005,"&gt;="&amp;($C1991-3),Ventes_Encaissements!$C$6:$C$3005,"&lt;="&amp;($C1991+3)))</f>
        <v/>
      </c>
      <c r="I1991" s="12">
        <f>IF($H1991="","",IF($H1991=0,"Non trouvé",IF($H1991=1,"Match","À vérifier")))</f>
        <v/>
      </c>
      <c r="J1991" s="21">
        <f>IF($I1991&lt;&gt;"Match","",INDEX(Ventes_Encaissements!$B$6:$B$3005,_xludf.AGGREGATE(15,6,(ROW(Ventes_Encaissements!$B$6:$B$3005)-ROW(Ventes_Encaissements!$B$6)+1)/((Ventes_Encaissements!$E$6:$E$3005=$B1991)*(Ventes_Encaissements!$J$6:$J$3005=$G1991)*(Ventes_Encaissements!$C$6:$C$3005&gt;=$C1991-3)*(Ventes_Encaissements!$C$6:$C$3005&lt;=$C1991+3)),1)))</f>
        <v/>
      </c>
      <c r="K1991" s="6" t="n"/>
    </row>
    <row r="1992">
      <c r="A1992" s="6" t="n"/>
      <c r="B1992" s="6" t="n"/>
      <c r="C1992" s="19" t="n"/>
      <c r="D1992" s="19" t="n"/>
      <c r="E1992" s="6" t="n"/>
      <c r="F1992" s="20" t="n"/>
      <c r="G1992" s="9">
        <f>IF($F1992="","",IF($F1992&gt;0,ROUND($F1992,2),""))</f>
        <v/>
      </c>
      <c r="H1992" s="12">
        <f>IF(OR($B1992="",$C1992="",$G1992=""),"",COUNTIFS(Ventes_Encaissements!$E$6:$E$3005,$B1992,Ventes_Encaissements!$J$6:$J$3005,$G1992,Ventes_Encaissements!$C$6:$C$3005,"&gt;="&amp;($C1992-3),Ventes_Encaissements!$C$6:$C$3005,"&lt;="&amp;($C1992+3)))</f>
        <v/>
      </c>
      <c r="I1992" s="12">
        <f>IF($H1992="","",IF($H1992=0,"Non trouvé",IF($H1992=1,"Match","À vérifier")))</f>
        <v/>
      </c>
      <c r="J1992" s="21">
        <f>IF($I1992&lt;&gt;"Match","",INDEX(Ventes_Encaissements!$B$6:$B$3005,_xludf.AGGREGATE(15,6,(ROW(Ventes_Encaissements!$B$6:$B$3005)-ROW(Ventes_Encaissements!$B$6)+1)/((Ventes_Encaissements!$E$6:$E$3005=$B1992)*(Ventes_Encaissements!$J$6:$J$3005=$G1992)*(Ventes_Encaissements!$C$6:$C$3005&gt;=$C1992-3)*(Ventes_Encaissements!$C$6:$C$3005&lt;=$C1992+3)),1)))</f>
        <v/>
      </c>
      <c r="K1992" s="6" t="n"/>
    </row>
    <row r="1993">
      <c r="A1993" s="6" t="n"/>
      <c r="B1993" s="6" t="n"/>
      <c r="C1993" s="19" t="n"/>
      <c r="D1993" s="19" t="n"/>
      <c r="E1993" s="6" t="n"/>
      <c r="F1993" s="20" t="n"/>
      <c r="G1993" s="9">
        <f>IF($F1993="","",IF($F1993&gt;0,ROUND($F1993,2),""))</f>
        <v/>
      </c>
      <c r="H1993" s="12">
        <f>IF(OR($B1993="",$C1993="",$G1993=""),"",COUNTIFS(Ventes_Encaissements!$E$6:$E$3005,$B1993,Ventes_Encaissements!$J$6:$J$3005,$G1993,Ventes_Encaissements!$C$6:$C$3005,"&gt;="&amp;($C1993-3),Ventes_Encaissements!$C$6:$C$3005,"&lt;="&amp;($C1993+3)))</f>
        <v/>
      </c>
      <c r="I1993" s="12">
        <f>IF($H1993="","",IF($H1993=0,"Non trouvé",IF($H1993=1,"Match","À vérifier")))</f>
        <v/>
      </c>
      <c r="J1993" s="21">
        <f>IF($I1993&lt;&gt;"Match","",INDEX(Ventes_Encaissements!$B$6:$B$3005,_xludf.AGGREGATE(15,6,(ROW(Ventes_Encaissements!$B$6:$B$3005)-ROW(Ventes_Encaissements!$B$6)+1)/((Ventes_Encaissements!$E$6:$E$3005=$B1993)*(Ventes_Encaissements!$J$6:$J$3005=$G1993)*(Ventes_Encaissements!$C$6:$C$3005&gt;=$C1993-3)*(Ventes_Encaissements!$C$6:$C$3005&lt;=$C1993+3)),1)))</f>
        <v/>
      </c>
      <c r="K1993" s="6" t="n"/>
    </row>
    <row r="1994">
      <c r="A1994" s="6" t="n"/>
      <c r="B1994" s="6" t="n"/>
      <c r="C1994" s="19" t="n"/>
      <c r="D1994" s="19" t="n"/>
      <c r="E1994" s="6" t="n"/>
      <c r="F1994" s="20" t="n"/>
      <c r="G1994" s="9">
        <f>IF($F1994="","",IF($F1994&gt;0,ROUND($F1994,2),""))</f>
        <v/>
      </c>
      <c r="H1994" s="12">
        <f>IF(OR($B1994="",$C1994="",$G1994=""),"",COUNTIFS(Ventes_Encaissements!$E$6:$E$3005,$B1994,Ventes_Encaissements!$J$6:$J$3005,$G1994,Ventes_Encaissements!$C$6:$C$3005,"&gt;="&amp;($C1994-3),Ventes_Encaissements!$C$6:$C$3005,"&lt;="&amp;($C1994+3)))</f>
        <v/>
      </c>
      <c r="I1994" s="12">
        <f>IF($H1994="","",IF($H1994=0,"Non trouvé",IF($H1994=1,"Match","À vérifier")))</f>
        <v/>
      </c>
      <c r="J1994" s="21">
        <f>IF($I1994&lt;&gt;"Match","",INDEX(Ventes_Encaissements!$B$6:$B$3005,_xludf.AGGREGATE(15,6,(ROW(Ventes_Encaissements!$B$6:$B$3005)-ROW(Ventes_Encaissements!$B$6)+1)/((Ventes_Encaissements!$E$6:$E$3005=$B1994)*(Ventes_Encaissements!$J$6:$J$3005=$G1994)*(Ventes_Encaissements!$C$6:$C$3005&gt;=$C1994-3)*(Ventes_Encaissements!$C$6:$C$3005&lt;=$C1994+3)),1)))</f>
        <v/>
      </c>
      <c r="K1994" s="6" t="n"/>
    </row>
    <row r="1995">
      <c r="A1995" s="6" t="n"/>
      <c r="B1995" s="6" t="n"/>
      <c r="C1995" s="19" t="n"/>
      <c r="D1995" s="19" t="n"/>
      <c r="E1995" s="6" t="n"/>
      <c r="F1995" s="20" t="n"/>
      <c r="G1995" s="9">
        <f>IF($F1995="","",IF($F1995&gt;0,ROUND($F1995,2),""))</f>
        <v/>
      </c>
      <c r="H1995" s="12">
        <f>IF(OR($B1995="",$C1995="",$G1995=""),"",COUNTIFS(Ventes_Encaissements!$E$6:$E$3005,$B1995,Ventes_Encaissements!$J$6:$J$3005,$G1995,Ventes_Encaissements!$C$6:$C$3005,"&gt;="&amp;($C1995-3),Ventes_Encaissements!$C$6:$C$3005,"&lt;="&amp;($C1995+3)))</f>
        <v/>
      </c>
      <c r="I1995" s="12">
        <f>IF($H1995="","",IF($H1995=0,"Non trouvé",IF($H1995=1,"Match","À vérifier")))</f>
        <v/>
      </c>
      <c r="J1995" s="21">
        <f>IF($I1995&lt;&gt;"Match","",INDEX(Ventes_Encaissements!$B$6:$B$3005,_xludf.AGGREGATE(15,6,(ROW(Ventes_Encaissements!$B$6:$B$3005)-ROW(Ventes_Encaissements!$B$6)+1)/((Ventes_Encaissements!$E$6:$E$3005=$B1995)*(Ventes_Encaissements!$J$6:$J$3005=$G1995)*(Ventes_Encaissements!$C$6:$C$3005&gt;=$C1995-3)*(Ventes_Encaissements!$C$6:$C$3005&lt;=$C1995+3)),1)))</f>
        <v/>
      </c>
      <c r="K1995" s="6" t="n"/>
    </row>
    <row r="1996">
      <c r="A1996" s="6" t="n"/>
      <c r="B1996" s="6" t="n"/>
      <c r="C1996" s="19" t="n"/>
      <c r="D1996" s="19" t="n"/>
      <c r="E1996" s="6" t="n"/>
      <c r="F1996" s="20" t="n"/>
      <c r="G1996" s="9">
        <f>IF($F1996="","",IF($F1996&gt;0,ROUND($F1996,2),""))</f>
        <v/>
      </c>
      <c r="H1996" s="12">
        <f>IF(OR($B1996="",$C1996="",$G1996=""),"",COUNTIFS(Ventes_Encaissements!$E$6:$E$3005,$B1996,Ventes_Encaissements!$J$6:$J$3005,$G1996,Ventes_Encaissements!$C$6:$C$3005,"&gt;="&amp;($C1996-3),Ventes_Encaissements!$C$6:$C$3005,"&lt;="&amp;($C1996+3)))</f>
        <v/>
      </c>
      <c r="I1996" s="12">
        <f>IF($H1996="","",IF($H1996=0,"Non trouvé",IF($H1996=1,"Match","À vérifier")))</f>
        <v/>
      </c>
      <c r="J1996" s="21">
        <f>IF($I1996&lt;&gt;"Match","",INDEX(Ventes_Encaissements!$B$6:$B$3005,_xludf.AGGREGATE(15,6,(ROW(Ventes_Encaissements!$B$6:$B$3005)-ROW(Ventes_Encaissements!$B$6)+1)/((Ventes_Encaissements!$E$6:$E$3005=$B1996)*(Ventes_Encaissements!$J$6:$J$3005=$G1996)*(Ventes_Encaissements!$C$6:$C$3005&gt;=$C1996-3)*(Ventes_Encaissements!$C$6:$C$3005&lt;=$C1996+3)),1)))</f>
        <v/>
      </c>
      <c r="K1996" s="6" t="n"/>
    </row>
    <row r="1997">
      <c r="A1997" s="6" t="n"/>
      <c r="B1997" s="6" t="n"/>
      <c r="C1997" s="19" t="n"/>
      <c r="D1997" s="19" t="n"/>
      <c r="E1997" s="6" t="n"/>
      <c r="F1997" s="20" t="n"/>
      <c r="G1997" s="9">
        <f>IF($F1997="","",IF($F1997&gt;0,ROUND($F1997,2),""))</f>
        <v/>
      </c>
      <c r="H1997" s="12">
        <f>IF(OR($B1997="",$C1997="",$G1997=""),"",COUNTIFS(Ventes_Encaissements!$E$6:$E$3005,$B1997,Ventes_Encaissements!$J$6:$J$3005,$G1997,Ventes_Encaissements!$C$6:$C$3005,"&gt;="&amp;($C1997-3),Ventes_Encaissements!$C$6:$C$3005,"&lt;="&amp;($C1997+3)))</f>
        <v/>
      </c>
      <c r="I1997" s="12">
        <f>IF($H1997="","",IF($H1997=0,"Non trouvé",IF($H1997=1,"Match","À vérifier")))</f>
        <v/>
      </c>
      <c r="J1997" s="21">
        <f>IF($I1997&lt;&gt;"Match","",INDEX(Ventes_Encaissements!$B$6:$B$3005,_xludf.AGGREGATE(15,6,(ROW(Ventes_Encaissements!$B$6:$B$3005)-ROW(Ventes_Encaissements!$B$6)+1)/((Ventes_Encaissements!$E$6:$E$3005=$B1997)*(Ventes_Encaissements!$J$6:$J$3005=$G1997)*(Ventes_Encaissements!$C$6:$C$3005&gt;=$C1997-3)*(Ventes_Encaissements!$C$6:$C$3005&lt;=$C1997+3)),1)))</f>
        <v/>
      </c>
      <c r="K1997" s="6" t="n"/>
    </row>
    <row r="1998">
      <c r="A1998" s="6" t="n"/>
      <c r="B1998" s="6" t="n"/>
      <c r="C1998" s="19" t="n"/>
      <c r="D1998" s="19" t="n"/>
      <c r="E1998" s="6" t="n"/>
      <c r="F1998" s="20" t="n"/>
      <c r="G1998" s="9">
        <f>IF($F1998="","",IF($F1998&gt;0,ROUND($F1998,2),""))</f>
        <v/>
      </c>
      <c r="H1998" s="12">
        <f>IF(OR($B1998="",$C1998="",$G1998=""),"",COUNTIFS(Ventes_Encaissements!$E$6:$E$3005,$B1998,Ventes_Encaissements!$J$6:$J$3005,$G1998,Ventes_Encaissements!$C$6:$C$3005,"&gt;="&amp;($C1998-3),Ventes_Encaissements!$C$6:$C$3005,"&lt;="&amp;($C1998+3)))</f>
        <v/>
      </c>
      <c r="I1998" s="12">
        <f>IF($H1998="","",IF($H1998=0,"Non trouvé",IF($H1998=1,"Match","À vérifier")))</f>
        <v/>
      </c>
      <c r="J1998" s="21">
        <f>IF($I1998&lt;&gt;"Match","",INDEX(Ventes_Encaissements!$B$6:$B$3005,_xludf.AGGREGATE(15,6,(ROW(Ventes_Encaissements!$B$6:$B$3005)-ROW(Ventes_Encaissements!$B$6)+1)/((Ventes_Encaissements!$E$6:$E$3005=$B1998)*(Ventes_Encaissements!$J$6:$J$3005=$G1998)*(Ventes_Encaissements!$C$6:$C$3005&gt;=$C1998-3)*(Ventes_Encaissements!$C$6:$C$3005&lt;=$C1998+3)),1)))</f>
        <v/>
      </c>
      <c r="K1998" s="6" t="n"/>
    </row>
    <row r="1999">
      <c r="A1999" s="6" t="n"/>
      <c r="B1999" s="6" t="n"/>
      <c r="C1999" s="19" t="n"/>
      <c r="D1999" s="19" t="n"/>
      <c r="E1999" s="6" t="n"/>
      <c r="F1999" s="20" t="n"/>
      <c r="G1999" s="9">
        <f>IF($F1999="","",IF($F1999&gt;0,ROUND($F1999,2),""))</f>
        <v/>
      </c>
      <c r="H1999" s="12">
        <f>IF(OR($B1999="",$C1999="",$G1999=""),"",COUNTIFS(Ventes_Encaissements!$E$6:$E$3005,$B1999,Ventes_Encaissements!$J$6:$J$3005,$G1999,Ventes_Encaissements!$C$6:$C$3005,"&gt;="&amp;($C1999-3),Ventes_Encaissements!$C$6:$C$3005,"&lt;="&amp;($C1999+3)))</f>
        <v/>
      </c>
      <c r="I1999" s="12">
        <f>IF($H1999="","",IF($H1999=0,"Non trouvé",IF($H1999=1,"Match","À vérifier")))</f>
        <v/>
      </c>
      <c r="J1999" s="21">
        <f>IF($I1999&lt;&gt;"Match","",INDEX(Ventes_Encaissements!$B$6:$B$3005,_xludf.AGGREGATE(15,6,(ROW(Ventes_Encaissements!$B$6:$B$3005)-ROW(Ventes_Encaissements!$B$6)+1)/((Ventes_Encaissements!$E$6:$E$3005=$B1999)*(Ventes_Encaissements!$J$6:$J$3005=$G1999)*(Ventes_Encaissements!$C$6:$C$3005&gt;=$C1999-3)*(Ventes_Encaissements!$C$6:$C$3005&lt;=$C1999+3)),1)))</f>
        <v/>
      </c>
      <c r="K1999" s="6" t="n"/>
    </row>
    <row r="2000">
      <c r="A2000" s="6" t="n"/>
      <c r="B2000" s="6" t="n"/>
      <c r="C2000" s="19" t="n"/>
      <c r="D2000" s="19" t="n"/>
      <c r="E2000" s="6" t="n"/>
      <c r="F2000" s="20" t="n"/>
      <c r="G2000" s="9">
        <f>IF($F2000="","",IF($F2000&gt;0,ROUND($F2000,2),""))</f>
        <v/>
      </c>
      <c r="H2000" s="12">
        <f>IF(OR($B2000="",$C2000="",$G2000=""),"",COUNTIFS(Ventes_Encaissements!$E$6:$E$3005,$B2000,Ventes_Encaissements!$J$6:$J$3005,$G2000,Ventes_Encaissements!$C$6:$C$3005,"&gt;="&amp;($C2000-3),Ventes_Encaissements!$C$6:$C$3005,"&lt;="&amp;($C2000+3)))</f>
        <v/>
      </c>
      <c r="I2000" s="12">
        <f>IF($H2000="","",IF($H2000=0,"Non trouvé",IF($H2000=1,"Match","À vérifier")))</f>
        <v/>
      </c>
      <c r="J2000" s="21">
        <f>IF($I2000&lt;&gt;"Match","",INDEX(Ventes_Encaissements!$B$6:$B$3005,_xludf.AGGREGATE(15,6,(ROW(Ventes_Encaissements!$B$6:$B$3005)-ROW(Ventes_Encaissements!$B$6)+1)/((Ventes_Encaissements!$E$6:$E$3005=$B2000)*(Ventes_Encaissements!$J$6:$J$3005=$G2000)*(Ventes_Encaissements!$C$6:$C$3005&gt;=$C2000-3)*(Ventes_Encaissements!$C$6:$C$3005&lt;=$C2000+3)),1)))</f>
        <v/>
      </c>
      <c r="K2000" s="6" t="n"/>
    </row>
    <row r="2001">
      <c r="A2001" s="6" t="n"/>
      <c r="B2001" s="6" t="n"/>
      <c r="C2001" s="19" t="n"/>
      <c r="D2001" s="19" t="n"/>
      <c r="E2001" s="6" t="n"/>
      <c r="F2001" s="20" t="n"/>
      <c r="G2001" s="9">
        <f>IF($F2001="","",IF($F2001&gt;0,ROUND($F2001,2),""))</f>
        <v/>
      </c>
      <c r="H2001" s="12">
        <f>IF(OR($B2001="",$C2001="",$G2001=""),"",COUNTIFS(Ventes_Encaissements!$E$6:$E$3005,$B2001,Ventes_Encaissements!$J$6:$J$3005,$G2001,Ventes_Encaissements!$C$6:$C$3005,"&gt;="&amp;($C2001-3),Ventes_Encaissements!$C$6:$C$3005,"&lt;="&amp;($C2001+3)))</f>
        <v/>
      </c>
      <c r="I2001" s="12">
        <f>IF($H2001="","",IF($H2001=0,"Non trouvé",IF($H2001=1,"Match","À vérifier")))</f>
        <v/>
      </c>
      <c r="J2001" s="21">
        <f>IF($I2001&lt;&gt;"Match","",INDEX(Ventes_Encaissements!$B$6:$B$3005,_xludf.AGGREGATE(15,6,(ROW(Ventes_Encaissements!$B$6:$B$3005)-ROW(Ventes_Encaissements!$B$6)+1)/((Ventes_Encaissements!$E$6:$E$3005=$B2001)*(Ventes_Encaissements!$J$6:$J$3005=$G2001)*(Ventes_Encaissements!$C$6:$C$3005&gt;=$C2001-3)*(Ventes_Encaissements!$C$6:$C$3005&lt;=$C2001+3)),1)))</f>
        <v/>
      </c>
      <c r="K2001" s="6" t="n"/>
    </row>
    <row r="2002">
      <c r="A2002" s="6" t="n"/>
      <c r="B2002" s="6" t="n"/>
      <c r="C2002" s="19" t="n"/>
      <c r="D2002" s="19" t="n"/>
      <c r="E2002" s="6" t="n"/>
      <c r="F2002" s="20" t="n"/>
      <c r="G2002" s="9">
        <f>IF($F2002="","",IF($F2002&gt;0,ROUND($F2002,2),""))</f>
        <v/>
      </c>
      <c r="H2002" s="12">
        <f>IF(OR($B2002="",$C2002="",$G2002=""),"",COUNTIFS(Ventes_Encaissements!$E$6:$E$3005,$B2002,Ventes_Encaissements!$J$6:$J$3005,$G2002,Ventes_Encaissements!$C$6:$C$3005,"&gt;="&amp;($C2002-3),Ventes_Encaissements!$C$6:$C$3005,"&lt;="&amp;($C2002+3)))</f>
        <v/>
      </c>
      <c r="I2002" s="12">
        <f>IF($H2002="","",IF($H2002=0,"Non trouvé",IF($H2002=1,"Match","À vérifier")))</f>
        <v/>
      </c>
      <c r="J2002" s="21">
        <f>IF($I2002&lt;&gt;"Match","",INDEX(Ventes_Encaissements!$B$6:$B$3005,_xludf.AGGREGATE(15,6,(ROW(Ventes_Encaissements!$B$6:$B$3005)-ROW(Ventes_Encaissements!$B$6)+1)/((Ventes_Encaissements!$E$6:$E$3005=$B2002)*(Ventes_Encaissements!$J$6:$J$3005=$G2002)*(Ventes_Encaissements!$C$6:$C$3005&gt;=$C2002-3)*(Ventes_Encaissements!$C$6:$C$3005&lt;=$C2002+3)),1)))</f>
        <v/>
      </c>
      <c r="K2002" s="6" t="n"/>
    </row>
    <row r="2003">
      <c r="A2003" s="6" t="n"/>
      <c r="B2003" s="6" t="n"/>
      <c r="C2003" s="19" t="n"/>
      <c r="D2003" s="19" t="n"/>
      <c r="E2003" s="6" t="n"/>
      <c r="F2003" s="20" t="n"/>
      <c r="G2003" s="9">
        <f>IF($F2003="","",IF($F2003&gt;0,ROUND($F2003,2),""))</f>
        <v/>
      </c>
      <c r="H2003" s="12">
        <f>IF(OR($B2003="",$C2003="",$G2003=""),"",COUNTIFS(Ventes_Encaissements!$E$6:$E$3005,$B2003,Ventes_Encaissements!$J$6:$J$3005,$G2003,Ventes_Encaissements!$C$6:$C$3005,"&gt;="&amp;($C2003-3),Ventes_Encaissements!$C$6:$C$3005,"&lt;="&amp;($C2003+3)))</f>
        <v/>
      </c>
      <c r="I2003" s="12">
        <f>IF($H2003="","",IF($H2003=0,"Non trouvé",IF($H2003=1,"Match","À vérifier")))</f>
        <v/>
      </c>
      <c r="J2003" s="21">
        <f>IF($I2003&lt;&gt;"Match","",INDEX(Ventes_Encaissements!$B$6:$B$3005,_xludf.AGGREGATE(15,6,(ROW(Ventes_Encaissements!$B$6:$B$3005)-ROW(Ventes_Encaissements!$B$6)+1)/((Ventes_Encaissements!$E$6:$E$3005=$B2003)*(Ventes_Encaissements!$J$6:$J$3005=$G2003)*(Ventes_Encaissements!$C$6:$C$3005&gt;=$C2003-3)*(Ventes_Encaissements!$C$6:$C$3005&lt;=$C2003+3)),1)))</f>
        <v/>
      </c>
      <c r="K2003" s="6" t="n"/>
    </row>
    <row r="2004">
      <c r="A2004" s="6" t="n"/>
      <c r="B2004" s="6" t="n"/>
      <c r="C2004" s="19" t="n"/>
      <c r="D2004" s="19" t="n"/>
      <c r="E2004" s="6" t="n"/>
      <c r="F2004" s="20" t="n"/>
      <c r="G2004" s="9">
        <f>IF($F2004="","",IF($F2004&gt;0,ROUND($F2004,2),""))</f>
        <v/>
      </c>
      <c r="H2004" s="12">
        <f>IF(OR($B2004="",$C2004="",$G2004=""),"",COUNTIFS(Ventes_Encaissements!$E$6:$E$3005,$B2004,Ventes_Encaissements!$J$6:$J$3005,$G2004,Ventes_Encaissements!$C$6:$C$3005,"&gt;="&amp;($C2004-3),Ventes_Encaissements!$C$6:$C$3005,"&lt;="&amp;($C2004+3)))</f>
        <v/>
      </c>
      <c r="I2004" s="12">
        <f>IF($H2004="","",IF($H2004=0,"Non trouvé",IF($H2004=1,"Match","À vérifier")))</f>
        <v/>
      </c>
      <c r="J2004" s="21">
        <f>IF($I2004&lt;&gt;"Match","",INDEX(Ventes_Encaissements!$B$6:$B$3005,_xludf.AGGREGATE(15,6,(ROW(Ventes_Encaissements!$B$6:$B$3005)-ROW(Ventes_Encaissements!$B$6)+1)/((Ventes_Encaissements!$E$6:$E$3005=$B2004)*(Ventes_Encaissements!$J$6:$J$3005=$G2004)*(Ventes_Encaissements!$C$6:$C$3005&gt;=$C2004-3)*(Ventes_Encaissements!$C$6:$C$3005&lt;=$C2004+3)),1)))</f>
        <v/>
      </c>
      <c r="K2004" s="6" t="n"/>
    </row>
    <row r="2005">
      <c r="A2005" s="6" t="n"/>
      <c r="B2005" s="6" t="n"/>
      <c r="C2005" s="19" t="n"/>
      <c r="D2005" s="19" t="n"/>
      <c r="E2005" s="6" t="n"/>
      <c r="F2005" s="20" t="n"/>
      <c r="G2005" s="9">
        <f>IF($F2005="","",IF($F2005&gt;0,ROUND($F2005,2),""))</f>
        <v/>
      </c>
      <c r="H2005" s="12">
        <f>IF(OR($B2005="",$C2005="",$G2005=""),"",COUNTIFS(Ventes_Encaissements!$E$6:$E$3005,$B2005,Ventes_Encaissements!$J$6:$J$3005,$G2005,Ventes_Encaissements!$C$6:$C$3005,"&gt;="&amp;($C2005-3),Ventes_Encaissements!$C$6:$C$3005,"&lt;="&amp;($C2005+3)))</f>
        <v/>
      </c>
      <c r="I2005" s="12">
        <f>IF($H2005="","",IF($H2005=0,"Non trouvé",IF($H2005=1,"Match","À vérifier")))</f>
        <v/>
      </c>
      <c r="J2005" s="21">
        <f>IF($I2005&lt;&gt;"Match","",INDEX(Ventes_Encaissements!$B$6:$B$3005,_xludf.AGGREGATE(15,6,(ROW(Ventes_Encaissements!$B$6:$B$3005)-ROW(Ventes_Encaissements!$B$6)+1)/((Ventes_Encaissements!$E$6:$E$3005=$B2005)*(Ventes_Encaissements!$J$6:$J$3005=$G2005)*(Ventes_Encaissements!$C$6:$C$3005&gt;=$C2005-3)*(Ventes_Encaissements!$C$6:$C$3005&lt;=$C2005+3)),1)))</f>
        <v/>
      </c>
      <c r="K2005" s="6" t="n"/>
    </row>
    <row r="2006">
      <c r="A2006" s="6" t="n"/>
      <c r="B2006" s="6" t="n"/>
      <c r="C2006" s="19" t="n"/>
      <c r="D2006" s="19" t="n"/>
      <c r="E2006" s="6" t="n"/>
      <c r="F2006" s="20" t="n"/>
      <c r="G2006" s="9">
        <f>IF($F2006="","",IF($F2006&gt;0,ROUND($F2006,2),""))</f>
        <v/>
      </c>
      <c r="H2006" s="12">
        <f>IF(OR($B2006="",$C2006="",$G2006=""),"",COUNTIFS(Ventes_Encaissements!$E$6:$E$3005,$B2006,Ventes_Encaissements!$J$6:$J$3005,$G2006,Ventes_Encaissements!$C$6:$C$3005,"&gt;="&amp;($C2006-3),Ventes_Encaissements!$C$6:$C$3005,"&lt;="&amp;($C2006+3)))</f>
        <v/>
      </c>
      <c r="I2006" s="12">
        <f>IF($H2006="","",IF($H2006=0,"Non trouvé",IF($H2006=1,"Match","À vérifier")))</f>
        <v/>
      </c>
      <c r="J2006" s="21">
        <f>IF($I2006&lt;&gt;"Match","",INDEX(Ventes_Encaissements!$B$6:$B$3005,_xludf.AGGREGATE(15,6,(ROW(Ventes_Encaissements!$B$6:$B$3005)-ROW(Ventes_Encaissements!$B$6)+1)/((Ventes_Encaissements!$E$6:$E$3005=$B2006)*(Ventes_Encaissements!$J$6:$J$3005=$G2006)*(Ventes_Encaissements!$C$6:$C$3005&gt;=$C2006-3)*(Ventes_Encaissements!$C$6:$C$3005&lt;=$C2006+3)),1)))</f>
        <v/>
      </c>
      <c r="K2006" s="6" t="n"/>
    </row>
    <row r="2007">
      <c r="A2007" s="6" t="n"/>
      <c r="B2007" s="6" t="n"/>
      <c r="C2007" s="19" t="n"/>
      <c r="D2007" s="19" t="n"/>
      <c r="E2007" s="6" t="n"/>
      <c r="F2007" s="20" t="n"/>
      <c r="G2007" s="9">
        <f>IF($F2007="","",IF($F2007&gt;0,ROUND($F2007,2),""))</f>
        <v/>
      </c>
      <c r="H2007" s="12">
        <f>IF(OR($B2007="",$C2007="",$G2007=""),"",COUNTIFS(Ventes_Encaissements!$E$6:$E$3005,$B2007,Ventes_Encaissements!$J$6:$J$3005,$G2007,Ventes_Encaissements!$C$6:$C$3005,"&gt;="&amp;($C2007-3),Ventes_Encaissements!$C$6:$C$3005,"&lt;="&amp;($C2007+3)))</f>
        <v/>
      </c>
      <c r="I2007" s="12">
        <f>IF($H2007="","",IF($H2007=0,"Non trouvé",IF($H2007=1,"Match","À vérifier")))</f>
        <v/>
      </c>
      <c r="J2007" s="21">
        <f>IF($I2007&lt;&gt;"Match","",INDEX(Ventes_Encaissements!$B$6:$B$3005,_xludf.AGGREGATE(15,6,(ROW(Ventes_Encaissements!$B$6:$B$3005)-ROW(Ventes_Encaissements!$B$6)+1)/((Ventes_Encaissements!$E$6:$E$3005=$B2007)*(Ventes_Encaissements!$J$6:$J$3005=$G2007)*(Ventes_Encaissements!$C$6:$C$3005&gt;=$C2007-3)*(Ventes_Encaissements!$C$6:$C$3005&lt;=$C2007+3)),1)))</f>
        <v/>
      </c>
      <c r="K2007" s="6" t="n"/>
    </row>
    <row r="2008">
      <c r="A2008" s="6" t="n"/>
      <c r="B2008" s="6" t="n"/>
      <c r="C2008" s="19" t="n"/>
      <c r="D2008" s="19" t="n"/>
      <c r="E2008" s="6" t="n"/>
      <c r="F2008" s="20" t="n"/>
      <c r="G2008" s="9">
        <f>IF($F2008="","",IF($F2008&gt;0,ROUND($F2008,2),""))</f>
        <v/>
      </c>
      <c r="H2008" s="12">
        <f>IF(OR($B2008="",$C2008="",$G2008=""),"",COUNTIFS(Ventes_Encaissements!$E$6:$E$3005,$B2008,Ventes_Encaissements!$J$6:$J$3005,$G2008,Ventes_Encaissements!$C$6:$C$3005,"&gt;="&amp;($C2008-3),Ventes_Encaissements!$C$6:$C$3005,"&lt;="&amp;($C2008+3)))</f>
        <v/>
      </c>
      <c r="I2008" s="12">
        <f>IF($H2008="","",IF($H2008=0,"Non trouvé",IF($H2008=1,"Match","À vérifier")))</f>
        <v/>
      </c>
      <c r="J2008" s="21">
        <f>IF($I2008&lt;&gt;"Match","",INDEX(Ventes_Encaissements!$B$6:$B$3005,_xludf.AGGREGATE(15,6,(ROW(Ventes_Encaissements!$B$6:$B$3005)-ROW(Ventes_Encaissements!$B$6)+1)/((Ventes_Encaissements!$E$6:$E$3005=$B2008)*(Ventes_Encaissements!$J$6:$J$3005=$G2008)*(Ventes_Encaissements!$C$6:$C$3005&gt;=$C2008-3)*(Ventes_Encaissements!$C$6:$C$3005&lt;=$C2008+3)),1)))</f>
        <v/>
      </c>
      <c r="K2008" s="6" t="n"/>
    </row>
    <row r="2009">
      <c r="A2009" s="6" t="n"/>
      <c r="B2009" s="6" t="n"/>
      <c r="C2009" s="19" t="n"/>
      <c r="D2009" s="19" t="n"/>
      <c r="E2009" s="6" t="n"/>
      <c r="F2009" s="20" t="n"/>
      <c r="G2009" s="9">
        <f>IF($F2009="","",IF($F2009&gt;0,ROUND($F2009,2),""))</f>
        <v/>
      </c>
      <c r="H2009" s="12">
        <f>IF(OR($B2009="",$C2009="",$G2009=""),"",COUNTIFS(Ventes_Encaissements!$E$6:$E$3005,$B2009,Ventes_Encaissements!$J$6:$J$3005,$G2009,Ventes_Encaissements!$C$6:$C$3005,"&gt;="&amp;($C2009-3),Ventes_Encaissements!$C$6:$C$3005,"&lt;="&amp;($C2009+3)))</f>
        <v/>
      </c>
      <c r="I2009" s="12">
        <f>IF($H2009="","",IF($H2009=0,"Non trouvé",IF($H2009=1,"Match","À vérifier")))</f>
        <v/>
      </c>
      <c r="J2009" s="21">
        <f>IF($I2009&lt;&gt;"Match","",INDEX(Ventes_Encaissements!$B$6:$B$3005,_xludf.AGGREGATE(15,6,(ROW(Ventes_Encaissements!$B$6:$B$3005)-ROW(Ventes_Encaissements!$B$6)+1)/((Ventes_Encaissements!$E$6:$E$3005=$B2009)*(Ventes_Encaissements!$J$6:$J$3005=$G2009)*(Ventes_Encaissements!$C$6:$C$3005&gt;=$C2009-3)*(Ventes_Encaissements!$C$6:$C$3005&lt;=$C2009+3)),1)))</f>
        <v/>
      </c>
      <c r="K2009" s="6" t="n"/>
    </row>
    <row r="2010">
      <c r="A2010" s="6" t="n"/>
      <c r="B2010" s="6" t="n"/>
      <c r="C2010" s="19" t="n"/>
      <c r="D2010" s="19" t="n"/>
      <c r="E2010" s="6" t="n"/>
      <c r="F2010" s="20" t="n"/>
      <c r="G2010" s="9">
        <f>IF($F2010="","",IF($F2010&gt;0,ROUND($F2010,2),""))</f>
        <v/>
      </c>
      <c r="H2010" s="12">
        <f>IF(OR($B2010="",$C2010="",$G2010=""),"",COUNTIFS(Ventes_Encaissements!$E$6:$E$3005,$B2010,Ventes_Encaissements!$J$6:$J$3005,$G2010,Ventes_Encaissements!$C$6:$C$3005,"&gt;="&amp;($C2010-3),Ventes_Encaissements!$C$6:$C$3005,"&lt;="&amp;($C2010+3)))</f>
        <v/>
      </c>
      <c r="I2010" s="12">
        <f>IF($H2010="","",IF($H2010=0,"Non trouvé",IF($H2010=1,"Match","À vérifier")))</f>
        <v/>
      </c>
      <c r="J2010" s="21">
        <f>IF($I2010&lt;&gt;"Match","",INDEX(Ventes_Encaissements!$B$6:$B$3005,_xludf.AGGREGATE(15,6,(ROW(Ventes_Encaissements!$B$6:$B$3005)-ROW(Ventes_Encaissements!$B$6)+1)/((Ventes_Encaissements!$E$6:$E$3005=$B2010)*(Ventes_Encaissements!$J$6:$J$3005=$G2010)*(Ventes_Encaissements!$C$6:$C$3005&gt;=$C2010-3)*(Ventes_Encaissements!$C$6:$C$3005&lt;=$C2010+3)),1)))</f>
        <v/>
      </c>
      <c r="K2010" s="6" t="n"/>
    </row>
    <row r="2011">
      <c r="A2011" s="6" t="n"/>
      <c r="B2011" s="6" t="n"/>
      <c r="C2011" s="19" t="n"/>
      <c r="D2011" s="19" t="n"/>
      <c r="E2011" s="6" t="n"/>
      <c r="F2011" s="20" t="n"/>
      <c r="G2011" s="9">
        <f>IF($F2011="","",IF($F2011&gt;0,ROUND($F2011,2),""))</f>
        <v/>
      </c>
      <c r="H2011" s="12">
        <f>IF(OR($B2011="",$C2011="",$G2011=""),"",COUNTIFS(Ventes_Encaissements!$E$6:$E$3005,$B2011,Ventes_Encaissements!$J$6:$J$3005,$G2011,Ventes_Encaissements!$C$6:$C$3005,"&gt;="&amp;($C2011-3),Ventes_Encaissements!$C$6:$C$3005,"&lt;="&amp;($C2011+3)))</f>
        <v/>
      </c>
      <c r="I2011" s="12">
        <f>IF($H2011="","",IF($H2011=0,"Non trouvé",IF($H2011=1,"Match","À vérifier")))</f>
        <v/>
      </c>
      <c r="J2011" s="21">
        <f>IF($I2011&lt;&gt;"Match","",INDEX(Ventes_Encaissements!$B$6:$B$3005,_xludf.AGGREGATE(15,6,(ROW(Ventes_Encaissements!$B$6:$B$3005)-ROW(Ventes_Encaissements!$B$6)+1)/((Ventes_Encaissements!$E$6:$E$3005=$B2011)*(Ventes_Encaissements!$J$6:$J$3005=$G2011)*(Ventes_Encaissements!$C$6:$C$3005&gt;=$C2011-3)*(Ventes_Encaissements!$C$6:$C$3005&lt;=$C2011+3)),1)))</f>
        <v/>
      </c>
      <c r="K2011" s="6" t="n"/>
    </row>
    <row r="2012">
      <c r="A2012" s="6" t="n"/>
      <c r="B2012" s="6" t="n"/>
      <c r="C2012" s="19" t="n"/>
      <c r="D2012" s="19" t="n"/>
      <c r="E2012" s="6" t="n"/>
      <c r="F2012" s="20" t="n"/>
      <c r="G2012" s="9">
        <f>IF($F2012="","",IF($F2012&gt;0,ROUND($F2012,2),""))</f>
        <v/>
      </c>
      <c r="H2012" s="12">
        <f>IF(OR($B2012="",$C2012="",$G2012=""),"",COUNTIFS(Ventes_Encaissements!$E$6:$E$3005,$B2012,Ventes_Encaissements!$J$6:$J$3005,$G2012,Ventes_Encaissements!$C$6:$C$3005,"&gt;="&amp;($C2012-3),Ventes_Encaissements!$C$6:$C$3005,"&lt;="&amp;($C2012+3)))</f>
        <v/>
      </c>
      <c r="I2012" s="12">
        <f>IF($H2012="","",IF($H2012=0,"Non trouvé",IF($H2012=1,"Match","À vérifier")))</f>
        <v/>
      </c>
      <c r="J2012" s="21">
        <f>IF($I2012&lt;&gt;"Match","",INDEX(Ventes_Encaissements!$B$6:$B$3005,_xludf.AGGREGATE(15,6,(ROW(Ventes_Encaissements!$B$6:$B$3005)-ROW(Ventes_Encaissements!$B$6)+1)/((Ventes_Encaissements!$E$6:$E$3005=$B2012)*(Ventes_Encaissements!$J$6:$J$3005=$G2012)*(Ventes_Encaissements!$C$6:$C$3005&gt;=$C2012-3)*(Ventes_Encaissements!$C$6:$C$3005&lt;=$C2012+3)),1)))</f>
        <v/>
      </c>
      <c r="K2012" s="6" t="n"/>
    </row>
    <row r="2013">
      <c r="A2013" s="6" t="n"/>
      <c r="B2013" s="6" t="n"/>
      <c r="C2013" s="19" t="n"/>
      <c r="D2013" s="19" t="n"/>
      <c r="E2013" s="6" t="n"/>
      <c r="F2013" s="20" t="n"/>
      <c r="G2013" s="9">
        <f>IF($F2013="","",IF($F2013&gt;0,ROUND($F2013,2),""))</f>
        <v/>
      </c>
      <c r="H2013" s="12">
        <f>IF(OR($B2013="",$C2013="",$G2013=""),"",COUNTIFS(Ventes_Encaissements!$E$6:$E$3005,$B2013,Ventes_Encaissements!$J$6:$J$3005,$G2013,Ventes_Encaissements!$C$6:$C$3005,"&gt;="&amp;($C2013-3),Ventes_Encaissements!$C$6:$C$3005,"&lt;="&amp;($C2013+3)))</f>
        <v/>
      </c>
      <c r="I2013" s="12">
        <f>IF($H2013="","",IF($H2013=0,"Non trouvé",IF($H2013=1,"Match","À vérifier")))</f>
        <v/>
      </c>
      <c r="J2013" s="21">
        <f>IF($I2013&lt;&gt;"Match","",INDEX(Ventes_Encaissements!$B$6:$B$3005,_xludf.AGGREGATE(15,6,(ROW(Ventes_Encaissements!$B$6:$B$3005)-ROW(Ventes_Encaissements!$B$6)+1)/((Ventes_Encaissements!$E$6:$E$3005=$B2013)*(Ventes_Encaissements!$J$6:$J$3005=$G2013)*(Ventes_Encaissements!$C$6:$C$3005&gt;=$C2013-3)*(Ventes_Encaissements!$C$6:$C$3005&lt;=$C2013+3)),1)))</f>
        <v/>
      </c>
      <c r="K2013" s="6" t="n"/>
    </row>
    <row r="2014">
      <c r="A2014" s="6" t="n"/>
      <c r="B2014" s="6" t="n"/>
      <c r="C2014" s="19" t="n"/>
      <c r="D2014" s="19" t="n"/>
      <c r="E2014" s="6" t="n"/>
      <c r="F2014" s="20" t="n"/>
      <c r="G2014" s="9">
        <f>IF($F2014="","",IF($F2014&gt;0,ROUND($F2014,2),""))</f>
        <v/>
      </c>
      <c r="H2014" s="12">
        <f>IF(OR($B2014="",$C2014="",$G2014=""),"",COUNTIFS(Ventes_Encaissements!$E$6:$E$3005,$B2014,Ventes_Encaissements!$J$6:$J$3005,$G2014,Ventes_Encaissements!$C$6:$C$3005,"&gt;="&amp;($C2014-3),Ventes_Encaissements!$C$6:$C$3005,"&lt;="&amp;($C2014+3)))</f>
        <v/>
      </c>
      <c r="I2014" s="12">
        <f>IF($H2014="","",IF($H2014=0,"Non trouvé",IF($H2014=1,"Match","À vérifier")))</f>
        <v/>
      </c>
      <c r="J2014" s="21">
        <f>IF($I2014&lt;&gt;"Match","",INDEX(Ventes_Encaissements!$B$6:$B$3005,_xludf.AGGREGATE(15,6,(ROW(Ventes_Encaissements!$B$6:$B$3005)-ROW(Ventes_Encaissements!$B$6)+1)/((Ventes_Encaissements!$E$6:$E$3005=$B2014)*(Ventes_Encaissements!$J$6:$J$3005=$G2014)*(Ventes_Encaissements!$C$6:$C$3005&gt;=$C2014-3)*(Ventes_Encaissements!$C$6:$C$3005&lt;=$C2014+3)),1)))</f>
        <v/>
      </c>
      <c r="K2014" s="6" t="n"/>
    </row>
    <row r="2015">
      <c r="A2015" s="6" t="n"/>
      <c r="B2015" s="6" t="n"/>
      <c r="C2015" s="19" t="n"/>
      <c r="D2015" s="19" t="n"/>
      <c r="E2015" s="6" t="n"/>
      <c r="F2015" s="20" t="n"/>
      <c r="G2015" s="9">
        <f>IF($F2015="","",IF($F2015&gt;0,ROUND($F2015,2),""))</f>
        <v/>
      </c>
      <c r="H2015" s="12">
        <f>IF(OR($B2015="",$C2015="",$G2015=""),"",COUNTIFS(Ventes_Encaissements!$E$6:$E$3005,$B2015,Ventes_Encaissements!$J$6:$J$3005,$G2015,Ventes_Encaissements!$C$6:$C$3005,"&gt;="&amp;($C2015-3),Ventes_Encaissements!$C$6:$C$3005,"&lt;="&amp;($C2015+3)))</f>
        <v/>
      </c>
      <c r="I2015" s="12">
        <f>IF($H2015="","",IF($H2015=0,"Non trouvé",IF($H2015=1,"Match","À vérifier")))</f>
        <v/>
      </c>
      <c r="J2015" s="21">
        <f>IF($I2015&lt;&gt;"Match","",INDEX(Ventes_Encaissements!$B$6:$B$3005,_xludf.AGGREGATE(15,6,(ROW(Ventes_Encaissements!$B$6:$B$3005)-ROW(Ventes_Encaissements!$B$6)+1)/((Ventes_Encaissements!$E$6:$E$3005=$B2015)*(Ventes_Encaissements!$J$6:$J$3005=$G2015)*(Ventes_Encaissements!$C$6:$C$3005&gt;=$C2015-3)*(Ventes_Encaissements!$C$6:$C$3005&lt;=$C2015+3)),1)))</f>
        <v/>
      </c>
      <c r="K2015" s="6" t="n"/>
    </row>
    <row r="2016">
      <c r="A2016" s="6" t="n"/>
      <c r="B2016" s="6" t="n"/>
      <c r="C2016" s="19" t="n"/>
      <c r="D2016" s="19" t="n"/>
      <c r="E2016" s="6" t="n"/>
      <c r="F2016" s="20" t="n"/>
      <c r="G2016" s="9">
        <f>IF($F2016="","",IF($F2016&gt;0,ROUND($F2016,2),""))</f>
        <v/>
      </c>
      <c r="H2016" s="12">
        <f>IF(OR($B2016="",$C2016="",$G2016=""),"",COUNTIFS(Ventes_Encaissements!$E$6:$E$3005,$B2016,Ventes_Encaissements!$J$6:$J$3005,$G2016,Ventes_Encaissements!$C$6:$C$3005,"&gt;="&amp;($C2016-3),Ventes_Encaissements!$C$6:$C$3005,"&lt;="&amp;($C2016+3)))</f>
        <v/>
      </c>
      <c r="I2016" s="12">
        <f>IF($H2016="","",IF($H2016=0,"Non trouvé",IF($H2016=1,"Match","À vérifier")))</f>
        <v/>
      </c>
      <c r="J2016" s="21">
        <f>IF($I2016&lt;&gt;"Match","",INDEX(Ventes_Encaissements!$B$6:$B$3005,_xludf.AGGREGATE(15,6,(ROW(Ventes_Encaissements!$B$6:$B$3005)-ROW(Ventes_Encaissements!$B$6)+1)/((Ventes_Encaissements!$E$6:$E$3005=$B2016)*(Ventes_Encaissements!$J$6:$J$3005=$G2016)*(Ventes_Encaissements!$C$6:$C$3005&gt;=$C2016-3)*(Ventes_Encaissements!$C$6:$C$3005&lt;=$C2016+3)),1)))</f>
        <v/>
      </c>
      <c r="K2016" s="6" t="n"/>
    </row>
    <row r="2017">
      <c r="A2017" s="6" t="n"/>
      <c r="B2017" s="6" t="n"/>
      <c r="C2017" s="19" t="n"/>
      <c r="D2017" s="19" t="n"/>
      <c r="E2017" s="6" t="n"/>
      <c r="F2017" s="20" t="n"/>
      <c r="G2017" s="9">
        <f>IF($F2017="","",IF($F2017&gt;0,ROUND($F2017,2),""))</f>
        <v/>
      </c>
      <c r="H2017" s="12">
        <f>IF(OR($B2017="",$C2017="",$G2017=""),"",COUNTIFS(Ventes_Encaissements!$E$6:$E$3005,$B2017,Ventes_Encaissements!$J$6:$J$3005,$G2017,Ventes_Encaissements!$C$6:$C$3005,"&gt;="&amp;($C2017-3),Ventes_Encaissements!$C$6:$C$3005,"&lt;="&amp;($C2017+3)))</f>
        <v/>
      </c>
      <c r="I2017" s="12">
        <f>IF($H2017="","",IF($H2017=0,"Non trouvé",IF($H2017=1,"Match","À vérifier")))</f>
        <v/>
      </c>
      <c r="J2017" s="21">
        <f>IF($I2017&lt;&gt;"Match","",INDEX(Ventes_Encaissements!$B$6:$B$3005,_xludf.AGGREGATE(15,6,(ROW(Ventes_Encaissements!$B$6:$B$3005)-ROW(Ventes_Encaissements!$B$6)+1)/((Ventes_Encaissements!$E$6:$E$3005=$B2017)*(Ventes_Encaissements!$J$6:$J$3005=$G2017)*(Ventes_Encaissements!$C$6:$C$3005&gt;=$C2017-3)*(Ventes_Encaissements!$C$6:$C$3005&lt;=$C2017+3)),1)))</f>
        <v/>
      </c>
      <c r="K2017" s="6" t="n"/>
    </row>
    <row r="2018">
      <c r="A2018" s="6" t="n"/>
      <c r="B2018" s="6" t="n"/>
      <c r="C2018" s="19" t="n"/>
      <c r="D2018" s="19" t="n"/>
      <c r="E2018" s="6" t="n"/>
      <c r="F2018" s="20" t="n"/>
      <c r="G2018" s="9">
        <f>IF($F2018="","",IF($F2018&gt;0,ROUND($F2018,2),""))</f>
        <v/>
      </c>
      <c r="H2018" s="12">
        <f>IF(OR($B2018="",$C2018="",$G2018=""),"",COUNTIFS(Ventes_Encaissements!$E$6:$E$3005,$B2018,Ventes_Encaissements!$J$6:$J$3005,$G2018,Ventes_Encaissements!$C$6:$C$3005,"&gt;="&amp;($C2018-3),Ventes_Encaissements!$C$6:$C$3005,"&lt;="&amp;($C2018+3)))</f>
        <v/>
      </c>
      <c r="I2018" s="12">
        <f>IF($H2018="","",IF($H2018=0,"Non trouvé",IF($H2018=1,"Match","À vérifier")))</f>
        <v/>
      </c>
      <c r="J2018" s="21">
        <f>IF($I2018&lt;&gt;"Match","",INDEX(Ventes_Encaissements!$B$6:$B$3005,_xludf.AGGREGATE(15,6,(ROW(Ventes_Encaissements!$B$6:$B$3005)-ROW(Ventes_Encaissements!$B$6)+1)/((Ventes_Encaissements!$E$6:$E$3005=$B2018)*(Ventes_Encaissements!$J$6:$J$3005=$G2018)*(Ventes_Encaissements!$C$6:$C$3005&gt;=$C2018-3)*(Ventes_Encaissements!$C$6:$C$3005&lt;=$C2018+3)),1)))</f>
        <v/>
      </c>
      <c r="K2018" s="6" t="n"/>
    </row>
    <row r="2019">
      <c r="A2019" s="6" t="n"/>
      <c r="B2019" s="6" t="n"/>
      <c r="C2019" s="19" t="n"/>
      <c r="D2019" s="19" t="n"/>
      <c r="E2019" s="6" t="n"/>
      <c r="F2019" s="20" t="n"/>
      <c r="G2019" s="9">
        <f>IF($F2019="","",IF($F2019&gt;0,ROUND($F2019,2),""))</f>
        <v/>
      </c>
      <c r="H2019" s="12">
        <f>IF(OR($B2019="",$C2019="",$G2019=""),"",COUNTIFS(Ventes_Encaissements!$E$6:$E$3005,$B2019,Ventes_Encaissements!$J$6:$J$3005,$G2019,Ventes_Encaissements!$C$6:$C$3005,"&gt;="&amp;($C2019-3),Ventes_Encaissements!$C$6:$C$3005,"&lt;="&amp;($C2019+3)))</f>
        <v/>
      </c>
      <c r="I2019" s="12">
        <f>IF($H2019="","",IF($H2019=0,"Non trouvé",IF($H2019=1,"Match","À vérifier")))</f>
        <v/>
      </c>
      <c r="J2019" s="21">
        <f>IF($I2019&lt;&gt;"Match","",INDEX(Ventes_Encaissements!$B$6:$B$3005,_xludf.AGGREGATE(15,6,(ROW(Ventes_Encaissements!$B$6:$B$3005)-ROW(Ventes_Encaissements!$B$6)+1)/((Ventes_Encaissements!$E$6:$E$3005=$B2019)*(Ventes_Encaissements!$J$6:$J$3005=$G2019)*(Ventes_Encaissements!$C$6:$C$3005&gt;=$C2019-3)*(Ventes_Encaissements!$C$6:$C$3005&lt;=$C2019+3)),1)))</f>
        <v/>
      </c>
      <c r="K2019" s="6" t="n"/>
    </row>
    <row r="2020">
      <c r="A2020" s="6" t="n"/>
      <c r="B2020" s="6" t="n"/>
      <c r="C2020" s="19" t="n"/>
      <c r="D2020" s="19" t="n"/>
      <c r="E2020" s="6" t="n"/>
      <c r="F2020" s="20" t="n"/>
      <c r="G2020" s="9">
        <f>IF($F2020="","",IF($F2020&gt;0,ROUND($F2020,2),""))</f>
        <v/>
      </c>
      <c r="H2020" s="12">
        <f>IF(OR($B2020="",$C2020="",$G2020=""),"",COUNTIFS(Ventes_Encaissements!$E$6:$E$3005,$B2020,Ventes_Encaissements!$J$6:$J$3005,$G2020,Ventes_Encaissements!$C$6:$C$3005,"&gt;="&amp;($C2020-3),Ventes_Encaissements!$C$6:$C$3005,"&lt;="&amp;($C2020+3)))</f>
        <v/>
      </c>
      <c r="I2020" s="12">
        <f>IF($H2020="","",IF($H2020=0,"Non trouvé",IF($H2020=1,"Match","À vérifier")))</f>
        <v/>
      </c>
      <c r="J2020" s="21">
        <f>IF($I2020&lt;&gt;"Match","",INDEX(Ventes_Encaissements!$B$6:$B$3005,_xludf.AGGREGATE(15,6,(ROW(Ventes_Encaissements!$B$6:$B$3005)-ROW(Ventes_Encaissements!$B$6)+1)/((Ventes_Encaissements!$E$6:$E$3005=$B2020)*(Ventes_Encaissements!$J$6:$J$3005=$G2020)*(Ventes_Encaissements!$C$6:$C$3005&gt;=$C2020-3)*(Ventes_Encaissements!$C$6:$C$3005&lt;=$C2020+3)),1)))</f>
        <v/>
      </c>
      <c r="K2020" s="6" t="n"/>
    </row>
    <row r="2021">
      <c r="A2021" s="6" t="n"/>
      <c r="B2021" s="6" t="n"/>
      <c r="C2021" s="19" t="n"/>
      <c r="D2021" s="19" t="n"/>
      <c r="E2021" s="6" t="n"/>
      <c r="F2021" s="20" t="n"/>
      <c r="G2021" s="9">
        <f>IF($F2021="","",IF($F2021&gt;0,ROUND($F2021,2),""))</f>
        <v/>
      </c>
      <c r="H2021" s="12">
        <f>IF(OR($B2021="",$C2021="",$G2021=""),"",COUNTIFS(Ventes_Encaissements!$E$6:$E$3005,$B2021,Ventes_Encaissements!$J$6:$J$3005,$G2021,Ventes_Encaissements!$C$6:$C$3005,"&gt;="&amp;($C2021-3),Ventes_Encaissements!$C$6:$C$3005,"&lt;="&amp;($C2021+3)))</f>
        <v/>
      </c>
      <c r="I2021" s="12">
        <f>IF($H2021="","",IF($H2021=0,"Non trouvé",IF($H2021=1,"Match","À vérifier")))</f>
        <v/>
      </c>
      <c r="J2021" s="21">
        <f>IF($I2021&lt;&gt;"Match","",INDEX(Ventes_Encaissements!$B$6:$B$3005,_xludf.AGGREGATE(15,6,(ROW(Ventes_Encaissements!$B$6:$B$3005)-ROW(Ventes_Encaissements!$B$6)+1)/((Ventes_Encaissements!$E$6:$E$3005=$B2021)*(Ventes_Encaissements!$J$6:$J$3005=$G2021)*(Ventes_Encaissements!$C$6:$C$3005&gt;=$C2021-3)*(Ventes_Encaissements!$C$6:$C$3005&lt;=$C2021+3)),1)))</f>
        <v/>
      </c>
      <c r="K2021" s="6" t="n"/>
    </row>
    <row r="2022">
      <c r="A2022" s="6" t="n"/>
      <c r="B2022" s="6" t="n"/>
      <c r="C2022" s="19" t="n"/>
      <c r="D2022" s="19" t="n"/>
      <c r="E2022" s="6" t="n"/>
      <c r="F2022" s="20" t="n"/>
      <c r="G2022" s="9">
        <f>IF($F2022="","",IF($F2022&gt;0,ROUND($F2022,2),""))</f>
        <v/>
      </c>
      <c r="H2022" s="12">
        <f>IF(OR($B2022="",$C2022="",$G2022=""),"",COUNTIFS(Ventes_Encaissements!$E$6:$E$3005,$B2022,Ventes_Encaissements!$J$6:$J$3005,$G2022,Ventes_Encaissements!$C$6:$C$3005,"&gt;="&amp;($C2022-3),Ventes_Encaissements!$C$6:$C$3005,"&lt;="&amp;($C2022+3)))</f>
        <v/>
      </c>
      <c r="I2022" s="12">
        <f>IF($H2022="","",IF($H2022=0,"Non trouvé",IF($H2022=1,"Match","À vérifier")))</f>
        <v/>
      </c>
      <c r="J2022" s="21">
        <f>IF($I2022&lt;&gt;"Match","",INDEX(Ventes_Encaissements!$B$6:$B$3005,_xludf.AGGREGATE(15,6,(ROW(Ventes_Encaissements!$B$6:$B$3005)-ROW(Ventes_Encaissements!$B$6)+1)/((Ventes_Encaissements!$E$6:$E$3005=$B2022)*(Ventes_Encaissements!$J$6:$J$3005=$G2022)*(Ventes_Encaissements!$C$6:$C$3005&gt;=$C2022-3)*(Ventes_Encaissements!$C$6:$C$3005&lt;=$C2022+3)),1)))</f>
        <v/>
      </c>
      <c r="K2022" s="6" t="n"/>
    </row>
    <row r="2023">
      <c r="A2023" s="6" t="n"/>
      <c r="B2023" s="6" t="n"/>
      <c r="C2023" s="19" t="n"/>
      <c r="D2023" s="19" t="n"/>
      <c r="E2023" s="6" t="n"/>
      <c r="F2023" s="20" t="n"/>
      <c r="G2023" s="9">
        <f>IF($F2023="","",IF($F2023&gt;0,ROUND($F2023,2),""))</f>
        <v/>
      </c>
      <c r="H2023" s="12">
        <f>IF(OR($B2023="",$C2023="",$G2023=""),"",COUNTIFS(Ventes_Encaissements!$E$6:$E$3005,$B2023,Ventes_Encaissements!$J$6:$J$3005,$G2023,Ventes_Encaissements!$C$6:$C$3005,"&gt;="&amp;($C2023-3),Ventes_Encaissements!$C$6:$C$3005,"&lt;="&amp;($C2023+3)))</f>
        <v/>
      </c>
      <c r="I2023" s="12">
        <f>IF($H2023="","",IF($H2023=0,"Non trouvé",IF($H2023=1,"Match","À vérifier")))</f>
        <v/>
      </c>
      <c r="J2023" s="21">
        <f>IF($I2023&lt;&gt;"Match","",INDEX(Ventes_Encaissements!$B$6:$B$3005,_xludf.AGGREGATE(15,6,(ROW(Ventes_Encaissements!$B$6:$B$3005)-ROW(Ventes_Encaissements!$B$6)+1)/((Ventes_Encaissements!$E$6:$E$3005=$B2023)*(Ventes_Encaissements!$J$6:$J$3005=$G2023)*(Ventes_Encaissements!$C$6:$C$3005&gt;=$C2023-3)*(Ventes_Encaissements!$C$6:$C$3005&lt;=$C2023+3)),1)))</f>
        <v/>
      </c>
      <c r="K2023" s="6" t="n"/>
    </row>
    <row r="2024">
      <c r="A2024" s="6" t="n"/>
      <c r="B2024" s="6" t="n"/>
      <c r="C2024" s="19" t="n"/>
      <c r="D2024" s="19" t="n"/>
      <c r="E2024" s="6" t="n"/>
      <c r="F2024" s="20" t="n"/>
      <c r="G2024" s="9">
        <f>IF($F2024="","",IF($F2024&gt;0,ROUND($F2024,2),""))</f>
        <v/>
      </c>
      <c r="H2024" s="12">
        <f>IF(OR($B2024="",$C2024="",$G2024=""),"",COUNTIFS(Ventes_Encaissements!$E$6:$E$3005,$B2024,Ventes_Encaissements!$J$6:$J$3005,$G2024,Ventes_Encaissements!$C$6:$C$3005,"&gt;="&amp;($C2024-3),Ventes_Encaissements!$C$6:$C$3005,"&lt;="&amp;($C2024+3)))</f>
        <v/>
      </c>
      <c r="I2024" s="12">
        <f>IF($H2024="","",IF($H2024=0,"Non trouvé",IF($H2024=1,"Match","À vérifier")))</f>
        <v/>
      </c>
      <c r="J2024" s="21">
        <f>IF($I2024&lt;&gt;"Match","",INDEX(Ventes_Encaissements!$B$6:$B$3005,_xludf.AGGREGATE(15,6,(ROW(Ventes_Encaissements!$B$6:$B$3005)-ROW(Ventes_Encaissements!$B$6)+1)/((Ventes_Encaissements!$E$6:$E$3005=$B2024)*(Ventes_Encaissements!$J$6:$J$3005=$G2024)*(Ventes_Encaissements!$C$6:$C$3005&gt;=$C2024-3)*(Ventes_Encaissements!$C$6:$C$3005&lt;=$C2024+3)),1)))</f>
        <v/>
      </c>
      <c r="K2024" s="6" t="n"/>
    </row>
    <row r="2025">
      <c r="A2025" s="6" t="n"/>
      <c r="B2025" s="6" t="n"/>
      <c r="C2025" s="19" t="n"/>
      <c r="D2025" s="19" t="n"/>
      <c r="E2025" s="6" t="n"/>
      <c r="F2025" s="20" t="n"/>
      <c r="G2025" s="9">
        <f>IF($F2025="","",IF($F2025&gt;0,ROUND($F2025,2),""))</f>
        <v/>
      </c>
      <c r="H2025" s="12">
        <f>IF(OR($B2025="",$C2025="",$G2025=""),"",COUNTIFS(Ventes_Encaissements!$E$6:$E$3005,$B2025,Ventes_Encaissements!$J$6:$J$3005,$G2025,Ventes_Encaissements!$C$6:$C$3005,"&gt;="&amp;($C2025-3),Ventes_Encaissements!$C$6:$C$3005,"&lt;="&amp;($C2025+3)))</f>
        <v/>
      </c>
      <c r="I2025" s="12">
        <f>IF($H2025="","",IF($H2025=0,"Non trouvé",IF($H2025=1,"Match","À vérifier")))</f>
        <v/>
      </c>
      <c r="J2025" s="21">
        <f>IF($I2025&lt;&gt;"Match","",INDEX(Ventes_Encaissements!$B$6:$B$3005,_xludf.AGGREGATE(15,6,(ROW(Ventes_Encaissements!$B$6:$B$3005)-ROW(Ventes_Encaissements!$B$6)+1)/((Ventes_Encaissements!$E$6:$E$3005=$B2025)*(Ventes_Encaissements!$J$6:$J$3005=$G2025)*(Ventes_Encaissements!$C$6:$C$3005&gt;=$C2025-3)*(Ventes_Encaissements!$C$6:$C$3005&lt;=$C2025+3)),1)))</f>
        <v/>
      </c>
      <c r="K2025" s="6" t="n"/>
    </row>
    <row r="2026">
      <c r="A2026" s="6" t="n"/>
      <c r="B2026" s="6" t="n"/>
      <c r="C2026" s="19" t="n"/>
      <c r="D2026" s="19" t="n"/>
      <c r="E2026" s="6" t="n"/>
      <c r="F2026" s="20" t="n"/>
      <c r="G2026" s="9">
        <f>IF($F2026="","",IF($F2026&gt;0,ROUND($F2026,2),""))</f>
        <v/>
      </c>
      <c r="H2026" s="12">
        <f>IF(OR($B2026="",$C2026="",$G2026=""),"",COUNTIFS(Ventes_Encaissements!$E$6:$E$3005,$B2026,Ventes_Encaissements!$J$6:$J$3005,$G2026,Ventes_Encaissements!$C$6:$C$3005,"&gt;="&amp;($C2026-3),Ventes_Encaissements!$C$6:$C$3005,"&lt;="&amp;($C2026+3)))</f>
        <v/>
      </c>
      <c r="I2026" s="12">
        <f>IF($H2026="","",IF($H2026=0,"Non trouvé",IF($H2026=1,"Match","À vérifier")))</f>
        <v/>
      </c>
      <c r="J2026" s="21">
        <f>IF($I2026&lt;&gt;"Match","",INDEX(Ventes_Encaissements!$B$6:$B$3005,_xludf.AGGREGATE(15,6,(ROW(Ventes_Encaissements!$B$6:$B$3005)-ROW(Ventes_Encaissements!$B$6)+1)/((Ventes_Encaissements!$E$6:$E$3005=$B2026)*(Ventes_Encaissements!$J$6:$J$3005=$G2026)*(Ventes_Encaissements!$C$6:$C$3005&gt;=$C2026-3)*(Ventes_Encaissements!$C$6:$C$3005&lt;=$C2026+3)),1)))</f>
        <v/>
      </c>
      <c r="K2026" s="6" t="n"/>
    </row>
    <row r="2027">
      <c r="A2027" s="6" t="n"/>
      <c r="B2027" s="6" t="n"/>
      <c r="C2027" s="19" t="n"/>
      <c r="D2027" s="19" t="n"/>
      <c r="E2027" s="6" t="n"/>
      <c r="F2027" s="20" t="n"/>
      <c r="G2027" s="9">
        <f>IF($F2027="","",IF($F2027&gt;0,ROUND($F2027,2),""))</f>
        <v/>
      </c>
      <c r="H2027" s="12">
        <f>IF(OR($B2027="",$C2027="",$G2027=""),"",COUNTIFS(Ventes_Encaissements!$E$6:$E$3005,$B2027,Ventes_Encaissements!$J$6:$J$3005,$G2027,Ventes_Encaissements!$C$6:$C$3005,"&gt;="&amp;($C2027-3),Ventes_Encaissements!$C$6:$C$3005,"&lt;="&amp;($C2027+3)))</f>
        <v/>
      </c>
      <c r="I2027" s="12">
        <f>IF($H2027="","",IF($H2027=0,"Non trouvé",IF($H2027=1,"Match","À vérifier")))</f>
        <v/>
      </c>
      <c r="J2027" s="21">
        <f>IF($I2027&lt;&gt;"Match","",INDEX(Ventes_Encaissements!$B$6:$B$3005,_xludf.AGGREGATE(15,6,(ROW(Ventes_Encaissements!$B$6:$B$3005)-ROW(Ventes_Encaissements!$B$6)+1)/((Ventes_Encaissements!$E$6:$E$3005=$B2027)*(Ventes_Encaissements!$J$6:$J$3005=$G2027)*(Ventes_Encaissements!$C$6:$C$3005&gt;=$C2027-3)*(Ventes_Encaissements!$C$6:$C$3005&lt;=$C2027+3)),1)))</f>
        <v/>
      </c>
      <c r="K2027" s="6" t="n"/>
    </row>
    <row r="2028">
      <c r="A2028" s="6" t="n"/>
      <c r="B2028" s="6" t="n"/>
      <c r="C2028" s="19" t="n"/>
      <c r="D2028" s="19" t="n"/>
      <c r="E2028" s="6" t="n"/>
      <c r="F2028" s="20" t="n"/>
      <c r="G2028" s="9">
        <f>IF($F2028="","",IF($F2028&gt;0,ROUND($F2028,2),""))</f>
        <v/>
      </c>
      <c r="H2028" s="12">
        <f>IF(OR($B2028="",$C2028="",$G2028=""),"",COUNTIFS(Ventes_Encaissements!$E$6:$E$3005,$B2028,Ventes_Encaissements!$J$6:$J$3005,$G2028,Ventes_Encaissements!$C$6:$C$3005,"&gt;="&amp;($C2028-3),Ventes_Encaissements!$C$6:$C$3005,"&lt;="&amp;($C2028+3)))</f>
        <v/>
      </c>
      <c r="I2028" s="12">
        <f>IF($H2028="","",IF($H2028=0,"Non trouvé",IF($H2028=1,"Match","À vérifier")))</f>
        <v/>
      </c>
      <c r="J2028" s="21">
        <f>IF($I2028&lt;&gt;"Match","",INDEX(Ventes_Encaissements!$B$6:$B$3005,_xludf.AGGREGATE(15,6,(ROW(Ventes_Encaissements!$B$6:$B$3005)-ROW(Ventes_Encaissements!$B$6)+1)/((Ventes_Encaissements!$E$6:$E$3005=$B2028)*(Ventes_Encaissements!$J$6:$J$3005=$G2028)*(Ventes_Encaissements!$C$6:$C$3005&gt;=$C2028-3)*(Ventes_Encaissements!$C$6:$C$3005&lt;=$C2028+3)),1)))</f>
        <v/>
      </c>
      <c r="K2028" s="6" t="n"/>
    </row>
    <row r="2029">
      <c r="A2029" s="6" t="n"/>
      <c r="B2029" s="6" t="n"/>
      <c r="C2029" s="19" t="n"/>
      <c r="D2029" s="19" t="n"/>
      <c r="E2029" s="6" t="n"/>
      <c r="F2029" s="20" t="n"/>
      <c r="G2029" s="9">
        <f>IF($F2029="","",IF($F2029&gt;0,ROUND($F2029,2),""))</f>
        <v/>
      </c>
      <c r="H2029" s="12">
        <f>IF(OR($B2029="",$C2029="",$G2029=""),"",COUNTIFS(Ventes_Encaissements!$E$6:$E$3005,$B2029,Ventes_Encaissements!$J$6:$J$3005,$G2029,Ventes_Encaissements!$C$6:$C$3005,"&gt;="&amp;($C2029-3),Ventes_Encaissements!$C$6:$C$3005,"&lt;="&amp;($C2029+3)))</f>
        <v/>
      </c>
      <c r="I2029" s="12">
        <f>IF($H2029="","",IF($H2029=0,"Non trouvé",IF($H2029=1,"Match","À vérifier")))</f>
        <v/>
      </c>
      <c r="J2029" s="21">
        <f>IF($I2029&lt;&gt;"Match","",INDEX(Ventes_Encaissements!$B$6:$B$3005,_xludf.AGGREGATE(15,6,(ROW(Ventes_Encaissements!$B$6:$B$3005)-ROW(Ventes_Encaissements!$B$6)+1)/((Ventes_Encaissements!$E$6:$E$3005=$B2029)*(Ventes_Encaissements!$J$6:$J$3005=$G2029)*(Ventes_Encaissements!$C$6:$C$3005&gt;=$C2029-3)*(Ventes_Encaissements!$C$6:$C$3005&lt;=$C2029+3)),1)))</f>
        <v/>
      </c>
      <c r="K2029" s="6" t="n"/>
    </row>
    <row r="2030">
      <c r="A2030" s="6" t="n"/>
      <c r="B2030" s="6" t="n"/>
      <c r="C2030" s="19" t="n"/>
      <c r="D2030" s="19" t="n"/>
      <c r="E2030" s="6" t="n"/>
      <c r="F2030" s="20" t="n"/>
      <c r="G2030" s="9">
        <f>IF($F2030="","",IF($F2030&gt;0,ROUND($F2030,2),""))</f>
        <v/>
      </c>
      <c r="H2030" s="12">
        <f>IF(OR($B2030="",$C2030="",$G2030=""),"",COUNTIFS(Ventes_Encaissements!$E$6:$E$3005,$B2030,Ventes_Encaissements!$J$6:$J$3005,$G2030,Ventes_Encaissements!$C$6:$C$3005,"&gt;="&amp;($C2030-3),Ventes_Encaissements!$C$6:$C$3005,"&lt;="&amp;($C2030+3)))</f>
        <v/>
      </c>
      <c r="I2030" s="12">
        <f>IF($H2030="","",IF($H2030=0,"Non trouvé",IF($H2030=1,"Match","À vérifier")))</f>
        <v/>
      </c>
      <c r="J2030" s="21">
        <f>IF($I2030&lt;&gt;"Match","",INDEX(Ventes_Encaissements!$B$6:$B$3005,_xludf.AGGREGATE(15,6,(ROW(Ventes_Encaissements!$B$6:$B$3005)-ROW(Ventes_Encaissements!$B$6)+1)/((Ventes_Encaissements!$E$6:$E$3005=$B2030)*(Ventes_Encaissements!$J$6:$J$3005=$G2030)*(Ventes_Encaissements!$C$6:$C$3005&gt;=$C2030-3)*(Ventes_Encaissements!$C$6:$C$3005&lt;=$C2030+3)),1)))</f>
        <v/>
      </c>
      <c r="K2030" s="6" t="n"/>
    </row>
    <row r="2031">
      <c r="A2031" s="6" t="n"/>
      <c r="B2031" s="6" t="n"/>
      <c r="C2031" s="19" t="n"/>
      <c r="D2031" s="19" t="n"/>
      <c r="E2031" s="6" t="n"/>
      <c r="F2031" s="20" t="n"/>
      <c r="G2031" s="9">
        <f>IF($F2031="","",IF($F2031&gt;0,ROUND($F2031,2),""))</f>
        <v/>
      </c>
      <c r="H2031" s="12">
        <f>IF(OR($B2031="",$C2031="",$G2031=""),"",COUNTIFS(Ventes_Encaissements!$E$6:$E$3005,$B2031,Ventes_Encaissements!$J$6:$J$3005,$G2031,Ventes_Encaissements!$C$6:$C$3005,"&gt;="&amp;($C2031-3),Ventes_Encaissements!$C$6:$C$3005,"&lt;="&amp;($C2031+3)))</f>
        <v/>
      </c>
      <c r="I2031" s="12">
        <f>IF($H2031="","",IF($H2031=0,"Non trouvé",IF($H2031=1,"Match","À vérifier")))</f>
        <v/>
      </c>
      <c r="J2031" s="21">
        <f>IF($I2031&lt;&gt;"Match","",INDEX(Ventes_Encaissements!$B$6:$B$3005,_xludf.AGGREGATE(15,6,(ROW(Ventes_Encaissements!$B$6:$B$3005)-ROW(Ventes_Encaissements!$B$6)+1)/((Ventes_Encaissements!$E$6:$E$3005=$B2031)*(Ventes_Encaissements!$J$6:$J$3005=$G2031)*(Ventes_Encaissements!$C$6:$C$3005&gt;=$C2031-3)*(Ventes_Encaissements!$C$6:$C$3005&lt;=$C2031+3)),1)))</f>
        <v/>
      </c>
      <c r="K2031" s="6" t="n"/>
    </row>
    <row r="2032">
      <c r="A2032" s="6" t="n"/>
      <c r="B2032" s="6" t="n"/>
      <c r="C2032" s="19" t="n"/>
      <c r="D2032" s="19" t="n"/>
      <c r="E2032" s="6" t="n"/>
      <c r="F2032" s="20" t="n"/>
      <c r="G2032" s="9">
        <f>IF($F2032="","",IF($F2032&gt;0,ROUND($F2032,2),""))</f>
        <v/>
      </c>
      <c r="H2032" s="12">
        <f>IF(OR($B2032="",$C2032="",$G2032=""),"",COUNTIFS(Ventes_Encaissements!$E$6:$E$3005,$B2032,Ventes_Encaissements!$J$6:$J$3005,$G2032,Ventes_Encaissements!$C$6:$C$3005,"&gt;="&amp;($C2032-3),Ventes_Encaissements!$C$6:$C$3005,"&lt;="&amp;($C2032+3)))</f>
        <v/>
      </c>
      <c r="I2032" s="12">
        <f>IF($H2032="","",IF($H2032=0,"Non trouvé",IF($H2032=1,"Match","À vérifier")))</f>
        <v/>
      </c>
      <c r="J2032" s="21">
        <f>IF($I2032&lt;&gt;"Match","",INDEX(Ventes_Encaissements!$B$6:$B$3005,_xludf.AGGREGATE(15,6,(ROW(Ventes_Encaissements!$B$6:$B$3005)-ROW(Ventes_Encaissements!$B$6)+1)/((Ventes_Encaissements!$E$6:$E$3005=$B2032)*(Ventes_Encaissements!$J$6:$J$3005=$G2032)*(Ventes_Encaissements!$C$6:$C$3005&gt;=$C2032-3)*(Ventes_Encaissements!$C$6:$C$3005&lt;=$C2032+3)),1)))</f>
        <v/>
      </c>
      <c r="K2032" s="6" t="n"/>
    </row>
    <row r="2033">
      <c r="A2033" s="6" t="n"/>
      <c r="B2033" s="6" t="n"/>
      <c r="C2033" s="19" t="n"/>
      <c r="D2033" s="19" t="n"/>
      <c r="E2033" s="6" t="n"/>
      <c r="F2033" s="20" t="n"/>
      <c r="G2033" s="9">
        <f>IF($F2033="","",IF($F2033&gt;0,ROUND($F2033,2),""))</f>
        <v/>
      </c>
      <c r="H2033" s="12">
        <f>IF(OR($B2033="",$C2033="",$G2033=""),"",COUNTIFS(Ventes_Encaissements!$E$6:$E$3005,$B2033,Ventes_Encaissements!$J$6:$J$3005,$G2033,Ventes_Encaissements!$C$6:$C$3005,"&gt;="&amp;($C2033-3),Ventes_Encaissements!$C$6:$C$3005,"&lt;="&amp;($C2033+3)))</f>
        <v/>
      </c>
      <c r="I2033" s="12">
        <f>IF($H2033="","",IF($H2033=0,"Non trouvé",IF($H2033=1,"Match","À vérifier")))</f>
        <v/>
      </c>
      <c r="J2033" s="21">
        <f>IF($I2033&lt;&gt;"Match","",INDEX(Ventes_Encaissements!$B$6:$B$3005,_xludf.AGGREGATE(15,6,(ROW(Ventes_Encaissements!$B$6:$B$3005)-ROW(Ventes_Encaissements!$B$6)+1)/((Ventes_Encaissements!$E$6:$E$3005=$B2033)*(Ventes_Encaissements!$J$6:$J$3005=$G2033)*(Ventes_Encaissements!$C$6:$C$3005&gt;=$C2033-3)*(Ventes_Encaissements!$C$6:$C$3005&lt;=$C2033+3)),1)))</f>
        <v/>
      </c>
      <c r="K2033" s="6" t="n"/>
    </row>
    <row r="2034">
      <c r="A2034" s="6" t="n"/>
      <c r="B2034" s="6" t="n"/>
      <c r="C2034" s="19" t="n"/>
      <c r="D2034" s="19" t="n"/>
      <c r="E2034" s="6" t="n"/>
      <c r="F2034" s="20" t="n"/>
      <c r="G2034" s="9">
        <f>IF($F2034="","",IF($F2034&gt;0,ROUND($F2034,2),""))</f>
        <v/>
      </c>
      <c r="H2034" s="12">
        <f>IF(OR($B2034="",$C2034="",$G2034=""),"",COUNTIFS(Ventes_Encaissements!$E$6:$E$3005,$B2034,Ventes_Encaissements!$J$6:$J$3005,$G2034,Ventes_Encaissements!$C$6:$C$3005,"&gt;="&amp;($C2034-3),Ventes_Encaissements!$C$6:$C$3005,"&lt;="&amp;($C2034+3)))</f>
        <v/>
      </c>
      <c r="I2034" s="12">
        <f>IF($H2034="","",IF($H2034=0,"Non trouvé",IF($H2034=1,"Match","À vérifier")))</f>
        <v/>
      </c>
      <c r="J2034" s="21">
        <f>IF($I2034&lt;&gt;"Match","",INDEX(Ventes_Encaissements!$B$6:$B$3005,_xludf.AGGREGATE(15,6,(ROW(Ventes_Encaissements!$B$6:$B$3005)-ROW(Ventes_Encaissements!$B$6)+1)/((Ventes_Encaissements!$E$6:$E$3005=$B2034)*(Ventes_Encaissements!$J$6:$J$3005=$G2034)*(Ventes_Encaissements!$C$6:$C$3005&gt;=$C2034-3)*(Ventes_Encaissements!$C$6:$C$3005&lt;=$C2034+3)),1)))</f>
        <v/>
      </c>
      <c r="K2034" s="6" t="n"/>
    </row>
    <row r="2035">
      <c r="A2035" s="6" t="n"/>
      <c r="B2035" s="6" t="n"/>
      <c r="C2035" s="19" t="n"/>
      <c r="D2035" s="19" t="n"/>
      <c r="E2035" s="6" t="n"/>
      <c r="F2035" s="20" t="n"/>
      <c r="G2035" s="9">
        <f>IF($F2035="","",IF($F2035&gt;0,ROUND($F2035,2),""))</f>
        <v/>
      </c>
      <c r="H2035" s="12">
        <f>IF(OR($B2035="",$C2035="",$G2035=""),"",COUNTIFS(Ventes_Encaissements!$E$6:$E$3005,$B2035,Ventes_Encaissements!$J$6:$J$3005,$G2035,Ventes_Encaissements!$C$6:$C$3005,"&gt;="&amp;($C2035-3),Ventes_Encaissements!$C$6:$C$3005,"&lt;="&amp;($C2035+3)))</f>
        <v/>
      </c>
      <c r="I2035" s="12">
        <f>IF($H2035="","",IF($H2035=0,"Non trouvé",IF($H2035=1,"Match","À vérifier")))</f>
        <v/>
      </c>
      <c r="J2035" s="21">
        <f>IF($I2035&lt;&gt;"Match","",INDEX(Ventes_Encaissements!$B$6:$B$3005,_xludf.AGGREGATE(15,6,(ROW(Ventes_Encaissements!$B$6:$B$3005)-ROW(Ventes_Encaissements!$B$6)+1)/((Ventes_Encaissements!$E$6:$E$3005=$B2035)*(Ventes_Encaissements!$J$6:$J$3005=$G2035)*(Ventes_Encaissements!$C$6:$C$3005&gt;=$C2035-3)*(Ventes_Encaissements!$C$6:$C$3005&lt;=$C2035+3)),1)))</f>
        <v/>
      </c>
      <c r="K2035" s="6" t="n"/>
    </row>
    <row r="2036">
      <c r="A2036" s="6" t="n"/>
      <c r="B2036" s="6" t="n"/>
      <c r="C2036" s="19" t="n"/>
      <c r="D2036" s="19" t="n"/>
      <c r="E2036" s="6" t="n"/>
      <c r="F2036" s="20" t="n"/>
      <c r="G2036" s="9">
        <f>IF($F2036="","",IF($F2036&gt;0,ROUND($F2036,2),""))</f>
        <v/>
      </c>
      <c r="H2036" s="12">
        <f>IF(OR($B2036="",$C2036="",$G2036=""),"",COUNTIFS(Ventes_Encaissements!$E$6:$E$3005,$B2036,Ventes_Encaissements!$J$6:$J$3005,$G2036,Ventes_Encaissements!$C$6:$C$3005,"&gt;="&amp;($C2036-3),Ventes_Encaissements!$C$6:$C$3005,"&lt;="&amp;($C2036+3)))</f>
        <v/>
      </c>
      <c r="I2036" s="12">
        <f>IF($H2036="","",IF($H2036=0,"Non trouvé",IF($H2036=1,"Match","À vérifier")))</f>
        <v/>
      </c>
      <c r="J2036" s="21">
        <f>IF($I2036&lt;&gt;"Match","",INDEX(Ventes_Encaissements!$B$6:$B$3005,_xludf.AGGREGATE(15,6,(ROW(Ventes_Encaissements!$B$6:$B$3005)-ROW(Ventes_Encaissements!$B$6)+1)/((Ventes_Encaissements!$E$6:$E$3005=$B2036)*(Ventes_Encaissements!$J$6:$J$3005=$G2036)*(Ventes_Encaissements!$C$6:$C$3005&gt;=$C2036-3)*(Ventes_Encaissements!$C$6:$C$3005&lt;=$C2036+3)),1)))</f>
        <v/>
      </c>
      <c r="K2036" s="6" t="n"/>
    </row>
    <row r="2037">
      <c r="A2037" s="6" t="n"/>
      <c r="B2037" s="6" t="n"/>
      <c r="C2037" s="19" t="n"/>
      <c r="D2037" s="19" t="n"/>
      <c r="E2037" s="6" t="n"/>
      <c r="F2037" s="20" t="n"/>
      <c r="G2037" s="9">
        <f>IF($F2037="","",IF($F2037&gt;0,ROUND($F2037,2),""))</f>
        <v/>
      </c>
      <c r="H2037" s="12">
        <f>IF(OR($B2037="",$C2037="",$G2037=""),"",COUNTIFS(Ventes_Encaissements!$E$6:$E$3005,$B2037,Ventes_Encaissements!$J$6:$J$3005,$G2037,Ventes_Encaissements!$C$6:$C$3005,"&gt;="&amp;($C2037-3),Ventes_Encaissements!$C$6:$C$3005,"&lt;="&amp;($C2037+3)))</f>
        <v/>
      </c>
      <c r="I2037" s="12">
        <f>IF($H2037="","",IF($H2037=0,"Non trouvé",IF($H2037=1,"Match","À vérifier")))</f>
        <v/>
      </c>
      <c r="J2037" s="21">
        <f>IF($I2037&lt;&gt;"Match","",INDEX(Ventes_Encaissements!$B$6:$B$3005,_xludf.AGGREGATE(15,6,(ROW(Ventes_Encaissements!$B$6:$B$3005)-ROW(Ventes_Encaissements!$B$6)+1)/((Ventes_Encaissements!$E$6:$E$3005=$B2037)*(Ventes_Encaissements!$J$6:$J$3005=$G2037)*(Ventes_Encaissements!$C$6:$C$3005&gt;=$C2037-3)*(Ventes_Encaissements!$C$6:$C$3005&lt;=$C2037+3)),1)))</f>
        <v/>
      </c>
      <c r="K2037" s="6" t="n"/>
    </row>
    <row r="2038">
      <c r="A2038" s="6" t="n"/>
      <c r="B2038" s="6" t="n"/>
      <c r="C2038" s="19" t="n"/>
      <c r="D2038" s="19" t="n"/>
      <c r="E2038" s="6" t="n"/>
      <c r="F2038" s="20" t="n"/>
      <c r="G2038" s="9">
        <f>IF($F2038="","",IF($F2038&gt;0,ROUND($F2038,2),""))</f>
        <v/>
      </c>
      <c r="H2038" s="12">
        <f>IF(OR($B2038="",$C2038="",$G2038=""),"",COUNTIFS(Ventes_Encaissements!$E$6:$E$3005,$B2038,Ventes_Encaissements!$J$6:$J$3005,$G2038,Ventes_Encaissements!$C$6:$C$3005,"&gt;="&amp;($C2038-3),Ventes_Encaissements!$C$6:$C$3005,"&lt;="&amp;($C2038+3)))</f>
        <v/>
      </c>
      <c r="I2038" s="12">
        <f>IF($H2038="","",IF($H2038=0,"Non trouvé",IF($H2038=1,"Match","À vérifier")))</f>
        <v/>
      </c>
      <c r="J2038" s="21">
        <f>IF($I2038&lt;&gt;"Match","",INDEX(Ventes_Encaissements!$B$6:$B$3005,_xludf.AGGREGATE(15,6,(ROW(Ventes_Encaissements!$B$6:$B$3005)-ROW(Ventes_Encaissements!$B$6)+1)/((Ventes_Encaissements!$E$6:$E$3005=$B2038)*(Ventes_Encaissements!$J$6:$J$3005=$G2038)*(Ventes_Encaissements!$C$6:$C$3005&gt;=$C2038-3)*(Ventes_Encaissements!$C$6:$C$3005&lt;=$C2038+3)),1)))</f>
        <v/>
      </c>
      <c r="K2038" s="6" t="n"/>
    </row>
    <row r="2039">
      <c r="A2039" s="6" t="n"/>
      <c r="B2039" s="6" t="n"/>
      <c r="C2039" s="19" t="n"/>
      <c r="D2039" s="19" t="n"/>
      <c r="E2039" s="6" t="n"/>
      <c r="F2039" s="20" t="n"/>
      <c r="G2039" s="9">
        <f>IF($F2039="","",IF($F2039&gt;0,ROUND($F2039,2),""))</f>
        <v/>
      </c>
      <c r="H2039" s="12">
        <f>IF(OR($B2039="",$C2039="",$G2039=""),"",COUNTIFS(Ventes_Encaissements!$E$6:$E$3005,$B2039,Ventes_Encaissements!$J$6:$J$3005,$G2039,Ventes_Encaissements!$C$6:$C$3005,"&gt;="&amp;($C2039-3),Ventes_Encaissements!$C$6:$C$3005,"&lt;="&amp;($C2039+3)))</f>
        <v/>
      </c>
      <c r="I2039" s="12">
        <f>IF($H2039="","",IF($H2039=0,"Non trouvé",IF($H2039=1,"Match","À vérifier")))</f>
        <v/>
      </c>
      <c r="J2039" s="21">
        <f>IF($I2039&lt;&gt;"Match","",INDEX(Ventes_Encaissements!$B$6:$B$3005,_xludf.AGGREGATE(15,6,(ROW(Ventes_Encaissements!$B$6:$B$3005)-ROW(Ventes_Encaissements!$B$6)+1)/((Ventes_Encaissements!$E$6:$E$3005=$B2039)*(Ventes_Encaissements!$J$6:$J$3005=$G2039)*(Ventes_Encaissements!$C$6:$C$3005&gt;=$C2039-3)*(Ventes_Encaissements!$C$6:$C$3005&lt;=$C2039+3)),1)))</f>
        <v/>
      </c>
      <c r="K2039" s="6" t="n"/>
    </row>
    <row r="2040">
      <c r="A2040" s="6" t="n"/>
      <c r="B2040" s="6" t="n"/>
      <c r="C2040" s="19" t="n"/>
      <c r="D2040" s="19" t="n"/>
      <c r="E2040" s="6" t="n"/>
      <c r="F2040" s="20" t="n"/>
      <c r="G2040" s="9">
        <f>IF($F2040="","",IF($F2040&gt;0,ROUND($F2040,2),""))</f>
        <v/>
      </c>
      <c r="H2040" s="12">
        <f>IF(OR($B2040="",$C2040="",$G2040=""),"",COUNTIFS(Ventes_Encaissements!$E$6:$E$3005,$B2040,Ventes_Encaissements!$J$6:$J$3005,$G2040,Ventes_Encaissements!$C$6:$C$3005,"&gt;="&amp;($C2040-3),Ventes_Encaissements!$C$6:$C$3005,"&lt;="&amp;($C2040+3)))</f>
        <v/>
      </c>
      <c r="I2040" s="12">
        <f>IF($H2040="","",IF($H2040=0,"Non trouvé",IF($H2040=1,"Match","À vérifier")))</f>
        <v/>
      </c>
      <c r="J2040" s="21">
        <f>IF($I2040&lt;&gt;"Match","",INDEX(Ventes_Encaissements!$B$6:$B$3005,_xludf.AGGREGATE(15,6,(ROW(Ventes_Encaissements!$B$6:$B$3005)-ROW(Ventes_Encaissements!$B$6)+1)/((Ventes_Encaissements!$E$6:$E$3005=$B2040)*(Ventes_Encaissements!$J$6:$J$3005=$G2040)*(Ventes_Encaissements!$C$6:$C$3005&gt;=$C2040-3)*(Ventes_Encaissements!$C$6:$C$3005&lt;=$C2040+3)),1)))</f>
        <v/>
      </c>
      <c r="K2040" s="6" t="n"/>
    </row>
    <row r="2041">
      <c r="A2041" s="6" t="n"/>
      <c r="B2041" s="6" t="n"/>
      <c r="C2041" s="19" t="n"/>
      <c r="D2041" s="19" t="n"/>
      <c r="E2041" s="6" t="n"/>
      <c r="F2041" s="20" t="n"/>
      <c r="G2041" s="9">
        <f>IF($F2041="","",IF($F2041&gt;0,ROUND($F2041,2),""))</f>
        <v/>
      </c>
      <c r="H2041" s="12">
        <f>IF(OR($B2041="",$C2041="",$G2041=""),"",COUNTIFS(Ventes_Encaissements!$E$6:$E$3005,$B2041,Ventes_Encaissements!$J$6:$J$3005,$G2041,Ventes_Encaissements!$C$6:$C$3005,"&gt;="&amp;($C2041-3),Ventes_Encaissements!$C$6:$C$3005,"&lt;="&amp;($C2041+3)))</f>
        <v/>
      </c>
      <c r="I2041" s="12">
        <f>IF($H2041="","",IF($H2041=0,"Non trouvé",IF($H2041=1,"Match","À vérifier")))</f>
        <v/>
      </c>
      <c r="J2041" s="21">
        <f>IF($I2041&lt;&gt;"Match","",INDEX(Ventes_Encaissements!$B$6:$B$3005,_xludf.AGGREGATE(15,6,(ROW(Ventes_Encaissements!$B$6:$B$3005)-ROW(Ventes_Encaissements!$B$6)+1)/((Ventes_Encaissements!$E$6:$E$3005=$B2041)*(Ventes_Encaissements!$J$6:$J$3005=$G2041)*(Ventes_Encaissements!$C$6:$C$3005&gt;=$C2041-3)*(Ventes_Encaissements!$C$6:$C$3005&lt;=$C2041+3)),1)))</f>
        <v/>
      </c>
      <c r="K2041" s="6" t="n"/>
    </row>
    <row r="2042">
      <c r="A2042" s="6" t="n"/>
      <c r="B2042" s="6" t="n"/>
      <c r="C2042" s="19" t="n"/>
      <c r="D2042" s="19" t="n"/>
      <c r="E2042" s="6" t="n"/>
      <c r="F2042" s="20" t="n"/>
      <c r="G2042" s="9">
        <f>IF($F2042="","",IF($F2042&gt;0,ROUND($F2042,2),""))</f>
        <v/>
      </c>
      <c r="H2042" s="12">
        <f>IF(OR($B2042="",$C2042="",$G2042=""),"",COUNTIFS(Ventes_Encaissements!$E$6:$E$3005,$B2042,Ventes_Encaissements!$J$6:$J$3005,$G2042,Ventes_Encaissements!$C$6:$C$3005,"&gt;="&amp;($C2042-3),Ventes_Encaissements!$C$6:$C$3005,"&lt;="&amp;($C2042+3)))</f>
        <v/>
      </c>
      <c r="I2042" s="12">
        <f>IF($H2042="","",IF($H2042=0,"Non trouvé",IF($H2042=1,"Match","À vérifier")))</f>
        <v/>
      </c>
      <c r="J2042" s="21">
        <f>IF($I2042&lt;&gt;"Match","",INDEX(Ventes_Encaissements!$B$6:$B$3005,_xludf.AGGREGATE(15,6,(ROW(Ventes_Encaissements!$B$6:$B$3005)-ROW(Ventes_Encaissements!$B$6)+1)/((Ventes_Encaissements!$E$6:$E$3005=$B2042)*(Ventes_Encaissements!$J$6:$J$3005=$G2042)*(Ventes_Encaissements!$C$6:$C$3005&gt;=$C2042-3)*(Ventes_Encaissements!$C$6:$C$3005&lt;=$C2042+3)),1)))</f>
        <v/>
      </c>
      <c r="K2042" s="6" t="n"/>
    </row>
    <row r="2043">
      <c r="A2043" s="6" t="n"/>
      <c r="B2043" s="6" t="n"/>
      <c r="C2043" s="19" t="n"/>
      <c r="D2043" s="19" t="n"/>
      <c r="E2043" s="6" t="n"/>
      <c r="F2043" s="20" t="n"/>
      <c r="G2043" s="9">
        <f>IF($F2043="","",IF($F2043&gt;0,ROUND($F2043,2),""))</f>
        <v/>
      </c>
      <c r="H2043" s="12">
        <f>IF(OR($B2043="",$C2043="",$G2043=""),"",COUNTIFS(Ventes_Encaissements!$E$6:$E$3005,$B2043,Ventes_Encaissements!$J$6:$J$3005,$G2043,Ventes_Encaissements!$C$6:$C$3005,"&gt;="&amp;($C2043-3),Ventes_Encaissements!$C$6:$C$3005,"&lt;="&amp;($C2043+3)))</f>
        <v/>
      </c>
      <c r="I2043" s="12">
        <f>IF($H2043="","",IF($H2043=0,"Non trouvé",IF($H2043=1,"Match","À vérifier")))</f>
        <v/>
      </c>
      <c r="J2043" s="21">
        <f>IF($I2043&lt;&gt;"Match","",INDEX(Ventes_Encaissements!$B$6:$B$3005,_xludf.AGGREGATE(15,6,(ROW(Ventes_Encaissements!$B$6:$B$3005)-ROW(Ventes_Encaissements!$B$6)+1)/((Ventes_Encaissements!$E$6:$E$3005=$B2043)*(Ventes_Encaissements!$J$6:$J$3005=$G2043)*(Ventes_Encaissements!$C$6:$C$3005&gt;=$C2043-3)*(Ventes_Encaissements!$C$6:$C$3005&lt;=$C2043+3)),1)))</f>
        <v/>
      </c>
      <c r="K2043" s="6" t="n"/>
    </row>
    <row r="2044">
      <c r="A2044" s="6" t="n"/>
      <c r="B2044" s="6" t="n"/>
      <c r="C2044" s="19" t="n"/>
      <c r="D2044" s="19" t="n"/>
      <c r="E2044" s="6" t="n"/>
      <c r="F2044" s="20" t="n"/>
      <c r="G2044" s="9">
        <f>IF($F2044="","",IF($F2044&gt;0,ROUND($F2044,2),""))</f>
        <v/>
      </c>
      <c r="H2044" s="12">
        <f>IF(OR($B2044="",$C2044="",$G2044=""),"",COUNTIFS(Ventes_Encaissements!$E$6:$E$3005,$B2044,Ventes_Encaissements!$J$6:$J$3005,$G2044,Ventes_Encaissements!$C$6:$C$3005,"&gt;="&amp;($C2044-3),Ventes_Encaissements!$C$6:$C$3005,"&lt;="&amp;($C2044+3)))</f>
        <v/>
      </c>
      <c r="I2044" s="12">
        <f>IF($H2044="","",IF($H2044=0,"Non trouvé",IF($H2044=1,"Match","À vérifier")))</f>
        <v/>
      </c>
      <c r="J2044" s="21">
        <f>IF($I2044&lt;&gt;"Match","",INDEX(Ventes_Encaissements!$B$6:$B$3005,_xludf.AGGREGATE(15,6,(ROW(Ventes_Encaissements!$B$6:$B$3005)-ROW(Ventes_Encaissements!$B$6)+1)/((Ventes_Encaissements!$E$6:$E$3005=$B2044)*(Ventes_Encaissements!$J$6:$J$3005=$G2044)*(Ventes_Encaissements!$C$6:$C$3005&gt;=$C2044-3)*(Ventes_Encaissements!$C$6:$C$3005&lt;=$C2044+3)),1)))</f>
        <v/>
      </c>
      <c r="K2044" s="6" t="n"/>
    </row>
    <row r="2045">
      <c r="A2045" s="6" t="n"/>
      <c r="B2045" s="6" t="n"/>
      <c r="C2045" s="19" t="n"/>
      <c r="D2045" s="19" t="n"/>
      <c r="E2045" s="6" t="n"/>
      <c r="F2045" s="20" t="n"/>
      <c r="G2045" s="9">
        <f>IF($F2045="","",IF($F2045&gt;0,ROUND($F2045,2),""))</f>
        <v/>
      </c>
      <c r="H2045" s="12">
        <f>IF(OR($B2045="",$C2045="",$G2045=""),"",COUNTIFS(Ventes_Encaissements!$E$6:$E$3005,$B2045,Ventes_Encaissements!$J$6:$J$3005,$G2045,Ventes_Encaissements!$C$6:$C$3005,"&gt;="&amp;($C2045-3),Ventes_Encaissements!$C$6:$C$3005,"&lt;="&amp;($C2045+3)))</f>
        <v/>
      </c>
      <c r="I2045" s="12">
        <f>IF($H2045="","",IF($H2045=0,"Non trouvé",IF($H2045=1,"Match","À vérifier")))</f>
        <v/>
      </c>
      <c r="J2045" s="21">
        <f>IF($I2045&lt;&gt;"Match","",INDEX(Ventes_Encaissements!$B$6:$B$3005,_xludf.AGGREGATE(15,6,(ROW(Ventes_Encaissements!$B$6:$B$3005)-ROW(Ventes_Encaissements!$B$6)+1)/((Ventes_Encaissements!$E$6:$E$3005=$B2045)*(Ventes_Encaissements!$J$6:$J$3005=$G2045)*(Ventes_Encaissements!$C$6:$C$3005&gt;=$C2045-3)*(Ventes_Encaissements!$C$6:$C$3005&lt;=$C2045+3)),1)))</f>
        <v/>
      </c>
      <c r="K2045" s="6" t="n"/>
    </row>
    <row r="2046">
      <c r="A2046" s="6" t="n"/>
      <c r="B2046" s="6" t="n"/>
      <c r="C2046" s="19" t="n"/>
      <c r="D2046" s="19" t="n"/>
      <c r="E2046" s="6" t="n"/>
      <c r="F2046" s="20" t="n"/>
      <c r="G2046" s="9">
        <f>IF($F2046="","",IF($F2046&gt;0,ROUND($F2046,2),""))</f>
        <v/>
      </c>
      <c r="H2046" s="12">
        <f>IF(OR($B2046="",$C2046="",$G2046=""),"",COUNTIFS(Ventes_Encaissements!$E$6:$E$3005,$B2046,Ventes_Encaissements!$J$6:$J$3005,$G2046,Ventes_Encaissements!$C$6:$C$3005,"&gt;="&amp;($C2046-3),Ventes_Encaissements!$C$6:$C$3005,"&lt;="&amp;($C2046+3)))</f>
        <v/>
      </c>
      <c r="I2046" s="12">
        <f>IF($H2046="","",IF($H2046=0,"Non trouvé",IF($H2046=1,"Match","À vérifier")))</f>
        <v/>
      </c>
      <c r="J2046" s="21">
        <f>IF($I2046&lt;&gt;"Match","",INDEX(Ventes_Encaissements!$B$6:$B$3005,_xludf.AGGREGATE(15,6,(ROW(Ventes_Encaissements!$B$6:$B$3005)-ROW(Ventes_Encaissements!$B$6)+1)/((Ventes_Encaissements!$E$6:$E$3005=$B2046)*(Ventes_Encaissements!$J$6:$J$3005=$G2046)*(Ventes_Encaissements!$C$6:$C$3005&gt;=$C2046-3)*(Ventes_Encaissements!$C$6:$C$3005&lt;=$C2046+3)),1)))</f>
        <v/>
      </c>
      <c r="K2046" s="6" t="n"/>
    </row>
    <row r="2047">
      <c r="A2047" s="6" t="n"/>
      <c r="B2047" s="6" t="n"/>
      <c r="C2047" s="19" t="n"/>
      <c r="D2047" s="19" t="n"/>
      <c r="E2047" s="6" t="n"/>
      <c r="F2047" s="20" t="n"/>
      <c r="G2047" s="9">
        <f>IF($F2047="","",IF($F2047&gt;0,ROUND($F2047,2),""))</f>
        <v/>
      </c>
      <c r="H2047" s="12">
        <f>IF(OR($B2047="",$C2047="",$G2047=""),"",COUNTIFS(Ventes_Encaissements!$E$6:$E$3005,$B2047,Ventes_Encaissements!$J$6:$J$3005,$G2047,Ventes_Encaissements!$C$6:$C$3005,"&gt;="&amp;($C2047-3),Ventes_Encaissements!$C$6:$C$3005,"&lt;="&amp;($C2047+3)))</f>
        <v/>
      </c>
      <c r="I2047" s="12">
        <f>IF($H2047="","",IF($H2047=0,"Non trouvé",IF($H2047=1,"Match","À vérifier")))</f>
        <v/>
      </c>
      <c r="J2047" s="21">
        <f>IF($I2047&lt;&gt;"Match","",INDEX(Ventes_Encaissements!$B$6:$B$3005,_xludf.AGGREGATE(15,6,(ROW(Ventes_Encaissements!$B$6:$B$3005)-ROW(Ventes_Encaissements!$B$6)+1)/((Ventes_Encaissements!$E$6:$E$3005=$B2047)*(Ventes_Encaissements!$J$6:$J$3005=$G2047)*(Ventes_Encaissements!$C$6:$C$3005&gt;=$C2047-3)*(Ventes_Encaissements!$C$6:$C$3005&lt;=$C2047+3)),1)))</f>
        <v/>
      </c>
      <c r="K2047" s="6" t="n"/>
    </row>
    <row r="2048">
      <c r="A2048" s="6" t="n"/>
      <c r="B2048" s="6" t="n"/>
      <c r="C2048" s="19" t="n"/>
      <c r="D2048" s="19" t="n"/>
      <c r="E2048" s="6" t="n"/>
      <c r="F2048" s="20" t="n"/>
      <c r="G2048" s="9">
        <f>IF($F2048="","",IF($F2048&gt;0,ROUND($F2048,2),""))</f>
        <v/>
      </c>
      <c r="H2048" s="12">
        <f>IF(OR($B2048="",$C2048="",$G2048=""),"",COUNTIFS(Ventes_Encaissements!$E$6:$E$3005,$B2048,Ventes_Encaissements!$J$6:$J$3005,$G2048,Ventes_Encaissements!$C$6:$C$3005,"&gt;="&amp;($C2048-3),Ventes_Encaissements!$C$6:$C$3005,"&lt;="&amp;($C2048+3)))</f>
        <v/>
      </c>
      <c r="I2048" s="12">
        <f>IF($H2048="","",IF($H2048=0,"Non trouvé",IF($H2048=1,"Match","À vérifier")))</f>
        <v/>
      </c>
      <c r="J2048" s="21">
        <f>IF($I2048&lt;&gt;"Match","",INDEX(Ventes_Encaissements!$B$6:$B$3005,_xludf.AGGREGATE(15,6,(ROW(Ventes_Encaissements!$B$6:$B$3005)-ROW(Ventes_Encaissements!$B$6)+1)/((Ventes_Encaissements!$E$6:$E$3005=$B2048)*(Ventes_Encaissements!$J$6:$J$3005=$G2048)*(Ventes_Encaissements!$C$6:$C$3005&gt;=$C2048-3)*(Ventes_Encaissements!$C$6:$C$3005&lt;=$C2048+3)),1)))</f>
        <v/>
      </c>
      <c r="K2048" s="6" t="n"/>
    </row>
    <row r="2049">
      <c r="A2049" s="6" t="n"/>
      <c r="B2049" s="6" t="n"/>
      <c r="C2049" s="19" t="n"/>
      <c r="D2049" s="19" t="n"/>
      <c r="E2049" s="6" t="n"/>
      <c r="F2049" s="20" t="n"/>
      <c r="G2049" s="9">
        <f>IF($F2049="","",IF($F2049&gt;0,ROUND($F2049,2),""))</f>
        <v/>
      </c>
      <c r="H2049" s="12">
        <f>IF(OR($B2049="",$C2049="",$G2049=""),"",COUNTIFS(Ventes_Encaissements!$E$6:$E$3005,$B2049,Ventes_Encaissements!$J$6:$J$3005,$G2049,Ventes_Encaissements!$C$6:$C$3005,"&gt;="&amp;($C2049-3),Ventes_Encaissements!$C$6:$C$3005,"&lt;="&amp;($C2049+3)))</f>
        <v/>
      </c>
      <c r="I2049" s="12">
        <f>IF($H2049="","",IF($H2049=0,"Non trouvé",IF($H2049=1,"Match","À vérifier")))</f>
        <v/>
      </c>
      <c r="J2049" s="21">
        <f>IF($I2049&lt;&gt;"Match","",INDEX(Ventes_Encaissements!$B$6:$B$3005,_xludf.AGGREGATE(15,6,(ROW(Ventes_Encaissements!$B$6:$B$3005)-ROW(Ventes_Encaissements!$B$6)+1)/((Ventes_Encaissements!$E$6:$E$3005=$B2049)*(Ventes_Encaissements!$J$6:$J$3005=$G2049)*(Ventes_Encaissements!$C$6:$C$3005&gt;=$C2049-3)*(Ventes_Encaissements!$C$6:$C$3005&lt;=$C2049+3)),1)))</f>
        <v/>
      </c>
      <c r="K2049" s="6" t="n"/>
    </row>
    <row r="2050">
      <c r="A2050" s="6" t="n"/>
      <c r="B2050" s="6" t="n"/>
      <c r="C2050" s="19" t="n"/>
      <c r="D2050" s="19" t="n"/>
      <c r="E2050" s="6" t="n"/>
      <c r="F2050" s="20" t="n"/>
      <c r="G2050" s="9">
        <f>IF($F2050="","",IF($F2050&gt;0,ROUND($F2050,2),""))</f>
        <v/>
      </c>
      <c r="H2050" s="12">
        <f>IF(OR($B2050="",$C2050="",$G2050=""),"",COUNTIFS(Ventes_Encaissements!$E$6:$E$3005,$B2050,Ventes_Encaissements!$J$6:$J$3005,$G2050,Ventes_Encaissements!$C$6:$C$3005,"&gt;="&amp;($C2050-3),Ventes_Encaissements!$C$6:$C$3005,"&lt;="&amp;($C2050+3)))</f>
        <v/>
      </c>
      <c r="I2050" s="12">
        <f>IF($H2050="","",IF($H2050=0,"Non trouvé",IF($H2050=1,"Match","À vérifier")))</f>
        <v/>
      </c>
      <c r="J2050" s="21">
        <f>IF($I2050&lt;&gt;"Match","",INDEX(Ventes_Encaissements!$B$6:$B$3005,_xludf.AGGREGATE(15,6,(ROW(Ventes_Encaissements!$B$6:$B$3005)-ROW(Ventes_Encaissements!$B$6)+1)/((Ventes_Encaissements!$E$6:$E$3005=$B2050)*(Ventes_Encaissements!$J$6:$J$3005=$G2050)*(Ventes_Encaissements!$C$6:$C$3005&gt;=$C2050-3)*(Ventes_Encaissements!$C$6:$C$3005&lt;=$C2050+3)),1)))</f>
        <v/>
      </c>
      <c r="K2050" s="6" t="n"/>
    </row>
    <row r="2051">
      <c r="A2051" s="6" t="n"/>
      <c r="B2051" s="6" t="n"/>
      <c r="C2051" s="19" t="n"/>
      <c r="D2051" s="19" t="n"/>
      <c r="E2051" s="6" t="n"/>
      <c r="F2051" s="20" t="n"/>
      <c r="G2051" s="9">
        <f>IF($F2051="","",IF($F2051&gt;0,ROUND($F2051,2),""))</f>
        <v/>
      </c>
      <c r="H2051" s="12">
        <f>IF(OR($B2051="",$C2051="",$G2051=""),"",COUNTIFS(Ventes_Encaissements!$E$6:$E$3005,$B2051,Ventes_Encaissements!$J$6:$J$3005,$G2051,Ventes_Encaissements!$C$6:$C$3005,"&gt;="&amp;($C2051-3),Ventes_Encaissements!$C$6:$C$3005,"&lt;="&amp;($C2051+3)))</f>
        <v/>
      </c>
      <c r="I2051" s="12">
        <f>IF($H2051="","",IF($H2051=0,"Non trouvé",IF($H2051=1,"Match","À vérifier")))</f>
        <v/>
      </c>
      <c r="J2051" s="21">
        <f>IF($I2051&lt;&gt;"Match","",INDEX(Ventes_Encaissements!$B$6:$B$3005,_xludf.AGGREGATE(15,6,(ROW(Ventes_Encaissements!$B$6:$B$3005)-ROW(Ventes_Encaissements!$B$6)+1)/((Ventes_Encaissements!$E$6:$E$3005=$B2051)*(Ventes_Encaissements!$J$6:$J$3005=$G2051)*(Ventes_Encaissements!$C$6:$C$3005&gt;=$C2051-3)*(Ventes_Encaissements!$C$6:$C$3005&lt;=$C2051+3)),1)))</f>
        <v/>
      </c>
      <c r="K2051" s="6" t="n"/>
    </row>
    <row r="2052">
      <c r="A2052" s="6" t="n"/>
      <c r="B2052" s="6" t="n"/>
      <c r="C2052" s="19" t="n"/>
      <c r="D2052" s="19" t="n"/>
      <c r="E2052" s="6" t="n"/>
      <c r="F2052" s="20" t="n"/>
      <c r="G2052" s="9">
        <f>IF($F2052="","",IF($F2052&gt;0,ROUND($F2052,2),""))</f>
        <v/>
      </c>
      <c r="H2052" s="12">
        <f>IF(OR($B2052="",$C2052="",$G2052=""),"",COUNTIFS(Ventes_Encaissements!$E$6:$E$3005,$B2052,Ventes_Encaissements!$J$6:$J$3005,$G2052,Ventes_Encaissements!$C$6:$C$3005,"&gt;="&amp;($C2052-3),Ventes_Encaissements!$C$6:$C$3005,"&lt;="&amp;($C2052+3)))</f>
        <v/>
      </c>
      <c r="I2052" s="12">
        <f>IF($H2052="","",IF($H2052=0,"Non trouvé",IF($H2052=1,"Match","À vérifier")))</f>
        <v/>
      </c>
      <c r="J2052" s="21">
        <f>IF($I2052&lt;&gt;"Match","",INDEX(Ventes_Encaissements!$B$6:$B$3005,_xludf.AGGREGATE(15,6,(ROW(Ventes_Encaissements!$B$6:$B$3005)-ROW(Ventes_Encaissements!$B$6)+1)/((Ventes_Encaissements!$E$6:$E$3005=$B2052)*(Ventes_Encaissements!$J$6:$J$3005=$G2052)*(Ventes_Encaissements!$C$6:$C$3005&gt;=$C2052-3)*(Ventes_Encaissements!$C$6:$C$3005&lt;=$C2052+3)),1)))</f>
        <v/>
      </c>
      <c r="K2052" s="6" t="n"/>
    </row>
    <row r="2053">
      <c r="A2053" s="6" t="n"/>
      <c r="B2053" s="6" t="n"/>
      <c r="C2053" s="19" t="n"/>
      <c r="D2053" s="19" t="n"/>
      <c r="E2053" s="6" t="n"/>
      <c r="F2053" s="20" t="n"/>
      <c r="G2053" s="9">
        <f>IF($F2053="","",IF($F2053&gt;0,ROUND($F2053,2),""))</f>
        <v/>
      </c>
      <c r="H2053" s="12">
        <f>IF(OR($B2053="",$C2053="",$G2053=""),"",COUNTIFS(Ventes_Encaissements!$E$6:$E$3005,$B2053,Ventes_Encaissements!$J$6:$J$3005,$G2053,Ventes_Encaissements!$C$6:$C$3005,"&gt;="&amp;($C2053-3),Ventes_Encaissements!$C$6:$C$3005,"&lt;="&amp;($C2053+3)))</f>
        <v/>
      </c>
      <c r="I2053" s="12">
        <f>IF($H2053="","",IF($H2053=0,"Non trouvé",IF($H2053=1,"Match","À vérifier")))</f>
        <v/>
      </c>
      <c r="J2053" s="21">
        <f>IF($I2053&lt;&gt;"Match","",INDEX(Ventes_Encaissements!$B$6:$B$3005,_xludf.AGGREGATE(15,6,(ROW(Ventes_Encaissements!$B$6:$B$3005)-ROW(Ventes_Encaissements!$B$6)+1)/((Ventes_Encaissements!$E$6:$E$3005=$B2053)*(Ventes_Encaissements!$J$6:$J$3005=$G2053)*(Ventes_Encaissements!$C$6:$C$3005&gt;=$C2053-3)*(Ventes_Encaissements!$C$6:$C$3005&lt;=$C2053+3)),1)))</f>
        <v/>
      </c>
      <c r="K2053" s="6" t="n"/>
    </row>
    <row r="2054">
      <c r="A2054" s="6" t="n"/>
      <c r="B2054" s="6" t="n"/>
      <c r="C2054" s="19" t="n"/>
      <c r="D2054" s="19" t="n"/>
      <c r="E2054" s="6" t="n"/>
      <c r="F2054" s="20" t="n"/>
      <c r="G2054" s="9">
        <f>IF($F2054="","",IF($F2054&gt;0,ROUND($F2054,2),""))</f>
        <v/>
      </c>
      <c r="H2054" s="12">
        <f>IF(OR($B2054="",$C2054="",$G2054=""),"",COUNTIFS(Ventes_Encaissements!$E$6:$E$3005,$B2054,Ventes_Encaissements!$J$6:$J$3005,$G2054,Ventes_Encaissements!$C$6:$C$3005,"&gt;="&amp;($C2054-3),Ventes_Encaissements!$C$6:$C$3005,"&lt;="&amp;($C2054+3)))</f>
        <v/>
      </c>
      <c r="I2054" s="12">
        <f>IF($H2054="","",IF($H2054=0,"Non trouvé",IF($H2054=1,"Match","À vérifier")))</f>
        <v/>
      </c>
      <c r="J2054" s="21">
        <f>IF($I2054&lt;&gt;"Match","",INDEX(Ventes_Encaissements!$B$6:$B$3005,_xludf.AGGREGATE(15,6,(ROW(Ventes_Encaissements!$B$6:$B$3005)-ROW(Ventes_Encaissements!$B$6)+1)/((Ventes_Encaissements!$E$6:$E$3005=$B2054)*(Ventes_Encaissements!$J$6:$J$3005=$G2054)*(Ventes_Encaissements!$C$6:$C$3005&gt;=$C2054-3)*(Ventes_Encaissements!$C$6:$C$3005&lt;=$C2054+3)),1)))</f>
        <v/>
      </c>
      <c r="K2054" s="6" t="n"/>
    </row>
    <row r="2055">
      <c r="A2055" s="6" t="n"/>
      <c r="B2055" s="6" t="n"/>
      <c r="C2055" s="19" t="n"/>
      <c r="D2055" s="19" t="n"/>
      <c r="E2055" s="6" t="n"/>
      <c r="F2055" s="20" t="n"/>
      <c r="G2055" s="9">
        <f>IF($F2055="","",IF($F2055&gt;0,ROUND($F2055,2),""))</f>
        <v/>
      </c>
      <c r="H2055" s="12">
        <f>IF(OR($B2055="",$C2055="",$G2055=""),"",COUNTIFS(Ventes_Encaissements!$E$6:$E$3005,$B2055,Ventes_Encaissements!$J$6:$J$3005,$G2055,Ventes_Encaissements!$C$6:$C$3005,"&gt;="&amp;($C2055-3),Ventes_Encaissements!$C$6:$C$3005,"&lt;="&amp;($C2055+3)))</f>
        <v/>
      </c>
      <c r="I2055" s="12">
        <f>IF($H2055="","",IF($H2055=0,"Non trouvé",IF($H2055=1,"Match","À vérifier")))</f>
        <v/>
      </c>
      <c r="J2055" s="21">
        <f>IF($I2055&lt;&gt;"Match","",INDEX(Ventes_Encaissements!$B$6:$B$3005,_xludf.AGGREGATE(15,6,(ROW(Ventes_Encaissements!$B$6:$B$3005)-ROW(Ventes_Encaissements!$B$6)+1)/((Ventes_Encaissements!$E$6:$E$3005=$B2055)*(Ventes_Encaissements!$J$6:$J$3005=$G2055)*(Ventes_Encaissements!$C$6:$C$3005&gt;=$C2055-3)*(Ventes_Encaissements!$C$6:$C$3005&lt;=$C2055+3)),1)))</f>
        <v/>
      </c>
      <c r="K2055" s="6" t="n"/>
    </row>
    <row r="2056">
      <c r="A2056" s="6" t="n"/>
      <c r="B2056" s="6" t="n"/>
      <c r="C2056" s="19" t="n"/>
      <c r="D2056" s="19" t="n"/>
      <c r="E2056" s="6" t="n"/>
      <c r="F2056" s="20" t="n"/>
      <c r="G2056" s="9">
        <f>IF($F2056="","",IF($F2056&gt;0,ROUND($F2056,2),""))</f>
        <v/>
      </c>
      <c r="H2056" s="12">
        <f>IF(OR($B2056="",$C2056="",$G2056=""),"",COUNTIFS(Ventes_Encaissements!$E$6:$E$3005,$B2056,Ventes_Encaissements!$J$6:$J$3005,$G2056,Ventes_Encaissements!$C$6:$C$3005,"&gt;="&amp;($C2056-3),Ventes_Encaissements!$C$6:$C$3005,"&lt;="&amp;($C2056+3)))</f>
        <v/>
      </c>
      <c r="I2056" s="12">
        <f>IF($H2056="","",IF($H2056=0,"Non trouvé",IF($H2056=1,"Match","À vérifier")))</f>
        <v/>
      </c>
      <c r="J2056" s="21">
        <f>IF($I2056&lt;&gt;"Match","",INDEX(Ventes_Encaissements!$B$6:$B$3005,_xludf.AGGREGATE(15,6,(ROW(Ventes_Encaissements!$B$6:$B$3005)-ROW(Ventes_Encaissements!$B$6)+1)/((Ventes_Encaissements!$E$6:$E$3005=$B2056)*(Ventes_Encaissements!$J$6:$J$3005=$G2056)*(Ventes_Encaissements!$C$6:$C$3005&gt;=$C2056-3)*(Ventes_Encaissements!$C$6:$C$3005&lt;=$C2056+3)),1)))</f>
        <v/>
      </c>
      <c r="K2056" s="6" t="n"/>
    </row>
    <row r="2057">
      <c r="A2057" s="6" t="n"/>
      <c r="B2057" s="6" t="n"/>
      <c r="C2057" s="19" t="n"/>
      <c r="D2057" s="19" t="n"/>
      <c r="E2057" s="6" t="n"/>
      <c r="F2057" s="20" t="n"/>
      <c r="G2057" s="9">
        <f>IF($F2057="","",IF($F2057&gt;0,ROUND($F2057,2),""))</f>
        <v/>
      </c>
      <c r="H2057" s="12">
        <f>IF(OR($B2057="",$C2057="",$G2057=""),"",COUNTIFS(Ventes_Encaissements!$E$6:$E$3005,$B2057,Ventes_Encaissements!$J$6:$J$3005,$G2057,Ventes_Encaissements!$C$6:$C$3005,"&gt;="&amp;($C2057-3),Ventes_Encaissements!$C$6:$C$3005,"&lt;="&amp;($C2057+3)))</f>
        <v/>
      </c>
      <c r="I2057" s="12">
        <f>IF($H2057="","",IF($H2057=0,"Non trouvé",IF($H2057=1,"Match","À vérifier")))</f>
        <v/>
      </c>
      <c r="J2057" s="21">
        <f>IF($I2057&lt;&gt;"Match","",INDEX(Ventes_Encaissements!$B$6:$B$3005,_xludf.AGGREGATE(15,6,(ROW(Ventes_Encaissements!$B$6:$B$3005)-ROW(Ventes_Encaissements!$B$6)+1)/((Ventes_Encaissements!$E$6:$E$3005=$B2057)*(Ventes_Encaissements!$J$6:$J$3005=$G2057)*(Ventes_Encaissements!$C$6:$C$3005&gt;=$C2057-3)*(Ventes_Encaissements!$C$6:$C$3005&lt;=$C2057+3)),1)))</f>
        <v/>
      </c>
      <c r="K2057" s="6" t="n"/>
    </row>
    <row r="2058">
      <c r="A2058" s="6" t="n"/>
      <c r="B2058" s="6" t="n"/>
      <c r="C2058" s="19" t="n"/>
      <c r="D2058" s="19" t="n"/>
      <c r="E2058" s="6" t="n"/>
      <c r="F2058" s="20" t="n"/>
      <c r="G2058" s="9">
        <f>IF($F2058="","",IF($F2058&gt;0,ROUND($F2058,2),""))</f>
        <v/>
      </c>
      <c r="H2058" s="12">
        <f>IF(OR($B2058="",$C2058="",$G2058=""),"",COUNTIFS(Ventes_Encaissements!$E$6:$E$3005,$B2058,Ventes_Encaissements!$J$6:$J$3005,$G2058,Ventes_Encaissements!$C$6:$C$3005,"&gt;="&amp;($C2058-3),Ventes_Encaissements!$C$6:$C$3005,"&lt;="&amp;($C2058+3)))</f>
        <v/>
      </c>
      <c r="I2058" s="12">
        <f>IF($H2058="","",IF($H2058=0,"Non trouvé",IF($H2058=1,"Match","À vérifier")))</f>
        <v/>
      </c>
      <c r="J2058" s="21">
        <f>IF($I2058&lt;&gt;"Match","",INDEX(Ventes_Encaissements!$B$6:$B$3005,_xludf.AGGREGATE(15,6,(ROW(Ventes_Encaissements!$B$6:$B$3005)-ROW(Ventes_Encaissements!$B$6)+1)/((Ventes_Encaissements!$E$6:$E$3005=$B2058)*(Ventes_Encaissements!$J$6:$J$3005=$G2058)*(Ventes_Encaissements!$C$6:$C$3005&gt;=$C2058-3)*(Ventes_Encaissements!$C$6:$C$3005&lt;=$C2058+3)),1)))</f>
        <v/>
      </c>
      <c r="K2058" s="6" t="n"/>
    </row>
    <row r="2059">
      <c r="A2059" s="6" t="n"/>
      <c r="B2059" s="6" t="n"/>
      <c r="C2059" s="19" t="n"/>
      <c r="D2059" s="19" t="n"/>
      <c r="E2059" s="6" t="n"/>
      <c r="F2059" s="20" t="n"/>
      <c r="G2059" s="9">
        <f>IF($F2059="","",IF($F2059&gt;0,ROUND($F2059,2),""))</f>
        <v/>
      </c>
      <c r="H2059" s="12">
        <f>IF(OR($B2059="",$C2059="",$G2059=""),"",COUNTIFS(Ventes_Encaissements!$E$6:$E$3005,$B2059,Ventes_Encaissements!$J$6:$J$3005,$G2059,Ventes_Encaissements!$C$6:$C$3005,"&gt;="&amp;($C2059-3),Ventes_Encaissements!$C$6:$C$3005,"&lt;="&amp;($C2059+3)))</f>
        <v/>
      </c>
      <c r="I2059" s="12">
        <f>IF($H2059="","",IF($H2059=0,"Non trouvé",IF($H2059=1,"Match","À vérifier")))</f>
        <v/>
      </c>
      <c r="J2059" s="21">
        <f>IF($I2059&lt;&gt;"Match","",INDEX(Ventes_Encaissements!$B$6:$B$3005,_xludf.AGGREGATE(15,6,(ROW(Ventes_Encaissements!$B$6:$B$3005)-ROW(Ventes_Encaissements!$B$6)+1)/((Ventes_Encaissements!$E$6:$E$3005=$B2059)*(Ventes_Encaissements!$J$6:$J$3005=$G2059)*(Ventes_Encaissements!$C$6:$C$3005&gt;=$C2059-3)*(Ventes_Encaissements!$C$6:$C$3005&lt;=$C2059+3)),1)))</f>
        <v/>
      </c>
      <c r="K2059" s="6" t="n"/>
    </row>
    <row r="2060">
      <c r="A2060" s="6" t="n"/>
      <c r="B2060" s="6" t="n"/>
      <c r="C2060" s="19" t="n"/>
      <c r="D2060" s="19" t="n"/>
      <c r="E2060" s="6" t="n"/>
      <c r="F2060" s="20" t="n"/>
      <c r="G2060" s="9">
        <f>IF($F2060="","",IF($F2060&gt;0,ROUND($F2060,2),""))</f>
        <v/>
      </c>
      <c r="H2060" s="12">
        <f>IF(OR($B2060="",$C2060="",$G2060=""),"",COUNTIFS(Ventes_Encaissements!$E$6:$E$3005,$B2060,Ventes_Encaissements!$J$6:$J$3005,$G2060,Ventes_Encaissements!$C$6:$C$3005,"&gt;="&amp;($C2060-3),Ventes_Encaissements!$C$6:$C$3005,"&lt;="&amp;($C2060+3)))</f>
        <v/>
      </c>
      <c r="I2060" s="12">
        <f>IF($H2060="","",IF($H2060=0,"Non trouvé",IF($H2060=1,"Match","À vérifier")))</f>
        <v/>
      </c>
      <c r="J2060" s="21">
        <f>IF($I2060&lt;&gt;"Match","",INDEX(Ventes_Encaissements!$B$6:$B$3005,_xludf.AGGREGATE(15,6,(ROW(Ventes_Encaissements!$B$6:$B$3005)-ROW(Ventes_Encaissements!$B$6)+1)/((Ventes_Encaissements!$E$6:$E$3005=$B2060)*(Ventes_Encaissements!$J$6:$J$3005=$G2060)*(Ventes_Encaissements!$C$6:$C$3005&gt;=$C2060-3)*(Ventes_Encaissements!$C$6:$C$3005&lt;=$C2060+3)),1)))</f>
        <v/>
      </c>
      <c r="K2060" s="6" t="n"/>
    </row>
    <row r="2061">
      <c r="A2061" s="6" t="n"/>
      <c r="B2061" s="6" t="n"/>
      <c r="C2061" s="19" t="n"/>
      <c r="D2061" s="19" t="n"/>
      <c r="E2061" s="6" t="n"/>
      <c r="F2061" s="20" t="n"/>
      <c r="G2061" s="9">
        <f>IF($F2061="","",IF($F2061&gt;0,ROUND($F2061,2),""))</f>
        <v/>
      </c>
      <c r="H2061" s="12">
        <f>IF(OR($B2061="",$C2061="",$G2061=""),"",COUNTIFS(Ventes_Encaissements!$E$6:$E$3005,$B2061,Ventes_Encaissements!$J$6:$J$3005,$G2061,Ventes_Encaissements!$C$6:$C$3005,"&gt;="&amp;($C2061-3),Ventes_Encaissements!$C$6:$C$3005,"&lt;="&amp;($C2061+3)))</f>
        <v/>
      </c>
      <c r="I2061" s="12">
        <f>IF($H2061="","",IF($H2061=0,"Non trouvé",IF($H2061=1,"Match","À vérifier")))</f>
        <v/>
      </c>
      <c r="J2061" s="21">
        <f>IF($I2061&lt;&gt;"Match","",INDEX(Ventes_Encaissements!$B$6:$B$3005,_xludf.AGGREGATE(15,6,(ROW(Ventes_Encaissements!$B$6:$B$3005)-ROW(Ventes_Encaissements!$B$6)+1)/((Ventes_Encaissements!$E$6:$E$3005=$B2061)*(Ventes_Encaissements!$J$6:$J$3005=$G2061)*(Ventes_Encaissements!$C$6:$C$3005&gt;=$C2061-3)*(Ventes_Encaissements!$C$6:$C$3005&lt;=$C2061+3)),1)))</f>
        <v/>
      </c>
      <c r="K2061" s="6" t="n"/>
    </row>
    <row r="2062">
      <c r="A2062" s="6" t="n"/>
      <c r="B2062" s="6" t="n"/>
      <c r="C2062" s="19" t="n"/>
      <c r="D2062" s="19" t="n"/>
      <c r="E2062" s="6" t="n"/>
      <c r="F2062" s="20" t="n"/>
      <c r="G2062" s="9">
        <f>IF($F2062="","",IF($F2062&gt;0,ROUND($F2062,2),""))</f>
        <v/>
      </c>
      <c r="H2062" s="12">
        <f>IF(OR($B2062="",$C2062="",$G2062=""),"",COUNTIFS(Ventes_Encaissements!$E$6:$E$3005,$B2062,Ventes_Encaissements!$J$6:$J$3005,$G2062,Ventes_Encaissements!$C$6:$C$3005,"&gt;="&amp;($C2062-3),Ventes_Encaissements!$C$6:$C$3005,"&lt;="&amp;($C2062+3)))</f>
        <v/>
      </c>
      <c r="I2062" s="12">
        <f>IF($H2062="","",IF($H2062=0,"Non trouvé",IF($H2062=1,"Match","À vérifier")))</f>
        <v/>
      </c>
      <c r="J2062" s="21">
        <f>IF($I2062&lt;&gt;"Match","",INDEX(Ventes_Encaissements!$B$6:$B$3005,_xludf.AGGREGATE(15,6,(ROW(Ventes_Encaissements!$B$6:$B$3005)-ROW(Ventes_Encaissements!$B$6)+1)/((Ventes_Encaissements!$E$6:$E$3005=$B2062)*(Ventes_Encaissements!$J$6:$J$3005=$G2062)*(Ventes_Encaissements!$C$6:$C$3005&gt;=$C2062-3)*(Ventes_Encaissements!$C$6:$C$3005&lt;=$C2062+3)),1)))</f>
        <v/>
      </c>
      <c r="K2062" s="6" t="n"/>
    </row>
    <row r="2063">
      <c r="A2063" s="6" t="n"/>
      <c r="B2063" s="6" t="n"/>
      <c r="C2063" s="19" t="n"/>
      <c r="D2063" s="19" t="n"/>
      <c r="E2063" s="6" t="n"/>
      <c r="F2063" s="20" t="n"/>
      <c r="G2063" s="9">
        <f>IF($F2063="","",IF($F2063&gt;0,ROUND($F2063,2),""))</f>
        <v/>
      </c>
      <c r="H2063" s="12">
        <f>IF(OR($B2063="",$C2063="",$G2063=""),"",COUNTIFS(Ventes_Encaissements!$E$6:$E$3005,$B2063,Ventes_Encaissements!$J$6:$J$3005,$G2063,Ventes_Encaissements!$C$6:$C$3005,"&gt;="&amp;($C2063-3),Ventes_Encaissements!$C$6:$C$3005,"&lt;="&amp;($C2063+3)))</f>
        <v/>
      </c>
      <c r="I2063" s="12">
        <f>IF($H2063="","",IF($H2063=0,"Non trouvé",IF($H2063=1,"Match","À vérifier")))</f>
        <v/>
      </c>
      <c r="J2063" s="21">
        <f>IF($I2063&lt;&gt;"Match","",INDEX(Ventes_Encaissements!$B$6:$B$3005,_xludf.AGGREGATE(15,6,(ROW(Ventes_Encaissements!$B$6:$B$3005)-ROW(Ventes_Encaissements!$B$6)+1)/((Ventes_Encaissements!$E$6:$E$3005=$B2063)*(Ventes_Encaissements!$J$6:$J$3005=$G2063)*(Ventes_Encaissements!$C$6:$C$3005&gt;=$C2063-3)*(Ventes_Encaissements!$C$6:$C$3005&lt;=$C2063+3)),1)))</f>
        <v/>
      </c>
      <c r="K2063" s="6" t="n"/>
    </row>
    <row r="2064">
      <c r="A2064" s="6" t="n"/>
      <c r="B2064" s="6" t="n"/>
      <c r="C2064" s="19" t="n"/>
      <c r="D2064" s="19" t="n"/>
      <c r="E2064" s="6" t="n"/>
      <c r="F2064" s="20" t="n"/>
      <c r="G2064" s="9">
        <f>IF($F2064="","",IF($F2064&gt;0,ROUND($F2064,2),""))</f>
        <v/>
      </c>
      <c r="H2064" s="12">
        <f>IF(OR($B2064="",$C2064="",$G2064=""),"",COUNTIFS(Ventes_Encaissements!$E$6:$E$3005,$B2064,Ventes_Encaissements!$J$6:$J$3005,$G2064,Ventes_Encaissements!$C$6:$C$3005,"&gt;="&amp;($C2064-3),Ventes_Encaissements!$C$6:$C$3005,"&lt;="&amp;($C2064+3)))</f>
        <v/>
      </c>
      <c r="I2064" s="12">
        <f>IF($H2064="","",IF($H2064=0,"Non trouvé",IF($H2064=1,"Match","À vérifier")))</f>
        <v/>
      </c>
      <c r="J2064" s="21">
        <f>IF($I2064&lt;&gt;"Match","",INDEX(Ventes_Encaissements!$B$6:$B$3005,_xludf.AGGREGATE(15,6,(ROW(Ventes_Encaissements!$B$6:$B$3005)-ROW(Ventes_Encaissements!$B$6)+1)/((Ventes_Encaissements!$E$6:$E$3005=$B2064)*(Ventes_Encaissements!$J$6:$J$3005=$G2064)*(Ventes_Encaissements!$C$6:$C$3005&gt;=$C2064-3)*(Ventes_Encaissements!$C$6:$C$3005&lt;=$C2064+3)),1)))</f>
        <v/>
      </c>
      <c r="K2064" s="6" t="n"/>
    </row>
    <row r="2065">
      <c r="A2065" s="6" t="n"/>
      <c r="B2065" s="6" t="n"/>
      <c r="C2065" s="19" t="n"/>
      <c r="D2065" s="19" t="n"/>
      <c r="E2065" s="6" t="n"/>
      <c r="F2065" s="20" t="n"/>
      <c r="G2065" s="9">
        <f>IF($F2065="","",IF($F2065&gt;0,ROUND($F2065,2),""))</f>
        <v/>
      </c>
      <c r="H2065" s="12">
        <f>IF(OR($B2065="",$C2065="",$G2065=""),"",COUNTIFS(Ventes_Encaissements!$E$6:$E$3005,$B2065,Ventes_Encaissements!$J$6:$J$3005,$G2065,Ventes_Encaissements!$C$6:$C$3005,"&gt;="&amp;($C2065-3),Ventes_Encaissements!$C$6:$C$3005,"&lt;="&amp;($C2065+3)))</f>
        <v/>
      </c>
      <c r="I2065" s="12">
        <f>IF($H2065="","",IF($H2065=0,"Non trouvé",IF($H2065=1,"Match","À vérifier")))</f>
        <v/>
      </c>
      <c r="J2065" s="21">
        <f>IF($I2065&lt;&gt;"Match","",INDEX(Ventes_Encaissements!$B$6:$B$3005,_xludf.AGGREGATE(15,6,(ROW(Ventes_Encaissements!$B$6:$B$3005)-ROW(Ventes_Encaissements!$B$6)+1)/((Ventes_Encaissements!$E$6:$E$3005=$B2065)*(Ventes_Encaissements!$J$6:$J$3005=$G2065)*(Ventes_Encaissements!$C$6:$C$3005&gt;=$C2065-3)*(Ventes_Encaissements!$C$6:$C$3005&lt;=$C2065+3)),1)))</f>
        <v/>
      </c>
      <c r="K2065" s="6" t="n"/>
    </row>
    <row r="2066">
      <c r="A2066" s="6" t="n"/>
      <c r="B2066" s="6" t="n"/>
      <c r="C2066" s="19" t="n"/>
      <c r="D2066" s="19" t="n"/>
      <c r="E2066" s="6" t="n"/>
      <c r="F2066" s="20" t="n"/>
      <c r="G2066" s="9">
        <f>IF($F2066="","",IF($F2066&gt;0,ROUND($F2066,2),""))</f>
        <v/>
      </c>
      <c r="H2066" s="12">
        <f>IF(OR($B2066="",$C2066="",$G2066=""),"",COUNTIFS(Ventes_Encaissements!$E$6:$E$3005,$B2066,Ventes_Encaissements!$J$6:$J$3005,$G2066,Ventes_Encaissements!$C$6:$C$3005,"&gt;="&amp;($C2066-3),Ventes_Encaissements!$C$6:$C$3005,"&lt;="&amp;($C2066+3)))</f>
        <v/>
      </c>
      <c r="I2066" s="12">
        <f>IF($H2066="","",IF($H2066=0,"Non trouvé",IF($H2066=1,"Match","À vérifier")))</f>
        <v/>
      </c>
      <c r="J2066" s="21">
        <f>IF($I2066&lt;&gt;"Match","",INDEX(Ventes_Encaissements!$B$6:$B$3005,_xludf.AGGREGATE(15,6,(ROW(Ventes_Encaissements!$B$6:$B$3005)-ROW(Ventes_Encaissements!$B$6)+1)/((Ventes_Encaissements!$E$6:$E$3005=$B2066)*(Ventes_Encaissements!$J$6:$J$3005=$G2066)*(Ventes_Encaissements!$C$6:$C$3005&gt;=$C2066-3)*(Ventes_Encaissements!$C$6:$C$3005&lt;=$C2066+3)),1)))</f>
        <v/>
      </c>
      <c r="K2066" s="6" t="n"/>
    </row>
    <row r="2067">
      <c r="A2067" s="6" t="n"/>
      <c r="B2067" s="6" t="n"/>
      <c r="C2067" s="19" t="n"/>
      <c r="D2067" s="19" t="n"/>
      <c r="E2067" s="6" t="n"/>
      <c r="F2067" s="20" t="n"/>
      <c r="G2067" s="9">
        <f>IF($F2067="","",IF($F2067&gt;0,ROUND($F2067,2),""))</f>
        <v/>
      </c>
      <c r="H2067" s="12">
        <f>IF(OR($B2067="",$C2067="",$G2067=""),"",COUNTIFS(Ventes_Encaissements!$E$6:$E$3005,$B2067,Ventes_Encaissements!$J$6:$J$3005,$G2067,Ventes_Encaissements!$C$6:$C$3005,"&gt;="&amp;($C2067-3),Ventes_Encaissements!$C$6:$C$3005,"&lt;="&amp;($C2067+3)))</f>
        <v/>
      </c>
      <c r="I2067" s="12">
        <f>IF($H2067="","",IF($H2067=0,"Non trouvé",IF($H2067=1,"Match","À vérifier")))</f>
        <v/>
      </c>
      <c r="J2067" s="21">
        <f>IF($I2067&lt;&gt;"Match","",INDEX(Ventes_Encaissements!$B$6:$B$3005,_xludf.AGGREGATE(15,6,(ROW(Ventes_Encaissements!$B$6:$B$3005)-ROW(Ventes_Encaissements!$B$6)+1)/((Ventes_Encaissements!$E$6:$E$3005=$B2067)*(Ventes_Encaissements!$J$6:$J$3005=$G2067)*(Ventes_Encaissements!$C$6:$C$3005&gt;=$C2067-3)*(Ventes_Encaissements!$C$6:$C$3005&lt;=$C2067+3)),1)))</f>
        <v/>
      </c>
      <c r="K2067" s="6" t="n"/>
    </row>
    <row r="2068">
      <c r="A2068" s="6" t="n"/>
      <c r="B2068" s="6" t="n"/>
      <c r="C2068" s="19" t="n"/>
      <c r="D2068" s="19" t="n"/>
      <c r="E2068" s="6" t="n"/>
      <c r="F2068" s="20" t="n"/>
      <c r="G2068" s="9">
        <f>IF($F2068="","",IF($F2068&gt;0,ROUND($F2068,2),""))</f>
        <v/>
      </c>
      <c r="H2068" s="12">
        <f>IF(OR($B2068="",$C2068="",$G2068=""),"",COUNTIFS(Ventes_Encaissements!$E$6:$E$3005,$B2068,Ventes_Encaissements!$J$6:$J$3005,$G2068,Ventes_Encaissements!$C$6:$C$3005,"&gt;="&amp;($C2068-3),Ventes_Encaissements!$C$6:$C$3005,"&lt;="&amp;($C2068+3)))</f>
        <v/>
      </c>
      <c r="I2068" s="12">
        <f>IF($H2068="","",IF($H2068=0,"Non trouvé",IF($H2068=1,"Match","À vérifier")))</f>
        <v/>
      </c>
      <c r="J2068" s="21">
        <f>IF($I2068&lt;&gt;"Match","",INDEX(Ventes_Encaissements!$B$6:$B$3005,_xludf.AGGREGATE(15,6,(ROW(Ventes_Encaissements!$B$6:$B$3005)-ROW(Ventes_Encaissements!$B$6)+1)/((Ventes_Encaissements!$E$6:$E$3005=$B2068)*(Ventes_Encaissements!$J$6:$J$3005=$G2068)*(Ventes_Encaissements!$C$6:$C$3005&gt;=$C2068-3)*(Ventes_Encaissements!$C$6:$C$3005&lt;=$C2068+3)),1)))</f>
        <v/>
      </c>
      <c r="K2068" s="6" t="n"/>
    </row>
    <row r="2069">
      <c r="A2069" s="6" t="n"/>
      <c r="B2069" s="6" t="n"/>
      <c r="C2069" s="19" t="n"/>
      <c r="D2069" s="19" t="n"/>
      <c r="E2069" s="6" t="n"/>
      <c r="F2069" s="20" t="n"/>
      <c r="G2069" s="9">
        <f>IF($F2069="","",IF($F2069&gt;0,ROUND($F2069,2),""))</f>
        <v/>
      </c>
      <c r="H2069" s="12">
        <f>IF(OR($B2069="",$C2069="",$G2069=""),"",COUNTIFS(Ventes_Encaissements!$E$6:$E$3005,$B2069,Ventes_Encaissements!$J$6:$J$3005,$G2069,Ventes_Encaissements!$C$6:$C$3005,"&gt;="&amp;($C2069-3),Ventes_Encaissements!$C$6:$C$3005,"&lt;="&amp;($C2069+3)))</f>
        <v/>
      </c>
      <c r="I2069" s="12">
        <f>IF($H2069="","",IF($H2069=0,"Non trouvé",IF($H2069=1,"Match","À vérifier")))</f>
        <v/>
      </c>
      <c r="J2069" s="21">
        <f>IF($I2069&lt;&gt;"Match","",INDEX(Ventes_Encaissements!$B$6:$B$3005,_xludf.AGGREGATE(15,6,(ROW(Ventes_Encaissements!$B$6:$B$3005)-ROW(Ventes_Encaissements!$B$6)+1)/((Ventes_Encaissements!$E$6:$E$3005=$B2069)*(Ventes_Encaissements!$J$6:$J$3005=$G2069)*(Ventes_Encaissements!$C$6:$C$3005&gt;=$C2069-3)*(Ventes_Encaissements!$C$6:$C$3005&lt;=$C2069+3)),1)))</f>
        <v/>
      </c>
      <c r="K2069" s="6" t="n"/>
    </row>
    <row r="2070">
      <c r="A2070" s="6" t="n"/>
      <c r="B2070" s="6" t="n"/>
      <c r="C2070" s="19" t="n"/>
      <c r="D2070" s="19" t="n"/>
      <c r="E2070" s="6" t="n"/>
      <c r="F2070" s="20" t="n"/>
      <c r="G2070" s="9">
        <f>IF($F2070="","",IF($F2070&gt;0,ROUND($F2070,2),""))</f>
        <v/>
      </c>
      <c r="H2070" s="12">
        <f>IF(OR($B2070="",$C2070="",$G2070=""),"",COUNTIFS(Ventes_Encaissements!$E$6:$E$3005,$B2070,Ventes_Encaissements!$J$6:$J$3005,$G2070,Ventes_Encaissements!$C$6:$C$3005,"&gt;="&amp;($C2070-3),Ventes_Encaissements!$C$6:$C$3005,"&lt;="&amp;($C2070+3)))</f>
        <v/>
      </c>
      <c r="I2070" s="12">
        <f>IF($H2070="","",IF($H2070=0,"Non trouvé",IF($H2070=1,"Match","À vérifier")))</f>
        <v/>
      </c>
      <c r="J2070" s="21">
        <f>IF($I2070&lt;&gt;"Match","",INDEX(Ventes_Encaissements!$B$6:$B$3005,_xludf.AGGREGATE(15,6,(ROW(Ventes_Encaissements!$B$6:$B$3005)-ROW(Ventes_Encaissements!$B$6)+1)/((Ventes_Encaissements!$E$6:$E$3005=$B2070)*(Ventes_Encaissements!$J$6:$J$3005=$G2070)*(Ventes_Encaissements!$C$6:$C$3005&gt;=$C2070-3)*(Ventes_Encaissements!$C$6:$C$3005&lt;=$C2070+3)),1)))</f>
        <v/>
      </c>
      <c r="K2070" s="6" t="n"/>
    </row>
    <row r="2071">
      <c r="A2071" s="6" t="n"/>
      <c r="B2071" s="6" t="n"/>
      <c r="C2071" s="19" t="n"/>
      <c r="D2071" s="19" t="n"/>
      <c r="E2071" s="6" t="n"/>
      <c r="F2071" s="20" t="n"/>
      <c r="G2071" s="9">
        <f>IF($F2071="","",IF($F2071&gt;0,ROUND($F2071,2),""))</f>
        <v/>
      </c>
      <c r="H2071" s="12">
        <f>IF(OR($B2071="",$C2071="",$G2071=""),"",COUNTIFS(Ventes_Encaissements!$E$6:$E$3005,$B2071,Ventes_Encaissements!$J$6:$J$3005,$G2071,Ventes_Encaissements!$C$6:$C$3005,"&gt;="&amp;($C2071-3),Ventes_Encaissements!$C$6:$C$3005,"&lt;="&amp;($C2071+3)))</f>
        <v/>
      </c>
      <c r="I2071" s="12">
        <f>IF($H2071="","",IF($H2071=0,"Non trouvé",IF($H2071=1,"Match","À vérifier")))</f>
        <v/>
      </c>
      <c r="J2071" s="21">
        <f>IF($I2071&lt;&gt;"Match","",INDEX(Ventes_Encaissements!$B$6:$B$3005,_xludf.AGGREGATE(15,6,(ROW(Ventes_Encaissements!$B$6:$B$3005)-ROW(Ventes_Encaissements!$B$6)+1)/((Ventes_Encaissements!$E$6:$E$3005=$B2071)*(Ventes_Encaissements!$J$6:$J$3005=$G2071)*(Ventes_Encaissements!$C$6:$C$3005&gt;=$C2071-3)*(Ventes_Encaissements!$C$6:$C$3005&lt;=$C2071+3)),1)))</f>
        <v/>
      </c>
      <c r="K2071" s="6" t="n"/>
    </row>
    <row r="2072">
      <c r="A2072" s="6" t="n"/>
      <c r="B2072" s="6" t="n"/>
      <c r="C2072" s="19" t="n"/>
      <c r="D2072" s="19" t="n"/>
      <c r="E2072" s="6" t="n"/>
      <c r="F2072" s="20" t="n"/>
      <c r="G2072" s="9">
        <f>IF($F2072="","",IF($F2072&gt;0,ROUND($F2072,2),""))</f>
        <v/>
      </c>
      <c r="H2072" s="12">
        <f>IF(OR($B2072="",$C2072="",$G2072=""),"",COUNTIFS(Ventes_Encaissements!$E$6:$E$3005,$B2072,Ventes_Encaissements!$J$6:$J$3005,$G2072,Ventes_Encaissements!$C$6:$C$3005,"&gt;="&amp;($C2072-3),Ventes_Encaissements!$C$6:$C$3005,"&lt;="&amp;($C2072+3)))</f>
        <v/>
      </c>
      <c r="I2072" s="12">
        <f>IF($H2072="","",IF($H2072=0,"Non trouvé",IF($H2072=1,"Match","À vérifier")))</f>
        <v/>
      </c>
      <c r="J2072" s="21">
        <f>IF($I2072&lt;&gt;"Match","",INDEX(Ventes_Encaissements!$B$6:$B$3005,_xludf.AGGREGATE(15,6,(ROW(Ventes_Encaissements!$B$6:$B$3005)-ROW(Ventes_Encaissements!$B$6)+1)/((Ventes_Encaissements!$E$6:$E$3005=$B2072)*(Ventes_Encaissements!$J$6:$J$3005=$G2072)*(Ventes_Encaissements!$C$6:$C$3005&gt;=$C2072-3)*(Ventes_Encaissements!$C$6:$C$3005&lt;=$C2072+3)),1)))</f>
        <v/>
      </c>
      <c r="K2072" s="6" t="n"/>
    </row>
    <row r="2073">
      <c r="A2073" s="6" t="n"/>
      <c r="B2073" s="6" t="n"/>
      <c r="C2073" s="19" t="n"/>
      <c r="D2073" s="19" t="n"/>
      <c r="E2073" s="6" t="n"/>
      <c r="F2073" s="20" t="n"/>
      <c r="G2073" s="9">
        <f>IF($F2073="","",IF($F2073&gt;0,ROUND($F2073,2),""))</f>
        <v/>
      </c>
      <c r="H2073" s="12">
        <f>IF(OR($B2073="",$C2073="",$G2073=""),"",COUNTIFS(Ventes_Encaissements!$E$6:$E$3005,$B2073,Ventes_Encaissements!$J$6:$J$3005,$G2073,Ventes_Encaissements!$C$6:$C$3005,"&gt;="&amp;($C2073-3),Ventes_Encaissements!$C$6:$C$3005,"&lt;="&amp;($C2073+3)))</f>
        <v/>
      </c>
      <c r="I2073" s="12">
        <f>IF($H2073="","",IF($H2073=0,"Non trouvé",IF($H2073=1,"Match","À vérifier")))</f>
        <v/>
      </c>
      <c r="J2073" s="21">
        <f>IF($I2073&lt;&gt;"Match","",INDEX(Ventes_Encaissements!$B$6:$B$3005,_xludf.AGGREGATE(15,6,(ROW(Ventes_Encaissements!$B$6:$B$3005)-ROW(Ventes_Encaissements!$B$6)+1)/((Ventes_Encaissements!$E$6:$E$3005=$B2073)*(Ventes_Encaissements!$J$6:$J$3005=$G2073)*(Ventes_Encaissements!$C$6:$C$3005&gt;=$C2073-3)*(Ventes_Encaissements!$C$6:$C$3005&lt;=$C2073+3)),1)))</f>
        <v/>
      </c>
      <c r="K2073" s="6" t="n"/>
    </row>
    <row r="2074">
      <c r="A2074" s="6" t="n"/>
      <c r="B2074" s="6" t="n"/>
      <c r="C2074" s="19" t="n"/>
      <c r="D2074" s="19" t="n"/>
      <c r="E2074" s="6" t="n"/>
      <c r="F2074" s="20" t="n"/>
      <c r="G2074" s="9">
        <f>IF($F2074="","",IF($F2074&gt;0,ROUND($F2074,2),""))</f>
        <v/>
      </c>
      <c r="H2074" s="12">
        <f>IF(OR($B2074="",$C2074="",$G2074=""),"",COUNTIFS(Ventes_Encaissements!$E$6:$E$3005,$B2074,Ventes_Encaissements!$J$6:$J$3005,$G2074,Ventes_Encaissements!$C$6:$C$3005,"&gt;="&amp;($C2074-3),Ventes_Encaissements!$C$6:$C$3005,"&lt;="&amp;($C2074+3)))</f>
        <v/>
      </c>
      <c r="I2074" s="12">
        <f>IF($H2074="","",IF($H2074=0,"Non trouvé",IF($H2074=1,"Match","À vérifier")))</f>
        <v/>
      </c>
      <c r="J2074" s="21">
        <f>IF($I2074&lt;&gt;"Match","",INDEX(Ventes_Encaissements!$B$6:$B$3005,_xludf.AGGREGATE(15,6,(ROW(Ventes_Encaissements!$B$6:$B$3005)-ROW(Ventes_Encaissements!$B$6)+1)/((Ventes_Encaissements!$E$6:$E$3005=$B2074)*(Ventes_Encaissements!$J$6:$J$3005=$G2074)*(Ventes_Encaissements!$C$6:$C$3005&gt;=$C2074-3)*(Ventes_Encaissements!$C$6:$C$3005&lt;=$C2074+3)),1)))</f>
        <v/>
      </c>
      <c r="K2074" s="6" t="n"/>
    </row>
    <row r="2075">
      <c r="A2075" s="6" t="n"/>
      <c r="B2075" s="6" t="n"/>
      <c r="C2075" s="19" t="n"/>
      <c r="D2075" s="19" t="n"/>
      <c r="E2075" s="6" t="n"/>
      <c r="F2075" s="20" t="n"/>
      <c r="G2075" s="9">
        <f>IF($F2075="","",IF($F2075&gt;0,ROUND($F2075,2),""))</f>
        <v/>
      </c>
      <c r="H2075" s="12">
        <f>IF(OR($B2075="",$C2075="",$G2075=""),"",COUNTIFS(Ventes_Encaissements!$E$6:$E$3005,$B2075,Ventes_Encaissements!$J$6:$J$3005,$G2075,Ventes_Encaissements!$C$6:$C$3005,"&gt;="&amp;($C2075-3),Ventes_Encaissements!$C$6:$C$3005,"&lt;="&amp;($C2075+3)))</f>
        <v/>
      </c>
      <c r="I2075" s="12">
        <f>IF($H2075="","",IF($H2075=0,"Non trouvé",IF($H2075=1,"Match","À vérifier")))</f>
        <v/>
      </c>
      <c r="J2075" s="21">
        <f>IF($I2075&lt;&gt;"Match","",INDEX(Ventes_Encaissements!$B$6:$B$3005,_xludf.AGGREGATE(15,6,(ROW(Ventes_Encaissements!$B$6:$B$3005)-ROW(Ventes_Encaissements!$B$6)+1)/((Ventes_Encaissements!$E$6:$E$3005=$B2075)*(Ventes_Encaissements!$J$6:$J$3005=$G2075)*(Ventes_Encaissements!$C$6:$C$3005&gt;=$C2075-3)*(Ventes_Encaissements!$C$6:$C$3005&lt;=$C2075+3)),1)))</f>
        <v/>
      </c>
      <c r="K2075" s="6" t="n"/>
    </row>
    <row r="2076">
      <c r="A2076" s="6" t="n"/>
      <c r="B2076" s="6" t="n"/>
      <c r="C2076" s="19" t="n"/>
      <c r="D2076" s="19" t="n"/>
      <c r="E2076" s="6" t="n"/>
      <c r="F2076" s="20" t="n"/>
      <c r="G2076" s="9">
        <f>IF($F2076="","",IF($F2076&gt;0,ROUND($F2076,2),""))</f>
        <v/>
      </c>
      <c r="H2076" s="12">
        <f>IF(OR($B2076="",$C2076="",$G2076=""),"",COUNTIFS(Ventes_Encaissements!$E$6:$E$3005,$B2076,Ventes_Encaissements!$J$6:$J$3005,$G2076,Ventes_Encaissements!$C$6:$C$3005,"&gt;="&amp;($C2076-3),Ventes_Encaissements!$C$6:$C$3005,"&lt;="&amp;($C2076+3)))</f>
        <v/>
      </c>
      <c r="I2076" s="12">
        <f>IF($H2076="","",IF($H2076=0,"Non trouvé",IF($H2076=1,"Match","À vérifier")))</f>
        <v/>
      </c>
      <c r="J2076" s="21">
        <f>IF($I2076&lt;&gt;"Match","",INDEX(Ventes_Encaissements!$B$6:$B$3005,_xludf.AGGREGATE(15,6,(ROW(Ventes_Encaissements!$B$6:$B$3005)-ROW(Ventes_Encaissements!$B$6)+1)/((Ventes_Encaissements!$E$6:$E$3005=$B2076)*(Ventes_Encaissements!$J$6:$J$3005=$G2076)*(Ventes_Encaissements!$C$6:$C$3005&gt;=$C2076-3)*(Ventes_Encaissements!$C$6:$C$3005&lt;=$C2076+3)),1)))</f>
        <v/>
      </c>
      <c r="K2076" s="6" t="n"/>
    </row>
    <row r="2077">
      <c r="A2077" s="6" t="n"/>
      <c r="B2077" s="6" t="n"/>
      <c r="C2077" s="19" t="n"/>
      <c r="D2077" s="19" t="n"/>
      <c r="E2077" s="6" t="n"/>
      <c r="F2077" s="20" t="n"/>
      <c r="G2077" s="9">
        <f>IF($F2077="","",IF($F2077&gt;0,ROUND($F2077,2),""))</f>
        <v/>
      </c>
      <c r="H2077" s="12">
        <f>IF(OR($B2077="",$C2077="",$G2077=""),"",COUNTIFS(Ventes_Encaissements!$E$6:$E$3005,$B2077,Ventes_Encaissements!$J$6:$J$3005,$G2077,Ventes_Encaissements!$C$6:$C$3005,"&gt;="&amp;($C2077-3),Ventes_Encaissements!$C$6:$C$3005,"&lt;="&amp;($C2077+3)))</f>
        <v/>
      </c>
      <c r="I2077" s="12">
        <f>IF($H2077="","",IF($H2077=0,"Non trouvé",IF($H2077=1,"Match","À vérifier")))</f>
        <v/>
      </c>
      <c r="J2077" s="21">
        <f>IF($I2077&lt;&gt;"Match","",INDEX(Ventes_Encaissements!$B$6:$B$3005,_xludf.AGGREGATE(15,6,(ROW(Ventes_Encaissements!$B$6:$B$3005)-ROW(Ventes_Encaissements!$B$6)+1)/((Ventes_Encaissements!$E$6:$E$3005=$B2077)*(Ventes_Encaissements!$J$6:$J$3005=$G2077)*(Ventes_Encaissements!$C$6:$C$3005&gt;=$C2077-3)*(Ventes_Encaissements!$C$6:$C$3005&lt;=$C2077+3)),1)))</f>
        <v/>
      </c>
      <c r="K2077" s="6" t="n"/>
    </row>
    <row r="2078">
      <c r="A2078" s="6" t="n"/>
      <c r="B2078" s="6" t="n"/>
      <c r="C2078" s="19" t="n"/>
      <c r="D2078" s="19" t="n"/>
      <c r="E2078" s="6" t="n"/>
      <c r="F2078" s="20" t="n"/>
      <c r="G2078" s="9">
        <f>IF($F2078="","",IF($F2078&gt;0,ROUND($F2078,2),""))</f>
        <v/>
      </c>
      <c r="H2078" s="12">
        <f>IF(OR($B2078="",$C2078="",$G2078=""),"",COUNTIFS(Ventes_Encaissements!$E$6:$E$3005,$B2078,Ventes_Encaissements!$J$6:$J$3005,$G2078,Ventes_Encaissements!$C$6:$C$3005,"&gt;="&amp;($C2078-3),Ventes_Encaissements!$C$6:$C$3005,"&lt;="&amp;($C2078+3)))</f>
        <v/>
      </c>
      <c r="I2078" s="12">
        <f>IF($H2078="","",IF($H2078=0,"Non trouvé",IF($H2078=1,"Match","À vérifier")))</f>
        <v/>
      </c>
      <c r="J2078" s="21">
        <f>IF($I2078&lt;&gt;"Match","",INDEX(Ventes_Encaissements!$B$6:$B$3005,_xludf.AGGREGATE(15,6,(ROW(Ventes_Encaissements!$B$6:$B$3005)-ROW(Ventes_Encaissements!$B$6)+1)/((Ventes_Encaissements!$E$6:$E$3005=$B2078)*(Ventes_Encaissements!$J$6:$J$3005=$G2078)*(Ventes_Encaissements!$C$6:$C$3005&gt;=$C2078-3)*(Ventes_Encaissements!$C$6:$C$3005&lt;=$C2078+3)),1)))</f>
        <v/>
      </c>
      <c r="K2078" s="6" t="n"/>
    </row>
    <row r="2079">
      <c r="A2079" s="6" t="n"/>
      <c r="B2079" s="6" t="n"/>
      <c r="C2079" s="19" t="n"/>
      <c r="D2079" s="19" t="n"/>
      <c r="E2079" s="6" t="n"/>
      <c r="F2079" s="20" t="n"/>
      <c r="G2079" s="9">
        <f>IF($F2079="","",IF($F2079&gt;0,ROUND($F2079,2),""))</f>
        <v/>
      </c>
      <c r="H2079" s="12">
        <f>IF(OR($B2079="",$C2079="",$G2079=""),"",COUNTIFS(Ventes_Encaissements!$E$6:$E$3005,$B2079,Ventes_Encaissements!$J$6:$J$3005,$G2079,Ventes_Encaissements!$C$6:$C$3005,"&gt;="&amp;($C2079-3),Ventes_Encaissements!$C$6:$C$3005,"&lt;="&amp;($C2079+3)))</f>
        <v/>
      </c>
      <c r="I2079" s="12">
        <f>IF($H2079="","",IF($H2079=0,"Non trouvé",IF($H2079=1,"Match","À vérifier")))</f>
        <v/>
      </c>
      <c r="J2079" s="21">
        <f>IF($I2079&lt;&gt;"Match","",INDEX(Ventes_Encaissements!$B$6:$B$3005,_xludf.AGGREGATE(15,6,(ROW(Ventes_Encaissements!$B$6:$B$3005)-ROW(Ventes_Encaissements!$B$6)+1)/((Ventes_Encaissements!$E$6:$E$3005=$B2079)*(Ventes_Encaissements!$J$6:$J$3005=$G2079)*(Ventes_Encaissements!$C$6:$C$3005&gt;=$C2079-3)*(Ventes_Encaissements!$C$6:$C$3005&lt;=$C2079+3)),1)))</f>
        <v/>
      </c>
      <c r="K2079" s="6" t="n"/>
    </row>
    <row r="2080">
      <c r="A2080" s="6" t="n"/>
      <c r="B2080" s="6" t="n"/>
      <c r="C2080" s="19" t="n"/>
      <c r="D2080" s="19" t="n"/>
      <c r="E2080" s="6" t="n"/>
      <c r="F2080" s="20" t="n"/>
      <c r="G2080" s="9">
        <f>IF($F2080="","",IF($F2080&gt;0,ROUND($F2080,2),""))</f>
        <v/>
      </c>
      <c r="H2080" s="12">
        <f>IF(OR($B2080="",$C2080="",$G2080=""),"",COUNTIFS(Ventes_Encaissements!$E$6:$E$3005,$B2080,Ventes_Encaissements!$J$6:$J$3005,$G2080,Ventes_Encaissements!$C$6:$C$3005,"&gt;="&amp;($C2080-3),Ventes_Encaissements!$C$6:$C$3005,"&lt;="&amp;($C2080+3)))</f>
        <v/>
      </c>
      <c r="I2080" s="12">
        <f>IF($H2080="","",IF($H2080=0,"Non trouvé",IF($H2080=1,"Match","À vérifier")))</f>
        <v/>
      </c>
      <c r="J2080" s="21">
        <f>IF($I2080&lt;&gt;"Match","",INDEX(Ventes_Encaissements!$B$6:$B$3005,_xludf.AGGREGATE(15,6,(ROW(Ventes_Encaissements!$B$6:$B$3005)-ROW(Ventes_Encaissements!$B$6)+1)/((Ventes_Encaissements!$E$6:$E$3005=$B2080)*(Ventes_Encaissements!$J$6:$J$3005=$G2080)*(Ventes_Encaissements!$C$6:$C$3005&gt;=$C2080-3)*(Ventes_Encaissements!$C$6:$C$3005&lt;=$C2080+3)),1)))</f>
        <v/>
      </c>
      <c r="K2080" s="6" t="n"/>
    </row>
    <row r="2081">
      <c r="A2081" s="6" t="n"/>
      <c r="B2081" s="6" t="n"/>
      <c r="C2081" s="19" t="n"/>
      <c r="D2081" s="19" t="n"/>
      <c r="E2081" s="6" t="n"/>
      <c r="F2081" s="20" t="n"/>
      <c r="G2081" s="9">
        <f>IF($F2081="","",IF($F2081&gt;0,ROUND($F2081,2),""))</f>
        <v/>
      </c>
      <c r="H2081" s="12">
        <f>IF(OR($B2081="",$C2081="",$G2081=""),"",COUNTIFS(Ventes_Encaissements!$E$6:$E$3005,$B2081,Ventes_Encaissements!$J$6:$J$3005,$G2081,Ventes_Encaissements!$C$6:$C$3005,"&gt;="&amp;($C2081-3),Ventes_Encaissements!$C$6:$C$3005,"&lt;="&amp;($C2081+3)))</f>
        <v/>
      </c>
      <c r="I2081" s="12">
        <f>IF($H2081="","",IF($H2081=0,"Non trouvé",IF($H2081=1,"Match","À vérifier")))</f>
        <v/>
      </c>
      <c r="J2081" s="21">
        <f>IF($I2081&lt;&gt;"Match","",INDEX(Ventes_Encaissements!$B$6:$B$3005,_xludf.AGGREGATE(15,6,(ROW(Ventes_Encaissements!$B$6:$B$3005)-ROW(Ventes_Encaissements!$B$6)+1)/((Ventes_Encaissements!$E$6:$E$3005=$B2081)*(Ventes_Encaissements!$J$6:$J$3005=$G2081)*(Ventes_Encaissements!$C$6:$C$3005&gt;=$C2081-3)*(Ventes_Encaissements!$C$6:$C$3005&lt;=$C2081+3)),1)))</f>
        <v/>
      </c>
      <c r="K2081" s="6" t="n"/>
    </row>
    <row r="2082">
      <c r="A2082" s="6" t="n"/>
      <c r="B2082" s="6" t="n"/>
      <c r="C2082" s="19" t="n"/>
      <c r="D2082" s="19" t="n"/>
      <c r="E2082" s="6" t="n"/>
      <c r="F2082" s="20" t="n"/>
      <c r="G2082" s="9">
        <f>IF($F2082="","",IF($F2082&gt;0,ROUND($F2082,2),""))</f>
        <v/>
      </c>
      <c r="H2082" s="12">
        <f>IF(OR($B2082="",$C2082="",$G2082=""),"",COUNTIFS(Ventes_Encaissements!$E$6:$E$3005,$B2082,Ventes_Encaissements!$J$6:$J$3005,$G2082,Ventes_Encaissements!$C$6:$C$3005,"&gt;="&amp;($C2082-3),Ventes_Encaissements!$C$6:$C$3005,"&lt;="&amp;($C2082+3)))</f>
        <v/>
      </c>
      <c r="I2082" s="12">
        <f>IF($H2082="","",IF($H2082=0,"Non trouvé",IF($H2082=1,"Match","À vérifier")))</f>
        <v/>
      </c>
      <c r="J2082" s="21">
        <f>IF($I2082&lt;&gt;"Match","",INDEX(Ventes_Encaissements!$B$6:$B$3005,_xludf.AGGREGATE(15,6,(ROW(Ventes_Encaissements!$B$6:$B$3005)-ROW(Ventes_Encaissements!$B$6)+1)/((Ventes_Encaissements!$E$6:$E$3005=$B2082)*(Ventes_Encaissements!$J$6:$J$3005=$G2082)*(Ventes_Encaissements!$C$6:$C$3005&gt;=$C2082-3)*(Ventes_Encaissements!$C$6:$C$3005&lt;=$C2082+3)),1)))</f>
        <v/>
      </c>
      <c r="K2082" s="6" t="n"/>
    </row>
    <row r="2083">
      <c r="A2083" s="6" t="n"/>
      <c r="B2083" s="6" t="n"/>
      <c r="C2083" s="19" t="n"/>
      <c r="D2083" s="19" t="n"/>
      <c r="E2083" s="6" t="n"/>
      <c r="F2083" s="20" t="n"/>
      <c r="G2083" s="9">
        <f>IF($F2083="","",IF($F2083&gt;0,ROUND($F2083,2),""))</f>
        <v/>
      </c>
      <c r="H2083" s="12">
        <f>IF(OR($B2083="",$C2083="",$G2083=""),"",COUNTIFS(Ventes_Encaissements!$E$6:$E$3005,$B2083,Ventes_Encaissements!$J$6:$J$3005,$G2083,Ventes_Encaissements!$C$6:$C$3005,"&gt;="&amp;($C2083-3),Ventes_Encaissements!$C$6:$C$3005,"&lt;="&amp;($C2083+3)))</f>
        <v/>
      </c>
      <c r="I2083" s="12">
        <f>IF($H2083="","",IF($H2083=0,"Non trouvé",IF($H2083=1,"Match","À vérifier")))</f>
        <v/>
      </c>
      <c r="J2083" s="21">
        <f>IF($I2083&lt;&gt;"Match","",INDEX(Ventes_Encaissements!$B$6:$B$3005,_xludf.AGGREGATE(15,6,(ROW(Ventes_Encaissements!$B$6:$B$3005)-ROW(Ventes_Encaissements!$B$6)+1)/((Ventes_Encaissements!$E$6:$E$3005=$B2083)*(Ventes_Encaissements!$J$6:$J$3005=$G2083)*(Ventes_Encaissements!$C$6:$C$3005&gt;=$C2083-3)*(Ventes_Encaissements!$C$6:$C$3005&lt;=$C2083+3)),1)))</f>
        <v/>
      </c>
      <c r="K2083" s="6" t="n"/>
    </row>
    <row r="2084">
      <c r="A2084" s="6" t="n"/>
      <c r="B2084" s="6" t="n"/>
      <c r="C2084" s="19" t="n"/>
      <c r="D2084" s="19" t="n"/>
      <c r="E2084" s="6" t="n"/>
      <c r="F2084" s="20" t="n"/>
      <c r="G2084" s="9">
        <f>IF($F2084="","",IF($F2084&gt;0,ROUND($F2084,2),""))</f>
        <v/>
      </c>
      <c r="H2084" s="12">
        <f>IF(OR($B2084="",$C2084="",$G2084=""),"",COUNTIFS(Ventes_Encaissements!$E$6:$E$3005,$B2084,Ventes_Encaissements!$J$6:$J$3005,$G2084,Ventes_Encaissements!$C$6:$C$3005,"&gt;="&amp;($C2084-3),Ventes_Encaissements!$C$6:$C$3005,"&lt;="&amp;($C2084+3)))</f>
        <v/>
      </c>
      <c r="I2084" s="12">
        <f>IF($H2084="","",IF($H2084=0,"Non trouvé",IF($H2084=1,"Match","À vérifier")))</f>
        <v/>
      </c>
      <c r="J2084" s="21">
        <f>IF($I2084&lt;&gt;"Match","",INDEX(Ventes_Encaissements!$B$6:$B$3005,_xludf.AGGREGATE(15,6,(ROW(Ventes_Encaissements!$B$6:$B$3005)-ROW(Ventes_Encaissements!$B$6)+1)/((Ventes_Encaissements!$E$6:$E$3005=$B2084)*(Ventes_Encaissements!$J$6:$J$3005=$G2084)*(Ventes_Encaissements!$C$6:$C$3005&gt;=$C2084-3)*(Ventes_Encaissements!$C$6:$C$3005&lt;=$C2084+3)),1)))</f>
        <v/>
      </c>
      <c r="K2084" s="6" t="n"/>
    </row>
    <row r="2085">
      <c r="A2085" s="6" t="n"/>
      <c r="B2085" s="6" t="n"/>
      <c r="C2085" s="19" t="n"/>
      <c r="D2085" s="19" t="n"/>
      <c r="E2085" s="6" t="n"/>
      <c r="F2085" s="20" t="n"/>
      <c r="G2085" s="9">
        <f>IF($F2085="","",IF($F2085&gt;0,ROUND($F2085,2),""))</f>
        <v/>
      </c>
      <c r="H2085" s="12">
        <f>IF(OR($B2085="",$C2085="",$G2085=""),"",COUNTIFS(Ventes_Encaissements!$E$6:$E$3005,$B2085,Ventes_Encaissements!$J$6:$J$3005,$G2085,Ventes_Encaissements!$C$6:$C$3005,"&gt;="&amp;($C2085-3),Ventes_Encaissements!$C$6:$C$3005,"&lt;="&amp;($C2085+3)))</f>
        <v/>
      </c>
      <c r="I2085" s="12">
        <f>IF($H2085="","",IF($H2085=0,"Non trouvé",IF($H2085=1,"Match","À vérifier")))</f>
        <v/>
      </c>
      <c r="J2085" s="21">
        <f>IF($I2085&lt;&gt;"Match","",INDEX(Ventes_Encaissements!$B$6:$B$3005,_xludf.AGGREGATE(15,6,(ROW(Ventes_Encaissements!$B$6:$B$3005)-ROW(Ventes_Encaissements!$B$6)+1)/((Ventes_Encaissements!$E$6:$E$3005=$B2085)*(Ventes_Encaissements!$J$6:$J$3005=$G2085)*(Ventes_Encaissements!$C$6:$C$3005&gt;=$C2085-3)*(Ventes_Encaissements!$C$6:$C$3005&lt;=$C2085+3)),1)))</f>
        <v/>
      </c>
      <c r="K2085" s="6" t="n"/>
    </row>
    <row r="2086">
      <c r="A2086" s="6" t="n"/>
      <c r="B2086" s="6" t="n"/>
      <c r="C2086" s="19" t="n"/>
      <c r="D2086" s="19" t="n"/>
      <c r="E2086" s="6" t="n"/>
      <c r="F2086" s="20" t="n"/>
      <c r="G2086" s="9">
        <f>IF($F2086="","",IF($F2086&gt;0,ROUND($F2086,2),""))</f>
        <v/>
      </c>
      <c r="H2086" s="12">
        <f>IF(OR($B2086="",$C2086="",$G2086=""),"",COUNTIFS(Ventes_Encaissements!$E$6:$E$3005,$B2086,Ventes_Encaissements!$J$6:$J$3005,$G2086,Ventes_Encaissements!$C$6:$C$3005,"&gt;="&amp;($C2086-3),Ventes_Encaissements!$C$6:$C$3005,"&lt;="&amp;($C2086+3)))</f>
        <v/>
      </c>
      <c r="I2086" s="12">
        <f>IF($H2086="","",IF($H2086=0,"Non trouvé",IF($H2086=1,"Match","À vérifier")))</f>
        <v/>
      </c>
      <c r="J2086" s="21">
        <f>IF($I2086&lt;&gt;"Match","",INDEX(Ventes_Encaissements!$B$6:$B$3005,_xludf.AGGREGATE(15,6,(ROW(Ventes_Encaissements!$B$6:$B$3005)-ROW(Ventes_Encaissements!$B$6)+1)/((Ventes_Encaissements!$E$6:$E$3005=$B2086)*(Ventes_Encaissements!$J$6:$J$3005=$G2086)*(Ventes_Encaissements!$C$6:$C$3005&gt;=$C2086-3)*(Ventes_Encaissements!$C$6:$C$3005&lt;=$C2086+3)),1)))</f>
        <v/>
      </c>
      <c r="K2086" s="6" t="n"/>
    </row>
    <row r="2087">
      <c r="A2087" s="6" t="n"/>
      <c r="B2087" s="6" t="n"/>
      <c r="C2087" s="19" t="n"/>
      <c r="D2087" s="19" t="n"/>
      <c r="E2087" s="6" t="n"/>
      <c r="F2087" s="20" t="n"/>
      <c r="G2087" s="9">
        <f>IF($F2087="","",IF($F2087&gt;0,ROUND($F2087,2),""))</f>
        <v/>
      </c>
      <c r="H2087" s="12">
        <f>IF(OR($B2087="",$C2087="",$G2087=""),"",COUNTIFS(Ventes_Encaissements!$E$6:$E$3005,$B2087,Ventes_Encaissements!$J$6:$J$3005,$G2087,Ventes_Encaissements!$C$6:$C$3005,"&gt;="&amp;($C2087-3),Ventes_Encaissements!$C$6:$C$3005,"&lt;="&amp;($C2087+3)))</f>
        <v/>
      </c>
      <c r="I2087" s="12">
        <f>IF($H2087="","",IF($H2087=0,"Non trouvé",IF($H2087=1,"Match","À vérifier")))</f>
        <v/>
      </c>
      <c r="J2087" s="21">
        <f>IF($I2087&lt;&gt;"Match","",INDEX(Ventes_Encaissements!$B$6:$B$3005,_xludf.AGGREGATE(15,6,(ROW(Ventes_Encaissements!$B$6:$B$3005)-ROW(Ventes_Encaissements!$B$6)+1)/((Ventes_Encaissements!$E$6:$E$3005=$B2087)*(Ventes_Encaissements!$J$6:$J$3005=$G2087)*(Ventes_Encaissements!$C$6:$C$3005&gt;=$C2087-3)*(Ventes_Encaissements!$C$6:$C$3005&lt;=$C2087+3)),1)))</f>
        <v/>
      </c>
      <c r="K2087" s="6" t="n"/>
    </row>
    <row r="2088">
      <c r="A2088" s="6" t="n"/>
      <c r="B2088" s="6" t="n"/>
      <c r="C2088" s="19" t="n"/>
      <c r="D2088" s="19" t="n"/>
      <c r="E2088" s="6" t="n"/>
      <c r="F2088" s="20" t="n"/>
      <c r="G2088" s="9">
        <f>IF($F2088="","",IF($F2088&gt;0,ROUND($F2088,2),""))</f>
        <v/>
      </c>
      <c r="H2088" s="12">
        <f>IF(OR($B2088="",$C2088="",$G2088=""),"",COUNTIFS(Ventes_Encaissements!$E$6:$E$3005,$B2088,Ventes_Encaissements!$J$6:$J$3005,$G2088,Ventes_Encaissements!$C$6:$C$3005,"&gt;="&amp;($C2088-3),Ventes_Encaissements!$C$6:$C$3005,"&lt;="&amp;($C2088+3)))</f>
        <v/>
      </c>
      <c r="I2088" s="12">
        <f>IF($H2088="","",IF($H2088=0,"Non trouvé",IF($H2088=1,"Match","À vérifier")))</f>
        <v/>
      </c>
      <c r="J2088" s="21">
        <f>IF($I2088&lt;&gt;"Match","",INDEX(Ventes_Encaissements!$B$6:$B$3005,_xludf.AGGREGATE(15,6,(ROW(Ventes_Encaissements!$B$6:$B$3005)-ROW(Ventes_Encaissements!$B$6)+1)/((Ventes_Encaissements!$E$6:$E$3005=$B2088)*(Ventes_Encaissements!$J$6:$J$3005=$G2088)*(Ventes_Encaissements!$C$6:$C$3005&gt;=$C2088-3)*(Ventes_Encaissements!$C$6:$C$3005&lt;=$C2088+3)),1)))</f>
        <v/>
      </c>
      <c r="K2088" s="6" t="n"/>
    </row>
    <row r="2089">
      <c r="A2089" s="6" t="n"/>
      <c r="B2089" s="6" t="n"/>
      <c r="C2089" s="19" t="n"/>
      <c r="D2089" s="19" t="n"/>
      <c r="E2089" s="6" t="n"/>
      <c r="F2089" s="20" t="n"/>
      <c r="G2089" s="9">
        <f>IF($F2089="","",IF($F2089&gt;0,ROUND($F2089,2),""))</f>
        <v/>
      </c>
      <c r="H2089" s="12">
        <f>IF(OR($B2089="",$C2089="",$G2089=""),"",COUNTIFS(Ventes_Encaissements!$E$6:$E$3005,$B2089,Ventes_Encaissements!$J$6:$J$3005,$G2089,Ventes_Encaissements!$C$6:$C$3005,"&gt;="&amp;($C2089-3),Ventes_Encaissements!$C$6:$C$3005,"&lt;="&amp;($C2089+3)))</f>
        <v/>
      </c>
      <c r="I2089" s="12">
        <f>IF($H2089="","",IF($H2089=0,"Non trouvé",IF($H2089=1,"Match","À vérifier")))</f>
        <v/>
      </c>
      <c r="J2089" s="21">
        <f>IF($I2089&lt;&gt;"Match","",INDEX(Ventes_Encaissements!$B$6:$B$3005,_xludf.AGGREGATE(15,6,(ROW(Ventes_Encaissements!$B$6:$B$3005)-ROW(Ventes_Encaissements!$B$6)+1)/((Ventes_Encaissements!$E$6:$E$3005=$B2089)*(Ventes_Encaissements!$J$6:$J$3005=$G2089)*(Ventes_Encaissements!$C$6:$C$3005&gt;=$C2089-3)*(Ventes_Encaissements!$C$6:$C$3005&lt;=$C2089+3)),1)))</f>
        <v/>
      </c>
      <c r="K2089" s="6" t="n"/>
    </row>
    <row r="2090">
      <c r="A2090" s="6" t="n"/>
      <c r="B2090" s="6" t="n"/>
      <c r="C2090" s="19" t="n"/>
      <c r="D2090" s="19" t="n"/>
      <c r="E2090" s="6" t="n"/>
      <c r="F2090" s="20" t="n"/>
      <c r="G2090" s="9">
        <f>IF($F2090="","",IF($F2090&gt;0,ROUND($F2090,2),""))</f>
        <v/>
      </c>
      <c r="H2090" s="12">
        <f>IF(OR($B2090="",$C2090="",$G2090=""),"",COUNTIFS(Ventes_Encaissements!$E$6:$E$3005,$B2090,Ventes_Encaissements!$J$6:$J$3005,$G2090,Ventes_Encaissements!$C$6:$C$3005,"&gt;="&amp;($C2090-3),Ventes_Encaissements!$C$6:$C$3005,"&lt;="&amp;($C2090+3)))</f>
        <v/>
      </c>
      <c r="I2090" s="12">
        <f>IF($H2090="","",IF($H2090=0,"Non trouvé",IF($H2090=1,"Match","À vérifier")))</f>
        <v/>
      </c>
      <c r="J2090" s="21">
        <f>IF($I2090&lt;&gt;"Match","",INDEX(Ventes_Encaissements!$B$6:$B$3005,_xludf.AGGREGATE(15,6,(ROW(Ventes_Encaissements!$B$6:$B$3005)-ROW(Ventes_Encaissements!$B$6)+1)/((Ventes_Encaissements!$E$6:$E$3005=$B2090)*(Ventes_Encaissements!$J$6:$J$3005=$G2090)*(Ventes_Encaissements!$C$6:$C$3005&gt;=$C2090-3)*(Ventes_Encaissements!$C$6:$C$3005&lt;=$C2090+3)),1)))</f>
        <v/>
      </c>
      <c r="K2090" s="6" t="n"/>
    </row>
    <row r="2091">
      <c r="A2091" s="6" t="n"/>
      <c r="B2091" s="6" t="n"/>
      <c r="C2091" s="19" t="n"/>
      <c r="D2091" s="19" t="n"/>
      <c r="E2091" s="6" t="n"/>
      <c r="F2091" s="20" t="n"/>
      <c r="G2091" s="9">
        <f>IF($F2091="","",IF($F2091&gt;0,ROUND($F2091,2),""))</f>
        <v/>
      </c>
      <c r="H2091" s="12">
        <f>IF(OR($B2091="",$C2091="",$G2091=""),"",COUNTIFS(Ventes_Encaissements!$E$6:$E$3005,$B2091,Ventes_Encaissements!$J$6:$J$3005,$G2091,Ventes_Encaissements!$C$6:$C$3005,"&gt;="&amp;($C2091-3),Ventes_Encaissements!$C$6:$C$3005,"&lt;="&amp;($C2091+3)))</f>
        <v/>
      </c>
      <c r="I2091" s="12">
        <f>IF($H2091="","",IF($H2091=0,"Non trouvé",IF($H2091=1,"Match","À vérifier")))</f>
        <v/>
      </c>
      <c r="J2091" s="21">
        <f>IF($I2091&lt;&gt;"Match","",INDEX(Ventes_Encaissements!$B$6:$B$3005,_xludf.AGGREGATE(15,6,(ROW(Ventes_Encaissements!$B$6:$B$3005)-ROW(Ventes_Encaissements!$B$6)+1)/((Ventes_Encaissements!$E$6:$E$3005=$B2091)*(Ventes_Encaissements!$J$6:$J$3005=$G2091)*(Ventes_Encaissements!$C$6:$C$3005&gt;=$C2091-3)*(Ventes_Encaissements!$C$6:$C$3005&lt;=$C2091+3)),1)))</f>
        <v/>
      </c>
      <c r="K2091" s="6" t="n"/>
    </row>
    <row r="2092">
      <c r="A2092" s="6" t="n"/>
      <c r="B2092" s="6" t="n"/>
      <c r="C2092" s="19" t="n"/>
      <c r="D2092" s="19" t="n"/>
      <c r="E2092" s="6" t="n"/>
      <c r="F2092" s="20" t="n"/>
      <c r="G2092" s="9">
        <f>IF($F2092="","",IF($F2092&gt;0,ROUND($F2092,2),""))</f>
        <v/>
      </c>
      <c r="H2092" s="12">
        <f>IF(OR($B2092="",$C2092="",$G2092=""),"",COUNTIFS(Ventes_Encaissements!$E$6:$E$3005,$B2092,Ventes_Encaissements!$J$6:$J$3005,$G2092,Ventes_Encaissements!$C$6:$C$3005,"&gt;="&amp;($C2092-3),Ventes_Encaissements!$C$6:$C$3005,"&lt;="&amp;($C2092+3)))</f>
        <v/>
      </c>
      <c r="I2092" s="12">
        <f>IF($H2092="","",IF($H2092=0,"Non trouvé",IF($H2092=1,"Match","À vérifier")))</f>
        <v/>
      </c>
      <c r="J2092" s="21">
        <f>IF($I2092&lt;&gt;"Match","",INDEX(Ventes_Encaissements!$B$6:$B$3005,_xludf.AGGREGATE(15,6,(ROW(Ventes_Encaissements!$B$6:$B$3005)-ROW(Ventes_Encaissements!$B$6)+1)/((Ventes_Encaissements!$E$6:$E$3005=$B2092)*(Ventes_Encaissements!$J$6:$J$3005=$G2092)*(Ventes_Encaissements!$C$6:$C$3005&gt;=$C2092-3)*(Ventes_Encaissements!$C$6:$C$3005&lt;=$C2092+3)),1)))</f>
        <v/>
      </c>
      <c r="K2092" s="6" t="n"/>
    </row>
    <row r="2093">
      <c r="A2093" s="6" t="n"/>
      <c r="B2093" s="6" t="n"/>
      <c r="C2093" s="19" t="n"/>
      <c r="D2093" s="19" t="n"/>
      <c r="E2093" s="6" t="n"/>
      <c r="F2093" s="20" t="n"/>
      <c r="G2093" s="9">
        <f>IF($F2093="","",IF($F2093&gt;0,ROUND($F2093,2),""))</f>
        <v/>
      </c>
      <c r="H2093" s="12">
        <f>IF(OR($B2093="",$C2093="",$G2093=""),"",COUNTIFS(Ventes_Encaissements!$E$6:$E$3005,$B2093,Ventes_Encaissements!$J$6:$J$3005,$G2093,Ventes_Encaissements!$C$6:$C$3005,"&gt;="&amp;($C2093-3),Ventes_Encaissements!$C$6:$C$3005,"&lt;="&amp;($C2093+3)))</f>
        <v/>
      </c>
      <c r="I2093" s="12">
        <f>IF($H2093="","",IF($H2093=0,"Non trouvé",IF($H2093=1,"Match","À vérifier")))</f>
        <v/>
      </c>
      <c r="J2093" s="21">
        <f>IF($I2093&lt;&gt;"Match","",INDEX(Ventes_Encaissements!$B$6:$B$3005,_xludf.AGGREGATE(15,6,(ROW(Ventes_Encaissements!$B$6:$B$3005)-ROW(Ventes_Encaissements!$B$6)+1)/((Ventes_Encaissements!$E$6:$E$3005=$B2093)*(Ventes_Encaissements!$J$6:$J$3005=$G2093)*(Ventes_Encaissements!$C$6:$C$3005&gt;=$C2093-3)*(Ventes_Encaissements!$C$6:$C$3005&lt;=$C2093+3)),1)))</f>
        <v/>
      </c>
      <c r="K2093" s="6" t="n"/>
    </row>
    <row r="2094">
      <c r="A2094" s="6" t="n"/>
      <c r="B2094" s="6" t="n"/>
      <c r="C2094" s="19" t="n"/>
      <c r="D2094" s="19" t="n"/>
      <c r="E2094" s="6" t="n"/>
      <c r="F2094" s="20" t="n"/>
      <c r="G2094" s="9">
        <f>IF($F2094="","",IF($F2094&gt;0,ROUND($F2094,2),""))</f>
        <v/>
      </c>
      <c r="H2094" s="12">
        <f>IF(OR($B2094="",$C2094="",$G2094=""),"",COUNTIFS(Ventes_Encaissements!$E$6:$E$3005,$B2094,Ventes_Encaissements!$J$6:$J$3005,$G2094,Ventes_Encaissements!$C$6:$C$3005,"&gt;="&amp;($C2094-3),Ventes_Encaissements!$C$6:$C$3005,"&lt;="&amp;($C2094+3)))</f>
        <v/>
      </c>
      <c r="I2094" s="12">
        <f>IF($H2094="","",IF($H2094=0,"Non trouvé",IF($H2094=1,"Match","À vérifier")))</f>
        <v/>
      </c>
      <c r="J2094" s="21">
        <f>IF($I2094&lt;&gt;"Match","",INDEX(Ventes_Encaissements!$B$6:$B$3005,_xludf.AGGREGATE(15,6,(ROW(Ventes_Encaissements!$B$6:$B$3005)-ROW(Ventes_Encaissements!$B$6)+1)/((Ventes_Encaissements!$E$6:$E$3005=$B2094)*(Ventes_Encaissements!$J$6:$J$3005=$G2094)*(Ventes_Encaissements!$C$6:$C$3005&gt;=$C2094-3)*(Ventes_Encaissements!$C$6:$C$3005&lt;=$C2094+3)),1)))</f>
        <v/>
      </c>
      <c r="K2094" s="6" t="n"/>
    </row>
    <row r="2095">
      <c r="A2095" s="6" t="n"/>
      <c r="B2095" s="6" t="n"/>
      <c r="C2095" s="19" t="n"/>
      <c r="D2095" s="19" t="n"/>
      <c r="E2095" s="6" t="n"/>
      <c r="F2095" s="20" t="n"/>
      <c r="G2095" s="9">
        <f>IF($F2095="","",IF($F2095&gt;0,ROUND($F2095,2),""))</f>
        <v/>
      </c>
      <c r="H2095" s="12">
        <f>IF(OR($B2095="",$C2095="",$G2095=""),"",COUNTIFS(Ventes_Encaissements!$E$6:$E$3005,$B2095,Ventes_Encaissements!$J$6:$J$3005,$G2095,Ventes_Encaissements!$C$6:$C$3005,"&gt;="&amp;($C2095-3),Ventes_Encaissements!$C$6:$C$3005,"&lt;="&amp;($C2095+3)))</f>
        <v/>
      </c>
      <c r="I2095" s="12">
        <f>IF($H2095="","",IF($H2095=0,"Non trouvé",IF($H2095=1,"Match","À vérifier")))</f>
        <v/>
      </c>
      <c r="J2095" s="21">
        <f>IF($I2095&lt;&gt;"Match","",INDEX(Ventes_Encaissements!$B$6:$B$3005,_xludf.AGGREGATE(15,6,(ROW(Ventes_Encaissements!$B$6:$B$3005)-ROW(Ventes_Encaissements!$B$6)+1)/((Ventes_Encaissements!$E$6:$E$3005=$B2095)*(Ventes_Encaissements!$J$6:$J$3005=$G2095)*(Ventes_Encaissements!$C$6:$C$3005&gt;=$C2095-3)*(Ventes_Encaissements!$C$6:$C$3005&lt;=$C2095+3)),1)))</f>
        <v/>
      </c>
      <c r="K2095" s="6" t="n"/>
    </row>
    <row r="2096">
      <c r="A2096" s="6" t="n"/>
      <c r="B2096" s="6" t="n"/>
      <c r="C2096" s="19" t="n"/>
      <c r="D2096" s="19" t="n"/>
      <c r="E2096" s="6" t="n"/>
      <c r="F2096" s="20" t="n"/>
      <c r="G2096" s="9">
        <f>IF($F2096="","",IF($F2096&gt;0,ROUND($F2096,2),""))</f>
        <v/>
      </c>
      <c r="H2096" s="12">
        <f>IF(OR($B2096="",$C2096="",$G2096=""),"",COUNTIFS(Ventes_Encaissements!$E$6:$E$3005,$B2096,Ventes_Encaissements!$J$6:$J$3005,$G2096,Ventes_Encaissements!$C$6:$C$3005,"&gt;="&amp;($C2096-3),Ventes_Encaissements!$C$6:$C$3005,"&lt;="&amp;($C2096+3)))</f>
        <v/>
      </c>
      <c r="I2096" s="12">
        <f>IF($H2096="","",IF($H2096=0,"Non trouvé",IF($H2096=1,"Match","À vérifier")))</f>
        <v/>
      </c>
      <c r="J2096" s="21">
        <f>IF($I2096&lt;&gt;"Match","",INDEX(Ventes_Encaissements!$B$6:$B$3005,_xludf.AGGREGATE(15,6,(ROW(Ventes_Encaissements!$B$6:$B$3005)-ROW(Ventes_Encaissements!$B$6)+1)/((Ventes_Encaissements!$E$6:$E$3005=$B2096)*(Ventes_Encaissements!$J$6:$J$3005=$G2096)*(Ventes_Encaissements!$C$6:$C$3005&gt;=$C2096-3)*(Ventes_Encaissements!$C$6:$C$3005&lt;=$C2096+3)),1)))</f>
        <v/>
      </c>
      <c r="K2096" s="6" t="n"/>
    </row>
    <row r="2097">
      <c r="A2097" s="6" t="n"/>
      <c r="B2097" s="6" t="n"/>
      <c r="C2097" s="19" t="n"/>
      <c r="D2097" s="19" t="n"/>
      <c r="E2097" s="6" t="n"/>
      <c r="F2097" s="20" t="n"/>
      <c r="G2097" s="9">
        <f>IF($F2097="","",IF($F2097&gt;0,ROUND($F2097,2),""))</f>
        <v/>
      </c>
      <c r="H2097" s="12">
        <f>IF(OR($B2097="",$C2097="",$G2097=""),"",COUNTIFS(Ventes_Encaissements!$E$6:$E$3005,$B2097,Ventes_Encaissements!$J$6:$J$3005,$G2097,Ventes_Encaissements!$C$6:$C$3005,"&gt;="&amp;($C2097-3),Ventes_Encaissements!$C$6:$C$3005,"&lt;="&amp;($C2097+3)))</f>
        <v/>
      </c>
      <c r="I2097" s="12">
        <f>IF($H2097="","",IF($H2097=0,"Non trouvé",IF($H2097=1,"Match","À vérifier")))</f>
        <v/>
      </c>
      <c r="J2097" s="21">
        <f>IF($I2097&lt;&gt;"Match","",INDEX(Ventes_Encaissements!$B$6:$B$3005,_xludf.AGGREGATE(15,6,(ROW(Ventes_Encaissements!$B$6:$B$3005)-ROW(Ventes_Encaissements!$B$6)+1)/((Ventes_Encaissements!$E$6:$E$3005=$B2097)*(Ventes_Encaissements!$J$6:$J$3005=$G2097)*(Ventes_Encaissements!$C$6:$C$3005&gt;=$C2097-3)*(Ventes_Encaissements!$C$6:$C$3005&lt;=$C2097+3)),1)))</f>
        <v/>
      </c>
      <c r="K2097" s="6" t="n"/>
    </row>
    <row r="2098">
      <c r="A2098" s="6" t="n"/>
      <c r="B2098" s="6" t="n"/>
      <c r="C2098" s="19" t="n"/>
      <c r="D2098" s="19" t="n"/>
      <c r="E2098" s="6" t="n"/>
      <c r="F2098" s="20" t="n"/>
      <c r="G2098" s="9">
        <f>IF($F2098="","",IF($F2098&gt;0,ROUND($F2098,2),""))</f>
        <v/>
      </c>
      <c r="H2098" s="12">
        <f>IF(OR($B2098="",$C2098="",$G2098=""),"",COUNTIFS(Ventes_Encaissements!$E$6:$E$3005,$B2098,Ventes_Encaissements!$J$6:$J$3005,$G2098,Ventes_Encaissements!$C$6:$C$3005,"&gt;="&amp;($C2098-3),Ventes_Encaissements!$C$6:$C$3005,"&lt;="&amp;($C2098+3)))</f>
        <v/>
      </c>
      <c r="I2098" s="12">
        <f>IF($H2098="","",IF($H2098=0,"Non trouvé",IF($H2098=1,"Match","À vérifier")))</f>
        <v/>
      </c>
      <c r="J2098" s="21">
        <f>IF($I2098&lt;&gt;"Match","",INDEX(Ventes_Encaissements!$B$6:$B$3005,_xludf.AGGREGATE(15,6,(ROW(Ventes_Encaissements!$B$6:$B$3005)-ROW(Ventes_Encaissements!$B$6)+1)/((Ventes_Encaissements!$E$6:$E$3005=$B2098)*(Ventes_Encaissements!$J$6:$J$3005=$G2098)*(Ventes_Encaissements!$C$6:$C$3005&gt;=$C2098-3)*(Ventes_Encaissements!$C$6:$C$3005&lt;=$C2098+3)),1)))</f>
        <v/>
      </c>
      <c r="K2098" s="6" t="n"/>
    </row>
    <row r="2099">
      <c r="A2099" s="6" t="n"/>
      <c r="B2099" s="6" t="n"/>
      <c r="C2099" s="19" t="n"/>
      <c r="D2099" s="19" t="n"/>
      <c r="E2099" s="6" t="n"/>
      <c r="F2099" s="20" t="n"/>
      <c r="G2099" s="9">
        <f>IF($F2099="","",IF($F2099&gt;0,ROUND($F2099,2),""))</f>
        <v/>
      </c>
      <c r="H2099" s="12">
        <f>IF(OR($B2099="",$C2099="",$G2099=""),"",COUNTIFS(Ventes_Encaissements!$E$6:$E$3005,$B2099,Ventes_Encaissements!$J$6:$J$3005,$G2099,Ventes_Encaissements!$C$6:$C$3005,"&gt;="&amp;($C2099-3),Ventes_Encaissements!$C$6:$C$3005,"&lt;="&amp;($C2099+3)))</f>
        <v/>
      </c>
      <c r="I2099" s="12">
        <f>IF($H2099="","",IF($H2099=0,"Non trouvé",IF($H2099=1,"Match","À vérifier")))</f>
        <v/>
      </c>
      <c r="J2099" s="21">
        <f>IF($I2099&lt;&gt;"Match","",INDEX(Ventes_Encaissements!$B$6:$B$3005,_xludf.AGGREGATE(15,6,(ROW(Ventes_Encaissements!$B$6:$B$3005)-ROW(Ventes_Encaissements!$B$6)+1)/((Ventes_Encaissements!$E$6:$E$3005=$B2099)*(Ventes_Encaissements!$J$6:$J$3005=$G2099)*(Ventes_Encaissements!$C$6:$C$3005&gt;=$C2099-3)*(Ventes_Encaissements!$C$6:$C$3005&lt;=$C2099+3)),1)))</f>
        <v/>
      </c>
      <c r="K2099" s="6" t="n"/>
    </row>
    <row r="2100">
      <c r="A2100" s="6" t="n"/>
      <c r="B2100" s="6" t="n"/>
      <c r="C2100" s="19" t="n"/>
      <c r="D2100" s="19" t="n"/>
      <c r="E2100" s="6" t="n"/>
      <c r="F2100" s="20" t="n"/>
      <c r="G2100" s="9">
        <f>IF($F2100="","",IF($F2100&gt;0,ROUND($F2100,2),""))</f>
        <v/>
      </c>
      <c r="H2100" s="12">
        <f>IF(OR($B2100="",$C2100="",$G2100=""),"",COUNTIFS(Ventes_Encaissements!$E$6:$E$3005,$B2100,Ventes_Encaissements!$J$6:$J$3005,$G2100,Ventes_Encaissements!$C$6:$C$3005,"&gt;="&amp;($C2100-3),Ventes_Encaissements!$C$6:$C$3005,"&lt;="&amp;($C2100+3)))</f>
        <v/>
      </c>
      <c r="I2100" s="12">
        <f>IF($H2100="","",IF($H2100=0,"Non trouvé",IF($H2100=1,"Match","À vérifier")))</f>
        <v/>
      </c>
      <c r="J2100" s="21">
        <f>IF($I2100&lt;&gt;"Match","",INDEX(Ventes_Encaissements!$B$6:$B$3005,_xludf.AGGREGATE(15,6,(ROW(Ventes_Encaissements!$B$6:$B$3005)-ROW(Ventes_Encaissements!$B$6)+1)/((Ventes_Encaissements!$E$6:$E$3005=$B2100)*(Ventes_Encaissements!$J$6:$J$3005=$G2100)*(Ventes_Encaissements!$C$6:$C$3005&gt;=$C2100-3)*(Ventes_Encaissements!$C$6:$C$3005&lt;=$C2100+3)),1)))</f>
        <v/>
      </c>
      <c r="K2100" s="6" t="n"/>
    </row>
    <row r="2101">
      <c r="A2101" s="6" t="n"/>
      <c r="B2101" s="6" t="n"/>
      <c r="C2101" s="19" t="n"/>
      <c r="D2101" s="19" t="n"/>
      <c r="E2101" s="6" t="n"/>
      <c r="F2101" s="20" t="n"/>
      <c r="G2101" s="9">
        <f>IF($F2101="","",IF($F2101&gt;0,ROUND($F2101,2),""))</f>
        <v/>
      </c>
      <c r="H2101" s="12">
        <f>IF(OR($B2101="",$C2101="",$G2101=""),"",COUNTIFS(Ventes_Encaissements!$E$6:$E$3005,$B2101,Ventes_Encaissements!$J$6:$J$3005,$G2101,Ventes_Encaissements!$C$6:$C$3005,"&gt;="&amp;($C2101-3),Ventes_Encaissements!$C$6:$C$3005,"&lt;="&amp;($C2101+3)))</f>
        <v/>
      </c>
      <c r="I2101" s="12">
        <f>IF($H2101="","",IF($H2101=0,"Non trouvé",IF($H2101=1,"Match","À vérifier")))</f>
        <v/>
      </c>
      <c r="J2101" s="21">
        <f>IF($I2101&lt;&gt;"Match","",INDEX(Ventes_Encaissements!$B$6:$B$3005,_xludf.AGGREGATE(15,6,(ROW(Ventes_Encaissements!$B$6:$B$3005)-ROW(Ventes_Encaissements!$B$6)+1)/((Ventes_Encaissements!$E$6:$E$3005=$B2101)*(Ventes_Encaissements!$J$6:$J$3005=$G2101)*(Ventes_Encaissements!$C$6:$C$3005&gt;=$C2101-3)*(Ventes_Encaissements!$C$6:$C$3005&lt;=$C2101+3)),1)))</f>
        <v/>
      </c>
      <c r="K2101" s="6" t="n"/>
    </row>
    <row r="2102">
      <c r="A2102" s="6" t="n"/>
      <c r="B2102" s="6" t="n"/>
      <c r="C2102" s="19" t="n"/>
      <c r="D2102" s="19" t="n"/>
      <c r="E2102" s="6" t="n"/>
      <c r="F2102" s="20" t="n"/>
      <c r="G2102" s="9">
        <f>IF($F2102="","",IF($F2102&gt;0,ROUND($F2102,2),""))</f>
        <v/>
      </c>
      <c r="H2102" s="12">
        <f>IF(OR($B2102="",$C2102="",$G2102=""),"",COUNTIFS(Ventes_Encaissements!$E$6:$E$3005,$B2102,Ventes_Encaissements!$J$6:$J$3005,$G2102,Ventes_Encaissements!$C$6:$C$3005,"&gt;="&amp;($C2102-3),Ventes_Encaissements!$C$6:$C$3005,"&lt;="&amp;($C2102+3)))</f>
        <v/>
      </c>
      <c r="I2102" s="12">
        <f>IF($H2102="","",IF($H2102=0,"Non trouvé",IF($H2102=1,"Match","À vérifier")))</f>
        <v/>
      </c>
      <c r="J2102" s="21">
        <f>IF($I2102&lt;&gt;"Match","",INDEX(Ventes_Encaissements!$B$6:$B$3005,_xludf.AGGREGATE(15,6,(ROW(Ventes_Encaissements!$B$6:$B$3005)-ROW(Ventes_Encaissements!$B$6)+1)/((Ventes_Encaissements!$E$6:$E$3005=$B2102)*(Ventes_Encaissements!$J$6:$J$3005=$G2102)*(Ventes_Encaissements!$C$6:$C$3005&gt;=$C2102-3)*(Ventes_Encaissements!$C$6:$C$3005&lt;=$C2102+3)),1)))</f>
        <v/>
      </c>
      <c r="K2102" s="6" t="n"/>
    </row>
    <row r="2103">
      <c r="A2103" s="6" t="n"/>
      <c r="B2103" s="6" t="n"/>
      <c r="C2103" s="19" t="n"/>
      <c r="D2103" s="19" t="n"/>
      <c r="E2103" s="6" t="n"/>
      <c r="F2103" s="20" t="n"/>
      <c r="G2103" s="9">
        <f>IF($F2103="","",IF($F2103&gt;0,ROUND($F2103,2),""))</f>
        <v/>
      </c>
      <c r="H2103" s="12">
        <f>IF(OR($B2103="",$C2103="",$G2103=""),"",COUNTIFS(Ventes_Encaissements!$E$6:$E$3005,$B2103,Ventes_Encaissements!$J$6:$J$3005,$G2103,Ventes_Encaissements!$C$6:$C$3005,"&gt;="&amp;($C2103-3),Ventes_Encaissements!$C$6:$C$3005,"&lt;="&amp;($C2103+3)))</f>
        <v/>
      </c>
      <c r="I2103" s="12">
        <f>IF($H2103="","",IF($H2103=0,"Non trouvé",IF($H2103=1,"Match","À vérifier")))</f>
        <v/>
      </c>
      <c r="J2103" s="21">
        <f>IF($I2103&lt;&gt;"Match","",INDEX(Ventes_Encaissements!$B$6:$B$3005,_xludf.AGGREGATE(15,6,(ROW(Ventes_Encaissements!$B$6:$B$3005)-ROW(Ventes_Encaissements!$B$6)+1)/((Ventes_Encaissements!$E$6:$E$3005=$B2103)*(Ventes_Encaissements!$J$6:$J$3005=$G2103)*(Ventes_Encaissements!$C$6:$C$3005&gt;=$C2103-3)*(Ventes_Encaissements!$C$6:$C$3005&lt;=$C2103+3)),1)))</f>
        <v/>
      </c>
      <c r="K2103" s="6" t="n"/>
    </row>
    <row r="2104">
      <c r="A2104" s="6" t="n"/>
      <c r="B2104" s="6" t="n"/>
      <c r="C2104" s="19" t="n"/>
      <c r="D2104" s="19" t="n"/>
      <c r="E2104" s="6" t="n"/>
      <c r="F2104" s="20" t="n"/>
      <c r="G2104" s="9">
        <f>IF($F2104="","",IF($F2104&gt;0,ROUND($F2104,2),""))</f>
        <v/>
      </c>
      <c r="H2104" s="12">
        <f>IF(OR($B2104="",$C2104="",$G2104=""),"",COUNTIFS(Ventes_Encaissements!$E$6:$E$3005,$B2104,Ventes_Encaissements!$J$6:$J$3005,$G2104,Ventes_Encaissements!$C$6:$C$3005,"&gt;="&amp;($C2104-3),Ventes_Encaissements!$C$6:$C$3005,"&lt;="&amp;($C2104+3)))</f>
        <v/>
      </c>
      <c r="I2104" s="12">
        <f>IF($H2104="","",IF($H2104=0,"Non trouvé",IF($H2104=1,"Match","À vérifier")))</f>
        <v/>
      </c>
      <c r="J2104" s="21">
        <f>IF($I2104&lt;&gt;"Match","",INDEX(Ventes_Encaissements!$B$6:$B$3005,_xludf.AGGREGATE(15,6,(ROW(Ventes_Encaissements!$B$6:$B$3005)-ROW(Ventes_Encaissements!$B$6)+1)/((Ventes_Encaissements!$E$6:$E$3005=$B2104)*(Ventes_Encaissements!$J$6:$J$3005=$G2104)*(Ventes_Encaissements!$C$6:$C$3005&gt;=$C2104-3)*(Ventes_Encaissements!$C$6:$C$3005&lt;=$C2104+3)),1)))</f>
        <v/>
      </c>
      <c r="K2104" s="6" t="n"/>
    </row>
    <row r="2105">
      <c r="A2105" s="6" t="n"/>
      <c r="B2105" s="6" t="n"/>
      <c r="C2105" s="19" t="n"/>
      <c r="D2105" s="19" t="n"/>
      <c r="E2105" s="6" t="n"/>
      <c r="F2105" s="20" t="n"/>
      <c r="G2105" s="9">
        <f>IF($F2105="","",IF($F2105&gt;0,ROUND($F2105,2),""))</f>
        <v/>
      </c>
      <c r="H2105" s="12">
        <f>IF(OR($B2105="",$C2105="",$G2105=""),"",COUNTIFS(Ventes_Encaissements!$E$6:$E$3005,$B2105,Ventes_Encaissements!$J$6:$J$3005,$G2105,Ventes_Encaissements!$C$6:$C$3005,"&gt;="&amp;($C2105-3),Ventes_Encaissements!$C$6:$C$3005,"&lt;="&amp;($C2105+3)))</f>
        <v/>
      </c>
      <c r="I2105" s="12">
        <f>IF($H2105="","",IF($H2105=0,"Non trouvé",IF($H2105=1,"Match","À vérifier")))</f>
        <v/>
      </c>
      <c r="J2105" s="21">
        <f>IF($I2105&lt;&gt;"Match","",INDEX(Ventes_Encaissements!$B$6:$B$3005,_xludf.AGGREGATE(15,6,(ROW(Ventes_Encaissements!$B$6:$B$3005)-ROW(Ventes_Encaissements!$B$6)+1)/((Ventes_Encaissements!$E$6:$E$3005=$B2105)*(Ventes_Encaissements!$J$6:$J$3005=$G2105)*(Ventes_Encaissements!$C$6:$C$3005&gt;=$C2105-3)*(Ventes_Encaissements!$C$6:$C$3005&lt;=$C2105+3)),1)))</f>
        <v/>
      </c>
      <c r="K2105" s="6" t="n"/>
    </row>
    <row r="2106">
      <c r="A2106" s="6" t="n"/>
      <c r="B2106" s="6" t="n"/>
      <c r="C2106" s="19" t="n"/>
      <c r="D2106" s="19" t="n"/>
      <c r="E2106" s="6" t="n"/>
      <c r="F2106" s="20" t="n"/>
      <c r="G2106" s="9">
        <f>IF($F2106="","",IF($F2106&gt;0,ROUND($F2106,2),""))</f>
        <v/>
      </c>
      <c r="H2106" s="12">
        <f>IF(OR($B2106="",$C2106="",$G2106=""),"",COUNTIFS(Ventes_Encaissements!$E$6:$E$3005,$B2106,Ventes_Encaissements!$J$6:$J$3005,$G2106,Ventes_Encaissements!$C$6:$C$3005,"&gt;="&amp;($C2106-3),Ventes_Encaissements!$C$6:$C$3005,"&lt;="&amp;($C2106+3)))</f>
        <v/>
      </c>
      <c r="I2106" s="12">
        <f>IF($H2106="","",IF($H2106=0,"Non trouvé",IF($H2106=1,"Match","À vérifier")))</f>
        <v/>
      </c>
      <c r="J2106" s="21">
        <f>IF($I2106&lt;&gt;"Match","",INDEX(Ventes_Encaissements!$B$6:$B$3005,_xludf.AGGREGATE(15,6,(ROW(Ventes_Encaissements!$B$6:$B$3005)-ROW(Ventes_Encaissements!$B$6)+1)/((Ventes_Encaissements!$E$6:$E$3005=$B2106)*(Ventes_Encaissements!$J$6:$J$3005=$G2106)*(Ventes_Encaissements!$C$6:$C$3005&gt;=$C2106-3)*(Ventes_Encaissements!$C$6:$C$3005&lt;=$C2106+3)),1)))</f>
        <v/>
      </c>
      <c r="K2106" s="6" t="n"/>
    </row>
    <row r="2107">
      <c r="A2107" s="6" t="n"/>
      <c r="B2107" s="6" t="n"/>
      <c r="C2107" s="19" t="n"/>
      <c r="D2107" s="19" t="n"/>
      <c r="E2107" s="6" t="n"/>
      <c r="F2107" s="20" t="n"/>
      <c r="G2107" s="9">
        <f>IF($F2107="","",IF($F2107&gt;0,ROUND($F2107,2),""))</f>
        <v/>
      </c>
      <c r="H2107" s="12">
        <f>IF(OR($B2107="",$C2107="",$G2107=""),"",COUNTIFS(Ventes_Encaissements!$E$6:$E$3005,$B2107,Ventes_Encaissements!$J$6:$J$3005,$G2107,Ventes_Encaissements!$C$6:$C$3005,"&gt;="&amp;($C2107-3),Ventes_Encaissements!$C$6:$C$3005,"&lt;="&amp;($C2107+3)))</f>
        <v/>
      </c>
      <c r="I2107" s="12">
        <f>IF($H2107="","",IF($H2107=0,"Non trouvé",IF($H2107=1,"Match","À vérifier")))</f>
        <v/>
      </c>
      <c r="J2107" s="21">
        <f>IF($I2107&lt;&gt;"Match","",INDEX(Ventes_Encaissements!$B$6:$B$3005,_xludf.AGGREGATE(15,6,(ROW(Ventes_Encaissements!$B$6:$B$3005)-ROW(Ventes_Encaissements!$B$6)+1)/((Ventes_Encaissements!$E$6:$E$3005=$B2107)*(Ventes_Encaissements!$J$6:$J$3005=$G2107)*(Ventes_Encaissements!$C$6:$C$3005&gt;=$C2107-3)*(Ventes_Encaissements!$C$6:$C$3005&lt;=$C2107+3)),1)))</f>
        <v/>
      </c>
      <c r="K2107" s="6" t="n"/>
    </row>
    <row r="2108">
      <c r="A2108" s="6" t="n"/>
      <c r="B2108" s="6" t="n"/>
      <c r="C2108" s="19" t="n"/>
      <c r="D2108" s="19" t="n"/>
      <c r="E2108" s="6" t="n"/>
      <c r="F2108" s="20" t="n"/>
      <c r="G2108" s="9">
        <f>IF($F2108="","",IF($F2108&gt;0,ROUND($F2108,2),""))</f>
        <v/>
      </c>
      <c r="H2108" s="12">
        <f>IF(OR($B2108="",$C2108="",$G2108=""),"",COUNTIFS(Ventes_Encaissements!$E$6:$E$3005,$B2108,Ventes_Encaissements!$J$6:$J$3005,$G2108,Ventes_Encaissements!$C$6:$C$3005,"&gt;="&amp;($C2108-3),Ventes_Encaissements!$C$6:$C$3005,"&lt;="&amp;($C2108+3)))</f>
        <v/>
      </c>
      <c r="I2108" s="12">
        <f>IF($H2108="","",IF($H2108=0,"Non trouvé",IF($H2108=1,"Match","À vérifier")))</f>
        <v/>
      </c>
      <c r="J2108" s="21">
        <f>IF($I2108&lt;&gt;"Match","",INDEX(Ventes_Encaissements!$B$6:$B$3005,_xludf.AGGREGATE(15,6,(ROW(Ventes_Encaissements!$B$6:$B$3005)-ROW(Ventes_Encaissements!$B$6)+1)/((Ventes_Encaissements!$E$6:$E$3005=$B2108)*(Ventes_Encaissements!$J$6:$J$3005=$G2108)*(Ventes_Encaissements!$C$6:$C$3005&gt;=$C2108-3)*(Ventes_Encaissements!$C$6:$C$3005&lt;=$C2108+3)),1)))</f>
        <v/>
      </c>
      <c r="K2108" s="6" t="n"/>
    </row>
    <row r="2109">
      <c r="A2109" s="6" t="n"/>
      <c r="B2109" s="6" t="n"/>
      <c r="C2109" s="19" t="n"/>
      <c r="D2109" s="19" t="n"/>
      <c r="E2109" s="6" t="n"/>
      <c r="F2109" s="20" t="n"/>
      <c r="G2109" s="9">
        <f>IF($F2109="","",IF($F2109&gt;0,ROUND($F2109,2),""))</f>
        <v/>
      </c>
      <c r="H2109" s="12">
        <f>IF(OR($B2109="",$C2109="",$G2109=""),"",COUNTIFS(Ventes_Encaissements!$E$6:$E$3005,$B2109,Ventes_Encaissements!$J$6:$J$3005,$G2109,Ventes_Encaissements!$C$6:$C$3005,"&gt;="&amp;($C2109-3),Ventes_Encaissements!$C$6:$C$3005,"&lt;="&amp;($C2109+3)))</f>
        <v/>
      </c>
      <c r="I2109" s="12">
        <f>IF($H2109="","",IF($H2109=0,"Non trouvé",IF($H2109=1,"Match","À vérifier")))</f>
        <v/>
      </c>
      <c r="J2109" s="21">
        <f>IF($I2109&lt;&gt;"Match","",INDEX(Ventes_Encaissements!$B$6:$B$3005,_xludf.AGGREGATE(15,6,(ROW(Ventes_Encaissements!$B$6:$B$3005)-ROW(Ventes_Encaissements!$B$6)+1)/((Ventes_Encaissements!$E$6:$E$3005=$B2109)*(Ventes_Encaissements!$J$6:$J$3005=$G2109)*(Ventes_Encaissements!$C$6:$C$3005&gt;=$C2109-3)*(Ventes_Encaissements!$C$6:$C$3005&lt;=$C2109+3)),1)))</f>
        <v/>
      </c>
      <c r="K2109" s="6" t="n"/>
    </row>
    <row r="2110">
      <c r="A2110" s="6" t="n"/>
      <c r="B2110" s="6" t="n"/>
      <c r="C2110" s="19" t="n"/>
      <c r="D2110" s="19" t="n"/>
      <c r="E2110" s="6" t="n"/>
      <c r="F2110" s="20" t="n"/>
      <c r="G2110" s="9">
        <f>IF($F2110="","",IF($F2110&gt;0,ROUND($F2110,2),""))</f>
        <v/>
      </c>
      <c r="H2110" s="12">
        <f>IF(OR($B2110="",$C2110="",$G2110=""),"",COUNTIFS(Ventes_Encaissements!$E$6:$E$3005,$B2110,Ventes_Encaissements!$J$6:$J$3005,$G2110,Ventes_Encaissements!$C$6:$C$3005,"&gt;="&amp;($C2110-3),Ventes_Encaissements!$C$6:$C$3005,"&lt;="&amp;($C2110+3)))</f>
        <v/>
      </c>
      <c r="I2110" s="12">
        <f>IF($H2110="","",IF($H2110=0,"Non trouvé",IF($H2110=1,"Match","À vérifier")))</f>
        <v/>
      </c>
      <c r="J2110" s="21">
        <f>IF($I2110&lt;&gt;"Match","",INDEX(Ventes_Encaissements!$B$6:$B$3005,_xludf.AGGREGATE(15,6,(ROW(Ventes_Encaissements!$B$6:$B$3005)-ROW(Ventes_Encaissements!$B$6)+1)/((Ventes_Encaissements!$E$6:$E$3005=$B2110)*(Ventes_Encaissements!$J$6:$J$3005=$G2110)*(Ventes_Encaissements!$C$6:$C$3005&gt;=$C2110-3)*(Ventes_Encaissements!$C$6:$C$3005&lt;=$C2110+3)),1)))</f>
        <v/>
      </c>
      <c r="K2110" s="6" t="n"/>
    </row>
    <row r="2111">
      <c r="A2111" s="6" t="n"/>
      <c r="B2111" s="6" t="n"/>
      <c r="C2111" s="19" t="n"/>
      <c r="D2111" s="19" t="n"/>
      <c r="E2111" s="6" t="n"/>
      <c r="F2111" s="20" t="n"/>
      <c r="G2111" s="9">
        <f>IF($F2111="","",IF($F2111&gt;0,ROUND($F2111,2),""))</f>
        <v/>
      </c>
      <c r="H2111" s="12">
        <f>IF(OR($B2111="",$C2111="",$G2111=""),"",COUNTIFS(Ventes_Encaissements!$E$6:$E$3005,$B2111,Ventes_Encaissements!$J$6:$J$3005,$G2111,Ventes_Encaissements!$C$6:$C$3005,"&gt;="&amp;($C2111-3),Ventes_Encaissements!$C$6:$C$3005,"&lt;="&amp;($C2111+3)))</f>
        <v/>
      </c>
      <c r="I2111" s="12">
        <f>IF($H2111="","",IF($H2111=0,"Non trouvé",IF($H2111=1,"Match","À vérifier")))</f>
        <v/>
      </c>
      <c r="J2111" s="21">
        <f>IF($I2111&lt;&gt;"Match","",INDEX(Ventes_Encaissements!$B$6:$B$3005,_xludf.AGGREGATE(15,6,(ROW(Ventes_Encaissements!$B$6:$B$3005)-ROW(Ventes_Encaissements!$B$6)+1)/((Ventes_Encaissements!$E$6:$E$3005=$B2111)*(Ventes_Encaissements!$J$6:$J$3005=$G2111)*(Ventes_Encaissements!$C$6:$C$3005&gt;=$C2111-3)*(Ventes_Encaissements!$C$6:$C$3005&lt;=$C2111+3)),1)))</f>
        <v/>
      </c>
      <c r="K2111" s="6" t="n"/>
    </row>
    <row r="2112">
      <c r="A2112" s="6" t="n"/>
      <c r="B2112" s="6" t="n"/>
      <c r="C2112" s="19" t="n"/>
      <c r="D2112" s="19" t="n"/>
      <c r="E2112" s="6" t="n"/>
      <c r="F2112" s="20" t="n"/>
      <c r="G2112" s="9">
        <f>IF($F2112="","",IF($F2112&gt;0,ROUND($F2112,2),""))</f>
        <v/>
      </c>
      <c r="H2112" s="12">
        <f>IF(OR($B2112="",$C2112="",$G2112=""),"",COUNTIFS(Ventes_Encaissements!$E$6:$E$3005,$B2112,Ventes_Encaissements!$J$6:$J$3005,$G2112,Ventes_Encaissements!$C$6:$C$3005,"&gt;="&amp;($C2112-3),Ventes_Encaissements!$C$6:$C$3005,"&lt;="&amp;($C2112+3)))</f>
        <v/>
      </c>
      <c r="I2112" s="12">
        <f>IF($H2112="","",IF($H2112=0,"Non trouvé",IF($H2112=1,"Match","À vérifier")))</f>
        <v/>
      </c>
      <c r="J2112" s="21">
        <f>IF($I2112&lt;&gt;"Match","",INDEX(Ventes_Encaissements!$B$6:$B$3005,_xludf.AGGREGATE(15,6,(ROW(Ventes_Encaissements!$B$6:$B$3005)-ROW(Ventes_Encaissements!$B$6)+1)/((Ventes_Encaissements!$E$6:$E$3005=$B2112)*(Ventes_Encaissements!$J$6:$J$3005=$G2112)*(Ventes_Encaissements!$C$6:$C$3005&gt;=$C2112-3)*(Ventes_Encaissements!$C$6:$C$3005&lt;=$C2112+3)),1)))</f>
        <v/>
      </c>
      <c r="K2112" s="6" t="n"/>
    </row>
    <row r="2113">
      <c r="A2113" s="6" t="n"/>
      <c r="B2113" s="6" t="n"/>
      <c r="C2113" s="19" t="n"/>
      <c r="D2113" s="19" t="n"/>
      <c r="E2113" s="6" t="n"/>
      <c r="F2113" s="20" t="n"/>
      <c r="G2113" s="9">
        <f>IF($F2113="","",IF($F2113&gt;0,ROUND($F2113,2),""))</f>
        <v/>
      </c>
      <c r="H2113" s="12">
        <f>IF(OR($B2113="",$C2113="",$G2113=""),"",COUNTIFS(Ventes_Encaissements!$E$6:$E$3005,$B2113,Ventes_Encaissements!$J$6:$J$3005,$G2113,Ventes_Encaissements!$C$6:$C$3005,"&gt;="&amp;($C2113-3),Ventes_Encaissements!$C$6:$C$3005,"&lt;="&amp;($C2113+3)))</f>
        <v/>
      </c>
      <c r="I2113" s="12">
        <f>IF($H2113="","",IF($H2113=0,"Non trouvé",IF($H2113=1,"Match","À vérifier")))</f>
        <v/>
      </c>
      <c r="J2113" s="21">
        <f>IF($I2113&lt;&gt;"Match","",INDEX(Ventes_Encaissements!$B$6:$B$3005,_xludf.AGGREGATE(15,6,(ROW(Ventes_Encaissements!$B$6:$B$3005)-ROW(Ventes_Encaissements!$B$6)+1)/((Ventes_Encaissements!$E$6:$E$3005=$B2113)*(Ventes_Encaissements!$J$6:$J$3005=$G2113)*(Ventes_Encaissements!$C$6:$C$3005&gt;=$C2113-3)*(Ventes_Encaissements!$C$6:$C$3005&lt;=$C2113+3)),1)))</f>
        <v/>
      </c>
      <c r="K2113" s="6" t="n"/>
    </row>
    <row r="2114">
      <c r="A2114" s="6" t="n"/>
      <c r="B2114" s="6" t="n"/>
      <c r="C2114" s="19" t="n"/>
      <c r="D2114" s="19" t="n"/>
      <c r="E2114" s="6" t="n"/>
      <c r="F2114" s="20" t="n"/>
      <c r="G2114" s="9">
        <f>IF($F2114="","",IF($F2114&gt;0,ROUND($F2114,2),""))</f>
        <v/>
      </c>
      <c r="H2114" s="12">
        <f>IF(OR($B2114="",$C2114="",$G2114=""),"",COUNTIFS(Ventes_Encaissements!$E$6:$E$3005,$B2114,Ventes_Encaissements!$J$6:$J$3005,$G2114,Ventes_Encaissements!$C$6:$C$3005,"&gt;="&amp;($C2114-3),Ventes_Encaissements!$C$6:$C$3005,"&lt;="&amp;($C2114+3)))</f>
        <v/>
      </c>
      <c r="I2114" s="12">
        <f>IF($H2114="","",IF($H2114=0,"Non trouvé",IF($H2114=1,"Match","À vérifier")))</f>
        <v/>
      </c>
      <c r="J2114" s="21">
        <f>IF($I2114&lt;&gt;"Match","",INDEX(Ventes_Encaissements!$B$6:$B$3005,_xludf.AGGREGATE(15,6,(ROW(Ventes_Encaissements!$B$6:$B$3005)-ROW(Ventes_Encaissements!$B$6)+1)/((Ventes_Encaissements!$E$6:$E$3005=$B2114)*(Ventes_Encaissements!$J$6:$J$3005=$G2114)*(Ventes_Encaissements!$C$6:$C$3005&gt;=$C2114-3)*(Ventes_Encaissements!$C$6:$C$3005&lt;=$C2114+3)),1)))</f>
        <v/>
      </c>
      <c r="K2114" s="6" t="n"/>
    </row>
    <row r="2115">
      <c r="A2115" s="6" t="n"/>
      <c r="B2115" s="6" t="n"/>
      <c r="C2115" s="19" t="n"/>
      <c r="D2115" s="19" t="n"/>
      <c r="E2115" s="6" t="n"/>
      <c r="F2115" s="20" t="n"/>
      <c r="G2115" s="9">
        <f>IF($F2115="","",IF($F2115&gt;0,ROUND($F2115,2),""))</f>
        <v/>
      </c>
      <c r="H2115" s="12">
        <f>IF(OR($B2115="",$C2115="",$G2115=""),"",COUNTIFS(Ventes_Encaissements!$E$6:$E$3005,$B2115,Ventes_Encaissements!$J$6:$J$3005,$G2115,Ventes_Encaissements!$C$6:$C$3005,"&gt;="&amp;($C2115-3),Ventes_Encaissements!$C$6:$C$3005,"&lt;="&amp;($C2115+3)))</f>
        <v/>
      </c>
      <c r="I2115" s="12">
        <f>IF($H2115="","",IF($H2115=0,"Non trouvé",IF($H2115=1,"Match","À vérifier")))</f>
        <v/>
      </c>
      <c r="J2115" s="21">
        <f>IF($I2115&lt;&gt;"Match","",INDEX(Ventes_Encaissements!$B$6:$B$3005,_xludf.AGGREGATE(15,6,(ROW(Ventes_Encaissements!$B$6:$B$3005)-ROW(Ventes_Encaissements!$B$6)+1)/((Ventes_Encaissements!$E$6:$E$3005=$B2115)*(Ventes_Encaissements!$J$6:$J$3005=$G2115)*(Ventes_Encaissements!$C$6:$C$3005&gt;=$C2115-3)*(Ventes_Encaissements!$C$6:$C$3005&lt;=$C2115+3)),1)))</f>
        <v/>
      </c>
      <c r="K2115" s="6" t="n"/>
    </row>
    <row r="2116">
      <c r="A2116" s="6" t="n"/>
      <c r="B2116" s="6" t="n"/>
      <c r="C2116" s="19" t="n"/>
      <c r="D2116" s="19" t="n"/>
      <c r="E2116" s="6" t="n"/>
      <c r="F2116" s="20" t="n"/>
      <c r="G2116" s="9">
        <f>IF($F2116="","",IF($F2116&gt;0,ROUND($F2116,2),""))</f>
        <v/>
      </c>
      <c r="H2116" s="12">
        <f>IF(OR($B2116="",$C2116="",$G2116=""),"",COUNTIFS(Ventes_Encaissements!$E$6:$E$3005,$B2116,Ventes_Encaissements!$J$6:$J$3005,$G2116,Ventes_Encaissements!$C$6:$C$3005,"&gt;="&amp;($C2116-3),Ventes_Encaissements!$C$6:$C$3005,"&lt;="&amp;($C2116+3)))</f>
        <v/>
      </c>
      <c r="I2116" s="12">
        <f>IF($H2116="","",IF($H2116=0,"Non trouvé",IF($H2116=1,"Match","À vérifier")))</f>
        <v/>
      </c>
      <c r="J2116" s="21">
        <f>IF($I2116&lt;&gt;"Match","",INDEX(Ventes_Encaissements!$B$6:$B$3005,_xludf.AGGREGATE(15,6,(ROW(Ventes_Encaissements!$B$6:$B$3005)-ROW(Ventes_Encaissements!$B$6)+1)/((Ventes_Encaissements!$E$6:$E$3005=$B2116)*(Ventes_Encaissements!$J$6:$J$3005=$G2116)*(Ventes_Encaissements!$C$6:$C$3005&gt;=$C2116-3)*(Ventes_Encaissements!$C$6:$C$3005&lt;=$C2116+3)),1)))</f>
        <v/>
      </c>
      <c r="K2116" s="6" t="n"/>
    </row>
    <row r="2117">
      <c r="A2117" s="6" t="n"/>
      <c r="B2117" s="6" t="n"/>
      <c r="C2117" s="19" t="n"/>
      <c r="D2117" s="19" t="n"/>
      <c r="E2117" s="6" t="n"/>
      <c r="F2117" s="20" t="n"/>
      <c r="G2117" s="9">
        <f>IF($F2117="","",IF($F2117&gt;0,ROUND($F2117,2),""))</f>
        <v/>
      </c>
      <c r="H2117" s="12">
        <f>IF(OR($B2117="",$C2117="",$G2117=""),"",COUNTIFS(Ventes_Encaissements!$E$6:$E$3005,$B2117,Ventes_Encaissements!$J$6:$J$3005,$G2117,Ventes_Encaissements!$C$6:$C$3005,"&gt;="&amp;($C2117-3),Ventes_Encaissements!$C$6:$C$3005,"&lt;="&amp;($C2117+3)))</f>
        <v/>
      </c>
      <c r="I2117" s="12">
        <f>IF($H2117="","",IF($H2117=0,"Non trouvé",IF($H2117=1,"Match","À vérifier")))</f>
        <v/>
      </c>
      <c r="J2117" s="21">
        <f>IF($I2117&lt;&gt;"Match","",INDEX(Ventes_Encaissements!$B$6:$B$3005,_xludf.AGGREGATE(15,6,(ROW(Ventes_Encaissements!$B$6:$B$3005)-ROW(Ventes_Encaissements!$B$6)+1)/((Ventes_Encaissements!$E$6:$E$3005=$B2117)*(Ventes_Encaissements!$J$6:$J$3005=$G2117)*(Ventes_Encaissements!$C$6:$C$3005&gt;=$C2117-3)*(Ventes_Encaissements!$C$6:$C$3005&lt;=$C2117+3)),1)))</f>
        <v/>
      </c>
      <c r="K2117" s="6" t="n"/>
    </row>
    <row r="2118">
      <c r="A2118" s="6" t="n"/>
      <c r="B2118" s="6" t="n"/>
      <c r="C2118" s="19" t="n"/>
      <c r="D2118" s="19" t="n"/>
      <c r="E2118" s="6" t="n"/>
      <c r="F2118" s="20" t="n"/>
      <c r="G2118" s="9">
        <f>IF($F2118="","",IF($F2118&gt;0,ROUND($F2118,2),""))</f>
        <v/>
      </c>
      <c r="H2118" s="12">
        <f>IF(OR($B2118="",$C2118="",$G2118=""),"",COUNTIFS(Ventes_Encaissements!$E$6:$E$3005,$B2118,Ventes_Encaissements!$J$6:$J$3005,$G2118,Ventes_Encaissements!$C$6:$C$3005,"&gt;="&amp;($C2118-3),Ventes_Encaissements!$C$6:$C$3005,"&lt;="&amp;($C2118+3)))</f>
        <v/>
      </c>
      <c r="I2118" s="12">
        <f>IF($H2118="","",IF($H2118=0,"Non trouvé",IF($H2118=1,"Match","À vérifier")))</f>
        <v/>
      </c>
      <c r="J2118" s="21">
        <f>IF($I2118&lt;&gt;"Match","",INDEX(Ventes_Encaissements!$B$6:$B$3005,_xludf.AGGREGATE(15,6,(ROW(Ventes_Encaissements!$B$6:$B$3005)-ROW(Ventes_Encaissements!$B$6)+1)/((Ventes_Encaissements!$E$6:$E$3005=$B2118)*(Ventes_Encaissements!$J$6:$J$3005=$G2118)*(Ventes_Encaissements!$C$6:$C$3005&gt;=$C2118-3)*(Ventes_Encaissements!$C$6:$C$3005&lt;=$C2118+3)),1)))</f>
        <v/>
      </c>
      <c r="K2118" s="6" t="n"/>
    </row>
    <row r="2119">
      <c r="A2119" s="6" t="n"/>
      <c r="B2119" s="6" t="n"/>
      <c r="C2119" s="19" t="n"/>
      <c r="D2119" s="19" t="n"/>
      <c r="E2119" s="6" t="n"/>
      <c r="F2119" s="20" t="n"/>
      <c r="G2119" s="9">
        <f>IF($F2119="","",IF($F2119&gt;0,ROUND($F2119,2),""))</f>
        <v/>
      </c>
      <c r="H2119" s="12">
        <f>IF(OR($B2119="",$C2119="",$G2119=""),"",COUNTIFS(Ventes_Encaissements!$E$6:$E$3005,$B2119,Ventes_Encaissements!$J$6:$J$3005,$G2119,Ventes_Encaissements!$C$6:$C$3005,"&gt;="&amp;($C2119-3),Ventes_Encaissements!$C$6:$C$3005,"&lt;="&amp;($C2119+3)))</f>
        <v/>
      </c>
      <c r="I2119" s="12">
        <f>IF($H2119="","",IF($H2119=0,"Non trouvé",IF($H2119=1,"Match","À vérifier")))</f>
        <v/>
      </c>
      <c r="J2119" s="21">
        <f>IF($I2119&lt;&gt;"Match","",INDEX(Ventes_Encaissements!$B$6:$B$3005,_xludf.AGGREGATE(15,6,(ROW(Ventes_Encaissements!$B$6:$B$3005)-ROW(Ventes_Encaissements!$B$6)+1)/((Ventes_Encaissements!$E$6:$E$3005=$B2119)*(Ventes_Encaissements!$J$6:$J$3005=$G2119)*(Ventes_Encaissements!$C$6:$C$3005&gt;=$C2119-3)*(Ventes_Encaissements!$C$6:$C$3005&lt;=$C2119+3)),1)))</f>
        <v/>
      </c>
      <c r="K2119" s="6" t="n"/>
    </row>
    <row r="2120">
      <c r="A2120" s="6" t="n"/>
      <c r="B2120" s="6" t="n"/>
      <c r="C2120" s="19" t="n"/>
      <c r="D2120" s="19" t="n"/>
      <c r="E2120" s="6" t="n"/>
      <c r="F2120" s="20" t="n"/>
      <c r="G2120" s="9">
        <f>IF($F2120="","",IF($F2120&gt;0,ROUND($F2120,2),""))</f>
        <v/>
      </c>
      <c r="H2120" s="12">
        <f>IF(OR($B2120="",$C2120="",$G2120=""),"",COUNTIFS(Ventes_Encaissements!$E$6:$E$3005,$B2120,Ventes_Encaissements!$J$6:$J$3005,$G2120,Ventes_Encaissements!$C$6:$C$3005,"&gt;="&amp;($C2120-3),Ventes_Encaissements!$C$6:$C$3005,"&lt;="&amp;($C2120+3)))</f>
        <v/>
      </c>
      <c r="I2120" s="12">
        <f>IF($H2120="","",IF($H2120=0,"Non trouvé",IF($H2120=1,"Match","À vérifier")))</f>
        <v/>
      </c>
      <c r="J2120" s="21">
        <f>IF($I2120&lt;&gt;"Match","",INDEX(Ventes_Encaissements!$B$6:$B$3005,_xludf.AGGREGATE(15,6,(ROW(Ventes_Encaissements!$B$6:$B$3005)-ROW(Ventes_Encaissements!$B$6)+1)/((Ventes_Encaissements!$E$6:$E$3005=$B2120)*(Ventes_Encaissements!$J$6:$J$3005=$G2120)*(Ventes_Encaissements!$C$6:$C$3005&gt;=$C2120-3)*(Ventes_Encaissements!$C$6:$C$3005&lt;=$C2120+3)),1)))</f>
        <v/>
      </c>
      <c r="K2120" s="6" t="n"/>
    </row>
    <row r="2121">
      <c r="A2121" s="6" t="n"/>
      <c r="B2121" s="6" t="n"/>
      <c r="C2121" s="19" t="n"/>
      <c r="D2121" s="19" t="n"/>
      <c r="E2121" s="6" t="n"/>
      <c r="F2121" s="20" t="n"/>
      <c r="G2121" s="9">
        <f>IF($F2121="","",IF($F2121&gt;0,ROUND($F2121,2),""))</f>
        <v/>
      </c>
      <c r="H2121" s="12">
        <f>IF(OR($B2121="",$C2121="",$G2121=""),"",COUNTIFS(Ventes_Encaissements!$E$6:$E$3005,$B2121,Ventes_Encaissements!$J$6:$J$3005,$G2121,Ventes_Encaissements!$C$6:$C$3005,"&gt;="&amp;($C2121-3),Ventes_Encaissements!$C$6:$C$3005,"&lt;="&amp;($C2121+3)))</f>
        <v/>
      </c>
      <c r="I2121" s="12">
        <f>IF($H2121="","",IF($H2121=0,"Non trouvé",IF($H2121=1,"Match","À vérifier")))</f>
        <v/>
      </c>
      <c r="J2121" s="21">
        <f>IF($I2121&lt;&gt;"Match","",INDEX(Ventes_Encaissements!$B$6:$B$3005,_xludf.AGGREGATE(15,6,(ROW(Ventes_Encaissements!$B$6:$B$3005)-ROW(Ventes_Encaissements!$B$6)+1)/((Ventes_Encaissements!$E$6:$E$3005=$B2121)*(Ventes_Encaissements!$J$6:$J$3005=$G2121)*(Ventes_Encaissements!$C$6:$C$3005&gt;=$C2121-3)*(Ventes_Encaissements!$C$6:$C$3005&lt;=$C2121+3)),1)))</f>
        <v/>
      </c>
      <c r="K2121" s="6" t="n"/>
    </row>
    <row r="2122">
      <c r="A2122" s="6" t="n"/>
      <c r="B2122" s="6" t="n"/>
      <c r="C2122" s="19" t="n"/>
      <c r="D2122" s="19" t="n"/>
      <c r="E2122" s="6" t="n"/>
      <c r="F2122" s="20" t="n"/>
      <c r="G2122" s="9">
        <f>IF($F2122="","",IF($F2122&gt;0,ROUND($F2122,2),""))</f>
        <v/>
      </c>
      <c r="H2122" s="12">
        <f>IF(OR($B2122="",$C2122="",$G2122=""),"",COUNTIFS(Ventes_Encaissements!$E$6:$E$3005,$B2122,Ventes_Encaissements!$J$6:$J$3005,$G2122,Ventes_Encaissements!$C$6:$C$3005,"&gt;="&amp;($C2122-3),Ventes_Encaissements!$C$6:$C$3005,"&lt;="&amp;($C2122+3)))</f>
        <v/>
      </c>
      <c r="I2122" s="12">
        <f>IF($H2122="","",IF($H2122=0,"Non trouvé",IF($H2122=1,"Match","À vérifier")))</f>
        <v/>
      </c>
      <c r="J2122" s="21">
        <f>IF($I2122&lt;&gt;"Match","",INDEX(Ventes_Encaissements!$B$6:$B$3005,_xludf.AGGREGATE(15,6,(ROW(Ventes_Encaissements!$B$6:$B$3005)-ROW(Ventes_Encaissements!$B$6)+1)/((Ventes_Encaissements!$E$6:$E$3005=$B2122)*(Ventes_Encaissements!$J$6:$J$3005=$G2122)*(Ventes_Encaissements!$C$6:$C$3005&gt;=$C2122-3)*(Ventes_Encaissements!$C$6:$C$3005&lt;=$C2122+3)),1)))</f>
        <v/>
      </c>
      <c r="K2122" s="6" t="n"/>
    </row>
    <row r="2123">
      <c r="A2123" s="6" t="n"/>
      <c r="B2123" s="6" t="n"/>
      <c r="C2123" s="19" t="n"/>
      <c r="D2123" s="19" t="n"/>
      <c r="E2123" s="6" t="n"/>
      <c r="F2123" s="20" t="n"/>
      <c r="G2123" s="9">
        <f>IF($F2123="","",IF($F2123&gt;0,ROUND($F2123,2),""))</f>
        <v/>
      </c>
      <c r="H2123" s="12">
        <f>IF(OR($B2123="",$C2123="",$G2123=""),"",COUNTIFS(Ventes_Encaissements!$E$6:$E$3005,$B2123,Ventes_Encaissements!$J$6:$J$3005,$G2123,Ventes_Encaissements!$C$6:$C$3005,"&gt;="&amp;($C2123-3),Ventes_Encaissements!$C$6:$C$3005,"&lt;="&amp;($C2123+3)))</f>
        <v/>
      </c>
      <c r="I2123" s="12">
        <f>IF($H2123="","",IF($H2123=0,"Non trouvé",IF($H2123=1,"Match","À vérifier")))</f>
        <v/>
      </c>
      <c r="J2123" s="21">
        <f>IF($I2123&lt;&gt;"Match","",INDEX(Ventes_Encaissements!$B$6:$B$3005,_xludf.AGGREGATE(15,6,(ROW(Ventes_Encaissements!$B$6:$B$3005)-ROW(Ventes_Encaissements!$B$6)+1)/((Ventes_Encaissements!$E$6:$E$3005=$B2123)*(Ventes_Encaissements!$J$6:$J$3005=$G2123)*(Ventes_Encaissements!$C$6:$C$3005&gt;=$C2123-3)*(Ventes_Encaissements!$C$6:$C$3005&lt;=$C2123+3)),1)))</f>
        <v/>
      </c>
      <c r="K2123" s="6" t="n"/>
    </row>
    <row r="2124">
      <c r="A2124" s="6" t="n"/>
      <c r="B2124" s="6" t="n"/>
      <c r="C2124" s="19" t="n"/>
      <c r="D2124" s="19" t="n"/>
      <c r="E2124" s="6" t="n"/>
      <c r="F2124" s="20" t="n"/>
      <c r="G2124" s="9">
        <f>IF($F2124="","",IF($F2124&gt;0,ROUND($F2124,2),""))</f>
        <v/>
      </c>
      <c r="H2124" s="12">
        <f>IF(OR($B2124="",$C2124="",$G2124=""),"",COUNTIFS(Ventes_Encaissements!$E$6:$E$3005,$B2124,Ventes_Encaissements!$J$6:$J$3005,$G2124,Ventes_Encaissements!$C$6:$C$3005,"&gt;="&amp;($C2124-3),Ventes_Encaissements!$C$6:$C$3005,"&lt;="&amp;($C2124+3)))</f>
        <v/>
      </c>
      <c r="I2124" s="12">
        <f>IF($H2124="","",IF($H2124=0,"Non trouvé",IF($H2124=1,"Match","À vérifier")))</f>
        <v/>
      </c>
      <c r="J2124" s="21">
        <f>IF($I2124&lt;&gt;"Match","",INDEX(Ventes_Encaissements!$B$6:$B$3005,_xludf.AGGREGATE(15,6,(ROW(Ventes_Encaissements!$B$6:$B$3005)-ROW(Ventes_Encaissements!$B$6)+1)/((Ventes_Encaissements!$E$6:$E$3005=$B2124)*(Ventes_Encaissements!$J$6:$J$3005=$G2124)*(Ventes_Encaissements!$C$6:$C$3005&gt;=$C2124-3)*(Ventes_Encaissements!$C$6:$C$3005&lt;=$C2124+3)),1)))</f>
        <v/>
      </c>
      <c r="K2124" s="6" t="n"/>
    </row>
    <row r="2125">
      <c r="A2125" s="6" t="n"/>
      <c r="B2125" s="6" t="n"/>
      <c r="C2125" s="19" t="n"/>
      <c r="D2125" s="19" t="n"/>
      <c r="E2125" s="6" t="n"/>
      <c r="F2125" s="20" t="n"/>
      <c r="G2125" s="9">
        <f>IF($F2125="","",IF($F2125&gt;0,ROUND($F2125,2),""))</f>
        <v/>
      </c>
      <c r="H2125" s="12">
        <f>IF(OR($B2125="",$C2125="",$G2125=""),"",COUNTIFS(Ventes_Encaissements!$E$6:$E$3005,$B2125,Ventes_Encaissements!$J$6:$J$3005,$G2125,Ventes_Encaissements!$C$6:$C$3005,"&gt;="&amp;($C2125-3),Ventes_Encaissements!$C$6:$C$3005,"&lt;="&amp;($C2125+3)))</f>
        <v/>
      </c>
      <c r="I2125" s="12">
        <f>IF($H2125="","",IF($H2125=0,"Non trouvé",IF($H2125=1,"Match","À vérifier")))</f>
        <v/>
      </c>
      <c r="J2125" s="21">
        <f>IF($I2125&lt;&gt;"Match","",INDEX(Ventes_Encaissements!$B$6:$B$3005,_xludf.AGGREGATE(15,6,(ROW(Ventes_Encaissements!$B$6:$B$3005)-ROW(Ventes_Encaissements!$B$6)+1)/((Ventes_Encaissements!$E$6:$E$3005=$B2125)*(Ventes_Encaissements!$J$6:$J$3005=$G2125)*(Ventes_Encaissements!$C$6:$C$3005&gt;=$C2125-3)*(Ventes_Encaissements!$C$6:$C$3005&lt;=$C2125+3)),1)))</f>
        <v/>
      </c>
      <c r="K2125" s="6" t="n"/>
    </row>
    <row r="2126">
      <c r="A2126" s="6" t="n"/>
      <c r="B2126" s="6" t="n"/>
      <c r="C2126" s="19" t="n"/>
      <c r="D2126" s="19" t="n"/>
      <c r="E2126" s="6" t="n"/>
      <c r="F2126" s="20" t="n"/>
      <c r="G2126" s="9">
        <f>IF($F2126="","",IF($F2126&gt;0,ROUND($F2126,2),""))</f>
        <v/>
      </c>
      <c r="H2126" s="12">
        <f>IF(OR($B2126="",$C2126="",$G2126=""),"",COUNTIFS(Ventes_Encaissements!$E$6:$E$3005,$B2126,Ventes_Encaissements!$J$6:$J$3005,$G2126,Ventes_Encaissements!$C$6:$C$3005,"&gt;="&amp;($C2126-3),Ventes_Encaissements!$C$6:$C$3005,"&lt;="&amp;($C2126+3)))</f>
        <v/>
      </c>
      <c r="I2126" s="12">
        <f>IF($H2126="","",IF($H2126=0,"Non trouvé",IF($H2126=1,"Match","À vérifier")))</f>
        <v/>
      </c>
      <c r="J2126" s="21">
        <f>IF($I2126&lt;&gt;"Match","",INDEX(Ventes_Encaissements!$B$6:$B$3005,_xludf.AGGREGATE(15,6,(ROW(Ventes_Encaissements!$B$6:$B$3005)-ROW(Ventes_Encaissements!$B$6)+1)/((Ventes_Encaissements!$E$6:$E$3005=$B2126)*(Ventes_Encaissements!$J$6:$J$3005=$G2126)*(Ventes_Encaissements!$C$6:$C$3005&gt;=$C2126-3)*(Ventes_Encaissements!$C$6:$C$3005&lt;=$C2126+3)),1)))</f>
        <v/>
      </c>
      <c r="K2126" s="6" t="n"/>
    </row>
    <row r="2127">
      <c r="A2127" s="6" t="n"/>
      <c r="B2127" s="6" t="n"/>
      <c r="C2127" s="19" t="n"/>
      <c r="D2127" s="19" t="n"/>
      <c r="E2127" s="6" t="n"/>
      <c r="F2127" s="20" t="n"/>
      <c r="G2127" s="9">
        <f>IF($F2127="","",IF($F2127&gt;0,ROUND($F2127,2),""))</f>
        <v/>
      </c>
      <c r="H2127" s="12">
        <f>IF(OR($B2127="",$C2127="",$G2127=""),"",COUNTIFS(Ventes_Encaissements!$E$6:$E$3005,$B2127,Ventes_Encaissements!$J$6:$J$3005,$G2127,Ventes_Encaissements!$C$6:$C$3005,"&gt;="&amp;($C2127-3),Ventes_Encaissements!$C$6:$C$3005,"&lt;="&amp;($C2127+3)))</f>
        <v/>
      </c>
      <c r="I2127" s="12">
        <f>IF($H2127="","",IF($H2127=0,"Non trouvé",IF($H2127=1,"Match","À vérifier")))</f>
        <v/>
      </c>
      <c r="J2127" s="21">
        <f>IF($I2127&lt;&gt;"Match","",INDEX(Ventes_Encaissements!$B$6:$B$3005,_xludf.AGGREGATE(15,6,(ROW(Ventes_Encaissements!$B$6:$B$3005)-ROW(Ventes_Encaissements!$B$6)+1)/((Ventes_Encaissements!$E$6:$E$3005=$B2127)*(Ventes_Encaissements!$J$6:$J$3005=$G2127)*(Ventes_Encaissements!$C$6:$C$3005&gt;=$C2127-3)*(Ventes_Encaissements!$C$6:$C$3005&lt;=$C2127+3)),1)))</f>
        <v/>
      </c>
      <c r="K2127" s="6" t="n"/>
    </row>
    <row r="2128">
      <c r="A2128" s="6" t="n"/>
      <c r="B2128" s="6" t="n"/>
      <c r="C2128" s="19" t="n"/>
      <c r="D2128" s="19" t="n"/>
      <c r="E2128" s="6" t="n"/>
      <c r="F2128" s="20" t="n"/>
      <c r="G2128" s="9">
        <f>IF($F2128="","",IF($F2128&gt;0,ROUND($F2128,2),""))</f>
        <v/>
      </c>
      <c r="H2128" s="12">
        <f>IF(OR($B2128="",$C2128="",$G2128=""),"",COUNTIFS(Ventes_Encaissements!$E$6:$E$3005,$B2128,Ventes_Encaissements!$J$6:$J$3005,$G2128,Ventes_Encaissements!$C$6:$C$3005,"&gt;="&amp;($C2128-3),Ventes_Encaissements!$C$6:$C$3005,"&lt;="&amp;($C2128+3)))</f>
        <v/>
      </c>
      <c r="I2128" s="12">
        <f>IF($H2128="","",IF($H2128=0,"Non trouvé",IF($H2128=1,"Match","À vérifier")))</f>
        <v/>
      </c>
      <c r="J2128" s="21">
        <f>IF($I2128&lt;&gt;"Match","",INDEX(Ventes_Encaissements!$B$6:$B$3005,_xludf.AGGREGATE(15,6,(ROW(Ventes_Encaissements!$B$6:$B$3005)-ROW(Ventes_Encaissements!$B$6)+1)/((Ventes_Encaissements!$E$6:$E$3005=$B2128)*(Ventes_Encaissements!$J$6:$J$3005=$G2128)*(Ventes_Encaissements!$C$6:$C$3005&gt;=$C2128-3)*(Ventes_Encaissements!$C$6:$C$3005&lt;=$C2128+3)),1)))</f>
        <v/>
      </c>
      <c r="K2128" s="6" t="n"/>
    </row>
    <row r="2129">
      <c r="A2129" s="6" t="n"/>
      <c r="B2129" s="6" t="n"/>
      <c r="C2129" s="19" t="n"/>
      <c r="D2129" s="19" t="n"/>
      <c r="E2129" s="6" t="n"/>
      <c r="F2129" s="20" t="n"/>
      <c r="G2129" s="9">
        <f>IF($F2129="","",IF($F2129&gt;0,ROUND($F2129,2),""))</f>
        <v/>
      </c>
      <c r="H2129" s="12">
        <f>IF(OR($B2129="",$C2129="",$G2129=""),"",COUNTIFS(Ventes_Encaissements!$E$6:$E$3005,$B2129,Ventes_Encaissements!$J$6:$J$3005,$G2129,Ventes_Encaissements!$C$6:$C$3005,"&gt;="&amp;($C2129-3),Ventes_Encaissements!$C$6:$C$3005,"&lt;="&amp;($C2129+3)))</f>
        <v/>
      </c>
      <c r="I2129" s="12">
        <f>IF($H2129="","",IF($H2129=0,"Non trouvé",IF($H2129=1,"Match","À vérifier")))</f>
        <v/>
      </c>
      <c r="J2129" s="21">
        <f>IF($I2129&lt;&gt;"Match","",INDEX(Ventes_Encaissements!$B$6:$B$3005,_xludf.AGGREGATE(15,6,(ROW(Ventes_Encaissements!$B$6:$B$3005)-ROW(Ventes_Encaissements!$B$6)+1)/((Ventes_Encaissements!$E$6:$E$3005=$B2129)*(Ventes_Encaissements!$J$6:$J$3005=$G2129)*(Ventes_Encaissements!$C$6:$C$3005&gt;=$C2129-3)*(Ventes_Encaissements!$C$6:$C$3005&lt;=$C2129+3)),1)))</f>
        <v/>
      </c>
      <c r="K2129" s="6" t="n"/>
    </row>
    <row r="2130">
      <c r="A2130" s="6" t="n"/>
      <c r="B2130" s="6" t="n"/>
      <c r="C2130" s="19" t="n"/>
      <c r="D2130" s="19" t="n"/>
      <c r="E2130" s="6" t="n"/>
      <c r="F2130" s="20" t="n"/>
      <c r="G2130" s="9">
        <f>IF($F2130="","",IF($F2130&gt;0,ROUND($F2130,2),""))</f>
        <v/>
      </c>
      <c r="H2130" s="12">
        <f>IF(OR($B2130="",$C2130="",$G2130=""),"",COUNTIFS(Ventes_Encaissements!$E$6:$E$3005,$B2130,Ventes_Encaissements!$J$6:$J$3005,$G2130,Ventes_Encaissements!$C$6:$C$3005,"&gt;="&amp;($C2130-3),Ventes_Encaissements!$C$6:$C$3005,"&lt;="&amp;($C2130+3)))</f>
        <v/>
      </c>
      <c r="I2130" s="12">
        <f>IF($H2130="","",IF($H2130=0,"Non trouvé",IF($H2130=1,"Match","À vérifier")))</f>
        <v/>
      </c>
      <c r="J2130" s="21">
        <f>IF($I2130&lt;&gt;"Match","",INDEX(Ventes_Encaissements!$B$6:$B$3005,_xludf.AGGREGATE(15,6,(ROW(Ventes_Encaissements!$B$6:$B$3005)-ROW(Ventes_Encaissements!$B$6)+1)/((Ventes_Encaissements!$E$6:$E$3005=$B2130)*(Ventes_Encaissements!$J$6:$J$3005=$G2130)*(Ventes_Encaissements!$C$6:$C$3005&gt;=$C2130-3)*(Ventes_Encaissements!$C$6:$C$3005&lt;=$C2130+3)),1)))</f>
        <v/>
      </c>
      <c r="K2130" s="6" t="n"/>
    </row>
    <row r="2131">
      <c r="A2131" s="6" t="n"/>
      <c r="B2131" s="6" t="n"/>
      <c r="C2131" s="19" t="n"/>
      <c r="D2131" s="19" t="n"/>
      <c r="E2131" s="6" t="n"/>
      <c r="F2131" s="20" t="n"/>
      <c r="G2131" s="9">
        <f>IF($F2131="","",IF($F2131&gt;0,ROUND($F2131,2),""))</f>
        <v/>
      </c>
      <c r="H2131" s="12">
        <f>IF(OR($B2131="",$C2131="",$G2131=""),"",COUNTIFS(Ventes_Encaissements!$E$6:$E$3005,$B2131,Ventes_Encaissements!$J$6:$J$3005,$G2131,Ventes_Encaissements!$C$6:$C$3005,"&gt;="&amp;($C2131-3),Ventes_Encaissements!$C$6:$C$3005,"&lt;="&amp;($C2131+3)))</f>
        <v/>
      </c>
      <c r="I2131" s="12">
        <f>IF($H2131="","",IF($H2131=0,"Non trouvé",IF($H2131=1,"Match","À vérifier")))</f>
        <v/>
      </c>
      <c r="J2131" s="21">
        <f>IF($I2131&lt;&gt;"Match","",INDEX(Ventes_Encaissements!$B$6:$B$3005,_xludf.AGGREGATE(15,6,(ROW(Ventes_Encaissements!$B$6:$B$3005)-ROW(Ventes_Encaissements!$B$6)+1)/((Ventes_Encaissements!$E$6:$E$3005=$B2131)*(Ventes_Encaissements!$J$6:$J$3005=$G2131)*(Ventes_Encaissements!$C$6:$C$3005&gt;=$C2131-3)*(Ventes_Encaissements!$C$6:$C$3005&lt;=$C2131+3)),1)))</f>
        <v/>
      </c>
      <c r="K2131" s="6" t="n"/>
    </row>
    <row r="2132">
      <c r="A2132" s="6" t="n"/>
      <c r="B2132" s="6" t="n"/>
      <c r="C2132" s="19" t="n"/>
      <c r="D2132" s="19" t="n"/>
      <c r="E2132" s="6" t="n"/>
      <c r="F2132" s="20" t="n"/>
      <c r="G2132" s="9">
        <f>IF($F2132="","",IF($F2132&gt;0,ROUND($F2132,2),""))</f>
        <v/>
      </c>
      <c r="H2132" s="12">
        <f>IF(OR($B2132="",$C2132="",$G2132=""),"",COUNTIFS(Ventes_Encaissements!$E$6:$E$3005,$B2132,Ventes_Encaissements!$J$6:$J$3005,$G2132,Ventes_Encaissements!$C$6:$C$3005,"&gt;="&amp;($C2132-3),Ventes_Encaissements!$C$6:$C$3005,"&lt;="&amp;($C2132+3)))</f>
        <v/>
      </c>
      <c r="I2132" s="12">
        <f>IF($H2132="","",IF($H2132=0,"Non trouvé",IF($H2132=1,"Match","À vérifier")))</f>
        <v/>
      </c>
      <c r="J2132" s="21">
        <f>IF($I2132&lt;&gt;"Match","",INDEX(Ventes_Encaissements!$B$6:$B$3005,_xludf.AGGREGATE(15,6,(ROW(Ventes_Encaissements!$B$6:$B$3005)-ROW(Ventes_Encaissements!$B$6)+1)/((Ventes_Encaissements!$E$6:$E$3005=$B2132)*(Ventes_Encaissements!$J$6:$J$3005=$G2132)*(Ventes_Encaissements!$C$6:$C$3005&gt;=$C2132-3)*(Ventes_Encaissements!$C$6:$C$3005&lt;=$C2132+3)),1)))</f>
        <v/>
      </c>
      <c r="K2132" s="6" t="n"/>
    </row>
    <row r="2133">
      <c r="A2133" s="6" t="n"/>
      <c r="B2133" s="6" t="n"/>
      <c r="C2133" s="19" t="n"/>
      <c r="D2133" s="19" t="n"/>
      <c r="E2133" s="6" t="n"/>
      <c r="F2133" s="20" t="n"/>
      <c r="G2133" s="9">
        <f>IF($F2133="","",IF($F2133&gt;0,ROUND($F2133,2),""))</f>
        <v/>
      </c>
      <c r="H2133" s="12">
        <f>IF(OR($B2133="",$C2133="",$G2133=""),"",COUNTIFS(Ventes_Encaissements!$E$6:$E$3005,$B2133,Ventes_Encaissements!$J$6:$J$3005,$G2133,Ventes_Encaissements!$C$6:$C$3005,"&gt;="&amp;($C2133-3),Ventes_Encaissements!$C$6:$C$3005,"&lt;="&amp;($C2133+3)))</f>
        <v/>
      </c>
      <c r="I2133" s="12">
        <f>IF($H2133="","",IF($H2133=0,"Non trouvé",IF($H2133=1,"Match","À vérifier")))</f>
        <v/>
      </c>
      <c r="J2133" s="21">
        <f>IF($I2133&lt;&gt;"Match","",INDEX(Ventes_Encaissements!$B$6:$B$3005,_xludf.AGGREGATE(15,6,(ROW(Ventes_Encaissements!$B$6:$B$3005)-ROW(Ventes_Encaissements!$B$6)+1)/((Ventes_Encaissements!$E$6:$E$3005=$B2133)*(Ventes_Encaissements!$J$6:$J$3005=$G2133)*(Ventes_Encaissements!$C$6:$C$3005&gt;=$C2133-3)*(Ventes_Encaissements!$C$6:$C$3005&lt;=$C2133+3)),1)))</f>
        <v/>
      </c>
      <c r="K2133" s="6" t="n"/>
    </row>
    <row r="2134">
      <c r="A2134" s="6" t="n"/>
      <c r="B2134" s="6" t="n"/>
      <c r="C2134" s="19" t="n"/>
      <c r="D2134" s="19" t="n"/>
      <c r="E2134" s="6" t="n"/>
      <c r="F2134" s="20" t="n"/>
      <c r="G2134" s="9">
        <f>IF($F2134="","",IF($F2134&gt;0,ROUND($F2134,2),""))</f>
        <v/>
      </c>
      <c r="H2134" s="12">
        <f>IF(OR($B2134="",$C2134="",$G2134=""),"",COUNTIFS(Ventes_Encaissements!$E$6:$E$3005,$B2134,Ventes_Encaissements!$J$6:$J$3005,$G2134,Ventes_Encaissements!$C$6:$C$3005,"&gt;="&amp;($C2134-3),Ventes_Encaissements!$C$6:$C$3005,"&lt;="&amp;($C2134+3)))</f>
        <v/>
      </c>
      <c r="I2134" s="12">
        <f>IF($H2134="","",IF($H2134=0,"Non trouvé",IF($H2134=1,"Match","À vérifier")))</f>
        <v/>
      </c>
      <c r="J2134" s="21">
        <f>IF($I2134&lt;&gt;"Match","",INDEX(Ventes_Encaissements!$B$6:$B$3005,_xludf.AGGREGATE(15,6,(ROW(Ventes_Encaissements!$B$6:$B$3005)-ROW(Ventes_Encaissements!$B$6)+1)/((Ventes_Encaissements!$E$6:$E$3005=$B2134)*(Ventes_Encaissements!$J$6:$J$3005=$G2134)*(Ventes_Encaissements!$C$6:$C$3005&gt;=$C2134-3)*(Ventes_Encaissements!$C$6:$C$3005&lt;=$C2134+3)),1)))</f>
        <v/>
      </c>
      <c r="K2134" s="6" t="n"/>
    </row>
    <row r="2135">
      <c r="A2135" s="6" t="n"/>
      <c r="B2135" s="6" t="n"/>
      <c r="C2135" s="19" t="n"/>
      <c r="D2135" s="19" t="n"/>
      <c r="E2135" s="6" t="n"/>
      <c r="F2135" s="20" t="n"/>
      <c r="G2135" s="9">
        <f>IF($F2135="","",IF($F2135&gt;0,ROUND($F2135,2),""))</f>
        <v/>
      </c>
      <c r="H2135" s="12">
        <f>IF(OR($B2135="",$C2135="",$G2135=""),"",COUNTIFS(Ventes_Encaissements!$E$6:$E$3005,$B2135,Ventes_Encaissements!$J$6:$J$3005,$G2135,Ventes_Encaissements!$C$6:$C$3005,"&gt;="&amp;($C2135-3),Ventes_Encaissements!$C$6:$C$3005,"&lt;="&amp;($C2135+3)))</f>
        <v/>
      </c>
      <c r="I2135" s="12">
        <f>IF($H2135="","",IF($H2135=0,"Non trouvé",IF($H2135=1,"Match","À vérifier")))</f>
        <v/>
      </c>
      <c r="J2135" s="21">
        <f>IF($I2135&lt;&gt;"Match","",INDEX(Ventes_Encaissements!$B$6:$B$3005,_xludf.AGGREGATE(15,6,(ROW(Ventes_Encaissements!$B$6:$B$3005)-ROW(Ventes_Encaissements!$B$6)+1)/((Ventes_Encaissements!$E$6:$E$3005=$B2135)*(Ventes_Encaissements!$J$6:$J$3005=$G2135)*(Ventes_Encaissements!$C$6:$C$3005&gt;=$C2135-3)*(Ventes_Encaissements!$C$6:$C$3005&lt;=$C2135+3)),1)))</f>
        <v/>
      </c>
      <c r="K2135" s="6" t="n"/>
    </row>
    <row r="2136">
      <c r="A2136" s="6" t="n"/>
      <c r="B2136" s="6" t="n"/>
      <c r="C2136" s="19" t="n"/>
      <c r="D2136" s="19" t="n"/>
      <c r="E2136" s="6" t="n"/>
      <c r="F2136" s="20" t="n"/>
      <c r="G2136" s="9">
        <f>IF($F2136="","",IF($F2136&gt;0,ROUND($F2136,2),""))</f>
        <v/>
      </c>
      <c r="H2136" s="12">
        <f>IF(OR($B2136="",$C2136="",$G2136=""),"",COUNTIFS(Ventes_Encaissements!$E$6:$E$3005,$B2136,Ventes_Encaissements!$J$6:$J$3005,$G2136,Ventes_Encaissements!$C$6:$C$3005,"&gt;="&amp;($C2136-3),Ventes_Encaissements!$C$6:$C$3005,"&lt;="&amp;($C2136+3)))</f>
        <v/>
      </c>
      <c r="I2136" s="12">
        <f>IF($H2136="","",IF($H2136=0,"Non trouvé",IF($H2136=1,"Match","À vérifier")))</f>
        <v/>
      </c>
      <c r="J2136" s="21">
        <f>IF($I2136&lt;&gt;"Match","",INDEX(Ventes_Encaissements!$B$6:$B$3005,_xludf.AGGREGATE(15,6,(ROW(Ventes_Encaissements!$B$6:$B$3005)-ROW(Ventes_Encaissements!$B$6)+1)/((Ventes_Encaissements!$E$6:$E$3005=$B2136)*(Ventes_Encaissements!$J$6:$J$3005=$G2136)*(Ventes_Encaissements!$C$6:$C$3005&gt;=$C2136-3)*(Ventes_Encaissements!$C$6:$C$3005&lt;=$C2136+3)),1)))</f>
        <v/>
      </c>
      <c r="K2136" s="6" t="n"/>
    </row>
    <row r="2137">
      <c r="A2137" s="6" t="n"/>
      <c r="B2137" s="6" t="n"/>
      <c r="C2137" s="19" t="n"/>
      <c r="D2137" s="19" t="n"/>
      <c r="E2137" s="6" t="n"/>
      <c r="F2137" s="20" t="n"/>
      <c r="G2137" s="9">
        <f>IF($F2137="","",IF($F2137&gt;0,ROUND($F2137,2),""))</f>
        <v/>
      </c>
      <c r="H2137" s="12">
        <f>IF(OR($B2137="",$C2137="",$G2137=""),"",COUNTIFS(Ventes_Encaissements!$E$6:$E$3005,$B2137,Ventes_Encaissements!$J$6:$J$3005,$G2137,Ventes_Encaissements!$C$6:$C$3005,"&gt;="&amp;($C2137-3),Ventes_Encaissements!$C$6:$C$3005,"&lt;="&amp;($C2137+3)))</f>
        <v/>
      </c>
      <c r="I2137" s="12">
        <f>IF($H2137="","",IF($H2137=0,"Non trouvé",IF($H2137=1,"Match","À vérifier")))</f>
        <v/>
      </c>
      <c r="J2137" s="21">
        <f>IF($I2137&lt;&gt;"Match","",INDEX(Ventes_Encaissements!$B$6:$B$3005,_xludf.AGGREGATE(15,6,(ROW(Ventes_Encaissements!$B$6:$B$3005)-ROW(Ventes_Encaissements!$B$6)+1)/((Ventes_Encaissements!$E$6:$E$3005=$B2137)*(Ventes_Encaissements!$J$6:$J$3005=$G2137)*(Ventes_Encaissements!$C$6:$C$3005&gt;=$C2137-3)*(Ventes_Encaissements!$C$6:$C$3005&lt;=$C2137+3)),1)))</f>
        <v/>
      </c>
      <c r="K2137" s="6" t="n"/>
    </row>
    <row r="2138">
      <c r="A2138" s="6" t="n"/>
      <c r="B2138" s="6" t="n"/>
      <c r="C2138" s="19" t="n"/>
      <c r="D2138" s="19" t="n"/>
      <c r="E2138" s="6" t="n"/>
      <c r="F2138" s="20" t="n"/>
      <c r="G2138" s="9">
        <f>IF($F2138="","",IF($F2138&gt;0,ROUND($F2138,2),""))</f>
        <v/>
      </c>
      <c r="H2138" s="12">
        <f>IF(OR($B2138="",$C2138="",$G2138=""),"",COUNTIFS(Ventes_Encaissements!$E$6:$E$3005,$B2138,Ventes_Encaissements!$J$6:$J$3005,$G2138,Ventes_Encaissements!$C$6:$C$3005,"&gt;="&amp;($C2138-3),Ventes_Encaissements!$C$6:$C$3005,"&lt;="&amp;($C2138+3)))</f>
        <v/>
      </c>
      <c r="I2138" s="12">
        <f>IF($H2138="","",IF($H2138=0,"Non trouvé",IF($H2138=1,"Match","À vérifier")))</f>
        <v/>
      </c>
      <c r="J2138" s="21">
        <f>IF($I2138&lt;&gt;"Match","",INDEX(Ventes_Encaissements!$B$6:$B$3005,_xludf.AGGREGATE(15,6,(ROW(Ventes_Encaissements!$B$6:$B$3005)-ROW(Ventes_Encaissements!$B$6)+1)/((Ventes_Encaissements!$E$6:$E$3005=$B2138)*(Ventes_Encaissements!$J$6:$J$3005=$G2138)*(Ventes_Encaissements!$C$6:$C$3005&gt;=$C2138-3)*(Ventes_Encaissements!$C$6:$C$3005&lt;=$C2138+3)),1)))</f>
        <v/>
      </c>
      <c r="K2138" s="6" t="n"/>
    </row>
    <row r="2139">
      <c r="A2139" s="6" t="n"/>
      <c r="B2139" s="6" t="n"/>
      <c r="C2139" s="19" t="n"/>
      <c r="D2139" s="19" t="n"/>
      <c r="E2139" s="6" t="n"/>
      <c r="F2139" s="20" t="n"/>
      <c r="G2139" s="9">
        <f>IF($F2139="","",IF($F2139&gt;0,ROUND($F2139,2),""))</f>
        <v/>
      </c>
      <c r="H2139" s="12">
        <f>IF(OR($B2139="",$C2139="",$G2139=""),"",COUNTIFS(Ventes_Encaissements!$E$6:$E$3005,$B2139,Ventes_Encaissements!$J$6:$J$3005,$G2139,Ventes_Encaissements!$C$6:$C$3005,"&gt;="&amp;($C2139-3),Ventes_Encaissements!$C$6:$C$3005,"&lt;="&amp;($C2139+3)))</f>
        <v/>
      </c>
      <c r="I2139" s="12">
        <f>IF($H2139="","",IF($H2139=0,"Non trouvé",IF($H2139=1,"Match","À vérifier")))</f>
        <v/>
      </c>
      <c r="J2139" s="21">
        <f>IF($I2139&lt;&gt;"Match","",INDEX(Ventes_Encaissements!$B$6:$B$3005,_xludf.AGGREGATE(15,6,(ROW(Ventes_Encaissements!$B$6:$B$3005)-ROW(Ventes_Encaissements!$B$6)+1)/((Ventes_Encaissements!$E$6:$E$3005=$B2139)*(Ventes_Encaissements!$J$6:$J$3005=$G2139)*(Ventes_Encaissements!$C$6:$C$3005&gt;=$C2139-3)*(Ventes_Encaissements!$C$6:$C$3005&lt;=$C2139+3)),1)))</f>
        <v/>
      </c>
      <c r="K2139" s="6" t="n"/>
    </row>
    <row r="2140">
      <c r="A2140" s="6" t="n"/>
      <c r="B2140" s="6" t="n"/>
      <c r="C2140" s="19" t="n"/>
      <c r="D2140" s="19" t="n"/>
      <c r="E2140" s="6" t="n"/>
      <c r="F2140" s="20" t="n"/>
      <c r="G2140" s="9">
        <f>IF($F2140="","",IF($F2140&gt;0,ROUND($F2140,2),""))</f>
        <v/>
      </c>
      <c r="H2140" s="12">
        <f>IF(OR($B2140="",$C2140="",$G2140=""),"",COUNTIFS(Ventes_Encaissements!$E$6:$E$3005,$B2140,Ventes_Encaissements!$J$6:$J$3005,$G2140,Ventes_Encaissements!$C$6:$C$3005,"&gt;="&amp;($C2140-3),Ventes_Encaissements!$C$6:$C$3005,"&lt;="&amp;($C2140+3)))</f>
        <v/>
      </c>
      <c r="I2140" s="12">
        <f>IF($H2140="","",IF($H2140=0,"Non trouvé",IF($H2140=1,"Match","À vérifier")))</f>
        <v/>
      </c>
      <c r="J2140" s="21">
        <f>IF($I2140&lt;&gt;"Match","",INDEX(Ventes_Encaissements!$B$6:$B$3005,_xludf.AGGREGATE(15,6,(ROW(Ventes_Encaissements!$B$6:$B$3005)-ROW(Ventes_Encaissements!$B$6)+1)/((Ventes_Encaissements!$E$6:$E$3005=$B2140)*(Ventes_Encaissements!$J$6:$J$3005=$G2140)*(Ventes_Encaissements!$C$6:$C$3005&gt;=$C2140-3)*(Ventes_Encaissements!$C$6:$C$3005&lt;=$C2140+3)),1)))</f>
        <v/>
      </c>
      <c r="K2140" s="6" t="n"/>
    </row>
    <row r="2141">
      <c r="A2141" s="6" t="n"/>
      <c r="B2141" s="6" t="n"/>
      <c r="C2141" s="19" t="n"/>
      <c r="D2141" s="19" t="n"/>
      <c r="E2141" s="6" t="n"/>
      <c r="F2141" s="20" t="n"/>
      <c r="G2141" s="9">
        <f>IF($F2141="","",IF($F2141&gt;0,ROUND($F2141,2),""))</f>
        <v/>
      </c>
      <c r="H2141" s="12">
        <f>IF(OR($B2141="",$C2141="",$G2141=""),"",COUNTIFS(Ventes_Encaissements!$E$6:$E$3005,$B2141,Ventes_Encaissements!$J$6:$J$3005,$G2141,Ventes_Encaissements!$C$6:$C$3005,"&gt;="&amp;($C2141-3),Ventes_Encaissements!$C$6:$C$3005,"&lt;="&amp;($C2141+3)))</f>
        <v/>
      </c>
      <c r="I2141" s="12">
        <f>IF($H2141="","",IF($H2141=0,"Non trouvé",IF($H2141=1,"Match","À vérifier")))</f>
        <v/>
      </c>
      <c r="J2141" s="21">
        <f>IF($I2141&lt;&gt;"Match","",INDEX(Ventes_Encaissements!$B$6:$B$3005,_xludf.AGGREGATE(15,6,(ROW(Ventes_Encaissements!$B$6:$B$3005)-ROW(Ventes_Encaissements!$B$6)+1)/((Ventes_Encaissements!$E$6:$E$3005=$B2141)*(Ventes_Encaissements!$J$6:$J$3005=$G2141)*(Ventes_Encaissements!$C$6:$C$3005&gt;=$C2141-3)*(Ventes_Encaissements!$C$6:$C$3005&lt;=$C2141+3)),1)))</f>
        <v/>
      </c>
      <c r="K2141" s="6" t="n"/>
    </row>
    <row r="2142">
      <c r="A2142" s="6" t="n"/>
      <c r="B2142" s="6" t="n"/>
      <c r="C2142" s="19" t="n"/>
      <c r="D2142" s="19" t="n"/>
      <c r="E2142" s="6" t="n"/>
      <c r="F2142" s="20" t="n"/>
      <c r="G2142" s="9">
        <f>IF($F2142="","",IF($F2142&gt;0,ROUND($F2142,2),""))</f>
        <v/>
      </c>
      <c r="H2142" s="12">
        <f>IF(OR($B2142="",$C2142="",$G2142=""),"",COUNTIFS(Ventes_Encaissements!$E$6:$E$3005,$B2142,Ventes_Encaissements!$J$6:$J$3005,$G2142,Ventes_Encaissements!$C$6:$C$3005,"&gt;="&amp;($C2142-3),Ventes_Encaissements!$C$6:$C$3005,"&lt;="&amp;($C2142+3)))</f>
        <v/>
      </c>
      <c r="I2142" s="12">
        <f>IF($H2142="","",IF($H2142=0,"Non trouvé",IF($H2142=1,"Match","À vérifier")))</f>
        <v/>
      </c>
      <c r="J2142" s="21">
        <f>IF($I2142&lt;&gt;"Match","",INDEX(Ventes_Encaissements!$B$6:$B$3005,_xludf.AGGREGATE(15,6,(ROW(Ventes_Encaissements!$B$6:$B$3005)-ROW(Ventes_Encaissements!$B$6)+1)/((Ventes_Encaissements!$E$6:$E$3005=$B2142)*(Ventes_Encaissements!$J$6:$J$3005=$G2142)*(Ventes_Encaissements!$C$6:$C$3005&gt;=$C2142-3)*(Ventes_Encaissements!$C$6:$C$3005&lt;=$C2142+3)),1)))</f>
        <v/>
      </c>
      <c r="K2142" s="6" t="n"/>
    </row>
    <row r="2143">
      <c r="A2143" s="6" t="n"/>
      <c r="B2143" s="6" t="n"/>
      <c r="C2143" s="19" t="n"/>
      <c r="D2143" s="19" t="n"/>
      <c r="E2143" s="6" t="n"/>
      <c r="F2143" s="20" t="n"/>
      <c r="G2143" s="9">
        <f>IF($F2143="","",IF($F2143&gt;0,ROUND($F2143,2),""))</f>
        <v/>
      </c>
      <c r="H2143" s="12">
        <f>IF(OR($B2143="",$C2143="",$G2143=""),"",COUNTIFS(Ventes_Encaissements!$E$6:$E$3005,$B2143,Ventes_Encaissements!$J$6:$J$3005,$G2143,Ventes_Encaissements!$C$6:$C$3005,"&gt;="&amp;($C2143-3),Ventes_Encaissements!$C$6:$C$3005,"&lt;="&amp;($C2143+3)))</f>
        <v/>
      </c>
      <c r="I2143" s="12">
        <f>IF($H2143="","",IF($H2143=0,"Non trouvé",IF($H2143=1,"Match","À vérifier")))</f>
        <v/>
      </c>
      <c r="J2143" s="21">
        <f>IF($I2143&lt;&gt;"Match","",INDEX(Ventes_Encaissements!$B$6:$B$3005,_xludf.AGGREGATE(15,6,(ROW(Ventes_Encaissements!$B$6:$B$3005)-ROW(Ventes_Encaissements!$B$6)+1)/((Ventes_Encaissements!$E$6:$E$3005=$B2143)*(Ventes_Encaissements!$J$6:$J$3005=$G2143)*(Ventes_Encaissements!$C$6:$C$3005&gt;=$C2143-3)*(Ventes_Encaissements!$C$6:$C$3005&lt;=$C2143+3)),1)))</f>
        <v/>
      </c>
      <c r="K2143" s="6" t="n"/>
    </row>
    <row r="2144">
      <c r="A2144" s="6" t="n"/>
      <c r="B2144" s="6" t="n"/>
      <c r="C2144" s="19" t="n"/>
      <c r="D2144" s="19" t="n"/>
      <c r="E2144" s="6" t="n"/>
      <c r="F2144" s="20" t="n"/>
      <c r="G2144" s="9">
        <f>IF($F2144="","",IF($F2144&gt;0,ROUND($F2144,2),""))</f>
        <v/>
      </c>
      <c r="H2144" s="12">
        <f>IF(OR($B2144="",$C2144="",$G2144=""),"",COUNTIFS(Ventes_Encaissements!$E$6:$E$3005,$B2144,Ventes_Encaissements!$J$6:$J$3005,$G2144,Ventes_Encaissements!$C$6:$C$3005,"&gt;="&amp;($C2144-3),Ventes_Encaissements!$C$6:$C$3005,"&lt;="&amp;($C2144+3)))</f>
        <v/>
      </c>
      <c r="I2144" s="12">
        <f>IF($H2144="","",IF($H2144=0,"Non trouvé",IF($H2144=1,"Match","À vérifier")))</f>
        <v/>
      </c>
      <c r="J2144" s="21">
        <f>IF($I2144&lt;&gt;"Match","",INDEX(Ventes_Encaissements!$B$6:$B$3005,_xludf.AGGREGATE(15,6,(ROW(Ventes_Encaissements!$B$6:$B$3005)-ROW(Ventes_Encaissements!$B$6)+1)/((Ventes_Encaissements!$E$6:$E$3005=$B2144)*(Ventes_Encaissements!$J$6:$J$3005=$G2144)*(Ventes_Encaissements!$C$6:$C$3005&gt;=$C2144-3)*(Ventes_Encaissements!$C$6:$C$3005&lt;=$C2144+3)),1)))</f>
        <v/>
      </c>
      <c r="K2144" s="6" t="n"/>
    </row>
    <row r="2145">
      <c r="A2145" s="6" t="n"/>
      <c r="B2145" s="6" t="n"/>
      <c r="C2145" s="19" t="n"/>
      <c r="D2145" s="19" t="n"/>
      <c r="E2145" s="6" t="n"/>
      <c r="F2145" s="20" t="n"/>
      <c r="G2145" s="9">
        <f>IF($F2145="","",IF($F2145&gt;0,ROUND($F2145,2),""))</f>
        <v/>
      </c>
      <c r="H2145" s="12">
        <f>IF(OR($B2145="",$C2145="",$G2145=""),"",COUNTIFS(Ventes_Encaissements!$E$6:$E$3005,$B2145,Ventes_Encaissements!$J$6:$J$3005,$G2145,Ventes_Encaissements!$C$6:$C$3005,"&gt;="&amp;($C2145-3),Ventes_Encaissements!$C$6:$C$3005,"&lt;="&amp;($C2145+3)))</f>
        <v/>
      </c>
      <c r="I2145" s="12">
        <f>IF($H2145="","",IF($H2145=0,"Non trouvé",IF($H2145=1,"Match","À vérifier")))</f>
        <v/>
      </c>
      <c r="J2145" s="21">
        <f>IF($I2145&lt;&gt;"Match","",INDEX(Ventes_Encaissements!$B$6:$B$3005,_xludf.AGGREGATE(15,6,(ROW(Ventes_Encaissements!$B$6:$B$3005)-ROW(Ventes_Encaissements!$B$6)+1)/((Ventes_Encaissements!$E$6:$E$3005=$B2145)*(Ventes_Encaissements!$J$6:$J$3005=$G2145)*(Ventes_Encaissements!$C$6:$C$3005&gt;=$C2145-3)*(Ventes_Encaissements!$C$6:$C$3005&lt;=$C2145+3)),1)))</f>
        <v/>
      </c>
      <c r="K2145" s="6" t="n"/>
    </row>
    <row r="2146">
      <c r="A2146" s="6" t="n"/>
      <c r="B2146" s="6" t="n"/>
      <c r="C2146" s="19" t="n"/>
      <c r="D2146" s="19" t="n"/>
      <c r="E2146" s="6" t="n"/>
      <c r="F2146" s="20" t="n"/>
      <c r="G2146" s="9">
        <f>IF($F2146="","",IF($F2146&gt;0,ROUND($F2146,2),""))</f>
        <v/>
      </c>
      <c r="H2146" s="12">
        <f>IF(OR($B2146="",$C2146="",$G2146=""),"",COUNTIFS(Ventes_Encaissements!$E$6:$E$3005,$B2146,Ventes_Encaissements!$J$6:$J$3005,$G2146,Ventes_Encaissements!$C$6:$C$3005,"&gt;="&amp;($C2146-3),Ventes_Encaissements!$C$6:$C$3005,"&lt;="&amp;($C2146+3)))</f>
        <v/>
      </c>
      <c r="I2146" s="12">
        <f>IF($H2146="","",IF($H2146=0,"Non trouvé",IF($H2146=1,"Match","À vérifier")))</f>
        <v/>
      </c>
      <c r="J2146" s="21">
        <f>IF($I2146&lt;&gt;"Match","",INDEX(Ventes_Encaissements!$B$6:$B$3005,_xludf.AGGREGATE(15,6,(ROW(Ventes_Encaissements!$B$6:$B$3005)-ROW(Ventes_Encaissements!$B$6)+1)/((Ventes_Encaissements!$E$6:$E$3005=$B2146)*(Ventes_Encaissements!$J$6:$J$3005=$G2146)*(Ventes_Encaissements!$C$6:$C$3005&gt;=$C2146-3)*(Ventes_Encaissements!$C$6:$C$3005&lt;=$C2146+3)),1)))</f>
        <v/>
      </c>
      <c r="K2146" s="6" t="n"/>
    </row>
    <row r="2147">
      <c r="A2147" s="6" t="n"/>
      <c r="B2147" s="6" t="n"/>
      <c r="C2147" s="19" t="n"/>
      <c r="D2147" s="19" t="n"/>
      <c r="E2147" s="6" t="n"/>
      <c r="F2147" s="20" t="n"/>
      <c r="G2147" s="9">
        <f>IF($F2147="","",IF($F2147&gt;0,ROUND($F2147,2),""))</f>
        <v/>
      </c>
      <c r="H2147" s="12">
        <f>IF(OR($B2147="",$C2147="",$G2147=""),"",COUNTIFS(Ventes_Encaissements!$E$6:$E$3005,$B2147,Ventes_Encaissements!$J$6:$J$3005,$G2147,Ventes_Encaissements!$C$6:$C$3005,"&gt;="&amp;($C2147-3),Ventes_Encaissements!$C$6:$C$3005,"&lt;="&amp;($C2147+3)))</f>
        <v/>
      </c>
      <c r="I2147" s="12">
        <f>IF($H2147="","",IF($H2147=0,"Non trouvé",IF($H2147=1,"Match","À vérifier")))</f>
        <v/>
      </c>
      <c r="J2147" s="21">
        <f>IF($I2147&lt;&gt;"Match","",INDEX(Ventes_Encaissements!$B$6:$B$3005,_xludf.AGGREGATE(15,6,(ROW(Ventes_Encaissements!$B$6:$B$3005)-ROW(Ventes_Encaissements!$B$6)+1)/((Ventes_Encaissements!$E$6:$E$3005=$B2147)*(Ventes_Encaissements!$J$6:$J$3005=$G2147)*(Ventes_Encaissements!$C$6:$C$3005&gt;=$C2147-3)*(Ventes_Encaissements!$C$6:$C$3005&lt;=$C2147+3)),1)))</f>
        <v/>
      </c>
      <c r="K2147" s="6" t="n"/>
    </row>
    <row r="2148">
      <c r="A2148" s="6" t="n"/>
      <c r="B2148" s="6" t="n"/>
      <c r="C2148" s="19" t="n"/>
      <c r="D2148" s="19" t="n"/>
      <c r="E2148" s="6" t="n"/>
      <c r="F2148" s="20" t="n"/>
      <c r="G2148" s="9">
        <f>IF($F2148="","",IF($F2148&gt;0,ROUND($F2148,2),""))</f>
        <v/>
      </c>
      <c r="H2148" s="12">
        <f>IF(OR($B2148="",$C2148="",$G2148=""),"",COUNTIFS(Ventes_Encaissements!$E$6:$E$3005,$B2148,Ventes_Encaissements!$J$6:$J$3005,$G2148,Ventes_Encaissements!$C$6:$C$3005,"&gt;="&amp;($C2148-3),Ventes_Encaissements!$C$6:$C$3005,"&lt;="&amp;($C2148+3)))</f>
        <v/>
      </c>
      <c r="I2148" s="12">
        <f>IF($H2148="","",IF($H2148=0,"Non trouvé",IF($H2148=1,"Match","À vérifier")))</f>
        <v/>
      </c>
      <c r="J2148" s="21">
        <f>IF($I2148&lt;&gt;"Match","",INDEX(Ventes_Encaissements!$B$6:$B$3005,_xludf.AGGREGATE(15,6,(ROW(Ventes_Encaissements!$B$6:$B$3005)-ROW(Ventes_Encaissements!$B$6)+1)/((Ventes_Encaissements!$E$6:$E$3005=$B2148)*(Ventes_Encaissements!$J$6:$J$3005=$G2148)*(Ventes_Encaissements!$C$6:$C$3005&gt;=$C2148-3)*(Ventes_Encaissements!$C$6:$C$3005&lt;=$C2148+3)),1)))</f>
        <v/>
      </c>
      <c r="K2148" s="6" t="n"/>
    </row>
    <row r="2149">
      <c r="A2149" s="6" t="n"/>
      <c r="B2149" s="6" t="n"/>
      <c r="C2149" s="19" t="n"/>
      <c r="D2149" s="19" t="n"/>
      <c r="E2149" s="6" t="n"/>
      <c r="F2149" s="20" t="n"/>
      <c r="G2149" s="9">
        <f>IF($F2149="","",IF($F2149&gt;0,ROUND($F2149,2),""))</f>
        <v/>
      </c>
      <c r="H2149" s="12">
        <f>IF(OR($B2149="",$C2149="",$G2149=""),"",COUNTIFS(Ventes_Encaissements!$E$6:$E$3005,$B2149,Ventes_Encaissements!$J$6:$J$3005,$G2149,Ventes_Encaissements!$C$6:$C$3005,"&gt;="&amp;($C2149-3),Ventes_Encaissements!$C$6:$C$3005,"&lt;="&amp;($C2149+3)))</f>
        <v/>
      </c>
      <c r="I2149" s="12">
        <f>IF($H2149="","",IF($H2149=0,"Non trouvé",IF($H2149=1,"Match","À vérifier")))</f>
        <v/>
      </c>
      <c r="J2149" s="21">
        <f>IF($I2149&lt;&gt;"Match","",INDEX(Ventes_Encaissements!$B$6:$B$3005,_xludf.AGGREGATE(15,6,(ROW(Ventes_Encaissements!$B$6:$B$3005)-ROW(Ventes_Encaissements!$B$6)+1)/((Ventes_Encaissements!$E$6:$E$3005=$B2149)*(Ventes_Encaissements!$J$6:$J$3005=$G2149)*(Ventes_Encaissements!$C$6:$C$3005&gt;=$C2149-3)*(Ventes_Encaissements!$C$6:$C$3005&lt;=$C2149+3)),1)))</f>
        <v/>
      </c>
      <c r="K2149" s="6" t="n"/>
    </row>
    <row r="2150">
      <c r="A2150" s="6" t="n"/>
      <c r="B2150" s="6" t="n"/>
      <c r="C2150" s="19" t="n"/>
      <c r="D2150" s="19" t="n"/>
      <c r="E2150" s="6" t="n"/>
      <c r="F2150" s="20" t="n"/>
      <c r="G2150" s="9">
        <f>IF($F2150="","",IF($F2150&gt;0,ROUND($F2150,2),""))</f>
        <v/>
      </c>
      <c r="H2150" s="12">
        <f>IF(OR($B2150="",$C2150="",$G2150=""),"",COUNTIFS(Ventes_Encaissements!$E$6:$E$3005,$B2150,Ventes_Encaissements!$J$6:$J$3005,$G2150,Ventes_Encaissements!$C$6:$C$3005,"&gt;="&amp;($C2150-3),Ventes_Encaissements!$C$6:$C$3005,"&lt;="&amp;($C2150+3)))</f>
        <v/>
      </c>
      <c r="I2150" s="12">
        <f>IF($H2150="","",IF($H2150=0,"Non trouvé",IF($H2150=1,"Match","À vérifier")))</f>
        <v/>
      </c>
      <c r="J2150" s="21">
        <f>IF($I2150&lt;&gt;"Match","",INDEX(Ventes_Encaissements!$B$6:$B$3005,_xludf.AGGREGATE(15,6,(ROW(Ventes_Encaissements!$B$6:$B$3005)-ROW(Ventes_Encaissements!$B$6)+1)/((Ventes_Encaissements!$E$6:$E$3005=$B2150)*(Ventes_Encaissements!$J$6:$J$3005=$G2150)*(Ventes_Encaissements!$C$6:$C$3005&gt;=$C2150-3)*(Ventes_Encaissements!$C$6:$C$3005&lt;=$C2150+3)),1)))</f>
        <v/>
      </c>
      <c r="K2150" s="6" t="n"/>
    </row>
    <row r="2151">
      <c r="A2151" s="6" t="n"/>
      <c r="B2151" s="6" t="n"/>
      <c r="C2151" s="19" t="n"/>
      <c r="D2151" s="19" t="n"/>
      <c r="E2151" s="6" t="n"/>
      <c r="F2151" s="20" t="n"/>
      <c r="G2151" s="9">
        <f>IF($F2151="","",IF($F2151&gt;0,ROUND($F2151,2),""))</f>
        <v/>
      </c>
      <c r="H2151" s="12">
        <f>IF(OR($B2151="",$C2151="",$G2151=""),"",COUNTIFS(Ventes_Encaissements!$E$6:$E$3005,$B2151,Ventes_Encaissements!$J$6:$J$3005,$G2151,Ventes_Encaissements!$C$6:$C$3005,"&gt;="&amp;($C2151-3),Ventes_Encaissements!$C$6:$C$3005,"&lt;="&amp;($C2151+3)))</f>
        <v/>
      </c>
      <c r="I2151" s="12">
        <f>IF($H2151="","",IF($H2151=0,"Non trouvé",IF($H2151=1,"Match","À vérifier")))</f>
        <v/>
      </c>
      <c r="J2151" s="21">
        <f>IF($I2151&lt;&gt;"Match","",INDEX(Ventes_Encaissements!$B$6:$B$3005,_xludf.AGGREGATE(15,6,(ROW(Ventes_Encaissements!$B$6:$B$3005)-ROW(Ventes_Encaissements!$B$6)+1)/((Ventes_Encaissements!$E$6:$E$3005=$B2151)*(Ventes_Encaissements!$J$6:$J$3005=$G2151)*(Ventes_Encaissements!$C$6:$C$3005&gt;=$C2151-3)*(Ventes_Encaissements!$C$6:$C$3005&lt;=$C2151+3)),1)))</f>
        <v/>
      </c>
      <c r="K2151" s="6" t="n"/>
    </row>
    <row r="2152">
      <c r="A2152" s="6" t="n"/>
      <c r="B2152" s="6" t="n"/>
      <c r="C2152" s="19" t="n"/>
      <c r="D2152" s="19" t="n"/>
      <c r="E2152" s="6" t="n"/>
      <c r="F2152" s="20" t="n"/>
      <c r="G2152" s="9">
        <f>IF($F2152="","",IF($F2152&gt;0,ROUND($F2152,2),""))</f>
        <v/>
      </c>
      <c r="H2152" s="12">
        <f>IF(OR($B2152="",$C2152="",$G2152=""),"",COUNTIFS(Ventes_Encaissements!$E$6:$E$3005,$B2152,Ventes_Encaissements!$J$6:$J$3005,$G2152,Ventes_Encaissements!$C$6:$C$3005,"&gt;="&amp;($C2152-3),Ventes_Encaissements!$C$6:$C$3005,"&lt;="&amp;($C2152+3)))</f>
        <v/>
      </c>
      <c r="I2152" s="12">
        <f>IF($H2152="","",IF($H2152=0,"Non trouvé",IF($H2152=1,"Match","À vérifier")))</f>
        <v/>
      </c>
      <c r="J2152" s="21">
        <f>IF($I2152&lt;&gt;"Match","",INDEX(Ventes_Encaissements!$B$6:$B$3005,_xludf.AGGREGATE(15,6,(ROW(Ventes_Encaissements!$B$6:$B$3005)-ROW(Ventes_Encaissements!$B$6)+1)/((Ventes_Encaissements!$E$6:$E$3005=$B2152)*(Ventes_Encaissements!$J$6:$J$3005=$G2152)*(Ventes_Encaissements!$C$6:$C$3005&gt;=$C2152-3)*(Ventes_Encaissements!$C$6:$C$3005&lt;=$C2152+3)),1)))</f>
        <v/>
      </c>
      <c r="K2152" s="6" t="n"/>
    </row>
    <row r="2153">
      <c r="A2153" s="6" t="n"/>
      <c r="B2153" s="6" t="n"/>
      <c r="C2153" s="19" t="n"/>
      <c r="D2153" s="19" t="n"/>
      <c r="E2153" s="6" t="n"/>
      <c r="F2153" s="20" t="n"/>
      <c r="G2153" s="9">
        <f>IF($F2153="","",IF($F2153&gt;0,ROUND($F2153,2),""))</f>
        <v/>
      </c>
      <c r="H2153" s="12">
        <f>IF(OR($B2153="",$C2153="",$G2153=""),"",COUNTIFS(Ventes_Encaissements!$E$6:$E$3005,$B2153,Ventes_Encaissements!$J$6:$J$3005,$G2153,Ventes_Encaissements!$C$6:$C$3005,"&gt;="&amp;($C2153-3),Ventes_Encaissements!$C$6:$C$3005,"&lt;="&amp;($C2153+3)))</f>
        <v/>
      </c>
      <c r="I2153" s="12">
        <f>IF($H2153="","",IF($H2153=0,"Non trouvé",IF($H2153=1,"Match","À vérifier")))</f>
        <v/>
      </c>
      <c r="J2153" s="21">
        <f>IF($I2153&lt;&gt;"Match","",INDEX(Ventes_Encaissements!$B$6:$B$3005,_xludf.AGGREGATE(15,6,(ROW(Ventes_Encaissements!$B$6:$B$3005)-ROW(Ventes_Encaissements!$B$6)+1)/((Ventes_Encaissements!$E$6:$E$3005=$B2153)*(Ventes_Encaissements!$J$6:$J$3005=$G2153)*(Ventes_Encaissements!$C$6:$C$3005&gt;=$C2153-3)*(Ventes_Encaissements!$C$6:$C$3005&lt;=$C2153+3)),1)))</f>
        <v/>
      </c>
      <c r="K2153" s="6" t="n"/>
    </row>
    <row r="2154">
      <c r="A2154" s="6" t="n"/>
      <c r="B2154" s="6" t="n"/>
      <c r="C2154" s="19" t="n"/>
      <c r="D2154" s="19" t="n"/>
      <c r="E2154" s="6" t="n"/>
      <c r="F2154" s="20" t="n"/>
      <c r="G2154" s="9">
        <f>IF($F2154="","",IF($F2154&gt;0,ROUND($F2154,2),""))</f>
        <v/>
      </c>
      <c r="H2154" s="12">
        <f>IF(OR($B2154="",$C2154="",$G2154=""),"",COUNTIFS(Ventes_Encaissements!$E$6:$E$3005,$B2154,Ventes_Encaissements!$J$6:$J$3005,$G2154,Ventes_Encaissements!$C$6:$C$3005,"&gt;="&amp;($C2154-3),Ventes_Encaissements!$C$6:$C$3005,"&lt;="&amp;($C2154+3)))</f>
        <v/>
      </c>
      <c r="I2154" s="12">
        <f>IF($H2154="","",IF($H2154=0,"Non trouvé",IF($H2154=1,"Match","À vérifier")))</f>
        <v/>
      </c>
      <c r="J2154" s="21">
        <f>IF($I2154&lt;&gt;"Match","",INDEX(Ventes_Encaissements!$B$6:$B$3005,_xludf.AGGREGATE(15,6,(ROW(Ventes_Encaissements!$B$6:$B$3005)-ROW(Ventes_Encaissements!$B$6)+1)/((Ventes_Encaissements!$E$6:$E$3005=$B2154)*(Ventes_Encaissements!$J$6:$J$3005=$G2154)*(Ventes_Encaissements!$C$6:$C$3005&gt;=$C2154-3)*(Ventes_Encaissements!$C$6:$C$3005&lt;=$C2154+3)),1)))</f>
        <v/>
      </c>
      <c r="K2154" s="6" t="n"/>
    </row>
    <row r="2155">
      <c r="A2155" s="6" t="n"/>
      <c r="B2155" s="6" t="n"/>
      <c r="C2155" s="19" t="n"/>
      <c r="D2155" s="19" t="n"/>
      <c r="E2155" s="6" t="n"/>
      <c r="F2155" s="20" t="n"/>
      <c r="G2155" s="9">
        <f>IF($F2155="","",IF($F2155&gt;0,ROUND($F2155,2),""))</f>
        <v/>
      </c>
      <c r="H2155" s="12">
        <f>IF(OR($B2155="",$C2155="",$G2155=""),"",COUNTIFS(Ventes_Encaissements!$E$6:$E$3005,$B2155,Ventes_Encaissements!$J$6:$J$3005,$G2155,Ventes_Encaissements!$C$6:$C$3005,"&gt;="&amp;($C2155-3),Ventes_Encaissements!$C$6:$C$3005,"&lt;="&amp;($C2155+3)))</f>
        <v/>
      </c>
      <c r="I2155" s="12">
        <f>IF($H2155="","",IF($H2155=0,"Non trouvé",IF($H2155=1,"Match","À vérifier")))</f>
        <v/>
      </c>
      <c r="J2155" s="21">
        <f>IF($I2155&lt;&gt;"Match","",INDEX(Ventes_Encaissements!$B$6:$B$3005,_xludf.AGGREGATE(15,6,(ROW(Ventes_Encaissements!$B$6:$B$3005)-ROW(Ventes_Encaissements!$B$6)+1)/((Ventes_Encaissements!$E$6:$E$3005=$B2155)*(Ventes_Encaissements!$J$6:$J$3005=$G2155)*(Ventes_Encaissements!$C$6:$C$3005&gt;=$C2155-3)*(Ventes_Encaissements!$C$6:$C$3005&lt;=$C2155+3)),1)))</f>
        <v/>
      </c>
      <c r="K2155" s="6" t="n"/>
    </row>
    <row r="2156">
      <c r="A2156" s="6" t="n"/>
      <c r="B2156" s="6" t="n"/>
      <c r="C2156" s="19" t="n"/>
      <c r="D2156" s="19" t="n"/>
      <c r="E2156" s="6" t="n"/>
      <c r="F2156" s="20" t="n"/>
      <c r="G2156" s="9">
        <f>IF($F2156="","",IF($F2156&gt;0,ROUND($F2156,2),""))</f>
        <v/>
      </c>
      <c r="H2156" s="12">
        <f>IF(OR($B2156="",$C2156="",$G2156=""),"",COUNTIFS(Ventes_Encaissements!$E$6:$E$3005,$B2156,Ventes_Encaissements!$J$6:$J$3005,$G2156,Ventes_Encaissements!$C$6:$C$3005,"&gt;="&amp;($C2156-3),Ventes_Encaissements!$C$6:$C$3005,"&lt;="&amp;($C2156+3)))</f>
        <v/>
      </c>
      <c r="I2156" s="12">
        <f>IF($H2156="","",IF($H2156=0,"Non trouvé",IF($H2156=1,"Match","À vérifier")))</f>
        <v/>
      </c>
      <c r="J2156" s="21">
        <f>IF($I2156&lt;&gt;"Match","",INDEX(Ventes_Encaissements!$B$6:$B$3005,_xludf.AGGREGATE(15,6,(ROW(Ventes_Encaissements!$B$6:$B$3005)-ROW(Ventes_Encaissements!$B$6)+1)/((Ventes_Encaissements!$E$6:$E$3005=$B2156)*(Ventes_Encaissements!$J$6:$J$3005=$G2156)*(Ventes_Encaissements!$C$6:$C$3005&gt;=$C2156-3)*(Ventes_Encaissements!$C$6:$C$3005&lt;=$C2156+3)),1)))</f>
        <v/>
      </c>
      <c r="K2156" s="6" t="n"/>
    </row>
    <row r="2157">
      <c r="A2157" s="6" t="n"/>
      <c r="B2157" s="6" t="n"/>
      <c r="C2157" s="19" t="n"/>
      <c r="D2157" s="19" t="n"/>
      <c r="E2157" s="6" t="n"/>
      <c r="F2157" s="20" t="n"/>
      <c r="G2157" s="9">
        <f>IF($F2157="","",IF($F2157&gt;0,ROUND($F2157,2),""))</f>
        <v/>
      </c>
      <c r="H2157" s="12">
        <f>IF(OR($B2157="",$C2157="",$G2157=""),"",COUNTIFS(Ventes_Encaissements!$E$6:$E$3005,$B2157,Ventes_Encaissements!$J$6:$J$3005,$G2157,Ventes_Encaissements!$C$6:$C$3005,"&gt;="&amp;($C2157-3),Ventes_Encaissements!$C$6:$C$3005,"&lt;="&amp;($C2157+3)))</f>
        <v/>
      </c>
      <c r="I2157" s="12">
        <f>IF($H2157="","",IF($H2157=0,"Non trouvé",IF($H2157=1,"Match","À vérifier")))</f>
        <v/>
      </c>
      <c r="J2157" s="21">
        <f>IF($I2157&lt;&gt;"Match","",INDEX(Ventes_Encaissements!$B$6:$B$3005,_xludf.AGGREGATE(15,6,(ROW(Ventes_Encaissements!$B$6:$B$3005)-ROW(Ventes_Encaissements!$B$6)+1)/((Ventes_Encaissements!$E$6:$E$3005=$B2157)*(Ventes_Encaissements!$J$6:$J$3005=$G2157)*(Ventes_Encaissements!$C$6:$C$3005&gt;=$C2157-3)*(Ventes_Encaissements!$C$6:$C$3005&lt;=$C2157+3)),1)))</f>
        <v/>
      </c>
      <c r="K2157" s="6" t="n"/>
    </row>
    <row r="2158">
      <c r="A2158" s="6" t="n"/>
      <c r="B2158" s="6" t="n"/>
      <c r="C2158" s="19" t="n"/>
      <c r="D2158" s="19" t="n"/>
      <c r="E2158" s="6" t="n"/>
      <c r="F2158" s="20" t="n"/>
      <c r="G2158" s="9">
        <f>IF($F2158="","",IF($F2158&gt;0,ROUND($F2158,2),""))</f>
        <v/>
      </c>
      <c r="H2158" s="12">
        <f>IF(OR($B2158="",$C2158="",$G2158=""),"",COUNTIFS(Ventes_Encaissements!$E$6:$E$3005,$B2158,Ventes_Encaissements!$J$6:$J$3005,$G2158,Ventes_Encaissements!$C$6:$C$3005,"&gt;="&amp;($C2158-3),Ventes_Encaissements!$C$6:$C$3005,"&lt;="&amp;($C2158+3)))</f>
        <v/>
      </c>
      <c r="I2158" s="12">
        <f>IF($H2158="","",IF($H2158=0,"Non trouvé",IF($H2158=1,"Match","À vérifier")))</f>
        <v/>
      </c>
      <c r="J2158" s="21">
        <f>IF($I2158&lt;&gt;"Match","",INDEX(Ventes_Encaissements!$B$6:$B$3005,_xludf.AGGREGATE(15,6,(ROW(Ventes_Encaissements!$B$6:$B$3005)-ROW(Ventes_Encaissements!$B$6)+1)/((Ventes_Encaissements!$E$6:$E$3005=$B2158)*(Ventes_Encaissements!$J$6:$J$3005=$G2158)*(Ventes_Encaissements!$C$6:$C$3005&gt;=$C2158-3)*(Ventes_Encaissements!$C$6:$C$3005&lt;=$C2158+3)),1)))</f>
        <v/>
      </c>
      <c r="K2158" s="6" t="n"/>
    </row>
    <row r="2159">
      <c r="A2159" s="6" t="n"/>
      <c r="B2159" s="6" t="n"/>
      <c r="C2159" s="19" t="n"/>
      <c r="D2159" s="19" t="n"/>
      <c r="E2159" s="6" t="n"/>
      <c r="F2159" s="20" t="n"/>
      <c r="G2159" s="9">
        <f>IF($F2159="","",IF($F2159&gt;0,ROUND($F2159,2),""))</f>
        <v/>
      </c>
      <c r="H2159" s="12">
        <f>IF(OR($B2159="",$C2159="",$G2159=""),"",COUNTIFS(Ventes_Encaissements!$E$6:$E$3005,$B2159,Ventes_Encaissements!$J$6:$J$3005,$G2159,Ventes_Encaissements!$C$6:$C$3005,"&gt;="&amp;($C2159-3),Ventes_Encaissements!$C$6:$C$3005,"&lt;="&amp;($C2159+3)))</f>
        <v/>
      </c>
      <c r="I2159" s="12">
        <f>IF($H2159="","",IF($H2159=0,"Non trouvé",IF($H2159=1,"Match","À vérifier")))</f>
        <v/>
      </c>
      <c r="J2159" s="21">
        <f>IF($I2159&lt;&gt;"Match","",INDEX(Ventes_Encaissements!$B$6:$B$3005,_xludf.AGGREGATE(15,6,(ROW(Ventes_Encaissements!$B$6:$B$3005)-ROW(Ventes_Encaissements!$B$6)+1)/((Ventes_Encaissements!$E$6:$E$3005=$B2159)*(Ventes_Encaissements!$J$6:$J$3005=$G2159)*(Ventes_Encaissements!$C$6:$C$3005&gt;=$C2159-3)*(Ventes_Encaissements!$C$6:$C$3005&lt;=$C2159+3)),1)))</f>
        <v/>
      </c>
      <c r="K2159" s="6" t="n"/>
    </row>
    <row r="2160">
      <c r="A2160" s="6" t="n"/>
      <c r="B2160" s="6" t="n"/>
      <c r="C2160" s="19" t="n"/>
      <c r="D2160" s="19" t="n"/>
      <c r="E2160" s="6" t="n"/>
      <c r="F2160" s="20" t="n"/>
      <c r="G2160" s="9">
        <f>IF($F2160="","",IF($F2160&gt;0,ROUND($F2160,2),""))</f>
        <v/>
      </c>
      <c r="H2160" s="12">
        <f>IF(OR($B2160="",$C2160="",$G2160=""),"",COUNTIFS(Ventes_Encaissements!$E$6:$E$3005,$B2160,Ventes_Encaissements!$J$6:$J$3005,$G2160,Ventes_Encaissements!$C$6:$C$3005,"&gt;="&amp;($C2160-3),Ventes_Encaissements!$C$6:$C$3005,"&lt;="&amp;($C2160+3)))</f>
        <v/>
      </c>
      <c r="I2160" s="12">
        <f>IF($H2160="","",IF($H2160=0,"Non trouvé",IF($H2160=1,"Match","À vérifier")))</f>
        <v/>
      </c>
      <c r="J2160" s="21">
        <f>IF($I2160&lt;&gt;"Match","",INDEX(Ventes_Encaissements!$B$6:$B$3005,_xludf.AGGREGATE(15,6,(ROW(Ventes_Encaissements!$B$6:$B$3005)-ROW(Ventes_Encaissements!$B$6)+1)/((Ventes_Encaissements!$E$6:$E$3005=$B2160)*(Ventes_Encaissements!$J$6:$J$3005=$G2160)*(Ventes_Encaissements!$C$6:$C$3005&gt;=$C2160-3)*(Ventes_Encaissements!$C$6:$C$3005&lt;=$C2160+3)),1)))</f>
        <v/>
      </c>
      <c r="K2160" s="6" t="n"/>
    </row>
    <row r="2161">
      <c r="A2161" s="6" t="n"/>
      <c r="B2161" s="6" t="n"/>
      <c r="C2161" s="19" t="n"/>
      <c r="D2161" s="19" t="n"/>
      <c r="E2161" s="6" t="n"/>
      <c r="F2161" s="20" t="n"/>
      <c r="G2161" s="9">
        <f>IF($F2161="","",IF($F2161&gt;0,ROUND($F2161,2),""))</f>
        <v/>
      </c>
      <c r="H2161" s="12">
        <f>IF(OR($B2161="",$C2161="",$G2161=""),"",COUNTIFS(Ventes_Encaissements!$E$6:$E$3005,$B2161,Ventes_Encaissements!$J$6:$J$3005,$G2161,Ventes_Encaissements!$C$6:$C$3005,"&gt;="&amp;($C2161-3),Ventes_Encaissements!$C$6:$C$3005,"&lt;="&amp;($C2161+3)))</f>
        <v/>
      </c>
      <c r="I2161" s="12">
        <f>IF($H2161="","",IF($H2161=0,"Non trouvé",IF($H2161=1,"Match","À vérifier")))</f>
        <v/>
      </c>
      <c r="J2161" s="21">
        <f>IF($I2161&lt;&gt;"Match","",INDEX(Ventes_Encaissements!$B$6:$B$3005,_xludf.AGGREGATE(15,6,(ROW(Ventes_Encaissements!$B$6:$B$3005)-ROW(Ventes_Encaissements!$B$6)+1)/((Ventes_Encaissements!$E$6:$E$3005=$B2161)*(Ventes_Encaissements!$J$6:$J$3005=$G2161)*(Ventes_Encaissements!$C$6:$C$3005&gt;=$C2161-3)*(Ventes_Encaissements!$C$6:$C$3005&lt;=$C2161+3)),1)))</f>
        <v/>
      </c>
      <c r="K2161" s="6" t="n"/>
    </row>
    <row r="2162">
      <c r="A2162" s="6" t="n"/>
      <c r="B2162" s="6" t="n"/>
      <c r="C2162" s="19" t="n"/>
      <c r="D2162" s="19" t="n"/>
      <c r="E2162" s="6" t="n"/>
      <c r="F2162" s="20" t="n"/>
      <c r="G2162" s="9">
        <f>IF($F2162="","",IF($F2162&gt;0,ROUND($F2162,2),""))</f>
        <v/>
      </c>
      <c r="H2162" s="12">
        <f>IF(OR($B2162="",$C2162="",$G2162=""),"",COUNTIFS(Ventes_Encaissements!$E$6:$E$3005,$B2162,Ventes_Encaissements!$J$6:$J$3005,$G2162,Ventes_Encaissements!$C$6:$C$3005,"&gt;="&amp;($C2162-3),Ventes_Encaissements!$C$6:$C$3005,"&lt;="&amp;($C2162+3)))</f>
        <v/>
      </c>
      <c r="I2162" s="12">
        <f>IF($H2162="","",IF($H2162=0,"Non trouvé",IF($H2162=1,"Match","À vérifier")))</f>
        <v/>
      </c>
      <c r="J2162" s="21">
        <f>IF($I2162&lt;&gt;"Match","",INDEX(Ventes_Encaissements!$B$6:$B$3005,_xludf.AGGREGATE(15,6,(ROW(Ventes_Encaissements!$B$6:$B$3005)-ROW(Ventes_Encaissements!$B$6)+1)/((Ventes_Encaissements!$E$6:$E$3005=$B2162)*(Ventes_Encaissements!$J$6:$J$3005=$G2162)*(Ventes_Encaissements!$C$6:$C$3005&gt;=$C2162-3)*(Ventes_Encaissements!$C$6:$C$3005&lt;=$C2162+3)),1)))</f>
        <v/>
      </c>
      <c r="K2162" s="6" t="n"/>
    </row>
    <row r="2163">
      <c r="A2163" s="6" t="n"/>
      <c r="B2163" s="6" t="n"/>
      <c r="C2163" s="19" t="n"/>
      <c r="D2163" s="19" t="n"/>
      <c r="E2163" s="6" t="n"/>
      <c r="F2163" s="20" t="n"/>
      <c r="G2163" s="9">
        <f>IF($F2163="","",IF($F2163&gt;0,ROUND($F2163,2),""))</f>
        <v/>
      </c>
      <c r="H2163" s="12">
        <f>IF(OR($B2163="",$C2163="",$G2163=""),"",COUNTIFS(Ventes_Encaissements!$E$6:$E$3005,$B2163,Ventes_Encaissements!$J$6:$J$3005,$G2163,Ventes_Encaissements!$C$6:$C$3005,"&gt;="&amp;($C2163-3),Ventes_Encaissements!$C$6:$C$3005,"&lt;="&amp;($C2163+3)))</f>
        <v/>
      </c>
      <c r="I2163" s="12">
        <f>IF($H2163="","",IF($H2163=0,"Non trouvé",IF($H2163=1,"Match","À vérifier")))</f>
        <v/>
      </c>
      <c r="J2163" s="21">
        <f>IF($I2163&lt;&gt;"Match","",INDEX(Ventes_Encaissements!$B$6:$B$3005,_xludf.AGGREGATE(15,6,(ROW(Ventes_Encaissements!$B$6:$B$3005)-ROW(Ventes_Encaissements!$B$6)+1)/((Ventes_Encaissements!$E$6:$E$3005=$B2163)*(Ventes_Encaissements!$J$6:$J$3005=$G2163)*(Ventes_Encaissements!$C$6:$C$3005&gt;=$C2163-3)*(Ventes_Encaissements!$C$6:$C$3005&lt;=$C2163+3)),1)))</f>
        <v/>
      </c>
      <c r="K2163" s="6" t="n"/>
    </row>
    <row r="2164">
      <c r="A2164" s="6" t="n"/>
      <c r="B2164" s="6" t="n"/>
      <c r="C2164" s="19" t="n"/>
      <c r="D2164" s="19" t="n"/>
      <c r="E2164" s="6" t="n"/>
      <c r="F2164" s="20" t="n"/>
      <c r="G2164" s="9">
        <f>IF($F2164="","",IF($F2164&gt;0,ROUND($F2164,2),""))</f>
        <v/>
      </c>
      <c r="H2164" s="12">
        <f>IF(OR($B2164="",$C2164="",$G2164=""),"",COUNTIFS(Ventes_Encaissements!$E$6:$E$3005,$B2164,Ventes_Encaissements!$J$6:$J$3005,$G2164,Ventes_Encaissements!$C$6:$C$3005,"&gt;="&amp;($C2164-3),Ventes_Encaissements!$C$6:$C$3005,"&lt;="&amp;($C2164+3)))</f>
        <v/>
      </c>
      <c r="I2164" s="12">
        <f>IF($H2164="","",IF($H2164=0,"Non trouvé",IF($H2164=1,"Match","À vérifier")))</f>
        <v/>
      </c>
      <c r="J2164" s="21">
        <f>IF($I2164&lt;&gt;"Match","",INDEX(Ventes_Encaissements!$B$6:$B$3005,_xludf.AGGREGATE(15,6,(ROW(Ventes_Encaissements!$B$6:$B$3005)-ROW(Ventes_Encaissements!$B$6)+1)/((Ventes_Encaissements!$E$6:$E$3005=$B2164)*(Ventes_Encaissements!$J$6:$J$3005=$G2164)*(Ventes_Encaissements!$C$6:$C$3005&gt;=$C2164-3)*(Ventes_Encaissements!$C$6:$C$3005&lt;=$C2164+3)),1)))</f>
        <v/>
      </c>
      <c r="K2164" s="6" t="n"/>
    </row>
    <row r="2165">
      <c r="A2165" s="6" t="n"/>
      <c r="B2165" s="6" t="n"/>
      <c r="C2165" s="19" t="n"/>
      <c r="D2165" s="19" t="n"/>
      <c r="E2165" s="6" t="n"/>
      <c r="F2165" s="20" t="n"/>
      <c r="G2165" s="9">
        <f>IF($F2165="","",IF($F2165&gt;0,ROUND($F2165,2),""))</f>
        <v/>
      </c>
      <c r="H2165" s="12">
        <f>IF(OR($B2165="",$C2165="",$G2165=""),"",COUNTIFS(Ventes_Encaissements!$E$6:$E$3005,$B2165,Ventes_Encaissements!$J$6:$J$3005,$G2165,Ventes_Encaissements!$C$6:$C$3005,"&gt;="&amp;($C2165-3),Ventes_Encaissements!$C$6:$C$3005,"&lt;="&amp;($C2165+3)))</f>
        <v/>
      </c>
      <c r="I2165" s="12">
        <f>IF($H2165="","",IF($H2165=0,"Non trouvé",IF($H2165=1,"Match","À vérifier")))</f>
        <v/>
      </c>
      <c r="J2165" s="21">
        <f>IF($I2165&lt;&gt;"Match","",INDEX(Ventes_Encaissements!$B$6:$B$3005,_xludf.AGGREGATE(15,6,(ROW(Ventes_Encaissements!$B$6:$B$3005)-ROW(Ventes_Encaissements!$B$6)+1)/((Ventes_Encaissements!$E$6:$E$3005=$B2165)*(Ventes_Encaissements!$J$6:$J$3005=$G2165)*(Ventes_Encaissements!$C$6:$C$3005&gt;=$C2165-3)*(Ventes_Encaissements!$C$6:$C$3005&lt;=$C2165+3)),1)))</f>
        <v/>
      </c>
      <c r="K2165" s="6" t="n"/>
    </row>
    <row r="2166">
      <c r="A2166" s="6" t="n"/>
      <c r="B2166" s="6" t="n"/>
      <c r="C2166" s="19" t="n"/>
      <c r="D2166" s="19" t="n"/>
      <c r="E2166" s="6" t="n"/>
      <c r="F2166" s="20" t="n"/>
      <c r="G2166" s="9">
        <f>IF($F2166="","",IF($F2166&gt;0,ROUND($F2166,2),""))</f>
        <v/>
      </c>
      <c r="H2166" s="12">
        <f>IF(OR($B2166="",$C2166="",$G2166=""),"",COUNTIFS(Ventes_Encaissements!$E$6:$E$3005,$B2166,Ventes_Encaissements!$J$6:$J$3005,$G2166,Ventes_Encaissements!$C$6:$C$3005,"&gt;="&amp;($C2166-3),Ventes_Encaissements!$C$6:$C$3005,"&lt;="&amp;($C2166+3)))</f>
        <v/>
      </c>
      <c r="I2166" s="12">
        <f>IF($H2166="","",IF($H2166=0,"Non trouvé",IF($H2166=1,"Match","À vérifier")))</f>
        <v/>
      </c>
      <c r="J2166" s="21">
        <f>IF($I2166&lt;&gt;"Match","",INDEX(Ventes_Encaissements!$B$6:$B$3005,_xludf.AGGREGATE(15,6,(ROW(Ventes_Encaissements!$B$6:$B$3005)-ROW(Ventes_Encaissements!$B$6)+1)/((Ventes_Encaissements!$E$6:$E$3005=$B2166)*(Ventes_Encaissements!$J$6:$J$3005=$G2166)*(Ventes_Encaissements!$C$6:$C$3005&gt;=$C2166-3)*(Ventes_Encaissements!$C$6:$C$3005&lt;=$C2166+3)),1)))</f>
        <v/>
      </c>
      <c r="K2166" s="6" t="n"/>
    </row>
    <row r="2167">
      <c r="A2167" s="6" t="n"/>
      <c r="B2167" s="6" t="n"/>
      <c r="C2167" s="19" t="n"/>
      <c r="D2167" s="19" t="n"/>
      <c r="E2167" s="6" t="n"/>
      <c r="F2167" s="20" t="n"/>
      <c r="G2167" s="9">
        <f>IF($F2167="","",IF($F2167&gt;0,ROUND($F2167,2),""))</f>
        <v/>
      </c>
      <c r="H2167" s="12">
        <f>IF(OR($B2167="",$C2167="",$G2167=""),"",COUNTIFS(Ventes_Encaissements!$E$6:$E$3005,$B2167,Ventes_Encaissements!$J$6:$J$3005,$G2167,Ventes_Encaissements!$C$6:$C$3005,"&gt;="&amp;($C2167-3),Ventes_Encaissements!$C$6:$C$3005,"&lt;="&amp;($C2167+3)))</f>
        <v/>
      </c>
      <c r="I2167" s="12">
        <f>IF($H2167="","",IF($H2167=0,"Non trouvé",IF($H2167=1,"Match","À vérifier")))</f>
        <v/>
      </c>
      <c r="J2167" s="21">
        <f>IF($I2167&lt;&gt;"Match","",INDEX(Ventes_Encaissements!$B$6:$B$3005,_xludf.AGGREGATE(15,6,(ROW(Ventes_Encaissements!$B$6:$B$3005)-ROW(Ventes_Encaissements!$B$6)+1)/((Ventes_Encaissements!$E$6:$E$3005=$B2167)*(Ventes_Encaissements!$J$6:$J$3005=$G2167)*(Ventes_Encaissements!$C$6:$C$3005&gt;=$C2167-3)*(Ventes_Encaissements!$C$6:$C$3005&lt;=$C2167+3)),1)))</f>
        <v/>
      </c>
      <c r="K2167" s="6" t="n"/>
    </row>
    <row r="2168">
      <c r="A2168" s="6" t="n"/>
      <c r="B2168" s="6" t="n"/>
      <c r="C2168" s="19" t="n"/>
      <c r="D2168" s="19" t="n"/>
      <c r="E2168" s="6" t="n"/>
      <c r="F2168" s="20" t="n"/>
      <c r="G2168" s="9">
        <f>IF($F2168="","",IF($F2168&gt;0,ROUND($F2168,2),""))</f>
        <v/>
      </c>
      <c r="H2168" s="12">
        <f>IF(OR($B2168="",$C2168="",$G2168=""),"",COUNTIFS(Ventes_Encaissements!$E$6:$E$3005,$B2168,Ventes_Encaissements!$J$6:$J$3005,$G2168,Ventes_Encaissements!$C$6:$C$3005,"&gt;="&amp;($C2168-3),Ventes_Encaissements!$C$6:$C$3005,"&lt;="&amp;($C2168+3)))</f>
        <v/>
      </c>
      <c r="I2168" s="12">
        <f>IF($H2168="","",IF($H2168=0,"Non trouvé",IF($H2168=1,"Match","À vérifier")))</f>
        <v/>
      </c>
      <c r="J2168" s="21">
        <f>IF($I2168&lt;&gt;"Match","",INDEX(Ventes_Encaissements!$B$6:$B$3005,_xludf.AGGREGATE(15,6,(ROW(Ventes_Encaissements!$B$6:$B$3005)-ROW(Ventes_Encaissements!$B$6)+1)/((Ventes_Encaissements!$E$6:$E$3005=$B2168)*(Ventes_Encaissements!$J$6:$J$3005=$G2168)*(Ventes_Encaissements!$C$6:$C$3005&gt;=$C2168-3)*(Ventes_Encaissements!$C$6:$C$3005&lt;=$C2168+3)),1)))</f>
        <v/>
      </c>
      <c r="K2168" s="6" t="n"/>
    </row>
    <row r="2169">
      <c r="A2169" s="6" t="n"/>
      <c r="B2169" s="6" t="n"/>
      <c r="C2169" s="19" t="n"/>
      <c r="D2169" s="19" t="n"/>
      <c r="E2169" s="6" t="n"/>
      <c r="F2169" s="20" t="n"/>
      <c r="G2169" s="9">
        <f>IF($F2169="","",IF($F2169&gt;0,ROUND($F2169,2),""))</f>
        <v/>
      </c>
      <c r="H2169" s="12">
        <f>IF(OR($B2169="",$C2169="",$G2169=""),"",COUNTIFS(Ventes_Encaissements!$E$6:$E$3005,$B2169,Ventes_Encaissements!$J$6:$J$3005,$G2169,Ventes_Encaissements!$C$6:$C$3005,"&gt;="&amp;($C2169-3),Ventes_Encaissements!$C$6:$C$3005,"&lt;="&amp;($C2169+3)))</f>
        <v/>
      </c>
      <c r="I2169" s="12">
        <f>IF($H2169="","",IF($H2169=0,"Non trouvé",IF($H2169=1,"Match","À vérifier")))</f>
        <v/>
      </c>
      <c r="J2169" s="21">
        <f>IF($I2169&lt;&gt;"Match","",INDEX(Ventes_Encaissements!$B$6:$B$3005,_xludf.AGGREGATE(15,6,(ROW(Ventes_Encaissements!$B$6:$B$3005)-ROW(Ventes_Encaissements!$B$6)+1)/((Ventes_Encaissements!$E$6:$E$3005=$B2169)*(Ventes_Encaissements!$J$6:$J$3005=$G2169)*(Ventes_Encaissements!$C$6:$C$3005&gt;=$C2169-3)*(Ventes_Encaissements!$C$6:$C$3005&lt;=$C2169+3)),1)))</f>
        <v/>
      </c>
      <c r="K2169" s="6" t="n"/>
    </row>
    <row r="2170">
      <c r="A2170" s="6" t="n"/>
      <c r="B2170" s="6" t="n"/>
      <c r="C2170" s="19" t="n"/>
      <c r="D2170" s="19" t="n"/>
      <c r="E2170" s="6" t="n"/>
      <c r="F2170" s="20" t="n"/>
      <c r="G2170" s="9">
        <f>IF($F2170="","",IF($F2170&gt;0,ROUND($F2170,2),""))</f>
        <v/>
      </c>
      <c r="H2170" s="12">
        <f>IF(OR($B2170="",$C2170="",$G2170=""),"",COUNTIFS(Ventes_Encaissements!$E$6:$E$3005,$B2170,Ventes_Encaissements!$J$6:$J$3005,$G2170,Ventes_Encaissements!$C$6:$C$3005,"&gt;="&amp;($C2170-3),Ventes_Encaissements!$C$6:$C$3005,"&lt;="&amp;($C2170+3)))</f>
        <v/>
      </c>
      <c r="I2170" s="12">
        <f>IF($H2170="","",IF($H2170=0,"Non trouvé",IF($H2170=1,"Match","À vérifier")))</f>
        <v/>
      </c>
      <c r="J2170" s="21">
        <f>IF($I2170&lt;&gt;"Match","",INDEX(Ventes_Encaissements!$B$6:$B$3005,_xludf.AGGREGATE(15,6,(ROW(Ventes_Encaissements!$B$6:$B$3005)-ROW(Ventes_Encaissements!$B$6)+1)/((Ventes_Encaissements!$E$6:$E$3005=$B2170)*(Ventes_Encaissements!$J$6:$J$3005=$G2170)*(Ventes_Encaissements!$C$6:$C$3005&gt;=$C2170-3)*(Ventes_Encaissements!$C$6:$C$3005&lt;=$C2170+3)),1)))</f>
        <v/>
      </c>
      <c r="K2170" s="6" t="n"/>
    </row>
    <row r="2171">
      <c r="A2171" s="6" t="n"/>
      <c r="B2171" s="6" t="n"/>
      <c r="C2171" s="19" t="n"/>
      <c r="D2171" s="19" t="n"/>
      <c r="E2171" s="6" t="n"/>
      <c r="F2171" s="20" t="n"/>
      <c r="G2171" s="9">
        <f>IF($F2171="","",IF($F2171&gt;0,ROUND($F2171,2),""))</f>
        <v/>
      </c>
      <c r="H2171" s="12">
        <f>IF(OR($B2171="",$C2171="",$G2171=""),"",COUNTIFS(Ventes_Encaissements!$E$6:$E$3005,$B2171,Ventes_Encaissements!$J$6:$J$3005,$G2171,Ventes_Encaissements!$C$6:$C$3005,"&gt;="&amp;($C2171-3),Ventes_Encaissements!$C$6:$C$3005,"&lt;="&amp;($C2171+3)))</f>
        <v/>
      </c>
      <c r="I2171" s="12">
        <f>IF($H2171="","",IF($H2171=0,"Non trouvé",IF($H2171=1,"Match","À vérifier")))</f>
        <v/>
      </c>
      <c r="J2171" s="21">
        <f>IF($I2171&lt;&gt;"Match","",INDEX(Ventes_Encaissements!$B$6:$B$3005,_xludf.AGGREGATE(15,6,(ROW(Ventes_Encaissements!$B$6:$B$3005)-ROW(Ventes_Encaissements!$B$6)+1)/((Ventes_Encaissements!$E$6:$E$3005=$B2171)*(Ventes_Encaissements!$J$6:$J$3005=$G2171)*(Ventes_Encaissements!$C$6:$C$3005&gt;=$C2171-3)*(Ventes_Encaissements!$C$6:$C$3005&lt;=$C2171+3)),1)))</f>
        <v/>
      </c>
      <c r="K2171" s="6" t="n"/>
    </row>
    <row r="2172">
      <c r="A2172" s="6" t="n"/>
      <c r="B2172" s="6" t="n"/>
      <c r="C2172" s="19" t="n"/>
      <c r="D2172" s="19" t="n"/>
      <c r="E2172" s="6" t="n"/>
      <c r="F2172" s="20" t="n"/>
      <c r="G2172" s="9">
        <f>IF($F2172="","",IF($F2172&gt;0,ROUND($F2172,2),""))</f>
        <v/>
      </c>
      <c r="H2172" s="12">
        <f>IF(OR($B2172="",$C2172="",$G2172=""),"",COUNTIFS(Ventes_Encaissements!$E$6:$E$3005,$B2172,Ventes_Encaissements!$J$6:$J$3005,$G2172,Ventes_Encaissements!$C$6:$C$3005,"&gt;="&amp;($C2172-3),Ventes_Encaissements!$C$6:$C$3005,"&lt;="&amp;($C2172+3)))</f>
        <v/>
      </c>
      <c r="I2172" s="12">
        <f>IF($H2172="","",IF($H2172=0,"Non trouvé",IF($H2172=1,"Match","À vérifier")))</f>
        <v/>
      </c>
      <c r="J2172" s="21">
        <f>IF($I2172&lt;&gt;"Match","",INDEX(Ventes_Encaissements!$B$6:$B$3005,_xludf.AGGREGATE(15,6,(ROW(Ventes_Encaissements!$B$6:$B$3005)-ROW(Ventes_Encaissements!$B$6)+1)/((Ventes_Encaissements!$E$6:$E$3005=$B2172)*(Ventes_Encaissements!$J$6:$J$3005=$G2172)*(Ventes_Encaissements!$C$6:$C$3005&gt;=$C2172-3)*(Ventes_Encaissements!$C$6:$C$3005&lt;=$C2172+3)),1)))</f>
        <v/>
      </c>
      <c r="K2172" s="6" t="n"/>
    </row>
    <row r="2173">
      <c r="A2173" s="6" t="n"/>
      <c r="B2173" s="6" t="n"/>
      <c r="C2173" s="19" t="n"/>
      <c r="D2173" s="19" t="n"/>
      <c r="E2173" s="6" t="n"/>
      <c r="F2173" s="20" t="n"/>
      <c r="G2173" s="9">
        <f>IF($F2173="","",IF($F2173&gt;0,ROUND($F2173,2),""))</f>
        <v/>
      </c>
      <c r="H2173" s="12">
        <f>IF(OR($B2173="",$C2173="",$G2173=""),"",COUNTIFS(Ventes_Encaissements!$E$6:$E$3005,$B2173,Ventes_Encaissements!$J$6:$J$3005,$G2173,Ventes_Encaissements!$C$6:$C$3005,"&gt;="&amp;($C2173-3),Ventes_Encaissements!$C$6:$C$3005,"&lt;="&amp;($C2173+3)))</f>
        <v/>
      </c>
      <c r="I2173" s="12">
        <f>IF($H2173="","",IF($H2173=0,"Non trouvé",IF($H2173=1,"Match","À vérifier")))</f>
        <v/>
      </c>
      <c r="J2173" s="21">
        <f>IF($I2173&lt;&gt;"Match","",INDEX(Ventes_Encaissements!$B$6:$B$3005,_xludf.AGGREGATE(15,6,(ROW(Ventes_Encaissements!$B$6:$B$3005)-ROW(Ventes_Encaissements!$B$6)+1)/((Ventes_Encaissements!$E$6:$E$3005=$B2173)*(Ventes_Encaissements!$J$6:$J$3005=$G2173)*(Ventes_Encaissements!$C$6:$C$3005&gt;=$C2173-3)*(Ventes_Encaissements!$C$6:$C$3005&lt;=$C2173+3)),1)))</f>
        <v/>
      </c>
      <c r="K2173" s="6" t="n"/>
    </row>
    <row r="2174">
      <c r="A2174" s="6" t="n"/>
      <c r="B2174" s="6" t="n"/>
      <c r="C2174" s="19" t="n"/>
      <c r="D2174" s="19" t="n"/>
      <c r="E2174" s="6" t="n"/>
      <c r="F2174" s="20" t="n"/>
      <c r="G2174" s="9">
        <f>IF($F2174="","",IF($F2174&gt;0,ROUND($F2174,2),""))</f>
        <v/>
      </c>
      <c r="H2174" s="12">
        <f>IF(OR($B2174="",$C2174="",$G2174=""),"",COUNTIFS(Ventes_Encaissements!$E$6:$E$3005,$B2174,Ventes_Encaissements!$J$6:$J$3005,$G2174,Ventes_Encaissements!$C$6:$C$3005,"&gt;="&amp;($C2174-3),Ventes_Encaissements!$C$6:$C$3005,"&lt;="&amp;($C2174+3)))</f>
        <v/>
      </c>
      <c r="I2174" s="12">
        <f>IF($H2174="","",IF($H2174=0,"Non trouvé",IF($H2174=1,"Match","À vérifier")))</f>
        <v/>
      </c>
      <c r="J2174" s="21">
        <f>IF($I2174&lt;&gt;"Match","",INDEX(Ventes_Encaissements!$B$6:$B$3005,_xludf.AGGREGATE(15,6,(ROW(Ventes_Encaissements!$B$6:$B$3005)-ROW(Ventes_Encaissements!$B$6)+1)/((Ventes_Encaissements!$E$6:$E$3005=$B2174)*(Ventes_Encaissements!$J$6:$J$3005=$G2174)*(Ventes_Encaissements!$C$6:$C$3005&gt;=$C2174-3)*(Ventes_Encaissements!$C$6:$C$3005&lt;=$C2174+3)),1)))</f>
        <v/>
      </c>
      <c r="K2174" s="6" t="n"/>
    </row>
    <row r="2175">
      <c r="A2175" s="6" t="n"/>
      <c r="B2175" s="6" t="n"/>
      <c r="C2175" s="19" t="n"/>
      <c r="D2175" s="19" t="n"/>
      <c r="E2175" s="6" t="n"/>
      <c r="F2175" s="20" t="n"/>
      <c r="G2175" s="9">
        <f>IF($F2175="","",IF($F2175&gt;0,ROUND($F2175,2),""))</f>
        <v/>
      </c>
      <c r="H2175" s="12">
        <f>IF(OR($B2175="",$C2175="",$G2175=""),"",COUNTIFS(Ventes_Encaissements!$E$6:$E$3005,$B2175,Ventes_Encaissements!$J$6:$J$3005,$G2175,Ventes_Encaissements!$C$6:$C$3005,"&gt;="&amp;($C2175-3),Ventes_Encaissements!$C$6:$C$3005,"&lt;="&amp;($C2175+3)))</f>
        <v/>
      </c>
      <c r="I2175" s="12">
        <f>IF($H2175="","",IF($H2175=0,"Non trouvé",IF($H2175=1,"Match","À vérifier")))</f>
        <v/>
      </c>
      <c r="J2175" s="21">
        <f>IF($I2175&lt;&gt;"Match","",INDEX(Ventes_Encaissements!$B$6:$B$3005,_xludf.AGGREGATE(15,6,(ROW(Ventes_Encaissements!$B$6:$B$3005)-ROW(Ventes_Encaissements!$B$6)+1)/((Ventes_Encaissements!$E$6:$E$3005=$B2175)*(Ventes_Encaissements!$J$6:$J$3005=$G2175)*(Ventes_Encaissements!$C$6:$C$3005&gt;=$C2175-3)*(Ventes_Encaissements!$C$6:$C$3005&lt;=$C2175+3)),1)))</f>
        <v/>
      </c>
      <c r="K2175" s="6" t="n"/>
    </row>
    <row r="2176">
      <c r="A2176" s="6" t="n"/>
      <c r="B2176" s="6" t="n"/>
      <c r="C2176" s="19" t="n"/>
      <c r="D2176" s="19" t="n"/>
      <c r="E2176" s="6" t="n"/>
      <c r="F2176" s="20" t="n"/>
      <c r="G2176" s="9">
        <f>IF($F2176="","",IF($F2176&gt;0,ROUND($F2176,2),""))</f>
        <v/>
      </c>
      <c r="H2176" s="12">
        <f>IF(OR($B2176="",$C2176="",$G2176=""),"",COUNTIFS(Ventes_Encaissements!$E$6:$E$3005,$B2176,Ventes_Encaissements!$J$6:$J$3005,$G2176,Ventes_Encaissements!$C$6:$C$3005,"&gt;="&amp;($C2176-3),Ventes_Encaissements!$C$6:$C$3005,"&lt;="&amp;($C2176+3)))</f>
        <v/>
      </c>
      <c r="I2176" s="12">
        <f>IF($H2176="","",IF($H2176=0,"Non trouvé",IF($H2176=1,"Match","À vérifier")))</f>
        <v/>
      </c>
      <c r="J2176" s="21">
        <f>IF($I2176&lt;&gt;"Match","",INDEX(Ventes_Encaissements!$B$6:$B$3005,_xludf.AGGREGATE(15,6,(ROW(Ventes_Encaissements!$B$6:$B$3005)-ROW(Ventes_Encaissements!$B$6)+1)/((Ventes_Encaissements!$E$6:$E$3005=$B2176)*(Ventes_Encaissements!$J$6:$J$3005=$G2176)*(Ventes_Encaissements!$C$6:$C$3005&gt;=$C2176-3)*(Ventes_Encaissements!$C$6:$C$3005&lt;=$C2176+3)),1)))</f>
        <v/>
      </c>
      <c r="K2176" s="6" t="n"/>
    </row>
    <row r="2177">
      <c r="A2177" s="6" t="n"/>
      <c r="B2177" s="6" t="n"/>
      <c r="C2177" s="19" t="n"/>
      <c r="D2177" s="19" t="n"/>
      <c r="E2177" s="6" t="n"/>
      <c r="F2177" s="20" t="n"/>
      <c r="G2177" s="9">
        <f>IF($F2177="","",IF($F2177&gt;0,ROUND($F2177,2),""))</f>
        <v/>
      </c>
      <c r="H2177" s="12">
        <f>IF(OR($B2177="",$C2177="",$G2177=""),"",COUNTIFS(Ventes_Encaissements!$E$6:$E$3005,$B2177,Ventes_Encaissements!$J$6:$J$3005,$G2177,Ventes_Encaissements!$C$6:$C$3005,"&gt;="&amp;($C2177-3),Ventes_Encaissements!$C$6:$C$3005,"&lt;="&amp;($C2177+3)))</f>
        <v/>
      </c>
      <c r="I2177" s="12">
        <f>IF($H2177="","",IF($H2177=0,"Non trouvé",IF($H2177=1,"Match","À vérifier")))</f>
        <v/>
      </c>
      <c r="J2177" s="21">
        <f>IF($I2177&lt;&gt;"Match","",INDEX(Ventes_Encaissements!$B$6:$B$3005,_xludf.AGGREGATE(15,6,(ROW(Ventes_Encaissements!$B$6:$B$3005)-ROW(Ventes_Encaissements!$B$6)+1)/((Ventes_Encaissements!$E$6:$E$3005=$B2177)*(Ventes_Encaissements!$J$6:$J$3005=$G2177)*(Ventes_Encaissements!$C$6:$C$3005&gt;=$C2177-3)*(Ventes_Encaissements!$C$6:$C$3005&lt;=$C2177+3)),1)))</f>
        <v/>
      </c>
      <c r="K2177" s="6" t="n"/>
    </row>
    <row r="2178">
      <c r="A2178" s="6" t="n"/>
      <c r="B2178" s="6" t="n"/>
      <c r="C2178" s="19" t="n"/>
      <c r="D2178" s="19" t="n"/>
      <c r="E2178" s="6" t="n"/>
      <c r="F2178" s="20" t="n"/>
      <c r="G2178" s="9">
        <f>IF($F2178="","",IF($F2178&gt;0,ROUND($F2178,2),""))</f>
        <v/>
      </c>
      <c r="H2178" s="12">
        <f>IF(OR($B2178="",$C2178="",$G2178=""),"",COUNTIFS(Ventes_Encaissements!$E$6:$E$3005,$B2178,Ventes_Encaissements!$J$6:$J$3005,$G2178,Ventes_Encaissements!$C$6:$C$3005,"&gt;="&amp;($C2178-3),Ventes_Encaissements!$C$6:$C$3005,"&lt;="&amp;($C2178+3)))</f>
        <v/>
      </c>
      <c r="I2178" s="12">
        <f>IF($H2178="","",IF($H2178=0,"Non trouvé",IF($H2178=1,"Match","À vérifier")))</f>
        <v/>
      </c>
      <c r="J2178" s="21">
        <f>IF($I2178&lt;&gt;"Match","",INDEX(Ventes_Encaissements!$B$6:$B$3005,_xludf.AGGREGATE(15,6,(ROW(Ventes_Encaissements!$B$6:$B$3005)-ROW(Ventes_Encaissements!$B$6)+1)/((Ventes_Encaissements!$E$6:$E$3005=$B2178)*(Ventes_Encaissements!$J$6:$J$3005=$G2178)*(Ventes_Encaissements!$C$6:$C$3005&gt;=$C2178-3)*(Ventes_Encaissements!$C$6:$C$3005&lt;=$C2178+3)),1)))</f>
        <v/>
      </c>
      <c r="K2178" s="6" t="n"/>
    </row>
    <row r="2179">
      <c r="A2179" s="6" t="n"/>
      <c r="B2179" s="6" t="n"/>
      <c r="C2179" s="19" t="n"/>
      <c r="D2179" s="19" t="n"/>
      <c r="E2179" s="6" t="n"/>
      <c r="F2179" s="20" t="n"/>
      <c r="G2179" s="9">
        <f>IF($F2179="","",IF($F2179&gt;0,ROUND($F2179,2),""))</f>
        <v/>
      </c>
      <c r="H2179" s="12">
        <f>IF(OR($B2179="",$C2179="",$G2179=""),"",COUNTIFS(Ventes_Encaissements!$E$6:$E$3005,$B2179,Ventes_Encaissements!$J$6:$J$3005,$G2179,Ventes_Encaissements!$C$6:$C$3005,"&gt;="&amp;($C2179-3),Ventes_Encaissements!$C$6:$C$3005,"&lt;="&amp;($C2179+3)))</f>
        <v/>
      </c>
      <c r="I2179" s="12">
        <f>IF($H2179="","",IF($H2179=0,"Non trouvé",IF($H2179=1,"Match","À vérifier")))</f>
        <v/>
      </c>
      <c r="J2179" s="21">
        <f>IF($I2179&lt;&gt;"Match","",INDEX(Ventes_Encaissements!$B$6:$B$3005,_xludf.AGGREGATE(15,6,(ROW(Ventes_Encaissements!$B$6:$B$3005)-ROW(Ventes_Encaissements!$B$6)+1)/((Ventes_Encaissements!$E$6:$E$3005=$B2179)*(Ventes_Encaissements!$J$6:$J$3005=$G2179)*(Ventes_Encaissements!$C$6:$C$3005&gt;=$C2179-3)*(Ventes_Encaissements!$C$6:$C$3005&lt;=$C2179+3)),1)))</f>
        <v/>
      </c>
      <c r="K2179" s="6" t="n"/>
    </row>
    <row r="2180">
      <c r="A2180" s="6" t="n"/>
      <c r="B2180" s="6" t="n"/>
      <c r="C2180" s="19" t="n"/>
      <c r="D2180" s="19" t="n"/>
      <c r="E2180" s="6" t="n"/>
      <c r="F2180" s="20" t="n"/>
      <c r="G2180" s="9">
        <f>IF($F2180="","",IF($F2180&gt;0,ROUND($F2180,2),""))</f>
        <v/>
      </c>
      <c r="H2180" s="12">
        <f>IF(OR($B2180="",$C2180="",$G2180=""),"",COUNTIFS(Ventes_Encaissements!$E$6:$E$3005,$B2180,Ventes_Encaissements!$J$6:$J$3005,$G2180,Ventes_Encaissements!$C$6:$C$3005,"&gt;="&amp;($C2180-3),Ventes_Encaissements!$C$6:$C$3005,"&lt;="&amp;($C2180+3)))</f>
        <v/>
      </c>
      <c r="I2180" s="12">
        <f>IF($H2180="","",IF($H2180=0,"Non trouvé",IF($H2180=1,"Match","À vérifier")))</f>
        <v/>
      </c>
      <c r="J2180" s="21">
        <f>IF($I2180&lt;&gt;"Match","",INDEX(Ventes_Encaissements!$B$6:$B$3005,_xludf.AGGREGATE(15,6,(ROW(Ventes_Encaissements!$B$6:$B$3005)-ROW(Ventes_Encaissements!$B$6)+1)/((Ventes_Encaissements!$E$6:$E$3005=$B2180)*(Ventes_Encaissements!$J$6:$J$3005=$G2180)*(Ventes_Encaissements!$C$6:$C$3005&gt;=$C2180-3)*(Ventes_Encaissements!$C$6:$C$3005&lt;=$C2180+3)),1)))</f>
        <v/>
      </c>
      <c r="K2180" s="6" t="n"/>
    </row>
    <row r="2181">
      <c r="A2181" s="6" t="n"/>
      <c r="B2181" s="6" t="n"/>
      <c r="C2181" s="19" t="n"/>
      <c r="D2181" s="19" t="n"/>
      <c r="E2181" s="6" t="n"/>
      <c r="F2181" s="20" t="n"/>
      <c r="G2181" s="9">
        <f>IF($F2181="","",IF($F2181&gt;0,ROUND($F2181,2),""))</f>
        <v/>
      </c>
      <c r="H2181" s="12">
        <f>IF(OR($B2181="",$C2181="",$G2181=""),"",COUNTIFS(Ventes_Encaissements!$E$6:$E$3005,$B2181,Ventes_Encaissements!$J$6:$J$3005,$G2181,Ventes_Encaissements!$C$6:$C$3005,"&gt;="&amp;($C2181-3),Ventes_Encaissements!$C$6:$C$3005,"&lt;="&amp;($C2181+3)))</f>
        <v/>
      </c>
      <c r="I2181" s="12">
        <f>IF($H2181="","",IF($H2181=0,"Non trouvé",IF($H2181=1,"Match","À vérifier")))</f>
        <v/>
      </c>
      <c r="J2181" s="21">
        <f>IF($I2181&lt;&gt;"Match","",INDEX(Ventes_Encaissements!$B$6:$B$3005,_xludf.AGGREGATE(15,6,(ROW(Ventes_Encaissements!$B$6:$B$3005)-ROW(Ventes_Encaissements!$B$6)+1)/((Ventes_Encaissements!$E$6:$E$3005=$B2181)*(Ventes_Encaissements!$J$6:$J$3005=$G2181)*(Ventes_Encaissements!$C$6:$C$3005&gt;=$C2181-3)*(Ventes_Encaissements!$C$6:$C$3005&lt;=$C2181+3)),1)))</f>
        <v/>
      </c>
      <c r="K2181" s="6" t="n"/>
    </row>
    <row r="2182">
      <c r="A2182" s="6" t="n"/>
      <c r="B2182" s="6" t="n"/>
      <c r="C2182" s="19" t="n"/>
      <c r="D2182" s="19" t="n"/>
      <c r="E2182" s="6" t="n"/>
      <c r="F2182" s="20" t="n"/>
      <c r="G2182" s="9">
        <f>IF($F2182="","",IF($F2182&gt;0,ROUND($F2182,2),""))</f>
        <v/>
      </c>
      <c r="H2182" s="12">
        <f>IF(OR($B2182="",$C2182="",$G2182=""),"",COUNTIFS(Ventes_Encaissements!$E$6:$E$3005,$B2182,Ventes_Encaissements!$J$6:$J$3005,$G2182,Ventes_Encaissements!$C$6:$C$3005,"&gt;="&amp;($C2182-3),Ventes_Encaissements!$C$6:$C$3005,"&lt;="&amp;($C2182+3)))</f>
        <v/>
      </c>
      <c r="I2182" s="12">
        <f>IF($H2182="","",IF($H2182=0,"Non trouvé",IF($H2182=1,"Match","À vérifier")))</f>
        <v/>
      </c>
      <c r="J2182" s="21">
        <f>IF($I2182&lt;&gt;"Match","",INDEX(Ventes_Encaissements!$B$6:$B$3005,_xludf.AGGREGATE(15,6,(ROW(Ventes_Encaissements!$B$6:$B$3005)-ROW(Ventes_Encaissements!$B$6)+1)/((Ventes_Encaissements!$E$6:$E$3005=$B2182)*(Ventes_Encaissements!$J$6:$J$3005=$G2182)*(Ventes_Encaissements!$C$6:$C$3005&gt;=$C2182-3)*(Ventes_Encaissements!$C$6:$C$3005&lt;=$C2182+3)),1)))</f>
        <v/>
      </c>
      <c r="K2182" s="6" t="n"/>
    </row>
    <row r="2183">
      <c r="A2183" s="6" t="n"/>
      <c r="B2183" s="6" t="n"/>
      <c r="C2183" s="19" t="n"/>
      <c r="D2183" s="19" t="n"/>
      <c r="E2183" s="6" t="n"/>
      <c r="F2183" s="20" t="n"/>
      <c r="G2183" s="9">
        <f>IF($F2183="","",IF($F2183&gt;0,ROUND($F2183,2),""))</f>
        <v/>
      </c>
      <c r="H2183" s="12">
        <f>IF(OR($B2183="",$C2183="",$G2183=""),"",COUNTIFS(Ventes_Encaissements!$E$6:$E$3005,$B2183,Ventes_Encaissements!$J$6:$J$3005,$G2183,Ventes_Encaissements!$C$6:$C$3005,"&gt;="&amp;($C2183-3),Ventes_Encaissements!$C$6:$C$3005,"&lt;="&amp;($C2183+3)))</f>
        <v/>
      </c>
      <c r="I2183" s="12">
        <f>IF($H2183="","",IF($H2183=0,"Non trouvé",IF($H2183=1,"Match","À vérifier")))</f>
        <v/>
      </c>
      <c r="J2183" s="21">
        <f>IF($I2183&lt;&gt;"Match","",INDEX(Ventes_Encaissements!$B$6:$B$3005,_xludf.AGGREGATE(15,6,(ROW(Ventes_Encaissements!$B$6:$B$3005)-ROW(Ventes_Encaissements!$B$6)+1)/((Ventes_Encaissements!$E$6:$E$3005=$B2183)*(Ventes_Encaissements!$J$6:$J$3005=$G2183)*(Ventes_Encaissements!$C$6:$C$3005&gt;=$C2183-3)*(Ventes_Encaissements!$C$6:$C$3005&lt;=$C2183+3)),1)))</f>
        <v/>
      </c>
      <c r="K2183" s="6" t="n"/>
    </row>
    <row r="2184">
      <c r="A2184" s="6" t="n"/>
      <c r="B2184" s="6" t="n"/>
      <c r="C2184" s="19" t="n"/>
      <c r="D2184" s="19" t="n"/>
      <c r="E2184" s="6" t="n"/>
      <c r="F2184" s="20" t="n"/>
      <c r="G2184" s="9">
        <f>IF($F2184="","",IF($F2184&gt;0,ROUND($F2184,2),""))</f>
        <v/>
      </c>
      <c r="H2184" s="12">
        <f>IF(OR($B2184="",$C2184="",$G2184=""),"",COUNTIFS(Ventes_Encaissements!$E$6:$E$3005,$B2184,Ventes_Encaissements!$J$6:$J$3005,$G2184,Ventes_Encaissements!$C$6:$C$3005,"&gt;="&amp;($C2184-3),Ventes_Encaissements!$C$6:$C$3005,"&lt;="&amp;($C2184+3)))</f>
        <v/>
      </c>
      <c r="I2184" s="12">
        <f>IF($H2184="","",IF($H2184=0,"Non trouvé",IF($H2184=1,"Match","À vérifier")))</f>
        <v/>
      </c>
      <c r="J2184" s="21">
        <f>IF($I2184&lt;&gt;"Match","",INDEX(Ventes_Encaissements!$B$6:$B$3005,_xludf.AGGREGATE(15,6,(ROW(Ventes_Encaissements!$B$6:$B$3005)-ROW(Ventes_Encaissements!$B$6)+1)/((Ventes_Encaissements!$E$6:$E$3005=$B2184)*(Ventes_Encaissements!$J$6:$J$3005=$G2184)*(Ventes_Encaissements!$C$6:$C$3005&gt;=$C2184-3)*(Ventes_Encaissements!$C$6:$C$3005&lt;=$C2184+3)),1)))</f>
        <v/>
      </c>
      <c r="K2184" s="6" t="n"/>
    </row>
    <row r="2185">
      <c r="A2185" s="6" t="n"/>
      <c r="B2185" s="6" t="n"/>
      <c r="C2185" s="19" t="n"/>
      <c r="D2185" s="19" t="n"/>
      <c r="E2185" s="6" t="n"/>
      <c r="F2185" s="20" t="n"/>
      <c r="G2185" s="9">
        <f>IF($F2185="","",IF($F2185&gt;0,ROUND($F2185,2),""))</f>
        <v/>
      </c>
      <c r="H2185" s="12">
        <f>IF(OR($B2185="",$C2185="",$G2185=""),"",COUNTIFS(Ventes_Encaissements!$E$6:$E$3005,$B2185,Ventes_Encaissements!$J$6:$J$3005,$G2185,Ventes_Encaissements!$C$6:$C$3005,"&gt;="&amp;($C2185-3),Ventes_Encaissements!$C$6:$C$3005,"&lt;="&amp;($C2185+3)))</f>
        <v/>
      </c>
      <c r="I2185" s="12">
        <f>IF($H2185="","",IF($H2185=0,"Non trouvé",IF($H2185=1,"Match","À vérifier")))</f>
        <v/>
      </c>
      <c r="J2185" s="21">
        <f>IF($I2185&lt;&gt;"Match","",INDEX(Ventes_Encaissements!$B$6:$B$3005,_xludf.AGGREGATE(15,6,(ROW(Ventes_Encaissements!$B$6:$B$3005)-ROW(Ventes_Encaissements!$B$6)+1)/((Ventes_Encaissements!$E$6:$E$3005=$B2185)*(Ventes_Encaissements!$J$6:$J$3005=$G2185)*(Ventes_Encaissements!$C$6:$C$3005&gt;=$C2185-3)*(Ventes_Encaissements!$C$6:$C$3005&lt;=$C2185+3)),1)))</f>
        <v/>
      </c>
      <c r="K2185" s="6" t="n"/>
    </row>
    <row r="2186">
      <c r="A2186" s="6" t="n"/>
      <c r="B2186" s="6" t="n"/>
      <c r="C2186" s="19" t="n"/>
      <c r="D2186" s="19" t="n"/>
      <c r="E2186" s="6" t="n"/>
      <c r="F2186" s="20" t="n"/>
      <c r="G2186" s="9">
        <f>IF($F2186="","",IF($F2186&gt;0,ROUND($F2186,2),""))</f>
        <v/>
      </c>
      <c r="H2186" s="12">
        <f>IF(OR($B2186="",$C2186="",$G2186=""),"",COUNTIFS(Ventes_Encaissements!$E$6:$E$3005,$B2186,Ventes_Encaissements!$J$6:$J$3005,$G2186,Ventes_Encaissements!$C$6:$C$3005,"&gt;="&amp;($C2186-3),Ventes_Encaissements!$C$6:$C$3005,"&lt;="&amp;($C2186+3)))</f>
        <v/>
      </c>
      <c r="I2186" s="12">
        <f>IF($H2186="","",IF($H2186=0,"Non trouvé",IF($H2186=1,"Match","À vérifier")))</f>
        <v/>
      </c>
      <c r="J2186" s="21">
        <f>IF($I2186&lt;&gt;"Match","",INDEX(Ventes_Encaissements!$B$6:$B$3005,_xludf.AGGREGATE(15,6,(ROW(Ventes_Encaissements!$B$6:$B$3005)-ROW(Ventes_Encaissements!$B$6)+1)/((Ventes_Encaissements!$E$6:$E$3005=$B2186)*(Ventes_Encaissements!$J$6:$J$3005=$G2186)*(Ventes_Encaissements!$C$6:$C$3005&gt;=$C2186-3)*(Ventes_Encaissements!$C$6:$C$3005&lt;=$C2186+3)),1)))</f>
        <v/>
      </c>
      <c r="K2186" s="6" t="n"/>
    </row>
    <row r="2187">
      <c r="A2187" s="6" t="n"/>
      <c r="B2187" s="6" t="n"/>
      <c r="C2187" s="19" t="n"/>
      <c r="D2187" s="19" t="n"/>
      <c r="E2187" s="6" t="n"/>
      <c r="F2187" s="20" t="n"/>
      <c r="G2187" s="9">
        <f>IF($F2187="","",IF($F2187&gt;0,ROUND($F2187,2),""))</f>
        <v/>
      </c>
      <c r="H2187" s="12">
        <f>IF(OR($B2187="",$C2187="",$G2187=""),"",COUNTIFS(Ventes_Encaissements!$E$6:$E$3005,$B2187,Ventes_Encaissements!$J$6:$J$3005,$G2187,Ventes_Encaissements!$C$6:$C$3005,"&gt;="&amp;($C2187-3),Ventes_Encaissements!$C$6:$C$3005,"&lt;="&amp;($C2187+3)))</f>
        <v/>
      </c>
      <c r="I2187" s="12">
        <f>IF($H2187="","",IF($H2187=0,"Non trouvé",IF($H2187=1,"Match","À vérifier")))</f>
        <v/>
      </c>
      <c r="J2187" s="21">
        <f>IF($I2187&lt;&gt;"Match","",INDEX(Ventes_Encaissements!$B$6:$B$3005,_xludf.AGGREGATE(15,6,(ROW(Ventes_Encaissements!$B$6:$B$3005)-ROW(Ventes_Encaissements!$B$6)+1)/((Ventes_Encaissements!$E$6:$E$3005=$B2187)*(Ventes_Encaissements!$J$6:$J$3005=$G2187)*(Ventes_Encaissements!$C$6:$C$3005&gt;=$C2187-3)*(Ventes_Encaissements!$C$6:$C$3005&lt;=$C2187+3)),1)))</f>
        <v/>
      </c>
      <c r="K2187" s="6" t="n"/>
    </row>
    <row r="2188">
      <c r="A2188" s="6" t="n"/>
      <c r="B2188" s="6" t="n"/>
      <c r="C2188" s="19" t="n"/>
      <c r="D2188" s="19" t="n"/>
      <c r="E2188" s="6" t="n"/>
      <c r="F2188" s="20" t="n"/>
      <c r="G2188" s="9">
        <f>IF($F2188="","",IF($F2188&gt;0,ROUND($F2188,2),""))</f>
        <v/>
      </c>
      <c r="H2188" s="12">
        <f>IF(OR($B2188="",$C2188="",$G2188=""),"",COUNTIFS(Ventes_Encaissements!$E$6:$E$3005,$B2188,Ventes_Encaissements!$J$6:$J$3005,$G2188,Ventes_Encaissements!$C$6:$C$3005,"&gt;="&amp;($C2188-3),Ventes_Encaissements!$C$6:$C$3005,"&lt;="&amp;($C2188+3)))</f>
        <v/>
      </c>
      <c r="I2188" s="12">
        <f>IF($H2188="","",IF($H2188=0,"Non trouvé",IF($H2188=1,"Match","À vérifier")))</f>
        <v/>
      </c>
      <c r="J2188" s="21">
        <f>IF($I2188&lt;&gt;"Match","",INDEX(Ventes_Encaissements!$B$6:$B$3005,_xludf.AGGREGATE(15,6,(ROW(Ventes_Encaissements!$B$6:$B$3005)-ROW(Ventes_Encaissements!$B$6)+1)/((Ventes_Encaissements!$E$6:$E$3005=$B2188)*(Ventes_Encaissements!$J$6:$J$3005=$G2188)*(Ventes_Encaissements!$C$6:$C$3005&gt;=$C2188-3)*(Ventes_Encaissements!$C$6:$C$3005&lt;=$C2188+3)),1)))</f>
        <v/>
      </c>
      <c r="K2188" s="6" t="n"/>
    </row>
    <row r="2189">
      <c r="A2189" s="6" t="n"/>
      <c r="B2189" s="6" t="n"/>
      <c r="C2189" s="19" t="n"/>
      <c r="D2189" s="19" t="n"/>
      <c r="E2189" s="6" t="n"/>
      <c r="F2189" s="20" t="n"/>
      <c r="G2189" s="9">
        <f>IF($F2189="","",IF($F2189&gt;0,ROUND($F2189,2),""))</f>
        <v/>
      </c>
      <c r="H2189" s="12">
        <f>IF(OR($B2189="",$C2189="",$G2189=""),"",COUNTIFS(Ventes_Encaissements!$E$6:$E$3005,$B2189,Ventes_Encaissements!$J$6:$J$3005,$G2189,Ventes_Encaissements!$C$6:$C$3005,"&gt;="&amp;($C2189-3),Ventes_Encaissements!$C$6:$C$3005,"&lt;="&amp;($C2189+3)))</f>
        <v/>
      </c>
      <c r="I2189" s="12">
        <f>IF($H2189="","",IF($H2189=0,"Non trouvé",IF($H2189=1,"Match","À vérifier")))</f>
        <v/>
      </c>
      <c r="J2189" s="21">
        <f>IF($I2189&lt;&gt;"Match","",INDEX(Ventes_Encaissements!$B$6:$B$3005,_xludf.AGGREGATE(15,6,(ROW(Ventes_Encaissements!$B$6:$B$3005)-ROW(Ventes_Encaissements!$B$6)+1)/((Ventes_Encaissements!$E$6:$E$3005=$B2189)*(Ventes_Encaissements!$J$6:$J$3005=$G2189)*(Ventes_Encaissements!$C$6:$C$3005&gt;=$C2189-3)*(Ventes_Encaissements!$C$6:$C$3005&lt;=$C2189+3)),1)))</f>
        <v/>
      </c>
      <c r="K2189" s="6" t="n"/>
    </row>
    <row r="2190">
      <c r="A2190" s="6" t="n"/>
      <c r="B2190" s="6" t="n"/>
      <c r="C2190" s="19" t="n"/>
      <c r="D2190" s="19" t="n"/>
      <c r="E2190" s="6" t="n"/>
      <c r="F2190" s="20" t="n"/>
      <c r="G2190" s="9">
        <f>IF($F2190="","",IF($F2190&gt;0,ROUND($F2190,2),""))</f>
        <v/>
      </c>
      <c r="H2190" s="12">
        <f>IF(OR($B2190="",$C2190="",$G2190=""),"",COUNTIFS(Ventes_Encaissements!$E$6:$E$3005,$B2190,Ventes_Encaissements!$J$6:$J$3005,$G2190,Ventes_Encaissements!$C$6:$C$3005,"&gt;="&amp;($C2190-3),Ventes_Encaissements!$C$6:$C$3005,"&lt;="&amp;($C2190+3)))</f>
        <v/>
      </c>
      <c r="I2190" s="12">
        <f>IF($H2190="","",IF($H2190=0,"Non trouvé",IF($H2190=1,"Match","À vérifier")))</f>
        <v/>
      </c>
      <c r="J2190" s="21">
        <f>IF($I2190&lt;&gt;"Match","",INDEX(Ventes_Encaissements!$B$6:$B$3005,_xludf.AGGREGATE(15,6,(ROW(Ventes_Encaissements!$B$6:$B$3005)-ROW(Ventes_Encaissements!$B$6)+1)/((Ventes_Encaissements!$E$6:$E$3005=$B2190)*(Ventes_Encaissements!$J$6:$J$3005=$G2190)*(Ventes_Encaissements!$C$6:$C$3005&gt;=$C2190-3)*(Ventes_Encaissements!$C$6:$C$3005&lt;=$C2190+3)),1)))</f>
        <v/>
      </c>
      <c r="K2190" s="6" t="n"/>
    </row>
    <row r="2191">
      <c r="A2191" s="6" t="n"/>
      <c r="B2191" s="6" t="n"/>
      <c r="C2191" s="19" t="n"/>
      <c r="D2191" s="19" t="n"/>
      <c r="E2191" s="6" t="n"/>
      <c r="F2191" s="20" t="n"/>
      <c r="G2191" s="9">
        <f>IF($F2191="","",IF($F2191&gt;0,ROUND($F2191,2),""))</f>
        <v/>
      </c>
      <c r="H2191" s="12">
        <f>IF(OR($B2191="",$C2191="",$G2191=""),"",COUNTIFS(Ventes_Encaissements!$E$6:$E$3005,$B2191,Ventes_Encaissements!$J$6:$J$3005,$G2191,Ventes_Encaissements!$C$6:$C$3005,"&gt;="&amp;($C2191-3),Ventes_Encaissements!$C$6:$C$3005,"&lt;="&amp;($C2191+3)))</f>
        <v/>
      </c>
      <c r="I2191" s="12">
        <f>IF($H2191="","",IF($H2191=0,"Non trouvé",IF($H2191=1,"Match","À vérifier")))</f>
        <v/>
      </c>
      <c r="J2191" s="21">
        <f>IF($I2191&lt;&gt;"Match","",INDEX(Ventes_Encaissements!$B$6:$B$3005,_xludf.AGGREGATE(15,6,(ROW(Ventes_Encaissements!$B$6:$B$3005)-ROW(Ventes_Encaissements!$B$6)+1)/((Ventes_Encaissements!$E$6:$E$3005=$B2191)*(Ventes_Encaissements!$J$6:$J$3005=$G2191)*(Ventes_Encaissements!$C$6:$C$3005&gt;=$C2191-3)*(Ventes_Encaissements!$C$6:$C$3005&lt;=$C2191+3)),1)))</f>
        <v/>
      </c>
      <c r="K2191" s="6" t="n"/>
    </row>
    <row r="2192">
      <c r="A2192" s="6" t="n"/>
      <c r="B2192" s="6" t="n"/>
      <c r="C2192" s="19" t="n"/>
      <c r="D2192" s="19" t="n"/>
      <c r="E2192" s="6" t="n"/>
      <c r="F2192" s="20" t="n"/>
      <c r="G2192" s="9">
        <f>IF($F2192="","",IF($F2192&gt;0,ROUND($F2192,2),""))</f>
        <v/>
      </c>
      <c r="H2192" s="12">
        <f>IF(OR($B2192="",$C2192="",$G2192=""),"",COUNTIFS(Ventes_Encaissements!$E$6:$E$3005,$B2192,Ventes_Encaissements!$J$6:$J$3005,$G2192,Ventes_Encaissements!$C$6:$C$3005,"&gt;="&amp;($C2192-3),Ventes_Encaissements!$C$6:$C$3005,"&lt;="&amp;($C2192+3)))</f>
        <v/>
      </c>
      <c r="I2192" s="12">
        <f>IF($H2192="","",IF($H2192=0,"Non trouvé",IF($H2192=1,"Match","À vérifier")))</f>
        <v/>
      </c>
      <c r="J2192" s="21">
        <f>IF($I2192&lt;&gt;"Match","",INDEX(Ventes_Encaissements!$B$6:$B$3005,_xludf.AGGREGATE(15,6,(ROW(Ventes_Encaissements!$B$6:$B$3005)-ROW(Ventes_Encaissements!$B$6)+1)/((Ventes_Encaissements!$E$6:$E$3005=$B2192)*(Ventes_Encaissements!$J$6:$J$3005=$G2192)*(Ventes_Encaissements!$C$6:$C$3005&gt;=$C2192-3)*(Ventes_Encaissements!$C$6:$C$3005&lt;=$C2192+3)),1)))</f>
        <v/>
      </c>
      <c r="K2192" s="6" t="n"/>
    </row>
    <row r="2193">
      <c r="A2193" s="6" t="n"/>
      <c r="B2193" s="6" t="n"/>
      <c r="C2193" s="19" t="n"/>
      <c r="D2193" s="19" t="n"/>
      <c r="E2193" s="6" t="n"/>
      <c r="F2193" s="20" t="n"/>
      <c r="G2193" s="9">
        <f>IF($F2193="","",IF($F2193&gt;0,ROUND($F2193,2),""))</f>
        <v/>
      </c>
      <c r="H2193" s="12">
        <f>IF(OR($B2193="",$C2193="",$G2193=""),"",COUNTIFS(Ventes_Encaissements!$E$6:$E$3005,$B2193,Ventes_Encaissements!$J$6:$J$3005,$G2193,Ventes_Encaissements!$C$6:$C$3005,"&gt;="&amp;($C2193-3),Ventes_Encaissements!$C$6:$C$3005,"&lt;="&amp;($C2193+3)))</f>
        <v/>
      </c>
      <c r="I2193" s="12">
        <f>IF($H2193="","",IF($H2193=0,"Non trouvé",IF($H2193=1,"Match","À vérifier")))</f>
        <v/>
      </c>
      <c r="J2193" s="21">
        <f>IF($I2193&lt;&gt;"Match","",INDEX(Ventes_Encaissements!$B$6:$B$3005,_xludf.AGGREGATE(15,6,(ROW(Ventes_Encaissements!$B$6:$B$3005)-ROW(Ventes_Encaissements!$B$6)+1)/((Ventes_Encaissements!$E$6:$E$3005=$B2193)*(Ventes_Encaissements!$J$6:$J$3005=$G2193)*(Ventes_Encaissements!$C$6:$C$3005&gt;=$C2193-3)*(Ventes_Encaissements!$C$6:$C$3005&lt;=$C2193+3)),1)))</f>
        <v/>
      </c>
      <c r="K2193" s="6" t="n"/>
    </row>
    <row r="2194">
      <c r="A2194" s="6" t="n"/>
      <c r="B2194" s="6" t="n"/>
      <c r="C2194" s="19" t="n"/>
      <c r="D2194" s="19" t="n"/>
      <c r="E2194" s="6" t="n"/>
      <c r="F2194" s="20" t="n"/>
      <c r="G2194" s="9">
        <f>IF($F2194="","",IF($F2194&gt;0,ROUND($F2194,2),""))</f>
        <v/>
      </c>
      <c r="H2194" s="12">
        <f>IF(OR($B2194="",$C2194="",$G2194=""),"",COUNTIFS(Ventes_Encaissements!$E$6:$E$3005,$B2194,Ventes_Encaissements!$J$6:$J$3005,$G2194,Ventes_Encaissements!$C$6:$C$3005,"&gt;="&amp;($C2194-3),Ventes_Encaissements!$C$6:$C$3005,"&lt;="&amp;($C2194+3)))</f>
        <v/>
      </c>
      <c r="I2194" s="12">
        <f>IF($H2194="","",IF($H2194=0,"Non trouvé",IF($H2194=1,"Match","À vérifier")))</f>
        <v/>
      </c>
      <c r="J2194" s="21">
        <f>IF($I2194&lt;&gt;"Match","",INDEX(Ventes_Encaissements!$B$6:$B$3005,_xludf.AGGREGATE(15,6,(ROW(Ventes_Encaissements!$B$6:$B$3005)-ROW(Ventes_Encaissements!$B$6)+1)/((Ventes_Encaissements!$E$6:$E$3005=$B2194)*(Ventes_Encaissements!$J$6:$J$3005=$G2194)*(Ventes_Encaissements!$C$6:$C$3005&gt;=$C2194-3)*(Ventes_Encaissements!$C$6:$C$3005&lt;=$C2194+3)),1)))</f>
        <v/>
      </c>
      <c r="K2194" s="6" t="n"/>
    </row>
    <row r="2195">
      <c r="A2195" s="6" t="n"/>
      <c r="B2195" s="6" t="n"/>
      <c r="C2195" s="19" t="n"/>
      <c r="D2195" s="19" t="n"/>
      <c r="E2195" s="6" t="n"/>
      <c r="F2195" s="20" t="n"/>
      <c r="G2195" s="9">
        <f>IF($F2195="","",IF($F2195&gt;0,ROUND($F2195,2),""))</f>
        <v/>
      </c>
      <c r="H2195" s="12">
        <f>IF(OR($B2195="",$C2195="",$G2195=""),"",COUNTIFS(Ventes_Encaissements!$E$6:$E$3005,$B2195,Ventes_Encaissements!$J$6:$J$3005,$G2195,Ventes_Encaissements!$C$6:$C$3005,"&gt;="&amp;($C2195-3),Ventes_Encaissements!$C$6:$C$3005,"&lt;="&amp;($C2195+3)))</f>
        <v/>
      </c>
      <c r="I2195" s="12">
        <f>IF($H2195="","",IF($H2195=0,"Non trouvé",IF($H2195=1,"Match","À vérifier")))</f>
        <v/>
      </c>
      <c r="J2195" s="21">
        <f>IF($I2195&lt;&gt;"Match","",INDEX(Ventes_Encaissements!$B$6:$B$3005,_xludf.AGGREGATE(15,6,(ROW(Ventes_Encaissements!$B$6:$B$3005)-ROW(Ventes_Encaissements!$B$6)+1)/((Ventes_Encaissements!$E$6:$E$3005=$B2195)*(Ventes_Encaissements!$J$6:$J$3005=$G2195)*(Ventes_Encaissements!$C$6:$C$3005&gt;=$C2195-3)*(Ventes_Encaissements!$C$6:$C$3005&lt;=$C2195+3)),1)))</f>
        <v/>
      </c>
      <c r="K2195" s="6" t="n"/>
    </row>
    <row r="2196">
      <c r="A2196" s="6" t="n"/>
      <c r="B2196" s="6" t="n"/>
      <c r="C2196" s="19" t="n"/>
      <c r="D2196" s="19" t="n"/>
      <c r="E2196" s="6" t="n"/>
      <c r="F2196" s="20" t="n"/>
      <c r="G2196" s="9">
        <f>IF($F2196="","",IF($F2196&gt;0,ROUND($F2196,2),""))</f>
        <v/>
      </c>
      <c r="H2196" s="12">
        <f>IF(OR($B2196="",$C2196="",$G2196=""),"",COUNTIFS(Ventes_Encaissements!$E$6:$E$3005,$B2196,Ventes_Encaissements!$J$6:$J$3005,$G2196,Ventes_Encaissements!$C$6:$C$3005,"&gt;="&amp;($C2196-3),Ventes_Encaissements!$C$6:$C$3005,"&lt;="&amp;($C2196+3)))</f>
        <v/>
      </c>
      <c r="I2196" s="12">
        <f>IF($H2196="","",IF($H2196=0,"Non trouvé",IF($H2196=1,"Match","À vérifier")))</f>
        <v/>
      </c>
      <c r="J2196" s="21">
        <f>IF($I2196&lt;&gt;"Match","",INDEX(Ventes_Encaissements!$B$6:$B$3005,_xludf.AGGREGATE(15,6,(ROW(Ventes_Encaissements!$B$6:$B$3005)-ROW(Ventes_Encaissements!$B$6)+1)/((Ventes_Encaissements!$E$6:$E$3005=$B2196)*(Ventes_Encaissements!$J$6:$J$3005=$G2196)*(Ventes_Encaissements!$C$6:$C$3005&gt;=$C2196-3)*(Ventes_Encaissements!$C$6:$C$3005&lt;=$C2196+3)),1)))</f>
        <v/>
      </c>
      <c r="K2196" s="6" t="n"/>
    </row>
    <row r="2197">
      <c r="A2197" s="6" t="n"/>
      <c r="B2197" s="6" t="n"/>
      <c r="C2197" s="19" t="n"/>
      <c r="D2197" s="19" t="n"/>
      <c r="E2197" s="6" t="n"/>
      <c r="F2197" s="20" t="n"/>
      <c r="G2197" s="9">
        <f>IF($F2197="","",IF($F2197&gt;0,ROUND($F2197,2),""))</f>
        <v/>
      </c>
      <c r="H2197" s="12">
        <f>IF(OR($B2197="",$C2197="",$G2197=""),"",COUNTIFS(Ventes_Encaissements!$E$6:$E$3005,$B2197,Ventes_Encaissements!$J$6:$J$3005,$G2197,Ventes_Encaissements!$C$6:$C$3005,"&gt;="&amp;($C2197-3),Ventes_Encaissements!$C$6:$C$3005,"&lt;="&amp;($C2197+3)))</f>
        <v/>
      </c>
      <c r="I2197" s="12">
        <f>IF($H2197="","",IF($H2197=0,"Non trouvé",IF($H2197=1,"Match","À vérifier")))</f>
        <v/>
      </c>
      <c r="J2197" s="21">
        <f>IF($I2197&lt;&gt;"Match","",INDEX(Ventes_Encaissements!$B$6:$B$3005,_xludf.AGGREGATE(15,6,(ROW(Ventes_Encaissements!$B$6:$B$3005)-ROW(Ventes_Encaissements!$B$6)+1)/((Ventes_Encaissements!$E$6:$E$3005=$B2197)*(Ventes_Encaissements!$J$6:$J$3005=$G2197)*(Ventes_Encaissements!$C$6:$C$3005&gt;=$C2197-3)*(Ventes_Encaissements!$C$6:$C$3005&lt;=$C2197+3)),1)))</f>
        <v/>
      </c>
      <c r="K2197" s="6" t="n"/>
    </row>
    <row r="2198">
      <c r="A2198" s="6" t="n"/>
      <c r="B2198" s="6" t="n"/>
      <c r="C2198" s="19" t="n"/>
      <c r="D2198" s="19" t="n"/>
      <c r="E2198" s="6" t="n"/>
      <c r="F2198" s="20" t="n"/>
      <c r="G2198" s="9">
        <f>IF($F2198="","",IF($F2198&gt;0,ROUND($F2198,2),""))</f>
        <v/>
      </c>
      <c r="H2198" s="12">
        <f>IF(OR($B2198="",$C2198="",$G2198=""),"",COUNTIFS(Ventes_Encaissements!$E$6:$E$3005,$B2198,Ventes_Encaissements!$J$6:$J$3005,$G2198,Ventes_Encaissements!$C$6:$C$3005,"&gt;="&amp;($C2198-3),Ventes_Encaissements!$C$6:$C$3005,"&lt;="&amp;($C2198+3)))</f>
        <v/>
      </c>
      <c r="I2198" s="12">
        <f>IF($H2198="","",IF($H2198=0,"Non trouvé",IF($H2198=1,"Match","À vérifier")))</f>
        <v/>
      </c>
      <c r="J2198" s="21">
        <f>IF($I2198&lt;&gt;"Match","",INDEX(Ventes_Encaissements!$B$6:$B$3005,_xludf.AGGREGATE(15,6,(ROW(Ventes_Encaissements!$B$6:$B$3005)-ROW(Ventes_Encaissements!$B$6)+1)/((Ventes_Encaissements!$E$6:$E$3005=$B2198)*(Ventes_Encaissements!$J$6:$J$3005=$G2198)*(Ventes_Encaissements!$C$6:$C$3005&gt;=$C2198-3)*(Ventes_Encaissements!$C$6:$C$3005&lt;=$C2198+3)),1)))</f>
        <v/>
      </c>
      <c r="K2198" s="6" t="n"/>
    </row>
    <row r="2199">
      <c r="A2199" s="6" t="n"/>
      <c r="B2199" s="6" t="n"/>
      <c r="C2199" s="19" t="n"/>
      <c r="D2199" s="19" t="n"/>
      <c r="E2199" s="6" t="n"/>
      <c r="F2199" s="20" t="n"/>
      <c r="G2199" s="9">
        <f>IF($F2199="","",IF($F2199&gt;0,ROUND($F2199,2),""))</f>
        <v/>
      </c>
      <c r="H2199" s="12">
        <f>IF(OR($B2199="",$C2199="",$G2199=""),"",COUNTIFS(Ventes_Encaissements!$E$6:$E$3005,$B2199,Ventes_Encaissements!$J$6:$J$3005,$G2199,Ventes_Encaissements!$C$6:$C$3005,"&gt;="&amp;($C2199-3),Ventes_Encaissements!$C$6:$C$3005,"&lt;="&amp;($C2199+3)))</f>
        <v/>
      </c>
      <c r="I2199" s="12">
        <f>IF($H2199="","",IF($H2199=0,"Non trouvé",IF($H2199=1,"Match","À vérifier")))</f>
        <v/>
      </c>
      <c r="J2199" s="21">
        <f>IF($I2199&lt;&gt;"Match","",INDEX(Ventes_Encaissements!$B$6:$B$3005,_xludf.AGGREGATE(15,6,(ROW(Ventes_Encaissements!$B$6:$B$3005)-ROW(Ventes_Encaissements!$B$6)+1)/((Ventes_Encaissements!$E$6:$E$3005=$B2199)*(Ventes_Encaissements!$J$6:$J$3005=$G2199)*(Ventes_Encaissements!$C$6:$C$3005&gt;=$C2199-3)*(Ventes_Encaissements!$C$6:$C$3005&lt;=$C2199+3)),1)))</f>
        <v/>
      </c>
      <c r="K2199" s="6" t="n"/>
    </row>
    <row r="2200">
      <c r="A2200" s="6" t="n"/>
      <c r="B2200" s="6" t="n"/>
      <c r="C2200" s="19" t="n"/>
      <c r="D2200" s="19" t="n"/>
      <c r="E2200" s="6" t="n"/>
      <c r="F2200" s="20" t="n"/>
      <c r="G2200" s="9">
        <f>IF($F2200="","",IF($F2200&gt;0,ROUND($F2200,2),""))</f>
        <v/>
      </c>
      <c r="H2200" s="12">
        <f>IF(OR($B2200="",$C2200="",$G2200=""),"",COUNTIFS(Ventes_Encaissements!$E$6:$E$3005,$B2200,Ventes_Encaissements!$J$6:$J$3005,$G2200,Ventes_Encaissements!$C$6:$C$3005,"&gt;="&amp;($C2200-3),Ventes_Encaissements!$C$6:$C$3005,"&lt;="&amp;($C2200+3)))</f>
        <v/>
      </c>
      <c r="I2200" s="12">
        <f>IF($H2200="","",IF($H2200=0,"Non trouvé",IF($H2200=1,"Match","À vérifier")))</f>
        <v/>
      </c>
      <c r="J2200" s="21">
        <f>IF($I2200&lt;&gt;"Match","",INDEX(Ventes_Encaissements!$B$6:$B$3005,_xludf.AGGREGATE(15,6,(ROW(Ventes_Encaissements!$B$6:$B$3005)-ROW(Ventes_Encaissements!$B$6)+1)/((Ventes_Encaissements!$E$6:$E$3005=$B2200)*(Ventes_Encaissements!$J$6:$J$3005=$G2200)*(Ventes_Encaissements!$C$6:$C$3005&gt;=$C2200-3)*(Ventes_Encaissements!$C$6:$C$3005&lt;=$C2200+3)),1)))</f>
        <v/>
      </c>
      <c r="K2200" s="6" t="n"/>
    </row>
    <row r="2201">
      <c r="A2201" s="6" t="n"/>
      <c r="B2201" s="6" t="n"/>
      <c r="C2201" s="19" t="n"/>
      <c r="D2201" s="19" t="n"/>
      <c r="E2201" s="6" t="n"/>
      <c r="F2201" s="20" t="n"/>
      <c r="G2201" s="9">
        <f>IF($F2201="","",IF($F2201&gt;0,ROUND($F2201,2),""))</f>
        <v/>
      </c>
      <c r="H2201" s="12">
        <f>IF(OR($B2201="",$C2201="",$G2201=""),"",COUNTIFS(Ventes_Encaissements!$E$6:$E$3005,$B2201,Ventes_Encaissements!$J$6:$J$3005,$G2201,Ventes_Encaissements!$C$6:$C$3005,"&gt;="&amp;($C2201-3),Ventes_Encaissements!$C$6:$C$3005,"&lt;="&amp;($C2201+3)))</f>
        <v/>
      </c>
      <c r="I2201" s="12">
        <f>IF($H2201="","",IF($H2201=0,"Non trouvé",IF($H2201=1,"Match","À vérifier")))</f>
        <v/>
      </c>
      <c r="J2201" s="21">
        <f>IF($I2201&lt;&gt;"Match","",INDEX(Ventes_Encaissements!$B$6:$B$3005,_xludf.AGGREGATE(15,6,(ROW(Ventes_Encaissements!$B$6:$B$3005)-ROW(Ventes_Encaissements!$B$6)+1)/((Ventes_Encaissements!$E$6:$E$3005=$B2201)*(Ventes_Encaissements!$J$6:$J$3005=$G2201)*(Ventes_Encaissements!$C$6:$C$3005&gt;=$C2201-3)*(Ventes_Encaissements!$C$6:$C$3005&lt;=$C2201+3)),1)))</f>
        <v/>
      </c>
      <c r="K2201" s="6" t="n"/>
    </row>
    <row r="2202">
      <c r="A2202" s="6" t="n"/>
      <c r="B2202" s="6" t="n"/>
      <c r="C2202" s="19" t="n"/>
      <c r="D2202" s="19" t="n"/>
      <c r="E2202" s="6" t="n"/>
      <c r="F2202" s="20" t="n"/>
      <c r="G2202" s="9">
        <f>IF($F2202="","",IF($F2202&gt;0,ROUND($F2202,2),""))</f>
        <v/>
      </c>
      <c r="H2202" s="12">
        <f>IF(OR($B2202="",$C2202="",$G2202=""),"",COUNTIFS(Ventes_Encaissements!$E$6:$E$3005,$B2202,Ventes_Encaissements!$J$6:$J$3005,$G2202,Ventes_Encaissements!$C$6:$C$3005,"&gt;="&amp;($C2202-3),Ventes_Encaissements!$C$6:$C$3005,"&lt;="&amp;($C2202+3)))</f>
        <v/>
      </c>
      <c r="I2202" s="12">
        <f>IF($H2202="","",IF($H2202=0,"Non trouvé",IF($H2202=1,"Match","À vérifier")))</f>
        <v/>
      </c>
      <c r="J2202" s="21">
        <f>IF($I2202&lt;&gt;"Match","",INDEX(Ventes_Encaissements!$B$6:$B$3005,_xludf.AGGREGATE(15,6,(ROW(Ventes_Encaissements!$B$6:$B$3005)-ROW(Ventes_Encaissements!$B$6)+1)/((Ventes_Encaissements!$E$6:$E$3005=$B2202)*(Ventes_Encaissements!$J$6:$J$3005=$G2202)*(Ventes_Encaissements!$C$6:$C$3005&gt;=$C2202-3)*(Ventes_Encaissements!$C$6:$C$3005&lt;=$C2202+3)),1)))</f>
        <v/>
      </c>
      <c r="K2202" s="6" t="n"/>
    </row>
    <row r="2203">
      <c r="A2203" s="6" t="n"/>
      <c r="B2203" s="6" t="n"/>
      <c r="C2203" s="19" t="n"/>
      <c r="D2203" s="19" t="n"/>
      <c r="E2203" s="6" t="n"/>
      <c r="F2203" s="20" t="n"/>
      <c r="G2203" s="9">
        <f>IF($F2203="","",IF($F2203&gt;0,ROUND($F2203,2),""))</f>
        <v/>
      </c>
      <c r="H2203" s="12">
        <f>IF(OR($B2203="",$C2203="",$G2203=""),"",COUNTIFS(Ventes_Encaissements!$E$6:$E$3005,$B2203,Ventes_Encaissements!$J$6:$J$3005,$G2203,Ventes_Encaissements!$C$6:$C$3005,"&gt;="&amp;($C2203-3),Ventes_Encaissements!$C$6:$C$3005,"&lt;="&amp;($C2203+3)))</f>
        <v/>
      </c>
      <c r="I2203" s="12">
        <f>IF($H2203="","",IF($H2203=0,"Non trouvé",IF($H2203=1,"Match","À vérifier")))</f>
        <v/>
      </c>
      <c r="J2203" s="21">
        <f>IF($I2203&lt;&gt;"Match","",INDEX(Ventes_Encaissements!$B$6:$B$3005,_xludf.AGGREGATE(15,6,(ROW(Ventes_Encaissements!$B$6:$B$3005)-ROW(Ventes_Encaissements!$B$6)+1)/((Ventes_Encaissements!$E$6:$E$3005=$B2203)*(Ventes_Encaissements!$J$6:$J$3005=$G2203)*(Ventes_Encaissements!$C$6:$C$3005&gt;=$C2203-3)*(Ventes_Encaissements!$C$6:$C$3005&lt;=$C2203+3)),1)))</f>
        <v/>
      </c>
      <c r="K2203" s="6" t="n"/>
    </row>
    <row r="2204">
      <c r="A2204" s="6" t="n"/>
      <c r="B2204" s="6" t="n"/>
      <c r="C2204" s="19" t="n"/>
      <c r="D2204" s="19" t="n"/>
      <c r="E2204" s="6" t="n"/>
      <c r="F2204" s="20" t="n"/>
      <c r="G2204" s="9">
        <f>IF($F2204="","",IF($F2204&gt;0,ROUND($F2204,2),""))</f>
        <v/>
      </c>
      <c r="H2204" s="12">
        <f>IF(OR($B2204="",$C2204="",$G2204=""),"",COUNTIFS(Ventes_Encaissements!$E$6:$E$3005,$B2204,Ventes_Encaissements!$J$6:$J$3005,$G2204,Ventes_Encaissements!$C$6:$C$3005,"&gt;="&amp;($C2204-3),Ventes_Encaissements!$C$6:$C$3005,"&lt;="&amp;($C2204+3)))</f>
        <v/>
      </c>
      <c r="I2204" s="12">
        <f>IF($H2204="","",IF($H2204=0,"Non trouvé",IF($H2204=1,"Match","À vérifier")))</f>
        <v/>
      </c>
      <c r="J2204" s="21">
        <f>IF($I2204&lt;&gt;"Match","",INDEX(Ventes_Encaissements!$B$6:$B$3005,_xludf.AGGREGATE(15,6,(ROW(Ventes_Encaissements!$B$6:$B$3005)-ROW(Ventes_Encaissements!$B$6)+1)/((Ventes_Encaissements!$E$6:$E$3005=$B2204)*(Ventes_Encaissements!$J$6:$J$3005=$G2204)*(Ventes_Encaissements!$C$6:$C$3005&gt;=$C2204-3)*(Ventes_Encaissements!$C$6:$C$3005&lt;=$C2204+3)),1)))</f>
        <v/>
      </c>
      <c r="K2204" s="6" t="n"/>
    </row>
    <row r="2205">
      <c r="A2205" s="6" t="n"/>
      <c r="B2205" s="6" t="n"/>
      <c r="C2205" s="19" t="n"/>
      <c r="D2205" s="19" t="n"/>
      <c r="E2205" s="6" t="n"/>
      <c r="F2205" s="20" t="n"/>
      <c r="G2205" s="9">
        <f>IF($F2205="","",IF($F2205&gt;0,ROUND($F2205,2),""))</f>
        <v/>
      </c>
      <c r="H2205" s="12">
        <f>IF(OR($B2205="",$C2205="",$G2205=""),"",COUNTIFS(Ventes_Encaissements!$E$6:$E$3005,$B2205,Ventes_Encaissements!$J$6:$J$3005,$G2205,Ventes_Encaissements!$C$6:$C$3005,"&gt;="&amp;($C2205-3),Ventes_Encaissements!$C$6:$C$3005,"&lt;="&amp;($C2205+3)))</f>
        <v/>
      </c>
      <c r="I2205" s="12">
        <f>IF($H2205="","",IF($H2205=0,"Non trouvé",IF($H2205=1,"Match","À vérifier")))</f>
        <v/>
      </c>
      <c r="J2205" s="21">
        <f>IF($I2205&lt;&gt;"Match","",INDEX(Ventes_Encaissements!$B$6:$B$3005,_xludf.AGGREGATE(15,6,(ROW(Ventes_Encaissements!$B$6:$B$3005)-ROW(Ventes_Encaissements!$B$6)+1)/((Ventes_Encaissements!$E$6:$E$3005=$B2205)*(Ventes_Encaissements!$J$6:$J$3005=$G2205)*(Ventes_Encaissements!$C$6:$C$3005&gt;=$C2205-3)*(Ventes_Encaissements!$C$6:$C$3005&lt;=$C2205+3)),1)))</f>
        <v/>
      </c>
      <c r="K2205" s="6" t="n"/>
    </row>
    <row r="2206">
      <c r="A2206" s="6" t="n"/>
      <c r="B2206" s="6" t="n"/>
      <c r="C2206" s="19" t="n"/>
      <c r="D2206" s="19" t="n"/>
      <c r="E2206" s="6" t="n"/>
      <c r="F2206" s="20" t="n"/>
      <c r="G2206" s="9">
        <f>IF($F2206="","",IF($F2206&gt;0,ROUND($F2206,2),""))</f>
        <v/>
      </c>
      <c r="H2206" s="12">
        <f>IF(OR($B2206="",$C2206="",$G2206=""),"",COUNTIFS(Ventes_Encaissements!$E$6:$E$3005,$B2206,Ventes_Encaissements!$J$6:$J$3005,$G2206,Ventes_Encaissements!$C$6:$C$3005,"&gt;="&amp;($C2206-3),Ventes_Encaissements!$C$6:$C$3005,"&lt;="&amp;($C2206+3)))</f>
        <v/>
      </c>
      <c r="I2206" s="12">
        <f>IF($H2206="","",IF($H2206=0,"Non trouvé",IF($H2206=1,"Match","À vérifier")))</f>
        <v/>
      </c>
      <c r="J2206" s="21">
        <f>IF($I2206&lt;&gt;"Match","",INDEX(Ventes_Encaissements!$B$6:$B$3005,_xludf.AGGREGATE(15,6,(ROW(Ventes_Encaissements!$B$6:$B$3005)-ROW(Ventes_Encaissements!$B$6)+1)/((Ventes_Encaissements!$E$6:$E$3005=$B2206)*(Ventes_Encaissements!$J$6:$J$3005=$G2206)*(Ventes_Encaissements!$C$6:$C$3005&gt;=$C2206-3)*(Ventes_Encaissements!$C$6:$C$3005&lt;=$C2206+3)),1)))</f>
        <v/>
      </c>
      <c r="K2206" s="6" t="n"/>
    </row>
    <row r="2207">
      <c r="A2207" s="6" t="n"/>
      <c r="B2207" s="6" t="n"/>
      <c r="C2207" s="19" t="n"/>
      <c r="D2207" s="19" t="n"/>
      <c r="E2207" s="6" t="n"/>
      <c r="F2207" s="20" t="n"/>
      <c r="G2207" s="9">
        <f>IF($F2207="","",IF($F2207&gt;0,ROUND($F2207,2),""))</f>
        <v/>
      </c>
      <c r="H2207" s="12">
        <f>IF(OR($B2207="",$C2207="",$G2207=""),"",COUNTIFS(Ventes_Encaissements!$E$6:$E$3005,$B2207,Ventes_Encaissements!$J$6:$J$3005,$G2207,Ventes_Encaissements!$C$6:$C$3005,"&gt;="&amp;($C2207-3),Ventes_Encaissements!$C$6:$C$3005,"&lt;="&amp;($C2207+3)))</f>
        <v/>
      </c>
      <c r="I2207" s="12">
        <f>IF($H2207="","",IF($H2207=0,"Non trouvé",IF($H2207=1,"Match","À vérifier")))</f>
        <v/>
      </c>
      <c r="J2207" s="21">
        <f>IF($I2207&lt;&gt;"Match","",INDEX(Ventes_Encaissements!$B$6:$B$3005,_xludf.AGGREGATE(15,6,(ROW(Ventes_Encaissements!$B$6:$B$3005)-ROW(Ventes_Encaissements!$B$6)+1)/((Ventes_Encaissements!$E$6:$E$3005=$B2207)*(Ventes_Encaissements!$J$6:$J$3005=$G2207)*(Ventes_Encaissements!$C$6:$C$3005&gt;=$C2207-3)*(Ventes_Encaissements!$C$6:$C$3005&lt;=$C2207+3)),1)))</f>
        <v/>
      </c>
      <c r="K2207" s="6" t="n"/>
    </row>
    <row r="2208">
      <c r="A2208" s="6" t="n"/>
      <c r="B2208" s="6" t="n"/>
      <c r="C2208" s="19" t="n"/>
      <c r="D2208" s="19" t="n"/>
      <c r="E2208" s="6" t="n"/>
      <c r="F2208" s="20" t="n"/>
      <c r="G2208" s="9">
        <f>IF($F2208="","",IF($F2208&gt;0,ROUND($F2208,2),""))</f>
        <v/>
      </c>
      <c r="H2208" s="12">
        <f>IF(OR($B2208="",$C2208="",$G2208=""),"",COUNTIFS(Ventes_Encaissements!$E$6:$E$3005,$B2208,Ventes_Encaissements!$J$6:$J$3005,$G2208,Ventes_Encaissements!$C$6:$C$3005,"&gt;="&amp;($C2208-3),Ventes_Encaissements!$C$6:$C$3005,"&lt;="&amp;($C2208+3)))</f>
        <v/>
      </c>
      <c r="I2208" s="12">
        <f>IF($H2208="","",IF($H2208=0,"Non trouvé",IF($H2208=1,"Match","À vérifier")))</f>
        <v/>
      </c>
      <c r="J2208" s="21">
        <f>IF($I2208&lt;&gt;"Match","",INDEX(Ventes_Encaissements!$B$6:$B$3005,_xludf.AGGREGATE(15,6,(ROW(Ventes_Encaissements!$B$6:$B$3005)-ROW(Ventes_Encaissements!$B$6)+1)/((Ventes_Encaissements!$E$6:$E$3005=$B2208)*(Ventes_Encaissements!$J$6:$J$3005=$G2208)*(Ventes_Encaissements!$C$6:$C$3005&gt;=$C2208-3)*(Ventes_Encaissements!$C$6:$C$3005&lt;=$C2208+3)),1)))</f>
        <v/>
      </c>
      <c r="K2208" s="6" t="n"/>
    </row>
    <row r="2209">
      <c r="A2209" s="6" t="n"/>
      <c r="B2209" s="6" t="n"/>
      <c r="C2209" s="19" t="n"/>
      <c r="D2209" s="19" t="n"/>
      <c r="E2209" s="6" t="n"/>
      <c r="F2209" s="20" t="n"/>
      <c r="G2209" s="9">
        <f>IF($F2209="","",IF($F2209&gt;0,ROUND($F2209,2),""))</f>
        <v/>
      </c>
      <c r="H2209" s="12">
        <f>IF(OR($B2209="",$C2209="",$G2209=""),"",COUNTIFS(Ventes_Encaissements!$E$6:$E$3005,$B2209,Ventes_Encaissements!$J$6:$J$3005,$G2209,Ventes_Encaissements!$C$6:$C$3005,"&gt;="&amp;($C2209-3),Ventes_Encaissements!$C$6:$C$3005,"&lt;="&amp;($C2209+3)))</f>
        <v/>
      </c>
      <c r="I2209" s="12">
        <f>IF($H2209="","",IF($H2209=0,"Non trouvé",IF($H2209=1,"Match","À vérifier")))</f>
        <v/>
      </c>
      <c r="J2209" s="21">
        <f>IF($I2209&lt;&gt;"Match","",INDEX(Ventes_Encaissements!$B$6:$B$3005,_xludf.AGGREGATE(15,6,(ROW(Ventes_Encaissements!$B$6:$B$3005)-ROW(Ventes_Encaissements!$B$6)+1)/((Ventes_Encaissements!$E$6:$E$3005=$B2209)*(Ventes_Encaissements!$J$6:$J$3005=$G2209)*(Ventes_Encaissements!$C$6:$C$3005&gt;=$C2209-3)*(Ventes_Encaissements!$C$6:$C$3005&lt;=$C2209+3)),1)))</f>
        <v/>
      </c>
      <c r="K2209" s="6" t="n"/>
    </row>
    <row r="2210">
      <c r="A2210" s="6" t="n"/>
      <c r="B2210" s="6" t="n"/>
      <c r="C2210" s="19" t="n"/>
      <c r="D2210" s="19" t="n"/>
      <c r="E2210" s="6" t="n"/>
      <c r="F2210" s="20" t="n"/>
      <c r="G2210" s="9">
        <f>IF($F2210="","",IF($F2210&gt;0,ROUND($F2210,2),""))</f>
        <v/>
      </c>
      <c r="H2210" s="12">
        <f>IF(OR($B2210="",$C2210="",$G2210=""),"",COUNTIFS(Ventes_Encaissements!$E$6:$E$3005,$B2210,Ventes_Encaissements!$J$6:$J$3005,$G2210,Ventes_Encaissements!$C$6:$C$3005,"&gt;="&amp;($C2210-3),Ventes_Encaissements!$C$6:$C$3005,"&lt;="&amp;($C2210+3)))</f>
        <v/>
      </c>
      <c r="I2210" s="12">
        <f>IF($H2210="","",IF($H2210=0,"Non trouvé",IF($H2210=1,"Match","À vérifier")))</f>
        <v/>
      </c>
      <c r="J2210" s="21">
        <f>IF($I2210&lt;&gt;"Match","",INDEX(Ventes_Encaissements!$B$6:$B$3005,_xludf.AGGREGATE(15,6,(ROW(Ventes_Encaissements!$B$6:$B$3005)-ROW(Ventes_Encaissements!$B$6)+1)/((Ventes_Encaissements!$E$6:$E$3005=$B2210)*(Ventes_Encaissements!$J$6:$J$3005=$G2210)*(Ventes_Encaissements!$C$6:$C$3005&gt;=$C2210-3)*(Ventes_Encaissements!$C$6:$C$3005&lt;=$C2210+3)),1)))</f>
        <v/>
      </c>
      <c r="K2210" s="6" t="n"/>
    </row>
    <row r="2211">
      <c r="A2211" s="6" t="n"/>
      <c r="B2211" s="6" t="n"/>
      <c r="C2211" s="19" t="n"/>
      <c r="D2211" s="19" t="n"/>
      <c r="E2211" s="6" t="n"/>
      <c r="F2211" s="20" t="n"/>
      <c r="G2211" s="9">
        <f>IF($F2211="","",IF($F2211&gt;0,ROUND($F2211,2),""))</f>
        <v/>
      </c>
      <c r="H2211" s="12">
        <f>IF(OR($B2211="",$C2211="",$G2211=""),"",COUNTIFS(Ventes_Encaissements!$E$6:$E$3005,$B2211,Ventes_Encaissements!$J$6:$J$3005,$G2211,Ventes_Encaissements!$C$6:$C$3005,"&gt;="&amp;($C2211-3),Ventes_Encaissements!$C$6:$C$3005,"&lt;="&amp;($C2211+3)))</f>
        <v/>
      </c>
      <c r="I2211" s="12">
        <f>IF($H2211="","",IF($H2211=0,"Non trouvé",IF($H2211=1,"Match","À vérifier")))</f>
        <v/>
      </c>
      <c r="J2211" s="21">
        <f>IF($I2211&lt;&gt;"Match","",INDEX(Ventes_Encaissements!$B$6:$B$3005,_xludf.AGGREGATE(15,6,(ROW(Ventes_Encaissements!$B$6:$B$3005)-ROW(Ventes_Encaissements!$B$6)+1)/((Ventes_Encaissements!$E$6:$E$3005=$B2211)*(Ventes_Encaissements!$J$6:$J$3005=$G2211)*(Ventes_Encaissements!$C$6:$C$3005&gt;=$C2211-3)*(Ventes_Encaissements!$C$6:$C$3005&lt;=$C2211+3)),1)))</f>
        <v/>
      </c>
      <c r="K2211" s="6" t="n"/>
    </row>
    <row r="2212">
      <c r="A2212" s="6" t="n"/>
      <c r="B2212" s="6" t="n"/>
      <c r="C2212" s="19" t="n"/>
      <c r="D2212" s="19" t="n"/>
      <c r="E2212" s="6" t="n"/>
      <c r="F2212" s="20" t="n"/>
      <c r="G2212" s="9">
        <f>IF($F2212="","",IF($F2212&gt;0,ROUND($F2212,2),""))</f>
        <v/>
      </c>
      <c r="H2212" s="12">
        <f>IF(OR($B2212="",$C2212="",$G2212=""),"",COUNTIFS(Ventes_Encaissements!$E$6:$E$3005,$B2212,Ventes_Encaissements!$J$6:$J$3005,$G2212,Ventes_Encaissements!$C$6:$C$3005,"&gt;="&amp;($C2212-3),Ventes_Encaissements!$C$6:$C$3005,"&lt;="&amp;($C2212+3)))</f>
        <v/>
      </c>
      <c r="I2212" s="12">
        <f>IF($H2212="","",IF($H2212=0,"Non trouvé",IF($H2212=1,"Match","À vérifier")))</f>
        <v/>
      </c>
      <c r="J2212" s="21">
        <f>IF($I2212&lt;&gt;"Match","",INDEX(Ventes_Encaissements!$B$6:$B$3005,_xludf.AGGREGATE(15,6,(ROW(Ventes_Encaissements!$B$6:$B$3005)-ROW(Ventes_Encaissements!$B$6)+1)/((Ventes_Encaissements!$E$6:$E$3005=$B2212)*(Ventes_Encaissements!$J$6:$J$3005=$G2212)*(Ventes_Encaissements!$C$6:$C$3005&gt;=$C2212-3)*(Ventes_Encaissements!$C$6:$C$3005&lt;=$C2212+3)),1)))</f>
        <v/>
      </c>
      <c r="K2212" s="6" t="n"/>
    </row>
    <row r="2213">
      <c r="A2213" s="6" t="n"/>
      <c r="B2213" s="6" t="n"/>
      <c r="C2213" s="19" t="n"/>
      <c r="D2213" s="19" t="n"/>
      <c r="E2213" s="6" t="n"/>
      <c r="F2213" s="20" t="n"/>
      <c r="G2213" s="9">
        <f>IF($F2213="","",IF($F2213&gt;0,ROUND($F2213,2),""))</f>
        <v/>
      </c>
      <c r="H2213" s="12">
        <f>IF(OR($B2213="",$C2213="",$G2213=""),"",COUNTIFS(Ventes_Encaissements!$E$6:$E$3005,$B2213,Ventes_Encaissements!$J$6:$J$3005,$G2213,Ventes_Encaissements!$C$6:$C$3005,"&gt;="&amp;($C2213-3),Ventes_Encaissements!$C$6:$C$3005,"&lt;="&amp;($C2213+3)))</f>
        <v/>
      </c>
      <c r="I2213" s="12">
        <f>IF($H2213="","",IF($H2213=0,"Non trouvé",IF($H2213=1,"Match","À vérifier")))</f>
        <v/>
      </c>
      <c r="J2213" s="21">
        <f>IF($I2213&lt;&gt;"Match","",INDEX(Ventes_Encaissements!$B$6:$B$3005,_xludf.AGGREGATE(15,6,(ROW(Ventes_Encaissements!$B$6:$B$3005)-ROW(Ventes_Encaissements!$B$6)+1)/((Ventes_Encaissements!$E$6:$E$3005=$B2213)*(Ventes_Encaissements!$J$6:$J$3005=$G2213)*(Ventes_Encaissements!$C$6:$C$3005&gt;=$C2213-3)*(Ventes_Encaissements!$C$6:$C$3005&lt;=$C2213+3)),1)))</f>
        <v/>
      </c>
      <c r="K2213" s="6" t="n"/>
    </row>
    <row r="2214">
      <c r="A2214" s="6" t="n"/>
      <c r="B2214" s="6" t="n"/>
      <c r="C2214" s="19" t="n"/>
      <c r="D2214" s="19" t="n"/>
      <c r="E2214" s="6" t="n"/>
      <c r="F2214" s="20" t="n"/>
      <c r="G2214" s="9">
        <f>IF($F2214="","",IF($F2214&gt;0,ROUND($F2214,2),""))</f>
        <v/>
      </c>
      <c r="H2214" s="12">
        <f>IF(OR($B2214="",$C2214="",$G2214=""),"",COUNTIFS(Ventes_Encaissements!$E$6:$E$3005,$B2214,Ventes_Encaissements!$J$6:$J$3005,$G2214,Ventes_Encaissements!$C$6:$C$3005,"&gt;="&amp;($C2214-3),Ventes_Encaissements!$C$6:$C$3005,"&lt;="&amp;($C2214+3)))</f>
        <v/>
      </c>
      <c r="I2214" s="12">
        <f>IF($H2214="","",IF($H2214=0,"Non trouvé",IF($H2214=1,"Match","À vérifier")))</f>
        <v/>
      </c>
      <c r="J2214" s="21">
        <f>IF($I2214&lt;&gt;"Match","",INDEX(Ventes_Encaissements!$B$6:$B$3005,_xludf.AGGREGATE(15,6,(ROW(Ventes_Encaissements!$B$6:$B$3005)-ROW(Ventes_Encaissements!$B$6)+1)/((Ventes_Encaissements!$E$6:$E$3005=$B2214)*(Ventes_Encaissements!$J$6:$J$3005=$G2214)*(Ventes_Encaissements!$C$6:$C$3005&gt;=$C2214-3)*(Ventes_Encaissements!$C$6:$C$3005&lt;=$C2214+3)),1)))</f>
        <v/>
      </c>
      <c r="K2214" s="6" t="n"/>
    </row>
    <row r="2215">
      <c r="A2215" s="6" t="n"/>
      <c r="B2215" s="6" t="n"/>
      <c r="C2215" s="19" t="n"/>
      <c r="D2215" s="19" t="n"/>
      <c r="E2215" s="6" t="n"/>
      <c r="F2215" s="20" t="n"/>
      <c r="G2215" s="9">
        <f>IF($F2215="","",IF($F2215&gt;0,ROUND($F2215,2),""))</f>
        <v/>
      </c>
      <c r="H2215" s="12">
        <f>IF(OR($B2215="",$C2215="",$G2215=""),"",COUNTIFS(Ventes_Encaissements!$E$6:$E$3005,$B2215,Ventes_Encaissements!$J$6:$J$3005,$G2215,Ventes_Encaissements!$C$6:$C$3005,"&gt;="&amp;($C2215-3),Ventes_Encaissements!$C$6:$C$3005,"&lt;="&amp;($C2215+3)))</f>
        <v/>
      </c>
      <c r="I2215" s="12">
        <f>IF($H2215="","",IF($H2215=0,"Non trouvé",IF($H2215=1,"Match","À vérifier")))</f>
        <v/>
      </c>
      <c r="J2215" s="21">
        <f>IF($I2215&lt;&gt;"Match","",INDEX(Ventes_Encaissements!$B$6:$B$3005,_xludf.AGGREGATE(15,6,(ROW(Ventes_Encaissements!$B$6:$B$3005)-ROW(Ventes_Encaissements!$B$6)+1)/((Ventes_Encaissements!$E$6:$E$3005=$B2215)*(Ventes_Encaissements!$J$6:$J$3005=$G2215)*(Ventes_Encaissements!$C$6:$C$3005&gt;=$C2215-3)*(Ventes_Encaissements!$C$6:$C$3005&lt;=$C2215+3)),1)))</f>
        <v/>
      </c>
      <c r="K2215" s="6" t="n"/>
    </row>
    <row r="2216">
      <c r="A2216" s="6" t="n"/>
      <c r="B2216" s="6" t="n"/>
      <c r="C2216" s="19" t="n"/>
      <c r="D2216" s="19" t="n"/>
      <c r="E2216" s="6" t="n"/>
      <c r="F2216" s="20" t="n"/>
      <c r="G2216" s="9">
        <f>IF($F2216="","",IF($F2216&gt;0,ROUND($F2216,2),""))</f>
        <v/>
      </c>
      <c r="H2216" s="12">
        <f>IF(OR($B2216="",$C2216="",$G2216=""),"",COUNTIFS(Ventes_Encaissements!$E$6:$E$3005,$B2216,Ventes_Encaissements!$J$6:$J$3005,$G2216,Ventes_Encaissements!$C$6:$C$3005,"&gt;="&amp;($C2216-3),Ventes_Encaissements!$C$6:$C$3005,"&lt;="&amp;($C2216+3)))</f>
        <v/>
      </c>
      <c r="I2216" s="12">
        <f>IF($H2216="","",IF($H2216=0,"Non trouvé",IF($H2216=1,"Match","À vérifier")))</f>
        <v/>
      </c>
      <c r="J2216" s="21">
        <f>IF($I2216&lt;&gt;"Match","",INDEX(Ventes_Encaissements!$B$6:$B$3005,_xludf.AGGREGATE(15,6,(ROW(Ventes_Encaissements!$B$6:$B$3005)-ROW(Ventes_Encaissements!$B$6)+1)/((Ventes_Encaissements!$E$6:$E$3005=$B2216)*(Ventes_Encaissements!$J$6:$J$3005=$G2216)*(Ventes_Encaissements!$C$6:$C$3005&gt;=$C2216-3)*(Ventes_Encaissements!$C$6:$C$3005&lt;=$C2216+3)),1)))</f>
        <v/>
      </c>
      <c r="K2216" s="6" t="n"/>
    </row>
    <row r="2217">
      <c r="A2217" s="6" t="n"/>
      <c r="B2217" s="6" t="n"/>
      <c r="C2217" s="19" t="n"/>
      <c r="D2217" s="19" t="n"/>
      <c r="E2217" s="6" t="n"/>
      <c r="F2217" s="20" t="n"/>
      <c r="G2217" s="9">
        <f>IF($F2217="","",IF($F2217&gt;0,ROUND($F2217,2),""))</f>
        <v/>
      </c>
      <c r="H2217" s="12">
        <f>IF(OR($B2217="",$C2217="",$G2217=""),"",COUNTIFS(Ventes_Encaissements!$E$6:$E$3005,$B2217,Ventes_Encaissements!$J$6:$J$3005,$G2217,Ventes_Encaissements!$C$6:$C$3005,"&gt;="&amp;($C2217-3),Ventes_Encaissements!$C$6:$C$3005,"&lt;="&amp;($C2217+3)))</f>
        <v/>
      </c>
      <c r="I2217" s="12">
        <f>IF($H2217="","",IF($H2217=0,"Non trouvé",IF($H2217=1,"Match","À vérifier")))</f>
        <v/>
      </c>
      <c r="J2217" s="21">
        <f>IF($I2217&lt;&gt;"Match","",INDEX(Ventes_Encaissements!$B$6:$B$3005,_xludf.AGGREGATE(15,6,(ROW(Ventes_Encaissements!$B$6:$B$3005)-ROW(Ventes_Encaissements!$B$6)+1)/((Ventes_Encaissements!$E$6:$E$3005=$B2217)*(Ventes_Encaissements!$J$6:$J$3005=$G2217)*(Ventes_Encaissements!$C$6:$C$3005&gt;=$C2217-3)*(Ventes_Encaissements!$C$6:$C$3005&lt;=$C2217+3)),1)))</f>
        <v/>
      </c>
      <c r="K2217" s="6" t="n"/>
    </row>
    <row r="2218">
      <c r="A2218" s="6" t="n"/>
      <c r="B2218" s="6" t="n"/>
      <c r="C2218" s="19" t="n"/>
      <c r="D2218" s="19" t="n"/>
      <c r="E2218" s="6" t="n"/>
      <c r="F2218" s="20" t="n"/>
      <c r="G2218" s="9">
        <f>IF($F2218="","",IF($F2218&gt;0,ROUND($F2218,2),""))</f>
        <v/>
      </c>
      <c r="H2218" s="12">
        <f>IF(OR($B2218="",$C2218="",$G2218=""),"",COUNTIFS(Ventes_Encaissements!$E$6:$E$3005,$B2218,Ventes_Encaissements!$J$6:$J$3005,$G2218,Ventes_Encaissements!$C$6:$C$3005,"&gt;="&amp;($C2218-3),Ventes_Encaissements!$C$6:$C$3005,"&lt;="&amp;($C2218+3)))</f>
        <v/>
      </c>
      <c r="I2218" s="12">
        <f>IF($H2218="","",IF($H2218=0,"Non trouvé",IF($H2218=1,"Match","À vérifier")))</f>
        <v/>
      </c>
      <c r="J2218" s="21">
        <f>IF($I2218&lt;&gt;"Match","",INDEX(Ventes_Encaissements!$B$6:$B$3005,_xludf.AGGREGATE(15,6,(ROW(Ventes_Encaissements!$B$6:$B$3005)-ROW(Ventes_Encaissements!$B$6)+1)/((Ventes_Encaissements!$E$6:$E$3005=$B2218)*(Ventes_Encaissements!$J$6:$J$3005=$G2218)*(Ventes_Encaissements!$C$6:$C$3005&gt;=$C2218-3)*(Ventes_Encaissements!$C$6:$C$3005&lt;=$C2218+3)),1)))</f>
        <v/>
      </c>
      <c r="K2218" s="6" t="n"/>
    </row>
    <row r="2219">
      <c r="A2219" s="6" t="n"/>
      <c r="B2219" s="6" t="n"/>
      <c r="C2219" s="19" t="n"/>
      <c r="D2219" s="19" t="n"/>
      <c r="E2219" s="6" t="n"/>
      <c r="F2219" s="20" t="n"/>
      <c r="G2219" s="9">
        <f>IF($F2219="","",IF($F2219&gt;0,ROUND($F2219,2),""))</f>
        <v/>
      </c>
      <c r="H2219" s="12">
        <f>IF(OR($B2219="",$C2219="",$G2219=""),"",COUNTIFS(Ventes_Encaissements!$E$6:$E$3005,$B2219,Ventes_Encaissements!$J$6:$J$3005,$G2219,Ventes_Encaissements!$C$6:$C$3005,"&gt;="&amp;($C2219-3),Ventes_Encaissements!$C$6:$C$3005,"&lt;="&amp;($C2219+3)))</f>
        <v/>
      </c>
      <c r="I2219" s="12">
        <f>IF($H2219="","",IF($H2219=0,"Non trouvé",IF($H2219=1,"Match","À vérifier")))</f>
        <v/>
      </c>
      <c r="J2219" s="21">
        <f>IF($I2219&lt;&gt;"Match","",INDEX(Ventes_Encaissements!$B$6:$B$3005,_xludf.AGGREGATE(15,6,(ROW(Ventes_Encaissements!$B$6:$B$3005)-ROW(Ventes_Encaissements!$B$6)+1)/((Ventes_Encaissements!$E$6:$E$3005=$B2219)*(Ventes_Encaissements!$J$6:$J$3005=$G2219)*(Ventes_Encaissements!$C$6:$C$3005&gt;=$C2219-3)*(Ventes_Encaissements!$C$6:$C$3005&lt;=$C2219+3)),1)))</f>
        <v/>
      </c>
      <c r="K2219" s="6" t="n"/>
    </row>
    <row r="2220">
      <c r="A2220" s="6" t="n"/>
      <c r="B2220" s="6" t="n"/>
      <c r="C2220" s="19" t="n"/>
      <c r="D2220" s="19" t="n"/>
      <c r="E2220" s="6" t="n"/>
      <c r="F2220" s="20" t="n"/>
      <c r="G2220" s="9">
        <f>IF($F2220="","",IF($F2220&gt;0,ROUND($F2220,2),""))</f>
        <v/>
      </c>
      <c r="H2220" s="12">
        <f>IF(OR($B2220="",$C2220="",$G2220=""),"",COUNTIFS(Ventes_Encaissements!$E$6:$E$3005,$B2220,Ventes_Encaissements!$J$6:$J$3005,$G2220,Ventes_Encaissements!$C$6:$C$3005,"&gt;="&amp;($C2220-3),Ventes_Encaissements!$C$6:$C$3005,"&lt;="&amp;($C2220+3)))</f>
        <v/>
      </c>
      <c r="I2220" s="12">
        <f>IF($H2220="","",IF($H2220=0,"Non trouvé",IF($H2220=1,"Match","À vérifier")))</f>
        <v/>
      </c>
      <c r="J2220" s="21">
        <f>IF($I2220&lt;&gt;"Match","",INDEX(Ventes_Encaissements!$B$6:$B$3005,_xludf.AGGREGATE(15,6,(ROW(Ventes_Encaissements!$B$6:$B$3005)-ROW(Ventes_Encaissements!$B$6)+1)/((Ventes_Encaissements!$E$6:$E$3005=$B2220)*(Ventes_Encaissements!$J$6:$J$3005=$G2220)*(Ventes_Encaissements!$C$6:$C$3005&gt;=$C2220-3)*(Ventes_Encaissements!$C$6:$C$3005&lt;=$C2220+3)),1)))</f>
        <v/>
      </c>
      <c r="K2220" s="6" t="n"/>
    </row>
    <row r="2221">
      <c r="A2221" s="6" t="n"/>
      <c r="B2221" s="6" t="n"/>
      <c r="C2221" s="19" t="n"/>
      <c r="D2221" s="19" t="n"/>
      <c r="E2221" s="6" t="n"/>
      <c r="F2221" s="20" t="n"/>
      <c r="G2221" s="9">
        <f>IF($F2221="","",IF($F2221&gt;0,ROUND($F2221,2),""))</f>
        <v/>
      </c>
      <c r="H2221" s="12">
        <f>IF(OR($B2221="",$C2221="",$G2221=""),"",COUNTIFS(Ventes_Encaissements!$E$6:$E$3005,$B2221,Ventes_Encaissements!$J$6:$J$3005,$G2221,Ventes_Encaissements!$C$6:$C$3005,"&gt;="&amp;($C2221-3),Ventes_Encaissements!$C$6:$C$3005,"&lt;="&amp;($C2221+3)))</f>
        <v/>
      </c>
      <c r="I2221" s="12">
        <f>IF($H2221="","",IF($H2221=0,"Non trouvé",IF($H2221=1,"Match","À vérifier")))</f>
        <v/>
      </c>
      <c r="J2221" s="21">
        <f>IF($I2221&lt;&gt;"Match","",INDEX(Ventes_Encaissements!$B$6:$B$3005,_xludf.AGGREGATE(15,6,(ROW(Ventes_Encaissements!$B$6:$B$3005)-ROW(Ventes_Encaissements!$B$6)+1)/((Ventes_Encaissements!$E$6:$E$3005=$B2221)*(Ventes_Encaissements!$J$6:$J$3005=$G2221)*(Ventes_Encaissements!$C$6:$C$3005&gt;=$C2221-3)*(Ventes_Encaissements!$C$6:$C$3005&lt;=$C2221+3)),1)))</f>
        <v/>
      </c>
      <c r="K2221" s="6" t="n"/>
    </row>
    <row r="2222">
      <c r="A2222" s="6" t="n"/>
      <c r="B2222" s="6" t="n"/>
      <c r="C2222" s="19" t="n"/>
      <c r="D2222" s="19" t="n"/>
      <c r="E2222" s="6" t="n"/>
      <c r="F2222" s="20" t="n"/>
      <c r="G2222" s="9">
        <f>IF($F2222="","",IF($F2222&gt;0,ROUND($F2222,2),""))</f>
        <v/>
      </c>
      <c r="H2222" s="12">
        <f>IF(OR($B2222="",$C2222="",$G2222=""),"",COUNTIFS(Ventes_Encaissements!$E$6:$E$3005,$B2222,Ventes_Encaissements!$J$6:$J$3005,$G2222,Ventes_Encaissements!$C$6:$C$3005,"&gt;="&amp;($C2222-3),Ventes_Encaissements!$C$6:$C$3005,"&lt;="&amp;($C2222+3)))</f>
        <v/>
      </c>
      <c r="I2222" s="12">
        <f>IF($H2222="","",IF($H2222=0,"Non trouvé",IF($H2222=1,"Match","À vérifier")))</f>
        <v/>
      </c>
      <c r="J2222" s="21">
        <f>IF($I2222&lt;&gt;"Match","",INDEX(Ventes_Encaissements!$B$6:$B$3005,_xludf.AGGREGATE(15,6,(ROW(Ventes_Encaissements!$B$6:$B$3005)-ROW(Ventes_Encaissements!$B$6)+1)/((Ventes_Encaissements!$E$6:$E$3005=$B2222)*(Ventes_Encaissements!$J$6:$J$3005=$G2222)*(Ventes_Encaissements!$C$6:$C$3005&gt;=$C2222-3)*(Ventes_Encaissements!$C$6:$C$3005&lt;=$C2222+3)),1)))</f>
        <v/>
      </c>
      <c r="K2222" s="6" t="n"/>
    </row>
    <row r="2223">
      <c r="A2223" s="6" t="n"/>
      <c r="B2223" s="6" t="n"/>
      <c r="C2223" s="19" t="n"/>
      <c r="D2223" s="19" t="n"/>
      <c r="E2223" s="6" t="n"/>
      <c r="F2223" s="20" t="n"/>
      <c r="G2223" s="9">
        <f>IF($F2223="","",IF($F2223&gt;0,ROUND($F2223,2),""))</f>
        <v/>
      </c>
      <c r="H2223" s="12">
        <f>IF(OR($B2223="",$C2223="",$G2223=""),"",COUNTIFS(Ventes_Encaissements!$E$6:$E$3005,$B2223,Ventes_Encaissements!$J$6:$J$3005,$G2223,Ventes_Encaissements!$C$6:$C$3005,"&gt;="&amp;($C2223-3),Ventes_Encaissements!$C$6:$C$3005,"&lt;="&amp;($C2223+3)))</f>
        <v/>
      </c>
      <c r="I2223" s="12">
        <f>IF($H2223="","",IF($H2223=0,"Non trouvé",IF($H2223=1,"Match","À vérifier")))</f>
        <v/>
      </c>
      <c r="J2223" s="21">
        <f>IF($I2223&lt;&gt;"Match","",INDEX(Ventes_Encaissements!$B$6:$B$3005,_xludf.AGGREGATE(15,6,(ROW(Ventes_Encaissements!$B$6:$B$3005)-ROW(Ventes_Encaissements!$B$6)+1)/((Ventes_Encaissements!$E$6:$E$3005=$B2223)*(Ventes_Encaissements!$J$6:$J$3005=$G2223)*(Ventes_Encaissements!$C$6:$C$3005&gt;=$C2223-3)*(Ventes_Encaissements!$C$6:$C$3005&lt;=$C2223+3)),1)))</f>
        <v/>
      </c>
      <c r="K2223" s="6" t="n"/>
    </row>
    <row r="2224">
      <c r="A2224" s="6" t="n"/>
      <c r="B2224" s="6" t="n"/>
      <c r="C2224" s="19" t="n"/>
      <c r="D2224" s="19" t="n"/>
      <c r="E2224" s="6" t="n"/>
      <c r="F2224" s="20" t="n"/>
      <c r="G2224" s="9">
        <f>IF($F2224="","",IF($F2224&gt;0,ROUND($F2224,2),""))</f>
        <v/>
      </c>
      <c r="H2224" s="12">
        <f>IF(OR($B2224="",$C2224="",$G2224=""),"",COUNTIFS(Ventes_Encaissements!$E$6:$E$3005,$B2224,Ventes_Encaissements!$J$6:$J$3005,$G2224,Ventes_Encaissements!$C$6:$C$3005,"&gt;="&amp;($C2224-3),Ventes_Encaissements!$C$6:$C$3005,"&lt;="&amp;($C2224+3)))</f>
        <v/>
      </c>
      <c r="I2224" s="12">
        <f>IF($H2224="","",IF($H2224=0,"Non trouvé",IF($H2224=1,"Match","À vérifier")))</f>
        <v/>
      </c>
      <c r="J2224" s="21">
        <f>IF($I2224&lt;&gt;"Match","",INDEX(Ventes_Encaissements!$B$6:$B$3005,_xludf.AGGREGATE(15,6,(ROW(Ventes_Encaissements!$B$6:$B$3005)-ROW(Ventes_Encaissements!$B$6)+1)/((Ventes_Encaissements!$E$6:$E$3005=$B2224)*(Ventes_Encaissements!$J$6:$J$3005=$G2224)*(Ventes_Encaissements!$C$6:$C$3005&gt;=$C2224-3)*(Ventes_Encaissements!$C$6:$C$3005&lt;=$C2224+3)),1)))</f>
        <v/>
      </c>
      <c r="K2224" s="6" t="n"/>
    </row>
    <row r="2225">
      <c r="A2225" s="6" t="n"/>
      <c r="B2225" s="6" t="n"/>
      <c r="C2225" s="19" t="n"/>
      <c r="D2225" s="19" t="n"/>
      <c r="E2225" s="6" t="n"/>
      <c r="F2225" s="20" t="n"/>
      <c r="G2225" s="9">
        <f>IF($F2225="","",IF($F2225&gt;0,ROUND($F2225,2),""))</f>
        <v/>
      </c>
      <c r="H2225" s="12">
        <f>IF(OR($B2225="",$C2225="",$G2225=""),"",COUNTIFS(Ventes_Encaissements!$E$6:$E$3005,$B2225,Ventes_Encaissements!$J$6:$J$3005,$G2225,Ventes_Encaissements!$C$6:$C$3005,"&gt;="&amp;($C2225-3),Ventes_Encaissements!$C$6:$C$3005,"&lt;="&amp;($C2225+3)))</f>
        <v/>
      </c>
      <c r="I2225" s="12">
        <f>IF($H2225="","",IF($H2225=0,"Non trouvé",IF($H2225=1,"Match","À vérifier")))</f>
        <v/>
      </c>
      <c r="J2225" s="21">
        <f>IF($I2225&lt;&gt;"Match","",INDEX(Ventes_Encaissements!$B$6:$B$3005,_xludf.AGGREGATE(15,6,(ROW(Ventes_Encaissements!$B$6:$B$3005)-ROW(Ventes_Encaissements!$B$6)+1)/((Ventes_Encaissements!$E$6:$E$3005=$B2225)*(Ventes_Encaissements!$J$6:$J$3005=$G2225)*(Ventes_Encaissements!$C$6:$C$3005&gt;=$C2225-3)*(Ventes_Encaissements!$C$6:$C$3005&lt;=$C2225+3)),1)))</f>
        <v/>
      </c>
      <c r="K2225" s="6" t="n"/>
    </row>
    <row r="2226">
      <c r="A2226" s="6" t="n"/>
      <c r="B2226" s="6" t="n"/>
      <c r="C2226" s="19" t="n"/>
      <c r="D2226" s="19" t="n"/>
      <c r="E2226" s="6" t="n"/>
      <c r="F2226" s="20" t="n"/>
      <c r="G2226" s="9">
        <f>IF($F2226="","",IF($F2226&gt;0,ROUND($F2226,2),""))</f>
        <v/>
      </c>
      <c r="H2226" s="12">
        <f>IF(OR($B2226="",$C2226="",$G2226=""),"",COUNTIFS(Ventes_Encaissements!$E$6:$E$3005,$B2226,Ventes_Encaissements!$J$6:$J$3005,$G2226,Ventes_Encaissements!$C$6:$C$3005,"&gt;="&amp;($C2226-3),Ventes_Encaissements!$C$6:$C$3005,"&lt;="&amp;($C2226+3)))</f>
        <v/>
      </c>
      <c r="I2226" s="12">
        <f>IF($H2226="","",IF($H2226=0,"Non trouvé",IF($H2226=1,"Match","À vérifier")))</f>
        <v/>
      </c>
      <c r="J2226" s="21">
        <f>IF($I2226&lt;&gt;"Match","",INDEX(Ventes_Encaissements!$B$6:$B$3005,_xludf.AGGREGATE(15,6,(ROW(Ventes_Encaissements!$B$6:$B$3005)-ROW(Ventes_Encaissements!$B$6)+1)/((Ventes_Encaissements!$E$6:$E$3005=$B2226)*(Ventes_Encaissements!$J$6:$J$3005=$G2226)*(Ventes_Encaissements!$C$6:$C$3005&gt;=$C2226-3)*(Ventes_Encaissements!$C$6:$C$3005&lt;=$C2226+3)),1)))</f>
        <v/>
      </c>
      <c r="K2226" s="6" t="n"/>
    </row>
    <row r="2227">
      <c r="A2227" s="6" t="n"/>
      <c r="B2227" s="6" t="n"/>
      <c r="C2227" s="19" t="n"/>
      <c r="D2227" s="19" t="n"/>
      <c r="E2227" s="6" t="n"/>
      <c r="F2227" s="20" t="n"/>
      <c r="G2227" s="9">
        <f>IF($F2227="","",IF($F2227&gt;0,ROUND($F2227,2),""))</f>
        <v/>
      </c>
      <c r="H2227" s="12">
        <f>IF(OR($B2227="",$C2227="",$G2227=""),"",COUNTIFS(Ventes_Encaissements!$E$6:$E$3005,$B2227,Ventes_Encaissements!$J$6:$J$3005,$G2227,Ventes_Encaissements!$C$6:$C$3005,"&gt;="&amp;($C2227-3),Ventes_Encaissements!$C$6:$C$3005,"&lt;="&amp;($C2227+3)))</f>
        <v/>
      </c>
      <c r="I2227" s="12">
        <f>IF($H2227="","",IF($H2227=0,"Non trouvé",IF($H2227=1,"Match","À vérifier")))</f>
        <v/>
      </c>
      <c r="J2227" s="21">
        <f>IF($I2227&lt;&gt;"Match","",INDEX(Ventes_Encaissements!$B$6:$B$3005,_xludf.AGGREGATE(15,6,(ROW(Ventes_Encaissements!$B$6:$B$3005)-ROW(Ventes_Encaissements!$B$6)+1)/((Ventes_Encaissements!$E$6:$E$3005=$B2227)*(Ventes_Encaissements!$J$6:$J$3005=$G2227)*(Ventes_Encaissements!$C$6:$C$3005&gt;=$C2227-3)*(Ventes_Encaissements!$C$6:$C$3005&lt;=$C2227+3)),1)))</f>
        <v/>
      </c>
      <c r="K2227" s="6" t="n"/>
    </row>
    <row r="2228">
      <c r="A2228" s="6" t="n"/>
      <c r="B2228" s="6" t="n"/>
      <c r="C2228" s="19" t="n"/>
      <c r="D2228" s="19" t="n"/>
      <c r="E2228" s="6" t="n"/>
      <c r="F2228" s="20" t="n"/>
      <c r="G2228" s="9">
        <f>IF($F2228="","",IF($F2228&gt;0,ROUND($F2228,2),""))</f>
        <v/>
      </c>
      <c r="H2228" s="12">
        <f>IF(OR($B2228="",$C2228="",$G2228=""),"",COUNTIFS(Ventes_Encaissements!$E$6:$E$3005,$B2228,Ventes_Encaissements!$J$6:$J$3005,$G2228,Ventes_Encaissements!$C$6:$C$3005,"&gt;="&amp;($C2228-3),Ventes_Encaissements!$C$6:$C$3005,"&lt;="&amp;($C2228+3)))</f>
        <v/>
      </c>
      <c r="I2228" s="12">
        <f>IF($H2228="","",IF($H2228=0,"Non trouvé",IF($H2228=1,"Match","À vérifier")))</f>
        <v/>
      </c>
      <c r="J2228" s="21">
        <f>IF($I2228&lt;&gt;"Match","",INDEX(Ventes_Encaissements!$B$6:$B$3005,_xludf.AGGREGATE(15,6,(ROW(Ventes_Encaissements!$B$6:$B$3005)-ROW(Ventes_Encaissements!$B$6)+1)/((Ventes_Encaissements!$E$6:$E$3005=$B2228)*(Ventes_Encaissements!$J$6:$J$3005=$G2228)*(Ventes_Encaissements!$C$6:$C$3005&gt;=$C2228-3)*(Ventes_Encaissements!$C$6:$C$3005&lt;=$C2228+3)),1)))</f>
        <v/>
      </c>
      <c r="K2228" s="6" t="n"/>
    </row>
    <row r="2229">
      <c r="A2229" s="6" t="n"/>
      <c r="B2229" s="6" t="n"/>
      <c r="C2229" s="19" t="n"/>
      <c r="D2229" s="19" t="n"/>
      <c r="E2229" s="6" t="n"/>
      <c r="F2229" s="20" t="n"/>
      <c r="G2229" s="9">
        <f>IF($F2229="","",IF($F2229&gt;0,ROUND($F2229,2),""))</f>
        <v/>
      </c>
      <c r="H2229" s="12">
        <f>IF(OR($B2229="",$C2229="",$G2229=""),"",COUNTIFS(Ventes_Encaissements!$E$6:$E$3005,$B2229,Ventes_Encaissements!$J$6:$J$3005,$G2229,Ventes_Encaissements!$C$6:$C$3005,"&gt;="&amp;($C2229-3),Ventes_Encaissements!$C$6:$C$3005,"&lt;="&amp;($C2229+3)))</f>
        <v/>
      </c>
      <c r="I2229" s="12">
        <f>IF($H2229="","",IF($H2229=0,"Non trouvé",IF($H2229=1,"Match","À vérifier")))</f>
        <v/>
      </c>
      <c r="J2229" s="21">
        <f>IF($I2229&lt;&gt;"Match","",INDEX(Ventes_Encaissements!$B$6:$B$3005,_xludf.AGGREGATE(15,6,(ROW(Ventes_Encaissements!$B$6:$B$3005)-ROW(Ventes_Encaissements!$B$6)+1)/((Ventes_Encaissements!$E$6:$E$3005=$B2229)*(Ventes_Encaissements!$J$6:$J$3005=$G2229)*(Ventes_Encaissements!$C$6:$C$3005&gt;=$C2229-3)*(Ventes_Encaissements!$C$6:$C$3005&lt;=$C2229+3)),1)))</f>
        <v/>
      </c>
      <c r="K2229" s="6" t="n"/>
    </row>
    <row r="2230">
      <c r="A2230" s="6" t="n"/>
      <c r="B2230" s="6" t="n"/>
      <c r="C2230" s="19" t="n"/>
      <c r="D2230" s="19" t="n"/>
      <c r="E2230" s="6" t="n"/>
      <c r="F2230" s="20" t="n"/>
      <c r="G2230" s="9">
        <f>IF($F2230="","",IF($F2230&gt;0,ROUND($F2230,2),""))</f>
        <v/>
      </c>
      <c r="H2230" s="12">
        <f>IF(OR($B2230="",$C2230="",$G2230=""),"",COUNTIFS(Ventes_Encaissements!$E$6:$E$3005,$B2230,Ventes_Encaissements!$J$6:$J$3005,$G2230,Ventes_Encaissements!$C$6:$C$3005,"&gt;="&amp;($C2230-3),Ventes_Encaissements!$C$6:$C$3005,"&lt;="&amp;($C2230+3)))</f>
        <v/>
      </c>
      <c r="I2230" s="12">
        <f>IF($H2230="","",IF($H2230=0,"Non trouvé",IF($H2230=1,"Match","À vérifier")))</f>
        <v/>
      </c>
      <c r="J2230" s="21">
        <f>IF($I2230&lt;&gt;"Match","",INDEX(Ventes_Encaissements!$B$6:$B$3005,_xludf.AGGREGATE(15,6,(ROW(Ventes_Encaissements!$B$6:$B$3005)-ROW(Ventes_Encaissements!$B$6)+1)/((Ventes_Encaissements!$E$6:$E$3005=$B2230)*(Ventes_Encaissements!$J$6:$J$3005=$G2230)*(Ventes_Encaissements!$C$6:$C$3005&gt;=$C2230-3)*(Ventes_Encaissements!$C$6:$C$3005&lt;=$C2230+3)),1)))</f>
        <v/>
      </c>
      <c r="K2230" s="6" t="n"/>
    </row>
    <row r="2231">
      <c r="A2231" s="6" t="n"/>
      <c r="B2231" s="6" t="n"/>
      <c r="C2231" s="19" t="n"/>
      <c r="D2231" s="19" t="n"/>
      <c r="E2231" s="6" t="n"/>
      <c r="F2231" s="20" t="n"/>
      <c r="G2231" s="9">
        <f>IF($F2231="","",IF($F2231&gt;0,ROUND($F2231,2),""))</f>
        <v/>
      </c>
      <c r="H2231" s="12">
        <f>IF(OR($B2231="",$C2231="",$G2231=""),"",COUNTIFS(Ventes_Encaissements!$E$6:$E$3005,$B2231,Ventes_Encaissements!$J$6:$J$3005,$G2231,Ventes_Encaissements!$C$6:$C$3005,"&gt;="&amp;($C2231-3),Ventes_Encaissements!$C$6:$C$3005,"&lt;="&amp;($C2231+3)))</f>
        <v/>
      </c>
      <c r="I2231" s="12">
        <f>IF($H2231="","",IF($H2231=0,"Non trouvé",IF($H2231=1,"Match","À vérifier")))</f>
        <v/>
      </c>
      <c r="J2231" s="21">
        <f>IF($I2231&lt;&gt;"Match","",INDEX(Ventes_Encaissements!$B$6:$B$3005,_xludf.AGGREGATE(15,6,(ROW(Ventes_Encaissements!$B$6:$B$3005)-ROW(Ventes_Encaissements!$B$6)+1)/((Ventes_Encaissements!$E$6:$E$3005=$B2231)*(Ventes_Encaissements!$J$6:$J$3005=$G2231)*(Ventes_Encaissements!$C$6:$C$3005&gt;=$C2231-3)*(Ventes_Encaissements!$C$6:$C$3005&lt;=$C2231+3)),1)))</f>
        <v/>
      </c>
      <c r="K2231" s="6" t="n"/>
    </row>
    <row r="2232">
      <c r="A2232" s="6" t="n"/>
      <c r="B2232" s="6" t="n"/>
      <c r="C2232" s="19" t="n"/>
      <c r="D2232" s="19" t="n"/>
      <c r="E2232" s="6" t="n"/>
      <c r="F2232" s="20" t="n"/>
      <c r="G2232" s="9">
        <f>IF($F2232="","",IF($F2232&gt;0,ROUND($F2232,2),""))</f>
        <v/>
      </c>
      <c r="H2232" s="12">
        <f>IF(OR($B2232="",$C2232="",$G2232=""),"",COUNTIFS(Ventes_Encaissements!$E$6:$E$3005,$B2232,Ventes_Encaissements!$J$6:$J$3005,$G2232,Ventes_Encaissements!$C$6:$C$3005,"&gt;="&amp;($C2232-3),Ventes_Encaissements!$C$6:$C$3005,"&lt;="&amp;($C2232+3)))</f>
        <v/>
      </c>
      <c r="I2232" s="12">
        <f>IF($H2232="","",IF($H2232=0,"Non trouvé",IF($H2232=1,"Match","À vérifier")))</f>
        <v/>
      </c>
      <c r="J2232" s="21">
        <f>IF($I2232&lt;&gt;"Match","",INDEX(Ventes_Encaissements!$B$6:$B$3005,_xludf.AGGREGATE(15,6,(ROW(Ventes_Encaissements!$B$6:$B$3005)-ROW(Ventes_Encaissements!$B$6)+1)/((Ventes_Encaissements!$E$6:$E$3005=$B2232)*(Ventes_Encaissements!$J$6:$J$3005=$G2232)*(Ventes_Encaissements!$C$6:$C$3005&gt;=$C2232-3)*(Ventes_Encaissements!$C$6:$C$3005&lt;=$C2232+3)),1)))</f>
        <v/>
      </c>
      <c r="K2232" s="6" t="n"/>
    </row>
    <row r="2233">
      <c r="A2233" s="6" t="n"/>
      <c r="B2233" s="6" t="n"/>
      <c r="C2233" s="19" t="n"/>
      <c r="D2233" s="19" t="n"/>
      <c r="E2233" s="6" t="n"/>
      <c r="F2233" s="20" t="n"/>
      <c r="G2233" s="9">
        <f>IF($F2233="","",IF($F2233&gt;0,ROUND($F2233,2),""))</f>
        <v/>
      </c>
      <c r="H2233" s="12">
        <f>IF(OR($B2233="",$C2233="",$G2233=""),"",COUNTIFS(Ventes_Encaissements!$E$6:$E$3005,$B2233,Ventes_Encaissements!$J$6:$J$3005,$G2233,Ventes_Encaissements!$C$6:$C$3005,"&gt;="&amp;($C2233-3),Ventes_Encaissements!$C$6:$C$3005,"&lt;="&amp;($C2233+3)))</f>
        <v/>
      </c>
      <c r="I2233" s="12">
        <f>IF($H2233="","",IF($H2233=0,"Non trouvé",IF($H2233=1,"Match","À vérifier")))</f>
        <v/>
      </c>
      <c r="J2233" s="21">
        <f>IF($I2233&lt;&gt;"Match","",INDEX(Ventes_Encaissements!$B$6:$B$3005,_xludf.AGGREGATE(15,6,(ROW(Ventes_Encaissements!$B$6:$B$3005)-ROW(Ventes_Encaissements!$B$6)+1)/((Ventes_Encaissements!$E$6:$E$3005=$B2233)*(Ventes_Encaissements!$J$6:$J$3005=$G2233)*(Ventes_Encaissements!$C$6:$C$3005&gt;=$C2233-3)*(Ventes_Encaissements!$C$6:$C$3005&lt;=$C2233+3)),1)))</f>
        <v/>
      </c>
      <c r="K2233" s="6" t="n"/>
    </row>
    <row r="2234">
      <c r="A2234" s="6" t="n"/>
      <c r="B2234" s="6" t="n"/>
      <c r="C2234" s="19" t="n"/>
      <c r="D2234" s="19" t="n"/>
      <c r="E2234" s="6" t="n"/>
      <c r="F2234" s="20" t="n"/>
      <c r="G2234" s="9">
        <f>IF($F2234="","",IF($F2234&gt;0,ROUND($F2234,2),""))</f>
        <v/>
      </c>
      <c r="H2234" s="12">
        <f>IF(OR($B2234="",$C2234="",$G2234=""),"",COUNTIFS(Ventes_Encaissements!$E$6:$E$3005,$B2234,Ventes_Encaissements!$J$6:$J$3005,$G2234,Ventes_Encaissements!$C$6:$C$3005,"&gt;="&amp;($C2234-3),Ventes_Encaissements!$C$6:$C$3005,"&lt;="&amp;($C2234+3)))</f>
        <v/>
      </c>
      <c r="I2234" s="12">
        <f>IF($H2234="","",IF($H2234=0,"Non trouvé",IF($H2234=1,"Match","À vérifier")))</f>
        <v/>
      </c>
      <c r="J2234" s="21">
        <f>IF($I2234&lt;&gt;"Match","",INDEX(Ventes_Encaissements!$B$6:$B$3005,_xludf.AGGREGATE(15,6,(ROW(Ventes_Encaissements!$B$6:$B$3005)-ROW(Ventes_Encaissements!$B$6)+1)/((Ventes_Encaissements!$E$6:$E$3005=$B2234)*(Ventes_Encaissements!$J$6:$J$3005=$G2234)*(Ventes_Encaissements!$C$6:$C$3005&gt;=$C2234-3)*(Ventes_Encaissements!$C$6:$C$3005&lt;=$C2234+3)),1)))</f>
        <v/>
      </c>
      <c r="K2234" s="6" t="n"/>
    </row>
    <row r="2235">
      <c r="A2235" s="6" t="n"/>
      <c r="B2235" s="6" t="n"/>
      <c r="C2235" s="19" t="n"/>
      <c r="D2235" s="19" t="n"/>
      <c r="E2235" s="6" t="n"/>
      <c r="F2235" s="20" t="n"/>
      <c r="G2235" s="9">
        <f>IF($F2235="","",IF($F2235&gt;0,ROUND($F2235,2),""))</f>
        <v/>
      </c>
      <c r="H2235" s="12">
        <f>IF(OR($B2235="",$C2235="",$G2235=""),"",COUNTIFS(Ventes_Encaissements!$E$6:$E$3005,$B2235,Ventes_Encaissements!$J$6:$J$3005,$G2235,Ventes_Encaissements!$C$6:$C$3005,"&gt;="&amp;($C2235-3),Ventes_Encaissements!$C$6:$C$3005,"&lt;="&amp;($C2235+3)))</f>
        <v/>
      </c>
      <c r="I2235" s="12">
        <f>IF($H2235="","",IF($H2235=0,"Non trouvé",IF($H2235=1,"Match","À vérifier")))</f>
        <v/>
      </c>
      <c r="J2235" s="21">
        <f>IF($I2235&lt;&gt;"Match","",INDEX(Ventes_Encaissements!$B$6:$B$3005,_xludf.AGGREGATE(15,6,(ROW(Ventes_Encaissements!$B$6:$B$3005)-ROW(Ventes_Encaissements!$B$6)+1)/((Ventes_Encaissements!$E$6:$E$3005=$B2235)*(Ventes_Encaissements!$J$6:$J$3005=$G2235)*(Ventes_Encaissements!$C$6:$C$3005&gt;=$C2235-3)*(Ventes_Encaissements!$C$6:$C$3005&lt;=$C2235+3)),1)))</f>
        <v/>
      </c>
      <c r="K2235" s="6" t="n"/>
    </row>
    <row r="2236">
      <c r="A2236" s="6" t="n"/>
      <c r="B2236" s="6" t="n"/>
      <c r="C2236" s="19" t="n"/>
      <c r="D2236" s="19" t="n"/>
      <c r="E2236" s="6" t="n"/>
      <c r="F2236" s="20" t="n"/>
      <c r="G2236" s="9">
        <f>IF($F2236="","",IF($F2236&gt;0,ROUND($F2236,2),""))</f>
        <v/>
      </c>
      <c r="H2236" s="12">
        <f>IF(OR($B2236="",$C2236="",$G2236=""),"",COUNTIFS(Ventes_Encaissements!$E$6:$E$3005,$B2236,Ventes_Encaissements!$J$6:$J$3005,$G2236,Ventes_Encaissements!$C$6:$C$3005,"&gt;="&amp;($C2236-3),Ventes_Encaissements!$C$6:$C$3005,"&lt;="&amp;($C2236+3)))</f>
        <v/>
      </c>
      <c r="I2236" s="12">
        <f>IF($H2236="","",IF($H2236=0,"Non trouvé",IF($H2236=1,"Match","À vérifier")))</f>
        <v/>
      </c>
      <c r="J2236" s="21">
        <f>IF($I2236&lt;&gt;"Match","",INDEX(Ventes_Encaissements!$B$6:$B$3005,_xludf.AGGREGATE(15,6,(ROW(Ventes_Encaissements!$B$6:$B$3005)-ROW(Ventes_Encaissements!$B$6)+1)/((Ventes_Encaissements!$E$6:$E$3005=$B2236)*(Ventes_Encaissements!$J$6:$J$3005=$G2236)*(Ventes_Encaissements!$C$6:$C$3005&gt;=$C2236-3)*(Ventes_Encaissements!$C$6:$C$3005&lt;=$C2236+3)),1)))</f>
        <v/>
      </c>
      <c r="K2236" s="6" t="n"/>
    </row>
    <row r="2237">
      <c r="A2237" s="6" t="n"/>
      <c r="B2237" s="6" t="n"/>
      <c r="C2237" s="19" t="n"/>
      <c r="D2237" s="19" t="n"/>
      <c r="E2237" s="6" t="n"/>
      <c r="F2237" s="20" t="n"/>
      <c r="G2237" s="9">
        <f>IF($F2237="","",IF($F2237&gt;0,ROUND($F2237,2),""))</f>
        <v/>
      </c>
      <c r="H2237" s="12">
        <f>IF(OR($B2237="",$C2237="",$G2237=""),"",COUNTIFS(Ventes_Encaissements!$E$6:$E$3005,$B2237,Ventes_Encaissements!$J$6:$J$3005,$G2237,Ventes_Encaissements!$C$6:$C$3005,"&gt;="&amp;($C2237-3),Ventes_Encaissements!$C$6:$C$3005,"&lt;="&amp;($C2237+3)))</f>
        <v/>
      </c>
      <c r="I2237" s="12">
        <f>IF($H2237="","",IF($H2237=0,"Non trouvé",IF($H2237=1,"Match","À vérifier")))</f>
        <v/>
      </c>
      <c r="J2237" s="21">
        <f>IF($I2237&lt;&gt;"Match","",INDEX(Ventes_Encaissements!$B$6:$B$3005,_xludf.AGGREGATE(15,6,(ROW(Ventes_Encaissements!$B$6:$B$3005)-ROW(Ventes_Encaissements!$B$6)+1)/((Ventes_Encaissements!$E$6:$E$3005=$B2237)*(Ventes_Encaissements!$J$6:$J$3005=$G2237)*(Ventes_Encaissements!$C$6:$C$3005&gt;=$C2237-3)*(Ventes_Encaissements!$C$6:$C$3005&lt;=$C2237+3)),1)))</f>
        <v/>
      </c>
      <c r="K2237" s="6" t="n"/>
    </row>
    <row r="2238">
      <c r="A2238" s="6" t="n"/>
      <c r="B2238" s="6" t="n"/>
      <c r="C2238" s="19" t="n"/>
      <c r="D2238" s="19" t="n"/>
      <c r="E2238" s="6" t="n"/>
      <c r="F2238" s="20" t="n"/>
      <c r="G2238" s="9">
        <f>IF($F2238="","",IF($F2238&gt;0,ROUND($F2238,2),""))</f>
        <v/>
      </c>
      <c r="H2238" s="12">
        <f>IF(OR($B2238="",$C2238="",$G2238=""),"",COUNTIFS(Ventes_Encaissements!$E$6:$E$3005,$B2238,Ventes_Encaissements!$J$6:$J$3005,$G2238,Ventes_Encaissements!$C$6:$C$3005,"&gt;="&amp;($C2238-3),Ventes_Encaissements!$C$6:$C$3005,"&lt;="&amp;($C2238+3)))</f>
        <v/>
      </c>
      <c r="I2238" s="12">
        <f>IF($H2238="","",IF($H2238=0,"Non trouvé",IF($H2238=1,"Match","À vérifier")))</f>
        <v/>
      </c>
      <c r="J2238" s="21">
        <f>IF($I2238&lt;&gt;"Match","",INDEX(Ventes_Encaissements!$B$6:$B$3005,_xludf.AGGREGATE(15,6,(ROW(Ventes_Encaissements!$B$6:$B$3005)-ROW(Ventes_Encaissements!$B$6)+1)/((Ventes_Encaissements!$E$6:$E$3005=$B2238)*(Ventes_Encaissements!$J$6:$J$3005=$G2238)*(Ventes_Encaissements!$C$6:$C$3005&gt;=$C2238-3)*(Ventes_Encaissements!$C$6:$C$3005&lt;=$C2238+3)),1)))</f>
        <v/>
      </c>
      <c r="K2238" s="6" t="n"/>
    </row>
    <row r="2239">
      <c r="A2239" s="6" t="n"/>
      <c r="B2239" s="6" t="n"/>
      <c r="C2239" s="19" t="n"/>
      <c r="D2239" s="19" t="n"/>
      <c r="E2239" s="6" t="n"/>
      <c r="F2239" s="20" t="n"/>
      <c r="G2239" s="9">
        <f>IF($F2239="","",IF($F2239&gt;0,ROUND($F2239,2),""))</f>
        <v/>
      </c>
      <c r="H2239" s="12">
        <f>IF(OR($B2239="",$C2239="",$G2239=""),"",COUNTIFS(Ventes_Encaissements!$E$6:$E$3005,$B2239,Ventes_Encaissements!$J$6:$J$3005,$G2239,Ventes_Encaissements!$C$6:$C$3005,"&gt;="&amp;($C2239-3),Ventes_Encaissements!$C$6:$C$3005,"&lt;="&amp;($C2239+3)))</f>
        <v/>
      </c>
      <c r="I2239" s="12">
        <f>IF($H2239="","",IF($H2239=0,"Non trouvé",IF($H2239=1,"Match","À vérifier")))</f>
        <v/>
      </c>
      <c r="J2239" s="21">
        <f>IF($I2239&lt;&gt;"Match","",INDEX(Ventes_Encaissements!$B$6:$B$3005,_xludf.AGGREGATE(15,6,(ROW(Ventes_Encaissements!$B$6:$B$3005)-ROW(Ventes_Encaissements!$B$6)+1)/((Ventes_Encaissements!$E$6:$E$3005=$B2239)*(Ventes_Encaissements!$J$6:$J$3005=$G2239)*(Ventes_Encaissements!$C$6:$C$3005&gt;=$C2239-3)*(Ventes_Encaissements!$C$6:$C$3005&lt;=$C2239+3)),1)))</f>
        <v/>
      </c>
      <c r="K2239" s="6" t="n"/>
    </row>
    <row r="2240">
      <c r="A2240" s="6" t="n"/>
      <c r="B2240" s="6" t="n"/>
      <c r="C2240" s="19" t="n"/>
      <c r="D2240" s="19" t="n"/>
      <c r="E2240" s="6" t="n"/>
      <c r="F2240" s="20" t="n"/>
      <c r="G2240" s="9">
        <f>IF($F2240="","",IF($F2240&gt;0,ROUND($F2240,2),""))</f>
        <v/>
      </c>
      <c r="H2240" s="12">
        <f>IF(OR($B2240="",$C2240="",$G2240=""),"",COUNTIFS(Ventes_Encaissements!$E$6:$E$3005,$B2240,Ventes_Encaissements!$J$6:$J$3005,$G2240,Ventes_Encaissements!$C$6:$C$3005,"&gt;="&amp;($C2240-3),Ventes_Encaissements!$C$6:$C$3005,"&lt;="&amp;($C2240+3)))</f>
        <v/>
      </c>
      <c r="I2240" s="12">
        <f>IF($H2240="","",IF($H2240=0,"Non trouvé",IF($H2240=1,"Match","À vérifier")))</f>
        <v/>
      </c>
      <c r="J2240" s="21">
        <f>IF($I2240&lt;&gt;"Match","",INDEX(Ventes_Encaissements!$B$6:$B$3005,_xludf.AGGREGATE(15,6,(ROW(Ventes_Encaissements!$B$6:$B$3005)-ROW(Ventes_Encaissements!$B$6)+1)/((Ventes_Encaissements!$E$6:$E$3005=$B2240)*(Ventes_Encaissements!$J$6:$J$3005=$G2240)*(Ventes_Encaissements!$C$6:$C$3005&gt;=$C2240-3)*(Ventes_Encaissements!$C$6:$C$3005&lt;=$C2240+3)),1)))</f>
        <v/>
      </c>
      <c r="K2240" s="6" t="n"/>
    </row>
    <row r="2241">
      <c r="A2241" s="6" t="n"/>
      <c r="B2241" s="6" t="n"/>
      <c r="C2241" s="19" t="n"/>
      <c r="D2241" s="19" t="n"/>
      <c r="E2241" s="6" t="n"/>
      <c r="F2241" s="20" t="n"/>
      <c r="G2241" s="9">
        <f>IF($F2241="","",IF($F2241&gt;0,ROUND($F2241,2),""))</f>
        <v/>
      </c>
      <c r="H2241" s="12">
        <f>IF(OR($B2241="",$C2241="",$G2241=""),"",COUNTIFS(Ventes_Encaissements!$E$6:$E$3005,$B2241,Ventes_Encaissements!$J$6:$J$3005,$G2241,Ventes_Encaissements!$C$6:$C$3005,"&gt;="&amp;($C2241-3),Ventes_Encaissements!$C$6:$C$3005,"&lt;="&amp;($C2241+3)))</f>
        <v/>
      </c>
      <c r="I2241" s="12">
        <f>IF($H2241="","",IF($H2241=0,"Non trouvé",IF($H2241=1,"Match","À vérifier")))</f>
        <v/>
      </c>
      <c r="J2241" s="21">
        <f>IF($I2241&lt;&gt;"Match","",INDEX(Ventes_Encaissements!$B$6:$B$3005,_xludf.AGGREGATE(15,6,(ROW(Ventes_Encaissements!$B$6:$B$3005)-ROW(Ventes_Encaissements!$B$6)+1)/((Ventes_Encaissements!$E$6:$E$3005=$B2241)*(Ventes_Encaissements!$J$6:$J$3005=$G2241)*(Ventes_Encaissements!$C$6:$C$3005&gt;=$C2241-3)*(Ventes_Encaissements!$C$6:$C$3005&lt;=$C2241+3)),1)))</f>
        <v/>
      </c>
      <c r="K2241" s="6" t="n"/>
    </row>
    <row r="2242">
      <c r="A2242" s="6" t="n"/>
      <c r="B2242" s="6" t="n"/>
      <c r="C2242" s="19" t="n"/>
      <c r="D2242" s="19" t="n"/>
      <c r="E2242" s="6" t="n"/>
      <c r="F2242" s="20" t="n"/>
      <c r="G2242" s="9">
        <f>IF($F2242="","",IF($F2242&gt;0,ROUND($F2242,2),""))</f>
        <v/>
      </c>
      <c r="H2242" s="12">
        <f>IF(OR($B2242="",$C2242="",$G2242=""),"",COUNTIFS(Ventes_Encaissements!$E$6:$E$3005,$B2242,Ventes_Encaissements!$J$6:$J$3005,$G2242,Ventes_Encaissements!$C$6:$C$3005,"&gt;="&amp;($C2242-3),Ventes_Encaissements!$C$6:$C$3005,"&lt;="&amp;($C2242+3)))</f>
        <v/>
      </c>
      <c r="I2242" s="12">
        <f>IF($H2242="","",IF($H2242=0,"Non trouvé",IF($H2242=1,"Match","À vérifier")))</f>
        <v/>
      </c>
      <c r="J2242" s="21">
        <f>IF($I2242&lt;&gt;"Match","",INDEX(Ventes_Encaissements!$B$6:$B$3005,_xludf.AGGREGATE(15,6,(ROW(Ventes_Encaissements!$B$6:$B$3005)-ROW(Ventes_Encaissements!$B$6)+1)/((Ventes_Encaissements!$E$6:$E$3005=$B2242)*(Ventes_Encaissements!$J$6:$J$3005=$G2242)*(Ventes_Encaissements!$C$6:$C$3005&gt;=$C2242-3)*(Ventes_Encaissements!$C$6:$C$3005&lt;=$C2242+3)),1)))</f>
        <v/>
      </c>
      <c r="K2242" s="6" t="n"/>
    </row>
    <row r="2243">
      <c r="A2243" s="6" t="n"/>
      <c r="B2243" s="6" t="n"/>
      <c r="C2243" s="19" t="n"/>
      <c r="D2243" s="19" t="n"/>
      <c r="E2243" s="6" t="n"/>
      <c r="F2243" s="20" t="n"/>
      <c r="G2243" s="9">
        <f>IF($F2243="","",IF($F2243&gt;0,ROUND($F2243,2),""))</f>
        <v/>
      </c>
      <c r="H2243" s="12">
        <f>IF(OR($B2243="",$C2243="",$G2243=""),"",COUNTIFS(Ventes_Encaissements!$E$6:$E$3005,$B2243,Ventes_Encaissements!$J$6:$J$3005,$G2243,Ventes_Encaissements!$C$6:$C$3005,"&gt;="&amp;($C2243-3),Ventes_Encaissements!$C$6:$C$3005,"&lt;="&amp;($C2243+3)))</f>
        <v/>
      </c>
      <c r="I2243" s="12">
        <f>IF($H2243="","",IF($H2243=0,"Non trouvé",IF($H2243=1,"Match","À vérifier")))</f>
        <v/>
      </c>
      <c r="J2243" s="21">
        <f>IF($I2243&lt;&gt;"Match","",INDEX(Ventes_Encaissements!$B$6:$B$3005,_xludf.AGGREGATE(15,6,(ROW(Ventes_Encaissements!$B$6:$B$3005)-ROW(Ventes_Encaissements!$B$6)+1)/((Ventes_Encaissements!$E$6:$E$3005=$B2243)*(Ventes_Encaissements!$J$6:$J$3005=$G2243)*(Ventes_Encaissements!$C$6:$C$3005&gt;=$C2243-3)*(Ventes_Encaissements!$C$6:$C$3005&lt;=$C2243+3)),1)))</f>
        <v/>
      </c>
      <c r="K2243" s="6" t="n"/>
    </row>
    <row r="2244">
      <c r="A2244" s="6" t="n"/>
      <c r="B2244" s="6" t="n"/>
      <c r="C2244" s="19" t="n"/>
      <c r="D2244" s="19" t="n"/>
      <c r="E2244" s="6" t="n"/>
      <c r="F2244" s="20" t="n"/>
      <c r="G2244" s="9">
        <f>IF($F2244="","",IF($F2244&gt;0,ROUND($F2244,2),""))</f>
        <v/>
      </c>
      <c r="H2244" s="12">
        <f>IF(OR($B2244="",$C2244="",$G2244=""),"",COUNTIFS(Ventes_Encaissements!$E$6:$E$3005,$B2244,Ventes_Encaissements!$J$6:$J$3005,$G2244,Ventes_Encaissements!$C$6:$C$3005,"&gt;="&amp;($C2244-3),Ventes_Encaissements!$C$6:$C$3005,"&lt;="&amp;($C2244+3)))</f>
        <v/>
      </c>
      <c r="I2244" s="12">
        <f>IF($H2244="","",IF($H2244=0,"Non trouvé",IF($H2244=1,"Match","À vérifier")))</f>
        <v/>
      </c>
      <c r="J2244" s="21">
        <f>IF($I2244&lt;&gt;"Match","",INDEX(Ventes_Encaissements!$B$6:$B$3005,_xludf.AGGREGATE(15,6,(ROW(Ventes_Encaissements!$B$6:$B$3005)-ROW(Ventes_Encaissements!$B$6)+1)/((Ventes_Encaissements!$E$6:$E$3005=$B2244)*(Ventes_Encaissements!$J$6:$J$3005=$G2244)*(Ventes_Encaissements!$C$6:$C$3005&gt;=$C2244-3)*(Ventes_Encaissements!$C$6:$C$3005&lt;=$C2244+3)),1)))</f>
        <v/>
      </c>
      <c r="K2244" s="6" t="n"/>
    </row>
    <row r="2245">
      <c r="A2245" s="6" t="n"/>
      <c r="B2245" s="6" t="n"/>
      <c r="C2245" s="19" t="n"/>
      <c r="D2245" s="19" t="n"/>
      <c r="E2245" s="6" t="n"/>
      <c r="F2245" s="20" t="n"/>
      <c r="G2245" s="9">
        <f>IF($F2245="","",IF($F2245&gt;0,ROUND($F2245,2),""))</f>
        <v/>
      </c>
      <c r="H2245" s="12">
        <f>IF(OR($B2245="",$C2245="",$G2245=""),"",COUNTIFS(Ventes_Encaissements!$E$6:$E$3005,$B2245,Ventes_Encaissements!$J$6:$J$3005,$G2245,Ventes_Encaissements!$C$6:$C$3005,"&gt;="&amp;($C2245-3),Ventes_Encaissements!$C$6:$C$3005,"&lt;="&amp;($C2245+3)))</f>
        <v/>
      </c>
      <c r="I2245" s="12">
        <f>IF($H2245="","",IF($H2245=0,"Non trouvé",IF($H2245=1,"Match","À vérifier")))</f>
        <v/>
      </c>
      <c r="J2245" s="21">
        <f>IF($I2245&lt;&gt;"Match","",INDEX(Ventes_Encaissements!$B$6:$B$3005,_xludf.AGGREGATE(15,6,(ROW(Ventes_Encaissements!$B$6:$B$3005)-ROW(Ventes_Encaissements!$B$6)+1)/((Ventes_Encaissements!$E$6:$E$3005=$B2245)*(Ventes_Encaissements!$J$6:$J$3005=$G2245)*(Ventes_Encaissements!$C$6:$C$3005&gt;=$C2245-3)*(Ventes_Encaissements!$C$6:$C$3005&lt;=$C2245+3)),1)))</f>
        <v/>
      </c>
      <c r="K2245" s="6" t="n"/>
    </row>
    <row r="2246">
      <c r="A2246" s="6" t="n"/>
      <c r="B2246" s="6" t="n"/>
      <c r="C2246" s="19" t="n"/>
      <c r="D2246" s="19" t="n"/>
      <c r="E2246" s="6" t="n"/>
      <c r="F2246" s="20" t="n"/>
      <c r="G2246" s="9">
        <f>IF($F2246="","",IF($F2246&gt;0,ROUND($F2246,2),""))</f>
        <v/>
      </c>
      <c r="H2246" s="12">
        <f>IF(OR($B2246="",$C2246="",$G2246=""),"",COUNTIFS(Ventes_Encaissements!$E$6:$E$3005,$B2246,Ventes_Encaissements!$J$6:$J$3005,$G2246,Ventes_Encaissements!$C$6:$C$3005,"&gt;="&amp;($C2246-3),Ventes_Encaissements!$C$6:$C$3005,"&lt;="&amp;($C2246+3)))</f>
        <v/>
      </c>
      <c r="I2246" s="12">
        <f>IF($H2246="","",IF($H2246=0,"Non trouvé",IF($H2246=1,"Match","À vérifier")))</f>
        <v/>
      </c>
      <c r="J2246" s="21">
        <f>IF($I2246&lt;&gt;"Match","",INDEX(Ventes_Encaissements!$B$6:$B$3005,_xludf.AGGREGATE(15,6,(ROW(Ventes_Encaissements!$B$6:$B$3005)-ROW(Ventes_Encaissements!$B$6)+1)/((Ventes_Encaissements!$E$6:$E$3005=$B2246)*(Ventes_Encaissements!$J$6:$J$3005=$G2246)*(Ventes_Encaissements!$C$6:$C$3005&gt;=$C2246-3)*(Ventes_Encaissements!$C$6:$C$3005&lt;=$C2246+3)),1)))</f>
        <v/>
      </c>
      <c r="K2246" s="6" t="n"/>
    </row>
    <row r="2247">
      <c r="A2247" s="6" t="n"/>
      <c r="B2247" s="6" t="n"/>
      <c r="C2247" s="19" t="n"/>
      <c r="D2247" s="19" t="n"/>
      <c r="E2247" s="6" t="n"/>
      <c r="F2247" s="20" t="n"/>
      <c r="G2247" s="9">
        <f>IF($F2247="","",IF($F2247&gt;0,ROUND($F2247,2),""))</f>
        <v/>
      </c>
      <c r="H2247" s="12">
        <f>IF(OR($B2247="",$C2247="",$G2247=""),"",COUNTIFS(Ventes_Encaissements!$E$6:$E$3005,$B2247,Ventes_Encaissements!$J$6:$J$3005,$G2247,Ventes_Encaissements!$C$6:$C$3005,"&gt;="&amp;($C2247-3),Ventes_Encaissements!$C$6:$C$3005,"&lt;="&amp;($C2247+3)))</f>
        <v/>
      </c>
      <c r="I2247" s="12">
        <f>IF($H2247="","",IF($H2247=0,"Non trouvé",IF($H2247=1,"Match","À vérifier")))</f>
        <v/>
      </c>
      <c r="J2247" s="21">
        <f>IF($I2247&lt;&gt;"Match","",INDEX(Ventes_Encaissements!$B$6:$B$3005,_xludf.AGGREGATE(15,6,(ROW(Ventes_Encaissements!$B$6:$B$3005)-ROW(Ventes_Encaissements!$B$6)+1)/((Ventes_Encaissements!$E$6:$E$3005=$B2247)*(Ventes_Encaissements!$J$6:$J$3005=$G2247)*(Ventes_Encaissements!$C$6:$C$3005&gt;=$C2247-3)*(Ventes_Encaissements!$C$6:$C$3005&lt;=$C2247+3)),1)))</f>
        <v/>
      </c>
      <c r="K2247" s="6" t="n"/>
    </row>
    <row r="2248">
      <c r="A2248" s="6" t="n"/>
      <c r="B2248" s="6" t="n"/>
      <c r="C2248" s="19" t="n"/>
      <c r="D2248" s="19" t="n"/>
      <c r="E2248" s="6" t="n"/>
      <c r="F2248" s="20" t="n"/>
      <c r="G2248" s="9">
        <f>IF($F2248="","",IF($F2248&gt;0,ROUND($F2248,2),""))</f>
        <v/>
      </c>
      <c r="H2248" s="12">
        <f>IF(OR($B2248="",$C2248="",$G2248=""),"",COUNTIFS(Ventes_Encaissements!$E$6:$E$3005,$B2248,Ventes_Encaissements!$J$6:$J$3005,$G2248,Ventes_Encaissements!$C$6:$C$3005,"&gt;="&amp;($C2248-3),Ventes_Encaissements!$C$6:$C$3005,"&lt;="&amp;($C2248+3)))</f>
        <v/>
      </c>
      <c r="I2248" s="12">
        <f>IF($H2248="","",IF($H2248=0,"Non trouvé",IF($H2248=1,"Match","À vérifier")))</f>
        <v/>
      </c>
      <c r="J2248" s="21">
        <f>IF($I2248&lt;&gt;"Match","",INDEX(Ventes_Encaissements!$B$6:$B$3005,_xludf.AGGREGATE(15,6,(ROW(Ventes_Encaissements!$B$6:$B$3005)-ROW(Ventes_Encaissements!$B$6)+1)/((Ventes_Encaissements!$E$6:$E$3005=$B2248)*(Ventes_Encaissements!$J$6:$J$3005=$G2248)*(Ventes_Encaissements!$C$6:$C$3005&gt;=$C2248-3)*(Ventes_Encaissements!$C$6:$C$3005&lt;=$C2248+3)),1)))</f>
        <v/>
      </c>
      <c r="K2248" s="6" t="n"/>
    </row>
    <row r="2249">
      <c r="A2249" s="6" t="n"/>
      <c r="B2249" s="6" t="n"/>
      <c r="C2249" s="19" t="n"/>
      <c r="D2249" s="19" t="n"/>
      <c r="E2249" s="6" t="n"/>
      <c r="F2249" s="20" t="n"/>
      <c r="G2249" s="9">
        <f>IF($F2249="","",IF($F2249&gt;0,ROUND($F2249,2),""))</f>
        <v/>
      </c>
      <c r="H2249" s="12">
        <f>IF(OR($B2249="",$C2249="",$G2249=""),"",COUNTIFS(Ventes_Encaissements!$E$6:$E$3005,$B2249,Ventes_Encaissements!$J$6:$J$3005,$G2249,Ventes_Encaissements!$C$6:$C$3005,"&gt;="&amp;($C2249-3),Ventes_Encaissements!$C$6:$C$3005,"&lt;="&amp;($C2249+3)))</f>
        <v/>
      </c>
      <c r="I2249" s="12">
        <f>IF($H2249="","",IF($H2249=0,"Non trouvé",IF($H2249=1,"Match","À vérifier")))</f>
        <v/>
      </c>
      <c r="J2249" s="21">
        <f>IF($I2249&lt;&gt;"Match","",INDEX(Ventes_Encaissements!$B$6:$B$3005,_xludf.AGGREGATE(15,6,(ROW(Ventes_Encaissements!$B$6:$B$3005)-ROW(Ventes_Encaissements!$B$6)+1)/((Ventes_Encaissements!$E$6:$E$3005=$B2249)*(Ventes_Encaissements!$J$6:$J$3005=$G2249)*(Ventes_Encaissements!$C$6:$C$3005&gt;=$C2249-3)*(Ventes_Encaissements!$C$6:$C$3005&lt;=$C2249+3)),1)))</f>
        <v/>
      </c>
      <c r="K2249" s="6" t="n"/>
    </row>
    <row r="2250">
      <c r="A2250" s="6" t="n"/>
      <c r="B2250" s="6" t="n"/>
      <c r="C2250" s="19" t="n"/>
      <c r="D2250" s="19" t="n"/>
      <c r="E2250" s="6" t="n"/>
      <c r="F2250" s="20" t="n"/>
      <c r="G2250" s="9">
        <f>IF($F2250="","",IF($F2250&gt;0,ROUND($F2250,2),""))</f>
        <v/>
      </c>
      <c r="H2250" s="12">
        <f>IF(OR($B2250="",$C2250="",$G2250=""),"",COUNTIFS(Ventes_Encaissements!$E$6:$E$3005,$B2250,Ventes_Encaissements!$J$6:$J$3005,$G2250,Ventes_Encaissements!$C$6:$C$3005,"&gt;="&amp;($C2250-3),Ventes_Encaissements!$C$6:$C$3005,"&lt;="&amp;($C2250+3)))</f>
        <v/>
      </c>
      <c r="I2250" s="12">
        <f>IF($H2250="","",IF($H2250=0,"Non trouvé",IF($H2250=1,"Match","À vérifier")))</f>
        <v/>
      </c>
      <c r="J2250" s="21">
        <f>IF($I2250&lt;&gt;"Match","",INDEX(Ventes_Encaissements!$B$6:$B$3005,_xludf.AGGREGATE(15,6,(ROW(Ventes_Encaissements!$B$6:$B$3005)-ROW(Ventes_Encaissements!$B$6)+1)/((Ventes_Encaissements!$E$6:$E$3005=$B2250)*(Ventes_Encaissements!$J$6:$J$3005=$G2250)*(Ventes_Encaissements!$C$6:$C$3005&gt;=$C2250-3)*(Ventes_Encaissements!$C$6:$C$3005&lt;=$C2250+3)),1)))</f>
        <v/>
      </c>
      <c r="K2250" s="6" t="n"/>
    </row>
    <row r="2251">
      <c r="A2251" s="6" t="n"/>
      <c r="B2251" s="6" t="n"/>
      <c r="C2251" s="19" t="n"/>
      <c r="D2251" s="19" t="n"/>
      <c r="E2251" s="6" t="n"/>
      <c r="F2251" s="20" t="n"/>
      <c r="G2251" s="9">
        <f>IF($F2251="","",IF($F2251&gt;0,ROUND($F2251,2),""))</f>
        <v/>
      </c>
      <c r="H2251" s="12">
        <f>IF(OR($B2251="",$C2251="",$G2251=""),"",COUNTIFS(Ventes_Encaissements!$E$6:$E$3005,$B2251,Ventes_Encaissements!$J$6:$J$3005,$G2251,Ventes_Encaissements!$C$6:$C$3005,"&gt;="&amp;($C2251-3),Ventes_Encaissements!$C$6:$C$3005,"&lt;="&amp;($C2251+3)))</f>
        <v/>
      </c>
      <c r="I2251" s="12">
        <f>IF($H2251="","",IF($H2251=0,"Non trouvé",IF($H2251=1,"Match","À vérifier")))</f>
        <v/>
      </c>
      <c r="J2251" s="21">
        <f>IF($I2251&lt;&gt;"Match","",INDEX(Ventes_Encaissements!$B$6:$B$3005,_xludf.AGGREGATE(15,6,(ROW(Ventes_Encaissements!$B$6:$B$3005)-ROW(Ventes_Encaissements!$B$6)+1)/((Ventes_Encaissements!$E$6:$E$3005=$B2251)*(Ventes_Encaissements!$J$6:$J$3005=$G2251)*(Ventes_Encaissements!$C$6:$C$3005&gt;=$C2251-3)*(Ventes_Encaissements!$C$6:$C$3005&lt;=$C2251+3)),1)))</f>
        <v/>
      </c>
      <c r="K2251" s="6" t="n"/>
    </row>
    <row r="2252">
      <c r="A2252" s="6" t="n"/>
      <c r="B2252" s="6" t="n"/>
      <c r="C2252" s="19" t="n"/>
      <c r="D2252" s="19" t="n"/>
      <c r="E2252" s="6" t="n"/>
      <c r="F2252" s="20" t="n"/>
      <c r="G2252" s="9">
        <f>IF($F2252="","",IF($F2252&gt;0,ROUND($F2252,2),""))</f>
        <v/>
      </c>
      <c r="H2252" s="12">
        <f>IF(OR($B2252="",$C2252="",$G2252=""),"",COUNTIFS(Ventes_Encaissements!$E$6:$E$3005,$B2252,Ventes_Encaissements!$J$6:$J$3005,$G2252,Ventes_Encaissements!$C$6:$C$3005,"&gt;="&amp;($C2252-3),Ventes_Encaissements!$C$6:$C$3005,"&lt;="&amp;($C2252+3)))</f>
        <v/>
      </c>
      <c r="I2252" s="12">
        <f>IF($H2252="","",IF($H2252=0,"Non trouvé",IF($H2252=1,"Match","À vérifier")))</f>
        <v/>
      </c>
      <c r="J2252" s="21">
        <f>IF($I2252&lt;&gt;"Match","",INDEX(Ventes_Encaissements!$B$6:$B$3005,_xludf.AGGREGATE(15,6,(ROW(Ventes_Encaissements!$B$6:$B$3005)-ROW(Ventes_Encaissements!$B$6)+1)/((Ventes_Encaissements!$E$6:$E$3005=$B2252)*(Ventes_Encaissements!$J$6:$J$3005=$G2252)*(Ventes_Encaissements!$C$6:$C$3005&gt;=$C2252-3)*(Ventes_Encaissements!$C$6:$C$3005&lt;=$C2252+3)),1)))</f>
        <v/>
      </c>
      <c r="K2252" s="6" t="n"/>
    </row>
    <row r="2253">
      <c r="A2253" s="6" t="n"/>
      <c r="B2253" s="6" t="n"/>
      <c r="C2253" s="19" t="n"/>
      <c r="D2253" s="19" t="n"/>
      <c r="E2253" s="6" t="n"/>
      <c r="F2253" s="20" t="n"/>
      <c r="G2253" s="9">
        <f>IF($F2253="","",IF($F2253&gt;0,ROUND($F2253,2),""))</f>
        <v/>
      </c>
      <c r="H2253" s="12">
        <f>IF(OR($B2253="",$C2253="",$G2253=""),"",COUNTIFS(Ventes_Encaissements!$E$6:$E$3005,$B2253,Ventes_Encaissements!$J$6:$J$3005,$G2253,Ventes_Encaissements!$C$6:$C$3005,"&gt;="&amp;($C2253-3),Ventes_Encaissements!$C$6:$C$3005,"&lt;="&amp;($C2253+3)))</f>
        <v/>
      </c>
      <c r="I2253" s="12">
        <f>IF($H2253="","",IF($H2253=0,"Non trouvé",IF($H2253=1,"Match","À vérifier")))</f>
        <v/>
      </c>
      <c r="J2253" s="21">
        <f>IF($I2253&lt;&gt;"Match","",INDEX(Ventes_Encaissements!$B$6:$B$3005,_xludf.AGGREGATE(15,6,(ROW(Ventes_Encaissements!$B$6:$B$3005)-ROW(Ventes_Encaissements!$B$6)+1)/((Ventes_Encaissements!$E$6:$E$3005=$B2253)*(Ventes_Encaissements!$J$6:$J$3005=$G2253)*(Ventes_Encaissements!$C$6:$C$3005&gt;=$C2253-3)*(Ventes_Encaissements!$C$6:$C$3005&lt;=$C2253+3)),1)))</f>
        <v/>
      </c>
      <c r="K2253" s="6" t="n"/>
    </row>
    <row r="2254">
      <c r="A2254" s="6" t="n"/>
      <c r="B2254" s="6" t="n"/>
      <c r="C2254" s="19" t="n"/>
      <c r="D2254" s="19" t="n"/>
      <c r="E2254" s="6" t="n"/>
      <c r="F2254" s="20" t="n"/>
      <c r="G2254" s="9">
        <f>IF($F2254="","",IF($F2254&gt;0,ROUND($F2254,2),""))</f>
        <v/>
      </c>
      <c r="H2254" s="12">
        <f>IF(OR($B2254="",$C2254="",$G2254=""),"",COUNTIFS(Ventes_Encaissements!$E$6:$E$3005,$B2254,Ventes_Encaissements!$J$6:$J$3005,$G2254,Ventes_Encaissements!$C$6:$C$3005,"&gt;="&amp;($C2254-3),Ventes_Encaissements!$C$6:$C$3005,"&lt;="&amp;($C2254+3)))</f>
        <v/>
      </c>
      <c r="I2254" s="12">
        <f>IF($H2254="","",IF($H2254=0,"Non trouvé",IF($H2254=1,"Match","À vérifier")))</f>
        <v/>
      </c>
      <c r="J2254" s="21">
        <f>IF($I2254&lt;&gt;"Match","",INDEX(Ventes_Encaissements!$B$6:$B$3005,_xludf.AGGREGATE(15,6,(ROW(Ventes_Encaissements!$B$6:$B$3005)-ROW(Ventes_Encaissements!$B$6)+1)/((Ventes_Encaissements!$E$6:$E$3005=$B2254)*(Ventes_Encaissements!$J$6:$J$3005=$G2254)*(Ventes_Encaissements!$C$6:$C$3005&gt;=$C2254-3)*(Ventes_Encaissements!$C$6:$C$3005&lt;=$C2254+3)),1)))</f>
        <v/>
      </c>
      <c r="K2254" s="6" t="n"/>
    </row>
    <row r="2255">
      <c r="A2255" s="6" t="n"/>
      <c r="B2255" s="6" t="n"/>
      <c r="C2255" s="19" t="n"/>
      <c r="D2255" s="19" t="n"/>
      <c r="E2255" s="6" t="n"/>
      <c r="F2255" s="20" t="n"/>
      <c r="G2255" s="9">
        <f>IF($F2255="","",IF($F2255&gt;0,ROUND($F2255,2),""))</f>
        <v/>
      </c>
      <c r="H2255" s="12">
        <f>IF(OR($B2255="",$C2255="",$G2255=""),"",COUNTIFS(Ventes_Encaissements!$E$6:$E$3005,$B2255,Ventes_Encaissements!$J$6:$J$3005,$G2255,Ventes_Encaissements!$C$6:$C$3005,"&gt;="&amp;($C2255-3),Ventes_Encaissements!$C$6:$C$3005,"&lt;="&amp;($C2255+3)))</f>
        <v/>
      </c>
      <c r="I2255" s="12">
        <f>IF($H2255="","",IF($H2255=0,"Non trouvé",IF($H2255=1,"Match","À vérifier")))</f>
        <v/>
      </c>
      <c r="J2255" s="21">
        <f>IF($I2255&lt;&gt;"Match","",INDEX(Ventes_Encaissements!$B$6:$B$3005,_xludf.AGGREGATE(15,6,(ROW(Ventes_Encaissements!$B$6:$B$3005)-ROW(Ventes_Encaissements!$B$6)+1)/((Ventes_Encaissements!$E$6:$E$3005=$B2255)*(Ventes_Encaissements!$J$6:$J$3005=$G2255)*(Ventes_Encaissements!$C$6:$C$3005&gt;=$C2255-3)*(Ventes_Encaissements!$C$6:$C$3005&lt;=$C2255+3)),1)))</f>
        <v/>
      </c>
      <c r="K2255" s="6" t="n"/>
    </row>
    <row r="2256">
      <c r="A2256" s="6" t="n"/>
      <c r="B2256" s="6" t="n"/>
      <c r="C2256" s="19" t="n"/>
      <c r="D2256" s="19" t="n"/>
      <c r="E2256" s="6" t="n"/>
      <c r="F2256" s="20" t="n"/>
      <c r="G2256" s="9">
        <f>IF($F2256="","",IF($F2256&gt;0,ROUND($F2256,2),""))</f>
        <v/>
      </c>
      <c r="H2256" s="12">
        <f>IF(OR($B2256="",$C2256="",$G2256=""),"",COUNTIFS(Ventes_Encaissements!$E$6:$E$3005,$B2256,Ventes_Encaissements!$J$6:$J$3005,$G2256,Ventes_Encaissements!$C$6:$C$3005,"&gt;="&amp;($C2256-3),Ventes_Encaissements!$C$6:$C$3005,"&lt;="&amp;($C2256+3)))</f>
        <v/>
      </c>
      <c r="I2256" s="12">
        <f>IF($H2256="","",IF($H2256=0,"Non trouvé",IF($H2256=1,"Match","À vérifier")))</f>
        <v/>
      </c>
      <c r="J2256" s="21">
        <f>IF($I2256&lt;&gt;"Match","",INDEX(Ventes_Encaissements!$B$6:$B$3005,_xludf.AGGREGATE(15,6,(ROW(Ventes_Encaissements!$B$6:$B$3005)-ROW(Ventes_Encaissements!$B$6)+1)/((Ventes_Encaissements!$E$6:$E$3005=$B2256)*(Ventes_Encaissements!$J$6:$J$3005=$G2256)*(Ventes_Encaissements!$C$6:$C$3005&gt;=$C2256-3)*(Ventes_Encaissements!$C$6:$C$3005&lt;=$C2256+3)),1)))</f>
        <v/>
      </c>
      <c r="K2256" s="6" t="n"/>
    </row>
    <row r="2257">
      <c r="A2257" s="6" t="n"/>
      <c r="B2257" s="6" t="n"/>
      <c r="C2257" s="19" t="n"/>
      <c r="D2257" s="19" t="n"/>
      <c r="E2257" s="6" t="n"/>
      <c r="F2257" s="20" t="n"/>
      <c r="G2257" s="9">
        <f>IF($F2257="","",IF($F2257&gt;0,ROUND($F2257,2),""))</f>
        <v/>
      </c>
      <c r="H2257" s="12">
        <f>IF(OR($B2257="",$C2257="",$G2257=""),"",COUNTIFS(Ventes_Encaissements!$E$6:$E$3005,$B2257,Ventes_Encaissements!$J$6:$J$3005,$G2257,Ventes_Encaissements!$C$6:$C$3005,"&gt;="&amp;($C2257-3),Ventes_Encaissements!$C$6:$C$3005,"&lt;="&amp;($C2257+3)))</f>
        <v/>
      </c>
      <c r="I2257" s="12">
        <f>IF($H2257="","",IF($H2257=0,"Non trouvé",IF($H2257=1,"Match","À vérifier")))</f>
        <v/>
      </c>
      <c r="J2257" s="21">
        <f>IF($I2257&lt;&gt;"Match","",INDEX(Ventes_Encaissements!$B$6:$B$3005,_xludf.AGGREGATE(15,6,(ROW(Ventes_Encaissements!$B$6:$B$3005)-ROW(Ventes_Encaissements!$B$6)+1)/((Ventes_Encaissements!$E$6:$E$3005=$B2257)*(Ventes_Encaissements!$J$6:$J$3005=$G2257)*(Ventes_Encaissements!$C$6:$C$3005&gt;=$C2257-3)*(Ventes_Encaissements!$C$6:$C$3005&lt;=$C2257+3)),1)))</f>
        <v/>
      </c>
      <c r="K2257" s="6" t="n"/>
    </row>
    <row r="2258">
      <c r="A2258" s="6" t="n"/>
      <c r="B2258" s="6" t="n"/>
      <c r="C2258" s="19" t="n"/>
      <c r="D2258" s="19" t="n"/>
      <c r="E2258" s="6" t="n"/>
      <c r="F2258" s="20" t="n"/>
      <c r="G2258" s="9">
        <f>IF($F2258="","",IF($F2258&gt;0,ROUND($F2258,2),""))</f>
        <v/>
      </c>
      <c r="H2258" s="12">
        <f>IF(OR($B2258="",$C2258="",$G2258=""),"",COUNTIFS(Ventes_Encaissements!$E$6:$E$3005,$B2258,Ventes_Encaissements!$J$6:$J$3005,$G2258,Ventes_Encaissements!$C$6:$C$3005,"&gt;="&amp;($C2258-3),Ventes_Encaissements!$C$6:$C$3005,"&lt;="&amp;($C2258+3)))</f>
        <v/>
      </c>
      <c r="I2258" s="12">
        <f>IF($H2258="","",IF($H2258=0,"Non trouvé",IF($H2258=1,"Match","À vérifier")))</f>
        <v/>
      </c>
      <c r="J2258" s="21">
        <f>IF($I2258&lt;&gt;"Match","",INDEX(Ventes_Encaissements!$B$6:$B$3005,_xludf.AGGREGATE(15,6,(ROW(Ventes_Encaissements!$B$6:$B$3005)-ROW(Ventes_Encaissements!$B$6)+1)/((Ventes_Encaissements!$E$6:$E$3005=$B2258)*(Ventes_Encaissements!$J$6:$J$3005=$G2258)*(Ventes_Encaissements!$C$6:$C$3005&gt;=$C2258-3)*(Ventes_Encaissements!$C$6:$C$3005&lt;=$C2258+3)),1)))</f>
        <v/>
      </c>
      <c r="K2258" s="6" t="n"/>
    </row>
    <row r="2259">
      <c r="A2259" s="6" t="n"/>
      <c r="B2259" s="6" t="n"/>
      <c r="C2259" s="19" t="n"/>
      <c r="D2259" s="19" t="n"/>
      <c r="E2259" s="6" t="n"/>
      <c r="F2259" s="20" t="n"/>
      <c r="G2259" s="9">
        <f>IF($F2259="","",IF($F2259&gt;0,ROUND($F2259,2),""))</f>
        <v/>
      </c>
      <c r="H2259" s="12">
        <f>IF(OR($B2259="",$C2259="",$G2259=""),"",COUNTIFS(Ventes_Encaissements!$E$6:$E$3005,$B2259,Ventes_Encaissements!$J$6:$J$3005,$G2259,Ventes_Encaissements!$C$6:$C$3005,"&gt;="&amp;($C2259-3),Ventes_Encaissements!$C$6:$C$3005,"&lt;="&amp;($C2259+3)))</f>
        <v/>
      </c>
      <c r="I2259" s="12">
        <f>IF($H2259="","",IF($H2259=0,"Non trouvé",IF($H2259=1,"Match","À vérifier")))</f>
        <v/>
      </c>
      <c r="J2259" s="21">
        <f>IF($I2259&lt;&gt;"Match","",INDEX(Ventes_Encaissements!$B$6:$B$3005,_xludf.AGGREGATE(15,6,(ROW(Ventes_Encaissements!$B$6:$B$3005)-ROW(Ventes_Encaissements!$B$6)+1)/((Ventes_Encaissements!$E$6:$E$3005=$B2259)*(Ventes_Encaissements!$J$6:$J$3005=$G2259)*(Ventes_Encaissements!$C$6:$C$3005&gt;=$C2259-3)*(Ventes_Encaissements!$C$6:$C$3005&lt;=$C2259+3)),1)))</f>
        <v/>
      </c>
      <c r="K2259" s="6" t="n"/>
    </row>
    <row r="2260">
      <c r="A2260" s="6" t="n"/>
      <c r="B2260" s="6" t="n"/>
      <c r="C2260" s="19" t="n"/>
      <c r="D2260" s="19" t="n"/>
      <c r="E2260" s="6" t="n"/>
      <c r="F2260" s="20" t="n"/>
      <c r="G2260" s="9">
        <f>IF($F2260="","",IF($F2260&gt;0,ROUND($F2260,2),""))</f>
        <v/>
      </c>
      <c r="H2260" s="12">
        <f>IF(OR($B2260="",$C2260="",$G2260=""),"",COUNTIFS(Ventes_Encaissements!$E$6:$E$3005,$B2260,Ventes_Encaissements!$J$6:$J$3005,$G2260,Ventes_Encaissements!$C$6:$C$3005,"&gt;="&amp;($C2260-3),Ventes_Encaissements!$C$6:$C$3005,"&lt;="&amp;($C2260+3)))</f>
        <v/>
      </c>
      <c r="I2260" s="12">
        <f>IF($H2260="","",IF($H2260=0,"Non trouvé",IF($H2260=1,"Match","À vérifier")))</f>
        <v/>
      </c>
      <c r="J2260" s="21">
        <f>IF($I2260&lt;&gt;"Match","",INDEX(Ventes_Encaissements!$B$6:$B$3005,_xludf.AGGREGATE(15,6,(ROW(Ventes_Encaissements!$B$6:$B$3005)-ROW(Ventes_Encaissements!$B$6)+1)/((Ventes_Encaissements!$E$6:$E$3005=$B2260)*(Ventes_Encaissements!$J$6:$J$3005=$G2260)*(Ventes_Encaissements!$C$6:$C$3005&gt;=$C2260-3)*(Ventes_Encaissements!$C$6:$C$3005&lt;=$C2260+3)),1)))</f>
        <v/>
      </c>
      <c r="K2260" s="6" t="n"/>
    </row>
    <row r="2261">
      <c r="A2261" s="6" t="n"/>
      <c r="B2261" s="6" t="n"/>
      <c r="C2261" s="19" t="n"/>
      <c r="D2261" s="19" t="n"/>
      <c r="E2261" s="6" t="n"/>
      <c r="F2261" s="20" t="n"/>
      <c r="G2261" s="9">
        <f>IF($F2261="","",IF($F2261&gt;0,ROUND($F2261,2),""))</f>
        <v/>
      </c>
      <c r="H2261" s="12">
        <f>IF(OR($B2261="",$C2261="",$G2261=""),"",COUNTIFS(Ventes_Encaissements!$E$6:$E$3005,$B2261,Ventes_Encaissements!$J$6:$J$3005,$G2261,Ventes_Encaissements!$C$6:$C$3005,"&gt;="&amp;($C2261-3),Ventes_Encaissements!$C$6:$C$3005,"&lt;="&amp;($C2261+3)))</f>
        <v/>
      </c>
      <c r="I2261" s="12">
        <f>IF($H2261="","",IF($H2261=0,"Non trouvé",IF($H2261=1,"Match","À vérifier")))</f>
        <v/>
      </c>
      <c r="J2261" s="21">
        <f>IF($I2261&lt;&gt;"Match","",INDEX(Ventes_Encaissements!$B$6:$B$3005,_xludf.AGGREGATE(15,6,(ROW(Ventes_Encaissements!$B$6:$B$3005)-ROW(Ventes_Encaissements!$B$6)+1)/((Ventes_Encaissements!$E$6:$E$3005=$B2261)*(Ventes_Encaissements!$J$6:$J$3005=$G2261)*(Ventes_Encaissements!$C$6:$C$3005&gt;=$C2261-3)*(Ventes_Encaissements!$C$6:$C$3005&lt;=$C2261+3)),1)))</f>
        <v/>
      </c>
      <c r="K2261" s="6" t="n"/>
    </row>
    <row r="2262">
      <c r="A2262" s="6" t="n"/>
      <c r="B2262" s="6" t="n"/>
      <c r="C2262" s="19" t="n"/>
      <c r="D2262" s="19" t="n"/>
      <c r="E2262" s="6" t="n"/>
      <c r="F2262" s="20" t="n"/>
      <c r="G2262" s="9">
        <f>IF($F2262="","",IF($F2262&gt;0,ROUND($F2262,2),""))</f>
        <v/>
      </c>
      <c r="H2262" s="12">
        <f>IF(OR($B2262="",$C2262="",$G2262=""),"",COUNTIFS(Ventes_Encaissements!$E$6:$E$3005,$B2262,Ventes_Encaissements!$J$6:$J$3005,$G2262,Ventes_Encaissements!$C$6:$C$3005,"&gt;="&amp;($C2262-3),Ventes_Encaissements!$C$6:$C$3005,"&lt;="&amp;($C2262+3)))</f>
        <v/>
      </c>
      <c r="I2262" s="12">
        <f>IF($H2262="","",IF($H2262=0,"Non trouvé",IF($H2262=1,"Match","À vérifier")))</f>
        <v/>
      </c>
      <c r="J2262" s="21">
        <f>IF($I2262&lt;&gt;"Match","",INDEX(Ventes_Encaissements!$B$6:$B$3005,_xludf.AGGREGATE(15,6,(ROW(Ventes_Encaissements!$B$6:$B$3005)-ROW(Ventes_Encaissements!$B$6)+1)/((Ventes_Encaissements!$E$6:$E$3005=$B2262)*(Ventes_Encaissements!$J$6:$J$3005=$G2262)*(Ventes_Encaissements!$C$6:$C$3005&gt;=$C2262-3)*(Ventes_Encaissements!$C$6:$C$3005&lt;=$C2262+3)),1)))</f>
        <v/>
      </c>
      <c r="K2262" s="6" t="n"/>
    </row>
    <row r="2263">
      <c r="A2263" s="6" t="n"/>
      <c r="B2263" s="6" t="n"/>
      <c r="C2263" s="19" t="n"/>
      <c r="D2263" s="19" t="n"/>
      <c r="E2263" s="6" t="n"/>
      <c r="F2263" s="20" t="n"/>
      <c r="G2263" s="9">
        <f>IF($F2263="","",IF($F2263&gt;0,ROUND($F2263,2),""))</f>
        <v/>
      </c>
      <c r="H2263" s="12">
        <f>IF(OR($B2263="",$C2263="",$G2263=""),"",COUNTIFS(Ventes_Encaissements!$E$6:$E$3005,$B2263,Ventes_Encaissements!$J$6:$J$3005,$G2263,Ventes_Encaissements!$C$6:$C$3005,"&gt;="&amp;($C2263-3),Ventes_Encaissements!$C$6:$C$3005,"&lt;="&amp;($C2263+3)))</f>
        <v/>
      </c>
      <c r="I2263" s="12">
        <f>IF($H2263="","",IF($H2263=0,"Non trouvé",IF($H2263=1,"Match","À vérifier")))</f>
        <v/>
      </c>
      <c r="J2263" s="21">
        <f>IF($I2263&lt;&gt;"Match","",INDEX(Ventes_Encaissements!$B$6:$B$3005,_xludf.AGGREGATE(15,6,(ROW(Ventes_Encaissements!$B$6:$B$3005)-ROW(Ventes_Encaissements!$B$6)+1)/((Ventes_Encaissements!$E$6:$E$3005=$B2263)*(Ventes_Encaissements!$J$6:$J$3005=$G2263)*(Ventes_Encaissements!$C$6:$C$3005&gt;=$C2263-3)*(Ventes_Encaissements!$C$6:$C$3005&lt;=$C2263+3)),1)))</f>
        <v/>
      </c>
      <c r="K2263" s="6" t="n"/>
    </row>
    <row r="2264">
      <c r="A2264" s="6" t="n"/>
      <c r="B2264" s="6" t="n"/>
      <c r="C2264" s="19" t="n"/>
      <c r="D2264" s="19" t="n"/>
      <c r="E2264" s="6" t="n"/>
      <c r="F2264" s="20" t="n"/>
      <c r="G2264" s="9">
        <f>IF($F2264="","",IF($F2264&gt;0,ROUND($F2264,2),""))</f>
        <v/>
      </c>
      <c r="H2264" s="12">
        <f>IF(OR($B2264="",$C2264="",$G2264=""),"",COUNTIFS(Ventes_Encaissements!$E$6:$E$3005,$B2264,Ventes_Encaissements!$J$6:$J$3005,$G2264,Ventes_Encaissements!$C$6:$C$3005,"&gt;="&amp;($C2264-3),Ventes_Encaissements!$C$6:$C$3005,"&lt;="&amp;($C2264+3)))</f>
        <v/>
      </c>
      <c r="I2264" s="12">
        <f>IF($H2264="","",IF($H2264=0,"Non trouvé",IF($H2264=1,"Match","À vérifier")))</f>
        <v/>
      </c>
      <c r="J2264" s="21">
        <f>IF($I2264&lt;&gt;"Match","",INDEX(Ventes_Encaissements!$B$6:$B$3005,_xludf.AGGREGATE(15,6,(ROW(Ventes_Encaissements!$B$6:$B$3005)-ROW(Ventes_Encaissements!$B$6)+1)/((Ventes_Encaissements!$E$6:$E$3005=$B2264)*(Ventes_Encaissements!$J$6:$J$3005=$G2264)*(Ventes_Encaissements!$C$6:$C$3005&gt;=$C2264-3)*(Ventes_Encaissements!$C$6:$C$3005&lt;=$C2264+3)),1)))</f>
        <v/>
      </c>
      <c r="K2264" s="6" t="n"/>
    </row>
    <row r="2265">
      <c r="A2265" s="6" t="n"/>
      <c r="B2265" s="6" t="n"/>
      <c r="C2265" s="19" t="n"/>
      <c r="D2265" s="19" t="n"/>
      <c r="E2265" s="6" t="n"/>
      <c r="F2265" s="20" t="n"/>
      <c r="G2265" s="9">
        <f>IF($F2265="","",IF($F2265&gt;0,ROUND($F2265,2),""))</f>
        <v/>
      </c>
      <c r="H2265" s="12">
        <f>IF(OR($B2265="",$C2265="",$G2265=""),"",COUNTIFS(Ventes_Encaissements!$E$6:$E$3005,$B2265,Ventes_Encaissements!$J$6:$J$3005,$G2265,Ventes_Encaissements!$C$6:$C$3005,"&gt;="&amp;($C2265-3),Ventes_Encaissements!$C$6:$C$3005,"&lt;="&amp;($C2265+3)))</f>
        <v/>
      </c>
      <c r="I2265" s="12">
        <f>IF($H2265="","",IF($H2265=0,"Non trouvé",IF($H2265=1,"Match","À vérifier")))</f>
        <v/>
      </c>
      <c r="J2265" s="21">
        <f>IF($I2265&lt;&gt;"Match","",INDEX(Ventes_Encaissements!$B$6:$B$3005,_xludf.AGGREGATE(15,6,(ROW(Ventes_Encaissements!$B$6:$B$3005)-ROW(Ventes_Encaissements!$B$6)+1)/((Ventes_Encaissements!$E$6:$E$3005=$B2265)*(Ventes_Encaissements!$J$6:$J$3005=$G2265)*(Ventes_Encaissements!$C$6:$C$3005&gt;=$C2265-3)*(Ventes_Encaissements!$C$6:$C$3005&lt;=$C2265+3)),1)))</f>
        <v/>
      </c>
      <c r="K2265" s="6" t="n"/>
    </row>
    <row r="2266">
      <c r="A2266" s="6" t="n"/>
      <c r="B2266" s="6" t="n"/>
      <c r="C2266" s="19" t="n"/>
      <c r="D2266" s="19" t="n"/>
      <c r="E2266" s="6" t="n"/>
      <c r="F2266" s="20" t="n"/>
      <c r="G2266" s="9">
        <f>IF($F2266="","",IF($F2266&gt;0,ROUND($F2266,2),""))</f>
        <v/>
      </c>
      <c r="H2266" s="12">
        <f>IF(OR($B2266="",$C2266="",$G2266=""),"",COUNTIFS(Ventes_Encaissements!$E$6:$E$3005,$B2266,Ventes_Encaissements!$J$6:$J$3005,$G2266,Ventes_Encaissements!$C$6:$C$3005,"&gt;="&amp;($C2266-3),Ventes_Encaissements!$C$6:$C$3005,"&lt;="&amp;($C2266+3)))</f>
        <v/>
      </c>
      <c r="I2266" s="12">
        <f>IF($H2266="","",IF($H2266=0,"Non trouvé",IF($H2266=1,"Match","À vérifier")))</f>
        <v/>
      </c>
      <c r="J2266" s="21">
        <f>IF($I2266&lt;&gt;"Match","",INDEX(Ventes_Encaissements!$B$6:$B$3005,_xludf.AGGREGATE(15,6,(ROW(Ventes_Encaissements!$B$6:$B$3005)-ROW(Ventes_Encaissements!$B$6)+1)/((Ventes_Encaissements!$E$6:$E$3005=$B2266)*(Ventes_Encaissements!$J$6:$J$3005=$G2266)*(Ventes_Encaissements!$C$6:$C$3005&gt;=$C2266-3)*(Ventes_Encaissements!$C$6:$C$3005&lt;=$C2266+3)),1)))</f>
        <v/>
      </c>
      <c r="K2266" s="6" t="n"/>
    </row>
    <row r="2267">
      <c r="A2267" s="6" t="n"/>
      <c r="B2267" s="6" t="n"/>
      <c r="C2267" s="19" t="n"/>
      <c r="D2267" s="19" t="n"/>
      <c r="E2267" s="6" t="n"/>
      <c r="F2267" s="20" t="n"/>
      <c r="G2267" s="9">
        <f>IF($F2267="","",IF($F2267&gt;0,ROUND($F2267,2),""))</f>
        <v/>
      </c>
      <c r="H2267" s="12">
        <f>IF(OR($B2267="",$C2267="",$G2267=""),"",COUNTIFS(Ventes_Encaissements!$E$6:$E$3005,$B2267,Ventes_Encaissements!$J$6:$J$3005,$G2267,Ventes_Encaissements!$C$6:$C$3005,"&gt;="&amp;($C2267-3),Ventes_Encaissements!$C$6:$C$3005,"&lt;="&amp;($C2267+3)))</f>
        <v/>
      </c>
      <c r="I2267" s="12">
        <f>IF($H2267="","",IF($H2267=0,"Non trouvé",IF($H2267=1,"Match","À vérifier")))</f>
        <v/>
      </c>
      <c r="J2267" s="21">
        <f>IF($I2267&lt;&gt;"Match","",INDEX(Ventes_Encaissements!$B$6:$B$3005,_xludf.AGGREGATE(15,6,(ROW(Ventes_Encaissements!$B$6:$B$3005)-ROW(Ventes_Encaissements!$B$6)+1)/((Ventes_Encaissements!$E$6:$E$3005=$B2267)*(Ventes_Encaissements!$J$6:$J$3005=$G2267)*(Ventes_Encaissements!$C$6:$C$3005&gt;=$C2267-3)*(Ventes_Encaissements!$C$6:$C$3005&lt;=$C2267+3)),1)))</f>
        <v/>
      </c>
      <c r="K2267" s="6" t="n"/>
    </row>
    <row r="2268">
      <c r="A2268" s="6" t="n"/>
      <c r="B2268" s="6" t="n"/>
      <c r="C2268" s="19" t="n"/>
      <c r="D2268" s="19" t="n"/>
      <c r="E2268" s="6" t="n"/>
      <c r="F2268" s="20" t="n"/>
      <c r="G2268" s="9">
        <f>IF($F2268="","",IF($F2268&gt;0,ROUND($F2268,2),""))</f>
        <v/>
      </c>
      <c r="H2268" s="12">
        <f>IF(OR($B2268="",$C2268="",$G2268=""),"",COUNTIFS(Ventes_Encaissements!$E$6:$E$3005,$B2268,Ventes_Encaissements!$J$6:$J$3005,$G2268,Ventes_Encaissements!$C$6:$C$3005,"&gt;="&amp;($C2268-3),Ventes_Encaissements!$C$6:$C$3005,"&lt;="&amp;($C2268+3)))</f>
        <v/>
      </c>
      <c r="I2268" s="12">
        <f>IF($H2268="","",IF($H2268=0,"Non trouvé",IF($H2268=1,"Match","À vérifier")))</f>
        <v/>
      </c>
      <c r="J2268" s="21">
        <f>IF($I2268&lt;&gt;"Match","",INDEX(Ventes_Encaissements!$B$6:$B$3005,_xludf.AGGREGATE(15,6,(ROW(Ventes_Encaissements!$B$6:$B$3005)-ROW(Ventes_Encaissements!$B$6)+1)/((Ventes_Encaissements!$E$6:$E$3005=$B2268)*(Ventes_Encaissements!$J$6:$J$3005=$G2268)*(Ventes_Encaissements!$C$6:$C$3005&gt;=$C2268-3)*(Ventes_Encaissements!$C$6:$C$3005&lt;=$C2268+3)),1)))</f>
        <v/>
      </c>
      <c r="K2268" s="6" t="n"/>
    </row>
    <row r="2269">
      <c r="A2269" s="6" t="n"/>
      <c r="B2269" s="6" t="n"/>
      <c r="C2269" s="19" t="n"/>
      <c r="D2269" s="19" t="n"/>
      <c r="E2269" s="6" t="n"/>
      <c r="F2269" s="20" t="n"/>
      <c r="G2269" s="9">
        <f>IF($F2269="","",IF($F2269&gt;0,ROUND($F2269,2),""))</f>
        <v/>
      </c>
      <c r="H2269" s="12">
        <f>IF(OR($B2269="",$C2269="",$G2269=""),"",COUNTIFS(Ventes_Encaissements!$E$6:$E$3005,$B2269,Ventes_Encaissements!$J$6:$J$3005,$G2269,Ventes_Encaissements!$C$6:$C$3005,"&gt;="&amp;($C2269-3),Ventes_Encaissements!$C$6:$C$3005,"&lt;="&amp;($C2269+3)))</f>
        <v/>
      </c>
      <c r="I2269" s="12">
        <f>IF($H2269="","",IF($H2269=0,"Non trouvé",IF($H2269=1,"Match","À vérifier")))</f>
        <v/>
      </c>
      <c r="J2269" s="21">
        <f>IF($I2269&lt;&gt;"Match","",INDEX(Ventes_Encaissements!$B$6:$B$3005,_xludf.AGGREGATE(15,6,(ROW(Ventes_Encaissements!$B$6:$B$3005)-ROW(Ventes_Encaissements!$B$6)+1)/((Ventes_Encaissements!$E$6:$E$3005=$B2269)*(Ventes_Encaissements!$J$6:$J$3005=$G2269)*(Ventes_Encaissements!$C$6:$C$3005&gt;=$C2269-3)*(Ventes_Encaissements!$C$6:$C$3005&lt;=$C2269+3)),1)))</f>
        <v/>
      </c>
      <c r="K2269" s="6" t="n"/>
    </row>
    <row r="2270">
      <c r="A2270" s="6" t="n"/>
      <c r="B2270" s="6" t="n"/>
      <c r="C2270" s="19" t="n"/>
      <c r="D2270" s="19" t="n"/>
      <c r="E2270" s="6" t="n"/>
      <c r="F2270" s="20" t="n"/>
      <c r="G2270" s="9">
        <f>IF($F2270="","",IF($F2270&gt;0,ROUND($F2270,2),""))</f>
        <v/>
      </c>
      <c r="H2270" s="12">
        <f>IF(OR($B2270="",$C2270="",$G2270=""),"",COUNTIFS(Ventes_Encaissements!$E$6:$E$3005,$B2270,Ventes_Encaissements!$J$6:$J$3005,$G2270,Ventes_Encaissements!$C$6:$C$3005,"&gt;="&amp;($C2270-3),Ventes_Encaissements!$C$6:$C$3005,"&lt;="&amp;($C2270+3)))</f>
        <v/>
      </c>
      <c r="I2270" s="12">
        <f>IF($H2270="","",IF($H2270=0,"Non trouvé",IF($H2270=1,"Match","À vérifier")))</f>
        <v/>
      </c>
      <c r="J2270" s="21">
        <f>IF($I2270&lt;&gt;"Match","",INDEX(Ventes_Encaissements!$B$6:$B$3005,_xludf.AGGREGATE(15,6,(ROW(Ventes_Encaissements!$B$6:$B$3005)-ROW(Ventes_Encaissements!$B$6)+1)/((Ventes_Encaissements!$E$6:$E$3005=$B2270)*(Ventes_Encaissements!$J$6:$J$3005=$G2270)*(Ventes_Encaissements!$C$6:$C$3005&gt;=$C2270-3)*(Ventes_Encaissements!$C$6:$C$3005&lt;=$C2270+3)),1)))</f>
        <v/>
      </c>
      <c r="K2270" s="6" t="n"/>
    </row>
    <row r="2271">
      <c r="A2271" s="6" t="n"/>
      <c r="B2271" s="6" t="n"/>
      <c r="C2271" s="19" t="n"/>
      <c r="D2271" s="19" t="n"/>
      <c r="E2271" s="6" t="n"/>
      <c r="F2271" s="20" t="n"/>
      <c r="G2271" s="9">
        <f>IF($F2271="","",IF($F2271&gt;0,ROUND($F2271,2),""))</f>
        <v/>
      </c>
      <c r="H2271" s="12">
        <f>IF(OR($B2271="",$C2271="",$G2271=""),"",COUNTIFS(Ventes_Encaissements!$E$6:$E$3005,$B2271,Ventes_Encaissements!$J$6:$J$3005,$G2271,Ventes_Encaissements!$C$6:$C$3005,"&gt;="&amp;($C2271-3),Ventes_Encaissements!$C$6:$C$3005,"&lt;="&amp;($C2271+3)))</f>
        <v/>
      </c>
      <c r="I2271" s="12">
        <f>IF($H2271="","",IF($H2271=0,"Non trouvé",IF($H2271=1,"Match","À vérifier")))</f>
        <v/>
      </c>
      <c r="J2271" s="21">
        <f>IF($I2271&lt;&gt;"Match","",INDEX(Ventes_Encaissements!$B$6:$B$3005,_xludf.AGGREGATE(15,6,(ROW(Ventes_Encaissements!$B$6:$B$3005)-ROW(Ventes_Encaissements!$B$6)+1)/((Ventes_Encaissements!$E$6:$E$3005=$B2271)*(Ventes_Encaissements!$J$6:$J$3005=$G2271)*(Ventes_Encaissements!$C$6:$C$3005&gt;=$C2271-3)*(Ventes_Encaissements!$C$6:$C$3005&lt;=$C2271+3)),1)))</f>
        <v/>
      </c>
      <c r="K2271" s="6" t="n"/>
    </row>
    <row r="2272">
      <c r="A2272" s="6" t="n"/>
      <c r="B2272" s="6" t="n"/>
      <c r="C2272" s="19" t="n"/>
      <c r="D2272" s="19" t="n"/>
      <c r="E2272" s="6" t="n"/>
      <c r="F2272" s="20" t="n"/>
      <c r="G2272" s="9">
        <f>IF($F2272="","",IF($F2272&gt;0,ROUND($F2272,2),""))</f>
        <v/>
      </c>
      <c r="H2272" s="12">
        <f>IF(OR($B2272="",$C2272="",$G2272=""),"",COUNTIFS(Ventes_Encaissements!$E$6:$E$3005,$B2272,Ventes_Encaissements!$J$6:$J$3005,$G2272,Ventes_Encaissements!$C$6:$C$3005,"&gt;="&amp;($C2272-3),Ventes_Encaissements!$C$6:$C$3005,"&lt;="&amp;($C2272+3)))</f>
        <v/>
      </c>
      <c r="I2272" s="12">
        <f>IF($H2272="","",IF($H2272=0,"Non trouvé",IF($H2272=1,"Match","À vérifier")))</f>
        <v/>
      </c>
      <c r="J2272" s="21">
        <f>IF($I2272&lt;&gt;"Match","",INDEX(Ventes_Encaissements!$B$6:$B$3005,_xludf.AGGREGATE(15,6,(ROW(Ventes_Encaissements!$B$6:$B$3005)-ROW(Ventes_Encaissements!$B$6)+1)/((Ventes_Encaissements!$E$6:$E$3005=$B2272)*(Ventes_Encaissements!$J$6:$J$3005=$G2272)*(Ventes_Encaissements!$C$6:$C$3005&gt;=$C2272-3)*(Ventes_Encaissements!$C$6:$C$3005&lt;=$C2272+3)),1)))</f>
        <v/>
      </c>
      <c r="K2272" s="6" t="n"/>
    </row>
    <row r="2273">
      <c r="A2273" s="6" t="n"/>
      <c r="B2273" s="6" t="n"/>
      <c r="C2273" s="19" t="n"/>
      <c r="D2273" s="19" t="n"/>
      <c r="E2273" s="6" t="n"/>
      <c r="F2273" s="20" t="n"/>
      <c r="G2273" s="9">
        <f>IF($F2273="","",IF($F2273&gt;0,ROUND($F2273,2),""))</f>
        <v/>
      </c>
      <c r="H2273" s="12">
        <f>IF(OR($B2273="",$C2273="",$G2273=""),"",COUNTIFS(Ventes_Encaissements!$E$6:$E$3005,$B2273,Ventes_Encaissements!$J$6:$J$3005,$G2273,Ventes_Encaissements!$C$6:$C$3005,"&gt;="&amp;($C2273-3),Ventes_Encaissements!$C$6:$C$3005,"&lt;="&amp;($C2273+3)))</f>
        <v/>
      </c>
      <c r="I2273" s="12">
        <f>IF($H2273="","",IF($H2273=0,"Non trouvé",IF($H2273=1,"Match","À vérifier")))</f>
        <v/>
      </c>
      <c r="J2273" s="21">
        <f>IF($I2273&lt;&gt;"Match","",INDEX(Ventes_Encaissements!$B$6:$B$3005,_xludf.AGGREGATE(15,6,(ROW(Ventes_Encaissements!$B$6:$B$3005)-ROW(Ventes_Encaissements!$B$6)+1)/((Ventes_Encaissements!$E$6:$E$3005=$B2273)*(Ventes_Encaissements!$J$6:$J$3005=$G2273)*(Ventes_Encaissements!$C$6:$C$3005&gt;=$C2273-3)*(Ventes_Encaissements!$C$6:$C$3005&lt;=$C2273+3)),1)))</f>
        <v/>
      </c>
      <c r="K2273" s="6" t="n"/>
    </row>
    <row r="2274">
      <c r="A2274" s="6" t="n"/>
      <c r="B2274" s="6" t="n"/>
      <c r="C2274" s="19" t="n"/>
      <c r="D2274" s="19" t="n"/>
      <c r="E2274" s="6" t="n"/>
      <c r="F2274" s="20" t="n"/>
      <c r="G2274" s="9">
        <f>IF($F2274="","",IF($F2274&gt;0,ROUND($F2274,2),""))</f>
        <v/>
      </c>
      <c r="H2274" s="12">
        <f>IF(OR($B2274="",$C2274="",$G2274=""),"",COUNTIFS(Ventes_Encaissements!$E$6:$E$3005,$B2274,Ventes_Encaissements!$J$6:$J$3005,$G2274,Ventes_Encaissements!$C$6:$C$3005,"&gt;="&amp;($C2274-3),Ventes_Encaissements!$C$6:$C$3005,"&lt;="&amp;($C2274+3)))</f>
        <v/>
      </c>
      <c r="I2274" s="12">
        <f>IF($H2274="","",IF($H2274=0,"Non trouvé",IF($H2274=1,"Match","À vérifier")))</f>
        <v/>
      </c>
      <c r="J2274" s="21">
        <f>IF($I2274&lt;&gt;"Match","",INDEX(Ventes_Encaissements!$B$6:$B$3005,_xludf.AGGREGATE(15,6,(ROW(Ventes_Encaissements!$B$6:$B$3005)-ROW(Ventes_Encaissements!$B$6)+1)/((Ventes_Encaissements!$E$6:$E$3005=$B2274)*(Ventes_Encaissements!$J$6:$J$3005=$G2274)*(Ventes_Encaissements!$C$6:$C$3005&gt;=$C2274-3)*(Ventes_Encaissements!$C$6:$C$3005&lt;=$C2274+3)),1)))</f>
        <v/>
      </c>
      <c r="K2274" s="6" t="n"/>
    </row>
    <row r="2275">
      <c r="A2275" s="6" t="n"/>
      <c r="B2275" s="6" t="n"/>
      <c r="C2275" s="19" t="n"/>
      <c r="D2275" s="19" t="n"/>
      <c r="E2275" s="6" t="n"/>
      <c r="F2275" s="20" t="n"/>
      <c r="G2275" s="9">
        <f>IF($F2275="","",IF($F2275&gt;0,ROUND($F2275,2),""))</f>
        <v/>
      </c>
      <c r="H2275" s="12">
        <f>IF(OR($B2275="",$C2275="",$G2275=""),"",COUNTIFS(Ventes_Encaissements!$E$6:$E$3005,$B2275,Ventes_Encaissements!$J$6:$J$3005,$G2275,Ventes_Encaissements!$C$6:$C$3005,"&gt;="&amp;($C2275-3),Ventes_Encaissements!$C$6:$C$3005,"&lt;="&amp;($C2275+3)))</f>
        <v/>
      </c>
      <c r="I2275" s="12">
        <f>IF($H2275="","",IF($H2275=0,"Non trouvé",IF($H2275=1,"Match","À vérifier")))</f>
        <v/>
      </c>
      <c r="J2275" s="21">
        <f>IF($I2275&lt;&gt;"Match","",INDEX(Ventes_Encaissements!$B$6:$B$3005,_xludf.AGGREGATE(15,6,(ROW(Ventes_Encaissements!$B$6:$B$3005)-ROW(Ventes_Encaissements!$B$6)+1)/((Ventes_Encaissements!$E$6:$E$3005=$B2275)*(Ventes_Encaissements!$J$6:$J$3005=$G2275)*(Ventes_Encaissements!$C$6:$C$3005&gt;=$C2275-3)*(Ventes_Encaissements!$C$6:$C$3005&lt;=$C2275+3)),1)))</f>
        <v/>
      </c>
      <c r="K2275" s="6" t="n"/>
    </row>
    <row r="2276">
      <c r="A2276" s="6" t="n"/>
      <c r="B2276" s="6" t="n"/>
      <c r="C2276" s="19" t="n"/>
      <c r="D2276" s="19" t="n"/>
      <c r="E2276" s="6" t="n"/>
      <c r="F2276" s="20" t="n"/>
      <c r="G2276" s="9">
        <f>IF($F2276="","",IF($F2276&gt;0,ROUND($F2276,2),""))</f>
        <v/>
      </c>
      <c r="H2276" s="12">
        <f>IF(OR($B2276="",$C2276="",$G2276=""),"",COUNTIFS(Ventes_Encaissements!$E$6:$E$3005,$B2276,Ventes_Encaissements!$J$6:$J$3005,$G2276,Ventes_Encaissements!$C$6:$C$3005,"&gt;="&amp;($C2276-3),Ventes_Encaissements!$C$6:$C$3005,"&lt;="&amp;($C2276+3)))</f>
        <v/>
      </c>
      <c r="I2276" s="12">
        <f>IF($H2276="","",IF($H2276=0,"Non trouvé",IF($H2276=1,"Match","À vérifier")))</f>
        <v/>
      </c>
      <c r="J2276" s="21">
        <f>IF($I2276&lt;&gt;"Match","",INDEX(Ventes_Encaissements!$B$6:$B$3005,_xludf.AGGREGATE(15,6,(ROW(Ventes_Encaissements!$B$6:$B$3005)-ROW(Ventes_Encaissements!$B$6)+1)/((Ventes_Encaissements!$E$6:$E$3005=$B2276)*(Ventes_Encaissements!$J$6:$J$3005=$G2276)*(Ventes_Encaissements!$C$6:$C$3005&gt;=$C2276-3)*(Ventes_Encaissements!$C$6:$C$3005&lt;=$C2276+3)),1)))</f>
        <v/>
      </c>
      <c r="K2276" s="6" t="n"/>
    </row>
    <row r="2277">
      <c r="A2277" s="6" t="n"/>
      <c r="B2277" s="6" t="n"/>
      <c r="C2277" s="19" t="n"/>
      <c r="D2277" s="19" t="n"/>
      <c r="E2277" s="6" t="n"/>
      <c r="F2277" s="20" t="n"/>
      <c r="G2277" s="9">
        <f>IF($F2277="","",IF($F2277&gt;0,ROUND($F2277,2),""))</f>
        <v/>
      </c>
      <c r="H2277" s="12">
        <f>IF(OR($B2277="",$C2277="",$G2277=""),"",COUNTIFS(Ventes_Encaissements!$E$6:$E$3005,$B2277,Ventes_Encaissements!$J$6:$J$3005,$G2277,Ventes_Encaissements!$C$6:$C$3005,"&gt;="&amp;($C2277-3),Ventes_Encaissements!$C$6:$C$3005,"&lt;="&amp;($C2277+3)))</f>
        <v/>
      </c>
      <c r="I2277" s="12">
        <f>IF($H2277="","",IF($H2277=0,"Non trouvé",IF($H2277=1,"Match","À vérifier")))</f>
        <v/>
      </c>
      <c r="J2277" s="21">
        <f>IF($I2277&lt;&gt;"Match","",INDEX(Ventes_Encaissements!$B$6:$B$3005,_xludf.AGGREGATE(15,6,(ROW(Ventes_Encaissements!$B$6:$B$3005)-ROW(Ventes_Encaissements!$B$6)+1)/((Ventes_Encaissements!$E$6:$E$3005=$B2277)*(Ventes_Encaissements!$J$6:$J$3005=$G2277)*(Ventes_Encaissements!$C$6:$C$3005&gt;=$C2277-3)*(Ventes_Encaissements!$C$6:$C$3005&lt;=$C2277+3)),1)))</f>
        <v/>
      </c>
      <c r="K2277" s="6" t="n"/>
    </row>
    <row r="2278">
      <c r="A2278" s="6" t="n"/>
      <c r="B2278" s="6" t="n"/>
      <c r="C2278" s="19" t="n"/>
      <c r="D2278" s="19" t="n"/>
      <c r="E2278" s="6" t="n"/>
      <c r="F2278" s="20" t="n"/>
      <c r="G2278" s="9">
        <f>IF($F2278="","",IF($F2278&gt;0,ROUND($F2278,2),""))</f>
        <v/>
      </c>
      <c r="H2278" s="12">
        <f>IF(OR($B2278="",$C2278="",$G2278=""),"",COUNTIFS(Ventes_Encaissements!$E$6:$E$3005,$B2278,Ventes_Encaissements!$J$6:$J$3005,$G2278,Ventes_Encaissements!$C$6:$C$3005,"&gt;="&amp;($C2278-3),Ventes_Encaissements!$C$6:$C$3005,"&lt;="&amp;($C2278+3)))</f>
        <v/>
      </c>
      <c r="I2278" s="12">
        <f>IF($H2278="","",IF($H2278=0,"Non trouvé",IF($H2278=1,"Match","À vérifier")))</f>
        <v/>
      </c>
      <c r="J2278" s="21">
        <f>IF($I2278&lt;&gt;"Match","",INDEX(Ventes_Encaissements!$B$6:$B$3005,_xludf.AGGREGATE(15,6,(ROW(Ventes_Encaissements!$B$6:$B$3005)-ROW(Ventes_Encaissements!$B$6)+1)/((Ventes_Encaissements!$E$6:$E$3005=$B2278)*(Ventes_Encaissements!$J$6:$J$3005=$G2278)*(Ventes_Encaissements!$C$6:$C$3005&gt;=$C2278-3)*(Ventes_Encaissements!$C$6:$C$3005&lt;=$C2278+3)),1)))</f>
        <v/>
      </c>
      <c r="K2278" s="6" t="n"/>
    </row>
    <row r="2279">
      <c r="A2279" s="6" t="n"/>
      <c r="B2279" s="6" t="n"/>
      <c r="C2279" s="19" t="n"/>
      <c r="D2279" s="19" t="n"/>
      <c r="E2279" s="6" t="n"/>
      <c r="F2279" s="20" t="n"/>
      <c r="G2279" s="9">
        <f>IF($F2279="","",IF($F2279&gt;0,ROUND($F2279,2),""))</f>
        <v/>
      </c>
      <c r="H2279" s="12">
        <f>IF(OR($B2279="",$C2279="",$G2279=""),"",COUNTIFS(Ventes_Encaissements!$E$6:$E$3005,$B2279,Ventes_Encaissements!$J$6:$J$3005,$G2279,Ventes_Encaissements!$C$6:$C$3005,"&gt;="&amp;($C2279-3),Ventes_Encaissements!$C$6:$C$3005,"&lt;="&amp;($C2279+3)))</f>
        <v/>
      </c>
      <c r="I2279" s="12">
        <f>IF($H2279="","",IF($H2279=0,"Non trouvé",IF($H2279=1,"Match","À vérifier")))</f>
        <v/>
      </c>
      <c r="J2279" s="21">
        <f>IF($I2279&lt;&gt;"Match","",INDEX(Ventes_Encaissements!$B$6:$B$3005,_xludf.AGGREGATE(15,6,(ROW(Ventes_Encaissements!$B$6:$B$3005)-ROW(Ventes_Encaissements!$B$6)+1)/((Ventes_Encaissements!$E$6:$E$3005=$B2279)*(Ventes_Encaissements!$J$6:$J$3005=$G2279)*(Ventes_Encaissements!$C$6:$C$3005&gt;=$C2279-3)*(Ventes_Encaissements!$C$6:$C$3005&lt;=$C2279+3)),1)))</f>
        <v/>
      </c>
      <c r="K2279" s="6" t="n"/>
    </row>
    <row r="2280">
      <c r="A2280" s="6" t="n"/>
      <c r="B2280" s="6" t="n"/>
      <c r="C2280" s="19" t="n"/>
      <c r="D2280" s="19" t="n"/>
      <c r="E2280" s="6" t="n"/>
      <c r="F2280" s="20" t="n"/>
      <c r="G2280" s="9">
        <f>IF($F2280="","",IF($F2280&gt;0,ROUND($F2280,2),""))</f>
        <v/>
      </c>
      <c r="H2280" s="12">
        <f>IF(OR($B2280="",$C2280="",$G2280=""),"",COUNTIFS(Ventes_Encaissements!$E$6:$E$3005,$B2280,Ventes_Encaissements!$J$6:$J$3005,$G2280,Ventes_Encaissements!$C$6:$C$3005,"&gt;="&amp;($C2280-3),Ventes_Encaissements!$C$6:$C$3005,"&lt;="&amp;($C2280+3)))</f>
        <v/>
      </c>
      <c r="I2280" s="12">
        <f>IF($H2280="","",IF($H2280=0,"Non trouvé",IF($H2280=1,"Match","À vérifier")))</f>
        <v/>
      </c>
      <c r="J2280" s="21">
        <f>IF($I2280&lt;&gt;"Match","",INDEX(Ventes_Encaissements!$B$6:$B$3005,_xludf.AGGREGATE(15,6,(ROW(Ventes_Encaissements!$B$6:$B$3005)-ROW(Ventes_Encaissements!$B$6)+1)/((Ventes_Encaissements!$E$6:$E$3005=$B2280)*(Ventes_Encaissements!$J$6:$J$3005=$G2280)*(Ventes_Encaissements!$C$6:$C$3005&gt;=$C2280-3)*(Ventes_Encaissements!$C$6:$C$3005&lt;=$C2280+3)),1)))</f>
        <v/>
      </c>
      <c r="K2280" s="6" t="n"/>
    </row>
    <row r="2281">
      <c r="A2281" s="6" t="n"/>
      <c r="B2281" s="6" t="n"/>
      <c r="C2281" s="19" t="n"/>
      <c r="D2281" s="19" t="n"/>
      <c r="E2281" s="6" t="n"/>
      <c r="F2281" s="20" t="n"/>
      <c r="G2281" s="9">
        <f>IF($F2281="","",IF($F2281&gt;0,ROUND($F2281,2),""))</f>
        <v/>
      </c>
      <c r="H2281" s="12">
        <f>IF(OR($B2281="",$C2281="",$G2281=""),"",COUNTIFS(Ventes_Encaissements!$E$6:$E$3005,$B2281,Ventes_Encaissements!$J$6:$J$3005,$G2281,Ventes_Encaissements!$C$6:$C$3005,"&gt;="&amp;($C2281-3),Ventes_Encaissements!$C$6:$C$3005,"&lt;="&amp;($C2281+3)))</f>
        <v/>
      </c>
      <c r="I2281" s="12">
        <f>IF($H2281="","",IF($H2281=0,"Non trouvé",IF($H2281=1,"Match","À vérifier")))</f>
        <v/>
      </c>
      <c r="J2281" s="21">
        <f>IF($I2281&lt;&gt;"Match","",INDEX(Ventes_Encaissements!$B$6:$B$3005,_xludf.AGGREGATE(15,6,(ROW(Ventes_Encaissements!$B$6:$B$3005)-ROW(Ventes_Encaissements!$B$6)+1)/((Ventes_Encaissements!$E$6:$E$3005=$B2281)*(Ventes_Encaissements!$J$6:$J$3005=$G2281)*(Ventes_Encaissements!$C$6:$C$3005&gt;=$C2281-3)*(Ventes_Encaissements!$C$6:$C$3005&lt;=$C2281+3)),1)))</f>
        <v/>
      </c>
      <c r="K2281" s="6" t="n"/>
    </row>
    <row r="2282">
      <c r="A2282" s="6" t="n"/>
      <c r="B2282" s="6" t="n"/>
      <c r="C2282" s="19" t="n"/>
      <c r="D2282" s="19" t="n"/>
      <c r="E2282" s="6" t="n"/>
      <c r="F2282" s="20" t="n"/>
      <c r="G2282" s="9">
        <f>IF($F2282="","",IF($F2282&gt;0,ROUND($F2282,2),""))</f>
        <v/>
      </c>
      <c r="H2282" s="12">
        <f>IF(OR($B2282="",$C2282="",$G2282=""),"",COUNTIFS(Ventes_Encaissements!$E$6:$E$3005,$B2282,Ventes_Encaissements!$J$6:$J$3005,$G2282,Ventes_Encaissements!$C$6:$C$3005,"&gt;="&amp;($C2282-3),Ventes_Encaissements!$C$6:$C$3005,"&lt;="&amp;($C2282+3)))</f>
        <v/>
      </c>
      <c r="I2282" s="12">
        <f>IF($H2282="","",IF($H2282=0,"Non trouvé",IF($H2282=1,"Match","À vérifier")))</f>
        <v/>
      </c>
      <c r="J2282" s="21">
        <f>IF($I2282&lt;&gt;"Match","",INDEX(Ventes_Encaissements!$B$6:$B$3005,_xludf.AGGREGATE(15,6,(ROW(Ventes_Encaissements!$B$6:$B$3005)-ROW(Ventes_Encaissements!$B$6)+1)/((Ventes_Encaissements!$E$6:$E$3005=$B2282)*(Ventes_Encaissements!$J$6:$J$3005=$G2282)*(Ventes_Encaissements!$C$6:$C$3005&gt;=$C2282-3)*(Ventes_Encaissements!$C$6:$C$3005&lt;=$C2282+3)),1)))</f>
        <v/>
      </c>
      <c r="K2282" s="6" t="n"/>
    </row>
    <row r="2283">
      <c r="A2283" s="6" t="n"/>
      <c r="B2283" s="6" t="n"/>
      <c r="C2283" s="19" t="n"/>
      <c r="D2283" s="19" t="n"/>
      <c r="E2283" s="6" t="n"/>
      <c r="F2283" s="20" t="n"/>
      <c r="G2283" s="9">
        <f>IF($F2283="","",IF($F2283&gt;0,ROUND($F2283,2),""))</f>
        <v/>
      </c>
      <c r="H2283" s="12">
        <f>IF(OR($B2283="",$C2283="",$G2283=""),"",COUNTIFS(Ventes_Encaissements!$E$6:$E$3005,$B2283,Ventes_Encaissements!$J$6:$J$3005,$G2283,Ventes_Encaissements!$C$6:$C$3005,"&gt;="&amp;($C2283-3),Ventes_Encaissements!$C$6:$C$3005,"&lt;="&amp;($C2283+3)))</f>
        <v/>
      </c>
      <c r="I2283" s="12">
        <f>IF($H2283="","",IF($H2283=0,"Non trouvé",IF($H2283=1,"Match","À vérifier")))</f>
        <v/>
      </c>
      <c r="J2283" s="21">
        <f>IF($I2283&lt;&gt;"Match","",INDEX(Ventes_Encaissements!$B$6:$B$3005,_xludf.AGGREGATE(15,6,(ROW(Ventes_Encaissements!$B$6:$B$3005)-ROW(Ventes_Encaissements!$B$6)+1)/((Ventes_Encaissements!$E$6:$E$3005=$B2283)*(Ventes_Encaissements!$J$6:$J$3005=$G2283)*(Ventes_Encaissements!$C$6:$C$3005&gt;=$C2283-3)*(Ventes_Encaissements!$C$6:$C$3005&lt;=$C2283+3)),1)))</f>
        <v/>
      </c>
      <c r="K2283" s="6" t="n"/>
    </row>
    <row r="2284">
      <c r="A2284" s="6" t="n"/>
      <c r="B2284" s="6" t="n"/>
      <c r="C2284" s="19" t="n"/>
      <c r="D2284" s="19" t="n"/>
      <c r="E2284" s="6" t="n"/>
      <c r="F2284" s="20" t="n"/>
      <c r="G2284" s="9">
        <f>IF($F2284="","",IF($F2284&gt;0,ROUND($F2284,2),""))</f>
        <v/>
      </c>
      <c r="H2284" s="12">
        <f>IF(OR($B2284="",$C2284="",$G2284=""),"",COUNTIFS(Ventes_Encaissements!$E$6:$E$3005,$B2284,Ventes_Encaissements!$J$6:$J$3005,$G2284,Ventes_Encaissements!$C$6:$C$3005,"&gt;="&amp;($C2284-3),Ventes_Encaissements!$C$6:$C$3005,"&lt;="&amp;($C2284+3)))</f>
        <v/>
      </c>
      <c r="I2284" s="12">
        <f>IF($H2284="","",IF($H2284=0,"Non trouvé",IF($H2284=1,"Match","À vérifier")))</f>
        <v/>
      </c>
      <c r="J2284" s="21">
        <f>IF($I2284&lt;&gt;"Match","",INDEX(Ventes_Encaissements!$B$6:$B$3005,_xludf.AGGREGATE(15,6,(ROW(Ventes_Encaissements!$B$6:$B$3005)-ROW(Ventes_Encaissements!$B$6)+1)/((Ventes_Encaissements!$E$6:$E$3005=$B2284)*(Ventes_Encaissements!$J$6:$J$3005=$G2284)*(Ventes_Encaissements!$C$6:$C$3005&gt;=$C2284-3)*(Ventes_Encaissements!$C$6:$C$3005&lt;=$C2284+3)),1)))</f>
        <v/>
      </c>
      <c r="K2284" s="6" t="n"/>
    </row>
    <row r="2285">
      <c r="A2285" s="6" t="n"/>
      <c r="B2285" s="6" t="n"/>
      <c r="C2285" s="19" t="n"/>
      <c r="D2285" s="19" t="n"/>
      <c r="E2285" s="6" t="n"/>
      <c r="F2285" s="20" t="n"/>
      <c r="G2285" s="9">
        <f>IF($F2285="","",IF($F2285&gt;0,ROUND($F2285,2),""))</f>
        <v/>
      </c>
      <c r="H2285" s="12">
        <f>IF(OR($B2285="",$C2285="",$G2285=""),"",COUNTIFS(Ventes_Encaissements!$E$6:$E$3005,$B2285,Ventes_Encaissements!$J$6:$J$3005,$G2285,Ventes_Encaissements!$C$6:$C$3005,"&gt;="&amp;($C2285-3),Ventes_Encaissements!$C$6:$C$3005,"&lt;="&amp;($C2285+3)))</f>
        <v/>
      </c>
      <c r="I2285" s="12">
        <f>IF($H2285="","",IF($H2285=0,"Non trouvé",IF($H2285=1,"Match","À vérifier")))</f>
        <v/>
      </c>
      <c r="J2285" s="21">
        <f>IF($I2285&lt;&gt;"Match","",INDEX(Ventes_Encaissements!$B$6:$B$3005,_xludf.AGGREGATE(15,6,(ROW(Ventes_Encaissements!$B$6:$B$3005)-ROW(Ventes_Encaissements!$B$6)+1)/((Ventes_Encaissements!$E$6:$E$3005=$B2285)*(Ventes_Encaissements!$J$6:$J$3005=$G2285)*(Ventes_Encaissements!$C$6:$C$3005&gt;=$C2285-3)*(Ventes_Encaissements!$C$6:$C$3005&lt;=$C2285+3)),1)))</f>
        <v/>
      </c>
      <c r="K2285" s="6" t="n"/>
    </row>
    <row r="2286">
      <c r="A2286" s="6" t="n"/>
      <c r="B2286" s="6" t="n"/>
      <c r="C2286" s="19" t="n"/>
      <c r="D2286" s="19" t="n"/>
      <c r="E2286" s="6" t="n"/>
      <c r="F2286" s="20" t="n"/>
      <c r="G2286" s="9">
        <f>IF($F2286="","",IF($F2286&gt;0,ROUND($F2286,2),""))</f>
        <v/>
      </c>
      <c r="H2286" s="12">
        <f>IF(OR($B2286="",$C2286="",$G2286=""),"",COUNTIFS(Ventes_Encaissements!$E$6:$E$3005,$B2286,Ventes_Encaissements!$J$6:$J$3005,$G2286,Ventes_Encaissements!$C$6:$C$3005,"&gt;="&amp;($C2286-3),Ventes_Encaissements!$C$6:$C$3005,"&lt;="&amp;($C2286+3)))</f>
        <v/>
      </c>
      <c r="I2286" s="12">
        <f>IF($H2286="","",IF($H2286=0,"Non trouvé",IF($H2286=1,"Match","À vérifier")))</f>
        <v/>
      </c>
      <c r="J2286" s="21">
        <f>IF($I2286&lt;&gt;"Match","",INDEX(Ventes_Encaissements!$B$6:$B$3005,_xludf.AGGREGATE(15,6,(ROW(Ventes_Encaissements!$B$6:$B$3005)-ROW(Ventes_Encaissements!$B$6)+1)/((Ventes_Encaissements!$E$6:$E$3005=$B2286)*(Ventes_Encaissements!$J$6:$J$3005=$G2286)*(Ventes_Encaissements!$C$6:$C$3005&gt;=$C2286-3)*(Ventes_Encaissements!$C$6:$C$3005&lt;=$C2286+3)),1)))</f>
        <v/>
      </c>
      <c r="K2286" s="6" t="n"/>
    </row>
    <row r="2287">
      <c r="A2287" s="6" t="n"/>
      <c r="B2287" s="6" t="n"/>
      <c r="C2287" s="19" t="n"/>
      <c r="D2287" s="19" t="n"/>
      <c r="E2287" s="6" t="n"/>
      <c r="F2287" s="20" t="n"/>
      <c r="G2287" s="9">
        <f>IF($F2287="","",IF($F2287&gt;0,ROUND($F2287,2),""))</f>
        <v/>
      </c>
      <c r="H2287" s="12">
        <f>IF(OR($B2287="",$C2287="",$G2287=""),"",COUNTIFS(Ventes_Encaissements!$E$6:$E$3005,$B2287,Ventes_Encaissements!$J$6:$J$3005,$G2287,Ventes_Encaissements!$C$6:$C$3005,"&gt;="&amp;($C2287-3),Ventes_Encaissements!$C$6:$C$3005,"&lt;="&amp;($C2287+3)))</f>
        <v/>
      </c>
      <c r="I2287" s="12">
        <f>IF($H2287="","",IF($H2287=0,"Non trouvé",IF($H2287=1,"Match","À vérifier")))</f>
        <v/>
      </c>
      <c r="J2287" s="21">
        <f>IF($I2287&lt;&gt;"Match","",INDEX(Ventes_Encaissements!$B$6:$B$3005,_xludf.AGGREGATE(15,6,(ROW(Ventes_Encaissements!$B$6:$B$3005)-ROW(Ventes_Encaissements!$B$6)+1)/((Ventes_Encaissements!$E$6:$E$3005=$B2287)*(Ventes_Encaissements!$J$6:$J$3005=$G2287)*(Ventes_Encaissements!$C$6:$C$3005&gt;=$C2287-3)*(Ventes_Encaissements!$C$6:$C$3005&lt;=$C2287+3)),1)))</f>
        <v/>
      </c>
      <c r="K2287" s="6" t="n"/>
    </row>
    <row r="2288">
      <c r="A2288" s="6" t="n"/>
      <c r="B2288" s="6" t="n"/>
      <c r="C2288" s="19" t="n"/>
      <c r="D2288" s="19" t="n"/>
      <c r="E2288" s="6" t="n"/>
      <c r="F2288" s="20" t="n"/>
      <c r="G2288" s="9">
        <f>IF($F2288="","",IF($F2288&gt;0,ROUND($F2288,2),""))</f>
        <v/>
      </c>
      <c r="H2288" s="12">
        <f>IF(OR($B2288="",$C2288="",$G2288=""),"",COUNTIFS(Ventes_Encaissements!$E$6:$E$3005,$B2288,Ventes_Encaissements!$J$6:$J$3005,$G2288,Ventes_Encaissements!$C$6:$C$3005,"&gt;="&amp;($C2288-3),Ventes_Encaissements!$C$6:$C$3005,"&lt;="&amp;($C2288+3)))</f>
        <v/>
      </c>
      <c r="I2288" s="12">
        <f>IF($H2288="","",IF($H2288=0,"Non trouvé",IF($H2288=1,"Match","À vérifier")))</f>
        <v/>
      </c>
      <c r="J2288" s="21">
        <f>IF($I2288&lt;&gt;"Match","",INDEX(Ventes_Encaissements!$B$6:$B$3005,_xludf.AGGREGATE(15,6,(ROW(Ventes_Encaissements!$B$6:$B$3005)-ROW(Ventes_Encaissements!$B$6)+1)/((Ventes_Encaissements!$E$6:$E$3005=$B2288)*(Ventes_Encaissements!$J$6:$J$3005=$G2288)*(Ventes_Encaissements!$C$6:$C$3005&gt;=$C2288-3)*(Ventes_Encaissements!$C$6:$C$3005&lt;=$C2288+3)),1)))</f>
        <v/>
      </c>
      <c r="K2288" s="6" t="n"/>
    </row>
    <row r="2289">
      <c r="A2289" s="6" t="n"/>
      <c r="B2289" s="6" t="n"/>
      <c r="C2289" s="19" t="n"/>
      <c r="D2289" s="19" t="n"/>
      <c r="E2289" s="6" t="n"/>
      <c r="F2289" s="20" t="n"/>
      <c r="G2289" s="9">
        <f>IF($F2289="","",IF($F2289&gt;0,ROUND($F2289,2),""))</f>
        <v/>
      </c>
      <c r="H2289" s="12">
        <f>IF(OR($B2289="",$C2289="",$G2289=""),"",COUNTIFS(Ventes_Encaissements!$E$6:$E$3005,$B2289,Ventes_Encaissements!$J$6:$J$3005,$G2289,Ventes_Encaissements!$C$6:$C$3005,"&gt;="&amp;($C2289-3),Ventes_Encaissements!$C$6:$C$3005,"&lt;="&amp;($C2289+3)))</f>
        <v/>
      </c>
      <c r="I2289" s="12">
        <f>IF($H2289="","",IF($H2289=0,"Non trouvé",IF($H2289=1,"Match","À vérifier")))</f>
        <v/>
      </c>
      <c r="J2289" s="21">
        <f>IF($I2289&lt;&gt;"Match","",INDEX(Ventes_Encaissements!$B$6:$B$3005,_xludf.AGGREGATE(15,6,(ROW(Ventes_Encaissements!$B$6:$B$3005)-ROW(Ventes_Encaissements!$B$6)+1)/((Ventes_Encaissements!$E$6:$E$3005=$B2289)*(Ventes_Encaissements!$J$6:$J$3005=$G2289)*(Ventes_Encaissements!$C$6:$C$3005&gt;=$C2289-3)*(Ventes_Encaissements!$C$6:$C$3005&lt;=$C2289+3)),1)))</f>
        <v/>
      </c>
      <c r="K2289" s="6" t="n"/>
    </row>
    <row r="2290">
      <c r="A2290" s="6" t="n"/>
      <c r="B2290" s="6" t="n"/>
      <c r="C2290" s="19" t="n"/>
      <c r="D2290" s="19" t="n"/>
      <c r="E2290" s="6" t="n"/>
      <c r="F2290" s="20" t="n"/>
      <c r="G2290" s="9">
        <f>IF($F2290="","",IF($F2290&gt;0,ROUND($F2290,2),""))</f>
        <v/>
      </c>
      <c r="H2290" s="12">
        <f>IF(OR($B2290="",$C2290="",$G2290=""),"",COUNTIFS(Ventes_Encaissements!$E$6:$E$3005,$B2290,Ventes_Encaissements!$J$6:$J$3005,$G2290,Ventes_Encaissements!$C$6:$C$3005,"&gt;="&amp;($C2290-3),Ventes_Encaissements!$C$6:$C$3005,"&lt;="&amp;($C2290+3)))</f>
        <v/>
      </c>
      <c r="I2290" s="12">
        <f>IF($H2290="","",IF($H2290=0,"Non trouvé",IF($H2290=1,"Match","À vérifier")))</f>
        <v/>
      </c>
      <c r="J2290" s="21">
        <f>IF($I2290&lt;&gt;"Match","",INDEX(Ventes_Encaissements!$B$6:$B$3005,_xludf.AGGREGATE(15,6,(ROW(Ventes_Encaissements!$B$6:$B$3005)-ROW(Ventes_Encaissements!$B$6)+1)/((Ventes_Encaissements!$E$6:$E$3005=$B2290)*(Ventes_Encaissements!$J$6:$J$3005=$G2290)*(Ventes_Encaissements!$C$6:$C$3005&gt;=$C2290-3)*(Ventes_Encaissements!$C$6:$C$3005&lt;=$C2290+3)),1)))</f>
        <v/>
      </c>
      <c r="K2290" s="6" t="n"/>
    </row>
    <row r="2291">
      <c r="A2291" s="6" t="n"/>
      <c r="B2291" s="6" t="n"/>
      <c r="C2291" s="19" t="n"/>
      <c r="D2291" s="19" t="n"/>
      <c r="E2291" s="6" t="n"/>
      <c r="F2291" s="20" t="n"/>
      <c r="G2291" s="9">
        <f>IF($F2291="","",IF($F2291&gt;0,ROUND($F2291,2),""))</f>
        <v/>
      </c>
      <c r="H2291" s="12">
        <f>IF(OR($B2291="",$C2291="",$G2291=""),"",COUNTIFS(Ventes_Encaissements!$E$6:$E$3005,$B2291,Ventes_Encaissements!$J$6:$J$3005,$G2291,Ventes_Encaissements!$C$6:$C$3005,"&gt;="&amp;($C2291-3),Ventes_Encaissements!$C$6:$C$3005,"&lt;="&amp;($C2291+3)))</f>
        <v/>
      </c>
      <c r="I2291" s="12">
        <f>IF($H2291="","",IF($H2291=0,"Non trouvé",IF($H2291=1,"Match","À vérifier")))</f>
        <v/>
      </c>
      <c r="J2291" s="21">
        <f>IF($I2291&lt;&gt;"Match","",INDEX(Ventes_Encaissements!$B$6:$B$3005,_xludf.AGGREGATE(15,6,(ROW(Ventes_Encaissements!$B$6:$B$3005)-ROW(Ventes_Encaissements!$B$6)+1)/((Ventes_Encaissements!$E$6:$E$3005=$B2291)*(Ventes_Encaissements!$J$6:$J$3005=$G2291)*(Ventes_Encaissements!$C$6:$C$3005&gt;=$C2291-3)*(Ventes_Encaissements!$C$6:$C$3005&lt;=$C2291+3)),1)))</f>
        <v/>
      </c>
      <c r="K2291" s="6" t="n"/>
    </row>
    <row r="2292">
      <c r="A2292" s="6" t="n"/>
      <c r="B2292" s="6" t="n"/>
      <c r="C2292" s="19" t="n"/>
      <c r="D2292" s="19" t="n"/>
      <c r="E2292" s="6" t="n"/>
      <c r="F2292" s="20" t="n"/>
      <c r="G2292" s="9">
        <f>IF($F2292="","",IF($F2292&gt;0,ROUND($F2292,2),""))</f>
        <v/>
      </c>
      <c r="H2292" s="12">
        <f>IF(OR($B2292="",$C2292="",$G2292=""),"",COUNTIFS(Ventes_Encaissements!$E$6:$E$3005,$B2292,Ventes_Encaissements!$J$6:$J$3005,$G2292,Ventes_Encaissements!$C$6:$C$3005,"&gt;="&amp;($C2292-3),Ventes_Encaissements!$C$6:$C$3005,"&lt;="&amp;($C2292+3)))</f>
        <v/>
      </c>
      <c r="I2292" s="12">
        <f>IF($H2292="","",IF($H2292=0,"Non trouvé",IF($H2292=1,"Match","À vérifier")))</f>
        <v/>
      </c>
      <c r="J2292" s="21">
        <f>IF($I2292&lt;&gt;"Match","",INDEX(Ventes_Encaissements!$B$6:$B$3005,_xludf.AGGREGATE(15,6,(ROW(Ventes_Encaissements!$B$6:$B$3005)-ROW(Ventes_Encaissements!$B$6)+1)/((Ventes_Encaissements!$E$6:$E$3005=$B2292)*(Ventes_Encaissements!$J$6:$J$3005=$G2292)*(Ventes_Encaissements!$C$6:$C$3005&gt;=$C2292-3)*(Ventes_Encaissements!$C$6:$C$3005&lt;=$C2292+3)),1)))</f>
        <v/>
      </c>
      <c r="K2292" s="6" t="n"/>
    </row>
    <row r="2293">
      <c r="A2293" s="6" t="n"/>
      <c r="B2293" s="6" t="n"/>
      <c r="C2293" s="19" t="n"/>
      <c r="D2293" s="19" t="n"/>
      <c r="E2293" s="6" t="n"/>
      <c r="F2293" s="20" t="n"/>
      <c r="G2293" s="9">
        <f>IF($F2293="","",IF($F2293&gt;0,ROUND($F2293,2),""))</f>
        <v/>
      </c>
      <c r="H2293" s="12">
        <f>IF(OR($B2293="",$C2293="",$G2293=""),"",COUNTIFS(Ventes_Encaissements!$E$6:$E$3005,$B2293,Ventes_Encaissements!$J$6:$J$3005,$G2293,Ventes_Encaissements!$C$6:$C$3005,"&gt;="&amp;($C2293-3),Ventes_Encaissements!$C$6:$C$3005,"&lt;="&amp;($C2293+3)))</f>
        <v/>
      </c>
      <c r="I2293" s="12">
        <f>IF($H2293="","",IF($H2293=0,"Non trouvé",IF($H2293=1,"Match","À vérifier")))</f>
        <v/>
      </c>
      <c r="J2293" s="21">
        <f>IF($I2293&lt;&gt;"Match","",INDEX(Ventes_Encaissements!$B$6:$B$3005,_xludf.AGGREGATE(15,6,(ROW(Ventes_Encaissements!$B$6:$B$3005)-ROW(Ventes_Encaissements!$B$6)+1)/((Ventes_Encaissements!$E$6:$E$3005=$B2293)*(Ventes_Encaissements!$J$6:$J$3005=$G2293)*(Ventes_Encaissements!$C$6:$C$3005&gt;=$C2293-3)*(Ventes_Encaissements!$C$6:$C$3005&lt;=$C2293+3)),1)))</f>
        <v/>
      </c>
      <c r="K2293" s="6" t="n"/>
    </row>
    <row r="2294">
      <c r="A2294" s="6" t="n"/>
      <c r="B2294" s="6" t="n"/>
      <c r="C2294" s="19" t="n"/>
      <c r="D2294" s="19" t="n"/>
      <c r="E2294" s="6" t="n"/>
      <c r="F2294" s="20" t="n"/>
      <c r="G2294" s="9">
        <f>IF($F2294="","",IF($F2294&gt;0,ROUND($F2294,2),""))</f>
        <v/>
      </c>
      <c r="H2294" s="12">
        <f>IF(OR($B2294="",$C2294="",$G2294=""),"",COUNTIFS(Ventes_Encaissements!$E$6:$E$3005,$B2294,Ventes_Encaissements!$J$6:$J$3005,$G2294,Ventes_Encaissements!$C$6:$C$3005,"&gt;="&amp;($C2294-3),Ventes_Encaissements!$C$6:$C$3005,"&lt;="&amp;($C2294+3)))</f>
        <v/>
      </c>
      <c r="I2294" s="12">
        <f>IF($H2294="","",IF($H2294=0,"Non trouvé",IF($H2294=1,"Match","À vérifier")))</f>
        <v/>
      </c>
      <c r="J2294" s="21">
        <f>IF($I2294&lt;&gt;"Match","",INDEX(Ventes_Encaissements!$B$6:$B$3005,_xludf.AGGREGATE(15,6,(ROW(Ventes_Encaissements!$B$6:$B$3005)-ROW(Ventes_Encaissements!$B$6)+1)/((Ventes_Encaissements!$E$6:$E$3005=$B2294)*(Ventes_Encaissements!$J$6:$J$3005=$G2294)*(Ventes_Encaissements!$C$6:$C$3005&gt;=$C2294-3)*(Ventes_Encaissements!$C$6:$C$3005&lt;=$C2294+3)),1)))</f>
        <v/>
      </c>
      <c r="K2294" s="6" t="n"/>
    </row>
    <row r="2295">
      <c r="A2295" s="6" t="n"/>
      <c r="B2295" s="6" t="n"/>
      <c r="C2295" s="19" t="n"/>
      <c r="D2295" s="19" t="n"/>
      <c r="E2295" s="6" t="n"/>
      <c r="F2295" s="20" t="n"/>
      <c r="G2295" s="9">
        <f>IF($F2295="","",IF($F2295&gt;0,ROUND($F2295,2),""))</f>
        <v/>
      </c>
      <c r="H2295" s="12">
        <f>IF(OR($B2295="",$C2295="",$G2295=""),"",COUNTIFS(Ventes_Encaissements!$E$6:$E$3005,$B2295,Ventes_Encaissements!$J$6:$J$3005,$G2295,Ventes_Encaissements!$C$6:$C$3005,"&gt;="&amp;($C2295-3),Ventes_Encaissements!$C$6:$C$3005,"&lt;="&amp;($C2295+3)))</f>
        <v/>
      </c>
      <c r="I2295" s="12">
        <f>IF($H2295="","",IF($H2295=0,"Non trouvé",IF($H2295=1,"Match","À vérifier")))</f>
        <v/>
      </c>
      <c r="J2295" s="21">
        <f>IF($I2295&lt;&gt;"Match","",INDEX(Ventes_Encaissements!$B$6:$B$3005,_xludf.AGGREGATE(15,6,(ROW(Ventes_Encaissements!$B$6:$B$3005)-ROW(Ventes_Encaissements!$B$6)+1)/((Ventes_Encaissements!$E$6:$E$3005=$B2295)*(Ventes_Encaissements!$J$6:$J$3005=$G2295)*(Ventes_Encaissements!$C$6:$C$3005&gt;=$C2295-3)*(Ventes_Encaissements!$C$6:$C$3005&lt;=$C2295+3)),1)))</f>
        <v/>
      </c>
      <c r="K2295" s="6" t="n"/>
    </row>
    <row r="2296">
      <c r="A2296" s="6" t="n"/>
      <c r="B2296" s="6" t="n"/>
      <c r="C2296" s="19" t="n"/>
      <c r="D2296" s="19" t="n"/>
      <c r="E2296" s="6" t="n"/>
      <c r="F2296" s="20" t="n"/>
      <c r="G2296" s="9">
        <f>IF($F2296="","",IF($F2296&gt;0,ROUND($F2296,2),""))</f>
        <v/>
      </c>
      <c r="H2296" s="12">
        <f>IF(OR($B2296="",$C2296="",$G2296=""),"",COUNTIFS(Ventes_Encaissements!$E$6:$E$3005,$B2296,Ventes_Encaissements!$J$6:$J$3005,$G2296,Ventes_Encaissements!$C$6:$C$3005,"&gt;="&amp;($C2296-3),Ventes_Encaissements!$C$6:$C$3005,"&lt;="&amp;($C2296+3)))</f>
        <v/>
      </c>
      <c r="I2296" s="12">
        <f>IF($H2296="","",IF($H2296=0,"Non trouvé",IF($H2296=1,"Match","À vérifier")))</f>
        <v/>
      </c>
      <c r="J2296" s="21">
        <f>IF($I2296&lt;&gt;"Match","",INDEX(Ventes_Encaissements!$B$6:$B$3005,_xludf.AGGREGATE(15,6,(ROW(Ventes_Encaissements!$B$6:$B$3005)-ROW(Ventes_Encaissements!$B$6)+1)/((Ventes_Encaissements!$E$6:$E$3005=$B2296)*(Ventes_Encaissements!$J$6:$J$3005=$G2296)*(Ventes_Encaissements!$C$6:$C$3005&gt;=$C2296-3)*(Ventes_Encaissements!$C$6:$C$3005&lt;=$C2296+3)),1)))</f>
        <v/>
      </c>
      <c r="K2296" s="6" t="n"/>
    </row>
    <row r="2297">
      <c r="A2297" s="6" t="n"/>
      <c r="B2297" s="6" t="n"/>
      <c r="C2297" s="19" t="n"/>
      <c r="D2297" s="19" t="n"/>
      <c r="E2297" s="6" t="n"/>
      <c r="F2297" s="20" t="n"/>
      <c r="G2297" s="9">
        <f>IF($F2297="","",IF($F2297&gt;0,ROUND($F2297,2),""))</f>
        <v/>
      </c>
      <c r="H2297" s="12">
        <f>IF(OR($B2297="",$C2297="",$G2297=""),"",COUNTIFS(Ventes_Encaissements!$E$6:$E$3005,$B2297,Ventes_Encaissements!$J$6:$J$3005,$G2297,Ventes_Encaissements!$C$6:$C$3005,"&gt;="&amp;($C2297-3),Ventes_Encaissements!$C$6:$C$3005,"&lt;="&amp;($C2297+3)))</f>
        <v/>
      </c>
      <c r="I2297" s="12">
        <f>IF($H2297="","",IF($H2297=0,"Non trouvé",IF($H2297=1,"Match","À vérifier")))</f>
        <v/>
      </c>
      <c r="J2297" s="21">
        <f>IF($I2297&lt;&gt;"Match","",INDEX(Ventes_Encaissements!$B$6:$B$3005,_xludf.AGGREGATE(15,6,(ROW(Ventes_Encaissements!$B$6:$B$3005)-ROW(Ventes_Encaissements!$B$6)+1)/((Ventes_Encaissements!$E$6:$E$3005=$B2297)*(Ventes_Encaissements!$J$6:$J$3005=$G2297)*(Ventes_Encaissements!$C$6:$C$3005&gt;=$C2297-3)*(Ventes_Encaissements!$C$6:$C$3005&lt;=$C2297+3)),1)))</f>
        <v/>
      </c>
      <c r="K2297" s="6" t="n"/>
    </row>
    <row r="2298">
      <c r="A2298" s="6" t="n"/>
      <c r="B2298" s="6" t="n"/>
      <c r="C2298" s="19" t="n"/>
      <c r="D2298" s="19" t="n"/>
      <c r="E2298" s="6" t="n"/>
      <c r="F2298" s="20" t="n"/>
      <c r="G2298" s="9">
        <f>IF($F2298="","",IF($F2298&gt;0,ROUND($F2298,2),""))</f>
        <v/>
      </c>
      <c r="H2298" s="12">
        <f>IF(OR($B2298="",$C2298="",$G2298=""),"",COUNTIFS(Ventes_Encaissements!$E$6:$E$3005,$B2298,Ventes_Encaissements!$J$6:$J$3005,$G2298,Ventes_Encaissements!$C$6:$C$3005,"&gt;="&amp;($C2298-3),Ventes_Encaissements!$C$6:$C$3005,"&lt;="&amp;($C2298+3)))</f>
        <v/>
      </c>
      <c r="I2298" s="12">
        <f>IF($H2298="","",IF($H2298=0,"Non trouvé",IF($H2298=1,"Match","À vérifier")))</f>
        <v/>
      </c>
      <c r="J2298" s="21">
        <f>IF($I2298&lt;&gt;"Match","",INDEX(Ventes_Encaissements!$B$6:$B$3005,_xludf.AGGREGATE(15,6,(ROW(Ventes_Encaissements!$B$6:$B$3005)-ROW(Ventes_Encaissements!$B$6)+1)/((Ventes_Encaissements!$E$6:$E$3005=$B2298)*(Ventes_Encaissements!$J$6:$J$3005=$G2298)*(Ventes_Encaissements!$C$6:$C$3005&gt;=$C2298-3)*(Ventes_Encaissements!$C$6:$C$3005&lt;=$C2298+3)),1)))</f>
        <v/>
      </c>
      <c r="K2298" s="6" t="n"/>
    </row>
    <row r="2299">
      <c r="A2299" s="6" t="n"/>
      <c r="B2299" s="6" t="n"/>
      <c r="C2299" s="19" t="n"/>
      <c r="D2299" s="19" t="n"/>
      <c r="E2299" s="6" t="n"/>
      <c r="F2299" s="20" t="n"/>
      <c r="G2299" s="9">
        <f>IF($F2299="","",IF($F2299&gt;0,ROUND($F2299,2),""))</f>
        <v/>
      </c>
      <c r="H2299" s="12">
        <f>IF(OR($B2299="",$C2299="",$G2299=""),"",COUNTIFS(Ventes_Encaissements!$E$6:$E$3005,$B2299,Ventes_Encaissements!$J$6:$J$3005,$G2299,Ventes_Encaissements!$C$6:$C$3005,"&gt;="&amp;($C2299-3),Ventes_Encaissements!$C$6:$C$3005,"&lt;="&amp;($C2299+3)))</f>
        <v/>
      </c>
      <c r="I2299" s="12">
        <f>IF($H2299="","",IF($H2299=0,"Non trouvé",IF($H2299=1,"Match","À vérifier")))</f>
        <v/>
      </c>
      <c r="J2299" s="21">
        <f>IF($I2299&lt;&gt;"Match","",INDEX(Ventes_Encaissements!$B$6:$B$3005,_xludf.AGGREGATE(15,6,(ROW(Ventes_Encaissements!$B$6:$B$3005)-ROW(Ventes_Encaissements!$B$6)+1)/((Ventes_Encaissements!$E$6:$E$3005=$B2299)*(Ventes_Encaissements!$J$6:$J$3005=$G2299)*(Ventes_Encaissements!$C$6:$C$3005&gt;=$C2299-3)*(Ventes_Encaissements!$C$6:$C$3005&lt;=$C2299+3)),1)))</f>
        <v/>
      </c>
      <c r="K2299" s="6" t="n"/>
    </row>
    <row r="2300">
      <c r="A2300" s="6" t="n"/>
      <c r="B2300" s="6" t="n"/>
      <c r="C2300" s="19" t="n"/>
      <c r="D2300" s="19" t="n"/>
      <c r="E2300" s="6" t="n"/>
      <c r="F2300" s="20" t="n"/>
      <c r="G2300" s="9">
        <f>IF($F2300="","",IF($F2300&gt;0,ROUND($F2300,2),""))</f>
        <v/>
      </c>
      <c r="H2300" s="12">
        <f>IF(OR($B2300="",$C2300="",$G2300=""),"",COUNTIFS(Ventes_Encaissements!$E$6:$E$3005,$B2300,Ventes_Encaissements!$J$6:$J$3005,$G2300,Ventes_Encaissements!$C$6:$C$3005,"&gt;="&amp;($C2300-3),Ventes_Encaissements!$C$6:$C$3005,"&lt;="&amp;($C2300+3)))</f>
        <v/>
      </c>
      <c r="I2300" s="12">
        <f>IF($H2300="","",IF($H2300=0,"Non trouvé",IF($H2300=1,"Match","À vérifier")))</f>
        <v/>
      </c>
      <c r="J2300" s="21">
        <f>IF($I2300&lt;&gt;"Match","",INDEX(Ventes_Encaissements!$B$6:$B$3005,_xludf.AGGREGATE(15,6,(ROW(Ventes_Encaissements!$B$6:$B$3005)-ROW(Ventes_Encaissements!$B$6)+1)/((Ventes_Encaissements!$E$6:$E$3005=$B2300)*(Ventes_Encaissements!$J$6:$J$3005=$G2300)*(Ventes_Encaissements!$C$6:$C$3005&gt;=$C2300-3)*(Ventes_Encaissements!$C$6:$C$3005&lt;=$C2300+3)),1)))</f>
        <v/>
      </c>
      <c r="K2300" s="6" t="n"/>
    </row>
    <row r="2301">
      <c r="A2301" s="6" t="n"/>
      <c r="B2301" s="6" t="n"/>
      <c r="C2301" s="19" t="n"/>
      <c r="D2301" s="19" t="n"/>
      <c r="E2301" s="6" t="n"/>
      <c r="F2301" s="20" t="n"/>
      <c r="G2301" s="9">
        <f>IF($F2301="","",IF($F2301&gt;0,ROUND($F2301,2),""))</f>
        <v/>
      </c>
      <c r="H2301" s="12">
        <f>IF(OR($B2301="",$C2301="",$G2301=""),"",COUNTIFS(Ventes_Encaissements!$E$6:$E$3005,$B2301,Ventes_Encaissements!$J$6:$J$3005,$G2301,Ventes_Encaissements!$C$6:$C$3005,"&gt;="&amp;($C2301-3),Ventes_Encaissements!$C$6:$C$3005,"&lt;="&amp;($C2301+3)))</f>
        <v/>
      </c>
      <c r="I2301" s="12">
        <f>IF($H2301="","",IF($H2301=0,"Non trouvé",IF($H2301=1,"Match","À vérifier")))</f>
        <v/>
      </c>
      <c r="J2301" s="21">
        <f>IF($I2301&lt;&gt;"Match","",INDEX(Ventes_Encaissements!$B$6:$B$3005,_xludf.AGGREGATE(15,6,(ROW(Ventes_Encaissements!$B$6:$B$3005)-ROW(Ventes_Encaissements!$B$6)+1)/((Ventes_Encaissements!$E$6:$E$3005=$B2301)*(Ventes_Encaissements!$J$6:$J$3005=$G2301)*(Ventes_Encaissements!$C$6:$C$3005&gt;=$C2301-3)*(Ventes_Encaissements!$C$6:$C$3005&lt;=$C2301+3)),1)))</f>
        <v/>
      </c>
      <c r="K2301" s="6" t="n"/>
    </row>
    <row r="2302">
      <c r="A2302" s="6" t="n"/>
      <c r="B2302" s="6" t="n"/>
      <c r="C2302" s="19" t="n"/>
      <c r="D2302" s="19" t="n"/>
      <c r="E2302" s="6" t="n"/>
      <c r="F2302" s="20" t="n"/>
      <c r="G2302" s="9">
        <f>IF($F2302="","",IF($F2302&gt;0,ROUND($F2302,2),""))</f>
        <v/>
      </c>
      <c r="H2302" s="12">
        <f>IF(OR($B2302="",$C2302="",$G2302=""),"",COUNTIFS(Ventes_Encaissements!$E$6:$E$3005,$B2302,Ventes_Encaissements!$J$6:$J$3005,$G2302,Ventes_Encaissements!$C$6:$C$3005,"&gt;="&amp;($C2302-3),Ventes_Encaissements!$C$6:$C$3005,"&lt;="&amp;($C2302+3)))</f>
        <v/>
      </c>
      <c r="I2302" s="12">
        <f>IF($H2302="","",IF($H2302=0,"Non trouvé",IF($H2302=1,"Match","À vérifier")))</f>
        <v/>
      </c>
      <c r="J2302" s="21">
        <f>IF($I2302&lt;&gt;"Match","",INDEX(Ventes_Encaissements!$B$6:$B$3005,_xludf.AGGREGATE(15,6,(ROW(Ventes_Encaissements!$B$6:$B$3005)-ROW(Ventes_Encaissements!$B$6)+1)/((Ventes_Encaissements!$E$6:$E$3005=$B2302)*(Ventes_Encaissements!$J$6:$J$3005=$G2302)*(Ventes_Encaissements!$C$6:$C$3005&gt;=$C2302-3)*(Ventes_Encaissements!$C$6:$C$3005&lt;=$C2302+3)),1)))</f>
        <v/>
      </c>
      <c r="K2302" s="6" t="n"/>
    </row>
    <row r="2303">
      <c r="A2303" s="6" t="n"/>
      <c r="B2303" s="6" t="n"/>
      <c r="C2303" s="19" t="n"/>
      <c r="D2303" s="19" t="n"/>
      <c r="E2303" s="6" t="n"/>
      <c r="F2303" s="20" t="n"/>
      <c r="G2303" s="9">
        <f>IF($F2303="","",IF($F2303&gt;0,ROUND($F2303,2),""))</f>
        <v/>
      </c>
      <c r="H2303" s="12">
        <f>IF(OR($B2303="",$C2303="",$G2303=""),"",COUNTIFS(Ventes_Encaissements!$E$6:$E$3005,$B2303,Ventes_Encaissements!$J$6:$J$3005,$G2303,Ventes_Encaissements!$C$6:$C$3005,"&gt;="&amp;($C2303-3),Ventes_Encaissements!$C$6:$C$3005,"&lt;="&amp;($C2303+3)))</f>
        <v/>
      </c>
      <c r="I2303" s="12">
        <f>IF($H2303="","",IF($H2303=0,"Non trouvé",IF($H2303=1,"Match","À vérifier")))</f>
        <v/>
      </c>
      <c r="J2303" s="21">
        <f>IF($I2303&lt;&gt;"Match","",INDEX(Ventes_Encaissements!$B$6:$B$3005,_xludf.AGGREGATE(15,6,(ROW(Ventes_Encaissements!$B$6:$B$3005)-ROW(Ventes_Encaissements!$B$6)+1)/((Ventes_Encaissements!$E$6:$E$3005=$B2303)*(Ventes_Encaissements!$J$6:$J$3005=$G2303)*(Ventes_Encaissements!$C$6:$C$3005&gt;=$C2303-3)*(Ventes_Encaissements!$C$6:$C$3005&lt;=$C2303+3)),1)))</f>
        <v/>
      </c>
      <c r="K2303" s="6" t="n"/>
    </row>
    <row r="2304">
      <c r="A2304" s="6" t="n"/>
      <c r="B2304" s="6" t="n"/>
      <c r="C2304" s="19" t="n"/>
      <c r="D2304" s="19" t="n"/>
      <c r="E2304" s="6" t="n"/>
      <c r="F2304" s="20" t="n"/>
      <c r="G2304" s="9">
        <f>IF($F2304="","",IF($F2304&gt;0,ROUND($F2304,2),""))</f>
        <v/>
      </c>
      <c r="H2304" s="12">
        <f>IF(OR($B2304="",$C2304="",$G2304=""),"",COUNTIFS(Ventes_Encaissements!$E$6:$E$3005,$B2304,Ventes_Encaissements!$J$6:$J$3005,$G2304,Ventes_Encaissements!$C$6:$C$3005,"&gt;="&amp;($C2304-3),Ventes_Encaissements!$C$6:$C$3005,"&lt;="&amp;($C2304+3)))</f>
        <v/>
      </c>
      <c r="I2304" s="12">
        <f>IF($H2304="","",IF($H2304=0,"Non trouvé",IF($H2304=1,"Match","À vérifier")))</f>
        <v/>
      </c>
      <c r="J2304" s="21">
        <f>IF($I2304&lt;&gt;"Match","",INDEX(Ventes_Encaissements!$B$6:$B$3005,_xludf.AGGREGATE(15,6,(ROW(Ventes_Encaissements!$B$6:$B$3005)-ROW(Ventes_Encaissements!$B$6)+1)/((Ventes_Encaissements!$E$6:$E$3005=$B2304)*(Ventes_Encaissements!$J$6:$J$3005=$G2304)*(Ventes_Encaissements!$C$6:$C$3005&gt;=$C2304-3)*(Ventes_Encaissements!$C$6:$C$3005&lt;=$C2304+3)),1)))</f>
        <v/>
      </c>
      <c r="K2304" s="6" t="n"/>
    </row>
    <row r="2305">
      <c r="A2305" s="6" t="n"/>
      <c r="B2305" s="6" t="n"/>
      <c r="C2305" s="19" t="n"/>
      <c r="D2305" s="19" t="n"/>
      <c r="E2305" s="6" t="n"/>
      <c r="F2305" s="20" t="n"/>
      <c r="G2305" s="9">
        <f>IF($F2305="","",IF($F2305&gt;0,ROUND($F2305,2),""))</f>
        <v/>
      </c>
      <c r="H2305" s="12">
        <f>IF(OR($B2305="",$C2305="",$G2305=""),"",COUNTIFS(Ventes_Encaissements!$E$6:$E$3005,$B2305,Ventes_Encaissements!$J$6:$J$3005,$G2305,Ventes_Encaissements!$C$6:$C$3005,"&gt;="&amp;($C2305-3),Ventes_Encaissements!$C$6:$C$3005,"&lt;="&amp;($C2305+3)))</f>
        <v/>
      </c>
      <c r="I2305" s="12">
        <f>IF($H2305="","",IF($H2305=0,"Non trouvé",IF($H2305=1,"Match","À vérifier")))</f>
        <v/>
      </c>
      <c r="J2305" s="21">
        <f>IF($I2305&lt;&gt;"Match","",INDEX(Ventes_Encaissements!$B$6:$B$3005,_xludf.AGGREGATE(15,6,(ROW(Ventes_Encaissements!$B$6:$B$3005)-ROW(Ventes_Encaissements!$B$6)+1)/((Ventes_Encaissements!$E$6:$E$3005=$B2305)*(Ventes_Encaissements!$J$6:$J$3005=$G2305)*(Ventes_Encaissements!$C$6:$C$3005&gt;=$C2305-3)*(Ventes_Encaissements!$C$6:$C$3005&lt;=$C2305+3)),1)))</f>
        <v/>
      </c>
      <c r="K2305" s="6" t="n"/>
    </row>
    <row r="2306">
      <c r="A2306" s="6" t="n"/>
      <c r="B2306" s="6" t="n"/>
      <c r="C2306" s="19" t="n"/>
      <c r="D2306" s="19" t="n"/>
      <c r="E2306" s="6" t="n"/>
      <c r="F2306" s="20" t="n"/>
      <c r="G2306" s="9">
        <f>IF($F2306="","",IF($F2306&gt;0,ROUND($F2306,2),""))</f>
        <v/>
      </c>
      <c r="H2306" s="12">
        <f>IF(OR($B2306="",$C2306="",$G2306=""),"",COUNTIFS(Ventes_Encaissements!$E$6:$E$3005,$B2306,Ventes_Encaissements!$J$6:$J$3005,$G2306,Ventes_Encaissements!$C$6:$C$3005,"&gt;="&amp;($C2306-3),Ventes_Encaissements!$C$6:$C$3005,"&lt;="&amp;($C2306+3)))</f>
        <v/>
      </c>
      <c r="I2306" s="12">
        <f>IF($H2306="","",IF($H2306=0,"Non trouvé",IF($H2306=1,"Match","À vérifier")))</f>
        <v/>
      </c>
      <c r="J2306" s="21">
        <f>IF($I2306&lt;&gt;"Match","",INDEX(Ventes_Encaissements!$B$6:$B$3005,_xludf.AGGREGATE(15,6,(ROW(Ventes_Encaissements!$B$6:$B$3005)-ROW(Ventes_Encaissements!$B$6)+1)/((Ventes_Encaissements!$E$6:$E$3005=$B2306)*(Ventes_Encaissements!$J$6:$J$3005=$G2306)*(Ventes_Encaissements!$C$6:$C$3005&gt;=$C2306-3)*(Ventes_Encaissements!$C$6:$C$3005&lt;=$C2306+3)),1)))</f>
        <v/>
      </c>
      <c r="K2306" s="6" t="n"/>
    </row>
    <row r="2307">
      <c r="A2307" s="6" t="n"/>
      <c r="B2307" s="6" t="n"/>
      <c r="C2307" s="19" t="n"/>
      <c r="D2307" s="19" t="n"/>
      <c r="E2307" s="6" t="n"/>
      <c r="F2307" s="20" t="n"/>
      <c r="G2307" s="9">
        <f>IF($F2307="","",IF($F2307&gt;0,ROUND($F2307,2),""))</f>
        <v/>
      </c>
      <c r="H2307" s="12">
        <f>IF(OR($B2307="",$C2307="",$G2307=""),"",COUNTIFS(Ventes_Encaissements!$E$6:$E$3005,$B2307,Ventes_Encaissements!$J$6:$J$3005,$G2307,Ventes_Encaissements!$C$6:$C$3005,"&gt;="&amp;($C2307-3),Ventes_Encaissements!$C$6:$C$3005,"&lt;="&amp;($C2307+3)))</f>
        <v/>
      </c>
      <c r="I2307" s="12">
        <f>IF($H2307="","",IF($H2307=0,"Non trouvé",IF($H2307=1,"Match","À vérifier")))</f>
        <v/>
      </c>
      <c r="J2307" s="21">
        <f>IF($I2307&lt;&gt;"Match","",INDEX(Ventes_Encaissements!$B$6:$B$3005,_xludf.AGGREGATE(15,6,(ROW(Ventes_Encaissements!$B$6:$B$3005)-ROW(Ventes_Encaissements!$B$6)+1)/((Ventes_Encaissements!$E$6:$E$3005=$B2307)*(Ventes_Encaissements!$J$6:$J$3005=$G2307)*(Ventes_Encaissements!$C$6:$C$3005&gt;=$C2307-3)*(Ventes_Encaissements!$C$6:$C$3005&lt;=$C2307+3)),1)))</f>
        <v/>
      </c>
      <c r="K2307" s="6" t="n"/>
    </row>
    <row r="2308">
      <c r="A2308" s="6" t="n"/>
      <c r="B2308" s="6" t="n"/>
      <c r="C2308" s="19" t="n"/>
      <c r="D2308" s="19" t="n"/>
      <c r="E2308" s="6" t="n"/>
      <c r="F2308" s="20" t="n"/>
      <c r="G2308" s="9">
        <f>IF($F2308="","",IF($F2308&gt;0,ROUND($F2308,2),""))</f>
        <v/>
      </c>
      <c r="H2308" s="12">
        <f>IF(OR($B2308="",$C2308="",$G2308=""),"",COUNTIFS(Ventes_Encaissements!$E$6:$E$3005,$B2308,Ventes_Encaissements!$J$6:$J$3005,$G2308,Ventes_Encaissements!$C$6:$C$3005,"&gt;="&amp;($C2308-3),Ventes_Encaissements!$C$6:$C$3005,"&lt;="&amp;($C2308+3)))</f>
        <v/>
      </c>
      <c r="I2308" s="12">
        <f>IF($H2308="","",IF($H2308=0,"Non trouvé",IF($H2308=1,"Match","À vérifier")))</f>
        <v/>
      </c>
      <c r="J2308" s="21">
        <f>IF($I2308&lt;&gt;"Match","",INDEX(Ventes_Encaissements!$B$6:$B$3005,_xludf.AGGREGATE(15,6,(ROW(Ventes_Encaissements!$B$6:$B$3005)-ROW(Ventes_Encaissements!$B$6)+1)/((Ventes_Encaissements!$E$6:$E$3005=$B2308)*(Ventes_Encaissements!$J$6:$J$3005=$G2308)*(Ventes_Encaissements!$C$6:$C$3005&gt;=$C2308-3)*(Ventes_Encaissements!$C$6:$C$3005&lt;=$C2308+3)),1)))</f>
        <v/>
      </c>
      <c r="K2308" s="6" t="n"/>
    </row>
    <row r="2309">
      <c r="A2309" s="6" t="n"/>
      <c r="B2309" s="6" t="n"/>
      <c r="C2309" s="19" t="n"/>
      <c r="D2309" s="19" t="n"/>
      <c r="E2309" s="6" t="n"/>
      <c r="F2309" s="20" t="n"/>
      <c r="G2309" s="9">
        <f>IF($F2309="","",IF($F2309&gt;0,ROUND($F2309,2),""))</f>
        <v/>
      </c>
      <c r="H2309" s="12">
        <f>IF(OR($B2309="",$C2309="",$G2309=""),"",COUNTIFS(Ventes_Encaissements!$E$6:$E$3005,$B2309,Ventes_Encaissements!$J$6:$J$3005,$G2309,Ventes_Encaissements!$C$6:$C$3005,"&gt;="&amp;($C2309-3),Ventes_Encaissements!$C$6:$C$3005,"&lt;="&amp;($C2309+3)))</f>
        <v/>
      </c>
      <c r="I2309" s="12">
        <f>IF($H2309="","",IF($H2309=0,"Non trouvé",IF($H2309=1,"Match","À vérifier")))</f>
        <v/>
      </c>
      <c r="J2309" s="21">
        <f>IF($I2309&lt;&gt;"Match","",INDEX(Ventes_Encaissements!$B$6:$B$3005,_xludf.AGGREGATE(15,6,(ROW(Ventes_Encaissements!$B$6:$B$3005)-ROW(Ventes_Encaissements!$B$6)+1)/((Ventes_Encaissements!$E$6:$E$3005=$B2309)*(Ventes_Encaissements!$J$6:$J$3005=$G2309)*(Ventes_Encaissements!$C$6:$C$3005&gt;=$C2309-3)*(Ventes_Encaissements!$C$6:$C$3005&lt;=$C2309+3)),1)))</f>
        <v/>
      </c>
      <c r="K2309" s="6" t="n"/>
    </row>
    <row r="2310">
      <c r="A2310" s="6" t="n"/>
      <c r="B2310" s="6" t="n"/>
      <c r="C2310" s="19" t="n"/>
      <c r="D2310" s="19" t="n"/>
      <c r="E2310" s="6" t="n"/>
      <c r="F2310" s="20" t="n"/>
      <c r="G2310" s="9">
        <f>IF($F2310="","",IF($F2310&gt;0,ROUND($F2310,2),""))</f>
        <v/>
      </c>
      <c r="H2310" s="12">
        <f>IF(OR($B2310="",$C2310="",$G2310=""),"",COUNTIFS(Ventes_Encaissements!$E$6:$E$3005,$B2310,Ventes_Encaissements!$J$6:$J$3005,$G2310,Ventes_Encaissements!$C$6:$C$3005,"&gt;="&amp;($C2310-3),Ventes_Encaissements!$C$6:$C$3005,"&lt;="&amp;($C2310+3)))</f>
        <v/>
      </c>
      <c r="I2310" s="12">
        <f>IF($H2310="","",IF($H2310=0,"Non trouvé",IF($H2310=1,"Match","À vérifier")))</f>
        <v/>
      </c>
      <c r="J2310" s="21">
        <f>IF($I2310&lt;&gt;"Match","",INDEX(Ventes_Encaissements!$B$6:$B$3005,_xludf.AGGREGATE(15,6,(ROW(Ventes_Encaissements!$B$6:$B$3005)-ROW(Ventes_Encaissements!$B$6)+1)/((Ventes_Encaissements!$E$6:$E$3005=$B2310)*(Ventes_Encaissements!$J$6:$J$3005=$G2310)*(Ventes_Encaissements!$C$6:$C$3005&gt;=$C2310-3)*(Ventes_Encaissements!$C$6:$C$3005&lt;=$C2310+3)),1)))</f>
        <v/>
      </c>
      <c r="K2310" s="6" t="n"/>
    </row>
    <row r="2311">
      <c r="A2311" s="6" t="n"/>
      <c r="B2311" s="6" t="n"/>
      <c r="C2311" s="19" t="n"/>
      <c r="D2311" s="19" t="n"/>
      <c r="E2311" s="6" t="n"/>
      <c r="F2311" s="20" t="n"/>
      <c r="G2311" s="9">
        <f>IF($F2311="","",IF($F2311&gt;0,ROUND($F2311,2),""))</f>
        <v/>
      </c>
      <c r="H2311" s="12">
        <f>IF(OR($B2311="",$C2311="",$G2311=""),"",COUNTIFS(Ventes_Encaissements!$E$6:$E$3005,$B2311,Ventes_Encaissements!$J$6:$J$3005,$G2311,Ventes_Encaissements!$C$6:$C$3005,"&gt;="&amp;($C2311-3),Ventes_Encaissements!$C$6:$C$3005,"&lt;="&amp;($C2311+3)))</f>
        <v/>
      </c>
      <c r="I2311" s="12">
        <f>IF($H2311="","",IF($H2311=0,"Non trouvé",IF($H2311=1,"Match","À vérifier")))</f>
        <v/>
      </c>
      <c r="J2311" s="21">
        <f>IF($I2311&lt;&gt;"Match","",INDEX(Ventes_Encaissements!$B$6:$B$3005,_xludf.AGGREGATE(15,6,(ROW(Ventes_Encaissements!$B$6:$B$3005)-ROW(Ventes_Encaissements!$B$6)+1)/((Ventes_Encaissements!$E$6:$E$3005=$B2311)*(Ventes_Encaissements!$J$6:$J$3005=$G2311)*(Ventes_Encaissements!$C$6:$C$3005&gt;=$C2311-3)*(Ventes_Encaissements!$C$6:$C$3005&lt;=$C2311+3)),1)))</f>
        <v/>
      </c>
      <c r="K2311" s="6" t="n"/>
    </row>
    <row r="2312">
      <c r="A2312" s="6" t="n"/>
      <c r="B2312" s="6" t="n"/>
      <c r="C2312" s="19" t="n"/>
      <c r="D2312" s="19" t="n"/>
      <c r="E2312" s="6" t="n"/>
      <c r="F2312" s="20" t="n"/>
      <c r="G2312" s="9">
        <f>IF($F2312="","",IF($F2312&gt;0,ROUND($F2312,2),""))</f>
        <v/>
      </c>
      <c r="H2312" s="12">
        <f>IF(OR($B2312="",$C2312="",$G2312=""),"",COUNTIFS(Ventes_Encaissements!$E$6:$E$3005,$B2312,Ventes_Encaissements!$J$6:$J$3005,$G2312,Ventes_Encaissements!$C$6:$C$3005,"&gt;="&amp;($C2312-3),Ventes_Encaissements!$C$6:$C$3005,"&lt;="&amp;($C2312+3)))</f>
        <v/>
      </c>
      <c r="I2312" s="12">
        <f>IF($H2312="","",IF($H2312=0,"Non trouvé",IF($H2312=1,"Match","À vérifier")))</f>
        <v/>
      </c>
      <c r="J2312" s="21">
        <f>IF($I2312&lt;&gt;"Match","",INDEX(Ventes_Encaissements!$B$6:$B$3005,_xludf.AGGREGATE(15,6,(ROW(Ventes_Encaissements!$B$6:$B$3005)-ROW(Ventes_Encaissements!$B$6)+1)/((Ventes_Encaissements!$E$6:$E$3005=$B2312)*(Ventes_Encaissements!$J$6:$J$3005=$G2312)*(Ventes_Encaissements!$C$6:$C$3005&gt;=$C2312-3)*(Ventes_Encaissements!$C$6:$C$3005&lt;=$C2312+3)),1)))</f>
        <v/>
      </c>
      <c r="K2312" s="6" t="n"/>
    </row>
    <row r="2313">
      <c r="A2313" s="6" t="n"/>
      <c r="B2313" s="6" t="n"/>
      <c r="C2313" s="19" t="n"/>
      <c r="D2313" s="19" t="n"/>
      <c r="E2313" s="6" t="n"/>
      <c r="F2313" s="20" t="n"/>
      <c r="G2313" s="9">
        <f>IF($F2313="","",IF($F2313&gt;0,ROUND($F2313,2),""))</f>
        <v/>
      </c>
      <c r="H2313" s="12">
        <f>IF(OR($B2313="",$C2313="",$G2313=""),"",COUNTIFS(Ventes_Encaissements!$E$6:$E$3005,$B2313,Ventes_Encaissements!$J$6:$J$3005,$G2313,Ventes_Encaissements!$C$6:$C$3005,"&gt;="&amp;($C2313-3),Ventes_Encaissements!$C$6:$C$3005,"&lt;="&amp;($C2313+3)))</f>
        <v/>
      </c>
      <c r="I2313" s="12">
        <f>IF($H2313="","",IF($H2313=0,"Non trouvé",IF($H2313=1,"Match","À vérifier")))</f>
        <v/>
      </c>
      <c r="J2313" s="21">
        <f>IF($I2313&lt;&gt;"Match","",INDEX(Ventes_Encaissements!$B$6:$B$3005,_xludf.AGGREGATE(15,6,(ROW(Ventes_Encaissements!$B$6:$B$3005)-ROW(Ventes_Encaissements!$B$6)+1)/((Ventes_Encaissements!$E$6:$E$3005=$B2313)*(Ventes_Encaissements!$J$6:$J$3005=$G2313)*(Ventes_Encaissements!$C$6:$C$3005&gt;=$C2313-3)*(Ventes_Encaissements!$C$6:$C$3005&lt;=$C2313+3)),1)))</f>
        <v/>
      </c>
      <c r="K2313" s="6" t="n"/>
    </row>
    <row r="2314">
      <c r="A2314" s="6" t="n"/>
      <c r="B2314" s="6" t="n"/>
      <c r="C2314" s="19" t="n"/>
      <c r="D2314" s="19" t="n"/>
      <c r="E2314" s="6" t="n"/>
      <c r="F2314" s="20" t="n"/>
      <c r="G2314" s="9">
        <f>IF($F2314="","",IF($F2314&gt;0,ROUND($F2314,2),""))</f>
        <v/>
      </c>
      <c r="H2314" s="12">
        <f>IF(OR($B2314="",$C2314="",$G2314=""),"",COUNTIFS(Ventes_Encaissements!$E$6:$E$3005,$B2314,Ventes_Encaissements!$J$6:$J$3005,$G2314,Ventes_Encaissements!$C$6:$C$3005,"&gt;="&amp;($C2314-3),Ventes_Encaissements!$C$6:$C$3005,"&lt;="&amp;($C2314+3)))</f>
        <v/>
      </c>
      <c r="I2314" s="12">
        <f>IF($H2314="","",IF($H2314=0,"Non trouvé",IF($H2314=1,"Match","À vérifier")))</f>
        <v/>
      </c>
      <c r="J2314" s="21">
        <f>IF($I2314&lt;&gt;"Match","",INDEX(Ventes_Encaissements!$B$6:$B$3005,_xludf.AGGREGATE(15,6,(ROW(Ventes_Encaissements!$B$6:$B$3005)-ROW(Ventes_Encaissements!$B$6)+1)/((Ventes_Encaissements!$E$6:$E$3005=$B2314)*(Ventes_Encaissements!$J$6:$J$3005=$G2314)*(Ventes_Encaissements!$C$6:$C$3005&gt;=$C2314-3)*(Ventes_Encaissements!$C$6:$C$3005&lt;=$C2314+3)),1)))</f>
        <v/>
      </c>
      <c r="K2314" s="6" t="n"/>
    </row>
    <row r="2315">
      <c r="A2315" s="6" t="n"/>
      <c r="B2315" s="6" t="n"/>
      <c r="C2315" s="19" t="n"/>
      <c r="D2315" s="19" t="n"/>
      <c r="E2315" s="6" t="n"/>
      <c r="F2315" s="20" t="n"/>
      <c r="G2315" s="9">
        <f>IF($F2315="","",IF($F2315&gt;0,ROUND($F2315,2),""))</f>
        <v/>
      </c>
      <c r="H2315" s="12">
        <f>IF(OR($B2315="",$C2315="",$G2315=""),"",COUNTIFS(Ventes_Encaissements!$E$6:$E$3005,$B2315,Ventes_Encaissements!$J$6:$J$3005,$G2315,Ventes_Encaissements!$C$6:$C$3005,"&gt;="&amp;($C2315-3),Ventes_Encaissements!$C$6:$C$3005,"&lt;="&amp;($C2315+3)))</f>
        <v/>
      </c>
      <c r="I2315" s="12">
        <f>IF($H2315="","",IF($H2315=0,"Non trouvé",IF($H2315=1,"Match","À vérifier")))</f>
        <v/>
      </c>
      <c r="J2315" s="21">
        <f>IF($I2315&lt;&gt;"Match","",INDEX(Ventes_Encaissements!$B$6:$B$3005,_xludf.AGGREGATE(15,6,(ROW(Ventes_Encaissements!$B$6:$B$3005)-ROW(Ventes_Encaissements!$B$6)+1)/((Ventes_Encaissements!$E$6:$E$3005=$B2315)*(Ventes_Encaissements!$J$6:$J$3005=$G2315)*(Ventes_Encaissements!$C$6:$C$3005&gt;=$C2315-3)*(Ventes_Encaissements!$C$6:$C$3005&lt;=$C2315+3)),1)))</f>
        <v/>
      </c>
      <c r="K2315" s="6" t="n"/>
    </row>
    <row r="2316">
      <c r="A2316" s="6" t="n"/>
      <c r="B2316" s="6" t="n"/>
      <c r="C2316" s="19" t="n"/>
      <c r="D2316" s="19" t="n"/>
      <c r="E2316" s="6" t="n"/>
      <c r="F2316" s="20" t="n"/>
      <c r="G2316" s="9">
        <f>IF($F2316="","",IF($F2316&gt;0,ROUND($F2316,2),""))</f>
        <v/>
      </c>
      <c r="H2316" s="12">
        <f>IF(OR($B2316="",$C2316="",$G2316=""),"",COUNTIFS(Ventes_Encaissements!$E$6:$E$3005,$B2316,Ventes_Encaissements!$J$6:$J$3005,$G2316,Ventes_Encaissements!$C$6:$C$3005,"&gt;="&amp;($C2316-3),Ventes_Encaissements!$C$6:$C$3005,"&lt;="&amp;($C2316+3)))</f>
        <v/>
      </c>
      <c r="I2316" s="12">
        <f>IF($H2316="","",IF($H2316=0,"Non trouvé",IF($H2316=1,"Match","À vérifier")))</f>
        <v/>
      </c>
      <c r="J2316" s="21">
        <f>IF($I2316&lt;&gt;"Match","",INDEX(Ventes_Encaissements!$B$6:$B$3005,_xludf.AGGREGATE(15,6,(ROW(Ventes_Encaissements!$B$6:$B$3005)-ROW(Ventes_Encaissements!$B$6)+1)/((Ventes_Encaissements!$E$6:$E$3005=$B2316)*(Ventes_Encaissements!$J$6:$J$3005=$G2316)*(Ventes_Encaissements!$C$6:$C$3005&gt;=$C2316-3)*(Ventes_Encaissements!$C$6:$C$3005&lt;=$C2316+3)),1)))</f>
        <v/>
      </c>
      <c r="K2316" s="6" t="n"/>
    </row>
    <row r="2317">
      <c r="A2317" s="6" t="n"/>
      <c r="B2317" s="6" t="n"/>
      <c r="C2317" s="19" t="n"/>
      <c r="D2317" s="19" t="n"/>
      <c r="E2317" s="6" t="n"/>
      <c r="F2317" s="20" t="n"/>
      <c r="G2317" s="9">
        <f>IF($F2317="","",IF($F2317&gt;0,ROUND($F2317,2),""))</f>
        <v/>
      </c>
      <c r="H2317" s="12">
        <f>IF(OR($B2317="",$C2317="",$G2317=""),"",COUNTIFS(Ventes_Encaissements!$E$6:$E$3005,$B2317,Ventes_Encaissements!$J$6:$J$3005,$G2317,Ventes_Encaissements!$C$6:$C$3005,"&gt;="&amp;($C2317-3),Ventes_Encaissements!$C$6:$C$3005,"&lt;="&amp;($C2317+3)))</f>
        <v/>
      </c>
      <c r="I2317" s="12">
        <f>IF($H2317="","",IF($H2317=0,"Non trouvé",IF($H2317=1,"Match","À vérifier")))</f>
        <v/>
      </c>
      <c r="J2317" s="21">
        <f>IF($I2317&lt;&gt;"Match","",INDEX(Ventes_Encaissements!$B$6:$B$3005,_xludf.AGGREGATE(15,6,(ROW(Ventes_Encaissements!$B$6:$B$3005)-ROW(Ventes_Encaissements!$B$6)+1)/((Ventes_Encaissements!$E$6:$E$3005=$B2317)*(Ventes_Encaissements!$J$6:$J$3005=$G2317)*(Ventes_Encaissements!$C$6:$C$3005&gt;=$C2317-3)*(Ventes_Encaissements!$C$6:$C$3005&lt;=$C2317+3)),1)))</f>
        <v/>
      </c>
      <c r="K2317" s="6" t="n"/>
    </row>
    <row r="2318">
      <c r="A2318" s="6" t="n"/>
      <c r="B2318" s="6" t="n"/>
      <c r="C2318" s="19" t="n"/>
      <c r="D2318" s="19" t="n"/>
      <c r="E2318" s="6" t="n"/>
      <c r="F2318" s="20" t="n"/>
      <c r="G2318" s="9">
        <f>IF($F2318="","",IF($F2318&gt;0,ROUND($F2318,2),""))</f>
        <v/>
      </c>
      <c r="H2318" s="12">
        <f>IF(OR($B2318="",$C2318="",$G2318=""),"",COUNTIFS(Ventes_Encaissements!$E$6:$E$3005,$B2318,Ventes_Encaissements!$J$6:$J$3005,$G2318,Ventes_Encaissements!$C$6:$C$3005,"&gt;="&amp;($C2318-3),Ventes_Encaissements!$C$6:$C$3005,"&lt;="&amp;($C2318+3)))</f>
        <v/>
      </c>
      <c r="I2318" s="12">
        <f>IF($H2318="","",IF($H2318=0,"Non trouvé",IF($H2318=1,"Match","À vérifier")))</f>
        <v/>
      </c>
      <c r="J2318" s="21">
        <f>IF($I2318&lt;&gt;"Match","",INDEX(Ventes_Encaissements!$B$6:$B$3005,_xludf.AGGREGATE(15,6,(ROW(Ventes_Encaissements!$B$6:$B$3005)-ROW(Ventes_Encaissements!$B$6)+1)/((Ventes_Encaissements!$E$6:$E$3005=$B2318)*(Ventes_Encaissements!$J$6:$J$3005=$G2318)*(Ventes_Encaissements!$C$6:$C$3005&gt;=$C2318-3)*(Ventes_Encaissements!$C$6:$C$3005&lt;=$C2318+3)),1)))</f>
        <v/>
      </c>
      <c r="K2318" s="6" t="n"/>
    </row>
    <row r="2319">
      <c r="A2319" s="6" t="n"/>
      <c r="B2319" s="6" t="n"/>
      <c r="C2319" s="19" t="n"/>
      <c r="D2319" s="19" t="n"/>
      <c r="E2319" s="6" t="n"/>
      <c r="F2319" s="20" t="n"/>
      <c r="G2319" s="9">
        <f>IF($F2319="","",IF($F2319&gt;0,ROUND($F2319,2),""))</f>
        <v/>
      </c>
      <c r="H2319" s="12">
        <f>IF(OR($B2319="",$C2319="",$G2319=""),"",COUNTIFS(Ventes_Encaissements!$E$6:$E$3005,$B2319,Ventes_Encaissements!$J$6:$J$3005,$G2319,Ventes_Encaissements!$C$6:$C$3005,"&gt;="&amp;($C2319-3),Ventes_Encaissements!$C$6:$C$3005,"&lt;="&amp;($C2319+3)))</f>
        <v/>
      </c>
      <c r="I2319" s="12">
        <f>IF($H2319="","",IF($H2319=0,"Non trouvé",IF($H2319=1,"Match","À vérifier")))</f>
        <v/>
      </c>
      <c r="J2319" s="21">
        <f>IF($I2319&lt;&gt;"Match","",INDEX(Ventes_Encaissements!$B$6:$B$3005,_xludf.AGGREGATE(15,6,(ROW(Ventes_Encaissements!$B$6:$B$3005)-ROW(Ventes_Encaissements!$B$6)+1)/((Ventes_Encaissements!$E$6:$E$3005=$B2319)*(Ventes_Encaissements!$J$6:$J$3005=$G2319)*(Ventes_Encaissements!$C$6:$C$3005&gt;=$C2319-3)*(Ventes_Encaissements!$C$6:$C$3005&lt;=$C2319+3)),1)))</f>
        <v/>
      </c>
      <c r="K2319" s="6" t="n"/>
    </row>
    <row r="2320">
      <c r="A2320" s="6" t="n"/>
      <c r="B2320" s="6" t="n"/>
      <c r="C2320" s="19" t="n"/>
      <c r="D2320" s="19" t="n"/>
      <c r="E2320" s="6" t="n"/>
      <c r="F2320" s="20" t="n"/>
      <c r="G2320" s="9">
        <f>IF($F2320="","",IF($F2320&gt;0,ROUND($F2320,2),""))</f>
        <v/>
      </c>
      <c r="H2320" s="12">
        <f>IF(OR($B2320="",$C2320="",$G2320=""),"",COUNTIFS(Ventes_Encaissements!$E$6:$E$3005,$B2320,Ventes_Encaissements!$J$6:$J$3005,$G2320,Ventes_Encaissements!$C$6:$C$3005,"&gt;="&amp;($C2320-3),Ventes_Encaissements!$C$6:$C$3005,"&lt;="&amp;($C2320+3)))</f>
        <v/>
      </c>
      <c r="I2320" s="12">
        <f>IF($H2320="","",IF($H2320=0,"Non trouvé",IF($H2320=1,"Match","À vérifier")))</f>
        <v/>
      </c>
      <c r="J2320" s="21">
        <f>IF($I2320&lt;&gt;"Match","",INDEX(Ventes_Encaissements!$B$6:$B$3005,_xludf.AGGREGATE(15,6,(ROW(Ventes_Encaissements!$B$6:$B$3005)-ROW(Ventes_Encaissements!$B$6)+1)/((Ventes_Encaissements!$E$6:$E$3005=$B2320)*(Ventes_Encaissements!$J$6:$J$3005=$G2320)*(Ventes_Encaissements!$C$6:$C$3005&gt;=$C2320-3)*(Ventes_Encaissements!$C$6:$C$3005&lt;=$C2320+3)),1)))</f>
        <v/>
      </c>
      <c r="K2320" s="6" t="n"/>
    </row>
    <row r="2321">
      <c r="A2321" s="6" t="n"/>
      <c r="B2321" s="6" t="n"/>
      <c r="C2321" s="19" t="n"/>
      <c r="D2321" s="19" t="n"/>
      <c r="E2321" s="6" t="n"/>
      <c r="F2321" s="20" t="n"/>
      <c r="G2321" s="9">
        <f>IF($F2321="","",IF($F2321&gt;0,ROUND($F2321,2),""))</f>
        <v/>
      </c>
      <c r="H2321" s="12">
        <f>IF(OR($B2321="",$C2321="",$G2321=""),"",COUNTIFS(Ventes_Encaissements!$E$6:$E$3005,$B2321,Ventes_Encaissements!$J$6:$J$3005,$G2321,Ventes_Encaissements!$C$6:$C$3005,"&gt;="&amp;($C2321-3),Ventes_Encaissements!$C$6:$C$3005,"&lt;="&amp;($C2321+3)))</f>
        <v/>
      </c>
      <c r="I2321" s="12">
        <f>IF($H2321="","",IF($H2321=0,"Non trouvé",IF($H2321=1,"Match","À vérifier")))</f>
        <v/>
      </c>
      <c r="J2321" s="21">
        <f>IF($I2321&lt;&gt;"Match","",INDEX(Ventes_Encaissements!$B$6:$B$3005,_xludf.AGGREGATE(15,6,(ROW(Ventes_Encaissements!$B$6:$B$3005)-ROW(Ventes_Encaissements!$B$6)+1)/((Ventes_Encaissements!$E$6:$E$3005=$B2321)*(Ventes_Encaissements!$J$6:$J$3005=$G2321)*(Ventes_Encaissements!$C$6:$C$3005&gt;=$C2321-3)*(Ventes_Encaissements!$C$6:$C$3005&lt;=$C2321+3)),1)))</f>
        <v/>
      </c>
      <c r="K2321" s="6" t="n"/>
    </row>
    <row r="2322">
      <c r="A2322" s="6" t="n"/>
      <c r="B2322" s="6" t="n"/>
      <c r="C2322" s="19" t="n"/>
      <c r="D2322" s="19" t="n"/>
      <c r="E2322" s="6" t="n"/>
      <c r="F2322" s="20" t="n"/>
      <c r="G2322" s="9">
        <f>IF($F2322="","",IF($F2322&gt;0,ROUND($F2322,2),""))</f>
        <v/>
      </c>
      <c r="H2322" s="12">
        <f>IF(OR($B2322="",$C2322="",$G2322=""),"",COUNTIFS(Ventes_Encaissements!$E$6:$E$3005,$B2322,Ventes_Encaissements!$J$6:$J$3005,$G2322,Ventes_Encaissements!$C$6:$C$3005,"&gt;="&amp;($C2322-3),Ventes_Encaissements!$C$6:$C$3005,"&lt;="&amp;($C2322+3)))</f>
        <v/>
      </c>
      <c r="I2322" s="12">
        <f>IF($H2322="","",IF($H2322=0,"Non trouvé",IF($H2322=1,"Match","À vérifier")))</f>
        <v/>
      </c>
      <c r="J2322" s="21">
        <f>IF($I2322&lt;&gt;"Match","",INDEX(Ventes_Encaissements!$B$6:$B$3005,_xludf.AGGREGATE(15,6,(ROW(Ventes_Encaissements!$B$6:$B$3005)-ROW(Ventes_Encaissements!$B$6)+1)/((Ventes_Encaissements!$E$6:$E$3005=$B2322)*(Ventes_Encaissements!$J$6:$J$3005=$G2322)*(Ventes_Encaissements!$C$6:$C$3005&gt;=$C2322-3)*(Ventes_Encaissements!$C$6:$C$3005&lt;=$C2322+3)),1)))</f>
        <v/>
      </c>
      <c r="K2322" s="6" t="n"/>
    </row>
    <row r="2323">
      <c r="A2323" s="6" t="n"/>
      <c r="B2323" s="6" t="n"/>
      <c r="C2323" s="19" t="n"/>
      <c r="D2323" s="19" t="n"/>
      <c r="E2323" s="6" t="n"/>
      <c r="F2323" s="20" t="n"/>
      <c r="G2323" s="9">
        <f>IF($F2323="","",IF($F2323&gt;0,ROUND($F2323,2),""))</f>
        <v/>
      </c>
      <c r="H2323" s="12">
        <f>IF(OR($B2323="",$C2323="",$G2323=""),"",COUNTIFS(Ventes_Encaissements!$E$6:$E$3005,$B2323,Ventes_Encaissements!$J$6:$J$3005,$G2323,Ventes_Encaissements!$C$6:$C$3005,"&gt;="&amp;($C2323-3),Ventes_Encaissements!$C$6:$C$3005,"&lt;="&amp;($C2323+3)))</f>
        <v/>
      </c>
      <c r="I2323" s="12">
        <f>IF($H2323="","",IF($H2323=0,"Non trouvé",IF($H2323=1,"Match","À vérifier")))</f>
        <v/>
      </c>
      <c r="J2323" s="21">
        <f>IF($I2323&lt;&gt;"Match","",INDEX(Ventes_Encaissements!$B$6:$B$3005,_xludf.AGGREGATE(15,6,(ROW(Ventes_Encaissements!$B$6:$B$3005)-ROW(Ventes_Encaissements!$B$6)+1)/((Ventes_Encaissements!$E$6:$E$3005=$B2323)*(Ventes_Encaissements!$J$6:$J$3005=$G2323)*(Ventes_Encaissements!$C$6:$C$3005&gt;=$C2323-3)*(Ventes_Encaissements!$C$6:$C$3005&lt;=$C2323+3)),1)))</f>
        <v/>
      </c>
      <c r="K2323" s="6" t="n"/>
    </row>
    <row r="2324">
      <c r="A2324" s="6" t="n"/>
      <c r="B2324" s="6" t="n"/>
      <c r="C2324" s="19" t="n"/>
      <c r="D2324" s="19" t="n"/>
      <c r="E2324" s="6" t="n"/>
      <c r="F2324" s="20" t="n"/>
      <c r="G2324" s="9">
        <f>IF($F2324="","",IF($F2324&gt;0,ROUND($F2324,2),""))</f>
        <v/>
      </c>
      <c r="H2324" s="12">
        <f>IF(OR($B2324="",$C2324="",$G2324=""),"",COUNTIFS(Ventes_Encaissements!$E$6:$E$3005,$B2324,Ventes_Encaissements!$J$6:$J$3005,$G2324,Ventes_Encaissements!$C$6:$C$3005,"&gt;="&amp;($C2324-3),Ventes_Encaissements!$C$6:$C$3005,"&lt;="&amp;($C2324+3)))</f>
        <v/>
      </c>
      <c r="I2324" s="12">
        <f>IF($H2324="","",IF($H2324=0,"Non trouvé",IF($H2324=1,"Match","À vérifier")))</f>
        <v/>
      </c>
      <c r="J2324" s="21">
        <f>IF($I2324&lt;&gt;"Match","",INDEX(Ventes_Encaissements!$B$6:$B$3005,_xludf.AGGREGATE(15,6,(ROW(Ventes_Encaissements!$B$6:$B$3005)-ROW(Ventes_Encaissements!$B$6)+1)/((Ventes_Encaissements!$E$6:$E$3005=$B2324)*(Ventes_Encaissements!$J$6:$J$3005=$G2324)*(Ventes_Encaissements!$C$6:$C$3005&gt;=$C2324-3)*(Ventes_Encaissements!$C$6:$C$3005&lt;=$C2324+3)),1)))</f>
        <v/>
      </c>
      <c r="K2324" s="6" t="n"/>
    </row>
    <row r="2325">
      <c r="A2325" s="6" t="n"/>
      <c r="B2325" s="6" t="n"/>
      <c r="C2325" s="19" t="n"/>
      <c r="D2325" s="19" t="n"/>
      <c r="E2325" s="6" t="n"/>
      <c r="F2325" s="20" t="n"/>
      <c r="G2325" s="9">
        <f>IF($F2325="","",IF($F2325&gt;0,ROUND($F2325,2),""))</f>
        <v/>
      </c>
      <c r="H2325" s="12">
        <f>IF(OR($B2325="",$C2325="",$G2325=""),"",COUNTIFS(Ventes_Encaissements!$E$6:$E$3005,$B2325,Ventes_Encaissements!$J$6:$J$3005,$G2325,Ventes_Encaissements!$C$6:$C$3005,"&gt;="&amp;($C2325-3),Ventes_Encaissements!$C$6:$C$3005,"&lt;="&amp;($C2325+3)))</f>
        <v/>
      </c>
      <c r="I2325" s="12">
        <f>IF($H2325="","",IF($H2325=0,"Non trouvé",IF($H2325=1,"Match","À vérifier")))</f>
        <v/>
      </c>
      <c r="J2325" s="21">
        <f>IF($I2325&lt;&gt;"Match","",INDEX(Ventes_Encaissements!$B$6:$B$3005,_xludf.AGGREGATE(15,6,(ROW(Ventes_Encaissements!$B$6:$B$3005)-ROW(Ventes_Encaissements!$B$6)+1)/((Ventes_Encaissements!$E$6:$E$3005=$B2325)*(Ventes_Encaissements!$J$6:$J$3005=$G2325)*(Ventes_Encaissements!$C$6:$C$3005&gt;=$C2325-3)*(Ventes_Encaissements!$C$6:$C$3005&lt;=$C2325+3)),1)))</f>
        <v/>
      </c>
      <c r="K2325" s="6" t="n"/>
    </row>
    <row r="2326">
      <c r="A2326" s="6" t="n"/>
      <c r="B2326" s="6" t="n"/>
      <c r="C2326" s="19" t="n"/>
      <c r="D2326" s="19" t="n"/>
      <c r="E2326" s="6" t="n"/>
      <c r="F2326" s="20" t="n"/>
      <c r="G2326" s="9">
        <f>IF($F2326="","",IF($F2326&gt;0,ROUND($F2326,2),""))</f>
        <v/>
      </c>
      <c r="H2326" s="12">
        <f>IF(OR($B2326="",$C2326="",$G2326=""),"",COUNTIFS(Ventes_Encaissements!$E$6:$E$3005,$B2326,Ventes_Encaissements!$J$6:$J$3005,$G2326,Ventes_Encaissements!$C$6:$C$3005,"&gt;="&amp;($C2326-3),Ventes_Encaissements!$C$6:$C$3005,"&lt;="&amp;($C2326+3)))</f>
        <v/>
      </c>
      <c r="I2326" s="12">
        <f>IF($H2326="","",IF($H2326=0,"Non trouvé",IF($H2326=1,"Match","À vérifier")))</f>
        <v/>
      </c>
      <c r="J2326" s="21">
        <f>IF($I2326&lt;&gt;"Match","",INDEX(Ventes_Encaissements!$B$6:$B$3005,_xludf.AGGREGATE(15,6,(ROW(Ventes_Encaissements!$B$6:$B$3005)-ROW(Ventes_Encaissements!$B$6)+1)/((Ventes_Encaissements!$E$6:$E$3005=$B2326)*(Ventes_Encaissements!$J$6:$J$3005=$G2326)*(Ventes_Encaissements!$C$6:$C$3005&gt;=$C2326-3)*(Ventes_Encaissements!$C$6:$C$3005&lt;=$C2326+3)),1)))</f>
        <v/>
      </c>
      <c r="K2326" s="6" t="n"/>
    </row>
    <row r="2327">
      <c r="A2327" s="6" t="n"/>
      <c r="B2327" s="6" t="n"/>
      <c r="C2327" s="19" t="n"/>
      <c r="D2327" s="19" t="n"/>
      <c r="E2327" s="6" t="n"/>
      <c r="F2327" s="20" t="n"/>
      <c r="G2327" s="9">
        <f>IF($F2327="","",IF($F2327&gt;0,ROUND($F2327,2),""))</f>
        <v/>
      </c>
      <c r="H2327" s="12">
        <f>IF(OR($B2327="",$C2327="",$G2327=""),"",COUNTIFS(Ventes_Encaissements!$E$6:$E$3005,$B2327,Ventes_Encaissements!$J$6:$J$3005,$G2327,Ventes_Encaissements!$C$6:$C$3005,"&gt;="&amp;($C2327-3),Ventes_Encaissements!$C$6:$C$3005,"&lt;="&amp;($C2327+3)))</f>
        <v/>
      </c>
      <c r="I2327" s="12">
        <f>IF($H2327="","",IF($H2327=0,"Non trouvé",IF($H2327=1,"Match","À vérifier")))</f>
        <v/>
      </c>
      <c r="J2327" s="21">
        <f>IF($I2327&lt;&gt;"Match","",INDEX(Ventes_Encaissements!$B$6:$B$3005,_xludf.AGGREGATE(15,6,(ROW(Ventes_Encaissements!$B$6:$B$3005)-ROW(Ventes_Encaissements!$B$6)+1)/((Ventes_Encaissements!$E$6:$E$3005=$B2327)*(Ventes_Encaissements!$J$6:$J$3005=$G2327)*(Ventes_Encaissements!$C$6:$C$3005&gt;=$C2327-3)*(Ventes_Encaissements!$C$6:$C$3005&lt;=$C2327+3)),1)))</f>
        <v/>
      </c>
      <c r="K2327" s="6" t="n"/>
    </row>
    <row r="2328">
      <c r="A2328" s="6" t="n"/>
      <c r="B2328" s="6" t="n"/>
      <c r="C2328" s="19" t="n"/>
      <c r="D2328" s="19" t="n"/>
      <c r="E2328" s="6" t="n"/>
      <c r="F2328" s="20" t="n"/>
      <c r="G2328" s="9">
        <f>IF($F2328="","",IF($F2328&gt;0,ROUND($F2328,2),""))</f>
        <v/>
      </c>
      <c r="H2328" s="12">
        <f>IF(OR($B2328="",$C2328="",$G2328=""),"",COUNTIFS(Ventes_Encaissements!$E$6:$E$3005,$B2328,Ventes_Encaissements!$J$6:$J$3005,$G2328,Ventes_Encaissements!$C$6:$C$3005,"&gt;="&amp;($C2328-3),Ventes_Encaissements!$C$6:$C$3005,"&lt;="&amp;($C2328+3)))</f>
        <v/>
      </c>
      <c r="I2328" s="12">
        <f>IF($H2328="","",IF($H2328=0,"Non trouvé",IF($H2328=1,"Match","À vérifier")))</f>
        <v/>
      </c>
      <c r="J2328" s="21">
        <f>IF($I2328&lt;&gt;"Match","",INDEX(Ventes_Encaissements!$B$6:$B$3005,_xludf.AGGREGATE(15,6,(ROW(Ventes_Encaissements!$B$6:$B$3005)-ROW(Ventes_Encaissements!$B$6)+1)/((Ventes_Encaissements!$E$6:$E$3005=$B2328)*(Ventes_Encaissements!$J$6:$J$3005=$G2328)*(Ventes_Encaissements!$C$6:$C$3005&gt;=$C2328-3)*(Ventes_Encaissements!$C$6:$C$3005&lt;=$C2328+3)),1)))</f>
        <v/>
      </c>
      <c r="K2328" s="6" t="n"/>
    </row>
    <row r="2329">
      <c r="A2329" s="6" t="n"/>
      <c r="B2329" s="6" t="n"/>
      <c r="C2329" s="19" t="n"/>
      <c r="D2329" s="19" t="n"/>
      <c r="E2329" s="6" t="n"/>
      <c r="F2329" s="20" t="n"/>
      <c r="G2329" s="9">
        <f>IF($F2329="","",IF($F2329&gt;0,ROUND($F2329,2),""))</f>
        <v/>
      </c>
      <c r="H2329" s="12">
        <f>IF(OR($B2329="",$C2329="",$G2329=""),"",COUNTIFS(Ventes_Encaissements!$E$6:$E$3005,$B2329,Ventes_Encaissements!$J$6:$J$3005,$G2329,Ventes_Encaissements!$C$6:$C$3005,"&gt;="&amp;($C2329-3),Ventes_Encaissements!$C$6:$C$3005,"&lt;="&amp;($C2329+3)))</f>
        <v/>
      </c>
      <c r="I2329" s="12">
        <f>IF($H2329="","",IF($H2329=0,"Non trouvé",IF($H2329=1,"Match","À vérifier")))</f>
        <v/>
      </c>
      <c r="J2329" s="21">
        <f>IF($I2329&lt;&gt;"Match","",INDEX(Ventes_Encaissements!$B$6:$B$3005,_xludf.AGGREGATE(15,6,(ROW(Ventes_Encaissements!$B$6:$B$3005)-ROW(Ventes_Encaissements!$B$6)+1)/((Ventes_Encaissements!$E$6:$E$3005=$B2329)*(Ventes_Encaissements!$J$6:$J$3005=$G2329)*(Ventes_Encaissements!$C$6:$C$3005&gt;=$C2329-3)*(Ventes_Encaissements!$C$6:$C$3005&lt;=$C2329+3)),1)))</f>
        <v/>
      </c>
      <c r="K2329" s="6" t="n"/>
    </row>
    <row r="2330">
      <c r="A2330" s="6" t="n"/>
      <c r="B2330" s="6" t="n"/>
      <c r="C2330" s="19" t="n"/>
      <c r="D2330" s="19" t="n"/>
      <c r="E2330" s="6" t="n"/>
      <c r="F2330" s="20" t="n"/>
      <c r="G2330" s="9">
        <f>IF($F2330="","",IF($F2330&gt;0,ROUND($F2330,2),""))</f>
        <v/>
      </c>
      <c r="H2330" s="12">
        <f>IF(OR($B2330="",$C2330="",$G2330=""),"",COUNTIFS(Ventes_Encaissements!$E$6:$E$3005,$B2330,Ventes_Encaissements!$J$6:$J$3005,$G2330,Ventes_Encaissements!$C$6:$C$3005,"&gt;="&amp;($C2330-3),Ventes_Encaissements!$C$6:$C$3005,"&lt;="&amp;($C2330+3)))</f>
        <v/>
      </c>
      <c r="I2330" s="12">
        <f>IF($H2330="","",IF($H2330=0,"Non trouvé",IF($H2330=1,"Match","À vérifier")))</f>
        <v/>
      </c>
      <c r="J2330" s="21">
        <f>IF($I2330&lt;&gt;"Match","",INDEX(Ventes_Encaissements!$B$6:$B$3005,_xludf.AGGREGATE(15,6,(ROW(Ventes_Encaissements!$B$6:$B$3005)-ROW(Ventes_Encaissements!$B$6)+1)/((Ventes_Encaissements!$E$6:$E$3005=$B2330)*(Ventes_Encaissements!$J$6:$J$3005=$G2330)*(Ventes_Encaissements!$C$6:$C$3005&gt;=$C2330-3)*(Ventes_Encaissements!$C$6:$C$3005&lt;=$C2330+3)),1)))</f>
        <v/>
      </c>
      <c r="K2330" s="6" t="n"/>
    </row>
    <row r="2331">
      <c r="A2331" s="6" t="n"/>
      <c r="B2331" s="6" t="n"/>
      <c r="C2331" s="19" t="n"/>
      <c r="D2331" s="19" t="n"/>
      <c r="E2331" s="6" t="n"/>
      <c r="F2331" s="20" t="n"/>
      <c r="G2331" s="9">
        <f>IF($F2331="","",IF($F2331&gt;0,ROUND($F2331,2),""))</f>
        <v/>
      </c>
      <c r="H2331" s="12">
        <f>IF(OR($B2331="",$C2331="",$G2331=""),"",COUNTIFS(Ventes_Encaissements!$E$6:$E$3005,$B2331,Ventes_Encaissements!$J$6:$J$3005,$G2331,Ventes_Encaissements!$C$6:$C$3005,"&gt;="&amp;($C2331-3),Ventes_Encaissements!$C$6:$C$3005,"&lt;="&amp;($C2331+3)))</f>
        <v/>
      </c>
      <c r="I2331" s="12">
        <f>IF($H2331="","",IF($H2331=0,"Non trouvé",IF($H2331=1,"Match","À vérifier")))</f>
        <v/>
      </c>
      <c r="J2331" s="21">
        <f>IF($I2331&lt;&gt;"Match","",INDEX(Ventes_Encaissements!$B$6:$B$3005,_xludf.AGGREGATE(15,6,(ROW(Ventes_Encaissements!$B$6:$B$3005)-ROW(Ventes_Encaissements!$B$6)+1)/((Ventes_Encaissements!$E$6:$E$3005=$B2331)*(Ventes_Encaissements!$J$6:$J$3005=$G2331)*(Ventes_Encaissements!$C$6:$C$3005&gt;=$C2331-3)*(Ventes_Encaissements!$C$6:$C$3005&lt;=$C2331+3)),1)))</f>
        <v/>
      </c>
      <c r="K2331" s="6" t="n"/>
    </row>
    <row r="2332">
      <c r="A2332" s="6" t="n"/>
      <c r="B2332" s="6" t="n"/>
      <c r="C2332" s="19" t="n"/>
      <c r="D2332" s="19" t="n"/>
      <c r="E2332" s="6" t="n"/>
      <c r="F2332" s="20" t="n"/>
      <c r="G2332" s="9">
        <f>IF($F2332="","",IF($F2332&gt;0,ROUND($F2332,2),""))</f>
        <v/>
      </c>
      <c r="H2332" s="12">
        <f>IF(OR($B2332="",$C2332="",$G2332=""),"",COUNTIFS(Ventes_Encaissements!$E$6:$E$3005,$B2332,Ventes_Encaissements!$J$6:$J$3005,$G2332,Ventes_Encaissements!$C$6:$C$3005,"&gt;="&amp;($C2332-3),Ventes_Encaissements!$C$6:$C$3005,"&lt;="&amp;($C2332+3)))</f>
        <v/>
      </c>
      <c r="I2332" s="12">
        <f>IF($H2332="","",IF($H2332=0,"Non trouvé",IF($H2332=1,"Match","À vérifier")))</f>
        <v/>
      </c>
      <c r="J2332" s="21">
        <f>IF($I2332&lt;&gt;"Match","",INDEX(Ventes_Encaissements!$B$6:$B$3005,_xludf.AGGREGATE(15,6,(ROW(Ventes_Encaissements!$B$6:$B$3005)-ROW(Ventes_Encaissements!$B$6)+1)/((Ventes_Encaissements!$E$6:$E$3005=$B2332)*(Ventes_Encaissements!$J$6:$J$3005=$G2332)*(Ventes_Encaissements!$C$6:$C$3005&gt;=$C2332-3)*(Ventes_Encaissements!$C$6:$C$3005&lt;=$C2332+3)),1)))</f>
        <v/>
      </c>
      <c r="K2332" s="6" t="n"/>
    </row>
    <row r="2333">
      <c r="A2333" s="6" t="n"/>
      <c r="B2333" s="6" t="n"/>
      <c r="C2333" s="19" t="n"/>
      <c r="D2333" s="19" t="n"/>
      <c r="E2333" s="6" t="n"/>
      <c r="F2333" s="20" t="n"/>
      <c r="G2333" s="9">
        <f>IF($F2333="","",IF($F2333&gt;0,ROUND($F2333,2),""))</f>
        <v/>
      </c>
      <c r="H2333" s="12">
        <f>IF(OR($B2333="",$C2333="",$G2333=""),"",COUNTIFS(Ventes_Encaissements!$E$6:$E$3005,$B2333,Ventes_Encaissements!$J$6:$J$3005,$G2333,Ventes_Encaissements!$C$6:$C$3005,"&gt;="&amp;($C2333-3),Ventes_Encaissements!$C$6:$C$3005,"&lt;="&amp;($C2333+3)))</f>
        <v/>
      </c>
      <c r="I2333" s="12">
        <f>IF($H2333="","",IF($H2333=0,"Non trouvé",IF($H2333=1,"Match","À vérifier")))</f>
        <v/>
      </c>
      <c r="J2333" s="21">
        <f>IF($I2333&lt;&gt;"Match","",INDEX(Ventes_Encaissements!$B$6:$B$3005,_xludf.AGGREGATE(15,6,(ROW(Ventes_Encaissements!$B$6:$B$3005)-ROW(Ventes_Encaissements!$B$6)+1)/((Ventes_Encaissements!$E$6:$E$3005=$B2333)*(Ventes_Encaissements!$J$6:$J$3005=$G2333)*(Ventes_Encaissements!$C$6:$C$3005&gt;=$C2333-3)*(Ventes_Encaissements!$C$6:$C$3005&lt;=$C2333+3)),1)))</f>
        <v/>
      </c>
      <c r="K2333" s="6" t="n"/>
    </row>
    <row r="2334">
      <c r="A2334" s="6" t="n"/>
      <c r="B2334" s="6" t="n"/>
      <c r="C2334" s="19" t="n"/>
      <c r="D2334" s="19" t="n"/>
      <c r="E2334" s="6" t="n"/>
      <c r="F2334" s="20" t="n"/>
      <c r="G2334" s="9">
        <f>IF($F2334="","",IF($F2334&gt;0,ROUND($F2334,2),""))</f>
        <v/>
      </c>
      <c r="H2334" s="12">
        <f>IF(OR($B2334="",$C2334="",$G2334=""),"",COUNTIFS(Ventes_Encaissements!$E$6:$E$3005,$B2334,Ventes_Encaissements!$J$6:$J$3005,$G2334,Ventes_Encaissements!$C$6:$C$3005,"&gt;="&amp;($C2334-3),Ventes_Encaissements!$C$6:$C$3005,"&lt;="&amp;($C2334+3)))</f>
        <v/>
      </c>
      <c r="I2334" s="12">
        <f>IF($H2334="","",IF($H2334=0,"Non trouvé",IF($H2334=1,"Match","À vérifier")))</f>
        <v/>
      </c>
      <c r="J2334" s="21">
        <f>IF($I2334&lt;&gt;"Match","",INDEX(Ventes_Encaissements!$B$6:$B$3005,_xludf.AGGREGATE(15,6,(ROW(Ventes_Encaissements!$B$6:$B$3005)-ROW(Ventes_Encaissements!$B$6)+1)/((Ventes_Encaissements!$E$6:$E$3005=$B2334)*(Ventes_Encaissements!$J$6:$J$3005=$G2334)*(Ventes_Encaissements!$C$6:$C$3005&gt;=$C2334-3)*(Ventes_Encaissements!$C$6:$C$3005&lt;=$C2334+3)),1)))</f>
        <v/>
      </c>
      <c r="K2334" s="6" t="n"/>
    </row>
    <row r="2335">
      <c r="A2335" s="6" t="n"/>
      <c r="B2335" s="6" t="n"/>
      <c r="C2335" s="19" t="n"/>
      <c r="D2335" s="19" t="n"/>
      <c r="E2335" s="6" t="n"/>
      <c r="F2335" s="20" t="n"/>
      <c r="G2335" s="9">
        <f>IF($F2335="","",IF($F2335&gt;0,ROUND($F2335,2),""))</f>
        <v/>
      </c>
      <c r="H2335" s="12">
        <f>IF(OR($B2335="",$C2335="",$G2335=""),"",COUNTIFS(Ventes_Encaissements!$E$6:$E$3005,$B2335,Ventes_Encaissements!$J$6:$J$3005,$G2335,Ventes_Encaissements!$C$6:$C$3005,"&gt;="&amp;($C2335-3),Ventes_Encaissements!$C$6:$C$3005,"&lt;="&amp;($C2335+3)))</f>
        <v/>
      </c>
      <c r="I2335" s="12">
        <f>IF($H2335="","",IF($H2335=0,"Non trouvé",IF($H2335=1,"Match","À vérifier")))</f>
        <v/>
      </c>
      <c r="J2335" s="21">
        <f>IF($I2335&lt;&gt;"Match","",INDEX(Ventes_Encaissements!$B$6:$B$3005,_xludf.AGGREGATE(15,6,(ROW(Ventes_Encaissements!$B$6:$B$3005)-ROW(Ventes_Encaissements!$B$6)+1)/((Ventes_Encaissements!$E$6:$E$3005=$B2335)*(Ventes_Encaissements!$J$6:$J$3005=$G2335)*(Ventes_Encaissements!$C$6:$C$3005&gt;=$C2335-3)*(Ventes_Encaissements!$C$6:$C$3005&lt;=$C2335+3)),1)))</f>
        <v/>
      </c>
      <c r="K2335" s="6" t="n"/>
    </row>
    <row r="2336">
      <c r="A2336" s="6" t="n"/>
      <c r="B2336" s="6" t="n"/>
      <c r="C2336" s="19" t="n"/>
      <c r="D2336" s="19" t="n"/>
      <c r="E2336" s="6" t="n"/>
      <c r="F2336" s="20" t="n"/>
      <c r="G2336" s="9">
        <f>IF($F2336="","",IF($F2336&gt;0,ROUND($F2336,2),""))</f>
        <v/>
      </c>
      <c r="H2336" s="12">
        <f>IF(OR($B2336="",$C2336="",$G2336=""),"",COUNTIFS(Ventes_Encaissements!$E$6:$E$3005,$B2336,Ventes_Encaissements!$J$6:$J$3005,$G2336,Ventes_Encaissements!$C$6:$C$3005,"&gt;="&amp;($C2336-3),Ventes_Encaissements!$C$6:$C$3005,"&lt;="&amp;($C2336+3)))</f>
        <v/>
      </c>
      <c r="I2336" s="12">
        <f>IF($H2336="","",IF($H2336=0,"Non trouvé",IF($H2336=1,"Match","À vérifier")))</f>
        <v/>
      </c>
      <c r="J2336" s="21">
        <f>IF($I2336&lt;&gt;"Match","",INDEX(Ventes_Encaissements!$B$6:$B$3005,_xludf.AGGREGATE(15,6,(ROW(Ventes_Encaissements!$B$6:$B$3005)-ROW(Ventes_Encaissements!$B$6)+1)/((Ventes_Encaissements!$E$6:$E$3005=$B2336)*(Ventes_Encaissements!$J$6:$J$3005=$G2336)*(Ventes_Encaissements!$C$6:$C$3005&gt;=$C2336-3)*(Ventes_Encaissements!$C$6:$C$3005&lt;=$C2336+3)),1)))</f>
        <v/>
      </c>
      <c r="K2336" s="6" t="n"/>
    </row>
    <row r="2337">
      <c r="A2337" s="6" t="n"/>
      <c r="B2337" s="6" t="n"/>
      <c r="C2337" s="19" t="n"/>
      <c r="D2337" s="19" t="n"/>
      <c r="E2337" s="6" t="n"/>
      <c r="F2337" s="20" t="n"/>
      <c r="G2337" s="9">
        <f>IF($F2337="","",IF($F2337&gt;0,ROUND($F2337,2),""))</f>
        <v/>
      </c>
      <c r="H2337" s="12">
        <f>IF(OR($B2337="",$C2337="",$G2337=""),"",COUNTIFS(Ventes_Encaissements!$E$6:$E$3005,$B2337,Ventes_Encaissements!$J$6:$J$3005,$G2337,Ventes_Encaissements!$C$6:$C$3005,"&gt;="&amp;($C2337-3),Ventes_Encaissements!$C$6:$C$3005,"&lt;="&amp;($C2337+3)))</f>
        <v/>
      </c>
      <c r="I2337" s="12">
        <f>IF($H2337="","",IF($H2337=0,"Non trouvé",IF($H2337=1,"Match","À vérifier")))</f>
        <v/>
      </c>
      <c r="J2337" s="21">
        <f>IF($I2337&lt;&gt;"Match","",INDEX(Ventes_Encaissements!$B$6:$B$3005,_xludf.AGGREGATE(15,6,(ROW(Ventes_Encaissements!$B$6:$B$3005)-ROW(Ventes_Encaissements!$B$6)+1)/((Ventes_Encaissements!$E$6:$E$3005=$B2337)*(Ventes_Encaissements!$J$6:$J$3005=$G2337)*(Ventes_Encaissements!$C$6:$C$3005&gt;=$C2337-3)*(Ventes_Encaissements!$C$6:$C$3005&lt;=$C2337+3)),1)))</f>
        <v/>
      </c>
      <c r="K2337" s="6" t="n"/>
    </row>
    <row r="2338">
      <c r="A2338" s="6" t="n"/>
      <c r="B2338" s="6" t="n"/>
      <c r="C2338" s="19" t="n"/>
      <c r="D2338" s="19" t="n"/>
      <c r="E2338" s="6" t="n"/>
      <c r="F2338" s="20" t="n"/>
      <c r="G2338" s="9">
        <f>IF($F2338="","",IF($F2338&gt;0,ROUND($F2338,2),""))</f>
        <v/>
      </c>
      <c r="H2338" s="12">
        <f>IF(OR($B2338="",$C2338="",$G2338=""),"",COUNTIFS(Ventes_Encaissements!$E$6:$E$3005,$B2338,Ventes_Encaissements!$J$6:$J$3005,$G2338,Ventes_Encaissements!$C$6:$C$3005,"&gt;="&amp;($C2338-3),Ventes_Encaissements!$C$6:$C$3005,"&lt;="&amp;($C2338+3)))</f>
        <v/>
      </c>
      <c r="I2338" s="12">
        <f>IF($H2338="","",IF($H2338=0,"Non trouvé",IF($H2338=1,"Match","À vérifier")))</f>
        <v/>
      </c>
      <c r="J2338" s="21">
        <f>IF($I2338&lt;&gt;"Match","",INDEX(Ventes_Encaissements!$B$6:$B$3005,_xludf.AGGREGATE(15,6,(ROW(Ventes_Encaissements!$B$6:$B$3005)-ROW(Ventes_Encaissements!$B$6)+1)/((Ventes_Encaissements!$E$6:$E$3005=$B2338)*(Ventes_Encaissements!$J$6:$J$3005=$G2338)*(Ventes_Encaissements!$C$6:$C$3005&gt;=$C2338-3)*(Ventes_Encaissements!$C$6:$C$3005&lt;=$C2338+3)),1)))</f>
        <v/>
      </c>
      <c r="K2338" s="6" t="n"/>
    </row>
    <row r="2339">
      <c r="A2339" s="6" t="n"/>
      <c r="B2339" s="6" t="n"/>
      <c r="C2339" s="19" t="n"/>
      <c r="D2339" s="19" t="n"/>
      <c r="E2339" s="6" t="n"/>
      <c r="F2339" s="20" t="n"/>
      <c r="G2339" s="9">
        <f>IF($F2339="","",IF($F2339&gt;0,ROUND($F2339,2),""))</f>
        <v/>
      </c>
      <c r="H2339" s="12">
        <f>IF(OR($B2339="",$C2339="",$G2339=""),"",COUNTIFS(Ventes_Encaissements!$E$6:$E$3005,$B2339,Ventes_Encaissements!$J$6:$J$3005,$G2339,Ventes_Encaissements!$C$6:$C$3005,"&gt;="&amp;($C2339-3),Ventes_Encaissements!$C$6:$C$3005,"&lt;="&amp;($C2339+3)))</f>
        <v/>
      </c>
      <c r="I2339" s="12">
        <f>IF($H2339="","",IF($H2339=0,"Non trouvé",IF($H2339=1,"Match","À vérifier")))</f>
        <v/>
      </c>
      <c r="J2339" s="21">
        <f>IF($I2339&lt;&gt;"Match","",INDEX(Ventes_Encaissements!$B$6:$B$3005,_xludf.AGGREGATE(15,6,(ROW(Ventes_Encaissements!$B$6:$B$3005)-ROW(Ventes_Encaissements!$B$6)+1)/((Ventes_Encaissements!$E$6:$E$3005=$B2339)*(Ventes_Encaissements!$J$6:$J$3005=$G2339)*(Ventes_Encaissements!$C$6:$C$3005&gt;=$C2339-3)*(Ventes_Encaissements!$C$6:$C$3005&lt;=$C2339+3)),1)))</f>
        <v/>
      </c>
      <c r="K2339" s="6" t="n"/>
    </row>
    <row r="2340">
      <c r="A2340" s="6" t="n"/>
      <c r="B2340" s="6" t="n"/>
      <c r="C2340" s="19" t="n"/>
      <c r="D2340" s="19" t="n"/>
      <c r="E2340" s="6" t="n"/>
      <c r="F2340" s="20" t="n"/>
      <c r="G2340" s="9">
        <f>IF($F2340="","",IF($F2340&gt;0,ROUND($F2340,2),""))</f>
        <v/>
      </c>
      <c r="H2340" s="12">
        <f>IF(OR($B2340="",$C2340="",$G2340=""),"",COUNTIFS(Ventes_Encaissements!$E$6:$E$3005,$B2340,Ventes_Encaissements!$J$6:$J$3005,$G2340,Ventes_Encaissements!$C$6:$C$3005,"&gt;="&amp;($C2340-3),Ventes_Encaissements!$C$6:$C$3005,"&lt;="&amp;($C2340+3)))</f>
        <v/>
      </c>
      <c r="I2340" s="12">
        <f>IF($H2340="","",IF($H2340=0,"Non trouvé",IF($H2340=1,"Match","À vérifier")))</f>
        <v/>
      </c>
      <c r="J2340" s="21">
        <f>IF($I2340&lt;&gt;"Match","",INDEX(Ventes_Encaissements!$B$6:$B$3005,_xludf.AGGREGATE(15,6,(ROW(Ventes_Encaissements!$B$6:$B$3005)-ROW(Ventes_Encaissements!$B$6)+1)/((Ventes_Encaissements!$E$6:$E$3005=$B2340)*(Ventes_Encaissements!$J$6:$J$3005=$G2340)*(Ventes_Encaissements!$C$6:$C$3005&gt;=$C2340-3)*(Ventes_Encaissements!$C$6:$C$3005&lt;=$C2340+3)),1)))</f>
        <v/>
      </c>
      <c r="K2340" s="6" t="n"/>
    </row>
    <row r="2341">
      <c r="A2341" s="6" t="n"/>
      <c r="B2341" s="6" t="n"/>
      <c r="C2341" s="19" t="n"/>
      <c r="D2341" s="19" t="n"/>
      <c r="E2341" s="6" t="n"/>
      <c r="F2341" s="20" t="n"/>
      <c r="G2341" s="9">
        <f>IF($F2341="","",IF($F2341&gt;0,ROUND($F2341,2),""))</f>
        <v/>
      </c>
      <c r="H2341" s="12">
        <f>IF(OR($B2341="",$C2341="",$G2341=""),"",COUNTIFS(Ventes_Encaissements!$E$6:$E$3005,$B2341,Ventes_Encaissements!$J$6:$J$3005,$G2341,Ventes_Encaissements!$C$6:$C$3005,"&gt;="&amp;($C2341-3),Ventes_Encaissements!$C$6:$C$3005,"&lt;="&amp;($C2341+3)))</f>
        <v/>
      </c>
      <c r="I2341" s="12">
        <f>IF($H2341="","",IF($H2341=0,"Non trouvé",IF($H2341=1,"Match","À vérifier")))</f>
        <v/>
      </c>
      <c r="J2341" s="21">
        <f>IF($I2341&lt;&gt;"Match","",INDEX(Ventes_Encaissements!$B$6:$B$3005,_xludf.AGGREGATE(15,6,(ROW(Ventes_Encaissements!$B$6:$B$3005)-ROW(Ventes_Encaissements!$B$6)+1)/((Ventes_Encaissements!$E$6:$E$3005=$B2341)*(Ventes_Encaissements!$J$6:$J$3005=$G2341)*(Ventes_Encaissements!$C$6:$C$3005&gt;=$C2341-3)*(Ventes_Encaissements!$C$6:$C$3005&lt;=$C2341+3)),1)))</f>
        <v/>
      </c>
      <c r="K2341" s="6" t="n"/>
    </row>
    <row r="2342">
      <c r="A2342" s="6" t="n"/>
      <c r="B2342" s="6" t="n"/>
      <c r="C2342" s="19" t="n"/>
      <c r="D2342" s="19" t="n"/>
      <c r="E2342" s="6" t="n"/>
      <c r="F2342" s="20" t="n"/>
      <c r="G2342" s="9">
        <f>IF($F2342="","",IF($F2342&gt;0,ROUND($F2342,2),""))</f>
        <v/>
      </c>
      <c r="H2342" s="12">
        <f>IF(OR($B2342="",$C2342="",$G2342=""),"",COUNTIFS(Ventes_Encaissements!$E$6:$E$3005,$B2342,Ventes_Encaissements!$J$6:$J$3005,$G2342,Ventes_Encaissements!$C$6:$C$3005,"&gt;="&amp;($C2342-3),Ventes_Encaissements!$C$6:$C$3005,"&lt;="&amp;($C2342+3)))</f>
        <v/>
      </c>
      <c r="I2342" s="12">
        <f>IF($H2342="","",IF($H2342=0,"Non trouvé",IF($H2342=1,"Match","À vérifier")))</f>
        <v/>
      </c>
      <c r="J2342" s="21">
        <f>IF($I2342&lt;&gt;"Match","",INDEX(Ventes_Encaissements!$B$6:$B$3005,_xludf.AGGREGATE(15,6,(ROW(Ventes_Encaissements!$B$6:$B$3005)-ROW(Ventes_Encaissements!$B$6)+1)/((Ventes_Encaissements!$E$6:$E$3005=$B2342)*(Ventes_Encaissements!$J$6:$J$3005=$G2342)*(Ventes_Encaissements!$C$6:$C$3005&gt;=$C2342-3)*(Ventes_Encaissements!$C$6:$C$3005&lt;=$C2342+3)),1)))</f>
        <v/>
      </c>
      <c r="K2342" s="6" t="n"/>
    </row>
    <row r="2343">
      <c r="A2343" s="6" t="n"/>
      <c r="B2343" s="6" t="n"/>
      <c r="C2343" s="19" t="n"/>
      <c r="D2343" s="19" t="n"/>
      <c r="E2343" s="6" t="n"/>
      <c r="F2343" s="20" t="n"/>
      <c r="G2343" s="9">
        <f>IF($F2343="","",IF($F2343&gt;0,ROUND($F2343,2),""))</f>
        <v/>
      </c>
      <c r="H2343" s="12">
        <f>IF(OR($B2343="",$C2343="",$G2343=""),"",COUNTIFS(Ventes_Encaissements!$E$6:$E$3005,$B2343,Ventes_Encaissements!$J$6:$J$3005,$G2343,Ventes_Encaissements!$C$6:$C$3005,"&gt;="&amp;($C2343-3),Ventes_Encaissements!$C$6:$C$3005,"&lt;="&amp;($C2343+3)))</f>
        <v/>
      </c>
      <c r="I2343" s="12">
        <f>IF($H2343="","",IF($H2343=0,"Non trouvé",IF($H2343=1,"Match","À vérifier")))</f>
        <v/>
      </c>
      <c r="J2343" s="21">
        <f>IF($I2343&lt;&gt;"Match","",INDEX(Ventes_Encaissements!$B$6:$B$3005,_xludf.AGGREGATE(15,6,(ROW(Ventes_Encaissements!$B$6:$B$3005)-ROW(Ventes_Encaissements!$B$6)+1)/((Ventes_Encaissements!$E$6:$E$3005=$B2343)*(Ventes_Encaissements!$J$6:$J$3005=$G2343)*(Ventes_Encaissements!$C$6:$C$3005&gt;=$C2343-3)*(Ventes_Encaissements!$C$6:$C$3005&lt;=$C2343+3)),1)))</f>
        <v/>
      </c>
      <c r="K2343" s="6" t="n"/>
    </row>
    <row r="2344">
      <c r="A2344" s="6" t="n"/>
      <c r="B2344" s="6" t="n"/>
      <c r="C2344" s="19" t="n"/>
      <c r="D2344" s="19" t="n"/>
      <c r="E2344" s="6" t="n"/>
      <c r="F2344" s="20" t="n"/>
      <c r="G2344" s="9">
        <f>IF($F2344="","",IF($F2344&gt;0,ROUND($F2344,2),""))</f>
        <v/>
      </c>
      <c r="H2344" s="12">
        <f>IF(OR($B2344="",$C2344="",$G2344=""),"",COUNTIFS(Ventes_Encaissements!$E$6:$E$3005,$B2344,Ventes_Encaissements!$J$6:$J$3005,$G2344,Ventes_Encaissements!$C$6:$C$3005,"&gt;="&amp;($C2344-3),Ventes_Encaissements!$C$6:$C$3005,"&lt;="&amp;($C2344+3)))</f>
        <v/>
      </c>
      <c r="I2344" s="12">
        <f>IF($H2344="","",IF($H2344=0,"Non trouvé",IF($H2344=1,"Match","À vérifier")))</f>
        <v/>
      </c>
      <c r="J2344" s="21">
        <f>IF($I2344&lt;&gt;"Match","",INDEX(Ventes_Encaissements!$B$6:$B$3005,_xludf.AGGREGATE(15,6,(ROW(Ventes_Encaissements!$B$6:$B$3005)-ROW(Ventes_Encaissements!$B$6)+1)/((Ventes_Encaissements!$E$6:$E$3005=$B2344)*(Ventes_Encaissements!$J$6:$J$3005=$G2344)*(Ventes_Encaissements!$C$6:$C$3005&gt;=$C2344-3)*(Ventes_Encaissements!$C$6:$C$3005&lt;=$C2344+3)),1)))</f>
        <v/>
      </c>
      <c r="K2344" s="6" t="n"/>
    </row>
    <row r="2345">
      <c r="A2345" s="6" t="n"/>
      <c r="B2345" s="6" t="n"/>
      <c r="C2345" s="19" t="n"/>
      <c r="D2345" s="19" t="n"/>
      <c r="E2345" s="6" t="n"/>
      <c r="F2345" s="20" t="n"/>
      <c r="G2345" s="9">
        <f>IF($F2345="","",IF($F2345&gt;0,ROUND($F2345,2),""))</f>
        <v/>
      </c>
      <c r="H2345" s="12">
        <f>IF(OR($B2345="",$C2345="",$G2345=""),"",COUNTIFS(Ventes_Encaissements!$E$6:$E$3005,$B2345,Ventes_Encaissements!$J$6:$J$3005,$G2345,Ventes_Encaissements!$C$6:$C$3005,"&gt;="&amp;($C2345-3),Ventes_Encaissements!$C$6:$C$3005,"&lt;="&amp;($C2345+3)))</f>
        <v/>
      </c>
      <c r="I2345" s="12">
        <f>IF($H2345="","",IF($H2345=0,"Non trouvé",IF($H2345=1,"Match","À vérifier")))</f>
        <v/>
      </c>
      <c r="J2345" s="21">
        <f>IF($I2345&lt;&gt;"Match","",INDEX(Ventes_Encaissements!$B$6:$B$3005,_xludf.AGGREGATE(15,6,(ROW(Ventes_Encaissements!$B$6:$B$3005)-ROW(Ventes_Encaissements!$B$6)+1)/((Ventes_Encaissements!$E$6:$E$3005=$B2345)*(Ventes_Encaissements!$J$6:$J$3005=$G2345)*(Ventes_Encaissements!$C$6:$C$3005&gt;=$C2345-3)*(Ventes_Encaissements!$C$6:$C$3005&lt;=$C2345+3)),1)))</f>
        <v/>
      </c>
      <c r="K2345" s="6" t="n"/>
    </row>
    <row r="2346">
      <c r="A2346" s="6" t="n"/>
      <c r="B2346" s="6" t="n"/>
      <c r="C2346" s="19" t="n"/>
      <c r="D2346" s="19" t="n"/>
      <c r="E2346" s="6" t="n"/>
      <c r="F2346" s="20" t="n"/>
      <c r="G2346" s="9">
        <f>IF($F2346="","",IF($F2346&gt;0,ROUND($F2346,2),""))</f>
        <v/>
      </c>
      <c r="H2346" s="12">
        <f>IF(OR($B2346="",$C2346="",$G2346=""),"",COUNTIFS(Ventes_Encaissements!$E$6:$E$3005,$B2346,Ventes_Encaissements!$J$6:$J$3005,$G2346,Ventes_Encaissements!$C$6:$C$3005,"&gt;="&amp;($C2346-3),Ventes_Encaissements!$C$6:$C$3005,"&lt;="&amp;($C2346+3)))</f>
        <v/>
      </c>
      <c r="I2346" s="12">
        <f>IF($H2346="","",IF($H2346=0,"Non trouvé",IF($H2346=1,"Match","À vérifier")))</f>
        <v/>
      </c>
      <c r="J2346" s="21">
        <f>IF($I2346&lt;&gt;"Match","",INDEX(Ventes_Encaissements!$B$6:$B$3005,_xludf.AGGREGATE(15,6,(ROW(Ventes_Encaissements!$B$6:$B$3005)-ROW(Ventes_Encaissements!$B$6)+1)/((Ventes_Encaissements!$E$6:$E$3005=$B2346)*(Ventes_Encaissements!$J$6:$J$3005=$G2346)*(Ventes_Encaissements!$C$6:$C$3005&gt;=$C2346-3)*(Ventes_Encaissements!$C$6:$C$3005&lt;=$C2346+3)),1)))</f>
        <v/>
      </c>
      <c r="K2346" s="6" t="n"/>
    </row>
    <row r="2347">
      <c r="A2347" s="6" t="n"/>
      <c r="B2347" s="6" t="n"/>
      <c r="C2347" s="19" t="n"/>
      <c r="D2347" s="19" t="n"/>
      <c r="E2347" s="6" t="n"/>
      <c r="F2347" s="20" t="n"/>
      <c r="G2347" s="9">
        <f>IF($F2347="","",IF($F2347&gt;0,ROUND($F2347,2),""))</f>
        <v/>
      </c>
      <c r="H2347" s="12">
        <f>IF(OR($B2347="",$C2347="",$G2347=""),"",COUNTIFS(Ventes_Encaissements!$E$6:$E$3005,$B2347,Ventes_Encaissements!$J$6:$J$3005,$G2347,Ventes_Encaissements!$C$6:$C$3005,"&gt;="&amp;($C2347-3),Ventes_Encaissements!$C$6:$C$3005,"&lt;="&amp;($C2347+3)))</f>
        <v/>
      </c>
      <c r="I2347" s="12">
        <f>IF($H2347="","",IF($H2347=0,"Non trouvé",IF($H2347=1,"Match","À vérifier")))</f>
        <v/>
      </c>
      <c r="J2347" s="21">
        <f>IF($I2347&lt;&gt;"Match","",INDEX(Ventes_Encaissements!$B$6:$B$3005,_xludf.AGGREGATE(15,6,(ROW(Ventes_Encaissements!$B$6:$B$3005)-ROW(Ventes_Encaissements!$B$6)+1)/((Ventes_Encaissements!$E$6:$E$3005=$B2347)*(Ventes_Encaissements!$J$6:$J$3005=$G2347)*(Ventes_Encaissements!$C$6:$C$3005&gt;=$C2347-3)*(Ventes_Encaissements!$C$6:$C$3005&lt;=$C2347+3)),1)))</f>
        <v/>
      </c>
      <c r="K2347" s="6" t="n"/>
    </row>
    <row r="2348">
      <c r="A2348" s="6" t="n"/>
      <c r="B2348" s="6" t="n"/>
      <c r="C2348" s="19" t="n"/>
      <c r="D2348" s="19" t="n"/>
      <c r="E2348" s="6" t="n"/>
      <c r="F2348" s="20" t="n"/>
      <c r="G2348" s="9">
        <f>IF($F2348="","",IF($F2348&gt;0,ROUND($F2348,2),""))</f>
        <v/>
      </c>
      <c r="H2348" s="12">
        <f>IF(OR($B2348="",$C2348="",$G2348=""),"",COUNTIFS(Ventes_Encaissements!$E$6:$E$3005,$B2348,Ventes_Encaissements!$J$6:$J$3005,$G2348,Ventes_Encaissements!$C$6:$C$3005,"&gt;="&amp;($C2348-3),Ventes_Encaissements!$C$6:$C$3005,"&lt;="&amp;($C2348+3)))</f>
        <v/>
      </c>
      <c r="I2348" s="12">
        <f>IF($H2348="","",IF($H2348=0,"Non trouvé",IF($H2348=1,"Match","À vérifier")))</f>
        <v/>
      </c>
      <c r="J2348" s="21">
        <f>IF($I2348&lt;&gt;"Match","",INDEX(Ventes_Encaissements!$B$6:$B$3005,_xludf.AGGREGATE(15,6,(ROW(Ventes_Encaissements!$B$6:$B$3005)-ROW(Ventes_Encaissements!$B$6)+1)/((Ventes_Encaissements!$E$6:$E$3005=$B2348)*(Ventes_Encaissements!$J$6:$J$3005=$G2348)*(Ventes_Encaissements!$C$6:$C$3005&gt;=$C2348-3)*(Ventes_Encaissements!$C$6:$C$3005&lt;=$C2348+3)),1)))</f>
        <v/>
      </c>
      <c r="K2348" s="6" t="n"/>
    </row>
    <row r="2349">
      <c r="A2349" s="6" t="n"/>
      <c r="B2349" s="6" t="n"/>
      <c r="C2349" s="19" t="n"/>
      <c r="D2349" s="19" t="n"/>
      <c r="E2349" s="6" t="n"/>
      <c r="F2349" s="20" t="n"/>
      <c r="G2349" s="9">
        <f>IF($F2349="","",IF($F2349&gt;0,ROUND($F2349,2),""))</f>
        <v/>
      </c>
      <c r="H2349" s="12">
        <f>IF(OR($B2349="",$C2349="",$G2349=""),"",COUNTIFS(Ventes_Encaissements!$E$6:$E$3005,$B2349,Ventes_Encaissements!$J$6:$J$3005,$G2349,Ventes_Encaissements!$C$6:$C$3005,"&gt;="&amp;($C2349-3),Ventes_Encaissements!$C$6:$C$3005,"&lt;="&amp;($C2349+3)))</f>
        <v/>
      </c>
      <c r="I2349" s="12">
        <f>IF($H2349="","",IF($H2349=0,"Non trouvé",IF($H2349=1,"Match","À vérifier")))</f>
        <v/>
      </c>
      <c r="J2349" s="21">
        <f>IF($I2349&lt;&gt;"Match","",INDEX(Ventes_Encaissements!$B$6:$B$3005,_xludf.AGGREGATE(15,6,(ROW(Ventes_Encaissements!$B$6:$B$3005)-ROW(Ventes_Encaissements!$B$6)+1)/((Ventes_Encaissements!$E$6:$E$3005=$B2349)*(Ventes_Encaissements!$J$6:$J$3005=$G2349)*(Ventes_Encaissements!$C$6:$C$3005&gt;=$C2349-3)*(Ventes_Encaissements!$C$6:$C$3005&lt;=$C2349+3)),1)))</f>
        <v/>
      </c>
      <c r="K2349" s="6" t="n"/>
    </row>
    <row r="2350">
      <c r="A2350" s="6" t="n"/>
      <c r="B2350" s="6" t="n"/>
      <c r="C2350" s="19" t="n"/>
      <c r="D2350" s="19" t="n"/>
      <c r="E2350" s="6" t="n"/>
      <c r="F2350" s="20" t="n"/>
      <c r="G2350" s="9">
        <f>IF($F2350="","",IF($F2350&gt;0,ROUND($F2350,2),""))</f>
        <v/>
      </c>
      <c r="H2350" s="12">
        <f>IF(OR($B2350="",$C2350="",$G2350=""),"",COUNTIFS(Ventes_Encaissements!$E$6:$E$3005,$B2350,Ventes_Encaissements!$J$6:$J$3005,$G2350,Ventes_Encaissements!$C$6:$C$3005,"&gt;="&amp;($C2350-3),Ventes_Encaissements!$C$6:$C$3005,"&lt;="&amp;($C2350+3)))</f>
        <v/>
      </c>
      <c r="I2350" s="12">
        <f>IF($H2350="","",IF($H2350=0,"Non trouvé",IF($H2350=1,"Match","À vérifier")))</f>
        <v/>
      </c>
      <c r="J2350" s="21">
        <f>IF($I2350&lt;&gt;"Match","",INDEX(Ventes_Encaissements!$B$6:$B$3005,_xludf.AGGREGATE(15,6,(ROW(Ventes_Encaissements!$B$6:$B$3005)-ROW(Ventes_Encaissements!$B$6)+1)/((Ventes_Encaissements!$E$6:$E$3005=$B2350)*(Ventes_Encaissements!$J$6:$J$3005=$G2350)*(Ventes_Encaissements!$C$6:$C$3005&gt;=$C2350-3)*(Ventes_Encaissements!$C$6:$C$3005&lt;=$C2350+3)),1)))</f>
        <v/>
      </c>
      <c r="K2350" s="6" t="n"/>
    </row>
    <row r="2351">
      <c r="A2351" s="6" t="n"/>
      <c r="B2351" s="6" t="n"/>
      <c r="C2351" s="19" t="n"/>
      <c r="D2351" s="19" t="n"/>
      <c r="E2351" s="6" t="n"/>
      <c r="F2351" s="20" t="n"/>
      <c r="G2351" s="9">
        <f>IF($F2351="","",IF($F2351&gt;0,ROUND($F2351,2),""))</f>
        <v/>
      </c>
      <c r="H2351" s="12">
        <f>IF(OR($B2351="",$C2351="",$G2351=""),"",COUNTIFS(Ventes_Encaissements!$E$6:$E$3005,$B2351,Ventes_Encaissements!$J$6:$J$3005,$G2351,Ventes_Encaissements!$C$6:$C$3005,"&gt;="&amp;($C2351-3),Ventes_Encaissements!$C$6:$C$3005,"&lt;="&amp;($C2351+3)))</f>
        <v/>
      </c>
      <c r="I2351" s="12">
        <f>IF($H2351="","",IF($H2351=0,"Non trouvé",IF($H2351=1,"Match","À vérifier")))</f>
        <v/>
      </c>
      <c r="J2351" s="21">
        <f>IF($I2351&lt;&gt;"Match","",INDEX(Ventes_Encaissements!$B$6:$B$3005,_xludf.AGGREGATE(15,6,(ROW(Ventes_Encaissements!$B$6:$B$3005)-ROW(Ventes_Encaissements!$B$6)+1)/((Ventes_Encaissements!$E$6:$E$3005=$B2351)*(Ventes_Encaissements!$J$6:$J$3005=$G2351)*(Ventes_Encaissements!$C$6:$C$3005&gt;=$C2351-3)*(Ventes_Encaissements!$C$6:$C$3005&lt;=$C2351+3)),1)))</f>
        <v/>
      </c>
      <c r="K2351" s="6" t="n"/>
    </row>
    <row r="2352">
      <c r="A2352" s="6" t="n"/>
      <c r="B2352" s="6" t="n"/>
      <c r="C2352" s="19" t="n"/>
      <c r="D2352" s="19" t="n"/>
      <c r="E2352" s="6" t="n"/>
      <c r="F2352" s="20" t="n"/>
      <c r="G2352" s="9">
        <f>IF($F2352="","",IF($F2352&gt;0,ROUND($F2352,2),""))</f>
        <v/>
      </c>
      <c r="H2352" s="12">
        <f>IF(OR($B2352="",$C2352="",$G2352=""),"",COUNTIFS(Ventes_Encaissements!$E$6:$E$3005,$B2352,Ventes_Encaissements!$J$6:$J$3005,$G2352,Ventes_Encaissements!$C$6:$C$3005,"&gt;="&amp;($C2352-3),Ventes_Encaissements!$C$6:$C$3005,"&lt;="&amp;($C2352+3)))</f>
        <v/>
      </c>
      <c r="I2352" s="12">
        <f>IF($H2352="","",IF($H2352=0,"Non trouvé",IF($H2352=1,"Match","À vérifier")))</f>
        <v/>
      </c>
      <c r="J2352" s="21">
        <f>IF($I2352&lt;&gt;"Match","",INDEX(Ventes_Encaissements!$B$6:$B$3005,_xludf.AGGREGATE(15,6,(ROW(Ventes_Encaissements!$B$6:$B$3005)-ROW(Ventes_Encaissements!$B$6)+1)/((Ventes_Encaissements!$E$6:$E$3005=$B2352)*(Ventes_Encaissements!$J$6:$J$3005=$G2352)*(Ventes_Encaissements!$C$6:$C$3005&gt;=$C2352-3)*(Ventes_Encaissements!$C$6:$C$3005&lt;=$C2352+3)),1)))</f>
        <v/>
      </c>
      <c r="K2352" s="6" t="n"/>
    </row>
    <row r="2353">
      <c r="A2353" s="6" t="n"/>
      <c r="B2353" s="6" t="n"/>
      <c r="C2353" s="19" t="n"/>
      <c r="D2353" s="19" t="n"/>
      <c r="E2353" s="6" t="n"/>
      <c r="F2353" s="20" t="n"/>
      <c r="G2353" s="9">
        <f>IF($F2353="","",IF($F2353&gt;0,ROUND($F2353,2),""))</f>
        <v/>
      </c>
      <c r="H2353" s="12">
        <f>IF(OR($B2353="",$C2353="",$G2353=""),"",COUNTIFS(Ventes_Encaissements!$E$6:$E$3005,$B2353,Ventes_Encaissements!$J$6:$J$3005,$G2353,Ventes_Encaissements!$C$6:$C$3005,"&gt;="&amp;($C2353-3),Ventes_Encaissements!$C$6:$C$3005,"&lt;="&amp;($C2353+3)))</f>
        <v/>
      </c>
      <c r="I2353" s="12">
        <f>IF($H2353="","",IF($H2353=0,"Non trouvé",IF($H2353=1,"Match","À vérifier")))</f>
        <v/>
      </c>
      <c r="J2353" s="21">
        <f>IF($I2353&lt;&gt;"Match","",INDEX(Ventes_Encaissements!$B$6:$B$3005,_xludf.AGGREGATE(15,6,(ROW(Ventes_Encaissements!$B$6:$B$3005)-ROW(Ventes_Encaissements!$B$6)+1)/((Ventes_Encaissements!$E$6:$E$3005=$B2353)*(Ventes_Encaissements!$J$6:$J$3005=$G2353)*(Ventes_Encaissements!$C$6:$C$3005&gt;=$C2353-3)*(Ventes_Encaissements!$C$6:$C$3005&lt;=$C2353+3)),1)))</f>
        <v/>
      </c>
      <c r="K2353" s="6" t="n"/>
    </row>
    <row r="2354">
      <c r="A2354" s="6" t="n"/>
      <c r="B2354" s="6" t="n"/>
      <c r="C2354" s="19" t="n"/>
      <c r="D2354" s="19" t="n"/>
      <c r="E2354" s="6" t="n"/>
      <c r="F2354" s="20" t="n"/>
      <c r="G2354" s="9">
        <f>IF($F2354="","",IF($F2354&gt;0,ROUND($F2354,2),""))</f>
        <v/>
      </c>
      <c r="H2354" s="12">
        <f>IF(OR($B2354="",$C2354="",$G2354=""),"",COUNTIFS(Ventes_Encaissements!$E$6:$E$3005,$B2354,Ventes_Encaissements!$J$6:$J$3005,$G2354,Ventes_Encaissements!$C$6:$C$3005,"&gt;="&amp;($C2354-3),Ventes_Encaissements!$C$6:$C$3005,"&lt;="&amp;($C2354+3)))</f>
        <v/>
      </c>
      <c r="I2354" s="12">
        <f>IF($H2354="","",IF($H2354=0,"Non trouvé",IF($H2354=1,"Match","À vérifier")))</f>
        <v/>
      </c>
      <c r="J2354" s="21">
        <f>IF($I2354&lt;&gt;"Match","",INDEX(Ventes_Encaissements!$B$6:$B$3005,_xludf.AGGREGATE(15,6,(ROW(Ventes_Encaissements!$B$6:$B$3005)-ROW(Ventes_Encaissements!$B$6)+1)/((Ventes_Encaissements!$E$6:$E$3005=$B2354)*(Ventes_Encaissements!$J$6:$J$3005=$G2354)*(Ventes_Encaissements!$C$6:$C$3005&gt;=$C2354-3)*(Ventes_Encaissements!$C$6:$C$3005&lt;=$C2354+3)),1)))</f>
        <v/>
      </c>
      <c r="K2354" s="6" t="n"/>
    </row>
    <row r="2355">
      <c r="A2355" s="6" t="n"/>
      <c r="B2355" s="6" t="n"/>
      <c r="C2355" s="19" t="n"/>
      <c r="D2355" s="19" t="n"/>
      <c r="E2355" s="6" t="n"/>
      <c r="F2355" s="20" t="n"/>
      <c r="G2355" s="9">
        <f>IF($F2355="","",IF($F2355&gt;0,ROUND($F2355,2),""))</f>
        <v/>
      </c>
      <c r="H2355" s="12">
        <f>IF(OR($B2355="",$C2355="",$G2355=""),"",COUNTIFS(Ventes_Encaissements!$E$6:$E$3005,$B2355,Ventes_Encaissements!$J$6:$J$3005,$G2355,Ventes_Encaissements!$C$6:$C$3005,"&gt;="&amp;($C2355-3),Ventes_Encaissements!$C$6:$C$3005,"&lt;="&amp;($C2355+3)))</f>
        <v/>
      </c>
      <c r="I2355" s="12">
        <f>IF($H2355="","",IF($H2355=0,"Non trouvé",IF($H2355=1,"Match","À vérifier")))</f>
        <v/>
      </c>
      <c r="J2355" s="21">
        <f>IF($I2355&lt;&gt;"Match","",INDEX(Ventes_Encaissements!$B$6:$B$3005,_xludf.AGGREGATE(15,6,(ROW(Ventes_Encaissements!$B$6:$B$3005)-ROW(Ventes_Encaissements!$B$6)+1)/((Ventes_Encaissements!$E$6:$E$3005=$B2355)*(Ventes_Encaissements!$J$6:$J$3005=$G2355)*(Ventes_Encaissements!$C$6:$C$3005&gt;=$C2355-3)*(Ventes_Encaissements!$C$6:$C$3005&lt;=$C2355+3)),1)))</f>
        <v/>
      </c>
      <c r="K2355" s="6" t="n"/>
    </row>
    <row r="2356">
      <c r="A2356" s="6" t="n"/>
      <c r="B2356" s="6" t="n"/>
      <c r="C2356" s="19" t="n"/>
      <c r="D2356" s="19" t="n"/>
      <c r="E2356" s="6" t="n"/>
      <c r="F2356" s="20" t="n"/>
      <c r="G2356" s="9">
        <f>IF($F2356="","",IF($F2356&gt;0,ROUND($F2356,2),""))</f>
        <v/>
      </c>
      <c r="H2356" s="12">
        <f>IF(OR($B2356="",$C2356="",$G2356=""),"",COUNTIFS(Ventes_Encaissements!$E$6:$E$3005,$B2356,Ventes_Encaissements!$J$6:$J$3005,$G2356,Ventes_Encaissements!$C$6:$C$3005,"&gt;="&amp;($C2356-3),Ventes_Encaissements!$C$6:$C$3005,"&lt;="&amp;($C2356+3)))</f>
        <v/>
      </c>
      <c r="I2356" s="12">
        <f>IF($H2356="","",IF($H2356=0,"Non trouvé",IF($H2356=1,"Match","À vérifier")))</f>
        <v/>
      </c>
      <c r="J2356" s="21">
        <f>IF($I2356&lt;&gt;"Match","",INDEX(Ventes_Encaissements!$B$6:$B$3005,_xludf.AGGREGATE(15,6,(ROW(Ventes_Encaissements!$B$6:$B$3005)-ROW(Ventes_Encaissements!$B$6)+1)/((Ventes_Encaissements!$E$6:$E$3005=$B2356)*(Ventes_Encaissements!$J$6:$J$3005=$G2356)*(Ventes_Encaissements!$C$6:$C$3005&gt;=$C2356-3)*(Ventes_Encaissements!$C$6:$C$3005&lt;=$C2356+3)),1)))</f>
        <v/>
      </c>
      <c r="K2356" s="6" t="n"/>
    </row>
    <row r="2357">
      <c r="A2357" s="6" t="n"/>
      <c r="B2357" s="6" t="n"/>
      <c r="C2357" s="19" t="n"/>
      <c r="D2357" s="19" t="n"/>
      <c r="E2357" s="6" t="n"/>
      <c r="F2357" s="20" t="n"/>
      <c r="G2357" s="9">
        <f>IF($F2357="","",IF($F2357&gt;0,ROUND($F2357,2),""))</f>
        <v/>
      </c>
      <c r="H2357" s="12">
        <f>IF(OR($B2357="",$C2357="",$G2357=""),"",COUNTIFS(Ventes_Encaissements!$E$6:$E$3005,$B2357,Ventes_Encaissements!$J$6:$J$3005,$G2357,Ventes_Encaissements!$C$6:$C$3005,"&gt;="&amp;($C2357-3),Ventes_Encaissements!$C$6:$C$3005,"&lt;="&amp;($C2357+3)))</f>
        <v/>
      </c>
      <c r="I2357" s="12">
        <f>IF($H2357="","",IF($H2357=0,"Non trouvé",IF($H2357=1,"Match","À vérifier")))</f>
        <v/>
      </c>
      <c r="J2357" s="21">
        <f>IF($I2357&lt;&gt;"Match","",INDEX(Ventes_Encaissements!$B$6:$B$3005,_xludf.AGGREGATE(15,6,(ROW(Ventes_Encaissements!$B$6:$B$3005)-ROW(Ventes_Encaissements!$B$6)+1)/((Ventes_Encaissements!$E$6:$E$3005=$B2357)*(Ventes_Encaissements!$J$6:$J$3005=$G2357)*(Ventes_Encaissements!$C$6:$C$3005&gt;=$C2357-3)*(Ventes_Encaissements!$C$6:$C$3005&lt;=$C2357+3)),1)))</f>
        <v/>
      </c>
      <c r="K2357" s="6" t="n"/>
    </row>
    <row r="2358">
      <c r="A2358" s="6" t="n"/>
      <c r="B2358" s="6" t="n"/>
      <c r="C2358" s="19" t="n"/>
      <c r="D2358" s="19" t="n"/>
      <c r="E2358" s="6" t="n"/>
      <c r="F2358" s="20" t="n"/>
      <c r="G2358" s="9">
        <f>IF($F2358="","",IF($F2358&gt;0,ROUND($F2358,2),""))</f>
        <v/>
      </c>
      <c r="H2358" s="12">
        <f>IF(OR($B2358="",$C2358="",$G2358=""),"",COUNTIFS(Ventes_Encaissements!$E$6:$E$3005,$B2358,Ventes_Encaissements!$J$6:$J$3005,$G2358,Ventes_Encaissements!$C$6:$C$3005,"&gt;="&amp;($C2358-3),Ventes_Encaissements!$C$6:$C$3005,"&lt;="&amp;($C2358+3)))</f>
        <v/>
      </c>
      <c r="I2358" s="12">
        <f>IF($H2358="","",IF($H2358=0,"Non trouvé",IF($H2358=1,"Match","À vérifier")))</f>
        <v/>
      </c>
      <c r="J2358" s="21">
        <f>IF($I2358&lt;&gt;"Match","",INDEX(Ventes_Encaissements!$B$6:$B$3005,_xludf.AGGREGATE(15,6,(ROW(Ventes_Encaissements!$B$6:$B$3005)-ROW(Ventes_Encaissements!$B$6)+1)/((Ventes_Encaissements!$E$6:$E$3005=$B2358)*(Ventes_Encaissements!$J$6:$J$3005=$G2358)*(Ventes_Encaissements!$C$6:$C$3005&gt;=$C2358-3)*(Ventes_Encaissements!$C$6:$C$3005&lt;=$C2358+3)),1)))</f>
        <v/>
      </c>
      <c r="K2358" s="6" t="n"/>
    </row>
    <row r="2359">
      <c r="A2359" s="6" t="n"/>
      <c r="B2359" s="6" t="n"/>
      <c r="C2359" s="19" t="n"/>
      <c r="D2359" s="19" t="n"/>
      <c r="E2359" s="6" t="n"/>
      <c r="F2359" s="20" t="n"/>
      <c r="G2359" s="9">
        <f>IF($F2359="","",IF($F2359&gt;0,ROUND($F2359,2),""))</f>
        <v/>
      </c>
      <c r="H2359" s="12">
        <f>IF(OR($B2359="",$C2359="",$G2359=""),"",COUNTIFS(Ventes_Encaissements!$E$6:$E$3005,$B2359,Ventes_Encaissements!$J$6:$J$3005,$G2359,Ventes_Encaissements!$C$6:$C$3005,"&gt;="&amp;($C2359-3),Ventes_Encaissements!$C$6:$C$3005,"&lt;="&amp;($C2359+3)))</f>
        <v/>
      </c>
      <c r="I2359" s="12">
        <f>IF($H2359="","",IF($H2359=0,"Non trouvé",IF($H2359=1,"Match","À vérifier")))</f>
        <v/>
      </c>
      <c r="J2359" s="21">
        <f>IF($I2359&lt;&gt;"Match","",INDEX(Ventes_Encaissements!$B$6:$B$3005,_xludf.AGGREGATE(15,6,(ROW(Ventes_Encaissements!$B$6:$B$3005)-ROW(Ventes_Encaissements!$B$6)+1)/((Ventes_Encaissements!$E$6:$E$3005=$B2359)*(Ventes_Encaissements!$J$6:$J$3005=$G2359)*(Ventes_Encaissements!$C$6:$C$3005&gt;=$C2359-3)*(Ventes_Encaissements!$C$6:$C$3005&lt;=$C2359+3)),1)))</f>
        <v/>
      </c>
      <c r="K2359" s="6" t="n"/>
    </row>
    <row r="2360">
      <c r="A2360" s="6" t="n"/>
      <c r="B2360" s="6" t="n"/>
      <c r="C2360" s="19" t="n"/>
      <c r="D2360" s="19" t="n"/>
      <c r="E2360" s="6" t="n"/>
      <c r="F2360" s="20" t="n"/>
      <c r="G2360" s="9">
        <f>IF($F2360="","",IF($F2360&gt;0,ROUND($F2360,2),""))</f>
        <v/>
      </c>
      <c r="H2360" s="12">
        <f>IF(OR($B2360="",$C2360="",$G2360=""),"",COUNTIFS(Ventes_Encaissements!$E$6:$E$3005,$B2360,Ventes_Encaissements!$J$6:$J$3005,$G2360,Ventes_Encaissements!$C$6:$C$3005,"&gt;="&amp;($C2360-3),Ventes_Encaissements!$C$6:$C$3005,"&lt;="&amp;($C2360+3)))</f>
        <v/>
      </c>
      <c r="I2360" s="12">
        <f>IF($H2360="","",IF($H2360=0,"Non trouvé",IF($H2360=1,"Match","À vérifier")))</f>
        <v/>
      </c>
      <c r="J2360" s="21">
        <f>IF($I2360&lt;&gt;"Match","",INDEX(Ventes_Encaissements!$B$6:$B$3005,_xludf.AGGREGATE(15,6,(ROW(Ventes_Encaissements!$B$6:$B$3005)-ROW(Ventes_Encaissements!$B$6)+1)/((Ventes_Encaissements!$E$6:$E$3005=$B2360)*(Ventes_Encaissements!$J$6:$J$3005=$G2360)*(Ventes_Encaissements!$C$6:$C$3005&gt;=$C2360-3)*(Ventes_Encaissements!$C$6:$C$3005&lt;=$C2360+3)),1)))</f>
        <v/>
      </c>
      <c r="K2360" s="6" t="n"/>
    </row>
    <row r="2361">
      <c r="A2361" s="6" t="n"/>
      <c r="B2361" s="6" t="n"/>
      <c r="C2361" s="19" t="n"/>
      <c r="D2361" s="19" t="n"/>
      <c r="E2361" s="6" t="n"/>
      <c r="F2361" s="20" t="n"/>
      <c r="G2361" s="9">
        <f>IF($F2361="","",IF($F2361&gt;0,ROUND($F2361,2),""))</f>
        <v/>
      </c>
      <c r="H2361" s="12">
        <f>IF(OR($B2361="",$C2361="",$G2361=""),"",COUNTIFS(Ventes_Encaissements!$E$6:$E$3005,$B2361,Ventes_Encaissements!$J$6:$J$3005,$G2361,Ventes_Encaissements!$C$6:$C$3005,"&gt;="&amp;($C2361-3),Ventes_Encaissements!$C$6:$C$3005,"&lt;="&amp;($C2361+3)))</f>
        <v/>
      </c>
      <c r="I2361" s="12">
        <f>IF($H2361="","",IF($H2361=0,"Non trouvé",IF($H2361=1,"Match","À vérifier")))</f>
        <v/>
      </c>
      <c r="J2361" s="21">
        <f>IF($I2361&lt;&gt;"Match","",INDEX(Ventes_Encaissements!$B$6:$B$3005,_xludf.AGGREGATE(15,6,(ROW(Ventes_Encaissements!$B$6:$B$3005)-ROW(Ventes_Encaissements!$B$6)+1)/((Ventes_Encaissements!$E$6:$E$3005=$B2361)*(Ventes_Encaissements!$J$6:$J$3005=$G2361)*(Ventes_Encaissements!$C$6:$C$3005&gt;=$C2361-3)*(Ventes_Encaissements!$C$6:$C$3005&lt;=$C2361+3)),1)))</f>
        <v/>
      </c>
      <c r="K2361" s="6" t="n"/>
    </row>
    <row r="2362">
      <c r="A2362" s="6" t="n"/>
      <c r="B2362" s="6" t="n"/>
      <c r="C2362" s="19" t="n"/>
      <c r="D2362" s="19" t="n"/>
      <c r="E2362" s="6" t="n"/>
      <c r="F2362" s="20" t="n"/>
      <c r="G2362" s="9">
        <f>IF($F2362="","",IF($F2362&gt;0,ROUND($F2362,2),""))</f>
        <v/>
      </c>
      <c r="H2362" s="12">
        <f>IF(OR($B2362="",$C2362="",$G2362=""),"",COUNTIFS(Ventes_Encaissements!$E$6:$E$3005,$B2362,Ventes_Encaissements!$J$6:$J$3005,$G2362,Ventes_Encaissements!$C$6:$C$3005,"&gt;="&amp;($C2362-3),Ventes_Encaissements!$C$6:$C$3005,"&lt;="&amp;($C2362+3)))</f>
        <v/>
      </c>
      <c r="I2362" s="12">
        <f>IF($H2362="","",IF($H2362=0,"Non trouvé",IF($H2362=1,"Match","À vérifier")))</f>
        <v/>
      </c>
      <c r="J2362" s="21">
        <f>IF($I2362&lt;&gt;"Match","",INDEX(Ventes_Encaissements!$B$6:$B$3005,_xludf.AGGREGATE(15,6,(ROW(Ventes_Encaissements!$B$6:$B$3005)-ROW(Ventes_Encaissements!$B$6)+1)/((Ventes_Encaissements!$E$6:$E$3005=$B2362)*(Ventes_Encaissements!$J$6:$J$3005=$G2362)*(Ventes_Encaissements!$C$6:$C$3005&gt;=$C2362-3)*(Ventes_Encaissements!$C$6:$C$3005&lt;=$C2362+3)),1)))</f>
        <v/>
      </c>
      <c r="K2362" s="6" t="n"/>
    </row>
    <row r="2363">
      <c r="A2363" s="6" t="n"/>
      <c r="B2363" s="6" t="n"/>
      <c r="C2363" s="19" t="n"/>
      <c r="D2363" s="19" t="n"/>
      <c r="E2363" s="6" t="n"/>
      <c r="F2363" s="20" t="n"/>
      <c r="G2363" s="9">
        <f>IF($F2363="","",IF($F2363&gt;0,ROUND($F2363,2),""))</f>
        <v/>
      </c>
      <c r="H2363" s="12">
        <f>IF(OR($B2363="",$C2363="",$G2363=""),"",COUNTIFS(Ventes_Encaissements!$E$6:$E$3005,$B2363,Ventes_Encaissements!$J$6:$J$3005,$G2363,Ventes_Encaissements!$C$6:$C$3005,"&gt;="&amp;($C2363-3),Ventes_Encaissements!$C$6:$C$3005,"&lt;="&amp;($C2363+3)))</f>
        <v/>
      </c>
      <c r="I2363" s="12">
        <f>IF($H2363="","",IF($H2363=0,"Non trouvé",IF($H2363=1,"Match","À vérifier")))</f>
        <v/>
      </c>
      <c r="J2363" s="21">
        <f>IF($I2363&lt;&gt;"Match","",INDEX(Ventes_Encaissements!$B$6:$B$3005,_xludf.AGGREGATE(15,6,(ROW(Ventes_Encaissements!$B$6:$B$3005)-ROW(Ventes_Encaissements!$B$6)+1)/((Ventes_Encaissements!$E$6:$E$3005=$B2363)*(Ventes_Encaissements!$J$6:$J$3005=$G2363)*(Ventes_Encaissements!$C$6:$C$3005&gt;=$C2363-3)*(Ventes_Encaissements!$C$6:$C$3005&lt;=$C2363+3)),1)))</f>
        <v/>
      </c>
      <c r="K2363" s="6" t="n"/>
    </row>
    <row r="2364">
      <c r="A2364" s="6" t="n"/>
      <c r="B2364" s="6" t="n"/>
      <c r="C2364" s="19" t="n"/>
      <c r="D2364" s="19" t="n"/>
      <c r="E2364" s="6" t="n"/>
      <c r="F2364" s="20" t="n"/>
      <c r="G2364" s="9">
        <f>IF($F2364="","",IF($F2364&gt;0,ROUND($F2364,2),""))</f>
        <v/>
      </c>
      <c r="H2364" s="12">
        <f>IF(OR($B2364="",$C2364="",$G2364=""),"",COUNTIFS(Ventes_Encaissements!$E$6:$E$3005,$B2364,Ventes_Encaissements!$J$6:$J$3005,$G2364,Ventes_Encaissements!$C$6:$C$3005,"&gt;="&amp;($C2364-3),Ventes_Encaissements!$C$6:$C$3005,"&lt;="&amp;($C2364+3)))</f>
        <v/>
      </c>
      <c r="I2364" s="12">
        <f>IF($H2364="","",IF($H2364=0,"Non trouvé",IF($H2364=1,"Match","À vérifier")))</f>
        <v/>
      </c>
      <c r="J2364" s="21">
        <f>IF($I2364&lt;&gt;"Match","",INDEX(Ventes_Encaissements!$B$6:$B$3005,_xludf.AGGREGATE(15,6,(ROW(Ventes_Encaissements!$B$6:$B$3005)-ROW(Ventes_Encaissements!$B$6)+1)/((Ventes_Encaissements!$E$6:$E$3005=$B2364)*(Ventes_Encaissements!$J$6:$J$3005=$G2364)*(Ventes_Encaissements!$C$6:$C$3005&gt;=$C2364-3)*(Ventes_Encaissements!$C$6:$C$3005&lt;=$C2364+3)),1)))</f>
        <v/>
      </c>
      <c r="K2364" s="6" t="n"/>
    </row>
    <row r="2365">
      <c r="A2365" s="6" t="n"/>
      <c r="B2365" s="6" t="n"/>
      <c r="C2365" s="19" t="n"/>
      <c r="D2365" s="19" t="n"/>
      <c r="E2365" s="6" t="n"/>
      <c r="F2365" s="20" t="n"/>
      <c r="G2365" s="9">
        <f>IF($F2365="","",IF($F2365&gt;0,ROUND($F2365,2),""))</f>
        <v/>
      </c>
      <c r="H2365" s="12">
        <f>IF(OR($B2365="",$C2365="",$G2365=""),"",COUNTIFS(Ventes_Encaissements!$E$6:$E$3005,$B2365,Ventes_Encaissements!$J$6:$J$3005,$G2365,Ventes_Encaissements!$C$6:$C$3005,"&gt;="&amp;($C2365-3),Ventes_Encaissements!$C$6:$C$3005,"&lt;="&amp;($C2365+3)))</f>
        <v/>
      </c>
      <c r="I2365" s="12">
        <f>IF($H2365="","",IF($H2365=0,"Non trouvé",IF($H2365=1,"Match","À vérifier")))</f>
        <v/>
      </c>
      <c r="J2365" s="21">
        <f>IF($I2365&lt;&gt;"Match","",INDEX(Ventes_Encaissements!$B$6:$B$3005,_xludf.AGGREGATE(15,6,(ROW(Ventes_Encaissements!$B$6:$B$3005)-ROW(Ventes_Encaissements!$B$6)+1)/((Ventes_Encaissements!$E$6:$E$3005=$B2365)*(Ventes_Encaissements!$J$6:$J$3005=$G2365)*(Ventes_Encaissements!$C$6:$C$3005&gt;=$C2365-3)*(Ventes_Encaissements!$C$6:$C$3005&lt;=$C2365+3)),1)))</f>
        <v/>
      </c>
      <c r="K2365" s="6" t="n"/>
    </row>
    <row r="2366">
      <c r="A2366" s="6" t="n"/>
      <c r="B2366" s="6" t="n"/>
      <c r="C2366" s="19" t="n"/>
      <c r="D2366" s="19" t="n"/>
      <c r="E2366" s="6" t="n"/>
      <c r="F2366" s="20" t="n"/>
      <c r="G2366" s="9">
        <f>IF($F2366="","",IF($F2366&gt;0,ROUND($F2366,2),""))</f>
        <v/>
      </c>
      <c r="H2366" s="12">
        <f>IF(OR($B2366="",$C2366="",$G2366=""),"",COUNTIFS(Ventes_Encaissements!$E$6:$E$3005,$B2366,Ventes_Encaissements!$J$6:$J$3005,$G2366,Ventes_Encaissements!$C$6:$C$3005,"&gt;="&amp;($C2366-3),Ventes_Encaissements!$C$6:$C$3005,"&lt;="&amp;($C2366+3)))</f>
        <v/>
      </c>
      <c r="I2366" s="12">
        <f>IF($H2366="","",IF($H2366=0,"Non trouvé",IF($H2366=1,"Match","À vérifier")))</f>
        <v/>
      </c>
      <c r="J2366" s="21">
        <f>IF($I2366&lt;&gt;"Match","",INDEX(Ventes_Encaissements!$B$6:$B$3005,_xludf.AGGREGATE(15,6,(ROW(Ventes_Encaissements!$B$6:$B$3005)-ROW(Ventes_Encaissements!$B$6)+1)/((Ventes_Encaissements!$E$6:$E$3005=$B2366)*(Ventes_Encaissements!$J$6:$J$3005=$G2366)*(Ventes_Encaissements!$C$6:$C$3005&gt;=$C2366-3)*(Ventes_Encaissements!$C$6:$C$3005&lt;=$C2366+3)),1)))</f>
        <v/>
      </c>
      <c r="K2366" s="6" t="n"/>
    </row>
    <row r="2367">
      <c r="A2367" s="6" t="n"/>
      <c r="B2367" s="6" t="n"/>
      <c r="C2367" s="19" t="n"/>
      <c r="D2367" s="19" t="n"/>
      <c r="E2367" s="6" t="n"/>
      <c r="F2367" s="20" t="n"/>
      <c r="G2367" s="9">
        <f>IF($F2367="","",IF($F2367&gt;0,ROUND($F2367,2),""))</f>
        <v/>
      </c>
      <c r="H2367" s="12">
        <f>IF(OR($B2367="",$C2367="",$G2367=""),"",COUNTIFS(Ventes_Encaissements!$E$6:$E$3005,$B2367,Ventes_Encaissements!$J$6:$J$3005,$G2367,Ventes_Encaissements!$C$6:$C$3005,"&gt;="&amp;($C2367-3),Ventes_Encaissements!$C$6:$C$3005,"&lt;="&amp;($C2367+3)))</f>
        <v/>
      </c>
      <c r="I2367" s="12">
        <f>IF($H2367="","",IF($H2367=0,"Non trouvé",IF($H2367=1,"Match","À vérifier")))</f>
        <v/>
      </c>
      <c r="J2367" s="21">
        <f>IF($I2367&lt;&gt;"Match","",INDEX(Ventes_Encaissements!$B$6:$B$3005,_xludf.AGGREGATE(15,6,(ROW(Ventes_Encaissements!$B$6:$B$3005)-ROW(Ventes_Encaissements!$B$6)+1)/((Ventes_Encaissements!$E$6:$E$3005=$B2367)*(Ventes_Encaissements!$J$6:$J$3005=$G2367)*(Ventes_Encaissements!$C$6:$C$3005&gt;=$C2367-3)*(Ventes_Encaissements!$C$6:$C$3005&lt;=$C2367+3)),1)))</f>
        <v/>
      </c>
      <c r="K2367" s="6" t="n"/>
    </row>
    <row r="2368">
      <c r="A2368" s="6" t="n"/>
      <c r="B2368" s="6" t="n"/>
      <c r="C2368" s="19" t="n"/>
      <c r="D2368" s="19" t="n"/>
      <c r="E2368" s="6" t="n"/>
      <c r="F2368" s="20" t="n"/>
      <c r="G2368" s="9">
        <f>IF($F2368="","",IF($F2368&gt;0,ROUND($F2368,2),""))</f>
        <v/>
      </c>
      <c r="H2368" s="12">
        <f>IF(OR($B2368="",$C2368="",$G2368=""),"",COUNTIFS(Ventes_Encaissements!$E$6:$E$3005,$B2368,Ventes_Encaissements!$J$6:$J$3005,$G2368,Ventes_Encaissements!$C$6:$C$3005,"&gt;="&amp;($C2368-3),Ventes_Encaissements!$C$6:$C$3005,"&lt;="&amp;($C2368+3)))</f>
        <v/>
      </c>
      <c r="I2368" s="12">
        <f>IF($H2368="","",IF($H2368=0,"Non trouvé",IF($H2368=1,"Match","À vérifier")))</f>
        <v/>
      </c>
      <c r="J2368" s="21">
        <f>IF($I2368&lt;&gt;"Match","",INDEX(Ventes_Encaissements!$B$6:$B$3005,_xludf.AGGREGATE(15,6,(ROW(Ventes_Encaissements!$B$6:$B$3005)-ROW(Ventes_Encaissements!$B$6)+1)/((Ventes_Encaissements!$E$6:$E$3005=$B2368)*(Ventes_Encaissements!$J$6:$J$3005=$G2368)*(Ventes_Encaissements!$C$6:$C$3005&gt;=$C2368-3)*(Ventes_Encaissements!$C$6:$C$3005&lt;=$C2368+3)),1)))</f>
        <v/>
      </c>
      <c r="K2368" s="6" t="n"/>
    </row>
    <row r="2369">
      <c r="A2369" s="6" t="n"/>
      <c r="B2369" s="6" t="n"/>
      <c r="C2369" s="19" t="n"/>
      <c r="D2369" s="19" t="n"/>
      <c r="E2369" s="6" t="n"/>
      <c r="F2369" s="20" t="n"/>
      <c r="G2369" s="9">
        <f>IF($F2369="","",IF($F2369&gt;0,ROUND($F2369,2),""))</f>
        <v/>
      </c>
      <c r="H2369" s="12">
        <f>IF(OR($B2369="",$C2369="",$G2369=""),"",COUNTIFS(Ventes_Encaissements!$E$6:$E$3005,$B2369,Ventes_Encaissements!$J$6:$J$3005,$G2369,Ventes_Encaissements!$C$6:$C$3005,"&gt;="&amp;($C2369-3),Ventes_Encaissements!$C$6:$C$3005,"&lt;="&amp;($C2369+3)))</f>
        <v/>
      </c>
      <c r="I2369" s="12">
        <f>IF($H2369="","",IF($H2369=0,"Non trouvé",IF($H2369=1,"Match","À vérifier")))</f>
        <v/>
      </c>
      <c r="J2369" s="21">
        <f>IF($I2369&lt;&gt;"Match","",INDEX(Ventes_Encaissements!$B$6:$B$3005,_xludf.AGGREGATE(15,6,(ROW(Ventes_Encaissements!$B$6:$B$3005)-ROW(Ventes_Encaissements!$B$6)+1)/((Ventes_Encaissements!$E$6:$E$3005=$B2369)*(Ventes_Encaissements!$J$6:$J$3005=$G2369)*(Ventes_Encaissements!$C$6:$C$3005&gt;=$C2369-3)*(Ventes_Encaissements!$C$6:$C$3005&lt;=$C2369+3)),1)))</f>
        <v/>
      </c>
      <c r="K2369" s="6" t="n"/>
    </row>
    <row r="2370">
      <c r="A2370" s="6" t="n"/>
      <c r="B2370" s="6" t="n"/>
      <c r="C2370" s="19" t="n"/>
      <c r="D2370" s="19" t="n"/>
      <c r="E2370" s="6" t="n"/>
      <c r="F2370" s="20" t="n"/>
      <c r="G2370" s="9">
        <f>IF($F2370="","",IF($F2370&gt;0,ROUND($F2370,2),""))</f>
        <v/>
      </c>
      <c r="H2370" s="12">
        <f>IF(OR($B2370="",$C2370="",$G2370=""),"",COUNTIFS(Ventes_Encaissements!$E$6:$E$3005,$B2370,Ventes_Encaissements!$J$6:$J$3005,$G2370,Ventes_Encaissements!$C$6:$C$3005,"&gt;="&amp;($C2370-3),Ventes_Encaissements!$C$6:$C$3005,"&lt;="&amp;($C2370+3)))</f>
        <v/>
      </c>
      <c r="I2370" s="12">
        <f>IF($H2370="","",IF($H2370=0,"Non trouvé",IF($H2370=1,"Match","À vérifier")))</f>
        <v/>
      </c>
      <c r="J2370" s="21">
        <f>IF($I2370&lt;&gt;"Match","",INDEX(Ventes_Encaissements!$B$6:$B$3005,_xludf.AGGREGATE(15,6,(ROW(Ventes_Encaissements!$B$6:$B$3005)-ROW(Ventes_Encaissements!$B$6)+1)/((Ventes_Encaissements!$E$6:$E$3005=$B2370)*(Ventes_Encaissements!$J$6:$J$3005=$G2370)*(Ventes_Encaissements!$C$6:$C$3005&gt;=$C2370-3)*(Ventes_Encaissements!$C$6:$C$3005&lt;=$C2370+3)),1)))</f>
        <v/>
      </c>
      <c r="K2370" s="6" t="n"/>
    </row>
    <row r="2371">
      <c r="A2371" s="6" t="n"/>
      <c r="B2371" s="6" t="n"/>
      <c r="C2371" s="19" t="n"/>
      <c r="D2371" s="19" t="n"/>
      <c r="E2371" s="6" t="n"/>
      <c r="F2371" s="20" t="n"/>
      <c r="G2371" s="9">
        <f>IF($F2371="","",IF($F2371&gt;0,ROUND($F2371,2),""))</f>
        <v/>
      </c>
      <c r="H2371" s="12">
        <f>IF(OR($B2371="",$C2371="",$G2371=""),"",COUNTIFS(Ventes_Encaissements!$E$6:$E$3005,$B2371,Ventes_Encaissements!$J$6:$J$3005,$G2371,Ventes_Encaissements!$C$6:$C$3005,"&gt;="&amp;($C2371-3),Ventes_Encaissements!$C$6:$C$3005,"&lt;="&amp;($C2371+3)))</f>
        <v/>
      </c>
      <c r="I2371" s="12">
        <f>IF($H2371="","",IF($H2371=0,"Non trouvé",IF($H2371=1,"Match","À vérifier")))</f>
        <v/>
      </c>
      <c r="J2371" s="21">
        <f>IF($I2371&lt;&gt;"Match","",INDEX(Ventes_Encaissements!$B$6:$B$3005,_xludf.AGGREGATE(15,6,(ROW(Ventes_Encaissements!$B$6:$B$3005)-ROW(Ventes_Encaissements!$B$6)+1)/((Ventes_Encaissements!$E$6:$E$3005=$B2371)*(Ventes_Encaissements!$J$6:$J$3005=$G2371)*(Ventes_Encaissements!$C$6:$C$3005&gt;=$C2371-3)*(Ventes_Encaissements!$C$6:$C$3005&lt;=$C2371+3)),1)))</f>
        <v/>
      </c>
      <c r="K2371" s="6" t="n"/>
    </row>
    <row r="2372">
      <c r="A2372" s="6" t="n"/>
      <c r="B2372" s="6" t="n"/>
      <c r="C2372" s="19" t="n"/>
      <c r="D2372" s="19" t="n"/>
      <c r="E2372" s="6" t="n"/>
      <c r="F2372" s="20" t="n"/>
      <c r="G2372" s="9">
        <f>IF($F2372="","",IF($F2372&gt;0,ROUND($F2372,2),""))</f>
        <v/>
      </c>
      <c r="H2372" s="12">
        <f>IF(OR($B2372="",$C2372="",$G2372=""),"",COUNTIFS(Ventes_Encaissements!$E$6:$E$3005,$B2372,Ventes_Encaissements!$J$6:$J$3005,$G2372,Ventes_Encaissements!$C$6:$C$3005,"&gt;="&amp;($C2372-3),Ventes_Encaissements!$C$6:$C$3005,"&lt;="&amp;($C2372+3)))</f>
        <v/>
      </c>
      <c r="I2372" s="12">
        <f>IF($H2372="","",IF($H2372=0,"Non trouvé",IF($H2372=1,"Match","À vérifier")))</f>
        <v/>
      </c>
      <c r="J2372" s="21">
        <f>IF($I2372&lt;&gt;"Match","",INDEX(Ventes_Encaissements!$B$6:$B$3005,_xludf.AGGREGATE(15,6,(ROW(Ventes_Encaissements!$B$6:$B$3005)-ROW(Ventes_Encaissements!$B$6)+1)/((Ventes_Encaissements!$E$6:$E$3005=$B2372)*(Ventes_Encaissements!$J$6:$J$3005=$G2372)*(Ventes_Encaissements!$C$6:$C$3005&gt;=$C2372-3)*(Ventes_Encaissements!$C$6:$C$3005&lt;=$C2372+3)),1)))</f>
        <v/>
      </c>
      <c r="K2372" s="6" t="n"/>
    </row>
    <row r="2373">
      <c r="A2373" s="6" t="n"/>
      <c r="B2373" s="6" t="n"/>
      <c r="C2373" s="19" t="n"/>
      <c r="D2373" s="19" t="n"/>
      <c r="E2373" s="6" t="n"/>
      <c r="F2373" s="20" t="n"/>
      <c r="G2373" s="9">
        <f>IF($F2373="","",IF($F2373&gt;0,ROUND($F2373,2),""))</f>
        <v/>
      </c>
      <c r="H2373" s="12">
        <f>IF(OR($B2373="",$C2373="",$G2373=""),"",COUNTIFS(Ventes_Encaissements!$E$6:$E$3005,$B2373,Ventes_Encaissements!$J$6:$J$3005,$G2373,Ventes_Encaissements!$C$6:$C$3005,"&gt;="&amp;($C2373-3),Ventes_Encaissements!$C$6:$C$3005,"&lt;="&amp;($C2373+3)))</f>
        <v/>
      </c>
      <c r="I2373" s="12">
        <f>IF($H2373="","",IF($H2373=0,"Non trouvé",IF($H2373=1,"Match","À vérifier")))</f>
        <v/>
      </c>
      <c r="J2373" s="21">
        <f>IF($I2373&lt;&gt;"Match","",INDEX(Ventes_Encaissements!$B$6:$B$3005,_xludf.AGGREGATE(15,6,(ROW(Ventes_Encaissements!$B$6:$B$3005)-ROW(Ventes_Encaissements!$B$6)+1)/((Ventes_Encaissements!$E$6:$E$3005=$B2373)*(Ventes_Encaissements!$J$6:$J$3005=$G2373)*(Ventes_Encaissements!$C$6:$C$3005&gt;=$C2373-3)*(Ventes_Encaissements!$C$6:$C$3005&lt;=$C2373+3)),1)))</f>
        <v/>
      </c>
      <c r="K2373" s="6" t="n"/>
    </row>
    <row r="2374">
      <c r="A2374" s="6" t="n"/>
      <c r="B2374" s="6" t="n"/>
      <c r="C2374" s="19" t="n"/>
      <c r="D2374" s="19" t="n"/>
      <c r="E2374" s="6" t="n"/>
      <c r="F2374" s="20" t="n"/>
      <c r="G2374" s="9">
        <f>IF($F2374="","",IF($F2374&gt;0,ROUND($F2374,2),""))</f>
        <v/>
      </c>
      <c r="H2374" s="12">
        <f>IF(OR($B2374="",$C2374="",$G2374=""),"",COUNTIFS(Ventes_Encaissements!$E$6:$E$3005,$B2374,Ventes_Encaissements!$J$6:$J$3005,$G2374,Ventes_Encaissements!$C$6:$C$3005,"&gt;="&amp;($C2374-3),Ventes_Encaissements!$C$6:$C$3005,"&lt;="&amp;($C2374+3)))</f>
        <v/>
      </c>
      <c r="I2374" s="12">
        <f>IF($H2374="","",IF($H2374=0,"Non trouvé",IF($H2374=1,"Match","À vérifier")))</f>
        <v/>
      </c>
      <c r="J2374" s="21">
        <f>IF($I2374&lt;&gt;"Match","",INDEX(Ventes_Encaissements!$B$6:$B$3005,_xludf.AGGREGATE(15,6,(ROW(Ventes_Encaissements!$B$6:$B$3005)-ROW(Ventes_Encaissements!$B$6)+1)/((Ventes_Encaissements!$E$6:$E$3005=$B2374)*(Ventes_Encaissements!$J$6:$J$3005=$G2374)*(Ventes_Encaissements!$C$6:$C$3005&gt;=$C2374-3)*(Ventes_Encaissements!$C$6:$C$3005&lt;=$C2374+3)),1)))</f>
        <v/>
      </c>
      <c r="K2374" s="6" t="n"/>
    </row>
    <row r="2375">
      <c r="A2375" s="6" t="n"/>
      <c r="B2375" s="6" t="n"/>
      <c r="C2375" s="19" t="n"/>
      <c r="D2375" s="19" t="n"/>
      <c r="E2375" s="6" t="n"/>
      <c r="F2375" s="20" t="n"/>
      <c r="G2375" s="9">
        <f>IF($F2375="","",IF($F2375&gt;0,ROUND($F2375,2),""))</f>
        <v/>
      </c>
      <c r="H2375" s="12">
        <f>IF(OR($B2375="",$C2375="",$G2375=""),"",COUNTIFS(Ventes_Encaissements!$E$6:$E$3005,$B2375,Ventes_Encaissements!$J$6:$J$3005,$G2375,Ventes_Encaissements!$C$6:$C$3005,"&gt;="&amp;($C2375-3),Ventes_Encaissements!$C$6:$C$3005,"&lt;="&amp;($C2375+3)))</f>
        <v/>
      </c>
      <c r="I2375" s="12">
        <f>IF($H2375="","",IF($H2375=0,"Non trouvé",IF($H2375=1,"Match","À vérifier")))</f>
        <v/>
      </c>
      <c r="J2375" s="21">
        <f>IF($I2375&lt;&gt;"Match","",INDEX(Ventes_Encaissements!$B$6:$B$3005,_xludf.AGGREGATE(15,6,(ROW(Ventes_Encaissements!$B$6:$B$3005)-ROW(Ventes_Encaissements!$B$6)+1)/((Ventes_Encaissements!$E$6:$E$3005=$B2375)*(Ventes_Encaissements!$J$6:$J$3005=$G2375)*(Ventes_Encaissements!$C$6:$C$3005&gt;=$C2375-3)*(Ventes_Encaissements!$C$6:$C$3005&lt;=$C2375+3)),1)))</f>
        <v/>
      </c>
      <c r="K2375" s="6" t="n"/>
    </row>
    <row r="2376">
      <c r="A2376" s="6" t="n"/>
      <c r="B2376" s="6" t="n"/>
      <c r="C2376" s="19" t="n"/>
      <c r="D2376" s="19" t="n"/>
      <c r="E2376" s="6" t="n"/>
      <c r="F2376" s="20" t="n"/>
      <c r="G2376" s="9">
        <f>IF($F2376="","",IF($F2376&gt;0,ROUND($F2376,2),""))</f>
        <v/>
      </c>
      <c r="H2376" s="12">
        <f>IF(OR($B2376="",$C2376="",$G2376=""),"",COUNTIFS(Ventes_Encaissements!$E$6:$E$3005,$B2376,Ventes_Encaissements!$J$6:$J$3005,$G2376,Ventes_Encaissements!$C$6:$C$3005,"&gt;="&amp;($C2376-3),Ventes_Encaissements!$C$6:$C$3005,"&lt;="&amp;($C2376+3)))</f>
        <v/>
      </c>
      <c r="I2376" s="12">
        <f>IF($H2376="","",IF($H2376=0,"Non trouvé",IF($H2376=1,"Match","À vérifier")))</f>
        <v/>
      </c>
      <c r="J2376" s="21">
        <f>IF($I2376&lt;&gt;"Match","",INDEX(Ventes_Encaissements!$B$6:$B$3005,_xludf.AGGREGATE(15,6,(ROW(Ventes_Encaissements!$B$6:$B$3005)-ROW(Ventes_Encaissements!$B$6)+1)/((Ventes_Encaissements!$E$6:$E$3005=$B2376)*(Ventes_Encaissements!$J$6:$J$3005=$G2376)*(Ventes_Encaissements!$C$6:$C$3005&gt;=$C2376-3)*(Ventes_Encaissements!$C$6:$C$3005&lt;=$C2376+3)),1)))</f>
        <v/>
      </c>
      <c r="K2376" s="6" t="n"/>
    </row>
    <row r="2377">
      <c r="A2377" s="6" t="n"/>
      <c r="B2377" s="6" t="n"/>
      <c r="C2377" s="19" t="n"/>
      <c r="D2377" s="19" t="n"/>
      <c r="E2377" s="6" t="n"/>
      <c r="F2377" s="20" t="n"/>
      <c r="G2377" s="9">
        <f>IF($F2377="","",IF($F2377&gt;0,ROUND($F2377,2),""))</f>
        <v/>
      </c>
      <c r="H2377" s="12">
        <f>IF(OR($B2377="",$C2377="",$G2377=""),"",COUNTIFS(Ventes_Encaissements!$E$6:$E$3005,$B2377,Ventes_Encaissements!$J$6:$J$3005,$G2377,Ventes_Encaissements!$C$6:$C$3005,"&gt;="&amp;($C2377-3),Ventes_Encaissements!$C$6:$C$3005,"&lt;="&amp;($C2377+3)))</f>
        <v/>
      </c>
      <c r="I2377" s="12">
        <f>IF($H2377="","",IF($H2377=0,"Non trouvé",IF($H2377=1,"Match","À vérifier")))</f>
        <v/>
      </c>
      <c r="J2377" s="21">
        <f>IF($I2377&lt;&gt;"Match","",INDEX(Ventes_Encaissements!$B$6:$B$3005,_xludf.AGGREGATE(15,6,(ROW(Ventes_Encaissements!$B$6:$B$3005)-ROW(Ventes_Encaissements!$B$6)+1)/((Ventes_Encaissements!$E$6:$E$3005=$B2377)*(Ventes_Encaissements!$J$6:$J$3005=$G2377)*(Ventes_Encaissements!$C$6:$C$3005&gt;=$C2377-3)*(Ventes_Encaissements!$C$6:$C$3005&lt;=$C2377+3)),1)))</f>
        <v/>
      </c>
      <c r="K2377" s="6" t="n"/>
    </row>
    <row r="2378">
      <c r="A2378" s="6" t="n"/>
      <c r="B2378" s="6" t="n"/>
      <c r="C2378" s="19" t="n"/>
      <c r="D2378" s="19" t="n"/>
      <c r="E2378" s="6" t="n"/>
      <c r="F2378" s="20" t="n"/>
      <c r="G2378" s="9">
        <f>IF($F2378="","",IF($F2378&gt;0,ROUND($F2378,2),""))</f>
        <v/>
      </c>
      <c r="H2378" s="12">
        <f>IF(OR($B2378="",$C2378="",$G2378=""),"",COUNTIFS(Ventes_Encaissements!$E$6:$E$3005,$B2378,Ventes_Encaissements!$J$6:$J$3005,$G2378,Ventes_Encaissements!$C$6:$C$3005,"&gt;="&amp;($C2378-3),Ventes_Encaissements!$C$6:$C$3005,"&lt;="&amp;($C2378+3)))</f>
        <v/>
      </c>
      <c r="I2378" s="12">
        <f>IF($H2378="","",IF($H2378=0,"Non trouvé",IF($H2378=1,"Match","À vérifier")))</f>
        <v/>
      </c>
      <c r="J2378" s="21">
        <f>IF($I2378&lt;&gt;"Match","",INDEX(Ventes_Encaissements!$B$6:$B$3005,_xludf.AGGREGATE(15,6,(ROW(Ventes_Encaissements!$B$6:$B$3005)-ROW(Ventes_Encaissements!$B$6)+1)/((Ventes_Encaissements!$E$6:$E$3005=$B2378)*(Ventes_Encaissements!$J$6:$J$3005=$G2378)*(Ventes_Encaissements!$C$6:$C$3005&gt;=$C2378-3)*(Ventes_Encaissements!$C$6:$C$3005&lt;=$C2378+3)),1)))</f>
        <v/>
      </c>
      <c r="K2378" s="6" t="n"/>
    </row>
    <row r="2379">
      <c r="A2379" s="6" t="n"/>
      <c r="B2379" s="6" t="n"/>
      <c r="C2379" s="19" t="n"/>
      <c r="D2379" s="19" t="n"/>
      <c r="E2379" s="6" t="n"/>
      <c r="F2379" s="20" t="n"/>
      <c r="G2379" s="9">
        <f>IF($F2379="","",IF($F2379&gt;0,ROUND($F2379,2),""))</f>
        <v/>
      </c>
      <c r="H2379" s="12">
        <f>IF(OR($B2379="",$C2379="",$G2379=""),"",COUNTIFS(Ventes_Encaissements!$E$6:$E$3005,$B2379,Ventes_Encaissements!$J$6:$J$3005,$G2379,Ventes_Encaissements!$C$6:$C$3005,"&gt;="&amp;($C2379-3),Ventes_Encaissements!$C$6:$C$3005,"&lt;="&amp;($C2379+3)))</f>
        <v/>
      </c>
      <c r="I2379" s="12">
        <f>IF($H2379="","",IF($H2379=0,"Non trouvé",IF($H2379=1,"Match","À vérifier")))</f>
        <v/>
      </c>
      <c r="J2379" s="21">
        <f>IF($I2379&lt;&gt;"Match","",INDEX(Ventes_Encaissements!$B$6:$B$3005,_xludf.AGGREGATE(15,6,(ROW(Ventes_Encaissements!$B$6:$B$3005)-ROW(Ventes_Encaissements!$B$6)+1)/((Ventes_Encaissements!$E$6:$E$3005=$B2379)*(Ventes_Encaissements!$J$6:$J$3005=$G2379)*(Ventes_Encaissements!$C$6:$C$3005&gt;=$C2379-3)*(Ventes_Encaissements!$C$6:$C$3005&lt;=$C2379+3)),1)))</f>
        <v/>
      </c>
      <c r="K2379" s="6" t="n"/>
    </row>
    <row r="2380">
      <c r="A2380" s="6" t="n"/>
      <c r="B2380" s="6" t="n"/>
      <c r="C2380" s="19" t="n"/>
      <c r="D2380" s="19" t="n"/>
      <c r="E2380" s="6" t="n"/>
      <c r="F2380" s="20" t="n"/>
      <c r="G2380" s="9">
        <f>IF($F2380="","",IF($F2380&gt;0,ROUND($F2380,2),""))</f>
        <v/>
      </c>
      <c r="H2380" s="12">
        <f>IF(OR($B2380="",$C2380="",$G2380=""),"",COUNTIFS(Ventes_Encaissements!$E$6:$E$3005,$B2380,Ventes_Encaissements!$J$6:$J$3005,$G2380,Ventes_Encaissements!$C$6:$C$3005,"&gt;="&amp;($C2380-3),Ventes_Encaissements!$C$6:$C$3005,"&lt;="&amp;($C2380+3)))</f>
        <v/>
      </c>
      <c r="I2380" s="12">
        <f>IF($H2380="","",IF($H2380=0,"Non trouvé",IF($H2380=1,"Match","À vérifier")))</f>
        <v/>
      </c>
      <c r="J2380" s="21">
        <f>IF($I2380&lt;&gt;"Match","",INDEX(Ventes_Encaissements!$B$6:$B$3005,_xludf.AGGREGATE(15,6,(ROW(Ventes_Encaissements!$B$6:$B$3005)-ROW(Ventes_Encaissements!$B$6)+1)/((Ventes_Encaissements!$E$6:$E$3005=$B2380)*(Ventes_Encaissements!$J$6:$J$3005=$G2380)*(Ventes_Encaissements!$C$6:$C$3005&gt;=$C2380-3)*(Ventes_Encaissements!$C$6:$C$3005&lt;=$C2380+3)),1)))</f>
        <v/>
      </c>
      <c r="K2380" s="6" t="n"/>
    </row>
    <row r="2381">
      <c r="A2381" s="6" t="n"/>
      <c r="B2381" s="6" t="n"/>
      <c r="C2381" s="19" t="n"/>
      <c r="D2381" s="19" t="n"/>
      <c r="E2381" s="6" t="n"/>
      <c r="F2381" s="20" t="n"/>
      <c r="G2381" s="9">
        <f>IF($F2381="","",IF($F2381&gt;0,ROUND($F2381,2),""))</f>
        <v/>
      </c>
      <c r="H2381" s="12">
        <f>IF(OR($B2381="",$C2381="",$G2381=""),"",COUNTIFS(Ventes_Encaissements!$E$6:$E$3005,$B2381,Ventes_Encaissements!$J$6:$J$3005,$G2381,Ventes_Encaissements!$C$6:$C$3005,"&gt;="&amp;($C2381-3),Ventes_Encaissements!$C$6:$C$3005,"&lt;="&amp;($C2381+3)))</f>
        <v/>
      </c>
      <c r="I2381" s="12">
        <f>IF($H2381="","",IF($H2381=0,"Non trouvé",IF($H2381=1,"Match","À vérifier")))</f>
        <v/>
      </c>
      <c r="J2381" s="21">
        <f>IF($I2381&lt;&gt;"Match","",INDEX(Ventes_Encaissements!$B$6:$B$3005,_xludf.AGGREGATE(15,6,(ROW(Ventes_Encaissements!$B$6:$B$3005)-ROW(Ventes_Encaissements!$B$6)+1)/((Ventes_Encaissements!$E$6:$E$3005=$B2381)*(Ventes_Encaissements!$J$6:$J$3005=$G2381)*(Ventes_Encaissements!$C$6:$C$3005&gt;=$C2381-3)*(Ventes_Encaissements!$C$6:$C$3005&lt;=$C2381+3)),1)))</f>
        <v/>
      </c>
      <c r="K2381" s="6" t="n"/>
    </row>
    <row r="2382">
      <c r="A2382" s="6" t="n"/>
      <c r="B2382" s="6" t="n"/>
      <c r="C2382" s="19" t="n"/>
      <c r="D2382" s="19" t="n"/>
      <c r="E2382" s="6" t="n"/>
      <c r="F2382" s="20" t="n"/>
      <c r="G2382" s="9">
        <f>IF($F2382="","",IF($F2382&gt;0,ROUND($F2382,2),""))</f>
        <v/>
      </c>
      <c r="H2382" s="12">
        <f>IF(OR($B2382="",$C2382="",$G2382=""),"",COUNTIFS(Ventes_Encaissements!$E$6:$E$3005,$B2382,Ventes_Encaissements!$J$6:$J$3005,$G2382,Ventes_Encaissements!$C$6:$C$3005,"&gt;="&amp;($C2382-3),Ventes_Encaissements!$C$6:$C$3005,"&lt;="&amp;($C2382+3)))</f>
        <v/>
      </c>
      <c r="I2382" s="12">
        <f>IF($H2382="","",IF($H2382=0,"Non trouvé",IF($H2382=1,"Match","À vérifier")))</f>
        <v/>
      </c>
      <c r="J2382" s="21">
        <f>IF($I2382&lt;&gt;"Match","",INDEX(Ventes_Encaissements!$B$6:$B$3005,_xludf.AGGREGATE(15,6,(ROW(Ventes_Encaissements!$B$6:$B$3005)-ROW(Ventes_Encaissements!$B$6)+1)/((Ventes_Encaissements!$E$6:$E$3005=$B2382)*(Ventes_Encaissements!$J$6:$J$3005=$G2382)*(Ventes_Encaissements!$C$6:$C$3005&gt;=$C2382-3)*(Ventes_Encaissements!$C$6:$C$3005&lt;=$C2382+3)),1)))</f>
        <v/>
      </c>
      <c r="K2382" s="6" t="n"/>
    </row>
    <row r="2383">
      <c r="A2383" s="6" t="n"/>
      <c r="B2383" s="6" t="n"/>
      <c r="C2383" s="19" t="n"/>
      <c r="D2383" s="19" t="n"/>
      <c r="E2383" s="6" t="n"/>
      <c r="F2383" s="20" t="n"/>
      <c r="G2383" s="9">
        <f>IF($F2383="","",IF($F2383&gt;0,ROUND($F2383,2),""))</f>
        <v/>
      </c>
      <c r="H2383" s="12">
        <f>IF(OR($B2383="",$C2383="",$G2383=""),"",COUNTIFS(Ventes_Encaissements!$E$6:$E$3005,$B2383,Ventes_Encaissements!$J$6:$J$3005,$G2383,Ventes_Encaissements!$C$6:$C$3005,"&gt;="&amp;($C2383-3),Ventes_Encaissements!$C$6:$C$3005,"&lt;="&amp;($C2383+3)))</f>
        <v/>
      </c>
      <c r="I2383" s="12">
        <f>IF($H2383="","",IF($H2383=0,"Non trouvé",IF($H2383=1,"Match","À vérifier")))</f>
        <v/>
      </c>
      <c r="J2383" s="21">
        <f>IF($I2383&lt;&gt;"Match","",INDEX(Ventes_Encaissements!$B$6:$B$3005,_xludf.AGGREGATE(15,6,(ROW(Ventes_Encaissements!$B$6:$B$3005)-ROW(Ventes_Encaissements!$B$6)+1)/((Ventes_Encaissements!$E$6:$E$3005=$B2383)*(Ventes_Encaissements!$J$6:$J$3005=$G2383)*(Ventes_Encaissements!$C$6:$C$3005&gt;=$C2383-3)*(Ventes_Encaissements!$C$6:$C$3005&lt;=$C2383+3)),1)))</f>
        <v/>
      </c>
      <c r="K2383" s="6" t="n"/>
    </row>
    <row r="2384">
      <c r="A2384" s="6" t="n"/>
      <c r="B2384" s="6" t="n"/>
      <c r="C2384" s="19" t="n"/>
      <c r="D2384" s="19" t="n"/>
      <c r="E2384" s="6" t="n"/>
      <c r="F2384" s="20" t="n"/>
      <c r="G2384" s="9">
        <f>IF($F2384="","",IF($F2384&gt;0,ROUND($F2384,2),""))</f>
        <v/>
      </c>
      <c r="H2384" s="12">
        <f>IF(OR($B2384="",$C2384="",$G2384=""),"",COUNTIFS(Ventes_Encaissements!$E$6:$E$3005,$B2384,Ventes_Encaissements!$J$6:$J$3005,$G2384,Ventes_Encaissements!$C$6:$C$3005,"&gt;="&amp;($C2384-3),Ventes_Encaissements!$C$6:$C$3005,"&lt;="&amp;($C2384+3)))</f>
        <v/>
      </c>
      <c r="I2384" s="12">
        <f>IF($H2384="","",IF($H2384=0,"Non trouvé",IF($H2384=1,"Match","À vérifier")))</f>
        <v/>
      </c>
      <c r="J2384" s="21">
        <f>IF($I2384&lt;&gt;"Match","",INDEX(Ventes_Encaissements!$B$6:$B$3005,_xludf.AGGREGATE(15,6,(ROW(Ventes_Encaissements!$B$6:$B$3005)-ROW(Ventes_Encaissements!$B$6)+1)/((Ventes_Encaissements!$E$6:$E$3005=$B2384)*(Ventes_Encaissements!$J$6:$J$3005=$G2384)*(Ventes_Encaissements!$C$6:$C$3005&gt;=$C2384-3)*(Ventes_Encaissements!$C$6:$C$3005&lt;=$C2384+3)),1)))</f>
        <v/>
      </c>
      <c r="K2384" s="6" t="n"/>
    </row>
    <row r="2385">
      <c r="A2385" s="6" t="n"/>
      <c r="B2385" s="6" t="n"/>
      <c r="C2385" s="19" t="n"/>
      <c r="D2385" s="19" t="n"/>
      <c r="E2385" s="6" t="n"/>
      <c r="F2385" s="20" t="n"/>
      <c r="G2385" s="9">
        <f>IF($F2385="","",IF($F2385&gt;0,ROUND($F2385,2),""))</f>
        <v/>
      </c>
      <c r="H2385" s="12">
        <f>IF(OR($B2385="",$C2385="",$G2385=""),"",COUNTIFS(Ventes_Encaissements!$E$6:$E$3005,$B2385,Ventes_Encaissements!$J$6:$J$3005,$G2385,Ventes_Encaissements!$C$6:$C$3005,"&gt;="&amp;($C2385-3),Ventes_Encaissements!$C$6:$C$3005,"&lt;="&amp;($C2385+3)))</f>
        <v/>
      </c>
      <c r="I2385" s="12">
        <f>IF($H2385="","",IF($H2385=0,"Non trouvé",IF($H2385=1,"Match","À vérifier")))</f>
        <v/>
      </c>
      <c r="J2385" s="21">
        <f>IF($I2385&lt;&gt;"Match","",INDEX(Ventes_Encaissements!$B$6:$B$3005,_xludf.AGGREGATE(15,6,(ROW(Ventes_Encaissements!$B$6:$B$3005)-ROW(Ventes_Encaissements!$B$6)+1)/((Ventes_Encaissements!$E$6:$E$3005=$B2385)*(Ventes_Encaissements!$J$6:$J$3005=$G2385)*(Ventes_Encaissements!$C$6:$C$3005&gt;=$C2385-3)*(Ventes_Encaissements!$C$6:$C$3005&lt;=$C2385+3)),1)))</f>
        <v/>
      </c>
      <c r="K2385" s="6" t="n"/>
    </row>
    <row r="2386">
      <c r="A2386" s="6" t="n"/>
      <c r="B2386" s="6" t="n"/>
      <c r="C2386" s="19" t="n"/>
      <c r="D2386" s="19" t="n"/>
      <c r="E2386" s="6" t="n"/>
      <c r="F2386" s="20" t="n"/>
      <c r="G2386" s="9">
        <f>IF($F2386="","",IF($F2386&gt;0,ROUND($F2386,2),""))</f>
        <v/>
      </c>
      <c r="H2386" s="12">
        <f>IF(OR($B2386="",$C2386="",$G2386=""),"",COUNTIFS(Ventes_Encaissements!$E$6:$E$3005,$B2386,Ventes_Encaissements!$J$6:$J$3005,$G2386,Ventes_Encaissements!$C$6:$C$3005,"&gt;="&amp;($C2386-3),Ventes_Encaissements!$C$6:$C$3005,"&lt;="&amp;($C2386+3)))</f>
        <v/>
      </c>
      <c r="I2386" s="12">
        <f>IF($H2386="","",IF($H2386=0,"Non trouvé",IF($H2386=1,"Match","À vérifier")))</f>
        <v/>
      </c>
      <c r="J2386" s="21">
        <f>IF($I2386&lt;&gt;"Match","",INDEX(Ventes_Encaissements!$B$6:$B$3005,_xludf.AGGREGATE(15,6,(ROW(Ventes_Encaissements!$B$6:$B$3005)-ROW(Ventes_Encaissements!$B$6)+1)/((Ventes_Encaissements!$E$6:$E$3005=$B2386)*(Ventes_Encaissements!$J$6:$J$3005=$G2386)*(Ventes_Encaissements!$C$6:$C$3005&gt;=$C2386-3)*(Ventes_Encaissements!$C$6:$C$3005&lt;=$C2386+3)),1)))</f>
        <v/>
      </c>
      <c r="K2386" s="6" t="n"/>
    </row>
    <row r="2387">
      <c r="A2387" s="6" t="n"/>
      <c r="B2387" s="6" t="n"/>
      <c r="C2387" s="19" t="n"/>
      <c r="D2387" s="19" t="n"/>
      <c r="E2387" s="6" t="n"/>
      <c r="F2387" s="20" t="n"/>
      <c r="G2387" s="9">
        <f>IF($F2387="","",IF($F2387&gt;0,ROUND($F2387,2),""))</f>
        <v/>
      </c>
      <c r="H2387" s="12">
        <f>IF(OR($B2387="",$C2387="",$G2387=""),"",COUNTIFS(Ventes_Encaissements!$E$6:$E$3005,$B2387,Ventes_Encaissements!$J$6:$J$3005,$G2387,Ventes_Encaissements!$C$6:$C$3005,"&gt;="&amp;($C2387-3),Ventes_Encaissements!$C$6:$C$3005,"&lt;="&amp;($C2387+3)))</f>
        <v/>
      </c>
      <c r="I2387" s="12">
        <f>IF($H2387="","",IF($H2387=0,"Non trouvé",IF($H2387=1,"Match","À vérifier")))</f>
        <v/>
      </c>
      <c r="J2387" s="21">
        <f>IF($I2387&lt;&gt;"Match","",INDEX(Ventes_Encaissements!$B$6:$B$3005,_xludf.AGGREGATE(15,6,(ROW(Ventes_Encaissements!$B$6:$B$3005)-ROW(Ventes_Encaissements!$B$6)+1)/((Ventes_Encaissements!$E$6:$E$3005=$B2387)*(Ventes_Encaissements!$J$6:$J$3005=$G2387)*(Ventes_Encaissements!$C$6:$C$3005&gt;=$C2387-3)*(Ventes_Encaissements!$C$6:$C$3005&lt;=$C2387+3)),1)))</f>
        <v/>
      </c>
      <c r="K2387" s="6" t="n"/>
    </row>
    <row r="2388">
      <c r="A2388" s="6" t="n"/>
      <c r="B2388" s="6" t="n"/>
      <c r="C2388" s="19" t="n"/>
      <c r="D2388" s="19" t="n"/>
      <c r="E2388" s="6" t="n"/>
      <c r="F2388" s="20" t="n"/>
      <c r="G2388" s="9">
        <f>IF($F2388="","",IF($F2388&gt;0,ROUND($F2388,2),""))</f>
        <v/>
      </c>
      <c r="H2388" s="12">
        <f>IF(OR($B2388="",$C2388="",$G2388=""),"",COUNTIFS(Ventes_Encaissements!$E$6:$E$3005,$B2388,Ventes_Encaissements!$J$6:$J$3005,$G2388,Ventes_Encaissements!$C$6:$C$3005,"&gt;="&amp;($C2388-3),Ventes_Encaissements!$C$6:$C$3005,"&lt;="&amp;($C2388+3)))</f>
        <v/>
      </c>
      <c r="I2388" s="12">
        <f>IF($H2388="","",IF($H2388=0,"Non trouvé",IF($H2388=1,"Match","À vérifier")))</f>
        <v/>
      </c>
      <c r="J2388" s="21">
        <f>IF($I2388&lt;&gt;"Match","",INDEX(Ventes_Encaissements!$B$6:$B$3005,_xludf.AGGREGATE(15,6,(ROW(Ventes_Encaissements!$B$6:$B$3005)-ROW(Ventes_Encaissements!$B$6)+1)/((Ventes_Encaissements!$E$6:$E$3005=$B2388)*(Ventes_Encaissements!$J$6:$J$3005=$G2388)*(Ventes_Encaissements!$C$6:$C$3005&gt;=$C2388-3)*(Ventes_Encaissements!$C$6:$C$3005&lt;=$C2388+3)),1)))</f>
        <v/>
      </c>
      <c r="K2388" s="6" t="n"/>
    </row>
    <row r="2389">
      <c r="A2389" s="6" t="n"/>
      <c r="B2389" s="6" t="n"/>
      <c r="C2389" s="19" t="n"/>
      <c r="D2389" s="19" t="n"/>
      <c r="E2389" s="6" t="n"/>
      <c r="F2389" s="20" t="n"/>
      <c r="G2389" s="9">
        <f>IF($F2389="","",IF($F2389&gt;0,ROUND($F2389,2),""))</f>
        <v/>
      </c>
      <c r="H2389" s="12">
        <f>IF(OR($B2389="",$C2389="",$G2389=""),"",COUNTIFS(Ventes_Encaissements!$E$6:$E$3005,$B2389,Ventes_Encaissements!$J$6:$J$3005,$G2389,Ventes_Encaissements!$C$6:$C$3005,"&gt;="&amp;($C2389-3),Ventes_Encaissements!$C$6:$C$3005,"&lt;="&amp;($C2389+3)))</f>
        <v/>
      </c>
      <c r="I2389" s="12">
        <f>IF($H2389="","",IF($H2389=0,"Non trouvé",IF($H2389=1,"Match","À vérifier")))</f>
        <v/>
      </c>
      <c r="J2389" s="21">
        <f>IF($I2389&lt;&gt;"Match","",INDEX(Ventes_Encaissements!$B$6:$B$3005,_xludf.AGGREGATE(15,6,(ROW(Ventes_Encaissements!$B$6:$B$3005)-ROW(Ventes_Encaissements!$B$6)+1)/((Ventes_Encaissements!$E$6:$E$3005=$B2389)*(Ventes_Encaissements!$J$6:$J$3005=$G2389)*(Ventes_Encaissements!$C$6:$C$3005&gt;=$C2389-3)*(Ventes_Encaissements!$C$6:$C$3005&lt;=$C2389+3)),1)))</f>
        <v/>
      </c>
      <c r="K2389" s="6" t="n"/>
    </row>
    <row r="2390">
      <c r="A2390" s="6" t="n"/>
      <c r="B2390" s="6" t="n"/>
      <c r="C2390" s="19" t="n"/>
      <c r="D2390" s="19" t="n"/>
      <c r="E2390" s="6" t="n"/>
      <c r="F2390" s="20" t="n"/>
      <c r="G2390" s="9">
        <f>IF($F2390="","",IF($F2390&gt;0,ROUND($F2390,2),""))</f>
        <v/>
      </c>
      <c r="H2390" s="12">
        <f>IF(OR($B2390="",$C2390="",$G2390=""),"",COUNTIFS(Ventes_Encaissements!$E$6:$E$3005,$B2390,Ventes_Encaissements!$J$6:$J$3005,$G2390,Ventes_Encaissements!$C$6:$C$3005,"&gt;="&amp;($C2390-3),Ventes_Encaissements!$C$6:$C$3005,"&lt;="&amp;($C2390+3)))</f>
        <v/>
      </c>
      <c r="I2390" s="12">
        <f>IF($H2390="","",IF($H2390=0,"Non trouvé",IF($H2390=1,"Match","À vérifier")))</f>
        <v/>
      </c>
      <c r="J2390" s="21">
        <f>IF($I2390&lt;&gt;"Match","",INDEX(Ventes_Encaissements!$B$6:$B$3005,_xludf.AGGREGATE(15,6,(ROW(Ventes_Encaissements!$B$6:$B$3005)-ROW(Ventes_Encaissements!$B$6)+1)/((Ventes_Encaissements!$E$6:$E$3005=$B2390)*(Ventes_Encaissements!$J$6:$J$3005=$G2390)*(Ventes_Encaissements!$C$6:$C$3005&gt;=$C2390-3)*(Ventes_Encaissements!$C$6:$C$3005&lt;=$C2390+3)),1)))</f>
        <v/>
      </c>
      <c r="K2390" s="6" t="n"/>
    </row>
    <row r="2391">
      <c r="A2391" s="6" t="n"/>
      <c r="B2391" s="6" t="n"/>
      <c r="C2391" s="19" t="n"/>
      <c r="D2391" s="19" t="n"/>
      <c r="E2391" s="6" t="n"/>
      <c r="F2391" s="20" t="n"/>
      <c r="G2391" s="9">
        <f>IF($F2391="","",IF($F2391&gt;0,ROUND($F2391,2),""))</f>
        <v/>
      </c>
      <c r="H2391" s="12">
        <f>IF(OR($B2391="",$C2391="",$G2391=""),"",COUNTIFS(Ventes_Encaissements!$E$6:$E$3005,$B2391,Ventes_Encaissements!$J$6:$J$3005,$G2391,Ventes_Encaissements!$C$6:$C$3005,"&gt;="&amp;($C2391-3),Ventes_Encaissements!$C$6:$C$3005,"&lt;="&amp;($C2391+3)))</f>
        <v/>
      </c>
      <c r="I2391" s="12">
        <f>IF($H2391="","",IF($H2391=0,"Non trouvé",IF($H2391=1,"Match","À vérifier")))</f>
        <v/>
      </c>
      <c r="J2391" s="21">
        <f>IF($I2391&lt;&gt;"Match","",INDEX(Ventes_Encaissements!$B$6:$B$3005,_xludf.AGGREGATE(15,6,(ROW(Ventes_Encaissements!$B$6:$B$3005)-ROW(Ventes_Encaissements!$B$6)+1)/((Ventes_Encaissements!$E$6:$E$3005=$B2391)*(Ventes_Encaissements!$J$6:$J$3005=$G2391)*(Ventes_Encaissements!$C$6:$C$3005&gt;=$C2391-3)*(Ventes_Encaissements!$C$6:$C$3005&lt;=$C2391+3)),1)))</f>
        <v/>
      </c>
      <c r="K2391" s="6" t="n"/>
    </row>
    <row r="2392">
      <c r="A2392" s="6" t="n"/>
      <c r="B2392" s="6" t="n"/>
      <c r="C2392" s="19" t="n"/>
      <c r="D2392" s="19" t="n"/>
      <c r="E2392" s="6" t="n"/>
      <c r="F2392" s="20" t="n"/>
      <c r="G2392" s="9">
        <f>IF($F2392="","",IF($F2392&gt;0,ROUND($F2392,2),""))</f>
        <v/>
      </c>
      <c r="H2392" s="12">
        <f>IF(OR($B2392="",$C2392="",$G2392=""),"",COUNTIFS(Ventes_Encaissements!$E$6:$E$3005,$B2392,Ventes_Encaissements!$J$6:$J$3005,$G2392,Ventes_Encaissements!$C$6:$C$3005,"&gt;="&amp;($C2392-3),Ventes_Encaissements!$C$6:$C$3005,"&lt;="&amp;($C2392+3)))</f>
        <v/>
      </c>
      <c r="I2392" s="12">
        <f>IF($H2392="","",IF($H2392=0,"Non trouvé",IF($H2392=1,"Match","À vérifier")))</f>
        <v/>
      </c>
      <c r="J2392" s="21">
        <f>IF($I2392&lt;&gt;"Match","",INDEX(Ventes_Encaissements!$B$6:$B$3005,_xludf.AGGREGATE(15,6,(ROW(Ventes_Encaissements!$B$6:$B$3005)-ROW(Ventes_Encaissements!$B$6)+1)/((Ventes_Encaissements!$E$6:$E$3005=$B2392)*(Ventes_Encaissements!$J$6:$J$3005=$G2392)*(Ventes_Encaissements!$C$6:$C$3005&gt;=$C2392-3)*(Ventes_Encaissements!$C$6:$C$3005&lt;=$C2392+3)),1)))</f>
        <v/>
      </c>
      <c r="K2392" s="6" t="n"/>
    </row>
    <row r="2393">
      <c r="A2393" s="6" t="n"/>
      <c r="B2393" s="6" t="n"/>
      <c r="C2393" s="19" t="n"/>
      <c r="D2393" s="19" t="n"/>
      <c r="E2393" s="6" t="n"/>
      <c r="F2393" s="20" t="n"/>
      <c r="G2393" s="9">
        <f>IF($F2393="","",IF($F2393&gt;0,ROUND($F2393,2),""))</f>
        <v/>
      </c>
      <c r="H2393" s="12">
        <f>IF(OR($B2393="",$C2393="",$G2393=""),"",COUNTIFS(Ventes_Encaissements!$E$6:$E$3005,$B2393,Ventes_Encaissements!$J$6:$J$3005,$G2393,Ventes_Encaissements!$C$6:$C$3005,"&gt;="&amp;($C2393-3),Ventes_Encaissements!$C$6:$C$3005,"&lt;="&amp;($C2393+3)))</f>
        <v/>
      </c>
      <c r="I2393" s="12">
        <f>IF($H2393="","",IF($H2393=0,"Non trouvé",IF($H2393=1,"Match","À vérifier")))</f>
        <v/>
      </c>
      <c r="J2393" s="21">
        <f>IF($I2393&lt;&gt;"Match","",INDEX(Ventes_Encaissements!$B$6:$B$3005,_xludf.AGGREGATE(15,6,(ROW(Ventes_Encaissements!$B$6:$B$3005)-ROW(Ventes_Encaissements!$B$6)+1)/((Ventes_Encaissements!$E$6:$E$3005=$B2393)*(Ventes_Encaissements!$J$6:$J$3005=$G2393)*(Ventes_Encaissements!$C$6:$C$3005&gt;=$C2393-3)*(Ventes_Encaissements!$C$6:$C$3005&lt;=$C2393+3)),1)))</f>
        <v/>
      </c>
      <c r="K2393" s="6" t="n"/>
    </row>
    <row r="2394">
      <c r="A2394" s="6" t="n"/>
      <c r="B2394" s="6" t="n"/>
      <c r="C2394" s="19" t="n"/>
      <c r="D2394" s="19" t="n"/>
      <c r="E2394" s="6" t="n"/>
      <c r="F2394" s="20" t="n"/>
      <c r="G2394" s="9">
        <f>IF($F2394="","",IF($F2394&gt;0,ROUND($F2394,2),""))</f>
        <v/>
      </c>
      <c r="H2394" s="12">
        <f>IF(OR($B2394="",$C2394="",$G2394=""),"",COUNTIFS(Ventes_Encaissements!$E$6:$E$3005,$B2394,Ventes_Encaissements!$J$6:$J$3005,$G2394,Ventes_Encaissements!$C$6:$C$3005,"&gt;="&amp;($C2394-3),Ventes_Encaissements!$C$6:$C$3005,"&lt;="&amp;($C2394+3)))</f>
        <v/>
      </c>
      <c r="I2394" s="12">
        <f>IF($H2394="","",IF($H2394=0,"Non trouvé",IF($H2394=1,"Match","À vérifier")))</f>
        <v/>
      </c>
      <c r="J2394" s="21">
        <f>IF($I2394&lt;&gt;"Match","",INDEX(Ventes_Encaissements!$B$6:$B$3005,_xludf.AGGREGATE(15,6,(ROW(Ventes_Encaissements!$B$6:$B$3005)-ROW(Ventes_Encaissements!$B$6)+1)/((Ventes_Encaissements!$E$6:$E$3005=$B2394)*(Ventes_Encaissements!$J$6:$J$3005=$G2394)*(Ventes_Encaissements!$C$6:$C$3005&gt;=$C2394-3)*(Ventes_Encaissements!$C$6:$C$3005&lt;=$C2394+3)),1)))</f>
        <v/>
      </c>
      <c r="K2394" s="6" t="n"/>
    </row>
    <row r="2395">
      <c r="A2395" s="6" t="n"/>
      <c r="B2395" s="6" t="n"/>
      <c r="C2395" s="19" t="n"/>
      <c r="D2395" s="19" t="n"/>
      <c r="E2395" s="6" t="n"/>
      <c r="F2395" s="20" t="n"/>
      <c r="G2395" s="9">
        <f>IF($F2395="","",IF($F2395&gt;0,ROUND($F2395,2),""))</f>
        <v/>
      </c>
      <c r="H2395" s="12">
        <f>IF(OR($B2395="",$C2395="",$G2395=""),"",COUNTIFS(Ventes_Encaissements!$E$6:$E$3005,$B2395,Ventes_Encaissements!$J$6:$J$3005,$G2395,Ventes_Encaissements!$C$6:$C$3005,"&gt;="&amp;($C2395-3),Ventes_Encaissements!$C$6:$C$3005,"&lt;="&amp;($C2395+3)))</f>
        <v/>
      </c>
      <c r="I2395" s="12">
        <f>IF($H2395="","",IF($H2395=0,"Non trouvé",IF($H2395=1,"Match","À vérifier")))</f>
        <v/>
      </c>
      <c r="J2395" s="21">
        <f>IF($I2395&lt;&gt;"Match","",INDEX(Ventes_Encaissements!$B$6:$B$3005,_xludf.AGGREGATE(15,6,(ROW(Ventes_Encaissements!$B$6:$B$3005)-ROW(Ventes_Encaissements!$B$6)+1)/((Ventes_Encaissements!$E$6:$E$3005=$B2395)*(Ventes_Encaissements!$J$6:$J$3005=$G2395)*(Ventes_Encaissements!$C$6:$C$3005&gt;=$C2395-3)*(Ventes_Encaissements!$C$6:$C$3005&lt;=$C2395+3)),1)))</f>
        <v/>
      </c>
      <c r="K2395" s="6" t="n"/>
    </row>
    <row r="2396">
      <c r="A2396" s="6" t="n"/>
      <c r="B2396" s="6" t="n"/>
      <c r="C2396" s="19" t="n"/>
      <c r="D2396" s="19" t="n"/>
      <c r="E2396" s="6" t="n"/>
      <c r="F2396" s="20" t="n"/>
      <c r="G2396" s="9">
        <f>IF($F2396="","",IF($F2396&gt;0,ROUND($F2396,2),""))</f>
        <v/>
      </c>
      <c r="H2396" s="12">
        <f>IF(OR($B2396="",$C2396="",$G2396=""),"",COUNTIFS(Ventes_Encaissements!$E$6:$E$3005,$B2396,Ventes_Encaissements!$J$6:$J$3005,$G2396,Ventes_Encaissements!$C$6:$C$3005,"&gt;="&amp;($C2396-3),Ventes_Encaissements!$C$6:$C$3005,"&lt;="&amp;($C2396+3)))</f>
        <v/>
      </c>
      <c r="I2396" s="12">
        <f>IF($H2396="","",IF($H2396=0,"Non trouvé",IF($H2396=1,"Match","À vérifier")))</f>
        <v/>
      </c>
      <c r="J2396" s="21">
        <f>IF($I2396&lt;&gt;"Match","",INDEX(Ventes_Encaissements!$B$6:$B$3005,_xludf.AGGREGATE(15,6,(ROW(Ventes_Encaissements!$B$6:$B$3005)-ROW(Ventes_Encaissements!$B$6)+1)/((Ventes_Encaissements!$E$6:$E$3005=$B2396)*(Ventes_Encaissements!$J$6:$J$3005=$G2396)*(Ventes_Encaissements!$C$6:$C$3005&gt;=$C2396-3)*(Ventes_Encaissements!$C$6:$C$3005&lt;=$C2396+3)),1)))</f>
        <v/>
      </c>
      <c r="K2396" s="6" t="n"/>
    </row>
    <row r="2397">
      <c r="A2397" s="6" t="n"/>
      <c r="B2397" s="6" t="n"/>
      <c r="C2397" s="19" t="n"/>
      <c r="D2397" s="19" t="n"/>
      <c r="E2397" s="6" t="n"/>
      <c r="F2397" s="20" t="n"/>
      <c r="G2397" s="9">
        <f>IF($F2397="","",IF($F2397&gt;0,ROUND($F2397,2),""))</f>
        <v/>
      </c>
      <c r="H2397" s="12">
        <f>IF(OR($B2397="",$C2397="",$G2397=""),"",COUNTIFS(Ventes_Encaissements!$E$6:$E$3005,$B2397,Ventes_Encaissements!$J$6:$J$3005,$G2397,Ventes_Encaissements!$C$6:$C$3005,"&gt;="&amp;($C2397-3),Ventes_Encaissements!$C$6:$C$3005,"&lt;="&amp;($C2397+3)))</f>
        <v/>
      </c>
      <c r="I2397" s="12">
        <f>IF($H2397="","",IF($H2397=0,"Non trouvé",IF($H2397=1,"Match","À vérifier")))</f>
        <v/>
      </c>
      <c r="J2397" s="21">
        <f>IF($I2397&lt;&gt;"Match","",INDEX(Ventes_Encaissements!$B$6:$B$3005,_xludf.AGGREGATE(15,6,(ROW(Ventes_Encaissements!$B$6:$B$3005)-ROW(Ventes_Encaissements!$B$6)+1)/((Ventes_Encaissements!$E$6:$E$3005=$B2397)*(Ventes_Encaissements!$J$6:$J$3005=$G2397)*(Ventes_Encaissements!$C$6:$C$3005&gt;=$C2397-3)*(Ventes_Encaissements!$C$6:$C$3005&lt;=$C2397+3)),1)))</f>
        <v/>
      </c>
      <c r="K2397" s="6" t="n"/>
    </row>
    <row r="2398">
      <c r="A2398" s="6" t="n"/>
      <c r="B2398" s="6" t="n"/>
      <c r="C2398" s="19" t="n"/>
      <c r="D2398" s="19" t="n"/>
      <c r="E2398" s="6" t="n"/>
      <c r="F2398" s="20" t="n"/>
      <c r="G2398" s="9">
        <f>IF($F2398="","",IF($F2398&gt;0,ROUND($F2398,2),""))</f>
        <v/>
      </c>
      <c r="H2398" s="12">
        <f>IF(OR($B2398="",$C2398="",$G2398=""),"",COUNTIFS(Ventes_Encaissements!$E$6:$E$3005,$B2398,Ventes_Encaissements!$J$6:$J$3005,$G2398,Ventes_Encaissements!$C$6:$C$3005,"&gt;="&amp;($C2398-3),Ventes_Encaissements!$C$6:$C$3005,"&lt;="&amp;($C2398+3)))</f>
        <v/>
      </c>
      <c r="I2398" s="12">
        <f>IF($H2398="","",IF($H2398=0,"Non trouvé",IF($H2398=1,"Match","À vérifier")))</f>
        <v/>
      </c>
      <c r="J2398" s="21">
        <f>IF($I2398&lt;&gt;"Match","",INDEX(Ventes_Encaissements!$B$6:$B$3005,_xludf.AGGREGATE(15,6,(ROW(Ventes_Encaissements!$B$6:$B$3005)-ROW(Ventes_Encaissements!$B$6)+1)/((Ventes_Encaissements!$E$6:$E$3005=$B2398)*(Ventes_Encaissements!$J$6:$J$3005=$G2398)*(Ventes_Encaissements!$C$6:$C$3005&gt;=$C2398-3)*(Ventes_Encaissements!$C$6:$C$3005&lt;=$C2398+3)),1)))</f>
        <v/>
      </c>
      <c r="K2398" s="6" t="n"/>
    </row>
    <row r="2399">
      <c r="A2399" s="6" t="n"/>
      <c r="B2399" s="6" t="n"/>
      <c r="C2399" s="19" t="n"/>
      <c r="D2399" s="19" t="n"/>
      <c r="E2399" s="6" t="n"/>
      <c r="F2399" s="20" t="n"/>
      <c r="G2399" s="9">
        <f>IF($F2399="","",IF($F2399&gt;0,ROUND($F2399,2),""))</f>
        <v/>
      </c>
      <c r="H2399" s="12">
        <f>IF(OR($B2399="",$C2399="",$G2399=""),"",COUNTIFS(Ventes_Encaissements!$E$6:$E$3005,$B2399,Ventes_Encaissements!$J$6:$J$3005,$G2399,Ventes_Encaissements!$C$6:$C$3005,"&gt;="&amp;($C2399-3),Ventes_Encaissements!$C$6:$C$3005,"&lt;="&amp;($C2399+3)))</f>
        <v/>
      </c>
      <c r="I2399" s="12">
        <f>IF($H2399="","",IF($H2399=0,"Non trouvé",IF($H2399=1,"Match","À vérifier")))</f>
        <v/>
      </c>
      <c r="J2399" s="21">
        <f>IF($I2399&lt;&gt;"Match","",INDEX(Ventes_Encaissements!$B$6:$B$3005,_xludf.AGGREGATE(15,6,(ROW(Ventes_Encaissements!$B$6:$B$3005)-ROW(Ventes_Encaissements!$B$6)+1)/((Ventes_Encaissements!$E$6:$E$3005=$B2399)*(Ventes_Encaissements!$J$6:$J$3005=$G2399)*(Ventes_Encaissements!$C$6:$C$3005&gt;=$C2399-3)*(Ventes_Encaissements!$C$6:$C$3005&lt;=$C2399+3)),1)))</f>
        <v/>
      </c>
      <c r="K2399" s="6" t="n"/>
    </row>
    <row r="2400">
      <c r="A2400" s="6" t="n"/>
      <c r="B2400" s="6" t="n"/>
      <c r="C2400" s="19" t="n"/>
      <c r="D2400" s="19" t="n"/>
      <c r="E2400" s="6" t="n"/>
      <c r="F2400" s="20" t="n"/>
      <c r="G2400" s="9">
        <f>IF($F2400="","",IF($F2400&gt;0,ROUND($F2400,2),""))</f>
        <v/>
      </c>
      <c r="H2400" s="12">
        <f>IF(OR($B2400="",$C2400="",$G2400=""),"",COUNTIFS(Ventes_Encaissements!$E$6:$E$3005,$B2400,Ventes_Encaissements!$J$6:$J$3005,$G2400,Ventes_Encaissements!$C$6:$C$3005,"&gt;="&amp;($C2400-3),Ventes_Encaissements!$C$6:$C$3005,"&lt;="&amp;($C2400+3)))</f>
        <v/>
      </c>
      <c r="I2400" s="12">
        <f>IF($H2400="","",IF($H2400=0,"Non trouvé",IF($H2400=1,"Match","À vérifier")))</f>
        <v/>
      </c>
      <c r="J2400" s="21">
        <f>IF($I2400&lt;&gt;"Match","",INDEX(Ventes_Encaissements!$B$6:$B$3005,_xludf.AGGREGATE(15,6,(ROW(Ventes_Encaissements!$B$6:$B$3005)-ROW(Ventes_Encaissements!$B$6)+1)/((Ventes_Encaissements!$E$6:$E$3005=$B2400)*(Ventes_Encaissements!$J$6:$J$3005=$G2400)*(Ventes_Encaissements!$C$6:$C$3005&gt;=$C2400-3)*(Ventes_Encaissements!$C$6:$C$3005&lt;=$C2400+3)),1)))</f>
        <v/>
      </c>
      <c r="K2400" s="6" t="n"/>
    </row>
    <row r="2401">
      <c r="A2401" s="6" t="n"/>
      <c r="B2401" s="6" t="n"/>
      <c r="C2401" s="19" t="n"/>
      <c r="D2401" s="19" t="n"/>
      <c r="E2401" s="6" t="n"/>
      <c r="F2401" s="20" t="n"/>
      <c r="G2401" s="9">
        <f>IF($F2401="","",IF($F2401&gt;0,ROUND($F2401,2),""))</f>
        <v/>
      </c>
      <c r="H2401" s="12">
        <f>IF(OR($B2401="",$C2401="",$G2401=""),"",COUNTIFS(Ventes_Encaissements!$E$6:$E$3005,$B2401,Ventes_Encaissements!$J$6:$J$3005,$G2401,Ventes_Encaissements!$C$6:$C$3005,"&gt;="&amp;($C2401-3),Ventes_Encaissements!$C$6:$C$3005,"&lt;="&amp;($C2401+3)))</f>
        <v/>
      </c>
      <c r="I2401" s="12">
        <f>IF($H2401="","",IF($H2401=0,"Non trouvé",IF($H2401=1,"Match","À vérifier")))</f>
        <v/>
      </c>
      <c r="J2401" s="21">
        <f>IF($I2401&lt;&gt;"Match","",INDEX(Ventes_Encaissements!$B$6:$B$3005,_xludf.AGGREGATE(15,6,(ROW(Ventes_Encaissements!$B$6:$B$3005)-ROW(Ventes_Encaissements!$B$6)+1)/((Ventes_Encaissements!$E$6:$E$3005=$B2401)*(Ventes_Encaissements!$J$6:$J$3005=$G2401)*(Ventes_Encaissements!$C$6:$C$3005&gt;=$C2401-3)*(Ventes_Encaissements!$C$6:$C$3005&lt;=$C2401+3)),1)))</f>
        <v/>
      </c>
      <c r="K2401" s="6" t="n"/>
    </row>
    <row r="2402">
      <c r="A2402" s="6" t="n"/>
      <c r="B2402" s="6" t="n"/>
      <c r="C2402" s="19" t="n"/>
      <c r="D2402" s="19" t="n"/>
      <c r="E2402" s="6" t="n"/>
      <c r="F2402" s="20" t="n"/>
      <c r="G2402" s="9">
        <f>IF($F2402="","",IF($F2402&gt;0,ROUND($F2402,2),""))</f>
        <v/>
      </c>
      <c r="H2402" s="12">
        <f>IF(OR($B2402="",$C2402="",$G2402=""),"",COUNTIFS(Ventes_Encaissements!$E$6:$E$3005,$B2402,Ventes_Encaissements!$J$6:$J$3005,$G2402,Ventes_Encaissements!$C$6:$C$3005,"&gt;="&amp;($C2402-3),Ventes_Encaissements!$C$6:$C$3005,"&lt;="&amp;($C2402+3)))</f>
        <v/>
      </c>
      <c r="I2402" s="12">
        <f>IF($H2402="","",IF($H2402=0,"Non trouvé",IF($H2402=1,"Match","À vérifier")))</f>
        <v/>
      </c>
      <c r="J2402" s="21">
        <f>IF($I2402&lt;&gt;"Match","",INDEX(Ventes_Encaissements!$B$6:$B$3005,_xludf.AGGREGATE(15,6,(ROW(Ventes_Encaissements!$B$6:$B$3005)-ROW(Ventes_Encaissements!$B$6)+1)/((Ventes_Encaissements!$E$6:$E$3005=$B2402)*(Ventes_Encaissements!$J$6:$J$3005=$G2402)*(Ventes_Encaissements!$C$6:$C$3005&gt;=$C2402-3)*(Ventes_Encaissements!$C$6:$C$3005&lt;=$C2402+3)),1)))</f>
        <v/>
      </c>
      <c r="K2402" s="6" t="n"/>
    </row>
    <row r="2403">
      <c r="A2403" s="6" t="n"/>
      <c r="B2403" s="6" t="n"/>
      <c r="C2403" s="19" t="n"/>
      <c r="D2403" s="19" t="n"/>
      <c r="E2403" s="6" t="n"/>
      <c r="F2403" s="20" t="n"/>
      <c r="G2403" s="9">
        <f>IF($F2403="","",IF($F2403&gt;0,ROUND($F2403,2),""))</f>
        <v/>
      </c>
      <c r="H2403" s="12">
        <f>IF(OR($B2403="",$C2403="",$G2403=""),"",COUNTIFS(Ventes_Encaissements!$E$6:$E$3005,$B2403,Ventes_Encaissements!$J$6:$J$3005,$G2403,Ventes_Encaissements!$C$6:$C$3005,"&gt;="&amp;($C2403-3),Ventes_Encaissements!$C$6:$C$3005,"&lt;="&amp;($C2403+3)))</f>
        <v/>
      </c>
      <c r="I2403" s="12">
        <f>IF($H2403="","",IF($H2403=0,"Non trouvé",IF($H2403=1,"Match","À vérifier")))</f>
        <v/>
      </c>
      <c r="J2403" s="21">
        <f>IF($I2403&lt;&gt;"Match","",INDEX(Ventes_Encaissements!$B$6:$B$3005,_xludf.AGGREGATE(15,6,(ROW(Ventes_Encaissements!$B$6:$B$3005)-ROW(Ventes_Encaissements!$B$6)+1)/((Ventes_Encaissements!$E$6:$E$3005=$B2403)*(Ventes_Encaissements!$J$6:$J$3005=$G2403)*(Ventes_Encaissements!$C$6:$C$3005&gt;=$C2403-3)*(Ventes_Encaissements!$C$6:$C$3005&lt;=$C2403+3)),1)))</f>
        <v/>
      </c>
      <c r="K2403" s="6" t="n"/>
    </row>
    <row r="2404">
      <c r="A2404" s="6" t="n"/>
      <c r="B2404" s="6" t="n"/>
      <c r="C2404" s="19" t="n"/>
      <c r="D2404" s="19" t="n"/>
      <c r="E2404" s="6" t="n"/>
      <c r="F2404" s="20" t="n"/>
      <c r="G2404" s="9">
        <f>IF($F2404="","",IF($F2404&gt;0,ROUND($F2404,2),""))</f>
        <v/>
      </c>
      <c r="H2404" s="12">
        <f>IF(OR($B2404="",$C2404="",$G2404=""),"",COUNTIFS(Ventes_Encaissements!$E$6:$E$3005,$B2404,Ventes_Encaissements!$J$6:$J$3005,$G2404,Ventes_Encaissements!$C$6:$C$3005,"&gt;="&amp;($C2404-3),Ventes_Encaissements!$C$6:$C$3005,"&lt;="&amp;($C2404+3)))</f>
        <v/>
      </c>
      <c r="I2404" s="12">
        <f>IF($H2404="","",IF($H2404=0,"Non trouvé",IF($H2404=1,"Match","À vérifier")))</f>
        <v/>
      </c>
      <c r="J2404" s="21">
        <f>IF($I2404&lt;&gt;"Match","",INDEX(Ventes_Encaissements!$B$6:$B$3005,_xludf.AGGREGATE(15,6,(ROW(Ventes_Encaissements!$B$6:$B$3005)-ROW(Ventes_Encaissements!$B$6)+1)/((Ventes_Encaissements!$E$6:$E$3005=$B2404)*(Ventes_Encaissements!$J$6:$J$3005=$G2404)*(Ventes_Encaissements!$C$6:$C$3005&gt;=$C2404-3)*(Ventes_Encaissements!$C$6:$C$3005&lt;=$C2404+3)),1)))</f>
        <v/>
      </c>
      <c r="K2404" s="6" t="n"/>
    </row>
    <row r="2405">
      <c r="A2405" s="6" t="n"/>
      <c r="B2405" s="6" t="n"/>
      <c r="C2405" s="19" t="n"/>
      <c r="D2405" s="19" t="n"/>
      <c r="E2405" s="6" t="n"/>
      <c r="F2405" s="20" t="n"/>
      <c r="G2405" s="9">
        <f>IF($F2405="","",IF($F2405&gt;0,ROUND($F2405,2),""))</f>
        <v/>
      </c>
      <c r="H2405" s="12">
        <f>IF(OR($B2405="",$C2405="",$G2405=""),"",COUNTIFS(Ventes_Encaissements!$E$6:$E$3005,$B2405,Ventes_Encaissements!$J$6:$J$3005,$G2405,Ventes_Encaissements!$C$6:$C$3005,"&gt;="&amp;($C2405-3),Ventes_Encaissements!$C$6:$C$3005,"&lt;="&amp;($C2405+3)))</f>
        <v/>
      </c>
      <c r="I2405" s="12">
        <f>IF($H2405="","",IF($H2405=0,"Non trouvé",IF($H2405=1,"Match","À vérifier")))</f>
        <v/>
      </c>
      <c r="J2405" s="21">
        <f>IF($I2405&lt;&gt;"Match","",INDEX(Ventes_Encaissements!$B$6:$B$3005,_xludf.AGGREGATE(15,6,(ROW(Ventes_Encaissements!$B$6:$B$3005)-ROW(Ventes_Encaissements!$B$6)+1)/((Ventes_Encaissements!$E$6:$E$3005=$B2405)*(Ventes_Encaissements!$J$6:$J$3005=$G2405)*(Ventes_Encaissements!$C$6:$C$3005&gt;=$C2405-3)*(Ventes_Encaissements!$C$6:$C$3005&lt;=$C2405+3)),1)))</f>
        <v/>
      </c>
      <c r="K2405" s="6" t="n"/>
    </row>
    <row r="2406">
      <c r="A2406" s="6" t="n"/>
      <c r="B2406" s="6" t="n"/>
      <c r="C2406" s="19" t="n"/>
      <c r="D2406" s="19" t="n"/>
      <c r="E2406" s="6" t="n"/>
      <c r="F2406" s="20" t="n"/>
      <c r="G2406" s="9">
        <f>IF($F2406="","",IF($F2406&gt;0,ROUND($F2406,2),""))</f>
        <v/>
      </c>
      <c r="H2406" s="12">
        <f>IF(OR($B2406="",$C2406="",$G2406=""),"",COUNTIFS(Ventes_Encaissements!$E$6:$E$3005,$B2406,Ventes_Encaissements!$J$6:$J$3005,$G2406,Ventes_Encaissements!$C$6:$C$3005,"&gt;="&amp;($C2406-3),Ventes_Encaissements!$C$6:$C$3005,"&lt;="&amp;($C2406+3)))</f>
        <v/>
      </c>
      <c r="I2406" s="12">
        <f>IF($H2406="","",IF($H2406=0,"Non trouvé",IF($H2406=1,"Match","À vérifier")))</f>
        <v/>
      </c>
      <c r="J2406" s="21">
        <f>IF($I2406&lt;&gt;"Match","",INDEX(Ventes_Encaissements!$B$6:$B$3005,_xludf.AGGREGATE(15,6,(ROW(Ventes_Encaissements!$B$6:$B$3005)-ROW(Ventes_Encaissements!$B$6)+1)/((Ventes_Encaissements!$E$6:$E$3005=$B2406)*(Ventes_Encaissements!$J$6:$J$3005=$G2406)*(Ventes_Encaissements!$C$6:$C$3005&gt;=$C2406-3)*(Ventes_Encaissements!$C$6:$C$3005&lt;=$C2406+3)),1)))</f>
        <v/>
      </c>
      <c r="K2406" s="6" t="n"/>
    </row>
    <row r="2407">
      <c r="A2407" s="6" t="n"/>
      <c r="B2407" s="6" t="n"/>
      <c r="C2407" s="19" t="n"/>
      <c r="D2407" s="19" t="n"/>
      <c r="E2407" s="6" t="n"/>
      <c r="F2407" s="20" t="n"/>
      <c r="G2407" s="9">
        <f>IF($F2407="","",IF($F2407&gt;0,ROUND($F2407,2),""))</f>
        <v/>
      </c>
      <c r="H2407" s="12">
        <f>IF(OR($B2407="",$C2407="",$G2407=""),"",COUNTIFS(Ventes_Encaissements!$E$6:$E$3005,$B2407,Ventes_Encaissements!$J$6:$J$3005,$G2407,Ventes_Encaissements!$C$6:$C$3005,"&gt;="&amp;($C2407-3),Ventes_Encaissements!$C$6:$C$3005,"&lt;="&amp;($C2407+3)))</f>
        <v/>
      </c>
      <c r="I2407" s="12">
        <f>IF($H2407="","",IF($H2407=0,"Non trouvé",IF($H2407=1,"Match","À vérifier")))</f>
        <v/>
      </c>
      <c r="J2407" s="21">
        <f>IF($I2407&lt;&gt;"Match","",INDEX(Ventes_Encaissements!$B$6:$B$3005,_xludf.AGGREGATE(15,6,(ROW(Ventes_Encaissements!$B$6:$B$3005)-ROW(Ventes_Encaissements!$B$6)+1)/((Ventes_Encaissements!$E$6:$E$3005=$B2407)*(Ventes_Encaissements!$J$6:$J$3005=$G2407)*(Ventes_Encaissements!$C$6:$C$3005&gt;=$C2407-3)*(Ventes_Encaissements!$C$6:$C$3005&lt;=$C2407+3)),1)))</f>
        <v/>
      </c>
      <c r="K2407" s="6" t="n"/>
    </row>
    <row r="2408">
      <c r="A2408" s="6" t="n"/>
      <c r="B2408" s="6" t="n"/>
      <c r="C2408" s="19" t="n"/>
      <c r="D2408" s="19" t="n"/>
      <c r="E2408" s="6" t="n"/>
      <c r="F2408" s="20" t="n"/>
      <c r="G2408" s="9">
        <f>IF($F2408="","",IF($F2408&gt;0,ROUND($F2408,2),""))</f>
        <v/>
      </c>
      <c r="H2408" s="12">
        <f>IF(OR($B2408="",$C2408="",$G2408=""),"",COUNTIFS(Ventes_Encaissements!$E$6:$E$3005,$B2408,Ventes_Encaissements!$J$6:$J$3005,$G2408,Ventes_Encaissements!$C$6:$C$3005,"&gt;="&amp;($C2408-3),Ventes_Encaissements!$C$6:$C$3005,"&lt;="&amp;($C2408+3)))</f>
        <v/>
      </c>
      <c r="I2408" s="12">
        <f>IF($H2408="","",IF($H2408=0,"Non trouvé",IF($H2408=1,"Match","À vérifier")))</f>
        <v/>
      </c>
      <c r="J2408" s="21">
        <f>IF($I2408&lt;&gt;"Match","",INDEX(Ventes_Encaissements!$B$6:$B$3005,_xludf.AGGREGATE(15,6,(ROW(Ventes_Encaissements!$B$6:$B$3005)-ROW(Ventes_Encaissements!$B$6)+1)/((Ventes_Encaissements!$E$6:$E$3005=$B2408)*(Ventes_Encaissements!$J$6:$J$3005=$G2408)*(Ventes_Encaissements!$C$6:$C$3005&gt;=$C2408-3)*(Ventes_Encaissements!$C$6:$C$3005&lt;=$C2408+3)),1)))</f>
        <v/>
      </c>
      <c r="K2408" s="6" t="n"/>
    </row>
    <row r="2409">
      <c r="A2409" s="6" t="n"/>
      <c r="B2409" s="6" t="n"/>
      <c r="C2409" s="19" t="n"/>
      <c r="D2409" s="19" t="n"/>
      <c r="E2409" s="6" t="n"/>
      <c r="F2409" s="20" t="n"/>
      <c r="G2409" s="9">
        <f>IF($F2409="","",IF($F2409&gt;0,ROUND($F2409,2),""))</f>
        <v/>
      </c>
      <c r="H2409" s="12">
        <f>IF(OR($B2409="",$C2409="",$G2409=""),"",COUNTIFS(Ventes_Encaissements!$E$6:$E$3005,$B2409,Ventes_Encaissements!$J$6:$J$3005,$G2409,Ventes_Encaissements!$C$6:$C$3005,"&gt;="&amp;($C2409-3),Ventes_Encaissements!$C$6:$C$3005,"&lt;="&amp;($C2409+3)))</f>
        <v/>
      </c>
      <c r="I2409" s="12">
        <f>IF($H2409="","",IF($H2409=0,"Non trouvé",IF($H2409=1,"Match","À vérifier")))</f>
        <v/>
      </c>
      <c r="J2409" s="21">
        <f>IF($I2409&lt;&gt;"Match","",INDEX(Ventes_Encaissements!$B$6:$B$3005,_xludf.AGGREGATE(15,6,(ROW(Ventes_Encaissements!$B$6:$B$3005)-ROW(Ventes_Encaissements!$B$6)+1)/((Ventes_Encaissements!$E$6:$E$3005=$B2409)*(Ventes_Encaissements!$J$6:$J$3005=$G2409)*(Ventes_Encaissements!$C$6:$C$3005&gt;=$C2409-3)*(Ventes_Encaissements!$C$6:$C$3005&lt;=$C2409+3)),1)))</f>
        <v/>
      </c>
      <c r="K2409" s="6" t="n"/>
    </row>
    <row r="2410">
      <c r="A2410" s="6" t="n"/>
      <c r="B2410" s="6" t="n"/>
      <c r="C2410" s="19" t="n"/>
      <c r="D2410" s="19" t="n"/>
      <c r="E2410" s="6" t="n"/>
      <c r="F2410" s="20" t="n"/>
      <c r="G2410" s="9">
        <f>IF($F2410="","",IF($F2410&gt;0,ROUND($F2410,2),""))</f>
        <v/>
      </c>
      <c r="H2410" s="12">
        <f>IF(OR($B2410="",$C2410="",$G2410=""),"",COUNTIFS(Ventes_Encaissements!$E$6:$E$3005,$B2410,Ventes_Encaissements!$J$6:$J$3005,$G2410,Ventes_Encaissements!$C$6:$C$3005,"&gt;="&amp;($C2410-3),Ventes_Encaissements!$C$6:$C$3005,"&lt;="&amp;($C2410+3)))</f>
        <v/>
      </c>
      <c r="I2410" s="12">
        <f>IF($H2410="","",IF($H2410=0,"Non trouvé",IF($H2410=1,"Match","À vérifier")))</f>
        <v/>
      </c>
      <c r="J2410" s="21">
        <f>IF($I2410&lt;&gt;"Match","",INDEX(Ventes_Encaissements!$B$6:$B$3005,_xludf.AGGREGATE(15,6,(ROW(Ventes_Encaissements!$B$6:$B$3005)-ROW(Ventes_Encaissements!$B$6)+1)/((Ventes_Encaissements!$E$6:$E$3005=$B2410)*(Ventes_Encaissements!$J$6:$J$3005=$G2410)*(Ventes_Encaissements!$C$6:$C$3005&gt;=$C2410-3)*(Ventes_Encaissements!$C$6:$C$3005&lt;=$C2410+3)),1)))</f>
        <v/>
      </c>
      <c r="K2410" s="6" t="n"/>
    </row>
    <row r="2411">
      <c r="A2411" s="6" t="n"/>
      <c r="B2411" s="6" t="n"/>
      <c r="C2411" s="19" t="n"/>
      <c r="D2411" s="19" t="n"/>
      <c r="E2411" s="6" t="n"/>
      <c r="F2411" s="20" t="n"/>
      <c r="G2411" s="9">
        <f>IF($F2411="","",IF($F2411&gt;0,ROUND($F2411,2),""))</f>
        <v/>
      </c>
      <c r="H2411" s="12">
        <f>IF(OR($B2411="",$C2411="",$G2411=""),"",COUNTIFS(Ventes_Encaissements!$E$6:$E$3005,$B2411,Ventes_Encaissements!$J$6:$J$3005,$G2411,Ventes_Encaissements!$C$6:$C$3005,"&gt;="&amp;($C2411-3),Ventes_Encaissements!$C$6:$C$3005,"&lt;="&amp;($C2411+3)))</f>
        <v/>
      </c>
      <c r="I2411" s="12">
        <f>IF($H2411="","",IF($H2411=0,"Non trouvé",IF($H2411=1,"Match","À vérifier")))</f>
        <v/>
      </c>
      <c r="J2411" s="21">
        <f>IF($I2411&lt;&gt;"Match","",INDEX(Ventes_Encaissements!$B$6:$B$3005,_xludf.AGGREGATE(15,6,(ROW(Ventes_Encaissements!$B$6:$B$3005)-ROW(Ventes_Encaissements!$B$6)+1)/((Ventes_Encaissements!$E$6:$E$3005=$B2411)*(Ventes_Encaissements!$J$6:$J$3005=$G2411)*(Ventes_Encaissements!$C$6:$C$3005&gt;=$C2411-3)*(Ventes_Encaissements!$C$6:$C$3005&lt;=$C2411+3)),1)))</f>
        <v/>
      </c>
      <c r="K2411" s="6" t="n"/>
    </row>
    <row r="2412">
      <c r="A2412" s="6" t="n"/>
      <c r="B2412" s="6" t="n"/>
      <c r="C2412" s="19" t="n"/>
      <c r="D2412" s="19" t="n"/>
      <c r="E2412" s="6" t="n"/>
      <c r="F2412" s="20" t="n"/>
      <c r="G2412" s="9">
        <f>IF($F2412="","",IF($F2412&gt;0,ROUND($F2412,2),""))</f>
        <v/>
      </c>
      <c r="H2412" s="12">
        <f>IF(OR($B2412="",$C2412="",$G2412=""),"",COUNTIFS(Ventes_Encaissements!$E$6:$E$3005,$B2412,Ventes_Encaissements!$J$6:$J$3005,$G2412,Ventes_Encaissements!$C$6:$C$3005,"&gt;="&amp;($C2412-3),Ventes_Encaissements!$C$6:$C$3005,"&lt;="&amp;($C2412+3)))</f>
        <v/>
      </c>
      <c r="I2412" s="12">
        <f>IF($H2412="","",IF($H2412=0,"Non trouvé",IF($H2412=1,"Match","À vérifier")))</f>
        <v/>
      </c>
      <c r="J2412" s="21">
        <f>IF($I2412&lt;&gt;"Match","",INDEX(Ventes_Encaissements!$B$6:$B$3005,_xludf.AGGREGATE(15,6,(ROW(Ventes_Encaissements!$B$6:$B$3005)-ROW(Ventes_Encaissements!$B$6)+1)/((Ventes_Encaissements!$E$6:$E$3005=$B2412)*(Ventes_Encaissements!$J$6:$J$3005=$G2412)*(Ventes_Encaissements!$C$6:$C$3005&gt;=$C2412-3)*(Ventes_Encaissements!$C$6:$C$3005&lt;=$C2412+3)),1)))</f>
        <v/>
      </c>
      <c r="K2412" s="6" t="n"/>
    </row>
    <row r="2413">
      <c r="A2413" s="6" t="n"/>
      <c r="B2413" s="6" t="n"/>
      <c r="C2413" s="19" t="n"/>
      <c r="D2413" s="19" t="n"/>
      <c r="E2413" s="6" t="n"/>
      <c r="F2413" s="20" t="n"/>
      <c r="G2413" s="9">
        <f>IF($F2413="","",IF($F2413&gt;0,ROUND($F2413,2),""))</f>
        <v/>
      </c>
      <c r="H2413" s="12">
        <f>IF(OR($B2413="",$C2413="",$G2413=""),"",COUNTIFS(Ventes_Encaissements!$E$6:$E$3005,$B2413,Ventes_Encaissements!$J$6:$J$3005,$G2413,Ventes_Encaissements!$C$6:$C$3005,"&gt;="&amp;($C2413-3),Ventes_Encaissements!$C$6:$C$3005,"&lt;="&amp;($C2413+3)))</f>
        <v/>
      </c>
      <c r="I2413" s="12">
        <f>IF($H2413="","",IF($H2413=0,"Non trouvé",IF($H2413=1,"Match","À vérifier")))</f>
        <v/>
      </c>
      <c r="J2413" s="21">
        <f>IF($I2413&lt;&gt;"Match","",INDEX(Ventes_Encaissements!$B$6:$B$3005,_xludf.AGGREGATE(15,6,(ROW(Ventes_Encaissements!$B$6:$B$3005)-ROW(Ventes_Encaissements!$B$6)+1)/((Ventes_Encaissements!$E$6:$E$3005=$B2413)*(Ventes_Encaissements!$J$6:$J$3005=$G2413)*(Ventes_Encaissements!$C$6:$C$3005&gt;=$C2413-3)*(Ventes_Encaissements!$C$6:$C$3005&lt;=$C2413+3)),1)))</f>
        <v/>
      </c>
      <c r="K2413" s="6" t="n"/>
    </row>
    <row r="2414">
      <c r="A2414" s="6" t="n"/>
      <c r="B2414" s="6" t="n"/>
      <c r="C2414" s="19" t="n"/>
      <c r="D2414" s="19" t="n"/>
      <c r="E2414" s="6" t="n"/>
      <c r="F2414" s="20" t="n"/>
      <c r="G2414" s="9">
        <f>IF($F2414="","",IF($F2414&gt;0,ROUND($F2414,2),""))</f>
        <v/>
      </c>
      <c r="H2414" s="12">
        <f>IF(OR($B2414="",$C2414="",$G2414=""),"",COUNTIFS(Ventes_Encaissements!$E$6:$E$3005,$B2414,Ventes_Encaissements!$J$6:$J$3005,$G2414,Ventes_Encaissements!$C$6:$C$3005,"&gt;="&amp;($C2414-3),Ventes_Encaissements!$C$6:$C$3005,"&lt;="&amp;($C2414+3)))</f>
        <v/>
      </c>
      <c r="I2414" s="12">
        <f>IF($H2414="","",IF($H2414=0,"Non trouvé",IF($H2414=1,"Match","À vérifier")))</f>
        <v/>
      </c>
      <c r="J2414" s="21">
        <f>IF($I2414&lt;&gt;"Match","",INDEX(Ventes_Encaissements!$B$6:$B$3005,_xludf.AGGREGATE(15,6,(ROW(Ventes_Encaissements!$B$6:$B$3005)-ROW(Ventes_Encaissements!$B$6)+1)/((Ventes_Encaissements!$E$6:$E$3005=$B2414)*(Ventes_Encaissements!$J$6:$J$3005=$G2414)*(Ventes_Encaissements!$C$6:$C$3005&gt;=$C2414-3)*(Ventes_Encaissements!$C$6:$C$3005&lt;=$C2414+3)),1)))</f>
        <v/>
      </c>
      <c r="K2414" s="6" t="n"/>
    </row>
    <row r="2415">
      <c r="A2415" s="6" t="n"/>
      <c r="B2415" s="6" t="n"/>
      <c r="C2415" s="19" t="n"/>
      <c r="D2415" s="19" t="n"/>
      <c r="E2415" s="6" t="n"/>
      <c r="F2415" s="20" t="n"/>
      <c r="G2415" s="9">
        <f>IF($F2415="","",IF($F2415&gt;0,ROUND($F2415,2),""))</f>
        <v/>
      </c>
      <c r="H2415" s="12">
        <f>IF(OR($B2415="",$C2415="",$G2415=""),"",COUNTIFS(Ventes_Encaissements!$E$6:$E$3005,$B2415,Ventes_Encaissements!$J$6:$J$3005,$G2415,Ventes_Encaissements!$C$6:$C$3005,"&gt;="&amp;($C2415-3),Ventes_Encaissements!$C$6:$C$3005,"&lt;="&amp;($C2415+3)))</f>
        <v/>
      </c>
      <c r="I2415" s="12">
        <f>IF($H2415="","",IF($H2415=0,"Non trouvé",IF($H2415=1,"Match","À vérifier")))</f>
        <v/>
      </c>
      <c r="J2415" s="21">
        <f>IF($I2415&lt;&gt;"Match","",INDEX(Ventes_Encaissements!$B$6:$B$3005,_xludf.AGGREGATE(15,6,(ROW(Ventes_Encaissements!$B$6:$B$3005)-ROW(Ventes_Encaissements!$B$6)+1)/((Ventes_Encaissements!$E$6:$E$3005=$B2415)*(Ventes_Encaissements!$J$6:$J$3005=$G2415)*(Ventes_Encaissements!$C$6:$C$3005&gt;=$C2415-3)*(Ventes_Encaissements!$C$6:$C$3005&lt;=$C2415+3)),1)))</f>
        <v/>
      </c>
      <c r="K2415" s="6" t="n"/>
    </row>
    <row r="2416">
      <c r="A2416" s="6" t="n"/>
      <c r="B2416" s="6" t="n"/>
      <c r="C2416" s="19" t="n"/>
      <c r="D2416" s="19" t="n"/>
      <c r="E2416" s="6" t="n"/>
      <c r="F2416" s="20" t="n"/>
      <c r="G2416" s="9">
        <f>IF($F2416="","",IF($F2416&gt;0,ROUND($F2416,2),""))</f>
        <v/>
      </c>
      <c r="H2416" s="12">
        <f>IF(OR($B2416="",$C2416="",$G2416=""),"",COUNTIFS(Ventes_Encaissements!$E$6:$E$3005,$B2416,Ventes_Encaissements!$J$6:$J$3005,$G2416,Ventes_Encaissements!$C$6:$C$3005,"&gt;="&amp;($C2416-3),Ventes_Encaissements!$C$6:$C$3005,"&lt;="&amp;($C2416+3)))</f>
        <v/>
      </c>
      <c r="I2416" s="12">
        <f>IF($H2416="","",IF($H2416=0,"Non trouvé",IF($H2416=1,"Match","À vérifier")))</f>
        <v/>
      </c>
      <c r="J2416" s="21">
        <f>IF($I2416&lt;&gt;"Match","",INDEX(Ventes_Encaissements!$B$6:$B$3005,_xludf.AGGREGATE(15,6,(ROW(Ventes_Encaissements!$B$6:$B$3005)-ROW(Ventes_Encaissements!$B$6)+1)/((Ventes_Encaissements!$E$6:$E$3005=$B2416)*(Ventes_Encaissements!$J$6:$J$3005=$G2416)*(Ventes_Encaissements!$C$6:$C$3005&gt;=$C2416-3)*(Ventes_Encaissements!$C$6:$C$3005&lt;=$C2416+3)),1)))</f>
        <v/>
      </c>
      <c r="K2416" s="6" t="n"/>
    </row>
    <row r="2417">
      <c r="A2417" s="6" t="n"/>
      <c r="B2417" s="6" t="n"/>
      <c r="C2417" s="19" t="n"/>
      <c r="D2417" s="19" t="n"/>
      <c r="E2417" s="6" t="n"/>
      <c r="F2417" s="20" t="n"/>
      <c r="G2417" s="9">
        <f>IF($F2417="","",IF($F2417&gt;0,ROUND($F2417,2),""))</f>
        <v/>
      </c>
      <c r="H2417" s="12">
        <f>IF(OR($B2417="",$C2417="",$G2417=""),"",COUNTIFS(Ventes_Encaissements!$E$6:$E$3005,$B2417,Ventes_Encaissements!$J$6:$J$3005,$G2417,Ventes_Encaissements!$C$6:$C$3005,"&gt;="&amp;($C2417-3),Ventes_Encaissements!$C$6:$C$3005,"&lt;="&amp;($C2417+3)))</f>
        <v/>
      </c>
      <c r="I2417" s="12">
        <f>IF($H2417="","",IF($H2417=0,"Non trouvé",IF($H2417=1,"Match","À vérifier")))</f>
        <v/>
      </c>
      <c r="J2417" s="21">
        <f>IF($I2417&lt;&gt;"Match","",INDEX(Ventes_Encaissements!$B$6:$B$3005,_xludf.AGGREGATE(15,6,(ROW(Ventes_Encaissements!$B$6:$B$3005)-ROW(Ventes_Encaissements!$B$6)+1)/((Ventes_Encaissements!$E$6:$E$3005=$B2417)*(Ventes_Encaissements!$J$6:$J$3005=$G2417)*(Ventes_Encaissements!$C$6:$C$3005&gt;=$C2417-3)*(Ventes_Encaissements!$C$6:$C$3005&lt;=$C2417+3)),1)))</f>
        <v/>
      </c>
      <c r="K2417" s="6" t="n"/>
    </row>
    <row r="2418">
      <c r="A2418" s="6" t="n"/>
      <c r="B2418" s="6" t="n"/>
      <c r="C2418" s="19" t="n"/>
      <c r="D2418" s="19" t="n"/>
      <c r="E2418" s="6" t="n"/>
      <c r="F2418" s="20" t="n"/>
      <c r="G2418" s="9">
        <f>IF($F2418="","",IF($F2418&gt;0,ROUND($F2418,2),""))</f>
        <v/>
      </c>
      <c r="H2418" s="12">
        <f>IF(OR($B2418="",$C2418="",$G2418=""),"",COUNTIFS(Ventes_Encaissements!$E$6:$E$3005,$B2418,Ventes_Encaissements!$J$6:$J$3005,$G2418,Ventes_Encaissements!$C$6:$C$3005,"&gt;="&amp;($C2418-3),Ventes_Encaissements!$C$6:$C$3005,"&lt;="&amp;($C2418+3)))</f>
        <v/>
      </c>
      <c r="I2418" s="12">
        <f>IF($H2418="","",IF($H2418=0,"Non trouvé",IF($H2418=1,"Match","À vérifier")))</f>
        <v/>
      </c>
      <c r="J2418" s="21">
        <f>IF($I2418&lt;&gt;"Match","",INDEX(Ventes_Encaissements!$B$6:$B$3005,_xludf.AGGREGATE(15,6,(ROW(Ventes_Encaissements!$B$6:$B$3005)-ROW(Ventes_Encaissements!$B$6)+1)/((Ventes_Encaissements!$E$6:$E$3005=$B2418)*(Ventes_Encaissements!$J$6:$J$3005=$G2418)*(Ventes_Encaissements!$C$6:$C$3005&gt;=$C2418-3)*(Ventes_Encaissements!$C$6:$C$3005&lt;=$C2418+3)),1)))</f>
        <v/>
      </c>
      <c r="K2418" s="6" t="n"/>
    </row>
    <row r="2419">
      <c r="A2419" s="6" t="n"/>
      <c r="B2419" s="6" t="n"/>
      <c r="C2419" s="19" t="n"/>
      <c r="D2419" s="19" t="n"/>
      <c r="E2419" s="6" t="n"/>
      <c r="F2419" s="20" t="n"/>
      <c r="G2419" s="9">
        <f>IF($F2419="","",IF($F2419&gt;0,ROUND($F2419,2),""))</f>
        <v/>
      </c>
      <c r="H2419" s="12">
        <f>IF(OR($B2419="",$C2419="",$G2419=""),"",COUNTIFS(Ventes_Encaissements!$E$6:$E$3005,$B2419,Ventes_Encaissements!$J$6:$J$3005,$G2419,Ventes_Encaissements!$C$6:$C$3005,"&gt;="&amp;($C2419-3),Ventes_Encaissements!$C$6:$C$3005,"&lt;="&amp;($C2419+3)))</f>
        <v/>
      </c>
      <c r="I2419" s="12">
        <f>IF($H2419="","",IF($H2419=0,"Non trouvé",IF($H2419=1,"Match","À vérifier")))</f>
        <v/>
      </c>
      <c r="J2419" s="21">
        <f>IF($I2419&lt;&gt;"Match","",INDEX(Ventes_Encaissements!$B$6:$B$3005,_xludf.AGGREGATE(15,6,(ROW(Ventes_Encaissements!$B$6:$B$3005)-ROW(Ventes_Encaissements!$B$6)+1)/((Ventes_Encaissements!$E$6:$E$3005=$B2419)*(Ventes_Encaissements!$J$6:$J$3005=$G2419)*(Ventes_Encaissements!$C$6:$C$3005&gt;=$C2419-3)*(Ventes_Encaissements!$C$6:$C$3005&lt;=$C2419+3)),1)))</f>
        <v/>
      </c>
      <c r="K2419" s="6" t="n"/>
    </row>
    <row r="2420">
      <c r="A2420" s="6" t="n"/>
      <c r="B2420" s="6" t="n"/>
      <c r="C2420" s="19" t="n"/>
      <c r="D2420" s="19" t="n"/>
      <c r="E2420" s="6" t="n"/>
      <c r="F2420" s="20" t="n"/>
      <c r="G2420" s="9">
        <f>IF($F2420="","",IF($F2420&gt;0,ROUND($F2420,2),""))</f>
        <v/>
      </c>
      <c r="H2420" s="12">
        <f>IF(OR($B2420="",$C2420="",$G2420=""),"",COUNTIFS(Ventes_Encaissements!$E$6:$E$3005,$B2420,Ventes_Encaissements!$J$6:$J$3005,$G2420,Ventes_Encaissements!$C$6:$C$3005,"&gt;="&amp;($C2420-3),Ventes_Encaissements!$C$6:$C$3005,"&lt;="&amp;($C2420+3)))</f>
        <v/>
      </c>
      <c r="I2420" s="12">
        <f>IF($H2420="","",IF($H2420=0,"Non trouvé",IF($H2420=1,"Match","À vérifier")))</f>
        <v/>
      </c>
      <c r="J2420" s="21">
        <f>IF($I2420&lt;&gt;"Match","",INDEX(Ventes_Encaissements!$B$6:$B$3005,_xludf.AGGREGATE(15,6,(ROW(Ventes_Encaissements!$B$6:$B$3005)-ROW(Ventes_Encaissements!$B$6)+1)/((Ventes_Encaissements!$E$6:$E$3005=$B2420)*(Ventes_Encaissements!$J$6:$J$3005=$G2420)*(Ventes_Encaissements!$C$6:$C$3005&gt;=$C2420-3)*(Ventes_Encaissements!$C$6:$C$3005&lt;=$C2420+3)),1)))</f>
        <v/>
      </c>
      <c r="K2420" s="6" t="n"/>
    </row>
    <row r="2421">
      <c r="A2421" s="6" t="n"/>
      <c r="B2421" s="6" t="n"/>
      <c r="C2421" s="19" t="n"/>
      <c r="D2421" s="19" t="n"/>
      <c r="E2421" s="6" t="n"/>
      <c r="F2421" s="20" t="n"/>
      <c r="G2421" s="9">
        <f>IF($F2421="","",IF($F2421&gt;0,ROUND($F2421,2),""))</f>
        <v/>
      </c>
      <c r="H2421" s="12">
        <f>IF(OR($B2421="",$C2421="",$G2421=""),"",COUNTIFS(Ventes_Encaissements!$E$6:$E$3005,$B2421,Ventes_Encaissements!$J$6:$J$3005,$G2421,Ventes_Encaissements!$C$6:$C$3005,"&gt;="&amp;($C2421-3),Ventes_Encaissements!$C$6:$C$3005,"&lt;="&amp;($C2421+3)))</f>
        <v/>
      </c>
      <c r="I2421" s="12">
        <f>IF($H2421="","",IF($H2421=0,"Non trouvé",IF($H2421=1,"Match","À vérifier")))</f>
        <v/>
      </c>
      <c r="J2421" s="21">
        <f>IF($I2421&lt;&gt;"Match","",INDEX(Ventes_Encaissements!$B$6:$B$3005,_xludf.AGGREGATE(15,6,(ROW(Ventes_Encaissements!$B$6:$B$3005)-ROW(Ventes_Encaissements!$B$6)+1)/((Ventes_Encaissements!$E$6:$E$3005=$B2421)*(Ventes_Encaissements!$J$6:$J$3005=$G2421)*(Ventes_Encaissements!$C$6:$C$3005&gt;=$C2421-3)*(Ventes_Encaissements!$C$6:$C$3005&lt;=$C2421+3)),1)))</f>
        <v/>
      </c>
      <c r="K2421" s="6" t="n"/>
    </row>
    <row r="2422">
      <c r="A2422" s="6" t="n"/>
      <c r="B2422" s="6" t="n"/>
      <c r="C2422" s="19" t="n"/>
      <c r="D2422" s="19" t="n"/>
      <c r="E2422" s="6" t="n"/>
      <c r="F2422" s="20" t="n"/>
      <c r="G2422" s="9">
        <f>IF($F2422="","",IF($F2422&gt;0,ROUND($F2422,2),""))</f>
        <v/>
      </c>
      <c r="H2422" s="12">
        <f>IF(OR($B2422="",$C2422="",$G2422=""),"",COUNTIFS(Ventes_Encaissements!$E$6:$E$3005,$B2422,Ventes_Encaissements!$J$6:$J$3005,$G2422,Ventes_Encaissements!$C$6:$C$3005,"&gt;="&amp;($C2422-3),Ventes_Encaissements!$C$6:$C$3005,"&lt;="&amp;($C2422+3)))</f>
        <v/>
      </c>
      <c r="I2422" s="12">
        <f>IF($H2422="","",IF($H2422=0,"Non trouvé",IF($H2422=1,"Match","À vérifier")))</f>
        <v/>
      </c>
      <c r="J2422" s="21">
        <f>IF($I2422&lt;&gt;"Match","",INDEX(Ventes_Encaissements!$B$6:$B$3005,_xludf.AGGREGATE(15,6,(ROW(Ventes_Encaissements!$B$6:$B$3005)-ROW(Ventes_Encaissements!$B$6)+1)/((Ventes_Encaissements!$E$6:$E$3005=$B2422)*(Ventes_Encaissements!$J$6:$J$3005=$G2422)*(Ventes_Encaissements!$C$6:$C$3005&gt;=$C2422-3)*(Ventes_Encaissements!$C$6:$C$3005&lt;=$C2422+3)),1)))</f>
        <v/>
      </c>
      <c r="K2422" s="6" t="n"/>
    </row>
    <row r="2423">
      <c r="A2423" s="6" t="n"/>
      <c r="B2423" s="6" t="n"/>
      <c r="C2423" s="19" t="n"/>
      <c r="D2423" s="19" t="n"/>
      <c r="E2423" s="6" t="n"/>
      <c r="F2423" s="20" t="n"/>
      <c r="G2423" s="9">
        <f>IF($F2423="","",IF($F2423&gt;0,ROUND($F2423,2),""))</f>
        <v/>
      </c>
      <c r="H2423" s="12">
        <f>IF(OR($B2423="",$C2423="",$G2423=""),"",COUNTIFS(Ventes_Encaissements!$E$6:$E$3005,$B2423,Ventes_Encaissements!$J$6:$J$3005,$G2423,Ventes_Encaissements!$C$6:$C$3005,"&gt;="&amp;($C2423-3),Ventes_Encaissements!$C$6:$C$3005,"&lt;="&amp;($C2423+3)))</f>
        <v/>
      </c>
      <c r="I2423" s="12">
        <f>IF($H2423="","",IF($H2423=0,"Non trouvé",IF($H2423=1,"Match","À vérifier")))</f>
        <v/>
      </c>
      <c r="J2423" s="21">
        <f>IF($I2423&lt;&gt;"Match","",INDEX(Ventes_Encaissements!$B$6:$B$3005,_xludf.AGGREGATE(15,6,(ROW(Ventes_Encaissements!$B$6:$B$3005)-ROW(Ventes_Encaissements!$B$6)+1)/((Ventes_Encaissements!$E$6:$E$3005=$B2423)*(Ventes_Encaissements!$J$6:$J$3005=$G2423)*(Ventes_Encaissements!$C$6:$C$3005&gt;=$C2423-3)*(Ventes_Encaissements!$C$6:$C$3005&lt;=$C2423+3)),1)))</f>
        <v/>
      </c>
      <c r="K2423" s="6" t="n"/>
    </row>
    <row r="2424">
      <c r="A2424" s="6" t="n"/>
      <c r="B2424" s="6" t="n"/>
      <c r="C2424" s="19" t="n"/>
      <c r="D2424" s="19" t="n"/>
      <c r="E2424" s="6" t="n"/>
      <c r="F2424" s="20" t="n"/>
      <c r="G2424" s="9">
        <f>IF($F2424="","",IF($F2424&gt;0,ROUND($F2424,2),""))</f>
        <v/>
      </c>
      <c r="H2424" s="12">
        <f>IF(OR($B2424="",$C2424="",$G2424=""),"",COUNTIFS(Ventes_Encaissements!$E$6:$E$3005,$B2424,Ventes_Encaissements!$J$6:$J$3005,$G2424,Ventes_Encaissements!$C$6:$C$3005,"&gt;="&amp;($C2424-3),Ventes_Encaissements!$C$6:$C$3005,"&lt;="&amp;($C2424+3)))</f>
        <v/>
      </c>
      <c r="I2424" s="12">
        <f>IF($H2424="","",IF($H2424=0,"Non trouvé",IF($H2424=1,"Match","À vérifier")))</f>
        <v/>
      </c>
      <c r="J2424" s="21">
        <f>IF($I2424&lt;&gt;"Match","",INDEX(Ventes_Encaissements!$B$6:$B$3005,_xludf.AGGREGATE(15,6,(ROW(Ventes_Encaissements!$B$6:$B$3005)-ROW(Ventes_Encaissements!$B$6)+1)/((Ventes_Encaissements!$E$6:$E$3005=$B2424)*(Ventes_Encaissements!$J$6:$J$3005=$G2424)*(Ventes_Encaissements!$C$6:$C$3005&gt;=$C2424-3)*(Ventes_Encaissements!$C$6:$C$3005&lt;=$C2424+3)),1)))</f>
        <v/>
      </c>
      <c r="K2424" s="6" t="n"/>
    </row>
    <row r="2425">
      <c r="A2425" s="6" t="n"/>
      <c r="B2425" s="6" t="n"/>
      <c r="C2425" s="19" t="n"/>
      <c r="D2425" s="19" t="n"/>
      <c r="E2425" s="6" t="n"/>
      <c r="F2425" s="20" t="n"/>
      <c r="G2425" s="9">
        <f>IF($F2425="","",IF($F2425&gt;0,ROUND($F2425,2),""))</f>
        <v/>
      </c>
      <c r="H2425" s="12">
        <f>IF(OR($B2425="",$C2425="",$G2425=""),"",COUNTIFS(Ventes_Encaissements!$E$6:$E$3005,$B2425,Ventes_Encaissements!$J$6:$J$3005,$G2425,Ventes_Encaissements!$C$6:$C$3005,"&gt;="&amp;($C2425-3),Ventes_Encaissements!$C$6:$C$3005,"&lt;="&amp;($C2425+3)))</f>
        <v/>
      </c>
      <c r="I2425" s="12">
        <f>IF($H2425="","",IF($H2425=0,"Non trouvé",IF($H2425=1,"Match","À vérifier")))</f>
        <v/>
      </c>
      <c r="J2425" s="21">
        <f>IF($I2425&lt;&gt;"Match","",INDEX(Ventes_Encaissements!$B$6:$B$3005,_xludf.AGGREGATE(15,6,(ROW(Ventes_Encaissements!$B$6:$B$3005)-ROW(Ventes_Encaissements!$B$6)+1)/((Ventes_Encaissements!$E$6:$E$3005=$B2425)*(Ventes_Encaissements!$J$6:$J$3005=$G2425)*(Ventes_Encaissements!$C$6:$C$3005&gt;=$C2425-3)*(Ventes_Encaissements!$C$6:$C$3005&lt;=$C2425+3)),1)))</f>
        <v/>
      </c>
      <c r="K2425" s="6" t="n"/>
    </row>
    <row r="2426">
      <c r="A2426" s="6" t="n"/>
      <c r="B2426" s="6" t="n"/>
      <c r="C2426" s="19" t="n"/>
      <c r="D2426" s="19" t="n"/>
      <c r="E2426" s="6" t="n"/>
      <c r="F2426" s="20" t="n"/>
      <c r="G2426" s="9">
        <f>IF($F2426="","",IF($F2426&gt;0,ROUND($F2426,2),""))</f>
        <v/>
      </c>
      <c r="H2426" s="12">
        <f>IF(OR($B2426="",$C2426="",$G2426=""),"",COUNTIFS(Ventes_Encaissements!$E$6:$E$3005,$B2426,Ventes_Encaissements!$J$6:$J$3005,$G2426,Ventes_Encaissements!$C$6:$C$3005,"&gt;="&amp;($C2426-3),Ventes_Encaissements!$C$6:$C$3005,"&lt;="&amp;($C2426+3)))</f>
        <v/>
      </c>
      <c r="I2426" s="12">
        <f>IF($H2426="","",IF($H2426=0,"Non trouvé",IF($H2426=1,"Match","À vérifier")))</f>
        <v/>
      </c>
      <c r="J2426" s="21">
        <f>IF($I2426&lt;&gt;"Match","",INDEX(Ventes_Encaissements!$B$6:$B$3005,_xludf.AGGREGATE(15,6,(ROW(Ventes_Encaissements!$B$6:$B$3005)-ROW(Ventes_Encaissements!$B$6)+1)/((Ventes_Encaissements!$E$6:$E$3005=$B2426)*(Ventes_Encaissements!$J$6:$J$3005=$G2426)*(Ventes_Encaissements!$C$6:$C$3005&gt;=$C2426-3)*(Ventes_Encaissements!$C$6:$C$3005&lt;=$C2426+3)),1)))</f>
        <v/>
      </c>
      <c r="K2426" s="6" t="n"/>
    </row>
    <row r="2427">
      <c r="A2427" s="6" t="n"/>
      <c r="B2427" s="6" t="n"/>
      <c r="C2427" s="19" t="n"/>
      <c r="D2427" s="19" t="n"/>
      <c r="E2427" s="6" t="n"/>
      <c r="F2427" s="20" t="n"/>
      <c r="G2427" s="9">
        <f>IF($F2427="","",IF($F2427&gt;0,ROUND($F2427,2),""))</f>
        <v/>
      </c>
      <c r="H2427" s="12">
        <f>IF(OR($B2427="",$C2427="",$G2427=""),"",COUNTIFS(Ventes_Encaissements!$E$6:$E$3005,$B2427,Ventes_Encaissements!$J$6:$J$3005,$G2427,Ventes_Encaissements!$C$6:$C$3005,"&gt;="&amp;($C2427-3),Ventes_Encaissements!$C$6:$C$3005,"&lt;="&amp;($C2427+3)))</f>
        <v/>
      </c>
      <c r="I2427" s="12">
        <f>IF($H2427="","",IF($H2427=0,"Non trouvé",IF($H2427=1,"Match","À vérifier")))</f>
        <v/>
      </c>
      <c r="J2427" s="21">
        <f>IF($I2427&lt;&gt;"Match","",INDEX(Ventes_Encaissements!$B$6:$B$3005,_xludf.AGGREGATE(15,6,(ROW(Ventes_Encaissements!$B$6:$B$3005)-ROW(Ventes_Encaissements!$B$6)+1)/((Ventes_Encaissements!$E$6:$E$3005=$B2427)*(Ventes_Encaissements!$J$6:$J$3005=$G2427)*(Ventes_Encaissements!$C$6:$C$3005&gt;=$C2427-3)*(Ventes_Encaissements!$C$6:$C$3005&lt;=$C2427+3)),1)))</f>
        <v/>
      </c>
      <c r="K2427" s="6" t="n"/>
    </row>
    <row r="2428">
      <c r="A2428" s="6" t="n"/>
      <c r="B2428" s="6" t="n"/>
      <c r="C2428" s="19" t="n"/>
      <c r="D2428" s="19" t="n"/>
      <c r="E2428" s="6" t="n"/>
      <c r="F2428" s="20" t="n"/>
      <c r="G2428" s="9">
        <f>IF($F2428="","",IF($F2428&gt;0,ROUND($F2428,2),""))</f>
        <v/>
      </c>
      <c r="H2428" s="12">
        <f>IF(OR($B2428="",$C2428="",$G2428=""),"",COUNTIFS(Ventes_Encaissements!$E$6:$E$3005,$B2428,Ventes_Encaissements!$J$6:$J$3005,$G2428,Ventes_Encaissements!$C$6:$C$3005,"&gt;="&amp;($C2428-3),Ventes_Encaissements!$C$6:$C$3005,"&lt;="&amp;($C2428+3)))</f>
        <v/>
      </c>
      <c r="I2428" s="12">
        <f>IF($H2428="","",IF($H2428=0,"Non trouvé",IF($H2428=1,"Match","À vérifier")))</f>
        <v/>
      </c>
      <c r="J2428" s="21">
        <f>IF($I2428&lt;&gt;"Match","",INDEX(Ventes_Encaissements!$B$6:$B$3005,_xludf.AGGREGATE(15,6,(ROW(Ventes_Encaissements!$B$6:$B$3005)-ROW(Ventes_Encaissements!$B$6)+1)/((Ventes_Encaissements!$E$6:$E$3005=$B2428)*(Ventes_Encaissements!$J$6:$J$3005=$G2428)*(Ventes_Encaissements!$C$6:$C$3005&gt;=$C2428-3)*(Ventes_Encaissements!$C$6:$C$3005&lt;=$C2428+3)),1)))</f>
        <v/>
      </c>
      <c r="K2428" s="6" t="n"/>
    </row>
    <row r="2429">
      <c r="A2429" s="6" t="n"/>
      <c r="B2429" s="6" t="n"/>
      <c r="C2429" s="19" t="n"/>
      <c r="D2429" s="19" t="n"/>
      <c r="E2429" s="6" t="n"/>
      <c r="F2429" s="20" t="n"/>
      <c r="G2429" s="9">
        <f>IF($F2429="","",IF($F2429&gt;0,ROUND($F2429,2),""))</f>
        <v/>
      </c>
      <c r="H2429" s="12">
        <f>IF(OR($B2429="",$C2429="",$G2429=""),"",COUNTIFS(Ventes_Encaissements!$E$6:$E$3005,$B2429,Ventes_Encaissements!$J$6:$J$3005,$G2429,Ventes_Encaissements!$C$6:$C$3005,"&gt;="&amp;($C2429-3),Ventes_Encaissements!$C$6:$C$3005,"&lt;="&amp;($C2429+3)))</f>
        <v/>
      </c>
      <c r="I2429" s="12">
        <f>IF($H2429="","",IF($H2429=0,"Non trouvé",IF($H2429=1,"Match","À vérifier")))</f>
        <v/>
      </c>
      <c r="J2429" s="21">
        <f>IF($I2429&lt;&gt;"Match","",INDEX(Ventes_Encaissements!$B$6:$B$3005,_xludf.AGGREGATE(15,6,(ROW(Ventes_Encaissements!$B$6:$B$3005)-ROW(Ventes_Encaissements!$B$6)+1)/((Ventes_Encaissements!$E$6:$E$3005=$B2429)*(Ventes_Encaissements!$J$6:$J$3005=$G2429)*(Ventes_Encaissements!$C$6:$C$3005&gt;=$C2429-3)*(Ventes_Encaissements!$C$6:$C$3005&lt;=$C2429+3)),1)))</f>
        <v/>
      </c>
      <c r="K2429" s="6" t="n"/>
    </row>
    <row r="2430">
      <c r="A2430" s="6" t="n"/>
      <c r="B2430" s="6" t="n"/>
      <c r="C2430" s="19" t="n"/>
      <c r="D2430" s="19" t="n"/>
      <c r="E2430" s="6" t="n"/>
      <c r="F2430" s="20" t="n"/>
      <c r="G2430" s="9">
        <f>IF($F2430="","",IF($F2430&gt;0,ROUND($F2430,2),""))</f>
        <v/>
      </c>
      <c r="H2430" s="12">
        <f>IF(OR($B2430="",$C2430="",$G2430=""),"",COUNTIFS(Ventes_Encaissements!$E$6:$E$3005,$B2430,Ventes_Encaissements!$J$6:$J$3005,$G2430,Ventes_Encaissements!$C$6:$C$3005,"&gt;="&amp;($C2430-3),Ventes_Encaissements!$C$6:$C$3005,"&lt;="&amp;($C2430+3)))</f>
        <v/>
      </c>
      <c r="I2430" s="12">
        <f>IF($H2430="","",IF($H2430=0,"Non trouvé",IF($H2430=1,"Match","À vérifier")))</f>
        <v/>
      </c>
      <c r="J2430" s="21">
        <f>IF($I2430&lt;&gt;"Match","",INDEX(Ventes_Encaissements!$B$6:$B$3005,_xludf.AGGREGATE(15,6,(ROW(Ventes_Encaissements!$B$6:$B$3005)-ROW(Ventes_Encaissements!$B$6)+1)/((Ventes_Encaissements!$E$6:$E$3005=$B2430)*(Ventes_Encaissements!$J$6:$J$3005=$G2430)*(Ventes_Encaissements!$C$6:$C$3005&gt;=$C2430-3)*(Ventes_Encaissements!$C$6:$C$3005&lt;=$C2430+3)),1)))</f>
        <v/>
      </c>
      <c r="K2430" s="6" t="n"/>
    </row>
    <row r="2431">
      <c r="A2431" s="6" t="n"/>
      <c r="B2431" s="6" t="n"/>
      <c r="C2431" s="19" t="n"/>
      <c r="D2431" s="19" t="n"/>
      <c r="E2431" s="6" t="n"/>
      <c r="F2431" s="20" t="n"/>
      <c r="G2431" s="9">
        <f>IF($F2431="","",IF($F2431&gt;0,ROUND($F2431,2),""))</f>
        <v/>
      </c>
      <c r="H2431" s="12">
        <f>IF(OR($B2431="",$C2431="",$G2431=""),"",COUNTIFS(Ventes_Encaissements!$E$6:$E$3005,$B2431,Ventes_Encaissements!$J$6:$J$3005,$G2431,Ventes_Encaissements!$C$6:$C$3005,"&gt;="&amp;($C2431-3),Ventes_Encaissements!$C$6:$C$3005,"&lt;="&amp;($C2431+3)))</f>
        <v/>
      </c>
      <c r="I2431" s="12">
        <f>IF($H2431="","",IF($H2431=0,"Non trouvé",IF($H2431=1,"Match","À vérifier")))</f>
        <v/>
      </c>
      <c r="J2431" s="21">
        <f>IF($I2431&lt;&gt;"Match","",INDEX(Ventes_Encaissements!$B$6:$B$3005,_xludf.AGGREGATE(15,6,(ROW(Ventes_Encaissements!$B$6:$B$3005)-ROW(Ventes_Encaissements!$B$6)+1)/((Ventes_Encaissements!$E$6:$E$3005=$B2431)*(Ventes_Encaissements!$J$6:$J$3005=$G2431)*(Ventes_Encaissements!$C$6:$C$3005&gt;=$C2431-3)*(Ventes_Encaissements!$C$6:$C$3005&lt;=$C2431+3)),1)))</f>
        <v/>
      </c>
      <c r="K2431" s="6" t="n"/>
    </row>
    <row r="2432">
      <c r="A2432" s="6" t="n"/>
      <c r="B2432" s="6" t="n"/>
      <c r="C2432" s="19" t="n"/>
      <c r="D2432" s="19" t="n"/>
      <c r="E2432" s="6" t="n"/>
      <c r="F2432" s="20" t="n"/>
      <c r="G2432" s="9">
        <f>IF($F2432="","",IF($F2432&gt;0,ROUND($F2432,2),""))</f>
        <v/>
      </c>
      <c r="H2432" s="12">
        <f>IF(OR($B2432="",$C2432="",$G2432=""),"",COUNTIFS(Ventes_Encaissements!$E$6:$E$3005,$B2432,Ventes_Encaissements!$J$6:$J$3005,$G2432,Ventes_Encaissements!$C$6:$C$3005,"&gt;="&amp;($C2432-3),Ventes_Encaissements!$C$6:$C$3005,"&lt;="&amp;($C2432+3)))</f>
        <v/>
      </c>
      <c r="I2432" s="12">
        <f>IF($H2432="","",IF($H2432=0,"Non trouvé",IF($H2432=1,"Match","À vérifier")))</f>
        <v/>
      </c>
      <c r="J2432" s="21">
        <f>IF($I2432&lt;&gt;"Match","",INDEX(Ventes_Encaissements!$B$6:$B$3005,_xludf.AGGREGATE(15,6,(ROW(Ventes_Encaissements!$B$6:$B$3005)-ROW(Ventes_Encaissements!$B$6)+1)/((Ventes_Encaissements!$E$6:$E$3005=$B2432)*(Ventes_Encaissements!$J$6:$J$3005=$G2432)*(Ventes_Encaissements!$C$6:$C$3005&gt;=$C2432-3)*(Ventes_Encaissements!$C$6:$C$3005&lt;=$C2432+3)),1)))</f>
        <v/>
      </c>
      <c r="K2432" s="6" t="n"/>
    </row>
    <row r="2433">
      <c r="A2433" s="6" t="n"/>
      <c r="B2433" s="6" t="n"/>
      <c r="C2433" s="19" t="n"/>
      <c r="D2433" s="19" t="n"/>
      <c r="E2433" s="6" t="n"/>
      <c r="F2433" s="20" t="n"/>
      <c r="G2433" s="9">
        <f>IF($F2433="","",IF($F2433&gt;0,ROUND($F2433,2),""))</f>
        <v/>
      </c>
      <c r="H2433" s="12">
        <f>IF(OR($B2433="",$C2433="",$G2433=""),"",COUNTIFS(Ventes_Encaissements!$E$6:$E$3005,$B2433,Ventes_Encaissements!$J$6:$J$3005,$G2433,Ventes_Encaissements!$C$6:$C$3005,"&gt;="&amp;($C2433-3),Ventes_Encaissements!$C$6:$C$3005,"&lt;="&amp;($C2433+3)))</f>
        <v/>
      </c>
      <c r="I2433" s="12">
        <f>IF($H2433="","",IF($H2433=0,"Non trouvé",IF($H2433=1,"Match","À vérifier")))</f>
        <v/>
      </c>
      <c r="J2433" s="21">
        <f>IF($I2433&lt;&gt;"Match","",INDEX(Ventes_Encaissements!$B$6:$B$3005,_xludf.AGGREGATE(15,6,(ROW(Ventes_Encaissements!$B$6:$B$3005)-ROW(Ventes_Encaissements!$B$6)+1)/((Ventes_Encaissements!$E$6:$E$3005=$B2433)*(Ventes_Encaissements!$J$6:$J$3005=$G2433)*(Ventes_Encaissements!$C$6:$C$3005&gt;=$C2433-3)*(Ventes_Encaissements!$C$6:$C$3005&lt;=$C2433+3)),1)))</f>
        <v/>
      </c>
      <c r="K2433" s="6" t="n"/>
    </row>
    <row r="2434">
      <c r="A2434" s="6" t="n"/>
      <c r="B2434" s="6" t="n"/>
      <c r="C2434" s="19" t="n"/>
      <c r="D2434" s="19" t="n"/>
      <c r="E2434" s="6" t="n"/>
      <c r="F2434" s="20" t="n"/>
      <c r="G2434" s="9">
        <f>IF($F2434="","",IF($F2434&gt;0,ROUND($F2434,2),""))</f>
        <v/>
      </c>
      <c r="H2434" s="12">
        <f>IF(OR($B2434="",$C2434="",$G2434=""),"",COUNTIFS(Ventes_Encaissements!$E$6:$E$3005,$B2434,Ventes_Encaissements!$J$6:$J$3005,$G2434,Ventes_Encaissements!$C$6:$C$3005,"&gt;="&amp;($C2434-3),Ventes_Encaissements!$C$6:$C$3005,"&lt;="&amp;($C2434+3)))</f>
        <v/>
      </c>
      <c r="I2434" s="12">
        <f>IF($H2434="","",IF($H2434=0,"Non trouvé",IF($H2434=1,"Match","À vérifier")))</f>
        <v/>
      </c>
      <c r="J2434" s="21">
        <f>IF($I2434&lt;&gt;"Match","",INDEX(Ventes_Encaissements!$B$6:$B$3005,_xludf.AGGREGATE(15,6,(ROW(Ventes_Encaissements!$B$6:$B$3005)-ROW(Ventes_Encaissements!$B$6)+1)/((Ventes_Encaissements!$E$6:$E$3005=$B2434)*(Ventes_Encaissements!$J$6:$J$3005=$G2434)*(Ventes_Encaissements!$C$6:$C$3005&gt;=$C2434-3)*(Ventes_Encaissements!$C$6:$C$3005&lt;=$C2434+3)),1)))</f>
        <v/>
      </c>
      <c r="K2434" s="6" t="n"/>
    </row>
    <row r="2435">
      <c r="A2435" s="6" t="n"/>
      <c r="B2435" s="6" t="n"/>
      <c r="C2435" s="19" t="n"/>
      <c r="D2435" s="19" t="n"/>
      <c r="E2435" s="6" t="n"/>
      <c r="F2435" s="20" t="n"/>
      <c r="G2435" s="9">
        <f>IF($F2435="","",IF($F2435&gt;0,ROUND($F2435,2),""))</f>
        <v/>
      </c>
      <c r="H2435" s="12">
        <f>IF(OR($B2435="",$C2435="",$G2435=""),"",COUNTIFS(Ventes_Encaissements!$E$6:$E$3005,$B2435,Ventes_Encaissements!$J$6:$J$3005,$G2435,Ventes_Encaissements!$C$6:$C$3005,"&gt;="&amp;($C2435-3),Ventes_Encaissements!$C$6:$C$3005,"&lt;="&amp;($C2435+3)))</f>
        <v/>
      </c>
      <c r="I2435" s="12">
        <f>IF($H2435="","",IF($H2435=0,"Non trouvé",IF($H2435=1,"Match","À vérifier")))</f>
        <v/>
      </c>
      <c r="J2435" s="21">
        <f>IF($I2435&lt;&gt;"Match","",INDEX(Ventes_Encaissements!$B$6:$B$3005,_xludf.AGGREGATE(15,6,(ROW(Ventes_Encaissements!$B$6:$B$3005)-ROW(Ventes_Encaissements!$B$6)+1)/((Ventes_Encaissements!$E$6:$E$3005=$B2435)*(Ventes_Encaissements!$J$6:$J$3005=$G2435)*(Ventes_Encaissements!$C$6:$C$3005&gt;=$C2435-3)*(Ventes_Encaissements!$C$6:$C$3005&lt;=$C2435+3)),1)))</f>
        <v/>
      </c>
      <c r="K2435" s="6" t="n"/>
    </row>
    <row r="2436">
      <c r="A2436" s="6" t="n"/>
      <c r="B2436" s="6" t="n"/>
      <c r="C2436" s="19" t="n"/>
      <c r="D2436" s="19" t="n"/>
      <c r="E2436" s="6" t="n"/>
      <c r="F2436" s="20" t="n"/>
      <c r="G2436" s="9">
        <f>IF($F2436="","",IF($F2436&gt;0,ROUND($F2436,2),""))</f>
        <v/>
      </c>
      <c r="H2436" s="12">
        <f>IF(OR($B2436="",$C2436="",$G2436=""),"",COUNTIFS(Ventes_Encaissements!$E$6:$E$3005,$B2436,Ventes_Encaissements!$J$6:$J$3005,$G2436,Ventes_Encaissements!$C$6:$C$3005,"&gt;="&amp;($C2436-3),Ventes_Encaissements!$C$6:$C$3005,"&lt;="&amp;($C2436+3)))</f>
        <v/>
      </c>
      <c r="I2436" s="12">
        <f>IF($H2436="","",IF($H2436=0,"Non trouvé",IF($H2436=1,"Match","À vérifier")))</f>
        <v/>
      </c>
      <c r="J2436" s="21">
        <f>IF($I2436&lt;&gt;"Match","",INDEX(Ventes_Encaissements!$B$6:$B$3005,_xludf.AGGREGATE(15,6,(ROW(Ventes_Encaissements!$B$6:$B$3005)-ROW(Ventes_Encaissements!$B$6)+1)/((Ventes_Encaissements!$E$6:$E$3005=$B2436)*(Ventes_Encaissements!$J$6:$J$3005=$G2436)*(Ventes_Encaissements!$C$6:$C$3005&gt;=$C2436-3)*(Ventes_Encaissements!$C$6:$C$3005&lt;=$C2436+3)),1)))</f>
        <v/>
      </c>
      <c r="K2436" s="6" t="n"/>
    </row>
    <row r="2437">
      <c r="A2437" s="6" t="n"/>
      <c r="B2437" s="6" t="n"/>
      <c r="C2437" s="19" t="n"/>
      <c r="D2437" s="19" t="n"/>
      <c r="E2437" s="6" t="n"/>
      <c r="F2437" s="20" t="n"/>
      <c r="G2437" s="9">
        <f>IF($F2437="","",IF($F2437&gt;0,ROUND($F2437,2),""))</f>
        <v/>
      </c>
      <c r="H2437" s="12">
        <f>IF(OR($B2437="",$C2437="",$G2437=""),"",COUNTIFS(Ventes_Encaissements!$E$6:$E$3005,$B2437,Ventes_Encaissements!$J$6:$J$3005,$G2437,Ventes_Encaissements!$C$6:$C$3005,"&gt;="&amp;($C2437-3),Ventes_Encaissements!$C$6:$C$3005,"&lt;="&amp;($C2437+3)))</f>
        <v/>
      </c>
      <c r="I2437" s="12">
        <f>IF($H2437="","",IF($H2437=0,"Non trouvé",IF($H2437=1,"Match","À vérifier")))</f>
        <v/>
      </c>
      <c r="J2437" s="21">
        <f>IF($I2437&lt;&gt;"Match","",INDEX(Ventes_Encaissements!$B$6:$B$3005,_xludf.AGGREGATE(15,6,(ROW(Ventes_Encaissements!$B$6:$B$3005)-ROW(Ventes_Encaissements!$B$6)+1)/((Ventes_Encaissements!$E$6:$E$3005=$B2437)*(Ventes_Encaissements!$J$6:$J$3005=$G2437)*(Ventes_Encaissements!$C$6:$C$3005&gt;=$C2437-3)*(Ventes_Encaissements!$C$6:$C$3005&lt;=$C2437+3)),1)))</f>
        <v/>
      </c>
      <c r="K2437" s="6" t="n"/>
    </row>
    <row r="2438">
      <c r="A2438" s="6" t="n"/>
      <c r="B2438" s="6" t="n"/>
      <c r="C2438" s="19" t="n"/>
      <c r="D2438" s="19" t="n"/>
      <c r="E2438" s="6" t="n"/>
      <c r="F2438" s="20" t="n"/>
      <c r="G2438" s="9">
        <f>IF($F2438="","",IF($F2438&gt;0,ROUND($F2438,2),""))</f>
        <v/>
      </c>
      <c r="H2438" s="12">
        <f>IF(OR($B2438="",$C2438="",$G2438=""),"",COUNTIFS(Ventes_Encaissements!$E$6:$E$3005,$B2438,Ventes_Encaissements!$J$6:$J$3005,$G2438,Ventes_Encaissements!$C$6:$C$3005,"&gt;="&amp;($C2438-3),Ventes_Encaissements!$C$6:$C$3005,"&lt;="&amp;($C2438+3)))</f>
        <v/>
      </c>
      <c r="I2438" s="12">
        <f>IF($H2438="","",IF($H2438=0,"Non trouvé",IF($H2438=1,"Match","À vérifier")))</f>
        <v/>
      </c>
      <c r="J2438" s="21">
        <f>IF($I2438&lt;&gt;"Match","",INDEX(Ventes_Encaissements!$B$6:$B$3005,_xludf.AGGREGATE(15,6,(ROW(Ventes_Encaissements!$B$6:$B$3005)-ROW(Ventes_Encaissements!$B$6)+1)/((Ventes_Encaissements!$E$6:$E$3005=$B2438)*(Ventes_Encaissements!$J$6:$J$3005=$G2438)*(Ventes_Encaissements!$C$6:$C$3005&gt;=$C2438-3)*(Ventes_Encaissements!$C$6:$C$3005&lt;=$C2438+3)),1)))</f>
        <v/>
      </c>
      <c r="K2438" s="6" t="n"/>
    </row>
    <row r="2439">
      <c r="A2439" s="6" t="n"/>
      <c r="B2439" s="6" t="n"/>
      <c r="C2439" s="19" t="n"/>
      <c r="D2439" s="19" t="n"/>
      <c r="E2439" s="6" t="n"/>
      <c r="F2439" s="20" t="n"/>
      <c r="G2439" s="9">
        <f>IF($F2439="","",IF($F2439&gt;0,ROUND($F2439,2),""))</f>
        <v/>
      </c>
      <c r="H2439" s="12">
        <f>IF(OR($B2439="",$C2439="",$G2439=""),"",COUNTIFS(Ventes_Encaissements!$E$6:$E$3005,$B2439,Ventes_Encaissements!$J$6:$J$3005,$G2439,Ventes_Encaissements!$C$6:$C$3005,"&gt;="&amp;($C2439-3),Ventes_Encaissements!$C$6:$C$3005,"&lt;="&amp;($C2439+3)))</f>
        <v/>
      </c>
      <c r="I2439" s="12">
        <f>IF($H2439="","",IF($H2439=0,"Non trouvé",IF($H2439=1,"Match","À vérifier")))</f>
        <v/>
      </c>
      <c r="J2439" s="21">
        <f>IF($I2439&lt;&gt;"Match","",INDEX(Ventes_Encaissements!$B$6:$B$3005,_xludf.AGGREGATE(15,6,(ROW(Ventes_Encaissements!$B$6:$B$3005)-ROW(Ventes_Encaissements!$B$6)+1)/((Ventes_Encaissements!$E$6:$E$3005=$B2439)*(Ventes_Encaissements!$J$6:$J$3005=$G2439)*(Ventes_Encaissements!$C$6:$C$3005&gt;=$C2439-3)*(Ventes_Encaissements!$C$6:$C$3005&lt;=$C2439+3)),1)))</f>
        <v/>
      </c>
      <c r="K2439" s="6" t="n"/>
    </row>
    <row r="2440">
      <c r="A2440" s="6" t="n"/>
      <c r="B2440" s="6" t="n"/>
      <c r="C2440" s="19" t="n"/>
      <c r="D2440" s="19" t="n"/>
      <c r="E2440" s="6" t="n"/>
      <c r="F2440" s="20" t="n"/>
      <c r="G2440" s="9">
        <f>IF($F2440="","",IF($F2440&gt;0,ROUND($F2440,2),""))</f>
        <v/>
      </c>
      <c r="H2440" s="12">
        <f>IF(OR($B2440="",$C2440="",$G2440=""),"",COUNTIFS(Ventes_Encaissements!$E$6:$E$3005,$B2440,Ventes_Encaissements!$J$6:$J$3005,$G2440,Ventes_Encaissements!$C$6:$C$3005,"&gt;="&amp;($C2440-3),Ventes_Encaissements!$C$6:$C$3005,"&lt;="&amp;($C2440+3)))</f>
        <v/>
      </c>
      <c r="I2440" s="12">
        <f>IF($H2440="","",IF($H2440=0,"Non trouvé",IF($H2440=1,"Match","À vérifier")))</f>
        <v/>
      </c>
      <c r="J2440" s="21">
        <f>IF($I2440&lt;&gt;"Match","",INDEX(Ventes_Encaissements!$B$6:$B$3005,_xludf.AGGREGATE(15,6,(ROW(Ventes_Encaissements!$B$6:$B$3005)-ROW(Ventes_Encaissements!$B$6)+1)/((Ventes_Encaissements!$E$6:$E$3005=$B2440)*(Ventes_Encaissements!$J$6:$J$3005=$G2440)*(Ventes_Encaissements!$C$6:$C$3005&gt;=$C2440-3)*(Ventes_Encaissements!$C$6:$C$3005&lt;=$C2440+3)),1)))</f>
        <v/>
      </c>
      <c r="K2440" s="6" t="n"/>
    </row>
    <row r="2441">
      <c r="A2441" s="6" t="n"/>
      <c r="B2441" s="6" t="n"/>
      <c r="C2441" s="19" t="n"/>
      <c r="D2441" s="19" t="n"/>
      <c r="E2441" s="6" t="n"/>
      <c r="F2441" s="20" t="n"/>
      <c r="G2441" s="9">
        <f>IF($F2441="","",IF($F2441&gt;0,ROUND($F2441,2),""))</f>
        <v/>
      </c>
      <c r="H2441" s="12">
        <f>IF(OR($B2441="",$C2441="",$G2441=""),"",COUNTIFS(Ventes_Encaissements!$E$6:$E$3005,$B2441,Ventes_Encaissements!$J$6:$J$3005,$G2441,Ventes_Encaissements!$C$6:$C$3005,"&gt;="&amp;($C2441-3),Ventes_Encaissements!$C$6:$C$3005,"&lt;="&amp;($C2441+3)))</f>
        <v/>
      </c>
      <c r="I2441" s="12">
        <f>IF($H2441="","",IF($H2441=0,"Non trouvé",IF($H2441=1,"Match","À vérifier")))</f>
        <v/>
      </c>
      <c r="J2441" s="21">
        <f>IF($I2441&lt;&gt;"Match","",INDEX(Ventes_Encaissements!$B$6:$B$3005,_xludf.AGGREGATE(15,6,(ROW(Ventes_Encaissements!$B$6:$B$3005)-ROW(Ventes_Encaissements!$B$6)+1)/((Ventes_Encaissements!$E$6:$E$3005=$B2441)*(Ventes_Encaissements!$J$6:$J$3005=$G2441)*(Ventes_Encaissements!$C$6:$C$3005&gt;=$C2441-3)*(Ventes_Encaissements!$C$6:$C$3005&lt;=$C2441+3)),1)))</f>
        <v/>
      </c>
      <c r="K2441" s="6" t="n"/>
    </row>
    <row r="2442">
      <c r="A2442" s="6" t="n"/>
      <c r="B2442" s="6" t="n"/>
      <c r="C2442" s="19" t="n"/>
      <c r="D2442" s="19" t="n"/>
      <c r="E2442" s="6" t="n"/>
      <c r="F2442" s="20" t="n"/>
      <c r="G2442" s="9">
        <f>IF($F2442="","",IF($F2442&gt;0,ROUND($F2442,2),""))</f>
        <v/>
      </c>
      <c r="H2442" s="12">
        <f>IF(OR($B2442="",$C2442="",$G2442=""),"",COUNTIFS(Ventes_Encaissements!$E$6:$E$3005,$B2442,Ventes_Encaissements!$J$6:$J$3005,$G2442,Ventes_Encaissements!$C$6:$C$3005,"&gt;="&amp;($C2442-3),Ventes_Encaissements!$C$6:$C$3005,"&lt;="&amp;($C2442+3)))</f>
        <v/>
      </c>
      <c r="I2442" s="12">
        <f>IF($H2442="","",IF($H2442=0,"Non trouvé",IF($H2442=1,"Match","À vérifier")))</f>
        <v/>
      </c>
      <c r="J2442" s="21">
        <f>IF($I2442&lt;&gt;"Match","",INDEX(Ventes_Encaissements!$B$6:$B$3005,_xludf.AGGREGATE(15,6,(ROW(Ventes_Encaissements!$B$6:$B$3005)-ROW(Ventes_Encaissements!$B$6)+1)/((Ventes_Encaissements!$E$6:$E$3005=$B2442)*(Ventes_Encaissements!$J$6:$J$3005=$G2442)*(Ventes_Encaissements!$C$6:$C$3005&gt;=$C2442-3)*(Ventes_Encaissements!$C$6:$C$3005&lt;=$C2442+3)),1)))</f>
        <v/>
      </c>
      <c r="K2442" s="6" t="n"/>
    </row>
    <row r="2443">
      <c r="A2443" s="6" t="n"/>
      <c r="B2443" s="6" t="n"/>
      <c r="C2443" s="19" t="n"/>
      <c r="D2443" s="19" t="n"/>
      <c r="E2443" s="6" t="n"/>
      <c r="F2443" s="20" t="n"/>
      <c r="G2443" s="9">
        <f>IF($F2443="","",IF($F2443&gt;0,ROUND($F2443,2),""))</f>
        <v/>
      </c>
      <c r="H2443" s="12">
        <f>IF(OR($B2443="",$C2443="",$G2443=""),"",COUNTIFS(Ventes_Encaissements!$E$6:$E$3005,$B2443,Ventes_Encaissements!$J$6:$J$3005,$G2443,Ventes_Encaissements!$C$6:$C$3005,"&gt;="&amp;($C2443-3),Ventes_Encaissements!$C$6:$C$3005,"&lt;="&amp;($C2443+3)))</f>
        <v/>
      </c>
      <c r="I2443" s="12">
        <f>IF($H2443="","",IF($H2443=0,"Non trouvé",IF($H2443=1,"Match","À vérifier")))</f>
        <v/>
      </c>
      <c r="J2443" s="21">
        <f>IF($I2443&lt;&gt;"Match","",INDEX(Ventes_Encaissements!$B$6:$B$3005,_xludf.AGGREGATE(15,6,(ROW(Ventes_Encaissements!$B$6:$B$3005)-ROW(Ventes_Encaissements!$B$6)+1)/((Ventes_Encaissements!$E$6:$E$3005=$B2443)*(Ventes_Encaissements!$J$6:$J$3005=$G2443)*(Ventes_Encaissements!$C$6:$C$3005&gt;=$C2443-3)*(Ventes_Encaissements!$C$6:$C$3005&lt;=$C2443+3)),1)))</f>
        <v/>
      </c>
      <c r="K2443" s="6" t="n"/>
    </row>
    <row r="2444">
      <c r="A2444" s="6" t="n"/>
      <c r="B2444" s="6" t="n"/>
      <c r="C2444" s="19" t="n"/>
      <c r="D2444" s="19" t="n"/>
      <c r="E2444" s="6" t="n"/>
      <c r="F2444" s="20" t="n"/>
      <c r="G2444" s="9">
        <f>IF($F2444="","",IF($F2444&gt;0,ROUND($F2444,2),""))</f>
        <v/>
      </c>
      <c r="H2444" s="12">
        <f>IF(OR($B2444="",$C2444="",$G2444=""),"",COUNTIFS(Ventes_Encaissements!$E$6:$E$3005,$B2444,Ventes_Encaissements!$J$6:$J$3005,$G2444,Ventes_Encaissements!$C$6:$C$3005,"&gt;="&amp;($C2444-3),Ventes_Encaissements!$C$6:$C$3005,"&lt;="&amp;($C2444+3)))</f>
        <v/>
      </c>
      <c r="I2444" s="12">
        <f>IF($H2444="","",IF($H2444=0,"Non trouvé",IF($H2444=1,"Match","À vérifier")))</f>
        <v/>
      </c>
      <c r="J2444" s="21">
        <f>IF($I2444&lt;&gt;"Match","",INDEX(Ventes_Encaissements!$B$6:$B$3005,_xludf.AGGREGATE(15,6,(ROW(Ventes_Encaissements!$B$6:$B$3005)-ROW(Ventes_Encaissements!$B$6)+1)/((Ventes_Encaissements!$E$6:$E$3005=$B2444)*(Ventes_Encaissements!$J$6:$J$3005=$G2444)*(Ventes_Encaissements!$C$6:$C$3005&gt;=$C2444-3)*(Ventes_Encaissements!$C$6:$C$3005&lt;=$C2444+3)),1)))</f>
        <v/>
      </c>
      <c r="K2444" s="6" t="n"/>
    </row>
    <row r="2445">
      <c r="A2445" s="6" t="n"/>
      <c r="B2445" s="6" t="n"/>
      <c r="C2445" s="19" t="n"/>
      <c r="D2445" s="19" t="n"/>
      <c r="E2445" s="6" t="n"/>
      <c r="F2445" s="20" t="n"/>
      <c r="G2445" s="9">
        <f>IF($F2445="","",IF($F2445&gt;0,ROUND($F2445,2),""))</f>
        <v/>
      </c>
      <c r="H2445" s="12">
        <f>IF(OR($B2445="",$C2445="",$G2445=""),"",COUNTIFS(Ventes_Encaissements!$E$6:$E$3005,$B2445,Ventes_Encaissements!$J$6:$J$3005,$G2445,Ventes_Encaissements!$C$6:$C$3005,"&gt;="&amp;($C2445-3),Ventes_Encaissements!$C$6:$C$3005,"&lt;="&amp;($C2445+3)))</f>
        <v/>
      </c>
      <c r="I2445" s="12">
        <f>IF($H2445="","",IF($H2445=0,"Non trouvé",IF($H2445=1,"Match","À vérifier")))</f>
        <v/>
      </c>
      <c r="J2445" s="21">
        <f>IF($I2445&lt;&gt;"Match","",INDEX(Ventes_Encaissements!$B$6:$B$3005,_xludf.AGGREGATE(15,6,(ROW(Ventes_Encaissements!$B$6:$B$3005)-ROW(Ventes_Encaissements!$B$6)+1)/((Ventes_Encaissements!$E$6:$E$3005=$B2445)*(Ventes_Encaissements!$J$6:$J$3005=$G2445)*(Ventes_Encaissements!$C$6:$C$3005&gt;=$C2445-3)*(Ventes_Encaissements!$C$6:$C$3005&lt;=$C2445+3)),1)))</f>
        <v/>
      </c>
      <c r="K2445" s="6" t="n"/>
    </row>
    <row r="2446">
      <c r="A2446" s="6" t="n"/>
      <c r="B2446" s="6" t="n"/>
      <c r="C2446" s="19" t="n"/>
      <c r="D2446" s="19" t="n"/>
      <c r="E2446" s="6" t="n"/>
      <c r="F2446" s="20" t="n"/>
      <c r="G2446" s="9">
        <f>IF($F2446="","",IF($F2446&gt;0,ROUND($F2446,2),""))</f>
        <v/>
      </c>
      <c r="H2446" s="12">
        <f>IF(OR($B2446="",$C2446="",$G2446=""),"",COUNTIFS(Ventes_Encaissements!$E$6:$E$3005,$B2446,Ventes_Encaissements!$J$6:$J$3005,$G2446,Ventes_Encaissements!$C$6:$C$3005,"&gt;="&amp;($C2446-3),Ventes_Encaissements!$C$6:$C$3005,"&lt;="&amp;($C2446+3)))</f>
        <v/>
      </c>
      <c r="I2446" s="12">
        <f>IF($H2446="","",IF($H2446=0,"Non trouvé",IF($H2446=1,"Match","À vérifier")))</f>
        <v/>
      </c>
      <c r="J2446" s="21">
        <f>IF($I2446&lt;&gt;"Match","",INDEX(Ventes_Encaissements!$B$6:$B$3005,_xludf.AGGREGATE(15,6,(ROW(Ventes_Encaissements!$B$6:$B$3005)-ROW(Ventes_Encaissements!$B$6)+1)/((Ventes_Encaissements!$E$6:$E$3005=$B2446)*(Ventes_Encaissements!$J$6:$J$3005=$G2446)*(Ventes_Encaissements!$C$6:$C$3005&gt;=$C2446-3)*(Ventes_Encaissements!$C$6:$C$3005&lt;=$C2446+3)),1)))</f>
        <v/>
      </c>
      <c r="K2446" s="6" t="n"/>
    </row>
    <row r="2447">
      <c r="A2447" s="6" t="n"/>
      <c r="B2447" s="6" t="n"/>
      <c r="C2447" s="19" t="n"/>
      <c r="D2447" s="19" t="n"/>
      <c r="E2447" s="6" t="n"/>
      <c r="F2447" s="20" t="n"/>
      <c r="G2447" s="9">
        <f>IF($F2447="","",IF($F2447&gt;0,ROUND($F2447,2),""))</f>
        <v/>
      </c>
      <c r="H2447" s="12">
        <f>IF(OR($B2447="",$C2447="",$G2447=""),"",COUNTIFS(Ventes_Encaissements!$E$6:$E$3005,$B2447,Ventes_Encaissements!$J$6:$J$3005,$G2447,Ventes_Encaissements!$C$6:$C$3005,"&gt;="&amp;($C2447-3),Ventes_Encaissements!$C$6:$C$3005,"&lt;="&amp;($C2447+3)))</f>
        <v/>
      </c>
      <c r="I2447" s="12">
        <f>IF($H2447="","",IF($H2447=0,"Non trouvé",IF($H2447=1,"Match","À vérifier")))</f>
        <v/>
      </c>
      <c r="J2447" s="21">
        <f>IF($I2447&lt;&gt;"Match","",INDEX(Ventes_Encaissements!$B$6:$B$3005,_xludf.AGGREGATE(15,6,(ROW(Ventes_Encaissements!$B$6:$B$3005)-ROW(Ventes_Encaissements!$B$6)+1)/((Ventes_Encaissements!$E$6:$E$3005=$B2447)*(Ventes_Encaissements!$J$6:$J$3005=$G2447)*(Ventes_Encaissements!$C$6:$C$3005&gt;=$C2447-3)*(Ventes_Encaissements!$C$6:$C$3005&lt;=$C2447+3)),1)))</f>
        <v/>
      </c>
      <c r="K2447" s="6" t="n"/>
    </row>
    <row r="2448">
      <c r="A2448" s="6" t="n"/>
      <c r="B2448" s="6" t="n"/>
      <c r="C2448" s="19" t="n"/>
      <c r="D2448" s="19" t="n"/>
      <c r="E2448" s="6" t="n"/>
      <c r="F2448" s="20" t="n"/>
      <c r="G2448" s="9">
        <f>IF($F2448="","",IF($F2448&gt;0,ROUND($F2448,2),""))</f>
        <v/>
      </c>
      <c r="H2448" s="12">
        <f>IF(OR($B2448="",$C2448="",$G2448=""),"",COUNTIFS(Ventes_Encaissements!$E$6:$E$3005,$B2448,Ventes_Encaissements!$J$6:$J$3005,$G2448,Ventes_Encaissements!$C$6:$C$3005,"&gt;="&amp;($C2448-3),Ventes_Encaissements!$C$6:$C$3005,"&lt;="&amp;($C2448+3)))</f>
        <v/>
      </c>
      <c r="I2448" s="12">
        <f>IF($H2448="","",IF($H2448=0,"Non trouvé",IF($H2448=1,"Match","À vérifier")))</f>
        <v/>
      </c>
      <c r="J2448" s="21">
        <f>IF($I2448&lt;&gt;"Match","",INDEX(Ventes_Encaissements!$B$6:$B$3005,_xludf.AGGREGATE(15,6,(ROW(Ventes_Encaissements!$B$6:$B$3005)-ROW(Ventes_Encaissements!$B$6)+1)/((Ventes_Encaissements!$E$6:$E$3005=$B2448)*(Ventes_Encaissements!$J$6:$J$3005=$G2448)*(Ventes_Encaissements!$C$6:$C$3005&gt;=$C2448-3)*(Ventes_Encaissements!$C$6:$C$3005&lt;=$C2448+3)),1)))</f>
        <v/>
      </c>
      <c r="K2448" s="6" t="n"/>
    </row>
    <row r="2449">
      <c r="A2449" s="6" t="n"/>
      <c r="B2449" s="6" t="n"/>
      <c r="C2449" s="19" t="n"/>
      <c r="D2449" s="19" t="n"/>
      <c r="E2449" s="6" t="n"/>
      <c r="F2449" s="20" t="n"/>
      <c r="G2449" s="9">
        <f>IF($F2449="","",IF($F2449&gt;0,ROUND($F2449,2),""))</f>
        <v/>
      </c>
      <c r="H2449" s="12">
        <f>IF(OR($B2449="",$C2449="",$G2449=""),"",COUNTIFS(Ventes_Encaissements!$E$6:$E$3005,$B2449,Ventes_Encaissements!$J$6:$J$3005,$G2449,Ventes_Encaissements!$C$6:$C$3005,"&gt;="&amp;($C2449-3),Ventes_Encaissements!$C$6:$C$3005,"&lt;="&amp;($C2449+3)))</f>
        <v/>
      </c>
      <c r="I2449" s="12">
        <f>IF($H2449="","",IF($H2449=0,"Non trouvé",IF($H2449=1,"Match","À vérifier")))</f>
        <v/>
      </c>
      <c r="J2449" s="21">
        <f>IF($I2449&lt;&gt;"Match","",INDEX(Ventes_Encaissements!$B$6:$B$3005,_xludf.AGGREGATE(15,6,(ROW(Ventes_Encaissements!$B$6:$B$3005)-ROW(Ventes_Encaissements!$B$6)+1)/((Ventes_Encaissements!$E$6:$E$3005=$B2449)*(Ventes_Encaissements!$J$6:$J$3005=$G2449)*(Ventes_Encaissements!$C$6:$C$3005&gt;=$C2449-3)*(Ventes_Encaissements!$C$6:$C$3005&lt;=$C2449+3)),1)))</f>
        <v/>
      </c>
      <c r="K2449" s="6" t="n"/>
    </row>
    <row r="2450">
      <c r="A2450" s="6" t="n"/>
      <c r="B2450" s="6" t="n"/>
      <c r="C2450" s="19" t="n"/>
      <c r="D2450" s="19" t="n"/>
      <c r="E2450" s="6" t="n"/>
      <c r="F2450" s="20" t="n"/>
      <c r="G2450" s="9">
        <f>IF($F2450="","",IF($F2450&gt;0,ROUND($F2450,2),""))</f>
        <v/>
      </c>
      <c r="H2450" s="12">
        <f>IF(OR($B2450="",$C2450="",$G2450=""),"",COUNTIFS(Ventes_Encaissements!$E$6:$E$3005,$B2450,Ventes_Encaissements!$J$6:$J$3005,$G2450,Ventes_Encaissements!$C$6:$C$3005,"&gt;="&amp;($C2450-3),Ventes_Encaissements!$C$6:$C$3005,"&lt;="&amp;($C2450+3)))</f>
        <v/>
      </c>
      <c r="I2450" s="12">
        <f>IF($H2450="","",IF($H2450=0,"Non trouvé",IF($H2450=1,"Match","À vérifier")))</f>
        <v/>
      </c>
      <c r="J2450" s="21">
        <f>IF($I2450&lt;&gt;"Match","",INDEX(Ventes_Encaissements!$B$6:$B$3005,_xludf.AGGREGATE(15,6,(ROW(Ventes_Encaissements!$B$6:$B$3005)-ROW(Ventes_Encaissements!$B$6)+1)/((Ventes_Encaissements!$E$6:$E$3005=$B2450)*(Ventes_Encaissements!$J$6:$J$3005=$G2450)*(Ventes_Encaissements!$C$6:$C$3005&gt;=$C2450-3)*(Ventes_Encaissements!$C$6:$C$3005&lt;=$C2450+3)),1)))</f>
        <v/>
      </c>
      <c r="K2450" s="6" t="n"/>
    </row>
    <row r="2451">
      <c r="A2451" s="6" t="n"/>
      <c r="B2451" s="6" t="n"/>
      <c r="C2451" s="19" t="n"/>
      <c r="D2451" s="19" t="n"/>
      <c r="E2451" s="6" t="n"/>
      <c r="F2451" s="20" t="n"/>
      <c r="G2451" s="9">
        <f>IF($F2451="","",IF($F2451&gt;0,ROUND($F2451,2),""))</f>
        <v/>
      </c>
      <c r="H2451" s="12">
        <f>IF(OR($B2451="",$C2451="",$G2451=""),"",COUNTIFS(Ventes_Encaissements!$E$6:$E$3005,$B2451,Ventes_Encaissements!$J$6:$J$3005,$G2451,Ventes_Encaissements!$C$6:$C$3005,"&gt;="&amp;($C2451-3),Ventes_Encaissements!$C$6:$C$3005,"&lt;="&amp;($C2451+3)))</f>
        <v/>
      </c>
      <c r="I2451" s="12">
        <f>IF($H2451="","",IF($H2451=0,"Non trouvé",IF($H2451=1,"Match","À vérifier")))</f>
        <v/>
      </c>
      <c r="J2451" s="21">
        <f>IF($I2451&lt;&gt;"Match","",INDEX(Ventes_Encaissements!$B$6:$B$3005,_xludf.AGGREGATE(15,6,(ROW(Ventes_Encaissements!$B$6:$B$3005)-ROW(Ventes_Encaissements!$B$6)+1)/((Ventes_Encaissements!$E$6:$E$3005=$B2451)*(Ventes_Encaissements!$J$6:$J$3005=$G2451)*(Ventes_Encaissements!$C$6:$C$3005&gt;=$C2451-3)*(Ventes_Encaissements!$C$6:$C$3005&lt;=$C2451+3)),1)))</f>
        <v/>
      </c>
      <c r="K2451" s="6" t="n"/>
    </row>
    <row r="2452">
      <c r="A2452" s="6" t="n"/>
      <c r="B2452" s="6" t="n"/>
      <c r="C2452" s="19" t="n"/>
      <c r="D2452" s="19" t="n"/>
      <c r="E2452" s="6" t="n"/>
      <c r="F2452" s="20" t="n"/>
      <c r="G2452" s="9">
        <f>IF($F2452="","",IF($F2452&gt;0,ROUND($F2452,2),""))</f>
        <v/>
      </c>
      <c r="H2452" s="12">
        <f>IF(OR($B2452="",$C2452="",$G2452=""),"",COUNTIFS(Ventes_Encaissements!$E$6:$E$3005,$B2452,Ventes_Encaissements!$J$6:$J$3005,$G2452,Ventes_Encaissements!$C$6:$C$3005,"&gt;="&amp;($C2452-3),Ventes_Encaissements!$C$6:$C$3005,"&lt;="&amp;($C2452+3)))</f>
        <v/>
      </c>
      <c r="I2452" s="12">
        <f>IF($H2452="","",IF($H2452=0,"Non trouvé",IF($H2452=1,"Match","À vérifier")))</f>
        <v/>
      </c>
      <c r="J2452" s="21">
        <f>IF($I2452&lt;&gt;"Match","",INDEX(Ventes_Encaissements!$B$6:$B$3005,_xludf.AGGREGATE(15,6,(ROW(Ventes_Encaissements!$B$6:$B$3005)-ROW(Ventes_Encaissements!$B$6)+1)/((Ventes_Encaissements!$E$6:$E$3005=$B2452)*(Ventes_Encaissements!$J$6:$J$3005=$G2452)*(Ventes_Encaissements!$C$6:$C$3005&gt;=$C2452-3)*(Ventes_Encaissements!$C$6:$C$3005&lt;=$C2452+3)),1)))</f>
        <v/>
      </c>
      <c r="K2452" s="6" t="n"/>
    </row>
    <row r="2453">
      <c r="A2453" s="6" t="n"/>
      <c r="B2453" s="6" t="n"/>
      <c r="C2453" s="19" t="n"/>
      <c r="D2453" s="19" t="n"/>
      <c r="E2453" s="6" t="n"/>
      <c r="F2453" s="20" t="n"/>
      <c r="G2453" s="9">
        <f>IF($F2453="","",IF($F2453&gt;0,ROUND($F2453,2),""))</f>
        <v/>
      </c>
      <c r="H2453" s="12">
        <f>IF(OR($B2453="",$C2453="",$G2453=""),"",COUNTIFS(Ventes_Encaissements!$E$6:$E$3005,$B2453,Ventes_Encaissements!$J$6:$J$3005,$G2453,Ventes_Encaissements!$C$6:$C$3005,"&gt;="&amp;($C2453-3),Ventes_Encaissements!$C$6:$C$3005,"&lt;="&amp;($C2453+3)))</f>
        <v/>
      </c>
      <c r="I2453" s="12">
        <f>IF($H2453="","",IF($H2453=0,"Non trouvé",IF($H2453=1,"Match","À vérifier")))</f>
        <v/>
      </c>
      <c r="J2453" s="21">
        <f>IF($I2453&lt;&gt;"Match","",INDEX(Ventes_Encaissements!$B$6:$B$3005,_xludf.AGGREGATE(15,6,(ROW(Ventes_Encaissements!$B$6:$B$3005)-ROW(Ventes_Encaissements!$B$6)+1)/((Ventes_Encaissements!$E$6:$E$3005=$B2453)*(Ventes_Encaissements!$J$6:$J$3005=$G2453)*(Ventes_Encaissements!$C$6:$C$3005&gt;=$C2453-3)*(Ventes_Encaissements!$C$6:$C$3005&lt;=$C2453+3)),1)))</f>
        <v/>
      </c>
      <c r="K2453" s="6" t="n"/>
    </row>
    <row r="2454">
      <c r="A2454" s="6" t="n"/>
      <c r="B2454" s="6" t="n"/>
      <c r="C2454" s="19" t="n"/>
      <c r="D2454" s="19" t="n"/>
      <c r="E2454" s="6" t="n"/>
      <c r="F2454" s="20" t="n"/>
      <c r="G2454" s="9">
        <f>IF($F2454="","",IF($F2454&gt;0,ROUND($F2454,2),""))</f>
        <v/>
      </c>
      <c r="H2454" s="12">
        <f>IF(OR($B2454="",$C2454="",$G2454=""),"",COUNTIFS(Ventes_Encaissements!$E$6:$E$3005,$B2454,Ventes_Encaissements!$J$6:$J$3005,$G2454,Ventes_Encaissements!$C$6:$C$3005,"&gt;="&amp;($C2454-3),Ventes_Encaissements!$C$6:$C$3005,"&lt;="&amp;($C2454+3)))</f>
        <v/>
      </c>
      <c r="I2454" s="12">
        <f>IF($H2454="","",IF($H2454=0,"Non trouvé",IF($H2454=1,"Match","À vérifier")))</f>
        <v/>
      </c>
      <c r="J2454" s="21">
        <f>IF($I2454&lt;&gt;"Match","",INDEX(Ventes_Encaissements!$B$6:$B$3005,_xludf.AGGREGATE(15,6,(ROW(Ventes_Encaissements!$B$6:$B$3005)-ROW(Ventes_Encaissements!$B$6)+1)/((Ventes_Encaissements!$E$6:$E$3005=$B2454)*(Ventes_Encaissements!$J$6:$J$3005=$G2454)*(Ventes_Encaissements!$C$6:$C$3005&gt;=$C2454-3)*(Ventes_Encaissements!$C$6:$C$3005&lt;=$C2454+3)),1)))</f>
        <v/>
      </c>
      <c r="K2454" s="6" t="n"/>
    </row>
    <row r="2455">
      <c r="A2455" s="6" t="n"/>
      <c r="B2455" s="6" t="n"/>
      <c r="C2455" s="19" t="n"/>
      <c r="D2455" s="19" t="n"/>
      <c r="E2455" s="6" t="n"/>
      <c r="F2455" s="20" t="n"/>
      <c r="G2455" s="9">
        <f>IF($F2455="","",IF($F2455&gt;0,ROUND($F2455,2),""))</f>
        <v/>
      </c>
      <c r="H2455" s="12">
        <f>IF(OR($B2455="",$C2455="",$G2455=""),"",COUNTIFS(Ventes_Encaissements!$E$6:$E$3005,$B2455,Ventes_Encaissements!$J$6:$J$3005,$G2455,Ventes_Encaissements!$C$6:$C$3005,"&gt;="&amp;($C2455-3),Ventes_Encaissements!$C$6:$C$3005,"&lt;="&amp;($C2455+3)))</f>
        <v/>
      </c>
      <c r="I2455" s="12">
        <f>IF($H2455="","",IF($H2455=0,"Non trouvé",IF($H2455=1,"Match","À vérifier")))</f>
        <v/>
      </c>
      <c r="J2455" s="21">
        <f>IF($I2455&lt;&gt;"Match","",INDEX(Ventes_Encaissements!$B$6:$B$3005,_xludf.AGGREGATE(15,6,(ROW(Ventes_Encaissements!$B$6:$B$3005)-ROW(Ventes_Encaissements!$B$6)+1)/((Ventes_Encaissements!$E$6:$E$3005=$B2455)*(Ventes_Encaissements!$J$6:$J$3005=$G2455)*(Ventes_Encaissements!$C$6:$C$3005&gt;=$C2455-3)*(Ventes_Encaissements!$C$6:$C$3005&lt;=$C2455+3)),1)))</f>
        <v/>
      </c>
      <c r="K2455" s="6" t="n"/>
    </row>
    <row r="2456">
      <c r="A2456" s="6" t="n"/>
      <c r="B2456" s="6" t="n"/>
      <c r="C2456" s="19" t="n"/>
      <c r="D2456" s="19" t="n"/>
      <c r="E2456" s="6" t="n"/>
      <c r="F2456" s="20" t="n"/>
      <c r="G2456" s="9">
        <f>IF($F2456="","",IF($F2456&gt;0,ROUND($F2456,2),""))</f>
        <v/>
      </c>
      <c r="H2456" s="12">
        <f>IF(OR($B2456="",$C2456="",$G2456=""),"",COUNTIFS(Ventes_Encaissements!$E$6:$E$3005,$B2456,Ventes_Encaissements!$J$6:$J$3005,$G2456,Ventes_Encaissements!$C$6:$C$3005,"&gt;="&amp;($C2456-3),Ventes_Encaissements!$C$6:$C$3005,"&lt;="&amp;($C2456+3)))</f>
        <v/>
      </c>
      <c r="I2456" s="12">
        <f>IF($H2456="","",IF($H2456=0,"Non trouvé",IF($H2456=1,"Match","À vérifier")))</f>
        <v/>
      </c>
      <c r="J2456" s="21">
        <f>IF($I2456&lt;&gt;"Match","",INDEX(Ventes_Encaissements!$B$6:$B$3005,_xludf.AGGREGATE(15,6,(ROW(Ventes_Encaissements!$B$6:$B$3005)-ROW(Ventes_Encaissements!$B$6)+1)/((Ventes_Encaissements!$E$6:$E$3005=$B2456)*(Ventes_Encaissements!$J$6:$J$3005=$G2456)*(Ventes_Encaissements!$C$6:$C$3005&gt;=$C2456-3)*(Ventes_Encaissements!$C$6:$C$3005&lt;=$C2456+3)),1)))</f>
        <v/>
      </c>
      <c r="K2456" s="6" t="n"/>
    </row>
    <row r="2457">
      <c r="A2457" s="6" t="n"/>
      <c r="B2457" s="6" t="n"/>
      <c r="C2457" s="19" t="n"/>
      <c r="D2457" s="19" t="n"/>
      <c r="E2457" s="6" t="n"/>
      <c r="F2457" s="20" t="n"/>
      <c r="G2457" s="9">
        <f>IF($F2457="","",IF($F2457&gt;0,ROUND($F2457,2),""))</f>
        <v/>
      </c>
      <c r="H2457" s="12">
        <f>IF(OR($B2457="",$C2457="",$G2457=""),"",COUNTIFS(Ventes_Encaissements!$E$6:$E$3005,$B2457,Ventes_Encaissements!$J$6:$J$3005,$G2457,Ventes_Encaissements!$C$6:$C$3005,"&gt;="&amp;($C2457-3),Ventes_Encaissements!$C$6:$C$3005,"&lt;="&amp;($C2457+3)))</f>
        <v/>
      </c>
      <c r="I2457" s="12">
        <f>IF($H2457="","",IF($H2457=0,"Non trouvé",IF($H2457=1,"Match","À vérifier")))</f>
        <v/>
      </c>
      <c r="J2457" s="21">
        <f>IF($I2457&lt;&gt;"Match","",INDEX(Ventes_Encaissements!$B$6:$B$3005,_xludf.AGGREGATE(15,6,(ROW(Ventes_Encaissements!$B$6:$B$3005)-ROW(Ventes_Encaissements!$B$6)+1)/((Ventes_Encaissements!$E$6:$E$3005=$B2457)*(Ventes_Encaissements!$J$6:$J$3005=$G2457)*(Ventes_Encaissements!$C$6:$C$3005&gt;=$C2457-3)*(Ventes_Encaissements!$C$6:$C$3005&lt;=$C2457+3)),1)))</f>
        <v/>
      </c>
      <c r="K2457" s="6" t="n"/>
    </row>
    <row r="2458">
      <c r="A2458" s="6" t="n"/>
      <c r="B2458" s="6" t="n"/>
      <c r="C2458" s="19" t="n"/>
      <c r="D2458" s="19" t="n"/>
      <c r="E2458" s="6" t="n"/>
      <c r="F2458" s="20" t="n"/>
      <c r="G2458" s="9">
        <f>IF($F2458="","",IF($F2458&gt;0,ROUND($F2458,2),""))</f>
        <v/>
      </c>
      <c r="H2458" s="12">
        <f>IF(OR($B2458="",$C2458="",$G2458=""),"",COUNTIFS(Ventes_Encaissements!$E$6:$E$3005,$B2458,Ventes_Encaissements!$J$6:$J$3005,$G2458,Ventes_Encaissements!$C$6:$C$3005,"&gt;="&amp;($C2458-3),Ventes_Encaissements!$C$6:$C$3005,"&lt;="&amp;($C2458+3)))</f>
        <v/>
      </c>
      <c r="I2458" s="12">
        <f>IF($H2458="","",IF($H2458=0,"Non trouvé",IF($H2458=1,"Match","À vérifier")))</f>
        <v/>
      </c>
      <c r="J2458" s="21">
        <f>IF($I2458&lt;&gt;"Match","",INDEX(Ventes_Encaissements!$B$6:$B$3005,_xludf.AGGREGATE(15,6,(ROW(Ventes_Encaissements!$B$6:$B$3005)-ROW(Ventes_Encaissements!$B$6)+1)/((Ventes_Encaissements!$E$6:$E$3005=$B2458)*(Ventes_Encaissements!$J$6:$J$3005=$G2458)*(Ventes_Encaissements!$C$6:$C$3005&gt;=$C2458-3)*(Ventes_Encaissements!$C$6:$C$3005&lt;=$C2458+3)),1)))</f>
        <v/>
      </c>
      <c r="K2458" s="6" t="n"/>
    </row>
    <row r="2459">
      <c r="A2459" s="6" t="n"/>
      <c r="B2459" s="6" t="n"/>
      <c r="C2459" s="19" t="n"/>
      <c r="D2459" s="19" t="n"/>
      <c r="E2459" s="6" t="n"/>
      <c r="F2459" s="20" t="n"/>
      <c r="G2459" s="9">
        <f>IF($F2459="","",IF($F2459&gt;0,ROUND($F2459,2),""))</f>
        <v/>
      </c>
      <c r="H2459" s="12">
        <f>IF(OR($B2459="",$C2459="",$G2459=""),"",COUNTIFS(Ventes_Encaissements!$E$6:$E$3005,$B2459,Ventes_Encaissements!$J$6:$J$3005,$G2459,Ventes_Encaissements!$C$6:$C$3005,"&gt;="&amp;($C2459-3),Ventes_Encaissements!$C$6:$C$3005,"&lt;="&amp;($C2459+3)))</f>
        <v/>
      </c>
      <c r="I2459" s="12">
        <f>IF($H2459="","",IF($H2459=0,"Non trouvé",IF($H2459=1,"Match","À vérifier")))</f>
        <v/>
      </c>
      <c r="J2459" s="21">
        <f>IF($I2459&lt;&gt;"Match","",INDEX(Ventes_Encaissements!$B$6:$B$3005,_xludf.AGGREGATE(15,6,(ROW(Ventes_Encaissements!$B$6:$B$3005)-ROW(Ventes_Encaissements!$B$6)+1)/((Ventes_Encaissements!$E$6:$E$3005=$B2459)*(Ventes_Encaissements!$J$6:$J$3005=$G2459)*(Ventes_Encaissements!$C$6:$C$3005&gt;=$C2459-3)*(Ventes_Encaissements!$C$6:$C$3005&lt;=$C2459+3)),1)))</f>
        <v/>
      </c>
      <c r="K2459" s="6" t="n"/>
    </row>
    <row r="2460">
      <c r="A2460" s="6" t="n"/>
      <c r="B2460" s="6" t="n"/>
      <c r="C2460" s="19" t="n"/>
      <c r="D2460" s="19" t="n"/>
      <c r="E2460" s="6" t="n"/>
      <c r="F2460" s="20" t="n"/>
      <c r="G2460" s="9">
        <f>IF($F2460="","",IF($F2460&gt;0,ROUND($F2460,2),""))</f>
        <v/>
      </c>
      <c r="H2460" s="12">
        <f>IF(OR($B2460="",$C2460="",$G2460=""),"",COUNTIFS(Ventes_Encaissements!$E$6:$E$3005,$B2460,Ventes_Encaissements!$J$6:$J$3005,$G2460,Ventes_Encaissements!$C$6:$C$3005,"&gt;="&amp;($C2460-3),Ventes_Encaissements!$C$6:$C$3005,"&lt;="&amp;($C2460+3)))</f>
        <v/>
      </c>
      <c r="I2460" s="12">
        <f>IF($H2460="","",IF($H2460=0,"Non trouvé",IF($H2460=1,"Match","À vérifier")))</f>
        <v/>
      </c>
      <c r="J2460" s="21">
        <f>IF($I2460&lt;&gt;"Match","",INDEX(Ventes_Encaissements!$B$6:$B$3005,_xludf.AGGREGATE(15,6,(ROW(Ventes_Encaissements!$B$6:$B$3005)-ROW(Ventes_Encaissements!$B$6)+1)/((Ventes_Encaissements!$E$6:$E$3005=$B2460)*(Ventes_Encaissements!$J$6:$J$3005=$G2460)*(Ventes_Encaissements!$C$6:$C$3005&gt;=$C2460-3)*(Ventes_Encaissements!$C$6:$C$3005&lt;=$C2460+3)),1)))</f>
        <v/>
      </c>
      <c r="K2460" s="6" t="n"/>
    </row>
    <row r="2461">
      <c r="A2461" s="6" t="n"/>
      <c r="B2461" s="6" t="n"/>
      <c r="C2461" s="19" t="n"/>
      <c r="D2461" s="19" t="n"/>
      <c r="E2461" s="6" t="n"/>
      <c r="F2461" s="20" t="n"/>
      <c r="G2461" s="9">
        <f>IF($F2461="","",IF($F2461&gt;0,ROUND($F2461,2),""))</f>
        <v/>
      </c>
      <c r="H2461" s="12">
        <f>IF(OR($B2461="",$C2461="",$G2461=""),"",COUNTIFS(Ventes_Encaissements!$E$6:$E$3005,$B2461,Ventes_Encaissements!$J$6:$J$3005,$G2461,Ventes_Encaissements!$C$6:$C$3005,"&gt;="&amp;($C2461-3),Ventes_Encaissements!$C$6:$C$3005,"&lt;="&amp;($C2461+3)))</f>
        <v/>
      </c>
      <c r="I2461" s="12">
        <f>IF($H2461="","",IF($H2461=0,"Non trouvé",IF($H2461=1,"Match","À vérifier")))</f>
        <v/>
      </c>
      <c r="J2461" s="21">
        <f>IF($I2461&lt;&gt;"Match","",INDEX(Ventes_Encaissements!$B$6:$B$3005,_xludf.AGGREGATE(15,6,(ROW(Ventes_Encaissements!$B$6:$B$3005)-ROW(Ventes_Encaissements!$B$6)+1)/((Ventes_Encaissements!$E$6:$E$3005=$B2461)*(Ventes_Encaissements!$J$6:$J$3005=$G2461)*(Ventes_Encaissements!$C$6:$C$3005&gt;=$C2461-3)*(Ventes_Encaissements!$C$6:$C$3005&lt;=$C2461+3)),1)))</f>
        <v/>
      </c>
      <c r="K2461" s="6" t="n"/>
    </row>
    <row r="2462">
      <c r="A2462" s="6" t="n"/>
      <c r="B2462" s="6" t="n"/>
      <c r="C2462" s="19" t="n"/>
      <c r="D2462" s="19" t="n"/>
      <c r="E2462" s="6" t="n"/>
      <c r="F2462" s="20" t="n"/>
      <c r="G2462" s="9">
        <f>IF($F2462="","",IF($F2462&gt;0,ROUND($F2462,2),""))</f>
        <v/>
      </c>
      <c r="H2462" s="12">
        <f>IF(OR($B2462="",$C2462="",$G2462=""),"",COUNTIFS(Ventes_Encaissements!$E$6:$E$3005,$B2462,Ventes_Encaissements!$J$6:$J$3005,$G2462,Ventes_Encaissements!$C$6:$C$3005,"&gt;="&amp;($C2462-3),Ventes_Encaissements!$C$6:$C$3005,"&lt;="&amp;($C2462+3)))</f>
        <v/>
      </c>
      <c r="I2462" s="12">
        <f>IF($H2462="","",IF($H2462=0,"Non trouvé",IF($H2462=1,"Match","À vérifier")))</f>
        <v/>
      </c>
      <c r="J2462" s="21">
        <f>IF($I2462&lt;&gt;"Match","",INDEX(Ventes_Encaissements!$B$6:$B$3005,_xludf.AGGREGATE(15,6,(ROW(Ventes_Encaissements!$B$6:$B$3005)-ROW(Ventes_Encaissements!$B$6)+1)/((Ventes_Encaissements!$E$6:$E$3005=$B2462)*(Ventes_Encaissements!$J$6:$J$3005=$G2462)*(Ventes_Encaissements!$C$6:$C$3005&gt;=$C2462-3)*(Ventes_Encaissements!$C$6:$C$3005&lt;=$C2462+3)),1)))</f>
        <v/>
      </c>
      <c r="K2462" s="6" t="n"/>
    </row>
    <row r="2463">
      <c r="A2463" s="6" t="n"/>
      <c r="B2463" s="6" t="n"/>
      <c r="C2463" s="19" t="n"/>
      <c r="D2463" s="19" t="n"/>
      <c r="E2463" s="6" t="n"/>
      <c r="F2463" s="20" t="n"/>
      <c r="G2463" s="9">
        <f>IF($F2463="","",IF($F2463&gt;0,ROUND($F2463,2),""))</f>
        <v/>
      </c>
      <c r="H2463" s="12">
        <f>IF(OR($B2463="",$C2463="",$G2463=""),"",COUNTIFS(Ventes_Encaissements!$E$6:$E$3005,$B2463,Ventes_Encaissements!$J$6:$J$3005,$G2463,Ventes_Encaissements!$C$6:$C$3005,"&gt;="&amp;($C2463-3),Ventes_Encaissements!$C$6:$C$3005,"&lt;="&amp;($C2463+3)))</f>
        <v/>
      </c>
      <c r="I2463" s="12">
        <f>IF($H2463="","",IF($H2463=0,"Non trouvé",IF($H2463=1,"Match","À vérifier")))</f>
        <v/>
      </c>
      <c r="J2463" s="21">
        <f>IF($I2463&lt;&gt;"Match","",INDEX(Ventes_Encaissements!$B$6:$B$3005,_xludf.AGGREGATE(15,6,(ROW(Ventes_Encaissements!$B$6:$B$3005)-ROW(Ventes_Encaissements!$B$6)+1)/((Ventes_Encaissements!$E$6:$E$3005=$B2463)*(Ventes_Encaissements!$J$6:$J$3005=$G2463)*(Ventes_Encaissements!$C$6:$C$3005&gt;=$C2463-3)*(Ventes_Encaissements!$C$6:$C$3005&lt;=$C2463+3)),1)))</f>
        <v/>
      </c>
      <c r="K2463" s="6" t="n"/>
    </row>
    <row r="2464">
      <c r="A2464" s="6" t="n"/>
      <c r="B2464" s="6" t="n"/>
      <c r="C2464" s="19" t="n"/>
      <c r="D2464" s="19" t="n"/>
      <c r="E2464" s="6" t="n"/>
      <c r="F2464" s="20" t="n"/>
      <c r="G2464" s="9">
        <f>IF($F2464="","",IF($F2464&gt;0,ROUND($F2464,2),""))</f>
        <v/>
      </c>
      <c r="H2464" s="12">
        <f>IF(OR($B2464="",$C2464="",$G2464=""),"",COUNTIFS(Ventes_Encaissements!$E$6:$E$3005,$B2464,Ventes_Encaissements!$J$6:$J$3005,$G2464,Ventes_Encaissements!$C$6:$C$3005,"&gt;="&amp;($C2464-3),Ventes_Encaissements!$C$6:$C$3005,"&lt;="&amp;($C2464+3)))</f>
        <v/>
      </c>
      <c r="I2464" s="12">
        <f>IF($H2464="","",IF($H2464=0,"Non trouvé",IF($H2464=1,"Match","À vérifier")))</f>
        <v/>
      </c>
      <c r="J2464" s="21">
        <f>IF($I2464&lt;&gt;"Match","",INDEX(Ventes_Encaissements!$B$6:$B$3005,_xludf.AGGREGATE(15,6,(ROW(Ventes_Encaissements!$B$6:$B$3005)-ROW(Ventes_Encaissements!$B$6)+1)/((Ventes_Encaissements!$E$6:$E$3005=$B2464)*(Ventes_Encaissements!$J$6:$J$3005=$G2464)*(Ventes_Encaissements!$C$6:$C$3005&gt;=$C2464-3)*(Ventes_Encaissements!$C$6:$C$3005&lt;=$C2464+3)),1)))</f>
        <v/>
      </c>
      <c r="K2464" s="6" t="n"/>
    </row>
    <row r="2465">
      <c r="A2465" s="6" t="n"/>
      <c r="B2465" s="6" t="n"/>
      <c r="C2465" s="19" t="n"/>
      <c r="D2465" s="19" t="n"/>
      <c r="E2465" s="6" t="n"/>
      <c r="F2465" s="20" t="n"/>
      <c r="G2465" s="9">
        <f>IF($F2465="","",IF($F2465&gt;0,ROUND($F2465,2),""))</f>
        <v/>
      </c>
      <c r="H2465" s="12">
        <f>IF(OR($B2465="",$C2465="",$G2465=""),"",COUNTIFS(Ventes_Encaissements!$E$6:$E$3005,$B2465,Ventes_Encaissements!$J$6:$J$3005,$G2465,Ventes_Encaissements!$C$6:$C$3005,"&gt;="&amp;($C2465-3),Ventes_Encaissements!$C$6:$C$3005,"&lt;="&amp;($C2465+3)))</f>
        <v/>
      </c>
      <c r="I2465" s="12">
        <f>IF($H2465="","",IF($H2465=0,"Non trouvé",IF($H2465=1,"Match","À vérifier")))</f>
        <v/>
      </c>
      <c r="J2465" s="21">
        <f>IF($I2465&lt;&gt;"Match","",INDEX(Ventes_Encaissements!$B$6:$B$3005,_xludf.AGGREGATE(15,6,(ROW(Ventes_Encaissements!$B$6:$B$3005)-ROW(Ventes_Encaissements!$B$6)+1)/((Ventes_Encaissements!$E$6:$E$3005=$B2465)*(Ventes_Encaissements!$J$6:$J$3005=$G2465)*(Ventes_Encaissements!$C$6:$C$3005&gt;=$C2465-3)*(Ventes_Encaissements!$C$6:$C$3005&lt;=$C2465+3)),1)))</f>
        <v/>
      </c>
      <c r="K2465" s="6" t="n"/>
    </row>
    <row r="2466">
      <c r="A2466" s="6" t="n"/>
      <c r="B2466" s="6" t="n"/>
      <c r="C2466" s="19" t="n"/>
      <c r="D2466" s="19" t="n"/>
      <c r="E2466" s="6" t="n"/>
      <c r="F2466" s="20" t="n"/>
      <c r="G2466" s="9">
        <f>IF($F2466="","",IF($F2466&gt;0,ROUND($F2466,2),""))</f>
        <v/>
      </c>
      <c r="H2466" s="12">
        <f>IF(OR($B2466="",$C2466="",$G2466=""),"",COUNTIFS(Ventes_Encaissements!$E$6:$E$3005,$B2466,Ventes_Encaissements!$J$6:$J$3005,$G2466,Ventes_Encaissements!$C$6:$C$3005,"&gt;="&amp;($C2466-3),Ventes_Encaissements!$C$6:$C$3005,"&lt;="&amp;($C2466+3)))</f>
        <v/>
      </c>
      <c r="I2466" s="12">
        <f>IF($H2466="","",IF($H2466=0,"Non trouvé",IF($H2466=1,"Match","À vérifier")))</f>
        <v/>
      </c>
      <c r="J2466" s="21">
        <f>IF($I2466&lt;&gt;"Match","",INDEX(Ventes_Encaissements!$B$6:$B$3005,_xludf.AGGREGATE(15,6,(ROW(Ventes_Encaissements!$B$6:$B$3005)-ROW(Ventes_Encaissements!$B$6)+1)/((Ventes_Encaissements!$E$6:$E$3005=$B2466)*(Ventes_Encaissements!$J$6:$J$3005=$G2466)*(Ventes_Encaissements!$C$6:$C$3005&gt;=$C2466-3)*(Ventes_Encaissements!$C$6:$C$3005&lt;=$C2466+3)),1)))</f>
        <v/>
      </c>
      <c r="K2466" s="6" t="n"/>
    </row>
    <row r="2467">
      <c r="A2467" s="6" t="n"/>
      <c r="B2467" s="6" t="n"/>
      <c r="C2467" s="19" t="n"/>
      <c r="D2467" s="19" t="n"/>
      <c r="E2467" s="6" t="n"/>
      <c r="F2467" s="20" t="n"/>
      <c r="G2467" s="9">
        <f>IF($F2467="","",IF($F2467&gt;0,ROUND($F2467,2),""))</f>
        <v/>
      </c>
      <c r="H2467" s="12">
        <f>IF(OR($B2467="",$C2467="",$G2467=""),"",COUNTIFS(Ventes_Encaissements!$E$6:$E$3005,$B2467,Ventes_Encaissements!$J$6:$J$3005,$G2467,Ventes_Encaissements!$C$6:$C$3005,"&gt;="&amp;($C2467-3),Ventes_Encaissements!$C$6:$C$3005,"&lt;="&amp;($C2467+3)))</f>
        <v/>
      </c>
      <c r="I2467" s="12">
        <f>IF($H2467="","",IF($H2467=0,"Non trouvé",IF($H2467=1,"Match","À vérifier")))</f>
        <v/>
      </c>
      <c r="J2467" s="21">
        <f>IF($I2467&lt;&gt;"Match","",INDEX(Ventes_Encaissements!$B$6:$B$3005,_xludf.AGGREGATE(15,6,(ROW(Ventes_Encaissements!$B$6:$B$3005)-ROW(Ventes_Encaissements!$B$6)+1)/((Ventes_Encaissements!$E$6:$E$3005=$B2467)*(Ventes_Encaissements!$J$6:$J$3005=$G2467)*(Ventes_Encaissements!$C$6:$C$3005&gt;=$C2467-3)*(Ventes_Encaissements!$C$6:$C$3005&lt;=$C2467+3)),1)))</f>
        <v/>
      </c>
      <c r="K2467" s="6" t="n"/>
    </row>
    <row r="2468">
      <c r="A2468" s="6" t="n"/>
      <c r="B2468" s="6" t="n"/>
      <c r="C2468" s="19" t="n"/>
      <c r="D2468" s="19" t="n"/>
      <c r="E2468" s="6" t="n"/>
      <c r="F2468" s="20" t="n"/>
      <c r="G2468" s="9">
        <f>IF($F2468="","",IF($F2468&gt;0,ROUND($F2468,2),""))</f>
        <v/>
      </c>
      <c r="H2468" s="12">
        <f>IF(OR($B2468="",$C2468="",$G2468=""),"",COUNTIFS(Ventes_Encaissements!$E$6:$E$3005,$B2468,Ventes_Encaissements!$J$6:$J$3005,$G2468,Ventes_Encaissements!$C$6:$C$3005,"&gt;="&amp;($C2468-3),Ventes_Encaissements!$C$6:$C$3005,"&lt;="&amp;($C2468+3)))</f>
        <v/>
      </c>
      <c r="I2468" s="12">
        <f>IF($H2468="","",IF($H2468=0,"Non trouvé",IF($H2468=1,"Match","À vérifier")))</f>
        <v/>
      </c>
      <c r="J2468" s="21">
        <f>IF($I2468&lt;&gt;"Match","",INDEX(Ventes_Encaissements!$B$6:$B$3005,_xludf.AGGREGATE(15,6,(ROW(Ventes_Encaissements!$B$6:$B$3005)-ROW(Ventes_Encaissements!$B$6)+1)/((Ventes_Encaissements!$E$6:$E$3005=$B2468)*(Ventes_Encaissements!$J$6:$J$3005=$G2468)*(Ventes_Encaissements!$C$6:$C$3005&gt;=$C2468-3)*(Ventes_Encaissements!$C$6:$C$3005&lt;=$C2468+3)),1)))</f>
        <v/>
      </c>
      <c r="K2468" s="6" t="n"/>
    </row>
    <row r="2469">
      <c r="A2469" s="6" t="n"/>
      <c r="B2469" s="6" t="n"/>
      <c r="C2469" s="19" t="n"/>
      <c r="D2469" s="19" t="n"/>
      <c r="E2469" s="6" t="n"/>
      <c r="F2469" s="20" t="n"/>
      <c r="G2469" s="9">
        <f>IF($F2469="","",IF($F2469&gt;0,ROUND($F2469,2),""))</f>
        <v/>
      </c>
      <c r="H2469" s="12">
        <f>IF(OR($B2469="",$C2469="",$G2469=""),"",COUNTIFS(Ventes_Encaissements!$E$6:$E$3005,$B2469,Ventes_Encaissements!$J$6:$J$3005,$G2469,Ventes_Encaissements!$C$6:$C$3005,"&gt;="&amp;($C2469-3),Ventes_Encaissements!$C$6:$C$3005,"&lt;="&amp;($C2469+3)))</f>
        <v/>
      </c>
      <c r="I2469" s="12">
        <f>IF($H2469="","",IF($H2469=0,"Non trouvé",IF($H2469=1,"Match","À vérifier")))</f>
        <v/>
      </c>
      <c r="J2469" s="21">
        <f>IF($I2469&lt;&gt;"Match","",INDEX(Ventes_Encaissements!$B$6:$B$3005,_xludf.AGGREGATE(15,6,(ROW(Ventes_Encaissements!$B$6:$B$3005)-ROW(Ventes_Encaissements!$B$6)+1)/((Ventes_Encaissements!$E$6:$E$3005=$B2469)*(Ventes_Encaissements!$J$6:$J$3005=$G2469)*(Ventes_Encaissements!$C$6:$C$3005&gt;=$C2469-3)*(Ventes_Encaissements!$C$6:$C$3005&lt;=$C2469+3)),1)))</f>
        <v/>
      </c>
      <c r="K2469" s="6" t="n"/>
    </row>
    <row r="2470">
      <c r="A2470" s="6" t="n"/>
      <c r="B2470" s="6" t="n"/>
      <c r="C2470" s="19" t="n"/>
      <c r="D2470" s="19" t="n"/>
      <c r="E2470" s="6" t="n"/>
      <c r="F2470" s="20" t="n"/>
      <c r="G2470" s="9">
        <f>IF($F2470="","",IF($F2470&gt;0,ROUND($F2470,2),""))</f>
        <v/>
      </c>
      <c r="H2470" s="12">
        <f>IF(OR($B2470="",$C2470="",$G2470=""),"",COUNTIFS(Ventes_Encaissements!$E$6:$E$3005,$B2470,Ventes_Encaissements!$J$6:$J$3005,$G2470,Ventes_Encaissements!$C$6:$C$3005,"&gt;="&amp;($C2470-3),Ventes_Encaissements!$C$6:$C$3005,"&lt;="&amp;($C2470+3)))</f>
        <v/>
      </c>
      <c r="I2470" s="12">
        <f>IF($H2470="","",IF($H2470=0,"Non trouvé",IF($H2470=1,"Match","À vérifier")))</f>
        <v/>
      </c>
      <c r="J2470" s="21">
        <f>IF($I2470&lt;&gt;"Match","",INDEX(Ventes_Encaissements!$B$6:$B$3005,_xludf.AGGREGATE(15,6,(ROW(Ventes_Encaissements!$B$6:$B$3005)-ROW(Ventes_Encaissements!$B$6)+1)/((Ventes_Encaissements!$E$6:$E$3005=$B2470)*(Ventes_Encaissements!$J$6:$J$3005=$G2470)*(Ventes_Encaissements!$C$6:$C$3005&gt;=$C2470-3)*(Ventes_Encaissements!$C$6:$C$3005&lt;=$C2470+3)),1)))</f>
        <v/>
      </c>
      <c r="K2470" s="6" t="n"/>
    </row>
    <row r="2471">
      <c r="A2471" s="6" t="n"/>
      <c r="B2471" s="6" t="n"/>
      <c r="C2471" s="19" t="n"/>
      <c r="D2471" s="19" t="n"/>
      <c r="E2471" s="6" t="n"/>
      <c r="F2471" s="20" t="n"/>
      <c r="G2471" s="9">
        <f>IF($F2471="","",IF($F2471&gt;0,ROUND($F2471,2),""))</f>
        <v/>
      </c>
      <c r="H2471" s="12">
        <f>IF(OR($B2471="",$C2471="",$G2471=""),"",COUNTIFS(Ventes_Encaissements!$E$6:$E$3005,$B2471,Ventes_Encaissements!$J$6:$J$3005,$G2471,Ventes_Encaissements!$C$6:$C$3005,"&gt;="&amp;($C2471-3),Ventes_Encaissements!$C$6:$C$3005,"&lt;="&amp;($C2471+3)))</f>
        <v/>
      </c>
      <c r="I2471" s="12">
        <f>IF($H2471="","",IF($H2471=0,"Non trouvé",IF($H2471=1,"Match","À vérifier")))</f>
        <v/>
      </c>
      <c r="J2471" s="21">
        <f>IF($I2471&lt;&gt;"Match","",INDEX(Ventes_Encaissements!$B$6:$B$3005,_xludf.AGGREGATE(15,6,(ROW(Ventes_Encaissements!$B$6:$B$3005)-ROW(Ventes_Encaissements!$B$6)+1)/((Ventes_Encaissements!$E$6:$E$3005=$B2471)*(Ventes_Encaissements!$J$6:$J$3005=$G2471)*(Ventes_Encaissements!$C$6:$C$3005&gt;=$C2471-3)*(Ventes_Encaissements!$C$6:$C$3005&lt;=$C2471+3)),1)))</f>
        <v/>
      </c>
      <c r="K2471" s="6" t="n"/>
    </row>
    <row r="2472">
      <c r="A2472" s="6" t="n"/>
      <c r="B2472" s="6" t="n"/>
      <c r="C2472" s="19" t="n"/>
      <c r="D2472" s="19" t="n"/>
      <c r="E2472" s="6" t="n"/>
      <c r="F2472" s="20" t="n"/>
      <c r="G2472" s="9">
        <f>IF($F2472="","",IF($F2472&gt;0,ROUND($F2472,2),""))</f>
        <v/>
      </c>
      <c r="H2472" s="12">
        <f>IF(OR($B2472="",$C2472="",$G2472=""),"",COUNTIFS(Ventes_Encaissements!$E$6:$E$3005,$B2472,Ventes_Encaissements!$J$6:$J$3005,$G2472,Ventes_Encaissements!$C$6:$C$3005,"&gt;="&amp;($C2472-3),Ventes_Encaissements!$C$6:$C$3005,"&lt;="&amp;($C2472+3)))</f>
        <v/>
      </c>
      <c r="I2472" s="12">
        <f>IF($H2472="","",IF($H2472=0,"Non trouvé",IF($H2472=1,"Match","À vérifier")))</f>
        <v/>
      </c>
      <c r="J2472" s="21">
        <f>IF($I2472&lt;&gt;"Match","",INDEX(Ventes_Encaissements!$B$6:$B$3005,_xludf.AGGREGATE(15,6,(ROW(Ventes_Encaissements!$B$6:$B$3005)-ROW(Ventes_Encaissements!$B$6)+1)/((Ventes_Encaissements!$E$6:$E$3005=$B2472)*(Ventes_Encaissements!$J$6:$J$3005=$G2472)*(Ventes_Encaissements!$C$6:$C$3005&gt;=$C2472-3)*(Ventes_Encaissements!$C$6:$C$3005&lt;=$C2472+3)),1)))</f>
        <v/>
      </c>
      <c r="K2472" s="6" t="n"/>
    </row>
    <row r="2473">
      <c r="A2473" s="6" t="n"/>
      <c r="B2473" s="6" t="n"/>
      <c r="C2473" s="19" t="n"/>
      <c r="D2473" s="19" t="n"/>
      <c r="E2473" s="6" t="n"/>
      <c r="F2473" s="20" t="n"/>
      <c r="G2473" s="9">
        <f>IF($F2473="","",IF($F2473&gt;0,ROUND($F2473,2),""))</f>
        <v/>
      </c>
      <c r="H2473" s="12">
        <f>IF(OR($B2473="",$C2473="",$G2473=""),"",COUNTIFS(Ventes_Encaissements!$E$6:$E$3005,$B2473,Ventes_Encaissements!$J$6:$J$3005,$G2473,Ventes_Encaissements!$C$6:$C$3005,"&gt;="&amp;($C2473-3),Ventes_Encaissements!$C$6:$C$3005,"&lt;="&amp;($C2473+3)))</f>
        <v/>
      </c>
      <c r="I2473" s="12">
        <f>IF($H2473="","",IF($H2473=0,"Non trouvé",IF($H2473=1,"Match","À vérifier")))</f>
        <v/>
      </c>
      <c r="J2473" s="21">
        <f>IF($I2473&lt;&gt;"Match","",INDEX(Ventes_Encaissements!$B$6:$B$3005,_xludf.AGGREGATE(15,6,(ROW(Ventes_Encaissements!$B$6:$B$3005)-ROW(Ventes_Encaissements!$B$6)+1)/((Ventes_Encaissements!$E$6:$E$3005=$B2473)*(Ventes_Encaissements!$J$6:$J$3005=$G2473)*(Ventes_Encaissements!$C$6:$C$3005&gt;=$C2473-3)*(Ventes_Encaissements!$C$6:$C$3005&lt;=$C2473+3)),1)))</f>
        <v/>
      </c>
      <c r="K2473" s="6" t="n"/>
    </row>
    <row r="2474">
      <c r="A2474" s="6" t="n"/>
      <c r="B2474" s="6" t="n"/>
      <c r="C2474" s="19" t="n"/>
      <c r="D2474" s="19" t="n"/>
      <c r="E2474" s="6" t="n"/>
      <c r="F2474" s="20" t="n"/>
      <c r="G2474" s="9">
        <f>IF($F2474="","",IF($F2474&gt;0,ROUND($F2474,2),""))</f>
        <v/>
      </c>
      <c r="H2474" s="12">
        <f>IF(OR($B2474="",$C2474="",$G2474=""),"",COUNTIFS(Ventes_Encaissements!$E$6:$E$3005,$B2474,Ventes_Encaissements!$J$6:$J$3005,$G2474,Ventes_Encaissements!$C$6:$C$3005,"&gt;="&amp;($C2474-3),Ventes_Encaissements!$C$6:$C$3005,"&lt;="&amp;($C2474+3)))</f>
        <v/>
      </c>
      <c r="I2474" s="12">
        <f>IF($H2474="","",IF($H2474=0,"Non trouvé",IF($H2474=1,"Match","À vérifier")))</f>
        <v/>
      </c>
      <c r="J2474" s="21">
        <f>IF($I2474&lt;&gt;"Match","",INDEX(Ventes_Encaissements!$B$6:$B$3005,_xludf.AGGREGATE(15,6,(ROW(Ventes_Encaissements!$B$6:$B$3005)-ROW(Ventes_Encaissements!$B$6)+1)/((Ventes_Encaissements!$E$6:$E$3005=$B2474)*(Ventes_Encaissements!$J$6:$J$3005=$G2474)*(Ventes_Encaissements!$C$6:$C$3005&gt;=$C2474-3)*(Ventes_Encaissements!$C$6:$C$3005&lt;=$C2474+3)),1)))</f>
        <v/>
      </c>
      <c r="K2474" s="6" t="n"/>
    </row>
    <row r="2475">
      <c r="A2475" s="6" t="n"/>
      <c r="B2475" s="6" t="n"/>
      <c r="C2475" s="19" t="n"/>
      <c r="D2475" s="19" t="n"/>
      <c r="E2475" s="6" t="n"/>
      <c r="F2475" s="20" t="n"/>
      <c r="G2475" s="9">
        <f>IF($F2475="","",IF($F2475&gt;0,ROUND($F2475,2),""))</f>
        <v/>
      </c>
      <c r="H2475" s="12">
        <f>IF(OR($B2475="",$C2475="",$G2475=""),"",COUNTIFS(Ventes_Encaissements!$E$6:$E$3005,$B2475,Ventes_Encaissements!$J$6:$J$3005,$G2475,Ventes_Encaissements!$C$6:$C$3005,"&gt;="&amp;($C2475-3),Ventes_Encaissements!$C$6:$C$3005,"&lt;="&amp;($C2475+3)))</f>
        <v/>
      </c>
      <c r="I2475" s="12">
        <f>IF($H2475="","",IF($H2475=0,"Non trouvé",IF($H2475=1,"Match","À vérifier")))</f>
        <v/>
      </c>
      <c r="J2475" s="21">
        <f>IF($I2475&lt;&gt;"Match","",INDEX(Ventes_Encaissements!$B$6:$B$3005,_xludf.AGGREGATE(15,6,(ROW(Ventes_Encaissements!$B$6:$B$3005)-ROW(Ventes_Encaissements!$B$6)+1)/((Ventes_Encaissements!$E$6:$E$3005=$B2475)*(Ventes_Encaissements!$J$6:$J$3005=$G2475)*(Ventes_Encaissements!$C$6:$C$3005&gt;=$C2475-3)*(Ventes_Encaissements!$C$6:$C$3005&lt;=$C2475+3)),1)))</f>
        <v/>
      </c>
      <c r="K2475" s="6" t="n"/>
    </row>
    <row r="2476">
      <c r="A2476" s="6" t="n"/>
      <c r="B2476" s="6" t="n"/>
      <c r="C2476" s="19" t="n"/>
      <c r="D2476" s="19" t="n"/>
      <c r="E2476" s="6" t="n"/>
      <c r="F2476" s="20" t="n"/>
      <c r="G2476" s="9">
        <f>IF($F2476="","",IF($F2476&gt;0,ROUND($F2476,2),""))</f>
        <v/>
      </c>
      <c r="H2476" s="12">
        <f>IF(OR($B2476="",$C2476="",$G2476=""),"",COUNTIFS(Ventes_Encaissements!$E$6:$E$3005,$B2476,Ventes_Encaissements!$J$6:$J$3005,$G2476,Ventes_Encaissements!$C$6:$C$3005,"&gt;="&amp;($C2476-3),Ventes_Encaissements!$C$6:$C$3005,"&lt;="&amp;($C2476+3)))</f>
        <v/>
      </c>
      <c r="I2476" s="12">
        <f>IF($H2476="","",IF($H2476=0,"Non trouvé",IF($H2476=1,"Match","À vérifier")))</f>
        <v/>
      </c>
      <c r="J2476" s="21">
        <f>IF($I2476&lt;&gt;"Match","",INDEX(Ventes_Encaissements!$B$6:$B$3005,_xludf.AGGREGATE(15,6,(ROW(Ventes_Encaissements!$B$6:$B$3005)-ROW(Ventes_Encaissements!$B$6)+1)/((Ventes_Encaissements!$E$6:$E$3005=$B2476)*(Ventes_Encaissements!$J$6:$J$3005=$G2476)*(Ventes_Encaissements!$C$6:$C$3005&gt;=$C2476-3)*(Ventes_Encaissements!$C$6:$C$3005&lt;=$C2476+3)),1)))</f>
        <v/>
      </c>
      <c r="K2476" s="6" t="n"/>
    </row>
    <row r="2477">
      <c r="A2477" s="6" t="n"/>
      <c r="B2477" s="6" t="n"/>
      <c r="C2477" s="19" t="n"/>
      <c r="D2477" s="19" t="n"/>
      <c r="E2477" s="6" t="n"/>
      <c r="F2477" s="20" t="n"/>
      <c r="G2477" s="9">
        <f>IF($F2477="","",IF($F2477&gt;0,ROUND($F2477,2),""))</f>
        <v/>
      </c>
      <c r="H2477" s="12">
        <f>IF(OR($B2477="",$C2477="",$G2477=""),"",COUNTIFS(Ventes_Encaissements!$E$6:$E$3005,$B2477,Ventes_Encaissements!$J$6:$J$3005,$G2477,Ventes_Encaissements!$C$6:$C$3005,"&gt;="&amp;($C2477-3),Ventes_Encaissements!$C$6:$C$3005,"&lt;="&amp;($C2477+3)))</f>
        <v/>
      </c>
      <c r="I2477" s="12">
        <f>IF($H2477="","",IF($H2477=0,"Non trouvé",IF($H2477=1,"Match","À vérifier")))</f>
        <v/>
      </c>
      <c r="J2477" s="21">
        <f>IF($I2477&lt;&gt;"Match","",INDEX(Ventes_Encaissements!$B$6:$B$3005,_xludf.AGGREGATE(15,6,(ROW(Ventes_Encaissements!$B$6:$B$3005)-ROW(Ventes_Encaissements!$B$6)+1)/((Ventes_Encaissements!$E$6:$E$3005=$B2477)*(Ventes_Encaissements!$J$6:$J$3005=$G2477)*(Ventes_Encaissements!$C$6:$C$3005&gt;=$C2477-3)*(Ventes_Encaissements!$C$6:$C$3005&lt;=$C2477+3)),1)))</f>
        <v/>
      </c>
      <c r="K2477" s="6" t="n"/>
    </row>
    <row r="2478">
      <c r="A2478" s="6" t="n"/>
      <c r="B2478" s="6" t="n"/>
      <c r="C2478" s="19" t="n"/>
      <c r="D2478" s="19" t="n"/>
      <c r="E2478" s="6" t="n"/>
      <c r="F2478" s="20" t="n"/>
      <c r="G2478" s="9">
        <f>IF($F2478="","",IF($F2478&gt;0,ROUND($F2478,2),""))</f>
        <v/>
      </c>
      <c r="H2478" s="12">
        <f>IF(OR($B2478="",$C2478="",$G2478=""),"",COUNTIFS(Ventes_Encaissements!$E$6:$E$3005,$B2478,Ventes_Encaissements!$J$6:$J$3005,$G2478,Ventes_Encaissements!$C$6:$C$3005,"&gt;="&amp;($C2478-3),Ventes_Encaissements!$C$6:$C$3005,"&lt;="&amp;($C2478+3)))</f>
        <v/>
      </c>
      <c r="I2478" s="12">
        <f>IF($H2478="","",IF($H2478=0,"Non trouvé",IF($H2478=1,"Match","À vérifier")))</f>
        <v/>
      </c>
      <c r="J2478" s="21">
        <f>IF($I2478&lt;&gt;"Match","",INDEX(Ventes_Encaissements!$B$6:$B$3005,_xludf.AGGREGATE(15,6,(ROW(Ventes_Encaissements!$B$6:$B$3005)-ROW(Ventes_Encaissements!$B$6)+1)/((Ventes_Encaissements!$E$6:$E$3005=$B2478)*(Ventes_Encaissements!$J$6:$J$3005=$G2478)*(Ventes_Encaissements!$C$6:$C$3005&gt;=$C2478-3)*(Ventes_Encaissements!$C$6:$C$3005&lt;=$C2478+3)),1)))</f>
        <v/>
      </c>
      <c r="K2478" s="6" t="n"/>
    </row>
    <row r="2479">
      <c r="A2479" s="6" t="n"/>
      <c r="B2479" s="6" t="n"/>
      <c r="C2479" s="19" t="n"/>
      <c r="D2479" s="19" t="n"/>
      <c r="E2479" s="6" t="n"/>
      <c r="F2479" s="20" t="n"/>
      <c r="G2479" s="9">
        <f>IF($F2479="","",IF($F2479&gt;0,ROUND($F2479,2),""))</f>
        <v/>
      </c>
      <c r="H2479" s="12">
        <f>IF(OR($B2479="",$C2479="",$G2479=""),"",COUNTIFS(Ventes_Encaissements!$E$6:$E$3005,$B2479,Ventes_Encaissements!$J$6:$J$3005,$G2479,Ventes_Encaissements!$C$6:$C$3005,"&gt;="&amp;($C2479-3),Ventes_Encaissements!$C$6:$C$3005,"&lt;="&amp;($C2479+3)))</f>
        <v/>
      </c>
      <c r="I2479" s="12">
        <f>IF($H2479="","",IF($H2479=0,"Non trouvé",IF($H2479=1,"Match","À vérifier")))</f>
        <v/>
      </c>
      <c r="J2479" s="21">
        <f>IF($I2479&lt;&gt;"Match","",INDEX(Ventes_Encaissements!$B$6:$B$3005,_xludf.AGGREGATE(15,6,(ROW(Ventes_Encaissements!$B$6:$B$3005)-ROW(Ventes_Encaissements!$B$6)+1)/((Ventes_Encaissements!$E$6:$E$3005=$B2479)*(Ventes_Encaissements!$J$6:$J$3005=$G2479)*(Ventes_Encaissements!$C$6:$C$3005&gt;=$C2479-3)*(Ventes_Encaissements!$C$6:$C$3005&lt;=$C2479+3)),1)))</f>
        <v/>
      </c>
      <c r="K2479" s="6" t="n"/>
    </row>
    <row r="2480">
      <c r="A2480" s="6" t="n"/>
      <c r="B2480" s="6" t="n"/>
      <c r="C2480" s="19" t="n"/>
      <c r="D2480" s="19" t="n"/>
      <c r="E2480" s="6" t="n"/>
      <c r="F2480" s="20" t="n"/>
      <c r="G2480" s="9">
        <f>IF($F2480="","",IF($F2480&gt;0,ROUND($F2480,2),""))</f>
        <v/>
      </c>
      <c r="H2480" s="12">
        <f>IF(OR($B2480="",$C2480="",$G2480=""),"",COUNTIFS(Ventes_Encaissements!$E$6:$E$3005,$B2480,Ventes_Encaissements!$J$6:$J$3005,$G2480,Ventes_Encaissements!$C$6:$C$3005,"&gt;="&amp;($C2480-3),Ventes_Encaissements!$C$6:$C$3005,"&lt;="&amp;($C2480+3)))</f>
        <v/>
      </c>
      <c r="I2480" s="12">
        <f>IF($H2480="","",IF($H2480=0,"Non trouvé",IF($H2480=1,"Match","À vérifier")))</f>
        <v/>
      </c>
      <c r="J2480" s="21">
        <f>IF($I2480&lt;&gt;"Match","",INDEX(Ventes_Encaissements!$B$6:$B$3005,_xludf.AGGREGATE(15,6,(ROW(Ventes_Encaissements!$B$6:$B$3005)-ROW(Ventes_Encaissements!$B$6)+1)/((Ventes_Encaissements!$E$6:$E$3005=$B2480)*(Ventes_Encaissements!$J$6:$J$3005=$G2480)*(Ventes_Encaissements!$C$6:$C$3005&gt;=$C2480-3)*(Ventes_Encaissements!$C$6:$C$3005&lt;=$C2480+3)),1)))</f>
        <v/>
      </c>
      <c r="K2480" s="6" t="n"/>
    </row>
    <row r="2481">
      <c r="A2481" s="6" t="n"/>
      <c r="B2481" s="6" t="n"/>
      <c r="C2481" s="19" t="n"/>
      <c r="D2481" s="19" t="n"/>
      <c r="E2481" s="6" t="n"/>
      <c r="F2481" s="20" t="n"/>
      <c r="G2481" s="9">
        <f>IF($F2481="","",IF($F2481&gt;0,ROUND($F2481,2),""))</f>
        <v/>
      </c>
      <c r="H2481" s="12">
        <f>IF(OR($B2481="",$C2481="",$G2481=""),"",COUNTIFS(Ventes_Encaissements!$E$6:$E$3005,$B2481,Ventes_Encaissements!$J$6:$J$3005,$G2481,Ventes_Encaissements!$C$6:$C$3005,"&gt;="&amp;($C2481-3),Ventes_Encaissements!$C$6:$C$3005,"&lt;="&amp;($C2481+3)))</f>
        <v/>
      </c>
      <c r="I2481" s="12">
        <f>IF($H2481="","",IF($H2481=0,"Non trouvé",IF($H2481=1,"Match","À vérifier")))</f>
        <v/>
      </c>
      <c r="J2481" s="21">
        <f>IF($I2481&lt;&gt;"Match","",INDEX(Ventes_Encaissements!$B$6:$B$3005,_xludf.AGGREGATE(15,6,(ROW(Ventes_Encaissements!$B$6:$B$3005)-ROW(Ventes_Encaissements!$B$6)+1)/((Ventes_Encaissements!$E$6:$E$3005=$B2481)*(Ventes_Encaissements!$J$6:$J$3005=$G2481)*(Ventes_Encaissements!$C$6:$C$3005&gt;=$C2481-3)*(Ventes_Encaissements!$C$6:$C$3005&lt;=$C2481+3)),1)))</f>
        <v/>
      </c>
      <c r="K2481" s="6" t="n"/>
    </row>
    <row r="2482">
      <c r="A2482" s="6" t="n"/>
      <c r="B2482" s="6" t="n"/>
      <c r="C2482" s="19" t="n"/>
      <c r="D2482" s="19" t="n"/>
      <c r="E2482" s="6" t="n"/>
      <c r="F2482" s="20" t="n"/>
      <c r="G2482" s="9">
        <f>IF($F2482="","",IF($F2482&gt;0,ROUND($F2482,2),""))</f>
        <v/>
      </c>
      <c r="H2482" s="12">
        <f>IF(OR($B2482="",$C2482="",$G2482=""),"",COUNTIFS(Ventes_Encaissements!$E$6:$E$3005,$B2482,Ventes_Encaissements!$J$6:$J$3005,$G2482,Ventes_Encaissements!$C$6:$C$3005,"&gt;="&amp;($C2482-3),Ventes_Encaissements!$C$6:$C$3005,"&lt;="&amp;($C2482+3)))</f>
        <v/>
      </c>
      <c r="I2482" s="12">
        <f>IF($H2482="","",IF($H2482=0,"Non trouvé",IF($H2482=1,"Match","À vérifier")))</f>
        <v/>
      </c>
      <c r="J2482" s="21">
        <f>IF($I2482&lt;&gt;"Match","",INDEX(Ventes_Encaissements!$B$6:$B$3005,_xludf.AGGREGATE(15,6,(ROW(Ventes_Encaissements!$B$6:$B$3005)-ROW(Ventes_Encaissements!$B$6)+1)/((Ventes_Encaissements!$E$6:$E$3005=$B2482)*(Ventes_Encaissements!$J$6:$J$3005=$G2482)*(Ventes_Encaissements!$C$6:$C$3005&gt;=$C2482-3)*(Ventes_Encaissements!$C$6:$C$3005&lt;=$C2482+3)),1)))</f>
        <v/>
      </c>
      <c r="K2482" s="6" t="n"/>
    </row>
    <row r="2483">
      <c r="A2483" s="6" t="n"/>
      <c r="B2483" s="6" t="n"/>
      <c r="C2483" s="19" t="n"/>
      <c r="D2483" s="19" t="n"/>
      <c r="E2483" s="6" t="n"/>
      <c r="F2483" s="20" t="n"/>
      <c r="G2483" s="9">
        <f>IF($F2483="","",IF($F2483&gt;0,ROUND($F2483,2),""))</f>
        <v/>
      </c>
      <c r="H2483" s="12">
        <f>IF(OR($B2483="",$C2483="",$G2483=""),"",COUNTIFS(Ventes_Encaissements!$E$6:$E$3005,$B2483,Ventes_Encaissements!$J$6:$J$3005,$G2483,Ventes_Encaissements!$C$6:$C$3005,"&gt;="&amp;($C2483-3),Ventes_Encaissements!$C$6:$C$3005,"&lt;="&amp;($C2483+3)))</f>
        <v/>
      </c>
      <c r="I2483" s="12">
        <f>IF($H2483="","",IF($H2483=0,"Non trouvé",IF($H2483=1,"Match","À vérifier")))</f>
        <v/>
      </c>
      <c r="J2483" s="21">
        <f>IF($I2483&lt;&gt;"Match","",INDEX(Ventes_Encaissements!$B$6:$B$3005,_xludf.AGGREGATE(15,6,(ROW(Ventes_Encaissements!$B$6:$B$3005)-ROW(Ventes_Encaissements!$B$6)+1)/((Ventes_Encaissements!$E$6:$E$3005=$B2483)*(Ventes_Encaissements!$J$6:$J$3005=$G2483)*(Ventes_Encaissements!$C$6:$C$3005&gt;=$C2483-3)*(Ventes_Encaissements!$C$6:$C$3005&lt;=$C2483+3)),1)))</f>
        <v/>
      </c>
      <c r="K2483" s="6" t="n"/>
    </row>
    <row r="2484">
      <c r="A2484" s="6" t="n"/>
      <c r="B2484" s="6" t="n"/>
      <c r="C2484" s="19" t="n"/>
      <c r="D2484" s="19" t="n"/>
      <c r="E2484" s="6" t="n"/>
      <c r="F2484" s="20" t="n"/>
      <c r="G2484" s="9">
        <f>IF($F2484="","",IF($F2484&gt;0,ROUND($F2484,2),""))</f>
        <v/>
      </c>
      <c r="H2484" s="12">
        <f>IF(OR($B2484="",$C2484="",$G2484=""),"",COUNTIFS(Ventes_Encaissements!$E$6:$E$3005,$B2484,Ventes_Encaissements!$J$6:$J$3005,$G2484,Ventes_Encaissements!$C$6:$C$3005,"&gt;="&amp;($C2484-3),Ventes_Encaissements!$C$6:$C$3005,"&lt;="&amp;($C2484+3)))</f>
        <v/>
      </c>
      <c r="I2484" s="12">
        <f>IF($H2484="","",IF($H2484=0,"Non trouvé",IF($H2484=1,"Match","À vérifier")))</f>
        <v/>
      </c>
      <c r="J2484" s="21">
        <f>IF($I2484&lt;&gt;"Match","",INDEX(Ventes_Encaissements!$B$6:$B$3005,_xludf.AGGREGATE(15,6,(ROW(Ventes_Encaissements!$B$6:$B$3005)-ROW(Ventes_Encaissements!$B$6)+1)/((Ventes_Encaissements!$E$6:$E$3005=$B2484)*(Ventes_Encaissements!$J$6:$J$3005=$G2484)*(Ventes_Encaissements!$C$6:$C$3005&gt;=$C2484-3)*(Ventes_Encaissements!$C$6:$C$3005&lt;=$C2484+3)),1)))</f>
        <v/>
      </c>
      <c r="K2484" s="6" t="n"/>
    </row>
    <row r="2485">
      <c r="A2485" s="6" t="n"/>
      <c r="B2485" s="6" t="n"/>
      <c r="C2485" s="19" t="n"/>
      <c r="D2485" s="19" t="n"/>
      <c r="E2485" s="6" t="n"/>
      <c r="F2485" s="20" t="n"/>
      <c r="G2485" s="9">
        <f>IF($F2485="","",IF($F2485&gt;0,ROUND($F2485,2),""))</f>
        <v/>
      </c>
      <c r="H2485" s="12">
        <f>IF(OR($B2485="",$C2485="",$G2485=""),"",COUNTIFS(Ventes_Encaissements!$E$6:$E$3005,$B2485,Ventes_Encaissements!$J$6:$J$3005,$G2485,Ventes_Encaissements!$C$6:$C$3005,"&gt;="&amp;($C2485-3),Ventes_Encaissements!$C$6:$C$3005,"&lt;="&amp;($C2485+3)))</f>
        <v/>
      </c>
      <c r="I2485" s="12">
        <f>IF($H2485="","",IF($H2485=0,"Non trouvé",IF($H2485=1,"Match","À vérifier")))</f>
        <v/>
      </c>
      <c r="J2485" s="21">
        <f>IF($I2485&lt;&gt;"Match","",INDEX(Ventes_Encaissements!$B$6:$B$3005,_xludf.AGGREGATE(15,6,(ROW(Ventes_Encaissements!$B$6:$B$3005)-ROW(Ventes_Encaissements!$B$6)+1)/((Ventes_Encaissements!$E$6:$E$3005=$B2485)*(Ventes_Encaissements!$J$6:$J$3005=$G2485)*(Ventes_Encaissements!$C$6:$C$3005&gt;=$C2485-3)*(Ventes_Encaissements!$C$6:$C$3005&lt;=$C2485+3)),1)))</f>
        <v/>
      </c>
      <c r="K2485" s="6" t="n"/>
    </row>
    <row r="2486">
      <c r="A2486" s="6" t="n"/>
      <c r="B2486" s="6" t="n"/>
      <c r="C2486" s="19" t="n"/>
      <c r="D2486" s="19" t="n"/>
      <c r="E2486" s="6" t="n"/>
      <c r="F2486" s="20" t="n"/>
      <c r="G2486" s="9">
        <f>IF($F2486="","",IF($F2486&gt;0,ROUND($F2486,2),""))</f>
        <v/>
      </c>
      <c r="H2486" s="12">
        <f>IF(OR($B2486="",$C2486="",$G2486=""),"",COUNTIFS(Ventes_Encaissements!$E$6:$E$3005,$B2486,Ventes_Encaissements!$J$6:$J$3005,$G2486,Ventes_Encaissements!$C$6:$C$3005,"&gt;="&amp;($C2486-3),Ventes_Encaissements!$C$6:$C$3005,"&lt;="&amp;($C2486+3)))</f>
        <v/>
      </c>
      <c r="I2486" s="12">
        <f>IF($H2486="","",IF($H2486=0,"Non trouvé",IF($H2486=1,"Match","À vérifier")))</f>
        <v/>
      </c>
      <c r="J2486" s="21">
        <f>IF($I2486&lt;&gt;"Match","",INDEX(Ventes_Encaissements!$B$6:$B$3005,_xludf.AGGREGATE(15,6,(ROW(Ventes_Encaissements!$B$6:$B$3005)-ROW(Ventes_Encaissements!$B$6)+1)/((Ventes_Encaissements!$E$6:$E$3005=$B2486)*(Ventes_Encaissements!$J$6:$J$3005=$G2486)*(Ventes_Encaissements!$C$6:$C$3005&gt;=$C2486-3)*(Ventes_Encaissements!$C$6:$C$3005&lt;=$C2486+3)),1)))</f>
        <v/>
      </c>
      <c r="K2486" s="6" t="n"/>
    </row>
    <row r="2487">
      <c r="A2487" s="6" t="n"/>
      <c r="B2487" s="6" t="n"/>
      <c r="C2487" s="19" t="n"/>
      <c r="D2487" s="19" t="n"/>
      <c r="E2487" s="6" t="n"/>
      <c r="F2487" s="20" t="n"/>
      <c r="G2487" s="9">
        <f>IF($F2487="","",IF($F2487&gt;0,ROUND($F2487,2),""))</f>
        <v/>
      </c>
      <c r="H2487" s="12">
        <f>IF(OR($B2487="",$C2487="",$G2487=""),"",COUNTIFS(Ventes_Encaissements!$E$6:$E$3005,$B2487,Ventes_Encaissements!$J$6:$J$3005,$G2487,Ventes_Encaissements!$C$6:$C$3005,"&gt;="&amp;($C2487-3),Ventes_Encaissements!$C$6:$C$3005,"&lt;="&amp;($C2487+3)))</f>
        <v/>
      </c>
      <c r="I2487" s="12">
        <f>IF($H2487="","",IF($H2487=0,"Non trouvé",IF($H2487=1,"Match","À vérifier")))</f>
        <v/>
      </c>
      <c r="J2487" s="21">
        <f>IF($I2487&lt;&gt;"Match","",INDEX(Ventes_Encaissements!$B$6:$B$3005,_xludf.AGGREGATE(15,6,(ROW(Ventes_Encaissements!$B$6:$B$3005)-ROW(Ventes_Encaissements!$B$6)+1)/((Ventes_Encaissements!$E$6:$E$3005=$B2487)*(Ventes_Encaissements!$J$6:$J$3005=$G2487)*(Ventes_Encaissements!$C$6:$C$3005&gt;=$C2487-3)*(Ventes_Encaissements!$C$6:$C$3005&lt;=$C2487+3)),1)))</f>
        <v/>
      </c>
      <c r="K2487" s="6" t="n"/>
    </row>
    <row r="2488">
      <c r="A2488" s="6" t="n"/>
      <c r="B2488" s="6" t="n"/>
      <c r="C2488" s="19" t="n"/>
      <c r="D2488" s="19" t="n"/>
      <c r="E2488" s="6" t="n"/>
      <c r="F2488" s="20" t="n"/>
      <c r="G2488" s="9">
        <f>IF($F2488="","",IF($F2488&gt;0,ROUND($F2488,2),""))</f>
        <v/>
      </c>
      <c r="H2488" s="12">
        <f>IF(OR($B2488="",$C2488="",$G2488=""),"",COUNTIFS(Ventes_Encaissements!$E$6:$E$3005,$B2488,Ventes_Encaissements!$J$6:$J$3005,$G2488,Ventes_Encaissements!$C$6:$C$3005,"&gt;="&amp;($C2488-3),Ventes_Encaissements!$C$6:$C$3005,"&lt;="&amp;($C2488+3)))</f>
        <v/>
      </c>
      <c r="I2488" s="12">
        <f>IF($H2488="","",IF($H2488=0,"Non trouvé",IF($H2488=1,"Match","À vérifier")))</f>
        <v/>
      </c>
      <c r="J2488" s="21">
        <f>IF($I2488&lt;&gt;"Match","",INDEX(Ventes_Encaissements!$B$6:$B$3005,_xludf.AGGREGATE(15,6,(ROW(Ventes_Encaissements!$B$6:$B$3005)-ROW(Ventes_Encaissements!$B$6)+1)/((Ventes_Encaissements!$E$6:$E$3005=$B2488)*(Ventes_Encaissements!$J$6:$J$3005=$G2488)*(Ventes_Encaissements!$C$6:$C$3005&gt;=$C2488-3)*(Ventes_Encaissements!$C$6:$C$3005&lt;=$C2488+3)),1)))</f>
        <v/>
      </c>
      <c r="K2488" s="6" t="n"/>
    </row>
    <row r="2489">
      <c r="A2489" s="6" t="n"/>
      <c r="B2489" s="6" t="n"/>
      <c r="C2489" s="19" t="n"/>
      <c r="D2489" s="19" t="n"/>
      <c r="E2489" s="6" t="n"/>
      <c r="F2489" s="20" t="n"/>
      <c r="G2489" s="9">
        <f>IF($F2489="","",IF($F2489&gt;0,ROUND($F2489,2),""))</f>
        <v/>
      </c>
      <c r="H2489" s="12">
        <f>IF(OR($B2489="",$C2489="",$G2489=""),"",COUNTIFS(Ventes_Encaissements!$E$6:$E$3005,$B2489,Ventes_Encaissements!$J$6:$J$3005,$G2489,Ventes_Encaissements!$C$6:$C$3005,"&gt;="&amp;($C2489-3),Ventes_Encaissements!$C$6:$C$3005,"&lt;="&amp;($C2489+3)))</f>
        <v/>
      </c>
      <c r="I2489" s="12">
        <f>IF($H2489="","",IF($H2489=0,"Non trouvé",IF($H2489=1,"Match","À vérifier")))</f>
        <v/>
      </c>
      <c r="J2489" s="21">
        <f>IF($I2489&lt;&gt;"Match","",INDEX(Ventes_Encaissements!$B$6:$B$3005,_xludf.AGGREGATE(15,6,(ROW(Ventes_Encaissements!$B$6:$B$3005)-ROW(Ventes_Encaissements!$B$6)+1)/((Ventes_Encaissements!$E$6:$E$3005=$B2489)*(Ventes_Encaissements!$J$6:$J$3005=$G2489)*(Ventes_Encaissements!$C$6:$C$3005&gt;=$C2489-3)*(Ventes_Encaissements!$C$6:$C$3005&lt;=$C2489+3)),1)))</f>
        <v/>
      </c>
      <c r="K2489" s="6" t="n"/>
    </row>
    <row r="2490">
      <c r="A2490" s="6" t="n"/>
      <c r="B2490" s="6" t="n"/>
      <c r="C2490" s="19" t="n"/>
      <c r="D2490" s="19" t="n"/>
      <c r="E2490" s="6" t="n"/>
      <c r="F2490" s="20" t="n"/>
      <c r="G2490" s="9">
        <f>IF($F2490="","",IF($F2490&gt;0,ROUND($F2490,2),""))</f>
        <v/>
      </c>
      <c r="H2490" s="12">
        <f>IF(OR($B2490="",$C2490="",$G2490=""),"",COUNTIFS(Ventes_Encaissements!$E$6:$E$3005,$B2490,Ventes_Encaissements!$J$6:$J$3005,$G2490,Ventes_Encaissements!$C$6:$C$3005,"&gt;="&amp;($C2490-3),Ventes_Encaissements!$C$6:$C$3005,"&lt;="&amp;($C2490+3)))</f>
        <v/>
      </c>
      <c r="I2490" s="12">
        <f>IF($H2490="","",IF($H2490=0,"Non trouvé",IF($H2490=1,"Match","À vérifier")))</f>
        <v/>
      </c>
      <c r="J2490" s="21">
        <f>IF($I2490&lt;&gt;"Match","",INDEX(Ventes_Encaissements!$B$6:$B$3005,_xludf.AGGREGATE(15,6,(ROW(Ventes_Encaissements!$B$6:$B$3005)-ROW(Ventes_Encaissements!$B$6)+1)/((Ventes_Encaissements!$E$6:$E$3005=$B2490)*(Ventes_Encaissements!$J$6:$J$3005=$G2490)*(Ventes_Encaissements!$C$6:$C$3005&gt;=$C2490-3)*(Ventes_Encaissements!$C$6:$C$3005&lt;=$C2490+3)),1)))</f>
        <v/>
      </c>
      <c r="K2490" s="6" t="n"/>
    </row>
    <row r="2491">
      <c r="A2491" s="6" t="n"/>
      <c r="B2491" s="6" t="n"/>
      <c r="C2491" s="19" t="n"/>
      <c r="D2491" s="19" t="n"/>
      <c r="E2491" s="6" t="n"/>
      <c r="F2491" s="20" t="n"/>
      <c r="G2491" s="9">
        <f>IF($F2491="","",IF($F2491&gt;0,ROUND($F2491,2),""))</f>
        <v/>
      </c>
      <c r="H2491" s="12">
        <f>IF(OR($B2491="",$C2491="",$G2491=""),"",COUNTIFS(Ventes_Encaissements!$E$6:$E$3005,$B2491,Ventes_Encaissements!$J$6:$J$3005,$G2491,Ventes_Encaissements!$C$6:$C$3005,"&gt;="&amp;($C2491-3),Ventes_Encaissements!$C$6:$C$3005,"&lt;="&amp;($C2491+3)))</f>
        <v/>
      </c>
      <c r="I2491" s="12">
        <f>IF($H2491="","",IF($H2491=0,"Non trouvé",IF($H2491=1,"Match","À vérifier")))</f>
        <v/>
      </c>
      <c r="J2491" s="21">
        <f>IF($I2491&lt;&gt;"Match","",INDEX(Ventes_Encaissements!$B$6:$B$3005,_xludf.AGGREGATE(15,6,(ROW(Ventes_Encaissements!$B$6:$B$3005)-ROW(Ventes_Encaissements!$B$6)+1)/((Ventes_Encaissements!$E$6:$E$3005=$B2491)*(Ventes_Encaissements!$J$6:$J$3005=$G2491)*(Ventes_Encaissements!$C$6:$C$3005&gt;=$C2491-3)*(Ventes_Encaissements!$C$6:$C$3005&lt;=$C2491+3)),1)))</f>
        <v/>
      </c>
      <c r="K2491" s="6" t="n"/>
    </row>
    <row r="2492">
      <c r="A2492" s="6" t="n"/>
      <c r="B2492" s="6" t="n"/>
      <c r="C2492" s="19" t="n"/>
      <c r="D2492" s="19" t="n"/>
      <c r="E2492" s="6" t="n"/>
      <c r="F2492" s="20" t="n"/>
      <c r="G2492" s="9">
        <f>IF($F2492="","",IF($F2492&gt;0,ROUND($F2492,2),""))</f>
        <v/>
      </c>
      <c r="H2492" s="12">
        <f>IF(OR($B2492="",$C2492="",$G2492=""),"",COUNTIFS(Ventes_Encaissements!$E$6:$E$3005,$B2492,Ventes_Encaissements!$J$6:$J$3005,$G2492,Ventes_Encaissements!$C$6:$C$3005,"&gt;="&amp;($C2492-3),Ventes_Encaissements!$C$6:$C$3005,"&lt;="&amp;($C2492+3)))</f>
        <v/>
      </c>
      <c r="I2492" s="12">
        <f>IF($H2492="","",IF($H2492=0,"Non trouvé",IF($H2492=1,"Match","À vérifier")))</f>
        <v/>
      </c>
      <c r="J2492" s="21">
        <f>IF($I2492&lt;&gt;"Match","",INDEX(Ventes_Encaissements!$B$6:$B$3005,_xludf.AGGREGATE(15,6,(ROW(Ventes_Encaissements!$B$6:$B$3005)-ROW(Ventes_Encaissements!$B$6)+1)/((Ventes_Encaissements!$E$6:$E$3005=$B2492)*(Ventes_Encaissements!$J$6:$J$3005=$G2492)*(Ventes_Encaissements!$C$6:$C$3005&gt;=$C2492-3)*(Ventes_Encaissements!$C$6:$C$3005&lt;=$C2492+3)),1)))</f>
        <v/>
      </c>
      <c r="K2492" s="6" t="n"/>
    </row>
    <row r="2493">
      <c r="A2493" s="6" t="n"/>
      <c r="B2493" s="6" t="n"/>
      <c r="C2493" s="19" t="n"/>
      <c r="D2493" s="19" t="n"/>
      <c r="E2493" s="6" t="n"/>
      <c r="F2493" s="20" t="n"/>
      <c r="G2493" s="9">
        <f>IF($F2493="","",IF($F2493&gt;0,ROUND($F2493,2),""))</f>
        <v/>
      </c>
      <c r="H2493" s="12">
        <f>IF(OR($B2493="",$C2493="",$G2493=""),"",COUNTIFS(Ventes_Encaissements!$E$6:$E$3005,$B2493,Ventes_Encaissements!$J$6:$J$3005,$G2493,Ventes_Encaissements!$C$6:$C$3005,"&gt;="&amp;($C2493-3),Ventes_Encaissements!$C$6:$C$3005,"&lt;="&amp;($C2493+3)))</f>
        <v/>
      </c>
      <c r="I2493" s="12">
        <f>IF($H2493="","",IF($H2493=0,"Non trouvé",IF($H2493=1,"Match","À vérifier")))</f>
        <v/>
      </c>
      <c r="J2493" s="21">
        <f>IF($I2493&lt;&gt;"Match","",INDEX(Ventes_Encaissements!$B$6:$B$3005,_xludf.AGGREGATE(15,6,(ROW(Ventes_Encaissements!$B$6:$B$3005)-ROW(Ventes_Encaissements!$B$6)+1)/((Ventes_Encaissements!$E$6:$E$3005=$B2493)*(Ventes_Encaissements!$J$6:$J$3005=$G2493)*(Ventes_Encaissements!$C$6:$C$3005&gt;=$C2493-3)*(Ventes_Encaissements!$C$6:$C$3005&lt;=$C2493+3)),1)))</f>
        <v/>
      </c>
      <c r="K2493" s="6" t="n"/>
    </row>
    <row r="2494">
      <c r="A2494" s="6" t="n"/>
      <c r="B2494" s="6" t="n"/>
      <c r="C2494" s="19" t="n"/>
      <c r="D2494" s="19" t="n"/>
      <c r="E2494" s="6" t="n"/>
      <c r="F2494" s="20" t="n"/>
      <c r="G2494" s="9">
        <f>IF($F2494="","",IF($F2494&gt;0,ROUND($F2494,2),""))</f>
        <v/>
      </c>
      <c r="H2494" s="12">
        <f>IF(OR($B2494="",$C2494="",$G2494=""),"",COUNTIFS(Ventes_Encaissements!$E$6:$E$3005,$B2494,Ventes_Encaissements!$J$6:$J$3005,$G2494,Ventes_Encaissements!$C$6:$C$3005,"&gt;="&amp;($C2494-3),Ventes_Encaissements!$C$6:$C$3005,"&lt;="&amp;($C2494+3)))</f>
        <v/>
      </c>
      <c r="I2494" s="12">
        <f>IF($H2494="","",IF($H2494=0,"Non trouvé",IF($H2494=1,"Match","À vérifier")))</f>
        <v/>
      </c>
      <c r="J2494" s="21">
        <f>IF($I2494&lt;&gt;"Match","",INDEX(Ventes_Encaissements!$B$6:$B$3005,_xludf.AGGREGATE(15,6,(ROW(Ventes_Encaissements!$B$6:$B$3005)-ROW(Ventes_Encaissements!$B$6)+1)/((Ventes_Encaissements!$E$6:$E$3005=$B2494)*(Ventes_Encaissements!$J$6:$J$3005=$G2494)*(Ventes_Encaissements!$C$6:$C$3005&gt;=$C2494-3)*(Ventes_Encaissements!$C$6:$C$3005&lt;=$C2494+3)),1)))</f>
        <v/>
      </c>
      <c r="K2494" s="6" t="n"/>
    </row>
    <row r="2495">
      <c r="A2495" s="6" t="n"/>
      <c r="B2495" s="6" t="n"/>
      <c r="C2495" s="19" t="n"/>
      <c r="D2495" s="19" t="n"/>
      <c r="E2495" s="6" t="n"/>
      <c r="F2495" s="20" t="n"/>
      <c r="G2495" s="9">
        <f>IF($F2495="","",IF($F2495&gt;0,ROUND($F2495,2),""))</f>
        <v/>
      </c>
      <c r="H2495" s="12">
        <f>IF(OR($B2495="",$C2495="",$G2495=""),"",COUNTIFS(Ventes_Encaissements!$E$6:$E$3005,$B2495,Ventes_Encaissements!$J$6:$J$3005,$G2495,Ventes_Encaissements!$C$6:$C$3005,"&gt;="&amp;($C2495-3),Ventes_Encaissements!$C$6:$C$3005,"&lt;="&amp;($C2495+3)))</f>
        <v/>
      </c>
      <c r="I2495" s="12">
        <f>IF($H2495="","",IF($H2495=0,"Non trouvé",IF($H2495=1,"Match","À vérifier")))</f>
        <v/>
      </c>
      <c r="J2495" s="21">
        <f>IF($I2495&lt;&gt;"Match","",INDEX(Ventes_Encaissements!$B$6:$B$3005,_xludf.AGGREGATE(15,6,(ROW(Ventes_Encaissements!$B$6:$B$3005)-ROW(Ventes_Encaissements!$B$6)+1)/((Ventes_Encaissements!$E$6:$E$3005=$B2495)*(Ventes_Encaissements!$J$6:$J$3005=$G2495)*(Ventes_Encaissements!$C$6:$C$3005&gt;=$C2495-3)*(Ventes_Encaissements!$C$6:$C$3005&lt;=$C2495+3)),1)))</f>
        <v/>
      </c>
      <c r="K2495" s="6" t="n"/>
    </row>
    <row r="2496">
      <c r="A2496" s="6" t="n"/>
      <c r="B2496" s="6" t="n"/>
      <c r="C2496" s="19" t="n"/>
      <c r="D2496" s="19" t="n"/>
      <c r="E2496" s="6" t="n"/>
      <c r="F2496" s="20" t="n"/>
      <c r="G2496" s="9">
        <f>IF($F2496="","",IF($F2496&gt;0,ROUND($F2496,2),""))</f>
        <v/>
      </c>
      <c r="H2496" s="12">
        <f>IF(OR($B2496="",$C2496="",$G2496=""),"",COUNTIFS(Ventes_Encaissements!$E$6:$E$3005,$B2496,Ventes_Encaissements!$J$6:$J$3005,$G2496,Ventes_Encaissements!$C$6:$C$3005,"&gt;="&amp;($C2496-3),Ventes_Encaissements!$C$6:$C$3005,"&lt;="&amp;($C2496+3)))</f>
        <v/>
      </c>
      <c r="I2496" s="12">
        <f>IF($H2496="","",IF($H2496=0,"Non trouvé",IF($H2496=1,"Match","À vérifier")))</f>
        <v/>
      </c>
      <c r="J2496" s="21">
        <f>IF($I2496&lt;&gt;"Match","",INDEX(Ventes_Encaissements!$B$6:$B$3005,_xludf.AGGREGATE(15,6,(ROW(Ventes_Encaissements!$B$6:$B$3005)-ROW(Ventes_Encaissements!$B$6)+1)/((Ventes_Encaissements!$E$6:$E$3005=$B2496)*(Ventes_Encaissements!$J$6:$J$3005=$G2496)*(Ventes_Encaissements!$C$6:$C$3005&gt;=$C2496-3)*(Ventes_Encaissements!$C$6:$C$3005&lt;=$C2496+3)),1)))</f>
        <v/>
      </c>
      <c r="K2496" s="6" t="n"/>
    </row>
    <row r="2497">
      <c r="A2497" s="6" t="n"/>
      <c r="B2497" s="6" t="n"/>
      <c r="C2497" s="19" t="n"/>
      <c r="D2497" s="19" t="n"/>
      <c r="E2497" s="6" t="n"/>
      <c r="F2497" s="20" t="n"/>
      <c r="G2497" s="9">
        <f>IF($F2497="","",IF($F2497&gt;0,ROUND($F2497,2),""))</f>
        <v/>
      </c>
      <c r="H2497" s="12">
        <f>IF(OR($B2497="",$C2497="",$G2497=""),"",COUNTIFS(Ventes_Encaissements!$E$6:$E$3005,$B2497,Ventes_Encaissements!$J$6:$J$3005,$G2497,Ventes_Encaissements!$C$6:$C$3005,"&gt;="&amp;($C2497-3),Ventes_Encaissements!$C$6:$C$3005,"&lt;="&amp;($C2497+3)))</f>
        <v/>
      </c>
      <c r="I2497" s="12">
        <f>IF($H2497="","",IF($H2497=0,"Non trouvé",IF($H2497=1,"Match","À vérifier")))</f>
        <v/>
      </c>
      <c r="J2497" s="21">
        <f>IF($I2497&lt;&gt;"Match","",INDEX(Ventes_Encaissements!$B$6:$B$3005,_xludf.AGGREGATE(15,6,(ROW(Ventes_Encaissements!$B$6:$B$3005)-ROW(Ventes_Encaissements!$B$6)+1)/((Ventes_Encaissements!$E$6:$E$3005=$B2497)*(Ventes_Encaissements!$J$6:$J$3005=$G2497)*(Ventes_Encaissements!$C$6:$C$3005&gt;=$C2497-3)*(Ventes_Encaissements!$C$6:$C$3005&lt;=$C2497+3)),1)))</f>
        <v/>
      </c>
      <c r="K2497" s="6" t="n"/>
    </row>
    <row r="2498">
      <c r="A2498" s="6" t="n"/>
      <c r="B2498" s="6" t="n"/>
      <c r="C2498" s="19" t="n"/>
      <c r="D2498" s="19" t="n"/>
      <c r="E2498" s="6" t="n"/>
      <c r="F2498" s="20" t="n"/>
      <c r="G2498" s="9">
        <f>IF($F2498="","",IF($F2498&gt;0,ROUND($F2498,2),""))</f>
        <v/>
      </c>
      <c r="H2498" s="12">
        <f>IF(OR($B2498="",$C2498="",$G2498=""),"",COUNTIFS(Ventes_Encaissements!$E$6:$E$3005,$B2498,Ventes_Encaissements!$J$6:$J$3005,$G2498,Ventes_Encaissements!$C$6:$C$3005,"&gt;="&amp;($C2498-3),Ventes_Encaissements!$C$6:$C$3005,"&lt;="&amp;($C2498+3)))</f>
        <v/>
      </c>
      <c r="I2498" s="12">
        <f>IF($H2498="","",IF($H2498=0,"Non trouvé",IF($H2498=1,"Match","À vérifier")))</f>
        <v/>
      </c>
      <c r="J2498" s="21">
        <f>IF($I2498&lt;&gt;"Match","",INDEX(Ventes_Encaissements!$B$6:$B$3005,_xludf.AGGREGATE(15,6,(ROW(Ventes_Encaissements!$B$6:$B$3005)-ROW(Ventes_Encaissements!$B$6)+1)/((Ventes_Encaissements!$E$6:$E$3005=$B2498)*(Ventes_Encaissements!$J$6:$J$3005=$G2498)*(Ventes_Encaissements!$C$6:$C$3005&gt;=$C2498-3)*(Ventes_Encaissements!$C$6:$C$3005&lt;=$C2498+3)),1)))</f>
        <v/>
      </c>
      <c r="K2498" s="6" t="n"/>
    </row>
    <row r="2499">
      <c r="A2499" s="6" t="n"/>
      <c r="B2499" s="6" t="n"/>
      <c r="C2499" s="19" t="n"/>
      <c r="D2499" s="19" t="n"/>
      <c r="E2499" s="6" t="n"/>
      <c r="F2499" s="20" t="n"/>
      <c r="G2499" s="9">
        <f>IF($F2499="","",IF($F2499&gt;0,ROUND($F2499,2),""))</f>
        <v/>
      </c>
      <c r="H2499" s="12">
        <f>IF(OR($B2499="",$C2499="",$G2499=""),"",COUNTIFS(Ventes_Encaissements!$E$6:$E$3005,$B2499,Ventes_Encaissements!$J$6:$J$3005,$G2499,Ventes_Encaissements!$C$6:$C$3005,"&gt;="&amp;($C2499-3),Ventes_Encaissements!$C$6:$C$3005,"&lt;="&amp;($C2499+3)))</f>
        <v/>
      </c>
      <c r="I2499" s="12">
        <f>IF($H2499="","",IF($H2499=0,"Non trouvé",IF($H2499=1,"Match","À vérifier")))</f>
        <v/>
      </c>
      <c r="J2499" s="21">
        <f>IF($I2499&lt;&gt;"Match","",INDEX(Ventes_Encaissements!$B$6:$B$3005,_xludf.AGGREGATE(15,6,(ROW(Ventes_Encaissements!$B$6:$B$3005)-ROW(Ventes_Encaissements!$B$6)+1)/((Ventes_Encaissements!$E$6:$E$3005=$B2499)*(Ventes_Encaissements!$J$6:$J$3005=$G2499)*(Ventes_Encaissements!$C$6:$C$3005&gt;=$C2499-3)*(Ventes_Encaissements!$C$6:$C$3005&lt;=$C2499+3)),1)))</f>
        <v/>
      </c>
      <c r="K2499" s="6" t="n"/>
    </row>
    <row r="2500">
      <c r="A2500" s="6" t="n"/>
      <c r="B2500" s="6" t="n"/>
      <c r="C2500" s="19" t="n"/>
      <c r="D2500" s="19" t="n"/>
      <c r="E2500" s="6" t="n"/>
      <c r="F2500" s="20" t="n"/>
      <c r="G2500" s="9">
        <f>IF($F2500="","",IF($F2500&gt;0,ROUND($F2500,2),""))</f>
        <v/>
      </c>
      <c r="H2500" s="12">
        <f>IF(OR($B2500="",$C2500="",$G2500=""),"",COUNTIFS(Ventes_Encaissements!$E$6:$E$3005,$B2500,Ventes_Encaissements!$J$6:$J$3005,$G2500,Ventes_Encaissements!$C$6:$C$3005,"&gt;="&amp;($C2500-3),Ventes_Encaissements!$C$6:$C$3005,"&lt;="&amp;($C2500+3)))</f>
        <v/>
      </c>
      <c r="I2500" s="12">
        <f>IF($H2500="","",IF($H2500=0,"Non trouvé",IF($H2500=1,"Match","À vérifier")))</f>
        <v/>
      </c>
      <c r="J2500" s="21">
        <f>IF($I2500&lt;&gt;"Match","",INDEX(Ventes_Encaissements!$B$6:$B$3005,_xludf.AGGREGATE(15,6,(ROW(Ventes_Encaissements!$B$6:$B$3005)-ROW(Ventes_Encaissements!$B$6)+1)/((Ventes_Encaissements!$E$6:$E$3005=$B2500)*(Ventes_Encaissements!$J$6:$J$3005=$G2500)*(Ventes_Encaissements!$C$6:$C$3005&gt;=$C2500-3)*(Ventes_Encaissements!$C$6:$C$3005&lt;=$C2500+3)),1)))</f>
        <v/>
      </c>
      <c r="K2500" s="6" t="n"/>
    </row>
    <row r="2501">
      <c r="A2501" s="6" t="n"/>
      <c r="B2501" s="6" t="n"/>
      <c r="C2501" s="19" t="n"/>
      <c r="D2501" s="19" t="n"/>
      <c r="E2501" s="6" t="n"/>
      <c r="F2501" s="20" t="n"/>
      <c r="G2501" s="9">
        <f>IF($F2501="","",IF($F2501&gt;0,ROUND($F2501,2),""))</f>
        <v/>
      </c>
      <c r="H2501" s="12">
        <f>IF(OR($B2501="",$C2501="",$G2501=""),"",COUNTIFS(Ventes_Encaissements!$E$6:$E$3005,$B2501,Ventes_Encaissements!$J$6:$J$3005,$G2501,Ventes_Encaissements!$C$6:$C$3005,"&gt;="&amp;($C2501-3),Ventes_Encaissements!$C$6:$C$3005,"&lt;="&amp;($C2501+3)))</f>
        <v/>
      </c>
      <c r="I2501" s="12">
        <f>IF($H2501="","",IF($H2501=0,"Non trouvé",IF($H2501=1,"Match","À vérifier")))</f>
        <v/>
      </c>
      <c r="J2501" s="21">
        <f>IF($I2501&lt;&gt;"Match","",INDEX(Ventes_Encaissements!$B$6:$B$3005,_xludf.AGGREGATE(15,6,(ROW(Ventes_Encaissements!$B$6:$B$3005)-ROW(Ventes_Encaissements!$B$6)+1)/((Ventes_Encaissements!$E$6:$E$3005=$B2501)*(Ventes_Encaissements!$J$6:$J$3005=$G2501)*(Ventes_Encaissements!$C$6:$C$3005&gt;=$C2501-3)*(Ventes_Encaissements!$C$6:$C$3005&lt;=$C2501+3)),1)))</f>
        <v/>
      </c>
      <c r="K2501" s="6" t="n"/>
    </row>
    <row r="2502">
      <c r="A2502" s="6" t="n"/>
      <c r="B2502" s="6" t="n"/>
      <c r="C2502" s="19" t="n"/>
      <c r="D2502" s="19" t="n"/>
      <c r="E2502" s="6" t="n"/>
      <c r="F2502" s="20" t="n"/>
      <c r="G2502" s="9">
        <f>IF($F2502="","",IF($F2502&gt;0,ROUND($F2502,2),""))</f>
        <v/>
      </c>
      <c r="H2502" s="12">
        <f>IF(OR($B2502="",$C2502="",$G2502=""),"",COUNTIFS(Ventes_Encaissements!$E$6:$E$3005,$B2502,Ventes_Encaissements!$J$6:$J$3005,$G2502,Ventes_Encaissements!$C$6:$C$3005,"&gt;="&amp;($C2502-3),Ventes_Encaissements!$C$6:$C$3005,"&lt;="&amp;($C2502+3)))</f>
        <v/>
      </c>
      <c r="I2502" s="12">
        <f>IF($H2502="","",IF($H2502=0,"Non trouvé",IF($H2502=1,"Match","À vérifier")))</f>
        <v/>
      </c>
      <c r="J2502" s="21">
        <f>IF($I2502&lt;&gt;"Match","",INDEX(Ventes_Encaissements!$B$6:$B$3005,_xludf.AGGREGATE(15,6,(ROW(Ventes_Encaissements!$B$6:$B$3005)-ROW(Ventes_Encaissements!$B$6)+1)/((Ventes_Encaissements!$E$6:$E$3005=$B2502)*(Ventes_Encaissements!$J$6:$J$3005=$G2502)*(Ventes_Encaissements!$C$6:$C$3005&gt;=$C2502-3)*(Ventes_Encaissements!$C$6:$C$3005&lt;=$C2502+3)),1)))</f>
        <v/>
      </c>
      <c r="K2502" s="6" t="n"/>
    </row>
    <row r="2503">
      <c r="A2503" s="6" t="n"/>
      <c r="B2503" s="6" t="n"/>
      <c r="C2503" s="19" t="n"/>
      <c r="D2503" s="19" t="n"/>
      <c r="E2503" s="6" t="n"/>
      <c r="F2503" s="20" t="n"/>
      <c r="G2503" s="9">
        <f>IF($F2503="","",IF($F2503&gt;0,ROUND($F2503,2),""))</f>
        <v/>
      </c>
      <c r="H2503" s="12">
        <f>IF(OR($B2503="",$C2503="",$G2503=""),"",COUNTIFS(Ventes_Encaissements!$E$6:$E$3005,$B2503,Ventes_Encaissements!$J$6:$J$3005,$G2503,Ventes_Encaissements!$C$6:$C$3005,"&gt;="&amp;($C2503-3),Ventes_Encaissements!$C$6:$C$3005,"&lt;="&amp;($C2503+3)))</f>
        <v/>
      </c>
      <c r="I2503" s="12">
        <f>IF($H2503="","",IF($H2503=0,"Non trouvé",IF($H2503=1,"Match","À vérifier")))</f>
        <v/>
      </c>
      <c r="J2503" s="21">
        <f>IF($I2503&lt;&gt;"Match","",INDEX(Ventes_Encaissements!$B$6:$B$3005,_xludf.AGGREGATE(15,6,(ROW(Ventes_Encaissements!$B$6:$B$3005)-ROW(Ventes_Encaissements!$B$6)+1)/((Ventes_Encaissements!$E$6:$E$3005=$B2503)*(Ventes_Encaissements!$J$6:$J$3005=$G2503)*(Ventes_Encaissements!$C$6:$C$3005&gt;=$C2503-3)*(Ventes_Encaissements!$C$6:$C$3005&lt;=$C2503+3)),1)))</f>
        <v/>
      </c>
      <c r="K2503" s="6" t="n"/>
    </row>
    <row r="2504">
      <c r="A2504" s="6" t="n"/>
      <c r="B2504" s="6" t="n"/>
      <c r="C2504" s="19" t="n"/>
      <c r="D2504" s="19" t="n"/>
      <c r="E2504" s="6" t="n"/>
      <c r="F2504" s="20" t="n"/>
      <c r="G2504" s="9">
        <f>IF($F2504="","",IF($F2504&gt;0,ROUND($F2504,2),""))</f>
        <v/>
      </c>
      <c r="H2504" s="12">
        <f>IF(OR($B2504="",$C2504="",$G2504=""),"",COUNTIFS(Ventes_Encaissements!$E$6:$E$3005,$B2504,Ventes_Encaissements!$J$6:$J$3005,$G2504,Ventes_Encaissements!$C$6:$C$3005,"&gt;="&amp;($C2504-3),Ventes_Encaissements!$C$6:$C$3005,"&lt;="&amp;($C2504+3)))</f>
        <v/>
      </c>
      <c r="I2504" s="12">
        <f>IF($H2504="","",IF($H2504=0,"Non trouvé",IF($H2504=1,"Match","À vérifier")))</f>
        <v/>
      </c>
      <c r="J2504" s="21">
        <f>IF($I2504&lt;&gt;"Match","",INDEX(Ventes_Encaissements!$B$6:$B$3005,_xludf.AGGREGATE(15,6,(ROW(Ventes_Encaissements!$B$6:$B$3005)-ROW(Ventes_Encaissements!$B$6)+1)/((Ventes_Encaissements!$E$6:$E$3005=$B2504)*(Ventes_Encaissements!$J$6:$J$3005=$G2504)*(Ventes_Encaissements!$C$6:$C$3005&gt;=$C2504-3)*(Ventes_Encaissements!$C$6:$C$3005&lt;=$C2504+3)),1)))</f>
        <v/>
      </c>
      <c r="K2504" s="6" t="n"/>
    </row>
    <row r="2505">
      <c r="A2505" s="6" t="n"/>
      <c r="B2505" s="6" t="n"/>
      <c r="C2505" s="19" t="n"/>
      <c r="D2505" s="19" t="n"/>
      <c r="E2505" s="6" t="n"/>
      <c r="F2505" s="20" t="n"/>
      <c r="G2505" s="9">
        <f>IF($F2505="","",IF($F2505&gt;0,ROUND($F2505,2),""))</f>
        <v/>
      </c>
      <c r="H2505" s="12">
        <f>IF(OR($B2505="",$C2505="",$G2505=""),"",COUNTIFS(Ventes_Encaissements!$E$6:$E$3005,$B2505,Ventes_Encaissements!$J$6:$J$3005,$G2505,Ventes_Encaissements!$C$6:$C$3005,"&gt;="&amp;($C2505-3),Ventes_Encaissements!$C$6:$C$3005,"&lt;="&amp;($C2505+3)))</f>
        <v/>
      </c>
      <c r="I2505" s="12">
        <f>IF($H2505="","",IF($H2505=0,"Non trouvé",IF($H2505=1,"Match","À vérifier")))</f>
        <v/>
      </c>
      <c r="J2505" s="21">
        <f>IF($I2505&lt;&gt;"Match","",INDEX(Ventes_Encaissements!$B$6:$B$3005,_xludf.AGGREGATE(15,6,(ROW(Ventes_Encaissements!$B$6:$B$3005)-ROW(Ventes_Encaissements!$B$6)+1)/((Ventes_Encaissements!$E$6:$E$3005=$B2505)*(Ventes_Encaissements!$J$6:$J$3005=$G2505)*(Ventes_Encaissements!$C$6:$C$3005&gt;=$C2505-3)*(Ventes_Encaissements!$C$6:$C$3005&lt;=$C2505+3)),1)))</f>
        <v/>
      </c>
      <c r="K2505" s="6" t="n"/>
    </row>
    <row r="2506">
      <c r="A2506" s="6" t="n"/>
      <c r="B2506" s="6" t="n"/>
      <c r="C2506" s="19" t="n"/>
      <c r="D2506" s="19" t="n"/>
      <c r="E2506" s="6" t="n"/>
      <c r="F2506" s="20" t="n"/>
      <c r="G2506" s="9">
        <f>IF($F2506="","",IF($F2506&gt;0,ROUND($F2506,2),""))</f>
        <v/>
      </c>
      <c r="H2506" s="12">
        <f>IF(OR($B2506="",$C2506="",$G2506=""),"",COUNTIFS(Ventes_Encaissements!$E$6:$E$3005,$B2506,Ventes_Encaissements!$J$6:$J$3005,$G2506,Ventes_Encaissements!$C$6:$C$3005,"&gt;="&amp;($C2506-3),Ventes_Encaissements!$C$6:$C$3005,"&lt;="&amp;($C2506+3)))</f>
        <v/>
      </c>
      <c r="I2506" s="12">
        <f>IF($H2506="","",IF($H2506=0,"Non trouvé",IF($H2506=1,"Match","À vérifier")))</f>
        <v/>
      </c>
      <c r="J2506" s="21">
        <f>IF($I2506&lt;&gt;"Match","",INDEX(Ventes_Encaissements!$B$6:$B$3005,_xludf.AGGREGATE(15,6,(ROW(Ventes_Encaissements!$B$6:$B$3005)-ROW(Ventes_Encaissements!$B$6)+1)/((Ventes_Encaissements!$E$6:$E$3005=$B2506)*(Ventes_Encaissements!$J$6:$J$3005=$G2506)*(Ventes_Encaissements!$C$6:$C$3005&gt;=$C2506-3)*(Ventes_Encaissements!$C$6:$C$3005&lt;=$C2506+3)),1)))</f>
        <v/>
      </c>
      <c r="K2506" s="6" t="n"/>
    </row>
    <row r="2507">
      <c r="A2507" s="6" t="n"/>
      <c r="B2507" s="6" t="n"/>
      <c r="C2507" s="19" t="n"/>
      <c r="D2507" s="19" t="n"/>
      <c r="E2507" s="6" t="n"/>
      <c r="F2507" s="20" t="n"/>
      <c r="G2507" s="9">
        <f>IF($F2507="","",IF($F2507&gt;0,ROUND($F2507,2),""))</f>
        <v/>
      </c>
      <c r="H2507" s="12">
        <f>IF(OR($B2507="",$C2507="",$G2507=""),"",COUNTIFS(Ventes_Encaissements!$E$6:$E$3005,$B2507,Ventes_Encaissements!$J$6:$J$3005,$G2507,Ventes_Encaissements!$C$6:$C$3005,"&gt;="&amp;($C2507-3),Ventes_Encaissements!$C$6:$C$3005,"&lt;="&amp;($C2507+3)))</f>
        <v/>
      </c>
      <c r="I2507" s="12">
        <f>IF($H2507="","",IF($H2507=0,"Non trouvé",IF($H2507=1,"Match","À vérifier")))</f>
        <v/>
      </c>
      <c r="J2507" s="21">
        <f>IF($I2507&lt;&gt;"Match","",INDEX(Ventes_Encaissements!$B$6:$B$3005,_xludf.AGGREGATE(15,6,(ROW(Ventes_Encaissements!$B$6:$B$3005)-ROW(Ventes_Encaissements!$B$6)+1)/((Ventes_Encaissements!$E$6:$E$3005=$B2507)*(Ventes_Encaissements!$J$6:$J$3005=$G2507)*(Ventes_Encaissements!$C$6:$C$3005&gt;=$C2507-3)*(Ventes_Encaissements!$C$6:$C$3005&lt;=$C2507+3)),1)))</f>
        <v/>
      </c>
      <c r="K2507" s="6" t="n"/>
    </row>
    <row r="2508">
      <c r="A2508" s="6" t="n"/>
      <c r="B2508" s="6" t="n"/>
      <c r="C2508" s="19" t="n"/>
      <c r="D2508" s="19" t="n"/>
      <c r="E2508" s="6" t="n"/>
      <c r="F2508" s="20" t="n"/>
      <c r="G2508" s="9">
        <f>IF($F2508="","",IF($F2508&gt;0,ROUND($F2508,2),""))</f>
        <v/>
      </c>
      <c r="H2508" s="12">
        <f>IF(OR($B2508="",$C2508="",$G2508=""),"",COUNTIFS(Ventes_Encaissements!$E$6:$E$3005,$B2508,Ventes_Encaissements!$J$6:$J$3005,$G2508,Ventes_Encaissements!$C$6:$C$3005,"&gt;="&amp;($C2508-3),Ventes_Encaissements!$C$6:$C$3005,"&lt;="&amp;($C2508+3)))</f>
        <v/>
      </c>
      <c r="I2508" s="12">
        <f>IF($H2508="","",IF($H2508=0,"Non trouvé",IF($H2508=1,"Match","À vérifier")))</f>
        <v/>
      </c>
      <c r="J2508" s="21">
        <f>IF($I2508&lt;&gt;"Match","",INDEX(Ventes_Encaissements!$B$6:$B$3005,_xludf.AGGREGATE(15,6,(ROW(Ventes_Encaissements!$B$6:$B$3005)-ROW(Ventes_Encaissements!$B$6)+1)/((Ventes_Encaissements!$E$6:$E$3005=$B2508)*(Ventes_Encaissements!$J$6:$J$3005=$G2508)*(Ventes_Encaissements!$C$6:$C$3005&gt;=$C2508-3)*(Ventes_Encaissements!$C$6:$C$3005&lt;=$C2508+3)),1)))</f>
        <v/>
      </c>
      <c r="K2508" s="6" t="n"/>
    </row>
    <row r="2509">
      <c r="A2509" s="6" t="n"/>
      <c r="B2509" s="6" t="n"/>
      <c r="C2509" s="19" t="n"/>
      <c r="D2509" s="19" t="n"/>
      <c r="E2509" s="6" t="n"/>
      <c r="F2509" s="20" t="n"/>
      <c r="G2509" s="9">
        <f>IF($F2509="","",IF($F2509&gt;0,ROUND($F2509,2),""))</f>
        <v/>
      </c>
      <c r="H2509" s="12">
        <f>IF(OR($B2509="",$C2509="",$G2509=""),"",COUNTIFS(Ventes_Encaissements!$E$6:$E$3005,$B2509,Ventes_Encaissements!$J$6:$J$3005,$G2509,Ventes_Encaissements!$C$6:$C$3005,"&gt;="&amp;($C2509-3),Ventes_Encaissements!$C$6:$C$3005,"&lt;="&amp;($C2509+3)))</f>
        <v/>
      </c>
      <c r="I2509" s="12">
        <f>IF($H2509="","",IF($H2509=0,"Non trouvé",IF($H2509=1,"Match","À vérifier")))</f>
        <v/>
      </c>
      <c r="J2509" s="21">
        <f>IF($I2509&lt;&gt;"Match","",INDEX(Ventes_Encaissements!$B$6:$B$3005,_xludf.AGGREGATE(15,6,(ROW(Ventes_Encaissements!$B$6:$B$3005)-ROW(Ventes_Encaissements!$B$6)+1)/((Ventes_Encaissements!$E$6:$E$3005=$B2509)*(Ventes_Encaissements!$J$6:$J$3005=$G2509)*(Ventes_Encaissements!$C$6:$C$3005&gt;=$C2509-3)*(Ventes_Encaissements!$C$6:$C$3005&lt;=$C2509+3)),1)))</f>
        <v/>
      </c>
      <c r="K2509" s="6" t="n"/>
    </row>
    <row r="2510">
      <c r="A2510" s="6" t="n"/>
      <c r="B2510" s="6" t="n"/>
      <c r="C2510" s="19" t="n"/>
      <c r="D2510" s="19" t="n"/>
      <c r="E2510" s="6" t="n"/>
      <c r="F2510" s="20" t="n"/>
      <c r="G2510" s="9">
        <f>IF($F2510="","",IF($F2510&gt;0,ROUND($F2510,2),""))</f>
        <v/>
      </c>
      <c r="H2510" s="12">
        <f>IF(OR($B2510="",$C2510="",$G2510=""),"",COUNTIFS(Ventes_Encaissements!$E$6:$E$3005,$B2510,Ventes_Encaissements!$J$6:$J$3005,$G2510,Ventes_Encaissements!$C$6:$C$3005,"&gt;="&amp;($C2510-3),Ventes_Encaissements!$C$6:$C$3005,"&lt;="&amp;($C2510+3)))</f>
        <v/>
      </c>
      <c r="I2510" s="12">
        <f>IF($H2510="","",IF($H2510=0,"Non trouvé",IF($H2510=1,"Match","À vérifier")))</f>
        <v/>
      </c>
      <c r="J2510" s="21">
        <f>IF($I2510&lt;&gt;"Match","",INDEX(Ventes_Encaissements!$B$6:$B$3005,_xludf.AGGREGATE(15,6,(ROW(Ventes_Encaissements!$B$6:$B$3005)-ROW(Ventes_Encaissements!$B$6)+1)/((Ventes_Encaissements!$E$6:$E$3005=$B2510)*(Ventes_Encaissements!$J$6:$J$3005=$G2510)*(Ventes_Encaissements!$C$6:$C$3005&gt;=$C2510-3)*(Ventes_Encaissements!$C$6:$C$3005&lt;=$C2510+3)),1)))</f>
        <v/>
      </c>
      <c r="K2510" s="6" t="n"/>
    </row>
    <row r="2511">
      <c r="A2511" s="6" t="n"/>
      <c r="B2511" s="6" t="n"/>
      <c r="C2511" s="19" t="n"/>
      <c r="D2511" s="19" t="n"/>
      <c r="E2511" s="6" t="n"/>
      <c r="F2511" s="20" t="n"/>
      <c r="G2511" s="9">
        <f>IF($F2511="","",IF($F2511&gt;0,ROUND($F2511,2),""))</f>
        <v/>
      </c>
      <c r="H2511" s="12">
        <f>IF(OR($B2511="",$C2511="",$G2511=""),"",COUNTIFS(Ventes_Encaissements!$E$6:$E$3005,$B2511,Ventes_Encaissements!$J$6:$J$3005,$G2511,Ventes_Encaissements!$C$6:$C$3005,"&gt;="&amp;($C2511-3),Ventes_Encaissements!$C$6:$C$3005,"&lt;="&amp;($C2511+3)))</f>
        <v/>
      </c>
      <c r="I2511" s="12">
        <f>IF($H2511="","",IF($H2511=0,"Non trouvé",IF($H2511=1,"Match","À vérifier")))</f>
        <v/>
      </c>
      <c r="J2511" s="21">
        <f>IF($I2511&lt;&gt;"Match","",INDEX(Ventes_Encaissements!$B$6:$B$3005,_xludf.AGGREGATE(15,6,(ROW(Ventes_Encaissements!$B$6:$B$3005)-ROW(Ventes_Encaissements!$B$6)+1)/((Ventes_Encaissements!$E$6:$E$3005=$B2511)*(Ventes_Encaissements!$J$6:$J$3005=$G2511)*(Ventes_Encaissements!$C$6:$C$3005&gt;=$C2511-3)*(Ventes_Encaissements!$C$6:$C$3005&lt;=$C2511+3)),1)))</f>
        <v/>
      </c>
      <c r="K2511" s="6" t="n"/>
    </row>
    <row r="2512">
      <c r="A2512" s="6" t="n"/>
      <c r="B2512" s="6" t="n"/>
      <c r="C2512" s="19" t="n"/>
      <c r="D2512" s="19" t="n"/>
      <c r="E2512" s="6" t="n"/>
      <c r="F2512" s="20" t="n"/>
      <c r="G2512" s="9">
        <f>IF($F2512="","",IF($F2512&gt;0,ROUND($F2512,2),""))</f>
        <v/>
      </c>
      <c r="H2512" s="12">
        <f>IF(OR($B2512="",$C2512="",$G2512=""),"",COUNTIFS(Ventes_Encaissements!$E$6:$E$3005,$B2512,Ventes_Encaissements!$J$6:$J$3005,$G2512,Ventes_Encaissements!$C$6:$C$3005,"&gt;="&amp;($C2512-3),Ventes_Encaissements!$C$6:$C$3005,"&lt;="&amp;($C2512+3)))</f>
        <v/>
      </c>
      <c r="I2512" s="12">
        <f>IF($H2512="","",IF($H2512=0,"Non trouvé",IF($H2512=1,"Match","À vérifier")))</f>
        <v/>
      </c>
      <c r="J2512" s="21">
        <f>IF($I2512&lt;&gt;"Match","",INDEX(Ventes_Encaissements!$B$6:$B$3005,_xludf.AGGREGATE(15,6,(ROW(Ventes_Encaissements!$B$6:$B$3005)-ROW(Ventes_Encaissements!$B$6)+1)/((Ventes_Encaissements!$E$6:$E$3005=$B2512)*(Ventes_Encaissements!$J$6:$J$3005=$G2512)*(Ventes_Encaissements!$C$6:$C$3005&gt;=$C2512-3)*(Ventes_Encaissements!$C$6:$C$3005&lt;=$C2512+3)),1)))</f>
        <v/>
      </c>
      <c r="K2512" s="6" t="n"/>
    </row>
    <row r="2513">
      <c r="A2513" s="6" t="n"/>
      <c r="B2513" s="6" t="n"/>
      <c r="C2513" s="19" t="n"/>
      <c r="D2513" s="19" t="n"/>
      <c r="E2513" s="6" t="n"/>
      <c r="F2513" s="20" t="n"/>
      <c r="G2513" s="9">
        <f>IF($F2513="","",IF($F2513&gt;0,ROUND($F2513,2),""))</f>
        <v/>
      </c>
      <c r="H2513" s="12">
        <f>IF(OR($B2513="",$C2513="",$G2513=""),"",COUNTIFS(Ventes_Encaissements!$E$6:$E$3005,$B2513,Ventes_Encaissements!$J$6:$J$3005,$G2513,Ventes_Encaissements!$C$6:$C$3005,"&gt;="&amp;($C2513-3),Ventes_Encaissements!$C$6:$C$3005,"&lt;="&amp;($C2513+3)))</f>
        <v/>
      </c>
      <c r="I2513" s="12">
        <f>IF($H2513="","",IF($H2513=0,"Non trouvé",IF($H2513=1,"Match","À vérifier")))</f>
        <v/>
      </c>
      <c r="J2513" s="21">
        <f>IF($I2513&lt;&gt;"Match","",INDEX(Ventes_Encaissements!$B$6:$B$3005,_xludf.AGGREGATE(15,6,(ROW(Ventes_Encaissements!$B$6:$B$3005)-ROW(Ventes_Encaissements!$B$6)+1)/((Ventes_Encaissements!$E$6:$E$3005=$B2513)*(Ventes_Encaissements!$J$6:$J$3005=$G2513)*(Ventes_Encaissements!$C$6:$C$3005&gt;=$C2513-3)*(Ventes_Encaissements!$C$6:$C$3005&lt;=$C2513+3)),1)))</f>
        <v/>
      </c>
      <c r="K2513" s="6" t="n"/>
    </row>
    <row r="2514">
      <c r="A2514" s="6" t="n"/>
      <c r="B2514" s="6" t="n"/>
      <c r="C2514" s="19" t="n"/>
      <c r="D2514" s="19" t="n"/>
      <c r="E2514" s="6" t="n"/>
      <c r="F2514" s="20" t="n"/>
      <c r="G2514" s="9">
        <f>IF($F2514="","",IF($F2514&gt;0,ROUND($F2514,2),""))</f>
        <v/>
      </c>
      <c r="H2514" s="12">
        <f>IF(OR($B2514="",$C2514="",$G2514=""),"",COUNTIFS(Ventes_Encaissements!$E$6:$E$3005,$B2514,Ventes_Encaissements!$J$6:$J$3005,$G2514,Ventes_Encaissements!$C$6:$C$3005,"&gt;="&amp;($C2514-3),Ventes_Encaissements!$C$6:$C$3005,"&lt;="&amp;($C2514+3)))</f>
        <v/>
      </c>
      <c r="I2514" s="12">
        <f>IF($H2514="","",IF($H2514=0,"Non trouvé",IF($H2514=1,"Match","À vérifier")))</f>
        <v/>
      </c>
      <c r="J2514" s="21">
        <f>IF($I2514&lt;&gt;"Match","",INDEX(Ventes_Encaissements!$B$6:$B$3005,_xludf.AGGREGATE(15,6,(ROW(Ventes_Encaissements!$B$6:$B$3005)-ROW(Ventes_Encaissements!$B$6)+1)/((Ventes_Encaissements!$E$6:$E$3005=$B2514)*(Ventes_Encaissements!$J$6:$J$3005=$G2514)*(Ventes_Encaissements!$C$6:$C$3005&gt;=$C2514-3)*(Ventes_Encaissements!$C$6:$C$3005&lt;=$C2514+3)),1)))</f>
        <v/>
      </c>
      <c r="K2514" s="6" t="n"/>
    </row>
    <row r="2515">
      <c r="A2515" s="6" t="n"/>
      <c r="B2515" s="6" t="n"/>
      <c r="C2515" s="19" t="n"/>
      <c r="D2515" s="19" t="n"/>
      <c r="E2515" s="6" t="n"/>
      <c r="F2515" s="20" t="n"/>
      <c r="G2515" s="9">
        <f>IF($F2515="","",IF($F2515&gt;0,ROUND($F2515,2),""))</f>
        <v/>
      </c>
      <c r="H2515" s="12">
        <f>IF(OR($B2515="",$C2515="",$G2515=""),"",COUNTIFS(Ventes_Encaissements!$E$6:$E$3005,$B2515,Ventes_Encaissements!$J$6:$J$3005,$G2515,Ventes_Encaissements!$C$6:$C$3005,"&gt;="&amp;($C2515-3),Ventes_Encaissements!$C$6:$C$3005,"&lt;="&amp;($C2515+3)))</f>
        <v/>
      </c>
      <c r="I2515" s="12">
        <f>IF($H2515="","",IF($H2515=0,"Non trouvé",IF($H2515=1,"Match","À vérifier")))</f>
        <v/>
      </c>
      <c r="J2515" s="21">
        <f>IF($I2515&lt;&gt;"Match","",INDEX(Ventes_Encaissements!$B$6:$B$3005,_xludf.AGGREGATE(15,6,(ROW(Ventes_Encaissements!$B$6:$B$3005)-ROW(Ventes_Encaissements!$B$6)+1)/((Ventes_Encaissements!$E$6:$E$3005=$B2515)*(Ventes_Encaissements!$J$6:$J$3005=$G2515)*(Ventes_Encaissements!$C$6:$C$3005&gt;=$C2515-3)*(Ventes_Encaissements!$C$6:$C$3005&lt;=$C2515+3)),1)))</f>
        <v/>
      </c>
      <c r="K2515" s="6" t="n"/>
    </row>
    <row r="2516">
      <c r="A2516" s="6" t="n"/>
      <c r="B2516" s="6" t="n"/>
      <c r="C2516" s="19" t="n"/>
      <c r="D2516" s="19" t="n"/>
      <c r="E2516" s="6" t="n"/>
      <c r="F2516" s="20" t="n"/>
      <c r="G2516" s="9">
        <f>IF($F2516="","",IF($F2516&gt;0,ROUND($F2516,2),""))</f>
        <v/>
      </c>
      <c r="H2516" s="12">
        <f>IF(OR($B2516="",$C2516="",$G2516=""),"",COUNTIFS(Ventes_Encaissements!$E$6:$E$3005,$B2516,Ventes_Encaissements!$J$6:$J$3005,$G2516,Ventes_Encaissements!$C$6:$C$3005,"&gt;="&amp;($C2516-3),Ventes_Encaissements!$C$6:$C$3005,"&lt;="&amp;($C2516+3)))</f>
        <v/>
      </c>
      <c r="I2516" s="12">
        <f>IF($H2516="","",IF($H2516=0,"Non trouvé",IF($H2516=1,"Match","À vérifier")))</f>
        <v/>
      </c>
      <c r="J2516" s="21">
        <f>IF($I2516&lt;&gt;"Match","",INDEX(Ventes_Encaissements!$B$6:$B$3005,_xludf.AGGREGATE(15,6,(ROW(Ventes_Encaissements!$B$6:$B$3005)-ROW(Ventes_Encaissements!$B$6)+1)/((Ventes_Encaissements!$E$6:$E$3005=$B2516)*(Ventes_Encaissements!$J$6:$J$3005=$G2516)*(Ventes_Encaissements!$C$6:$C$3005&gt;=$C2516-3)*(Ventes_Encaissements!$C$6:$C$3005&lt;=$C2516+3)),1)))</f>
        <v/>
      </c>
      <c r="K2516" s="6" t="n"/>
    </row>
    <row r="2517">
      <c r="A2517" s="6" t="n"/>
      <c r="B2517" s="6" t="n"/>
      <c r="C2517" s="19" t="n"/>
      <c r="D2517" s="19" t="n"/>
      <c r="E2517" s="6" t="n"/>
      <c r="F2517" s="20" t="n"/>
      <c r="G2517" s="9">
        <f>IF($F2517="","",IF($F2517&gt;0,ROUND($F2517,2),""))</f>
        <v/>
      </c>
      <c r="H2517" s="12">
        <f>IF(OR($B2517="",$C2517="",$G2517=""),"",COUNTIFS(Ventes_Encaissements!$E$6:$E$3005,$B2517,Ventes_Encaissements!$J$6:$J$3005,$G2517,Ventes_Encaissements!$C$6:$C$3005,"&gt;="&amp;($C2517-3),Ventes_Encaissements!$C$6:$C$3005,"&lt;="&amp;($C2517+3)))</f>
        <v/>
      </c>
      <c r="I2517" s="12">
        <f>IF($H2517="","",IF($H2517=0,"Non trouvé",IF($H2517=1,"Match","À vérifier")))</f>
        <v/>
      </c>
      <c r="J2517" s="21">
        <f>IF($I2517&lt;&gt;"Match","",INDEX(Ventes_Encaissements!$B$6:$B$3005,_xludf.AGGREGATE(15,6,(ROW(Ventes_Encaissements!$B$6:$B$3005)-ROW(Ventes_Encaissements!$B$6)+1)/((Ventes_Encaissements!$E$6:$E$3005=$B2517)*(Ventes_Encaissements!$J$6:$J$3005=$G2517)*(Ventes_Encaissements!$C$6:$C$3005&gt;=$C2517-3)*(Ventes_Encaissements!$C$6:$C$3005&lt;=$C2517+3)),1)))</f>
        <v/>
      </c>
      <c r="K2517" s="6" t="n"/>
    </row>
    <row r="2518">
      <c r="A2518" s="6" t="n"/>
      <c r="B2518" s="6" t="n"/>
      <c r="C2518" s="19" t="n"/>
      <c r="D2518" s="19" t="n"/>
      <c r="E2518" s="6" t="n"/>
      <c r="F2518" s="20" t="n"/>
      <c r="G2518" s="9">
        <f>IF($F2518="","",IF($F2518&gt;0,ROUND($F2518,2),""))</f>
        <v/>
      </c>
      <c r="H2518" s="12">
        <f>IF(OR($B2518="",$C2518="",$G2518=""),"",COUNTIFS(Ventes_Encaissements!$E$6:$E$3005,$B2518,Ventes_Encaissements!$J$6:$J$3005,$G2518,Ventes_Encaissements!$C$6:$C$3005,"&gt;="&amp;($C2518-3),Ventes_Encaissements!$C$6:$C$3005,"&lt;="&amp;($C2518+3)))</f>
        <v/>
      </c>
      <c r="I2518" s="12">
        <f>IF($H2518="","",IF($H2518=0,"Non trouvé",IF($H2518=1,"Match","À vérifier")))</f>
        <v/>
      </c>
      <c r="J2518" s="21">
        <f>IF($I2518&lt;&gt;"Match","",INDEX(Ventes_Encaissements!$B$6:$B$3005,_xludf.AGGREGATE(15,6,(ROW(Ventes_Encaissements!$B$6:$B$3005)-ROW(Ventes_Encaissements!$B$6)+1)/((Ventes_Encaissements!$E$6:$E$3005=$B2518)*(Ventes_Encaissements!$J$6:$J$3005=$G2518)*(Ventes_Encaissements!$C$6:$C$3005&gt;=$C2518-3)*(Ventes_Encaissements!$C$6:$C$3005&lt;=$C2518+3)),1)))</f>
        <v/>
      </c>
      <c r="K2518" s="6" t="n"/>
    </row>
    <row r="2519">
      <c r="A2519" s="6" t="n"/>
      <c r="B2519" s="6" t="n"/>
      <c r="C2519" s="19" t="n"/>
      <c r="D2519" s="19" t="n"/>
      <c r="E2519" s="6" t="n"/>
      <c r="F2519" s="20" t="n"/>
      <c r="G2519" s="9">
        <f>IF($F2519="","",IF($F2519&gt;0,ROUND($F2519,2),""))</f>
        <v/>
      </c>
      <c r="H2519" s="12">
        <f>IF(OR($B2519="",$C2519="",$G2519=""),"",COUNTIFS(Ventes_Encaissements!$E$6:$E$3005,$B2519,Ventes_Encaissements!$J$6:$J$3005,$G2519,Ventes_Encaissements!$C$6:$C$3005,"&gt;="&amp;($C2519-3),Ventes_Encaissements!$C$6:$C$3005,"&lt;="&amp;($C2519+3)))</f>
        <v/>
      </c>
      <c r="I2519" s="12">
        <f>IF($H2519="","",IF($H2519=0,"Non trouvé",IF($H2519=1,"Match","À vérifier")))</f>
        <v/>
      </c>
      <c r="J2519" s="21">
        <f>IF($I2519&lt;&gt;"Match","",INDEX(Ventes_Encaissements!$B$6:$B$3005,_xludf.AGGREGATE(15,6,(ROW(Ventes_Encaissements!$B$6:$B$3005)-ROW(Ventes_Encaissements!$B$6)+1)/((Ventes_Encaissements!$E$6:$E$3005=$B2519)*(Ventes_Encaissements!$J$6:$J$3005=$G2519)*(Ventes_Encaissements!$C$6:$C$3005&gt;=$C2519-3)*(Ventes_Encaissements!$C$6:$C$3005&lt;=$C2519+3)),1)))</f>
        <v/>
      </c>
      <c r="K2519" s="6" t="n"/>
    </row>
    <row r="2520">
      <c r="A2520" s="6" t="n"/>
      <c r="B2520" s="6" t="n"/>
      <c r="C2520" s="19" t="n"/>
      <c r="D2520" s="19" t="n"/>
      <c r="E2520" s="6" t="n"/>
      <c r="F2520" s="20" t="n"/>
      <c r="G2520" s="9">
        <f>IF($F2520="","",IF($F2520&gt;0,ROUND($F2520,2),""))</f>
        <v/>
      </c>
      <c r="H2520" s="12">
        <f>IF(OR($B2520="",$C2520="",$G2520=""),"",COUNTIFS(Ventes_Encaissements!$E$6:$E$3005,$B2520,Ventes_Encaissements!$J$6:$J$3005,$G2520,Ventes_Encaissements!$C$6:$C$3005,"&gt;="&amp;($C2520-3),Ventes_Encaissements!$C$6:$C$3005,"&lt;="&amp;($C2520+3)))</f>
        <v/>
      </c>
      <c r="I2520" s="12">
        <f>IF($H2520="","",IF($H2520=0,"Non trouvé",IF($H2520=1,"Match","À vérifier")))</f>
        <v/>
      </c>
      <c r="J2520" s="21">
        <f>IF($I2520&lt;&gt;"Match","",INDEX(Ventes_Encaissements!$B$6:$B$3005,_xludf.AGGREGATE(15,6,(ROW(Ventes_Encaissements!$B$6:$B$3005)-ROW(Ventes_Encaissements!$B$6)+1)/((Ventes_Encaissements!$E$6:$E$3005=$B2520)*(Ventes_Encaissements!$J$6:$J$3005=$G2520)*(Ventes_Encaissements!$C$6:$C$3005&gt;=$C2520-3)*(Ventes_Encaissements!$C$6:$C$3005&lt;=$C2520+3)),1)))</f>
        <v/>
      </c>
      <c r="K2520" s="6" t="n"/>
    </row>
    <row r="2521">
      <c r="A2521" s="6" t="n"/>
      <c r="B2521" s="6" t="n"/>
      <c r="C2521" s="19" t="n"/>
      <c r="D2521" s="19" t="n"/>
      <c r="E2521" s="6" t="n"/>
      <c r="F2521" s="20" t="n"/>
      <c r="G2521" s="9">
        <f>IF($F2521="","",IF($F2521&gt;0,ROUND($F2521,2),""))</f>
        <v/>
      </c>
      <c r="H2521" s="12">
        <f>IF(OR($B2521="",$C2521="",$G2521=""),"",COUNTIFS(Ventes_Encaissements!$E$6:$E$3005,$B2521,Ventes_Encaissements!$J$6:$J$3005,$G2521,Ventes_Encaissements!$C$6:$C$3005,"&gt;="&amp;($C2521-3),Ventes_Encaissements!$C$6:$C$3005,"&lt;="&amp;($C2521+3)))</f>
        <v/>
      </c>
      <c r="I2521" s="12">
        <f>IF($H2521="","",IF($H2521=0,"Non trouvé",IF($H2521=1,"Match","À vérifier")))</f>
        <v/>
      </c>
      <c r="J2521" s="21">
        <f>IF($I2521&lt;&gt;"Match","",INDEX(Ventes_Encaissements!$B$6:$B$3005,_xludf.AGGREGATE(15,6,(ROW(Ventes_Encaissements!$B$6:$B$3005)-ROW(Ventes_Encaissements!$B$6)+1)/((Ventes_Encaissements!$E$6:$E$3005=$B2521)*(Ventes_Encaissements!$J$6:$J$3005=$G2521)*(Ventes_Encaissements!$C$6:$C$3005&gt;=$C2521-3)*(Ventes_Encaissements!$C$6:$C$3005&lt;=$C2521+3)),1)))</f>
        <v/>
      </c>
      <c r="K2521" s="6" t="n"/>
    </row>
    <row r="2522">
      <c r="A2522" s="6" t="n"/>
      <c r="B2522" s="6" t="n"/>
      <c r="C2522" s="19" t="n"/>
      <c r="D2522" s="19" t="n"/>
      <c r="E2522" s="6" t="n"/>
      <c r="F2522" s="20" t="n"/>
      <c r="G2522" s="9">
        <f>IF($F2522="","",IF($F2522&gt;0,ROUND($F2522,2),""))</f>
        <v/>
      </c>
      <c r="H2522" s="12">
        <f>IF(OR($B2522="",$C2522="",$G2522=""),"",COUNTIFS(Ventes_Encaissements!$E$6:$E$3005,$B2522,Ventes_Encaissements!$J$6:$J$3005,$G2522,Ventes_Encaissements!$C$6:$C$3005,"&gt;="&amp;($C2522-3),Ventes_Encaissements!$C$6:$C$3005,"&lt;="&amp;($C2522+3)))</f>
        <v/>
      </c>
      <c r="I2522" s="12">
        <f>IF($H2522="","",IF($H2522=0,"Non trouvé",IF($H2522=1,"Match","À vérifier")))</f>
        <v/>
      </c>
      <c r="J2522" s="21">
        <f>IF($I2522&lt;&gt;"Match","",INDEX(Ventes_Encaissements!$B$6:$B$3005,_xludf.AGGREGATE(15,6,(ROW(Ventes_Encaissements!$B$6:$B$3005)-ROW(Ventes_Encaissements!$B$6)+1)/((Ventes_Encaissements!$E$6:$E$3005=$B2522)*(Ventes_Encaissements!$J$6:$J$3005=$G2522)*(Ventes_Encaissements!$C$6:$C$3005&gt;=$C2522-3)*(Ventes_Encaissements!$C$6:$C$3005&lt;=$C2522+3)),1)))</f>
        <v/>
      </c>
      <c r="K2522" s="6" t="n"/>
    </row>
    <row r="2523">
      <c r="A2523" s="6" t="n"/>
      <c r="B2523" s="6" t="n"/>
      <c r="C2523" s="19" t="n"/>
      <c r="D2523" s="19" t="n"/>
      <c r="E2523" s="6" t="n"/>
      <c r="F2523" s="20" t="n"/>
      <c r="G2523" s="9">
        <f>IF($F2523="","",IF($F2523&gt;0,ROUND($F2523,2),""))</f>
        <v/>
      </c>
      <c r="H2523" s="12">
        <f>IF(OR($B2523="",$C2523="",$G2523=""),"",COUNTIFS(Ventes_Encaissements!$E$6:$E$3005,$B2523,Ventes_Encaissements!$J$6:$J$3005,$G2523,Ventes_Encaissements!$C$6:$C$3005,"&gt;="&amp;($C2523-3),Ventes_Encaissements!$C$6:$C$3005,"&lt;="&amp;($C2523+3)))</f>
        <v/>
      </c>
      <c r="I2523" s="12">
        <f>IF($H2523="","",IF($H2523=0,"Non trouvé",IF($H2523=1,"Match","À vérifier")))</f>
        <v/>
      </c>
      <c r="J2523" s="21">
        <f>IF($I2523&lt;&gt;"Match","",INDEX(Ventes_Encaissements!$B$6:$B$3005,_xludf.AGGREGATE(15,6,(ROW(Ventes_Encaissements!$B$6:$B$3005)-ROW(Ventes_Encaissements!$B$6)+1)/((Ventes_Encaissements!$E$6:$E$3005=$B2523)*(Ventes_Encaissements!$J$6:$J$3005=$G2523)*(Ventes_Encaissements!$C$6:$C$3005&gt;=$C2523-3)*(Ventes_Encaissements!$C$6:$C$3005&lt;=$C2523+3)),1)))</f>
        <v/>
      </c>
      <c r="K2523" s="6" t="n"/>
    </row>
    <row r="2524">
      <c r="A2524" s="6" t="n"/>
      <c r="B2524" s="6" t="n"/>
      <c r="C2524" s="19" t="n"/>
      <c r="D2524" s="19" t="n"/>
      <c r="E2524" s="6" t="n"/>
      <c r="F2524" s="20" t="n"/>
      <c r="G2524" s="9">
        <f>IF($F2524="","",IF($F2524&gt;0,ROUND($F2524,2),""))</f>
        <v/>
      </c>
      <c r="H2524" s="12">
        <f>IF(OR($B2524="",$C2524="",$G2524=""),"",COUNTIFS(Ventes_Encaissements!$E$6:$E$3005,$B2524,Ventes_Encaissements!$J$6:$J$3005,$G2524,Ventes_Encaissements!$C$6:$C$3005,"&gt;="&amp;($C2524-3),Ventes_Encaissements!$C$6:$C$3005,"&lt;="&amp;($C2524+3)))</f>
        <v/>
      </c>
      <c r="I2524" s="12">
        <f>IF($H2524="","",IF($H2524=0,"Non trouvé",IF($H2524=1,"Match","À vérifier")))</f>
        <v/>
      </c>
      <c r="J2524" s="21">
        <f>IF($I2524&lt;&gt;"Match","",INDEX(Ventes_Encaissements!$B$6:$B$3005,_xludf.AGGREGATE(15,6,(ROW(Ventes_Encaissements!$B$6:$B$3005)-ROW(Ventes_Encaissements!$B$6)+1)/((Ventes_Encaissements!$E$6:$E$3005=$B2524)*(Ventes_Encaissements!$J$6:$J$3005=$G2524)*(Ventes_Encaissements!$C$6:$C$3005&gt;=$C2524-3)*(Ventes_Encaissements!$C$6:$C$3005&lt;=$C2524+3)),1)))</f>
        <v/>
      </c>
      <c r="K2524" s="6" t="n"/>
    </row>
    <row r="2525">
      <c r="A2525" s="6" t="n"/>
      <c r="B2525" s="6" t="n"/>
      <c r="C2525" s="19" t="n"/>
      <c r="D2525" s="19" t="n"/>
      <c r="E2525" s="6" t="n"/>
      <c r="F2525" s="20" t="n"/>
      <c r="G2525" s="9">
        <f>IF($F2525="","",IF($F2525&gt;0,ROUND($F2525,2),""))</f>
        <v/>
      </c>
      <c r="H2525" s="12">
        <f>IF(OR($B2525="",$C2525="",$G2525=""),"",COUNTIFS(Ventes_Encaissements!$E$6:$E$3005,$B2525,Ventes_Encaissements!$J$6:$J$3005,$G2525,Ventes_Encaissements!$C$6:$C$3005,"&gt;="&amp;($C2525-3),Ventes_Encaissements!$C$6:$C$3005,"&lt;="&amp;($C2525+3)))</f>
        <v/>
      </c>
      <c r="I2525" s="12">
        <f>IF($H2525="","",IF($H2525=0,"Non trouvé",IF($H2525=1,"Match","À vérifier")))</f>
        <v/>
      </c>
      <c r="J2525" s="21">
        <f>IF($I2525&lt;&gt;"Match","",INDEX(Ventes_Encaissements!$B$6:$B$3005,_xludf.AGGREGATE(15,6,(ROW(Ventes_Encaissements!$B$6:$B$3005)-ROW(Ventes_Encaissements!$B$6)+1)/((Ventes_Encaissements!$E$6:$E$3005=$B2525)*(Ventes_Encaissements!$J$6:$J$3005=$G2525)*(Ventes_Encaissements!$C$6:$C$3005&gt;=$C2525-3)*(Ventes_Encaissements!$C$6:$C$3005&lt;=$C2525+3)),1)))</f>
        <v/>
      </c>
      <c r="K2525" s="6" t="n"/>
    </row>
    <row r="2526">
      <c r="A2526" s="6" t="n"/>
      <c r="B2526" s="6" t="n"/>
      <c r="C2526" s="19" t="n"/>
      <c r="D2526" s="19" t="n"/>
      <c r="E2526" s="6" t="n"/>
      <c r="F2526" s="20" t="n"/>
      <c r="G2526" s="9">
        <f>IF($F2526="","",IF($F2526&gt;0,ROUND($F2526,2),""))</f>
        <v/>
      </c>
      <c r="H2526" s="12">
        <f>IF(OR($B2526="",$C2526="",$G2526=""),"",COUNTIFS(Ventes_Encaissements!$E$6:$E$3005,$B2526,Ventes_Encaissements!$J$6:$J$3005,$G2526,Ventes_Encaissements!$C$6:$C$3005,"&gt;="&amp;($C2526-3),Ventes_Encaissements!$C$6:$C$3005,"&lt;="&amp;($C2526+3)))</f>
        <v/>
      </c>
      <c r="I2526" s="12">
        <f>IF($H2526="","",IF($H2526=0,"Non trouvé",IF($H2526=1,"Match","À vérifier")))</f>
        <v/>
      </c>
      <c r="J2526" s="21">
        <f>IF($I2526&lt;&gt;"Match","",INDEX(Ventes_Encaissements!$B$6:$B$3005,_xludf.AGGREGATE(15,6,(ROW(Ventes_Encaissements!$B$6:$B$3005)-ROW(Ventes_Encaissements!$B$6)+1)/((Ventes_Encaissements!$E$6:$E$3005=$B2526)*(Ventes_Encaissements!$J$6:$J$3005=$G2526)*(Ventes_Encaissements!$C$6:$C$3005&gt;=$C2526-3)*(Ventes_Encaissements!$C$6:$C$3005&lt;=$C2526+3)),1)))</f>
        <v/>
      </c>
      <c r="K2526" s="6" t="n"/>
    </row>
    <row r="2527">
      <c r="A2527" s="6" t="n"/>
      <c r="B2527" s="6" t="n"/>
      <c r="C2527" s="19" t="n"/>
      <c r="D2527" s="19" t="n"/>
      <c r="E2527" s="6" t="n"/>
      <c r="F2527" s="20" t="n"/>
      <c r="G2527" s="9">
        <f>IF($F2527="","",IF($F2527&gt;0,ROUND($F2527,2),""))</f>
        <v/>
      </c>
      <c r="H2527" s="12">
        <f>IF(OR($B2527="",$C2527="",$G2527=""),"",COUNTIFS(Ventes_Encaissements!$E$6:$E$3005,$B2527,Ventes_Encaissements!$J$6:$J$3005,$G2527,Ventes_Encaissements!$C$6:$C$3005,"&gt;="&amp;($C2527-3),Ventes_Encaissements!$C$6:$C$3005,"&lt;="&amp;($C2527+3)))</f>
        <v/>
      </c>
      <c r="I2527" s="12">
        <f>IF($H2527="","",IF($H2527=0,"Non trouvé",IF($H2527=1,"Match","À vérifier")))</f>
        <v/>
      </c>
      <c r="J2527" s="21">
        <f>IF($I2527&lt;&gt;"Match","",INDEX(Ventes_Encaissements!$B$6:$B$3005,_xludf.AGGREGATE(15,6,(ROW(Ventes_Encaissements!$B$6:$B$3005)-ROW(Ventes_Encaissements!$B$6)+1)/((Ventes_Encaissements!$E$6:$E$3005=$B2527)*(Ventes_Encaissements!$J$6:$J$3005=$G2527)*(Ventes_Encaissements!$C$6:$C$3005&gt;=$C2527-3)*(Ventes_Encaissements!$C$6:$C$3005&lt;=$C2527+3)),1)))</f>
        <v/>
      </c>
      <c r="K2527" s="6" t="n"/>
    </row>
    <row r="2528">
      <c r="A2528" s="6" t="n"/>
      <c r="B2528" s="6" t="n"/>
      <c r="C2528" s="19" t="n"/>
      <c r="D2528" s="19" t="n"/>
      <c r="E2528" s="6" t="n"/>
      <c r="F2528" s="20" t="n"/>
      <c r="G2528" s="9">
        <f>IF($F2528="","",IF($F2528&gt;0,ROUND($F2528,2),""))</f>
        <v/>
      </c>
      <c r="H2528" s="12">
        <f>IF(OR($B2528="",$C2528="",$G2528=""),"",COUNTIFS(Ventes_Encaissements!$E$6:$E$3005,$B2528,Ventes_Encaissements!$J$6:$J$3005,$G2528,Ventes_Encaissements!$C$6:$C$3005,"&gt;="&amp;($C2528-3),Ventes_Encaissements!$C$6:$C$3005,"&lt;="&amp;($C2528+3)))</f>
        <v/>
      </c>
      <c r="I2528" s="12">
        <f>IF($H2528="","",IF($H2528=0,"Non trouvé",IF($H2528=1,"Match","À vérifier")))</f>
        <v/>
      </c>
      <c r="J2528" s="21">
        <f>IF($I2528&lt;&gt;"Match","",INDEX(Ventes_Encaissements!$B$6:$B$3005,_xludf.AGGREGATE(15,6,(ROW(Ventes_Encaissements!$B$6:$B$3005)-ROW(Ventes_Encaissements!$B$6)+1)/((Ventes_Encaissements!$E$6:$E$3005=$B2528)*(Ventes_Encaissements!$J$6:$J$3005=$G2528)*(Ventes_Encaissements!$C$6:$C$3005&gt;=$C2528-3)*(Ventes_Encaissements!$C$6:$C$3005&lt;=$C2528+3)),1)))</f>
        <v/>
      </c>
      <c r="K2528" s="6" t="n"/>
    </row>
    <row r="2529">
      <c r="A2529" s="6" t="n"/>
      <c r="B2529" s="6" t="n"/>
      <c r="C2529" s="19" t="n"/>
      <c r="D2529" s="19" t="n"/>
      <c r="E2529" s="6" t="n"/>
      <c r="F2529" s="20" t="n"/>
      <c r="G2529" s="9">
        <f>IF($F2529="","",IF($F2529&gt;0,ROUND($F2529,2),""))</f>
        <v/>
      </c>
      <c r="H2529" s="12">
        <f>IF(OR($B2529="",$C2529="",$G2529=""),"",COUNTIFS(Ventes_Encaissements!$E$6:$E$3005,$B2529,Ventes_Encaissements!$J$6:$J$3005,$G2529,Ventes_Encaissements!$C$6:$C$3005,"&gt;="&amp;($C2529-3),Ventes_Encaissements!$C$6:$C$3005,"&lt;="&amp;($C2529+3)))</f>
        <v/>
      </c>
      <c r="I2529" s="12">
        <f>IF($H2529="","",IF($H2529=0,"Non trouvé",IF($H2529=1,"Match","À vérifier")))</f>
        <v/>
      </c>
      <c r="J2529" s="21">
        <f>IF($I2529&lt;&gt;"Match","",INDEX(Ventes_Encaissements!$B$6:$B$3005,_xludf.AGGREGATE(15,6,(ROW(Ventes_Encaissements!$B$6:$B$3005)-ROW(Ventes_Encaissements!$B$6)+1)/((Ventes_Encaissements!$E$6:$E$3005=$B2529)*(Ventes_Encaissements!$J$6:$J$3005=$G2529)*(Ventes_Encaissements!$C$6:$C$3005&gt;=$C2529-3)*(Ventes_Encaissements!$C$6:$C$3005&lt;=$C2529+3)),1)))</f>
        <v/>
      </c>
      <c r="K2529" s="6" t="n"/>
    </row>
    <row r="2530">
      <c r="A2530" s="6" t="n"/>
      <c r="B2530" s="6" t="n"/>
      <c r="C2530" s="19" t="n"/>
      <c r="D2530" s="19" t="n"/>
      <c r="E2530" s="6" t="n"/>
      <c r="F2530" s="20" t="n"/>
      <c r="G2530" s="9">
        <f>IF($F2530="","",IF($F2530&gt;0,ROUND($F2530,2),""))</f>
        <v/>
      </c>
      <c r="H2530" s="12">
        <f>IF(OR($B2530="",$C2530="",$G2530=""),"",COUNTIFS(Ventes_Encaissements!$E$6:$E$3005,$B2530,Ventes_Encaissements!$J$6:$J$3005,$G2530,Ventes_Encaissements!$C$6:$C$3005,"&gt;="&amp;($C2530-3),Ventes_Encaissements!$C$6:$C$3005,"&lt;="&amp;($C2530+3)))</f>
        <v/>
      </c>
      <c r="I2530" s="12">
        <f>IF($H2530="","",IF($H2530=0,"Non trouvé",IF($H2530=1,"Match","À vérifier")))</f>
        <v/>
      </c>
      <c r="J2530" s="21">
        <f>IF($I2530&lt;&gt;"Match","",INDEX(Ventes_Encaissements!$B$6:$B$3005,_xludf.AGGREGATE(15,6,(ROW(Ventes_Encaissements!$B$6:$B$3005)-ROW(Ventes_Encaissements!$B$6)+1)/((Ventes_Encaissements!$E$6:$E$3005=$B2530)*(Ventes_Encaissements!$J$6:$J$3005=$G2530)*(Ventes_Encaissements!$C$6:$C$3005&gt;=$C2530-3)*(Ventes_Encaissements!$C$6:$C$3005&lt;=$C2530+3)),1)))</f>
        <v/>
      </c>
      <c r="K2530" s="6" t="n"/>
    </row>
    <row r="2531">
      <c r="A2531" s="6" t="n"/>
      <c r="B2531" s="6" t="n"/>
      <c r="C2531" s="19" t="n"/>
      <c r="D2531" s="19" t="n"/>
      <c r="E2531" s="6" t="n"/>
      <c r="F2531" s="20" t="n"/>
      <c r="G2531" s="9">
        <f>IF($F2531="","",IF($F2531&gt;0,ROUND($F2531,2),""))</f>
        <v/>
      </c>
      <c r="H2531" s="12">
        <f>IF(OR($B2531="",$C2531="",$G2531=""),"",COUNTIFS(Ventes_Encaissements!$E$6:$E$3005,$B2531,Ventes_Encaissements!$J$6:$J$3005,$G2531,Ventes_Encaissements!$C$6:$C$3005,"&gt;="&amp;($C2531-3),Ventes_Encaissements!$C$6:$C$3005,"&lt;="&amp;($C2531+3)))</f>
        <v/>
      </c>
      <c r="I2531" s="12">
        <f>IF($H2531="","",IF($H2531=0,"Non trouvé",IF($H2531=1,"Match","À vérifier")))</f>
        <v/>
      </c>
      <c r="J2531" s="21">
        <f>IF($I2531&lt;&gt;"Match","",INDEX(Ventes_Encaissements!$B$6:$B$3005,_xludf.AGGREGATE(15,6,(ROW(Ventes_Encaissements!$B$6:$B$3005)-ROW(Ventes_Encaissements!$B$6)+1)/((Ventes_Encaissements!$E$6:$E$3005=$B2531)*(Ventes_Encaissements!$J$6:$J$3005=$G2531)*(Ventes_Encaissements!$C$6:$C$3005&gt;=$C2531-3)*(Ventes_Encaissements!$C$6:$C$3005&lt;=$C2531+3)),1)))</f>
        <v/>
      </c>
      <c r="K2531" s="6" t="n"/>
    </row>
    <row r="2532">
      <c r="A2532" s="6" t="n"/>
      <c r="B2532" s="6" t="n"/>
      <c r="C2532" s="19" t="n"/>
      <c r="D2532" s="19" t="n"/>
      <c r="E2532" s="6" t="n"/>
      <c r="F2532" s="20" t="n"/>
      <c r="G2532" s="9">
        <f>IF($F2532="","",IF($F2532&gt;0,ROUND($F2532,2),""))</f>
        <v/>
      </c>
      <c r="H2532" s="12">
        <f>IF(OR($B2532="",$C2532="",$G2532=""),"",COUNTIFS(Ventes_Encaissements!$E$6:$E$3005,$B2532,Ventes_Encaissements!$J$6:$J$3005,$G2532,Ventes_Encaissements!$C$6:$C$3005,"&gt;="&amp;($C2532-3),Ventes_Encaissements!$C$6:$C$3005,"&lt;="&amp;($C2532+3)))</f>
        <v/>
      </c>
      <c r="I2532" s="12">
        <f>IF($H2532="","",IF($H2532=0,"Non trouvé",IF($H2532=1,"Match","À vérifier")))</f>
        <v/>
      </c>
      <c r="J2532" s="21">
        <f>IF($I2532&lt;&gt;"Match","",INDEX(Ventes_Encaissements!$B$6:$B$3005,_xludf.AGGREGATE(15,6,(ROW(Ventes_Encaissements!$B$6:$B$3005)-ROW(Ventes_Encaissements!$B$6)+1)/((Ventes_Encaissements!$E$6:$E$3005=$B2532)*(Ventes_Encaissements!$J$6:$J$3005=$G2532)*(Ventes_Encaissements!$C$6:$C$3005&gt;=$C2532-3)*(Ventes_Encaissements!$C$6:$C$3005&lt;=$C2532+3)),1)))</f>
        <v/>
      </c>
      <c r="K2532" s="6" t="n"/>
    </row>
    <row r="2533">
      <c r="A2533" s="6" t="n"/>
      <c r="B2533" s="6" t="n"/>
      <c r="C2533" s="19" t="n"/>
      <c r="D2533" s="19" t="n"/>
      <c r="E2533" s="6" t="n"/>
      <c r="F2533" s="20" t="n"/>
      <c r="G2533" s="9">
        <f>IF($F2533="","",IF($F2533&gt;0,ROUND($F2533,2),""))</f>
        <v/>
      </c>
      <c r="H2533" s="12">
        <f>IF(OR($B2533="",$C2533="",$G2533=""),"",COUNTIFS(Ventes_Encaissements!$E$6:$E$3005,$B2533,Ventes_Encaissements!$J$6:$J$3005,$G2533,Ventes_Encaissements!$C$6:$C$3005,"&gt;="&amp;($C2533-3),Ventes_Encaissements!$C$6:$C$3005,"&lt;="&amp;($C2533+3)))</f>
        <v/>
      </c>
      <c r="I2533" s="12">
        <f>IF($H2533="","",IF($H2533=0,"Non trouvé",IF($H2533=1,"Match","À vérifier")))</f>
        <v/>
      </c>
      <c r="J2533" s="21">
        <f>IF($I2533&lt;&gt;"Match","",INDEX(Ventes_Encaissements!$B$6:$B$3005,_xludf.AGGREGATE(15,6,(ROW(Ventes_Encaissements!$B$6:$B$3005)-ROW(Ventes_Encaissements!$B$6)+1)/((Ventes_Encaissements!$E$6:$E$3005=$B2533)*(Ventes_Encaissements!$J$6:$J$3005=$G2533)*(Ventes_Encaissements!$C$6:$C$3005&gt;=$C2533-3)*(Ventes_Encaissements!$C$6:$C$3005&lt;=$C2533+3)),1)))</f>
        <v/>
      </c>
      <c r="K2533" s="6" t="n"/>
    </row>
    <row r="2534">
      <c r="A2534" s="6" t="n"/>
      <c r="B2534" s="6" t="n"/>
      <c r="C2534" s="19" t="n"/>
      <c r="D2534" s="19" t="n"/>
      <c r="E2534" s="6" t="n"/>
      <c r="F2534" s="20" t="n"/>
      <c r="G2534" s="9">
        <f>IF($F2534="","",IF($F2534&gt;0,ROUND($F2534,2),""))</f>
        <v/>
      </c>
      <c r="H2534" s="12">
        <f>IF(OR($B2534="",$C2534="",$G2534=""),"",COUNTIFS(Ventes_Encaissements!$E$6:$E$3005,$B2534,Ventes_Encaissements!$J$6:$J$3005,$G2534,Ventes_Encaissements!$C$6:$C$3005,"&gt;="&amp;($C2534-3),Ventes_Encaissements!$C$6:$C$3005,"&lt;="&amp;($C2534+3)))</f>
        <v/>
      </c>
      <c r="I2534" s="12">
        <f>IF($H2534="","",IF($H2534=0,"Non trouvé",IF($H2534=1,"Match","À vérifier")))</f>
        <v/>
      </c>
      <c r="J2534" s="21">
        <f>IF($I2534&lt;&gt;"Match","",INDEX(Ventes_Encaissements!$B$6:$B$3005,_xludf.AGGREGATE(15,6,(ROW(Ventes_Encaissements!$B$6:$B$3005)-ROW(Ventes_Encaissements!$B$6)+1)/((Ventes_Encaissements!$E$6:$E$3005=$B2534)*(Ventes_Encaissements!$J$6:$J$3005=$G2534)*(Ventes_Encaissements!$C$6:$C$3005&gt;=$C2534-3)*(Ventes_Encaissements!$C$6:$C$3005&lt;=$C2534+3)),1)))</f>
        <v/>
      </c>
      <c r="K2534" s="6" t="n"/>
    </row>
    <row r="2535">
      <c r="A2535" s="6" t="n"/>
      <c r="B2535" s="6" t="n"/>
      <c r="C2535" s="19" t="n"/>
      <c r="D2535" s="19" t="n"/>
      <c r="E2535" s="6" t="n"/>
      <c r="F2535" s="20" t="n"/>
      <c r="G2535" s="9">
        <f>IF($F2535="","",IF($F2535&gt;0,ROUND($F2535,2),""))</f>
        <v/>
      </c>
      <c r="H2535" s="12">
        <f>IF(OR($B2535="",$C2535="",$G2535=""),"",COUNTIFS(Ventes_Encaissements!$E$6:$E$3005,$B2535,Ventes_Encaissements!$J$6:$J$3005,$G2535,Ventes_Encaissements!$C$6:$C$3005,"&gt;="&amp;($C2535-3),Ventes_Encaissements!$C$6:$C$3005,"&lt;="&amp;($C2535+3)))</f>
        <v/>
      </c>
      <c r="I2535" s="12">
        <f>IF($H2535="","",IF($H2535=0,"Non trouvé",IF($H2535=1,"Match","À vérifier")))</f>
        <v/>
      </c>
      <c r="J2535" s="21">
        <f>IF($I2535&lt;&gt;"Match","",INDEX(Ventes_Encaissements!$B$6:$B$3005,_xludf.AGGREGATE(15,6,(ROW(Ventes_Encaissements!$B$6:$B$3005)-ROW(Ventes_Encaissements!$B$6)+1)/((Ventes_Encaissements!$E$6:$E$3005=$B2535)*(Ventes_Encaissements!$J$6:$J$3005=$G2535)*(Ventes_Encaissements!$C$6:$C$3005&gt;=$C2535-3)*(Ventes_Encaissements!$C$6:$C$3005&lt;=$C2535+3)),1)))</f>
        <v/>
      </c>
      <c r="K2535" s="6" t="n"/>
    </row>
    <row r="2536">
      <c r="A2536" s="6" t="n"/>
      <c r="B2536" s="6" t="n"/>
      <c r="C2536" s="19" t="n"/>
      <c r="D2536" s="19" t="n"/>
      <c r="E2536" s="6" t="n"/>
      <c r="F2536" s="20" t="n"/>
      <c r="G2536" s="9">
        <f>IF($F2536="","",IF($F2536&gt;0,ROUND($F2536,2),""))</f>
        <v/>
      </c>
      <c r="H2536" s="12">
        <f>IF(OR($B2536="",$C2536="",$G2536=""),"",COUNTIFS(Ventes_Encaissements!$E$6:$E$3005,$B2536,Ventes_Encaissements!$J$6:$J$3005,$G2536,Ventes_Encaissements!$C$6:$C$3005,"&gt;="&amp;($C2536-3),Ventes_Encaissements!$C$6:$C$3005,"&lt;="&amp;($C2536+3)))</f>
        <v/>
      </c>
      <c r="I2536" s="12">
        <f>IF($H2536="","",IF($H2536=0,"Non trouvé",IF($H2536=1,"Match","À vérifier")))</f>
        <v/>
      </c>
      <c r="J2536" s="21">
        <f>IF($I2536&lt;&gt;"Match","",INDEX(Ventes_Encaissements!$B$6:$B$3005,_xludf.AGGREGATE(15,6,(ROW(Ventes_Encaissements!$B$6:$B$3005)-ROW(Ventes_Encaissements!$B$6)+1)/((Ventes_Encaissements!$E$6:$E$3005=$B2536)*(Ventes_Encaissements!$J$6:$J$3005=$G2536)*(Ventes_Encaissements!$C$6:$C$3005&gt;=$C2536-3)*(Ventes_Encaissements!$C$6:$C$3005&lt;=$C2536+3)),1)))</f>
        <v/>
      </c>
      <c r="K2536" s="6" t="n"/>
    </row>
    <row r="2537">
      <c r="A2537" s="6" t="n"/>
      <c r="B2537" s="6" t="n"/>
      <c r="C2537" s="19" t="n"/>
      <c r="D2537" s="19" t="n"/>
      <c r="E2537" s="6" t="n"/>
      <c r="F2537" s="20" t="n"/>
      <c r="G2537" s="9">
        <f>IF($F2537="","",IF($F2537&gt;0,ROUND($F2537,2),""))</f>
        <v/>
      </c>
      <c r="H2537" s="12">
        <f>IF(OR($B2537="",$C2537="",$G2537=""),"",COUNTIFS(Ventes_Encaissements!$E$6:$E$3005,$B2537,Ventes_Encaissements!$J$6:$J$3005,$G2537,Ventes_Encaissements!$C$6:$C$3005,"&gt;="&amp;($C2537-3),Ventes_Encaissements!$C$6:$C$3005,"&lt;="&amp;($C2537+3)))</f>
        <v/>
      </c>
      <c r="I2537" s="12">
        <f>IF($H2537="","",IF($H2537=0,"Non trouvé",IF($H2537=1,"Match","À vérifier")))</f>
        <v/>
      </c>
      <c r="J2537" s="21">
        <f>IF($I2537&lt;&gt;"Match","",INDEX(Ventes_Encaissements!$B$6:$B$3005,_xludf.AGGREGATE(15,6,(ROW(Ventes_Encaissements!$B$6:$B$3005)-ROW(Ventes_Encaissements!$B$6)+1)/((Ventes_Encaissements!$E$6:$E$3005=$B2537)*(Ventes_Encaissements!$J$6:$J$3005=$G2537)*(Ventes_Encaissements!$C$6:$C$3005&gt;=$C2537-3)*(Ventes_Encaissements!$C$6:$C$3005&lt;=$C2537+3)),1)))</f>
        <v/>
      </c>
      <c r="K2537" s="6" t="n"/>
    </row>
    <row r="2538">
      <c r="A2538" s="6" t="n"/>
      <c r="B2538" s="6" t="n"/>
      <c r="C2538" s="19" t="n"/>
      <c r="D2538" s="19" t="n"/>
      <c r="E2538" s="6" t="n"/>
      <c r="F2538" s="20" t="n"/>
      <c r="G2538" s="9">
        <f>IF($F2538="","",IF($F2538&gt;0,ROUND($F2538,2),""))</f>
        <v/>
      </c>
      <c r="H2538" s="12">
        <f>IF(OR($B2538="",$C2538="",$G2538=""),"",COUNTIFS(Ventes_Encaissements!$E$6:$E$3005,$B2538,Ventes_Encaissements!$J$6:$J$3005,$G2538,Ventes_Encaissements!$C$6:$C$3005,"&gt;="&amp;($C2538-3),Ventes_Encaissements!$C$6:$C$3005,"&lt;="&amp;($C2538+3)))</f>
        <v/>
      </c>
      <c r="I2538" s="12">
        <f>IF($H2538="","",IF($H2538=0,"Non trouvé",IF($H2538=1,"Match","À vérifier")))</f>
        <v/>
      </c>
      <c r="J2538" s="21">
        <f>IF($I2538&lt;&gt;"Match","",INDEX(Ventes_Encaissements!$B$6:$B$3005,_xludf.AGGREGATE(15,6,(ROW(Ventes_Encaissements!$B$6:$B$3005)-ROW(Ventes_Encaissements!$B$6)+1)/((Ventes_Encaissements!$E$6:$E$3005=$B2538)*(Ventes_Encaissements!$J$6:$J$3005=$G2538)*(Ventes_Encaissements!$C$6:$C$3005&gt;=$C2538-3)*(Ventes_Encaissements!$C$6:$C$3005&lt;=$C2538+3)),1)))</f>
        <v/>
      </c>
      <c r="K2538" s="6" t="n"/>
    </row>
    <row r="2539">
      <c r="A2539" s="6" t="n"/>
      <c r="B2539" s="6" t="n"/>
      <c r="C2539" s="19" t="n"/>
      <c r="D2539" s="19" t="n"/>
      <c r="E2539" s="6" t="n"/>
      <c r="F2539" s="20" t="n"/>
      <c r="G2539" s="9">
        <f>IF($F2539="","",IF($F2539&gt;0,ROUND($F2539,2),""))</f>
        <v/>
      </c>
      <c r="H2539" s="12">
        <f>IF(OR($B2539="",$C2539="",$G2539=""),"",COUNTIFS(Ventes_Encaissements!$E$6:$E$3005,$B2539,Ventes_Encaissements!$J$6:$J$3005,$G2539,Ventes_Encaissements!$C$6:$C$3005,"&gt;="&amp;($C2539-3),Ventes_Encaissements!$C$6:$C$3005,"&lt;="&amp;($C2539+3)))</f>
        <v/>
      </c>
      <c r="I2539" s="12">
        <f>IF($H2539="","",IF($H2539=0,"Non trouvé",IF($H2539=1,"Match","À vérifier")))</f>
        <v/>
      </c>
      <c r="J2539" s="21">
        <f>IF($I2539&lt;&gt;"Match","",INDEX(Ventes_Encaissements!$B$6:$B$3005,_xludf.AGGREGATE(15,6,(ROW(Ventes_Encaissements!$B$6:$B$3005)-ROW(Ventes_Encaissements!$B$6)+1)/((Ventes_Encaissements!$E$6:$E$3005=$B2539)*(Ventes_Encaissements!$J$6:$J$3005=$G2539)*(Ventes_Encaissements!$C$6:$C$3005&gt;=$C2539-3)*(Ventes_Encaissements!$C$6:$C$3005&lt;=$C2539+3)),1)))</f>
        <v/>
      </c>
      <c r="K2539" s="6" t="n"/>
    </row>
    <row r="2540">
      <c r="A2540" s="6" t="n"/>
      <c r="B2540" s="6" t="n"/>
      <c r="C2540" s="19" t="n"/>
      <c r="D2540" s="19" t="n"/>
      <c r="E2540" s="6" t="n"/>
      <c r="F2540" s="20" t="n"/>
      <c r="G2540" s="9">
        <f>IF($F2540="","",IF($F2540&gt;0,ROUND($F2540,2),""))</f>
        <v/>
      </c>
      <c r="H2540" s="12">
        <f>IF(OR($B2540="",$C2540="",$G2540=""),"",COUNTIFS(Ventes_Encaissements!$E$6:$E$3005,$B2540,Ventes_Encaissements!$J$6:$J$3005,$G2540,Ventes_Encaissements!$C$6:$C$3005,"&gt;="&amp;($C2540-3),Ventes_Encaissements!$C$6:$C$3005,"&lt;="&amp;($C2540+3)))</f>
        <v/>
      </c>
      <c r="I2540" s="12">
        <f>IF($H2540="","",IF($H2540=0,"Non trouvé",IF($H2540=1,"Match","À vérifier")))</f>
        <v/>
      </c>
      <c r="J2540" s="21">
        <f>IF($I2540&lt;&gt;"Match","",INDEX(Ventes_Encaissements!$B$6:$B$3005,_xludf.AGGREGATE(15,6,(ROW(Ventes_Encaissements!$B$6:$B$3005)-ROW(Ventes_Encaissements!$B$6)+1)/((Ventes_Encaissements!$E$6:$E$3005=$B2540)*(Ventes_Encaissements!$J$6:$J$3005=$G2540)*(Ventes_Encaissements!$C$6:$C$3005&gt;=$C2540-3)*(Ventes_Encaissements!$C$6:$C$3005&lt;=$C2540+3)),1)))</f>
        <v/>
      </c>
      <c r="K2540" s="6" t="n"/>
    </row>
    <row r="2541">
      <c r="A2541" s="6" t="n"/>
      <c r="B2541" s="6" t="n"/>
      <c r="C2541" s="19" t="n"/>
      <c r="D2541" s="19" t="n"/>
      <c r="E2541" s="6" t="n"/>
      <c r="F2541" s="20" t="n"/>
      <c r="G2541" s="9">
        <f>IF($F2541="","",IF($F2541&gt;0,ROUND($F2541,2),""))</f>
        <v/>
      </c>
      <c r="H2541" s="12">
        <f>IF(OR($B2541="",$C2541="",$G2541=""),"",COUNTIFS(Ventes_Encaissements!$E$6:$E$3005,$B2541,Ventes_Encaissements!$J$6:$J$3005,$G2541,Ventes_Encaissements!$C$6:$C$3005,"&gt;="&amp;($C2541-3),Ventes_Encaissements!$C$6:$C$3005,"&lt;="&amp;($C2541+3)))</f>
        <v/>
      </c>
      <c r="I2541" s="12">
        <f>IF($H2541="","",IF($H2541=0,"Non trouvé",IF($H2541=1,"Match","À vérifier")))</f>
        <v/>
      </c>
      <c r="J2541" s="21">
        <f>IF($I2541&lt;&gt;"Match","",INDEX(Ventes_Encaissements!$B$6:$B$3005,_xludf.AGGREGATE(15,6,(ROW(Ventes_Encaissements!$B$6:$B$3005)-ROW(Ventes_Encaissements!$B$6)+1)/((Ventes_Encaissements!$E$6:$E$3005=$B2541)*(Ventes_Encaissements!$J$6:$J$3005=$G2541)*(Ventes_Encaissements!$C$6:$C$3005&gt;=$C2541-3)*(Ventes_Encaissements!$C$6:$C$3005&lt;=$C2541+3)),1)))</f>
        <v/>
      </c>
      <c r="K2541" s="6" t="n"/>
    </row>
    <row r="2542">
      <c r="A2542" s="6" t="n"/>
      <c r="B2542" s="6" t="n"/>
      <c r="C2542" s="19" t="n"/>
      <c r="D2542" s="19" t="n"/>
      <c r="E2542" s="6" t="n"/>
      <c r="F2542" s="20" t="n"/>
      <c r="G2542" s="9">
        <f>IF($F2542="","",IF($F2542&gt;0,ROUND($F2542,2),""))</f>
        <v/>
      </c>
      <c r="H2542" s="12">
        <f>IF(OR($B2542="",$C2542="",$G2542=""),"",COUNTIFS(Ventes_Encaissements!$E$6:$E$3005,$B2542,Ventes_Encaissements!$J$6:$J$3005,$G2542,Ventes_Encaissements!$C$6:$C$3005,"&gt;="&amp;($C2542-3),Ventes_Encaissements!$C$6:$C$3005,"&lt;="&amp;($C2542+3)))</f>
        <v/>
      </c>
      <c r="I2542" s="12">
        <f>IF($H2542="","",IF($H2542=0,"Non trouvé",IF($H2542=1,"Match","À vérifier")))</f>
        <v/>
      </c>
      <c r="J2542" s="21">
        <f>IF($I2542&lt;&gt;"Match","",INDEX(Ventes_Encaissements!$B$6:$B$3005,_xludf.AGGREGATE(15,6,(ROW(Ventes_Encaissements!$B$6:$B$3005)-ROW(Ventes_Encaissements!$B$6)+1)/((Ventes_Encaissements!$E$6:$E$3005=$B2542)*(Ventes_Encaissements!$J$6:$J$3005=$G2542)*(Ventes_Encaissements!$C$6:$C$3005&gt;=$C2542-3)*(Ventes_Encaissements!$C$6:$C$3005&lt;=$C2542+3)),1)))</f>
        <v/>
      </c>
      <c r="K2542" s="6" t="n"/>
    </row>
    <row r="2543">
      <c r="A2543" s="6" t="n"/>
      <c r="B2543" s="6" t="n"/>
      <c r="C2543" s="19" t="n"/>
      <c r="D2543" s="19" t="n"/>
      <c r="E2543" s="6" t="n"/>
      <c r="F2543" s="20" t="n"/>
      <c r="G2543" s="9">
        <f>IF($F2543="","",IF($F2543&gt;0,ROUND($F2543,2),""))</f>
        <v/>
      </c>
      <c r="H2543" s="12">
        <f>IF(OR($B2543="",$C2543="",$G2543=""),"",COUNTIFS(Ventes_Encaissements!$E$6:$E$3005,$B2543,Ventes_Encaissements!$J$6:$J$3005,$G2543,Ventes_Encaissements!$C$6:$C$3005,"&gt;="&amp;($C2543-3),Ventes_Encaissements!$C$6:$C$3005,"&lt;="&amp;($C2543+3)))</f>
        <v/>
      </c>
      <c r="I2543" s="12">
        <f>IF($H2543="","",IF($H2543=0,"Non trouvé",IF($H2543=1,"Match","À vérifier")))</f>
        <v/>
      </c>
      <c r="J2543" s="21">
        <f>IF($I2543&lt;&gt;"Match","",INDEX(Ventes_Encaissements!$B$6:$B$3005,_xludf.AGGREGATE(15,6,(ROW(Ventes_Encaissements!$B$6:$B$3005)-ROW(Ventes_Encaissements!$B$6)+1)/((Ventes_Encaissements!$E$6:$E$3005=$B2543)*(Ventes_Encaissements!$J$6:$J$3005=$G2543)*(Ventes_Encaissements!$C$6:$C$3005&gt;=$C2543-3)*(Ventes_Encaissements!$C$6:$C$3005&lt;=$C2543+3)),1)))</f>
        <v/>
      </c>
      <c r="K2543" s="6" t="n"/>
    </row>
    <row r="2544">
      <c r="A2544" s="6" t="n"/>
      <c r="B2544" s="6" t="n"/>
      <c r="C2544" s="19" t="n"/>
      <c r="D2544" s="19" t="n"/>
      <c r="E2544" s="6" t="n"/>
      <c r="F2544" s="20" t="n"/>
      <c r="G2544" s="9">
        <f>IF($F2544="","",IF($F2544&gt;0,ROUND($F2544,2),""))</f>
        <v/>
      </c>
      <c r="H2544" s="12">
        <f>IF(OR($B2544="",$C2544="",$G2544=""),"",COUNTIFS(Ventes_Encaissements!$E$6:$E$3005,$B2544,Ventes_Encaissements!$J$6:$J$3005,$G2544,Ventes_Encaissements!$C$6:$C$3005,"&gt;="&amp;($C2544-3),Ventes_Encaissements!$C$6:$C$3005,"&lt;="&amp;($C2544+3)))</f>
        <v/>
      </c>
      <c r="I2544" s="12">
        <f>IF($H2544="","",IF($H2544=0,"Non trouvé",IF($H2544=1,"Match","À vérifier")))</f>
        <v/>
      </c>
      <c r="J2544" s="21">
        <f>IF($I2544&lt;&gt;"Match","",INDEX(Ventes_Encaissements!$B$6:$B$3005,_xludf.AGGREGATE(15,6,(ROW(Ventes_Encaissements!$B$6:$B$3005)-ROW(Ventes_Encaissements!$B$6)+1)/((Ventes_Encaissements!$E$6:$E$3005=$B2544)*(Ventes_Encaissements!$J$6:$J$3005=$G2544)*(Ventes_Encaissements!$C$6:$C$3005&gt;=$C2544-3)*(Ventes_Encaissements!$C$6:$C$3005&lt;=$C2544+3)),1)))</f>
        <v/>
      </c>
      <c r="K2544" s="6" t="n"/>
    </row>
    <row r="2545">
      <c r="A2545" s="6" t="n"/>
      <c r="B2545" s="6" t="n"/>
      <c r="C2545" s="19" t="n"/>
      <c r="D2545" s="19" t="n"/>
      <c r="E2545" s="6" t="n"/>
      <c r="F2545" s="20" t="n"/>
      <c r="G2545" s="9">
        <f>IF($F2545="","",IF($F2545&gt;0,ROUND($F2545,2),""))</f>
        <v/>
      </c>
      <c r="H2545" s="12">
        <f>IF(OR($B2545="",$C2545="",$G2545=""),"",COUNTIFS(Ventes_Encaissements!$E$6:$E$3005,$B2545,Ventes_Encaissements!$J$6:$J$3005,$G2545,Ventes_Encaissements!$C$6:$C$3005,"&gt;="&amp;($C2545-3),Ventes_Encaissements!$C$6:$C$3005,"&lt;="&amp;($C2545+3)))</f>
        <v/>
      </c>
      <c r="I2545" s="12">
        <f>IF($H2545="","",IF($H2545=0,"Non trouvé",IF($H2545=1,"Match","À vérifier")))</f>
        <v/>
      </c>
      <c r="J2545" s="21">
        <f>IF($I2545&lt;&gt;"Match","",INDEX(Ventes_Encaissements!$B$6:$B$3005,_xludf.AGGREGATE(15,6,(ROW(Ventes_Encaissements!$B$6:$B$3005)-ROW(Ventes_Encaissements!$B$6)+1)/((Ventes_Encaissements!$E$6:$E$3005=$B2545)*(Ventes_Encaissements!$J$6:$J$3005=$G2545)*(Ventes_Encaissements!$C$6:$C$3005&gt;=$C2545-3)*(Ventes_Encaissements!$C$6:$C$3005&lt;=$C2545+3)),1)))</f>
        <v/>
      </c>
      <c r="K2545" s="6" t="n"/>
    </row>
    <row r="2546">
      <c r="A2546" s="6" t="n"/>
      <c r="B2546" s="6" t="n"/>
      <c r="C2546" s="19" t="n"/>
      <c r="D2546" s="19" t="n"/>
      <c r="E2546" s="6" t="n"/>
      <c r="F2546" s="20" t="n"/>
      <c r="G2546" s="9">
        <f>IF($F2546="","",IF($F2546&gt;0,ROUND($F2546,2),""))</f>
        <v/>
      </c>
      <c r="H2546" s="12">
        <f>IF(OR($B2546="",$C2546="",$G2546=""),"",COUNTIFS(Ventes_Encaissements!$E$6:$E$3005,$B2546,Ventes_Encaissements!$J$6:$J$3005,$G2546,Ventes_Encaissements!$C$6:$C$3005,"&gt;="&amp;($C2546-3),Ventes_Encaissements!$C$6:$C$3005,"&lt;="&amp;($C2546+3)))</f>
        <v/>
      </c>
      <c r="I2546" s="12">
        <f>IF($H2546="","",IF($H2546=0,"Non trouvé",IF($H2546=1,"Match","À vérifier")))</f>
        <v/>
      </c>
      <c r="J2546" s="21">
        <f>IF($I2546&lt;&gt;"Match","",INDEX(Ventes_Encaissements!$B$6:$B$3005,_xludf.AGGREGATE(15,6,(ROW(Ventes_Encaissements!$B$6:$B$3005)-ROW(Ventes_Encaissements!$B$6)+1)/((Ventes_Encaissements!$E$6:$E$3005=$B2546)*(Ventes_Encaissements!$J$6:$J$3005=$G2546)*(Ventes_Encaissements!$C$6:$C$3005&gt;=$C2546-3)*(Ventes_Encaissements!$C$6:$C$3005&lt;=$C2546+3)),1)))</f>
        <v/>
      </c>
      <c r="K2546" s="6" t="n"/>
    </row>
    <row r="2547">
      <c r="A2547" s="6" t="n"/>
      <c r="B2547" s="6" t="n"/>
      <c r="C2547" s="19" t="n"/>
      <c r="D2547" s="19" t="n"/>
      <c r="E2547" s="6" t="n"/>
      <c r="F2547" s="20" t="n"/>
      <c r="G2547" s="9">
        <f>IF($F2547="","",IF($F2547&gt;0,ROUND($F2547,2),""))</f>
        <v/>
      </c>
      <c r="H2547" s="12">
        <f>IF(OR($B2547="",$C2547="",$G2547=""),"",COUNTIFS(Ventes_Encaissements!$E$6:$E$3005,$B2547,Ventes_Encaissements!$J$6:$J$3005,$G2547,Ventes_Encaissements!$C$6:$C$3005,"&gt;="&amp;($C2547-3),Ventes_Encaissements!$C$6:$C$3005,"&lt;="&amp;($C2547+3)))</f>
        <v/>
      </c>
      <c r="I2547" s="12">
        <f>IF($H2547="","",IF($H2547=0,"Non trouvé",IF($H2547=1,"Match","À vérifier")))</f>
        <v/>
      </c>
      <c r="J2547" s="21">
        <f>IF($I2547&lt;&gt;"Match","",INDEX(Ventes_Encaissements!$B$6:$B$3005,_xludf.AGGREGATE(15,6,(ROW(Ventes_Encaissements!$B$6:$B$3005)-ROW(Ventes_Encaissements!$B$6)+1)/((Ventes_Encaissements!$E$6:$E$3005=$B2547)*(Ventes_Encaissements!$J$6:$J$3005=$G2547)*(Ventes_Encaissements!$C$6:$C$3005&gt;=$C2547-3)*(Ventes_Encaissements!$C$6:$C$3005&lt;=$C2547+3)),1)))</f>
        <v/>
      </c>
      <c r="K2547" s="6" t="n"/>
    </row>
    <row r="2548">
      <c r="A2548" s="6" t="n"/>
      <c r="B2548" s="6" t="n"/>
      <c r="C2548" s="19" t="n"/>
      <c r="D2548" s="19" t="n"/>
      <c r="E2548" s="6" t="n"/>
      <c r="F2548" s="20" t="n"/>
      <c r="G2548" s="9">
        <f>IF($F2548="","",IF($F2548&gt;0,ROUND($F2548,2),""))</f>
        <v/>
      </c>
      <c r="H2548" s="12">
        <f>IF(OR($B2548="",$C2548="",$G2548=""),"",COUNTIFS(Ventes_Encaissements!$E$6:$E$3005,$B2548,Ventes_Encaissements!$J$6:$J$3005,$G2548,Ventes_Encaissements!$C$6:$C$3005,"&gt;="&amp;($C2548-3),Ventes_Encaissements!$C$6:$C$3005,"&lt;="&amp;($C2548+3)))</f>
        <v/>
      </c>
      <c r="I2548" s="12">
        <f>IF($H2548="","",IF($H2548=0,"Non trouvé",IF($H2548=1,"Match","À vérifier")))</f>
        <v/>
      </c>
      <c r="J2548" s="21">
        <f>IF($I2548&lt;&gt;"Match","",INDEX(Ventes_Encaissements!$B$6:$B$3005,_xludf.AGGREGATE(15,6,(ROW(Ventes_Encaissements!$B$6:$B$3005)-ROW(Ventes_Encaissements!$B$6)+1)/((Ventes_Encaissements!$E$6:$E$3005=$B2548)*(Ventes_Encaissements!$J$6:$J$3005=$G2548)*(Ventes_Encaissements!$C$6:$C$3005&gt;=$C2548-3)*(Ventes_Encaissements!$C$6:$C$3005&lt;=$C2548+3)),1)))</f>
        <v/>
      </c>
      <c r="K2548" s="6" t="n"/>
    </row>
    <row r="2549">
      <c r="A2549" s="6" t="n"/>
      <c r="B2549" s="6" t="n"/>
      <c r="C2549" s="19" t="n"/>
      <c r="D2549" s="19" t="n"/>
      <c r="E2549" s="6" t="n"/>
      <c r="F2549" s="20" t="n"/>
      <c r="G2549" s="9">
        <f>IF($F2549="","",IF($F2549&gt;0,ROUND($F2549,2),""))</f>
        <v/>
      </c>
      <c r="H2549" s="12">
        <f>IF(OR($B2549="",$C2549="",$G2549=""),"",COUNTIFS(Ventes_Encaissements!$E$6:$E$3005,$B2549,Ventes_Encaissements!$J$6:$J$3005,$G2549,Ventes_Encaissements!$C$6:$C$3005,"&gt;="&amp;($C2549-3),Ventes_Encaissements!$C$6:$C$3005,"&lt;="&amp;($C2549+3)))</f>
        <v/>
      </c>
      <c r="I2549" s="12">
        <f>IF($H2549="","",IF($H2549=0,"Non trouvé",IF($H2549=1,"Match","À vérifier")))</f>
        <v/>
      </c>
      <c r="J2549" s="21">
        <f>IF($I2549&lt;&gt;"Match","",INDEX(Ventes_Encaissements!$B$6:$B$3005,_xludf.AGGREGATE(15,6,(ROW(Ventes_Encaissements!$B$6:$B$3005)-ROW(Ventes_Encaissements!$B$6)+1)/((Ventes_Encaissements!$E$6:$E$3005=$B2549)*(Ventes_Encaissements!$J$6:$J$3005=$G2549)*(Ventes_Encaissements!$C$6:$C$3005&gt;=$C2549-3)*(Ventes_Encaissements!$C$6:$C$3005&lt;=$C2549+3)),1)))</f>
        <v/>
      </c>
      <c r="K2549" s="6" t="n"/>
    </row>
    <row r="2550">
      <c r="A2550" s="6" t="n"/>
      <c r="B2550" s="6" t="n"/>
      <c r="C2550" s="19" t="n"/>
      <c r="D2550" s="19" t="n"/>
      <c r="E2550" s="6" t="n"/>
      <c r="F2550" s="20" t="n"/>
      <c r="G2550" s="9">
        <f>IF($F2550="","",IF($F2550&gt;0,ROUND($F2550,2),""))</f>
        <v/>
      </c>
      <c r="H2550" s="12">
        <f>IF(OR($B2550="",$C2550="",$G2550=""),"",COUNTIFS(Ventes_Encaissements!$E$6:$E$3005,$B2550,Ventes_Encaissements!$J$6:$J$3005,$G2550,Ventes_Encaissements!$C$6:$C$3005,"&gt;="&amp;($C2550-3),Ventes_Encaissements!$C$6:$C$3005,"&lt;="&amp;($C2550+3)))</f>
        <v/>
      </c>
      <c r="I2550" s="12">
        <f>IF($H2550="","",IF($H2550=0,"Non trouvé",IF($H2550=1,"Match","À vérifier")))</f>
        <v/>
      </c>
      <c r="J2550" s="21">
        <f>IF($I2550&lt;&gt;"Match","",INDEX(Ventes_Encaissements!$B$6:$B$3005,_xludf.AGGREGATE(15,6,(ROW(Ventes_Encaissements!$B$6:$B$3005)-ROW(Ventes_Encaissements!$B$6)+1)/((Ventes_Encaissements!$E$6:$E$3005=$B2550)*(Ventes_Encaissements!$J$6:$J$3005=$G2550)*(Ventes_Encaissements!$C$6:$C$3005&gt;=$C2550-3)*(Ventes_Encaissements!$C$6:$C$3005&lt;=$C2550+3)),1)))</f>
        <v/>
      </c>
      <c r="K2550" s="6" t="n"/>
    </row>
    <row r="2551">
      <c r="A2551" s="6" t="n"/>
      <c r="B2551" s="6" t="n"/>
      <c r="C2551" s="19" t="n"/>
      <c r="D2551" s="19" t="n"/>
      <c r="E2551" s="6" t="n"/>
      <c r="F2551" s="20" t="n"/>
      <c r="G2551" s="9">
        <f>IF($F2551="","",IF($F2551&gt;0,ROUND($F2551,2),""))</f>
        <v/>
      </c>
      <c r="H2551" s="12">
        <f>IF(OR($B2551="",$C2551="",$G2551=""),"",COUNTIFS(Ventes_Encaissements!$E$6:$E$3005,$B2551,Ventes_Encaissements!$J$6:$J$3005,$G2551,Ventes_Encaissements!$C$6:$C$3005,"&gt;="&amp;($C2551-3),Ventes_Encaissements!$C$6:$C$3005,"&lt;="&amp;($C2551+3)))</f>
        <v/>
      </c>
      <c r="I2551" s="12">
        <f>IF($H2551="","",IF($H2551=0,"Non trouvé",IF($H2551=1,"Match","À vérifier")))</f>
        <v/>
      </c>
      <c r="J2551" s="21">
        <f>IF($I2551&lt;&gt;"Match","",INDEX(Ventes_Encaissements!$B$6:$B$3005,_xludf.AGGREGATE(15,6,(ROW(Ventes_Encaissements!$B$6:$B$3005)-ROW(Ventes_Encaissements!$B$6)+1)/((Ventes_Encaissements!$E$6:$E$3005=$B2551)*(Ventes_Encaissements!$J$6:$J$3005=$G2551)*(Ventes_Encaissements!$C$6:$C$3005&gt;=$C2551-3)*(Ventes_Encaissements!$C$6:$C$3005&lt;=$C2551+3)),1)))</f>
        <v/>
      </c>
      <c r="K2551" s="6" t="n"/>
    </row>
    <row r="2552">
      <c r="A2552" s="6" t="n"/>
      <c r="B2552" s="6" t="n"/>
      <c r="C2552" s="19" t="n"/>
      <c r="D2552" s="19" t="n"/>
      <c r="E2552" s="6" t="n"/>
      <c r="F2552" s="20" t="n"/>
      <c r="G2552" s="9">
        <f>IF($F2552="","",IF($F2552&gt;0,ROUND($F2552,2),""))</f>
        <v/>
      </c>
      <c r="H2552" s="12">
        <f>IF(OR($B2552="",$C2552="",$G2552=""),"",COUNTIFS(Ventes_Encaissements!$E$6:$E$3005,$B2552,Ventes_Encaissements!$J$6:$J$3005,$G2552,Ventes_Encaissements!$C$6:$C$3005,"&gt;="&amp;($C2552-3),Ventes_Encaissements!$C$6:$C$3005,"&lt;="&amp;($C2552+3)))</f>
        <v/>
      </c>
      <c r="I2552" s="12">
        <f>IF($H2552="","",IF($H2552=0,"Non trouvé",IF($H2552=1,"Match","À vérifier")))</f>
        <v/>
      </c>
      <c r="J2552" s="21">
        <f>IF($I2552&lt;&gt;"Match","",INDEX(Ventes_Encaissements!$B$6:$B$3005,_xludf.AGGREGATE(15,6,(ROW(Ventes_Encaissements!$B$6:$B$3005)-ROW(Ventes_Encaissements!$B$6)+1)/((Ventes_Encaissements!$E$6:$E$3005=$B2552)*(Ventes_Encaissements!$J$6:$J$3005=$G2552)*(Ventes_Encaissements!$C$6:$C$3005&gt;=$C2552-3)*(Ventes_Encaissements!$C$6:$C$3005&lt;=$C2552+3)),1)))</f>
        <v/>
      </c>
      <c r="K2552" s="6" t="n"/>
    </row>
    <row r="2553">
      <c r="A2553" s="6" t="n"/>
      <c r="B2553" s="6" t="n"/>
      <c r="C2553" s="19" t="n"/>
      <c r="D2553" s="19" t="n"/>
      <c r="E2553" s="6" t="n"/>
      <c r="F2553" s="20" t="n"/>
      <c r="G2553" s="9">
        <f>IF($F2553="","",IF($F2553&gt;0,ROUND($F2553,2),""))</f>
        <v/>
      </c>
      <c r="H2553" s="12">
        <f>IF(OR($B2553="",$C2553="",$G2553=""),"",COUNTIFS(Ventes_Encaissements!$E$6:$E$3005,$B2553,Ventes_Encaissements!$J$6:$J$3005,$G2553,Ventes_Encaissements!$C$6:$C$3005,"&gt;="&amp;($C2553-3),Ventes_Encaissements!$C$6:$C$3005,"&lt;="&amp;($C2553+3)))</f>
        <v/>
      </c>
      <c r="I2553" s="12">
        <f>IF($H2553="","",IF($H2553=0,"Non trouvé",IF($H2553=1,"Match","À vérifier")))</f>
        <v/>
      </c>
      <c r="J2553" s="21">
        <f>IF($I2553&lt;&gt;"Match","",INDEX(Ventes_Encaissements!$B$6:$B$3005,_xludf.AGGREGATE(15,6,(ROW(Ventes_Encaissements!$B$6:$B$3005)-ROW(Ventes_Encaissements!$B$6)+1)/((Ventes_Encaissements!$E$6:$E$3005=$B2553)*(Ventes_Encaissements!$J$6:$J$3005=$G2553)*(Ventes_Encaissements!$C$6:$C$3005&gt;=$C2553-3)*(Ventes_Encaissements!$C$6:$C$3005&lt;=$C2553+3)),1)))</f>
        <v/>
      </c>
      <c r="K2553" s="6" t="n"/>
    </row>
    <row r="2554">
      <c r="A2554" s="6" t="n"/>
      <c r="B2554" s="6" t="n"/>
      <c r="C2554" s="19" t="n"/>
      <c r="D2554" s="19" t="n"/>
      <c r="E2554" s="6" t="n"/>
      <c r="F2554" s="20" t="n"/>
      <c r="G2554" s="9">
        <f>IF($F2554="","",IF($F2554&gt;0,ROUND($F2554,2),""))</f>
        <v/>
      </c>
      <c r="H2554" s="12">
        <f>IF(OR($B2554="",$C2554="",$G2554=""),"",COUNTIFS(Ventes_Encaissements!$E$6:$E$3005,$B2554,Ventes_Encaissements!$J$6:$J$3005,$G2554,Ventes_Encaissements!$C$6:$C$3005,"&gt;="&amp;($C2554-3),Ventes_Encaissements!$C$6:$C$3005,"&lt;="&amp;($C2554+3)))</f>
        <v/>
      </c>
      <c r="I2554" s="12">
        <f>IF($H2554="","",IF($H2554=0,"Non trouvé",IF($H2554=1,"Match","À vérifier")))</f>
        <v/>
      </c>
      <c r="J2554" s="21">
        <f>IF($I2554&lt;&gt;"Match","",INDEX(Ventes_Encaissements!$B$6:$B$3005,_xludf.AGGREGATE(15,6,(ROW(Ventes_Encaissements!$B$6:$B$3005)-ROW(Ventes_Encaissements!$B$6)+1)/((Ventes_Encaissements!$E$6:$E$3005=$B2554)*(Ventes_Encaissements!$J$6:$J$3005=$G2554)*(Ventes_Encaissements!$C$6:$C$3005&gt;=$C2554-3)*(Ventes_Encaissements!$C$6:$C$3005&lt;=$C2554+3)),1)))</f>
        <v/>
      </c>
      <c r="K2554" s="6" t="n"/>
    </row>
    <row r="2555">
      <c r="A2555" s="6" t="n"/>
      <c r="B2555" s="6" t="n"/>
      <c r="C2555" s="19" t="n"/>
      <c r="D2555" s="19" t="n"/>
      <c r="E2555" s="6" t="n"/>
      <c r="F2555" s="20" t="n"/>
      <c r="G2555" s="9">
        <f>IF($F2555="","",IF($F2555&gt;0,ROUND($F2555,2),""))</f>
        <v/>
      </c>
      <c r="H2555" s="12">
        <f>IF(OR($B2555="",$C2555="",$G2555=""),"",COUNTIFS(Ventes_Encaissements!$E$6:$E$3005,$B2555,Ventes_Encaissements!$J$6:$J$3005,$G2555,Ventes_Encaissements!$C$6:$C$3005,"&gt;="&amp;($C2555-3),Ventes_Encaissements!$C$6:$C$3005,"&lt;="&amp;($C2555+3)))</f>
        <v/>
      </c>
      <c r="I2555" s="12">
        <f>IF($H2555="","",IF($H2555=0,"Non trouvé",IF($H2555=1,"Match","À vérifier")))</f>
        <v/>
      </c>
      <c r="J2555" s="21">
        <f>IF($I2555&lt;&gt;"Match","",INDEX(Ventes_Encaissements!$B$6:$B$3005,_xludf.AGGREGATE(15,6,(ROW(Ventes_Encaissements!$B$6:$B$3005)-ROW(Ventes_Encaissements!$B$6)+1)/((Ventes_Encaissements!$E$6:$E$3005=$B2555)*(Ventes_Encaissements!$J$6:$J$3005=$G2555)*(Ventes_Encaissements!$C$6:$C$3005&gt;=$C2555-3)*(Ventes_Encaissements!$C$6:$C$3005&lt;=$C2555+3)),1)))</f>
        <v/>
      </c>
      <c r="K2555" s="6" t="n"/>
    </row>
    <row r="2556">
      <c r="A2556" s="6" t="n"/>
      <c r="B2556" s="6" t="n"/>
      <c r="C2556" s="19" t="n"/>
      <c r="D2556" s="19" t="n"/>
      <c r="E2556" s="6" t="n"/>
      <c r="F2556" s="20" t="n"/>
      <c r="G2556" s="9">
        <f>IF($F2556="","",IF($F2556&gt;0,ROUND($F2556,2),""))</f>
        <v/>
      </c>
      <c r="H2556" s="12">
        <f>IF(OR($B2556="",$C2556="",$G2556=""),"",COUNTIFS(Ventes_Encaissements!$E$6:$E$3005,$B2556,Ventes_Encaissements!$J$6:$J$3005,$G2556,Ventes_Encaissements!$C$6:$C$3005,"&gt;="&amp;($C2556-3),Ventes_Encaissements!$C$6:$C$3005,"&lt;="&amp;($C2556+3)))</f>
        <v/>
      </c>
      <c r="I2556" s="12">
        <f>IF($H2556="","",IF($H2556=0,"Non trouvé",IF($H2556=1,"Match","À vérifier")))</f>
        <v/>
      </c>
      <c r="J2556" s="21">
        <f>IF($I2556&lt;&gt;"Match","",INDEX(Ventes_Encaissements!$B$6:$B$3005,_xludf.AGGREGATE(15,6,(ROW(Ventes_Encaissements!$B$6:$B$3005)-ROW(Ventes_Encaissements!$B$6)+1)/((Ventes_Encaissements!$E$6:$E$3005=$B2556)*(Ventes_Encaissements!$J$6:$J$3005=$G2556)*(Ventes_Encaissements!$C$6:$C$3005&gt;=$C2556-3)*(Ventes_Encaissements!$C$6:$C$3005&lt;=$C2556+3)),1)))</f>
        <v/>
      </c>
      <c r="K2556" s="6" t="n"/>
    </row>
    <row r="2557">
      <c r="A2557" s="6" t="n"/>
      <c r="B2557" s="6" t="n"/>
      <c r="C2557" s="19" t="n"/>
      <c r="D2557" s="19" t="n"/>
      <c r="E2557" s="6" t="n"/>
      <c r="F2557" s="20" t="n"/>
      <c r="G2557" s="9">
        <f>IF($F2557="","",IF($F2557&gt;0,ROUND($F2557,2),""))</f>
        <v/>
      </c>
      <c r="H2557" s="12">
        <f>IF(OR($B2557="",$C2557="",$G2557=""),"",COUNTIFS(Ventes_Encaissements!$E$6:$E$3005,$B2557,Ventes_Encaissements!$J$6:$J$3005,$G2557,Ventes_Encaissements!$C$6:$C$3005,"&gt;="&amp;($C2557-3),Ventes_Encaissements!$C$6:$C$3005,"&lt;="&amp;($C2557+3)))</f>
        <v/>
      </c>
      <c r="I2557" s="12">
        <f>IF($H2557="","",IF($H2557=0,"Non trouvé",IF($H2557=1,"Match","À vérifier")))</f>
        <v/>
      </c>
      <c r="J2557" s="21">
        <f>IF($I2557&lt;&gt;"Match","",INDEX(Ventes_Encaissements!$B$6:$B$3005,_xludf.AGGREGATE(15,6,(ROW(Ventes_Encaissements!$B$6:$B$3005)-ROW(Ventes_Encaissements!$B$6)+1)/((Ventes_Encaissements!$E$6:$E$3005=$B2557)*(Ventes_Encaissements!$J$6:$J$3005=$G2557)*(Ventes_Encaissements!$C$6:$C$3005&gt;=$C2557-3)*(Ventes_Encaissements!$C$6:$C$3005&lt;=$C2557+3)),1)))</f>
        <v/>
      </c>
      <c r="K2557" s="6" t="n"/>
    </row>
    <row r="2558">
      <c r="A2558" s="6" t="n"/>
      <c r="B2558" s="6" t="n"/>
      <c r="C2558" s="19" t="n"/>
      <c r="D2558" s="19" t="n"/>
      <c r="E2558" s="6" t="n"/>
      <c r="F2558" s="20" t="n"/>
      <c r="G2558" s="9">
        <f>IF($F2558="","",IF($F2558&gt;0,ROUND($F2558,2),""))</f>
        <v/>
      </c>
      <c r="H2558" s="12">
        <f>IF(OR($B2558="",$C2558="",$G2558=""),"",COUNTIFS(Ventes_Encaissements!$E$6:$E$3005,$B2558,Ventes_Encaissements!$J$6:$J$3005,$G2558,Ventes_Encaissements!$C$6:$C$3005,"&gt;="&amp;($C2558-3),Ventes_Encaissements!$C$6:$C$3005,"&lt;="&amp;($C2558+3)))</f>
        <v/>
      </c>
      <c r="I2558" s="12">
        <f>IF($H2558="","",IF($H2558=0,"Non trouvé",IF($H2558=1,"Match","À vérifier")))</f>
        <v/>
      </c>
      <c r="J2558" s="21">
        <f>IF($I2558&lt;&gt;"Match","",INDEX(Ventes_Encaissements!$B$6:$B$3005,_xludf.AGGREGATE(15,6,(ROW(Ventes_Encaissements!$B$6:$B$3005)-ROW(Ventes_Encaissements!$B$6)+1)/((Ventes_Encaissements!$E$6:$E$3005=$B2558)*(Ventes_Encaissements!$J$6:$J$3005=$G2558)*(Ventes_Encaissements!$C$6:$C$3005&gt;=$C2558-3)*(Ventes_Encaissements!$C$6:$C$3005&lt;=$C2558+3)),1)))</f>
        <v/>
      </c>
      <c r="K2558" s="6" t="n"/>
    </row>
    <row r="2559">
      <c r="A2559" s="6" t="n"/>
      <c r="B2559" s="6" t="n"/>
      <c r="C2559" s="19" t="n"/>
      <c r="D2559" s="19" t="n"/>
      <c r="E2559" s="6" t="n"/>
      <c r="F2559" s="20" t="n"/>
      <c r="G2559" s="9">
        <f>IF($F2559="","",IF($F2559&gt;0,ROUND($F2559,2),""))</f>
        <v/>
      </c>
      <c r="H2559" s="12">
        <f>IF(OR($B2559="",$C2559="",$G2559=""),"",COUNTIFS(Ventes_Encaissements!$E$6:$E$3005,$B2559,Ventes_Encaissements!$J$6:$J$3005,$G2559,Ventes_Encaissements!$C$6:$C$3005,"&gt;="&amp;($C2559-3),Ventes_Encaissements!$C$6:$C$3005,"&lt;="&amp;($C2559+3)))</f>
        <v/>
      </c>
      <c r="I2559" s="12">
        <f>IF($H2559="","",IF($H2559=0,"Non trouvé",IF($H2559=1,"Match","À vérifier")))</f>
        <v/>
      </c>
      <c r="J2559" s="21">
        <f>IF($I2559&lt;&gt;"Match","",INDEX(Ventes_Encaissements!$B$6:$B$3005,_xludf.AGGREGATE(15,6,(ROW(Ventes_Encaissements!$B$6:$B$3005)-ROW(Ventes_Encaissements!$B$6)+1)/((Ventes_Encaissements!$E$6:$E$3005=$B2559)*(Ventes_Encaissements!$J$6:$J$3005=$G2559)*(Ventes_Encaissements!$C$6:$C$3005&gt;=$C2559-3)*(Ventes_Encaissements!$C$6:$C$3005&lt;=$C2559+3)),1)))</f>
        <v/>
      </c>
      <c r="K2559" s="6" t="n"/>
    </row>
    <row r="2560">
      <c r="A2560" s="6" t="n"/>
      <c r="B2560" s="6" t="n"/>
      <c r="C2560" s="19" t="n"/>
      <c r="D2560" s="19" t="n"/>
      <c r="E2560" s="6" t="n"/>
      <c r="F2560" s="20" t="n"/>
      <c r="G2560" s="9">
        <f>IF($F2560="","",IF($F2560&gt;0,ROUND($F2560,2),""))</f>
        <v/>
      </c>
      <c r="H2560" s="12">
        <f>IF(OR($B2560="",$C2560="",$G2560=""),"",COUNTIFS(Ventes_Encaissements!$E$6:$E$3005,$B2560,Ventes_Encaissements!$J$6:$J$3005,$G2560,Ventes_Encaissements!$C$6:$C$3005,"&gt;="&amp;($C2560-3),Ventes_Encaissements!$C$6:$C$3005,"&lt;="&amp;($C2560+3)))</f>
        <v/>
      </c>
      <c r="I2560" s="12">
        <f>IF($H2560="","",IF($H2560=0,"Non trouvé",IF($H2560=1,"Match","À vérifier")))</f>
        <v/>
      </c>
      <c r="J2560" s="21">
        <f>IF($I2560&lt;&gt;"Match","",INDEX(Ventes_Encaissements!$B$6:$B$3005,_xludf.AGGREGATE(15,6,(ROW(Ventes_Encaissements!$B$6:$B$3005)-ROW(Ventes_Encaissements!$B$6)+1)/((Ventes_Encaissements!$E$6:$E$3005=$B2560)*(Ventes_Encaissements!$J$6:$J$3005=$G2560)*(Ventes_Encaissements!$C$6:$C$3005&gt;=$C2560-3)*(Ventes_Encaissements!$C$6:$C$3005&lt;=$C2560+3)),1)))</f>
        <v/>
      </c>
      <c r="K2560" s="6" t="n"/>
    </row>
    <row r="2561">
      <c r="A2561" s="6" t="n"/>
      <c r="B2561" s="6" t="n"/>
      <c r="C2561" s="19" t="n"/>
      <c r="D2561" s="19" t="n"/>
      <c r="E2561" s="6" t="n"/>
      <c r="F2561" s="20" t="n"/>
      <c r="G2561" s="9">
        <f>IF($F2561="","",IF($F2561&gt;0,ROUND($F2561,2),""))</f>
        <v/>
      </c>
      <c r="H2561" s="12">
        <f>IF(OR($B2561="",$C2561="",$G2561=""),"",COUNTIFS(Ventes_Encaissements!$E$6:$E$3005,$B2561,Ventes_Encaissements!$J$6:$J$3005,$G2561,Ventes_Encaissements!$C$6:$C$3005,"&gt;="&amp;($C2561-3),Ventes_Encaissements!$C$6:$C$3005,"&lt;="&amp;($C2561+3)))</f>
        <v/>
      </c>
      <c r="I2561" s="12">
        <f>IF($H2561="","",IF($H2561=0,"Non trouvé",IF($H2561=1,"Match","À vérifier")))</f>
        <v/>
      </c>
      <c r="J2561" s="21">
        <f>IF($I2561&lt;&gt;"Match","",INDEX(Ventes_Encaissements!$B$6:$B$3005,_xludf.AGGREGATE(15,6,(ROW(Ventes_Encaissements!$B$6:$B$3005)-ROW(Ventes_Encaissements!$B$6)+1)/((Ventes_Encaissements!$E$6:$E$3005=$B2561)*(Ventes_Encaissements!$J$6:$J$3005=$G2561)*(Ventes_Encaissements!$C$6:$C$3005&gt;=$C2561-3)*(Ventes_Encaissements!$C$6:$C$3005&lt;=$C2561+3)),1)))</f>
        <v/>
      </c>
      <c r="K2561" s="6" t="n"/>
    </row>
    <row r="2562">
      <c r="A2562" s="6" t="n"/>
      <c r="B2562" s="6" t="n"/>
      <c r="C2562" s="19" t="n"/>
      <c r="D2562" s="19" t="n"/>
      <c r="E2562" s="6" t="n"/>
      <c r="F2562" s="20" t="n"/>
      <c r="G2562" s="9">
        <f>IF($F2562="","",IF($F2562&gt;0,ROUND($F2562,2),""))</f>
        <v/>
      </c>
      <c r="H2562" s="12">
        <f>IF(OR($B2562="",$C2562="",$G2562=""),"",COUNTIFS(Ventes_Encaissements!$E$6:$E$3005,$B2562,Ventes_Encaissements!$J$6:$J$3005,$G2562,Ventes_Encaissements!$C$6:$C$3005,"&gt;="&amp;($C2562-3),Ventes_Encaissements!$C$6:$C$3005,"&lt;="&amp;($C2562+3)))</f>
        <v/>
      </c>
      <c r="I2562" s="12">
        <f>IF($H2562="","",IF($H2562=0,"Non trouvé",IF($H2562=1,"Match","À vérifier")))</f>
        <v/>
      </c>
      <c r="J2562" s="21">
        <f>IF($I2562&lt;&gt;"Match","",INDEX(Ventes_Encaissements!$B$6:$B$3005,_xludf.AGGREGATE(15,6,(ROW(Ventes_Encaissements!$B$6:$B$3005)-ROW(Ventes_Encaissements!$B$6)+1)/((Ventes_Encaissements!$E$6:$E$3005=$B2562)*(Ventes_Encaissements!$J$6:$J$3005=$G2562)*(Ventes_Encaissements!$C$6:$C$3005&gt;=$C2562-3)*(Ventes_Encaissements!$C$6:$C$3005&lt;=$C2562+3)),1)))</f>
        <v/>
      </c>
      <c r="K2562" s="6" t="n"/>
    </row>
    <row r="2563">
      <c r="A2563" s="6" t="n"/>
      <c r="B2563" s="6" t="n"/>
      <c r="C2563" s="19" t="n"/>
      <c r="D2563" s="19" t="n"/>
      <c r="E2563" s="6" t="n"/>
      <c r="F2563" s="20" t="n"/>
      <c r="G2563" s="9">
        <f>IF($F2563="","",IF($F2563&gt;0,ROUND($F2563,2),""))</f>
        <v/>
      </c>
      <c r="H2563" s="12">
        <f>IF(OR($B2563="",$C2563="",$G2563=""),"",COUNTIFS(Ventes_Encaissements!$E$6:$E$3005,$B2563,Ventes_Encaissements!$J$6:$J$3005,$G2563,Ventes_Encaissements!$C$6:$C$3005,"&gt;="&amp;($C2563-3),Ventes_Encaissements!$C$6:$C$3005,"&lt;="&amp;($C2563+3)))</f>
        <v/>
      </c>
      <c r="I2563" s="12">
        <f>IF($H2563="","",IF($H2563=0,"Non trouvé",IF($H2563=1,"Match","À vérifier")))</f>
        <v/>
      </c>
      <c r="J2563" s="21">
        <f>IF($I2563&lt;&gt;"Match","",INDEX(Ventes_Encaissements!$B$6:$B$3005,_xludf.AGGREGATE(15,6,(ROW(Ventes_Encaissements!$B$6:$B$3005)-ROW(Ventes_Encaissements!$B$6)+1)/((Ventes_Encaissements!$E$6:$E$3005=$B2563)*(Ventes_Encaissements!$J$6:$J$3005=$G2563)*(Ventes_Encaissements!$C$6:$C$3005&gt;=$C2563-3)*(Ventes_Encaissements!$C$6:$C$3005&lt;=$C2563+3)),1)))</f>
        <v/>
      </c>
      <c r="K2563" s="6" t="n"/>
    </row>
    <row r="2564">
      <c r="A2564" s="6" t="n"/>
      <c r="B2564" s="6" t="n"/>
      <c r="C2564" s="19" t="n"/>
      <c r="D2564" s="19" t="n"/>
      <c r="E2564" s="6" t="n"/>
      <c r="F2564" s="20" t="n"/>
      <c r="G2564" s="9">
        <f>IF($F2564="","",IF($F2564&gt;0,ROUND($F2564,2),""))</f>
        <v/>
      </c>
      <c r="H2564" s="12">
        <f>IF(OR($B2564="",$C2564="",$G2564=""),"",COUNTIFS(Ventes_Encaissements!$E$6:$E$3005,$B2564,Ventes_Encaissements!$J$6:$J$3005,$G2564,Ventes_Encaissements!$C$6:$C$3005,"&gt;="&amp;($C2564-3),Ventes_Encaissements!$C$6:$C$3005,"&lt;="&amp;($C2564+3)))</f>
        <v/>
      </c>
      <c r="I2564" s="12">
        <f>IF($H2564="","",IF($H2564=0,"Non trouvé",IF($H2564=1,"Match","À vérifier")))</f>
        <v/>
      </c>
      <c r="J2564" s="21">
        <f>IF($I2564&lt;&gt;"Match","",INDEX(Ventes_Encaissements!$B$6:$B$3005,_xludf.AGGREGATE(15,6,(ROW(Ventes_Encaissements!$B$6:$B$3005)-ROW(Ventes_Encaissements!$B$6)+1)/((Ventes_Encaissements!$E$6:$E$3005=$B2564)*(Ventes_Encaissements!$J$6:$J$3005=$G2564)*(Ventes_Encaissements!$C$6:$C$3005&gt;=$C2564-3)*(Ventes_Encaissements!$C$6:$C$3005&lt;=$C2564+3)),1)))</f>
        <v/>
      </c>
      <c r="K2564" s="6" t="n"/>
    </row>
    <row r="2565">
      <c r="A2565" s="6" t="n"/>
      <c r="B2565" s="6" t="n"/>
      <c r="C2565" s="19" t="n"/>
      <c r="D2565" s="19" t="n"/>
      <c r="E2565" s="6" t="n"/>
      <c r="F2565" s="20" t="n"/>
      <c r="G2565" s="9">
        <f>IF($F2565="","",IF($F2565&gt;0,ROUND($F2565,2),""))</f>
        <v/>
      </c>
      <c r="H2565" s="12">
        <f>IF(OR($B2565="",$C2565="",$G2565=""),"",COUNTIFS(Ventes_Encaissements!$E$6:$E$3005,$B2565,Ventes_Encaissements!$J$6:$J$3005,$G2565,Ventes_Encaissements!$C$6:$C$3005,"&gt;="&amp;($C2565-3),Ventes_Encaissements!$C$6:$C$3005,"&lt;="&amp;($C2565+3)))</f>
        <v/>
      </c>
      <c r="I2565" s="12">
        <f>IF($H2565="","",IF($H2565=0,"Non trouvé",IF($H2565=1,"Match","À vérifier")))</f>
        <v/>
      </c>
      <c r="J2565" s="21">
        <f>IF($I2565&lt;&gt;"Match","",INDEX(Ventes_Encaissements!$B$6:$B$3005,_xludf.AGGREGATE(15,6,(ROW(Ventes_Encaissements!$B$6:$B$3005)-ROW(Ventes_Encaissements!$B$6)+1)/((Ventes_Encaissements!$E$6:$E$3005=$B2565)*(Ventes_Encaissements!$J$6:$J$3005=$G2565)*(Ventes_Encaissements!$C$6:$C$3005&gt;=$C2565-3)*(Ventes_Encaissements!$C$6:$C$3005&lt;=$C2565+3)),1)))</f>
        <v/>
      </c>
      <c r="K2565" s="6" t="n"/>
    </row>
    <row r="2566">
      <c r="A2566" s="6" t="n"/>
      <c r="B2566" s="6" t="n"/>
      <c r="C2566" s="19" t="n"/>
      <c r="D2566" s="19" t="n"/>
      <c r="E2566" s="6" t="n"/>
      <c r="F2566" s="20" t="n"/>
      <c r="G2566" s="9">
        <f>IF($F2566="","",IF($F2566&gt;0,ROUND($F2566,2),""))</f>
        <v/>
      </c>
      <c r="H2566" s="12">
        <f>IF(OR($B2566="",$C2566="",$G2566=""),"",COUNTIFS(Ventes_Encaissements!$E$6:$E$3005,$B2566,Ventes_Encaissements!$J$6:$J$3005,$G2566,Ventes_Encaissements!$C$6:$C$3005,"&gt;="&amp;($C2566-3),Ventes_Encaissements!$C$6:$C$3005,"&lt;="&amp;($C2566+3)))</f>
        <v/>
      </c>
      <c r="I2566" s="12">
        <f>IF($H2566="","",IF($H2566=0,"Non trouvé",IF($H2566=1,"Match","À vérifier")))</f>
        <v/>
      </c>
      <c r="J2566" s="21">
        <f>IF($I2566&lt;&gt;"Match","",INDEX(Ventes_Encaissements!$B$6:$B$3005,_xludf.AGGREGATE(15,6,(ROW(Ventes_Encaissements!$B$6:$B$3005)-ROW(Ventes_Encaissements!$B$6)+1)/((Ventes_Encaissements!$E$6:$E$3005=$B2566)*(Ventes_Encaissements!$J$6:$J$3005=$G2566)*(Ventes_Encaissements!$C$6:$C$3005&gt;=$C2566-3)*(Ventes_Encaissements!$C$6:$C$3005&lt;=$C2566+3)),1)))</f>
        <v/>
      </c>
      <c r="K2566" s="6" t="n"/>
    </row>
    <row r="2567">
      <c r="A2567" s="6" t="n"/>
      <c r="B2567" s="6" t="n"/>
      <c r="C2567" s="19" t="n"/>
      <c r="D2567" s="19" t="n"/>
      <c r="E2567" s="6" t="n"/>
      <c r="F2567" s="20" t="n"/>
      <c r="G2567" s="9">
        <f>IF($F2567="","",IF($F2567&gt;0,ROUND($F2567,2),""))</f>
        <v/>
      </c>
      <c r="H2567" s="12">
        <f>IF(OR($B2567="",$C2567="",$G2567=""),"",COUNTIFS(Ventes_Encaissements!$E$6:$E$3005,$B2567,Ventes_Encaissements!$J$6:$J$3005,$G2567,Ventes_Encaissements!$C$6:$C$3005,"&gt;="&amp;($C2567-3),Ventes_Encaissements!$C$6:$C$3005,"&lt;="&amp;($C2567+3)))</f>
        <v/>
      </c>
      <c r="I2567" s="12">
        <f>IF($H2567="","",IF($H2567=0,"Non trouvé",IF($H2567=1,"Match","À vérifier")))</f>
        <v/>
      </c>
      <c r="J2567" s="21">
        <f>IF($I2567&lt;&gt;"Match","",INDEX(Ventes_Encaissements!$B$6:$B$3005,_xludf.AGGREGATE(15,6,(ROW(Ventes_Encaissements!$B$6:$B$3005)-ROW(Ventes_Encaissements!$B$6)+1)/((Ventes_Encaissements!$E$6:$E$3005=$B2567)*(Ventes_Encaissements!$J$6:$J$3005=$G2567)*(Ventes_Encaissements!$C$6:$C$3005&gt;=$C2567-3)*(Ventes_Encaissements!$C$6:$C$3005&lt;=$C2567+3)),1)))</f>
        <v/>
      </c>
      <c r="K2567" s="6" t="n"/>
    </row>
    <row r="2568">
      <c r="A2568" s="6" t="n"/>
      <c r="B2568" s="6" t="n"/>
      <c r="C2568" s="19" t="n"/>
      <c r="D2568" s="19" t="n"/>
      <c r="E2568" s="6" t="n"/>
      <c r="F2568" s="20" t="n"/>
      <c r="G2568" s="9">
        <f>IF($F2568="","",IF($F2568&gt;0,ROUND($F2568,2),""))</f>
        <v/>
      </c>
      <c r="H2568" s="12">
        <f>IF(OR($B2568="",$C2568="",$G2568=""),"",COUNTIFS(Ventes_Encaissements!$E$6:$E$3005,$B2568,Ventes_Encaissements!$J$6:$J$3005,$G2568,Ventes_Encaissements!$C$6:$C$3005,"&gt;="&amp;($C2568-3),Ventes_Encaissements!$C$6:$C$3005,"&lt;="&amp;($C2568+3)))</f>
        <v/>
      </c>
      <c r="I2568" s="12">
        <f>IF($H2568="","",IF($H2568=0,"Non trouvé",IF($H2568=1,"Match","À vérifier")))</f>
        <v/>
      </c>
      <c r="J2568" s="21">
        <f>IF($I2568&lt;&gt;"Match","",INDEX(Ventes_Encaissements!$B$6:$B$3005,_xludf.AGGREGATE(15,6,(ROW(Ventes_Encaissements!$B$6:$B$3005)-ROW(Ventes_Encaissements!$B$6)+1)/((Ventes_Encaissements!$E$6:$E$3005=$B2568)*(Ventes_Encaissements!$J$6:$J$3005=$G2568)*(Ventes_Encaissements!$C$6:$C$3005&gt;=$C2568-3)*(Ventes_Encaissements!$C$6:$C$3005&lt;=$C2568+3)),1)))</f>
        <v/>
      </c>
      <c r="K2568" s="6" t="n"/>
    </row>
    <row r="2569">
      <c r="A2569" s="6" t="n"/>
      <c r="B2569" s="6" t="n"/>
      <c r="C2569" s="19" t="n"/>
      <c r="D2569" s="19" t="n"/>
      <c r="E2569" s="6" t="n"/>
      <c r="F2569" s="20" t="n"/>
      <c r="G2569" s="9">
        <f>IF($F2569="","",IF($F2569&gt;0,ROUND($F2569,2),""))</f>
        <v/>
      </c>
      <c r="H2569" s="12">
        <f>IF(OR($B2569="",$C2569="",$G2569=""),"",COUNTIFS(Ventes_Encaissements!$E$6:$E$3005,$B2569,Ventes_Encaissements!$J$6:$J$3005,$G2569,Ventes_Encaissements!$C$6:$C$3005,"&gt;="&amp;($C2569-3),Ventes_Encaissements!$C$6:$C$3005,"&lt;="&amp;($C2569+3)))</f>
        <v/>
      </c>
      <c r="I2569" s="12">
        <f>IF($H2569="","",IF($H2569=0,"Non trouvé",IF($H2569=1,"Match","À vérifier")))</f>
        <v/>
      </c>
      <c r="J2569" s="21">
        <f>IF($I2569&lt;&gt;"Match","",INDEX(Ventes_Encaissements!$B$6:$B$3005,_xludf.AGGREGATE(15,6,(ROW(Ventes_Encaissements!$B$6:$B$3005)-ROW(Ventes_Encaissements!$B$6)+1)/((Ventes_Encaissements!$E$6:$E$3005=$B2569)*(Ventes_Encaissements!$J$6:$J$3005=$G2569)*(Ventes_Encaissements!$C$6:$C$3005&gt;=$C2569-3)*(Ventes_Encaissements!$C$6:$C$3005&lt;=$C2569+3)),1)))</f>
        <v/>
      </c>
      <c r="K2569" s="6" t="n"/>
    </row>
    <row r="2570">
      <c r="A2570" s="6" t="n"/>
      <c r="B2570" s="6" t="n"/>
      <c r="C2570" s="19" t="n"/>
      <c r="D2570" s="19" t="n"/>
      <c r="E2570" s="6" t="n"/>
      <c r="F2570" s="20" t="n"/>
      <c r="G2570" s="9">
        <f>IF($F2570="","",IF($F2570&gt;0,ROUND($F2570,2),""))</f>
        <v/>
      </c>
      <c r="H2570" s="12">
        <f>IF(OR($B2570="",$C2570="",$G2570=""),"",COUNTIFS(Ventes_Encaissements!$E$6:$E$3005,$B2570,Ventes_Encaissements!$J$6:$J$3005,$G2570,Ventes_Encaissements!$C$6:$C$3005,"&gt;="&amp;($C2570-3),Ventes_Encaissements!$C$6:$C$3005,"&lt;="&amp;($C2570+3)))</f>
        <v/>
      </c>
      <c r="I2570" s="12">
        <f>IF($H2570="","",IF($H2570=0,"Non trouvé",IF($H2570=1,"Match","À vérifier")))</f>
        <v/>
      </c>
      <c r="J2570" s="21">
        <f>IF($I2570&lt;&gt;"Match","",INDEX(Ventes_Encaissements!$B$6:$B$3005,_xludf.AGGREGATE(15,6,(ROW(Ventes_Encaissements!$B$6:$B$3005)-ROW(Ventes_Encaissements!$B$6)+1)/((Ventes_Encaissements!$E$6:$E$3005=$B2570)*(Ventes_Encaissements!$J$6:$J$3005=$G2570)*(Ventes_Encaissements!$C$6:$C$3005&gt;=$C2570-3)*(Ventes_Encaissements!$C$6:$C$3005&lt;=$C2570+3)),1)))</f>
        <v/>
      </c>
      <c r="K2570" s="6" t="n"/>
    </row>
    <row r="2571">
      <c r="A2571" s="6" t="n"/>
      <c r="B2571" s="6" t="n"/>
      <c r="C2571" s="19" t="n"/>
      <c r="D2571" s="19" t="n"/>
      <c r="E2571" s="6" t="n"/>
      <c r="F2571" s="20" t="n"/>
      <c r="G2571" s="9">
        <f>IF($F2571="","",IF($F2571&gt;0,ROUND($F2571,2),""))</f>
        <v/>
      </c>
      <c r="H2571" s="12">
        <f>IF(OR($B2571="",$C2571="",$G2571=""),"",COUNTIFS(Ventes_Encaissements!$E$6:$E$3005,$B2571,Ventes_Encaissements!$J$6:$J$3005,$G2571,Ventes_Encaissements!$C$6:$C$3005,"&gt;="&amp;($C2571-3),Ventes_Encaissements!$C$6:$C$3005,"&lt;="&amp;($C2571+3)))</f>
        <v/>
      </c>
      <c r="I2571" s="12">
        <f>IF($H2571="","",IF($H2571=0,"Non trouvé",IF($H2571=1,"Match","À vérifier")))</f>
        <v/>
      </c>
      <c r="J2571" s="21">
        <f>IF($I2571&lt;&gt;"Match","",INDEX(Ventes_Encaissements!$B$6:$B$3005,_xludf.AGGREGATE(15,6,(ROW(Ventes_Encaissements!$B$6:$B$3005)-ROW(Ventes_Encaissements!$B$6)+1)/((Ventes_Encaissements!$E$6:$E$3005=$B2571)*(Ventes_Encaissements!$J$6:$J$3005=$G2571)*(Ventes_Encaissements!$C$6:$C$3005&gt;=$C2571-3)*(Ventes_Encaissements!$C$6:$C$3005&lt;=$C2571+3)),1)))</f>
        <v/>
      </c>
      <c r="K2571" s="6" t="n"/>
    </row>
    <row r="2572">
      <c r="A2572" s="6" t="n"/>
      <c r="B2572" s="6" t="n"/>
      <c r="C2572" s="19" t="n"/>
      <c r="D2572" s="19" t="n"/>
      <c r="E2572" s="6" t="n"/>
      <c r="F2572" s="20" t="n"/>
      <c r="G2572" s="9">
        <f>IF($F2572="","",IF($F2572&gt;0,ROUND($F2572,2),""))</f>
        <v/>
      </c>
      <c r="H2572" s="12">
        <f>IF(OR($B2572="",$C2572="",$G2572=""),"",COUNTIFS(Ventes_Encaissements!$E$6:$E$3005,$B2572,Ventes_Encaissements!$J$6:$J$3005,$G2572,Ventes_Encaissements!$C$6:$C$3005,"&gt;="&amp;($C2572-3),Ventes_Encaissements!$C$6:$C$3005,"&lt;="&amp;($C2572+3)))</f>
        <v/>
      </c>
      <c r="I2572" s="12">
        <f>IF($H2572="","",IF($H2572=0,"Non trouvé",IF($H2572=1,"Match","À vérifier")))</f>
        <v/>
      </c>
      <c r="J2572" s="21">
        <f>IF($I2572&lt;&gt;"Match","",INDEX(Ventes_Encaissements!$B$6:$B$3005,_xludf.AGGREGATE(15,6,(ROW(Ventes_Encaissements!$B$6:$B$3005)-ROW(Ventes_Encaissements!$B$6)+1)/((Ventes_Encaissements!$E$6:$E$3005=$B2572)*(Ventes_Encaissements!$J$6:$J$3005=$G2572)*(Ventes_Encaissements!$C$6:$C$3005&gt;=$C2572-3)*(Ventes_Encaissements!$C$6:$C$3005&lt;=$C2572+3)),1)))</f>
        <v/>
      </c>
      <c r="K2572" s="6" t="n"/>
    </row>
    <row r="2573">
      <c r="A2573" s="6" t="n"/>
      <c r="B2573" s="6" t="n"/>
      <c r="C2573" s="19" t="n"/>
      <c r="D2573" s="19" t="n"/>
      <c r="E2573" s="6" t="n"/>
      <c r="F2573" s="20" t="n"/>
      <c r="G2573" s="9">
        <f>IF($F2573="","",IF($F2573&gt;0,ROUND($F2573,2),""))</f>
        <v/>
      </c>
      <c r="H2573" s="12">
        <f>IF(OR($B2573="",$C2573="",$G2573=""),"",COUNTIFS(Ventes_Encaissements!$E$6:$E$3005,$B2573,Ventes_Encaissements!$J$6:$J$3005,$G2573,Ventes_Encaissements!$C$6:$C$3005,"&gt;="&amp;($C2573-3),Ventes_Encaissements!$C$6:$C$3005,"&lt;="&amp;($C2573+3)))</f>
        <v/>
      </c>
      <c r="I2573" s="12">
        <f>IF($H2573="","",IF($H2573=0,"Non trouvé",IF($H2573=1,"Match","À vérifier")))</f>
        <v/>
      </c>
      <c r="J2573" s="21">
        <f>IF($I2573&lt;&gt;"Match","",INDEX(Ventes_Encaissements!$B$6:$B$3005,_xludf.AGGREGATE(15,6,(ROW(Ventes_Encaissements!$B$6:$B$3005)-ROW(Ventes_Encaissements!$B$6)+1)/((Ventes_Encaissements!$E$6:$E$3005=$B2573)*(Ventes_Encaissements!$J$6:$J$3005=$G2573)*(Ventes_Encaissements!$C$6:$C$3005&gt;=$C2573-3)*(Ventes_Encaissements!$C$6:$C$3005&lt;=$C2573+3)),1)))</f>
        <v/>
      </c>
      <c r="K2573" s="6" t="n"/>
    </row>
    <row r="2574">
      <c r="A2574" s="6" t="n"/>
      <c r="B2574" s="6" t="n"/>
      <c r="C2574" s="19" t="n"/>
      <c r="D2574" s="19" t="n"/>
      <c r="E2574" s="6" t="n"/>
      <c r="F2574" s="20" t="n"/>
      <c r="G2574" s="9">
        <f>IF($F2574="","",IF($F2574&gt;0,ROUND($F2574,2),""))</f>
        <v/>
      </c>
      <c r="H2574" s="12">
        <f>IF(OR($B2574="",$C2574="",$G2574=""),"",COUNTIFS(Ventes_Encaissements!$E$6:$E$3005,$B2574,Ventes_Encaissements!$J$6:$J$3005,$G2574,Ventes_Encaissements!$C$6:$C$3005,"&gt;="&amp;($C2574-3),Ventes_Encaissements!$C$6:$C$3005,"&lt;="&amp;($C2574+3)))</f>
        <v/>
      </c>
      <c r="I2574" s="12">
        <f>IF($H2574="","",IF($H2574=0,"Non trouvé",IF($H2574=1,"Match","À vérifier")))</f>
        <v/>
      </c>
      <c r="J2574" s="21">
        <f>IF($I2574&lt;&gt;"Match","",INDEX(Ventes_Encaissements!$B$6:$B$3005,_xludf.AGGREGATE(15,6,(ROW(Ventes_Encaissements!$B$6:$B$3005)-ROW(Ventes_Encaissements!$B$6)+1)/((Ventes_Encaissements!$E$6:$E$3005=$B2574)*(Ventes_Encaissements!$J$6:$J$3005=$G2574)*(Ventes_Encaissements!$C$6:$C$3005&gt;=$C2574-3)*(Ventes_Encaissements!$C$6:$C$3005&lt;=$C2574+3)),1)))</f>
        <v/>
      </c>
      <c r="K2574" s="6" t="n"/>
    </row>
    <row r="2575">
      <c r="A2575" s="6" t="n"/>
      <c r="B2575" s="6" t="n"/>
      <c r="C2575" s="19" t="n"/>
      <c r="D2575" s="19" t="n"/>
      <c r="E2575" s="6" t="n"/>
      <c r="F2575" s="20" t="n"/>
      <c r="G2575" s="9">
        <f>IF($F2575="","",IF($F2575&gt;0,ROUND($F2575,2),""))</f>
        <v/>
      </c>
      <c r="H2575" s="12">
        <f>IF(OR($B2575="",$C2575="",$G2575=""),"",COUNTIFS(Ventes_Encaissements!$E$6:$E$3005,$B2575,Ventes_Encaissements!$J$6:$J$3005,$G2575,Ventes_Encaissements!$C$6:$C$3005,"&gt;="&amp;($C2575-3),Ventes_Encaissements!$C$6:$C$3005,"&lt;="&amp;($C2575+3)))</f>
        <v/>
      </c>
      <c r="I2575" s="12">
        <f>IF($H2575="","",IF($H2575=0,"Non trouvé",IF($H2575=1,"Match","À vérifier")))</f>
        <v/>
      </c>
      <c r="J2575" s="21">
        <f>IF($I2575&lt;&gt;"Match","",INDEX(Ventes_Encaissements!$B$6:$B$3005,_xludf.AGGREGATE(15,6,(ROW(Ventes_Encaissements!$B$6:$B$3005)-ROW(Ventes_Encaissements!$B$6)+1)/((Ventes_Encaissements!$E$6:$E$3005=$B2575)*(Ventes_Encaissements!$J$6:$J$3005=$G2575)*(Ventes_Encaissements!$C$6:$C$3005&gt;=$C2575-3)*(Ventes_Encaissements!$C$6:$C$3005&lt;=$C2575+3)),1)))</f>
        <v/>
      </c>
      <c r="K2575" s="6" t="n"/>
    </row>
    <row r="2576">
      <c r="A2576" s="6" t="n"/>
      <c r="B2576" s="6" t="n"/>
      <c r="C2576" s="19" t="n"/>
      <c r="D2576" s="19" t="n"/>
      <c r="E2576" s="6" t="n"/>
      <c r="F2576" s="20" t="n"/>
      <c r="G2576" s="9">
        <f>IF($F2576="","",IF($F2576&gt;0,ROUND($F2576,2),""))</f>
        <v/>
      </c>
      <c r="H2576" s="12">
        <f>IF(OR($B2576="",$C2576="",$G2576=""),"",COUNTIFS(Ventes_Encaissements!$E$6:$E$3005,$B2576,Ventes_Encaissements!$J$6:$J$3005,$G2576,Ventes_Encaissements!$C$6:$C$3005,"&gt;="&amp;($C2576-3),Ventes_Encaissements!$C$6:$C$3005,"&lt;="&amp;($C2576+3)))</f>
        <v/>
      </c>
      <c r="I2576" s="12">
        <f>IF($H2576="","",IF($H2576=0,"Non trouvé",IF($H2576=1,"Match","À vérifier")))</f>
        <v/>
      </c>
      <c r="J2576" s="21">
        <f>IF($I2576&lt;&gt;"Match","",INDEX(Ventes_Encaissements!$B$6:$B$3005,_xludf.AGGREGATE(15,6,(ROW(Ventes_Encaissements!$B$6:$B$3005)-ROW(Ventes_Encaissements!$B$6)+1)/((Ventes_Encaissements!$E$6:$E$3005=$B2576)*(Ventes_Encaissements!$J$6:$J$3005=$G2576)*(Ventes_Encaissements!$C$6:$C$3005&gt;=$C2576-3)*(Ventes_Encaissements!$C$6:$C$3005&lt;=$C2576+3)),1)))</f>
        <v/>
      </c>
      <c r="K2576" s="6" t="n"/>
    </row>
    <row r="2577">
      <c r="A2577" s="6" t="n"/>
      <c r="B2577" s="6" t="n"/>
      <c r="C2577" s="19" t="n"/>
      <c r="D2577" s="19" t="n"/>
      <c r="E2577" s="6" t="n"/>
      <c r="F2577" s="20" t="n"/>
      <c r="G2577" s="9">
        <f>IF($F2577="","",IF($F2577&gt;0,ROUND($F2577,2),""))</f>
        <v/>
      </c>
      <c r="H2577" s="12">
        <f>IF(OR($B2577="",$C2577="",$G2577=""),"",COUNTIFS(Ventes_Encaissements!$E$6:$E$3005,$B2577,Ventes_Encaissements!$J$6:$J$3005,$G2577,Ventes_Encaissements!$C$6:$C$3005,"&gt;="&amp;($C2577-3),Ventes_Encaissements!$C$6:$C$3005,"&lt;="&amp;($C2577+3)))</f>
        <v/>
      </c>
      <c r="I2577" s="12">
        <f>IF($H2577="","",IF($H2577=0,"Non trouvé",IF($H2577=1,"Match","À vérifier")))</f>
        <v/>
      </c>
      <c r="J2577" s="21">
        <f>IF($I2577&lt;&gt;"Match","",INDEX(Ventes_Encaissements!$B$6:$B$3005,_xludf.AGGREGATE(15,6,(ROW(Ventes_Encaissements!$B$6:$B$3005)-ROW(Ventes_Encaissements!$B$6)+1)/((Ventes_Encaissements!$E$6:$E$3005=$B2577)*(Ventes_Encaissements!$J$6:$J$3005=$G2577)*(Ventes_Encaissements!$C$6:$C$3005&gt;=$C2577-3)*(Ventes_Encaissements!$C$6:$C$3005&lt;=$C2577+3)),1)))</f>
        <v/>
      </c>
      <c r="K2577" s="6" t="n"/>
    </row>
    <row r="2578">
      <c r="A2578" s="6" t="n"/>
      <c r="B2578" s="6" t="n"/>
      <c r="C2578" s="19" t="n"/>
      <c r="D2578" s="19" t="n"/>
      <c r="E2578" s="6" t="n"/>
      <c r="F2578" s="20" t="n"/>
      <c r="G2578" s="9">
        <f>IF($F2578="","",IF($F2578&gt;0,ROUND($F2578,2),""))</f>
        <v/>
      </c>
      <c r="H2578" s="12">
        <f>IF(OR($B2578="",$C2578="",$G2578=""),"",COUNTIFS(Ventes_Encaissements!$E$6:$E$3005,$B2578,Ventes_Encaissements!$J$6:$J$3005,$G2578,Ventes_Encaissements!$C$6:$C$3005,"&gt;="&amp;($C2578-3),Ventes_Encaissements!$C$6:$C$3005,"&lt;="&amp;($C2578+3)))</f>
        <v/>
      </c>
      <c r="I2578" s="12">
        <f>IF($H2578="","",IF($H2578=0,"Non trouvé",IF($H2578=1,"Match","À vérifier")))</f>
        <v/>
      </c>
      <c r="J2578" s="21">
        <f>IF($I2578&lt;&gt;"Match","",INDEX(Ventes_Encaissements!$B$6:$B$3005,_xludf.AGGREGATE(15,6,(ROW(Ventes_Encaissements!$B$6:$B$3005)-ROW(Ventes_Encaissements!$B$6)+1)/((Ventes_Encaissements!$E$6:$E$3005=$B2578)*(Ventes_Encaissements!$J$6:$J$3005=$G2578)*(Ventes_Encaissements!$C$6:$C$3005&gt;=$C2578-3)*(Ventes_Encaissements!$C$6:$C$3005&lt;=$C2578+3)),1)))</f>
        <v/>
      </c>
      <c r="K2578" s="6" t="n"/>
    </row>
    <row r="2579">
      <c r="A2579" s="6" t="n"/>
      <c r="B2579" s="6" t="n"/>
      <c r="C2579" s="19" t="n"/>
      <c r="D2579" s="19" t="n"/>
      <c r="E2579" s="6" t="n"/>
      <c r="F2579" s="20" t="n"/>
      <c r="G2579" s="9">
        <f>IF($F2579="","",IF($F2579&gt;0,ROUND($F2579,2),""))</f>
        <v/>
      </c>
      <c r="H2579" s="12">
        <f>IF(OR($B2579="",$C2579="",$G2579=""),"",COUNTIFS(Ventes_Encaissements!$E$6:$E$3005,$B2579,Ventes_Encaissements!$J$6:$J$3005,$G2579,Ventes_Encaissements!$C$6:$C$3005,"&gt;="&amp;($C2579-3),Ventes_Encaissements!$C$6:$C$3005,"&lt;="&amp;($C2579+3)))</f>
        <v/>
      </c>
      <c r="I2579" s="12">
        <f>IF($H2579="","",IF($H2579=0,"Non trouvé",IF($H2579=1,"Match","À vérifier")))</f>
        <v/>
      </c>
      <c r="J2579" s="21">
        <f>IF($I2579&lt;&gt;"Match","",INDEX(Ventes_Encaissements!$B$6:$B$3005,_xludf.AGGREGATE(15,6,(ROW(Ventes_Encaissements!$B$6:$B$3005)-ROW(Ventes_Encaissements!$B$6)+1)/((Ventes_Encaissements!$E$6:$E$3005=$B2579)*(Ventes_Encaissements!$J$6:$J$3005=$G2579)*(Ventes_Encaissements!$C$6:$C$3005&gt;=$C2579-3)*(Ventes_Encaissements!$C$6:$C$3005&lt;=$C2579+3)),1)))</f>
        <v/>
      </c>
      <c r="K2579" s="6" t="n"/>
    </row>
    <row r="2580">
      <c r="A2580" s="6" t="n"/>
      <c r="B2580" s="6" t="n"/>
      <c r="C2580" s="19" t="n"/>
      <c r="D2580" s="19" t="n"/>
      <c r="E2580" s="6" t="n"/>
      <c r="F2580" s="20" t="n"/>
      <c r="G2580" s="9">
        <f>IF($F2580="","",IF($F2580&gt;0,ROUND($F2580,2),""))</f>
        <v/>
      </c>
      <c r="H2580" s="12">
        <f>IF(OR($B2580="",$C2580="",$G2580=""),"",COUNTIFS(Ventes_Encaissements!$E$6:$E$3005,$B2580,Ventes_Encaissements!$J$6:$J$3005,$G2580,Ventes_Encaissements!$C$6:$C$3005,"&gt;="&amp;($C2580-3),Ventes_Encaissements!$C$6:$C$3005,"&lt;="&amp;($C2580+3)))</f>
        <v/>
      </c>
      <c r="I2580" s="12">
        <f>IF($H2580="","",IF($H2580=0,"Non trouvé",IF($H2580=1,"Match","À vérifier")))</f>
        <v/>
      </c>
      <c r="J2580" s="21">
        <f>IF($I2580&lt;&gt;"Match","",INDEX(Ventes_Encaissements!$B$6:$B$3005,_xludf.AGGREGATE(15,6,(ROW(Ventes_Encaissements!$B$6:$B$3005)-ROW(Ventes_Encaissements!$B$6)+1)/((Ventes_Encaissements!$E$6:$E$3005=$B2580)*(Ventes_Encaissements!$J$6:$J$3005=$G2580)*(Ventes_Encaissements!$C$6:$C$3005&gt;=$C2580-3)*(Ventes_Encaissements!$C$6:$C$3005&lt;=$C2580+3)),1)))</f>
        <v/>
      </c>
      <c r="K2580" s="6" t="n"/>
    </row>
    <row r="2581">
      <c r="A2581" s="6" t="n"/>
      <c r="B2581" s="6" t="n"/>
      <c r="C2581" s="19" t="n"/>
      <c r="D2581" s="19" t="n"/>
      <c r="E2581" s="6" t="n"/>
      <c r="F2581" s="20" t="n"/>
      <c r="G2581" s="9">
        <f>IF($F2581="","",IF($F2581&gt;0,ROUND($F2581,2),""))</f>
        <v/>
      </c>
      <c r="H2581" s="12">
        <f>IF(OR($B2581="",$C2581="",$G2581=""),"",COUNTIFS(Ventes_Encaissements!$E$6:$E$3005,$B2581,Ventes_Encaissements!$J$6:$J$3005,$G2581,Ventes_Encaissements!$C$6:$C$3005,"&gt;="&amp;($C2581-3),Ventes_Encaissements!$C$6:$C$3005,"&lt;="&amp;($C2581+3)))</f>
        <v/>
      </c>
      <c r="I2581" s="12">
        <f>IF($H2581="","",IF($H2581=0,"Non trouvé",IF($H2581=1,"Match","À vérifier")))</f>
        <v/>
      </c>
      <c r="J2581" s="21">
        <f>IF($I2581&lt;&gt;"Match","",INDEX(Ventes_Encaissements!$B$6:$B$3005,_xludf.AGGREGATE(15,6,(ROW(Ventes_Encaissements!$B$6:$B$3005)-ROW(Ventes_Encaissements!$B$6)+1)/((Ventes_Encaissements!$E$6:$E$3005=$B2581)*(Ventes_Encaissements!$J$6:$J$3005=$G2581)*(Ventes_Encaissements!$C$6:$C$3005&gt;=$C2581-3)*(Ventes_Encaissements!$C$6:$C$3005&lt;=$C2581+3)),1)))</f>
        <v/>
      </c>
      <c r="K2581" s="6" t="n"/>
    </row>
    <row r="2582">
      <c r="A2582" s="6" t="n"/>
      <c r="B2582" s="6" t="n"/>
      <c r="C2582" s="19" t="n"/>
      <c r="D2582" s="19" t="n"/>
      <c r="E2582" s="6" t="n"/>
      <c r="F2582" s="20" t="n"/>
      <c r="G2582" s="9">
        <f>IF($F2582="","",IF($F2582&gt;0,ROUND($F2582,2),""))</f>
        <v/>
      </c>
      <c r="H2582" s="12">
        <f>IF(OR($B2582="",$C2582="",$G2582=""),"",COUNTIFS(Ventes_Encaissements!$E$6:$E$3005,$B2582,Ventes_Encaissements!$J$6:$J$3005,$G2582,Ventes_Encaissements!$C$6:$C$3005,"&gt;="&amp;($C2582-3),Ventes_Encaissements!$C$6:$C$3005,"&lt;="&amp;($C2582+3)))</f>
        <v/>
      </c>
      <c r="I2582" s="12">
        <f>IF($H2582="","",IF($H2582=0,"Non trouvé",IF($H2582=1,"Match","À vérifier")))</f>
        <v/>
      </c>
      <c r="J2582" s="21">
        <f>IF($I2582&lt;&gt;"Match","",INDEX(Ventes_Encaissements!$B$6:$B$3005,_xludf.AGGREGATE(15,6,(ROW(Ventes_Encaissements!$B$6:$B$3005)-ROW(Ventes_Encaissements!$B$6)+1)/((Ventes_Encaissements!$E$6:$E$3005=$B2582)*(Ventes_Encaissements!$J$6:$J$3005=$G2582)*(Ventes_Encaissements!$C$6:$C$3005&gt;=$C2582-3)*(Ventes_Encaissements!$C$6:$C$3005&lt;=$C2582+3)),1)))</f>
        <v/>
      </c>
      <c r="K2582" s="6" t="n"/>
    </row>
    <row r="2583">
      <c r="A2583" s="6" t="n"/>
      <c r="B2583" s="6" t="n"/>
      <c r="C2583" s="19" t="n"/>
      <c r="D2583" s="19" t="n"/>
      <c r="E2583" s="6" t="n"/>
      <c r="F2583" s="20" t="n"/>
      <c r="G2583" s="9">
        <f>IF($F2583="","",IF($F2583&gt;0,ROUND($F2583,2),""))</f>
        <v/>
      </c>
      <c r="H2583" s="12">
        <f>IF(OR($B2583="",$C2583="",$G2583=""),"",COUNTIFS(Ventes_Encaissements!$E$6:$E$3005,$B2583,Ventes_Encaissements!$J$6:$J$3005,$G2583,Ventes_Encaissements!$C$6:$C$3005,"&gt;="&amp;($C2583-3),Ventes_Encaissements!$C$6:$C$3005,"&lt;="&amp;($C2583+3)))</f>
        <v/>
      </c>
      <c r="I2583" s="12">
        <f>IF($H2583="","",IF($H2583=0,"Non trouvé",IF($H2583=1,"Match","À vérifier")))</f>
        <v/>
      </c>
      <c r="J2583" s="21">
        <f>IF($I2583&lt;&gt;"Match","",INDEX(Ventes_Encaissements!$B$6:$B$3005,_xludf.AGGREGATE(15,6,(ROW(Ventes_Encaissements!$B$6:$B$3005)-ROW(Ventes_Encaissements!$B$6)+1)/((Ventes_Encaissements!$E$6:$E$3005=$B2583)*(Ventes_Encaissements!$J$6:$J$3005=$G2583)*(Ventes_Encaissements!$C$6:$C$3005&gt;=$C2583-3)*(Ventes_Encaissements!$C$6:$C$3005&lt;=$C2583+3)),1)))</f>
        <v/>
      </c>
      <c r="K2583" s="6" t="n"/>
    </row>
    <row r="2584">
      <c r="A2584" s="6" t="n"/>
      <c r="B2584" s="6" t="n"/>
      <c r="C2584" s="19" t="n"/>
      <c r="D2584" s="19" t="n"/>
      <c r="E2584" s="6" t="n"/>
      <c r="F2584" s="20" t="n"/>
      <c r="G2584" s="9">
        <f>IF($F2584="","",IF($F2584&gt;0,ROUND($F2584,2),""))</f>
        <v/>
      </c>
      <c r="H2584" s="12">
        <f>IF(OR($B2584="",$C2584="",$G2584=""),"",COUNTIFS(Ventes_Encaissements!$E$6:$E$3005,$B2584,Ventes_Encaissements!$J$6:$J$3005,$G2584,Ventes_Encaissements!$C$6:$C$3005,"&gt;="&amp;($C2584-3),Ventes_Encaissements!$C$6:$C$3005,"&lt;="&amp;($C2584+3)))</f>
        <v/>
      </c>
      <c r="I2584" s="12">
        <f>IF($H2584="","",IF($H2584=0,"Non trouvé",IF($H2584=1,"Match","À vérifier")))</f>
        <v/>
      </c>
      <c r="J2584" s="21">
        <f>IF($I2584&lt;&gt;"Match","",INDEX(Ventes_Encaissements!$B$6:$B$3005,_xludf.AGGREGATE(15,6,(ROW(Ventes_Encaissements!$B$6:$B$3005)-ROW(Ventes_Encaissements!$B$6)+1)/((Ventes_Encaissements!$E$6:$E$3005=$B2584)*(Ventes_Encaissements!$J$6:$J$3005=$G2584)*(Ventes_Encaissements!$C$6:$C$3005&gt;=$C2584-3)*(Ventes_Encaissements!$C$6:$C$3005&lt;=$C2584+3)),1)))</f>
        <v/>
      </c>
      <c r="K2584" s="6" t="n"/>
    </row>
    <row r="2585">
      <c r="A2585" s="6" t="n"/>
      <c r="B2585" s="6" t="n"/>
      <c r="C2585" s="19" t="n"/>
      <c r="D2585" s="19" t="n"/>
      <c r="E2585" s="6" t="n"/>
      <c r="F2585" s="20" t="n"/>
      <c r="G2585" s="9">
        <f>IF($F2585="","",IF($F2585&gt;0,ROUND($F2585,2),""))</f>
        <v/>
      </c>
      <c r="H2585" s="12">
        <f>IF(OR($B2585="",$C2585="",$G2585=""),"",COUNTIFS(Ventes_Encaissements!$E$6:$E$3005,$B2585,Ventes_Encaissements!$J$6:$J$3005,$G2585,Ventes_Encaissements!$C$6:$C$3005,"&gt;="&amp;($C2585-3),Ventes_Encaissements!$C$6:$C$3005,"&lt;="&amp;($C2585+3)))</f>
        <v/>
      </c>
      <c r="I2585" s="12">
        <f>IF($H2585="","",IF($H2585=0,"Non trouvé",IF($H2585=1,"Match","À vérifier")))</f>
        <v/>
      </c>
      <c r="J2585" s="21">
        <f>IF($I2585&lt;&gt;"Match","",INDEX(Ventes_Encaissements!$B$6:$B$3005,_xludf.AGGREGATE(15,6,(ROW(Ventes_Encaissements!$B$6:$B$3005)-ROW(Ventes_Encaissements!$B$6)+1)/((Ventes_Encaissements!$E$6:$E$3005=$B2585)*(Ventes_Encaissements!$J$6:$J$3005=$G2585)*(Ventes_Encaissements!$C$6:$C$3005&gt;=$C2585-3)*(Ventes_Encaissements!$C$6:$C$3005&lt;=$C2585+3)),1)))</f>
        <v/>
      </c>
      <c r="K2585" s="6" t="n"/>
    </row>
    <row r="2586">
      <c r="A2586" s="6" t="n"/>
      <c r="B2586" s="6" t="n"/>
      <c r="C2586" s="19" t="n"/>
      <c r="D2586" s="19" t="n"/>
      <c r="E2586" s="6" t="n"/>
      <c r="F2586" s="20" t="n"/>
      <c r="G2586" s="9">
        <f>IF($F2586="","",IF($F2586&gt;0,ROUND($F2586,2),""))</f>
        <v/>
      </c>
      <c r="H2586" s="12">
        <f>IF(OR($B2586="",$C2586="",$G2586=""),"",COUNTIFS(Ventes_Encaissements!$E$6:$E$3005,$B2586,Ventes_Encaissements!$J$6:$J$3005,$G2586,Ventes_Encaissements!$C$6:$C$3005,"&gt;="&amp;($C2586-3),Ventes_Encaissements!$C$6:$C$3005,"&lt;="&amp;($C2586+3)))</f>
        <v/>
      </c>
      <c r="I2586" s="12">
        <f>IF($H2586="","",IF($H2586=0,"Non trouvé",IF($H2586=1,"Match","À vérifier")))</f>
        <v/>
      </c>
      <c r="J2586" s="21">
        <f>IF($I2586&lt;&gt;"Match","",INDEX(Ventes_Encaissements!$B$6:$B$3005,_xludf.AGGREGATE(15,6,(ROW(Ventes_Encaissements!$B$6:$B$3005)-ROW(Ventes_Encaissements!$B$6)+1)/((Ventes_Encaissements!$E$6:$E$3005=$B2586)*(Ventes_Encaissements!$J$6:$J$3005=$G2586)*(Ventes_Encaissements!$C$6:$C$3005&gt;=$C2586-3)*(Ventes_Encaissements!$C$6:$C$3005&lt;=$C2586+3)),1)))</f>
        <v/>
      </c>
      <c r="K2586" s="6" t="n"/>
    </row>
    <row r="2587">
      <c r="A2587" s="6" t="n"/>
      <c r="B2587" s="6" t="n"/>
      <c r="C2587" s="19" t="n"/>
      <c r="D2587" s="19" t="n"/>
      <c r="E2587" s="6" t="n"/>
      <c r="F2587" s="20" t="n"/>
      <c r="G2587" s="9">
        <f>IF($F2587="","",IF($F2587&gt;0,ROUND($F2587,2),""))</f>
        <v/>
      </c>
      <c r="H2587" s="12">
        <f>IF(OR($B2587="",$C2587="",$G2587=""),"",COUNTIFS(Ventes_Encaissements!$E$6:$E$3005,$B2587,Ventes_Encaissements!$J$6:$J$3005,$G2587,Ventes_Encaissements!$C$6:$C$3005,"&gt;="&amp;($C2587-3),Ventes_Encaissements!$C$6:$C$3005,"&lt;="&amp;($C2587+3)))</f>
        <v/>
      </c>
      <c r="I2587" s="12">
        <f>IF($H2587="","",IF($H2587=0,"Non trouvé",IF($H2587=1,"Match","À vérifier")))</f>
        <v/>
      </c>
      <c r="J2587" s="21">
        <f>IF($I2587&lt;&gt;"Match","",INDEX(Ventes_Encaissements!$B$6:$B$3005,_xludf.AGGREGATE(15,6,(ROW(Ventes_Encaissements!$B$6:$B$3005)-ROW(Ventes_Encaissements!$B$6)+1)/((Ventes_Encaissements!$E$6:$E$3005=$B2587)*(Ventes_Encaissements!$J$6:$J$3005=$G2587)*(Ventes_Encaissements!$C$6:$C$3005&gt;=$C2587-3)*(Ventes_Encaissements!$C$6:$C$3005&lt;=$C2587+3)),1)))</f>
        <v/>
      </c>
      <c r="K2587" s="6" t="n"/>
    </row>
    <row r="2588">
      <c r="A2588" s="6" t="n"/>
      <c r="B2588" s="6" t="n"/>
      <c r="C2588" s="19" t="n"/>
      <c r="D2588" s="19" t="n"/>
      <c r="E2588" s="6" t="n"/>
      <c r="F2588" s="20" t="n"/>
      <c r="G2588" s="9">
        <f>IF($F2588="","",IF($F2588&gt;0,ROUND($F2588,2),""))</f>
        <v/>
      </c>
      <c r="H2588" s="12">
        <f>IF(OR($B2588="",$C2588="",$G2588=""),"",COUNTIFS(Ventes_Encaissements!$E$6:$E$3005,$B2588,Ventes_Encaissements!$J$6:$J$3005,$G2588,Ventes_Encaissements!$C$6:$C$3005,"&gt;="&amp;($C2588-3),Ventes_Encaissements!$C$6:$C$3005,"&lt;="&amp;($C2588+3)))</f>
        <v/>
      </c>
      <c r="I2588" s="12">
        <f>IF($H2588="","",IF($H2588=0,"Non trouvé",IF($H2588=1,"Match","À vérifier")))</f>
        <v/>
      </c>
      <c r="J2588" s="21">
        <f>IF($I2588&lt;&gt;"Match","",INDEX(Ventes_Encaissements!$B$6:$B$3005,_xludf.AGGREGATE(15,6,(ROW(Ventes_Encaissements!$B$6:$B$3005)-ROW(Ventes_Encaissements!$B$6)+1)/((Ventes_Encaissements!$E$6:$E$3005=$B2588)*(Ventes_Encaissements!$J$6:$J$3005=$G2588)*(Ventes_Encaissements!$C$6:$C$3005&gt;=$C2588-3)*(Ventes_Encaissements!$C$6:$C$3005&lt;=$C2588+3)),1)))</f>
        <v/>
      </c>
      <c r="K2588" s="6" t="n"/>
    </row>
    <row r="2589">
      <c r="A2589" s="6" t="n"/>
      <c r="B2589" s="6" t="n"/>
      <c r="C2589" s="19" t="n"/>
      <c r="D2589" s="19" t="n"/>
      <c r="E2589" s="6" t="n"/>
      <c r="F2589" s="20" t="n"/>
      <c r="G2589" s="9">
        <f>IF($F2589="","",IF($F2589&gt;0,ROUND($F2589,2),""))</f>
        <v/>
      </c>
      <c r="H2589" s="12">
        <f>IF(OR($B2589="",$C2589="",$G2589=""),"",COUNTIFS(Ventes_Encaissements!$E$6:$E$3005,$B2589,Ventes_Encaissements!$J$6:$J$3005,$G2589,Ventes_Encaissements!$C$6:$C$3005,"&gt;="&amp;($C2589-3),Ventes_Encaissements!$C$6:$C$3005,"&lt;="&amp;($C2589+3)))</f>
        <v/>
      </c>
      <c r="I2589" s="12">
        <f>IF($H2589="","",IF($H2589=0,"Non trouvé",IF($H2589=1,"Match","À vérifier")))</f>
        <v/>
      </c>
      <c r="J2589" s="21">
        <f>IF($I2589&lt;&gt;"Match","",INDEX(Ventes_Encaissements!$B$6:$B$3005,_xludf.AGGREGATE(15,6,(ROW(Ventes_Encaissements!$B$6:$B$3005)-ROW(Ventes_Encaissements!$B$6)+1)/((Ventes_Encaissements!$E$6:$E$3005=$B2589)*(Ventes_Encaissements!$J$6:$J$3005=$G2589)*(Ventes_Encaissements!$C$6:$C$3005&gt;=$C2589-3)*(Ventes_Encaissements!$C$6:$C$3005&lt;=$C2589+3)),1)))</f>
        <v/>
      </c>
      <c r="K2589" s="6" t="n"/>
    </row>
    <row r="2590">
      <c r="A2590" s="6" t="n"/>
      <c r="B2590" s="6" t="n"/>
      <c r="C2590" s="19" t="n"/>
      <c r="D2590" s="19" t="n"/>
      <c r="E2590" s="6" t="n"/>
      <c r="F2590" s="20" t="n"/>
      <c r="G2590" s="9">
        <f>IF($F2590="","",IF($F2590&gt;0,ROUND($F2590,2),""))</f>
        <v/>
      </c>
      <c r="H2590" s="12">
        <f>IF(OR($B2590="",$C2590="",$G2590=""),"",COUNTIFS(Ventes_Encaissements!$E$6:$E$3005,$B2590,Ventes_Encaissements!$J$6:$J$3005,$G2590,Ventes_Encaissements!$C$6:$C$3005,"&gt;="&amp;($C2590-3),Ventes_Encaissements!$C$6:$C$3005,"&lt;="&amp;($C2590+3)))</f>
        <v/>
      </c>
      <c r="I2590" s="12">
        <f>IF($H2590="","",IF($H2590=0,"Non trouvé",IF($H2590=1,"Match","À vérifier")))</f>
        <v/>
      </c>
      <c r="J2590" s="21">
        <f>IF($I2590&lt;&gt;"Match","",INDEX(Ventes_Encaissements!$B$6:$B$3005,_xludf.AGGREGATE(15,6,(ROW(Ventes_Encaissements!$B$6:$B$3005)-ROW(Ventes_Encaissements!$B$6)+1)/((Ventes_Encaissements!$E$6:$E$3005=$B2590)*(Ventes_Encaissements!$J$6:$J$3005=$G2590)*(Ventes_Encaissements!$C$6:$C$3005&gt;=$C2590-3)*(Ventes_Encaissements!$C$6:$C$3005&lt;=$C2590+3)),1)))</f>
        <v/>
      </c>
      <c r="K2590" s="6" t="n"/>
    </row>
    <row r="2591">
      <c r="A2591" s="6" t="n"/>
      <c r="B2591" s="6" t="n"/>
      <c r="C2591" s="19" t="n"/>
      <c r="D2591" s="19" t="n"/>
      <c r="E2591" s="6" t="n"/>
      <c r="F2591" s="20" t="n"/>
      <c r="G2591" s="9">
        <f>IF($F2591="","",IF($F2591&gt;0,ROUND($F2591,2),""))</f>
        <v/>
      </c>
      <c r="H2591" s="12">
        <f>IF(OR($B2591="",$C2591="",$G2591=""),"",COUNTIFS(Ventes_Encaissements!$E$6:$E$3005,$B2591,Ventes_Encaissements!$J$6:$J$3005,$G2591,Ventes_Encaissements!$C$6:$C$3005,"&gt;="&amp;($C2591-3),Ventes_Encaissements!$C$6:$C$3005,"&lt;="&amp;($C2591+3)))</f>
        <v/>
      </c>
      <c r="I2591" s="12">
        <f>IF($H2591="","",IF($H2591=0,"Non trouvé",IF($H2591=1,"Match","À vérifier")))</f>
        <v/>
      </c>
      <c r="J2591" s="21">
        <f>IF($I2591&lt;&gt;"Match","",INDEX(Ventes_Encaissements!$B$6:$B$3005,_xludf.AGGREGATE(15,6,(ROW(Ventes_Encaissements!$B$6:$B$3005)-ROW(Ventes_Encaissements!$B$6)+1)/((Ventes_Encaissements!$E$6:$E$3005=$B2591)*(Ventes_Encaissements!$J$6:$J$3005=$G2591)*(Ventes_Encaissements!$C$6:$C$3005&gt;=$C2591-3)*(Ventes_Encaissements!$C$6:$C$3005&lt;=$C2591+3)),1)))</f>
        <v/>
      </c>
      <c r="K2591" s="6" t="n"/>
    </row>
    <row r="2592">
      <c r="A2592" s="6" t="n"/>
      <c r="B2592" s="6" t="n"/>
      <c r="C2592" s="19" t="n"/>
      <c r="D2592" s="19" t="n"/>
      <c r="E2592" s="6" t="n"/>
      <c r="F2592" s="20" t="n"/>
      <c r="G2592" s="9">
        <f>IF($F2592="","",IF($F2592&gt;0,ROUND($F2592,2),""))</f>
        <v/>
      </c>
      <c r="H2592" s="12">
        <f>IF(OR($B2592="",$C2592="",$G2592=""),"",COUNTIFS(Ventes_Encaissements!$E$6:$E$3005,$B2592,Ventes_Encaissements!$J$6:$J$3005,$G2592,Ventes_Encaissements!$C$6:$C$3005,"&gt;="&amp;($C2592-3),Ventes_Encaissements!$C$6:$C$3005,"&lt;="&amp;($C2592+3)))</f>
        <v/>
      </c>
      <c r="I2592" s="12">
        <f>IF($H2592="","",IF($H2592=0,"Non trouvé",IF($H2592=1,"Match","À vérifier")))</f>
        <v/>
      </c>
      <c r="J2592" s="21">
        <f>IF($I2592&lt;&gt;"Match","",INDEX(Ventes_Encaissements!$B$6:$B$3005,_xludf.AGGREGATE(15,6,(ROW(Ventes_Encaissements!$B$6:$B$3005)-ROW(Ventes_Encaissements!$B$6)+1)/((Ventes_Encaissements!$E$6:$E$3005=$B2592)*(Ventes_Encaissements!$J$6:$J$3005=$G2592)*(Ventes_Encaissements!$C$6:$C$3005&gt;=$C2592-3)*(Ventes_Encaissements!$C$6:$C$3005&lt;=$C2592+3)),1)))</f>
        <v/>
      </c>
      <c r="K2592" s="6" t="n"/>
    </row>
    <row r="2593">
      <c r="A2593" s="6" t="n"/>
      <c r="B2593" s="6" t="n"/>
      <c r="C2593" s="19" t="n"/>
      <c r="D2593" s="19" t="n"/>
      <c r="E2593" s="6" t="n"/>
      <c r="F2593" s="20" t="n"/>
      <c r="G2593" s="9">
        <f>IF($F2593="","",IF($F2593&gt;0,ROUND($F2593,2),""))</f>
        <v/>
      </c>
      <c r="H2593" s="12">
        <f>IF(OR($B2593="",$C2593="",$G2593=""),"",COUNTIFS(Ventes_Encaissements!$E$6:$E$3005,$B2593,Ventes_Encaissements!$J$6:$J$3005,$G2593,Ventes_Encaissements!$C$6:$C$3005,"&gt;="&amp;($C2593-3),Ventes_Encaissements!$C$6:$C$3005,"&lt;="&amp;($C2593+3)))</f>
        <v/>
      </c>
      <c r="I2593" s="12">
        <f>IF($H2593="","",IF($H2593=0,"Non trouvé",IF($H2593=1,"Match","À vérifier")))</f>
        <v/>
      </c>
      <c r="J2593" s="21">
        <f>IF($I2593&lt;&gt;"Match","",INDEX(Ventes_Encaissements!$B$6:$B$3005,_xludf.AGGREGATE(15,6,(ROW(Ventes_Encaissements!$B$6:$B$3005)-ROW(Ventes_Encaissements!$B$6)+1)/((Ventes_Encaissements!$E$6:$E$3005=$B2593)*(Ventes_Encaissements!$J$6:$J$3005=$G2593)*(Ventes_Encaissements!$C$6:$C$3005&gt;=$C2593-3)*(Ventes_Encaissements!$C$6:$C$3005&lt;=$C2593+3)),1)))</f>
        <v/>
      </c>
      <c r="K2593" s="6" t="n"/>
    </row>
    <row r="2594">
      <c r="A2594" s="6" t="n"/>
      <c r="B2594" s="6" t="n"/>
      <c r="C2594" s="19" t="n"/>
      <c r="D2594" s="19" t="n"/>
      <c r="E2594" s="6" t="n"/>
      <c r="F2594" s="20" t="n"/>
      <c r="G2594" s="9">
        <f>IF($F2594="","",IF($F2594&gt;0,ROUND($F2594,2),""))</f>
        <v/>
      </c>
      <c r="H2594" s="12">
        <f>IF(OR($B2594="",$C2594="",$G2594=""),"",COUNTIFS(Ventes_Encaissements!$E$6:$E$3005,$B2594,Ventes_Encaissements!$J$6:$J$3005,$G2594,Ventes_Encaissements!$C$6:$C$3005,"&gt;="&amp;($C2594-3),Ventes_Encaissements!$C$6:$C$3005,"&lt;="&amp;($C2594+3)))</f>
        <v/>
      </c>
      <c r="I2594" s="12">
        <f>IF($H2594="","",IF($H2594=0,"Non trouvé",IF($H2594=1,"Match","À vérifier")))</f>
        <v/>
      </c>
      <c r="J2594" s="21">
        <f>IF($I2594&lt;&gt;"Match","",INDEX(Ventes_Encaissements!$B$6:$B$3005,_xludf.AGGREGATE(15,6,(ROW(Ventes_Encaissements!$B$6:$B$3005)-ROW(Ventes_Encaissements!$B$6)+1)/((Ventes_Encaissements!$E$6:$E$3005=$B2594)*(Ventes_Encaissements!$J$6:$J$3005=$G2594)*(Ventes_Encaissements!$C$6:$C$3005&gt;=$C2594-3)*(Ventes_Encaissements!$C$6:$C$3005&lt;=$C2594+3)),1)))</f>
        <v/>
      </c>
      <c r="K2594" s="6" t="n"/>
    </row>
    <row r="2595">
      <c r="A2595" s="6" t="n"/>
      <c r="B2595" s="6" t="n"/>
      <c r="C2595" s="19" t="n"/>
      <c r="D2595" s="19" t="n"/>
      <c r="E2595" s="6" t="n"/>
      <c r="F2595" s="20" t="n"/>
      <c r="G2595" s="9">
        <f>IF($F2595="","",IF($F2595&gt;0,ROUND($F2595,2),""))</f>
        <v/>
      </c>
      <c r="H2595" s="12">
        <f>IF(OR($B2595="",$C2595="",$G2595=""),"",COUNTIFS(Ventes_Encaissements!$E$6:$E$3005,$B2595,Ventes_Encaissements!$J$6:$J$3005,$G2595,Ventes_Encaissements!$C$6:$C$3005,"&gt;="&amp;($C2595-3),Ventes_Encaissements!$C$6:$C$3005,"&lt;="&amp;($C2595+3)))</f>
        <v/>
      </c>
      <c r="I2595" s="12">
        <f>IF($H2595="","",IF($H2595=0,"Non trouvé",IF($H2595=1,"Match","À vérifier")))</f>
        <v/>
      </c>
      <c r="J2595" s="21">
        <f>IF($I2595&lt;&gt;"Match","",INDEX(Ventes_Encaissements!$B$6:$B$3005,_xludf.AGGREGATE(15,6,(ROW(Ventes_Encaissements!$B$6:$B$3005)-ROW(Ventes_Encaissements!$B$6)+1)/((Ventes_Encaissements!$E$6:$E$3005=$B2595)*(Ventes_Encaissements!$J$6:$J$3005=$G2595)*(Ventes_Encaissements!$C$6:$C$3005&gt;=$C2595-3)*(Ventes_Encaissements!$C$6:$C$3005&lt;=$C2595+3)),1)))</f>
        <v/>
      </c>
      <c r="K2595" s="6" t="n"/>
    </row>
    <row r="2596">
      <c r="A2596" s="6" t="n"/>
      <c r="B2596" s="6" t="n"/>
      <c r="C2596" s="19" t="n"/>
      <c r="D2596" s="19" t="n"/>
      <c r="E2596" s="6" t="n"/>
      <c r="F2596" s="20" t="n"/>
      <c r="G2596" s="9">
        <f>IF($F2596="","",IF($F2596&gt;0,ROUND($F2596,2),""))</f>
        <v/>
      </c>
      <c r="H2596" s="12">
        <f>IF(OR($B2596="",$C2596="",$G2596=""),"",COUNTIFS(Ventes_Encaissements!$E$6:$E$3005,$B2596,Ventes_Encaissements!$J$6:$J$3005,$G2596,Ventes_Encaissements!$C$6:$C$3005,"&gt;="&amp;($C2596-3),Ventes_Encaissements!$C$6:$C$3005,"&lt;="&amp;($C2596+3)))</f>
        <v/>
      </c>
      <c r="I2596" s="12">
        <f>IF($H2596="","",IF($H2596=0,"Non trouvé",IF($H2596=1,"Match","À vérifier")))</f>
        <v/>
      </c>
      <c r="J2596" s="21">
        <f>IF($I2596&lt;&gt;"Match","",INDEX(Ventes_Encaissements!$B$6:$B$3005,_xludf.AGGREGATE(15,6,(ROW(Ventes_Encaissements!$B$6:$B$3005)-ROW(Ventes_Encaissements!$B$6)+1)/((Ventes_Encaissements!$E$6:$E$3005=$B2596)*(Ventes_Encaissements!$J$6:$J$3005=$G2596)*(Ventes_Encaissements!$C$6:$C$3005&gt;=$C2596-3)*(Ventes_Encaissements!$C$6:$C$3005&lt;=$C2596+3)),1)))</f>
        <v/>
      </c>
      <c r="K2596" s="6" t="n"/>
    </row>
    <row r="2597">
      <c r="A2597" s="6" t="n"/>
      <c r="B2597" s="6" t="n"/>
      <c r="C2597" s="19" t="n"/>
      <c r="D2597" s="19" t="n"/>
      <c r="E2597" s="6" t="n"/>
      <c r="F2597" s="20" t="n"/>
      <c r="G2597" s="9">
        <f>IF($F2597="","",IF($F2597&gt;0,ROUND($F2597,2),""))</f>
        <v/>
      </c>
      <c r="H2597" s="12">
        <f>IF(OR($B2597="",$C2597="",$G2597=""),"",COUNTIFS(Ventes_Encaissements!$E$6:$E$3005,$B2597,Ventes_Encaissements!$J$6:$J$3005,$G2597,Ventes_Encaissements!$C$6:$C$3005,"&gt;="&amp;($C2597-3),Ventes_Encaissements!$C$6:$C$3005,"&lt;="&amp;($C2597+3)))</f>
        <v/>
      </c>
      <c r="I2597" s="12">
        <f>IF($H2597="","",IF($H2597=0,"Non trouvé",IF($H2597=1,"Match","À vérifier")))</f>
        <v/>
      </c>
      <c r="J2597" s="21">
        <f>IF($I2597&lt;&gt;"Match","",INDEX(Ventes_Encaissements!$B$6:$B$3005,_xludf.AGGREGATE(15,6,(ROW(Ventes_Encaissements!$B$6:$B$3005)-ROW(Ventes_Encaissements!$B$6)+1)/((Ventes_Encaissements!$E$6:$E$3005=$B2597)*(Ventes_Encaissements!$J$6:$J$3005=$G2597)*(Ventes_Encaissements!$C$6:$C$3005&gt;=$C2597-3)*(Ventes_Encaissements!$C$6:$C$3005&lt;=$C2597+3)),1)))</f>
        <v/>
      </c>
      <c r="K2597" s="6" t="n"/>
    </row>
    <row r="2598">
      <c r="A2598" s="6" t="n"/>
      <c r="B2598" s="6" t="n"/>
      <c r="C2598" s="19" t="n"/>
      <c r="D2598" s="19" t="n"/>
      <c r="E2598" s="6" t="n"/>
      <c r="F2598" s="20" t="n"/>
      <c r="G2598" s="9">
        <f>IF($F2598="","",IF($F2598&gt;0,ROUND($F2598,2),""))</f>
        <v/>
      </c>
      <c r="H2598" s="12">
        <f>IF(OR($B2598="",$C2598="",$G2598=""),"",COUNTIFS(Ventes_Encaissements!$E$6:$E$3005,$B2598,Ventes_Encaissements!$J$6:$J$3005,$G2598,Ventes_Encaissements!$C$6:$C$3005,"&gt;="&amp;($C2598-3),Ventes_Encaissements!$C$6:$C$3005,"&lt;="&amp;($C2598+3)))</f>
        <v/>
      </c>
      <c r="I2598" s="12">
        <f>IF($H2598="","",IF($H2598=0,"Non trouvé",IF($H2598=1,"Match","À vérifier")))</f>
        <v/>
      </c>
      <c r="J2598" s="21">
        <f>IF($I2598&lt;&gt;"Match","",INDEX(Ventes_Encaissements!$B$6:$B$3005,_xludf.AGGREGATE(15,6,(ROW(Ventes_Encaissements!$B$6:$B$3005)-ROW(Ventes_Encaissements!$B$6)+1)/((Ventes_Encaissements!$E$6:$E$3005=$B2598)*(Ventes_Encaissements!$J$6:$J$3005=$G2598)*(Ventes_Encaissements!$C$6:$C$3005&gt;=$C2598-3)*(Ventes_Encaissements!$C$6:$C$3005&lt;=$C2598+3)),1)))</f>
        <v/>
      </c>
      <c r="K2598" s="6" t="n"/>
    </row>
    <row r="2599">
      <c r="A2599" s="6" t="n"/>
      <c r="B2599" s="6" t="n"/>
      <c r="C2599" s="19" t="n"/>
      <c r="D2599" s="19" t="n"/>
      <c r="E2599" s="6" t="n"/>
      <c r="F2599" s="20" t="n"/>
      <c r="G2599" s="9">
        <f>IF($F2599="","",IF($F2599&gt;0,ROUND($F2599,2),""))</f>
        <v/>
      </c>
      <c r="H2599" s="12">
        <f>IF(OR($B2599="",$C2599="",$G2599=""),"",COUNTIFS(Ventes_Encaissements!$E$6:$E$3005,$B2599,Ventes_Encaissements!$J$6:$J$3005,$G2599,Ventes_Encaissements!$C$6:$C$3005,"&gt;="&amp;($C2599-3),Ventes_Encaissements!$C$6:$C$3005,"&lt;="&amp;($C2599+3)))</f>
        <v/>
      </c>
      <c r="I2599" s="12">
        <f>IF($H2599="","",IF($H2599=0,"Non trouvé",IF($H2599=1,"Match","À vérifier")))</f>
        <v/>
      </c>
      <c r="J2599" s="21">
        <f>IF($I2599&lt;&gt;"Match","",INDEX(Ventes_Encaissements!$B$6:$B$3005,_xludf.AGGREGATE(15,6,(ROW(Ventes_Encaissements!$B$6:$B$3005)-ROW(Ventes_Encaissements!$B$6)+1)/((Ventes_Encaissements!$E$6:$E$3005=$B2599)*(Ventes_Encaissements!$J$6:$J$3005=$G2599)*(Ventes_Encaissements!$C$6:$C$3005&gt;=$C2599-3)*(Ventes_Encaissements!$C$6:$C$3005&lt;=$C2599+3)),1)))</f>
        <v/>
      </c>
      <c r="K2599" s="6" t="n"/>
    </row>
    <row r="2600">
      <c r="A2600" s="6" t="n"/>
      <c r="B2600" s="6" t="n"/>
      <c r="C2600" s="19" t="n"/>
      <c r="D2600" s="19" t="n"/>
      <c r="E2600" s="6" t="n"/>
      <c r="F2600" s="20" t="n"/>
      <c r="G2600" s="9">
        <f>IF($F2600="","",IF($F2600&gt;0,ROUND($F2600,2),""))</f>
        <v/>
      </c>
      <c r="H2600" s="12">
        <f>IF(OR($B2600="",$C2600="",$G2600=""),"",COUNTIFS(Ventes_Encaissements!$E$6:$E$3005,$B2600,Ventes_Encaissements!$J$6:$J$3005,$G2600,Ventes_Encaissements!$C$6:$C$3005,"&gt;="&amp;($C2600-3),Ventes_Encaissements!$C$6:$C$3005,"&lt;="&amp;($C2600+3)))</f>
        <v/>
      </c>
      <c r="I2600" s="12">
        <f>IF($H2600="","",IF($H2600=0,"Non trouvé",IF($H2600=1,"Match","À vérifier")))</f>
        <v/>
      </c>
      <c r="J2600" s="21">
        <f>IF($I2600&lt;&gt;"Match","",INDEX(Ventes_Encaissements!$B$6:$B$3005,_xludf.AGGREGATE(15,6,(ROW(Ventes_Encaissements!$B$6:$B$3005)-ROW(Ventes_Encaissements!$B$6)+1)/((Ventes_Encaissements!$E$6:$E$3005=$B2600)*(Ventes_Encaissements!$J$6:$J$3005=$G2600)*(Ventes_Encaissements!$C$6:$C$3005&gt;=$C2600-3)*(Ventes_Encaissements!$C$6:$C$3005&lt;=$C2600+3)),1)))</f>
        <v/>
      </c>
      <c r="K2600" s="6" t="n"/>
    </row>
    <row r="2601">
      <c r="A2601" s="6" t="n"/>
      <c r="B2601" s="6" t="n"/>
      <c r="C2601" s="19" t="n"/>
      <c r="D2601" s="19" t="n"/>
      <c r="E2601" s="6" t="n"/>
      <c r="F2601" s="20" t="n"/>
      <c r="G2601" s="9">
        <f>IF($F2601="","",IF($F2601&gt;0,ROUND($F2601,2),""))</f>
        <v/>
      </c>
      <c r="H2601" s="12">
        <f>IF(OR($B2601="",$C2601="",$G2601=""),"",COUNTIFS(Ventes_Encaissements!$E$6:$E$3005,$B2601,Ventes_Encaissements!$J$6:$J$3005,$G2601,Ventes_Encaissements!$C$6:$C$3005,"&gt;="&amp;($C2601-3),Ventes_Encaissements!$C$6:$C$3005,"&lt;="&amp;($C2601+3)))</f>
        <v/>
      </c>
      <c r="I2601" s="12">
        <f>IF($H2601="","",IF($H2601=0,"Non trouvé",IF($H2601=1,"Match","À vérifier")))</f>
        <v/>
      </c>
      <c r="J2601" s="21">
        <f>IF($I2601&lt;&gt;"Match","",INDEX(Ventes_Encaissements!$B$6:$B$3005,_xludf.AGGREGATE(15,6,(ROW(Ventes_Encaissements!$B$6:$B$3005)-ROW(Ventes_Encaissements!$B$6)+1)/((Ventes_Encaissements!$E$6:$E$3005=$B2601)*(Ventes_Encaissements!$J$6:$J$3005=$G2601)*(Ventes_Encaissements!$C$6:$C$3005&gt;=$C2601-3)*(Ventes_Encaissements!$C$6:$C$3005&lt;=$C2601+3)),1)))</f>
        <v/>
      </c>
      <c r="K2601" s="6" t="n"/>
    </row>
    <row r="2602">
      <c r="A2602" s="6" t="n"/>
      <c r="B2602" s="6" t="n"/>
      <c r="C2602" s="19" t="n"/>
      <c r="D2602" s="19" t="n"/>
      <c r="E2602" s="6" t="n"/>
      <c r="F2602" s="20" t="n"/>
      <c r="G2602" s="9">
        <f>IF($F2602="","",IF($F2602&gt;0,ROUND($F2602,2),""))</f>
        <v/>
      </c>
      <c r="H2602" s="12">
        <f>IF(OR($B2602="",$C2602="",$G2602=""),"",COUNTIFS(Ventes_Encaissements!$E$6:$E$3005,$B2602,Ventes_Encaissements!$J$6:$J$3005,$G2602,Ventes_Encaissements!$C$6:$C$3005,"&gt;="&amp;($C2602-3),Ventes_Encaissements!$C$6:$C$3005,"&lt;="&amp;($C2602+3)))</f>
        <v/>
      </c>
      <c r="I2602" s="12">
        <f>IF($H2602="","",IF($H2602=0,"Non trouvé",IF($H2602=1,"Match","À vérifier")))</f>
        <v/>
      </c>
      <c r="J2602" s="21">
        <f>IF($I2602&lt;&gt;"Match","",INDEX(Ventes_Encaissements!$B$6:$B$3005,_xludf.AGGREGATE(15,6,(ROW(Ventes_Encaissements!$B$6:$B$3005)-ROW(Ventes_Encaissements!$B$6)+1)/((Ventes_Encaissements!$E$6:$E$3005=$B2602)*(Ventes_Encaissements!$J$6:$J$3005=$G2602)*(Ventes_Encaissements!$C$6:$C$3005&gt;=$C2602-3)*(Ventes_Encaissements!$C$6:$C$3005&lt;=$C2602+3)),1)))</f>
        <v/>
      </c>
      <c r="K2602" s="6" t="n"/>
    </row>
    <row r="2603">
      <c r="A2603" s="6" t="n"/>
      <c r="B2603" s="6" t="n"/>
      <c r="C2603" s="19" t="n"/>
      <c r="D2603" s="19" t="n"/>
      <c r="E2603" s="6" t="n"/>
      <c r="F2603" s="20" t="n"/>
      <c r="G2603" s="9">
        <f>IF($F2603="","",IF($F2603&gt;0,ROUND($F2603,2),""))</f>
        <v/>
      </c>
      <c r="H2603" s="12">
        <f>IF(OR($B2603="",$C2603="",$G2603=""),"",COUNTIFS(Ventes_Encaissements!$E$6:$E$3005,$B2603,Ventes_Encaissements!$J$6:$J$3005,$G2603,Ventes_Encaissements!$C$6:$C$3005,"&gt;="&amp;($C2603-3),Ventes_Encaissements!$C$6:$C$3005,"&lt;="&amp;($C2603+3)))</f>
        <v/>
      </c>
      <c r="I2603" s="12">
        <f>IF($H2603="","",IF($H2603=0,"Non trouvé",IF($H2603=1,"Match","À vérifier")))</f>
        <v/>
      </c>
      <c r="J2603" s="21">
        <f>IF($I2603&lt;&gt;"Match","",INDEX(Ventes_Encaissements!$B$6:$B$3005,_xludf.AGGREGATE(15,6,(ROW(Ventes_Encaissements!$B$6:$B$3005)-ROW(Ventes_Encaissements!$B$6)+1)/((Ventes_Encaissements!$E$6:$E$3005=$B2603)*(Ventes_Encaissements!$J$6:$J$3005=$G2603)*(Ventes_Encaissements!$C$6:$C$3005&gt;=$C2603-3)*(Ventes_Encaissements!$C$6:$C$3005&lt;=$C2603+3)),1)))</f>
        <v/>
      </c>
      <c r="K2603" s="6" t="n"/>
    </row>
    <row r="2604">
      <c r="A2604" s="6" t="n"/>
      <c r="B2604" s="6" t="n"/>
      <c r="C2604" s="19" t="n"/>
      <c r="D2604" s="19" t="n"/>
      <c r="E2604" s="6" t="n"/>
      <c r="F2604" s="20" t="n"/>
      <c r="G2604" s="9">
        <f>IF($F2604="","",IF($F2604&gt;0,ROUND($F2604,2),""))</f>
        <v/>
      </c>
      <c r="H2604" s="12">
        <f>IF(OR($B2604="",$C2604="",$G2604=""),"",COUNTIFS(Ventes_Encaissements!$E$6:$E$3005,$B2604,Ventes_Encaissements!$J$6:$J$3005,$G2604,Ventes_Encaissements!$C$6:$C$3005,"&gt;="&amp;($C2604-3),Ventes_Encaissements!$C$6:$C$3005,"&lt;="&amp;($C2604+3)))</f>
        <v/>
      </c>
      <c r="I2604" s="12">
        <f>IF($H2604="","",IF($H2604=0,"Non trouvé",IF($H2604=1,"Match","À vérifier")))</f>
        <v/>
      </c>
      <c r="J2604" s="21">
        <f>IF($I2604&lt;&gt;"Match","",INDEX(Ventes_Encaissements!$B$6:$B$3005,_xludf.AGGREGATE(15,6,(ROW(Ventes_Encaissements!$B$6:$B$3005)-ROW(Ventes_Encaissements!$B$6)+1)/((Ventes_Encaissements!$E$6:$E$3005=$B2604)*(Ventes_Encaissements!$J$6:$J$3005=$G2604)*(Ventes_Encaissements!$C$6:$C$3005&gt;=$C2604-3)*(Ventes_Encaissements!$C$6:$C$3005&lt;=$C2604+3)),1)))</f>
        <v/>
      </c>
      <c r="K2604" s="6" t="n"/>
    </row>
    <row r="2605">
      <c r="A2605" s="6" t="n"/>
      <c r="B2605" s="6" t="n"/>
      <c r="C2605" s="19" t="n"/>
      <c r="D2605" s="19" t="n"/>
      <c r="E2605" s="6" t="n"/>
      <c r="F2605" s="20" t="n"/>
      <c r="G2605" s="9">
        <f>IF($F2605="","",IF($F2605&gt;0,ROUND($F2605,2),""))</f>
        <v/>
      </c>
      <c r="H2605" s="12">
        <f>IF(OR($B2605="",$C2605="",$G2605=""),"",COUNTIFS(Ventes_Encaissements!$E$6:$E$3005,$B2605,Ventes_Encaissements!$J$6:$J$3005,$G2605,Ventes_Encaissements!$C$6:$C$3005,"&gt;="&amp;($C2605-3),Ventes_Encaissements!$C$6:$C$3005,"&lt;="&amp;($C2605+3)))</f>
        <v/>
      </c>
      <c r="I2605" s="12">
        <f>IF($H2605="","",IF($H2605=0,"Non trouvé",IF($H2605=1,"Match","À vérifier")))</f>
        <v/>
      </c>
      <c r="J2605" s="21">
        <f>IF($I2605&lt;&gt;"Match","",INDEX(Ventes_Encaissements!$B$6:$B$3005,_xludf.AGGREGATE(15,6,(ROW(Ventes_Encaissements!$B$6:$B$3005)-ROW(Ventes_Encaissements!$B$6)+1)/((Ventes_Encaissements!$E$6:$E$3005=$B2605)*(Ventes_Encaissements!$J$6:$J$3005=$G2605)*(Ventes_Encaissements!$C$6:$C$3005&gt;=$C2605-3)*(Ventes_Encaissements!$C$6:$C$3005&lt;=$C2605+3)),1)))</f>
        <v/>
      </c>
      <c r="K2605" s="6" t="n"/>
    </row>
    <row r="2606">
      <c r="A2606" s="6" t="n"/>
      <c r="B2606" s="6" t="n"/>
      <c r="C2606" s="19" t="n"/>
      <c r="D2606" s="19" t="n"/>
      <c r="E2606" s="6" t="n"/>
      <c r="F2606" s="20" t="n"/>
      <c r="G2606" s="9">
        <f>IF($F2606="","",IF($F2606&gt;0,ROUND($F2606,2),""))</f>
        <v/>
      </c>
      <c r="H2606" s="12">
        <f>IF(OR($B2606="",$C2606="",$G2606=""),"",COUNTIFS(Ventes_Encaissements!$E$6:$E$3005,$B2606,Ventes_Encaissements!$J$6:$J$3005,$G2606,Ventes_Encaissements!$C$6:$C$3005,"&gt;="&amp;($C2606-3),Ventes_Encaissements!$C$6:$C$3005,"&lt;="&amp;($C2606+3)))</f>
        <v/>
      </c>
      <c r="I2606" s="12">
        <f>IF($H2606="","",IF($H2606=0,"Non trouvé",IF($H2606=1,"Match","À vérifier")))</f>
        <v/>
      </c>
      <c r="J2606" s="21">
        <f>IF($I2606&lt;&gt;"Match","",INDEX(Ventes_Encaissements!$B$6:$B$3005,_xludf.AGGREGATE(15,6,(ROW(Ventes_Encaissements!$B$6:$B$3005)-ROW(Ventes_Encaissements!$B$6)+1)/((Ventes_Encaissements!$E$6:$E$3005=$B2606)*(Ventes_Encaissements!$J$6:$J$3005=$G2606)*(Ventes_Encaissements!$C$6:$C$3005&gt;=$C2606-3)*(Ventes_Encaissements!$C$6:$C$3005&lt;=$C2606+3)),1)))</f>
        <v/>
      </c>
      <c r="K2606" s="6" t="n"/>
    </row>
    <row r="2607">
      <c r="A2607" s="6" t="n"/>
      <c r="B2607" s="6" t="n"/>
      <c r="C2607" s="19" t="n"/>
      <c r="D2607" s="19" t="n"/>
      <c r="E2607" s="6" t="n"/>
      <c r="F2607" s="20" t="n"/>
      <c r="G2607" s="9">
        <f>IF($F2607="","",IF($F2607&gt;0,ROUND($F2607,2),""))</f>
        <v/>
      </c>
      <c r="H2607" s="12">
        <f>IF(OR($B2607="",$C2607="",$G2607=""),"",COUNTIFS(Ventes_Encaissements!$E$6:$E$3005,$B2607,Ventes_Encaissements!$J$6:$J$3005,$G2607,Ventes_Encaissements!$C$6:$C$3005,"&gt;="&amp;($C2607-3),Ventes_Encaissements!$C$6:$C$3005,"&lt;="&amp;($C2607+3)))</f>
        <v/>
      </c>
      <c r="I2607" s="12">
        <f>IF($H2607="","",IF($H2607=0,"Non trouvé",IF($H2607=1,"Match","À vérifier")))</f>
        <v/>
      </c>
      <c r="J2607" s="21">
        <f>IF($I2607&lt;&gt;"Match","",INDEX(Ventes_Encaissements!$B$6:$B$3005,_xludf.AGGREGATE(15,6,(ROW(Ventes_Encaissements!$B$6:$B$3005)-ROW(Ventes_Encaissements!$B$6)+1)/((Ventes_Encaissements!$E$6:$E$3005=$B2607)*(Ventes_Encaissements!$J$6:$J$3005=$G2607)*(Ventes_Encaissements!$C$6:$C$3005&gt;=$C2607-3)*(Ventes_Encaissements!$C$6:$C$3005&lt;=$C2607+3)),1)))</f>
        <v/>
      </c>
      <c r="K2607" s="6" t="n"/>
    </row>
    <row r="2608">
      <c r="A2608" s="6" t="n"/>
      <c r="B2608" s="6" t="n"/>
      <c r="C2608" s="19" t="n"/>
      <c r="D2608" s="19" t="n"/>
      <c r="E2608" s="6" t="n"/>
      <c r="F2608" s="20" t="n"/>
      <c r="G2608" s="9">
        <f>IF($F2608="","",IF($F2608&gt;0,ROUND($F2608,2),""))</f>
        <v/>
      </c>
      <c r="H2608" s="12">
        <f>IF(OR($B2608="",$C2608="",$G2608=""),"",COUNTIFS(Ventes_Encaissements!$E$6:$E$3005,$B2608,Ventes_Encaissements!$J$6:$J$3005,$G2608,Ventes_Encaissements!$C$6:$C$3005,"&gt;="&amp;($C2608-3),Ventes_Encaissements!$C$6:$C$3005,"&lt;="&amp;($C2608+3)))</f>
        <v/>
      </c>
      <c r="I2608" s="12">
        <f>IF($H2608="","",IF($H2608=0,"Non trouvé",IF($H2608=1,"Match","À vérifier")))</f>
        <v/>
      </c>
      <c r="J2608" s="21">
        <f>IF($I2608&lt;&gt;"Match","",INDEX(Ventes_Encaissements!$B$6:$B$3005,_xludf.AGGREGATE(15,6,(ROW(Ventes_Encaissements!$B$6:$B$3005)-ROW(Ventes_Encaissements!$B$6)+1)/((Ventes_Encaissements!$E$6:$E$3005=$B2608)*(Ventes_Encaissements!$J$6:$J$3005=$G2608)*(Ventes_Encaissements!$C$6:$C$3005&gt;=$C2608-3)*(Ventes_Encaissements!$C$6:$C$3005&lt;=$C2608+3)),1)))</f>
        <v/>
      </c>
      <c r="K2608" s="6" t="n"/>
    </row>
    <row r="2609">
      <c r="A2609" s="6" t="n"/>
      <c r="B2609" s="6" t="n"/>
      <c r="C2609" s="19" t="n"/>
      <c r="D2609" s="19" t="n"/>
      <c r="E2609" s="6" t="n"/>
      <c r="F2609" s="20" t="n"/>
      <c r="G2609" s="9">
        <f>IF($F2609="","",IF($F2609&gt;0,ROUND($F2609,2),""))</f>
        <v/>
      </c>
      <c r="H2609" s="12">
        <f>IF(OR($B2609="",$C2609="",$G2609=""),"",COUNTIFS(Ventes_Encaissements!$E$6:$E$3005,$B2609,Ventes_Encaissements!$J$6:$J$3005,$G2609,Ventes_Encaissements!$C$6:$C$3005,"&gt;="&amp;($C2609-3),Ventes_Encaissements!$C$6:$C$3005,"&lt;="&amp;($C2609+3)))</f>
        <v/>
      </c>
      <c r="I2609" s="12">
        <f>IF($H2609="","",IF($H2609=0,"Non trouvé",IF($H2609=1,"Match","À vérifier")))</f>
        <v/>
      </c>
      <c r="J2609" s="21">
        <f>IF($I2609&lt;&gt;"Match","",INDEX(Ventes_Encaissements!$B$6:$B$3005,_xludf.AGGREGATE(15,6,(ROW(Ventes_Encaissements!$B$6:$B$3005)-ROW(Ventes_Encaissements!$B$6)+1)/((Ventes_Encaissements!$E$6:$E$3005=$B2609)*(Ventes_Encaissements!$J$6:$J$3005=$G2609)*(Ventes_Encaissements!$C$6:$C$3005&gt;=$C2609-3)*(Ventes_Encaissements!$C$6:$C$3005&lt;=$C2609+3)),1)))</f>
        <v/>
      </c>
      <c r="K2609" s="6" t="n"/>
    </row>
    <row r="2610">
      <c r="A2610" s="6" t="n"/>
      <c r="B2610" s="6" t="n"/>
      <c r="C2610" s="19" t="n"/>
      <c r="D2610" s="19" t="n"/>
      <c r="E2610" s="6" t="n"/>
      <c r="F2610" s="20" t="n"/>
      <c r="G2610" s="9">
        <f>IF($F2610="","",IF($F2610&gt;0,ROUND($F2610,2),""))</f>
        <v/>
      </c>
      <c r="H2610" s="12">
        <f>IF(OR($B2610="",$C2610="",$G2610=""),"",COUNTIFS(Ventes_Encaissements!$E$6:$E$3005,$B2610,Ventes_Encaissements!$J$6:$J$3005,$G2610,Ventes_Encaissements!$C$6:$C$3005,"&gt;="&amp;($C2610-3),Ventes_Encaissements!$C$6:$C$3005,"&lt;="&amp;($C2610+3)))</f>
        <v/>
      </c>
      <c r="I2610" s="12">
        <f>IF($H2610="","",IF($H2610=0,"Non trouvé",IF($H2610=1,"Match","À vérifier")))</f>
        <v/>
      </c>
      <c r="J2610" s="21">
        <f>IF($I2610&lt;&gt;"Match","",INDEX(Ventes_Encaissements!$B$6:$B$3005,_xludf.AGGREGATE(15,6,(ROW(Ventes_Encaissements!$B$6:$B$3005)-ROW(Ventes_Encaissements!$B$6)+1)/((Ventes_Encaissements!$E$6:$E$3005=$B2610)*(Ventes_Encaissements!$J$6:$J$3005=$G2610)*(Ventes_Encaissements!$C$6:$C$3005&gt;=$C2610-3)*(Ventes_Encaissements!$C$6:$C$3005&lt;=$C2610+3)),1)))</f>
        <v/>
      </c>
      <c r="K2610" s="6" t="n"/>
    </row>
    <row r="2611">
      <c r="A2611" s="6" t="n"/>
      <c r="B2611" s="6" t="n"/>
      <c r="C2611" s="19" t="n"/>
      <c r="D2611" s="19" t="n"/>
      <c r="E2611" s="6" t="n"/>
      <c r="F2611" s="20" t="n"/>
      <c r="G2611" s="9">
        <f>IF($F2611="","",IF($F2611&gt;0,ROUND($F2611,2),""))</f>
        <v/>
      </c>
      <c r="H2611" s="12">
        <f>IF(OR($B2611="",$C2611="",$G2611=""),"",COUNTIFS(Ventes_Encaissements!$E$6:$E$3005,$B2611,Ventes_Encaissements!$J$6:$J$3005,$G2611,Ventes_Encaissements!$C$6:$C$3005,"&gt;="&amp;($C2611-3),Ventes_Encaissements!$C$6:$C$3005,"&lt;="&amp;($C2611+3)))</f>
        <v/>
      </c>
      <c r="I2611" s="12">
        <f>IF($H2611="","",IF($H2611=0,"Non trouvé",IF($H2611=1,"Match","À vérifier")))</f>
        <v/>
      </c>
      <c r="J2611" s="21">
        <f>IF($I2611&lt;&gt;"Match","",INDEX(Ventes_Encaissements!$B$6:$B$3005,_xludf.AGGREGATE(15,6,(ROW(Ventes_Encaissements!$B$6:$B$3005)-ROW(Ventes_Encaissements!$B$6)+1)/((Ventes_Encaissements!$E$6:$E$3005=$B2611)*(Ventes_Encaissements!$J$6:$J$3005=$G2611)*(Ventes_Encaissements!$C$6:$C$3005&gt;=$C2611-3)*(Ventes_Encaissements!$C$6:$C$3005&lt;=$C2611+3)),1)))</f>
        <v/>
      </c>
      <c r="K2611" s="6" t="n"/>
    </row>
    <row r="2612">
      <c r="A2612" s="6" t="n"/>
      <c r="B2612" s="6" t="n"/>
      <c r="C2612" s="19" t="n"/>
      <c r="D2612" s="19" t="n"/>
      <c r="E2612" s="6" t="n"/>
      <c r="F2612" s="20" t="n"/>
      <c r="G2612" s="9">
        <f>IF($F2612="","",IF($F2612&gt;0,ROUND($F2612,2),""))</f>
        <v/>
      </c>
      <c r="H2612" s="12">
        <f>IF(OR($B2612="",$C2612="",$G2612=""),"",COUNTIFS(Ventes_Encaissements!$E$6:$E$3005,$B2612,Ventes_Encaissements!$J$6:$J$3005,$G2612,Ventes_Encaissements!$C$6:$C$3005,"&gt;="&amp;($C2612-3),Ventes_Encaissements!$C$6:$C$3005,"&lt;="&amp;($C2612+3)))</f>
        <v/>
      </c>
      <c r="I2612" s="12">
        <f>IF($H2612="","",IF($H2612=0,"Non trouvé",IF($H2612=1,"Match","À vérifier")))</f>
        <v/>
      </c>
      <c r="J2612" s="21">
        <f>IF($I2612&lt;&gt;"Match","",INDEX(Ventes_Encaissements!$B$6:$B$3005,_xludf.AGGREGATE(15,6,(ROW(Ventes_Encaissements!$B$6:$B$3005)-ROW(Ventes_Encaissements!$B$6)+1)/((Ventes_Encaissements!$E$6:$E$3005=$B2612)*(Ventes_Encaissements!$J$6:$J$3005=$G2612)*(Ventes_Encaissements!$C$6:$C$3005&gt;=$C2612-3)*(Ventes_Encaissements!$C$6:$C$3005&lt;=$C2612+3)),1)))</f>
        <v/>
      </c>
      <c r="K2612" s="6" t="n"/>
    </row>
    <row r="2613">
      <c r="A2613" s="6" t="n"/>
      <c r="B2613" s="6" t="n"/>
      <c r="C2613" s="19" t="n"/>
      <c r="D2613" s="19" t="n"/>
      <c r="E2613" s="6" t="n"/>
      <c r="F2613" s="20" t="n"/>
      <c r="G2613" s="9">
        <f>IF($F2613="","",IF($F2613&gt;0,ROUND($F2613,2),""))</f>
        <v/>
      </c>
      <c r="H2613" s="12">
        <f>IF(OR($B2613="",$C2613="",$G2613=""),"",COUNTIFS(Ventes_Encaissements!$E$6:$E$3005,$B2613,Ventes_Encaissements!$J$6:$J$3005,$G2613,Ventes_Encaissements!$C$6:$C$3005,"&gt;="&amp;($C2613-3),Ventes_Encaissements!$C$6:$C$3005,"&lt;="&amp;($C2613+3)))</f>
        <v/>
      </c>
      <c r="I2613" s="12">
        <f>IF($H2613="","",IF($H2613=0,"Non trouvé",IF($H2613=1,"Match","À vérifier")))</f>
        <v/>
      </c>
      <c r="J2613" s="21">
        <f>IF($I2613&lt;&gt;"Match","",INDEX(Ventes_Encaissements!$B$6:$B$3005,_xludf.AGGREGATE(15,6,(ROW(Ventes_Encaissements!$B$6:$B$3005)-ROW(Ventes_Encaissements!$B$6)+1)/((Ventes_Encaissements!$E$6:$E$3005=$B2613)*(Ventes_Encaissements!$J$6:$J$3005=$G2613)*(Ventes_Encaissements!$C$6:$C$3005&gt;=$C2613-3)*(Ventes_Encaissements!$C$6:$C$3005&lt;=$C2613+3)),1)))</f>
        <v/>
      </c>
      <c r="K2613" s="6" t="n"/>
    </row>
    <row r="2614">
      <c r="A2614" s="6" t="n"/>
      <c r="B2614" s="6" t="n"/>
      <c r="C2614" s="19" t="n"/>
      <c r="D2614" s="19" t="n"/>
      <c r="E2614" s="6" t="n"/>
      <c r="F2614" s="20" t="n"/>
      <c r="G2614" s="9">
        <f>IF($F2614="","",IF($F2614&gt;0,ROUND($F2614,2),""))</f>
        <v/>
      </c>
      <c r="H2614" s="12">
        <f>IF(OR($B2614="",$C2614="",$G2614=""),"",COUNTIFS(Ventes_Encaissements!$E$6:$E$3005,$B2614,Ventes_Encaissements!$J$6:$J$3005,$G2614,Ventes_Encaissements!$C$6:$C$3005,"&gt;="&amp;($C2614-3),Ventes_Encaissements!$C$6:$C$3005,"&lt;="&amp;($C2614+3)))</f>
        <v/>
      </c>
      <c r="I2614" s="12">
        <f>IF($H2614="","",IF($H2614=0,"Non trouvé",IF($H2614=1,"Match","À vérifier")))</f>
        <v/>
      </c>
      <c r="J2614" s="21">
        <f>IF($I2614&lt;&gt;"Match","",INDEX(Ventes_Encaissements!$B$6:$B$3005,_xludf.AGGREGATE(15,6,(ROW(Ventes_Encaissements!$B$6:$B$3005)-ROW(Ventes_Encaissements!$B$6)+1)/((Ventes_Encaissements!$E$6:$E$3005=$B2614)*(Ventes_Encaissements!$J$6:$J$3005=$G2614)*(Ventes_Encaissements!$C$6:$C$3005&gt;=$C2614-3)*(Ventes_Encaissements!$C$6:$C$3005&lt;=$C2614+3)),1)))</f>
        <v/>
      </c>
      <c r="K2614" s="6" t="n"/>
    </row>
    <row r="2615">
      <c r="A2615" s="6" t="n"/>
      <c r="B2615" s="6" t="n"/>
      <c r="C2615" s="19" t="n"/>
      <c r="D2615" s="19" t="n"/>
      <c r="E2615" s="6" t="n"/>
      <c r="F2615" s="20" t="n"/>
      <c r="G2615" s="9">
        <f>IF($F2615="","",IF($F2615&gt;0,ROUND($F2615,2),""))</f>
        <v/>
      </c>
      <c r="H2615" s="12">
        <f>IF(OR($B2615="",$C2615="",$G2615=""),"",COUNTIFS(Ventes_Encaissements!$E$6:$E$3005,$B2615,Ventes_Encaissements!$J$6:$J$3005,$G2615,Ventes_Encaissements!$C$6:$C$3005,"&gt;="&amp;($C2615-3),Ventes_Encaissements!$C$6:$C$3005,"&lt;="&amp;($C2615+3)))</f>
        <v/>
      </c>
      <c r="I2615" s="12">
        <f>IF($H2615="","",IF($H2615=0,"Non trouvé",IF($H2615=1,"Match","À vérifier")))</f>
        <v/>
      </c>
      <c r="J2615" s="21">
        <f>IF($I2615&lt;&gt;"Match","",INDEX(Ventes_Encaissements!$B$6:$B$3005,_xludf.AGGREGATE(15,6,(ROW(Ventes_Encaissements!$B$6:$B$3005)-ROW(Ventes_Encaissements!$B$6)+1)/((Ventes_Encaissements!$E$6:$E$3005=$B2615)*(Ventes_Encaissements!$J$6:$J$3005=$G2615)*(Ventes_Encaissements!$C$6:$C$3005&gt;=$C2615-3)*(Ventes_Encaissements!$C$6:$C$3005&lt;=$C2615+3)),1)))</f>
        <v/>
      </c>
      <c r="K2615" s="6" t="n"/>
    </row>
    <row r="2616">
      <c r="A2616" s="6" t="n"/>
      <c r="B2616" s="6" t="n"/>
      <c r="C2616" s="19" t="n"/>
      <c r="D2616" s="19" t="n"/>
      <c r="E2616" s="6" t="n"/>
      <c r="F2616" s="20" t="n"/>
      <c r="G2616" s="9">
        <f>IF($F2616="","",IF($F2616&gt;0,ROUND($F2616,2),""))</f>
        <v/>
      </c>
      <c r="H2616" s="12">
        <f>IF(OR($B2616="",$C2616="",$G2616=""),"",COUNTIFS(Ventes_Encaissements!$E$6:$E$3005,$B2616,Ventes_Encaissements!$J$6:$J$3005,$G2616,Ventes_Encaissements!$C$6:$C$3005,"&gt;="&amp;($C2616-3),Ventes_Encaissements!$C$6:$C$3005,"&lt;="&amp;($C2616+3)))</f>
        <v/>
      </c>
      <c r="I2616" s="12">
        <f>IF($H2616="","",IF($H2616=0,"Non trouvé",IF($H2616=1,"Match","À vérifier")))</f>
        <v/>
      </c>
      <c r="J2616" s="21">
        <f>IF($I2616&lt;&gt;"Match","",INDEX(Ventes_Encaissements!$B$6:$B$3005,_xludf.AGGREGATE(15,6,(ROW(Ventes_Encaissements!$B$6:$B$3005)-ROW(Ventes_Encaissements!$B$6)+1)/((Ventes_Encaissements!$E$6:$E$3005=$B2616)*(Ventes_Encaissements!$J$6:$J$3005=$G2616)*(Ventes_Encaissements!$C$6:$C$3005&gt;=$C2616-3)*(Ventes_Encaissements!$C$6:$C$3005&lt;=$C2616+3)),1)))</f>
        <v/>
      </c>
      <c r="K2616" s="6" t="n"/>
    </row>
    <row r="2617">
      <c r="A2617" s="6" t="n"/>
      <c r="B2617" s="6" t="n"/>
      <c r="C2617" s="19" t="n"/>
      <c r="D2617" s="19" t="n"/>
      <c r="E2617" s="6" t="n"/>
      <c r="F2617" s="20" t="n"/>
      <c r="G2617" s="9">
        <f>IF($F2617="","",IF($F2617&gt;0,ROUND($F2617,2),""))</f>
        <v/>
      </c>
      <c r="H2617" s="12">
        <f>IF(OR($B2617="",$C2617="",$G2617=""),"",COUNTIFS(Ventes_Encaissements!$E$6:$E$3005,$B2617,Ventes_Encaissements!$J$6:$J$3005,$G2617,Ventes_Encaissements!$C$6:$C$3005,"&gt;="&amp;($C2617-3),Ventes_Encaissements!$C$6:$C$3005,"&lt;="&amp;($C2617+3)))</f>
        <v/>
      </c>
      <c r="I2617" s="12">
        <f>IF($H2617="","",IF($H2617=0,"Non trouvé",IF($H2617=1,"Match","À vérifier")))</f>
        <v/>
      </c>
      <c r="J2617" s="21">
        <f>IF($I2617&lt;&gt;"Match","",INDEX(Ventes_Encaissements!$B$6:$B$3005,_xludf.AGGREGATE(15,6,(ROW(Ventes_Encaissements!$B$6:$B$3005)-ROW(Ventes_Encaissements!$B$6)+1)/((Ventes_Encaissements!$E$6:$E$3005=$B2617)*(Ventes_Encaissements!$J$6:$J$3005=$G2617)*(Ventes_Encaissements!$C$6:$C$3005&gt;=$C2617-3)*(Ventes_Encaissements!$C$6:$C$3005&lt;=$C2617+3)),1)))</f>
        <v/>
      </c>
      <c r="K2617" s="6" t="n"/>
    </row>
    <row r="2618">
      <c r="A2618" s="6" t="n"/>
      <c r="B2618" s="6" t="n"/>
      <c r="C2618" s="19" t="n"/>
      <c r="D2618" s="19" t="n"/>
      <c r="E2618" s="6" t="n"/>
      <c r="F2618" s="20" t="n"/>
      <c r="G2618" s="9">
        <f>IF($F2618="","",IF($F2618&gt;0,ROUND($F2618,2),""))</f>
        <v/>
      </c>
      <c r="H2618" s="12">
        <f>IF(OR($B2618="",$C2618="",$G2618=""),"",COUNTIFS(Ventes_Encaissements!$E$6:$E$3005,$B2618,Ventes_Encaissements!$J$6:$J$3005,$G2618,Ventes_Encaissements!$C$6:$C$3005,"&gt;="&amp;($C2618-3),Ventes_Encaissements!$C$6:$C$3005,"&lt;="&amp;($C2618+3)))</f>
        <v/>
      </c>
      <c r="I2618" s="12">
        <f>IF($H2618="","",IF($H2618=0,"Non trouvé",IF($H2618=1,"Match","À vérifier")))</f>
        <v/>
      </c>
      <c r="J2618" s="21">
        <f>IF($I2618&lt;&gt;"Match","",INDEX(Ventes_Encaissements!$B$6:$B$3005,_xludf.AGGREGATE(15,6,(ROW(Ventes_Encaissements!$B$6:$B$3005)-ROW(Ventes_Encaissements!$B$6)+1)/((Ventes_Encaissements!$E$6:$E$3005=$B2618)*(Ventes_Encaissements!$J$6:$J$3005=$G2618)*(Ventes_Encaissements!$C$6:$C$3005&gt;=$C2618-3)*(Ventes_Encaissements!$C$6:$C$3005&lt;=$C2618+3)),1)))</f>
        <v/>
      </c>
      <c r="K2618" s="6" t="n"/>
    </row>
    <row r="2619">
      <c r="A2619" s="6" t="n"/>
      <c r="B2619" s="6" t="n"/>
      <c r="C2619" s="19" t="n"/>
      <c r="D2619" s="19" t="n"/>
      <c r="E2619" s="6" t="n"/>
      <c r="F2619" s="20" t="n"/>
      <c r="G2619" s="9">
        <f>IF($F2619="","",IF($F2619&gt;0,ROUND($F2619,2),""))</f>
        <v/>
      </c>
      <c r="H2619" s="12">
        <f>IF(OR($B2619="",$C2619="",$G2619=""),"",COUNTIFS(Ventes_Encaissements!$E$6:$E$3005,$B2619,Ventes_Encaissements!$J$6:$J$3005,$G2619,Ventes_Encaissements!$C$6:$C$3005,"&gt;="&amp;($C2619-3),Ventes_Encaissements!$C$6:$C$3005,"&lt;="&amp;($C2619+3)))</f>
        <v/>
      </c>
      <c r="I2619" s="12">
        <f>IF($H2619="","",IF($H2619=0,"Non trouvé",IF($H2619=1,"Match","À vérifier")))</f>
        <v/>
      </c>
      <c r="J2619" s="21">
        <f>IF($I2619&lt;&gt;"Match","",INDEX(Ventes_Encaissements!$B$6:$B$3005,_xludf.AGGREGATE(15,6,(ROW(Ventes_Encaissements!$B$6:$B$3005)-ROW(Ventes_Encaissements!$B$6)+1)/((Ventes_Encaissements!$E$6:$E$3005=$B2619)*(Ventes_Encaissements!$J$6:$J$3005=$G2619)*(Ventes_Encaissements!$C$6:$C$3005&gt;=$C2619-3)*(Ventes_Encaissements!$C$6:$C$3005&lt;=$C2619+3)),1)))</f>
        <v/>
      </c>
      <c r="K2619" s="6" t="n"/>
    </row>
    <row r="2620">
      <c r="A2620" s="6" t="n"/>
      <c r="B2620" s="6" t="n"/>
      <c r="C2620" s="19" t="n"/>
      <c r="D2620" s="19" t="n"/>
      <c r="E2620" s="6" t="n"/>
      <c r="F2620" s="20" t="n"/>
      <c r="G2620" s="9">
        <f>IF($F2620="","",IF($F2620&gt;0,ROUND($F2620,2),""))</f>
        <v/>
      </c>
      <c r="H2620" s="12">
        <f>IF(OR($B2620="",$C2620="",$G2620=""),"",COUNTIFS(Ventes_Encaissements!$E$6:$E$3005,$B2620,Ventes_Encaissements!$J$6:$J$3005,$G2620,Ventes_Encaissements!$C$6:$C$3005,"&gt;="&amp;($C2620-3),Ventes_Encaissements!$C$6:$C$3005,"&lt;="&amp;($C2620+3)))</f>
        <v/>
      </c>
      <c r="I2620" s="12">
        <f>IF($H2620="","",IF($H2620=0,"Non trouvé",IF($H2620=1,"Match","À vérifier")))</f>
        <v/>
      </c>
      <c r="J2620" s="21">
        <f>IF($I2620&lt;&gt;"Match","",INDEX(Ventes_Encaissements!$B$6:$B$3005,_xludf.AGGREGATE(15,6,(ROW(Ventes_Encaissements!$B$6:$B$3005)-ROW(Ventes_Encaissements!$B$6)+1)/((Ventes_Encaissements!$E$6:$E$3005=$B2620)*(Ventes_Encaissements!$J$6:$J$3005=$G2620)*(Ventes_Encaissements!$C$6:$C$3005&gt;=$C2620-3)*(Ventes_Encaissements!$C$6:$C$3005&lt;=$C2620+3)),1)))</f>
        <v/>
      </c>
      <c r="K2620" s="6" t="n"/>
    </row>
    <row r="2621">
      <c r="A2621" s="6" t="n"/>
      <c r="B2621" s="6" t="n"/>
      <c r="C2621" s="19" t="n"/>
      <c r="D2621" s="19" t="n"/>
      <c r="E2621" s="6" t="n"/>
      <c r="F2621" s="20" t="n"/>
      <c r="G2621" s="9">
        <f>IF($F2621="","",IF($F2621&gt;0,ROUND($F2621,2),""))</f>
        <v/>
      </c>
      <c r="H2621" s="12">
        <f>IF(OR($B2621="",$C2621="",$G2621=""),"",COUNTIFS(Ventes_Encaissements!$E$6:$E$3005,$B2621,Ventes_Encaissements!$J$6:$J$3005,$G2621,Ventes_Encaissements!$C$6:$C$3005,"&gt;="&amp;($C2621-3),Ventes_Encaissements!$C$6:$C$3005,"&lt;="&amp;($C2621+3)))</f>
        <v/>
      </c>
      <c r="I2621" s="12">
        <f>IF($H2621="","",IF($H2621=0,"Non trouvé",IF($H2621=1,"Match","À vérifier")))</f>
        <v/>
      </c>
      <c r="J2621" s="21">
        <f>IF($I2621&lt;&gt;"Match","",INDEX(Ventes_Encaissements!$B$6:$B$3005,_xludf.AGGREGATE(15,6,(ROW(Ventes_Encaissements!$B$6:$B$3005)-ROW(Ventes_Encaissements!$B$6)+1)/((Ventes_Encaissements!$E$6:$E$3005=$B2621)*(Ventes_Encaissements!$J$6:$J$3005=$G2621)*(Ventes_Encaissements!$C$6:$C$3005&gt;=$C2621-3)*(Ventes_Encaissements!$C$6:$C$3005&lt;=$C2621+3)),1)))</f>
        <v/>
      </c>
      <c r="K2621" s="6" t="n"/>
    </row>
    <row r="2622">
      <c r="A2622" s="6" t="n"/>
      <c r="B2622" s="6" t="n"/>
      <c r="C2622" s="19" t="n"/>
      <c r="D2622" s="19" t="n"/>
      <c r="E2622" s="6" t="n"/>
      <c r="F2622" s="20" t="n"/>
      <c r="G2622" s="9">
        <f>IF($F2622="","",IF($F2622&gt;0,ROUND($F2622,2),""))</f>
        <v/>
      </c>
      <c r="H2622" s="12">
        <f>IF(OR($B2622="",$C2622="",$G2622=""),"",COUNTIFS(Ventes_Encaissements!$E$6:$E$3005,$B2622,Ventes_Encaissements!$J$6:$J$3005,$G2622,Ventes_Encaissements!$C$6:$C$3005,"&gt;="&amp;($C2622-3),Ventes_Encaissements!$C$6:$C$3005,"&lt;="&amp;($C2622+3)))</f>
        <v/>
      </c>
      <c r="I2622" s="12">
        <f>IF($H2622="","",IF($H2622=0,"Non trouvé",IF($H2622=1,"Match","À vérifier")))</f>
        <v/>
      </c>
      <c r="J2622" s="21">
        <f>IF($I2622&lt;&gt;"Match","",INDEX(Ventes_Encaissements!$B$6:$B$3005,_xludf.AGGREGATE(15,6,(ROW(Ventes_Encaissements!$B$6:$B$3005)-ROW(Ventes_Encaissements!$B$6)+1)/((Ventes_Encaissements!$E$6:$E$3005=$B2622)*(Ventes_Encaissements!$J$6:$J$3005=$G2622)*(Ventes_Encaissements!$C$6:$C$3005&gt;=$C2622-3)*(Ventes_Encaissements!$C$6:$C$3005&lt;=$C2622+3)),1)))</f>
        <v/>
      </c>
      <c r="K2622" s="6" t="n"/>
    </row>
    <row r="2623">
      <c r="A2623" s="6" t="n"/>
      <c r="B2623" s="6" t="n"/>
      <c r="C2623" s="19" t="n"/>
      <c r="D2623" s="19" t="n"/>
      <c r="E2623" s="6" t="n"/>
      <c r="F2623" s="20" t="n"/>
      <c r="G2623" s="9">
        <f>IF($F2623="","",IF($F2623&gt;0,ROUND($F2623,2),""))</f>
        <v/>
      </c>
      <c r="H2623" s="12">
        <f>IF(OR($B2623="",$C2623="",$G2623=""),"",COUNTIFS(Ventes_Encaissements!$E$6:$E$3005,$B2623,Ventes_Encaissements!$J$6:$J$3005,$G2623,Ventes_Encaissements!$C$6:$C$3005,"&gt;="&amp;($C2623-3),Ventes_Encaissements!$C$6:$C$3005,"&lt;="&amp;($C2623+3)))</f>
        <v/>
      </c>
      <c r="I2623" s="12">
        <f>IF($H2623="","",IF($H2623=0,"Non trouvé",IF($H2623=1,"Match","À vérifier")))</f>
        <v/>
      </c>
      <c r="J2623" s="21">
        <f>IF($I2623&lt;&gt;"Match","",INDEX(Ventes_Encaissements!$B$6:$B$3005,_xludf.AGGREGATE(15,6,(ROW(Ventes_Encaissements!$B$6:$B$3005)-ROW(Ventes_Encaissements!$B$6)+1)/((Ventes_Encaissements!$E$6:$E$3005=$B2623)*(Ventes_Encaissements!$J$6:$J$3005=$G2623)*(Ventes_Encaissements!$C$6:$C$3005&gt;=$C2623-3)*(Ventes_Encaissements!$C$6:$C$3005&lt;=$C2623+3)),1)))</f>
        <v/>
      </c>
      <c r="K2623" s="6" t="n"/>
    </row>
    <row r="2624">
      <c r="A2624" s="6" t="n"/>
      <c r="B2624" s="6" t="n"/>
      <c r="C2624" s="19" t="n"/>
      <c r="D2624" s="19" t="n"/>
      <c r="E2624" s="6" t="n"/>
      <c r="F2624" s="20" t="n"/>
      <c r="G2624" s="9">
        <f>IF($F2624="","",IF($F2624&gt;0,ROUND($F2624,2),""))</f>
        <v/>
      </c>
      <c r="H2624" s="12">
        <f>IF(OR($B2624="",$C2624="",$G2624=""),"",COUNTIFS(Ventes_Encaissements!$E$6:$E$3005,$B2624,Ventes_Encaissements!$J$6:$J$3005,$G2624,Ventes_Encaissements!$C$6:$C$3005,"&gt;="&amp;($C2624-3),Ventes_Encaissements!$C$6:$C$3005,"&lt;="&amp;($C2624+3)))</f>
        <v/>
      </c>
      <c r="I2624" s="12">
        <f>IF($H2624="","",IF($H2624=0,"Non trouvé",IF($H2624=1,"Match","À vérifier")))</f>
        <v/>
      </c>
      <c r="J2624" s="21">
        <f>IF($I2624&lt;&gt;"Match","",INDEX(Ventes_Encaissements!$B$6:$B$3005,_xludf.AGGREGATE(15,6,(ROW(Ventes_Encaissements!$B$6:$B$3005)-ROW(Ventes_Encaissements!$B$6)+1)/((Ventes_Encaissements!$E$6:$E$3005=$B2624)*(Ventes_Encaissements!$J$6:$J$3005=$G2624)*(Ventes_Encaissements!$C$6:$C$3005&gt;=$C2624-3)*(Ventes_Encaissements!$C$6:$C$3005&lt;=$C2624+3)),1)))</f>
        <v/>
      </c>
      <c r="K2624" s="6" t="n"/>
    </row>
    <row r="2625">
      <c r="A2625" s="6" t="n"/>
      <c r="B2625" s="6" t="n"/>
      <c r="C2625" s="19" t="n"/>
      <c r="D2625" s="19" t="n"/>
      <c r="E2625" s="6" t="n"/>
      <c r="F2625" s="20" t="n"/>
      <c r="G2625" s="9">
        <f>IF($F2625="","",IF($F2625&gt;0,ROUND($F2625,2),""))</f>
        <v/>
      </c>
      <c r="H2625" s="12">
        <f>IF(OR($B2625="",$C2625="",$G2625=""),"",COUNTIFS(Ventes_Encaissements!$E$6:$E$3005,$B2625,Ventes_Encaissements!$J$6:$J$3005,$G2625,Ventes_Encaissements!$C$6:$C$3005,"&gt;="&amp;($C2625-3),Ventes_Encaissements!$C$6:$C$3005,"&lt;="&amp;($C2625+3)))</f>
        <v/>
      </c>
      <c r="I2625" s="12">
        <f>IF($H2625="","",IF($H2625=0,"Non trouvé",IF($H2625=1,"Match","À vérifier")))</f>
        <v/>
      </c>
      <c r="J2625" s="21">
        <f>IF($I2625&lt;&gt;"Match","",INDEX(Ventes_Encaissements!$B$6:$B$3005,_xludf.AGGREGATE(15,6,(ROW(Ventes_Encaissements!$B$6:$B$3005)-ROW(Ventes_Encaissements!$B$6)+1)/((Ventes_Encaissements!$E$6:$E$3005=$B2625)*(Ventes_Encaissements!$J$6:$J$3005=$G2625)*(Ventes_Encaissements!$C$6:$C$3005&gt;=$C2625-3)*(Ventes_Encaissements!$C$6:$C$3005&lt;=$C2625+3)),1)))</f>
        <v/>
      </c>
      <c r="K2625" s="6" t="n"/>
    </row>
    <row r="2626">
      <c r="A2626" s="6" t="n"/>
      <c r="B2626" s="6" t="n"/>
      <c r="C2626" s="19" t="n"/>
      <c r="D2626" s="19" t="n"/>
      <c r="E2626" s="6" t="n"/>
      <c r="F2626" s="20" t="n"/>
      <c r="G2626" s="9">
        <f>IF($F2626="","",IF($F2626&gt;0,ROUND($F2626,2),""))</f>
        <v/>
      </c>
      <c r="H2626" s="12">
        <f>IF(OR($B2626="",$C2626="",$G2626=""),"",COUNTIFS(Ventes_Encaissements!$E$6:$E$3005,$B2626,Ventes_Encaissements!$J$6:$J$3005,$G2626,Ventes_Encaissements!$C$6:$C$3005,"&gt;="&amp;($C2626-3),Ventes_Encaissements!$C$6:$C$3005,"&lt;="&amp;($C2626+3)))</f>
        <v/>
      </c>
      <c r="I2626" s="12">
        <f>IF($H2626="","",IF($H2626=0,"Non trouvé",IF($H2626=1,"Match","À vérifier")))</f>
        <v/>
      </c>
      <c r="J2626" s="21">
        <f>IF($I2626&lt;&gt;"Match","",INDEX(Ventes_Encaissements!$B$6:$B$3005,_xludf.AGGREGATE(15,6,(ROW(Ventes_Encaissements!$B$6:$B$3005)-ROW(Ventes_Encaissements!$B$6)+1)/((Ventes_Encaissements!$E$6:$E$3005=$B2626)*(Ventes_Encaissements!$J$6:$J$3005=$G2626)*(Ventes_Encaissements!$C$6:$C$3005&gt;=$C2626-3)*(Ventes_Encaissements!$C$6:$C$3005&lt;=$C2626+3)),1)))</f>
        <v/>
      </c>
      <c r="K2626" s="6" t="n"/>
    </row>
    <row r="2627">
      <c r="A2627" s="6" t="n"/>
      <c r="B2627" s="6" t="n"/>
      <c r="C2627" s="19" t="n"/>
      <c r="D2627" s="19" t="n"/>
      <c r="E2627" s="6" t="n"/>
      <c r="F2627" s="20" t="n"/>
      <c r="G2627" s="9">
        <f>IF($F2627="","",IF($F2627&gt;0,ROUND($F2627,2),""))</f>
        <v/>
      </c>
      <c r="H2627" s="12">
        <f>IF(OR($B2627="",$C2627="",$G2627=""),"",COUNTIFS(Ventes_Encaissements!$E$6:$E$3005,$B2627,Ventes_Encaissements!$J$6:$J$3005,$G2627,Ventes_Encaissements!$C$6:$C$3005,"&gt;="&amp;($C2627-3),Ventes_Encaissements!$C$6:$C$3005,"&lt;="&amp;($C2627+3)))</f>
        <v/>
      </c>
      <c r="I2627" s="12">
        <f>IF($H2627="","",IF($H2627=0,"Non trouvé",IF($H2627=1,"Match","À vérifier")))</f>
        <v/>
      </c>
      <c r="J2627" s="21">
        <f>IF($I2627&lt;&gt;"Match","",INDEX(Ventes_Encaissements!$B$6:$B$3005,_xludf.AGGREGATE(15,6,(ROW(Ventes_Encaissements!$B$6:$B$3005)-ROW(Ventes_Encaissements!$B$6)+1)/((Ventes_Encaissements!$E$6:$E$3005=$B2627)*(Ventes_Encaissements!$J$6:$J$3005=$G2627)*(Ventes_Encaissements!$C$6:$C$3005&gt;=$C2627-3)*(Ventes_Encaissements!$C$6:$C$3005&lt;=$C2627+3)),1)))</f>
        <v/>
      </c>
      <c r="K2627" s="6" t="n"/>
    </row>
    <row r="2628">
      <c r="A2628" s="6" t="n"/>
      <c r="B2628" s="6" t="n"/>
      <c r="C2628" s="19" t="n"/>
      <c r="D2628" s="19" t="n"/>
      <c r="E2628" s="6" t="n"/>
      <c r="F2628" s="20" t="n"/>
      <c r="G2628" s="9">
        <f>IF($F2628="","",IF($F2628&gt;0,ROUND($F2628,2),""))</f>
        <v/>
      </c>
      <c r="H2628" s="12">
        <f>IF(OR($B2628="",$C2628="",$G2628=""),"",COUNTIFS(Ventes_Encaissements!$E$6:$E$3005,$B2628,Ventes_Encaissements!$J$6:$J$3005,$G2628,Ventes_Encaissements!$C$6:$C$3005,"&gt;="&amp;($C2628-3),Ventes_Encaissements!$C$6:$C$3005,"&lt;="&amp;($C2628+3)))</f>
        <v/>
      </c>
      <c r="I2628" s="12">
        <f>IF($H2628="","",IF($H2628=0,"Non trouvé",IF($H2628=1,"Match","À vérifier")))</f>
        <v/>
      </c>
      <c r="J2628" s="21">
        <f>IF($I2628&lt;&gt;"Match","",INDEX(Ventes_Encaissements!$B$6:$B$3005,_xludf.AGGREGATE(15,6,(ROW(Ventes_Encaissements!$B$6:$B$3005)-ROW(Ventes_Encaissements!$B$6)+1)/((Ventes_Encaissements!$E$6:$E$3005=$B2628)*(Ventes_Encaissements!$J$6:$J$3005=$G2628)*(Ventes_Encaissements!$C$6:$C$3005&gt;=$C2628-3)*(Ventes_Encaissements!$C$6:$C$3005&lt;=$C2628+3)),1)))</f>
        <v/>
      </c>
      <c r="K2628" s="6" t="n"/>
    </row>
    <row r="2629">
      <c r="A2629" s="6" t="n"/>
      <c r="B2629" s="6" t="n"/>
      <c r="C2629" s="19" t="n"/>
      <c r="D2629" s="19" t="n"/>
      <c r="E2629" s="6" t="n"/>
      <c r="F2629" s="20" t="n"/>
      <c r="G2629" s="9">
        <f>IF($F2629="","",IF($F2629&gt;0,ROUND($F2629,2),""))</f>
        <v/>
      </c>
      <c r="H2629" s="12">
        <f>IF(OR($B2629="",$C2629="",$G2629=""),"",COUNTIFS(Ventes_Encaissements!$E$6:$E$3005,$B2629,Ventes_Encaissements!$J$6:$J$3005,$G2629,Ventes_Encaissements!$C$6:$C$3005,"&gt;="&amp;($C2629-3),Ventes_Encaissements!$C$6:$C$3005,"&lt;="&amp;($C2629+3)))</f>
        <v/>
      </c>
      <c r="I2629" s="12">
        <f>IF($H2629="","",IF($H2629=0,"Non trouvé",IF($H2629=1,"Match","À vérifier")))</f>
        <v/>
      </c>
      <c r="J2629" s="21">
        <f>IF($I2629&lt;&gt;"Match","",INDEX(Ventes_Encaissements!$B$6:$B$3005,_xludf.AGGREGATE(15,6,(ROW(Ventes_Encaissements!$B$6:$B$3005)-ROW(Ventes_Encaissements!$B$6)+1)/((Ventes_Encaissements!$E$6:$E$3005=$B2629)*(Ventes_Encaissements!$J$6:$J$3005=$G2629)*(Ventes_Encaissements!$C$6:$C$3005&gt;=$C2629-3)*(Ventes_Encaissements!$C$6:$C$3005&lt;=$C2629+3)),1)))</f>
        <v/>
      </c>
      <c r="K2629" s="6" t="n"/>
    </row>
    <row r="2630">
      <c r="A2630" s="6" t="n"/>
      <c r="B2630" s="6" t="n"/>
      <c r="C2630" s="19" t="n"/>
      <c r="D2630" s="19" t="n"/>
      <c r="E2630" s="6" t="n"/>
      <c r="F2630" s="20" t="n"/>
      <c r="G2630" s="9">
        <f>IF($F2630="","",IF($F2630&gt;0,ROUND($F2630,2),""))</f>
        <v/>
      </c>
      <c r="H2630" s="12">
        <f>IF(OR($B2630="",$C2630="",$G2630=""),"",COUNTIFS(Ventes_Encaissements!$E$6:$E$3005,$B2630,Ventes_Encaissements!$J$6:$J$3005,$G2630,Ventes_Encaissements!$C$6:$C$3005,"&gt;="&amp;($C2630-3),Ventes_Encaissements!$C$6:$C$3005,"&lt;="&amp;($C2630+3)))</f>
        <v/>
      </c>
      <c r="I2630" s="12">
        <f>IF($H2630="","",IF($H2630=0,"Non trouvé",IF($H2630=1,"Match","À vérifier")))</f>
        <v/>
      </c>
      <c r="J2630" s="21">
        <f>IF($I2630&lt;&gt;"Match","",INDEX(Ventes_Encaissements!$B$6:$B$3005,_xludf.AGGREGATE(15,6,(ROW(Ventes_Encaissements!$B$6:$B$3005)-ROW(Ventes_Encaissements!$B$6)+1)/((Ventes_Encaissements!$E$6:$E$3005=$B2630)*(Ventes_Encaissements!$J$6:$J$3005=$G2630)*(Ventes_Encaissements!$C$6:$C$3005&gt;=$C2630-3)*(Ventes_Encaissements!$C$6:$C$3005&lt;=$C2630+3)),1)))</f>
        <v/>
      </c>
      <c r="K2630" s="6" t="n"/>
    </row>
    <row r="2631">
      <c r="A2631" s="6" t="n"/>
      <c r="B2631" s="6" t="n"/>
      <c r="C2631" s="19" t="n"/>
      <c r="D2631" s="19" t="n"/>
      <c r="E2631" s="6" t="n"/>
      <c r="F2631" s="20" t="n"/>
      <c r="G2631" s="9">
        <f>IF($F2631="","",IF($F2631&gt;0,ROUND($F2631,2),""))</f>
        <v/>
      </c>
      <c r="H2631" s="12">
        <f>IF(OR($B2631="",$C2631="",$G2631=""),"",COUNTIFS(Ventes_Encaissements!$E$6:$E$3005,$B2631,Ventes_Encaissements!$J$6:$J$3005,$G2631,Ventes_Encaissements!$C$6:$C$3005,"&gt;="&amp;($C2631-3),Ventes_Encaissements!$C$6:$C$3005,"&lt;="&amp;($C2631+3)))</f>
        <v/>
      </c>
      <c r="I2631" s="12">
        <f>IF($H2631="","",IF($H2631=0,"Non trouvé",IF($H2631=1,"Match","À vérifier")))</f>
        <v/>
      </c>
      <c r="J2631" s="21">
        <f>IF($I2631&lt;&gt;"Match","",INDEX(Ventes_Encaissements!$B$6:$B$3005,_xludf.AGGREGATE(15,6,(ROW(Ventes_Encaissements!$B$6:$B$3005)-ROW(Ventes_Encaissements!$B$6)+1)/((Ventes_Encaissements!$E$6:$E$3005=$B2631)*(Ventes_Encaissements!$J$6:$J$3005=$G2631)*(Ventes_Encaissements!$C$6:$C$3005&gt;=$C2631-3)*(Ventes_Encaissements!$C$6:$C$3005&lt;=$C2631+3)),1)))</f>
        <v/>
      </c>
      <c r="K2631" s="6" t="n"/>
    </row>
    <row r="2632">
      <c r="A2632" s="6" t="n"/>
      <c r="B2632" s="6" t="n"/>
      <c r="C2632" s="19" t="n"/>
      <c r="D2632" s="19" t="n"/>
      <c r="E2632" s="6" t="n"/>
      <c r="F2632" s="20" t="n"/>
      <c r="G2632" s="9">
        <f>IF($F2632="","",IF($F2632&gt;0,ROUND($F2632,2),""))</f>
        <v/>
      </c>
      <c r="H2632" s="12">
        <f>IF(OR($B2632="",$C2632="",$G2632=""),"",COUNTIFS(Ventes_Encaissements!$E$6:$E$3005,$B2632,Ventes_Encaissements!$J$6:$J$3005,$G2632,Ventes_Encaissements!$C$6:$C$3005,"&gt;="&amp;($C2632-3),Ventes_Encaissements!$C$6:$C$3005,"&lt;="&amp;($C2632+3)))</f>
        <v/>
      </c>
      <c r="I2632" s="12">
        <f>IF($H2632="","",IF($H2632=0,"Non trouvé",IF($H2632=1,"Match","À vérifier")))</f>
        <v/>
      </c>
      <c r="J2632" s="21">
        <f>IF($I2632&lt;&gt;"Match","",INDEX(Ventes_Encaissements!$B$6:$B$3005,_xludf.AGGREGATE(15,6,(ROW(Ventes_Encaissements!$B$6:$B$3005)-ROW(Ventes_Encaissements!$B$6)+1)/((Ventes_Encaissements!$E$6:$E$3005=$B2632)*(Ventes_Encaissements!$J$6:$J$3005=$G2632)*(Ventes_Encaissements!$C$6:$C$3005&gt;=$C2632-3)*(Ventes_Encaissements!$C$6:$C$3005&lt;=$C2632+3)),1)))</f>
        <v/>
      </c>
      <c r="K2632" s="6" t="n"/>
    </row>
    <row r="2633">
      <c r="A2633" s="6" t="n"/>
      <c r="B2633" s="6" t="n"/>
      <c r="C2633" s="19" t="n"/>
      <c r="D2633" s="19" t="n"/>
      <c r="E2633" s="6" t="n"/>
      <c r="F2633" s="20" t="n"/>
      <c r="G2633" s="9">
        <f>IF($F2633="","",IF($F2633&gt;0,ROUND($F2633,2),""))</f>
        <v/>
      </c>
      <c r="H2633" s="12">
        <f>IF(OR($B2633="",$C2633="",$G2633=""),"",COUNTIFS(Ventes_Encaissements!$E$6:$E$3005,$B2633,Ventes_Encaissements!$J$6:$J$3005,$G2633,Ventes_Encaissements!$C$6:$C$3005,"&gt;="&amp;($C2633-3),Ventes_Encaissements!$C$6:$C$3005,"&lt;="&amp;($C2633+3)))</f>
        <v/>
      </c>
      <c r="I2633" s="12">
        <f>IF($H2633="","",IF($H2633=0,"Non trouvé",IF($H2633=1,"Match","À vérifier")))</f>
        <v/>
      </c>
      <c r="J2633" s="21">
        <f>IF($I2633&lt;&gt;"Match","",INDEX(Ventes_Encaissements!$B$6:$B$3005,_xludf.AGGREGATE(15,6,(ROW(Ventes_Encaissements!$B$6:$B$3005)-ROW(Ventes_Encaissements!$B$6)+1)/((Ventes_Encaissements!$E$6:$E$3005=$B2633)*(Ventes_Encaissements!$J$6:$J$3005=$G2633)*(Ventes_Encaissements!$C$6:$C$3005&gt;=$C2633-3)*(Ventes_Encaissements!$C$6:$C$3005&lt;=$C2633+3)),1)))</f>
        <v/>
      </c>
      <c r="K2633" s="6" t="n"/>
    </row>
    <row r="2634">
      <c r="A2634" s="6" t="n"/>
      <c r="B2634" s="6" t="n"/>
      <c r="C2634" s="19" t="n"/>
      <c r="D2634" s="19" t="n"/>
      <c r="E2634" s="6" t="n"/>
      <c r="F2634" s="20" t="n"/>
      <c r="G2634" s="9">
        <f>IF($F2634="","",IF($F2634&gt;0,ROUND($F2634,2),""))</f>
        <v/>
      </c>
      <c r="H2634" s="12">
        <f>IF(OR($B2634="",$C2634="",$G2634=""),"",COUNTIFS(Ventes_Encaissements!$E$6:$E$3005,$B2634,Ventes_Encaissements!$J$6:$J$3005,$G2634,Ventes_Encaissements!$C$6:$C$3005,"&gt;="&amp;($C2634-3),Ventes_Encaissements!$C$6:$C$3005,"&lt;="&amp;($C2634+3)))</f>
        <v/>
      </c>
      <c r="I2634" s="12">
        <f>IF($H2634="","",IF($H2634=0,"Non trouvé",IF($H2634=1,"Match","À vérifier")))</f>
        <v/>
      </c>
      <c r="J2634" s="21">
        <f>IF($I2634&lt;&gt;"Match","",INDEX(Ventes_Encaissements!$B$6:$B$3005,_xludf.AGGREGATE(15,6,(ROW(Ventes_Encaissements!$B$6:$B$3005)-ROW(Ventes_Encaissements!$B$6)+1)/((Ventes_Encaissements!$E$6:$E$3005=$B2634)*(Ventes_Encaissements!$J$6:$J$3005=$G2634)*(Ventes_Encaissements!$C$6:$C$3005&gt;=$C2634-3)*(Ventes_Encaissements!$C$6:$C$3005&lt;=$C2634+3)),1)))</f>
        <v/>
      </c>
      <c r="K2634" s="6" t="n"/>
    </row>
    <row r="2635">
      <c r="A2635" s="6" t="n"/>
      <c r="B2635" s="6" t="n"/>
      <c r="C2635" s="19" t="n"/>
      <c r="D2635" s="19" t="n"/>
      <c r="E2635" s="6" t="n"/>
      <c r="F2635" s="20" t="n"/>
      <c r="G2635" s="9">
        <f>IF($F2635="","",IF($F2635&gt;0,ROUND($F2635,2),""))</f>
        <v/>
      </c>
      <c r="H2635" s="12">
        <f>IF(OR($B2635="",$C2635="",$G2635=""),"",COUNTIFS(Ventes_Encaissements!$E$6:$E$3005,$B2635,Ventes_Encaissements!$J$6:$J$3005,$G2635,Ventes_Encaissements!$C$6:$C$3005,"&gt;="&amp;($C2635-3),Ventes_Encaissements!$C$6:$C$3005,"&lt;="&amp;($C2635+3)))</f>
        <v/>
      </c>
      <c r="I2635" s="12">
        <f>IF($H2635="","",IF($H2635=0,"Non trouvé",IF($H2635=1,"Match","À vérifier")))</f>
        <v/>
      </c>
      <c r="J2635" s="21">
        <f>IF($I2635&lt;&gt;"Match","",INDEX(Ventes_Encaissements!$B$6:$B$3005,_xludf.AGGREGATE(15,6,(ROW(Ventes_Encaissements!$B$6:$B$3005)-ROW(Ventes_Encaissements!$B$6)+1)/((Ventes_Encaissements!$E$6:$E$3005=$B2635)*(Ventes_Encaissements!$J$6:$J$3005=$G2635)*(Ventes_Encaissements!$C$6:$C$3005&gt;=$C2635-3)*(Ventes_Encaissements!$C$6:$C$3005&lt;=$C2635+3)),1)))</f>
        <v/>
      </c>
      <c r="K2635" s="6" t="n"/>
    </row>
    <row r="2636">
      <c r="A2636" s="6" t="n"/>
      <c r="B2636" s="6" t="n"/>
      <c r="C2636" s="19" t="n"/>
      <c r="D2636" s="19" t="n"/>
      <c r="E2636" s="6" t="n"/>
      <c r="F2636" s="20" t="n"/>
      <c r="G2636" s="9">
        <f>IF($F2636="","",IF($F2636&gt;0,ROUND($F2636,2),""))</f>
        <v/>
      </c>
      <c r="H2636" s="12">
        <f>IF(OR($B2636="",$C2636="",$G2636=""),"",COUNTIFS(Ventes_Encaissements!$E$6:$E$3005,$B2636,Ventes_Encaissements!$J$6:$J$3005,$G2636,Ventes_Encaissements!$C$6:$C$3005,"&gt;="&amp;($C2636-3),Ventes_Encaissements!$C$6:$C$3005,"&lt;="&amp;($C2636+3)))</f>
        <v/>
      </c>
      <c r="I2636" s="12">
        <f>IF($H2636="","",IF($H2636=0,"Non trouvé",IF($H2636=1,"Match","À vérifier")))</f>
        <v/>
      </c>
      <c r="J2636" s="21">
        <f>IF($I2636&lt;&gt;"Match","",INDEX(Ventes_Encaissements!$B$6:$B$3005,_xludf.AGGREGATE(15,6,(ROW(Ventes_Encaissements!$B$6:$B$3005)-ROW(Ventes_Encaissements!$B$6)+1)/((Ventes_Encaissements!$E$6:$E$3005=$B2636)*(Ventes_Encaissements!$J$6:$J$3005=$G2636)*(Ventes_Encaissements!$C$6:$C$3005&gt;=$C2636-3)*(Ventes_Encaissements!$C$6:$C$3005&lt;=$C2636+3)),1)))</f>
        <v/>
      </c>
      <c r="K2636" s="6" t="n"/>
    </row>
    <row r="2637">
      <c r="A2637" s="6" t="n"/>
      <c r="B2637" s="6" t="n"/>
      <c r="C2637" s="19" t="n"/>
      <c r="D2637" s="19" t="n"/>
      <c r="E2637" s="6" t="n"/>
      <c r="F2637" s="20" t="n"/>
      <c r="G2637" s="9">
        <f>IF($F2637="","",IF($F2637&gt;0,ROUND($F2637,2),""))</f>
        <v/>
      </c>
      <c r="H2637" s="12">
        <f>IF(OR($B2637="",$C2637="",$G2637=""),"",COUNTIFS(Ventes_Encaissements!$E$6:$E$3005,$B2637,Ventes_Encaissements!$J$6:$J$3005,$G2637,Ventes_Encaissements!$C$6:$C$3005,"&gt;="&amp;($C2637-3),Ventes_Encaissements!$C$6:$C$3005,"&lt;="&amp;($C2637+3)))</f>
        <v/>
      </c>
      <c r="I2637" s="12">
        <f>IF($H2637="","",IF($H2637=0,"Non trouvé",IF($H2637=1,"Match","À vérifier")))</f>
        <v/>
      </c>
      <c r="J2637" s="21">
        <f>IF($I2637&lt;&gt;"Match","",INDEX(Ventes_Encaissements!$B$6:$B$3005,_xludf.AGGREGATE(15,6,(ROW(Ventes_Encaissements!$B$6:$B$3005)-ROW(Ventes_Encaissements!$B$6)+1)/((Ventes_Encaissements!$E$6:$E$3005=$B2637)*(Ventes_Encaissements!$J$6:$J$3005=$G2637)*(Ventes_Encaissements!$C$6:$C$3005&gt;=$C2637-3)*(Ventes_Encaissements!$C$6:$C$3005&lt;=$C2637+3)),1)))</f>
        <v/>
      </c>
      <c r="K2637" s="6" t="n"/>
    </row>
    <row r="2638">
      <c r="A2638" s="6" t="n"/>
      <c r="B2638" s="6" t="n"/>
      <c r="C2638" s="19" t="n"/>
      <c r="D2638" s="19" t="n"/>
      <c r="E2638" s="6" t="n"/>
      <c r="F2638" s="20" t="n"/>
      <c r="G2638" s="9">
        <f>IF($F2638="","",IF($F2638&gt;0,ROUND($F2638,2),""))</f>
        <v/>
      </c>
      <c r="H2638" s="12">
        <f>IF(OR($B2638="",$C2638="",$G2638=""),"",COUNTIFS(Ventes_Encaissements!$E$6:$E$3005,$B2638,Ventes_Encaissements!$J$6:$J$3005,$G2638,Ventes_Encaissements!$C$6:$C$3005,"&gt;="&amp;($C2638-3),Ventes_Encaissements!$C$6:$C$3005,"&lt;="&amp;($C2638+3)))</f>
        <v/>
      </c>
      <c r="I2638" s="12">
        <f>IF($H2638="","",IF($H2638=0,"Non trouvé",IF($H2638=1,"Match","À vérifier")))</f>
        <v/>
      </c>
      <c r="J2638" s="21">
        <f>IF($I2638&lt;&gt;"Match","",INDEX(Ventes_Encaissements!$B$6:$B$3005,_xludf.AGGREGATE(15,6,(ROW(Ventes_Encaissements!$B$6:$B$3005)-ROW(Ventes_Encaissements!$B$6)+1)/((Ventes_Encaissements!$E$6:$E$3005=$B2638)*(Ventes_Encaissements!$J$6:$J$3005=$G2638)*(Ventes_Encaissements!$C$6:$C$3005&gt;=$C2638-3)*(Ventes_Encaissements!$C$6:$C$3005&lt;=$C2638+3)),1)))</f>
        <v/>
      </c>
      <c r="K2638" s="6" t="n"/>
    </row>
    <row r="2639">
      <c r="A2639" s="6" t="n"/>
      <c r="B2639" s="6" t="n"/>
      <c r="C2639" s="19" t="n"/>
      <c r="D2639" s="19" t="n"/>
      <c r="E2639" s="6" t="n"/>
      <c r="F2639" s="20" t="n"/>
      <c r="G2639" s="9">
        <f>IF($F2639="","",IF($F2639&gt;0,ROUND($F2639,2),""))</f>
        <v/>
      </c>
      <c r="H2639" s="12">
        <f>IF(OR($B2639="",$C2639="",$G2639=""),"",COUNTIFS(Ventes_Encaissements!$E$6:$E$3005,$B2639,Ventes_Encaissements!$J$6:$J$3005,$G2639,Ventes_Encaissements!$C$6:$C$3005,"&gt;="&amp;($C2639-3),Ventes_Encaissements!$C$6:$C$3005,"&lt;="&amp;($C2639+3)))</f>
        <v/>
      </c>
      <c r="I2639" s="12">
        <f>IF($H2639="","",IF($H2639=0,"Non trouvé",IF($H2639=1,"Match","À vérifier")))</f>
        <v/>
      </c>
      <c r="J2639" s="21">
        <f>IF($I2639&lt;&gt;"Match","",INDEX(Ventes_Encaissements!$B$6:$B$3005,_xludf.AGGREGATE(15,6,(ROW(Ventes_Encaissements!$B$6:$B$3005)-ROW(Ventes_Encaissements!$B$6)+1)/((Ventes_Encaissements!$E$6:$E$3005=$B2639)*(Ventes_Encaissements!$J$6:$J$3005=$G2639)*(Ventes_Encaissements!$C$6:$C$3005&gt;=$C2639-3)*(Ventes_Encaissements!$C$6:$C$3005&lt;=$C2639+3)),1)))</f>
        <v/>
      </c>
      <c r="K2639" s="6" t="n"/>
    </row>
    <row r="2640">
      <c r="A2640" s="6" t="n"/>
      <c r="B2640" s="6" t="n"/>
      <c r="C2640" s="19" t="n"/>
      <c r="D2640" s="19" t="n"/>
      <c r="E2640" s="6" t="n"/>
      <c r="F2640" s="20" t="n"/>
      <c r="G2640" s="9">
        <f>IF($F2640="","",IF($F2640&gt;0,ROUND($F2640,2),""))</f>
        <v/>
      </c>
      <c r="H2640" s="12">
        <f>IF(OR($B2640="",$C2640="",$G2640=""),"",COUNTIFS(Ventes_Encaissements!$E$6:$E$3005,$B2640,Ventes_Encaissements!$J$6:$J$3005,$G2640,Ventes_Encaissements!$C$6:$C$3005,"&gt;="&amp;($C2640-3),Ventes_Encaissements!$C$6:$C$3005,"&lt;="&amp;($C2640+3)))</f>
        <v/>
      </c>
      <c r="I2640" s="12">
        <f>IF($H2640="","",IF($H2640=0,"Non trouvé",IF($H2640=1,"Match","À vérifier")))</f>
        <v/>
      </c>
      <c r="J2640" s="21">
        <f>IF($I2640&lt;&gt;"Match","",INDEX(Ventes_Encaissements!$B$6:$B$3005,_xludf.AGGREGATE(15,6,(ROW(Ventes_Encaissements!$B$6:$B$3005)-ROW(Ventes_Encaissements!$B$6)+1)/((Ventes_Encaissements!$E$6:$E$3005=$B2640)*(Ventes_Encaissements!$J$6:$J$3005=$G2640)*(Ventes_Encaissements!$C$6:$C$3005&gt;=$C2640-3)*(Ventes_Encaissements!$C$6:$C$3005&lt;=$C2640+3)),1)))</f>
        <v/>
      </c>
      <c r="K2640" s="6" t="n"/>
    </row>
    <row r="2641">
      <c r="A2641" s="6" t="n"/>
      <c r="B2641" s="6" t="n"/>
      <c r="C2641" s="19" t="n"/>
      <c r="D2641" s="19" t="n"/>
      <c r="E2641" s="6" t="n"/>
      <c r="F2641" s="20" t="n"/>
      <c r="G2641" s="9">
        <f>IF($F2641="","",IF($F2641&gt;0,ROUND($F2641,2),""))</f>
        <v/>
      </c>
      <c r="H2641" s="12">
        <f>IF(OR($B2641="",$C2641="",$G2641=""),"",COUNTIFS(Ventes_Encaissements!$E$6:$E$3005,$B2641,Ventes_Encaissements!$J$6:$J$3005,$G2641,Ventes_Encaissements!$C$6:$C$3005,"&gt;="&amp;($C2641-3),Ventes_Encaissements!$C$6:$C$3005,"&lt;="&amp;($C2641+3)))</f>
        <v/>
      </c>
      <c r="I2641" s="12">
        <f>IF($H2641="","",IF($H2641=0,"Non trouvé",IF($H2641=1,"Match","À vérifier")))</f>
        <v/>
      </c>
      <c r="J2641" s="21">
        <f>IF($I2641&lt;&gt;"Match","",INDEX(Ventes_Encaissements!$B$6:$B$3005,_xludf.AGGREGATE(15,6,(ROW(Ventes_Encaissements!$B$6:$B$3005)-ROW(Ventes_Encaissements!$B$6)+1)/((Ventes_Encaissements!$E$6:$E$3005=$B2641)*(Ventes_Encaissements!$J$6:$J$3005=$G2641)*(Ventes_Encaissements!$C$6:$C$3005&gt;=$C2641-3)*(Ventes_Encaissements!$C$6:$C$3005&lt;=$C2641+3)),1)))</f>
        <v/>
      </c>
      <c r="K2641" s="6" t="n"/>
    </row>
    <row r="2642">
      <c r="A2642" s="6" t="n"/>
      <c r="B2642" s="6" t="n"/>
      <c r="C2642" s="19" t="n"/>
      <c r="D2642" s="19" t="n"/>
      <c r="E2642" s="6" t="n"/>
      <c r="F2642" s="20" t="n"/>
      <c r="G2642" s="9">
        <f>IF($F2642="","",IF($F2642&gt;0,ROUND($F2642,2),""))</f>
        <v/>
      </c>
      <c r="H2642" s="12">
        <f>IF(OR($B2642="",$C2642="",$G2642=""),"",COUNTIFS(Ventes_Encaissements!$E$6:$E$3005,$B2642,Ventes_Encaissements!$J$6:$J$3005,$G2642,Ventes_Encaissements!$C$6:$C$3005,"&gt;="&amp;($C2642-3),Ventes_Encaissements!$C$6:$C$3005,"&lt;="&amp;($C2642+3)))</f>
        <v/>
      </c>
      <c r="I2642" s="12">
        <f>IF($H2642="","",IF($H2642=0,"Non trouvé",IF($H2642=1,"Match","À vérifier")))</f>
        <v/>
      </c>
      <c r="J2642" s="21">
        <f>IF($I2642&lt;&gt;"Match","",INDEX(Ventes_Encaissements!$B$6:$B$3005,_xludf.AGGREGATE(15,6,(ROW(Ventes_Encaissements!$B$6:$B$3005)-ROW(Ventes_Encaissements!$B$6)+1)/((Ventes_Encaissements!$E$6:$E$3005=$B2642)*(Ventes_Encaissements!$J$6:$J$3005=$G2642)*(Ventes_Encaissements!$C$6:$C$3005&gt;=$C2642-3)*(Ventes_Encaissements!$C$6:$C$3005&lt;=$C2642+3)),1)))</f>
        <v/>
      </c>
      <c r="K2642" s="6" t="n"/>
    </row>
    <row r="2643">
      <c r="A2643" s="6" t="n"/>
      <c r="B2643" s="6" t="n"/>
      <c r="C2643" s="19" t="n"/>
      <c r="D2643" s="19" t="n"/>
      <c r="E2643" s="6" t="n"/>
      <c r="F2643" s="20" t="n"/>
      <c r="G2643" s="9">
        <f>IF($F2643="","",IF($F2643&gt;0,ROUND($F2643,2),""))</f>
        <v/>
      </c>
      <c r="H2643" s="12">
        <f>IF(OR($B2643="",$C2643="",$G2643=""),"",COUNTIFS(Ventes_Encaissements!$E$6:$E$3005,$B2643,Ventes_Encaissements!$J$6:$J$3005,$G2643,Ventes_Encaissements!$C$6:$C$3005,"&gt;="&amp;($C2643-3),Ventes_Encaissements!$C$6:$C$3005,"&lt;="&amp;($C2643+3)))</f>
        <v/>
      </c>
      <c r="I2643" s="12">
        <f>IF($H2643="","",IF($H2643=0,"Non trouvé",IF($H2643=1,"Match","À vérifier")))</f>
        <v/>
      </c>
      <c r="J2643" s="21">
        <f>IF($I2643&lt;&gt;"Match","",INDEX(Ventes_Encaissements!$B$6:$B$3005,_xludf.AGGREGATE(15,6,(ROW(Ventes_Encaissements!$B$6:$B$3005)-ROW(Ventes_Encaissements!$B$6)+1)/((Ventes_Encaissements!$E$6:$E$3005=$B2643)*(Ventes_Encaissements!$J$6:$J$3005=$G2643)*(Ventes_Encaissements!$C$6:$C$3005&gt;=$C2643-3)*(Ventes_Encaissements!$C$6:$C$3005&lt;=$C2643+3)),1)))</f>
        <v/>
      </c>
      <c r="K2643" s="6" t="n"/>
    </row>
    <row r="2644">
      <c r="A2644" s="6" t="n"/>
      <c r="B2644" s="6" t="n"/>
      <c r="C2644" s="19" t="n"/>
      <c r="D2644" s="19" t="n"/>
      <c r="E2644" s="6" t="n"/>
      <c r="F2644" s="20" t="n"/>
      <c r="G2644" s="9">
        <f>IF($F2644="","",IF($F2644&gt;0,ROUND($F2644,2),""))</f>
        <v/>
      </c>
      <c r="H2644" s="12">
        <f>IF(OR($B2644="",$C2644="",$G2644=""),"",COUNTIFS(Ventes_Encaissements!$E$6:$E$3005,$B2644,Ventes_Encaissements!$J$6:$J$3005,$G2644,Ventes_Encaissements!$C$6:$C$3005,"&gt;="&amp;($C2644-3),Ventes_Encaissements!$C$6:$C$3005,"&lt;="&amp;($C2644+3)))</f>
        <v/>
      </c>
      <c r="I2644" s="12">
        <f>IF($H2644="","",IF($H2644=0,"Non trouvé",IF($H2644=1,"Match","À vérifier")))</f>
        <v/>
      </c>
      <c r="J2644" s="21">
        <f>IF($I2644&lt;&gt;"Match","",INDEX(Ventes_Encaissements!$B$6:$B$3005,_xludf.AGGREGATE(15,6,(ROW(Ventes_Encaissements!$B$6:$B$3005)-ROW(Ventes_Encaissements!$B$6)+1)/((Ventes_Encaissements!$E$6:$E$3005=$B2644)*(Ventes_Encaissements!$J$6:$J$3005=$G2644)*(Ventes_Encaissements!$C$6:$C$3005&gt;=$C2644-3)*(Ventes_Encaissements!$C$6:$C$3005&lt;=$C2644+3)),1)))</f>
        <v/>
      </c>
      <c r="K2644" s="6" t="n"/>
    </row>
    <row r="2645">
      <c r="A2645" s="6" t="n"/>
      <c r="B2645" s="6" t="n"/>
      <c r="C2645" s="19" t="n"/>
      <c r="D2645" s="19" t="n"/>
      <c r="E2645" s="6" t="n"/>
      <c r="F2645" s="20" t="n"/>
      <c r="G2645" s="9">
        <f>IF($F2645="","",IF($F2645&gt;0,ROUND($F2645,2),""))</f>
        <v/>
      </c>
      <c r="H2645" s="12">
        <f>IF(OR($B2645="",$C2645="",$G2645=""),"",COUNTIFS(Ventes_Encaissements!$E$6:$E$3005,$B2645,Ventes_Encaissements!$J$6:$J$3005,$G2645,Ventes_Encaissements!$C$6:$C$3005,"&gt;="&amp;($C2645-3),Ventes_Encaissements!$C$6:$C$3005,"&lt;="&amp;($C2645+3)))</f>
        <v/>
      </c>
      <c r="I2645" s="12">
        <f>IF($H2645="","",IF($H2645=0,"Non trouvé",IF($H2645=1,"Match","À vérifier")))</f>
        <v/>
      </c>
      <c r="J2645" s="21">
        <f>IF($I2645&lt;&gt;"Match","",INDEX(Ventes_Encaissements!$B$6:$B$3005,_xludf.AGGREGATE(15,6,(ROW(Ventes_Encaissements!$B$6:$B$3005)-ROW(Ventes_Encaissements!$B$6)+1)/((Ventes_Encaissements!$E$6:$E$3005=$B2645)*(Ventes_Encaissements!$J$6:$J$3005=$G2645)*(Ventes_Encaissements!$C$6:$C$3005&gt;=$C2645-3)*(Ventes_Encaissements!$C$6:$C$3005&lt;=$C2645+3)),1)))</f>
        <v/>
      </c>
      <c r="K2645" s="6" t="n"/>
    </row>
    <row r="2646">
      <c r="A2646" s="6" t="n"/>
      <c r="B2646" s="6" t="n"/>
      <c r="C2646" s="19" t="n"/>
      <c r="D2646" s="19" t="n"/>
      <c r="E2646" s="6" t="n"/>
      <c r="F2646" s="20" t="n"/>
      <c r="G2646" s="9">
        <f>IF($F2646="","",IF($F2646&gt;0,ROUND($F2646,2),""))</f>
        <v/>
      </c>
      <c r="H2646" s="12">
        <f>IF(OR($B2646="",$C2646="",$G2646=""),"",COUNTIFS(Ventes_Encaissements!$E$6:$E$3005,$B2646,Ventes_Encaissements!$J$6:$J$3005,$G2646,Ventes_Encaissements!$C$6:$C$3005,"&gt;="&amp;($C2646-3),Ventes_Encaissements!$C$6:$C$3005,"&lt;="&amp;($C2646+3)))</f>
        <v/>
      </c>
      <c r="I2646" s="12">
        <f>IF($H2646="","",IF($H2646=0,"Non trouvé",IF($H2646=1,"Match","À vérifier")))</f>
        <v/>
      </c>
      <c r="J2646" s="21">
        <f>IF($I2646&lt;&gt;"Match","",INDEX(Ventes_Encaissements!$B$6:$B$3005,_xludf.AGGREGATE(15,6,(ROW(Ventes_Encaissements!$B$6:$B$3005)-ROW(Ventes_Encaissements!$B$6)+1)/((Ventes_Encaissements!$E$6:$E$3005=$B2646)*(Ventes_Encaissements!$J$6:$J$3005=$G2646)*(Ventes_Encaissements!$C$6:$C$3005&gt;=$C2646-3)*(Ventes_Encaissements!$C$6:$C$3005&lt;=$C2646+3)),1)))</f>
        <v/>
      </c>
      <c r="K2646" s="6" t="n"/>
    </row>
    <row r="2647">
      <c r="A2647" s="6" t="n"/>
      <c r="B2647" s="6" t="n"/>
      <c r="C2647" s="19" t="n"/>
      <c r="D2647" s="19" t="n"/>
      <c r="E2647" s="6" t="n"/>
      <c r="F2647" s="20" t="n"/>
      <c r="G2647" s="9">
        <f>IF($F2647="","",IF($F2647&gt;0,ROUND($F2647,2),""))</f>
        <v/>
      </c>
      <c r="H2647" s="12">
        <f>IF(OR($B2647="",$C2647="",$G2647=""),"",COUNTIFS(Ventes_Encaissements!$E$6:$E$3005,$B2647,Ventes_Encaissements!$J$6:$J$3005,$G2647,Ventes_Encaissements!$C$6:$C$3005,"&gt;="&amp;($C2647-3),Ventes_Encaissements!$C$6:$C$3005,"&lt;="&amp;($C2647+3)))</f>
        <v/>
      </c>
      <c r="I2647" s="12">
        <f>IF($H2647="","",IF($H2647=0,"Non trouvé",IF($H2647=1,"Match","À vérifier")))</f>
        <v/>
      </c>
      <c r="J2647" s="21">
        <f>IF($I2647&lt;&gt;"Match","",INDEX(Ventes_Encaissements!$B$6:$B$3005,_xludf.AGGREGATE(15,6,(ROW(Ventes_Encaissements!$B$6:$B$3005)-ROW(Ventes_Encaissements!$B$6)+1)/((Ventes_Encaissements!$E$6:$E$3005=$B2647)*(Ventes_Encaissements!$J$6:$J$3005=$G2647)*(Ventes_Encaissements!$C$6:$C$3005&gt;=$C2647-3)*(Ventes_Encaissements!$C$6:$C$3005&lt;=$C2647+3)),1)))</f>
        <v/>
      </c>
      <c r="K2647" s="6" t="n"/>
    </row>
    <row r="2648">
      <c r="A2648" s="6" t="n"/>
      <c r="B2648" s="6" t="n"/>
      <c r="C2648" s="19" t="n"/>
      <c r="D2648" s="19" t="n"/>
      <c r="E2648" s="6" t="n"/>
      <c r="F2648" s="20" t="n"/>
      <c r="G2648" s="9">
        <f>IF($F2648="","",IF($F2648&gt;0,ROUND($F2648,2),""))</f>
        <v/>
      </c>
      <c r="H2648" s="12">
        <f>IF(OR($B2648="",$C2648="",$G2648=""),"",COUNTIFS(Ventes_Encaissements!$E$6:$E$3005,$B2648,Ventes_Encaissements!$J$6:$J$3005,$G2648,Ventes_Encaissements!$C$6:$C$3005,"&gt;="&amp;($C2648-3),Ventes_Encaissements!$C$6:$C$3005,"&lt;="&amp;($C2648+3)))</f>
        <v/>
      </c>
      <c r="I2648" s="12">
        <f>IF($H2648="","",IF($H2648=0,"Non trouvé",IF($H2648=1,"Match","À vérifier")))</f>
        <v/>
      </c>
      <c r="J2648" s="21">
        <f>IF($I2648&lt;&gt;"Match","",INDEX(Ventes_Encaissements!$B$6:$B$3005,_xludf.AGGREGATE(15,6,(ROW(Ventes_Encaissements!$B$6:$B$3005)-ROW(Ventes_Encaissements!$B$6)+1)/((Ventes_Encaissements!$E$6:$E$3005=$B2648)*(Ventes_Encaissements!$J$6:$J$3005=$G2648)*(Ventes_Encaissements!$C$6:$C$3005&gt;=$C2648-3)*(Ventes_Encaissements!$C$6:$C$3005&lt;=$C2648+3)),1)))</f>
        <v/>
      </c>
      <c r="K2648" s="6" t="n"/>
    </row>
    <row r="2649">
      <c r="A2649" s="6" t="n"/>
      <c r="B2649" s="6" t="n"/>
      <c r="C2649" s="19" t="n"/>
      <c r="D2649" s="19" t="n"/>
      <c r="E2649" s="6" t="n"/>
      <c r="F2649" s="20" t="n"/>
      <c r="G2649" s="9">
        <f>IF($F2649="","",IF($F2649&gt;0,ROUND($F2649,2),""))</f>
        <v/>
      </c>
      <c r="H2649" s="12">
        <f>IF(OR($B2649="",$C2649="",$G2649=""),"",COUNTIFS(Ventes_Encaissements!$E$6:$E$3005,$B2649,Ventes_Encaissements!$J$6:$J$3005,$G2649,Ventes_Encaissements!$C$6:$C$3005,"&gt;="&amp;($C2649-3),Ventes_Encaissements!$C$6:$C$3005,"&lt;="&amp;($C2649+3)))</f>
        <v/>
      </c>
      <c r="I2649" s="12">
        <f>IF($H2649="","",IF($H2649=0,"Non trouvé",IF($H2649=1,"Match","À vérifier")))</f>
        <v/>
      </c>
      <c r="J2649" s="21">
        <f>IF($I2649&lt;&gt;"Match","",INDEX(Ventes_Encaissements!$B$6:$B$3005,_xludf.AGGREGATE(15,6,(ROW(Ventes_Encaissements!$B$6:$B$3005)-ROW(Ventes_Encaissements!$B$6)+1)/((Ventes_Encaissements!$E$6:$E$3005=$B2649)*(Ventes_Encaissements!$J$6:$J$3005=$G2649)*(Ventes_Encaissements!$C$6:$C$3005&gt;=$C2649-3)*(Ventes_Encaissements!$C$6:$C$3005&lt;=$C2649+3)),1)))</f>
        <v/>
      </c>
      <c r="K2649" s="6" t="n"/>
    </row>
    <row r="2650">
      <c r="A2650" s="6" t="n"/>
      <c r="B2650" s="6" t="n"/>
      <c r="C2650" s="19" t="n"/>
      <c r="D2650" s="19" t="n"/>
      <c r="E2650" s="6" t="n"/>
      <c r="F2650" s="20" t="n"/>
      <c r="G2650" s="9">
        <f>IF($F2650="","",IF($F2650&gt;0,ROUND($F2650,2),""))</f>
        <v/>
      </c>
      <c r="H2650" s="12">
        <f>IF(OR($B2650="",$C2650="",$G2650=""),"",COUNTIFS(Ventes_Encaissements!$E$6:$E$3005,$B2650,Ventes_Encaissements!$J$6:$J$3005,$G2650,Ventes_Encaissements!$C$6:$C$3005,"&gt;="&amp;($C2650-3),Ventes_Encaissements!$C$6:$C$3005,"&lt;="&amp;($C2650+3)))</f>
        <v/>
      </c>
      <c r="I2650" s="12">
        <f>IF($H2650="","",IF($H2650=0,"Non trouvé",IF($H2650=1,"Match","À vérifier")))</f>
        <v/>
      </c>
      <c r="J2650" s="21">
        <f>IF($I2650&lt;&gt;"Match","",INDEX(Ventes_Encaissements!$B$6:$B$3005,_xludf.AGGREGATE(15,6,(ROW(Ventes_Encaissements!$B$6:$B$3005)-ROW(Ventes_Encaissements!$B$6)+1)/((Ventes_Encaissements!$E$6:$E$3005=$B2650)*(Ventes_Encaissements!$J$6:$J$3005=$G2650)*(Ventes_Encaissements!$C$6:$C$3005&gt;=$C2650-3)*(Ventes_Encaissements!$C$6:$C$3005&lt;=$C2650+3)),1)))</f>
        <v/>
      </c>
      <c r="K2650" s="6" t="n"/>
    </row>
    <row r="2651">
      <c r="A2651" s="6" t="n"/>
      <c r="B2651" s="6" t="n"/>
      <c r="C2651" s="19" t="n"/>
      <c r="D2651" s="19" t="n"/>
      <c r="E2651" s="6" t="n"/>
      <c r="F2651" s="20" t="n"/>
      <c r="G2651" s="9">
        <f>IF($F2651="","",IF($F2651&gt;0,ROUND($F2651,2),""))</f>
        <v/>
      </c>
      <c r="H2651" s="12">
        <f>IF(OR($B2651="",$C2651="",$G2651=""),"",COUNTIFS(Ventes_Encaissements!$E$6:$E$3005,$B2651,Ventes_Encaissements!$J$6:$J$3005,$G2651,Ventes_Encaissements!$C$6:$C$3005,"&gt;="&amp;($C2651-3),Ventes_Encaissements!$C$6:$C$3005,"&lt;="&amp;($C2651+3)))</f>
        <v/>
      </c>
      <c r="I2651" s="12">
        <f>IF($H2651="","",IF($H2651=0,"Non trouvé",IF($H2651=1,"Match","À vérifier")))</f>
        <v/>
      </c>
      <c r="J2651" s="21">
        <f>IF($I2651&lt;&gt;"Match","",INDEX(Ventes_Encaissements!$B$6:$B$3005,_xludf.AGGREGATE(15,6,(ROW(Ventes_Encaissements!$B$6:$B$3005)-ROW(Ventes_Encaissements!$B$6)+1)/((Ventes_Encaissements!$E$6:$E$3005=$B2651)*(Ventes_Encaissements!$J$6:$J$3005=$G2651)*(Ventes_Encaissements!$C$6:$C$3005&gt;=$C2651-3)*(Ventes_Encaissements!$C$6:$C$3005&lt;=$C2651+3)),1)))</f>
        <v/>
      </c>
      <c r="K2651" s="6" t="n"/>
    </row>
    <row r="2652">
      <c r="A2652" s="6" t="n"/>
      <c r="B2652" s="6" t="n"/>
      <c r="C2652" s="19" t="n"/>
      <c r="D2652" s="19" t="n"/>
      <c r="E2652" s="6" t="n"/>
      <c r="F2652" s="20" t="n"/>
      <c r="G2652" s="9">
        <f>IF($F2652="","",IF($F2652&gt;0,ROUND($F2652,2),""))</f>
        <v/>
      </c>
      <c r="H2652" s="12">
        <f>IF(OR($B2652="",$C2652="",$G2652=""),"",COUNTIFS(Ventes_Encaissements!$E$6:$E$3005,$B2652,Ventes_Encaissements!$J$6:$J$3005,$G2652,Ventes_Encaissements!$C$6:$C$3005,"&gt;="&amp;($C2652-3),Ventes_Encaissements!$C$6:$C$3005,"&lt;="&amp;($C2652+3)))</f>
        <v/>
      </c>
      <c r="I2652" s="12">
        <f>IF($H2652="","",IF($H2652=0,"Non trouvé",IF($H2652=1,"Match","À vérifier")))</f>
        <v/>
      </c>
      <c r="J2652" s="21">
        <f>IF($I2652&lt;&gt;"Match","",INDEX(Ventes_Encaissements!$B$6:$B$3005,_xludf.AGGREGATE(15,6,(ROW(Ventes_Encaissements!$B$6:$B$3005)-ROW(Ventes_Encaissements!$B$6)+1)/((Ventes_Encaissements!$E$6:$E$3005=$B2652)*(Ventes_Encaissements!$J$6:$J$3005=$G2652)*(Ventes_Encaissements!$C$6:$C$3005&gt;=$C2652-3)*(Ventes_Encaissements!$C$6:$C$3005&lt;=$C2652+3)),1)))</f>
        <v/>
      </c>
      <c r="K2652" s="6" t="n"/>
    </row>
    <row r="2653">
      <c r="A2653" s="6" t="n"/>
      <c r="B2653" s="6" t="n"/>
      <c r="C2653" s="19" t="n"/>
      <c r="D2653" s="19" t="n"/>
      <c r="E2653" s="6" t="n"/>
      <c r="F2653" s="20" t="n"/>
      <c r="G2653" s="9">
        <f>IF($F2653="","",IF($F2653&gt;0,ROUND($F2653,2),""))</f>
        <v/>
      </c>
      <c r="H2653" s="12">
        <f>IF(OR($B2653="",$C2653="",$G2653=""),"",COUNTIFS(Ventes_Encaissements!$E$6:$E$3005,$B2653,Ventes_Encaissements!$J$6:$J$3005,$G2653,Ventes_Encaissements!$C$6:$C$3005,"&gt;="&amp;($C2653-3),Ventes_Encaissements!$C$6:$C$3005,"&lt;="&amp;($C2653+3)))</f>
        <v/>
      </c>
      <c r="I2653" s="12">
        <f>IF($H2653="","",IF($H2653=0,"Non trouvé",IF($H2653=1,"Match","À vérifier")))</f>
        <v/>
      </c>
      <c r="J2653" s="21">
        <f>IF($I2653&lt;&gt;"Match","",INDEX(Ventes_Encaissements!$B$6:$B$3005,_xludf.AGGREGATE(15,6,(ROW(Ventes_Encaissements!$B$6:$B$3005)-ROW(Ventes_Encaissements!$B$6)+1)/((Ventes_Encaissements!$E$6:$E$3005=$B2653)*(Ventes_Encaissements!$J$6:$J$3005=$G2653)*(Ventes_Encaissements!$C$6:$C$3005&gt;=$C2653-3)*(Ventes_Encaissements!$C$6:$C$3005&lt;=$C2653+3)),1)))</f>
        <v/>
      </c>
      <c r="K2653" s="6" t="n"/>
    </row>
    <row r="2654">
      <c r="A2654" s="6" t="n"/>
      <c r="B2654" s="6" t="n"/>
      <c r="C2654" s="19" t="n"/>
      <c r="D2654" s="19" t="n"/>
      <c r="E2654" s="6" t="n"/>
      <c r="F2654" s="20" t="n"/>
      <c r="G2654" s="9">
        <f>IF($F2654="","",IF($F2654&gt;0,ROUND($F2654,2),""))</f>
        <v/>
      </c>
      <c r="H2654" s="12">
        <f>IF(OR($B2654="",$C2654="",$G2654=""),"",COUNTIFS(Ventes_Encaissements!$E$6:$E$3005,$B2654,Ventes_Encaissements!$J$6:$J$3005,$G2654,Ventes_Encaissements!$C$6:$C$3005,"&gt;="&amp;($C2654-3),Ventes_Encaissements!$C$6:$C$3005,"&lt;="&amp;($C2654+3)))</f>
        <v/>
      </c>
      <c r="I2654" s="12">
        <f>IF($H2654="","",IF($H2654=0,"Non trouvé",IF($H2654=1,"Match","À vérifier")))</f>
        <v/>
      </c>
      <c r="J2654" s="21">
        <f>IF($I2654&lt;&gt;"Match","",INDEX(Ventes_Encaissements!$B$6:$B$3005,_xludf.AGGREGATE(15,6,(ROW(Ventes_Encaissements!$B$6:$B$3005)-ROW(Ventes_Encaissements!$B$6)+1)/((Ventes_Encaissements!$E$6:$E$3005=$B2654)*(Ventes_Encaissements!$J$6:$J$3005=$G2654)*(Ventes_Encaissements!$C$6:$C$3005&gt;=$C2654-3)*(Ventes_Encaissements!$C$6:$C$3005&lt;=$C2654+3)),1)))</f>
        <v/>
      </c>
      <c r="K2654" s="6" t="n"/>
    </row>
    <row r="2655">
      <c r="A2655" s="6" t="n"/>
      <c r="B2655" s="6" t="n"/>
      <c r="C2655" s="19" t="n"/>
      <c r="D2655" s="19" t="n"/>
      <c r="E2655" s="6" t="n"/>
      <c r="F2655" s="20" t="n"/>
      <c r="G2655" s="9">
        <f>IF($F2655="","",IF($F2655&gt;0,ROUND($F2655,2),""))</f>
        <v/>
      </c>
      <c r="H2655" s="12">
        <f>IF(OR($B2655="",$C2655="",$G2655=""),"",COUNTIFS(Ventes_Encaissements!$E$6:$E$3005,$B2655,Ventes_Encaissements!$J$6:$J$3005,$G2655,Ventes_Encaissements!$C$6:$C$3005,"&gt;="&amp;($C2655-3),Ventes_Encaissements!$C$6:$C$3005,"&lt;="&amp;($C2655+3)))</f>
        <v/>
      </c>
      <c r="I2655" s="12">
        <f>IF($H2655="","",IF($H2655=0,"Non trouvé",IF($H2655=1,"Match","À vérifier")))</f>
        <v/>
      </c>
      <c r="J2655" s="21">
        <f>IF($I2655&lt;&gt;"Match","",INDEX(Ventes_Encaissements!$B$6:$B$3005,_xludf.AGGREGATE(15,6,(ROW(Ventes_Encaissements!$B$6:$B$3005)-ROW(Ventes_Encaissements!$B$6)+1)/((Ventes_Encaissements!$E$6:$E$3005=$B2655)*(Ventes_Encaissements!$J$6:$J$3005=$G2655)*(Ventes_Encaissements!$C$6:$C$3005&gt;=$C2655-3)*(Ventes_Encaissements!$C$6:$C$3005&lt;=$C2655+3)),1)))</f>
        <v/>
      </c>
      <c r="K2655" s="6" t="n"/>
    </row>
    <row r="2656">
      <c r="A2656" s="6" t="n"/>
      <c r="B2656" s="6" t="n"/>
      <c r="C2656" s="19" t="n"/>
      <c r="D2656" s="19" t="n"/>
      <c r="E2656" s="6" t="n"/>
      <c r="F2656" s="20" t="n"/>
      <c r="G2656" s="9">
        <f>IF($F2656="","",IF($F2656&gt;0,ROUND($F2656,2),""))</f>
        <v/>
      </c>
      <c r="H2656" s="12">
        <f>IF(OR($B2656="",$C2656="",$G2656=""),"",COUNTIFS(Ventes_Encaissements!$E$6:$E$3005,$B2656,Ventes_Encaissements!$J$6:$J$3005,$G2656,Ventes_Encaissements!$C$6:$C$3005,"&gt;="&amp;($C2656-3),Ventes_Encaissements!$C$6:$C$3005,"&lt;="&amp;($C2656+3)))</f>
        <v/>
      </c>
      <c r="I2656" s="12">
        <f>IF($H2656="","",IF($H2656=0,"Non trouvé",IF($H2656=1,"Match","À vérifier")))</f>
        <v/>
      </c>
      <c r="J2656" s="21">
        <f>IF($I2656&lt;&gt;"Match","",INDEX(Ventes_Encaissements!$B$6:$B$3005,_xludf.AGGREGATE(15,6,(ROW(Ventes_Encaissements!$B$6:$B$3005)-ROW(Ventes_Encaissements!$B$6)+1)/((Ventes_Encaissements!$E$6:$E$3005=$B2656)*(Ventes_Encaissements!$J$6:$J$3005=$G2656)*(Ventes_Encaissements!$C$6:$C$3005&gt;=$C2656-3)*(Ventes_Encaissements!$C$6:$C$3005&lt;=$C2656+3)),1)))</f>
        <v/>
      </c>
      <c r="K2656" s="6" t="n"/>
    </row>
    <row r="2657">
      <c r="A2657" s="6" t="n"/>
      <c r="B2657" s="6" t="n"/>
      <c r="C2657" s="19" t="n"/>
      <c r="D2657" s="19" t="n"/>
      <c r="E2657" s="6" t="n"/>
      <c r="F2657" s="20" t="n"/>
      <c r="G2657" s="9">
        <f>IF($F2657="","",IF($F2657&gt;0,ROUND($F2657,2),""))</f>
        <v/>
      </c>
      <c r="H2657" s="12">
        <f>IF(OR($B2657="",$C2657="",$G2657=""),"",COUNTIFS(Ventes_Encaissements!$E$6:$E$3005,$B2657,Ventes_Encaissements!$J$6:$J$3005,$G2657,Ventes_Encaissements!$C$6:$C$3005,"&gt;="&amp;($C2657-3),Ventes_Encaissements!$C$6:$C$3005,"&lt;="&amp;($C2657+3)))</f>
        <v/>
      </c>
      <c r="I2657" s="12">
        <f>IF($H2657="","",IF($H2657=0,"Non trouvé",IF($H2657=1,"Match","À vérifier")))</f>
        <v/>
      </c>
      <c r="J2657" s="21">
        <f>IF($I2657&lt;&gt;"Match","",INDEX(Ventes_Encaissements!$B$6:$B$3005,_xludf.AGGREGATE(15,6,(ROW(Ventes_Encaissements!$B$6:$B$3005)-ROW(Ventes_Encaissements!$B$6)+1)/((Ventes_Encaissements!$E$6:$E$3005=$B2657)*(Ventes_Encaissements!$J$6:$J$3005=$G2657)*(Ventes_Encaissements!$C$6:$C$3005&gt;=$C2657-3)*(Ventes_Encaissements!$C$6:$C$3005&lt;=$C2657+3)),1)))</f>
        <v/>
      </c>
      <c r="K2657" s="6" t="n"/>
    </row>
    <row r="2658">
      <c r="A2658" s="6" t="n"/>
      <c r="B2658" s="6" t="n"/>
      <c r="C2658" s="19" t="n"/>
      <c r="D2658" s="19" t="n"/>
      <c r="E2658" s="6" t="n"/>
      <c r="F2658" s="20" t="n"/>
      <c r="G2658" s="9">
        <f>IF($F2658="","",IF($F2658&gt;0,ROUND($F2658,2),""))</f>
        <v/>
      </c>
      <c r="H2658" s="12">
        <f>IF(OR($B2658="",$C2658="",$G2658=""),"",COUNTIFS(Ventes_Encaissements!$E$6:$E$3005,$B2658,Ventes_Encaissements!$J$6:$J$3005,$G2658,Ventes_Encaissements!$C$6:$C$3005,"&gt;="&amp;($C2658-3),Ventes_Encaissements!$C$6:$C$3005,"&lt;="&amp;($C2658+3)))</f>
        <v/>
      </c>
      <c r="I2658" s="12">
        <f>IF($H2658="","",IF($H2658=0,"Non trouvé",IF($H2658=1,"Match","À vérifier")))</f>
        <v/>
      </c>
      <c r="J2658" s="21">
        <f>IF($I2658&lt;&gt;"Match","",INDEX(Ventes_Encaissements!$B$6:$B$3005,_xludf.AGGREGATE(15,6,(ROW(Ventes_Encaissements!$B$6:$B$3005)-ROW(Ventes_Encaissements!$B$6)+1)/((Ventes_Encaissements!$E$6:$E$3005=$B2658)*(Ventes_Encaissements!$J$6:$J$3005=$G2658)*(Ventes_Encaissements!$C$6:$C$3005&gt;=$C2658-3)*(Ventes_Encaissements!$C$6:$C$3005&lt;=$C2658+3)),1)))</f>
        <v/>
      </c>
      <c r="K2658" s="6" t="n"/>
    </row>
    <row r="2659">
      <c r="A2659" s="6" t="n"/>
      <c r="B2659" s="6" t="n"/>
      <c r="C2659" s="19" t="n"/>
      <c r="D2659" s="19" t="n"/>
      <c r="E2659" s="6" t="n"/>
      <c r="F2659" s="20" t="n"/>
      <c r="G2659" s="9">
        <f>IF($F2659="","",IF($F2659&gt;0,ROUND($F2659,2),""))</f>
        <v/>
      </c>
      <c r="H2659" s="12">
        <f>IF(OR($B2659="",$C2659="",$G2659=""),"",COUNTIFS(Ventes_Encaissements!$E$6:$E$3005,$B2659,Ventes_Encaissements!$J$6:$J$3005,$G2659,Ventes_Encaissements!$C$6:$C$3005,"&gt;="&amp;($C2659-3),Ventes_Encaissements!$C$6:$C$3005,"&lt;="&amp;($C2659+3)))</f>
        <v/>
      </c>
      <c r="I2659" s="12">
        <f>IF($H2659="","",IF($H2659=0,"Non trouvé",IF($H2659=1,"Match","À vérifier")))</f>
        <v/>
      </c>
      <c r="J2659" s="21">
        <f>IF($I2659&lt;&gt;"Match","",INDEX(Ventes_Encaissements!$B$6:$B$3005,_xludf.AGGREGATE(15,6,(ROW(Ventes_Encaissements!$B$6:$B$3005)-ROW(Ventes_Encaissements!$B$6)+1)/((Ventes_Encaissements!$E$6:$E$3005=$B2659)*(Ventes_Encaissements!$J$6:$J$3005=$G2659)*(Ventes_Encaissements!$C$6:$C$3005&gt;=$C2659-3)*(Ventes_Encaissements!$C$6:$C$3005&lt;=$C2659+3)),1)))</f>
        <v/>
      </c>
      <c r="K2659" s="6" t="n"/>
    </row>
    <row r="2660">
      <c r="A2660" s="6" t="n"/>
      <c r="B2660" s="6" t="n"/>
      <c r="C2660" s="19" t="n"/>
      <c r="D2660" s="19" t="n"/>
      <c r="E2660" s="6" t="n"/>
      <c r="F2660" s="20" t="n"/>
      <c r="G2660" s="9">
        <f>IF($F2660="","",IF($F2660&gt;0,ROUND($F2660,2),""))</f>
        <v/>
      </c>
      <c r="H2660" s="12">
        <f>IF(OR($B2660="",$C2660="",$G2660=""),"",COUNTIFS(Ventes_Encaissements!$E$6:$E$3005,$B2660,Ventes_Encaissements!$J$6:$J$3005,$G2660,Ventes_Encaissements!$C$6:$C$3005,"&gt;="&amp;($C2660-3),Ventes_Encaissements!$C$6:$C$3005,"&lt;="&amp;($C2660+3)))</f>
        <v/>
      </c>
      <c r="I2660" s="12">
        <f>IF($H2660="","",IF($H2660=0,"Non trouvé",IF($H2660=1,"Match","À vérifier")))</f>
        <v/>
      </c>
      <c r="J2660" s="21">
        <f>IF($I2660&lt;&gt;"Match","",INDEX(Ventes_Encaissements!$B$6:$B$3005,_xludf.AGGREGATE(15,6,(ROW(Ventes_Encaissements!$B$6:$B$3005)-ROW(Ventes_Encaissements!$B$6)+1)/((Ventes_Encaissements!$E$6:$E$3005=$B2660)*(Ventes_Encaissements!$J$6:$J$3005=$G2660)*(Ventes_Encaissements!$C$6:$C$3005&gt;=$C2660-3)*(Ventes_Encaissements!$C$6:$C$3005&lt;=$C2660+3)),1)))</f>
        <v/>
      </c>
      <c r="K2660" s="6" t="n"/>
    </row>
    <row r="2661">
      <c r="A2661" s="6" t="n"/>
      <c r="B2661" s="6" t="n"/>
      <c r="C2661" s="19" t="n"/>
      <c r="D2661" s="19" t="n"/>
      <c r="E2661" s="6" t="n"/>
      <c r="F2661" s="20" t="n"/>
      <c r="G2661" s="9">
        <f>IF($F2661="","",IF($F2661&gt;0,ROUND($F2661,2),""))</f>
        <v/>
      </c>
      <c r="H2661" s="12">
        <f>IF(OR($B2661="",$C2661="",$G2661=""),"",COUNTIFS(Ventes_Encaissements!$E$6:$E$3005,$B2661,Ventes_Encaissements!$J$6:$J$3005,$G2661,Ventes_Encaissements!$C$6:$C$3005,"&gt;="&amp;($C2661-3),Ventes_Encaissements!$C$6:$C$3005,"&lt;="&amp;($C2661+3)))</f>
        <v/>
      </c>
      <c r="I2661" s="12">
        <f>IF($H2661="","",IF($H2661=0,"Non trouvé",IF($H2661=1,"Match","À vérifier")))</f>
        <v/>
      </c>
      <c r="J2661" s="21">
        <f>IF($I2661&lt;&gt;"Match","",INDEX(Ventes_Encaissements!$B$6:$B$3005,_xludf.AGGREGATE(15,6,(ROW(Ventes_Encaissements!$B$6:$B$3005)-ROW(Ventes_Encaissements!$B$6)+1)/((Ventes_Encaissements!$E$6:$E$3005=$B2661)*(Ventes_Encaissements!$J$6:$J$3005=$G2661)*(Ventes_Encaissements!$C$6:$C$3005&gt;=$C2661-3)*(Ventes_Encaissements!$C$6:$C$3005&lt;=$C2661+3)),1)))</f>
        <v/>
      </c>
      <c r="K2661" s="6" t="n"/>
    </row>
    <row r="2662">
      <c r="A2662" s="6" t="n"/>
      <c r="B2662" s="6" t="n"/>
      <c r="C2662" s="19" t="n"/>
      <c r="D2662" s="19" t="n"/>
      <c r="E2662" s="6" t="n"/>
      <c r="F2662" s="20" t="n"/>
      <c r="G2662" s="9">
        <f>IF($F2662="","",IF($F2662&gt;0,ROUND($F2662,2),""))</f>
        <v/>
      </c>
      <c r="H2662" s="12">
        <f>IF(OR($B2662="",$C2662="",$G2662=""),"",COUNTIFS(Ventes_Encaissements!$E$6:$E$3005,$B2662,Ventes_Encaissements!$J$6:$J$3005,$G2662,Ventes_Encaissements!$C$6:$C$3005,"&gt;="&amp;($C2662-3),Ventes_Encaissements!$C$6:$C$3005,"&lt;="&amp;($C2662+3)))</f>
        <v/>
      </c>
      <c r="I2662" s="12">
        <f>IF($H2662="","",IF($H2662=0,"Non trouvé",IF($H2662=1,"Match","À vérifier")))</f>
        <v/>
      </c>
      <c r="J2662" s="21">
        <f>IF($I2662&lt;&gt;"Match","",INDEX(Ventes_Encaissements!$B$6:$B$3005,_xludf.AGGREGATE(15,6,(ROW(Ventes_Encaissements!$B$6:$B$3005)-ROW(Ventes_Encaissements!$B$6)+1)/((Ventes_Encaissements!$E$6:$E$3005=$B2662)*(Ventes_Encaissements!$J$6:$J$3005=$G2662)*(Ventes_Encaissements!$C$6:$C$3005&gt;=$C2662-3)*(Ventes_Encaissements!$C$6:$C$3005&lt;=$C2662+3)),1)))</f>
        <v/>
      </c>
      <c r="K2662" s="6" t="n"/>
    </row>
    <row r="2663">
      <c r="A2663" s="6" t="n"/>
      <c r="B2663" s="6" t="n"/>
      <c r="C2663" s="19" t="n"/>
      <c r="D2663" s="19" t="n"/>
      <c r="E2663" s="6" t="n"/>
      <c r="F2663" s="20" t="n"/>
      <c r="G2663" s="9">
        <f>IF($F2663="","",IF($F2663&gt;0,ROUND($F2663,2),""))</f>
        <v/>
      </c>
      <c r="H2663" s="12">
        <f>IF(OR($B2663="",$C2663="",$G2663=""),"",COUNTIFS(Ventes_Encaissements!$E$6:$E$3005,$B2663,Ventes_Encaissements!$J$6:$J$3005,$G2663,Ventes_Encaissements!$C$6:$C$3005,"&gt;="&amp;($C2663-3),Ventes_Encaissements!$C$6:$C$3005,"&lt;="&amp;($C2663+3)))</f>
        <v/>
      </c>
      <c r="I2663" s="12">
        <f>IF($H2663="","",IF($H2663=0,"Non trouvé",IF($H2663=1,"Match","À vérifier")))</f>
        <v/>
      </c>
      <c r="J2663" s="21">
        <f>IF($I2663&lt;&gt;"Match","",INDEX(Ventes_Encaissements!$B$6:$B$3005,_xludf.AGGREGATE(15,6,(ROW(Ventes_Encaissements!$B$6:$B$3005)-ROW(Ventes_Encaissements!$B$6)+1)/((Ventes_Encaissements!$E$6:$E$3005=$B2663)*(Ventes_Encaissements!$J$6:$J$3005=$G2663)*(Ventes_Encaissements!$C$6:$C$3005&gt;=$C2663-3)*(Ventes_Encaissements!$C$6:$C$3005&lt;=$C2663+3)),1)))</f>
        <v/>
      </c>
      <c r="K2663" s="6" t="n"/>
    </row>
    <row r="2664">
      <c r="A2664" s="6" t="n"/>
      <c r="B2664" s="6" t="n"/>
      <c r="C2664" s="19" t="n"/>
      <c r="D2664" s="19" t="n"/>
      <c r="E2664" s="6" t="n"/>
      <c r="F2664" s="20" t="n"/>
      <c r="G2664" s="9">
        <f>IF($F2664="","",IF($F2664&gt;0,ROUND($F2664,2),""))</f>
        <v/>
      </c>
      <c r="H2664" s="12">
        <f>IF(OR($B2664="",$C2664="",$G2664=""),"",COUNTIFS(Ventes_Encaissements!$E$6:$E$3005,$B2664,Ventes_Encaissements!$J$6:$J$3005,$G2664,Ventes_Encaissements!$C$6:$C$3005,"&gt;="&amp;($C2664-3),Ventes_Encaissements!$C$6:$C$3005,"&lt;="&amp;($C2664+3)))</f>
        <v/>
      </c>
      <c r="I2664" s="12">
        <f>IF($H2664="","",IF($H2664=0,"Non trouvé",IF($H2664=1,"Match","À vérifier")))</f>
        <v/>
      </c>
      <c r="J2664" s="21">
        <f>IF($I2664&lt;&gt;"Match","",INDEX(Ventes_Encaissements!$B$6:$B$3005,_xludf.AGGREGATE(15,6,(ROW(Ventes_Encaissements!$B$6:$B$3005)-ROW(Ventes_Encaissements!$B$6)+1)/((Ventes_Encaissements!$E$6:$E$3005=$B2664)*(Ventes_Encaissements!$J$6:$J$3005=$G2664)*(Ventes_Encaissements!$C$6:$C$3005&gt;=$C2664-3)*(Ventes_Encaissements!$C$6:$C$3005&lt;=$C2664+3)),1)))</f>
        <v/>
      </c>
      <c r="K2664" s="6" t="n"/>
    </row>
    <row r="2665">
      <c r="A2665" s="6" t="n"/>
      <c r="B2665" s="6" t="n"/>
      <c r="C2665" s="19" t="n"/>
      <c r="D2665" s="19" t="n"/>
      <c r="E2665" s="6" t="n"/>
      <c r="F2665" s="20" t="n"/>
      <c r="G2665" s="9">
        <f>IF($F2665="","",IF($F2665&gt;0,ROUND($F2665,2),""))</f>
        <v/>
      </c>
      <c r="H2665" s="12">
        <f>IF(OR($B2665="",$C2665="",$G2665=""),"",COUNTIFS(Ventes_Encaissements!$E$6:$E$3005,$B2665,Ventes_Encaissements!$J$6:$J$3005,$G2665,Ventes_Encaissements!$C$6:$C$3005,"&gt;="&amp;($C2665-3),Ventes_Encaissements!$C$6:$C$3005,"&lt;="&amp;($C2665+3)))</f>
        <v/>
      </c>
      <c r="I2665" s="12">
        <f>IF($H2665="","",IF($H2665=0,"Non trouvé",IF($H2665=1,"Match","À vérifier")))</f>
        <v/>
      </c>
      <c r="J2665" s="21">
        <f>IF($I2665&lt;&gt;"Match","",INDEX(Ventes_Encaissements!$B$6:$B$3005,_xludf.AGGREGATE(15,6,(ROW(Ventes_Encaissements!$B$6:$B$3005)-ROW(Ventes_Encaissements!$B$6)+1)/((Ventes_Encaissements!$E$6:$E$3005=$B2665)*(Ventes_Encaissements!$J$6:$J$3005=$G2665)*(Ventes_Encaissements!$C$6:$C$3005&gt;=$C2665-3)*(Ventes_Encaissements!$C$6:$C$3005&lt;=$C2665+3)),1)))</f>
        <v/>
      </c>
      <c r="K2665" s="6" t="n"/>
    </row>
    <row r="2666">
      <c r="A2666" s="6" t="n"/>
      <c r="B2666" s="6" t="n"/>
      <c r="C2666" s="19" t="n"/>
      <c r="D2666" s="19" t="n"/>
      <c r="E2666" s="6" t="n"/>
      <c r="F2666" s="20" t="n"/>
      <c r="G2666" s="9">
        <f>IF($F2666="","",IF($F2666&gt;0,ROUND($F2666,2),""))</f>
        <v/>
      </c>
      <c r="H2666" s="12">
        <f>IF(OR($B2666="",$C2666="",$G2666=""),"",COUNTIFS(Ventes_Encaissements!$E$6:$E$3005,$B2666,Ventes_Encaissements!$J$6:$J$3005,$G2666,Ventes_Encaissements!$C$6:$C$3005,"&gt;="&amp;($C2666-3),Ventes_Encaissements!$C$6:$C$3005,"&lt;="&amp;($C2666+3)))</f>
        <v/>
      </c>
      <c r="I2666" s="12">
        <f>IF($H2666="","",IF($H2666=0,"Non trouvé",IF($H2666=1,"Match","À vérifier")))</f>
        <v/>
      </c>
      <c r="J2666" s="21">
        <f>IF($I2666&lt;&gt;"Match","",INDEX(Ventes_Encaissements!$B$6:$B$3005,_xludf.AGGREGATE(15,6,(ROW(Ventes_Encaissements!$B$6:$B$3005)-ROW(Ventes_Encaissements!$B$6)+1)/((Ventes_Encaissements!$E$6:$E$3005=$B2666)*(Ventes_Encaissements!$J$6:$J$3005=$G2666)*(Ventes_Encaissements!$C$6:$C$3005&gt;=$C2666-3)*(Ventes_Encaissements!$C$6:$C$3005&lt;=$C2666+3)),1)))</f>
        <v/>
      </c>
      <c r="K2666" s="6" t="n"/>
    </row>
    <row r="2667">
      <c r="A2667" s="6" t="n"/>
      <c r="B2667" s="6" t="n"/>
      <c r="C2667" s="19" t="n"/>
      <c r="D2667" s="19" t="n"/>
      <c r="E2667" s="6" t="n"/>
      <c r="F2667" s="20" t="n"/>
      <c r="G2667" s="9">
        <f>IF($F2667="","",IF($F2667&gt;0,ROUND($F2667,2),""))</f>
        <v/>
      </c>
      <c r="H2667" s="12">
        <f>IF(OR($B2667="",$C2667="",$G2667=""),"",COUNTIFS(Ventes_Encaissements!$E$6:$E$3005,$B2667,Ventes_Encaissements!$J$6:$J$3005,$G2667,Ventes_Encaissements!$C$6:$C$3005,"&gt;="&amp;($C2667-3),Ventes_Encaissements!$C$6:$C$3005,"&lt;="&amp;($C2667+3)))</f>
        <v/>
      </c>
      <c r="I2667" s="12">
        <f>IF($H2667="","",IF($H2667=0,"Non trouvé",IF($H2667=1,"Match","À vérifier")))</f>
        <v/>
      </c>
      <c r="J2667" s="21">
        <f>IF($I2667&lt;&gt;"Match","",INDEX(Ventes_Encaissements!$B$6:$B$3005,_xludf.AGGREGATE(15,6,(ROW(Ventes_Encaissements!$B$6:$B$3005)-ROW(Ventes_Encaissements!$B$6)+1)/((Ventes_Encaissements!$E$6:$E$3005=$B2667)*(Ventes_Encaissements!$J$6:$J$3005=$G2667)*(Ventes_Encaissements!$C$6:$C$3005&gt;=$C2667-3)*(Ventes_Encaissements!$C$6:$C$3005&lt;=$C2667+3)),1)))</f>
        <v/>
      </c>
      <c r="K2667" s="6" t="n"/>
    </row>
    <row r="2668">
      <c r="A2668" s="6" t="n"/>
      <c r="B2668" s="6" t="n"/>
      <c r="C2668" s="19" t="n"/>
      <c r="D2668" s="19" t="n"/>
      <c r="E2668" s="6" t="n"/>
      <c r="F2668" s="20" t="n"/>
      <c r="G2668" s="9">
        <f>IF($F2668="","",IF($F2668&gt;0,ROUND($F2668,2),""))</f>
        <v/>
      </c>
      <c r="H2668" s="12">
        <f>IF(OR($B2668="",$C2668="",$G2668=""),"",COUNTIFS(Ventes_Encaissements!$E$6:$E$3005,$B2668,Ventes_Encaissements!$J$6:$J$3005,$G2668,Ventes_Encaissements!$C$6:$C$3005,"&gt;="&amp;($C2668-3),Ventes_Encaissements!$C$6:$C$3005,"&lt;="&amp;($C2668+3)))</f>
        <v/>
      </c>
      <c r="I2668" s="12">
        <f>IF($H2668="","",IF($H2668=0,"Non trouvé",IF($H2668=1,"Match","À vérifier")))</f>
        <v/>
      </c>
      <c r="J2668" s="21">
        <f>IF($I2668&lt;&gt;"Match","",INDEX(Ventes_Encaissements!$B$6:$B$3005,_xludf.AGGREGATE(15,6,(ROW(Ventes_Encaissements!$B$6:$B$3005)-ROW(Ventes_Encaissements!$B$6)+1)/((Ventes_Encaissements!$E$6:$E$3005=$B2668)*(Ventes_Encaissements!$J$6:$J$3005=$G2668)*(Ventes_Encaissements!$C$6:$C$3005&gt;=$C2668-3)*(Ventes_Encaissements!$C$6:$C$3005&lt;=$C2668+3)),1)))</f>
        <v/>
      </c>
      <c r="K2668" s="6" t="n"/>
    </row>
    <row r="2669">
      <c r="A2669" s="6" t="n"/>
      <c r="B2669" s="6" t="n"/>
      <c r="C2669" s="19" t="n"/>
      <c r="D2669" s="19" t="n"/>
      <c r="E2669" s="6" t="n"/>
      <c r="F2669" s="20" t="n"/>
      <c r="G2669" s="9">
        <f>IF($F2669="","",IF($F2669&gt;0,ROUND($F2669,2),""))</f>
        <v/>
      </c>
      <c r="H2669" s="12">
        <f>IF(OR($B2669="",$C2669="",$G2669=""),"",COUNTIFS(Ventes_Encaissements!$E$6:$E$3005,$B2669,Ventes_Encaissements!$J$6:$J$3005,$G2669,Ventes_Encaissements!$C$6:$C$3005,"&gt;="&amp;($C2669-3),Ventes_Encaissements!$C$6:$C$3005,"&lt;="&amp;($C2669+3)))</f>
        <v/>
      </c>
      <c r="I2669" s="12">
        <f>IF($H2669="","",IF($H2669=0,"Non trouvé",IF($H2669=1,"Match","À vérifier")))</f>
        <v/>
      </c>
      <c r="J2669" s="21">
        <f>IF($I2669&lt;&gt;"Match","",INDEX(Ventes_Encaissements!$B$6:$B$3005,_xludf.AGGREGATE(15,6,(ROW(Ventes_Encaissements!$B$6:$B$3005)-ROW(Ventes_Encaissements!$B$6)+1)/((Ventes_Encaissements!$E$6:$E$3005=$B2669)*(Ventes_Encaissements!$J$6:$J$3005=$G2669)*(Ventes_Encaissements!$C$6:$C$3005&gt;=$C2669-3)*(Ventes_Encaissements!$C$6:$C$3005&lt;=$C2669+3)),1)))</f>
        <v/>
      </c>
      <c r="K2669" s="6" t="n"/>
    </row>
    <row r="2670">
      <c r="A2670" s="6" t="n"/>
      <c r="B2670" s="6" t="n"/>
      <c r="C2670" s="19" t="n"/>
      <c r="D2670" s="19" t="n"/>
      <c r="E2670" s="6" t="n"/>
      <c r="F2670" s="20" t="n"/>
      <c r="G2670" s="9">
        <f>IF($F2670="","",IF($F2670&gt;0,ROUND($F2670,2),""))</f>
        <v/>
      </c>
      <c r="H2670" s="12">
        <f>IF(OR($B2670="",$C2670="",$G2670=""),"",COUNTIFS(Ventes_Encaissements!$E$6:$E$3005,$B2670,Ventes_Encaissements!$J$6:$J$3005,$G2670,Ventes_Encaissements!$C$6:$C$3005,"&gt;="&amp;($C2670-3),Ventes_Encaissements!$C$6:$C$3005,"&lt;="&amp;($C2670+3)))</f>
        <v/>
      </c>
      <c r="I2670" s="12">
        <f>IF($H2670="","",IF($H2670=0,"Non trouvé",IF($H2670=1,"Match","À vérifier")))</f>
        <v/>
      </c>
      <c r="J2670" s="21">
        <f>IF($I2670&lt;&gt;"Match","",INDEX(Ventes_Encaissements!$B$6:$B$3005,_xludf.AGGREGATE(15,6,(ROW(Ventes_Encaissements!$B$6:$B$3005)-ROW(Ventes_Encaissements!$B$6)+1)/((Ventes_Encaissements!$E$6:$E$3005=$B2670)*(Ventes_Encaissements!$J$6:$J$3005=$G2670)*(Ventes_Encaissements!$C$6:$C$3005&gt;=$C2670-3)*(Ventes_Encaissements!$C$6:$C$3005&lt;=$C2670+3)),1)))</f>
        <v/>
      </c>
      <c r="K2670" s="6" t="n"/>
    </row>
    <row r="2671">
      <c r="A2671" s="6" t="n"/>
      <c r="B2671" s="6" t="n"/>
      <c r="C2671" s="19" t="n"/>
      <c r="D2671" s="19" t="n"/>
      <c r="E2671" s="6" t="n"/>
      <c r="F2671" s="20" t="n"/>
      <c r="G2671" s="9">
        <f>IF($F2671="","",IF($F2671&gt;0,ROUND($F2671,2),""))</f>
        <v/>
      </c>
      <c r="H2671" s="12">
        <f>IF(OR($B2671="",$C2671="",$G2671=""),"",COUNTIFS(Ventes_Encaissements!$E$6:$E$3005,$B2671,Ventes_Encaissements!$J$6:$J$3005,$G2671,Ventes_Encaissements!$C$6:$C$3005,"&gt;="&amp;($C2671-3),Ventes_Encaissements!$C$6:$C$3005,"&lt;="&amp;($C2671+3)))</f>
        <v/>
      </c>
      <c r="I2671" s="12">
        <f>IF($H2671="","",IF($H2671=0,"Non trouvé",IF($H2671=1,"Match","À vérifier")))</f>
        <v/>
      </c>
      <c r="J2671" s="21">
        <f>IF($I2671&lt;&gt;"Match","",INDEX(Ventes_Encaissements!$B$6:$B$3005,_xludf.AGGREGATE(15,6,(ROW(Ventes_Encaissements!$B$6:$B$3005)-ROW(Ventes_Encaissements!$B$6)+1)/((Ventes_Encaissements!$E$6:$E$3005=$B2671)*(Ventes_Encaissements!$J$6:$J$3005=$G2671)*(Ventes_Encaissements!$C$6:$C$3005&gt;=$C2671-3)*(Ventes_Encaissements!$C$6:$C$3005&lt;=$C2671+3)),1)))</f>
        <v/>
      </c>
      <c r="K2671" s="6" t="n"/>
    </row>
    <row r="2672">
      <c r="A2672" s="6" t="n"/>
      <c r="B2672" s="6" t="n"/>
      <c r="C2672" s="19" t="n"/>
      <c r="D2672" s="19" t="n"/>
      <c r="E2672" s="6" t="n"/>
      <c r="F2672" s="20" t="n"/>
      <c r="G2672" s="9">
        <f>IF($F2672="","",IF($F2672&gt;0,ROUND($F2672,2),""))</f>
        <v/>
      </c>
      <c r="H2672" s="12">
        <f>IF(OR($B2672="",$C2672="",$G2672=""),"",COUNTIFS(Ventes_Encaissements!$E$6:$E$3005,$B2672,Ventes_Encaissements!$J$6:$J$3005,$G2672,Ventes_Encaissements!$C$6:$C$3005,"&gt;="&amp;($C2672-3),Ventes_Encaissements!$C$6:$C$3005,"&lt;="&amp;($C2672+3)))</f>
        <v/>
      </c>
      <c r="I2672" s="12">
        <f>IF($H2672="","",IF($H2672=0,"Non trouvé",IF($H2672=1,"Match","À vérifier")))</f>
        <v/>
      </c>
      <c r="J2672" s="21">
        <f>IF($I2672&lt;&gt;"Match","",INDEX(Ventes_Encaissements!$B$6:$B$3005,_xludf.AGGREGATE(15,6,(ROW(Ventes_Encaissements!$B$6:$B$3005)-ROW(Ventes_Encaissements!$B$6)+1)/((Ventes_Encaissements!$E$6:$E$3005=$B2672)*(Ventes_Encaissements!$J$6:$J$3005=$G2672)*(Ventes_Encaissements!$C$6:$C$3005&gt;=$C2672-3)*(Ventes_Encaissements!$C$6:$C$3005&lt;=$C2672+3)),1)))</f>
        <v/>
      </c>
      <c r="K2672" s="6" t="n"/>
    </row>
    <row r="2673">
      <c r="A2673" s="6" t="n"/>
      <c r="B2673" s="6" t="n"/>
      <c r="C2673" s="19" t="n"/>
      <c r="D2673" s="19" t="n"/>
      <c r="E2673" s="6" t="n"/>
      <c r="F2673" s="20" t="n"/>
      <c r="G2673" s="9">
        <f>IF($F2673="","",IF($F2673&gt;0,ROUND($F2673,2),""))</f>
        <v/>
      </c>
      <c r="H2673" s="12">
        <f>IF(OR($B2673="",$C2673="",$G2673=""),"",COUNTIFS(Ventes_Encaissements!$E$6:$E$3005,$B2673,Ventes_Encaissements!$J$6:$J$3005,$G2673,Ventes_Encaissements!$C$6:$C$3005,"&gt;="&amp;($C2673-3),Ventes_Encaissements!$C$6:$C$3005,"&lt;="&amp;($C2673+3)))</f>
        <v/>
      </c>
      <c r="I2673" s="12">
        <f>IF($H2673="","",IF($H2673=0,"Non trouvé",IF($H2673=1,"Match","À vérifier")))</f>
        <v/>
      </c>
      <c r="J2673" s="21">
        <f>IF($I2673&lt;&gt;"Match","",INDEX(Ventes_Encaissements!$B$6:$B$3005,_xludf.AGGREGATE(15,6,(ROW(Ventes_Encaissements!$B$6:$B$3005)-ROW(Ventes_Encaissements!$B$6)+1)/((Ventes_Encaissements!$E$6:$E$3005=$B2673)*(Ventes_Encaissements!$J$6:$J$3005=$G2673)*(Ventes_Encaissements!$C$6:$C$3005&gt;=$C2673-3)*(Ventes_Encaissements!$C$6:$C$3005&lt;=$C2673+3)),1)))</f>
        <v/>
      </c>
      <c r="K2673" s="6" t="n"/>
    </row>
    <row r="2674">
      <c r="A2674" s="6" t="n"/>
      <c r="B2674" s="6" t="n"/>
      <c r="C2674" s="19" t="n"/>
      <c r="D2674" s="19" t="n"/>
      <c r="E2674" s="6" t="n"/>
      <c r="F2674" s="20" t="n"/>
      <c r="G2674" s="9">
        <f>IF($F2674="","",IF($F2674&gt;0,ROUND($F2674,2),""))</f>
        <v/>
      </c>
      <c r="H2674" s="12">
        <f>IF(OR($B2674="",$C2674="",$G2674=""),"",COUNTIFS(Ventes_Encaissements!$E$6:$E$3005,$B2674,Ventes_Encaissements!$J$6:$J$3005,$G2674,Ventes_Encaissements!$C$6:$C$3005,"&gt;="&amp;($C2674-3),Ventes_Encaissements!$C$6:$C$3005,"&lt;="&amp;($C2674+3)))</f>
        <v/>
      </c>
      <c r="I2674" s="12">
        <f>IF($H2674="","",IF($H2674=0,"Non trouvé",IF($H2674=1,"Match","À vérifier")))</f>
        <v/>
      </c>
      <c r="J2674" s="21">
        <f>IF($I2674&lt;&gt;"Match","",INDEX(Ventes_Encaissements!$B$6:$B$3005,_xludf.AGGREGATE(15,6,(ROW(Ventes_Encaissements!$B$6:$B$3005)-ROW(Ventes_Encaissements!$B$6)+1)/((Ventes_Encaissements!$E$6:$E$3005=$B2674)*(Ventes_Encaissements!$J$6:$J$3005=$G2674)*(Ventes_Encaissements!$C$6:$C$3005&gt;=$C2674-3)*(Ventes_Encaissements!$C$6:$C$3005&lt;=$C2674+3)),1)))</f>
        <v/>
      </c>
      <c r="K2674" s="6" t="n"/>
    </row>
    <row r="2675">
      <c r="A2675" s="6" t="n"/>
      <c r="B2675" s="6" t="n"/>
      <c r="C2675" s="19" t="n"/>
      <c r="D2675" s="19" t="n"/>
      <c r="E2675" s="6" t="n"/>
      <c r="F2675" s="20" t="n"/>
      <c r="G2675" s="9">
        <f>IF($F2675="","",IF($F2675&gt;0,ROUND($F2675,2),""))</f>
        <v/>
      </c>
      <c r="H2675" s="12">
        <f>IF(OR($B2675="",$C2675="",$G2675=""),"",COUNTIFS(Ventes_Encaissements!$E$6:$E$3005,$B2675,Ventes_Encaissements!$J$6:$J$3005,$G2675,Ventes_Encaissements!$C$6:$C$3005,"&gt;="&amp;($C2675-3),Ventes_Encaissements!$C$6:$C$3005,"&lt;="&amp;($C2675+3)))</f>
        <v/>
      </c>
      <c r="I2675" s="12">
        <f>IF($H2675="","",IF($H2675=0,"Non trouvé",IF($H2675=1,"Match","À vérifier")))</f>
        <v/>
      </c>
      <c r="J2675" s="21">
        <f>IF($I2675&lt;&gt;"Match","",INDEX(Ventes_Encaissements!$B$6:$B$3005,_xludf.AGGREGATE(15,6,(ROW(Ventes_Encaissements!$B$6:$B$3005)-ROW(Ventes_Encaissements!$B$6)+1)/((Ventes_Encaissements!$E$6:$E$3005=$B2675)*(Ventes_Encaissements!$J$6:$J$3005=$G2675)*(Ventes_Encaissements!$C$6:$C$3005&gt;=$C2675-3)*(Ventes_Encaissements!$C$6:$C$3005&lt;=$C2675+3)),1)))</f>
        <v/>
      </c>
      <c r="K2675" s="6" t="n"/>
    </row>
    <row r="2676">
      <c r="A2676" s="6" t="n"/>
      <c r="B2676" s="6" t="n"/>
      <c r="C2676" s="19" t="n"/>
      <c r="D2676" s="19" t="n"/>
      <c r="E2676" s="6" t="n"/>
      <c r="F2676" s="20" t="n"/>
      <c r="G2676" s="9">
        <f>IF($F2676="","",IF($F2676&gt;0,ROUND($F2676,2),""))</f>
        <v/>
      </c>
      <c r="H2676" s="12">
        <f>IF(OR($B2676="",$C2676="",$G2676=""),"",COUNTIFS(Ventes_Encaissements!$E$6:$E$3005,$B2676,Ventes_Encaissements!$J$6:$J$3005,$G2676,Ventes_Encaissements!$C$6:$C$3005,"&gt;="&amp;($C2676-3),Ventes_Encaissements!$C$6:$C$3005,"&lt;="&amp;($C2676+3)))</f>
        <v/>
      </c>
      <c r="I2676" s="12">
        <f>IF($H2676="","",IF($H2676=0,"Non trouvé",IF($H2676=1,"Match","À vérifier")))</f>
        <v/>
      </c>
      <c r="J2676" s="21">
        <f>IF($I2676&lt;&gt;"Match","",INDEX(Ventes_Encaissements!$B$6:$B$3005,_xludf.AGGREGATE(15,6,(ROW(Ventes_Encaissements!$B$6:$B$3005)-ROW(Ventes_Encaissements!$B$6)+1)/((Ventes_Encaissements!$E$6:$E$3005=$B2676)*(Ventes_Encaissements!$J$6:$J$3005=$G2676)*(Ventes_Encaissements!$C$6:$C$3005&gt;=$C2676-3)*(Ventes_Encaissements!$C$6:$C$3005&lt;=$C2676+3)),1)))</f>
        <v/>
      </c>
      <c r="K2676" s="6" t="n"/>
    </row>
    <row r="2677">
      <c r="A2677" s="6" t="n"/>
      <c r="B2677" s="6" t="n"/>
      <c r="C2677" s="19" t="n"/>
      <c r="D2677" s="19" t="n"/>
      <c r="E2677" s="6" t="n"/>
      <c r="F2677" s="20" t="n"/>
      <c r="G2677" s="9">
        <f>IF($F2677="","",IF($F2677&gt;0,ROUND($F2677,2),""))</f>
        <v/>
      </c>
      <c r="H2677" s="12">
        <f>IF(OR($B2677="",$C2677="",$G2677=""),"",COUNTIFS(Ventes_Encaissements!$E$6:$E$3005,$B2677,Ventes_Encaissements!$J$6:$J$3005,$G2677,Ventes_Encaissements!$C$6:$C$3005,"&gt;="&amp;($C2677-3),Ventes_Encaissements!$C$6:$C$3005,"&lt;="&amp;($C2677+3)))</f>
        <v/>
      </c>
      <c r="I2677" s="12">
        <f>IF($H2677="","",IF($H2677=0,"Non trouvé",IF($H2677=1,"Match","À vérifier")))</f>
        <v/>
      </c>
      <c r="J2677" s="21">
        <f>IF($I2677&lt;&gt;"Match","",INDEX(Ventes_Encaissements!$B$6:$B$3005,_xludf.AGGREGATE(15,6,(ROW(Ventes_Encaissements!$B$6:$B$3005)-ROW(Ventes_Encaissements!$B$6)+1)/((Ventes_Encaissements!$E$6:$E$3005=$B2677)*(Ventes_Encaissements!$J$6:$J$3005=$G2677)*(Ventes_Encaissements!$C$6:$C$3005&gt;=$C2677-3)*(Ventes_Encaissements!$C$6:$C$3005&lt;=$C2677+3)),1)))</f>
        <v/>
      </c>
      <c r="K2677" s="6" t="n"/>
    </row>
    <row r="2678">
      <c r="A2678" s="6" t="n"/>
      <c r="B2678" s="6" t="n"/>
      <c r="C2678" s="19" t="n"/>
      <c r="D2678" s="19" t="n"/>
      <c r="E2678" s="6" t="n"/>
      <c r="F2678" s="20" t="n"/>
      <c r="G2678" s="9">
        <f>IF($F2678="","",IF($F2678&gt;0,ROUND($F2678,2),""))</f>
        <v/>
      </c>
      <c r="H2678" s="12">
        <f>IF(OR($B2678="",$C2678="",$G2678=""),"",COUNTIFS(Ventes_Encaissements!$E$6:$E$3005,$B2678,Ventes_Encaissements!$J$6:$J$3005,$G2678,Ventes_Encaissements!$C$6:$C$3005,"&gt;="&amp;($C2678-3),Ventes_Encaissements!$C$6:$C$3005,"&lt;="&amp;($C2678+3)))</f>
        <v/>
      </c>
      <c r="I2678" s="12">
        <f>IF($H2678="","",IF($H2678=0,"Non trouvé",IF($H2678=1,"Match","À vérifier")))</f>
        <v/>
      </c>
      <c r="J2678" s="21">
        <f>IF($I2678&lt;&gt;"Match","",INDEX(Ventes_Encaissements!$B$6:$B$3005,_xludf.AGGREGATE(15,6,(ROW(Ventes_Encaissements!$B$6:$B$3005)-ROW(Ventes_Encaissements!$B$6)+1)/((Ventes_Encaissements!$E$6:$E$3005=$B2678)*(Ventes_Encaissements!$J$6:$J$3005=$G2678)*(Ventes_Encaissements!$C$6:$C$3005&gt;=$C2678-3)*(Ventes_Encaissements!$C$6:$C$3005&lt;=$C2678+3)),1)))</f>
        <v/>
      </c>
      <c r="K2678" s="6" t="n"/>
    </row>
    <row r="2679">
      <c r="A2679" s="6" t="n"/>
      <c r="B2679" s="6" t="n"/>
      <c r="C2679" s="19" t="n"/>
      <c r="D2679" s="19" t="n"/>
      <c r="E2679" s="6" t="n"/>
      <c r="F2679" s="20" t="n"/>
      <c r="G2679" s="9">
        <f>IF($F2679="","",IF($F2679&gt;0,ROUND($F2679,2),""))</f>
        <v/>
      </c>
      <c r="H2679" s="12">
        <f>IF(OR($B2679="",$C2679="",$G2679=""),"",COUNTIFS(Ventes_Encaissements!$E$6:$E$3005,$B2679,Ventes_Encaissements!$J$6:$J$3005,$G2679,Ventes_Encaissements!$C$6:$C$3005,"&gt;="&amp;($C2679-3),Ventes_Encaissements!$C$6:$C$3005,"&lt;="&amp;($C2679+3)))</f>
        <v/>
      </c>
      <c r="I2679" s="12">
        <f>IF($H2679="","",IF($H2679=0,"Non trouvé",IF($H2679=1,"Match","À vérifier")))</f>
        <v/>
      </c>
      <c r="J2679" s="21">
        <f>IF($I2679&lt;&gt;"Match","",INDEX(Ventes_Encaissements!$B$6:$B$3005,_xludf.AGGREGATE(15,6,(ROW(Ventes_Encaissements!$B$6:$B$3005)-ROW(Ventes_Encaissements!$B$6)+1)/((Ventes_Encaissements!$E$6:$E$3005=$B2679)*(Ventes_Encaissements!$J$6:$J$3005=$G2679)*(Ventes_Encaissements!$C$6:$C$3005&gt;=$C2679-3)*(Ventes_Encaissements!$C$6:$C$3005&lt;=$C2679+3)),1)))</f>
        <v/>
      </c>
      <c r="K2679" s="6" t="n"/>
    </row>
    <row r="2680">
      <c r="A2680" s="6" t="n"/>
      <c r="B2680" s="6" t="n"/>
      <c r="C2680" s="19" t="n"/>
      <c r="D2680" s="19" t="n"/>
      <c r="E2680" s="6" t="n"/>
      <c r="F2680" s="20" t="n"/>
      <c r="G2680" s="9">
        <f>IF($F2680="","",IF($F2680&gt;0,ROUND($F2680,2),""))</f>
        <v/>
      </c>
      <c r="H2680" s="12">
        <f>IF(OR($B2680="",$C2680="",$G2680=""),"",COUNTIFS(Ventes_Encaissements!$E$6:$E$3005,$B2680,Ventes_Encaissements!$J$6:$J$3005,$G2680,Ventes_Encaissements!$C$6:$C$3005,"&gt;="&amp;($C2680-3),Ventes_Encaissements!$C$6:$C$3005,"&lt;="&amp;($C2680+3)))</f>
        <v/>
      </c>
      <c r="I2680" s="12">
        <f>IF($H2680="","",IF($H2680=0,"Non trouvé",IF($H2680=1,"Match","À vérifier")))</f>
        <v/>
      </c>
      <c r="J2680" s="21">
        <f>IF($I2680&lt;&gt;"Match","",INDEX(Ventes_Encaissements!$B$6:$B$3005,_xludf.AGGREGATE(15,6,(ROW(Ventes_Encaissements!$B$6:$B$3005)-ROW(Ventes_Encaissements!$B$6)+1)/((Ventes_Encaissements!$E$6:$E$3005=$B2680)*(Ventes_Encaissements!$J$6:$J$3005=$G2680)*(Ventes_Encaissements!$C$6:$C$3005&gt;=$C2680-3)*(Ventes_Encaissements!$C$6:$C$3005&lt;=$C2680+3)),1)))</f>
        <v/>
      </c>
      <c r="K2680" s="6" t="n"/>
    </row>
    <row r="2681">
      <c r="A2681" s="6" t="n"/>
      <c r="B2681" s="6" t="n"/>
      <c r="C2681" s="19" t="n"/>
      <c r="D2681" s="19" t="n"/>
      <c r="E2681" s="6" t="n"/>
      <c r="F2681" s="20" t="n"/>
      <c r="G2681" s="9">
        <f>IF($F2681="","",IF($F2681&gt;0,ROUND($F2681,2),""))</f>
        <v/>
      </c>
      <c r="H2681" s="12">
        <f>IF(OR($B2681="",$C2681="",$G2681=""),"",COUNTIFS(Ventes_Encaissements!$E$6:$E$3005,$B2681,Ventes_Encaissements!$J$6:$J$3005,$G2681,Ventes_Encaissements!$C$6:$C$3005,"&gt;="&amp;($C2681-3),Ventes_Encaissements!$C$6:$C$3005,"&lt;="&amp;($C2681+3)))</f>
        <v/>
      </c>
      <c r="I2681" s="12">
        <f>IF($H2681="","",IF($H2681=0,"Non trouvé",IF($H2681=1,"Match","À vérifier")))</f>
        <v/>
      </c>
      <c r="J2681" s="21">
        <f>IF($I2681&lt;&gt;"Match","",INDEX(Ventes_Encaissements!$B$6:$B$3005,_xludf.AGGREGATE(15,6,(ROW(Ventes_Encaissements!$B$6:$B$3005)-ROW(Ventes_Encaissements!$B$6)+1)/((Ventes_Encaissements!$E$6:$E$3005=$B2681)*(Ventes_Encaissements!$J$6:$J$3005=$G2681)*(Ventes_Encaissements!$C$6:$C$3005&gt;=$C2681-3)*(Ventes_Encaissements!$C$6:$C$3005&lt;=$C2681+3)),1)))</f>
        <v/>
      </c>
      <c r="K2681" s="6" t="n"/>
    </row>
    <row r="2682">
      <c r="A2682" s="6" t="n"/>
      <c r="B2682" s="6" t="n"/>
      <c r="C2682" s="19" t="n"/>
      <c r="D2682" s="19" t="n"/>
      <c r="E2682" s="6" t="n"/>
      <c r="F2682" s="20" t="n"/>
      <c r="G2682" s="9">
        <f>IF($F2682="","",IF($F2682&gt;0,ROUND($F2682,2),""))</f>
        <v/>
      </c>
      <c r="H2682" s="12">
        <f>IF(OR($B2682="",$C2682="",$G2682=""),"",COUNTIFS(Ventes_Encaissements!$E$6:$E$3005,$B2682,Ventes_Encaissements!$J$6:$J$3005,$G2682,Ventes_Encaissements!$C$6:$C$3005,"&gt;="&amp;($C2682-3),Ventes_Encaissements!$C$6:$C$3005,"&lt;="&amp;($C2682+3)))</f>
        <v/>
      </c>
      <c r="I2682" s="12">
        <f>IF($H2682="","",IF($H2682=0,"Non trouvé",IF($H2682=1,"Match","À vérifier")))</f>
        <v/>
      </c>
      <c r="J2682" s="21">
        <f>IF($I2682&lt;&gt;"Match","",INDEX(Ventes_Encaissements!$B$6:$B$3005,_xludf.AGGREGATE(15,6,(ROW(Ventes_Encaissements!$B$6:$B$3005)-ROW(Ventes_Encaissements!$B$6)+1)/((Ventes_Encaissements!$E$6:$E$3005=$B2682)*(Ventes_Encaissements!$J$6:$J$3005=$G2682)*(Ventes_Encaissements!$C$6:$C$3005&gt;=$C2682-3)*(Ventes_Encaissements!$C$6:$C$3005&lt;=$C2682+3)),1)))</f>
        <v/>
      </c>
      <c r="K2682" s="6" t="n"/>
    </row>
    <row r="2683">
      <c r="A2683" s="6" t="n"/>
      <c r="B2683" s="6" t="n"/>
      <c r="C2683" s="19" t="n"/>
      <c r="D2683" s="19" t="n"/>
      <c r="E2683" s="6" t="n"/>
      <c r="F2683" s="20" t="n"/>
      <c r="G2683" s="9">
        <f>IF($F2683="","",IF($F2683&gt;0,ROUND($F2683,2),""))</f>
        <v/>
      </c>
      <c r="H2683" s="12">
        <f>IF(OR($B2683="",$C2683="",$G2683=""),"",COUNTIFS(Ventes_Encaissements!$E$6:$E$3005,$B2683,Ventes_Encaissements!$J$6:$J$3005,$G2683,Ventes_Encaissements!$C$6:$C$3005,"&gt;="&amp;($C2683-3),Ventes_Encaissements!$C$6:$C$3005,"&lt;="&amp;($C2683+3)))</f>
        <v/>
      </c>
      <c r="I2683" s="12">
        <f>IF($H2683="","",IF($H2683=0,"Non trouvé",IF($H2683=1,"Match","À vérifier")))</f>
        <v/>
      </c>
      <c r="J2683" s="21">
        <f>IF($I2683&lt;&gt;"Match","",INDEX(Ventes_Encaissements!$B$6:$B$3005,_xludf.AGGREGATE(15,6,(ROW(Ventes_Encaissements!$B$6:$B$3005)-ROW(Ventes_Encaissements!$B$6)+1)/((Ventes_Encaissements!$E$6:$E$3005=$B2683)*(Ventes_Encaissements!$J$6:$J$3005=$G2683)*(Ventes_Encaissements!$C$6:$C$3005&gt;=$C2683-3)*(Ventes_Encaissements!$C$6:$C$3005&lt;=$C2683+3)),1)))</f>
        <v/>
      </c>
      <c r="K2683" s="6" t="n"/>
    </row>
    <row r="2684">
      <c r="A2684" s="6" t="n"/>
      <c r="B2684" s="6" t="n"/>
      <c r="C2684" s="19" t="n"/>
      <c r="D2684" s="19" t="n"/>
      <c r="E2684" s="6" t="n"/>
      <c r="F2684" s="20" t="n"/>
      <c r="G2684" s="9">
        <f>IF($F2684="","",IF($F2684&gt;0,ROUND($F2684,2),""))</f>
        <v/>
      </c>
      <c r="H2684" s="12">
        <f>IF(OR($B2684="",$C2684="",$G2684=""),"",COUNTIFS(Ventes_Encaissements!$E$6:$E$3005,$B2684,Ventes_Encaissements!$J$6:$J$3005,$G2684,Ventes_Encaissements!$C$6:$C$3005,"&gt;="&amp;($C2684-3),Ventes_Encaissements!$C$6:$C$3005,"&lt;="&amp;($C2684+3)))</f>
        <v/>
      </c>
      <c r="I2684" s="12">
        <f>IF($H2684="","",IF($H2684=0,"Non trouvé",IF($H2684=1,"Match","À vérifier")))</f>
        <v/>
      </c>
      <c r="J2684" s="21">
        <f>IF($I2684&lt;&gt;"Match","",INDEX(Ventes_Encaissements!$B$6:$B$3005,_xludf.AGGREGATE(15,6,(ROW(Ventes_Encaissements!$B$6:$B$3005)-ROW(Ventes_Encaissements!$B$6)+1)/((Ventes_Encaissements!$E$6:$E$3005=$B2684)*(Ventes_Encaissements!$J$6:$J$3005=$G2684)*(Ventes_Encaissements!$C$6:$C$3005&gt;=$C2684-3)*(Ventes_Encaissements!$C$6:$C$3005&lt;=$C2684+3)),1)))</f>
        <v/>
      </c>
      <c r="K2684" s="6" t="n"/>
    </row>
    <row r="2685">
      <c r="A2685" s="6" t="n"/>
      <c r="B2685" s="6" t="n"/>
      <c r="C2685" s="19" t="n"/>
      <c r="D2685" s="19" t="n"/>
      <c r="E2685" s="6" t="n"/>
      <c r="F2685" s="20" t="n"/>
      <c r="G2685" s="9">
        <f>IF($F2685="","",IF($F2685&gt;0,ROUND($F2685,2),""))</f>
        <v/>
      </c>
      <c r="H2685" s="12">
        <f>IF(OR($B2685="",$C2685="",$G2685=""),"",COUNTIFS(Ventes_Encaissements!$E$6:$E$3005,$B2685,Ventes_Encaissements!$J$6:$J$3005,$G2685,Ventes_Encaissements!$C$6:$C$3005,"&gt;="&amp;($C2685-3),Ventes_Encaissements!$C$6:$C$3005,"&lt;="&amp;($C2685+3)))</f>
        <v/>
      </c>
      <c r="I2685" s="12">
        <f>IF($H2685="","",IF($H2685=0,"Non trouvé",IF($H2685=1,"Match","À vérifier")))</f>
        <v/>
      </c>
      <c r="J2685" s="21">
        <f>IF($I2685&lt;&gt;"Match","",INDEX(Ventes_Encaissements!$B$6:$B$3005,_xludf.AGGREGATE(15,6,(ROW(Ventes_Encaissements!$B$6:$B$3005)-ROW(Ventes_Encaissements!$B$6)+1)/((Ventes_Encaissements!$E$6:$E$3005=$B2685)*(Ventes_Encaissements!$J$6:$J$3005=$G2685)*(Ventes_Encaissements!$C$6:$C$3005&gt;=$C2685-3)*(Ventes_Encaissements!$C$6:$C$3005&lt;=$C2685+3)),1)))</f>
        <v/>
      </c>
      <c r="K2685" s="6" t="n"/>
    </row>
    <row r="2686">
      <c r="A2686" s="6" t="n"/>
      <c r="B2686" s="6" t="n"/>
      <c r="C2686" s="19" t="n"/>
      <c r="D2686" s="19" t="n"/>
      <c r="E2686" s="6" t="n"/>
      <c r="F2686" s="20" t="n"/>
      <c r="G2686" s="9">
        <f>IF($F2686="","",IF($F2686&gt;0,ROUND($F2686,2),""))</f>
        <v/>
      </c>
      <c r="H2686" s="12">
        <f>IF(OR($B2686="",$C2686="",$G2686=""),"",COUNTIFS(Ventes_Encaissements!$E$6:$E$3005,$B2686,Ventes_Encaissements!$J$6:$J$3005,$G2686,Ventes_Encaissements!$C$6:$C$3005,"&gt;="&amp;($C2686-3),Ventes_Encaissements!$C$6:$C$3005,"&lt;="&amp;($C2686+3)))</f>
        <v/>
      </c>
      <c r="I2686" s="12">
        <f>IF($H2686="","",IF($H2686=0,"Non trouvé",IF($H2686=1,"Match","À vérifier")))</f>
        <v/>
      </c>
      <c r="J2686" s="21">
        <f>IF($I2686&lt;&gt;"Match","",INDEX(Ventes_Encaissements!$B$6:$B$3005,_xludf.AGGREGATE(15,6,(ROW(Ventes_Encaissements!$B$6:$B$3005)-ROW(Ventes_Encaissements!$B$6)+1)/((Ventes_Encaissements!$E$6:$E$3005=$B2686)*(Ventes_Encaissements!$J$6:$J$3005=$G2686)*(Ventes_Encaissements!$C$6:$C$3005&gt;=$C2686-3)*(Ventes_Encaissements!$C$6:$C$3005&lt;=$C2686+3)),1)))</f>
        <v/>
      </c>
      <c r="K2686" s="6" t="n"/>
    </row>
    <row r="2687">
      <c r="A2687" s="6" t="n"/>
      <c r="B2687" s="6" t="n"/>
      <c r="C2687" s="19" t="n"/>
      <c r="D2687" s="19" t="n"/>
      <c r="E2687" s="6" t="n"/>
      <c r="F2687" s="20" t="n"/>
      <c r="G2687" s="9">
        <f>IF($F2687="","",IF($F2687&gt;0,ROUND($F2687,2),""))</f>
        <v/>
      </c>
      <c r="H2687" s="12">
        <f>IF(OR($B2687="",$C2687="",$G2687=""),"",COUNTIFS(Ventes_Encaissements!$E$6:$E$3005,$B2687,Ventes_Encaissements!$J$6:$J$3005,$G2687,Ventes_Encaissements!$C$6:$C$3005,"&gt;="&amp;($C2687-3),Ventes_Encaissements!$C$6:$C$3005,"&lt;="&amp;($C2687+3)))</f>
        <v/>
      </c>
      <c r="I2687" s="12">
        <f>IF($H2687="","",IF($H2687=0,"Non trouvé",IF($H2687=1,"Match","À vérifier")))</f>
        <v/>
      </c>
      <c r="J2687" s="21">
        <f>IF($I2687&lt;&gt;"Match","",INDEX(Ventes_Encaissements!$B$6:$B$3005,_xludf.AGGREGATE(15,6,(ROW(Ventes_Encaissements!$B$6:$B$3005)-ROW(Ventes_Encaissements!$B$6)+1)/((Ventes_Encaissements!$E$6:$E$3005=$B2687)*(Ventes_Encaissements!$J$6:$J$3005=$G2687)*(Ventes_Encaissements!$C$6:$C$3005&gt;=$C2687-3)*(Ventes_Encaissements!$C$6:$C$3005&lt;=$C2687+3)),1)))</f>
        <v/>
      </c>
      <c r="K2687" s="6" t="n"/>
    </row>
    <row r="2688">
      <c r="A2688" s="6" t="n"/>
      <c r="B2688" s="6" t="n"/>
      <c r="C2688" s="19" t="n"/>
      <c r="D2688" s="19" t="n"/>
      <c r="E2688" s="6" t="n"/>
      <c r="F2688" s="20" t="n"/>
      <c r="G2688" s="9">
        <f>IF($F2688="","",IF($F2688&gt;0,ROUND($F2688,2),""))</f>
        <v/>
      </c>
      <c r="H2688" s="12">
        <f>IF(OR($B2688="",$C2688="",$G2688=""),"",COUNTIFS(Ventes_Encaissements!$E$6:$E$3005,$B2688,Ventes_Encaissements!$J$6:$J$3005,$G2688,Ventes_Encaissements!$C$6:$C$3005,"&gt;="&amp;($C2688-3),Ventes_Encaissements!$C$6:$C$3005,"&lt;="&amp;($C2688+3)))</f>
        <v/>
      </c>
      <c r="I2688" s="12">
        <f>IF($H2688="","",IF($H2688=0,"Non trouvé",IF($H2688=1,"Match","À vérifier")))</f>
        <v/>
      </c>
      <c r="J2688" s="21">
        <f>IF($I2688&lt;&gt;"Match","",INDEX(Ventes_Encaissements!$B$6:$B$3005,_xludf.AGGREGATE(15,6,(ROW(Ventes_Encaissements!$B$6:$B$3005)-ROW(Ventes_Encaissements!$B$6)+1)/((Ventes_Encaissements!$E$6:$E$3005=$B2688)*(Ventes_Encaissements!$J$6:$J$3005=$G2688)*(Ventes_Encaissements!$C$6:$C$3005&gt;=$C2688-3)*(Ventes_Encaissements!$C$6:$C$3005&lt;=$C2688+3)),1)))</f>
        <v/>
      </c>
      <c r="K2688" s="6" t="n"/>
    </row>
    <row r="2689">
      <c r="A2689" s="6" t="n"/>
      <c r="B2689" s="6" t="n"/>
      <c r="C2689" s="19" t="n"/>
      <c r="D2689" s="19" t="n"/>
      <c r="E2689" s="6" t="n"/>
      <c r="F2689" s="20" t="n"/>
      <c r="G2689" s="9">
        <f>IF($F2689="","",IF($F2689&gt;0,ROUND($F2689,2),""))</f>
        <v/>
      </c>
      <c r="H2689" s="12">
        <f>IF(OR($B2689="",$C2689="",$G2689=""),"",COUNTIFS(Ventes_Encaissements!$E$6:$E$3005,$B2689,Ventes_Encaissements!$J$6:$J$3005,$G2689,Ventes_Encaissements!$C$6:$C$3005,"&gt;="&amp;($C2689-3),Ventes_Encaissements!$C$6:$C$3005,"&lt;="&amp;($C2689+3)))</f>
        <v/>
      </c>
      <c r="I2689" s="12">
        <f>IF($H2689="","",IF($H2689=0,"Non trouvé",IF($H2689=1,"Match","À vérifier")))</f>
        <v/>
      </c>
      <c r="J2689" s="21">
        <f>IF($I2689&lt;&gt;"Match","",INDEX(Ventes_Encaissements!$B$6:$B$3005,_xludf.AGGREGATE(15,6,(ROW(Ventes_Encaissements!$B$6:$B$3005)-ROW(Ventes_Encaissements!$B$6)+1)/((Ventes_Encaissements!$E$6:$E$3005=$B2689)*(Ventes_Encaissements!$J$6:$J$3005=$G2689)*(Ventes_Encaissements!$C$6:$C$3005&gt;=$C2689-3)*(Ventes_Encaissements!$C$6:$C$3005&lt;=$C2689+3)),1)))</f>
        <v/>
      </c>
      <c r="K2689" s="6" t="n"/>
    </row>
    <row r="2690">
      <c r="A2690" s="6" t="n"/>
      <c r="B2690" s="6" t="n"/>
      <c r="C2690" s="19" t="n"/>
      <c r="D2690" s="19" t="n"/>
      <c r="E2690" s="6" t="n"/>
      <c r="F2690" s="20" t="n"/>
      <c r="G2690" s="9">
        <f>IF($F2690="","",IF($F2690&gt;0,ROUND($F2690,2),""))</f>
        <v/>
      </c>
      <c r="H2690" s="12">
        <f>IF(OR($B2690="",$C2690="",$G2690=""),"",COUNTIFS(Ventes_Encaissements!$E$6:$E$3005,$B2690,Ventes_Encaissements!$J$6:$J$3005,$G2690,Ventes_Encaissements!$C$6:$C$3005,"&gt;="&amp;($C2690-3),Ventes_Encaissements!$C$6:$C$3005,"&lt;="&amp;($C2690+3)))</f>
        <v/>
      </c>
      <c r="I2690" s="12">
        <f>IF($H2690="","",IF($H2690=0,"Non trouvé",IF($H2690=1,"Match","À vérifier")))</f>
        <v/>
      </c>
      <c r="J2690" s="21">
        <f>IF($I2690&lt;&gt;"Match","",INDEX(Ventes_Encaissements!$B$6:$B$3005,_xludf.AGGREGATE(15,6,(ROW(Ventes_Encaissements!$B$6:$B$3005)-ROW(Ventes_Encaissements!$B$6)+1)/((Ventes_Encaissements!$E$6:$E$3005=$B2690)*(Ventes_Encaissements!$J$6:$J$3005=$G2690)*(Ventes_Encaissements!$C$6:$C$3005&gt;=$C2690-3)*(Ventes_Encaissements!$C$6:$C$3005&lt;=$C2690+3)),1)))</f>
        <v/>
      </c>
      <c r="K2690" s="6" t="n"/>
    </row>
    <row r="2691">
      <c r="A2691" s="6" t="n"/>
      <c r="B2691" s="6" t="n"/>
      <c r="C2691" s="19" t="n"/>
      <c r="D2691" s="19" t="n"/>
      <c r="E2691" s="6" t="n"/>
      <c r="F2691" s="20" t="n"/>
      <c r="G2691" s="9">
        <f>IF($F2691="","",IF($F2691&gt;0,ROUND($F2691,2),""))</f>
        <v/>
      </c>
      <c r="H2691" s="12">
        <f>IF(OR($B2691="",$C2691="",$G2691=""),"",COUNTIFS(Ventes_Encaissements!$E$6:$E$3005,$B2691,Ventes_Encaissements!$J$6:$J$3005,$G2691,Ventes_Encaissements!$C$6:$C$3005,"&gt;="&amp;($C2691-3),Ventes_Encaissements!$C$6:$C$3005,"&lt;="&amp;($C2691+3)))</f>
        <v/>
      </c>
      <c r="I2691" s="12">
        <f>IF($H2691="","",IF($H2691=0,"Non trouvé",IF($H2691=1,"Match","À vérifier")))</f>
        <v/>
      </c>
      <c r="J2691" s="21">
        <f>IF($I2691&lt;&gt;"Match","",INDEX(Ventes_Encaissements!$B$6:$B$3005,_xludf.AGGREGATE(15,6,(ROW(Ventes_Encaissements!$B$6:$B$3005)-ROW(Ventes_Encaissements!$B$6)+1)/((Ventes_Encaissements!$E$6:$E$3005=$B2691)*(Ventes_Encaissements!$J$6:$J$3005=$G2691)*(Ventes_Encaissements!$C$6:$C$3005&gt;=$C2691-3)*(Ventes_Encaissements!$C$6:$C$3005&lt;=$C2691+3)),1)))</f>
        <v/>
      </c>
      <c r="K2691" s="6" t="n"/>
    </row>
    <row r="2692">
      <c r="A2692" s="6" t="n"/>
      <c r="B2692" s="6" t="n"/>
      <c r="C2692" s="19" t="n"/>
      <c r="D2692" s="19" t="n"/>
      <c r="E2692" s="6" t="n"/>
      <c r="F2692" s="20" t="n"/>
      <c r="G2692" s="9">
        <f>IF($F2692="","",IF($F2692&gt;0,ROUND($F2692,2),""))</f>
        <v/>
      </c>
      <c r="H2692" s="12">
        <f>IF(OR($B2692="",$C2692="",$G2692=""),"",COUNTIFS(Ventes_Encaissements!$E$6:$E$3005,$B2692,Ventes_Encaissements!$J$6:$J$3005,$G2692,Ventes_Encaissements!$C$6:$C$3005,"&gt;="&amp;($C2692-3),Ventes_Encaissements!$C$6:$C$3005,"&lt;="&amp;($C2692+3)))</f>
        <v/>
      </c>
      <c r="I2692" s="12">
        <f>IF($H2692="","",IF($H2692=0,"Non trouvé",IF($H2692=1,"Match","À vérifier")))</f>
        <v/>
      </c>
      <c r="J2692" s="21">
        <f>IF($I2692&lt;&gt;"Match","",INDEX(Ventes_Encaissements!$B$6:$B$3005,_xludf.AGGREGATE(15,6,(ROW(Ventes_Encaissements!$B$6:$B$3005)-ROW(Ventes_Encaissements!$B$6)+1)/((Ventes_Encaissements!$E$6:$E$3005=$B2692)*(Ventes_Encaissements!$J$6:$J$3005=$G2692)*(Ventes_Encaissements!$C$6:$C$3005&gt;=$C2692-3)*(Ventes_Encaissements!$C$6:$C$3005&lt;=$C2692+3)),1)))</f>
        <v/>
      </c>
      <c r="K2692" s="6" t="n"/>
    </row>
    <row r="2693">
      <c r="A2693" s="6" t="n"/>
      <c r="B2693" s="6" t="n"/>
      <c r="C2693" s="19" t="n"/>
      <c r="D2693" s="19" t="n"/>
      <c r="E2693" s="6" t="n"/>
      <c r="F2693" s="20" t="n"/>
      <c r="G2693" s="9">
        <f>IF($F2693="","",IF($F2693&gt;0,ROUND($F2693,2),""))</f>
        <v/>
      </c>
      <c r="H2693" s="12">
        <f>IF(OR($B2693="",$C2693="",$G2693=""),"",COUNTIFS(Ventes_Encaissements!$E$6:$E$3005,$B2693,Ventes_Encaissements!$J$6:$J$3005,$G2693,Ventes_Encaissements!$C$6:$C$3005,"&gt;="&amp;($C2693-3),Ventes_Encaissements!$C$6:$C$3005,"&lt;="&amp;($C2693+3)))</f>
        <v/>
      </c>
      <c r="I2693" s="12">
        <f>IF($H2693="","",IF($H2693=0,"Non trouvé",IF($H2693=1,"Match","À vérifier")))</f>
        <v/>
      </c>
      <c r="J2693" s="21">
        <f>IF($I2693&lt;&gt;"Match","",INDEX(Ventes_Encaissements!$B$6:$B$3005,_xludf.AGGREGATE(15,6,(ROW(Ventes_Encaissements!$B$6:$B$3005)-ROW(Ventes_Encaissements!$B$6)+1)/((Ventes_Encaissements!$E$6:$E$3005=$B2693)*(Ventes_Encaissements!$J$6:$J$3005=$G2693)*(Ventes_Encaissements!$C$6:$C$3005&gt;=$C2693-3)*(Ventes_Encaissements!$C$6:$C$3005&lt;=$C2693+3)),1)))</f>
        <v/>
      </c>
      <c r="K2693" s="6" t="n"/>
    </row>
    <row r="2694">
      <c r="A2694" s="6" t="n"/>
      <c r="B2694" s="6" t="n"/>
      <c r="C2694" s="19" t="n"/>
      <c r="D2694" s="19" t="n"/>
      <c r="E2694" s="6" t="n"/>
      <c r="F2694" s="20" t="n"/>
      <c r="G2694" s="9">
        <f>IF($F2694="","",IF($F2694&gt;0,ROUND($F2694,2),""))</f>
        <v/>
      </c>
      <c r="H2694" s="12">
        <f>IF(OR($B2694="",$C2694="",$G2694=""),"",COUNTIFS(Ventes_Encaissements!$E$6:$E$3005,$B2694,Ventes_Encaissements!$J$6:$J$3005,$G2694,Ventes_Encaissements!$C$6:$C$3005,"&gt;="&amp;($C2694-3),Ventes_Encaissements!$C$6:$C$3005,"&lt;="&amp;($C2694+3)))</f>
        <v/>
      </c>
      <c r="I2694" s="12">
        <f>IF($H2694="","",IF($H2694=0,"Non trouvé",IF($H2694=1,"Match","À vérifier")))</f>
        <v/>
      </c>
      <c r="J2694" s="21">
        <f>IF($I2694&lt;&gt;"Match","",INDEX(Ventes_Encaissements!$B$6:$B$3005,_xludf.AGGREGATE(15,6,(ROW(Ventes_Encaissements!$B$6:$B$3005)-ROW(Ventes_Encaissements!$B$6)+1)/((Ventes_Encaissements!$E$6:$E$3005=$B2694)*(Ventes_Encaissements!$J$6:$J$3005=$G2694)*(Ventes_Encaissements!$C$6:$C$3005&gt;=$C2694-3)*(Ventes_Encaissements!$C$6:$C$3005&lt;=$C2694+3)),1)))</f>
        <v/>
      </c>
      <c r="K2694" s="6" t="n"/>
    </row>
    <row r="2695">
      <c r="A2695" s="6" t="n"/>
      <c r="B2695" s="6" t="n"/>
      <c r="C2695" s="19" t="n"/>
      <c r="D2695" s="19" t="n"/>
      <c r="E2695" s="6" t="n"/>
      <c r="F2695" s="20" t="n"/>
      <c r="G2695" s="9">
        <f>IF($F2695="","",IF($F2695&gt;0,ROUND($F2695,2),""))</f>
        <v/>
      </c>
      <c r="H2695" s="12">
        <f>IF(OR($B2695="",$C2695="",$G2695=""),"",COUNTIFS(Ventes_Encaissements!$E$6:$E$3005,$B2695,Ventes_Encaissements!$J$6:$J$3005,$G2695,Ventes_Encaissements!$C$6:$C$3005,"&gt;="&amp;($C2695-3),Ventes_Encaissements!$C$6:$C$3005,"&lt;="&amp;($C2695+3)))</f>
        <v/>
      </c>
      <c r="I2695" s="12">
        <f>IF($H2695="","",IF($H2695=0,"Non trouvé",IF($H2695=1,"Match","À vérifier")))</f>
        <v/>
      </c>
      <c r="J2695" s="21">
        <f>IF($I2695&lt;&gt;"Match","",INDEX(Ventes_Encaissements!$B$6:$B$3005,_xludf.AGGREGATE(15,6,(ROW(Ventes_Encaissements!$B$6:$B$3005)-ROW(Ventes_Encaissements!$B$6)+1)/((Ventes_Encaissements!$E$6:$E$3005=$B2695)*(Ventes_Encaissements!$J$6:$J$3005=$G2695)*(Ventes_Encaissements!$C$6:$C$3005&gt;=$C2695-3)*(Ventes_Encaissements!$C$6:$C$3005&lt;=$C2695+3)),1)))</f>
        <v/>
      </c>
      <c r="K2695" s="6" t="n"/>
    </row>
    <row r="2696">
      <c r="A2696" s="6" t="n"/>
      <c r="B2696" s="6" t="n"/>
      <c r="C2696" s="19" t="n"/>
      <c r="D2696" s="19" t="n"/>
      <c r="E2696" s="6" t="n"/>
      <c r="F2696" s="20" t="n"/>
      <c r="G2696" s="9">
        <f>IF($F2696="","",IF($F2696&gt;0,ROUND($F2696,2),""))</f>
        <v/>
      </c>
      <c r="H2696" s="12">
        <f>IF(OR($B2696="",$C2696="",$G2696=""),"",COUNTIFS(Ventes_Encaissements!$E$6:$E$3005,$B2696,Ventes_Encaissements!$J$6:$J$3005,$G2696,Ventes_Encaissements!$C$6:$C$3005,"&gt;="&amp;($C2696-3),Ventes_Encaissements!$C$6:$C$3005,"&lt;="&amp;($C2696+3)))</f>
        <v/>
      </c>
      <c r="I2696" s="12">
        <f>IF($H2696="","",IF($H2696=0,"Non trouvé",IF($H2696=1,"Match","À vérifier")))</f>
        <v/>
      </c>
      <c r="J2696" s="21">
        <f>IF($I2696&lt;&gt;"Match","",INDEX(Ventes_Encaissements!$B$6:$B$3005,_xludf.AGGREGATE(15,6,(ROW(Ventes_Encaissements!$B$6:$B$3005)-ROW(Ventes_Encaissements!$B$6)+1)/((Ventes_Encaissements!$E$6:$E$3005=$B2696)*(Ventes_Encaissements!$J$6:$J$3005=$G2696)*(Ventes_Encaissements!$C$6:$C$3005&gt;=$C2696-3)*(Ventes_Encaissements!$C$6:$C$3005&lt;=$C2696+3)),1)))</f>
        <v/>
      </c>
      <c r="K2696" s="6" t="n"/>
    </row>
    <row r="2697">
      <c r="A2697" s="6" t="n"/>
      <c r="B2697" s="6" t="n"/>
      <c r="C2697" s="19" t="n"/>
      <c r="D2697" s="19" t="n"/>
      <c r="E2697" s="6" t="n"/>
      <c r="F2697" s="20" t="n"/>
      <c r="G2697" s="9">
        <f>IF($F2697="","",IF($F2697&gt;0,ROUND($F2697,2),""))</f>
        <v/>
      </c>
      <c r="H2697" s="12">
        <f>IF(OR($B2697="",$C2697="",$G2697=""),"",COUNTIFS(Ventes_Encaissements!$E$6:$E$3005,$B2697,Ventes_Encaissements!$J$6:$J$3005,$G2697,Ventes_Encaissements!$C$6:$C$3005,"&gt;="&amp;($C2697-3),Ventes_Encaissements!$C$6:$C$3005,"&lt;="&amp;($C2697+3)))</f>
        <v/>
      </c>
      <c r="I2697" s="12">
        <f>IF($H2697="","",IF($H2697=0,"Non trouvé",IF($H2697=1,"Match","À vérifier")))</f>
        <v/>
      </c>
      <c r="J2697" s="21">
        <f>IF($I2697&lt;&gt;"Match","",INDEX(Ventes_Encaissements!$B$6:$B$3005,_xludf.AGGREGATE(15,6,(ROW(Ventes_Encaissements!$B$6:$B$3005)-ROW(Ventes_Encaissements!$B$6)+1)/((Ventes_Encaissements!$E$6:$E$3005=$B2697)*(Ventes_Encaissements!$J$6:$J$3005=$G2697)*(Ventes_Encaissements!$C$6:$C$3005&gt;=$C2697-3)*(Ventes_Encaissements!$C$6:$C$3005&lt;=$C2697+3)),1)))</f>
        <v/>
      </c>
      <c r="K2697" s="6" t="n"/>
    </row>
    <row r="2698">
      <c r="A2698" s="6" t="n"/>
      <c r="B2698" s="6" t="n"/>
      <c r="C2698" s="19" t="n"/>
      <c r="D2698" s="19" t="n"/>
      <c r="E2698" s="6" t="n"/>
      <c r="F2698" s="20" t="n"/>
      <c r="G2698" s="9">
        <f>IF($F2698="","",IF($F2698&gt;0,ROUND($F2698,2),""))</f>
        <v/>
      </c>
      <c r="H2698" s="12">
        <f>IF(OR($B2698="",$C2698="",$G2698=""),"",COUNTIFS(Ventes_Encaissements!$E$6:$E$3005,$B2698,Ventes_Encaissements!$J$6:$J$3005,$G2698,Ventes_Encaissements!$C$6:$C$3005,"&gt;="&amp;($C2698-3),Ventes_Encaissements!$C$6:$C$3005,"&lt;="&amp;($C2698+3)))</f>
        <v/>
      </c>
      <c r="I2698" s="12">
        <f>IF($H2698="","",IF($H2698=0,"Non trouvé",IF($H2698=1,"Match","À vérifier")))</f>
        <v/>
      </c>
      <c r="J2698" s="21">
        <f>IF($I2698&lt;&gt;"Match","",INDEX(Ventes_Encaissements!$B$6:$B$3005,_xludf.AGGREGATE(15,6,(ROW(Ventes_Encaissements!$B$6:$B$3005)-ROW(Ventes_Encaissements!$B$6)+1)/((Ventes_Encaissements!$E$6:$E$3005=$B2698)*(Ventes_Encaissements!$J$6:$J$3005=$G2698)*(Ventes_Encaissements!$C$6:$C$3005&gt;=$C2698-3)*(Ventes_Encaissements!$C$6:$C$3005&lt;=$C2698+3)),1)))</f>
        <v/>
      </c>
      <c r="K2698" s="6" t="n"/>
    </row>
    <row r="2699">
      <c r="A2699" s="6" t="n"/>
      <c r="B2699" s="6" t="n"/>
      <c r="C2699" s="19" t="n"/>
      <c r="D2699" s="19" t="n"/>
      <c r="E2699" s="6" t="n"/>
      <c r="F2699" s="20" t="n"/>
      <c r="G2699" s="9">
        <f>IF($F2699="","",IF($F2699&gt;0,ROUND($F2699,2),""))</f>
        <v/>
      </c>
      <c r="H2699" s="12">
        <f>IF(OR($B2699="",$C2699="",$G2699=""),"",COUNTIFS(Ventes_Encaissements!$E$6:$E$3005,$B2699,Ventes_Encaissements!$J$6:$J$3005,$G2699,Ventes_Encaissements!$C$6:$C$3005,"&gt;="&amp;($C2699-3),Ventes_Encaissements!$C$6:$C$3005,"&lt;="&amp;($C2699+3)))</f>
        <v/>
      </c>
      <c r="I2699" s="12">
        <f>IF($H2699="","",IF($H2699=0,"Non trouvé",IF($H2699=1,"Match","À vérifier")))</f>
        <v/>
      </c>
      <c r="J2699" s="21">
        <f>IF($I2699&lt;&gt;"Match","",INDEX(Ventes_Encaissements!$B$6:$B$3005,_xludf.AGGREGATE(15,6,(ROW(Ventes_Encaissements!$B$6:$B$3005)-ROW(Ventes_Encaissements!$B$6)+1)/((Ventes_Encaissements!$E$6:$E$3005=$B2699)*(Ventes_Encaissements!$J$6:$J$3005=$G2699)*(Ventes_Encaissements!$C$6:$C$3005&gt;=$C2699-3)*(Ventes_Encaissements!$C$6:$C$3005&lt;=$C2699+3)),1)))</f>
        <v/>
      </c>
      <c r="K2699" s="6" t="n"/>
    </row>
    <row r="2700">
      <c r="A2700" s="6" t="n"/>
      <c r="B2700" s="6" t="n"/>
      <c r="C2700" s="19" t="n"/>
      <c r="D2700" s="19" t="n"/>
      <c r="E2700" s="6" t="n"/>
      <c r="F2700" s="20" t="n"/>
      <c r="G2700" s="9">
        <f>IF($F2700="","",IF($F2700&gt;0,ROUND($F2700,2),""))</f>
        <v/>
      </c>
      <c r="H2700" s="12">
        <f>IF(OR($B2700="",$C2700="",$G2700=""),"",COUNTIFS(Ventes_Encaissements!$E$6:$E$3005,$B2700,Ventes_Encaissements!$J$6:$J$3005,$G2700,Ventes_Encaissements!$C$6:$C$3005,"&gt;="&amp;($C2700-3),Ventes_Encaissements!$C$6:$C$3005,"&lt;="&amp;($C2700+3)))</f>
        <v/>
      </c>
      <c r="I2700" s="12">
        <f>IF($H2700="","",IF($H2700=0,"Non trouvé",IF($H2700=1,"Match","À vérifier")))</f>
        <v/>
      </c>
      <c r="J2700" s="21">
        <f>IF($I2700&lt;&gt;"Match","",INDEX(Ventes_Encaissements!$B$6:$B$3005,_xludf.AGGREGATE(15,6,(ROW(Ventes_Encaissements!$B$6:$B$3005)-ROW(Ventes_Encaissements!$B$6)+1)/((Ventes_Encaissements!$E$6:$E$3005=$B2700)*(Ventes_Encaissements!$J$6:$J$3005=$G2700)*(Ventes_Encaissements!$C$6:$C$3005&gt;=$C2700-3)*(Ventes_Encaissements!$C$6:$C$3005&lt;=$C2700+3)),1)))</f>
        <v/>
      </c>
      <c r="K2700" s="6" t="n"/>
    </row>
    <row r="2701">
      <c r="A2701" s="6" t="n"/>
      <c r="B2701" s="6" t="n"/>
      <c r="C2701" s="19" t="n"/>
      <c r="D2701" s="19" t="n"/>
      <c r="E2701" s="6" t="n"/>
      <c r="F2701" s="20" t="n"/>
      <c r="G2701" s="9">
        <f>IF($F2701="","",IF($F2701&gt;0,ROUND($F2701,2),""))</f>
        <v/>
      </c>
      <c r="H2701" s="12">
        <f>IF(OR($B2701="",$C2701="",$G2701=""),"",COUNTIFS(Ventes_Encaissements!$E$6:$E$3005,$B2701,Ventes_Encaissements!$J$6:$J$3005,$G2701,Ventes_Encaissements!$C$6:$C$3005,"&gt;="&amp;($C2701-3),Ventes_Encaissements!$C$6:$C$3005,"&lt;="&amp;($C2701+3)))</f>
        <v/>
      </c>
      <c r="I2701" s="12">
        <f>IF($H2701="","",IF($H2701=0,"Non trouvé",IF($H2701=1,"Match","À vérifier")))</f>
        <v/>
      </c>
      <c r="J2701" s="21">
        <f>IF($I2701&lt;&gt;"Match","",INDEX(Ventes_Encaissements!$B$6:$B$3005,_xludf.AGGREGATE(15,6,(ROW(Ventes_Encaissements!$B$6:$B$3005)-ROW(Ventes_Encaissements!$B$6)+1)/((Ventes_Encaissements!$E$6:$E$3005=$B2701)*(Ventes_Encaissements!$J$6:$J$3005=$G2701)*(Ventes_Encaissements!$C$6:$C$3005&gt;=$C2701-3)*(Ventes_Encaissements!$C$6:$C$3005&lt;=$C2701+3)),1)))</f>
        <v/>
      </c>
      <c r="K2701" s="6" t="n"/>
    </row>
    <row r="2702">
      <c r="A2702" s="6" t="n"/>
      <c r="B2702" s="6" t="n"/>
      <c r="C2702" s="19" t="n"/>
      <c r="D2702" s="19" t="n"/>
      <c r="E2702" s="6" t="n"/>
      <c r="F2702" s="20" t="n"/>
      <c r="G2702" s="9">
        <f>IF($F2702="","",IF($F2702&gt;0,ROUND($F2702,2),""))</f>
        <v/>
      </c>
      <c r="H2702" s="12">
        <f>IF(OR($B2702="",$C2702="",$G2702=""),"",COUNTIFS(Ventes_Encaissements!$E$6:$E$3005,$B2702,Ventes_Encaissements!$J$6:$J$3005,$G2702,Ventes_Encaissements!$C$6:$C$3005,"&gt;="&amp;($C2702-3),Ventes_Encaissements!$C$6:$C$3005,"&lt;="&amp;($C2702+3)))</f>
        <v/>
      </c>
      <c r="I2702" s="12">
        <f>IF($H2702="","",IF($H2702=0,"Non trouvé",IF($H2702=1,"Match","À vérifier")))</f>
        <v/>
      </c>
      <c r="J2702" s="21">
        <f>IF($I2702&lt;&gt;"Match","",INDEX(Ventes_Encaissements!$B$6:$B$3005,_xludf.AGGREGATE(15,6,(ROW(Ventes_Encaissements!$B$6:$B$3005)-ROW(Ventes_Encaissements!$B$6)+1)/((Ventes_Encaissements!$E$6:$E$3005=$B2702)*(Ventes_Encaissements!$J$6:$J$3005=$G2702)*(Ventes_Encaissements!$C$6:$C$3005&gt;=$C2702-3)*(Ventes_Encaissements!$C$6:$C$3005&lt;=$C2702+3)),1)))</f>
        <v/>
      </c>
      <c r="K2702" s="6" t="n"/>
    </row>
    <row r="2703">
      <c r="A2703" s="6" t="n"/>
      <c r="B2703" s="6" t="n"/>
      <c r="C2703" s="19" t="n"/>
      <c r="D2703" s="19" t="n"/>
      <c r="E2703" s="6" t="n"/>
      <c r="F2703" s="20" t="n"/>
      <c r="G2703" s="9">
        <f>IF($F2703="","",IF($F2703&gt;0,ROUND($F2703,2),""))</f>
        <v/>
      </c>
      <c r="H2703" s="12">
        <f>IF(OR($B2703="",$C2703="",$G2703=""),"",COUNTIFS(Ventes_Encaissements!$E$6:$E$3005,$B2703,Ventes_Encaissements!$J$6:$J$3005,$G2703,Ventes_Encaissements!$C$6:$C$3005,"&gt;="&amp;($C2703-3),Ventes_Encaissements!$C$6:$C$3005,"&lt;="&amp;($C2703+3)))</f>
        <v/>
      </c>
      <c r="I2703" s="12">
        <f>IF($H2703="","",IF($H2703=0,"Non trouvé",IF($H2703=1,"Match","À vérifier")))</f>
        <v/>
      </c>
      <c r="J2703" s="21">
        <f>IF($I2703&lt;&gt;"Match","",INDEX(Ventes_Encaissements!$B$6:$B$3005,_xludf.AGGREGATE(15,6,(ROW(Ventes_Encaissements!$B$6:$B$3005)-ROW(Ventes_Encaissements!$B$6)+1)/((Ventes_Encaissements!$E$6:$E$3005=$B2703)*(Ventes_Encaissements!$J$6:$J$3005=$G2703)*(Ventes_Encaissements!$C$6:$C$3005&gt;=$C2703-3)*(Ventes_Encaissements!$C$6:$C$3005&lt;=$C2703+3)),1)))</f>
        <v/>
      </c>
      <c r="K2703" s="6" t="n"/>
    </row>
    <row r="2704">
      <c r="A2704" s="6" t="n"/>
      <c r="B2704" s="6" t="n"/>
      <c r="C2704" s="19" t="n"/>
      <c r="D2704" s="19" t="n"/>
      <c r="E2704" s="6" t="n"/>
      <c r="F2704" s="20" t="n"/>
      <c r="G2704" s="9">
        <f>IF($F2704="","",IF($F2704&gt;0,ROUND($F2704,2),""))</f>
        <v/>
      </c>
      <c r="H2704" s="12">
        <f>IF(OR($B2704="",$C2704="",$G2704=""),"",COUNTIFS(Ventes_Encaissements!$E$6:$E$3005,$B2704,Ventes_Encaissements!$J$6:$J$3005,$G2704,Ventes_Encaissements!$C$6:$C$3005,"&gt;="&amp;($C2704-3),Ventes_Encaissements!$C$6:$C$3005,"&lt;="&amp;($C2704+3)))</f>
        <v/>
      </c>
      <c r="I2704" s="12">
        <f>IF($H2704="","",IF($H2704=0,"Non trouvé",IF($H2704=1,"Match","À vérifier")))</f>
        <v/>
      </c>
      <c r="J2704" s="21">
        <f>IF($I2704&lt;&gt;"Match","",INDEX(Ventes_Encaissements!$B$6:$B$3005,_xludf.AGGREGATE(15,6,(ROW(Ventes_Encaissements!$B$6:$B$3005)-ROW(Ventes_Encaissements!$B$6)+1)/((Ventes_Encaissements!$E$6:$E$3005=$B2704)*(Ventes_Encaissements!$J$6:$J$3005=$G2704)*(Ventes_Encaissements!$C$6:$C$3005&gt;=$C2704-3)*(Ventes_Encaissements!$C$6:$C$3005&lt;=$C2704+3)),1)))</f>
        <v/>
      </c>
      <c r="K2704" s="6" t="n"/>
    </row>
    <row r="2705">
      <c r="A2705" s="6" t="n"/>
      <c r="B2705" s="6" t="n"/>
      <c r="C2705" s="19" t="n"/>
      <c r="D2705" s="19" t="n"/>
      <c r="E2705" s="6" t="n"/>
      <c r="F2705" s="20" t="n"/>
      <c r="G2705" s="9">
        <f>IF($F2705="","",IF($F2705&gt;0,ROUND($F2705,2),""))</f>
        <v/>
      </c>
      <c r="H2705" s="12">
        <f>IF(OR($B2705="",$C2705="",$G2705=""),"",COUNTIFS(Ventes_Encaissements!$E$6:$E$3005,$B2705,Ventes_Encaissements!$J$6:$J$3005,$G2705,Ventes_Encaissements!$C$6:$C$3005,"&gt;="&amp;($C2705-3),Ventes_Encaissements!$C$6:$C$3005,"&lt;="&amp;($C2705+3)))</f>
        <v/>
      </c>
      <c r="I2705" s="12">
        <f>IF($H2705="","",IF($H2705=0,"Non trouvé",IF($H2705=1,"Match","À vérifier")))</f>
        <v/>
      </c>
      <c r="J2705" s="21">
        <f>IF($I2705&lt;&gt;"Match","",INDEX(Ventes_Encaissements!$B$6:$B$3005,_xludf.AGGREGATE(15,6,(ROW(Ventes_Encaissements!$B$6:$B$3005)-ROW(Ventes_Encaissements!$B$6)+1)/((Ventes_Encaissements!$E$6:$E$3005=$B2705)*(Ventes_Encaissements!$J$6:$J$3005=$G2705)*(Ventes_Encaissements!$C$6:$C$3005&gt;=$C2705-3)*(Ventes_Encaissements!$C$6:$C$3005&lt;=$C2705+3)),1)))</f>
        <v/>
      </c>
      <c r="K2705" s="6" t="n"/>
    </row>
    <row r="2706">
      <c r="A2706" s="6" t="n"/>
      <c r="B2706" s="6" t="n"/>
      <c r="C2706" s="19" t="n"/>
      <c r="D2706" s="19" t="n"/>
      <c r="E2706" s="6" t="n"/>
      <c r="F2706" s="20" t="n"/>
      <c r="G2706" s="9">
        <f>IF($F2706="","",IF($F2706&gt;0,ROUND($F2706,2),""))</f>
        <v/>
      </c>
      <c r="H2706" s="12">
        <f>IF(OR($B2706="",$C2706="",$G2706=""),"",COUNTIFS(Ventes_Encaissements!$E$6:$E$3005,$B2706,Ventes_Encaissements!$J$6:$J$3005,$G2706,Ventes_Encaissements!$C$6:$C$3005,"&gt;="&amp;($C2706-3),Ventes_Encaissements!$C$6:$C$3005,"&lt;="&amp;($C2706+3)))</f>
        <v/>
      </c>
      <c r="I2706" s="12">
        <f>IF($H2706="","",IF($H2706=0,"Non trouvé",IF($H2706=1,"Match","À vérifier")))</f>
        <v/>
      </c>
      <c r="J2706" s="21">
        <f>IF($I2706&lt;&gt;"Match","",INDEX(Ventes_Encaissements!$B$6:$B$3005,_xludf.AGGREGATE(15,6,(ROW(Ventes_Encaissements!$B$6:$B$3005)-ROW(Ventes_Encaissements!$B$6)+1)/((Ventes_Encaissements!$E$6:$E$3005=$B2706)*(Ventes_Encaissements!$J$6:$J$3005=$G2706)*(Ventes_Encaissements!$C$6:$C$3005&gt;=$C2706-3)*(Ventes_Encaissements!$C$6:$C$3005&lt;=$C2706+3)),1)))</f>
        <v/>
      </c>
      <c r="K2706" s="6" t="n"/>
    </row>
    <row r="2707">
      <c r="A2707" s="6" t="n"/>
      <c r="B2707" s="6" t="n"/>
      <c r="C2707" s="19" t="n"/>
      <c r="D2707" s="19" t="n"/>
      <c r="E2707" s="6" t="n"/>
      <c r="F2707" s="20" t="n"/>
      <c r="G2707" s="9">
        <f>IF($F2707="","",IF($F2707&gt;0,ROUND($F2707,2),""))</f>
        <v/>
      </c>
      <c r="H2707" s="12">
        <f>IF(OR($B2707="",$C2707="",$G2707=""),"",COUNTIFS(Ventes_Encaissements!$E$6:$E$3005,$B2707,Ventes_Encaissements!$J$6:$J$3005,$G2707,Ventes_Encaissements!$C$6:$C$3005,"&gt;="&amp;($C2707-3),Ventes_Encaissements!$C$6:$C$3005,"&lt;="&amp;($C2707+3)))</f>
        <v/>
      </c>
      <c r="I2707" s="12">
        <f>IF($H2707="","",IF($H2707=0,"Non trouvé",IF($H2707=1,"Match","À vérifier")))</f>
        <v/>
      </c>
      <c r="J2707" s="21">
        <f>IF($I2707&lt;&gt;"Match","",INDEX(Ventes_Encaissements!$B$6:$B$3005,_xludf.AGGREGATE(15,6,(ROW(Ventes_Encaissements!$B$6:$B$3005)-ROW(Ventes_Encaissements!$B$6)+1)/((Ventes_Encaissements!$E$6:$E$3005=$B2707)*(Ventes_Encaissements!$J$6:$J$3005=$G2707)*(Ventes_Encaissements!$C$6:$C$3005&gt;=$C2707-3)*(Ventes_Encaissements!$C$6:$C$3005&lt;=$C2707+3)),1)))</f>
        <v/>
      </c>
      <c r="K2707" s="6" t="n"/>
    </row>
    <row r="2708">
      <c r="A2708" s="6" t="n"/>
      <c r="B2708" s="6" t="n"/>
      <c r="C2708" s="19" t="n"/>
      <c r="D2708" s="19" t="n"/>
      <c r="E2708" s="6" t="n"/>
      <c r="F2708" s="20" t="n"/>
      <c r="G2708" s="9">
        <f>IF($F2708="","",IF($F2708&gt;0,ROUND($F2708,2),""))</f>
        <v/>
      </c>
      <c r="H2708" s="12">
        <f>IF(OR($B2708="",$C2708="",$G2708=""),"",COUNTIFS(Ventes_Encaissements!$E$6:$E$3005,$B2708,Ventes_Encaissements!$J$6:$J$3005,$G2708,Ventes_Encaissements!$C$6:$C$3005,"&gt;="&amp;($C2708-3),Ventes_Encaissements!$C$6:$C$3005,"&lt;="&amp;($C2708+3)))</f>
        <v/>
      </c>
      <c r="I2708" s="12">
        <f>IF($H2708="","",IF($H2708=0,"Non trouvé",IF($H2708=1,"Match","À vérifier")))</f>
        <v/>
      </c>
      <c r="J2708" s="21">
        <f>IF($I2708&lt;&gt;"Match","",INDEX(Ventes_Encaissements!$B$6:$B$3005,_xludf.AGGREGATE(15,6,(ROW(Ventes_Encaissements!$B$6:$B$3005)-ROW(Ventes_Encaissements!$B$6)+1)/((Ventes_Encaissements!$E$6:$E$3005=$B2708)*(Ventes_Encaissements!$J$6:$J$3005=$G2708)*(Ventes_Encaissements!$C$6:$C$3005&gt;=$C2708-3)*(Ventes_Encaissements!$C$6:$C$3005&lt;=$C2708+3)),1)))</f>
        <v/>
      </c>
      <c r="K2708" s="6" t="n"/>
    </row>
    <row r="2709">
      <c r="A2709" s="6" t="n"/>
      <c r="B2709" s="6" t="n"/>
      <c r="C2709" s="19" t="n"/>
      <c r="D2709" s="19" t="n"/>
      <c r="E2709" s="6" t="n"/>
      <c r="F2709" s="20" t="n"/>
      <c r="G2709" s="9">
        <f>IF($F2709="","",IF($F2709&gt;0,ROUND($F2709,2),""))</f>
        <v/>
      </c>
      <c r="H2709" s="12">
        <f>IF(OR($B2709="",$C2709="",$G2709=""),"",COUNTIFS(Ventes_Encaissements!$E$6:$E$3005,$B2709,Ventes_Encaissements!$J$6:$J$3005,$G2709,Ventes_Encaissements!$C$6:$C$3005,"&gt;="&amp;($C2709-3),Ventes_Encaissements!$C$6:$C$3005,"&lt;="&amp;($C2709+3)))</f>
        <v/>
      </c>
      <c r="I2709" s="12">
        <f>IF($H2709="","",IF($H2709=0,"Non trouvé",IF($H2709=1,"Match","À vérifier")))</f>
        <v/>
      </c>
      <c r="J2709" s="21">
        <f>IF($I2709&lt;&gt;"Match","",INDEX(Ventes_Encaissements!$B$6:$B$3005,_xludf.AGGREGATE(15,6,(ROW(Ventes_Encaissements!$B$6:$B$3005)-ROW(Ventes_Encaissements!$B$6)+1)/((Ventes_Encaissements!$E$6:$E$3005=$B2709)*(Ventes_Encaissements!$J$6:$J$3005=$G2709)*(Ventes_Encaissements!$C$6:$C$3005&gt;=$C2709-3)*(Ventes_Encaissements!$C$6:$C$3005&lt;=$C2709+3)),1)))</f>
        <v/>
      </c>
      <c r="K2709" s="6" t="n"/>
    </row>
    <row r="2710">
      <c r="A2710" s="6" t="n"/>
      <c r="B2710" s="6" t="n"/>
      <c r="C2710" s="19" t="n"/>
      <c r="D2710" s="19" t="n"/>
      <c r="E2710" s="6" t="n"/>
      <c r="F2710" s="20" t="n"/>
      <c r="G2710" s="9">
        <f>IF($F2710="","",IF($F2710&gt;0,ROUND($F2710,2),""))</f>
        <v/>
      </c>
      <c r="H2710" s="12">
        <f>IF(OR($B2710="",$C2710="",$G2710=""),"",COUNTIFS(Ventes_Encaissements!$E$6:$E$3005,$B2710,Ventes_Encaissements!$J$6:$J$3005,$G2710,Ventes_Encaissements!$C$6:$C$3005,"&gt;="&amp;($C2710-3),Ventes_Encaissements!$C$6:$C$3005,"&lt;="&amp;($C2710+3)))</f>
        <v/>
      </c>
      <c r="I2710" s="12">
        <f>IF($H2710="","",IF($H2710=0,"Non trouvé",IF($H2710=1,"Match","À vérifier")))</f>
        <v/>
      </c>
      <c r="J2710" s="21">
        <f>IF($I2710&lt;&gt;"Match","",INDEX(Ventes_Encaissements!$B$6:$B$3005,_xludf.AGGREGATE(15,6,(ROW(Ventes_Encaissements!$B$6:$B$3005)-ROW(Ventes_Encaissements!$B$6)+1)/((Ventes_Encaissements!$E$6:$E$3005=$B2710)*(Ventes_Encaissements!$J$6:$J$3005=$G2710)*(Ventes_Encaissements!$C$6:$C$3005&gt;=$C2710-3)*(Ventes_Encaissements!$C$6:$C$3005&lt;=$C2710+3)),1)))</f>
        <v/>
      </c>
      <c r="K2710" s="6" t="n"/>
    </row>
    <row r="2711">
      <c r="A2711" s="6" t="n"/>
      <c r="B2711" s="6" t="n"/>
      <c r="C2711" s="19" t="n"/>
      <c r="D2711" s="19" t="n"/>
      <c r="E2711" s="6" t="n"/>
      <c r="F2711" s="20" t="n"/>
      <c r="G2711" s="9">
        <f>IF($F2711="","",IF($F2711&gt;0,ROUND($F2711,2),""))</f>
        <v/>
      </c>
      <c r="H2711" s="12">
        <f>IF(OR($B2711="",$C2711="",$G2711=""),"",COUNTIFS(Ventes_Encaissements!$E$6:$E$3005,$B2711,Ventes_Encaissements!$J$6:$J$3005,$G2711,Ventes_Encaissements!$C$6:$C$3005,"&gt;="&amp;($C2711-3),Ventes_Encaissements!$C$6:$C$3005,"&lt;="&amp;($C2711+3)))</f>
        <v/>
      </c>
      <c r="I2711" s="12">
        <f>IF($H2711="","",IF($H2711=0,"Non trouvé",IF($H2711=1,"Match","À vérifier")))</f>
        <v/>
      </c>
      <c r="J2711" s="21">
        <f>IF($I2711&lt;&gt;"Match","",INDEX(Ventes_Encaissements!$B$6:$B$3005,_xludf.AGGREGATE(15,6,(ROW(Ventes_Encaissements!$B$6:$B$3005)-ROW(Ventes_Encaissements!$B$6)+1)/((Ventes_Encaissements!$E$6:$E$3005=$B2711)*(Ventes_Encaissements!$J$6:$J$3005=$G2711)*(Ventes_Encaissements!$C$6:$C$3005&gt;=$C2711-3)*(Ventes_Encaissements!$C$6:$C$3005&lt;=$C2711+3)),1)))</f>
        <v/>
      </c>
      <c r="K2711" s="6" t="n"/>
    </row>
    <row r="2712">
      <c r="A2712" s="6" t="n"/>
      <c r="B2712" s="6" t="n"/>
      <c r="C2712" s="19" t="n"/>
      <c r="D2712" s="19" t="n"/>
      <c r="E2712" s="6" t="n"/>
      <c r="F2712" s="20" t="n"/>
      <c r="G2712" s="9">
        <f>IF($F2712="","",IF($F2712&gt;0,ROUND($F2712,2),""))</f>
        <v/>
      </c>
      <c r="H2712" s="12">
        <f>IF(OR($B2712="",$C2712="",$G2712=""),"",COUNTIFS(Ventes_Encaissements!$E$6:$E$3005,$B2712,Ventes_Encaissements!$J$6:$J$3005,$G2712,Ventes_Encaissements!$C$6:$C$3005,"&gt;="&amp;($C2712-3),Ventes_Encaissements!$C$6:$C$3005,"&lt;="&amp;($C2712+3)))</f>
        <v/>
      </c>
      <c r="I2712" s="12">
        <f>IF($H2712="","",IF($H2712=0,"Non trouvé",IF($H2712=1,"Match","À vérifier")))</f>
        <v/>
      </c>
      <c r="J2712" s="21">
        <f>IF($I2712&lt;&gt;"Match","",INDEX(Ventes_Encaissements!$B$6:$B$3005,_xludf.AGGREGATE(15,6,(ROW(Ventes_Encaissements!$B$6:$B$3005)-ROW(Ventes_Encaissements!$B$6)+1)/((Ventes_Encaissements!$E$6:$E$3005=$B2712)*(Ventes_Encaissements!$J$6:$J$3005=$G2712)*(Ventes_Encaissements!$C$6:$C$3005&gt;=$C2712-3)*(Ventes_Encaissements!$C$6:$C$3005&lt;=$C2712+3)),1)))</f>
        <v/>
      </c>
      <c r="K2712" s="6" t="n"/>
    </row>
    <row r="2713">
      <c r="A2713" s="6" t="n"/>
      <c r="B2713" s="6" t="n"/>
      <c r="C2713" s="19" t="n"/>
      <c r="D2713" s="19" t="n"/>
      <c r="E2713" s="6" t="n"/>
      <c r="F2713" s="20" t="n"/>
      <c r="G2713" s="9">
        <f>IF($F2713="","",IF($F2713&gt;0,ROUND($F2713,2),""))</f>
        <v/>
      </c>
      <c r="H2713" s="12">
        <f>IF(OR($B2713="",$C2713="",$G2713=""),"",COUNTIFS(Ventes_Encaissements!$E$6:$E$3005,$B2713,Ventes_Encaissements!$J$6:$J$3005,$G2713,Ventes_Encaissements!$C$6:$C$3005,"&gt;="&amp;($C2713-3),Ventes_Encaissements!$C$6:$C$3005,"&lt;="&amp;($C2713+3)))</f>
        <v/>
      </c>
      <c r="I2713" s="12">
        <f>IF($H2713="","",IF($H2713=0,"Non trouvé",IF($H2713=1,"Match","À vérifier")))</f>
        <v/>
      </c>
      <c r="J2713" s="21">
        <f>IF($I2713&lt;&gt;"Match","",INDEX(Ventes_Encaissements!$B$6:$B$3005,_xludf.AGGREGATE(15,6,(ROW(Ventes_Encaissements!$B$6:$B$3005)-ROW(Ventes_Encaissements!$B$6)+1)/((Ventes_Encaissements!$E$6:$E$3005=$B2713)*(Ventes_Encaissements!$J$6:$J$3005=$G2713)*(Ventes_Encaissements!$C$6:$C$3005&gt;=$C2713-3)*(Ventes_Encaissements!$C$6:$C$3005&lt;=$C2713+3)),1)))</f>
        <v/>
      </c>
      <c r="K2713" s="6" t="n"/>
    </row>
    <row r="2714">
      <c r="A2714" s="6" t="n"/>
      <c r="B2714" s="6" t="n"/>
      <c r="C2714" s="19" t="n"/>
      <c r="D2714" s="19" t="n"/>
      <c r="E2714" s="6" t="n"/>
      <c r="F2714" s="20" t="n"/>
      <c r="G2714" s="9">
        <f>IF($F2714="","",IF($F2714&gt;0,ROUND($F2714,2),""))</f>
        <v/>
      </c>
      <c r="H2714" s="12">
        <f>IF(OR($B2714="",$C2714="",$G2714=""),"",COUNTIFS(Ventes_Encaissements!$E$6:$E$3005,$B2714,Ventes_Encaissements!$J$6:$J$3005,$G2714,Ventes_Encaissements!$C$6:$C$3005,"&gt;="&amp;($C2714-3),Ventes_Encaissements!$C$6:$C$3005,"&lt;="&amp;($C2714+3)))</f>
        <v/>
      </c>
      <c r="I2714" s="12">
        <f>IF($H2714="","",IF($H2714=0,"Non trouvé",IF($H2714=1,"Match","À vérifier")))</f>
        <v/>
      </c>
      <c r="J2714" s="21">
        <f>IF($I2714&lt;&gt;"Match","",INDEX(Ventes_Encaissements!$B$6:$B$3005,_xludf.AGGREGATE(15,6,(ROW(Ventes_Encaissements!$B$6:$B$3005)-ROW(Ventes_Encaissements!$B$6)+1)/((Ventes_Encaissements!$E$6:$E$3005=$B2714)*(Ventes_Encaissements!$J$6:$J$3005=$G2714)*(Ventes_Encaissements!$C$6:$C$3005&gt;=$C2714-3)*(Ventes_Encaissements!$C$6:$C$3005&lt;=$C2714+3)),1)))</f>
        <v/>
      </c>
      <c r="K2714" s="6" t="n"/>
    </row>
    <row r="2715">
      <c r="A2715" s="6" t="n"/>
      <c r="B2715" s="6" t="n"/>
      <c r="C2715" s="19" t="n"/>
      <c r="D2715" s="19" t="n"/>
      <c r="E2715" s="6" t="n"/>
      <c r="F2715" s="20" t="n"/>
      <c r="G2715" s="9">
        <f>IF($F2715="","",IF($F2715&gt;0,ROUND($F2715,2),""))</f>
        <v/>
      </c>
      <c r="H2715" s="12">
        <f>IF(OR($B2715="",$C2715="",$G2715=""),"",COUNTIFS(Ventes_Encaissements!$E$6:$E$3005,$B2715,Ventes_Encaissements!$J$6:$J$3005,$G2715,Ventes_Encaissements!$C$6:$C$3005,"&gt;="&amp;($C2715-3),Ventes_Encaissements!$C$6:$C$3005,"&lt;="&amp;($C2715+3)))</f>
        <v/>
      </c>
      <c r="I2715" s="12">
        <f>IF($H2715="","",IF($H2715=0,"Non trouvé",IF($H2715=1,"Match","À vérifier")))</f>
        <v/>
      </c>
      <c r="J2715" s="21">
        <f>IF($I2715&lt;&gt;"Match","",INDEX(Ventes_Encaissements!$B$6:$B$3005,_xludf.AGGREGATE(15,6,(ROW(Ventes_Encaissements!$B$6:$B$3005)-ROW(Ventes_Encaissements!$B$6)+1)/((Ventes_Encaissements!$E$6:$E$3005=$B2715)*(Ventes_Encaissements!$J$6:$J$3005=$G2715)*(Ventes_Encaissements!$C$6:$C$3005&gt;=$C2715-3)*(Ventes_Encaissements!$C$6:$C$3005&lt;=$C2715+3)),1)))</f>
        <v/>
      </c>
      <c r="K2715" s="6" t="n"/>
    </row>
    <row r="2716">
      <c r="A2716" s="6" t="n"/>
      <c r="B2716" s="6" t="n"/>
      <c r="C2716" s="19" t="n"/>
      <c r="D2716" s="19" t="n"/>
      <c r="E2716" s="6" t="n"/>
      <c r="F2716" s="20" t="n"/>
      <c r="G2716" s="9">
        <f>IF($F2716="","",IF($F2716&gt;0,ROUND($F2716,2),""))</f>
        <v/>
      </c>
      <c r="H2716" s="12">
        <f>IF(OR($B2716="",$C2716="",$G2716=""),"",COUNTIFS(Ventes_Encaissements!$E$6:$E$3005,$B2716,Ventes_Encaissements!$J$6:$J$3005,$G2716,Ventes_Encaissements!$C$6:$C$3005,"&gt;="&amp;($C2716-3),Ventes_Encaissements!$C$6:$C$3005,"&lt;="&amp;($C2716+3)))</f>
        <v/>
      </c>
      <c r="I2716" s="12">
        <f>IF($H2716="","",IF($H2716=0,"Non trouvé",IF($H2716=1,"Match","À vérifier")))</f>
        <v/>
      </c>
      <c r="J2716" s="21">
        <f>IF($I2716&lt;&gt;"Match","",INDEX(Ventes_Encaissements!$B$6:$B$3005,_xludf.AGGREGATE(15,6,(ROW(Ventes_Encaissements!$B$6:$B$3005)-ROW(Ventes_Encaissements!$B$6)+1)/((Ventes_Encaissements!$E$6:$E$3005=$B2716)*(Ventes_Encaissements!$J$6:$J$3005=$G2716)*(Ventes_Encaissements!$C$6:$C$3005&gt;=$C2716-3)*(Ventes_Encaissements!$C$6:$C$3005&lt;=$C2716+3)),1)))</f>
        <v/>
      </c>
      <c r="K2716" s="6" t="n"/>
    </row>
    <row r="2717">
      <c r="A2717" s="6" t="n"/>
      <c r="B2717" s="6" t="n"/>
      <c r="C2717" s="19" t="n"/>
      <c r="D2717" s="19" t="n"/>
      <c r="E2717" s="6" t="n"/>
      <c r="F2717" s="20" t="n"/>
      <c r="G2717" s="9">
        <f>IF($F2717="","",IF($F2717&gt;0,ROUND($F2717,2),""))</f>
        <v/>
      </c>
      <c r="H2717" s="12">
        <f>IF(OR($B2717="",$C2717="",$G2717=""),"",COUNTIFS(Ventes_Encaissements!$E$6:$E$3005,$B2717,Ventes_Encaissements!$J$6:$J$3005,$G2717,Ventes_Encaissements!$C$6:$C$3005,"&gt;="&amp;($C2717-3),Ventes_Encaissements!$C$6:$C$3005,"&lt;="&amp;($C2717+3)))</f>
        <v/>
      </c>
      <c r="I2717" s="12">
        <f>IF($H2717="","",IF($H2717=0,"Non trouvé",IF($H2717=1,"Match","À vérifier")))</f>
        <v/>
      </c>
      <c r="J2717" s="21">
        <f>IF($I2717&lt;&gt;"Match","",INDEX(Ventes_Encaissements!$B$6:$B$3005,_xludf.AGGREGATE(15,6,(ROW(Ventes_Encaissements!$B$6:$B$3005)-ROW(Ventes_Encaissements!$B$6)+1)/((Ventes_Encaissements!$E$6:$E$3005=$B2717)*(Ventes_Encaissements!$J$6:$J$3005=$G2717)*(Ventes_Encaissements!$C$6:$C$3005&gt;=$C2717-3)*(Ventes_Encaissements!$C$6:$C$3005&lt;=$C2717+3)),1)))</f>
        <v/>
      </c>
      <c r="K2717" s="6" t="n"/>
    </row>
    <row r="2718">
      <c r="A2718" s="6" t="n"/>
      <c r="B2718" s="6" t="n"/>
      <c r="C2718" s="19" t="n"/>
      <c r="D2718" s="19" t="n"/>
      <c r="E2718" s="6" t="n"/>
      <c r="F2718" s="20" t="n"/>
      <c r="G2718" s="9">
        <f>IF($F2718="","",IF($F2718&gt;0,ROUND($F2718,2),""))</f>
        <v/>
      </c>
      <c r="H2718" s="12">
        <f>IF(OR($B2718="",$C2718="",$G2718=""),"",COUNTIFS(Ventes_Encaissements!$E$6:$E$3005,$B2718,Ventes_Encaissements!$J$6:$J$3005,$G2718,Ventes_Encaissements!$C$6:$C$3005,"&gt;="&amp;($C2718-3),Ventes_Encaissements!$C$6:$C$3005,"&lt;="&amp;($C2718+3)))</f>
        <v/>
      </c>
      <c r="I2718" s="12">
        <f>IF($H2718="","",IF($H2718=0,"Non trouvé",IF($H2718=1,"Match","À vérifier")))</f>
        <v/>
      </c>
      <c r="J2718" s="21">
        <f>IF($I2718&lt;&gt;"Match","",INDEX(Ventes_Encaissements!$B$6:$B$3005,_xludf.AGGREGATE(15,6,(ROW(Ventes_Encaissements!$B$6:$B$3005)-ROW(Ventes_Encaissements!$B$6)+1)/((Ventes_Encaissements!$E$6:$E$3005=$B2718)*(Ventes_Encaissements!$J$6:$J$3005=$G2718)*(Ventes_Encaissements!$C$6:$C$3005&gt;=$C2718-3)*(Ventes_Encaissements!$C$6:$C$3005&lt;=$C2718+3)),1)))</f>
        <v/>
      </c>
      <c r="K2718" s="6" t="n"/>
    </row>
    <row r="2719">
      <c r="A2719" s="6" t="n"/>
      <c r="B2719" s="6" t="n"/>
      <c r="C2719" s="19" t="n"/>
      <c r="D2719" s="19" t="n"/>
      <c r="E2719" s="6" t="n"/>
      <c r="F2719" s="20" t="n"/>
      <c r="G2719" s="9">
        <f>IF($F2719="","",IF($F2719&gt;0,ROUND($F2719,2),""))</f>
        <v/>
      </c>
      <c r="H2719" s="12">
        <f>IF(OR($B2719="",$C2719="",$G2719=""),"",COUNTIFS(Ventes_Encaissements!$E$6:$E$3005,$B2719,Ventes_Encaissements!$J$6:$J$3005,$G2719,Ventes_Encaissements!$C$6:$C$3005,"&gt;="&amp;($C2719-3),Ventes_Encaissements!$C$6:$C$3005,"&lt;="&amp;($C2719+3)))</f>
        <v/>
      </c>
      <c r="I2719" s="12">
        <f>IF($H2719="","",IF($H2719=0,"Non trouvé",IF($H2719=1,"Match","À vérifier")))</f>
        <v/>
      </c>
      <c r="J2719" s="21">
        <f>IF($I2719&lt;&gt;"Match","",INDEX(Ventes_Encaissements!$B$6:$B$3005,_xludf.AGGREGATE(15,6,(ROW(Ventes_Encaissements!$B$6:$B$3005)-ROW(Ventes_Encaissements!$B$6)+1)/((Ventes_Encaissements!$E$6:$E$3005=$B2719)*(Ventes_Encaissements!$J$6:$J$3005=$G2719)*(Ventes_Encaissements!$C$6:$C$3005&gt;=$C2719-3)*(Ventes_Encaissements!$C$6:$C$3005&lt;=$C2719+3)),1)))</f>
        <v/>
      </c>
      <c r="K2719" s="6" t="n"/>
    </row>
    <row r="2720">
      <c r="A2720" s="6" t="n"/>
      <c r="B2720" s="6" t="n"/>
      <c r="C2720" s="19" t="n"/>
      <c r="D2720" s="19" t="n"/>
      <c r="E2720" s="6" t="n"/>
      <c r="F2720" s="20" t="n"/>
      <c r="G2720" s="9">
        <f>IF($F2720="","",IF($F2720&gt;0,ROUND($F2720,2),""))</f>
        <v/>
      </c>
      <c r="H2720" s="12">
        <f>IF(OR($B2720="",$C2720="",$G2720=""),"",COUNTIFS(Ventes_Encaissements!$E$6:$E$3005,$B2720,Ventes_Encaissements!$J$6:$J$3005,$G2720,Ventes_Encaissements!$C$6:$C$3005,"&gt;="&amp;($C2720-3),Ventes_Encaissements!$C$6:$C$3005,"&lt;="&amp;($C2720+3)))</f>
        <v/>
      </c>
      <c r="I2720" s="12">
        <f>IF($H2720="","",IF($H2720=0,"Non trouvé",IF($H2720=1,"Match","À vérifier")))</f>
        <v/>
      </c>
      <c r="J2720" s="21">
        <f>IF($I2720&lt;&gt;"Match","",INDEX(Ventes_Encaissements!$B$6:$B$3005,_xludf.AGGREGATE(15,6,(ROW(Ventes_Encaissements!$B$6:$B$3005)-ROW(Ventes_Encaissements!$B$6)+1)/((Ventes_Encaissements!$E$6:$E$3005=$B2720)*(Ventes_Encaissements!$J$6:$J$3005=$G2720)*(Ventes_Encaissements!$C$6:$C$3005&gt;=$C2720-3)*(Ventes_Encaissements!$C$6:$C$3005&lt;=$C2720+3)),1)))</f>
        <v/>
      </c>
      <c r="K2720" s="6" t="n"/>
    </row>
    <row r="2721">
      <c r="A2721" s="6" t="n"/>
      <c r="B2721" s="6" t="n"/>
      <c r="C2721" s="19" t="n"/>
      <c r="D2721" s="19" t="n"/>
      <c r="E2721" s="6" t="n"/>
      <c r="F2721" s="20" t="n"/>
      <c r="G2721" s="9">
        <f>IF($F2721="","",IF($F2721&gt;0,ROUND($F2721,2),""))</f>
        <v/>
      </c>
      <c r="H2721" s="12">
        <f>IF(OR($B2721="",$C2721="",$G2721=""),"",COUNTIFS(Ventes_Encaissements!$E$6:$E$3005,$B2721,Ventes_Encaissements!$J$6:$J$3005,$G2721,Ventes_Encaissements!$C$6:$C$3005,"&gt;="&amp;($C2721-3),Ventes_Encaissements!$C$6:$C$3005,"&lt;="&amp;($C2721+3)))</f>
        <v/>
      </c>
      <c r="I2721" s="12">
        <f>IF($H2721="","",IF($H2721=0,"Non trouvé",IF($H2721=1,"Match","À vérifier")))</f>
        <v/>
      </c>
      <c r="J2721" s="21">
        <f>IF($I2721&lt;&gt;"Match","",INDEX(Ventes_Encaissements!$B$6:$B$3005,_xludf.AGGREGATE(15,6,(ROW(Ventes_Encaissements!$B$6:$B$3005)-ROW(Ventes_Encaissements!$B$6)+1)/((Ventes_Encaissements!$E$6:$E$3005=$B2721)*(Ventes_Encaissements!$J$6:$J$3005=$G2721)*(Ventes_Encaissements!$C$6:$C$3005&gt;=$C2721-3)*(Ventes_Encaissements!$C$6:$C$3005&lt;=$C2721+3)),1)))</f>
        <v/>
      </c>
      <c r="K2721" s="6" t="n"/>
    </row>
    <row r="2722">
      <c r="A2722" s="6" t="n"/>
      <c r="B2722" s="6" t="n"/>
      <c r="C2722" s="19" t="n"/>
      <c r="D2722" s="19" t="n"/>
      <c r="E2722" s="6" t="n"/>
      <c r="F2722" s="20" t="n"/>
      <c r="G2722" s="9">
        <f>IF($F2722="","",IF($F2722&gt;0,ROUND($F2722,2),""))</f>
        <v/>
      </c>
      <c r="H2722" s="12">
        <f>IF(OR($B2722="",$C2722="",$G2722=""),"",COUNTIFS(Ventes_Encaissements!$E$6:$E$3005,$B2722,Ventes_Encaissements!$J$6:$J$3005,$G2722,Ventes_Encaissements!$C$6:$C$3005,"&gt;="&amp;($C2722-3),Ventes_Encaissements!$C$6:$C$3005,"&lt;="&amp;($C2722+3)))</f>
        <v/>
      </c>
      <c r="I2722" s="12">
        <f>IF($H2722="","",IF($H2722=0,"Non trouvé",IF($H2722=1,"Match","À vérifier")))</f>
        <v/>
      </c>
      <c r="J2722" s="21">
        <f>IF($I2722&lt;&gt;"Match","",INDEX(Ventes_Encaissements!$B$6:$B$3005,_xludf.AGGREGATE(15,6,(ROW(Ventes_Encaissements!$B$6:$B$3005)-ROW(Ventes_Encaissements!$B$6)+1)/((Ventes_Encaissements!$E$6:$E$3005=$B2722)*(Ventes_Encaissements!$J$6:$J$3005=$G2722)*(Ventes_Encaissements!$C$6:$C$3005&gt;=$C2722-3)*(Ventes_Encaissements!$C$6:$C$3005&lt;=$C2722+3)),1)))</f>
        <v/>
      </c>
      <c r="K2722" s="6" t="n"/>
    </row>
    <row r="2723">
      <c r="A2723" s="6" t="n"/>
      <c r="B2723" s="6" t="n"/>
      <c r="C2723" s="19" t="n"/>
      <c r="D2723" s="19" t="n"/>
      <c r="E2723" s="6" t="n"/>
      <c r="F2723" s="20" t="n"/>
      <c r="G2723" s="9">
        <f>IF($F2723="","",IF($F2723&gt;0,ROUND($F2723,2),""))</f>
        <v/>
      </c>
      <c r="H2723" s="12">
        <f>IF(OR($B2723="",$C2723="",$G2723=""),"",COUNTIFS(Ventes_Encaissements!$E$6:$E$3005,$B2723,Ventes_Encaissements!$J$6:$J$3005,$G2723,Ventes_Encaissements!$C$6:$C$3005,"&gt;="&amp;($C2723-3),Ventes_Encaissements!$C$6:$C$3005,"&lt;="&amp;($C2723+3)))</f>
        <v/>
      </c>
      <c r="I2723" s="12">
        <f>IF($H2723="","",IF($H2723=0,"Non trouvé",IF($H2723=1,"Match","À vérifier")))</f>
        <v/>
      </c>
      <c r="J2723" s="21">
        <f>IF($I2723&lt;&gt;"Match","",INDEX(Ventes_Encaissements!$B$6:$B$3005,_xludf.AGGREGATE(15,6,(ROW(Ventes_Encaissements!$B$6:$B$3005)-ROW(Ventes_Encaissements!$B$6)+1)/((Ventes_Encaissements!$E$6:$E$3005=$B2723)*(Ventes_Encaissements!$J$6:$J$3005=$G2723)*(Ventes_Encaissements!$C$6:$C$3005&gt;=$C2723-3)*(Ventes_Encaissements!$C$6:$C$3005&lt;=$C2723+3)),1)))</f>
        <v/>
      </c>
      <c r="K2723" s="6" t="n"/>
    </row>
    <row r="2724">
      <c r="A2724" s="6" t="n"/>
      <c r="B2724" s="6" t="n"/>
      <c r="C2724" s="19" t="n"/>
      <c r="D2724" s="19" t="n"/>
      <c r="E2724" s="6" t="n"/>
      <c r="F2724" s="20" t="n"/>
      <c r="G2724" s="9">
        <f>IF($F2724="","",IF($F2724&gt;0,ROUND($F2724,2),""))</f>
        <v/>
      </c>
      <c r="H2724" s="12">
        <f>IF(OR($B2724="",$C2724="",$G2724=""),"",COUNTIFS(Ventes_Encaissements!$E$6:$E$3005,$B2724,Ventes_Encaissements!$J$6:$J$3005,$G2724,Ventes_Encaissements!$C$6:$C$3005,"&gt;="&amp;($C2724-3),Ventes_Encaissements!$C$6:$C$3005,"&lt;="&amp;($C2724+3)))</f>
        <v/>
      </c>
      <c r="I2724" s="12">
        <f>IF($H2724="","",IF($H2724=0,"Non trouvé",IF($H2724=1,"Match","À vérifier")))</f>
        <v/>
      </c>
      <c r="J2724" s="21">
        <f>IF($I2724&lt;&gt;"Match","",INDEX(Ventes_Encaissements!$B$6:$B$3005,_xludf.AGGREGATE(15,6,(ROW(Ventes_Encaissements!$B$6:$B$3005)-ROW(Ventes_Encaissements!$B$6)+1)/((Ventes_Encaissements!$E$6:$E$3005=$B2724)*(Ventes_Encaissements!$J$6:$J$3005=$G2724)*(Ventes_Encaissements!$C$6:$C$3005&gt;=$C2724-3)*(Ventes_Encaissements!$C$6:$C$3005&lt;=$C2724+3)),1)))</f>
        <v/>
      </c>
      <c r="K2724" s="6" t="n"/>
    </row>
    <row r="2725">
      <c r="A2725" s="6" t="n"/>
      <c r="B2725" s="6" t="n"/>
      <c r="C2725" s="19" t="n"/>
      <c r="D2725" s="19" t="n"/>
      <c r="E2725" s="6" t="n"/>
      <c r="F2725" s="20" t="n"/>
      <c r="G2725" s="9">
        <f>IF($F2725="","",IF($F2725&gt;0,ROUND($F2725,2),""))</f>
        <v/>
      </c>
      <c r="H2725" s="12">
        <f>IF(OR($B2725="",$C2725="",$G2725=""),"",COUNTIFS(Ventes_Encaissements!$E$6:$E$3005,$B2725,Ventes_Encaissements!$J$6:$J$3005,$G2725,Ventes_Encaissements!$C$6:$C$3005,"&gt;="&amp;($C2725-3),Ventes_Encaissements!$C$6:$C$3005,"&lt;="&amp;($C2725+3)))</f>
        <v/>
      </c>
      <c r="I2725" s="12">
        <f>IF($H2725="","",IF($H2725=0,"Non trouvé",IF($H2725=1,"Match","À vérifier")))</f>
        <v/>
      </c>
      <c r="J2725" s="21">
        <f>IF($I2725&lt;&gt;"Match","",INDEX(Ventes_Encaissements!$B$6:$B$3005,_xludf.AGGREGATE(15,6,(ROW(Ventes_Encaissements!$B$6:$B$3005)-ROW(Ventes_Encaissements!$B$6)+1)/((Ventes_Encaissements!$E$6:$E$3005=$B2725)*(Ventes_Encaissements!$J$6:$J$3005=$G2725)*(Ventes_Encaissements!$C$6:$C$3005&gt;=$C2725-3)*(Ventes_Encaissements!$C$6:$C$3005&lt;=$C2725+3)),1)))</f>
        <v/>
      </c>
      <c r="K2725" s="6" t="n"/>
    </row>
    <row r="2726">
      <c r="A2726" s="6" t="n"/>
      <c r="B2726" s="6" t="n"/>
      <c r="C2726" s="19" t="n"/>
      <c r="D2726" s="19" t="n"/>
      <c r="E2726" s="6" t="n"/>
      <c r="F2726" s="20" t="n"/>
      <c r="G2726" s="9">
        <f>IF($F2726="","",IF($F2726&gt;0,ROUND($F2726,2),""))</f>
        <v/>
      </c>
      <c r="H2726" s="12">
        <f>IF(OR($B2726="",$C2726="",$G2726=""),"",COUNTIFS(Ventes_Encaissements!$E$6:$E$3005,$B2726,Ventes_Encaissements!$J$6:$J$3005,$G2726,Ventes_Encaissements!$C$6:$C$3005,"&gt;="&amp;($C2726-3),Ventes_Encaissements!$C$6:$C$3005,"&lt;="&amp;($C2726+3)))</f>
        <v/>
      </c>
      <c r="I2726" s="12">
        <f>IF($H2726="","",IF($H2726=0,"Non trouvé",IF($H2726=1,"Match","À vérifier")))</f>
        <v/>
      </c>
      <c r="J2726" s="21">
        <f>IF($I2726&lt;&gt;"Match","",INDEX(Ventes_Encaissements!$B$6:$B$3005,_xludf.AGGREGATE(15,6,(ROW(Ventes_Encaissements!$B$6:$B$3005)-ROW(Ventes_Encaissements!$B$6)+1)/((Ventes_Encaissements!$E$6:$E$3005=$B2726)*(Ventes_Encaissements!$J$6:$J$3005=$G2726)*(Ventes_Encaissements!$C$6:$C$3005&gt;=$C2726-3)*(Ventes_Encaissements!$C$6:$C$3005&lt;=$C2726+3)),1)))</f>
        <v/>
      </c>
      <c r="K2726" s="6" t="n"/>
    </row>
    <row r="2727">
      <c r="A2727" s="6" t="n"/>
      <c r="B2727" s="6" t="n"/>
      <c r="C2727" s="19" t="n"/>
      <c r="D2727" s="19" t="n"/>
      <c r="E2727" s="6" t="n"/>
      <c r="F2727" s="20" t="n"/>
      <c r="G2727" s="9">
        <f>IF($F2727="","",IF($F2727&gt;0,ROUND($F2727,2),""))</f>
        <v/>
      </c>
      <c r="H2727" s="12">
        <f>IF(OR($B2727="",$C2727="",$G2727=""),"",COUNTIFS(Ventes_Encaissements!$E$6:$E$3005,$B2727,Ventes_Encaissements!$J$6:$J$3005,$G2727,Ventes_Encaissements!$C$6:$C$3005,"&gt;="&amp;($C2727-3),Ventes_Encaissements!$C$6:$C$3005,"&lt;="&amp;($C2727+3)))</f>
        <v/>
      </c>
      <c r="I2727" s="12">
        <f>IF($H2727="","",IF($H2727=0,"Non trouvé",IF($H2727=1,"Match","À vérifier")))</f>
        <v/>
      </c>
      <c r="J2727" s="21">
        <f>IF($I2727&lt;&gt;"Match","",INDEX(Ventes_Encaissements!$B$6:$B$3005,_xludf.AGGREGATE(15,6,(ROW(Ventes_Encaissements!$B$6:$B$3005)-ROW(Ventes_Encaissements!$B$6)+1)/((Ventes_Encaissements!$E$6:$E$3005=$B2727)*(Ventes_Encaissements!$J$6:$J$3005=$G2727)*(Ventes_Encaissements!$C$6:$C$3005&gt;=$C2727-3)*(Ventes_Encaissements!$C$6:$C$3005&lt;=$C2727+3)),1)))</f>
        <v/>
      </c>
      <c r="K2727" s="6" t="n"/>
    </row>
    <row r="2728">
      <c r="A2728" s="6" t="n"/>
      <c r="B2728" s="6" t="n"/>
      <c r="C2728" s="19" t="n"/>
      <c r="D2728" s="19" t="n"/>
      <c r="E2728" s="6" t="n"/>
      <c r="F2728" s="20" t="n"/>
      <c r="G2728" s="9">
        <f>IF($F2728="","",IF($F2728&gt;0,ROUND($F2728,2),""))</f>
        <v/>
      </c>
      <c r="H2728" s="12">
        <f>IF(OR($B2728="",$C2728="",$G2728=""),"",COUNTIFS(Ventes_Encaissements!$E$6:$E$3005,$B2728,Ventes_Encaissements!$J$6:$J$3005,$G2728,Ventes_Encaissements!$C$6:$C$3005,"&gt;="&amp;($C2728-3),Ventes_Encaissements!$C$6:$C$3005,"&lt;="&amp;($C2728+3)))</f>
        <v/>
      </c>
      <c r="I2728" s="12">
        <f>IF($H2728="","",IF($H2728=0,"Non trouvé",IF($H2728=1,"Match","À vérifier")))</f>
        <v/>
      </c>
      <c r="J2728" s="21">
        <f>IF($I2728&lt;&gt;"Match","",INDEX(Ventes_Encaissements!$B$6:$B$3005,_xludf.AGGREGATE(15,6,(ROW(Ventes_Encaissements!$B$6:$B$3005)-ROW(Ventes_Encaissements!$B$6)+1)/((Ventes_Encaissements!$E$6:$E$3005=$B2728)*(Ventes_Encaissements!$J$6:$J$3005=$G2728)*(Ventes_Encaissements!$C$6:$C$3005&gt;=$C2728-3)*(Ventes_Encaissements!$C$6:$C$3005&lt;=$C2728+3)),1)))</f>
        <v/>
      </c>
      <c r="K2728" s="6" t="n"/>
    </row>
    <row r="2729">
      <c r="A2729" s="6" t="n"/>
      <c r="B2729" s="6" t="n"/>
      <c r="C2729" s="19" t="n"/>
      <c r="D2729" s="19" t="n"/>
      <c r="E2729" s="6" t="n"/>
      <c r="F2729" s="20" t="n"/>
      <c r="G2729" s="9">
        <f>IF($F2729="","",IF($F2729&gt;0,ROUND($F2729,2),""))</f>
        <v/>
      </c>
      <c r="H2729" s="12">
        <f>IF(OR($B2729="",$C2729="",$G2729=""),"",COUNTIFS(Ventes_Encaissements!$E$6:$E$3005,$B2729,Ventes_Encaissements!$J$6:$J$3005,$G2729,Ventes_Encaissements!$C$6:$C$3005,"&gt;="&amp;($C2729-3),Ventes_Encaissements!$C$6:$C$3005,"&lt;="&amp;($C2729+3)))</f>
        <v/>
      </c>
      <c r="I2729" s="12">
        <f>IF($H2729="","",IF($H2729=0,"Non trouvé",IF($H2729=1,"Match","À vérifier")))</f>
        <v/>
      </c>
      <c r="J2729" s="21">
        <f>IF($I2729&lt;&gt;"Match","",INDEX(Ventes_Encaissements!$B$6:$B$3005,_xludf.AGGREGATE(15,6,(ROW(Ventes_Encaissements!$B$6:$B$3005)-ROW(Ventes_Encaissements!$B$6)+1)/((Ventes_Encaissements!$E$6:$E$3005=$B2729)*(Ventes_Encaissements!$J$6:$J$3005=$G2729)*(Ventes_Encaissements!$C$6:$C$3005&gt;=$C2729-3)*(Ventes_Encaissements!$C$6:$C$3005&lt;=$C2729+3)),1)))</f>
        <v/>
      </c>
      <c r="K2729" s="6" t="n"/>
    </row>
    <row r="2730">
      <c r="A2730" s="6" t="n"/>
      <c r="B2730" s="6" t="n"/>
      <c r="C2730" s="19" t="n"/>
      <c r="D2730" s="19" t="n"/>
      <c r="E2730" s="6" t="n"/>
      <c r="F2730" s="20" t="n"/>
      <c r="G2730" s="9">
        <f>IF($F2730="","",IF($F2730&gt;0,ROUND($F2730,2),""))</f>
        <v/>
      </c>
      <c r="H2730" s="12">
        <f>IF(OR($B2730="",$C2730="",$G2730=""),"",COUNTIFS(Ventes_Encaissements!$E$6:$E$3005,$B2730,Ventes_Encaissements!$J$6:$J$3005,$G2730,Ventes_Encaissements!$C$6:$C$3005,"&gt;="&amp;($C2730-3),Ventes_Encaissements!$C$6:$C$3005,"&lt;="&amp;($C2730+3)))</f>
        <v/>
      </c>
      <c r="I2730" s="12">
        <f>IF($H2730="","",IF($H2730=0,"Non trouvé",IF($H2730=1,"Match","À vérifier")))</f>
        <v/>
      </c>
      <c r="J2730" s="21">
        <f>IF($I2730&lt;&gt;"Match","",INDEX(Ventes_Encaissements!$B$6:$B$3005,_xludf.AGGREGATE(15,6,(ROW(Ventes_Encaissements!$B$6:$B$3005)-ROW(Ventes_Encaissements!$B$6)+1)/((Ventes_Encaissements!$E$6:$E$3005=$B2730)*(Ventes_Encaissements!$J$6:$J$3005=$G2730)*(Ventes_Encaissements!$C$6:$C$3005&gt;=$C2730-3)*(Ventes_Encaissements!$C$6:$C$3005&lt;=$C2730+3)),1)))</f>
        <v/>
      </c>
      <c r="K2730" s="6" t="n"/>
    </row>
    <row r="2731">
      <c r="A2731" s="6" t="n"/>
      <c r="B2731" s="6" t="n"/>
      <c r="C2731" s="19" t="n"/>
      <c r="D2731" s="19" t="n"/>
      <c r="E2731" s="6" t="n"/>
      <c r="F2731" s="20" t="n"/>
      <c r="G2731" s="9">
        <f>IF($F2731="","",IF($F2731&gt;0,ROUND($F2731,2),""))</f>
        <v/>
      </c>
      <c r="H2731" s="12">
        <f>IF(OR($B2731="",$C2731="",$G2731=""),"",COUNTIFS(Ventes_Encaissements!$E$6:$E$3005,$B2731,Ventes_Encaissements!$J$6:$J$3005,$G2731,Ventes_Encaissements!$C$6:$C$3005,"&gt;="&amp;($C2731-3),Ventes_Encaissements!$C$6:$C$3005,"&lt;="&amp;($C2731+3)))</f>
        <v/>
      </c>
      <c r="I2731" s="12">
        <f>IF($H2731="","",IF($H2731=0,"Non trouvé",IF($H2731=1,"Match","À vérifier")))</f>
        <v/>
      </c>
      <c r="J2731" s="21">
        <f>IF($I2731&lt;&gt;"Match","",INDEX(Ventes_Encaissements!$B$6:$B$3005,_xludf.AGGREGATE(15,6,(ROW(Ventes_Encaissements!$B$6:$B$3005)-ROW(Ventes_Encaissements!$B$6)+1)/((Ventes_Encaissements!$E$6:$E$3005=$B2731)*(Ventes_Encaissements!$J$6:$J$3005=$G2731)*(Ventes_Encaissements!$C$6:$C$3005&gt;=$C2731-3)*(Ventes_Encaissements!$C$6:$C$3005&lt;=$C2731+3)),1)))</f>
        <v/>
      </c>
      <c r="K2731" s="6" t="n"/>
    </row>
    <row r="2732">
      <c r="A2732" s="6" t="n"/>
      <c r="B2732" s="6" t="n"/>
      <c r="C2732" s="19" t="n"/>
      <c r="D2732" s="19" t="n"/>
      <c r="E2732" s="6" t="n"/>
      <c r="F2732" s="20" t="n"/>
      <c r="G2732" s="9">
        <f>IF($F2732="","",IF($F2732&gt;0,ROUND($F2732,2),""))</f>
        <v/>
      </c>
      <c r="H2732" s="12">
        <f>IF(OR($B2732="",$C2732="",$G2732=""),"",COUNTIFS(Ventes_Encaissements!$E$6:$E$3005,$B2732,Ventes_Encaissements!$J$6:$J$3005,$G2732,Ventes_Encaissements!$C$6:$C$3005,"&gt;="&amp;($C2732-3),Ventes_Encaissements!$C$6:$C$3005,"&lt;="&amp;($C2732+3)))</f>
        <v/>
      </c>
      <c r="I2732" s="12">
        <f>IF($H2732="","",IF($H2732=0,"Non trouvé",IF($H2732=1,"Match","À vérifier")))</f>
        <v/>
      </c>
      <c r="J2732" s="21">
        <f>IF($I2732&lt;&gt;"Match","",INDEX(Ventes_Encaissements!$B$6:$B$3005,_xludf.AGGREGATE(15,6,(ROW(Ventes_Encaissements!$B$6:$B$3005)-ROW(Ventes_Encaissements!$B$6)+1)/((Ventes_Encaissements!$E$6:$E$3005=$B2732)*(Ventes_Encaissements!$J$6:$J$3005=$G2732)*(Ventes_Encaissements!$C$6:$C$3005&gt;=$C2732-3)*(Ventes_Encaissements!$C$6:$C$3005&lt;=$C2732+3)),1)))</f>
        <v/>
      </c>
      <c r="K2732" s="6" t="n"/>
    </row>
    <row r="2733">
      <c r="A2733" s="6" t="n"/>
      <c r="B2733" s="6" t="n"/>
      <c r="C2733" s="19" t="n"/>
      <c r="D2733" s="19" t="n"/>
      <c r="E2733" s="6" t="n"/>
      <c r="F2733" s="20" t="n"/>
      <c r="G2733" s="9">
        <f>IF($F2733="","",IF($F2733&gt;0,ROUND($F2733,2),""))</f>
        <v/>
      </c>
      <c r="H2733" s="12">
        <f>IF(OR($B2733="",$C2733="",$G2733=""),"",COUNTIFS(Ventes_Encaissements!$E$6:$E$3005,$B2733,Ventes_Encaissements!$J$6:$J$3005,$G2733,Ventes_Encaissements!$C$6:$C$3005,"&gt;="&amp;($C2733-3),Ventes_Encaissements!$C$6:$C$3005,"&lt;="&amp;($C2733+3)))</f>
        <v/>
      </c>
      <c r="I2733" s="12">
        <f>IF($H2733="","",IF($H2733=0,"Non trouvé",IF($H2733=1,"Match","À vérifier")))</f>
        <v/>
      </c>
      <c r="J2733" s="21">
        <f>IF($I2733&lt;&gt;"Match","",INDEX(Ventes_Encaissements!$B$6:$B$3005,_xludf.AGGREGATE(15,6,(ROW(Ventes_Encaissements!$B$6:$B$3005)-ROW(Ventes_Encaissements!$B$6)+1)/((Ventes_Encaissements!$E$6:$E$3005=$B2733)*(Ventes_Encaissements!$J$6:$J$3005=$G2733)*(Ventes_Encaissements!$C$6:$C$3005&gt;=$C2733-3)*(Ventes_Encaissements!$C$6:$C$3005&lt;=$C2733+3)),1)))</f>
        <v/>
      </c>
      <c r="K2733" s="6" t="n"/>
    </row>
    <row r="2734">
      <c r="A2734" s="6" t="n"/>
      <c r="B2734" s="6" t="n"/>
      <c r="C2734" s="19" t="n"/>
      <c r="D2734" s="19" t="n"/>
      <c r="E2734" s="6" t="n"/>
      <c r="F2734" s="20" t="n"/>
      <c r="G2734" s="9">
        <f>IF($F2734="","",IF($F2734&gt;0,ROUND($F2734,2),""))</f>
        <v/>
      </c>
      <c r="H2734" s="12">
        <f>IF(OR($B2734="",$C2734="",$G2734=""),"",COUNTIFS(Ventes_Encaissements!$E$6:$E$3005,$B2734,Ventes_Encaissements!$J$6:$J$3005,$G2734,Ventes_Encaissements!$C$6:$C$3005,"&gt;="&amp;($C2734-3),Ventes_Encaissements!$C$6:$C$3005,"&lt;="&amp;($C2734+3)))</f>
        <v/>
      </c>
      <c r="I2734" s="12">
        <f>IF($H2734="","",IF($H2734=0,"Non trouvé",IF($H2734=1,"Match","À vérifier")))</f>
        <v/>
      </c>
      <c r="J2734" s="21">
        <f>IF($I2734&lt;&gt;"Match","",INDEX(Ventes_Encaissements!$B$6:$B$3005,_xludf.AGGREGATE(15,6,(ROW(Ventes_Encaissements!$B$6:$B$3005)-ROW(Ventes_Encaissements!$B$6)+1)/((Ventes_Encaissements!$E$6:$E$3005=$B2734)*(Ventes_Encaissements!$J$6:$J$3005=$G2734)*(Ventes_Encaissements!$C$6:$C$3005&gt;=$C2734-3)*(Ventes_Encaissements!$C$6:$C$3005&lt;=$C2734+3)),1)))</f>
        <v/>
      </c>
      <c r="K2734" s="6" t="n"/>
    </row>
    <row r="2735">
      <c r="A2735" s="6" t="n"/>
      <c r="B2735" s="6" t="n"/>
      <c r="C2735" s="19" t="n"/>
      <c r="D2735" s="19" t="n"/>
      <c r="E2735" s="6" t="n"/>
      <c r="F2735" s="20" t="n"/>
      <c r="G2735" s="9">
        <f>IF($F2735="","",IF($F2735&gt;0,ROUND($F2735,2),""))</f>
        <v/>
      </c>
      <c r="H2735" s="12">
        <f>IF(OR($B2735="",$C2735="",$G2735=""),"",COUNTIFS(Ventes_Encaissements!$E$6:$E$3005,$B2735,Ventes_Encaissements!$J$6:$J$3005,$G2735,Ventes_Encaissements!$C$6:$C$3005,"&gt;="&amp;($C2735-3),Ventes_Encaissements!$C$6:$C$3005,"&lt;="&amp;($C2735+3)))</f>
        <v/>
      </c>
      <c r="I2735" s="12">
        <f>IF($H2735="","",IF($H2735=0,"Non trouvé",IF($H2735=1,"Match","À vérifier")))</f>
        <v/>
      </c>
      <c r="J2735" s="21">
        <f>IF($I2735&lt;&gt;"Match","",INDEX(Ventes_Encaissements!$B$6:$B$3005,_xludf.AGGREGATE(15,6,(ROW(Ventes_Encaissements!$B$6:$B$3005)-ROW(Ventes_Encaissements!$B$6)+1)/((Ventes_Encaissements!$E$6:$E$3005=$B2735)*(Ventes_Encaissements!$J$6:$J$3005=$G2735)*(Ventes_Encaissements!$C$6:$C$3005&gt;=$C2735-3)*(Ventes_Encaissements!$C$6:$C$3005&lt;=$C2735+3)),1)))</f>
        <v/>
      </c>
      <c r="K2735" s="6" t="n"/>
    </row>
    <row r="2736">
      <c r="A2736" s="6" t="n"/>
      <c r="B2736" s="6" t="n"/>
      <c r="C2736" s="19" t="n"/>
      <c r="D2736" s="19" t="n"/>
      <c r="E2736" s="6" t="n"/>
      <c r="F2736" s="20" t="n"/>
      <c r="G2736" s="9">
        <f>IF($F2736="","",IF($F2736&gt;0,ROUND($F2736,2),""))</f>
        <v/>
      </c>
      <c r="H2736" s="12">
        <f>IF(OR($B2736="",$C2736="",$G2736=""),"",COUNTIFS(Ventes_Encaissements!$E$6:$E$3005,$B2736,Ventes_Encaissements!$J$6:$J$3005,$G2736,Ventes_Encaissements!$C$6:$C$3005,"&gt;="&amp;($C2736-3),Ventes_Encaissements!$C$6:$C$3005,"&lt;="&amp;($C2736+3)))</f>
        <v/>
      </c>
      <c r="I2736" s="12">
        <f>IF($H2736="","",IF($H2736=0,"Non trouvé",IF($H2736=1,"Match","À vérifier")))</f>
        <v/>
      </c>
      <c r="J2736" s="21">
        <f>IF($I2736&lt;&gt;"Match","",INDEX(Ventes_Encaissements!$B$6:$B$3005,_xludf.AGGREGATE(15,6,(ROW(Ventes_Encaissements!$B$6:$B$3005)-ROW(Ventes_Encaissements!$B$6)+1)/((Ventes_Encaissements!$E$6:$E$3005=$B2736)*(Ventes_Encaissements!$J$6:$J$3005=$G2736)*(Ventes_Encaissements!$C$6:$C$3005&gt;=$C2736-3)*(Ventes_Encaissements!$C$6:$C$3005&lt;=$C2736+3)),1)))</f>
        <v/>
      </c>
      <c r="K2736" s="6" t="n"/>
    </row>
    <row r="2737">
      <c r="A2737" s="6" t="n"/>
      <c r="B2737" s="6" t="n"/>
      <c r="C2737" s="19" t="n"/>
      <c r="D2737" s="19" t="n"/>
      <c r="E2737" s="6" t="n"/>
      <c r="F2737" s="20" t="n"/>
      <c r="G2737" s="9">
        <f>IF($F2737="","",IF($F2737&gt;0,ROUND($F2737,2),""))</f>
        <v/>
      </c>
      <c r="H2737" s="12">
        <f>IF(OR($B2737="",$C2737="",$G2737=""),"",COUNTIFS(Ventes_Encaissements!$E$6:$E$3005,$B2737,Ventes_Encaissements!$J$6:$J$3005,$G2737,Ventes_Encaissements!$C$6:$C$3005,"&gt;="&amp;($C2737-3),Ventes_Encaissements!$C$6:$C$3005,"&lt;="&amp;($C2737+3)))</f>
        <v/>
      </c>
      <c r="I2737" s="12">
        <f>IF($H2737="","",IF($H2737=0,"Non trouvé",IF($H2737=1,"Match","À vérifier")))</f>
        <v/>
      </c>
      <c r="J2737" s="21">
        <f>IF($I2737&lt;&gt;"Match","",INDEX(Ventes_Encaissements!$B$6:$B$3005,_xludf.AGGREGATE(15,6,(ROW(Ventes_Encaissements!$B$6:$B$3005)-ROW(Ventes_Encaissements!$B$6)+1)/((Ventes_Encaissements!$E$6:$E$3005=$B2737)*(Ventes_Encaissements!$J$6:$J$3005=$G2737)*(Ventes_Encaissements!$C$6:$C$3005&gt;=$C2737-3)*(Ventes_Encaissements!$C$6:$C$3005&lt;=$C2737+3)),1)))</f>
        <v/>
      </c>
      <c r="K2737" s="6" t="n"/>
    </row>
    <row r="2738">
      <c r="A2738" s="6" t="n"/>
      <c r="B2738" s="6" t="n"/>
      <c r="C2738" s="19" t="n"/>
      <c r="D2738" s="19" t="n"/>
      <c r="E2738" s="6" t="n"/>
      <c r="F2738" s="20" t="n"/>
      <c r="G2738" s="9">
        <f>IF($F2738="","",IF($F2738&gt;0,ROUND($F2738,2),""))</f>
        <v/>
      </c>
      <c r="H2738" s="12">
        <f>IF(OR($B2738="",$C2738="",$G2738=""),"",COUNTIFS(Ventes_Encaissements!$E$6:$E$3005,$B2738,Ventes_Encaissements!$J$6:$J$3005,$G2738,Ventes_Encaissements!$C$6:$C$3005,"&gt;="&amp;($C2738-3),Ventes_Encaissements!$C$6:$C$3005,"&lt;="&amp;($C2738+3)))</f>
        <v/>
      </c>
      <c r="I2738" s="12">
        <f>IF($H2738="","",IF($H2738=0,"Non trouvé",IF($H2738=1,"Match","À vérifier")))</f>
        <v/>
      </c>
      <c r="J2738" s="21">
        <f>IF($I2738&lt;&gt;"Match","",INDEX(Ventes_Encaissements!$B$6:$B$3005,_xludf.AGGREGATE(15,6,(ROW(Ventes_Encaissements!$B$6:$B$3005)-ROW(Ventes_Encaissements!$B$6)+1)/((Ventes_Encaissements!$E$6:$E$3005=$B2738)*(Ventes_Encaissements!$J$6:$J$3005=$G2738)*(Ventes_Encaissements!$C$6:$C$3005&gt;=$C2738-3)*(Ventes_Encaissements!$C$6:$C$3005&lt;=$C2738+3)),1)))</f>
        <v/>
      </c>
      <c r="K2738" s="6" t="n"/>
    </row>
    <row r="2739">
      <c r="A2739" s="6" t="n"/>
      <c r="B2739" s="6" t="n"/>
      <c r="C2739" s="19" t="n"/>
      <c r="D2739" s="19" t="n"/>
      <c r="E2739" s="6" t="n"/>
      <c r="F2739" s="20" t="n"/>
      <c r="G2739" s="9">
        <f>IF($F2739="","",IF($F2739&gt;0,ROUND($F2739,2),""))</f>
        <v/>
      </c>
      <c r="H2739" s="12">
        <f>IF(OR($B2739="",$C2739="",$G2739=""),"",COUNTIFS(Ventes_Encaissements!$E$6:$E$3005,$B2739,Ventes_Encaissements!$J$6:$J$3005,$G2739,Ventes_Encaissements!$C$6:$C$3005,"&gt;="&amp;($C2739-3),Ventes_Encaissements!$C$6:$C$3005,"&lt;="&amp;($C2739+3)))</f>
        <v/>
      </c>
      <c r="I2739" s="12">
        <f>IF($H2739="","",IF($H2739=0,"Non trouvé",IF($H2739=1,"Match","À vérifier")))</f>
        <v/>
      </c>
      <c r="J2739" s="21">
        <f>IF($I2739&lt;&gt;"Match","",INDEX(Ventes_Encaissements!$B$6:$B$3005,_xludf.AGGREGATE(15,6,(ROW(Ventes_Encaissements!$B$6:$B$3005)-ROW(Ventes_Encaissements!$B$6)+1)/((Ventes_Encaissements!$E$6:$E$3005=$B2739)*(Ventes_Encaissements!$J$6:$J$3005=$G2739)*(Ventes_Encaissements!$C$6:$C$3005&gt;=$C2739-3)*(Ventes_Encaissements!$C$6:$C$3005&lt;=$C2739+3)),1)))</f>
        <v/>
      </c>
      <c r="K2739" s="6" t="n"/>
    </row>
    <row r="2740">
      <c r="A2740" s="6" t="n"/>
      <c r="B2740" s="6" t="n"/>
      <c r="C2740" s="19" t="n"/>
      <c r="D2740" s="19" t="n"/>
      <c r="E2740" s="6" t="n"/>
      <c r="F2740" s="20" t="n"/>
      <c r="G2740" s="9">
        <f>IF($F2740="","",IF($F2740&gt;0,ROUND($F2740,2),""))</f>
        <v/>
      </c>
      <c r="H2740" s="12">
        <f>IF(OR($B2740="",$C2740="",$G2740=""),"",COUNTIFS(Ventes_Encaissements!$E$6:$E$3005,$B2740,Ventes_Encaissements!$J$6:$J$3005,$G2740,Ventes_Encaissements!$C$6:$C$3005,"&gt;="&amp;($C2740-3),Ventes_Encaissements!$C$6:$C$3005,"&lt;="&amp;($C2740+3)))</f>
        <v/>
      </c>
      <c r="I2740" s="12">
        <f>IF($H2740="","",IF($H2740=0,"Non trouvé",IF($H2740=1,"Match","À vérifier")))</f>
        <v/>
      </c>
      <c r="J2740" s="21">
        <f>IF($I2740&lt;&gt;"Match","",INDEX(Ventes_Encaissements!$B$6:$B$3005,_xludf.AGGREGATE(15,6,(ROW(Ventes_Encaissements!$B$6:$B$3005)-ROW(Ventes_Encaissements!$B$6)+1)/((Ventes_Encaissements!$E$6:$E$3005=$B2740)*(Ventes_Encaissements!$J$6:$J$3005=$G2740)*(Ventes_Encaissements!$C$6:$C$3005&gt;=$C2740-3)*(Ventes_Encaissements!$C$6:$C$3005&lt;=$C2740+3)),1)))</f>
        <v/>
      </c>
      <c r="K2740" s="6" t="n"/>
    </row>
    <row r="2741">
      <c r="A2741" s="6" t="n"/>
      <c r="B2741" s="6" t="n"/>
      <c r="C2741" s="19" t="n"/>
      <c r="D2741" s="19" t="n"/>
      <c r="E2741" s="6" t="n"/>
      <c r="F2741" s="20" t="n"/>
      <c r="G2741" s="9">
        <f>IF($F2741="","",IF($F2741&gt;0,ROUND($F2741,2),""))</f>
        <v/>
      </c>
      <c r="H2741" s="12">
        <f>IF(OR($B2741="",$C2741="",$G2741=""),"",COUNTIFS(Ventes_Encaissements!$E$6:$E$3005,$B2741,Ventes_Encaissements!$J$6:$J$3005,$G2741,Ventes_Encaissements!$C$6:$C$3005,"&gt;="&amp;($C2741-3),Ventes_Encaissements!$C$6:$C$3005,"&lt;="&amp;($C2741+3)))</f>
        <v/>
      </c>
      <c r="I2741" s="12">
        <f>IF($H2741="","",IF($H2741=0,"Non trouvé",IF($H2741=1,"Match","À vérifier")))</f>
        <v/>
      </c>
      <c r="J2741" s="21">
        <f>IF($I2741&lt;&gt;"Match","",INDEX(Ventes_Encaissements!$B$6:$B$3005,_xludf.AGGREGATE(15,6,(ROW(Ventes_Encaissements!$B$6:$B$3005)-ROW(Ventes_Encaissements!$B$6)+1)/((Ventes_Encaissements!$E$6:$E$3005=$B2741)*(Ventes_Encaissements!$J$6:$J$3005=$G2741)*(Ventes_Encaissements!$C$6:$C$3005&gt;=$C2741-3)*(Ventes_Encaissements!$C$6:$C$3005&lt;=$C2741+3)),1)))</f>
        <v/>
      </c>
      <c r="K2741" s="6" t="n"/>
    </row>
    <row r="2742">
      <c r="A2742" s="6" t="n"/>
      <c r="B2742" s="6" t="n"/>
      <c r="C2742" s="19" t="n"/>
      <c r="D2742" s="19" t="n"/>
      <c r="E2742" s="6" t="n"/>
      <c r="F2742" s="20" t="n"/>
      <c r="G2742" s="9">
        <f>IF($F2742="","",IF($F2742&gt;0,ROUND($F2742,2),""))</f>
        <v/>
      </c>
      <c r="H2742" s="12">
        <f>IF(OR($B2742="",$C2742="",$G2742=""),"",COUNTIFS(Ventes_Encaissements!$E$6:$E$3005,$B2742,Ventes_Encaissements!$J$6:$J$3005,$G2742,Ventes_Encaissements!$C$6:$C$3005,"&gt;="&amp;($C2742-3),Ventes_Encaissements!$C$6:$C$3005,"&lt;="&amp;($C2742+3)))</f>
        <v/>
      </c>
      <c r="I2742" s="12">
        <f>IF($H2742="","",IF($H2742=0,"Non trouvé",IF($H2742=1,"Match","À vérifier")))</f>
        <v/>
      </c>
      <c r="J2742" s="21">
        <f>IF($I2742&lt;&gt;"Match","",INDEX(Ventes_Encaissements!$B$6:$B$3005,_xludf.AGGREGATE(15,6,(ROW(Ventes_Encaissements!$B$6:$B$3005)-ROW(Ventes_Encaissements!$B$6)+1)/((Ventes_Encaissements!$E$6:$E$3005=$B2742)*(Ventes_Encaissements!$J$6:$J$3005=$G2742)*(Ventes_Encaissements!$C$6:$C$3005&gt;=$C2742-3)*(Ventes_Encaissements!$C$6:$C$3005&lt;=$C2742+3)),1)))</f>
        <v/>
      </c>
      <c r="K2742" s="6" t="n"/>
    </row>
    <row r="2743">
      <c r="A2743" s="6" t="n"/>
      <c r="B2743" s="6" t="n"/>
      <c r="C2743" s="19" t="n"/>
      <c r="D2743" s="19" t="n"/>
      <c r="E2743" s="6" t="n"/>
      <c r="F2743" s="20" t="n"/>
      <c r="G2743" s="9">
        <f>IF($F2743="","",IF($F2743&gt;0,ROUND($F2743,2),""))</f>
        <v/>
      </c>
      <c r="H2743" s="12">
        <f>IF(OR($B2743="",$C2743="",$G2743=""),"",COUNTIFS(Ventes_Encaissements!$E$6:$E$3005,$B2743,Ventes_Encaissements!$J$6:$J$3005,$G2743,Ventes_Encaissements!$C$6:$C$3005,"&gt;="&amp;($C2743-3),Ventes_Encaissements!$C$6:$C$3005,"&lt;="&amp;($C2743+3)))</f>
        <v/>
      </c>
      <c r="I2743" s="12">
        <f>IF($H2743="","",IF($H2743=0,"Non trouvé",IF($H2743=1,"Match","À vérifier")))</f>
        <v/>
      </c>
      <c r="J2743" s="21">
        <f>IF($I2743&lt;&gt;"Match","",INDEX(Ventes_Encaissements!$B$6:$B$3005,_xludf.AGGREGATE(15,6,(ROW(Ventes_Encaissements!$B$6:$B$3005)-ROW(Ventes_Encaissements!$B$6)+1)/((Ventes_Encaissements!$E$6:$E$3005=$B2743)*(Ventes_Encaissements!$J$6:$J$3005=$G2743)*(Ventes_Encaissements!$C$6:$C$3005&gt;=$C2743-3)*(Ventes_Encaissements!$C$6:$C$3005&lt;=$C2743+3)),1)))</f>
        <v/>
      </c>
      <c r="K2743" s="6" t="n"/>
    </row>
    <row r="2744">
      <c r="A2744" s="6" t="n"/>
      <c r="B2744" s="6" t="n"/>
      <c r="C2744" s="19" t="n"/>
      <c r="D2744" s="19" t="n"/>
      <c r="E2744" s="6" t="n"/>
      <c r="F2744" s="20" t="n"/>
      <c r="G2744" s="9">
        <f>IF($F2744="","",IF($F2744&gt;0,ROUND($F2744,2),""))</f>
        <v/>
      </c>
      <c r="H2744" s="12">
        <f>IF(OR($B2744="",$C2744="",$G2744=""),"",COUNTIFS(Ventes_Encaissements!$E$6:$E$3005,$B2744,Ventes_Encaissements!$J$6:$J$3005,$G2744,Ventes_Encaissements!$C$6:$C$3005,"&gt;="&amp;($C2744-3),Ventes_Encaissements!$C$6:$C$3005,"&lt;="&amp;($C2744+3)))</f>
        <v/>
      </c>
      <c r="I2744" s="12">
        <f>IF($H2744="","",IF($H2744=0,"Non trouvé",IF($H2744=1,"Match","À vérifier")))</f>
        <v/>
      </c>
      <c r="J2744" s="21">
        <f>IF($I2744&lt;&gt;"Match","",INDEX(Ventes_Encaissements!$B$6:$B$3005,_xludf.AGGREGATE(15,6,(ROW(Ventes_Encaissements!$B$6:$B$3005)-ROW(Ventes_Encaissements!$B$6)+1)/((Ventes_Encaissements!$E$6:$E$3005=$B2744)*(Ventes_Encaissements!$J$6:$J$3005=$G2744)*(Ventes_Encaissements!$C$6:$C$3005&gt;=$C2744-3)*(Ventes_Encaissements!$C$6:$C$3005&lt;=$C2744+3)),1)))</f>
        <v/>
      </c>
      <c r="K2744" s="6" t="n"/>
    </row>
    <row r="2745">
      <c r="A2745" s="6" t="n"/>
      <c r="B2745" s="6" t="n"/>
      <c r="C2745" s="19" t="n"/>
      <c r="D2745" s="19" t="n"/>
      <c r="E2745" s="6" t="n"/>
      <c r="F2745" s="20" t="n"/>
      <c r="G2745" s="9">
        <f>IF($F2745="","",IF($F2745&gt;0,ROUND($F2745,2),""))</f>
        <v/>
      </c>
      <c r="H2745" s="12">
        <f>IF(OR($B2745="",$C2745="",$G2745=""),"",COUNTIFS(Ventes_Encaissements!$E$6:$E$3005,$B2745,Ventes_Encaissements!$J$6:$J$3005,$G2745,Ventes_Encaissements!$C$6:$C$3005,"&gt;="&amp;($C2745-3),Ventes_Encaissements!$C$6:$C$3005,"&lt;="&amp;($C2745+3)))</f>
        <v/>
      </c>
      <c r="I2745" s="12">
        <f>IF($H2745="","",IF($H2745=0,"Non trouvé",IF($H2745=1,"Match","À vérifier")))</f>
        <v/>
      </c>
      <c r="J2745" s="21">
        <f>IF($I2745&lt;&gt;"Match","",INDEX(Ventes_Encaissements!$B$6:$B$3005,_xludf.AGGREGATE(15,6,(ROW(Ventes_Encaissements!$B$6:$B$3005)-ROW(Ventes_Encaissements!$B$6)+1)/((Ventes_Encaissements!$E$6:$E$3005=$B2745)*(Ventes_Encaissements!$J$6:$J$3005=$G2745)*(Ventes_Encaissements!$C$6:$C$3005&gt;=$C2745-3)*(Ventes_Encaissements!$C$6:$C$3005&lt;=$C2745+3)),1)))</f>
        <v/>
      </c>
      <c r="K2745" s="6" t="n"/>
    </row>
    <row r="2746">
      <c r="A2746" s="6" t="n"/>
      <c r="B2746" s="6" t="n"/>
      <c r="C2746" s="19" t="n"/>
      <c r="D2746" s="19" t="n"/>
      <c r="E2746" s="6" t="n"/>
      <c r="F2746" s="20" t="n"/>
      <c r="G2746" s="9">
        <f>IF($F2746="","",IF($F2746&gt;0,ROUND($F2746,2),""))</f>
        <v/>
      </c>
      <c r="H2746" s="12">
        <f>IF(OR($B2746="",$C2746="",$G2746=""),"",COUNTIFS(Ventes_Encaissements!$E$6:$E$3005,$B2746,Ventes_Encaissements!$J$6:$J$3005,$G2746,Ventes_Encaissements!$C$6:$C$3005,"&gt;="&amp;($C2746-3),Ventes_Encaissements!$C$6:$C$3005,"&lt;="&amp;($C2746+3)))</f>
        <v/>
      </c>
      <c r="I2746" s="12">
        <f>IF($H2746="","",IF($H2746=0,"Non trouvé",IF($H2746=1,"Match","À vérifier")))</f>
        <v/>
      </c>
      <c r="J2746" s="21">
        <f>IF($I2746&lt;&gt;"Match","",INDEX(Ventes_Encaissements!$B$6:$B$3005,_xludf.AGGREGATE(15,6,(ROW(Ventes_Encaissements!$B$6:$B$3005)-ROW(Ventes_Encaissements!$B$6)+1)/((Ventes_Encaissements!$E$6:$E$3005=$B2746)*(Ventes_Encaissements!$J$6:$J$3005=$G2746)*(Ventes_Encaissements!$C$6:$C$3005&gt;=$C2746-3)*(Ventes_Encaissements!$C$6:$C$3005&lt;=$C2746+3)),1)))</f>
        <v/>
      </c>
      <c r="K2746" s="6" t="n"/>
    </row>
    <row r="2747">
      <c r="A2747" s="6" t="n"/>
      <c r="B2747" s="6" t="n"/>
      <c r="C2747" s="19" t="n"/>
      <c r="D2747" s="19" t="n"/>
      <c r="E2747" s="6" t="n"/>
      <c r="F2747" s="20" t="n"/>
      <c r="G2747" s="9">
        <f>IF($F2747="","",IF($F2747&gt;0,ROUND($F2747,2),""))</f>
        <v/>
      </c>
      <c r="H2747" s="12">
        <f>IF(OR($B2747="",$C2747="",$G2747=""),"",COUNTIFS(Ventes_Encaissements!$E$6:$E$3005,$B2747,Ventes_Encaissements!$J$6:$J$3005,$G2747,Ventes_Encaissements!$C$6:$C$3005,"&gt;="&amp;($C2747-3),Ventes_Encaissements!$C$6:$C$3005,"&lt;="&amp;($C2747+3)))</f>
        <v/>
      </c>
      <c r="I2747" s="12">
        <f>IF($H2747="","",IF($H2747=0,"Non trouvé",IF($H2747=1,"Match","À vérifier")))</f>
        <v/>
      </c>
      <c r="J2747" s="21">
        <f>IF($I2747&lt;&gt;"Match","",INDEX(Ventes_Encaissements!$B$6:$B$3005,_xludf.AGGREGATE(15,6,(ROW(Ventes_Encaissements!$B$6:$B$3005)-ROW(Ventes_Encaissements!$B$6)+1)/((Ventes_Encaissements!$E$6:$E$3005=$B2747)*(Ventes_Encaissements!$J$6:$J$3005=$G2747)*(Ventes_Encaissements!$C$6:$C$3005&gt;=$C2747-3)*(Ventes_Encaissements!$C$6:$C$3005&lt;=$C2747+3)),1)))</f>
        <v/>
      </c>
      <c r="K2747" s="6" t="n"/>
    </row>
    <row r="2748">
      <c r="A2748" s="6" t="n"/>
      <c r="B2748" s="6" t="n"/>
      <c r="C2748" s="19" t="n"/>
      <c r="D2748" s="19" t="n"/>
      <c r="E2748" s="6" t="n"/>
      <c r="F2748" s="20" t="n"/>
      <c r="G2748" s="9">
        <f>IF($F2748="","",IF($F2748&gt;0,ROUND($F2748,2),""))</f>
        <v/>
      </c>
      <c r="H2748" s="12">
        <f>IF(OR($B2748="",$C2748="",$G2748=""),"",COUNTIFS(Ventes_Encaissements!$E$6:$E$3005,$B2748,Ventes_Encaissements!$J$6:$J$3005,$G2748,Ventes_Encaissements!$C$6:$C$3005,"&gt;="&amp;($C2748-3),Ventes_Encaissements!$C$6:$C$3005,"&lt;="&amp;($C2748+3)))</f>
        <v/>
      </c>
      <c r="I2748" s="12">
        <f>IF($H2748="","",IF($H2748=0,"Non trouvé",IF($H2748=1,"Match","À vérifier")))</f>
        <v/>
      </c>
      <c r="J2748" s="21">
        <f>IF($I2748&lt;&gt;"Match","",INDEX(Ventes_Encaissements!$B$6:$B$3005,_xludf.AGGREGATE(15,6,(ROW(Ventes_Encaissements!$B$6:$B$3005)-ROW(Ventes_Encaissements!$B$6)+1)/((Ventes_Encaissements!$E$6:$E$3005=$B2748)*(Ventes_Encaissements!$J$6:$J$3005=$G2748)*(Ventes_Encaissements!$C$6:$C$3005&gt;=$C2748-3)*(Ventes_Encaissements!$C$6:$C$3005&lt;=$C2748+3)),1)))</f>
        <v/>
      </c>
      <c r="K2748" s="6" t="n"/>
    </row>
    <row r="2749">
      <c r="A2749" s="6" t="n"/>
      <c r="B2749" s="6" t="n"/>
      <c r="C2749" s="19" t="n"/>
      <c r="D2749" s="19" t="n"/>
      <c r="E2749" s="6" t="n"/>
      <c r="F2749" s="20" t="n"/>
      <c r="G2749" s="9">
        <f>IF($F2749="","",IF($F2749&gt;0,ROUND($F2749,2),""))</f>
        <v/>
      </c>
      <c r="H2749" s="12">
        <f>IF(OR($B2749="",$C2749="",$G2749=""),"",COUNTIFS(Ventes_Encaissements!$E$6:$E$3005,$B2749,Ventes_Encaissements!$J$6:$J$3005,$G2749,Ventes_Encaissements!$C$6:$C$3005,"&gt;="&amp;($C2749-3),Ventes_Encaissements!$C$6:$C$3005,"&lt;="&amp;($C2749+3)))</f>
        <v/>
      </c>
      <c r="I2749" s="12">
        <f>IF($H2749="","",IF($H2749=0,"Non trouvé",IF($H2749=1,"Match","À vérifier")))</f>
        <v/>
      </c>
      <c r="J2749" s="21">
        <f>IF($I2749&lt;&gt;"Match","",INDEX(Ventes_Encaissements!$B$6:$B$3005,_xludf.AGGREGATE(15,6,(ROW(Ventes_Encaissements!$B$6:$B$3005)-ROW(Ventes_Encaissements!$B$6)+1)/((Ventes_Encaissements!$E$6:$E$3005=$B2749)*(Ventes_Encaissements!$J$6:$J$3005=$G2749)*(Ventes_Encaissements!$C$6:$C$3005&gt;=$C2749-3)*(Ventes_Encaissements!$C$6:$C$3005&lt;=$C2749+3)),1)))</f>
        <v/>
      </c>
      <c r="K2749" s="6" t="n"/>
    </row>
    <row r="2750">
      <c r="A2750" s="6" t="n"/>
      <c r="B2750" s="6" t="n"/>
      <c r="C2750" s="19" t="n"/>
      <c r="D2750" s="19" t="n"/>
      <c r="E2750" s="6" t="n"/>
      <c r="F2750" s="20" t="n"/>
      <c r="G2750" s="9">
        <f>IF($F2750="","",IF($F2750&gt;0,ROUND($F2750,2),""))</f>
        <v/>
      </c>
      <c r="H2750" s="12">
        <f>IF(OR($B2750="",$C2750="",$G2750=""),"",COUNTIFS(Ventes_Encaissements!$E$6:$E$3005,$B2750,Ventes_Encaissements!$J$6:$J$3005,$G2750,Ventes_Encaissements!$C$6:$C$3005,"&gt;="&amp;($C2750-3),Ventes_Encaissements!$C$6:$C$3005,"&lt;="&amp;($C2750+3)))</f>
        <v/>
      </c>
      <c r="I2750" s="12">
        <f>IF($H2750="","",IF($H2750=0,"Non trouvé",IF($H2750=1,"Match","À vérifier")))</f>
        <v/>
      </c>
      <c r="J2750" s="21">
        <f>IF($I2750&lt;&gt;"Match","",INDEX(Ventes_Encaissements!$B$6:$B$3005,_xludf.AGGREGATE(15,6,(ROW(Ventes_Encaissements!$B$6:$B$3005)-ROW(Ventes_Encaissements!$B$6)+1)/((Ventes_Encaissements!$E$6:$E$3005=$B2750)*(Ventes_Encaissements!$J$6:$J$3005=$G2750)*(Ventes_Encaissements!$C$6:$C$3005&gt;=$C2750-3)*(Ventes_Encaissements!$C$6:$C$3005&lt;=$C2750+3)),1)))</f>
        <v/>
      </c>
      <c r="K2750" s="6" t="n"/>
    </row>
    <row r="2751">
      <c r="A2751" s="6" t="n"/>
      <c r="B2751" s="6" t="n"/>
      <c r="C2751" s="19" t="n"/>
      <c r="D2751" s="19" t="n"/>
      <c r="E2751" s="6" t="n"/>
      <c r="F2751" s="20" t="n"/>
      <c r="G2751" s="9">
        <f>IF($F2751="","",IF($F2751&gt;0,ROUND($F2751,2),""))</f>
        <v/>
      </c>
      <c r="H2751" s="12">
        <f>IF(OR($B2751="",$C2751="",$G2751=""),"",COUNTIFS(Ventes_Encaissements!$E$6:$E$3005,$B2751,Ventes_Encaissements!$J$6:$J$3005,$G2751,Ventes_Encaissements!$C$6:$C$3005,"&gt;="&amp;($C2751-3),Ventes_Encaissements!$C$6:$C$3005,"&lt;="&amp;($C2751+3)))</f>
        <v/>
      </c>
      <c r="I2751" s="12">
        <f>IF($H2751="","",IF($H2751=0,"Non trouvé",IF($H2751=1,"Match","À vérifier")))</f>
        <v/>
      </c>
      <c r="J2751" s="21">
        <f>IF($I2751&lt;&gt;"Match","",INDEX(Ventes_Encaissements!$B$6:$B$3005,_xludf.AGGREGATE(15,6,(ROW(Ventes_Encaissements!$B$6:$B$3005)-ROW(Ventes_Encaissements!$B$6)+1)/((Ventes_Encaissements!$E$6:$E$3005=$B2751)*(Ventes_Encaissements!$J$6:$J$3005=$G2751)*(Ventes_Encaissements!$C$6:$C$3005&gt;=$C2751-3)*(Ventes_Encaissements!$C$6:$C$3005&lt;=$C2751+3)),1)))</f>
        <v/>
      </c>
      <c r="K2751" s="6" t="n"/>
    </row>
    <row r="2752">
      <c r="A2752" s="6" t="n"/>
      <c r="B2752" s="6" t="n"/>
      <c r="C2752" s="19" t="n"/>
      <c r="D2752" s="19" t="n"/>
      <c r="E2752" s="6" t="n"/>
      <c r="F2752" s="20" t="n"/>
      <c r="G2752" s="9">
        <f>IF($F2752="","",IF($F2752&gt;0,ROUND($F2752,2),""))</f>
        <v/>
      </c>
      <c r="H2752" s="12">
        <f>IF(OR($B2752="",$C2752="",$G2752=""),"",COUNTIFS(Ventes_Encaissements!$E$6:$E$3005,$B2752,Ventes_Encaissements!$J$6:$J$3005,$G2752,Ventes_Encaissements!$C$6:$C$3005,"&gt;="&amp;($C2752-3),Ventes_Encaissements!$C$6:$C$3005,"&lt;="&amp;($C2752+3)))</f>
        <v/>
      </c>
      <c r="I2752" s="12">
        <f>IF($H2752="","",IF($H2752=0,"Non trouvé",IF($H2752=1,"Match","À vérifier")))</f>
        <v/>
      </c>
      <c r="J2752" s="21">
        <f>IF($I2752&lt;&gt;"Match","",INDEX(Ventes_Encaissements!$B$6:$B$3005,_xludf.AGGREGATE(15,6,(ROW(Ventes_Encaissements!$B$6:$B$3005)-ROW(Ventes_Encaissements!$B$6)+1)/((Ventes_Encaissements!$E$6:$E$3005=$B2752)*(Ventes_Encaissements!$J$6:$J$3005=$G2752)*(Ventes_Encaissements!$C$6:$C$3005&gt;=$C2752-3)*(Ventes_Encaissements!$C$6:$C$3005&lt;=$C2752+3)),1)))</f>
        <v/>
      </c>
      <c r="K2752" s="6" t="n"/>
    </row>
    <row r="2753">
      <c r="A2753" s="6" t="n"/>
      <c r="B2753" s="6" t="n"/>
      <c r="C2753" s="19" t="n"/>
      <c r="D2753" s="19" t="n"/>
      <c r="E2753" s="6" t="n"/>
      <c r="F2753" s="20" t="n"/>
      <c r="G2753" s="9">
        <f>IF($F2753="","",IF($F2753&gt;0,ROUND($F2753,2),""))</f>
        <v/>
      </c>
      <c r="H2753" s="12">
        <f>IF(OR($B2753="",$C2753="",$G2753=""),"",COUNTIFS(Ventes_Encaissements!$E$6:$E$3005,$B2753,Ventes_Encaissements!$J$6:$J$3005,$G2753,Ventes_Encaissements!$C$6:$C$3005,"&gt;="&amp;($C2753-3),Ventes_Encaissements!$C$6:$C$3005,"&lt;="&amp;($C2753+3)))</f>
        <v/>
      </c>
      <c r="I2753" s="12">
        <f>IF($H2753="","",IF($H2753=0,"Non trouvé",IF($H2753=1,"Match","À vérifier")))</f>
        <v/>
      </c>
      <c r="J2753" s="21">
        <f>IF($I2753&lt;&gt;"Match","",INDEX(Ventes_Encaissements!$B$6:$B$3005,_xludf.AGGREGATE(15,6,(ROW(Ventes_Encaissements!$B$6:$B$3005)-ROW(Ventes_Encaissements!$B$6)+1)/((Ventes_Encaissements!$E$6:$E$3005=$B2753)*(Ventes_Encaissements!$J$6:$J$3005=$G2753)*(Ventes_Encaissements!$C$6:$C$3005&gt;=$C2753-3)*(Ventes_Encaissements!$C$6:$C$3005&lt;=$C2753+3)),1)))</f>
        <v/>
      </c>
      <c r="K2753" s="6" t="n"/>
    </row>
    <row r="2754">
      <c r="A2754" s="6" t="n"/>
      <c r="B2754" s="6" t="n"/>
      <c r="C2754" s="19" t="n"/>
      <c r="D2754" s="19" t="n"/>
      <c r="E2754" s="6" t="n"/>
      <c r="F2754" s="20" t="n"/>
      <c r="G2754" s="9">
        <f>IF($F2754="","",IF($F2754&gt;0,ROUND($F2754,2),""))</f>
        <v/>
      </c>
      <c r="H2754" s="12">
        <f>IF(OR($B2754="",$C2754="",$G2754=""),"",COUNTIFS(Ventes_Encaissements!$E$6:$E$3005,$B2754,Ventes_Encaissements!$J$6:$J$3005,$G2754,Ventes_Encaissements!$C$6:$C$3005,"&gt;="&amp;($C2754-3),Ventes_Encaissements!$C$6:$C$3005,"&lt;="&amp;($C2754+3)))</f>
        <v/>
      </c>
      <c r="I2754" s="12">
        <f>IF($H2754="","",IF($H2754=0,"Non trouvé",IF($H2754=1,"Match","À vérifier")))</f>
        <v/>
      </c>
      <c r="J2754" s="21">
        <f>IF($I2754&lt;&gt;"Match","",INDEX(Ventes_Encaissements!$B$6:$B$3005,_xludf.AGGREGATE(15,6,(ROW(Ventes_Encaissements!$B$6:$B$3005)-ROW(Ventes_Encaissements!$B$6)+1)/((Ventes_Encaissements!$E$6:$E$3005=$B2754)*(Ventes_Encaissements!$J$6:$J$3005=$G2754)*(Ventes_Encaissements!$C$6:$C$3005&gt;=$C2754-3)*(Ventes_Encaissements!$C$6:$C$3005&lt;=$C2754+3)),1)))</f>
        <v/>
      </c>
      <c r="K2754" s="6" t="n"/>
    </row>
    <row r="2755">
      <c r="A2755" s="6" t="n"/>
      <c r="B2755" s="6" t="n"/>
      <c r="C2755" s="19" t="n"/>
      <c r="D2755" s="19" t="n"/>
      <c r="E2755" s="6" t="n"/>
      <c r="F2755" s="20" t="n"/>
      <c r="G2755" s="9">
        <f>IF($F2755="","",IF($F2755&gt;0,ROUND($F2755,2),""))</f>
        <v/>
      </c>
      <c r="H2755" s="12">
        <f>IF(OR($B2755="",$C2755="",$G2755=""),"",COUNTIFS(Ventes_Encaissements!$E$6:$E$3005,$B2755,Ventes_Encaissements!$J$6:$J$3005,$G2755,Ventes_Encaissements!$C$6:$C$3005,"&gt;="&amp;($C2755-3),Ventes_Encaissements!$C$6:$C$3005,"&lt;="&amp;($C2755+3)))</f>
        <v/>
      </c>
      <c r="I2755" s="12">
        <f>IF($H2755="","",IF($H2755=0,"Non trouvé",IF($H2755=1,"Match","À vérifier")))</f>
        <v/>
      </c>
      <c r="J2755" s="21">
        <f>IF($I2755&lt;&gt;"Match","",INDEX(Ventes_Encaissements!$B$6:$B$3005,_xludf.AGGREGATE(15,6,(ROW(Ventes_Encaissements!$B$6:$B$3005)-ROW(Ventes_Encaissements!$B$6)+1)/((Ventes_Encaissements!$E$6:$E$3005=$B2755)*(Ventes_Encaissements!$J$6:$J$3005=$G2755)*(Ventes_Encaissements!$C$6:$C$3005&gt;=$C2755-3)*(Ventes_Encaissements!$C$6:$C$3005&lt;=$C2755+3)),1)))</f>
        <v/>
      </c>
      <c r="K2755" s="6" t="n"/>
    </row>
    <row r="2756">
      <c r="A2756" s="6" t="n"/>
      <c r="B2756" s="6" t="n"/>
      <c r="C2756" s="19" t="n"/>
      <c r="D2756" s="19" t="n"/>
      <c r="E2756" s="6" t="n"/>
      <c r="F2756" s="20" t="n"/>
      <c r="G2756" s="9">
        <f>IF($F2756="","",IF($F2756&gt;0,ROUND($F2756,2),""))</f>
        <v/>
      </c>
      <c r="H2756" s="12">
        <f>IF(OR($B2756="",$C2756="",$G2756=""),"",COUNTIFS(Ventes_Encaissements!$E$6:$E$3005,$B2756,Ventes_Encaissements!$J$6:$J$3005,$G2756,Ventes_Encaissements!$C$6:$C$3005,"&gt;="&amp;($C2756-3),Ventes_Encaissements!$C$6:$C$3005,"&lt;="&amp;($C2756+3)))</f>
        <v/>
      </c>
      <c r="I2756" s="12">
        <f>IF($H2756="","",IF($H2756=0,"Non trouvé",IF($H2756=1,"Match","À vérifier")))</f>
        <v/>
      </c>
      <c r="J2756" s="21">
        <f>IF($I2756&lt;&gt;"Match","",INDEX(Ventes_Encaissements!$B$6:$B$3005,_xludf.AGGREGATE(15,6,(ROW(Ventes_Encaissements!$B$6:$B$3005)-ROW(Ventes_Encaissements!$B$6)+1)/((Ventes_Encaissements!$E$6:$E$3005=$B2756)*(Ventes_Encaissements!$J$6:$J$3005=$G2756)*(Ventes_Encaissements!$C$6:$C$3005&gt;=$C2756-3)*(Ventes_Encaissements!$C$6:$C$3005&lt;=$C2756+3)),1)))</f>
        <v/>
      </c>
      <c r="K2756" s="6" t="n"/>
    </row>
    <row r="2757">
      <c r="A2757" s="6" t="n"/>
      <c r="B2757" s="6" t="n"/>
      <c r="C2757" s="19" t="n"/>
      <c r="D2757" s="19" t="n"/>
      <c r="E2757" s="6" t="n"/>
      <c r="F2757" s="20" t="n"/>
      <c r="G2757" s="9">
        <f>IF($F2757="","",IF($F2757&gt;0,ROUND($F2757,2),""))</f>
        <v/>
      </c>
      <c r="H2757" s="12">
        <f>IF(OR($B2757="",$C2757="",$G2757=""),"",COUNTIFS(Ventes_Encaissements!$E$6:$E$3005,$B2757,Ventes_Encaissements!$J$6:$J$3005,$G2757,Ventes_Encaissements!$C$6:$C$3005,"&gt;="&amp;($C2757-3),Ventes_Encaissements!$C$6:$C$3005,"&lt;="&amp;($C2757+3)))</f>
        <v/>
      </c>
      <c r="I2757" s="12">
        <f>IF($H2757="","",IF($H2757=0,"Non trouvé",IF($H2757=1,"Match","À vérifier")))</f>
        <v/>
      </c>
      <c r="J2757" s="21">
        <f>IF($I2757&lt;&gt;"Match","",INDEX(Ventes_Encaissements!$B$6:$B$3005,_xludf.AGGREGATE(15,6,(ROW(Ventes_Encaissements!$B$6:$B$3005)-ROW(Ventes_Encaissements!$B$6)+1)/((Ventes_Encaissements!$E$6:$E$3005=$B2757)*(Ventes_Encaissements!$J$6:$J$3005=$G2757)*(Ventes_Encaissements!$C$6:$C$3005&gt;=$C2757-3)*(Ventes_Encaissements!$C$6:$C$3005&lt;=$C2757+3)),1)))</f>
        <v/>
      </c>
      <c r="K2757" s="6" t="n"/>
    </row>
    <row r="2758">
      <c r="A2758" s="6" t="n"/>
      <c r="B2758" s="6" t="n"/>
      <c r="C2758" s="19" t="n"/>
      <c r="D2758" s="19" t="n"/>
      <c r="E2758" s="6" t="n"/>
      <c r="F2758" s="20" t="n"/>
      <c r="G2758" s="9">
        <f>IF($F2758="","",IF($F2758&gt;0,ROUND($F2758,2),""))</f>
        <v/>
      </c>
      <c r="H2758" s="12">
        <f>IF(OR($B2758="",$C2758="",$G2758=""),"",COUNTIFS(Ventes_Encaissements!$E$6:$E$3005,$B2758,Ventes_Encaissements!$J$6:$J$3005,$G2758,Ventes_Encaissements!$C$6:$C$3005,"&gt;="&amp;($C2758-3),Ventes_Encaissements!$C$6:$C$3005,"&lt;="&amp;($C2758+3)))</f>
        <v/>
      </c>
      <c r="I2758" s="12">
        <f>IF($H2758="","",IF($H2758=0,"Non trouvé",IF($H2758=1,"Match","À vérifier")))</f>
        <v/>
      </c>
      <c r="J2758" s="21">
        <f>IF($I2758&lt;&gt;"Match","",INDEX(Ventes_Encaissements!$B$6:$B$3005,_xludf.AGGREGATE(15,6,(ROW(Ventes_Encaissements!$B$6:$B$3005)-ROW(Ventes_Encaissements!$B$6)+1)/((Ventes_Encaissements!$E$6:$E$3005=$B2758)*(Ventes_Encaissements!$J$6:$J$3005=$G2758)*(Ventes_Encaissements!$C$6:$C$3005&gt;=$C2758-3)*(Ventes_Encaissements!$C$6:$C$3005&lt;=$C2758+3)),1)))</f>
        <v/>
      </c>
      <c r="K2758" s="6" t="n"/>
    </row>
    <row r="2759">
      <c r="A2759" s="6" t="n"/>
      <c r="B2759" s="6" t="n"/>
      <c r="C2759" s="19" t="n"/>
      <c r="D2759" s="19" t="n"/>
      <c r="E2759" s="6" t="n"/>
      <c r="F2759" s="20" t="n"/>
      <c r="G2759" s="9">
        <f>IF($F2759="","",IF($F2759&gt;0,ROUND($F2759,2),""))</f>
        <v/>
      </c>
      <c r="H2759" s="12">
        <f>IF(OR($B2759="",$C2759="",$G2759=""),"",COUNTIFS(Ventes_Encaissements!$E$6:$E$3005,$B2759,Ventes_Encaissements!$J$6:$J$3005,$G2759,Ventes_Encaissements!$C$6:$C$3005,"&gt;="&amp;($C2759-3),Ventes_Encaissements!$C$6:$C$3005,"&lt;="&amp;($C2759+3)))</f>
        <v/>
      </c>
      <c r="I2759" s="12">
        <f>IF($H2759="","",IF($H2759=0,"Non trouvé",IF($H2759=1,"Match","À vérifier")))</f>
        <v/>
      </c>
      <c r="J2759" s="21">
        <f>IF($I2759&lt;&gt;"Match","",INDEX(Ventes_Encaissements!$B$6:$B$3005,_xludf.AGGREGATE(15,6,(ROW(Ventes_Encaissements!$B$6:$B$3005)-ROW(Ventes_Encaissements!$B$6)+1)/((Ventes_Encaissements!$E$6:$E$3005=$B2759)*(Ventes_Encaissements!$J$6:$J$3005=$G2759)*(Ventes_Encaissements!$C$6:$C$3005&gt;=$C2759-3)*(Ventes_Encaissements!$C$6:$C$3005&lt;=$C2759+3)),1)))</f>
        <v/>
      </c>
      <c r="K2759" s="6" t="n"/>
    </row>
    <row r="2760">
      <c r="A2760" s="6" t="n"/>
      <c r="B2760" s="6" t="n"/>
      <c r="C2760" s="19" t="n"/>
      <c r="D2760" s="19" t="n"/>
      <c r="E2760" s="6" t="n"/>
      <c r="F2760" s="20" t="n"/>
      <c r="G2760" s="9">
        <f>IF($F2760="","",IF($F2760&gt;0,ROUND($F2760,2),""))</f>
        <v/>
      </c>
      <c r="H2760" s="12">
        <f>IF(OR($B2760="",$C2760="",$G2760=""),"",COUNTIFS(Ventes_Encaissements!$E$6:$E$3005,$B2760,Ventes_Encaissements!$J$6:$J$3005,$G2760,Ventes_Encaissements!$C$6:$C$3005,"&gt;="&amp;($C2760-3),Ventes_Encaissements!$C$6:$C$3005,"&lt;="&amp;($C2760+3)))</f>
        <v/>
      </c>
      <c r="I2760" s="12">
        <f>IF($H2760="","",IF($H2760=0,"Non trouvé",IF($H2760=1,"Match","À vérifier")))</f>
        <v/>
      </c>
      <c r="J2760" s="21">
        <f>IF($I2760&lt;&gt;"Match","",INDEX(Ventes_Encaissements!$B$6:$B$3005,_xludf.AGGREGATE(15,6,(ROW(Ventes_Encaissements!$B$6:$B$3005)-ROW(Ventes_Encaissements!$B$6)+1)/((Ventes_Encaissements!$E$6:$E$3005=$B2760)*(Ventes_Encaissements!$J$6:$J$3005=$G2760)*(Ventes_Encaissements!$C$6:$C$3005&gt;=$C2760-3)*(Ventes_Encaissements!$C$6:$C$3005&lt;=$C2760+3)),1)))</f>
        <v/>
      </c>
      <c r="K2760" s="6" t="n"/>
    </row>
    <row r="2761">
      <c r="A2761" s="6" t="n"/>
      <c r="B2761" s="6" t="n"/>
      <c r="C2761" s="19" t="n"/>
      <c r="D2761" s="19" t="n"/>
      <c r="E2761" s="6" t="n"/>
      <c r="F2761" s="20" t="n"/>
      <c r="G2761" s="9">
        <f>IF($F2761="","",IF($F2761&gt;0,ROUND($F2761,2),""))</f>
        <v/>
      </c>
      <c r="H2761" s="12">
        <f>IF(OR($B2761="",$C2761="",$G2761=""),"",COUNTIFS(Ventes_Encaissements!$E$6:$E$3005,$B2761,Ventes_Encaissements!$J$6:$J$3005,$G2761,Ventes_Encaissements!$C$6:$C$3005,"&gt;="&amp;($C2761-3),Ventes_Encaissements!$C$6:$C$3005,"&lt;="&amp;($C2761+3)))</f>
        <v/>
      </c>
      <c r="I2761" s="12">
        <f>IF($H2761="","",IF($H2761=0,"Non trouvé",IF($H2761=1,"Match","À vérifier")))</f>
        <v/>
      </c>
      <c r="J2761" s="21">
        <f>IF($I2761&lt;&gt;"Match","",INDEX(Ventes_Encaissements!$B$6:$B$3005,_xludf.AGGREGATE(15,6,(ROW(Ventes_Encaissements!$B$6:$B$3005)-ROW(Ventes_Encaissements!$B$6)+1)/((Ventes_Encaissements!$E$6:$E$3005=$B2761)*(Ventes_Encaissements!$J$6:$J$3005=$G2761)*(Ventes_Encaissements!$C$6:$C$3005&gt;=$C2761-3)*(Ventes_Encaissements!$C$6:$C$3005&lt;=$C2761+3)),1)))</f>
        <v/>
      </c>
      <c r="K2761" s="6" t="n"/>
    </row>
    <row r="2762">
      <c r="A2762" s="6" t="n"/>
      <c r="B2762" s="6" t="n"/>
      <c r="C2762" s="19" t="n"/>
      <c r="D2762" s="19" t="n"/>
      <c r="E2762" s="6" t="n"/>
      <c r="F2762" s="20" t="n"/>
      <c r="G2762" s="9">
        <f>IF($F2762="","",IF($F2762&gt;0,ROUND($F2762,2),""))</f>
        <v/>
      </c>
      <c r="H2762" s="12">
        <f>IF(OR($B2762="",$C2762="",$G2762=""),"",COUNTIFS(Ventes_Encaissements!$E$6:$E$3005,$B2762,Ventes_Encaissements!$J$6:$J$3005,$G2762,Ventes_Encaissements!$C$6:$C$3005,"&gt;="&amp;($C2762-3),Ventes_Encaissements!$C$6:$C$3005,"&lt;="&amp;($C2762+3)))</f>
        <v/>
      </c>
      <c r="I2762" s="12">
        <f>IF($H2762="","",IF($H2762=0,"Non trouvé",IF($H2762=1,"Match","À vérifier")))</f>
        <v/>
      </c>
      <c r="J2762" s="21">
        <f>IF($I2762&lt;&gt;"Match","",INDEX(Ventes_Encaissements!$B$6:$B$3005,_xludf.AGGREGATE(15,6,(ROW(Ventes_Encaissements!$B$6:$B$3005)-ROW(Ventes_Encaissements!$B$6)+1)/((Ventes_Encaissements!$E$6:$E$3005=$B2762)*(Ventes_Encaissements!$J$6:$J$3005=$G2762)*(Ventes_Encaissements!$C$6:$C$3005&gt;=$C2762-3)*(Ventes_Encaissements!$C$6:$C$3005&lt;=$C2762+3)),1)))</f>
        <v/>
      </c>
      <c r="K2762" s="6" t="n"/>
    </row>
    <row r="2763">
      <c r="A2763" s="6" t="n"/>
      <c r="B2763" s="6" t="n"/>
      <c r="C2763" s="19" t="n"/>
      <c r="D2763" s="19" t="n"/>
      <c r="E2763" s="6" t="n"/>
      <c r="F2763" s="20" t="n"/>
      <c r="G2763" s="9">
        <f>IF($F2763="","",IF($F2763&gt;0,ROUND($F2763,2),""))</f>
        <v/>
      </c>
      <c r="H2763" s="12">
        <f>IF(OR($B2763="",$C2763="",$G2763=""),"",COUNTIFS(Ventes_Encaissements!$E$6:$E$3005,$B2763,Ventes_Encaissements!$J$6:$J$3005,$G2763,Ventes_Encaissements!$C$6:$C$3005,"&gt;="&amp;($C2763-3),Ventes_Encaissements!$C$6:$C$3005,"&lt;="&amp;($C2763+3)))</f>
        <v/>
      </c>
      <c r="I2763" s="12">
        <f>IF($H2763="","",IF($H2763=0,"Non trouvé",IF($H2763=1,"Match","À vérifier")))</f>
        <v/>
      </c>
      <c r="J2763" s="21">
        <f>IF($I2763&lt;&gt;"Match","",INDEX(Ventes_Encaissements!$B$6:$B$3005,_xludf.AGGREGATE(15,6,(ROW(Ventes_Encaissements!$B$6:$B$3005)-ROW(Ventes_Encaissements!$B$6)+1)/((Ventes_Encaissements!$E$6:$E$3005=$B2763)*(Ventes_Encaissements!$J$6:$J$3005=$G2763)*(Ventes_Encaissements!$C$6:$C$3005&gt;=$C2763-3)*(Ventes_Encaissements!$C$6:$C$3005&lt;=$C2763+3)),1)))</f>
        <v/>
      </c>
      <c r="K2763" s="6" t="n"/>
    </row>
    <row r="2764">
      <c r="A2764" s="6" t="n"/>
      <c r="B2764" s="6" t="n"/>
      <c r="C2764" s="19" t="n"/>
      <c r="D2764" s="19" t="n"/>
      <c r="E2764" s="6" t="n"/>
      <c r="F2764" s="20" t="n"/>
      <c r="G2764" s="9">
        <f>IF($F2764="","",IF($F2764&gt;0,ROUND($F2764,2),""))</f>
        <v/>
      </c>
      <c r="H2764" s="12">
        <f>IF(OR($B2764="",$C2764="",$G2764=""),"",COUNTIFS(Ventes_Encaissements!$E$6:$E$3005,$B2764,Ventes_Encaissements!$J$6:$J$3005,$G2764,Ventes_Encaissements!$C$6:$C$3005,"&gt;="&amp;($C2764-3),Ventes_Encaissements!$C$6:$C$3005,"&lt;="&amp;($C2764+3)))</f>
        <v/>
      </c>
      <c r="I2764" s="12">
        <f>IF($H2764="","",IF($H2764=0,"Non trouvé",IF($H2764=1,"Match","À vérifier")))</f>
        <v/>
      </c>
      <c r="J2764" s="21">
        <f>IF($I2764&lt;&gt;"Match","",INDEX(Ventes_Encaissements!$B$6:$B$3005,_xludf.AGGREGATE(15,6,(ROW(Ventes_Encaissements!$B$6:$B$3005)-ROW(Ventes_Encaissements!$B$6)+1)/((Ventes_Encaissements!$E$6:$E$3005=$B2764)*(Ventes_Encaissements!$J$6:$J$3005=$G2764)*(Ventes_Encaissements!$C$6:$C$3005&gt;=$C2764-3)*(Ventes_Encaissements!$C$6:$C$3005&lt;=$C2764+3)),1)))</f>
        <v/>
      </c>
      <c r="K2764" s="6" t="n"/>
    </row>
    <row r="2765">
      <c r="A2765" s="6" t="n"/>
      <c r="B2765" s="6" t="n"/>
      <c r="C2765" s="19" t="n"/>
      <c r="D2765" s="19" t="n"/>
      <c r="E2765" s="6" t="n"/>
      <c r="F2765" s="20" t="n"/>
      <c r="G2765" s="9">
        <f>IF($F2765="","",IF($F2765&gt;0,ROUND($F2765,2),""))</f>
        <v/>
      </c>
      <c r="H2765" s="12">
        <f>IF(OR($B2765="",$C2765="",$G2765=""),"",COUNTIFS(Ventes_Encaissements!$E$6:$E$3005,$B2765,Ventes_Encaissements!$J$6:$J$3005,$G2765,Ventes_Encaissements!$C$6:$C$3005,"&gt;="&amp;($C2765-3),Ventes_Encaissements!$C$6:$C$3005,"&lt;="&amp;($C2765+3)))</f>
        <v/>
      </c>
      <c r="I2765" s="12">
        <f>IF($H2765="","",IF($H2765=0,"Non trouvé",IF($H2765=1,"Match","À vérifier")))</f>
        <v/>
      </c>
      <c r="J2765" s="21">
        <f>IF($I2765&lt;&gt;"Match","",INDEX(Ventes_Encaissements!$B$6:$B$3005,_xludf.AGGREGATE(15,6,(ROW(Ventes_Encaissements!$B$6:$B$3005)-ROW(Ventes_Encaissements!$B$6)+1)/((Ventes_Encaissements!$E$6:$E$3005=$B2765)*(Ventes_Encaissements!$J$6:$J$3005=$G2765)*(Ventes_Encaissements!$C$6:$C$3005&gt;=$C2765-3)*(Ventes_Encaissements!$C$6:$C$3005&lt;=$C2765+3)),1)))</f>
        <v/>
      </c>
      <c r="K2765" s="6" t="n"/>
    </row>
    <row r="2766">
      <c r="A2766" s="6" t="n"/>
      <c r="B2766" s="6" t="n"/>
      <c r="C2766" s="19" t="n"/>
      <c r="D2766" s="19" t="n"/>
      <c r="E2766" s="6" t="n"/>
      <c r="F2766" s="20" t="n"/>
      <c r="G2766" s="9">
        <f>IF($F2766="","",IF($F2766&gt;0,ROUND($F2766,2),""))</f>
        <v/>
      </c>
      <c r="H2766" s="12">
        <f>IF(OR($B2766="",$C2766="",$G2766=""),"",COUNTIFS(Ventes_Encaissements!$E$6:$E$3005,$B2766,Ventes_Encaissements!$J$6:$J$3005,$G2766,Ventes_Encaissements!$C$6:$C$3005,"&gt;="&amp;($C2766-3),Ventes_Encaissements!$C$6:$C$3005,"&lt;="&amp;($C2766+3)))</f>
        <v/>
      </c>
      <c r="I2766" s="12">
        <f>IF($H2766="","",IF($H2766=0,"Non trouvé",IF($H2766=1,"Match","À vérifier")))</f>
        <v/>
      </c>
      <c r="J2766" s="21">
        <f>IF($I2766&lt;&gt;"Match","",INDEX(Ventes_Encaissements!$B$6:$B$3005,_xludf.AGGREGATE(15,6,(ROW(Ventes_Encaissements!$B$6:$B$3005)-ROW(Ventes_Encaissements!$B$6)+1)/((Ventes_Encaissements!$E$6:$E$3005=$B2766)*(Ventes_Encaissements!$J$6:$J$3005=$G2766)*(Ventes_Encaissements!$C$6:$C$3005&gt;=$C2766-3)*(Ventes_Encaissements!$C$6:$C$3005&lt;=$C2766+3)),1)))</f>
        <v/>
      </c>
      <c r="K2766" s="6" t="n"/>
    </row>
    <row r="2767">
      <c r="A2767" s="6" t="n"/>
      <c r="B2767" s="6" t="n"/>
      <c r="C2767" s="19" t="n"/>
      <c r="D2767" s="19" t="n"/>
      <c r="E2767" s="6" t="n"/>
      <c r="F2767" s="20" t="n"/>
      <c r="G2767" s="9">
        <f>IF($F2767="","",IF($F2767&gt;0,ROUND($F2767,2),""))</f>
        <v/>
      </c>
      <c r="H2767" s="12">
        <f>IF(OR($B2767="",$C2767="",$G2767=""),"",COUNTIFS(Ventes_Encaissements!$E$6:$E$3005,$B2767,Ventes_Encaissements!$J$6:$J$3005,$G2767,Ventes_Encaissements!$C$6:$C$3005,"&gt;="&amp;($C2767-3),Ventes_Encaissements!$C$6:$C$3005,"&lt;="&amp;($C2767+3)))</f>
        <v/>
      </c>
      <c r="I2767" s="12">
        <f>IF($H2767="","",IF($H2767=0,"Non trouvé",IF($H2767=1,"Match","À vérifier")))</f>
        <v/>
      </c>
      <c r="J2767" s="21">
        <f>IF($I2767&lt;&gt;"Match","",INDEX(Ventes_Encaissements!$B$6:$B$3005,_xludf.AGGREGATE(15,6,(ROW(Ventes_Encaissements!$B$6:$B$3005)-ROW(Ventes_Encaissements!$B$6)+1)/((Ventes_Encaissements!$E$6:$E$3005=$B2767)*(Ventes_Encaissements!$J$6:$J$3005=$G2767)*(Ventes_Encaissements!$C$6:$C$3005&gt;=$C2767-3)*(Ventes_Encaissements!$C$6:$C$3005&lt;=$C2767+3)),1)))</f>
        <v/>
      </c>
      <c r="K2767" s="6" t="n"/>
    </row>
    <row r="2768">
      <c r="A2768" s="6" t="n"/>
      <c r="B2768" s="6" t="n"/>
      <c r="C2768" s="19" t="n"/>
      <c r="D2768" s="19" t="n"/>
      <c r="E2768" s="6" t="n"/>
      <c r="F2768" s="20" t="n"/>
      <c r="G2768" s="9">
        <f>IF($F2768="","",IF($F2768&gt;0,ROUND($F2768,2),""))</f>
        <v/>
      </c>
      <c r="H2768" s="12">
        <f>IF(OR($B2768="",$C2768="",$G2768=""),"",COUNTIFS(Ventes_Encaissements!$E$6:$E$3005,$B2768,Ventes_Encaissements!$J$6:$J$3005,$G2768,Ventes_Encaissements!$C$6:$C$3005,"&gt;="&amp;($C2768-3),Ventes_Encaissements!$C$6:$C$3005,"&lt;="&amp;($C2768+3)))</f>
        <v/>
      </c>
      <c r="I2768" s="12">
        <f>IF($H2768="","",IF($H2768=0,"Non trouvé",IF($H2768=1,"Match","À vérifier")))</f>
        <v/>
      </c>
      <c r="J2768" s="21">
        <f>IF($I2768&lt;&gt;"Match","",INDEX(Ventes_Encaissements!$B$6:$B$3005,_xludf.AGGREGATE(15,6,(ROW(Ventes_Encaissements!$B$6:$B$3005)-ROW(Ventes_Encaissements!$B$6)+1)/((Ventes_Encaissements!$E$6:$E$3005=$B2768)*(Ventes_Encaissements!$J$6:$J$3005=$G2768)*(Ventes_Encaissements!$C$6:$C$3005&gt;=$C2768-3)*(Ventes_Encaissements!$C$6:$C$3005&lt;=$C2768+3)),1)))</f>
        <v/>
      </c>
      <c r="K2768" s="6" t="n"/>
    </row>
    <row r="2769">
      <c r="A2769" s="6" t="n"/>
      <c r="B2769" s="6" t="n"/>
      <c r="C2769" s="19" t="n"/>
      <c r="D2769" s="19" t="n"/>
      <c r="E2769" s="6" t="n"/>
      <c r="F2769" s="20" t="n"/>
      <c r="G2769" s="9">
        <f>IF($F2769="","",IF($F2769&gt;0,ROUND($F2769,2),""))</f>
        <v/>
      </c>
      <c r="H2769" s="12">
        <f>IF(OR($B2769="",$C2769="",$G2769=""),"",COUNTIFS(Ventes_Encaissements!$E$6:$E$3005,$B2769,Ventes_Encaissements!$J$6:$J$3005,$G2769,Ventes_Encaissements!$C$6:$C$3005,"&gt;="&amp;($C2769-3),Ventes_Encaissements!$C$6:$C$3005,"&lt;="&amp;($C2769+3)))</f>
        <v/>
      </c>
      <c r="I2769" s="12">
        <f>IF($H2769="","",IF($H2769=0,"Non trouvé",IF($H2769=1,"Match","À vérifier")))</f>
        <v/>
      </c>
      <c r="J2769" s="21">
        <f>IF($I2769&lt;&gt;"Match","",INDEX(Ventes_Encaissements!$B$6:$B$3005,_xludf.AGGREGATE(15,6,(ROW(Ventes_Encaissements!$B$6:$B$3005)-ROW(Ventes_Encaissements!$B$6)+1)/((Ventes_Encaissements!$E$6:$E$3005=$B2769)*(Ventes_Encaissements!$J$6:$J$3005=$G2769)*(Ventes_Encaissements!$C$6:$C$3005&gt;=$C2769-3)*(Ventes_Encaissements!$C$6:$C$3005&lt;=$C2769+3)),1)))</f>
        <v/>
      </c>
      <c r="K2769" s="6" t="n"/>
    </row>
    <row r="2770">
      <c r="A2770" s="6" t="n"/>
      <c r="B2770" s="6" t="n"/>
      <c r="C2770" s="19" t="n"/>
      <c r="D2770" s="19" t="n"/>
      <c r="E2770" s="6" t="n"/>
      <c r="F2770" s="20" t="n"/>
      <c r="G2770" s="9">
        <f>IF($F2770="","",IF($F2770&gt;0,ROUND($F2770,2),""))</f>
        <v/>
      </c>
      <c r="H2770" s="12">
        <f>IF(OR($B2770="",$C2770="",$G2770=""),"",COUNTIFS(Ventes_Encaissements!$E$6:$E$3005,$B2770,Ventes_Encaissements!$J$6:$J$3005,$G2770,Ventes_Encaissements!$C$6:$C$3005,"&gt;="&amp;($C2770-3),Ventes_Encaissements!$C$6:$C$3005,"&lt;="&amp;($C2770+3)))</f>
        <v/>
      </c>
      <c r="I2770" s="12">
        <f>IF($H2770="","",IF($H2770=0,"Non trouvé",IF($H2770=1,"Match","À vérifier")))</f>
        <v/>
      </c>
      <c r="J2770" s="21">
        <f>IF($I2770&lt;&gt;"Match","",INDEX(Ventes_Encaissements!$B$6:$B$3005,_xludf.AGGREGATE(15,6,(ROW(Ventes_Encaissements!$B$6:$B$3005)-ROW(Ventes_Encaissements!$B$6)+1)/((Ventes_Encaissements!$E$6:$E$3005=$B2770)*(Ventes_Encaissements!$J$6:$J$3005=$G2770)*(Ventes_Encaissements!$C$6:$C$3005&gt;=$C2770-3)*(Ventes_Encaissements!$C$6:$C$3005&lt;=$C2770+3)),1)))</f>
        <v/>
      </c>
      <c r="K2770" s="6" t="n"/>
    </row>
    <row r="2771">
      <c r="A2771" s="6" t="n"/>
      <c r="B2771" s="6" t="n"/>
      <c r="C2771" s="19" t="n"/>
      <c r="D2771" s="19" t="n"/>
      <c r="E2771" s="6" t="n"/>
      <c r="F2771" s="20" t="n"/>
      <c r="G2771" s="9">
        <f>IF($F2771="","",IF($F2771&gt;0,ROUND($F2771,2),""))</f>
        <v/>
      </c>
      <c r="H2771" s="12">
        <f>IF(OR($B2771="",$C2771="",$G2771=""),"",COUNTIFS(Ventes_Encaissements!$E$6:$E$3005,$B2771,Ventes_Encaissements!$J$6:$J$3005,$G2771,Ventes_Encaissements!$C$6:$C$3005,"&gt;="&amp;($C2771-3),Ventes_Encaissements!$C$6:$C$3005,"&lt;="&amp;($C2771+3)))</f>
        <v/>
      </c>
      <c r="I2771" s="12">
        <f>IF($H2771="","",IF($H2771=0,"Non trouvé",IF($H2771=1,"Match","À vérifier")))</f>
        <v/>
      </c>
      <c r="J2771" s="21">
        <f>IF($I2771&lt;&gt;"Match","",INDEX(Ventes_Encaissements!$B$6:$B$3005,_xludf.AGGREGATE(15,6,(ROW(Ventes_Encaissements!$B$6:$B$3005)-ROW(Ventes_Encaissements!$B$6)+1)/((Ventes_Encaissements!$E$6:$E$3005=$B2771)*(Ventes_Encaissements!$J$6:$J$3005=$G2771)*(Ventes_Encaissements!$C$6:$C$3005&gt;=$C2771-3)*(Ventes_Encaissements!$C$6:$C$3005&lt;=$C2771+3)),1)))</f>
        <v/>
      </c>
      <c r="K2771" s="6" t="n"/>
    </row>
    <row r="2772">
      <c r="A2772" s="6" t="n"/>
      <c r="B2772" s="6" t="n"/>
      <c r="C2772" s="19" t="n"/>
      <c r="D2772" s="19" t="n"/>
      <c r="E2772" s="6" t="n"/>
      <c r="F2772" s="20" t="n"/>
      <c r="G2772" s="9">
        <f>IF($F2772="","",IF($F2772&gt;0,ROUND($F2772,2),""))</f>
        <v/>
      </c>
      <c r="H2772" s="12">
        <f>IF(OR($B2772="",$C2772="",$G2772=""),"",COUNTIFS(Ventes_Encaissements!$E$6:$E$3005,$B2772,Ventes_Encaissements!$J$6:$J$3005,$G2772,Ventes_Encaissements!$C$6:$C$3005,"&gt;="&amp;($C2772-3),Ventes_Encaissements!$C$6:$C$3005,"&lt;="&amp;($C2772+3)))</f>
        <v/>
      </c>
      <c r="I2772" s="12">
        <f>IF($H2772="","",IF($H2772=0,"Non trouvé",IF($H2772=1,"Match","À vérifier")))</f>
        <v/>
      </c>
      <c r="J2772" s="21">
        <f>IF($I2772&lt;&gt;"Match","",INDEX(Ventes_Encaissements!$B$6:$B$3005,_xludf.AGGREGATE(15,6,(ROW(Ventes_Encaissements!$B$6:$B$3005)-ROW(Ventes_Encaissements!$B$6)+1)/((Ventes_Encaissements!$E$6:$E$3005=$B2772)*(Ventes_Encaissements!$J$6:$J$3005=$G2772)*(Ventes_Encaissements!$C$6:$C$3005&gt;=$C2772-3)*(Ventes_Encaissements!$C$6:$C$3005&lt;=$C2772+3)),1)))</f>
        <v/>
      </c>
      <c r="K2772" s="6" t="n"/>
    </row>
    <row r="2773">
      <c r="A2773" s="6" t="n"/>
      <c r="B2773" s="6" t="n"/>
      <c r="C2773" s="19" t="n"/>
      <c r="D2773" s="19" t="n"/>
      <c r="E2773" s="6" t="n"/>
      <c r="F2773" s="20" t="n"/>
      <c r="G2773" s="9">
        <f>IF($F2773="","",IF($F2773&gt;0,ROUND($F2773,2),""))</f>
        <v/>
      </c>
      <c r="H2773" s="12">
        <f>IF(OR($B2773="",$C2773="",$G2773=""),"",COUNTIFS(Ventes_Encaissements!$E$6:$E$3005,$B2773,Ventes_Encaissements!$J$6:$J$3005,$G2773,Ventes_Encaissements!$C$6:$C$3005,"&gt;="&amp;($C2773-3),Ventes_Encaissements!$C$6:$C$3005,"&lt;="&amp;($C2773+3)))</f>
        <v/>
      </c>
      <c r="I2773" s="12">
        <f>IF($H2773="","",IF($H2773=0,"Non trouvé",IF($H2773=1,"Match","À vérifier")))</f>
        <v/>
      </c>
      <c r="J2773" s="21">
        <f>IF($I2773&lt;&gt;"Match","",INDEX(Ventes_Encaissements!$B$6:$B$3005,_xludf.AGGREGATE(15,6,(ROW(Ventes_Encaissements!$B$6:$B$3005)-ROW(Ventes_Encaissements!$B$6)+1)/((Ventes_Encaissements!$E$6:$E$3005=$B2773)*(Ventes_Encaissements!$J$6:$J$3005=$G2773)*(Ventes_Encaissements!$C$6:$C$3005&gt;=$C2773-3)*(Ventes_Encaissements!$C$6:$C$3005&lt;=$C2773+3)),1)))</f>
        <v/>
      </c>
      <c r="K2773" s="6" t="n"/>
    </row>
    <row r="2774">
      <c r="A2774" s="6" t="n"/>
      <c r="B2774" s="6" t="n"/>
      <c r="C2774" s="19" t="n"/>
      <c r="D2774" s="19" t="n"/>
      <c r="E2774" s="6" t="n"/>
      <c r="F2774" s="20" t="n"/>
      <c r="G2774" s="9">
        <f>IF($F2774="","",IF($F2774&gt;0,ROUND($F2774,2),""))</f>
        <v/>
      </c>
      <c r="H2774" s="12">
        <f>IF(OR($B2774="",$C2774="",$G2774=""),"",COUNTIFS(Ventes_Encaissements!$E$6:$E$3005,$B2774,Ventes_Encaissements!$J$6:$J$3005,$G2774,Ventes_Encaissements!$C$6:$C$3005,"&gt;="&amp;($C2774-3),Ventes_Encaissements!$C$6:$C$3005,"&lt;="&amp;($C2774+3)))</f>
        <v/>
      </c>
      <c r="I2774" s="12">
        <f>IF($H2774="","",IF($H2774=0,"Non trouvé",IF($H2774=1,"Match","À vérifier")))</f>
        <v/>
      </c>
      <c r="J2774" s="21">
        <f>IF($I2774&lt;&gt;"Match","",INDEX(Ventes_Encaissements!$B$6:$B$3005,_xludf.AGGREGATE(15,6,(ROW(Ventes_Encaissements!$B$6:$B$3005)-ROW(Ventes_Encaissements!$B$6)+1)/((Ventes_Encaissements!$E$6:$E$3005=$B2774)*(Ventes_Encaissements!$J$6:$J$3005=$G2774)*(Ventes_Encaissements!$C$6:$C$3005&gt;=$C2774-3)*(Ventes_Encaissements!$C$6:$C$3005&lt;=$C2774+3)),1)))</f>
        <v/>
      </c>
      <c r="K2774" s="6" t="n"/>
    </row>
    <row r="2775">
      <c r="A2775" s="6" t="n"/>
      <c r="B2775" s="6" t="n"/>
      <c r="C2775" s="19" t="n"/>
      <c r="D2775" s="19" t="n"/>
      <c r="E2775" s="6" t="n"/>
      <c r="F2775" s="20" t="n"/>
      <c r="G2775" s="9">
        <f>IF($F2775="","",IF($F2775&gt;0,ROUND($F2775,2),""))</f>
        <v/>
      </c>
      <c r="H2775" s="12">
        <f>IF(OR($B2775="",$C2775="",$G2775=""),"",COUNTIFS(Ventes_Encaissements!$E$6:$E$3005,$B2775,Ventes_Encaissements!$J$6:$J$3005,$G2775,Ventes_Encaissements!$C$6:$C$3005,"&gt;="&amp;($C2775-3),Ventes_Encaissements!$C$6:$C$3005,"&lt;="&amp;($C2775+3)))</f>
        <v/>
      </c>
      <c r="I2775" s="12">
        <f>IF($H2775="","",IF($H2775=0,"Non trouvé",IF($H2775=1,"Match","À vérifier")))</f>
        <v/>
      </c>
      <c r="J2775" s="21">
        <f>IF($I2775&lt;&gt;"Match","",INDEX(Ventes_Encaissements!$B$6:$B$3005,_xludf.AGGREGATE(15,6,(ROW(Ventes_Encaissements!$B$6:$B$3005)-ROW(Ventes_Encaissements!$B$6)+1)/((Ventes_Encaissements!$E$6:$E$3005=$B2775)*(Ventes_Encaissements!$J$6:$J$3005=$G2775)*(Ventes_Encaissements!$C$6:$C$3005&gt;=$C2775-3)*(Ventes_Encaissements!$C$6:$C$3005&lt;=$C2775+3)),1)))</f>
        <v/>
      </c>
      <c r="K2775" s="6" t="n"/>
    </row>
    <row r="2776">
      <c r="A2776" s="6" t="n"/>
      <c r="B2776" s="6" t="n"/>
      <c r="C2776" s="19" t="n"/>
      <c r="D2776" s="19" t="n"/>
      <c r="E2776" s="6" t="n"/>
      <c r="F2776" s="20" t="n"/>
      <c r="G2776" s="9">
        <f>IF($F2776="","",IF($F2776&gt;0,ROUND($F2776,2),""))</f>
        <v/>
      </c>
      <c r="H2776" s="12">
        <f>IF(OR($B2776="",$C2776="",$G2776=""),"",COUNTIFS(Ventes_Encaissements!$E$6:$E$3005,$B2776,Ventes_Encaissements!$J$6:$J$3005,$G2776,Ventes_Encaissements!$C$6:$C$3005,"&gt;="&amp;($C2776-3),Ventes_Encaissements!$C$6:$C$3005,"&lt;="&amp;($C2776+3)))</f>
        <v/>
      </c>
      <c r="I2776" s="12">
        <f>IF($H2776="","",IF($H2776=0,"Non trouvé",IF($H2776=1,"Match","À vérifier")))</f>
        <v/>
      </c>
      <c r="J2776" s="21">
        <f>IF($I2776&lt;&gt;"Match","",INDEX(Ventes_Encaissements!$B$6:$B$3005,_xludf.AGGREGATE(15,6,(ROW(Ventes_Encaissements!$B$6:$B$3005)-ROW(Ventes_Encaissements!$B$6)+1)/((Ventes_Encaissements!$E$6:$E$3005=$B2776)*(Ventes_Encaissements!$J$6:$J$3005=$G2776)*(Ventes_Encaissements!$C$6:$C$3005&gt;=$C2776-3)*(Ventes_Encaissements!$C$6:$C$3005&lt;=$C2776+3)),1)))</f>
        <v/>
      </c>
      <c r="K2776" s="6" t="n"/>
    </row>
    <row r="2777">
      <c r="A2777" s="6" t="n"/>
      <c r="B2777" s="6" t="n"/>
      <c r="C2777" s="19" t="n"/>
      <c r="D2777" s="19" t="n"/>
      <c r="E2777" s="6" t="n"/>
      <c r="F2777" s="20" t="n"/>
      <c r="G2777" s="9">
        <f>IF($F2777="","",IF($F2777&gt;0,ROUND($F2777,2),""))</f>
        <v/>
      </c>
      <c r="H2777" s="12">
        <f>IF(OR($B2777="",$C2777="",$G2777=""),"",COUNTIFS(Ventes_Encaissements!$E$6:$E$3005,$B2777,Ventes_Encaissements!$J$6:$J$3005,$G2777,Ventes_Encaissements!$C$6:$C$3005,"&gt;="&amp;($C2777-3),Ventes_Encaissements!$C$6:$C$3005,"&lt;="&amp;($C2777+3)))</f>
        <v/>
      </c>
      <c r="I2777" s="12">
        <f>IF($H2777="","",IF($H2777=0,"Non trouvé",IF($H2777=1,"Match","À vérifier")))</f>
        <v/>
      </c>
      <c r="J2777" s="21">
        <f>IF($I2777&lt;&gt;"Match","",INDEX(Ventes_Encaissements!$B$6:$B$3005,_xludf.AGGREGATE(15,6,(ROW(Ventes_Encaissements!$B$6:$B$3005)-ROW(Ventes_Encaissements!$B$6)+1)/((Ventes_Encaissements!$E$6:$E$3005=$B2777)*(Ventes_Encaissements!$J$6:$J$3005=$G2777)*(Ventes_Encaissements!$C$6:$C$3005&gt;=$C2777-3)*(Ventes_Encaissements!$C$6:$C$3005&lt;=$C2777+3)),1)))</f>
        <v/>
      </c>
      <c r="K2777" s="6" t="n"/>
    </row>
    <row r="2778">
      <c r="A2778" s="6" t="n"/>
      <c r="B2778" s="6" t="n"/>
      <c r="C2778" s="19" t="n"/>
      <c r="D2778" s="19" t="n"/>
      <c r="E2778" s="6" t="n"/>
      <c r="F2778" s="20" t="n"/>
      <c r="G2778" s="9">
        <f>IF($F2778="","",IF($F2778&gt;0,ROUND($F2778,2),""))</f>
        <v/>
      </c>
      <c r="H2778" s="12">
        <f>IF(OR($B2778="",$C2778="",$G2778=""),"",COUNTIFS(Ventes_Encaissements!$E$6:$E$3005,$B2778,Ventes_Encaissements!$J$6:$J$3005,$G2778,Ventes_Encaissements!$C$6:$C$3005,"&gt;="&amp;($C2778-3),Ventes_Encaissements!$C$6:$C$3005,"&lt;="&amp;($C2778+3)))</f>
        <v/>
      </c>
      <c r="I2778" s="12">
        <f>IF($H2778="","",IF($H2778=0,"Non trouvé",IF($H2778=1,"Match","À vérifier")))</f>
        <v/>
      </c>
      <c r="J2778" s="21">
        <f>IF($I2778&lt;&gt;"Match","",INDEX(Ventes_Encaissements!$B$6:$B$3005,_xludf.AGGREGATE(15,6,(ROW(Ventes_Encaissements!$B$6:$B$3005)-ROW(Ventes_Encaissements!$B$6)+1)/((Ventes_Encaissements!$E$6:$E$3005=$B2778)*(Ventes_Encaissements!$J$6:$J$3005=$G2778)*(Ventes_Encaissements!$C$6:$C$3005&gt;=$C2778-3)*(Ventes_Encaissements!$C$6:$C$3005&lt;=$C2778+3)),1)))</f>
        <v/>
      </c>
      <c r="K2778" s="6" t="n"/>
    </row>
    <row r="2779">
      <c r="A2779" s="6" t="n"/>
      <c r="B2779" s="6" t="n"/>
      <c r="C2779" s="19" t="n"/>
      <c r="D2779" s="19" t="n"/>
      <c r="E2779" s="6" t="n"/>
      <c r="F2779" s="20" t="n"/>
      <c r="G2779" s="9">
        <f>IF($F2779="","",IF($F2779&gt;0,ROUND($F2779,2),""))</f>
        <v/>
      </c>
      <c r="H2779" s="12">
        <f>IF(OR($B2779="",$C2779="",$G2779=""),"",COUNTIFS(Ventes_Encaissements!$E$6:$E$3005,$B2779,Ventes_Encaissements!$J$6:$J$3005,$G2779,Ventes_Encaissements!$C$6:$C$3005,"&gt;="&amp;($C2779-3),Ventes_Encaissements!$C$6:$C$3005,"&lt;="&amp;($C2779+3)))</f>
        <v/>
      </c>
      <c r="I2779" s="12">
        <f>IF($H2779="","",IF($H2779=0,"Non trouvé",IF($H2779=1,"Match","À vérifier")))</f>
        <v/>
      </c>
      <c r="J2779" s="21">
        <f>IF($I2779&lt;&gt;"Match","",INDEX(Ventes_Encaissements!$B$6:$B$3005,_xludf.AGGREGATE(15,6,(ROW(Ventes_Encaissements!$B$6:$B$3005)-ROW(Ventes_Encaissements!$B$6)+1)/((Ventes_Encaissements!$E$6:$E$3005=$B2779)*(Ventes_Encaissements!$J$6:$J$3005=$G2779)*(Ventes_Encaissements!$C$6:$C$3005&gt;=$C2779-3)*(Ventes_Encaissements!$C$6:$C$3005&lt;=$C2779+3)),1)))</f>
        <v/>
      </c>
      <c r="K2779" s="6" t="n"/>
    </row>
    <row r="2780">
      <c r="A2780" s="6" t="n"/>
      <c r="B2780" s="6" t="n"/>
      <c r="C2780" s="19" t="n"/>
      <c r="D2780" s="19" t="n"/>
      <c r="E2780" s="6" t="n"/>
      <c r="F2780" s="20" t="n"/>
      <c r="G2780" s="9">
        <f>IF($F2780="","",IF($F2780&gt;0,ROUND($F2780,2),""))</f>
        <v/>
      </c>
      <c r="H2780" s="12">
        <f>IF(OR($B2780="",$C2780="",$G2780=""),"",COUNTIFS(Ventes_Encaissements!$E$6:$E$3005,$B2780,Ventes_Encaissements!$J$6:$J$3005,$G2780,Ventes_Encaissements!$C$6:$C$3005,"&gt;="&amp;($C2780-3),Ventes_Encaissements!$C$6:$C$3005,"&lt;="&amp;($C2780+3)))</f>
        <v/>
      </c>
      <c r="I2780" s="12">
        <f>IF($H2780="","",IF($H2780=0,"Non trouvé",IF($H2780=1,"Match","À vérifier")))</f>
        <v/>
      </c>
      <c r="J2780" s="21">
        <f>IF($I2780&lt;&gt;"Match","",INDEX(Ventes_Encaissements!$B$6:$B$3005,_xludf.AGGREGATE(15,6,(ROW(Ventes_Encaissements!$B$6:$B$3005)-ROW(Ventes_Encaissements!$B$6)+1)/((Ventes_Encaissements!$E$6:$E$3005=$B2780)*(Ventes_Encaissements!$J$6:$J$3005=$G2780)*(Ventes_Encaissements!$C$6:$C$3005&gt;=$C2780-3)*(Ventes_Encaissements!$C$6:$C$3005&lt;=$C2780+3)),1)))</f>
        <v/>
      </c>
      <c r="K2780" s="6" t="n"/>
    </row>
    <row r="2781">
      <c r="A2781" s="6" t="n"/>
      <c r="B2781" s="6" t="n"/>
      <c r="C2781" s="19" t="n"/>
      <c r="D2781" s="19" t="n"/>
      <c r="E2781" s="6" t="n"/>
      <c r="F2781" s="20" t="n"/>
      <c r="G2781" s="9">
        <f>IF($F2781="","",IF($F2781&gt;0,ROUND($F2781,2),""))</f>
        <v/>
      </c>
      <c r="H2781" s="12">
        <f>IF(OR($B2781="",$C2781="",$G2781=""),"",COUNTIFS(Ventes_Encaissements!$E$6:$E$3005,$B2781,Ventes_Encaissements!$J$6:$J$3005,$G2781,Ventes_Encaissements!$C$6:$C$3005,"&gt;="&amp;($C2781-3),Ventes_Encaissements!$C$6:$C$3005,"&lt;="&amp;($C2781+3)))</f>
        <v/>
      </c>
      <c r="I2781" s="12">
        <f>IF($H2781="","",IF($H2781=0,"Non trouvé",IF($H2781=1,"Match","À vérifier")))</f>
        <v/>
      </c>
      <c r="J2781" s="21">
        <f>IF($I2781&lt;&gt;"Match","",INDEX(Ventes_Encaissements!$B$6:$B$3005,_xludf.AGGREGATE(15,6,(ROW(Ventes_Encaissements!$B$6:$B$3005)-ROW(Ventes_Encaissements!$B$6)+1)/((Ventes_Encaissements!$E$6:$E$3005=$B2781)*(Ventes_Encaissements!$J$6:$J$3005=$G2781)*(Ventes_Encaissements!$C$6:$C$3005&gt;=$C2781-3)*(Ventes_Encaissements!$C$6:$C$3005&lt;=$C2781+3)),1)))</f>
        <v/>
      </c>
      <c r="K2781" s="6" t="n"/>
    </row>
    <row r="2782">
      <c r="A2782" s="6" t="n"/>
      <c r="B2782" s="6" t="n"/>
      <c r="C2782" s="19" t="n"/>
      <c r="D2782" s="19" t="n"/>
      <c r="E2782" s="6" t="n"/>
      <c r="F2782" s="20" t="n"/>
      <c r="G2782" s="9">
        <f>IF($F2782="","",IF($F2782&gt;0,ROUND($F2782,2),""))</f>
        <v/>
      </c>
      <c r="H2782" s="12">
        <f>IF(OR($B2782="",$C2782="",$G2782=""),"",COUNTIFS(Ventes_Encaissements!$E$6:$E$3005,$B2782,Ventes_Encaissements!$J$6:$J$3005,$G2782,Ventes_Encaissements!$C$6:$C$3005,"&gt;="&amp;($C2782-3),Ventes_Encaissements!$C$6:$C$3005,"&lt;="&amp;($C2782+3)))</f>
        <v/>
      </c>
      <c r="I2782" s="12">
        <f>IF($H2782="","",IF($H2782=0,"Non trouvé",IF($H2782=1,"Match","À vérifier")))</f>
        <v/>
      </c>
      <c r="J2782" s="21">
        <f>IF($I2782&lt;&gt;"Match","",INDEX(Ventes_Encaissements!$B$6:$B$3005,_xludf.AGGREGATE(15,6,(ROW(Ventes_Encaissements!$B$6:$B$3005)-ROW(Ventes_Encaissements!$B$6)+1)/((Ventes_Encaissements!$E$6:$E$3005=$B2782)*(Ventes_Encaissements!$J$6:$J$3005=$G2782)*(Ventes_Encaissements!$C$6:$C$3005&gt;=$C2782-3)*(Ventes_Encaissements!$C$6:$C$3005&lt;=$C2782+3)),1)))</f>
        <v/>
      </c>
      <c r="K2782" s="6" t="n"/>
    </row>
    <row r="2783">
      <c r="A2783" s="6" t="n"/>
      <c r="B2783" s="6" t="n"/>
      <c r="C2783" s="19" t="n"/>
      <c r="D2783" s="19" t="n"/>
      <c r="E2783" s="6" t="n"/>
      <c r="F2783" s="20" t="n"/>
      <c r="G2783" s="9">
        <f>IF($F2783="","",IF($F2783&gt;0,ROUND($F2783,2),""))</f>
        <v/>
      </c>
      <c r="H2783" s="12">
        <f>IF(OR($B2783="",$C2783="",$G2783=""),"",COUNTIFS(Ventes_Encaissements!$E$6:$E$3005,$B2783,Ventes_Encaissements!$J$6:$J$3005,$G2783,Ventes_Encaissements!$C$6:$C$3005,"&gt;="&amp;($C2783-3),Ventes_Encaissements!$C$6:$C$3005,"&lt;="&amp;($C2783+3)))</f>
        <v/>
      </c>
      <c r="I2783" s="12">
        <f>IF($H2783="","",IF($H2783=0,"Non trouvé",IF($H2783=1,"Match","À vérifier")))</f>
        <v/>
      </c>
      <c r="J2783" s="21">
        <f>IF($I2783&lt;&gt;"Match","",INDEX(Ventes_Encaissements!$B$6:$B$3005,_xludf.AGGREGATE(15,6,(ROW(Ventes_Encaissements!$B$6:$B$3005)-ROW(Ventes_Encaissements!$B$6)+1)/((Ventes_Encaissements!$E$6:$E$3005=$B2783)*(Ventes_Encaissements!$J$6:$J$3005=$G2783)*(Ventes_Encaissements!$C$6:$C$3005&gt;=$C2783-3)*(Ventes_Encaissements!$C$6:$C$3005&lt;=$C2783+3)),1)))</f>
        <v/>
      </c>
      <c r="K2783" s="6" t="n"/>
    </row>
    <row r="2784">
      <c r="A2784" s="6" t="n"/>
      <c r="B2784" s="6" t="n"/>
      <c r="C2784" s="19" t="n"/>
      <c r="D2784" s="19" t="n"/>
      <c r="E2784" s="6" t="n"/>
      <c r="F2784" s="20" t="n"/>
      <c r="G2784" s="9">
        <f>IF($F2784="","",IF($F2784&gt;0,ROUND($F2784,2),""))</f>
        <v/>
      </c>
      <c r="H2784" s="12">
        <f>IF(OR($B2784="",$C2784="",$G2784=""),"",COUNTIFS(Ventes_Encaissements!$E$6:$E$3005,$B2784,Ventes_Encaissements!$J$6:$J$3005,$G2784,Ventes_Encaissements!$C$6:$C$3005,"&gt;="&amp;($C2784-3),Ventes_Encaissements!$C$6:$C$3005,"&lt;="&amp;($C2784+3)))</f>
        <v/>
      </c>
      <c r="I2784" s="12">
        <f>IF($H2784="","",IF($H2784=0,"Non trouvé",IF($H2784=1,"Match","À vérifier")))</f>
        <v/>
      </c>
      <c r="J2784" s="21">
        <f>IF($I2784&lt;&gt;"Match","",INDEX(Ventes_Encaissements!$B$6:$B$3005,_xludf.AGGREGATE(15,6,(ROW(Ventes_Encaissements!$B$6:$B$3005)-ROW(Ventes_Encaissements!$B$6)+1)/((Ventes_Encaissements!$E$6:$E$3005=$B2784)*(Ventes_Encaissements!$J$6:$J$3005=$G2784)*(Ventes_Encaissements!$C$6:$C$3005&gt;=$C2784-3)*(Ventes_Encaissements!$C$6:$C$3005&lt;=$C2784+3)),1)))</f>
        <v/>
      </c>
      <c r="K2784" s="6" t="n"/>
    </row>
    <row r="2785">
      <c r="A2785" s="6" t="n"/>
      <c r="B2785" s="6" t="n"/>
      <c r="C2785" s="19" t="n"/>
      <c r="D2785" s="19" t="n"/>
      <c r="E2785" s="6" t="n"/>
      <c r="F2785" s="20" t="n"/>
      <c r="G2785" s="9">
        <f>IF($F2785="","",IF($F2785&gt;0,ROUND($F2785,2),""))</f>
        <v/>
      </c>
      <c r="H2785" s="12">
        <f>IF(OR($B2785="",$C2785="",$G2785=""),"",COUNTIFS(Ventes_Encaissements!$E$6:$E$3005,$B2785,Ventes_Encaissements!$J$6:$J$3005,$G2785,Ventes_Encaissements!$C$6:$C$3005,"&gt;="&amp;($C2785-3),Ventes_Encaissements!$C$6:$C$3005,"&lt;="&amp;($C2785+3)))</f>
        <v/>
      </c>
      <c r="I2785" s="12">
        <f>IF($H2785="","",IF($H2785=0,"Non trouvé",IF($H2785=1,"Match","À vérifier")))</f>
        <v/>
      </c>
      <c r="J2785" s="21">
        <f>IF($I2785&lt;&gt;"Match","",INDEX(Ventes_Encaissements!$B$6:$B$3005,_xludf.AGGREGATE(15,6,(ROW(Ventes_Encaissements!$B$6:$B$3005)-ROW(Ventes_Encaissements!$B$6)+1)/((Ventes_Encaissements!$E$6:$E$3005=$B2785)*(Ventes_Encaissements!$J$6:$J$3005=$G2785)*(Ventes_Encaissements!$C$6:$C$3005&gt;=$C2785-3)*(Ventes_Encaissements!$C$6:$C$3005&lt;=$C2785+3)),1)))</f>
        <v/>
      </c>
      <c r="K2785" s="6" t="n"/>
    </row>
    <row r="2786">
      <c r="A2786" s="6" t="n"/>
      <c r="B2786" s="6" t="n"/>
      <c r="C2786" s="19" t="n"/>
      <c r="D2786" s="19" t="n"/>
      <c r="E2786" s="6" t="n"/>
      <c r="F2786" s="20" t="n"/>
      <c r="G2786" s="9">
        <f>IF($F2786="","",IF($F2786&gt;0,ROUND($F2786,2),""))</f>
        <v/>
      </c>
      <c r="H2786" s="12">
        <f>IF(OR($B2786="",$C2786="",$G2786=""),"",COUNTIFS(Ventes_Encaissements!$E$6:$E$3005,$B2786,Ventes_Encaissements!$J$6:$J$3005,$G2786,Ventes_Encaissements!$C$6:$C$3005,"&gt;="&amp;($C2786-3),Ventes_Encaissements!$C$6:$C$3005,"&lt;="&amp;($C2786+3)))</f>
        <v/>
      </c>
      <c r="I2786" s="12">
        <f>IF($H2786="","",IF($H2786=0,"Non trouvé",IF($H2786=1,"Match","À vérifier")))</f>
        <v/>
      </c>
      <c r="J2786" s="21">
        <f>IF($I2786&lt;&gt;"Match","",INDEX(Ventes_Encaissements!$B$6:$B$3005,_xludf.AGGREGATE(15,6,(ROW(Ventes_Encaissements!$B$6:$B$3005)-ROW(Ventes_Encaissements!$B$6)+1)/((Ventes_Encaissements!$E$6:$E$3005=$B2786)*(Ventes_Encaissements!$J$6:$J$3005=$G2786)*(Ventes_Encaissements!$C$6:$C$3005&gt;=$C2786-3)*(Ventes_Encaissements!$C$6:$C$3005&lt;=$C2786+3)),1)))</f>
        <v/>
      </c>
      <c r="K2786" s="6" t="n"/>
    </row>
    <row r="2787">
      <c r="A2787" s="6" t="n"/>
      <c r="B2787" s="6" t="n"/>
      <c r="C2787" s="19" t="n"/>
      <c r="D2787" s="19" t="n"/>
      <c r="E2787" s="6" t="n"/>
      <c r="F2787" s="20" t="n"/>
      <c r="G2787" s="9">
        <f>IF($F2787="","",IF($F2787&gt;0,ROUND($F2787,2),""))</f>
        <v/>
      </c>
      <c r="H2787" s="12">
        <f>IF(OR($B2787="",$C2787="",$G2787=""),"",COUNTIFS(Ventes_Encaissements!$E$6:$E$3005,$B2787,Ventes_Encaissements!$J$6:$J$3005,$G2787,Ventes_Encaissements!$C$6:$C$3005,"&gt;="&amp;($C2787-3),Ventes_Encaissements!$C$6:$C$3005,"&lt;="&amp;($C2787+3)))</f>
        <v/>
      </c>
      <c r="I2787" s="12">
        <f>IF($H2787="","",IF($H2787=0,"Non trouvé",IF($H2787=1,"Match","À vérifier")))</f>
        <v/>
      </c>
      <c r="J2787" s="21">
        <f>IF($I2787&lt;&gt;"Match","",INDEX(Ventes_Encaissements!$B$6:$B$3005,_xludf.AGGREGATE(15,6,(ROW(Ventes_Encaissements!$B$6:$B$3005)-ROW(Ventes_Encaissements!$B$6)+1)/((Ventes_Encaissements!$E$6:$E$3005=$B2787)*(Ventes_Encaissements!$J$6:$J$3005=$G2787)*(Ventes_Encaissements!$C$6:$C$3005&gt;=$C2787-3)*(Ventes_Encaissements!$C$6:$C$3005&lt;=$C2787+3)),1)))</f>
        <v/>
      </c>
      <c r="K2787" s="6" t="n"/>
    </row>
    <row r="2788">
      <c r="A2788" s="6" t="n"/>
      <c r="B2788" s="6" t="n"/>
      <c r="C2788" s="19" t="n"/>
      <c r="D2788" s="19" t="n"/>
      <c r="E2788" s="6" t="n"/>
      <c r="F2788" s="20" t="n"/>
      <c r="G2788" s="9">
        <f>IF($F2788="","",IF($F2788&gt;0,ROUND($F2788,2),""))</f>
        <v/>
      </c>
      <c r="H2788" s="12">
        <f>IF(OR($B2788="",$C2788="",$G2788=""),"",COUNTIFS(Ventes_Encaissements!$E$6:$E$3005,$B2788,Ventes_Encaissements!$J$6:$J$3005,$G2788,Ventes_Encaissements!$C$6:$C$3005,"&gt;="&amp;($C2788-3),Ventes_Encaissements!$C$6:$C$3005,"&lt;="&amp;($C2788+3)))</f>
        <v/>
      </c>
      <c r="I2788" s="12">
        <f>IF($H2788="","",IF($H2788=0,"Non trouvé",IF($H2788=1,"Match","À vérifier")))</f>
        <v/>
      </c>
      <c r="J2788" s="21">
        <f>IF($I2788&lt;&gt;"Match","",INDEX(Ventes_Encaissements!$B$6:$B$3005,_xludf.AGGREGATE(15,6,(ROW(Ventes_Encaissements!$B$6:$B$3005)-ROW(Ventes_Encaissements!$B$6)+1)/((Ventes_Encaissements!$E$6:$E$3005=$B2788)*(Ventes_Encaissements!$J$6:$J$3005=$G2788)*(Ventes_Encaissements!$C$6:$C$3005&gt;=$C2788-3)*(Ventes_Encaissements!$C$6:$C$3005&lt;=$C2788+3)),1)))</f>
        <v/>
      </c>
      <c r="K2788" s="6" t="n"/>
    </row>
    <row r="2789">
      <c r="A2789" s="6" t="n"/>
      <c r="B2789" s="6" t="n"/>
      <c r="C2789" s="19" t="n"/>
      <c r="D2789" s="19" t="n"/>
      <c r="E2789" s="6" t="n"/>
      <c r="F2789" s="20" t="n"/>
      <c r="G2789" s="9">
        <f>IF($F2789="","",IF($F2789&gt;0,ROUND($F2789,2),""))</f>
        <v/>
      </c>
      <c r="H2789" s="12">
        <f>IF(OR($B2789="",$C2789="",$G2789=""),"",COUNTIFS(Ventes_Encaissements!$E$6:$E$3005,$B2789,Ventes_Encaissements!$J$6:$J$3005,$G2789,Ventes_Encaissements!$C$6:$C$3005,"&gt;="&amp;($C2789-3),Ventes_Encaissements!$C$6:$C$3005,"&lt;="&amp;($C2789+3)))</f>
        <v/>
      </c>
      <c r="I2789" s="12">
        <f>IF($H2789="","",IF($H2789=0,"Non trouvé",IF($H2789=1,"Match","À vérifier")))</f>
        <v/>
      </c>
      <c r="J2789" s="21">
        <f>IF($I2789&lt;&gt;"Match","",INDEX(Ventes_Encaissements!$B$6:$B$3005,_xludf.AGGREGATE(15,6,(ROW(Ventes_Encaissements!$B$6:$B$3005)-ROW(Ventes_Encaissements!$B$6)+1)/((Ventes_Encaissements!$E$6:$E$3005=$B2789)*(Ventes_Encaissements!$J$6:$J$3005=$G2789)*(Ventes_Encaissements!$C$6:$C$3005&gt;=$C2789-3)*(Ventes_Encaissements!$C$6:$C$3005&lt;=$C2789+3)),1)))</f>
        <v/>
      </c>
      <c r="K2789" s="6" t="n"/>
    </row>
    <row r="2790">
      <c r="A2790" s="6" t="n"/>
      <c r="B2790" s="6" t="n"/>
      <c r="C2790" s="19" t="n"/>
      <c r="D2790" s="19" t="n"/>
      <c r="E2790" s="6" t="n"/>
      <c r="F2790" s="20" t="n"/>
      <c r="G2790" s="9">
        <f>IF($F2790="","",IF($F2790&gt;0,ROUND($F2790,2),""))</f>
        <v/>
      </c>
      <c r="H2790" s="12">
        <f>IF(OR($B2790="",$C2790="",$G2790=""),"",COUNTIFS(Ventes_Encaissements!$E$6:$E$3005,$B2790,Ventes_Encaissements!$J$6:$J$3005,$G2790,Ventes_Encaissements!$C$6:$C$3005,"&gt;="&amp;($C2790-3),Ventes_Encaissements!$C$6:$C$3005,"&lt;="&amp;($C2790+3)))</f>
        <v/>
      </c>
      <c r="I2790" s="12">
        <f>IF($H2790="","",IF($H2790=0,"Non trouvé",IF($H2790=1,"Match","À vérifier")))</f>
        <v/>
      </c>
      <c r="J2790" s="21">
        <f>IF($I2790&lt;&gt;"Match","",INDEX(Ventes_Encaissements!$B$6:$B$3005,_xludf.AGGREGATE(15,6,(ROW(Ventes_Encaissements!$B$6:$B$3005)-ROW(Ventes_Encaissements!$B$6)+1)/((Ventes_Encaissements!$E$6:$E$3005=$B2790)*(Ventes_Encaissements!$J$6:$J$3005=$G2790)*(Ventes_Encaissements!$C$6:$C$3005&gt;=$C2790-3)*(Ventes_Encaissements!$C$6:$C$3005&lt;=$C2790+3)),1)))</f>
        <v/>
      </c>
      <c r="K2790" s="6" t="n"/>
    </row>
    <row r="2791">
      <c r="A2791" s="6" t="n"/>
      <c r="B2791" s="6" t="n"/>
      <c r="C2791" s="19" t="n"/>
      <c r="D2791" s="19" t="n"/>
      <c r="E2791" s="6" t="n"/>
      <c r="F2791" s="20" t="n"/>
      <c r="G2791" s="9">
        <f>IF($F2791="","",IF($F2791&gt;0,ROUND($F2791,2),""))</f>
        <v/>
      </c>
      <c r="H2791" s="12">
        <f>IF(OR($B2791="",$C2791="",$G2791=""),"",COUNTIFS(Ventes_Encaissements!$E$6:$E$3005,$B2791,Ventes_Encaissements!$J$6:$J$3005,$G2791,Ventes_Encaissements!$C$6:$C$3005,"&gt;="&amp;($C2791-3),Ventes_Encaissements!$C$6:$C$3005,"&lt;="&amp;($C2791+3)))</f>
        <v/>
      </c>
      <c r="I2791" s="12">
        <f>IF($H2791="","",IF($H2791=0,"Non trouvé",IF($H2791=1,"Match","À vérifier")))</f>
        <v/>
      </c>
      <c r="J2791" s="21">
        <f>IF($I2791&lt;&gt;"Match","",INDEX(Ventes_Encaissements!$B$6:$B$3005,_xludf.AGGREGATE(15,6,(ROW(Ventes_Encaissements!$B$6:$B$3005)-ROW(Ventes_Encaissements!$B$6)+1)/((Ventes_Encaissements!$E$6:$E$3005=$B2791)*(Ventes_Encaissements!$J$6:$J$3005=$G2791)*(Ventes_Encaissements!$C$6:$C$3005&gt;=$C2791-3)*(Ventes_Encaissements!$C$6:$C$3005&lt;=$C2791+3)),1)))</f>
        <v/>
      </c>
      <c r="K2791" s="6" t="n"/>
    </row>
    <row r="2792">
      <c r="A2792" s="6" t="n"/>
      <c r="B2792" s="6" t="n"/>
      <c r="C2792" s="19" t="n"/>
      <c r="D2792" s="19" t="n"/>
      <c r="E2792" s="6" t="n"/>
      <c r="F2792" s="20" t="n"/>
      <c r="G2792" s="9">
        <f>IF($F2792="","",IF($F2792&gt;0,ROUND($F2792,2),""))</f>
        <v/>
      </c>
      <c r="H2792" s="12">
        <f>IF(OR($B2792="",$C2792="",$G2792=""),"",COUNTIFS(Ventes_Encaissements!$E$6:$E$3005,$B2792,Ventes_Encaissements!$J$6:$J$3005,$G2792,Ventes_Encaissements!$C$6:$C$3005,"&gt;="&amp;($C2792-3),Ventes_Encaissements!$C$6:$C$3005,"&lt;="&amp;($C2792+3)))</f>
        <v/>
      </c>
      <c r="I2792" s="12">
        <f>IF($H2792="","",IF($H2792=0,"Non trouvé",IF($H2792=1,"Match","À vérifier")))</f>
        <v/>
      </c>
      <c r="J2792" s="21">
        <f>IF($I2792&lt;&gt;"Match","",INDEX(Ventes_Encaissements!$B$6:$B$3005,_xludf.AGGREGATE(15,6,(ROW(Ventes_Encaissements!$B$6:$B$3005)-ROW(Ventes_Encaissements!$B$6)+1)/((Ventes_Encaissements!$E$6:$E$3005=$B2792)*(Ventes_Encaissements!$J$6:$J$3005=$G2792)*(Ventes_Encaissements!$C$6:$C$3005&gt;=$C2792-3)*(Ventes_Encaissements!$C$6:$C$3005&lt;=$C2792+3)),1)))</f>
        <v/>
      </c>
      <c r="K2792" s="6" t="n"/>
    </row>
    <row r="2793">
      <c r="A2793" s="6" t="n"/>
      <c r="B2793" s="6" t="n"/>
      <c r="C2793" s="19" t="n"/>
      <c r="D2793" s="19" t="n"/>
      <c r="E2793" s="6" t="n"/>
      <c r="F2793" s="20" t="n"/>
      <c r="G2793" s="9">
        <f>IF($F2793="","",IF($F2793&gt;0,ROUND($F2793,2),""))</f>
        <v/>
      </c>
      <c r="H2793" s="12">
        <f>IF(OR($B2793="",$C2793="",$G2793=""),"",COUNTIFS(Ventes_Encaissements!$E$6:$E$3005,$B2793,Ventes_Encaissements!$J$6:$J$3005,$G2793,Ventes_Encaissements!$C$6:$C$3005,"&gt;="&amp;($C2793-3),Ventes_Encaissements!$C$6:$C$3005,"&lt;="&amp;($C2793+3)))</f>
        <v/>
      </c>
      <c r="I2793" s="12">
        <f>IF($H2793="","",IF($H2793=0,"Non trouvé",IF($H2793=1,"Match","À vérifier")))</f>
        <v/>
      </c>
      <c r="J2793" s="21">
        <f>IF($I2793&lt;&gt;"Match","",INDEX(Ventes_Encaissements!$B$6:$B$3005,_xludf.AGGREGATE(15,6,(ROW(Ventes_Encaissements!$B$6:$B$3005)-ROW(Ventes_Encaissements!$B$6)+1)/((Ventes_Encaissements!$E$6:$E$3005=$B2793)*(Ventes_Encaissements!$J$6:$J$3005=$G2793)*(Ventes_Encaissements!$C$6:$C$3005&gt;=$C2793-3)*(Ventes_Encaissements!$C$6:$C$3005&lt;=$C2793+3)),1)))</f>
        <v/>
      </c>
      <c r="K2793" s="6" t="n"/>
    </row>
    <row r="2794">
      <c r="A2794" s="6" t="n"/>
      <c r="B2794" s="6" t="n"/>
      <c r="C2794" s="19" t="n"/>
      <c r="D2794" s="19" t="n"/>
      <c r="E2794" s="6" t="n"/>
      <c r="F2794" s="20" t="n"/>
      <c r="G2794" s="9">
        <f>IF($F2794="","",IF($F2794&gt;0,ROUND($F2794,2),""))</f>
        <v/>
      </c>
      <c r="H2794" s="12">
        <f>IF(OR($B2794="",$C2794="",$G2794=""),"",COUNTIFS(Ventes_Encaissements!$E$6:$E$3005,$B2794,Ventes_Encaissements!$J$6:$J$3005,$G2794,Ventes_Encaissements!$C$6:$C$3005,"&gt;="&amp;($C2794-3),Ventes_Encaissements!$C$6:$C$3005,"&lt;="&amp;($C2794+3)))</f>
        <v/>
      </c>
      <c r="I2794" s="12">
        <f>IF($H2794="","",IF($H2794=0,"Non trouvé",IF($H2794=1,"Match","À vérifier")))</f>
        <v/>
      </c>
      <c r="J2794" s="21">
        <f>IF($I2794&lt;&gt;"Match","",INDEX(Ventes_Encaissements!$B$6:$B$3005,_xludf.AGGREGATE(15,6,(ROW(Ventes_Encaissements!$B$6:$B$3005)-ROW(Ventes_Encaissements!$B$6)+1)/((Ventes_Encaissements!$E$6:$E$3005=$B2794)*(Ventes_Encaissements!$J$6:$J$3005=$G2794)*(Ventes_Encaissements!$C$6:$C$3005&gt;=$C2794-3)*(Ventes_Encaissements!$C$6:$C$3005&lt;=$C2794+3)),1)))</f>
        <v/>
      </c>
      <c r="K2794" s="6" t="n"/>
    </row>
    <row r="2795">
      <c r="A2795" s="6" t="n"/>
      <c r="B2795" s="6" t="n"/>
      <c r="C2795" s="19" t="n"/>
      <c r="D2795" s="19" t="n"/>
      <c r="E2795" s="6" t="n"/>
      <c r="F2795" s="20" t="n"/>
      <c r="G2795" s="9">
        <f>IF($F2795="","",IF($F2795&gt;0,ROUND($F2795,2),""))</f>
        <v/>
      </c>
      <c r="H2795" s="12">
        <f>IF(OR($B2795="",$C2795="",$G2795=""),"",COUNTIFS(Ventes_Encaissements!$E$6:$E$3005,$B2795,Ventes_Encaissements!$J$6:$J$3005,$G2795,Ventes_Encaissements!$C$6:$C$3005,"&gt;="&amp;($C2795-3),Ventes_Encaissements!$C$6:$C$3005,"&lt;="&amp;($C2795+3)))</f>
        <v/>
      </c>
      <c r="I2795" s="12">
        <f>IF($H2795="","",IF($H2795=0,"Non trouvé",IF($H2795=1,"Match","À vérifier")))</f>
        <v/>
      </c>
      <c r="J2795" s="21">
        <f>IF($I2795&lt;&gt;"Match","",INDEX(Ventes_Encaissements!$B$6:$B$3005,_xludf.AGGREGATE(15,6,(ROW(Ventes_Encaissements!$B$6:$B$3005)-ROW(Ventes_Encaissements!$B$6)+1)/((Ventes_Encaissements!$E$6:$E$3005=$B2795)*(Ventes_Encaissements!$J$6:$J$3005=$G2795)*(Ventes_Encaissements!$C$6:$C$3005&gt;=$C2795-3)*(Ventes_Encaissements!$C$6:$C$3005&lt;=$C2795+3)),1)))</f>
        <v/>
      </c>
      <c r="K2795" s="6" t="n"/>
    </row>
    <row r="2796">
      <c r="A2796" s="6" t="n"/>
      <c r="B2796" s="6" t="n"/>
      <c r="C2796" s="19" t="n"/>
      <c r="D2796" s="19" t="n"/>
      <c r="E2796" s="6" t="n"/>
      <c r="F2796" s="20" t="n"/>
      <c r="G2796" s="9">
        <f>IF($F2796="","",IF($F2796&gt;0,ROUND($F2796,2),""))</f>
        <v/>
      </c>
      <c r="H2796" s="12">
        <f>IF(OR($B2796="",$C2796="",$G2796=""),"",COUNTIFS(Ventes_Encaissements!$E$6:$E$3005,$B2796,Ventes_Encaissements!$J$6:$J$3005,$G2796,Ventes_Encaissements!$C$6:$C$3005,"&gt;="&amp;($C2796-3),Ventes_Encaissements!$C$6:$C$3005,"&lt;="&amp;($C2796+3)))</f>
        <v/>
      </c>
      <c r="I2796" s="12">
        <f>IF($H2796="","",IF($H2796=0,"Non trouvé",IF($H2796=1,"Match","À vérifier")))</f>
        <v/>
      </c>
      <c r="J2796" s="21">
        <f>IF($I2796&lt;&gt;"Match","",INDEX(Ventes_Encaissements!$B$6:$B$3005,_xludf.AGGREGATE(15,6,(ROW(Ventes_Encaissements!$B$6:$B$3005)-ROW(Ventes_Encaissements!$B$6)+1)/((Ventes_Encaissements!$E$6:$E$3005=$B2796)*(Ventes_Encaissements!$J$6:$J$3005=$G2796)*(Ventes_Encaissements!$C$6:$C$3005&gt;=$C2796-3)*(Ventes_Encaissements!$C$6:$C$3005&lt;=$C2796+3)),1)))</f>
        <v/>
      </c>
      <c r="K2796" s="6" t="n"/>
    </row>
    <row r="2797">
      <c r="A2797" s="6" t="n"/>
      <c r="B2797" s="6" t="n"/>
      <c r="C2797" s="19" t="n"/>
      <c r="D2797" s="19" t="n"/>
      <c r="E2797" s="6" t="n"/>
      <c r="F2797" s="20" t="n"/>
      <c r="G2797" s="9">
        <f>IF($F2797="","",IF($F2797&gt;0,ROUND($F2797,2),""))</f>
        <v/>
      </c>
      <c r="H2797" s="12">
        <f>IF(OR($B2797="",$C2797="",$G2797=""),"",COUNTIFS(Ventes_Encaissements!$E$6:$E$3005,$B2797,Ventes_Encaissements!$J$6:$J$3005,$G2797,Ventes_Encaissements!$C$6:$C$3005,"&gt;="&amp;($C2797-3),Ventes_Encaissements!$C$6:$C$3005,"&lt;="&amp;($C2797+3)))</f>
        <v/>
      </c>
      <c r="I2797" s="12">
        <f>IF($H2797="","",IF($H2797=0,"Non trouvé",IF($H2797=1,"Match","À vérifier")))</f>
        <v/>
      </c>
      <c r="J2797" s="21">
        <f>IF($I2797&lt;&gt;"Match","",INDEX(Ventes_Encaissements!$B$6:$B$3005,_xludf.AGGREGATE(15,6,(ROW(Ventes_Encaissements!$B$6:$B$3005)-ROW(Ventes_Encaissements!$B$6)+1)/((Ventes_Encaissements!$E$6:$E$3005=$B2797)*(Ventes_Encaissements!$J$6:$J$3005=$G2797)*(Ventes_Encaissements!$C$6:$C$3005&gt;=$C2797-3)*(Ventes_Encaissements!$C$6:$C$3005&lt;=$C2797+3)),1)))</f>
        <v/>
      </c>
      <c r="K2797" s="6" t="n"/>
    </row>
    <row r="2798">
      <c r="A2798" s="6" t="n"/>
      <c r="B2798" s="6" t="n"/>
      <c r="C2798" s="19" t="n"/>
      <c r="D2798" s="19" t="n"/>
      <c r="E2798" s="6" t="n"/>
      <c r="F2798" s="20" t="n"/>
      <c r="G2798" s="9">
        <f>IF($F2798="","",IF($F2798&gt;0,ROUND($F2798,2),""))</f>
        <v/>
      </c>
      <c r="H2798" s="12">
        <f>IF(OR($B2798="",$C2798="",$G2798=""),"",COUNTIFS(Ventes_Encaissements!$E$6:$E$3005,$B2798,Ventes_Encaissements!$J$6:$J$3005,$G2798,Ventes_Encaissements!$C$6:$C$3005,"&gt;="&amp;($C2798-3),Ventes_Encaissements!$C$6:$C$3005,"&lt;="&amp;($C2798+3)))</f>
        <v/>
      </c>
      <c r="I2798" s="12">
        <f>IF($H2798="","",IF($H2798=0,"Non trouvé",IF($H2798=1,"Match","À vérifier")))</f>
        <v/>
      </c>
      <c r="J2798" s="21">
        <f>IF($I2798&lt;&gt;"Match","",INDEX(Ventes_Encaissements!$B$6:$B$3005,_xludf.AGGREGATE(15,6,(ROW(Ventes_Encaissements!$B$6:$B$3005)-ROW(Ventes_Encaissements!$B$6)+1)/((Ventes_Encaissements!$E$6:$E$3005=$B2798)*(Ventes_Encaissements!$J$6:$J$3005=$G2798)*(Ventes_Encaissements!$C$6:$C$3005&gt;=$C2798-3)*(Ventes_Encaissements!$C$6:$C$3005&lt;=$C2798+3)),1)))</f>
        <v/>
      </c>
      <c r="K2798" s="6" t="n"/>
    </row>
    <row r="2799">
      <c r="A2799" s="6" t="n"/>
      <c r="B2799" s="6" t="n"/>
      <c r="C2799" s="19" t="n"/>
      <c r="D2799" s="19" t="n"/>
      <c r="E2799" s="6" t="n"/>
      <c r="F2799" s="20" t="n"/>
      <c r="G2799" s="9">
        <f>IF($F2799="","",IF($F2799&gt;0,ROUND($F2799,2),""))</f>
        <v/>
      </c>
      <c r="H2799" s="12">
        <f>IF(OR($B2799="",$C2799="",$G2799=""),"",COUNTIFS(Ventes_Encaissements!$E$6:$E$3005,$B2799,Ventes_Encaissements!$J$6:$J$3005,$G2799,Ventes_Encaissements!$C$6:$C$3005,"&gt;="&amp;($C2799-3),Ventes_Encaissements!$C$6:$C$3005,"&lt;="&amp;($C2799+3)))</f>
        <v/>
      </c>
      <c r="I2799" s="12">
        <f>IF($H2799="","",IF($H2799=0,"Non trouvé",IF($H2799=1,"Match","À vérifier")))</f>
        <v/>
      </c>
      <c r="J2799" s="21">
        <f>IF($I2799&lt;&gt;"Match","",INDEX(Ventes_Encaissements!$B$6:$B$3005,_xludf.AGGREGATE(15,6,(ROW(Ventes_Encaissements!$B$6:$B$3005)-ROW(Ventes_Encaissements!$B$6)+1)/((Ventes_Encaissements!$E$6:$E$3005=$B2799)*(Ventes_Encaissements!$J$6:$J$3005=$G2799)*(Ventes_Encaissements!$C$6:$C$3005&gt;=$C2799-3)*(Ventes_Encaissements!$C$6:$C$3005&lt;=$C2799+3)),1)))</f>
        <v/>
      </c>
      <c r="K2799" s="6" t="n"/>
    </row>
    <row r="2800">
      <c r="A2800" s="6" t="n"/>
      <c r="B2800" s="6" t="n"/>
      <c r="C2800" s="19" t="n"/>
      <c r="D2800" s="19" t="n"/>
      <c r="E2800" s="6" t="n"/>
      <c r="F2800" s="20" t="n"/>
      <c r="G2800" s="9">
        <f>IF($F2800="","",IF($F2800&gt;0,ROUND($F2800,2),""))</f>
        <v/>
      </c>
      <c r="H2800" s="12">
        <f>IF(OR($B2800="",$C2800="",$G2800=""),"",COUNTIFS(Ventes_Encaissements!$E$6:$E$3005,$B2800,Ventes_Encaissements!$J$6:$J$3005,$G2800,Ventes_Encaissements!$C$6:$C$3005,"&gt;="&amp;($C2800-3),Ventes_Encaissements!$C$6:$C$3005,"&lt;="&amp;($C2800+3)))</f>
        <v/>
      </c>
      <c r="I2800" s="12">
        <f>IF($H2800="","",IF($H2800=0,"Non trouvé",IF($H2800=1,"Match","À vérifier")))</f>
        <v/>
      </c>
      <c r="J2800" s="21">
        <f>IF($I2800&lt;&gt;"Match","",INDEX(Ventes_Encaissements!$B$6:$B$3005,_xludf.AGGREGATE(15,6,(ROW(Ventes_Encaissements!$B$6:$B$3005)-ROW(Ventes_Encaissements!$B$6)+1)/((Ventes_Encaissements!$E$6:$E$3005=$B2800)*(Ventes_Encaissements!$J$6:$J$3005=$G2800)*(Ventes_Encaissements!$C$6:$C$3005&gt;=$C2800-3)*(Ventes_Encaissements!$C$6:$C$3005&lt;=$C2800+3)),1)))</f>
        <v/>
      </c>
      <c r="K2800" s="6" t="n"/>
    </row>
    <row r="2801">
      <c r="A2801" s="6" t="n"/>
      <c r="B2801" s="6" t="n"/>
      <c r="C2801" s="19" t="n"/>
      <c r="D2801" s="19" t="n"/>
      <c r="E2801" s="6" t="n"/>
      <c r="F2801" s="20" t="n"/>
      <c r="G2801" s="9">
        <f>IF($F2801="","",IF($F2801&gt;0,ROUND($F2801,2),""))</f>
        <v/>
      </c>
      <c r="H2801" s="12">
        <f>IF(OR($B2801="",$C2801="",$G2801=""),"",COUNTIFS(Ventes_Encaissements!$E$6:$E$3005,$B2801,Ventes_Encaissements!$J$6:$J$3005,$G2801,Ventes_Encaissements!$C$6:$C$3005,"&gt;="&amp;($C2801-3),Ventes_Encaissements!$C$6:$C$3005,"&lt;="&amp;($C2801+3)))</f>
        <v/>
      </c>
      <c r="I2801" s="12">
        <f>IF($H2801="","",IF($H2801=0,"Non trouvé",IF($H2801=1,"Match","À vérifier")))</f>
        <v/>
      </c>
      <c r="J2801" s="21">
        <f>IF($I2801&lt;&gt;"Match","",INDEX(Ventes_Encaissements!$B$6:$B$3005,_xludf.AGGREGATE(15,6,(ROW(Ventes_Encaissements!$B$6:$B$3005)-ROW(Ventes_Encaissements!$B$6)+1)/((Ventes_Encaissements!$E$6:$E$3005=$B2801)*(Ventes_Encaissements!$J$6:$J$3005=$G2801)*(Ventes_Encaissements!$C$6:$C$3005&gt;=$C2801-3)*(Ventes_Encaissements!$C$6:$C$3005&lt;=$C2801+3)),1)))</f>
        <v/>
      </c>
      <c r="K2801" s="6" t="n"/>
    </row>
    <row r="2802">
      <c r="A2802" s="6" t="n"/>
      <c r="B2802" s="6" t="n"/>
      <c r="C2802" s="19" t="n"/>
      <c r="D2802" s="19" t="n"/>
      <c r="E2802" s="6" t="n"/>
      <c r="F2802" s="20" t="n"/>
      <c r="G2802" s="9">
        <f>IF($F2802="","",IF($F2802&gt;0,ROUND($F2802,2),""))</f>
        <v/>
      </c>
      <c r="H2802" s="12">
        <f>IF(OR($B2802="",$C2802="",$G2802=""),"",COUNTIFS(Ventes_Encaissements!$E$6:$E$3005,$B2802,Ventes_Encaissements!$J$6:$J$3005,$G2802,Ventes_Encaissements!$C$6:$C$3005,"&gt;="&amp;($C2802-3),Ventes_Encaissements!$C$6:$C$3005,"&lt;="&amp;($C2802+3)))</f>
        <v/>
      </c>
      <c r="I2802" s="12">
        <f>IF($H2802="","",IF($H2802=0,"Non trouvé",IF($H2802=1,"Match","À vérifier")))</f>
        <v/>
      </c>
      <c r="J2802" s="21">
        <f>IF($I2802&lt;&gt;"Match","",INDEX(Ventes_Encaissements!$B$6:$B$3005,_xludf.AGGREGATE(15,6,(ROW(Ventes_Encaissements!$B$6:$B$3005)-ROW(Ventes_Encaissements!$B$6)+1)/((Ventes_Encaissements!$E$6:$E$3005=$B2802)*(Ventes_Encaissements!$J$6:$J$3005=$G2802)*(Ventes_Encaissements!$C$6:$C$3005&gt;=$C2802-3)*(Ventes_Encaissements!$C$6:$C$3005&lt;=$C2802+3)),1)))</f>
        <v/>
      </c>
      <c r="K2802" s="6" t="n"/>
    </row>
    <row r="2803">
      <c r="A2803" s="6" t="n"/>
      <c r="B2803" s="6" t="n"/>
      <c r="C2803" s="19" t="n"/>
      <c r="D2803" s="19" t="n"/>
      <c r="E2803" s="6" t="n"/>
      <c r="F2803" s="20" t="n"/>
      <c r="G2803" s="9">
        <f>IF($F2803="","",IF($F2803&gt;0,ROUND($F2803,2),""))</f>
        <v/>
      </c>
      <c r="H2803" s="12">
        <f>IF(OR($B2803="",$C2803="",$G2803=""),"",COUNTIFS(Ventes_Encaissements!$E$6:$E$3005,$B2803,Ventes_Encaissements!$J$6:$J$3005,$G2803,Ventes_Encaissements!$C$6:$C$3005,"&gt;="&amp;($C2803-3),Ventes_Encaissements!$C$6:$C$3005,"&lt;="&amp;($C2803+3)))</f>
        <v/>
      </c>
      <c r="I2803" s="12">
        <f>IF($H2803="","",IF($H2803=0,"Non trouvé",IF($H2803=1,"Match","À vérifier")))</f>
        <v/>
      </c>
      <c r="J2803" s="21">
        <f>IF($I2803&lt;&gt;"Match","",INDEX(Ventes_Encaissements!$B$6:$B$3005,_xludf.AGGREGATE(15,6,(ROW(Ventes_Encaissements!$B$6:$B$3005)-ROW(Ventes_Encaissements!$B$6)+1)/((Ventes_Encaissements!$E$6:$E$3005=$B2803)*(Ventes_Encaissements!$J$6:$J$3005=$G2803)*(Ventes_Encaissements!$C$6:$C$3005&gt;=$C2803-3)*(Ventes_Encaissements!$C$6:$C$3005&lt;=$C2803+3)),1)))</f>
        <v/>
      </c>
      <c r="K2803" s="6" t="n"/>
    </row>
    <row r="2804">
      <c r="A2804" s="6" t="n"/>
      <c r="B2804" s="6" t="n"/>
      <c r="C2804" s="19" t="n"/>
      <c r="D2804" s="19" t="n"/>
      <c r="E2804" s="6" t="n"/>
      <c r="F2804" s="20" t="n"/>
      <c r="G2804" s="9">
        <f>IF($F2804="","",IF($F2804&gt;0,ROUND($F2804,2),""))</f>
        <v/>
      </c>
      <c r="H2804" s="12">
        <f>IF(OR($B2804="",$C2804="",$G2804=""),"",COUNTIFS(Ventes_Encaissements!$E$6:$E$3005,$B2804,Ventes_Encaissements!$J$6:$J$3005,$G2804,Ventes_Encaissements!$C$6:$C$3005,"&gt;="&amp;($C2804-3),Ventes_Encaissements!$C$6:$C$3005,"&lt;="&amp;($C2804+3)))</f>
        <v/>
      </c>
      <c r="I2804" s="12">
        <f>IF($H2804="","",IF($H2804=0,"Non trouvé",IF($H2804=1,"Match","À vérifier")))</f>
        <v/>
      </c>
      <c r="J2804" s="21">
        <f>IF($I2804&lt;&gt;"Match","",INDEX(Ventes_Encaissements!$B$6:$B$3005,_xludf.AGGREGATE(15,6,(ROW(Ventes_Encaissements!$B$6:$B$3005)-ROW(Ventes_Encaissements!$B$6)+1)/((Ventes_Encaissements!$E$6:$E$3005=$B2804)*(Ventes_Encaissements!$J$6:$J$3005=$G2804)*(Ventes_Encaissements!$C$6:$C$3005&gt;=$C2804-3)*(Ventes_Encaissements!$C$6:$C$3005&lt;=$C2804+3)),1)))</f>
        <v/>
      </c>
      <c r="K2804" s="6" t="n"/>
    </row>
    <row r="2805">
      <c r="A2805" s="6" t="n"/>
      <c r="B2805" s="6" t="n"/>
      <c r="C2805" s="19" t="n"/>
      <c r="D2805" s="19" t="n"/>
      <c r="E2805" s="6" t="n"/>
      <c r="F2805" s="20" t="n"/>
      <c r="G2805" s="9">
        <f>IF($F2805="","",IF($F2805&gt;0,ROUND($F2805,2),""))</f>
        <v/>
      </c>
      <c r="H2805" s="12">
        <f>IF(OR($B2805="",$C2805="",$G2805=""),"",COUNTIFS(Ventes_Encaissements!$E$6:$E$3005,$B2805,Ventes_Encaissements!$J$6:$J$3005,$G2805,Ventes_Encaissements!$C$6:$C$3005,"&gt;="&amp;($C2805-3),Ventes_Encaissements!$C$6:$C$3005,"&lt;="&amp;($C2805+3)))</f>
        <v/>
      </c>
      <c r="I2805" s="12">
        <f>IF($H2805="","",IF($H2805=0,"Non trouvé",IF($H2805=1,"Match","À vérifier")))</f>
        <v/>
      </c>
      <c r="J2805" s="21">
        <f>IF($I2805&lt;&gt;"Match","",INDEX(Ventes_Encaissements!$B$6:$B$3005,_xludf.AGGREGATE(15,6,(ROW(Ventes_Encaissements!$B$6:$B$3005)-ROW(Ventes_Encaissements!$B$6)+1)/((Ventes_Encaissements!$E$6:$E$3005=$B2805)*(Ventes_Encaissements!$J$6:$J$3005=$G2805)*(Ventes_Encaissements!$C$6:$C$3005&gt;=$C2805-3)*(Ventes_Encaissements!$C$6:$C$3005&lt;=$C2805+3)),1)))</f>
        <v/>
      </c>
      <c r="K2805" s="6" t="n"/>
    </row>
    <row r="2806">
      <c r="A2806" s="6" t="n"/>
      <c r="B2806" s="6" t="n"/>
      <c r="C2806" s="19" t="n"/>
      <c r="D2806" s="19" t="n"/>
      <c r="E2806" s="6" t="n"/>
      <c r="F2806" s="20" t="n"/>
      <c r="G2806" s="9">
        <f>IF($F2806="","",IF($F2806&gt;0,ROUND($F2806,2),""))</f>
        <v/>
      </c>
      <c r="H2806" s="12">
        <f>IF(OR($B2806="",$C2806="",$G2806=""),"",COUNTIFS(Ventes_Encaissements!$E$6:$E$3005,$B2806,Ventes_Encaissements!$J$6:$J$3005,$G2806,Ventes_Encaissements!$C$6:$C$3005,"&gt;="&amp;($C2806-3),Ventes_Encaissements!$C$6:$C$3005,"&lt;="&amp;($C2806+3)))</f>
        <v/>
      </c>
      <c r="I2806" s="12">
        <f>IF($H2806="","",IF($H2806=0,"Non trouvé",IF($H2806=1,"Match","À vérifier")))</f>
        <v/>
      </c>
      <c r="J2806" s="21">
        <f>IF($I2806&lt;&gt;"Match","",INDEX(Ventes_Encaissements!$B$6:$B$3005,_xludf.AGGREGATE(15,6,(ROW(Ventes_Encaissements!$B$6:$B$3005)-ROW(Ventes_Encaissements!$B$6)+1)/((Ventes_Encaissements!$E$6:$E$3005=$B2806)*(Ventes_Encaissements!$J$6:$J$3005=$G2806)*(Ventes_Encaissements!$C$6:$C$3005&gt;=$C2806-3)*(Ventes_Encaissements!$C$6:$C$3005&lt;=$C2806+3)),1)))</f>
        <v/>
      </c>
      <c r="K2806" s="6" t="n"/>
    </row>
    <row r="2807">
      <c r="A2807" s="6" t="n"/>
      <c r="B2807" s="6" t="n"/>
      <c r="C2807" s="19" t="n"/>
      <c r="D2807" s="19" t="n"/>
      <c r="E2807" s="6" t="n"/>
      <c r="F2807" s="20" t="n"/>
      <c r="G2807" s="9">
        <f>IF($F2807="","",IF($F2807&gt;0,ROUND($F2807,2),""))</f>
        <v/>
      </c>
      <c r="H2807" s="12">
        <f>IF(OR($B2807="",$C2807="",$G2807=""),"",COUNTIFS(Ventes_Encaissements!$E$6:$E$3005,$B2807,Ventes_Encaissements!$J$6:$J$3005,$G2807,Ventes_Encaissements!$C$6:$C$3005,"&gt;="&amp;($C2807-3),Ventes_Encaissements!$C$6:$C$3005,"&lt;="&amp;($C2807+3)))</f>
        <v/>
      </c>
      <c r="I2807" s="12">
        <f>IF($H2807="","",IF($H2807=0,"Non trouvé",IF($H2807=1,"Match","À vérifier")))</f>
        <v/>
      </c>
      <c r="J2807" s="21">
        <f>IF($I2807&lt;&gt;"Match","",INDEX(Ventes_Encaissements!$B$6:$B$3005,_xludf.AGGREGATE(15,6,(ROW(Ventes_Encaissements!$B$6:$B$3005)-ROW(Ventes_Encaissements!$B$6)+1)/((Ventes_Encaissements!$E$6:$E$3005=$B2807)*(Ventes_Encaissements!$J$6:$J$3005=$G2807)*(Ventes_Encaissements!$C$6:$C$3005&gt;=$C2807-3)*(Ventes_Encaissements!$C$6:$C$3005&lt;=$C2807+3)),1)))</f>
        <v/>
      </c>
      <c r="K2807" s="6" t="n"/>
    </row>
    <row r="2808">
      <c r="A2808" s="6" t="n"/>
      <c r="B2808" s="6" t="n"/>
      <c r="C2808" s="19" t="n"/>
      <c r="D2808" s="19" t="n"/>
      <c r="E2808" s="6" t="n"/>
      <c r="F2808" s="20" t="n"/>
      <c r="G2808" s="9">
        <f>IF($F2808="","",IF($F2808&gt;0,ROUND($F2808,2),""))</f>
        <v/>
      </c>
      <c r="H2808" s="12">
        <f>IF(OR($B2808="",$C2808="",$G2808=""),"",COUNTIFS(Ventes_Encaissements!$E$6:$E$3005,$B2808,Ventes_Encaissements!$J$6:$J$3005,$G2808,Ventes_Encaissements!$C$6:$C$3005,"&gt;="&amp;($C2808-3),Ventes_Encaissements!$C$6:$C$3005,"&lt;="&amp;($C2808+3)))</f>
        <v/>
      </c>
      <c r="I2808" s="12">
        <f>IF($H2808="","",IF($H2808=0,"Non trouvé",IF($H2808=1,"Match","À vérifier")))</f>
        <v/>
      </c>
      <c r="J2808" s="21">
        <f>IF($I2808&lt;&gt;"Match","",INDEX(Ventes_Encaissements!$B$6:$B$3005,_xludf.AGGREGATE(15,6,(ROW(Ventes_Encaissements!$B$6:$B$3005)-ROW(Ventes_Encaissements!$B$6)+1)/((Ventes_Encaissements!$E$6:$E$3005=$B2808)*(Ventes_Encaissements!$J$6:$J$3005=$G2808)*(Ventes_Encaissements!$C$6:$C$3005&gt;=$C2808-3)*(Ventes_Encaissements!$C$6:$C$3005&lt;=$C2808+3)),1)))</f>
        <v/>
      </c>
      <c r="K2808" s="6" t="n"/>
    </row>
    <row r="2809">
      <c r="A2809" s="6" t="n"/>
      <c r="B2809" s="6" t="n"/>
      <c r="C2809" s="19" t="n"/>
      <c r="D2809" s="19" t="n"/>
      <c r="E2809" s="6" t="n"/>
      <c r="F2809" s="20" t="n"/>
      <c r="G2809" s="9">
        <f>IF($F2809="","",IF($F2809&gt;0,ROUND($F2809,2),""))</f>
        <v/>
      </c>
      <c r="H2809" s="12">
        <f>IF(OR($B2809="",$C2809="",$G2809=""),"",COUNTIFS(Ventes_Encaissements!$E$6:$E$3005,$B2809,Ventes_Encaissements!$J$6:$J$3005,$G2809,Ventes_Encaissements!$C$6:$C$3005,"&gt;="&amp;($C2809-3),Ventes_Encaissements!$C$6:$C$3005,"&lt;="&amp;($C2809+3)))</f>
        <v/>
      </c>
      <c r="I2809" s="12">
        <f>IF($H2809="","",IF($H2809=0,"Non trouvé",IF($H2809=1,"Match","À vérifier")))</f>
        <v/>
      </c>
      <c r="J2809" s="21">
        <f>IF($I2809&lt;&gt;"Match","",INDEX(Ventes_Encaissements!$B$6:$B$3005,_xludf.AGGREGATE(15,6,(ROW(Ventes_Encaissements!$B$6:$B$3005)-ROW(Ventes_Encaissements!$B$6)+1)/((Ventes_Encaissements!$E$6:$E$3005=$B2809)*(Ventes_Encaissements!$J$6:$J$3005=$G2809)*(Ventes_Encaissements!$C$6:$C$3005&gt;=$C2809-3)*(Ventes_Encaissements!$C$6:$C$3005&lt;=$C2809+3)),1)))</f>
        <v/>
      </c>
      <c r="K2809" s="6" t="n"/>
    </row>
    <row r="2810">
      <c r="A2810" s="6" t="n"/>
      <c r="B2810" s="6" t="n"/>
      <c r="C2810" s="19" t="n"/>
      <c r="D2810" s="19" t="n"/>
      <c r="E2810" s="6" t="n"/>
      <c r="F2810" s="20" t="n"/>
      <c r="G2810" s="9">
        <f>IF($F2810="","",IF($F2810&gt;0,ROUND($F2810,2),""))</f>
        <v/>
      </c>
      <c r="H2810" s="12">
        <f>IF(OR($B2810="",$C2810="",$G2810=""),"",COUNTIFS(Ventes_Encaissements!$E$6:$E$3005,$B2810,Ventes_Encaissements!$J$6:$J$3005,$G2810,Ventes_Encaissements!$C$6:$C$3005,"&gt;="&amp;($C2810-3),Ventes_Encaissements!$C$6:$C$3005,"&lt;="&amp;($C2810+3)))</f>
        <v/>
      </c>
      <c r="I2810" s="12">
        <f>IF($H2810="","",IF($H2810=0,"Non trouvé",IF($H2810=1,"Match","À vérifier")))</f>
        <v/>
      </c>
      <c r="J2810" s="21">
        <f>IF($I2810&lt;&gt;"Match","",INDEX(Ventes_Encaissements!$B$6:$B$3005,_xludf.AGGREGATE(15,6,(ROW(Ventes_Encaissements!$B$6:$B$3005)-ROW(Ventes_Encaissements!$B$6)+1)/((Ventes_Encaissements!$E$6:$E$3005=$B2810)*(Ventes_Encaissements!$J$6:$J$3005=$G2810)*(Ventes_Encaissements!$C$6:$C$3005&gt;=$C2810-3)*(Ventes_Encaissements!$C$6:$C$3005&lt;=$C2810+3)),1)))</f>
        <v/>
      </c>
      <c r="K2810" s="6" t="n"/>
    </row>
    <row r="2811">
      <c r="A2811" s="6" t="n"/>
      <c r="B2811" s="6" t="n"/>
      <c r="C2811" s="19" t="n"/>
      <c r="D2811" s="19" t="n"/>
      <c r="E2811" s="6" t="n"/>
      <c r="F2811" s="20" t="n"/>
      <c r="G2811" s="9">
        <f>IF($F2811="","",IF($F2811&gt;0,ROUND($F2811,2),""))</f>
        <v/>
      </c>
      <c r="H2811" s="12">
        <f>IF(OR($B2811="",$C2811="",$G2811=""),"",COUNTIFS(Ventes_Encaissements!$E$6:$E$3005,$B2811,Ventes_Encaissements!$J$6:$J$3005,$G2811,Ventes_Encaissements!$C$6:$C$3005,"&gt;="&amp;($C2811-3),Ventes_Encaissements!$C$6:$C$3005,"&lt;="&amp;($C2811+3)))</f>
        <v/>
      </c>
      <c r="I2811" s="12">
        <f>IF($H2811="","",IF($H2811=0,"Non trouvé",IF($H2811=1,"Match","À vérifier")))</f>
        <v/>
      </c>
      <c r="J2811" s="21">
        <f>IF($I2811&lt;&gt;"Match","",INDEX(Ventes_Encaissements!$B$6:$B$3005,_xludf.AGGREGATE(15,6,(ROW(Ventes_Encaissements!$B$6:$B$3005)-ROW(Ventes_Encaissements!$B$6)+1)/((Ventes_Encaissements!$E$6:$E$3005=$B2811)*(Ventes_Encaissements!$J$6:$J$3005=$G2811)*(Ventes_Encaissements!$C$6:$C$3005&gt;=$C2811-3)*(Ventes_Encaissements!$C$6:$C$3005&lt;=$C2811+3)),1)))</f>
        <v/>
      </c>
      <c r="K2811" s="6" t="n"/>
    </row>
    <row r="2812">
      <c r="A2812" s="6" t="n"/>
      <c r="B2812" s="6" t="n"/>
      <c r="C2812" s="19" t="n"/>
      <c r="D2812" s="19" t="n"/>
      <c r="E2812" s="6" t="n"/>
      <c r="F2812" s="20" t="n"/>
      <c r="G2812" s="9">
        <f>IF($F2812="","",IF($F2812&gt;0,ROUND($F2812,2),""))</f>
        <v/>
      </c>
      <c r="H2812" s="12">
        <f>IF(OR($B2812="",$C2812="",$G2812=""),"",COUNTIFS(Ventes_Encaissements!$E$6:$E$3005,$B2812,Ventes_Encaissements!$J$6:$J$3005,$G2812,Ventes_Encaissements!$C$6:$C$3005,"&gt;="&amp;($C2812-3),Ventes_Encaissements!$C$6:$C$3005,"&lt;="&amp;($C2812+3)))</f>
        <v/>
      </c>
      <c r="I2812" s="12">
        <f>IF($H2812="","",IF($H2812=0,"Non trouvé",IF($H2812=1,"Match","À vérifier")))</f>
        <v/>
      </c>
      <c r="J2812" s="21">
        <f>IF($I2812&lt;&gt;"Match","",INDEX(Ventes_Encaissements!$B$6:$B$3005,_xludf.AGGREGATE(15,6,(ROW(Ventes_Encaissements!$B$6:$B$3005)-ROW(Ventes_Encaissements!$B$6)+1)/((Ventes_Encaissements!$E$6:$E$3005=$B2812)*(Ventes_Encaissements!$J$6:$J$3005=$G2812)*(Ventes_Encaissements!$C$6:$C$3005&gt;=$C2812-3)*(Ventes_Encaissements!$C$6:$C$3005&lt;=$C2812+3)),1)))</f>
        <v/>
      </c>
      <c r="K2812" s="6" t="n"/>
    </row>
    <row r="2813">
      <c r="A2813" s="6" t="n"/>
      <c r="B2813" s="6" t="n"/>
      <c r="C2813" s="19" t="n"/>
      <c r="D2813" s="19" t="n"/>
      <c r="E2813" s="6" t="n"/>
      <c r="F2813" s="20" t="n"/>
      <c r="G2813" s="9">
        <f>IF($F2813="","",IF($F2813&gt;0,ROUND($F2813,2),""))</f>
        <v/>
      </c>
      <c r="H2813" s="12">
        <f>IF(OR($B2813="",$C2813="",$G2813=""),"",COUNTIFS(Ventes_Encaissements!$E$6:$E$3005,$B2813,Ventes_Encaissements!$J$6:$J$3005,$G2813,Ventes_Encaissements!$C$6:$C$3005,"&gt;="&amp;($C2813-3),Ventes_Encaissements!$C$6:$C$3005,"&lt;="&amp;($C2813+3)))</f>
        <v/>
      </c>
      <c r="I2813" s="12">
        <f>IF($H2813="","",IF($H2813=0,"Non trouvé",IF($H2813=1,"Match","À vérifier")))</f>
        <v/>
      </c>
      <c r="J2813" s="21">
        <f>IF($I2813&lt;&gt;"Match","",INDEX(Ventes_Encaissements!$B$6:$B$3005,_xludf.AGGREGATE(15,6,(ROW(Ventes_Encaissements!$B$6:$B$3005)-ROW(Ventes_Encaissements!$B$6)+1)/((Ventes_Encaissements!$E$6:$E$3005=$B2813)*(Ventes_Encaissements!$J$6:$J$3005=$G2813)*(Ventes_Encaissements!$C$6:$C$3005&gt;=$C2813-3)*(Ventes_Encaissements!$C$6:$C$3005&lt;=$C2813+3)),1)))</f>
        <v/>
      </c>
      <c r="K2813" s="6" t="n"/>
    </row>
    <row r="2814">
      <c r="A2814" s="6" t="n"/>
      <c r="B2814" s="6" t="n"/>
      <c r="C2814" s="19" t="n"/>
      <c r="D2814" s="19" t="n"/>
      <c r="E2814" s="6" t="n"/>
      <c r="F2814" s="20" t="n"/>
      <c r="G2814" s="9">
        <f>IF($F2814="","",IF($F2814&gt;0,ROUND($F2814,2),""))</f>
        <v/>
      </c>
      <c r="H2814" s="12">
        <f>IF(OR($B2814="",$C2814="",$G2814=""),"",COUNTIFS(Ventes_Encaissements!$E$6:$E$3005,$B2814,Ventes_Encaissements!$J$6:$J$3005,$G2814,Ventes_Encaissements!$C$6:$C$3005,"&gt;="&amp;($C2814-3),Ventes_Encaissements!$C$6:$C$3005,"&lt;="&amp;($C2814+3)))</f>
        <v/>
      </c>
      <c r="I2814" s="12">
        <f>IF($H2814="","",IF($H2814=0,"Non trouvé",IF($H2814=1,"Match","À vérifier")))</f>
        <v/>
      </c>
      <c r="J2814" s="21">
        <f>IF($I2814&lt;&gt;"Match","",INDEX(Ventes_Encaissements!$B$6:$B$3005,_xludf.AGGREGATE(15,6,(ROW(Ventes_Encaissements!$B$6:$B$3005)-ROW(Ventes_Encaissements!$B$6)+1)/((Ventes_Encaissements!$E$6:$E$3005=$B2814)*(Ventes_Encaissements!$J$6:$J$3005=$G2814)*(Ventes_Encaissements!$C$6:$C$3005&gt;=$C2814-3)*(Ventes_Encaissements!$C$6:$C$3005&lt;=$C2814+3)),1)))</f>
        <v/>
      </c>
      <c r="K2814" s="6" t="n"/>
    </row>
    <row r="2815">
      <c r="A2815" s="6" t="n"/>
      <c r="B2815" s="6" t="n"/>
      <c r="C2815" s="19" t="n"/>
      <c r="D2815" s="19" t="n"/>
      <c r="E2815" s="6" t="n"/>
      <c r="F2815" s="20" t="n"/>
      <c r="G2815" s="9">
        <f>IF($F2815="","",IF($F2815&gt;0,ROUND($F2815,2),""))</f>
        <v/>
      </c>
      <c r="H2815" s="12">
        <f>IF(OR($B2815="",$C2815="",$G2815=""),"",COUNTIFS(Ventes_Encaissements!$E$6:$E$3005,$B2815,Ventes_Encaissements!$J$6:$J$3005,$G2815,Ventes_Encaissements!$C$6:$C$3005,"&gt;="&amp;($C2815-3),Ventes_Encaissements!$C$6:$C$3005,"&lt;="&amp;($C2815+3)))</f>
        <v/>
      </c>
      <c r="I2815" s="12">
        <f>IF($H2815="","",IF($H2815=0,"Non trouvé",IF($H2815=1,"Match","À vérifier")))</f>
        <v/>
      </c>
      <c r="J2815" s="21">
        <f>IF($I2815&lt;&gt;"Match","",INDEX(Ventes_Encaissements!$B$6:$B$3005,_xludf.AGGREGATE(15,6,(ROW(Ventes_Encaissements!$B$6:$B$3005)-ROW(Ventes_Encaissements!$B$6)+1)/((Ventes_Encaissements!$E$6:$E$3005=$B2815)*(Ventes_Encaissements!$J$6:$J$3005=$G2815)*(Ventes_Encaissements!$C$6:$C$3005&gt;=$C2815-3)*(Ventes_Encaissements!$C$6:$C$3005&lt;=$C2815+3)),1)))</f>
        <v/>
      </c>
      <c r="K2815" s="6" t="n"/>
    </row>
    <row r="2816">
      <c r="A2816" s="6" t="n"/>
      <c r="B2816" s="6" t="n"/>
      <c r="C2816" s="19" t="n"/>
      <c r="D2816" s="19" t="n"/>
      <c r="E2816" s="6" t="n"/>
      <c r="F2816" s="20" t="n"/>
      <c r="G2816" s="9">
        <f>IF($F2816="","",IF($F2816&gt;0,ROUND($F2816,2),""))</f>
        <v/>
      </c>
      <c r="H2816" s="12">
        <f>IF(OR($B2816="",$C2816="",$G2816=""),"",COUNTIFS(Ventes_Encaissements!$E$6:$E$3005,$B2816,Ventes_Encaissements!$J$6:$J$3005,$G2816,Ventes_Encaissements!$C$6:$C$3005,"&gt;="&amp;($C2816-3),Ventes_Encaissements!$C$6:$C$3005,"&lt;="&amp;($C2816+3)))</f>
        <v/>
      </c>
      <c r="I2816" s="12">
        <f>IF($H2816="","",IF($H2816=0,"Non trouvé",IF($H2816=1,"Match","À vérifier")))</f>
        <v/>
      </c>
      <c r="J2816" s="21">
        <f>IF($I2816&lt;&gt;"Match","",INDEX(Ventes_Encaissements!$B$6:$B$3005,_xludf.AGGREGATE(15,6,(ROW(Ventes_Encaissements!$B$6:$B$3005)-ROW(Ventes_Encaissements!$B$6)+1)/((Ventes_Encaissements!$E$6:$E$3005=$B2816)*(Ventes_Encaissements!$J$6:$J$3005=$G2816)*(Ventes_Encaissements!$C$6:$C$3005&gt;=$C2816-3)*(Ventes_Encaissements!$C$6:$C$3005&lt;=$C2816+3)),1)))</f>
        <v/>
      </c>
      <c r="K2816" s="6" t="n"/>
    </row>
    <row r="2817">
      <c r="A2817" s="6" t="n"/>
      <c r="B2817" s="6" t="n"/>
      <c r="C2817" s="19" t="n"/>
      <c r="D2817" s="19" t="n"/>
      <c r="E2817" s="6" t="n"/>
      <c r="F2817" s="20" t="n"/>
      <c r="G2817" s="9">
        <f>IF($F2817="","",IF($F2817&gt;0,ROUND($F2817,2),""))</f>
        <v/>
      </c>
      <c r="H2817" s="12">
        <f>IF(OR($B2817="",$C2817="",$G2817=""),"",COUNTIFS(Ventes_Encaissements!$E$6:$E$3005,$B2817,Ventes_Encaissements!$J$6:$J$3005,$G2817,Ventes_Encaissements!$C$6:$C$3005,"&gt;="&amp;($C2817-3),Ventes_Encaissements!$C$6:$C$3005,"&lt;="&amp;($C2817+3)))</f>
        <v/>
      </c>
      <c r="I2817" s="12">
        <f>IF($H2817="","",IF($H2817=0,"Non trouvé",IF($H2817=1,"Match","À vérifier")))</f>
        <v/>
      </c>
      <c r="J2817" s="21">
        <f>IF($I2817&lt;&gt;"Match","",INDEX(Ventes_Encaissements!$B$6:$B$3005,_xludf.AGGREGATE(15,6,(ROW(Ventes_Encaissements!$B$6:$B$3005)-ROW(Ventes_Encaissements!$B$6)+1)/((Ventes_Encaissements!$E$6:$E$3005=$B2817)*(Ventes_Encaissements!$J$6:$J$3005=$G2817)*(Ventes_Encaissements!$C$6:$C$3005&gt;=$C2817-3)*(Ventes_Encaissements!$C$6:$C$3005&lt;=$C2817+3)),1)))</f>
        <v/>
      </c>
      <c r="K2817" s="6" t="n"/>
    </row>
    <row r="2818">
      <c r="A2818" s="6" t="n"/>
      <c r="B2818" s="6" t="n"/>
      <c r="C2818" s="19" t="n"/>
      <c r="D2818" s="19" t="n"/>
      <c r="E2818" s="6" t="n"/>
      <c r="F2818" s="20" t="n"/>
      <c r="G2818" s="9">
        <f>IF($F2818="","",IF($F2818&gt;0,ROUND($F2818,2),""))</f>
        <v/>
      </c>
      <c r="H2818" s="12">
        <f>IF(OR($B2818="",$C2818="",$G2818=""),"",COUNTIFS(Ventes_Encaissements!$E$6:$E$3005,$B2818,Ventes_Encaissements!$J$6:$J$3005,$G2818,Ventes_Encaissements!$C$6:$C$3005,"&gt;="&amp;($C2818-3),Ventes_Encaissements!$C$6:$C$3005,"&lt;="&amp;($C2818+3)))</f>
        <v/>
      </c>
      <c r="I2818" s="12">
        <f>IF($H2818="","",IF($H2818=0,"Non trouvé",IF($H2818=1,"Match","À vérifier")))</f>
        <v/>
      </c>
      <c r="J2818" s="21">
        <f>IF($I2818&lt;&gt;"Match","",INDEX(Ventes_Encaissements!$B$6:$B$3005,_xludf.AGGREGATE(15,6,(ROW(Ventes_Encaissements!$B$6:$B$3005)-ROW(Ventes_Encaissements!$B$6)+1)/((Ventes_Encaissements!$E$6:$E$3005=$B2818)*(Ventes_Encaissements!$J$6:$J$3005=$G2818)*(Ventes_Encaissements!$C$6:$C$3005&gt;=$C2818-3)*(Ventes_Encaissements!$C$6:$C$3005&lt;=$C2818+3)),1)))</f>
        <v/>
      </c>
      <c r="K2818" s="6" t="n"/>
    </row>
    <row r="2819">
      <c r="A2819" s="6" t="n"/>
      <c r="B2819" s="6" t="n"/>
      <c r="C2819" s="19" t="n"/>
      <c r="D2819" s="19" t="n"/>
      <c r="E2819" s="6" t="n"/>
      <c r="F2819" s="20" t="n"/>
      <c r="G2819" s="9">
        <f>IF($F2819="","",IF($F2819&gt;0,ROUND($F2819,2),""))</f>
        <v/>
      </c>
      <c r="H2819" s="12">
        <f>IF(OR($B2819="",$C2819="",$G2819=""),"",COUNTIFS(Ventes_Encaissements!$E$6:$E$3005,$B2819,Ventes_Encaissements!$J$6:$J$3005,$G2819,Ventes_Encaissements!$C$6:$C$3005,"&gt;="&amp;($C2819-3),Ventes_Encaissements!$C$6:$C$3005,"&lt;="&amp;($C2819+3)))</f>
        <v/>
      </c>
      <c r="I2819" s="12">
        <f>IF($H2819="","",IF($H2819=0,"Non trouvé",IF($H2819=1,"Match","À vérifier")))</f>
        <v/>
      </c>
      <c r="J2819" s="21">
        <f>IF($I2819&lt;&gt;"Match","",INDEX(Ventes_Encaissements!$B$6:$B$3005,_xludf.AGGREGATE(15,6,(ROW(Ventes_Encaissements!$B$6:$B$3005)-ROW(Ventes_Encaissements!$B$6)+1)/((Ventes_Encaissements!$E$6:$E$3005=$B2819)*(Ventes_Encaissements!$J$6:$J$3005=$G2819)*(Ventes_Encaissements!$C$6:$C$3005&gt;=$C2819-3)*(Ventes_Encaissements!$C$6:$C$3005&lt;=$C2819+3)),1)))</f>
        <v/>
      </c>
      <c r="K2819" s="6" t="n"/>
    </row>
    <row r="2820">
      <c r="A2820" s="6" t="n"/>
      <c r="B2820" s="6" t="n"/>
      <c r="C2820" s="19" t="n"/>
      <c r="D2820" s="19" t="n"/>
      <c r="E2820" s="6" t="n"/>
      <c r="F2820" s="20" t="n"/>
      <c r="G2820" s="9">
        <f>IF($F2820="","",IF($F2820&gt;0,ROUND($F2820,2),""))</f>
        <v/>
      </c>
      <c r="H2820" s="12">
        <f>IF(OR($B2820="",$C2820="",$G2820=""),"",COUNTIFS(Ventes_Encaissements!$E$6:$E$3005,$B2820,Ventes_Encaissements!$J$6:$J$3005,$G2820,Ventes_Encaissements!$C$6:$C$3005,"&gt;="&amp;($C2820-3),Ventes_Encaissements!$C$6:$C$3005,"&lt;="&amp;($C2820+3)))</f>
        <v/>
      </c>
      <c r="I2820" s="12">
        <f>IF($H2820="","",IF($H2820=0,"Non trouvé",IF($H2820=1,"Match","À vérifier")))</f>
        <v/>
      </c>
      <c r="J2820" s="21">
        <f>IF($I2820&lt;&gt;"Match","",INDEX(Ventes_Encaissements!$B$6:$B$3005,_xludf.AGGREGATE(15,6,(ROW(Ventes_Encaissements!$B$6:$B$3005)-ROW(Ventes_Encaissements!$B$6)+1)/((Ventes_Encaissements!$E$6:$E$3005=$B2820)*(Ventes_Encaissements!$J$6:$J$3005=$G2820)*(Ventes_Encaissements!$C$6:$C$3005&gt;=$C2820-3)*(Ventes_Encaissements!$C$6:$C$3005&lt;=$C2820+3)),1)))</f>
        <v/>
      </c>
      <c r="K2820" s="6" t="n"/>
    </row>
    <row r="2821">
      <c r="A2821" s="6" t="n"/>
      <c r="B2821" s="6" t="n"/>
      <c r="C2821" s="19" t="n"/>
      <c r="D2821" s="19" t="n"/>
      <c r="E2821" s="6" t="n"/>
      <c r="F2821" s="20" t="n"/>
      <c r="G2821" s="9">
        <f>IF($F2821="","",IF($F2821&gt;0,ROUND($F2821,2),""))</f>
        <v/>
      </c>
      <c r="H2821" s="12">
        <f>IF(OR($B2821="",$C2821="",$G2821=""),"",COUNTIFS(Ventes_Encaissements!$E$6:$E$3005,$B2821,Ventes_Encaissements!$J$6:$J$3005,$G2821,Ventes_Encaissements!$C$6:$C$3005,"&gt;="&amp;($C2821-3),Ventes_Encaissements!$C$6:$C$3005,"&lt;="&amp;($C2821+3)))</f>
        <v/>
      </c>
      <c r="I2821" s="12">
        <f>IF($H2821="","",IF($H2821=0,"Non trouvé",IF($H2821=1,"Match","À vérifier")))</f>
        <v/>
      </c>
      <c r="J2821" s="21">
        <f>IF($I2821&lt;&gt;"Match","",INDEX(Ventes_Encaissements!$B$6:$B$3005,_xludf.AGGREGATE(15,6,(ROW(Ventes_Encaissements!$B$6:$B$3005)-ROW(Ventes_Encaissements!$B$6)+1)/((Ventes_Encaissements!$E$6:$E$3005=$B2821)*(Ventes_Encaissements!$J$6:$J$3005=$G2821)*(Ventes_Encaissements!$C$6:$C$3005&gt;=$C2821-3)*(Ventes_Encaissements!$C$6:$C$3005&lt;=$C2821+3)),1)))</f>
        <v/>
      </c>
      <c r="K2821" s="6" t="n"/>
    </row>
    <row r="2822">
      <c r="A2822" s="6" t="n"/>
      <c r="B2822" s="6" t="n"/>
      <c r="C2822" s="19" t="n"/>
      <c r="D2822" s="19" t="n"/>
      <c r="E2822" s="6" t="n"/>
      <c r="F2822" s="20" t="n"/>
      <c r="G2822" s="9">
        <f>IF($F2822="","",IF($F2822&gt;0,ROUND($F2822,2),""))</f>
        <v/>
      </c>
      <c r="H2822" s="12">
        <f>IF(OR($B2822="",$C2822="",$G2822=""),"",COUNTIFS(Ventes_Encaissements!$E$6:$E$3005,$B2822,Ventes_Encaissements!$J$6:$J$3005,$G2822,Ventes_Encaissements!$C$6:$C$3005,"&gt;="&amp;($C2822-3),Ventes_Encaissements!$C$6:$C$3005,"&lt;="&amp;($C2822+3)))</f>
        <v/>
      </c>
      <c r="I2822" s="12">
        <f>IF($H2822="","",IF($H2822=0,"Non trouvé",IF($H2822=1,"Match","À vérifier")))</f>
        <v/>
      </c>
      <c r="J2822" s="21">
        <f>IF($I2822&lt;&gt;"Match","",INDEX(Ventes_Encaissements!$B$6:$B$3005,_xludf.AGGREGATE(15,6,(ROW(Ventes_Encaissements!$B$6:$B$3005)-ROW(Ventes_Encaissements!$B$6)+1)/((Ventes_Encaissements!$E$6:$E$3005=$B2822)*(Ventes_Encaissements!$J$6:$J$3005=$G2822)*(Ventes_Encaissements!$C$6:$C$3005&gt;=$C2822-3)*(Ventes_Encaissements!$C$6:$C$3005&lt;=$C2822+3)),1)))</f>
        <v/>
      </c>
      <c r="K2822" s="6" t="n"/>
    </row>
    <row r="2823">
      <c r="A2823" s="6" t="n"/>
      <c r="B2823" s="6" t="n"/>
      <c r="C2823" s="19" t="n"/>
      <c r="D2823" s="19" t="n"/>
      <c r="E2823" s="6" t="n"/>
      <c r="F2823" s="20" t="n"/>
      <c r="G2823" s="9">
        <f>IF($F2823="","",IF($F2823&gt;0,ROUND($F2823,2),""))</f>
        <v/>
      </c>
      <c r="H2823" s="12">
        <f>IF(OR($B2823="",$C2823="",$G2823=""),"",COUNTIFS(Ventes_Encaissements!$E$6:$E$3005,$B2823,Ventes_Encaissements!$J$6:$J$3005,$G2823,Ventes_Encaissements!$C$6:$C$3005,"&gt;="&amp;($C2823-3),Ventes_Encaissements!$C$6:$C$3005,"&lt;="&amp;($C2823+3)))</f>
        <v/>
      </c>
      <c r="I2823" s="12">
        <f>IF($H2823="","",IF($H2823=0,"Non trouvé",IF($H2823=1,"Match","À vérifier")))</f>
        <v/>
      </c>
      <c r="J2823" s="21">
        <f>IF($I2823&lt;&gt;"Match","",INDEX(Ventes_Encaissements!$B$6:$B$3005,_xludf.AGGREGATE(15,6,(ROW(Ventes_Encaissements!$B$6:$B$3005)-ROW(Ventes_Encaissements!$B$6)+1)/((Ventes_Encaissements!$E$6:$E$3005=$B2823)*(Ventes_Encaissements!$J$6:$J$3005=$G2823)*(Ventes_Encaissements!$C$6:$C$3005&gt;=$C2823-3)*(Ventes_Encaissements!$C$6:$C$3005&lt;=$C2823+3)),1)))</f>
        <v/>
      </c>
      <c r="K2823" s="6" t="n"/>
    </row>
    <row r="2824">
      <c r="A2824" s="6" t="n"/>
      <c r="B2824" s="6" t="n"/>
      <c r="C2824" s="19" t="n"/>
      <c r="D2824" s="19" t="n"/>
      <c r="E2824" s="6" t="n"/>
      <c r="F2824" s="20" t="n"/>
      <c r="G2824" s="9">
        <f>IF($F2824="","",IF($F2824&gt;0,ROUND($F2824,2),""))</f>
        <v/>
      </c>
      <c r="H2824" s="12">
        <f>IF(OR($B2824="",$C2824="",$G2824=""),"",COUNTIFS(Ventes_Encaissements!$E$6:$E$3005,$B2824,Ventes_Encaissements!$J$6:$J$3005,$G2824,Ventes_Encaissements!$C$6:$C$3005,"&gt;="&amp;($C2824-3),Ventes_Encaissements!$C$6:$C$3005,"&lt;="&amp;($C2824+3)))</f>
        <v/>
      </c>
      <c r="I2824" s="12">
        <f>IF($H2824="","",IF($H2824=0,"Non trouvé",IF($H2824=1,"Match","À vérifier")))</f>
        <v/>
      </c>
      <c r="J2824" s="21">
        <f>IF($I2824&lt;&gt;"Match","",INDEX(Ventes_Encaissements!$B$6:$B$3005,_xludf.AGGREGATE(15,6,(ROW(Ventes_Encaissements!$B$6:$B$3005)-ROW(Ventes_Encaissements!$B$6)+1)/((Ventes_Encaissements!$E$6:$E$3005=$B2824)*(Ventes_Encaissements!$J$6:$J$3005=$G2824)*(Ventes_Encaissements!$C$6:$C$3005&gt;=$C2824-3)*(Ventes_Encaissements!$C$6:$C$3005&lt;=$C2824+3)),1)))</f>
        <v/>
      </c>
      <c r="K2824" s="6" t="n"/>
    </row>
    <row r="2825">
      <c r="A2825" s="6" t="n"/>
      <c r="B2825" s="6" t="n"/>
      <c r="C2825" s="19" t="n"/>
      <c r="D2825" s="19" t="n"/>
      <c r="E2825" s="6" t="n"/>
      <c r="F2825" s="20" t="n"/>
      <c r="G2825" s="9">
        <f>IF($F2825="","",IF($F2825&gt;0,ROUND($F2825,2),""))</f>
        <v/>
      </c>
      <c r="H2825" s="12">
        <f>IF(OR($B2825="",$C2825="",$G2825=""),"",COUNTIFS(Ventes_Encaissements!$E$6:$E$3005,$B2825,Ventes_Encaissements!$J$6:$J$3005,$G2825,Ventes_Encaissements!$C$6:$C$3005,"&gt;="&amp;($C2825-3),Ventes_Encaissements!$C$6:$C$3005,"&lt;="&amp;($C2825+3)))</f>
        <v/>
      </c>
      <c r="I2825" s="12">
        <f>IF($H2825="","",IF($H2825=0,"Non trouvé",IF($H2825=1,"Match","À vérifier")))</f>
        <v/>
      </c>
      <c r="J2825" s="21">
        <f>IF($I2825&lt;&gt;"Match","",INDEX(Ventes_Encaissements!$B$6:$B$3005,_xludf.AGGREGATE(15,6,(ROW(Ventes_Encaissements!$B$6:$B$3005)-ROW(Ventes_Encaissements!$B$6)+1)/((Ventes_Encaissements!$E$6:$E$3005=$B2825)*(Ventes_Encaissements!$J$6:$J$3005=$G2825)*(Ventes_Encaissements!$C$6:$C$3005&gt;=$C2825-3)*(Ventes_Encaissements!$C$6:$C$3005&lt;=$C2825+3)),1)))</f>
        <v/>
      </c>
      <c r="K2825" s="6" t="n"/>
    </row>
    <row r="2826">
      <c r="A2826" s="6" t="n"/>
      <c r="B2826" s="6" t="n"/>
      <c r="C2826" s="19" t="n"/>
      <c r="D2826" s="19" t="n"/>
      <c r="E2826" s="6" t="n"/>
      <c r="F2826" s="20" t="n"/>
      <c r="G2826" s="9">
        <f>IF($F2826="","",IF($F2826&gt;0,ROUND($F2826,2),""))</f>
        <v/>
      </c>
      <c r="H2826" s="12">
        <f>IF(OR($B2826="",$C2826="",$G2826=""),"",COUNTIFS(Ventes_Encaissements!$E$6:$E$3005,$B2826,Ventes_Encaissements!$J$6:$J$3005,$G2826,Ventes_Encaissements!$C$6:$C$3005,"&gt;="&amp;($C2826-3),Ventes_Encaissements!$C$6:$C$3005,"&lt;="&amp;($C2826+3)))</f>
        <v/>
      </c>
      <c r="I2826" s="12">
        <f>IF($H2826="","",IF($H2826=0,"Non trouvé",IF($H2826=1,"Match","À vérifier")))</f>
        <v/>
      </c>
      <c r="J2826" s="21">
        <f>IF($I2826&lt;&gt;"Match","",INDEX(Ventes_Encaissements!$B$6:$B$3005,_xludf.AGGREGATE(15,6,(ROW(Ventes_Encaissements!$B$6:$B$3005)-ROW(Ventes_Encaissements!$B$6)+1)/((Ventes_Encaissements!$E$6:$E$3005=$B2826)*(Ventes_Encaissements!$J$6:$J$3005=$G2826)*(Ventes_Encaissements!$C$6:$C$3005&gt;=$C2826-3)*(Ventes_Encaissements!$C$6:$C$3005&lt;=$C2826+3)),1)))</f>
        <v/>
      </c>
      <c r="K2826" s="6" t="n"/>
    </row>
    <row r="2827">
      <c r="A2827" s="6" t="n"/>
      <c r="B2827" s="6" t="n"/>
      <c r="C2827" s="19" t="n"/>
      <c r="D2827" s="19" t="n"/>
      <c r="E2827" s="6" t="n"/>
      <c r="F2827" s="20" t="n"/>
      <c r="G2827" s="9">
        <f>IF($F2827="","",IF($F2827&gt;0,ROUND($F2827,2),""))</f>
        <v/>
      </c>
      <c r="H2827" s="12">
        <f>IF(OR($B2827="",$C2827="",$G2827=""),"",COUNTIFS(Ventes_Encaissements!$E$6:$E$3005,$B2827,Ventes_Encaissements!$J$6:$J$3005,$G2827,Ventes_Encaissements!$C$6:$C$3005,"&gt;="&amp;($C2827-3),Ventes_Encaissements!$C$6:$C$3005,"&lt;="&amp;($C2827+3)))</f>
        <v/>
      </c>
      <c r="I2827" s="12">
        <f>IF($H2827="","",IF($H2827=0,"Non trouvé",IF($H2827=1,"Match","À vérifier")))</f>
        <v/>
      </c>
      <c r="J2827" s="21">
        <f>IF($I2827&lt;&gt;"Match","",INDEX(Ventes_Encaissements!$B$6:$B$3005,_xludf.AGGREGATE(15,6,(ROW(Ventes_Encaissements!$B$6:$B$3005)-ROW(Ventes_Encaissements!$B$6)+1)/((Ventes_Encaissements!$E$6:$E$3005=$B2827)*(Ventes_Encaissements!$J$6:$J$3005=$G2827)*(Ventes_Encaissements!$C$6:$C$3005&gt;=$C2827-3)*(Ventes_Encaissements!$C$6:$C$3005&lt;=$C2827+3)),1)))</f>
        <v/>
      </c>
      <c r="K2827" s="6" t="n"/>
    </row>
    <row r="2828">
      <c r="A2828" s="6" t="n"/>
      <c r="B2828" s="6" t="n"/>
      <c r="C2828" s="19" t="n"/>
      <c r="D2828" s="19" t="n"/>
      <c r="E2828" s="6" t="n"/>
      <c r="F2828" s="20" t="n"/>
      <c r="G2828" s="9">
        <f>IF($F2828="","",IF($F2828&gt;0,ROUND($F2828,2),""))</f>
        <v/>
      </c>
      <c r="H2828" s="12">
        <f>IF(OR($B2828="",$C2828="",$G2828=""),"",COUNTIFS(Ventes_Encaissements!$E$6:$E$3005,$B2828,Ventes_Encaissements!$J$6:$J$3005,$G2828,Ventes_Encaissements!$C$6:$C$3005,"&gt;="&amp;($C2828-3),Ventes_Encaissements!$C$6:$C$3005,"&lt;="&amp;($C2828+3)))</f>
        <v/>
      </c>
      <c r="I2828" s="12">
        <f>IF($H2828="","",IF($H2828=0,"Non trouvé",IF($H2828=1,"Match","À vérifier")))</f>
        <v/>
      </c>
      <c r="J2828" s="21">
        <f>IF($I2828&lt;&gt;"Match","",INDEX(Ventes_Encaissements!$B$6:$B$3005,_xludf.AGGREGATE(15,6,(ROW(Ventes_Encaissements!$B$6:$B$3005)-ROW(Ventes_Encaissements!$B$6)+1)/((Ventes_Encaissements!$E$6:$E$3005=$B2828)*(Ventes_Encaissements!$J$6:$J$3005=$G2828)*(Ventes_Encaissements!$C$6:$C$3005&gt;=$C2828-3)*(Ventes_Encaissements!$C$6:$C$3005&lt;=$C2828+3)),1)))</f>
        <v/>
      </c>
      <c r="K2828" s="6" t="n"/>
    </row>
    <row r="2829">
      <c r="A2829" s="6" t="n"/>
      <c r="B2829" s="6" t="n"/>
      <c r="C2829" s="19" t="n"/>
      <c r="D2829" s="19" t="n"/>
      <c r="E2829" s="6" t="n"/>
      <c r="F2829" s="20" t="n"/>
      <c r="G2829" s="9">
        <f>IF($F2829="","",IF($F2829&gt;0,ROUND($F2829,2),""))</f>
        <v/>
      </c>
      <c r="H2829" s="12">
        <f>IF(OR($B2829="",$C2829="",$G2829=""),"",COUNTIFS(Ventes_Encaissements!$E$6:$E$3005,$B2829,Ventes_Encaissements!$J$6:$J$3005,$G2829,Ventes_Encaissements!$C$6:$C$3005,"&gt;="&amp;($C2829-3),Ventes_Encaissements!$C$6:$C$3005,"&lt;="&amp;($C2829+3)))</f>
        <v/>
      </c>
      <c r="I2829" s="12">
        <f>IF($H2829="","",IF($H2829=0,"Non trouvé",IF($H2829=1,"Match","À vérifier")))</f>
        <v/>
      </c>
      <c r="J2829" s="21">
        <f>IF($I2829&lt;&gt;"Match","",INDEX(Ventes_Encaissements!$B$6:$B$3005,_xludf.AGGREGATE(15,6,(ROW(Ventes_Encaissements!$B$6:$B$3005)-ROW(Ventes_Encaissements!$B$6)+1)/((Ventes_Encaissements!$E$6:$E$3005=$B2829)*(Ventes_Encaissements!$J$6:$J$3005=$G2829)*(Ventes_Encaissements!$C$6:$C$3005&gt;=$C2829-3)*(Ventes_Encaissements!$C$6:$C$3005&lt;=$C2829+3)),1)))</f>
        <v/>
      </c>
      <c r="K2829" s="6" t="n"/>
    </row>
    <row r="2830">
      <c r="A2830" s="6" t="n"/>
      <c r="B2830" s="6" t="n"/>
      <c r="C2830" s="19" t="n"/>
      <c r="D2830" s="19" t="n"/>
      <c r="E2830" s="6" t="n"/>
      <c r="F2830" s="20" t="n"/>
      <c r="G2830" s="9">
        <f>IF($F2830="","",IF($F2830&gt;0,ROUND($F2830,2),""))</f>
        <v/>
      </c>
      <c r="H2830" s="12">
        <f>IF(OR($B2830="",$C2830="",$G2830=""),"",COUNTIFS(Ventes_Encaissements!$E$6:$E$3005,$B2830,Ventes_Encaissements!$J$6:$J$3005,$G2830,Ventes_Encaissements!$C$6:$C$3005,"&gt;="&amp;($C2830-3),Ventes_Encaissements!$C$6:$C$3005,"&lt;="&amp;($C2830+3)))</f>
        <v/>
      </c>
      <c r="I2830" s="12">
        <f>IF($H2830="","",IF($H2830=0,"Non trouvé",IF($H2830=1,"Match","À vérifier")))</f>
        <v/>
      </c>
      <c r="J2830" s="21">
        <f>IF($I2830&lt;&gt;"Match","",INDEX(Ventes_Encaissements!$B$6:$B$3005,_xludf.AGGREGATE(15,6,(ROW(Ventes_Encaissements!$B$6:$B$3005)-ROW(Ventes_Encaissements!$B$6)+1)/((Ventes_Encaissements!$E$6:$E$3005=$B2830)*(Ventes_Encaissements!$J$6:$J$3005=$G2830)*(Ventes_Encaissements!$C$6:$C$3005&gt;=$C2830-3)*(Ventes_Encaissements!$C$6:$C$3005&lt;=$C2830+3)),1)))</f>
        <v/>
      </c>
      <c r="K2830" s="6" t="n"/>
    </row>
    <row r="2831">
      <c r="A2831" s="6" t="n"/>
      <c r="B2831" s="6" t="n"/>
      <c r="C2831" s="19" t="n"/>
      <c r="D2831" s="19" t="n"/>
      <c r="E2831" s="6" t="n"/>
      <c r="F2831" s="20" t="n"/>
      <c r="G2831" s="9">
        <f>IF($F2831="","",IF($F2831&gt;0,ROUND($F2831,2),""))</f>
        <v/>
      </c>
      <c r="H2831" s="12">
        <f>IF(OR($B2831="",$C2831="",$G2831=""),"",COUNTIFS(Ventes_Encaissements!$E$6:$E$3005,$B2831,Ventes_Encaissements!$J$6:$J$3005,$G2831,Ventes_Encaissements!$C$6:$C$3005,"&gt;="&amp;($C2831-3),Ventes_Encaissements!$C$6:$C$3005,"&lt;="&amp;($C2831+3)))</f>
        <v/>
      </c>
      <c r="I2831" s="12">
        <f>IF($H2831="","",IF($H2831=0,"Non trouvé",IF($H2831=1,"Match","À vérifier")))</f>
        <v/>
      </c>
      <c r="J2831" s="21">
        <f>IF($I2831&lt;&gt;"Match","",INDEX(Ventes_Encaissements!$B$6:$B$3005,_xludf.AGGREGATE(15,6,(ROW(Ventes_Encaissements!$B$6:$B$3005)-ROW(Ventes_Encaissements!$B$6)+1)/((Ventes_Encaissements!$E$6:$E$3005=$B2831)*(Ventes_Encaissements!$J$6:$J$3005=$G2831)*(Ventes_Encaissements!$C$6:$C$3005&gt;=$C2831-3)*(Ventes_Encaissements!$C$6:$C$3005&lt;=$C2831+3)),1)))</f>
        <v/>
      </c>
      <c r="K2831" s="6" t="n"/>
    </row>
    <row r="2832">
      <c r="A2832" s="6" t="n"/>
      <c r="B2832" s="6" t="n"/>
      <c r="C2832" s="19" t="n"/>
      <c r="D2832" s="19" t="n"/>
      <c r="E2832" s="6" t="n"/>
      <c r="F2832" s="20" t="n"/>
      <c r="G2832" s="9">
        <f>IF($F2832="","",IF($F2832&gt;0,ROUND($F2832,2),""))</f>
        <v/>
      </c>
      <c r="H2832" s="12">
        <f>IF(OR($B2832="",$C2832="",$G2832=""),"",COUNTIFS(Ventes_Encaissements!$E$6:$E$3005,$B2832,Ventes_Encaissements!$J$6:$J$3005,$G2832,Ventes_Encaissements!$C$6:$C$3005,"&gt;="&amp;($C2832-3),Ventes_Encaissements!$C$6:$C$3005,"&lt;="&amp;($C2832+3)))</f>
        <v/>
      </c>
      <c r="I2832" s="12">
        <f>IF($H2832="","",IF($H2832=0,"Non trouvé",IF($H2832=1,"Match","À vérifier")))</f>
        <v/>
      </c>
      <c r="J2832" s="21">
        <f>IF($I2832&lt;&gt;"Match","",INDEX(Ventes_Encaissements!$B$6:$B$3005,_xludf.AGGREGATE(15,6,(ROW(Ventes_Encaissements!$B$6:$B$3005)-ROW(Ventes_Encaissements!$B$6)+1)/((Ventes_Encaissements!$E$6:$E$3005=$B2832)*(Ventes_Encaissements!$J$6:$J$3005=$G2832)*(Ventes_Encaissements!$C$6:$C$3005&gt;=$C2832-3)*(Ventes_Encaissements!$C$6:$C$3005&lt;=$C2832+3)),1)))</f>
        <v/>
      </c>
      <c r="K2832" s="6" t="n"/>
    </row>
    <row r="2833">
      <c r="A2833" s="6" t="n"/>
      <c r="B2833" s="6" t="n"/>
      <c r="C2833" s="19" t="n"/>
      <c r="D2833" s="19" t="n"/>
      <c r="E2833" s="6" t="n"/>
      <c r="F2833" s="20" t="n"/>
      <c r="G2833" s="9">
        <f>IF($F2833="","",IF($F2833&gt;0,ROUND($F2833,2),""))</f>
        <v/>
      </c>
      <c r="H2833" s="12">
        <f>IF(OR($B2833="",$C2833="",$G2833=""),"",COUNTIFS(Ventes_Encaissements!$E$6:$E$3005,$B2833,Ventes_Encaissements!$J$6:$J$3005,$G2833,Ventes_Encaissements!$C$6:$C$3005,"&gt;="&amp;($C2833-3),Ventes_Encaissements!$C$6:$C$3005,"&lt;="&amp;($C2833+3)))</f>
        <v/>
      </c>
      <c r="I2833" s="12">
        <f>IF($H2833="","",IF($H2833=0,"Non trouvé",IF($H2833=1,"Match","À vérifier")))</f>
        <v/>
      </c>
      <c r="J2833" s="21">
        <f>IF($I2833&lt;&gt;"Match","",INDEX(Ventes_Encaissements!$B$6:$B$3005,_xludf.AGGREGATE(15,6,(ROW(Ventes_Encaissements!$B$6:$B$3005)-ROW(Ventes_Encaissements!$B$6)+1)/((Ventes_Encaissements!$E$6:$E$3005=$B2833)*(Ventes_Encaissements!$J$6:$J$3005=$G2833)*(Ventes_Encaissements!$C$6:$C$3005&gt;=$C2833-3)*(Ventes_Encaissements!$C$6:$C$3005&lt;=$C2833+3)),1)))</f>
        <v/>
      </c>
      <c r="K2833" s="6" t="n"/>
    </row>
    <row r="2834">
      <c r="A2834" s="6" t="n"/>
      <c r="B2834" s="6" t="n"/>
      <c r="C2834" s="19" t="n"/>
      <c r="D2834" s="19" t="n"/>
      <c r="E2834" s="6" t="n"/>
      <c r="F2834" s="20" t="n"/>
      <c r="G2834" s="9">
        <f>IF($F2834="","",IF($F2834&gt;0,ROUND($F2834,2),""))</f>
        <v/>
      </c>
      <c r="H2834" s="12">
        <f>IF(OR($B2834="",$C2834="",$G2834=""),"",COUNTIFS(Ventes_Encaissements!$E$6:$E$3005,$B2834,Ventes_Encaissements!$J$6:$J$3005,$G2834,Ventes_Encaissements!$C$6:$C$3005,"&gt;="&amp;($C2834-3),Ventes_Encaissements!$C$6:$C$3005,"&lt;="&amp;($C2834+3)))</f>
        <v/>
      </c>
      <c r="I2834" s="12">
        <f>IF($H2834="","",IF($H2834=0,"Non trouvé",IF($H2834=1,"Match","À vérifier")))</f>
        <v/>
      </c>
      <c r="J2834" s="21">
        <f>IF($I2834&lt;&gt;"Match","",INDEX(Ventes_Encaissements!$B$6:$B$3005,_xludf.AGGREGATE(15,6,(ROW(Ventes_Encaissements!$B$6:$B$3005)-ROW(Ventes_Encaissements!$B$6)+1)/((Ventes_Encaissements!$E$6:$E$3005=$B2834)*(Ventes_Encaissements!$J$6:$J$3005=$G2834)*(Ventes_Encaissements!$C$6:$C$3005&gt;=$C2834-3)*(Ventes_Encaissements!$C$6:$C$3005&lt;=$C2834+3)),1)))</f>
        <v/>
      </c>
      <c r="K2834" s="6" t="n"/>
    </row>
    <row r="2835">
      <c r="A2835" s="6" t="n"/>
      <c r="B2835" s="6" t="n"/>
      <c r="C2835" s="19" t="n"/>
      <c r="D2835" s="19" t="n"/>
      <c r="E2835" s="6" t="n"/>
      <c r="F2835" s="20" t="n"/>
      <c r="G2835" s="9">
        <f>IF($F2835="","",IF($F2835&gt;0,ROUND($F2835,2),""))</f>
        <v/>
      </c>
      <c r="H2835" s="12">
        <f>IF(OR($B2835="",$C2835="",$G2835=""),"",COUNTIFS(Ventes_Encaissements!$E$6:$E$3005,$B2835,Ventes_Encaissements!$J$6:$J$3005,$G2835,Ventes_Encaissements!$C$6:$C$3005,"&gt;="&amp;($C2835-3),Ventes_Encaissements!$C$6:$C$3005,"&lt;="&amp;($C2835+3)))</f>
        <v/>
      </c>
      <c r="I2835" s="12">
        <f>IF($H2835="","",IF($H2835=0,"Non trouvé",IF($H2835=1,"Match","À vérifier")))</f>
        <v/>
      </c>
      <c r="J2835" s="21">
        <f>IF($I2835&lt;&gt;"Match","",INDEX(Ventes_Encaissements!$B$6:$B$3005,_xludf.AGGREGATE(15,6,(ROW(Ventes_Encaissements!$B$6:$B$3005)-ROW(Ventes_Encaissements!$B$6)+1)/((Ventes_Encaissements!$E$6:$E$3005=$B2835)*(Ventes_Encaissements!$J$6:$J$3005=$G2835)*(Ventes_Encaissements!$C$6:$C$3005&gt;=$C2835-3)*(Ventes_Encaissements!$C$6:$C$3005&lt;=$C2835+3)),1)))</f>
        <v/>
      </c>
      <c r="K2835" s="6" t="n"/>
    </row>
    <row r="2836">
      <c r="A2836" s="6" t="n"/>
      <c r="B2836" s="6" t="n"/>
      <c r="C2836" s="19" t="n"/>
      <c r="D2836" s="19" t="n"/>
      <c r="E2836" s="6" t="n"/>
      <c r="F2836" s="20" t="n"/>
      <c r="G2836" s="9">
        <f>IF($F2836="","",IF($F2836&gt;0,ROUND($F2836,2),""))</f>
        <v/>
      </c>
      <c r="H2836" s="12">
        <f>IF(OR($B2836="",$C2836="",$G2836=""),"",COUNTIFS(Ventes_Encaissements!$E$6:$E$3005,$B2836,Ventes_Encaissements!$J$6:$J$3005,$G2836,Ventes_Encaissements!$C$6:$C$3005,"&gt;="&amp;($C2836-3),Ventes_Encaissements!$C$6:$C$3005,"&lt;="&amp;($C2836+3)))</f>
        <v/>
      </c>
      <c r="I2836" s="12">
        <f>IF($H2836="","",IF($H2836=0,"Non trouvé",IF($H2836=1,"Match","À vérifier")))</f>
        <v/>
      </c>
      <c r="J2836" s="21">
        <f>IF($I2836&lt;&gt;"Match","",INDEX(Ventes_Encaissements!$B$6:$B$3005,_xludf.AGGREGATE(15,6,(ROW(Ventes_Encaissements!$B$6:$B$3005)-ROW(Ventes_Encaissements!$B$6)+1)/((Ventes_Encaissements!$E$6:$E$3005=$B2836)*(Ventes_Encaissements!$J$6:$J$3005=$G2836)*(Ventes_Encaissements!$C$6:$C$3005&gt;=$C2836-3)*(Ventes_Encaissements!$C$6:$C$3005&lt;=$C2836+3)),1)))</f>
        <v/>
      </c>
      <c r="K2836" s="6" t="n"/>
    </row>
    <row r="2837">
      <c r="A2837" s="6" t="n"/>
      <c r="B2837" s="6" t="n"/>
      <c r="C2837" s="19" t="n"/>
      <c r="D2837" s="19" t="n"/>
      <c r="E2837" s="6" t="n"/>
      <c r="F2837" s="20" t="n"/>
      <c r="G2837" s="9">
        <f>IF($F2837="","",IF($F2837&gt;0,ROUND($F2837,2),""))</f>
        <v/>
      </c>
      <c r="H2837" s="12">
        <f>IF(OR($B2837="",$C2837="",$G2837=""),"",COUNTIFS(Ventes_Encaissements!$E$6:$E$3005,$B2837,Ventes_Encaissements!$J$6:$J$3005,$G2837,Ventes_Encaissements!$C$6:$C$3005,"&gt;="&amp;($C2837-3),Ventes_Encaissements!$C$6:$C$3005,"&lt;="&amp;($C2837+3)))</f>
        <v/>
      </c>
      <c r="I2837" s="12">
        <f>IF($H2837="","",IF($H2837=0,"Non trouvé",IF($H2837=1,"Match","À vérifier")))</f>
        <v/>
      </c>
      <c r="J2837" s="21">
        <f>IF($I2837&lt;&gt;"Match","",INDEX(Ventes_Encaissements!$B$6:$B$3005,_xludf.AGGREGATE(15,6,(ROW(Ventes_Encaissements!$B$6:$B$3005)-ROW(Ventes_Encaissements!$B$6)+1)/((Ventes_Encaissements!$E$6:$E$3005=$B2837)*(Ventes_Encaissements!$J$6:$J$3005=$G2837)*(Ventes_Encaissements!$C$6:$C$3005&gt;=$C2837-3)*(Ventes_Encaissements!$C$6:$C$3005&lt;=$C2837+3)),1)))</f>
        <v/>
      </c>
      <c r="K2837" s="6" t="n"/>
    </row>
    <row r="2838">
      <c r="A2838" s="6" t="n"/>
      <c r="B2838" s="6" t="n"/>
      <c r="C2838" s="19" t="n"/>
      <c r="D2838" s="19" t="n"/>
      <c r="E2838" s="6" t="n"/>
      <c r="F2838" s="20" t="n"/>
      <c r="G2838" s="9">
        <f>IF($F2838="","",IF($F2838&gt;0,ROUND($F2838,2),""))</f>
        <v/>
      </c>
      <c r="H2838" s="12">
        <f>IF(OR($B2838="",$C2838="",$G2838=""),"",COUNTIFS(Ventes_Encaissements!$E$6:$E$3005,$B2838,Ventes_Encaissements!$J$6:$J$3005,$G2838,Ventes_Encaissements!$C$6:$C$3005,"&gt;="&amp;($C2838-3),Ventes_Encaissements!$C$6:$C$3005,"&lt;="&amp;($C2838+3)))</f>
        <v/>
      </c>
      <c r="I2838" s="12">
        <f>IF($H2838="","",IF($H2838=0,"Non trouvé",IF($H2838=1,"Match","À vérifier")))</f>
        <v/>
      </c>
      <c r="J2838" s="21">
        <f>IF($I2838&lt;&gt;"Match","",INDEX(Ventes_Encaissements!$B$6:$B$3005,_xludf.AGGREGATE(15,6,(ROW(Ventes_Encaissements!$B$6:$B$3005)-ROW(Ventes_Encaissements!$B$6)+1)/((Ventes_Encaissements!$E$6:$E$3005=$B2838)*(Ventes_Encaissements!$J$6:$J$3005=$G2838)*(Ventes_Encaissements!$C$6:$C$3005&gt;=$C2838-3)*(Ventes_Encaissements!$C$6:$C$3005&lt;=$C2838+3)),1)))</f>
        <v/>
      </c>
      <c r="K2838" s="6" t="n"/>
    </row>
    <row r="2839">
      <c r="A2839" s="6" t="n"/>
      <c r="B2839" s="6" t="n"/>
      <c r="C2839" s="19" t="n"/>
      <c r="D2839" s="19" t="n"/>
      <c r="E2839" s="6" t="n"/>
      <c r="F2839" s="20" t="n"/>
      <c r="G2839" s="9">
        <f>IF($F2839="","",IF($F2839&gt;0,ROUND($F2839,2),""))</f>
        <v/>
      </c>
      <c r="H2839" s="12">
        <f>IF(OR($B2839="",$C2839="",$G2839=""),"",COUNTIFS(Ventes_Encaissements!$E$6:$E$3005,$B2839,Ventes_Encaissements!$J$6:$J$3005,$G2839,Ventes_Encaissements!$C$6:$C$3005,"&gt;="&amp;($C2839-3),Ventes_Encaissements!$C$6:$C$3005,"&lt;="&amp;($C2839+3)))</f>
        <v/>
      </c>
      <c r="I2839" s="12">
        <f>IF($H2839="","",IF($H2839=0,"Non trouvé",IF($H2839=1,"Match","À vérifier")))</f>
        <v/>
      </c>
      <c r="J2839" s="21">
        <f>IF($I2839&lt;&gt;"Match","",INDEX(Ventes_Encaissements!$B$6:$B$3005,_xludf.AGGREGATE(15,6,(ROW(Ventes_Encaissements!$B$6:$B$3005)-ROW(Ventes_Encaissements!$B$6)+1)/((Ventes_Encaissements!$E$6:$E$3005=$B2839)*(Ventes_Encaissements!$J$6:$J$3005=$G2839)*(Ventes_Encaissements!$C$6:$C$3005&gt;=$C2839-3)*(Ventes_Encaissements!$C$6:$C$3005&lt;=$C2839+3)),1)))</f>
        <v/>
      </c>
      <c r="K2839" s="6" t="n"/>
    </row>
    <row r="2840">
      <c r="A2840" s="6" t="n"/>
      <c r="B2840" s="6" t="n"/>
      <c r="C2840" s="19" t="n"/>
      <c r="D2840" s="19" t="n"/>
      <c r="E2840" s="6" t="n"/>
      <c r="F2840" s="20" t="n"/>
      <c r="G2840" s="9">
        <f>IF($F2840="","",IF($F2840&gt;0,ROUND($F2840,2),""))</f>
        <v/>
      </c>
      <c r="H2840" s="12">
        <f>IF(OR($B2840="",$C2840="",$G2840=""),"",COUNTIFS(Ventes_Encaissements!$E$6:$E$3005,$B2840,Ventes_Encaissements!$J$6:$J$3005,$G2840,Ventes_Encaissements!$C$6:$C$3005,"&gt;="&amp;($C2840-3),Ventes_Encaissements!$C$6:$C$3005,"&lt;="&amp;($C2840+3)))</f>
        <v/>
      </c>
      <c r="I2840" s="12">
        <f>IF($H2840="","",IF($H2840=0,"Non trouvé",IF($H2840=1,"Match","À vérifier")))</f>
        <v/>
      </c>
      <c r="J2840" s="21">
        <f>IF($I2840&lt;&gt;"Match","",INDEX(Ventes_Encaissements!$B$6:$B$3005,_xludf.AGGREGATE(15,6,(ROW(Ventes_Encaissements!$B$6:$B$3005)-ROW(Ventes_Encaissements!$B$6)+1)/((Ventes_Encaissements!$E$6:$E$3005=$B2840)*(Ventes_Encaissements!$J$6:$J$3005=$G2840)*(Ventes_Encaissements!$C$6:$C$3005&gt;=$C2840-3)*(Ventes_Encaissements!$C$6:$C$3005&lt;=$C2840+3)),1)))</f>
        <v/>
      </c>
      <c r="K2840" s="6" t="n"/>
    </row>
    <row r="2841">
      <c r="A2841" s="6" t="n"/>
      <c r="B2841" s="6" t="n"/>
      <c r="C2841" s="19" t="n"/>
      <c r="D2841" s="19" t="n"/>
      <c r="E2841" s="6" t="n"/>
      <c r="F2841" s="20" t="n"/>
      <c r="G2841" s="9">
        <f>IF($F2841="","",IF($F2841&gt;0,ROUND($F2841,2),""))</f>
        <v/>
      </c>
      <c r="H2841" s="12">
        <f>IF(OR($B2841="",$C2841="",$G2841=""),"",COUNTIFS(Ventes_Encaissements!$E$6:$E$3005,$B2841,Ventes_Encaissements!$J$6:$J$3005,$G2841,Ventes_Encaissements!$C$6:$C$3005,"&gt;="&amp;($C2841-3),Ventes_Encaissements!$C$6:$C$3005,"&lt;="&amp;($C2841+3)))</f>
        <v/>
      </c>
      <c r="I2841" s="12">
        <f>IF($H2841="","",IF($H2841=0,"Non trouvé",IF($H2841=1,"Match","À vérifier")))</f>
        <v/>
      </c>
      <c r="J2841" s="21">
        <f>IF($I2841&lt;&gt;"Match","",INDEX(Ventes_Encaissements!$B$6:$B$3005,_xludf.AGGREGATE(15,6,(ROW(Ventes_Encaissements!$B$6:$B$3005)-ROW(Ventes_Encaissements!$B$6)+1)/((Ventes_Encaissements!$E$6:$E$3005=$B2841)*(Ventes_Encaissements!$J$6:$J$3005=$G2841)*(Ventes_Encaissements!$C$6:$C$3005&gt;=$C2841-3)*(Ventes_Encaissements!$C$6:$C$3005&lt;=$C2841+3)),1)))</f>
        <v/>
      </c>
      <c r="K2841" s="6" t="n"/>
    </row>
    <row r="2842">
      <c r="A2842" s="6" t="n"/>
      <c r="B2842" s="6" t="n"/>
      <c r="C2842" s="19" t="n"/>
      <c r="D2842" s="19" t="n"/>
      <c r="E2842" s="6" t="n"/>
      <c r="F2842" s="20" t="n"/>
      <c r="G2842" s="9">
        <f>IF($F2842="","",IF($F2842&gt;0,ROUND($F2842,2),""))</f>
        <v/>
      </c>
      <c r="H2842" s="12">
        <f>IF(OR($B2842="",$C2842="",$G2842=""),"",COUNTIFS(Ventes_Encaissements!$E$6:$E$3005,$B2842,Ventes_Encaissements!$J$6:$J$3005,$G2842,Ventes_Encaissements!$C$6:$C$3005,"&gt;="&amp;($C2842-3),Ventes_Encaissements!$C$6:$C$3005,"&lt;="&amp;($C2842+3)))</f>
        <v/>
      </c>
      <c r="I2842" s="12">
        <f>IF($H2842="","",IF($H2842=0,"Non trouvé",IF($H2842=1,"Match","À vérifier")))</f>
        <v/>
      </c>
      <c r="J2842" s="21">
        <f>IF($I2842&lt;&gt;"Match","",INDEX(Ventes_Encaissements!$B$6:$B$3005,_xludf.AGGREGATE(15,6,(ROW(Ventes_Encaissements!$B$6:$B$3005)-ROW(Ventes_Encaissements!$B$6)+1)/((Ventes_Encaissements!$E$6:$E$3005=$B2842)*(Ventes_Encaissements!$J$6:$J$3005=$G2842)*(Ventes_Encaissements!$C$6:$C$3005&gt;=$C2842-3)*(Ventes_Encaissements!$C$6:$C$3005&lt;=$C2842+3)),1)))</f>
        <v/>
      </c>
      <c r="K2842" s="6" t="n"/>
    </row>
    <row r="2843">
      <c r="A2843" s="6" t="n"/>
      <c r="B2843" s="6" t="n"/>
      <c r="C2843" s="19" t="n"/>
      <c r="D2843" s="19" t="n"/>
      <c r="E2843" s="6" t="n"/>
      <c r="F2843" s="20" t="n"/>
      <c r="G2843" s="9">
        <f>IF($F2843="","",IF($F2843&gt;0,ROUND($F2843,2),""))</f>
        <v/>
      </c>
      <c r="H2843" s="12">
        <f>IF(OR($B2843="",$C2843="",$G2843=""),"",COUNTIFS(Ventes_Encaissements!$E$6:$E$3005,$B2843,Ventes_Encaissements!$J$6:$J$3005,$G2843,Ventes_Encaissements!$C$6:$C$3005,"&gt;="&amp;($C2843-3),Ventes_Encaissements!$C$6:$C$3005,"&lt;="&amp;($C2843+3)))</f>
        <v/>
      </c>
      <c r="I2843" s="12">
        <f>IF($H2843="","",IF($H2843=0,"Non trouvé",IF($H2843=1,"Match","À vérifier")))</f>
        <v/>
      </c>
      <c r="J2843" s="21">
        <f>IF($I2843&lt;&gt;"Match","",INDEX(Ventes_Encaissements!$B$6:$B$3005,_xludf.AGGREGATE(15,6,(ROW(Ventes_Encaissements!$B$6:$B$3005)-ROW(Ventes_Encaissements!$B$6)+1)/((Ventes_Encaissements!$E$6:$E$3005=$B2843)*(Ventes_Encaissements!$J$6:$J$3005=$G2843)*(Ventes_Encaissements!$C$6:$C$3005&gt;=$C2843-3)*(Ventes_Encaissements!$C$6:$C$3005&lt;=$C2843+3)),1)))</f>
        <v/>
      </c>
      <c r="K2843" s="6" t="n"/>
    </row>
    <row r="2844">
      <c r="A2844" s="6" t="n"/>
      <c r="B2844" s="6" t="n"/>
      <c r="C2844" s="19" t="n"/>
      <c r="D2844" s="19" t="n"/>
      <c r="E2844" s="6" t="n"/>
      <c r="F2844" s="20" t="n"/>
      <c r="G2844" s="9">
        <f>IF($F2844="","",IF($F2844&gt;0,ROUND($F2844,2),""))</f>
        <v/>
      </c>
      <c r="H2844" s="12">
        <f>IF(OR($B2844="",$C2844="",$G2844=""),"",COUNTIFS(Ventes_Encaissements!$E$6:$E$3005,$B2844,Ventes_Encaissements!$J$6:$J$3005,$G2844,Ventes_Encaissements!$C$6:$C$3005,"&gt;="&amp;($C2844-3),Ventes_Encaissements!$C$6:$C$3005,"&lt;="&amp;($C2844+3)))</f>
        <v/>
      </c>
      <c r="I2844" s="12">
        <f>IF($H2844="","",IF($H2844=0,"Non trouvé",IF($H2844=1,"Match","À vérifier")))</f>
        <v/>
      </c>
      <c r="J2844" s="21">
        <f>IF($I2844&lt;&gt;"Match","",INDEX(Ventes_Encaissements!$B$6:$B$3005,_xludf.AGGREGATE(15,6,(ROW(Ventes_Encaissements!$B$6:$B$3005)-ROW(Ventes_Encaissements!$B$6)+1)/((Ventes_Encaissements!$E$6:$E$3005=$B2844)*(Ventes_Encaissements!$J$6:$J$3005=$G2844)*(Ventes_Encaissements!$C$6:$C$3005&gt;=$C2844-3)*(Ventes_Encaissements!$C$6:$C$3005&lt;=$C2844+3)),1)))</f>
        <v/>
      </c>
      <c r="K2844" s="6" t="n"/>
    </row>
    <row r="2845">
      <c r="A2845" s="6" t="n"/>
      <c r="B2845" s="6" t="n"/>
      <c r="C2845" s="19" t="n"/>
      <c r="D2845" s="19" t="n"/>
      <c r="E2845" s="6" t="n"/>
      <c r="F2845" s="20" t="n"/>
      <c r="G2845" s="9">
        <f>IF($F2845="","",IF($F2845&gt;0,ROUND($F2845,2),""))</f>
        <v/>
      </c>
      <c r="H2845" s="12">
        <f>IF(OR($B2845="",$C2845="",$G2845=""),"",COUNTIFS(Ventes_Encaissements!$E$6:$E$3005,$B2845,Ventes_Encaissements!$J$6:$J$3005,$G2845,Ventes_Encaissements!$C$6:$C$3005,"&gt;="&amp;($C2845-3),Ventes_Encaissements!$C$6:$C$3005,"&lt;="&amp;($C2845+3)))</f>
        <v/>
      </c>
      <c r="I2845" s="12">
        <f>IF($H2845="","",IF($H2845=0,"Non trouvé",IF($H2845=1,"Match","À vérifier")))</f>
        <v/>
      </c>
      <c r="J2845" s="21">
        <f>IF($I2845&lt;&gt;"Match","",INDEX(Ventes_Encaissements!$B$6:$B$3005,_xludf.AGGREGATE(15,6,(ROW(Ventes_Encaissements!$B$6:$B$3005)-ROW(Ventes_Encaissements!$B$6)+1)/((Ventes_Encaissements!$E$6:$E$3005=$B2845)*(Ventes_Encaissements!$J$6:$J$3005=$G2845)*(Ventes_Encaissements!$C$6:$C$3005&gt;=$C2845-3)*(Ventes_Encaissements!$C$6:$C$3005&lt;=$C2845+3)),1)))</f>
        <v/>
      </c>
      <c r="K2845" s="6" t="n"/>
    </row>
    <row r="2846">
      <c r="A2846" s="6" t="n"/>
      <c r="B2846" s="6" t="n"/>
      <c r="C2846" s="19" t="n"/>
      <c r="D2846" s="19" t="n"/>
      <c r="E2846" s="6" t="n"/>
      <c r="F2846" s="20" t="n"/>
      <c r="G2846" s="9">
        <f>IF($F2846="","",IF($F2846&gt;0,ROUND($F2846,2),""))</f>
        <v/>
      </c>
      <c r="H2846" s="12">
        <f>IF(OR($B2846="",$C2846="",$G2846=""),"",COUNTIFS(Ventes_Encaissements!$E$6:$E$3005,$B2846,Ventes_Encaissements!$J$6:$J$3005,$G2846,Ventes_Encaissements!$C$6:$C$3005,"&gt;="&amp;($C2846-3),Ventes_Encaissements!$C$6:$C$3005,"&lt;="&amp;($C2846+3)))</f>
        <v/>
      </c>
      <c r="I2846" s="12">
        <f>IF($H2846="","",IF($H2846=0,"Non trouvé",IF($H2846=1,"Match","À vérifier")))</f>
        <v/>
      </c>
      <c r="J2846" s="21">
        <f>IF($I2846&lt;&gt;"Match","",INDEX(Ventes_Encaissements!$B$6:$B$3005,_xludf.AGGREGATE(15,6,(ROW(Ventes_Encaissements!$B$6:$B$3005)-ROW(Ventes_Encaissements!$B$6)+1)/((Ventes_Encaissements!$E$6:$E$3005=$B2846)*(Ventes_Encaissements!$J$6:$J$3005=$G2846)*(Ventes_Encaissements!$C$6:$C$3005&gt;=$C2846-3)*(Ventes_Encaissements!$C$6:$C$3005&lt;=$C2846+3)),1)))</f>
        <v/>
      </c>
      <c r="K2846" s="6" t="n"/>
    </row>
    <row r="2847">
      <c r="A2847" s="6" t="n"/>
      <c r="B2847" s="6" t="n"/>
      <c r="C2847" s="19" t="n"/>
      <c r="D2847" s="19" t="n"/>
      <c r="E2847" s="6" t="n"/>
      <c r="F2847" s="20" t="n"/>
      <c r="G2847" s="9">
        <f>IF($F2847="","",IF($F2847&gt;0,ROUND($F2847,2),""))</f>
        <v/>
      </c>
      <c r="H2847" s="12">
        <f>IF(OR($B2847="",$C2847="",$G2847=""),"",COUNTIFS(Ventes_Encaissements!$E$6:$E$3005,$B2847,Ventes_Encaissements!$J$6:$J$3005,$G2847,Ventes_Encaissements!$C$6:$C$3005,"&gt;="&amp;($C2847-3),Ventes_Encaissements!$C$6:$C$3005,"&lt;="&amp;($C2847+3)))</f>
        <v/>
      </c>
      <c r="I2847" s="12">
        <f>IF($H2847="","",IF($H2847=0,"Non trouvé",IF($H2847=1,"Match","À vérifier")))</f>
        <v/>
      </c>
      <c r="J2847" s="21">
        <f>IF($I2847&lt;&gt;"Match","",INDEX(Ventes_Encaissements!$B$6:$B$3005,_xludf.AGGREGATE(15,6,(ROW(Ventes_Encaissements!$B$6:$B$3005)-ROW(Ventes_Encaissements!$B$6)+1)/((Ventes_Encaissements!$E$6:$E$3005=$B2847)*(Ventes_Encaissements!$J$6:$J$3005=$G2847)*(Ventes_Encaissements!$C$6:$C$3005&gt;=$C2847-3)*(Ventes_Encaissements!$C$6:$C$3005&lt;=$C2847+3)),1)))</f>
        <v/>
      </c>
      <c r="K2847" s="6" t="n"/>
    </row>
    <row r="2848">
      <c r="A2848" s="6" t="n"/>
      <c r="B2848" s="6" t="n"/>
      <c r="C2848" s="19" t="n"/>
      <c r="D2848" s="19" t="n"/>
      <c r="E2848" s="6" t="n"/>
      <c r="F2848" s="20" t="n"/>
      <c r="G2848" s="9">
        <f>IF($F2848="","",IF($F2848&gt;0,ROUND($F2848,2),""))</f>
        <v/>
      </c>
      <c r="H2848" s="12">
        <f>IF(OR($B2848="",$C2848="",$G2848=""),"",COUNTIFS(Ventes_Encaissements!$E$6:$E$3005,$B2848,Ventes_Encaissements!$J$6:$J$3005,$G2848,Ventes_Encaissements!$C$6:$C$3005,"&gt;="&amp;($C2848-3),Ventes_Encaissements!$C$6:$C$3005,"&lt;="&amp;($C2848+3)))</f>
        <v/>
      </c>
      <c r="I2848" s="12">
        <f>IF($H2848="","",IF($H2848=0,"Non trouvé",IF($H2848=1,"Match","À vérifier")))</f>
        <v/>
      </c>
      <c r="J2848" s="21">
        <f>IF($I2848&lt;&gt;"Match","",INDEX(Ventes_Encaissements!$B$6:$B$3005,_xludf.AGGREGATE(15,6,(ROW(Ventes_Encaissements!$B$6:$B$3005)-ROW(Ventes_Encaissements!$B$6)+1)/((Ventes_Encaissements!$E$6:$E$3005=$B2848)*(Ventes_Encaissements!$J$6:$J$3005=$G2848)*(Ventes_Encaissements!$C$6:$C$3005&gt;=$C2848-3)*(Ventes_Encaissements!$C$6:$C$3005&lt;=$C2848+3)),1)))</f>
        <v/>
      </c>
      <c r="K2848" s="6" t="n"/>
    </row>
    <row r="2849">
      <c r="A2849" s="6" t="n"/>
      <c r="B2849" s="6" t="n"/>
      <c r="C2849" s="19" t="n"/>
      <c r="D2849" s="19" t="n"/>
      <c r="E2849" s="6" t="n"/>
      <c r="F2849" s="20" t="n"/>
      <c r="G2849" s="9">
        <f>IF($F2849="","",IF($F2849&gt;0,ROUND($F2849,2),""))</f>
        <v/>
      </c>
      <c r="H2849" s="12">
        <f>IF(OR($B2849="",$C2849="",$G2849=""),"",COUNTIFS(Ventes_Encaissements!$E$6:$E$3005,$B2849,Ventes_Encaissements!$J$6:$J$3005,$G2849,Ventes_Encaissements!$C$6:$C$3005,"&gt;="&amp;($C2849-3),Ventes_Encaissements!$C$6:$C$3005,"&lt;="&amp;($C2849+3)))</f>
        <v/>
      </c>
      <c r="I2849" s="12">
        <f>IF($H2849="","",IF($H2849=0,"Non trouvé",IF($H2849=1,"Match","À vérifier")))</f>
        <v/>
      </c>
      <c r="J2849" s="21">
        <f>IF($I2849&lt;&gt;"Match","",INDEX(Ventes_Encaissements!$B$6:$B$3005,_xludf.AGGREGATE(15,6,(ROW(Ventes_Encaissements!$B$6:$B$3005)-ROW(Ventes_Encaissements!$B$6)+1)/((Ventes_Encaissements!$E$6:$E$3005=$B2849)*(Ventes_Encaissements!$J$6:$J$3005=$G2849)*(Ventes_Encaissements!$C$6:$C$3005&gt;=$C2849-3)*(Ventes_Encaissements!$C$6:$C$3005&lt;=$C2849+3)),1)))</f>
        <v/>
      </c>
      <c r="K2849" s="6" t="n"/>
    </row>
    <row r="2850">
      <c r="A2850" s="6" t="n"/>
      <c r="B2850" s="6" t="n"/>
      <c r="C2850" s="19" t="n"/>
      <c r="D2850" s="19" t="n"/>
      <c r="E2850" s="6" t="n"/>
      <c r="F2850" s="20" t="n"/>
      <c r="G2850" s="9">
        <f>IF($F2850="","",IF($F2850&gt;0,ROUND($F2850,2),""))</f>
        <v/>
      </c>
      <c r="H2850" s="12">
        <f>IF(OR($B2850="",$C2850="",$G2850=""),"",COUNTIFS(Ventes_Encaissements!$E$6:$E$3005,$B2850,Ventes_Encaissements!$J$6:$J$3005,$G2850,Ventes_Encaissements!$C$6:$C$3005,"&gt;="&amp;($C2850-3),Ventes_Encaissements!$C$6:$C$3005,"&lt;="&amp;($C2850+3)))</f>
        <v/>
      </c>
      <c r="I2850" s="12">
        <f>IF($H2850="","",IF($H2850=0,"Non trouvé",IF($H2850=1,"Match","À vérifier")))</f>
        <v/>
      </c>
      <c r="J2850" s="21">
        <f>IF($I2850&lt;&gt;"Match","",INDEX(Ventes_Encaissements!$B$6:$B$3005,_xludf.AGGREGATE(15,6,(ROW(Ventes_Encaissements!$B$6:$B$3005)-ROW(Ventes_Encaissements!$B$6)+1)/((Ventes_Encaissements!$E$6:$E$3005=$B2850)*(Ventes_Encaissements!$J$6:$J$3005=$G2850)*(Ventes_Encaissements!$C$6:$C$3005&gt;=$C2850-3)*(Ventes_Encaissements!$C$6:$C$3005&lt;=$C2850+3)),1)))</f>
        <v/>
      </c>
      <c r="K2850" s="6" t="n"/>
    </row>
    <row r="2851">
      <c r="A2851" s="6" t="n"/>
      <c r="B2851" s="6" t="n"/>
      <c r="C2851" s="19" t="n"/>
      <c r="D2851" s="19" t="n"/>
      <c r="E2851" s="6" t="n"/>
      <c r="F2851" s="20" t="n"/>
      <c r="G2851" s="9">
        <f>IF($F2851="","",IF($F2851&gt;0,ROUND($F2851,2),""))</f>
        <v/>
      </c>
      <c r="H2851" s="12">
        <f>IF(OR($B2851="",$C2851="",$G2851=""),"",COUNTIFS(Ventes_Encaissements!$E$6:$E$3005,$B2851,Ventes_Encaissements!$J$6:$J$3005,$G2851,Ventes_Encaissements!$C$6:$C$3005,"&gt;="&amp;($C2851-3),Ventes_Encaissements!$C$6:$C$3005,"&lt;="&amp;($C2851+3)))</f>
        <v/>
      </c>
      <c r="I2851" s="12">
        <f>IF($H2851="","",IF($H2851=0,"Non trouvé",IF($H2851=1,"Match","À vérifier")))</f>
        <v/>
      </c>
      <c r="J2851" s="21">
        <f>IF($I2851&lt;&gt;"Match","",INDEX(Ventes_Encaissements!$B$6:$B$3005,_xludf.AGGREGATE(15,6,(ROW(Ventes_Encaissements!$B$6:$B$3005)-ROW(Ventes_Encaissements!$B$6)+1)/((Ventes_Encaissements!$E$6:$E$3005=$B2851)*(Ventes_Encaissements!$J$6:$J$3005=$G2851)*(Ventes_Encaissements!$C$6:$C$3005&gt;=$C2851-3)*(Ventes_Encaissements!$C$6:$C$3005&lt;=$C2851+3)),1)))</f>
        <v/>
      </c>
      <c r="K2851" s="6" t="n"/>
    </row>
    <row r="2852">
      <c r="A2852" s="6" t="n"/>
      <c r="B2852" s="6" t="n"/>
      <c r="C2852" s="19" t="n"/>
      <c r="D2852" s="19" t="n"/>
      <c r="E2852" s="6" t="n"/>
      <c r="F2852" s="20" t="n"/>
      <c r="G2852" s="9">
        <f>IF($F2852="","",IF($F2852&gt;0,ROUND($F2852,2),""))</f>
        <v/>
      </c>
      <c r="H2852" s="12">
        <f>IF(OR($B2852="",$C2852="",$G2852=""),"",COUNTIFS(Ventes_Encaissements!$E$6:$E$3005,$B2852,Ventes_Encaissements!$J$6:$J$3005,$G2852,Ventes_Encaissements!$C$6:$C$3005,"&gt;="&amp;($C2852-3),Ventes_Encaissements!$C$6:$C$3005,"&lt;="&amp;($C2852+3)))</f>
        <v/>
      </c>
      <c r="I2852" s="12">
        <f>IF($H2852="","",IF($H2852=0,"Non trouvé",IF($H2852=1,"Match","À vérifier")))</f>
        <v/>
      </c>
      <c r="J2852" s="21">
        <f>IF($I2852&lt;&gt;"Match","",INDEX(Ventes_Encaissements!$B$6:$B$3005,_xludf.AGGREGATE(15,6,(ROW(Ventes_Encaissements!$B$6:$B$3005)-ROW(Ventes_Encaissements!$B$6)+1)/((Ventes_Encaissements!$E$6:$E$3005=$B2852)*(Ventes_Encaissements!$J$6:$J$3005=$G2852)*(Ventes_Encaissements!$C$6:$C$3005&gt;=$C2852-3)*(Ventes_Encaissements!$C$6:$C$3005&lt;=$C2852+3)),1)))</f>
        <v/>
      </c>
      <c r="K2852" s="6" t="n"/>
    </row>
    <row r="2853">
      <c r="A2853" s="6" t="n"/>
      <c r="B2853" s="6" t="n"/>
      <c r="C2853" s="19" t="n"/>
      <c r="D2853" s="19" t="n"/>
      <c r="E2853" s="6" t="n"/>
      <c r="F2853" s="20" t="n"/>
      <c r="G2853" s="9">
        <f>IF($F2853="","",IF($F2853&gt;0,ROUND($F2853,2),""))</f>
        <v/>
      </c>
      <c r="H2853" s="12">
        <f>IF(OR($B2853="",$C2853="",$G2853=""),"",COUNTIFS(Ventes_Encaissements!$E$6:$E$3005,$B2853,Ventes_Encaissements!$J$6:$J$3005,$G2853,Ventes_Encaissements!$C$6:$C$3005,"&gt;="&amp;($C2853-3),Ventes_Encaissements!$C$6:$C$3005,"&lt;="&amp;($C2853+3)))</f>
        <v/>
      </c>
      <c r="I2853" s="12">
        <f>IF($H2853="","",IF($H2853=0,"Non trouvé",IF($H2853=1,"Match","À vérifier")))</f>
        <v/>
      </c>
      <c r="J2853" s="21">
        <f>IF($I2853&lt;&gt;"Match","",INDEX(Ventes_Encaissements!$B$6:$B$3005,_xludf.AGGREGATE(15,6,(ROW(Ventes_Encaissements!$B$6:$B$3005)-ROW(Ventes_Encaissements!$B$6)+1)/((Ventes_Encaissements!$E$6:$E$3005=$B2853)*(Ventes_Encaissements!$J$6:$J$3005=$G2853)*(Ventes_Encaissements!$C$6:$C$3005&gt;=$C2853-3)*(Ventes_Encaissements!$C$6:$C$3005&lt;=$C2853+3)),1)))</f>
        <v/>
      </c>
      <c r="K2853" s="6" t="n"/>
    </row>
    <row r="2854">
      <c r="A2854" s="6" t="n"/>
      <c r="B2854" s="6" t="n"/>
      <c r="C2854" s="19" t="n"/>
      <c r="D2854" s="19" t="n"/>
      <c r="E2854" s="6" t="n"/>
      <c r="F2854" s="20" t="n"/>
      <c r="G2854" s="9">
        <f>IF($F2854="","",IF($F2854&gt;0,ROUND($F2854,2),""))</f>
        <v/>
      </c>
      <c r="H2854" s="12">
        <f>IF(OR($B2854="",$C2854="",$G2854=""),"",COUNTIFS(Ventes_Encaissements!$E$6:$E$3005,$B2854,Ventes_Encaissements!$J$6:$J$3005,$G2854,Ventes_Encaissements!$C$6:$C$3005,"&gt;="&amp;($C2854-3),Ventes_Encaissements!$C$6:$C$3005,"&lt;="&amp;($C2854+3)))</f>
        <v/>
      </c>
      <c r="I2854" s="12">
        <f>IF($H2854="","",IF($H2854=0,"Non trouvé",IF($H2854=1,"Match","À vérifier")))</f>
        <v/>
      </c>
      <c r="J2854" s="21">
        <f>IF($I2854&lt;&gt;"Match","",INDEX(Ventes_Encaissements!$B$6:$B$3005,_xludf.AGGREGATE(15,6,(ROW(Ventes_Encaissements!$B$6:$B$3005)-ROW(Ventes_Encaissements!$B$6)+1)/((Ventes_Encaissements!$E$6:$E$3005=$B2854)*(Ventes_Encaissements!$J$6:$J$3005=$G2854)*(Ventes_Encaissements!$C$6:$C$3005&gt;=$C2854-3)*(Ventes_Encaissements!$C$6:$C$3005&lt;=$C2854+3)),1)))</f>
        <v/>
      </c>
      <c r="K2854" s="6" t="n"/>
    </row>
    <row r="2855">
      <c r="A2855" s="6" t="n"/>
      <c r="B2855" s="6" t="n"/>
      <c r="C2855" s="19" t="n"/>
      <c r="D2855" s="19" t="n"/>
      <c r="E2855" s="6" t="n"/>
      <c r="F2855" s="20" t="n"/>
      <c r="G2855" s="9">
        <f>IF($F2855="","",IF($F2855&gt;0,ROUND($F2855,2),""))</f>
        <v/>
      </c>
      <c r="H2855" s="12">
        <f>IF(OR($B2855="",$C2855="",$G2855=""),"",COUNTIFS(Ventes_Encaissements!$E$6:$E$3005,$B2855,Ventes_Encaissements!$J$6:$J$3005,$G2855,Ventes_Encaissements!$C$6:$C$3005,"&gt;="&amp;($C2855-3),Ventes_Encaissements!$C$6:$C$3005,"&lt;="&amp;($C2855+3)))</f>
        <v/>
      </c>
      <c r="I2855" s="12">
        <f>IF($H2855="","",IF($H2855=0,"Non trouvé",IF($H2855=1,"Match","À vérifier")))</f>
        <v/>
      </c>
      <c r="J2855" s="21">
        <f>IF($I2855&lt;&gt;"Match","",INDEX(Ventes_Encaissements!$B$6:$B$3005,_xludf.AGGREGATE(15,6,(ROW(Ventes_Encaissements!$B$6:$B$3005)-ROW(Ventes_Encaissements!$B$6)+1)/((Ventes_Encaissements!$E$6:$E$3005=$B2855)*(Ventes_Encaissements!$J$6:$J$3005=$G2855)*(Ventes_Encaissements!$C$6:$C$3005&gt;=$C2855-3)*(Ventes_Encaissements!$C$6:$C$3005&lt;=$C2855+3)),1)))</f>
        <v/>
      </c>
      <c r="K2855" s="6" t="n"/>
    </row>
    <row r="2856">
      <c r="A2856" s="6" t="n"/>
      <c r="B2856" s="6" t="n"/>
      <c r="C2856" s="19" t="n"/>
      <c r="D2856" s="19" t="n"/>
      <c r="E2856" s="6" t="n"/>
      <c r="F2856" s="20" t="n"/>
      <c r="G2856" s="9">
        <f>IF($F2856="","",IF($F2856&gt;0,ROUND($F2856,2),""))</f>
        <v/>
      </c>
      <c r="H2856" s="12">
        <f>IF(OR($B2856="",$C2856="",$G2856=""),"",COUNTIFS(Ventes_Encaissements!$E$6:$E$3005,$B2856,Ventes_Encaissements!$J$6:$J$3005,$G2856,Ventes_Encaissements!$C$6:$C$3005,"&gt;="&amp;($C2856-3),Ventes_Encaissements!$C$6:$C$3005,"&lt;="&amp;($C2856+3)))</f>
        <v/>
      </c>
      <c r="I2856" s="12">
        <f>IF($H2856="","",IF($H2856=0,"Non trouvé",IF($H2856=1,"Match","À vérifier")))</f>
        <v/>
      </c>
      <c r="J2856" s="21">
        <f>IF($I2856&lt;&gt;"Match","",INDEX(Ventes_Encaissements!$B$6:$B$3005,_xludf.AGGREGATE(15,6,(ROW(Ventes_Encaissements!$B$6:$B$3005)-ROW(Ventes_Encaissements!$B$6)+1)/((Ventes_Encaissements!$E$6:$E$3005=$B2856)*(Ventes_Encaissements!$J$6:$J$3005=$G2856)*(Ventes_Encaissements!$C$6:$C$3005&gt;=$C2856-3)*(Ventes_Encaissements!$C$6:$C$3005&lt;=$C2856+3)),1)))</f>
        <v/>
      </c>
      <c r="K2856" s="6" t="n"/>
    </row>
    <row r="2857">
      <c r="A2857" s="6" t="n"/>
      <c r="B2857" s="6" t="n"/>
      <c r="C2857" s="19" t="n"/>
      <c r="D2857" s="19" t="n"/>
      <c r="E2857" s="6" t="n"/>
      <c r="F2857" s="20" t="n"/>
      <c r="G2857" s="9">
        <f>IF($F2857="","",IF($F2857&gt;0,ROUND($F2857,2),""))</f>
        <v/>
      </c>
      <c r="H2857" s="12">
        <f>IF(OR($B2857="",$C2857="",$G2857=""),"",COUNTIFS(Ventes_Encaissements!$E$6:$E$3005,$B2857,Ventes_Encaissements!$J$6:$J$3005,$G2857,Ventes_Encaissements!$C$6:$C$3005,"&gt;="&amp;($C2857-3),Ventes_Encaissements!$C$6:$C$3005,"&lt;="&amp;($C2857+3)))</f>
        <v/>
      </c>
      <c r="I2857" s="12">
        <f>IF($H2857="","",IF($H2857=0,"Non trouvé",IF($H2857=1,"Match","À vérifier")))</f>
        <v/>
      </c>
      <c r="J2857" s="21">
        <f>IF($I2857&lt;&gt;"Match","",INDEX(Ventes_Encaissements!$B$6:$B$3005,_xludf.AGGREGATE(15,6,(ROW(Ventes_Encaissements!$B$6:$B$3005)-ROW(Ventes_Encaissements!$B$6)+1)/((Ventes_Encaissements!$E$6:$E$3005=$B2857)*(Ventes_Encaissements!$J$6:$J$3005=$G2857)*(Ventes_Encaissements!$C$6:$C$3005&gt;=$C2857-3)*(Ventes_Encaissements!$C$6:$C$3005&lt;=$C2857+3)),1)))</f>
        <v/>
      </c>
      <c r="K2857" s="6" t="n"/>
    </row>
    <row r="2858">
      <c r="A2858" s="6" t="n"/>
      <c r="B2858" s="6" t="n"/>
      <c r="C2858" s="19" t="n"/>
      <c r="D2858" s="19" t="n"/>
      <c r="E2858" s="6" t="n"/>
      <c r="F2858" s="20" t="n"/>
      <c r="G2858" s="9">
        <f>IF($F2858="","",IF($F2858&gt;0,ROUND($F2858,2),""))</f>
        <v/>
      </c>
      <c r="H2858" s="12">
        <f>IF(OR($B2858="",$C2858="",$G2858=""),"",COUNTIFS(Ventes_Encaissements!$E$6:$E$3005,$B2858,Ventes_Encaissements!$J$6:$J$3005,$G2858,Ventes_Encaissements!$C$6:$C$3005,"&gt;="&amp;($C2858-3),Ventes_Encaissements!$C$6:$C$3005,"&lt;="&amp;($C2858+3)))</f>
        <v/>
      </c>
      <c r="I2858" s="12">
        <f>IF($H2858="","",IF($H2858=0,"Non trouvé",IF($H2858=1,"Match","À vérifier")))</f>
        <v/>
      </c>
      <c r="J2858" s="21">
        <f>IF($I2858&lt;&gt;"Match","",INDEX(Ventes_Encaissements!$B$6:$B$3005,_xludf.AGGREGATE(15,6,(ROW(Ventes_Encaissements!$B$6:$B$3005)-ROW(Ventes_Encaissements!$B$6)+1)/((Ventes_Encaissements!$E$6:$E$3005=$B2858)*(Ventes_Encaissements!$J$6:$J$3005=$G2858)*(Ventes_Encaissements!$C$6:$C$3005&gt;=$C2858-3)*(Ventes_Encaissements!$C$6:$C$3005&lt;=$C2858+3)),1)))</f>
        <v/>
      </c>
      <c r="K2858" s="6" t="n"/>
    </row>
    <row r="2859">
      <c r="A2859" s="6" t="n"/>
      <c r="B2859" s="6" t="n"/>
      <c r="C2859" s="19" t="n"/>
      <c r="D2859" s="19" t="n"/>
      <c r="E2859" s="6" t="n"/>
      <c r="F2859" s="20" t="n"/>
      <c r="G2859" s="9">
        <f>IF($F2859="","",IF($F2859&gt;0,ROUND($F2859,2),""))</f>
        <v/>
      </c>
      <c r="H2859" s="12">
        <f>IF(OR($B2859="",$C2859="",$G2859=""),"",COUNTIFS(Ventes_Encaissements!$E$6:$E$3005,$B2859,Ventes_Encaissements!$J$6:$J$3005,$G2859,Ventes_Encaissements!$C$6:$C$3005,"&gt;="&amp;($C2859-3),Ventes_Encaissements!$C$6:$C$3005,"&lt;="&amp;($C2859+3)))</f>
        <v/>
      </c>
      <c r="I2859" s="12">
        <f>IF($H2859="","",IF($H2859=0,"Non trouvé",IF($H2859=1,"Match","À vérifier")))</f>
        <v/>
      </c>
      <c r="J2859" s="21">
        <f>IF($I2859&lt;&gt;"Match","",INDEX(Ventes_Encaissements!$B$6:$B$3005,_xludf.AGGREGATE(15,6,(ROW(Ventes_Encaissements!$B$6:$B$3005)-ROW(Ventes_Encaissements!$B$6)+1)/((Ventes_Encaissements!$E$6:$E$3005=$B2859)*(Ventes_Encaissements!$J$6:$J$3005=$G2859)*(Ventes_Encaissements!$C$6:$C$3005&gt;=$C2859-3)*(Ventes_Encaissements!$C$6:$C$3005&lt;=$C2859+3)),1)))</f>
        <v/>
      </c>
      <c r="K2859" s="6" t="n"/>
    </row>
    <row r="2860">
      <c r="A2860" s="6" t="n"/>
      <c r="B2860" s="6" t="n"/>
      <c r="C2860" s="19" t="n"/>
      <c r="D2860" s="19" t="n"/>
      <c r="E2860" s="6" t="n"/>
      <c r="F2860" s="20" t="n"/>
      <c r="G2860" s="9">
        <f>IF($F2860="","",IF($F2860&gt;0,ROUND($F2860,2),""))</f>
        <v/>
      </c>
      <c r="H2860" s="12">
        <f>IF(OR($B2860="",$C2860="",$G2860=""),"",COUNTIFS(Ventes_Encaissements!$E$6:$E$3005,$B2860,Ventes_Encaissements!$J$6:$J$3005,$G2860,Ventes_Encaissements!$C$6:$C$3005,"&gt;="&amp;($C2860-3),Ventes_Encaissements!$C$6:$C$3005,"&lt;="&amp;($C2860+3)))</f>
        <v/>
      </c>
      <c r="I2860" s="12">
        <f>IF($H2860="","",IF($H2860=0,"Non trouvé",IF($H2860=1,"Match","À vérifier")))</f>
        <v/>
      </c>
      <c r="J2860" s="21">
        <f>IF($I2860&lt;&gt;"Match","",INDEX(Ventes_Encaissements!$B$6:$B$3005,_xludf.AGGREGATE(15,6,(ROW(Ventes_Encaissements!$B$6:$B$3005)-ROW(Ventes_Encaissements!$B$6)+1)/((Ventes_Encaissements!$E$6:$E$3005=$B2860)*(Ventes_Encaissements!$J$6:$J$3005=$G2860)*(Ventes_Encaissements!$C$6:$C$3005&gt;=$C2860-3)*(Ventes_Encaissements!$C$6:$C$3005&lt;=$C2860+3)),1)))</f>
        <v/>
      </c>
      <c r="K2860" s="6" t="n"/>
    </row>
    <row r="2861">
      <c r="A2861" s="6" t="n"/>
      <c r="B2861" s="6" t="n"/>
      <c r="C2861" s="19" t="n"/>
      <c r="D2861" s="19" t="n"/>
      <c r="E2861" s="6" t="n"/>
      <c r="F2861" s="20" t="n"/>
      <c r="G2861" s="9">
        <f>IF($F2861="","",IF($F2861&gt;0,ROUND($F2861,2),""))</f>
        <v/>
      </c>
      <c r="H2861" s="12">
        <f>IF(OR($B2861="",$C2861="",$G2861=""),"",COUNTIFS(Ventes_Encaissements!$E$6:$E$3005,$B2861,Ventes_Encaissements!$J$6:$J$3005,$G2861,Ventes_Encaissements!$C$6:$C$3005,"&gt;="&amp;($C2861-3),Ventes_Encaissements!$C$6:$C$3005,"&lt;="&amp;($C2861+3)))</f>
        <v/>
      </c>
      <c r="I2861" s="12">
        <f>IF($H2861="","",IF($H2861=0,"Non trouvé",IF($H2861=1,"Match","À vérifier")))</f>
        <v/>
      </c>
      <c r="J2861" s="21">
        <f>IF($I2861&lt;&gt;"Match","",INDEX(Ventes_Encaissements!$B$6:$B$3005,_xludf.AGGREGATE(15,6,(ROW(Ventes_Encaissements!$B$6:$B$3005)-ROW(Ventes_Encaissements!$B$6)+1)/((Ventes_Encaissements!$E$6:$E$3005=$B2861)*(Ventes_Encaissements!$J$6:$J$3005=$G2861)*(Ventes_Encaissements!$C$6:$C$3005&gt;=$C2861-3)*(Ventes_Encaissements!$C$6:$C$3005&lt;=$C2861+3)),1)))</f>
        <v/>
      </c>
      <c r="K2861" s="6" t="n"/>
    </row>
    <row r="2862">
      <c r="A2862" s="6" t="n"/>
      <c r="B2862" s="6" t="n"/>
      <c r="C2862" s="19" t="n"/>
      <c r="D2862" s="19" t="n"/>
      <c r="E2862" s="6" t="n"/>
      <c r="F2862" s="20" t="n"/>
      <c r="G2862" s="9">
        <f>IF($F2862="","",IF($F2862&gt;0,ROUND($F2862,2),""))</f>
        <v/>
      </c>
      <c r="H2862" s="12">
        <f>IF(OR($B2862="",$C2862="",$G2862=""),"",COUNTIFS(Ventes_Encaissements!$E$6:$E$3005,$B2862,Ventes_Encaissements!$J$6:$J$3005,$G2862,Ventes_Encaissements!$C$6:$C$3005,"&gt;="&amp;($C2862-3),Ventes_Encaissements!$C$6:$C$3005,"&lt;="&amp;($C2862+3)))</f>
        <v/>
      </c>
      <c r="I2862" s="12">
        <f>IF($H2862="","",IF($H2862=0,"Non trouvé",IF($H2862=1,"Match","À vérifier")))</f>
        <v/>
      </c>
      <c r="J2862" s="21">
        <f>IF($I2862&lt;&gt;"Match","",INDEX(Ventes_Encaissements!$B$6:$B$3005,_xludf.AGGREGATE(15,6,(ROW(Ventes_Encaissements!$B$6:$B$3005)-ROW(Ventes_Encaissements!$B$6)+1)/((Ventes_Encaissements!$E$6:$E$3005=$B2862)*(Ventes_Encaissements!$J$6:$J$3005=$G2862)*(Ventes_Encaissements!$C$6:$C$3005&gt;=$C2862-3)*(Ventes_Encaissements!$C$6:$C$3005&lt;=$C2862+3)),1)))</f>
        <v/>
      </c>
      <c r="K2862" s="6" t="n"/>
    </row>
    <row r="2863">
      <c r="A2863" s="6" t="n"/>
      <c r="B2863" s="6" t="n"/>
      <c r="C2863" s="19" t="n"/>
      <c r="D2863" s="19" t="n"/>
      <c r="E2863" s="6" t="n"/>
      <c r="F2863" s="20" t="n"/>
      <c r="G2863" s="9">
        <f>IF($F2863="","",IF($F2863&gt;0,ROUND($F2863,2),""))</f>
        <v/>
      </c>
      <c r="H2863" s="12">
        <f>IF(OR($B2863="",$C2863="",$G2863=""),"",COUNTIFS(Ventes_Encaissements!$E$6:$E$3005,$B2863,Ventes_Encaissements!$J$6:$J$3005,$G2863,Ventes_Encaissements!$C$6:$C$3005,"&gt;="&amp;($C2863-3),Ventes_Encaissements!$C$6:$C$3005,"&lt;="&amp;($C2863+3)))</f>
        <v/>
      </c>
      <c r="I2863" s="12">
        <f>IF($H2863="","",IF($H2863=0,"Non trouvé",IF($H2863=1,"Match","À vérifier")))</f>
        <v/>
      </c>
      <c r="J2863" s="21">
        <f>IF($I2863&lt;&gt;"Match","",INDEX(Ventes_Encaissements!$B$6:$B$3005,_xludf.AGGREGATE(15,6,(ROW(Ventes_Encaissements!$B$6:$B$3005)-ROW(Ventes_Encaissements!$B$6)+1)/((Ventes_Encaissements!$E$6:$E$3005=$B2863)*(Ventes_Encaissements!$J$6:$J$3005=$G2863)*(Ventes_Encaissements!$C$6:$C$3005&gt;=$C2863-3)*(Ventes_Encaissements!$C$6:$C$3005&lt;=$C2863+3)),1)))</f>
        <v/>
      </c>
      <c r="K2863" s="6" t="n"/>
    </row>
    <row r="2864">
      <c r="A2864" s="6" t="n"/>
      <c r="B2864" s="6" t="n"/>
      <c r="C2864" s="19" t="n"/>
      <c r="D2864" s="19" t="n"/>
      <c r="E2864" s="6" t="n"/>
      <c r="F2864" s="20" t="n"/>
      <c r="G2864" s="9">
        <f>IF($F2864="","",IF($F2864&gt;0,ROUND($F2864,2),""))</f>
        <v/>
      </c>
      <c r="H2864" s="12">
        <f>IF(OR($B2864="",$C2864="",$G2864=""),"",COUNTIFS(Ventes_Encaissements!$E$6:$E$3005,$B2864,Ventes_Encaissements!$J$6:$J$3005,$G2864,Ventes_Encaissements!$C$6:$C$3005,"&gt;="&amp;($C2864-3),Ventes_Encaissements!$C$6:$C$3005,"&lt;="&amp;($C2864+3)))</f>
        <v/>
      </c>
      <c r="I2864" s="12">
        <f>IF($H2864="","",IF($H2864=0,"Non trouvé",IF($H2864=1,"Match","À vérifier")))</f>
        <v/>
      </c>
      <c r="J2864" s="21">
        <f>IF($I2864&lt;&gt;"Match","",INDEX(Ventes_Encaissements!$B$6:$B$3005,_xludf.AGGREGATE(15,6,(ROW(Ventes_Encaissements!$B$6:$B$3005)-ROW(Ventes_Encaissements!$B$6)+1)/((Ventes_Encaissements!$E$6:$E$3005=$B2864)*(Ventes_Encaissements!$J$6:$J$3005=$G2864)*(Ventes_Encaissements!$C$6:$C$3005&gt;=$C2864-3)*(Ventes_Encaissements!$C$6:$C$3005&lt;=$C2864+3)),1)))</f>
        <v/>
      </c>
      <c r="K2864" s="6" t="n"/>
    </row>
    <row r="2865">
      <c r="A2865" s="6" t="n"/>
      <c r="B2865" s="6" t="n"/>
      <c r="C2865" s="19" t="n"/>
      <c r="D2865" s="19" t="n"/>
      <c r="E2865" s="6" t="n"/>
      <c r="F2865" s="20" t="n"/>
      <c r="G2865" s="9">
        <f>IF($F2865="","",IF($F2865&gt;0,ROUND($F2865,2),""))</f>
        <v/>
      </c>
      <c r="H2865" s="12">
        <f>IF(OR($B2865="",$C2865="",$G2865=""),"",COUNTIFS(Ventes_Encaissements!$E$6:$E$3005,$B2865,Ventes_Encaissements!$J$6:$J$3005,$G2865,Ventes_Encaissements!$C$6:$C$3005,"&gt;="&amp;($C2865-3),Ventes_Encaissements!$C$6:$C$3005,"&lt;="&amp;($C2865+3)))</f>
        <v/>
      </c>
      <c r="I2865" s="12">
        <f>IF($H2865="","",IF($H2865=0,"Non trouvé",IF($H2865=1,"Match","À vérifier")))</f>
        <v/>
      </c>
      <c r="J2865" s="21">
        <f>IF($I2865&lt;&gt;"Match","",INDEX(Ventes_Encaissements!$B$6:$B$3005,_xludf.AGGREGATE(15,6,(ROW(Ventes_Encaissements!$B$6:$B$3005)-ROW(Ventes_Encaissements!$B$6)+1)/((Ventes_Encaissements!$E$6:$E$3005=$B2865)*(Ventes_Encaissements!$J$6:$J$3005=$G2865)*(Ventes_Encaissements!$C$6:$C$3005&gt;=$C2865-3)*(Ventes_Encaissements!$C$6:$C$3005&lt;=$C2865+3)),1)))</f>
        <v/>
      </c>
      <c r="K2865" s="6" t="n"/>
    </row>
    <row r="2866">
      <c r="A2866" s="6" t="n"/>
      <c r="B2866" s="6" t="n"/>
      <c r="C2866" s="19" t="n"/>
      <c r="D2866" s="19" t="n"/>
      <c r="E2866" s="6" t="n"/>
      <c r="F2866" s="20" t="n"/>
      <c r="G2866" s="9">
        <f>IF($F2866="","",IF($F2866&gt;0,ROUND($F2866,2),""))</f>
        <v/>
      </c>
      <c r="H2866" s="12">
        <f>IF(OR($B2866="",$C2866="",$G2866=""),"",COUNTIFS(Ventes_Encaissements!$E$6:$E$3005,$B2866,Ventes_Encaissements!$J$6:$J$3005,$G2866,Ventes_Encaissements!$C$6:$C$3005,"&gt;="&amp;($C2866-3),Ventes_Encaissements!$C$6:$C$3005,"&lt;="&amp;($C2866+3)))</f>
        <v/>
      </c>
      <c r="I2866" s="12">
        <f>IF($H2866="","",IF($H2866=0,"Non trouvé",IF($H2866=1,"Match","À vérifier")))</f>
        <v/>
      </c>
      <c r="J2866" s="21">
        <f>IF($I2866&lt;&gt;"Match","",INDEX(Ventes_Encaissements!$B$6:$B$3005,_xludf.AGGREGATE(15,6,(ROW(Ventes_Encaissements!$B$6:$B$3005)-ROW(Ventes_Encaissements!$B$6)+1)/((Ventes_Encaissements!$E$6:$E$3005=$B2866)*(Ventes_Encaissements!$J$6:$J$3005=$G2866)*(Ventes_Encaissements!$C$6:$C$3005&gt;=$C2866-3)*(Ventes_Encaissements!$C$6:$C$3005&lt;=$C2866+3)),1)))</f>
        <v/>
      </c>
      <c r="K2866" s="6" t="n"/>
    </row>
    <row r="2867">
      <c r="A2867" s="6" t="n"/>
      <c r="B2867" s="6" t="n"/>
      <c r="C2867" s="19" t="n"/>
      <c r="D2867" s="19" t="n"/>
      <c r="E2867" s="6" t="n"/>
      <c r="F2867" s="20" t="n"/>
      <c r="G2867" s="9">
        <f>IF($F2867="","",IF($F2867&gt;0,ROUND($F2867,2),""))</f>
        <v/>
      </c>
      <c r="H2867" s="12">
        <f>IF(OR($B2867="",$C2867="",$G2867=""),"",COUNTIFS(Ventes_Encaissements!$E$6:$E$3005,$B2867,Ventes_Encaissements!$J$6:$J$3005,$G2867,Ventes_Encaissements!$C$6:$C$3005,"&gt;="&amp;($C2867-3),Ventes_Encaissements!$C$6:$C$3005,"&lt;="&amp;($C2867+3)))</f>
        <v/>
      </c>
      <c r="I2867" s="12">
        <f>IF($H2867="","",IF($H2867=0,"Non trouvé",IF($H2867=1,"Match","À vérifier")))</f>
        <v/>
      </c>
      <c r="J2867" s="21">
        <f>IF($I2867&lt;&gt;"Match","",INDEX(Ventes_Encaissements!$B$6:$B$3005,_xludf.AGGREGATE(15,6,(ROW(Ventes_Encaissements!$B$6:$B$3005)-ROW(Ventes_Encaissements!$B$6)+1)/((Ventes_Encaissements!$E$6:$E$3005=$B2867)*(Ventes_Encaissements!$J$6:$J$3005=$G2867)*(Ventes_Encaissements!$C$6:$C$3005&gt;=$C2867-3)*(Ventes_Encaissements!$C$6:$C$3005&lt;=$C2867+3)),1)))</f>
        <v/>
      </c>
      <c r="K2867" s="6" t="n"/>
    </row>
    <row r="2868">
      <c r="A2868" s="6" t="n"/>
      <c r="B2868" s="6" t="n"/>
      <c r="C2868" s="19" t="n"/>
      <c r="D2868" s="19" t="n"/>
      <c r="E2868" s="6" t="n"/>
      <c r="F2868" s="20" t="n"/>
      <c r="G2868" s="9">
        <f>IF($F2868="","",IF($F2868&gt;0,ROUND($F2868,2),""))</f>
        <v/>
      </c>
      <c r="H2868" s="12">
        <f>IF(OR($B2868="",$C2868="",$G2868=""),"",COUNTIFS(Ventes_Encaissements!$E$6:$E$3005,$B2868,Ventes_Encaissements!$J$6:$J$3005,$G2868,Ventes_Encaissements!$C$6:$C$3005,"&gt;="&amp;($C2868-3),Ventes_Encaissements!$C$6:$C$3005,"&lt;="&amp;($C2868+3)))</f>
        <v/>
      </c>
      <c r="I2868" s="12">
        <f>IF($H2868="","",IF($H2868=0,"Non trouvé",IF($H2868=1,"Match","À vérifier")))</f>
        <v/>
      </c>
      <c r="J2868" s="21">
        <f>IF($I2868&lt;&gt;"Match","",INDEX(Ventes_Encaissements!$B$6:$B$3005,_xludf.AGGREGATE(15,6,(ROW(Ventes_Encaissements!$B$6:$B$3005)-ROW(Ventes_Encaissements!$B$6)+1)/((Ventes_Encaissements!$E$6:$E$3005=$B2868)*(Ventes_Encaissements!$J$6:$J$3005=$G2868)*(Ventes_Encaissements!$C$6:$C$3005&gt;=$C2868-3)*(Ventes_Encaissements!$C$6:$C$3005&lt;=$C2868+3)),1)))</f>
        <v/>
      </c>
      <c r="K2868" s="6" t="n"/>
    </row>
    <row r="2869">
      <c r="A2869" s="6" t="n"/>
      <c r="B2869" s="6" t="n"/>
      <c r="C2869" s="19" t="n"/>
      <c r="D2869" s="19" t="n"/>
      <c r="E2869" s="6" t="n"/>
      <c r="F2869" s="20" t="n"/>
      <c r="G2869" s="9">
        <f>IF($F2869="","",IF($F2869&gt;0,ROUND($F2869,2),""))</f>
        <v/>
      </c>
      <c r="H2869" s="12">
        <f>IF(OR($B2869="",$C2869="",$G2869=""),"",COUNTIFS(Ventes_Encaissements!$E$6:$E$3005,$B2869,Ventes_Encaissements!$J$6:$J$3005,$G2869,Ventes_Encaissements!$C$6:$C$3005,"&gt;="&amp;($C2869-3),Ventes_Encaissements!$C$6:$C$3005,"&lt;="&amp;($C2869+3)))</f>
        <v/>
      </c>
      <c r="I2869" s="12">
        <f>IF($H2869="","",IF($H2869=0,"Non trouvé",IF($H2869=1,"Match","À vérifier")))</f>
        <v/>
      </c>
      <c r="J2869" s="21">
        <f>IF($I2869&lt;&gt;"Match","",INDEX(Ventes_Encaissements!$B$6:$B$3005,_xludf.AGGREGATE(15,6,(ROW(Ventes_Encaissements!$B$6:$B$3005)-ROW(Ventes_Encaissements!$B$6)+1)/((Ventes_Encaissements!$E$6:$E$3005=$B2869)*(Ventes_Encaissements!$J$6:$J$3005=$G2869)*(Ventes_Encaissements!$C$6:$C$3005&gt;=$C2869-3)*(Ventes_Encaissements!$C$6:$C$3005&lt;=$C2869+3)),1)))</f>
        <v/>
      </c>
      <c r="K2869" s="6" t="n"/>
    </row>
    <row r="2870">
      <c r="A2870" s="6" t="n"/>
      <c r="B2870" s="6" t="n"/>
      <c r="C2870" s="19" t="n"/>
      <c r="D2870" s="19" t="n"/>
      <c r="E2870" s="6" t="n"/>
      <c r="F2870" s="20" t="n"/>
      <c r="G2870" s="9">
        <f>IF($F2870="","",IF($F2870&gt;0,ROUND($F2870,2),""))</f>
        <v/>
      </c>
      <c r="H2870" s="12">
        <f>IF(OR($B2870="",$C2870="",$G2870=""),"",COUNTIFS(Ventes_Encaissements!$E$6:$E$3005,$B2870,Ventes_Encaissements!$J$6:$J$3005,$G2870,Ventes_Encaissements!$C$6:$C$3005,"&gt;="&amp;($C2870-3),Ventes_Encaissements!$C$6:$C$3005,"&lt;="&amp;($C2870+3)))</f>
        <v/>
      </c>
      <c r="I2870" s="12">
        <f>IF($H2870="","",IF($H2870=0,"Non trouvé",IF($H2870=1,"Match","À vérifier")))</f>
        <v/>
      </c>
      <c r="J2870" s="21">
        <f>IF($I2870&lt;&gt;"Match","",INDEX(Ventes_Encaissements!$B$6:$B$3005,_xludf.AGGREGATE(15,6,(ROW(Ventes_Encaissements!$B$6:$B$3005)-ROW(Ventes_Encaissements!$B$6)+1)/((Ventes_Encaissements!$E$6:$E$3005=$B2870)*(Ventes_Encaissements!$J$6:$J$3005=$G2870)*(Ventes_Encaissements!$C$6:$C$3005&gt;=$C2870-3)*(Ventes_Encaissements!$C$6:$C$3005&lt;=$C2870+3)),1)))</f>
        <v/>
      </c>
      <c r="K2870" s="6" t="n"/>
    </row>
    <row r="2871">
      <c r="A2871" s="6" t="n"/>
      <c r="B2871" s="6" t="n"/>
      <c r="C2871" s="19" t="n"/>
      <c r="D2871" s="19" t="n"/>
      <c r="E2871" s="6" t="n"/>
      <c r="F2871" s="20" t="n"/>
      <c r="G2871" s="9">
        <f>IF($F2871="","",IF($F2871&gt;0,ROUND($F2871,2),""))</f>
        <v/>
      </c>
      <c r="H2871" s="12">
        <f>IF(OR($B2871="",$C2871="",$G2871=""),"",COUNTIFS(Ventes_Encaissements!$E$6:$E$3005,$B2871,Ventes_Encaissements!$J$6:$J$3005,$G2871,Ventes_Encaissements!$C$6:$C$3005,"&gt;="&amp;($C2871-3),Ventes_Encaissements!$C$6:$C$3005,"&lt;="&amp;($C2871+3)))</f>
        <v/>
      </c>
      <c r="I2871" s="12">
        <f>IF($H2871="","",IF($H2871=0,"Non trouvé",IF($H2871=1,"Match","À vérifier")))</f>
        <v/>
      </c>
      <c r="J2871" s="21">
        <f>IF($I2871&lt;&gt;"Match","",INDEX(Ventes_Encaissements!$B$6:$B$3005,_xludf.AGGREGATE(15,6,(ROW(Ventes_Encaissements!$B$6:$B$3005)-ROW(Ventes_Encaissements!$B$6)+1)/((Ventes_Encaissements!$E$6:$E$3005=$B2871)*(Ventes_Encaissements!$J$6:$J$3005=$G2871)*(Ventes_Encaissements!$C$6:$C$3005&gt;=$C2871-3)*(Ventes_Encaissements!$C$6:$C$3005&lt;=$C2871+3)),1)))</f>
        <v/>
      </c>
      <c r="K2871" s="6" t="n"/>
    </row>
    <row r="2872">
      <c r="A2872" s="6" t="n"/>
      <c r="B2872" s="6" t="n"/>
      <c r="C2872" s="19" t="n"/>
      <c r="D2872" s="19" t="n"/>
      <c r="E2872" s="6" t="n"/>
      <c r="F2872" s="20" t="n"/>
      <c r="G2872" s="9">
        <f>IF($F2872="","",IF($F2872&gt;0,ROUND($F2872,2),""))</f>
        <v/>
      </c>
      <c r="H2872" s="12">
        <f>IF(OR($B2872="",$C2872="",$G2872=""),"",COUNTIFS(Ventes_Encaissements!$E$6:$E$3005,$B2872,Ventes_Encaissements!$J$6:$J$3005,$G2872,Ventes_Encaissements!$C$6:$C$3005,"&gt;="&amp;($C2872-3),Ventes_Encaissements!$C$6:$C$3005,"&lt;="&amp;($C2872+3)))</f>
        <v/>
      </c>
      <c r="I2872" s="12">
        <f>IF($H2872="","",IF($H2872=0,"Non trouvé",IF($H2872=1,"Match","À vérifier")))</f>
        <v/>
      </c>
      <c r="J2872" s="21">
        <f>IF($I2872&lt;&gt;"Match","",INDEX(Ventes_Encaissements!$B$6:$B$3005,_xludf.AGGREGATE(15,6,(ROW(Ventes_Encaissements!$B$6:$B$3005)-ROW(Ventes_Encaissements!$B$6)+1)/((Ventes_Encaissements!$E$6:$E$3005=$B2872)*(Ventes_Encaissements!$J$6:$J$3005=$G2872)*(Ventes_Encaissements!$C$6:$C$3005&gt;=$C2872-3)*(Ventes_Encaissements!$C$6:$C$3005&lt;=$C2872+3)),1)))</f>
        <v/>
      </c>
      <c r="K2872" s="6" t="n"/>
    </row>
    <row r="2873">
      <c r="A2873" s="6" t="n"/>
      <c r="B2873" s="6" t="n"/>
      <c r="C2873" s="19" t="n"/>
      <c r="D2873" s="19" t="n"/>
      <c r="E2873" s="6" t="n"/>
      <c r="F2873" s="20" t="n"/>
      <c r="G2873" s="9">
        <f>IF($F2873="","",IF($F2873&gt;0,ROUND($F2873,2),""))</f>
        <v/>
      </c>
      <c r="H2873" s="12">
        <f>IF(OR($B2873="",$C2873="",$G2873=""),"",COUNTIFS(Ventes_Encaissements!$E$6:$E$3005,$B2873,Ventes_Encaissements!$J$6:$J$3005,$G2873,Ventes_Encaissements!$C$6:$C$3005,"&gt;="&amp;($C2873-3),Ventes_Encaissements!$C$6:$C$3005,"&lt;="&amp;($C2873+3)))</f>
        <v/>
      </c>
      <c r="I2873" s="12">
        <f>IF($H2873="","",IF($H2873=0,"Non trouvé",IF($H2873=1,"Match","À vérifier")))</f>
        <v/>
      </c>
      <c r="J2873" s="21">
        <f>IF($I2873&lt;&gt;"Match","",INDEX(Ventes_Encaissements!$B$6:$B$3005,_xludf.AGGREGATE(15,6,(ROW(Ventes_Encaissements!$B$6:$B$3005)-ROW(Ventes_Encaissements!$B$6)+1)/((Ventes_Encaissements!$E$6:$E$3005=$B2873)*(Ventes_Encaissements!$J$6:$J$3005=$G2873)*(Ventes_Encaissements!$C$6:$C$3005&gt;=$C2873-3)*(Ventes_Encaissements!$C$6:$C$3005&lt;=$C2873+3)),1)))</f>
        <v/>
      </c>
      <c r="K2873" s="6" t="n"/>
    </row>
    <row r="2874">
      <c r="A2874" s="6" t="n"/>
      <c r="B2874" s="6" t="n"/>
      <c r="C2874" s="19" t="n"/>
      <c r="D2874" s="19" t="n"/>
      <c r="E2874" s="6" t="n"/>
      <c r="F2874" s="20" t="n"/>
      <c r="G2874" s="9">
        <f>IF($F2874="","",IF($F2874&gt;0,ROUND($F2874,2),""))</f>
        <v/>
      </c>
      <c r="H2874" s="12">
        <f>IF(OR($B2874="",$C2874="",$G2874=""),"",COUNTIFS(Ventes_Encaissements!$E$6:$E$3005,$B2874,Ventes_Encaissements!$J$6:$J$3005,$G2874,Ventes_Encaissements!$C$6:$C$3005,"&gt;="&amp;($C2874-3),Ventes_Encaissements!$C$6:$C$3005,"&lt;="&amp;($C2874+3)))</f>
        <v/>
      </c>
      <c r="I2874" s="12">
        <f>IF($H2874="","",IF($H2874=0,"Non trouvé",IF($H2874=1,"Match","À vérifier")))</f>
        <v/>
      </c>
      <c r="J2874" s="21">
        <f>IF($I2874&lt;&gt;"Match","",INDEX(Ventes_Encaissements!$B$6:$B$3005,_xludf.AGGREGATE(15,6,(ROW(Ventes_Encaissements!$B$6:$B$3005)-ROW(Ventes_Encaissements!$B$6)+1)/((Ventes_Encaissements!$E$6:$E$3005=$B2874)*(Ventes_Encaissements!$J$6:$J$3005=$G2874)*(Ventes_Encaissements!$C$6:$C$3005&gt;=$C2874-3)*(Ventes_Encaissements!$C$6:$C$3005&lt;=$C2874+3)),1)))</f>
        <v/>
      </c>
      <c r="K2874" s="6" t="n"/>
    </row>
    <row r="2875">
      <c r="A2875" s="6" t="n"/>
      <c r="B2875" s="6" t="n"/>
      <c r="C2875" s="19" t="n"/>
      <c r="D2875" s="19" t="n"/>
      <c r="E2875" s="6" t="n"/>
      <c r="F2875" s="20" t="n"/>
      <c r="G2875" s="9">
        <f>IF($F2875="","",IF($F2875&gt;0,ROUND($F2875,2),""))</f>
        <v/>
      </c>
      <c r="H2875" s="12">
        <f>IF(OR($B2875="",$C2875="",$G2875=""),"",COUNTIFS(Ventes_Encaissements!$E$6:$E$3005,$B2875,Ventes_Encaissements!$J$6:$J$3005,$G2875,Ventes_Encaissements!$C$6:$C$3005,"&gt;="&amp;($C2875-3),Ventes_Encaissements!$C$6:$C$3005,"&lt;="&amp;($C2875+3)))</f>
        <v/>
      </c>
      <c r="I2875" s="12">
        <f>IF($H2875="","",IF($H2875=0,"Non trouvé",IF($H2875=1,"Match","À vérifier")))</f>
        <v/>
      </c>
      <c r="J2875" s="21">
        <f>IF($I2875&lt;&gt;"Match","",INDEX(Ventes_Encaissements!$B$6:$B$3005,_xludf.AGGREGATE(15,6,(ROW(Ventes_Encaissements!$B$6:$B$3005)-ROW(Ventes_Encaissements!$B$6)+1)/((Ventes_Encaissements!$E$6:$E$3005=$B2875)*(Ventes_Encaissements!$J$6:$J$3005=$G2875)*(Ventes_Encaissements!$C$6:$C$3005&gt;=$C2875-3)*(Ventes_Encaissements!$C$6:$C$3005&lt;=$C2875+3)),1)))</f>
        <v/>
      </c>
      <c r="K2875" s="6" t="n"/>
    </row>
    <row r="2876">
      <c r="A2876" s="6" t="n"/>
      <c r="B2876" s="6" t="n"/>
      <c r="C2876" s="19" t="n"/>
      <c r="D2876" s="19" t="n"/>
      <c r="E2876" s="6" t="n"/>
      <c r="F2876" s="20" t="n"/>
      <c r="G2876" s="9">
        <f>IF($F2876="","",IF($F2876&gt;0,ROUND($F2876,2),""))</f>
        <v/>
      </c>
      <c r="H2876" s="12">
        <f>IF(OR($B2876="",$C2876="",$G2876=""),"",COUNTIFS(Ventes_Encaissements!$E$6:$E$3005,$B2876,Ventes_Encaissements!$J$6:$J$3005,$G2876,Ventes_Encaissements!$C$6:$C$3005,"&gt;="&amp;($C2876-3),Ventes_Encaissements!$C$6:$C$3005,"&lt;="&amp;($C2876+3)))</f>
        <v/>
      </c>
      <c r="I2876" s="12">
        <f>IF($H2876="","",IF($H2876=0,"Non trouvé",IF($H2876=1,"Match","À vérifier")))</f>
        <v/>
      </c>
      <c r="J2876" s="21">
        <f>IF($I2876&lt;&gt;"Match","",INDEX(Ventes_Encaissements!$B$6:$B$3005,_xludf.AGGREGATE(15,6,(ROW(Ventes_Encaissements!$B$6:$B$3005)-ROW(Ventes_Encaissements!$B$6)+1)/((Ventes_Encaissements!$E$6:$E$3005=$B2876)*(Ventes_Encaissements!$J$6:$J$3005=$G2876)*(Ventes_Encaissements!$C$6:$C$3005&gt;=$C2876-3)*(Ventes_Encaissements!$C$6:$C$3005&lt;=$C2876+3)),1)))</f>
        <v/>
      </c>
      <c r="K2876" s="6" t="n"/>
    </row>
    <row r="2877">
      <c r="A2877" s="6" t="n"/>
      <c r="B2877" s="6" t="n"/>
      <c r="C2877" s="19" t="n"/>
      <c r="D2877" s="19" t="n"/>
      <c r="E2877" s="6" t="n"/>
      <c r="F2877" s="20" t="n"/>
      <c r="G2877" s="9">
        <f>IF($F2877="","",IF($F2877&gt;0,ROUND($F2877,2),""))</f>
        <v/>
      </c>
      <c r="H2877" s="12">
        <f>IF(OR($B2877="",$C2877="",$G2877=""),"",COUNTIFS(Ventes_Encaissements!$E$6:$E$3005,$B2877,Ventes_Encaissements!$J$6:$J$3005,$G2877,Ventes_Encaissements!$C$6:$C$3005,"&gt;="&amp;($C2877-3),Ventes_Encaissements!$C$6:$C$3005,"&lt;="&amp;($C2877+3)))</f>
        <v/>
      </c>
      <c r="I2877" s="12">
        <f>IF($H2877="","",IF($H2877=0,"Non trouvé",IF($H2877=1,"Match","À vérifier")))</f>
        <v/>
      </c>
      <c r="J2877" s="21">
        <f>IF($I2877&lt;&gt;"Match","",INDEX(Ventes_Encaissements!$B$6:$B$3005,_xludf.AGGREGATE(15,6,(ROW(Ventes_Encaissements!$B$6:$B$3005)-ROW(Ventes_Encaissements!$B$6)+1)/((Ventes_Encaissements!$E$6:$E$3005=$B2877)*(Ventes_Encaissements!$J$6:$J$3005=$G2877)*(Ventes_Encaissements!$C$6:$C$3005&gt;=$C2877-3)*(Ventes_Encaissements!$C$6:$C$3005&lt;=$C2877+3)),1)))</f>
        <v/>
      </c>
      <c r="K2877" s="6" t="n"/>
    </row>
    <row r="2878">
      <c r="A2878" s="6" t="n"/>
      <c r="B2878" s="6" t="n"/>
      <c r="C2878" s="19" t="n"/>
      <c r="D2878" s="19" t="n"/>
      <c r="E2878" s="6" t="n"/>
      <c r="F2878" s="20" t="n"/>
      <c r="G2878" s="9">
        <f>IF($F2878="","",IF($F2878&gt;0,ROUND($F2878,2),""))</f>
        <v/>
      </c>
      <c r="H2878" s="12">
        <f>IF(OR($B2878="",$C2878="",$G2878=""),"",COUNTIFS(Ventes_Encaissements!$E$6:$E$3005,$B2878,Ventes_Encaissements!$J$6:$J$3005,$G2878,Ventes_Encaissements!$C$6:$C$3005,"&gt;="&amp;($C2878-3),Ventes_Encaissements!$C$6:$C$3005,"&lt;="&amp;($C2878+3)))</f>
        <v/>
      </c>
      <c r="I2878" s="12">
        <f>IF($H2878="","",IF($H2878=0,"Non trouvé",IF($H2878=1,"Match","À vérifier")))</f>
        <v/>
      </c>
      <c r="J2878" s="21">
        <f>IF($I2878&lt;&gt;"Match","",INDEX(Ventes_Encaissements!$B$6:$B$3005,_xludf.AGGREGATE(15,6,(ROW(Ventes_Encaissements!$B$6:$B$3005)-ROW(Ventes_Encaissements!$B$6)+1)/((Ventes_Encaissements!$E$6:$E$3005=$B2878)*(Ventes_Encaissements!$J$6:$J$3005=$G2878)*(Ventes_Encaissements!$C$6:$C$3005&gt;=$C2878-3)*(Ventes_Encaissements!$C$6:$C$3005&lt;=$C2878+3)),1)))</f>
        <v/>
      </c>
      <c r="K2878" s="6" t="n"/>
    </row>
    <row r="2879">
      <c r="A2879" s="6" t="n"/>
      <c r="B2879" s="6" t="n"/>
      <c r="C2879" s="19" t="n"/>
      <c r="D2879" s="19" t="n"/>
      <c r="E2879" s="6" t="n"/>
      <c r="F2879" s="20" t="n"/>
      <c r="G2879" s="9">
        <f>IF($F2879="","",IF($F2879&gt;0,ROUND($F2879,2),""))</f>
        <v/>
      </c>
      <c r="H2879" s="12">
        <f>IF(OR($B2879="",$C2879="",$G2879=""),"",COUNTIFS(Ventes_Encaissements!$E$6:$E$3005,$B2879,Ventes_Encaissements!$J$6:$J$3005,$G2879,Ventes_Encaissements!$C$6:$C$3005,"&gt;="&amp;($C2879-3),Ventes_Encaissements!$C$6:$C$3005,"&lt;="&amp;($C2879+3)))</f>
        <v/>
      </c>
      <c r="I2879" s="12">
        <f>IF($H2879="","",IF($H2879=0,"Non trouvé",IF($H2879=1,"Match","À vérifier")))</f>
        <v/>
      </c>
      <c r="J2879" s="21">
        <f>IF($I2879&lt;&gt;"Match","",INDEX(Ventes_Encaissements!$B$6:$B$3005,_xludf.AGGREGATE(15,6,(ROW(Ventes_Encaissements!$B$6:$B$3005)-ROW(Ventes_Encaissements!$B$6)+1)/((Ventes_Encaissements!$E$6:$E$3005=$B2879)*(Ventes_Encaissements!$J$6:$J$3005=$G2879)*(Ventes_Encaissements!$C$6:$C$3005&gt;=$C2879-3)*(Ventes_Encaissements!$C$6:$C$3005&lt;=$C2879+3)),1)))</f>
        <v/>
      </c>
      <c r="K2879" s="6" t="n"/>
    </row>
    <row r="2880">
      <c r="A2880" s="6" t="n"/>
      <c r="B2880" s="6" t="n"/>
      <c r="C2880" s="19" t="n"/>
      <c r="D2880" s="19" t="n"/>
      <c r="E2880" s="6" t="n"/>
      <c r="F2880" s="20" t="n"/>
      <c r="G2880" s="9">
        <f>IF($F2880="","",IF($F2880&gt;0,ROUND($F2880,2),""))</f>
        <v/>
      </c>
      <c r="H2880" s="12">
        <f>IF(OR($B2880="",$C2880="",$G2880=""),"",COUNTIFS(Ventes_Encaissements!$E$6:$E$3005,$B2880,Ventes_Encaissements!$J$6:$J$3005,$G2880,Ventes_Encaissements!$C$6:$C$3005,"&gt;="&amp;($C2880-3),Ventes_Encaissements!$C$6:$C$3005,"&lt;="&amp;($C2880+3)))</f>
        <v/>
      </c>
      <c r="I2880" s="12">
        <f>IF($H2880="","",IF($H2880=0,"Non trouvé",IF($H2880=1,"Match","À vérifier")))</f>
        <v/>
      </c>
      <c r="J2880" s="21">
        <f>IF($I2880&lt;&gt;"Match","",INDEX(Ventes_Encaissements!$B$6:$B$3005,_xludf.AGGREGATE(15,6,(ROW(Ventes_Encaissements!$B$6:$B$3005)-ROW(Ventes_Encaissements!$B$6)+1)/((Ventes_Encaissements!$E$6:$E$3005=$B2880)*(Ventes_Encaissements!$J$6:$J$3005=$G2880)*(Ventes_Encaissements!$C$6:$C$3005&gt;=$C2880-3)*(Ventes_Encaissements!$C$6:$C$3005&lt;=$C2880+3)),1)))</f>
        <v/>
      </c>
      <c r="K2880" s="6" t="n"/>
    </row>
    <row r="2881">
      <c r="A2881" s="6" t="n"/>
      <c r="B2881" s="6" t="n"/>
      <c r="C2881" s="19" t="n"/>
      <c r="D2881" s="19" t="n"/>
      <c r="E2881" s="6" t="n"/>
      <c r="F2881" s="20" t="n"/>
      <c r="G2881" s="9">
        <f>IF($F2881="","",IF($F2881&gt;0,ROUND($F2881,2),""))</f>
        <v/>
      </c>
      <c r="H2881" s="12">
        <f>IF(OR($B2881="",$C2881="",$G2881=""),"",COUNTIFS(Ventes_Encaissements!$E$6:$E$3005,$B2881,Ventes_Encaissements!$J$6:$J$3005,$G2881,Ventes_Encaissements!$C$6:$C$3005,"&gt;="&amp;($C2881-3),Ventes_Encaissements!$C$6:$C$3005,"&lt;="&amp;($C2881+3)))</f>
        <v/>
      </c>
      <c r="I2881" s="12">
        <f>IF($H2881="","",IF($H2881=0,"Non trouvé",IF($H2881=1,"Match","À vérifier")))</f>
        <v/>
      </c>
      <c r="J2881" s="21">
        <f>IF($I2881&lt;&gt;"Match","",INDEX(Ventes_Encaissements!$B$6:$B$3005,_xludf.AGGREGATE(15,6,(ROW(Ventes_Encaissements!$B$6:$B$3005)-ROW(Ventes_Encaissements!$B$6)+1)/((Ventes_Encaissements!$E$6:$E$3005=$B2881)*(Ventes_Encaissements!$J$6:$J$3005=$G2881)*(Ventes_Encaissements!$C$6:$C$3005&gt;=$C2881-3)*(Ventes_Encaissements!$C$6:$C$3005&lt;=$C2881+3)),1)))</f>
        <v/>
      </c>
      <c r="K2881" s="6" t="n"/>
    </row>
    <row r="2882">
      <c r="A2882" s="6" t="n"/>
      <c r="B2882" s="6" t="n"/>
      <c r="C2882" s="19" t="n"/>
      <c r="D2882" s="19" t="n"/>
      <c r="E2882" s="6" t="n"/>
      <c r="F2882" s="20" t="n"/>
      <c r="G2882" s="9">
        <f>IF($F2882="","",IF($F2882&gt;0,ROUND($F2882,2),""))</f>
        <v/>
      </c>
      <c r="H2882" s="12">
        <f>IF(OR($B2882="",$C2882="",$G2882=""),"",COUNTIFS(Ventes_Encaissements!$E$6:$E$3005,$B2882,Ventes_Encaissements!$J$6:$J$3005,$G2882,Ventes_Encaissements!$C$6:$C$3005,"&gt;="&amp;($C2882-3),Ventes_Encaissements!$C$6:$C$3005,"&lt;="&amp;($C2882+3)))</f>
        <v/>
      </c>
      <c r="I2882" s="12">
        <f>IF($H2882="","",IF($H2882=0,"Non trouvé",IF($H2882=1,"Match","À vérifier")))</f>
        <v/>
      </c>
      <c r="J2882" s="21">
        <f>IF($I2882&lt;&gt;"Match","",INDEX(Ventes_Encaissements!$B$6:$B$3005,_xludf.AGGREGATE(15,6,(ROW(Ventes_Encaissements!$B$6:$B$3005)-ROW(Ventes_Encaissements!$B$6)+1)/((Ventes_Encaissements!$E$6:$E$3005=$B2882)*(Ventes_Encaissements!$J$6:$J$3005=$G2882)*(Ventes_Encaissements!$C$6:$C$3005&gt;=$C2882-3)*(Ventes_Encaissements!$C$6:$C$3005&lt;=$C2882+3)),1)))</f>
        <v/>
      </c>
      <c r="K2882" s="6" t="n"/>
    </row>
    <row r="2883">
      <c r="A2883" s="6" t="n"/>
      <c r="B2883" s="6" t="n"/>
      <c r="C2883" s="19" t="n"/>
      <c r="D2883" s="19" t="n"/>
      <c r="E2883" s="6" t="n"/>
      <c r="F2883" s="20" t="n"/>
      <c r="G2883" s="9">
        <f>IF($F2883="","",IF($F2883&gt;0,ROUND($F2883,2),""))</f>
        <v/>
      </c>
      <c r="H2883" s="12">
        <f>IF(OR($B2883="",$C2883="",$G2883=""),"",COUNTIFS(Ventes_Encaissements!$E$6:$E$3005,$B2883,Ventes_Encaissements!$J$6:$J$3005,$G2883,Ventes_Encaissements!$C$6:$C$3005,"&gt;="&amp;($C2883-3),Ventes_Encaissements!$C$6:$C$3005,"&lt;="&amp;($C2883+3)))</f>
        <v/>
      </c>
      <c r="I2883" s="12">
        <f>IF($H2883="","",IF($H2883=0,"Non trouvé",IF($H2883=1,"Match","À vérifier")))</f>
        <v/>
      </c>
      <c r="J2883" s="21">
        <f>IF($I2883&lt;&gt;"Match","",INDEX(Ventes_Encaissements!$B$6:$B$3005,_xludf.AGGREGATE(15,6,(ROW(Ventes_Encaissements!$B$6:$B$3005)-ROW(Ventes_Encaissements!$B$6)+1)/((Ventes_Encaissements!$E$6:$E$3005=$B2883)*(Ventes_Encaissements!$J$6:$J$3005=$G2883)*(Ventes_Encaissements!$C$6:$C$3005&gt;=$C2883-3)*(Ventes_Encaissements!$C$6:$C$3005&lt;=$C2883+3)),1)))</f>
        <v/>
      </c>
      <c r="K2883" s="6" t="n"/>
    </row>
    <row r="2884">
      <c r="A2884" s="6" t="n"/>
      <c r="B2884" s="6" t="n"/>
      <c r="C2884" s="19" t="n"/>
      <c r="D2884" s="19" t="n"/>
      <c r="E2884" s="6" t="n"/>
      <c r="F2884" s="20" t="n"/>
      <c r="G2884" s="9">
        <f>IF($F2884="","",IF($F2884&gt;0,ROUND($F2884,2),""))</f>
        <v/>
      </c>
      <c r="H2884" s="12">
        <f>IF(OR($B2884="",$C2884="",$G2884=""),"",COUNTIFS(Ventes_Encaissements!$E$6:$E$3005,$B2884,Ventes_Encaissements!$J$6:$J$3005,$G2884,Ventes_Encaissements!$C$6:$C$3005,"&gt;="&amp;($C2884-3),Ventes_Encaissements!$C$6:$C$3005,"&lt;="&amp;($C2884+3)))</f>
        <v/>
      </c>
      <c r="I2884" s="12">
        <f>IF($H2884="","",IF($H2884=0,"Non trouvé",IF($H2884=1,"Match","À vérifier")))</f>
        <v/>
      </c>
      <c r="J2884" s="21">
        <f>IF($I2884&lt;&gt;"Match","",INDEX(Ventes_Encaissements!$B$6:$B$3005,_xludf.AGGREGATE(15,6,(ROW(Ventes_Encaissements!$B$6:$B$3005)-ROW(Ventes_Encaissements!$B$6)+1)/((Ventes_Encaissements!$E$6:$E$3005=$B2884)*(Ventes_Encaissements!$J$6:$J$3005=$G2884)*(Ventes_Encaissements!$C$6:$C$3005&gt;=$C2884-3)*(Ventes_Encaissements!$C$6:$C$3005&lt;=$C2884+3)),1)))</f>
        <v/>
      </c>
      <c r="K2884" s="6" t="n"/>
    </row>
    <row r="2885">
      <c r="A2885" s="6" t="n"/>
      <c r="B2885" s="6" t="n"/>
      <c r="C2885" s="19" t="n"/>
      <c r="D2885" s="19" t="n"/>
      <c r="E2885" s="6" t="n"/>
      <c r="F2885" s="20" t="n"/>
      <c r="G2885" s="9">
        <f>IF($F2885="","",IF($F2885&gt;0,ROUND($F2885,2),""))</f>
        <v/>
      </c>
      <c r="H2885" s="12">
        <f>IF(OR($B2885="",$C2885="",$G2885=""),"",COUNTIFS(Ventes_Encaissements!$E$6:$E$3005,$B2885,Ventes_Encaissements!$J$6:$J$3005,$G2885,Ventes_Encaissements!$C$6:$C$3005,"&gt;="&amp;($C2885-3),Ventes_Encaissements!$C$6:$C$3005,"&lt;="&amp;($C2885+3)))</f>
        <v/>
      </c>
      <c r="I2885" s="12">
        <f>IF($H2885="","",IF($H2885=0,"Non trouvé",IF($H2885=1,"Match","À vérifier")))</f>
        <v/>
      </c>
      <c r="J2885" s="21">
        <f>IF($I2885&lt;&gt;"Match","",INDEX(Ventes_Encaissements!$B$6:$B$3005,_xludf.AGGREGATE(15,6,(ROW(Ventes_Encaissements!$B$6:$B$3005)-ROW(Ventes_Encaissements!$B$6)+1)/((Ventes_Encaissements!$E$6:$E$3005=$B2885)*(Ventes_Encaissements!$J$6:$J$3005=$G2885)*(Ventes_Encaissements!$C$6:$C$3005&gt;=$C2885-3)*(Ventes_Encaissements!$C$6:$C$3005&lt;=$C2885+3)),1)))</f>
        <v/>
      </c>
      <c r="K2885" s="6" t="n"/>
    </row>
    <row r="2886">
      <c r="A2886" s="6" t="n"/>
      <c r="B2886" s="6" t="n"/>
      <c r="C2886" s="19" t="n"/>
      <c r="D2886" s="19" t="n"/>
      <c r="E2886" s="6" t="n"/>
      <c r="F2886" s="20" t="n"/>
      <c r="G2886" s="9">
        <f>IF($F2886="","",IF($F2886&gt;0,ROUND($F2886,2),""))</f>
        <v/>
      </c>
      <c r="H2886" s="12">
        <f>IF(OR($B2886="",$C2886="",$G2886=""),"",COUNTIFS(Ventes_Encaissements!$E$6:$E$3005,$B2886,Ventes_Encaissements!$J$6:$J$3005,$G2886,Ventes_Encaissements!$C$6:$C$3005,"&gt;="&amp;($C2886-3),Ventes_Encaissements!$C$6:$C$3005,"&lt;="&amp;($C2886+3)))</f>
        <v/>
      </c>
      <c r="I2886" s="12">
        <f>IF($H2886="","",IF($H2886=0,"Non trouvé",IF($H2886=1,"Match","À vérifier")))</f>
        <v/>
      </c>
      <c r="J2886" s="21">
        <f>IF($I2886&lt;&gt;"Match","",INDEX(Ventes_Encaissements!$B$6:$B$3005,_xludf.AGGREGATE(15,6,(ROW(Ventes_Encaissements!$B$6:$B$3005)-ROW(Ventes_Encaissements!$B$6)+1)/((Ventes_Encaissements!$E$6:$E$3005=$B2886)*(Ventes_Encaissements!$J$6:$J$3005=$G2886)*(Ventes_Encaissements!$C$6:$C$3005&gt;=$C2886-3)*(Ventes_Encaissements!$C$6:$C$3005&lt;=$C2886+3)),1)))</f>
        <v/>
      </c>
      <c r="K2886" s="6" t="n"/>
    </row>
    <row r="2887">
      <c r="A2887" s="6" t="n"/>
      <c r="B2887" s="6" t="n"/>
      <c r="C2887" s="19" t="n"/>
      <c r="D2887" s="19" t="n"/>
      <c r="E2887" s="6" t="n"/>
      <c r="F2887" s="20" t="n"/>
      <c r="G2887" s="9">
        <f>IF($F2887="","",IF($F2887&gt;0,ROUND($F2887,2),""))</f>
        <v/>
      </c>
      <c r="H2887" s="12">
        <f>IF(OR($B2887="",$C2887="",$G2887=""),"",COUNTIFS(Ventes_Encaissements!$E$6:$E$3005,$B2887,Ventes_Encaissements!$J$6:$J$3005,$G2887,Ventes_Encaissements!$C$6:$C$3005,"&gt;="&amp;($C2887-3),Ventes_Encaissements!$C$6:$C$3005,"&lt;="&amp;($C2887+3)))</f>
        <v/>
      </c>
      <c r="I2887" s="12">
        <f>IF($H2887="","",IF($H2887=0,"Non trouvé",IF($H2887=1,"Match","À vérifier")))</f>
        <v/>
      </c>
      <c r="J2887" s="21">
        <f>IF($I2887&lt;&gt;"Match","",INDEX(Ventes_Encaissements!$B$6:$B$3005,_xludf.AGGREGATE(15,6,(ROW(Ventes_Encaissements!$B$6:$B$3005)-ROW(Ventes_Encaissements!$B$6)+1)/((Ventes_Encaissements!$E$6:$E$3005=$B2887)*(Ventes_Encaissements!$J$6:$J$3005=$G2887)*(Ventes_Encaissements!$C$6:$C$3005&gt;=$C2887-3)*(Ventes_Encaissements!$C$6:$C$3005&lt;=$C2887+3)),1)))</f>
        <v/>
      </c>
      <c r="K2887" s="6" t="n"/>
    </row>
    <row r="2888">
      <c r="A2888" s="6" t="n"/>
      <c r="B2888" s="6" t="n"/>
      <c r="C2888" s="19" t="n"/>
      <c r="D2888" s="19" t="n"/>
      <c r="E2888" s="6" t="n"/>
      <c r="F2888" s="20" t="n"/>
      <c r="G2888" s="9">
        <f>IF($F2888="","",IF($F2888&gt;0,ROUND($F2888,2),""))</f>
        <v/>
      </c>
      <c r="H2888" s="12">
        <f>IF(OR($B2888="",$C2888="",$G2888=""),"",COUNTIFS(Ventes_Encaissements!$E$6:$E$3005,$B2888,Ventes_Encaissements!$J$6:$J$3005,$G2888,Ventes_Encaissements!$C$6:$C$3005,"&gt;="&amp;($C2888-3),Ventes_Encaissements!$C$6:$C$3005,"&lt;="&amp;($C2888+3)))</f>
        <v/>
      </c>
      <c r="I2888" s="12">
        <f>IF($H2888="","",IF($H2888=0,"Non trouvé",IF($H2888=1,"Match","À vérifier")))</f>
        <v/>
      </c>
      <c r="J2888" s="21">
        <f>IF($I2888&lt;&gt;"Match","",INDEX(Ventes_Encaissements!$B$6:$B$3005,_xludf.AGGREGATE(15,6,(ROW(Ventes_Encaissements!$B$6:$B$3005)-ROW(Ventes_Encaissements!$B$6)+1)/((Ventes_Encaissements!$E$6:$E$3005=$B2888)*(Ventes_Encaissements!$J$6:$J$3005=$G2888)*(Ventes_Encaissements!$C$6:$C$3005&gt;=$C2888-3)*(Ventes_Encaissements!$C$6:$C$3005&lt;=$C2888+3)),1)))</f>
        <v/>
      </c>
      <c r="K2888" s="6" t="n"/>
    </row>
    <row r="2889">
      <c r="A2889" s="6" t="n"/>
      <c r="B2889" s="6" t="n"/>
      <c r="C2889" s="19" t="n"/>
      <c r="D2889" s="19" t="n"/>
      <c r="E2889" s="6" t="n"/>
      <c r="F2889" s="20" t="n"/>
      <c r="G2889" s="9">
        <f>IF($F2889="","",IF($F2889&gt;0,ROUND($F2889,2),""))</f>
        <v/>
      </c>
      <c r="H2889" s="12">
        <f>IF(OR($B2889="",$C2889="",$G2889=""),"",COUNTIFS(Ventes_Encaissements!$E$6:$E$3005,$B2889,Ventes_Encaissements!$J$6:$J$3005,$G2889,Ventes_Encaissements!$C$6:$C$3005,"&gt;="&amp;($C2889-3),Ventes_Encaissements!$C$6:$C$3005,"&lt;="&amp;($C2889+3)))</f>
        <v/>
      </c>
      <c r="I2889" s="12">
        <f>IF($H2889="","",IF($H2889=0,"Non trouvé",IF($H2889=1,"Match","À vérifier")))</f>
        <v/>
      </c>
      <c r="J2889" s="21">
        <f>IF($I2889&lt;&gt;"Match","",INDEX(Ventes_Encaissements!$B$6:$B$3005,_xludf.AGGREGATE(15,6,(ROW(Ventes_Encaissements!$B$6:$B$3005)-ROW(Ventes_Encaissements!$B$6)+1)/((Ventes_Encaissements!$E$6:$E$3005=$B2889)*(Ventes_Encaissements!$J$6:$J$3005=$G2889)*(Ventes_Encaissements!$C$6:$C$3005&gt;=$C2889-3)*(Ventes_Encaissements!$C$6:$C$3005&lt;=$C2889+3)),1)))</f>
        <v/>
      </c>
      <c r="K2889" s="6" t="n"/>
    </row>
    <row r="2890">
      <c r="A2890" s="6" t="n"/>
      <c r="B2890" s="6" t="n"/>
      <c r="C2890" s="19" t="n"/>
      <c r="D2890" s="19" t="n"/>
      <c r="E2890" s="6" t="n"/>
      <c r="F2890" s="20" t="n"/>
      <c r="G2890" s="9">
        <f>IF($F2890="","",IF($F2890&gt;0,ROUND($F2890,2),""))</f>
        <v/>
      </c>
      <c r="H2890" s="12">
        <f>IF(OR($B2890="",$C2890="",$G2890=""),"",COUNTIFS(Ventes_Encaissements!$E$6:$E$3005,$B2890,Ventes_Encaissements!$J$6:$J$3005,$G2890,Ventes_Encaissements!$C$6:$C$3005,"&gt;="&amp;($C2890-3),Ventes_Encaissements!$C$6:$C$3005,"&lt;="&amp;($C2890+3)))</f>
        <v/>
      </c>
      <c r="I2890" s="12">
        <f>IF($H2890="","",IF($H2890=0,"Non trouvé",IF($H2890=1,"Match","À vérifier")))</f>
        <v/>
      </c>
      <c r="J2890" s="21">
        <f>IF($I2890&lt;&gt;"Match","",INDEX(Ventes_Encaissements!$B$6:$B$3005,_xludf.AGGREGATE(15,6,(ROW(Ventes_Encaissements!$B$6:$B$3005)-ROW(Ventes_Encaissements!$B$6)+1)/((Ventes_Encaissements!$E$6:$E$3005=$B2890)*(Ventes_Encaissements!$J$6:$J$3005=$G2890)*(Ventes_Encaissements!$C$6:$C$3005&gt;=$C2890-3)*(Ventes_Encaissements!$C$6:$C$3005&lt;=$C2890+3)),1)))</f>
        <v/>
      </c>
      <c r="K2890" s="6" t="n"/>
    </row>
    <row r="2891">
      <c r="A2891" s="6" t="n"/>
      <c r="B2891" s="6" t="n"/>
      <c r="C2891" s="19" t="n"/>
      <c r="D2891" s="19" t="n"/>
      <c r="E2891" s="6" t="n"/>
      <c r="F2891" s="20" t="n"/>
      <c r="G2891" s="9">
        <f>IF($F2891="","",IF($F2891&gt;0,ROUND($F2891,2),""))</f>
        <v/>
      </c>
      <c r="H2891" s="12">
        <f>IF(OR($B2891="",$C2891="",$G2891=""),"",COUNTIFS(Ventes_Encaissements!$E$6:$E$3005,$B2891,Ventes_Encaissements!$J$6:$J$3005,$G2891,Ventes_Encaissements!$C$6:$C$3005,"&gt;="&amp;($C2891-3),Ventes_Encaissements!$C$6:$C$3005,"&lt;="&amp;($C2891+3)))</f>
        <v/>
      </c>
      <c r="I2891" s="12">
        <f>IF($H2891="","",IF($H2891=0,"Non trouvé",IF($H2891=1,"Match","À vérifier")))</f>
        <v/>
      </c>
      <c r="J2891" s="21">
        <f>IF($I2891&lt;&gt;"Match","",INDEX(Ventes_Encaissements!$B$6:$B$3005,_xludf.AGGREGATE(15,6,(ROW(Ventes_Encaissements!$B$6:$B$3005)-ROW(Ventes_Encaissements!$B$6)+1)/((Ventes_Encaissements!$E$6:$E$3005=$B2891)*(Ventes_Encaissements!$J$6:$J$3005=$G2891)*(Ventes_Encaissements!$C$6:$C$3005&gt;=$C2891-3)*(Ventes_Encaissements!$C$6:$C$3005&lt;=$C2891+3)),1)))</f>
        <v/>
      </c>
      <c r="K2891" s="6" t="n"/>
    </row>
    <row r="2892">
      <c r="A2892" s="6" t="n"/>
      <c r="B2892" s="6" t="n"/>
      <c r="C2892" s="19" t="n"/>
      <c r="D2892" s="19" t="n"/>
      <c r="E2892" s="6" t="n"/>
      <c r="F2892" s="20" t="n"/>
      <c r="G2892" s="9">
        <f>IF($F2892="","",IF($F2892&gt;0,ROUND($F2892,2),""))</f>
        <v/>
      </c>
      <c r="H2892" s="12">
        <f>IF(OR($B2892="",$C2892="",$G2892=""),"",COUNTIFS(Ventes_Encaissements!$E$6:$E$3005,$B2892,Ventes_Encaissements!$J$6:$J$3005,$G2892,Ventes_Encaissements!$C$6:$C$3005,"&gt;="&amp;($C2892-3),Ventes_Encaissements!$C$6:$C$3005,"&lt;="&amp;($C2892+3)))</f>
        <v/>
      </c>
      <c r="I2892" s="12">
        <f>IF($H2892="","",IF($H2892=0,"Non trouvé",IF($H2892=1,"Match","À vérifier")))</f>
        <v/>
      </c>
      <c r="J2892" s="21">
        <f>IF($I2892&lt;&gt;"Match","",INDEX(Ventes_Encaissements!$B$6:$B$3005,_xludf.AGGREGATE(15,6,(ROW(Ventes_Encaissements!$B$6:$B$3005)-ROW(Ventes_Encaissements!$B$6)+1)/((Ventes_Encaissements!$E$6:$E$3005=$B2892)*(Ventes_Encaissements!$J$6:$J$3005=$G2892)*(Ventes_Encaissements!$C$6:$C$3005&gt;=$C2892-3)*(Ventes_Encaissements!$C$6:$C$3005&lt;=$C2892+3)),1)))</f>
        <v/>
      </c>
      <c r="K2892" s="6" t="n"/>
    </row>
    <row r="2893">
      <c r="A2893" s="6" t="n"/>
      <c r="B2893" s="6" t="n"/>
      <c r="C2893" s="19" t="n"/>
      <c r="D2893" s="19" t="n"/>
      <c r="E2893" s="6" t="n"/>
      <c r="F2893" s="20" t="n"/>
      <c r="G2893" s="9">
        <f>IF($F2893="","",IF($F2893&gt;0,ROUND($F2893,2),""))</f>
        <v/>
      </c>
      <c r="H2893" s="12">
        <f>IF(OR($B2893="",$C2893="",$G2893=""),"",COUNTIFS(Ventes_Encaissements!$E$6:$E$3005,$B2893,Ventes_Encaissements!$J$6:$J$3005,$G2893,Ventes_Encaissements!$C$6:$C$3005,"&gt;="&amp;($C2893-3),Ventes_Encaissements!$C$6:$C$3005,"&lt;="&amp;($C2893+3)))</f>
        <v/>
      </c>
      <c r="I2893" s="12">
        <f>IF($H2893="","",IF($H2893=0,"Non trouvé",IF($H2893=1,"Match","À vérifier")))</f>
        <v/>
      </c>
      <c r="J2893" s="21">
        <f>IF($I2893&lt;&gt;"Match","",INDEX(Ventes_Encaissements!$B$6:$B$3005,_xludf.AGGREGATE(15,6,(ROW(Ventes_Encaissements!$B$6:$B$3005)-ROW(Ventes_Encaissements!$B$6)+1)/((Ventes_Encaissements!$E$6:$E$3005=$B2893)*(Ventes_Encaissements!$J$6:$J$3005=$G2893)*(Ventes_Encaissements!$C$6:$C$3005&gt;=$C2893-3)*(Ventes_Encaissements!$C$6:$C$3005&lt;=$C2893+3)),1)))</f>
        <v/>
      </c>
      <c r="K2893" s="6" t="n"/>
    </row>
    <row r="2894">
      <c r="A2894" s="6" t="n"/>
      <c r="B2894" s="6" t="n"/>
      <c r="C2894" s="19" t="n"/>
      <c r="D2894" s="19" t="n"/>
      <c r="E2894" s="6" t="n"/>
      <c r="F2894" s="20" t="n"/>
      <c r="G2894" s="9">
        <f>IF($F2894="","",IF($F2894&gt;0,ROUND($F2894,2),""))</f>
        <v/>
      </c>
      <c r="H2894" s="12">
        <f>IF(OR($B2894="",$C2894="",$G2894=""),"",COUNTIFS(Ventes_Encaissements!$E$6:$E$3005,$B2894,Ventes_Encaissements!$J$6:$J$3005,$G2894,Ventes_Encaissements!$C$6:$C$3005,"&gt;="&amp;($C2894-3),Ventes_Encaissements!$C$6:$C$3005,"&lt;="&amp;($C2894+3)))</f>
        <v/>
      </c>
      <c r="I2894" s="12">
        <f>IF($H2894="","",IF($H2894=0,"Non trouvé",IF($H2894=1,"Match","À vérifier")))</f>
        <v/>
      </c>
      <c r="J2894" s="21">
        <f>IF($I2894&lt;&gt;"Match","",INDEX(Ventes_Encaissements!$B$6:$B$3005,_xludf.AGGREGATE(15,6,(ROW(Ventes_Encaissements!$B$6:$B$3005)-ROW(Ventes_Encaissements!$B$6)+1)/((Ventes_Encaissements!$E$6:$E$3005=$B2894)*(Ventes_Encaissements!$J$6:$J$3005=$G2894)*(Ventes_Encaissements!$C$6:$C$3005&gt;=$C2894-3)*(Ventes_Encaissements!$C$6:$C$3005&lt;=$C2894+3)),1)))</f>
        <v/>
      </c>
      <c r="K2894" s="6" t="n"/>
    </row>
    <row r="2895">
      <c r="A2895" s="6" t="n"/>
      <c r="B2895" s="6" t="n"/>
      <c r="C2895" s="19" t="n"/>
      <c r="D2895" s="19" t="n"/>
      <c r="E2895" s="6" t="n"/>
      <c r="F2895" s="20" t="n"/>
      <c r="G2895" s="9">
        <f>IF($F2895="","",IF($F2895&gt;0,ROUND($F2895,2),""))</f>
        <v/>
      </c>
      <c r="H2895" s="12">
        <f>IF(OR($B2895="",$C2895="",$G2895=""),"",COUNTIFS(Ventes_Encaissements!$E$6:$E$3005,$B2895,Ventes_Encaissements!$J$6:$J$3005,$G2895,Ventes_Encaissements!$C$6:$C$3005,"&gt;="&amp;($C2895-3),Ventes_Encaissements!$C$6:$C$3005,"&lt;="&amp;($C2895+3)))</f>
        <v/>
      </c>
      <c r="I2895" s="12">
        <f>IF($H2895="","",IF($H2895=0,"Non trouvé",IF($H2895=1,"Match","À vérifier")))</f>
        <v/>
      </c>
      <c r="J2895" s="21">
        <f>IF($I2895&lt;&gt;"Match","",INDEX(Ventes_Encaissements!$B$6:$B$3005,_xludf.AGGREGATE(15,6,(ROW(Ventes_Encaissements!$B$6:$B$3005)-ROW(Ventes_Encaissements!$B$6)+1)/((Ventes_Encaissements!$E$6:$E$3005=$B2895)*(Ventes_Encaissements!$J$6:$J$3005=$G2895)*(Ventes_Encaissements!$C$6:$C$3005&gt;=$C2895-3)*(Ventes_Encaissements!$C$6:$C$3005&lt;=$C2895+3)),1)))</f>
        <v/>
      </c>
      <c r="K2895" s="6" t="n"/>
    </row>
    <row r="2896">
      <c r="A2896" s="6" t="n"/>
      <c r="B2896" s="6" t="n"/>
      <c r="C2896" s="19" t="n"/>
      <c r="D2896" s="19" t="n"/>
      <c r="E2896" s="6" t="n"/>
      <c r="F2896" s="20" t="n"/>
      <c r="G2896" s="9">
        <f>IF($F2896="","",IF($F2896&gt;0,ROUND($F2896,2),""))</f>
        <v/>
      </c>
      <c r="H2896" s="12">
        <f>IF(OR($B2896="",$C2896="",$G2896=""),"",COUNTIFS(Ventes_Encaissements!$E$6:$E$3005,$B2896,Ventes_Encaissements!$J$6:$J$3005,$G2896,Ventes_Encaissements!$C$6:$C$3005,"&gt;="&amp;($C2896-3),Ventes_Encaissements!$C$6:$C$3005,"&lt;="&amp;($C2896+3)))</f>
        <v/>
      </c>
      <c r="I2896" s="12">
        <f>IF($H2896="","",IF($H2896=0,"Non trouvé",IF($H2896=1,"Match","À vérifier")))</f>
        <v/>
      </c>
      <c r="J2896" s="21">
        <f>IF($I2896&lt;&gt;"Match","",INDEX(Ventes_Encaissements!$B$6:$B$3005,_xludf.AGGREGATE(15,6,(ROW(Ventes_Encaissements!$B$6:$B$3005)-ROW(Ventes_Encaissements!$B$6)+1)/((Ventes_Encaissements!$E$6:$E$3005=$B2896)*(Ventes_Encaissements!$J$6:$J$3005=$G2896)*(Ventes_Encaissements!$C$6:$C$3005&gt;=$C2896-3)*(Ventes_Encaissements!$C$6:$C$3005&lt;=$C2896+3)),1)))</f>
        <v/>
      </c>
      <c r="K2896" s="6" t="n"/>
    </row>
    <row r="2897">
      <c r="A2897" s="6" t="n"/>
      <c r="B2897" s="6" t="n"/>
      <c r="C2897" s="19" t="n"/>
      <c r="D2897" s="19" t="n"/>
      <c r="E2897" s="6" t="n"/>
      <c r="F2897" s="20" t="n"/>
      <c r="G2897" s="9">
        <f>IF($F2897="","",IF($F2897&gt;0,ROUND($F2897,2),""))</f>
        <v/>
      </c>
      <c r="H2897" s="12">
        <f>IF(OR($B2897="",$C2897="",$G2897=""),"",COUNTIFS(Ventes_Encaissements!$E$6:$E$3005,$B2897,Ventes_Encaissements!$J$6:$J$3005,$G2897,Ventes_Encaissements!$C$6:$C$3005,"&gt;="&amp;($C2897-3),Ventes_Encaissements!$C$6:$C$3005,"&lt;="&amp;($C2897+3)))</f>
        <v/>
      </c>
      <c r="I2897" s="12">
        <f>IF($H2897="","",IF($H2897=0,"Non trouvé",IF($H2897=1,"Match","À vérifier")))</f>
        <v/>
      </c>
      <c r="J2897" s="21">
        <f>IF($I2897&lt;&gt;"Match","",INDEX(Ventes_Encaissements!$B$6:$B$3005,_xludf.AGGREGATE(15,6,(ROW(Ventes_Encaissements!$B$6:$B$3005)-ROW(Ventes_Encaissements!$B$6)+1)/((Ventes_Encaissements!$E$6:$E$3005=$B2897)*(Ventes_Encaissements!$J$6:$J$3005=$G2897)*(Ventes_Encaissements!$C$6:$C$3005&gt;=$C2897-3)*(Ventes_Encaissements!$C$6:$C$3005&lt;=$C2897+3)),1)))</f>
        <v/>
      </c>
      <c r="K2897" s="6" t="n"/>
    </row>
    <row r="2898">
      <c r="A2898" s="6" t="n"/>
      <c r="B2898" s="6" t="n"/>
      <c r="C2898" s="19" t="n"/>
      <c r="D2898" s="19" t="n"/>
      <c r="E2898" s="6" t="n"/>
      <c r="F2898" s="20" t="n"/>
      <c r="G2898" s="9">
        <f>IF($F2898="","",IF($F2898&gt;0,ROUND($F2898,2),""))</f>
        <v/>
      </c>
      <c r="H2898" s="12">
        <f>IF(OR($B2898="",$C2898="",$G2898=""),"",COUNTIFS(Ventes_Encaissements!$E$6:$E$3005,$B2898,Ventes_Encaissements!$J$6:$J$3005,$G2898,Ventes_Encaissements!$C$6:$C$3005,"&gt;="&amp;($C2898-3),Ventes_Encaissements!$C$6:$C$3005,"&lt;="&amp;($C2898+3)))</f>
        <v/>
      </c>
      <c r="I2898" s="12">
        <f>IF($H2898="","",IF($H2898=0,"Non trouvé",IF($H2898=1,"Match","À vérifier")))</f>
        <v/>
      </c>
      <c r="J2898" s="21">
        <f>IF($I2898&lt;&gt;"Match","",INDEX(Ventes_Encaissements!$B$6:$B$3005,_xludf.AGGREGATE(15,6,(ROW(Ventes_Encaissements!$B$6:$B$3005)-ROW(Ventes_Encaissements!$B$6)+1)/((Ventes_Encaissements!$E$6:$E$3005=$B2898)*(Ventes_Encaissements!$J$6:$J$3005=$G2898)*(Ventes_Encaissements!$C$6:$C$3005&gt;=$C2898-3)*(Ventes_Encaissements!$C$6:$C$3005&lt;=$C2898+3)),1)))</f>
        <v/>
      </c>
      <c r="K2898" s="6" t="n"/>
    </row>
    <row r="2899">
      <c r="A2899" s="6" t="n"/>
      <c r="B2899" s="6" t="n"/>
      <c r="C2899" s="19" t="n"/>
      <c r="D2899" s="19" t="n"/>
      <c r="E2899" s="6" t="n"/>
      <c r="F2899" s="20" t="n"/>
      <c r="G2899" s="9">
        <f>IF($F2899="","",IF($F2899&gt;0,ROUND($F2899,2),""))</f>
        <v/>
      </c>
      <c r="H2899" s="12">
        <f>IF(OR($B2899="",$C2899="",$G2899=""),"",COUNTIFS(Ventes_Encaissements!$E$6:$E$3005,$B2899,Ventes_Encaissements!$J$6:$J$3005,$G2899,Ventes_Encaissements!$C$6:$C$3005,"&gt;="&amp;($C2899-3),Ventes_Encaissements!$C$6:$C$3005,"&lt;="&amp;($C2899+3)))</f>
        <v/>
      </c>
      <c r="I2899" s="12">
        <f>IF($H2899="","",IF($H2899=0,"Non trouvé",IF($H2899=1,"Match","À vérifier")))</f>
        <v/>
      </c>
      <c r="J2899" s="21">
        <f>IF($I2899&lt;&gt;"Match","",INDEX(Ventes_Encaissements!$B$6:$B$3005,_xludf.AGGREGATE(15,6,(ROW(Ventes_Encaissements!$B$6:$B$3005)-ROW(Ventes_Encaissements!$B$6)+1)/((Ventes_Encaissements!$E$6:$E$3005=$B2899)*(Ventes_Encaissements!$J$6:$J$3005=$G2899)*(Ventes_Encaissements!$C$6:$C$3005&gt;=$C2899-3)*(Ventes_Encaissements!$C$6:$C$3005&lt;=$C2899+3)),1)))</f>
        <v/>
      </c>
      <c r="K2899" s="6" t="n"/>
    </row>
    <row r="2900">
      <c r="A2900" s="6" t="n"/>
      <c r="B2900" s="6" t="n"/>
      <c r="C2900" s="19" t="n"/>
      <c r="D2900" s="19" t="n"/>
      <c r="E2900" s="6" t="n"/>
      <c r="F2900" s="20" t="n"/>
      <c r="G2900" s="9">
        <f>IF($F2900="","",IF($F2900&gt;0,ROUND($F2900,2),""))</f>
        <v/>
      </c>
      <c r="H2900" s="12">
        <f>IF(OR($B2900="",$C2900="",$G2900=""),"",COUNTIFS(Ventes_Encaissements!$E$6:$E$3005,$B2900,Ventes_Encaissements!$J$6:$J$3005,$G2900,Ventes_Encaissements!$C$6:$C$3005,"&gt;="&amp;($C2900-3),Ventes_Encaissements!$C$6:$C$3005,"&lt;="&amp;($C2900+3)))</f>
        <v/>
      </c>
      <c r="I2900" s="12">
        <f>IF($H2900="","",IF($H2900=0,"Non trouvé",IF($H2900=1,"Match","À vérifier")))</f>
        <v/>
      </c>
      <c r="J2900" s="21">
        <f>IF($I2900&lt;&gt;"Match","",INDEX(Ventes_Encaissements!$B$6:$B$3005,_xludf.AGGREGATE(15,6,(ROW(Ventes_Encaissements!$B$6:$B$3005)-ROW(Ventes_Encaissements!$B$6)+1)/((Ventes_Encaissements!$E$6:$E$3005=$B2900)*(Ventes_Encaissements!$J$6:$J$3005=$G2900)*(Ventes_Encaissements!$C$6:$C$3005&gt;=$C2900-3)*(Ventes_Encaissements!$C$6:$C$3005&lt;=$C2900+3)),1)))</f>
        <v/>
      </c>
      <c r="K2900" s="6" t="n"/>
    </row>
    <row r="2901">
      <c r="A2901" s="6" t="n"/>
      <c r="B2901" s="6" t="n"/>
      <c r="C2901" s="19" t="n"/>
      <c r="D2901" s="19" t="n"/>
      <c r="E2901" s="6" t="n"/>
      <c r="F2901" s="20" t="n"/>
      <c r="G2901" s="9">
        <f>IF($F2901="","",IF($F2901&gt;0,ROUND($F2901,2),""))</f>
        <v/>
      </c>
      <c r="H2901" s="12">
        <f>IF(OR($B2901="",$C2901="",$G2901=""),"",COUNTIFS(Ventes_Encaissements!$E$6:$E$3005,$B2901,Ventes_Encaissements!$J$6:$J$3005,$G2901,Ventes_Encaissements!$C$6:$C$3005,"&gt;="&amp;($C2901-3),Ventes_Encaissements!$C$6:$C$3005,"&lt;="&amp;($C2901+3)))</f>
        <v/>
      </c>
      <c r="I2901" s="12">
        <f>IF($H2901="","",IF($H2901=0,"Non trouvé",IF($H2901=1,"Match","À vérifier")))</f>
        <v/>
      </c>
      <c r="J2901" s="21">
        <f>IF($I2901&lt;&gt;"Match","",INDEX(Ventes_Encaissements!$B$6:$B$3005,_xludf.AGGREGATE(15,6,(ROW(Ventes_Encaissements!$B$6:$B$3005)-ROW(Ventes_Encaissements!$B$6)+1)/((Ventes_Encaissements!$E$6:$E$3005=$B2901)*(Ventes_Encaissements!$J$6:$J$3005=$G2901)*(Ventes_Encaissements!$C$6:$C$3005&gt;=$C2901-3)*(Ventes_Encaissements!$C$6:$C$3005&lt;=$C2901+3)),1)))</f>
        <v/>
      </c>
      <c r="K2901" s="6" t="n"/>
    </row>
    <row r="2902">
      <c r="A2902" s="6" t="n"/>
      <c r="B2902" s="6" t="n"/>
      <c r="C2902" s="19" t="n"/>
      <c r="D2902" s="19" t="n"/>
      <c r="E2902" s="6" t="n"/>
      <c r="F2902" s="20" t="n"/>
      <c r="G2902" s="9">
        <f>IF($F2902="","",IF($F2902&gt;0,ROUND($F2902,2),""))</f>
        <v/>
      </c>
      <c r="H2902" s="12">
        <f>IF(OR($B2902="",$C2902="",$G2902=""),"",COUNTIFS(Ventes_Encaissements!$E$6:$E$3005,$B2902,Ventes_Encaissements!$J$6:$J$3005,$G2902,Ventes_Encaissements!$C$6:$C$3005,"&gt;="&amp;($C2902-3),Ventes_Encaissements!$C$6:$C$3005,"&lt;="&amp;($C2902+3)))</f>
        <v/>
      </c>
      <c r="I2902" s="12">
        <f>IF($H2902="","",IF($H2902=0,"Non trouvé",IF($H2902=1,"Match","À vérifier")))</f>
        <v/>
      </c>
      <c r="J2902" s="21">
        <f>IF($I2902&lt;&gt;"Match","",INDEX(Ventes_Encaissements!$B$6:$B$3005,_xludf.AGGREGATE(15,6,(ROW(Ventes_Encaissements!$B$6:$B$3005)-ROW(Ventes_Encaissements!$B$6)+1)/((Ventes_Encaissements!$E$6:$E$3005=$B2902)*(Ventes_Encaissements!$J$6:$J$3005=$G2902)*(Ventes_Encaissements!$C$6:$C$3005&gt;=$C2902-3)*(Ventes_Encaissements!$C$6:$C$3005&lt;=$C2902+3)),1)))</f>
        <v/>
      </c>
      <c r="K2902" s="6" t="n"/>
    </row>
    <row r="2903">
      <c r="A2903" s="6" t="n"/>
      <c r="B2903" s="6" t="n"/>
      <c r="C2903" s="19" t="n"/>
      <c r="D2903" s="19" t="n"/>
      <c r="E2903" s="6" t="n"/>
      <c r="F2903" s="20" t="n"/>
      <c r="G2903" s="9">
        <f>IF($F2903="","",IF($F2903&gt;0,ROUND($F2903,2),""))</f>
        <v/>
      </c>
      <c r="H2903" s="12">
        <f>IF(OR($B2903="",$C2903="",$G2903=""),"",COUNTIFS(Ventes_Encaissements!$E$6:$E$3005,$B2903,Ventes_Encaissements!$J$6:$J$3005,$G2903,Ventes_Encaissements!$C$6:$C$3005,"&gt;="&amp;($C2903-3),Ventes_Encaissements!$C$6:$C$3005,"&lt;="&amp;($C2903+3)))</f>
        <v/>
      </c>
      <c r="I2903" s="12">
        <f>IF($H2903="","",IF($H2903=0,"Non trouvé",IF($H2903=1,"Match","À vérifier")))</f>
        <v/>
      </c>
      <c r="J2903" s="21">
        <f>IF($I2903&lt;&gt;"Match","",INDEX(Ventes_Encaissements!$B$6:$B$3005,_xludf.AGGREGATE(15,6,(ROW(Ventes_Encaissements!$B$6:$B$3005)-ROW(Ventes_Encaissements!$B$6)+1)/((Ventes_Encaissements!$E$6:$E$3005=$B2903)*(Ventes_Encaissements!$J$6:$J$3005=$G2903)*(Ventes_Encaissements!$C$6:$C$3005&gt;=$C2903-3)*(Ventes_Encaissements!$C$6:$C$3005&lt;=$C2903+3)),1)))</f>
        <v/>
      </c>
      <c r="K2903" s="6" t="n"/>
    </row>
    <row r="2904">
      <c r="A2904" s="6" t="n"/>
      <c r="B2904" s="6" t="n"/>
      <c r="C2904" s="19" t="n"/>
      <c r="D2904" s="19" t="n"/>
      <c r="E2904" s="6" t="n"/>
      <c r="F2904" s="20" t="n"/>
      <c r="G2904" s="9">
        <f>IF($F2904="","",IF($F2904&gt;0,ROUND($F2904,2),""))</f>
        <v/>
      </c>
      <c r="H2904" s="12">
        <f>IF(OR($B2904="",$C2904="",$G2904=""),"",COUNTIFS(Ventes_Encaissements!$E$6:$E$3005,$B2904,Ventes_Encaissements!$J$6:$J$3005,$G2904,Ventes_Encaissements!$C$6:$C$3005,"&gt;="&amp;($C2904-3),Ventes_Encaissements!$C$6:$C$3005,"&lt;="&amp;($C2904+3)))</f>
        <v/>
      </c>
      <c r="I2904" s="12">
        <f>IF($H2904="","",IF($H2904=0,"Non trouvé",IF($H2904=1,"Match","À vérifier")))</f>
        <v/>
      </c>
      <c r="J2904" s="21">
        <f>IF($I2904&lt;&gt;"Match","",INDEX(Ventes_Encaissements!$B$6:$B$3005,_xludf.AGGREGATE(15,6,(ROW(Ventes_Encaissements!$B$6:$B$3005)-ROW(Ventes_Encaissements!$B$6)+1)/((Ventes_Encaissements!$E$6:$E$3005=$B2904)*(Ventes_Encaissements!$J$6:$J$3005=$G2904)*(Ventes_Encaissements!$C$6:$C$3005&gt;=$C2904-3)*(Ventes_Encaissements!$C$6:$C$3005&lt;=$C2904+3)),1)))</f>
        <v/>
      </c>
      <c r="K2904" s="6" t="n"/>
    </row>
    <row r="2905">
      <c r="A2905" s="6" t="n"/>
      <c r="B2905" s="6" t="n"/>
      <c r="C2905" s="19" t="n"/>
      <c r="D2905" s="19" t="n"/>
      <c r="E2905" s="6" t="n"/>
      <c r="F2905" s="20" t="n"/>
      <c r="G2905" s="9">
        <f>IF($F2905="","",IF($F2905&gt;0,ROUND($F2905,2),""))</f>
        <v/>
      </c>
      <c r="H2905" s="12">
        <f>IF(OR($B2905="",$C2905="",$G2905=""),"",COUNTIFS(Ventes_Encaissements!$E$6:$E$3005,$B2905,Ventes_Encaissements!$J$6:$J$3005,$G2905,Ventes_Encaissements!$C$6:$C$3005,"&gt;="&amp;($C2905-3),Ventes_Encaissements!$C$6:$C$3005,"&lt;="&amp;($C2905+3)))</f>
        <v/>
      </c>
      <c r="I2905" s="12">
        <f>IF($H2905="","",IF($H2905=0,"Non trouvé",IF($H2905=1,"Match","À vérifier")))</f>
        <v/>
      </c>
      <c r="J2905" s="21">
        <f>IF($I2905&lt;&gt;"Match","",INDEX(Ventes_Encaissements!$B$6:$B$3005,_xludf.AGGREGATE(15,6,(ROW(Ventes_Encaissements!$B$6:$B$3005)-ROW(Ventes_Encaissements!$B$6)+1)/((Ventes_Encaissements!$E$6:$E$3005=$B2905)*(Ventes_Encaissements!$J$6:$J$3005=$G2905)*(Ventes_Encaissements!$C$6:$C$3005&gt;=$C2905-3)*(Ventes_Encaissements!$C$6:$C$3005&lt;=$C2905+3)),1)))</f>
        <v/>
      </c>
      <c r="K2905" s="6" t="n"/>
    </row>
    <row r="2906">
      <c r="A2906" s="6" t="n"/>
      <c r="B2906" s="6" t="n"/>
      <c r="C2906" s="19" t="n"/>
      <c r="D2906" s="19" t="n"/>
      <c r="E2906" s="6" t="n"/>
      <c r="F2906" s="20" t="n"/>
      <c r="G2906" s="9">
        <f>IF($F2906="","",IF($F2906&gt;0,ROUND($F2906,2),""))</f>
        <v/>
      </c>
      <c r="H2906" s="12">
        <f>IF(OR($B2906="",$C2906="",$G2906=""),"",COUNTIFS(Ventes_Encaissements!$E$6:$E$3005,$B2906,Ventes_Encaissements!$J$6:$J$3005,$G2906,Ventes_Encaissements!$C$6:$C$3005,"&gt;="&amp;($C2906-3),Ventes_Encaissements!$C$6:$C$3005,"&lt;="&amp;($C2906+3)))</f>
        <v/>
      </c>
      <c r="I2906" s="12">
        <f>IF($H2906="","",IF($H2906=0,"Non trouvé",IF($H2906=1,"Match","À vérifier")))</f>
        <v/>
      </c>
      <c r="J2906" s="21">
        <f>IF($I2906&lt;&gt;"Match","",INDEX(Ventes_Encaissements!$B$6:$B$3005,_xludf.AGGREGATE(15,6,(ROW(Ventes_Encaissements!$B$6:$B$3005)-ROW(Ventes_Encaissements!$B$6)+1)/((Ventes_Encaissements!$E$6:$E$3005=$B2906)*(Ventes_Encaissements!$J$6:$J$3005=$G2906)*(Ventes_Encaissements!$C$6:$C$3005&gt;=$C2906-3)*(Ventes_Encaissements!$C$6:$C$3005&lt;=$C2906+3)),1)))</f>
        <v/>
      </c>
      <c r="K2906" s="6" t="n"/>
    </row>
    <row r="2907">
      <c r="A2907" s="6" t="n"/>
      <c r="B2907" s="6" t="n"/>
      <c r="C2907" s="19" t="n"/>
      <c r="D2907" s="19" t="n"/>
      <c r="E2907" s="6" t="n"/>
      <c r="F2907" s="20" t="n"/>
      <c r="G2907" s="9">
        <f>IF($F2907="","",IF($F2907&gt;0,ROUND($F2907,2),""))</f>
        <v/>
      </c>
      <c r="H2907" s="12">
        <f>IF(OR($B2907="",$C2907="",$G2907=""),"",COUNTIFS(Ventes_Encaissements!$E$6:$E$3005,$B2907,Ventes_Encaissements!$J$6:$J$3005,$G2907,Ventes_Encaissements!$C$6:$C$3005,"&gt;="&amp;($C2907-3),Ventes_Encaissements!$C$6:$C$3005,"&lt;="&amp;($C2907+3)))</f>
        <v/>
      </c>
      <c r="I2907" s="12">
        <f>IF($H2907="","",IF($H2907=0,"Non trouvé",IF($H2907=1,"Match","À vérifier")))</f>
        <v/>
      </c>
      <c r="J2907" s="21">
        <f>IF($I2907&lt;&gt;"Match","",INDEX(Ventes_Encaissements!$B$6:$B$3005,_xludf.AGGREGATE(15,6,(ROW(Ventes_Encaissements!$B$6:$B$3005)-ROW(Ventes_Encaissements!$B$6)+1)/((Ventes_Encaissements!$E$6:$E$3005=$B2907)*(Ventes_Encaissements!$J$6:$J$3005=$G2907)*(Ventes_Encaissements!$C$6:$C$3005&gt;=$C2907-3)*(Ventes_Encaissements!$C$6:$C$3005&lt;=$C2907+3)),1)))</f>
        <v/>
      </c>
      <c r="K2907" s="6" t="n"/>
    </row>
    <row r="2908">
      <c r="A2908" s="6" t="n"/>
      <c r="B2908" s="6" t="n"/>
      <c r="C2908" s="19" t="n"/>
      <c r="D2908" s="19" t="n"/>
      <c r="E2908" s="6" t="n"/>
      <c r="F2908" s="20" t="n"/>
      <c r="G2908" s="9">
        <f>IF($F2908="","",IF($F2908&gt;0,ROUND($F2908,2),""))</f>
        <v/>
      </c>
      <c r="H2908" s="12">
        <f>IF(OR($B2908="",$C2908="",$G2908=""),"",COUNTIFS(Ventes_Encaissements!$E$6:$E$3005,$B2908,Ventes_Encaissements!$J$6:$J$3005,$G2908,Ventes_Encaissements!$C$6:$C$3005,"&gt;="&amp;($C2908-3),Ventes_Encaissements!$C$6:$C$3005,"&lt;="&amp;($C2908+3)))</f>
        <v/>
      </c>
      <c r="I2908" s="12">
        <f>IF($H2908="","",IF($H2908=0,"Non trouvé",IF($H2908=1,"Match","À vérifier")))</f>
        <v/>
      </c>
      <c r="J2908" s="21">
        <f>IF($I2908&lt;&gt;"Match","",INDEX(Ventes_Encaissements!$B$6:$B$3005,_xludf.AGGREGATE(15,6,(ROW(Ventes_Encaissements!$B$6:$B$3005)-ROW(Ventes_Encaissements!$B$6)+1)/((Ventes_Encaissements!$E$6:$E$3005=$B2908)*(Ventes_Encaissements!$J$6:$J$3005=$G2908)*(Ventes_Encaissements!$C$6:$C$3005&gt;=$C2908-3)*(Ventes_Encaissements!$C$6:$C$3005&lt;=$C2908+3)),1)))</f>
        <v/>
      </c>
      <c r="K2908" s="6" t="n"/>
    </row>
    <row r="2909">
      <c r="A2909" s="6" t="n"/>
      <c r="B2909" s="6" t="n"/>
      <c r="C2909" s="19" t="n"/>
      <c r="D2909" s="19" t="n"/>
      <c r="E2909" s="6" t="n"/>
      <c r="F2909" s="20" t="n"/>
      <c r="G2909" s="9">
        <f>IF($F2909="","",IF($F2909&gt;0,ROUND($F2909,2),""))</f>
        <v/>
      </c>
      <c r="H2909" s="12">
        <f>IF(OR($B2909="",$C2909="",$G2909=""),"",COUNTIFS(Ventes_Encaissements!$E$6:$E$3005,$B2909,Ventes_Encaissements!$J$6:$J$3005,$G2909,Ventes_Encaissements!$C$6:$C$3005,"&gt;="&amp;($C2909-3),Ventes_Encaissements!$C$6:$C$3005,"&lt;="&amp;($C2909+3)))</f>
        <v/>
      </c>
      <c r="I2909" s="12">
        <f>IF($H2909="","",IF($H2909=0,"Non trouvé",IF($H2909=1,"Match","À vérifier")))</f>
        <v/>
      </c>
      <c r="J2909" s="21">
        <f>IF($I2909&lt;&gt;"Match","",INDEX(Ventes_Encaissements!$B$6:$B$3005,_xludf.AGGREGATE(15,6,(ROW(Ventes_Encaissements!$B$6:$B$3005)-ROW(Ventes_Encaissements!$B$6)+1)/((Ventes_Encaissements!$E$6:$E$3005=$B2909)*(Ventes_Encaissements!$J$6:$J$3005=$G2909)*(Ventes_Encaissements!$C$6:$C$3005&gt;=$C2909-3)*(Ventes_Encaissements!$C$6:$C$3005&lt;=$C2909+3)),1)))</f>
        <v/>
      </c>
      <c r="K2909" s="6" t="n"/>
    </row>
    <row r="2910">
      <c r="A2910" s="6" t="n"/>
      <c r="B2910" s="6" t="n"/>
      <c r="C2910" s="19" t="n"/>
      <c r="D2910" s="19" t="n"/>
      <c r="E2910" s="6" t="n"/>
      <c r="F2910" s="20" t="n"/>
      <c r="G2910" s="9">
        <f>IF($F2910="","",IF($F2910&gt;0,ROUND($F2910,2),""))</f>
        <v/>
      </c>
      <c r="H2910" s="12">
        <f>IF(OR($B2910="",$C2910="",$G2910=""),"",COUNTIFS(Ventes_Encaissements!$E$6:$E$3005,$B2910,Ventes_Encaissements!$J$6:$J$3005,$G2910,Ventes_Encaissements!$C$6:$C$3005,"&gt;="&amp;($C2910-3),Ventes_Encaissements!$C$6:$C$3005,"&lt;="&amp;($C2910+3)))</f>
        <v/>
      </c>
      <c r="I2910" s="12">
        <f>IF($H2910="","",IF($H2910=0,"Non trouvé",IF($H2910=1,"Match","À vérifier")))</f>
        <v/>
      </c>
      <c r="J2910" s="21">
        <f>IF($I2910&lt;&gt;"Match","",INDEX(Ventes_Encaissements!$B$6:$B$3005,_xludf.AGGREGATE(15,6,(ROW(Ventes_Encaissements!$B$6:$B$3005)-ROW(Ventes_Encaissements!$B$6)+1)/((Ventes_Encaissements!$E$6:$E$3005=$B2910)*(Ventes_Encaissements!$J$6:$J$3005=$G2910)*(Ventes_Encaissements!$C$6:$C$3005&gt;=$C2910-3)*(Ventes_Encaissements!$C$6:$C$3005&lt;=$C2910+3)),1)))</f>
        <v/>
      </c>
      <c r="K2910" s="6" t="n"/>
    </row>
    <row r="2911">
      <c r="A2911" s="6" t="n"/>
      <c r="B2911" s="6" t="n"/>
      <c r="C2911" s="19" t="n"/>
      <c r="D2911" s="19" t="n"/>
      <c r="E2911" s="6" t="n"/>
      <c r="F2911" s="20" t="n"/>
      <c r="G2911" s="9">
        <f>IF($F2911="","",IF($F2911&gt;0,ROUND($F2911,2),""))</f>
        <v/>
      </c>
      <c r="H2911" s="12">
        <f>IF(OR($B2911="",$C2911="",$G2911=""),"",COUNTIFS(Ventes_Encaissements!$E$6:$E$3005,$B2911,Ventes_Encaissements!$J$6:$J$3005,$G2911,Ventes_Encaissements!$C$6:$C$3005,"&gt;="&amp;($C2911-3),Ventes_Encaissements!$C$6:$C$3005,"&lt;="&amp;($C2911+3)))</f>
        <v/>
      </c>
      <c r="I2911" s="12">
        <f>IF($H2911="","",IF($H2911=0,"Non trouvé",IF($H2911=1,"Match","À vérifier")))</f>
        <v/>
      </c>
      <c r="J2911" s="21">
        <f>IF($I2911&lt;&gt;"Match","",INDEX(Ventes_Encaissements!$B$6:$B$3005,_xludf.AGGREGATE(15,6,(ROW(Ventes_Encaissements!$B$6:$B$3005)-ROW(Ventes_Encaissements!$B$6)+1)/((Ventes_Encaissements!$E$6:$E$3005=$B2911)*(Ventes_Encaissements!$J$6:$J$3005=$G2911)*(Ventes_Encaissements!$C$6:$C$3005&gt;=$C2911-3)*(Ventes_Encaissements!$C$6:$C$3005&lt;=$C2911+3)),1)))</f>
        <v/>
      </c>
      <c r="K2911" s="6" t="n"/>
    </row>
    <row r="2912">
      <c r="A2912" s="6" t="n"/>
      <c r="B2912" s="6" t="n"/>
      <c r="C2912" s="19" t="n"/>
      <c r="D2912" s="19" t="n"/>
      <c r="E2912" s="6" t="n"/>
      <c r="F2912" s="20" t="n"/>
      <c r="G2912" s="9">
        <f>IF($F2912="","",IF($F2912&gt;0,ROUND($F2912,2),""))</f>
        <v/>
      </c>
      <c r="H2912" s="12">
        <f>IF(OR($B2912="",$C2912="",$G2912=""),"",COUNTIFS(Ventes_Encaissements!$E$6:$E$3005,$B2912,Ventes_Encaissements!$J$6:$J$3005,$G2912,Ventes_Encaissements!$C$6:$C$3005,"&gt;="&amp;($C2912-3),Ventes_Encaissements!$C$6:$C$3005,"&lt;="&amp;($C2912+3)))</f>
        <v/>
      </c>
      <c r="I2912" s="12">
        <f>IF($H2912="","",IF($H2912=0,"Non trouvé",IF($H2912=1,"Match","À vérifier")))</f>
        <v/>
      </c>
      <c r="J2912" s="21">
        <f>IF($I2912&lt;&gt;"Match","",INDEX(Ventes_Encaissements!$B$6:$B$3005,_xludf.AGGREGATE(15,6,(ROW(Ventes_Encaissements!$B$6:$B$3005)-ROW(Ventes_Encaissements!$B$6)+1)/((Ventes_Encaissements!$E$6:$E$3005=$B2912)*(Ventes_Encaissements!$J$6:$J$3005=$G2912)*(Ventes_Encaissements!$C$6:$C$3005&gt;=$C2912-3)*(Ventes_Encaissements!$C$6:$C$3005&lt;=$C2912+3)),1)))</f>
        <v/>
      </c>
      <c r="K2912" s="6" t="n"/>
    </row>
    <row r="2913">
      <c r="A2913" s="6" t="n"/>
      <c r="B2913" s="6" t="n"/>
      <c r="C2913" s="19" t="n"/>
      <c r="D2913" s="19" t="n"/>
      <c r="E2913" s="6" t="n"/>
      <c r="F2913" s="20" t="n"/>
      <c r="G2913" s="9">
        <f>IF($F2913="","",IF($F2913&gt;0,ROUND($F2913,2),""))</f>
        <v/>
      </c>
      <c r="H2913" s="12">
        <f>IF(OR($B2913="",$C2913="",$G2913=""),"",COUNTIFS(Ventes_Encaissements!$E$6:$E$3005,$B2913,Ventes_Encaissements!$J$6:$J$3005,$G2913,Ventes_Encaissements!$C$6:$C$3005,"&gt;="&amp;($C2913-3),Ventes_Encaissements!$C$6:$C$3005,"&lt;="&amp;($C2913+3)))</f>
        <v/>
      </c>
      <c r="I2913" s="12">
        <f>IF($H2913="","",IF($H2913=0,"Non trouvé",IF($H2913=1,"Match","À vérifier")))</f>
        <v/>
      </c>
      <c r="J2913" s="21">
        <f>IF($I2913&lt;&gt;"Match","",INDEX(Ventes_Encaissements!$B$6:$B$3005,_xludf.AGGREGATE(15,6,(ROW(Ventes_Encaissements!$B$6:$B$3005)-ROW(Ventes_Encaissements!$B$6)+1)/((Ventes_Encaissements!$E$6:$E$3005=$B2913)*(Ventes_Encaissements!$J$6:$J$3005=$G2913)*(Ventes_Encaissements!$C$6:$C$3005&gt;=$C2913-3)*(Ventes_Encaissements!$C$6:$C$3005&lt;=$C2913+3)),1)))</f>
        <v/>
      </c>
      <c r="K2913" s="6" t="n"/>
    </row>
    <row r="2914">
      <c r="A2914" s="6" t="n"/>
      <c r="B2914" s="6" t="n"/>
      <c r="C2914" s="19" t="n"/>
      <c r="D2914" s="19" t="n"/>
      <c r="E2914" s="6" t="n"/>
      <c r="F2914" s="20" t="n"/>
      <c r="G2914" s="9">
        <f>IF($F2914="","",IF($F2914&gt;0,ROUND($F2914,2),""))</f>
        <v/>
      </c>
      <c r="H2914" s="12">
        <f>IF(OR($B2914="",$C2914="",$G2914=""),"",COUNTIFS(Ventes_Encaissements!$E$6:$E$3005,$B2914,Ventes_Encaissements!$J$6:$J$3005,$G2914,Ventes_Encaissements!$C$6:$C$3005,"&gt;="&amp;($C2914-3),Ventes_Encaissements!$C$6:$C$3005,"&lt;="&amp;($C2914+3)))</f>
        <v/>
      </c>
      <c r="I2914" s="12">
        <f>IF($H2914="","",IF($H2914=0,"Non trouvé",IF($H2914=1,"Match","À vérifier")))</f>
        <v/>
      </c>
      <c r="J2914" s="21">
        <f>IF($I2914&lt;&gt;"Match","",INDEX(Ventes_Encaissements!$B$6:$B$3005,_xludf.AGGREGATE(15,6,(ROW(Ventes_Encaissements!$B$6:$B$3005)-ROW(Ventes_Encaissements!$B$6)+1)/((Ventes_Encaissements!$E$6:$E$3005=$B2914)*(Ventes_Encaissements!$J$6:$J$3005=$G2914)*(Ventes_Encaissements!$C$6:$C$3005&gt;=$C2914-3)*(Ventes_Encaissements!$C$6:$C$3005&lt;=$C2914+3)),1)))</f>
        <v/>
      </c>
      <c r="K2914" s="6" t="n"/>
    </row>
    <row r="2915">
      <c r="A2915" s="6" t="n"/>
      <c r="B2915" s="6" t="n"/>
      <c r="C2915" s="19" t="n"/>
      <c r="D2915" s="19" t="n"/>
      <c r="E2915" s="6" t="n"/>
      <c r="F2915" s="20" t="n"/>
      <c r="G2915" s="9">
        <f>IF($F2915="","",IF($F2915&gt;0,ROUND($F2915,2),""))</f>
        <v/>
      </c>
      <c r="H2915" s="12">
        <f>IF(OR($B2915="",$C2915="",$G2915=""),"",COUNTIFS(Ventes_Encaissements!$E$6:$E$3005,$B2915,Ventes_Encaissements!$J$6:$J$3005,$G2915,Ventes_Encaissements!$C$6:$C$3005,"&gt;="&amp;($C2915-3),Ventes_Encaissements!$C$6:$C$3005,"&lt;="&amp;($C2915+3)))</f>
        <v/>
      </c>
      <c r="I2915" s="12">
        <f>IF($H2915="","",IF($H2915=0,"Non trouvé",IF($H2915=1,"Match","À vérifier")))</f>
        <v/>
      </c>
      <c r="J2915" s="21">
        <f>IF($I2915&lt;&gt;"Match","",INDEX(Ventes_Encaissements!$B$6:$B$3005,_xludf.AGGREGATE(15,6,(ROW(Ventes_Encaissements!$B$6:$B$3005)-ROW(Ventes_Encaissements!$B$6)+1)/((Ventes_Encaissements!$E$6:$E$3005=$B2915)*(Ventes_Encaissements!$J$6:$J$3005=$G2915)*(Ventes_Encaissements!$C$6:$C$3005&gt;=$C2915-3)*(Ventes_Encaissements!$C$6:$C$3005&lt;=$C2915+3)),1)))</f>
        <v/>
      </c>
      <c r="K2915" s="6" t="n"/>
    </row>
    <row r="2916">
      <c r="A2916" s="6" t="n"/>
      <c r="B2916" s="6" t="n"/>
      <c r="C2916" s="19" t="n"/>
      <c r="D2916" s="19" t="n"/>
      <c r="E2916" s="6" t="n"/>
      <c r="F2916" s="20" t="n"/>
      <c r="G2916" s="9">
        <f>IF($F2916="","",IF($F2916&gt;0,ROUND($F2916,2),""))</f>
        <v/>
      </c>
      <c r="H2916" s="12">
        <f>IF(OR($B2916="",$C2916="",$G2916=""),"",COUNTIFS(Ventes_Encaissements!$E$6:$E$3005,$B2916,Ventes_Encaissements!$J$6:$J$3005,$G2916,Ventes_Encaissements!$C$6:$C$3005,"&gt;="&amp;($C2916-3),Ventes_Encaissements!$C$6:$C$3005,"&lt;="&amp;($C2916+3)))</f>
        <v/>
      </c>
      <c r="I2916" s="12">
        <f>IF($H2916="","",IF($H2916=0,"Non trouvé",IF($H2916=1,"Match","À vérifier")))</f>
        <v/>
      </c>
      <c r="J2916" s="21">
        <f>IF($I2916&lt;&gt;"Match","",INDEX(Ventes_Encaissements!$B$6:$B$3005,_xludf.AGGREGATE(15,6,(ROW(Ventes_Encaissements!$B$6:$B$3005)-ROW(Ventes_Encaissements!$B$6)+1)/((Ventes_Encaissements!$E$6:$E$3005=$B2916)*(Ventes_Encaissements!$J$6:$J$3005=$G2916)*(Ventes_Encaissements!$C$6:$C$3005&gt;=$C2916-3)*(Ventes_Encaissements!$C$6:$C$3005&lt;=$C2916+3)),1)))</f>
        <v/>
      </c>
      <c r="K2916" s="6" t="n"/>
    </row>
    <row r="2917">
      <c r="A2917" s="6" t="n"/>
      <c r="B2917" s="6" t="n"/>
      <c r="C2917" s="19" t="n"/>
      <c r="D2917" s="19" t="n"/>
      <c r="E2917" s="6" t="n"/>
      <c r="F2917" s="20" t="n"/>
      <c r="G2917" s="9">
        <f>IF($F2917="","",IF($F2917&gt;0,ROUND($F2917,2),""))</f>
        <v/>
      </c>
      <c r="H2917" s="12">
        <f>IF(OR($B2917="",$C2917="",$G2917=""),"",COUNTIFS(Ventes_Encaissements!$E$6:$E$3005,$B2917,Ventes_Encaissements!$J$6:$J$3005,$G2917,Ventes_Encaissements!$C$6:$C$3005,"&gt;="&amp;($C2917-3),Ventes_Encaissements!$C$6:$C$3005,"&lt;="&amp;($C2917+3)))</f>
        <v/>
      </c>
      <c r="I2917" s="12">
        <f>IF($H2917="","",IF($H2917=0,"Non trouvé",IF($H2917=1,"Match","À vérifier")))</f>
        <v/>
      </c>
      <c r="J2917" s="21">
        <f>IF($I2917&lt;&gt;"Match","",INDEX(Ventes_Encaissements!$B$6:$B$3005,_xludf.AGGREGATE(15,6,(ROW(Ventes_Encaissements!$B$6:$B$3005)-ROW(Ventes_Encaissements!$B$6)+1)/((Ventes_Encaissements!$E$6:$E$3005=$B2917)*(Ventes_Encaissements!$J$6:$J$3005=$G2917)*(Ventes_Encaissements!$C$6:$C$3005&gt;=$C2917-3)*(Ventes_Encaissements!$C$6:$C$3005&lt;=$C2917+3)),1)))</f>
        <v/>
      </c>
      <c r="K2917" s="6" t="n"/>
    </row>
    <row r="2918">
      <c r="A2918" s="6" t="n"/>
      <c r="B2918" s="6" t="n"/>
      <c r="C2918" s="19" t="n"/>
      <c r="D2918" s="19" t="n"/>
      <c r="E2918" s="6" t="n"/>
      <c r="F2918" s="20" t="n"/>
      <c r="G2918" s="9">
        <f>IF($F2918="","",IF($F2918&gt;0,ROUND($F2918,2),""))</f>
        <v/>
      </c>
      <c r="H2918" s="12">
        <f>IF(OR($B2918="",$C2918="",$G2918=""),"",COUNTIFS(Ventes_Encaissements!$E$6:$E$3005,$B2918,Ventes_Encaissements!$J$6:$J$3005,$G2918,Ventes_Encaissements!$C$6:$C$3005,"&gt;="&amp;($C2918-3),Ventes_Encaissements!$C$6:$C$3005,"&lt;="&amp;($C2918+3)))</f>
        <v/>
      </c>
      <c r="I2918" s="12">
        <f>IF($H2918="","",IF($H2918=0,"Non trouvé",IF($H2918=1,"Match","À vérifier")))</f>
        <v/>
      </c>
      <c r="J2918" s="21">
        <f>IF($I2918&lt;&gt;"Match","",INDEX(Ventes_Encaissements!$B$6:$B$3005,_xludf.AGGREGATE(15,6,(ROW(Ventes_Encaissements!$B$6:$B$3005)-ROW(Ventes_Encaissements!$B$6)+1)/((Ventes_Encaissements!$E$6:$E$3005=$B2918)*(Ventes_Encaissements!$J$6:$J$3005=$G2918)*(Ventes_Encaissements!$C$6:$C$3005&gt;=$C2918-3)*(Ventes_Encaissements!$C$6:$C$3005&lt;=$C2918+3)),1)))</f>
        <v/>
      </c>
      <c r="K2918" s="6" t="n"/>
    </row>
    <row r="2919">
      <c r="A2919" s="6" t="n"/>
      <c r="B2919" s="6" t="n"/>
      <c r="C2919" s="19" t="n"/>
      <c r="D2919" s="19" t="n"/>
      <c r="E2919" s="6" t="n"/>
      <c r="F2919" s="20" t="n"/>
      <c r="G2919" s="9">
        <f>IF($F2919="","",IF($F2919&gt;0,ROUND($F2919,2),""))</f>
        <v/>
      </c>
      <c r="H2919" s="12">
        <f>IF(OR($B2919="",$C2919="",$G2919=""),"",COUNTIFS(Ventes_Encaissements!$E$6:$E$3005,$B2919,Ventes_Encaissements!$J$6:$J$3005,$G2919,Ventes_Encaissements!$C$6:$C$3005,"&gt;="&amp;($C2919-3),Ventes_Encaissements!$C$6:$C$3005,"&lt;="&amp;($C2919+3)))</f>
        <v/>
      </c>
      <c r="I2919" s="12">
        <f>IF($H2919="","",IF($H2919=0,"Non trouvé",IF($H2919=1,"Match","À vérifier")))</f>
        <v/>
      </c>
      <c r="J2919" s="21">
        <f>IF($I2919&lt;&gt;"Match","",INDEX(Ventes_Encaissements!$B$6:$B$3005,_xludf.AGGREGATE(15,6,(ROW(Ventes_Encaissements!$B$6:$B$3005)-ROW(Ventes_Encaissements!$B$6)+1)/((Ventes_Encaissements!$E$6:$E$3005=$B2919)*(Ventes_Encaissements!$J$6:$J$3005=$G2919)*(Ventes_Encaissements!$C$6:$C$3005&gt;=$C2919-3)*(Ventes_Encaissements!$C$6:$C$3005&lt;=$C2919+3)),1)))</f>
        <v/>
      </c>
      <c r="K2919" s="6" t="n"/>
    </row>
    <row r="2920">
      <c r="A2920" s="6" t="n"/>
      <c r="B2920" s="6" t="n"/>
      <c r="C2920" s="19" t="n"/>
      <c r="D2920" s="19" t="n"/>
      <c r="E2920" s="6" t="n"/>
      <c r="F2920" s="20" t="n"/>
      <c r="G2920" s="9">
        <f>IF($F2920="","",IF($F2920&gt;0,ROUND($F2920,2),""))</f>
        <v/>
      </c>
      <c r="H2920" s="12">
        <f>IF(OR($B2920="",$C2920="",$G2920=""),"",COUNTIFS(Ventes_Encaissements!$E$6:$E$3005,$B2920,Ventes_Encaissements!$J$6:$J$3005,$G2920,Ventes_Encaissements!$C$6:$C$3005,"&gt;="&amp;($C2920-3),Ventes_Encaissements!$C$6:$C$3005,"&lt;="&amp;($C2920+3)))</f>
        <v/>
      </c>
      <c r="I2920" s="12">
        <f>IF($H2920="","",IF($H2920=0,"Non trouvé",IF($H2920=1,"Match","À vérifier")))</f>
        <v/>
      </c>
      <c r="J2920" s="21">
        <f>IF($I2920&lt;&gt;"Match","",INDEX(Ventes_Encaissements!$B$6:$B$3005,_xludf.AGGREGATE(15,6,(ROW(Ventes_Encaissements!$B$6:$B$3005)-ROW(Ventes_Encaissements!$B$6)+1)/((Ventes_Encaissements!$E$6:$E$3005=$B2920)*(Ventes_Encaissements!$J$6:$J$3005=$G2920)*(Ventes_Encaissements!$C$6:$C$3005&gt;=$C2920-3)*(Ventes_Encaissements!$C$6:$C$3005&lt;=$C2920+3)),1)))</f>
        <v/>
      </c>
      <c r="K2920" s="6" t="n"/>
    </row>
    <row r="2921">
      <c r="A2921" s="6" t="n"/>
      <c r="B2921" s="6" t="n"/>
      <c r="C2921" s="19" t="n"/>
      <c r="D2921" s="19" t="n"/>
      <c r="E2921" s="6" t="n"/>
      <c r="F2921" s="20" t="n"/>
      <c r="G2921" s="9">
        <f>IF($F2921="","",IF($F2921&gt;0,ROUND($F2921,2),""))</f>
        <v/>
      </c>
      <c r="H2921" s="12">
        <f>IF(OR($B2921="",$C2921="",$G2921=""),"",COUNTIFS(Ventes_Encaissements!$E$6:$E$3005,$B2921,Ventes_Encaissements!$J$6:$J$3005,$G2921,Ventes_Encaissements!$C$6:$C$3005,"&gt;="&amp;($C2921-3),Ventes_Encaissements!$C$6:$C$3005,"&lt;="&amp;($C2921+3)))</f>
        <v/>
      </c>
      <c r="I2921" s="12">
        <f>IF($H2921="","",IF($H2921=0,"Non trouvé",IF($H2921=1,"Match","À vérifier")))</f>
        <v/>
      </c>
      <c r="J2921" s="21">
        <f>IF($I2921&lt;&gt;"Match","",INDEX(Ventes_Encaissements!$B$6:$B$3005,_xludf.AGGREGATE(15,6,(ROW(Ventes_Encaissements!$B$6:$B$3005)-ROW(Ventes_Encaissements!$B$6)+1)/((Ventes_Encaissements!$E$6:$E$3005=$B2921)*(Ventes_Encaissements!$J$6:$J$3005=$G2921)*(Ventes_Encaissements!$C$6:$C$3005&gt;=$C2921-3)*(Ventes_Encaissements!$C$6:$C$3005&lt;=$C2921+3)),1)))</f>
        <v/>
      </c>
      <c r="K2921" s="6" t="n"/>
    </row>
    <row r="2922">
      <c r="A2922" s="6" t="n"/>
      <c r="B2922" s="6" t="n"/>
      <c r="C2922" s="19" t="n"/>
      <c r="D2922" s="19" t="n"/>
      <c r="E2922" s="6" t="n"/>
      <c r="F2922" s="20" t="n"/>
      <c r="G2922" s="9">
        <f>IF($F2922="","",IF($F2922&gt;0,ROUND($F2922,2),""))</f>
        <v/>
      </c>
      <c r="H2922" s="12">
        <f>IF(OR($B2922="",$C2922="",$G2922=""),"",COUNTIFS(Ventes_Encaissements!$E$6:$E$3005,$B2922,Ventes_Encaissements!$J$6:$J$3005,$G2922,Ventes_Encaissements!$C$6:$C$3005,"&gt;="&amp;($C2922-3),Ventes_Encaissements!$C$6:$C$3005,"&lt;="&amp;($C2922+3)))</f>
        <v/>
      </c>
      <c r="I2922" s="12">
        <f>IF($H2922="","",IF($H2922=0,"Non trouvé",IF($H2922=1,"Match","À vérifier")))</f>
        <v/>
      </c>
      <c r="J2922" s="21">
        <f>IF($I2922&lt;&gt;"Match","",INDEX(Ventes_Encaissements!$B$6:$B$3005,_xludf.AGGREGATE(15,6,(ROW(Ventes_Encaissements!$B$6:$B$3005)-ROW(Ventes_Encaissements!$B$6)+1)/((Ventes_Encaissements!$E$6:$E$3005=$B2922)*(Ventes_Encaissements!$J$6:$J$3005=$G2922)*(Ventes_Encaissements!$C$6:$C$3005&gt;=$C2922-3)*(Ventes_Encaissements!$C$6:$C$3005&lt;=$C2922+3)),1)))</f>
        <v/>
      </c>
      <c r="K2922" s="6" t="n"/>
    </row>
    <row r="2923">
      <c r="A2923" s="6" t="n"/>
      <c r="B2923" s="6" t="n"/>
      <c r="C2923" s="19" t="n"/>
      <c r="D2923" s="19" t="n"/>
      <c r="E2923" s="6" t="n"/>
      <c r="F2923" s="20" t="n"/>
      <c r="G2923" s="9">
        <f>IF($F2923="","",IF($F2923&gt;0,ROUND($F2923,2),""))</f>
        <v/>
      </c>
      <c r="H2923" s="12">
        <f>IF(OR($B2923="",$C2923="",$G2923=""),"",COUNTIFS(Ventes_Encaissements!$E$6:$E$3005,$B2923,Ventes_Encaissements!$J$6:$J$3005,$G2923,Ventes_Encaissements!$C$6:$C$3005,"&gt;="&amp;($C2923-3),Ventes_Encaissements!$C$6:$C$3005,"&lt;="&amp;($C2923+3)))</f>
        <v/>
      </c>
      <c r="I2923" s="12">
        <f>IF($H2923="","",IF($H2923=0,"Non trouvé",IF($H2923=1,"Match","À vérifier")))</f>
        <v/>
      </c>
      <c r="J2923" s="21">
        <f>IF($I2923&lt;&gt;"Match","",INDEX(Ventes_Encaissements!$B$6:$B$3005,_xludf.AGGREGATE(15,6,(ROW(Ventes_Encaissements!$B$6:$B$3005)-ROW(Ventes_Encaissements!$B$6)+1)/((Ventes_Encaissements!$E$6:$E$3005=$B2923)*(Ventes_Encaissements!$J$6:$J$3005=$G2923)*(Ventes_Encaissements!$C$6:$C$3005&gt;=$C2923-3)*(Ventes_Encaissements!$C$6:$C$3005&lt;=$C2923+3)),1)))</f>
        <v/>
      </c>
      <c r="K2923" s="6" t="n"/>
    </row>
    <row r="2924">
      <c r="A2924" s="6" t="n"/>
      <c r="B2924" s="6" t="n"/>
      <c r="C2924" s="19" t="n"/>
      <c r="D2924" s="19" t="n"/>
      <c r="E2924" s="6" t="n"/>
      <c r="F2924" s="20" t="n"/>
      <c r="G2924" s="9">
        <f>IF($F2924="","",IF($F2924&gt;0,ROUND($F2924,2),""))</f>
        <v/>
      </c>
      <c r="H2924" s="12">
        <f>IF(OR($B2924="",$C2924="",$G2924=""),"",COUNTIFS(Ventes_Encaissements!$E$6:$E$3005,$B2924,Ventes_Encaissements!$J$6:$J$3005,$G2924,Ventes_Encaissements!$C$6:$C$3005,"&gt;="&amp;($C2924-3),Ventes_Encaissements!$C$6:$C$3005,"&lt;="&amp;($C2924+3)))</f>
        <v/>
      </c>
      <c r="I2924" s="12">
        <f>IF($H2924="","",IF($H2924=0,"Non trouvé",IF($H2924=1,"Match","À vérifier")))</f>
        <v/>
      </c>
      <c r="J2924" s="21">
        <f>IF($I2924&lt;&gt;"Match","",INDEX(Ventes_Encaissements!$B$6:$B$3005,_xludf.AGGREGATE(15,6,(ROW(Ventes_Encaissements!$B$6:$B$3005)-ROW(Ventes_Encaissements!$B$6)+1)/((Ventes_Encaissements!$E$6:$E$3005=$B2924)*(Ventes_Encaissements!$J$6:$J$3005=$G2924)*(Ventes_Encaissements!$C$6:$C$3005&gt;=$C2924-3)*(Ventes_Encaissements!$C$6:$C$3005&lt;=$C2924+3)),1)))</f>
        <v/>
      </c>
      <c r="K2924" s="6" t="n"/>
    </row>
    <row r="2925">
      <c r="A2925" s="6" t="n"/>
      <c r="B2925" s="6" t="n"/>
      <c r="C2925" s="19" t="n"/>
      <c r="D2925" s="19" t="n"/>
      <c r="E2925" s="6" t="n"/>
      <c r="F2925" s="20" t="n"/>
      <c r="G2925" s="9">
        <f>IF($F2925="","",IF($F2925&gt;0,ROUND($F2925,2),""))</f>
        <v/>
      </c>
      <c r="H2925" s="12">
        <f>IF(OR($B2925="",$C2925="",$G2925=""),"",COUNTIFS(Ventes_Encaissements!$E$6:$E$3005,$B2925,Ventes_Encaissements!$J$6:$J$3005,$G2925,Ventes_Encaissements!$C$6:$C$3005,"&gt;="&amp;($C2925-3),Ventes_Encaissements!$C$6:$C$3005,"&lt;="&amp;($C2925+3)))</f>
        <v/>
      </c>
      <c r="I2925" s="12">
        <f>IF($H2925="","",IF($H2925=0,"Non trouvé",IF($H2925=1,"Match","À vérifier")))</f>
        <v/>
      </c>
      <c r="J2925" s="21">
        <f>IF($I2925&lt;&gt;"Match","",INDEX(Ventes_Encaissements!$B$6:$B$3005,_xludf.AGGREGATE(15,6,(ROW(Ventes_Encaissements!$B$6:$B$3005)-ROW(Ventes_Encaissements!$B$6)+1)/((Ventes_Encaissements!$E$6:$E$3005=$B2925)*(Ventes_Encaissements!$J$6:$J$3005=$G2925)*(Ventes_Encaissements!$C$6:$C$3005&gt;=$C2925-3)*(Ventes_Encaissements!$C$6:$C$3005&lt;=$C2925+3)),1)))</f>
        <v/>
      </c>
      <c r="K2925" s="6" t="n"/>
    </row>
    <row r="2926">
      <c r="A2926" s="6" t="n"/>
      <c r="B2926" s="6" t="n"/>
      <c r="C2926" s="19" t="n"/>
      <c r="D2926" s="19" t="n"/>
      <c r="E2926" s="6" t="n"/>
      <c r="F2926" s="20" t="n"/>
      <c r="G2926" s="9">
        <f>IF($F2926="","",IF($F2926&gt;0,ROUND($F2926,2),""))</f>
        <v/>
      </c>
      <c r="H2926" s="12">
        <f>IF(OR($B2926="",$C2926="",$G2926=""),"",COUNTIFS(Ventes_Encaissements!$E$6:$E$3005,$B2926,Ventes_Encaissements!$J$6:$J$3005,$G2926,Ventes_Encaissements!$C$6:$C$3005,"&gt;="&amp;($C2926-3),Ventes_Encaissements!$C$6:$C$3005,"&lt;="&amp;($C2926+3)))</f>
        <v/>
      </c>
      <c r="I2926" s="12">
        <f>IF($H2926="","",IF($H2926=0,"Non trouvé",IF($H2926=1,"Match","À vérifier")))</f>
        <v/>
      </c>
      <c r="J2926" s="21">
        <f>IF($I2926&lt;&gt;"Match","",INDEX(Ventes_Encaissements!$B$6:$B$3005,_xludf.AGGREGATE(15,6,(ROW(Ventes_Encaissements!$B$6:$B$3005)-ROW(Ventes_Encaissements!$B$6)+1)/((Ventes_Encaissements!$E$6:$E$3005=$B2926)*(Ventes_Encaissements!$J$6:$J$3005=$G2926)*(Ventes_Encaissements!$C$6:$C$3005&gt;=$C2926-3)*(Ventes_Encaissements!$C$6:$C$3005&lt;=$C2926+3)),1)))</f>
        <v/>
      </c>
      <c r="K2926" s="6" t="n"/>
    </row>
    <row r="2927">
      <c r="A2927" s="6" t="n"/>
      <c r="B2927" s="6" t="n"/>
      <c r="C2927" s="19" t="n"/>
      <c r="D2927" s="19" t="n"/>
      <c r="E2927" s="6" t="n"/>
      <c r="F2927" s="20" t="n"/>
      <c r="G2927" s="9">
        <f>IF($F2927="","",IF($F2927&gt;0,ROUND($F2927,2),""))</f>
        <v/>
      </c>
      <c r="H2927" s="12">
        <f>IF(OR($B2927="",$C2927="",$G2927=""),"",COUNTIFS(Ventes_Encaissements!$E$6:$E$3005,$B2927,Ventes_Encaissements!$J$6:$J$3005,$G2927,Ventes_Encaissements!$C$6:$C$3005,"&gt;="&amp;($C2927-3),Ventes_Encaissements!$C$6:$C$3005,"&lt;="&amp;($C2927+3)))</f>
        <v/>
      </c>
      <c r="I2927" s="12">
        <f>IF($H2927="","",IF($H2927=0,"Non trouvé",IF($H2927=1,"Match","À vérifier")))</f>
        <v/>
      </c>
      <c r="J2927" s="21">
        <f>IF($I2927&lt;&gt;"Match","",INDEX(Ventes_Encaissements!$B$6:$B$3005,_xludf.AGGREGATE(15,6,(ROW(Ventes_Encaissements!$B$6:$B$3005)-ROW(Ventes_Encaissements!$B$6)+1)/((Ventes_Encaissements!$E$6:$E$3005=$B2927)*(Ventes_Encaissements!$J$6:$J$3005=$G2927)*(Ventes_Encaissements!$C$6:$C$3005&gt;=$C2927-3)*(Ventes_Encaissements!$C$6:$C$3005&lt;=$C2927+3)),1)))</f>
        <v/>
      </c>
      <c r="K2927" s="6" t="n"/>
    </row>
    <row r="2928">
      <c r="A2928" s="6" t="n"/>
      <c r="B2928" s="6" t="n"/>
      <c r="C2928" s="19" t="n"/>
      <c r="D2928" s="19" t="n"/>
      <c r="E2928" s="6" t="n"/>
      <c r="F2928" s="20" t="n"/>
      <c r="G2928" s="9">
        <f>IF($F2928="","",IF($F2928&gt;0,ROUND($F2928,2),""))</f>
        <v/>
      </c>
      <c r="H2928" s="12">
        <f>IF(OR($B2928="",$C2928="",$G2928=""),"",COUNTIFS(Ventes_Encaissements!$E$6:$E$3005,$B2928,Ventes_Encaissements!$J$6:$J$3005,$G2928,Ventes_Encaissements!$C$6:$C$3005,"&gt;="&amp;($C2928-3),Ventes_Encaissements!$C$6:$C$3005,"&lt;="&amp;($C2928+3)))</f>
        <v/>
      </c>
      <c r="I2928" s="12">
        <f>IF($H2928="","",IF($H2928=0,"Non trouvé",IF($H2928=1,"Match","À vérifier")))</f>
        <v/>
      </c>
      <c r="J2928" s="21">
        <f>IF($I2928&lt;&gt;"Match","",INDEX(Ventes_Encaissements!$B$6:$B$3005,_xludf.AGGREGATE(15,6,(ROW(Ventes_Encaissements!$B$6:$B$3005)-ROW(Ventes_Encaissements!$B$6)+1)/((Ventes_Encaissements!$E$6:$E$3005=$B2928)*(Ventes_Encaissements!$J$6:$J$3005=$G2928)*(Ventes_Encaissements!$C$6:$C$3005&gt;=$C2928-3)*(Ventes_Encaissements!$C$6:$C$3005&lt;=$C2928+3)),1)))</f>
        <v/>
      </c>
      <c r="K2928" s="6" t="n"/>
    </row>
    <row r="2929">
      <c r="A2929" s="6" t="n"/>
      <c r="B2929" s="6" t="n"/>
      <c r="C2929" s="19" t="n"/>
      <c r="D2929" s="19" t="n"/>
      <c r="E2929" s="6" t="n"/>
      <c r="F2929" s="20" t="n"/>
      <c r="G2929" s="9">
        <f>IF($F2929="","",IF($F2929&gt;0,ROUND($F2929,2),""))</f>
        <v/>
      </c>
      <c r="H2929" s="12">
        <f>IF(OR($B2929="",$C2929="",$G2929=""),"",COUNTIFS(Ventes_Encaissements!$E$6:$E$3005,$B2929,Ventes_Encaissements!$J$6:$J$3005,$G2929,Ventes_Encaissements!$C$6:$C$3005,"&gt;="&amp;($C2929-3),Ventes_Encaissements!$C$6:$C$3005,"&lt;="&amp;($C2929+3)))</f>
        <v/>
      </c>
      <c r="I2929" s="12">
        <f>IF($H2929="","",IF($H2929=0,"Non trouvé",IF($H2929=1,"Match","À vérifier")))</f>
        <v/>
      </c>
      <c r="J2929" s="21">
        <f>IF($I2929&lt;&gt;"Match","",INDEX(Ventes_Encaissements!$B$6:$B$3005,_xludf.AGGREGATE(15,6,(ROW(Ventes_Encaissements!$B$6:$B$3005)-ROW(Ventes_Encaissements!$B$6)+1)/((Ventes_Encaissements!$E$6:$E$3005=$B2929)*(Ventes_Encaissements!$J$6:$J$3005=$G2929)*(Ventes_Encaissements!$C$6:$C$3005&gt;=$C2929-3)*(Ventes_Encaissements!$C$6:$C$3005&lt;=$C2929+3)),1)))</f>
        <v/>
      </c>
      <c r="K2929" s="6" t="n"/>
    </row>
    <row r="2930">
      <c r="A2930" s="6" t="n"/>
      <c r="B2930" s="6" t="n"/>
      <c r="C2930" s="19" t="n"/>
      <c r="D2930" s="19" t="n"/>
      <c r="E2930" s="6" t="n"/>
      <c r="F2930" s="20" t="n"/>
      <c r="G2930" s="9">
        <f>IF($F2930="","",IF($F2930&gt;0,ROUND($F2930,2),""))</f>
        <v/>
      </c>
      <c r="H2930" s="12">
        <f>IF(OR($B2930="",$C2930="",$G2930=""),"",COUNTIFS(Ventes_Encaissements!$E$6:$E$3005,$B2930,Ventes_Encaissements!$J$6:$J$3005,$G2930,Ventes_Encaissements!$C$6:$C$3005,"&gt;="&amp;($C2930-3),Ventes_Encaissements!$C$6:$C$3005,"&lt;="&amp;($C2930+3)))</f>
        <v/>
      </c>
      <c r="I2930" s="12">
        <f>IF($H2930="","",IF($H2930=0,"Non trouvé",IF($H2930=1,"Match","À vérifier")))</f>
        <v/>
      </c>
      <c r="J2930" s="21">
        <f>IF($I2930&lt;&gt;"Match","",INDEX(Ventes_Encaissements!$B$6:$B$3005,_xludf.AGGREGATE(15,6,(ROW(Ventes_Encaissements!$B$6:$B$3005)-ROW(Ventes_Encaissements!$B$6)+1)/((Ventes_Encaissements!$E$6:$E$3005=$B2930)*(Ventes_Encaissements!$J$6:$J$3005=$G2930)*(Ventes_Encaissements!$C$6:$C$3005&gt;=$C2930-3)*(Ventes_Encaissements!$C$6:$C$3005&lt;=$C2930+3)),1)))</f>
        <v/>
      </c>
      <c r="K2930" s="6" t="n"/>
    </row>
    <row r="2931">
      <c r="A2931" s="6" t="n"/>
      <c r="B2931" s="6" t="n"/>
      <c r="C2931" s="19" t="n"/>
      <c r="D2931" s="19" t="n"/>
      <c r="E2931" s="6" t="n"/>
      <c r="F2931" s="20" t="n"/>
      <c r="G2931" s="9">
        <f>IF($F2931="","",IF($F2931&gt;0,ROUND($F2931,2),""))</f>
        <v/>
      </c>
      <c r="H2931" s="12">
        <f>IF(OR($B2931="",$C2931="",$G2931=""),"",COUNTIFS(Ventes_Encaissements!$E$6:$E$3005,$B2931,Ventes_Encaissements!$J$6:$J$3005,$G2931,Ventes_Encaissements!$C$6:$C$3005,"&gt;="&amp;($C2931-3),Ventes_Encaissements!$C$6:$C$3005,"&lt;="&amp;($C2931+3)))</f>
        <v/>
      </c>
      <c r="I2931" s="12">
        <f>IF($H2931="","",IF($H2931=0,"Non trouvé",IF($H2931=1,"Match","À vérifier")))</f>
        <v/>
      </c>
      <c r="J2931" s="21">
        <f>IF($I2931&lt;&gt;"Match","",INDEX(Ventes_Encaissements!$B$6:$B$3005,_xludf.AGGREGATE(15,6,(ROW(Ventes_Encaissements!$B$6:$B$3005)-ROW(Ventes_Encaissements!$B$6)+1)/((Ventes_Encaissements!$E$6:$E$3005=$B2931)*(Ventes_Encaissements!$J$6:$J$3005=$G2931)*(Ventes_Encaissements!$C$6:$C$3005&gt;=$C2931-3)*(Ventes_Encaissements!$C$6:$C$3005&lt;=$C2931+3)),1)))</f>
        <v/>
      </c>
      <c r="K2931" s="6" t="n"/>
    </row>
    <row r="2932">
      <c r="A2932" s="6" t="n"/>
      <c r="B2932" s="6" t="n"/>
      <c r="C2932" s="19" t="n"/>
      <c r="D2932" s="19" t="n"/>
      <c r="E2932" s="6" t="n"/>
      <c r="F2932" s="20" t="n"/>
      <c r="G2932" s="9">
        <f>IF($F2932="","",IF($F2932&gt;0,ROUND($F2932,2),""))</f>
        <v/>
      </c>
      <c r="H2932" s="12">
        <f>IF(OR($B2932="",$C2932="",$G2932=""),"",COUNTIFS(Ventes_Encaissements!$E$6:$E$3005,$B2932,Ventes_Encaissements!$J$6:$J$3005,$G2932,Ventes_Encaissements!$C$6:$C$3005,"&gt;="&amp;($C2932-3),Ventes_Encaissements!$C$6:$C$3005,"&lt;="&amp;($C2932+3)))</f>
        <v/>
      </c>
      <c r="I2932" s="12">
        <f>IF($H2932="","",IF($H2932=0,"Non trouvé",IF($H2932=1,"Match","À vérifier")))</f>
        <v/>
      </c>
      <c r="J2932" s="21">
        <f>IF($I2932&lt;&gt;"Match","",INDEX(Ventes_Encaissements!$B$6:$B$3005,_xludf.AGGREGATE(15,6,(ROW(Ventes_Encaissements!$B$6:$B$3005)-ROW(Ventes_Encaissements!$B$6)+1)/((Ventes_Encaissements!$E$6:$E$3005=$B2932)*(Ventes_Encaissements!$J$6:$J$3005=$G2932)*(Ventes_Encaissements!$C$6:$C$3005&gt;=$C2932-3)*(Ventes_Encaissements!$C$6:$C$3005&lt;=$C2932+3)),1)))</f>
        <v/>
      </c>
      <c r="K2932" s="6" t="n"/>
    </row>
    <row r="2933">
      <c r="A2933" s="6" t="n"/>
      <c r="B2933" s="6" t="n"/>
      <c r="C2933" s="19" t="n"/>
      <c r="D2933" s="19" t="n"/>
      <c r="E2933" s="6" t="n"/>
      <c r="F2933" s="20" t="n"/>
      <c r="G2933" s="9">
        <f>IF($F2933="","",IF($F2933&gt;0,ROUND($F2933,2),""))</f>
        <v/>
      </c>
      <c r="H2933" s="12">
        <f>IF(OR($B2933="",$C2933="",$G2933=""),"",COUNTIFS(Ventes_Encaissements!$E$6:$E$3005,$B2933,Ventes_Encaissements!$J$6:$J$3005,$G2933,Ventes_Encaissements!$C$6:$C$3005,"&gt;="&amp;($C2933-3),Ventes_Encaissements!$C$6:$C$3005,"&lt;="&amp;($C2933+3)))</f>
        <v/>
      </c>
      <c r="I2933" s="12">
        <f>IF($H2933="","",IF($H2933=0,"Non trouvé",IF($H2933=1,"Match","À vérifier")))</f>
        <v/>
      </c>
      <c r="J2933" s="21">
        <f>IF($I2933&lt;&gt;"Match","",INDEX(Ventes_Encaissements!$B$6:$B$3005,_xludf.AGGREGATE(15,6,(ROW(Ventes_Encaissements!$B$6:$B$3005)-ROW(Ventes_Encaissements!$B$6)+1)/((Ventes_Encaissements!$E$6:$E$3005=$B2933)*(Ventes_Encaissements!$J$6:$J$3005=$G2933)*(Ventes_Encaissements!$C$6:$C$3005&gt;=$C2933-3)*(Ventes_Encaissements!$C$6:$C$3005&lt;=$C2933+3)),1)))</f>
        <v/>
      </c>
      <c r="K2933" s="6" t="n"/>
    </row>
    <row r="2934">
      <c r="A2934" s="6" t="n"/>
      <c r="B2934" s="6" t="n"/>
      <c r="C2934" s="19" t="n"/>
      <c r="D2934" s="19" t="n"/>
      <c r="E2934" s="6" t="n"/>
      <c r="F2934" s="20" t="n"/>
      <c r="G2934" s="9">
        <f>IF($F2934="","",IF($F2934&gt;0,ROUND($F2934,2),""))</f>
        <v/>
      </c>
      <c r="H2934" s="12">
        <f>IF(OR($B2934="",$C2934="",$G2934=""),"",COUNTIFS(Ventes_Encaissements!$E$6:$E$3005,$B2934,Ventes_Encaissements!$J$6:$J$3005,$G2934,Ventes_Encaissements!$C$6:$C$3005,"&gt;="&amp;($C2934-3),Ventes_Encaissements!$C$6:$C$3005,"&lt;="&amp;($C2934+3)))</f>
        <v/>
      </c>
      <c r="I2934" s="12">
        <f>IF($H2934="","",IF($H2934=0,"Non trouvé",IF($H2934=1,"Match","À vérifier")))</f>
        <v/>
      </c>
      <c r="J2934" s="21">
        <f>IF($I2934&lt;&gt;"Match","",INDEX(Ventes_Encaissements!$B$6:$B$3005,_xludf.AGGREGATE(15,6,(ROW(Ventes_Encaissements!$B$6:$B$3005)-ROW(Ventes_Encaissements!$B$6)+1)/((Ventes_Encaissements!$E$6:$E$3005=$B2934)*(Ventes_Encaissements!$J$6:$J$3005=$G2934)*(Ventes_Encaissements!$C$6:$C$3005&gt;=$C2934-3)*(Ventes_Encaissements!$C$6:$C$3005&lt;=$C2934+3)),1)))</f>
        <v/>
      </c>
      <c r="K2934" s="6" t="n"/>
    </row>
    <row r="2935">
      <c r="A2935" s="6" t="n"/>
      <c r="B2935" s="6" t="n"/>
      <c r="C2935" s="19" t="n"/>
      <c r="D2935" s="19" t="n"/>
      <c r="E2935" s="6" t="n"/>
      <c r="F2935" s="20" t="n"/>
      <c r="G2935" s="9">
        <f>IF($F2935="","",IF($F2935&gt;0,ROUND($F2935,2),""))</f>
        <v/>
      </c>
      <c r="H2935" s="12">
        <f>IF(OR($B2935="",$C2935="",$G2935=""),"",COUNTIFS(Ventes_Encaissements!$E$6:$E$3005,$B2935,Ventes_Encaissements!$J$6:$J$3005,$G2935,Ventes_Encaissements!$C$6:$C$3005,"&gt;="&amp;($C2935-3),Ventes_Encaissements!$C$6:$C$3005,"&lt;="&amp;($C2935+3)))</f>
        <v/>
      </c>
      <c r="I2935" s="12">
        <f>IF($H2935="","",IF($H2935=0,"Non trouvé",IF($H2935=1,"Match","À vérifier")))</f>
        <v/>
      </c>
      <c r="J2935" s="21">
        <f>IF($I2935&lt;&gt;"Match","",INDEX(Ventes_Encaissements!$B$6:$B$3005,_xludf.AGGREGATE(15,6,(ROW(Ventes_Encaissements!$B$6:$B$3005)-ROW(Ventes_Encaissements!$B$6)+1)/((Ventes_Encaissements!$E$6:$E$3005=$B2935)*(Ventes_Encaissements!$J$6:$J$3005=$G2935)*(Ventes_Encaissements!$C$6:$C$3005&gt;=$C2935-3)*(Ventes_Encaissements!$C$6:$C$3005&lt;=$C2935+3)),1)))</f>
        <v/>
      </c>
      <c r="K2935" s="6" t="n"/>
    </row>
    <row r="2936">
      <c r="A2936" s="6" t="n"/>
      <c r="B2936" s="6" t="n"/>
      <c r="C2936" s="19" t="n"/>
      <c r="D2936" s="19" t="n"/>
      <c r="E2936" s="6" t="n"/>
      <c r="F2936" s="20" t="n"/>
      <c r="G2936" s="9">
        <f>IF($F2936="","",IF($F2936&gt;0,ROUND($F2936,2),""))</f>
        <v/>
      </c>
      <c r="H2936" s="12">
        <f>IF(OR($B2936="",$C2936="",$G2936=""),"",COUNTIFS(Ventes_Encaissements!$E$6:$E$3005,$B2936,Ventes_Encaissements!$J$6:$J$3005,$G2936,Ventes_Encaissements!$C$6:$C$3005,"&gt;="&amp;($C2936-3),Ventes_Encaissements!$C$6:$C$3005,"&lt;="&amp;($C2936+3)))</f>
        <v/>
      </c>
      <c r="I2936" s="12">
        <f>IF($H2936="","",IF($H2936=0,"Non trouvé",IF($H2936=1,"Match","À vérifier")))</f>
        <v/>
      </c>
      <c r="J2936" s="21">
        <f>IF($I2936&lt;&gt;"Match","",INDEX(Ventes_Encaissements!$B$6:$B$3005,_xludf.AGGREGATE(15,6,(ROW(Ventes_Encaissements!$B$6:$B$3005)-ROW(Ventes_Encaissements!$B$6)+1)/((Ventes_Encaissements!$E$6:$E$3005=$B2936)*(Ventes_Encaissements!$J$6:$J$3005=$G2936)*(Ventes_Encaissements!$C$6:$C$3005&gt;=$C2936-3)*(Ventes_Encaissements!$C$6:$C$3005&lt;=$C2936+3)),1)))</f>
        <v/>
      </c>
      <c r="K2936" s="6" t="n"/>
    </row>
    <row r="2937">
      <c r="A2937" s="6" t="n"/>
      <c r="B2937" s="6" t="n"/>
      <c r="C2937" s="19" t="n"/>
      <c r="D2937" s="19" t="n"/>
      <c r="E2937" s="6" t="n"/>
      <c r="F2937" s="20" t="n"/>
      <c r="G2937" s="9">
        <f>IF($F2937="","",IF($F2937&gt;0,ROUND($F2937,2),""))</f>
        <v/>
      </c>
      <c r="H2937" s="12">
        <f>IF(OR($B2937="",$C2937="",$G2937=""),"",COUNTIFS(Ventes_Encaissements!$E$6:$E$3005,$B2937,Ventes_Encaissements!$J$6:$J$3005,$G2937,Ventes_Encaissements!$C$6:$C$3005,"&gt;="&amp;($C2937-3),Ventes_Encaissements!$C$6:$C$3005,"&lt;="&amp;($C2937+3)))</f>
        <v/>
      </c>
      <c r="I2937" s="12">
        <f>IF($H2937="","",IF($H2937=0,"Non trouvé",IF($H2937=1,"Match","À vérifier")))</f>
        <v/>
      </c>
      <c r="J2937" s="21">
        <f>IF($I2937&lt;&gt;"Match","",INDEX(Ventes_Encaissements!$B$6:$B$3005,_xludf.AGGREGATE(15,6,(ROW(Ventes_Encaissements!$B$6:$B$3005)-ROW(Ventes_Encaissements!$B$6)+1)/((Ventes_Encaissements!$E$6:$E$3005=$B2937)*(Ventes_Encaissements!$J$6:$J$3005=$G2937)*(Ventes_Encaissements!$C$6:$C$3005&gt;=$C2937-3)*(Ventes_Encaissements!$C$6:$C$3005&lt;=$C2937+3)),1)))</f>
        <v/>
      </c>
      <c r="K2937" s="6" t="n"/>
    </row>
    <row r="2938">
      <c r="A2938" s="6" t="n"/>
      <c r="B2938" s="6" t="n"/>
      <c r="C2938" s="19" t="n"/>
      <c r="D2938" s="19" t="n"/>
      <c r="E2938" s="6" t="n"/>
      <c r="F2938" s="20" t="n"/>
      <c r="G2938" s="9">
        <f>IF($F2938="","",IF($F2938&gt;0,ROUND($F2938,2),""))</f>
        <v/>
      </c>
      <c r="H2938" s="12">
        <f>IF(OR($B2938="",$C2938="",$G2938=""),"",COUNTIFS(Ventes_Encaissements!$E$6:$E$3005,$B2938,Ventes_Encaissements!$J$6:$J$3005,$G2938,Ventes_Encaissements!$C$6:$C$3005,"&gt;="&amp;($C2938-3),Ventes_Encaissements!$C$6:$C$3005,"&lt;="&amp;($C2938+3)))</f>
        <v/>
      </c>
      <c r="I2938" s="12">
        <f>IF($H2938="","",IF($H2938=0,"Non trouvé",IF($H2938=1,"Match","À vérifier")))</f>
        <v/>
      </c>
      <c r="J2938" s="21">
        <f>IF($I2938&lt;&gt;"Match","",INDEX(Ventes_Encaissements!$B$6:$B$3005,_xludf.AGGREGATE(15,6,(ROW(Ventes_Encaissements!$B$6:$B$3005)-ROW(Ventes_Encaissements!$B$6)+1)/((Ventes_Encaissements!$E$6:$E$3005=$B2938)*(Ventes_Encaissements!$J$6:$J$3005=$G2938)*(Ventes_Encaissements!$C$6:$C$3005&gt;=$C2938-3)*(Ventes_Encaissements!$C$6:$C$3005&lt;=$C2938+3)),1)))</f>
        <v/>
      </c>
      <c r="K2938" s="6" t="n"/>
    </row>
    <row r="2939">
      <c r="A2939" s="6" t="n"/>
      <c r="B2939" s="6" t="n"/>
      <c r="C2939" s="19" t="n"/>
      <c r="D2939" s="19" t="n"/>
      <c r="E2939" s="6" t="n"/>
      <c r="F2939" s="20" t="n"/>
      <c r="G2939" s="9">
        <f>IF($F2939="","",IF($F2939&gt;0,ROUND($F2939,2),""))</f>
        <v/>
      </c>
      <c r="H2939" s="12">
        <f>IF(OR($B2939="",$C2939="",$G2939=""),"",COUNTIFS(Ventes_Encaissements!$E$6:$E$3005,$B2939,Ventes_Encaissements!$J$6:$J$3005,$G2939,Ventes_Encaissements!$C$6:$C$3005,"&gt;="&amp;($C2939-3),Ventes_Encaissements!$C$6:$C$3005,"&lt;="&amp;($C2939+3)))</f>
        <v/>
      </c>
      <c r="I2939" s="12">
        <f>IF($H2939="","",IF($H2939=0,"Non trouvé",IF($H2939=1,"Match","À vérifier")))</f>
        <v/>
      </c>
      <c r="J2939" s="21">
        <f>IF($I2939&lt;&gt;"Match","",INDEX(Ventes_Encaissements!$B$6:$B$3005,_xludf.AGGREGATE(15,6,(ROW(Ventes_Encaissements!$B$6:$B$3005)-ROW(Ventes_Encaissements!$B$6)+1)/((Ventes_Encaissements!$E$6:$E$3005=$B2939)*(Ventes_Encaissements!$J$6:$J$3005=$G2939)*(Ventes_Encaissements!$C$6:$C$3005&gt;=$C2939-3)*(Ventes_Encaissements!$C$6:$C$3005&lt;=$C2939+3)),1)))</f>
        <v/>
      </c>
      <c r="K2939" s="6" t="n"/>
    </row>
    <row r="2940">
      <c r="A2940" s="6" t="n"/>
      <c r="B2940" s="6" t="n"/>
      <c r="C2940" s="19" t="n"/>
      <c r="D2940" s="19" t="n"/>
      <c r="E2940" s="6" t="n"/>
      <c r="F2940" s="20" t="n"/>
      <c r="G2940" s="9">
        <f>IF($F2940="","",IF($F2940&gt;0,ROUND($F2940,2),""))</f>
        <v/>
      </c>
      <c r="H2940" s="12">
        <f>IF(OR($B2940="",$C2940="",$G2940=""),"",COUNTIFS(Ventes_Encaissements!$E$6:$E$3005,$B2940,Ventes_Encaissements!$J$6:$J$3005,$G2940,Ventes_Encaissements!$C$6:$C$3005,"&gt;="&amp;($C2940-3),Ventes_Encaissements!$C$6:$C$3005,"&lt;="&amp;($C2940+3)))</f>
        <v/>
      </c>
      <c r="I2940" s="12">
        <f>IF($H2940="","",IF($H2940=0,"Non trouvé",IF($H2940=1,"Match","À vérifier")))</f>
        <v/>
      </c>
      <c r="J2940" s="21">
        <f>IF($I2940&lt;&gt;"Match","",INDEX(Ventes_Encaissements!$B$6:$B$3005,_xludf.AGGREGATE(15,6,(ROW(Ventes_Encaissements!$B$6:$B$3005)-ROW(Ventes_Encaissements!$B$6)+1)/((Ventes_Encaissements!$E$6:$E$3005=$B2940)*(Ventes_Encaissements!$J$6:$J$3005=$G2940)*(Ventes_Encaissements!$C$6:$C$3005&gt;=$C2940-3)*(Ventes_Encaissements!$C$6:$C$3005&lt;=$C2940+3)),1)))</f>
        <v/>
      </c>
      <c r="K2940" s="6" t="n"/>
    </row>
    <row r="2941">
      <c r="A2941" s="6" t="n"/>
      <c r="B2941" s="6" t="n"/>
      <c r="C2941" s="19" t="n"/>
      <c r="D2941" s="19" t="n"/>
      <c r="E2941" s="6" t="n"/>
      <c r="F2941" s="20" t="n"/>
      <c r="G2941" s="9">
        <f>IF($F2941="","",IF($F2941&gt;0,ROUND($F2941,2),""))</f>
        <v/>
      </c>
      <c r="H2941" s="12">
        <f>IF(OR($B2941="",$C2941="",$G2941=""),"",COUNTIFS(Ventes_Encaissements!$E$6:$E$3005,$B2941,Ventes_Encaissements!$J$6:$J$3005,$G2941,Ventes_Encaissements!$C$6:$C$3005,"&gt;="&amp;($C2941-3),Ventes_Encaissements!$C$6:$C$3005,"&lt;="&amp;($C2941+3)))</f>
        <v/>
      </c>
      <c r="I2941" s="12">
        <f>IF($H2941="","",IF($H2941=0,"Non trouvé",IF($H2941=1,"Match","À vérifier")))</f>
        <v/>
      </c>
      <c r="J2941" s="21">
        <f>IF($I2941&lt;&gt;"Match","",INDEX(Ventes_Encaissements!$B$6:$B$3005,_xludf.AGGREGATE(15,6,(ROW(Ventes_Encaissements!$B$6:$B$3005)-ROW(Ventes_Encaissements!$B$6)+1)/((Ventes_Encaissements!$E$6:$E$3005=$B2941)*(Ventes_Encaissements!$J$6:$J$3005=$G2941)*(Ventes_Encaissements!$C$6:$C$3005&gt;=$C2941-3)*(Ventes_Encaissements!$C$6:$C$3005&lt;=$C2941+3)),1)))</f>
        <v/>
      </c>
      <c r="K2941" s="6" t="n"/>
    </row>
    <row r="2942">
      <c r="A2942" s="6" t="n"/>
      <c r="B2942" s="6" t="n"/>
      <c r="C2942" s="19" t="n"/>
      <c r="D2942" s="19" t="n"/>
      <c r="E2942" s="6" t="n"/>
      <c r="F2942" s="20" t="n"/>
      <c r="G2942" s="9">
        <f>IF($F2942="","",IF($F2942&gt;0,ROUND($F2942,2),""))</f>
        <v/>
      </c>
      <c r="H2942" s="12">
        <f>IF(OR($B2942="",$C2942="",$G2942=""),"",COUNTIFS(Ventes_Encaissements!$E$6:$E$3005,$B2942,Ventes_Encaissements!$J$6:$J$3005,$G2942,Ventes_Encaissements!$C$6:$C$3005,"&gt;="&amp;($C2942-3),Ventes_Encaissements!$C$6:$C$3005,"&lt;="&amp;($C2942+3)))</f>
        <v/>
      </c>
      <c r="I2942" s="12">
        <f>IF($H2942="","",IF($H2942=0,"Non trouvé",IF($H2942=1,"Match","À vérifier")))</f>
        <v/>
      </c>
      <c r="J2942" s="21">
        <f>IF($I2942&lt;&gt;"Match","",INDEX(Ventes_Encaissements!$B$6:$B$3005,_xludf.AGGREGATE(15,6,(ROW(Ventes_Encaissements!$B$6:$B$3005)-ROW(Ventes_Encaissements!$B$6)+1)/((Ventes_Encaissements!$E$6:$E$3005=$B2942)*(Ventes_Encaissements!$J$6:$J$3005=$G2942)*(Ventes_Encaissements!$C$6:$C$3005&gt;=$C2942-3)*(Ventes_Encaissements!$C$6:$C$3005&lt;=$C2942+3)),1)))</f>
        <v/>
      </c>
      <c r="K2942" s="6" t="n"/>
    </row>
    <row r="2943">
      <c r="A2943" s="6" t="n"/>
      <c r="B2943" s="6" t="n"/>
      <c r="C2943" s="19" t="n"/>
      <c r="D2943" s="19" t="n"/>
      <c r="E2943" s="6" t="n"/>
      <c r="F2943" s="20" t="n"/>
      <c r="G2943" s="9">
        <f>IF($F2943="","",IF($F2943&gt;0,ROUND($F2943,2),""))</f>
        <v/>
      </c>
      <c r="H2943" s="12">
        <f>IF(OR($B2943="",$C2943="",$G2943=""),"",COUNTIFS(Ventes_Encaissements!$E$6:$E$3005,$B2943,Ventes_Encaissements!$J$6:$J$3005,$G2943,Ventes_Encaissements!$C$6:$C$3005,"&gt;="&amp;($C2943-3),Ventes_Encaissements!$C$6:$C$3005,"&lt;="&amp;($C2943+3)))</f>
        <v/>
      </c>
      <c r="I2943" s="12">
        <f>IF($H2943="","",IF($H2943=0,"Non trouvé",IF($H2943=1,"Match","À vérifier")))</f>
        <v/>
      </c>
      <c r="J2943" s="21">
        <f>IF($I2943&lt;&gt;"Match","",INDEX(Ventes_Encaissements!$B$6:$B$3005,_xludf.AGGREGATE(15,6,(ROW(Ventes_Encaissements!$B$6:$B$3005)-ROW(Ventes_Encaissements!$B$6)+1)/((Ventes_Encaissements!$E$6:$E$3005=$B2943)*(Ventes_Encaissements!$J$6:$J$3005=$G2943)*(Ventes_Encaissements!$C$6:$C$3005&gt;=$C2943-3)*(Ventes_Encaissements!$C$6:$C$3005&lt;=$C2943+3)),1)))</f>
        <v/>
      </c>
      <c r="K2943" s="6" t="n"/>
    </row>
    <row r="2944">
      <c r="A2944" s="6" t="n"/>
      <c r="B2944" s="6" t="n"/>
      <c r="C2944" s="19" t="n"/>
      <c r="D2944" s="19" t="n"/>
      <c r="E2944" s="6" t="n"/>
      <c r="F2944" s="20" t="n"/>
      <c r="G2944" s="9">
        <f>IF($F2944="","",IF($F2944&gt;0,ROUND($F2944,2),""))</f>
        <v/>
      </c>
      <c r="H2944" s="12">
        <f>IF(OR($B2944="",$C2944="",$G2944=""),"",COUNTIFS(Ventes_Encaissements!$E$6:$E$3005,$B2944,Ventes_Encaissements!$J$6:$J$3005,$G2944,Ventes_Encaissements!$C$6:$C$3005,"&gt;="&amp;($C2944-3),Ventes_Encaissements!$C$6:$C$3005,"&lt;="&amp;($C2944+3)))</f>
        <v/>
      </c>
      <c r="I2944" s="12">
        <f>IF($H2944="","",IF($H2944=0,"Non trouvé",IF($H2944=1,"Match","À vérifier")))</f>
        <v/>
      </c>
      <c r="J2944" s="21">
        <f>IF($I2944&lt;&gt;"Match","",INDEX(Ventes_Encaissements!$B$6:$B$3005,_xludf.AGGREGATE(15,6,(ROW(Ventes_Encaissements!$B$6:$B$3005)-ROW(Ventes_Encaissements!$B$6)+1)/((Ventes_Encaissements!$E$6:$E$3005=$B2944)*(Ventes_Encaissements!$J$6:$J$3005=$G2944)*(Ventes_Encaissements!$C$6:$C$3005&gt;=$C2944-3)*(Ventes_Encaissements!$C$6:$C$3005&lt;=$C2944+3)),1)))</f>
        <v/>
      </c>
      <c r="K2944" s="6" t="n"/>
    </row>
    <row r="2945">
      <c r="A2945" s="6" t="n"/>
      <c r="B2945" s="6" t="n"/>
      <c r="C2945" s="19" t="n"/>
      <c r="D2945" s="19" t="n"/>
      <c r="E2945" s="6" t="n"/>
      <c r="F2945" s="20" t="n"/>
      <c r="G2945" s="9">
        <f>IF($F2945="","",IF($F2945&gt;0,ROUND($F2945,2),""))</f>
        <v/>
      </c>
      <c r="H2945" s="12">
        <f>IF(OR($B2945="",$C2945="",$G2945=""),"",COUNTIFS(Ventes_Encaissements!$E$6:$E$3005,$B2945,Ventes_Encaissements!$J$6:$J$3005,$G2945,Ventes_Encaissements!$C$6:$C$3005,"&gt;="&amp;($C2945-3),Ventes_Encaissements!$C$6:$C$3005,"&lt;="&amp;($C2945+3)))</f>
        <v/>
      </c>
      <c r="I2945" s="12">
        <f>IF($H2945="","",IF($H2945=0,"Non trouvé",IF($H2945=1,"Match","À vérifier")))</f>
        <v/>
      </c>
      <c r="J2945" s="21">
        <f>IF($I2945&lt;&gt;"Match","",INDEX(Ventes_Encaissements!$B$6:$B$3005,_xludf.AGGREGATE(15,6,(ROW(Ventes_Encaissements!$B$6:$B$3005)-ROW(Ventes_Encaissements!$B$6)+1)/((Ventes_Encaissements!$E$6:$E$3005=$B2945)*(Ventes_Encaissements!$J$6:$J$3005=$G2945)*(Ventes_Encaissements!$C$6:$C$3005&gt;=$C2945-3)*(Ventes_Encaissements!$C$6:$C$3005&lt;=$C2945+3)),1)))</f>
        <v/>
      </c>
      <c r="K2945" s="6" t="n"/>
    </row>
    <row r="2946">
      <c r="A2946" s="6" t="n"/>
      <c r="B2946" s="6" t="n"/>
      <c r="C2946" s="19" t="n"/>
      <c r="D2946" s="19" t="n"/>
      <c r="E2946" s="6" t="n"/>
      <c r="F2946" s="20" t="n"/>
      <c r="G2946" s="9">
        <f>IF($F2946="","",IF($F2946&gt;0,ROUND($F2946,2),""))</f>
        <v/>
      </c>
      <c r="H2946" s="12">
        <f>IF(OR($B2946="",$C2946="",$G2946=""),"",COUNTIFS(Ventes_Encaissements!$E$6:$E$3005,$B2946,Ventes_Encaissements!$J$6:$J$3005,$G2946,Ventes_Encaissements!$C$6:$C$3005,"&gt;="&amp;($C2946-3),Ventes_Encaissements!$C$6:$C$3005,"&lt;="&amp;($C2946+3)))</f>
        <v/>
      </c>
      <c r="I2946" s="12">
        <f>IF($H2946="","",IF($H2946=0,"Non trouvé",IF($H2946=1,"Match","À vérifier")))</f>
        <v/>
      </c>
      <c r="J2946" s="21">
        <f>IF($I2946&lt;&gt;"Match","",INDEX(Ventes_Encaissements!$B$6:$B$3005,_xludf.AGGREGATE(15,6,(ROW(Ventes_Encaissements!$B$6:$B$3005)-ROW(Ventes_Encaissements!$B$6)+1)/((Ventes_Encaissements!$E$6:$E$3005=$B2946)*(Ventes_Encaissements!$J$6:$J$3005=$G2946)*(Ventes_Encaissements!$C$6:$C$3005&gt;=$C2946-3)*(Ventes_Encaissements!$C$6:$C$3005&lt;=$C2946+3)),1)))</f>
        <v/>
      </c>
      <c r="K2946" s="6" t="n"/>
    </row>
    <row r="2947">
      <c r="A2947" s="6" t="n"/>
      <c r="B2947" s="6" t="n"/>
      <c r="C2947" s="19" t="n"/>
      <c r="D2947" s="19" t="n"/>
      <c r="E2947" s="6" t="n"/>
      <c r="F2947" s="20" t="n"/>
      <c r="G2947" s="9">
        <f>IF($F2947="","",IF($F2947&gt;0,ROUND($F2947,2),""))</f>
        <v/>
      </c>
      <c r="H2947" s="12">
        <f>IF(OR($B2947="",$C2947="",$G2947=""),"",COUNTIFS(Ventes_Encaissements!$E$6:$E$3005,$B2947,Ventes_Encaissements!$J$6:$J$3005,$G2947,Ventes_Encaissements!$C$6:$C$3005,"&gt;="&amp;($C2947-3),Ventes_Encaissements!$C$6:$C$3005,"&lt;="&amp;($C2947+3)))</f>
        <v/>
      </c>
      <c r="I2947" s="12">
        <f>IF($H2947="","",IF($H2947=0,"Non trouvé",IF($H2947=1,"Match","À vérifier")))</f>
        <v/>
      </c>
      <c r="J2947" s="21">
        <f>IF($I2947&lt;&gt;"Match","",INDEX(Ventes_Encaissements!$B$6:$B$3005,_xludf.AGGREGATE(15,6,(ROW(Ventes_Encaissements!$B$6:$B$3005)-ROW(Ventes_Encaissements!$B$6)+1)/((Ventes_Encaissements!$E$6:$E$3005=$B2947)*(Ventes_Encaissements!$J$6:$J$3005=$G2947)*(Ventes_Encaissements!$C$6:$C$3005&gt;=$C2947-3)*(Ventes_Encaissements!$C$6:$C$3005&lt;=$C2947+3)),1)))</f>
        <v/>
      </c>
      <c r="K2947" s="6" t="n"/>
    </row>
    <row r="2948">
      <c r="A2948" s="6" t="n"/>
      <c r="B2948" s="6" t="n"/>
      <c r="C2948" s="19" t="n"/>
      <c r="D2948" s="19" t="n"/>
      <c r="E2948" s="6" t="n"/>
      <c r="F2948" s="20" t="n"/>
      <c r="G2948" s="9">
        <f>IF($F2948="","",IF($F2948&gt;0,ROUND($F2948,2),""))</f>
        <v/>
      </c>
      <c r="H2948" s="12">
        <f>IF(OR($B2948="",$C2948="",$G2948=""),"",COUNTIFS(Ventes_Encaissements!$E$6:$E$3005,$B2948,Ventes_Encaissements!$J$6:$J$3005,$G2948,Ventes_Encaissements!$C$6:$C$3005,"&gt;="&amp;($C2948-3),Ventes_Encaissements!$C$6:$C$3005,"&lt;="&amp;($C2948+3)))</f>
        <v/>
      </c>
      <c r="I2948" s="12">
        <f>IF($H2948="","",IF($H2948=0,"Non trouvé",IF($H2948=1,"Match","À vérifier")))</f>
        <v/>
      </c>
      <c r="J2948" s="21">
        <f>IF($I2948&lt;&gt;"Match","",INDEX(Ventes_Encaissements!$B$6:$B$3005,_xludf.AGGREGATE(15,6,(ROW(Ventes_Encaissements!$B$6:$B$3005)-ROW(Ventes_Encaissements!$B$6)+1)/((Ventes_Encaissements!$E$6:$E$3005=$B2948)*(Ventes_Encaissements!$J$6:$J$3005=$G2948)*(Ventes_Encaissements!$C$6:$C$3005&gt;=$C2948-3)*(Ventes_Encaissements!$C$6:$C$3005&lt;=$C2948+3)),1)))</f>
        <v/>
      </c>
      <c r="K2948" s="6" t="n"/>
    </row>
    <row r="2949">
      <c r="A2949" s="6" t="n"/>
      <c r="B2949" s="6" t="n"/>
      <c r="C2949" s="19" t="n"/>
      <c r="D2949" s="19" t="n"/>
      <c r="E2949" s="6" t="n"/>
      <c r="F2949" s="20" t="n"/>
      <c r="G2949" s="9">
        <f>IF($F2949="","",IF($F2949&gt;0,ROUND($F2949,2),""))</f>
        <v/>
      </c>
      <c r="H2949" s="12">
        <f>IF(OR($B2949="",$C2949="",$G2949=""),"",COUNTIFS(Ventes_Encaissements!$E$6:$E$3005,$B2949,Ventes_Encaissements!$J$6:$J$3005,$G2949,Ventes_Encaissements!$C$6:$C$3005,"&gt;="&amp;($C2949-3),Ventes_Encaissements!$C$6:$C$3005,"&lt;="&amp;($C2949+3)))</f>
        <v/>
      </c>
      <c r="I2949" s="12">
        <f>IF($H2949="","",IF($H2949=0,"Non trouvé",IF($H2949=1,"Match","À vérifier")))</f>
        <v/>
      </c>
      <c r="J2949" s="21">
        <f>IF($I2949&lt;&gt;"Match","",INDEX(Ventes_Encaissements!$B$6:$B$3005,_xludf.AGGREGATE(15,6,(ROW(Ventes_Encaissements!$B$6:$B$3005)-ROW(Ventes_Encaissements!$B$6)+1)/((Ventes_Encaissements!$E$6:$E$3005=$B2949)*(Ventes_Encaissements!$J$6:$J$3005=$G2949)*(Ventes_Encaissements!$C$6:$C$3005&gt;=$C2949-3)*(Ventes_Encaissements!$C$6:$C$3005&lt;=$C2949+3)),1)))</f>
        <v/>
      </c>
      <c r="K2949" s="6" t="n"/>
    </row>
    <row r="2950">
      <c r="A2950" s="6" t="n"/>
      <c r="B2950" s="6" t="n"/>
      <c r="C2950" s="19" t="n"/>
      <c r="D2950" s="19" t="n"/>
      <c r="E2950" s="6" t="n"/>
      <c r="F2950" s="20" t="n"/>
      <c r="G2950" s="9">
        <f>IF($F2950="","",IF($F2950&gt;0,ROUND($F2950,2),""))</f>
        <v/>
      </c>
      <c r="H2950" s="12">
        <f>IF(OR($B2950="",$C2950="",$G2950=""),"",COUNTIFS(Ventes_Encaissements!$E$6:$E$3005,$B2950,Ventes_Encaissements!$J$6:$J$3005,$G2950,Ventes_Encaissements!$C$6:$C$3005,"&gt;="&amp;($C2950-3),Ventes_Encaissements!$C$6:$C$3005,"&lt;="&amp;($C2950+3)))</f>
        <v/>
      </c>
      <c r="I2950" s="12">
        <f>IF($H2950="","",IF($H2950=0,"Non trouvé",IF($H2950=1,"Match","À vérifier")))</f>
        <v/>
      </c>
      <c r="J2950" s="21">
        <f>IF($I2950&lt;&gt;"Match","",INDEX(Ventes_Encaissements!$B$6:$B$3005,_xludf.AGGREGATE(15,6,(ROW(Ventes_Encaissements!$B$6:$B$3005)-ROW(Ventes_Encaissements!$B$6)+1)/((Ventes_Encaissements!$E$6:$E$3005=$B2950)*(Ventes_Encaissements!$J$6:$J$3005=$G2950)*(Ventes_Encaissements!$C$6:$C$3005&gt;=$C2950-3)*(Ventes_Encaissements!$C$6:$C$3005&lt;=$C2950+3)),1)))</f>
        <v/>
      </c>
      <c r="K2950" s="6" t="n"/>
    </row>
    <row r="2951">
      <c r="A2951" s="6" t="n"/>
      <c r="B2951" s="6" t="n"/>
      <c r="C2951" s="19" t="n"/>
      <c r="D2951" s="19" t="n"/>
      <c r="E2951" s="6" t="n"/>
      <c r="F2951" s="20" t="n"/>
      <c r="G2951" s="9">
        <f>IF($F2951="","",IF($F2951&gt;0,ROUND($F2951,2),""))</f>
        <v/>
      </c>
      <c r="H2951" s="12">
        <f>IF(OR($B2951="",$C2951="",$G2951=""),"",COUNTIFS(Ventes_Encaissements!$E$6:$E$3005,$B2951,Ventes_Encaissements!$J$6:$J$3005,$G2951,Ventes_Encaissements!$C$6:$C$3005,"&gt;="&amp;($C2951-3),Ventes_Encaissements!$C$6:$C$3005,"&lt;="&amp;($C2951+3)))</f>
        <v/>
      </c>
      <c r="I2951" s="12">
        <f>IF($H2951="","",IF($H2951=0,"Non trouvé",IF($H2951=1,"Match","À vérifier")))</f>
        <v/>
      </c>
      <c r="J2951" s="21">
        <f>IF($I2951&lt;&gt;"Match","",INDEX(Ventes_Encaissements!$B$6:$B$3005,_xludf.AGGREGATE(15,6,(ROW(Ventes_Encaissements!$B$6:$B$3005)-ROW(Ventes_Encaissements!$B$6)+1)/((Ventes_Encaissements!$E$6:$E$3005=$B2951)*(Ventes_Encaissements!$J$6:$J$3005=$G2951)*(Ventes_Encaissements!$C$6:$C$3005&gt;=$C2951-3)*(Ventes_Encaissements!$C$6:$C$3005&lt;=$C2951+3)),1)))</f>
        <v/>
      </c>
      <c r="K2951" s="6" t="n"/>
    </row>
    <row r="2952">
      <c r="A2952" s="6" t="n"/>
      <c r="B2952" s="6" t="n"/>
      <c r="C2952" s="19" t="n"/>
      <c r="D2952" s="19" t="n"/>
      <c r="E2952" s="6" t="n"/>
      <c r="F2952" s="20" t="n"/>
      <c r="G2952" s="9">
        <f>IF($F2952="","",IF($F2952&gt;0,ROUND($F2952,2),""))</f>
        <v/>
      </c>
      <c r="H2952" s="12">
        <f>IF(OR($B2952="",$C2952="",$G2952=""),"",COUNTIFS(Ventes_Encaissements!$E$6:$E$3005,$B2952,Ventes_Encaissements!$J$6:$J$3005,$G2952,Ventes_Encaissements!$C$6:$C$3005,"&gt;="&amp;($C2952-3),Ventes_Encaissements!$C$6:$C$3005,"&lt;="&amp;($C2952+3)))</f>
        <v/>
      </c>
      <c r="I2952" s="12">
        <f>IF($H2952="","",IF($H2952=0,"Non trouvé",IF($H2952=1,"Match","À vérifier")))</f>
        <v/>
      </c>
      <c r="J2952" s="21">
        <f>IF($I2952&lt;&gt;"Match","",INDEX(Ventes_Encaissements!$B$6:$B$3005,_xludf.AGGREGATE(15,6,(ROW(Ventes_Encaissements!$B$6:$B$3005)-ROW(Ventes_Encaissements!$B$6)+1)/((Ventes_Encaissements!$E$6:$E$3005=$B2952)*(Ventes_Encaissements!$J$6:$J$3005=$G2952)*(Ventes_Encaissements!$C$6:$C$3005&gt;=$C2952-3)*(Ventes_Encaissements!$C$6:$C$3005&lt;=$C2952+3)),1)))</f>
        <v/>
      </c>
      <c r="K2952" s="6" t="n"/>
    </row>
    <row r="2953">
      <c r="A2953" s="6" t="n"/>
      <c r="B2953" s="6" t="n"/>
      <c r="C2953" s="19" t="n"/>
      <c r="D2953" s="19" t="n"/>
      <c r="E2953" s="6" t="n"/>
      <c r="F2953" s="20" t="n"/>
      <c r="G2953" s="9">
        <f>IF($F2953="","",IF($F2953&gt;0,ROUND($F2953,2),""))</f>
        <v/>
      </c>
      <c r="H2953" s="12">
        <f>IF(OR($B2953="",$C2953="",$G2953=""),"",COUNTIFS(Ventes_Encaissements!$E$6:$E$3005,$B2953,Ventes_Encaissements!$J$6:$J$3005,$G2953,Ventes_Encaissements!$C$6:$C$3005,"&gt;="&amp;($C2953-3),Ventes_Encaissements!$C$6:$C$3005,"&lt;="&amp;($C2953+3)))</f>
        <v/>
      </c>
      <c r="I2953" s="12">
        <f>IF($H2953="","",IF($H2953=0,"Non trouvé",IF($H2953=1,"Match","À vérifier")))</f>
        <v/>
      </c>
      <c r="J2953" s="21">
        <f>IF($I2953&lt;&gt;"Match","",INDEX(Ventes_Encaissements!$B$6:$B$3005,_xludf.AGGREGATE(15,6,(ROW(Ventes_Encaissements!$B$6:$B$3005)-ROW(Ventes_Encaissements!$B$6)+1)/((Ventes_Encaissements!$E$6:$E$3005=$B2953)*(Ventes_Encaissements!$J$6:$J$3005=$G2953)*(Ventes_Encaissements!$C$6:$C$3005&gt;=$C2953-3)*(Ventes_Encaissements!$C$6:$C$3005&lt;=$C2953+3)),1)))</f>
        <v/>
      </c>
      <c r="K2953" s="6" t="n"/>
    </row>
    <row r="2954">
      <c r="A2954" s="6" t="n"/>
      <c r="B2954" s="6" t="n"/>
      <c r="C2954" s="19" t="n"/>
      <c r="D2954" s="19" t="n"/>
      <c r="E2954" s="6" t="n"/>
      <c r="F2954" s="20" t="n"/>
      <c r="G2954" s="9">
        <f>IF($F2954="","",IF($F2954&gt;0,ROUND($F2954,2),""))</f>
        <v/>
      </c>
      <c r="H2954" s="12">
        <f>IF(OR($B2954="",$C2954="",$G2954=""),"",COUNTIFS(Ventes_Encaissements!$E$6:$E$3005,$B2954,Ventes_Encaissements!$J$6:$J$3005,$G2954,Ventes_Encaissements!$C$6:$C$3005,"&gt;="&amp;($C2954-3),Ventes_Encaissements!$C$6:$C$3005,"&lt;="&amp;($C2954+3)))</f>
        <v/>
      </c>
      <c r="I2954" s="12">
        <f>IF($H2954="","",IF($H2954=0,"Non trouvé",IF($H2954=1,"Match","À vérifier")))</f>
        <v/>
      </c>
      <c r="J2954" s="21">
        <f>IF($I2954&lt;&gt;"Match","",INDEX(Ventes_Encaissements!$B$6:$B$3005,_xludf.AGGREGATE(15,6,(ROW(Ventes_Encaissements!$B$6:$B$3005)-ROW(Ventes_Encaissements!$B$6)+1)/((Ventes_Encaissements!$E$6:$E$3005=$B2954)*(Ventes_Encaissements!$J$6:$J$3005=$G2954)*(Ventes_Encaissements!$C$6:$C$3005&gt;=$C2954-3)*(Ventes_Encaissements!$C$6:$C$3005&lt;=$C2954+3)),1)))</f>
        <v/>
      </c>
      <c r="K2954" s="6" t="n"/>
    </row>
    <row r="2955">
      <c r="A2955" s="6" t="n"/>
      <c r="B2955" s="6" t="n"/>
      <c r="C2955" s="19" t="n"/>
      <c r="D2955" s="19" t="n"/>
      <c r="E2955" s="6" t="n"/>
      <c r="F2955" s="20" t="n"/>
      <c r="G2955" s="9">
        <f>IF($F2955="","",IF($F2955&gt;0,ROUND($F2955,2),""))</f>
        <v/>
      </c>
      <c r="H2955" s="12">
        <f>IF(OR($B2955="",$C2955="",$G2955=""),"",COUNTIFS(Ventes_Encaissements!$E$6:$E$3005,$B2955,Ventes_Encaissements!$J$6:$J$3005,$G2955,Ventes_Encaissements!$C$6:$C$3005,"&gt;="&amp;($C2955-3),Ventes_Encaissements!$C$6:$C$3005,"&lt;="&amp;($C2955+3)))</f>
        <v/>
      </c>
      <c r="I2955" s="12">
        <f>IF($H2955="","",IF($H2955=0,"Non trouvé",IF($H2955=1,"Match","À vérifier")))</f>
        <v/>
      </c>
      <c r="J2955" s="21">
        <f>IF($I2955&lt;&gt;"Match","",INDEX(Ventes_Encaissements!$B$6:$B$3005,_xludf.AGGREGATE(15,6,(ROW(Ventes_Encaissements!$B$6:$B$3005)-ROW(Ventes_Encaissements!$B$6)+1)/((Ventes_Encaissements!$E$6:$E$3005=$B2955)*(Ventes_Encaissements!$J$6:$J$3005=$G2955)*(Ventes_Encaissements!$C$6:$C$3005&gt;=$C2955-3)*(Ventes_Encaissements!$C$6:$C$3005&lt;=$C2955+3)),1)))</f>
        <v/>
      </c>
      <c r="K2955" s="6" t="n"/>
    </row>
    <row r="2956">
      <c r="A2956" s="6" t="n"/>
      <c r="B2956" s="6" t="n"/>
      <c r="C2956" s="19" t="n"/>
      <c r="D2956" s="19" t="n"/>
      <c r="E2956" s="6" t="n"/>
      <c r="F2956" s="20" t="n"/>
      <c r="G2956" s="9">
        <f>IF($F2956="","",IF($F2956&gt;0,ROUND($F2956,2),""))</f>
        <v/>
      </c>
      <c r="H2956" s="12">
        <f>IF(OR($B2956="",$C2956="",$G2956=""),"",COUNTIFS(Ventes_Encaissements!$E$6:$E$3005,$B2956,Ventes_Encaissements!$J$6:$J$3005,$G2956,Ventes_Encaissements!$C$6:$C$3005,"&gt;="&amp;($C2956-3),Ventes_Encaissements!$C$6:$C$3005,"&lt;="&amp;($C2956+3)))</f>
        <v/>
      </c>
      <c r="I2956" s="12">
        <f>IF($H2956="","",IF($H2956=0,"Non trouvé",IF($H2956=1,"Match","À vérifier")))</f>
        <v/>
      </c>
      <c r="J2956" s="21">
        <f>IF($I2956&lt;&gt;"Match","",INDEX(Ventes_Encaissements!$B$6:$B$3005,_xludf.AGGREGATE(15,6,(ROW(Ventes_Encaissements!$B$6:$B$3005)-ROW(Ventes_Encaissements!$B$6)+1)/((Ventes_Encaissements!$E$6:$E$3005=$B2956)*(Ventes_Encaissements!$J$6:$J$3005=$G2956)*(Ventes_Encaissements!$C$6:$C$3005&gt;=$C2956-3)*(Ventes_Encaissements!$C$6:$C$3005&lt;=$C2956+3)),1)))</f>
        <v/>
      </c>
      <c r="K2956" s="6" t="n"/>
    </row>
    <row r="2957">
      <c r="A2957" s="6" t="n"/>
      <c r="B2957" s="6" t="n"/>
      <c r="C2957" s="19" t="n"/>
      <c r="D2957" s="19" t="n"/>
      <c r="E2957" s="6" t="n"/>
      <c r="F2957" s="20" t="n"/>
      <c r="G2957" s="9">
        <f>IF($F2957="","",IF($F2957&gt;0,ROUND($F2957,2),""))</f>
        <v/>
      </c>
      <c r="H2957" s="12">
        <f>IF(OR($B2957="",$C2957="",$G2957=""),"",COUNTIFS(Ventes_Encaissements!$E$6:$E$3005,$B2957,Ventes_Encaissements!$J$6:$J$3005,$G2957,Ventes_Encaissements!$C$6:$C$3005,"&gt;="&amp;($C2957-3),Ventes_Encaissements!$C$6:$C$3005,"&lt;="&amp;($C2957+3)))</f>
        <v/>
      </c>
      <c r="I2957" s="12">
        <f>IF($H2957="","",IF($H2957=0,"Non trouvé",IF($H2957=1,"Match","À vérifier")))</f>
        <v/>
      </c>
      <c r="J2957" s="21">
        <f>IF($I2957&lt;&gt;"Match","",INDEX(Ventes_Encaissements!$B$6:$B$3005,_xludf.AGGREGATE(15,6,(ROW(Ventes_Encaissements!$B$6:$B$3005)-ROW(Ventes_Encaissements!$B$6)+1)/((Ventes_Encaissements!$E$6:$E$3005=$B2957)*(Ventes_Encaissements!$J$6:$J$3005=$G2957)*(Ventes_Encaissements!$C$6:$C$3005&gt;=$C2957-3)*(Ventes_Encaissements!$C$6:$C$3005&lt;=$C2957+3)),1)))</f>
        <v/>
      </c>
      <c r="K2957" s="6" t="n"/>
    </row>
    <row r="2958">
      <c r="A2958" s="6" t="n"/>
      <c r="B2958" s="6" t="n"/>
      <c r="C2958" s="19" t="n"/>
      <c r="D2958" s="19" t="n"/>
      <c r="E2958" s="6" t="n"/>
      <c r="F2958" s="20" t="n"/>
      <c r="G2958" s="9">
        <f>IF($F2958="","",IF($F2958&gt;0,ROUND($F2958,2),""))</f>
        <v/>
      </c>
      <c r="H2958" s="12">
        <f>IF(OR($B2958="",$C2958="",$G2958=""),"",COUNTIFS(Ventes_Encaissements!$E$6:$E$3005,$B2958,Ventes_Encaissements!$J$6:$J$3005,$G2958,Ventes_Encaissements!$C$6:$C$3005,"&gt;="&amp;($C2958-3),Ventes_Encaissements!$C$6:$C$3005,"&lt;="&amp;($C2958+3)))</f>
        <v/>
      </c>
      <c r="I2958" s="12">
        <f>IF($H2958="","",IF($H2958=0,"Non trouvé",IF($H2958=1,"Match","À vérifier")))</f>
        <v/>
      </c>
      <c r="J2958" s="21">
        <f>IF($I2958&lt;&gt;"Match","",INDEX(Ventes_Encaissements!$B$6:$B$3005,_xludf.AGGREGATE(15,6,(ROW(Ventes_Encaissements!$B$6:$B$3005)-ROW(Ventes_Encaissements!$B$6)+1)/((Ventes_Encaissements!$E$6:$E$3005=$B2958)*(Ventes_Encaissements!$J$6:$J$3005=$G2958)*(Ventes_Encaissements!$C$6:$C$3005&gt;=$C2958-3)*(Ventes_Encaissements!$C$6:$C$3005&lt;=$C2958+3)),1)))</f>
        <v/>
      </c>
      <c r="K2958" s="6" t="n"/>
    </row>
    <row r="2959">
      <c r="A2959" s="6" t="n"/>
      <c r="B2959" s="6" t="n"/>
      <c r="C2959" s="19" t="n"/>
      <c r="D2959" s="19" t="n"/>
      <c r="E2959" s="6" t="n"/>
      <c r="F2959" s="20" t="n"/>
      <c r="G2959" s="9">
        <f>IF($F2959="","",IF($F2959&gt;0,ROUND($F2959,2),""))</f>
        <v/>
      </c>
      <c r="H2959" s="12">
        <f>IF(OR($B2959="",$C2959="",$G2959=""),"",COUNTIFS(Ventes_Encaissements!$E$6:$E$3005,$B2959,Ventes_Encaissements!$J$6:$J$3005,$G2959,Ventes_Encaissements!$C$6:$C$3005,"&gt;="&amp;($C2959-3),Ventes_Encaissements!$C$6:$C$3005,"&lt;="&amp;($C2959+3)))</f>
        <v/>
      </c>
      <c r="I2959" s="12">
        <f>IF($H2959="","",IF($H2959=0,"Non trouvé",IF($H2959=1,"Match","À vérifier")))</f>
        <v/>
      </c>
      <c r="J2959" s="21">
        <f>IF($I2959&lt;&gt;"Match","",INDEX(Ventes_Encaissements!$B$6:$B$3005,_xludf.AGGREGATE(15,6,(ROW(Ventes_Encaissements!$B$6:$B$3005)-ROW(Ventes_Encaissements!$B$6)+1)/((Ventes_Encaissements!$E$6:$E$3005=$B2959)*(Ventes_Encaissements!$J$6:$J$3005=$G2959)*(Ventes_Encaissements!$C$6:$C$3005&gt;=$C2959-3)*(Ventes_Encaissements!$C$6:$C$3005&lt;=$C2959+3)),1)))</f>
        <v/>
      </c>
      <c r="K2959" s="6" t="n"/>
    </row>
    <row r="2960">
      <c r="A2960" s="6" t="n"/>
      <c r="B2960" s="6" t="n"/>
      <c r="C2960" s="19" t="n"/>
      <c r="D2960" s="19" t="n"/>
      <c r="E2960" s="6" t="n"/>
      <c r="F2960" s="20" t="n"/>
      <c r="G2960" s="9">
        <f>IF($F2960="","",IF($F2960&gt;0,ROUND($F2960,2),""))</f>
        <v/>
      </c>
      <c r="H2960" s="12">
        <f>IF(OR($B2960="",$C2960="",$G2960=""),"",COUNTIFS(Ventes_Encaissements!$E$6:$E$3005,$B2960,Ventes_Encaissements!$J$6:$J$3005,$G2960,Ventes_Encaissements!$C$6:$C$3005,"&gt;="&amp;($C2960-3),Ventes_Encaissements!$C$6:$C$3005,"&lt;="&amp;($C2960+3)))</f>
        <v/>
      </c>
      <c r="I2960" s="12">
        <f>IF($H2960="","",IF($H2960=0,"Non trouvé",IF($H2960=1,"Match","À vérifier")))</f>
        <v/>
      </c>
      <c r="J2960" s="21">
        <f>IF($I2960&lt;&gt;"Match","",INDEX(Ventes_Encaissements!$B$6:$B$3005,_xludf.AGGREGATE(15,6,(ROW(Ventes_Encaissements!$B$6:$B$3005)-ROW(Ventes_Encaissements!$B$6)+1)/((Ventes_Encaissements!$E$6:$E$3005=$B2960)*(Ventes_Encaissements!$J$6:$J$3005=$G2960)*(Ventes_Encaissements!$C$6:$C$3005&gt;=$C2960-3)*(Ventes_Encaissements!$C$6:$C$3005&lt;=$C2960+3)),1)))</f>
        <v/>
      </c>
      <c r="K2960" s="6" t="n"/>
    </row>
    <row r="2961">
      <c r="A2961" s="6" t="n"/>
      <c r="B2961" s="6" t="n"/>
      <c r="C2961" s="19" t="n"/>
      <c r="D2961" s="19" t="n"/>
      <c r="E2961" s="6" t="n"/>
      <c r="F2961" s="20" t="n"/>
      <c r="G2961" s="9">
        <f>IF($F2961="","",IF($F2961&gt;0,ROUND($F2961,2),""))</f>
        <v/>
      </c>
      <c r="H2961" s="12">
        <f>IF(OR($B2961="",$C2961="",$G2961=""),"",COUNTIFS(Ventes_Encaissements!$E$6:$E$3005,$B2961,Ventes_Encaissements!$J$6:$J$3005,$G2961,Ventes_Encaissements!$C$6:$C$3005,"&gt;="&amp;($C2961-3),Ventes_Encaissements!$C$6:$C$3005,"&lt;="&amp;($C2961+3)))</f>
        <v/>
      </c>
      <c r="I2961" s="12">
        <f>IF($H2961="","",IF($H2961=0,"Non trouvé",IF($H2961=1,"Match","À vérifier")))</f>
        <v/>
      </c>
      <c r="J2961" s="21">
        <f>IF($I2961&lt;&gt;"Match","",INDEX(Ventes_Encaissements!$B$6:$B$3005,_xludf.AGGREGATE(15,6,(ROW(Ventes_Encaissements!$B$6:$B$3005)-ROW(Ventes_Encaissements!$B$6)+1)/((Ventes_Encaissements!$E$6:$E$3005=$B2961)*(Ventes_Encaissements!$J$6:$J$3005=$G2961)*(Ventes_Encaissements!$C$6:$C$3005&gt;=$C2961-3)*(Ventes_Encaissements!$C$6:$C$3005&lt;=$C2961+3)),1)))</f>
        <v/>
      </c>
      <c r="K2961" s="6" t="n"/>
    </row>
    <row r="2962">
      <c r="A2962" s="6" t="n"/>
      <c r="B2962" s="6" t="n"/>
      <c r="C2962" s="19" t="n"/>
      <c r="D2962" s="19" t="n"/>
      <c r="E2962" s="6" t="n"/>
      <c r="F2962" s="20" t="n"/>
      <c r="G2962" s="9">
        <f>IF($F2962="","",IF($F2962&gt;0,ROUND($F2962,2),""))</f>
        <v/>
      </c>
      <c r="H2962" s="12">
        <f>IF(OR($B2962="",$C2962="",$G2962=""),"",COUNTIFS(Ventes_Encaissements!$E$6:$E$3005,$B2962,Ventes_Encaissements!$J$6:$J$3005,$G2962,Ventes_Encaissements!$C$6:$C$3005,"&gt;="&amp;($C2962-3),Ventes_Encaissements!$C$6:$C$3005,"&lt;="&amp;($C2962+3)))</f>
        <v/>
      </c>
      <c r="I2962" s="12">
        <f>IF($H2962="","",IF($H2962=0,"Non trouvé",IF($H2962=1,"Match","À vérifier")))</f>
        <v/>
      </c>
      <c r="J2962" s="21">
        <f>IF($I2962&lt;&gt;"Match","",INDEX(Ventes_Encaissements!$B$6:$B$3005,_xludf.AGGREGATE(15,6,(ROW(Ventes_Encaissements!$B$6:$B$3005)-ROW(Ventes_Encaissements!$B$6)+1)/((Ventes_Encaissements!$E$6:$E$3005=$B2962)*(Ventes_Encaissements!$J$6:$J$3005=$G2962)*(Ventes_Encaissements!$C$6:$C$3005&gt;=$C2962-3)*(Ventes_Encaissements!$C$6:$C$3005&lt;=$C2962+3)),1)))</f>
        <v/>
      </c>
      <c r="K2962" s="6" t="n"/>
    </row>
    <row r="2963">
      <c r="A2963" s="6" t="n"/>
      <c r="B2963" s="6" t="n"/>
      <c r="C2963" s="19" t="n"/>
      <c r="D2963" s="19" t="n"/>
      <c r="E2963" s="6" t="n"/>
      <c r="F2963" s="20" t="n"/>
      <c r="G2963" s="9">
        <f>IF($F2963="","",IF($F2963&gt;0,ROUND($F2963,2),""))</f>
        <v/>
      </c>
      <c r="H2963" s="12">
        <f>IF(OR($B2963="",$C2963="",$G2963=""),"",COUNTIFS(Ventes_Encaissements!$E$6:$E$3005,$B2963,Ventes_Encaissements!$J$6:$J$3005,$G2963,Ventes_Encaissements!$C$6:$C$3005,"&gt;="&amp;($C2963-3),Ventes_Encaissements!$C$6:$C$3005,"&lt;="&amp;($C2963+3)))</f>
        <v/>
      </c>
      <c r="I2963" s="12">
        <f>IF($H2963="","",IF($H2963=0,"Non trouvé",IF($H2963=1,"Match","À vérifier")))</f>
        <v/>
      </c>
      <c r="J2963" s="21">
        <f>IF($I2963&lt;&gt;"Match","",INDEX(Ventes_Encaissements!$B$6:$B$3005,_xludf.AGGREGATE(15,6,(ROW(Ventes_Encaissements!$B$6:$B$3005)-ROW(Ventes_Encaissements!$B$6)+1)/((Ventes_Encaissements!$E$6:$E$3005=$B2963)*(Ventes_Encaissements!$J$6:$J$3005=$G2963)*(Ventes_Encaissements!$C$6:$C$3005&gt;=$C2963-3)*(Ventes_Encaissements!$C$6:$C$3005&lt;=$C2963+3)),1)))</f>
        <v/>
      </c>
      <c r="K2963" s="6" t="n"/>
    </row>
    <row r="2964">
      <c r="A2964" s="6" t="n"/>
      <c r="B2964" s="6" t="n"/>
      <c r="C2964" s="19" t="n"/>
      <c r="D2964" s="19" t="n"/>
      <c r="E2964" s="6" t="n"/>
      <c r="F2964" s="20" t="n"/>
      <c r="G2964" s="9">
        <f>IF($F2964="","",IF($F2964&gt;0,ROUND($F2964,2),""))</f>
        <v/>
      </c>
      <c r="H2964" s="12">
        <f>IF(OR($B2964="",$C2964="",$G2964=""),"",COUNTIFS(Ventes_Encaissements!$E$6:$E$3005,$B2964,Ventes_Encaissements!$J$6:$J$3005,$G2964,Ventes_Encaissements!$C$6:$C$3005,"&gt;="&amp;($C2964-3),Ventes_Encaissements!$C$6:$C$3005,"&lt;="&amp;($C2964+3)))</f>
        <v/>
      </c>
      <c r="I2964" s="12">
        <f>IF($H2964="","",IF($H2964=0,"Non trouvé",IF($H2964=1,"Match","À vérifier")))</f>
        <v/>
      </c>
      <c r="J2964" s="21">
        <f>IF($I2964&lt;&gt;"Match","",INDEX(Ventes_Encaissements!$B$6:$B$3005,_xludf.AGGREGATE(15,6,(ROW(Ventes_Encaissements!$B$6:$B$3005)-ROW(Ventes_Encaissements!$B$6)+1)/((Ventes_Encaissements!$E$6:$E$3005=$B2964)*(Ventes_Encaissements!$J$6:$J$3005=$G2964)*(Ventes_Encaissements!$C$6:$C$3005&gt;=$C2964-3)*(Ventes_Encaissements!$C$6:$C$3005&lt;=$C2964+3)),1)))</f>
        <v/>
      </c>
      <c r="K2964" s="6" t="n"/>
    </row>
    <row r="2965">
      <c r="A2965" s="6" t="n"/>
      <c r="B2965" s="6" t="n"/>
      <c r="C2965" s="19" t="n"/>
      <c r="D2965" s="19" t="n"/>
      <c r="E2965" s="6" t="n"/>
      <c r="F2965" s="20" t="n"/>
      <c r="G2965" s="9">
        <f>IF($F2965="","",IF($F2965&gt;0,ROUND($F2965,2),""))</f>
        <v/>
      </c>
      <c r="H2965" s="12">
        <f>IF(OR($B2965="",$C2965="",$G2965=""),"",COUNTIFS(Ventes_Encaissements!$E$6:$E$3005,$B2965,Ventes_Encaissements!$J$6:$J$3005,$G2965,Ventes_Encaissements!$C$6:$C$3005,"&gt;="&amp;($C2965-3),Ventes_Encaissements!$C$6:$C$3005,"&lt;="&amp;($C2965+3)))</f>
        <v/>
      </c>
      <c r="I2965" s="12">
        <f>IF($H2965="","",IF($H2965=0,"Non trouvé",IF($H2965=1,"Match","À vérifier")))</f>
        <v/>
      </c>
      <c r="J2965" s="21">
        <f>IF($I2965&lt;&gt;"Match","",INDEX(Ventes_Encaissements!$B$6:$B$3005,_xludf.AGGREGATE(15,6,(ROW(Ventes_Encaissements!$B$6:$B$3005)-ROW(Ventes_Encaissements!$B$6)+1)/((Ventes_Encaissements!$E$6:$E$3005=$B2965)*(Ventes_Encaissements!$J$6:$J$3005=$G2965)*(Ventes_Encaissements!$C$6:$C$3005&gt;=$C2965-3)*(Ventes_Encaissements!$C$6:$C$3005&lt;=$C2965+3)),1)))</f>
        <v/>
      </c>
      <c r="K2965" s="6" t="n"/>
    </row>
    <row r="2966">
      <c r="A2966" s="6" t="n"/>
      <c r="B2966" s="6" t="n"/>
      <c r="C2966" s="19" t="n"/>
      <c r="D2966" s="19" t="n"/>
      <c r="E2966" s="6" t="n"/>
      <c r="F2966" s="20" t="n"/>
      <c r="G2966" s="9">
        <f>IF($F2966="","",IF($F2966&gt;0,ROUND($F2966,2),""))</f>
        <v/>
      </c>
      <c r="H2966" s="12">
        <f>IF(OR($B2966="",$C2966="",$G2966=""),"",COUNTIFS(Ventes_Encaissements!$E$6:$E$3005,$B2966,Ventes_Encaissements!$J$6:$J$3005,$G2966,Ventes_Encaissements!$C$6:$C$3005,"&gt;="&amp;($C2966-3),Ventes_Encaissements!$C$6:$C$3005,"&lt;="&amp;($C2966+3)))</f>
        <v/>
      </c>
      <c r="I2966" s="12">
        <f>IF($H2966="","",IF($H2966=0,"Non trouvé",IF($H2966=1,"Match","À vérifier")))</f>
        <v/>
      </c>
      <c r="J2966" s="21">
        <f>IF($I2966&lt;&gt;"Match","",INDEX(Ventes_Encaissements!$B$6:$B$3005,_xludf.AGGREGATE(15,6,(ROW(Ventes_Encaissements!$B$6:$B$3005)-ROW(Ventes_Encaissements!$B$6)+1)/((Ventes_Encaissements!$E$6:$E$3005=$B2966)*(Ventes_Encaissements!$J$6:$J$3005=$G2966)*(Ventes_Encaissements!$C$6:$C$3005&gt;=$C2966-3)*(Ventes_Encaissements!$C$6:$C$3005&lt;=$C2966+3)),1)))</f>
        <v/>
      </c>
      <c r="K2966" s="6" t="n"/>
    </row>
    <row r="2967">
      <c r="A2967" s="6" t="n"/>
      <c r="B2967" s="6" t="n"/>
      <c r="C2967" s="19" t="n"/>
      <c r="D2967" s="19" t="n"/>
      <c r="E2967" s="6" t="n"/>
      <c r="F2967" s="20" t="n"/>
      <c r="G2967" s="9">
        <f>IF($F2967="","",IF($F2967&gt;0,ROUND($F2967,2),""))</f>
        <v/>
      </c>
      <c r="H2967" s="12">
        <f>IF(OR($B2967="",$C2967="",$G2967=""),"",COUNTIFS(Ventes_Encaissements!$E$6:$E$3005,$B2967,Ventes_Encaissements!$J$6:$J$3005,$G2967,Ventes_Encaissements!$C$6:$C$3005,"&gt;="&amp;($C2967-3),Ventes_Encaissements!$C$6:$C$3005,"&lt;="&amp;($C2967+3)))</f>
        <v/>
      </c>
      <c r="I2967" s="12">
        <f>IF($H2967="","",IF($H2967=0,"Non trouvé",IF($H2967=1,"Match","À vérifier")))</f>
        <v/>
      </c>
      <c r="J2967" s="21">
        <f>IF($I2967&lt;&gt;"Match","",INDEX(Ventes_Encaissements!$B$6:$B$3005,_xludf.AGGREGATE(15,6,(ROW(Ventes_Encaissements!$B$6:$B$3005)-ROW(Ventes_Encaissements!$B$6)+1)/((Ventes_Encaissements!$E$6:$E$3005=$B2967)*(Ventes_Encaissements!$J$6:$J$3005=$G2967)*(Ventes_Encaissements!$C$6:$C$3005&gt;=$C2967-3)*(Ventes_Encaissements!$C$6:$C$3005&lt;=$C2967+3)),1)))</f>
        <v/>
      </c>
      <c r="K2967" s="6" t="n"/>
    </row>
    <row r="2968">
      <c r="A2968" s="6" t="n"/>
      <c r="B2968" s="6" t="n"/>
      <c r="C2968" s="19" t="n"/>
      <c r="D2968" s="19" t="n"/>
      <c r="E2968" s="6" t="n"/>
      <c r="F2968" s="20" t="n"/>
      <c r="G2968" s="9">
        <f>IF($F2968="","",IF($F2968&gt;0,ROUND($F2968,2),""))</f>
        <v/>
      </c>
      <c r="H2968" s="12">
        <f>IF(OR($B2968="",$C2968="",$G2968=""),"",COUNTIFS(Ventes_Encaissements!$E$6:$E$3005,$B2968,Ventes_Encaissements!$J$6:$J$3005,$G2968,Ventes_Encaissements!$C$6:$C$3005,"&gt;="&amp;($C2968-3),Ventes_Encaissements!$C$6:$C$3005,"&lt;="&amp;($C2968+3)))</f>
        <v/>
      </c>
      <c r="I2968" s="12">
        <f>IF($H2968="","",IF($H2968=0,"Non trouvé",IF($H2968=1,"Match","À vérifier")))</f>
        <v/>
      </c>
      <c r="J2968" s="21">
        <f>IF($I2968&lt;&gt;"Match","",INDEX(Ventes_Encaissements!$B$6:$B$3005,_xludf.AGGREGATE(15,6,(ROW(Ventes_Encaissements!$B$6:$B$3005)-ROW(Ventes_Encaissements!$B$6)+1)/((Ventes_Encaissements!$E$6:$E$3005=$B2968)*(Ventes_Encaissements!$J$6:$J$3005=$G2968)*(Ventes_Encaissements!$C$6:$C$3005&gt;=$C2968-3)*(Ventes_Encaissements!$C$6:$C$3005&lt;=$C2968+3)),1)))</f>
        <v/>
      </c>
      <c r="K2968" s="6" t="n"/>
    </row>
    <row r="2969">
      <c r="A2969" s="6" t="n"/>
      <c r="B2969" s="6" t="n"/>
      <c r="C2969" s="19" t="n"/>
      <c r="D2969" s="19" t="n"/>
      <c r="E2969" s="6" t="n"/>
      <c r="F2969" s="20" t="n"/>
      <c r="G2969" s="9">
        <f>IF($F2969="","",IF($F2969&gt;0,ROUND($F2969,2),""))</f>
        <v/>
      </c>
      <c r="H2969" s="12">
        <f>IF(OR($B2969="",$C2969="",$G2969=""),"",COUNTIFS(Ventes_Encaissements!$E$6:$E$3005,$B2969,Ventes_Encaissements!$J$6:$J$3005,$G2969,Ventes_Encaissements!$C$6:$C$3005,"&gt;="&amp;($C2969-3),Ventes_Encaissements!$C$6:$C$3005,"&lt;="&amp;($C2969+3)))</f>
        <v/>
      </c>
      <c r="I2969" s="12">
        <f>IF($H2969="","",IF($H2969=0,"Non trouvé",IF($H2969=1,"Match","À vérifier")))</f>
        <v/>
      </c>
      <c r="J2969" s="21">
        <f>IF($I2969&lt;&gt;"Match","",INDEX(Ventes_Encaissements!$B$6:$B$3005,_xludf.AGGREGATE(15,6,(ROW(Ventes_Encaissements!$B$6:$B$3005)-ROW(Ventes_Encaissements!$B$6)+1)/((Ventes_Encaissements!$E$6:$E$3005=$B2969)*(Ventes_Encaissements!$J$6:$J$3005=$G2969)*(Ventes_Encaissements!$C$6:$C$3005&gt;=$C2969-3)*(Ventes_Encaissements!$C$6:$C$3005&lt;=$C2969+3)),1)))</f>
        <v/>
      </c>
      <c r="K2969" s="6" t="n"/>
    </row>
    <row r="2970">
      <c r="A2970" s="6" t="n"/>
      <c r="B2970" s="6" t="n"/>
      <c r="C2970" s="19" t="n"/>
      <c r="D2970" s="19" t="n"/>
      <c r="E2970" s="6" t="n"/>
      <c r="F2970" s="20" t="n"/>
      <c r="G2970" s="9">
        <f>IF($F2970="","",IF($F2970&gt;0,ROUND($F2970,2),""))</f>
        <v/>
      </c>
      <c r="H2970" s="12">
        <f>IF(OR($B2970="",$C2970="",$G2970=""),"",COUNTIFS(Ventes_Encaissements!$E$6:$E$3005,$B2970,Ventes_Encaissements!$J$6:$J$3005,$G2970,Ventes_Encaissements!$C$6:$C$3005,"&gt;="&amp;($C2970-3),Ventes_Encaissements!$C$6:$C$3005,"&lt;="&amp;($C2970+3)))</f>
        <v/>
      </c>
      <c r="I2970" s="12">
        <f>IF($H2970="","",IF($H2970=0,"Non trouvé",IF($H2970=1,"Match","À vérifier")))</f>
        <v/>
      </c>
      <c r="J2970" s="21">
        <f>IF($I2970&lt;&gt;"Match","",INDEX(Ventes_Encaissements!$B$6:$B$3005,_xludf.AGGREGATE(15,6,(ROW(Ventes_Encaissements!$B$6:$B$3005)-ROW(Ventes_Encaissements!$B$6)+1)/((Ventes_Encaissements!$E$6:$E$3005=$B2970)*(Ventes_Encaissements!$J$6:$J$3005=$G2970)*(Ventes_Encaissements!$C$6:$C$3005&gt;=$C2970-3)*(Ventes_Encaissements!$C$6:$C$3005&lt;=$C2970+3)),1)))</f>
        <v/>
      </c>
      <c r="K2970" s="6" t="n"/>
    </row>
    <row r="2971">
      <c r="A2971" s="6" t="n"/>
      <c r="B2971" s="6" t="n"/>
      <c r="C2971" s="19" t="n"/>
      <c r="D2971" s="19" t="n"/>
      <c r="E2971" s="6" t="n"/>
      <c r="F2971" s="20" t="n"/>
      <c r="G2971" s="9">
        <f>IF($F2971="","",IF($F2971&gt;0,ROUND($F2971,2),""))</f>
        <v/>
      </c>
      <c r="H2971" s="12">
        <f>IF(OR($B2971="",$C2971="",$G2971=""),"",COUNTIFS(Ventes_Encaissements!$E$6:$E$3005,$B2971,Ventes_Encaissements!$J$6:$J$3005,$G2971,Ventes_Encaissements!$C$6:$C$3005,"&gt;="&amp;($C2971-3),Ventes_Encaissements!$C$6:$C$3005,"&lt;="&amp;($C2971+3)))</f>
        <v/>
      </c>
      <c r="I2971" s="12">
        <f>IF($H2971="","",IF($H2971=0,"Non trouvé",IF($H2971=1,"Match","À vérifier")))</f>
        <v/>
      </c>
      <c r="J2971" s="21">
        <f>IF($I2971&lt;&gt;"Match","",INDEX(Ventes_Encaissements!$B$6:$B$3005,_xludf.AGGREGATE(15,6,(ROW(Ventes_Encaissements!$B$6:$B$3005)-ROW(Ventes_Encaissements!$B$6)+1)/((Ventes_Encaissements!$E$6:$E$3005=$B2971)*(Ventes_Encaissements!$J$6:$J$3005=$G2971)*(Ventes_Encaissements!$C$6:$C$3005&gt;=$C2971-3)*(Ventes_Encaissements!$C$6:$C$3005&lt;=$C2971+3)),1)))</f>
        <v/>
      </c>
      <c r="K2971" s="6" t="n"/>
    </row>
    <row r="2972">
      <c r="A2972" s="6" t="n"/>
      <c r="B2972" s="6" t="n"/>
      <c r="C2972" s="19" t="n"/>
      <c r="D2972" s="19" t="n"/>
      <c r="E2972" s="6" t="n"/>
      <c r="F2972" s="20" t="n"/>
      <c r="G2972" s="9">
        <f>IF($F2972="","",IF($F2972&gt;0,ROUND($F2972,2),""))</f>
        <v/>
      </c>
      <c r="H2972" s="12">
        <f>IF(OR($B2972="",$C2972="",$G2972=""),"",COUNTIFS(Ventes_Encaissements!$E$6:$E$3005,$B2972,Ventes_Encaissements!$J$6:$J$3005,$G2972,Ventes_Encaissements!$C$6:$C$3005,"&gt;="&amp;($C2972-3),Ventes_Encaissements!$C$6:$C$3005,"&lt;="&amp;($C2972+3)))</f>
        <v/>
      </c>
      <c r="I2972" s="12">
        <f>IF($H2972="","",IF($H2972=0,"Non trouvé",IF($H2972=1,"Match","À vérifier")))</f>
        <v/>
      </c>
      <c r="J2972" s="21">
        <f>IF($I2972&lt;&gt;"Match","",INDEX(Ventes_Encaissements!$B$6:$B$3005,_xludf.AGGREGATE(15,6,(ROW(Ventes_Encaissements!$B$6:$B$3005)-ROW(Ventes_Encaissements!$B$6)+1)/((Ventes_Encaissements!$E$6:$E$3005=$B2972)*(Ventes_Encaissements!$J$6:$J$3005=$G2972)*(Ventes_Encaissements!$C$6:$C$3005&gt;=$C2972-3)*(Ventes_Encaissements!$C$6:$C$3005&lt;=$C2972+3)),1)))</f>
        <v/>
      </c>
      <c r="K2972" s="6" t="n"/>
    </row>
    <row r="2973">
      <c r="A2973" s="6" t="n"/>
      <c r="B2973" s="6" t="n"/>
      <c r="C2973" s="19" t="n"/>
      <c r="D2973" s="19" t="n"/>
      <c r="E2973" s="6" t="n"/>
      <c r="F2973" s="20" t="n"/>
      <c r="G2973" s="9">
        <f>IF($F2973="","",IF($F2973&gt;0,ROUND($F2973,2),""))</f>
        <v/>
      </c>
      <c r="H2973" s="12">
        <f>IF(OR($B2973="",$C2973="",$G2973=""),"",COUNTIFS(Ventes_Encaissements!$E$6:$E$3005,$B2973,Ventes_Encaissements!$J$6:$J$3005,$G2973,Ventes_Encaissements!$C$6:$C$3005,"&gt;="&amp;($C2973-3),Ventes_Encaissements!$C$6:$C$3005,"&lt;="&amp;($C2973+3)))</f>
        <v/>
      </c>
      <c r="I2973" s="12">
        <f>IF($H2973="","",IF($H2973=0,"Non trouvé",IF($H2973=1,"Match","À vérifier")))</f>
        <v/>
      </c>
      <c r="J2973" s="21">
        <f>IF($I2973&lt;&gt;"Match","",INDEX(Ventes_Encaissements!$B$6:$B$3005,_xludf.AGGREGATE(15,6,(ROW(Ventes_Encaissements!$B$6:$B$3005)-ROW(Ventes_Encaissements!$B$6)+1)/((Ventes_Encaissements!$E$6:$E$3005=$B2973)*(Ventes_Encaissements!$J$6:$J$3005=$G2973)*(Ventes_Encaissements!$C$6:$C$3005&gt;=$C2973-3)*(Ventes_Encaissements!$C$6:$C$3005&lt;=$C2973+3)),1)))</f>
        <v/>
      </c>
      <c r="K2973" s="6" t="n"/>
    </row>
    <row r="2974">
      <c r="A2974" s="6" t="n"/>
      <c r="B2974" s="6" t="n"/>
      <c r="C2974" s="19" t="n"/>
      <c r="D2974" s="19" t="n"/>
      <c r="E2974" s="6" t="n"/>
      <c r="F2974" s="20" t="n"/>
      <c r="G2974" s="9">
        <f>IF($F2974="","",IF($F2974&gt;0,ROUND($F2974,2),""))</f>
        <v/>
      </c>
      <c r="H2974" s="12">
        <f>IF(OR($B2974="",$C2974="",$G2974=""),"",COUNTIFS(Ventes_Encaissements!$E$6:$E$3005,$B2974,Ventes_Encaissements!$J$6:$J$3005,$G2974,Ventes_Encaissements!$C$6:$C$3005,"&gt;="&amp;($C2974-3),Ventes_Encaissements!$C$6:$C$3005,"&lt;="&amp;($C2974+3)))</f>
        <v/>
      </c>
      <c r="I2974" s="12">
        <f>IF($H2974="","",IF($H2974=0,"Non trouvé",IF($H2974=1,"Match","À vérifier")))</f>
        <v/>
      </c>
      <c r="J2974" s="21">
        <f>IF($I2974&lt;&gt;"Match","",INDEX(Ventes_Encaissements!$B$6:$B$3005,_xludf.AGGREGATE(15,6,(ROW(Ventes_Encaissements!$B$6:$B$3005)-ROW(Ventes_Encaissements!$B$6)+1)/((Ventes_Encaissements!$E$6:$E$3005=$B2974)*(Ventes_Encaissements!$J$6:$J$3005=$G2974)*(Ventes_Encaissements!$C$6:$C$3005&gt;=$C2974-3)*(Ventes_Encaissements!$C$6:$C$3005&lt;=$C2974+3)),1)))</f>
        <v/>
      </c>
      <c r="K2974" s="6" t="n"/>
    </row>
    <row r="2975">
      <c r="A2975" s="6" t="n"/>
      <c r="B2975" s="6" t="n"/>
      <c r="C2975" s="19" t="n"/>
      <c r="D2975" s="19" t="n"/>
      <c r="E2975" s="6" t="n"/>
      <c r="F2975" s="20" t="n"/>
      <c r="G2975" s="9">
        <f>IF($F2975="","",IF($F2975&gt;0,ROUND($F2975,2),""))</f>
        <v/>
      </c>
      <c r="H2975" s="12">
        <f>IF(OR($B2975="",$C2975="",$G2975=""),"",COUNTIFS(Ventes_Encaissements!$E$6:$E$3005,$B2975,Ventes_Encaissements!$J$6:$J$3005,$G2975,Ventes_Encaissements!$C$6:$C$3005,"&gt;="&amp;($C2975-3),Ventes_Encaissements!$C$6:$C$3005,"&lt;="&amp;($C2975+3)))</f>
        <v/>
      </c>
      <c r="I2975" s="12">
        <f>IF($H2975="","",IF($H2975=0,"Non trouvé",IF($H2975=1,"Match","À vérifier")))</f>
        <v/>
      </c>
      <c r="J2975" s="21">
        <f>IF($I2975&lt;&gt;"Match","",INDEX(Ventes_Encaissements!$B$6:$B$3005,_xludf.AGGREGATE(15,6,(ROW(Ventes_Encaissements!$B$6:$B$3005)-ROW(Ventes_Encaissements!$B$6)+1)/((Ventes_Encaissements!$E$6:$E$3005=$B2975)*(Ventes_Encaissements!$J$6:$J$3005=$G2975)*(Ventes_Encaissements!$C$6:$C$3005&gt;=$C2975-3)*(Ventes_Encaissements!$C$6:$C$3005&lt;=$C2975+3)),1)))</f>
        <v/>
      </c>
      <c r="K2975" s="6" t="n"/>
    </row>
    <row r="2976">
      <c r="A2976" s="6" t="n"/>
      <c r="B2976" s="6" t="n"/>
      <c r="C2976" s="19" t="n"/>
      <c r="D2976" s="19" t="n"/>
      <c r="E2976" s="6" t="n"/>
      <c r="F2976" s="20" t="n"/>
      <c r="G2976" s="9">
        <f>IF($F2976="","",IF($F2976&gt;0,ROUND($F2976,2),""))</f>
        <v/>
      </c>
      <c r="H2976" s="12">
        <f>IF(OR($B2976="",$C2976="",$G2976=""),"",COUNTIFS(Ventes_Encaissements!$E$6:$E$3005,$B2976,Ventes_Encaissements!$J$6:$J$3005,$G2976,Ventes_Encaissements!$C$6:$C$3005,"&gt;="&amp;($C2976-3),Ventes_Encaissements!$C$6:$C$3005,"&lt;="&amp;($C2976+3)))</f>
        <v/>
      </c>
      <c r="I2976" s="12">
        <f>IF($H2976="","",IF($H2976=0,"Non trouvé",IF($H2976=1,"Match","À vérifier")))</f>
        <v/>
      </c>
      <c r="J2976" s="21">
        <f>IF($I2976&lt;&gt;"Match","",INDEX(Ventes_Encaissements!$B$6:$B$3005,_xludf.AGGREGATE(15,6,(ROW(Ventes_Encaissements!$B$6:$B$3005)-ROW(Ventes_Encaissements!$B$6)+1)/((Ventes_Encaissements!$E$6:$E$3005=$B2976)*(Ventes_Encaissements!$J$6:$J$3005=$G2976)*(Ventes_Encaissements!$C$6:$C$3005&gt;=$C2976-3)*(Ventes_Encaissements!$C$6:$C$3005&lt;=$C2976+3)),1)))</f>
        <v/>
      </c>
      <c r="K2976" s="6" t="n"/>
    </row>
    <row r="2977">
      <c r="A2977" s="6" t="n"/>
      <c r="B2977" s="6" t="n"/>
      <c r="C2977" s="19" t="n"/>
      <c r="D2977" s="19" t="n"/>
      <c r="E2977" s="6" t="n"/>
      <c r="F2977" s="20" t="n"/>
      <c r="G2977" s="9">
        <f>IF($F2977="","",IF($F2977&gt;0,ROUND($F2977,2),""))</f>
        <v/>
      </c>
      <c r="H2977" s="12">
        <f>IF(OR($B2977="",$C2977="",$G2977=""),"",COUNTIFS(Ventes_Encaissements!$E$6:$E$3005,$B2977,Ventes_Encaissements!$J$6:$J$3005,$G2977,Ventes_Encaissements!$C$6:$C$3005,"&gt;="&amp;($C2977-3),Ventes_Encaissements!$C$6:$C$3005,"&lt;="&amp;($C2977+3)))</f>
        <v/>
      </c>
      <c r="I2977" s="12">
        <f>IF($H2977="","",IF($H2977=0,"Non trouvé",IF($H2977=1,"Match","À vérifier")))</f>
        <v/>
      </c>
      <c r="J2977" s="21">
        <f>IF($I2977&lt;&gt;"Match","",INDEX(Ventes_Encaissements!$B$6:$B$3005,_xludf.AGGREGATE(15,6,(ROW(Ventes_Encaissements!$B$6:$B$3005)-ROW(Ventes_Encaissements!$B$6)+1)/((Ventes_Encaissements!$E$6:$E$3005=$B2977)*(Ventes_Encaissements!$J$6:$J$3005=$G2977)*(Ventes_Encaissements!$C$6:$C$3005&gt;=$C2977-3)*(Ventes_Encaissements!$C$6:$C$3005&lt;=$C2977+3)),1)))</f>
        <v/>
      </c>
      <c r="K2977" s="6" t="n"/>
    </row>
    <row r="2978">
      <c r="A2978" s="6" t="n"/>
      <c r="B2978" s="6" t="n"/>
      <c r="C2978" s="19" t="n"/>
      <c r="D2978" s="19" t="n"/>
      <c r="E2978" s="6" t="n"/>
      <c r="F2978" s="20" t="n"/>
      <c r="G2978" s="9">
        <f>IF($F2978="","",IF($F2978&gt;0,ROUND($F2978,2),""))</f>
        <v/>
      </c>
      <c r="H2978" s="12">
        <f>IF(OR($B2978="",$C2978="",$G2978=""),"",COUNTIFS(Ventes_Encaissements!$E$6:$E$3005,$B2978,Ventes_Encaissements!$J$6:$J$3005,$G2978,Ventes_Encaissements!$C$6:$C$3005,"&gt;="&amp;($C2978-3),Ventes_Encaissements!$C$6:$C$3005,"&lt;="&amp;($C2978+3)))</f>
        <v/>
      </c>
      <c r="I2978" s="12">
        <f>IF($H2978="","",IF($H2978=0,"Non trouvé",IF($H2978=1,"Match","À vérifier")))</f>
        <v/>
      </c>
      <c r="J2978" s="21">
        <f>IF($I2978&lt;&gt;"Match","",INDEX(Ventes_Encaissements!$B$6:$B$3005,_xludf.AGGREGATE(15,6,(ROW(Ventes_Encaissements!$B$6:$B$3005)-ROW(Ventes_Encaissements!$B$6)+1)/((Ventes_Encaissements!$E$6:$E$3005=$B2978)*(Ventes_Encaissements!$J$6:$J$3005=$G2978)*(Ventes_Encaissements!$C$6:$C$3005&gt;=$C2978-3)*(Ventes_Encaissements!$C$6:$C$3005&lt;=$C2978+3)),1)))</f>
        <v/>
      </c>
      <c r="K2978" s="6" t="n"/>
    </row>
    <row r="2979">
      <c r="A2979" s="6" t="n"/>
      <c r="B2979" s="6" t="n"/>
      <c r="C2979" s="19" t="n"/>
      <c r="D2979" s="19" t="n"/>
      <c r="E2979" s="6" t="n"/>
      <c r="F2979" s="20" t="n"/>
      <c r="G2979" s="9">
        <f>IF($F2979="","",IF($F2979&gt;0,ROUND($F2979,2),""))</f>
        <v/>
      </c>
      <c r="H2979" s="12">
        <f>IF(OR($B2979="",$C2979="",$G2979=""),"",COUNTIFS(Ventes_Encaissements!$E$6:$E$3005,$B2979,Ventes_Encaissements!$J$6:$J$3005,$G2979,Ventes_Encaissements!$C$6:$C$3005,"&gt;="&amp;($C2979-3),Ventes_Encaissements!$C$6:$C$3005,"&lt;="&amp;($C2979+3)))</f>
        <v/>
      </c>
      <c r="I2979" s="12">
        <f>IF($H2979="","",IF($H2979=0,"Non trouvé",IF($H2979=1,"Match","À vérifier")))</f>
        <v/>
      </c>
      <c r="J2979" s="21">
        <f>IF($I2979&lt;&gt;"Match","",INDEX(Ventes_Encaissements!$B$6:$B$3005,_xludf.AGGREGATE(15,6,(ROW(Ventes_Encaissements!$B$6:$B$3005)-ROW(Ventes_Encaissements!$B$6)+1)/((Ventes_Encaissements!$E$6:$E$3005=$B2979)*(Ventes_Encaissements!$J$6:$J$3005=$G2979)*(Ventes_Encaissements!$C$6:$C$3005&gt;=$C2979-3)*(Ventes_Encaissements!$C$6:$C$3005&lt;=$C2979+3)),1)))</f>
        <v/>
      </c>
      <c r="K2979" s="6" t="n"/>
    </row>
    <row r="2980">
      <c r="A2980" s="6" t="n"/>
      <c r="B2980" s="6" t="n"/>
      <c r="C2980" s="19" t="n"/>
      <c r="D2980" s="19" t="n"/>
      <c r="E2980" s="6" t="n"/>
      <c r="F2980" s="20" t="n"/>
      <c r="G2980" s="9">
        <f>IF($F2980="","",IF($F2980&gt;0,ROUND($F2980,2),""))</f>
        <v/>
      </c>
      <c r="H2980" s="12">
        <f>IF(OR($B2980="",$C2980="",$G2980=""),"",COUNTIFS(Ventes_Encaissements!$E$6:$E$3005,$B2980,Ventes_Encaissements!$J$6:$J$3005,$G2980,Ventes_Encaissements!$C$6:$C$3005,"&gt;="&amp;($C2980-3),Ventes_Encaissements!$C$6:$C$3005,"&lt;="&amp;($C2980+3)))</f>
        <v/>
      </c>
      <c r="I2980" s="12">
        <f>IF($H2980="","",IF($H2980=0,"Non trouvé",IF($H2980=1,"Match","À vérifier")))</f>
        <v/>
      </c>
      <c r="J2980" s="21">
        <f>IF($I2980&lt;&gt;"Match","",INDEX(Ventes_Encaissements!$B$6:$B$3005,_xludf.AGGREGATE(15,6,(ROW(Ventes_Encaissements!$B$6:$B$3005)-ROW(Ventes_Encaissements!$B$6)+1)/((Ventes_Encaissements!$E$6:$E$3005=$B2980)*(Ventes_Encaissements!$J$6:$J$3005=$G2980)*(Ventes_Encaissements!$C$6:$C$3005&gt;=$C2980-3)*(Ventes_Encaissements!$C$6:$C$3005&lt;=$C2980+3)),1)))</f>
        <v/>
      </c>
      <c r="K2980" s="6" t="n"/>
    </row>
    <row r="2981">
      <c r="A2981" s="6" t="n"/>
      <c r="B2981" s="6" t="n"/>
      <c r="C2981" s="19" t="n"/>
      <c r="D2981" s="19" t="n"/>
      <c r="E2981" s="6" t="n"/>
      <c r="F2981" s="20" t="n"/>
      <c r="G2981" s="9">
        <f>IF($F2981="","",IF($F2981&gt;0,ROUND($F2981,2),""))</f>
        <v/>
      </c>
      <c r="H2981" s="12">
        <f>IF(OR($B2981="",$C2981="",$G2981=""),"",COUNTIFS(Ventes_Encaissements!$E$6:$E$3005,$B2981,Ventes_Encaissements!$J$6:$J$3005,$G2981,Ventes_Encaissements!$C$6:$C$3005,"&gt;="&amp;($C2981-3),Ventes_Encaissements!$C$6:$C$3005,"&lt;="&amp;($C2981+3)))</f>
        <v/>
      </c>
      <c r="I2981" s="12">
        <f>IF($H2981="","",IF($H2981=0,"Non trouvé",IF($H2981=1,"Match","À vérifier")))</f>
        <v/>
      </c>
      <c r="J2981" s="21">
        <f>IF($I2981&lt;&gt;"Match","",INDEX(Ventes_Encaissements!$B$6:$B$3005,_xludf.AGGREGATE(15,6,(ROW(Ventes_Encaissements!$B$6:$B$3005)-ROW(Ventes_Encaissements!$B$6)+1)/((Ventes_Encaissements!$E$6:$E$3005=$B2981)*(Ventes_Encaissements!$J$6:$J$3005=$G2981)*(Ventes_Encaissements!$C$6:$C$3005&gt;=$C2981-3)*(Ventes_Encaissements!$C$6:$C$3005&lt;=$C2981+3)),1)))</f>
        <v/>
      </c>
      <c r="K2981" s="6" t="n"/>
    </row>
    <row r="2982">
      <c r="A2982" s="6" t="n"/>
      <c r="B2982" s="6" t="n"/>
      <c r="C2982" s="19" t="n"/>
      <c r="D2982" s="19" t="n"/>
      <c r="E2982" s="6" t="n"/>
      <c r="F2982" s="20" t="n"/>
      <c r="G2982" s="9">
        <f>IF($F2982="","",IF($F2982&gt;0,ROUND($F2982,2),""))</f>
        <v/>
      </c>
      <c r="H2982" s="12">
        <f>IF(OR($B2982="",$C2982="",$G2982=""),"",COUNTIFS(Ventes_Encaissements!$E$6:$E$3005,$B2982,Ventes_Encaissements!$J$6:$J$3005,$G2982,Ventes_Encaissements!$C$6:$C$3005,"&gt;="&amp;($C2982-3),Ventes_Encaissements!$C$6:$C$3005,"&lt;="&amp;($C2982+3)))</f>
        <v/>
      </c>
      <c r="I2982" s="12">
        <f>IF($H2982="","",IF($H2982=0,"Non trouvé",IF($H2982=1,"Match","À vérifier")))</f>
        <v/>
      </c>
      <c r="J2982" s="21">
        <f>IF($I2982&lt;&gt;"Match","",INDEX(Ventes_Encaissements!$B$6:$B$3005,_xludf.AGGREGATE(15,6,(ROW(Ventes_Encaissements!$B$6:$B$3005)-ROW(Ventes_Encaissements!$B$6)+1)/((Ventes_Encaissements!$E$6:$E$3005=$B2982)*(Ventes_Encaissements!$J$6:$J$3005=$G2982)*(Ventes_Encaissements!$C$6:$C$3005&gt;=$C2982-3)*(Ventes_Encaissements!$C$6:$C$3005&lt;=$C2982+3)),1)))</f>
        <v/>
      </c>
      <c r="K2982" s="6" t="n"/>
    </row>
    <row r="2983">
      <c r="A2983" s="6" t="n"/>
      <c r="B2983" s="6" t="n"/>
      <c r="C2983" s="19" t="n"/>
      <c r="D2983" s="19" t="n"/>
      <c r="E2983" s="6" t="n"/>
      <c r="F2983" s="20" t="n"/>
      <c r="G2983" s="9">
        <f>IF($F2983="","",IF($F2983&gt;0,ROUND($F2983,2),""))</f>
        <v/>
      </c>
      <c r="H2983" s="12">
        <f>IF(OR($B2983="",$C2983="",$G2983=""),"",COUNTIFS(Ventes_Encaissements!$E$6:$E$3005,$B2983,Ventes_Encaissements!$J$6:$J$3005,$G2983,Ventes_Encaissements!$C$6:$C$3005,"&gt;="&amp;($C2983-3),Ventes_Encaissements!$C$6:$C$3005,"&lt;="&amp;($C2983+3)))</f>
        <v/>
      </c>
      <c r="I2983" s="12">
        <f>IF($H2983="","",IF($H2983=0,"Non trouvé",IF($H2983=1,"Match","À vérifier")))</f>
        <v/>
      </c>
      <c r="J2983" s="21">
        <f>IF($I2983&lt;&gt;"Match","",INDEX(Ventes_Encaissements!$B$6:$B$3005,_xludf.AGGREGATE(15,6,(ROW(Ventes_Encaissements!$B$6:$B$3005)-ROW(Ventes_Encaissements!$B$6)+1)/((Ventes_Encaissements!$E$6:$E$3005=$B2983)*(Ventes_Encaissements!$J$6:$J$3005=$G2983)*(Ventes_Encaissements!$C$6:$C$3005&gt;=$C2983-3)*(Ventes_Encaissements!$C$6:$C$3005&lt;=$C2983+3)),1)))</f>
        <v/>
      </c>
      <c r="K2983" s="6" t="n"/>
    </row>
    <row r="2984">
      <c r="A2984" s="6" t="n"/>
      <c r="B2984" s="6" t="n"/>
      <c r="C2984" s="19" t="n"/>
      <c r="D2984" s="19" t="n"/>
      <c r="E2984" s="6" t="n"/>
      <c r="F2984" s="20" t="n"/>
      <c r="G2984" s="9">
        <f>IF($F2984="","",IF($F2984&gt;0,ROUND($F2984,2),""))</f>
        <v/>
      </c>
      <c r="H2984" s="12">
        <f>IF(OR($B2984="",$C2984="",$G2984=""),"",COUNTIFS(Ventes_Encaissements!$E$6:$E$3005,$B2984,Ventes_Encaissements!$J$6:$J$3005,$G2984,Ventes_Encaissements!$C$6:$C$3005,"&gt;="&amp;($C2984-3),Ventes_Encaissements!$C$6:$C$3005,"&lt;="&amp;($C2984+3)))</f>
        <v/>
      </c>
      <c r="I2984" s="12">
        <f>IF($H2984="","",IF($H2984=0,"Non trouvé",IF($H2984=1,"Match","À vérifier")))</f>
        <v/>
      </c>
      <c r="J2984" s="21">
        <f>IF($I2984&lt;&gt;"Match","",INDEX(Ventes_Encaissements!$B$6:$B$3005,_xludf.AGGREGATE(15,6,(ROW(Ventes_Encaissements!$B$6:$B$3005)-ROW(Ventes_Encaissements!$B$6)+1)/((Ventes_Encaissements!$E$6:$E$3005=$B2984)*(Ventes_Encaissements!$J$6:$J$3005=$G2984)*(Ventes_Encaissements!$C$6:$C$3005&gt;=$C2984-3)*(Ventes_Encaissements!$C$6:$C$3005&lt;=$C2984+3)),1)))</f>
        <v/>
      </c>
      <c r="K2984" s="6" t="n"/>
    </row>
    <row r="2985">
      <c r="A2985" s="6" t="n"/>
      <c r="B2985" s="6" t="n"/>
      <c r="C2985" s="19" t="n"/>
      <c r="D2985" s="19" t="n"/>
      <c r="E2985" s="6" t="n"/>
      <c r="F2985" s="20" t="n"/>
      <c r="G2985" s="9">
        <f>IF($F2985="","",IF($F2985&gt;0,ROUND($F2985,2),""))</f>
        <v/>
      </c>
      <c r="H2985" s="12">
        <f>IF(OR($B2985="",$C2985="",$G2985=""),"",COUNTIFS(Ventes_Encaissements!$E$6:$E$3005,$B2985,Ventes_Encaissements!$J$6:$J$3005,$G2985,Ventes_Encaissements!$C$6:$C$3005,"&gt;="&amp;($C2985-3),Ventes_Encaissements!$C$6:$C$3005,"&lt;="&amp;($C2985+3)))</f>
        <v/>
      </c>
      <c r="I2985" s="12">
        <f>IF($H2985="","",IF($H2985=0,"Non trouvé",IF($H2985=1,"Match","À vérifier")))</f>
        <v/>
      </c>
      <c r="J2985" s="21">
        <f>IF($I2985&lt;&gt;"Match","",INDEX(Ventes_Encaissements!$B$6:$B$3005,_xludf.AGGREGATE(15,6,(ROW(Ventes_Encaissements!$B$6:$B$3005)-ROW(Ventes_Encaissements!$B$6)+1)/((Ventes_Encaissements!$E$6:$E$3005=$B2985)*(Ventes_Encaissements!$J$6:$J$3005=$G2985)*(Ventes_Encaissements!$C$6:$C$3005&gt;=$C2985-3)*(Ventes_Encaissements!$C$6:$C$3005&lt;=$C2985+3)),1)))</f>
        <v/>
      </c>
      <c r="K2985" s="6" t="n"/>
    </row>
    <row r="2986">
      <c r="A2986" s="6" t="n"/>
      <c r="B2986" s="6" t="n"/>
      <c r="C2986" s="19" t="n"/>
      <c r="D2986" s="19" t="n"/>
      <c r="E2986" s="6" t="n"/>
      <c r="F2986" s="20" t="n"/>
      <c r="G2986" s="9">
        <f>IF($F2986="","",IF($F2986&gt;0,ROUND($F2986,2),""))</f>
        <v/>
      </c>
      <c r="H2986" s="12">
        <f>IF(OR($B2986="",$C2986="",$G2986=""),"",COUNTIFS(Ventes_Encaissements!$E$6:$E$3005,$B2986,Ventes_Encaissements!$J$6:$J$3005,$G2986,Ventes_Encaissements!$C$6:$C$3005,"&gt;="&amp;($C2986-3),Ventes_Encaissements!$C$6:$C$3005,"&lt;="&amp;($C2986+3)))</f>
        <v/>
      </c>
      <c r="I2986" s="12">
        <f>IF($H2986="","",IF($H2986=0,"Non trouvé",IF($H2986=1,"Match","À vérifier")))</f>
        <v/>
      </c>
      <c r="J2986" s="21">
        <f>IF($I2986&lt;&gt;"Match","",INDEX(Ventes_Encaissements!$B$6:$B$3005,_xludf.AGGREGATE(15,6,(ROW(Ventes_Encaissements!$B$6:$B$3005)-ROW(Ventes_Encaissements!$B$6)+1)/((Ventes_Encaissements!$E$6:$E$3005=$B2986)*(Ventes_Encaissements!$J$6:$J$3005=$G2986)*(Ventes_Encaissements!$C$6:$C$3005&gt;=$C2986-3)*(Ventes_Encaissements!$C$6:$C$3005&lt;=$C2986+3)),1)))</f>
        <v/>
      </c>
      <c r="K2986" s="6" t="n"/>
    </row>
    <row r="2987">
      <c r="A2987" s="6" t="n"/>
      <c r="B2987" s="6" t="n"/>
      <c r="C2987" s="19" t="n"/>
      <c r="D2987" s="19" t="n"/>
      <c r="E2987" s="6" t="n"/>
      <c r="F2987" s="20" t="n"/>
      <c r="G2987" s="9">
        <f>IF($F2987="","",IF($F2987&gt;0,ROUND($F2987,2),""))</f>
        <v/>
      </c>
      <c r="H2987" s="12">
        <f>IF(OR($B2987="",$C2987="",$G2987=""),"",COUNTIFS(Ventes_Encaissements!$E$6:$E$3005,$B2987,Ventes_Encaissements!$J$6:$J$3005,$G2987,Ventes_Encaissements!$C$6:$C$3005,"&gt;="&amp;($C2987-3),Ventes_Encaissements!$C$6:$C$3005,"&lt;="&amp;($C2987+3)))</f>
        <v/>
      </c>
      <c r="I2987" s="12">
        <f>IF($H2987="","",IF($H2987=0,"Non trouvé",IF($H2987=1,"Match","À vérifier")))</f>
        <v/>
      </c>
      <c r="J2987" s="21">
        <f>IF($I2987&lt;&gt;"Match","",INDEX(Ventes_Encaissements!$B$6:$B$3005,_xludf.AGGREGATE(15,6,(ROW(Ventes_Encaissements!$B$6:$B$3005)-ROW(Ventes_Encaissements!$B$6)+1)/((Ventes_Encaissements!$E$6:$E$3005=$B2987)*(Ventes_Encaissements!$J$6:$J$3005=$G2987)*(Ventes_Encaissements!$C$6:$C$3005&gt;=$C2987-3)*(Ventes_Encaissements!$C$6:$C$3005&lt;=$C2987+3)),1)))</f>
        <v/>
      </c>
      <c r="K2987" s="6" t="n"/>
    </row>
    <row r="2988">
      <c r="A2988" s="6" t="n"/>
      <c r="B2988" s="6" t="n"/>
      <c r="C2988" s="19" t="n"/>
      <c r="D2988" s="19" t="n"/>
      <c r="E2988" s="6" t="n"/>
      <c r="F2988" s="20" t="n"/>
      <c r="G2988" s="9">
        <f>IF($F2988="","",IF($F2988&gt;0,ROUND($F2988,2),""))</f>
        <v/>
      </c>
      <c r="H2988" s="12">
        <f>IF(OR($B2988="",$C2988="",$G2988=""),"",COUNTIFS(Ventes_Encaissements!$E$6:$E$3005,$B2988,Ventes_Encaissements!$J$6:$J$3005,$G2988,Ventes_Encaissements!$C$6:$C$3005,"&gt;="&amp;($C2988-3),Ventes_Encaissements!$C$6:$C$3005,"&lt;="&amp;($C2988+3)))</f>
        <v/>
      </c>
      <c r="I2988" s="12">
        <f>IF($H2988="","",IF($H2988=0,"Non trouvé",IF($H2988=1,"Match","À vérifier")))</f>
        <v/>
      </c>
      <c r="J2988" s="21">
        <f>IF($I2988&lt;&gt;"Match","",INDEX(Ventes_Encaissements!$B$6:$B$3005,_xludf.AGGREGATE(15,6,(ROW(Ventes_Encaissements!$B$6:$B$3005)-ROW(Ventes_Encaissements!$B$6)+1)/((Ventes_Encaissements!$E$6:$E$3005=$B2988)*(Ventes_Encaissements!$J$6:$J$3005=$G2988)*(Ventes_Encaissements!$C$6:$C$3005&gt;=$C2988-3)*(Ventes_Encaissements!$C$6:$C$3005&lt;=$C2988+3)),1)))</f>
        <v/>
      </c>
      <c r="K2988" s="6" t="n"/>
    </row>
    <row r="2989">
      <c r="A2989" s="6" t="n"/>
      <c r="B2989" s="6" t="n"/>
      <c r="C2989" s="19" t="n"/>
      <c r="D2989" s="19" t="n"/>
      <c r="E2989" s="6" t="n"/>
      <c r="F2989" s="20" t="n"/>
      <c r="G2989" s="9">
        <f>IF($F2989="","",IF($F2989&gt;0,ROUND($F2989,2),""))</f>
        <v/>
      </c>
      <c r="H2989" s="12">
        <f>IF(OR($B2989="",$C2989="",$G2989=""),"",COUNTIFS(Ventes_Encaissements!$E$6:$E$3005,$B2989,Ventes_Encaissements!$J$6:$J$3005,$G2989,Ventes_Encaissements!$C$6:$C$3005,"&gt;="&amp;($C2989-3),Ventes_Encaissements!$C$6:$C$3005,"&lt;="&amp;($C2989+3)))</f>
        <v/>
      </c>
      <c r="I2989" s="12">
        <f>IF($H2989="","",IF($H2989=0,"Non trouvé",IF($H2989=1,"Match","À vérifier")))</f>
        <v/>
      </c>
      <c r="J2989" s="21">
        <f>IF($I2989&lt;&gt;"Match","",INDEX(Ventes_Encaissements!$B$6:$B$3005,_xludf.AGGREGATE(15,6,(ROW(Ventes_Encaissements!$B$6:$B$3005)-ROW(Ventes_Encaissements!$B$6)+1)/((Ventes_Encaissements!$E$6:$E$3005=$B2989)*(Ventes_Encaissements!$J$6:$J$3005=$G2989)*(Ventes_Encaissements!$C$6:$C$3005&gt;=$C2989-3)*(Ventes_Encaissements!$C$6:$C$3005&lt;=$C2989+3)),1)))</f>
        <v/>
      </c>
      <c r="K2989" s="6" t="n"/>
    </row>
    <row r="2990">
      <c r="A2990" s="6" t="n"/>
      <c r="B2990" s="6" t="n"/>
      <c r="C2990" s="19" t="n"/>
      <c r="D2990" s="19" t="n"/>
      <c r="E2990" s="6" t="n"/>
      <c r="F2990" s="20" t="n"/>
      <c r="G2990" s="9">
        <f>IF($F2990="","",IF($F2990&gt;0,ROUND($F2990,2),""))</f>
        <v/>
      </c>
      <c r="H2990" s="12">
        <f>IF(OR($B2990="",$C2990="",$G2990=""),"",COUNTIFS(Ventes_Encaissements!$E$6:$E$3005,$B2990,Ventes_Encaissements!$J$6:$J$3005,$G2990,Ventes_Encaissements!$C$6:$C$3005,"&gt;="&amp;($C2990-3),Ventes_Encaissements!$C$6:$C$3005,"&lt;="&amp;($C2990+3)))</f>
        <v/>
      </c>
      <c r="I2990" s="12">
        <f>IF($H2990="","",IF($H2990=0,"Non trouvé",IF($H2990=1,"Match","À vérifier")))</f>
        <v/>
      </c>
      <c r="J2990" s="21">
        <f>IF($I2990&lt;&gt;"Match","",INDEX(Ventes_Encaissements!$B$6:$B$3005,_xludf.AGGREGATE(15,6,(ROW(Ventes_Encaissements!$B$6:$B$3005)-ROW(Ventes_Encaissements!$B$6)+1)/((Ventes_Encaissements!$E$6:$E$3005=$B2990)*(Ventes_Encaissements!$J$6:$J$3005=$G2990)*(Ventes_Encaissements!$C$6:$C$3005&gt;=$C2990-3)*(Ventes_Encaissements!$C$6:$C$3005&lt;=$C2990+3)),1)))</f>
        <v/>
      </c>
      <c r="K2990" s="6" t="n"/>
    </row>
    <row r="2991">
      <c r="A2991" s="6" t="n"/>
      <c r="B2991" s="6" t="n"/>
      <c r="C2991" s="19" t="n"/>
      <c r="D2991" s="19" t="n"/>
      <c r="E2991" s="6" t="n"/>
      <c r="F2991" s="20" t="n"/>
      <c r="G2991" s="9">
        <f>IF($F2991="","",IF($F2991&gt;0,ROUND($F2991,2),""))</f>
        <v/>
      </c>
      <c r="H2991" s="12">
        <f>IF(OR($B2991="",$C2991="",$G2991=""),"",COUNTIFS(Ventes_Encaissements!$E$6:$E$3005,$B2991,Ventes_Encaissements!$J$6:$J$3005,$G2991,Ventes_Encaissements!$C$6:$C$3005,"&gt;="&amp;($C2991-3),Ventes_Encaissements!$C$6:$C$3005,"&lt;="&amp;($C2991+3)))</f>
        <v/>
      </c>
      <c r="I2991" s="12">
        <f>IF($H2991="","",IF($H2991=0,"Non trouvé",IF($H2991=1,"Match","À vérifier")))</f>
        <v/>
      </c>
      <c r="J2991" s="21">
        <f>IF($I2991&lt;&gt;"Match","",INDEX(Ventes_Encaissements!$B$6:$B$3005,_xludf.AGGREGATE(15,6,(ROW(Ventes_Encaissements!$B$6:$B$3005)-ROW(Ventes_Encaissements!$B$6)+1)/((Ventes_Encaissements!$E$6:$E$3005=$B2991)*(Ventes_Encaissements!$J$6:$J$3005=$G2991)*(Ventes_Encaissements!$C$6:$C$3005&gt;=$C2991-3)*(Ventes_Encaissements!$C$6:$C$3005&lt;=$C2991+3)),1)))</f>
        <v/>
      </c>
      <c r="K2991" s="6" t="n"/>
    </row>
    <row r="2992">
      <c r="A2992" s="6" t="n"/>
      <c r="B2992" s="6" t="n"/>
      <c r="C2992" s="19" t="n"/>
      <c r="D2992" s="19" t="n"/>
      <c r="E2992" s="6" t="n"/>
      <c r="F2992" s="20" t="n"/>
      <c r="G2992" s="9">
        <f>IF($F2992="","",IF($F2992&gt;0,ROUND($F2992,2),""))</f>
        <v/>
      </c>
      <c r="H2992" s="12">
        <f>IF(OR($B2992="",$C2992="",$G2992=""),"",COUNTIFS(Ventes_Encaissements!$E$6:$E$3005,$B2992,Ventes_Encaissements!$J$6:$J$3005,$G2992,Ventes_Encaissements!$C$6:$C$3005,"&gt;="&amp;($C2992-3),Ventes_Encaissements!$C$6:$C$3005,"&lt;="&amp;($C2992+3)))</f>
        <v/>
      </c>
      <c r="I2992" s="12">
        <f>IF($H2992="","",IF($H2992=0,"Non trouvé",IF($H2992=1,"Match","À vérifier")))</f>
        <v/>
      </c>
      <c r="J2992" s="21">
        <f>IF($I2992&lt;&gt;"Match","",INDEX(Ventes_Encaissements!$B$6:$B$3005,_xludf.AGGREGATE(15,6,(ROW(Ventes_Encaissements!$B$6:$B$3005)-ROW(Ventes_Encaissements!$B$6)+1)/((Ventes_Encaissements!$E$6:$E$3005=$B2992)*(Ventes_Encaissements!$J$6:$J$3005=$G2992)*(Ventes_Encaissements!$C$6:$C$3005&gt;=$C2992-3)*(Ventes_Encaissements!$C$6:$C$3005&lt;=$C2992+3)),1)))</f>
        <v/>
      </c>
      <c r="K2992" s="6" t="n"/>
    </row>
    <row r="2993">
      <c r="A2993" s="6" t="n"/>
      <c r="B2993" s="6" t="n"/>
      <c r="C2993" s="19" t="n"/>
      <c r="D2993" s="19" t="n"/>
      <c r="E2993" s="6" t="n"/>
      <c r="F2993" s="20" t="n"/>
      <c r="G2993" s="9">
        <f>IF($F2993="","",IF($F2993&gt;0,ROUND($F2993,2),""))</f>
        <v/>
      </c>
      <c r="H2993" s="12">
        <f>IF(OR($B2993="",$C2993="",$G2993=""),"",COUNTIFS(Ventes_Encaissements!$E$6:$E$3005,$B2993,Ventes_Encaissements!$J$6:$J$3005,$G2993,Ventes_Encaissements!$C$6:$C$3005,"&gt;="&amp;($C2993-3),Ventes_Encaissements!$C$6:$C$3005,"&lt;="&amp;($C2993+3)))</f>
        <v/>
      </c>
      <c r="I2993" s="12">
        <f>IF($H2993="","",IF($H2993=0,"Non trouvé",IF($H2993=1,"Match","À vérifier")))</f>
        <v/>
      </c>
      <c r="J2993" s="21">
        <f>IF($I2993&lt;&gt;"Match","",INDEX(Ventes_Encaissements!$B$6:$B$3005,_xludf.AGGREGATE(15,6,(ROW(Ventes_Encaissements!$B$6:$B$3005)-ROW(Ventes_Encaissements!$B$6)+1)/((Ventes_Encaissements!$E$6:$E$3005=$B2993)*(Ventes_Encaissements!$J$6:$J$3005=$G2993)*(Ventes_Encaissements!$C$6:$C$3005&gt;=$C2993-3)*(Ventes_Encaissements!$C$6:$C$3005&lt;=$C2993+3)),1)))</f>
        <v/>
      </c>
      <c r="K2993" s="6" t="n"/>
    </row>
    <row r="2994">
      <c r="A2994" s="6" t="n"/>
      <c r="B2994" s="6" t="n"/>
      <c r="C2994" s="19" t="n"/>
      <c r="D2994" s="19" t="n"/>
      <c r="E2994" s="6" t="n"/>
      <c r="F2994" s="20" t="n"/>
      <c r="G2994" s="9">
        <f>IF($F2994="","",IF($F2994&gt;0,ROUND($F2994,2),""))</f>
        <v/>
      </c>
      <c r="H2994" s="12">
        <f>IF(OR($B2994="",$C2994="",$G2994=""),"",COUNTIFS(Ventes_Encaissements!$E$6:$E$3005,$B2994,Ventes_Encaissements!$J$6:$J$3005,$G2994,Ventes_Encaissements!$C$6:$C$3005,"&gt;="&amp;($C2994-3),Ventes_Encaissements!$C$6:$C$3005,"&lt;="&amp;($C2994+3)))</f>
        <v/>
      </c>
      <c r="I2994" s="12">
        <f>IF($H2994="","",IF($H2994=0,"Non trouvé",IF($H2994=1,"Match","À vérifier")))</f>
        <v/>
      </c>
      <c r="J2994" s="21">
        <f>IF($I2994&lt;&gt;"Match","",INDEX(Ventes_Encaissements!$B$6:$B$3005,_xludf.AGGREGATE(15,6,(ROW(Ventes_Encaissements!$B$6:$B$3005)-ROW(Ventes_Encaissements!$B$6)+1)/((Ventes_Encaissements!$E$6:$E$3005=$B2994)*(Ventes_Encaissements!$J$6:$J$3005=$G2994)*(Ventes_Encaissements!$C$6:$C$3005&gt;=$C2994-3)*(Ventes_Encaissements!$C$6:$C$3005&lt;=$C2994+3)),1)))</f>
        <v/>
      </c>
      <c r="K2994" s="6" t="n"/>
    </row>
    <row r="2995">
      <c r="A2995" s="6" t="n"/>
      <c r="B2995" s="6" t="n"/>
      <c r="C2995" s="19" t="n"/>
      <c r="D2995" s="19" t="n"/>
      <c r="E2995" s="6" t="n"/>
      <c r="F2995" s="20" t="n"/>
      <c r="G2995" s="9">
        <f>IF($F2995="","",IF($F2995&gt;0,ROUND($F2995,2),""))</f>
        <v/>
      </c>
      <c r="H2995" s="12">
        <f>IF(OR($B2995="",$C2995="",$G2995=""),"",COUNTIFS(Ventes_Encaissements!$E$6:$E$3005,$B2995,Ventes_Encaissements!$J$6:$J$3005,$G2995,Ventes_Encaissements!$C$6:$C$3005,"&gt;="&amp;($C2995-3),Ventes_Encaissements!$C$6:$C$3005,"&lt;="&amp;($C2995+3)))</f>
        <v/>
      </c>
      <c r="I2995" s="12">
        <f>IF($H2995="","",IF($H2995=0,"Non trouvé",IF($H2995=1,"Match","À vérifier")))</f>
        <v/>
      </c>
      <c r="J2995" s="21">
        <f>IF($I2995&lt;&gt;"Match","",INDEX(Ventes_Encaissements!$B$6:$B$3005,_xludf.AGGREGATE(15,6,(ROW(Ventes_Encaissements!$B$6:$B$3005)-ROW(Ventes_Encaissements!$B$6)+1)/((Ventes_Encaissements!$E$6:$E$3005=$B2995)*(Ventes_Encaissements!$J$6:$J$3005=$G2995)*(Ventes_Encaissements!$C$6:$C$3005&gt;=$C2995-3)*(Ventes_Encaissements!$C$6:$C$3005&lt;=$C2995+3)),1)))</f>
        <v/>
      </c>
      <c r="K2995" s="6" t="n"/>
    </row>
    <row r="2996">
      <c r="A2996" s="6" t="n"/>
      <c r="B2996" s="6" t="n"/>
      <c r="C2996" s="19" t="n"/>
      <c r="D2996" s="19" t="n"/>
      <c r="E2996" s="6" t="n"/>
      <c r="F2996" s="20" t="n"/>
      <c r="G2996" s="9">
        <f>IF($F2996="","",IF($F2996&gt;0,ROUND($F2996,2),""))</f>
        <v/>
      </c>
      <c r="H2996" s="12">
        <f>IF(OR($B2996="",$C2996="",$G2996=""),"",COUNTIFS(Ventes_Encaissements!$E$6:$E$3005,$B2996,Ventes_Encaissements!$J$6:$J$3005,$G2996,Ventes_Encaissements!$C$6:$C$3005,"&gt;="&amp;($C2996-3),Ventes_Encaissements!$C$6:$C$3005,"&lt;="&amp;($C2996+3)))</f>
        <v/>
      </c>
      <c r="I2996" s="12">
        <f>IF($H2996="","",IF($H2996=0,"Non trouvé",IF($H2996=1,"Match","À vérifier")))</f>
        <v/>
      </c>
      <c r="J2996" s="21">
        <f>IF($I2996&lt;&gt;"Match","",INDEX(Ventes_Encaissements!$B$6:$B$3005,_xludf.AGGREGATE(15,6,(ROW(Ventes_Encaissements!$B$6:$B$3005)-ROW(Ventes_Encaissements!$B$6)+1)/((Ventes_Encaissements!$E$6:$E$3005=$B2996)*(Ventes_Encaissements!$J$6:$J$3005=$G2996)*(Ventes_Encaissements!$C$6:$C$3005&gt;=$C2996-3)*(Ventes_Encaissements!$C$6:$C$3005&lt;=$C2996+3)),1)))</f>
        <v/>
      </c>
      <c r="K2996" s="6" t="n"/>
    </row>
    <row r="2997">
      <c r="A2997" s="6" t="n"/>
      <c r="B2997" s="6" t="n"/>
      <c r="C2997" s="19" t="n"/>
      <c r="D2997" s="19" t="n"/>
      <c r="E2997" s="6" t="n"/>
      <c r="F2997" s="20" t="n"/>
      <c r="G2997" s="9">
        <f>IF($F2997="","",IF($F2997&gt;0,ROUND($F2997,2),""))</f>
        <v/>
      </c>
      <c r="H2997" s="12">
        <f>IF(OR($B2997="",$C2997="",$G2997=""),"",COUNTIFS(Ventes_Encaissements!$E$6:$E$3005,$B2997,Ventes_Encaissements!$J$6:$J$3005,$G2997,Ventes_Encaissements!$C$6:$C$3005,"&gt;="&amp;($C2997-3),Ventes_Encaissements!$C$6:$C$3005,"&lt;="&amp;($C2997+3)))</f>
        <v/>
      </c>
      <c r="I2997" s="12">
        <f>IF($H2997="","",IF($H2997=0,"Non trouvé",IF($H2997=1,"Match","À vérifier")))</f>
        <v/>
      </c>
      <c r="J2997" s="21">
        <f>IF($I2997&lt;&gt;"Match","",INDEX(Ventes_Encaissements!$B$6:$B$3005,_xludf.AGGREGATE(15,6,(ROW(Ventes_Encaissements!$B$6:$B$3005)-ROW(Ventes_Encaissements!$B$6)+1)/((Ventes_Encaissements!$E$6:$E$3005=$B2997)*(Ventes_Encaissements!$J$6:$J$3005=$G2997)*(Ventes_Encaissements!$C$6:$C$3005&gt;=$C2997-3)*(Ventes_Encaissements!$C$6:$C$3005&lt;=$C2997+3)),1)))</f>
        <v/>
      </c>
      <c r="K2997" s="6" t="n"/>
    </row>
    <row r="2998">
      <c r="A2998" s="6" t="n"/>
      <c r="B2998" s="6" t="n"/>
      <c r="C2998" s="19" t="n"/>
      <c r="D2998" s="19" t="n"/>
      <c r="E2998" s="6" t="n"/>
      <c r="F2998" s="20" t="n"/>
      <c r="G2998" s="9">
        <f>IF($F2998="","",IF($F2998&gt;0,ROUND($F2998,2),""))</f>
        <v/>
      </c>
      <c r="H2998" s="12">
        <f>IF(OR($B2998="",$C2998="",$G2998=""),"",COUNTIFS(Ventes_Encaissements!$E$6:$E$3005,$B2998,Ventes_Encaissements!$J$6:$J$3005,$G2998,Ventes_Encaissements!$C$6:$C$3005,"&gt;="&amp;($C2998-3),Ventes_Encaissements!$C$6:$C$3005,"&lt;="&amp;($C2998+3)))</f>
        <v/>
      </c>
      <c r="I2998" s="12">
        <f>IF($H2998="","",IF($H2998=0,"Non trouvé",IF($H2998=1,"Match","À vérifier")))</f>
        <v/>
      </c>
      <c r="J2998" s="21">
        <f>IF($I2998&lt;&gt;"Match","",INDEX(Ventes_Encaissements!$B$6:$B$3005,_xludf.AGGREGATE(15,6,(ROW(Ventes_Encaissements!$B$6:$B$3005)-ROW(Ventes_Encaissements!$B$6)+1)/((Ventes_Encaissements!$E$6:$E$3005=$B2998)*(Ventes_Encaissements!$J$6:$J$3005=$G2998)*(Ventes_Encaissements!$C$6:$C$3005&gt;=$C2998-3)*(Ventes_Encaissements!$C$6:$C$3005&lt;=$C2998+3)),1)))</f>
        <v/>
      </c>
      <c r="K2998" s="6" t="n"/>
    </row>
    <row r="2999">
      <c r="A2999" s="6" t="n"/>
      <c r="B2999" s="6" t="n"/>
      <c r="C2999" s="19" t="n"/>
      <c r="D2999" s="19" t="n"/>
      <c r="E2999" s="6" t="n"/>
      <c r="F2999" s="20" t="n"/>
      <c r="G2999" s="9">
        <f>IF($F2999="","",IF($F2999&gt;0,ROUND($F2999,2),""))</f>
        <v/>
      </c>
      <c r="H2999" s="12">
        <f>IF(OR($B2999="",$C2999="",$G2999=""),"",COUNTIFS(Ventes_Encaissements!$E$6:$E$3005,$B2999,Ventes_Encaissements!$J$6:$J$3005,$G2999,Ventes_Encaissements!$C$6:$C$3005,"&gt;="&amp;($C2999-3),Ventes_Encaissements!$C$6:$C$3005,"&lt;="&amp;($C2999+3)))</f>
        <v/>
      </c>
      <c r="I2999" s="12">
        <f>IF($H2999="","",IF($H2999=0,"Non trouvé",IF($H2999=1,"Match","À vérifier")))</f>
        <v/>
      </c>
      <c r="J2999" s="21">
        <f>IF($I2999&lt;&gt;"Match","",INDEX(Ventes_Encaissements!$B$6:$B$3005,_xludf.AGGREGATE(15,6,(ROW(Ventes_Encaissements!$B$6:$B$3005)-ROW(Ventes_Encaissements!$B$6)+1)/((Ventes_Encaissements!$E$6:$E$3005=$B2999)*(Ventes_Encaissements!$J$6:$J$3005=$G2999)*(Ventes_Encaissements!$C$6:$C$3005&gt;=$C2999-3)*(Ventes_Encaissements!$C$6:$C$3005&lt;=$C2999+3)),1)))</f>
        <v/>
      </c>
      <c r="K2999" s="6" t="n"/>
    </row>
    <row r="3000">
      <c r="A3000" s="6" t="n"/>
      <c r="B3000" s="6" t="n"/>
      <c r="C3000" s="19" t="n"/>
      <c r="D3000" s="19" t="n"/>
      <c r="E3000" s="6" t="n"/>
      <c r="F3000" s="20" t="n"/>
      <c r="G3000" s="9">
        <f>IF($F3000="","",IF($F3000&gt;0,ROUND($F3000,2),""))</f>
        <v/>
      </c>
      <c r="H3000" s="12">
        <f>IF(OR($B3000="",$C3000="",$G3000=""),"",COUNTIFS(Ventes_Encaissements!$E$6:$E$3005,$B3000,Ventes_Encaissements!$J$6:$J$3005,$G3000,Ventes_Encaissements!$C$6:$C$3005,"&gt;="&amp;($C3000-3),Ventes_Encaissements!$C$6:$C$3005,"&lt;="&amp;($C3000+3)))</f>
        <v/>
      </c>
      <c r="I3000" s="12">
        <f>IF($H3000="","",IF($H3000=0,"Non trouvé",IF($H3000=1,"Match","À vérifier")))</f>
        <v/>
      </c>
      <c r="J3000" s="21">
        <f>IF($I3000&lt;&gt;"Match","",INDEX(Ventes_Encaissements!$B$6:$B$3005,_xludf.AGGREGATE(15,6,(ROW(Ventes_Encaissements!$B$6:$B$3005)-ROW(Ventes_Encaissements!$B$6)+1)/((Ventes_Encaissements!$E$6:$E$3005=$B3000)*(Ventes_Encaissements!$J$6:$J$3005=$G3000)*(Ventes_Encaissements!$C$6:$C$3005&gt;=$C3000-3)*(Ventes_Encaissements!$C$6:$C$3005&lt;=$C3000+3)),1)))</f>
        <v/>
      </c>
      <c r="K3000" s="6" t="n"/>
    </row>
    <row r="3001">
      <c r="A3001" s="6" t="n"/>
      <c r="B3001" s="6" t="n"/>
      <c r="C3001" s="19" t="n"/>
      <c r="D3001" s="19" t="n"/>
      <c r="E3001" s="6" t="n"/>
      <c r="F3001" s="20" t="n"/>
      <c r="G3001" s="9">
        <f>IF($F3001="","",IF($F3001&gt;0,ROUND($F3001,2),""))</f>
        <v/>
      </c>
      <c r="H3001" s="12">
        <f>IF(OR($B3001="",$C3001="",$G3001=""),"",COUNTIFS(Ventes_Encaissements!$E$6:$E$3005,$B3001,Ventes_Encaissements!$J$6:$J$3005,$G3001,Ventes_Encaissements!$C$6:$C$3005,"&gt;="&amp;($C3001-3),Ventes_Encaissements!$C$6:$C$3005,"&lt;="&amp;($C3001+3)))</f>
        <v/>
      </c>
      <c r="I3001" s="12">
        <f>IF($H3001="","",IF($H3001=0,"Non trouvé",IF($H3001=1,"Match","À vérifier")))</f>
        <v/>
      </c>
      <c r="J3001" s="21">
        <f>IF($I3001&lt;&gt;"Match","",INDEX(Ventes_Encaissements!$B$6:$B$3005,_xludf.AGGREGATE(15,6,(ROW(Ventes_Encaissements!$B$6:$B$3005)-ROW(Ventes_Encaissements!$B$6)+1)/((Ventes_Encaissements!$E$6:$E$3005=$B3001)*(Ventes_Encaissements!$J$6:$J$3005=$G3001)*(Ventes_Encaissements!$C$6:$C$3005&gt;=$C3001-3)*(Ventes_Encaissements!$C$6:$C$3005&lt;=$C3001+3)),1)))</f>
        <v/>
      </c>
      <c r="K3001" s="6" t="n"/>
    </row>
    <row r="3002">
      <c r="A3002" s="6" t="n"/>
      <c r="B3002" s="6" t="n"/>
      <c r="C3002" s="19" t="n"/>
      <c r="D3002" s="19" t="n"/>
      <c r="E3002" s="6" t="n"/>
      <c r="F3002" s="20" t="n"/>
      <c r="G3002" s="9">
        <f>IF($F3002="","",IF($F3002&gt;0,ROUND($F3002,2),""))</f>
        <v/>
      </c>
      <c r="H3002" s="12">
        <f>IF(OR($B3002="",$C3002="",$G3002=""),"",COUNTIFS(Ventes_Encaissements!$E$6:$E$3005,$B3002,Ventes_Encaissements!$J$6:$J$3005,$G3002,Ventes_Encaissements!$C$6:$C$3005,"&gt;="&amp;($C3002-3),Ventes_Encaissements!$C$6:$C$3005,"&lt;="&amp;($C3002+3)))</f>
        <v/>
      </c>
      <c r="I3002" s="12">
        <f>IF($H3002="","",IF($H3002=0,"Non trouvé",IF($H3002=1,"Match","À vérifier")))</f>
        <v/>
      </c>
      <c r="J3002" s="21">
        <f>IF($I3002&lt;&gt;"Match","",INDEX(Ventes_Encaissements!$B$6:$B$3005,_xludf.AGGREGATE(15,6,(ROW(Ventes_Encaissements!$B$6:$B$3005)-ROW(Ventes_Encaissements!$B$6)+1)/((Ventes_Encaissements!$E$6:$E$3005=$B3002)*(Ventes_Encaissements!$J$6:$J$3005=$G3002)*(Ventes_Encaissements!$C$6:$C$3005&gt;=$C3002-3)*(Ventes_Encaissements!$C$6:$C$3005&lt;=$C3002+3)),1)))</f>
        <v/>
      </c>
      <c r="K3002" s="6" t="n"/>
    </row>
    <row r="3003">
      <c r="A3003" s="6" t="n"/>
      <c r="B3003" s="6" t="n"/>
      <c r="C3003" s="19" t="n"/>
      <c r="D3003" s="19" t="n"/>
      <c r="E3003" s="6" t="n"/>
      <c r="F3003" s="20" t="n"/>
      <c r="G3003" s="9">
        <f>IF($F3003="","",IF($F3003&gt;0,ROUND($F3003,2),""))</f>
        <v/>
      </c>
      <c r="H3003" s="12">
        <f>IF(OR($B3003="",$C3003="",$G3003=""),"",COUNTIFS(Ventes_Encaissements!$E$6:$E$3005,$B3003,Ventes_Encaissements!$J$6:$J$3005,$G3003,Ventes_Encaissements!$C$6:$C$3005,"&gt;="&amp;($C3003-3),Ventes_Encaissements!$C$6:$C$3005,"&lt;="&amp;($C3003+3)))</f>
        <v/>
      </c>
      <c r="I3003" s="12">
        <f>IF($H3003="","",IF($H3003=0,"Non trouvé",IF($H3003=1,"Match","À vérifier")))</f>
        <v/>
      </c>
      <c r="J3003" s="21">
        <f>IF($I3003&lt;&gt;"Match","",INDEX(Ventes_Encaissements!$B$6:$B$3005,_xludf.AGGREGATE(15,6,(ROW(Ventes_Encaissements!$B$6:$B$3005)-ROW(Ventes_Encaissements!$B$6)+1)/((Ventes_Encaissements!$E$6:$E$3005=$B3003)*(Ventes_Encaissements!$J$6:$J$3005=$G3003)*(Ventes_Encaissements!$C$6:$C$3005&gt;=$C3003-3)*(Ventes_Encaissements!$C$6:$C$3005&lt;=$C3003+3)),1)))</f>
        <v/>
      </c>
      <c r="K3003" s="6" t="n"/>
    </row>
    <row r="3004">
      <c r="A3004" s="6" t="n"/>
      <c r="B3004" s="6" t="n"/>
      <c r="C3004" s="19" t="n"/>
      <c r="D3004" s="19" t="n"/>
      <c r="E3004" s="6" t="n"/>
      <c r="F3004" s="20" t="n"/>
      <c r="G3004" s="9">
        <f>IF($F3004="","",IF($F3004&gt;0,ROUND($F3004,2),""))</f>
        <v/>
      </c>
      <c r="H3004" s="12">
        <f>IF(OR($B3004="",$C3004="",$G3004=""),"",COUNTIFS(Ventes_Encaissements!$E$6:$E$3005,$B3004,Ventes_Encaissements!$J$6:$J$3005,$G3004,Ventes_Encaissements!$C$6:$C$3005,"&gt;="&amp;($C3004-3),Ventes_Encaissements!$C$6:$C$3005,"&lt;="&amp;($C3004+3)))</f>
        <v/>
      </c>
      <c r="I3004" s="12">
        <f>IF($H3004="","",IF($H3004=0,"Non trouvé",IF($H3004=1,"Match","À vérifier")))</f>
        <v/>
      </c>
      <c r="J3004" s="21">
        <f>IF($I3004&lt;&gt;"Match","",INDEX(Ventes_Encaissements!$B$6:$B$3005,_xludf.AGGREGATE(15,6,(ROW(Ventes_Encaissements!$B$6:$B$3005)-ROW(Ventes_Encaissements!$B$6)+1)/((Ventes_Encaissements!$E$6:$E$3005=$B3004)*(Ventes_Encaissements!$J$6:$J$3005=$G3004)*(Ventes_Encaissements!$C$6:$C$3005&gt;=$C3004-3)*(Ventes_Encaissements!$C$6:$C$3005&lt;=$C3004+3)),1)))</f>
        <v/>
      </c>
      <c r="K3004" s="6" t="n"/>
    </row>
    <row r="3005">
      <c r="A3005" s="6" t="n"/>
      <c r="B3005" s="6" t="n"/>
      <c r="C3005" s="19" t="n"/>
      <c r="D3005" s="19" t="n"/>
      <c r="E3005" s="6" t="n"/>
      <c r="F3005" s="20" t="n"/>
      <c r="G3005" s="9">
        <f>IF($F3005="","",IF($F3005&gt;0,ROUND($F3005,2),""))</f>
        <v/>
      </c>
      <c r="H3005" s="12">
        <f>IF(OR($B3005="",$C3005="",$G3005=""),"",COUNTIFS(Ventes_Encaissements!$E$6:$E$3005,$B3005,Ventes_Encaissements!$J$6:$J$3005,$G3005,Ventes_Encaissements!$C$6:$C$3005,"&gt;="&amp;($C3005-3),Ventes_Encaissements!$C$6:$C$3005,"&lt;="&amp;($C3005+3)))</f>
        <v/>
      </c>
      <c r="I3005" s="12">
        <f>IF($H3005="","",IF($H3005=0,"Non trouvé",IF($H3005=1,"Match","À vérifier")))</f>
        <v/>
      </c>
      <c r="J3005" s="21">
        <f>IF($I3005&lt;&gt;"Match","",INDEX(Ventes_Encaissements!$B$6:$B$3005,_xludf.AGGREGATE(15,6,(ROW(Ventes_Encaissements!$B$6:$B$3005)-ROW(Ventes_Encaissements!$B$6)+1)/((Ventes_Encaissements!$E$6:$E$3005=$B3005)*(Ventes_Encaissements!$J$6:$J$3005=$G3005)*(Ventes_Encaissements!$C$6:$C$3005&gt;=$C3005-3)*(Ventes_Encaissements!$C$6:$C$3005&lt;=$C3005+3)),1)))</f>
        <v/>
      </c>
      <c r="K3005" s="6" t="n"/>
    </row>
  </sheetData>
  <autoFilter ref="A5:N5"/>
  <mergeCells count="3">
    <mergeCell ref="A2:K2"/>
    <mergeCell ref="A1:K1"/>
    <mergeCell ref="A3:K3"/>
  </mergeCells>
  <conditionalFormatting sqref="A6:K3005">
    <cfRule type="expression" priority="1" dxfId="1">
      <formula>MOD(ROW()-6,2)=0</formula>
    </cfRule>
    <cfRule type="expression" priority="2" dxfId="0">
      <formula>$I6="Non trouvé"</formula>
    </cfRule>
    <cfRule type="expression" priority="3" dxfId="2">
      <formula>$I6="À vérifier"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05"/>
  <sheetViews>
    <sheetView showGridLines="0" workbookViewId="0">
      <pane ySplit="5" topLeftCell="A6" activePane="bottomLeft" state="frozen"/>
      <selection pane="bottomLeft" activeCell="A1" sqref="A1:F1"/>
    </sheetView>
  </sheetViews>
  <sheetFormatPr baseColWidth="10" defaultColWidth="9.140625" defaultRowHeight="15"/>
  <cols>
    <col width="15" customWidth="1" style="24" min="1" max="2"/>
    <col width="25" customWidth="1" style="24" min="3" max="4"/>
    <col width="15" customWidth="1" style="24" min="5" max="5"/>
    <col width="40" customWidth="1" style="24" min="6" max="6"/>
  </cols>
  <sheetData>
    <row r="1" ht="21" customHeight="1" s="24">
      <c r="A1" s="23" t="inlineStr">
        <is>
          <t>Échéancier de vente — Détail stagiaires</t>
        </is>
      </c>
    </row>
    <row r="2">
      <c r="A2" s="26" t="inlineStr">
        <is>
          <t>B2C : 1 ligne / facture. B2B : plusieurs lignes / facture.</t>
        </is>
      </c>
    </row>
    <row r="3">
      <c r="A3" s="25" t="inlineStr">
        <is>
          <t>Astuce : filtrer par N° facture pour retrouver la liste des stagiaires.</t>
        </is>
      </c>
    </row>
    <row r="5" ht="30" customHeight="1" s="24">
      <c r="A5" s="22" t="inlineStr">
        <is>
          <t>ID Détail</t>
        </is>
      </c>
      <c r="B5" s="22" t="inlineStr">
        <is>
          <t>N° Facture</t>
        </is>
      </c>
      <c r="C5" s="22" t="inlineStr">
        <is>
          <t>Stagiaire</t>
        </is>
      </c>
      <c r="D5" s="22" t="inlineStr">
        <is>
          <t>Session</t>
        </is>
      </c>
      <c r="E5" s="22" t="inlineStr">
        <is>
          <t>Montant imputé (€)</t>
        </is>
      </c>
      <c r="F5" s="22" t="inlineStr">
        <is>
          <t>Commentaire</t>
        </is>
      </c>
    </row>
    <row r="6">
      <c r="A6" s="6" t="n"/>
      <c r="B6" s="6" t="n"/>
      <c r="C6" s="6" t="n"/>
      <c r="D6" s="6" t="n"/>
      <c r="E6" s="8" t="n"/>
      <c r="F6" s="6" t="n"/>
    </row>
    <row r="7">
      <c r="A7" s="6" t="n"/>
      <c r="B7" s="6" t="n"/>
      <c r="C7" s="6" t="n"/>
      <c r="D7" s="6" t="n"/>
      <c r="E7" s="8" t="n"/>
      <c r="F7" s="6" t="n"/>
    </row>
    <row r="8">
      <c r="A8" s="6" t="n"/>
      <c r="B8" s="6" t="n"/>
      <c r="C8" s="6" t="n"/>
      <c r="D8" s="6" t="n"/>
      <c r="E8" s="8" t="n"/>
      <c r="F8" s="6" t="n"/>
    </row>
    <row r="9">
      <c r="A9" s="6" t="n"/>
      <c r="B9" s="6" t="n"/>
      <c r="C9" s="6" t="n"/>
      <c r="D9" s="6" t="n"/>
      <c r="E9" s="8" t="n"/>
      <c r="F9" s="6" t="n"/>
    </row>
    <row r="10">
      <c r="A10" s="6" t="n"/>
      <c r="B10" s="6" t="n"/>
      <c r="C10" s="6" t="n"/>
      <c r="D10" s="6" t="n"/>
      <c r="E10" s="8" t="n"/>
      <c r="F10" s="6" t="n"/>
    </row>
    <row r="11">
      <c r="A11" s="6" t="n"/>
      <c r="B11" s="6" t="n"/>
      <c r="C11" s="6" t="n"/>
      <c r="D11" s="6" t="n"/>
      <c r="E11" s="8" t="n"/>
      <c r="F11" s="6" t="n"/>
    </row>
    <row r="12">
      <c r="A12" s="6" t="n"/>
      <c r="B12" s="6" t="n"/>
      <c r="C12" s="6" t="n"/>
      <c r="D12" s="6" t="n"/>
      <c r="E12" s="8" t="n"/>
      <c r="F12" s="6" t="n"/>
    </row>
    <row r="13">
      <c r="A13" s="6" t="n"/>
      <c r="B13" s="6" t="n"/>
      <c r="C13" s="6" t="n"/>
      <c r="D13" s="6" t="n"/>
      <c r="E13" s="8" t="n"/>
      <c r="F13" s="6" t="n"/>
    </row>
    <row r="14">
      <c r="A14" s="6" t="n"/>
      <c r="B14" s="6" t="n"/>
      <c r="C14" s="6" t="n"/>
      <c r="D14" s="6" t="n"/>
      <c r="E14" s="8" t="n"/>
      <c r="F14" s="6" t="n"/>
    </row>
    <row r="15">
      <c r="A15" s="6" t="n"/>
      <c r="B15" s="6" t="n"/>
      <c r="C15" s="6" t="n"/>
      <c r="D15" s="6" t="n"/>
      <c r="E15" s="8" t="n"/>
      <c r="F15" s="6" t="n"/>
    </row>
    <row r="16">
      <c r="A16" s="6" t="n"/>
      <c r="B16" s="6" t="n"/>
      <c r="C16" s="6" t="n"/>
      <c r="D16" s="6" t="n"/>
      <c r="E16" s="8" t="n"/>
      <c r="F16" s="6" t="n"/>
    </row>
    <row r="17">
      <c r="A17" s="6" t="n"/>
      <c r="B17" s="6" t="n"/>
      <c r="C17" s="6" t="n"/>
      <c r="D17" s="6" t="n"/>
      <c r="E17" s="8" t="n"/>
      <c r="F17" s="6" t="n"/>
    </row>
    <row r="18">
      <c r="A18" s="6" t="n"/>
      <c r="B18" s="6" t="n"/>
      <c r="C18" s="6" t="n"/>
      <c r="D18" s="6" t="n"/>
      <c r="E18" s="8" t="n"/>
      <c r="F18" s="6" t="n"/>
    </row>
    <row r="19">
      <c r="A19" s="6" t="n"/>
      <c r="B19" s="6" t="n"/>
      <c r="C19" s="6" t="n"/>
      <c r="D19" s="6" t="n"/>
      <c r="E19" s="8" t="n"/>
      <c r="F19" s="6" t="n"/>
    </row>
    <row r="20">
      <c r="A20" s="6" t="n"/>
      <c r="B20" s="6" t="n"/>
      <c r="C20" s="6" t="n"/>
      <c r="D20" s="6" t="n"/>
      <c r="E20" s="8" t="n"/>
      <c r="F20" s="6" t="n"/>
    </row>
    <row r="21">
      <c r="A21" s="6" t="n"/>
      <c r="B21" s="6" t="n"/>
      <c r="C21" s="6" t="n"/>
      <c r="D21" s="6" t="n"/>
      <c r="E21" s="8" t="n"/>
      <c r="F21" s="6" t="n"/>
    </row>
    <row r="22">
      <c r="A22" s="6" t="n"/>
      <c r="B22" s="6" t="n"/>
      <c r="C22" s="6" t="n"/>
      <c r="D22" s="6" t="n"/>
      <c r="E22" s="8" t="n"/>
      <c r="F22" s="6" t="n"/>
    </row>
    <row r="23">
      <c r="A23" s="6" t="n"/>
      <c r="B23" s="6" t="n"/>
      <c r="C23" s="6" t="n"/>
      <c r="D23" s="6" t="n"/>
      <c r="E23" s="8" t="n"/>
      <c r="F23" s="6" t="n"/>
    </row>
    <row r="24">
      <c r="A24" s="6" t="n"/>
      <c r="B24" s="6" t="n"/>
      <c r="C24" s="6" t="n"/>
      <c r="D24" s="6" t="n"/>
      <c r="E24" s="8" t="n"/>
      <c r="F24" s="6" t="n"/>
    </row>
    <row r="25">
      <c r="A25" s="6" t="n"/>
      <c r="B25" s="6" t="n"/>
      <c r="C25" s="6" t="n"/>
      <c r="D25" s="6" t="n"/>
      <c r="E25" s="8" t="n"/>
      <c r="F25" s="6" t="n"/>
    </row>
    <row r="26">
      <c r="A26" s="6" t="n"/>
      <c r="B26" s="6" t="n"/>
      <c r="C26" s="6" t="n"/>
      <c r="D26" s="6" t="n"/>
      <c r="E26" s="8" t="n"/>
      <c r="F26" s="6" t="n"/>
    </row>
    <row r="27">
      <c r="A27" s="6" t="n"/>
      <c r="B27" s="6" t="n"/>
      <c r="C27" s="6" t="n"/>
      <c r="D27" s="6" t="n"/>
      <c r="E27" s="8" t="n"/>
      <c r="F27" s="6" t="n"/>
    </row>
    <row r="28">
      <c r="A28" s="6" t="n"/>
      <c r="B28" s="6" t="n"/>
      <c r="C28" s="6" t="n"/>
      <c r="D28" s="6" t="n"/>
      <c r="E28" s="8" t="n"/>
      <c r="F28" s="6" t="n"/>
    </row>
    <row r="29">
      <c r="A29" s="6" t="n"/>
      <c r="B29" s="6" t="n"/>
      <c r="C29" s="6" t="n"/>
      <c r="D29" s="6" t="n"/>
      <c r="E29" s="8" t="n"/>
      <c r="F29" s="6" t="n"/>
    </row>
    <row r="30">
      <c r="A30" s="6" t="n"/>
      <c r="B30" s="6" t="n"/>
      <c r="C30" s="6" t="n"/>
      <c r="D30" s="6" t="n"/>
      <c r="E30" s="8" t="n"/>
      <c r="F30" s="6" t="n"/>
    </row>
    <row r="31">
      <c r="A31" s="6" t="n"/>
      <c r="B31" s="6" t="n"/>
      <c r="C31" s="6" t="n"/>
      <c r="D31" s="6" t="n"/>
      <c r="E31" s="8" t="n"/>
      <c r="F31" s="6" t="n"/>
    </row>
    <row r="32">
      <c r="A32" s="6" t="n"/>
      <c r="B32" s="6" t="n"/>
      <c r="C32" s="6" t="n"/>
      <c r="D32" s="6" t="n"/>
      <c r="E32" s="8" t="n"/>
      <c r="F32" s="6" t="n"/>
    </row>
    <row r="33">
      <c r="A33" s="6" t="n"/>
      <c r="B33" s="6" t="n"/>
      <c r="C33" s="6" t="n"/>
      <c r="D33" s="6" t="n"/>
      <c r="E33" s="8" t="n"/>
      <c r="F33" s="6" t="n"/>
    </row>
    <row r="34">
      <c r="A34" s="6" t="n"/>
      <c r="B34" s="6" t="n"/>
      <c r="C34" s="6" t="n"/>
      <c r="D34" s="6" t="n"/>
      <c r="E34" s="8" t="n"/>
      <c r="F34" s="6" t="n"/>
    </row>
    <row r="35">
      <c r="A35" s="6" t="n"/>
      <c r="B35" s="6" t="n"/>
      <c r="C35" s="6" t="n"/>
      <c r="D35" s="6" t="n"/>
      <c r="E35" s="8" t="n"/>
      <c r="F35" s="6" t="n"/>
    </row>
    <row r="36">
      <c r="A36" s="6" t="n"/>
      <c r="B36" s="6" t="n"/>
      <c r="C36" s="6" t="n"/>
      <c r="D36" s="6" t="n"/>
      <c r="E36" s="8" t="n"/>
      <c r="F36" s="6" t="n"/>
    </row>
    <row r="37">
      <c r="A37" s="6" t="n"/>
      <c r="B37" s="6" t="n"/>
      <c r="C37" s="6" t="n"/>
      <c r="D37" s="6" t="n"/>
      <c r="E37" s="8" t="n"/>
      <c r="F37" s="6" t="n"/>
    </row>
    <row r="38">
      <c r="A38" s="6" t="n"/>
      <c r="B38" s="6" t="n"/>
      <c r="C38" s="6" t="n"/>
      <c r="D38" s="6" t="n"/>
      <c r="E38" s="8" t="n"/>
      <c r="F38" s="6" t="n"/>
    </row>
    <row r="39">
      <c r="A39" s="6" t="n"/>
      <c r="B39" s="6" t="n"/>
      <c r="C39" s="6" t="n"/>
      <c r="D39" s="6" t="n"/>
      <c r="E39" s="8" t="n"/>
      <c r="F39" s="6" t="n"/>
    </row>
    <row r="40">
      <c r="A40" s="6" t="n"/>
      <c r="B40" s="6" t="n"/>
      <c r="C40" s="6" t="n"/>
      <c r="D40" s="6" t="n"/>
      <c r="E40" s="8" t="n"/>
      <c r="F40" s="6" t="n"/>
    </row>
    <row r="41">
      <c r="A41" s="6" t="n"/>
      <c r="B41" s="6" t="n"/>
      <c r="C41" s="6" t="n"/>
      <c r="D41" s="6" t="n"/>
      <c r="E41" s="8" t="n"/>
      <c r="F41" s="6" t="n"/>
    </row>
    <row r="42">
      <c r="A42" s="6" t="n"/>
      <c r="B42" s="6" t="n"/>
      <c r="C42" s="6" t="n"/>
      <c r="D42" s="6" t="n"/>
      <c r="E42" s="8" t="n"/>
      <c r="F42" s="6" t="n"/>
    </row>
    <row r="43">
      <c r="A43" s="6" t="n"/>
      <c r="B43" s="6" t="n"/>
      <c r="C43" s="6" t="n"/>
      <c r="D43" s="6" t="n"/>
      <c r="E43" s="8" t="n"/>
      <c r="F43" s="6" t="n"/>
    </row>
    <row r="44">
      <c r="A44" s="6" t="n"/>
      <c r="B44" s="6" t="n"/>
      <c r="C44" s="6" t="n"/>
      <c r="D44" s="6" t="n"/>
      <c r="E44" s="8" t="n"/>
      <c r="F44" s="6" t="n"/>
    </row>
    <row r="45">
      <c r="A45" s="6" t="n"/>
      <c r="B45" s="6" t="n"/>
      <c r="C45" s="6" t="n"/>
      <c r="D45" s="6" t="n"/>
      <c r="E45" s="8" t="n"/>
      <c r="F45" s="6" t="n"/>
    </row>
    <row r="46">
      <c r="A46" s="6" t="n"/>
      <c r="B46" s="6" t="n"/>
      <c r="C46" s="6" t="n"/>
      <c r="D46" s="6" t="n"/>
      <c r="E46" s="8" t="n"/>
      <c r="F46" s="6" t="n"/>
    </row>
    <row r="47">
      <c r="A47" s="6" t="n"/>
      <c r="B47" s="6" t="n"/>
      <c r="C47" s="6" t="n"/>
      <c r="D47" s="6" t="n"/>
      <c r="E47" s="8" t="n"/>
      <c r="F47" s="6" t="n"/>
    </row>
    <row r="48">
      <c r="A48" s="6" t="n"/>
      <c r="B48" s="6" t="n"/>
      <c r="C48" s="6" t="n"/>
      <c r="D48" s="6" t="n"/>
      <c r="E48" s="8" t="n"/>
      <c r="F48" s="6" t="n"/>
    </row>
    <row r="49">
      <c r="A49" s="6" t="n"/>
      <c r="B49" s="6" t="n"/>
      <c r="C49" s="6" t="n"/>
      <c r="D49" s="6" t="n"/>
      <c r="E49" s="8" t="n"/>
      <c r="F49" s="6" t="n"/>
    </row>
    <row r="50">
      <c r="A50" s="6" t="n"/>
      <c r="B50" s="6" t="n"/>
      <c r="C50" s="6" t="n"/>
      <c r="D50" s="6" t="n"/>
      <c r="E50" s="8" t="n"/>
      <c r="F50" s="6" t="n"/>
    </row>
    <row r="51">
      <c r="A51" s="6" t="n"/>
      <c r="B51" s="6" t="n"/>
      <c r="C51" s="6" t="n"/>
      <c r="D51" s="6" t="n"/>
      <c r="E51" s="8" t="n"/>
      <c r="F51" s="6" t="n"/>
    </row>
    <row r="52">
      <c r="A52" s="6" t="n"/>
      <c r="B52" s="6" t="n"/>
      <c r="C52" s="6" t="n"/>
      <c r="D52" s="6" t="n"/>
      <c r="E52" s="8" t="n"/>
      <c r="F52" s="6" t="n"/>
    </row>
    <row r="53">
      <c r="A53" s="6" t="n"/>
      <c r="B53" s="6" t="n"/>
      <c r="C53" s="6" t="n"/>
      <c r="D53" s="6" t="n"/>
      <c r="E53" s="8" t="n"/>
      <c r="F53" s="6" t="n"/>
    </row>
    <row r="54">
      <c r="A54" s="6" t="n"/>
      <c r="B54" s="6" t="n"/>
      <c r="C54" s="6" t="n"/>
      <c r="D54" s="6" t="n"/>
      <c r="E54" s="8" t="n"/>
      <c r="F54" s="6" t="n"/>
    </row>
    <row r="55">
      <c r="A55" s="6" t="n"/>
      <c r="B55" s="6" t="n"/>
      <c r="C55" s="6" t="n"/>
      <c r="D55" s="6" t="n"/>
      <c r="E55" s="8" t="n"/>
      <c r="F55" s="6" t="n"/>
    </row>
    <row r="56">
      <c r="A56" s="6" t="n"/>
      <c r="B56" s="6" t="n"/>
      <c r="C56" s="6" t="n"/>
      <c r="D56" s="6" t="n"/>
      <c r="E56" s="8" t="n"/>
      <c r="F56" s="6" t="n"/>
    </row>
    <row r="57">
      <c r="A57" s="6" t="n"/>
      <c r="B57" s="6" t="n"/>
      <c r="C57" s="6" t="n"/>
      <c r="D57" s="6" t="n"/>
      <c r="E57" s="8" t="n"/>
      <c r="F57" s="6" t="n"/>
    </row>
    <row r="58">
      <c r="A58" s="6" t="n"/>
      <c r="B58" s="6" t="n"/>
      <c r="C58" s="6" t="n"/>
      <c r="D58" s="6" t="n"/>
      <c r="E58" s="8" t="n"/>
      <c r="F58" s="6" t="n"/>
    </row>
    <row r="59">
      <c r="A59" s="6" t="n"/>
      <c r="B59" s="6" t="n"/>
      <c r="C59" s="6" t="n"/>
      <c r="D59" s="6" t="n"/>
      <c r="E59" s="8" t="n"/>
      <c r="F59" s="6" t="n"/>
    </row>
    <row r="60">
      <c r="A60" s="6" t="n"/>
      <c r="B60" s="6" t="n"/>
      <c r="C60" s="6" t="n"/>
      <c r="D60" s="6" t="n"/>
      <c r="E60" s="8" t="n"/>
      <c r="F60" s="6" t="n"/>
    </row>
    <row r="61">
      <c r="A61" s="6" t="n"/>
      <c r="B61" s="6" t="n"/>
      <c r="C61" s="6" t="n"/>
      <c r="D61" s="6" t="n"/>
      <c r="E61" s="8" t="n"/>
      <c r="F61" s="6" t="n"/>
    </row>
    <row r="62">
      <c r="A62" s="6" t="n"/>
      <c r="B62" s="6" t="n"/>
      <c r="C62" s="6" t="n"/>
      <c r="D62" s="6" t="n"/>
      <c r="E62" s="8" t="n"/>
      <c r="F62" s="6" t="n"/>
    </row>
    <row r="63">
      <c r="A63" s="6" t="n"/>
      <c r="B63" s="6" t="n"/>
      <c r="C63" s="6" t="n"/>
      <c r="D63" s="6" t="n"/>
      <c r="E63" s="8" t="n"/>
      <c r="F63" s="6" t="n"/>
    </row>
    <row r="64">
      <c r="A64" s="6" t="n"/>
      <c r="B64" s="6" t="n"/>
      <c r="C64" s="6" t="n"/>
      <c r="D64" s="6" t="n"/>
      <c r="E64" s="8" t="n"/>
      <c r="F64" s="6" t="n"/>
    </row>
    <row r="65">
      <c r="A65" s="6" t="n"/>
      <c r="B65" s="6" t="n"/>
      <c r="C65" s="6" t="n"/>
      <c r="D65" s="6" t="n"/>
      <c r="E65" s="8" t="n"/>
      <c r="F65" s="6" t="n"/>
    </row>
    <row r="66">
      <c r="A66" s="6" t="n"/>
      <c r="B66" s="6" t="n"/>
      <c r="C66" s="6" t="n"/>
      <c r="D66" s="6" t="n"/>
      <c r="E66" s="8" t="n"/>
      <c r="F66" s="6" t="n"/>
    </row>
    <row r="67">
      <c r="A67" s="6" t="n"/>
      <c r="B67" s="6" t="n"/>
      <c r="C67" s="6" t="n"/>
      <c r="D67" s="6" t="n"/>
      <c r="E67" s="8" t="n"/>
      <c r="F67" s="6" t="n"/>
    </row>
    <row r="68">
      <c r="A68" s="6" t="n"/>
      <c r="B68" s="6" t="n"/>
      <c r="C68" s="6" t="n"/>
      <c r="D68" s="6" t="n"/>
      <c r="E68" s="8" t="n"/>
      <c r="F68" s="6" t="n"/>
    </row>
    <row r="69">
      <c r="A69" s="6" t="n"/>
      <c r="B69" s="6" t="n"/>
      <c r="C69" s="6" t="n"/>
      <c r="D69" s="6" t="n"/>
      <c r="E69" s="8" t="n"/>
      <c r="F69" s="6" t="n"/>
    </row>
    <row r="70">
      <c r="A70" s="6" t="n"/>
      <c r="B70" s="6" t="n"/>
      <c r="C70" s="6" t="n"/>
      <c r="D70" s="6" t="n"/>
      <c r="E70" s="8" t="n"/>
      <c r="F70" s="6" t="n"/>
    </row>
    <row r="71">
      <c r="A71" s="6" t="n"/>
      <c r="B71" s="6" t="n"/>
      <c r="C71" s="6" t="n"/>
      <c r="D71" s="6" t="n"/>
      <c r="E71" s="8" t="n"/>
      <c r="F71" s="6" t="n"/>
    </row>
    <row r="72">
      <c r="A72" s="6" t="n"/>
      <c r="B72" s="6" t="n"/>
      <c r="C72" s="6" t="n"/>
      <c r="D72" s="6" t="n"/>
      <c r="E72" s="8" t="n"/>
      <c r="F72" s="6" t="n"/>
    </row>
    <row r="73">
      <c r="A73" s="6" t="n"/>
      <c r="B73" s="6" t="n"/>
      <c r="C73" s="6" t="n"/>
      <c r="D73" s="6" t="n"/>
      <c r="E73" s="8" t="n"/>
      <c r="F73" s="6" t="n"/>
    </row>
    <row r="74">
      <c r="A74" s="6" t="n"/>
      <c r="B74" s="6" t="n"/>
      <c r="C74" s="6" t="n"/>
      <c r="D74" s="6" t="n"/>
      <c r="E74" s="8" t="n"/>
      <c r="F74" s="6" t="n"/>
    </row>
    <row r="75">
      <c r="A75" s="6" t="n"/>
      <c r="B75" s="6" t="n"/>
      <c r="C75" s="6" t="n"/>
      <c r="D75" s="6" t="n"/>
      <c r="E75" s="8" t="n"/>
      <c r="F75" s="6" t="n"/>
    </row>
    <row r="76">
      <c r="A76" s="6" t="n"/>
      <c r="B76" s="6" t="n"/>
      <c r="C76" s="6" t="n"/>
      <c r="D76" s="6" t="n"/>
      <c r="E76" s="8" t="n"/>
      <c r="F76" s="6" t="n"/>
    </row>
    <row r="77">
      <c r="A77" s="6" t="n"/>
      <c r="B77" s="6" t="n"/>
      <c r="C77" s="6" t="n"/>
      <c r="D77" s="6" t="n"/>
      <c r="E77" s="8" t="n"/>
      <c r="F77" s="6" t="n"/>
    </row>
    <row r="78">
      <c r="A78" s="6" t="n"/>
      <c r="B78" s="6" t="n"/>
      <c r="C78" s="6" t="n"/>
      <c r="D78" s="6" t="n"/>
      <c r="E78" s="8" t="n"/>
      <c r="F78" s="6" t="n"/>
    </row>
    <row r="79">
      <c r="A79" s="6" t="n"/>
      <c r="B79" s="6" t="n"/>
      <c r="C79" s="6" t="n"/>
      <c r="D79" s="6" t="n"/>
      <c r="E79" s="8" t="n"/>
      <c r="F79" s="6" t="n"/>
    </row>
    <row r="80">
      <c r="A80" s="6" t="n"/>
      <c r="B80" s="6" t="n"/>
      <c r="C80" s="6" t="n"/>
      <c r="D80" s="6" t="n"/>
      <c r="E80" s="8" t="n"/>
      <c r="F80" s="6" t="n"/>
    </row>
    <row r="81">
      <c r="A81" s="6" t="n"/>
      <c r="B81" s="6" t="n"/>
      <c r="C81" s="6" t="n"/>
      <c r="D81" s="6" t="n"/>
      <c r="E81" s="8" t="n"/>
      <c r="F81" s="6" t="n"/>
    </row>
    <row r="82">
      <c r="A82" s="6" t="n"/>
      <c r="B82" s="6" t="n"/>
      <c r="C82" s="6" t="n"/>
      <c r="D82" s="6" t="n"/>
      <c r="E82" s="8" t="n"/>
      <c r="F82" s="6" t="n"/>
    </row>
    <row r="83">
      <c r="A83" s="6" t="n"/>
      <c r="B83" s="6" t="n"/>
      <c r="C83" s="6" t="n"/>
      <c r="D83" s="6" t="n"/>
      <c r="E83" s="8" t="n"/>
      <c r="F83" s="6" t="n"/>
    </row>
    <row r="84">
      <c r="A84" s="6" t="n"/>
      <c r="B84" s="6" t="n"/>
      <c r="C84" s="6" t="n"/>
      <c r="D84" s="6" t="n"/>
      <c r="E84" s="8" t="n"/>
      <c r="F84" s="6" t="n"/>
    </row>
    <row r="85">
      <c r="A85" s="6" t="n"/>
      <c r="B85" s="6" t="n"/>
      <c r="C85" s="6" t="n"/>
      <c r="D85" s="6" t="n"/>
      <c r="E85" s="8" t="n"/>
      <c r="F85" s="6" t="n"/>
    </row>
    <row r="86">
      <c r="A86" s="6" t="n"/>
      <c r="B86" s="6" t="n"/>
      <c r="C86" s="6" t="n"/>
      <c r="D86" s="6" t="n"/>
      <c r="E86" s="8" t="n"/>
      <c r="F86" s="6" t="n"/>
    </row>
    <row r="87">
      <c r="A87" s="6" t="n"/>
      <c r="B87" s="6" t="n"/>
      <c r="C87" s="6" t="n"/>
      <c r="D87" s="6" t="n"/>
      <c r="E87" s="8" t="n"/>
      <c r="F87" s="6" t="n"/>
    </row>
    <row r="88">
      <c r="A88" s="6" t="n"/>
      <c r="B88" s="6" t="n"/>
      <c r="C88" s="6" t="n"/>
      <c r="D88" s="6" t="n"/>
      <c r="E88" s="8" t="n"/>
      <c r="F88" s="6" t="n"/>
    </row>
    <row r="89">
      <c r="A89" s="6" t="n"/>
      <c r="B89" s="6" t="n"/>
      <c r="C89" s="6" t="n"/>
      <c r="D89" s="6" t="n"/>
      <c r="E89" s="8" t="n"/>
      <c r="F89" s="6" t="n"/>
    </row>
    <row r="90">
      <c r="A90" s="6" t="n"/>
      <c r="B90" s="6" t="n"/>
      <c r="C90" s="6" t="n"/>
      <c r="D90" s="6" t="n"/>
      <c r="E90" s="8" t="n"/>
      <c r="F90" s="6" t="n"/>
    </row>
    <row r="91">
      <c r="A91" s="6" t="n"/>
      <c r="B91" s="6" t="n"/>
      <c r="C91" s="6" t="n"/>
      <c r="D91" s="6" t="n"/>
      <c r="E91" s="8" t="n"/>
      <c r="F91" s="6" t="n"/>
    </row>
    <row r="92">
      <c r="A92" s="6" t="n"/>
      <c r="B92" s="6" t="n"/>
      <c r="C92" s="6" t="n"/>
      <c r="D92" s="6" t="n"/>
      <c r="E92" s="8" t="n"/>
      <c r="F92" s="6" t="n"/>
    </row>
    <row r="93">
      <c r="A93" s="6" t="n"/>
      <c r="B93" s="6" t="n"/>
      <c r="C93" s="6" t="n"/>
      <c r="D93" s="6" t="n"/>
      <c r="E93" s="8" t="n"/>
      <c r="F93" s="6" t="n"/>
    </row>
    <row r="94">
      <c r="A94" s="6" t="n"/>
      <c r="B94" s="6" t="n"/>
      <c r="C94" s="6" t="n"/>
      <c r="D94" s="6" t="n"/>
      <c r="E94" s="8" t="n"/>
      <c r="F94" s="6" t="n"/>
    </row>
    <row r="95">
      <c r="A95" s="6" t="n"/>
      <c r="B95" s="6" t="n"/>
      <c r="C95" s="6" t="n"/>
      <c r="D95" s="6" t="n"/>
      <c r="E95" s="8" t="n"/>
      <c r="F95" s="6" t="n"/>
    </row>
    <row r="96">
      <c r="A96" s="6" t="n"/>
      <c r="B96" s="6" t="n"/>
      <c r="C96" s="6" t="n"/>
      <c r="D96" s="6" t="n"/>
      <c r="E96" s="8" t="n"/>
      <c r="F96" s="6" t="n"/>
    </row>
    <row r="97">
      <c r="A97" s="6" t="n"/>
      <c r="B97" s="6" t="n"/>
      <c r="C97" s="6" t="n"/>
      <c r="D97" s="6" t="n"/>
      <c r="E97" s="8" t="n"/>
      <c r="F97" s="6" t="n"/>
    </row>
    <row r="98">
      <c r="A98" s="6" t="n"/>
      <c r="B98" s="6" t="n"/>
      <c r="C98" s="6" t="n"/>
      <c r="D98" s="6" t="n"/>
      <c r="E98" s="8" t="n"/>
      <c r="F98" s="6" t="n"/>
    </row>
    <row r="99">
      <c r="A99" s="6" t="n"/>
      <c r="B99" s="6" t="n"/>
      <c r="C99" s="6" t="n"/>
      <c r="D99" s="6" t="n"/>
      <c r="E99" s="8" t="n"/>
      <c r="F99" s="6" t="n"/>
    </row>
    <row r="100">
      <c r="A100" s="6" t="n"/>
      <c r="B100" s="6" t="n"/>
      <c r="C100" s="6" t="n"/>
      <c r="D100" s="6" t="n"/>
      <c r="E100" s="8" t="n"/>
      <c r="F100" s="6" t="n"/>
    </row>
    <row r="101">
      <c r="A101" s="6" t="n"/>
      <c r="B101" s="6" t="n"/>
      <c r="C101" s="6" t="n"/>
      <c r="D101" s="6" t="n"/>
      <c r="E101" s="8" t="n"/>
      <c r="F101" s="6" t="n"/>
    </row>
    <row r="102">
      <c r="A102" s="6" t="n"/>
      <c r="B102" s="6" t="n"/>
      <c r="C102" s="6" t="n"/>
      <c r="D102" s="6" t="n"/>
      <c r="E102" s="8" t="n"/>
      <c r="F102" s="6" t="n"/>
    </row>
    <row r="103">
      <c r="A103" s="6" t="n"/>
      <c r="B103" s="6" t="n"/>
      <c r="C103" s="6" t="n"/>
      <c r="D103" s="6" t="n"/>
      <c r="E103" s="8" t="n"/>
      <c r="F103" s="6" t="n"/>
    </row>
    <row r="104">
      <c r="A104" s="6" t="n"/>
      <c r="B104" s="6" t="n"/>
      <c r="C104" s="6" t="n"/>
      <c r="D104" s="6" t="n"/>
      <c r="E104" s="8" t="n"/>
      <c r="F104" s="6" t="n"/>
    </row>
    <row r="105">
      <c r="A105" s="6" t="n"/>
      <c r="B105" s="6" t="n"/>
      <c r="C105" s="6" t="n"/>
      <c r="D105" s="6" t="n"/>
      <c r="E105" s="8" t="n"/>
      <c r="F105" s="6" t="n"/>
    </row>
    <row r="106">
      <c r="A106" s="6" t="n"/>
      <c r="B106" s="6" t="n"/>
      <c r="C106" s="6" t="n"/>
      <c r="D106" s="6" t="n"/>
      <c r="E106" s="8" t="n"/>
      <c r="F106" s="6" t="n"/>
    </row>
    <row r="107">
      <c r="A107" s="6" t="n"/>
      <c r="B107" s="6" t="n"/>
      <c r="C107" s="6" t="n"/>
      <c r="D107" s="6" t="n"/>
      <c r="E107" s="8" t="n"/>
      <c r="F107" s="6" t="n"/>
    </row>
    <row r="108">
      <c r="A108" s="6" t="n"/>
      <c r="B108" s="6" t="n"/>
      <c r="C108" s="6" t="n"/>
      <c r="D108" s="6" t="n"/>
      <c r="E108" s="8" t="n"/>
      <c r="F108" s="6" t="n"/>
    </row>
    <row r="109">
      <c r="A109" s="6" t="n"/>
      <c r="B109" s="6" t="n"/>
      <c r="C109" s="6" t="n"/>
      <c r="D109" s="6" t="n"/>
      <c r="E109" s="8" t="n"/>
      <c r="F109" s="6" t="n"/>
    </row>
    <row r="110">
      <c r="A110" s="6" t="n"/>
      <c r="B110" s="6" t="n"/>
      <c r="C110" s="6" t="n"/>
      <c r="D110" s="6" t="n"/>
      <c r="E110" s="8" t="n"/>
      <c r="F110" s="6" t="n"/>
    </row>
    <row r="111">
      <c r="A111" s="6" t="n"/>
      <c r="B111" s="6" t="n"/>
      <c r="C111" s="6" t="n"/>
      <c r="D111" s="6" t="n"/>
      <c r="E111" s="8" t="n"/>
      <c r="F111" s="6" t="n"/>
    </row>
    <row r="112">
      <c r="A112" s="6" t="n"/>
      <c r="B112" s="6" t="n"/>
      <c r="C112" s="6" t="n"/>
      <c r="D112" s="6" t="n"/>
      <c r="E112" s="8" t="n"/>
      <c r="F112" s="6" t="n"/>
    </row>
    <row r="113">
      <c r="A113" s="6" t="n"/>
      <c r="B113" s="6" t="n"/>
      <c r="C113" s="6" t="n"/>
      <c r="D113" s="6" t="n"/>
      <c r="E113" s="8" t="n"/>
      <c r="F113" s="6" t="n"/>
    </row>
    <row r="114">
      <c r="A114" s="6" t="n"/>
      <c r="B114" s="6" t="n"/>
      <c r="C114" s="6" t="n"/>
      <c r="D114" s="6" t="n"/>
      <c r="E114" s="8" t="n"/>
      <c r="F114" s="6" t="n"/>
    </row>
    <row r="115">
      <c r="A115" s="6" t="n"/>
      <c r="B115" s="6" t="n"/>
      <c r="C115" s="6" t="n"/>
      <c r="D115" s="6" t="n"/>
      <c r="E115" s="8" t="n"/>
      <c r="F115" s="6" t="n"/>
    </row>
    <row r="116">
      <c r="A116" s="6" t="n"/>
      <c r="B116" s="6" t="n"/>
      <c r="C116" s="6" t="n"/>
      <c r="D116" s="6" t="n"/>
      <c r="E116" s="8" t="n"/>
      <c r="F116" s="6" t="n"/>
    </row>
    <row r="117">
      <c r="A117" s="6" t="n"/>
      <c r="B117" s="6" t="n"/>
      <c r="C117" s="6" t="n"/>
      <c r="D117" s="6" t="n"/>
      <c r="E117" s="8" t="n"/>
      <c r="F117" s="6" t="n"/>
    </row>
    <row r="118">
      <c r="A118" s="6" t="n"/>
      <c r="B118" s="6" t="n"/>
      <c r="C118" s="6" t="n"/>
      <c r="D118" s="6" t="n"/>
      <c r="E118" s="8" t="n"/>
      <c r="F118" s="6" t="n"/>
    </row>
    <row r="119">
      <c r="A119" s="6" t="n"/>
      <c r="B119" s="6" t="n"/>
      <c r="C119" s="6" t="n"/>
      <c r="D119" s="6" t="n"/>
      <c r="E119" s="8" t="n"/>
      <c r="F119" s="6" t="n"/>
    </row>
    <row r="120">
      <c r="A120" s="6" t="n"/>
      <c r="B120" s="6" t="n"/>
      <c r="C120" s="6" t="n"/>
      <c r="D120" s="6" t="n"/>
      <c r="E120" s="8" t="n"/>
      <c r="F120" s="6" t="n"/>
    </row>
    <row r="121">
      <c r="A121" s="6" t="n"/>
      <c r="B121" s="6" t="n"/>
      <c r="C121" s="6" t="n"/>
      <c r="D121" s="6" t="n"/>
      <c r="E121" s="8" t="n"/>
      <c r="F121" s="6" t="n"/>
    </row>
    <row r="122">
      <c r="A122" s="6" t="n"/>
      <c r="B122" s="6" t="n"/>
      <c r="C122" s="6" t="n"/>
      <c r="D122" s="6" t="n"/>
      <c r="E122" s="8" t="n"/>
      <c r="F122" s="6" t="n"/>
    </row>
    <row r="123">
      <c r="A123" s="6" t="n"/>
      <c r="B123" s="6" t="n"/>
      <c r="C123" s="6" t="n"/>
      <c r="D123" s="6" t="n"/>
      <c r="E123" s="8" t="n"/>
      <c r="F123" s="6" t="n"/>
    </row>
    <row r="124">
      <c r="A124" s="6" t="n"/>
      <c r="B124" s="6" t="n"/>
      <c r="C124" s="6" t="n"/>
      <c r="D124" s="6" t="n"/>
      <c r="E124" s="8" t="n"/>
      <c r="F124" s="6" t="n"/>
    </row>
    <row r="125">
      <c r="A125" s="6" t="n"/>
      <c r="B125" s="6" t="n"/>
      <c r="C125" s="6" t="n"/>
      <c r="D125" s="6" t="n"/>
      <c r="E125" s="8" t="n"/>
      <c r="F125" s="6" t="n"/>
    </row>
    <row r="126">
      <c r="A126" s="6" t="n"/>
      <c r="B126" s="6" t="n"/>
      <c r="C126" s="6" t="n"/>
      <c r="D126" s="6" t="n"/>
      <c r="E126" s="8" t="n"/>
      <c r="F126" s="6" t="n"/>
    </row>
    <row r="127">
      <c r="A127" s="6" t="n"/>
      <c r="B127" s="6" t="n"/>
      <c r="C127" s="6" t="n"/>
      <c r="D127" s="6" t="n"/>
      <c r="E127" s="8" t="n"/>
      <c r="F127" s="6" t="n"/>
    </row>
    <row r="128">
      <c r="A128" s="6" t="n"/>
      <c r="B128" s="6" t="n"/>
      <c r="C128" s="6" t="n"/>
      <c r="D128" s="6" t="n"/>
      <c r="E128" s="8" t="n"/>
      <c r="F128" s="6" t="n"/>
    </row>
    <row r="129">
      <c r="A129" s="6" t="n"/>
      <c r="B129" s="6" t="n"/>
      <c r="C129" s="6" t="n"/>
      <c r="D129" s="6" t="n"/>
      <c r="E129" s="8" t="n"/>
      <c r="F129" s="6" t="n"/>
    </row>
    <row r="130">
      <c r="A130" s="6" t="n"/>
      <c r="B130" s="6" t="n"/>
      <c r="C130" s="6" t="n"/>
      <c r="D130" s="6" t="n"/>
      <c r="E130" s="8" t="n"/>
      <c r="F130" s="6" t="n"/>
    </row>
    <row r="131">
      <c r="A131" s="6" t="n"/>
      <c r="B131" s="6" t="n"/>
      <c r="C131" s="6" t="n"/>
      <c r="D131" s="6" t="n"/>
      <c r="E131" s="8" t="n"/>
      <c r="F131" s="6" t="n"/>
    </row>
    <row r="132">
      <c r="A132" s="6" t="n"/>
      <c r="B132" s="6" t="n"/>
      <c r="C132" s="6" t="n"/>
      <c r="D132" s="6" t="n"/>
      <c r="E132" s="8" t="n"/>
      <c r="F132" s="6" t="n"/>
    </row>
    <row r="133">
      <c r="A133" s="6" t="n"/>
      <c r="B133" s="6" t="n"/>
      <c r="C133" s="6" t="n"/>
      <c r="D133" s="6" t="n"/>
      <c r="E133" s="8" t="n"/>
      <c r="F133" s="6" t="n"/>
    </row>
    <row r="134">
      <c r="A134" s="6" t="n"/>
      <c r="B134" s="6" t="n"/>
      <c r="C134" s="6" t="n"/>
      <c r="D134" s="6" t="n"/>
      <c r="E134" s="8" t="n"/>
      <c r="F134" s="6" t="n"/>
    </row>
    <row r="135">
      <c r="A135" s="6" t="n"/>
      <c r="B135" s="6" t="n"/>
      <c r="C135" s="6" t="n"/>
      <c r="D135" s="6" t="n"/>
      <c r="E135" s="8" t="n"/>
      <c r="F135" s="6" t="n"/>
    </row>
    <row r="136">
      <c r="A136" s="6" t="n"/>
      <c r="B136" s="6" t="n"/>
      <c r="C136" s="6" t="n"/>
      <c r="D136" s="6" t="n"/>
      <c r="E136" s="8" t="n"/>
      <c r="F136" s="6" t="n"/>
    </row>
    <row r="137">
      <c r="A137" s="6" t="n"/>
      <c r="B137" s="6" t="n"/>
      <c r="C137" s="6" t="n"/>
      <c r="D137" s="6" t="n"/>
      <c r="E137" s="8" t="n"/>
      <c r="F137" s="6" t="n"/>
    </row>
    <row r="138">
      <c r="A138" s="6" t="n"/>
      <c r="B138" s="6" t="n"/>
      <c r="C138" s="6" t="n"/>
      <c r="D138" s="6" t="n"/>
      <c r="E138" s="8" t="n"/>
      <c r="F138" s="6" t="n"/>
    </row>
    <row r="139">
      <c r="A139" s="6" t="n"/>
      <c r="B139" s="6" t="n"/>
      <c r="C139" s="6" t="n"/>
      <c r="D139" s="6" t="n"/>
      <c r="E139" s="8" t="n"/>
      <c r="F139" s="6" t="n"/>
    </row>
    <row r="140">
      <c r="A140" s="6" t="n"/>
      <c r="B140" s="6" t="n"/>
      <c r="C140" s="6" t="n"/>
      <c r="D140" s="6" t="n"/>
      <c r="E140" s="8" t="n"/>
      <c r="F140" s="6" t="n"/>
    </row>
    <row r="141">
      <c r="A141" s="6" t="n"/>
      <c r="B141" s="6" t="n"/>
      <c r="C141" s="6" t="n"/>
      <c r="D141" s="6" t="n"/>
      <c r="E141" s="8" t="n"/>
      <c r="F141" s="6" t="n"/>
    </row>
    <row r="142">
      <c r="A142" s="6" t="n"/>
      <c r="B142" s="6" t="n"/>
      <c r="C142" s="6" t="n"/>
      <c r="D142" s="6" t="n"/>
      <c r="E142" s="8" t="n"/>
      <c r="F142" s="6" t="n"/>
    </row>
    <row r="143">
      <c r="A143" s="6" t="n"/>
      <c r="B143" s="6" t="n"/>
      <c r="C143" s="6" t="n"/>
      <c r="D143" s="6" t="n"/>
      <c r="E143" s="8" t="n"/>
      <c r="F143" s="6" t="n"/>
    </row>
    <row r="144">
      <c r="A144" s="6" t="n"/>
      <c r="B144" s="6" t="n"/>
      <c r="C144" s="6" t="n"/>
      <c r="D144" s="6" t="n"/>
      <c r="E144" s="8" t="n"/>
      <c r="F144" s="6" t="n"/>
    </row>
    <row r="145">
      <c r="A145" s="6" t="n"/>
      <c r="B145" s="6" t="n"/>
      <c r="C145" s="6" t="n"/>
      <c r="D145" s="6" t="n"/>
      <c r="E145" s="8" t="n"/>
      <c r="F145" s="6" t="n"/>
    </row>
    <row r="146">
      <c r="A146" s="6" t="n"/>
      <c r="B146" s="6" t="n"/>
      <c r="C146" s="6" t="n"/>
      <c r="D146" s="6" t="n"/>
      <c r="E146" s="8" t="n"/>
      <c r="F146" s="6" t="n"/>
    </row>
    <row r="147">
      <c r="A147" s="6" t="n"/>
      <c r="B147" s="6" t="n"/>
      <c r="C147" s="6" t="n"/>
      <c r="D147" s="6" t="n"/>
      <c r="E147" s="8" t="n"/>
      <c r="F147" s="6" t="n"/>
    </row>
    <row r="148">
      <c r="A148" s="6" t="n"/>
      <c r="B148" s="6" t="n"/>
      <c r="C148" s="6" t="n"/>
      <c r="D148" s="6" t="n"/>
      <c r="E148" s="8" t="n"/>
      <c r="F148" s="6" t="n"/>
    </row>
    <row r="149">
      <c r="A149" s="6" t="n"/>
      <c r="B149" s="6" t="n"/>
      <c r="C149" s="6" t="n"/>
      <c r="D149" s="6" t="n"/>
      <c r="E149" s="8" t="n"/>
      <c r="F149" s="6" t="n"/>
    </row>
    <row r="150">
      <c r="A150" s="6" t="n"/>
      <c r="B150" s="6" t="n"/>
      <c r="C150" s="6" t="n"/>
      <c r="D150" s="6" t="n"/>
      <c r="E150" s="8" t="n"/>
      <c r="F150" s="6" t="n"/>
    </row>
    <row r="151">
      <c r="A151" s="6" t="n"/>
      <c r="B151" s="6" t="n"/>
      <c r="C151" s="6" t="n"/>
      <c r="D151" s="6" t="n"/>
      <c r="E151" s="8" t="n"/>
      <c r="F151" s="6" t="n"/>
    </row>
    <row r="152">
      <c r="A152" s="6" t="n"/>
      <c r="B152" s="6" t="n"/>
      <c r="C152" s="6" t="n"/>
      <c r="D152" s="6" t="n"/>
      <c r="E152" s="8" t="n"/>
      <c r="F152" s="6" t="n"/>
    </row>
    <row r="153">
      <c r="A153" s="6" t="n"/>
      <c r="B153" s="6" t="n"/>
      <c r="C153" s="6" t="n"/>
      <c r="D153" s="6" t="n"/>
      <c r="E153" s="8" t="n"/>
      <c r="F153" s="6" t="n"/>
    </row>
    <row r="154">
      <c r="A154" s="6" t="n"/>
      <c r="B154" s="6" t="n"/>
      <c r="C154" s="6" t="n"/>
      <c r="D154" s="6" t="n"/>
      <c r="E154" s="8" t="n"/>
      <c r="F154" s="6" t="n"/>
    </row>
    <row r="155">
      <c r="A155" s="6" t="n"/>
      <c r="B155" s="6" t="n"/>
      <c r="C155" s="6" t="n"/>
      <c r="D155" s="6" t="n"/>
      <c r="E155" s="8" t="n"/>
      <c r="F155" s="6" t="n"/>
    </row>
    <row r="156">
      <c r="A156" s="6" t="n"/>
      <c r="B156" s="6" t="n"/>
      <c r="C156" s="6" t="n"/>
      <c r="D156" s="6" t="n"/>
      <c r="E156" s="8" t="n"/>
      <c r="F156" s="6" t="n"/>
    </row>
    <row r="157">
      <c r="A157" s="6" t="n"/>
      <c r="B157" s="6" t="n"/>
      <c r="C157" s="6" t="n"/>
      <c r="D157" s="6" t="n"/>
      <c r="E157" s="8" t="n"/>
      <c r="F157" s="6" t="n"/>
    </row>
    <row r="158">
      <c r="A158" s="6" t="n"/>
      <c r="B158" s="6" t="n"/>
      <c r="C158" s="6" t="n"/>
      <c r="D158" s="6" t="n"/>
      <c r="E158" s="8" t="n"/>
      <c r="F158" s="6" t="n"/>
    </row>
    <row r="159">
      <c r="A159" s="6" t="n"/>
      <c r="B159" s="6" t="n"/>
      <c r="C159" s="6" t="n"/>
      <c r="D159" s="6" t="n"/>
      <c r="E159" s="8" t="n"/>
      <c r="F159" s="6" t="n"/>
    </row>
    <row r="160">
      <c r="A160" s="6" t="n"/>
      <c r="B160" s="6" t="n"/>
      <c r="C160" s="6" t="n"/>
      <c r="D160" s="6" t="n"/>
      <c r="E160" s="8" t="n"/>
      <c r="F160" s="6" t="n"/>
    </row>
    <row r="161">
      <c r="A161" s="6" t="n"/>
      <c r="B161" s="6" t="n"/>
      <c r="C161" s="6" t="n"/>
      <c r="D161" s="6" t="n"/>
      <c r="E161" s="8" t="n"/>
      <c r="F161" s="6" t="n"/>
    </row>
    <row r="162">
      <c r="A162" s="6" t="n"/>
      <c r="B162" s="6" t="n"/>
      <c r="C162" s="6" t="n"/>
      <c r="D162" s="6" t="n"/>
      <c r="E162" s="8" t="n"/>
      <c r="F162" s="6" t="n"/>
    </row>
    <row r="163">
      <c r="A163" s="6" t="n"/>
      <c r="B163" s="6" t="n"/>
      <c r="C163" s="6" t="n"/>
      <c r="D163" s="6" t="n"/>
      <c r="E163" s="8" t="n"/>
      <c r="F163" s="6" t="n"/>
    </row>
    <row r="164">
      <c r="A164" s="6" t="n"/>
      <c r="B164" s="6" t="n"/>
      <c r="C164" s="6" t="n"/>
      <c r="D164" s="6" t="n"/>
      <c r="E164" s="8" t="n"/>
      <c r="F164" s="6" t="n"/>
    </row>
    <row r="165">
      <c r="A165" s="6" t="n"/>
      <c r="B165" s="6" t="n"/>
      <c r="C165" s="6" t="n"/>
      <c r="D165" s="6" t="n"/>
      <c r="E165" s="8" t="n"/>
      <c r="F165" s="6" t="n"/>
    </row>
    <row r="166">
      <c r="A166" s="6" t="n"/>
      <c r="B166" s="6" t="n"/>
      <c r="C166" s="6" t="n"/>
      <c r="D166" s="6" t="n"/>
      <c r="E166" s="8" t="n"/>
      <c r="F166" s="6" t="n"/>
    </row>
    <row r="167">
      <c r="A167" s="6" t="n"/>
      <c r="B167" s="6" t="n"/>
      <c r="C167" s="6" t="n"/>
      <c r="D167" s="6" t="n"/>
      <c r="E167" s="8" t="n"/>
      <c r="F167" s="6" t="n"/>
    </row>
    <row r="168">
      <c r="A168" s="6" t="n"/>
      <c r="B168" s="6" t="n"/>
      <c r="C168" s="6" t="n"/>
      <c r="D168" s="6" t="n"/>
      <c r="E168" s="8" t="n"/>
      <c r="F168" s="6" t="n"/>
    </row>
    <row r="169">
      <c r="A169" s="6" t="n"/>
      <c r="B169" s="6" t="n"/>
      <c r="C169" s="6" t="n"/>
      <c r="D169" s="6" t="n"/>
      <c r="E169" s="8" t="n"/>
      <c r="F169" s="6" t="n"/>
    </row>
    <row r="170">
      <c r="A170" s="6" t="n"/>
      <c r="B170" s="6" t="n"/>
      <c r="C170" s="6" t="n"/>
      <c r="D170" s="6" t="n"/>
      <c r="E170" s="8" t="n"/>
      <c r="F170" s="6" t="n"/>
    </row>
    <row r="171">
      <c r="A171" s="6" t="n"/>
      <c r="B171" s="6" t="n"/>
      <c r="C171" s="6" t="n"/>
      <c r="D171" s="6" t="n"/>
      <c r="E171" s="8" t="n"/>
      <c r="F171" s="6" t="n"/>
    </row>
    <row r="172">
      <c r="A172" s="6" t="n"/>
      <c r="B172" s="6" t="n"/>
      <c r="C172" s="6" t="n"/>
      <c r="D172" s="6" t="n"/>
      <c r="E172" s="8" t="n"/>
      <c r="F172" s="6" t="n"/>
    </row>
    <row r="173">
      <c r="A173" s="6" t="n"/>
      <c r="B173" s="6" t="n"/>
      <c r="C173" s="6" t="n"/>
      <c r="D173" s="6" t="n"/>
      <c r="E173" s="8" t="n"/>
      <c r="F173" s="6" t="n"/>
    </row>
    <row r="174">
      <c r="A174" s="6" t="n"/>
      <c r="B174" s="6" t="n"/>
      <c r="C174" s="6" t="n"/>
      <c r="D174" s="6" t="n"/>
      <c r="E174" s="8" t="n"/>
      <c r="F174" s="6" t="n"/>
    </row>
    <row r="175">
      <c r="A175" s="6" t="n"/>
      <c r="B175" s="6" t="n"/>
      <c r="C175" s="6" t="n"/>
      <c r="D175" s="6" t="n"/>
      <c r="E175" s="8" t="n"/>
      <c r="F175" s="6" t="n"/>
    </row>
    <row r="176">
      <c r="A176" s="6" t="n"/>
      <c r="B176" s="6" t="n"/>
      <c r="C176" s="6" t="n"/>
      <c r="D176" s="6" t="n"/>
      <c r="E176" s="8" t="n"/>
      <c r="F176" s="6" t="n"/>
    </row>
    <row r="177">
      <c r="A177" s="6" t="n"/>
      <c r="B177" s="6" t="n"/>
      <c r="C177" s="6" t="n"/>
      <c r="D177" s="6" t="n"/>
      <c r="E177" s="8" t="n"/>
      <c r="F177" s="6" t="n"/>
    </row>
    <row r="178">
      <c r="A178" s="6" t="n"/>
      <c r="B178" s="6" t="n"/>
      <c r="C178" s="6" t="n"/>
      <c r="D178" s="6" t="n"/>
      <c r="E178" s="8" t="n"/>
      <c r="F178" s="6" t="n"/>
    </row>
    <row r="179">
      <c r="A179" s="6" t="n"/>
      <c r="B179" s="6" t="n"/>
      <c r="C179" s="6" t="n"/>
      <c r="D179" s="6" t="n"/>
      <c r="E179" s="8" t="n"/>
      <c r="F179" s="6" t="n"/>
    </row>
    <row r="180">
      <c r="A180" s="6" t="n"/>
      <c r="B180" s="6" t="n"/>
      <c r="C180" s="6" t="n"/>
      <c r="D180" s="6" t="n"/>
      <c r="E180" s="8" t="n"/>
      <c r="F180" s="6" t="n"/>
    </row>
    <row r="181">
      <c r="A181" s="6" t="n"/>
      <c r="B181" s="6" t="n"/>
      <c r="C181" s="6" t="n"/>
      <c r="D181" s="6" t="n"/>
      <c r="E181" s="8" t="n"/>
      <c r="F181" s="6" t="n"/>
    </row>
    <row r="182">
      <c r="A182" s="6" t="n"/>
      <c r="B182" s="6" t="n"/>
      <c r="C182" s="6" t="n"/>
      <c r="D182" s="6" t="n"/>
      <c r="E182" s="8" t="n"/>
      <c r="F182" s="6" t="n"/>
    </row>
    <row r="183">
      <c r="A183" s="6" t="n"/>
      <c r="B183" s="6" t="n"/>
      <c r="C183" s="6" t="n"/>
      <c r="D183" s="6" t="n"/>
      <c r="E183" s="8" t="n"/>
      <c r="F183" s="6" t="n"/>
    </row>
    <row r="184">
      <c r="A184" s="6" t="n"/>
      <c r="B184" s="6" t="n"/>
      <c r="C184" s="6" t="n"/>
      <c r="D184" s="6" t="n"/>
      <c r="E184" s="8" t="n"/>
      <c r="F184" s="6" t="n"/>
    </row>
    <row r="185">
      <c r="A185" s="6" t="n"/>
      <c r="B185" s="6" t="n"/>
      <c r="C185" s="6" t="n"/>
      <c r="D185" s="6" t="n"/>
      <c r="E185" s="8" t="n"/>
      <c r="F185" s="6" t="n"/>
    </row>
    <row r="186">
      <c r="A186" s="6" t="n"/>
      <c r="B186" s="6" t="n"/>
      <c r="C186" s="6" t="n"/>
      <c r="D186" s="6" t="n"/>
      <c r="E186" s="8" t="n"/>
      <c r="F186" s="6" t="n"/>
    </row>
    <row r="187">
      <c r="A187" s="6" t="n"/>
      <c r="B187" s="6" t="n"/>
      <c r="C187" s="6" t="n"/>
      <c r="D187" s="6" t="n"/>
      <c r="E187" s="8" t="n"/>
      <c r="F187" s="6" t="n"/>
    </row>
    <row r="188">
      <c r="A188" s="6" t="n"/>
      <c r="B188" s="6" t="n"/>
      <c r="C188" s="6" t="n"/>
      <c r="D188" s="6" t="n"/>
      <c r="E188" s="8" t="n"/>
      <c r="F188" s="6" t="n"/>
    </row>
    <row r="189">
      <c r="A189" s="6" t="n"/>
      <c r="B189" s="6" t="n"/>
      <c r="C189" s="6" t="n"/>
      <c r="D189" s="6" t="n"/>
      <c r="E189" s="8" t="n"/>
      <c r="F189" s="6" t="n"/>
    </row>
    <row r="190">
      <c r="A190" s="6" t="n"/>
      <c r="B190" s="6" t="n"/>
      <c r="C190" s="6" t="n"/>
      <c r="D190" s="6" t="n"/>
      <c r="E190" s="8" t="n"/>
      <c r="F190" s="6" t="n"/>
    </row>
    <row r="191">
      <c r="A191" s="6" t="n"/>
      <c r="B191" s="6" t="n"/>
      <c r="C191" s="6" t="n"/>
      <c r="D191" s="6" t="n"/>
      <c r="E191" s="8" t="n"/>
      <c r="F191" s="6" t="n"/>
    </row>
    <row r="192">
      <c r="A192" s="6" t="n"/>
      <c r="B192" s="6" t="n"/>
      <c r="C192" s="6" t="n"/>
      <c r="D192" s="6" t="n"/>
      <c r="E192" s="8" t="n"/>
      <c r="F192" s="6" t="n"/>
    </row>
    <row r="193">
      <c r="A193" s="6" t="n"/>
      <c r="B193" s="6" t="n"/>
      <c r="C193" s="6" t="n"/>
      <c r="D193" s="6" t="n"/>
      <c r="E193" s="8" t="n"/>
      <c r="F193" s="6" t="n"/>
    </row>
    <row r="194">
      <c r="A194" s="6" t="n"/>
      <c r="B194" s="6" t="n"/>
      <c r="C194" s="6" t="n"/>
      <c r="D194" s="6" t="n"/>
      <c r="E194" s="8" t="n"/>
      <c r="F194" s="6" t="n"/>
    </row>
    <row r="195">
      <c r="A195" s="6" t="n"/>
      <c r="B195" s="6" t="n"/>
      <c r="C195" s="6" t="n"/>
      <c r="D195" s="6" t="n"/>
      <c r="E195" s="8" t="n"/>
      <c r="F195" s="6" t="n"/>
    </row>
    <row r="196">
      <c r="A196" s="6" t="n"/>
      <c r="B196" s="6" t="n"/>
      <c r="C196" s="6" t="n"/>
      <c r="D196" s="6" t="n"/>
      <c r="E196" s="8" t="n"/>
      <c r="F196" s="6" t="n"/>
    </row>
    <row r="197">
      <c r="A197" s="6" t="n"/>
      <c r="B197" s="6" t="n"/>
      <c r="C197" s="6" t="n"/>
      <c r="D197" s="6" t="n"/>
      <c r="E197" s="8" t="n"/>
      <c r="F197" s="6" t="n"/>
    </row>
    <row r="198">
      <c r="A198" s="6" t="n"/>
      <c r="B198" s="6" t="n"/>
      <c r="C198" s="6" t="n"/>
      <c r="D198" s="6" t="n"/>
      <c r="E198" s="8" t="n"/>
      <c r="F198" s="6" t="n"/>
    </row>
    <row r="199">
      <c r="A199" s="6" t="n"/>
      <c r="B199" s="6" t="n"/>
      <c r="C199" s="6" t="n"/>
      <c r="D199" s="6" t="n"/>
      <c r="E199" s="8" t="n"/>
      <c r="F199" s="6" t="n"/>
    </row>
    <row r="200">
      <c r="A200" s="6" t="n"/>
      <c r="B200" s="6" t="n"/>
      <c r="C200" s="6" t="n"/>
      <c r="D200" s="6" t="n"/>
      <c r="E200" s="8" t="n"/>
      <c r="F200" s="6" t="n"/>
    </row>
    <row r="201">
      <c r="A201" s="6" t="n"/>
      <c r="B201" s="6" t="n"/>
      <c r="C201" s="6" t="n"/>
      <c r="D201" s="6" t="n"/>
      <c r="E201" s="8" t="n"/>
      <c r="F201" s="6" t="n"/>
    </row>
    <row r="202">
      <c r="A202" s="6" t="n"/>
      <c r="B202" s="6" t="n"/>
      <c r="C202" s="6" t="n"/>
      <c r="D202" s="6" t="n"/>
      <c r="E202" s="8" t="n"/>
      <c r="F202" s="6" t="n"/>
    </row>
    <row r="203">
      <c r="A203" s="6" t="n"/>
      <c r="B203" s="6" t="n"/>
      <c r="C203" s="6" t="n"/>
      <c r="D203" s="6" t="n"/>
      <c r="E203" s="8" t="n"/>
      <c r="F203" s="6" t="n"/>
    </row>
    <row r="204">
      <c r="A204" s="6" t="n"/>
      <c r="B204" s="6" t="n"/>
      <c r="C204" s="6" t="n"/>
      <c r="D204" s="6" t="n"/>
      <c r="E204" s="8" t="n"/>
      <c r="F204" s="6" t="n"/>
    </row>
    <row r="205">
      <c r="A205" s="6" t="n"/>
      <c r="B205" s="6" t="n"/>
      <c r="C205" s="6" t="n"/>
      <c r="D205" s="6" t="n"/>
      <c r="E205" s="8" t="n"/>
      <c r="F205" s="6" t="n"/>
    </row>
    <row r="206">
      <c r="A206" s="6" t="n"/>
      <c r="B206" s="6" t="n"/>
      <c r="C206" s="6" t="n"/>
      <c r="D206" s="6" t="n"/>
      <c r="E206" s="8" t="n"/>
      <c r="F206" s="6" t="n"/>
    </row>
    <row r="207">
      <c r="A207" s="6" t="n"/>
      <c r="B207" s="6" t="n"/>
      <c r="C207" s="6" t="n"/>
      <c r="D207" s="6" t="n"/>
      <c r="E207" s="8" t="n"/>
      <c r="F207" s="6" t="n"/>
    </row>
    <row r="208">
      <c r="A208" s="6" t="n"/>
      <c r="B208" s="6" t="n"/>
      <c r="C208" s="6" t="n"/>
      <c r="D208" s="6" t="n"/>
      <c r="E208" s="8" t="n"/>
      <c r="F208" s="6" t="n"/>
    </row>
    <row r="209">
      <c r="A209" s="6" t="n"/>
      <c r="B209" s="6" t="n"/>
      <c r="C209" s="6" t="n"/>
      <c r="D209" s="6" t="n"/>
      <c r="E209" s="8" t="n"/>
      <c r="F209" s="6" t="n"/>
    </row>
    <row r="210">
      <c r="A210" s="6" t="n"/>
      <c r="B210" s="6" t="n"/>
      <c r="C210" s="6" t="n"/>
      <c r="D210" s="6" t="n"/>
      <c r="E210" s="8" t="n"/>
      <c r="F210" s="6" t="n"/>
    </row>
    <row r="211">
      <c r="A211" s="6" t="n"/>
      <c r="B211" s="6" t="n"/>
      <c r="C211" s="6" t="n"/>
      <c r="D211" s="6" t="n"/>
      <c r="E211" s="8" t="n"/>
      <c r="F211" s="6" t="n"/>
    </row>
    <row r="212">
      <c r="A212" s="6" t="n"/>
      <c r="B212" s="6" t="n"/>
      <c r="C212" s="6" t="n"/>
      <c r="D212" s="6" t="n"/>
      <c r="E212" s="8" t="n"/>
      <c r="F212" s="6" t="n"/>
    </row>
    <row r="213">
      <c r="A213" s="6" t="n"/>
      <c r="B213" s="6" t="n"/>
      <c r="C213" s="6" t="n"/>
      <c r="D213" s="6" t="n"/>
      <c r="E213" s="8" t="n"/>
      <c r="F213" s="6" t="n"/>
    </row>
    <row r="214">
      <c r="A214" s="6" t="n"/>
      <c r="B214" s="6" t="n"/>
      <c r="C214" s="6" t="n"/>
      <c r="D214" s="6" t="n"/>
      <c r="E214" s="8" t="n"/>
      <c r="F214" s="6" t="n"/>
    </row>
    <row r="215">
      <c r="A215" s="6" t="n"/>
      <c r="B215" s="6" t="n"/>
      <c r="C215" s="6" t="n"/>
      <c r="D215" s="6" t="n"/>
      <c r="E215" s="8" t="n"/>
      <c r="F215" s="6" t="n"/>
    </row>
    <row r="216">
      <c r="A216" s="6" t="n"/>
      <c r="B216" s="6" t="n"/>
      <c r="C216" s="6" t="n"/>
      <c r="D216" s="6" t="n"/>
      <c r="E216" s="8" t="n"/>
      <c r="F216" s="6" t="n"/>
    </row>
    <row r="217">
      <c r="A217" s="6" t="n"/>
      <c r="B217" s="6" t="n"/>
      <c r="C217" s="6" t="n"/>
      <c r="D217" s="6" t="n"/>
      <c r="E217" s="8" t="n"/>
      <c r="F217" s="6" t="n"/>
    </row>
    <row r="218">
      <c r="A218" s="6" t="n"/>
      <c r="B218" s="6" t="n"/>
      <c r="C218" s="6" t="n"/>
      <c r="D218" s="6" t="n"/>
      <c r="E218" s="8" t="n"/>
      <c r="F218" s="6" t="n"/>
    </row>
    <row r="219">
      <c r="A219" s="6" t="n"/>
      <c r="B219" s="6" t="n"/>
      <c r="C219" s="6" t="n"/>
      <c r="D219" s="6" t="n"/>
      <c r="E219" s="8" t="n"/>
      <c r="F219" s="6" t="n"/>
    </row>
    <row r="220">
      <c r="A220" s="6" t="n"/>
      <c r="B220" s="6" t="n"/>
      <c r="C220" s="6" t="n"/>
      <c r="D220" s="6" t="n"/>
      <c r="E220" s="8" t="n"/>
      <c r="F220" s="6" t="n"/>
    </row>
    <row r="221">
      <c r="A221" s="6" t="n"/>
      <c r="B221" s="6" t="n"/>
      <c r="C221" s="6" t="n"/>
      <c r="D221" s="6" t="n"/>
      <c r="E221" s="8" t="n"/>
      <c r="F221" s="6" t="n"/>
    </row>
    <row r="222">
      <c r="A222" s="6" t="n"/>
      <c r="B222" s="6" t="n"/>
      <c r="C222" s="6" t="n"/>
      <c r="D222" s="6" t="n"/>
      <c r="E222" s="8" t="n"/>
      <c r="F222" s="6" t="n"/>
    </row>
    <row r="223">
      <c r="A223" s="6" t="n"/>
      <c r="B223" s="6" t="n"/>
      <c r="C223" s="6" t="n"/>
      <c r="D223" s="6" t="n"/>
      <c r="E223" s="8" t="n"/>
      <c r="F223" s="6" t="n"/>
    </row>
    <row r="224">
      <c r="A224" s="6" t="n"/>
      <c r="B224" s="6" t="n"/>
      <c r="C224" s="6" t="n"/>
      <c r="D224" s="6" t="n"/>
      <c r="E224" s="8" t="n"/>
      <c r="F224" s="6" t="n"/>
    </row>
    <row r="225">
      <c r="A225" s="6" t="n"/>
      <c r="B225" s="6" t="n"/>
      <c r="C225" s="6" t="n"/>
      <c r="D225" s="6" t="n"/>
      <c r="E225" s="8" t="n"/>
      <c r="F225" s="6" t="n"/>
    </row>
    <row r="226">
      <c r="A226" s="6" t="n"/>
      <c r="B226" s="6" t="n"/>
      <c r="C226" s="6" t="n"/>
      <c r="D226" s="6" t="n"/>
      <c r="E226" s="8" t="n"/>
      <c r="F226" s="6" t="n"/>
    </row>
    <row r="227">
      <c r="A227" s="6" t="n"/>
      <c r="B227" s="6" t="n"/>
      <c r="C227" s="6" t="n"/>
      <c r="D227" s="6" t="n"/>
      <c r="E227" s="8" t="n"/>
      <c r="F227" s="6" t="n"/>
    </row>
    <row r="228">
      <c r="A228" s="6" t="n"/>
      <c r="B228" s="6" t="n"/>
      <c r="C228" s="6" t="n"/>
      <c r="D228" s="6" t="n"/>
      <c r="E228" s="8" t="n"/>
      <c r="F228" s="6" t="n"/>
    </row>
    <row r="229">
      <c r="A229" s="6" t="n"/>
      <c r="B229" s="6" t="n"/>
      <c r="C229" s="6" t="n"/>
      <c r="D229" s="6" t="n"/>
      <c r="E229" s="8" t="n"/>
      <c r="F229" s="6" t="n"/>
    </row>
    <row r="230">
      <c r="A230" s="6" t="n"/>
      <c r="B230" s="6" t="n"/>
      <c r="C230" s="6" t="n"/>
      <c r="D230" s="6" t="n"/>
      <c r="E230" s="8" t="n"/>
      <c r="F230" s="6" t="n"/>
    </row>
    <row r="231">
      <c r="A231" s="6" t="n"/>
      <c r="B231" s="6" t="n"/>
      <c r="C231" s="6" t="n"/>
      <c r="D231" s="6" t="n"/>
      <c r="E231" s="8" t="n"/>
      <c r="F231" s="6" t="n"/>
    </row>
    <row r="232">
      <c r="A232" s="6" t="n"/>
      <c r="B232" s="6" t="n"/>
      <c r="C232" s="6" t="n"/>
      <c r="D232" s="6" t="n"/>
      <c r="E232" s="8" t="n"/>
      <c r="F232" s="6" t="n"/>
    </row>
    <row r="233">
      <c r="A233" s="6" t="n"/>
      <c r="B233" s="6" t="n"/>
      <c r="C233" s="6" t="n"/>
      <c r="D233" s="6" t="n"/>
      <c r="E233" s="8" t="n"/>
      <c r="F233" s="6" t="n"/>
    </row>
    <row r="234">
      <c r="A234" s="6" t="n"/>
      <c r="B234" s="6" t="n"/>
      <c r="C234" s="6" t="n"/>
      <c r="D234" s="6" t="n"/>
      <c r="E234" s="8" t="n"/>
      <c r="F234" s="6" t="n"/>
    </row>
    <row r="235">
      <c r="A235" s="6" t="n"/>
      <c r="B235" s="6" t="n"/>
      <c r="C235" s="6" t="n"/>
      <c r="D235" s="6" t="n"/>
      <c r="E235" s="8" t="n"/>
      <c r="F235" s="6" t="n"/>
    </row>
    <row r="236">
      <c r="A236" s="6" t="n"/>
      <c r="B236" s="6" t="n"/>
      <c r="C236" s="6" t="n"/>
      <c r="D236" s="6" t="n"/>
      <c r="E236" s="8" t="n"/>
      <c r="F236" s="6" t="n"/>
    </row>
    <row r="237">
      <c r="A237" s="6" t="n"/>
      <c r="B237" s="6" t="n"/>
      <c r="C237" s="6" t="n"/>
      <c r="D237" s="6" t="n"/>
      <c r="E237" s="8" t="n"/>
      <c r="F237" s="6" t="n"/>
    </row>
    <row r="238">
      <c r="A238" s="6" t="n"/>
      <c r="B238" s="6" t="n"/>
      <c r="C238" s="6" t="n"/>
      <c r="D238" s="6" t="n"/>
      <c r="E238" s="8" t="n"/>
      <c r="F238" s="6" t="n"/>
    </row>
    <row r="239">
      <c r="A239" s="6" t="n"/>
      <c r="B239" s="6" t="n"/>
      <c r="C239" s="6" t="n"/>
      <c r="D239" s="6" t="n"/>
      <c r="E239" s="8" t="n"/>
      <c r="F239" s="6" t="n"/>
    </row>
    <row r="240">
      <c r="A240" s="6" t="n"/>
      <c r="B240" s="6" t="n"/>
      <c r="C240" s="6" t="n"/>
      <c r="D240" s="6" t="n"/>
      <c r="E240" s="8" t="n"/>
      <c r="F240" s="6" t="n"/>
    </row>
    <row r="241">
      <c r="A241" s="6" t="n"/>
      <c r="B241" s="6" t="n"/>
      <c r="C241" s="6" t="n"/>
      <c r="D241" s="6" t="n"/>
      <c r="E241" s="8" t="n"/>
      <c r="F241" s="6" t="n"/>
    </row>
    <row r="242">
      <c r="A242" s="6" t="n"/>
      <c r="B242" s="6" t="n"/>
      <c r="C242" s="6" t="n"/>
      <c r="D242" s="6" t="n"/>
      <c r="E242" s="8" t="n"/>
      <c r="F242" s="6" t="n"/>
    </row>
    <row r="243">
      <c r="A243" s="6" t="n"/>
      <c r="B243" s="6" t="n"/>
      <c r="C243" s="6" t="n"/>
      <c r="D243" s="6" t="n"/>
      <c r="E243" s="8" t="n"/>
      <c r="F243" s="6" t="n"/>
    </row>
    <row r="244">
      <c r="A244" s="6" t="n"/>
      <c r="B244" s="6" t="n"/>
      <c r="C244" s="6" t="n"/>
      <c r="D244" s="6" t="n"/>
      <c r="E244" s="8" t="n"/>
      <c r="F244" s="6" t="n"/>
    </row>
    <row r="245">
      <c r="A245" s="6" t="n"/>
      <c r="B245" s="6" t="n"/>
      <c r="C245" s="6" t="n"/>
      <c r="D245" s="6" t="n"/>
      <c r="E245" s="8" t="n"/>
      <c r="F245" s="6" t="n"/>
    </row>
    <row r="246">
      <c r="A246" s="6" t="n"/>
      <c r="B246" s="6" t="n"/>
      <c r="C246" s="6" t="n"/>
      <c r="D246" s="6" t="n"/>
      <c r="E246" s="8" t="n"/>
      <c r="F246" s="6" t="n"/>
    </row>
    <row r="247">
      <c r="A247" s="6" t="n"/>
      <c r="B247" s="6" t="n"/>
      <c r="C247" s="6" t="n"/>
      <c r="D247" s="6" t="n"/>
      <c r="E247" s="8" t="n"/>
      <c r="F247" s="6" t="n"/>
    </row>
    <row r="248">
      <c r="A248" s="6" t="n"/>
      <c r="B248" s="6" t="n"/>
      <c r="C248" s="6" t="n"/>
      <c r="D248" s="6" t="n"/>
      <c r="E248" s="8" t="n"/>
      <c r="F248" s="6" t="n"/>
    </row>
    <row r="249">
      <c r="A249" s="6" t="n"/>
      <c r="B249" s="6" t="n"/>
      <c r="C249" s="6" t="n"/>
      <c r="D249" s="6" t="n"/>
      <c r="E249" s="8" t="n"/>
      <c r="F249" s="6" t="n"/>
    </row>
    <row r="250">
      <c r="A250" s="6" t="n"/>
      <c r="B250" s="6" t="n"/>
      <c r="C250" s="6" t="n"/>
      <c r="D250" s="6" t="n"/>
      <c r="E250" s="8" t="n"/>
      <c r="F250" s="6" t="n"/>
    </row>
    <row r="251">
      <c r="A251" s="6" t="n"/>
      <c r="B251" s="6" t="n"/>
      <c r="C251" s="6" t="n"/>
      <c r="D251" s="6" t="n"/>
      <c r="E251" s="8" t="n"/>
      <c r="F251" s="6" t="n"/>
    </row>
    <row r="252">
      <c r="A252" s="6" t="n"/>
      <c r="B252" s="6" t="n"/>
      <c r="C252" s="6" t="n"/>
      <c r="D252" s="6" t="n"/>
      <c r="E252" s="8" t="n"/>
      <c r="F252" s="6" t="n"/>
    </row>
    <row r="253">
      <c r="A253" s="6" t="n"/>
      <c r="B253" s="6" t="n"/>
      <c r="C253" s="6" t="n"/>
      <c r="D253" s="6" t="n"/>
      <c r="E253" s="8" t="n"/>
      <c r="F253" s="6" t="n"/>
    </row>
    <row r="254">
      <c r="A254" s="6" t="n"/>
      <c r="B254" s="6" t="n"/>
      <c r="C254" s="6" t="n"/>
      <c r="D254" s="6" t="n"/>
      <c r="E254" s="8" t="n"/>
      <c r="F254" s="6" t="n"/>
    </row>
    <row r="255">
      <c r="A255" s="6" t="n"/>
      <c r="B255" s="6" t="n"/>
      <c r="C255" s="6" t="n"/>
      <c r="D255" s="6" t="n"/>
      <c r="E255" s="8" t="n"/>
      <c r="F255" s="6" t="n"/>
    </row>
    <row r="256">
      <c r="A256" s="6" t="n"/>
      <c r="B256" s="6" t="n"/>
      <c r="C256" s="6" t="n"/>
      <c r="D256" s="6" t="n"/>
      <c r="E256" s="8" t="n"/>
      <c r="F256" s="6" t="n"/>
    </row>
    <row r="257">
      <c r="A257" s="6" t="n"/>
      <c r="B257" s="6" t="n"/>
      <c r="C257" s="6" t="n"/>
      <c r="D257" s="6" t="n"/>
      <c r="E257" s="8" t="n"/>
      <c r="F257" s="6" t="n"/>
    </row>
    <row r="258">
      <c r="A258" s="6" t="n"/>
      <c r="B258" s="6" t="n"/>
      <c r="C258" s="6" t="n"/>
      <c r="D258" s="6" t="n"/>
      <c r="E258" s="8" t="n"/>
      <c r="F258" s="6" t="n"/>
    </row>
    <row r="259">
      <c r="A259" s="6" t="n"/>
      <c r="B259" s="6" t="n"/>
      <c r="C259" s="6" t="n"/>
      <c r="D259" s="6" t="n"/>
      <c r="E259" s="8" t="n"/>
      <c r="F259" s="6" t="n"/>
    </row>
    <row r="260">
      <c r="A260" s="6" t="n"/>
      <c r="B260" s="6" t="n"/>
      <c r="C260" s="6" t="n"/>
      <c r="D260" s="6" t="n"/>
      <c r="E260" s="8" t="n"/>
      <c r="F260" s="6" t="n"/>
    </row>
    <row r="261">
      <c r="A261" s="6" t="n"/>
      <c r="B261" s="6" t="n"/>
      <c r="C261" s="6" t="n"/>
      <c r="D261" s="6" t="n"/>
      <c r="E261" s="8" t="n"/>
      <c r="F261" s="6" t="n"/>
    </row>
    <row r="262">
      <c r="A262" s="6" t="n"/>
      <c r="B262" s="6" t="n"/>
      <c r="C262" s="6" t="n"/>
      <c r="D262" s="6" t="n"/>
      <c r="E262" s="8" t="n"/>
      <c r="F262" s="6" t="n"/>
    </row>
    <row r="263">
      <c r="A263" s="6" t="n"/>
      <c r="B263" s="6" t="n"/>
      <c r="C263" s="6" t="n"/>
      <c r="D263" s="6" t="n"/>
      <c r="E263" s="8" t="n"/>
      <c r="F263" s="6" t="n"/>
    </row>
    <row r="264">
      <c r="A264" s="6" t="n"/>
      <c r="B264" s="6" t="n"/>
      <c r="C264" s="6" t="n"/>
      <c r="D264" s="6" t="n"/>
      <c r="E264" s="8" t="n"/>
      <c r="F264" s="6" t="n"/>
    </row>
    <row r="265">
      <c r="A265" s="6" t="n"/>
      <c r="B265" s="6" t="n"/>
      <c r="C265" s="6" t="n"/>
      <c r="D265" s="6" t="n"/>
      <c r="E265" s="8" t="n"/>
      <c r="F265" s="6" t="n"/>
    </row>
    <row r="266">
      <c r="A266" s="6" t="n"/>
      <c r="B266" s="6" t="n"/>
      <c r="C266" s="6" t="n"/>
      <c r="D266" s="6" t="n"/>
      <c r="E266" s="8" t="n"/>
      <c r="F266" s="6" t="n"/>
    </row>
    <row r="267">
      <c r="A267" s="6" t="n"/>
      <c r="B267" s="6" t="n"/>
      <c r="C267" s="6" t="n"/>
      <c r="D267" s="6" t="n"/>
      <c r="E267" s="8" t="n"/>
      <c r="F267" s="6" t="n"/>
    </row>
    <row r="268">
      <c r="A268" s="6" t="n"/>
      <c r="B268" s="6" t="n"/>
      <c r="C268" s="6" t="n"/>
      <c r="D268" s="6" t="n"/>
      <c r="E268" s="8" t="n"/>
      <c r="F268" s="6" t="n"/>
    </row>
    <row r="269">
      <c r="A269" s="6" t="n"/>
      <c r="B269" s="6" t="n"/>
      <c r="C269" s="6" t="n"/>
      <c r="D269" s="6" t="n"/>
      <c r="E269" s="8" t="n"/>
      <c r="F269" s="6" t="n"/>
    </row>
    <row r="270">
      <c r="A270" s="6" t="n"/>
      <c r="B270" s="6" t="n"/>
      <c r="C270" s="6" t="n"/>
      <c r="D270" s="6" t="n"/>
      <c r="E270" s="8" t="n"/>
      <c r="F270" s="6" t="n"/>
    </row>
    <row r="271">
      <c r="A271" s="6" t="n"/>
      <c r="B271" s="6" t="n"/>
      <c r="C271" s="6" t="n"/>
      <c r="D271" s="6" t="n"/>
      <c r="E271" s="8" t="n"/>
      <c r="F271" s="6" t="n"/>
    </row>
    <row r="272">
      <c r="A272" s="6" t="n"/>
      <c r="B272" s="6" t="n"/>
      <c r="C272" s="6" t="n"/>
      <c r="D272" s="6" t="n"/>
      <c r="E272" s="8" t="n"/>
      <c r="F272" s="6" t="n"/>
    </row>
    <row r="273">
      <c r="A273" s="6" t="n"/>
      <c r="B273" s="6" t="n"/>
      <c r="C273" s="6" t="n"/>
      <c r="D273" s="6" t="n"/>
      <c r="E273" s="8" t="n"/>
      <c r="F273" s="6" t="n"/>
    </row>
    <row r="274">
      <c r="A274" s="6" t="n"/>
      <c r="B274" s="6" t="n"/>
      <c r="C274" s="6" t="n"/>
      <c r="D274" s="6" t="n"/>
      <c r="E274" s="8" t="n"/>
      <c r="F274" s="6" t="n"/>
    </row>
    <row r="275">
      <c r="A275" s="6" t="n"/>
      <c r="B275" s="6" t="n"/>
      <c r="C275" s="6" t="n"/>
      <c r="D275" s="6" t="n"/>
      <c r="E275" s="8" t="n"/>
      <c r="F275" s="6" t="n"/>
    </row>
    <row r="276">
      <c r="A276" s="6" t="n"/>
      <c r="B276" s="6" t="n"/>
      <c r="C276" s="6" t="n"/>
      <c r="D276" s="6" t="n"/>
      <c r="E276" s="8" t="n"/>
      <c r="F276" s="6" t="n"/>
    </row>
    <row r="277">
      <c r="A277" s="6" t="n"/>
      <c r="B277" s="6" t="n"/>
      <c r="C277" s="6" t="n"/>
      <c r="D277" s="6" t="n"/>
      <c r="E277" s="8" t="n"/>
      <c r="F277" s="6" t="n"/>
    </row>
    <row r="278">
      <c r="A278" s="6" t="n"/>
      <c r="B278" s="6" t="n"/>
      <c r="C278" s="6" t="n"/>
      <c r="D278" s="6" t="n"/>
      <c r="E278" s="8" t="n"/>
      <c r="F278" s="6" t="n"/>
    </row>
    <row r="279">
      <c r="A279" s="6" t="n"/>
      <c r="B279" s="6" t="n"/>
      <c r="C279" s="6" t="n"/>
      <c r="D279" s="6" t="n"/>
      <c r="E279" s="8" t="n"/>
      <c r="F279" s="6" t="n"/>
    </row>
    <row r="280">
      <c r="A280" s="6" t="n"/>
      <c r="B280" s="6" t="n"/>
      <c r="C280" s="6" t="n"/>
      <c r="D280" s="6" t="n"/>
      <c r="E280" s="8" t="n"/>
      <c r="F280" s="6" t="n"/>
    </row>
    <row r="281">
      <c r="A281" s="6" t="n"/>
      <c r="B281" s="6" t="n"/>
      <c r="C281" s="6" t="n"/>
      <c r="D281" s="6" t="n"/>
      <c r="E281" s="8" t="n"/>
      <c r="F281" s="6" t="n"/>
    </row>
    <row r="282">
      <c r="A282" s="6" t="n"/>
      <c r="B282" s="6" t="n"/>
      <c r="C282" s="6" t="n"/>
      <c r="D282" s="6" t="n"/>
      <c r="E282" s="8" t="n"/>
      <c r="F282" s="6" t="n"/>
    </row>
    <row r="283">
      <c r="A283" s="6" t="n"/>
      <c r="B283" s="6" t="n"/>
      <c r="C283" s="6" t="n"/>
      <c r="D283" s="6" t="n"/>
      <c r="E283" s="8" t="n"/>
      <c r="F283" s="6" t="n"/>
    </row>
    <row r="284">
      <c r="A284" s="6" t="n"/>
      <c r="B284" s="6" t="n"/>
      <c r="C284" s="6" t="n"/>
      <c r="D284" s="6" t="n"/>
      <c r="E284" s="8" t="n"/>
      <c r="F284" s="6" t="n"/>
    </row>
    <row r="285">
      <c r="A285" s="6" t="n"/>
      <c r="B285" s="6" t="n"/>
      <c r="C285" s="6" t="n"/>
      <c r="D285" s="6" t="n"/>
      <c r="E285" s="8" t="n"/>
      <c r="F285" s="6" t="n"/>
    </row>
    <row r="286">
      <c r="A286" s="6" t="n"/>
      <c r="B286" s="6" t="n"/>
      <c r="C286" s="6" t="n"/>
      <c r="D286" s="6" t="n"/>
      <c r="E286" s="8" t="n"/>
      <c r="F286" s="6" t="n"/>
    </row>
    <row r="287">
      <c r="A287" s="6" t="n"/>
      <c r="B287" s="6" t="n"/>
      <c r="C287" s="6" t="n"/>
      <c r="D287" s="6" t="n"/>
      <c r="E287" s="8" t="n"/>
      <c r="F287" s="6" t="n"/>
    </row>
    <row r="288">
      <c r="A288" s="6" t="n"/>
      <c r="B288" s="6" t="n"/>
      <c r="C288" s="6" t="n"/>
      <c r="D288" s="6" t="n"/>
      <c r="E288" s="8" t="n"/>
      <c r="F288" s="6" t="n"/>
    </row>
    <row r="289">
      <c r="A289" s="6" t="n"/>
      <c r="B289" s="6" t="n"/>
      <c r="C289" s="6" t="n"/>
      <c r="D289" s="6" t="n"/>
      <c r="E289" s="8" t="n"/>
      <c r="F289" s="6" t="n"/>
    </row>
    <row r="290">
      <c r="A290" s="6" t="n"/>
      <c r="B290" s="6" t="n"/>
      <c r="C290" s="6" t="n"/>
      <c r="D290" s="6" t="n"/>
      <c r="E290" s="8" t="n"/>
      <c r="F290" s="6" t="n"/>
    </row>
    <row r="291">
      <c r="A291" s="6" t="n"/>
      <c r="B291" s="6" t="n"/>
      <c r="C291" s="6" t="n"/>
      <c r="D291" s="6" t="n"/>
      <c r="E291" s="8" t="n"/>
      <c r="F291" s="6" t="n"/>
    </row>
    <row r="292">
      <c r="A292" s="6" t="n"/>
      <c r="B292" s="6" t="n"/>
      <c r="C292" s="6" t="n"/>
      <c r="D292" s="6" t="n"/>
      <c r="E292" s="8" t="n"/>
      <c r="F292" s="6" t="n"/>
    </row>
    <row r="293">
      <c r="A293" s="6" t="n"/>
      <c r="B293" s="6" t="n"/>
      <c r="C293" s="6" t="n"/>
      <c r="D293" s="6" t="n"/>
      <c r="E293" s="8" t="n"/>
      <c r="F293" s="6" t="n"/>
    </row>
    <row r="294">
      <c r="A294" s="6" t="n"/>
      <c r="B294" s="6" t="n"/>
      <c r="C294" s="6" t="n"/>
      <c r="D294" s="6" t="n"/>
      <c r="E294" s="8" t="n"/>
      <c r="F294" s="6" t="n"/>
    </row>
    <row r="295">
      <c r="A295" s="6" t="n"/>
      <c r="B295" s="6" t="n"/>
      <c r="C295" s="6" t="n"/>
      <c r="D295" s="6" t="n"/>
      <c r="E295" s="8" t="n"/>
      <c r="F295" s="6" t="n"/>
    </row>
    <row r="296">
      <c r="A296" s="6" t="n"/>
      <c r="B296" s="6" t="n"/>
      <c r="C296" s="6" t="n"/>
      <c r="D296" s="6" t="n"/>
      <c r="E296" s="8" t="n"/>
      <c r="F296" s="6" t="n"/>
    </row>
    <row r="297">
      <c r="A297" s="6" t="n"/>
      <c r="B297" s="6" t="n"/>
      <c r="C297" s="6" t="n"/>
      <c r="D297" s="6" t="n"/>
      <c r="E297" s="8" t="n"/>
      <c r="F297" s="6" t="n"/>
    </row>
    <row r="298">
      <c r="A298" s="6" t="n"/>
      <c r="B298" s="6" t="n"/>
      <c r="C298" s="6" t="n"/>
      <c r="D298" s="6" t="n"/>
      <c r="E298" s="8" t="n"/>
      <c r="F298" s="6" t="n"/>
    </row>
    <row r="299">
      <c r="A299" s="6" t="n"/>
      <c r="B299" s="6" t="n"/>
      <c r="C299" s="6" t="n"/>
      <c r="D299" s="6" t="n"/>
      <c r="E299" s="8" t="n"/>
      <c r="F299" s="6" t="n"/>
    </row>
    <row r="300">
      <c r="A300" s="6" t="n"/>
      <c r="B300" s="6" t="n"/>
      <c r="C300" s="6" t="n"/>
      <c r="D300" s="6" t="n"/>
      <c r="E300" s="8" t="n"/>
      <c r="F300" s="6" t="n"/>
    </row>
    <row r="301">
      <c r="A301" s="6" t="n"/>
      <c r="B301" s="6" t="n"/>
      <c r="C301" s="6" t="n"/>
      <c r="D301" s="6" t="n"/>
      <c r="E301" s="8" t="n"/>
      <c r="F301" s="6" t="n"/>
    </row>
    <row r="302">
      <c r="A302" s="6" t="n"/>
      <c r="B302" s="6" t="n"/>
      <c r="C302" s="6" t="n"/>
      <c r="D302" s="6" t="n"/>
      <c r="E302" s="8" t="n"/>
      <c r="F302" s="6" t="n"/>
    </row>
    <row r="303">
      <c r="A303" s="6" t="n"/>
      <c r="B303" s="6" t="n"/>
      <c r="C303" s="6" t="n"/>
      <c r="D303" s="6" t="n"/>
      <c r="E303" s="8" t="n"/>
      <c r="F303" s="6" t="n"/>
    </row>
    <row r="304">
      <c r="A304" s="6" t="n"/>
      <c r="B304" s="6" t="n"/>
      <c r="C304" s="6" t="n"/>
      <c r="D304" s="6" t="n"/>
      <c r="E304" s="8" t="n"/>
      <c r="F304" s="6" t="n"/>
    </row>
    <row r="305">
      <c r="A305" s="6" t="n"/>
      <c r="B305" s="6" t="n"/>
      <c r="C305" s="6" t="n"/>
      <c r="D305" s="6" t="n"/>
      <c r="E305" s="8" t="n"/>
      <c r="F305" s="6" t="n"/>
    </row>
    <row r="306">
      <c r="A306" s="6" t="n"/>
      <c r="B306" s="6" t="n"/>
      <c r="C306" s="6" t="n"/>
      <c r="D306" s="6" t="n"/>
      <c r="E306" s="8" t="n"/>
      <c r="F306" s="6" t="n"/>
    </row>
    <row r="307">
      <c r="A307" s="6" t="n"/>
      <c r="B307" s="6" t="n"/>
      <c r="C307" s="6" t="n"/>
      <c r="D307" s="6" t="n"/>
      <c r="E307" s="8" t="n"/>
      <c r="F307" s="6" t="n"/>
    </row>
    <row r="308">
      <c r="A308" s="6" t="n"/>
      <c r="B308" s="6" t="n"/>
      <c r="C308" s="6" t="n"/>
      <c r="D308" s="6" t="n"/>
      <c r="E308" s="8" t="n"/>
      <c r="F308" s="6" t="n"/>
    </row>
    <row r="309">
      <c r="A309" s="6" t="n"/>
      <c r="B309" s="6" t="n"/>
      <c r="C309" s="6" t="n"/>
      <c r="D309" s="6" t="n"/>
      <c r="E309" s="8" t="n"/>
      <c r="F309" s="6" t="n"/>
    </row>
    <row r="310">
      <c r="A310" s="6" t="n"/>
      <c r="B310" s="6" t="n"/>
      <c r="C310" s="6" t="n"/>
      <c r="D310" s="6" t="n"/>
      <c r="E310" s="8" t="n"/>
      <c r="F310" s="6" t="n"/>
    </row>
    <row r="311">
      <c r="A311" s="6" t="n"/>
      <c r="B311" s="6" t="n"/>
      <c r="C311" s="6" t="n"/>
      <c r="D311" s="6" t="n"/>
      <c r="E311" s="8" t="n"/>
      <c r="F311" s="6" t="n"/>
    </row>
    <row r="312">
      <c r="A312" s="6" t="n"/>
      <c r="B312" s="6" t="n"/>
      <c r="C312" s="6" t="n"/>
      <c r="D312" s="6" t="n"/>
      <c r="E312" s="8" t="n"/>
      <c r="F312" s="6" t="n"/>
    </row>
    <row r="313">
      <c r="A313" s="6" t="n"/>
      <c r="B313" s="6" t="n"/>
      <c r="C313" s="6" t="n"/>
      <c r="D313" s="6" t="n"/>
      <c r="E313" s="8" t="n"/>
      <c r="F313" s="6" t="n"/>
    </row>
    <row r="314">
      <c r="A314" s="6" t="n"/>
      <c r="B314" s="6" t="n"/>
      <c r="C314" s="6" t="n"/>
      <c r="D314" s="6" t="n"/>
      <c r="E314" s="8" t="n"/>
      <c r="F314" s="6" t="n"/>
    </row>
    <row r="315">
      <c r="A315" s="6" t="n"/>
      <c r="B315" s="6" t="n"/>
      <c r="C315" s="6" t="n"/>
      <c r="D315" s="6" t="n"/>
      <c r="E315" s="8" t="n"/>
      <c r="F315" s="6" t="n"/>
    </row>
    <row r="316">
      <c r="A316" s="6" t="n"/>
      <c r="B316" s="6" t="n"/>
      <c r="C316" s="6" t="n"/>
      <c r="D316" s="6" t="n"/>
      <c r="E316" s="8" t="n"/>
      <c r="F316" s="6" t="n"/>
    </row>
    <row r="317">
      <c r="A317" s="6" t="n"/>
      <c r="B317" s="6" t="n"/>
      <c r="C317" s="6" t="n"/>
      <c r="D317" s="6" t="n"/>
      <c r="E317" s="8" t="n"/>
      <c r="F317" s="6" t="n"/>
    </row>
    <row r="318">
      <c r="A318" s="6" t="n"/>
      <c r="B318" s="6" t="n"/>
      <c r="C318" s="6" t="n"/>
      <c r="D318" s="6" t="n"/>
      <c r="E318" s="8" t="n"/>
      <c r="F318" s="6" t="n"/>
    </row>
    <row r="319">
      <c r="A319" s="6" t="n"/>
      <c r="B319" s="6" t="n"/>
      <c r="C319" s="6" t="n"/>
      <c r="D319" s="6" t="n"/>
      <c r="E319" s="8" t="n"/>
      <c r="F319" s="6" t="n"/>
    </row>
    <row r="320">
      <c r="A320" s="6" t="n"/>
      <c r="B320" s="6" t="n"/>
      <c r="C320" s="6" t="n"/>
      <c r="D320" s="6" t="n"/>
      <c r="E320" s="8" t="n"/>
      <c r="F320" s="6" t="n"/>
    </row>
    <row r="321">
      <c r="A321" s="6" t="n"/>
      <c r="B321" s="6" t="n"/>
      <c r="C321" s="6" t="n"/>
      <c r="D321" s="6" t="n"/>
      <c r="E321" s="8" t="n"/>
      <c r="F321" s="6" t="n"/>
    </row>
    <row r="322">
      <c r="A322" s="6" t="n"/>
      <c r="B322" s="6" t="n"/>
      <c r="C322" s="6" t="n"/>
      <c r="D322" s="6" t="n"/>
      <c r="E322" s="8" t="n"/>
      <c r="F322" s="6" t="n"/>
    </row>
    <row r="323">
      <c r="A323" s="6" t="n"/>
      <c r="B323" s="6" t="n"/>
      <c r="C323" s="6" t="n"/>
      <c r="D323" s="6" t="n"/>
      <c r="E323" s="8" t="n"/>
      <c r="F323" s="6" t="n"/>
    </row>
    <row r="324">
      <c r="A324" s="6" t="n"/>
      <c r="B324" s="6" t="n"/>
      <c r="C324" s="6" t="n"/>
      <c r="D324" s="6" t="n"/>
      <c r="E324" s="8" t="n"/>
      <c r="F324" s="6" t="n"/>
    </row>
    <row r="325">
      <c r="A325" s="6" t="n"/>
      <c r="B325" s="6" t="n"/>
      <c r="C325" s="6" t="n"/>
      <c r="D325" s="6" t="n"/>
      <c r="E325" s="8" t="n"/>
      <c r="F325" s="6" t="n"/>
    </row>
    <row r="326">
      <c r="A326" s="6" t="n"/>
      <c r="B326" s="6" t="n"/>
      <c r="C326" s="6" t="n"/>
      <c r="D326" s="6" t="n"/>
      <c r="E326" s="8" t="n"/>
      <c r="F326" s="6" t="n"/>
    </row>
    <row r="327">
      <c r="A327" s="6" t="n"/>
      <c r="B327" s="6" t="n"/>
      <c r="C327" s="6" t="n"/>
      <c r="D327" s="6" t="n"/>
      <c r="E327" s="8" t="n"/>
      <c r="F327" s="6" t="n"/>
    </row>
    <row r="328">
      <c r="A328" s="6" t="n"/>
      <c r="B328" s="6" t="n"/>
      <c r="C328" s="6" t="n"/>
      <c r="D328" s="6" t="n"/>
      <c r="E328" s="8" t="n"/>
      <c r="F328" s="6" t="n"/>
    </row>
    <row r="329">
      <c r="A329" s="6" t="n"/>
      <c r="B329" s="6" t="n"/>
      <c r="C329" s="6" t="n"/>
      <c r="D329" s="6" t="n"/>
      <c r="E329" s="8" t="n"/>
      <c r="F329" s="6" t="n"/>
    </row>
    <row r="330">
      <c r="A330" s="6" t="n"/>
      <c r="B330" s="6" t="n"/>
      <c r="C330" s="6" t="n"/>
      <c r="D330" s="6" t="n"/>
      <c r="E330" s="8" t="n"/>
      <c r="F330" s="6" t="n"/>
    </row>
    <row r="331">
      <c r="A331" s="6" t="n"/>
      <c r="B331" s="6" t="n"/>
      <c r="C331" s="6" t="n"/>
      <c r="D331" s="6" t="n"/>
      <c r="E331" s="8" t="n"/>
      <c r="F331" s="6" t="n"/>
    </row>
    <row r="332">
      <c r="A332" s="6" t="n"/>
      <c r="B332" s="6" t="n"/>
      <c r="C332" s="6" t="n"/>
      <c r="D332" s="6" t="n"/>
      <c r="E332" s="8" t="n"/>
      <c r="F332" s="6" t="n"/>
    </row>
    <row r="333">
      <c r="A333" s="6" t="n"/>
      <c r="B333" s="6" t="n"/>
      <c r="C333" s="6" t="n"/>
      <c r="D333" s="6" t="n"/>
      <c r="E333" s="8" t="n"/>
      <c r="F333" s="6" t="n"/>
    </row>
    <row r="334">
      <c r="A334" s="6" t="n"/>
      <c r="B334" s="6" t="n"/>
      <c r="C334" s="6" t="n"/>
      <c r="D334" s="6" t="n"/>
      <c r="E334" s="8" t="n"/>
      <c r="F334" s="6" t="n"/>
    </row>
    <row r="335">
      <c r="A335" s="6" t="n"/>
      <c r="B335" s="6" t="n"/>
      <c r="C335" s="6" t="n"/>
      <c r="D335" s="6" t="n"/>
      <c r="E335" s="8" t="n"/>
      <c r="F335" s="6" t="n"/>
    </row>
    <row r="336">
      <c r="A336" s="6" t="n"/>
      <c r="B336" s="6" t="n"/>
      <c r="C336" s="6" t="n"/>
      <c r="D336" s="6" t="n"/>
      <c r="E336" s="8" t="n"/>
      <c r="F336" s="6" t="n"/>
    </row>
    <row r="337">
      <c r="A337" s="6" t="n"/>
      <c r="B337" s="6" t="n"/>
      <c r="C337" s="6" t="n"/>
      <c r="D337" s="6" t="n"/>
      <c r="E337" s="8" t="n"/>
      <c r="F337" s="6" t="n"/>
    </row>
    <row r="338">
      <c r="A338" s="6" t="n"/>
      <c r="B338" s="6" t="n"/>
      <c r="C338" s="6" t="n"/>
      <c r="D338" s="6" t="n"/>
      <c r="E338" s="8" t="n"/>
      <c r="F338" s="6" t="n"/>
    </row>
    <row r="339">
      <c r="A339" s="6" t="n"/>
      <c r="B339" s="6" t="n"/>
      <c r="C339" s="6" t="n"/>
      <c r="D339" s="6" t="n"/>
      <c r="E339" s="8" t="n"/>
      <c r="F339" s="6" t="n"/>
    </row>
    <row r="340">
      <c r="A340" s="6" t="n"/>
      <c r="B340" s="6" t="n"/>
      <c r="C340" s="6" t="n"/>
      <c r="D340" s="6" t="n"/>
      <c r="E340" s="8" t="n"/>
      <c r="F340" s="6" t="n"/>
    </row>
    <row r="341">
      <c r="A341" s="6" t="n"/>
      <c r="B341" s="6" t="n"/>
      <c r="C341" s="6" t="n"/>
      <c r="D341" s="6" t="n"/>
      <c r="E341" s="8" t="n"/>
      <c r="F341" s="6" t="n"/>
    </row>
    <row r="342">
      <c r="A342" s="6" t="n"/>
      <c r="B342" s="6" t="n"/>
      <c r="C342" s="6" t="n"/>
      <c r="D342" s="6" t="n"/>
      <c r="E342" s="8" t="n"/>
      <c r="F342" s="6" t="n"/>
    </row>
    <row r="343">
      <c r="A343" s="6" t="n"/>
      <c r="B343" s="6" t="n"/>
      <c r="C343" s="6" t="n"/>
      <c r="D343" s="6" t="n"/>
      <c r="E343" s="8" t="n"/>
      <c r="F343" s="6" t="n"/>
    </row>
    <row r="344">
      <c r="A344" s="6" t="n"/>
      <c r="B344" s="6" t="n"/>
      <c r="C344" s="6" t="n"/>
      <c r="D344" s="6" t="n"/>
      <c r="E344" s="8" t="n"/>
      <c r="F344" s="6" t="n"/>
    </row>
    <row r="345">
      <c r="A345" s="6" t="n"/>
      <c r="B345" s="6" t="n"/>
      <c r="C345" s="6" t="n"/>
      <c r="D345" s="6" t="n"/>
      <c r="E345" s="8" t="n"/>
      <c r="F345" s="6" t="n"/>
    </row>
    <row r="346">
      <c r="A346" s="6" t="n"/>
      <c r="B346" s="6" t="n"/>
      <c r="C346" s="6" t="n"/>
      <c r="D346" s="6" t="n"/>
      <c r="E346" s="8" t="n"/>
      <c r="F346" s="6" t="n"/>
    </row>
    <row r="347">
      <c r="A347" s="6" t="n"/>
      <c r="B347" s="6" t="n"/>
      <c r="C347" s="6" t="n"/>
      <c r="D347" s="6" t="n"/>
      <c r="E347" s="8" t="n"/>
      <c r="F347" s="6" t="n"/>
    </row>
    <row r="348">
      <c r="A348" s="6" t="n"/>
      <c r="B348" s="6" t="n"/>
      <c r="C348" s="6" t="n"/>
      <c r="D348" s="6" t="n"/>
      <c r="E348" s="8" t="n"/>
      <c r="F348" s="6" t="n"/>
    </row>
    <row r="349">
      <c r="A349" s="6" t="n"/>
      <c r="B349" s="6" t="n"/>
      <c r="C349" s="6" t="n"/>
      <c r="D349" s="6" t="n"/>
      <c r="E349" s="8" t="n"/>
      <c r="F349" s="6" t="n"/>
    </row>
    <row r="350">
      <c r="A350" s="6" t="n"/>
      <c r="B350" s="6" t="n"/>
      <c r="C350" s="6" t="n"/>
      <c r="D350" s="6" t="n"/>
      <c r="E350" s="8" t="n"/>
      <c r="F350" s="6" t="n"/>
    </row>
    <row r="351">
      <c r="A351" s="6" t="n"/>
      <c r="B351" s="6" t="n"/>
      <c r="C351" s="6" t="n"/>
      <c r="D351" s="6" t="n"/>
      <c r="E351" s="8" t="n"/>
      <c r="F351" s="6" t="n"/>
    </row>
    <row r="352">
      <c r="A352" s="6" t="n"/>
      <c r="B352" s="6" t="n"/>
      <c r="C352" s="6" t="n"/>
      <c r="D352" s="6" t="n"/>
      <c r="E352" s="8" t="n"/>
      <c r="F352" s="6" t="n"/>
    </row>
    <row r="353">
      <c r="A353" s="6" t="n"/>
      <c r="B353" s="6" t="n"/>
      <c r="C353" s="6" t="n"/>
      <c r="D353" s="6" t="n"/>
      <c r="E353" s="8" t="n"/>
      <c r="F353" s="6" t="n"/>
    </row>
    <row r="354">
      <c r="A354" s="6" t="n"/>
      <c r="B354" s="6" t="n"/>
      <c r="C354" s="6" t="n"/>
      <c r="D354" s="6" t="n"/>
      <c r="E354" s="8" t="n"/>
      <c r="F354" s="6" t="n"/>
    </row>
    <row r="355">
      <c r="A355" s="6" t="n"/>
      <c r="B355" s="6" t="n"/>
      <c r="C355" s="6" t="n"/>
      <c r="D355" s="6" t="n"/>
      <c r="E355" s="8" t="n"/>
      <c r="F355" s="6" t="n"/>
    </row>
    <row r="356">
      <c r="A356" s="6" t="n"/>
      <c r="B356" s="6" t="n"/>
      <c r="C356" s="6" t="n"/>
      <c r="D356" s="6" t="n"/>
      <c r="E356" s="8" t="n"/>
      <c r="F356" s="6" t="n"/>
    </row>
    <row r="357">
      <c r="A357" s="6" t="n"/>
      <c r="B357" s="6" t="n"/>
      <c r="C357" s="6" t="n"/>
      <c r="D357" s="6" t="n"/>
      <c r="E357" s="8" t="n"/>
      <c r="F357" s="6" t="n"/>
    </row>
    <row r="358">
      <c r="A358" s="6" t="n"/>
      <c r="B358" s="6" t="n"/>
      <c r="C358" s="6" t="n"/>
      <c r="D358" s="6" t="n"/>
      <c r="E358" s="8" t="n"/>
      <c r="F358" s="6" t="n"/>
    </row>
    <row r="359">
      <c r="A359" s="6" t="n"/>
      <c r="B359" s="6" t="n"/>
      <c r="C359" s="6" t="n"/>
      <c r="D359" s="6" t="n"/>
      <c r="E359" s="8" t="n"/>
      <c r="F359" s="6" t="n"/>
    </row>
    <row r="360">
      <c r="A360" s="6" t="n"/>
      <c r="B360" s="6" t="n"/>
      <c r="C360" s="6" t="n"/>
      <c r="D360" s="6" t="n"/>
      <c r="E360" s="8" t="n"/>
      <c r="F360" s="6" t="n"/>
    </row>
    <row r="361">
      <c r="A361" s="6" t="n"/>
      <c r="B361" s="6" t="n"/>
      <c r="C361" s="6" t="n"/>
      <c r="D361" s="6" t="n"/>
      <c r="E361" s="8" t="n"/>
      <c r="F361" s="6" t="n"/>
    </row>
    <row r="362">
      <c r="A362" s="6" t="n"/>
      <c r="B362" s="6" t="n"/>
      <c r="C362" s="6" t="n"/>
      <c r="D362" s="6" t="n"/>
      <c r="E362" s="8" t="n"/>
      <c r="F362" s="6" t="n"/>
    </row>
    <row r="363">
      <c r="A363" s="6" t="n"/>
      <c r="B363" s="6" t="n"/>
      <c r="C363" s="6" t="n"/>
      <c r="D363" s="6" t="n"/>
      <c r="E363" s="8" t="n"/>
      <c r="F363" s="6" t="n"/>
    </row>
    <row r="364">
      <c r="A364" s="6" t="n"/>
      <c r="B364" s="6" t="n"/>
      <c r="C364" s="6" t="n"/>
      <c r="D364" s="6" t="n"/>
      <c r="E364" s="8" t="n"/>
      <c r="F364" s="6" t="n"/>
    </row>
    <row r="365">
      <c r="A365" s="6" t="n"/>
      <c r="B365" s="6" t="n"/>
      <c r="C365" s="6" t="n"/>
      <c r="D365" s="6" t="n"/>
      <c r="E365" s="8" t="n"/>
      <c r="F365" s="6" t="n"/>
    </row>
    <row r="366">
      <c r="A366" s="6" t="n"/>
      <c r="B366" s="6" t="n"/>
      <c r="C366" s="6" t="n"/>
      <c r="D366" s="6" t="n"/>
      <c r="E366" s="8" t="n"/>
      <c r="F366" s="6" t="n"/>
    </row>
    <row r="367">
      <c r="A367" s="6" t="n"/>
      <c r="B367" s="6" t="n"/>
      <c r="C367" s="6" t="n"/>
      <c r="D367" s="6" t="n"/>
      <c r="E367" s="8" t="n"/>
      <c r="F367" s="6" t="n"/>
    </row>
    <row r="368">
      <c r="A368" s="6" t="n"/>
      <c r="B368" s="6" t="n"/>
      <c r="C368" s="6" t="n"/>
      <c r="D368" s="6" t="n"/>
      <c r="E368" s="8" t="n"/>
      <c r="F368" s="6" t="n"/>
    </row>
    <row r="369">
      <c r="A369" s="6" t="n"/>
      <c r="B369" s="6" t="n"/>
      <c r="C369" s="6" t="n"/>
      <c r="D369" s="6" t="n"/>
      <c r="E369" s="8" t="n"/>
      <c r="F369" s="6" t="n"/>
    </row>
    <row r="370">
      <c r="A370" s="6" t="n"/>
      <c r="B370" s="6" t="n"/>
      <c r="C370" s="6" t="n"/>
      <c r="D370" s="6" t="n"/>
      <c r="E370" s="8" t="n"/>
      <c r="F370" s="6" t="n"/>
    </row>
    <row r="371">
      <c r="A371" s="6" t="n"/>
      <c r="B371" s="6" t="n"/>
      <c r="C371" s="6" t="n"/>
      <c r="D371" s="6" t="n"/>
      <c r="E371" s="8" t="n"/>
      <c r="F371" s="6" t="n"/>
    </row>
    <row r="372">
      <c r="A372" s="6" t="n"/>
      <c r="B372" s="6" t="n"/>
      <c r="C372" s="6" t="n"/>
      <c r="D372" s="6" t="n"/>
      <c r="E372" s="8" t="n"/>
      <c r="F372" s="6" t="n"/>
    </row>
    <row r="373">
      <c r="A373" s="6" t="n"/>
      <c r="B373" s="6" t="n"/>
      <c r="C373" s="6" t="n"/>
      <c r="D373" s="6" t="n"/>
      <c r="E373" s="8" t="n"/>
      <c r="F373" s="6" t="n"/>
    </row>
    <row r="374">
      <c r="A374" s="6" t="n"/>
      <c r="B374" s="6" t="n"/>
      <c r="C374" s="6" t="n"/>
      <c r="D374" s="6" t="n"/>
      <c r="E374" s="8" t="n"/>
      <c r="F374" s="6" t="n"/>
    </row>
    <row r="375">
      <c r="A375" s="6" t="n"/>
      <c r="B375" s="6" t="n"/>
      <c r="C375" s="6" t="n"/>
      <c r="D375" s="6" t="n"/>
      <c r="E375" s="8" t="n"/>
      <c r="F375" s="6" t="n"/>
    </row>
    <row r="376">
      <c r="A376" s="6" t="n"/>
      <c r="B376" s="6" t="n"/>
      <c r="C376" s="6" t="n"/>
      <c r="D376" s="6" t="n"/>
      <c r="E376" s="8" t="n"/>
      <c r="F376" s="6" t="n"/>
    </row>
    <row r="377">
      <c r="A377" s="6" t="n"/>
      <c r="B377" s="6" t="n"/>
      <c r="C377" s="6" t="n"/>
      <c r="D377" s="6" t="n"/>
      <c r="E377" s="8" t="n"/>
      <c r="F377" s="6" t="n"/>
    </row>
    <row r="378">
      <c r="A378" s="6" t="n"/>
      <c r="B378" s="6" t="n"/>
      <c r="C378" s="6" t="n"/>
      <c r="D378" s="6" t="n"/>
      <c r="E378" s="8" t="n"/>
      <c r="F378" s="6" t="n"/>
    </row>
    <row r="379">
      <c r="A379" s="6" t="n"/>
      <c r="B379" s="6" t="n"/>
      <c r="C379" s="6" t="n"/>
      <c r="D379" s="6" t="n"/>
      <c r="E379" s="8" t="n"/>
      <c r="F379" s="6" t="n"/>
    </row>
    <row r="380">
      <c r="A380" s="6" t="n"/>
      <c r="B380" s="6" t="n"/>
      <c r="C380" s="6" t="n"/>
      <c r="D380" s="6" t="n"/>
      <c r="E380" s="8" t="n"/>
      <c r="F380" s="6" t="n"/>
    </row>
    <row r="381">
      <c r="A381" s="6" t="n"/>
      <c r="B381" s="6" t="n"/>
      <c r="C381" s="6" t="n"/>
      <c r="D381" s="6" t="n"/>
      <c r="E381" s="8" t="n"/>
      <c r="F381" s="6" t="n"/>
    </row>
    <row r="382">
      <c r="A382" s="6" t="n"/>
      <c r="B382" s="6" t="n"/>
      <c r="C382" s="6" t="n"/>
      <c r="D382" s="6" t="n"/>
      <c r="E382" s="8" t="n"/>
      <c r="F382" s="6" t="n"/>
    </row>
    <row r="383">
      <c r="A383" s="6" t="n"/>
      <c r="B383" s="6" t="n"/>
      <c r="C383" s="6" t="n"/>
      <c r="D383" s="6" t="n"/>
      <c r="E383" s="8" t="n"/>
      <c r="F383" s="6" t="n"/>
    </row>
    <row r="384">
      <c r="A384" s="6" t="n"/>
      <c r="B384" s="6" t="n"/>
      <c r="C384" s="6" t="n"/>
      <c r="D384" s="6" t="n"/>
      <c r="E384" s="8" t="n"/>
      <c r="F384" s="6" t="n"/>
    </row>
    <row r="385">
      <c r="A385" s="6" t="n"/>
      <c r="B385" s="6" t="n"/>
      <c r="C385" s="6" t="n"/>
      <c r="D385" s="6" t="n"/>
      <c r="E385" s="8" t="n"/>
      <c r="F385" s="6" t="n"/>
    </row>
    <row r="386">
      <c r="A386" s="6" t="n"/>
      <c r="B386" s="6" t="n"/>
      <c r="C386" s="6" t="n"/>
      <c r="D386" s="6" t="n"/>
      <c r="E386" s="8" t="n"/>
      <c r="F386" s="6" t="n"/>
    </row>
    <row r="387">
      <c r="A387" s="6" t="n"/>
      <c r="B387" s="6" t="n"/>
      <c r="C387" s="6" t="n"/>
      <c r="D387" s="6" t="n"/>
      <c r="E387" s="8" t="n"/>
      <c r="F387" s="6" t="n"/>
    </row>
    <row r="388">
      <c r="A388" s="6" t="n"/>
      <c r="B388" s="6" t="n"/>
      <c r="C388" s="6" t="n"/>
      <c r="D388" s="6" t="n"/>
      <c r="E388" s="8" t="n"/>
      <c r="F388" s="6" t="n"/>
    </row>
    <row r="389">
      <c r="A389" s="6" t="n"/>
      <c r="B389" s="6" t="n"/>
      <c r="C389" s="6" t="n"/>
      <c r="D389" s="6" t="n"/>
      <c r="E389" s="8" t="n"/>
      <c r="F389" s="6" t="n"/>
    </row>
    <row r="390">
      <c r="A390" s="6" t="n"/>
      <c r="B390" s="6" t="n"/>
      <c r="C390" s="6" t="n"/>
      <c r="D390" s="6" t="n"/>
      <c r="E390" s="8" t="n"/>
      <c r="F390" s="6" t="n"/>
    </row>
    <row r="391">
      <c r="A391" s="6" t="n"/>
      <c r="B391" s="6" t="n"/>
      <c r="C391" s="6" t="n"/>
      <c r="D391" s="6" t="n"/>
      <c r="E391" s="8" t="n"/>
      <c r="F391" s="6" t="n"/>
    </row>
    <row r="392">
      <c r="A392" s="6" t="n"/>
      <c r="B392" s="6" t="n"/>
      <c r="C392" s="6" t="n"/>
      <c r="D392" s="6" t="n"/>
      <c r="E392" s="8" t="n"/>
      <c r="F392" s="6" t="n"/>
    </row>
    <row r="393">
      <c r="A393" s="6" t="n"/>
      <c r="B393" s="6" t="n"/>
      <c r="C393" s="6" t="n"/>
      <c r="D393" s="6" t="n"/>
      <c r="E393" s="8" t="n"/>
      <c r="F393" s="6" t="n"/>
    </row>
    <row r="394">
      <c r="A394" s="6" t="n"/>
      <c r="B394" s="6" t="n"/>
      <c r="C394" s="6" t="n"/>
      <c r="D394" s="6" t="n"/>
      <c r="E394" s="8" t="n"/>
      <c r="F394" s="6" t="n"/>
    </row>
    <row r="395">
      <c r="A395" s="6" t="n"/>
      <c r="B395" s="6" t="n"/>
      <c r="C395" s="6" t="n"/>
      <c r="D395" s="6" t="n"/>
      <c r="E395" s="8" t="n"/>
      <c r="F395" s="6" t="n"/>
    </row>
    <row r="396">
      <c r="A396" s="6" t="n"/>
      <c r="B396" s="6" t="n"/>
      <c r="C396" s="6" t="n"/>
      <c r="D396" s="6" t="n"/>
      <c r="E396" s="8" t="n"/>
      <c r="F396" s="6" t="n"/>
    </row>
    <row r="397">
      <c r="A397" s="6" t="n"/>
      <c r="B397" s="6" t="n"/>
      <c r="C397" s="6" t="n"/>
      <c r="D397" s="6" t="n"/>
      <c r="E397" s="8" t="n"/>
      <c r="F397" s="6" t="n"/>
    </row>
    <row r="398">
      <c r="A398" s="6" t="n"/>
      <c r="B398" s="6" t="n"/>
      <c r="C398" s="6" t="n"/>
      <c r="D398" s="6" t="n"/>
      <c r="E398" s="8" t="n"/>
      <c r="F398" s="6" t="n"/>
    </row>
    <row r="399">
      <c r="A399" s="6" t="n"/>
      <c r="B399" s="6" t="n"/>
      <c r="C399" s="6" t="n"/>
      <c r="D399" s="6" t="n"/>
      <c r="E399" s="8" t="n"/>
      <c r="F399" s="6" t="n"/>
    </row>
    <row r="400">
      <c r="A400" s="6" t="n"/>
      <c r="B400" s="6" t="n"/>
      <c r="C400" s="6" t="n"/>
      <c r="D400" s="6" t="n"/>
      <c r="E400" s="8" t="n"/>
      <c r="F400" s="6" t="n"/>
    </row>
    <row r="401">
      <c r="A401" s="6" t="n"/>
      <c r="B401" s="6" t="n"/>
      <c r="C401" s="6" t="n"/>
      <c r="D401" s="6" t="n"/>
      <c r="E401" s="8" t="n"/>
      <c r="F401" s="6" t="n"/>
    </row>
    <row r="402">
      <c r="A402" s="6" t="n"/>
      <c r="B402" s="6" t="n"/>
      <c r="C402" s="6" t="n"/>
      <c r="D402" s="6" t="n"/>
      <c r="E402" s="8" t="n"/>
      <c r="F402" s="6" t="n"/>
    </row>
    <row r="403">
      <c r="A403" s="6" t="n"/>
      <c r="B403" s="6" t="n"/>
      <c r="C403" s="6" t="n"/>
      <c r="D403" s="6" t="n"/>
      <c r="E403" s="8" t="n"/>
      <c r="F403" s="6" t="n"/>
    </row>
    <row r="404">
      <c r="A404" s="6" t="n"/>
      <c r="B404" s="6" t="n"/>
      <c r="C404" s="6" t="n"/>
      <c r="D404" s="6" t="n"/>
      <c r="E404" s="8" t="n"/>
      <c r="F404" s="6" t="n"/>
    </row>
    <row r="405">
      <c r="A405" s="6" t="n"/>
      <c r="B405" s="6" t="n"/>
      <c r="C405" s="6" t="n"/>
      <c r="D405" s="6" t="n"/>
      <c r="E405" s="8" t="n"/>
      <c r="F405" s="6" t="n"/>
    </row>
    <row r="406">
      <c r="A406" s="6" t="n"/>
      <c r="B406" s="6" t="n"/>
      <c r="C406" s="6" t="n"/>
      <c r="D406" s="6" t="n"/>
      <c r="E406" s="8" t="n"/>
      <c r="F406" s="6" t="n"/>
    </row>
    <row r="407">
      <c r="A407" s="6" t="n"/>
      <c r="B407" s="6" t="n"/>
      <c r="C407" s="6" t="n"/>
      <c r="D407" s="6" t="n"/>
      <c r="E407" s="8" t="n"/>
      <c r="F407" s="6" t="n"/>
    </row>
    <row r="408">
      <c r="A408" s="6" t="n"/>
      <c r="B408" s="6" t="n"/>
      <c r="C408" s="6" t="n"/>
      <c r="D408" s="6" t="n"/>
      <c r="E408" s="8" t="n"/>
      <c r="F408" s="6" t="n"/>
    </row>
    <row r="409">
      <c r="A409" s="6" t="n"/>
      <c r="B409" s="6" t="n"/>
      <c r="C409" s="6" t="n"/>
      <c r="D409" s="6" t="n"/>
      <c r="E409" s="8" t="n"/>
      <c r="F409" s="6" t="n"/>
    </row>
    <row r="410">
      <c r="A410" s="6" t="n"/>
      <c r="B410" s="6" t="n"/>
      <c r="C410" s="6" t="n"/>
      <c r="D410" s="6" t="n"/>
      <c r="E410" s="8" t="n"/>
      <c r="F410" s="6" t="n"/>
    </row>
    <row r="411">
      <c r="A411" s="6" t="n"/>
      <c r="B411" s="6" t="n"/>
      <c r="C411" s="6" t="n"/>
      <c r="D411" s="6" t="n"/>
      <c r="E411" s="8" t="n"/>
      <c r="F411" s="6" t="n"/>
    </row>
    <row r="412">
      <c r="A412" s="6" t="n"/>
      <c r="B412" s="6" t="n"/>
      <c r="C412" s="6" t="n"/>
      <c r="D412" s="6" t="n"/>
      <c r="E412" s="8" t="n"/>
      <c r="F412" s="6" t="n"/>
    </row>
    <row r="413">
      <c r="A413" s="6" t="n"/>
      <c r="B413" s="6" t="n"/>
      <c r="C413" s="6" t="n"/>
      <c r="D413" s="6" t="n"/>
      <c r="E413" s="8" t="n"/>
      <c r="F413" s="6" t="n"/>
    </row>
    <row r="414">
      <c r="A414" s="6" t="n"/>
      <c r="B414" s="6" t="n"/>
      <c r="C414" s="6" t="n"/>
      <c r="D414" s="6" t="n"/>
      <c r="E414" s="8" t="n"/>
      <c r="F414" s="6" t="n"/>
    </row>
    <row r="415">
      <c r="A415" s="6" t="n"/>
      <c r="B415" s="6" t="n"/>
      <c r="C415" s="6" t="n"/>
      <c r="D415" s="6" t="n"/>
      <c r="E415" s="8" t="n"/>
      <c r="F415" s="6" t="n"/>
    </row>
    <row r="416">
      <c r="A416" s="6" t="n"/>
      <c r="B416" s="6" t="n"/>
      <c r="C416" s="6" t="n"/>
      <c r="D416" s="6" t="n"/>
      <c r="E416" s="8" t="n"/>
      <c r="F416" s="6" t="n"/>
    </row>
    <row r="417">
      <c r="A417" s="6" t="n"/>
      <c r="B417" s="6" t="n"/>
      <c r="C417" s="6" t="n"/>
      <c r="D417" s="6" t="n"/>
      <c r="E417" s="8" t="n"/>
      <c r="F417" s="6" t="n"/>
    </row>
    <row r="418">
      <c r="A418" s="6" t="n"/>
      <c r="B418" s="6" t="n"/>
      <c r="C418" s="6" t="n"/>
      <c r="D418" s="6" t="n"/>
      <c r="E418" s="8" t="n"/>
      <c r="F418" s="6" t="n"/>
    </row>
    <row r="419">
      <c r="A419" s="6" t="n"/>
      <c r="B419" s="6" t="n"/>
      <c r="C419" s="6" t="n"/>
      <c r="D419" s="6" t="n"/>
      <c r="E419" s="8" t="n"/>
      <c r="F419" s="6" t="n"/>
    </row>
    <row r="420">
      <c r="A420" s="6" t="n"/>
      <c r="B420" s="6" t="n"/>
      <c r="C420" s="6" t="n"/>
      <c r="D420" s="6" t="n"/>
      <c r="E420" s="8" t="n"/>
      <c r="F420" s="6" t="n"/>
    </row>
    <row r="421">
      <c r="A421" s="6" t="n"/>
      <c r="B421" s="6" t="n"/>
      <c r="C421" s="6" t="n"/>
      <c r="D421" s="6" t="n"/>
      <c r="E421" s="8" t="n"/>
      <c r="F421" s="6" t="n"/>
    </row>
    <row r="422">
      <c r="A422" s="6" t="n"/>
      <c r="B422" s="6" t="n"/>
      <c r="C422" s="6" t="n"/>
      <c r="D422" s="6" t="n"/>
      <c r="E422" s="8" t="n"/>
      <c r="F422" s="6" t="n"/>
    </row>
    <row r="423">
      <c r="A423" s="6" t="n"/>
      <c r="B423" s="6" t="n"/>
      <c r="C423" s="6" t="n"/>
      <c r="D423" s="6" t="n"/>
      <c r="E423" s="8" t="n"/>
      <c r="F423" s="6" t="n"/>
    </row>
    <row r="424">
      <c r="A424" s="6" t="n"/>
      <c r="B424" s="6" t="n"/>
      <c r="C424" s="6" t="n"/>
      <c r="D424" s="6" t="n"/>
      <c r="E424" s="8" t="n"/>
      <c r="F424" s="6" t="n"/>
    </row>
    <row r="425">
      <c r="A425" s="6" t="n"/>
      <c r="B425" s="6" t="n"/>
      <c r="C425" s="6" t="n"/>
      <c r="D425" s="6" t="n"/>
      <c r="E425" s="8" t="n"/>
      <c r="F425" s="6" t="n"/>
    </row>
    <row r="426">
      <c r="A426" s="6" t="n"/>
      <c r="B426" s="6" t="n"/>
      <c r="C426" s="6" t="n"/>
      <c r="D426" s="6" t="n"/>
      <c r="E426" s="8" t="n"/>
      <c r="F426" s="6" t="n"/>
    </row>
    <row r="427">
      <c r="A427" s="6" t="n"/>
      <c r="B427" s="6" t="n"/>
      <c r="C427" s="6" t="n"/>
      <c r="D427" s="6" t="n"/>
      <c r="E427" s="8" t="n"/>
      <c r="F427" s="6" t="n"/>
    </row>
    <row r="428">
      <c r="A428" s="6" t="n"/>
      <c r="B428" s="6" t="n"/>
      <c r="C428" s="6" t="n"/>
      <c r="D428" s="6" t="n"/>
      <c r="E428" s="8" t="n"/>
      <c r="F428" s="6" t="n"/>
    </row>
    <row r="429">
      <c r="A429" s="6" t="n"/>
      <c r="B429" s="6" t="n"/>
      <c r="C429" s="6" t="n"/>
      <c r="D429" s="6" t="n"/>
      <c r="E429" s="8" t="n"/>
      <c r="F429" s="6" t="n"/>
    </row>
    <row r="430">
      <c r="A430" s="6" t="n"/>
      <c r="B430" s="6" t="n"/>
      <c r="C430" s="6" t="n"/>
      <c r="D430" s="6" t="n"/>
      <c r="E430" s="8" t="n"/>
      <c r="F430" s="6" t="n"/>
    </row>
    <row r="431">
      <c r="A431" s="6" t="n"/>
      <c r="B431" s="6" t="n"/>
      <c r="C431" s="6" t="n"/>
      <c r="D431" s="6" t="n"/>
      <c r="E431" s="8" t="n"/>
      <c r="F431" s="6" t="n"/>
    </row>
    <row r="432">
      <c r="A432" s="6" t="n"/>
      <c r="B432" s="6" t="n"/>
      <c r="C432" s="6" t="n"/>
      <c r="D432" s="6" t="n"/>
      <c r="E432" s="8" t="n"/>
      <c r="F432" s="6" t="n"/>
    </row>
    <row r="433">
      <c r="A433" s="6" t="n"/>
      <c r="B433" s="6" t="n"/>
      <c r="C433" s="6" t="n"/>
      <c r="D433" s="6" t="n"/>
      <c r="E433" s="8" t="n"/>
      <c r="F433" s="6" t="n"/>
    </row>
    <row r="434">
      <c r="A434" s="6" t="n"/>
      <c r="B434" s="6" t="n"/>
      <c r="C434" s="6" t="n"/>
      <c r="D434" s="6" t="n"/>
      <c r="E434" s="8" t="n"/>
      <c r="F434" s="6" t="n"/>
    </row>
    <row r="435">
      <c r="A435" s="6" t="n"/>
      <c r="B435" s="6" t="n"/>
      <c r="C435" s="6" t="n"/>
      <c r="D435" s="6" t="n"/>
      <c r="E435" s="8" t="n"/>
      <c r="F435" s="6" t="n"/>
    </row>
    <row r="436">
      <c r="A436" s="6" t="n"/>
      <c r="B436" s="6" t="n"/>
      <c r="C436" s="6" t="n"/>
      <c r="D436" s="6" t="n"/>
      <c r="E436" s="8" t="n"/>
      <c r="F436" s="6" t="n"/>
    </row>
    <row r="437">
      <c r="A437" s="6" t="n"/>
      <c r="B437" s="6" t="n"/>
      <c r="C437" s="6" t="n"/>
      <c r="D437" s="6" t="n"/>
      <c r="E437" s="8" t="n"/>
      <c r="F437" s="6" t="n"/>
    </row>
    <row r="438">
      <c r="A438" s="6" t="n"/>
      <c r="B438" s="6" t="n"/>
      <c r="C438" s="6" t="n"/>
      <c r="D438" s="6" t="n"/>
      <c r="E438" s="8" t="n"/>
      <c r="F438" s="6" t="n"/>
    </row>
    <row r="439">
      <c r="A439" s="6" t="n"/>
      <c r="B439" s="6" t="n"/>
      <c r="C439" s="6" t="n"/>
      <c r="D439" s="6" t="n"/>
      <c r="E439" s="8" t="n"/>
      <c r="F439" s="6" t="n"/>
    </row>
    <row r="440">
      <c r="A440" s="6" t="n"/>
      <c r="B440" s="6" t="n"/>
      <c r="C440" s="6" t="n"/>
      <c r="D440" s="6" t="n"/>
      <c r="E440" s="8" t="n"/>
      <c r="F440" s="6" t="n"/>
    </row>
    <row r="441">
      <c r="A441" s="6" t="n"/>
      <c r="B441" s="6" t="n"/>
      <c r="C441" s="6" t="n"/>
      <c r="D441" s="6" t="n"/>
      <c r="E441" s="8" t="n"/>
      <c r="F441" s="6" t="n"/>
    </row>
    <row r="442">
      <c r="A442" s="6" t="n"/>
      <c r="B442" s="6" t="n"/>
      <c r="C442" s="6" t="n"/>
      <c r="D442" s="6" t="n"/>
      <c r="E442" s="8" t="n"/>
      <c r="F442" s="6" t="n"/>
    </row>
    <row r="443">
      <c r="A443" s="6" t="n"/>
      <c r="B443" s="6" t="n"/>
      <c r="C443" s="6" t="n"/>
      <c r="D443" s="6" t="n"/>
      <c r="E443" s="8" t="n"/>
      <c r="F443" s="6" t="n"/>
    </row>
    <row r="444">
      <c r="A444" s="6" t="n"/>
      <c r="B444" s="6" t="n"/>
      <c r="C444" s="6" t="n"/>
      <c r="D444" s="6" t="n"/>
      <c r="E444" s="8" t="n"/>
      <c r="F444" s="6" t="n"/>
    </row>
    <row r="445">
      <c r="A445" s="6" t="n"/>
      <c r="B445" s="6" t="n"/>
      <c r="C445" s="6" t="n"/>
      <c r="D445" s="6" t="n"/>
      <c r="E445" s="8" t="n"/>
      <c r="F445" s="6" t="n"/>
    </row>
    <row r="446">
      <c r="A446" s="6" t="n"/>
      <c r="B446" s="6" t="n"/>
      <c r="C446" s="6" t="n"/>
      <c r="D446" s="6" t="n"/>
      <c r="E446" s="8" t="n"/>
      <c r="F446" s="6" t="n"/>
    </row>
    <row r="447">
      <c r="A447" s="6" t="n"/>
      <c r="B447" s="6" t="n"/>
      <c r="C447" s="6" t="n"/>
      <c r="D447" s="6" t="n"/>
      <c r="E447" s="8" t="n"/>
      <c r="F447" s="6" t="n"/>
    </row>
    <row r="448">
      <c r="A448" s="6" t="n"/>
      <c r="B448" s="6" t="n"/>
      <c r="C448" s="6" t="n"/>
      <c r="D448" s="6" t="n"/>
      <c r="E448" s="8" t="n"/>
      <c r="F448" s="6" t="n"/>
    </row>
    <row r="449">
      <c r="A449" s="6" t="n"/>
      <c r="B449" s="6" t="n"/>
      <c r="C449" s="6" t="n"/>
      <c r="D449" s="6" t="n"/>
      <c r="E449" s="8" t="n"/>
      <c r="F449" s="6" t="n"/>
    </row>
    <row r="450">
      <c r="A450" s="6" t="n"/>
      <c r="B450" s="6" t="n"/>
      <c r="C450" s="6" t="n"/>
      <c r="D450" s="6" t="n"/>
      <c r="E450" s="8" t="n"/>
      <c r="F450" s="6" t="n"/>
    </row>
    <row r="451">
      <c r="A451" s="6" t="n"/>
      <c r="B451" s="6" t="n"/>
      <c r="C451" s="6" t="n"/>
      <c r="D451" s="6" t="n"/>
      <c r="E451" s="8" t="n"/>
      <c r="F451" s="6" t="n"/>
    </row>
    <row r="452">
      <c r="A452" s="6" t="n"/>
      <c r="B452" s="6" t="n"/>
      <c r="C452" s="6" t="n"/>
      <c r="D452" s="6" t="n"/>
      <c r="E452" s="8" t="n"/>
      <c r="F452" s="6" t="n"/>
    </row>
    <row r="453">
      <c r="A453" s="6" t="n"/>
      <c r="B453" s="6" t="n"/>
      <c r="C453" s="6" t="n"/>
      <c r="D453" s="6" t="n"/>
      <c r="E453" s="8" t="n"/>
      <c r="F453" s="6" t="n"/>
    </row>
    <row r="454">
      <c r="A454" s="6" t="n"/>
      <c r="B454" s="6" t="n"/>
      <c r="C454" s="6" t="n"/>
      <c r="D454" s="6" t="n"/>
      <c r="E454" s="8" t="n"/>
      <c r="F454" s="6" t="n"/>
    </row>
    <row r="455">
      <c r="A455" s="6" t="n"/>
      <c r="B455" s="6" t="n"/>
      <c r="C455" s="6" t="n"/>
      <c r="D455" s="6" t="n"/>
      <c r="E455" s="8" t="n"/>
      <c r="F455" s="6" t="n"/>
    </row>
    <row r="456">
      <c r="A456" s="6" t="n"/>
      <c r="B456" s="6" t="n"/>
      <c r="C456" s="6" t="n"/>
      <c r="D456" s="6" t="n"/>
      <c r="E456" s="8" t="n"/>
      <c r="F456" s="6" t="n"/>
    </row>
    <row r="457">
      <c r="A457" s="6" t="n"/>
      <c r="B457" s="6" t="n"/>
      <c r="C457" s="6" t="n"/>
      <c r="D457" s="6" t="n"/>
      <c r="E457" s="8" t="n"/>
      <c r="F457" s="6" t="n"/>
    </row>
    <row r="458">
      <c r="A458" s="6" t="n"/>
      <c r="B458" s="6" t="n"/>
      <c r="C458" s="6" t="n"/>
      <c r="D458" s="6" t="n"/>
      <c r="E458" s="8" t="n"/>
      <c r="F458" s="6" t="n"/>
    </row>
    <row r="459">
      <c r="A459" s="6" t="n"/>
      <c r="B459" s="6" t="n"/>
      <c r="C459" s="6" t="n"/>
      <c r="D459" s="6" t="n"/>
      <c r="E459" s="8" t="n"/>
      <c r="F459" s="6" t="n"/>
    </row>
    <row r="460">
      <c r="A460" s="6" t="n"/>
      <c r="B460" s="6" t="n"/>
      <c r="C460" s="6" t="n"/>
      <c r="D460" s="6" t="n"/>
      <c r="E460" s="8" t="n"/>
      <c r="F460" s="6" t="n"/>
    </row>
    <row r="461">
      <c r="A461" s="6" t="n"/>
      <c r="B461" s="6" t="n"/>
      <c r="C461" s="6" t="n"/>
      <c r="D461" s="6" t="n"/>
      <c r="E461" s="8" t="n"/>
      <c r="F461" s="6" t="n"/>
    </row>
    <row r="462">
      <c r="A462" s="6" t="n"/>
      <c r="B462" s="6" t="n"/>
      <c r="C462" s="6" t="n"/>
      <c r="D462" s="6" t="n"/>
      <c r="E462" s="8" t="n"/>
      <c r="F462" s="6" t="n"/>
    </row>
    <row r="463">
      <c r="A463" s="6" t="n"/>
      <c r="B463" s="6" t="n"/>
      <c r="C463" s="6" t="n"/>
      <c r="D463" s="6" t="n"/>
      <c r="E463" s="8" t="n"/>
      <c r="F463" s="6" t="n"/>
    </row>
    <row r="464">
      <c r="A464" s="6" t="n"/>
      <c r="B464" s="6" t="n"/>
      <c r="C464" s="6" t="n"/>
      <c r="D464" s="6" t="n"/>
      <c r="E464" s="8" t="n"/>
      <c r="F464" s="6" t="n"/>
    </row>
    <row r="465">
      <c r="A465" s="6" t="n"/>
      <c r="B465" s="6" t="n"/>
      <c r="C465" s="6" t="n"/>
      <c r="D465" s="6" t="n"/>
      <c r="E465" s="8" t="n"/>
      <c r="F465" s="6" t="n"/>
    </row>
    <row r="466">
      <c r="A466" s="6" t="n"/>
      <c r="B466" s="6" t="n"/>
      <c r="C466" s="6" t="n"/>
      <c r="D466" s="6" t="n"/>
      <c r="E466" s="8" t="n"/>
      <c r="F466" s="6" t="n"/>
    </row>
    <row r="467">
      <c r="A467" s="6" t="n"/>
      <c r="B467" s="6" t="n"/>
      <c r="C467" s="6" t="n"/>
      <c r="D467" s="6" t="n"/>
      <c r="E467" s="8" t="n"/>
      <c r="F467" s="6" t="n"/>
    </row>
    <row r="468">
      <c r="A468" s="6" t="n"/>
      <c r="B468" s="6" t="n"/>
      <c r="C468" s="6" t="n"/>
      <c r="D468" s="6" t="n"/>
      <c r="E468" s="8" t="n"/>
      <c r="F468" s="6" t="n"/>
    </row>
    <row r="469">
      <c r="A469" s="6" t="n"/>
      <c r="B469" s="6" t="n"/>
      <c r="C469" s="6" t="n"/>
      <c r="D469" s="6" t="n"/>
      <c r="E469" s="8" t="n"/>
      <c r="F469" s="6" t="n"/>
    </row>
    <row r="470">
      <c r="A470" s="6" t="n"/>
      <c r="B470" s="6" t="n"/>
      <c r="C470" s="6" t="n"/>
      <c r="D470" s="6" t="n"/>
      <c r="E470" s="8" t="n"/>
      <c r="F470" s="6" t="n"/>
    </row>
    <row r="471">
      <c r="A471" s="6" t="n"/>
      <c r="B471" s="6" t="n"/>
      <c r="C471" s="6" t="n"/>
      <c r="D471" s="6" t="n"/>
      <c r="E471" s="8" t="n"/>
      <c r="F471" s="6" t="n"/>
    </row>
    <row r="472">
      <c r="A472" s="6" t="n"/>
      <c r="B472" s="6" t="n"/>
      <c r="C472" s="6" t="n"/>
      <c r="D472" s="6" t="n"/>
      <c r="E472" s="8" t="n"/>
      <c r="F472" s="6" t="n"/>
    </row>
    <row r="473">
      <c r="A473" s="6" t="n"/>
      <c r="B473" s="6" t="n"/>
      <c r="C473" s="6" t="n"/>
      <c r="D473" s="6" t="n"/>
      <c r="E473" s="8" t="n"/>
      <c r="F473" s="6" t="n"/>
    </row>
    <row r="474">
      <c r="A474" s="6" t="n"/>
      <c r="B474" s="6" t="n"/>
      <c r="C474" s="6" t="n"/>
      <c r="D474" s="6" t="n"/>
      <c r="E474" s="8" t="n"/>
      <c r="F474" s="6" t="n"/>
    </row>
    <row r="475">
      <c r="A475" s="6" t="n"/>
      <c r="B475" s="6" t="n"/>
      <c r="C475" s="6" t="n"/>
      <c r="D475" s="6" t="n"/>
      <c r="E475" s="8" t="n"/>
      <c r="F475" s="6" t="n"/>
    </row>
    <row r="476">
      <c r="A476" s="6" t="n"/>
      <c r="B476" s="6" t="n"/>
      <c r="C476" s="6" t="n"/>
      <c r="D476" s="6" t="n"/>
      <c r="E476" s="8" t="n"/>
      <c r="F476" s="6" t="n"/>
    </row>
    <row r="477">
      <c r="A477" s="6" t="n"/>
      <c r="B477" s="6" t="n"/>
      <c r="C477" s="6" t="n"/>
      <c r="D477" s="6" t="n"/>
      <c r="E477" s="8" t="n"/>
      <c r="F477" s="6" t="n"/>
    </row>
    <row r="478">
      <c r="A478" s="6" t="n"/>
      <c r="B478" s="6" t="n"/>
      <c r="C478" s="6" t="n"/>
      <c r="D478" s="6" t="n"/>
      <c r="E478" s="8" t="n"/>
      <c r="F478" s="6" t="n"/>
    </row>
    <row r="479">
      <c r="A479" s="6" t="n"/>
      <c r="B479" s="6" t="n"/>
      <c r="C479" s="6" t="n"/>
      <c r="D479" s="6" t="n"/>
      <c r="E479" s="8" t="n"/>
      <c r="F479" s="6" t="n"/>
    </row>
    <row r="480">
      <c r="A480" s="6" t="n"/>
      <c r="B480" s="6" t="n"/>
      <c r="C480" s="6" t="n"/>
      <c r="D480" s="6" t="n"/>
      <c r="E480" s="8" t="n"/>
      <c r="F480" s="6" t="n"/>
    </row>
    <row r="481">
      <c r="A481" s="6" t="n"/>
      <c r="B481" s="6" t="n"/>
      <c r="C481" s="6" t="n"/>
      <c r="D481" s="6" t="n"/>
      <c r="E481" s="8" t="n"/>
      <c r="F481" s="6" t="n"/>
    </row>
    <row r="482">
      <c r="A482" s="6" t="n"/>
      <c r="B482" s="6" t="n"/>
      <c r="C482" s="6" t="n"/>
      <c r="D482" s="6" t="n"/>
      <c r="E482" s="8" t="n"/>
      <c r="F482" s="6" t="n"/>
    </row>
    <row r="483">
      <c r="A483" s="6" t="n"/>
      <c r="B483" s="6" t="n"/>
      <c r="C483" s="6" t="n"/>
      <c r="D483" s="6" t="n"/>
      <c r="E483" s="8" t="n"/>
      <c r="F483" s="6" t="n"/>
    </row>
    <row r="484">
      <c r="A484" s="6" t="n"/>
      <c r="B484" s="6" t="n"/>
      <c r="C484" s="6" t="n"/>
      <c r="D484" s="6" t="n"/>
      <c r="E484" s="8" t="n"/>
      <c r="F484" s="6" t="n"/>
    </row>
    <row r="485">
      <c r="A485" s="6" t="n"/>
      <c r="B485" s="6" t="n"/>
      <c r="C485" s="6" t="n"/>
      <c r="D485" s="6" t="n"/>
      <c r="E485" s="8" t="n"/>
      <c r="F485" s="6" t="n"/>
    </row>
    <row r="486">
      <c r="A486" s="6" t="n"/>
      <c r="B486" s="6" t="n"/>
      <c r="C486" s="6" t="n"/>
      <c r="D486" s="6" t="n"/>
      <c r="E486" s="8" t="n"/>
      <c r="F486" s="6" t="n"/>
    </row>
    <row r="487">
      <c r="A487" s="6" t="n"/>
      <c r="B487" s="6" t="n"/>
      <c r="C487" s="6" t="n"/>
      <c r="D487" s="6" t="n"/>
      <c r="E487" s="8" t="n"/>
      <c r="F487" s="6" t="n"/>
    </row>
    <row r="488">
      <c r="A488" s="6" t="n"/>
      <c r="B488" s="6" t="n"/>
      <c r="C488" s="6" t="n"/>
      <c r="D488" s="6" t="n"/>
      <c r="E488" s="8" t="n"/>
      <c r="F488" s="6" t="n"/>
    </row>
    <row r="489">
      <c r="A489" s="6" t="n"/>
      <c r="B489" s="6" t="n"/>
      <c r="C489" s="6" t="n"/>
      <c r="D489" s="6" t="n"/>
      <c r="E489" s="8" t="n"/>
      <c r="F489" s="6" t="n"/>
    </row>
    <row r="490">
      <c r="A490" s="6" t="n"/>
      <c r="B490" s="6" t="n"/>
      <c r="C490" s="6" t="n"/>
      <c r="D490" s="6" t="n"/>
      <c r="E490" s="8" t="n"/>
      <c r="F490" s="6" t="n"/>
    </row>
    <row r="491">
      <c r="A491" s="6" t="n"/>
      <c r="B491" s="6" t="n"/>
      <c r="C491" s="6" t="n"/>
      <c r="D491" s="6" t="n"/>
      <c r="E491" s="8" t="n"/>
      <c r="F491" s="6" t="n"/>
    </row>
    <row r="492">
      <c r="A492" s="6" t="n"/>
      <c r="B492" s="6" t="n"/>
      <c r="C492" s="6" t="n"/>
      <c r="D492" s="6" t="n"/>
      <c r="E492" s="8" t="n"/>
      <c r="F492" s="6" t="n"/>
    </row>
    <row r="493">
      <c r="A493" s="6" t="n"/>
      <c r="B493" s="6" t="n"/>
      <c r="C493" s="6" t="n"/>
      <c r="D493" s="6" t="n"/>
      <c r="E493" s="8" t="n"/>
      <c r="F493" s="6" t="n"/>
    </row>
    <row r="494">
      <c r="A494" s="6" t="n"/>
      <c r="B494" s="6" t="n"/>
      <c r="C494" s="6" t="n"/>
      <c r="D494" s="6" t="n"/>
      <c r="E494" s="8" t="n"/>
      <c r="F494" s="6" t="n"/>
    </row>
    <row r="495">
      <c r="A495" s="6" t="n"/>
      <c r="B495" s="6" t="n"/>
      <c r="C495" s="6" t="n"/>
      <c r="D495" s="6" t="n"/>
      <c r="E495" s="8" t="n"/>
      <c r="F495" s="6" t="n"/>
    </row>
    <row r="496">
      <c r="A496" s="6" t="n"/>
      <c r="B496" s="6" t="n"/>
      <c r="C496" s="6" t="n"/>
      <c r="D496" s="6" t="n"/>
      <c r="E496" s="8" t="n"/>
      <c r="F496" s="6" t="n"/>
    </row>
    <row r="497">
      <c r="A497" s="6" t="n"/>
      <c r="B497" s="6" t="n"/>
      <c r="C497" s="6" t="n"/>
      <c r="D497" s="6" t="n"/>
      <c r="E497" s="8" t="n"/>
      <c r="F497" s="6" t="n"/>
    </row>
    <row r="498">
      <c r="A498" s="6" t="n"/>
      <c r="B498" s="6" t="n"/>
      <c r="C498" s="6" t="n"/>
      <c r="D498" s="6" t="n"/>
      <c r="E498" s="8" t="n"/>
      <c r="F498" s="6" t="n"/>
    </row>
    <row r="499">
      <c r="A499" s="6" t="n"/>
      <c r="B499" s="6" t="n"/>
      <c r="C499" s="6" t="n"/>
      <c r="D499" s="6" t="n"/>
      <c r="E499" s="8" t="n"/>
      <c r="F499" s="6" t="n"/>
    </row>
    <row r="500">
      <c r="A500" s="6" t="n"/>
      <c r="B500" s="6" t="n"/>
      <c r="C500" s="6" t="n"/>
      <c r="D500" s="6" t="n"/>
      <c r="E500" s="8" t="n"/>
      <c r="F500" s="6" t="n"/>
    </row>
    <row r="501">
      <c r="A501" s="6" t="n"/>
      <c r="B501" s="6" t="n"/>
      <c r="C501" s="6" t="n"/>
      <c r="D501" s="6" t="n"/>
      <c r="E501" s="8" t="n"/>
      <c r="F501" s="6" t="n"/>
    </row>
    <row r="502">
      <c r="A502" s="6" t="n"/>
      <c r="B502" s="6" t="n"/>
      <c r="C502" s="6" t="n"/>
      <c r="D502" s="6" t="n"/>
      <c r="E502" s="8" t="n"/>
      <c r="F502" s="6" t="n"/>
    </row>
    <row r="503">
      <c r="A503" s="6" t="n"/>
      <c r="B503" s="6" t="n"/>
      <c r="C503" s="6" t="n"/>
      <c r="D503" s="6" t="n"/>
      <c r="E503" s="8" t="n"/>
      <c r="F503" s="6" t="n"/>
    </row>
    <row r="504">
      <c r="A504" s="6" t="n"/>
      <c r="B504" s="6" t="n"/>
      <c r="C504" s="6" t="n"/>
      <c r="D504" s="6" t="n"/>
      <c r="E504" s="8" t="n"/>
      <c r="F504" s="6" t="n"/>
    </row>
    <row r="505">
      <c r="A505" s="6" t="n"/>
      <c r="B505" s="6" t="n"/>
      <c r="C505" s="6" t="n"/>
      <c r="D505" s="6" t="n"/>
      <c r="E505" s="8" t="n"/>
      <c r="F505" s="6" t="n"/>
    </row>
    <row r="506">
      <c r="A506" s="6" t="n"/>
      <c r="B506" s="6" t="n"/>
      <c r="C506" s="6" t="n"/>
      <c r="D506" s="6" t="n"/>
      <c r="E506" s="8" t="n"/>
      <c r="F506" s="6" t="n"/>
    </row>
    <row r="507">
      <c r="A507" s="6" t="n"/>
      <c r="B507" s="6" t="n"/>
      <c r="C507" s="6" t="n"/>
      <c r="D507" s="6" t="n"/>
      <c r="E507" s="8" t="n"/>
      <c r="F507" s="6" t="n"/>
    </row>
    <row r="508">
      <c r="A508" s="6" t="n"/>
      <c r="B508" s="6" t="n"/>
      <c r="C508" s="6" t="n"/>
      <c r="D508" s="6" t="n"/>
      <c r="E508" s="8" t="n"/>
      <c r="F508" s="6" t="n"/>
    </row>
    <row r="509">
      <c r="A509" s="6" t="n"/>
      <c r="B509" s="6" t="n"/>
      <c r="C509" s="6" t="n"/>
      <c r="D509" s="6" t="n"/>
      <c r="E509" s="8" t="n"/>
      <c r="F509" s="6" t="n"/>
    </row>
    <row r="510">
      <c r="A510" s="6" t="n"/>
      <c r="B510" s="6" t="n"/>
      <c r="C510" s="6" t="n"/>
      <c r="D510" s="6" t="n"/>
      <c r="E510" s="8" t="n"/>
      <c r="F510" s="6" t="n"/>
    </row>
    <row r="511">
      <c r="A511" s="6" t="n"/>
      <c r="B511" s="6" t="n"/>
      <c r="C511" s="6" t="n"/>
      <c r="D511" s="6" t="n"/>
      <c r="E511" s="8" t="n"/>
      <c r="F511" s="6" t="n"/>
    </row>
    <row r="512">
      <c r="A512" s="6" t="n"/>
      <c r="B512" s="6" t="n"/>
      <c r="C512" s="6" t="n"/>
      <c r="D512" s="6" t="n"/>
      <c r="E512" s="8" t="n"/>
      <c r="F512" s="6" t="n"/>
    </row>
    <row r="513">
      <c r="A513" s="6" t="n"/>
      <c r="B513" s="6" t="n"/>
      <c r="C513" s="6" t="n"/>
      <c r="D513" s="6" t="n"/>
      <c r="E513" s="8" t="n"/>
      <c r="F513" s="6" t="n"/>
    </row>
    <row r="514">
      <c r="A514" s="6" t="n"/>
      <c r="B514" s="6" t="n"/>
      <c r="C514" s="6" t="n"/>
      <c r="D514" s="6" t="n"/>
      <c r="E514" s="8" t="n"/>
      <c r="F514" s="6" t="n"/>
    </row>
    <row r="515">
      <c r="A515" s="6" t="n"/>
      <c r="B515" s="6" t="n"/>
      <c r="C515" s="6" t="n"/>
      <c r="D515" s="6" t="n"/>
      <c r="E515" s="8" t="n"/>
      <c r="F515" s="6" t="n"/>
    </row>
    <row r="516">
      <c r="A516" s="6" t="n"/>
      <c r="B516" s="6" t="n"/>
      <c r="C516" s="6" t="n"/>
      <c r="D516" s="6" t="n"/>
      <c r="E516" s="8" t="n"/>
      <c r="F516" s="6" t="n"/>
    </row>
    <row r="517">
      <c r="A517" s="6" t="n"/>
      <c r="B517" s="6" t="n"/>
      <c r="C517" s="6" t="n"/>
      <c r="D517" s="6" t="n"/>
      <c r="E517" s="8" t="n"/>
      <c r="F517" s="6" t="n"/>
    </row>
    <row r="518">
      <c r="A518" s="6" t="n"/>
      <c r="B518" s="6" t="n"/>
      <c r="C518" s="6" t="n"/>
      <c r="D518" s="6" t="n"/>
      <c r="E518" s="8" t="n"/>
      <c r="F518" s="6" t="n"/>
    </row>
    <row r="519">
      <c r="A519" s="6" t="n"/>
      <c r="B519" s="6" t="n"/>
      <c r="C519" s="6" t="n"/>
      <c r="D519" s="6" t="n"/>
      <c r="E519" s="8" t="n"/>
      <c r="F519" s="6" t="n"/>
    </row>
    <row r="520">
      <c r="A520" s="6" t="n"/>
      <c r="B520" s="6" t="n"/>
      <c r="C520" s="6" t="n"/>
      <c r="D520" s="6" t="n"/>
      <c r="E520" s="8" t="n"/>
      <c r="F520" s="6" t="n"/>
    </row>
    <row r="521">
      <c r="A521" s="6" t="n"/>
      <c r="B521" s="6" t="n"/>
      <c r="C521" s="6" t="n"/>
      <c r="D521" s="6" t="n"/>
      <c r="E521" s="8" t="n"/>
      <c r="F521" s="6" t="n"/>
    </row>
    <row r="522">
      <c r="A522" s="6" t="n"/>
      <c r="B522" s="6" t="n"/>
      <c r="C522" s="6" t="n"/>
      <c r="D522" s="6" t="n"/>
      <c r="E522" s="8" t="n"/>
      <c r="F522" s="6" t="n"/>
    </row>
    <row r="523">
      <c r="A523" s="6" t="n"/>
      <c r="B523" s="6" t="n"/>
      <c r="C523" s="6" t="n"/>
      <c r="D523" s="6" t="n"/>
      <c r="E523" s="8" t="n"/>
      <c r="F523" s="6" t="n"/>
    </row>
    <row r="524">
      <c r="A524" s="6" t="n"/>
      <c r="B524" s="6" t="n"/>
      <c r="C524" s="6" t="n"/>
      <c r="D524" s="6" t="n"/>
      <c r="E524" s="8" t="n"/>
      <c r="F524" s="6" t="n"/>
    </row>
    <row r="525">
      <c r="A525" s="6" t="n"/>
      <c r="B525" s="6" t="n"/>
      <c r="C525" s="6" t="n"/>
      <c r="D525" s="6" t="n"/>
      <c r="E525" s="8" t="n"/>
      <c r="F525" s="6" t="n"/>
    </row>
    <row r="526">
      <c r="A526" s="6" t="n"/>
      <c r="B526" s="6" t="n"/>
      <c r="C526" s="6" t="n"/>
      <c r="D526" s="6" t="n"/>
      <c r="E526" s="8" t="n"/>
      <c r="F526" s="6" t="n"/>
    </row>
    <row r="527">
      <c r="A527" s="6" t="n"/>
      <c r="B527" s="6" t="n"/>
      <c r="C527" s="6" t="n"/>
      <c r="D527" s="6" t="n"/>
      <c r="E527" s="8" t="n"/>
      <c r="F527" s="6" t="n"/>
    </row>
    <row r="528">
      <c r="A528" s="6" t="n"/>
      <c r="B528" s="6" t="n"/>
      <c r="C528" s="6" t="n"/>
      <c r="D528" s="6" t="n"/>
      <c r="E528" s="8" t="n"/>
      <c r="F528" s="6" t="n"/>
    </row>
    <row r="529">
      <c r="A529" s="6" t="n"/>
      <c r="B529" s="6" t="n"/>
      <c r="C529" s="6" t="n"/>
      <c r="D529" s="6" t="n"/>
      <c r="E529" s="8" t="n"/>
      <c r="F529" s="6" t="n"/>
    </row>
    <row r="530">
      <c r="A530" s="6" t="n"/>
      <c r="B530" s="6" t="n"/>
      <c r="C530" s="6" t="n"/>
      <c r="D530" s="6" t="n"/>
      <c r="E530" s="8" t="n"/>
      <c r="F530" s="6" t="n"/>
    </row>
    <row r="531">
      <c r="A531" s="6" t="n"/>
      <c r="B531" s="6" t="n"/>
      <c r="C531" s="6" t="n"/>
      <c r="D531" s="6" t="n"/>
      <c r="E531" s="8" t="n"/>
      <c r="F531" s="6" t="n"/>
    </row>
    <row r="532">
      <c r="A532" s="6" t="n"/>
      <c r="B532" s="6" t="n"/>
      <c r="C532" s="6" t="n"/>
      <c r="D532" s="6" t="n"/>
      <c r="E532" s="8" t="n"/>
      <c r="F532" s="6" t="n"/>
    </row>
    <row r="533">
      <c r="A533" s="6" t="n"/>
      <c r="B533" s="6" t="n"/>
      <c r="C533" s="6" t="n"/>
      <c r="D533" s="6" t="n"/>
      <c r="E533" s="8" t="n"/>
      <c r="F533" s="6" t="n"/>
    </row>
    <row r="534">
      <c r="A534" s="6" t="n"/>
      <c r="B534" s="6" t="n"/>
      <c r="C534" s="6" t="n"/>
      <c r="D534" s="6" t="n"/>
      <c r="E534" s="8" t="n"/>
      <c r="F534" s="6" t="n"/>
    </row>
    <row r="535">
      <c r="A535" s="6" t="n"/>
      <c r="B535" s="6" t="n"/>
      <c r="C535" s="6" t="n"/>
      <c r="D535" s="6" t="n"/>
      <c r="E535" s="8" t="n"/>
      <c r="F535" s="6" t="n"/>
    </row>
    <row r="536">
      <c r="A536" s="6" t="n"/>
      <c r="B536" s="6" t="n"/>
      <c r="C536" s="6" t="n"/>
      <c r="D536" s="6" t="n"/>
      <c r="E536" s="8" t="n"/>
      <c r="F536" s="6" t="n"/>
    </row>
    <row r="537">
      <c r="A537" s="6" t="n"/>
      <c r="B537" s="6" t="n"/>
      <c r="C537" s="6" t="n"/>
      <c r="D537" s="6" t="n"/>
      <c r="E537" s="8" t="n"/>
      <c r="F537" s="6" t="n"/>
    </row>
    <row r="538">
      <c r="A538" s="6" t="n"/>
      <c r="B538" s="6" t="n"/>
      <c r="C538" s="6" t="n"/>
      <c r="D538" s="6" t="n"/>
      <c r="E538" s="8" t="n"/>
      <c r="F538" s="6" t="n"/>
    </row>
    <row r="539">
      <c r="A539" s="6" t="n"/>
      <c r="B539" s="6" t="n"/>
      <c r="C539" s="6" t="n"/>
      <c r="D539" s="6" t="n"/>
      <c r="E539" s="8" t="n"/>
      <c r="F539" s="6" t="n"/>
    </row>
    <row r="540">
      <c r="A540" s="6" t="n"/>
      <c r="B540" s="6" t="n"/>
      <c r="C540" s="6" t="n"/>
      <c r="D540" s="6" t="n"/>
      <c r="E540" s="8" t="n"/>
      <c r="F540" s="6" t="n"/>
    </row>
    <row r="541">
      <c r="A541" s="6" t="n"/>
      <c r="B541" s="6" t="n"/>
      <c r="C541" s="6" t="n"/>
      <c r="D541" s="6" t="n"/>
      <c r="E541" s="8" t="n"/>
      <c r="F541" s="6" t="n"/>
    </row>
    <row r="542">
      <c r="A542" s="6" t="n"/>
      <c r="B542" s="6" t="n"/>
      <c r="C542" s="6" t="n"/>
      <c r="D542" s="6" t="n"/>
      <c r="E542" s="8" t="n"/>
      <c r="F542" s="6" t="n"/>
    </row>
    <row r="543">
      <c r="A543" s="6" t="n"/>
      <c r="B543" s="6" t="n"/>
      <c r="C543" s="6" t="n"/>
      <c r="D543" s="6" t="n"/>
      <c r="E543" s="8" t="n"/>
      <c r="F543" s="6" t="n"/>
    </row>
    <row r="544">
      <c r="A544" s="6" t="n"/>
      <c r="B544" s="6" t="n"/>
      <c r="C544" s="6" t="n"/>
      <c r="D544" s="6" t="n"/>
      <c r="E544" s="8" t="n"/>
      <c r="F544" s="6" t="n"/>
    </row>
    <row r="545">
      <c r="A545" s="6" t="n"/>
      <c r="B545" s="6" t="n"/>
      <c r="C545" s="6" t="n"/>
      <c r="D545" s="6" t="n"/>
      <c r="E545" s="8" t="n"/>
      <c r="F545" s="6" t="n"/>
    </row>
    <row r="546">
      <c r="A546" s="6" t="n"/>
      <c r="B546" s="6" t="n"/>
      <c r="C546" s="6" t="n"/>
      <c r="D546" s="6" t="n"/>
      <c r="E546" s="8" t="n"/>
      <c r="F546" s="6" t="n"/>
    </row>
    <row r="547">
      <c r="A547" s="6" t="n"/>
      <c r="B547" s="6" t="n"/>
      <c r="C547" s="6" t="n"/>
      <c r="D547" s="6" t="n"/>
      <c r="E547" s="8" t="n"/>
      <c r="F547" s="6" t="n"/>
    </row>
    <row r="548">
      <c r="A548" s="6" t="n"/>
      <c r="B548" s="6" t="n"/>
      <c r="C548" s="6" t="n"/>
      <c r="D548" s="6" t="n"/>
      <c r="E548" s="8" t="n"/>
      <c r="F548" s="6" t="n"/>
    </row>
    <row r="549">
      <c r="A549" s="6" t="n"/>
      <c r="B549" s="6" t="n"/>
      <c r="C549" s="6" t="n"/>
      <c r="D549" s="6" t="n"/>
      <c r="E549" s="8" t="n"/>
      <c r="F549" s="6" t="n"/>
    </row>
    <row r="550">
      <c r="A550" s="6" t="n"/>
      <c r="B550" s="6" t="n"/>
      <c r="C550" s="6" t="n"/>
      <c r="D550" s="6" t="n"/>
      <c r="E550" s="8" t="n"/>
      <c r="F550" s="6" t="n"/>
    </row>
    <row r="551">
      <c r="A551" s="6" t="n"/>
      <c r="B551" s="6" t="n"/>
      <c r="C551" s="6" t="n"/>
      <c r="D551" s="6" t="n"/>
      <c r="E551" s="8" t="n"/>
      <c r="F551" s="6" t="n"/>
    </row>
    <row r="552">
      <c r="A552" s="6" t="n"/>
      <c r="B552" s="6" t="n"/>
      <c r="C552" s="6" t="n"/>
      <c r="D552" s="6" t="n"/>
      <c r="E552" s="8" t="n"/>
      <c r="F552" s="6" t="n"/>
    </row>
    <row r="553">
      <c r="A553" s="6" t="n"/>
      <c r="B553" s="6" t="n"/>
      <c r="C553" s="6" t="n"/>
      <c r="D553" s="6" t="n"/>
      <c r="E553" s="8" t="n"/>
      <c r="F553" s="6" t="n"/>
    </row>
    <row r="554">
      <c r="A554" s="6" t="n"/>
      <c r="B554" s="6" t="n"/>
      <c r="C554" s="6" t="n"/>
      <c r="D554" s="6" t="n"/>
      <c r="E554" s="8" t="n"/>
      <c r="F554" s="6" t="n"/>
    </row>
    <row r="555">
      <c r="A555" s="6" t="n"/>
      <c r="B555" s="6" t="n"/>
      <c r="C555" s="6" t="n"/>
      <c r="D555" s="6" t="n"/>
      <c r="E555" s="8" t="n"/>
      <c r="F555" s="6" t="n"/>
    </row>
    <row r="556">
      <c r="A556" s="6" t="n"/>
      <c r="B556" s="6" t="n"/>
      <c r="C556" s="6" t="n"/>
      <c r="D556" s="6" t="n"/>
      <c r="E556" s="8" t="n"/>
      <c r="F556" s="6" t="n"/>
    </row>
    <row r="557">
      <c r="A557" s="6" t="n"/>
      <c r="B557" s="6" t="n"/>
      <c r="C557" s="6" t="n"/>
      <c r="D557" s="6" t="n"/>
      <c r="E557" s="8" t="n"/>
      <c r="F557" s="6" t="n"/>
    </row>
    <row r="558">
      <c r="A558" s="6" t="n"/>
      <c r="B558" s="6" t="n"/>
      <c r="C558" s="6" t="n"/>
      <c r="D558" s="6" t="n"/>
      <c r="E558" s="8" t="n"/>
      <c r="F558" s="6" t="n"/>
    </row>
    <row r="559">
      <c r="A559" s="6" t="n"/>
      <c r="B559" s="6" t="n"/>
      <c r="C559" s="6" t="n"/>
      <c r="D559" s="6" t="n"/>
      <c r="E559" s="8" t="n"/>
      <c r="F559" s="6" t="n"/>
    </row>
    <row r="560">
      <c r="A560" s="6" t="n"/>
      <c r="B560" s="6" t="n"/>
      <c r="C560" s="6" t="n"/>
      <c r="D560" s="6" t="n"/>
      <c r="E560" s="8" t="n"/>
      <c r="F560" s="6" t="n"/>
    </row>
    <row r="561">
      <c r="A561" s="6" t="n"/>
      <c r="B561" s="6" t="n"/>
      <c r="C561" s="6" t="n"/>
      <c r="D561" s="6" t="n"/>
      <c r="E561" s="8" t="n"/>
      <c r="F561" s="6" t="n"/>
    </row>
    <row r="562">
      <c r="A562" s="6" t="n"/>
      <c r="B562" s="6" t="n"/>
      <c r="C562" s="6" t="n"/>
      <c r="D562" s="6" t="n"/>
      <c r="E562" s="8" t="n"/>
      <c r="F562" s="6" t="n"/>
    </row>
    <row r="563">
      <c r="A563" s="6" t="n"/>
      <c r="B563" s="6" t="n"/>
      <c r="C563" s="6" t="n"/>
      <c r="D563" s="6" t="n"/>
      <c r="E563" s="8" t="n"/>
      <c r="F563" s="6" t="n"/>
    </row>
    <row r="564">
      <c r="A564" s="6" t="n"/>
      <c r="B564" s="6" t="n"/>
      <c r="C564" s="6" t="n"/>
      <c r="D564" s="6" t="n"/>
      <c r="E564" s="8" t="n"/>
      <c r="F564" s="6" t="n"/>
    </row>
    <row r="565">
      <c r="A565" s="6" t="n"/>
      <c r="B565" s="6" t="n"/>
      <c r="C565" s="6" t="n"/>
      <c r="D565" s="6" t="n"/>
      <c r="E565" s="8" t="n"/>
      <c r="F565" s="6" t="n"/>
    </row>
    <row r="566">
      <c r="A566" s="6" t="n"/>
      <c r="B566" s="6" t="n"/>
      <c r="C566" s="6" t="n"/>
      <c r="D566" s="6" t="n"/>
      <c r="E566" s="8" t="n"/>
      <c r="F566" s="6" t="n"/>
    </row>
    <row r="567">
      <c r="A567" s="6" t="n"/>
      <c r="B567" s="6" t="n"/>
      <c r="C567" s="6" t="n"/>
      <c r="D567" s="6" t="n"/>
      <c r="E567" s="8" t="n"/>
      <c r="F567" s="6" t="n"/>
    </row>
    <row r="568">
      <c r="A568" s="6" t="n"/>
      <c r="B568" s="6" t="n"/>
      <c r="C568" s="6" t="n"/>
      <c r="D568" s="6" t="n"/>
      <c r="E568" s="8" t="n"/>
      <c r="F568" s="6" t="n"/>
    </row>
    <row r="569">
      <c r="A569" s="6" t="n"/>
      <c r="B569" s="6" t="n"/>
      <c r="C569" s="6" t="n"/>
      <c r="D569" s="6" t="n"/>
      <c r="E569" s="8" t="n"/>
      <c r="F569" s="6" t="n"/>
    </row>
    <row r="570">
      <c r="A570" s="6" t="n"/>
      <c r="B570" s="6" t="n"/>
      <c r="C570" s="6" t="n"/>
      <c r="D570" s="6" t="n"/>
      <c r="E570" s="8" t="n"/>
      <c r="F570" s="6" t="n"/>
    </row>
    <row r="571">
      <c r="A571" s="6" t="n"/>
      <c r="B571" s="6" t="n"/>
      <c r="C571" s="6" t="n"/>
      <c r="D571" s="6" t="n"/>
      <c r="E571" s="8" t="n"/>
      <c r="F571" s="6" t="n"/>
    </row>
    <row r="572">
      <c r="A572" s="6" t="n"/>
      <c r="B572" s="6" t="n"/>
      <c r="C572" s="6" t="n"/>
      <c r="D572" s="6" t="n"/>
      <c r="E572" s="8" t="n"/>
      <c r="F572" s="6" t="n"/>
    </row>
    <row r="573">
      <c r="A573" s="6" t="n"/>
      <c r="B573" s="6" t="n"/>
      <c r="C573" s="6" t="n"/>
      <c r="D573" s="6" t="n"/>
      <c r="E573" s="8" t="n"/>
      <c r="F573" s="6" t="n"/>
    </row>
    <row r="574">
      <c r="A574" s="6" t="n"/>
      <c r="B574" s="6" t="n"/>
      <c r="C574" s="6" t="n"/>
      <c r="D574" s="6" t="n"/>
      <c r="E574" s="8" t="n"/>
      <c r="F574" s="6" t="n"/>
    </row>
    <row r="575">
      <c r="A575" s="6" t="n"/>
      <c r="B575" s="6" t="n"/>
      <c r="C575" s="6" t="n"/>
      <c r="D575" s="6" t="n"/>
      <c r="E575" s="8" t="n"/>
      <c r="F575" s="6" t="n"/>
    </row>
    <row r="576">
      <c r="A576" s="6" t="n"/>
      <c r="B576" s="6" t="n"/>
      <c r="C576" s="6" t="n"/>
      <c r="D576" s="6" t="n"/>
      <c r="E576" s="8" t="n"/>
      <c r="F576" s="6" t="n"/>
    </row>
    <row r="577">
      <c r="A577" s="6" t="n"/>
      <c r="B577" s="6" t="n"/>
      <c r="C577" s="6" t="n"/>
      <c r="D577" s="6" t="n"/>
      <c r="E577" s="8" t="n"/>
      <c r="F577" s="6" t="n"/>
    </row>
    <row r="578">
      <c r="A578" s="6" t="n"/>
      <c r="B578" s="6" t="n"/>
      <c r="C578" s="6" t="n"/>
      <c r="D578" s="6" t="n"/>
      <c r="E578" s="8" t="n"/>
      <c r="F578" s="6" t="n"/>
    </row>
    <row r="579">
      <c r="A579" s="6" t="n"/>
      <c r="B579" s="6" t="n"/>
      <c r="C579" s="6" t="n"/>
      <c r="D579" s="6" t="n"/>
      <c r="E579" s="8" t="n"/>
      <c r="F579" s="6" t="n"/>
    </row>
    <row r="580">
      <c r="A580" s="6" t="n"/>
      <c r="B580" s="6" t="n"/>
      <c r="C580" s="6" t="n"/>
      <c r="D580" s="6" t="n"/>
      <c r="E580" s="8" t="n"/>
      <c r="F580" s="6" t="n"/>
    </row>
    <row r="581">
      <c r="A581" s="6" t="n"/>
      <c r="B581" s="6" t="n"/>
      <c r="C581" s="6" t="n"/>
      <c r="D581" s="6" t="n"/>
      <c r="E581" s="8" t="n"/>
      <c r="F581" s="6" t="n"/>
    </row>
    <row r="582">
      <c r="A582" s="6" t="n"/>
      <c r="B582" s="6" t="n"/>
      <c r="C582" s="6" t="n"/>
      <c r="D582" s="6" t="n"/>
      <c r="E582" s="8" t="n"/>
      <c r="F582" s="6" t="n"/>
    </row>
    <row r="583">
      <c r="A583" s="6" t="n"/>
      <c r="B583" s="6" t="n"/>
      <c r="C583" s="6" t="n"/>
      <c r="D583" s="6" t="n"/>
      <c r="E583" s="8" t="n"/>
      <c r="F583" s="6" t="n"/>
    </row>
    <row r="584">
      <c r="A584" s="6" t="n"/>
      <c r="B584" s="6" t="n"/>
      <c r="C584" s="6" t="n"/>
      <c r="D584" s="6" t="n"/>
      <c r="E584" s="8" t="n"/>
      <c r="F584" s="6" t="n"/>
    </row>
    <row r="585">
      <c r="A585" s="6" t="n"/>
      <c r="B585" s="6" t="n"/>
      <c r="C585" s="6" t="n"/>
      <c r="D585" s="6" t="n"/>
      <c r="E585" s="8" t="n"/>
      <c r="F585" s="6" t="n"/>
    </row>
    <row r="586">
      <c r="A586" s="6" t="n"/>
      <c r="B586" s="6" t="n"/>
      <c r="C586" s="6" t="n"/>
      <c r="D586" s="6" t="n"/>
      <c r="E586" s="8" t="n"/>
      <c r="F586" s="6" t="n"/>
    </row>
    <row r="587">
      <c r="A587" s="6" t="n"/>
      <c r="B587" s="6" t="n"/>
      <c r="C587" s="6" t="n"/>
      <c r="D587" s="6" t="n"/>
      <c r="E587" s="8" t="n"/>
      <c r="F587" s="6" t="n"/>
    </row>
    <row r="588">
      <c r="A588" s="6" t="n"/>
      <c r="B588" s="6" t="n"/>
      <c r="C588" s="6" t="n"/>
      <c r="D588" s="6" t="n"/>
      <c r="E588" s="8" t="n"/>
      <c r="F588" s="6" t="n"/>
    </row>
    <row r="589">
      <c r="A589" s="6" t="n"/>
      <c r="B589" s="6" t="n"/>
      <c r="C589" s="6" t="n"/>
      <c r="D589" s="6" t="n"/>
      <c r="E589" s="8" t="n"/>
      <c r="F589" s="6" t="n"/>
    </row>
    <row r="590">
      <c r="A590" s="6" t="n"/>
      <c r="B590" s="6" t="n"/>
      <c r="C590" s="6" t="n"/>
      <c r="D590" s="6" t="n"/>
      <c r="E590" s="8" t="n"/>
      <c r="F590" s="6" t="n"/>
    </row>
    <row r="591">
      <c r="A591" s="6" t="n"/>
      <c r="B591" s="6" t="n"/>
      <c r="C591" s="6" t="n"/>
      <c r="D591" s="6" t="n"/>
      <c r="E591" s="8" t="n"/>
      <c r="F591" s="6" t="n"/>
    </row>
    <row r="592">
      <c r="A592" s="6" t="n"/>
      <c r="B592" s="6" t="n"/>
      <c r="C592" s="6" t="n"/>
      <c r="D592" s="6" t="n"/>
      <c r="E592" s="8" t="n"/>
      <c r="F592" s="6" t="n"/>
    </row>
    <row r="593">
      <c r="A593" s="6" t="n"/>
      <c r="B593" s="6" t="n"/>
      <c r="C593" s="6" t="n"/>
      <c r="D593" s="6" t="n"/>
      <c r="E593" s="8" t="n"/>
      <c r="F593" s="6" t="n"/>
    </row>
    <row r="594">
      <c r="A594" s="6" t="n"/>
      <c r="B594" s="6" t="n"/>
      <c r="C594" s="6" t="n"/>
      <c r="D594" s="6" t="n"/>
      <c r="E594" s="8" t="n"/>
      <c r="F594" s="6" t="n"/>
    </row>
    <row r="595">
      <c r="A595" s="6" t="n"/>
      <c r="B595" s="6" t="n"/>
      <c r="C595" s="6" t="n"/>
      <c r="D595" s="6" t="n"/>
      <c r="E595" s="8" t="n"/>
      <c r="F595" s="6" t="n"/>
    </row>
    <row r="596">
      <c r="A596" s="6" t="n"/>
      <c r="B596" s="6" t="n"/>
      <c r="C596" s="6" t="n"/>
      <c r="D596" s="6" t="n"/>
      <c r="E596" s="8" t="n"/>
      <c r="F596" s="6" t="n"/>
    </row>
    <row r="597">
      <c r="A597" s="6" t="n"/>
      <c r="B597" s="6" t="n"/>
      <c r="C597" s="6" t="n"/>
      <c r="D597" s="6" t="n"/>
      <c r="E597" s="8" t="n"/>
      <c r="F597" s="6" t="n"/>
    </row>
    <row r="598">
      <c r="A598" s="6" t="n"/>
      <c r="B598" s="6" t="n"/>
      <c r="C598" s="6" t="n"/>
      <c r="D598" s="6" t="n"/>
      <c r="E598" s="8" t="n"/>
      <c r="F598" s="6" t="n"/>
    </row>
    <row r="599">
      <c r="A599" s="6" t="n"/>
      <c r="B599" s="6" t="n"/>
      <c r="C599" s="6" t="n"/>
      <c r="D599" s="6" t="n"/>
      <c r="E599" s="8" t="n"/>
      <c r="F599" s="6" t="n"/>
    </row>
    <row r="600">
      <c r="A600" s="6" t="n"/>
      <c r="B600" s="6" t="n"/>
      <c r="C600" s="6" t="n"/>
      <c r="D600" s="6" t="n"/>
      <c r="E600" s="8" t="n"/>
      <c r="F600" s="6" t="n"/>
    </row>
    <row r="601">
      <c r="A601" s="6" t="n"/>
      <c r="B601" s="6" t="n"/>
      <c r="C601" s="6" t="n"/>
      <c r="D601" s="6" t="n"/>
      <c r="E601" s="8" t="n"/>
      <c r="F601" s="6" t="n"/>
    </row>
    <row r="602">
      <c r="A602" s="6" t="n"/>
      <c r="B602" s="6" t="n"/>
      <c r="C602" s="6" t="n"/>
      <c r="D602" s="6" t="n"/>
      <c r="E602" s="8" t="n"/>
      <c r="F602" s="6" t="n"/>
    </row>
    <row r="603">
      <c r="A603" s="6" t="n"/>
      <c r="B603" s="6" t="n"/>
      <c r="C603" s="6" t="n"/>
      <c r="D603" s="6" t="n"/>
      <c r="E603" s="8" t="n"/>
      <c r="F603" s="6" t="n"/>
    </row>
    <row r="604">
      <c r="A604" s="6" t="n"/>
      <c r="B604" s="6" t="n"/>
      <c r="C604" s="6" t="n"/>
      <c r="D604" s="6" t="n"/>
      <c r="E604" s="8" t="n"/>
      <c r="F604" s="6" t="n"/>
    </row>
    <row r="605">
      <c r="A605" s="6" t="n"/>
      <c r="B605" s="6" t="n"/>
      <c r="C605" s="6" t="n"/>
      <c r="D605" s="6" t="n"/>
      <c r="E605" s="8" t="n"/>
      <c r="F605" s="6" t="n"/>
    </row>
    <row r="606">
      <c r="A606" s="6" t="n"/>
      <c r="B606" s="6" t="n"/>
      <c r="C606" s="6" t="n"/>
      <c r="D606" s="6" t="n"/>
      <c r="E606" s="8" t="n"/>
      <c r="F606" s="6" t="n"/>
    </row>
    <row r="607">
      <c r="A607" s="6" t="n"/>
      <c r="B607" s="6" t="n"/>
      <c r="C607" s="6" t="n"/>
      <c r="D607" s="6" t="n"/>
      <c r="E607" s="8" t="n"/>
      <c r="F607" s="6" t="n"/>
    </row>
    <row r="608">
      <c r="A608" s="6" t="n"/>
      <c r="B608" s="6" t="n"/>
      <c r="C608" s="6" t="n"/>
      <c r="D608" s="6" t="n"/>
      <c r="E608" s="8" t="n"/>
      <c r="F608" s="6" t="n"/>
    </row>
    <row r="609">
      <c r="A609" s="6" t="n"/>
      <c r="B609" s="6" t="n"/>
      <c r="C609" s="6" t="n"/>
      <c r="D609" s="6" t="n"/>
      <c r="E609" s="8" t="n"/>
      <c r="F609" s="6" t="n"/>
    </row>
    <row r="610">
      <c r="A610" s="6" t="n"/>
      <c r="B610" s="6" t="n"/>
      <c r="C610" s="6" t="n"/>
      <c r="D610" s="6" t="n"/>
      <c r="E610" s="8" t="n"/>
      <c r="F610" s="6" t="n"/>
    </row>
    <row r="611">
      <c r="A611" s="6" t="n"/>
      <c r="B611" s="6" t="n"/>
      <c r="C611" s="6" t="n"/>
      <c r="D611" s="6" t="n"/>
      <c r="E611" s="8" t="n"/>
      <c r="F611" s="6" t="n"/>
    </row>
    <row r="612">
      <c r="A612" s="6" t="n"/>
      <c r="B612" s="6" t="n"/>
      <c r="C612" s="6" t="n"/>
      <c r="D612" s="6" t="n"/>
      <c r="E612" s="8" t="n"/>
      <c r="F612" s="6" t="n"/>
    </row>
    <row r="613">
      <c r="A613" s="6" t="n"/>
      <c r="B613" s="6" t="n"/>
      <c r="C613" s="6" t="n"/>
      <c r="D613" s="6" t="n"/>
      <c r="E613" s="8" t="n"/>
      <c r="F613" s="6" t="n"/>
    </row>
    <row r="614">
      <c r="A614" s="6" t="n"/>
      <c r="B614" s="6" t="n"/>
      <c r="C614" s="6" t="n"/>
      <c r="D614" s="6" t="n"/>
      <c r="E614" s="8" t="n"/>
      <c r="F614" s="6" t="n"/>
    </row>
    <row r="615">
      <c r="A615" s="6" t="n"/>
      <c r="B615" s="6" t="n"/>
      <c r="C615" s="6" t="n"/>
      <c r="D615" s="6" t="n"/>
      <c r="E615" s="8" t="n"/>
      <c r="F615" s="6" t="n"/>
    </row>
    <row r="616">
      <c r="A616" s="6" t="n"/>
      <c r="B616" s="6" t="n"/>
      <c r="C616" s="6" t="n"/>
      <c r="D616" s="6" t="n"/>
      <c r="E616" s="8" t="n"/>
      <c r="F616" s="6" t="n"/>
    </row>
    <row r="617">
      <c r="A617" s="6" t="n"/>
      <c r="B617" s="6" t="n"/>
      <c r="C617" s="6" t="n"/>
      <c r="D617" s="6" t="n"/>
      <c r="E617" s="8" t="n"/>
      <c r="F617" s="6" t="n"/>
    </row>
    <row r="618">
      <c r="A618" s="6" t="n"/>
      <c r="B618" s="6" t="n"/>
      <c r="C618" s="6" t="n"/>
      <c r="D618" s="6" t="n"/>
      <c r="E618" s="8" t="n"/>
      <c r="F618" s="6" t="n"/>
    </row>
    <row r="619">
      <c r="A619" s="6" t="n"/>
      <c r="B619" s="6" t="n"/>
      <c r="C619" s="6" t="n"/>
      <c r="D619" s="6" t="n"/>
      <c r="E619" s="8" t="n"/>
      <c r="F619" s="6" t="n"/>
    </row>
    <row r="620">
      <c r="A620" s="6" t="n"/>
      <c r="B620" s="6" t="n"/>
      <c r="C620" s="6" t="n"/>
      <c r="D620" s="6" t="n"/>
      <c r="E620" s="8" t="n"/>
      <c r="F620" s="6" t="n"/>
    </row>
    <row r="621">
      <c r="A621" s="6" t="n"/>
      <c r="B621" s="6" t="n"/>
      <c r="C621" s="6" t="n"/>
      <c r="D621" s="6" t="n"/>
      <c r="E621" s="8" t="n"/>
      <c r="F621" s="6" t="n"/>
    </row>
    <row r="622">
      <c r="A622" s="6" t="n"/>
      <c r="B622" s="6" t="n"/>
      <c r="C622" s="6" t="n"/>
      <c r="D622" s="6" t="n"/>
      <c r="E622" s="8" t="n"/>
      <c r="F622" s="6" t="n"/>
    </row>
    <row r="623">
      <c r="A623" s="6" t="n"/>
      <c r="B623" s="6" t="n"/>
      <c r="C623" s="6" t="n"/>
      <c r="D623" s="6" t="n"/>
      <c r="E623" s="8" t="n"/>
      <c r="F623" s="6" t="n"/>
    </row>
    <row r="624">
      <c r="A624" s="6" t="n"/>
      <c r="B624" s="6" t="n"/>
      <c r="C624" s="6" t="n"/>
      <c r="D624" s="6" t="n"/>
      <c r="E624" s="8" t="n"/>
      <c r="F624" s="6" t="n"/>
    </row>
    <row r="625">
      <c r="A625" s="6" t="n"/>
      <c r="B625" s="6" t="n"/>
      <c r="C625" s="6" t="n"/>
      <c r="D625" s="6" t="n"/>
      <c r="E625" s="8" t="n"/>
      <c r="F625" s="6" t="n"/>
    </row>
    <row r="626">
      <c r="A626" s="6" t="n"/>
      <c r="B626" s="6" t="n"/>
      <c r="C626" s="6" t="n"/>
      <c r="D626" s="6" t="n"/>
      <c r="E626" s="8" t="n"/>
      <c r="F626" s="6" t="n"/>
    </row>
    <row r="627">
      <c r="A627" s="6" t="n"/>
      <c r="B627" s="6" t="n"/>
      <c r="C627" s="6" t="n"/>
      <c r="D627" s="6" t="n"/>
      <c r="E627" s="8" t="n"/>
      <c r="F627" s="6" t="n"/>
    </row>
    <row r="628">
      <c r="A628" s="6" t="n"/>
      <c r="B628" s="6" t="n"/>
      <c r="C628" s="6" t="n"/>
      <c r="D628" s="6" t="n"/>
      <c r="E628" s="8" t="n"/>
      <c r="F628" s="6" t="n"/>
    </row>
    <row r="629">
      <c r="A629" s="6" t="n"/>
      <c r="B629" s="6" t="n"/>
      <c r="C629" s="6" t="n"/>
      <c r="D629" s="6" t="n"/>
      <c r="E629" s="8" t="n"/>
      <c r="F629" s="6" t="n"/>
    </row>
    <row r="630">
      <c r="A630" s="6" t="n"/>
      <c r="B630" s="6" t="n"/>
      <c r="C630" s="6" t="n"/>
      <c r="D630" s="6" t="n"/>
      <c r="E630" s="8" t="n"/>
      <c r="F630" s="6" t="n"/>
    </row>
    <row r="631">
      <c r="A631" s="6" t="n"/>
      <c r="B631" s="6" t="n"/>
      <c r="C631" s="6" t="n"/>
      <c r="D631" s="6" t="n"/>
      <c r="E631" s="8" t="n"/>
      <c r="F631" s="6" t="n"/>
    </row>
    <row r="632">
      <c r="A632" s="6" t="n"/>
      <c r="B632" s="6" t="n"/>
      <c r="C632" s="6" t="n"/>
      <c r="D632" s="6" t="n"/>
      <c r="E632" s="8" t="n"/>
      <c r="F632" s="6" t="n"/>
    </row>
    <row r="633">
      <c r="A633" s="6" t="n"/>
      <c r="B633" s="6" t="n"/>
      <c r="C633" s="6" t="n"/>
      <c r="D633" s="6" t="n"/>
      <c r="E633" s="8" t="n"/>
      <c r="F633" s="6" t="n"/>
    </row>
    <row r="634">
      <c r="A634" s="6" t="n"/>
      <c r="B634" s="6" t="n"/>
      <c r="C634" s="6" t="n"/>
      <c r="D634" s="6" t="n"/>
      <c r="E634" s="8" t="n"/>
      <c r="F634" s="6" t="n"/>
    </row>
    <row r="635">
      <c r="A635" s="6" t="n"/>
      <c r="B635" s="6" t="n"/>
      <c r="C635" s="6" t="n"/>
      <c r="D635" s="6" t="n"/>
      <c r="E635" s="8" t="n"/>
      <c r="F635" s="6" t="n"/>
    </row>
    <row r="636">
      <c r="A636" s="6" t="n"/>
      <c r="B636" s="6" t="n"/>
      <c r="C636" s="6" t="n"/>
      <c r="D636" s="6" t="n"/>
      <c r="E636" s="8" t="n"/>
      <c r="F636" s="6" t="n"/>
    </row>
    <row r="637">
      <c r="A637" s="6" t="n"/>
      <c r="B637" s="6" t="n"/>
      <c r="C637" s="6" t="n"/>
      <c r="D637" s="6" t="n"/>
      <c r="E637" s="8" t="n"/>
      <c r="F637" s="6" t="n"/>
    </row>
    <row r="638">
      <c r="A638" s="6" t="n"/>
      <c r="B638" s="6" t="n"/>
      <c r="C638" s="6" t="n"/>
      <c r="D638" s="6" t="n"/>
      <c r="E638" s="8" t="n"/>
      <c r="F638" s="6" t="n"/>
    </row>
    <row r="639">
      <c r="A639" s="6" t="n"/>
      <c r="B639" s="6" t="n"/>
      <c r="C639" s="6" t="n"/>
      <c r="D639" s="6" t="n"/>
      <c r="E639" s="8" t="n"/>
      <c r="F639" s="6" t="n"/>
    </row>
    <row r="640">
      <c r="A640" s="6" t="n"/>
      <c r="B640" s="6" t="n"/>
      <c r="C640" s="6" t="n"/>
      <c r="D640" s="6" t="n"/>
      <c r="E640" s="8" t="n"/>
      <c r="F640" s="6" t="n"/>
    </row>
    <row r="641">
      <c r="A641" s="6" t="n"/>
      <c r="B641" s="6" t="n"/>
      <c r="C641" s="6" t="n"/>
      <c r="D641" s="6" t="n"/>
      <c r="E641" s="8" t="n"/>
      <c r="F641" s="6" t="n"/>
    </row>
    <row r="642">
      <c r="A642" s="6" t="n"/>
      <c r="B642" s="6" t="n"/>
      <c r="C642" s="6" t="n"/>
      <c r="D642" s="6" t="n"/>
      <c r="E642" s="8" t="n"/>
      <c r="F642" s="6" t="n"/>
    </row>
    <row r="643">
      <c r="A643" s="6" t="n"/>
      <c r="B643" s="6" t="n"/>
      <c r="C643" s="6" t="n"/>
      <c r="D643" s="6" t="n"/>
      <c r="E643" s="8" t="n"/>
      <c r="F643" s="6" t="n"/>
    </row>
    <row r="644">
      <c r="A644" s="6" t="n"/>
      <c r="B644" s="6" t="n"/>
      <c r="C644" s="6" t="n"/>
      <c r="D644" s="6" t="n"/>
      <c r="E644" s="8" t="n"/>
      <c r="F644" s="6" t="n"/>
    </row>
    <row r="645">
      <c r="A645" s="6" t="n"/>
      <c r="B645" s="6" t="n"/>
      <c r="C645" s="6" t="n"/>
      <c r="D645" s="6" t="n"/>
      <c r="E645" s="8" t="n"/>
      <c r="F645" s="6" t="n"/>
    </row>
    <row r="646">
      <c r="A646" s="6" t="n"/>
      <c r="B646" s="6" t="n"/>
      <c r="C646" s="6" t="n"/>
      <c r="D646" s="6" t="n"/>
      <c r="E646" s="8" t="n"/>
      <c r="F646" s="6" t="n"/>
    </row>
    <row r="647">
      <c r="A647" s="6" t="n"/>
      <c r="B647" s="6" t="n"/>
      <c r="C647" s="6" t="n"/>
      <c r="D647" s="6" t="n"/>
      <c r="E647" s="8" t="n"/>
      <c r="F647" s="6" t="n"/>
    </row>
    <row r="648">
      <c r="A648" s="6" t="n"/>
      <c r="B648" s="6" t="n"/>
      <c r="C648" s="6" t="n"/>
      <c r="D648" s="6" t="n"/>
      <c r="E648" s="8" t="n"/>
      <c r="F648" s="6" t="n"/>
    </row>
    <row r="649">
      <c r="A649" s="6" t="n"/>
      <c r="B649" s="6" t="n"/>
      <c r="C649" s="6" t="n"/>
      <c r="D649" s="6" t="n"/>
      <c r="E649" s="8" t="n"/>
      <c r="F649" s="6" t="n"/>
    </row>
    <row r="650">
      <c r="A650" s="6" t="n"/>
      <c r="B650" s="6" t="n"/>
      <c r="C650" s="6" t="n"/>
      <c r="D650" s="6" t="n"/>
      <c r="E650" s="8" t="n"/>
      <c r="F650" s="6" t="n"/>
    </row>
    <row r="651">
      <c r="A651" s="6" t="n"/>
      <c r="B651" s="6" t="n"/>
      <c r="C651" s="6" t="n"/>
      <c r="D651" s="6" t="n"/>
      <c r="E651" s="8" t="n"/>
      <c r="F651" s="6" t="n"/>
    </row>
    <row r="652">
      <c r="A652" s="6" t="n"/>
      <c r="B652" s="6" t="n"/>
      <c r="C652" s="6" t="n"/>
      <c r="D652" s="6" t="n"/>
      <c r="E652" s="8" t="n"/>
      <c r="F652" s="6" t="n"/>
    </row>
    <row r="653">
      <c r="A653" s="6" t="n"/>
      <c r="B653" s="6" t="n"/>
      <c r="C653" s="6" t="n"/>
      <c r="D653" s="6" t="n"/>
      <c r="E653" s="8" t="n"/>
      <c r="F653" s="6" t="n"/>
    </row>
    <row r="654">
      <c r="A654" s="6" t="n"/>
      <c r="B654" s="6" t="n"/>
      <c r="C654" s="6" t="n"/>
      <c r="D654" s="6" t="n"/>
      <c r="E654" s="8" t="n"/>
      <c r="F654" s="6" t="n"/>
    </row>
    <row r="655">
      <c r="A655" s="6" t="n"/>
      <c r="B655" s="6" t="n"/>
      <c r="C655" s="6" t="n"/>
      <c r="D655" s="6" t="n"/>
      <c r="E655" s="8" t="n"/>
      <c r="F655" s="6" t="n"/>
    </row>
    <row r="656">
      <c r="A656" s="6" t="n"/>
      <c r="B656" s="6" t="n"/>
      <c r="C656" s="6" t="n"/>
      <c r="D656" s="6" t="n"/>
      <c r="E656" s="8" t="n"/>
      <c r="F656" s="6" t="n"/>
    </row>
    <row r="657">
      <c r="A657" s="6" t="n"/>
      <c r="B657" s="6" t="n"/>
      <c r="C657" s="6" t="n"/>
      <c r="D657" s="6" t="n"/>
      <c r="E657" s="8" t="n"/>
      <c r="F657" s="6" t="n"/>
    </row>
    <row r="658">
      <c r="A658" s="6" t="n"/>
      <c r="B658" s="6" t="n"/>
      <c r="C658" s="6" t="n"/>
      <c r="D658" s="6" t="n"/>
      <c r="E658" s="8" t="n"/>
      <c r="F658" s="6" t="n"/>
    </row>
    <row r="659">
      <c r="A659" s="6" t="n"/>
      <c r="B659" s="6" t="n"/>
      <c r="C659" s="6" t="n"/>
      <c r="D659" s="6" t="n"/>
      <c r="E659" s="8" t="n"/>
      <c r="F659" s="6" t="n"/>
    </row>
    <row r="660">
      <c r="A660" s="6" t="n"/>
      <c r="B660" s="6" t="n"/>
      <c r="C660" s="6" t="n"/>
      <c r="D660" s="6" t="n"/>
      <c r="E660" s="8" t="n"/>
      <c r="F660" s="6" t="n"/>
    </row>
    <row r="661">
      <c r="A661" s="6" t="n"/>
      <c r="B661" s="6" t="n"/>
      <c r="C661" s="6" t="n"/>
      <c r="D661" s="6" t="n"/>
      <c r="E661" s="8" t="n"/>
      <c r="F661" s="6" t="n"/>
    </row>
    <row r="662">
      <c r="A662" s="6" t="n"/>
      <c r="B662" s="6" t="n"/>
      <c r="C662" s="6" t="n"/>
      <c r="D662" s="6" t="n"/>
      <c r="E662" s="8" t="n"/>
      <c r="F662" s="6" t="n"/>
    </row>
    <row r="663">
      <c r="A663" s="6" t="n"/>
      <c r="B663" s="6" t="n"/>
      <c r="C663" s="6" t="n"/>
      <c r="D663" s="6" t="n"/>
      <c r="E663" s="8" t="n"/>
      <c r="F663" s="6" t="n"/>
    </row>
    <row r="664">
      <c r="A664" s="6" t="n"/>
      <c r="B664" s="6" t="n"/>
      <c r="C664" s="6" t="n"/>
      <c r="D664" s="6" t="n"/>
      <c r="E664" s="8" t="n"/>
      <c r="F664" s="6" t="n"/>
    </row>
    <row r="665">
      <c r="A665" s="6" t="n"/>
      <c r="B665" s="6" t="n"/>
      <c r="C665" s="6" t="n"/>
      <c r="D665" s="6" t="n"/>
      <c r="E665" s="8" t="n"/>
      <c r="F665" s="6" t="n"/>
    </row>
    <row r="666">
      <c r="A666" s="6" t="n"/>
      <c r="B666" s="6" t="n"/>
      <c r="C666" s="6" t="n"/>
      <c r="D666" s="6" t="n"/>
      <c r="E666" s="8" t="n"/>
      <c r="F666" s="6" t="n"/>
    </row>
    <row r="667">
      <c r="A667" s="6" t="n"/>
      <c r="B667" s="6" t="n"/>
      <c r="C667" s="6" t="n"/>
      <c r="D667" s="6" t="n"/>
      <c r="E667" s="8" t="n"/>
      <c r="F667" s="6" t="n"/>
    </row>
    <row r="668">
      <c r="A668" s="6" t="n"/>
      <c r="B668" s="6" t="n"/>
      <c r="C668" s="6" t="n"/>
      <c r="D668" s="6" t="n"/>
      <c r="E668" s="8" t="n"/>
      <c r="F668" s="6" t="n"/>
    </row>
    <row r="669">
      <c r="A669" s="6" t="n"/>
      <c r="B669" s="6" t="n"/>
      <c r="C669" s="6" t="n"/>
      <c r="D669" s="6" t="n"/>
      <c r="E669" s="8" t="n"/>
      <c r="F669" s="6" t="n"/>
    </row>
    <row r="670">
      <c r="A670" s="6" t="n"/>
      <c r="B670" s="6" t="n"/>
      <c r="C670" s="6" t="n"/>
      <c r="D670" s="6" t="n"/>
      <c r="E670" s="8" t="n"/>
      <c r="F670" s="6" t="n"/>
    </row>
    <row r="671">
      <c r="A671" s="6" t="n"/>
      <c r="B671" s="6" t="n"/>
      <c r="C671" s="6" t="n"/>
      <c r="D671" s="6" t="n"/>
      <c r="E671" s="8" t="n"/>
      <c r="F671" s="6" t="n"/>
    </row>
    <row r="672">
      <c r="A672" s="6" t="n"/>
      <c r="B672" s="6" t="n"/>
      <c r="C672" s="6" t="n"/>
      <c r="D672" s="6" t="n"/>
      <c r="E672" s="8" t="n"/>
      <c r="F672" s="6" t="n"/>
    </row>
    <row r="673">
      <c r="A673" s="6" t="n"/>
      <c r="B673" s="6" t="n"/>
      <c r="C673" s="6" t="n"/>
      <c r="D673" s="6" t="n"/>
      <c r="E673" s="8" t="n"/>
      <c r="F673" s="6" t="n"/>
    </row>
    <row r="674">
      <c r="A674" s="6" t="n"/>
      <c r="B674" s="6" t="n"/>
      <c r="C674" s="6" t="n"/>
      <c r="D674" s="6" t="n"/>
      <c r="E674" s="8" t="n"/>
      <c r="F674" s="6" t="n"/>
    </row>
    <row r="675">
      <c r="A675" s="6" t="n"/>
      <c r="B675" s="6" t="n"/>
      <c r="C675" s="6" t="n"/>
      <c r="D675" s="6" t="n"/>
      <c r="E675" s="8" t="n"/>
      <c r="F675" s="6" t="n"/>
    </row>
    <row r="676">
      <c r="A676" s="6" t="n"/>
      <c r="B676" s="6" t="n"/>
      <c r="C676" s="6" t="n"/>
      <c r="D676" s="6" t="n"/>
      <c r="E676" s="8" t="n"/>
      <c r="F676" s="6" t="n"/>
    </row>
    <row r="677">
      <c r="A677" s="6" t="n"/>
      <c r="B677" s="6" t="n"/>
      <c r="C677" s="6" t="n"/>
      <c r="D677" s="6" t="n"/>
      <c r="E677" s="8" t="n"/>
      <c r="F677" s="6" t="n"/>
    </row>
    <row r="678">
      <c r="A678" s="6" t="n"/>
      <c r="B678" s="6" t="n"/>
      <c r="C678" s="6" t="n"/>
      <c r="D678" s="6" t="n"/>
      <c r="E678" s="8" t="n"/>
      <c r="F678" s="6" t="n"/>
    </row>
    <row r="679">
      <c r="A679" s="6" t="n"/>
      <c r="B679" s="6" t="n"/>
      <c r="C679" s="6" t="n"/>
      <c r="D679" s="6" t="n"/>
      <c r="E679" s="8" t="n"/>
      <c r="F679" s="6" t="n"/>
    </row>
    <row r="680">
      <c r="A680" s="6" t="n"/>
      <c r="B680" s="6" t="n"/>
      <c r="C680" s="6" t="n"/>
      <c r="D680" s="6" t="n"/>
      <c r="E680" s="8" t="n"/>
      <c r="F680" s="6" t="n"/>
    </row>
    <row r="681">
      <c r="A681" s="6" t="n"/>
      <c r="B681" s="6" t="n"/>
      <c r="C681" s="6" t="n"/>
      <c r="D681" s="6" t="n"/>
      <c r="E681" s="8" t="n"/>
      <c r="F681" s="6" t="n"/>
    </row>
    <row r="682">
      <c r="A682" s="6" t="n"/>
      <c r="B682" s="6" t="n"/>
      <c r="C682" s="6" t="n"/>
      <c r="D682" s="6" t="n"/>
      <c r="E682" s="8" t="n"/>
      <c r="F682" s="6" t="n"/>
    </row>
    <row r="683">
      <c r="A683" s="6" t="n"/>
      <c r="B683" s="6" t="n"/>
      <c r="C683" s="6" t="n"/>
      <c r="D683" s="6" t="n"/>
      <c r="E683" s="8" t="n"/>
      <c r="F683" s="6" t="n"/>
    </row>
    <row r="684">
      <c r="A684" s="6" t="n"/>
      <c r="B684" s="6" t="n"/>
      <c r="C684" s="6" t="n"/>
      <c r="D684" s="6" t="n"/>
      <c r="E684" s="8" t="n"/>
      <c r="F684" s="6" t="n"/>
    </row>
    <row r="685">
      <c r="A685" s="6" t="n"/>
      <c r="B685" s="6" t="n"/>
      <c r="C685" s="6" t="n"/>
      <c r="D685" s="6" t="n"/>
      <c r="E685" s="8" t="n"/>
      <c r="F685" s="6" t="n"/>
    </row>
    <row r="686">
      <c r="A686" s="6" t="n"/>
      <c r="B686" s="6" t="n"/>
      <c r="C686" s="6" t="n"/>
      <c r="D686" s="6" t="n"/>
      <c r="E686" s="8" t="n"/>
      <c r="F686" s="6" t="n"/>
    </row>
    <row r="687">
      <c r="A687" s="6" t="n"/>
      <c r="B687" s="6" t="n"/>
      <c r="C687" s="6" t="n"/>
      <c r="D687" s="6" t="n"/>
      <c r="E687" s="8" t="n"/>
      <c r="F687" s="6" t="n"/>
    </row>
    <row r="688">
      <c r="A688" s="6" t="n"/>
      <c r="B688" s="6" t="n"/>
      <c r="C688" s="6" t="n"/>
      <c r="D688" s="6" t="n"/>
      <c r="E688" s="8" t="n"/>
      <c r="F688" s="6" t="n"/>
    </row>
    <row r="689">
      <c r="A689" s="6" t="n"/>
      <c r="B689" s="6" t="n"/>
      <c r="C689" s="6" t="n"/>
      <c r="D689" s="6" t="n"/>
      <c r="E689" s="8" t="n"/>
      <c r="F689" s="6" t="n"/>
    </row>
    <row r="690">
      <c r="A690" s="6" t="n"/>
      <c r="B690" s="6" t="n"/>
      <c r="C690" s="6" t="n"/>
      <c r="D690" s="6" t="n"/>
      <c r="E690" s="8" t="n"/>
      <c r="F690" s="6" t="n"/>
    </row>
    <row r="691">
      <c r="A691" s="6" t="n"/>
      <c r="B691" s="6" t="n"/>
      <c r="C691" s="6" t="n"/>
      <c r="D691" s="6" t="n"/>
      <c r="E691" s="8" t="n"/>
      <c r="F691" s="6" t="n"/>
    </row>
    <row r="692">
      <c r="A692" s="6" t="n"/>
      <c r="B692" s="6" t="n"/>
      <c r="C692" s="6" t="n"/>
      <c r="D692" s="6" t="n"/>
      <c r="E692" s="8" t="n"/>
      <c r="F692" s="6" t="n"/>
    </row>
    <row r="693">
      <c r="A693" s="6" t="n"/>
      <c r="B693" s="6" t="n"/>
      <c r="C693" s="6" t="n"/>
      <c r="D693" s="6" t="n"/>
      <c r="E693" s="8" t="n"/>
      <c r="F693" s="6" t="n"/>
    </row>
    <row r="694">
      <c r="A694" s="6" t="n"/>
      <c r="B694" s="6" t="n"/>
      <c r="C694" s="6" t="n"/>
      <c r="D694" s="6" t="n"/>
      <c r="E694" s="8" t="n"/>
      <c r="F694" s="6" t="n"/>
    </row>
    <row r="695">
      <c r="A695" s="6" t="n"/>
      <c r="B695" s="6" t="n"/>
      <c r="C695" s="6" t="n"/>
      <c r="D695" s="6" t="n"/>
      <c r="E695" s="8" t="n"/>
      <c r="F695" s="6" t="n"/>
    </row>
    <row r="696">
      <c r="A696" s="6" t="n"/>
      <c r="B696" s="6" t="n"/>
      <c r="C696" s="6" t="n"/>
      <c r="D696" s="6" t="n"/>
      <c r="E696" s="8" t="n"/>
      <c r="F696" s="6" t="n"/>
    </row>
    <row r="697">
      <c r="A697" s="6" t="n"/>
      <c r="B697" s="6" t="n"/>
      <c r="C697" s="6" t="n"/>
      <c r="D697" s="6" t="n"/>
      <c r="E697" s="8" t="n"/>
      <c r="F697" s="6" t="n"/>
    </row>
    <row r="698">
      <c r="A698" s="6" t="n"/>
      <c r="B698" s="6" t="n"/>
      <c r="C698" s="6" t="n"/>
      <c r="D698" s="6" t="n"/>
      <c r="E698" s="8" t="n"/>
      <c r="F698" s="6" t="n"/>
    </row>
    <row r="699">
      <c r="A699" s="6" t="n"/>
      <c r="B699" s="6" t="n"/>
      <c r="C699" s="6" t="n"/>
      <c r="D699" s="6" t="n"/>
      <c r="E699" s="8" t="n"/>
      <c r="F699" s="6" t="n"/>
    </row>
    <row r="700">
      <c r="A700" s="6" t="n"/>
      <c r="B700" s="6" t="n"/>
      <c r="C700" s="6" t="n"/>
      <c r="D700" s="6" t="n"/>
      <c r="E700" s="8" t="n"/>
      <c r="F700" s="6" t="n"/>
    </row>
    <row r="701">
      <c r="A701" s="6" t="n"/>
      <c r="B701" s="6" t="n"/>
      <c r="C701" s="6" t="n"/>
      <c r="D701" s="6" t="n"/>
      <c r="E701" s="8" t="n"/>
      <c r="F701" s="6" t="n"/>
    </row>
    <row r="702">
      <c r="A702" s="6" t="n"/>
      <c r="B702" s="6" t="n"/>
      <c r="C702" s="6" t="n"/>
      <c r="D702" s="6" t="n"/>
      <c r="E702" s="8" t="n"/>
      <c r="F702" s="6" t="n"/>
    </row>
    <row r="703">
      <c r="A703" s="6" t="n"/>
      <c r="B703" s="6" t="n"/>
      <c r="C703" s="6" t="n"/>
      <c r="D703" s="6" t="n"/>
      <c r="E703" s="8" t="n"/>
      <c r="F703" s="6" t="n"/>
    </row>
    <row r="704">
      <c r="A704" s="6" t="n"/>
      <c r="B704" s="6" t="n"/>
      <c r="C704" s="6" t="n"/>
      <c r="D704" s="6" t="n"/>
      <c r="E704" s="8" t="n"/>
      <c r="F704" s="6" t="n"/>
    </row>
    <row r="705">
      <c r="A705" s="6" t="n"/>
      <c r="B705" s="6" t="n"/>
      <c r="C705" s="6" t="n"/>
      <c r="D705" s="6" t="n"/>
      <c r="E705" s="8" t="n"/>
      <c r="F705" s="6" t="n"/>
    </row>
    <row r="706">
      <c r="A706" s="6" t="n"/>
      <c r="B706" s="6" t="n"/>
      <c r="C706" s="6" t="n"/>
      <c r="D706" s="6" t="n"/>
      <c r="E706" s="8" t="n"/>
      <c r="F706" s="6" t="n"/>
    </row>
    <row r="707">
      <c r="A707" s="6" t="n"/>
      <c r="B707" s="6" t="n"/>
      <c r="C707" s="6" t="n"/>
      <c r="D707" s="6" t="n"/>
      <c r="E707" s="8" t="n"/>
      <c r="F707" s="6" t="n"/>
    </row>
    <row r="708">
      <c r="A708" s="6" t="n"/>
      <c r="B708" s="6" t="n"/>
      <c r="C708" s="6" t="n"/>
      <c r="D708" s="6" t="n"/>
      <c r="E708" s="8" t="n"/>
      <c r="F708" s="6" t="n"/>
    </row>
    <row r="709">
      <c r="A709" s="6" t="n"/>
      <c r="B709" s="6" t="n"/>
      <c r="C709" s="6" t="n"/>
      <c r="D709" s="6" t="n"/>
      <c r="E709" s="8" t="n"/>
      <c r="F709" s="6" t="n"/>
    </row>
    <row r="710">
      <c r="A710" s="6" t="n"/>
      <c r="B710" s="6" t="n"/>
      <c r="C710" s="6" t="n"/>
      <c r="D710" s="6" t="n"/>
      <c r="E710" s="8" t="n"/>
      <c r="F710" s="6" t="n"/>
    </row>
    <row r="711">
      <c r="A711" s="6" t="n"/>
      <c r="B711" s="6" t="n"/>
      <c r="C711" s="6" t="n"/>
      <c r="D711" s="6" t="n"/>
      <c r="E711" s="8" t="n"/>
      <c r="F711" s="6" t="n"/>
    </row>
    <row r="712">
      <c r="A712" s="6" t="n"/>
      <c r="B712" s="6" t="n"/>
      <c r="C712" s="6" t="n"/>
      <c r="D712" s="6" t="n"/>
      <c r="E712" s="8" t="n"/>
      <c r="F712" s="6" t="n"/>
    </row>
    <row r="713">
      <c r="A713" s="6" t="n"/>
      <c r="B713" s="6" t="n"/>
      <c r="C713" s="6" t="n"/>
      <c r="D713" s="6" t="n"/>
      <c r="E713" s="8" t="n"/>
      <c r="F713" s="6" t="n"/>
    </row>
    <row r="714">
      <c r="A714" s="6" t="n"/>
      <c r="B714" s="6" t="n"/>
      <c r="C714" s="6" t="n"/>
      <c r="D714" s="6" t="n"/>
      <c r="E714" s="8" t="n"/>
      <c r="F714" s="6" t="n"/>
    </row>
    <row r="715">
      <c r="A715" s="6" t="n"/>
      <c r="B715" s="6" t="n"/>
      <c r="C715" s="6" t="n"/>
      <c r="D715" s="6" t="n"/>
      <c r="E715" s="8" t="n"/>
      <c r="F715" s="6" t="n"/>
    </row>
    <row r="716">
      <c r="A716" s="6" t="n"/>
      <c r="B716" s="6" t="n"/>
      <c r="C716" s="6" t="n"/>
      <c r="D716" s="6" t="n"/>
      <c r="E716" s="8" t="n"/>
      <c r="F716" s="6" t="n"/>
    </row>
    <row r="717">
      <c r="A717" s="6" t="n"/>
      <c r="B717" s="6" t="n"/>
      <c r="C717" s="6" t="n"/>
      <c r="D717" s="6" t="n"/>
      <c r="E717" s="8" t="n"/>
      <c r="F717" s="6" t="n"/>
    </row>
    <row r="718">
      <c r="A718" s="6" t="n"/>
      <c r="B718" s="6" t="n"/>
      <c r="C718" s="6" t="n"/>
      <c r="D718" s="6" t="n"/>
      <c r="E718" s="8" t="n"/>
      <c r="F718" s="6" t="n"/>
    </row>
    <row r="719">
      <c r="A719" s="6" t="n"/>
      <c r="B719" s="6" t="n"/>
      <c r="C719" s="6" t="n"/>
      <c r="D719" s="6" t="n"/>
      <c r="E719" s="8" t="n"/>
      <c r="F719" s="6" t="n"/>
    </row>
    <row r="720">
      <c r="A720" s="6" t="n"/>
      <c r="B720" s="6" t="n"/>
      <c r="C720" s="6" t="n"/>
      <c r="D720" s="6" t="n"/>
      <c r="E720" s="8" t="n"/>
      <c r="F720" s="6" t="n"/>
    </row>
    <row r="721">
      <c r="A721" s="6" t="n"/>
      <c r="B721" s="6" t="n"/>
      <c r="C721" s="6" t="n"/>
      <c r="D721" s="6" t="n"/>
      <c r="E721" s="8" t="n"/>
      <c r="F721" s="6" t="n"/>
    </row>
    <row r="722">
      <c r="A722" s="6" t="n"/>
      <c r="B722" s="6" t="n"/>
      <c r="C722" s="6" t="n"/>
      <c r="D722" s="6" t="n"/>
      <c r="E722" s="8" t="n"/>
      <c r="F722" s="6" t="n"/>
    </row>
    <row r="723">
      <c r="A723" s="6" t="n"/>
      <c r="B723" s="6" t="n"/>
      <c r="C723" s="6" t="n"/>
      <c r="D723" s="6" t="n"/>
      <c r="E723" s="8" t="n"/>
      <c r="F723" s="6" t="n"/>
    </row>
    <row r="724">
      <c r="A724" s="6" t="n"/>
      <c r="B724" s="6" t="n"/>
      <c r="C724" s="6" t="n"/>
      <c r="D724" s="6" t="n"/>
      <c r="E724" s="8" t="n"/>
      <c r="F724" s="6" t="n"/>
    </row>
    <row r="725">
      <c r="A725" s="6" t="n"/>
      <c r="B725" s="6" t="n"/>
      <c r="C725" s="6" t="n"/>
      <c r="D725" s="6" t="n"/>
      <c r="E725" s="8" t="n"/>
      <c r="F725" s="6" t="n"/>
    </row>
    <row r="726">
      <c r="A726" s="6" t="n"/>
      <c r="B726" s="6" t="n"/>
      <c r="C726" s="6" t="n"/>
      <c r="D726" s="6" t="n"/>
      <c r="E726" s="8" t="n"/>
      <c r="F726" s="6" t="n"/>
    </row>
    <row r="727">
      <c r="A727" s="6" t="n"/>
      <c r="B727" s="6" t="n"/>
      <c r="C727" s="6" t="n"/>
      <c r="D727" s="6" t="n"/>
      <c r="E727" s="8" t="n"/>
      <c r="F727" s="6" t="n"/>
    </row>
    <row r="728">
      <c r="A728" s="6" t="n"/>
      <c r="B728" s="6" t="n"/>
      <c r="C728" s="6" t="n"/>
      <c r="D728" s="6" t="n"/>
      <c r="E728" s="8" t="n"/>
      <c r="F728" s="6" t="n"/>
    </row>
    <row r="729">
      <c r="A729" s="6" t="n"/>
      <c r="B729" s="6" t="n"/>
      <c r="C729" s="6" t="n"/>
      <c r="D729" s="6" t="n"/>
      <c r="E729" s="8" t="n"/>
      <c r="F729" s="6" t="n"/>
    </row>
    <row r="730">
      <c r="A730" s="6" t="n"/>
      <c r="B730" s="6" t="n"/>
      <c r="C730" s="6" t="n"/>
      <c r="D730" s="6" t="n"/>
      <c r="E730" s="8" t="n"/>
      <c r="F730" s="6" t="n"/>
    </row>
    <row r="731">
      <c r="A731" s="6" t="n"/>
      <c r="B731" s="6" t="n"/>
      <c r="C731" s="6" t="n"/>
      <c r="D731" s="6" t="n"/>
      <c r="E731" s="8" t="n"/>
      <c r="F731" s="6" t="n"/>
    </row>
    <row r="732">
      <c r="A732" s="6" t="n"/>
      <c r="B732" s="6" t="n"/>
      <c r="C732" s="6" t="n"/>
      <c r="D732" s="6" t="n"/>
      <c r="E732" s="8" t="n"/>
      <c r="F732" s="6" t="n"/>
    </row>
    <row r="733">
      <c r="A733" s="6" t="n"/>
      <c r="B733" s="6" t="n"/>
      <c r="C733" s="6" t="n"/>
      <c r="D733" s="6" t="n"/>
      <c r="E733" s="8" t="n"/>
      <c r="F733" s="6" t="n"/>
    </row>
    <row r="734">
      <c r="A734" s="6" t="n"/>
      <c r="B734" s="6" t="n"/>
      <c r="C734" s="6" t="n"/>
      <c r="D734" s="6" t="n"/>
      <c r="E734" s="8" t="n"/>
      <c r="F734" s="6" t="n"/>
    </row>
    <row r="735">
      <c r="A735" s="6" t="n"/>
      <c r="B735" s="6" t="n"/>
      <c r="C735" s="6" t="n"/>
      <c r="D735" s="6" t="n"/>
      <c r="E735" s="8" t="n"/>
      <c r="F735" s="6" t="n"/>
    </row>
    <row r="736">
      <c r="A736" s="6" t="n"/>
      <c r="B736" s="6" t="n"/>
      <c r="C736" s="6" t="n"/>
      <c r="D736" s="6" t="n"/>
      <c r="E736" s="8" t="n"/>
      <c r="F736" s="6" t="n"/>
    </row>
    <row r="737">
      <c r="A737" s="6" t="n"/>
      <c r="B737" s="6" t="n"/>
      <c r="C737" s="6" t="n"/>
      <c r="D737" s="6" t="n"/>
      <c r="E737" s="8" t="n"/>
      <c r="F737" s="6" t="n"/>
    </row>
    <row r="738">
      <c r="A738" s="6" t="n"/>
      <c r="B738" s="6" t="n"/>
      <c r="C738" s="6" t="n"/>
      <c r="D738" s="6" t="n"/>
      <c r="E738" s="8" t="n"/>
      <c r="F738" s="6" t="n"/>
    </row>
    <row r="739">
      <c r="A739" s="6" t="n"/>
      <c r="B739" s="6" t="n"/>
      <c r="C739" s="6" t="n"/>
      <c r="D739" s="6" t="n"/>
      <c r="E739" s="8" t="n"/>
      <c r="F739" s="6" t="n"/>
    </row>
    <row r="740">
      <c r="A740" s="6" t="n"/>
      <c r="B740" s="6" t="n"/>
      <c r="C740" s="6" t="n"/>
      <c r="D740" s="6" t="n"/>
      <c r="E740" s="8" t="n"/>
      <c r="F740" s="6" t="n"/>
    </row>
    <row r="741">
      <c r="A741" s="6" t="n"/>
      <c r="B741" s="6" t="n"/>
      <c r="C741" s="6" t="n"/>
      <c r="D741" s="6" t="n"/>
      <c r="E741" s="8" t="n"/>
      <c r="F741" s="6" t="n"/>
    </row>
    <row r="742">
      <c r="A742" s="6" t="n"/>
      <c r="B742" s="6" t="n"/>
      <c r="C742" s="6" t="n"/>
      <c r="D742" s="6" t="n"/>
      <c r="E742" s="8" t="n"/>
      <c r="F742" s="6" t="n"/>
    </row>
    <row r="743">
      <c r="A743" s="6" t="n"/>
      <c r="B743" s="6" t="n"/>
      <c r="C743" s="6" t="n"/>
      <c r="D743" s="6" t="n"/>
      <c r="E743" s="8" t="n"/>
      <c r="F743" s="6" t="n"/>
    </row>
    <row r="744">
      <c r="A744" s="6" t="n"/>
      <c r="B744" s="6" t="n"/>
      <c r="C744" s="6" t="n"/>
      <c r="D744" s="6" t="n"/>
      <c r="E744" s="8" t="n"/>
      <c r="F744" s="6" t="n"/>
    </row>
    <row r="745">
      <c r="A745" s="6" t="n"/>
      <c r="B745" s="6" t="n"/>
      <c r="C745" s="6" t="n"/>
      <c r="D745" s="6" t="n"/>
      <c r="E745" s="8" t="n"/>
      <c r="F745" s="6" t="n"/>
    </row>
    <row r="746">
      <c r="A746" s="6" t="n"/>
      <c r="B746" s="6" t="n"/>
      <c r="C746" s="6" t="n"/>
      <c r="D746" s="6" t="n"/>
      <c r="E746" s="8" t="n"/>
      <c r="F746" s="6" t="n"/>
    </row>
    <row r="747">
      <c r="A747" s="6" t="n"/>
      <c r="B747" s="6" t="n"/>
      <c r="C747" s="6" t="n"/>
      <c r="D747" s="6" t="n"/>
      <c r="E747" s="8" t="n"/>
      <c r="F747" s="6" t="n"/>
    </row>
    <row r="748">
      <c r="A748" s="6" t="n"/>
      <c r="B748" s="6" t="n"/>
      <c r="C748" s="6" t="n"/>
      <c r="D748" s="6" t="n"/>
      <c r="E748" s="8" t="n"/>
      <c r="F748" s="6" t="n"/>
    </row>
    <row r="749">
      <c r="A749" s="6" t="n"/>
      <c r="B749" s="6" t="n"/>
      <c r="C749" s="6" t="n"/>
      <c r="D749" s="6" t="n"/>
      <c r="E749" s="8" t="n"/>
      <c r="F749" s="6" t="n"/>
    </row>
    <row r="750">
      <c r="A750" s="6" t="n"/>
      <c r="B750" s="6" t="n"/>
      <c r="C750" s="6" t="n"/>
      <c r="D750" s="6" t="n"/>
      <c r="E750" s="8" t="n"/>
      <c r="F750" s="6" t="n"/>
    </row>
    <row r="751">
      <c r="A751" s="6" t="n"/>
      <c r="B751" s="6" t="n"/>
      <c r="C751" s="6" t="n"/>
      <c r="D751" s="6" t="n"/>
      <c r="E751" s="8" t="n"/>
      <c r="F751" s="6" t="n"/>
    </row>
    <row r="752">
      <c r="A752" s="6" t="n"/>
      <c r="B752" s="6" t="n"/>
      <c r="C752" s="6" t="n"/>
      <c r="D752" s="6" t="n"/>
      <c r="E752" s="8" t="n"/>
      <c r="F752" s="6" t="n"/>
    </row>
    <row r="753">
      <c r="A753" s="6" t="n"/>
      <c r="B753" s="6" t="n"/>
      <c r="C753" s="6" t="n"/>
      <c r="D753" s="6" t="n"/>
      <c r="E753" s="8" t="n"/>
      <c r="F753" s="6" t="n"/>
    </row>
    <row r="754">
      <c r="A754" s="6" t="n"/>
      <c r="B754" s="6" t="n"/>
      <c r="C754" s="6" t="n"/>
      <c r="D754" s="6" t="n"/>
      <c r="E754" s="8" t="n"/>
      <c r="F754" s="6" t="n"/>
    </row>
    <row r="755">
      <c r="A755" s="6" t="n"/>
      <c r="B755" s="6" t="n"/>
      <c r="C755" s="6" t="n"/>
      <c r="D755" s="6" t="n"/>
      <c r="E755" s="8" t="n"/>
      <c r="F755" s="6" t="n"/>
    </row>
    <row r="756">
      <c r="A756" s="6" t="n"/>
      <c r="B756" s="6" t="n"/>
      <c r="C756" s="6" t="n"/>
      <c r="D756" s="6" t="n"/>
      <c r="E756" s="8" t="n"/>
      <c r="F756" s="6" t="n"/>
    </row>
    <row r="757">
      <c r="A757" s="6" t="n"/>
      <c r="B757" s="6" t="n"/>
      <c r="C757" s="6" t="n"/>
      <c r="D757" s="6" t="n"/>
      <c r="E757" s="8" t="n"/>
      <c r="F757" s="6" t="n"/>
    </row>
    <row r="758">
      <c r="A758" s="6" t="n"/>
      <c r="B758" s="6" t="n"/>
      <c r="C758" s="6" t="n"/>
      <c r="D758" s="6" t="n"/>
      <c r="E758" s="8" t="n"/>
      <c r="F758" s="6" t="n"/>
    </row>
    <row r="759">
      <c r="A759" s="6" t="n"/>
      <c r="B759" s="6" t="n"/>
      <c r="C759" s="6" t="n"/>
      <c r="D759" s="6" t="n"/>
      <c r="E759" s="8" t="n"/>
      <c r="F759" s="6" t="n"/>
    </row>
    <row r="760">
      <c r="A760" s="6" t="n"/>
      <c r="B760" s="6" t="n"/>
      <c r="C760" s="6" t="n"/>
      <c r="D760" s="6" t="n"/>
      <c r="E760" s="8" t="n"/>
      <c r="F760" s="6" t="n"/>
    </row>
    <row r="761">
      <c r="A761" s="6" t="n"/>
      <c r="B761" s="6" t="n"/>
      <c r="C761" s="6" t="n"/>
      <c r="D761" s="6" t="n"/>
      <c r="E761" s="8" t="n"/>
      <c r="F761" s="6" t="n"/>
    </row>
    <row r="762">
      <c r="A762" s="6" t="n"/>
      <c r="B762" s="6" t="n"/>
      <c r="C762" s="6" t="n"/>
      <c r="D762" s="6" t="n"/>
      <c r="E762" s="8" t="n"/>
      <c r="F762" s="6" t="n"/>
    </row>
    <row r="763">
      <c r="A763" s="6" t="n"/>
      <c r="B763" s="6" t="n"/>
      <c r="C763" s="6" t="n"/>
      <c r="D763" s="6" t="n"/>
      <c r="E763" s="8" t="n"/>
      <c r="F763" s="6" t="n"/>
    </row>
    <row r="764">
      <c r="A764" s="6" t="n"/>
      <c r="B764" s="6" t="n"/>
      <c r="C764" s="6" t="n"/>
      <c r="D764" s="6" t="n"/>
      <c r="E764" s="8" t="n"/>
      <c r="F764" s="6" t="n"/>
    </row>
    <row r="765">
      <c r="A765" s="6" t="n"/>
      <c r="B765" s="6" t="n"/>
      <c r="C765" s="6" t="n"/>
      <c r="D765" s="6" t="n"/>
      <c r="E765" s="8" t="n"/>
      <c r="F765" s="6" t="n"/>
    </row>
    <row r="766">
      <c r="A766" s="6" t="n"/>
      <c r="B766" s="6" t="n"/>
      <c r="C766" s="6" t="n"/>
      <c r="D766" s="6" t="n"/>
      <c r="E766" s="8" t="n"/>
      <c r="F766" s="6" t="n"/>
    </row>
    <row r="767">
      <c r="A767" s="6" t="n"/>
      <c r="B767" s="6" t="n"/>
      <c r="C767" s="6" t="n"/>
      <c r="D767" s="6" t="n"/>
      <c r="E767" s="8" t="n"/>
      <c r="F767" s="6" t="n"/>
    </row>
    <row r="768">
      <c r="A768" s="6" t="n"/>
      <c r="B768" s="6" t="n"/>
      <c r="C768" s="6" t="n"/>
      <c r="D768" s="6" t="n"/>
      <c r="E768" s="8" t="n"/>
      <c r="F768" s="6" t="n"/>
    </row>
    <row r="769">
      <c r="A769" s="6" t="n"/>
      <c r="B769" s="6" t="n"/>
      <c r="C769" s="6" t="n"/>
      <c r="D769" s="6" t="n"/>
      <c r="E769" s="8" t="n"/>
      <c r="F769" s="6" t="n"/>
    </row>
    <row r="770">
      <c r="A770" s="6" t="n"/>
      <c r="B770" s="6" t="n"/>
      <c r="C770" s="6" t="n"/>
      <c r="D770" s="6" t="n"/>
      <c r="E770" s="8" t="n"/>
      <c r="F770" s="6" t="n"/>
    </row>
    <row r="771">
      <c r="A771" s="6" t="n"/>
      <c r="B771" s="6" t="n"/>
      <c r="C771" s="6" t="n"/>
      <c r="D771" s="6" t="n"/>
      <c r="E771" s="8" t="n"/>
      <c r="F771" s="6" t="n"/>
    </row>
    <row r="772">
      <c r="A772" s="6" t="n"/>
      <c r="B772" s="6" t="n"/>
      <c r="C772" s="6" t="n"/>
      <c r="D772" s="6" t="n"/>
      <c r="E772" s="8" t="n"/>
      <c r="F772" s="6" t="n"/>
    </row>
    <row r="773">
      <c r="A773" s="6" t="n"/>
      <c r="B773" s="6" t="n"/>
      <c r="C773" s="6" t="n"/>
      <c r="D773" s="6" t="n"/>
      <c r="E773" s="8" t="n"/>
      <c r="F773" s="6" t="n"/>
    </row>
    <row r="774">
      <c r="A774" s="6" t="n"/>
      <c r="B774" s="6" t="n"/>
      <c r="C774" s="6" t="n"/>
      <c r="D774" s="6" t="n"/>
      <c r="E774" s="8" t="n"/>
      <c r="F774" s="6" t="n"/>
    </row>
    <row r="775">
      <c r="A775" s="6" t="n"/>
      <c r="B775" s="6" t="n"/>
      <c r="C775" s="6" t="n"/>
      <c r="D775" s="6" t="n"/>
      <c r="E775" s="8" t="n"/>
      <c r="F775" s="6" t="n"/>
    </row>
    <row r="776">
      <c r="A776" s="6" t="n"/>
      <c r="B776" s="6" t="n"/>
      <c r="C776" s="6" t="n"/>
      <c r="D776" s="6" t="n"/>
      <c r="E776" s="8" t="n"/>
      <c r="F776" s="6" t="n"/>
    </row>
    <row r="777">
      <c r="A777" s="6" t="n"/>
      <c r="B777" s="6" t="n"/>
      <c r="C777" s="6" t="n"/>
      <c r="D777" s="6" t="n"/>
      <c r="E777" s="8" t="n"/>
      <c r="F777" s="6" t="n"/>
    </row>
    <row r="778">
      <c r="A778" s="6" t="n"/>
      <c r="B778" s="6" t="n"/>
      <c r="C778" s="6" t="n"/>
      <c r="D778" s="6" t="n"/>
      <c r="E778" s="8" t="n"/>
      <c r="F778" s="6" t="n"/>
    </row>
    <row r="779">
      <c r="A779" s="6" t="n"/>
      <c r="B779" s="6" t="n"/>
      <c r="C779" s="6" t="n"/>
      <c r="D779" s="6" t="n"/>
      <c r="E779" s="8" t="n"/>
      <c r="F779" s="6" t="n"/>
    </row>
    <row r="780">
      <c r="A780" s="6" t="n"/>
      <c r="B780" s="6" t="n"/>
      <c r="C780" s="6" t="n"/>
      <c r="D780" s="6" t="n"/>
      <c r="E780" s="8" t="n"/>
      <c r="F780" s="6" t="n"/>
    </row>
    <row r="781">
      <c r="A781" s="6" t="n"/>
      <c r="B781" s="6" t="n"/>
      <c r="C781" s="6" t="n"/>
      <c r="D781" s="6" t="n"/>
      <c r="E781" s="8" t="n"/>
      <c r="F781" s="6" t="n"/>
    </row>
    <row r="782">
      <c r="A782" s="6" t="n"/>
      <c r="B782" s="6" t="n"/>
      <c r="C782" s="6" t="n"/>
      <c r="D782" s="6" t="n"/>
      <c r="E782" s="8" t="n"/>
      <c r="F782" s="6" t="n"/>
    </row>
    <row r="783">
      <c r="A783" s="6" t="n"/>
      <c r="B783" s="6" t="n"/>
      <c r="C783" s="6" t="n"/>
      <c r="D783" s="6" t="n"/>
      <c r="E783" s="8" t="n"/>
      <c r="F783" s="6" t="n"/>
    </row>
    <row r="784">
      <c r="A784" s="6" t="n"/>
      <c r="B784" s="6" t="n"/>
      <c r="C784" s="6" t="n"/>
      <c r="D784" s="6" t="n"/>
      <c r="E784" s="8" t="n"/>
      <c r="F784" s="6" t="n"/>
    </row>
    <row r="785">
      <c r="A785" s="6" t="n"/>
      <c r="B785" s="6" t="n"/>
      <c r="C785" s="6" t="n"/>
      <c r="D785" s="6" t="n"/>
      <c r="E785" s="8" t="n"/>
      <c r="F785" s="6" t="n"/>
    </row>
    <row r="786">
      <c r="A786" s="6" t="n"/>
      <c r="B786" s="6" t="n"/>
      <c r="C786" s="6" t="n"/>
      <c r="D786" s="6" t="n"/>
      <c r="E786" s="8" t="n"/>
      <c r="F786" s="6" t="n"/>
    </row>
    <row r="787">
      <c r="A787" s="6" t="n"/>
      <c r="B787" s="6" t="n"/>
      <c r="C787" s="6" t="n"/>
      <c r="D787" s="6" t="n"/>
      <c r="E787" s="8" t="n"/>
      <c r="F787" s="6" t="n"/>
    </row>
    <row r="788">
      <c r="A788" s="6" t="n"/>
      <c r="B788" s="6" t="n"/>
      <c r="C788" s="6" t="n"/>
      <c r="D788" s="6" t="n"/>
      <c r="E788" s="8" t="n"/>
      <c r="F788" s="6" t="n"/>
    </row>
    <row r="789">
      <c r="A789" s="6" t="n"/>
      <c r="B789" s="6" t="n"/>
      <c r="C789" s="6" t="n"/>
      <c r="D789" s="6" t="n"/>
      <c r="E789" s="8" t="n"/>
      <c r="F789" s="6" t="n"/>
    </row>
    <row r="790">
      <c r="A790" s="6" t="n"/>
      <c r="B790" s="6" t="n"/>
      <c r="C790" s="6" t="n"/>
      <c r="D790" s="6" t="n"/>
      <c r="E790" s="8" t="n"/>
      <c r="F790" s="6" t="n"/>
    </row>
    <row r="791">
      <c r="A791" s="6" t="n"/>
      <c r="B791" s="6" t="n"/>
      <c r="C791" s="6" t="n"/>
      <c r="D791" s="6" t="n"/>
      <c r="E791" s="8" t="n"/>
      <c r="F791" s="6" t="n"/>
    </row>
    <row r="792">
      <c r="A792" s="6" t="n"/>
      <c r="B792" s="6" t="n"/>
      <c r="C792" s="6" t="n"/>
      <c r="D792" s="6" t="n"/>
      <c r="E792" s="8" t="n"/>
      <c r="F792" s="6" t="n"/>
    </row>
    <row r="793">
      <c r="A793" s="6" t="n"/>
      <c r="B793" s="6" t="n"/>
      <c r="C793" s="6" t="n"/>
      <c r="D793" s="6" t="n"/>
      <c r="E793" s="8" t="n"/>
      <c r="F793" s="6" t="n"/>
    </row>
    <row r="794">
      <c r="A794" s="6" t="n"/>
      <c r="B794" s="6" t="n"/>
      <c r="C794" s="6" t="n"/>
      <c r="D794" s="6" t="n"/>
      <c r="E794" s="8" t="n"/>
      <c r="F794" s="6" t="n"/>
    </row>
    <row r="795">
      <c r="A795" s="6" t="n"/>
      <c r="B795" s="6" t="n"/>
      <c r="C795" s="6" t="n"/>
      <c r="D795" s="6" t="n"/>
      <c r="E795" s="8" t="n"/>
      <c r="F795" s="6" t="n"/>
    </row>
    <row r="796">
      <c r="A796" s="6" t="n"/>
      <c r="B796" s="6" t="n"/>
      <c r="C796" s="6" t="n"/>
      <c r="D796" s="6" t="n"/>
      <c r="E796" s="8" t="n"/>
      <c r="F796" s="6" t="n"/>
    </row>
    <row r="797">
      <c r="A797" s="6" t="n"/>
      <c r="B797" s="6" t="n"/>
      <c r="C797" s="6" t="n"/>
      <c r="D797" s="6" t="n"/>
      <c r="E797" s="8" t="n"/>
      <c r="F797" s="6" t="n"/>
    </row>
    <row r="798">
      <c r="A798" s="6" t="n"/>
      <c r="B798" s="6" t="n"/>
      <c r="C798" s="6" t="n"/>
      <c r="D798" s="6" t="n"/>
      <c r="E798" s="8" t="n"/>
      <c r="F798" s="6" t="n"/>
    </row>
    <row r="799">
      <c r="A799" s="6" t="n"/>
      <c r="B799" s="6" t="n"/>
      <c r="C799" s="6" t="n"/>
      <c r="D799" s="6" t="n"/>
      <c r="E799" s="8" t="n"/>
      <c r="F799" s="6" t="n"/>
    </row>
    <row r="800">
      <c r="A800" s="6" t="n"/>
      <c r="B800" s="6" t="n"/>
      <c r="C800" s="6" t="n"/>
      <c r="D800" s="6" t="n"/>
      <c r="E800" s="8" t="n"/>
      <c r="F800" s="6" t="n"/>
    </row>
    <row r="801">
      <c r="A801" s="6" t="n"/>
      <c r="B801" s="6" t="n"/>
      <c r="C801" s="6" t="n"/>
      <c r="D801" s="6" t="n"/>
      <c r="E801" s="8" t="n"/>
      <c r="F801" s="6" t="n"/>
    </row>
    <row r="802">
      <c r="A802" s="6" t="n"/>
      <c r="B802" s="6" t="n"/>
      <c r="C802" s="6" t="n"/>
      <c r="D802" s="6" t="n"/>
      <c r="E802" s="8" t="n"/>
      <c r="F802" s="6" t="n"/>
    </row>
    <row r="803">
      <c r="A803" s="6" t="n"/>
      <c r="B803" s="6" t="n"/>
      <c r="C803" s="6" t="n"/>
      <c r="D803" s="6" t="n"/>
      <c r="E803" s="8" t="n"/>
      <c r="F803" s="6" t="n"/>
    </row>
    <row r="804">
      <c r="A804" s="6" t="n"/>
      <c r="B804" s="6" t="n"/>
      <c r="C804" s="6" t="n"/>
      <c r="D804" s="6" t="n"/>
      <c r="E804" s="8" t="n"/>
      <c r="F804" s="6" t="n"/>
    </row>
    <row r="805">
      <c r="A805" s="6" t="n"/>
      <c r="B805" s="6" t="n"/>
      <c r="C805" s="6" t="n"/>
      <c r="D805" s="6" t="n"/>
      <c r="E805" s="8" t="n"/>
      <c r="F805" s="6" t="n"/>
    </row>
    <row r="806">
      <c r="A806" s="6" t="n"/>
      <c r="B806" s="6" t="n"/>
      <c r="C806" s="6" t="n"/>
      <c r="D806" s="6" t="n"/>
      <c r="E806" s="8" t="n"/>
      <c r="F806" s="6" t="n"/>
    </row>
    <row r="807">
      <c r="A807" s="6" t="n"/>
      <c r="B807" s="6" t="n"/>
      <c r="C807" s="6" t="n"/>
      <c r="D807" s="6" t="n"/>
      <c r="E807" s="8" t="n"/>
      <c r="F807" s="6" t="n"/>
    </row>
    <row r="808">
      <c r="A808" s="6" t="n"/>
      <c r="B808" s="6" t="n"/>
      <c r="C808" s="6" t="n"/>
      <c r="D808" s="6" t="n"/>
      <c r="E808" s="8" t="n"/>
      <c r="F808" s="6" t="n"/>
    </row>
    <row r="809">
      <c r="A809" s="6" t="n"/>
      <c r="B809" s="6" t="n"/>
      <c r="C809" s="6" t="n"/>
      <c r="D809" s="6" t="n"/>
      <c r="E809" s="8" t="n"/>
      <c r="F809" s="6" t="n"/>
    </row>
    <row r="810">
      <c r="A810" s="6" t="n"/>
      <c r="B810" s="6" t="n"/>
      <c r="C810" s="6" t="n"/>
      <c r="D810" s="6" t="n"/>
      <c r="E810" s="8" t="n"/>
      <c r="F810" s="6" t="n"/>
    </row>
    <row r="811">
      <c r="A811" s="6" t="n"/>
      <c r="B811" s="6" t="n"/>
      <c r="C811" s="6" t="n"/>
      <c r="D811" s="6" t="n"/>
      <c r="E811" s="8" t="n"/>
      <c r="F811" s="6" t="n"/>
    </row>
    <row r="812">
      <c r="A812" s="6" t="n"/>
      <c r="B812" s="6" t="n"/>
      <c r="C812" s="6" t="n"/>
      <c r="D812" s="6" t="n"/>
      <c r="E812" s="8" t="n"/>
      <c r="F812" s="6" t="n"/>
    </row>
    <row r="813">
      <c r="A813" s="6" t="n"/>
      <c r="B813" s="6" t="n"/>
      <c r="C813" s="6" t="n"/>
      <c r="D813" s="6" t="n"/>
      <c r="E813" s="8" t="n"/>
      <c r="F813" s="6" t="n"/>
    </row>
    <row r="814">
      <c r="A814" s="6" t="n"/>
      <c r="B814" s="6" t="n"/>
      <c r="C814" s="6" t="n"/>
      <c r="D814" s="6" t="n"/>
      <c r="E814" s="8" t="n"/>
      <c r="F814" s="6" t="n"/>
    </row>
    <row r="815">
      <c r="A815" s="6" t="n"/>
      <c r="B815" s="6" t="n"/>
      <c r="C815" s="6" t="n"/>
      <c r="D815" s="6" t="n"/>
      <c r="E815" s="8" t="n"/>
      <c r="F815" s="6" t="n"/>
    </row>
    <row r="816">
      <c r="A816" s="6" t="n"/>
      <c r="B816" s="6" t="n"/>
      <c r="C816" s="6" t="n"/>
      <c r="D816" s="6" t="n"/>
      <c r="E816" s="8" t="n"/>
      <c r="F816" s="6" t="n"/>
    </row>
    <row r="817">
      <c r="A817" s="6" t="n"/>
      <c r="B817" s="6" t="n"/>
      <c r="C817" s="6" t="n"/>
      <c r="D817" s="6" t="n"/>
      <c r="E817" s="8" t="n"/>
      <c r="F817" s="6" t="n"/>
    </row>
    <row r="818">
      <c r="A818" s="6" t="n"/>
      <c r="B818" s="6" t="n"/>
      <c r="C818" s="6" t="n"/>
      <c r="D818" s="6" t="n"/>
      <c r="E818" s="8" t="n"/>
      <c r="F818" s="6" t="n"/>
    </row>
    <row r="819">
      <c r="A819" s="6" t="n"/>
      <c r="B819" s="6" t="n"/>
      <c r="C819" s="6" t="n"/>
      <c r="D819" s="6" t="n"/>
      <c r="E819" s="8" t="n"/>
      <c r="F819" s="6" t="n"/>
    </row>
    <row r="820">
      <c r="A820" s="6" t="n"/>
      <c r="B820" s="6" t="n"/>
      <c r="C820" s="6" t="n"/>
      <c r="D820" s="6" t="n"/>
      <c r="E820" s="8" t="n"/>
      <c r="F820" s="6" t="n"/>
    </row>
    <row r="821">
      <c r="A821" s="6" t="n"/>
      <c r="B821" s="6" t="n"/>
      <c r="C821" s="6" t="n"/>
      <c r="D821" s="6" t="n"/>
      <c r="E821" s="8" t="n"/>
      <c r="F821" s="6" t="n"/>
    </row>
    <row r="822">
      <c r="A822" s="6" t="n"/>
      <c r="B822" s="6" t="n"/>
      <c r="C822" s="6" t="n"/>
      <c r="D822" s="6" t="n"/>
      <c r="E822" s="8" t="n"/>
      <c r="F822" s="6" t="n"/>
    </row>
    <row r="823">
      <c r="A823" s="6" t="n"/>
      <c r="B823" s="6" t="n"/>
      <c r="C823" s="6" t="n"/>
      <c r="D823" s="6" t="n"/>
      <c r="E823" s="8" t="n"/>
      <c r="F823" s="6" t="n"/>
    </row>
    <row r="824">
      <c r="A824" s="6" t="n"/>
      <c r="B824" s="6" t="n"/>
      <c r="C824" s="6" t="n"/>
      <c r="D824" s="6" t="n"/>
      <c r="E824" s="8" t="n"/>
      <c r="F824" s="6" t="n"/>
    </row>
    <row r="825">
      <c r="A825" s="6" t="n"/>
      <c r="B825" s="6" t="n"/>
      <c r="C825" s="6" t="n"/>
      <c r="D825" s="6" t="n"/>
      <c r="E825" s="8" t="n"/>
      <c r="F825" s="6" t="n"/>
    </row>
    <row r="826">
      <c r="A826" s="6" t="n"/>
      <c r="B826" s="6" t="n"/>
      <c r="C826" s="6" t="n"/>
      <c r="D826" s="6" t="n"/>
      <c r="E826" s="8" t="n"/>
      <c r="F826" s="6" t="n"/>
    </row>
    <row r="827">
      <c r="A827" s="6" t="n"/>
      <c r="B827" s="6" t="n"/>
      <c r="C827" s="6" t="n"/>
      <c r="D827" s="6" t="n"/>
      <c r="E827" s="8" t="n"/>
      <c r="F827" s="6" t="n"/>
    </row>
    <row r="828">
      <c r="A828" s="6" t="n"/>
      <c r="B828" s="6" t="n"/>
      <c r="C828" s="6" t="n"/>
      <c r="D828" s="6" t="n"/>
      <c r="E828" s="8" t="n"/>
      <c r="F828" s="6" t="n"/>
    </row>
    <row r="829">
      <c r="A829" s="6" t="n"/>
      <c r="B829" s="6" t="n"/>
      <c r="C829" s="6" t="n"/>
      <c r="D829" s="6" t="n"/>
      <c r="E829" s="8" t="n"/>
      <c r="F829" s="6" t="n"/>
    </row>
    <row r="830">
      <c r="A830" s="6" t="n"/>
      <c r="B830" s="6" t="n"/>
      <c r="C830" s="6" t="n"/>
      <c r="D830" s="6" t="n"/>
      <c r="E830" s="8" t="n"/>
      <c r="F830" s="6" t="n"/>
    </row>
    <row r="831">
      <c r="A831" s="6" t="n"/>
      <c r="B831" s="6" t="n"/>
      <c r="C831" s="6" t="n"/>
      <c r="D831" s="6" t="n"/>
      <c r="E831" s="8" t="n"/>
      <c r="F831" s="6" t="n"/>
    </row>
    <row r="832">
      <c r="A832" s="6" t="n"/>
      <c r="B832" s="6" t="n"/>
      <c r="C832" s="6" t="n"/>
      <c r="D832" s="6" t="n"/>
      <c r="E832" s="8" t="n"/>
      <c r="F832" s="6" t="n"/>
    </row>
    <row r="833">
      <c r="A833" s="6" t="n"/>
      <c r="B833" s="6" t="n"/>
      <c r="C833" s="6" t="n"/>
      <c r="D833" s="6" t="n"/>
      <c r="E833" s="8" t="n"/>
      <c r="F833" s="6" t="n"/>
    </row>
    <row r="834">
      <c r="A834" s="6" t="n"/>
      <c r="B834" s="6" t="n"/>
      <c r="C834" s="6" t="n"/>
      <c r="D834" s="6" t="n"/>
      <c r="E834" s="8" t="n"/>
      <c r="F834" s="6" t="n"/>
    </row>
    <row r="835">
      <c r="A835" s="6" t="n"/>
      <c r="B835" s="6" t="n"/>
      <c r="C835" s="6" t="n"/>
      <c r="D835" s="6" t="n"/>
      <c r="E835" s="8" t="n"/>
      <c r="F835" s="6" t="n"/>
    </row>
    <row r="836">
      <c r="A836" s="6" t="n"/>
      <c r="B836" s="6" t="n"/>
      <c r="C836" s="6" t="n"/>
      <c r="D836" s="6" t="n"/>
      <c r="E836" s="8" t="n"/>
      <c r="F836" s="6" t="n"/>
    </row>
    <row r="837">
      <c r="A837" s="6" t="n"/>
      <c r="B837" s="6" t="n"/>
      <c r="C837" s="6" t="n"/>
      <c r="D837" s="6" t="n"/>
      <c r="E837" s="8" t="n"/>
      <c r="F837" s="6" t="n"/>
    </row>
    <row r="838">
      <c r="A838" s="6" t="n"/>
      <c r="B838" s="6" t="n"/>
      <c r="C838" s="6" t="n"/>
      <c r="D838" s="6" t="n"/>
      <c r="E838" s="8" t="n"/>
      <c r="F838" s="6" t="n"/>
    </row>
    <row r="839">
      <c r="A839" s="6" t="n"/>
      <c r="B839" s="6" t="n"/>
      <c r="C839" s="6" t="n"/>
      <c r="D839" s="6" t="n"/>
      <c r="E839" s="8" t="n"/>
      <c r="F839" s="6" t="n"/>
    </row>
    <row r="840">
      <c r="A840" s="6" t="n"/>
      <c r="B840" s="6" t="n"/>
      <c r="C840" s="6" t="n"/>
      <c r="D840" s="6" t="n"/>
      <c r="E840" s="8" t="n"/>
      <c r="F840" s="6" t="n"/>
    </row>
    <row r="841">
      <c r="A841" s="6" t="n"/>
      <c r="B841" s="6" t="n"/>
      <c r="C841" s="6" t="n"/>
      <c r="D841" s="6" t="n"/>
      <c r="E841" s="8" t="n"/>
      <c r="F841" s="6" t="n"/>
    </row>
    <row r="842">
      <c r="A842" s="6" t="n"/>
      <c r="B842" s="6" t="n"/>
      <c r="C842" s="6" t="n"/>
      <c r="D842" s="6" t="n"/>
      <c r="E842" s="8" t="n"/>
      <c r="F842" s="6" t="n"/>
    </row>
    <row r="843">
      <c r="A843" s="6" t="n"/>
      <c r="B843" s="6" t="n"/>
      <c r="C843" s="6" t="n"/>
      <c r="D843" s="6" t="n"/>
      <c r="E843" s="8" t="n"/>
      <c r="F843" s="6" t="n"/>
    </row>
    <row r="844">
      <c r="A844" s="6" t="n"/>
      <c r="B844" s="6" t="n"/>
      <c r="C844" s="6" t="n"/>
      <c r="D844" s="6" t="n"/>
      <c r="E844" s="8" t="n"/>
      <c r="F844" s="6" t="n"/>
    </row>
    <row r="845">
      <c r="A845" s="6" t="n"/>
      <c r="B845" s="6" t="n"/>
      <c r="C845" s="6" t="n"/>
      <c r="D845" s="6" t="n"/>
      <c r="E845" s="8" t="n"/>
      <c r="F845" s="6" t="n"/>
    </row>
    <row r="846">
      <c r="A846" s="6" t="n"/>
      <c r="B846" s="6" t="n"/>
      <c r="C846" s="6" t="n"/>
      <c r="D846" s="6" t="n"/>
      <c r="E846" s="8" t="n"/>
      <c r="F846" s="6" t="n"/>
    </row>
    <row r="847">
      <c r="A847" s="6" t="n"/>
      <c r="B847" s="6" t="n"/>
      <c r="C847" s="6" t="n"/>
      <c r="D847" s="6" t="n"/>
      <c r="E847" s="8" t="n"/>
      <c r="F847" s="6" t="n"/>
    </row>
    <row r="848">
      <c r="A848" s="6" t="n"/>
      <c r="B848" s="6" t="n"/>
      <c r="C848" s="6" t="n"/>
      <c r="D848" s="6" t="n"/>
      <c r="E848" s="8" t="n"/>
      <c r="F848" s="6" t="n"/>
    </row>
    <row r="849">
      <c r="A849" s="6" t="n"/>
      <c r="B849" s="6" t="n"/>
      <c r="C849" s="6" t="n"/>
      <c r="D849" s="6" t="n"/>
      <c r="E849" s="8" t="n"/>
      <c r="F849" s="6" t="n"/>
    </row>
    <row r="850">
      <c r="A850" s="6" t="n"/>
      <c r="B850" s="6" t="n"/>
      <c r="C850" s="6" t="n"/>
      <c r="D850" s="6" t="n"/>
      <c r="E850" s="8" t="n"/>
      <c r="F850" s="6" t="n"/>
    </row>
    <row r="851">
      <c r="A851" s="6" t="n"/>
      <c r="B851" s="6" t="n"/>
      <c r="C851" s="6" t="n"/>
      <c r="D851" s="6" t="n"/>
      <c r="E851" s="8" t="n"/>
      <c r="F851" s="6" t="n"/>
    </row>
    <row r="852">
      <c r="A852" s="6" t="n"/>
      <c r="B852" s="6" t="n"/>
      <c r="C852" s="6" t="n"/>
      <c r="D852" s="6" t="n"/>
      <c r="E852" s="8" t="n"/>
      <c r="F852" s="6" t="n"/>
    </row>
    <row r="853">
      <c r="A853" s="6" t="n"/>
      <c r="B853" s="6" t="n"/>
      <c r="C853" s="6" t="n"/>
      <c r="D853" s="6" t="n"/>
      <c r="E853" s="8" t="n"/>
      <c r="F853" s="6" t="n"/>
    </row>
    <row r="854">
      <c r="A854" s="6" t="n"/>
      <c r="B854" s="6" t="n"/>
      <c r="C854" s="6" t="n"/>
      <c r="D854" s="6" t="n"/>
      <c r="E854" s="8" t="n"/>
      <c r="F854" s="6" t="n"/>
    </row>
    <row r="855">
      <c r="A855" s="6" t="n"/>
      <c r="B855" s="6" t="n"/>
      <c r="C855" s="6" t="n"/>
      <c r="D855" s="6" t="n"/>
      <c r="E855" s="8" t="n"/>
      <c r="F855" s="6" t="n"/>
    </row>
    <row r="856">
      <c r="A856" s="6" t="n"/>
      <c r="B856" s="6" t="n"/>
      <c r="C856" s="6" t="n"/>
      <c r="D856" s="6" t="n"/>
      <c r="E856" s="8" t="n"/>
      <c r="F856" s="6" t="n"/>
    </row>
    <row r="857">
      <c r="A857" s="6" t="n"/>
      <c r="B857" s="6" t="n"/>
      <c r="C857" s="6" t="n"/>
      <c r="D857" s="6" t="n"/>
      <c r="E857" s="8" t="n"/>
      <c r="F857" s="6" t="n"/>
    </row>
    <row r="858">
      <c r="A858" s="6" t="n"/>
      <c r="B858" s="6" t="n"/>
      <c r="C858" s="6" t="n"/>
      <c r="D858" s="6" t="n"/>
      <c r="E858" s="8" t="n"/>
      <c r="F858" s="6" t="n"/>
    </row>
    <row r="859">
      <c r="A859" s="6" t="n"/>
      <c r="B859" s="6" t="n"/>
      <c r="C859" s="6" t="n"/>
      <c r="D859" s="6" t="n"/>
      <c r="E859" s="8" t="n"/>
      <c r="F859" s="6" t="n"/>
    </row>
    <row r="860">
      <c r="A860" s="6" t="n"/>
      <c r="B860" s="6" t="n"/>
      <c r="C860" s="6" t="n"/>
      <c r="D860" s="6" t="n"/>
      <c r="E860" s="8" t="n"/>
      <c r="F860" s="6" t="n"/>
    </row>
    <row r="861">
      <c r="A861" s="6" t="n"/>
      <c r="B861" s="6" t="n"/>
      <c r="C861" s="6" t="n"/>
      <c r="D861" s="6" t="n"/>
      <c r="E861" s="8" t="n"/>
      <c r="F861" s="6" t="n"/>
    </row>
    <row r="862">
      <c r="A862" s="6" t="n"/>
      <c r="B862" s="6" t="n"/>
      <c r="C862" s="6" t="n"/>
      <c r="D862" s="6" t="n"/>
      <c r="E862" s="8" t="n"/>
      <c r="F862" s="6" t="n"/>
    </row>
    <row r="863">
      <c r="A863" s="6" t="n"/>
      <c r="B863" s="6" t="n"/>
      <c r="C863" s="6" t="n"/>
      <c r="D863" s="6" t="n"/>
      <c r="E863" s="8" t="n"/>
      <c r="F863" s="6" t="n"/>
    </row>
    <row r="864">
      <c r="A864" s="6" t="n"/>
      <c r="B864" s="6" t="n"/>
      <c r="C864" s="6" t="n"/>
      <c r="D864" s="6" t="n"/>
      <c r="E864" s="8" t="n"/>
      <c r="F864" s="6" t="n"/>
    </row>
    <row r="865">
      <c r="A865" s="6" t="n"/>
      <c r="B865" s="6" t="n"/>
      <c r="C865" s="6" t="n"/>
      <c r="D865" s="6" t="n"/>
      <c r="E865" s="8" t="n"/>
      <c r="F865" s="6" t="n"/>
    </row>
    <row r="866">
      <c r="A866" s="6" t="n"/>
      <c r="B866" s="6" t="n"/>
      <c r="C866" s="6" t="n"/>
      <c r="D866" s="6" t="n"/>
      <c r="E866" s="8" t="n"/>
      <c r="F866" s="6" t="n"/>
    </row>
    <row r="867">
      <c r="A867" s="6" t="n"/>
      <c r="B867" s="6" t="n"/>
      <c r="C867" s="6" t="n"/>
      <c r="D867" s="6" t="n"/>
      <c r="E867" s="8" t="n"/>
      <c r="F867" s="6" t="n"/>
    </row>
    <row r="868">
      <c r="A868" s="6" t="n"/>
      <c r="B868" s="6" t="n"/>
      <c r="C868" s="6" t="n"/>
      <c r="D868" s="6" t="n"/>
      <c r="E868" s="8" t="n"/>
      <c r="F868" s="6" t="n"/>
    </row>
    <row r="869">
      <c r="A869" s="6" t="n"/>
      <c r="B869" s="6" t="n"/>
      <c r="C869" s="6" t="n"/>
      <c r="D869" s="6" t="n"/>
      <c r="E869" s="8" t="n"/>
      <c r="F869" s="6" t="n"/>
    </row>
    <row r="870">
      <c r="A870" s="6" t="n"/>
      <c r="B870" s="6" t="n"/>
      <c r="C870" s="6" t="n"/>
      <c r="D870" s="6" t="n"/>
      <c r="E870" s="8" t="n"/>
      <c r="F870" s="6" t="n"/>
    </row>
    <row r="871">
      <c r="A871" s="6" t="n"/>
      <c r="B871" s="6" t="n"/>
      <c r="C871" s="6" t="n"/>
      <c r="D871" s="6" t="n"/>
      <c r="E871" s="8" t="n"/>
      <c r="F871" s="6" t="n"/>
    </row>
    <row r="872">
      <c r="A872" s="6" t="n"/>
      <c r="B872" s="6" t="n"/>
      <c r="C872" s="6" t="n"/>
      <c r="D872" s="6" t="n"/>
      <c r="E872" s="8" t="n"/>
      <c r="F872" s="6" t="n"/>
    </row>
    <row r="873">
      <c r="A873" s="6" t="n"/>
      <c r="B873" s="6" t="n"/>
      <c r="C873" s="6" t="n"/>
      <c r="D873" s="6" t="n"/>
      <c r="E873" s="8" t="n"/>
      <c r="F873" s="6" t="n"/>
    </row>
    <row r="874">
      <c r="A874" s="6" t="n"/>
      <c r="B874" s="6" t="n"/>
      <c r="C874" s="6" t="n"/>
      <c r="D874" s="6" t="n"/>
      <c r="E874" s="8" t="n"/>
      <c r="F874" s="6" t="n"/>
    </row>
    <row r="875">
      <c r="A875" s="6" t="n"/>
      <c r="B875" s="6" t="n"/>
      <c r="C875" s="6" t="n"/>
      <c r="D875" s="6" t="n"/>
      <c r="E875" s="8" t="n"/>
      <c r="F875" s="6" t="n"/>
    </row>
    <row r="876">
      <c r="A876" s="6" t="n"/>
      <c r="B876" s="6" t="n"/>
      <c r="C876" s="6" t="n"/>
      <c r="D876" s="6" t="n"/>
      <c r="E876" s="8" t="n"/>
      <c r="F876" s="6" t="n"/>
    </row>
    <row r="877">
      <c r="A877" s="6" t="n"/>
      <c r="B877" s="6" t="n"/>
      <c r="C877" s="6" t="n"/>
      <c r="D877" s="6" t="n"/>
      <c r="E877" s="8" t="n"/>
      <c r="F877" s="6" t="n"/>
    </row>
    <row r="878">
      <c r="A878" s="6" t="n"/>
      <c r="B878" s="6" t="n"/>
      <c r="C878" s="6" t="n"/>
      <c r="D878" s="6" t="n"/>
      <c r="E878" s="8" t="n"/>
      <c r="F878" s="6" t="n"/>
    </row>
    <row r="879">
      <c r="A879" s="6" t="n"/>
      <c r="B879" s="6" t="n"/>
      <c r="C879" s="6" t="n"/>
      <c r="D879" s="6" t="n"/>
      <c r="E879" s="8" t="n"/>
      <c r="F879" s="6" t="n"/>
    </row>
    <row r="880">
      <c r="A880" s="6" t="n"/>
      <c r="B880" s="6" t="n"/>
      <c r="C880" s="6" t="n"/>
      <c r="D880" s="6" t="n"/>
      <c r="E880" s="8" t="n"/>
      <c r="F880" s="6" t="n"/>
    </row>
    <row r="881">
      <c r="A881" s="6" t="n"/>
      <c r="B881" s="6" t="n"/>
      <c r="C881" s="6" t="n"/>
      <c r="D881" s="6" t="n"/>
      <c r="E881" s="8" t="n"/>
      <c r="F881" s="6" t="n"/>
    </row>
    <row r="882">
      <c r="A882" s="6" t="n"/>
      <c r="B882" s="6" t="n"/>
      <c r="C882" s="6" t="n"/>
      <c r="D882" s="6" t="n"/>
      <c r="E882" s="8" t="n"/>
      <c r="F882" s="6" t="n"/>
    </row>
    <row r="883">
      <c r="A883" s="6" t="n"/>
      <c r="B883" s="6" t="n"/>
      <c r="C883" s="6" t="n"/>
      <c r="D883" s="6" t="n"/>
      <c r="E883" s="8" t="n"/>
      <c r="F883" s="6" t="n"/>
    </row>
    <row r="884">
      <c r="A884" s="6" t="n"/>
      <c r="B884" s="6" t="n"/>
      <c r="C884" s="6" t="n"/>
      <c r="D884" s="6" t="n"/>
      <c r="E884" s="8" t="n"/>
      <c r="F884" s="6" t="n"/>
    </row>
    <row r="885">
      <c r="A885" s="6" t="n"/>
      <c r="B885" s="6" t="n"/>
      <c r="C885" s="6" t="n"/>
      <c r="D885" s="6" t="n"/>
      <c r="E885" s="8" t="n"/>
      <c r="F885" s="6" t="n"/>
    </row>
    <row r="886">
      <c r="A886" s="6" t="n"/>
      <c r="B886" s="6" t="n"/>
      <c r="C886" s="6" t="n"/>
      <c r="D886" s="6" t="n"/>
      <c r="E886" s="8" t="n"/>
      <c r="F886" s="6" t="n"/>
    </row>
    <row r="887">
      <c r="A887" s="6" t="n"/>
      <c r="B887" s="6" t="n"/>
      <c r="C887" s="6" t="n"/>
      <c r="D887" s="6" t="n"/>
      <c r="E887" s="8" t="n"/>
      <c r="F887" s="6" t="n"/>
    </row>
    <row r="888">
      <c r="A888" s="6" t="n"/>
      <c r="B888" s="6" t="n"/>
      <c r="C888" s="6" t="n"/>
      <c r="D888" s="6" t="n"/>
      <c r="E888" s="8" t="n"/>
      <c r="F888" s="6" t="n"/>
    </row>
    <row r="889">
      <c r="A889" s="6" t="n"/>
      <c r="B889" s="6" t="n"/>
      <c r="C889" s="6" t="n"/>
      <c r="D889" s="6" t="n"/>
      <c r="E889" s="8" t="n"/>
      <c r="F889" s="6" t="n"/>
    </row>
    <row r="890">
      <c r="A890" s="6" t="n"/>
      <c r="B890" s="6" t="n"/>
      <c r="C890" s="6" t="n"/>
      <c r="D890" s="6" t="n"/>
      <c r="E890" s="8" t="n"/>
      <c r="F890" s="6" t="n"/>
    </row>
    <row r="891">
      <c r="A891" s="6" t="n"/>
      <c r="B891" s="6" t="n"/>
      <c r="C891" s="6" t="n"/>
      <c r="D891" s="6" t="n"/>
      <c r="E891" s="8" t="n"/>
      <c r="F891" s="6" t="n"/>
    </row>
    <row r="892">
      <c r="A892" s="6" t="n"/>
      <c r="B892" s="6" t="n"/>
      <c r="C892" s="6" t="n"/>
      <c r="D892" s="6" t="n"/>
      <c r="E892" s="8" t="n"/>
      <c r="F892" s="6" t="n"/>
    </row>
    <row r="893">
      <c r="A893" s="6" t="n"/>
      <c r="B893" s="6" t="n"/>
      <c r="C893" s="6" t="n"/>
      <c r="D893" s="6" t="n"/>
      <c r="E893" s="8" t="n"/>
      <c r="F893" s="6" t="n"/>
    </row>
    <row r="894">
      <c r="A894" s="6" t="n"/>
      <c r="B894" s="6" t="n"/>
      <c r="C894" s="6" t="n"/>
      <c r="D894" s="6" t="n"/>
      <c r="E894" s="8" t="n"/>
      <c r="F894" s="6" t="n"/>
    </row>
    <row r="895">
      <c r="A895" s="6" t="n"/>
      <c r="B895" s="6" t="n"/>
      <c r="C895" s="6" t="n"/>
      <c r="D895" s="6" t="n"/>
      <c r="E895" s="8" t="n"/>
      <c r="F895" s="6" t="n"/>
    </row>
    <row r="896">
      <c r="A896" s="6" t="n"/>
      <c r="B896" s="6" t="n"/>
      <c r="C896" s="6" t="n"/>
      <c r="D896" s="6" t="n"/>
      <c r="E896" s="8" t="n"/>
      <c r="F896" s="6" t="n"/>
    </row>
    <row r="897">
      <c r="A897" s="6" t="n"/>
      <c r="B897" s="6" t="n"/>
      <c r="C897" s="6" t="n"/>
      <c r="D897" s="6" t="n"/>
      <c r="E897" s="8" t="n"/>
      <c r="F897" s="6" t="n"/>
    </row>
    <row r="898">
      <c r="A898" s="6" t="n"/>
      <c r="B898" s="6" t="n"/>
      <c r="C898" s="6" t="n"/>
      <c r="D898" s="6" t="n"/>
      <c r="E898" s="8" t="n"/>
      <c r="F898" s="6" t="n"/>
    </row>
    <row r="899">
      <c r="A899" s="6" t="n"/>
      <c r="B899" s="6" t="n"/>
      <c r="C899" s="6" t="n"/>
      <c r="D899" s="6" t="n"/>
      <c r="E899" s="8" t="n"/>
      <c r="F899" s="6" t="n"/>
    </row>
    <row r="900">
      <c r="A900" s="6" t="n"/>
      <c r="B900" s="6" t="n"/>
      <c r="C900" s="6" t="n"/>
      <c r="D900" s="6" t="n"/>
      <c r="E900" s="8" t="n"/>
      <c r="F900" s="6" t="n"/>
    </row>
    <row r="901">
      <c r="A901" s="6" t="n"/>
      <c r="B901" s="6" t="n"/>
      <c r="C901" s="6" t="n"/>
      <c r="D901" s="6" t="n"/>
      <c r="E901" s="8" t="n"/>
      <c r="F901" s="6" t="n"/>
    </row>
    <row r="902">
      <c r="A902" s="6" t="n"/>
      <c r="B902" s="6" t="n"/>
      <c r="C902" s="6" t="n"/>
      <c r="D902" s="6" t="n"/>
      <c r="E902" s="8" t="n"/>
      <c r="F902" s="6" t="n"/>
    </row>
    <row r="903">
      <c r="A903" s="6" t="n"/>
      <c r="B903" s="6" t="n"/>
      <c r="C903" s="6" t="n"/>
      <c r="D903" s="6" t="n"/>
      <c r="E903" s="8" t="n"/>
      <c r="F903" s="6" t="n"/>
    </row>
    <row r="904">
      <c r="A904" s="6" t="n"/>
      <c r="B904" s="6" t="n"/>
      <c r="C904" s="6" t="n"/>
      <c r="D904" s="6" t="n"/>
      <c r="E904" s="8" t="n"/>
      <c r="F904" s="6" t="n"/>
    </row>
    <row r="905">
      <c r="A905" s="6" t="n"/>
      <c r="B905" s="6" t="n"/>
      <c r="C905" s="6" t="n"/>
      <c r="D905" s="6" t="n"/>
      <c r="E905" s="8" t="n"/>
      <c r="F905" s="6" t="n"/>
    </row>
    <row r="906">
      <c r="A906" s="6" t="n"/>
      <c r="B906" s="6" t="n"/>
      <c r="C906" s="6" t="n"/>
      <c r="D906" s="6" t="n"/>
      <c r="E906" s="8" t="n"/>
      <c r="F906" s="6" t="n"/>
    </row>
    <row r="907">
      <c r="A907" s="6" t="n"/>
      <c r="B907" s="6" t="n"/>
      <c r="C907" s="6" t="n"/>
      <c r="D907" s="6" t="n"/>
      <c r="E907" s="8" t="n"/>
      <c r="F907" s="6" t="n"/>
    </row>
    <row r="908">
      <c r="A908" s="6" t="n"/>
      <c r="B908" s="6" t="n"/>
      <c r="C908" s="6" t="n"/>
      <c r="D908" s="6" t="n"/>
      <c r="E908" s="8" t="n"/>
      <c r="F908" s="6" t="n"/>
    </row>
    <row r="909">
      <c r="A909" s="6" t="n"/>
      <c r="B909" s="6" t="n"/>
      <c r="C909" s="6" t="n"/>
      <c r="D909" s="6" t="n"/>
      <c r="E909" s="8" t="n"/>
      <c r="F909" s="6" t="n"/>
    </row>
    <row r="910">
      <c r="A910" s="6" t="n"/>
      <c r="B910" s="6" t="n"/>
      <c r="C910" s="6" t="n"/>
      <c r="D910" s="6" t="n"/>
      <c r="E910" s="8" t="n"/>
      <c r="F910" s="6" t="n"/>
    </row>
    <row r="911">
      <c r="A911" s="6" t="n"/>
      <c r="B911" s="6" t="n"/>
      <c r="C911" s="6" t="n"/>
      <c r="D911" s="6" t="n"/>
      <c r="E911" s="8" t="n"/>
      <c r="F911" s="6" t="n"/>
    </row>
    <row r="912">
      <c r="A912" s="6" t="n"/>
      <c r="B912" s="6" t="n"/>
      <c r="C912" s="6" t="n"/>
      <c r="D912" s="6" t="n"/>
      <c r="E912" s="8" t="n"/>
      <c r="F912" s="6" t="n"/>
    </row>
    <row r="913">
      <c r="A913" s="6" t="n"/>
      <c r="B913" s="6" t="n"/>
      <c r="C913" s="6" t="n"/>
      <c r="D913" s="6" t="n"/>
      <c r="E913" s="8" t="n"/>
      <c r="F913" s="6" t="n"/>
    </row>
    <row r="914">
      <c r="A914" s="6" t="n"/>
      <c r="B914" s="6" t="n"/>
      <c r="C914" s="6" t="n"/>
      <c r="D914" s="6" t="n"/>
      <c r="E914" s="8" t="n"/>
      <c r="F914" s="6" t="n"/>
    </row>
    <row r="915">
      <c r="A915" s="6" t="n"/>
      <c r="B915" s="6" t="n"/>
      <c r="C915" s="6" t="n"/>
      <c r="D915" s="6" t="n"/>
      <c r="E915" s="8" t="n"/>
      <c r="F915" s="6" t="n"/>
    </row>
    <row r="916">
      <c r="A916" s="6" t="n"/>
      <c r="B916" s="6" t="n"/>
      <c r="C916" s="6" t="n"/>
      <c r="D916" s="6" t="n"/>
      <c r="E916" s="8" t="n"/>
      <c r="F916" s="6" t="n"/>
    </row>
    <row r="917">
      <c r="A917" s="6" t="n"/>
      <c r="B917" s="6" t="n"/>
      <c r="C917" s="6" t="n"/>
      <c r="D917" s="6" t="n"/>
      <c r="E917" s="8" t="n"/>
      <c r="F917" s="6" t="n"/>
    </row>
    <row r="918">
      <c r="A918" s="6" t="n"/>
      <c r="B918" s="6" t="n"/>
      <c r="C918" s="6" t="n"/>
      <c r="D918" s="6" t="n"/>
      <c r="E918" s="8" t="n"/>
      <c r="F918" s="6" t="n"/>
    </row>
    <row r="919">
      <c r="A919" s="6" t="n"/>
      <c r="B919" s="6" t="n"/>
      <c r="C919" s="6" t="n"/>
      <c r="D919" s="6" t="n"/>
      <c r="E919" s="8" t="n"/>
      <c r="F919" s="6" t="n"/>
    </row>
    <row r="920">
      <c r="A920" s="6" t="n"/>
      <c r="B920" s="6" t="n"/>
      <c r="C920" s="6" t="n"/>
      <c r="D920" s="6" t="n"/>
      <c r="E920" s="8" t="n"/>
      <c r="F920" s="6" t="n"/>
    </row>
    <row r="921">
      <c r="A921" s="6" t="n"/>
      <c r="B921" s="6" t="n"/>
      <c r="C921" s="6" t="n"/>
      <c r="D921" s="6" t="n"/>
      <c r="E921" s="8" t="n"/>
      <c r="F921" s="6" t="n"/>
    </row>
    <row r="922">
      <c r="A922" s="6" t="n"/>
      <c r="B922" s="6" t="n"/>
      <c r="C922" s="6" t="n"/>
      <c r="D922" s="6" t="n"/>
      <c r="E922" s="8" t="n"/>
      <c r="F922" s="6" t="n"/>
    </row>
    <row r="923">
      <c r="A923" s="6" t="n"/>
      <c r="B923" s="6" t="n"/>
      <c r="C923" s="6" t="n"/>
      <c r="D923" s="6" t="n"/>
      <c r="E923" s="8" t="n"/>
      <c r="F923" s="6" t="n"/>
    </row>
    <row r="924">
      <c r="A924" s="6" t="n"/>
      <c r="B924" s="6" t="n"/>
      <c r="C924" s="6" t="n"/>
      <c r="D924" s="6" t="n"/>
      <c r="E924" s="8" t="n"/>
      <c r="F924" s="6" t="n"/>
    </row>
    <row r="925">
      <c r="A925" s="6" t="n"/>
      <c r="B925" s="6" t="n"/>
      <c r="C925" s="6" t="n"/>
      <c r="D925" s="6" t="n"/>
      <c r="E925" s="8" t="n"/>
      <c r="F925" s="6" t="n"/>
    </row>
    <row r="926">
      <c r="A926" s="6" t="n"/>
      <c r="B926" s="6" t="n"/>
      <c r="C926" s="6" t="n"/>
      <c r="D926" s="6" t="n"/>
      <c r="E926" s="8" t="n"/>
      <c r="F926" s="6" t="n"/>
    </row>
    <row r="927">
      <c r="A927" s="6" t="n"/>
      <c r="B927" s="6" t="n"/>
      <c r="C927" s="6" t="n"/>
      <c r="D927" s="6" t="n"/>
      <c r="E927" s="8" t="n"/>
      <c r="F927" s="6" t="n"/>
    </row>
    <row r="928">
      <c r="A928" s="6" t="n"/>
      <c r="B928" s="6" t="n"/>
      <c r="C928" s="6" t="n"/>
      <c r="D928" s="6" t="n"/>
      <c r="E928" s="8" t="n"/>
      <c r="F928" s="6" t="n"/>
    </row>
    <row r="929">
      <c r="A929" s="6" t="n"/>
      <c r="B929" s="6" t="n"/>
      <c r="C929" s="6" t="n"/>
      <c r="D929" s="6" t="n"/>
      <c r="E929" s="8" t="n"/>
      <c r="F929" s="6" t="n"/>
    </row>
    <row r="930">
      <c r="A930" s="6" t="n"/>
      <c r="B930" s="6" t="n"/>
      <c r="C930" s="6" t="n"/>
      <c r="D930" s="6" t="n"/>
      <c r="E930" s="8" t="n"/>
      <c r="F930" s="6" t="n"/>
    </row>
    <row r="931">
      <c r="A931" s="6" t="n"/>
      <c r="B931" s="6" t="n"/>
      <c r="C931" s="6" t="n"/>
      <c r="D931" s="6" t="n"/>
      <c r="E931" s="8" t="n"/>
      <c r="F931" s="6" t="n"/>
    </row>
    <row r="932">
      <c r="A932" s="6" t="n"/>
      <c r="B932" s="6" t="n"/>
      <c r="C932" s="6" t="n"/>
      <c r="D932" s="6" t="n"/>
      <c r="E932" s="8" t="n"/>
      <c r="F932" s="6" t="n"/>
    </row>
    <row r="933">
      <c r="A933" s="6" t="n"/>
      <c r="B933" s="6" t="n"/>
      <c r="C933" s="6" t="n"/>
      <c r="D933" s="6" t="n"/>
      <c r="E933" s="8" t="n"/>
      <c r="F933" s="6" t="n"/>
    </row>
    <row r="934">
      <c r="A934" s="6" t="n"/>
      <c r="B934" s="6" t="n"/>
      <c r="C934" s="6" t="n"/>
      <c r="D934" s="6" t="n"/>
      <c r="E934" s="8" t="n"/>
      <c r="F934" s="6" t="n"/>
    </row>
    <row r="935">
      <c r="A935" s="6" t="n"/>
      <c r="B935" s="6" t="n"/>
      <c r="C935" s="6" t="n"/>
      <c r="D935" s="6" t="n"/>
      <c r="E935" s="8" t="n"/>
      <c r="F935" s="6" t="n"/>
    </row>
    <row r="936">
      <c r="A936" s="6" t="n"/>
      <c r="B936" s="6" t="n"/>
      <c r="C936" s="6" t="n"/>
      <c r="D936" s="6" t="n"/>
      <c r="E936" s="8" t="n"/>
      <c r="F936" s="6" t="n"/>
    </row>
    <row r="937">
      <c r="A937" s="6" t="n"/>
      <c r="B937" s="6" t="n"/>
      <c r="C937" s="6" t="n"/>
      <c r="D937" s="6" t="n"/>
      <c r="E937" s="8" t="n"/>
      <c r="F937" s="6" t="n"/>
    </row>
    <row r="938">
      <c r="A938" s="6" t="n"/>
      <c r="B938" s="6" t="n"/>
      <c r="C938" s="6" t="n"/>
      <c r="D938" s="6" t="n"/>
      <c r="E938" s="8" t="n"/>
      <c r="F938" s="6" t="n"/>
    </row>
    <row r="939">
      <c r="A939" s="6" t="n"/>
      <c r="B939" s="6" t="n"/>
      <c r="C939" s="6" t="n"/>
      <c r="D939" s="6" t="n"/>
      <c r="E939" s="8" t="n"/>
      <c r="F939" s="6" t="n"/>
    </row>
    <row r="940">
      <c r="A940" s="6" t="n"/>
      <c r="B940" s="6" t="n"/>
      <c r="C940" s="6" t="n"/>
      <c r="D940" s="6" t="n"/>
      <c r="E940" s="8" t="n"/>
      <c r="F940" s="6" t="n"/>
    </row>
    <row r="941">
      <c r="A941" s="6" t="n"/>
      <c r="B941" s="6" t="n"/>
      <c r="C941" s="6" t="n"/>
      <c r="D941" s="6" t="n"/>
      <c r="E941" s="8" t="n"/>
      <c r="F941" s="6" t="n"/>
    </row>
    <row r="942">
      <c r="A942" s="6" t="n"/>
      <c r="B942" s="6" t="n"/>
      <c r="C942" s="6" t="n"/>
      <c r="D942" s="6" t="n"/>
      <c r="E942" s="8" t="n"/>
      <c r="F942" s="6" t="n"/>
    </row>
    <row r="943">
      <c r="A943" s="6" t="n"/>
      <c r="B943" s="6" t="n"/>
      <c r="C943" s="6" t="n"/>
      <c r="D943" s="6" t="n"/>
      <c r="E943" s="8" t="n"/>
      <c r="F943" s="6" t="n"/>
    </row>
    <row r="944">
      <c r="A944" s="6" t="n"/>
      <c r="B944" s="6" t="n"/>
      <c r="C944" s="6" t="n"/>
      <c r="D944" s="6" t="n"/>
      <c r="E944" s="8" t="n"/>
      <c r="F944" s="6" t="n"/>
    </row>
    <row r="945">
      <c r="A945" s="6" t="n"/>
      <c r="B945" s="6" t="n"/>
      <c r="C945" s="6" t="n"/>
      <c r="D945" s="6" t="n"/>
      <c r="E945" s="8" t="n"/>
      <c r="F945" s="6" t="n"/>
    </row>
    <row r="946">
      <c r="A946" s="6" t="n"/>
      <c r="B946" s="6" t="n"/>
      <c r="C946" s="6" t="n"/>
      <c r="D946" s="6" t="n"/>
      <c r="E946" s="8" t="n"/>
      <c r="F946" s="6" t="n"/>
    </row>
    <row r="947">
      <c r="A947" s="6" t="n"/>
      <c r="B947" s="6" t="n"/>
      <c r="C947" s="6" t="n"/>
      <c r="D947" s="6" t="n"/>
      <c r="E947" s="8" t="n"/>
      <c r="F947" s="6" t="n"/>
    </row>
    <row r="948">
      <c r="A948" s="6" t="n"/>
      <c r="B948" s="6" t="n"/>
      <c r="C948" s="6" t="n"/>
      <c r="D948" s="6" t="n"/>
      <c r="E948" s="8" t="n"/>
      <c r="F948" s="6" t="n"/>
    </row>
    <row r="949">
      <c r="A949" s="6" t="n"/>
      <c r="B949" s="6" t="n"/>
      <c r="C949" s="6" t="n"/>
      <c r="D949" s="6" t="n"/>
      <c r="E949" s="8" t="n"/>
      <c r="F949" s="6" t="n"/>
    </row>
    <row r="950">
      <c r="A950" s="6" t="n"/>
      <c r="B950" s="6" t="n"/>
      <c r="C950" s="6" t="n"/>
      <c r="D950" s="6" t="n"/>
      <c r="E950" s="8" t="n"/>
      <c r="F950" s="6" t="n"/>
    </row>
    <row r="951">
      <c r="A951" s="6" t="n"/>
      <c r="B951" s="6" t="n"/>
      <c r="C951" s="6" t="n"/>
      <c r="D951" s="6" t="n"/>
      <c r="E951" s="8" t="n"/>
      <c r="F951" s="6" t="n"/>
    </row>
    <row r="952">
      <c r="A952" s="6" t="n"/>
      <c r="B952" s="6" t="n"/>
      <c r="C952" s="6" t="n"/>
      <c r="D952" s="6" t="n"/>
      <c r="E952" s="8" t="n"/>
      <c r="F952" s="6" t="n"/>
    </row>
    <row r="953">
      <c r="A953" s="6" t="n"/>
      <c r="B953" s="6" t="n"/>
      <c r="C953" s="6" t="n"/>
      <c r="D953" s="6" t="n"/>
      <c r="E953" s="8" t="n"/>
      <c r="F953" s="6" t="n"/>
    </row>
    <row r="954">
      <c r="A954" s="6" t="n"/>
      <c r="B954" s="6" t="n"/>
      <c r="C954" s="6" t="n"/>
      <c r="D954" s="6" t="n"/>
      <c r="E954" s="8" t="n"/>
      <c r="F954" s="6" t="n"/>
    </row>
    <row r="955">
      <c r="A955" s="6" t="n"/>
      <c r="B955" s="6" t="n"/>
      <c r="C955" s="6" t="n"/>
      <c r="D955" s="6" t="n"/>
      <c r="E955" s="8" t="n"/>
      <c r="F955" s="6" t="n"/>
    </row>
    <row r="956">
      <c r="A956" s="6" t="n"/>
      <c r="B956" s="6" t="n"/>
      <c r="C956" s="6" t="n"/>
      <c r="D956" s="6" t="n"/>
      <c r="E956" s="8" t="n"/>
      <c r="F956" s="6" t="n"/>
    </row>
    <row r="957">
      <c r="A957" s="6" t="n"/>
      <c r="B957" s="6" t="n"/>
      <c r="C957" s="6" t="n"/>
      <c r="D957" s="6" t="n"/>
      <c r="E957" s="8" t="n"/>
      <c r="F957" s="6" t="n"/>
    </row>
    <row r="958">
      <c r="A958" s="6" t="n"/>
      <c r="B958" s="6" t="n"/>
      <c r="C958" s="6" t="n"/>
      <c r="D958" s="6" t="n"/>
      <c r="E958" s="8" t="n"/>
      <c r="F958" s="6" t="n"/>
    </row>
    <row r="959">
      <c r="A959" s="6" t="n"/>
      <c r="B959" s="6" t="n"/>
      <c r="C959" s="6" t="n"/>
      <c r="D959" s="6" t="n"/>
      <c r="E959" s="8" t="n"/>
      <c r="F959" s="6" t="n"/>
    </row>
    <row r="960">
      <c r="A960" s="6" t="n"/>
      <c r="B960" s="6" t="n"/>
      <c r="C960" s="6" t="n"/>
      <c r="D960" s="6" t="n"/>
      <c r="E960" s="8" t="n"/>
      <c r="F960" s="6" t="n"/>
    </row>
    <row r="961">
      <c r="A961" s="6" t="n"/>
      <c r="B961" s="6" t="n"/>
      <c r="C961" s="6" t="n"/>
      <c r="D961" s="6" t="n"/>
      <c r="E961" s="8" t="n"/>
      <c r="F961" s="6" t="n"/>
    </row>
    <row r="962">
      <c r="A962" s="6" t="n"/>
      <c r="B962" s="6" t="n"/>
      <c r="C962" s="6" t="n"/>
      <c r="D962" s="6" t="n"/>
      <c r="E962" s="8" t="n"/>
      <c r="F962" s="6" t="n"/>
    </row>
    <row r="963">
      <c r="A963" s="6" t="n"/>
      <c r="B963" s="6" t="n"/>
      <c r="C963" s="6" t="n"/>
      <c r="D963" s="6" t="n"/>
      <c r="E963" s="8" t="n"/>
      <c r="F963" s="6" t="n"/>
    </row>
    <row r="964">
      <c r="A964" s="6" t="n"/>
      <c r="B964" s="6" t="n"/>
      <c r="C964" s="6" t="n"/>
      <c r="D964" s="6" t="n"/>
      <c r="E964" s="8" t="n"/>
      <c r="F964" s="6" t="n"/>
    </row>
    <row r="965">
      <c r="A965" s="6" t="n"/>
      <c r="B965" s="6" t="n"/>
      <c r="C965" s="6" t="n"/>
      <c r="D965" s="6" t="n"/>
      <c r="E965" s="8" t="n"/>
      <c r="F965" s="6" t="n"/>
    </row>
    <row r="966">
      <c r="A966" s="6" t="n"/>
      <c r="B966" s="6" t="n"/>
      <c r="C966" s="6" t="n"/>
      <c r="D966" s="6" t="n"/>
      <c r="E966" s="8" t="n"/>
      <c r="F966" s="6" t="n"/>
    </row>
    <row r="967">
      <c r="A967" s="6" t="n"/>
      <c r="B967" s="6" t="n"/>
      <c r="C967" s="6" t="n"/>
      <c r="D967" s="6" t="n"/>
      <c r="E967" s="8" t="n"/>
      <c r="F967" s="6" t="n"/>
    </row>
    <row r="968">
      <c r="A968" s="6" t="n"/>
      <c r="B968" s="6" t="n"/>
      <c r="C968" s="6" t="n"/>
      <c r="D968" s="6" t="n"/>
      <c r="E968" s="8" t="n"/>
      <c r="F968" s="6" t="n"/>
    </row>
    <row r="969">
      <c r="A969" s="6" t="n"/>
      <c r="B969" s="6" t="n"/>
      <c r="C969" s="6" t="n"/>
      <c r="D969" s="6" t="n"/>
      <c r="E969" s="8" t="n"/>
      <c r="F969" s="6" t="n"/>
    </row>
    <row r="970">
      <c r="A970" s="6" t="n"/>
      <c r="B970" s="6" t="n"/>
      <c r="C970" s="6" t="n"/>
      <c r="D970" s="6" t="n"/>
      <c r="E970" s="8" t="n"/>
      <c r="F970" s="6" t="n"/>
    </row>
    <row r="971">
      <c r="A971" s="6" t="n"/>
      <c r="B971" s="6" t="n"/>
      <c r="C971" s="6" t="n"/>
      <c r="D971" s="6" t="n"/>
      <c r="E971" s="8" t="n"/>
      <c r="F971" s="6" t="n"/>
    </row>
    <row r="972">
      <c r="A972" s="6" t="n"/>
      <c r="B972" s="6" t="n"/>
      <c r="C972" s="6" t="n"/>
      <c r="D972" s="6" t="n"/>
      <c r="E972" s="8" t="n"/>
      <c r="F972" s="6" t="n"/>
    </row>
    <row r="973">
      <c r="A973" s="6" t="n"/>
      <c r="B973" s="6" t="n"/>
      <c r="C973" s="6" t="n"/>
      <c r="D973" s="6" t="n"/>
      <c r="E973" s="8" t="n"/>
      <c r="F973" s="6" t="n"/>
    </row>
    <row r="974">
      <c r="A974" s="6" t="n"/>
      <c r="B974" s="6" t="n"/>
      <c r="C974" s="6" t="n"/>
      <c r="D974" s="6" t="n"/>
      <c r="E974" s="8" t="n"/>
      <c r="F974" s="6" t="n"/>
    </row>
    <row r="975">
      <c r="A975" s="6" t="n"/>
      <c r="B975" s="6" t="n"/>
      <c r="C975" s="6" t="n"/>
      <c r="D975" s="6" t="n"/>
      <c r="E975" s="8" t="n"/>
      <c r="F975" s="6" t="n"/>
    </row>
    <row r="976">
      <c r="A976" s="6" t="n"/>
      <c r="B976" s="6" t="n"/>
      <c r="C976" s="6" t="n"/>
      <c r="D976" s="6" t="n"/>
      <c r="E976" s="8" t="n"/>
      <c r="F976" s="6" t="n"/>
    </row>
    <row r="977">
      <c r="A977" s="6" t="n"/>
      <c r="B977" s="6" t="n"/>
      <c r="C977" s="6" t="n"/>
      <c r="D977" s="6" t="n"/>
      <c r="E977" s="8" t="n"/>
      <c r="F977" s="6" t="n"/>
    </row>
    <row r="978">
      <c r="A978" s="6" t="n"/>
      <c r="B978" s="6" t="n"/>
      <c r="C978" s="6" t="n"/>
      <c r="D978" s="6" t="n"/>
      <c r="E978" s="8" t="n"/>
      <c r="F978" s="6" t="n"/>
    </row>
    <row r="979">
      <c r="A979" s="6" t="n"/>
      <c r="B979" s="6" t="n"/>
      <c r="C979" s="6" t="n"/>
      <c r="D979" s="6" t="n"/>
      <c r="E979" s="8" t="n"/>
      <c r="F979" s="6" t="n"/>
    </row>
    <row r="980">
      <c r="A980" s="6" t="n"/>
      <c r="B980" s="6" t="n"/>
      <c r="C980" s="6" t="n"/>
      <c r="D980" s="6" t="n"/>
      <c r="E980" s="8" t="n"/>
      <c r="F980" s="6" t="n"/>
    </row>
    <row r="981">
      <c r="A981" s="6" t="n"/>
      <c r="B981" s="6" t="n"/>
      <c r="C981" s="6" t="n"/>
      <c r="D981" s="6" t="n"/>
      <c r="E981" s="8" t="n"/>
      <c r="F981" s="6" t="n"/>
    </row>
    <row r="982">
      <c r="A982" s="6" t="n"/>
      <c r="B982" s="6" t="n"/>
      <c r="C982" s="6" t="n"/>
      <c r="D982" s="6" t="n"/>
      <c r="E982" s="8" t="n"/>
      <c r="F982" s="6" t="n"/>
    </row>
    <row r="983">
      <c r="A983" s="6" t="n"/>
      <c r="B983" s="6" t="n"/>
      <c r="C983" s="6" t="n"/>
      <c r="D983" s="6" t="n"/>
      <c r="E983" s="8" t="n"/>
      <c r="F983" s="6" t="n"/>
    </row>
    <row r="984">
      <c r="A984" s="6" t="n"/>
      <c r="B984" s="6" t="n"/>
      <c r="C984" s="6" t="n"/>
      <c r="D984" s="6" t="n"/>
      <c r="E984" s="8" t="n"/>
      <c r="F984" s="6" t="n"/>
    </row>
    <row r="985">
      <c r="A985" s="6" t="n"/>
      <c r="B985" s="6" t="n"/>
      <c r="C985" s="6" t="n"/>
      <c r="D985" s="6" t="n"/>
      <c r="E985" s="8" t="n"/>
      <c r="F985" s="6" t="n"/>
    </row>
    <row r="986">
      <c r="A986" s="6" t="n"/>
      <c r="B986" s="6" t="n"/>
      <c r="C986" s="6" t="n"/>
      <c r="D986" s="6" t="n"/>
      <c r="E986" s="8" t="n"/>
      <c r="F986" s="6" t="n"/>
    </row>
    <row r="987">
      <c r="A987" s="6" t="n"/>
      <c r="B987" s="6" t="n"/>
      <c r="C987" s="6" t="n"/>
      <c r="D987" s="6" t="n"/>
      <c r="E987" s="8" t="n"/>
      <c r="F987" s="6" t="n"/>
    </row>
    <row r="988">
      <c r="A988" s="6" t="n"/>
      <c r="B988" s="6" t="n"/>
      <c r="C988" s="6" t="n"/>
      <c r="D988" s="6" t="n"/>
      <c r="E988" s="8" t="n"/>
      <c r="F988" s="6" t="n"/>
    </row>
    <row r="989">
      <c r="A989" s="6" t="n"/>
      <c r="B989" s="6" t="n"/>
      <c r="C989" s="6" t="n"/>
      <c r="D989" s="6" t="n"/>
      <c r="E989" s="8" t="n"/>
      <c r="F989" s="6" t="n"/>
    </row>
    <row r="990">
      <c r="A990" s="6" t="n"/>
      <c r="B990" s="6" t="n"/>
      <c r="C990" s="6" t="n"/>
      <c r="D990" s="6" t="n"/>
      <c r="E990" s="8" t="n"/>
      <c r="F990" s="6" t="n"/>
    </row>
    <row r="991">
      <c r="A991" s="6" t="n"/>
      <c r="B991" s="6" t="n"/>
      <c r="C991" s="6" t="n"/>
      <c r="D991" s="6" t="n"/>
      <c r="E991" s="8" t="n"/>
      <c r="F991" s="6" t="n"/>
    </row>
    <row r="992">
      <c r="A992" s="6" t="n"/>
      <c r="B992" s="6" t="n"/>
      <c r="C992" s="6" t="n"/>
      <c r="D992" s="6" t="n"/>
      <c r="E992" s="8" t="n"/>
      <c r="F992" s="6" t="n"/>
    </row>
    <row r="993">
      <c r="A993" s="6" t="n"/>
      <c r="B993" s="6" t="n"/>
      <c r="C993" s="6" t="n"/>
      <c r="D993" s="6" t="n"/>
      <c r="E993" s="8" t="n"/>
      <c r="F993" s="6" t="n"/>
    </row>
    <row r="994">
      <c r="A994" s="6" t="n"/>
      <c r="B994" s="6" t="n"/>
      <c r="C994" s="6" t="n"/>
      <c r="D994" s="6" t="n"/>
      <c r="E994" s="8" t="n"/>
      <c r="F994" s="6" t="n"/>
    </row>
    <row r="995">
      <c r="A995" s="6" t="n"/>
      <c r="B995" s="6" t="n"/>
      <c r="C995" s="6" t="n"/>
      <c r="D995" s="6" t="n"/>
      <c r="E995" s="8" t="n"/>
      <c r="F995" s="6" t="n"/>
    </row>
    <row r="996">
      <c r="A996" s="6" t="n"/>
      <c r="B996" s="6" t="n"/>
      <c r="C996" s="6" t="n"/>
      <c r="D996" s="6" t="n"/>
      <c r="E996" s="8" t="n"/>
      <c r="F996" s="6" t="n"/>
    </row>
    <row r="997">
      <c r="A997" s="6" t="n"/>
      <c r="B997" s="6" t="n"/>
      <c r="C997" s="6" t="n"/>
      <c r="D997" s="6" t="n"/>
      <c r="E997" s="8" t="n"/>
      <c r="F997" s="6" t="n"/>
    </row>
    <row r="998">
      <c r="A998" s="6" t="n"/>
      <c r="B998" s="6" t="n"/>
      <c r="C998" s="6" t="n"/>
      <c r="D998" s="6" t="n"/>
      <c r="E998" s="8" t="n"/>
      <c r="F998" s="6" t="n"/>
    </row>
    <row r="999">
      <c r="A999" s="6" t="n"/>
      <c r="B999" s="6" t="n"/>
      <c r="C999" s="6" t="n"/>
      <c r="D999" s="6" t="n"/>
      <c r="E999" s="8" t="n"/>
      <c r="F999" s="6" t="n"/>
    </row>
    <row r="1000">
      <c r="A1000" s="6" t="n"/>
      <c r="B1000" s="6" t="n"/>
      <c r="C1000" s="6" t="n"/>
      <c r="D1000" s="6" t="n"/>
      <c r="E1000" s="8" t="n"/>
      <c r="F1000" s="6" t="n"/>
    </row>
    <row r="1001">
      <c r="A1001" s="6" t="n"/>
      <c r="B1001" s="6" t="n"/>
      <c r="C1001" s="6" t="n"/>
      <c r="D1001" s="6" t="n"/>
      <c r="E1001" s="8" t="n"/>
      <c r="F1001" s="6" t="n"/>
    </row>
    <row r="1002">
      <c r="A1002" s="6" t="n"/>
      <c r="B1002" s="6" t="n"/>
      <c r="C1002" s="6" t="n"/>
      <c r="D1002" s="6" t="n"/>
      <c r="E1002" s="8" t="n"/>
      <c r="F1002" s="6" t="n"/>
    </row>
    <row r="1003">
      <c r="A1003" s="6" t="n"/>
      <c r="B1003" s="6" t="n"/>
      <c r="C1003" s="6" t="n"/>
      <c r="D1003" s="6" t="n"/>
      <c r="E1003" s="8" t="n"/>
      <c r="F1003" s="6" t="n"/>
    </row>
    <row r="1004">
      <c r="A1004" s="6" t="n"/>
      <c r="B1004" s="6" t="n"/>
      <c r="C1004" s="6" t="n"/>
      <c r="D1004" s="6" t="n"/>
      <c r="E1004" s="8" t="n"/>
      <c r="F1004" s="6" t="n"/>
    </row>
    <row r="1005">
      <c r="A1005" s="6" t="n"/>
      <c r="B1005" s="6" t="n"/>
      <c r="C1005" s="6" t="n"/>
      <c r="D1005" s="6" t="n"/>
      <c r="E1005" s="8" t="n"/>
      <c r="F1005" s="6" t="n"/>
    </row>
    <row r="1006">
      <c r="A1006" s="6" t="n"/>
      <c r="B1006" s="6" t="n"/>
      <c r="C1006" s="6" t="n"/>
      <c r="D1006" s="6" t="n"/>
      <c r="E1006" s="8" t="n"/>
      <c r="F1006" s="6" t="n"/>
    </row>
    <row r="1007">
      <c r="A1007" s="6" t="n"/>
      <c r="B1007" s="6" t="n"/>
      <c r="C1007" s="6" t="n"/>
      <c r="D1007" s="6" t="n"/>
      <c r="E1007" s="8" t="n"/>
      <c r="F1007" s="6" t="n"/>
    </row>
    <row r="1008">
      <c r="A1008" s="6" t="n"/>
      <c r="B1008" s="6" t="n"/>
      <c r="C1008" s="6" t="n"/>
      <c r="D1008" s="6" t="n"/>
      <c r="E1008" s="8" t="n"/>
      <c r="F1008" s="6" t="n"/>
    </row>
    <row r="1009">
      <c r="A1009" s="6" t="n"/>
      <c r="B1009" s="6" t="n"/>
      <c r="C1009" s="6" t="n"/>
      <c r="D1009" s="6" t="n"/>
      <c r="E1009" s="8" t="n"/>
      <c r="F1009" s="6" t="n"/>
    </row>
    <row r="1010">
      <c r="A1010" s="6" t="n"/>
      <c r="B1010" s="6" t="n"/>
      <c r="C1010" s="6" t="n"/>
      <c r="D1010" s="6" t="n"/>
      <c r="E1010" s="8" t="n"/>
      <c r="F1010" s="6" t="n"/>
    </row>
    <row r="1011">
      <c r="A1011" s="6" t="n"/>
      <c r="B1011" s="6" t="n"/>
      <c r="C1011" s="6" t="n"/>
      <c r="D1011" s="6" t="n"/>
      <c r="E1011" s="8" t="n"/>
      <c r="F1011" s="6" t="n"/>
    </row>
    <row r="1012">
      <c r="A1012" s="6" t="n"/>
      <c r="B1012" s="6" t="n"/>
      <c r="C1012" s="6" t="n"/>
      <c r="D1012" s="6" t="n"/>
      <c r="E1012" s="8" t="n"/>
      <c r="F1012" s="6" t="n"/>
    </row>
    <row r="1013">
      <c r="A1013" s="6" t="n"/>
      <c r="B1013" s="6" t="n"/>
      <c r="C1013" s="6" t="n"/>
      <c r="D1013" s="6" t="n"/>
      <c r="E1013" s="8" t="n"/>
      <c r="F1013" s="6" t="n"/>
    </row>
    <row r="1014">
      <c r="A1014" s="6" t="n"/>
      <c r="B1014" s="6" t="n"/>
      <c r="C1014" s="6" t="n"/>
      <c r="D1014" s="6" t="n"/>
      <c r="E1014" s="8" t="n"/>
      <c r="F1014" s="6" t="n"/>
    </row>
    <row r="1015">
      <c r="A1015" s="6" t="n"/>
      <c r="B1015" s="6" t="n"/>
      <c r="C1015" s="6" t="n"/>
      <c r="D1015" s="6" t="n"/>
      <c r="E1015" s="8" t="n"/>
      <c r="F1015" s="6" t="n"/>
    </row>
    <row r="1016">
      <c r="A1016" s="6" t="n"/>
      <c r="B1016" s="6" t="n"/>
      <c r="C1016" s="6" t="n"/>
      <c r="D1016" s="6" t="n"/>
      <c r="E1016" s="8" t="n"/>
      <c r="F1016" s="6" t="n"/>
    </row>
    <row r="1017">
      <c r="A1017" s="6" t="n"/>
      <c r="B1017" s="6" t="n"/>
      <c r="C1017" s="6" t="n"/>
      <c r="D1017" s="6" t="n"/>
      <c r="E1017" s="8" t="n"/>
      <c r="F1017" s="6" t="n"/>
    </row>
    <row r="1018">
      <c r="A1018" s="6" t="n"/>
      <c r="B1018" s="6" t="n"/>
      <c r="C1018" s="6" t="n"/>
      <c r="D1018" s="6" t="n"/>
      <c r="E1018" s="8" t="n"/>
      <c r="F1018" s="6" t="n"/>
    </row>
    <row r="1019">
      <c r="A1019" s="6" t="n"/>
      <c r="B1019" s="6" t="n"/>
      <c r="C1019" s="6" t="n"/>
      <c r="D1019" s="6" t="n"/>
      <c r="E1019" s="8" t="n"/>
      <c r="F1019" s="6" t="n"/>
    </row>
    <row r="1020">
      <c r="A1020" s="6" t="n"/>
      <c r="B1020" s="6" t="n"/>
      <c r="C1020" s="6" t="n"/>
      <c r="D1020" s="6" t="n"/>
      <c r="E1020" s="8" t="n"/>
      <c r="F1020" s="6" t="n"/>
    </row>
    <row r="1021">
      <c r="A1021" s="6" t="n"/>
      <c r="B1021" s="6" t="n"/>
      <c r="C1021" s="6" t="n"/>
      <c r="D1021" s="6" t="n"/>
      <c r="E1021" s="8" t="n"/>
      <c r="F1021" s="6" t="n"/>
    </row>
    <row r="1022">
      <c r="A1022" s="6" t="n"/>
      <c r="B1022" s="6" t="n"/>
      <c r="C1022" s="6" t="n"/>
      <c r="D1022" s="6" t="n"/>
      <c r="E1022" s="8" t="n"/>
      <c r="F1022" s="6" t="n"/>
    </row>
    <row r="1023">
      <c r="A1023" s="6" t="n"/>
      <c r="B1023" s="6" t="n"/>
      <c r="C1023" s="6" t="n"/>
      <c r="D1023" s="6" t="n"/>
      <c r="E1023" s="8" t="n"/>
      <c r="F1023" s="6" t="n"/>
    </row>
    <row r="1024">
      <c r="A1024" s="6" t="n"/>
      <c r="B1024" s="6" t="n"/>
      <c r="C1024" s="6" t="n"/>
      <c r="D1024" s="6" t="n"/>
      <c r="E1024" s="8" t="n"/>
      <c r="F1024" s="6" t="n"/>
    </row>
    <row r="1025">
      <c r="A1025" s="6" t="n"/>
      <c r="B1025" s="6" t="n"/>
      <c r="C1025" s="6" t="n"/>
      <c r="D1025" s="6" t="n"/>
      <c r="E1025" s="8" t="n"/>
      <c r="F1025" s="6" t="n"/>
    </row>
    <row r="1026">
      <c r="A1026" s="6" t="n"/>
      <c r="B1026" s="6" t="n"/>
      <c r="C1026" s="6" t="n"/>
      <c r="D1026" s="6" t="n"/>
      <c r="E1026" s="8" t="n"/>
      <c r="F1026" s="6" t="n"/>
    </row>
    <row r="1027">
      <c r="A1027" s="6" t="n"/>
      <c r="B1027" s="6" t="n"/>
      <c r="C1027" s="6" t="n"/>
      <c r="D1027" s="6" t="n"/>
      <c r="E1027" s="8" t="n"/>
      <c r="F1027" s="6" t="n"/>
    </row>
    <row r="1028">
      <c r="A1028" s="6" t="n"/>
      <c r="B1028" s="6" t="n"/>
      <c r="C1028" s="6" t="n"/>
      <c r="D1028" s="6" t="n"/>
      <c r="E1028" s="8" t="n"/>
      <c r="F1028" s="6" t="n"/>
    </row>
    <row r="1029">
      <c r="A1029" s="6" t="n"/>
      <c r="B1029" s="6" t="n"/>
      <c r="C1029" s="6" t="n"/>
      <c r="D1029" s="6" t="n"/>
      <c r="E1029" s="8" t="n"/>
      <c r="F1029" s="6" t="n"/>
    </row>
    <row r="1030">
      <c r="A1030" s="6" t="n"/>
      <c r="B1030" s="6" t="n"/>
      <c r="C1030" s="6" t="n"/>
      <c r="D1030" s="6" t="n"/>
      <c r="E1030" s="8" t="n"/>
      <c r="F1030" s="6" t="n"/>
    </row>
    <row r="1031">
      <c r="A1031" s="6" t="n"/>
      <c r="B1031" s="6" t="n"/>
      <c r="C1031" s="6" t="n"/>
      <c r="D1031" s="6" t="n"/>
      <c r="E1031" s="8" t="n"/>
      <c r="F1031" s="6" t="n"/>
    </row>
    <row r="1032">
      <c r="A1032" s="6" t="n"/>
      <c r="B1032" s="6" t="n"/>
      <c r="C1032" s="6" t="n"/>
      <c r="D1032" s="6" t="n"/>
      <c r="E1032" s="8" t="n"/>
      <c r="F1032" s="6" t="n"/>
    </row>
    <row r="1033">
      <c r="A1033" s="6" t="n"/>
      <c r="B1033" s="6" t="n"/>
      <c r="C1033" s="6" t="n"/>
      <c r="D1033" s="6" t="n"/>
      <c r="E1033" s="8" t="n"/>
      <c r="F1033" s="6" t="n"/>
    </row>
    <row r="1034">
      <c r="A1034" s="6" t="n"/>
      <c r="B1034" s="6" t="n"/>
      <c r="C1034" s="6" t="n"/>
      <c r="D1034" s="6" t="n"/>
      <c r="E1034" s="8" t="n"/>
      <c r="F1034" s="6" t="n"/>
    </row>
    <row r="1035">
      <c r="A1035" s="6" t="n"/>
      <c r="B1035" s="6" t="n"/>
      <c r="C1035" s="6" t="n"/>
      <c r="D1035" s="6" t="n"/>
      <c r="E1035" s="8" t="n"/>
      <c r="F1035" s="6" t="n"/>
    </row>
    <row r="1036">
      <c r="A1036" s="6" t="n"/>
      <c r="B1036" s="6" t="n"/>
      <c r="C1036" s="6" t="n"/>
      <c r="D1036" s="6" t="n"/>
      <c r="E1036" s="8" t="n"/>
      <c r="F1036" s="6" t="n"/>
    </row>
    <row r="1037">
      <c r="A1037" s="6" t="n"/>
      <c r="B1037" s="6" t="n"/>
      <c r="C1037" s="6" t="n"/>
      <c r="D1037" s="6" t="n"/>
      <c r="E1037" s="8" t="n"/>
      <c r="F1037" s="6" t="n"/>
    </row>
    <row r="1038">
      <c r="A1038" s="6" t="n"/>
      <c r="B1038" s="6" t="n"/>
      <c r="C1038" s="6" t="n"/>
      <c r="D1038" s="6" t="n"/>
      <c r="E1038" s="8" t="n"/>
      <c r="F1038" s="6" t="n"/>
    </row>
    <row r="1039">
      <c r="A1039" s="6" t="n"/>
      <c r="B1039" s="6" t="n"/>
      <c r="C1039" s="6" t="n"/>
      <c r="D1039" s="6" t="n"/>
      <c r="E1039" s="8" t="n"/>
      <c r="F1039" s="6" t="n"/>
    </row>
    <row r="1040">
      <c r="A1040" s="6" t="n"/>
      <c r="B1040" s="6" t="n"/>
      <c r="C1040" s="6" t="n"/>
      <c r="D1040" s="6" t="n"/>
      <c r="E1040" s="8" t="n"/>
      <c r="F1040" s="6" t="n"/>
    </row>
    <row r="1041">
      <c r="A1041" s="6" t="n"/>
      <c r="B1041" s="6" t="n"/>
      <c r="C1041" s="6" t="n"/>
      <c r="D1041" s="6" t="n"/>
      <c r="E1041" s="8" t="n"/>
      <c r="F1041" s="6" t="n"/>
    </row>
    <row r="1042">
      <c r="A1042" s="6" t="n"/>
      <c r="B1042" s="6" t="n"/>
      <c r="C1042" s="6" t="n"/>
      <c r="D1042" s="6" t="n"/>
      <c r="E1042" s="8" t="n"/>
      <c r="F1042" s="6" t="n"/>
    </row>
    <row r="1043">
      <c r="A1043" s="6" t="n"/>
      <c r="B1043" s="6" t="n"/>
      <c r="C1043" s="6" t="n"/>
      <c r="D1043" s="6" t="n"/>
      <c r="E1043" s="8" t="n"/>
      <c r="F1043" s="6" t="n"/>
    </row>
    <row r="1044">
      <c r="A1044" s="6" t="n"/>
      <c r="B1044" s="6" t="n"/>
      <c r="C1044" s="6" t="n"/>
      <c r="D1044" s="6" t="n"/>
      <c r="E1044" s="8" t="n"/>
      <c r="F1044" s="6" t="n"/>
    </row>
    <row r="1045">
      <c r="A1045" s="6" t="n"/>
      <c r="B1045" s="6" t="n"/>
      <c r="C1045" s="6" t="n"/>
      <c r="D1045" s="6" t="n"/>
      <c r="E1045" s="8" t="n"/>
      <c r="F1045" s="6" t="n"/>
    </row>
    <row r="1046">
      <c r="A1046" s="6" t="n"/>
      <c r="B1046" s="6" t="n"/>
      <c r="C1046" s="6" t="n"/>
      <c r="D1046" s="6" t="n"/>
      <c r="E1046" s="8" t="n"/>
      <c r="F1046" s="6" t="n"/>
    </row>
    <row r="1047">
      <c r="A1047" s="6" t="n"/>
      <c r="B1047" s="6" t="n"/>
      <c r="C1047" s="6" t="n"/>
      <c r="D1047" s="6" t="n"/>
      <c r="E1047" s="8" t="n"/>
      <c r="F1047" s="6" t="n"/>
    </row>
    <row r="1048">
      <c r="A1048" s="6" t="n"/>
      <c r="B1048" s="6" t="n"/>
      <c r="C1048" s="6" t="n"/>
      <c r="D1048" s="6" t="n"/>
      <c r="E1048" s="8" t="n"/>
      <c r="F1048" s="6" t="n"/>
    </row>
    <row r="1049">
      <c r="A1049" s="6" t="n"/>
      <c r="B1049" s="6" t="n"/>
      <c r="C1049" s="6" t="n"/>
      <c r="D1049" s="6" t="n"/>
      <c r="E1049" s="8" t="n"/>
      <c r="F1049" s="6" t="n"/>
    </row>
    <row r="1050">
      <c r="A1050" s="6" t="n"/>
      <c r="B1050" s="6" t="n"/>
      <c r="C1050" s="6" t="n"/>
      <c r="D1050" s="6" t="n"/>
      <c r="E1050" s="8" t="n"/>
      <c r="F1050" s="6" t="n"/>
    </row>
    <row r="1051">
      <c r="A1051" s="6" t="n"/>
      <c r="B1051" s="6" t="n"/>
      <c r="C1051" s="6" t="n"/>
      <c r="D1051" s="6" t="n"/>
      <c r="E1051" s="8" t="n"/>
      <c r="F1051" s="6" t="n"/>
    </row>
    <row r="1052">
      <c r="A1052" s="6" t="n"/>
      <c r="B1052" s="6" t="n"/>
      <c r="C1052" s="6" t="n"/>
      <c r="D1052" s="6" t="n"/>
      <c r="E1052" s="8" t="n"/>
      <c r="F1052" s="6" t="n"/>
    </row>
    <row r="1053">
      <c r="A1053" s="6" t="n"/>
      <c r="B1053" s="6" t="n"/>
      <c r="C1053" s="6" t="n"/>
      <c r="D1053" s="6" t="n"/>
      <c r="E1053" s="8" t="n"/>
      <c r="F1053" s="6" t="n"/>
    </row>
    <row r="1054">
      <c r="A1054" s="6" t="n"/>
      <c r="B1054" s="6" t="n"/>
      <c r="C1054" s="6" t="n"/>
      <c r="D1054" s="6" t="n"/>
      <c r="E1054" s="8" t="n"/>
      <c r="F1054" s="6" t="n"/>
    </row>
    <row r="1055">
      <c r="A1055" s="6" t="n"/>
      <c r="B1055" s="6" t="n"/>
      <c r="C1055" s="6" t="n"/>
      <c r="D1055" s="6" t="n"/>
      <c r="E1055" s="8" t="n"/>
      <c r="F1055" s="6" t="n"/>
    </row>
    <row r="1056">
      <c r="A1056" s="6" t="n"/>
      <c r="B1056" s="6" t="n"/>
      <c r="C1056" s="6" t="n"/>
      <c r="D1056" s="6" t="n"/>
      <c r="E1056" s="8" t="n"/>
      <c r="F1056" s="6" t="n"/>
    </row>
    <row r="1057">
      <c r="A1057" s="6" t="n"/>
      <c r="B1057" s="6" t="n"/>
      <c r="C1057" s="6" t="n"/>
      <c r="D1057" s="6" t="n"/>
      <c r="E1057" s="8" t="n"/>
      <c r="F1057" s="6" t="n"/>
    </row>
    <row r="1058">
      <c r="A1058" s="6" t="n"/>
      <c r="B1058" s="6" t="n"/>
      <c r="C1058" s="6" t="n"/>
      <c r="D1058" s="6" t="n"/>
      <c r="E1058" s="8" t="n"/>
      <c r="F1058" s="6" t="n"/>
    </row>
    <row r="1059">
      <c r="A1059" s="6" t="n"/>
      <c r="B1059" s="6" t="n"/>
      <c r="C1059" s="6" t="n"/>
      <c r="D1059" s="6" t="n"/>
      <c r="E1059" s="8" t="n"/>
      <c r="F1059" s="6" t="n"/>
    </row>
    <row r="1060">
      <c r="A1060" s="6" t="n"/>
      <c r="B1060" s="6" t="n"/>
      <c r="C1060" s="6" t="n"/>
      <c r="D1060" s="6" t="n"/>
      <c r="E1060" s="8" t="n"/>
      <c r="F1060" s="6" t="n"/>
    </row>
    <row r="1061">
      <c r="A1061" s="6" t="n"/>
      <c r="B1061" s="6" t="n"/>
      <c r="C1061" s="6" t="n"/>
      <c r="D1061" s="6" t="n"/>
      <c r="E1061" s="8" t="n"/>
      <c r="F1061" s="6" t="n"/>
    </row>
    <row r="1062">
      <c r="A1062" s="6" t="n"/>
      <c r="B1062" s="6" t="n"/>
      <c r="C1062" s="6" t="n"/>
      <c r="D1062" s="6" t="n"/>
      <c r="E1062" s="8" t="n"/>
      <c r="F1062" s="6" t="n"/>
    </row>
    <row r="1063">
      <c r="A1063" s="6" t="n"/>
      <c r="B1063" s="6" t="n"/>
      <c r="C1063" s="6" t="n"/>
      <c r="D1063" s="6" t="n"/>
      <c r="E1063" s="8" t="n"/>
      <c r="F1063" s="6" t="n"/>
    </row>
    <row r="1064">
      <c r="A1064" s="6" t="n"/>
      <c r="B1064" s="6" t="n"/>
      <c r="C1064" s="6" t="n"/>
      <c r="D1064" s="6" t="n"/>
      <c r="E1064" s="8" t="n"/>
      <c r="F1064" s="6" t="n"/>
    </row>
    <row r="1065">
      <c r="A1065" s="6" t="n"/>
      <c r="B1065" s="6" t="n"/>
      <c r="C1065" s="6" t="n"/>
      <c r="D1065" s="6" t="n"/>
      <c r="E1065" s="8" t="n"/>
      <c r="F1065" s="6" t="n"/>
    </row>
    <row r="1066">
      <c r="A1066" s="6" t="n"/>
      <c r="B1066" s="6" t="n"/>
      <c r="C1066" s="6" t="n"/>
      <c r="D1066" s="6" t="n"/>
      <c r="E1066" s="8" t="n"/>
      <c r="F1066" s="6" t="n"/>
    </row>
    <row r="1067">
      <c r="A1067" s="6" t="n"/>
      <c r="B1067" s="6" t="n"/>
      <c r="C1067" s="6" t="n"/>
      <c r="D1067" s="6" t="n"/>
      <c r="E1067" s="8" t="n"/>
      <c r="F1067" s="6" t="n"/>
    </row>
    <row r="1068">
      <c r="A1068" s="6" t="n"/>
      <c r="B1068" s="6" t="n"/>
      <c r="C1068" s="6" t="n"/>
      <c r="D1068" s="6" t="n"/>
      <c r="E1068" s="8" t="n"/>
      <c r="F1068" s="6" t="n"/>
    </row>
    <row r="1069">
      <c r="A1069" s="6" t="n"/>
      <c r="B1069" s="6" t="n"/>
      <c r="C1069" s="6" t="n"/>
      <c r="D1069" s="6" t="n"/>
      <c r="E1069" s="8" t="n"/>
      <c r="F1069" s="6" t="n"/>
    </row>
    <row r="1070">
      <c r="A1070" s="6" t="n"/>
      <c r="B1070" s="6" t="n"/>
      <c r="C1070" s="6" t="n"/>
      <c r="D1070" s="6" t="n"/>
      <c r="E1070" s="8" t="n"/>
      <c r="F1070" s="6" t="n"/>
    </row>
    <row r="1071">
      <c r="A1071" s="6" t="n"/>
      <c r="B1071" s="6" t="n"/>
      <c r="C1071" s="6" t="n"/>
      <c r="D1071" s="6" t="n"/>
      <c r="E1071" s="8" t="n"/>
      <c r="F1071" s="6" t="n"/>
    </row>
    <row r="1072">
      <c r="A1072" s="6" t="n"/>
      <c r="B1072" s="6" t="n"/>
      <c r="C1072" s="6" t="n"/>
      <c r="D1072" s="6" t="n"/>
      <c r="E1072" s="8" t="n"/>
      <c r="F1072" s="6" t="n"/>
    </row>
    <row r="1073">
      <c r="A1073" s="6" t="n"/>
      <c r="B1073" s="6" t="n"/>
      <c r="C1073" s="6" t="n"/>
      <c r="D1073" s="6" t="n"/>
      <c r="E1073" s="8" t="n"/>
      <c r="F1073" s="6" t="n"/>
    </row>
    <row r="1074">
      <c r="A1074" s="6" t="n"/>
      <c r="B1074" s="6" t="n"/>
      <c r="C1074" s="6" t="n"/>
      <c r="D1074" s="6" t="n"/>
      <c r="E1074" s="8" t="n"/>
      <c r="F1074" s="6" t="n"/>
    </row>
    <row r="1075">
      <c r="A1075" s="6" t="n"/>
      <c r="B1075" s="6" t="n"/>
      <c r="C1075" s="6" t="n"/>
      <c r="D1075" s="6" t="n"/>
      <c r="E1075" s="8" t="n"/>
      <c r="F1075" s="6" t="n"/>
    </row>
    <row r="1076">
      <c r="A1076" s="6" t="n"/>
      <c r="B1076" s="6" t="n"/>
      <c r="C1076" s="6" t="n"/>
      <c r="D1076" s="6" t="n"/>
      <c r="E1076" s="8" t="n"/>
      <c r="F1076" s="6" t="n"/>
    </row>
    <row r="1077">
      <c r="A1077" s="6" t="n"/>
      <c r="B1077" s="6" t="n"/>
      <c r="C1077" s="6" t="n"/>
      <c r="D1077" s="6" t="n"/>
      <c r="E1077" s="8" t="n"/>
      <c r="F1077" s="6" t="n"/>
    </row>
    <row r="1078">
      <c r="A1078" s="6" t="n"/>
      <c r="B1078" s="6" t="n"/>
      <c r="C1078" s="6" t="n"/>
      <c r="D1078" s="6" t="n"/>
      <c r="E1078" s="8" t="n"/>
      <c r="F1078" s="6" t="n"/>
    </row>
    <row r="1079">
      <c r="A1079" s="6" t="n"/>
      <c r="B1079" s="6" t="n"/>
      <c r="C1079" s="6" t="n"/>
      <c r="D1079" s="6" t="n"/>
      <c r="E1079" s="8" t="n"/>
      <c r="F1079" s="6" t="n"/>
    </row>
    <row r="1080">
      <c r="A1080" s="6" t="n"/>
      <c r="B1080" s="6" t="n"/>
      <c r="C1080" s="6" t="n"/>
      <c r="D1080" s="6" t="n"/>
      <c r="E1080" s="8" t="n"/>
      <c r="F1080" s="6" t="n"/>
    </row>
    <row r="1081">
      <c r="A1081" s="6" t="n"/>
      <c r="B1081" s="6" t="n"/>
      <c r="C1081" s="6" t="n"/>
      <c r="D1081" s="6" t="n"/>
      <c r="E1081" s="8" t="n"/>
      <c r="F1081" s="6" t="n"/>
    </row>
    <row r="1082">
      <c r="A1082" s="6" t="n"/>
      <c r="B1082" s="6" t="n"/>
      <c r="C1082" s="6" t="n"/>
      <c r="D1082" s="6" t="n"/>
      <c r="E1082" s="8" t="n"/>
      <c r="F1082" s="6" t="n"/>
    </row>
    <row r="1083">
      <c r="A1083" s="6" t="n"/>
      <c r="B1083" s="6" t="n"/>
      <c r="C1083" s="6" t="n"/>
      <c r="D1083" s="6" t="n"/>
      <c r="E1083" s="8" t="n"/>
      <c r="F1083" s="6" t="n"/>
    </row>
    <row r="1084">
      <c r="A1084" s="6" t="n"/>
      <c r="B1084" s="6" t="n"/>
      <c r="C1084" s="6" t="n"/>
      <c r="D1084" s="6" t="n"/>
      <c r="E1084" s="8" t="n"/>
      <c r="F1084" s="6" t="n"/>
    </row>
    <row r="1085">
      <c r="A1085" s="6" t="n"/>
      <c r="B1085" s="6" t="n"/>
      <c r="C1085" s="6" t="n"/>
      <c r="D1085" s="6" t="n"/>
      <c r="E1085" s="8" t="n"/>
      <c r="F1085" s="6" t="n"/>
    </row>
    <row r="1086">
      <c r="A1086" s="6" t="n"/>
      <c r="B1086" s="6" t="n"/>
      <c r="C1086" s="6" t="n"/>
      <c r="D1086" s="6" t="n"/>
      <c r="E1086" s="8" t="n"/>
      <c r="F1086" s="6" t="n"/>
    </row>
    <row r="1087">
      <c r="A1087" s="6" t="n"/>
      <c r="B1087" s="6" t="n"/>
      <c r="C1087" s="6" t="n"/>
      <c r="D1087" s="6" t="n"/>
      <c r="E1087" s="8" t="n"/>
      <c r="F1087" s="6" t="n"/>
    </row>
    <row r="1088">
      <c r="A1088" s="6" t="n"/>
      <c r="B1088" s="6" t="n"/>
      <c r="C1088" s="6" t="n"/>
      <c r="D1088" s="6" t="n"/>
      <c r="E1088" s="8" t="n"/>
      <c r="F1088" s="6" t="n"/>
    </row>
    <row r="1089">
      <c r="A1089" s="6" t="n"/>
      <c r="B1089" s="6" t="n"/>
      <c r="C1089" s="6" t="n"/>
      <c r="D1089" s="6" t="n"/>
      <c r="E1089" s="8" t="n"/>
      <c r="F1089" s="6" t="n"/>
    </row>
    <row r="1090">
      <c r="A1090" s="6" t="n"/>
      <c r="B1090" s="6" t="n"/>
      <c r="C1090" s="6" t="n"/>
      <c r="D1090" s="6" t="n"/>
      <c r="E1090" s="8" t="n"/>
      <c r="F1090" s="6" t="n"/>
    </row>
    <row r="1091">
      <c r="A1091" s="6" t="n"/>
      <c r="B1091" s="6" t="n"/>
      <c r="C1091" s="6" t="n"/>
      <c r="D1091" s="6" t="n"/>
      <c r="E1091" s="8" t="n"/>
      <c r="F1091" s="6" t="n"/>
    </row>
    <row r="1092">
      <c r="A1092" s="6" t="n"/>
      <c r="B1092" s="6" t="n"/>
      <c r="C1092" s="6" t="n"/>
      <c r="D1092" s="6" t="n"/>
      <c r="E1092" s="8" t="n"/>
      <c r="F1092" s="6" t="n"/>
    </row>
    <row r="1093">
      <c r="A1093" s="6" t="n"/>
      <c r="B1093" s="6" t="n"/>
      <c r="C1093" s="6" t="n"/>
      <c r="D1093" s="6" t="n"/>
      <c r="E1093" s="8" t="n"/>
      <c r="F1093" s="6" t="n"/>
    </row>
    <row r="1094">
      <c r="A1094" s="6" t="n"/>
      <c r="B1094" s="6" t="n"/>
      <c r="C1094" s="6" t="n"/>
      <c r="D1094" s="6" t="n"/>
      <c r="E1094" s="8" t="n"/>
      <c r="F1094" s="6" t="n"/>
    </row>
    <row r="1095">
      <c r="A1095" s="6" t="n"/>
      <c r="B1095" s="6" t="n"/>
      <c r="C1095" s="6" t="n"/>
      <c r="D1095" s="6" t="n"/>
      <c r="E1095" s="8" t="n"/>
      <c r="F1095" s="6" t="n"/>
    </row>
    <row r="1096">
      <c r="A1096" s="6" t="n"/>
      <c r="B1096" s="6" t="n"/>
      <c r="C1096" s="6" t="n"/>
      <c r="D1096" s="6" t="n"/>
      <c r="E1096" s="8" t="n"/>
      <c r="F1096" s="6" t="n"/>
    </row>
    <row r="1097">
      <c r="A1097" s="6" t="n"/>
      <c r="B1097" s="6" t="n"/>
      <c r="C1097" s="6" t="n"/>
      <c r="D1097" s="6" t="n"/>
      <c r="E1097" s="8" t="n"/>
      <c r="F1097" s="6" t="n"/>
    </row>
    <row r="1098">
      <c r="A1098" s="6" t="n"/>
      <c r="B1098" s="6" t="n"/>
      <c r="C1098" s="6" t="n"/>
      <c r="D1098" s="6" t="n"/>
      <c r="E1098" s="8" t="n"/>
      <c r="F1098" s="6" t="n"/>
    </row>
    <row r="1099">
      <c r="A1099" s="6" t="n"/>
      <c r="B1099" s="6" t="n"/>
      <c r="C1099" s="6" t="n"/>
      <c r="D1099" s="6" t="n"/>
      <c r="E1099" s="8" t="n"/>
      <c r="F1099" s="6" t="n"/>
    </row>
    <row r="1100">
      <c r="A1100" s="6" t="n"/>
      <c r="B1100" s="6" t="n"/>
      <c r="C1100" s="6" t="n"/>
      <c r="D1100" s="6" t="n"/>
      <c r="E1100" s="8" t="n"/>
      <c r="F1100" s="6" t="n"/>
    </row>
    <row r="1101">
      <c r="A1101" s="6" t="n"/>
      <c r="B1101" s="6" t="n"/>
      <c r="C1101" s="6" t="n"/>
      <c r="D1101" s="6" t="n"/>
      <c r="E1101" s="8" t="n"/>
      <c r="F1101" s="6" t="n"/>
    </row>
    <row r="1102">
      <c r="A1102" s="6" t="n"/>
      <c r="B1102" s="6" t="n"/>
      <c r="C1102" s="6" t="n"/>
      <c r="D1102" s="6" t="n"/>
      <c r="E1102" s="8" t="n"/>
      <c r="F1102" s="6" t="n"/>
    </row>
    <row r="1103">
      <c r="A1103" s="6" t="n"/>
      <c r="B1103" s="6" t="n"/>
      <c r="C1103" s="6" t="n"/>
      <c r="D1103" s="6" t="n"/>
      <c r="E1103" s="8" t="n"/>
      <c r="F1103" s="6" t="n"/>
    </row>
    <row r="1104">
      <c r="A1104" s="6" t="n"/>
      <c r="B1104" s="6" t="n"/>
      <c r="C1104" s="6" t="n"/>
      <c r="D1104" s="6" t="n"/>
      <c r="E1104" s="8" t="n"/>
      <c r="F1104" s="6" t="n"/>
    </row>
    <row r="1105">
      <c r="A1105" s="6" t="n"/>
      <c r="B1105" s="6" t="n"/>
      <c r="C1105" s="6" t="n"/>
      <c r="D1105" s="6" t="n"/>
      <c r="E1105" s="8" t="n"/>
      <c r="F1105" s="6" t="n"/>
    </row>
    <row r="1106">
      <c r="A1106" s="6" t="n"/>
      <c r="B1106" s="6" t="n"/>
      <c r="C1106" s="6" t="n"/>
      <c r="D1106" s="6" t="n"/>
      <c r="E1106" s="8" t="n"/>
      <c r="F1106" s="6" t="n"/>
    </row>
    <row r="1107">
      <c r="A1107" s="6" t="n"/>
      <c r="B1107" s="6" t="n"/>
      <c r="C1107" s="6" t="n"/>
      <c r="D1107" s="6" t="n"/>
      <c r="E1107" s="8" t="n"/>
      <c r="F1107" s="6" t="n"/>
    </row>
    <row r="1108">
      <c r="A1108" s="6" t="n"/>
      <c r="B1108" s="6" t="n"/>
      <c r="C1108" s="6" t="n"/>
      <c r="D1108" s="6" t="n"/>
      <c r="E1108" s="8" t="n"/>
      <c r="F1108" s="6" t="n"/>
    </row>
    <row r="1109">
      <c r="A1109" s="6" t="n"/>
      <c r="B1109" s="6" t="n"/>
      <c r="C1109" s="6" t="n"/>
      <c r="D1109" s="6" t="n"/>
      <c r="E1109" s="8" t="n"/>
      <c r="F1109" s="6" t="n"/>
    </row>
    <row r="1110">
      <c r="A1110" s="6" t="n"/>
      <c r="B1110" s="6" t="n"/>
      <c r="C1110" s="6" t="n"/>
      <c r="D1110" s="6" t="n"/>
      <c r="E1110" s="8" t="n"/>
      <c r="F1110" s="6" t="n"/>
    </row>
    <row r="1111">
      <c r="A1111" s="6" t="n"/>
      <c r="B1111" s="6" t="n"/>
      <c r="C1111" s="6" t="n"/>
      <c r="D1111" s="6" t="n"/>
      <c r="E1111" s="8" t="n"/>
      <c r="F1111" s="6" t="n"/>
    </row>
    <row r="1112">
      <c r="A1112" s="6" t="n"/>
      <c r="B1112" s="6" t="n"/>
      <c r="C1112" s="6" t="n"/>
      <c r="D1112" s="6" t="n"/>
      <c r="E1112" s="8" t="n"/>
      <c r="F1112" s="6" t="n"/>
    </row>
    <row r="1113">
      <c r="A1113" s="6" t="n"/>
      <c r="B1113" s="6" t="n"/>
      <c r="C1113" s="6" t="n"/>
      <c r="D1113" s="6" t="n"/>
      <c r="E1113" s="8" t="n"/>
      <c r="F1113" s="6" t="n"/>
    </row>
    <row r="1114">
      <c r="A1114" s="6" t="n"/>
      <c r="B1114" s="6" t="n"/>
      <c r="C1114" s="6" t="n"/>
      <c r="D1114" s="6" t="n"/>
      <c r="E1114" s="8" t="n"/>
      <c r="F1114" s="6" t="n"/>
    </row>
    <row r="1115">
      <c r="A1115" s="6" t="n"/>
      <c r="B1115" s="6" t="n"/>
      <c r="C1115" s="6" t="n"/>
      <c r="D1115" s="6" t="n"/>
      <c r="E1115" s="8" t="n"/>
      <c r="F1115" s="6" t="n"/>
    </row>
    <row r="1116">
      <c r="A1116" s="6" t="n"/>
      <c r="B1116" s="6" t="n"/>
      <c r="C1116" s="6" t="n"/>
      <c r="D1116" s="6" t="n"/>
      <c r="E1116" s="8" t="n"/>
      <c r="F1116" s="6" t="n"/>
    </row>
    <row r="1117">
      <c r="A1117" s="6" t="n"/>
      <c r="B1117" s="6" t="n"/>
      <c r="C1117" s="6" t="n"/>
      <c r="D1117" s="6" t="n"/>
      <c r="E1117" s="8" t="n"/>
      <c r="F1117" s="6" t="n"/>
    </row>
    <row r="1118">
      <c r="A1118" s="6" t="n"/>
      <c r="B1118" s="6" t="n"/>
      <c r="C1118" s="6" t="n"/>
      <c r="D1118" s="6" t="n"/>
      <c r="E1118" s="8" t="n"/>
      <c r="F1118" s="6" t="n"/>
    </row>
    <row r="1119">
      <c r="A1119" s="6" t="n"/>
      <c r="B1119" s="6" t="n"/>
      <c r="C1119" s="6" t="n"/>
      <c r="D1119" s="6" t="n"/>
      <c r="E1119" s="8" t="n"/>
      <c r="F1119" s="6" t="n"/>
    </row>
    <row r="1120">
      <c r="A1120" s="6" t="n"/>
      <c r="B1120" s="6" t="n"/>
      <c r="C1120" s="6" t="n"/>
      <c r="D1120" s="6" t="n"/>
      <c r="E1120" s="8" t="n"/>
      <c r="F1120" s="6" t="n"/>
    </row>
    <row r="1121">
      <c r="A1121" s="6" t="n"/>
      <c r="B1121" s="6" t="n"/>
      <c r="C1121" s="6" t="n"/>
      <c r="D1121" s="6" t="n"/>
      <c r="E1121" s="8" t="n"/>
      <c r="F1121" s="6" t="n"/>
    </row>
    <row r="1122">
      <c r="A1122" s="6" t="n"/>
      <c r="B1122" s="6" t="n"/>
      <c r="C1122" s="6" t="n"/>
      <c r="D1122" s="6" t="n"/>
      <c r="E1122" s="8" t="n"/>
      <c r="F1122" s="6" t="n"/>
    </row>
    <row r="1123">
      <c r="A1123" s="6" t="n"/>
      <c r="B1123" s="6" t="n"/>
      <c r="C1123" s="6" t="n"/>
      <c r="D1123" s="6" t="n"/>
      <c r="E1123" s="8" t="n"/>
      <c r="F1123" s="6" t="n"/>
    </row>
    <row r="1124">
      <c r="A1124" s="6" t="n"/>
      <c r="B1124" s="6" t="n"/>
      <c r="C1124" s="6" t="n"/>
      <c r="D1124" s="6" t="n"/>
      <c r="E1124" s="8" t="n"/>
      <c r="F1124" s="6" t="n"/>
    </row>
    <row r="1125">
      <c r="A1125" s="6" t="n"/>
      <c r="B1125" s="6" t="n"/>
      <c r="C1125" s="6" t="n"/>
      <c r="D1125" s="6" t="n"/>
      <c r="E1125" s="8" t="n"/>
      <c r="F1125" s="6" t="n"/>
    </row>
    <row r="1126">
      <c r="A1126" s="6" t="n"/>
      <c r="B1126" s="6" t="n"/>
      <c r="C1126" s="6" t="n"/>
      <c r="D1126" s="6" t="n"/>
      <c r="E1126" s="8" t="n"/>
      <c r="F1126" s="6" t="n"/>
    </row>
    <row r="1127">
      <c r="A1127" s="6" t="n"/>
      <c r="B1127" s="6" t="n"/>
      <c r="C1127" s="6" t="n"/>
      <c r="D1127" s="6" t="n"/>
      <c r="E1127" s="8" t="n"/>
      <c r="F1127" s="6" t="n"/>
    </row>
    <row r="1128">
      <c r="A1128" s="6" t="n"/>
      <c r="B1128" s="6" t="n"/>
      <c r="C1128" s="6" t="n"/>
      <c r="D1128" s="6" t="n"/>
      <c r="E1128" s="8" t="n"/>
      <c r="F1128" s="6" t="n"/>
    </row>
    <row r="1129">
      <c r="A1129" s="6" t="n"/>
      <c r="B1129" s="6" t="n"/>
      <c r="C1129" s="6" t="n"/>
      <c r="D1129" s="6" t="n"/>
      <c r="E1129" s="8" t="n"/>
      <c r="F1129" s="6" t="n"/>
    </row>
    <row r="1130">
      <c r="A1130" s="6" t="n"/>
      <c r="B1130" s="6" t="n"/>
      <c r="C1130" s="6" t="n"/>
      <c r="D1130" s="6" t="n"/>
      <c r="E1130" s="8" t="n"/>
      <c r="F1130" s="6" t="n"/>
    </row>
    <row r="1131">
      <c r="A1131" s="6" t="n"/>
      <c r="B1131" s="6" t="n"/>
      <c r="C1131" s="6" t="n"/>
      <c r="D1131" s="6" t="n"/>
      <c r="E1131" s="8" t="n"/>
      <c r="F1131" s="6" t="n"/>
    </row>
    <row r="1132">
      <c r="A1132" s="6" t="n"/>
      <c r="B1132" s="6" t="n"/>
      <c r="C1132" s="6" t="n"/>
      <c r="D1132" s="6" t="n"/>
      <c r="E1132" s="8" t="n"/>
      <c r="F1132" s="6" t="n"/>
    </row>
    <row r="1133">
      <c r="A1133" s="6" t="n"/>
      <c r="B1133" s="6" t="n"/>
      <c r="C1133" s="6" t="n"/>
      <c r="D1133" s="6" t="n"/>
      <c r="E1133" s="8" t="n"/>
      <c r="F1133" s="6" t="n"/>
    </row>
    <row r="1134">
      <c r="A1134" s="6" t="n"/>
      <c r="B1134" s="6" t="n"/>
      <c r="C1134" s="6" t="n"/>
      <c r="D1134" s="6" t="n"/>
      <c r="E1134" s="8" t="n"/>
      <c r="F1134" s="6" t="n"/>
    </row>
    <row r="1135">
      <c r="A1135" s="6" t="n"/>
      <c r="B1135" s="6" t="n"/>
      <c r="C1135" s="6" t="n"/>
      <c r="D1135" s="6" t="n"/>
      <c r="E1135" s="8" t="n"/>
      <c r="F1135" s="6" t="n"/>
    </row>
    <row r="1136">
      <c r="A1136" s="6" t="n"/>
      <c r="B1136" s="6" t="n"/>
      <c r="C1136" s="6" t="n"/>
      <c r="D1136" s="6" t="n"/>
      <c r="E1136" s="8" t="n"/>
      <c r="F1136" s="6" t="n"/>
    </row>
    <row r="1137">
      <c r="A1137" s="6" t="n"/>
      <c r="B1137" s="6" t="n"/>
      <c r="C1137" s="6" t="n"/>
      <c r="D1137" s="6" t="n"/>
      <c r="E1137" s="8" t="n"/>
      <c r="F1137" s="6" t="n"/>
    </row>
    <row r="1138">
      <c r="A1138" s="6" t="n"/>
      <c r="B1138" s="6" t="n"/>
      <c r="C1138" s="6" t="n"/>
      <c r="D1138" s="6" t="n"/>
      <c r="E1138" s="8" t="n"/>
      <c r="F1138" s="6" t="n"/>
    </row>
    <row r="1139">
      <c r="A1139" s="6" t="n"/>
      <c r="B1139" s="6" t="n"/>
      <c r="C1139" s="6" t="n"/>
      <c r="D1139" s="6" t="n"/>
      <c r="E1139" s="8" t="n"/>
      <c r="F1139" s="6" t="n"/>
    </row>
    <row r="1140">
      <c r="A1140" s="6" t="n"/>
      <c r="B1140" s="6" t="n"/>
      <c r="C1140" s="6" t="n"/>
      <c r="D1140" s="6" t="n"/>
      <c r="E1140" s="8" t="n"/>
      <c r="F1140" s="6" t="n"/>
    </row>
    <row r="1141">
      <c r="A1141" s="6" t="n"/>
      <c r="B1141" s="6" t="n"/>
      <c r="C1141" s="6" t="n"/>
      <c r="D1141" s="6" t="n"/>
      <c r="E1141" s="8" t="n"/>
      <c r="F1141" s="6" t="n"/>
    </row>
    <row r="1142">
      <c r="A1142" s="6" t="n"/>
      <c r="B1142" s="6" t="n"/>
      <c r="C1142" s="6" t="n"/>
      <c r="D1142" s="6" t="n"/>
      <c r="E1142" s="8" t="n"/>
      <c r="F1142" s="6" t="n"/>
    </row>
    <row r="1143">
      <c r="A1143" s="6" t="n"/>
      <c r="B1143" s="6" t="n"/>
      <c r="C1143" s="6" t="n"/>
      <c r="D1143" s="6" t="n"/>
      <c r="E1143" s="8" t="n"/>
      <c r="F1143" s="6" t="n"/>
    </row>
    <row r="1144">
      <c r="A1144" s="6" t="n"/>
      <c r="B1144" s="6" t="n"/>
      <c r="C1144" s="6" t="n"/>
      <c r="D1144" s="6" t="n"/>
      <c r="E1144" s="8" t="n"/>
      <c r="F1144" s="6" t="n"/>
    </row>
    <row r="1145">
      <c r="A1145" s="6" t="n"/>
      <c r="B1145" s="6" t="n"/>
      <c r="C1145" s="6" t="n"/>
      <c r="D1145" s="6" t="n"/>
      <c r="E1145" s="8" t="n"/>
      <c r="F1145" s="6" t="n"/>
    </row>
    <row r="1146">
      <c r="A1146" s="6" t="n"/>
      <c r="B1146" s="6" t="n"/>
      <c r="C1146" s="6" t="n"/>
      <c r="D1146" s="6" t="n"/>
      <c r="E1146" s="8" t="n"/>
      <c r="F1146" s="6" t="n"/>
    </row>
    <row r="1147">
      <c r="A1147" s="6" t="n"/>
      <c r="B1147" s="6" t="n"/>
      <c r="C1147" s="6" t="n"/>
      <c r="D1147" s="6" t="n"/>
      <c r="E1147" s="8" t="n"/>
      <c r="F1147" s="6" t="n"/>
    </row>
    <row r="1148">
      <c r="A1148" s="6" t="n"/>
      <c r="B1148" s="6" t="n"/>
      <c r="C1148" s="6" t="n"/>
      <c r="D1148" s="6" t="n"/>
      <c r="E1148" s="8" t="n"/>
      <c r="F1148" s="6" t="n"/>
    </row>
    <row r="1149">
      <c r="A1149" s="6" t="n"/>
      <c r="B1149" s="6" t="n"/>
      <c r="C1149" s="6" t="n"/>
      <c r="D1149" s="6" t="n"/>
      <c r="E1149" s="8" t="n"/>
      <c r="F1149" s="6" t="n"/>
    </row>
    <row r="1150">
      <c r="A1150" s="6" t="n"/>
      <c r="B1150" s="6" t="n"/>
      <c r="C1150" s="6" t="n"/>
      <c r="D1150" s="6" t="n"/>
      <c r="E1150" s="8" t="n"/>
      <c r="F1150" s="6" t="n"/>
    </row>
    <row r="1151">
      <c r="A1151" s="6" t="n"/>
      <c r="B1151" s="6" t="n"/>
      <c r="C1151" s="6" t="n"/>
      <c r="D1151" s="6" t="n"/>
      <c r="E1151" s="8" t="n"/>
      <c r="F1151" s="6" t="n"/>
    </row>
    <row r="1152">
      <c r="A1152" s="6" t="n"/>
      <c r="B1152" s="6" t="n"/>
      <c r="C1152" s="6" t="n"/>
      <c r="D1152" s="6" t="n"/>
      <c r="E1152" s="8" t="n"/>
      <c r="F1152" s="6" t="n"/>
    </row>
    <row r="1153">
      <c r="A1153" s="6" t="n"/>
      <c r="B1153" s="6" t="n"/>
      <c r="C1153" s="6" t="n"/>
      <c r="D1153" s="6" t="n"/>
      <c r="E1153" s="8" t="n"/>
      <c r="F1153" s="6" t="n"/>
    </row>
    <row r="1154">
      <c r="A1154" s="6" t="n"/>
      <c r="B1154" s="6" t="n"/>
      <c r="C1154" s="6" t="n"/>
      <c r="D1154" s="6" t="n"/>
      <c r="E1154" s="8" t="n"/>
      <c r="F1154" s="6" t="n"/>
    </row>
    <row r="1155">
      <c r="A1155" s="6" t="n"/>
      <c r="B1155" s="6" t="n"/>
      <c r="C1155" s="6" t="n"/>
      <c r="D1155" s="6" t="n"/>
      <c r="E1155" s="8" t="n"/>
      <c r="F1155" s="6" t="n"/>
    </row>
    <row r="1156">
      <c r="A1156" s="6" t="n"/>
      <c r="B1156" s="6" t="n"/>
      <c r="C1156" s="6" t="n"/>
      <c r="D1156" s="6" t="n"/>
      <c r="E1156" s="8" t="n"/>
      <c r="F1156" s="6" t="n"/>
    </row>
    <row r="1157">
      <c r="A1157" s="6" t="n"/>
      <c r="B1157" s="6" t="n"/>
      <c r="C1157" s="6" t="n"/>
      <c r="D1157" s="6" t="n"/>
      <c r="E1157" s="8" t="n"/>
      <c r="F1157" s="6" t="n"/>
    </row>
    <row r="1158">
      <c r="A1158" s="6" t="n"/>
      <c r="B1158" s="6" t="n"/>
      <c r="C1158" s="6" t="n"/>
      <c r="D1158" s="6" t="n"/>
      <c r="E1158" s="8" t="n"/>
      <c r="F1158" s="6" t="n"/>
    </row>
    <row r="1159">
      <c r="A1159" s="6" t="n"/>
      <c r="B1159" s="6" t="n"/>
      <c r="C1159" s="6" t="n"/>
      <c r="D1159" s="6" t="n"/>
      <c r="E1159" s="8" t="n"/>
      <c r="F1159" s="6" t="n"/>
    </row>
    <row r="1160">
      <c r="A1160" s="6" t="n"/>
      <c r="B1160" s="6" t="n"/>
      <c r="C1160" s="6" t="n"/>
      <c r="D1160" s="6" t="n"/>
      <c r="E1160" s="8" t="n"/>
      <c r="F1160" s="6" t="n"/>
    </row>
    <row r="1161">
      <c r="A1161" s="6" t="n"/>
      <c r="B1161" s="6" t="n"/>
      <c r="C1161" s="6" t="n"/>
      <c r="D1161" s="6" t="n"/>
      <c r="E1161" s="8" t="n"/>
      <c r="F1161" s="6" t="n"/>
    </row>
    <row r="1162">
      <c r="A1162" s="6" t="n"/>
      <c r="B1162" s="6" t="n"/>
      <c r="C1162" s="6" t="n"/>
      <c r="D1162" s="6" t="n"/>
      <c r="E1162" s="8" t="n"/>
      <c r="F1162" s="6" t="n"/>
    </row>
    <row r="1163">
      <c r="A1163" s="6" t="n"/>
      <c r="B1163" s="6" t="n"/>
      <c r="C1163" s="6" t="n"/>
      <c r="D1163" s="6" t="n"/>
      <c r="E1163" s="8" t="n"/>
      <c r="F1163" s="6" t="n"/>
    </row>
    <row r="1164">
      <c r="A1164" s="6" t="n"/>
      <c r="B1164" s="6" t="n"/>
      <c r="C1164" s="6" t="n"/>
      <c r="D1164" s="6" t="n"/>
      <c r="E1164" s="8" t="n"/>
      <c r="F1164" s="6" t="n"/>
    </row>
    <row r="1165">
      <c r="A1165" s="6" t="n"/>
      <c r="B1165" s="6" t="n"/>
      <c r="C1165" s="6" t="n"/>
      <c r="D1165" s="6" t="n"/>
      <c r="E1165" s="8" t="n"/>
      <c r="F1165" s="6" t="n"/>
    </row>
    <row r="1166">
      <c r="A1166" s="6" t="n"/>
      <c r="B1166" s="6" t="n"/>
      <c r="C1166" s="6" t="n"/>
      <c r="D1166" s="6" t="n"/>
      <c r="E1166" s="8" t="n"/>
      <c r="F1166" s="6" t="n"/>
    </row>
    <row r="1167">
      <c r="A1167" s="6" t="n"/>
      <c r="B1167" s="6" t="n"/>
      <c r="C1167" s="6" t="n"/>
      <c r="D1167" s="6" t="n"/>
      <c r="E1167" s="8" t="n"/>
      <c r="F1167" s="6" t="n"/>
    </row>
    <row r="1168">
      <c r="A1168" s="6" t="n"/>
      <c r="B1168" s="6" t="n"/>
      <c r="C1168" s="6" t="n"/>
      <c r="D1168" s="6" t="n"/>
      <c r="E1168" s="8" t="n"/>
      <c r="F1168" s="6" t="n"/>
    </row>
    <row r="1169">
      <c r="A1169" s="6" t="n"/>
      <c r="B1169" s="6" t="n"/>
      <c r="C1169" s="6" t="n"/>
      <c r="D1169" s="6" t="n"/>
      <c r="E1169" s="8" t="n"/>
      <c r="F1169" s="6" t="n"/>
    </row>
    <row r="1170">
      <c r="A1170" s="6" t="n"/>
      <c r="B1170" s="6" t="n"/>
      <c r="C1170" s="6" t="n"/>
      <c r="D1170" s="6" t="n"/>
      <c r="E1170" s="8" t="n"/>
      <c r="F1170" s="6" t="n"/>
    </row>
    <row r="1171">
      <c r="A1171" s="6" t="n"/>
      <c r="B1171" s="6" t="n"/>
      <c r="C1171" s="6" t="n"/>
      <c r="D1171" s="6" t="n"/>
      <c r="E1171" s="8" t="n"/>
      <c r="F1171" s="6" t="n"/>
    </row>
    <row r="1172">
      <c r="A1172" s="6" t="n"/>
      <c r="B1172" s="6" t="n"/>
      <c r="C1172" s="6" t="n"/>
      <c r="D1172" s="6" t="n"/>
      <c r="E1172" s="8" t="n"/>
      <c r="F1172" s="6" t="n"/>
    </row>
    <row r="1173">
      <c r="A1173" s="6" t="n"/>
      <c r="B1173" s="6" t="n"/>
      <c r="C1173" s="6" t="n"/>
      <c r="D1173" s="6" t="n"/>
      <c r="E1173" s="8" t="n"/>
      <c r="F1173" s="6" t="n"/>
    </row>
    <row r="1174">
      <c r="A1174" s="6" t="n"/>
      <c r="B1174" s="6" t="n"/>
      <c r="C1174" s="6" t="n"/>
      <c r="D1174" s="6" t="n"/>
      <c r="E1174" s="8" t="n"/>
      <c r="F1174" s="6" t="n"/>
    </row>
    <row r="1175">
      <c r="A1175" s="6" t="n"/>
      <c r="B1175" s="6" t="n"/>
      <c r="C1175" s="6" t="n"/>
      <c r="D1175" s="6" t="n"/>
      <c r="E1175" s="8" t="n"/>
      <c r="F1175" s="6" t="n"/>
    </row>
    <row r="1176">
      <c r="A1176" s="6" t="n"/>
      <c r="B1176" s="6" t="n"/>
      <c r="C1176" s="6" t="n"/>
      <c r="D1176" s="6" t="n"/>
      <c r="E1176" s="8" t="n"/>
      <c r="F1176" s="6" t="n"/>
    </row>
    <row r="1177">
      <c r="A1177" s="6" t="n"/>
      <c r="B1177" s="6" t="n"/>
      <c r="C1177" s="6" t="n"/>
      <c r="D1177" s="6" t="n"/>
      <c r="E1177" s="8" t="n"/>
      <c r="F1177" s="6" t="n"/>
    </row>
    <row r="1178">
      <c r="A1178" s="6" t="n"/>
      <c r="B1178" s="6" t="n"/>
      <c r="C1178" s="6" t="n"/>
      <c r="D1178" s="6" t="n"/>
      <c r="E1178" s="8" t="n"/>
      <c r="F1178" s="6" t="n"/>
    </row>
    <row r="1179">
      <c r="A1179" s="6" t="n"/>
      <c r="B1179" s="6" t="n"/>
      <c r="C1179" s="6" t="n"/>
      <c r="D1179" s="6" t="n"/>
      <c r="E1179" s="8" t="n"/>
      <c r="F1179" s="6" t="n"/>
    </row>
    <row r="1180">
      <c r="A1180" s="6" t="n"/>
      <c r="B1180" s="6" t="n"/>
      <c r="C1180" s="6" t="n"/>
      <c r="D1180" s="6" t="n"/>
      <c r="E1180" s="8" t="n"/>
      <c r="F1180" s="6" t="n"/>
    </row>
    <row r="1181">
      <c r="A1181" s="6" t="n"/>
      <c r="B1181" s="6" t="n"/>
      <c r="C1181" s="6" t="n"/>
      <c r="D1181" s="6" t="n"/>
      <c r="E1181" s="8" t="n"/>
      <c r="F1181" s="6" t="n"/>
    </row>
    <row r="1182">
      <c r="A1182" s="6" t="n"/>
      <c r="B1182" s="6" t="n"/>
      <c r="C1182" s="6" t="n"/>
      <c r="D1182" s="6" t="n"/>
      <c r="E1182" s="8" t="n"/>
      <c r="F1182" s="6" t="n"/>
    </row>
    <row r="1183">
      <c r="A1183" s="6" t="n"/>
      <c r="B1183" s="6" t="n"/>
      <c r="C1183" s="6" t="n"/>
      <c r="D1183" s="6" t="n"/>
      <c r="E1183" s="8" t="n"/>
      <c r="F1183" s="6" t="n"/>
    </row>
    <row r="1184">
      <c r="A1184" s="6" t="n"/>
      <c r="B1184" s="6" t="n"/>
      <c r="C1184" s="6" t="n"/>
      <c r="D1184" s="6" t="n"/>
      <c r="E1184" s="8" t="n"/>
      <c r="F1184" s="6" t="n"/>
    </row>
    <row r="1185">
      <c r="A1185" s="6" t="n"/>
      <c r="B1185" s="6" t="n"/>
      <c r="C1185" s="6" t="n"/>
      <c r="D1185" s="6" t="n"/>
      <c r="E1185" s="8" t="n"/>
      <c r="F1185" s="6" t="n"/>
    </row>
    <row r="1186">
      <c r="A1186" s="6" t="n"/>
      <c r="B1186" s="6" t="n"/>
      <c r="C1186" s="6" t="n"/>
      <c r="D1186" s="6" t="n"/>
      <c r="E1186" s="8" t="n"/>
      <c r="F1186" s="6" t="n"/>
    </row>
    <row r="1187">
      <c r="A1187" s="6" t="n"/>
      <c r="B1187" s="6" t="n"/>
      <c r="C1187" s="6" t="n"/>
      <c r="D1187" s="6" t="n"/>
      <c r="E1187" s="8" t="n"/>
      <c r="F1187" s="6" t="n"/>
    </row>
    <row r="1188">
      <c r="A1188" s="6" t="n"/>
      <c r="B1188" s="6" t="n"/>
      <c r="C1188" s="6" t="n"/>
      <c r="D1188" s="6" t="n"/>
      <c r="E1188" s="8" t="n"/>
      <c r="F1188" s="6" t="n"/>
    </row>
    <row r="1189">
      <c r="A1189" s="6" t="n"/>
      <c r="B1189" s="6" t="n"/>
      <c r="C1189" s="6" t="n"/>
      <c r="D1189" s="6" t="n"/>
      <c r="E1189" s="8" t="n"/>
      <c r="F1189" s="6" t="n"/>
    </row>
    <row r="1190">
      <c r="A1190" s="6" t="n"/>
      <c r="B1190" s="6" t="n"/>
      <c r="C1190" s="6" t="n"/>
      <c r="D1190" s="6" t="n"/>
      <c r="E1190" s="8" t="n"/>
      <c r="F1190" s="6" t="n"/>
    </row>
    <row r="1191">
      <c r="A1191" s="6" t="n"/>
      <c r="B1191" s="6" t="n"/>
      <c r="C1191" s="6" t="n"/>
      <c r="D1191" s="6" t="n"/>
      <c r="E1191" s="8" t="n"/>
      <c r="F1191" s="6" t="n"/>
    </row>
    <row r="1192">
      <c r="A1192" s="6" t="n"/>
      <c r="B1192" s="6" t="n"/>
      <c r="C1192" s="6" t="n"/>
      <c r="D1192" s="6" t="n"/>
      <c r="E1192" s="8" t="n"/>
      <c r="F1192" s="6" t="n"/>
    </row>
    <row r="1193">
      <c r="A1193" s="6" t="n"/>
      <c r="B1193" s="6" t="n"/>
      <c r="C1193" s="6" t="n"/>
      <c r="D1193" s="6" t="n"/>
      <c r="E1193" s="8" t="n"/>
      <c r="F1193" s="6" t="n"/>
    </row>
    <row r="1194">
      <c r="A1194" s="6" t="n"/>
      <c r="B1194" s="6" t="n"/>
      <c r="C1194" s="6" t="n"/>
      <c r="D1194" s="6" t="n"/>
      <c r="E1194" s="8" t="n"/>
      <c r="F1194" s="6" t="n"/>
    </row>
    <row r="1195">
      <c r="A1195" s="6" t="n"/>
      <c r="B1195" s="6" t="n"/>
      <c r="C1195" s="6" t="n"/>
      <c r="D1195" s="6" t="n"/>
      <c r="E1195" s="8" t="n"/>
      <c r="F1195" s="6" t="n"/>
    </row>
    <row r="1196">
      <c r="A1196" s="6" t="n"/>
      <c r="B1196" s="6" t="n"/>
      <c r="C1196" s="6" t="n"/>
      <c r="D1196" s="6" t="n"/>
      <c r="E1196" s="8" t="n"/>
      <c r="F1196" s="6" t="n"/>
    </row>
    <row r="1197">
      <c r="A1197" s="6" t="n"/>
      <c r="B1197" s="6" t="n"/>
      <c r="C1197" s="6" t="n"/>
      <c r="D1197" s="6" t="n"/>
      <c r="E1197" s="8" t="n"/>
      <c r="F1197" s="6" t="n"/>
    </row>
    <row r="1198">
      <c r="A1198" s="6" t="n"/>
      <c r="B1198" s="6" t="n"/>
      <c r="C1198" s="6" t="n"/>
      <c r="D1198" s="6" t="n"/>
      <c r="E1198" s="8" t="n"/>
      <c r="F1198" s="6" t="n"/>
    </row>
    <row r="1199">
      <c r="A1199" s="6" t="n"/>
      <c r="B1199" s="6" t="n"/>
      <c r="C1199" s="6" t="n"/>
      <c r="D1199" s="6" t="n"/>
      <c r="E1199" s="8" t="n"/>
      <c r="F1199" s="6" t="n"/>
    </row>
    <row r="1200">
      <c r="A1200" s="6" t="n"/>
      <c r="B1200" s="6" t="n"/>
      <c r="C1200" s="6" t="n"/>
      <c r="D1200" s="6" t="n"/>
      <c r="E1200" s="8" t="n"/>
      <c r="F1200" s="6" t="n"/>
    </row>
    <row r="1201">
      <c r="A1201" s="6" t="n"/>
      <c r="B1201" s="6" t="n"/>
      <c r="C1201" s="6" t="n"/>
      <c r="D1201" s="6" t="n"/>
      <c r="E1201" s="8" t="n"/>
      <c r="F1201" s="6" t="n"/>
    </row>
    <row r="1202">
      <c r="A1202" s="6" t="n"/>
      <c r="B1202" s="6" t="n"/>
      <c r="C1202" s="6" t="n"/>
      <c r="D1202" s="6" t="n"/>
      <c r="E1202" s="8" t="n"/>
      <c r="F1202" s="6" t="n"/>
    </row>
    <row r="1203">
      <c r="A1203" s="6" t="n"/>
      <c r="B1203" s="6" t="n"/>
      <c r="C1203" s="6" t="n"/>
      <c r="D1203" s="6" t="n"/>
      <c r="E1203" s="8" t="n"/>
      <c r="F1203" s="6" t="n"/>
    </row>
    <row r="1204">
      <c r="A1204" s="6" t="n"/>
      <c r="B1204" s="6" t="n"/>
      <c r="C1204" s="6" t="n"/>
      <c r="D1204" s="6" t="n"/>
      <c r="E1204" s="8" t="n"/>
      <c r="F1204" s="6" t="n"/>
    </row>
    <row r="1205">
      <c r="A1205" s="6" t="n"/>
      <c r="B1205" s="6" t="n"/>
      <c r="C1205" s="6" t="n"/>
      <c r="D1205" s="6" t="n"/>
      <c r="E1205" s="8" t="n"/>
      <c r="F1205" s="6" t="n"/>
    </row>
    <row r="1206">
      <c r="A1206" s="6" t="n"/>
      <c r="B1206" s="6" t="n"/>
      <c r="C1206" s="6" t="n"/>
      <c r="D1206" s="6" t="n"/>
      <c r="E1206" s="8" t="n"/>
      <c r="F1206" s="6" t="n"/>
    </row>
    <row r="1207">
      <c r="A1207" s="6" t="n"/>
      <c r="B1207" s="6" t="n"/>
      <c r="C1207" s="6" t="n"/>
      <c r="D1207" s="6" t="n"/>
      <c r="E1207" s="8" t="n"/>
      <c r="F1207" s="6" t="n"/>
    </row>
    <row r="1208">
      <c r="A1208" s="6" t="n"/>
      <c r="B1208" s="6" t="n"/>
      <c r="C1208" s="6" t="n"/>
      <c r="D1208" s="6" t="n"/>
      <c r="E1208" s="8" t="n"/>
      <c r="F1208" s="6" t="n"/>
    </row>
    <row r="1209">
      <c r="A1209" s="6" t="n"/>
      <c r="B1209" s="6" t="n"/>
      <c r="C1209" s="6" t="n"/>
      <c r="D1209" s="6" t="n"/>
      <c r="E1209" s="8" t="n"/>
      <c r="F1209" s="6" t="n"/>
    </row>
    <row r="1210">
      <c r="A1210" s="6" t="n"/>
      <c r="B1210" s="6" t="n"/>
      <c r="C1210" s="6" t="n"/>
      <c r="D1210" s="6" t="n"/>
      <c r="E1210" s="8" t="n"/>
      <c r="F1210" s="6" t="n"/>
    </row>
    <row r="1211">
      <c r="A1211" s="6" t="n"/>
      <c r="B1211" s="6" t="n"/>
      <c r="C1211" s="6" t="n"/>
      <c r="D1211" s="6" t="n"/>
      <c r="E1211" s="8" t="n"/>
      <c r="F1211" s="6" t="n"/>
    </row>
    <row r="1212">
      <c r="A1212" s="6" t="n"/>
      <c r="B1212" s="6" t="n"/>
      <c r="C1212" s="6" t="n"/>
      <c r="D1212" s="6" t="n"/>
      <c r="E1212" s="8" t="n"/>
      <c r="F1212" s="6" t="n"/>
    </row>
    <row r="1213">
      <c r="A1213" s="6" t="n"/>
      <c r="B1213" s="6" t="n"/>
      <c r="C1213" s="6" t="n"/>
      <c r="D1213" s="6" t="n"/>
      <c r="E1213" s="8" t="n"/>
      <c r="F1213" s="6" t="n"/>
    </row>
    <row r="1214">
      <c r="A1214" s="6" t="n"/>
      <c r="B1214" s="6" t="n"/>
      <c r="C1214" s="6" t="n"/>
      <c r="D1214" s="6" t="n"/>
      <c r="E1214" s="8" t="n"/>
      <c r="F1214" s="6" t="n"/>
    </row>
    <row r="1215">
      <c r="A1215" s="6" t="n"/>
      <c r="B1215" s="6" t="n"/>
      <c r="C1215" s="6" t="n"/>
      <c r="D1215" s="6" t="n"/>
      <c r="E1215" s="8" t="n"/>
      <c r="F1215" s="6" t="n"/>
    </row>
    <row r="1216">
      <c r="A1216" s="6" t="n"/>
      <c r="B1216" s="6" t="n"/>
      <c r="C1216" s="6" t="n"/>
      <c r="D1216" s="6" t="n"/>
      <c r="E1216" s="8" t="n"/>
      <c r="F1216" s="6" t="n"/>
    </row>
    <row r="1217">
      <c r="A1217" s="6" t="n"/>
      <c r="B1217" s="6" t="n"/>
      <c r="C1217" s="6" t="n"/>
      <c r="D1217" s="6" t="n"/>
      <c r="E1217" s="8" t="n"/>
      <c r="F1217" s="6" t="n"/>
    </row>
    <row r="1218">
      <c r="A1218" s="6" t="n"/>
      <c r="B1218" s="6" t="n"/>
      <c r="C1218" s="6" t="n"/>
      <c r="D1218" s="6" t="n"/>
      <c r="E1218" s="8" t="n"/>
      <c r="F1218" s="6" t="n"/>
    </row>
    <row r="1219">
      <c r="A1219" s="6" t="n"/>
      <c r="B1219" s="6" t="n"/>
      <c r="C1219" s="6" t="n"/>
      <c r="D1219" s="6" t="n"/>
      <c r="E1219" s="8" t="n"/>
      <c r="F1219" s="6" t="n"/>
    </row>
    <row r="1220">
      <c r="A1220" s="6" t="n"/>
      <c r="B1220" s="6" t="n"/>
      <c r="C1220" s="6" t="n"/>
      <c r="D1220" s="6" t="n"/>
      <c r="E1220" s="8" t="n"/>
      <c r="F1220" s="6" t="n"/>
    </row>
    <row r="1221">
      <c r="A1221" s="6" t="n"/>
      <c r="B1221" s="6" t="n"/>
      <c r="C1221" s="6" t="n"/>
      <c r="D1221" s="6" t="n"/>
      <c r="E1221" s="8" t="n"/>
      <c r="F1221" s="6" t="n"/>
    </row>
    <row r="1222">
      <c r="A1222" s="6" t="n"/>
      <c r="B1222" s="6" t="n"/>
      <c r="C1222" s="6" t="n"/>
      <c r="D1222" s="6" t="n"/>
      <c r="E1222" s="8" t="n"/>
      <c r="F1222" s="6" t="n"/>
    </row>
    <row r="1223">
      <c r="A1223" s="6" t="n"/>
      <c r="B1223" s="6" t="n"/>
      <c r="C1223" s="6" t="n"/>
      <c r="D1223" s="6" t="n"/>
      <c r="E1223" s="8" t="n"/>
      <c r="F1223" s="6" t="n"/>
    </row>
    <row r="1224">
      <c r="A1224" s="6" t="n"/>
      <c r="B1224" s="6" t="n"/>
      <c r="C1224" s="6" t="n"/>
      <c r="D1224" s="6" t="n"/>
      <c r="E1224" s="8" t="n"/>
      <c r="F1224" s="6" t="n"/>
    </row>
    <row r="1225">
      <c r="A1225" s="6" t="n"/>
      <c r="B1225" s="6" t="n"/>
      <c r="C1225" s="6" t="n"/>
      <c r="D1225" s="6" t="n"/>
      <c r="E1225" s="8" t="n"/>
      <c r="F1225" s="6" t="n"/>
    </row>
    <row r="1226">
      <c r="A1226" s="6" t="n"/>
      <c r="B1226" s="6" t="n"/>
      <c r="C1226" s="6" t="n"/>
      <c r="D1226" s="6" t="n"/>
      <c r="E1226" s="8" t="n"/>
      <c r="F1226" s="6" t="n"/>
    </row>
    <row r="1227">
      <c r="A1227" s="6" t="n"/>
      <c r="B1227" s="6" t="n"/>
      <c r="C1227" s="6" t="n"/>
      <c r="D1227" s="6" t="n"/>
      <c r="E1227" s="8" t="n"/>
      <c r="F1227" s="6" t="n"/>
    </row>
    <row r="1228">
      <c r="A1228" s="6" t="n"/>
      <c r="B1228" s="6" t="n"/>
      <c r="C1228" s="6" t="n"/>
      <c r="D1228" s="6" t="n"/>
      <c r="E1228" s="8" t="n"/>
      <c r="F1228" s="6" t="n"/>
    </row>
    <row r="1229">
      <c r="A1229" s="6" t="n"/>
      <c r="B1229" s="6" t="n"/>
      <c r="C1229" s="6" t="n"/>
      <c r="D1229" s="6" t="n"/>
      <c r="E1229" s="8" t="n"/>
      <c r="F1229" s="6" t="n"/>
    </row>
    <row r="1230">
      <c r="A1230" s="6" t="n"/>
      <c r="B1230" s="6" t="n"/>
      <c r="C1230" s="6" t="n"/>
      <c r="D1230" s="6" t="n"/>
      <c r="E1230" s="8" t="n"/>
      <c r="F1230" s="6" t="n"/>
    </row>
    <row r="1231">
      <c r="A1231" s="6" t="n"/>
      <c r="B1231" s="6" t="n"/>
      <c r="C1231" s="6" t="n"/>
      <c r="D1231" s="6" t="n"/>
      <c r="E1231" s="8" t="n"/>
      <c r="F1231" s="6" t="n"/>
    </row>
    <row r="1232">
      <c r="A1232" s="6" t="n"/>
      <c r="B1232" s="6" t="n"/>
      <c r="C1232" s="6" t="n"/>
      <c r="D1232" s="6" t="n"/>
      <c r="E1232" s="8" t="n"/>
      <c r="F1232" s="6" t="n"/>
    </row>
    <row r="1233">
      <c r="A1233" s="6" t="n"/>
      <c r="B1233" s="6" t="n"/>
      <c r="C1233" s="6" t="n"/>
      <c r="D1233" s="6" t="n"/>
      <c r="E1233" s="8" t="n"/>
      <c r="F1233" s="6" t="n"/>
    </row>
    <row r="1234">
      <c r="A1234" s="6" t="n"/>
      <c r="B1234" s="6" t="n"/>
      <c r="C1234" s="6" t="n"/>
      <c r="D1234" s="6" t="n"/>
      <c r="E1234" s="8" t="n"/>
      <c r="F1234" s="6" t="n"/>
    </row>
    <row r="1235">
      <c r="A1235" s="6" t="n"/>
      <c r="B1235" s="6" t="n"/>
      <c r="C1235" s="6" t="n"/>
      <c r="D1235" s="6" t="n"/>
      <c r="E1235" s="8" t="n"/>
      <c r="F1235" s="6" t="n"/>
    </row>
    <row r="1236">
      <c r="A1236" s="6" t="n"/>
      <c r="B1236" s="6" t="n"/>
      <c r="C1236" s="6" t="n"/>
      <c r="D1236" s="6" t="n"/>
      <c r="E1236" s="8" t="n"/>
      <c r="F1236" s="6" t="n"/>
    </row>
    <row r="1237">
      <c r="A1237" s="6" t="n"/>
      <c r="B1237" s="6" t="n"/>
      <c r="C1237" s="6" t="n"/>
      <c r="D1237" s="6" t="n"/>
      <c r="E1237" s="8" t="n"/>
      <c r="F1237" s="6" t="n"/>
    </row>
    <row r="1238">
      <c r="A1238" s="6" t="n"/>
      <c r="B1238" s="6" t="n"/>
      <c r="C1238" s="6" t="n"/>
      <c r="D1238" s="6" t="n"/>
      <c r="E1238" s="8" t="n"/>
      <c r="F1238" s="6" t="n"/>
    </row>
    <row r="1239">
      <c r="A1239" s="6" t="n"/>
      <c r="B1239" s="6" t="n"/>
      <c r="C1239" s="6" t="n"/>
      <c r="D1239" s="6" t="n"/>
      <c r="E1239" s="8" t="n"/>
      <c r="F1239" s="6" t="n"/>
    </row>
    <row r="1240">
      <c r="A1240" s="6" t="n"/>
      <c r="B1240" s="6" t="n"/>
      <c r="C1240" s="6" t="n"/>
      <c r="D1240" s="6" t="n"/>
      <c r="E1240" s="8" t="n"/>
      <c r="F1240" s="6" t="n"/>
    </row>
    <row r="1241">
      <c r="A1241" s="6" t="n"/>
      <c r="B1241" s="6" t="n"/>
      <c r="C1241" s="6" t="n"/>
      <c r="D1241" s="6" t="n"/>
      <c r="E1241" s="8" t="n"/>
      <c r="F1241" s="6" t="n"/>
    </row>
    <row r="1242">
      <c r="A1242" s="6" t="n"/>
      <c r="B1242" s="6" t="n"/>
      <c r="C1242" s="6" t="n"/>
      <c r="D1242" s="6" t="n"/>
      <c r="E1242" s="8" t="n"/>
      <c r="F1242" s="6" t="n"/>
    </row>
    <row r="1243">
      <c r="A1243" s="6" t="n"/>
      <c r="B1243" s="6" t="n"/>
      <c r="C1243" s="6" t="n"/>
      <c r="D1243" s="6" t="n"/>
      <c r="E1243" s="8" t="n"/>
      <c r="F1243" s="6" t="n"/>
    </row>
    <row r="1244">
      <c r="A1244" s="6" t="n"/>
      <c r="B1244" s="6" t="n"/>
      <c r="C1244" s="6" t="n"/>
      <c r="D1244" s="6" t="n"/>
      <c r="E1244" s="8" t="n"/>
      <c r="F1244" s="6" t="n"/>
    </row>
    <row r="1245">
      <c r="A1245" s="6" t="n"/>
      <c r="B1245" s="6" t="n"/>
      <c r="C1245" s="6" t="n"/>
      <c r="D1245" s="6" t="n"/>
      <c r="E1245" s="8" t="n"/>
      <c r="F1245" s="6" t="n"/>
    </row>
    <row r="1246">
      <c r="A1246" s="6" t="n"/>
      <c r="B1246" s="6" t="n"/>
      <c r="C1246" s="6" t="n"/>
      <c r="D1246" s="6" t="n"/>
      <c r="E1246" s="8" t="n"/>
      <c r="F1246" s="6" t="n"/>
    </row>
    <row r="1247">
      <c r="A1247" s="6" t="n"/>
      <c r="B1247" s="6" t="n"/>
      <c r="C1247" s="6" t="n"/>
      <c r="D1247" s="6" t="n"/>
      <c r="E1247" s="8" t="n"/>
      <c r="F1247" s="6" t="n"/>
    </row>
    <row r="1248">
      <c r="A1248" s="6" t="n"/>
      <c r="B1248" s="6" t="n"/>
      <c r="C1248" s="6" t="n"/>
      <c r="D1248" s="6" t="n"/>
      <c r="E1248" s="8" t="n"/>
      <c r="F1248" s="6" t="n"/>
    </row>
    <row r="1249">
      <c r="A1249" s="6" t="n"/>
      <c r="B1249" s="6" t="n"/>
      <c r="C1249" s="6" t="n"/>
      <c r="D1249" s="6" t="n"/>
      <c r="E1249" s="8" t="n"/>
      <c r="F1249" s="6" t="n"/>
    </row>
    <row r="1250">
      <c r="A1250" s="6" t="n"/>
      <c r="B1250" s="6" t="n"/>
      <c r="C1250" s="6" t="n"/>
      <c r="D1250" s="6" t="n"/>
      <c r="E1250" s="8" t="n"/>
      <c r="F1250" s="6" t="n"/>
    </row>
    <row r="1251">
      <c r="A1251" s="6" t="n"/>
      <c r="B1251" s="6" t="n"/>
      <c r="C1251" s="6" t="n"/>
      <c r="D1251" s="6" t="n"/>
      <c r="E1251" s="8" t="n"/>
      <c r="F1251" s="6" t="n"/>
    </row>
    <row r="1252">
      <c r="A1252" s="6" t="n"/>
      <c r="B1252" s="6" t="n"/>
      <c r="C1252" s="6" t="n"/>
      <c r="D1252" s="6" t="n"/>
      <c r="E1252" s="8" t="n"/>
      <c r="F1252" s="6" t="n"/>
    </row>
    <row r="1253">
      <c r="A1253" s="6" t="n"/>
      <c r="B1253" s="6" t="n"/>
      <c r="C1253" s="6" t="n"/>
      <c r="D1253" s="6" t="n"/>
      <c r="E1253" s="8" t="n"/>
      <c r="F1253" s="6" t="n"/>
    </row>
    <row r="1254">
      <c r="A1254" s="6" t="n"/>
      <c r="B1254" s="6" t="n"/>
      <c r="C1254" s="6" t="n"/>
      <c r="D1254" s="6" t="n"/>
      <c r="E1254" s="8" t="n"/>
      <c r="F1254" s="6" t="n"/>
    </row>
    <row r="1255">
      <c r="A1255" s="6" t="n"/>
      <c r="B1255" s="6" t="n"/>
      <c r="C1255" s="6" t="n"/>
      <c r="D1255" s="6" t="n"/>
      <c r="E1255" s="8" t="n"/>
      <c r="F1255" s="6" t="n"/>
    </row>
    <row r="1256">
      <c r="A1256" s="6" t="n"/>
      <c r="B1256" s="6" t="n"/>
      <c r="C1256" s="6" t="n"/>
      <c r="D1256" s="6" t="n"/>
      <c r="E1256" s="8" t="n"/>
      <c r="F1256" s="6" t="n"/>
    </row>
    <row r="1257">
      <c r="A1257" s="6" t="n"/>
      <c r="B1257" s="6" t="n"/>
      <c r="C1257" s="6" t="n"/>
      <c r="D1257" s="6" t="n"/>
      <c r="E1257" s="8" t="n"/>
      <c r="F1257" s="6" t="n"/>
    </row>
    <row r="1258">
      <c r="A1258" s="6" t="n"/>
      <c r="B1258" s="6" t="n"/>
      <c r="C1258" s="6" t="n"/>
      <c r="D1258" s="6" t="n"/>
      <c r="E1258" s="8" t="n"/>
      <c r="F1258" s="6" t="n"/>
    </row>
    <row r="1259">
      <c r="A1259" s="6" t="n"/>
      <c r="B1259" s="6" t="n"/>
      <c r="C1259" s="6" t="n"/>
      <c r="D1259" s="6" t="n"/>
      <c r="E1259" s="8" t="n"/>
      <c r="F1259" s="6" t="n"/>
    </row>
    <row r="1260">
      <c r="A1260" s="6" t="n"/>
      <c r="B1260" s="6" t="n"/>
      <c r="C1260" s="6" t="n"/>
      <c r="D1260" s="6" t="n"/>
      <c r="E1260" s="8" t="n"/>
      <c r="F1260" s="6" t="n"/>
    </row>
    <row r="1261">
      <c r="A1261" s="6" t="n"/>
      <c r="B1261" s="6" t="n"/>
      <c r="C1261" s="6" t="n"/>
      <c r="D1261" s="6" t="n"/>
      <c r="E1261" s="8" t="n"/>
      <c r="F1261" s="6" t="n"/>
    </row>
    <row r="1262">
      <c r="A1262" s="6" t="n"/>
      <c r="B1262" s="6" t="n"/>
      <c r="C1262" s="6" t="n"/>
      <c r="D1262" s="6" t="n"/>
      <c r="E1262" s="8" t="n"/>
      <c r="F1262" s="6" t="n"/>
    </row>
    <row r="1263">
      <c r="A1263" s="6" t="n"/>
      <c r="B1263" s="6" t="n"/>
      <c r="C1263" s="6" t="n"/>
      <c r="D1263" s="6" t="n"/>
      <c r="E1263" s="8" t="n"/>
      <c r="F1263" s="6" t="n"/>
    </row>
    <row r="1264">
      <c r="A1264" s="6" t="n"/>
      <c r="B1264" s="6" t="n"/>
      <c r="C1264" s="6" t="n"/>
      <c r="D1264" s="6" t="n"/>
      <c r="E1264" s="8" t="n"/>
      <c r="F1264" s="6" t="n"/>
    </row>
    <row r="1265">
      <c r="A1265" s="6" t="n"/>
      <c r="B1265" s="6" t="n"/>
      <c r="C1265" s="6" t="n"/>
      <c r="D1265" s="6" t="n"/>
      <c r="E1265" s="8" t="n"/>
      <c r="F1265" s="6" t="n"/>
    </row>
    <row r="1266">
      <c r="A1266" s="6" t="n"/>
      <c r="B1266" s="6" t="n"/>
      <c r="C1266" s="6" t="n"/>
      <c r="D1266" s="6" t="n"/>
      <c r="E1266" s="8" t="n"/>
      <c r="F1266" s="6" t="n"/>
    </row>
    <row r="1267">
      <c r="A1267" s="6" t="n"/>
      <c r="B1267" s="6" t="n"/>
      <c r="C1267" s="6" t="n"/>
      <c r="D1267" s="6" t="n"/>
      <c r="E1267" s="8" t="n"/>
      <c r="F1267" s="6" t="n"/>
    </row>
    <row r="1268">
      <c r="A1268" s="6" t="n"/>
      <c r="B1268" s="6" t="n"/>
      <c r="C1268" s="6" t="n"/>
      <c r="D1268" s="6" t="n"/>
      <c r="E1268" s="8" t="n"/>
      <c r="F1268" s="6" t="n"/>
    </row>
    <row r="1269">
      <c r="A1269" s="6" t="n"/>
      <c r="B1269" s="6" t="n"/>
      <c r="C1269" s="6" t="n"/>
      <c r="D1269" s="6" t="n"/>
      <c r="E1269" s="8" t="n"/>
      <c r="F1269" s="6" t="n"/>
    </row>
    <row r="1270">
      <c r="A1270" s="6" t="n"/>
      <c r="B1270" s="6" t="n"/>
      <c r="C1270" s="6" t="n"/>
      <c r="D1270" s="6" t="n"/>
      <c r="E1270" s="8" t="n"/>
      <c r="F1270" s="6" t="n"/>
    </row>
    <row r="1271">
      <c r="A1271" s="6" t="n"/>
      <c r="B1271" s="6" t="n"/>
      <c r="C1271" s="6" t="n"/>
      <c r="D1271" s="6" t="n"/>
      <c r="E1271" s="8" t="n"/>
      <c r="F1271" s="6" t="n"/>
    </row>
    <row r="1272">
      <c r="A1272" s="6" t="n"/>
      <c r="B1272" s="6" t="n"/>
      <c r="C1272" s="6" t="n"/>
      <c r="D1272" s="6" t="n"/>
      <c r="E1272" s="8" t="n"/>
      <c r="F1272" s="6" t="n"/>
    </row>
    <row r="1273">
      <c r="A1273" s="6" t="n"/>
      <c r="B1273" s="6" t="n"/>
      <c r="C1273" s="6" t="n"/>
      <c r="D1273" s="6" t="n"/>
      <c r="E1273" s="8" t="n"/>
      <c r="F1273" s="6" t="n"/>
    </row>
    <row r="1274">
      <c r="A1274" s="6" t="n"/>
      <c r="B1274" s="6" t="n"/>
      <c r="C1274" s="6" t="n"/>
      <c r="D1274" s="6" t="n"/>
      <c r="E1274" s="8" t="n"/>
      <c r="F1274" s="6" t="n"/>
    </row>
    <row r="1275">
      <c r="A1275" s="6" t="n"/>
      <c r="B1275" s="6" t="n"/>
      <c r="C1275" s="6" t="n"/>
      <c r="D1275" s="6" t="n"/>
      <c r="E1275" s="8" t="n"/>
      <c r="F1275" s="6" t="n"/>
    </row>
    <row r="1276">
      <c r="A1276" s="6" t="n"/>
      <c r="B1276" s="6" t="n"/>
      <c r="C1276" s="6" t="n"/>
      <c r="D1276" s="6" t="n"/>
      <c r="E1276" s="8" t="n"/>
      <c r="F1276" s="6" t="n"/>
    </row>
    <row r="1277">
      <c r="A1277" s="6" t="n"/>
      <c r="B1277" s="6" t="n"/>
      <c r="C1277" s="6" t="n"/>
      <c r="D1277" s="6" t="n"/>
      <c r="E1277" s="8" t="n"/>
      <c r="F1277" s="6" t="n"/>
    </row>
    <row r="1278">
      <c r="A1278" s="6" t="n"/>
      <c r="B1278" s="6" t="n"/>
      <c r="C1278" s="6" t="n"/>
      <c r="D1278" s="6" t="n"/>
      <c r="E1278" s="8" t="n"/>
      <c r="F1278" s="6" t="n"/>
    </row>
    <row r="1279">
      <c r="A1279" s="6" t="n"/>
      <c r="B1279" s="6" t="n"/>
      <c r="C1279" s="6" t="n"/>
      <c r="D1279" s="6" t="n"/>
      <c r="E1279" s="8" t="n"/>
      <c r="F1279" s="6" t="n"/>
    </row>
    <row r="1280">
      <c r="A1280" s="6" t="n"/>
      <c r="B1280" s="6" t="n"/>
      <c r="C1280" s="6" t="n"/>
      <c r="D1280" s="6" t="n"/>
      <c r="E1280" s="8" t="n"/>
      <c r="F1280" s="6" t="n"/>
    </row>
    <row r="1281">
      <c r="A1281" s="6" t="n"/>
      <c r="B1281" s="6" t="n"/>
      <c r="C1281" s="6" t="n"/>
      <c r="D1281" s="6" t="n"/>
      <c r="E1281" s="8" t="n"/>
      <c r="F1281" s="6" t="n"/>
    </row>
    <row r="1282">
      <c r="A1282" s="6" t="n"/>
      <c r="B1282" s="6" t="n"/>
      <c r="C1282" s="6" t="n"/>
      <c r="D1282" s="6" t="n"/>
      <c r="E1282" s="8" t="n"/>
      <c r="F1282" s="6" t="n"/>
    </row>
    <row r="1283">
      <c r="A1283" s="6" t="n"/>
      <c r="B1283" s="6" t="n"/>
      <c r="C1283" s="6" t="n"/>
      <c r="D1283" s="6" t="n"/>
      <c r="E1283" s="8" t="n"/>
      <c r="F1283" s="6" t="n"/>
    </row>
    <row r="1284">
      <c r="A1284" s="6" t="n"/>
      <c r="B1284" s="6" t="n"/>
      <c r="C1284" s="6" t="n"/>
      <c r="D1284" s="6" t="n"/>
      <c r="E1284" s="8" t="n"/>
      <c r="F1284" s="6" t="n"/>
    </row>
    <row r="1285">
      <c r="A1285" s="6" t="n"/>
      <c r="B1285" s="6" t="n"/>
      <c r="C1285" s="6" t="n"/>
      <c r="D1285" s="6" t="n"/>
      <c r="E1285" s="8" t="n"/>
      <c r="F1285" s="6" t="n"/>
    </row>
    <row r="1286">
      <c r="A1286" s="6" t="n"/>
      <c r="B1286" s="6" t="n"/>
      <c r="C1286" s="6" t="n"/>
      <c r="D1286" s="6" t="n"/>
      <c r="E1286" s="8" t="n"/>
      <c r="F1286" s="6" t="n"/>
    </row>
    <row r="1287">
      <c r="A1287" s="6" t="n"/>
      <c r="B1287" s="6" t="n"/>
      <c r="C1287" s="6" t="n"/>
      <c r="D1287" s="6" t="n"/>
      <c r="E1287" s="8" t="n"/>
      <c r="F1287" s="6" t="n"/>
    </row>
    <row r="1288">
      <c r="A1288" s="6" t="n"/>
      <c r="B1288" s="6" t="n"/>
      <c r="C1288" s="6" t="n"/>
      <c r="D1288" s="6" t="n"/>
      <c r="E1288" s="8" t="n"/>
      <c r="F1288" s="6" t="n"/>
    </row>
    <row r="1289">
      <c r="A1289" s="6" t="n"/>
      <c r="B1289" s="6" t="n"/>
      <c r="C1289" s="6" t="n"/>
      <c r="D1289" s="6" t="n"/>
      <c r="E1289" s="8" t="n"/>
      <c r="F1289" s="6" t="n"/>
    </row>
    <row r="1290">
      <c r="A1290" s="6" t="n"/>
      <c r="B1290" s="6" t="n"/>
      <c r="C1290" s="6" t="n"/>
      <c r="D1290" s="6" t="n"/>
      <c r="E1290" s="8" t="n"/>
      <c r="F1290" s="6" t="n"/>
    </row>
    <row r="1291">
      <c r="A1291" s="6" t="n"/>
      <c r="B1291" s="6" t="n"/>
      <c r="C1291" s="6" t="n"/>
      <c r="D1291" s="6" t="n"/>
      <c r="E1291" s="8" t="n"/>
      <c r="F1291" s="6" t="n"/>
    </row>
    <row r="1292">
      <c r="A1292" s="6" t="n"/>
      <c r="B1292" s="6" t="n"/>
      <c r="C1292" s="6" t="n"/>
      <c r="D1292" s="6" t="n"/>
      <c r="E1292" s="8" t="n"/>
      <c r="F1292" s="6" t="n"/>
    </row>
    <row r="1293">
      <c r="A1293" s="6" t="n"/>
      <c r="B1293" s="6" t="n"/>
      <c r="C1293" s="6" t="n"/>
      <c r="D1293" s="6" t="n"/>
      <c r="E1293" s="8" t="n"/>
      <c r="F1293" s="6" t="n"/>
    </row>
    <row r="1294">
      <c r="A1294" s="6" t="n"/>
      <c r="B1294" s="6" t="n"/>
      <c r="C1294" s="6" t="n"/>
      <c r="D1294" s="6" t="n"/>
      <c r="E1294" s="8" t="n"/>
      <c r="F1294" s="6" t="n"/>
    </row>
    <row r="1295">
      <c r="A1295" s="6" t="n"/>
      <c r="B1295" s="6" t="n"/>
      <c r="C1295" s="6" t="n"/>
      <c r="D1295" s="6" t="n"/>
      <c r="E1295" s="8" t="n"/>
      <c r="F1295" s="6" t="n"/>
    </row>
    <row r="1296">
      <c r="A1296" s="6" t="n"/>
      <c r="B1296" s="6" t="n"/>
      <c r="C1296" s="6" t="n"/>
      <c r="D1296" s="6" t="n"/>
      <c r="E1296" s="8" t="n"/>
      <c r="F1296" s="6" t="n"/>
    </row>
    <row r="1297">
      <c r="A1297" s="6" t="n"/>
      <c r="B1297" s="6" t="n"/>
      <c r="C1297" s="6" t="n"/>
      <c r="D1297" s="6" t="n"/>
      <c r="E1297" s="8" t="n"/>
      <c r="F1297" s="6" t="n"/>
    </row>
    <row r="1298">
      <c r="A1298" s="6" t="n"/>
      <c r="B1298" s="6" t="n"/>
      <c r="C1298" s="6" t="n"/>
      <c r="D1298" s="6" t="n"/>
      <c r="E1298" s="8" t="n"/>
      <c r="F1298" s="6" t="n"/>
    </row>
    <row r="1299">
      <c r="A1299" s="6" t="n"/>
      <c r="B1299" s="6" t="n"/>
      <c r="C1299" s="6" t="n"/>
      <c r="D1299" s="6" t="n"/>
      <c r="E1299" s="8" t="n"/>
      <c r="F1299" s="6" t="n"/>
    </row>
    <row r="1300">
      <c r="A1300" s="6" t="n"/>
      <c r="B1300" s="6" t="n"/>
      <c r="C1300" s="6" t="n"/>
      <c r="D1300" s="6" t="n"/>
      <c r="E1300" s="8" t="n"/>
      <c r="F1300" s="6" t="n"/>
    </row>
    <row r="1301">
      <c r="A1301" s="6" t="n"/>
      <c r="B1301" s="6" t="n"/>
      <c r="C1301" s="6" t="n"/>
      <c r="D1301" s="6" t="n"/>
      <c r="E1301" s="8" t="n"/>
      <c r="F1301" s="6" t="n"/>
    </row>
    <row r="1302">
      <c r="A1302" s="6" t="n"/>
      <c r="B1302" s="6" t="n"/>
      <c r="C1302" s="6" t="n"/>
      <c r="D1302" s="6" t="n"/>
      <c r="E1302" s="8" t="n"/>
      <c r="F1302" s="6" t="n"/>
    </row>
    <row r="1303">
      <c r="A1303" s="6" t="n"/>
      <c r="B1303" s="6" t="n"/>
      <c r="C1303" s="6" t="n"/>
      <c r="D1303" s="6" t="n"/>
      <c r="E1303" s="8" t="n"/>
      <c r="F1303" s="6" t="n"/>
    </row>
    <row r="1304">
      <c r="A1304" s="6" t="n"/>
      <c r="B1304" s="6" t="n"/>
      <c r="C1304" s="6" t="n"/>
      <c r="D1304" s="6" t="n"/>
      <c r="E1304" s="8" t="n"/>
      <c r="F1304" s="6" t="n"/>
    </row>
    <row r="1305">
      <c r="A1305" s="6" t="n"/>
      <c r="B1305" s="6" t="n"/>
      <c r="C1305" s="6" t="n"/>
      <c r="D1305" s="6" t="n"/>
      <c r="E1305" s="8" t="n"/>
      <c r="F1305" s="6" t="n"/>
    </row>
    <row r="1306">
      <c r="A1306" s="6" t="n"/>
      <c r="B1306" s="6" t="n"/>
      <c r="C1306" s="6" t="n"/>
      <c r="D1306" s="6" t="n"/>
      <c r="E1306" s="8" t="n"/>
      <c r="F1306" s="6" t="n"/>
    </row>
    <row r="1307">
      <c r="A1307" s="6" t="n"/>
      <c r="B1307" s="6" t="n"/>
      <c r="C1307" s="6" t="n"/>
      <c r="D1307" s="6" t="n"/>
      <c r="E1307" s="8" t="n"/>
      <c r="F1307" s="6" t="n"/>
    </row>
    <row r="1308">
      <c r="A1308" s="6" t="n"/>
      <c r="B1308" s="6" t="n"/>
      <c r="C1308" s="6" t="n"/>
      <c r="D1308" s="6" t="n"/>
      <c r="E1308" s="8" t="n"/>
      <c r="F1308" s="6" t="n"/>
    </row>
    <row r="1309">
      <c r="A1309" s="6" t="n"/>
      <c r="B1309" s="6" t="n"/>
      <c r="C1309" s="6" t="n"/>
      <c r="D1309" s="6" t="n"/>
      <c r="E1309" s="8" t="n"/>
      <c r="F1309" s="6" t="n"/>
    </row>
    <row r="1310">
      <c r="A1310" s="6" t="n"/>
      <c r="B1310" s="6" t="n"/>
      <c r="C1310" s="6" t="n"/>
      <c r="D1310" s="6" t="n"/>
      <c r="E1310" s="8" t="n"/>
      <c r="F1310" s="6" t="n"/>
    </row>
    <row r="1311">
      <c r="A1311" s="6" t="n"/>
      <c r="B1311" s="6" t="n"/>
      <c r="C1311" s="6" t="n"/>
      <c r="D1311" s="6" t="n"/>
      <c r="E1311" s="8" t="n"/>
      <c r="F1311" s="6" t="n"/>
    </row>
    <row r="1312">
      <c r="A1312" s="6" t="n"/>
      <c r="B1312" s="6" t="n"/>
      <c r="C1312" s="6" t="n"/>
      <c r="D1312" s="6" t="n"/>
      <c r="E1312" s="8" t="n"/>
      <c r="F1312" s="6" t="n"/>
    </row>
    <row r="1313">
      <c r="A1313" s="6" t="n"/>
      <c r="B1313" s="6" t="n"/>
      <c r="C1313" s="6" t="n"/>
      <c r="D1313" s="6" t="n"/>
      <c r="E1313" s="8" t="n"/>
      <c r="F1313" s="6" t="n"/>
    </row>
    <row r="1314">
      <c r="A1314" s="6" t="n"/>
      <c r="B1314" s="6" t="n"/>
      <c r="C1314" s="6" t="n"/>
      <c r="D1314" s="6" t="n"/>
      <c r="E1314" s="8" t="n"/>
      <c r="F1314" s="6" t="n"/>
    </row>
    <row r="1315">
      <c r="A1315" s="6" t="n"/>
      <c r="B1315" s="6" t="n"/>
      <c r="C1315" s="6" t="n"/>
      <c r="D1315" s="6" t="n"/>
      <c r="E1315" s="8" t="n"/>
      <c r="F1315" s="6" t="n"/>
    </row>
    <row r="1316">
      <c r="A1316" s="6" t="n"/>
      <c r="B1316" s="6" t="n"/>
      <c r="C1316" s="6" t="n"/>
      <c r="D1316" s="6" t="n"/>
      <c r="E1316" s="8" t="n"/>
      <c r="F1316" s="6" t="n"/>
    </row>
    <row r="1317">
      <c r="A1317" s="6" t="n"/>
      <c r="B1317" s="6" t="n"/>
      <c r="C1317" s="6" t="n"/>
      <c r="D1317" s="6" t="n"/>
      <c r="E1317" s="8" t="n"/>
      <c r="F1317" s="6" t="n"/>
    </row>
    <row r="1318">
      <c r="A1318" s="6" t="n"/>
      <c r="B1318" s="6" t="n"/>
      <c r="C1318" s="6" t="n"/>
      <c r="D1318" s="6" t="n"/>
      <c r="E1318" s="8" t="n"/>
      <c r="F1318" s="6" t="n"/>
    </row>
    <row r="1319">
      <c r="A1319" s="6" t="n"/>
      <c r="B1319" s="6" t="n"/>
      <c r="C1319" s="6" t="n"/>
      <c r="D1319" s="6" t="n"/>
      <c r="E1319" s="8" t="n"/>
      <c r="F1319" s="6" t="n"/>
    </row>
    <row r="1320">
      <c r="A1320" s="6" t="n"/>
      <c r="B1320" s="6" t="n"/>
      <c r="C1320" s="6" t="n"/>
      <c r="D1320" s="6" t="n"/>
      <c r="E1320" s="8" t="n"/>
      <c r="F1320" s="6" t="n"/>
    </row>
    <row r="1321">
      <c r="A1321" s="6" t="n"/>
      <c r="B1321" s="6" t="n"/>
      <c r="C1321" s="6" t="n"/>
      <c r="D1321" s="6" t="n"/>
      <c r="E1321" s="8" t="n"/>
      <c r="F1321" s="6" t="n"/>
    </row>
    <row r="1322">
      <c r="A1322" s="6" t="n"/>
      <c r="B1322" s="6" t="n"/>
      <c r="C1322" s="6" t="n"/>
      <c r="D1322" s="6" t="n"/>
      <c r="E1322" s="8" t="n"/>
      <c r="F1322" s="6" t="n"/>
    </row>
    <row r="1323">
      <c r="A1323" s="6" t="n"/>
      <c r="B1323" s="6" t="n"/>
      <c r="C1323" s="6" t="n"/>
      <c r="D1323" s="6" t="n"/>
      <c r="E1323" s="8" t="n"/>
      <c r="F1323" s="6" t="n"/>
    </row>
    <row r="1324">
      <c r="A1324" s="6" t="n"/>
      <c r="B1324" s="6" t="n"/>
      <c r="C1324" s="6" t="n"/>
      <c r="D1324" s="6" t="n"/>
      <c r="E1324" s="8" t="n"/>
      <c r="F1324" s="6" t="n"/>
    </row>
    <row r="1325">
      <c r="A1325" s="6" t="n"/>
      <c r="B1325" s="6" t="n"/>
      <c r="C1325" s="6" t="n"/>
      <c r="D1325" s="6" t="n"/>
      <c r="E1325" s="8" t="n"/>
      <c r="F1325" s="6" t="n"/>
    </row>
    <row r="1326">
      <c r="A1326" s="6" t="n"/>
      <c r="B1326" s="6" t="n"/>
      <c r="C1326" s="6" t="n"/>
      <c r="D1326" s="6" t="n"/>
      <c r="E1326" s="8" t="n"/>
      <c r="F1326" s="6" t="n"/>
    </row>
    <row r="1327">
      <c r="A1327" s="6" t="n"/>
      <c r="B1327" s="6" t="n"/>
      <c r="C1327" s="6" t="n"/>
      <c r="D1327" s="6" t="n"/>
      <c r="E1327" s="8" t="n"/>
      <c r="F1327" s="6" t="n"/>
    </row>
    <row r="1328">
      <c r="A1328" s="6" t="n"/>
      <c r="B1328" s="6" t="n"/>
      <c r="C1328" s="6" t="n"/>
      <c r="D1328" s="6" t="n"/>
      <c r="E1328" s="8" t="n"/>
      <c r="F1328" s="6" t="n"/>
    </row>
    <row r="1329">
      <c r="A1329" s="6" t="n"/>
      <c r="B1329" s="6" t="n"/>
      <c r="C1329" s="6" t="n"/>
      <c r="D1329" s="6" t="n"/>
      <c r="E1329" s="8" t="n"/>
      <c r="F1329" s="6" t="n"/>
    </row>
    <row r="1330">
      <c r="A1330" s="6" t="n"/>
      <c r="B1330" s="6" t="n"/>
      <c r="C1330" s="6" t="n"/>
      <c r="D1330" s="6" t="n"/>
      <c r="E1330" s="8" t="n"/>
      <c r="F1330" s="6" t="n"/>
    </row>
    <row r="1331">
      <c r="A1331" s="6" t="n"/>
      <c r="B1331" s="6" t="n"/>
      <c r="C1331" s="6" t="n"/>
      <c r="D1331" s="6" t="n"/>
      <c r="E1331" s="8" t="n"/>
      <c r="F1331" s="6" t="n"/>
    </row>
    <row r="1332">
      <c r="A1332" s="6" t="n"/>
      <c r="B1332" s="6" t="n"/>
      <c r="C1332" s="6" t="n"/>
      <c r="D1332" s="6" t="n"/>
      <c r="E1332" s="8" t="n"/>
      <c r="F1332" s="6" t="n"/>
    </row>
    <row r="1333">
      <c r="A1333" s="6" t="n"/>
      <c r="B1333" s="6" t="n"/>
      <c r="C1333" s="6" t="n"/>
      <c r="D1333" s="6" t="n"/>
      <c r="E1333" s="8" t="n"/>
      <c r="F1333" s="6" t="n"/>
    </row>
    <row r="1334">
      <c r="A1334" s="6" t="n"/>
      <c r="B1334" s="6" t="n"/>
      <c r="C1334" s="6" t="n"/>
      <c r="D1334" s="6" t="n"/>
      <c r="E1334" s="8" t="n"/>
      <c r="F1334" s="6" t="n"/>
    </row>
    <row r="1335">
      <c r="A1335" s="6" t="n"/>
      <c r="B1335" s="6" t="n"/>
      <c r="C1335" s="6" t="n"/>
      <c r="D1335" s="6" t="n"/>
      <c r="E1335" s="8" t="n"/>
      <c r="F1335" s="6" t="n"/>
    </row>
    <row r="1336">
      <c r="A1336" s="6" t="n"/>
      <c r="B1336" s="6" t="n"/>
      <c r="C1336" s="6" t="n"/>
      <c r="D1336" s="6" t="n"/>
      <c r="E1336" s="8" t="n"/>
      <c r="F1336" s="6" t="n"/>
    </row>
    <row r="1337">
      <c r="A1337" s="6" t="n"/>
      <c r="B1337" s="6" t="n"/>
      <c r="C1337" s="6" t="n"/>
      <c r="D1337" s="6" t="n"/>
      <c r="E1337" s="8" t="n"/>
      <c r="F1337" s="6" t="n"/>
    </row>
    <row r="1338">
      <c r="A1338" s="6" t="n"/>
      <c r="B1338" s="6" t="n"/>
      <c r="C1338" s="6" t="n"/>
      <c r="D1338" s="6" t="n"/>
      <c r="E1338" s="8" t="n"/>
      <c r="F1338" s="6" t="n"/>
    </row>
    <row r="1339">
      <c r="A1339" s="6" t="n"/>
      <c r="B1339" s="6" t="n"/>
      <c r="C1339" s="6" t="n"/>
      <c r="D1339" s="6" t="n"/>
      <c r="E1339" s="8" t="n"/>
      <c r="F1339" s="6" t="n"/>
    </row>
    <row r="1340">
      <c r="A1340" s="6" t="n"/>
      <c r="B1340" s="6" t="n"/>
      <c r="C1340" s="6" t="n"/>
      <c r="D1340" s="6" t="n"/>
      <c r="E1340" s="8" t="n"/>
      <c r="F1340" s="6" t="n"/>
    </row>
    <row r="1341">
      <c r="A1341" s="6" t="n"/>
      <c r="B1341" s="6" t="n"/>
      <c r="C1341" s="6" t="n"/>
      <c r="D1341" s="6" t="n"/>
      <c r="E1341" s="8" t="n"/>
      <c r="F1341" s="6" t="n"/>
    </row>
    <row r="1342">
      <c r="A1342" s="6" t="n"/>
      <c r="B1342" s="6" t="n"/>
      <c r="C1342" s="6" t="n"/>
      <c r="D1342" s="6" t="n"/>
      <c r="E1342" s="8" t="n"/>
      <c r="F1342" s="6" t="n"/>
    </row>
    <row r="1343">
      <c r="A1343" s="6" t="n"/>
      <c r="B1343" s="6" t="n"/>
      <c r="C1343" s="6" t="n"/>
      <c r="D1343" s="6" t="n"/>
      <c r="E1343" s="8" t="n"/>
      <c r="F1343" s="6" t="n"/>
    </row>
    <row r="1344">
      <c r="A1344" s="6" t="n"/>
      <c r="B1344" s="6" t="n"/>
      <c r="C1344" s="6" t="n"/>
      <c r="D1344" s="6" t="n"/>
      <c r="E1344" s="8" t="n"/>
      <c r="F1344" s="6" t="n"/>
    </row>
    <row r="1345">
      <c r="A1345" s="6" t="n"/>
      <c r="B1345" s="6" t="n"/>
      <c r="C1345" s="6" t="n"/>
      <c r="D1345" s="6" t="n"/>
      <c r="E1345" s="8" t="n"/>
      <c r="F1345" s="6" t="n"/>
    </row>
    <row r="1346">
      <c r="A1346" s="6" t="n"/>
      <c r="B1346" s="6" t="n"/>
      <c r="C1346" s="6" t="n"/>
      <c r="D1346" s="6" t="n"/>
      <c r="E1346" s="8" t="n"/>
      <c r="F1346" s="6" t="n"/>
    </row>
    <row r="1347">
      <c r="A1347" s="6" t="n"/>
      <c r="B1347" s="6" t="n"/>
      <c r="C1347" s="6" t="n"/>
      <c r="D1347" s="6" t="n"/>
      <c r="E1347" s="8" t="n"/>
      <c r="F1347" s="6" t="n"/>
    </row>
    <row r="1348">
      <c r="A1348" s="6" t="n"/>
      <c r="B1348" s="6" t="n"/>
      <c r="C1348" s="6" t="n"/>
      <c r="D1348" s="6" t="n"/>
      <c r="E1348" s="8" t="n"/>
      <c r="F1348" s="6" t="n"/>
    </row>
    <row r="1349">
      <c r="A1349" s="6" t="n"/>
      <c r="B1349" s="6" t="n"/>
      <c r="C1349" s="6" t="n"/>
      <c r="D1349" s="6" t="n"/>
      <c r="E1349" s="8" t="n"/>
      <c r="F1349" s="6" t="n"/>
    </row>
    <row r="1350">
      <c r="A1350" s="6" t="n"/>
      <c r="B1350" s="6" t="n"/>
      <c r="C1350" s="6" t="n"/>
      <c r="D1350" s="6" t="n"/>
      <c r="E1350" s="8" t="n"/>
      <c r="F1350" s="6" t="n"/>
    </row>
    <row r="1351">
      <c r="A1351" s="6" t="n"/>
      <c r="B1351" s="6" t="n"/>
      <c r="C1351" s="6" t="n"/>
      <c r="D1351" s="6" t="n"/>
      <c r="E1351" s="8" t="n"/>
      <c r="F1351" s="6" t="n"/>
    </row>
    <row r="1352">
      <c r="A1352" s="6" t="n"/>
      <c r="B1352" s="6" t="n"/>
      <c r="C1352" s="6" t="n"/>
      <c r="D1352" s="6" t="n"/>
      <c r="E1352" s="8" t="n"/>
      <c r="F1352" s="6" t="n"/>
    </row>
    <row r="1353">
      <c r="A1353" s="6" t="n"/>
      <c r="B1353" s="6" t="n"/>
      <c r="C1353" s="6" t="n"/>
      <c r="D1353" s="6" t="n"/>
      <c r="E1353" s="8" t="n"/>
      <c r="F1353" s="6" t="n"/>
    </row>
    <row r="1354">
      <c r="A1354" s="6" t="n"/>
      <c r="B1354" s="6" t="n"/>
      <c r="C1354" s="6" t="n"/>
      <c r="D1354" s="6" t="n"/>
      <c r="E1354" s="8" t="n"/>
      <c r="F1354" s="6" t="n"/>
    </row>
    <row r="1355">
      <c r="A1355" s="6" t="n"/>
      <c r="B1355" s="6" t="n"/>
      <c r="C1355" s="6" t="n"/>
      <c r="D1355" s="6" t="n"/>
      <c r="E1355" s="8" t="n"/>
      <c r="F1355" s="6" t="n"/>
    </row>
    <row r="1356">
      <c r="A1356" s="6" t="n"/>
      <c r="B1356" s="6" t="n"/>
      <c r="C1356" s="6" t="n"/>
      <c r="D1356" s="6" t="n"/>
      <c r="E1356" s="8" t="n"/>
      <c r="F1356" s="6" t="n"/>
    </row>
    <row r="1357">
      <c r="A1357" s="6" t="n"/>
      <c r="B1357" s="6" t="n"/>
      <c r="C1357" s="6" t="n"/>
      <c r="D1357" s="6" t="n"/>
      <c r="E1357" s="8" t="n"/>
      <c r="F1357" s="6" t="n"/>
    </row>
    <row r="1358">
      <c r="A1358" s="6" t="n"/>
      <c r="B1358" s="6" t="n"/>
      <c r="C1358" s="6" t="n"/>
      <c r="D1358" s="6" t="n"/>
      <c r="E1358" s="8" t="n"/>
      <c r="F1358" s="6" t="n"/>
    </row>
    <row r="1359">
      <c r="A1359" s="6" t="n"/>
      <c r="B1359" s="6" t="n"/>
      <c r="C1359" s="6" t="n"/>
      <c r="D1359" s="6" t="n"/>
      <c r="E1359" s="8" t="n"/>
      <c r="F1359" s="6" t="n"/>
    </row>
    <row r="1360">
      <c r="A1360" s="6" t="n"/>
      <c r="B1360" s="6" t="n"/>
      <c r="C1360" s="6" t="n"/>
      <c r="D1360" s="6" t="n"/>
      <c r="E1360" s="8" t="n"/>
      <c r="F1360" s="6" t="n"/>
    </row>
    <row r="1361">
      <c r="A1361" s="6" t="n"/>
      <c r="B1361" s="6" t="n"/>
      <c r="C1361" s="6" t="n"/>
      <c r="D1361" s="6" t="n"/>
      <c r="E1361" s="8" t="n"/>
      <c r="F1361" s="6" t="n"/>
    </row>
    <row r="1362">
      <c r="A1362" s="6" t="n"/>
      <c r="B1362" s="6" t="n"/>
      <c r="C1362" s="6" t="n"/>
      <c r="D1362" s="6" t="n"/>
      <c r="E1362" s="8" t="n"/>
      <c r="F1362" s="6" t="n"/>
    </row>
    <row r="1363">
      <c r="A1363" s="6" t="n"/>
      <c r="B1363" s="6" t="n"/>
      <c r="C1363" s="6" t="n"/>
      <c r="D1363" s="6" t="n"/>
      <c r="E1363" s="8" t="n"/>
      <c r="F1363" s="6" t="n"/>
    </row>
    <row r="1364">
      <c r="A1364" s="6" t="n"/>
      <c r="B1364" s="6" t="n"/>
      <c r="C1364" s="6" t="n"/>
      <c r="D1364" s="6" t="n"/>
      <c r="E1364" s="8" t="n"/>
      <c r="F1364" s="6" t="n"/>
    </row>
    <row r="1365">
      <c r="A1365" s="6" t="n"/>
      <c r="B1365" s="6" t="n"/>
      <c r="C1365" s="6" t="n"/>
      <c r="D1365" s="6" t="n"/>
      <c r="E1365" s="8" t="n"/>
      <c r="F1365" s="6" t="n"/>
    </row>
    <row r="1366">
      <c r="A1366" s="6" t="n"/>
      <c r="B1366" s="6" t="n"/>
      <c r="C1366" s="6" t="n"/>
      <c r="D1366" s="6" t="n"/>
      <c r="E1366" s="8" t="n"/>
      <c r="F1366" s="6" t="n"/>
    </row>
    <row r="1367">
      <c r="A1367" s="6" t="n"/>
      <c r="B1367" s="6" t="n"/>
      <c r="C1367" s="6" t="n"/>
      <c r="D1367" s="6" t="n"/>
      <c r="E1367" s="8" t="n"/>
      <c r="F1367" s="6" t="n"/>
    </row>
    <row r="1368">
      <c r="A1368" s="6" t="n"/>
      <c r="B1368" s="6" t="n"/>
      <c r="C1368" s="6" t="n"/>
      <c r="D1368" s="6" t="n"/>
      <c r="E1368" s="8" t="n"/>
      <c r="F1368" s="6" t="n"/>
    </row>
    <row r="1369">
      <c r="A1369" s="6" t="n"/>
      <c r="B1369" s="6" t="n"/>
      <c r="C1369" s="6" t="n"/>
      <c r="D1369" s="6" t="n"/>
      <c r="E1369" s="8" t="n"/>
      <c r="F1369" s="6" t="n"/>
    </row>
    <row r="1370">
      <c r="A1370" s="6" t="n"/>
      <c r="B1370" s="6" t="n"/>
      <c r="C1370" s="6" t="n"/>
      <c r="D1370" s="6" t="n"/>
      <c r="E1370" s="8" t="n"/>
      <c r="F1370" s="6" t="n"/>
    </row>
    <row r="1371">
      <c r="A1371" s="6" t="n"/>
      <c r="B1371" s="6" t="n"/>
      <c r="C1371" s="6" t="n"/>
      <c r="D1371" s="6" t="n"/>
      <c r="E1371" s="8" t="n"/>
      <c r="F1371" s="6" t="n"/>
    </row>
    <row r="1372">
      <c r="A1372" s="6" t="n"/>
      <c r="B1372" s="6" t="n"/>
      <c r="C1372" s="6" t="n"/>
      <c r="D1372" s="6" t="n"/>
      <c r="E1372" s="8" t="n"/>
      <c r="F1372" s="6" t="n"/>
    </row>
    <row r="1373">
      <c r="A1373" s="6" t="n"/>
      <c r="B1373" s="6" t="n"/>
      <c r="C1373" s="6" t="n"/>
      <c r="D1373" s="6" t="n"/>
      <c r="E1373" s="8" t="n"/>
      <c r="F1373" s="6" t="n"/>
    </row>
    <row r="1374">
      <c r="A1374" s="6" t="n"/>
      <c r="B1374" s="6" t="n"/>
      <c r="C1374" s="6" t="n"/>
      <c r="D1374" s="6" t="n"/>
      <c r="E1374" s="8" t="n"/>
      <c r="F1374" s="6" t="n"/>
    </row>
    <row r="1375">
      <c r="A1375" s="6" t="n"/>
      <c r="B1375" s="6" t="n"/>
      <c r="C1375" s="6" t="n"/>
      <c r="D1375" s="6" t="n"/>
      <c r="E1375" s="8" t="n"/>
      <c r="F1375" s="6" t="n"/>
    </row>
    <row r="1376">
      <c r="A1376" s="6" t="n"/>
      <c r="B1376" s="6" t="n"/>
      <c r="C1376" s="6" t="n"/>
      <c r="D1376" s="6" t="n"/>
      <c r="E1376" s="8" t="n"/>
      <c r="F1376" s="6" t="n"/>
    </row>
    <row r="1377">
      <c r="A1377" s="6" t="n"/>
      <c r="B1377" s="6" t="n"/>
      <c r="C1377" s="6" t="n"/>
      <c r="D1377" s="6" t="n"/>
      <c r="E1377" s="8" t="n"/>
      <c r="F1377" s="6" t="n"/>
    </row>
    <row r="1378">
      <c r="A1378" s="6" t="n"/>
      <c r="B1378" s="6" t="n"/>
      <c r="C1378" s="6" t="n"/>
      <c r="D1378" s="6" t="n"/>
      <c r="E1378" s="8" t="n"/>
      <c r="F1378" s="6" t="n"/>
    </row>
    <row r="1379">
      <c r="A1379" s="6" t="n"/>
      <c r="B1379" s="6" t="n"/>
      <c r="C1379" s="6" t="n"/>
      <c r="D1379" s="6" t="n"/>
      <c r="E1379" s="8" t="n"/>
      <c r="F1379" s="6" t="n"/>
    </row>
    <row r="1380">
      <c r="A1380" s="6" t="n"/>
      <c r="B1380" s="6" t="n"/>
      <c r="C1380" s="6" t="n"/>
      <c r="D1380" s="6" t="n"/>
      <c r="E1380" s="8" t="n"/>
      <c r="F1380" s="6" t="n"/>
    </row>
    <row r="1381">
      <c r="A1381" s="6" t="n"/>
      <c r="B1381" s="6" t="n"/>
      <c r="C1381" s="6" t="n"/>
      <c r="D1381" s="6" t="n"/>
      <c r="E1381" s="8" t="n"/>
      <c r="F1381" s="6" t="n"/>
    </row>
    <row r="1382">
      <c r="A1382" s="6" t="n"/>
      <c r="B1382" s="6" t="n"/>
      <c r="C1382" s="6" t="n"/>
      <c r="D1382" s="6" t="n"/>
      <c r="E1382" s="8" t="n"/>
      <c r="F1382" s="6" t="n"/>
    </row>
    <row r="1383">
      <c r="A1383" s="6" t="n"/>
      <c r="B1383" s="6" t="n"/>
      <c r="C1383" s="6" t="n"/>
      <c r="D1383" s="6" t="n"/>
      <c r="E1383" s="8" t="n"/>
      <c r="F1383" s="6" t="n"/>
    </row>
    <row r="1384">
      <c r="A1384" s="6" t="n"/>
      <c r="B1384" s="6" t="n"/>
      <c r="C1384" s="6" t="n"/>
      <c r="D1384" s="6" t="n"/>
      <c r="E1384" s="8" t="n"/>
      <c r="F1384" s="6" t="n"/>
    </row>
    <row r="1385">
      <c r="A1385" s="6" t="n"/>
      <c r="B1385" s="6" t="n"/>
      <c r="C1385" s="6" t="n"/>
      <c r="D1385" s="6" t="n"/>
      <c r="E1385" s="8" t="n"/>
      <c r="F1385" s="6" t="n"/>
    </row>
    <row r="1386">
      <c r="A1386" s="6" t="n"/>
      <c r="B1386" s="6" t="n"/>
      <c r="C1386" s="6" t="n"/>
      <c r="D1386" s="6" t="n"/>
      <c r="E1386" s="8" t="n"/>
      <c r="F1386" s="6" t="n"/>
    </row>
    <row r="1387">
      <c r="A1387" s="6" t="n"/>
      <c r="B1387" s="6" t="n"/>
      <c r="C1387" s="6" t="n"/>
      <c r="D1387" s="6" t="n"/>
      <c r="E1387" s="8" t="n"/>
      <c r="F1387" s="6" t="n"/>
    </row>
    <row r="1388">
      <c r="A1388" s="6" t="n"/>
      <c r="B1388" s="6" t="n"/>
      <c r="C1388" s="6" t="n"/>
      <c r="D1388" s="6" t="n"/>
      <c r="E1388" s="8" t="n"/>
      <c r="F1388" s="6" t="n"/>
    </row>
    <row r="1389">
      <c r="A1389" s="6" t="n"/>
      <c r="B1389" s="6" t="n"/>
      <c r="C1389" s="6" t="n"/>
      <c r="D1389" s="6" t="n"/>
      <c r="E1389" s="8" t="n"/>
      <c r="F1389" s="6" t="n"/>
    </row>
    <row r="1390">
      <c r="A1390" s="6" t="n"/>
      <c r="B1390" s="6" t="n"/>
      <c r="C1390" s="6" t="n"/>
      <c r="D1390" s="6" t="n"/>
      <c r="E1390" s="8" t="n"/>
      <c r="F1390" s="6" t="n"/>
    </row>
    <row r="1391">
      <c r="A1391" s="6" t="n"/>
      <c r="B1391" s="6" t="n"/>
      <c r="C1391" s="6" t="n"/>
      <c r="D1391" s="6" t="n"/>
      <c r="E1391" s="8" t="n"/>
      <c r="F1391" s="6" t="n"/>
    </row>
    <row r="1392">
      <c r="A1392" s="6" t="n"/>
      <c r="B1392" s="6" t="n"/>
      <c r="C1392" s="6" t="n"/>
      <c r="D1392" s="6" t="n"/>
      <c r="E1392" s="8" t="n"/>
      <c r="F1392" s="6" t="n"/>
    </row>
    <row r="1393">
      <c r="A1393" s="6" t="n"/>
      <c r="B1393" s="6" t="n"/>
      <c r="C1393" s="6" t="n"/>
      <c r="D1393" s="6" t="n"/>
      <c r="E1393" s="8" t="n"/>
      <c r="F1393" s="6" t="n"/>
    </row>
    <row r="1394">
      <c r="A1394" s="6" t="n"/>
      <c r="B1394" s="6" t="n"/>
      <c r="C1394" s="6" t="n"/>
      <c r="D1394" s="6" t="n"/>
      <c r="E1394" s="8" t="n"/>
      <c r="F1394" s="6" t="n"/>
    </row>
    <row r="1395">
      <c r="A1395" s="6" t="n"/>
      <c r="B1395" s="6" t="n"/>
      <c r="C1395" s="6" t="n"/>
      <c r="D1395" s="6" t="n"/>
      <c r="E1395" s="8" t="n"/>
      <c r="F1395" s="6" t="n"/>
    </row>
    <row r="1396">
      <c r="A1396" s="6" t="n"/>
      <c r="B1396" s="6" t="n"/>
      <c r="C1396" s="6" t="n"/>
      <c r="D1396" s="6" t="n"/>
      <c r="E1396" s="8" t="n"/>
      <c r="F1396" s="6" t="n"/>
    </row>
    <row r="1397">
      <c r="A1397" s="6" t="n"/>
      <c r="B1397" s="6" t="n"/>
      <c r="C1397" s="6" t="n"/>
      <c r="D1397" s="6" t="n"/>
      <c r="E1397" s="8" t="n"/>
      <c r="F1397" s="6" t="n"/>
    </row>
    <row r="1398">
      <c r="A1398" s="6" t="n"/>
      <c r="B1398" s="6" t="n"/>
      <c r="C1398" s="6" t="n"/>
      <c r="D1398" s="6" t="n"/>
      <c r="E1398" s="8" t="n"/>
      <c r="F1398" s="6" t="n"/>
    </row>
    <row r="1399">
      <c r="A1399" s="6" t="n"/>
      <c r="B1399" s="6" t="n"/>
      <c r="C1399" s="6" t="n"/>
      <c r="D1399" s="6" t="n"/>
      <c r="E1399" s="8" t="n"/>
      <c r="F1399" s="6" t="n"/>
    </row>
    <row r="1400">
      <c r="A1400" s="6" t="n"/>
      <c r="B1400" s="6" t="n"/>
      <c r="C1400" s="6" t="n"/>
      <c r="D1400" s="6" t="n"/>
      <c r="E1400" s="8" t="n"/>
      <c r="F1400" s="6" t="n"/>
    </row>
    <row r="1401">
      <c r="A1401" s="6" t="n"/>
      <c r="B1401" s="6" t="n"/>
      <c r="C1401" s="6" t="n"/>
      <c r="D1401" s="6" t="n"/>
      <c r="E1401" s="8" t="n"/>
      <c r="F1401" s="6" t="n"/>
    </row>
    <row r="1402">
      <c r="A1402" s="6" t="n"/>
      <c r="B1402" s="6" t="n"/>
      <c r="C1402" s="6" t="n"/>
      <c r="D1402" s="6" t="n"/>
      <c r="E1402" s="8" t="n"/>
      <c r="F1402" s="6" t="n"/>
    </row>
    <row r="1403">
      <c r="A1403" s="6" t="n"/>
      <c r="B1403" s="6" t="n"/>
      <c r="C1403" s="6" t="n"/>
      <c r="D1403" s="6" t="n"/>
      <c r="E1403" s="8" t="n"/>
      <c r="F1403" s="6" t="n"/>
    </row>
    <row r="1404">
      <c r="A1404" s="6" t="n"/>
      <c r="B1404" s="6" t="n"/>
      <c r="C1404" s="6" t="n"/>
      <c r="D1404" s="6" t="n"/>
      <c r="E1404" s="8" t="n"/>
      <c r="F1404" s="6" t="n"/>
    </row>
    <row r="1405">
      <c r="A1405" s="6" t="n"/>
      <c r="B1405" s="6" t="n"/>
      <c r="C1405" s="6" t="n"/>
      <c r="D1405" s="6" t="n"/>
      <c r="E1405" s="8" t="n"/>
      <c r="F1405" s="6" t="n"/>
    </row>
    <row r="1406">
      <c r="A1406" s="6" t="n"/>
      <c r="B1406" s="6" t="n"/>
      <c r="C1406" s="6" t="n"/>
      <c r="D1406" s="6" t="n"/>
      <c r="E1406" s="8" t="n"/>
      <c r="F1406" s="6" t="n"/>
    </row>
    <row r="1407">
      <c r="A1407" s="6" t="n"/>
      <c r="B1407" s="6" t="n"/>
      <c r="C1407" s="6" t="n"/>
      <c r="D1407" s="6" t="n"/>
      <c r="E1407" s="8" t="n"/>
      <c r="F1407" s="6" t="n"/>
    </row>
    <row r="1408">
      <c r="A1408" s="6" t="n"/>
      <c r="B1408" s="6" t="n"/>
      <c r="C1408" s="6" t="n"/>
      <c r="D1408" s="6" t="n"/>
      <c r="E1408" s="8" t="n"/>
      <c r="F1408" s="6" t="n"/>
    </row>
    <row r="1409">
      <c r="A1409" s="6" t="n"/>
      <c r="B1409" s="6" t="n"/>
      <c r="C1409" s="6" t="n"/>
      <c r="D1409" s="6" t="n"/>
      <c r="E1409" s="8" t="n"/>
      <c r="F1409" s="6" t="n"/>
    </row>
    <row r="1410">
      <c r="A1410" s="6" t="n"/>
      <c r="B1410" s="6" t="n"/>
      <c r="C1410" s="6" t="n"/>
      <c r="D1410" s="6" t="n"/>
      <c r="E1410" s="8" t="n"/>
      <c r="F1410" s="6" t="n"/>
    </row>
    <row r="1411">
      <c r="A1411" s="6" t="n"/>
      <c r="B1411" s="6" t="n"/>
      <c r="C1411" s="6" t="n"/>
      <c r="D1411" s="6" t="n"/>
      <c r="E1411" s="8" t="n"/>
      <c r="F1411" s="6" t="n"/>
    </row>
    <row r="1412">
      <c r="A1412" s="6" t="n"/>
      <c r="B1412" s="6" t="n"/>
      <c r="C1412" s="6" t="n"/>
      <c r="D1412" s="6" t="n"/>
      <c r="E1412" s="8" t="n"/>
      <c r="F1412" s="6" t="n"/>
    </row>
    <row r="1413">
      <c r="A1413" s="6" t="n"/>
      <c r="B1413" s="6" t="n"/>
      <c r="C1413" s="6" t="n"/>
      <c r="D1413" s="6" t="n"/>
      <c r="E1413" s="8" t="n"/>
      <c r="F1413" s="6" t="n"/>
    </row>
    <row r="1414">
      <c r="A1414" s="6" t="n"/>
      <c r="B1414" s="6" t="n"/>
      <c r="C1414" s="6" t="n"/>
      <c r="D1414" s="6" t="n"/>
      <c r="E1414" s="8" t="n"/>
      <c r="F1414" s="6" t="n"/>
    </row>
    <row r="1415">
      <c r="A1415" s="6" t="n"/>
      <c r="B1415" s="6" t="n"/>
      <c r="C1415" s="6" t="n"/>
      <c r="D1415" s="6" t="n"/>
      <c r="E1415" s="8" t="n"/>
      <c r="F1415" s="6" t="n"/>
    </row>
    <row r="1416">
      <c r="A1416" s="6" t="n"/>
      <c r="B1416" s="6" t="n"/>
      <c r="C1416" s="6" t="n"/>
      <c r="D1416" s="6" t="n"/>
      <c r="E1416" s="8" t="n"/>
      <c r="F1416" s="6" t="n"/>
    </row>
    <row r="1417">
      <c r="A1417" s="6" t="n"/>
      <c r="B1417" s="6" t="n"/>
      <c r="C1417" s="6" t="n"/>
      <c r="D1417" s="6" t="n"/>
      <c r="E1417" s="8" t="n"/>
      <c r="F1417" s="6" t="n"/>
    </row>
    <row r="1418">
      <c r="A1418" s="6" t="n"/>
      <c r="B1418" s="6" t="n"/>
      <c r="C1418" s="6" t="n"/>
      <c r="D1418" s="6" t="n"/>
      <c r="E1418" s="8" t="n"/>
      <c r="F1418" s="6" t="n"/>
    </row>
    <row r="1419">
      <c r="A1419" s="6" t="n"/>
      <c r="B1419" s="6" t="n"/>
      <c r="C1419" s="6" t="n"/>
      <c r="D1419" s="6" t="n"/>
      <c r="E1419" s="8" t="n"/>
      <c r="F1419" s="6" t="n"/>
    </row>
    <row r="1420">
      <c r="A1420" s="6" t="n"/>
      <c r="B1420" s="6" t="n"/>
      <c r="C1420" s="6" t="n"/>
      <c r="D1420" s="6" t="n"/>
      <c r="E1420" s="8" t="n"/>
      <c r="F1420" s="6" t="n"/>
    </row>
    <row r="1421">
      <c r="A1421" s="6" t="n"/>
      <c r="B1421" s="6" t="n"/>
      <c r="C1421" s="6" t="n"/>
      <c r="D1421" s="6" t="n"/>
      <c r="E1421" s="8" t="n"/>
      <c r="F1421" s="6" t="n"/>
    </row>
    <row r="1422">
      <c r="A1422" s="6" t="n"/>
      <c r="B1422" s="6" t="n"/>
      <c r="C1422" s="6" t="n"/>
      <c r="D1422" s="6" t="n"/>
      <c r="E1422" s="8" t="n"/>
      <c r="F1422" s="6" t="n"/>
    </row>
    <row r="1423">
      <c r="A1423" s="6" t="n"/>
      <c r="B1423" s="6" t="n"/>
      <c r="C1423" s="6" t="n"/>
      <c r="D1423" s="6" t="n"/>
      <c r="E1423" s="8" t="n"/>
      <c r="F1423" s="6" t="n"/>
    </row>
    <row r="1424">
      <c r="A1424" s="6" t="n"/>
      <c r="B1424" s="6" t="n"/>
      <c r="C1424" s="6" t="n"/>
      <c r="D1424" s="6" t="n"/>
      <c r="E1424" s="8" t="n"/>
      <c r="F1424" s="6" t="n"/>
    </row>
    <row r="1425">
      <c r="A1425" s="6" t="n"/>
      <c r="B1425" s="6" t="n"/>
      <c r="C1425" s="6" t="n"/>
      <c r="D1425" s="6" t="n"/>
      <c r="E1425" s="8" t="n"/>
      <c r="F1425" s="6" t="n"/>
    </row>
    <row r="1426">
      <c r="A1426" s="6" t="n"/>
      <c r="B1426" s="6" t="n"/>
      <c r="C1426" s="6" t="n"/>
      <c r="D1426" s="6" t="n"/>
      <c r="E1426" s="8" t="n"/>
      <c r="F1426" s="6" t="n"/>
    </row>
    <row r="1427">
      <c r="A1427" s="6" t="n"/>
      <c r="B1427" s="6" t="n"/>
      <c r="C1427" s="6" t="n"/>
      <c r="D1427" s="6" t="n"/>
      <c r="E1427" s="8" t="n"/>
      <c r="F1427" s="6" t="n"/>
    </row>
    <row r="1428">
      <c r="A1428" s="6" t="n"/>
      <c r="B1428" s="6" t="n"/>
      <c r="C1428" s="6" t="n"/>
      <c r="D1428" s="6" t="n"/>
      <c r="E1428" s="8" t="n"/>
      <c r="F1428" s="6" t="n"/>
    </row>
    <row r="1429">
      <c r="A1429" s="6" t="n"/>
      <c r="B1429" s="6" t="n"/>
      <c r="C1429" s="6" t="n"/>
      <c r="D1429" s="6" t="n"/>
      <c r="E1429" s="8" t="n"/>
      <c r="F1429" s="6" t="n"/>
    </row>
    <row r="1430">
      <c r="A1430" s="6" t="n"/>
      <c r="B1430" s="6" t="n"/>
      <c r="C1430" s="6" t="n"/>
      <c r="D1430" s="6" t="n"/>
      <c r="E1430" s="8" t="n"/>
      <c r="F1430" s="6" t="n"/>
    </row>
    <row r="1431">
      <c r="A1431" s="6" t="n"/>
      <c r="B1431" s="6" t="n"/>
      <c r="C1431" s="6" t="n"/>
      <c r="D1431" s="6" t="n"/>
      <c r="E1431" s="8" t="n"/>
      <c r="F1431" s="6" t="n"/>
    </row>
    <row r="1432">
      <c r="A1432" s="6" t="n"/>
      <c r="B1432" s="6" t="n"/>
      <c r="C1432" s="6" t="n"/>
      <c r="D1432" s="6" t="n"/>
      <c r="E1432" s="8" t="n"/>
      <c r="F1432" s="6" t="n"/>
    </row>
    <row r="1433">
      <c r="A1433" s="6" t="n"/>
      <c r="B1433" s="6" t="n"/>
      <c r="C1433" s="6" t="n"/>
      <c r="D1433" s="6" t="n"/>
      <c r="E1433" s="8" t="n"/>
      <c r="F1433" s="6" t="n"/>
    </row>
    <row r="1434">
      <c r="A1434" s="6" t="n"/>
      <c r="B1434" s="6" t="n"/>
      <c r="C1434" s="6" t="n"/>
      <c r="D1434" s="6" t="n"/>
      <c r="E1434" s="8" t="n"/>
      <c r="F1434" s="6" t="n"/>
    </row>
    <row r="1435">
      <c r="A1435" s="6" t="n"/>
      <c r="B1435" s="6" t="n"/>
      <c r="C1435" s="6" t="n"/>
      <c r="D1435" s="6" t="n"/>
      <c r="E1435" s="8" t="n"/>
      <c r="F1435" s="6" t="n"/>
    </row>
    <row r="1436">
      <c r="A1436" s="6" t="n"/>
      <c r="B1436" s="6" t="n"/>
      <c r="C1436" s="6" t="n"/>
      <c r="D1436" s="6" t="n"/>
      <c r="E1436" s="8" t="n"/>
      <c r="F1436" s="6" t="n"/>
    </row>
    <row r="1437">
      <c r="A1437" s="6" t="n"/>
      <c r="B1437" s="6" t="n"/>
      <c r="C1437" s="6" t="n"/>
      <c r="D1437" s="6" t="n"/>
      <c r="E1437" s="8" t="n"/>
      <c r="F1437" s="6" t="n"/>
    </row>
    <row r="1438">
      <c r="A1438" s="6" t="n"/>
      <c r="B1438" s="6" t="n"/>
      <c r="C1438" s="6" t="n"/>
      <c r="D1438" s="6" t="n"/>
      <c r="E1438" s="8" t="n"/>
      <c r="F1438" s="6" t="n"/>
    </row>
    <row r="1439">
      <c r="A1439" s="6" t="n"/>
      <c r="B1439" s="6" t="n"/>
      <c r="C1439" s="6" t="n"/>
      <c r="D1439" s="6" t="n"/>
      <c r="E1439" s="8" t="n"/>
      <c r="F1439" s="6" t="n"/>
    </row>
    <row r="1440">
      <c r="A1440" s="6" t="n"/>
      <c r="B1440" s="6" t="n"/>
      <c r="C1440" s="6" t="n"/>
      <c r="D1440" s="6" t="n"/>
      <c r="E1440" s="8" t="n"/>
      <c r="F1440" s="6" t="n"/>
    </row>
    <row r="1441">
      <c r="A1441" s="6" t="n"/>
      <c r="B1441" s="6" t="n"/>
      <c r="C1441" s="6" t="n"/>
      <c r="D1441" s="6" t="n"/>
      <c r="E1441" s="8" t="n"/>
      <c r="F1441" s="6" t="n"/>
    </row>
    <row r="1442">
      <c r="A1442" s="6" t="n"/>
      <c r="B1442" s="6" t="n"/>
      <c r="C1442" s="6" t="n"/>
      <c r="D1442" s="6" t="n"/>
      <c r="E1442" s="8" t="n"/>
      <c r="F1442" s="6" t="n"/>
    </row>
    <row r="1443">
      <c r="A1443" s="6" t="n"/>
      <c r="B1443" s="6" t="n"/>
      <c r="C1443" s="6" t="n"/>
      <c r="D1443" s="6" t="n"/>
      <c r="E1443" s="8" t="n"/>
      <c r="F1443" s="6" t="n"/>
    </row>
    <row r="1444">
      <c r="A1444" s="6" t="n"/>
      <c r="B1444" s="6" t="n"/>
      <c r="C1444" s="6" t="n"/>
      <c r="D1444" s="6" t="n"/>
      <c r="E1444" s="8" t="n"/>
      <c r="F1444" s="6" t="n"/>
    </row>
    <row r="1445">
      <c r="A1445" s="6" t="n"/>
      <c r="B1445" s="6" t="n"/>
      <c r="C1445" s="6" t="n"/>
      <c r="D1445" s="6" t="n"/>
      <c r="E1445" s="8" t="n"/>
      <c r="F1445" s="6" t="n"/>
    </row>
    <row r="1446">
      <c r="A1446" s="6" t="n"/>
      <c r="B1446" s="6" t="n"/>
      <c r="C1446" s="6" t="n"/>
      <c r="D1446" s="6" t="n"/>
      <c r="E1446" s="8" t="n"/>
      <c r="F1446" s="6" t="n"/>
    </row>
    <row r="1447">
      <c r="A1447" s="6" t="n"/>
      <c r="B1447" s="6" t="n"/>
      <c r="C1447" s="6" t="n"/>
      <c r="D1447" s="6" t="n"/>
      <c r="E1447" s="8" t="n"/>
      <c r="F1447" s="6" t="n"/>
    </row>
    <row r="1448">
      <c r="A1448" s="6" t="n"/>
      <c r="B1448" s="6" t="n"/>
      <c r="C1448" s="6" t="n"/>
      <c r="D1448" s="6" t="n"/>
      <c r="E1448" s="8" t="n"/>
      <c r="F1448" s="6" t="n"/>
    </row>
    <row r="1449">
      <c r="A1449" s="6" t="n"/>
      <c r="B1449" s="6" t="n"/>
      <c r="C1449" s="6" t="n"/>
      <c r="D1449" s="6" t="n"/>
      <c r="E1449" s="8" t="n"/>
      <c r="F1449" s="6" t="n"/>
    </row>
    <row r="1450">
      <c r="A1450" s="6" t="n"/>
      <c r="B1450" s="6" t="n"/>
      <c r="C1450" s="6" t="n"/>
      <c r="D1450" s="6" t="n"/>
      <c r="E1450" s="8" t="n"/>
      <c r="F1450" s="6" t="n"/>
    </row>
    <row r="1451">
      <c r="A1451" s="6" t="n"/>
      <c r="B1451" s="6" t="n"/>
      <c r="C1451" s="6" t="n"/>
      <c r="D1451" s="6" t="n"/>
      <c r="E1451" s="8" t="n"/>
      <c r="F1451" s="6" t="n"/>
    </row>
    <row r="1452">
      <c r="A1452" s="6" t="n"/>
      <c r="B1452" s="6" t="n"/>
      <c r="C1452" s="6" t="n"/>
      <c r="D1452" s="6" t="n"/>
      <c r="E1452" s="8" t="n"/>
      <c r="F1452" s="6" t="n"/>
    </row>
    <row r="1453">
      <c r="A1453" s="6" t="n"/>
      <c r="B1453" s="6" t="n"/>
      <c r="C1453" s="6" t="n"/>
      <c r="D1453" s="6" t="n"/>
      <c r="E1453" s="8" t="n"/>
      <c r="F1453" s="6" t="n"/>
    </row>
    <row r="1454">
      <c r="A1454" s="6" t="n"/>
      <c r="B1454" s="6" t="n"/>
      <c r="C1454" s="6" t="n"/>
      <c r="D1454" s="6" t="n"/>
      <c r="E1454" s="8" t="n"/>
      <c r="F1454" s="6" t="n"/>
    </row>
    <row r="1455">
      <c r="A1455" s="6" t="n"/>
      <c r="B1455" s="6" t="n"/>
      <c r="C1455" s="6" t="n"/>
      <c r="D1455" s="6" t="n"/>
      <c r="E1455" s="8" t="n"/>
      <c r="F1455" s="6" t="n"/>
    </row>
    <row r="1456">
      <c r="A1456" s="6" t="n"/>
      <c r="B1456" s="6" t="n"/>
      <c r="C1456" s="6" t="n"/>
      <c r="D1456" s="6" t="n"/>
      <c r="E1456" s="8" t="n"/>
      <c r="F1456" s="6" t="n"/>
    </row>
    <row r="1457">
      <c r="A1457" s="6" t="n"/>
      <c r="B1457" s="6" t="n"/>
      <c r="C1457" s="6" t="n"/>
      <c r="D1457" s="6" t="n"/>
      <c r="E1457" s="8" t="n"/>
      <c r="F1457" s="6" t="n"/>
    </row>
    <row r="1458">
      <c r="A1458" s="6" t="n"/>
      <c r="B1458" s="6" t="n"/>
      <c r="C1458" s="6" t="n"/>
      <c r="D1458" s="6" t="n"/>
      <c r="E1458" s="8" t="n"/>
      <c r="F1458" s="6" t="n"/>
    </row>
    <row r="1459">
      <c r="A1459" s="6" t="n"/>
      <c r="B1459" s="6" t="n"/>
      <c r="C1459" s="6" t="n"/>
      <c r="D1459" s="6" t="n"/>
      <c r="E1459" s="8" t="n"/>
      <c r="F1459" s="6" t="n"/>
    </row>
    <row r="1460">
      <c r="A1460" s="6" t="n"/>
      <c r="B1460" s="6" t="n"/>
      <c r="C1460" s="6" t="n"/>
      <c r="D1460" s="6" t="n"/>
      <c r="E1460" s="8" t="n"/>
      <c r="F1460" s="6" t="n"/>
    </row>
    <row r="1461">
      <c r="A1461" s="6" t="n"/>
      <c r="B1461" s="6" t="n"/>
      <c r="C1461" s="6" t="n"/>
      <c r="D1461" s="6" t="n"/>
      <c r="E1461" s="8" t="n"/>
      <c r="F1461" s="6" t="n"/>
    </row>
    <row r="1462">
      <c r="A1462" s="6" t="n"/>
      <c r="B1462" s="6" t="n"/>
      <c r="C1462" s="6" t="n"/>
      <c r="D1462" s="6" t="n"/>
      <c r="E1462" s="8" t="n"/>
      <c r="F1462" s="6" t="n"/>
    </row>
    <row r="1463">
      <c r="A1463" s="6" t="n"/>
      <c r="B1463" s="6" t="n"/>
      <c r="C1463" s="6" t="n"/>
      <c r="D1463" s="6" t="n"/>
      <c r="E1463" s="8" t="n"/>
      <c r="F1463" s="6" t="n"/>
    </row>
    <row r="1464">
      <c r="A1464" s="6" t="n"/>
      <c r="B1464" s="6" t="n"/>
      <c r="C1464" s="6" t="n"/>
      <c r="D1464" s="6" t="n"/>
      <c r="E1464" s="8" t="n"/>
      <c r="F1464" s="6" t="n"/>
    </row>
    <row r="1465">
      <c r="A1465" s="6" t="n"/>
      <c r="B1465" s="6" t="n"/>
      <c r="C1465" s="6" t="n"/>
      <c r="D1465" s="6" t="n"/>
      <c r="E1465" s="8" t="n"/>
      <c r="F1465" s="6" t="n"/>
    </row>
    <row r="1466">
      <c r="A1466" s="6" t="n"/>
      <c r="B1466" s="6" t="n"/>
      <c r="C1466" s="6" t="n"/>
      <c r="D1466" s="6" t="n"/>
      <c r="E1466" s="8" t="n"/>
      <c r="F1466" s="6" t="n"/>
    </row>
    <row r="1467">
      <c r="A1467" s="6" t="n"/>
      <c r="B1467" s="6" t="n"/>
      <c r="C1467" s="6" t="n"/>
      <c r="D1467" s="6" t="n"/>
      <c r="E1467" s="8" t="n"/>
      <c r="F1467" s="6" t="n"/>
    </row>
    <row r="1468">
      <c r="A1468" s="6" t="n"/>
      <c r="B1468" s="6" t="n"/>
      <c r="C1468" s="6" t="n"/>
      <c r="D1468" s="6" t="n"/>
      <c r="E1468" s="8" t="n"/>
      <c r="F1468" s="6" t="n"/>
    </row>
    <row r="1469">
      <c r="A1469" s="6" t="n"/>
      <c r="B1469" s="6" t="n"/>
      <c r="C1469" s="6" t="n"/>
      <c r="D1469" s="6" t="n"/>
      <c r="E1469" s="8" t="n"/>
      <c r="F1469" s="6" t="n"/>
    </row>
    <row r="1470">
      <c r="A1470" s="6" t="n"/>
      <c r="B1470" s="6" t="n"/>
      <c r="C1470" s="6" t="n"/>
      <c r="D1470" s="6" t="n"/>
      <c r="E1470" s="8" t="n"/>
      <c r="F1470" s="6" t="n"/>
    </row>
    <row r="1471">
      <c r="A1471" s="6" t="n"/>
      <c r="B1471" s="6" t="n"/>
      <c r="C1471" s="6" t="n"/>
      <c r="D1471" s="6" t="n"/>
      <c r="E1471" s="8" t="n"/>
      <c r="F1471" s="6" t="n"/>
    </row>
    <row r="1472">
      <c r="A1472" s="6" t="n"/>
      <c r="B1472" s="6" t="n"/>
      <c r="C1472" s="6" t="n"/>
      <c r="D1472" s="6" t="n"/>
      <c r="E1472" s="8" t="n"/>
      <c r="F1472" s="6" t="n"/>
    </row>
    <row r="1473">
      <c r="A1473" s="6" t="n"/>
      <c r="B1473" s="6" t="n"/>
      <c r="C1473" s="6" t="n"/>
      <c r="D1473" s="6" t="n"/>
      <c r="E1473" s="8" t="n"/>
      <c r="F1473" s="6" t="n"/>
    </row>
    <row r="1474">
      <c r="A1474" s="6" t="n"/>
      <c r="B1474" s="6" t="n"/>
      <c r="C1474" s="6" t="n"/>
      <c r="D1474" s="6" t="n"/>
      <c r="E1474" s="8" t="n"/>
      <c r="F1474" s="6" t="n"/>
    </row>
    <row r="1475">
      <c r="A1475" s="6" t="n"/>
      <c r="B1475" s="6" t="n"/>
      <c r="C1475" s="6" t="n"/>
      <c r="D1475" s="6" t="n"/>
      <c r="E1475" s="8" t="n"/>
      <c r="F1475" s="6" t="n"/>
    </row>
    <row r="1476">
      <c r="A1476" s="6" t="n"/>
      <c r="B1476" s="6" t="n"/>
      <c r="C1476" s="6" t="n"/>
      <c r="D1476" s="6" t="n"/>
      <c r="E1476" s="8" t="n"/>
      <c r="F1476" s="6" t="n"/>
    </row>
    <row r="1477">
      <c r="A1477" s="6" t="n"/>
      <c r="B1477" s="6" t="n"/>
      <c r="C1477" s="6" t="n"/>
      <c r="D1477" s="6" t="n"/>
      <c r="E1477" s="8" t="n"/>
      <c r="F1477" s="6" t="n"/>
    </row>
    <row r="1478">
      <c r="A1478" s="6" t="n"/>
      <c r="B1478" s="6" t="n"/>
      <c r="C1478" s="6" t="n"/>
      <c r="D1478" s="6" t="n"/>
      <c r="E1478" s="8" t="n"/>
      <c r="F1478" s="6" t="n"/>
    </row>
    <row r="1479">
      <c r="A1479" s="6" t="n"/>
      <c r="B1479" s="6" t="n"/>
      <c r="C1479" s="6" t="n"/>
      <c r="D1479" s="6" t="n"/>
      <c r="E1479" s="8" t="n"/>
      <c r="F1479" s="6" t="n"/>
    </row>
    <row r="1480">
      <c r="A1480" s="6" t="n"/>
      <c r="B1480" s="6" t="n"/>
      <c r="C1480" s="6" t="n"/>
      <c r="D1480" s="6" t="n"/>
      <c r="E1480" s="8" t="n"/>
      <c r="F1480" s="6" t="n"/>
    </row>
    <row r="1481">
      <c r="A1481" s="6" t="n"/>
      <c r="B1481" s="6" t="n"/>
      <c r="C1481" s="6" t="n"/>
      <c r="D1481" s="6" t="n"/>
      <c r="E1481" s="8" t="n"/>
      <c r="F1481" s="6" t="n"/>
    </row>
    <row r="1482">
      <c r="A1482" s="6" t="n"/>
      <c r="B1482" s="6" t="n"/>
      <c r="C1482" s="6" t="n"/>
      <c r="D1482" s="6" t="n"/>
      <c r="E1482" s="8" t="n"/>
      <c r="F1482" s="6" t="n"/>
    </row>
    <row r="1483">
      <c r="A1483" s="6" t="n"/>
      <c r="B1483" s="6" t="n"/>
      <c r="C1483" s="6" t="n"/>
      <c r="D1483" s="6" t="n"/>
      <c r="E1483" s="8" t="n"/>
      <c r="F1483" s="6" t="n"/>
    </row>
    <row r="1484">
      <c r="A1484" s="6" t="n"/>
      <c r="B1484" s="6" t="n"/>
      <c r="C1484" s="6" t="n"/>
      <c r="D1484" s="6" t="n"/>
      <c r="E1484" s="8" t="n"/>
      <c r="F1484" s="6" t="n"/>
    </row>
    <row r="1485">
      <c r="A1485" s="6" t="n"/>
      <c r="B1485" s="6" t="n"/>
      <c r="C1485" s="6" t="n"/>
      <c r="D1485" s="6" t="n"/>
      <c r="E1485" s="8" t="n"/>
      <c r="F1485" s="6" t="n"/>
    </row>
    <row r="1486">
      <c r="A1486" s="6" t="n"/>
      <c r="B1486" s="6" t="n"/>
      <c r="C1486" s="6" t="n"/>
      <c r="D1486" s="6" t="n"/>
      <c r="E1486" s="8" t="n"/>
      <c r="F1486" s="6" t="n"/>
    </row>
    <row r="1487">
      <c r="A1487" s="6" t="n"/>
      <c r="B1487" s="6" t="n"/>
      <c r="C1487" s="6" t="n"/>
      <c r="D1487" s="6" t="n"/>
      <c r="E1487" s="8" t="n"/>
      <c r="F1487" s="6" t="n"/>
    </row>
    <row r="1488">
      <c r="A1488" s="6" t="n"/>
      <c r="B1488" s="6" t="n"/>
      <c r="C1488" s="6" t="n"/>
      <c r="D1488" s="6" t="n"/>
      <c r="E1488" s="8" t="n"/>
      <c r="F1488" s="6" t="n"/>
    </row>
    <row r="1489">
      <c r="A1489" s="6" t="n"/>
      <c r="B1489" s="6" t="n"/>
      <c r="C1489" s="6" t="n"/>
      <c r="D1489" s="6" t="n"/>
      <c r="E1489" s="8" t="n"/>
      <c r="F1489" s="6" t="n"/>
    </row>
    <row r="1490">
      <c r="A1490" s="6" t="n"/>
      <c r="B1490" s="6" t="n"/>
      <c r="C1490" s="6" t="n"/>
      <c r="D1490" s="6" t="n"/>
      <c r="E1490" s="8" t="n"/>
      <c r="F1490" s="6" t="n"/>
    </row>
    <row r="1491">
      <c r="A1491" s="6" t="n"/>
      <c r="B1491" s="6" t="n"/>
      <c r="C1491" s="6" t="n"/>
      <c r="D1491" s="6" t="n"/>
      <c r="E1491" s="8" t="n"/>
      <c r="F1491" s="6" t="n"/>
    </row>
    <row r="1492">
      <c r="A1492" s="6" t="n"/>
      <c r="B1492" s="6" t="n"/>
      <c r="C1492" s="6" t="n"/>
      <c r="D1492" s="6" t="n"/>
      <c r="E1492" s="8" t="n"/>
      <c r="F1492" s="6" t="n"/>
    </row>
    <row r="1493">
      <c r="A1493" s="6" t="n"/>
      <c r="B1493" s="6" t="n"/>
      <c r="C1493" s="6" t="n"/>
      <c r="D1493" s="6" t="n"/>
      <c r="E1493" s="8" t="n"/>
      <c r="F1493" s="6" t="n"/>
    </row>
    <row r="1494">
      <c r="A1494" s="6" t="n"/>
      <c r="B1494" s="6" t="n"/>
      <c r="C1494" s="6" t="n"/>
      <c r="D1494" s="6" t="n"/>
      <c r="E1494" s="8" t="n"/>
      <c r="F1494" s="6" t="n"/>
    </row>
    <row r="1495">
      <c r="A1495" s="6" t="n"/>
      <c r="B1495" s="6" t="n"/>
      <c r="C1495" s="6" t="n"/>
      <c r="D1495" s="6" t="n"/>
      <c r="E1495" s="8" t="n"/>
      <c r="F1495" s="6" t="n"/>
    </row>
    <row r="1496">
      <c r="A1496" s="6" t="n"/>
      <c r="B1496" s="6" t="n"/>
      <c r="C1496" s="6" t="n"/>
      <c r="D1496" s="6" t="n"/>
      <c r="E1496" s="8" t="n"/>
      <c r="F1496" s="6" t="n"/>
    </row>
    <row r="1497">
      <c r="A1497" s="6" t="n"/>
      <c r="B1497" s="6" t="n"/>
      <c r="C1497" s="6" t="n"/>
      <c r="D1497" s="6" t="n"/>
      <c r="E1497" s="8" t="n"/>
      <c r="F1497" s="6" t="n"/>
    </row>
    <row r="1498">
      <c r="A1498" s="6" t="n"/>
      <c r="B1498" s="6" t="n"/>
      <c r="C1498" s="6" t="n"/>
      <c r="D1498" s="6" t="n"/>
      <c r="E1498" s="8" t="n"/>
      <c r="F1498" s="6" t="n"/>
    </row>
    <row r="1499">
      <c r="A1499" s="6" t="n"/>
      <c r="B1499" s="6" t="n"/>
      <c r="C1499" s="6" t="n"/>
      <c r="D1499" s="6" t="n"/>
      <c r="E1499" s="8" t="n"/>
      <c r="F1499" s="6" t="n"/>
    </row>
    <row r="1500">
      <c r="A1500" s="6" t="n"/>
      <c r="B1500" s="6" t="n"/>
      <c r="C1500" s="6" t="n"/>
      <c r="D1500" s="6" t="n"/>
      <c r="E1500" s="8" t="n"/>
      <c r="F1500" s="6" t="n"/>
    </row>
    <row r="1501">
      <c r="A1501" s="6" t="n"/>
      <c r="B1501" s="6" t="n"/>
      <c r="C1501" s="6" t="n"/>
      <c r="D1501" s="6" t="n"/>
      <c r="E1501" s="8" t="n"/>
      <c r="F1501" s="6" t="n"/>
    </row>
    <row r="1502">
      <c r="A1502" s="6" t="n"/>
      <c r="B1502" s="6" t="n"/>
      <c r="C1502" s="6" t="n"/>
      <c r="D1502" s="6" t="n"/>
      <c r="E1502" s="8" t="n"/>
      <c r="F1502" s="6" t="n"/>
    </row>
    <row r="1503">
      <c r="A1503" s="6" t="n"/>
      <c r="B1503" s="6" t="n"/>
      <c r="C1503" s="6" t="n"/>
      <c r="D1503" s="6" t="n"/>
      <c r="E1503" s="8" t="n"/>
      <c r="F1503" s="6" t="n"/>
    </row>
    <row r="1504">
      <c r="A1504" s="6" t="n"/>
      <c r="B1504" s="6" t="n"/>
      <c r="C1504" s="6" t="n"/>
      <c r="D1504" s="6" t="n"/>
      <c r="E1504" s="8" t="n"/>
      <c r="F1504" s="6" t="n"/>
    </row>
    <row r="1505">
      <c r="A1505" s="6" t="n"/>
      <c r="B1505" s="6" t="n"/>
      <c r="C1505" s="6" t="n"/>
      <c r="D1505" s="6" t="n"/>
      <c r="E1505" s="8" t="n"/>
      <c r="F1505" s="6" t="n"/>
    </row>
    <row r="1506">
      <c r="A1506" s="6" t="n"/>
      <c r="B1506" s="6" t="n"/>
      <c r="C1506" s="6" t="n"/>
      <c r="D1506" s="6" t="n"/>
      <c r="E1506" s="8" t="n"/>
      <c r="F1506" s="6" t="n"/>
    </row>
    <row r="1507">
      <c r="A1507" s="6" t="n"/>
      <c r="B1507" s="6" t="n"/>
      <c r="C1507" s="6" t="n"/>
      <c r="D1507" s="6" t="n"/>
      <c r="E1507" s="8" t="n"/>
      <c r="F1507" s="6" t="n"/>
    </row>
    <row r="1508">
      <c r="A1508" s="6" t="n"/>
      <c r="B1508" s="6" t="n"/>
      <c r="C1508" s="6" t="n"/>
      <c r="D1508" s="6" t="n"/>
      <c r="E1508" s="8" t="n"/>
      <c r="F1508" s="6" t="n"/>
    </row>
    <row r="1509">
      <c r="A1509" s="6" t="n"/>
      <c r="B1509" s="6" t="n"/>
      <c r="C1509" s="6" t="n"/>
      <c r="D1509" s="6" t="n"/>
      <c r="E1509" s="8" t="n"/>
      <c r="F1509" s="6" t="n"/>
    </row>
    <row r="1510">
      <c r="A1510" s="6" t="n"/>
      <c r="B1510" s="6" t="n"/>
      <c r="C1510" s="6" t="n"/>
      <c r="D1510" s="6" t="n"/>
      <c r="E1510" s="8" t="n"/>
      <c r="F1510" s="6" t="n"/>
    </row>
    <row r="1511">
      <c r="A1511" s="6" t="n"/>
      <c r="B1511" s="6" t="n"/>
      <c r="C1511" s="6" t="n"/>
      <c r="D1511" s="6" t="n"/>
      <c r="E1511" s="8" t="n"/>
      <c r="F1511" s="6" t="n"/>
    </row>
    <row r="1512">
      <c r="A1512" s="6" t="n"/>
      <c r="B1512" s="6" t="n"/>
      <c r="C1512" s="6" t="n"/>
      <c r="D1512" s="6" t="n"/>
      <c r="E1512" s="8" t="n"/>
      <c r="F1512" s="6" t="n"/>
    </row>
    <row r="1513">
      <c r="A1513" s="6" t="n"/>
      <c r="B1513" s="6" t="n"/>
      <c r="C1513" s="6" t="n"/>
      <c r="D1513" s="6" t="n"/>
      <c r="E1513" s="8" t="n"/>
      <c r="F1513" s="6" t="n"/>
    </row>
    <row r="1514">
      <c r="A1514" s="6" t="n"/>
      <c r="B1514" s="6" t="n"/>
      <c r="C1514" s="6" t="n"/>
      <c r="D1514" s="6" t="n"/>
      <c r="E1514" s="8" t="n"/>
      <c r="F1514" s="6" t="n"/>
    </row>
    <row r="1515">
      <c r="A1515" s="6" t="n"/>
      <c r="B1515" s="6" t="n"/>
      <c r="C1515" s="6" t="n"/>
      <c r="D1515" s="6" t="n"/>
      <c r="E1515" s="8" t="n"/>
      <c r="F1515" s="6" t="n"/>
    </row>
    <row r="1516">
      <c r="A1516" s="6" t="n"/>
      <c r="B1516" s="6" t="n"/>
      <c r="C1516" s="6" t="n"/>
      <c r="D1516" s="6" t="n"/>
      <c r="E1516" s="8" t="n"/>
      <c r="F1516" s="6" t="n"/>
    </row>
    <row r="1517">
      <c r="A1517" s="6" t="n"/>
      <c r="B1517" s="6" t="n"/>
      <c r="C1517" s="6" t="n"/>
      <c r="D1517" s="6" t="n"/>
      <c r="E1517" s="8" t="n"/>
      <c r="F1517" s="6" t="n"/>
    </row>
    <row r="1518">
      <c r="A1518" s="6" t="n"/>
      <c r="B1518" s="6" t="n"/>
      <c r="C1518" s="6" t="n"/>
      <c r="D1518" s="6" t="n"/>
      <c r="E1518" s="8" t="n"/>
      <c r="F1518" s="6" t="n"/>
    </row>
    <row r="1519">
      <c r="A1519" s="6" t="n"/>
      <c r="B1519" s="6" t="n"/>
      <c r="C1519" s="6" t="n"/>
      <c r="D1519" s="6" t="n"/>
      <c r="E1519" s="8" t="n"/>
      <c r="F1519" s="6" t="n"/>
    </row>
    <row r="1520">
      <c r="A1520" s="6" t="n"/>
      <c r="B1520" s="6" t="n"/>
      <c r="C1520" s="6" t="n"/>
      <c r="D1520" s="6" t="n"/>
      <c r="E1520" s="8" t="n"/>
      <c r="F1520" s="6" t="n"/>
    </row>
    <row r="1521">
      <c r="A1521" s="6" t="n"/>
      <c r="B1521" s="6" t="n"/>
      <c r="C1521" s="6" t="n"/>
      <c r="D1521" s="6" t="n"/>
      <c r="E1521" s="8" t="n"/>
      <c r="F1521" s="6" t="n"/>
    </row>
    <row r="1522">
      <c r="A1522" s="6" t="n"/>
      <c r="B1522" s="6" t="n"/>
      <c r="C1522" s="6" t="n"/>
      <c r="D1522" s="6" t="n"/>
      <c r="E1522" s="8" t="n"/>
      <c r="F1522" s="6" t="n"/>
    </row>
    <row r="1523">
      <c r="A1523" s="6" t="n"/>
      <c r="B1523" s="6" t="n"/>
      <c r="C1523" s="6" t="n"/>
      <c r="D1523" s="6" t="n"/>
      <c r="E1523" s="8" t="n"/>
      <c r="F1523" s="6" t="n"/>
    </row>
    <row r="1524">
      <c r="A1524" s="6" t="n"/>
      <c r="B1524" s="6" t="n"/>
      <c r="C1524" s="6" t="n"/>
      <c r="D1524" s="6" t="n"/>
      <c r="E1524" s="8" t="n"/>
      <c r="F1524" s="6" t="n"/>
    </row>
    <row r="1525">
      <c r="A1525" s="6" t="n"/>
      <c r="B1525" s="6" t="n"/>
      <c r="C1525" s="6" t="n"/>
      <c r="D1525" s="6" t="n"/>
      <c r="E1525" s="8" t="n"/>
      <c r="F1525" s="6" t="n"/>
    </row>
    <row r="1526">
      <c r="A1526" s="6" t="n"/>
      <c r="B1526" s="6" t="n"/>
      <c r="C1526" s="6" t="n"/>
      <c r="D1526" s="6" t="n"/>
      <c r="E1526" s="8" t="n"/>
      <c r="F1526" s="6" t="n"/>
    </row>
    <row r="1527">
      <c r="A1527" s="6" t="n"/>
      <c r="B1527" s="6" t="n"/>
      <c r="C1527" s="6" t="n"/>
      <c r="D1527" s="6" t="n"/>
      <c r="E1527" s="8" t="n"/>
      <c r="F1527" s="6" t="n"/>
    </row>
    <row r="1528">
      <c r="A1528" s="6" t="n"/>
      <c r="B1528" s="6" t="n"/>
      <c r="C1528" s="6" t="n"/>
      <c r="D1528" s="6" t="n"/>
      <c r="E1528" s="8" t="n"/>
      <c r="F1528" s="6" t="n"/>
    </row>
    <row r="1529">
      <c r="A1529" s="6" t="n"/>
      <c r="B1529" s="6" t="n"/>
      <c r="C1529" s="6" t="n"/>
      <c r="D1529" s="6" t="n"/>
      <c r="E1529" s="8" t="n"/>
      <c r="F1529" s="6" t="n"/>
    </row>
    <row r="1530">
      <c r="A1530" s="6" t="n"/>
      <c r="B1530" s="6" t="n"/>
      <c r="C1530" s="6" t="n"/>
      <c r="D1530" s="6" t="n"/>
      <c r="E1530" s="8" t="n"/>
      <c r="F1530" s="6" t="n"/>
    </row>
    <row r="1531">
      <c r="A1531" s="6" t="n"/>
      <c r="B1531" s="6" t="n"/>
      <c r="C1531" s="6" t="n"/>
      <c r="D1531" s="6" t="n"/>
      <c r="E1531" s="8" t="n"/>
      <c r="F1531" s="6" t="n"/>
    </row>
    <row r="1532">
      <c r="A1532" s="6" t="n"/>
      <c r="B1532" s="6" t="n"/>
      <c r="C1532" s="6" t="n"/>
      <c r="D1532" s="6" t="n"/>
      <c r="E1532" s="8" t="n"/>
      <c r="F1532" s="6" t="n"/>
    </row>
    <row r="1533">
      <c r="A1533" s="6" t="n"/>
      <c r="B1533" s="6" t="n"/>
      <c r="C1533" s="6" t="n"/>
      <c r="D1533" s="6" t="n"/>
      <c r="E1533" s="8" t="n"/>
      <c r="F1533" s="6" t="n"/>
    </row>
    <row r="1534">
      <c r="A1534" s="6" t="n"/>
      <c r="B1534" s="6" t="n"/>
      <c r="C1534" s="6" t="n"/>
      <c r="D1534" s="6" t="n"/>
      <c r="E1534" s="8" t="n"/>
      <c r="F1534" s="6" t="n"/>
    </row>
    <row r="1535">
      <c r="A1535" s="6" t="n"/>
      <c r="B1535" s="6" t="n"/>
      <c r="C1535" s="6" t="n"/>
      <c r="D1535" s="6" t="n"/>
      <c r="E1535" s="8" t="n"/>
      <c r="F1535" s="6" t="n"/>
    </row>
    <row r="1536">
      <c r="A1536" s="6" t="n"/>
      <c r="B1536" s="6" t="n"/>
      <c r="C1536" s="6" t="n"/>
      <c r="D1536" s="6" t="n"/>
      <c r="E1536" s="8" t="n"/>
      <c r="F1536" s="6" t="n"/>
    </row>
    <row r="1537">
      <c r="A1537" s="6" t="n"/>
      <c r="B1537" s="6" t="n"/>
      <c r="C1537" s="6" t="n"/>
      <c r="D1537" s="6" t="n"/>
      <c r="E1537" s="8" t="n"/>
      <c r="F1537" s="6" t="n"/>
    </row>
    <row r="1538">
      <c r="A1538" s="6" t="n"/>
      <c r="B1538" s="6" t="n"/>
      <c r="C1538" s="6" t="n"/>
      <c r="D1538" s="6" t="n"/>
      <c r="E1538" s="8" t="n"/>
      <c r="F1538" s="6" t="n"/>
    </row>
    <row r="1539">
      <c r="A1539" s="6" t="n"/>
      <c r="B1539" s="6" t="n"/>
      <c r="C1539" s="6" t="n"/>
      <c r="D1539" s="6" t="n"/>
      <c r="E1539" s="8" t="n"/>
      <c r="F1539" s="6" t="n"/>
    </row>
    <row r="1540">
      <c r="A1540" s="6" t="n"/>
      <c r="B1540" s="6" t="n"/>
      <c r="C1540" s="6" t="n"/>
      <c r="D1540" s="6" t="n"/>
      <c r="E1540" s="8" t="n"/>
      <c r="F1540" s="6" t="n"/>
    </row>
    <row r="1541">
      <c r="A1541" s="6" t="n"/>
      <c r="B1541" s="6" t="n"/>
      <c r="C1541" s="6" t="n"/>
      <c r="D1541" s="6" t="n"/>
      <c r="E1541" s="8" t="n"/>
      <c r="F1541" s="6" t="n"/>
    </row>
    <row r="1542">
      <c r="A1542" s="6" t="n"/>
      <c r="B1542" s="6" t="n"/>
      <c r="C1542" s="6" t="n"/>
      <c r="D1542" s="6" t="n"/>
      <c r="E1542" s="8" t="n"/>
      <c r="F1542" s="6" t="n"/>
    </row>
    <row r="1543">
      <c r="A1543" s="6" t="n"/>
      <c r="B1543" s="6" t="n"/>
      <c r="C1543" s="6" t="n"/>
      <c r="D1543" s="6" t="n"/>
      <c r="E1543" s="8" t="n"/>
      <c r="F1543" s="6" t="n"/>
    </row>
    <row r="1544">
      <c r="A1544" s="6" t="n"/>
      <c r="B1544" s="6" t="n"/>
      <c r="C1544" s="6" t="n"/>
      <c r="D1544" s="6" t="n"/>
      <c r="E1544" s="8" t="n"/>
      <c r="F1544" s="6" t="n"/>
    </row>
    <row r="1545">
      <c r="A1545" s="6" t="n"/>
      <c r="B1545" s="6" t="n"/>
      <c r="C1545" s="6" t="n"/>
      <c r="D1545" s="6" t="n"/>
      <c r="E1545" s="8" t="n"/>
      <c r="F1545" s="6" t="n"/>
    </row>
    <row r="1546">
      <c r="A1546" s="6" t="n"/>
      <c r="B1546" s="6" t="n"/>
      <c r="C1546" s="6" t="n"/>
      <c r="D1546" s="6" t="n"/>
      <c r="E1546" s="8" t="n"/>
      <c r="F1546" s="6" t="n"/>
    </row>
    <row r="1547">
      <c r="A1547" s="6" t="n"/>
      <c r="B1547" s="6" t="n"/>
      <c r="C1547" s="6" t="n"/>
      <c r="D1547" s="6" t="n"/>
      <c r="E1547" s="8" t="n"/>
      <c r="F1547" s="6" t="n"/>
    </row>
    <row r="1548">
      <c r="A1548" s="6" t="n"/>
      <c r="B1548" s="6" t="n"/>
      <c r="C1548" s="6" t="n"/>
      <c r="D1548" s="6" t="n"/>
      <c r="E1548" s="8" t="n"/>
      <c r="F1548" s="6" t="n"/>
    </row>
    <row r="1549">
      <c r="A1549" s="6" t="n"/>
      <c r="B1549" s="6" t="n"/>
      <c r="C1549" s="6" t="n"/>
      <c r="D1549" s="6" t="n"/>
      <c r="E1549" s="8" t="n"/>
      <c r="F1549" s="6" t="n"/>
    </row>
    <row r="1550">
      <c r="A1550" s="6" t="n"/>
      <c r="B1550" s="6" t="n"/>
      <c r="C1550" s="6" t="n"/>
      <c r="D1550" s="6" t="n"/>
      <c r="E1550" s="8" t="n"/>
      <c r="F1550" s="6" t="n"/>
    </row>
    <row r="1551">
      <c r="A1551" s="6" t="n"/>
      <c r="B1551" s="6" t="n"/>
      <c r="C1551" s="6" t="n"/>
      <c r="D1551" s="6" t="n"/>
      <c r="E1551" s="8" t="n"/>
      <c r="F1551" s="6" t="n"/>
    </row>
    <row r="1552">
      <c r="A1552" s="6" t="n"/>
      <c r="B1552" s="6" t="n"/>
      <c r="C1552" s="6" t="n"/>
      <c r="D1552" s="6" t="n"/>
      <c r="E1552" s="8" t="n"/>
      <c r="F1552" s="6" t="n"/>
    </row>
    <row r="1553">
      <c r="A1553" s="6" t="n"/>
      <c r="B1553" s="6" t="n"/>
      <c r="C1553" s="6" t="n"/>
      <c r="D1553" s="6" t="n"/>
      <c r="E1553" s="8" t="n"/>
      <c r="F1553" s="6" t="n"/>
    </row>
    <row r="1554">
      <c r="A1554" s="6" t="n"/>
      <c r="B1554" s="6" t="n"/>
      <c r="C1554" s="6" t="n"/>
      <c r="D1554" s="6" t="n"/>
      <c r="E1554" s="8" t="n"/>
      <c r="F1554" s="6" t="n"/>
    </row>
    <row r="1555">
      <c r="A1555" s="6" t="n"/>
      <c r="B1555" s="6" t="n"/>
      <c r="C1555" s="6" t="n"/>
      <c r="D1555" s="6" t="n"/>
      <c r="E1555" s="8" t="n"/>
      <c r="F1555" s="6" t="n"/>
    </row>
    <row r="1556">
      <c r="A1556" s="6" t="n"/>
      <c r="B1556" s="6" t="n"/>
      <c r="C1556" s="6" t="n"/>
      <c r="D1556" s="6" t="n"/>
      <c r="E1556" s="8" t="n"/>
      <c r="F1556" s="6" t="n"/>
    </row>
    <row r="1557">
      <c r="A1557" s="6" t="n"/>
      <c r="B1557" s="6" t="n"/>
      <c r="C1557" s="6" t="n"/>
      <c r="D1557" s="6" t="n"/>
      <c r="E1557" s="8" t="n"/>
      <c r="F1557" s="6" t="n"/>
    </row>
    <row r="1558">
      <c r="A1558" s="6" t="n"/>
      <c r="B1558" s="6" t="n"/>
      <c r="C1558" s="6" t="n"/>
      <c r="D1558" s="6" t="n"/>
      <c r="E1558" s="8" t="n"/>
      <c r="F1558" s="6" t="n"/>
    </row>
    <row r="1559">
      <c r="A1559" s="6" t="n"/>
      <c r="B1559" s="6" t="n"/>
      <c r="C1559" s="6" t="n"/>
      <c r="D1559" s="6" t="n"/>
      <c r="E1559" s="8" t="n"/>
      <c r="F1559" s="6" t="n"/>
    </row>
    <row r="1560">
      <c r="A1560" s="6" t="n"/>
      <c r="B1560" s="6" t="n"/>
      <c r="C1560" s="6" t="n"/>
      <c r="D1560" s="6" t="n"/>
      <c r="E1560" s="8" t="n"/>
      <c r="F1560" s="6" t="n"/>
    </row>
    <row r="1561">
      <c r="A1561" s="6" t="n"/>
      <c r="B1561" s="6" t="n"/>
      <c r="C1561" s="6" t="n"/>
      <c r="D1561" s="6" t="n"/>
      <c r="E1561" s="8" t="n"/>
      <c r="F1561" s="6" t="n"/>
    </row>
    <row r="1562">
      <c r="A1562" s="6" t="n"/>
      <c r="B1562" s="6" t="n"/>
      <c r="C1562" s="6" t="n"/>
      <c r="D1562" s="6" t="n"/>
      <c r="E1562" s="8" t="n"/>
      <c r="F1562" s="6" t="n"/>
    </row>
    <row r="1563">
      <c r="A1563" s="6" t="n"/>
      <c r="B1563" s="6" t="n"/>
      <c r="C1563" s="6" t="n"/>
      <c r="D1563" s="6" t="n"/>
      <c r="E1563" s="8" t="n"/>
      <c r="F1563" s="6" t="n"/>
    </row>
    <row r="1564">
      <c r="A1564" s="6" t="n"/>
      <c r="B1564" s="6" t="n"/>
      <c r="C1564" s="6" t="n"/>
      <c r="D1564" s="6" t="n"/>
      <c r="E1564" s="8" t="n"/>
      <c r="F1564" s="6" t="n"/>
    </row>
    <row r="1565">
      <c r="A1565" s="6" t="n"/>
      <c r="B1565" s="6" t="n"/>
      <c r="C1565" s="6" t="n"/>
      <c r="D1565" s="6" t="n"/>
      <c r="E1565" s="8" t="n"/>
      <c r="F1565" s="6" t="n"/>
    </row>
    <row r="1566">
      <c r="A1566" s="6" t="n"/>
      <c r="B1566" s="6" t="n"/>
      <c r="C1566" s="6" t="n"/>
      <c r="D1566" s="6" t="n"/>
      <c r="E1566" s="8" t="n"/>
      <c r="F1566" s="6" t="n"/>
    </row>
    <row r="1567">
      <c r="A1567" s="6" t="n"/>
      <c r="B1567" s="6" t="n"/>
      <c r="C1567" s="6" t="n"/>
      <c r="D1567" s="6" t="n"/>
      <c r="E1567" s="8" t="n"/>
      <c r="F1567" s="6" t="n"/>
    </row>
    <row r="1568">
      <c r="A1568" s="6" t="n"/>
      <c r="B1568" s="6" t="n"/>
      <c r="C1568" s="6" t="n"/>
      <c r="D1568" s="6" t="n"/>
      <c r="E1568" s="8" t="n"/>
      <c r="F1568" s="6" t="n"/>
    </row>
    <row r="1569">
      <c r="A1569" s="6" t="n"/>
      <c r="B1569" s="6" t="n"/>
      <c r="C1569" s="6" t="n"/>
      <c r="D1569" s="6" t="n"/>
      <c r="E1569" s="8" t="n"/>
      <c r="F1569" s="6" t="n"/>
    </row>
    <row r="1570">
      <c r="A1570" s="6" t="n"/>
      <c r="B1570" s="6" t="n"/>
      <c r="C1570" s="6" t="n"/>
      <c r="D1570" s="6" t="n"/>
      <c r="E1570" s="8" t="n"/>
      <c r="F1570" s="6" t="n"/>
    </row>
    <row r="1571">
      <c r="A1571" s="6" t="n"/>
      <c r="B1571" s="6" t="n"/>
      <c r="C1571" s="6" t="n"/>
      <c r="D1571" s="6" t="n"/>
      <c r="E1571" s="8" t="n"/>
      <c r="F1571" s="6" t="n"/>
    </row>
    <row r="1572">
      <c r="A1572" s="6" t="n"/>
      <c r="B1572" s="6" t="n"/>
      <c r="C1572" s="6" t="n"/>
      <c r="D1572" s="6" t="n"/>
      <c r="E1572" s="8" t="n"/>
      <c r="F1572" s="6" t="n"/>
    </row>
    <row r="1573">
      <c r="A1573" s="6" t="n"/>
      <c r="B1573" s="6" t="n"/>
      <c r="C1573" s="6" t="n"/>
      <c r="D1573" s="6" t="n"/>
      <c r="E1573" s="8" t="n"/>
      <c r="F1573" s="6" t="n"/>
    </row>
    <row r="1574">
      <c r="A1574" s="6" t="n"/>
      <c r="B1574" s="6" t="n"/>
      <c r="C1574" s="6" t="n"/>
      <c r="D1574" s="6" t="n"/>
      <c r="E1574" s="8" t="n"/>
      <c r="F1574" s="6" t="n"/>
    </row>
    <row r="1575">
      <c r="A1575" s="6" t="n"/>
      <c r="B1575" s="6" t="n"/>
      <c r="C1575" s="6" t="n"/>
      <c r="D1575" s="6" t="n"/>
      <c r="E1575" s="8" t="n"/>
      <c r="F1575" s="6" t="n"/>
    </row>
    <row r="1576">
      <c r="A1576" s="6" t="n"/>
      <c r="B1576" s="6" t="n"/>
      <c r="C1576" s="6" t="n"/>
      <c r="D1576" s="6" t="n"/>
      <c r="E1576" s="8" t="n"/>
      <c r="F1576" s="6" t="n"/>
    </row>
    <row r="1577">
      <c r="A1577" s="6" t="n"/>
      <c r="B1577" s="6" t="n"/>
      <c r="C1577" s="6" t="n"/>
      <c r="D1577" s="6" t="n"/>
      <c r="E1577" s="8" t="n"/>
      <c r="F1577" s="6" t="n"/>
    </row>
    <row r="1578">
      <c r="A1578" s="6" t="n"/>
      <c r="B1578" s="6" t="n"/>
      <c r="C1578" s="6" t="n"/>
      <c r="D1578" s="6" t="n"/>
      <c r="E1578" s="8" t="n"/>
      <c r="F1578" s="6" t="n"/>
    </row>
    <row r="1579">
      <c r="A1579" s="6" t="n"/>
      <c r="B1579" s="6" t="n"/>
      <c r="C1579" s="6" t="n"/>
      <c r="D1579" s="6" t="n"/>
      <c r="E1579" s="8" t="n"/>
      <c r="F1579" s="6" t="n"/>
    </row>
    <row r="1580">
      <c r="A1580" s="6" t="n"/>
      <c r="B1580" s="6" t="n"/>
      <c r="C1580" s="6" t="n"/>
      <c r="D1580" s="6" t="n"/>
      <c r="E1580" s="8" t="n"/>
      <c r="F1580" s="6" t="n"/>
    </row>
    <row r="1581">
      <c r="A1581" s="6" t="n"/>
      <c r="B1581" s="6" t="n"/>
      <c r="C1581" s="6" t="n"/>
      <c r="D1581" s="6" t="n"/>
      <c r="E1581" s="8" t="n"/>
      <c r="F1581" s="6" t="n"/>
    </row>
    <row r="1582">
      <c r="A1582" s="6" t="n"/>
      <c r="B1582" s="6" t="n"/>
      <c r="C1582" s="6" t="n"/>
      <c r="D1582" s="6" t="n"/>
      <c r="E1582" s="8" t="n"/>
      <c r="F1582" s="6" t="n"/>
    </row>
    <row r="1583">
      <c r="A1583" s="6" t="n"/>
      <c r="B1583" s="6" t="n"/>
      <c r="C1583" s="6" t="n"/>
      <c r="D1583" s="6" t="n"/>
      <c r="E1583" s="8" t="n"/>
      <c r="F1583" s="6" t="n"/>
    </row>
    <row r="1584">
      <c r="A1584" s="6" t="n"/>
      <c r="B1584" s="6" t="n"/>
      <c r="C1584" s="6" t="n"/>
      <c r="D1584" s="6" t="n"/>
      <c r="E1584" s="8" t="n"/>
      <c r="F1584" s="6" t="n"/>
    </row>
    <row r="1585">
      <c r="A1585" s="6" t="n"/>
      <c r="B1585" s="6" t="n"/>
      <c r="C1585" s="6" t="n"/>
      <c r="D1585" s="6" t="n"/>
      <c r="E1585" s="8" t="n"/>
      <c r="F1585" s="6" t="n"/>
    </row>
    <row r="1586">
      <c r="A1586" s="6" t="n"/>
      <c r="B1586" s="6" t="n"/>
      <c r="C1586" s="6" t="n"/>
      <c r="D1586" s="6" t="n"/>
      <c r="E1586" s="8" t="n"/>
      <c r="F1586" s="6" t="n"/>
    </row>
    <row r="1587">
      <c r="A1587" s="6" t="n"/>
      <c r="B1587" s="6" t="n"/>
      <c r="C1587" s="6" t="n"/>
      <c r="D1587" s="6" t="n"/>
      <c r="E1587" s="8" t="n"/>
      <c r="F1587" s="6" t="n"/>
    </row>
    <row r="1588">
      <c r="A1588" s="6" t="n"/>
      <c r="B1588" s="6" t="n"/>
      <c r="C1588" s="6" t="n"/>
      <c r="D1588" s="6" t="n"/>
      <c r="E1588" s="8" t="n"/>
      <c r="F1588" s="6" t="n"/>
    </row>
    <row r="1589">
      <c r="A1589" s="6" t="n"/>
      <c r="B1589" s="6" t="n"/>
      <c r="C1589" s="6" t="n"/>
      <c r="D1589" s="6" t="n"/>
      <c r="E1589" s="8" t="n"/>
      <c r="F1589" s="6" t="n"/>
    </row>
    <row r="1590">
      <c r="A1590" s="6" t="n"/>
      <c r="B1590" s="6" t="n"/>
      <c r="C1590" s="6" t="n"/>
      <c r="D1590" s="6" t="n"/>
      <c r="E1590" s="8" t="n"/>
      <c r="F1590" s="6" t="n"/>
    </row>
    <row r="1591">
      <c r="A1591" s="6" t="n"/>
      <c r="B1591" s="6" t="n"/>
      <c r="C1591" s="6" t="n"/>
      <c r="D1591" s="6" t="n"/>
      <c r="E1591" s="8" t="n"/>
      <c r="F1591" s="6" t="n"/>
    </row>
    <row r="1592">
      <c r="A1592" s="6" t="n"/>
      <c r="B1592" s="6" t="n"/>
      <c r="C1592" s="6" t="n"/>
      <c r="D1592" s="6" t="n"/>
      <c r="E1592" s="8" t="n"/>
      <c r="F1592" s="6" t="n"/>
    </row>
    <row r="1593">
      <c r="A1593" s="6" t="n"/>
      <c r="B1593" s="6" t="n"/>
      <c r="C1593" s="6" t="n"/>
      <c r="D1593" s="6" t="n"/>
      <c r="E1593" s="8" t="n"/>
      <c r="F1593" s="6" t="n"/>
    </row>
    <row r="1594">
      <c r="A1594" s="6" t="n"/>
      <c r="B1594" s="6" t="n"/>
      <c r="C1594" s="6" t="n"/>
      <c r="D1594" s="6" t="n"/>
      <c r="E1594" s="8" t="n"/>
      <c r="F1594" s="6" t="n"/>
    </row>
    <row r="1595">
      <c r="A1595" s="6" t="n"/>
      <c r="B1595" s="6" t="n"/>
      <c r="C1595" s="6" t="n"/>
      <c r="D1595" s="6" t="n"/>
      <c r="E1595" s="8" t="n"/>
      <c r="F1595" s="6" t="n"/>
    </row>
    <row r="1596">
      <c r="A1596" s="6" t="n"/>
      <c r="B1596" s="6" t="n"/>
      <c r="C1596" s="6" t="n"/>
      <c r="D1596" s="6" t="n"/>
      <c r="E1596" s="8" t="n"/>
      <c r="F1596" s="6" t="n"/>
    </row>
    <row r="1597">
      <c r="A1597" s="6" t="n"/>
      <c r="B1597" s="6" t="n"/>
      <c r="C1597" s="6" t="n"/>
      <c r="D1597" s="6" t="n"/>
      <c r="E1597" s="8" t="n"/>
      <c r="F1597" s="6" t="n"/>
    </row>
    <row r="1598">
      <c r="A1598" s="6" t="n"/>
      <c r="B1598" s="6" t="n"/>
      <c r="C1598" s="6" t="n"/>
      <c r="D1598" s="6" t="n"/>
      <c r="E1598" s="8" t="n"/>
      <c r="F1598" s="6" t="n"/>
    </row>
    <row r="1599">
      <c r="A1599" s="6" t="n"/>
      <c r="B1599" s="6" t="n"/>
      <c r="C1599" s="6" t="n"/>
      <c r="D1599" s="6" t="n"/>
      <c r="E1599" s="8" t="n"/>
      <c r="F1599" s="6" t="n"/>
    </row>
    <row r="1600">
      <c r="A1600" s="6" t="n"/>
      <c r="B1600" s="6" t="n"/>
      <c r="C1600" s="6" t="n"/>
      <c r="D1600" s="6" t="n"/>
      <c r="E1600" s="8" t="n"/>
      <c r="F1600" s="6" t="n"/>
    </row>
    <row r="1601">
      <c r="A1601" s="6" t="n"/>
      <c r="B1601" s="6" t="n"/>
      <c r="C1601" s="6" t="n"/>
      <c r="D1601" s="6" t="n"/>
      <c r="E1601" s="8" t="n"/>
      <c r="F1601" s="6" t="n"/>
    </row>
    <row r="1602">
      <c r="A1602" s="6" t="n"/>
      <c r="B1602" s="6" t="n"/>
      <c r="C1602" s="6" t="n"/>
      <c r="D1602" s="6" t="n"/>
      <c r="E1602" s="8" t="n"/>
      <c r="F1602" s="6" t="n"/>
    </row>
    <row r="1603">
      <c r="A1603" s="6" t="n"/>
      <c r="B1603" s="6" t="n"/>
      <c r="C1603" s="6" t="n"/>
      <c r="D1603" s="6" t="n"/>
      <c r="E1603" s="8" t="n"/>
      <c r="F1603" s="6" t="n"/>
    </row>
    <row r="1604">
      <c r="A1604" s="6" t="n"/>
      <c r="B1604" s="6" t="n"/>
      <c r="C1604" s="6" t="n"/>
      <c r="D1604" s="6" t="n"/>
      <c r="E1604" s="8" t="n"/>
      <c r="F1604" s="6" t="n"/>
    </row>
    <row r="1605">
      <c r="A1605" s="6" t="n"/>
      <c r="B1605" s="6" t="n"/>
      <c r="C1605" s="6" t="n"/>
      <c r="D1605" s="6" t="n"/>
      <c r="E1605" s="8" t="n"/>
      <c r="F1605" s="6" t="n"/>
    </row>
    <row r="1606">
      <c r="A1606" s="6" t="n"/>
      <c r="B1606" s="6" t="n"/>
      <c r="C1606" s="6" t="n"/>
      <c r="D1606" s="6" t="n"/>
      <c r="E1606" s="8" t="n"/>
      <c r="F1606" s="6" t="n"/>
    </row>
    <row r="1607">
      <c r="A1607" s="6" t="n"/>
      <c r="B1607" s="6" t="n"/>
      <c r="C1607" s="6" t="n"/>
      <c r="D1607" s="6" t="n"/>
      <c r="E1607" s="8" t="n"/>
      <c r="F1607" s="6" t="n"/>
    </row>
    <row r="1608">
      <c r="A1608" s="6" t="n"/>
      <c r="B1608" s="6" t="n"/>
      <c r="C1608" s="6" t="n"/>
      <c r="D1608" s="6" t="n"/>
      <c r="E1608" s="8" t="n"/>
      <c r="F1608" s="6" t="n"/>
    </row>
    <row r="1609">
      <c r="A1609" s="6" t="n"/>
      <c r="B1609" s="6" t="n"/>
      <c r="C1609" s="6" t="n"/>
      <c r="D1609" s="6" t="n"/>
      <c r="E1609" s="8" t="n"/>
      <c r="F1609" s="6" t="n"/>
    </row>
    <row r="1610">
      <c r="A1610" s="6" t="n"/>
      <c r="B1610" s="6" t="n"/>
      <c r="C1610" s="6" t="n"/>
      <c r="D1610" s="6" t="n"/>
      <c r="E1610" s="8" t="n"/>
      <c r="F1610" s="6" t="n"/>
    </row>
    <row r="1611">
      <c r="A1611" s="6" t="n"/>
      <c r="B1611" s="6" t="n"/>
      <c r="C1611" s="6" t="n"/>
      <c r="D1611" s="6" t="n"/>
      <c r="E1611" s="8" t="n"/>
      <c r="F1611" s="6" t="n"/>
    </row>
    <row r="1612">
      <c r="A1612" s="6" t="n"/>
      <c r="B1612" s="6" t="n"/>
      <c r="C1612" s="6" t="n"/>
      <c r="D1612" s="6" t="n"/>
      <c r="E1612" s="8" t="n"/>
      <c r="F1612" s="6" t="n"/>
    </row>
    <row r="1613">
      <c r="A1613" s="6" t="n"/>
      <c r="B1613" s="6" t="n"/>
      <c r="C1613" s="6" t="n"/>
      <c r="D1613" s="6" t="n"/>
      <c r="E1613" s="8" t="n"/>
      <c r="F1613" s="6" t="n"/>
    </row>
    <row r="1614">
      <c r="A1614" s="6" t="n"/>
      <c r="B1614" s="6" t="n"/>
      <c r="C1614" s="6" t="n"/>
      <c r="D1614" s="6" t="n"/>
      <c r="E1614" s="8" t="n"/>
      <c r="F1614" s="6" t="n"/>
    </row>
    <row r="1615">
      <c r="A1615" s="6" t="n"/>
      <c r="B1615" s="6" t="n"/>
      <c r="C1615" s="6" t="n"/>
      <c r="D1615" s="6" t="n"/>
      <c r="E1615" s="8" t="n"/>
      <c r="F1615" s="6" t="n"/>
    </row>
    <row r="1616">
      <c r="A1616" s="6" t="n"/>
      <c r="B1616" s="6" t="n"/>
      <c r="C1616" s="6" t="n"/>
      <c r="D1616" s="6" t="n"/>
      <c r="E1616" s="8" t="n"/>
      <c r="F1616" s="6" t="n"/>
    </row>
    <row r="1617">
      <c r="A1617" s="6" t="n"/>
      <c r="B1617" s="6" t="n"/>
      <c r="C1617" s="6" t="n"/>
      <c r="D1617" s="6" t="n"/>
      <c r="E1617" s="8" t="n"/>
      <c r="F1617" s="6" t="n"/>
    </row>
    <row r="1618">
      <c r="A1618" s="6" t="n"/>
      <c r="B1618" s="6" t="n"/>
      <c r="C1618" s="6" t="n"/>
      <c r="D1618" s="6" t="n"/>
      <c r="E1618" s="8" t="n"/>
      <c r="F1618" s="6" t="n"/>
    </row>
    <row r="1619">
      <c r="A1619" s="6" t="n"/>
      <c r="B1619" s="6" t="n"/>
      <c r="C1619" s="6" t="n"/>
      <c r="D1619" s="6" t="n"/>
      <c r="E1619" s="8" t="n"/>
      <c r="F1619" s="6" t="n"/>
    </row>
    <row r="1620">
      <c r="A1620" s="6" t="n"/>
      <c r="B1620" s="6" t="n"/>
      <c r="C1620" s="6" t="n"/>
      <c r="D1620" s="6" t="n"/>
      <c r="E1620" s="8" t="n"/>
      <c r="F1620" s="6" t="n"/>
    </row>
    <row r="1621">
      <c r="A1621" s="6" t="n"/>
      <c r="B1621" s="6" t="n"/>
      <c r="C1621" s="6" t="n"/>
      <c r="D1621" s="6" t="n"/>
      <c r="E1621" s="8" t="n"/>
      <c r="F1621" s="6" t="n"/>
    </row>
    <row r="1622">
      <c r="A1622" s="6" t="n"/>
      <c r="B1622" s="6" t="n"/>
      <c r="C1622" s="6" t="n"/>
      <c r="D1622" s="6" t="n"/>
      <c r="E1622" s="8" t="n"/>
      <c r="F1622" s="6" t="n"/>
    </row>
    <row r="1623">
      <c r="A1623" s="6" t="n"/>
      <c r="B1623" s="6" t="n"/>
      <c r="C1623" s="6" t="n"/>
      <c r="D1623" s="6" t="n"/>
      <c r="E1623" s="8" t="n"/>
      <c r="F1623" s="6" t="n"/>
    </row>
    <row r="1624">
      <c r="A1624" s="6" t="n"/>
      <c r="B1624" s="6" t="n"/>
      <c r="C1624" s="6" t="n"/>
      <c r="D1624" s="6" t="n"/>
      <c r="E1624" s="8" t="n"/>
      <c r="F1624" s="6" t="n"/>
    </row>
    <row r="1625">
      <c r="A1625" s="6" t="n"/>
      <c r="B1625" s="6" t="n"/>
      <c r="C1625" s="6" t="n"/>
      <c r="D1625" s="6" t="n"/>
      <c r="E1625" s="8" t="n"/>
      <c r="F1625" s="6" t="n"/>
    </row>
    <row r="1626">
      <c r="A1626" s="6" t="n"/>
      <c r="B1626" s="6" t="n"/>
      <c r="C1626" s="6" t="n"/>
      <c r="D1626" s="6" t="n"/>
      <c r="E1626" s="8" t="n"/>
      <c r="F1626" s="6" t="n"/>
    </row>
    <row r="1627">
      <c r="A1627" s="6" t="n"/>
      <c r="B1627" s="6" t="n"/>
      <c r="C1627" s="6" t="n"/>
      <c r="D1627" s="6" t="n"/>
      <c r="E1627" s="8" t="n"/>
      <c r="F1627" s="6" t="n"/>
    </row>
    <row r="1628">
      <c r="A1628" s="6" t="n"/>
      <c r="B1628" s="6" t="n"/>
      <c r="C1628" s="6" t="n"/>
      <c r="D1628" s="6" t="n"/>
      <c r="E1628" s="8" t="n"/>
      <c r="F1628" s="6" t="n"/>
    </row>
    <row r="1629">
      <c r="A1629" s="6" t="n"/>
      <c r="B1629" s="6" t="n"/>
      <c r="C1629" s="6" t="n"/>
      <c r="D1629" s="6" t="n"/>
      <c r="E1629" s="8" t="n"/>
      <c r="F1629" s="6" t="n"/>
    </row>
    <row r="1630">
      <c r="A1630" s="6" t="n"/>
      <c r="B1630" s="6" t="n"/>
      <c r="C1630" s="6" t="n"/>
      <c r="D1630" s="6" t="n"/>
      <c r="E1630" s="8" t="n"/>
      <c r="F1630" s="6" t="n"/>
    </row>
    <row r="1631">
      <c r="A1631" s="6" t="n"/>
      <c r="B1631" s="6" t="n"/>
      <c r="C1631" s="6" t="n"/>
      <c r="D1631" s="6" t="n"/>
      <c r="E1631" s="8" t="n"/>
      <c r="F1631" s="6" t="n"/>
    </row>
    <row r="1632">
      <c r="A1632" s="6" t="n"/>
      <c r="B1632" s="6" t="n"/>
      <c r="C1632" s="6" t="n"/>
      <c r="D1632" s="6" t="n"/>
      <c r="E1632" s="8" t="n"/>
      <c r="F1632" s="6" t="n"/>
    </row>
    <row r="1633">
      <c r="A1633" s="6" t="n"/>
      <c r="B1633" s="6" t="n"/>
      <c r="C1633" s="6" t="n"/>
      <c r="D1633" s="6" t="n"/>
      <c r="E1633" s="8" t="n"/>
      <c r="F1633" s="6" t="n"/>
    </row>
    <row r="1634">
      <c r="A1634" s="6" t="n"/>
      <c r="B1634" s="6" t="n"/>
      <c r="C1634" s="6" t="n"/>
      <c r="D1634" s="6" t="n"/>
      <c r="E1634" s="8" t="n"/>
      <c r="F1634" s="6" t="n"/>
    </row>
    <row r="1635">
      <c r="A1635" s="6" t="n"/>
      <c r="B1635" s="6" t="n"/>
      <c r="C1635" s="6" t="n"/>
      <c r="D1635" s="6" t="n"/>
      <c r="E1635" s="8" t="n"/>
      <c r="F1635" s="6" t="n"/>
    </row>
    <row r="1636">
      <c r="A1636" s="6" t="n"/>
      <c r="B1636" s="6" t="n"/>
      <c r="C1636" s="6" t="n"/>
      <c r="D1636" s="6" t="n"/>
      <c r="E1636" s="8" t="n"/>
      <c r="F1636" s="6" t="n"/>
    </row>
    <row r="1637">
      <c r="A1637" s="6" t="n"/>
      <c r="B1637" s="6" t="n"/>
      <c r="C1637" s="6" t="n"/>
      <c r="D1637" s="6" t="n"/>
      <c r="E1637" s="8" t="n"/>
      <c r="F1637" s="6" t="n"/>
    </row>
    <row r="1638">
      <c r="A1638" s="6" t="n"/>
      <c r="B1638" s="6" t="n"/>
      <c r="C1638" s="6" t="n"/>
      <c r="D1638" s="6" t="n"/>
      <c r="E1638" s="8" t="n"/>
      <c r="F1638" s="6" t="n"/>
    </row>
    <row r="1639">
      <c r="A1639" s="6" t="n"/>
      <c r="B1639" s="6" t="n"/>
      <c r="C1639" s="6" t="n"/>
      <c r="D1639" s="6" t="n"/>
      <c r="E1639" s="8" t="n"/>
      <c r="F1639" s="6" t="n"/>
    </row>
    <row r="1640">
      <c r="A1640" s="6" t="n"/>
      <c r="B1640" s="6" t="n"/>
      <c r="C1640" s="6" t="n"/>
      <c r="D1640" s="6" t="n"/>
      <c r="E1640" s="8" t="n"/>
      <c r="F1640" s="6" t="n"/>
    </row>
    <row r="1641">
      <c r="A1641" s="6" t="n"/>
      <c r="B1641" s="6" t="n"/>
      <c r="C1641" s="6" t="n"/>
      <c r="D1641" s="6" t="n"/>
      <c r="E1641" s="8" t="n"/>
      <c r="F1641" s="6" t="n"/>
    </row>
    <row r="1642">
      <c r="A1642" s="6" t="n"/>
      <c r="B1642" s="6" t="n"/>
      <c r="C1642" s="6" t="n"/>
      <c r="D1642" s="6" t="n"/>
      <c r="E1642" s="8" t="n"/>
      <c r="F1642" s="6" t="n"/>
    </row>
    <row r="1643">
      <c r="A1643" s="6" t="n"/>
      <c r="B1643" s="6" t="n"/>
      <c r="C1643" s="6" t="n"/>
      <c r="D1643" s="6" t="n"/>
      <c r="E1643" s="8" t="n"/>
      <c r="F1643" s="6" t="n"/>
    </row>
    <row r="1644">
      <c r="A1644" s="6" t="n"/>
      <c r="B1644" s="6" t="n"/>
      <c r="C1644" s="6" t="n"/>
      <c r="D1644" s="6" t="n"/>
      <c r="E1644" s="8" t="n"/>
      <c r="F1644" s="6" t="n"/>
    </row>
    <row r="1645">
      <c r="A1645" s="6" t="n"/>
      <c r="B1645" s="6" t="n"/>
      <c r="C1645" s="6" t="n"/>
      <c r="D1645" s="6" t="n"/>
      <c r="E1645" s="8" t="n"/>
      <c r="F1645" s="6" t="n"/>
    </row>
    <row r="1646">
      <c r="A1646" s="6" t="n"/>
      <c r="B1646" s="6" t="n"/>
      <c r="C1646" s="6" t="n"/>
      <c r="D1646" s="6" t="n"/>
      <c r="E1646" s="8" t="n"/>
      <c r="F1646" s="6" t="n"/>
    </row>
    <row r="1647">
      <c r="A1647" s="6" t="n"/>
      <c r="B1647" s="6" t="n"/>
      <c r="C1647" s="6" t="n"/>
      <c r="D1647" s="6" t="n"/>
      <c r="E1647" s="8" t="n"/>
      <c r="F1647" s="6" t="n"/>
    </row>
    <row r="1648">
      <c r="A1648" s="6" t="n"/>
      <c r="B1648" s="6" t="n"/>
      <c r="C1648" s="6" t="n"/>
      <c r="D1648" s="6" t="n"/>
      <c r="E1648" s="8" t="n"/>
      <c r="F1648" s="6" t="n"/>
    </row>
    <row r="1649">
      <c r="A1649" s="6" t="n"/>
      <c r="B1649" s="6" t="n"/>
      <c r="C1649" s="6" t="n"/>
      <c r="D1649" s="6" t="n"/>
      <c r="E1649" s="8" t="n"/>
      <c r="F1649" s="6" t="n"/>
    </row>
    <row r="1650">
      <c r="A1650" s="6" t="n"/>
      <c r="B1650" s="6" t="n"/>
      <c r="C1650" s="6" t="n"/>
      <c r="D1650" s="6" t="n"/>
      <c r="E1650" s="8" t="n"/>
      <c r="F1650" s="6" t="n"/>
    </row>
    <row r="1651">
      <c r="A1651" s="6" t="n"/>
      <c r="B1651" s="6" t="n"/>
      <c r="C1651" s="6" t="n"/>
      <c r="D1651" s="6" t="n"/>
      <c r="E1651" s="8" t="n"/>
      <c r="F1651" s="6" t="n"/>
    </row>
    <row r="1652">
      <c r="A1652" s="6" t="n"/>
      <c r="B1652" s="6" t="n"/>
      <c r="C1652" s="6" t="n"/>
      <c r="D1652" s="6" t="n"/>
      <c r="E1652" s="8" t="n"/>
      <c r="F1652" s="6" t="n"/>
    </row>
    <row r="1653">
      <c r="A1653" s="6" t="n"/>
      <c r="B1653" s="6" t="n"/>
      <c r="C1653" s="6" t="n"/>
      <c r="D1653" s="6" t="n"/>
      <c r="E1653" s="8" t="n"/>
      <c r="F1653" s="6" t="n"/>
    </row>
    <row r="1654">
      <c r="A1654" s="6" t="n"/>
      <c r="B1654" s="6" t="n"/>
      <c r="C1654" s="6" t="n"/>
      <c r="D1654" s="6" t="n"/>
      <c r="E1654" s="8" t="n"/>
      <c r="F1654" s="6" t="n"/>
    </row>
    <row r="1655">
      <c r="A1655" s="6" t="n"/>
      <c r="B1655" s="6" t="n"/>
      <c r="C1655" s="6" t="n"/>
      <c r="D1655" s="6" t="n"/>
      <c r="E1655" s="8" t="n"/>
      <c r="F1655" s="6" t="n"/>
    </row>
    <row r="1656">
      <c r="A1656" s="6" t="n"/>
      <c r="B1656" s="6" t="n"/>
      <c r="C1656" s="6" t="n"/>
      <c r="D1656" s="6" t="n"/>
      <c r="E1656" s="8" t="n"/>
      <c r="F1656" s="6" t="n"/>
    </row>
    <row r="1657">
      <c r="A1657" s="6" t="n"/>
      <c r="B1657" s="6" t="n"/>
      <c r="C1657" s="6" t="n"/>
      <c r="D1657" s="6" t="n"/>
      <c r="E1657" s="8" t="n"/>
      <c r="F1657" s="6" t="n"/>
    </row>
    <row r="1658">
      <c r="A1658" s="6" t="n"/>
      <c r="B1658" s="6" t="n"/>
      <c r="C1658" s="6" t="n"/>
      <c r="D1658" s="6" t="n"/>
      <c r="E1658" s="8" t="n"/>
      <c r="F1658" s="6" t="n"/>
    </row>
    <row r="1659">
      <c r="A1659" s="6" t="n"/>
      <c r="B1659" s="6" t="n"/>
      <c r="C1659" s="6" t="n"/>
      <c r="D1659" s="6" t="n"/>
      <c r="E1659" s="8" t="n"/>
      <c r="F1659" s="6" t="n"/>
    </row>
    <row r="1660">
      <c r="A1660" s="6" t="n"/>
      <c r="B1660" s="6" t="n"/>
      <c r="C1660" s="6" t="n"/>
      <c r="D1660" s="6" t="n"/>
      <c r="E1660" s="8" t="n"/>
      <c r="F1660" s="6" t="n"/>
    </row>
    <row r="1661">
      <c r="A1661" s="6" t="n"/>
      <c r="B1661" s="6" t="n"/>
      <c r="C1661" s="6" t="n"/>
      <c r="D1661" s="6" t="n"/>
      <c r="E1661" s="8" t="n"/>
      <c r="F1661" s="6" t="n"/>
    </row>
    <row r="1662">
      <c r="A1662" s="6" t="n"/>
      <c r="B1662" s="6" t="n"/>
      <c r="C1662" s="6" t="n"/>
      <c r="D1662" s="6" t="n"/>
      <c r="E1662" s="8" t="n"/>
      <c r="F1662" s="6" t="n"/>
    </row>
    <row r="1663">
      <c r="A1663" s="6" t="n"/>
      <c r="B1663" s="6" t="n"/>
      <c r="C1663" s="6" t="n"/>
      <c r="D1663" s="6" t="n"/>
      <c r="E1663" s="8" t="n"/>
      <c r="F1663" s="6" t="n"/>
    </row>
    <row r="1664">
      <c r="A1664" s="6" t="n"/>
      <c r="B1664" s="6" t="n"/>
      <c r="C1664" s="6" t="n"/>
      <c r="D1664" s="6" t="n"/>
      <c r="E1664" s="8" t="n"/>
      <c r="F1664" s="6" t="n"/>
    </row>
    <row r="1665">
      <c r="A1665" s="6" t="n"/>
      <c r="B1665" s="6" t="n"/>
      <c r="C1665" s="6" t="n"/>
      <c r="D1665" s="6" t="n"/>
      <c r="E1665" s="8" t="n"/>
      <c r="F1665" s="6" t="n"/>
    </row>
    <row r="1666">
      <c r="A1666" s="6" t="n"/>
      <c r="B1666" s="6" t="n"/>
      <c r="C1666" s="6" t="n"/>
      <c r="D1666" s="6" t="n"/>
      <c r="E1666" s="8" t="n"/>
      <c r="F1666" s="6" t="n"/>
    </row>
    <row r="1667">
      <c r="A1667" s="6" t="n"/>
      <c r="B1667" s="6" t="n"/>
      <c r="C1667" s="6" t="n"/>
      <c r="D1667" s="6" t="n"/>
      <c r="E1667" s="8" t="n"/>
      <c r="F1667" s="6" t="n"/>
    </row>
    <row r="1668">
      <c r="A1668" s="6" t="n"/>
      <c r="B1668" s="6" t="n"/>
      <c r="C1668" s="6" t="n"/>
      <c r="D1668" s="6" t="n"/>
      <c r="E1668" s="8" t="n"/>
      <c r="F1668" s="6" t="n"/>
    </row>
    <row r="1669">
      <c r="A1669" s="6" t="n"/>
      <c r="B1669" s="6" t="n"/>
      <c r="C1669" s="6" t="n"/>
      <c r="D1669" s="6" t="n"/>
      <c r="E1669" s="8" t="n"/>
      <c r="F1669" s="6" t="n"/>
    </row>
    <row r="1670">
      <c r="A1670" s="6" t="n"/>
      <c r="B1670" s="6" t="n"/>
      <c r="C1670" s="6" t="n"/>
      <c r="D1670" s="6" t="n"/>
      <c r="E1670" s="8" t="n"/>
      <c r="F1670" s="6" t="n"/>
    </row>
    <row r="1671">
      <c r="A1671" s="6" t="n"/>
      <c r="B1671" s="6" t="n"/>
      <c r="C1671" s="6" t="n"/>
      <c r="D1671" s="6" t="n"/>
      <c r="E1671" s="8" t="n"/>
      <c r="F1671" s="6" t="n"/>
    </row>
    <row r="1672">
      <c r="A1672" s="6" t="n"/>
      <c r="B1672" s="6" t="n"/>
      <c r="C1672" s="6" t="n"/>
      <c r="D1672" s="6" t="n"/>
      <c r="E1672" s="8" t="n"/>
      <c r="F1672" s="6" t="n"/>
    </row>
    <row r="1673">
      <c r="A1673" s="6" t="n"/>
      <c r="B1673" s="6" t="n"/>
      <c r="C1673" s="6" t="n"/>
      <c r="D1673" s="6" t="n"/>
      <c r="E1673" s="8" t="n"/>
      <c r="F1673" s="6" t="n"/>
    </row>
    <row r="1674">
      <c r="A1674" s="6" t="n"/>
      <c r="B1674" s="6" t="n"/>
      <c r="C1674" s="6" t="n"/>
      <c r="D1674" s="6" t="n"/>
      <c r="E1674" s="8" t="n"/>
      <c r="F1674" s="6" t="n"/>
    </row>
    <row r="1675">
      <c r="A1675" s="6" t="n"/>
      <c r="B1675" s="6" t="n"/>
      <c r="C1675" s="6" t="n"/>
      <c r="D1675" s="6" t="n"/>
      <c r="E1675" s="8" t="n"/>
      <c r="F1675" s="6" t="n"/>
    </row>
    <row r="1676">
      <c r="A1676" s="6" t="n"/>
      <c r="B1676" s="6" t="n"/>
      <c r="C1676" s="6" t="n"/>
      <c r="D1676" s="6" t="n"/>
      <c r="E1676" s="8" t="n"/>
      <c r="F1676" s="6" t="n"/>
    </row>
    <row r="1677">
      <c r="A1677" s="6" t="n"/>
      <c r="B1677" s="6" t="n"/>
      <c r="C1677" s="6" t="n"/>
      <c r="D1677" s="6" t="n"/>
      <c r="E1677" s="8" t="n"/>
      <c r="F1677" s="6" t="n"/>
    </row>
    <row r="1678">
      <c r="A1678" s="6" t="n"/>
      <c r="B1678" s="6" t="n"/>
      <c r="C1678" s="6" t="n"/>
      <c r="D1678" s="6" t="n"/>
      <c r="E1678" s="8" t="n"/>
      <c r="F1678" s="6" t="n"/>
    </row>
    <row r="1679">
      <c r="A1679" s="6" t="n"/>
      <c r="B1679" s="6" t="n"/>
      <c r="C1679" s="6" t="n"/>
      <c r="D1679" s="6" t="n"/>
      <c r="E1679" s="8" t="n"/>
      <c r="F1679" s="6" t="n"/>
    </row>
    <row r="1680">
      <c r="A1680" s="6" t="n"/>
      <c r="B1680" s="6" t="n"/>
      <c r="C1680" s="6" t="n"/>
      <c r="D1680" s="6" t="n"/>
      <c r="E1680" s="8" t="n"/>
      <c r="F1680" s="6" t="n"/>
    </row>
    <row r="1681">
      <c r="A1681" s="6" t="n"/>
      <c r="B1681" s="6" t="n"/>
      <c r="C1681" s="6" t="n"/>
      <c r="D1681" s="6" t="n"/>
      <c r="E1681" s="8" t="n"/>
      <c r="F1681" s="6" t="n"/>
    </row>
    <row r="1682">
      <c r="A1682" s="6" t="n"/>
      <c r="B1682" s="6" t="n"/>
      <c r="C1682" s="6" t="n"/>
      <c r="D1682" s="6" t="n"/>
      <c r="E1682" s="8" t="n"/>
      <c r="F1682" s="6" t="n"/>
    </row>
    <row r="1683">
      <c r="A1683" s="6" t="n"/>
      <c r="B1683" s="6" t="n"/>
      <c r="C1683" s="6" t="n"/>
      <c r="D1683" s="6" t="n"/>
      <c r="E1683" s="8" t="n"/>
      <c r="F1683" s="6" t="n"/>
    </row>
    <row r="1684">
      <c r="A1684" s="6" t="n"/>
      <c r="B1684" s="6" t="n"/>
      <c r="C1684" s="6" t="n"/>
      <c r="D1684" s="6" t="n"/>
      <c r="E1684" s="8" t="n"/>
      <c r="F1684" s="6" t="n"/>
    </row>
    <row r="1685">
      <c r="A1685" s="6" t="n"/>
      <c r="B1685" s="6" t="n"/>
      <c r="C1685" s="6" t="n"/>
      <c r="D1685" s="6" t="n"/>
      <c r="E1685" s="8" t="n"/>
      <c r="F1685" s="6" t="n"/>
    </row>
    <row r="1686">
      <c r="A1686" s="6" t="n"/>
      <c r="B1686" s="6" t="n"/>
      <c r="C1686" s="6" t="n"/>
      <c r="D1686" s="6" t="n"/>
      <c r="E1686" s="8" t="n"/>
      <c r="F1686" s="6" t="n"/>
    </row>
    <row r="1687">
      <c r="A1687" s="6" t="n"/>
      <c r="B1687" s="6" t="n"/>
      <c r="C1687" s="6" t="n"/>
      <c r="D1687" s="6" t="n"/>
      <c r="E1687" s="8" t="n"/>
      <c r="F1687" s="6" t="n"/>
    </row>
    <row r="1688">
      <c r="A1688" s="6" t="n"/>
      <c r="B1688" s="6" t="n"/>
      <c r="C1688" s="6" t="n"/>
      <c r="D1688" s="6" t="n"/>
      <c r="E1688" s="8" t="n"/>
      <c r="F1688" s="6" t="n"/>
    </row>
    <row r="1689">
      <c r="A1689" s="6" t="n"/>
      <c r="B1689" s="6" t="n"/>
      <c r="C1689" s="6" t="n"/>
      <c r="D1689" s="6" t="n"/>
      <c r="E1689" s="8" t="n"/>
      <c r="F1689" s="6" t="n"/>
    </row>
    <row r="1690">
      <c r="A1690" s="6" t="n"/>
      <c r="B1690" s="6" t="n"/>
      <c r="C1690" s="6" t="n"/>
      <c r="D1690" s="6" t="n"/>
      <c r="E1690" s="8" t="n"/>
      <c r="F1690" s="6" t="n"/>
    </row>
    <row r="1691">
      <c r="A1691" s="6" t="n"/>
      <c r="B1691" s="6" t="n"/>
      <c r="C1691" s="6" t="n"/>
      <c r="D1691" s="6" t="n"/>
      <c r="E1691" s="8" t="n"/>
      <c r="F1691" s="6" t="n"/>
    </row>
    <row r="1692">
      <c r="A1692" s="6" t="n"/>
      <c r="B1692" s="6" t="n"/>
      <c r="C1692" s="6" t="n"/>
      <c r="D1692" s="6" t="n"/>
      <c r="E1692" s="8" t="n"/>
      <c r="F1692" s="6" t="n"/>
    </row>
    <row r="1693">
      <c r="A1693" s="6" t="n"/>
      <c r="B1693" s="6" t="n"/>
      <c r="C1693" s="6" t="n"/>
      <c r="D1693" s="6" t="n"/>
      <c r="E1693" s="8" t="n"/>
      <c r="F1693" s="6" t="n"/>
    </row>
    <row r="1694">
      <c r="A1694" s="6" t="n"/>
      <c r="B1694" s="6" t="n"/>
      <c r="C1694" s="6" t="n"/>
      <c r="D1694" s="6" t="n"/>
      <c r="E1694" s="8" t="n"/>
      <c r="F1694" s="6" t="n"/>
    </row>
    <row r="1695">
      <c r="A1695" s="6" t="n"/>
      <c r="B1695" s="6" t="n"/>
      <c r="C1695" s="6" t="n"/>
      <c r="D1695" s="6" t="n"/>
      <c r="E1695" s="8" t="n"/>
      <c r="F1695" s="6" t="n"/>
    </row>
    <row r="1696">
      <c r="A1696" s="6" t="n"/>
      <c r="B1696" s="6" t="n"/>
      <c r="C1696" s="6" t="n"/>
      <c r="D1696" s="6" t="n"/>
      <c r="E1696" s="8" t="n"/>
      <c r="F1696" s="6" t="n"/>
    </row>
    <row r="1697">
      <c r="A1697" s="6" t="n"/>
      <c r="B1697" s="6" t="n"/>
      <c r="C1697" s="6" t="n"/>
      <c r="D1697" s="6" t="n"/>
      <c r="E1697" s="8" t="n"/>
      <c r="F1697" s="6" t="n"/>
    </row>
    <row r="1698">
      <c r="A1698" s="6" t="n"/>
      <c r="B1698" s="6" t="n"/>
      <c r="C1698" s="6" t="n"/>
      <c r="D1698" s="6" t="n"/>
      <c r="E1698" s="8" t="n"/>
      <c r="F1698" s="6" t="n"/>
    </row>
    <row r="1699">
      <c r="A1699" s="6" t="n"/>
      <c r="B1699" s="6" t="n"/>
      <c r="C1699" s="6" t="n"/>
      <c r="D1699" s="6" t="n"/>
      <c r="E1699" s="8" t="n"/>
      <c r="F1699" s="6" t="n"/>
    </row>
    <row r="1700">
      <c r="A1700" s="6" t="n"/>
      <c r="B1700" s="6" t="n"/>
      <c r="C1700" s="6" t="n"/>
      <c r="D1700" s="6" t="n"/>
      <c r="E1700" s="8" t="n"/>
      <c r="F1700" s="6" t="n"/>
    </row>
    <row r="1701">
      <c r="A1701" s="6" t="n"/>
      <c r="B1701" s="6" t="n"/>
      <c r="C1701" s="6" t="n"/>
      <c r="D1701" s="6" t="n"/>
      <c r="E1701" s="8" t="n"/>
      <c r="F1701" s="6" t="n"/>
    </row>
    <row r="1702">
      <c r="A1702" s="6" t="n"/>
      <c r="B1702" s="6" t="n"/>
      <c r="C1702" s="6" t="n"/>
      <c r="D1702" s="6" t="n"/>
      <c r="E1702" s="8" t="n"/>
      <c r="F1702" s="6" t="n"/>
    </row>
    <row r="1703">
      <c r="A1703" s="6" t="n"/>
      <c r="B1703" s="6" t="n"/>
      <c r="C1703" s="6" t="n"/>
      <c r="D1703" s="6" t="n"/>
      <c r="E1703" s="8" t="n"/>
      <c r="F1703" s="6" t="n"/>
    </row>
    <row r="1704">
      <c r="A1704" s="6" t="n"/>
      <c r="B1704" s="6" t="n"/>
      <c r="C1704" s="6" t="n"/>
      <c r="D1704" s="6" t="n"/>
      <c r="E1704" s="8" t="n"/>
      <c r="F1704" s="6" t="n"/>
    </row>
    <row r="1705">
      <c r="A1705" s="6" t="n"/>
      <c r="B1705" s="6" t="n"/>
      <c r="C1705" s="6" t="n"/>
      <c r="D1705" s="6" t="n"/>
      <c r="E1705" s="8" t="n"/>
      <c r="F1705" s="6" t="n"/>
    </row>
    <row r="1706">
      <c r="A1706" s="6" t="n"/>
      <c r="B1706" s="6" t="n"/>
      <c r="C1706" s="6" t="n"/>
      <c r="D1706" s="6" t="n"/>
      <c r="E1706" s="8" t="n"/>
      <c r="F1706" s="6" t="n"/>
    </row>
    <row r="1707">
      <c r="A1707" s="6" t="n"/>
      <c r="B1707" s="6" t="n"/>
      <c r="C1707" s="6" t="n"/>
      <c r="D1707" s="6" t="n"/>
      <c r="E1707" s="8" t="n"/>
      <c r="F1707" s="6" t="n"/>
    </row>
    <row r="1708">
      <c r="A1708" s="6" t="n"/>
      <c r="B1708" s="6" t="n"/>
      <c r="C1708" s="6" t="n"/>
      <c r="D1708" s="6" t="n"/>
      <c r="E1708" s="8" t="n"/>
      <c r="F1708" s="6" t="n"/>
    </row>
    <row r="1709">
      <c r="A1709" s="6" t="n"/>
      <c r="B1709" s="6" t="n"/>
      <c r="C1709" s="6" t="n"/>
      <c r="D1709" s="6" t="n"/>
      <c r="E1709" s="8" t="n"/>
      <c r="F1709" s="6" t="n"/>
    </row>
    <row r="1710">
      <c r="A1710" s="6" t="n"/>
      <c r="B1710" s="6" t="n"/>
      <c r="C1710" s="6" t="n"/>
      <c r="D1710" s="6" t="n"/>
      <c r="E1710" s="8" t="n"/>
      <c r="F1710" s="6" t="n"/>
    </row>
    <row r="1711">
      <c r="A1711" s="6" t="n"/>
      <c r="B1711" s="6" t="n"/>
      <c r="C1711" s="6" t="n"/>
      <c r="D1711" s="6" t="n"/>
      <c r="E1711" s="8" t="n"/>
      <c r="F1711" s="6" t="n"/>
    </row>
    <row r="1712">
      <c r="A1712" s="6" t="n"/>
      <c r="B1712" s="6" t="n"/>
      <c r="C1712" s="6" t="n"/>
      <c r="D1712" s="6" t="n"/>
      <c r="E1712" s="8" t="n"/>
      <c r="F1712" s="6" t="n"/>
    </row>
    <row r="1713">
      <c r="A1713" s="6" t="n"/>
      <c r="B1713" s="6" t="n"/>
      <c r="C1713" s="6" t="n"/>
      <c r="D1713" s="6" t="n"/>
      <c r="E1713" s="8" t="n"/>
      <c r="F1713" s="6" t="n"/>
    </row>
    <row r="1714">
      <c r="A1714" s="6" t="n"/>
      <c r="B1714" s="6" t="n"/>
      <c r="C1714" s="6" t="n"/>
      <c r="D1714" s="6" t="n"/>
      <c r="E1714" s="8" t="n"/>
      <c r="F1714" s="6" t="n"/>
    </row>
    <row r="1715">
      <c r="A1715" s="6" t="n"/>
      <c r="B1715" s="6" t="n"/>
      <c r="C1715" s="6" t="n"/>
      <c r="D1715" s="6" t="n"/>
      <c r="E1715" s="8" t="n"/>
      <c r="F1715" s="6" t="n"/>
    </row>
    <row r="1716">
      <c r="A1716" s="6" t="n"/>
      <c r="B1716" s="6" t="n"/>
      <c r="C1716" s="6" t="n"/>
      <c r="D1716" s="6" t="n"/>
      <c r="E1716" s="8" t="n"/>
      <c r="F1716" s="6" t="n"/>
    </row>
    <row r="1717">
      <c r="A1717" s="6" t="n"/>
      <c r="B1717" s="6" t="n"/>
      <c r="C1717" s="6" t="n"/>
      <c r="D1717" s="6" t="n"/>
      <c r="E1717" s="8" t="n"/>
      <c r="F1717" s="6" t="n"/>
    </row>
    <row r="1718">
      <c r="A1718" s="6" t="n"/>
      <c r="B1718" s="6" t="n"/>
      <c r="C1718" s="6" t="n"/>
      <c r="D1718" s="6" t="n"/>
      <c r="E1718" s="8" t="n"/>
      <c r="F1718" s="6" t="n"/>
    </row>
    <row r="1719">
      <c r="A1719" s="6" t="n"/>
      <c r="B1719" s="6" t="n"/>
      <c r="C1719" s="6" t="n"/>
      <c r="D1719" s="6" t="n"/>
      <c r="E1719" s="8" t="n"/>
      <c r="F1719" s="6" t="n"/>
    </row>
    <row r="1720">
      <c r="A1720" s="6" t="n"/>
      <c r="B1720" s="6" t="n"/>
      <c r="C1720" s="6" t="n"/>
      <c r="D1720" s="6" t="n"/>
      <c r="E1720" s="8" t="n"/>
      <c r="F1720" s="6" t="n"/>
    </row>
    <row r="1721">
      <c r="A1721" s="6" t="n"/>
      <c r="B1721" s="6" t="n"/>
      <c r="C1721" s="6" t="n"/>
      <c r="D1721" s="6" t="n"/>
      <c r="E1721" s="8" t="n"/>
      <c r="F1721" s="6" t="n"/>
    </row>
    <row r="1722">
      <c r="A1722" s="6" t="n"/>
      <c r="B1722" s="6" t="n"/>
      <c r="C1722" s="6" t="n"/>
      <c r="D1722" s="6" t="n"/>
      <c r="E1722" s="8" t="n"/>
      <c r="F1722" s="6" t="n"/>
    </row>
    <row r="1723">
      <c r="A1723" s="6" t="n"/>
      <c r="B1723" s="6" t="n"/>
      <c r="C1723" s="6" t="n"/>
      <c r="D1723" s="6" t="n"/>
      <c r="E1723" s="8" t="n"/>
      <c r="F1723" s="6" t="n"/>
    </row>
    <row r="1724">
      <c r="A1724" s="6" t="n"/>
      <c r="B1724" s="6" t="n"/>
      <c r="C1724" s="6" t="n"/>
      <c r="D1724" s="6" t="n"/>
      <c r="E1724" s="8" t="n"/>
      <c r="F1724" s="6" t="n"/>
    </row>
    <row r="1725">
      <c r="A1725" s="6" t="n"/>
      <c r="B1725" s="6" t="n"/>
      <c r="C1725" s="6" t="n"/>
      <c r="D1725" s="6" t="n"/>
      <c r="E1725" s="8" t="n"/>
      <c r="F1725" s="6" t="n"/>
    </row>
    <row r="1726">
      <c r="A1726" s="6" t="n"/>
      <c r="B1726" s="6" t="n"/>
      <c r="C1726" s="6" t="n"/>
      <c r="D1726" s="6" t="n"/>
      <c r="E1726" s="8" t="n"/>
      <c r="F1726" s="6" t="n"/>
    </row>
    <row r="1727">
      <c r="A1727" s="6" t="n"/>
      <c r="B1727" s="6" t="n"/>
      <c r="C1727" s="6" t="n"/>
      <c r="D1727" s="6" t="n"/>
      <c r="E1727" s="8" t="n"/>
      <c r="F1727" s="6" t="n"/>
    </row>
    <row r="1728">
      <c r="A1728" s="6" t="n"/>
      <c r="B1728" s="6" t="n"/>
      <c r="C1728" s="6" t="n"/>
      <c r="D1728" s="6" t="n"/>
      <c r="E1728" s="8" t="n"/>
      <c r="F1728" s="6" t="n"/>
    </row>
    <row r="1729">
      <c r="A1729" s="6" t="n"/>
      <c r="B1729" s="6" t="n"/>
      <c r="C1729" s="6" t="n"/>
      <c r="D1729" s="6" t="n"/>
      <c r="E1729" s="8" t="n"/>
      <c r="F1729" s="6" t="n"/>
    </row>
    <row r="1730">
      <c r="A1730" s="6" t="n"/>
      <c r="B1730" s="6" t="n"/>
      <c r="C1730" s="6" t="n"/>
      <c r="D1730" s="6" t="n"/>
      <c r="E1730" s="8" t="n"/>
      <c r="F1730" s="6" t="n"/>
    </row>
    <row r="1731">
      <c r="A1731" s="6" t="n"/>
      <c r="B1731" s="6" t="n"/>
      <c r="C1731" s="6" t="n"/>
      <c r="D1731" s="6" t="n"/>
      <c r="E1731" s="8" t="n"/>
      <c r="F1731" s="6" t="n"/>
    </row>
    <row r="1732">
      <c r="A1732" s="6" t="n"/>
      <c r="B1732" s="6" t="n"/>
      <c r="C1732" s="6" t="n"/>
      <c r="D1732" s="6" t="n"/>
      <c r="E1732" s="8" t="n"/>
      <c r="F1732" s="6" t="n"/>
    </row>
    <row r="1733">
      <c r="A1733" s="6" t="n"/>
      <c r="B1733" s="6" t="n"/>
      <c r="C1733" s="6" t="n"/>
      <c r="D1733" s="6" t="n"/>
      <c r="E1733" s="8" t="n"/>
      <c r="F1733" s="6" t="n"/>
    </row>
    <row r="1734">
      <c r="A1734" s="6" t="n"/>
      <c r="B1734" s="6" t="n"/>
      <c r="C1734" s="6" t="n"/>
      <c r="D1734" s="6" t="n"/>
      <c r="E1734" s="8" t="n"/>
      <c r="F1734" s="6" t="n"/>
    </row>
    <row r="1735">
      <c r="A1735" s="6" t="n"/>
      <c r="B1735" s="6" t="n"/>
      <c r="C1735" s="6" t="n"/>
      <c r="D1735" s="6" t="n"/>
      <c r="E1735" s="8" t="n"/>
      <c r="F1735" s="6" t="n"/>
    </row>
    <row r="1736">
      <c r="A1736" s="6" t="n"/>
      <c r="B1736" s="6" t="n"/>
      <c r="C1736" s="6" t="n"/>
      <c r="D1736" s="6" t="n"/>
      <c r="E1736" s="8" t="n"/>
      <c r="F1736" s="6" t="n"/>
    </row>
    <row r="1737">
      <c r="A1737" s="6" t="n"/>
      <c r="B1737" s="6" t="n"/>
      <c r="C1737" s="6" t="n"/>
      <c r="D1737" s="6" t="n"/>
      <c r="E1737" s="8" t="n"/>
      <c r="F1737" s="6" t="n"/>
    </row>
    <row r="1738">
      <c r="A1738" s="6" t="n"/>
      <c r="B1738" s="6" t="n"/>
      <c r="C1738" s="6" t="n"/>
      <c r="D1738" s="6" t="n"/>
      <c r="E1738" s="8" t="n"/>
      <c r="F1738" s="6" t="n"/>
    </row>
    <row r="1739">
      <c r="A1739" s="6" t="n"/>
      <c r="B1739" s="6" t="n"/>
      <c r="C1739" s="6" t="n"/>
      <c r="D1739" s="6" t="n"/>
      <c r="E1739" s="8" t="n"/>
      <c r="F1739" s="6" t="n"/>
    </row>
    <row r="1740">
      <c r="A1740" s="6" t="n"/>
      <c r="B1740" s="6" t="n"/>
      <c r="C1740" s="6" t="n"/>
      <c r="D1740" s="6" t="n"/>
      <c r="E1740" s="8" t="n"/>
      <c r="F1740" s="6" t="n"/>
    </row>
    <row r="1741">
      <c r="A1741" s="6" t="n"/>
      <c r="B1741" s="6" t="n"/>
      <c r="C1741" s="6" t="n"/>
      <c r="D1741" s="6" t="n"/>
      <c r="E1741" s="8" t="n"/>
      <c r="F1741" s="6" t="n"/>
    </row>
    <row r="1742">
      <c r="A1742" s="6" t="n"/>
      <c r="B1742" s="6" t="n"/>
      <c r="C1742" s="6" t="n"/>
      <c r="D1742" s="6" t="n"/>
      <c r="E1742" s="8" t="n"/>
      <c r="F1742" s="6" t="n"/>
    </row>
    <row r="1743">
      <c r="A1743" s="6" t="n"/>
      <c r="B1743" s="6" t="n"/>
      <c r="C1743" s="6" t="n"/>
      <c r="D1743" s="6" t="n"/>
      <c r="E1743" s="8" t="n"/>
      <c r="F1743" s="6" t="n"/>
    </row>
    <row r="1744">
      <c r="A1744" s="6" t="n"/>
      <c r="B1744" s="6" t="n"/>
      <c r="C1744" s="6" t="n"/>
      <c r="D1744" s="6" t="n"/>
      <c r="E1744" s="8" t="n"/>
      <c r="F1744" s="6" t="n"/>
    </row>
    <row r="1745">
      <c r="A1745" s="6" t="n"/>
      <c r="B1745" s="6" t="n"/>
      <c r="C1745" s="6" t="n"/>
      <c r="D1745" s="6" t="n"/>
      <c r="E1745" s="8" t="n"/>
      <c r="F1745" s="6" t="n"/>
    </row>
    <row r="1746">
      <c r="A1746" s="6" t="n"/>
      <c r="B1746" s="6" t="n"/>
      <c r="C1746" s="6" t="n"/>
      <c r="D1746" s="6" t="n"/>
      <c r="E1746" s="8" t="n"/>
      <c r="F1746" s="6" t="n"/>
    </row>
    <row r="1747">
      <c r="A1747" s="6" t="n"/>
      <c r="B1747" s="6" t="n"/>
      <c r="C1747" s="6" t="n"/>
      <c r="D1747" s="6" t="n"/>
      <c r="E1747" s="8" t="n"/>
      <c r="F1747" s="6" t="n"/>
    </row>
    <row r="1748">
      <c r="A1748" s="6" t="n"/>
      <c r="B1748" s="6" t="n"/>
      <c r="C1748" s="6" t="n"/>
      <c r="D1748" s="6" t="n"/>
      <c r="E1748" s="8" t="n"/>
      <c r="F1748" s="6" t="n"/>
    </row>
    <row r="1749">
      <c r="A1749" s="6" t="n"/>
      <c r="B1749" s="6" t="n"/>
      <c r="C1749" s="6" t="n"/>
      <c r="D1749" s="6" t="n"/>
      <c r="E1749" s="8" t="n"/>
      <c r="F1749" s="6" t="n"/>
    </row>
    <row r="1750">
      <c r="A1750" s="6" t="n"/>
      <c r="B1750" s="6" t="n"/>
      <c r="C1750" s="6" t="n"/>
      <c r="D1750" s="6" t="n"/>
      <c r="E1750" s="8" t="n"/>
      <c r="F1750" s="6" t="n"/>
    </row>
    <row r="1751">
      <c r="A1751" s="6" t="n"/>
      <c r="B1751" s="6" t="n"/>
      <c r="C1751" s="6" t="n"/>
      <c r="D1751" s="6" t="n"/>
      <c r="E1751" s="8" t="n"/>
      <c r="F1751" s="6" t="n"/>
    </row>
    <row r="1752">
      <c r="A1752" s="6" t="n"/>
      <c r="B1752" s="6" t="n"/>
      <c r="C1752" s="6" t="n"/>
      <c r="D1752" s="6" t="n"/>
      <c r="E1752" s="8" t="n"/>
      <c r="F1752" s="6" t="n"/>
    </row>
    <row r="1753">
      <c r="A1753" s="6" t="n"/>
      <c r="B1753" s="6" t="n"/>
      <c r="C1753" s="6" t="n"/>
      <c r="D1753" s="6" t="n"/>
      <c r="E1753" s="8" t="n"/>
      <c r="F1753" s="6" t="n"/>
    </row>
    <row r="1754">
      <c r="A1754" s="6" t="n"/>
      <c r="B1754" s="6" t="n"/>
      <c r="C1754" s="6" t="n"/>
      <c r="D1754" s="6" t="n"/>
      <c r="E1754" s="8" t="n"/>
      <c r="F1754" s="6" t="n"/>
    </row>
    <row r="1755">
      <c r="A1755" s="6" t="n"/>
      <c r="B1755" s="6" t="n"/>
      <c r="C1755" s="6" t="n"/>
      <c r="D1755" s="6" t="n"/>
      <c r="E1755" s="8" t="n"/>
      <c r="F1755" s="6" t="n"/>
    </row>
    <row r="1756">
      <c r="A1756" s="6" t="n"/>
      <c r="B1756" s="6" t="n"/>
      <c r="C1756" s="6" t="n"/>
      <c r="D1756" s="6" t="n"/>
      <c r="E1756" s="8" t="n"/>
      <c r="F1756" s="6" t="n"/>
    </row>
    <row r="1757">
      <c r="A1757" s="6" t="n"/>
      <c r="B1757" s="6" t="n"/>
      <c r="C1757" s="6" t="n"/>
      <c r="D1757" s="6" t="n"/>
      <c r="E1757" s="8" t="n"/>
      <c r="F1757" s="6" t="n"/>
    </row>
    <row r="1758">
      <c r="A1758" s="6" t="n"/>
      <c r="B1758" s="6" t="n"/>
      <c r="C1758" s="6" t="n"/>
      <c r="D1758" s="6" t="n"/>
      <c r="E1758" s="8" t="n"/>
      <c r="F1758" s="6" t="n"/>
    </row>
    <row r="1759">
      <c r="A1759" s="6" t="n"/>
      <c r="B1759" s="6" t="n"/>
      <c r="C1759" s="6" t="n"/>
      <c r="D1759" s="6" t="n"/>
      <c r="E1759" s="8" t="n"/>
      <c r="F1759" s="6" t="n"/>
    </row>
    <row r="1760">
      <c r="A1760" s="6" t="n"/>
      <c r="B1760" s="6" t="n"/>
      <c r="C1760" s="6" t="n"/>
      <c r="D1760" s="6" t="n"/>
      <c r="E1760" s="8" t="n"/>
      <c r="F1760" s="6" t="n"/>
    </row>
    <row r="1761">
      <c r="A1761" s="6" t="n"/>
      <c r="B1761" s="6" t="n"/>
      <c r="C1761" s="6" t="n"/>
      <c r="D1761" s="6" t="n"/>
      <c r="E1761" s="8" t="n"/>
      <c r="F1761" s="6" t="n"/>
    </row>
    <row r="1762">
      <c r="A1762" s="6" t="n"/>
      <c r="B1762" s="6" t="n"/>
      <c r="C1762" s="6" t="n"/>
      <c r="D1762" s="6" t="n"/>
      <c r="E1762" s="8" t="n"/>
      <c r="F1762" s="6" t="n"/>
    </row>
    <row r="1763">
      <c r="A1763" s="6" t="n"/>
      <c r="B1763" s="6" t="n"/>
      <c r="C1763" s="6" t="n"/>
      <c r="D1763" s="6" t="n"/>
      <c r="E1763" s="8" t="n"/>
      <c r="F1763" s="6" t="n"/>
    </row>
    <row r="1764">
      <c r="A1764" s="6" t="n"/>
      <c r="B1764" s="6" t="n"/>
      <c r="C1764" s="6" t="n"/>
      <c r="D1764" s="6" t="n"/>
      <c r="E1764" s="8" t="n"/>
      <c r="F1764" s="6" t="n"/>
    </row>
    <row r="1765">
      <c r="A1765" s="6" t="n"/>
      <c r="B1765" s="6" t="n"/>
      <c r="C1765" s="6" t="n"/>
      <c r="D1765" s="6" t="n"/>
      <c r="E1765" s="8" t="n"/>
      <c r="F1765" s="6" t="n"/>
    </row>
    <row r="1766">
      <c r="A1766" s="6" t="n"/>
      <c r="B1766" s="6" t="n"/>
      <c r="C1766" s="6" t="n"/>
      <c r="D1766" s="6" t="n"/>
      <c r="E1766" s="8" t="n"/>
      <c r="F1766" s="6" t="n"/>
    </row>
    <row r="1767">
      <c r="A1767" s="6" t="n"/>
      <c r="B1767" s="6" t="n"/>
      <c r="C1767" s="6" t="n"/>
      <c r="D1767" s="6" t="n"/>
      <c r="E1767" s="8" t="n"/>
      <c r="F1767" s="6" t="n"/>
    </row>
    <row r="1768">
      <c r="A1768" s="6" t="n"/>
      <c r="B1768" s="6" t="n"/>
      <c r="C1768" s="6" t="n"/>
      <c r="D1768" s="6" t="n"/>
      <c r="E1768" s="8" t="n"/>
      <c r="F1768" s="6" t="n"/>
    </row>
    <row r="1769">
      <c r="A1769" s="6" t="n"/>
      <c r="B1769" s="6" t="n"/>
      <c r="C1769" s="6" t="n"/>
      <c r="D1769" s="6" t="n"/>
      <c r="E1769" s="8" t="n"/>
      <c r="F1769" s="6" t="n"/>
    </row>
    <row r="1770">
      <c r="A1770" s="6" t="n"/>
      <c r="B1770" s="6" t="n"/>
      <c r="C1770" s="6" t="n"/>
      <c r="D1770" s="6" t="n"/>
      <c r="E1770" s="8" t="n"/>
      <c r="F1770" s="6" t="n"/>
    </row>
    <row r="1771">
      <c r="A1771" s="6" t="n"/>
      <c r="B1771" s="6" t="n"/>
      <c r="C1771" s="6" t="n"/>
      <c r="D1771" s="6" t="n"/>
      <c r="E1771" s="8" t="n"/>
      <c r="F1771" s="6" t="n"/>
    </row>
    <row r="1772">
      <c r="A1772" s="6" t="n"/>
      <c r="B1772" s="6" t="n"/>
      <c r="C1772" s="6" t="n"/>
      <c r="D1772" s="6" t="n"/>
      <c r="E1772" s="8" t="n"/>
      <c r="F1772" s="6" t="n"/>
    </row>
    <row r="1773">
      <c r="A1773" s="6" t="n"/>
      <c r="B1773" s="6" t="n"/>
      <c r="C1773" s="6" t="n"/>
      <c r="D1773" s="6" t="n"/>
      <c r="E1773" s="8" t="n"/>
      <c r="F1773" s="6" t="n"/>
    </row>
    <row r="1774">
      <c r="A1774" s="6" t="n"/>
      <c r="B1774" s="6" t="n"/>
      <c r="C1774" s="6" t="n"/>
      <c r="D1774" s="6" t="n"/>
      <c r="E1774" s="8" t="n"/>
      <c r="F1774" s="6" t="n"/>
    </row>
    <row r="1775">
      <c r="A1775" s="6" t="n"/>
      <c r="B1775" s="6" t="n"/>
      <c r="C1775" s="6" t="n"/>
      <c r="D1775" s="6" t="n"/>
      <c r="E1775" s="8" t="n"/>
      <c r="F1775" s="6" t="n"/>
    </row>
    <row r="1776">
      <c r="A1776" s="6" t="n"/>
      <c r="B1776" s="6" t="n"/>
      <c r="C1776" s="6" t="n"/>
      <c r="D1776" s="6" t="n"/>
      <c r="E1776" s="8" t="n"/>
      <c r="F1776" s="6" t="n"/>
    </row>
    <row r="1777">
      <c r="A1777" s="6" t="n"/>
      <c r="B1777" s="6" t="n"/>
      <c r="C1777" s="6" t="n"/>
      <c r="D1777" s="6" t="n"/>
      <c r="E1777" s="8" t="n"/>
      <c r="F1777" s="6" t="n"/>
    </row>
    <row r="1778">
      <c r="A1778" s="6" t="n"/>
      <c r="B1778" s="6" t="n"/>
      <c r="C1778" s="6" t="n"/>
      <c r="D1778" s="6" t="n"/>
      <c r="E1778" s="8" t="n"/>
      <c r="F1778" s="6" t="n"/>
    </row>
    <row r="1779">
      <c r="A1779" s="6" t="n"/>
      <c r="B1779" s="6" t="n"/>
      <c r="C1779" s="6" t="n"/>
      <c r="D1779" s="6" t="n"/>
      <c r="E1779" s="8" t="n"/>
      <c r="F1779" s="6" t="n"/>
    </row>
    <row r="1780">
      <c r="A1780" s="6" t="n"/>
      <c r="B1780" s="6" t="n"/>
      <c r="C1780" s="6" t="n"/>
      <c r="D1780" s="6" t="n"/>
      <c r="E1780" s="8" t="n"/>
      <c r="F1780" s="6" t="n"/>
    </row>
    <row r="1781">
      <c r="A1781" s="6" t="n"/>
      <c r="B1781" s="6" t="n"/>
      <c r="C1781" s="6" t="n"/>
      <c r="D1781" s="6" t="n"/>
      <c r="E1781" s="8" t="n"/>
      <c r="F1781" s="6" t="n"/>
    </row>
    <row r="1782">
      <c r="A1782" s="6" t="n"/>
      <c r="B1782" s="6" t="n"/>
      <c r="C1782" s="6" t="n"/>
      <c r="D1782" s="6" t="n"/>
      <c r="E1782" s="8" t="n"/>
      <c r="F1782" s="6" t="n"/>
    </row>
    <row r="1783">
      <c r="A1783" s="6" t="n"/>
      <c r="B1783" s="6" t="n"/>
      <c r="C1783" s="6" t="n"/>
      <c r="D1783" s="6" t="n"/>
      <c r="E1783" s="8" t="n"/>
      <c r="F1783" s="6" t="n"/>
    </row>
    <row r="1784">
      <c r="A1784" s="6" t="n"/>
      <c r="B1784" s="6" t="n"/>
      <c r="C1784" s="6" t="n"/>
      <c r="D1784" s="6" t="n"/>
      <c r="E1784" s="8" t="n"/>
      <c r="F1784" s="6" t="n"/>
    </row>
    <row r="1785">
      <c r="A1785" s="6" t="n"/>
      <c r="B1785" s="6" t="n"/>
      <c r="C1785" s="6" t="n"/>
      <c r="D1785" s="6" t="n"/>
      <c r="E1785" s="8" t="n"/>
      <c r="F1785" s="6" t="n"/>
    </row>
    <row r="1786">
      <c r="A1786" s="6" t="n"/>
      <c r="B1786" s="6" t="n"/>
      <c r="C1786" s="6" t="n"/>
      <c r="D1786" s="6" t="n"/>
      <c r="E1786" s="8" t="n"/>
      <c r="F1786" s="6" t="n"/>
    </row>
    <row r="1787">
      <c r="A1787" s="6" t="n"/>
      <c r="B1787" s="6" t="n"/>
      <c r="C1787" s="6" t="n"/>
      <c r="D1787" s="6" t="n"/>
      <c r="E1787" s="8" t="n"/>
      <c r="F1787" s="6" t="n"/>
    </row>
    <row r="1788">
      <c r="A1788" s="6" t="n"/>
      <c r="B1788" s="6" t="n"/>
      <c r="C1788" s="6" t="n"/>
      <c r="D1788" s="6" t="n"/>
      <c r="E1788" s="8" t="n"/>
      <c r="F1788" s="6" t="n"/>
    </row>
    <row r="1789">
      <c r="A1789" s="6" t="n"/>
      <c r="B1789" s="6" t="n"/>
      <c r="C1789" s="6" t="n"/>
      <c r="D1789" s="6" t="n"/>
      <c r="E1789" s="8" t="n"/>
      <c r="F1789" s="6" t="n"/>
    </row>
    <row r="1790">
      <c r="A1790" s="6" t="n"/>
      <c r="B1790" s="6" t="n"/>
      <c r="C1790" s="6" t="n"/>
      <c r="D1790" s="6" t="n"/>
      <c r="E1790" s="8" t="n"/>
      <c r="F1790" s="6" t="n"/>
    </row>
    <row r="1791">
      <c r="A1791" s="6" t="n"/>
      <c r="B1791" s="6" t="n"/>
      <c r="C1791" s="6" t="n"/>
      <c r="D1791" s="6" t="n"/>
      <c r="E1791" s="8" t="n"/>
      <c r="F1791" s="6" t="n"/>
    </row>
    <row r="1792">
      <c r="A1792" s="6" t="n"/>
      <c r="B1792" s="6" t="n"/>
      <c r="C1792" s="6" t="n"/>
      <c r="D1792" s="6" t="n"/>
      <c r="E1792" s="8" t="n"/>
      <c r="F1792" s="6" t="n"/>
    </row>
    <row r="1793">
      <c r="A1793" s="6" t="n"/>
      <c r="B1793" s="6" t="n"/>
      <c r="C1793" s="6" t="n"/>
      <c r="D1793" s="6" t="n"/>
      <c r="E1793" s="8" t="n"/>
      <c r="F1793" s="6" t="n"/>
    </row>
    <row r="1794">
      <c r="A1794" s="6" t="n"/>
      <c r="B1794" s="6" t="n"/>
      <c r="C1794" s="6" t="n"/>
      <c r="D1794" s="6" t="n"/>
      <c r="E1794" s="8" t="n"/>
      <c r="F1794" s="6" t="n"/>
    </row>
    <row r="1795">
      <c r="A1795" s="6" t="n"/>
      <c r="B1795" s="6" t="n"/>
      <c r="C1795" s="6" t="n"/>
      <c r="D1795" s="6" t="n"/>
      <c r="E1795" s="8" t="n"/>
      <c r="F1795" s="6" t="n"/>
    </row>
    <row r="1796">
      <c r="A1796" s="6" t="n"/>
      <c r="B1796" s="6" t="n"/>
      <c r="C1796" s="6" t="n"/>
      <c r="D1796" s="6" t="n"/>
      <c r="E1796" s="8" t="n"/>
      <c r="F1796" s="6" t="n"/>
    </row>
    <row r="1797">
      <c r="A1797" s="6" t="n"/>
      <c r="B1797" s="6" t="n"/>
      <c r="C1797" s="6" t="n"/>
      <c r="D1797" s="6" t="n"/>
      <c r="E1797" s="8" t="n"/>
      <c r="F1797" s="6" t="n"/>
    </row>
    <row r="1798">
      <c r="A1798" s="6" t="n"/>
      <c r="B1798" s="6" t="n"/>
      <c r="C1798" s="6" t="n"/>
      <c r="D1798" s="6" t="n"/>
      <c r="E1798" s="8" t="n"/>
      <c r="F1798" s="6" t="n"/>
    </row>
    <row r="1799">
      <c r="A1799" s="6" t="n"/>
      <c r="B1799" s="6" t="n"/>
      <c r="C1799" s="6" t="n"/>
      <c r="D1799" s="6" t="n"/>
      <c r="E1799" s="8" t="n"/>
      <c r="F1799" s="6" t="n"/>
    </row>
    <row r="1800">
      <c r="A1800" s="6" t="n"/>
      <c r="B1800" s="6" t="n"/>
      <c r="C1800" s="6" t="n"/>
      <c r="D1800" s="6" t="n"/>
      <c r="E1800" s="8" t="n"/>
      <c r="F1800" s="6" t="n"/>
    </row>
    <row r="1801">
      <c r="A1801" s="6" t="n"/>
      <c r="B1801" s="6" t="n"/>
      <c r="C1801" s="6" t="n"/>
      <c r="D1801" s="6" t="n"/>
      <c r="E1801" s="8" t="n"/>
      <c r="F1801" s="6" t="n"/>
    </row>
    <row r="1802">
      <c r="A1802" s="6" t="n"/>
      <c r="B1802" s="6" t="n"/>
      <c r="C1802" s="6" t="n"/>
      <c r="D1802" s="6" t="n"/>
      <c r="E1802" s="8" t="n"/>
      <c r="F1802" s="6" t="n"/>
    </row>
    <row r="1803">
      <c r="A1803" s="6" t="n"/>
      <c r="B1803" s="6" t="n"/>
      <c r="C1803" s="6" t="n"/>
      <c r="D1803" s="6" t="n"/>
      <c r="E1803" s="8" t="n"/>
      <c r="F1803" s="6" t="n"/>
    </row>
    <row r="1804">
      <c r="A1804" s="6" t="n"/>
      <c r="B1804" s="6" t="n"/>
      <c r="C1804" s="6" t="n"/>
      <c r="D1804" s="6" t="n"/>
      <c r="E1804" s="8" t="n"/>
      <c r="F1804" s="6" t="n"/>
    </row>
    <row r="1805">
      <c r="A1805" s="6" t="n"/>
      <c r="B1805" s="6" t="n"/>
      <c r="C1805" s="6" t="n"/>
      <c r="D1805" s="6" t="n"/>
      <c r="E1805" s="8" t="n"/>
      <c r="F1805" s="6" t="n"/>
    </row>
    <row r="1806">
      <c r="A1806" s="6" t="n"/>
      <c r="B1806" s="6" t="n"/>
      <c r="C1806" s="6" t="n"/>
      <c r="D1806" s="6" t="n"/>
      <c r="E1806" s="8" t="n"/>
      <c r="F1806" s="6" t="n"/>
    </row>
    <row r="1807">
      <c r="A1807" s="6" t="n"/>
      <c r="B1807" s="6" t="n"/>
      <c r="C1807" s="6" t="n"/>
      <c r="D1807" s="6" t="n"/>
      <c r="E1807" s="8" t="n"/>
      <c r="F1807" s="6" t="n"/>
    </row>
    <row r="1808">
      <c r="A1808" s="6" t="n"/>
      <c r="B1808" s="6" t="n"/>
      <c r="C1808" s="6" t="n"/>
      <c r="D1808" s="6" t="n"/>
      <c r="E1808" s="8" t="n"/>
      <c r="F1808" s="6" t="n"/>
    </row>
    <row r="1809">
      <c r="A1809" s="6" t="n"/>
      <c r="B1809" s="6" t="n"/>
      <c r="C1809" s="6" t="n"/>
      <c r="D1809" s="6" t="n"/>
      <c r="E1809" s="8" t="n"/>
      <c r="F1809" s="6" t="n"/>
    </row>
    <row r="1810">
      <c r="A1810" s="6" t="n"/>
      <c r="B1810" s="6" t="n"/>
      <c r="C1810" s="6" t="n"/>
      <c r="D1810" s="6" t="n"/>
      <c r="E1810" s="8" t="n"/>
      <c r="F1810" s="6" t="n"/>
    </row>
    <row r="1811">
      <c r="A1811" s="6" t="n"/>
      <c r="B1811" s="6" t="n"/>
      <c r="C1811" s="6" t="n"/>
      <c r="D1811" s="6" t="n"/>
      <c r="E1811" s="8" t="n"/>
      <c r="F1811" s="6" t="n"/>
    </row>
    <row r="1812">
      <c r="A1812" s="6" t="n"/>
      <c r="B1812" s="6" t="n"/>
      <c r="C1812" s="6" t="n"/>
      <c r="D1812" s="6" t="n"/>
      <c r="E1812" s="8" t="n"/>
      <c r="F1812" s="6" t="n"/>
    </row>
    <row r="1813">
      <c r="A1813" s="6" t="n"/>
      <c r="B1813" s="6" t="n"/>
      <c r="C1813" s="6" t="n"/>
      <c r="D1813" s="6" t="n"/>
      <c r="E1813" s="8" t="n"/>
      <c r="F1813" s="6" t="n"/>
    </row>
    <row r="1814">
      <c r="A1814" s="6" t="n"/>
      <c r="B1814" s="6" t="n"/>
      <c r="C1814" s="6" t="n"/>
      <c r="D1814" s="6" t="n"/>
      <c r="E1814" s="8" t="n"/>
      <c r="F1814" s="6" t="n"/>
    </row>
    <row r="1815">
      <c r="A1815" s="6" t="n"/>
      <c r="B1815" s="6" t="n"/>
      <c r="C1815" s="6" t="n"/>
      <c r="D1815" s="6" t="n"/>
      <c r="E1815" s="8" t="n"/>
      <c r="F1815" s="6" t="n"/>
    </row>
    <row r="1816">
      <c r="A1816" s="6" t="n"/>
      <c r="B1816" s="6" t="n"/>
      <c r="C1816" s="6" t="n"/>
      <c r="D1816" s="6" t="n"/>
      <c r="E1816" s="8" t="n"/>
      <c r="F1816" s="6" t="n"/>
    </row>
    <row r="1817">
      <c r="A1817" s="6" t="n"/>
      <c r="B1817" s="6" t="n"/>
      <c r="C1817" s="6" t="n"/>
      <c r="D1817" s="6" t="n"/>
      <c r="E1817" s="8" t="n"/>
      <c r="F1817" s="6" t="n"/>
    </row>
    <row r="1818">
      <c r="A1818" s="6" t="n"/>
      <c r="B1818" s="6" t="n"/>
      <c r="C1818" s="6" t="n"/>
      <c r="D1818" s="6" t="n"/>
      <c r="E1818" s="8" t="n"/>
      <c r="F1818" s="6" t="n"/>
    </row>
    <row r="1819">
      <c r="A1819" s="6" t="n"/>
      <c r="B1819" s="6" t="n"/>
      <c r="C1819" s="6" t="n"/>
      <c r="D1819" s="6" t="n"/>
      <c r="E1819" s="8" t="n"/>
      <c r="F1819" s="6" t="n"/>
    </row>
    <row r="1820">
      <c r="A1820" s="6" t="n"/>
      <c r="B1820" s="6" t="n"/>
      <c r="C1820" s="6" t="n"/>
      <c r="D1820" s="6" t="n"/>
      <c r="E1820" s="8" t="n"/>
      <c r="F1820" s="6" t="n"/>
    </row>
    <row r="1821">
      <c r="A1821" s="6" t="n"/>
      <c r="B1821" s="6" t="n"/>
      <c r="C1821" s="6" t="n"/>
      <c r="D1821" s="6" t="n"/>
      <c r="E1821" s="8" t="n"/>
      <c r="F1821" s="6" t="n"/>
    </row>
    <row r="1822">
      <c r="A1822" s="6" t="n"/>
      <c r="B1822" s="6" t="n"/>
      <c r="C1822" s="6" t="n"/>
      <c r="D1822" s="6" t="n"/>
      <c r="E1822" s="8" t="n"/>
      <c r="F1822" s="6" t="n"/>
    </row>
    <row r="1823">
      <c r="A1823" s="6" t="n"/>
      <c r="B1823" s="6" t="n"/>
      <c r="C1823" s="6" t="n"/>
      <c r="D1823" s="6" t="n"/>
      <c r="E1823" s="8" t="n"/>
      <c r="F1823" s="6" t="n"/>
    </row>
    <row r="1824">
      <c r="A1824" s="6" t="n"/>
      <c r="B1824" s="6" t="n"/>
      <c r="C1824" s="6" t="n"/>
      <c r="D1824" s="6" t="n"/>
      <c r="E1824" s="8" t="n"/>
      <c r="F1824" s="6" t="n"/>
    </row>
    <row r="1825">
      <c r="A1825" s="6" t="n"/>
      <c r="B1825" s="6" t="n"/>
      <c r="C1825" s="6" t="n"/>
      <c r="D1825" s="6" t="n"/>
      <c r="E1825" s="8" t="n"/>
      <c r="F1825" s="6" t="n"/>
    </row>
    <row r="1826">
      <c r="A1826" s="6" t="n"/>
      <c r="B1826" s="6" t="n"/>
      <c r="C1826" s="6" t="n"/>
      <c r="D1826" s="6" t="n"/>
      <c r="E1826" s="8" t="n"/>
      <c r="F1826" s="6" t="n"/>
    </row>
    <row r="1827">
      <c r="A1827" s="6" t="n"/>
      <c r="B1827" s="6" t="n"/>
      <c r="C1827" s="6" t="n"/>
      <c r="D1827" s="6" t="n"/>
      <c r="E1827" s="8" t="n"/>
      <c r="F1827" s="6" t="n"/>
    </row>
    <row r="1828">
      <c r="A1828" s="6" t="n"/>
      <c r="B1828" s="6" t="n"/>
      <c r="C1828" s="6" t="n"/>
      <c r="D1828" s="6" t="n"/>
      <c r="E1828" s="8" t="n"/>
      <c r="F1828" s="6" t="n"/>
    </row>
    <row r="1829">
      <c r="A1829" s="6" t="n"/>
      <c r="B1829" s="6" t="n"/>
      <c r="C1829" s="6" t="n"/>
      <c r="D1829" s="6" t="n"/>
      <c r="E1829" s="8" t="n"/>
      <c r="F1829" s="6" t="n"/>
    </row>
    <row r="1830">
      <c r="A1830" s="6" t="n"/>
      <c r="B1830" s="6" t="n"/>
      <c r="C1830" s="6" t="n"/>
      <c r="D1830" s="6" t="n"/>
      <c r="E1830" s="8" t="n"/>
      <c r="F1830" s="6" t="n"/>
    </row>
    <row r="1831">
      <c r="A1831" s="6" t="n"/>
      <c r="B1831" s="6" t="n"/>
      <c r="C1831" s="6" t="n"/>
      <c r="D1831" s="6" t="n"/>
      <c r="E1831" s="8" t="n"/>
      <c r="F1831" s="6" t="n"/>
    </row>
    <row r="1832">
      <c r="A1832" s="6" t="n"/>
      <c r="B1832" s="6" t="n"/>
      <c r="C1832" s="6" t="n"/>
      <c r="D1832" s="6" t="n"/>
      <c r="E1832" s="8" t="n"/>
      <c r="F1832" s="6" t="n"/>
    </row>
    <row r="1833">
      <c r="A1833" s="6" t="n"/>
      <c r="B1833" s="6" t="n"/>
      <c r="C1833" s="6" t="n"/>
      <c r="D1833" s="6" t="n"/>
      <c r="E1833" s="8" t="n"/>
      <c r="F1833" s="6" t="n"/>
    </row>
    <row r="1834">
      <c r="A1834" s="6" t="n"/>
      <c r="B1834" s="6" t="n"/>
      <c r="C1834" s="6" t="n"/>
      <c r="D1834" s="6" t="n"/>
      <c r="E1834" s="8" t="n"/>
      <c r="F1834" s="6" t="n"/>
    </row>
    <row r="1835">
      <c r="A1835" s="6" t="n"/>
      <c r="B1835" s="6" t="n"/>
      <c r="C1835" s="6" t="n"/>
      <c r="D1835" s="6" t="n"/>
      <c r="E1835" s="8" t="n"/>
      <c r="F1835" s="6" t="n"/>
    </row>
    <row r="1836">
      <c r="A1836" s="6" t="n"/>
      <c r="B1836" s="6" t="n"/>
      <c r="C1836" s="6" t="n"/>
      <c r="D1836" s="6" t="n"/>
      <c r="E1836" s="8" t="n"/>
      <c r="F1836" s="6" t="n"/>
    </row>
    <row r="1837">
      <c r="A1837" s="6" t="n"/>
      <c r="B1837" s="6" t="n"/>
      <c r="C1837" s="6" t="n"/>
      <c r="D1837" s="6" t="n"/>
      <c r="E1837" s="8" t="n"/>
      <c r="F1837" s="6" t="n"/>
    </row>
    <row r="1838">
      <c r="A1838" s="6" t="n"/>
      <c r="B1838" s="6" t="n"/>
      <c r="C1838" s="6" t="n"/>
      <c r="D1838" s="6" t="n"/>
      <c r="E1838" s="8" t="n"/>
      <c r="F1838" s="6" t="n"/>
    </row>
    <row r="1839">
      <c r="A1839" s="6" t="n"/>
      <c r="B1839" s="6" t="n"/>
      <c r="C1839" s="6" t="n"/>
      <c r="D1839" s="6" t="n"/>
      <c r="E1839" s="8" t="n"/>
      <c r="F1839" s="6" t="n"/>
    </row>
    <row r="1840">
      <c r="A1840" s="6" t="n"/>
      <c r="B1840" s="6" t="n"/>
      <c r="C1840" s="6" t="n"/>
      <c r="D1840" s="6" t="n"/>
      <c r="E1840" s="8" t="n"/>
      <c r="F1840" s="6" t="n"/>
    </row>
    <row r="1841">
      <c r="A1841" s="6" t="n"/>
      <c r="B1841" s="6" t="n"/>
      <c r="C1841" s="6" t="n"/>
      <c r="D1841" s="6" t="n"/>
      <c r="E1841" s="8" t="n"/>
      <c r="F1841" s="6" t="n"/>
    </row>
    <row r="1842">
      <c r="A1842" s="6" t="n"/>
      <c r="B1842" s="6" t="n"/>
      <c r="C1842" s="6" t="n"/>
      <c r="D1842" s="6" t="n"/>
      <c r="E1842" s="8" t="n"/>
      <c r="F1842" s="6" t="n"/>
    </row>
    <row r="1843">
      <c r="A1843" s="6" t="n"/>
      <c r="B1843" s="6" t="n"/>
      <c r="C1843" s="6" t="n"/>
      <c r="D1843" s="6" t="n"/>
      <c r="E1843" s="8" t="n"/>
      <c r="F1843" s="6" t="n"/>
    </row>
    <row r="1844">
      <c r="A1844" s="6" t="n"/>
      <c r="B1844" s="6" t="n"/>
      <c r="C1844" s="6" t="n"/>
      <c r="D1844" s="6" t="n"/>
      <c r="E1844" s="8" t="n"/>
      <c r="F1844" s="6" t="n"/>
    </row>
    <row r="1845">
      <c r="A1845" s="6" t="n"/>
      <c r="B1845" s="6" t="n"/>
      <c r="C1845" s="6" t="n"/>
      <c r="D1845" s="6" t="n"/>
      <c r="E1845" s="8" t="n"/>
      <c r="F1845" s="6" t="n"/>
    </row>
    <row r="1846">
      <c r="A1846" s="6" t="n"/>
      <c r="B1846" s="6" t="n"/>
      <c r="C1846" s="6" t="n"/>
      <c r="D1846" s="6" t="n"/>
      <c r="E1846" s="8" t="n"/>
      <c r="F1846" s="6" t="n"/>
    </row>
    <row r="1847">
      <c r="A1847" s="6" t="n"/>
      <c r="B1847" s="6" t="n"/>
      <c r="C1847" s="6" t="n"/>
      <c r="D1847" s="6" t="n"/>
      <c r="E1847" s="8" t="n"/>
      <c r="F1847" s="6" t="n"/>
    </row>
    <row r="1848">
      <c r="A1848" s="6" t="n"/>
      <c r="B1848" s="6" t="n"/>
      <c r="C1848" s="6" t="n"/>
      <c r="D1848" s="6" t="n"/>
      <c r="E1848" s="8" t="n"/>
      <c r="F1848" s="6" t="n"/>
    </row>
    <row r="1849">
      <c r="A1849" s="6" t="n"/>
      <c r="B1849" s="6" t="n"/>
      <c r="C1849" s="6" t="n"/>
      <c r="D1849" s="6" t="n"/>
      <c r="E1849" s="8" t="n"/>
      <c r="F1849" s="6" t="n"/>
    </row>
    <row r="1850">
      <c r="A1850" s="6" t="n"/>
      <c r="B1850" s="6" t="n"/>
      <c r="C1850" s="6" t="n"/>
      <c r="D1850" s="6" t="n"/>
      <c r="E1850" s="8" t="n"/>
      <c r="F1850" s="6" t="n"/>
    </row>
    <row r="1851">
      <c r="A1851" s="6" t="n"/>
      <c r="B1851" s="6" t="n"/>
      <c r="C1851" s="6" t="n"/>
      <c r="D1851" s="6" t="n"/>
      <c r="E1851" s="8" t="n"/>
      <c r="F1851" s="6" t="n"/>
    </row>
    <row r="1852">
      <c r="A1852" s="6" t="n"/>
      <c r="B1852" s="6" t="n"/>
      <c r="C1852" s="6" t="n"/>
      <c r="D1852" s="6" t="n"/>
      <c r="E1852" s="8" t="n"/>
      <c r="F1852" s="6" t="n"/>
    </row>
    <row r="1853">
      <c r="A1853" s="6" t="n"/>
      <c r="B1853" s="6" t="n"/>
      <c r="C1853" s="6" t="n"/>
      <c r="D1853" s="6" t="n"/>
      <c r="E1853" s="8" t="n"/>
      <c r="F1853" s="6" t="n"/>
    </row>
    <row r="1854">
      <c r="A1854" s="6" t="n"/>
      <c r="B1854" s="6" t="n"/>
      <c r="C1854" s="6" t="n"/>
      <c r="D1854" s="6" t="n"/>
      <c r="E1854" s="8" t="n"/>
      <c r="F1854" s="6" t="n"/>
    </row>
    <row r="1855">
      <c r="A1855" s="6" t="n"/>
      <c r="B1855" s="6" t="n"/>
      <c r="C1855" s="6" t="n"/>
      <c r="D1855" s="6" t="n"/>
      <c r="E1855" s="8" t="n"/>
      <c r="F1855" s="6" t="n"/>
    </row>
    <row r="1856">
      <c r="A1856" s="6" t="n"/>
      <c r="B1856" s="6" t="n"/>
      <c r="C1856" s="6" t="n"/>
      <c r="D1856" s="6" t="n"/>
      <c r="E1856" s="8" t="n"/>
      <c r="F1856" s="6" t="n"/>
    </row>
    <row r="1857">
      <c r="A1857" s="6" t="n"/>
      <c r="B1857" s="6" t="n"/>
      <c r="C1857" s="6" t="n"/>
      <c r="D1857" s="6" t="n"/>
      <c r="E1857" s="8" t="n"/>
      <c r="F1857" s="6" t="n"/>
    </row>
    <row r="1858">
      <c r="A1858" s="6" t="n"/>
      <c r="B1858" s="6" t="n"/>
      <c r="C1858" s="6" t="n"/>
      <c r="D1858" s="6" t="n"/>
      <c r="E1858" s="8" t="n"/>
      <c r="F1858" s="6" t="n"/>
    </row>
    <row r="1859">
      <c r="A1859" s="6" t="n"/>
      <c r="B1859" s="6" t="n"/>
      <c r="C1859" s="6" t="n"/>
      <c r="D1859" s="6" t="n"/>
      <c r="E1859" s="8" t="n"/>
      <c r="F1859" s="6" t="n"/>
    </row>
    <row r="1860">
      <c r="A1860" s="6" t="n"/>
      <c r="B1860" s="6" t="n"/>
      <c r="C1860" s="6" t="n"/>
      <c r="D1860" s="6" t="n"/>
      <c r="E1860" s="8" t="n"/>
      <c r="F1860" s="6" t="n"/>
    </row>
    <row r="1861">
      <c r="A1861" s="6" t="n"/>
      <c r="B1861" s="6" t="n"/>
      <c r="C1861" s="6" t="n"/>
      <c r="D1861" s="6" t="n"/>
      <c r="E1861" s="8" t="n"/>
      <c r="F1861" s="6" t="n"/>
    </row>
    <row r="1862">
      <c r="A1862" s="6" t="n"/>
      <c r="B1862" s="6" t="n"/>
      <c r="C1862" s="6" t="n"/>
      <c r="D1862" s="6" t="n"/>
      <c r="E1862" s="8" t="n"/>
      <c r="F1862" s="6" t="n"/>
    </row>
    <row r="1863">
      <c r="A1863" s="6" t="n"/>
      <c r="B1863" s="6" t="n"/>
      <c r="C1863" s="6" t="n"/>
      <c r="D1863" s="6" t="n"/>
      <c r="E1863" s="8" t="n"/>
      <c r="F1863" s="6" t="n"/>
    </row>
    <row r="1864">
      <c r="A1864" s="6" t="n"/>
      <c r="B1864" s="6" t="n"/>
      <c r="C1864" s="6" t="n"/>
      <c r="D1864" s="6" t="n"/>
      <c r="E1864" s="8" t="n"/>
      <c r="F1864" s="6" t="n"/>
    </row>
    <row r="1865">
      <c r="A1865" s="6" t="n"/>
      <c r="B1865" s="6" t="n"/>
      <c r="C1865" s="6" t="n"/>
      <c r="D1865" s="6" t="n"/>
      <c r="E1865" s="8" t="n"/>
      <c r="F1865" s="6" t="n"/>
    </row>
    <row r="1866">
      <c r="A1866" s="6" t="n"/>
      <c r="B1866" s="6" t="n"/>
      <c r="C1866" s="6" t="n"/>
      <c r="D1866" s="6" t="n"/>
      <c r="E1866" s="8" t="n"/>
      <c r="F1866" s="6" t="n"/>
    </row>
    <row r="1867">
      <c r="A1867" s="6" t="n"/>
      <c r="B1867" s="6" t="n"/>
      <c r="C1867" s="6" t="n"/>
      <c r="D1867" s="6" t="n"/>
      <c r="E1867" s="8" t="n"/>
      <c r="F1867" s="6" t="n"/>
    </row>
    <row r="1868">
      <c r="A1868" s="6" t="n"/>
      <c r="B1868" s="6" t="n"/>
      <c r="C1868" s="6" t="n"/>
      <c r="D1868" s="6" t="n"/>
      <c r="E1868" s="8" t="n"/>
      <c r="F1868" s="6" t="n"/>
    </row>
    <row r="1869">
      <c r="A1869" s="6" t="n"/>
      <c r="B1869" s="6" t="n"/>
      <c r="C1869" s="6" t="n"/>
      <c r="D1869" s="6" t="n"/>
      <c r="E1869" s="8" t="n"/>
      <c r="F1869" s="6" t="n"/>
    </row>
    <row r="1870">
      <c r="A1870" s="6" t="n"/>
      <c r="B1870" s="6" t="n"/>
      <c r="C1870" s="6" t="n"/>
      <c r="D1870" s="6" t="n"/>
      <c r="E1870" s="8" t="n"/>
      <c r="F1870" s="6" t="n"/>
    </row>
    <row r="1871">
      <c r="A1871" s="6" t="n"/>
      <c r="B1871" s="6" t="n"/>
      <c r="C1871" s="6" t="n"/>
      <c r="D1871" s="6" t="n"/>
      <c r="E1871" s="8" t="n"/>
      <c r="F1871" s="6" t="n"/>
    </row>
    <row r="1872">
      <c r="A1872" s="6" t="n"/>
      <c r="B1872" s="6" t="n"/>
      <c r="C1872" s="6" t="n"/>
      <c r="D1872" s="6" t="n"/>
      <c r="E1872" s="8" t="n"/>
      <c r="F1872" s="6" t="n"/>
    </row>
    <row r="1873">
      <c r="A1873" s="6" t="n"/>
      <c r="B1873" s="6" t="n"/>
      <c r="C1873" s="6" t="n"/>
      <c r="D1873" s="6" t="n"/>
      <c r="E1873" s="8" t="n"/>
      <c r="F1873" s="6" t="n"/>
    </row>
    <row r="1874">
      <c r="A1874" s="6" t="n"/>
      <c r="B1874" s="6" t="n"/>
      <c r="C1874" s="6" t="n"/>
      <c r="D1874" s="6" t="n"/>
      <c r="E1874" s="8" t="n"/>
      <c r="F1874" s="6" t="n"/>
    </row>
    <row r="1875">
      <c r="A1875" s="6" t="n"/>
      <c r="B1875" s="6" t="n"/>
      <c r="C1875" s="6" t="n"/>
      <c r="D1875" s="6" t="n"/>
      <c r="E1875" s="8" t="n"/>
      <c r="F1875" s="6" t="n"/>
    </row>
    <row r="1876">
      <c r="A1876" s="6" t="n"/>
      <c r="B1876" s="6" t="n"/>
      <c r="C1876" s="6" t="n"/>
      <c r="D1876" s="6" t="n"/>
      <c r="E1876" s="8" t="n"/>
      <c r="F1876" s="6" t="n"/>
    </row>
    <row r="1877">
      <c r="A1877" s="6" t="n"/>
      <c r="B1877" s="6" t="n"/>
      <c r="C1877" s="6" t="n"/>
      <c r="D1877" s="6" t="n"/>
      <c r="E1877" s="8" t="n"/>
      <c r="F1877" s="6" t="n"/>
    </row>
    <row r="1878">
      <c r="A1878" s="6" t="n"/>
      <c r="B1878" s="6" t="n"/>
      <c r="C1878" s="6" t="n"/>
      <c r="D1878" s="6" t="n"/>
      <c r="E1878" s="8" t="n"/>
      <c r="F1878" s="6" t="n"/>
    </row>
    <row r="1879">
      <c r="A1879" s="6" t="n"/>
      <c r="B1879" s="6" t="n"/>
      <c r="C1879" s="6" t="n"/>
      <c r="D1879" s="6" t="n"/>
      <c r="E1879" s="8" t="n"/>
      <c r="F1879" s="6" t="n"/>
    </row>
    <row r="1880">
      <c r="A1880" s="6" t="n"/>
      <c r="B1880" s="6" t="n"/>
      <c r="C1880" s="6" t="n"/>
      <c r="D1880" s="6" t="n"/>
      <c r="E1880" s="8" t="n"/>
      <c r="F1880" s="6" t="n"/>
    </row>
    <row r="1881">
      <c r="A1881" s="6" t="n"/>
      <c r="B1881" s="6" t="n"/>
      <c r="C1881" s="6" t="n"/>
      <c r="D1881" s="6" t="n"/>
      <c r="E1881" s="8" t="n"/>
      <c r="F1881" s="6" t="n"/>
    </row>
    <row r="1882">
      <c r="A1882" s="6" t="n"/>
      <c r="B1882" s="6" t="n"/>
      <c r="C1882" s="6" t="n"/>
      <c r="D1882" s="6" t="n"/>
      <c r="E1882" s="8" t="n"/>
      <c r="F1882" s="6" t="n"/>
    </row>
    <row r="1883">
      <c r="A1883" s="6" t="n"/>
      <c r="B1883" s="6" t="n"/>
      <c r="C1883" s="6" t="n"/>
      <c r="D1883" s="6" t="n"/>
      <c r="E1883" s="8" t="n"/>
      <c r="F1883" s="6" t="n"/>
    </row>
    <row r="1884">
      <c r="A1884" s="6" t="n"/>
      <c r="B1884" s="6" t="n"/>
      <c r="C1884" s="6" t="n"/>
      <c r="D1884" s="6" t="n"/>
      <c r="E1884" s="8" t="n"/>
      <c r="F1884" s="6" t="n"/>
    </row>
    <row r="1885">
      <c r="A1885" s="6" t="n"/>
      <c r="B1885" s="6" t="n"/>
      <c r="C1885" s="6" t="n"/>
      <c r="D1885" s="6" t="n"/>
      <c r="E1885" s="8" t="n"/>
      <c r="F1885" s="6" t="n"/>
    </row>
    <row r="1886">
      <c r="A1886" s="6" t="n"/>
      <c r="B1886" s="6" t="n"/>
      <c r="C1886" s="6" t="n"/>
      <c r="D1886" s="6" t="n"/>
      <c r="E1886" s="8" t="n"/>
      <c r="F1886" s="6" t="n"/>
    </row>
    <row r="1887">
      <c r="A1887" s="6" t="n"/>
      <c r="B1887" s="6" t="n"/>
      <c r="C1887" s="6" t="n"/>
      <c r="D1887" s="6" t="n"/>
      <c r="E1887" s="8" t="n"/>
      <c r="F1887" s="6" t="n"/>
    </row>
    <row r="1888">
      <c r="A1888" s="6" t="n"/>
      <c r="B1888" s="6" t="n"/>
      <c r="C1888" s="6" t="n"/>
      <c r="D1888" s="6" t="n"/>
      <c r="E1888" s="8" t="n"/>
      <c r="F1888" s="6" t="n"/>
    </row>
    <row r="1889">
      <c r="A1889" s="6" t="n"/>
      <c r="B1889" s="6" t="n"/>
      <c r="C1889" s="6" t="n"/>
      <c r="D1889" s="6" t="n"/>
      <c r="E1889" s="8" t="n"/>
      <c r="F1889" s="6" t="n"/>
    </row>
    <row r="1890">
      <c r="A1890" s="6" t="n"/>
      <c r="B1890" s="6" t="n"/>
      <c r="C1890" s="6" t="n"/>
      <c r="D1890" s="6" t="n"/>
      <c r="E1890" s="8" t="n"/>
      <c r="F1890" s="6" t="n"/>
    </row>
    <row r="1891">
      <c r="A1891" s="6" t="n"/>
      <c r="B1891" s="6" t="n"/>
      <c r="C1891" s="6" t="n"/>
      <c r="D1891" s="6" t="n"/>
      <c r="E1891" s="8" t="n"/>
      <c r="F1891" s="6" t="n"/>
    </row>
    <row r="1892">
      <c r="A1892" s="6" t="n"/>
      <c r="B1892" s="6" t="n"/>
      <c r="C1892" s="6" t="n"/>
      <c r="D1892" s="6" t="n"/>
      <c r="E1892" s="8" t="n"/>
      <c r="F1892" s="6" t="n"/>
    </row>
    <row r="1893">
      <c r="A1893" s="6" t="n"/>
      <c r="B1893" s="6" t="n"/>
      <c r="C1893" s="6" t="n"/>
      <c r="D1893" s="6" t="n"/>
      <c r="E1893" s="8" t="n"/>
      <c r="F1893" s="6" t="n"/>
    </row>
    <row r="1894">
      <c r="A1894" s="6" t="n"/>
      <c r="B1894" s="6" t="n"/>
      <c r="C1894" s="6" t="n"/>
      <c r="D1894" s="6" t="n"/>
      <c r="E1894" s="8" t="n"/>
      <c r="F1894" s="6" t="n"/>
    </row>
    <row r="1895">
      <c r="A1895" s="6" t="n"/>
      <c r="B1895" s="6" t="n"/>
      <c r="C1895" s="6" t="n"/>
      <c r="D1895" s="6" t="n"/>
      <c r="E1895" s="8" t="n"/>
      <c r="F1895" s="6" t="n"/>
    </row>
    <row r="1896">
      <c r="A1896" s="6" t="n"/>
      <c r="B1896" s="6" t="n"/>
      <c r="C1896" s="6" t="n"/>
      <c r="D1896" s="6" t="n"/>
      <c r="E1896" s="8" t="n"/>
      <c r="F1896" s="6" t="n"/>
    </row>
    <row r="1897">
      <c r="A1897" s="6" t="n"/>
      <c r="B1897" s="6" t="n"/>
      <c r="C1897" s="6" t="n"/>
      <c r="D1897" s="6" t="n"/>
      <c r="E1897" s="8" t="n"/>
      <c r="F1897" s="6" t="n"/>
    </row>
    <row r="1898">
      <c r="A1898" s="6" t="n"/>
      <c r="B1898" s="6" t="n"/>
      <c r="C1898" s="6" t="n"/>
      <c r="D1898" s="6" t="n"/>
      <c r="E1898" s="8" t="n"/>
      <c r="F1898" s="6" t="n"/>
    </row>
    <row r="1899">
      <c r="A1899" s="6" t="n"/>
      <c r="B1899" s="6" t="n"/>
      <c r="C1899" s="6" t="n"/>
      <c r="D1899" s="6" t="n"/>
      <c r="E1899" s="8" t="n"/>
      <c r="F1899" s="6" t="n"/>
    </row>
    <row r="1900">
      <c r="A1900" s="6" t="n"/>
      <c r="B1900" s="6" t="n"/>
      <c r="C1900" s="6" t="n"/>
      <c r="D1900" s="6" t="n"/>
      <c r="E1900" s="8" t="n"/>
      <c r="F1900" s="6" t="n"/>
    </row>
    <row r="1901">
      <c r="A1901" s="6" t="n"/>
      <c r="B1901" s="6" t="n"/>
      <c r="C1901" s="6" t="n"/>
      <c r="D1901" s="6" t="n"/>
      <c r="E1901" s="8" t="n"/>
      <c r="F1901" s="6" t="n"/>
    </row>
    <row r="1902">
      <c r="A1902" s="6" t="n"/>
      <c r="B1902" s="6" t="n"/>
      <c r="C1902" s="6" t="n"/>
      <c r="D1902" s="6" t="n"/>
      <c r="E1902" s="8" t="n"/>
      <c r="F1902" s="6" t="n"/>
    </row>
    <row r="1903">
      <c r="A1903" s="6" t="n"/>
      <c r="B1903" s="6" t="n"/>
      <c r="C1903" s="6" t="n"/>
      <c r="D1903" s="6" t="n"/>
      <c r="E1903" s="8" t="n"/>
      <c r="F1903" s="6" t="n"/>
    </row>
    <row r="1904">
      <c r="A1904" s="6" t="n"/>
      <c r="B1904" s="6" t="n"/>
      <c r="C1904" s="6" t="n"/>
      <c r="D1904" s="6" t="n"/>
      <c r="E1904" s="8" t="n"/>
      <c r="F1904" s="6" t="n"/>
    </row>
    <row r="1905">
      <c r="A1905" s="6" t="n"/>
      <c r="B1905" s="6" t="n"/>
      <c r="C1905" s="6" t="n"/>
      <c r="D1905" s="6" t="n"/>
      <c r="E1905" s="8" t="n"/>
      <c r="F1905" s="6" t="n"/>
    </row>
    <row r="1906">
      <c r="A1906" s="6" t="n"/>
      <c r="B1906" s="6" t="n"/>
      <c r="C1906" s="6" t="n"/>
      <c r="D1906" s="6" t="n"/>
      <c r="E1906" s="8" t="n"/>
      <c r="F1906" s="6" t="n"/>
    </row>
    <row r="1907">
      <c r="A1907" s="6" t="n"/>
      <c r="B1907" s="6" t="n"/>
      <c r="C1907" s="6" t="n"/>
      <c r="D1907" s="6" t="n"/>
      <c r="E1907" s="8" t="n"/>
      <c r="F1907" s="6" t="n"/>
    </row>
    <row r="1908">
      <c r="A1908" s="6" t="n"/>
      <c r="B1908" s="6" t="n"/>
      <c r="C1908" s="6" t="n"/>
      <c r="D1908" s="6" t="n"/>
      <c r="E1908" s="8" t="n"/>
      <c r="F1908" s="6" t="n"/>
    </row>
    <row r="1909">
      <c r="A1909" s="6" t="n"/>
      <c r="B1909" s="6" t="n"/>
      <c r="C1909" s="6" t="n"/>
      <c r="D1909" s="6" t="n"/>
      <c r="E1909" s="8" t="n"/>
      <c r="F1909" s="6" t="n"/>
    </row>
    <row r="1910">
      <c r="A1910" s="6" t="n"/>
      <c r="B1910" s="6" t="n"/>
      <c r="C1910" s="6" t="n"/>
      <c r="D1910" s="6" t="n"/>
      <c r="E1910" s="8" t="n"/>
      <c r="F1910" s="6" t="n"/>
    </row>
    <row r="1911">
      <c r="A1911" s="6" t="n"/>
      <c r="B1911" s="6" t="n"/>
      <c r="C1911" s="6" t="n"/>
      <c r="D1911" s="6" t="n"/>
      <c r="E1911" s="8" t="n"/>
      <c r="F1911" s="6" t="n"/>
    </row>
    <row r="1912">
      <c r="A1912" s="6" t="n"/>
      <c r="B1912" s="6" t="n"/>
      <c r="C1912" s="6" t="n"/>
      <c r="D1912" s="6" t="n"/>
      <c r="E1912" s="8" t="n"/>
      <c r="F1912" s="6" t="n"/>
    </row>
    <row r="1913">
      <c r="A1913" s="6" t="n"/>
      <c r="B1913" s="6" t="n"/>
      <c r="C1913" s="6" t="n"/>
      <c r="D1913" s="6" t="n"/>
      <c r="E1913" s="8" t="n"/>
      <c r="F1913" s="6" t="n"/>
    </row>
    <row r="1914">
      <c r="A1914" s="6" t="n"/>
      <c r="B1914" s="6" t="n"/>
      <c r="C1914" s="6" t="n"/>
      <c r="D1914" s="6" t="n"/>
      <c r="E1914" s="8" t="n"/>
      <c r="F1914" s="6" t="n"/>
    </row>
    <row r="1915">
      <c r="A1915" s="6" t="n"/>
      <c r="B1915" s="6" t="n"/>
      <c r="C1915" s="6" t="n"/>
      <c r="D1915" s="6" t="n"/>
      <c r="E1915" s="8" t="n"/>
      <c r="F1915" s="6" t="n"/>
    </row>
    <row r="1916">
      <c r="A1916" s="6" t="n"/>
      <c r="B1916" s="6" t="n"/>
      <c r="C1916" s="6" t="n"/>
      <c r="D1916" s="6" t="n"/>
      <c r="E1916" s="8" t="n"/>
      <c r="F1916" s="6" t="n"/>
    </row>
    <row r="1917">
      <c r="A1917" s="6" t="n"/>
      <c r="B1917" s="6" t="n"/>
      <c r="C1917" s="6" t="n"/>
      <c r="D1917" s="6" t="n"/>
      <c r="E1917" s="8" t="n"/>
      <c r="F1917" s="6" t="n"/>
    </row>
    <row r="1918">
      <c r="A1918" s="6" t="n"/>
      <c r="B1918" s="6" t="n"/>
      <c r="C1918" s="6" t="n"/>
      <c r="D1918" s="6" t="n"/>
      <c r="E1918" s="8" t="n"/>
      <c r="F1918" s="6" t="n"/>
    </row>
    <row r="1919">
      <c r="A1919" s="6" t="n"/>
      <c r="B1919" s="6" t="n"/>
      <c r="C1919" s="6" t="n"/>
      <c r="D1919" s="6" t="n"/>
      <c r="E1919" s="8" t="n"/>
      <c r="F1919" s="6" t="n"/>
    </row>
    <row r="1920">
      <c r="A1920" s="6" t="n"/>
      <c r="B1920" s="6" t="n"/>
      <c r="C1920" s="6" t="n"/>
      <c r="D1920" s="6" t="n"/>
      <c r="E1920" s="8" t="n"/>
      <c r="F1920" s="6" t="n"/>
    </row>
    <row r="1921">
      <c r="A1921" s="6" t="n"/>
      <c r="B1921" s="6" t="n"/>
      <c r="C1921" s="6" t="n"/>
      <c r="D1921" s="6" t="n"/>
      <c r="E1921" s="8" t="n"/>
      <c r="F1921" s="6" t="n"/>
    </row>
    <row r="1922">
      <c r="A1922" s="6" t="n"/>
      <c r="B1922" s="6" t="n"/>
      <c r="C1922" s="6" t="n"/>
      <c r="D1922" s="6" t="n"/>
      <c r="E1922" s="8" t="n"/>
      <c r="F1922" s="6" t="n"/>
    </row>
    <row r="1923">
      <c r="A1923" s="6" t="n"/>
      <c r="B1923" s="6" t="n"/>
      <c r="C1923" s="6" t="n"/>
      <c r="D1923" s="6" t="n"/>
      <c r="E1923" s="8" t="n"/>
      <c r="F1923" s="6" t="n"/>
    </row>
    <row r="1924">
      <c r="A1924" s="6" t="n"/>
      <c r="B1924" s="6" t="n"/>
      <c r="C1924" s="6" t="n"/>
      <c r="D1924" s="6" t="n"/>
      <c r="E1924" s="8" t="n"/>
      <c r="F1924" s="6" t="n"/>
    </row>
    <row r="1925">
      <c r="A1925" s="6" t="n"/>
      <c r="B1925" s="6" t="n"/>
      <c r="C1925" s="6" t="n"/>
      <c r="D1925" s="6" t="n"/>
      <c r="E1925" s="8" t="n"/>
      <c r="F1925" s="6" t="n"/>
    </row>
    <row r="1926">
      <c r="A1926" s="6" t="n"/>
      <c r="B1926" s="6" t="n"/>
      <c r="C1926" s="6" t="n"/>
      <c r="D1926" s="6" t="n"/>
      <c r="E1926" s="8" t="n"/>
      <c r="F1926" s="6" t="n"/>
    </row>
    <row r="1927">
      <c r="A1927" s="6" t="n"/>
      <c r="B1927" s="6" t="n"/>
      <c r="C1927" s="6" t="n"/>
      <c r="D1927" s="6" t="n"/>
      <c r="E1927" s="8" t="n"/>
      <c r="F1927" s="6" t="n"/>
    </row>
    <row r="1928">
      <c r="A1928" s="6" t="n"/>
      <c r="B1928" s="6" t="n"/>
      <c r="C1928" s="6" t="n"/>
      <c r="D1928" s="6" t="n"/>
      <c r="E1928" s="8" t="n"/>
      <c r="F1928" s="6" t="n"/>
    </row>
    <row r="1929">
      <c r="A1929" s="6" t="n"/>
      <c r="B1929" s="6" t="n"/>
      <c r="C1929" s="6" t="n"/>
      <c r="D1929" s="6" t="n"/>
      <c r="E1929" s="8" t="n"/>
      <c r="F1929" s="6" t="n"/>
    </row>
    <row r="1930">
      <c r="A1930" s="6" t="n"/>
      <c r="B1930" s="6" t="n"/>
      <c r="C1930" s="6" t="n"/>
      <c r="D1930" s="6" t="n"/>
      <c r="E1930" s="8" t="n"/>
      <c r="F1930" s="6" t="n"/>
    </row>
    <row r="1931">
      <c r="A1931" s="6" t="n"/>
      <c r="B1931" s="6" t="n"/>
      <c r="C1931" s="6" t="n"/>
      <c r="D1931" s="6" t="n"/>
      <c r="E1931" s="8" t="n"/>
      <c r="F1931" s="6" t="n"/>
    </row>
    <row r="1932">
      <c r="A1932" s="6" t="n"/>
      <c r="B1932" s="6" t="n"/>
      <c r="C1932" s="6" t="n"/>
      <c r="D1932" s="6" t="n"/>
      <c r="E1932" s="8" t="n"/>
      <c r="F1932" s="6" t="n"/>
    </row>
    <row r="1933">
      <c r="A1933" s="6" t="n"/>
      <c r="B1933" s="6" t="n"/>
      <c r="C1933" s="6" t="n"/>
      <c r="D1933" s="6" t="n"/>
      <c r="E1933" s="8" t="n"/>
      <c r="F1933" s="6" t="n"/>
    </row>
    <row r="1934">
      <c r="A1934" s="6" t="n"/>
      <c r="B1934" s="6" t="n"/>
      <c r="C1934" s="6" t="n"/>
      <c r="D1934" s="6" t="n"/>
      <c r="E1934" s="8" t="n"/>
      <c r="F1934" s="6" t="n"/>
    </row>
    <row r="1935">
      <c r="A1935" s="6" t="n"/>
      <c r="B1935" s="6" t="n"/>
      <c r="C1935" s="6" t="n"/>
      <c r="D1935" s="6" t="n"/>
      <c r="E1935" s="8" t="n"/>
      <c r="F1935" s="6" t="n"/>
    </row>
    <row r="1936">
      <c r="A1936" s="6" t="n"/>
      <c r="B1936" s="6" t="n"/>
      <c r="C1936" s="6" t="n"/>
      <c r="D1936" s="6" t="n"/>
      <c r="E1936" s="8" t="n"/>
      <c r="F1936" s="6" t="n"/>
    </row>
    <row r="1937">
      <c r="A1937" s="6" t="n"/>
      <c r="B1937" s="6" t="n"/>
      <c r="C1937" s="6" t="n"/>
      <c r="D1937" s="6" t="n"/>
      <c r="E1937" s="8" t="n"/>
      <c r="F1937" s="6" t="n"/>
    </row>
    <row r="1938">
      <c r="A1938" s="6" t="n"/>
      <c r="B1938" s="6" t="n"/>
      <c r="C1938" s="6" t="n"/>
      <c r="D1938" s="6" t="n"/>
      <c r="E1938" s="8" t="n"/>
      <c r="F1938" s="6" t="n"/>
    </row>
    <row r="1939">
      <c r="A1939" s="6" t="n"/>
      <c r="B1939" s="6" t="n"/>
      <c r="C1939" s="6" t="n"/>
      <c r="D1939" s="6" t="n"/>
      <c r="E1939" s="8" t="n"/>
      <c r="F1939" s="6" t="n"/>
    </row>
    <row r="1940">
      <c r="A1940" s="6" t="n"/>
      <c r="B1940" s="6" t="n"/>
      <c r="C1940" s="6" t="n"/>
      <c r="D1940" s="6" t="n"/>
      <c r="E1940" s="8" t="n"/>
      <c r="F1940" s="6" t="n"/>
    </row>
    <row r="1941">
      <c r="A1941" s="6" t="n"/>
      <c r="B1941" s="6" t="n"/>
      <c r="C1941" s="6" t="n"/>
      <c r="D1941" s="6" t="n"/>
      <c r="E1941" s="8" t="n"/>
      <c r="F1941" s="6" t="n"/>
    </row>
    <row r="1942">
      <c r="A1942" s="6" t="n"/>
      <c r="B1942" s="6" t="n"/>
      <c r="C1942" s="6" t="n"/>
      <c r="D1942" s="6" t="n"/>
      <c r="E1942" s="8" t="n"/>
      <c r="F1942" s="6" t="n"/>
    </row>
    <row r="1943">
      <c r="A1943" s="6" t="n"/>
      <c r="B1943" s="6" t="n"/>
      <c r="C1943" s="6" t="n"/>
      <c r="D1943" s="6" t="n"/>
      <c r="E1943" s="8" t="n"/>
      <c r="F1943" s="6" t="n"/>
    </row>
    <row r="1944">
      <c r="A1944" s="6" t="n"/>
      <c r="B1944" s="6" t="n"/>
      <c r="C1944" s="6" t="n"/>
      <c r="D1944" s="6" t="n"/>
      <c r="E1944" s="8" t="n"/>
      <c r="F1944" s="6" t="n"/>
    </row>
    <row r="1945">
      <c r="A1945" s="6" t="n"/>
      <c r="B1945" s="6" t="n"/>
      <c r="C1945" s="6" t="n"/>
      <c r="D1945" s="6" t="n"/>
      <c r="E1945" s="8" t="n"/>
      <c r="F1945" s="6" t="n"/>
    </row>
    <row r="1946">
      <c r="A1946" s="6" t="n"/>
      <c r="B1946" s="6" t="n"/>
      <c r="C1946" s="6" t="n"/>
      <c r="D1946" s="6" t="n"/>
      <c r="E1946" s="8" t="n"/>
      <c r="F1946" s="6" t="n"/>
    </row>
    <row r="1947">
      <c r="A1947" s="6" t="n"/>
      <c r="B1947" s="6" t="n"/>
      <c r="C1947" s="6" t="n"/>
      <c r="D1947" s="6" t="n"/>
      <c r="E1947" s="8" t="n"/>
      <c r="F1947" s="6" t="n"/>
    </row>
    <row r="1948">
      <c r="A1948" s="6" t="n"/>
      <c r="B1948" s="6" t="n"/>
      <c r="C1948" s="6" t="n"/>
      <c r="D1948" s="6" t="n"/>
      <c r="E1948" s="8" t="n"/>
      <c r="F1948" s="6" t="n"/>
    </row>
    <row r="1949">
      <c r="A1949" s="6" t="n"/>
      <c r="B1949" s="6" t="n"/>
      <c r="C1949" s="6" t="n"/>
      <c r="D1949" s="6" t="n"/>
      <c r="E1949" s="8" t="n"/>
      <c r="F1949" s="6" t="n"/>
    </row>
    <row r="1950">
      <c r="A1950" s="6" t="n"/>
      <c r="B1950" s="6" t="n"/>
      <c r="C1950" s="6" t="n"/>
      <c r="D1950" s="6" t="n"/>
      <c r="E1950" s="8" t="n"/>
      <c r="F1950" s="6" t="n"/>
    </row>
    <row r="1951">
      <c r="A1951" s="6" t="n"/>
      <c r="B1951" s="6" t="n"/>
      <c r="C1951" s="6" t="n"/>
      <c r="D1951" s="6" t="n"/>
      <c r="E1951" s="8" t="n"/>
      <c r="F1951" s="6" t="n"/>
    </row>
    <row r="1952">
      <c r="A1952" s="6" t="n"/>
      <c r="B1952" s="6" t="n"/>
      <c r="C1952" s="6" t="n"/>
      <c r="D1952" s="6" t="n"/>
      <c r="E1952" s="8" t="n"/>
      <c r="F1952" s="6" t="n"/>
    </row>
    <row r="1953">
      <c r="A1953" s="6" t="n"/>
      <c r="B1953" s="6" t="n"/>
      <c r="C1953" s="6" t="n"/>
      <c r="D1953" s="6" t="n"/>
      <c r="E1953" s="8" t="n"/>
      <c r="F1953" s="6" t="n"/>
    </row>
    <row r="1954">
      <c r="A1954" s="6" t="n"/>
      <c r="B1954" s="6" t="n"/>
      <c r="C1954" s="6" t="n"/>
      <c r="D1954" s="6" t="n"/>
      <c r="E1954" s="8" t="n"/>
      <c r="F1954" s="6" t="n"/>
    </row>
    <row r="1955">
      <c r="A1955" s="6" t="n"/>
      <c r="B1955" s="6" t="n"/>
      <c r="C1955" s="6" t="n"/>
      <c r="D1955" s="6" t="n"/>
      <c r="E1955" s="8" t="n"/>
      <c r="F1955" s="6" t="n"/>
    </row>
    <row r="1956">
      <c r="A1956" s="6" t="n"/>
      <c r="B1956" s="6" t="n"/>
      <c r="C1956" s="6" t="n"/>
      <c r="D1956" s="6" t="n"/>
      <c r="E1956" s="8" t="n"/>
      <c r="F1956" s="6" t="n"/>
    </row>
    <row r="1957">
      <c r="A1957" s="6" t="n"/>
      <c r="B1957" s="6" t="n"/>
      <c r="C1957" s="6" t="n"/>
      <c r="D1957" s="6" t="n"/>
      <c r="E1957" s="8" t="n"/>
      <c r="F1957" s="6" t="n"/>
    </row>
    <row r="1958">
      <c r="A1958" s="6" t="n"/>
      <c r="B1958" s="6" t="n"/>
      <c r="C1958" s="6" t="n"/>
      <c r="D1958" s="6" t="n"/>
      <c r="E1958" s="8" t="n"/>
      <c r="F1958" s="6" t="n"/>
    </row>
    <row r="1959">
      <c r="A1959" s="6" t="n"/>
      <c r="B1959" s="6" t="n"/>
      <c r="C1959" s="6" t="n"/>
      <c r="D1959" s="6" t="n"/>
      <c r="E1959" s="8" t="n"/>
      <c r="F1959" s="6" t="n"/>
    </row>
    <row r="1960">
      <c r="A1960" s="6" t="n"/>
      <c r="B1960" s="6" t="n"/>
      <c r="C1960" s="6" t="n"/>
      <c r="D1960" s="6" t="n"/>
      <c r="E1960" s="8" t="n"/>
      <c r="F1960" s="6" t="n"/>
    </row>
    <row r="1961">
      <c r="A1961" s="6" t="n"/>
      <c r="B1961" s="6" t="n"/>
      <c r="C1961" s="6" t="n"/>
      <c r="D1961" s="6" t="n"/>
      <c r="E1961" s="8" t="n"/>
      <c r="F1961" s="6" t="n"/>
    </row>
    <row r="1962">
      <c r="A1962" s="6" t="n"/>
      <c r="B1962" s="6" t="n"/>
      <c r="C1962" s="6" t="n"/>
      <c r="D1962" s="6" t="n"/>
      <c r="E1962" s="8" t="n"/>
      <c r="F1962" s="6" t="n"/>
    </row>
    <row r="1963">
      <c r="A1963" s="6" t="n"/>
      <c r="B1963" s="6" t="n"/>
      <c r="C1963" s="6" t="n"/>
      <c r="D1963" s="6" t="n"/>
      <c r="E1963" s="8" t="n"/>
      <c r="F1963" s="6" t="n"/>
    </row>
    <row r="1964">
      <c r="A1964" s="6" t="n"/>
      <c r="B1964" s="6" t="n"/>
      <c r="C1964" s="6" t="n"/>
      <c r="D1964" s="6" t="n"/>
      <c r="E1964" s="8" t="n"/>
      <c r="F1964" s="6" t="n"/>
    </row>
    <row r="1965">
      <c r="A1965" s="6" t="n"/>
      <c r="B1965" s="6" t="n"/>
      <c r="C1965" s="6" t="n"/>
      <c r="D1965" s="6" t="n"/>
      <c r="E1965" s="8" t="n"/>
      <c r="F1965" s="6" t="n"/>
    </row>
    <row r="1966">
      <c r="A1966" s="6" t="n"/>
      <c r="B1966" s="6" t="n"/>
      <c r="C1966" s="6" t="n"/>
      <c r="D1966" s="6" t="n"/>
      <c r="E1966" s="8" t="n"/>
      <c r="F1966" s="6" t="n"/>
    </row>
    <row r="1967">
      <c r="A1967" s="6" t="n"/>
      <c r="B1967" s="6" t="n"/>
      <c r="C1967" s="6" t="n"/>
      <c r="D1967" s="6" t="n"/>
      <c r="E1967" s="8" t="n"/>
      <c r="F1967" s="6" t="n"/>
    </row>
    <row r="1968">
      <c r="A1968" s="6" t="n"/>
      <c r="B1968" s="6" t="n"/>
      <c r="C1968" s="6" t="n"/>
      <c r="D1968" s="6" t="n"/>
      <c r="E1968" s="8" t="n"/>
      <c r="F1968" s="6" t="n"/>
    </row>
    <row r="1969">
      <c r="A1969" s="6" t="n"/>
      <c r="B1969" s="6" t="n"/>
      <c r="C1969" s="6" t="n"/>
      <c r="D1969" s="6" t="n"/>
      <c r="E1969" s="8" t="n"/>
      <c r="F1969" s="6" t="n"/>
    </row>
    <row r="1970">
      <c r="A1970" s="6" t="n"/>
      <c r="B1970" s="6" t="n"/>
      <c r="C1970" s="6" t="n"/>
      <c r="D1970" s="6" t="n"/>
      <c r="E1970" s="8" t="n"/>
      <c r="F1970" s="6" t="n"/>
    </row>
    <row r="1971">
      <c r="A1971" s="6" t="n"/>
      <c r="B1971" s="6" t="n"/>
      <c r="C1971" s="6" t="n"/>
      <c r="D1971" s="6" t="n"/>
      <c r="E1971" s="8" t="n"/>
      <c r="F1971" s="6" t="n"/>
    </row>
    <row r="1972">
      <c r="A1972" s="6" t="n"/>
      <c r="B1972" s="6" t="n"/>
      <c r="C1972" s="6" t="n"/>
      <c r="D1972" s="6" t="n"/>
      <c r="E1972" s="8" t="n"/>
      <c r="F1972" s="6" t="n"/>
    </row>
    <row r="1973">
      <c r="A1973" s="6" t="n"/>
      <c r="B1973" s="6" t="n"/>
      <c r="C1973" s="6" t="n"/>
      <c r="D1973" s="6" t="n"/>
      <c r="E1973" s="8" t="n"/>
      <c r="F1973" s="6" t="n"/>
    </row>
    <row r="1974">
      <c r="A1974" s="6" t="n"/>
      <c r="B1974" s="6" t="n"/>
      <c r="C1974" s="6" t="n"/>
      <c r="D1974" s="6" t="n"/>
      <c r="E1974" s="8" t="n"/>
      <c r="F1974" s="6" t="n"/>
    </row>
    <row r="1975">
      <c r="A1975" s="6" t="n"/>
      <c r="B1975" s="6" t="n"/>
      <c r="C1975" s="6" t="n"/>
      <c r="D1975" s="6" t="n"/>
      <c r="E1975" s="8" t="n"/>
      <c r="F1975" s="6" t="n"/>
    </row>
    <row r="1976">
      <c r="A1976" s="6" t="n"/>
      <c r="B1976" s="6" t="n"/>
      <c r="C1976" s="6" t="n"/>
      <c r="D1976" s="6" t="n"/>
      <c r="E1976" s="8" t="n"/>
      <c r="F1976" s="6" t="n"/>
    </row>
    <row r="1977">
      <c r="A1977" s="6" t="n"/>
      <c r="B1977" s="6" t="n"/>
      <c r="C1977" s="6" t="n"/>
      <c r="D1977" s="6" t="n"/>
      <c r="E1977" s="8" t="n"/>
      <c r="F1977" s="6" t="n"/>
    </row>
    <row r="1978">
      <c r="A1978" s="6" t="n"/>
      <c r="B1978" s="6" t="n"/>
      <c r="C1978" s="6" t="n"/>
      <c r="D1978" s="6" t="n"/>
      <c r="E1978" s="8" t="n"/>
      <c r="F1978" s="6" t="n"/>
    </row>
    <row r="1979">
      <c r="A1979" s="6" t="n"/>
      <c r="B1979" s="6" t="n"/>
      <c r="C1979" s="6" t="n"/>
      <c r="D1979" s="6" t="n"/>
      <c r="E1979" s="8" t="n"/>
      <c r="F1979" s="6" t="n"/>
    </row>
    <row r="1980">
      <c r="A1980" s="6" t="n"/>
      <c r="B1980" s="6" t="n"/>
      <c r="C1980" s="6" t="n"/>
      <c r="D1980" s="6" t="n"/>
      <c r="E1980" s="8" t="n"/>
      <c r="F1980" s="6" t="n"/>
    </row>
    <row r="1981">
      <c r="A1981" s="6" t="n"/>
      <c r="B1981" s="6" t="n"/>
      <c r="C1981" s="6" t="n"/>
      <c r="D1981" s="6" t="n"/>
      <c r="E1981" s="8" t="n"/>
      <c r="F1981" s="6" t="n"/>
    </row>
    <row r="1982">
      <c r="A1982" s="6" t="n"/>
      <c r="B1982" s="6" t="n"/>
      <c r="C1982" s="6" t="n"/>
      <c r="D1982" s="6" t="n"/>
      <c r="E1982" s="8" t="n"/>
      <c r="F1982" s="6" t="n"/>
    </row>
    <row r="1983">
      <c r="A1983" s="6" t="n"/>
      <c r="B1983" s="6" t="n"/>
      <c r="C1983" s="6" t="n"/>
      <c r="D1983" s="6" t="n"/>
      <c r="E1983" s="8" t="n"/>
      <c r="F1983" s="6" t="n"/>
    </row>
    <row r="1984">
      <c r="A1984" s="6" t="n"/>
      <c r="B1984" s="6" t="n"/>
      <c r="C1984" s="6" t="n"/>
      <c r="D1984" s="6" t="n"/>
      <c r="E1984" s="8" t="n"/>
      <c r="F1984" s="6" t="n"/>
    </row>
    <row r="1985">
      <c r="A1985" s="6" t="n"/>
      <c r="B1985" s="6" t="n"/>
      <c r="C1985" s="6" t="n"/>
      <c r="D1985" s="6" t="n"/>
      <c r="E1985" s="8" t="n"/>
      <c r="F1985" s="6" t="n"/>
    </row>
    <row r="1986">
      <c r="A1986" s="6" t="n"/>
      <c r="B1986" s="6" t="n"/>
      <c r="C1986" s="6" t="n"/>
      <c r="D1986" s="6" t="n"/>
      <c r="E1986" s="8" t="n"/>
      <c r="F1986" s="6" t="n"/>
    </row>
    <row r="1987">
      <c r="A1987" s="6" t="n"/>
      <c r="B1987" s="6" t="n"/>
      <c r="C1987" s="6" t="n"/>
      <c r="D1987" s="6" t="n"/>
      <c r="E1987" s="8" t="n"/>
      <c r="F1987" s="6" t="n"/>
    </row>
    <row r="1988">
      <c r="A1988" s="6" t="n"/>
      <c r="B1988" s="6" t="n"/>
      <c r="C1988" s="6" t="n"/>
      <c r="D1988" s="6" t="n"/>
      <c r="E1988" s="8" t="n"/>
      <c r="F1988" s="6" t="n"/>
    </row>
    <row r="1989">
      <c r="A1989" s="6" t="n"/>
      <c r="B1989" s="6" t="n"/>
      <c r="C1989" s="6" t="n"/>
      <c r="D1989" s="6" t="n"/>
      <c r="E1989" s="8" t="n"/>
      <c r="F1989" s="6" t="n"/>
    </row>
    <row r="1990">
      <c r="A1990" s="6" t="n"/>
      <c r="B1990" s="6" t="n"/>
      <c r="C1990" s="6" t="n"/>
      <c r="D1990" s="6" t="n"/>
      <c r="E1990" s="8" t="n"/>
      <c r="F1990" s="6" t="n"/>
    </row>
    <row r="1991">
      <c r="A1991" s="6" t="n"/>
      <c r="B1991" s="6" t="n"/>
      <c r="C1991" s="6" t="n"/>
      <c r="D1991" s="6" t="n"/>
      <c r="E1991" s="8" t="n"/>
      <c r="F1991" s="6" t="n"/>
    </row>
    <row r="1992">
      <c r="A1992" s="6" t="n"/>
      <c r="B1992" s="6" t="n"/>
      <c r="C1992" s="6" t="n"/>
      <c r="D1992" s="6" t="n"/>
      <c r="E1992" s="8" t="n"/>
      <c r="F1992" s="6" t="n"/>
    </row>
    <row r="1993">
      <c r="A1993" s="6" t="n"/>
      <c r="B1993" s="6" t="n"/>
      <c r="C1993" s="6" t="n"/>
      <c r="D1993" s="6" t="n"/>
      <c r="E1993" s="8" t="n"/>
      <c r="F1993" s="6" t="n"/>
    </row>
    <row r="1994">
      <c r="A1994" s="6" t="n"/>
      <c r="B1994" s="6" t="n"/>
      <c r="C1994" s="6" t="n"/>
      <c r="D1994" s="6" t="n"/>
      <c r="E1994" s="8" t="n"/>
      <c r="F1994" s="6" t="n"/>
    </row>
    <row r="1995">
      <c r="A1995" s="6" t="n"/>
      <c r="B1995" s="6" t="n"/>
      <c r="C1995" s="6" t="n"/>
      <c r="D1995" s="6" t="n"/>
      <c r="E1995" s="8" t="n"/>
      <c r="F1995" s="6" t="n"/>
    </row>
    <row r="1996">
      <c r="A1996" s="6" t="n"/>
      <c r="B1996" s="6" t="n"/>
      <c r="C1996" s="6" t="n"/>
      <c r="D1996" s="6" t="n"/>
      <c r="E1996" s="8" t="n"/>
      <c r="F1996" s="6" t="n"/>
    </row>
    <row r="1997">
      <c r="A1997" s="6" t="n"/>
      <c r="B1997" s="6" t="n"/>
      <c r="C1997" s="6" t="n"/>
      <c r="D1997" s="6" t="n"/>
      <c r="E1997" s="8" t="n"/>
      <c r="F1997" s="6" t="n"/>
    </row>
    <row r="1998">
      <c r="A1998" s="6" t="n"/>
      <c r="B1998" s="6" t="n"/>
      <c r="C1998" s="6" t="n"/>
      <c r="D1998" s="6" t="n"/>
      <c r="E1998" s="8" t="n"/>
      <c r="F1998" s="6" t="n"/>
    </row>
    <row r="1999">
      <c r="A1999" s="6" t="n"/>
      <c r="B1999" s="6" t="n"/>
      <c r="C1999" s="6" t="n"/>
      <c r="D1999" s="6" t="n"/>
      <c r="E1999" s="8" t="n"/>
      <c r="F1999" s="6" t="n"/>
    </row>
    <row r="2000">
      <c r="A2000" s="6" t="n"/>
      <c r="B2000" s="6" t="n"/>
      <c r="C2000" s="6" t="n"/>
      <c r="D2000" s="6" t="n"/>
      <c r="E2000" s="8" t="n"/>
      <c r="F2000" s="6" t="n"/>
    </row>
    <row r="2001">
      <c r="A2001" s="6" t="n"/>
      <c r="B2001" s="6" t="n"/>
      <c r="C2001" s="6" t="n"/>
      <c r="D2001" s="6" t="n"/>
      <c r="E2001" s="8" t="n"/>
      <c r="F2001" s="6" t="n"/>
    </row>
    <row r="2002">
      <c r="A2002" s="6" t="n"/>
      <c r="B2002" s="6" t="n"/>
      <c r="C2002" s="6" t="n"/>
      <c r="D2002" s="6" t="n"/>
      <c r="E2002" s="8" t="n"/>
      <c r="F2002" s="6" t="n"/>
    </row>
    <row r="2003">
      <c r="A2003" s="6" t="n"/>
      <c r="B2003" s="6" t="n"/>
      <c r="C2003" s="6" t="n"/>
      <c r="D2003" s="6" t="n"/>
      <c r="E2003" s="8" t="n"/>
      <c r="F2003" s="6" t="n"/>
    </row>
    <row r="2004">
      <c r="A2004" s="6" t="n"/>
      <c r="B2004" s="6" t="n"/>
      <c r="C2004" s="6" t="n"/>
      <c r="D2004" s="6" t="n"/>
      <c r="E2004" s="8" t="n"/>
      <c r="F2004" s="6" t="n"/>
    </row>
    <row r="2005">
      <c r="A2005" s="6" t="n"/>
      <c r="B2005" s="6" t="n"/>
      <c r="C2005" s="6" t="n"/>
      <c r="D2005" s="6" t="n"/>
      <c r="E2005" s="8" t="n"/>
      <c r="F2005" s="6" t="n"/>
    </row>
    <row r="2006">
      <c r="A2006" s="6" t="n"/>
      <c r="B2006" s="6" t="n"/>
      <c r="C2006" s="6" t="n"/>
      <c r="D2006" s="6" t="n"/>
      <c r="E2006" s="8" t="n"/>
      <c r="F2006" s="6" t="n"/>
    </row>
    <row r="2007">
      <c r="A2007" s="6" t="n"/>
      <c r="B2007" s="6" t="n"/>
      <c r="C2007" s="6" t="n"/>
      <c r="D2007" s="6" t="n"/>
      <c r="E2007" s="8" t="n"/>
      <c r="F2007" s="6" t="n"/>
    </row>
    <row r="2008">
      <c r="A2008" s="6" t="n"/>
      <c r="B2008" s="6" t="n"/>
      <c r="C2008" s="6" t="n"/>
      <c r="D2008" s="6" t="n"/>
      <c r="E2008" s="8" t="n"/>
      <c r="F2008" s="6" t="n"/>
    </row>
    <row r="2009">
      <c r="A2009" s="6" t="n"/>
      <c r="B2009" s="6" t="n"/>
      <c r="C2009" s="6" t="n"/>
      <c r="D2009" s="6" t="n"/>
      <c r="E2009" s="8" t="n"/>
      <c r="F2009" s="6" t="n"/>
    </row>
    <row r="2010">
      <c r="A2010" s="6" t="n"/>
      <c r="B2010" s="6" t="n"/>
      <c r="C2010" s="6" t="n"/>
      <c r="D2010" s="6" t="n"/>
      <c r="E2010" s="8" t="n"/>
      <c r="F2010" s="6" t="n"/>
    </row>
    <row r="2011">
      <c r="A2011" s="6" t="n"/>
      <c r="B2011" s="6" t="n"/>
      <c r="C2011" s="6" t="n"/>
      <c r="D2011" s="6" t="n"/>
      <c r="E2011" s="8" t="n"/>
      <c r="F2011" s="6" t="n"/>
    </row>
    <row r="2012">
      <c r="A2012" s="6" t="n"/>
      <c r="B2012" s="6" t="n"/>
      <c r="C2012" s="6" t="n"/>
      <c r="D2012" s="6" t="n"/>
      <c r="E2012" s="8" t="n"/>
      <c r="F2012" s="6" t="n"/>
    </row>
    <row r="2013">
      <c r="A2013" s="6" t="n"/>
      <c r="B2013" s="6" t="n"/>
      <c r="C2013" s="6" t="n"/>
      <c r="D2013" s="6" t="n"/>
      <c r="E2013" s="8" t="n"/>
      <c r="F2013" s="6" t="n"/>
    </row>
    <row r="2014">
      <c r="A2014" s="6" t="n"/>
      <c r="B2014" s="6" t="n"/>
      <c r="C2014" s="6" t="n"/>
      <c r="D2014" s="6" t="n"/>
      <c r="E2014" s="8" t="n"/>
      <c r="F2014" s="6" t="n"/>
    </row>
    <row r="2015">
      <c r="A2015" s="6" t="n"/>
      <c r="B2015" s="6" t="n"/>
      <c r="C2015" s="6" t="n"/>
      <c r="D2015" s="6" t="n"/>
      <c r="E2015" s="8" t="n"/>
      <c r="F2015" s="6" t="n"/>
    </row>
    <row r="2016">
      <c r="A2016" s="6" t="n"/>
      <c r="B2016" s="6" t="n"/>
      <c r="C2016" s="6" t="n"/>
      <c r="D2016" s="6" t="n"/>
      <c r="E2016" s="8" t="n"/>
      <c r="F2016" s="6" t="n"/>
    </row>
    <row r="2017">
      <c r="A2017" s="6" t="n"/>
      <c r="B2017" s="6" t="n"/>
      <c r="C2017" s="6" t="n"/>
      <c r="D2017" s="6" t="n"/>
      <c r="E2017" s="8" t="n"/>
      <c r="F2017" s="6" t="n"/>
    </row>
    <row r="2018">
      <c r="A2018" s="6" t="n"/>
      <c r="B2018" s="6" t="n"/>
      <c r="C2018" s="6" t="n"/>
      <c r="D2018" s="6" t="n"/>
      <c r="E2018" s="8" t="n"/>
      <c r="F2018" s="6" t="n"/>
    </row>
    <row r="2019">
      <c r="A2019" s="6" t="n"/>
      <c r="B2019" s="6" t="n"/>
      <c r="C2019" s="6" t="n"/>
      <c r="D2019" s="6" t="n"/>
      <c r="E2019" s="8" t="n"/>
      <c r="F2019" s="6" t="n"/>
    </row>
    <row r="2020">
      <c r="A2020" s="6" t="n"/>
      <c r="B2020" s="6" t="n"/>
      <c r="C2020" s="6" t="n"/>
      <c r="D2020" s="6" t="n"/>
      <c r="E2020" s="8" t="n"/>
      <c r="F2020" s="6" t="n"/>
    </row>
    <row r="2021">
      <c r="A2021" s="6" t="n"/>
      <c r="B2021" s="6" t="n"/>
      <c r="C2021" s="6" t="n"/>
      <c r="D2021" s="6" t="n"/>
      <c r="E2021" s="8" t="n"/>
      <c r="F2021" s="6" t="n"/>
    </row>
    <row r="2022">
      <c r="A2022" s="6" t="n"/>
      <c r="B2022" s="6" t="n"/>
      <c r="C2022" s="6" t="n"/>
      <c r="D2022" s="6" t="n"/>
      <c r="E2022" s="8" t="n"/>
      <c r="F2022" s="6" t="n"/>
    </row>
    <row r="2023">
      <c r="A2023" s="6" t="n"/>
      <c r="B2023" s="6" t="n"/>
      <c r="C2023" s="6" t="n"/>
      <c r="D2023" s="6" t="n"/>
      <c r="E2023" s="8" t="n"/>
      <c r="F2023" s="6" t="n"/>
    </row>
    <row r="2024">
      <c r="A2024" s="6" t="n"/>
      <c r="B2024" s="6" t="n"/>
      <c r="C2024" s="6" t="n"/>
      <c r="D2024" s="6" t="n"/>
      <c r="E2024" s="8" t="n"/>
      <c r="F2024" s="6" t="n"/>
    </row>
    <row r="2025">
      <c r="A2025" s="6" t="n"/>
      <c r="B2025" s="6" t="n"/>
      <c r="C2025" s="6" t="n"/>
      <c r="D2025" s="6" t="n"/>
      <c r="E2025" s="8" t="n"/>
      <c r="F2025" s="6" t="n"/>
    </row>
    <row r="2026">
      <c r="A2026" s="6" t="n"/>
      <c r="B2026" s="6" t="n"/>
      <c r="C2026" s="6" t="n"/>
      <c r="D2026" s="6" t="n"/>
      <c r="E2026" s="8" t="n"/>
      <c r="F2026" s="6" t="n"/>
    </row>
    <row r="2027">
      <c r="A2027" s="6" t="n"/>
      <c r="B2027" s="6" t="n"/>
      <c r="C2027" s="6" t="n"/>
      <c r="D2027" s="6" t="n"/>
      <c r="E2027" s="8" t="n"/>
      <c r="F2027" s="6" t="n"/>
    </row>
    <row r="2028">
      <c r="A2028" s="6" t="n"/>
      <c r="B2028" s="6" t="n"/>
      <c r="C2028" s="6" t="n"/>
      <c r="D2028" s="6" t="n"/>
      <c r="E2028" s="8" t="n"/>
      <c r="F2028" s="6" t="n"/>
    </row>
    <row r="2029">
      <c r="A2029" s="6" t="n"/>
      <c r="B2029" s="6" t="n"/>
      <c r="C2029" s="6" t="n"/>
      <c r="D2029" s="6" t="n"/>
      <c r="E2029" s="8" t="n"/>
      <c r="F2029" s="6" t="n"/>
    </row>
    <row r="2030">
      <c r="A2030" s="6" t="n"/>
      <c r="B2030" s="6" t="n"/>
      <c r="C2030" s="6" t="n"/>
      <c r="D2030" s="6" t="n"/>
      <c r="E2030" s="8" t="n"/>
      <c r="F2030" s="6" t="n"/>
    </row>
    <row r="2031">
      <c r="A2031" s="6" t="n"/>
      <c r="B2031" s="6" t="n"/>
      <c r="C2031" s="6" t="n"/>
      <c r="D2031" s="6" t="n"/>
      <c r="E2031" s="8" t="n"/>
      <c r="F2031" s="6" t="n"/>
    </row>
    <row r="2032">
      <c r="A2032" s="6" t="n"/>
      <c r="B2032" s="6" t="n"/>
      <c r="C2032" s="6" t="n"/>
      <c r="D2032" s="6" t="n"/>
      <c r="E2032" s="8" t="n"/>
      <c r="F2032" s="6" t="n"/>
    </row>
    <row r="2033">
      <c r="A2033" s="6" t="n"/>
      <c r="B2033" s="6" t="n"/>
      <c r="C2033" s="6" t="n"/>
      <c r="D2033" s="6" t="n"/>
      <c r="E2033" s="8" t="n"/>
      <c r="F2033" s="6" t="n"/>
    </row>
    <row r="2034">
      <c r="A2034" s="6" t="n"/>
      <c r="B2034" s="6" t="n"/>
      <c r="C2034" s="6" t="n"/>
      <c r="D2034" s="6" t="n"/>
      <c r="E2034" s="8" t="n"/>
      <c r="F2034" s="6" t="n"/>
    </row>
    <row r="2035">
      <c r="A2035" s="6" t="n"/>
      <c r="B2035" s="6" t="n"/>
      <c r="C2035" s="6" t="n"/>
      <c r="D2035" s="6" t="n"/>
      <c r="E2035" s="8" t="n"/>
      <c r="F2035" s="6" t="n"/>
    </row>
    <row r="2036">
      <c r="A2036" s="6" t="n"/>
      <c r="B2036" s="6" t="n"/>
      <c r="C2036" s="6" t="n"/>
      <c r="D2036" s="6" t="n"/>
      <c r="E2036" s="8" t="n"/>
      <c r="F2036" s="6" t="n"/>
    </row>
    <row r="2037">
      <c r="A2037" s="6" t="n"/>
      <c r="B2037" s="6" t="n"/>
      <c r="C2037" s="6" t="n"/>
      <c r="D2037" s="6" t="n"/>
      <c r="E2037" s="8" t="n"/>
      <c r="F2037" s="6" t="n"/>
    </row>
    <row r="2038">
      <c r="A2038" s="6" t="n"/>
      <c r="B2038" s="6" t="n"/>
      <c r="C2038" s="6" t="n"/>
      <c r="D2038" s="6" t="n"/>
      <c r="E2038" s="8" t="n"/>
      <c r="F2038" s="6" t="n"/>
    </row>
    <row r="2039">
      <c r="A2039" s="6" t="n"/>
      <c r="B2039" s="6" t="n"/>
      <c r="C2039" s="6" t="n"/>
      <c r="D2039" s="6" t="n"/>
      <c r="E2039" s="8" t="n"/>
      <c r="F2039" s="6" t="n"/>
    </row>
    <row r="2040">
      <c r="A2040" s="6" t="n"/>
      <c r="B2040" s="6" t="n"/>
      <c r="C2040" s="6" t="n"/>
      <c r="D2040" s="6" t="n"/>
      <c r="E2040" s="8" t="n"/>
      <c r="F2040" s="6" t="n"/>
    </row>
    <row r="2041">
      <c r="A2041" s="6" t="n"/>
      <c r="B2041" s="6" t="n"/>
      <c r="C2041" s="6" t="n"/>
      <c r="D2041" s="6" t="n"/>
      <c r="E2041" s="8" t="n"/>
      <c r="F2041" s="6" t="n"/>
    </row>
    <row r="2042">
      <c r="A2042" s="6" t="n"/>
      <c r="B2042" s="6" t="n"/>
      <c r="C2042" s="6" t="n"/>
      <c r="D2042" s="6" t="n"/>
      <c r="E2042" s="8" t="n"/>
      <c r="F2042" s="6" t="n"/>
    </row>
    <row r="2043">
      <c r="A2043" s="6" t="n"/>
      <c r="B2043" s="6" t="n"/>
      <c r="C2043" s="6" t="n"/>
      <c r="D2043" s="6" t="n"/>
      <c r="E2043" s="8" t="n"/>
      <c r="F2043" s="6" t="n"/>
    </row>
    <row r="2044">
      <c r="A2044" s="6" t="n"/>
      <c r="B2044" s="6" t="n"/>
      <c r="C2044" s="6" t="n"/>
      <c r="D2044" s="6" t="n"/>
      <c r="E2044" s="8" t="n"/>
      <c r="F2044" s="6" t="n"/>
    </row>
    <row r="2045">
      <c r="A2045" s="6" t="n"/>
      <c r="B2045" s="6" t="n"/>
      <c r="C2045" s="6" t="n"/>
      <c r="D2045" s="6" t="n"/>
      <c r="E2045" s="8" t="n"/>
      <c r="F2045" s="6" t="n"/>
    </row>
    <row r="2046">
      <c r="A2046" s="6" t="n"/>
      <c r="B2046" s="6" t="n"/>
      <c r="C2046" s="6" t="n"/>
      <c r="D2046" s="6" t="n"/>
      <c r="E2046" s="8" t="n"/>
      <c r="F2046" s="6" t="n"/>
    </row>
    <row r="2047">
      <c r="A2047" s="6" t="n"/>
      <c r="B2047" s="6" t="n"/>
      <c r="C2047" s="6" t="n"/>
      <c r="D2047" s="6" t="n"/>
      <c r="E2047" s="8" t="n"/>
      <c r="F2047" s="6" t="n"/>
    </row>
    <row r="2048">
      <c r="A2048" s="6" t="n"/>
      <c r="B2048" s="6" t="n"/>
      <c r="C2048" s="6" t="n"/>
      <c r="D2048" s="6" t="n"/>
      <c r="E2048" s="8" t="n"/>
      <c r="F2048" s="6" t="n"/>
    </row>
    <row r="2049">
      <c r="A2049" s="6" t="n"/>
      <c r="B2049" s="6" t="n"/>
      <c r="C2049" s="6" t="n"/>
      <c r="D2049" s="6" t="n"/>
      <c r="E2049" s="8" t="n"/>
      <c r="F2049" s="6" t="n"/>
    </row>
    <row r="2050">
      <c r="A2050" s="6" t="n"/>
      <c r="B2050" s="6" t="n"/>
      <c r="C2050" s="6" t="n"/>
      <c r="D2050" s="6" t="n"/>
      <c r="E2050" s="8" t="n"/>
      <c r="F2050" s="6" t="n"/>
    </row>
    <row r="2051">
      <c r="A2051" s="6" t="n"/>
      <c r="B2051" s="6" t="n"/>
      <c r="C2051" s="6" t="n"/>
      <c r="D2051" s="6" t="n"/>
      <c r="E2051" s="8" t="n"/>
      <c r="F2051" s="6" t="n"/>
    </row>
    <row r="2052">
      <c r="A2052" s="6" t="n"/>
      <c r="B2052" s="6" t="n"/>
      <c r="C2052" s="6" t="n"/>
      <c r="D2052" s="6" t="n"/>
      <c r="E2052" s="8" t="n"/>
      <c r="F2052" s="6" t="n"/>
    </row>
    <row r="2053">
      <c r="A2053" s="6" t="n"/>
      <c r="B2053" s="6" t="n"/>
      <c r="C2053" s="6" t="n"/>
      <c r="D2053" s="6" t="n"/>
      <c r="E2053" s="8" t="n"/>
      <c r="F2053" s="6" t="n"/>
    </row>
    <row r="2054">
      <c r="A2054" s="6" t="n"/>
      <c r="B2054" s="6" t="n"/>
      <c r="C2054" s="6" t="n"/>
      <c r="D2054" s="6" t="n"/>
      <c r="E2054" s="8" t="n"/>
      <c r="F2054" s="6" t="n"/>
    </row>
    <row r="2055">
      <c r="A2055" s="6" t="n"/>
      <c r="B2055" s="6" t="n"/>
      <c r="C2055" s="6" t="n"/>
      <c r="D2055" s="6" t="n"/>
      <c r="E2055" s="8" t="n"/>
      <c r="F2055" s="6" t="n"/>
    </row>
    <row r="2056">
      <c r="A2056" s="6" t="n"/>
      <c r="B2056" s="6" t="n"/>
      <c r="C2056" s="6" t="n"/>
      <c r="D2056" s="6" t="n"/>
      <c r="E2056" s="8" t="n"/>
      <c r="F2056" s="6" t="n"/>
    </row>
    <row r="2057">
      <c r="A2057" s="6" t="n"/>
      <c r="B2057" s="6" t="n"/>
      <c r="C2057" s="6" t="n"/>
      <c r="D2057" s="6" t="n"/>
      <c r="E2057" s="8" t="n"/>
      <c r="F2057" s="6" t="n"/>
    </row>
    <row r="2058">
      <c r="A2058" s="6" t="n"/>
      <c r="B2058" s="6" t="n"/>
      <c r="C2058" s="6" t="n"/>
      <c r="D2058" s="6" t="n"/>
      <c r="E2058" s="8" t="n"/>
      <c r="F2058" s="6" t="n"/>
    </row>
    <row r="2059">
      <c r="A2059" s="6" t="n"/>
      <c r="B2059" s="6" t="n"/>
      <c r="C2059" s="6" t="n"/>
      <c r="D2059" s="6" t="n"/>
      <c r="E2059" s="8" t="n"/>
      <c r="F2059" s="6" t="n"/>
    </row>
    <row r="2060">
      <c r="A2060" s="6" t="n"/>
      <c r="B2060" s="6" t="n"/>
      <c r="C2060" s="6" t="n"/>
      <c r="D2060" s="6" t="n"/>
      <c r="E2060" s="8" t="n"/>
      <c r="F2060" s="6" t="n"/>
    </row>
    <row r="2061">
      <c r="A2061" s="6" t="n"/>
      <c r="B2061" s="6" t="n"/>
      <c r="C2061" s="6" t="n"/>
      <c r="D2061" s="6" t="n"/>
      <c r="E2061" s="8" t="n"/>
      <c r="F2061" s="6" t="n"/>
    </row>
    <row r="2062">
      <c r="A2062" s="6" t="n"/>
      <c r="B2062" s="6" t="n"/>
      <c r="C2062" s="6" t="n"/>
      <c r="D2062" s="6" t="n"/>
      <c r="E2062" s="8" t="n"/>
      <c r="F2062" s="6" t="n"/>
    </row>
    <row r="2063">
      <c r="A2063" s="6" t="n"/>
      <c r="B2063" s="6" t="n"/>
      <c r="C2063" s="6" t="n"/>
      <c r="D2063" s="6" t="n"/>
      <c r="E2063" s="8" t="n"/>
      <c r="F2063" s="6" t="n"/>
    </row>
    <row r="2064">
      <c r="A2064" s="6" t="n"/>
      <c r="B2064" s="6" t="n"/>
      <c r="C2064" s="6" t="n"/>
      <c r="D2064" s="6" t="n"/>
      <c r="E2064" s="8" t="n"/>
      <c r="F2064" s="6" t="n"/>
    </row>
    <row r="2065">
      <c r="A2065" s="6" t="n"/>
      <c r="B2065" s="6" t="n"/>
      <c r="C2065" s="6" t="n"/>
      <c r="D2065" s="6" t="n"/>
      <c r="E2065" s="8" t="n"/>
      <c r="F2065" s="6" t="n"/>
    </row>
    <row r="2066">
      <c r="A2066" s="6" t="n"/>
      <c r="B2066" s="6" t="n"/>
      <c r="C2066" s="6" t="n"/>
      <c r="D2066" s="6" t="n"/>
      <c r="E2066" s="8" t="n"/>
      <c r="F2066" s="6" t="n"/>
    </row>
    <row r="2067">
      <c r="A2067" s="6" t="n"/>
      <c r="B2067" s="6" t="n"/>
      <c r="C2067" s="6" t="n"/>
      <c r="D2067" s="6" t="n"/>
      <c r="E2067" s="8" t="n"/>
      <c r="F2067" s="6" t="n"/>
    </row>
    <row r="2068">
      <c r="A2068" s="6" t="n"/>
      <c r="B2068" s="6" t="n"/>
      <c r="C2068" s="6" t="n"/>
      <c r="D2068" s="6" t="n"/>
      <c r="E2068" s="8" t="n"/>
      <c r="F2068" s="6" t="n"/>
    </row>
    <row r="2069">
      <c r="A2069" s="6" t="n"/>
      <c r="B2069" s="6" t="n"/>
      <c r="C2069" s="6" t="n"/>
      <c r="D2069" s="6" t="n"/>
      <c r="E2069" s="8" t="n"/>
      <c r="F2069" s="6" t="n"/>
    </row>
    <row r="2070">
      <c r="A2070" s="6" t="n"/>
      <c r="B2070" s="6" t="n"/>
      <c r="C2070" s="6" t="n"/>
      <c r="D2070" s="6" t="n"/>
      <c r="E2070" s="8" t="n"/>
      <c r="F2070" s="6" t="n"/>
    </row>
    <row r="2071">
      <c r="A2071" s="6" t="n"/>
      <c r="B2071" s="6" t="n"/>
      <c r="C2071" s="6" t="n"/>
      <c r="D2071" s="6" t="n"/>
      <c r="E2071" s="8" t="n"/>
      <c r="F2071" s="6" t="n"/>
    </row>
    <row r="2072">
      <c r="A2072" s="6" t="n"/>
      <c r="B2072" s="6" t="n"/>
      <c r="C2072" s="6" t="n"/>
      <c r="D2072" s="6" t="n"/>
      <c r="E2072" s="8" t="n"/>
      <c r="F2072" s="6" t="n"/>
    </row>
    <row r="2073">
      <c r="A2073" s="6" t="n"/>
      <c r="B2073" s="6" t="n"/>
      <c r="C2073" s="6" t="n"/>
      <c r="D2073" s="6" t="n"/>
      <c r="E2073" s="8" t="n"/>
      <c r="F2073" s="6" t="n"/>
    </row>
    <row r="2074">
      <c r="A2074" s="6" t="n"/>
      <c r="B2074" s="6" t="n"/>
      <c r="C2074" s="6" t="n"/>
      <c r="D2074" s="6" t="n"/>
      <c r="E2074" s="8" t="n"/>
      <c r="F2074" s="6" t="n"/>
    </row>
    <row r="2075">
      <c r="A2075" s="6" t="n"/>
      <c r="B2075" s="6" t="n"/>
      <c r="C2075" s="6" t="n"/>
      <c r="D2075" s="6" t="n"/>
      <c r="E2075" s="8" t="n"/>
      <c r="F2075" s="6" t="n"/>
    </row>
    <row r="2076">
      <c r="A2076" s="6" t="n"/>
      <c r="B2076" s="6" t="n"/>
      <c r="C2076" s="6" t="n"/>
      <c r="D2076" s="6" t="n"/>
      <c r="E2076" s="8" t="n"/>
      <c r="F2076" s="6" t="n"/>
    </row>
    <row r="2077">
      <c r="A2077" s="6" t="n"/>
      <c r="B2077" s="6" t="n"/>
      <c r="C2077" s="6" t="n"/>
      <c r="D2077" s="6" t="n"/>
      <c r="E2077" s="8" t="n"/>
      <c r="F2077" s="6" t="n"/>
    </row>
    <row r="2078">
      <c r="A2078" s="6" t="n"/>
      <c r="B2078" s="6" t="n"/>
      <c r="C2078" s="6" t="n"/>
      <c r="D2078" s="6" t="n"/>
      <c r="E2078" s="8" t="n"/>
      <c r="F2078" s="6" t="n"/>
    </row>
    <row r="2079">
      <c r="A2079" s="6" t="n"/>
      <c r="B2079" s="6" t="n"/>
      <c r="C2079" s="6" t="n"/>
      <c r="D2079" s="6" t="n"/>
      <c r="E2079" s="8" t="n"/>
      <c r="F2079" s="6" t="n"/>
    </row>
    <row r="2080">
      <c r="A2080" s="6" t="n"/>
      <c r="B2080" s="6" t="n"/>
      <c r="C2080" s="6" t="n"/>
      <c r="D2080" s="6" t="n"/>
      <c r="E2080" s="8" t="n"/>
      <c r="F2080" s="6" t="n"/>
    </row>
    <row r="2081">
      <c r="A2081" s="6" t="n"/>
      <c r="B2081" s="6" t="n"/>
      <c r="C2081" s="6" t="n"/>
      <c r="D2081" s="6" t="n"/>
      <c r="E2081" s="8" t="n"/>
      <c r="F2081" s="6" t="n"/>
    </row>
    <row r="2082">
      <c r="A2082" s="6" t="n"/>
      <c r="B2082" s="6" t="n"/>
      <c r="C2082" s="6" t="n"/>
      <c r="D2082" s="6" t="n"/>
      <c r="E2082" s="8" t="n"/>
      <c r="F2082" s="6" t="n"/>
    </row>
    <row r="2083">
      <c r="A2083" s="6" t="n"/>
      <c r="B2083" s="6" t="n"/>
      <c r="C2083" s="6" t="n"/>
      <c r="D2083" s="6" t="n"/>
      <c r="E2083" s="8" t="n"/>
      <c r="F2083" s="6" t="n"/>
    </row>
    <row r="2084">
      <c r="A2084" s="6" t="n"/>
      <c r="B2084" s="6" t="n"/>
      <c r="C2084" s="6" t="n"/>
      <c r="D2084" s="6" t="n"/>
      <c r="E2084" s="8" t="n"/>
      <c r="F2084" s="6" t="n"/>
    </row>
    <row r="2085">
      <c r="A2085" s="6" t="n"/>
      <c r="B2085" s="6" t="n"/>
      <c r="C2085" s="6" t="n"/>
      <c r="D2085" s="6" t="n"/>
      <c r="E2085" s="8" t="n"/>
      <c r="F2085" s="6" t="n"/>
    </row>
    <row r="2086">
      <c r="A2086" s="6" t="n"/>
      <c r="B2086" s="6" t="n"/>
      <c r="C2086" s="6" t="n"/>
      <c r="D2086" s="6" t="n"/>
      <c r="E2086" s="8" t="n"/>
      <c r="F2086" s="6" t="n"/>
    </row>
    <row r="2087">
      <c r="A2087" s="6" t="n"/>
      <c r="B2087" s="6" t="n"/>
      <c r="C2087" s="6" t="n"/>
      <c r="D2087" s="6" t="n"/>
      <c r="E2087" s="8" t="n"/>
      <c r="F2087" s="6" t="n"/>
    </row>
    <row r="2088">
      <c r="A2088" s="6" t="n"/>
      <c r="B2088" s="6" t="n"/>
      <c r="C2088" s="6" t="n"/>
      <c r="D2088" s="6" t="n"/>
      <c r="E2088" s="8" t="n"/>
      <c r="F2088" s="6" t="n"/>
    </row>
    <row r="2089">
      <c r="A2089" s="6" t="n"/>
      <c r="B2089" s="6" t="n"/>
      <c r="C2089" s="6" t="n"/>
      <c r="D2089" s="6" t="n"/>
      <c r="E2089" s="8" t="n"/>
      <c r="F2089" s="6" t="n"/>
    </row>
    <row r="2090">
      <c r="A2090" s="6" t="n"/>
      <c r="B2090" s="6" t="n"/>
      <c r="C2090" s="6" t="n"/>
      <c r="D2090" s="6" t="n"/>
      <c r="E2090" s="8" t="n"/>
      <c r="F2090" s="6" t="n"/>
    </row>
    <row r="2091">
      <c r="A2091" s="6" t="n"/>
      <c r="B2091" s="6" t="n"/>
      <c r="C2091" s="6" t="n"/>
      <c r="D2091" s="6" t="n"/>
      <c r="E2091" s="8" t="n"/>
      <c r="F2091" s="6" t="n"/>
    </row>
    <row r="2092">
      <c r="A2092" s="6" t="n"/>
      <c r="B2092" s="6" t="n"/>
      <c r="C2092" s="6" t="n"/>
      <c r="D2092" s="6" t="n"/>
      <c r="E2092" s="8" t="n"/>
      <c r="F2092" s="6" t="n"/>
    </row>
    <row r="2093">
      <c r="A2093" s="6" t="n"/>
      <c r="B2093" s="6" t="n"/>
      <c r="C2093" s="6" t="n"/>
      <c r="D2093" s="6" t="n"/>
      <c r="E2093" s="8" t="n"/>
      <c r="F2093" s="6" t="n"/>
    </row>
    <row r="2094">
      <c r="A2094" s="6" t="n"/>
      <c r="B2094" s="6" t="n"/>
      <c r="C2094" s="6" t="n"/>
      <c r="D2094" s="6" t="n"/>
      <c r="E2094" s="8" t="n"/>
      <c r="F2094" s="6" t="n"/>
    </row>
    <row r="2095">
      <c r="A2095" s="6" t="n"/>
      <c r="B2095" s="6" t="n"/>
      <c r="C2095" s="6" t="n"/>
      <c r="D2095" s="6" t="n"/>
      <c r="E2095" s="8" t="n"/>
      <c r="F2095" s="6" t="n"/>
    </row>
    <row r="2096">
      <c r="A2096" s="6" t="n"/>
      <c r="B2096" s="6" t="n"/>
      <c r="C2096" s="6" t="n"/>
      <c r="D2096" s="6" t="n"/>
      <c r="E2096" s="8" t="n"/>
      <c r="F2096" s="6" t="n"/>
    </row>
    <row r="2097">
      <c r="A2097" s="6" t="n"/>
      <c r="B2097" s="6" t="n"/>
      <c r="C2097" s="6" t="n"/>
      <c r="D2097" s="6" t="n"/>
      <c r="E2097" s="8" t="n"/>
      <c r="F2097" s="6" t="n"/>
    </row>
    <row r="2098">
      <c r="A2098" s="6" t="n"/>
      <c r="B2098" s="6" t="n"/>
      <c r="C2098" s="6" t="n"/>
      <c r="D2098" s="6" t="n"/>
      <c r="E2098" s="8" t="n"/>
      <c r="F2098" s="6" t="n"/>
    </row>
    <row r="2099">
      <c r="A2099" s="6" t="n"/>
      <c r="B2099" s="6" t="n"/>
      <c r="C2099" s="6" t="n"/>
      <c r="D2099" s="6" t="n"/>
      <c r="E2099" s="8" t="n"/>
      <c r="F2099" s="6" t="n"/>
    </row>
    <row r="2100">
      <c r="A2100" s="6" t="n"/>
      <c r="B2100" s="6" t="n"/>
      <c r="C2100" s="6" t="n"/>
      <c r="D2100" s="6" t="n"/>
      <c r="E2100" s="8" t="n"/>
      <c r="F2100" s="6" t="n"/>
    </row>
    <row r="2101">
      <c r="A2101" s="6" t="n"/>
      <c r="B2101" s="6" t="n"/>
      <c r="C2101" s="6" t="n"/>
      <c r="D2101" s="6" t="n"/>
      <c r="E2101" s="8" t="n"/>
      <c r="F2101" s="6" t="n"/>
    </row>
    <row r="2102">
      <c r="A2102" s="6" t="n"/>
      <c r="B2102" s="6" t="n"/>
      <c r="C2102" s="6" t="n"/>
      <c r="D2102" s="6" t="n"/>
      <c r="E2102" s="8" t="n"/>
      <c r="F2102" s="6" t="n"/>
    </row>
    <row r="2103">
      <c r="A2103" s="6" t="n"/>
      <c r="B2103" s="6" t="n"/>
      <c r="C2103" s="6" t="n"/>
      <c r="D2103" s="6" t="n"/>
      <c r="E2103" s="8" t="n"/>
      <c r="F2103" s="6" t="n"/>
    </row>
    <row r="2104">
      <c r="A2104" s="6" t="n"/>
      <c r="B2104" s="6" t="n"/>
      <c r="C2104" s="6" t="n"/>
      <c r="D2104" s="6" t="n"/>
      <c r="E2104" s="8" t="n"/>
      <c r="F2104" s="6" t="n"/>
    </row>
    <row r="2105">
      <c r="A2105" s="6" t="n"/>
      <c r="B2105" s="6" t="n"/>
      <c r="C2105" s="6" t="n"/>
      <c r="D2105" s="6" t="n"/>
      <c r="E2105" s="8" t="n"/>
      <c r="F2105" s="6" t="n"/>
    </row>
    <row r="2106">
      <c r="A2106" s="6" t="n"/>
      <c r="B2106" s="6" t="n"/>
      <c r="C2106" s="6" t="n"/>
      <c r="D2106" s="6" t="n"/>
      <c r="E2106" s="8" t="n"/>
      <c r="F2106" s="6" t="n"/>
    </row>
    <row r="2107">
      <c r="A2107" s="6" t="n"/>
      <c r="B2107" s="6" t="n"/>
      <c r="C2107" s="6" t="n"/>
      <c r="D2107" s="6" t="n"/>
      <c r="E2107" s="8" t="n"/>
      <c r="F2107" s="6" t="n"/>
    </row>
    <row r="2108">
      <c r="A2108" s="6" t="n"/>
      <c r="B2108" s="6" t="n"/>
      <c r="C2108" s="6" t="n"/>
      <c r="D2108" s="6" t="n"/>
      <c r="E2108" s="8" t="n"/>
      <c r="F2108" s="6" t="n"/>
    </row>
    <row r="2109">
      <c r="A2109" s="6" t="n"/>
      <c r="B2109" s="6" t="n"/>
      <c r="C2109" s="6" t="n"/>
      <c r="D2109" s="6" t="n"/>
      <c r="E2109" s="8" t="n"/>
      <c r="F2109" s="6" t="n"/>
    </row>
    <row r="2110">
      <c r="A2110" s="6" t="n"/>
      <c r="B2110" s="6" t="n"/>
      <c r="C2110" s="6" t="n"/>
      <c r="D2110" s="6" t="n"/>
      <c r="E2110" s="8" t="n"/>
      <c r="F2110" s="6" t="n"/>
    </row>
    <row r="2111">
      <c r="A2111" s="6" t="n"/>
      <c r="B2111" s="6" t="n"/>
      <c r="C2111" s="6" t="n"/>
      <c r="D2111" s="6" t="n"/>
      <c r="E2111" s="8" t="n"/>
      <c r="F2111" s="6" t="n"/>
    </row>
    <row r="2112">
      <c r="A2112" s="6" t="n"/>
      <c r="B2112" s="6" t="n"/>
      <c r="C2112" s="6" t="n"/>
      <c r="D2112" s="6" t="n"/>
      <c r="E2112" s="8" t="n"/>
      <c r="F2112" s="6" t="n"/>
    </row>
    <row r="2113">
      <c r="A2113" s="6" t="n"/>
      <c r="B2113" s="6" t="n"/>
      <c r="C2113" s="6" t="n"/>
      <c r="D2113" s="6" t="n"/>
      <c r="E2113" s="8" t="n"/>
      <c r="F2113" s="6" t="n"/>
    </row>
    <row r="2114">
      <c r="A2114" s="6" t="n"/>
      <c r="B2114" s="6" t="n"/>
      <c r="C2114" s="6" t="n"/>
      <c r="D2114" s="6" t="n"/>
      <c r="E2114" s="8" t="n"/>
      <c r="F2114" s="6" t="n"/>
    </row>
    <row r="2115">
      <c r="A2115" s="6" t="n"/>
      <c r="B2115" s="6" t="n"/>
      <c r="C2115" s="6" t="n"/>
      <c r="D2115" s="6" t="n"/>
      <c r="E2115" s="8" t="n"/>
      <c r="F2115" s="6" t="n"/>
    </row>
    <row r="2116">
      <c r="A2116" s="6" t="n"/>
      <c r="B2116" s="6" t="n"/>
      <c r="C2116" s="6" t="n"/>
      <c r="D2116" s="6" t="n"/>
      <c r="E2116" s="8" t="n"/>
      <c r="F2116" s="6" t="n"/>
    </row>
    <row r="2117">
      <c r="A2117" s="6" t="n"/>
      <c r="B2117" s="6" t="n"/>
      <c r="C2117" s="6" t="n"/>
      <c r="D2117" s="6" t="n"/>
      <c r="E2117" s="8" t="n"/>
      <c r="F2117" s="6" t="n"/>
    </row>
    <row r="2118">
      <c r="A2118" s="6" t="n"/>
      <c r="B2118" s="6" t="n"/>
      <c r="C2118" s="6" t="n"/>
      <c r="D2118" s="6" t="n"/>
      <c r="E2118" s="8" t="n"/>
      <c r="F2118" s="6" t="n"/>
    </row>
    <row r="2119">
      <c r="A2119" s="6" t="n"/>
      <c r="B2119" s="6" t="n"/>
      <c r="C2119" s="6" t="n"/>
      <c r="D2119" s="6" t="n"/>
      <c r="E2119" s="8" t="n"/>
      <c r="F2119" s="6" t="n"/>
    </row>
    <row r="2120">
      <c r="A2120" s="6" t="n"/>
      <c r="B2120" s="6" t="n"/>
      <c r="C2120" s="6" t="n"/>
      <c r="D2120" s="6" t="n"/>
      <c r="E2120" s="8" t="n"/>
      <c r="F2120" s="6" t="n"/>
    </row>
    <row r="2121">
      <c r="A2121" s="6" t="n"/>
      <c r="B2121" s="6" t="n"/>
      <c r="C2121" s="6" t="n"/>
      <c r="D2121" s="6" t="n"/>
      <c r="E2121" s="8" t="n"/>
      <c r="F2121" s="6" t="n"/>
    </row>
    <row r="2122">
      <c r="A2122" s="6" t="n"/>
      <c r="B2122" s="6" t="n"/>
      <c r="C2122" s="6" t="n"/>
      <c r="D2122" s="6" t="n"/>
      <c r="E2122" s="8" t="n"/>
      <c r="F2122" s="6" t="n"/>
    </row>
    <row r="2123">
      <c r="A2123" s="6" t="n"/>
      <c r="B2123" s="6" t="n"/>
      <c r="C2123" s="6" t="n"/>
      <c r="D2123" s="6" t="n"/>
      <c r="E2123" s="8" t="n"/>
      <c r="F2123" s="6" t="n"/>
    </row>
    <row r="2124">
      <c r="A2124" s="6" t="n"/>
      <c r="B2124" s="6" t="n"/>
      <c r="C2124" s="6" t="n"/>
      <c r="D2124" s="6" t="n"/>
      <c r="E2124" s="8" t="n"/>
      <c r="F2124" s="6" t="n"/>
    </row>
    <row r="2125">
      <c r="A2125" s="6" t="n"/>
      <c r="B2125" s="6" t="n"/>
      <c r="C2125" s="6" t="n"/>
      <c r="D2125" s="6" t="n"/>
      <c r="E2125" s="8" t="n"/>
      <c r="F2125" s="6" t="n"/>
    </row>
    <row r="2126">
      <c r="A2126" s="6" t="n"/>
      <c r="B2126" s="6" t="n"/>
      <c r="C2126" s="6" t="n"/>
      <c r="D2126" s="6" t="n"/>
      <c r="E2126" s="8" t="n"/>
      <c r="F2126" s="6" t="n"/>
    </row>
    <row r="2127">
      <c r="A2127" s="6" t="n"/>
      <c r="B2127" s="6" t="n"/>
      <c r="C2127" s="6" t="n"/>
      <c r="D2127" s="6" t="n"/>
      <c r="E2127" s="8" t="n"/>
      <c r="F2127" s="6" t="n"/>
    </row>
    <row r="2128">
      <c r="A2128" s="6" t="n"/>
      <c r="B2128" s="6" t="n"/>
      <c r="C2128" s="6" t="n"/>
      <c r="D2128" s="6" t="n"/>
      <c r="E2128" s="8" t="n"/>
      <c r="F2128" s="6" t="n"/>
    </row>
    <row r="2129">
      <c r="A2129" s="6" t="n"/>
      <c r="B2129" s="6" t="n"/>
      <c r="C2129" s="6" t="n"/>
      <c r="D2129" s="6" t="n"/>
      <c r="E2129" s="8" t="n"/>
      <c r="F2129" s="6" t="n"/>
    </row>
    <row r="2130">
      <c r="A2130" s="6" t="n"/>
      <c r="B2130" s="6" t="n"/>
      <c r="C2130" s="6" t="n"/>
      <c r="D2130" s="6" t="n"/>
      <c r="E2130" s="8" t="n"/>
      <c r="F2130" s="6" t="n"/>
    </row>
    <row r="2131">
      <c r="A2131" s="6" t="n"/>
      <c r="B2131" s="6" t="n"/>
      <c r="C2131" s="6" t="n"/>
      <c r="D2131" s="6" t="n"/>
      <c r="E2131" s="8" t="n"/>
      <c r="F2131" s="6" t="n"/>
    </row>
    <row r="2132">
      <c r="A2132" s="6" t="n"/>
      <c r="B2132" s="6" t="n"/>
      <c r="C2132" s="6" t="n"/>
      <c r="D2132" s="6" t="n"/>
      <c r="E2132" s="8" t="n"/>
      <c r="F2132" s="6" t="n"/>
    </row>
    <row r="2133">
      <c r="A2133" s="6" t="n"/>
      <c r="B2133" s="6" t="n"/>
      <c r="C2133" s="6" t="n"/>
      <c r="D2133" s="6" t="n"/>
      <c r="E2133" s="8" t="n"/>
      <c r="F2133" s="6" t="n"/>
    </row>
    <row r="2134">
      <c r="A2134" s="6" t="n"/>
      <c r="B2134" s="6" t="n"/>
      <c r="C2134" s="6" t="n"/>
      <c r="D2134" s="6" t="n"/>
      <c r="E2134" s="8" t="n"/>
      <c r="F2134" s="6" t="n"/>
    </row>
    <row r="2135">
      <c r="A2135" s="6" t="n"/>
      <c r="B2135" s="6" t="n"/>
      <c r="C2135" s="6" t="n"/>
      <c r="D2135" s="6" t="n"/>
      <c r="E2135" s="8" t="n"/>
      <c r="F2135" s="6" t="n"/>
    </row>
    <row r="2136">
      <c r="A2136" s="6" t="n"/>
      <c r="B2136" s="6" t="n"/>
      <c r="C2136" s="6" t="n"/>
      <c r="D2136" s="6" t="n"/>
      <c r="E2136" s="8" t="n"/>
      <c r="F2136" s="6" t="n"/>
    </row>
    <row r="2137">
      <c r="A2137" s="6" t="n"/>
      <c r="B2137" s="6" t="n"/>
      <c r="C2137" s="6" t="n"/>
      <c r="D2137" s="6" t="n"/>
      <c r="E2137" s="8" t="n"/>
      <c r="F2137" s="6" t="n"/>
    </row>
    <row r="2138">
      <c r="A2138" s="6" t="n"/>
      <c r="B2138" s="6" t="n"/>
      <c r="C2138" s="6" t="n"/>
      <c r="D2138" s="6" t="n"/>
      <c r="E2138" s="8" t="n"/>
      <c r="F2138" s="6" t="n"/>
    </row>
    <row r="2139">
      <c r="A2139" s="6" t="n"/>
      <c r="B2139" s="6" t="n"/>
      <c r="C2139" s="6" t="n"/>
      <c r="D2139" s="6" t="n"/>
      <c r="E2139" s="8" t="n"/>
      <c r="F2139" s="6" t="n"/>
    </row>
    <row r="2140">
      <c r="A2140" s="6" t="n"/>
      <c r="B2140" s="6" t="n"/>
      <c r="C2140" s="6" t="n"/>
      <c r="D2140" s="6" t="n"/>
      <c r="E2140" s="8" t="n"/>
      <c r="F2140" s="6" t="n"/>
    </row>
    <row r="2141">
      <c r="A2141" s="6" t="n"/>
      <c r="B2141" s="6" t="n"/>
      <c r="C2141" s="6" t="n"/>
      <c r="D2141" s="6" t="n"/>
      <c r="E2141" s="8" t="n"/>
      <c r="F2141" s="6" t="n"/>
    </row>
    <row r="2142">
      <c r="A2142" s="6" t="n"/>
      <c r="B2142" s="6" t="n"/>
      <c r="C2142" s="6" t="n"/>
      <c r="D2142" s="6" t="n"/>
      <c r="E2142" s="8" t="n"/>
      <c r="F2142" s="6" t="n"/>
    </row>
    <row r="2143">
      <c r="A2143" s="6" t="n"/>
      <c r="B2143" s="6" t="n"/>
      <c r="C2143" s="6" t="n"/>
      <c r="D2143" s="6" t="n"/>
      <c r="E2143" s="8" t="n"/>
      <c r="F2143" s="6" t="n"/>
    </row>
    <row r="2144">
      <c r="A2144" s="6" t="n"/>
      <c r="B2144" s="6" t="n"/>
      <c r="C2144" s="6" t="n"/>
      <c r="D2144" s="6" t="n"/>
      <c r="E2144" s="8" t="n"/>
      <c r="F2144" s="6" t="n"/>
    </row>
    <row r="2145">
      <c r="A2145" s="6" t="n"/>
      <c r="B2145" s="6" t="n"/>
      <c r="C2145" s="6" t="n"/>
      <c r="D2145" s="6" t="n"/>
      <c r="E2145" s="8" t="n"/>
      <c r="F2145" s="6" t="n"/>
    </row>
    <row r="2146">
      <c r="A2146" s="6" t="n"/>
      <c r="B2146" s="6" t="n"/>
      <c r="C2146" s="6" t="n"/>
      <c r="D2146" s="6" t="n"/>
      <c r="E2146" s="8" t="n"/>
      <c r="F2146" s="6" t="n"/>
    </row>
    <row r="2147">
      <c r="A2147" s="6" t="n"/>
      <c r="B2147" s="6" t="n"/>
      <c r="C2147" s="6" t="n"/>
      <c r="D2147" s="6" t="n"/>
      <c r="E2147" s="8" t="n"/>
      <c r="F2147" s="6" t="n"/>
    </row>
    <row r="2148">
      <c r="A2148" s="6" t="n"/>
      <c r="B2148" s="6" t="n"/>
      <c r="C2148" s="6" t="n"/>
      <c r="D2148" s="6" t="n"/>
      <c r="E2148" s="8" t="n"/>
      <c r="F2148" s="6" t="n"/>
    </row>
    <row r="2149">
      <c r="A2149" s="6" t="n"/>
      <c r="B2149" s="6" t="n"/>
      <c r="C2149" s="6" t="n"/>
      <c r="D2149" s="6" t="n"/>
      <c r="E2149" s="8" t="n"/>
      <c r="F2149" s="6" t="n"/>
    </row>
    <row r="2150">
      <c r="A2150" s="6" t="n"/>
      <c r="B2150" s="6" t="n"/>
      <c r="C2150" s="6" t="n"/>
      <c r="D2150" s="6" t="n"/>
      <c r="E2150" s="8" t="n"/>
      <c r="F2150" s="6" t="n"/>
    </row>
    <row r="2151">
      <c r="A2151" s="6" t="n"/>
      <c r="B2151" s="6" t="n"/>
      <c r="C2151" s="6" t="n"/>
      <c r="D2151" s="6" t="n"/>
      <c r="E2151" s="8" t="n"/>
      <c r="F2151" s="6" t="n"/>
    </row>
    <row r="2152">
      <c r="A2152" s="6" t="n"/>
      <c r="B2152" s="6" t="n"/>
      <c r="C2152" s="6" t="n"/>
      <c r="D2152" s="6" t="n"/>
      <c r="E2152" s="8" t="n"/>
      <c r="F2152" s="6" t="n"/>
    </row>
    <row r="2153">
      <c r="A2153" s="6" t="n"/>
      <c r="B2153" s="6" t="n"/>
      <c r="C2153" s="6" t="n"/>
      <c r="D2153" s="6" t="n"/>
      <c r="E2153" s="8" t="n"/>
      <c r="F2153" s="6" t="n"/>
    </row>
    <row r="2154">
      <c r="A2154" s="6" t="n"/>
      <c r="B2154" s="6" t="n"/>
      <c r="C2154" s="6" t="n"/>
      <c r="D2154" s="6" t="n"/>
      <c r="E2154" s="8" t="n"/>
      <c r="F2154" s="6" t="n"/>
    </row>
    <row r="2155">
      <c r="A2155" s="6" t="n"/>
      <c r="B2155" s="6" t="n"/>
      <c r="C2155" s="6" t="n"/>
      <c r="D2155" s="6" t="n"/>
      <c r="E2155" s="8" t="n"/>
      <c r="F2155" s="6" t="n"/>
    </row>
    <row r="2156">
      <c r="A2156" s="6" t="n"/>
      <c r="B2156" s="6" t="n"/>
      <c r="C2156" s="6" t="n"/>
      <c r="D2156" s="6" t="n"/>
      <c r="E2156" s="8" t="n"/>
      <c r="F2156" s="6" t="n"/>
    </row>
    <row r="2157">
      <c r="A2157" s="6" t="n"/>
      <c r="B2157" s="6" t="n"/>
      <c r="C2157" s="6" t="n"/>
      <c r="D2157" s="6" t="n"/>
      <c r="E2157" s="8" t="n"/>
      <c r="F2157" s="6" t="n"/>
    </row>
    <row r="2158">
      <c r="A2158" s="6" t="n"/>
      <c r="B2158" s="6" t="n"/>
      <c r="C2158" s="6" t="n"/>
      <c r="D2158" s="6" t="n"/>
      <c r="E2158" s="8" t="n"/>
      <c r="F2158" s="6" t="n"/>
    </row>
    <row r="2159">
      <c r="A2159" s="6" t="n"/>
      <c r="B2159" s="6" t="n"/>
      <c r="C2159" s="6" t="n"/>
      <c r="D2159" s="6" t="n"/>
      <c r="E2159" s="8" t="n"/>
      <c r="F2159" s="6" t="n"/>
    </row>
    <row r="2160">
      <c r="A2160" s="6" t="n"/>
      <c r="B2160" s="6" t="n"/>
      <c r="C2160" s="6" t="n"/>
      <c r="D2160" s="6" t="n"/>
      <c r="E2160" s="8" t="n"/>
      <c r="F2160" s="6" t="n"/>
    </row>
    <row r="2161">
      <c r="A2161" s="6" t="n"/>
      <c r="B2161" s="6" t="n"/>
      <c r="C2161" s="6" t="n"/>
      <c r="D2161" s="6" t="n"/>
      <c r="E2161" s="8" t="n"/>
      <c r="F2161" s="6" t="n"/>
    </row>
    <row r="2162">
      <c r="A2162" s="6" t="n"/>
      <c r="B2162" s="6" t="n"/>
      <c r="C2162" s="6" t="n"/>
      <c r="D2162" s="6" t="n"/>
      <c r="E2162" s="8" t="n"/>
      <c r="F2162" s="6" t="n"/>
    </row>
    <row r="2163">
      <c r="A2163" s="6" t="n"/>
      <c r="B2163" s="6" t="n"/>
      <c r="C2163" s="6" t="n"/>
      <c r="D2163" s="6" t="n"/>
      <c r="E2163" s="8" t="n"/>
      <c r="F2163" s="6" t="n"/>
    </row>
    <row r="2164">
      <c r="A2164" s="6" t="n"/>
      <c r="B2164" s="6" t="n"/>
      <c r="C2164" s="6" t="n"/>
      <c r="D2164" s="6" t="n"/>
      <c r="E2164" s="8" t="n"/>
      <c r="F2164" s="6" t="n"/>
    </row>
    <row r="2165">
      <c r="A2165" s="6" t="n"/>
      <c r="B2165" s="6" t="n"/>
      <c r="C2165" s="6" t="n"/>
      <c r="D2165" s="6" t="n"/>
      <c r="E2165" s="8" t="n"/>
      <c r="F2165" s="6" t="n"/>
    </row>
    <row r="2166">
      <c r="A2166" s="6" t="n"/>
      <c r="B2166" s="6" t="n"/>
      <c r="C2166" s="6" t="n"/>
      <c r="D2166" s="6" t="n"/>
      <c r="E2166" s="8" t="n"/>
      <c r="F2166" s="6" t="n"/>
    </row>
    <row r="2167">
      <c r="A2167" s="6" t="n"/>
      <c r="B2167" s="6" t="n"/>
      <c r="C2167" s="6" t="n"/>
      <c r="D2167" s="6" t="n"/>
      <c r="E2167" s="8" t="n"/>
      <c r="F2167" s="6" t="n"/>
    </row>
    <row r="2168">
      <c r="A2168" s="6" t="n"/>
      <c r="B2168" s="6" t="n"/>
      <c r="C2168" s="6" t="n"/>
      <c r="D2168" s="6" t="n"/>
      <c r="E2168" s="8" t="n"/>
      <c r="F2168" s="6" t="n"/>
    </row>
    <row r="2169">
      <c r="A2169" s="6" t="n"/>
      <c r="B2169" s="6" t="n"/>
      <c r="C2169" s="6" t="n"/>
      <c r="D2169" s="6" t="n"/>
      <c r="E2169" s="8" t="n"/>
      <c r="F2169" s="6" t="n"/>
    </row>
    <row r="2170">
      <c r="A2170" s="6" t="n"/>
      <c r="B2170" s="6" t="n"/>
      <c r="C2170" s="6" t="n"/>
      <c r="D2170" s="6" t="n"/>
      <c r="E2170" s="8" t="n"/>
      <c r="F2170" s="6" t="n"/>
    </row>
    <row r="2171">
      <c r="A2171" s="6" t="n"/>
      <c r="B2171" s="6" t="n"/>
      <c r="C2171" s="6" t="n"/>
      <c r="D2171" s="6" t="n"/>
      <c r="E2171" s="8" t="n"/>
      <c r="F2171" s="6" t="n"/>
    </row>
    <row r="2172">
      <c r="A2172" s="6" t="n"/>
      <c r="B2172" s="6" t="n"/>
      <c r="C2172" s="6" t="n"/>
      <c r="D2172" s="6" t="n"/>
      <c r="E2172" s="8" t="n"/>
      <c r="F2172" s="6" t="n"/>
    </row>
    <row r="2173">
      <c r="A2173" s="6" t="n"/>
      <c r="B2173" s="6" t="n"/>
      <c r="C2173" s="6" t="n"/>
      <c r="D2173" s="6" t="n"/>
      <c r="E2173" s="8" t="n"/>
      <c r="F2173" s="6" t="n"/>
    </row>
    <row r="2174">
      <c r="A2174" s="6" t="n"/>
      <c r="B2174" s="6" t="n"/>
      <c r="C2174" s="6" t="n"/>
      <c r="D2174" s="6" t="n"/>
      <c r="E2174" s="8" t="n"/>
      <c r="F2174" s="6" t="n"/>
    </row>
    <row r="2175">
      <c r="A2175" s="6" t="n"/>
      <c r="B2175" s="6" t="n"/>
      <c r="C2175" s="6" t="n"/>
      <c r="D2175" s="6" t="n"/>
      <c r="E2175" s="8" t="n"/>
      <c r="F2175" s="6" t="n"/>
    </row>
    <row r="2176">
      <c r="A2176" s="6" t="n"/>
      <c r="B2176" s="6" t="n"/>
      <c r="C2176" s="6" t="n"/>
      <c r="D2176" s="6" t="n"/>
      <c r="E2176" s="8" t="n"/>
      <c r="F2176" s="6" t="n"/>
    </row>
    <row r="2177">
      <c r="A2177" s="6" t="n"/>
      <c r="B2177" s="6" t="n"/>
      <c r="C2177" s="6" t="n"/>
      <c r="D2177" s="6" t="n"/>
      <c r="E2177" s="8" t="n"/>
      <c r="F2177" s="6" t="n"/>
    </row>
    <row r="2178">
      <c r="A2178" s="6" t="n"/>
      <c r="B2178" s="6" t="n"/>
      <c r="C2178" s="6" t="n"/>
      <c r="D2178" s="6" t="n"/>
      <c r="E2178" s="8" t="n"/>
      <c r="F2178" s="6" t="n"/>
    </row>
    <row r="2179">
      <c r="A2179" s="6" t="n"/>
      <c r="B2179" s="6" t="n"/>
      <c r="C2179" s="6" t="n"/>
      <c r="D2179" s="6" t="n"/>
      <c r="E2179" s="8" t="n"/>
      <c r="F2179" s="6" t="n"/>
    </row>
    <row r="2180">
      <c r="A2180" s="6" t="n"/>
      <c r="B2180" s="6" t="n"/>
      <c r="C2180" s="6" t="n"/>
      <c r="D2180" s="6" t="n"/>
      <c r="E2180" s="8" t="n"/>
      <c r="F2180" s="6" t="n"/>
    </row>
    <row r="2181">
      <c r="A2181" s="6" t="n"/>
      <c r="B2181" s="6" t="n"/>
      <c r="C2181" s="6" t="n"/>
      <c r="D2181" s="6" t="n"/>
      <c r="E2181" s="8" t="n"/>
      <c r="F2181" s="6" t="n"/>
    </row>
    <row r="2182">
      <c r="A2182" s="6" t="n"/>
      <c r="B2182" s="6" t="n"/>
      <c r="C2182" s="6" t="n"/>
      <c r="D2182" s="6" t="n"/>
      <c r="E2182" s="8" t="n"/>
      <c r="F2182" s="6" t="n"/>
    </row>
    <row r="2183">
      <c r="A2183" s="6" t="n"/>
      <c r="B2183" s="6" t="n"/>
      <c r="C2183" s="6" t="n"/>
      <c r="D2183" s="6" t="n"/>
      <c r="E2183" s="8" t="n"/>
      <c r="F2183" s="6" t="n"/>
    </row>
    <row r="2184">
      <c r="A2184" s="6" t="n"/>
      <c r="B2184" s="6" t="n"/>
      <c r="C2184" s="6" t="n"/>
      <c r="D2184" s="6" t="n"/>
      <c r="E2184" s="8" t="n"/>
      <c r="F2184" s="6" t="n"/>
    </row>
    <row r="2185">
      <c r="A2185" s="6" t="n"/>
      <c r="B2185" s="6" t="n"/>
      <c r="C2185" s="6" t="n"/>
      <c r="D2185" s="6" t="n"/>
      <c r="E2185" s="8" t="n"/>
      <c r="F2185" s="6" t="n"/>
    </row>
    <row r="2186">
      <c r="A2186" s="6" t="n"/>
      <c r="B2186" s="6" t="n"/>
      <c r="C2186" s="6" t="n"/>
      <c r="D2186" s="6" t="n"/>
      <c r="E2186" s="8" t="n"/>
      <c r="F2186" s="6" t="n"/>
    </row>
    <row r="2187">
      <c r="A2187" s="6" t="n"/>
      <c r="B2187" s="6" t="n"/>
      <c r="C2187" s="6" t="n"/>
      <c r="D2187" s="6" t="n"/>
      <c r="E2187" s="8" t="n"/>
      <c r="F2187" s="6" t="n"/>
    </row>
    <row r="2188">
      <c r="A2188" s="6" t="n"/>
      <c r="B2188" s="6" t="n"/>
      <c r="C2188" s="6" t="n"/>
      <c r="D2188" s="6" t="n"/>
      <c r="E2188" s="8" t="n"/>
      <c r="F2188" s="6" t="n"/>
    </row>
    <row r="2189">
      <c r="A2189" s="6" t="n"/>
      <c r="B2189" s="6" t="n"/>
      <c r="C2189" s="6" t="n"/>
      <c r="D2189" s="6" t="n"/>
      <c r="E2189" s="8" t="n"/>
      <c r="F2189" s="6" t="n"/>
    </row>
    <row r="2190">
      <c r="A2190" s="6" t="n"/>
      <c r="B2190" s="6" t="n"/>
      <c r="C2190" s="6" t="n"/>
      <c r="D2190" s="6" t="n"/>
      <c r="E2190" s="8" t="n"/>
      <c r="F2190" s="6" t="n"/>
    </row>
    <row r="2191">
      <c r="A2191" s="6" t="n"/>
      <c r="B2191" s="6" t="n"/>
      <c r="C2191" s="6" t="n"/>
      <c r="D2191" s="6" t="n"/>
      <c r="E2191" s="8" t="n"/>
      <c r="F2191" s="6" t="n"/>
    </row>
    <row r="2192">
      <c r="A2192" s="6" t="n"/>
      <c r="B2192" s="6" t="n"/>
      <c r="C2192" s="6" t="n"/>
      <c r="D2192" s="6" t="n"/>
      <c r="E2192" s="8" t="n"/>
      <c r="F2192" s="6" t="n"/>
    </row>
    <row r="2193">
      <c r="A2193" s="6" t="n"/>
      <c r="B2193" s="6" t="n"/>
      <c r="C2193" s="6" t="n"/>
      <c r="D2193" s="6" t="n"/>
      <c r="E2193" s="8" t="n"/>
      <c r="F2193" s="6" t="n"/>
    </row>
    <row r="2194">
      <c r="A2194" s="6" t="n"/>
      <c r="B2194" s="6" t="n"/>
      <c r="C2194" s="6" t="n"/>
      <c r="D2194" s="6" t="n"/>
      <c r="E2194" s="8" t="n"/>
      <c r="F2194" s="6" t="n"/>
    </row>
    <row r="2195">
      <c r="A2195" s="6" t="n"/>
      <c r="B2195" s="6" t="n"/>
      <c r="C2195" s="6" t="n"/>
      <c r="D2195" s="6" t="n"/>
      <c r="E2195" s="8" t="n"/>
      <c r="F2195" s="6" t="n"/>
    </row>
    <row r="2196">
      <c r="A2196" s="6" t="n"/>
      <c r="B2196" s="6" t="n"/>
      <c r="C2196" s="6" t="n"/>
      <c r="D2196" s="6" t="n"/>
      <c r="E2196" s="8" t="n"/>
      <c r="F2196" s="6" t="n"/>
    </row>
    <row r="2197">
      <c r="A2197" s="6" t="n"/>
      <c r="B2197" s="6" t="n"/>
      <c r="C2197" s="6" t="n"/>
      <c r="D2197" s="6" t="n"/>
      <c r="E2197" s="8" t="n"/>
      <c r="F2197" s="6" t="n"/>
    </row>
    <row r="2198">
      <c r="A2198" s="6" t="n"/>
      <c r="B2198" s="6" t="n"/>
      <c r="C2198" s="6" t="n"/>
      <c r="D2198" s="6" t="n"/>
      <c r="E2198" s="8" t="n"/>
      <c r="F2198" s="6" t="n"/>
    </row>
    <row r="2199">
      <c r="A2199" s="6" t="n"/>
      <c r="B2199" s="6" t="n"/>
      <c r="C2199" s="6" t="n"/>
      <c r="D2199" s="6" t="n"/>
      <c r="E2199" s="8" t="n"/>
      <c r="F2199" s="6" t="n"/>
    </row>
    <row r="2200">
      <c r="A2200" s="6" t="n"/>
      <c r="B2200" s="6" t="n"/>
      <c r="C2200" s="6" t="n"/>
      <c r="D2200" s="6" t="n"/>
      <c r="E2200" s="8" t="n"/>
      <c r="F2200" s="6" t="n"/>
    </row>
    <row r="2201">
      <c r="A2201" s="6" t="n"/>
      <c r="B2201" s="6" t="n"/>
      <c r="C2201" s="6" t="n"/>
      <c r="D2201" s="6" t="n"/>
      <c r="E2201" s="8" t="n"/>
      <c r="F2201" s="6" t="n"/>
    </row>
    <row r="2202">
      <c r="A2202" s="6" t="n"/>
      <c r="B2202" s="6" t="n"/>
      <c r="C2202" s="6" t="n"/>
      <c r="D2202" s="6" t="n"/>
      <c r="E2202" s="8" t="n"/>
      <c r="F2202" s="6" t="n"/>
    </row>
    <row r="2203">
      <c r="A2203" s="6" t="n"/>
      <c r="B2203" s="6" t="n"/>
      <c r="C2203" s="6" t="n"/>
      <c r="D2203" s="6" t="n"/>
      <c r="E2203" s="8" t="n"/>
      <c r="F2203" s="6" t="n"/>
    </row>
    <row r="2204">
      <c r="A2204" s="6" t="n"/>
      <c r="B2204" s="6" t="n"/>
      <c r="C2204" s="6" t="n"/>
      <c r="D2204" s="6" t="n"/>
      <c r="E2204" s="8" t="n"/>
      <c r="F2204" s="6" t="n"/>
    </row>
    <row r="2205">
      <c r="A2205" s="6" t="n"/>
      <c r="B2205" s="6" t="n"/>
      <c r="C2205" s="6" t="n"/>
      <c r="D2205" s="6" t="n"/>
      <c r="E2205" s="8" t="n"/>
      <c r="F2205" s="6" t="n"/>
    </row>
    <row r="2206">
      <c r="A2206" s="6" t="n"/>
      <c r="B2206" s="6" t="n"/>
      <c r="C2206" s="6" t="n"/>
      <c r="D2206" s="6" t="n"/>
      <c r="E2206" s="8" t="n"/>
      <c r="F2206" s="6" t="n"/>
    </row>
    <row r="2207">
      <c r="A2207" s="6" t="n"/>
      <c r="B2207" s="6" t="n"/>
      <c r="C2207" s="6" t="n"/>
      <c r="D2207" s="6" t="n"/>
      <c r="E2207" s="8" t="n"/>
      <c r="F2207" s="6" t="n"/>
    </row>
    <row r="2208">
      <c r="A2208" s="6" t="n"/>
      <c r="B2208" s="6" t="n"/>
      <c r="C2208" s="6" t="n"/>
      <c r="D2208" s="6" t="n"/>
      <c r="E2208" s="8" t="n"/>
      <c r="F2208" s="6" t="n"/>
    </row>
    <row r="2209">
      <c r="A2209" s="6" t="n"/>
      <c r="B2209" s="6" t="n"/>
      <c r="C2209" s="6" t="n"/>
      <c r="D2209" s="6" t="n"/>
      <c r="E2209" s="8" t="n"/>
      <c r="F2209" s="6" t="n"/>
    </row>
    <row r="2210">
      <c r="A2210" s="6" t="n"/>
      <c r="B2210" s="6" t="n"/>
      <c r="C2210" s="6" t="n"/>
      <c r="D2210" s="6" t="n"/>
      <c r="E2210" s="8" t="n"/>
      <c r="F2210" s="6" t="n"/>
    </row>
    <row r="2211">
      <c r="A2211" s="6" t="n"/>
      <c r="B2211" s="6" t="n"/>
      <c r="C2211" s="6" t="n"/>
      <c r="D2211" s="6" t="n"/>
      <c r="E2211" s="8" t="n"/>
      <c r="F2211" s="6" t="n"/>
    </row>
    <row r="2212">
      <c r="A2212" s="6" t="n"/>
      <c r="B2212" s="6" t="n"/>
      <c r="C2212" s="6" t="n"/>
      <c r="D2212" s="6" t="n"/>
      <c r="E2212" s="8" t="n"/>
      <c r="F2212" s="6" t="n"/>
    </row>
    <row r="2213">
      <c r="A2213" s="6" t="n"/>
      <c r="B2213" s="6" t="n"/>
      <c r="C2213" s="6" t="n"/>
      <c r="D2213" s="6" t="n"/>
      <c r="E2213" s="8" t="n"/>
      <c r="F2213" s="6" t="n"/>
    </row>
    <row r="2214">
      <c r="A2214" s="6" t="n"/>
      <c r="B2214" s="6" t="n"/>
      <c r="C2214" s="6" t="n"/>
      <c r="D2214" s="6" t="n"/>
      <c r="E2214" s="8" t="n"/>
      <c r="F2214" s="6" t="n"/>
    </row>
    <row r="2215">
      <c r="A2215" s="6" t="n"/>
      <c r="B2215" s="6" t="n"/>
      <c r="C2215" s="6" t="n"/>
      <c r="D2215" s="6" t="n"/>
      <c r="E2215" s="8" t="n"/>
      <c r="F2215" s="6" t="n"/>
    </row>
    <row r="2216">
      <c r="A2216" s="6" t="n"/>
      <c r="B2216" s="6" t="n"/>
      <c r="C2216" s="6" t="n"/>
      <c r="D2216" s="6" t="n"/>
      <c r="E2216" s="8" t="n"/>
      <c r="F2216" s="6" t="n"/>
    </row>
    <row r="2217">
      <c r="A2217" s="6" t="n"/>
      <c r="B2217" s="6" t="n"/>
      <c r="C2217" s="6" t="n"/>
      <c r="D2217" s="6" t="n"/>
      <c r="E2217" s="8" t="n"/>
      <c r="F2217" s="6" t="n"/>
    </row>
    <row r="2218">
      <c r="A2218" s="6" t="n"/>
      <c r="B2218" s="6" t="n"/>
      <c r="C2218" s="6" t="n"/>
      <c r="D2218" s="6" t="n"/>
      <c r="E2218" s="8" t="n"/>
      <c r="F2218" s="6" t="n"/>
    </row>
    <row r="2219">
      <c r="A2219" s="6" t="n"/>
      <c r="B2219" s="6" t="n"/>
      <c r="C2219" s="6" t="n"/>
      <c r="D2219" s="6" t="n"/>
      <c r="E2219" s="8" t="n"/>
      <c r="F2219" s="6" t="n"/>
    </row>
    <row r="2220">
      <c r="A2220" s="6" t="n"/>
      <c r="B2220" s="6" t="n"/>
      <c r="C2220" s="6" t="n"/>
      <c r="D2220" s="6" t="n"/>
      <c r="E2220" s="8" t="n"/>
      <c r="F2220" s="6" t="n"/>
    </row>
    <row r="2221">
      <c r="A2221" s="6" t="n"/>
      <c r="B2221" s="6" t="n"/>
      <c r="C2221" s="6" t="n"/>
      <c r="D2221" s="6" t="n"/>
      <c r="E2221" s="8" t="n"/>
      <c r="F2221" s="6" t="n"/>
    </row>
    <row r="2222">
      <c r="A2222" s="6" t="n"/>
      <c r="B2222" s="6" t="n"/>
      <c r="C2222" s="6" t="n"/>
      <c r="D2222" s="6" t="n"/>
      <c r="E2222" s="8" t="n"/>
      <c r="F2222" s="6" t="n"/>
    </row>
    <row r="2223">
      <c r="A2223" s="6" t="n"/>
      <c r="B2223" s="6" t="n"/>
      <c r="C2223" s="6" t="n"/>
      <c r="D2223" s="6" t="n"/>
      <c r="E2223" s="8" t="n"/>
      <c r="F2223" s="6" t="n"/>
    </row>
    <row r="2224">
      <c r="A2224" s="6" t="n"/>
      <c r="B2224" s="6" t="n"/>
      <c r="C2224" s="6" t="n"/>
      <c r="D2224" s="6" t="n"/>
      <c r="E2224" s="8" t="n"/>
      <c r="F2224" s="6" t="n"/>
    </row>
    <row r="2225">
      <c r="A2225" s="6" t="n"/>
      <c r="B2225" s="6" t="n"/>
      <c r="C2225" s="6" t="n"/>
      <c r="D2225" s="6" t="n"/>
      <c r="E2225" s="8" t="n"/>
      <c r="F2225" s="6" t="n"/>
    </row>
    <row r="2226">
      <c r="A2226" s="6" t="n"/>
      <c r="B2226" s="6" t="n"/>
      <c r="C2226" s="6" t="n"/>
      <c r="D2226" s="6" t="n"/>
      <c r="E2226" s="8" t="n"/>
      <c r="F2226" s="6" t="n"/>
    </row>
    <row r="2227">
      <c r="A2227" s="6" t="n"/>
      <c r="B2227" s="6" t="n"/>
      <c r="C2227" s="6" t="n"/>
      <c r="D2227" s="6" t="n"/>
      <c r="E2227" s="8" t="n"/>
      <c r="F2227" s="6" t="n"/>
    </row>
    <row r="2228">
      <c r="A2228" s="6" t="n"/>
      <c r="B2228" s="6" t="n"/>
      <c r="C2228" s="6" t="n"/>
      <c r="D2228" s="6" t="n"/>
      <c r="E2228" s="8" t="n"/>
      <c r="F2228" s="6" t="n"/>
    </row>
    <row r="2229">
      <c r="A2229" s="6" t="n"/>
      <c r="B2229" s="6" t="n"/>
      <c r="C2229" s="6" t="n"/>
      <c r="D2229" s="6" t="n"/>
      <c r="E2229" s="8" t="n"/>
      <c r="F2229" s="6" t="n"/>
    </row>
    <row r="2230">
      <c r="A2230" s="6" t="n"/>
      <c r="B2230" s="6" t="n"/>
      <c r="C2230" s="6" t="n"/>
      <c r="D2230" s="6" t="n"/>
      <c r="E2230" s="8" t="n"/>
      <c r="F2230" s="6" t="n"/>
    </row>
    <row r="2231">
      <c r="A2231" s="6" t="n"/>
      <c r="B2231" s="6" t="n"/>
      <c r="C2231" s="6" t="n"/>
      <c r="D2231" s="6" t="n"/>
      <c r="E2231" s="8" t="n"/>
      <c r="F2231" s="6" t="n"/>
    </row>
    <row r="2232">
      <c r="A2232" s="6" t="n"/>
      <c r="B2232" s="6" t="n"/>
      <c r="C2232" s="6" t="n"/>
      <c r="D2232" s="6" t="n"/>
      <c r="E2232" s="8" t="n"/>
      <c r="F2232" s="6" t="n"/>
    </row>
    <row r="2233">
      <c r="A2233" s="6" t="n"/>
      <c r="B2233" s="6" t="n"/>
      <c r="C2233" s="6" t="n"/>
      <c r="D2233" s="6" t="n"/>
      <c r="E2233" s="8" t="n"/>
      <c r="F2233" s="6" t="n"/>
    </row>
    <row r="2234">
      <c r="A2234" s="6" t="n"/>
      <c r="B2234" s="6" t="n"/>
      <c r="C2234" s="6" t="n"/>
      <c r="D2234" s="6" t="n"/>
      <c r="E2234" s="8" t="n"/>
      <c r="F2234" s="6" t="n"/>
    </row>
    <row r="2235">
      <c r="A2235" s="6" t="n"/>
      <c r="B2235" s="6" t="n"/>
      <c r="C2235" s="6" t="n"/>
      <c r="D2235" s="6" t="n"/>
      <c r="E2235" s="8" t="n"/>
      <c r="F2235" s="6" t="n"/>
    </row>
    <row r="2236">
      <c r="A2236" s="6" t="n"/>
      <c r="B2236" s="6" t="n"/>
      <c r="C2236" s="6" t="n"/>
      <c r="D2236" s="6" t="n"/>
      <c r="E2236" s="8" t="n"/>
      <c r="F2236" s="6" t="n"/>
    </row>
    <row r="2237">
      <c r="A2237" s="6" t="n"/>
      <c r="B2237" s="6" t="n"/>
      <c r="C2237" s="6" t="n"/>
      <c r="D2237" s="6" t="n"/>
      <c r="E2237" s="8" t="n"/>
      <c r="F2237" s="6" t="n"/>
    </row>
    <row r="2238">
      <c r="A2238" s="6" t="n"/>
      <c r="B2238" s="6" t="n"/>
      <c r="C2238" s="6" t="n"/>
      <c r="D2238" s="6" t="n"/>
      <c r="E2238" s="8" t="n"/>
      <c r="F2238" s="6" t="n"/>
    </row>
    <row r="2239">
      <c r="A2239" s="6" t="n"/>
      <c r="B2239" s="6" t="n"/>
      <c r="C2239" s="6" t="n"/>
      <c r="D2239" s="6" t="n"/>
      <c r="E2239" s="8" t="n"/>
      <c r="F2239" s="6" t="n"/>
    </row>
    <row r="2240">
      <c r="A2240" s="6" t="n"/>
      <c r="B2240" s="6" t="n"/>
      <c r="C2240" s="6" t="n"/>
      <c r="D2240" s="6" t="n"/>
      <c r="E2240" s="8" t="n"/>
      <c r="F2240" s="6" t="n"/>
    </row>
    <row r="2241">
      <c r="A2241" s="6" t="n"/>
      <c r="B2241" s="6" t="n"/>
      <c r="C2241" s="6" t="n"/>
      <c r="D2241" s="6" t="n"/>
      <c r="E2241" s="8" t="n"/>
      <c r="F2241" s="6" t="n"/>
    </row>
    <row r="2242">
      <c r="A2242" s="6" t="n"/>
      <c r="B2242" s="6" t="n"/>
      <c r="C2242" s="6" t="n"/>
      <c r="D2242" s="6" t="n"/>
      <c r="E2242" s="8" t="n"/>
      <c r="F2242" s="6" t="n"/>
    </row>
    <row r="2243">
      <c r="A2243" s="6" t="n"/>
      <c r="B2243" s="6" t="n"/>
      <c r="C2243" s="6" t="n"/>
      <c r="D2243" s="6" t="n"/>
      <c r="E2243" s="8" t="n"/>
      <c r="F2243" s="6" t="n"/>
    </row>
    <row r="2244">
      <c r="A2244" s="6" t="n"/>
      <c r="B2244" s="6" t="n"/>
      <c r="C2244" s="6" t="n"/>
      <c r="D2244" s="6" t="n"/>
      <c r="E2244" s="8" t="n"/>
      <c r="F2244" s="6" t="n"/>
    </row>
    <row r="2245">
      <c r="A2245" s="6" t="n"/>
      <c r="B2245" s="6" t="n"/>
      <c r="C2245" s="6" t="n"/>
      <c r="D2245" s="6" t="n"/>
      <c r="E2245" s="8" t="n"/>
      <c r="F2245" s="6" t="n"/>
    </row>
    <row r="2246">
      <c r="A2246" s="6" t="n"/>
      <c r="B2246" s="6" t="n"/>
      <c r="C2246" s="6" t="n"/>
      <c r="D2246" s="6" t="n"/>
      <c r="E2246" s="8" t="n"/>
      <c r="F2246" s="6" t="n"/>
    </row>
    <row r="2247">
      <c r="A2247" s="6" t="n"/>
      <c r="B2247" s="6" t="n"/>
      <c r="C2247" s="6" t="n"/>
      <c r="D2247" s="6" t="n"/>
      <c r="E2247" s="8" t="n"/>
      <c r="F2247" s="6" t="n"/>
    </row>
    <row r="2248">
      <c r="A2248" s="6" t="n"/>
      <c r="B2248" s="6" t="n"/>
      <c r="C2248" s="6" t="n"/>
      <c r="D2248" s="6" t="n"/>
      <c r="E2248" s="8" t="n"/>
      <c r="F2248" s="6" t="n"/>
    </row>
    <row r="2249">
      <c r="A2249" s="6" t="n"/>
      <c r="B2249" s="6" t="n"/>
      <c r="C2249" s="6" t="n"/>
      <c r="D2249" s="6" t="n"/>
      <c r="E2249" s="8" t="n"/>
      <c r="F2249" s="6" t="n"/>
    </row>
    <row r="2250">
      <c r="A2250" s="6" t="n"/>
      <c r="B2250" s="6" t="n"/>
      <c r="C2250" s="6" t="n"/>
      <c r="D2250" s="6" t="n"/>
      <c r="E2250" s="8" t="n"/>
      <c r="F2250" s="6" t="n"/>
    </row>
    <row r="2251">
      <c r="A2251" s="6" t="n"/>
      <c r="B2251" s="6" t="n"/>
      <c r="C2251" s="6" t="n"/>
      <c r="D2251" s="6" t="n"/>
      <c r="E2251" s="8" t="n"/>
      <c r="F2251" s="6" t="n"/>
    </row>
    <row r="2252">
      <c r="A2252" s="6" t="n"/>
      <c r="B2252" s="6" t="n"/>
      <c r="C2252" s="6" t="n"/>
      <c r="D2252" s="6" t="n"/>
      <c r="E2252" s="8" t="n"/>
      <c r="F2252" s="6" t="n"/>
    </row>
    <row r="2253">
      <c r="A2253" s="6" t="n"/>
      <c r="B2253" s="6" t="n"/>
      <c r="C2253" s="6" t="n"/>
      <c r="D2253" s="6" t="n"/>
      <c r="E2253" s="8" t="n"/>
      <c r="F2253" s="6" t="n"/>
    </row>
    <row r="2254">
      <c r="A2254" s="6" t="n"/>
      <c r="B2254" s="6" t="n"/>
      <c r="C2254" s="6" t="n"/>
      <c r="D2254" s="6" t="n"/>
      <c r="E2254" s="8" t="n"/>
      <c r="F2254" s="6" t="n"/>
    </row>
    <row r="2255">
      <c r="A2255" s="6" t="n"/>
      <c r="B2255" s="6" t="n"/>
      <c r="C2255" s="6" t="n"/>
      <c r="D2255" s="6" t="n"/>
      <c r="E2255" s="8" t="n"/>
      <c r="F2255" s="6" t="n"/>
    </row>
    <row r="2256">
      <c r="A2256" s="6" t="n"/>
      <c r="B2256" s="6" t="n"/>
      <c r="C2256" s="6" t="n"/>
      <c r="D2256" s="6" t="n"/>
      <c r="E2256" s="8" t="n"/>
      <c r="F2256" s="6" t="n"/>
    </row>
    <row r="2257">
      <c r="A2257" s="6" t="n"/>
      <c r="B2257" s="6" t="n"/>
      <c r="C2257" s="6" t="n"/>
      <c r="D2257" s="6" t="n"/>
      <c r="E2257" s="8" t="n"/>
      <c r="F2257" s="6" t="n"/>
    </row>
    <row r="2258">
      <c r="A2258" s="6" t="n"/>
      <c r="B2258" s="6" t="n"/>
      <c r="C2258" s="6" t="n"/>
      <c r="D2258" s="6" t="n"/>
      <c r="E2258" s="8" t="n"/>
      <c r="F2258" s="6" t="n"/>
    </row>
    <row r="2259">
      <c r="A2259" s="6" t="n"/>
      <c r="B2259" s="6" t="n"/>
      <c r="C2259" s="6" t="n"/>
      <c r="D2259" s="6" t="n"/>
      <c r="E2259" s="8" t="n"/>
      <c r="F2259" s="6" t="n"/>
    </row>
    <row r="2260">
      <c r="A2260" s="6" t="n"/>
      <c r="B2260" s="6" t="n"/>
      <c r="C2260" s="6" t="n"/>
      <c r="D2260" s="6" t="n"/>
      <c r="E2260" s="8" t="n"/>
      <c r="F2260" s="6" t="n"/>
    </row>
    <row r="2261">
      <c r="A2261" s="6" t="n"/>
      <c r="B2261" s="6" t="n"/>
      <c r="C2261" s="6" t="n"/>
      <c r="D2261" s="6" t="n"/>
      <c r="E2261" s="8" t="n"/>
      <c r="F2261" s="6" t="n"/>
    </row>
    <row r="2262">
      <c r="A2262" s="6" t="n"/>
      <c r="B2262" s="6" t="n"/>
      <c r="C2262" s="6" t="n"/>
      <c r="D2262" s="6" t="n"/>
      <c r="E2262" s="8" t="n"/>
      <c r="F2262" s="6" t="n"/>
    </row>
    <row r="2263">
      <c r="A2263" s="6" t="n"/>
      <c r="B2263" s="6" t="n"/>
      <c r="C2263" s="6" t="n"/>
      <c r="D2263" s="6" t="n"/>
      <c r="E2263" s="8" t="n"/>
      <c r="F2263" s="6" t="n"/>
    </row>
    <row r="2264">
      <c r="A2264" s="6" t="n"/>
      <c r="B2264" s="6" t="n"/>
      <c r="C2264" s="6" t="n"/>
      <c r="D2264" s="6" t="n"/>
      <c r="E2264" s="8" t="n"/>
      <c r="F2264" s="6" t="n"/>
    </row>
    <row r="2265">
      <c r="A2265" s="6" t="n"/>
      <c r="B2265" s="6" t="n"/>
      <c r="C2265" s="6" t="n"/>
      <c r="D2265" s="6" t="n"/>
      <c r="E2265" s="8" t="n"/>
      <c r="F2265" s="6" t="n"/>
    </row>
    <row r="2266">
      <c r="A2266" s="6" t="n"/>
      <c r="B2266" s="6" t="n"/>
      <c r="C2266" s="6" t="n"/>
      <c r="D2266" s="6" t="n"/>
      <c r="E2266" s="8" t="n"/>
      <c r="F2266" s="6" t="n"/>
    </row>
    <row r="2267">
      <c r="A2267" s="6" t="n"/>
      <c r="B2267" s="6" t="n"/>
      <c r="C2267" s="6" t="n"/>
      <c r="D2267" s="6" t="n"/>
      <c r="E2267" s="8" t="n"/>
      <c r="F2267" s="6" t="n"/>
    </row>
    <row r="2268">
      <c r="A2268" s="6" t="n"/>
      <c r="B2268" s="6" t="n"/>
      <c r="C2268" s="6" t="n"/>
      <c r="D2268" s="6" t="n"/>
      <c r="E2268" s="8" t="n"/>
      <c r="F2268" s="6" t="n"/>
    </row>
    <row r="2269">
      <c r="A2269" s="6" t="n"/>
      <c r="B2269" s="6" t="n"/>
      <c r="C2269" s="6" t="n"/>
      <c r="D2269" s="6" t="n"/>
      <c r="E2269" s="8" t="n"/>
      <c r="F2269" s="6" t="n"/>
    </row>
    <row r="2270">
      <c r="A2270" s="6" t="n"/>
      <c r="B2270" s="6" t="n"/>
      <c r="C2270" s="6" t="n"/>
      <c r="D2270" s="6" t="n"/>
      <c r="E2270" s="8" t="n"/>
      <c r="F2270" s="6" t="n"/>
    </row>
    <row r="2271">
      <c r="A2271" s="6" t="n"/>
      <c r="B2271" s="6" t="n"/>
      <c r="C2271" s="6" t="n"/>
      <c r="D2271" s="6" t="n"/>
      <c r="E2271" s="8" t="n"/>
      <c r="F2271" s="6" t="n"/>
    </row>
    <row r="2272">
      <c r="A2272" s="6" t="n"/>
      <c r="B2272" s="6" t="n"/>
      <c r="C2272" s="6" t="n"/>
      <c r="D2272" s="6" t="n"/>
      <c r="E2272" s="8" t="n"/>
      <c r="F2272" s="6" t="n"/>
    </row>
    <row r="2273">
      <c r="A2273" s="6" t="n"/>
      <c r="B2273" s="6" t="n"/>
      <c r="C2273" s="6" t="n"/>
      <c r="D2273" s="6" t="n"/>
      <c r="E2273" s="8" t="n"/>
      <c r="F2273" s="6" t="n"/>
    </row>
    <row r="2274">
      <c r="A2274" s="6" t="n"/>
      <c r="B2274" s="6" t="n"/>
      <c r="C2274" s="6" t="n"/>
      <c r="D2274" s="6" t="n"/>
      <c r="E2274" s="8" t="n"/>
      <c r="F2274" s="6" t="n"/>
    </row>
    <row r="2275">
      <c r="A2275" s="6" t="n"/>
      <c r="B2275" s="6" t="n"/>
      <c r="C2275" s="6" t="n"/>
      <c r="D2275" s="6" t="n"/>
      <c r="E2275" s="8" t="n"/>
      <c r="F2275" s="6" t="n"/>
    </row>
    <row r="2276">
      <c r="A2276" s="6" t="n"/>
      <c r="B2276" s="6" t="n"/>
      <c r="C2276" s="6" t="n"/>
      <c r="D2276" s="6" t="n"/>
      <c r="E2276" s="8" t="n"/>
      <c r="F2276" s="6" t="n"/>
    </row>
    <row r="2277">
      <c r="A2277" s="6" t="n"/>
      <c r="B2277" s="6" t="n"/>
      <c r="C2277" s="6" t="n"/>
      <c r="D2277" s="6" t="n"/>
      <c r="E2277" s="8" t="n"/>
      <c r="F2277" s="6" t="n"/>
    </row>
    <row r="2278">
      <c r="A2278" s="6" t="n"/>
      <c r="B2278" s="6" t="n"/>
      <c r="C2278" s="6" t="n"/>
      <c r="D2278" s="6" t="n"/>
      <c r="E2278" s="8" t="n"/>
      <c r="F2278" s="6" t="n"/>
    </row>
    <row r="2279">
      <c r="A2279" s="6" t="n"/>
      <c r="B2279" s="6" t="n"/>
      <c r="C2279" s="6" t="n"/>
      <c r="D2279" s="6" t="n"/>
      <c r="E2279" s="8" t="n"/>
      <c r="F2279" s="6" t="n"/>
    </row>
    <row r="2280">
      <c r="A2280" s="6" t="n"/>
      <c r="B2280" s="6" t="n"/>
      <c r="C2280" s="6" t="n"/>
      <c r="D2280" s="6" t="n"/>
      <c r="E2280" s="8" t="n"/>
      <c r="F2280" s="6" t="n"/>
    </row>
    <row r="2281">
      <c r="A2281" s="6" t="n"/>
      <c r="B2281" s="6" t="n"/>
      <c r="C2281" s="6" t="n"/>
      <c r="D2281" s="6" t="n"/>
      <c r="E2281" s="8" t="n"/>
      <c r="F2281" s="6" t="n"/>
    </row>
    <row r="2282">
      <c r="A2282" s="6" t="n"/>
      <c r="B2282" s="6" t="n"/>
      <c r="C2282" s="6" t="n"/>
      <c r="D2282" s="6" t="n"/>
      <c r="E2282" s="8" t="n"/>
      <c r="F2282" s="6" t="n"/>
    </row>
    <row r="2283">
      <c r="A2283" s="6" t="n"/>
      <c r="B2283" s="6" t="n"/>
      <c r="C2283" s="6" t="n"/>
      <c r="D2283" s="6" t="n"/>
      <c r="E2283" s="8" t="n"/>
      <c r="F2283" s="6" t="n"/>
    </row>
    <row r="2284">
      <c r="A2284" s="6" t="n"/>
      <c r="B2284" s="6" t="n"/>
      <c r="C2284" s="6" t="n"/>
      <c r="D2284" s="6" t="n"/>
      <c r="E2284" s="8" t="n"/>
      <c r="F2284" s="6" t="n"/>
    </row>
    <row r="2285">
      <c r="A2285" s="6" t="n"/>
      <c r="B2285" s="6" t="n"/>
      <c r="C2285" s="6" t="n"/>
      <c r="D2285" s="6" t="n"/>
      <c r="E2285" s="8" t="n"/>
      <c r="F2285" s="6" t="n"/>
    </row>
    <row r="2286">
      <c r="A2286" s="6" t="n"/>
      <c r="B2286" s="6" t="n"/>
      <c r="C2286" s="6" t="n"/>
      <c r="D2286" s="6" t="n"/>
      <c r="E2286" s="8" t="n"/>
      <c r="F2286" s="6" t="n"/>
    </row>
    <row r="2287">
      <c r="A2287" s="6" t="n"/>
      <c r="B2287" s="6" t="n"/>
      <c r="C2287" s="6" t="n"/>
      <c r="D2287" s="6" t="n"/>
      <c r="E2287" s="8" t="n"/>
      <c r="F2287" s="6" t="n"/>
    </row>
    <row r="2288">
      <c r="A2288" s="6" t="n"/>
      <c r="B2288" s="6" t="n"/>
      <c r="C2288" s="6" t="n"/>
      <c r="D2288" s="6" t="n"/>
      <c r="E2288" s="8" t="n"/>
      <c r="F2288" s="6" t="n"/>
    </row>
    <row r="2289">
      <c r="A2289" s="6" t="n"/>
      <c r="B2289" s="6" t="n"/>
      <c r="C2289" s="6" t="n"/>
      <c r="D2289" s="6" t="n"/>
      <c r="E2289" s="8" t="n"/>
      <c r="F2289" s="6" t="n"/>
    </row>
    <row r="2290">
      <c r="A2290" s="6" t="n"/>
      <c r="B2290" s="6" t="n"/>
      <c r="C2290" s="6" t="n"/>
      <c r="D2290" s="6" t="n"/>
      <c r="E2290" s="8" t="n"/>
      <c r="F2290" s="6" t="n"/>
    </row>
    <row r="2291">
      <c r="A2291" s="6" t="n"/>
      <c r="B2291" s="6" t="n"/>
      <c r="C2291" s="6" t="n"/>
      <c r="D2291" s="6" t="n"/>
      <c r="E2291" s="8" t="n"/>
      <c r="F2291" s="6" t="n"/>
    </row>
    <row r="2292">
      <c r="A2292" s="6" t="n"/>
      <c r="B2292" s="6" t="n"/>
      <c r="C2292" s="6" t="n"/>
      <c r="D2292" s="6" t="n"/>
      <c r="E2292" s="8" t="n"/>
      <c r="F2292" s="6" t="n"/>
    </row>
    <row r="2293">
      <c r="A2293" s="6" t="n"/>
      <c r="B2293" s="6" t="n"/>
      <c r="C2293" s="6" t="n"/>
      <c r="D2293" s="6" t="n"/>
      <c r="E2293" s="8" t="n"/>
      <c r="F2293" s="6" t="n"/>
    </row>
    <row r="2294">
      <c r="A2294" s="6" t="n"/>
      <c r="B2294" s="6" t="n"/>
      <c r="C2294" s="6" t="n"/>
      <c r="D2294" s="6" t="n"/>
      <c r="E2294" s="8" t="n"/>
      <c r="F2294" s="6" t="n"/>
    </row>
    <row r="2295">
      <c r="A2295" s="6" t="n"/>
      <c r="B2295" s="6" t="n"/>
      <c r="C2295" s="6" t="n"/>
      <c r="D2295" s="6" t="n"/>
      <c r="E2295" s="8" t="n"/>
      <c r="F2295" s="6" t="n"/>
    </row>
    <row r="2296">
      <c r="A2296" s="6" t="n"/>
      <c r="B2296" s="6" t="n"/>
      <c r="C2296" s="6" t="n"/>
      <c r="D2296" s="6" t="n"/>
      <c r="E2296" s="8" t="n"/>
      <c r="F2296" s="6" t="n"/>
    </row>
    <row r="2297">
      <c r="A2297" s="6" t="n"/>
      <c r="B2297" s="6" t="n"/>
      <c r="C2297" s="6" t="n"/>
      <c r="D2297" s="6" t="n"/>
      <c r="E2297" s="8" t="n"/>
      <c r="F2297" s="6" t="n"/>
    </row>
    <row r="2298">
      <c r="A2298" s="6" t="n"/>
      <c r="B2298" s="6" t="n"/>
      <c r="C2298" s="6" t="n"/>
      <c r="D2298" s="6" t="n"/>
      <c r="E2298" s="8" t="n"/>
      <c r="F2298" s="6" t="n"/>
    </row>
    <row r="2299">
      <c r="A2299" s="6" t="n"/>
      <c r="B2299" s="6" t="n"/>
      <c r="C2299" s="6" t="n"/>
      <c r="D2299" s="6" t="n"/>
      <c r="E2299" s="8" t="n"/>
      <c r="F2299" s="6" t="n"/>
    </row>
    <row r="2300">
      <c r="A2300" s="6" t="n"/>
      <c r="B2300" s="6" t="n"/>
      <c r="C2300" s="6" t="n"/>
      <c r="D2300" s="6" t="n"/>
      <c r="E2300" s="8" t="n"/>
      <c r="F2300" s="6" t="n"/>
    </row>
    <row r="2301">
      <c r="A2301" s="6" t="n"/>
      <c r="B2301" s="6" t="n"/>
      <c r="C2301" s="6" t="n"/>
      <c r="D2301" s="6" t="n"/>
      <c r="E2301" s="8" t="n"/>
      <c r="F2301" s="6" t="n"/>
    </row>
    <row r="2302">
      <c r="A2302" s="6" t="n"/>
      <c r="B2302" s="6" t="n"/>
      <c r="C2302" s="6" t="n"/>
      <c r="D2302" s="6" t="n"/>
      <c r="E2302" s="8" t="n"/>
      <c r="F2302" s="6" t="n"/>
    </row>
    <row r="2303">
      <c r="A2303" s="6" t="n"/>
      <c r="B2303" s="6" t="n"/>
      <c r="C2303" s="6" t="n"/>
      <c r="D2303" s="6" t="n"/>
      <c r="E2303" s="8" t="n"/>
      <c r="F2303" s="6" t="n"/>
    </row>
    <row r="2304">
      <c r="A2304" s="6" t="n"/>
      <c r="B2304" s="6" t="n"/>
      <c r="C2304" s="6" t="n"/>
      <c r="D2304" s="6" t="n"/>
      <c r="E2304" s="8" t="n"/>
      <c r="F2304" s="6" t="n"/>
    </row>
    <row r="2305">
      <c r="A2305" s="6" t="n"/>
      <c r="B2305" s="6" t="n"/>
      <c r="C2305" s="6" t="n"/>
      <c r="D2305" s="6" t="n"/>
      <c r="E2305" s="8" t="n"/>
      <c r="F2305" s="6" t="n"/>
    </row>
    <row r="2306">
      <c r="A2306" s="6" t="n"/>
      <c r="B2306" s="6" t="n"/>
      <c r="C2306" s="6" t="n"/>
      <c r="D2306" s="6" t="n"/>
      <c r="E2306" s="8" t="n"/>
      <c r="F2306" s="6" t="n"/>
    </row>
    <row r="2307">
      <c r="A2307" s="6" t="n"/>
      <c r="B2307" s="6" t="n"/>
      <c r="C2307" s="6" t="n"/>
      <c r="D2307" s="6" t="n"/>
      <c r="E2307" s="8" t="n"/>
      <c r="F2307" s="6" t="n"/>
    </row>
    <row r="2308">
      <c r="A2308" s="6" t="n"/>
      <c r="B2308" s="6" t="n"/>
      <c r="C2308" s="6" t="n"/>
      <c r="D2308" s="6" t="n"/>
      <c r="E2308" s="8" t="n"/>
      <c r="F2308" s="6" t="n"/>
    </row>
    <row r="2309">
      <c r="A2309" s="6" t="n"/>
      <c r="B2309" s="6" t="n"/>
      <c r="C2309" s="6" t="n"/>
      <c r="D2309" s="6" t="n"/>
      <c r="E2309" s="8" t="n"/>
      <c r="F2309" s="6" t="n"/>
    </row>
    <row r="2310">
      <c r="A2310" s="6" t="n"/>
      <c r="B2310" s="6" t="n"/>
      <c r="C2310" s="6" t="n"/>
      <c r="D2310" s="6" t="n"/>
      <c r="E2310" s="8" t="n"/>
      <c r="F2310" s="6" t="n"/>
    </row>
    <row r="2311">
      <c r="A2311" s="6" t="n"/>
      <c r="B2311" s="6" t="n"/>
      <c r="C2311" s="6" t="n"/>
      <c r="D2311" s="6" t="n"/>
      <c r="E2311" s="8" t="n"/>
      <c r="F2311" s="6" t="n"/>
    </row>
    <row r="2312">
      <c r="A2312" s="6" t="n"/>
      <c r="B2312" s="6" t="n"/>
      <c r="C2312" s="6" t="n"/>
      <c r="D2312" s="6" t="n"/>
      <c r="E2312" s="8" t="n"/>
      <c r="F2312" s="6" t="n"/>
    </row>
    <row r="2313">
      <c r="A2313" s="6" t="n"/>
      <c r="B2313" s="6" t="n"/>
      <c r="C2313" s="6" t="n"/>
      <c r="D2313" s="6" t="n"/>
      <c r="E2313" s="8" t="n"/>
      <c r="F2313" s="6" t="n"/>
    </row>
    <row r="2314">
      <c r="A2314" s="6" t="n"/>
      <c r="B2314" s="6" t="n"/>
      <c r="C2314" s="6" t="n"/>
      <c r="D2314" s="6" t="n"/>
      <c r="E2314" s="8" t="n"/>
      <c r="F2314" s="6" t="n"/>
    </row>
    <row r="2315">
      <c r="A2315" s="6" t="n"/>
      <c r="B2315" s="6" t="n"/>
      <c r="C2315" s="6" t="n"/>
      <c r="D2315" s="6" t="n"/>
      <c r="E2315" s="8" t="n"/>
      <c r="F2315" s="6" t="n"/>
    </row>
    <row r="2316">
      <c r="A2316" s="6" t="n"/>
      <c r="B2316" s="6" t="n"/>
      <c r="C2316" s="6" t="n"/>
      <c r="D2316" s="6" t="n"/>
      <c r="E2316" s="8" t="n"/>
      <c r="F2316" s="6" t="n"/>
    </row>
    <row r="2317">
      <c r="A2317" s="6" t="n"/>
      <c r="B2317" s="6" t="n"/>
      <c r="C2317" s="6" t="n"/>
      <c r="D2317" s="6" t="n"/>
      <c r="E2317" s="8" t="n"/>
      <c r="F2317" s="6" t="n"/>
    </row>
    <row r="2318">
      <c r="A2318" s="6" t="n"/>
      <c r="B2318" s="6" t="n"/>
      <c r="C2318" s="6" t="n"/>
      <c r="D2318" s="6" t="n"/>
      <c r="E2318" s="8" t="n"/>
      <c r="F2318" s="6" t="n"/>
    </row>
    <row r="2319">
      <c r="A2319" s="6" t="n"/>
      <c r="B2319" s="6" t="n"/>
      <c r="C2319" s="6" t="n"/>
      <c r="D2319" s="6" t="n"/>
      <c r="E2319" s="8" t="n"/>
      <c r="F2319" s="6" t="n"/>
    </row>
    <row r="2320">
      <c r="A2320" s="6" t="n"/>
      <c r="B2320" s="6" t="n"/>
      <c r="C2320" s="6" t="n"/>
      <c r="D2320" s="6" t="n"/>
      <c r="E2320" s="8" t="n"/>
      <c r="F2320" s="6" t="n"/>
    </row>
    <row r="2321">
      <c r="A2321" s="6" t="n"/>
      <c r="B2321" s="6" t="n"/>
      <c r="C2321" s="6" t="n"/>
      <c r="D2321" s="6" t="n"/>
      <c r="E2321" s="8" t="n"/>
      <c r="F2321" s="6" t="n"/>
    </row>
    <row r="2322">
      <c r="A2322" s="6" t="n"/>
      <c r="B2322" s="6" t="n"/>
      <c r="C2322" s="6" t="n"/>
      <c r="D2322" s="6" t="n"/>
      <c r="E2322" s="8" t="n"/>
      <c r="F2322" s="6" t="n"/>
    </row>
    <row r="2323">
      <c r="A2323" s="6" t="n"/>
      <c r="B2323" s="6" t="n"/>
      <c r="C2323" s="6" t="n"/>
      <c r="D2323" s="6" t="n"/>
      <c r="E2323" s="8" t="n"/>
      <c r="F2323" s="6" t="n"/>
    </row>
    <row r="2324">
      <c r="A2324" s="6" t="n"/>
      <c r="B2324" s="6" t="n"/>
      <c r="C2324" s="6" t="n"/>
      <c r="D2324" s="6" t="n"/>
      <c r="E2324" s="8" t="n"/>
      <c r="F2324" s="6" t="n"/>
    </row>
    <row r="2325">
      <c r="A2325" s="6" t="n"/>
      <c r="B2325" s="6" t="n"/>
      <c r="C2325" s="6" t="n"/>
      <c r="D2325" s="6" t="n"/>
      <c r="E2325" s="8" t="n"/>
      <c r="F2325" s="6" t="n"/>
    </row>
    <row r="2326">
      <c r="A2326" s="6" t="n"/>
      <c r="B2326" s="6" t="n"/>
      <c r="C2326" s="6" t="n"/>
      <c r="D2326" s="6" t="n"/>
      <c r="E2326" s="8" t="n"/>
      <c r="F2326" s="6" t="n"/>
    </row>
    <row r="2327">
      <c r="A2327" s="6" t="n"/>
      <c r="B2327" s="6" t="n"/>
      <c r="C2327" s="6" t="n"/>
      <c r="D2327" s="6" t="n"/>
      <c r="E2327" s="8" t="n"/>
      <c r="F2327" s="6" t="n"/>
    </row>
    <row r="2328">
      <c r="A2328" s="6" t="n"/>
      <c r="B2328" s="6" t="n"/>
      <c r="C2328" s="6" t="n"/>
      <c r="D2328" s="6" t="n"/>
      <c r="E2328" s="8" t="n"/>
      <c r="F2328" s="6" t="n"/>
    </row>
    <row r="2329">
      <c r="A2329" s="6" t="n"/>
      <c r="B2329" s="6" t="n"/>
      <c r="C2329" s="6" t="n"/>
      <c r="D2329" s="6" t="n"/>
      <c r="E2329" s="8" t="n"/>
      <c r="F2329" s="6" t="n"/>
    </row>
    <row r="2330">
      <c r="A2330" s="6" t="n"/>
      <c r="B2330" s="6" t="n"/>
      <c r="C2330" s="6" t="n"/>
      <c r="D2330" s="6" t="n"/>
      <c r="E2330" s="8" t="n"/>
      <c r="F2330" s="6" t="n"/>
    </row>
    <row r="2331">
      <c r="A2331" s="6" t="n"/>
      <c r="B2331" s="6" t="n"/>
      <c r="C2331" s="6" t="n"/>
      <c r="D2331" s="6" t="n"/>
      <c r="E2331" s="8" t="n"/>
      <c r="F2331" s="6" t="n"/>
    </row>
    <row r="2332">
      <c r="A2332" s="6" t="n"/>
      <c r="B2332" s="6" t="n"/>
      <c r="C2332" s="6" t="n"/>
      <c r="D2332" s="6" t="n"/>
      <c r="E2332" s="8" t="n"/>
      <c r="F2332" s="6" t="n"/>
    </row>
    <row r="2333">
      <c r="A2333" s="6" t="n"/>
      <c r="B2333" s="6" t="n"/>
      <c r="C2333" s="6" t="n"/>
      <c r="D2333" s="6" t="n"/>
      <c r="E2333" s="8" t="n"/>
      <c r="F2333" s="6" t="n"/>
    </row>
    <row r="2334">
      <c r="A2334" s="6" t="n"/>
      <c r="B2334" s="6" t="n"/>
      <c r="C2334" s="6" t="n"/>
      <c r="D2334" s="6" t="n"/>
      <c r="E2334" s="8" t="n"/>
      <c r="F2334" s="6" t="n"/>
    </row>
    <row r="2335">
      <c r="A2335" s="6" t="n"/>
      <c r="B2335" s="6" t="n"/>
      <c r="C2335" s="6" t="n"/>
      <c r="D2335" s="6" t="n"/>
      <c r="E2335" s="8" t="n"/>
      <c r="F2335" s="6" t="n"/>
    </row>
    <row r="2336">
      <c r="A2336" s="6" t="n"/>
      <c r="B2336" s="6" t="n"/>
      <c r="C2336" s="6" t="n"/>
      <c r="D2336" s="6" t="n"/>
      <c r="E2336" s="8" t="n"/>
      <c r="F2336" s="6" t="n"/>
    </row>
    <row r="2337">
      <c r="A2337" s="6" t="n"/>
      <c r="B2337" s="6" t="n"/>
      <c r="C2337" s="6" t="n"/>
      <c r="D2337" s="6" t="n"/>
      <c r="E2337" s="8" t="n"/>
      <c r="F2337" s="6" t="n"/>
    </row>
    <row r="2338">
      <c r="A2338" s="6" t="n"/>
      <c r="B2338" s="6" t="n"/>
      <c r="C2338" s="6" t="n"/>
      <c r="D2338" s="6" t="n"/>
      <c r="E2338" s="8" t="n"/>
      <c r="F2338" s="6" t="n"/>
    </row>
    <row r="2339">
      <c r="A2339" s="6" t="n"/>
      <c r="B2339" s="6" t="n"/>
      <c r="C2339" s="6" t="n"/>
      <c r="D2339" s="6" t="n"/>
      <c r="E2339" s="8" t="n"/>
      <c r="F2339" s="6" t="n"/>
    </row>
    <row r="2340">
      <c r="A2340" s="6" t="n"/>
      <c r="B2340" s="6" t="n"/>
      <c r="C2340" s="6" t="n"/>
      <c r="D2340" s="6" t="n"/>
      <c r="E2340" s="8" t="n"/>
      <c r="F2340" s="6" t="n"/>
    </row>
    <row r="2341">
      <c r="A2341" s="6" t="n"/>
      <c r="B2341" s="6" t="n"/>
      <c r="C2341" s="6" t="n"/>
      <c r="D2341" s="6" t="n"/>
      <c r="E2341" s="8" t="n"/>
      <c r="F2341" s="6" t="n"/>
    </row>
    <row r="2342">
      <c r="A2342" s="6" t="n"/>
      <c r="B2342" s="6" t="n"/>
      <c r="C2342" s="6" t="n"/>
      <c r="D2342" s="6" t="n"/>
      <c r="E2342" s="8" t="n"/>
      <c r="F2342" s="6" t="n"/>
    </row>
    <row r="2343">
      <c r="A2343" s="6" t="n"/>
      <c r="B2343" s="6" t="n"/>
      <c r="C2343" s="6" t="n"/>
      <c r="D2343" s="6" t="n"/>
      <c r="E2343" s="8" t="n"/>
      <c r="F2343" s="6" t="n"/>
    </row>
    <row r="2344">
      <c r="A2344" s="6" t="n"/>
      <c r="B2344" s="6" t="n"/>
      <c r="C2344" s="6" t="n"/>
      <c r="D2344" s="6" t="n"/>
      <c r="E2344" s="8" t="n"/>
      <c r="F2344" s="6" t="n"/>
    </row>
    <row r="2345">
      <c r="A2345" s="6" t="n"/>
      <c r="B2345" s="6" t="n"/>
      <c r="C2345" s="6" t="n"/>
      <c r="D2345" s="6" t="n"/>
      <c r="E2345" s="8" t="n"/>
      <c r="F2345" s="6" t="n"/>
    </row>
    <row r="2346">
      <c r="A2346" s="6" t="n"/>
      <c r="B2346" s="6" t="n"/>
      <c r="C2346" s="6" t="n"/>
      <c r="D2346" s="6" t="n"/>
      <c r="E2346" s="8" t="n"/>
      <c r="F2346" s="6" t="n"/>
    </row>
    <row r="2347">
      <c r="A2347" s="6" t="n"/>
      <c r="B2347" s="6" t="n"/>
      <c r="C2347" s="6" t="n"/>
      <c r="D2347" s="6" t="n"/>
      <c r="E2347" s="8" t="n"/>
      <c r="F2347" s="6" t="n"/>
    </row>
    <row r="2348">
      <c r="A2348" s="6" t="n"/>
      <c r="B2348" s="6" t="n"/>
      <c r="C2348" s="6" t="n"/>
      <c r="D2348" s="6" t="n"/>
      <c r="E2348" s="8" t="n"/>
      <c r="F2348" s="6" t="n"/>
    </row>
    <row r="2349">
      <c r="A2349" s="6" t="n"/>
      <c r="B2349" s="6" t="n"/>
      <c r="C2349" s="6" t="n"/>
      <c r="D2349" s="6" t="n"/>
      <c r="E2349" s="8" t="n"/>
      <c r="F2349" s="6" t="n"/>
    </row>
    <row r="2350">
      <c r="A2350" s="6" t="n"/>
      <c r="B2350" s="6" t="n"/>
      <c r="C2350" s="6" t="n"/>
      <c r="D2350" s="6" t="n"/>
      <c r="E2350" s="8" t="n"/>
      <c r="F2350" s="6" t="n"/>
    </row>
    <row r="2351">
      <c r="A2351" s="6" t="n"/>
      <c r="B2351" s="6" t="n"/>
      <c r="C2351" s="6" t="n"/>
      <c r="D2351" s="6" t="n"/>
      <c r="E2351" s="8" t="n"/>
      <c r="F2351" s="6" t="n"/>
    </row>
    <row r="2352">
      <c r="A2352" s="6" t="n"/>
      <c r="B2352" s="6" t="n"/>
      <c r="C2352" s="6" t="n"/>
      <c r="D2352" s="6" t="n"/>
      <c r="E2352" s="8" t="n"/>
      <c r="F2352" s="6" t="n"/>
    </row>
    <row r="2353">
      <c r="A2353" s="6" t="n"/>
      <c r="B2353" s="6" t="n"/>
      <c r="C2353" s="6" t="n"/>
      <c r="D2353" s="6" t="n"/>
      <c r="E2353" s="8" t="n"/>
      <c r="F2353" s="6" t="n"/>
    </row>
    <row r="2354">
      <c r="A2354" s="6" t="n"/>
      <c r="B2354" s="6" t="n"/>
      <c r="C2354" s="6" t="n"/>
      <c r="D2354" s="6" t="n"/>
      <c r="E2354" s="8" t="n"/>
      <c r="F2354" s="6" t="n"/>
    </row>
    <row r="2355">
      <c r="A2355" s="6" t="n"/>
      <c r="B2355" s="6" t="n"/>
      <c r="C2355" s="6" t="n"/>
      <c r="D2355" s="6" t="n"/>
      <c r="E2355" s="8" t="n"/>
      <c r="F2355" s="6" t="n"/>
    </row>
    <row r="2356">
      <c r="A2356" s="6" t="n"/>
      <c r="B2356" s="6" t="n"/>
      <c r="C2356" s="6" t="n"/>
      <c r="D2356" s="6" t="n"/>
      <c r="E2356" s="8" t="n"/>
      <c r="F2356" s="6" t="n"/>
    </row>
    <row r="2357">
      <c r="A2357" s="6" t="n"/>
      <c r="B2357" s="6" t="n"/>
      <c r="C2357" s="6" t="n"/>
      <c r="D2357" s="6" t="n"/>
      <c r="E2357" s="8" t="n"/>
      <c r="F2357" s="6" t="n"/>
    </row>
    <row r="2358">
      <c r="A2358" s="6" t="n"/>
      <c r="B2358" s="6" t="n"/>
      <c r="C2358" s="6" t="n"/>
      <c r="D2358" s="6" t="n"/>
      <c r="E2358" s="8" t="n"/>
      <c r="F2358" s="6" t="n"/>
    </row>
    <row r="2359">
      <c r="A2359" s="6" t="n"/>
      <c r="B2359" s="6" t="n"/>
      <c r="C2359" s="6" t="n"/>
      <c r="D2359" s="6" t="n"/>
      <c r="E2359" s="8" t="n"/>
      <c r="F2359" s="6" t="n"/>
    </row>
    <row r="2360">
      <c r="A2360" s="6" t="n"/>
      <c r="B2360" s="6" t="n"/>
      <c r="C2360" s="6" t="n"/>
      <c r="D2360" s="6" t="n"/>
      <c r="E2360" s="8" t="n"/>
      <c r="F2360" s="6" t="n"/>
    </row>
    <row r="2361">
      <c r="A2361" s="6" t="n"/>
      <c r="B2361" s="6" t="n"/>
      <c r="C2361" s="6" t="n"/>
      <c r="D2361" s="6" t="n"/>
      <c r="E2361" s="8" t="n"/>
      <c r="F2361" s="6" t="n"/>
    </row>
    <row r="2362">
      <c r="A2362" s="6" t="n"/>
      <c r="B2362" s="6" t="n"/>
      <c r="C2362" s="6" t="n"/>
      <c r="D2362" s="6" t="n"/>
      <c r="E2362" s="8" t="n"/>
      <c r="F2362" s="6" t="n"/>
    </row>
    <row r="2363">
      <c r="A2363" s="6" t="n"/>
      <c r="B2363" s="6" t="n"/>
      <c r="C2363" s="6" t="n"/>
      <c r="D2363" s="6" t="n"/>
      <c r="E2363" s="8" t="n"/>
      <c r="F2363" s="6" t="n"/>
    </row>
    <row r="2364">
      <c r="A2364" s="6" t="n"/>
      <c r="B2364" s="6" t="n"/>
      <c r="C2364" s="6" t="n"/>
      <c r="D2364" s="6" t="n"/>
      <c r="E2364" s="8" t="n"/>
      <c r="F2364" s="6" t="n"/>
    </row>
    <row r="2365">
      <c r="A2365" s="6" t="n"/>
      <c r="B2365" s="6" t="n"/>
      <c r="C2365" s="6" t="n"/>
      <c r="D2365" s="6" t="n"/>
      <c r="E2365" s="8" t="n"/>
      <c r="F2365" s="6" t="n"/>
    </row>
    <row r="2366">
      <c r="A2366" s="6" t="n"/>
      <c r="B2366" s="6" t="n"/>
      <c r="C2366" s="6" t="n"/>
      <c r="D2366" s="6" t="n"/>
      <c r="E2366" s="8" t="n"/>
      <c r="F2366" s="6" t="n"/>
    </row>
    <row r="2367">
      <c r="A2367" s="6" t="n"/>
      <c r="B2367" s="6" t="n"/>
      <c r="C2367" s="6" t="n"/>
      <c r="D2367" s="6" t="n"/>
      <c r="E2367" s="8" t="n"/>
      <c r="F2367" s="6" t="n"/>
    </row>
    <row r="2368">
      <c r="A2368" s="6" t="n"/>
      <c r="B2368" s="6" t="n"/>
      <c r="C2368" s="6" t="n"/>
      <c r="D2368" s="6" t="n"/>
      <c r="E2368" s="8" t="n"/>
      <c r="F2368" s="6" t="n"/>
    </row>
    <row r="2369">
      <c r="A2369" s="6" t="n"/>
      <c r="B2369" s="6" t="n"/>
      <c r="C2369" s="6" t="n"/>
      <c r="D2369" s="6" t="n"/>
      <c r="E2369" s="8" t="n"/>
      <c r="F2369" s="6" t="n"/>
    </row>
    <row r="2370">
      <c r="A2370" s="6" t="n"/>
      <c r="B2370" s="6" t="n"/>
      <c r="C2370" s="6" t="n"/>
      <c r="D2370" s="6" t="n"/>
      <c r="E2370" s="8" t="n"/>
      <c r="F2370" s="6" t="n"/>
    </row>
    <row r="2371">
      <c r="A2371" s="6" t="n"/>
      <c r="B2371" s="6" t="n"/>
      <c r="C2371" s="6" t="n"/>
      <c r="D2371" s="6" t="n"/>
      <c r="E2371" s="8" t="n"/>
      <c r="F2371" s="6" t="n"/>
    </row>
    <row r="2372">
      <c r="A2372" s="6" t="n"/>
      <c r="B2372" s="6" t="n"/>
      <c r="C2372" s="6" t="n"/>
      <c r="D2372" s="6" t="n"/>
      <c r="E2372" s="8" t="n"/>
      <c r="F2372" s="6" t="n"/>
    </row>
    <row r="2373">
      <c r="A2373" s="6" t="n"/>
      <c r="B2373" s="6" t="n"/>
      <c r="C2373" s="6" t="n"/>
      <c r="D2373" s="6" t="n"/>
      <c r="E2373" s="8" t="n"/>
      <c r="F2373" s="6" t="n"/>
    </row>
    <row r="2374">
      <c r="A2374" s="6" t="n"/>
      <c r="B2374" s="6" t="n"/>
      <c r="C2374" s="6" t="n"/>
      <c r="D2374" s="6" t="n"/>
      <c r="E2374" s="8" t="n"/>
      <c r="F2374" s="6" t="n"/>
    </row>
    <row r="2375">
      <c r="A2375" s="6" t="n"/>
      <c r="B2375" s="6" t="n"/>
      <c r="C2375" s="6" t="n"/>
      <c r="D2375" s="6" t="n"/>
      <c r="E2375" s="8" t="n"/>
      <c r="F2375" s="6" t="n"/>
    </row>
    <row r="2376">
      <c r="A2376" s="6" t="n"/>
      <c r="B2376" s="6" t="n"/>
      <c r="C2376" s="6" t="n"/>
      <c r="D2376" s="6" t="n"/>
      <c r="E2376" s="8" t="n"/>
      <c r="F2376" s="6" t="n"/>
    </row>
    <row r="2377">
      <c r="A2377" s="6" t="n"/>
      <c r="B2377" s="6" t="n"/>
      <c r="C2377" s="6" t="n"/>
      <c r="D2377" s="6" t="n"/>
      <c r="E2377" s="8" t="n"/>
      <c r="F2377" s="6" t="n"/>
    </row>
    <row r="2378">
      <c r="A2378" s="6" t="n"/>
      <c r="B2378" s="6" t="n"/>
      <c r="C2378" s="6" t="n"/>
      <c r="D2378" s="6" t="n"/>
      <c r="E2378" s="8" t="n"/>
      <c r="F2378" s="6" t="n"/>
    </row>
    <row r="2379">
      <c r="A2379" s="6" t="n"/>
      <c r="B2379" s="6" t="n"/>
      <c r="C2379" s="6" t="n"/>
      <c r="D2379" s="6" t="n"/>
      <c r="E2379" s="8" t="n"/>
      <c r="F2379" s="6" t="n"/>
    </row>
    <row r="2380">
      <c r="A2380" s="6" t="n"/>
      <c r="B2380" s="6" t="n"/>
      <c r="C2380" s="6" t="n"/>
      <c r="D2380" s="6" t="n"/>
      <c r="E2380" s="8" t="n"/>
      <c r="F2380" s="6" t="n"/>
    </row>
    <row r="2381">
      <c r="A2381" s="6" t="n"/>
      <c r="B2381" s="6" t="n"/>
      <c r="C2381" s="6" t="n"/>
      <c r="D2381" s="6" t="n"/>
      <c r="E2381" s="8" t="n"/>
      <c r="F2381" s="6" t="n"/>
    </row>
    <row r="2382">
      <c r="A2382" s="6" t="n"/>
      <c r="B2382" s="6" t="n"/>
      <c r="C2382" s="6" t="n"/>
      <c r="D2382" s="6" t="n"/>
      <c r="E2382" s="8" t="n"/>
      <c r="F2382" s="6" t="n"/>
    </row>
    <row r="2383">
      <c r="A2383" s="6" t="n"/>
      <c r="B2383" s="6" t="n"/>
      <c r="C2383" s="6" t="n"/>
      <c r="D2383" s="6" t="n"/>
      <c r="E2383" s="8" t="n"/>
      <c r="F2383" s="6" t="n"/>
    </row>
    <row r="2384">
      <c r="A2384" s="6" t="n"/>
      <c r="B2384" s="6" t="n"/>
      <c r="C2384" s="6" t="n"/>
      <c r="D2384" s="6" t="n"/>
      <c r="E2384" s="8" t="n"/>
      <c r="F2384" s="6" t="n"/>
    </row>
    <row r="2385">
      <c r="A2385" s="6" t="n"/>
      <c r="B2385" s="6" t="n"/>
      <c r="C2385" s="6" t="n"/>
      <c r="D2385" s="6" t="n"/>
      <c r="E2385" s="8" t="n"/>
      <c r="F2385" s="6" t="n"/>
    </row>
    <row r="2386">
      <c r="A2386" s="6" t="n"/>
      <c r="B2386" s="6" t="n"/>
      <c r="C2386" s="6" t="n"/>
      <c r="D2386" s="6" t="n"/>
      <c r="E2386" s="8" t="n"/>
      <c r="F2386" s="6" t="n"/>
    </row>
    <row r="2387">
      <c r="A2387" s="6" t="n"/>
      <c r="B2387" s="6" t="n"/>
      <c r="C2387" s="6" t="n"/>
      <c r="D2387" s="6" t="n"/>
      <c r="E2387" s="8" t="n"/>
      <c r="F2387" s="6" t="n"/>
    </row>
    <row r="2388">
      <c r="A2388" s="6" t="n"/>
      <c r="B2388" s="6" t="n"/>
      <c r="C2388" s="6" t="n"/>
      <c r="D2388" s="6" t="n"/>
      <c r="E2388" s="8" t="n"/>
      <c r="F2388" s="6" t="n"/>
    </row>
    <row r="2389">
      <c r="A2389" s="6" t="n"/>
      <c r="B2389" s="6" t="n"/>
      <c r="C2389" s="6" t="n"/>
      <c r="D2389" s="6" t="n"/>
      <c r="E2389" s="8" t="n"/>
      <c r="F2389" s="6" t="n"/>
    </row>
    <row r="2390">
      <c r="A2390" s="6" t="n"/>
      <c r="B2390" s="6" t="n"/>
      <c r="C2390" s="6" t="n"/>
      <c r="D2390" s="6" t="n"/>
      <c r="E2390" s="8" t="n"/>
      <c r="F2390" s="6" t="n"/>
    </row>
    <row r="2391">
      <c r="A2391" s="6" t="n"/>
      <c r="B2391" s="6" t="n"/>
      <c r="C2391" s="6" t="n"/>
      <c r="D2391" s="6" t="n"/>
      <c r="E2391" s="8" t="n"/>
      <c r="F2391" s="6" t="n"/>
    </row>
    <row r="2392">
      <c r="A2392" s="6" t="n"/>
      <c r="B2392" s="6" t="n"/>
      <c r="C2392" s="6" t="n"/>
      <c r="D2392" s="6" t="n"/>
      <c r="E2392" s="8" t="n"/>
      <c r="F2392" s="6" t="n"/>
    </row>
    <row r="2393">
      <c r="A2393" s="6" t="n"/>
      <c r="B2393" s="6" t="n"/>
      <c r="C2393" s="6" t="n"/>
      <c r="D2393" s="6" t="n"/>
      <c r="E2393" s="8" t="n"/>
      <c r="F2393" s="6" t="n"/>
    </row>
    <row r="2394">
      <c r="A2394" s="6" t="n"/>
      <c r="B2394" s="6" t="n"/>
      <c r="C2394" s="6" t="n"/>
      <c r="D2394" s="6" t="n"/>
      <c r="E2394" s="8" t="n"/>
      <c r="F2394" s="6" t="n"/>
    </row>
    <row r="2395">
      <c r="A2395" s="6" t="n"/>
      <c r="B2395" s="6" t="n"/>
      <c r="C2395" s="6" t="n"/>
      <c r="D2395" s="6" t="n"/>
      <c r="E2395" s="8" t="n"/>
      <c r="F2395" s="6" t="n"/>
    </row>
    <row r="2396">
      <c r="A2396" s="6" t="n"/>
      <c r="B2396" s="6" t="n"/>
      <c r="C2396" s="6" t="n"/>
      <c r="D2396" s="6" t="n"/>
      <c r="E2396" s="8" t="n"/>
      <c r="F2396" s="6" t="n"/>
    </row>
    <row r="2397">
      <c r="A2397" s="6" t="n"/>
      <c r="B2397" s="6" t="n"/>
      <c r="C2397" s="6" t="n"/>
      <c r="D2397" s="6" t="n"/>
      <c r="E2397" s="8" t="n"/>
      <c r="F2397" s="6" t="n"/>
    </row>
    <row r="2398">
      <c r="A2398" s="6" t="n"/>
      <c r="B2398" s="6" t="n"/>
      <c r="C2398" s="6" t="n"/>
      <c r="D2398" s="6" t="n"/>
      <c r="E2398" s="8" t="n"/>
      <c r="F2398" s="6" t="n"/>
    </row>
    <row r="2399">
      <c r="A2399" s="6" t="n"/>
      <c r="B2399" s="6" t="n"/>
      <c r="C2399" s="6" t="n"/>
      <c r="D2399" s="6" t="n"/>
      <c r="E2399" s="8" t="n"/>
      <c r="F2399" s="6" t="n"/>
    </row>
    <row r="2400">
      <c r="A2400" s="6" t="n"/>
      <c r="B2400" s="6" t="n"/>
      <c r="C2400" s="6" t="n"/>
      <c r="D2400" s="6" t="n"/>
      <c r="E2400" s="8" t="n"/>
      <c r="F2400" s="6" t="n"/>
    </row>
    <row r="2401">
      <c r="A2401" s="6" t="n"/>
      <c r="B2401" s="6" t="n"/>
      <c r="C2401" s="6" t="n"/>
      <c r="D2401" s="6" t="n"/>
      <c r="E2401" s="8" t="n"/>
      <c r="F2401" s="6" t="n"/>
    </row>
    <row r="2402">
      <c r="A2402" s="6" t="n"/>
      <c r="B2402" s="6" t="n"/>
      <c r="C2402" s="6" t="n"/>
      <c r="D2402" s="6" t="n"/>
      <c r="E2402" s="8" t="n"/>
      <c r="F2402" s="6" t="n"/>
    </row>
    <row r="2403">
      <c r="A2403" s="6" t="n"/>
      <c r="B2403" s="6" t="n"/>
      <c r="C2403" s="6" t="n"/>
      <c r="D2403" s="6" t="n"/>
      <c r="E2403" s="8" t="n"/>
      <c r="F2403" s="6" t="n"/>
    </row>
    <row r="2404">
      <c r="A2404" s="6" t="n"/>
      <c r="B2404" s="6" t="n"/>
      <c r="C2404" s="6" t="n"/>
      <c r="D2404" s="6" t="n"/>
      <c r="E2404" s="8" t="n"/>
      <c r="F2404" s="6" t="n"/>
    </row>
    <row r="2405">
      <c r="A2405" s="6" t="n"/>
      <c r="B2405" s="6" t="n"/>
      <c r="C2405" s="6" t="n"/>
      <c r="D2405" s="6" t="n"/>
      <c r="E2405" s="8" t="n"/>
      <c r="F2405" s="6" t="n"/>
    </row>
    <row r="2406">
      <c r="A2406" s="6" t="n"/>
      <c r="B2406" s="6" t="n"/>
      <c r="C2406" s="6" t="n"/>
      <c r="D2406" s="6" t="n"/>
      <c r="E2406" s="8" t="n"/>
      <c r="F2406" s="6" t="n"/>
    </row>
    <row r="2407">
      <c r="A2407" s="6" t="n"/>
      <c r="B2407" s="6" t="n"/>
      <c r="C2407" s="6" t="n"/>
      <c r="D2407" s="6" t="n"/>
      <c r="E2407" s="8" t="n"/>
      <c r="F2407" s="6" t="n"/>
    </row>
    <row r="2408">
      <c r="A2408" s="6" t="n"/>
      <c r="B2408" s="6" t="n"/>
      <c r="C2408" s="6" t="n"/>
      <c r="D2408" s="6" t="n"/>
      <c r="E2408" s="8" t="n"/>
      <c r="F2408" s="6" t="n"/>
    </row>
    <row r="2409">
      <c r="A2409" s="6" t="n"/>
      <c r="B2409" s="6" t="n"/>
      <c r="C2409" s="6" t="n"/>
      <c r="D2409" s="6" t="n"/>
      <c r="E2409" s="8" t="n"/>
      <c r="F2409" s="6" t="n"/>
    </row>
    <row r="2410">
      <c r="A2410" s="6" t="n"/>
      <c r="B2410" s="6" t="n"/>
      <c r="C2410" s="6" t="n"/>
      <c r="D2410" s="6" t="n"/>
      <c r="E2410" s="8" t="n"/>
      <c r="F2410" s="6" t="n"/>
    </row>
    <row r="2411">
      <c r="A2411" s="6" t="n"/>
      <c r="B2411" s="6" t="n"/>
      <c r="C2411" s="6" t="n"/>
      <c r="D2411" s="6" t="n"/>
      <c r="E2411" s="8" t="n"/>
      <c r="F2411" s="6" t="n"/>
    </row>
    <row r="2412">
      <c r="A2412" s="6" t="n"/>
      <c r="B2412" s="6" t="n"/>
      <c r="C2412" s="6" t="n"/>
      <c r="D2412" s="6" t="n"/>
      <c r="E2412" s="8" t="n"/>
      <c r="F2412" s="6" t="n"/>
    </row>
    <row r="2413">
      <c r="A2413" s="6" t="n"/>
      <c r="B2413" s="6" t="n"/>
      <c r="C2413" s="6" t="n"/>
      <c r="D2413" s="6" t="n"/>
      <c r="E2413" s="8" t="n"/>
      <c r="F2413" s="6" t="n"/>
    </row>
    <row r="2414">
      <c r="A2414" s="6" t="n"/>
      <c r="B2414" s="6" t="n"/>
      <c r="C2414" s="6" t="n"/>
      <c r="D2414" s="6" t="n"/>
      <c r="E2414" s="8" t="n"/>
      <c r="F2414" s="6" t="n"/>
    </row>
    <row r="2415">
      <c r="A2415" s="6" t="n"/>
      <c r="B2415" s="6" t="n"/>
      <c r="C2415" s="6" t="n"/>
      <c r="D2415" s="6" t="n"/>
      <c r="E2415" s="8" t="n"/>
      <c r="F2415" s="6" t="n"/>
    </row>
    <row r="2416">
      <c r="A2416" s="6" t="n"/>
      <c r="B2416" s="6" t="n"/>
      <c r="C2416" s="6" t="n"/>
      <c r="D2416" s="6" t="n"/>
      <c r="E2416" s="8" t="n"/>
      <c r="F2416" s="6" t="n"/>
    </row>
    <row r="2417">
      <c r="A2417" s="6" t="n"/>
      <c r="B2417" s="6" t="n"/>
      <c r="C2417" s="6" t="n"/>
      <c r="D2417" s="6" t="n"/>
      <c r="E2417" s="8" t="n"/>
      <c r="F2417" s="6" t="n"/>
    </row>
    <row r="2418">
      <c r="A2418" s="6" t="n"/>
      <c r="B2418" s="6" t="n"/>
      <c r="C2418" s="6" t="n"/>
      <c r="D2418" s="6" t="n"/>
      <c r="E2418" s="8" t="n"/>
      <c r="F2418" s="6" t="n"/>
    </row>
    <row r="2419">
      <c r="A2419" s="6" t="n"/>
      <c r="B2419" s="6" t="n"/>
      <c r="C2419" s="6" t="n"/>
      <c r="D2419" s="6" t="n"/>
      <c r="E2419" s="8" t="n"/>
      <c r="F2419" s="6" t="n"/>
    </row>
    <row r="2420">
      <c r="A2420" s="6" t="n"/>
      <c r="B2420" s="6" t="n"/>
      <c r="C2420" s="6" t="n"/>
      <c r="D2420" s="6" t="n"/>
      <c r="E2420" s="8" t="n"/>
      <c r="F2420" s="6" t="n"/>
    </row>
    <row r="2421">
      <c r="A2421" s="6" t="n"/>
      <c r="B2421" s="6" t="n"/>
      <c r="C2421" s="6" t="n"/>
      <c r="D2421" s="6" t="n"/>
      <c r="E2421" s="8" t="n"/>
      <c r="F2421" s="6" t="n"/>
    </row>
    <row r="2422">
      <c r="A2422" s="6" t="n"/>
      <c r="B2422" s="6" t="n"/>
      <c r="C2422" s="6" t="n"/>
      <c r="D2422" s="6" t="n"/>
      <c r="E2422" s="8" t="n"/>
      <c r="F2422" s="6" t="n"/>
    </row>
    <row r="2423">
      <c r="A2423" s="6" t="n"/>
      <c r="B2423" s="6" t="n"/>
      <c r="C2423" s="6" t="n"/>
      <c r="D2423" s="6" t="n"/>
      <c r="E2423" s="8" t="n"/>
      <c r="F2423" s="6" t="n"/>
    </row>
    <row r="2424">
      <c r="A2424" s="6" t="n"/>
      <c r="B2424" s="6" t="n"/>
      <c r="C2424" s="6" t="n"/>
      <c r="D2424" s="6" t="n"/>
      <c r="E2424" s="8" t="n"/>
      <c r="F2424" s="6" t="n"/>
    </row>
    <row r="2425">
      <c r="A2425" s="6" t="n"/>
      <c r="B2425" s="6" t="n"/>
      <c r="C2425" s="6" t="n"/>
      <c r="D2425" s="6" t="n"/>
      <c r="E2425" s="8" t="n"/>
      <c r="F2425" s="6" t="n"/>
    </row>
    <row r="2426">
      <c r="A2426" s="6" t="n"/>
      <c r="B2426" s="6" t="n"/>
      <c r="C2426" s="6" t="n"/>
      <c r="D2426" s="6" t="n"/>
      <c r="E2426" s="8" t="n"/>
      <c r="F2426" s="6" t="n"/>
    </row>
    <row r="2427">
      <c r="A2427" s="6" t="n"/>
      <c r="B2427" s="6" t="n"/>
      <c r="C2427" s="6" t="n"/>
      <c r="D2427" s="6" t="n"/>
      <c r="E2427" s="8" t="n"/>
      <c r="F2427" s="6" t="n"/>
    </row>
    <row r="2428">
      <c r="A2428" s="6" t="n"/>
      <c r="B2428" s="6" t="n"/>
      <c r="C2428" s="6" t="n"/>
      <c r="D2428" s="6" t="n"/>
      <c r="E2428" s="8" t="n"/>
      <c r="F2428" s="6" t="n"/>
    </row>
    <row r="2429">
      <c r="A2429" s="6" t="n"/>
      <c r="B2429" s="6" t="n"/>
      <c r="C2429" s="6" t="n"/>
      <c r="D2429" s="6" t="n"/>
      <c r="E2429" s="8" t="n"/>
      <c r="F2429" s="6" t="n"/>
    </row>
    <row r="2430">
      <c r="A2430" s="6" t="n"/>
      <c r="B2430" s="6" t="n"/>
      <c r="C2430" s="6" t="n"/>
      <c r="D2430" s="6" t="n"/>
      <c r="E2430" s="8" t="n"/>
      <c r="F2430" s="6" t="n"/>
    </row>
    <row r="2431">
      <c r="A2431" s="6" t="n"/>
      <c r="B2431" s="6" t="n"/>
      <c r="C2431" s="6" t="n"/>
      <c r="D2431" s="6" t="n"/>
      <c r="E2431" s="8" t="n"/>
      <c r="F2431" s="6" t="n"/>
    </row>
    <row r="2432">
      <c r="A2432" s="6" t="n"/>
      <c r="B2432" s="6" t="n"/>
      <c r="C2432" s="6" t="n"/>
      <c r="D2432" s="6" t="n"/>
      <c r="E2432" s="8" t="n"/>
      <c r="F2432" s="6" t="n"/>
    </row>
    <row r="2433">
      <c r="A2433" s="6" t="n"/>
      <c r="B2433" s="6" t="n"/>
      <c r="C2433" s="6" t="n"/>
      <c r="D2433" s="6" t="n"/>
      <c r="E2433" s="8" t="n"/>
      <c r="F2433" s="6" t="n"/>
    </row>
    <row r="2434">
      <c r="A2434" s="6" t="n"/>
      <c r="B2434" s="6" t="n"/>
      <c r="C2434" s="6" t="n"/>
      <c r="D2434" s="6" t="n"/>
      <c r="E2434" s="8" t="n"/>
      <c r="F2434" s="6" t="n"/>
    </row>
    <row r="2435">
      <c r="A2435" s="6" t="n"/>
      <c r="B2435" s="6" t="n"/>
      <c r="C2435" s="6" t="n"/>
      <c r="D2435" s="6" t="n"/>
      <c r="E2435" s="8" t="n"/>
      <c r="F2435" s="6" t="n"/>
    </row>
    <row r="2436">
      <c r="A2436" s="6" t="n"/>
      <c r="B2436" s="6" t="n"/>
      <c r="C2436" s="6" t="n"/>
      <c r="D2436" s="6" t="n"/>
      <c r="E2436" s="8" t="n"/>
      <c r="F2436" s="6" t="n"/>
    </row>
    <row r="2437">
      <c r="A2437" s="6" t="n"/>
      <c r="B2437" s="6" t="n"/>
      <c r="C2437" s="6" t="n"/>
      <c r="D2437" s="6" t="n"/>
      <c r="E2437" s="8" t="n"/>
      <c r="F2437" s="6" t="n"/>
    </row>
    <row r="2438">
      <c r="A2438" s="6" t="n"/>
      <c r="B2438" s="6" t="n"/>
      <c r="C2438" s="6" t="n"/>
      <c r="D2438" s="6" t="n"/>
      <c r="E2438" s="8" t="n"/>
      <c r="F2438" s="6" t="n"/>
    </row>
    <row r="2439">
      <c r="A2439" s="6" t="n"/>
      <c r="B2439" s="6" t="n"/>
      <c r="C2439" s="6" t="n"/>
      <c r="D2439" s="6" t="n"/>
      <c r="E2439" s="8" t="n"/>
      <c r="F2439" s="6" t="n"/>
    </row>
    <row r="2440">
      <c r="A2440" s="6" t="n"/>
      <c r="B2440" s="6" t="n"/>
      <c r="C2440" s="6" t="n"/>
      <c r="D2440" s="6" t="n"/>
      <c r="E2440" s="8" t="n"/>
      <c r="F2440" s="6" t="n"/>
    </row>
    <row r="2441">
      <c r="A2441" s="6" t="n"/>
      <c r="B2441" s="6" t="n"/>
      <c r="C2441" s="6" t="n"/>
      <c r="D2441" s="6" t="n"/>
      <c r="E2441" s="8" t="n"/>
      <c r="F2441" s="6" t="n"/>
    </row>
    <row r="2442">
      <c r="A2442" s="6" t="n"/>
      <c r="B2442" s="6" t="n"/>
      <c r="C2442" s="6" t="n"/>
      <c r="D2442" s="6" t="n"/>
      <c r="E2442" s="8" t="n"/>
      <c r="F2442" s="6" t="n"/>
    </row>
    <row r="2443">
      <c r="A2443" s="6" t="n"/>
      <c r="B2443" s="6" t="n"/>
      <c r="C2443" s="6" t="n"/>
      <c r="D2443" s="6" t="n"/>
      <c r="E2443" s="8" t="n"/>
      <c r="F2443" s="6" t="n"/>
    </row>
    <row r="2444">
      <c r="A2444" s="6" t="n"/>
      <c r="B2444" s="6" t="n"/>
      <c r="C2444" s="6" t="n"/>
      <c r="D2444" s="6" t="n"/>
      <c r="E2444" s="8" t="n"/>
      <c r="F2444" s="6" t="n"/>
    </row>
    <row r="2445">
      <c r="A2445" s="6" t="n"/>
      <c r="B2445" s="6" t="n"/>
      <c r="C2445" s="6" t="n"/>
      <c r="D2445" s="6" t="n"/>
      <c r="E2445" s="8" t="n"/>
      <c r="F2445" s="6" t="n"/>
    </row>
    <row r="2446">
      <c r="A2446" s="6" t="n"/>
      <c r="B2446" s="6" t="n"/>
      <c r="C2446" s="6" t="n"/>
      <c r="D2446" s="6" t="n"/>
      <c r="E2446" s="8" t="n"/>
      <c r="F2446" s="6" t="n"/>
    </row>
    <row r="2447">
      <c r="A2447" s="6" t="n"/>
      <c r="B2447" s="6" t="n"/>
      <c r="C2447" s="6" t="n"/>
      <c r="D2447" s="6" t="n"/>
      <c r="E2447" s="8" t="n"/>
      <c r="F2447" s="6" t="n"/>
    </row>
    <row r="2448">
      <c r="A2448" s="6" t="n"/>
      <c r="B2448" s="6" t="n"/>
      <c r="C2448" s="6" t="n"/>
      <c r="D2448" s="6" t="n"/>
      <c r="E2448" s="8" t="n"/>
      <c r="F2448" s="6" t="n"/>
    </row>
    <row r="2449">
      <c r="A2449" s="6" t="n"/>
      <c r="B2449" s="6" t="n"/>
      <c r="C2449" s="6" t="n"/>
      <c r="D2449" s="6" t="n"/>
      <c r="E2449" s="8" t="n"/>
      <c r="F2449" s="6" t="n"/>
    </row>
    <row r="2450">
      <c r="A2450" s="6" t="n"/>
      <c r="B2450" s="6" t="n"/>
      <c r="C2450" s="6" t="n"/>
      <c r="D2450" s="6" t="n"/>
      <c r="E2450" s="8" t="n"/>
      <c r="F2450" s="6" t="n"/>
    </row>
    <row r="2451">
      <c r="A2451" s="6" t="n"/>
      <c r="B2451" s="6" t="n"/>
      <c r="C2451" s="6" t="n"/>
      <c r="D2451" s="6" t="n"/>
      <c r="E2451" s="8" t="n"/>
      <c r="F2451" s="6" t="n"/>
    </row>
    <row r="2452">
      <c r="A2452" s="6" t="n"/>
      <c r="B2452" s="6" t="n"/>
      <c r="C2452" s="6" t="n"/>
      <c r="D2452" s="6" t="n"/>
      <c r="E2452" s="8" t="n"/>
      <c r="F2452" s="6" t="n"/>
    </row>
    <row r="2453">
      <c r="A2453" s="6" t="n"/>
      <c r="B2453" s="6" t="n"/>
      <c r="C2453" s="6" t="n"/>
      <c r="D2453" s="6" t="n"/>
      <c r="E2453" s="8" t="n"/>
      <c r="F2453" s="6" t="n"/>
    </row>
    <row r="2454">
      <c r="A2454" s="6" t="n"/>
      <c r="B2454" s="6" t="n"/>
      <c r="C2454" s="6" t="n"/>
      <c r="D2454" s="6" t="n"/>
      <c r="E2454" s="8" t="n"/>
      <c r="F2454" s="6" t="n"/>
    </row>
    <row r="2455">
      <c r="A2455" s="6" t="n"/>
      <c r="B2455" s="6" t="n"/>
      <c r="C2455" s="6" t="n"/>
      <c r="D2455" s="6" t="n"/>
      <c r="E2455" s="8" t="n"/>
      <c r="F2455" s="6" t="n"/>
    </row>
    <row r="2456">
      <c r="A2456" s="6" t="n"/>
      <c r="B2456" s="6" t="n"/>
      <c r="C2456" s="6" t="n"/>
      <c r="D2456" s="6" t="n"/>
      <c r="E2456" s="8" t="n"/>
      <c r="F2456" s="6" t="n"/>
    </row>
    <row r="2457">
      <c r="A2457" s="6" t="n"/>
      <c r="B2457" s="6" t="n"/>
      <c r="C2457" s="6" t="n"/>
      <c r="D2457" s="6" t="n"/>
      <c r="E2457" s="8" t="n"/>
      <c r="F2457" s="6" t="n"/>
    </row>
    <row r="2458">
      <c r="A2458" s="6" t="n"/>
      <c r="B2458" s="6" t="n"/>
      <c r="C2458" s="6" t="n"/>
      <c r="D2458" s="6" t="n"/>
      <c r="E2458" s="8" t="n"/>
      <c r="F2458" s="6" t="n"/>
    </row>
    <row r="2459">
      <c r="A2459" s="6" t="n"/>
      <c r="B2459" s="6" t="n"/>
      <c r="C2459" s="6" t="n"/>
      <c r="D2459" s="6" t="n"/>
      <c r="E2459" s="8" t="n"/>
      <c r="F2459" s="6" t="n"/>
    </row>
    <row r="2460">
      <c r="A2460" s="6" t="n"/>
      <c r="B2460" s="6" t="n"/>
      <c r="C2460" s="6" t="n"/>
      <c r="D2460" s="6" t="n"/>
      <c r="E2460" s="8" t="n"/>
      <c r="F2460" s="6" t="n"/>
    </row>
    <row r="2461">
      <c r="A2461" s="6" t="n"/>
      <c r="B2461" s="6" t="n"/>
      <c r="C2461" s="6" t="n"/>
      <c r="D2461" s="6" t="n"/>
      <c r="E2461" s="8" t="n"/>
      <c r="F2461" s="6" t="n"/>
    </row>
    <row r="2462">
      <c r="A2462" s="6" t="n"/>
      <c r="B2462" s="6" t="n"/>
      <c r="C2462" s="6" t="n"/>
      <c r="D2462" s="6" t="n"/>
      <c r="E2462" s="8" t="n"/>
      <c r="F2462" s="6" t="n"/>
    </row>
    <row r="2463">
      <c r="A2463" s="6" t="n"/>
      <c r="B2463" s="6" t="n"/>
      <c r="C2463" s="6" t="n"/>
      <c r="D2463" s="6" t="n"/>
      <c r="E2463" s="8" t="n"/>
      <c r="F2463" s="6" t="n"/>
    </row>
    <row r="2464">
      <c r="A2464" s="6" t="n"/>
      <c r="B2464" s="6" t="n"/>
      <c r="C2464" s="6" t="n"/>
      <c r="D2464" s="6" t="n"/>
      <c r="E2464" s="8" t="n"/>
      <c r="F2464" s="6" t="n"/>
    </row>
    <row r="2465">
      <c r="A2465" s="6" t="n"/>
      <c r="B2465" s="6" t="n"/>
      <c r="C2465" s="6" t="n"/>
      <c r="D2465" s="6" t="n"/>
      <c r="E2465" s="8" t="n"/>
      <c r="F2465" s="6" t="n"/>
    </row>
    <row r="2466">
      <c r="A2466" s="6" t="n"/>
      <c r="B2466" s="6" t="n"/>
      <c r="C2466" s="6" t="n"/>
      <c r="D2466" s="6" t="n"/>
      <c r="E2466" s="8" t="n"/>
      <c r="F2466" s="6" t="n"/>
    </row>
    <row r="2467">
      <c r="A2467" s="6" t="n"/>
      <c r="B2467" s="6" t="n"/>
      <c r="C2467" s="6" t="n"/>
      <c r="D2467" s="6" t="n"/>
      <c r="E2467" s="8" t="n"/>
      <c r="F2467" s="6" t="n"/>
    </row>
    <row r="2468">
      <c r="A2468" s="6" t="n"/>
      <c r="B2468" s="6" t="n"/>
      <c r="C2468" s="6" t="n"/>
      <c r="D2468" s="6" t="n"/>
      <c r="E2468" s="8" t="n"/>
      <c r="F2468" s="6" t="n"/>
    </row>
    <row r="2469">
      <c r="A2469" s="6" t="n"/>
      <c r="B2469" s="6" t="n"/>
      <c r="C2469" s="6" t="n"/>
      <c r="D2469" s="6" t="n"/>
      <c r="E2469" s="8" t="n"/>
      <c r="F2469" s="6" t="n"/>
    </row>
    <row r="2470">
      <c r="A2470" s="6" t="n"/>
      <c r="B2470" s="6" t="n"/>
      <c r="C2470" s="6" t="n"/>
      <c r="D2470" s="6" t="n"/>
      <c r="E2470" s="8" t="n"/>
      <c r="F2470" s="6" t="n"/>
    </row>
    <row r="2471">
      <c r="A2471" s="6" t="n"/>
      <c r="B2471" s="6" t="n"/>
      <c r="C2471" s="6" t="n"/>
      <c r="D2471" s="6" t="n"/>
      <c r="E2471" s="8" t="n"/>
      <c r="F2471" s="6" t="n"/>
    </row>
    <row r="2472">
      <c r="A2472" s="6" t="n"/>
      <c r="B2472" s="6" t="n"/>
      <c r="C2472" s="6" t="n"/>
      <c r="D2472" s="6" t="n"/>
      <c r="E2472" s="8" t="n"/>
      <c r="F2472" s="6" t="n"/>
    </row>
    <row r="2473">
      <c r="A2473" s="6" t="n"/>
      <c r="B2473" s="6" t="n"/>
      <c r="C2473" s="6" t="n"/>
      <c r="D2473" s="6" t="n"/>
      <c r="E2473" s="8" t="n"/>
      <c r="F2473" s="6" t="n"/>
    </row>
    <row r="2474">
      <c r="A2474" s="6" t="n"/>
      <c r="B2474" s="6" t="n"/>
      <c r="C2474" s="6" t="n"/>
      <c r="D2474" s="6" t="n"/>
      <c r="E2474" s="8" t="n"/>
      <c r="F2474" s="6" t="n"/>
    </row>
    <row r="2475">
      <c r="A2475" s="6" t="n"/>
      <c r="B2475" s="6" t="n"/>
      <c r="C2475" s="6" t="n"/>
      <c r="D2475" s="6" t="n"/>
      <c r="E2475" s="8" t="n"/>
      <c r="F2475" s="6" t="n"/>
    </row>
    <row r="2476">
      <c r="A2476" s="6" t="n"/>
      <c r="B2476" s="6" t="n"/>
      <c r="C2476" s="6" t="n"/>
      <c r="D2476" s="6" t="n"/>
      <c r="E2476" s="8" t="n"/>
      <c r="F2476" s="6" t="n"/>
    </row>
    <row r="2477">
      <c r="A2477" s="6" t="n"/>
      <c r="B2477" s="6" t="n"/>
      <c r="C2477" s="6" t="n"/>
      <c r="D2477" s="6" t="n"/>
      <c r="E2477" s="8" t="n"/>
      <c r="F2477" s="6" t="n"/>
    </row>
    <row r="2478">
      <c r="A2478" s="6" t="n"/>
      <c r="B2478" s="6" t="n"/>
      <c r="C2478" s="6" t="n"/>
      <c r="D2478" s="6" t="n"/>
      <c r="E2478" s="8" t="n"/>
      <c r="F2478" s="6" t="n"/>
    </row>
    <row r="2479">
      <c r="A2479" s="6" t="n"/>
      <c r="B2479" s="6" t="n"/>
      <c r="C2479" s="6" t="n"/>
      <c r="D2479" s="6" t="n"/>
      <c r="E2479" s="8" t="n"/>
      <c r="F2479" s="6" t="n"/>
    </row>
    <row r="2480">
      <c r="A2480" s="6" t="n"/>
      <c r="B2480" s="6" t="n"/>
      <c r="C2480" s="6" t="n"/>
      <c r="D2480" s="6" t="n"/>
      <c r="E2480" s="8" t="n"/>
      <c r="F2480" s="6" t="n"/>
    </row>
    <row r="2481">
      <c r="A2481" s="6" t="n"/>
      <c r="B2481" s="6" t="n"/>
      <c r="C2481" s="6" t="n"/>
      <c r="D2481" s="6" t="n"/>
      <c r="E2481" s="8" t="n"/>
      <c r="F2481" s="6" t="n"/>
    </row>
    <row r="2482">
      <c r="A2482" s="6" t="n"/>
      <c r="B2482" s="6" t="n"/>
      <c r="C2482" s="6" t="n"/>
      <c r="D2482" s="6" t="n"/>
      <c r="E2482" s="8" t="n"/>
      <c r="F2482" s="6" t="n"/>
    </row>
    <row r="2483">
      <c r="A2483" s="6" t="n"/>
      <c r="B2483" s="6" t="n"/>
      <c r="C2483" s="6" t="n"/>
      <c r="D2483" s="6" t="n"/>
      <c r="E2483" s="8" t="n"/>
      <c r="F2483" s="6" t="n"/>
    </row>
    <row r="2484">
      <c r="A2484" s="6" t="n"/>
      <c r="B2484" s="6" t="n"/>
      <c r="C2484" s="6" t="n"/>
      <c r="D2484" s="6" t="n"/>
      <c r="E2484" s="8" t="n"/>
      <c r="F2484" s="6" t="n"/>
    </row>
    <row r="2485">
      <c r="A2485" s="6" t="n"/>
      <c r="B2485" s="6" t="n"/>
      <c r="C2485" s="6" t="n"/>
      <c r="D2485" s="6" t="n"/>
      <c r="E2485" s="8" t="n"/>
      <c r="F2485" s="6" t="n"/>
    </row>
    <row r="2486">
      <c r="A2486" s="6" t="n"/>
      <c r="B2486" s="6" t="n"/>
      <c r="C2486" s="6" t="n"/>
      <c r="D2486" s="6" t="n"/>
      <c r="E2486" s="8" t="n"/>
      <c r="F2486" s="6" t="n"/>
    </row>
    <row r="2487">
      <c r="A2487" s="6" t="n"/>
      <c r="B2487" s="6" t="n"/>
      <c r="C2487" s="6" t="n"/>
      <c r="D2487" s="6" t="n"/>
      <c r="E2487" s="8" t="n"/>
      <c r="F2487" s="6" t="n"/>
    </row>
    <row r="2488">
      <c r="A2488" s="6" t="n"/>
      <c r="B2488" s="6" t="n"/>
      <c r="C2488" s="6" t="n"/>
      <c r="D2488" s="6" t="n"/>
      <c r="E2488" s="8" t="n"/>
      <c r="F2488" s="6" t="n"/>
    </row>
    <row r="2489">
      <c r="A2489" s="6" t="n"/>
      <c r="B2489" s="6" t="n"/>
      <c r="C2489" s="6" t="n"/>
      <c r="D2489" s="6" t="n"/>
      <c r="E2489" s="8" t="n"/>
      <c r="F2489" s="6" t="n"/>
    </row>
    <row r="2490">
      <c r="A2490" s="6" t="n"/>
      <c r="B2490" s="6" t="n"/>
      <c r="C2490" s="6" t="n"/>
      <c r="D2490" s="6" t="n"/>
      <c r="E2490" s="8" t="n"/>
      <c r="F2490" s="6" t="n"/>
    </row>
    <row r="2491">
      <c r="A2491" s="6" t="n"/>
      <c r="B2491" s="6" t="n"/>
      <c r="C2491" s="6" t="n"/>
      <c r="D2491" s="6" t="n"/>
      <c r="E2491" s="8" t="n"/>
      <c r="F2491" s="6" t="n"/>
    </row>
    <row r="2492">
      <c r="A2492" s="6" t="n"/>
      <c r="B2492" s="6" t="n"/>
      <c r="C2492" s="6" t="n"/>
      <c r="D2492" s="6" t="n"/>
      <c r="E2492" s="8" t="n"/>
      <c r="F2492" s="6" t="n"/>
    </row>
    <row r="2493">
      <c r="A2493" s="6" t="n"/>
      <c r="B2493" s="6" t="n"/>
      <c r="C2493" s="6" t="n"/>
      <c r="D2493" s="6" t="n"/>
      <c r="E2493" s="8" t="n"/>
      <c r="F2493" s="6" t="n"/>
    </row>
    <row r="2494">
      <c r="A2494" s="6" t="n"/>
      <c r="B2494" s="6" t="n"/>
      <c r="C2494" s="6" t="n"/>
      <c r="D2494" s="6" t="n"/>
      <c r="E2494" s="8" t="n"/>
      <c r="F2494" s="6" t="n"/>
    </row>
    <row r="2495">
      <c r="A2495" s="6" t="n"/>
      <c r="B2495" s="6" t="n"/>
      <c r="C2495" s="6" t="n"/>
      <c r="D2495" s="6" t="n"/>
      <c r="E2495" s="8" t="n"/>
      <c r="F2495" s="6" t="n"/>
    </row>
    <row r="2496">
      <c r="A2496" s="6" t="n"/>
      <c r="B2496" s="6" t="n"/>
      <c r="C2496" s="6" t="n"/>
      <c r="D2496" s="6" t="n"/>
      <c r="E2496" s="8" t="n"/>
      <c r="F2496" s="6" t="n"/>
    </row>
    <row r="2497">
      <c r="A2497" s="6" t="n"/>
      <c r="B2497" s="6" t="n"/>
      <c r="C2497" s="6" t="n"/>
      <c r="D2497" s="6" t="n"/>
      <c r="E2497" s="8" t="n"/>
      <c r="F2497" s="6" t="n"/>
    </row>
    <row r="2498">
      <c r="A2498" s="6" t="n"/>
      <c r="B2498" s="6" t="n"/>
      <c r="C2498" s="6" t="n"/>
      <c r="D2498" s="6" t="n"/>
      <c r="E2498" s="8" t="n"/>
      <c r="F2498" s="6" t="n"/>
    </row>
    <row r="2499">
      <c r="A2499" s="6" t="n"/>
      <c r="B2499" s="6" t="n"/>
      <c r="C2499" s="6" t="n"/>
      <c r="D2499" s="6" t="n"/>
      <c r="E2499" s="8" t="n"/>
      <c r="F2499" s="6" t="n"/>
    </row>
    <row r="2500">
      <c r="A2500" s="6" t="n"/>
      <c r="B2500" s="6" t="n"/>
      <c r="C2500" s="6" t="n"/>
      <c r="D2500" s="6" t="n"/>
      <c r="E2500" s="8" t="n"/>
      <c r="F2500" s="6" t="n"/>
    </row>
    <row r="2501">
      <c r="A2501" s="6" t="n"/>
      <c r="B2501" s="6" t="n"/>
      <c r="C2501" s="6" t="n"/>
      <c r="D2501" s="6" t="n"/>
      <c r="E2501" s="8" t="n"/>
      <c r="F2501" s="6" t="n"/>
    </row>
    <row r="2502">
      <c r="A2502" s="6" t="n"/>
      <c r="B2502" s="6" t="n"/>
      <c r="C2502" s="6" t="n"/>
      <c r="D2502" s="6" t="n"/>
      <c r="E2502" s="8" t="n"/>
      <c r="F2502" s="6" t="n"/>
    </row>
    <row r="2503">
      <c r="A2503" s="6" t="n"/>
      <c r="B2503" s="6" t="n"/>
      <c r="C2503" s="6" t="n"/>
      <c r="D2503" s="6" t="n"/>
      <c r="E2503" s="8" t="n"/>
      <c r="F2503" s="6" t="n"/>
    </row>
    <row r="2504">
      <c r="A2504" s="6" t="n"/>
      <c r="B2504" s="6" t="n"/>
      <c r="C2504" s="6" t="n"/>
      <c r="D2504" s="6" t="n"/>
      <c r="E2504" s="8" t="n"/>
      <c r="F2504" s="6" t="n"/>
    </row>
    <row r="2505">
      <c r="A2505" s="6" t="n"/>
      <c r="B2505" s="6" t="n"/>
      <c r="C2505" s="6" t="n"/>
      <c r="D2505" s="6" t="n"/>
      <c r="E2505" s="8" t="n"/>
      <c r="F2505" s="6" t="n"/>
    </row>
    <row r="2506">
      <c r="A2506" s="6" t="n"/>
      <c r="B2506" s="6" t="n"/>
      <c r="C2506" s="6" t="n"/>
      <c r="D2506" s="6" t="n"/>
      <c r="E2506" s="8" t="n"/>
      <c r="F2506" s="6" t="n"/>
    </row>
    <row r="2507">
      <c r="A2507" s="6" t="n"/>
      <c r="B2507" s="6" t="n"/>
      <c r="C2507" s="6" t="n"/>
      <c r="D2507" s="6" t="n"/>
      <c r="E2507" s="8" t="n"/>
      <c r="F2507" s="6" t="n"/>
    </row>
    <row r="2508">
      <c r="A2508" s="6" t="n"/>
      <c r="B2508" s="6" t="n"/>
      <c r="C2508" s="6" t="n"/>
      <c r="D2508" s="6" t="n"/>
      <c r="E2508" s="8" t="n"/>
      <c r="F2508" s="6" t="n"/>
    </row>
    <row r="2509">
      <c r="A2509" s="6" t="n"/>
      <c r="B2509" s="6" t="n"/>
      <c r="C2509" s="6" t="n"/>
      <c r="D2509" s="6" t="n"/>
      <c r="E2509" s="8" t="n"/>
      <c r="F2509" s="6" t="n"/>
    </row>
    <row r="2510">
      <c r="A2510" s="6" t="n"/>
      <c r="B2510" s="6" t="n"/>
      <c r="C2510" s="6" t="n"/>
      <c r="D2510" s="6" t="n"/>
      <c r="E2510" s="8" t="n"/>
      <c r="F2510" s="6" t="n"/>
    </row>
    <row r="2511">
      <c r="A2511" s="6" t="n"/>
      <c r="B2511" s="6" t="n"/>
      <c r="C2511" s="6" t="n"/>
      <c r="D2511" s="6" t="n"/>
      <c r="E2511" s="8" t="n"/>
      <c r="F2511" s="6" t="n"/>
    </row>
    <row r="2512">
      <c r="A2512" s="6" t="n"/>
      <c r="B2512" s="6" t="n"/>
      <c r="C2512" s="6" t="n"/>
      <c r="D2512" s="6" t="n"/>
      <c r="E2512" s="8" t="n"/>
      <c r="F2512" s="6" t="n"/>
    </row>
    <row r="2513">
      <c r="A2513" s="6" t="n"/>
      <c r="B2513" s="6" t="n"/>
      <c r="C2513" s="6" t="n"/>
      <c r="D2513" s="6" t="n"/>
      <c r="E2513" s="8" t="n"/>
      <c r="F2513" s="6" t="n"/>
    </row>
    <row r="2514">
      <c r="A2514" s="6" t="n"/>
      <c r="B2514" s="6" t="n"/>
      <c r="C2514" s="6" t="n"/>
      <c r="D2514" s="6" t="n"/>
      <c r="E2514" s="8" t="n"/>
      <c r="F2514" s="6" t="n"/>
    </row>
    <row r="2515">
      <c r="A2515" s="6" t="n"/>
      <c r="B2515" s="6" t="n"/>
      <c r="C2515" s="6" t="n"/>
      <c r="D2515" s="6" t="n"/>
      <c r="E2515" s="8" t="n"/>
      <c r="F2515" s="6" t="n"/>
    </row>
    <row r="2516">
      <c r="A2516" s="6" t="n"/>
      <c r="B2516" s="6" t="n"/>
      <c r="C2516" s="6" t="n"/>
      <c r="D2516" s="6" t="n"/>
      <c r="E2516" s="8" t="n"/>
      <c r="F2516" s="6" t="n"/>
    </row>
    <row r="2517">
      <c r="A2517" s="6" t="n"/>
      <c r="B2517" s="6" t="n"/>
      <c r="C2517" s="6" t="n"/>
      <c r="D2517" s="6" t="n"/>
      <c r="E2517" s="8" t="n"/>
      <c r="F2517" s="6" t="n"/>
    </row>
    <row r="2518">
      <c r="A2518" s="6" t="n"/>
      <c r="B2518" s="6" t="n"/>
      <c r="C2518" s="6" t="n"/>
      <c r="D2518" s="6" t="n"/>
      <c r="E2518" s="8" t="n"/>
      <c r="F2518" s="6" t="n"/>
    </row>
    <row r="2519">
      <c r="A2519" s="6" t="n"/>
      <c r="B2519" s="6" t="n"/>
      <c r="C2519" s="6" t="n"/>
      <c r="D2519" s="6" t="n"/>
      <c r="E2519" s="8" t="n"/>
      <c r="F2519" s="6" t="n"/>
    </row>
    <row r="2520">
      <c r="A2520" s="6" t="n"/>
      <c r="B2520" s="6" t="n"/>
      <c r="C2520" s="6" t="n"/>
      <c r="D2520" s="6" t="n"/>
      <c r="E2520" s="8" t="n"/>
      <c r="F2520" s="6" t="n"/>
    </row>
    <row r="2521">
      <c r="A2521" s="6" t="n"/>
      <c r="B2521" s="6" t="n"/>
      <c r="C2521" s="6" t="n"/>
      <c r="D2521" s="6" t="n"/>
      <c r="E2521" s="8" t="n"/>
      <c r="F2521" s="6" t="n"/>
    </row>
    <row r="2522">
      <c r="A2522" s="6" t="n"/>
      <c r="B2522" s="6" t="n"/>
      <c r="C2522" s="6" t="n"/>
      <c r="D2522" s="6" t="n"/>
      <c r="E2522" s="8" t="n"/>
      <c r="F2522" s="6" t="n"/>
    </row>
    <row r="2523">
      <c r="A2523" s="6" t="n"/>
      <c r="B2523" s="6" t="n"/>
      <c r="C2523" s="6" t="n"/>
      <c r="D2523" s="6" t="n"/>
      <c r="E2523" s="8" t="n"/>
      <c r="F2523" s="6" t="n"/>
    </row>
    <row r="2524">
      <c r="A2524" s="6" t="n"/>
      <c r="B2524" s="6" t="n"/>
      <c r="C2524" s="6" t="n"/>
      <c r="D2524" s="6" t="n"/>
      <c r="E2524" s="8" t="n"/>
      <c r="F2524" s="6" t="n"/>
    </row>
    <row r="2525">
      <c r="A2525" s="6" t="n"/>
      <c r="B2525" s="6" t="n"/>
      <c r="C2525" s="6" t="n"/>
      <c r="D2525" s="6" t="n"/>
      <c r="E2525" s="8" t="n"/>
      <c r="F2525" s="6" t="n"/>
    </row>
    <row r="2526">
      <c r="A2526" s="6" t="n"/>
      <c r="B2526" s="6" t="n"/>
      <c r="C2526" s="6" t="n"/>
      <c r="D2526" s="6" t="n"/>
      <c r="E2526" s="8" t="n"/>
      <c r="F2526" s="6" t="n"/>
    </row>
    <row r="2527">
      <c r="A2527" s="6" t="n"/>
      <c r="B2527" s="6" t="n"/>
      <c r="C2527" s="6" t="n"/>
      <c r="D2527" s="6" t="n"/>
      <c r="E2527" s="8" t="n"/>
      <c r="F2527" s="6" t="n"/>
    </row>
    <row r="2528">
      <c r="A2528" s="6" t="n"/>
      <c r="B2528" s="6" t="n"/>
      <c r="C2528" s="6" t="n"/>
      <c r="D2528" s="6" t="n"/>
      <c r="E2528" s="8" t="n"/>
      <c r="F2528" s="6" t="n"/>
    </row>
    <row r="2529">
      <c r="A2529" s="6" t="n"/>
      <c r="B2529" s="6" t="n"/>
      <c r="C2529" s="6" t="n"/>
      <c r="D2529" s="6" t="n"/>
      <c r="E2529" s="8" t="n"/>
      <c r="F2529" s="6" t="n"/>
    </row>
    <row r="2530">
      <c r="A2530" s="6" t="n"/>
      <c r="B2530" s="6" t="n"/>
      <c r="C2530" s="6" t="n"/>
      <c r="D2530" s="6" t="n"/>
      <c r="E2530" s="8" t="n"/>
      <c r="F2530" s="6" t="n"/>
    </row>
    <row r="2531">
      <c r="A2531" s="6" t="n"/>
      <c r="B2531" s="6" t="n"/>
      <c r="C2531" s="6" t="n"/>
      <c r="D2531" s="6" t="n"/>
      <c r="E2531" s="8" t="n"/>
      <c r="F2531" s="6" t="n"/>
    </row>
    <row r="2532">
      <c r="A2532" s="6" t="n"/>
      <c r="B2532" s="6" t="n"/>
      <c r="C2532" s="6" t="n"/>
      <c r="D2532" s="6" t="n"/>
      <c r="E2532" s="8" t="n"/>
      <c r="F2532" s="6" t="n"/>
    </row>
    <row r="2533">
      <c r="A2533" s="6" t="n"/>
      <c r="B2533" s="6" t="n"/>
      <c r="C2533" s="6" t="n"/>
      <c r="D2533" s="6" t="n"/>
      <c r="E2533" s="8" t="n"/>
      <c r="F2533" s="6" t="n"/>
    </row>
    <row r="2534">
      <c r="A2534" s="6" t="n"/>
      <c r="B2534" s="6" t="n"/>
      <c r="C2534" s="6" t="n"/>
      <c r="D2534" s="6" t="n"/>
      <c r="E2534" s="8" t="n"/>
      <c r="F2534" s="6" t="n"/>
    </row>
    <row r="2535">
      <c r="A2535" s="6" t="n"/>
      <c r="B2535" s="6" t="n"/>
      <c r="C2535" s="6" t="n"/>
      <c r="D2535" s="6" t="n"/>
      <c r="E2535" s="8" t="n"/>
      <c r="F2535" s="6" t="n"/>
    </row>
    <row r="2536">
      <c r="A2536" s="6" t="n"/>
      <c r="B2536" s="6" t="n"/>
      <c r="C2536" s="6" t="n"/>
      <c r="D2536" s="6" t="n"/>
      <c r="E2536" s="8" t="n"/>
      <c r="F2536" s="6" t="n"/>
    </row>
    <row r="2537">
      <c r="A2537" s="6" t="n"/>
      <c r="B2537" s="6" t="n"/>
      <c r="C2537" s="6" t="n"/>
      <c r="D2537" s="6" t="n"/>
      <c r="E2537" s="8" t="n"/>
      <c r="F2537" s="6" t="n"/>
    </row>
    <row r="2538">
      <c r="A2538" s="6" t="n"/>
      <c r="B2538" s="6" t="n"/>
      <c r="C2538" s="6" t="n"/>
      <c r="D2538" s="6" t="n"/>
      <c r="E2538" s="8" t="n"/>
      <c r="F2538" s="6" t="n"/>
    </row>
    <row r="2539">
      <c r="A2539" s="6" t="n"/>
      <c r="B2539" s="6" t="n"/>
      <c r="C2539" s="6" t="n"/>
      <c r="D2539" s="6" t="n"/>
      <c r="E2539" s="8" t="n"/>
      <c r="F2539" s="6" t="n"/>
    </row>
    <row r="2540">
      <c r="A2540" s="6" t="n"/>
      <c r="B2540" s="6" t="n"/>
      <c r="C2540" s="6" t="n"/>
      <c r="D2540" s="6" t="n"/>
      <c r="E2540" s="8" t="n"/>
      <c r="F2540" s="6" t="n"/>
    </row>
    <row r="2541">
      <c r="A2541" s="6" t="n"/>
      <c r="B2541" s="6" t="n"/>
      <c r="C2541" s="6" t="n"/>
      <c r="D2541" s="6" t="n"/>
      <c r="E2541" s="8" t="n"/>
      <c r="F2541" s="6" t="n"/>
    </row>
    <row r="2542">
      <c r="A2542" s="6" t="n"/>
      <c r="B2542" s="6" t="n"/>
      <c r="C2542" s="6" t="n"/>
      <c r="D2542" s="6" t="n"/>
      <c r="E2542" s="8" t="n"/>
      <c r="F2542" s="6" t="n"/>
    </row>
    <row r="2543">
      <c r="A2543" s="6" t="n"/>
      <c r="B2543" s="6" t="n"/>
      <c r="C2543" s="6" t="n"/>
      <c r="D2543" s="6" t="n"/>
      <c r="E2543" s="8" t="n"/>
      <c r="F2543" s="6" t="n"/>
    </row>
    <row r="2544">
      <c r="A2544" s="6" t="n"/>
      <c r="B2544" s="6" t="n"/>
      <c r="C2544" s="6" t="n"/>
      <c r="D2544" s="6" t="n"/>
      <c r="E2544" s="8" t="n"/>
      <c r="F2544" s="6" t="n"/>
    </row>
    <row r="2545">
      <c r="A2545" s="6" t="n"/>
      <c r="B2545" s="6" t="n"/>
      <c r="C2545" s="6" t="n"/>
      <c r="D2545" s="6" t="n"/>
      <c r="E2545" s="8" t="n"/>
      <c r="F2545" s="6" t="n"/>
    </row>
    <row r="2546">
      <c r="A2546" s="6" t="n"/>
      <c r="B2546" s="6" t="n"/>
      <c r="C2546" s="6" t="n"/>
      <c r="D2546" s="6" t="n"/>
      <c r="E2546" s="8" t="n"/>
      <c r="F2546" s="6" t="n"/>
    </row>
    <row r="2547">
      <c r="A2547" s="6" t="n"/>
      <c r="B2547" s="6" t="n"/>
      <c r="C2547" s="6" t="n"/>
      <c r="D2547" s="6" t="n"/>
      <c r="E2547" s="8" t="n"/>
      <c r="F2547" s="6" t="n"/>
    </row>
    <row r="2548">
      <c r="A2548" s="6" t="n"/>
      <c r="B2548" s="6" t="n"/>
      <c r="C2548" s="6" t="n"/>
      <c r="D2548" s="6" t="n"/>
      <c r="E2548" s="8" t="n"/>
      <c r="F2548" s="6" t="n"/>
    </row>
    <row r="2549">
      <c r="A2549" s="6" t="n"/>
      <c r="B2549" s="6" t="n"/>
      <c r="C2549" s="6" t="n"/>
      <c r="D2549" s="6" t="n"/>
      <c r="E2549" s="8" t="n"/>
      <c r="F2549" s="6" t="n"/>
    </row>
    <row r="2550">
      <c r="A2550" s="6" t="n"/>
      <c r="B2550" s="6" t="n"/>
      <c r="C2550" s="6" t="n"/>
      <c r="D2550" s="6" t="n"/>
      <c r="E2550" s="8" t="n"/>
      <c r="F2550" s="6" t="n"/>
    </row>
    <row r="2551">
      <c r="A2551" s="6" t="n"/>
      <c r="B2551" s="6" t="n"/>
      <c r="C2551" s="6" t="n"/>
      <c r="D2551" s="6" t="n"/>
      <c r="E2551" s="8" t="n"/>
      <c r="F2551" s="6" t="n"/>
    </row>
    <row r="2552">
      <c r="A2552" s="6" t="n"/>
      <c r="B2552" s="6" t="n"/>
      <c r="C2552" s="6" t="n"/>
      <c r="D2552" s="6" t="n"/>
      <c r="E2552" s="8" t="n"/>
      <c r="F2552" s="6" t="n"/>
    </row>
    <row r="2553">
      <c r="A2553" s="6" t="n"/>
      <c r="B2553" s="6" t="n"/>
      <c r="C2553" s="6" t="n"/>
      <c r="D2553" s="6" t="n"/>
      <c r="E2553" s="8" t="n"/>
      <c r="F2553" s="6" t="n"/>
    </row>
    <row r="2554">
      <c r="A2554" s="6" t="n"/>
      <c r="B2554" s="6" t="n"/>
      <c r="C2554" s="6" t="n"/>
      <c r="D2554" s="6" t="n"/>
      <c r="E2554" s="8" t="n"/>
      <c r="F2554" s="6" t="n"/>
    </row>
    <row r="2555">
      <c r="A2555" s="6" t="n"/>
      <c r="B2555" s="6" t="n"/>
      <c r="C2555" s="6" t="n"/>
      <c r="D2555" s="6" t="n"/>
      <c r="E2555" s="8" t="n"/>
      <c r="F2555" s="6" t="n"/>
    </row>
    <row r="2556">
      <c r="A2556" s="6" t="n"/>
      <c r="B2556" s="6" t="n"/>
      <c r="C2556" s="6" t="n"/>
      <c r="D2556" s="6" t="n"/>
      <c r="E2556" s="8" t="n"/>
      <c r="F2556" s="6" t="n"/>
    </row>
    <row r="2557">
      <c r="A2557" s="6" t="n"/>
      <c r="B2557" s="6" t="n"/>
      <c r="C2557" s="6" t="n"/>
      <c r="D2557" s="6" t="n"/>
      <c r="E2557" s="8" t="n"/>
      <c r="F2557" s="6" t="n"/>
    </row>
    <row r="2558">
      <c r="A2558" s="6" t="n"/>
      <c r="B2558" s="6" t="n"/>
      <c r="C2558" s="6" t="n"/>
      <c r="D2558" s="6" t="n"/>
      <c r="E2558" s="8" t="n"/>
      <c r="F2558" s="6" t="n"/>
    </row>
    <row r="2559">
      <c r="A2559" s="6" t="n"/>
      <c r="B2559" s="6" t="n"/>
      <c r="C2559" s="6" t="n"/>
      <c r="D2559" s="6" t="n"/>
      <c r="E2559" s="8" t="n"/>
      <c r="F2559" s="6" t="n"/>
    </row>
    <row r="2560">
      <c r="A2560" s="6" t="n"/>
      <c r="B2560" s="6" t="n"/>
      <c r="C2560" s="6" t="n"/>
      <c r="D2560" s="6" t="n"/>
      <c r="E2560" s="8" t="n"/>
      <c r="F2560" s="6" t="n"/>
    </row>
    <row r="2561">
      <c r="A2561" s="6" t="n"/>
      <c r="B2561" s="6" t="n"/>
      <c r="C2561" s="6" t="n"/>
      <c r="D2561" s="6" t="n"/>
      <c r="E2561" s="8" t="n"/>
      <c r="F2561" s="6" t="n"/>
    </row>
    <row r="2562">
      <c r="A2562" s="6" t="n"/>
      <c r="B2562" s="6" t="n"/>
      <c r="C2562" s="6" t="n"/>
      <c r="D2562" s="6" t="n"/>
      <c r="E2562" s="8" t="n"/>
      <c r="F2562" s="6" t="n"/>
    </row>
    <row r="2563">
      <c r="A2563" s="6" t="n"/>
      <c r="B2563" s="6" t="n"/>
      <c r="C2563" s="6" t="n"/>
      <c r="D2563" s="6" t="n"/>
      <c r="E2563" s="8" t="n"/>
      <c r="F2563" s="6" t="n"/>
    </row>
    <row r="2564">
      <c r="A2564" s="6" t="n"/>
      <c r="B2564" s="6" t="n"/>
      <c r="C2564" s="6" t="n"/>
      <c r="D2564" s="6" t="n"/>
      <c r="E2564" s="8" t="n"/>
      <c r="F2564" s="6" t="n"/>
    </row>
    <row r="2565">
      <c r="A2565" s="6" t="n"/>
      <c r="B2565" s="6" t="n"/>
      <c r="C2565" s="6" t="n"/>
      <c r="D2565" s="6" t="n"/>
      <c r="E2565" s="8" t="n"/>
      <c r="F2565" s="6" t="n"/>
    </row>
    <row r="2566">
      <c r="A2566" s="6" t="n"/>
      <c r="B2566" s="6" t="n"/>
      <c r="C2566" s="6" t="n"/>
      <c r="D2566" s="6" t="n"/>
      <c r="E2566" s="8" t="n"/>
      <c r="F2566" s="6" t="n"/>
    </row>
    <row r="2567">
      <c r="A2567" s="6" t="n"/>
      <c r="B2567" s="6" t="n"/>
      <c r="C2567" s="6" t="n"/>
      <c r="D2567" s="6" t="n"/>
      <c r="E2567" s="8" t="n"/>
      <c r="F2567" s="6" t="n"/>
    </row>
    <row r="2568">
      <c r="A2568" s="6" t="n"/>
      <c r="B2568" s="6" t="n"/>
      <c r="C2568" s="6" t="n"/>
      <c r="D2568" s="6" t="n"/>
      <c r="E2568" s="8" t="n"/>
      <c r="F2568" s="6" t="n"/>
    </row>
    <row r="2569">
      <c r="A2569" s="6" t="n"/>
      <c r="B2569" s="6" t="n"/>
      <c r="C2569" s="6" t="n"/>
      <c r="D2569" s="6" t="n"/>
      <c r="E2569" s="8" t="n"/>
      <c r="F2569" s="6" t="n"/>
    </row>
    <row r="2570">
      <c r="A2570" s="6" t="n"/>
      <c r="B2570" s="6" t="n"/>
      <c r="C2570" s="6" t="n"/>
      <c r="D2570" s="6" t="n"/>
      <c r="E2570" s="8" t="n"/>
      <c r="F2570" s="6" t="n"/>
    </row>
    <row r="2571">
      <c r="A2571" s="6" t="n"/>
      <c r="B2571" s="6" t="n"/>
      <c r="C2571" s="6" t="n"/>
      <c r="D2571" s="6" t="n"/>
      <c r="E2571" s="8" t="n"/>
      <c r="F2571" s="6" t="n"/>
    </row>
    <row r="2572">
      <c r="A2572" s="6" t="n"/>
      <c r="B2572" s="6" t="n"/>
      <c r="C2572" s="6" t="n"/>
      <c r="D2572" s="6" t="n"/>
      <c r="E2572" s="8" t="n"/>
      <c r="F2572" s="6" t="n"/>
    </row>
    <row r="2573">
      <c r="A2573" s="6" t="n"/>
      <c r="B2573" s="6" t="n"/>
      <c r="C2573" s="6" t="n"/>
      <c r="D2573" s="6" t="n"/>
      <c r="E2573" s="8" t="n"/>
      <c r="F2573" s="6" t="n"/>
    </row>
    <row r="2574">
      <c r="A2574" s="6" t="n"/>
      <c r="B2574" s="6" t="n"/>
      <c r="C2574" s="6" t="n"/>
      <c r="D2574" s="6" t="n"/>
      <c r="E2574" s="8" t="n"/>
      <c r="F2574" s="6" t="n"/>
    </row>
    <row r="2575">
      <c r="A2575" s="6" t="n"/>
      <c r="B2575" s="6" t="n"/>
      <c r="C2575" s="6" t="n"/>
      <c r="D2575" s="6" t="n"/>
      <c r="E2575" s="8" t="n"/>
      <c r="F2575" s="6" t="n"/>
    </row>
    <row r="2576">
      <c r="A2576" s="6" t="n"/>
      <c r="B2576" s="6" t="n"/>
      <c r="C2576" s="6" t="n"/>
      <c r="D2576" s="6" t="n"/>
      <c r="E2576" s="8" t="n"/>
      <c r="F2576" s="6" t="n"/>
    </row>
    <row r="2577">
      <c r="A2577" s="6" t="n"/>
      <c r="B2577" s="6" t="n"/>
      <c r="C2577" s="6" t="n"/>
      <c r="D2577" s="6" t="n"/>
      <c r="E2577" s="8" t="n"/>
      <c r="F2577" s="6" t="n"/>
    </row>
    <row r="2578">
      <c r="A2578" s="6" t="n"/>
      <c r="B2578" s="6" t="n"/>
      <c r="C2578" s="6" t="n"/>
      <c r="D2578" s="6" t="n"/>
      <c r="E2578" s="8" t="n"/>
      <c r="F2578" s="6" t="n"/>
    </row>
    <row r="2579">
      <c r="A2579" s="6" t="n"/>
      <c r="B2579" s="6" t="n"/>
      <c r="C2579" s="6" t="n"/>
      <c r="D2579" s="6" t="n"/>
      <c r="E2579" s="8" t="n"/>
      <c r="F2579" s="6" t="n"/>
    </row>
    <row r="2580">
      <c r="A2580" s="6" t="n"/>
      <c r="B2580" s="6" t="n"/>
      <c r="C2580" s="6" t="n"/>
      <c r="D2580" s="6" t="n"/>
      <c r="E2580" s="8" t="n"/>
      <c r="F2580" s="6" t="n"/>
    </row>
    <row r="2581">
      <c r="A2581" s="6" t="n"/>
      <c r="B2581" s="6" t="n"/>
      <c r="C2581" s="6" t="n"/>
      <c r="D2581" s="6" t="n"/>
      <c r="E2581" s="8" t="n"/>
      <c r="F2581" s="6" t="n"/>
    </row>
    <row r="2582">
      <c r="A2582" s="6" t="n"/>
      <c r="B2582" s="6" t="n"/>
      <c r="C2582" s="6" t="n"/>
      <c r="D2582" s="6" t="n"/>
      <c r="E2582" s="8" t="n"/>
      <c r="F2582" s="6" t="n"/>
    </row>
    <row r="2583">
      <c r="A2583" s="6" t="n"/>
      <c r="B2583" s="6" t="n"/>
      <c r="C2583" s="6" t="n"/>
      <c r="D2583" s="6" t="n"/>
      <c r="E2583" s="8" t="n"/>
      <c r="F2583" s="6" t="n"/>
    </row>
    <row r="2584">
      <c r="A2584" s="6" t="n"/>
      <c r="B2584" s="6" t="n"/>
      <c r="C2584" s="6" t="n"/>
      <c r="D2584" s="6" t="n"/>
      <c r="E2584" s="8" t="n"/>
      <c r="F2584" s="6" t="n"/>
    </row>
    <row r="2585">
      <c r="A2585" s="6" t="n"/>
      <c r="B2585" s="6" t="n"/>
      <c r="C2585" s="6" t="n"/>
      <c r="D2585" s="6" t="n"/>
      <c r="E2585" s="8" t="n"/>
      <c r="F2585" s="6" t="n"/>
    </row>
    <row r="2586">
      <c r="A2586" s="6" t="n"/>
      <c r="B2586" s="6" t="n"/>
      <c r="C2586" s="6" t="n"/>
      <c r="D2586" s="6" t="n"/>
      <c r="E2586" s="8" t="n"/>
      <c r="F2586" s="6" t="n"/>
    </row>
    <row r="2587">
      <c r="A2587" s="6" t="n"/>
      <c r="B2587" s="6" t="n"/>
      <c r="C2587" s="6" t="n"/>
      <c r="D2587" s="6" t="n"/>
      <c r="E2587" s="8" t="n"/>
      <c r="F2587" s="6" t="n"/>
    </row>
    <row r="2588">
      <c r="A2588" s="6" t="n"/>
      <c r="B2588" s="6" t="n"/>
      <c r="C2588" s="6" t="n"/>
      <c r="D2588" s="6" t="n"/>
      <c r="E2588" s="8" t="n"/>
      <c r="F2588" s="6" t="n"/>
    </row>
    <row r="2589">
      <c r="A2589" s="6" t="n"/>
      <c r="B2589" s="6" t="n"/>
      <c r="C2589" s="6" t="n"/>
      <c r="D2589" s="6" t="n"/>
      <c r="E2589" s="8" t="n"/>
      <c r="F2589" s="6" t="n"/>
    </row>
    <row r="2590">
      <c r="A2590" s="6" t="n"/>
      <c r="B2590" s="6" t="n"/>
      <c r="C2590" s="6" t="n"/>
      <c r="D2590" s="6" t="n"/>
      <c r="E2590" s="8" t="n"/>
      <c r="F2590" s="6" t="n"/>
    </row>
    <row r="2591">
      <c r="A2591" s="6" t="n"/>
      <c r="B2591" s="6" t="n"/>
      <c r="C2591" s="6" t="n"/>
      <c r="D2591" s="6" t="n"/>
      <c r="E2591" s="8" t="n"/>
      <c r="F2591" s="6" t="n"/>
    </row>
    <row r="2592">
      <c r="A2592" s="6" t="n"/>
      <c r="B2592" s="6" t="n"/>
      <c r="C2592" s="6" t="n"/>
      <c r="D2592" s="6" t="n"/>
      <c r="E2592" s="8" t="n"/>
      <c r="F2592" s="6" t="n"/>
    </row>
    <row r="2593">
      <c r="A2593" s="6" t="n"/>
      <c r="B2593" s="6" t="n"/>
      <c r="C2593" s="6" t="n"/>
      <c r="D2593" s="6" t="n"/>
      <c r="E2593" s="8" t="n"/>
      <c r="F2593" s="6" t="n"/>
    </row>
    <row r="2594">
      <c r="A2594" s="6" t="n"/>
      <c r="B2594" s="6" t="n"/>
      <c r="C2594" s="6" t="n"/>
      <c r="D2594" s="6" t="n"/>
      <c r="E2594" s="8" t="n"/>
      <c r="F2594" s="6" t="n"/>
    </row>
    <row r="2595">
      <c r="A2595" s="6" t="n"/>
      <c r="B2595" s="6" t="n"/>
      <c r="C2595" s="6" t="n"/>
      <c r="D2595" s="6" t="n"/>
      <c r="E2595" s="8" t="n"/>
      <c r="F2595" s="6" t="n"/>
    </row>
    <row r="2596">
      <c r="A2596" s="6" t="n"/>
      <c r="B2596" s="6" t="n"/>
      <c r="C2596" s="6" t="n"/>
      <c r="D2596" s="6" t="n"/>
      <c r="E2596" s="8" t="n"/>
      <c r="F2596" s="6" t="n"/>
    </row>
    <row r="2597">
      <c r="A2597" s="6" t="n"/>
      <c r="B2597" s="6" t="n"/>
      <c r="C2597" s="6" t="n"/>
      <c r="D2597" s="6" t="n"/>
      <c r="E2597" s="8" t="n"/>
      <c r="F2597" s="6" t="n"/>
    </row>
    <row r="2598">
      <c r="A2598" s="6" t="n"/>
      <c r="B2598" s="6" t="n"/>
      <c r="C2598" s="6" t="n"/>
      <c r="D2598" s="6" t="n"/>
      <c r="E2598" s="8" t="n"/>
      <c r="F2598" s="6" t="n"/>
    </row>
    <row r="2599">
      <c r="A2599" s="6" t="n"/>
      <c r="B2599" s="6" t="n"/>
      <c r="C2599" s="6" t="n"/>
      <c r="D2599" s="6" t="n"/>
      <c r="E2599" s="8" t="n"/>
      <c r="F2599" s="6" t="n"/>
    </row>
    <row r="2600">
      <c r="A2600" s="6" t="n"/>
      <c r="B2600" s="6" t="n"/>
      <c r="C2600" s="6" t="n"/>
      <c r="D2600" s="6" t="n"/>
      <c r="E2600" s="8" t="n"/>
      <c r="F2600" s="6" t="n"/>
    </row>
    <row r="2601">
      <c r="A2601" s="6" t="n"/>
      <c r="B2601" s="6" t="n"/>
      <c r="C2601" s="6" t="n"/>
      <c r="D2601" s="6" t="n"/>
      <c r="E2601" s="8" t="n"/>
      <c r="F2601" s="6" t="n"/>
    </row>
    <row r="2602">
      <c r="A2602" s="6" t="n"/>
      <c r="B2602" s="6" t="n"/>
      <c r="C2602" s="6" t="n"/>
      <c r="D2602" s="6" t="n"/>
      <c r="E2602" s="8" t="n"/>
      <c r="F2602" s="6" t="n"/>
    </row>
    <row r="2603">
      <c r="A2603" s="6" t="n"/>
      <c r="B2603" s="6" t="n"/>
      <c r="C2603" s="6" t="n"/>
      <c r="D2603" s="6" t="n"/>
      <c r="E2603" s="8" t="n"/>
      <c r="F2603" s="6" t="n"/>
    </row>
    <row r="2604">
      <c r="A2604" s="6" t="n"/>
      <c r="B2604" s="6" t="n"/>
      <c r="C2604" s="6" t="n"/>
      <c r="D2604" s="6" t="n"/>
      <c r="E2604" s="8" t="n"/>
      <c r="F2604" s="6" t="n"/>
    </row>
    <row r="2605">
      <c r="A2605" s="6" t="n"/>
      <c r="B2605" s="6" t="n"/>
      <c r="C2605" s="6" t="n"/>
      <c r="D2605" s="6" t="n"/>
      <c r="E2605" s="8" t="n"/>
      <c r="F2605" s="6" t="n"/>
    </row>
    <row r="2606">
      <c r="A2606" s="6" t="n"/>
      <c r="B2606" s="6" t="n"/>
      <c r="C2606" s="6" t="n"/>
      <c r="D2606" s="6" t="n"/>
      <c r="E2606" s="8" t="n"/>
      <c r="F2606" s="6" t="n"/>
    </row>
    <row r="2607">
      <c r="A2607" s="6" t="n"/>
      <c r="B2607" s="6" t="n"/>
      <c r="C2607" s="6" t="n"/>
      <c r="D2607" s="6" t="n"/>
      <c r="E2607" s="8" t="n"/>
      <c r="F2607" s="6" t="n"/>
    </row>
    <row r="2608">
      <c r="A2608" s="6" t="n"/>
      <c r="B2608" s="6" t="n"/>
      <c r="C2608" s="6" t="n"/>
      <c r="D2608" s="6" t="n"/>
      <c r="E2608" s="8" t="n"/>
      <c r="F2608" s="6" t="n"/>
    </row>
    <row r="2609">
      <c r="A2609" s="6" t="n"/>
      <c r="B2609" s="6" t="n"/>
      <c r="C2609" s="6" t="n"/>
      <c r="D2609" s="6" t="n"/>
      <c r="E2609" s="8" t="n"/>
      <c r="F2609" s="6" t="n"/>
    </row>
    <row r="2610">
      <c r="A2610" s="6" t="n"/>
      <c r="B2610" s="6" t="n"/>
      <c r="C2610" s="6" t="n"/>
      <c r="D2610" s="6" t="n"/>
      <c r="E2610" s="8" t="n"/>
      <c r="F2610" s="6" t="n"/>
    </row>
    <row r="2611">
      <c r="A2611" s="6" t="n"/>
      <c r="B2611" s="6" t="n"/>
      <c r="C2611" s="6" t="n"/>
      <c r="D2611" s="6" t="n"/>
      <c r="E2611" s="8" t="n"/>
      <c r="F2611" s="6" t="n"/>
    </row>
    <row r="2612">
      <c r="A2612" s="6" t="n"/>
      <c r="B2612" s="6" t="n"/>
      <c r="C2612" s="6" t="n"/>
      <c r="D2612" s="6" t="n"/>
      <c r="E2612" s="8" t="n"/>
      <c r="F2612" s="6" t="n"/>
    </row>
    <row r="2613">
      <c r="A2613" s="6" t="n"/>
      <c r="B2613" s="6" t="n"/>
      <c r="C2613" s="6" t="n"/>
      <c r="D2613" s="6" t="n"/>
      <c r="E2613" s="8" t="n"/>
      <c r="F2613" s="6" t="n"/>
    </row>
    <row r="2614">
      <c r="A2614" s="6" t="n"/>
      <c r="B2614" s="6" t="n"/>
      <c r="C2614" s="6" t="n"/>
      <c r="D2614" s="6" t="n"/>
      <c r="E2614" s="8" t="n"/>
      <c r="F2614" s="6" t="n"/>
    </row>
    <row r="2615">
      <c r="A2615" s="6" t="n"/>
      <c r="B2615" s="6" t="n"/>
      <c r="C2615" s="6" t="n"/>
      <c r="D2615" s="6" t="n"/>
      <c r="E2615" s="8" t="n"/>
      <c r="F2615" s="6" t="n"/>
    </row>
    <row r="2616">
      <c r="A2616" s="6" t="n"/>
      <c r="B2616" s="6" t="n"/>
      <c r="C2616" s="6" t="n"/>
      <c r="D2616" s="6" t="n"/>
      <c r="E2616" s="8" t="n"/>
      <c r="F2616" s="6" t="n"/>
    </row>
    <row r="2617">
      <c r="A2617" s="6" t="n"/>
      <c r="B2617" s="6" t="n"/>
      <c r="C2617" s="6" t="n"/>
      <c r="D2617" s="6" t="n"/>
      <c r="E2617" s="8" t="n"/>
      <c r="F2617" s="6" t="n"/>
    </row>
    <row r="2618">
      <c r="A2618" s="6" t="n"/>
      <c r="B2618" s="6" t="n"/>
      <c r="C2618" s="6" t="n"/>
      <c r="D2618" s="6" t="n"/>
      <c r="E2618" s="8" t="n"/>
      <c r="F2618" s="6" t="n"/>
    </row>
    <row r="2619">
      <c r="A2619" s="6" t="n"/>
      <c r="B2619" s="6" t="n"/>
      <c r="C2619" s="6" t="n"/>
      <c r="D2619" s="6" t="n"/>
      <c r="E2619" s="8" t="n"/>
      <c r="F2619" s="6" t="n"/>
    </row>
    <row r="2620">
      <c r="A2620" s="6" t="n"/>
      <c r="B2620" s="6" t="n"/>
      <c r="C2620" s="6" t="n"/>
      <c r="D2620" s="6" t="n"/>
      <c r="E2620" s="8" t="n"/>
      <c r="F2620" s="6" t="n"/>
    </row>
    <row r="2621">
      <c r="A2621" s="6" t="n"/>
      <c r="B2621" s="6" t="n"/>
      <c r="C2621" s="6" t="n"/>
      <c r="D2621" s="6" t="n"/>
      <c r="E2621" s="8" t="n"/>
      <c r="F2621" s="6" t="n"/>
    </row>
    <row r="2622">
      <c r="A2622" s="6" t="n"/>
      <c r="B2622" s="6" t="n"/>
      <c r="C2622" s="6" t="n"/>
      <c r="D2622" s="6" t="n"/>
      <c r="E2622" s="8" t="n"/>
      <c r="F2622" s="6" t="n"/>
    </row>
    <row r="2623">
      <c r="A2623" s="6" t="n"/>
      <c r="B2623" s="6" t="n"/>
      <c r="C2623" s="6" t="n"/>
      <c r="D2623" s="6" t="n"/>
      <c r="E2623" s="8" t="n"/>
      <c r="F2623" s="6" t="n"/>
    </row>
    <row r="2624">
      <c r="A2624" s="6" t="n"/>
      <c r="B2624" s="6" t="n"/>
      <c r="C2624" s="6" t="n"/>
      <c r="D2624" s="6" t="n"/>
      <c r="E2624" s="8" t="n"/>
      <c r="F2624" s="6" t="n"/>
    </row>
    <row r="2625">
      <c r="A2625" s="6" t="n"/>
      <c r="B2625" s="6" t="n"/>
      <c r="C2625" s="6" t="n"/>
      <c r="D2625" s="6" t="n"/>
      <c r="E2625" s="8" t="n"/>
      <c r="F2625" s="6" t="n"/>
    </row>
    <row r="2626">
      <c r="A2626" s="6" t="n"/>
      <c r="B2626" s="6" t="n"/>
      <c r="C2626" s="6" t="n"/>
      <c r="D2626" s="6" t="n"/>
      <c r="E2626" s="8" t="n"/>
      <c r="F2626" s="6" t="n"/>
    </row>
    <row r="2627">
      <c r="A2627" s="6" t="n"/>
      <c r="B2627" s="6" t="n"/>
      <c r="C2627" s="6" t="n"/>
      <c r="D2627" s="6" t="n"/>
      <c r="E2627" s="8" t="n"/>
      <c r="F2627" s="6" t="n"/>
    </row>
    <row r="2628">
      <c r="A2628" s="6" t="n"/>
      <c r="B2628" s="6" t="n"/>
      <c r="C2628" s="6" t="n"/>
      <c r="D2628" s="6" t="n"/>
      <c r="E2628" s="8" t="n"/>
      <c r="F2628" s="6" t="n"/>
    </row>
    <row r="2629">
      <c r="A2629" s="6" t="n"/>
      <c r="B2629" s="6" t="n"/>
      <c r="C2629" s="6" t="n"/>
      <c r="D2629" s="6" t="n"/>
      <c r="E2629" s="8" t="n"/>
      <c r="F2629" s="6" t="n"/>
    </row>
    <row r="2630">
      <c r="A2630" s="6" t="n"/>
      <c r="B2630" s="6" t="n"/>
      <c r="C2630" s="6" t="n"/>
      <c r="D2630" s="6" t="n"/>
      <c r="E2630" s="8" t="n"/>
      <c r="F2630" s="6" t="n"/>
    </row>
    <row r="2631">
      <c r="A2631" s="6" t="n"/>
      <c r="B2631" s="6" t="n"/>
      <c r="C2631" s="6" t="n"/>
      <c r="D2631" s="6" t="n"/>
      <c r="E2631" s="8" t="n"/>
      <c r="F2631" s="6" t="n"/>
    </row>
    <row r="2632">
      <c r="A2632" s="6" t="n"/>
      <c r="B2632" s="6" t="n"/>
      <c r="C2632" s="6" t="n"/>
      <c r="D2632" s="6" t="n"/>
      <c r="E2632" s="8" t="n"/>
      <c r="F2632" s="6" t="n"/>
    </row>
    <row r="2633">
      <c r="A2633" s="6" t="n"/>
      <c r="B2633" s="6" t="n"/>
      <c r="C2633" s="6" t="n"/>
      <c r="D2633" s="6" t="n"/>
      <c r="E2633" s="8" t="n"/>
      <c r="F2633" s="6" t="n"/>
    </row>
    <row r="2634">
      <c r="A2634" s="6" t="n"/>
      <c r="B2634" s="6" t="n"/>
      <c r="C2634" s="6" t="n"/>
      <c r="D2634" s="6" t="n"/>
      <c r="E2634" s="8" t="n"/>
      <c r="F2634" s="6" t="n"/>
    </row>
    <row r="2635">
      <c r="A2635" s="6" t="n"/>
      <c r="B2635" s="6" t="n"/>
      <c r="C2635" s="6" t="n"/>
      <c r="D2635" s="6" t="n"/>
      <c r="E2635" s="8" t="n"/>
      <c r="F2635" s="6" t="n"/>
    </row>
    <row r="2636">
      <c r="A2636" s="6" t="n"/>
      <c r="B2636" s="6" t="n"/>
      <c r="C2636" s="6" t="n"/>
      <c r="D2636" s="6" t="n"/>
      <c r="E2636" s="8" t="n"/>
      <c r="F2636" s="6" t="n"/>
    </row>
    <row r="2637">
      <c r="A2637" s="6" t="n"/>
      <c r="B2637" s="6" t="n"/>
      <c r="C2637" s="6" t="n"/>
      <c r="D2637" s="6" t="n"/>
      <c r="E2637" s="8" t="n"/>
      <c r="F2637" s="6" t="n"/>
    </row>
    <row r="2638">
      <c r="A2638" s="6" t="n"/>
      <c r="B2638" s="6" t="n"/>
      <c r="C2638" s="6" t="n"/>
      <c r="D2638" s="6" t="n"/>
      <c r="E2638" s="8" t="n"/>
      <c r="F2638" s="6" t="n"/>
    </row>
    <row r="2639">
      <c r="A2639" s="6" t="n"/>
      <c r="B2639" s="6" t="n"/>
      <c r="C2639" s="6" t="n"/>
      <c r="D2639" s="6" t="n"/>
      <c r="E2639" s="8" t="n"/>
      <c r="F2639" s="6" t="n"/>
    </row>
    <row r="2640">
      <c r="A2640" s="6" t="n"/>
      <c r="B2640" s="6" t="n"/>
      <c r="C2640" s="6" t="n"/>
      <c r="D2640" s="6" t="n"/>
      <c r="E2640" s="8" t="n"/>
      <c r="F2640" s="6" t="n"/>
    </row>
    <row r="2641">
      <c r="A2641" s="6" t="n"/>
      <c r="B2641" s="6" t="n"/>
      <c r="C2641" s="6" t="n"/>
      <c r="D2641" s="6" t="n"/>
      <c r="E2641" s="8" t="n"/>
      <c r="F2641" s="6" t="n"/>
    </row>
    <row r="2642">
      <c r="A2642" s="6" t="n"/>
      <c r="B2642" s="6" t="n"/>
      <c r="C2642" s="6" t="n"/>
      <c r="D2642" s="6" t="n"/>
      <c r="E2642" s="8" t="n"/>
      <c r="F2642" s="6" t="n"/>
    </row>
    <row r="2643">
      <c r="A2643" s="6" t="n"/>
      <c r="B2643" s="6" t="n"/>
      <c r="C2643" s="6" t="n"/>
      <c r="D2643" s="6" t="n"/>
      <c r="E2643" s="8" t="n"/>
      <c r="F2643" s="6" t="n"/>
    </row>
    <row r="2644">
      <c r="A2644" s="6" t="n"/>
      <c r="B2644" s="6" t="n"/>
      <c r="C2644" s="6" t="n"/>
      <c r="D2644" s="6" t="n"/>
      <c r="E2644" s="8" t="n"/>
      <c r="F2644" s="6" t="n"/>
    </row>
    <row r="2645">
      <c r="A2645" s="6" t="n"/>
      <c r="B2645" s="6" t="n"/>
      <c r="C2645" s="6" t="n"/>
      <c r="D2645" s="6" t="n"/>
      <c r="E2645" s="8" t="n"/>
      <c r="F2645" s="6" t="n"/>
    </row>
    <row r="2646">
      <c r="A2646" s="6" t="n"/>
      <c r="B2646" s="6" t="n"/>
      <c r="C2646" s="6" t="n"/>
      <c r="D2646" s="6" t="n"/>
      <c r="E2646" s="8" t="n"/>
      <c r="F2646" s="6" t="n"/>
    </row>
    <row r="2647">
      <c r="A2647" s="6" t="n"/>
      <c r="B2647" s="6" t="n"/>
      <c r="C2647" s="6" t="n"/>
      <c r="D2647" s="6" t="n"/>
      <c r="E2647" s="8" t="n"/>
      <c r="F2647" s="6" t="n"/>
    </row>
    <row r="2648">
      <c r="A2648" s="6" t="n"/>
      <c r="B2648" s="6" t="n"/>
      <c r="C2648" s="6" t="n"/>
      <c r="D2648" s="6" t="n"/>
      <c r="E2648" s="8" t="n"/>
      <c r="F2648" s="6" t="n"/>
    </row>
    <row r="2649">
      <c r="A2649" s="6" t="n"/>
      <c r="B2649" s="6" t="n"/>
      <c r="C2649" s="6" t="n"/>
      <c r="D2649" s="6" t="n"/>
      <c r="E2649" s="8" t="n"/>
      <c r="F2649" s="6" t="n"/>
    </row>
    <row r="2650">
      <c r="A2650" s="6" t="n"/>
      <c r="B2650" s="6" t="n"/>
      <c r="C2650" s="6" t="n"/>
      <c r="D2650" s="6" t="n"/>
      <c r="E2650" s="8" t="n"/>
      <c r="F2650" s="6" t="n"/>
    </row>
    <row r="2651">
      <c r="A2651" s="6" t="n"/>
      <c r="B2651" s="6" t="n"/>
      <c r="C2651" s="6" t="n"/>
      <c r="D2651" s="6" t="n"/>
      <c r="E2651" s="8" t="n"/>
      <c r="F2651" s="6" t="n"/>
    </row>
    <row r="2652">
      <c r="A2652" s="6" t="n"/>
      <c r="B2652" s="6" t="n"/>
      <c r="C2652" s="6" t="n"/>
      <c r="D2652" s="6" t="n"/>
      <c r="E2652" s="8" t="n"/>
      <c r="F2652" s="6" t="n"/>
    </row>
    <row r="2653">
      <c r="A2653" s="6" t="n"/>
      <c r="B2653" s="6" t="n"/>
      <c r="C2653" s="6" t="n"/>
      <c r="D2653" s="6" t="n"/>
      <c r="E2653" s="8" t="n"/>
      <c r="F2653" s="6" t="n"/>
    </row>
    <row r="2654">
      <c r="A2654" s="6" t="n"/>
      <c r="B2654" s="6" t="n"/>
      <c r="C2654" s="6" t="n"/>
      <c r="D2654" s="6" t="n"/>
      <c r="E2654" s="8" t="n"/>
      <c r="F2654" s="6" t="n"/>
    </row>
    <row r="2655">
      <c r="A2655" s="6" t="n"/>
      <c r="B2655" s="6" t="n"/>
      <c r="C2655" s="6" t="n"/>
      <c r="D2655" s="6" t="n"/>
      <c r="E2655" s="8" t="n"/>
      <c r="F2655" s="6" t="n"/>
    </row>
    <row r="2656">
      <c r="A2656" s="6" t="n"/>
      <c r="B2656" s="6" t="n"/>
      <c r="C2656" s="6" t="n"/>
      <c r="D2656" s="6" t="n"/>
      <c r="E2656" s="8" t="n"/>
      <c r="F2656" s="6" t="n"/>
    </row>
    <row r="2657">
      <c r="A2657" s="6" t="n"/>
      <c r="B2657" s="6" t="n"/>
      <c r="C2657" s="6" t="n"/>
      <c r="D2657" s="6" t="n"/>
      <c r="E2657" s="8" t="n"/>
      <c r="F2657" s="6" t="n"/>
    </row>
    <row r="2658">
      <c r="A2658" s="6" t="n"/>
      <c r="B2658" s="6" t="n"/>
      <c r="C2658" s="6" t="n"/>
      <c r="D2658" s="6" t="n"/>
      <c r="E2658" s="8" t="n"/>
      <c r="F2658" s="6" t="n"/>
    </row>
    <row r="2659">
      <c r="A2659" s="6" t="n"/>
      <c r="B2659" s="6" t="n"/>
      <c r="C2659" s="6" t="n"/>
      <c r="D2659" s="6" t="n"/>
      <c r="E2659" s="8" t="n"/>
      <c r="F2659" s="6" t="n"/>
    </row>
    <row r="2660">
      <c r="A2660" s="6" t="n"/>
      <c r="B2660" s="6" t="n"/>
      <c r="C2660" s="6" t="n"/>
      <c r="D2660" s="6" t="n"/>
      <c r="E2660" s="8" t="n"/>
      <c r="F2660" s="6" t="n"/>
    </row>
    <row r="2661">
      <c r="A2661" s="6" t="n"/>
      <c r="B2661" s="6" t="n"/>
      <c r="C2661" s="6" t="n"/>
      <c r="D2661" s="6" t="n"/>
      <c r="E2661" s="8" t="n"/>
      <c r="F2661" s="6" t="n"/>
    </row>
    <row r="2662">
      <c r="A2662" s="6" t="n"/>
      <c r="B2662" s="6" t="n"/>
      <c r="C2662" s="6" t="n"/>
      <c r="D2662" s="6" t="n"/>
      <c r="E2662" s="8" t="n"/>
      <c r="F2662" s="6" t="n"/>
    </row>
    <row r="2663">
      <c r="A2663" s="6" t="n"/>
      <c r="B2663" s="6" t="n"/>
      <c r="C2663" s="6" t="n"/>
      <c r="D2663" s="6" t="n"/>
      <c r="E2663" s="8" t="n"/>
      <c r="F2663" s="6" t="n"/>
    </row>
    <row r="2664">
      <c r="A2664" s="6" t="n"/>
      <c r="B2664" s="6" t="n"/>
      <c r="C2664" s="6" t="n"/>
      <c r="D2664" s="6" t="n"/>
      <c r="E2664" s="8" t="n"/>
      <c r="F2664" s="6" t="n"/>
    </row>
    <row r="2665">
      <c r="A2665" s="6" t="n"/>
      <c r="B2665" s="6" t="n"/>
      <c r="C2665" s="6" t="n"/>
      <c r="D2665" s="6" t="n"/>
      <c r="E2665" s="8" t="n"/>
      <c r="F2665" s="6" t="n"/>
    </row>
    <row r="2666">
      <c r="A2666" s="6" t="n"/>
      <c r="B2666" s="6" t="n"/>
      <c r="C2666" s="6" t="n"/>
      <c r="D2666" s="6" t="n"/>
      <c r="E2666" s="8" t="n"/>
      <c r="F2666" s="6" t="n"/>
    </row>
    <row r="2667">
      <c r="A2667" s="6" t="n"/>
      <c r="B2667" s="6" t="n"/>
      <c r="C2667" s="6" t="n"/>
      <c r="D2667" s="6" t="n"/>
      <c r="E2667" s="8" t="n"/>
      <c r="F2667" s="6" t="n"/>
    </row>
    <row r="2668">
      <c r="A2668" s="6" t="n"/>
      <c r="B2668" s="6" t="n"/>
      <c r="C2668" s="6" t="n"/>
      <c r="D2668" s="6" t="n"/>
      <c r="E2668" s="8" t="n"/>
      <c r="F2668" s="6" t="n"/>
    </row>
    <row r="2669">
      <c r="A2669" s="6" t="n"/>
      <c r="B2669" s="6" t="n"/>
      <c r="C2669" s="6" t="n"/>
      <c r="D2669" s="6" t="n"/>
      <c r="E2669" s="8" t="n"/>
      <c r="F2669" s="6" t="n"/>
    </row>
    <row r="2670">
      <c r="A2670" s="6" t="n"/>
      <c r="B2670" s="6" t="n"/>
      <c r="C2670" s="6" t="n"/>
      <c r="D2670" s="6" t="n"/>
      <c r="E2670" s="8" t="n"/>
      <c r="F2670" s="6" t="n"/>
    </row>
    <row r="2671">
      <c r="A2671" s="6" t="n"/>
      <c r="B2671" s="6" t="n"/>
      <c r="C2671" s="6" t="n"/>
      <c r="D2671" s="6" t="n"/>
      <c r="E2671" s="8" t="n"/>
      <c r="F2671" s="6" t="n"/>
    </row>
    <row r="2672">
      <c r="A2672" s="6" t="n"/>
      <c r="B2672" s="6" t="n"/>
      <c r="C2672" s="6" t="n"/>
      <c r="D2672" s="6" t="n"/>
      <c r="E2672" s="8" t="n"/>
      <c r="F2672" s="6" t="n"/>
    </row>
    <row r="2673">
      <c r="A2673" s="6" t="n"/>
      <c r="B2673" s="6" t="n"/>
      <c r="C2673" s="6" t="n"/>
      <c r="D2673" s="6" t="n"/>
      <c r="E2673" s="8" t="n"/>
      <c r="F2673" s="6" t="n"/>
    </row>
    <row r="2674">
      <c r="A2674" s="6" t="n"/>
      <c r="B2674" s="6" t="n"/>
      <c r="C2674" s="6" t="n"/>
      <c r="D2674" s="6" t="n"/>
      <c r="E2674" s="8" t="n"/>
      <c r="F2674" s="6" t="n"/>
    </row>
    <row r="2675">
      <c r="A2675" s="6" t="n"/>
      <c r="B2675" s="6" t="n"/>
      <c r="C2675" s="6" t="n"/>
      <c r="D2675" s="6" t="n"/>
      <c r="E2675" s="8" t="n"/>
      <c r="F2675" s="6" t="n"/>
    </row>
    <row r="2676">
      <c r="A2676" s="6" t="n"/>
      <c r="B2676" s="6" t="n"/>
      <c r="C2676" s="6" t="n"/>
      <c r="D2676" s="6" t="n"/>
      <c r="E2676" s="8" t="n"/>
      <c r="F2676" s="6" t="n"/>
    </row>
    <row r="2677">
      <c r="A2677" s="6" t="n"/>
      <c r="B2677" s="6" t="n"/>
      <c r="C2677" s="6" t="n"/>
      <c r="D2677" s="6" t="n"/>
      <c r="E2677" s="8" t="n"/>
      <c r="F2677" s="6" t="n"/>
    </row>
    <row r="2678">
      <c r="A2678" s="6" t="n"/>
      <c r="B2678" s="6" t="n"/>
      <c r="C2678" s="6" t="n"/>
      <c r="D2678" s="6" t="n"/>
      <c r="E2678" s="8" t="n"/>
      <c r="F2678" s="6" t="n"/>
    </row>
    <row r="2679">
      <c r="A2679" s="6" t="n"/>
      <c r="B2679" s="6" t="n"/>
      <c r="C2679" s="6" t="n"/>
      <c r="D2679" s="6" t="n"/>
      <c r="E2679" s="8" t="n"/>
      <c r="F2679" s="6" t="n"/>
    </row>
    <row r="2680">
      <c r="A2680" s="6" t="n"/>
      <c r="B2680" s="6" t="n"/>
      <c r="C2680" s="6" t="n"/>
      <c r="D2680" s="6" t="n"/>
      <c r="E2680" s="8" t="n"/>
      <c r="F2680" s="6" t="n"/>
    </row>
    <row r="2681">
      <c r="A2681" s="6" t="n"/>
      <c r="B2681" s="6" t="n"/>
      <c r="C2681" s="6" t="n"/>
      <c r="D2681" s="6" t="n"/>
      <c r="E2681" s="8" t="n"/>
      <c r="F2681" s="6" t="n"/>
    </row>
    <row r="2682">
      <c r="A2682" s="6" t="n"/>
      <c r="B2682" s="6" t="n"/>
      <c r="C2682" s="6" t="n"/>
      <c r="D2682" s="6" t="n"/>
      <c r="E2682" s="8" t="n"/>
      <c r="F2682" s="6" t="n"/>
    </row>
    <row r="2683">
      <c r="A2683" s="6" t="n"/>
      <c r="B2683" s="6" t="n"/>
      <c r="C2683" s="6" t="n"/>
      <c r="D2683" s="6" t="n"/>
      <c r="E2683" s="8" t="n"/>
      <c r="F2683" s="6" t="n"/>
    </row>
    <row r="2684">
      <c r="A2684" s="6" t="n"/>
      <c r="B2684" s="6" t="n"/>
      <c r="C2684" s="6" t="n"/>
      <c r="D2684" s="6" t="n"/>
      <c r="E2684" s="8" t="n"/>
      <c r="F2684" s="6" t="n"/>
    </row>
    <row r="2685">
      <c r="A2685" s="6" t="n"/>
      <c r="B2685" s="6" t="n"/>
      <c r="C2685" s="6" t="n"/>
      <c r="D2685" s="6" t="n"/>
      <c r="E2685" s="8" t="n"/>
      <c r="F2685" s="6" t="n"/>
    </row>
    <row r="2686">
      <c r="A2686" s="6" t="n"/>
      <c r="B2686" s="6" t="n"/>
      <c r="C2686" s="6" t="n"/>
      <c r="D2686" s="6" t="n"/>
      <c r="E2686" s="8" t="n"/>
      <c r="F2686" s="6" t="n"/>
    </row>
    <row r="2687">
      <c r="A2687" s="6" t="n"/>
      <c r="B2687" s="6" t="n"/>
      <c r="C2687" s="6" t="n"/>
      <c r="D2687" s="6" t="n"/>
      <c r="E2687" s="8" t="n"/>
      <c r="F2687" s="6" t="n"/>
    </row>
    <row r="2688">
      <c r="A2688" s="6" t="n"/>
      <c r="B2688" s="6" t="n"/>
      <c r="C2688" s="6" t="n"/>
      <c r="D2688" s="6" t="n"/>
      <c r="E2688" s="8" t="n"/>
      <c r="F2688" s="6" t="n"/>
    </row>
    <row r="2689">
      <c r="A2689" s="6" t="n"/>
      <c r="B2689" s="6" t="n"/>
      <c r="C2689" s="6" t="n"/>
      <c r="D2689" s="6" t="n"/>
      <c r="E2689" s="8" t="n"/>
      <c r="F2689" s="6" t="n"/>
    </row>
    <row r="2690">
      <c r="A2690" s="6" t="n"/>
      <c r="B2690" s="6" t="n"/>
      <c r="C2690" s="6" t="n"/>
      <c r="D2690" s="6" t="n"/>
      <c r="E2690" s="8" t="n"/>
      <c r="F2690" s="6" t="n"/>
    </row>
    <row r="2691">
      <c r="A2691" s="6" t="n"/>
      <c r="B2691" s="6" t="n"/>
      <c r="C2691" s="6" t="n"/>
      <c r="D2691" s="6" t="n"/>
      <c r="E2691" s="8" t="n"/>
      <c r="F2691" s="6" t="n"/>
    </row>
    <row r="2692">
      <c r="A2692" s="6" t="n"/>
      <c r="B2692" s="6" t="n"/>
      <c r="C2692" s="6" t="n"/>
      <c r="D2692" s="6" t="n"/>
      <c r="E2692" s="8" t="n"/>
      <c r="F2692" s="6" t="n"/>
    </row>
    <row r="2693">
      <c r="A2693" s="6" t="n"/>
      <c r="B2693" s="6" t="n"/>
      <c r="C2693" s="6" t="n"/>
      <c r="D2693" s="6" t="n"/>
      <c r="E2693" s="8" t="n"/>
      <c r="F2693" s="6" t="n"/>
    </row>
    <row r="2694">
      <c r="A2694" s="6" t="n"/>
      <c r="B2694" s="6" t="n"/>
      <c r="C2694" s="6" t="n"/>
      <c r="D2694" s="6" t="n"/>
      <c r="E2694" s="8" t="n"/>
      <c r="F2694" s="6" t="n"/>
    </row>
    <row r="2695">
      <c r="A2695" s="6" t="n"/>
      <c r="B2695" s="6" t="n"/>
      <c r="C2695" s="6" t="n"/>
      <c r="D2695" s="6" t="n"/>
      <c r="E2695" s="8" t="n"/>
      <c r="F2695" s="6" t="n"/>
    </row>
    <row r="2696">
      <c r="A2696" s="6" t="n"/>
      <c r="B2696" s="6" t="n"/>
      <c r="C2696" s="6" t="n"/>
      <c r="D2696" s="6" t="n"/>
      <c r="E2696" s="8" t="n"/>
      <c r="F2696" s="6" t="n"/>
    </row>
    <row r="2697">
      <c r="A2697" s="6" t="n"/>
      <c r="B2697" s="6" t="n"/>
      <c r="C2697" s="6" t="n"/>
      <c r="D2697" s="6" t="n"/>
      <c r="E2697" s="8" t="n"/>
      <c r="F2697" s="6" t="n"/>
    </row>
    <row r="2698">
      <c r="A2698" s="6" t="n"/>
      <c r="B2698" s="6" t="n"/>
      <c r="C2698" s="6" t="n"/>
      <c r="D2698" s="6" t="n"/>
      <c r="E2698" s="8" t="n"/>
      <c r="F2698" s="6" t="n"/>
    </row>
    <row r="2699">
      <c r="A2699" s="6" t="n"/>
      <c r="B2699" s="6" t="n"/>
      <c r="C2699" s="6" t="n"/>
      <c r="D2699" s="6" t="n"/>
      <c r="E2699" s="8" t="n"/>
      <c r="F2699" s="6" t="n"/>
    </row>
    <row r="2700">
      <c r="A2700" s="6" t="n"/>
      <c r="B2700" s="6" t="n"/>
      <c r="C2700" s="6" t="n"/>
      <c r="D2700" s="6" t="n"/>
      <c r="E2700" s="8" t="n"/>
      <c r="F2700" s="6" t="n"/>
    </row>
    <row r="2701">
      <c r="A2701" s="6" t="n"/>
      <c r="B2701" s="6" t="n"/>
      <c r="C2701" s="6" t="n"/>
      <c r="D2701" s="6" t="n"/>
      <c r="E2701" s="8" t="n"/>
      <c r="F2701" s="6" t="n"/>
    </row>
    <row r="2702">
      <c r="A2702" s="6" t="n"/>
      <c r="B2702" s="6" t="n"/>
      <c r="C2702" s="6" t="n"/>
      <c r="D2702" s="6" t="n"/>
      <c r="E2702" s="8" t="n"/>
      <c r="F2702" s="6" t="n"/>
    </row>
    <row r="2703">
      <c r="A2703" s="6" t="n"/>
      <c r="B2703" s="6" t="n"/>
      <c r="C2703" s="6" t="n"/>
      <c r="D2703" s="6" t="n"/>
      <c r="E2703" s="8" t="n"/>
      <c r="F2703" s="6" t="n"/>
    </row>
    <row r="2704">
      <c r="A2704" s="6" t="n"/>
      <c r="B2704" s="6" t="n"/>
      <c r="C2704" s="6" t="n"/>
      <c r="D2704" s="6" t="n"/>
      <c r="E2704" s="8" t="n"/>
      <c r="F2704" s="6" t="n"/>
    </row>
    <row r="2705">
      <c r="A2705" s="6" t="n"/>
      <c r="B2705" s="6" t="n"/>
      <c r="C2705" s="6" t="n"/>
      <c r="D2705" s="6" t="n"/>
      <c r="E2705" s="8" t="n"/>
      <c r="F2705" s="6" t="n"/>
    </row>
    <row r="2706">
      <c r="A2706" s="6" t="n"/>
      <c r="B2706" s="6" t="n"/>
      <c r="C2706" s="6" t="n"/>
      <c r="D2706" s="6" t="n"/>
      <c r="E2706" s="8" t="n"/>
      <c r="F2706" s="6" t="n"/>
    </row>
    <row r="2707">
      <c r="A2707" s="6" t="n"/>
      <c r="B2707" s="6" t="n"/>
      <c r="C2707" s="6" t="n"/>
      <c r="D2707" s="6" t="n"/>
      <c r="E2707" s="8" t="n"/>
      <c r="F2707" s="6" t="n"/>
    </row>
    <row r="2708">
      <c r="A2708" s="6" t="n"/>
      <c r="B2708" s="6" t="n"/>
      <c r="C2708" s="6" t="n"/>
      <c r="D2708" s="6" t="n"/>
      <c r="E2708" s="8" t="n"/>
      <c r="F2708" s="6" t="n"/>
    </row>
    <row r="2709">
      <c r="A2709" s="6" t="n"/>
      <c r="B2709" s="6" t="n"/>
      <c r="C2709" s="6" t="n"/>
      <c r="D2709" s="6" t="n"/>
      <c r="E2709" s="8" t="n"/>
      <c r="F2709" s="6" t="n"/>
    </row>
    <row r="2710">
      <c r="A2710" s="6" t="n"/>
      <c r="B2710" s="6" t="n"/>
      <c r="C2710" s="6" t="n"/>
      <c r="D2710" s="6" t="n"/>
      <c r="E2710" s="8" t="n"/>
      <c r="F2710" s="6" t="n"/>
    </row>
    <row r="2711">
      <c r="A2711" s="6" t="n"/>
      <c r="B2711" s="6" t="n"/>
      <c r="C2711" s="6" t="n"/>
      <c r="D2711" s="6" t="n"/>
      <c r="E2711" s="8" t="n"/>
      <c r="F2711" s="6" t="n"/>
    </row>
    <row r="2712">
      <c r="A2712" s="6" t="n"/>
      <c r="B2712" s="6" t="n"/>
      <c r="C2712" s="6" t="n"/>
      <c r="D2712" s="6" t="n"/>
      <c r="E2712" s="8" t="n"/>
      <c r="F2712" s="6" t="n"/>
    </row>
    <row r="2713">
      <c r="A2713" s="6" t="n"/>
      <c r="B2713" s="6" t="n"/>
      <c r="C2713" s="6" t="n"/>
      <c r="D2713" s="6" t="n"/>
      <c r="E2713" s="8" t="n"/>
      <c r="F2713" s="6" t="n"/>
    </row>
    <row r="2714">
      <c r="A2714" s="6" t="n"/>
      <c r="B2714" s="6" t="n"/>
      <c r="C2714" s="6" t="n"/>
      <c r="D2714" s="6" t="n"/>
      <c r="E2714" s="8" t="n"/>
      <c r="F2714" s="6" t="n"/>
    </row>
    <row r="2715">
      <c r="A2715" s="6" t="n"/>
      <c r="B2715" s="6" t="n"/>
      <c r="C2715" s="6" t="n"/>
      <c r="D2715" s="6" t="n"/>
      <c r="E2715" s="8" t="n"/>
      <c r="F2715" s="6" t="n"/>
    </row>
    <row r="2716">
      <c r="A2716" s="6" t="n"/>
      <c r="B2716" s="6" t="n"/>
      <c r="C2716" s="6" t="n"/>
      <c r="D2716" s="6" t="n"/>
      <c r="E2716" s="8" t="n"/>
      <c r="F2716" s="6" t="n"/>
    </row>
    <row r="2717">
      <c r="A2717" s="6" t="n"/>
      <c r="B2717" s="6" t="n"/>
      <c r="C2717" s="6" t="n"/>
      <c r="D2717" s="6" t="n"/>
      <c r="E2717" s="8" t="n"/>
      <c r="F2717" s="6" t="n"/>
    </row>
    <row r="2718">
      <c r="A2718" s="6" t="n"/>
      <c r="B2718" s="6" t="n"/>
      <c r="C2718" s="6" t="n"/>
      <c r="D2718" s="6" t="n"/>
      <c r="E2718" s="8" t="n"/>
      <c r="F2718" s="6" t="n"/>
    </row>
    <row r="2719">
      <c r="A2719" s="6" t="n"/>
      <c r="B2719" s="6" t="n"/>
      <c r="C2719" s="6" t="n"/>
      <c r="D2719" s="6" t="n"/>
      <c r="E2719" s="8" t="n"/>
      <c r="F2719" s="6" t="n"/>
    </row>
    <row r="2720">
      <c r="A2720" s="6" t="n"/>
      <c r="B2720" s="6" t="n"/>
      <c r="C2720" s="6" t="n"/>
      <c r="D2720" s="6" t="n"/>
      <c r="E2720" s="8" t="n"/>
      <c r="F2720" s="6" t="n"/>
    </row>
    <row r="2721">
      <c r="A2721" s="6" t="n"/>
      <c r="B2721" s="6" t="n"/>
      <c r="C2721" s="6" t="n"/>
      <c r="D2721" s="6" t="n"/>
      <c r="E2721" s="8" t="n"/>
      <c r="F2721" s="6" t="n"/>
    </row>
    <row r="2722">
      <c r="A2722" s="6" t="n"/>
      <c r="B2722" s="6" t="n"/>
      <c r="C2722" s="6" t="n"/>
      <c r="D2722" s="6" t="n"/>
      <c r="E2722" s="8" t="n"/>
      <c r="F2722" s="6" t="n"/>
    </row>
    <row r="2723">
      <c r="A2723" s="6" t="n"/>
      <c r="B2723" s="6" t="n"/>
      <c r="C2723" s="6" t="n"/>
      <c r="D2723" s="6" t="n"/>
      <c r="E2723" s="8" t="n"/>
      <c r="F2723" s="6" t="n"/>
    </row>
    <row r="2724">
      <c r="A2724" s="6" t="n"/>
      <c r="B2724" s="6" t="n"/>
      <c r="C2724" s="6" t="n"/>
      <c r="D2724" s="6" t="n"/>
      <c r="E2724" s="8" t="n"/>
      <c r="F2724" s="6" t="n"/>
    </row>
    <row r="2725">
      <c r="A2725" s="6" t="n"/>
      <c r="B2725" s="6" t="n"/>
      <c r="C2725" s="6" t="n"/>
      <c r="D2725" s="6" t="n"/>
      <c r="E2725" s="8" t="n"/>
      <c r="F2725" s="6" t="n"/>
    </row>
    <row r="2726">
      <c r="A2726" s="6" t="n"/>
      <c r="B2726" s="6" t="n"/>
      <c r="C2726" s="6" t="n"/>
      <c r="D2726" s="6" t="n"/>
      <c r="E2726" s="8" t="n"/>
      <c r="F2726" s="6" t="n"/>
    </row>
    <row r="2727">
      <c r="A2727" s="6" t="n"/>
      <c r="B2727" s="6" t="n"/>
      <c r="C2727" s="6" t="n"/>
      <c r="D2727" s="6" t="n"/>
      <c r="E2727" s="8" t="n"/>
      <c r="F2727" s="6" t="n"/>
    </row>
    <row r="2728">
      <c r="A2728" s="6" t="n"/>
      <c r="B2728" s="6" t="n"/>
      <c r="C2728" s="6" t="n"/>
      <c r="D2728" s="6" t="n"/>
      <c r="E2728" s="8" t="n"/>
      <c r="F2728" s="6" t="n"/>
    </row>
    <row r="2729">
      <c r="A2729" s="6" t="n"/>
      <c r="B2729" s="6" t="n"/>
      <c r="C2729" s="6" t="n"/>
      <c r="D2729" s="6" t="n"/>
      <c r="E2729" s="8" t="n"/>
      <c r="F2729" s="6" t="n"/>
    </row>
    <row r="2730">
      <c r="A2730" s="6" t="n"/>
      <c r="B2730" s="6" t="n"/>
      <c r="C2730" s="6" t="n"/>
      <c r="D2730" s="6" t="n"/>
      <c r="E2730" s="8" t="n"/>
      <c r="F2730" s="6" t="n"/>
    </row>
    <row r="2731">
      <c r="A2731" s="6" t="n"/>
      <c r="B2731" s="6" t="n"/>
      <c r="C2731" s="6" t="n"/>
      <c r="D2731" s="6" t="n"/>
      <c r="E2731" s="8" t="n"/>
      <c r="F2731" s="6" t="n"/>
    </row>
    <row r="2732">
      <c r="A2732" s="6" t="n"/>
      <c r="B2732" s="6" t="n"/>
      <c r="C2732" s="6" t="n"/>
      <c r="D2732" s="6" t="n"/>
      <c r="E2732" s="8" t="n"/>
      <c r="F2732" s="6" t="n"/>
    </row>
    <row r="2733">
      <c r="A2733" s="6" t="n"/>
      <c r="B2733" s="6" t="n"/>
      <c r="C2733" s="6" t="n"/>
      <c r="D2733" s="6" t="n"/>
      <c r="E2733" s="8" t="n"/>
      <c r="F2733" s="6" t="n"/>
    </row>
    <row r="2734">
      <c r="A2734" s="6" t="n"/>
      <c r="B2734" s="6" t="n"/>
      <c r="C2734" s="6" t="n"/>
      <c r="D2734" s="6" t="n"/>
      <c r="E2734" s="8" t="n"/>
      <c r="F2734" s="6" t="n"/>
    </row>
    <row r="2735">
      <c r="A2735" s="6" t="n"/>
      <c r="B2735" s="6" t="n"/>
      <c r="C2735" s="6" t="n"/>
      <c r="D2735" s="6" t="n"/>
      <c r="E2735" s="8" t="n"/>
      <c r="F2735" s="6" t="n"/>
    </row>
    <row r="2736">
      <c r="A2736" s="6" t="n"/>
      <c r="B2736" s="6" t="n"/>
      <c r="C2736" s="6" t="n"/>
      <c r="D2736" s="6" t="n"/>
      <c r="E2736" s="8" t="n"/>
      <c r="F2736" s="6" t="n"/>
    </row>
    <row r="2737">
      <c r="A2737" s="6" t="n"/>
      <c r="B2737" s="6" t="n"/>
      <c r="C2737" s="6" t="n"/>
      <c r="D2737" s="6" t="n"/>
      <c r="E2737" s="8" t="n"/>
      <c r="F2737" s="6" t="n"/>
    </row>
    <row r="2738">
      <c r="A2738" s="6" t="n"/>
      <c r="B2738" s="6" t="n"/>
      <c r="C2738" s="6" t="n"/>
      <c r="D2738" s="6" t="n"/>
      <c r="E2738" s="8" t="n"/>
      <c r="F2738" s="6" t="n"/>
    </row>
    <row r="2739">
      <c r="A2739" s="6" t="n"/>
      <c r="B2739" s="6" t="n"/>
      <c r="C2739" s="6" t="n"/>
      <c r="D2739" s="6" t="n"/>
      <c r="E2739" s="8" t="n"/>
      <c r="F2739" s="6" t="n"/>
    </row>
    <row r="2740">
      <c r="A2740" s="6" t="n"/>
      <c r="B2740" s="6" t="n"/>
      <c r="C2740" s="6" t="n"/>
      <c r="D2740" s="6" t="n"/>
      <c r="E2740" s="8" t="n"/>
      <c r="F2740" s="6" t="n"/>
    </row>
    <row r="2741">
      <c r="A2741" s="6" t="n"/>
      <c r="B2741" s="6" t="n"/>
      <c r="C2741" s="6" t="n"/>
      <c r="D2741" s="6" t="n"/>
      <c r="E2741" s="8" t="n"/>
      <c r="F2741" s="6" t="n"/>
    </row>
    <row r="2742">
      <c r="A2742" s="6" t="n"/>
      <c r="B2742" s="6" t="n"/>
      <c r="C2742" s="6" t="n"/>
      <c r="D2742" s="6" t="n"/>
      <c r="E2742" s="8" t="n"/>
      <c r="F2742" s="6" t="n"/>
    </row>
    <row r="2743">
      <c r="A2743" s="6" t="n"/>
      <c r="B2743" s="6" t="n"/>
      <c r="C2743" s="6" t="n"/>
      <c r="D2743" s="6" t="n"/>
      <c r="E2743" s="8" t="n"/>
      <c r="F2743" s="6" t="n"/>
    </row>
    <row r="2744">
      <c r="A2744" s="6" t="n"/>
      <c r="B2744" s="6" t="n"/>
      <c r="C2744" s="6" t="n"/>
      <c r="D2744" s="6" t="n"/>
      <c r="E2744" s="8" t="n"/>
      <c r="F2744" s="6" t="n"/>
    </row>
    <row r="2745">
      <c r="A2745" s="6" t="n"/>
      <c r="B2745" s="6" t="n"/>
      <c r="C2745" s="6" t="n"/>
      <c r="D2745" s="6" t="n"/>
      <c r="E2745" s="8" t="n"/>
      <c r="F2745" s="6" t="n"/>
    </row>
    <row r="2746">
      <c r="A2746" s="6" t="n"/>
      <c r="B2746" s="6" t="n"/>
      <c r="C2746" s="6" t="n"/>
      <c r="D2746" s="6" t="n"/>
      <c r="E2746" s="8" t="n"/>
      <c r="F2746" s="6" t="n"/>
    </row>
    <row r="2747">
      <c r="A2747" s="6" t="n"/>
      <c r="B2747" s="6" t="n"/>
      <c r="C2747" s="6" t="n"/>
      <c r="D2747" s="6" t="n"/>
      <c r="E2747" s="8" t="n"/>
      <c r="F2747" s="6" t="n"/>
    </row>
    <row r="2748">
      <c r="A2748" s="6" t="n"/>
      <c r="B2748" s="6" t="n"/>
      <c r="C2748" s="6" t="n"/>
      <c r="D2748" s="6" t="n"/>
      <c r="E2748" s="8" t="n"/>
      <c r="F2748" s="6" t="n"/>
    </row>
    <row r="2749">
      <c r="A2749" s="6" t="n"/>
      <c r="B2749" s="6" t="n"/>
      <c r="C2749" s="6" t="n"/>
      <c r="D2749" s="6" t="n"/>
      <c r="E2749" s="8" t="n"/>
      <c r="F2749" s="6" t="n"/>
    </row>
    <row r="2750">
      <c r="A2750" s="6" t="n"/>
      <c r="B2750" s="6" t="n"/>
      <c r="C2750" s="6" t="n"/>
      <c r="D2750" s="6" t="n"/>
      <c r="E2750" s="8" t="n"/>
      <c r="F2750" s="6" t="n"/>
    </row>
    <row r="2751">
      <c r="A2751" s="6" t="n"/>
      <c r="B2751" s="6" t="n"/>
      <c r="C2751" s="6" t="n"/>
      <c r="D2751" s="6" t="n"/>
      <c r="E2751" s="8" t="n"/>
      <c r="F2751" s="6" t="n"/>
    </row>
    <row r="2752">
      <c r="A2752" s="6" t="n"/>
      <c r="B2752" s="6" t="n"/>
      <c r="C2752" s="6" t="n"/>
      <c r="D2752" s="6" t="n"/>
      <c r="E2752" s="8" t="n"/>
      <c r="F2752" s="6" t="n"/>
    </row>
    <row r="2753">
      <c r="A2753" s="6" t="n"/>
      <c r="B2753" s="6" t="n"/>
      <c r="C2753" s="6" t="n"/>
      <c r="D2753" s="6" t="n"/>
      <c r="E2753" s="8" t="n"/>
      <c r="F2753" s="6" t="n"/>
    </row>
    <row r="2754">
      <c r="A2754" s="6" t="n"/>
      <c r="B2754" s="6" t="n"/>
      <c r="C2754" s="6" t="n"/>
      <c r="D2754" s="6" t="n"/>
      <c r="E2754" s="8" t="n"/>
      <c r="F2754" s="6" t="n"/>
    </row>
    <row r="2755">
      <c r="A2755" s="6" t="n"/>
      <c r="B2755" s="6" t="n"/>
      <c r="C2755" s="6" t="n"/>
      <c r="D2755" s="6" t="n"/>
      <c r="E2755" s="8" t="n"/>
      <c r="F2755" s="6" t="n"/>
    </row>
    <row r="2756">
      <c r="A2756" s="6" t="n"/>
      <c r="B2756" s="6" t="n"/>
      <c r="C2756" s="6" t="n"/>
      <c r="D2756" s="6" t="n"/>
      <c r="E2756" s="8" t="n"/>
      <c r="F2756" s="6" t="n"/>
    </row>
    <row r="2757">
      <c r="A2757" s="6" t="n"/>
      <c r="B2757" s="6" t="n"/>
      <c r="C2757" s="6" t="n"/>
      <c r="D2757" s="6" t="n"/>
      <c r="E2757" s="8" t="n"/>
      <c r="F2757" s="6" t="n"/>
    </row>
    <row r="2758">
      <c r="A2758" s="6" t="n"/>
      <c r="B2758" s="6" t="n"/>
      <c r="C2758" s="6" t="n"/>
      <c r="D2758" s="6" t="n"/>
      <c r="E2758" s="8" t="n"/>
      <c r="F2758" s="6" t="n"/>
    </row>
    <row r="2759">
      <c r="A2759" s="6" t="n"/>
      <c r="B2759" s="6" t="n"/>
      <c r="C2759" s="6" t="n"/>
      <c r="D2759" s="6" t="n"/>
      <c r="E2759" s="8" t="n"/>
      <c r="F2759" s="6" t="n"/>
    </row>
    <row r="2760">
      <c r="A2760" s="6" t="n"/>
      <c r="B2760" s="6" t="n"/>
      <c r="C2760" s="6" t="n"/>
      <c r="D2760" s="6" t="n"/>
      <c r="E2760" s="8" t="n"/>
      <c r="F2760" s="6" t="n"/>
    </row>
    <row r="2761">
      <c r="A2761" s="6" t="n"/>
      <c r="B2761" s="6" t="n"/>
      <c r="C2761" s="6" t="n"/>
      <c r="D2761" s="6" t="n"/>
      <c r="E2761" s="8" t="n"/>
      <c r="F2761" s="6" t="n"/>
    </row>
    <row r="2762">
      <c r="A2762" s="6" t="n"/>
      <c r="B2762" s="6" t="n"/>
      <c r="C2762" s="6" t="n"/>
      <c r="D2762" s="6" t="n"/>
      <c r="E2762" s="8" t="n"/>
      <c r="F2762" s="6" t="n"/>
    </row>
    <row r="2763">
      <c r="A2763" s="6" t="n"/>
      <c r="B2763" s="6" t="n"/>
      <c r="C2763" s="6" t="n"/>
      <c r="D2763" s="6" t="n"/>
      <c r="E2763" s="8" t="n"/>
      <c r="F2763" s="6" t="n"/>
    </row>
    <row r="2764">
      <c r="A2764" s="6" t="n"/>
      <c r="B2764" s="6" t="n"/>
      <c r="C2764" s="6" t="n"/>
      <c r="D2764" s="6" t="n"/>
      <c r="E2764" s="8" t="n"/>
      <c r="F2764" s="6" t="n"/>
    </row>
    <row r="2765">
      <c r="A2765" s="6" t="n"/>
      <c r="B2765" s="6" t="n"/>
      <c r="C2765" s="6" t="n"/>
      <c r="D2765" s="6" t="n"/>
      <c r="E2765" s="8" t="n"/>
      <c r="F2765" s="6" t="n"/>
    </row>
    <row r="2766">
      <c r="A2766" s="6" t="n"/>
      <c r="B2766" s="6" t="n"/>
      <c r="C2766" s="6" t="n"/>
      <c r="D2766" s="6" t="n"/>
      <c r="E2766" s="8" t="n"/>
      <c r="F2766" s="6" t="n"/>
    </row>
    <row r="2767">
      <c r="A2767" s="6" t="n"/>
      <c r="B2767" s="6" t="n"/>
      <c r="C2767" s="6" t="n"/>
      <c r="D2767" s="6" t="n"/>
      <c r="E2767" s="8" t="n"/>
      <c r="F2767" s="6" t="n"/>
    </row>
    <row r="2768">
      <c r="A2768" s="6" t="n"/>
      <c r="B2768" s="6" t="n"/>
      <c r="C2768" s="6" t="n"/>
      <c r="D2768" s="6" t="n"/>
      <c r="E2768" s="8" t="n"/>
      <c r="F2768" s="6" t="n"/>
    </row>
    <row r="2769">
      <c r="A2769" s="6" t="n"/>
      <c r="B2769" s="6" t="n"/>
      <c r="C2769" s="6" t="n"/>
      <c r="D2769" s="6" t="n"/>
      <c r="E2769" s="8" t="n"/>
      <c r="F2769" s="6" t="n"/>
    </row>
    <row r="2770">
      <c r="A2770" s="6" t="n"/>
      <c r="B2770" s="6" t="n"/>
      <c r="C2770" s="6" t="n"/>
      <c r="D2770" s="6" t="n"/>
      <c r="E2770" s="8" t="n"/>
      <c r="F2770" s="6" t="n"/>
    </row>
    <row r="2771">
      <c r="A2771" s="6" t="n"/>
      <c r="B2771" s="6" t="n"/>
      <c r="C2771" s="6" t="n"/>
      <c r="D2771" s="6" t="n"/>
      <c r="E2771" s="8" t="n"/>
      <c r="F2771" s="6" t="n"/>
    </row>
    <row r="2772">
      <c r="A2772" s="6" t="n"/>
      <c r="B2772" s="6" t="n"/>
      <c r="C2772" s="6" t="n"/>
      <c r="D2772" s="6" t="n"/>
      <c r="E2772" s="8" t="n"/>
      <c r="F2772" s="6" t="n"/>
    </row>
    <row r="2773">
      <c r="A2773" s="6" t="n"/>
      <c r="B2773" s="6" t="n"/>
      <c r="C2773" s="6" t="n"/>
      <c r="D2773" s="6" t="n"/>
      <c r="E2773" s="8" t="n"/>
      <c r="F2773" s="6" t="n"/>
    </row>
    <row r="2774">
      <c r="A2774" s="6" t="n"/>
      <c r="B2774" s="6" t="n"/>
      <c r="C2774" s="6" t="n"/>
      <c r="D2774" s="6" t="n"/>
      <c r="E2774" s="8" t="n"/>
      <c r="F2774" s="6" t="n"/>
    </row>
    <row r="2775">
      <c r="A2775" s="6" t="n"/>
      <c r="B2775" s="6" t="n"/>
      <c r="C2775" s="6" t="n"/>
      <c r="D2775" s="6" t="n"/>
      <c r="E2775" s="8" t="n"/>
      <c r="F2775" s="6" t="n"/>
    </row>
    <row r="2776">
      <c r="A2776" s="6" t="n"/>
      <c r="B2776" s="6" t="n"/>
      <c r="C2776" s="6" t="n"/>
      <c r="D2776" s="6" t="n"/>
      <c r="E2776" s="8" t="n"/>
      <c r="F2776" s="6" t="n"/>
    </row>
    <row r="2777">
      <c r="A2777" s="6" t="n"/>
      <c r="B2777" s="6" t="n"/>
      <c r="C2777" s="6" t="n"/>
      <c r="D2777" s="6" t="n"/>
      <c r="E2777" s="8" t="n"/>
      <c r="F2777" s="6" t="n"/>
    </row>
    <row r="2778">
      <c r="A2778" s="6" t="n"/>
      <c r="B2778" s="6" t="n"/>
      <c r="C2778" s="6" t="n"/>
      <c r="D2778" s="6" t="n"/>
      <c r="E2778" s="8" t="n"/>
      <c r="F2778" s="6" t="n"/>
    </row>
    <row r="2779">
      <c r="A2779" s="6" t="n"/>
      <c r="B2779" s="6" t="n"/>
      <c r="C2779" s="6" t="n"/>
      <c r="D2779" s="6" t="n"/>
      <c r="E2779" s="8" t="n"/>
      <c r="F2779" s="6" t="n"/>
    </row>
    <row r="2780">
      <c r="A2780" s="6" t="n"/>
      <c r="B2780" s="6" t="n"/>
      <c r="C2780" s="6" t="n"/>
      <c r="D2780" s="6" t="n"/>
      <c r="E2780" s="8" t="n"/>
      <c r="F2780" s="6" t="n"/>
    </row>
    <row r="2781">
      <c r="A2781" s="6" t="n"/>
      <c r="B2781" s="6" t="n"/>
      <c r="C2781" s="6" t="n"/>
      <c r="D2781" s="6" t="n"/>
      <c r="E2781" s="8" t="n"/>
      <c r="F2781" s="6" t="n"/>
    </row>
    <row r="2782">
      <c r="A2782" s="6" t="n"/>
      <c r="B2782" s="6" t="n"/>
      <c r="C2782" s="6" t="n"/>
      <c r="D2782" s="6" t="n"/>
      <c r="E2782" s="8" t="n"/>
      <c r="F2782" s="6" t="n"/>
    </row>
    <row r="2783">
      <c r="A2783" s="6" t="n"/>
      <c r="B2783" s="6" t="n"/>
      <c r="C2783" s="6" t="n"/>
      <c r="D2783" s="6" t="n"/>
      <c r="E2783" s="8" t="n"/>
      <c r="F2783" s="6" t="n"/>
    </row>
    <row r="2784">
      <c r="A2784" s="6" t="n"/>
      <c r="B2784" s="6" t="n"/>
      <c r="C2784" s="6" t="n"/>
      <c r="D2784" s="6" t="n"/>
      <c r="E2784" s="8" t="n"/>
      <c r="F2784" s="6" t="n"/>
    </row>
    <row r="2785">
      <c r="A2785" s="6" t="n"/>
      <c r="B2785" s="6" t="n"/>
      <c r="C2785" s="6" t="n"/>
      <c r="D2785" s="6" t="n"/>
      <c r="E2785" s="8" t="n"/>
      <c r="F2785" s="6" t="n"/>
    </row>
    <row r="2786">
      <c r="A2786" s="6" t="n"/>
      <c r="B2786" s="6" t="n"/>
      <c r="C2786" s="6" t="n"/>
      <c r="D2786" s="6" t="n"/>
      <c r="E2786" s="8" t="n"/>
      <c r="F2786" s="6" t="n"/>
    </row>
    <row r="2787">
      <c r="A2787" s="6" t="n"/>
      <c r="B2787" s="6" t="n"/>
      <c r="C2787" s="6" t="n"/>
      <c r="D2787" s="6" t="n"/>
      <c r="E2787" s="8" t="n"/>
      <c r="F2787" s="6" t="n"/>
    </row>
    <row r="2788">
      <c r="A2788" s="6" t="n"/>
      <c r="B2788" s="6" t="n"/>
      <c r="C2788" s="6" t="n"/>
      <c r="D2788" s="6" t="n"/>
      <c r="E2788" s="8" t="n"/>
      <c r="F2788" s="6" t="n"/>
    </row>
    <row r="2789">
      <c r="A2789" s="6" t="n"/>
      <c r="B2789" s="6" t="n"/>
      <c r="C2789" s="6" t="n"/>
      <c r="D2789" s="6" t="n"/>
      <c r="E2789" s="8" t="n"/>
      <c r="F2789" s="6" t="n"/>
    </row>
    <row r="2790">
      <c r="A2790" s="6" t="n"/>
      <c r="B2790" s="6" t="n"/>
      <c r="C2790" s="6" t="n"/>
      <c r="D2790" s="6" t="n"/>
      <c r="E2790" s="8" t="n"/>
      <c r="F2790" s="6" t="n"/>
    </row>
    <row r="2791">
      <c r="A2791" s="6" t="n"/>
      <c r="B2791" s="6" t="n"/>
      <c r="C2791" s="6" t="n"/>
      <c r="D2791" s="6" t="n"/>
      <c r="E2791" s="8" t="n"/>
      <c r="F2791" s="6" t="n"/>
    </row>
    <row r="2792">
      <c r="A2792" s="6" t="n"/>
      <c r="B2792" s="6" t="n"/>
      <c r="C2792" s="6" t="n"/>
      <c r="D2792" s="6" t="n"/>
      <c r="E2792" s="8" t="n"/>
      <c r="F2792" s="6" t="n"/>
    </row>
    <row r="2793">
      <c r="A2793" s="6" t="n"/>
      <c r="B2793" s="6" t="n"/>
      <c r="C2793" s="6" t="n"/>
      <c r="D2793" s="6" t="n"/>
      <c r="E2793" s="8" t="n"/>
      <c r="F2793" s="6" t="n"/>
    </row>
    <row r="2794">
      <c r="A2794" s="6" t="n"/>
      <c r="B2794" s="6" t="n"/>
      <c r="C2794" s="6" t="n"/>
      <c r="D2794" s="6" t="n"/>
      <c r="E2794" s="8" t="n"/>
      <c r="F2794" s="6" t="n"/>
    </row>
    <row r="2795">
      <c r="A2795" s="6" t="n"/>
      <c r="B2795" s="6" t="n"/>
      <c r="C2795" s="6" t="n"/>
      <c r="D2795" s="6" t="n"/>
      <c r="E2795" s="8" t="n"/>
      <c r="F2795" s="6" t="n"/>
    </row>
    <row r="2796">
      <c r="A2796" s="6" t="n"/>
      <c r="B2796" s="6" t="n"/>
      <c r="C2796" s="6" t="n"/>
      <c r="D2796" s="6" t="n"/>
      <c r="E2796" s="8" t="n"/>
      <c r="F2796" s="6" t="n"/>
    </row>
    <row r="2797">
      <c r="A2797" s="6" t="n"/>
      <c r="B2797" s="6" t="n"/>
      <c r="C2797" s="6" t="n"/>
      <c r="D2797" s="6" t="n"/>
      <c r="E2797" s="8" t="n"/>
      <c r="F2797" s="6" t="n"/>
    </row>
    <row r="2798">
      <c r="A2798" s="6" t="n"/>
      <c r="B2798" s="6" t="n"/>
      <c r="C2798" s="6" t="n"/>
      <c r="D2798" s="6" t="n"/>
      <c r="E2798" s="8" t="n"/>
      <c r="F2798" s="6" t="n"/>
    </row>
    <row r="2799">
      <c r="A2799" s="6" t="n"/>
      <c r="B2799" s="6" t="n"/>
      <c r="C2799" s="6" t="n"/>
      <c r="D2799" s="6" t="n"/>
      <c r="E2799" s="8" t="n"/>
      <c r="F2799" s="6" t="n"/>
    </row>
    <row r="2800">
      <c r="A2800" s="6" t="n"/>
      <c r="B2800" s="6" t="n"/>
      <c r="C2800" s="6" t="n"/>
      <c r="D2800" s="6" t="n"/>
      <c r="E2800" s="8" t="n"/>
      <c r="F2800" s="6" t="n"/>
    </row>
    <row r="2801">
      <c r="A2801" s="6" t="n"/>
      <c r="B2801" s="6" t="n"/>
      <c r="C2801" s="6" t="n"/>
      <c r="D2801" s="6" t="n"/>
      <c r="E2801" s="8" t="n"/>
      <c r="F2801" s="6" t="n"/>
    </row>
    <row r="2802">
      <c r="A2802" s="6" t="n"/>
      <c r="B2802" s="6" t="n"/>
      <c r="C2802" s="6" t="n"/>
      <c r="D2802" s="6" t="n"/>
      <c r="E2802" s="8" t="n"/>
      <c r="F2802" s="6" t="n"/>
    </row>
    <row r="2803">
      <c r="A2803" s="6" t="n"/>
      <c r="B2803" s="6" t="n"/>
      <c r="C2803" s="6" t="n"/>
      <c r="D2803" s="6" t="n"/>
      <c r="E2803" s="8" t="n"/>
      <c r="F2803" s="6" t="n"/>
    </row>
    <row r="2804">
      <c r="A2804" s="6" t="n"/>
      <c r="B2804" s="6" t="n"/>
      <c r="C2804" s="6" t="n"/>
      <c r="D2804" s="6" t="n"/>
      <c r="E2804" s="8" t="n"/>
      <c r="F2804" s="6" t="n"/>
    </row>
    <row r="2805">
      <c r="A2805" s="6" t="n"/>
      <c r="B2805" s="6" t="n"/>
      <c r="C2805" s="6" t="n"/>
      <c r="D2805" s="6" t="n"/>
      <c r="E2805" s="8" t="n"/>
      <c r="F2805" s="6" t="n"/>
    </row>
    <row r="2806">
      <c r="A2806" s="6" t="n"/>
      <c r="B2806" s="6" t="n"/>
      <c r="C2806" s="6" t="n"/>
      <c r="D2806" s="6" t="n"/>
      <c r="E2806" s="8" t="n"/>
      <c r="F2806" s="6" t="n"/>
    </row>
    <row r="2807">
      <c r="A2807" s="6" t="n"/>
      <c r="B2807" s="6" t="n"/>
      <c r="C2807" s="6" t="n"/>
      <c r="D2807" s="6" t="n"/>
      <c r="E2807" s="8" t="n"/>
      <c r="F2807" s="6" t="n"/>
    </row>
    <row r="2808">
      <c r="A2808" s="6" t="n"/>
      <c r="B2808" s="6" t="n"/>
      <c r="C2808" s="6" t="n"/>
      <c r="D2808" s="6" t="n"/>
      <c r="E2808" s="8" t="n"/>
      <c r="F2808" s="6" t="n"/>
    </row>
    <row r="2809">
      <c r="A2809" s="6" t="n"/>
      <c r="B2809" s="6" t="n"/>
      <c r="C2809" s="6" t="n"/>
      <c r="D2809" s="6" t="n"/>
      <c r="E2809" s="8" t="n"/>
      <c r="F2809" s="6" t="n"/>
    </row>
    <row r="2810">
      <c r="A2810" s="6" t="n"/>
      <c r="B2810" s="6" t="n"/>
      <c r="C2810" s="6" t="n"/>
      <c r="D2810" s="6" t="n"/>
      <c r="E2810" s="8" t="n"/>
      <c r="F2810" s="6" t="n"/>
    </row>
    <row r="2811">
      <c r="A2811" s="6" t="n"/>
      <c r="B2811" s="6" t="n"/>
      <c r="C2811" s="6" t="n"/>
      <c r="D2811" s="6" t="n"/>
      <c r="E2811" s="8" t="n"/>
      <c r="F2811" s="6" t="n"/>
    </row>
    <row r="2812">
      <c r="A2812" s="6" t="n"/>
      <c r="B2812" s="6" t="n"/>
      <c r="C2812" s="6" t="n"/>
      <c r="D2812" s="6" t="n"/>
      <c r="E2812" s="8" t="n"/>
      <c r="F2812" s="6" t="n"/>
    </row>
    <row r="2813">
      <c r="A2813" s="6" t="n"/>
      <c r="B2813" s="6" t="n"/>
      <c r="C2813" s="6" t="n"/>
      <c r="D2813" s="6" t="n"/>
      <c r="E2813" s="8" t="n"/>
      <c r="F2813" s="6" t="n"/>
    </row>
    <row r="2814">
      <c r="A2814" s="6" t="n"/>
      <c r="B2814" s="6" t="n"/>
      <c r="C2814" s="6" t="n"/>
      <c r="D2814" s="6" t="n"/>
      <c r="E2814" s="8" t="n"/>
      <c r="F2814" s="6" t="n"/>
    </row>
    <row r="2815">
      <c r="A2815" s="6" t="n"/>
      <c r="B2815" s="6" t="n"/>
      <c r="C2815" s="6" t="n"/>
      <c r="D2815" s="6" t="n"/>
      <c r="E2815" s="8" t="n"/>
      <c r="F2815" s="6" t="n"/>
    </row>
    <row r="2816">
      <c r="A2816" s="6" t="n"/>
      <c r="B2816" s="6" t="n"/>
      <c r="C2816" s="6" t="n"/>
      <c r="D2816" s="6" t="n"/>
      <c r="E2816" s="8" t="n"/>
      <c r="F2816" s="6" t="n"/>
    </row>
    <row r="2817">
      <c r="A2817" s="6" t="n"/>
      <c r="B2817" s="6" t="n"/>
      <c r="C2817" s="6" t="n"/>
      <c r="D2817" s="6" t="n"/>
      <c r="E2817" s="8" t="n"/>
      <c r="F2817" s="6" t="n"/>
    </row>
    <row r="2818">
      <c r="A2818" s="6" t="n"/>
      <c r="B2818" s="6" t="n"/>
      <c r="C2818" s="6" t="n"/>
      <c r="D2818" s="6" t="n"/>
      <c r="E2818" s="8" t="n"/>
      <c r="F2818" s="6" t="n"/>
    </row>
    <row r="2819">
      <c r="A2819" s="6" t="n"/>
      <c r="B2819" s="6" t="n"/>
      <c r="C2819" s="6" t="n"/>
      <c r="D2819" s="6" t="n"/>
      <c r="E2819" s="8" t="n"/>
      <c r="F2819" s="6" t="n"/>
    </row>
    <row r="2820">
      <c r="A2820" s="6" t="n"/>
      <c r="B2820" s="6" t="n"/>
      <c r="C2820" s="6" t="n"/>
      <c r="D2820" s="6" t="n"/>
      <c r="E2820" s="8" t="n"/>
      <c r="F2820" s="6" t="n"/>
    </row>
    <row r="2821">
      <c r="A2821" s="6" t="n"/>
      <c r="B2821" s="6" t="n"/>
      <c r="C2821" s="6" t="n"/>
      <c r="D2821" s="6" t="n"/>
      <c r="E2821" s="8" t="n"/>
      <c r="F2821" s="6" t="n"/>
    </row>
    <row r="2822">
      <c r="A2822" s="6" t="n"/>
      <c r="B2822" s="6" t="n"/>
      <c r="C2822" s="6" t="n"/>
      <c r="D2822" s="6" t="n"/>
      <c r="E2822" s="8" t="n"/>
      <c r="F2822" s="6" t="n"/>
    </row>
    <row r="2823">
      <c r="A2823" s="6" t="n"/>
      <c r="B2823" s="6" t="n"/>
      <c r="C2823" s="6" t="n"/>
      <c r="D2823" s="6" t="n"/>
      <c r="E2823" s="8" t="n"/>
      <c r="F2823" s="6" t="n"/>
    </row>
    <row r="2824">
      <c r="A2824" s="6" t="n"/>
      <c r="B2824" s="6" t="n"/>
      <c r="C2824" s="6" t="n"/>
      <c r="D2824" s="6" t="n"/>
      <c r="E2824" s="8" t="n"/>
      <c r="F2824" s="6" t="n"/>
    </row>
    <row r="2825">
      <c r="A2825" s="6" t="n"/>
      <c r="B2825" s="6" t="n"/>
      <c r="C2825" s="6" t="n"/>
      <c r="D2825" s="6" t="n"/>
      <c r="E2825" s="8" t="n"/>
      <c r="F2825" s="6" t="n"/>
    </row>
    <row r="2826">
      <c r="A2826" s="6" t="n"/>
      <c r="B2826" s="6" t="n"/>
      <c r="C2826" s="6" t="n"/>
      <c r="D2826" s="6" t="n"/>
      <c r="E2826" s="8" t="n"/>
      <c r="F2826" s="6" t="n"/>
    </row>
    <row r="2827">
      <c r="A2827" s="6" t="n"/>
      <c r="B2827" s="6" t="n"/>
      <c r="C2827" s="6" t="n"/>
      <c r="D2827" s="6" t="n"/>
      <c r="E2827" s="8" t="n"/>
      <c r="F2827" s="6" t="n"/>
    </row>
    <row r="2828">
      <c r="A2828" s="6" t="n"/>
      <c r="B2828" s="6" t="n"/>
      <c r="C2828" s="6" t="n"/>
      <c r="D2828" s="6" t="n"/>
      <c r="E2828" s="8" t="n"/>
      <c r="F2828" s="6" t="n"/>
    </row>
    <row r="2829">
      <c r="A2829" s="6" t="n"/>
      <c r="B2829" s="6" t="n"/>
      <c r="C2829" s="6" t="n"/>
      <c r="D2829" s="6" t="n"/>
      <c r="E2829" s="8" t="n"/>
      <c r="F2829" s="6" t="n"/>
    </row>
    <row r="2830">
      <c r="A2830" s="6" t="n"/>
      <c r="B2830" s="6" t="n"/>
      <c r="C2830" s="6" t="n"/>
      <c r="D2830" s="6" t="n"/>
      <c r="E2830" s="8" t="n"/>
      <c r="F2830" s="6" t="n"/>
    </row>
    <row r="2831">
      <c r="A2831" s="6" t="n"/>
      <c r="B2831" s="6" t="n"/>
      <c r="C2831" s="6" t="n"/>
      <c r="D2831" s="6" t="n"/>
      <c r="E2831" s="8" t="n"/>
      <c r="F2831" s="6" t="n"/>
    </row>
    <row r="2832">
      <c r="A2832" s="6" t="n"/>
      <c r="B2832" s="6" t="n"/>
      <c r="C2832" s="6" t="n"/>
      <c r="D2832" s="6" t="n"/>
      <c r="E2832" s="8" t="n"/>
      <c r="F2832" s="6" t="n"/>
    </row>
    <row r="2833">
      <c r="A2833" s="6" t="n"/>
      <c r="B2833" s="6" t="n"/>
      <c r="C2833" s="6" t="n"/>
      <c r="D2833" s="6" t="n"/>
      <c r="E2833" s="8" t="n"/>
      <c r="F2833" s="6" t="n"/>
    </row>
    <row r="2834">
      <c r="A2834" s="6" t="n"/>
      <c r="B2834" s="6" t="n"/>
      <c r="C2834" s="6" t="n"/>
      <c r="D2834" s="6" t="n"/>
      <c r="E2834" s="8" t="n"/>
      <c r="F2834" s="6" t="n"/>
    </row>
    <row r="2835">
      <c r="A2835" s="6" t="n"/>
      <c r="B2835" s="6" t="n"/>
      <c r="C2835" s="6" t="n"/>
      <c r="D2835" s="6" t="n"/>
      <c r="E2835" s="8" t="n"/>
      <c r="F2835" s="6" t="n"/>
    </row>
    <row r="2836">
      <c r="A2836" s="6" t="n"/>
      <c r="B2836" s="6" t="n"/>
      <c r="C2836" s="6" t="n"/>
      <c r="D2836" s="6" t="n"/>
      <c r="E2836" s="8" t="n"/>
      <c r="F2836" s="6" t="n"/>
    </row>
    <row r="2837">
      <c r="A2837" s="6" t="n"/>
      <c r="B2837" s="6" t="n"/>
      <c r="C2837" s="6" t="n"/>
      <c r="D2837" s="6" t="n"/>
      <c r="E2837" s="8" t="n"/>
      <c r="F2837" s="6" t="n"/>
    </row>
    <row r="2838">
      <c r="A2838" s="6" t="n"/>
      <c r="B2838" s="6" t="n"/>
      <c r="C2838" s="6" t="n"/>
      <c r="D2838" s="6" t="n"/>
      <c r="E2838" s="8" t="n"/>
      <c r="F2838" s="6" t="n"/>
    </row>
    <row r="2839">
      <c r="A2839" s="6" t="n"/>
      <c r="B2839" s="6" t="n"/>
      <c r="C2839" s="6" t="n"/>
      <c r="D2839" s="6" t="n"/>
      <c r="E2839" s="8" t="n"/>
      <c r="F2839" s="6" t="n"/>
    </row>
    <row r="2840">
      <c r="A2840" s="6" t="n"/>
      <c r="B2840" s="6" t="n"/>
      <c r="C2840" s="6" t="n"/>
      <c r="D2840" s="6" t="n"/>
      <c r="E2840" s="8" t="n"/>
      <c r="F2840" s="6" t="n"/>
    </row>
    <row r="2841">
      <c r="A2841" s="6" t="n"/>
      <c r="B2841" s="6" t="n"/>
      <c r="C2841" s="6" t="n"/>
      <c r="D2841" s="6" t="n"/>
      <c r="E2841" s="8" t="n"/>
      <c r="F2841" s="6" t="n"/>
    </row>
    <row r="2842">
      <c r="A2842" s="6" t="n"/>
      <c r="B2842" s="6" t="n"/>
      <c r="C2842" s="6" t="n"/>
      <c r="D2842" s="6" t="n"/>
      <c r="E2842" s="8" t="n"/>
      <c r="F2842" s="6" t="n"/>
    </row>
    <row r="2843">
      <c r="A2843" s="6" t="n"/>
      <c r="B2843" s="6" t="n"/>
      <c r="C2843" s="6" t="n"/>
      <c r="D2843" s="6" t="n"/>
      <c r="E2843" s="8" t="n"/>
      <c r="F2843" s="6" t="n"/>
    </row>
    <row r="2844">
      <c r="A2844" s="6" t="n"/>
      <c r="B2844" s="6" t="n"/>
      <c r="C2844" s="6" t="n"/>
      <c r="D2844" s="6" t="n"/>
      <c r="E2844" s="8" t="n"/>
      <c r="F2844" s="6" t="n"/>
    </row>
    <row r="2845">
      <c r="A2845" s="6" t="n"/>
      <c r="B2845" s="6" t="n"/>
      <c r="C2845" s="6" t="n"/>
      <c r="D2845" s="6" t="n"/>
      <c r="E2845" s="8" t="n"/>
      <c r="F2845" s="6" t="n"/>
    </row>
    <row r="2846">
      <c r="A2846" s="6" t="n"/>
      <c r="B2846" s="6" t="n"/>
      <c r="C2846" s="6" t="n"/>
      <c r="D2846" s="6" t="n"/>
      <c r="E2846" s="8" t="n"/>
      <c r="F2846" s="6" t="n"/>
    </row>
    <row r="2847">
      <c r="A2847" s="6" t="n"/>
      <c r="B2847" s="6" t="n"/>
      <c r="C2847" s="6" t="n"/>
      <c r="D2847" s="6" t="n"/>
      <c r="E2847" s="8" t="n"/>
      <c r="F2847" s="6" t="n"/>
    </row>
    <row r="2848">
      <c r="A2848" s="6" t="n"/>
      <c r="B2848" s="6" t="n"/>
      <c r="C2848" s="6" t="n"/>
      <c r="D2848" s="6" t="n"/>
      <c r="E2848" s="8" t="n"/>
      <c r="F2848" s="6" t="n"/>
    </row>
    <row r="2849">
      <c r="A2849" s="6" t="n"/>
      <c r="B2849" s="6" t="n"/>
      <c r="C2849" s="6" t="n"/>
      <c r="D2849" s="6" t="n"/>
      <c r="E2849" s="8" t="n"/>
      <c r="F2849" s="6" t="n"/>
    </row>
    <row r="2850">
      <c r="A2850" s="6" t="n"/>
      <c r="B2850" s="6" t="n"/>
      <c r="C2850" s="6" t="n"/>
      <c r="D2850" s="6" t="n"/>
      <c r="E2850" s="8" t="n"/>
      <c r="F2850" s="6" t="n"/>
    </row>
    <row r="2851">
      <c r="A2851" s="6" t="n"/>
      <c r="B2851" s="6" t="n"/>
      <c r="C2851" s="6" t="n"/>
      <c r="D2851" s="6" t="n"/>
      <c r="E2851" s="8" t="n"/>
      <c r="F2851" s="6" t="n"/>
    </row>
    <row r="2852">
      <c r="A2852" s="6" t="n"/>
      <c r="B2852" s="6" t="n"/>
      <c r="C2852" s="6" t="n"/>
      <c r="D2852" s="6" t="n"/>
      <c r="E2852" s="8" t="n"/>
      <c r="F2852" s="6" t="n"/>
    </row>
    <row r="2853">
      <c r="A2853" s="6" t="n"/>
      <c r="B2853" s="6" t="n"/>
      <c r="C2853" s="6" t="n"/>
      <c r="D2853" s="6" t="n"/>
      <c r="E2853" s="8" t="n"/>
      <c r="F2853" s="6" t="n"/>
    </row>
    <row r="2854">
      <c r="A2854" s="6" t="n"/>
      <c r="B2854" s="6" t="n"/>
      <c r="C2854" s="6" t="n"/>
      <c r="D2854" s="6" t="n"/>
      <c r="E2854" s="8" t="n"/>
      <c r="F2854" s="6" t="n"/>
    </row>
    <row r="2855">
      <c r="A2855" s="6" t="n"/>
      <c r="B2855" s="6" t="n"/>
      <c r="C2855" s="6" t="n"/>
      <c r="D2855" s="6" t="n"/>
      <c r="E2855" s="8" t="n"/>
      <c r="F2855" s="6" t="n"/>
    </row>
    <row r="2856">
      <c r="A2856" s="6" t="n"/>
      <c r="B2856" s="6" t="n"/>
      <c r="C2856" s="6" t="n"/>
      <c r="D2856" s="6" t="n"/>
      <c r="E2856" s="8" t="n"/>
      <c r="F2856" s="6" t="n"/>
    </row>
    <row r="2857">
      <c r="A2857" s="6" t="n"/>
      <c r="B2857" s="6" t="n"/>
      <c r="C2857" s="6" t="n"/>
      <c r="D2857" s="6" t="n"/>
      <c r="E2857" s="8" t="n"/>
      <c r="F2857" s="6" t="n"/>
    </row>
    <row r="2858">
      <c r="A2858" s="6" t="n"/>
      <c r="B2858" s="6" t="n"/>
      <c r="C2858" s="6" t="n"/>
      <c r="D2858" s="6" t="n"/>
      <c r="E2858" s="8" t="n"/>
      <c r="F2858" s="6" t="n"/>
    </row>
    <row r="2859">
      <c r="A2859" s="6" t="n"/>
      <c r="B2859" s="6" t="n"/>
      <c r="C2859" s="6" t="n"/>
      <c r="D2859" s="6" t="n"/>
      <c r="E2859" s="8" t="n"/>
      <c r="F2859" s="6" t="n"/>
    </row>
    <row r="2860">
      <c r="A2860" s="6" t="n"/>
      <c r="B2860" s="6" t="n"/>
      <c r="C2860" s="6" t="n"/>
      <c r="D2860" s="6" t="n"/>
      <c r="E2860" s="8" t="n"/>
      <c r="F2860" s="6" t="n"/>
    </row>
    <row r="2861">
      <c r="A2861" s="6" t="n"/>
      <c r="B2861" s="6" t="n"/>
      <c r="C2861" s="6" t="n"/>
      <c r="D2861" s="6" t="n"/>
      <c r="E2861" s="8" t="n"/>
      <c r="F2861" s="6" t="n"/>
    </row>
    <row r="2862">
      <c r="A2862" s="6" t="n"/>
      <c r="B2862" s="6" t="n"/>
      <c r="C2862" s="6" t="n"/>
      <c r="D2862" s="6" t="n"/>
      <c r="E2862" s="8" t="n"/>
      <c r="F2862" s="6" t="n"/>
    </row>
    <row r="2863">
      <c r="A2863" s="6" t="n"/>
      <c r="B2863" s="6" t="n"/>
      <c r="C2863" s="6" t="n"/>
      <c r="D2863" s="6" t="n"/>
      <c r="E2863" s="8" t="n"/>
      <c r="F2863" s="6" t="n"/>
    </row>
    <row r="2864">
      <c r="A2864" s="6" t="n"/>
      <c r="B2864" s="6" t="n"/>
      <c r="C2864" s="6" t="n"/>
      <c r="D2864" s="6" t="n"/>
      <c r="E2864" s="8" t="n"/>
      <c r="F2864" s="6" t="n"/>
    </row>
    <row r="2865">
      <c r="A2865" s="6" t="n"/>
      <c r="B2865" s="6" t="n"/>
      <c r="C2865" s="6" t="n"/>
      <c r="D2865" s="6" t="n"/>
      <c r="E2865" s="8" t="n"/>
      <c r="F2865" s="6" t="n"/>
    </row>
    <row r="2866">
      <c r="A2866" s="6" t="n"/>
      <c r="B2866" s="6" t="n"/>
      <c r="C2866" s="6" t="n"/>
      <c r="D2866" s="6" t="n"/>
      <c r="E2866" s="8" t="n"/>
      <c r="F2866" s="6" t="n"/>
    </row>
    <row r="2867">
      <c r="A2867" s="6" t="n"/>
      <c r="B2867" s="6" t="n"/>
      <c r="C2867" s="6" t="n"/>
      <c r="D2867" s="6" t="n"/>
      <c r="E2867" s="8" t="n"/>
      <c r="F2867" s="6" t="n"/>
    </row>
    <row r="2868">
      <c r="A2868" s="6" t="n"/>
      <c r="B2868" s="6" t="n"/>
      <c r="C2868" s="6" t="n"/>
      <c r="D2868" s="6" t="n"/>
      <c r="E2868" s="8" t="n"/>
      <c r="F2868" s="6" t="n"/>
    </row>
    <row r="2869">
      <c r="A2869" s="6" t="n"/>
      <c r="B2869" s="6" t="n"/>
      <c r="C2869" s="6" t="n"/>
      <c r="D2869" s="6" t="n"/>
      <c r="E2869" s="8" t="n"/>
      <c r="F2869" s="6" t="n"/>
    </row>
    <row r="2870">
      <c r="A2870" s="6" t="n"/>
      <c r="B2870" s="6" t="n"/>
      <c r="C2870" s="6" t="n"/>
      <c r="D2870" s="6" t="n"/>
      <c r="E2870" s="8" t="n"/>
      <c r="F2870" s="6" t="n"/>
    </row>
    <row r="2871">
      <c r="A2871" s="6" t="n"/>
      <c r="B2871" s="6" t="n"/>
      <c r="C2871" s="6" t="n"/>
      <c r="D2871" s="6" t="n"/>
      <c r="E2871" s="8" t="n"/>
      <c r="F2871" s="6" t="n"/>
    </row>
    <row r="2872">
      <c r="A2872" s="6" t="n"/>
      <c r="B2872" s="6" t="n"/>
      <c r="C2872" s="6" t="n"/>
      <c r="D2872" s="6" t="n"/>
      <c r="E2872" s="8" t="n"/>
      <c r="F2872" s="6" t="n"/>
    </row>
    <row r="2873">
      <c r="A2873" s="6" t="n"/>
      <c r="B2873" s="6" t="n"/>
      <c r="C2873" s="6" t="n"/>
      <c r="D2873" s="6" t="n"/>
      <c r="E2873" s="8" t="n"/>
      <c r="F2873" s="6" t="n"/>
    </row>
    <row r="2874">
      <c r="A2874" s="6" t="n"/>
      <c r="B2874" s="6" t="n"/>
      <c r="C2874" s="6" t="n"/>
      <c r="D2874" s="6" t="n"/>
      <c r="E2874" s="8" t="n"/>
      <c r="F2874" s="6" t="n"/>
    </row>
    <row r="2875">
      <c r="A2875" s="6" t="n"/>
      <c r="B2875" s="6" t="n"/>
      <c r="C2875" s="6" t="n"/>
      <c r="D2875" s="6" t="n"/>
      <c r="E2875" s="8" t="n"/>
      <c r="F2875" s="6" t="n"/>
    </row>
    <row r="2876">
      <c r="A2876" s="6" t="n"/>
      <c r="B2876" s="6" t="n"/>
      <c r="C2876" s="6" t="n"/>
      <c r="D2876" s="6" t="n"/>
      <c r="E2876" s="8" t="n"/>
      <c r="F2876" s="6" t="n"/>
    </row>
    <row r="2877">
      <c r="A2877" s="6" t="n"/>
      <c r="B2877" s="6" t="n"/>
      <c r="C2877" s="6" t="n"/>
      <c r="D2877" s="6" t="n"/>
      <c r="E2877" s="8" t="n"/>
      <c r="F2877" s="6" t="n"/>
    </row>
    <row r="2878">
      <c r="A2878" s="6" t="n"/>
      <c r="B2878" s="6" t="n"/>
      <c r="C2878" s="6" t="n"/>
      <c r="D2878" s="6" t="n"/>
      <c r="E2878" s="8" t="n"/>
      <c r="F2878" s="6" t="n"/>
    </row>
    <row r="2879">
      <c r="A2879" s="6" t="n"/>
      <c r="B2879" s="6" t="n"/>
      <c r="C2879" s="6" t="n"/>
      <c r="D2879" s="6" t="n"/>
      <c r="E2879" s="8" t="n"/>
      <c r="F2879" s="6" t="n"/>
    </row>
    <row r="2880">
      <c r="A2880" s="6" t="n"/>
      <c r="B2880" s="6" t="n"/>
      <c r="C2880" s="6" t="n"/>
      <c r="D2880" s="6" t="n"/>
      <c r="E2880" s="8" t="n"/>
      <c r="F2880" s="6" t="n"/>
    </row>
    <row r="2881">
      <c r="A2881" s="6" t="n"/>
      <c r="B2881" s="6" t="n"/>
      <c r="C2881" s="6" t="n"/>
      <c r="D2881" s="6" t="n"/>
      <c r="E2881" s="8" t="n"/>
      <c r="F2881" s="6" t="n"/>
    </row>
    <row r="2882">
      <c r="A2882" s="6" t="n"/>
      <c r="B2882" s="6" t="n"/>
      <c r="C2882" s="6" t="n"/>
      <c r="D2882" s="6" t="n"/>
      <c r="E2882" s="8" t="n"/>
      <c r="F2882" s="6" t="n"/>
    </row>
    <row r="2883">
      <c r="A2883" s="6" t="n"/>
      <c r="B2883" s="6" t="n"/>
      <c r="C2883" s="6" t="n"/>
      <c r="D2883" s="6" t="n"/>
      <c r="E2883" s="8" t="n"/>
      <c r="F2883" s="6" t="n"/>
    </row>
    <row r="2884">
      <c r="A2884" s="6" t="n"/>
      <c r="B2884" s="6" t="n"/>
      <c r="C2884" s="6" t="n"/>
      <c r="D2884" s="6" t="n"/>
      <c r="E2884" s="8" t="n"/>
      <c r="F2884" s="6" t="n"/>
    </row>
    <row r="2885">
      <c r="A2885" s="6" t="n"/>
      <c r="B2885" s="6" t="n"/>
      <c r="C2885" s="6" t="n"/>
      <c r="D2885" s="6" t="n"/>
      <c r="E2885" s="8" t="n"/>
      <c r="F2885" s="6" t="n"/>
    </row>
    <row r="2886">
      <c r="A2886" s="6" t="n"/>
      <c r="B2886" s="6" t="n"/>
      <c r="C2886" s="6" t="n"/>
      <c r="D2886" s="6" t="n"/>
      <c r="E2886" s="8" t="n"/>
      <c r="F2886" s="6" t="n"/>
    </row>
    <row r="2887">
      <c r="A2887" s="6" t="n"/>
      <c r="B2887" s="6" t="n"/>
      <c r="C2887" s="6" t="n"/>
      <c r="D2887" s="6" t="n"/>
      <c r="E2887" s="8" t="n"/>
      <c r="F2887" s="6" t="n"/>
    </row>
    <row r="2888">
      <c r="A2888" s="6" t="n"/>
      <c r="B2888" s="6" t="n"/>
      <c r="C2888" s="6" t="n"/>
      <c r="D2888" s="6" t="n"/>
      <c r="E2888" s="8" t="n"/>
      <c r="F2888" s="6" t="n"/>
    </row>
    <row r="2889">
      <c r="A2889" s="6" t="n"/>
      <c r="B2889" s="6" t="n"/>
      <c r="C2889" s="6" t="n"/>
      <c r="D2889" s="6" t="n"/>
      <c r="E2889" s="8" t="n"/>
      <c r="F2889" s="6" t="n"/>
    </row>
    <row r="2890">
      <c r="A2890" s="6" t="n"/>
      <c r="B2890" s="6" t="n"/>
      <c r="C2890" s="6" t="n"/>
      <c r="D2890" s="6" t="n"/>
      <c r="E2890" s="8" t="n"/>
      <c r="F2890" s="6" t="n"/>
    </row>
    <row r="2891">
      <c r="A2891" s="6" t="n"/>
      <c r="B2891" s="6" t="n"/>
      <c r="C2891" s="6" t="n"/>
      <c r="D2891" s="6" t="n"/>
      <c r="E2891" s="8" t="n"/>
      <c r="F2891" s="6" t="n"/>
    </row>
    <row r="2892">
      <c r="A2892" s="6" t="n"/>
      <c r="B2892" s="6" t="n"/>
      <c r="C2892" s="6" t="n"/>
      <c r="D2892" s="6" t="n"/>
      <c r="E2892" s="8" t="n"/>
      <c r="F2892" s="6" t="n"/>
    </row>
    <row r="2893">
      <c r="A2893" s="6" t="n"/>
      <c r="B2893" s="6" t="n"/>
      <c r="C2893" s="6" t="n"/>
      <c r="D2893" s="6" t="n"/>
      <c r="E2893" s="8" t="n"/>
      <c r="F2893" s="6" t="n"/>
    </row>
    <row r="2894">
      <c r="A2894" s="6" t="n"/>
      <c r="B2894" s="6" t="n"/>
      <c r="C2894" s="6" t="n"/>
      <c r="D2894" s="6" t="n"/>
      <c r="E2894" s="8" t="n"/>
      <c r="F2894" s="6" t="n"/>
    </row>
    <row r="2895">
      <c r="A2895" s="6" t="n"/>
      <c r="B2895" s="6" t="n"/>
      <c r="C2895" s="6" t="n"/>
      <c r="D2895" s="6" t="n"/>
      <c r="E2895" s="8" t="n"/>
      <c r="F2895" s="6" t="n"/>
    </row>
    <row r="2896">
      <c r="A2896" s="6" t="n"/>
      <c r="B2896" s="6" t="n"/>
      <c r="C2896" s="6" t="n"/>
      <c r="D2896" s="6" t="n"/>
      <c r="E2896" s="8" t="n"/>
      <c r="F2896" s="6" t="n"/>
    </row>
    <row r="2897">
      <c r="A2897" s="6" t="n"/>
      <c r="B2897" s="6" t="n"/>
      <c r="C2897" s="6" t="n"/>
      <c r="D2897" s="6" t="n"/>
      <c r="E2897" s="8" t="n"/>
      <c r="F2897" s="6" t="n"/>
    </row>
    <row r="2898">
      <c r="A2898" s="6" t="n"/>
      <c r="B2898" s="6" t="n"/>
      <c r="C2898" s="6" t="n"/>
      <c r="D2898" s="6" t="n"/>
      <c r="E2898" s="8" t="n"/>
      <c r="F2898" s="6" t="n"/>
    </row>
    <row r="2899">
      <c r="A2899" s="6" t="n"/>
      <c r="B2899" s="6" t="n"/>
      <c r="C2899" s="6" t="n"/>
      <c r="D2899" s="6" t="n"/>
      <c r="E2899" s="8" t="n"/>
      <c r="F2899" s="6" t="n"/>
    </row>
    <row r="2900">
      <c r="A2900" s="6" t="n"/>
      <c r="B2900" s="6" t="n"/>
      <c r="C2900" s="6" t="n"/>
      <c r="D2900" s="6" t="n"/>
      <c r="E2900" s="8" t="n"/>
      <c r="F2900" s="6" t="n"/>
    </row>
    <row r="2901">
      <c r="A2901" s="6" t="n"/>
      <c r="B2901" s="6" t="n"/>
      <c r="C2901" s="6" t="n"/>
      <c r="D2901" s="6" t="n"/>
      <c r="E2901" s="8" t="n"/>
      <c r="F2901" s="6" t="n"/>
    </row>
    <row r="2902">
      <c r="A2902" s="6" t="n"/>
      <c r="B2902" s="6" t="n"/>
      <c r="C2902" s="6" t="n"/>
      <c r="D2902" s="6" t="n"/>
      <c r="E2902" s="8" t="n"/>
      <c r="F2902" s="6" t="n"/>
    </row>
    <row r="2903">
      <c r="A2903" s="6" t="n"/>
      <c r="B2903" s="6" t="n"/>
      <c r="C2903" s="6" t="n"/>
      <c r="D2903" s="6" t="n"/>
      <c r="E2903" s="8" t="n"/>
      <c r="F2903" s="6" t="n"/>
    </row>
    <row r="2904">
      <c r="A2904" s="6" t="n"/>
      <c r="B2904" s="6" t="n"/>
      <c r="C2904" s="6" t="n"/>
      <c r="D2904" s="6" t="n"/>
      <c r="E2904" s="8" t="n"/>
      <c r="F2904" s="6" t="n"/>
    </row>
    <row r="2905">
      <c r="A2905" s="6" t="n"/>
      <c r="B2905" s="6" t="n"/>
      <c r="C2905" s="6" t="n"/>
      <c r="D2905" s="6" t="n"/>
      <c r="E2905" s="8" t="n"/>
      <c r="F2905" s="6" t="n"/>
    </row>
    <row r="2906">
      <c r="A2906" s="6" t="n"/>
      <c r="B2906" s="6" t="n"/>
      <c r="C2906" s="6" t="n"/>
      <c r="D2906" s="6" t="n"/>
      <c r="E2906" s="8" t="n"/>
      <c r="F2906" s="6" t="n"/>
    </row>
    <row r="2907">
      <c r="A2907" s="6" t="n"/>
      <c r="B2907" s="6" t="n"/>
      <c r="C2907" s="6" t="n"/>
      <c r="D2907" s="6" t="n"/>
      <c r="E2907" s="8" t="n"/>
      <c r="F2907" s="6" t="n"/>
    </row>
    <row r="2908">
      <c r="A2908" s="6" t="n"/>
      <c r="B2908" s="6" t="n"/>
      <c r="C2908" s="6" t="n"/>
      <c r="D2908" s="6" t="n"/>
      <c r="E2908" s="8" t="n"/>
      <c r="F2908" s="6" t="n"/>
    </row>
    <row r="2909">
      <c r="A2909" s="6" t="n"/>
      <c r="B2909" s="6" t="n"/>
      <c r="C2909" s="6" t="n"/>
      <c r="D2909" s="6" t="n"/>
      <c r="E2909" s="8" t="n"/>
      <c r="F2909" s="6" t="n"/>
    </row>
    <row r="2910">
      <c r="A2910" s="6" t="n"/>
      <c r="B2910" s="6" t="n"/>
      <c r="C2910" s="6" t="n"/>
      <c r="D2910" s="6" t="n"/>
      <c r="E2910" s="8" t="n"/>
      <c r="F2910" s="6" t="n"/>
    </row>
    <row r="2911">
      <c r="A2911" s="6" t="n"/>
      <c r="B2911" s="6" t="n"/>
      <c r="C2911" s="6" t="n"/>
      <c r="D2911" s="6" t="n"/>
      <c r="E2911" s="8" t="n"/>
      <c r="F2911" s="6" t="n"/>
    </row>
    <row r="2912">
      <c r="A2912" s="6" t="n"/>
      <c r="B2912" s="6" t="n"/>
      <c r="C2912" s="6" t="n"/>
      <c r="D2912" s="6" t="n"/>
      <c r="E2912" s="8" t="n"/>
      <c r="F2912" s="6" t="n"/>
    </row>
    <row r="2913">
      <c r="A2913" s="6" t="n"/>
      <c r="B2913" s="6" t="n"/>
      <c r="C2913" s="6" t="n"/>
      <c r="D2913" s="6" t="n"/>
      <c r="E2913" s="8" t="n"/>
      <c r="F2913" s="6" t="n"/>
    </row>
    <row r="2914">
      <c r="A2914" s="6" t="n"/>
      <c r="B2914" s="6" t="n"/>
      <c r="C2914" s="6" t="n"/>
      <c r="D2914" s="6" t="n"/>
      <c r="E2914" s="8" t="n"/>
      <c r="F2914" s="6" t="n"/>
    </row>
    <row r="2915">
      <c r="A2915" s="6" t="n"/>
      <c r="B2915" s="6" t="n"/>
      <c r="C2915" s="6" t="n"/>
      <c r="D2915" s="6" t="n"/>
      <c r="E2915" s="8" t="n"/>
      <c r="F2915" s="6" t="n"/>
    </row>
    <row r="2916">
      <c r="A2916" s="6" t="n"/>
      <c r="B2916" s="6" t="n"/>
      <c r="C2916" s="6" t="n"/>
      <c r="D2916" s="6" t="n"/>
      <c r="E2916" s="8" t="n"/>
      <c r="F2916" s="6" t="n"/>
    </row>
    <row r="2917">
      <c r="A2917" s="6" t="n"/>
      <c r="B2917" s="6" t="n"/>
      <c r="C2917" s="6" t="n"/>
      <c r="D2917" s="6" t="n"/>
      <c r="E2917" s="8" t="n"/>
      <c r="F2917" s="6" t="n"/>
    </row>
    <row r="2918">
      <c r="A2918" s="6" t="n"/>
      <c r="B2918" s="6" t="n"/>
      <c r="C2918" s="6" t="n"/>
      <c r="D2918" s="6" t="n"/>
      <c r="E2918" s="8" t="n"/>
      <c r="F2918" s="6" t="n"/>
    </row>
    <row r="2919">
      <c r="A2919" s="6" t="n"/>
      <c r="B2919" s="6" t="n"/>
      <c r="C2919" s="6" t="n"/>
      <c r="D2919" s="6" t="n"/>
      <c r="E2919" s="8" t="n"/>
      <c r="F2919" s="6" t="n"/>
    </row>
    <row r="2920">
      <c r="A2920" s="6" t="n"/>
      <c r="B2920" s="6" t="n"/>
      <c r="C2920" s="6" t="n"/>
      <c r="D2920" s="6" t="n"/>
      <c r="E2920" s="8" t="n"/>
      <c r="F2920" s="6" t="n"/>
    </row>
    <row r="2921">
      <c r="A2921" s="6" t="n"/>
      <c r="B2921" s="6" t="n"/>
      <c r="C2921" s="6" t="n"/>
      <c r="D2921" s="6" t="n"/>
      <c r="E2921" s="8" t="n"/>
      <c r="F2921" s="6" t="n"/>
    </row>
    <row r="2922">
      <c r="A2922" s="6" t="n"/>
      <c r="B2922" s="6" t="n"/>
      <c r="C2922" s="6" t="n"/>
      <c r="D2922" s="6" t="n"/>
      <c r="E2922" s="8" t="n"/>
      <c r="F2922" s="6" t="n"/>
    </row>
    <row r="2923">
      <c r="A2923" s="6" t="n"/>
      <c r="B2923" s="6" t="n"/>
      <c r="C2923" s="6" t="n"/>
      <c r="D2923" s="6" t="n"/>
      <c r="E2923" s="8" t="n"/>
      <c r="F2923" s="6" t="n"/>
    </row>
    <row r="2924">
      <c r="A2924" s="6" t="n"/>
      <c r="B2924" s="6" t="n"/>
      <c r="C2924" s="6" t="n"/>
      <c r="D2924" s="6" t="n"/>
      <c r="E2924" s="8" t="n"/>
      <c r="F2924" s="6" t="n"/>
    </row>
    <row r="2925">
      <c r="A2925" s="6" t="n"/>
      <c r="B2925" s="6" t="n"/>
      <c r="C2925" s="6" t="n"/>
      <c r="D2925" s="6" t="n"/>
      <c r="E2925" s="8" t="n"/>
      <c r="F2925" s="6" t="n"/>
    </row>
    <row r="2926">
      <c r="A2926" s="6" t="n"/>
      <c r="B2926" s="6" t="n"/>
      <c r="C2926" s="6" t="n"/>
      <c r="D2926" s="6" t="n"/>
      <c r="E2926" s="8" t="n"/>
      <c r="F2926" s="6" t="n"/>
    </row>
    <row r="2927">
      <c r="A2927" s="6" t="n"/>
      <c r="B2927" s="6" t="n"/>
      <c r="C2927" s="6" t="n"/>
      <c r="D2927" s="6" t="n"/>
      <c r="E2927" s="8" t="n"/>
      <c r="F2927" s="6" t="n"/>
    </row>
    <row r="2928">
      <c r="A2928" s="6" t="n"/>
      <c r="B2928" s="6" t="n"/>
      <c r="C2928" s="6" t="n"/>
      <c r="D2928" s="6" t="n"/>
      <c r="E2928" s="8" t="n"/>
      <c r="F2928" s="6" t="n"/>
    </row>
    <row r="2929">
      <c r="A2929" s="6" t="n"/>
      <c r="B2929" s="6" t="n"/>
      <c r="C2929" s="6" t="n"/>
      <c r="D2929" s="6" t="n"/>
      <c r="E2929" s="8" t="n"/>
      <c r="F2929" s="6" t="n"/>
    </row>
    <row r="2930">
      <c r="A2930" s="6" t="n"/>
      <c r="B2930" s="6" t="n"/>
      <c r="C2930" s="6" t="n"/>
      <c r="D2930" s="6" t="n"/>
      <c r="E2930" s="8" t="n"/>
      <c r="F2930" s="6" t="n"/>
    </row>
    <row r="2931">
      <c r="A2931" s="6" t="n"/>
      <c r="B2931" s="6" t="n"/>
      <c r="C2931" s="6" t="n"/>
      <c r="D2931" s="6" t="n"/>
      <c r="E2931" s="8" t="n"/>
      <c r="F2931" s="6" t="n"/>
    </row>
    <row r="2932">
      <c r="A2932" s="6" t="n"/>
      <c r="B2932" s="6" t="n"/>
      <c r="C2932" s="6" t="n"/>
      <c r="D2932" s="6" t="n"/>
      <c r="E2932" s="8" t="n"/>
      <c r="F2932" s="6" t="n"/>
    </row>
    <row r="2933">
      <c r="A2933" s="6" t="n"/>
      <c r="B2933" s="6" t="n"/>
      <c r="C2933" s="6" t="n"/>
      <c r="D2933" s="6" t="n"/>
      <c r="E2933" s="8" t="n"/>
      <c r="F2933" s="6" t="n"/>
    </row>
    <row r="2934">
      <c r="A2934" s="6" t="n"/>
      <c r="B2934" s="6" t="n"/>
      <c r="C2934" s="6" t="n"/>
      <c r="D2934" s="6" t="n"/>
      <c r="E2934" s="8" t="n"/>
      <c r="F2934" s="6" t="n"/>
    </row>
    <row r="2935">
      <c r="A2935" s="6" t="n"/>
      <c r="B2935" s="6" t="n"/>
      <c r="C2935" s="6" t="n"/>
      <c r="D2935" s="6" t="n"/>
      <c r="E2935" s="8" t="n"/>
      <c r="F2935" s="6" t="n"/>
    </row>
    <row r="2936">
      <c r="A2936" s="6" t="n"/>
      <c r="B2936" s="6" t="n"/>
      <c r="C2936" s="6" t="n"/>
      <c r="D2936" s="6" t="n"/>
      <c r="E2936" s="8" t="n"/>
      <c r="F2936" s="6" t="n"/>
    </row>
    <row r="2937">
      <c r="A2937" s="6" t="n"/>
      <c r="B2937" s="6" t="n"/>
      <c r="C2937" s="6" t="n"/>
      <c r="D2937" s="6" t="n"/>
      <c r="E2937" s="8" t="n"/>
      <c r="F2937" s="6" t="n"/>
    </row>
    <row r="2938">
      <c r="A2938" s="6" t="n"/>
      <c r="B2938" s="6" t="n"/>
      <c r="C2938" s="6" t="n"/>
      <c r="D2938" s="6" t="n"/>
      <c r="E2938" s="8" t="n"/>
      <c r="F2938" s="6" t="n"/>
    </row>
    <row r="2939">
      <c r="A2939" s="6" t="n"/>
      <c r="B2939" s="6" t="n"/>
      <c r="C2939" s="6" t="n"/>
      <c r="D2939" s="6" t="n"/>
      <c r="E2939" s="8" t="n"/>
      <c r="F2939" s="6" t="n"/>
    </row>
    <row r="2940">
      <c r="A2940" s="6" t="n"/>
      <c r="B2940" s="6" t="n"/>
      <c r="C2940" s="6" t="n"/>
      <c r="D2940" s="6" t="n"/>
      <c r="E2940" s="8" t="n"/>
      <c r="F2940" s="6" t="n"/>
    </row>
    <row r="2941">
      <c r="A2941" s="6" t="n"/>
      <c r="B2941" s="6" t="n"/>
      <c r="C2941" s="6" t="n"/>
      <c r="D2941" s="6" t="n"/>
      <c r="E2941" s="8" t="n"/>
      <c r="F2941" s="6" t="n"/>
    </row>
    <row r="2942">
      <c r="A2942" s="6" t="n"/>
      <c r="B2942" s="6" t="n"/>
      <c r="C2942" s="6" t="n"/>
      <c r="D2942" s="6" t="n"/>
      <c r="E2942" s="8" t="n"/>
      <c r="F2942" s="6" t="n"/>
    </row>
    <row r="2943">
      <c r="A2943" s="6" t="n"/>
      <c r="B2943" s="6" t="n"/>
      <c r="C2943" s="6" t="n"/>
      <c r="D2943" s="6" t="n"/>
      <c r="E2943" s="8" t="n"/>
      <c r="F2943" s="6" t="n"/>
    </row>
    <row r="2944">
      <c r="A2944" s="6" t="n"/>
      <c r="B2944" s="6" t="n"/>
      <c r="C2944" s="6" t="n"/>
      <c r="D2944" s="6" t="n"/>
      <c r="E2944" s="8" t="n"/>
      <c r="F2944" s="6" t="n"/>
    </row>
    <row r="2945">
      <c r="A2945" s="6" t="n"/>
      <c r="B2945" s="6" t="n"/>
      <c r="C2945" s="6" t="n"/>
      <c r="D2945" s="6" t="n"/>
      <c r="E2945" s="8" t="n"/>
      <c r="F2945" s="6" t="n"/>
    </row>
    <row r="2946">
      <c r="A2946" s="6" t="n"/>
      <c r="B2946" s="6" t="n"/>
      <c r="C2946" s="6" t="n"/>
      <c r="D2946" s="6" t="n"/>
      <c r="E2946" s="8" t="n"/>
      <c r="F2946" s="6" t="n"/>
    </row>
    <row r="2947">
      <c r="A2947" s="6" t="n"/>
      <c r="B2947" s="6" t="n"/>
      <c r="C2947" s="6" t="n"/>
      <c r="D2947" s="6" t="n"/>
      <c r="E2947" s="8" t="n"/>
      <c r="F2947" s="6" t="n"/>
    </row>
    <row r="2948">
      <c r="A2948" s="6" t="n"/>
      <c r="B2948" s="6" t="n"/>
      <c r="C2948" s="6" t="n"/>
      <c r="D2948" s="6" t="n"/>
      <c r="E2948" s="8" t="n"/>
      <c r="F2948" s="6" t="n"/>
    </row>
    <row r="2949">
      <c r="A2949" s="6" t="n"/>
      <c r="B2949" s="6" t="n"/>
      <c r="C2949" s="6" t="n"/>
      <c r="D2949" s="6" t="n"/>
      <c r="E2949" s="8" t="n"/>
      <c r="F2949" s="6" t="n"/>
    </row>
    <row r="2950">
      <c r="A2950" s="6" t="n"/>
      <c r="B2950" s="6" t="n"/>
      <c r="C2950" s="6" t="n"/>
      <c r="D2950" s="6" t="n"/>
      <c r="E2950" s="8" t="n"/>
      <c r="F2950" s="6" t="n"/>
    </row>
    <row r="2951">
      <c r="A2951" s="6" t="n"/>
      <c r="B2951" s="6" t="n"/>
      <c r="C2951" s="6" t="n"/>
      <c r="D2951" s="6" t="n"/>
      <c r="E2951" s="8" t="n"/>
      <c r="F2951" s="6" t="n"/>
    </row>
    <row r="2952">
      <c r="A2952" s="6" t="n"/>
      <c r="B2952" s="6" t="n"/>
      <c r="C2952" s="6" t="n"/>
      <c r="D2952" s="6" t="n"/>
      <c r="E2952" s="8" t="n"/>
      <c r="F2952" s="6" t="n"/>
    </row>
    <row r="2953">
      <c r="A2953" s="6" t="n"/>
      <c r="B2953" s="6" t="n"/>
      <c r="C2953" s="6" t="n"/>
      <c r="D2953" s="6" t="n"/>
      <c r="E2953" s="8" t="n"/>
      <c r="F2953" s="6" t="n"/>
    </row>
    <row r="2954">
      <c r="A2954" s="6" t="n"/>
      <c r="B2954" s="6" t="n"/>
      <c r="C2954" s="6" t="n"/>
      <c r="D2954" s="6" t="n"/>
      <c r="E2954" s="8" t="n"/>
      <c r="F2954" s="6" t="n"/>
    </row>
    <row r="2955">
      <c r="A2955" s="6" t="n"/>
      <c r="B2955" s="6" t="n"/>
      <c r="C2955" s="6" t="n"/>
      <c r="D2955" s="6" t="n"/>
      <c r="E2955" s="8" t="n"/>
      <c r="F2955" s="6" t="n"/>
    </row>
    <row r="2956">
      <c r="A2956" s="6" t="n"/>
      <c r="B2956" s="6" t="n"/>
      <c r="C2956" s="6" t="n"/>
      <c r="D2956" s="6" t="n"/>
      <c r="E2956" s="8" t="n"/>
      <c r="F2956" s="6" t="n"/>
    </row>
    <row r="2957">
      <c r="A2957" s="6" t="n"/>
      <c r="B2957" s="6" t="n"/>
      <c r="C2957" s="6" t="n"/>
      <c r="D2957" s="6" t="n"/>
      <c r="E2957" s="8" t="n"/>
      <c r="F2957" s="6" t="n"/>
    </row>
    <row r="2958">
      <c r="A2958" s="6" t="n"/>
      <c r="B2958" s="6" t="n"/>
      <c r="C2958" s="6" t="n"/>
      <c r="D2958" s="6" t="n"/>
      <c r="E2958" s="8" t="n"/>
      <c r="F2958" s="6" t="n"/>
    </row>
    <row r="2959">
      <c r="A2959" s="6" t="n"/>
      <c r="B2959" s="6" t="n"/>
      <c r="C2959" s="6" t="n"/>
      <c r="D2959" s="6" t="n"/>
      <c r="E2959" s="8" t="n"/>
      <c r="F2959" s="6" t="n"/>
    </row>
    <row r="2960">
      <c r="A2960" s="6" t="n"/>
      <c r="B2960" s="6" t="n"/>
      <c r="C2960" s="6" t="n"/>
      <c r="D2960" s="6" t="n"/>
      <c r="E2960" s="8" t="n"/>
      <c r="F2960" s="6" t="n"/>
    </row>
    <row r="2961">
      <c r="A2961" s="6" t="n"/>
      <c r="B2961" s="6" t="n"/>
      <c r="C2961" s="6" t="n"/>
      <c r="D2961" s="6" t="n"/>
      <c r="E2961" s="8" t="n"/>
      <c r="F2961" s="6" t="n"/>
    </row>
    <row r="2962">
      <c r="A2962" s="6" t="n"/>
      <c r="B2962" s="6" t="n"/>
      <c r="C2962" s="6" t="n"/>
      <c r="D2962" s="6" t="n"/>
      <c r="E2962" s="8" t="n"/>
      <c r="F2962" s="6" t="n"/>
    </row>
    <row r="2963">
      <c r="A2963" s="6" t="n"/>
      <c r="B2963" s="6" t="n"/>
      <c r="C2963" s="6" t="n"/>
      <c r="D2963" s="6" t="n"/>
      <c r="E2963" s="8" t="n"/>
      <c r="F2963" s="6" t="n"/>
    </row>
    <row r="2964">
      <c r="A2964" s="6" t="n"/>
      <c r="B2964" s="6" t="n"/>
      <c r="C2964" s="6" t="n"/>
      <c r="D2964" s="6" t="n"/>
      <c r="E2964" s="8" t="n"/>
      <c r="F2964" s="6" t="n"/>
    </row>
    <row r="2965">
      <c r="A2965" s="6" t="n"/>
      <c r="B2965" s="6" t="n"/>
      <c r="C2965" s="6" t="n"/>
      <c r="D2965" s="6" t="n"/>
      <c r="E2965" s="8" t="n"/>
      <c r="F2965" s="6" t="n"/>
    </row>
    <row r="2966">
      <c r="A2966" s="6" t="n"/>
      <c r="B2966" s="6" t="n"/>
      <c r="C2966" s="6" t="n"/>
      <c r="D2966" s="6" t="n"/>
      <c r="E2966" s="8" t="n"/>
      <c r="F2966" s="6" t="n"/>
    </row>
    <row r="2967">
      <c r="A2967" s="6" t="n"/>
      <c r="B2967" s="6" t="n"/>
      <c r="C2967" s="6" t="n"/>
      <c r="D2967" s="6" t="n"/>
      <c r="E2967" s="8" t="n"/>
      <c r="F2967" s="6" t="n"/>
    </row>
    <row r="2968">
      <c r="A2968" s="6" t="n"/>
      <c r="B2968" s="6" t="n"/>
      <c r="C2968" s="6" t="n"/>
      <c r="D2968" s="6" t="n"/>
      <c r="E2968" s="8" t="n"/>
      <c r="F2968" s="6" t="n"/>
    </row>
    <row r="2969">
      <c r="A2969" s="6" t="n"/>
      <c r="B2969" s="6" t="n"/>
      <c r="C2969" s="6" t="n"/>
      <c r="D2969" s="6" t="n"/>
      <c r="E2969" s="8" t="n"/>
      <c r="F2969" s="6" t="n"/>
    </row>
    <row r="2970">
      <c r="A2970" s="6" t="n"/>
      <c r="B2970" s="6" t="n"/>
      <c r="C2970" s="6" t="n"/>
      <c r="D2970" s="6" t="n"/>
      <c r="E2970" s="8" t="n"/>
      <c r="F2970" s="6" t="n"/>
    </row>
    <row r="2971">
      <c r="A2971" s="6" t="n"/>
      <c r="B2971" s="6" t="n"/>
      <c r="C2971" s="6" t="n"/>
      <c r="D2971" s="6" t="n"/>
      <c r="E2971" s="8" t="n"/>
      <c r="F2971" s="6" t="n"/>
    </row>
    <row r="2972">
      <c r="A2972" s="6" t="n"/>
      <c r="B2972" s="6" t="n"/>
      <c r="C2972" s="6" t="n"/>
      <c r="D2972" s="6" t="n"/>
      <c r="E2972" s="8" t="n"/>
      <c r="F2972" s="6" t="n"/>
    </row>
    <row r="2973">
      <c r="A2973" s="6" t="n"/>
      <c r="B2973" s="6" t="n"/>
      <c r="C2973" s="6" t="n"/>
      <c r="D2973" s="6" t="n"/>
      <c r="E2973" s="8" t="n"/>
      <c r="F2973" s="6" t="n"/>
    </row>
    <row r="2974">
      <c r="A2974" s="6" t="n"/>
      <c r="B2974" s="6" t="n"/>
      <c r="C2974" s="6" t="n"/>
      <c r="D2974" s="6" t="n"/>
      <c r="E2974" s="8" t="n"/>
      <c r="F2974" s="6" t="n"/>
    </row>
    <row r="2975">
      <c r="A2975" s="6" t="n"/>
      <c r="B2975" s="6" t="n"/>
      <c r="C2975" s="6" t="n"/>
      <c r="D2975" s="6" t="n"/>
      <c r="E2975" s="8" t="n"/>
      <c r="F2975" s="6" t="n"/>
    </row>
    <row r="2976">
      <c r="A2976" s="6" t="n"/>
      <c r="B2976" s="6" t="n"/>
      <c r="C2976" s="6" t="n"/>
      <c r="D2976" s="6" t="n"/>
      <c r="E2976" s="8" t="n"/>
      <c r="F2976" s="6" t="n"/>
    </row>
    <row r="2977">
      <c r="A2977" s="6" t="n"/>
      <c r="B2977" s="6" t="n"/>
      <c r="C2977" s="6" t="n"/>
      <c r="D2977" s="6" t="n"/>
      <c r="E2977" s="8" t="n"/>
      <c r="F2977" s="6" t="n"/>
    </row>
    <row r="2978">
      <c r="A2978" s="6" t="n"/>
      <c r="B2978" s="6" t="n"/>
      <c r="C2978" s="6" t="n"/>
      <c r="D2978" s="6" t="n"/>
      <c r="E2978" s="8" t="n"/>
      <c r="F2978" s="6" t="n"/>
    </row>
    <row r="2979">
      <c r="A2979" s="6" t="n"/>
      <c r="B2979" s="6" t="n"/>
      <c r="C2979" s="6" t="n"/>
      <c r="D2979" s="6" t="n"/>
      <c r="E2979" s="8" t="n"/>
      <c r="F2979" s="6" t="n"/>
    </row>
    <row r="2980">
      <c r="A2980" s="6" t="n"/>
      <c r="B2980" s="6" t="n"/>
      <c r="C2980" s="6" t="n"/>
      <c r="D2980" s="6" t="n"/>
      <c r="E2980" s="8" t="n"/>
      <c r="F2980" s="6" t="n"/>
    </row>
    <row r="2981">
      <c r="A2981" s="6" t="n"/>
      <c r="B2981" s="6" t="n"/>
      <c r="C2981" s="6" t="n"/>
      <c r="D2981" s="6" t="n"/>
      <c r="E2981" s="8" t="n"/>
      <c r="F2981" s="6" t="n"/>
    </row>
    <row r="2982">
      <c r="A2982" s="6" t="n"/>
      <c r="B2982" s="6" t="n"/>
      <c r="C2982" s="6" t="n"/>
      <c r="D2982" s="6" t="n"/>
      <c r="E2982" s="8" t="n"/>
      <c r="F2982" s="6" t="n"/>
    </row>
    <row r="2983">
      <c r="A2983" s="6" t="n"/>
      <c r="B2983" s="6" t="n"/>
      <c r="C2983" s="6" t="n"/>
      <c r="D2983" s="6" t="n"/>
      <c r="E2983" s="8" t="n"/>
      <c r="F2983" s="6" t="n"/>
    </row>
    <row r="2984">
      <c r="A2984" s="6" t="n"/>
      <c r="B2984" s="6" t="n"/>
      <c r="C2984" s="6" t="n"/>
      <c r="D2984" s="6" t="n"/>
      <c r="E2984" s="8" t="n"/>
      <c r="F2984" s="6" t="n"/>
    </row>
    <row r="2985">
      <c r="A2985" s="6" t="n"/>
      <c r="B2985" s="6" t="n"/>
      <c r="C2985" s="6" t="n"/>
      <c r="D2985" s="6" t="n"/>
      <c r="E2985" s="8" t="n"/>
      <c r="F2985" s="6" t="n"/>
    </row>
    <row r="2986">
      <c r="A2986" s="6" t="n"/>
      <c r="B2986" s="6" t="n"/>
      <c r="C2986" s="6" t="n"/>
      <c r="D2986" s="6" t="n"/>
      <c r="E2986" s="8" t="n"/>
      <c r="F2986" s="6" t="n"/>
    </row>
    <row r="2987">
      <c r="A2987" s="6" t="n"/>
      <c r="B2987" s="6" t="n"/>
      <c r="C2987" s="6" t="n"/>
      <c r="D2987" s="6" t="n"/>
      <c r="E2987" s="8" t="n"/>
      <c r="F2987" s="6" t="n"/>
    </row>
    <row r="2988">
      <c r="A2988" s="6" t="n"/>
      <c r="B2988" s="6" t="n"/>
      <c r="C2988" s="6" t="n"/>
      <c r="D2988" s="6" t="n"/>
      <c r="E2988" s="8" t="n"/>
      <c r="F2988" s="6" t="n"/>
    </row>
    <row r="2989">
      <c r="A2989" s="6" t="n"/>
      <c r="B2989" s="6" t="n"/>
      <c r="C2989" s="6" t="n"/>
      <c r="D2989" s="6" t="n"/>
      <c r="E2989" s="8" t="n"/>
      <c r="F2989" s="6" t="n"/>
    </row>
    <row r="2990">
      <c r="A2990" s="6" t="n"/>
      <c r="B2990" s="6" t="n"/>
      <c r="C2990" s="6" t="n"/>
      <c r="D2990" s="6" t="n"/>
      <c r="E2990" s="8" t="n"/>
      <c r="F2990" s="6" t="n"/>
    </row>
    <row r="2991">
      <c r="A2991" s="6" t="n"/>
      <c r="B2991" s="6" t="n"/>
      <c r="C2991" s="6" t="n"/>
      <c r="D2991" s="6" t="n"/>
      <c r="E2991" s="8" t="n"/>
      <c r="F2991" s="6" t="n"/>
    </row>
    <row r="2992">
      <c r="A2992" s="6" t="n"/>
      <c r="B2992" s="6" t="n"/>
      <c r="C2992" s="6" t="n"/>
      <c r="D2992" s="6" t="n"/>
      <c r="E2992" s="8" t="n"/>
      <c r="F2992" s="6" t="n"/>
    </row>
    <row r="2993">
      <c r="A2993" s="6" t="n"/>
      <c r="B2993" s="6" t="n"/>
      <c r="C2993" s="6" t="n"/>
      <c r="D2993" s="6" t="n"/>
      <c r="E2993" s="8" t="n"/>
      <c r="F2993" s="6" t="n"/>
    </row>
    <row r="2994">
      <c r="A2994" s="6" t="n"/>
      <c r="B2994" s="6" t="n"/>
      <c r="C2994" s="6" t="n"/>
      <c r="D2994" s="6" t="n"/>
      <c r="E2994" s="8" t="n"/>
      <c r="F2994" s="6" t="n"/>
    </row>
    <row r="2995">
      <c r="A2995" s="6" t="n"/>
      <c r="B2995" s="6" t="n"/>
      <c r="C2995" s="6" t="n"/>
      <c r="D2995" s="6" t="n"/>
      <c r="E2995" s="8" t="n"/>
      <c r="F2995" s="6" t="n"/>
    </row>
    <row r="2996">
      <c r="A2996" s="6" t="n"/>
      <c r="B2996" s="6" t="n"/>
      <c r="C2996" s="6" t="n"/>
      <c r="D2996" s="6" t="n"/>
      <c r="E2996" s="8" t="n"/>
      <c r="F2996" s="6" t="n"/>
    </row>
    <row r="2997">
      <c r="A2997" s="6" t="n"/>
      <c r="B2997" s="6" t="n"/>
      <c r="C2997" s="6" t="n"/>
      <c r="D2997" s="6" t="n"/>
      <c r="E2997" s="8" t="n"/>
      <c r="F2997" s="6" t="n"/>
    </row>
    <row r="2998">
      <c r="A2998" s="6" t="n"/>
      <c r="B2998" s="6" t="n"/>
      <c r="C2998" s="6" t="n"/>
      <c r="D2998" s="6" t="n"/>
      <c r="E2998" s="8" t="n"/>
      <c r="F2998" s="6" t="n"/>
    </row>
    <row r="2999">
      <c r="A2999" s="6" t="n"/>
      <c r="B2999" s="6" t="n"/>
      <c r="C2999" s="6" t="n"/>
      <c r="D2999" s="6" t="n"/>
      <c r="E2999" s="8" t="n"/>
      <c r="F2999" s="6" t="n"/>
    </row>
    <row r="3000">
      <c r="A3000" s="6" t="n"/>
      <c r="B3000" s="6" t="n"/>
      <c r="C3000" s="6" t="n"/>
      <c r="D3000" s="6" t="n"/>
      <c r="E3000" s="8" t="n"/>
      <c r="F3000" s="6" t="n"/>
    </row>
    <row r="3001">
      <c r="A3001" s="6" t="n"/>
      <c r="B3001" s="6" t="n"/>
      <c r="C3001" s="6" t="n"/>
      <c r="D3001" s="6" t="n"/>
      <c r="E3001" s="8" t="n"/>
      <c r="F3001" s="6" t="n"/>
    </row>
    <row r="3002">
      <c r="A3002" s="6" t="n"/>
      <c r="B3002" s="6" t="n"/>
      <c r="C3002" s="6" t="n"/>
      <c r="D3002" s="6" t="n"/>
      <c r="E3002" s="8" t="n"/>
      <c r="F3002" s="6" t="n"/>
    </row>
    <row r="3003">
      <c r="A3003" s="6" t="n"/>
      <c r="B3003" s="6" t="n"/>
      <c r="C3003" s="6" t="n"/>
      <c r="D3003" s="6" t="n"/>
      <c r="E3003" s="8" t="n"/>
      <c r="F3003" s="6" t="n"/>
    </row>
    <row r="3004">
      <c r="A3004" s="6" t="n"/>
      <c r="B3004" s="6" t="n"/>
      <c r="C3004" s="6" t="n"/>
      <c r="D3004" s="6" t="n"/>
      <c r="E3004" s="8" t="n"/>
      <c r="F3004" s="6" t="n"/>
    </row>
    <row r="3005">
      <c r="A3005" s="6" t="n"/>
      <c r="B3005" s="6" t="n"/>
      <c r="C3005" s="6" t="n"/>
      <c r="D3005" s="6" t="n"/>
      <c r="E3005" s="8" t="n"/>
      <c r="F3005" s="6" t="n"/>
    </row>
  </sheetData>
  <autoFilter ref="A5:F5"/>
  <mergeCells count="3">
    <mergeCell ref="A3:F3"/>
    <mergeCell ref="A2:F2"/>
    <mergeCell ref="A1:F1"/>
  </mergeCells>
  <conditionalFormatting sqref="A6:F3005">
    <cfRule type="expression" priority="1" dxfId="1">
      <formula>MOD(ROW()-6,2)=0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5" topLeftCell="A6" activePane="bottomLeft" state="frozen"/>
      <selection pane="bottomLeft" activeCell="A1" sqref="A1:F1"/>
    </sheetView>
  </sheetViews>
  <sheetFormatPr baseColWidth="10" defaultColWidth="9.140625" defaultRowHeight="15"/>
  <cols>
    <col width="30" customWidth="1" style="24" min="1" max="1"/>
    <col width="15" customWidth="1" style="24" min="2" max="3"/>
    <col width="18" customWidth="1" style="24" min="4" max="4"/>
    <col width="2" customWidth="1" style="24" min="5" max="6"/>
  </cols>
  <sheetData>
    <row r="1" ht="23.25" customHeight="1" s="24">
      <c r="A1" s="29" t="inlineStr">
        <is>
          <t>Synthèse — Échéancier de vente</t>
        </is>
      </c>
    </row>
    <row r="2">
      <c r="A2" s="26" t="inlineStr">
        <is>
          <t>Montants basés sur « Reste à encaisser ». La Date de référence se modifie dans la feuille Listes.</t>
        </is>
      </c>
    </row>
    <row r="4">
      <c r="A4" s="1" t="inlineStr">
        <is>
          <t>KPIs</t>
        </is>
      </c>
    </row>
    <row r="5">
      <c r="A5" s="22" t="inlineStr">
        <is>
          <t>Indicateur</t>
        </is>
      </c>
      <c r="B5" s="22" t="inlineStr">
        <is>
          <t>Montant (€)</t>
        </is>
      </c>
      <c r="C5" s="22" t="inlineStr">
        <is>
          <t>Nb factures</t>
        </is>
      </c>
    </row>
    <row r="6">
      <c r="A6" s="3" t="inlineStr">
        <is>
          <t>Montant en retard</t>
        </is>
      </c>
      <c r="B6" s="13">
        <f>SUMIFS(Ventes_Factures!$J$6:$J$3005,Ventes_Factures!$N$6:$N$3005,"En retard")</f>
        <v/>
      </c>
      <c r="C6" s="14">
        <f>COUNTIFS(Ventes_Factures!$N$6:$N$3005,"En retard",Ventes_Factures!$A$6:$A$3005,"&lt;&gt;")</f>
        <v/>
      </c>
    </row>
    <row r="7">
      <c r="A7" s="3" t="inlineStr">
        <is>
          <t>Montant à échoir</t>
        </is>
      </c>
      <c r="B7" s="13">
        <f>SUMIFS(Ventes_Factures!$J$6:$J$3005,Ventes_Factures!$N$6:$N$3005,"À échoir")</f>
        <v/>
      </c>
      <c r="C7" s="14">
        <f>COUNTIFS(Ventes_Factures!$N$6:$N$3005,"À échoir",Ventes_Factures!$A$6:$A$3005,"&lt;&gt;")</f>
        <v/>
      </c>
    </row>
    <row r="8">
      <c r="A8" s="3" t="inlineStr">
        <is>
          <t>Montant en litige</t>
        </is>
      </c>
      <c r="B8" s="13">
        <f>SUMIFS(Ventes_Factures!$J$6:$J$3005,Ventes_Factures!$N$6:$N$3005,"Litige")</f>
        <v/>
      </c>
      <c r="C8" s="14">
        <f>COUNTIFS(Ventes_Factures!$N$6:$N$3005,"Litige",Ventes_Factures!$A$6:$A$3005,"&lt;&gt;")</f>
        <v/>
      </c>
    </row>
    <row r="10">
      <c r="A10" s="1" t="inlineStr">
        <is>
          <t>Aging (En retard)</t>
        </is>
      </c>
    </row>
    <row r="11">
      <c r="A11" s="2" t="inlineStr">
        <is>
          <t>Bucket</t>
        </is>
      </c>
      <c r="B11" s="2" t="inlineStr">
        <is>
          <t>Montant (€)</t>
        </is>
      </c>
      <c r="C11" s="2" t="inlineStr">
        <is>
          <t>Nb factures</t>
        </is>
      </c>
    </row>
    <row r="12">
      <c r="A12" s="15" t="inlineStr">
        <is>
          <t>0-30</t>
        </is>
      </c>
      <c r="B12" s="13">
        <f>SUMIFS(Ventes_Factures!$J$6:$J$3005,Ventes_Factures!$P$6:$P$3005,"0-30",Ventes_Factures!$N$6:$N$3005,"En retard")</f>
        <v/>
      </c>
      <c r="C12" s="14">
        <f>COUNTIFS(Ventes_Factures!$P$6:$P$3005,"0-30",Ventes_Factures!$N$6:$N$3005,"En retard",Ventes_Factures!$A$6:$A$3005,"&lt;&gt;")</f>
        <v/>
      </c>
    </row>
    <row r="13">
      <c r="A13" s="15" t="inlineStr">
        <is>
          <t>31-60</t>
        </is>
      </c>
      <c r="B13" s="13">
        <f>SUMIFS(Ventes_Factures!$J$6:$J$3005,Ventes_Factures!$P$6:$P$3005,"31-60",Ventes_Factures!$N$6:$N$3005,"En retard")</f>
        <v/>
      </c>
      <c r="C13" s="14">
        <f>COUNTIFS(Ventes_Factures!$P$6:$P$3005,"31-60",Ventes_Factures!$N$6:$N$3005,"En retard",Ventes_Factures!$A$6:$A$3005,"&lt;&gt;")</f>
        <v/>
      </c>
    </row>
    <row r="14">
      <c r="A14" s="15" t="inlineStr">
        <is>
          <t>61-90</t>
        </is>
      </c>
      <c r="B14" s="13">
        <f>SUMIFS(Ventes_Factures!$J$6:$J$3005,Ventes_Factures!$P$6:$P$3005,"61-90",Ventes_Factures!$N$6:$N$3005,"En retard")</f>
        <v/>
      </c>
      <c r="C14" s="14">
        <f>COUNTIFS(Ventes_Factures!$P$6:$P$3005,"61-90",Ventes_Factures!$N$6:$N$3005,"En retard",Ventes_Factures!$A$6:$A$3005,"&lt;&gt;")</f>
        <v/>
      </c>
    </row>
    <row r="15">
      <c r="A15" s="15" t="inlineStr">
        <is>
          <t>90+</t>
        </is>
      </c>
      <c r="B15" s="13">
        <f>SUMIFS(Ventes_Factures!$J$6:$J$3005,Ventes_Factures!$P$6:$P$3005,"90+",Ventes_Factures!$N$6:$N$3005,"En retard")</f>
        <v/>
      </c>
      <c r="C15" s="14">
        <f>COUNTIFS(Ventes_Factures!$P$6:$P$3005,"90+",Ventes_Factures!$N$6:$N$3005,"En retard",Ventes_Factures!$A$6:$A$3005,"&lt;&gt;")</f>
        <v/>
      </c>
    </row>
    <row r="16">
      <c r="A16" s="1" t="inlineStr">
        <is>
          <t>Prévision d'encaissements — par semaine (12 semaines)</t>
        </is>
      </c>
    </row>
    <row r="17" ht="30" customHeight="1" s="24">
      <c r="A17" s="2" t="inlineStr">
        <is>
          <t>Semaine</t>
        </is>
      </c>
      <c r="B17" s="2" t="inlineStr">
        <is>
          <t>Début semaine</t>
        </is>
      </c>
      <c r="C17" s="2" t="inlineStr">
        <is>
          <t>Fin semaine</t>
        </is>
      </c>
      <c r="D17" s="2" t="inlineStr">
        <is>
          <t>Montant dû (€)</t>
        </is>
      </c>
    </row>
    <row r="18">
      <c r="A18" s="15">
        <f>"S"&amp;WEEKNUM($B18,21)&amp;" "&amp;TEXT($B18-WEEKDAY($B18,2)+4,"yyyy")</f>
        <v/>
      </c>
      <c r="B18" s="16">
        <f>Listes!$B$3-WEEKDAY(Listes!$B$3,2)+1</f>
        <v/>
      </c>
      <c r="C18" s="16">
        <f>B18+6</f>
        <v/>
      </c>
      <c r="D18" s="13">
        <f>SUMIFS(Ventes_Factures!$J$6:$J$3005,Ventes_Factures!$G$6:$G$3005,"&gt;="&amp;B18,Ventes_Factures!$G$6:$G$3005,"&lt;="&amp;C18,Ventes_Factures!$N$6:$N$3005,"&lt;&gt;Payé",Ventes_Factures!$N$6:$N$3005,"&lt;&gt;Litige")</f>
        <v/>
      </c>
    </row>
    <row r="19">
      <c r="A19" s="15">
        <f>"S"&amp;WEEKNUM($B19,21)&amp;" "&amp;TEXT($B19-WEEKDAY($B19,2)+4,"yyyy")</f>
        <v/>
      </c>
      <c r="B19" s="16">
        <f>B18+7</f>
        <v/>
      </c>
      <c r="C19" s="16">
        <f>C18+7</f>
        <v/>
      </c>
      <c r="D19" s="13">
        <f>SUMIFS(Ventes_Factures!$J$6:$J$3005,Ventes_Factures!$G$6:$G$3005,"&gt;="&amp;B19,Ventes_Factures!$G$6:$G$3005,"&lt;="&amp;C19,Ventes_Factures!$N$6:$N$3005,"&lt;&gt;Payé",Ventes_Factures!$N$6:$N$3005,"&lt;&gt;Litige")</f>
        <v/>
      </c>
    </row>
    <row r="20">
      <c r="A20" s="15">
        <f>"S"&amp;WEEKNUM($B20,21)&amp;" "&amp;TEXT($B20-WEEKDAY($B20,2)+4,"yyyy")</f>
        <v/>
      </c>
      <c r="B20" s="16">
        <f>B19+7</f>
        <v/>
      </c>
      <c r="C20" s="16">
        <f>C19+7</f>
        <v/>
      </c>
      <c r="D20" s="13">
        <f>SUMIFS(Ventes_Factures!$J$6:$J$3005,Ventes_Factures!$G$6:$G$3005,"&gt;="&amp;B20,Ventes_Factures!$G$6:$G$3005,"&lt;="&amp;C20,Ventes_Factures!$N$6:$N$3005,"&lt;&gt;Payé",Ventes_Factures!$N$6:$N$3005,"&lt;&gt;Litige")</f>
        <v/>
      </c>
    </row>
    <row r="21">
      <c r="A21" s="15">
        <f>"S"&amp;WEEKNUM($B21,21)&amp;" "&amp;TEXT($B21-WEEKDAY($B21,2)+4,"yyyy")</f>
        <v/>
      </c>
      <c r="B21" s="16">
        <f>B20+7</f>
        <v/>
      </c>
      <c r="C21" s="16">
        <f>C20+7</f>
        <v/>
      </c>
      <c r="D21" s="13">
        <f>SUMIFS(Ventes_Factures!$J$6:$J$3005,Ventes_Factures!$G$6:$G$3005,"&gt;="&amp;B21,Ventes_Factures!$G$6:$G$3005,"&lt;="&amp;C21,Ventes_Factures!$N$6:$N$3005,"&lt;&gt;Payé",Ventes_Factures!$N$6:$N$3005,"&lt;&gt;Litige")</f>
        <v/>
      </c>
    </row>
    <row r="22">
      <c r="A22" s="15">
        <f>"S"&amp;WEEKNUM($B22,21)&amp;" "&amp;TEXT($B22-WEEKDAY($B22,2)+4,"yyyy")</f>
        <v/>
      </c>
      <c r="B22" s="16">
        <f>B21+7</f>
        <v/>
      </c>
      <c r="C22" s="16">
        <f>C21+7</f>
        <v/>
      </c>
      <c r="D22" s="13">
        <f>SUMIFS(Ventes_Factures!$J$6:$J$3005,Ventes_Factures!$G$6:$G$3005,"&gt;="&amp;B22,Ventes_Factures!$G$6:$G$3005,"&lt;="&amp;C22,Ventes_Factures!$N$6:$N$3005,"&lt;&gt;Payé",Ventes_Factures!$N$6:$N$3005,"&lt;&gt;Litige")</f>
        <v/>
      </c>
    </row>
    <row r="23">
      <c r="A23" s="15">
        <f>"S"&amp;WEEKNUM($B23,21)&amp;" "&amp;TEXT($B23-WEEKDAY($B23,2)+4,"yyyy")</f>
        <v/>
      </c>
      <c r="B23" s="16">
        <f>B22+7</f>
        <v/>
      </c>
      <c r="C23" s="16">
        <f>C22+7</f>
        <v/>
      </c>
      <c r="D23" s="13">
        <f>SUMIFS(Ventes_Factures!$J$6:$J$3005,Ventes_Factures!$G$6:$G$3005,"&gt;="&amp;B23,Ventes_Factures!$G$6:$G$3005,"&lt;="&amp;C23,Ventes_Factures!$N$6:$N$3005,"&lt;&gt;Payé",Ventes_Factures!$N$6:$N$3005,"&lt;&gt;Litige")</f>
        <v/>
      </c>
    </row>
    <row r="24">
      <c r="A24" s="15">
        <f>"S"&amp;WEEKNUM($B24,21)&amp;" "&amp;TEXT($B24-WEEKDAY($B24,2)+4,"yyyy")</f>
        <v/>
      </c>
      <c r="B24" s="16">
        <f>B23+7</f>
        <v/>
      </c>
      <c r="C24" s="16">
        <f>C23+7</f>
        <v/>
      </c>
      <c r="D24" s="13">
        <f>SUMIFS(Ventes_Factures!$J$6:$J$3005,Ventes_Factures!$G$6:$G$3005,"&gt;="&amp;B24,Ventes_Factures!$G$6:$G$3005,"&lt;="&amp;C24,Ventes_Factures!$N$6:$N$3005,"&lt;&gt;Payé",Ventes_Factures!$N$6:$N$3005,"&lt;&gt;Litige")</f>
        <v/>
      </c>
    </row>
    <row r="25">
      <c r="A25" s="15">
        <f>"S"&amp;WEEKNUM($B25,21)&amp;" "&amp;TEXT($B25-WEEKDAY($B25,2)+4,"yyyy")</f>
        <v/>
      </c>
      <c r="B25" s="16">
        <f>B24+7</f>
        <v/>
      </c>
      <c r="C25" s="16">
        <f>C24+7</f>
        <v/>
      </c>
      <c r="D25" s="13">
        <f>SUMIFS(Ventes_Factures!$J$6:$J$3005,Ventes_Factures!$G$6:$G$3005,"&gt;="&amp;B25,Ventes_Factures!$G$6:$G$3005,"&lt;="&amp;C25,Ventes_Factures!$N$6:$N$3005,"&lt;&gt;Payé",Ventes_Factures!$N$6:$N$3005,"&lt;&gt;Litige")</f>
        <v/>
      </c>
    </row>
    <row r="26">
      <c r="A26" s="15">
        <f>"S"&amp;WEEKNUM($B26,21)&amp;" "&amp;TEXT($B26-WEEKDAY($B26,2)+4,"yyyy")</f>
        <v/>
      </c>
      <c r="B26" s="16">
        <f>B25+7</f>
        <v/>
      </c>
      <c r="C26" s="16">
        <f>C25+7</f>
        <v/>
      </c>
      <c r="D26" s="13">
        <f>SUMIFS(Ventes_Factures!$J$6:$J$3005,Ventes_Factures!$G$6:$G$3005,"&gt;="&amp;B26,Ventes_Factures!$G$6:$G$3005,"&lt;="&amp;C26,Ventes_Factures!$N$6:$N$3005,"&lt;&gt;Payé",Ventes_Factures!$N$6:$N$3005,"&lt;&gt;Litige")</f>
        <v/>
      </c>
    </row>
    <row r="27">
      <c r="A27" s="15">
        <f>"S"&amp;WEEKNUM($B27,21)&amp;" "&amp;TEXT($B27-WEEKDAY($B27,2)+4,"yyyy")</f>
        <v/>
      </c>
      <c r="B27" s="16">
        <f>B26+7</f>
        <v/>
      </c>
      <c r="C27" s="16">
        <f>C26+7</f>
        <v/>
      </c>
      <c r="D27" s="13">
        <f>SUMIFS(Ventes_Factures!$J$6:$J$3005,Ventes_Factures!$G$6:$G$3005,"&gt;="&amp;B27,Ventes_Factures!$G$6:$G$3005,"&lt;="&amp;C27,Ventes_Factures!$N$6:$N$3005,"&lt;&gt;Payé",Ventes_Factures!$N$6:$N$3005,"&lt;&gt;Litige")</f>
        <v/>
      </c>
    </row>
    <row r="28">
      <c r="A28" s="15">
        <f>"S"&amp;WEEKNUM($B28,21)&amp;" "&amp;TEXT($B28-WEEKDAY($B28,2)+4,"yyyy")</f>
        <v/>
      </c>
      <c r="B28" s="16">
        <f>B27+7</f>
        <v/>
      </c>
      <c r="C28" s="16">
        <f>C27+7</f>
        <v/>
      </c>
      <c r="D28" s="13">
        <f>SUMIFS(Ventes_Factures!$J$6:$J$3005,Ventes_Factures!$G$6:$G$3005,"&gt;="&amp;B28,Ventes_Factures!$G$6:$G$3005,"&lt;="&amp;C28,Ventes_Factures!$N$6:$N$3005,"&lt;&gt;Payé",Ventes_Factures!$N$6:$N$3005,"&lt;&gt;Litige")</f>
        <v/>
      </c>
    </row>
    <row r="29">
      <c r="A29" s="15">
        <f>"S"&amp;WEEKNUM($B29,21)&amp;" "&amp;TEXT($B29-WEEKDAY($B29,2)+4,"yyyy")</f>
        <v/>
      </c>
      <c r="B29" s="16">
        <f>B28+7</f>
        <v/>
      </c>
      <c r="C29" s="16">
        <f>C28+7</f>
        <v/>
      </c>
      <c r="D29" s="13">
        <f>SUMIFS(Ventes_Factures!$J$6:$J$3005,Ventes_Factures!$G$6:$G$3005,"&gt;="&amp;B29,Ventes_Factures!$G$6:$G$3005,"&lt;="&amp;C29,Ventes_Factures!$N$6:$N$3005,"&lt;&gt;Payé",Ventes_Factures!$N$6:$N$3005,"&lt;&gt;Litige")</f>
        <v/>
      </c>
    </row>
    <row r="31">
      <c r="A31" s="25" t="inlineStr">
        <is>
          <t>Note : la prévision hebdo exclut les factures 'Payé' et 'Litige' (cash prévisible).</t>
        </is>
      </c>
    </row>
  </sheetData>
  <autoFilter ref="A5:F5"/>
  <mergeCells count="3">
    <mergeCell ref="A2:F2"/>
    <mergeCell ref="A1:F1"/>
    <mergeCell ref="A31:D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:D1"/>
    </sheetView>
  </sheetViews>
  <sheetFormatPr baseColWidth="10" defaultColWidth="9.140625" defaultRowHeight="15"/>
  <cols>
    <col width="35" customWidth="1" style="24" min="1" max="1"/>
    <col width="10" customWidth="1" style="24" min="2" max="2"/>
    <col width="18" customWidth="1" style="24" min="3" max="3"/>
    <col width="25" customWidth="1" style="24" min="4" max="4"/>
  </cols>
  <sheetData>
    <row r="1" ht="23.25" customHeight="1" s="24">
      <c r="A1" s="29" t="inlineStr">
        <is>
          <t>Contrôles qualité</t>
        </is>
      </c>
    </row>
    <row r="2">
      <c r="A2" s="26" t="inlineStr">
        <is>
          <t>Si le statut est « À CORRIGER », corrige l’anomalie indiquée (colonne Action).</t>
        </is>
      </c>
    </row>
    <row r="4">
      <c r="A4" s="22" t="inlineStr">
        <is>
          <t>Contrôle</t>
        </is>
      </c>
      <c r="B4" s="22" t="inlineStr">
        <is>
          <t>Nb</t>
        </is>
      </c>
      <c r="C4" s="22" t="inlineStr">
        <is>
          <t>Statut</t>
        </is>
      </c>
      <c r="D4" s="22" t="inlineStr">
        <is>
          <t>Action</t>
        </is>
      </c>
    </row>
    <row r="5">
      <c r="A5" s="3" t="inlineStr">
        <is>
          <t>Factures sans client</t>
        </is>
      </c>
      <c r="B5" s="14">
        <f>COUNTIFS(Ventes_Factures!$A$6:$A$3005,"&lt;&gt;",Ventes_Factures!$B$6:$B$3005,"")</f>
        <v/>
      </c>
      <c r="C5" s="17">
        <f>IF($B5=0,"OK","À CORRIGER")</f>
        <v/>
      </c>
      <c r="D5" s="3">
        <f>HYPERLINK("#'Ventes_Factures'!B1", "Aller vers Factures")</f>
        <v/>
      </c>
    </row>
    <row r="6">
      <c r="A6" s="3" t="inlineStr">
        <is>
          <t>Factures sans date facture</t>
        </is>
      </c>
      <c r="B6" s="14">
        <f>COUNTIFS(Ventes_Factures!$A$6:$A$3005,"&lt;&gt;",Ventes_Factures!$F$6:$F$3005,"")</f>
        <v/>
      </c>
      <c r="C6" s="17">
        <f>IF($B6=0,"OK","À CORRIGER")</f>
        <v/>
      </c>
      <c r="D6" s="3" t="inlineStr">
        <is>
          <t>Compléter Date Facture</t>
        </is>
      </c>
    </row>
    <row r="7">
      <c r="A7" s="3" t="inlineStr">
        <is>
          <t>Factures sans échéance</t>
        </is>
      </c>
      <c r="B7" s="14">
        <f>COUNTIFS(Ventes_Factures!$A$6:$A$3005,"&lt;&gt;",Ventes_Factures!$G$6:$G$3005,"")</f>
        <v/>
      </c>
      <c r="C7" s="17">
        <f>IF($B7=0,"OK","À CORRIGER")</f>
        <v/>
      </c>
      <c r="D7" s="3" t="inlineStr">
        <is>
          <t>Compléter Échéance</t>
        </is>
      </c>
    </row>
    <row r="8">
      <c r="A8" s="3" t="inlineStr">
        <is>
          <t>Factures B2B sans détail stagiaire</t>
        </is>
      </c>
      <c r="B8" s="14">
        <f>COUNTIFS(Ventes_Factures!$C$6:$C$3005,"B2B",Ventes_Factures!$L$6:$L$3005,0,Ventes_Factures!$A$6:$A$3005,"&lt;&gt;")</f>
        <v/>
      </c>
      <c r="C8" s="17">
        <f>IF($B8=0,"OK","À CORRIGER")</f>
        <v/>
      </c>
      <c r="D8" s="3" t="inlineStr">
        <is>
          <t>Remplir Ventes_Detail</t>
        </is>
      </c>
    </row>
    <row r="9">
      <c r="A9" s="3" t="inlineStr">
        <is>
          <t>Encaissements sans N° facture</t>
        </is>
      </c>
      <c r="B9" s="14">
        <f>COUNTIFS(Ventes_Encaissements!$D$6:$D$3005,"&lt;&gt;",Ventes_Encaissements!$B$6:$B$3005,"")</f>
        <v/>
      </c>
      <c r="C9" s="17">
        <f>IF($B9=0,"OK","À CORRIGER")</f>
        <v/>
      </c>
      <c r="D9" s="3" t="inlineStr">
        <is>
          <t>Renseigner N° facture</t>
        </is>
      </c>
    </row>
    <row r="10">
      <c r="A10" s="3" t="inlineStr">
        <is>
          <t>Encaissements avec facture inconnue</t>
        </is>
      </c>
      <c r="B10" s="14">
        <f>COUNTIF(Ventes_Encaissements!$I$6:$I$3005,"INCONNUE")</f>
        <v/>
      </c>
      <c r="C10" s="17">
        <f>IF($B10=0,"OK","À CORRIGER")</f>
        <v/>
      </c>
      <c r="D10" s="3">
        <f>HYPERLINK("#'Ventes_Factures'!A1", "Corriger l’ID facture")</f>
        <v/>
      </c>
    </row>
    <row r="11" ht="30" customHeight="1" s="24">
      <c r="A11" s="3" t="inlineStr">
        <is>
          <t>Reste à encaisser négatif (sur-encaissement)</t>
        </is>
      </c>
      <c r="B11" s="14">
        <f>COUNTIF(Ventes_Factures!$J$6:$J$3005,"&lt;0")</f>
        <v/>
      </c>
      <c r="C11" s="17">
        <f>IF($B11=0,"OK","À CORRIGER")</f>
        <v/>
      </c>
      <c r="D11" s="3" t="inlineStr">
        <is>
          <t>Vérifier paiements</t>
        </is>
      </c>
    </row>
  </sheetData>
  <autoFilter ref="A4:D4"/>
  <mergeCells count="2">
    <mergeCell ref="A1:D1"/>
    <mergeCell ref="A2:D2"/>
  </mergeCells>
  <conditionalFormatting sqref="A5:D11">
    <cfRule type="expression" priority="1" dxfId="0">
      <formula>$C5="À CORRIGER"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2025-12-30T11:26:44Z</dcterms:created>
  <dcterms:modified xsi:type="dcterms:W3CDTF">2026-03-17T17:02:35Z</dcterms:modified>
  <cp:lastModifiedBy>Stéphanie DISPOT</cp:lastModifiedBy>
</cp:coreProperties>
</file>